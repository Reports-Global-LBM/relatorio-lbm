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Supply Chain - Inventory USA\Estoque Global LBM\zRelatorio Spruce - Hardwoods_Thermowood\1° Global LBM - Inventory Movement &amp; Sales History\"/>
    </mc:Choice>
  </mc:AlternateContent>
  <xr:revisionPtr revIDLastSave="0" documentId="13_ncr:1_{EF4984C4-9593-4F21-A4AF-A17229D7281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ase SKUs" sheetId="2" r:id="rId1"/>
    <sheet name="Sheet1" sheetId="1" r:id="rId2"/>
    <sheet name="Local Stock" sheetId="3" r:id="rId3"/>
  </sheets>
  <definedNames>
    <definedName name="_xlnm._FilterDatabase" localSheetId="2" hidden="1">'Local Stock'!$A$1:$V$1532</definedName>
    <definedName name="_xlnm._FilterDatabase" localSheetId="1" hidden="1">Sheet1!$A$1:$K$1661</definedName>
    <definedName name="DadosExternos_1" localSheetId="0" hidden="1">'Base SKUs'!$A$1:$T$3738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S1524" i="3" l="1"/>
  <c r="U1524" i="3" s="1"/>
  <c r="S1520" i="3"/>
  <c r="U1520" i="3" s="1"/>
  <c r="S1516" i="3"/>
  <c r="U1516" i="3" s="1"/>
  <c r="S1512" i="3"/>
  <c r="U1512" i="3" s="1"/>
  <c r="S1508" i="3"/>
  <c r="U1508" i="3" s="1"/>
  <c r="S1501" i="3"/>
  <c r="U1501" i="3" s="1"/>
  <c r="S1497" i="3"/>
  <c r="U1497" i="3" s="1"/>
  <c r="U1493" i="3"/>
  <c r="S1493" i="3"/>
  <c r="S1489" i="3"/>
  <c r="U1489" i="3" s="1"/>
  <c r="S1485" i="3"/>
  <c r="U1485" i="3" s="1"/>
  <c r="S1481" i="3"/>
  <c r="U1481" i="3" s="1"/>
  <c r="U1477" i="3"/>
  <c r="S1477" i="3"/>
  <c r="U1473" i="3"/>
  <c r="S1473" i="3"/>
  <c r="U1469" i="3"/>
  <c r="S1469" i="3"/>
  <c r="U1465" i="3"/>
  <c r="S1465" i="3"/>
  <c r="S1461" i="3"/>
  <c r="U1461" i="3" s="1"/>
  <c r="S1457" i="3"/>
  <c r="U1457" i="3" s="1"/>
  <c r="S1453" i="3"/>
  <c r="U1453" i="3" s="1"/>
  <c r="S1449" i="3"/>
  <c r="U1449" i="3" s="1"/>
  <c r="U1445" i="3"/>
  <c r="S1445" i="3"/>
  <c r="S1441" i="3"/>
  <c r="U1441" i="3" s="1"/>
  <c r="S1437" i="3"/>
  <c r="U1437" i="3" s="1"/>
  <c r="S1433" i="3"/>
  <c r="U1433" i="3" s="1"/>
  <c r="S1429" i="3"/>
  <c r="U1429" i="3" s="1"/>
  <c r="S1425" i="3"/>
  <c r="U1425" i="3" s="1"/>
  <c r="S1421" i="3"/>
  <c r="U1421" i="3" s="1"/>
  <c r="S1417" i="3"/>
  <c r="U1417" i="3" s="1"/>
  <c r="S1413" i="3"/>
  <c r="U1413" i="3" s="1"/>
  <c r="S1409" i="3"/>
  <c r="U1409" i="3" s="1"/>
  <c r="S1405" i="3"/>
  <c r="U1405" i="3" s="1"/>
  <c r="S1401" i="3"/>
  <c r="U1401" i="3" s="1"/>
  <c r="U1397" i="3"/>
  <c r="S1397" i="3"/>
  <c r="S1393" i="3"/>
  <c r="U1393" i="3" s="1"/>
  <c r="S1389" i="3"/>
  <c r="U1389" i="3" s="1"/>
  <c r="S1385" i="3"/>
  <c r="U1385" i="3" s="1"/>
  <c r="U1381" i="3"/>
  <c r="S1381" i="3"/>
  <c r="S1377" i="3"/>
  <c r="U1377" i="3" s="1"/>
  <c r="U1373" i="3"/>
  <c r="S1373" i="3"/>
  <c r="S1369" i="3"/>
  <c r="U1369" i="3" s="1"/>
  <c r="S1365" i="3"/>
  <c r="U1365" i="3" s="1"/>
  <c r="S1361" i="3"/>
  <c r="U1361" i="3" s="1"/>
  <c r="S1357" i="3"/>
  <c r="U1357" i="3" s="1"/>
  <c r="S1353" i="3"/>
  <c r="U1353" i="3" s="1"/>
  <c r="U1349" i="3"/>
  <c r="S1349" i="3"/>
  <c r="S1345" i="3"/>
  <c r="U1345" i="3" s="1"/>
  <c r="U1341" i="3"/>
  <c r="S1341" i="3"/>
  <c r="S1337" i="3"/>
  <c r="U1337" i="3" s="1"/>
  <c r="U1333" i="3"/>
  <c r="S1333" i="3"/>
  <c r="S1329" i="3"/>
  <c r="U1329" i="3" s="1"/>
  <c r="U1325" i="3"/>
  <c r="S1325" i="3"/>
  <c r="S1321" i="3"/>
  <c r="U1321" i="3" s="1"/>
  <c r="U1317" i="3"/>
  <c r="S1317" i="3"/>
  <c r="S1313" i="3"/>
  <c r="U1313" i="3" s="1"/>
  <c r="U1309" i="3"/>
  <c r="S1309" i="3"/>
  <c r="S1305" i="3"/>
  <c r="U1305" i="3" s="1"/>
  <c r="U1301" i="3"/>
  <c r="S1301" i="3"/>
  <c r="S1297" i="3"/>
  <c r="U1297" i="3" s="1"/>
  <c r="U1293" i="3"/>
  <c r="S1293" i="3"/>
  <c r="S1289" i="3"/>
  <c r="U1289" i="3" s="1"/>
  <c r="U1285" i="3"/>
  <c r="S1285" i="3"/>
  <c r="S1281" i="3"/>
  <c r="U1281" i="3" s="1"/>
  <c r="U1277" i="3"/>
  <c r="S1277" i="3"/>
  <c r="S1273" i="3"/>
  <c r="U1273" i="3" s="1"/>
  <c r="U1269" i="3"/>
  <c r="S1269" i="3"/>
  <c r="S1265" i="3"/>
  <c r="U1265" i="3" s="1"/>
  <c r="U1261" i="3"/>
  <c r="S1261" i="3"/>
  <c r="S1257" i="3"/>
  <c r="U1257" i="3" s="1"/>
  <c r="U1253" i="3"/>
  <c r="S1253" i="3"/>
  <c r="S1249" i="3"/>
  <c r="U1249" i="3" s="1"/>
  <c r="U1245" i="3"/>
  <c r="S1245" i="3"/>
  <c r="S1241" i="3"/>
  <c r="U1241" i="3" s="1"/>
  <c r="U1237" i="3"/>
  <c r="S1237" i="3"/>
  <c r="S1233" i="3"/>
  <c r="U1233" i="3" s="1"/>
  <c r="U1229" i="3"/>
  <c r="S1229" i="3"/>
  <c r="S1225" i="3"/>
  <c r="U1225" i="3" s="1"/>
  <c r="U1221" i="3"/>
  <c r="S1221" i="3"/>
  <c r="S1217" i="3"/>
  <c r="U1217" i="3" s="1"/>
  <c r="U1213" i="3"/>
  <c r="S1213" i="3"/>
  <c r="S1209" i="3"/>
  <c r="U1209" i="3" s="1"/>
  <c r="U1205" i="3"/>
  <c r="S1205" i="3"/>
  <c r="S1201" i="3"/>
  <c r="U1201" i="3" s="1"/>
  <c r="U1197" i="3"/>
  <c r="S1197" i="3"/>
  <c r="S1193" i="3"/>
  <c r="U1193" i="3" s="1"/>
  <c r="U1189" i="3"/>
  <c r="S1189" i="3"/>
  <c r="S1185" i="3"/>
  <c r="U1185" i="3" s="1"/>
  <c r="U1181" i="3"/>
  <c r="S1181" i="3"/>
  <c r="S1177" i="3"/>
  <c r="U1177" i="3" s="1"/>
  <c r="U1173" i="3"/>
  <c r="S1173" i="3"/>
  <c r="S1169" i="3"/>
  <c r="U1169" i="3" s="1"/>
  <c r="U1165" i="3"/>
  <c r="S1165" i="3"/>
  <c r="S1161" i="3"/>
  <c r="U1161" i="3" s="1"/>
  <c r="U1157" i="3"/>
  <c r="S1157" i="3"/>
  <c r="S1153" i="3"/>
  <c r="U1153" i="3" s="1"/>
  <c r="U1149" i="3"/>
  <c r="S1149" i="3"/>
  <c r="S1145" i="3"/>
  <c r="U1145" i="3" s="1"/>
  <c r="U1141" i="3"/>
  <c r="S1141" i="3"/>
  <c r="S1137" i="3"/>
  <c r="U1137" i="3" s="1"/>
  <c r="U1133" i="3"/>
  <c r="S1133" i="3"/>
  <c r="S1129" i="3"/>
  <c r="U1129" i="3" s="1"/>
  <c r="S1125" i="3"/>
  <c r="U1125" i="3" s="1"/>
  <c r="U1121" i="3"/>
  <c r="S1121" i="3"/>
  <c r="S1117" i="3"/>
  <c r="U1117" i="3" s="1"/>
  <c r="U1113" i="3"/>
  <c r="S1113" i="3"/>
  <c r="S1109" i="3"/>
  <c r="U1109" i="3" s="1"/>
  <c r="U1105" i="3"/>
  <c r="S1105" i="3"/>
  <c r="S1101" i="3"/>
  <c r="U1101" i="3" s="1"/>
  <c r="U1097" i="3"/>
  <c r="S1097" i="3"/>
  <c r="S1093" i="3"/>
  <c r="U1093" i="3" s="1"/>
  <c r="U1089" i="3"/>
  <c r="S1089" i="3"/>
  <c r="S1085" i="3"/>
  <c r="U1085" i="3" s="1"/>
  <c r="U1081" i="3"/>
  <c r="S1081" i="3"/>
  <c r="S1077" i="3"/>
  <c r="U1077" i="3" s="1"/>
  <c r="U1073" i="3"/>
  <c r="S1073" i="3"/>
  <c r="S1069" i="3"/>
  <c r="U1069" i="3" s="1"/>
  <c r="U1065" i="3"/>
  <c r="S1065" i="3"/>
  <c r="S1061" i="3"/>
  <c r="U1061" i="3" s="1"/>
  <c r="U1057" i="3"/>
  <c r="S1057" i="3"/>
  <c r="S1053" i="3"/>
  <c r="U1053" i="3" s="1"/>
  <c r="U1049" i="3"/>
  <c r="S1049" i="3"/>
  <c r="S1045" i="3"/>
  <c r="U1045" i="3" s="1"/>
  <c r="S1041" i="3"/>
  <c r="U1041" i="3" s="1"/>
  <c r="S1037" i="3"/>
  <c r="U1037" i="3" s="1"/>
  <c r="S1033" i="3"/>
  <c r="U1033" i="3" s="1"/>
  <c r="S1029" i="3"/>
  <c r="U1029" i="3" s="1"/>
  <c r="S1025" i="3"/>
  <c r="U1025" i="3" s="1"/>
  <c r="S1021" i="3"/>
  <c r="U1021" i="3" s="1"/>
  <c r="S1017" i="3"/>
  <c r="U1017" i="3" s="1"/>
  <c r="S1013" i="3"/>
  <c r="U1013" i="3" s="1"/>
  <c r="U1009" i="3"/>
  <c r="S1009" i="3"/>
  <c r="S1005" i="3"/>
  <c r="U1005" i="3" s="1"/>
  <c r="U1001" i="3"/>
  <c r="S1001" i="3"/>
  <c r="S997" i="3"/>
  <c r="U997" i="3" s="1"/>
  <c r="U993" i="3"/>
  <c r="S993" i="3"/>
  <c r="S989" i="3"/>
  <c r="U989" i="3" s="1"/>
  <c r="S985" i="3"/>
  <c r="U985" i="3" s="1"/>
  <c r="S981" i="3"/>
  <c r="U981" i="3" s="1"/>
  <c r="S977" i="3"/>
  <c r="U977" i="3" s="1"/>
  <c r="U973" i="3"/>
  <c r="S973" i="3"/>
  <c r="S969" i="3"/>
  <c r="U969" i="3" s="1"/>
  <c r="U965" i="3"/>
  <c r="S965" i="3"/>
  <c r="S961" i="3"/>
  <c r="U961" i="3" s="1"/>
  <c r="U957" i="3"/>
  <c r="S957" i="3"/>
  <c r="S953" i="3"/>
  <c r="U953" i="3" s="1"/>
  <c r="S949" i="3"/>
  <c r="U949" i="3" s="1"/>
  <c r="S945" i="3"/>
  <c r="U945" i="3" s="1"/>
  <c r="S941" i="3"/>
  <c r="U941" i="3" s="1"/>
  <c r="S937" i="3"/>
  <c r="U937" i="3" s="1"/>
  <c r="S933" i="3"/>
  <c r="U933" i="3" s="1"/>
  <c r="S929" i="3"/>
  <c r="U929" i="3" s="1"/>
  <c r="S925" i="3"/>
  <c r="U925" i="3" s="1"/>
  <c r="S921" i="3"/>
  <c r="U921" i="3" s="1"/>
  <c r="U917" i="3"/>
  <c r="S917" i="3"/>
  <c r="S913" i="3"/>
  <c r="U913" i="3" s="1"/>
  <c r="U909" i="3"/>
  <c r="S909" i="3"/>
  <c r="S905" i="3"/>
  <c r="U905" i="3" s="1"/>
  <c r="U901" i="3"/>
  <c r="S901" i="3"/>
  <c r="S897" i="3"/>
  <c r="U897" i="3" s="1"/>
  <c r="U893" i="3"/>
  <c r="S893" i="3"/>
  <c r="S889" i="3"/>
  <c r="U889" i="3" s="1"/>
  <c r="U885" i="3"/>
  <c r="S885" i="3"/>
  <c r="S881" i="3"/>
  <c r="U881" i="3" s="1"/>
  <c r="U877" i="3"/>
  <c r="S877" i="3"/>
  <c r="S873" i="3"/>
  <c r="U873" i="3" s="1"/>
  <c r="U869" i="3"/>
  <c r="S869" i="3"/>
  <c r="S865" i="3"/>
  <c r="U865" i="3" s="1"/>
  <c r="U861" i="3"/>
  <c r="S861" i="3"/>
  <c r="S857" i="3"/>
  <c r="U857" i="3" s="1"/>
  <c r="U853" i="3"/>
  <c r="S853" i="3"/>
  <c r="S849" i="3"/>
  <c r="U849" i="3" s="1"/>
  <c r="U845" i="3"/>
  <c r="S845" i="3"/>
  <c r="S841" i="3"/>
  <c r="U841" i="3" s="1"/>
  <c r="U837" i="3"/>
  <c r="S837" i="3"/>
  <c r="S833" i="3"/>
  <c r="U833" i="3" s="1"/>
  <c r="U829" i="3"/>
  <c r="S829" i="3"/>
  <c r="S825" i="3"/>
  <c r="U825" i="3" s="1"/>
  <c r="U821" i="3"/>
  <c r="S821" i="3"/>
  <c r="S817" i="3"/>
  <c r="U817" i="3" s="1"/>
  <c r="U813" i="3"/>
  <c r="S813" i="3"/>
  <c r="S809" i="3"/>
  <c r="U809" i="3" s="1"/>
  <c r="U805" i="3"/>
  <c r="S805" i="3"/>
  <c r="S801" i="3"/>
  <c r="U801" i="3" s="1"/>
  <c r="U797" i="3"/>
  <c r="S797" i="3"/>
  <c r="S793" i="3"/>
  <c r="U793" i="3" s="1"/>
  <c r="U789" i="3"/>
  <c r="S789" i="3"/>
  <c r="U785" i="3"/>
  <c r="S785" i="3"/>
  <c r="U781" i="3"/>
  <c r="S781" i="3"/>
  <c r="U777" i="3"/>
  <c r="S777" i="3"/>
  <c r="U773" i="3"/>
  <c r="S773" i="3"/>
  <c r="U769" i="3"/>
  <c r="S769" i="3"/>
  <c r="U765" i="3"/>
  <c r="S765" i="3"/>
  <c r="U761" i="3"/>
  <c r="S761" i="3"/>
  <c r="U757" i="3"/>
  <c r="S757" i="3"/>
  <c r="U753" i="3"/>
  <c r="S753" i="3"/>
  <c r="U749" i="3"/>
  <c r="S749" i="3"/>
  <c r="U745" i="3"/>
  <c r="S745" i="3"/>
  <c r="U741" i="3"/>
  <c r="S741" i="3"/>
  <c r="U737" i="3"/>
  <c r="S737" i="3"/>
  <c r="U733" i="3"/>
  <c r="S733" i="3"/>
  <c r="U729" i="3"/>
  <c r="S729" i="3"/>
  <c r="U725" i="3"/>
  <c r="S725" i="3"/>
  <c r="U721" i="3"/>
  <c r="S721" i="3"/>
  <c r="U717" i="3"/>
  <c r="S717" i="3"/>
  <c r="U713" i="3"/>
  <c r="S713" i="3"/>
  <c r="U709" i="3"/>
  <c r="S709" i="3"/>
  <c r="U705" i="3"/>
  <c r="S705" i="3"/>
  <c r="S701" i="3"/>
  <c r="U701" i="3" s="1"/>
  <c r="S697" i="3"/>
  <c r="U697" i="3" s="1"/>
  <c r="S693" i="3"/>
  <c r="U693" i="3" s="1"/>
  <c r="S689" i="3"/>
  <c r="U689" i="3" s="1"/>
  <c r="S685" i="3"/>
  <c r="U685" i="3" s="1"/>
  <c r="S681" i="3"/>
  <c r="U681" i="3" s="1"/>
  <c r="S677" i="3"/>
  <c r="U677" i="3" s="1"/>
  <c r="S673" i="3"/>
  <c r="U673" i="3" s="1"/>
  <c r="S669" i="3"/>
  <c r="U669" i="3" s="1"/>
  <c r="S665" i="3"/>
  <c r="U665" i="3" s="1"/>
  <c r="S661" i="3"/>
  <c r="U661" i="3" s="1"/>
  <c r="S657" i="3"/>
  <c r="U657" i="3" s="1"/>
  <c r="S653" i="3"/>
  <c r="U653" i="3" s="1"/>
  <c r="S649" i="3"/>
  <c r="U649" i="3" s="1"/>
  <c r="S645" i="3"/>
  <c r="U645" i="3" s="1"/>
  <c r="S641" i="3"/>
  <c r="U641" i="3" s="1"/>
  <c r="S637" i="3"/>
  <c r="U637" i="3" s="1"/>
  <c r="S633" i="3"/>
  <c r="U633" i="3" s="1"/>
  <c r="S629" i="3"/>
  <c r="U629" i="3" s="1"/>
  <c r="S625" i="3"/>
  <c r="U625" i="3" s="1"/>
  <c r="S621" i="3"/>
  <c r="U621" i="3" s="1"/>
  <c r="S617" i="3"/>
  <c r="U617" i="3" s="1"/>
  <c r="S613" i="3"/>
  <c r="U613" i="3" s="1"/>
  <c r="S609" i="3"/>
  <c r="U609" i="3" s="1"/>
  <c r="S605" i="3"/>
  <c r="U605" i="3" s="1"/>
  <c r="S601" i="3"/>
  <c r="U601" i="3" s="1"/>
  <c r="S597" i="3"/>
  <c r="U597" i="3" s="1"/>
  <c r="U593" i="3"/>
  <c r="S593" i="3"/>
  <c r="S589" i="3"/>
  <c r="U589" i="3" s="1"/>
  <c r="U585" i="3"/>
  <c r="S585" i="3"/>
  <c r="S581" i="3"/>
  <c r="U581" i="3" s="1"/>
  <c r="U577" i="3"/>
  <c r="S577" i="3"/>
  <c r="S573" i="3"/>
  <c r="U573" i="3" s="1"/>
  <c r="U569" i="3"/>
  <c r="S569" i="3"/>
  <c r="S565" i="3"/>
  <c r="U565" i="3" s="1"/>
  <c r="U561" i="3"/>
  <c r="S561" i="3"/>
  <c r="S557" i="3"/>
  <c r="U557" i="3" s="1"/>
  <c r="U553" i="3"/>
  <c r="S553" i="3"/>
  <c r="S549" i="3"/>
  <c r="U549" i="3" s="1"/>
  <c r="S545" i="3"/>
  <c r="U545" i="3" s="1"/>
  <c r="S541" i="3"/>
  <c r="U541" i="3" s="1"/>
  <c r="S537" i="3"/>
  <c r="U537" i="3" s="1"/>
  <c r="S533" i="3"/>
  <c r="U533" i="3" s="1"/>
  <c r="S529" i="3"/>
  <c r="U529" i="3" s="1"/>
  <c r="S525" i="3"/>
  <c r="U525" i="3" s="1"/>
  <c r="S521" i="3"/>
  <c r="U521" i="3" s="1"/>
  <c r="S517" i="3"/>
  <c r="U517" i="3" s="1"/>
  <c r="S513" i="3"/>
  <c r="U513" i="3" s="1"/>
  <c r="S509" i="3"/>
  <c r="U509" i="3" s="1"/>
  <c r="S505" i="3"/>
  <c r="U505" i="3" s="1"/>
  <c r="S501" i="3"/>
  <c r="U501" i="3" s="1"/>
  <c r="S497" i="3"/>
  <c r="U497" i="3" s="1"/>
  <c r="S493" i="3"/>
  <c r="U493" i="3" s="1"/>
  <c r="S489" i="3"/>
  <c r="U489" i="3" s="1"/>
  <c r="S485" i="3"/>
  <c r="U485" i="3" s="1"/>
  <c r="S481" i="3"/>
  <c r="U481" i="3" s="1"/>
  <c r="S477" i="3"/>
  <c r="U477" i="3" s="1"/>
  <c r="S473" i="3"/>
  <c r="U473" i="3" s="1"/>
  <c r="S469" i="3"/>
  <c r="U469" i="3" s="1"/>
  <c r="S465" i="3"/>
  <c r="U465" i="3" s="1"/>
  <c r="S461" i="3"/>
  <c r="U461" i="3" s="1"/>
  <c r="S457" i="3"/>
  <c r="U457" i="3" s="1"/>
  <c r="S453" i="3"/>
  <c r="U453" i="3" s="1"/>
  <c r="S449" i="3"/>
  <c r="U449" i="3" s="1"/>
  <c r="S445" i="3"/>
  <c r="U445" i="3" s="1"/>
  <c r="S441" i="3"/>
  <c r="U441" i="3" s="1"/>
  <c r="S437" i="3"/>
  <c r="U437" i="3" s="1"/>
  <c r="U433" i="3"/>
  <c r="S433" i="3"/>
  <c r="S429" i="3"/>
  <c r="U429" i="3" s="1"/>
  <c r="U425" i="3"/>
  <c r="S425" i="3"/>
  <c r="S421" i="3"/>
  <c r="U421" i="3" s="1"/>
  <c r="U417" i="3"/>
  <c r="S417" i="3"/>
  <c r="S413" i="3"/>
  <c r="U413" i="3" s="1"/>
  <c r="U409" i="3"/>
  <c r="S409" i="3"/>
  <c r="S405" i="3"/>
  <c r="U405" i="3" s="1"/>
  <c r="U401" i="3"/>
  <c r="S401" i="3"/>
  <c r="S397" i="3"/>
  <c r="U397" i="3" s="1"/>
  <c r="U393" i="3"/>
  <c r="S393" i="3"/>
  <c r="S389" i="3"/>
  <c r="U389" i="3" s="1"/>
  <c r="U385" i="3"/>
  <c r="S385" i="3"/>
  <c r="S381" i="3"/>
  <c r="U381" i="3" s="1"/>
  <c r="S377" i="3"/>
  <c r="U377" i="3" s="1"/>
  <c r="S373" i="3"/>
  <c r="U373" i="3" s="1"/>
  <c r="S369" i="3"/>
  <c r="U369" i="3" s="1"/>
  <c r="S365" i="3"/>
  <c r="U365" i="3" s="1"/>
  <c r="S361" i="3"/>
  <c r="U361" i="3" s="1"/>
  <c r="S357" i="3"/>
  <c r="U357" i="3" s="1"/>
  <c r="S353" i="3"/>
  <c r="U353" i="3" s="1"/>
  <c r="S349" i="3"/>
  <c r="U349" i="3" s="1"/>
  <c r="S345" i="3"/>
  <c r="U345" i="3" s="1"/>
  <c r="S341" i="3"/>
  <c r="U341" i="3" s="1"/>
  <c r="S337" i="3"/>
  <c r="U337" i="3" s="1"/>
  <c r="S333" i="3"/>
  <c r="U333" i="3" s="1"/>
  <c r="S329" i="3"/>
  <c r="U329" i="3" s="1"/>
  <c r="S325" i="3"/>
  <c r="U325" i="3" s="1"/>
  <c r="S321" i="3"/>
  <c r="U321" i="3" s="1"/>
  <c r="S317" i="3"/>
  <c r="U317" i="3" s="1"/>
  <c r="S313" i="3"/>
  <c r="U313" i="3" s="1"/>
  <c r="S309" i="3"/>
  <c r="U309" i="3" s="1"/>
  <c r="S305" i="3"/>
  <c r="U305" i="3" s="1"/>
  <c r="U301" i="3"/>
  <c r="S301" i="3"/>
  <c r="S297" i="3"/>
  <c r="U297" i="3" s="1"/>
  <c r="S293" i="3"/>
  <c r="U293" i="3" s="1"/>
  <c r="S289" i="3"/>
  <c r="U289" i="3" s="1"/>
  <c r="S285" i="3"/>
  <c r="U285" i="3" s="1"/>
  <c r="S281" i="3"/>
  <c r="U281" i="3" s="1"/>
  <c r="U277" i="3"/>
  <c r="S277" i="3"/>
  <c r="U273" i="3"/>
  <c r="S273" i="3"/>
  <c r="S269" i="3"/>
  <c r="U269" i="3" s="1"/>
  <c r="S265" i="3"/>
  <c r="U265" i="3" s="1"/>
  <c r="S261" i="3"/>
  <c r="U261" i="3" s="1"/>
  <c r="S257" i="3"/>
  <c r="U257" i="3" s="1"/>
  <c r="S253" i="3"/>
  <c r="U253" i="3" s="1"/>
  <c r="S249" i="3"/>
  <c r="U249" i="3" s="1"/>
  <c r="S245" i="3"/>
  <c r="U245" i="3" s="1"/>
  <c r="S241" i="3"/>
  <c r="U241" i="3" s="1"/>
  <c r="S237" i="3"/>
  <c r="U237" i="3" s="1"/>
  <c r="S233" i="3"/>
  <c r="U233" i="3" s="1"/>
  <c r="S229" i="3"/>
  <c r="U229" i="3" s="1"/>
  <c r="S225" i="3"/>
  <c r="U225" i="3" s="1"/>
  <c r="S221" i="3"/>
  <c r="U221" i="3" s="1"/>
  <c r="S217" i="3"/>
  <c r="U217" i="3" s="1"/>
  <c r="S213" i="3"/>
  <c r="U213" i="3" s="1"/>
  <c r="S209" i="3"/>
  <c r="U209" i="3" s="1"/>
  <c r="S205" i="3"/>
  <c r="U205" i="3" s="1"/>
  <c r="S201" i="3"/>
  <c r="U201" i="3" s="1"/>
  <c r="S197" i="3"/>
  <c r="U197" i="3" s="1"/>
  <c r="S193" i="3"/>
  <c r="U193" i="3" s="1"/>
  <c r="S189" i="3"/>
  <c r="U189" i="3" s="1"/>
  <c r="S185" i="3"/>
  <c r="U185" i="3" s="1"/>
  <c r="S181" i="3"/>
  <c r="U181" i="3" s="1"/>
  <c r="S177" i="3"/>
  <c r="U177" i="3" s="1"/>
  <c r="S173" i="3"/>
  <c r="U173" i="3" s="1"/>
  <c r="S169" i="3"/>
  <c r="U169" i="3" s="1"/>
  <c r="S165" i="3"/>
  <c r="U165" i="3" s="1"/>
  <c r="S161" i="3"/>
  <c r="U161" i="3" s="1"/>
  <c r="S157" i="3"/>
  <c r="U157" i="3" s="1"/>
  <c r="S153" i="3"/>
  <c r="U153" i="3" s="1"/>
  <c r="S149" i="3"/>
  <c r="U149" i="3" s="1"/>
  <c r="S145" i="3"/>
  <c r="U145" i="3" s="1"/>
  <c r="S141" i="3"/>
  <c r="U141" i="3" s="1"/>
  <c r="S137" i="3"/>
  <c r="U137" i="3" s="1"/>
  <c r="S133" i="3"/>
  <c r="U133" i="3" s="1"/>
  <c r="S129" i="3"/>
  <c r="U129" i="3" s="1"/>
  <c r="S125" i="3"/>
  <c r="U125" i="3" s="1"/>
  <c r="S121" i="3"/>
  <c r="U121" i="3" s="1"/>
  <c r="S117" i="3"/>
  <c r="U117" i="3" s="1"/>
  <c r="S113" i="3"/>
  <c r="U113" i="3" s="1"/>
  <c r="S109" i="3"/>
  <c r="U109" i="3" s="1"/>
  <c r="S105" i="3"/>
  <c r="U105" i="3" s="1"/>
  <c r="S101" i="3"/>
  <c r="U101" i="3" s="1"/>
  <c r="S97" i="3"/>
  <c r="U97" i="3" s="1"/>
  <c r="S93" i="3"/>
  <c r="U93" i="3" s="1"/>
  <c r="S89" i="3"/>
  <c r="U89" i="3" s="1"/>
  <c r="S85" i="3"/>
  <c r="U85" i="3" s="1"/>
  <c r="S81" i="3"/>
  <c r="U81" i="3" s="1"/>
  <c r="S77" i="3"/>
  <c r="U77" i="3" s="1"/>
  <c r="S73" i="3"/>
  <c r="U73" i="3" s="1"/>
  <c r="S69" i="3"/>
  <c r="U69" i="3" s="1"/>
  <c r="S65" i="3"/>
  <c r="U65" i="3" s="1"/>
  <c r="S61" i="3"/>
  <c r="U61" i="3" s="1"/>
  <c r="S57" i="3"/>
  <c r="U57" i="3" s="1"/>
  <c r="S53" i="3"/>
  <c r="U53" i="3" s="1"/>
  <c r="S49" i="3"/>
  <c r="U49" i="3" s="1"/>
  <c r="S45" i="3"/>
  <c r="U45" i="3" s="1"/>
  <c r="S41" i="3"/>
  <c r="U41" i="3" s="1"/>
  <c r="S37" i="3"/>
  <c r="U37" i="3" s="1"/>
  <c r="S33" i="3"/>
  <c r="U33" i="3" s="1"/>
  <c r="S29" i="3"/>
  <c r="U29" i="3" s="1"/>
  <c r="S25" i="3"/>
  <c r="U25" i="3" s="1"/>
  <c r="S21" i="3"/>
  <c r="U21" i="3" s="1"/>
  <c r="S17" i="3"/>
  <c r="U17" i="3" s="1"/>
  <c r="S13" i="3"/>
  <c r="U13" i="3" s="1"/>
  <c r="S9" i="3"/>
  <c r="U9" i="3" s="1"/>
  <c r="S5" i="3"/>
  <c r="U5" i="3" s="1"/>
  <c r="S1523" i="3"/>
  <c r="U1523" i="3" s="1"/>
  <c r="S1519" i="3"/>
  <c r="U1519" i="3" s="1"/>
  <c r="S1515" i="3"/>
  <c r="U1515" i="3" s="1"/>
  <c r="S1511" i="3"/>
  <c r="U1511" i="3" s="1"/>
  <c r="S1507" i="3"/>
  <c r="U1507" i="3" s="1"/>
  <c r="S1504" i="3"/>
  <c r="U1504" i="3" s="1"/>
  <c r="S1500" i="3"/>
  <c r="U1500" i="3" s="1"/>
  <c r="S1496" i="3"/>
  <c r="U1496" i="3" s="1"/>
  <c r="S1492" i="3"/>
  <c r="U1492" i="3" s="1"/>
  <c r="S1488" i="3"/>
  <c r="U1488" i="3" s="1"/>
  <c r="U1484" i="3"/>
  <c r="S1484" i="3"/>
  <c r="U1480" i="3"/>
  <c r="S1480" i="3"/>
  <c r="U1476" i="3"/>
  <c r="S1476" i="3"/>
  <c r="U1472" i="3"/>
  <c r="S1472" i="3"/>
  <c r="U1468" i="3"/>
  <c r="S1468" i="3"/>
  <c r="S1464" i="3"/>
  <c r="U1464" i="3" s="1"/>
  <c r="U1460" i="3"/>
  <c r="S1460" i="3"/>
  <c r="S1456" i="3"/>
  <c r="U1456" i="3" s="1"/>
  <c r="U1452" i="3"/>
  <c r="S1452" i="3"/>
  <c r="S1448" i="3"/>
  <c r="U1448" i="3" s="1"/>
  <c r="U1444" i="3"/>
  <c r="S1444" i="3"/>
  <c r="S1440" i="3"/>
  <c r="U1440" i="3" s="1"/>
  <c r="U1436" i="3"/>
  <c r="S1436" i="3"/>
  <c r="S1432" i="3"/>
  <c r="U1432" i="3" s="1"/>
  <c r="U1428" i="3"/>
  <c r="S1428" i="3"/>
  <c r="S1424" i="3"/>
  <c r="U1424" i="3" s="1"/>
  <c r="U1420" i="3"/>
  <c r="S1420" i="3"/>
  <c r="U1416" i="3"/>
  <c r="S1416" i="3"/>
  <c r="U1412" i="3"/>
  <c r="S1412" i="3"/>
  <c r="S1408" i="3"/>
  <c r="U1408" i="3" s="1"/>
  <c r="U1404" i="3"/>
  <c r="S1404" i="3"/>
  <c r="S1400" i="3"/>
  <c r="U1400" i="3" s="1"/>
  <c r="U1396" i="3"/>
  <c r="S1396" i="3"/>
  <c r="S1392" i="3"/>
  <c r="U1392" i="3" s="1"/>
  <c r="U1388" i="3"/>
  <c r="S1388" i="3"/>
  <c r="S1384" i="3"/>
  <c r="U1384" i="3" s="1"/>
  <c r="U1380" i="3"/>
  <c r="S1380" i="3"/>
  <c r="S1376" i="3"/>
  <c r="U1376" i="3" s="1"/>
  <c r="U1372" i="3"/>
  <c r="S1372" i="3"/>
  <c r="S1368" i="3"/>
  <c r="U1368" i="3" s="1"/>
  <c r="S1364" i="3"/>
  <c r="U1364" i="3" s="1"/>
  <c r="S1360" i="3"/>
  <c r="U1360" i="3" s="1"/>
  <c r="S1356" i="3"/>
  <c r="U1356" i="3" s="1"/>
  <c r="S1352" i="3"/>
  <c r="U1352" i="3" s="1"/>
  <c r="S1348" i="3"/>
  <c r="U1348" i="3" s="1"/>
  <c r="S1344" i="3"/>
  <c r="U1344" i="3" s="1"/>
  <c r="S1340" i="3"/>
  <c r="U1340" i="3" s="1"/>
  <c r="S1336" i="3"/>
  <c r="U1336" i="3" s="1"/>
  <c r="S1332" i="3"/>
  <c r="U1332" i="3" s="1"/>
  <c r="S1328" i="3"/>
  <c r="U1328" i="3" s="1"/>
  <c r="S1324" i="3"/>
  <c r="U1324" i="3" s="1"/>
  <c r="S1320" i="3"/>
  <c r="U1320" i="3" s="1"/>
  <c r="S1316" i="3"/>
  <c r="U1316" i="3" s="1"/>
  <c r="S1312" i="3"/>
  <c r="U1312" i="3" s="1"/>
  <c r="S1308" i="3"/>
  <c r="U1308" i="3" s="1"/>
  <c r="S1304" i="3"/>
  <c r="U1304" i="3" s="1"/>
  <c r="S1300" i="3"/>
  <c r="U1300" i="3" s="1"/>
  <c r="S1296" i="3"/>
  <c r="U1296" i="3" s="1"/>
  <c r="S1292" i="3"/>
  <c r="U1292" i="3" s="1"/>
  <c r="S1288" i="3"/>
  <c r="U1288" i="3" s="1"/>
  <c r="S1284" i="3"/>
  <c r="U1284" i="3" s="1"/>
  <c r="S1280" i="3"/>
  <c r="U1280" i="3" s="1"/>
  <c r="S1276" i="3"/>
  <c r="U1276" i="3" s="1"/>
  <c r="S1272" i="3"/>
  <c r="U1272" i="3" s="1"/>
  <c r="S1268" i="3"/>
  <c r="U1268" i="3" s="1"/>
  <c r="S1264" i="3"/>
  <c r="U1264" i="3" s="1"/>
  <c r="S1260" i="3"/>
  <c r="U1260" i="3" s="1"/>
  <c r="S1256" i="3"/>
  <c r="U1256" i="3" s="1"/>
  <c r="S1252" i="3"/>
  <c r="U1252" i="3" s="1"/>
  <c r="S1248" i="3"/>
  <c r="U1248" i="3" s="1"/>
  <c r="S1244" i="3"/>
  <c r="U1244" i="3" s="1"/>
  <c r="S1240" i="3"/>
  <c r="U1240" i="3" s="1"/>
  <c r="S1236" i="3"/>
  <c r="U1236" i="3" s="1"/>
  <c r="S1232" i="3"/>
  <c r="U1232" i="3" s="1"/>
  <c r="S1228" i="3"/>
  <c r="U1228" i="3" s="1"/>
  <c r="S1224" i="3"/>
  <c r="U1224" i="3" s="1"/>
  <c r="S1220" i="3"/>
  <c r="U1220" i="3" s="1"/>
  <c r="S1216" i="3"/>
  <c r="U1216" i="3" s="1"/>
  <c r="S1212" i="3"/>
  <c r="U1212" i="3" s="1"/>
  <c r="S1208" i="3"/>
  <c r="U1208" i="3" s="1"/>
  <c r="S1204" i="3"/>
  <c r="U1204" i="3" s="1"/>
  <c r="S1200" i="3"/>
  <c r="U1200" i="3" s="1"/>
  <c r="S1196" i="3"/>
  <c r="U1196" i="3" s="1"/>
  <c r="S1192" i="3"/>
  <c r="U1192" i="3" s="1"/>
  <c r="S1188" i="3"/>
  <c r="U1188" i="3" s="1"/>
  <c r="S1184" i="3"/>
  <c r="U1184" i="3" s="1"/>
  <c r="S1180" i="3"/>
  <c r="U1180" i="3" s="1"/>
  <c r="S1176" i="3"/>
  <c r="U1176" i="3" s="1"/>
  <c r="S1172" i="3"/>
  <c r="U1172" i="3" s="1"/>
  <c r="S1168" i="3"/>
  <c r="U1168" i="3" s="1"/>
  <c r="S1164" i="3"/>
  <c r="U1164" i="3" s="1"/>
  <c r="S1160" i="3"/>
  <c r="U1160" i="3" s="1"/>
  <c r="S1156" i="3"/>
  <c r="U1156" i="3" s="1"/>
  <c r="S1152" i="3"/>
  <c r="U1152" i="3" s="1"/>
  <c r="S1148" i="3"/>
  <c r="U1148" i="3" s="1"/>
  <c r="S1144" i="3"/>
  <c r="U1144" i="3" s="1"/>
  <c r="S1140" i="3"/>
  <c r="U1140" i="3" s="1"/>
  <c r="S1136" i="3"/>
  <c r="U1136" i="3" s="1"/>
  <c r="S1132" i="3"/>
  <c r="U1132" i="3" s="1"/>
  <c r="S1128" i="3"/>
  <c r="U1128" i="3" s="1"/>
  <c r="S1124" i="3"/>
  <c r="U1124" i="3" s="1"/>
  <c r="S1120" i="3"/>
  <c r="U1120" i="3" s="1"/>
  <c r="S1116" i="3"/>
  <c r="U1116" i="3" s="1"/>
  <c r="S1112" i="3"/>
  <c r="U1112" i="3" s="1"/>
  <c r="S1108" i="3"/>
  <c r="U1108" i="3" s="1"/>
  <c r="S1104" i="3"/>
  <c r="U1104" i="3" s="1"/>
  <c r="S1100" i="3"/>
  <c r="U1100" i="3" s="1"/>
  <c r="S1096" i="3"/>
  <c r="U1096" i="3" s="1"/>
  <c r="S1092" i="3"/>
  <c r="U1092" i="3" s="1"/>
  <c r="S1088" i="3"/>
  <c r="U1088" i="3" s="1"/>
  <c r="S1084" i="3"/>
  <c r="U1084" i="3" s="1"/>
  <c r="S1080" i="3"/>
  <c r="U1080" i="3" s="1"/>
  <c r="S1076" i="3"/>
  <c r="U1076" i="3" s="1"/>
  <c r="S1072" i="3"/>
  <c r="U1072" i="3" s="1"/>
  <c r="S1068" i="3"/>
  <c r="U1068" i="3" s="1"/>
  <c r="S1064" i="3"/>
  <c r="U1064" i="3" s="1"/>
  <c r="S1060" i="3"/>
  <c r="U1060" i="3" s="1"/>
  <c r="S1056" i="3"/>
  <c r="U1056" i="3" s="1"/>
  <c r="S1052" i="3"/>
  <c r="U1052" i="3" s="1"/>
  <c r="S1048" i="3"/>
  <c r="U1048" i="3" s="1"/>
  <c r="S1044" i="3"/>
  <c r="U1044" i="3" s="1"/>
  <c r="S1040" i="3"/>
  <c r="U1040" i="3" s="1"/>
  <c r="S1036" i="3"/>
  <c r="U1036" i="3" s="1"/>
  <c r="S1032" i="3"/>
  <c r="U1032" i="3" s="1"/>
  <c r="S1028" i="3"/>
  <c r="U1028" i="3" s="1"/>
  <c r="S1024" i="3"/>
  <c r="U1024" i="3" s="1"/>
  <c r="S1020" i="3"/>
  <c r="U1020" i="3" s="1"/>
  <c r="S1016" i="3"/>
  <c r="U1016" i="3" s="1"/>
  <c r="S1012" i="3"/>
  <c r="U1012" i="3" s="1"/>
  <c r="S1008" i="3"/>
  <c r="U1008" i="3" s="1"/>
  <c r="S1004" i="3"/>
  <c r="U1004" i="3" s="1"/>
  <c r="S1000" i="3"/>
  <c r="U1000" i="3" s="1"/>
  <c r="S996" i="3"/>
  <c r="U996" i="3" s="1"/>
  <c r="S992" i="3"/>
  <c r="U992" i="3" s="1"/>
  <c r="S988" i="3"/>
  <c r="U988" i="3" s="1"/>
  <c r="S984" i="3"/>
  <c r="U984" i="3" s="1"/>
  <c r="S980" i="3"/>
  <c r="U980" i="3" s="1"/>
  <c r="S976" i="3"/>
  <c r="U976" i="3" s="1"/>
  <c r="S972" i="3"/>
  <c r="U972" i="3" s="1"/>
  <c r="S968" i="3"/>
  <c r="U968" i="3" s="1"/>
  <c r="S964" i="3"/>
  <c r="U964" i="3" s="1"/>
  <c r="S960" i="3"/>
  <c r="U960" i="3" s="1"/>
  <c r="S956" i="3"/>
  <c r="U956" i="3" s="1"/>
  <c r="S952" i="3"/>
  <c r="U952" i="3" s="1"/>
  <c r="S948" i="3"/>
  <c r="U948" i="3" s="1"/>
  <c r="S944" i="3"/>
  <c r="U944" i="3" s="1"/>
  <c r="S940" i="3"/>
  <c r="U940" i="3" s="1"/>
  <c r="S936" i="3"/>
  <c r="U936" i="3" s="1"/>
  <c r="S932" i="3"/>
  <c r="U932" i="3" s="1"/>
  <c r="S928" i="3"/>
  <c r="U928" i="3" s="1"/>
  <c r="S924" i="3"/>
  <c r="U924" i="3" s="1"/>
  <c r="S920" i="3"/>
  <c r="U920" i="3" s="1"/>
  <c r="S916" i="3"/>
  <c r="U916" i="3" s="1"/>
  <c r="S912" i="3"/>
  <c r="U912" i="3" s="1"/>
  <c r="S908" i="3"/>
  <c r="U908" i="3" s="1"/>
  <c r="S904" i="3"/>
  <c r="U904" i="3" s="1"/>
  <c r="S900" i="3"/>
  <c r="U900" i="3" s="1"/>
  <c r="S896" i="3"/>
  <c r="U896" i="3" s="1"/>
  <c r="S892" i="3"/>
  <c r="U892" i="3" s="1"/>
  <c r="S888" i="3"/>
  <c r="U888" i="3" s="1"/>
  <c r="S884" i="3"/>
  <c r="U884" i="3" s="1"/>
  <c r="S880" i="3"/>
  <c r="U880" i="3" s="1"/>
  <c r="S876" i="3"/>
  <c r="U876" i="3" s="1"/>
  <c r="S872" i="3"/>
  <c r="U872" i="3" s="1"/>
  <c r="S868" i="3"/>
  <c r="U868" i="3" s="1"/>
  <c r="S864" i="3"/>
  <c r="U864" i="3" s="1"/>
  <c r="S860" i="3"/>
  <c r="U860" i="3" s="1"/>
  <c r="S856" i="3"/>
  <c r="U856" i="3" s="1"/>
  <c r="S852" i="3"/>
  <c r="U852" i="3" s="1"/>
  <c r="S848" i="3"/>
  <c r="U848" i="3" s="1"/>
  <c r="S844" i="3"/>
  <c r="U844" i="3" s="1"/>
  <c r="S840" i="3"/>
  <c r="U840" i="3" s="1"/>
  <c r="S836" i="3"/>
  <c r="U836" i="3" s="1"/>
  <c r="S832" i="3"/>
  <c r="U832" i="3" s="1"/>
  <c r="S828" i="3"/>
  <c r="U828" i="3" s="1"/>
  <c r="S824" i="3"/>
  <c r="U824" i="3" s="1"/>
  <c r="S820" i="3"/>
  <c r="U820" i="3" s="1"/>
  <c r="S816" i="3"/>
  <c r="U816" i="3" s="1"/>
  <c r="S812" i="3"/>
  <c r="U812" i="3" s="1"/>
  <c r="S808" i="3"/>
  <c r="U808" i="3" s="1"/>
  <c r="S804" i="3"/>
  <c r="U804" i="3" s="1"/>
  <c r="S800" i="3"/>
  <c r="U800" i="3" s="1"/>
  <c r="S796" i="3"/>
  <c r="U796" i="3" s="1"/>
  <c r="S792" i="3"/>
  <c r="U792" i="3" s="1"/>
  <c r="U788" i="3"/>
  <c r="S788" i="3"/>
  <c r="U784" i="3"/>
  <c r="S784" i="3"/>
  <c r="U780" i="3"/>
  <c r="S780" i="3"/>
  <c r="U776" i="3"/>
  <c r="S776" i="3"/>
  <c r="U772" i="3"/>
  <c r="S772" i="3"/>
  <c r="U768" i="3"/>
  <c r="S768" i="3"/>
  <c r="U764" i="3"/>
  <c r="S764" i="3"/>
  <c r="U760" i="3"/>
  <c r="S760" i="3"/>
  <c r="U756" i="3"/>
  <c r="S756" i="3"/>
  <c r="U752" i="3"/>
  <c r="S752" i="3"/>
  <c r="U748" i="3"/>
  <c r="S748" i="3"/>
  <c r="U744" i="3"/>
  <c r="S744" i="3"/>
  <c r="U740" i="3"/>
  <c r="S740" i="3"/>
  <c r="U736" i="3"/>
  <c r="S736" i="3"/>
  <c r="U732" i="3"/>
  <c r="S732" i="3"/>
  <c r="U728" i="3"/>
  <c r="S728" i="3"/>
  <c r="U724" i="3"/>
  <c r="S724" i="3"/>
  <c r="U720" i="3"/>
  <c r="S720" i="3"/>
  <c r="U716" i="3"/>
  <c r="S716" i="3"/>
  <c r="U712" i="3"/>
  <c r="S712" i="3"/>
  <c r="U708" i="3"/>
  <c r="S708" i="3"/>
  <c r="S704" i="3"/>
  <c r="U704" i="3" s="1"/>
  <c r="U700" i="3"/>
  <c r="S700" i="3"/>
  <c r="S696" i="3"/>
  <c r="U696" i="3" s="1"/>
  <c r="S692" i="3"/>
  <c r="U692" i="3" s="1"/>
  <c r="S688" i="3"/>
  <c r="U688" i="3" s="1"/>
  <c r="S684" i="3"/>
  <c r="U684" i="3" s="1"/>
  <c r="S680" i="3"/>
  <c r="U680" i="3" s="1"/>
  <c r="U676" i="3"/>
  <c r="S676" i="3"/>
  <c r="S672" i="3"/>
  <c r="U672" i="3" s="1"/>
  <c r="U668" i="3"/>
  <c r="S668" i="3"/>
  <c r="S664" i="3"/>
  <c r="U664" i="3" s="1"/>
  <c r="S660" i="3"/>
  <c r="U660" i="3" s="1"/>
  <c r="S656" i="3"/>
  <c r="U656" i="3" s="1"/>
  <c r="S652" i="3"/>
  <c r="U652" i="3" s="1"/>
  <c r="S648" i="3"/>
  <c r="U648" i="3" s="1"/>
  <c r="U644" i="3"/>
  <c r="S644" i="3"/>
  <c r="S640" i="3"/>
  <c r="U640" i="3" s="1"/>
  <c r="U636" i="3"/>
  <c r="S636" i="3"/>
  <c r="S632" i="3"/>
  <c r="U632" i="3" s="1"/>
  <c r="S628" i="3"/>
  <c r="U628" i="3" s="1"/>
  <c r="S624" i="3"/>
  <c r="U624" i="3" s="1"/>
  <c r="S620" i="3"/>
  <c r="U620" i="3" s="1"/>
  <c r="S616" i="3"/>
  <c r="U616" i="3" s="1"/>
  <c r="U612" i="3"/>
  <c r="S612" i="3"/>
  <c r="S608" i="3"/>
  <c r="U608" i="3" s="1"/>
  <c r="U604" i="3"/>
  <c r="S604" i="3"/>
  <c r="S600" i="3"/>
  <c r="U600" i="3" s="1"/>
  <c r="S596" i="3"/>
  <c r="U596" i="3" s="1"/>
  <c r="S592" i="3"/>
  <c r="U592" i="3" s="1"/>
  <c r="S588" i="3"/>
  <c r="U588" i="3" s="1"/>
  <c r="S584" i="3"/>
  <c r="U584" i="3" s="1"/>
  <c r="U580" i="3"/>
  <c r="S580" i="3"/>
  <c r="S576" i="3"/>
  <c r="U576" i="3" s="1"/>
  <c r="U572" i="3"/>
  <c r="S572" i="3"/>
  <c r="S568" i="3"/>
  <c r="U568" i="3" s="1"/>
  <c r="S564" i="3"/>
  <c r="U564" i="3" s="1"/>
  <c r="S560" i="3"/>
  <c r="U560" i="3" s="1"/>
  <c r="S556" i="3"/>
  <c r="U556" i="3" s="1"/>
  <c r="S552" i="3"/>
  <c r="U552" i="3" s="1"/>
  <c r="U548" i="3"/>
  <c r="S548" i="3"/>
  <c r="S544" i="3"/>
  <c r="U544" i="3" s="1"/>
  <c r="U540" i="3"/>
  <c r="S540" i="3"/>
  <c r="S536" i="3"/>
  <c r="U536" i="3" s="1"/>
  <c r="S532" i="3"/>
  <c r="U532" i="3" s="1"/>
  <c r="S528" i="3"/>
  <c r="U528" i="3" s="1"/>
  <c r="S524" i="3"/>
  <c r="U524" i="3" s="1"/>
  <c r="S520" i="3"/>
  <c r="U520" i="3" s="1"/>
  <c r="U516" i="3"/>
  <c r="S516" i="3"/>
  <c r="S512" i="3"/>
  <c r="U512" i="3" s="1"/>
  <c r="U508" i="3"/>
  <c r="S508" i="3"/>
  <c r="S504" i="3"/>
  <c r="U504" i="3" s="1"/>
  <c r="S500" i="3"/>
  <c r="U500" i="3" s="1"/>
  <c r="S496" i="3"/>
  <c r="U496" i="3" s="1"/>
  <c r="S492" i="3"/>
  <c r="U492" i="3" s="1"/>
  <c r="S488" i="3"/>
  <c r="U488" i="3" s="1"/>
  <c r="U484" i="3"/>
  <c r="S484" i="3"/>
  <c r="S480" i="3"/>
  <c r="U480" i="3" s="1"/>
  <c r="U476" i="3"/>
  <c r="S476" i="3"/>
  <c r="S472" i="3"/>
  <c r="U472" i="3" s="1"/>
  <c r="S468" i="3"/>
  <c r="U468" i="3" s="1"/>
  <c r="S464" i="3"/>
  <c r="U464" i="3" s="1"/>
  <c r="S460" i="3"/>
  <c r="U460" i="3" s="1"/>
  <c r="S456" i="3"/>
  <c r="U456" i="3" s="1"/>
  <c r="U452" i="3"/>
  <c r="S452" i="3"/>
  <c r="S448" i="3"/>
  <c r="U448" i="3" s="1"/>
  <c r="U444" i="3"/>
  <c r="S444" i="3"/>
  <c r="S440" i="3"/>
  <c r="U440" i="3" s="1"/>
  <c r="S436" i="3"/>
  <c r="U436" i="3" s="1"/>
  <c r="S432" i="3"/>
  <c r="U432" i="3" s="1"/>
  <c r="S428" i="3"/>
  <c r="U428" i="3" s="1"/>
  <c r="S424" i="3"/>
  <c r="U424" i="3" s="1"/>
  <c r="U420" i="3"/>
  <c r="S420" i="3"/>
  <c r="S416" i="3"/>
  <c r="U416" i="3" s="1"/>
  <c r="U412" i="3"/>
  <c r="S412" i="3"/>
  <c r="S408" i="3"/>
  <c r="U408" i="3" s="1"/>
  <c r="S404" i="3"/>
  <c r="U404" i="3" s="1"/>
  <c r="S400" i="3"/>
  <c r="U400" i="3" s="1"/>
  <c r="S396" i="3"/>
  <c r="U396" i="3" s="1"/>
  <c r="S392" i="3"/>
  <c r="U392" i="3" s="1"/>
  <c r="U388" i="3"/>
  <c r="S388" i="3"/>
  <c r="S384" i="3"/>
  <c r="U384" i="3" s="1"/>
  <c r="U380" i="3"/>
  <c r="S380" i="3"/>
  <c r="S376" i="3"/>
  <c r="U376" i="3" s="1"/>
  <c r="S372" i="3"/>
  <c r="U372" i="3" s="1"/>
  <c r="S368" i="3"/>
  <c r="U368" i="3" s="1"/>
  <c r="S364" i="3"/>
  <c r="U364" i="3" s="1"/>
  <c r="S360" i="3"/>
  <c r="U360" i="3" s="1"/>
  <c r="U356" i="3"/>
  <c r="S356" i="3"/>
  <c r="S352" i="3"/>
  <c r="U352" i="3" s="1"/>
  <c r="U348" i="3"/>
  <c r="S348" i="3"/>
  <c r="S344" i="3"/>
  <c r="U344" i="3" s="1"/>
  <c r="S340" i="3"/>
  <c r="U340" i="3" s="1"/>
  <c r="S336" i="3"/>
  <c r="U336" i="3" s="1"/>
  <c r="S332" i="3"/>
  <c r="U332" i="3" s="1"/>
  <c r="S328" i="3"/>
  <c r="U328" i="3" s="1"/>
  <c r="U324" i="3"/>
  <c r="S324" i="3"/>
  <c r="S320" i="3"/>
  <c r="U320" i="3" s="1"/>
  <c r="U316" i="3"/>
  <c r="S316" i="3"/>
  <c r="S312" i="3"/>
  <c r="U312" i="3" s="1"/>
  <c r="S308" i="3"/>
  <c r="U308" i="3" s="1"/>
  <c r="S304" i="3"/>
  <c r="U304" i="3" s="1"/>
  <c r="U300" i="3"/>
  <c r="S300" i="3"/>
  <c r="S296" i="3"/>
  <c r="U296" i="3" s="1"/>
  <c r="U292" i="3"/>
  <c r="S292" i="3"/>
  <c r="S288" i="3"/>
  <c r="U288" i="3" s="1"/>
  <c r="U284" i="3"/>
  <c r="S284" i="3"/>
  <c r="S280" i="3"/>
  <c r="U280" i="3" s="1"/>
  <c r="U276" i="3"/>
  <c r="S276" i="3"/>
  <c r="U272" i="3"/>
  <c r="S272" i="3"/>
  <c r="S268" i="3"/>
  <c r="U268" i="3" s="1"/>
  <c r="S264" i="3"/>
  <c r="U264" i="3" s="1"/>
  <c r="S260" i="3"/>
  <c r="U260" i="3" s="1"/>
  <c r="S256" i="3"/>
  <c r="U256" i="3" s="1"/>
  <c r="U252" i="3"/>
  <c r="S252" i="3"/>
  <c r="S248" i="3"/>
  <c r="U248" i="3" s="1"/>
  <c r="U244" i="3"/>
  <c r="S244" i="3"/>
  <c r="S240" i="3"/>
  <c r="U240" i="3" s="1"/>
  <c r="S228" i="3"/>
  <c r="S200" i="3"/>
  <c r="S128" i="3"/>
  <c r="S100" i="3"/>
  <c r="S72" i="3"/>
  <c r="S1526" i="3"/>
  <c r="U1526" i="3" s="1"/>
  <c r="S1522" i="3"/>
  <c r="U1522" i="3" s="1"/>
  <c r="S1518" i="3"/>
  <c r="U1518" i="3" s="1"/>
  <c r="S1514" i="3"/>
  <c r="U1514" i="3" s="1"/>
  <c r="S1510" i="3"/>
  <c r="U1510" i="3" s="1"/>
  <c r="S1506" i="3"/>
  <c r="U1506" i="3" s="1"/>
  <c r="S1503" i="3"/>
  <c r="U1503" i="3" s="1"/>
  <c r="S1499" i="3"/>
  <c r="U1499" i="3" s="1"/>
  <c r="S1495" i="3"/>
  <c r="U1495" i="3" s="1"/>
  <c r="S1491" i="3"/>
  <c r="U1491" i="3" s="1"/>
  <c r="S1487" i="3"/>
  <c r="U1487" i="3" s="1"/>
  <c r="S1483" i="3"/>
  <c r="U1483" i="3" s="1"/>
  <c r="U1479" i="3"/>
  <c r="S1479" i="3"/>
  <c r="U1475" i="3"/>
  <c r="S1475" i="3"/>
  <c r="U1471" i="3"/>
  <c r="S1471" i="3"/>
  <c r="U1467" i="3"/>
  <c r="S1467" i="3"/>
  <c r="S1463" i="3"/>
  <c r="U1463" i="3" s="1"/>
  <c r="S1459" i="3"/>
  <c r="U1459" i="3" s="1"/>
  <c r="S1455" i="3"/>
  <c r="U1455" i="3" s="1"/>
  <c r="S1451" i="3"/>
  <c r="U1451" i="3" s="1"/>
  <c r="S1447" i="3"/>
  <c r="U1447" i="3" s="1"/>
  <c r="S1443" i="3"/>
  <c r="U1443" i="3" s="1"/>
  <c r="S1439" i="3"/>
  <c r="U1439" i="3" s="1"/>
  <c r="S1435" i="3"/>
  <c r="U1435" i="3" s="1"/>
  <c r="S1431" i="3"/>
  <c r="U1431" i="3" s="1"/>
  <c r="S1427" i="3"/>
  <c r="U1427" i="3" s="1"/>
  <c r="S1423" i="3"/>
  <c r="U1423" i="3" s="1"/>
  <c r="S1419" i="3"/>
  <c r="U1419" i="3" s="1"/>
  <c r="S1415" i="3"/>
  <c r="U1415" i="3" s="1"/>
  <c r="S1411" i="3"/>
  <c r="U1411" i="3" s="1"/>
  <c r="S1407" i="3"/>
  <c r="U1407" i="3" s="1"/>
  <c r="S1403" i="3"/>
  <c r="U1403" i="3" s="1"/>
  <c r="S1399" i="3"/>
  <c r="U1399" i="3" s="1"/>
  <c r="S1395" i="3"/>
  <c r="U1395" i="3" s="1"/>
  <c r="S1391" i="3"/>
  <c r="U1391" i="3" s="1"/>
  <c r="S1387" i="3"/>
  <c r="U1387" i="3" s="1"/>
  <c r="S1383" i="3"/>
  <c r="U1383" i="3" s="1"/>
  <c r="S1379" i="3"/>
  <c r="U1379" i="3" s="1"/>
  <c r="S1375" i="3"/>
  <c r="U1375" i="3" s="1"/>
  <c r="S1371" i="3"/>
  <c r="U1371" i="3" s="1"/>
  <c r="S1367" i="3"/>
  <c r="U1367" i="3" s="1"/>
  <c r="S1363" i="3"/>
  <c r="U1363" i="3" s="1"/>
  <c r="S1359" i="3"/>
  <c r="U1359" i="3" s="1"/>
  <c r="S1355" i="3"/>
  <c r="U1355" i="3" s="1"/>
  <c r="S1351" i="3"/>
  <c r="U1351" i="3" s="1"/>
  <c r="S1347" i="3"/>
  <c r="U1347" i="3" s="1"/>
  <c r="S1343" i="3"/>
  <c r="U1343" i="3" s="1"/>
  <c r="S1339" i="3"/>
  <c r="U1339" i="3" s="1"/>
  <c r="S1335" i="3"/>
  <c r="U1335" i="3" s="1"/>
  <c r="S1331" i="3"/>
  <c r="U1331" i="3" s="1"/>
  <c r="S1327" i="3"/>
  <c r="U1327" i="3" s="1"/>
  <c r="S1323" i="3"/>
  <c r="U1323" i="3" s="1"/>
  <c r="S1319" i="3"/>
  <c r="U1319" i="3" s="1"/>
  <c r="S1315" i="3"/>
  <c r="U1315" i="3" s="1"/>
  <c r="S1311" i="3"/>
  <c r="U1311" i="3" s="1"/>
  <c r="S1307" i="3"/>
  <c r="U1307" i="3" s="1"/>
  <c r="S1303" i="3"/>
  <c r="U1303" i="3" s="1"/>
  <c r="S1299" i="3"/>
  <c r="U1299" i="3" s="1"/>
  <c r="S1295" i="3"/>
  <c r="U1295" i="3" s="1"/>
  <c r="S1291" i="3"/>
  <c r="U1291" i="3" s="1"/>
  <c r="S1287" i="3"/>
  <c r="U1287" i="3" s="1"/>
  <c r="S1283" i="3"/>
  <c r="U1283" i="3" s="1"/>
  <c r="S1279" i="3"/>
  <c r="U1279" i="3" s="1"/>
  <c r="S1275" i="3"/>
  <c r="U1275" i="3" s="1"/>
  <c r="S1271" i="3"/>
  <c r="U1271" i="3" s="1"/>
  <c r="S1267" i="3"/>
  <c r="U1267" i="3" s="1"/>
  <c r="S1263" i="3"/>
  <c r="U1263" i="3" s="1"/>
  <c r="S1259" i="3"/>
  <c r="U1259" i="3" s="1"/>
  <c r="S1255" i="3"/>
  <c r="U1255" i="3" s="1"/>
  <c r="S1251" i="3"/>
  <c r="U1251" i="3" s="1"/>
  <c r="S1247" i="3"/>
  <c r="U1247" i="3" s="1"/>
  <c r="S1243" i="3"/>
  <c r="U1243" i="3" s="1"/>
  <c r="S1239" i="3"/>
  <c r="U1239" i="3" s="1"/>
  <c r="S1235" i="3"/>
  <c r="U1235" i="3" s="1"/>
  <c r="S1231" i="3"/>
  <c r="U1231" i="3" s="1"/>
  <c r="S1227" i="3"/>
  <c r="U1227" i="3" s="1"/>
  <c r="S1223" i="3"/>
  <c r="U1223" i="3" s="1"/>
  <c r="S1219" i="3"/>
  <c r="U1219" i="3" s="1"/>
  <c r="S1215" i="3"/>
  <c r="U1215" i="3" s="1"/>
  <c r="S1211" i="3"/>
  <c r="U1211" i="3" s="1"/>
  <c r="S1207" i="3"/>
  <c r="U1207" i="3" s="1"/>
  <c r="S1203" i="3"/>
  <c r="U1203" i="3" s="1"/>
  <c r="S1199" i="3"/>
  <c r="U1199" i="3" s="1"/>
  <c r="S1195" i="3"/>
  <c r="U1195" i="3" s="1"/>
  <c r="S1191" i="3"/>
  <c r="U1191" i="3" s="1"/>
  <c r="S1187" i="3"/>
  <c r="U1187" i="3" s="1"/>
  <c r="S1183" i="3"/>
  <c r="U1183" i="3" s="1"/>
  <c r="S1179" i="3"/>
  <c r="U1179" i="3" s="1"/>
  <c r="S1175" i="3"/>
  <c r="U1175" i="3" s="1"/>
  <c r="S1171" i="3"/>
  <c r="U1171" i="3" s="1"/>
  <c r="S1167" i="3"/>
  <c r="U1167" i="3" s="1"/>
  <c r="S1163" i="3"/>
  <c r="U1163" i="3" s="1"/>
  <c r="S1159" i="3"/>
  <c r="U1159" i="3" s="1"/>
  <c r="S1155" i="3"/>
  <c r="U1155" i="3" s="1"/>
  <c r="S1151" i="3"/>
  <c r="U1151" i="3" s="1"/>
  <c r="S1147" i="3"/>
  <c r="U1147" i="3" s="1"/>
  <c r="S1143" i="3"/>
  <c r="U1143" i="3" s="1"/>
  <c r="S1139" i="3"/>
  <c r="U1139" i="3" s="1"/>
  <c r="S1135" i="3"/>
  <c r="U1135" i="3" s="1"/>
  <c r="S1131" i="3"/>
  <c r="U1131" i="3" s="1"/>
  <c r="S1127" i="3"/>
  <c r="U1127" i="3" s="1"/>
  <c r="S1123" i="3"/>
  <c r="U1123" i="3" s="1"/>
  <c r="S1119" i="3"/>
  <c r="U1119" i="3" s="1"/>
  <c r="S1115" i="3"/>
  <c r="U1115" i="3" s="1"/>
  <c r="S1111" i="3"/>
  <c r="U1111" i="3" s="1"/>
  <c r="S1107" i="3"/>
  <c r="U1107" i="3" s="1"/>
  <c r="S1103" i="3"/>
  <c r="U1103" i="3" s="1"/>
  <c r="S1099" i="3"/>
  <c r="U1099" i="3" s="1"/>
  <c r="S1095" i="3"/>
  <c r="U1095" i="3" s="1"/>
  <c r="S1091" i="3"/>
  <c r="U1091" i="3" s="1"/>
  <c r="S1087" i="3"/>
  <c r="U1087" i="3" s="1"/>
  <c r="S1083" i="3"/>
  <c r="U1083" i="3" s="1"/>
  <c r="S1079" i="3"/>
  <c r="U1079" i="3" s="1"/>
  <c r="S1075" i="3"/>
  <c r="U1075" i="3" s="1"/>
  <c r="S1071" i="3"/>
  <c r="U1071" i="3" s="1"/>
  <c r="S1067" i="3"/>
  <c r="U1067" i="3" s="1"/>
  <c r="S1063" i="3"/>
  <c r="U1063" i="3" s="1"/>
  <c r="S1059" i="3"/>
  <c r="U1059" i="3" s="1"/>
  <c r="S1055" i="3"/>
  <c r="U1055" i="3" s="1"/>
  <c r="S1051" i="3"/>
  <c r="U1051" i="3" s="1"/>
  <c r="S1047" i="3"/>
  <c r="U1047" i="3" s="1"/>
  <c r="S1043" i="3"/>
  <c r="U1043" i="3" s="1"/>
  <c r="S1039" i="3"/>
  <c r="U1039" i="3" s="1"/>
  <c r="S1035" i="3"/>
  <c r="U1035" i="3" s="1"/>
  <c r="S1031" i="3"/>
  <c r="U1031" i="3" s="1"/>
  <c r="S1027" i="3"/>
  <c r="U1027" i="3" s="1"/>
  <c r="S1023" i="3"/>
  <c r="U1023" i="3" s="1"/>
  <c r="S1019" i="3"/>
  <c r="U1019" i="3" s="1"/>
  <c r="S1015" i="3"/>
  <c r="U1015" i="3" s="1"/>
  <c r="S1011" i="3"/>
  <c r="U1011" i="3" s="1"/>
  <c r="S1007" i="3"/>
  <c r="U1007" i="3" s="1"/>
  <c r="S1003" i="3"/>
  <c r="U1003" i="3" s="1"/>
  <c r="S999" i="3"/>
  <c r="U999" i="3" s="1"/>
  <c r="S995" i="3"/>
  <c r="U995" i="3" s="1"/>
  <c r="S991" i="3"/>
  <c r="U991" i="3" s="1"/>
  <c r="S987" i="3"/>
  <c r="U987" i="3" s="1"/>
  <c r="S983" i="3"/>
  <c r="U983" i="3" s="1"/>
  <c r="S979" i="3"/>
  <c r="U979" i="3" s="1"/>
  <c r="S975" i="3"/>
  <c r="U975" i="3" s="1"/>
  <c r="S971" i="3"/>
  <c r="U971" i="3" s="1"/>
  <c r="S967" i="3"/>
  <c r="U967" i="3" s="1"/>
  <c r="S963" i="3"/>
  <c r="U963" i="3" s="1"/>
  <c r="S959" i="3"/>
  <c r="U959" i="3" s="1"/>
  <c r="S955" i="3"/>
  <c r="U955" i="3" s="1"/>
  <c r="S951" i="3"/>
  <c r="U951" i="3" s="1"/>
  <c r="S947" i="3"/>
  <c r="U947" i="3" s="1"/>
  <c r="S943" i="3"/>
  <c r="U943" i="3" s="1"/>
  <c r="S939" i="3"/>
  <c r="U939" i="3" s="1"/>
  <c r="S935" i="3"/>
  <c r="U935" i="3" s="1"/>
  <c r="S931" i="3"/>
  <c r="U931" i="3" s="1"/>
  <c r="S927" i="3"/>
  <c r="U927" i="3" s="1"/>
  <c r="S923" i="3"/>
  <c r="U923" i="3" s="1"/>
  <c r="S919" i="3"/>
  <c r="U919" i="3" s="1"/>
  <c r="S915" i="3"/>
  <c r="U915" i="3" s="1"/>
  <c r="S911" i="3"/>
  <c r="U911" i="3" s="1"/>
  <c r="S907" i="3"/>
  <c r="U907" i="3" s="1"/>
  <c r="S903" i="3"/>
  <c r="U903" i="3" s="1"/>
  <c r="S899" i="3"/>
  <c r="U899" i="3" s="1"/>
  <c r="S895" i="3"/>
  <c r="U895" i="3" s="1"/>
  <c r="S891" i="3"/>
  <c r="U891" i="3" s="1"/>
  <c r="S887" i="3"/>
  <c r="U887" i="3" s="1"/>
  <c r="S883" i="3"/>
  <c r="U883" i="3" s="1"/>
  <c r="S879" i="3"/>
  <c r="U879" i="3" s="1"/>
  <c r="S875" i="3"/>
  <c r="U875" i="3" s="1"/>
  <c r="S871" i="3"/>
  <c r="U871" i="3" s="1"/>
  <c r="S867" i="3"/>
  <c r="U867" i="3" s="1"/>
  <c r="S863" i="3"/>
  <c r="U863" i="3" s="1"/>
  <c r="S859" i="3"/>
  <c r="U859" i="3" s="1"/>
  <c r="S855" i="3"/>
  <c r="U855" i="3" s="1"/>
  <c r="S851" i="3"/>
  <c r="U851" i="3" s="1"/>
  <c r="S847" i="3"/>
  <c r="U847" i="3" s="1"/>
  <c r="S843" i="3"/>
  <c r="U843" i="3" s="1"/>
  <c r="S839" i="3"/>
  <c r="U839" i="3" s="1"/>
  <c r="S835" i="3"/>
  <c r="U835" i="3" s="1"/>
  <c r="S831" i="3"/>
  <c r="U831" i="3" s="1"/>
  <c r="S827" i="3"/>
  <c r="U827" i="3" s="1"/>
  <c r="S823" i="3"/>
  <c r="U823" i="3" s="1"/>
  <c r="S819" i="3"/>
  <c r="U819" i="3" s="1"/>
  <c r="S815" i="3"/>
  <c r="U815" i="3" s="1"/>
  <c r="S811" i="3"/>
  <c r="U811" i="3" s="1"/>
  <c r="S807" i="3"/>
  <c r="U807" i="3" s="1"/>
  <c r="S803" i="3"/>
  <c r="U803" i="3" s="1"/>
  <c r="S799" i="3"/>
  <c r="U799" i="3" s="1"/>
  <c r="S795" i="3"/>
  <c r="U795" i="3" s="1"/>
  <c r="S791" i="3"/>
  <c r="U791" i="3" s="1"/>
  <c r="U787" i="3"/>
  <c r="S787" i="3"/>
  <c r="U783" i="3"/>
  <c r="S783" i="3"/>
  <c r="U779" i="3"/>
  <c r="S779" i="3"/>
  <c r="U775" i="3"/>
  <c r="S775" i="3"/>
  <c r="U771" i="3"/>
  <c r="S771" i="3"/>
  <c r="U767" i="3"/>
  <c r="S767" i="3"/>
  <c r="U763" i="3"/>
  <c r="S763" i="3"/>
  <c r="U759" i="3"/>
  <c r="S759" i="3"/>
  <c r="U755" i="3"/>
  <c r="S755" i="3"/>
  <c r="U751" i="3"/>
  <c r="S751" i="3"/>
  <c r="U747" i="3"/>
  <c r="S747" i="3"/>
  <c r="U743" i="3"/>
  <c r="S743" i="3"/>
  <c r="U739" i="3"/>
  <c r="S739" i="3"/>
  <c r="U735" i="3"/>
  <c r="S735" i="3"/>
  <c r="U731" i="3"/>
  <c r="S731" i="3"/>
  <c r="U727" i="3"/>
  <c r="S727" i="3"/>
  <c r="U723" i="3"/>
  <c r="S723" i="3"/>
  <c r="U719" i="3"/>
  <c r="S719" i="3"/>
  <c r="U715" i="3"/>
  <c r="S715" i="3"/>
  <c r="U711" i="3"/>
  <c r="S711" i="3"/>
  <c r="S707" i="3"/>
  <c r="U707" i="3" s="1"/>
  <c r="S703" i="3"/>
  <c r="U703" i="3" s="1"/>
  <c r="S699" i="3"/>
  <c r="U699" i="3" s="1"/>
  <c r="S695" i="3"/>
  <c r="U695" i="3" s="1"/>
  <c r="S691" i="3"/>
  <c r="U691" i="3" s="1"/>
  <c r="S687" i="3"/>
  <c r="U687" i="3" s="1"/>
  <c r="S683" i="3"/>
  <c r="U683" i="3" s="1"/>
  <c r="S679" i="3"/>
  <c r="U679" i="3" s="1"/>
  <c r="S675" i="3"/>
  <c r="U675" i="3" s="1"/>
  <c r="S671" i="3"/>
  <c r="U671" i="3" s="1"/>
  <c r="S667" i="3"/>
  <c r="U667" i="3" s="1"/>
  <c r="S663" i="3"/>
  <c r="U663" i="3" s="1"/>
  <c r="S659" i="3"/>
  <c r="U659" i="3" s="1"/>
  <c r="S655" i="3"/>
  <c r="U655" i="3" s="1"/>
  <c r="S651" i="3"/>
  <c r="U651" i="3" s="1"/>
  <c r="S647" i="3"/>
  <c r="U647" i="3" s="1"/>
  <c r="S643" i="3"/>
  <c r="U643" i="3" s="1"/>
  <c r="S639" i="3"/>
  <c r="U639" i="3" s="1"/>
  <c r="S635" i="3"/>
  <c r="U635" i="3" s="1"/>
  <c r="S631" i="3"/>
  <c r="U631" i="3" s="1"/>
  <c r="S627" i="3"/>
  <c r="U627" i="3" s="1"/>
  <c r="S623" i="3"/>
  <c r="U623" i="3" s="1"/>
  <c r="S619" i="3"/>
  <c r="U619" i="3" s="1"/>
  <c r="S615" i="3"/>
  <c r="U615" i="3" s="1"/>
  <c r="S611" i="3"/>
  <c r="U611" i="3" s="1"/>
  <c r="S607" i="3"/>
  <c r="U607" i="3" s="1"/>
  <c r="S603" i="3"/>
  <c r="U603" i="3" s="1"/>
  <c r="S599" i="3"/>
  <c r="U599" i="3" s="1"/>
  <c r="S595" i="3"/>
  <c r="U595" i="3" s="1"/>
  <c r="S591" i="3"/>
  <c r="U591" i="3" s="1"/>
  <c r="S587" i="3"/>
  <c r="U587" i="3" s="1"/>
  <c r="S583" i="3"/>
  <c r="U583" i="3" s="1"/>
  <c r="S579" i="3"/>
  <c r="U579" i="3" s="1"/>
  <c r="S575" i="3"/>
  <c r="U575" i="3" s="1"/>
  <c r="S571" i="3"/>
  <c r="U571" i="3" s="1"/>
  <c r="S567" i="3"/>
  <c r="U567" i="3" s="1"/>
  <c r="S563" i="3"/>
  <c r="U563" i="3" s="1"/>
  <c r="S559" i="3"/>
  <c r="U559" i="3" s="1"/>
  <c r="S555" i="3"/>
  <c r="U555" i="3" s="1"/>
  <c r="S551" i="3"/>
  <c r="U551" i="3" s="1"/>
  <c r="S547" i="3"/>
  <c r="U547" i="3" s="1"/>
  <c r="S543" i="3"/>
  <c r="U543" i="3" s="1"/>
  <c r="S539" i="3"/>
  <c r="U539" i="3" s="1"/>
  <c r="S535" i="3"/>
  <c r="U535" i="3" s="1"/>
  <c r="S531" i="3"/>
  <c r="U531" i="3" s="1"/>
  <c r="S527" i="3"/>
  <c r="U527" i="3" s="1"/>
  <c r="S523" i="3"/>
  <c r="U523" i="3" s="1"/>
  <c r="S519" i="3"/>
  <c r="U519" i="3" s="1"/>
  <c r="S515" i="3"/>
  <c r="U515" i="3" s="1"/>
  <c r="S511" i="3"/>
  <c r="U511" i="3" s="1"/>
  <c r="S507" i="3"/>
  <c r="U507" i="3" s="1"/>
  <c r="S503" i="3"/>
  <c r="U503" i="3" s="1"/>
  <c r="S499" i="3"/>
  <c r="U499" i="3" s="1"/>
  <c r="S495" i="3"/>
  <c r="U495" i="3" s="1"/>
  <c r="S491" i="3"/>
  <c r="U491" i="3" s="1"/>
  <c r="S487" i="3"/>
  <c r="U487" i="3" s="1"/>
  <c r="S483" i="3"/>
  <c r="U483" i="3" s="1"/>
  <c r="S479" i="3"/>
  <c r="U479" i="3" s="1"/>
  <c r="S475" i="3"/>
  <c r="U475" i="3" s="1"/>
  <c r="S471" i="3"/>
  <c r="U471" i="3" s="1"/>
  <c r="S467" i="3"/>
  <c r="U467" i="3" s="1"/>
  <c r="S463" i="3"/>
  <c r="U463" i="3" s="1"/>
  <c r="S459" i="3"/>
  <c r="U459" i="3" s="1"/>
  <c r="S455" i="3"/>
  <c r="U455" i="3" s="1"/>
  <c r="S451" i="3"/>
  <c r="U451" i="3" s="1"/>
  <c r="S447" i="3"/>
  <c r="U447" i="3" s="1"/>
  <c r="S443" i="3"/>
  <c r="U443" i="3" s="1"/>
  <c r="S439" i="3"/>
  <c r="U439" i="3" s="1"/>
  <c r="S435" i="3"/>
  <c r="U435" i="3" s="1"/>
  <c r="S431" i="3"/>
  <c r="U431" i="3" s="1"/>
  <c r="S427" i="3"/>
  <c r="U427" i="3" s="1"/>
  <c r="S423" i="3"/>
  <c r="U423" i="3" s="1"/>
  <c r="S419" i="3"/>
  <c r="U419" i="3" s="1"/>
  <c r="S415" i="3"/>
  <c r="U415" i="3" s="1"/>
  <c r="S411" i="3"/>
  <c r="U411" i="3" s="1"/>
  <c r="S407" i="3"/>
  <c r="U407" i="3" s="1"/>
  <c r="S403" i="3"/>
  <c r="U403" i="3" s="1"/>
  <c r="S399" i="3"/>
  <c r="U399" i="3" s="1"/>
  <c r="S395" i="3"/>
  <c r="U395" i="3" s="1"/>
  <c r="S391" i="3"/>
  <c r="U391" i="3" s="1"/>
  <c r="S387" i="3"/>
  <c r="U387" i="3" s="1"/>
  <c r="S383" i="3"/>
  <c r="U383" i="3" s="1"/>
  <c r="S379" i="3"/>
  <c r="U379" i="3" s="1"/>
  <c r="S375" i="3"/>
  <c r="U375" i="3" s="1"/>
  <c r="S371" i="3"/>
  <c r="U371" i="3" s="1"/>
  <c r="S367" i="3"/>
  <c r="U367" i="3" s="1"/>
  <c r="S363" i="3"/>
  <c r="U363" i="3" s="1"/>
  <c r="S359" i="3"/>
  <c r="U359" i="3" s="1"/>
  <c r="S355" i="3"/>
  <c r="U355" i="3" s="1"/>
  <c r="S351" i="3"/>
  <c r="U351" i="3" s="1"/>
  <c r="S347" i="3"/>
  <c r="U347" i="3" s="1"/>
  <c r="S343" i="3"/>
  <c r="U343" i="3" s="1"/>
  <c r="S339" i="3"/>
  <c r="U339" i="3" s="1"/>
  <c r="S335" i="3"/>
  <c r="U335" i="3" s="1"/>
  <c r="S331" i="3"/>
  <c r="U331" i="3" s="1"/>
  <c r="S327" i="3"/>
  <c r="U327" i="3" s="1"/>
  <c r="S323" i="3"/>
  <c r="U323" i="3" s="1"/>
  <c r="S319" i="3"/>
  <c r="U319" i="3" s="1"/>
  <c r="S315" i="3"/>
  <c r="U315" i="3" s="1"/>
  <c r="S311" i="3"/>
  <c r="U311" i="3" s="1"/>
  <c r="S307" i="3"/>
  <c r="U307" i="3" s="1"/>
  <c r="U303" i="3"/>
  <c r="S303" i="3"/>
  <c r="S299" i="3"/>
  <c r="U299" i="3" s="1"/>
  <c r="S295" i="3"/>
  <c r="U295" i="3" s="1"/>
  <c r="S291" i="3"/>
  <c r="U291" i="3" s="1"/>
  <c r="S287" i="3"/>
  <c r="U287" i="3" s="1"/>
  <c r="S283" i="3"/>
  <c r="U283" i="3" s="1"/>
  <c r="S279" i="3"/>
  <c r="U279" i="3" s="1"/>
  <c r="U275" i="3"/>
  <c r="S275" i="3"/>
  <c r="U271" i="3"/>
  <c r="S271" i="3"/>
  <c r="S267" i="3"/>
  <c r="U267" i="3" s="1"/>
  <c r="S263" i="3"/>
  <c r="U263" i="3" s="1"/>
  <c r="S259" i="3"/>
  <c r="U259" i="3" s="1"/>
  <c r="S255" i="3"/>
  <c r="U255" i="3" s="1"/>
  <c r="S251" i="3"/>
  <c r="U251" i="3" s="1"/>
  <c r="S247" i="3"/>
  <c r="U247" i="3" s="1"/>
  <c r="S243" i="3"/>
  <c r="U243" i="3" s="1"/>
  <c r="S239" i="3"/>
  <c r="U239" i="3" s="1"/>
  <c r="S235" i="3"/>
  <c r="U235" i="3" s="1"/>
  <c r="S231" i="3"/>
  <c r="U231" i="3" s="1"/>
  <c r="S227" i="3"/>
  <c r="U227" i="3" s="1"/>
  <c r="S223" i="3"/>
  <c r="U223" i="3" s="1"/>
  <c r="S219" i="3"/>
  <c r="U219" i="3" s="1"/>
  <c r="S215" i="3"/>
  <c r="U215" i="3" s="1"/>
  <c r="S211" i="3"/>
  <c r="U211" i="3" s="1"/>
  <c r="S207" i="3"/>
  <c r="U207" i="3" s="1"/>
  <c r="S203" i="3"/>
  <c r="U203" i="3" s="1"/>
  <c r="S199" i="3"/>
  <c r="U199" i="3" s="1"/>
  <c r="S195" i="3"/>
  <c r="U195" i="3" s="1"/>
  <c r="S191" i="3"/>
  <c r="U191" i="3" s="1"/>
  <c r="S187" i="3"/>
  <c r="U187" i="3" s="1"/>
  <c r="S183" i="3"/>
  <c r="U183" i="3" s="1"/>
  <c r="S179" i="3"/>
  <c r="U179" i="3" s="1"/>
  <c r="S175" i="3"/>
  <c r="U175" i="3" s="1"/>
  <c r="S171" i="3"/>
  <c r="U171" i="3" s="1"/>
  <c r="S167" i="3"/>
  <c r="U167" i="3" s="1"/>
  <c r="S163" i="3"/>
  <c r="U163" i="3" s="1"/>
  <c r="S159" i="3"/>
  <c r="U159" i="3" s="1"/>
  <c r="S155" i="3"/>
  <c r="U155" i="3" s="1"/>
  <c r="S151" i="3"/>
  <c r="U151" i="3" s="1"/>
  <c r="S147" i="3"/>
  <c r="U147" i="3" s="1"/>
  <c r="S143" i="3"/>
  <c r="U143" i="3" s="1"/>
  <c r="S139" i="3"/>
  <c r="U139" i="3" s="1"/>
  <c r="S135" i="3"/>
  <c r="U135" i="3" s="1"/>
  <c r="S131" i="3"/>
  <c r="U131" i="3" s="1"/>
  <c r="S127" i="3"/>
  <c r="U127" i="3" s="1"/>
  <c r="S123" i="3"/>
  <c r="U123" i="3" s="1"/>
  <c r="S119" i="3"/>
  <c r="U119" i="3" s="1"/>
  <c r="S115" i="3"/>
  <c r="U115" i="3" s="1"/>
  <c r="S111" i="3"/>
  <c r="U111" i="3" s="1"/>
  <c r="S107" i="3"/>
  <c r="U107" i="3" s="1"/>
  <c r="S103" i="3"/>
  <c r="U103" i="3" s="1"/>
  <c r="S99" i="3"/>
  <c r="U99" i="3" s="1"/>
  <c r="S95" i="3"/>
  <c r="U95" i="3" s="1"/>
  <c r="S91" i="3"/>
  <c r="U91" i="3" s="1"/>
  <c r="S87" i="3"/>
  <c r="U87" i="3" s="1"/>
  <c r="S83" i="3"/>
  <c r="U83" i="3" s="1"/>
  <c r="S79" i="3"/>
  <c r="U79" i="3" s="1"/>
  <c r="S75" i="3"/>
  <c r="U75" i="3" s="1"/>
  <c r="S71" i="3"/>
  <c r="U71" i="3" s="1"/>
  <c r="S67" i="3"/>
  <c r="U67" i="3" s="1"/>
  <c r="S63" i="3"/>
  <c r="U63" i="3" s="1"/>
  <c r="S59" i="3"/>
  <c r="U59" i="3" s="1"/>
  <c r="S55" i="3"/>
  <c r="U55" i="3" s="1"/>
  <c r="S51" i="3"/>
  <c r="U51" i="3" s="1"/>
  <c r="S47" i="3"/>
  <c r="U47" i="3" s="1"/>
  <c r="S43" i="3"/>
  <c r="U43" i="3" s="1"/>
  <c r="S39" i="3"/>
  <c r="U39" i="3" s="1"/>
  <c r="S35" i="3"/>
  <c r="U35" i="3" s="1"/>
  <c r="S31" i="3"/>
  <c r="U31" i="3" s="1"/>
  <c r="S27" i="3"/>
  <c r="U27" i="3" s="1"/>
  <c r="S23" i="3"/>
  <c r="U23" i="3" s="1"/>
  <c r="S19" i="3"/>
  <c r="U19" i="3" s="1"/>
  <c r="S15" i="3"/>
  <c r="U15" i="3" s="1"/>
  <c r="S11" i="3"/>
  <c r="U11" i="3" s="1"/>
  <c r="S7" i="3"/>
  <c r="U7" i="3" s="1"/>
  <c r="U3" i="3"/>
  <c r="S3" i="3"/>
  <c r="S1525" i="3"/>
  <c r="U1525" i="3" s="1"/>
  <c r="S1521" i="3"/>
  <c r="U1521" i="3" s="1"/>
  <c r="S1517" i="3"/>
  <c r="U1517" i="3" s="1"/>
  <c r="S1513" i="3"/>
  <c r="U1513" i="3" s="1"/>
  <c r="S1509" i="3"/>
  <c r="U1509" i="3" s="1"/>
  <c r="S1505" i="3"/>
  <c r="U1505" i="3" s="1"/>
  <c r="S1502" i="3"/>
  <c r="U1502" i="3" s="1"/>
  <c r="S1498" i="3"/>
  <c r="U1498" i="3" s="1"/>
  <c r="S1494" i="3"/>
  <c r="U1494" i="3" s="1"/>
  <c r="S1490" i="3"/>
  <c r="U1490" i="3" s="1"/>
  <c r="S1486" i="3"/>
  <c r="U1486" i="3" s="1"/>
  <c r="S1482" i="3"/>
  <c r="U1482" i="3" s="1"/>
  <c r="U1478" i="3"/>
  <c r="S1478" i="3"/>
  <c r="U1474" i="3"/>
  <c r="S1474" i="3"/>
  <c r="U1470" i="3"/>
  <c r="S1470" i="3"/>
  <c r="U1466" i="3"/>
  <c r="S1466" i="3"/>
  <c r="S1462" i="3"/>
  <c r="U1462" i="3" s="1"/>
  <c r="S1458" i="3"/>
  <c r="U1458" i="3" s="1"/>
  <c r="S1454" i="3"/>
  <c r="U1454" i="3" s="1"/>
  <c r="S1450" i="3"/>
  <c r="U1450" i="3" s="1"/>
  <c r="U1446" i="3"/>
  <c r="S1446" i="3"/>
  <c r="S1442" i="3"/>
  <c r="U1442" i="3" s="1"/>
  <c r="S1438" i="3"/>
  <c r="U1438" i="3" s="1"/>
  <c r="S1434" i="3"/>
  <c r="U1434" i="3" s="1"/>
  <c r="S1430" i="3"/>
  <c r="U1430" i="3" s="1"/>
  <c r="S1426" i="3"/>
  <c r="U1426" i="3" s="1"/>
  <c r="S1422" i="3"/>
  <c r="U1422" i="3" s="1"/>
  <c r="S1418" i="3"/>
  <c r="U1418" i="3" s="1"/>
  <c r="S1414" i="3"/>
  <c r="U1414" i="3" s="1"/>
  <c r="S1410" i="3"/>
  <c r="U1410" i="3" s="1"/>
  <c r="S1406" i="3"/>
  <c r="U1406" i="3" s="1"/>
  <c r="S1402" i="3"/>
  <c r="U1402" i="3" s="1"/>
  <c r="S1398" i="3"/>
  <c r="U1398" i="3" s="1"/>
  <c r="S1394" i="3"/>
  <c r="U1394" i="3" s="1"/>
  <c r="S1390" i="3"/>
  <c r="U1390" i="3" s="1"/>
  <c r="S1386" i="3"/>
  <c r="U1386" i="3" s="1"/>
  <c r="S1382" i="3"/>
  <c r="U1382" i="3" s="1"/>
  <c r="S1378" i="3"/>
  <c r="U1378" i="3" s="1"/>
  <c r="S1374" i="3"/>
  <c r="U1374" i="3" s="1"/>
  <c r="S1370" i="3"/>
  <c r="U1370" i="3" s="1"/>
  <c r="S1366" i="3"/>
  <c r="U1366" i="3" s="1"/>
  <c r="S1362" i="3"/>
  <c r="U1362" i="3" s="1"/>
  <c r="S1358" i="3"/>
  <c r="U1358" i="3" s="1"/>
  <c r="S1354" i="3"/>
  <c r="U1354" i="3" s="1"/>
  <c r="S1350" i="3"/>
  <c r="U1350" i="3" s="1"/>
  <c r="S1346" i="3"/>
  <c r="U1346" i="3" s="1"/>
  <c r="S1342" i="3"/>
  <c r="U1342" i="3" s="1"/>
  <c r="S1338" i="3"/>
  <c r="U1338" i="3" s="1"/>
  <c r="S1334" i="3"/>
  <c r="U1334" i="3" s="1"/>
  <c r="S1330" i="3"/>
  <c r="U1330" i="3" s="1"/>
  <c r="S1326" i="3"/>
  <c r="U1326" i="3" s="1"/>
  <c r="S1322" i="3"/>
  <c r="U1322" i="3" s="1"/>
  <c r="S1318" i="3"/>
  <c r="U1318" i="3" s="1"/>
  <c r="S1314" i="3"/>
  <c r="U1314" i="3" s="1"/>
  <c r="S1310" i="3"/>
  <c r="U1310" i="3" s="1"/>
  <c r="S1306" i="3"/>
  <c r="U1306" i="3" s="1"/>
  <c r="S1302" i="3"/>
  <c r="U1302" i="3" s="1"/>
  <c r="S1298" i="3"/>
  <c r="U1298" i="3" s="1"/>
  <c r="S1294" i="3"/>
  <c r="U1294" i="3" s="1"/>
  <c r="S1290" i="3"/>
  <c r="U1290" i="3" s="1"/>
  <c r="S1286" i="3"/>
  <c r="U1286" i="3" s="1"/>
  <c r="S1282" i="3"/>
  <c r="U1282" i="3" s="1"/>
  <c r="S1278" i="3"/>
  <c r="U1278" i="3" s="1"/>
  <c r="S1274" i="3"/>
  <c r="U1274" i="3" s="1"/>
  <c r="S1270" i="3"/>
  <c r="U1270" i="3" s="1"/>
  <c r="S1266" i="3"/>
  <c r="U1266" i="3" s="1"/>
  <c r="S1262" i="3"/>
  <c r="U1262" i="3" s="1"/>
  <c r="S1258" i="3"/>
  <c r="U1258" i="3" s="1"/>
  <c r="S1254" i="3"/>
  <c r="U1254" i="3" s="1"/>
  <c r="S1250" i="3"/>
  <c r="U1250" i="3" s="1"/>
  <c r="S1246" i="3"/>
  <c r="U1246" i="3" s="1"/>
  <c r="S1242" i="3"/>
  <c r="U1242" i="3" s="1"/>
  <c r="S1238" i="3"/>
  <c r="U1238" i="3" s="1"/>
  <c r="S1234" i="3"/>
  <c r="U1234" i="3" s="1"/>
  <c r="S1230" i="3"/>
  <c r="U1230" i="3" s="1"/>
  <c r="S1226" i="3"/>
  <c r="U1226" i="3" s="1"/>
  <c r="S1222" i="3"/>
  <c r="U1222" i="3" s="1"/>
  <c r="S1218" i="3"/>
  <c r="U1218" i="3" s="1"/>
  <c r="S1214" i="3"/>
  <c r="U1214" i="3" s="1"/>
  <c r="S1210" i="3"/>
  <c r="U1210" i="3" s="1"/>
  <c r="S1206" i="3"/>
  <c r="U1206" i="3" s="1"/>
  <c r="S1202" i="3"/>
  <c r="U1202" i="3" s="1"/>
  <c r="S1198" i="3"/>
  <c r="U1198" i="3" s="1"/>
  <c r="S1194" i="3"/>
  <c r="S1190" i="3"/>
  <c r="U1190" i="3" s="1"/>
  <c r="S1186" i="3"/>
  <c r="U1186" i="3" s="1"/>
  <c r="S1178" i="3"/>
  <c r="S1174" i="3"/>
  <c r="S1170" i="3"/>
  <c r="U1170" i="3" s="1"/>
  <c r="S1166" i="3"/>
  <c r="U1166" i="3" s="1"/>
  <c r="S1154" i="3"/>
  <c r="S1142" i="3"/>
  <c r="S1138" i="3"/>
  <c r="U1138" i="3" s="1"/>
  <c r="S1134" i="3"/>
  <c r="S1118" i="3"/>
  <c r="S1110" i="3"/>
  <c r="S1102" i="3"/>
  <c r="U1102" i="3" s="1"/>
  <c r="S1086" i="3"/>
  <c r="S1078" i="3"/>
  <c r="S1070" i="3"/>
  <c r="S1054" i="3"/>
  <c r="U1054" i="3" s="1"/>
  <c r="S1046" i="3"/>
  <c r="S1038" i="3"/>
  <c r="S1022" i="3"/>
  <c r="S1014" i="3"/>
  <c r="U1014" i="3" s="1"/>
  <c r="S1006" i="3"/>
  <c r="S990" i="3"/>
  <c r="S982" i="3"/>
  <c r="S974" i="3"/>
  <c r="S958" i="3"/>
  <c r="S950" i="3"/>
  <c r="S942" i="3"/>
  <c r="S926" i="3"/>
  <c r="U926" i="3" s="1"/>
  <c r="S918" i="3"/>
  <c r="S910" i="3"/>
  <c r="S894" i="3"/>
  <c r="S890" i="3"/>
  <c r="U890" i="3" s="1"/>
  <c r="S862" i="3"/>
  <c r="S854" i="3"/>
  <c r="S826" i="3"/>
  <c r="S822" i="3"/>
  <c r="U822" i="3" s="1"/>
  <c r="S798" i="3"/>
  <c r="S794" i="3"/>
  <c r="S790" i="3"/>
  <c r="S766" i="3"/>
  <c r="S762" i="3"/>
  <c r="S734" i="3"/>
  <c r="S726" i="3"/>
  <c r="S698" i="3"/>
  <c r="U698" i="3" s="1"/>
  <c r="S694" i="3"/>
  <c r="S670" i="3"/>
  <c r="S666" i="3"/>
  <c r="S662" i="3"/>
  <c r="U662" i="3" s="1"/>
  <c r="S638" i="3"/>
  <c r="S634" i="3"/>
  <c r="S606" i="3"/>
  <c r="S598" i="3"/>
  <c r="U598" i="3" s="1"/>
  <c r="S570" i="3"/>
  <c r="S566" i="3"/>
  <c r="S542" i="3"/>
  <c r="S538" i="3"/>
  <c r="S534" i="3"/>
  <c r="S510" i="3"/>
  <c r="S506" i="3"/>
  <c r="S478" i="3"/>
  <c r="S470" i="3"/>
  <c r="S442" i="3"/>
  <c r="S438" i="3"/>
  <c r="S414" i="3"/>
  <c r="S410" i="3"/>
  <c r="S406" i="3"/>
  <c r="S382" i="3"/>
  <c r="S378" i="3"/>
  <c r="S350" i="3"/>
  <c r="S342" i="3"/>
  <c r="S314" i="3"/>
  <c r="S310" i="3"/>
  <c r="S286" i="3"/>
  <c r="S282" i="3"/>
  <c r="S278" i="3"/>
  <c r="S254" i="3"/>
  <c r="S250" i="3"/>
  <c r="S222" i="3"/>
  <c r="S214" i="3"/>
  <c r="S186" i="3"/>
  <c r="S182" i="3"/>
  <c r="S158" i="3"/>
  <c r="S154" i="3"/>
  <c r="S150" i="3"/>
  <c r="S126" i="3"/>
  <c r="S122" i="3"/>
  <c r="S94" i="3"/>
  <c r="S86" i="3"/>
  <c r="S58" i="3"/>
  <c r="S54" i="3"/>
  <c r="S30" i="3"/>
  <c r="S26" i="3"/>
  <c r="S22" i="3"/>
  <c r="S236" i="3"/>
  <c r="U236" i="3" s="1"/>
  <c r="U228" i="3"/>
  <c r="S220" i="3"/>
  <c r="U220" i="3" s="1"/>
  <c r="S216" i="3"/>
  <c r="U216" i="3" s="1"/>
  <c r="S212" i="3"/>
  <c r="U212" i="3" s="1"/>
  <c r="S208" i="3"/>
  <c r="U208" i="3" s="1"/>
  <c r="S204" i="3"/>
  <c r="U204" i="3" s="1"/>
  <c r="U200" i="3"/>
  <c r="S188" i="3"/>
  <c r="U188" i="3" s="1"/>
  <c r="S184" i="3"/>
  <c r="U184" i="3" s="1"/>
  <c r="S180" i="3"/>
  <c r="U180" i="3" s="1"/>
  <c r="S176" i="3"/>
  <c r="U176" i="3" s="1"/>
  <c r="U172" i="3"/>
  <c r="S172" i="3"/>
  <c r="S156" i="3"/>
  <c r="U156" i="3" s="1"/>
  <c r="S152" i="3"/>
  <c r="U152" i="3" s="1"/>
  <c r="S148" i="3"/>
  <c r="U148" i="3" s="1"/>
  <c r="S144" i="3"/>
  <c r="U144" i="3" s="1"/>
  <c r="S140" i="3"/>
  <c r="U140" i="3" s="1"/>
  <c r="U128" i="3"/>
  <c r="U124" i="3"/>
  <c r="S124" i="3"/>
  <c r="S120" i="3"/>
  <c r="U120" i="3" s="1"/>
  <c r="U116" i="3"/>
  <c r="S116" i="3"/>
  <c r="S112" i="3"/>
  <c r="U112" i="3" s="1"/>
  <c r="S108" i="3"/>
  <c r="U108" i="3" s="1"/>
  <c r="U100" i="3"/>
  <c r="S92" i="3"/>
  <c r="U92" i="3" s="1"/>
  <c r="S88" i="3"/>
  <c r="U88" i="3" s="1"/>
  <c r="S84" i="3"/>
  <c r="U84" i="3" s="1"/>
  <c r="S80" i="3"/>
  <c r="U80" i="3" s="1"/>
  <c r="S76" i="3"/>
  <c r="U76" i="3" s="1"/>
  <c r="U72" i="3"/>
  <c r="S60" i="3"/>
  <c r="U60" i="3" s="1"/>
  <c r="U56" i="3"/>
  <c r="S56" i="3"/>
  <c r="S52" i="3"/>
  <c r="U52" i="3" s="1"/>
  <c r="U48" i="3"/>
  <c r="S48" i="3"/>
  <c r="S44" i="3"/>
  <c r="U44" i="3" s="1"/>
  <c r="S28" i="3"/>
  <c r="U28" i="3" s="1"/>
  <c r="S24" i="3"/>
  <c r="U24" i="3" s="1"/>
  <c r="S20" i="3"/>
  <c r="U20" i="3" s="1"/>
  <c r="S16" i="3"/>
  <c r="U16" i="3" s="1"/>
  <c r="S12" i="3"/>
  <c r="U12" i="3" s="1"/>
  <c r="S224" i="3"/>
  <c r="U224" i="3" s="1"/>
  <c r="S196" i="3"/>
  <c r="U196" i="3" s="1"/>
  <c r="S168" i="3"/>
  <c r="U168" i="3" s="1"/>
  <c r="S96" i="3"/>
  <c r="U96" i="3" s="1"/>
  <c r="S68" i="3"/>
  <c r="U68" i="3" s="1"/>
  <c r="S40" i="3"/>
  <c r="U40" i="3" s="1"/>
  <c r="S192" i="3"/>
  <c r="U192" i="3" s="1"/>
  <c r="S164" i="3"/>
  <c r="U164" i="3" s="1"/>
  <c r="S136" i="3"/>
  <c r="U136" i="3" s="1"/>
  <c r="S64" i="3"/>
  <c r="U64" i="3" s="1"/>
  <c r="S36" i="3"/>
  <c r="U36" i="3" s="1"/>
  <c r="S8" i="3"/>
  <c r="U8" i="3" s="1"/>
  <c r="U1194" i="3"/>
  <c r="U1178" i="3"/>
  <c r="U1174" i="3"/>
  <c r="S1162" i="3"/>
  <c r="U1162" i="3" s="1"/>
  <c r="U1154" i="3"/>
  <c r="S1146" i="3"/>
  <c r="U1146" i="3" s="1"/>
  <c r="U1142" i="3"/>
  <c r="U1134" i="3"/>
  <c r="S1130" i="3"/>
  <c r="U1130" i="3" s="1"/>
  <c r="S1122" i="3"/>
  <c r="U1122" i="3" s="1"/>
  <c r="U1118" i="3"/>
  <c r="S1114" i="3"/>
  <c r="U1114" i="3" s="1"/>
  <c r="U1110" i="3"/>
  <c r="S1106" i="3"/>
  <c r="U1106" i="3" s="1"/>
  <c r="S1098" i="3"/>
  <c r="U1098" i="3" s="1"/>
  <c r="S1090" i="3"/>
  <c r="U1090" i="3" s="1"/>
  <c r="U1086" i="3"/>
  <c r="S1082" i="3"/>
  <c r="U1082" i="3" s="1"/>
  <c r="U1078" i="3"/>
  <c r="S1074" i="3"/>
  <c r="U1074" i="3" s="1"/>
  <c r="U1070" i="3"/>
  <c r="S1066" i="3"/>
  <c r="U1066" i="3" s="1"/>
  <c r="S1058" i="3"/>
  <c r="U1058" i="3" s="1"/>
  <c r="S1050" i="3"/>
  <c r="U1050" i="3" s="1"/>
  <c r="U1046" i="3"/>
  <c r="S1042" i="3"/>
  <c r="U1042" i="3" s="1"/>
  <c r="U1038" i="3"/>
  <c r="S1034" i="3"/>
  <c r="U1034" i="3" s="1"/>
  <c r="S1026" i="3"/>
  <c r="U1026" i="3" s="1"/>
  <c r="U1022" i="3"/>
  <c r="S1018" i="3"/>
  <c r="U1018" i="3" s="1"/>
  <c r="S1010" i="3"/>
  <c r="U1010" i="3" s="1"/>
  <c r="U1006" i="3"/>
  <c r="S1002" i="3"/>
  <c r="U1002" i="3" s="1"/>
  <c r="S994" i="3"/>
  <c r="U994" i="3" s="1"/>
  <c r="U990" i="3"/>
  <c r="S986" i="3"/>
  <c r="U986" i="3" s="1"/>
  <c r="U982" i="3"/>
  <c r="S978" i="3"/>
  <c r="U978" i="3" s="1"/>
  <c r="U974" i="3"/>
  <c r="S970" i="3"/>
  <c r="U970" i="3" s="1"/>
  <c r="S962" i="3"/>
  <c r="U962" i="3" s="1"/>
  <c r="U958" i="3"/>
  <c r="S954" i="3"/>
  <c r="U954" i="3" s="1"/>
  <c r="U950" i="3"/>
  <c r="S946" i="3"/>
  <c r="U946" i="3" s="1"/>
  <c r="U942" i="3"/>
  <c r="S938" i="3"/>
  <c r="U938" i="3" s="1"/>
  <c r="S930" i="3"/>
  <c r="U930" i="3" s="1"/>
  <c r="S922" i="3"/>
  <c r="U922" i="3" s="1"/>
  <c r="U918" i="3"/>
  <c r="S914" i="3"/>
  <c r="U914" i="3" s="1"/>
  <c r="U910" i="3"/>
  <c r="S906" i="3"/>
  <c r="U906" i="3" s="1"/>
  <c r="S902" i="3"/>
  <c r="U902" i="3" s="1"/>
  <c r="S898" i="3"/>
  <c r="U898" i="3" s="1"/>
  <c r="U894" i="3"/>
  <c r="S882" i="3"/>
  <c r="U882" i="3" s="1"/>
  <c r="U878" i="3"/>
  <c r="S878" i="3"/>
  <c r="S874" i="3"/>
  <c r="U874" i="3" s="1"/>
  <c r="S870" i="3"/>
  <c r="U870" i="3" s="1"/>
  <c r="S866" i="3"/>
  <c r="U866" i="3" s="1"/>
  <c r="U862" i="3"/>
  <c r="U854" i="3"/>
  <c r="S850" i="3"/>
  <c r="U850" i="3" s="1"/>
  <c r="S846" i="3"/>
  <c r="U846" i="3" s="1"/>
  <c r="S842" i="3"/>
  <c r="U842" i="3" s="1"/>
  <c r="S838" i="3"/>
  <c r="U838" i="3" s="1"/>
  <c r="S834" i="3"/>
  <c r="U834" i="3" s="1"/>
  <c r="U826" i="3"/>
  <c r="S818" i="3"/>
  <c r="U818" i="3" s="1"/>
  <c r="S814" i="3"/>
  <c r="U814" i="3" s="1"/>
  <c r="S810" i="3"/>
  <c r="U810" i="3" s="1"/>
  <c r="S806" i="3"/>
  <c r="U806" i="3" s="1"/>
  <c r="U802" i="3"/>
  <c r="S802" i="3"/>
  <c r="U798" i="3"/>
  <c r="U794" i="3"/>
  <c r="U790" i="3"/>
  <c r="U786" i="3"/>
  <c r="S786" i="3"/>
  <c r="U782" i="3"/>
  <c r="S782" i="3"/>
  <c r="U778" i="3"/>
  <c r="S778" i="3"/>
  <c r="U774" i="3"/>
  <c r="S774" i="3"/>
  <c r="U770" i="3"/>
  <c r="S770" i="3"/>
  <c r="U766" i="3"/>
  <c r="U762" i="3"/>
  <c r="U758" i="3"/>
  <c r="U754" i="3"/>
  <c r="S754" i="3"/>
  <c r="U750" i="3"/>
  <c r="S750" i="3"/>
  <c r="U746" i="3"/>
  <c r="S746" i="3"/>
  <c r="U742" i="3"/>
  <c r="S742" i="3"/>
  <c r="U738" i="3"/>
  <c r="S738" i="3"/>
  <c r="U734" i="3"/>
  <c r="U730" i="3"/>
  <c r="U726" i="3"/>
  <c r="U722" i="3"/>
  <c r="S722" i="3"/>
  <c r="U718" i="3"/>
  <c r="S718" i="3"/>
  <c r="U714" i="3"/>
  <c r="S714" i="3"/>
  <c r="U710" i="3"/>
  <c r="S710" i="3"/>
  <c r="U706" i="3"/>
  <c r="S706" i="3"/>
  <c r="U694" i="3"/>
  <c r="U690" i="3"/>
  <c r="S690" i="3"/>
  <c r="S686" i="3"/>
  <c r="U686" i="3" s="1"/>
  <c r="S682" i="3"/>
  <c r="U682" i="3" s="1"/>
  <c r="S678" i="3"/>
  <c r="U678" i="3" s="1"/>
  <c r="S674" i="3"/>
  <c r="U674" i="3" s="1"/>
  <c r="U670" i="3"/>
  <c r="U666" i="3"/>
  <c r="S658" i="3"/>
  <c r="U658" i="3" s="1"/>
  <c r="S654" i="3"/>
  <c r="U654" i="3" s="1"/>
  <c r="S650" i="3"/>
  <c r="U650" i="3" s="1"/>
  <c r="S646" i="3"/>
  <c r="U646" i="3" s="1"/>
  <c r="S642" i="3"/>
  <c r="U642" i="3" s="1"/>
  <c r="U638" i="3"/>
  <c r="U634" i="3"/>
  <c r="S626" i="3"/>
  <c r="U626" i="3" s="1"/>
  <c r="S622" i="3"/>
  <c r="U622" i="3" s="1"/>
  <c r="U618" i="3"/>
  <c r="S618" i="3"/>
  <c r="S614" i="3"/>
  <c r="U614" i="3" s="1"/>
  <c r="U610" i="3"/>
  <c r="S610" i="3"/>
  <c r="U606" i="3"/>
  <c r="S594" i="3"/>
  <c r="U594" i="3" s="1"/>
  <c r="S590" i="3"/>
  <c r="U590" i="3" s="1"/>
  <c r="S586" i="3"/>
  <c r="U586" i="3" s="1"/>
  <c r="S582" i="3"/>
  <c r="U582" i="3" s="1"/>
  <c r="S578" i="3"/>
  <c r="U578" i="3" s="1"/>
  <c r="U570" i="3"/>
  <c r="U566" i="3"/>
  <c r="S562" i="3"/>
  <c r="U562" i="3" s="1"/>
  <c r="U558" i="3"/>
  <c r="S558" i="3"/>
  <c r="S554" i="3"/>
  <c r="U554" i="3" s="1"/>
  <c r="S550" i="3"/>
  <c r="U550" i="3" s="1"/>
  <c r="S546" i="3"/>
  <c r="U546" i="3" s="1"/>
  <c r="U542" i="3"/>
  <c r="U538" i="3"/>
  <c r="U534" i="3"/>
  <c r="S530" i="3"/>
  <c r="U530" i="3" s="1"/>
  <c r="S526" i="3"/>
  <c r="U526" i="3" s="1"/>
  <c r="S522" i="3"/>
  <c r="U522" i="3" s="1"/>
  <c r="S518" i="3"/>
  <c r="U518" i="3" s="1"/>
  <c r="S514" i="3"/>
  <c r="U514" i="3" s="1"/>
  <c r="U510" i="3"/>
  <c r="U506" i="3"/>
  <c r="S498" i="3"/>
  <c r="U498" i="3" s="1"/>
  <c r="U494" i="3"/>
  <c r="S494" i="3"/>
  <c r="S490" i="3"/>
  <c r="U490" i="3" s="1"/>
  <c r="U486" i="3"/>
  <c r="S486" i="3"/>
  <c r="S482" i="3"/>
  <c r="U482" i="3" s="1"/>
  <c r="U478" i="3"/>
  <c r="U470" i="3"/>
  <c r="S466" i="3"/>
  <c r="U466" i="3" s="1"/>
  <c r="S462" i="3"/>
  <c r="U462" i="3" s="1"/>
  <c r="S458" i="3"/>
  <c r="U458" i="3" s="1"/>
  <c r="S454" i="3"/>
  <c r="U454" i="3" s="1"/>
  <c r="S450" i="3"/>
  <c r="U450" i="3" s="1"/>
  <c r="U442" i="3"/>
  <c r="U438" i="3"/>
  <c r="S434" i="3"/>
  <c r="U434" i="3" s="1"/>
  <c r="U430" i="3"/>
  <c r="S430" i="3"/>
  <c r="S426" i="3"/>
  <c r="U426" i="3" s="1"/>
  <c r="U422" i="3"/>
  <c r="S422" i="3"/>
  <c r="S418" i="3"/>
  <c r="U418" i="3" s="1"/>
  <c r="U414" i="3"/>
  <c r="U410" i="3"/>
  <c r="U406" i="3"/>
  <c r="S402" i="3"/>
  <c r="U402" i="3" s="1"/>
  <c r="S398" i="3"/>
  <c r="U398" i="3" s="1"/>
  <c r="S394" i="3"/>
  <c r="U394" i="3" s="1"/>
  <c r="S390" i="3"/>
  <c r="U390" i="3" s="1"/>
  <c r="S386" i="3"/>
  <c r="U386" i="3" s="1"/>
  <c r="U382" i="3"/>
  <c r="U378" i="3"/>
  <c r="S370" i="3"/>
  <c r="U370" i="3" s="1"/>
  <c r="S366" i="3"/>
  <c r="U366" i="3" s="1"/>
  <c r="S362" i="3"/>
  <c r="U362" i="3" s="1"/>
  <c r="U358" i="3"/>
  <c r="S358" i="3"/>
  <c r="S354" i="3"/>
  <c r="U354" i="3" s="1"/>
  <c r="U350" i="3"/>
  <c r="U342" i="3"/>
  <c r="S338" i="3"/>
  <c r="U338" i="3" s="1"/>
  <c r="S334" i="3"/>
  <c r="U334" i="3" s="1"/>
  <c r="S330" i="3"/>
  <c r="U330" i="3" s="1"/>
  <c r="S326" i="3"/>
  <c r="U326" i="3" s="1"/>
  <c r="S322" i="3"/>
  <c r="U322" i="3" s="1"/>
  <c r="U314" i="3"/>
  <c r="U310" i="3"/>
  <c r="U306" i="3"/>
  <c r="S306" i="3"/>
  <c r="U302" i="3"/>
  <c r="S302" i="3"/>
  <c r="U298" i="3"/>
  <c r="S298" i="3"/>
  <c r="S294" i="3"/>
  <c r="U294" i="3" s="1"/>
  <c r="U290" i="3"/>
  <c r="S290" i="3"/>
  <c r="U286" i="3"/>
  <c r="U282" i="3"/>
  <c r="U278" i="3"/>
  <c r="U274" i="3"/>
  <c r="S274" i="3"/>
  <c r="S270" i="3"/>
  <c r="U270" i="3" s="1"/>
  <c r="S266" i="3"/>
  <c r="U266" i="3" s="1"/>
  <c r="S262" i="3"/>
  <c r="U262" i="3" s="1"/>
  <c r="S258" i="3"/>
  <c r="U258" i="3" s="1"/>
  <c r="U254" i="3"/>
  <c r="U250" i="3"/>
  <c r="S242" i="3"/>
  <c r="U242" i="3" s="1"/>
  <c r="S238" i="3"/>
  <c r="U238" i="3" s="1"/>
  <c r="S234" i="3"/>
  <c r="U234" i="3" s="1"/>
  <c r="U230" i="3"/>
  <c r="S230" i="3"/>
  <c r="S226" i="3"/>
  <c r="U226" i="3" s="1"/>
  <c r="U222" i="3"/>
  <c r="U214" i="3"/>
  <c r="S210" i="3"/>
  <c r="U210" i="3" s="1"/>
  <c r="S206" i="3"/>
  <c r="U206" i="3" s="1"/>
  <c r="S202" i="3"/>
  <c r="U202" i="3" s="1"/>
  <c r="S198" i="3"/>
  <c r="U198" i="3" s="1"/>
  <c r="S194" i="3"/>
  <c r="U194" i="3" s="1"/>
  <c r="U186" i="3"/>
  <c r="U182" i="3"/>
  <c r="U178" i="3"/>
  <c r="S178" i="3"/>
  <c r="S174" i="3"/>
  <c r="U174" i="3" s="1"/>
  <c r="U170" i="3"/>
  <c r="S170" i="3"/>
  <c r="S166" i="3"/>
  <c r="U166" i="3" s="1"/>
  <c r="S162" i="3"/>
  <c r="U162" i="3" s="1"/>
  <c r="U158" i="3"/>
  <c r="U154" i="3"/>
  <c r="U150" i="3"/>
  <c r="S146" i="3"/>
  <c r="U146" i="3" s="1"/>
  <c r="S142" i="3"/>
  <c r="U142" i="3" s="1"/>
  <c r="S138" i="3"/>
  <c r="U138" i="3" s="1"/>
  <c r="S134" i="3"/>
  <c r="U134" i="3" s="1"/>
  <c r="S130" i="3"/>
  <c r="U130" i="3" s="1"/>
  <c r="U126" i="3"/>
  <c r="U122" i="3"/>
  <c r="S114" i="3"/>
  <c r="U114" i="3" s="1"/>
  <c r="S110" i="3"/>
  <c r="U110" i="3" s="1"/>
  <c r="S106" i="3"/>
  <c r="U106" i="3" s="1"/>
  <c r="S102" i="3"/>
  <c r="U102" i="3" s="1"/>
  <c r="U98" i="3"/>
  <c r="S98" i="3"/>
  <c r="U94" i="3"/>
  <c r="U86" i="3"/>
  <c r="S82" i="3"/>
  <c r="U82" i="3" s="1"/>
  <c r="S78" i="3"/>
  <c r="U78" i="3" s="1"/>
  <c r="S74" i="3"/>
  <c r="U74" i="3" s="1"/>
  <c r="S70" i="3"/>
  <c r="U70" i="3" s="1"/>
  <c r="S66" i="3"/>
  <c r="U66" i="3" s="1"/>
  <c r="U58" i="3"/>
  <c r="U54" i="3"/>
  <c r="U50" i="3"/>
  <c r="S50" i="3"/>
  <c r="S46" i="3"/>
  <c r="U46" i="3" s="1"/>
  <c r="S42" i="3"/>
  <c r="U42" i="3" s="1"/>
  <c r="S38" i="3"/>
  <c r="U38" i="3" s="1"/>
  <c r="S34" i="3"/>
  <c r="U34" i="3" s="1"/>
  <c r="U30" i="3"/>
  <c r="U26" i="3"/>
  <c r="U22" i="3"/>
  <c r="S18" i="3"/>
  <c r="U18" i="3" s="1"/>
  <c r="S14" i="3"/>
  <c r="U14" i="3" s="1"/>
  <c r="S10" i="3"/>
  <c r="U10" i="3" s="1"/>
  <c r="S6" i="3"/>
  <c r="U6" i="3" s="1"/>
  <c r="U2" i="3"/>
  <c r="S2" i="3"/>
  <c r="S1182" i="3"/>
  <c r="U1182" i="3" s="1"/>
  <c r="S1158" i="3"/>
  <c r="U1158" i="3" s="1"/>
  <c r="S1150" i="3"/>
  <c r="U1150" i="3" s="1"/>
  <c r="S1126" i="3"/>
  <c r="U1126" i="3" s="1"/>
  <c r="S1094" i="3"/>
  <c r="U1094" i="3" s="1"/>
  <c r="S1062" i="3"/>
  <c r="U1062" i="3" s="1"/>
  <c r="S1030" i="3"/>
  <c r="U1030" i="3" s="1"/>
  <c r="S998" i="3"/>
  <c r="U998" i="3" s="1"/>
  <c r="S966" i="3"/>
  <c r="U966" i="3" s="1"/>
  <c r="S934" i="3"/>
  <c r="U934" i="3" s="1"/>
  <c r="S886" i="3"/>
  <c r="U886" i="3" s="1"/>
  <c r="S858" i="3"/>
  <c r="U858" i="3" s="1"/>
  <c r="S830" i="3"/>
  <c r="U830" i="3" s="1"/>
  <c r="S758" i="3"/>
  <c r="S730" i="3"/>
  <c r="S702" i="3"/>
  <c r="U702" i="3" s="1"/>
  <c r="S630" i="3"/>
  <c r="U630" i="3" s="1"/>
  <c r="S602" i="3"/>
  <c r="U602" i="3" s="1"/>
  <c r="S574" i="3"/>
  <c r="U574" i="3" s="1"/>
  <c r="S502" i="3"/>
  <c r="U502" i="3" s="1"/>
  <c r="S474" i="3"/>
  <c r="U474" i="3" s="1"/>
  <c r="S446" i="3"/>
  <c r="U446" i="3" s="1"/>
  <c r="S374" i="3"/>
  <c r="U374" i="3" s="1"/>
  <c r="S346" i="3"/>
  <c r="U346" i="3" s="1"/>
  <c r="S318" i="3"/>
  <c r="U318" i="3" s="1"/>
  <c r="S246" i="3"/>
  <c r="U246" i="3" s="1"/>
  <c r="S232" i="3"/>
  <c r="U232" i="3" s="1"/>
  <c r="S218" i="3"/>
  <c r="U218" i="3" s="1"/>
  <c r="S190" i="3"/>
  <c r="U190" i="3" s="1"/>
  <c r="S160" i="3"/>
  <c r="U160" i="3" s="1"/>
  <c r="S132" i="3"/>
  <c r="U132" i="3" s="1"/>
  <c r="S118" i="3"/>
  <c r="U118" i="3" s="1"/>
  <c r="S104" i="3"/>
  <c r="U104" i="3" s="1"/>
  <c r="S90" i="3"/>
  <c r="U90" i="3" s="1"/>
  <c r="S62" i="3"/>
  <c r="U62" i="3" s="1"/>
  <c r="S32" i="3"/>
  <c r="U32" i="3" s="1"/>
  <c r="S4" i="3"/>
  <c r="U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014EF9-168C-4395-8C11-9FD568DBA6D7}" keepAlive="1" name="Consulta - Base SKUs" description="Conexão com a consulta 'Base SKUs' na pasta de trabalho." type="5" refreshedVersion="8" background="1" saveData="1">
    <dbPr connection="Provider=Microsoft.Mashup.OleDb.1;Data Source=$Workbook$;Location=&quot;Base SKUs&quot;;Extended Properties=&quot;&quot;" command="SELECT * FROM [Base SKUs]"/>
  </connection>
</connections>
</file>

<file path=xl/sharedStrings.xml><?xml version="1.0" encoding="utf-8"?>
<sst xmlns="http://schemas.openxmlformats.org/spreadsheetml/2006/main" count="52490" uniqueCount="6270">
  <si>
    <t>Item</t>
  </si>
  <si>
    <t>Description</t>
  </si>
  <si>
    <t>OnHandEach</t>
  </si>
  <si>
    <t>LfOnHand</t>
  </si>
  <si>
    <t>OnOrder</t>
  </si>
  <si>
    <t>Committed</t>
  </si>
  <si>
    <t>AverageCost</t>
  </si>
  <si>
    <t>OnHandCost</t>
  </si>
  <si>
    <t>BranchName</t>
  </si>
  <si>
    <t>BranchLocation</t>
  </si>
  <si>
    <t>BranchID</t>
  </si>
  <si>
    <t>100200</t>
  </si>
  <si>
    <t>Global LBM LLC</t>
  </si>
  <si>
    <t>Aventura</t>
  </si>
  <si>
    <t>9004</t>
  </si>
  <si>
    <t>ABPWBNERO4L</t>
  </si>
  <si>
    <t>Abodo Protector Water Borne -_x000D_
Nero (Black) - 4 Liters</t>
  </si>
  <si>
    <t>Global Miami</t>
  </si>
  <si>
    <t>Miami</t>
  </si>
  <si>
    <t>9007</t>
  </si>
  <si>
    <t>ABPWBWHITE4L</t>
  </si>
  <si>
    <t>Abodo Protector Water Borne -_x000D_
White - 4 Liters</t>
  </si>
  <si>
    <t>AGKD64610RS</t>
  </si>
  <si>
    <t>Angelim Pedra 6/4x6x10'_x000D_
(1.5x6x10') Rough Sawn</t>
  </si>
  <si>
    <t>Global Texas</t>
  </si>
  <si>
    <t>Houston</t>
  </si>
  <si>
    <t>9008</t>
  </si>
  <si>
    <t>AGKD64611RS</t>
  </si>
  <si>
    <t>Angelim Pedra 6/4x6x11'_x000D_
(1.5x6x11') Rough Sawn</t>
  </si>
  <si>
    <t>AGKD64612RS</t>
  </si>
  <si>
    <t>Angelim Pedra 6/4x6x12'_x000D_
(1.5x6x12') Rough Sawn</t>
  </si>
  <si>
    <t>AGKD64613RS</t>
  </si>
  <si>
    <t>Angelim Pedra 6/4x6x13'_x000D_
(1.5x6x13') Rough Sawn</t>
  </si>
  <si>
    <t>AGKD64614RS</t>
  </si>
  <si>
    <t>Angelim Pedra 6/4x6x14'_x000D_
(1.5x6x14') Rough Sawn</t>
  </si>
  <si>
    <t>AGKD64615RS</t>
  </si>
  <si>
    <t>Angelim Pedra 6/4x6x15'_x000D_
(1.5x6x15') Rough Sawn</t>
  </si>
  <si>
    <t>AGKD64616RS</t>
  </si>
  <si>
    <t>Angelim Pedra 6/4x6x16'_x000D_
(1.5x6x16') Rough Sawn</t>
  </si>
  <si>
    <t>AGKD64617RS</t>
  </si>
  <si>
    <t>Angelim Pedra 6/4x6x17'_x000D_
(1.5x6x17') Rough Sawn</t>
  </si>
  <si>
    <t>AGKD64618RS</t>
  </si>
  <si>
    <t>Angelim Pedra 6/4x6x18'_x000D_
(1.5x6x18') Rough Sawn</t>
  </si>
  <si>
    <t>AGKD64619RS</t>
  </si>
  <si>
    <t>Angelim Pedra 6/4x6x19'_x000D_
(1.5x6x19') Rough Sawn</t>
  </si>
  <si>
    <t>AGKD64620RS</t>
  </si>
  <si>
    <t>Angelim Pedra 6/4x6x20'_x000D_
(1.5x6x20') Rough Sawn</t>
  </si>
  <si>
    <t>AGKD64621RS</t>
  </si>
  <si>
    <t>Angelim Pedra 6/4x6x21'_x000D_
(1.5x6x21') Rough Sawn</t>
  </si>
  <si>
    <t>AGKD64622RS</t>
  </si>
  <si>
    <t>Angelim Pedra 6/4x6x22'_x000D_
(1.5x6x22') Rough Sawn</t>
  </si>
  <si>
    <t>AGKD64810RS</t>
  </si>
  <si>
    <t>Angelim Pedra 6/4x8x10'_x000D_
(1.5x8x10') Rough Sawn</t>
  </si>
  <si>
    <t>AGKD64811RS</t>
  </si>
  <si>
    <t>Angelim Pedra 6/4x8x11'_x000D_
(1.5x8x11') Rough Sawn</t>
  </si>
  <si>
    <t>AGKD64812RS</t>
  </si>
  <si>
    <t>Angelim Pedra 6/4x8x12'_x000D_
(1.5x8x12') Rough Sawn</t>
  </si>
  <si>
    <t>AGKD64813RS</t>
  </si>
  <si>
    <t>Angelim Pedra 6/4x8x13'_x000D_
(1.5x8x13') Rough Sawn</t>
  </si>
  <si>
    <t>AGKD64814RS</t>
  </si>
  <si>
    <t>Angelim Pedra 6/4x8x14'_x000D_
(1.5x8x14') Rough Sawn</t>
  </si>
  <si>
    <t>AGKD64815RS</t>
  </si>
  <si>
    <t>Angelim Pedra 6/4x8x15'_x000D_
(1.5x8x15') Rough Sawn</t>
  </si>
  <si>
    <t>AGKD64816RS</t>
  </si>
  <si>
    <t>Angelim Pedra 6/4x8x16'_x000D_
(1.5x8x16') Rough Sawn</t>
  </si>
  <si>
    <t>AGKD64817RS</t>
  </si>
  <si>
    <t>Angelim Pedra 6/4x8x17'_x000D_
(1.5x8x17') Rough Sawn</t>
  </si>
  <si>
    <t>AGKD64818RS</t>
  </si>
  <si>
    <t>Angelim Pedra 6/4x8x18'_x000D_
(1.5x8x18') Rough Sawn</t>
  </si>
  <si>
    <t>AGKD64819RS</t>
  </si>
  <si>
    <t>Angelim Pedra 6/4x8x19'_x000D_
(1.5x8x19') Rough Sawn</t>
  </si>
  <si>
    <t>AGKD64820RS</t>
  </si>
  <si>
    <t>Angelim Pedra 6/4x8x20'_x000D_
(1.5x8x20') Rough Sawn</t>
  </si>
  <si>
    <t>AGKD64821RS</t>
  </si>
  <si>
    <t>Angelim Pedra 6/4x8x21'_x000D_
(1.5x8x21') Rough Sawn</t>
  </si>
  <si>
    <t>AGKD64822RS</t>
  </si>
  <si>
    <t>Angelim Pedra 6/4x8x22'_x000D_
(1.5x8x22') Rough Sawn</t>
  </si>
  <si>
    <t>AGKD6489RS</t>
  </si>
  <si>
    <t>Angelim Pedra 6/4x8x9'_x000D_
(1.5x8x9') Rough Sawn</t>
  </si>
  <si>
    <t>AGKD84610RS</t>
  </si>
  <si>
    <t>Angelim Pedra 8/4x6x10'_x000D_
(2x6x10') Rough Sawn</t>
  </si>
  <si>
    <t>AGKD84611RS</t>
  </si>
  <si>
    <t>Angelim Pedra 8/4x6x11'_x000D_
(2x6x11') Rough Sawn</t>
  </si>
  <si>
    <t>AGKD84612RS</t>
  </si>
  <si>
    <t>Angelim Pedra 8/4x6x12'_x000D_
(2x6x12') Rough Sawn</t>
  </si>
  <si>
    <t>AGKD84613RS</t>
  </si>
  <si>
    <t>Angelim Pedra 8/4x6x13'_x000D_
(2x6x13') Rough Sawn</t>
  </si>
  <si>
    <t>AGKD84614RS</t>
  </si>
  <si>
    <t>Angelim Pedra 8/4x6x14'_x000D_
(2x6x14') Rough Sawn</t>
  </si>
  <si>
    <t>AGKD84615RS</t>
  </si>
  <si>
    <t>Angelim Pedra 8/4x6x15'_x000D_
(2x6x15') Rough Sawn</t>
  </si>
  <si>
    <t>AGKD84616RS</t>
  </si>
  <si>
    <t>Angelim Pedra 8/4x6x16'_x000D_
(2x6x16') Rough Sawn</t>
  </si>
  <si>
    <t>AGKD84617RS</t>
  </si>
  <si>
    <t>Angelim Pedra 8/4x6x17'_x000D_
(2x6x17') Rough Sawn</t>
  </si>
  <si>
    <t>AGKD84618RS</t>
  </si>
  <si>
    <t>Angelim Pedra 8/4x6x18'_x000D_
(2x6x18') Rough Sawn</t>
  </si>
  <si>
    <t>AGKD84619RS</t>
  </si>
  <si>
    <t>Angelim Pedra 8/4x6x19'_x000D_
(2x6x19') Rough Sawn</t>
  </si>
  <si>
    <t>AGKD84620RS</t>
  </si>
  <si>
    <t>Angelim Pedra 8/4x6x20'_x000D_
(2x6x20') Rough Sawn</t>
  </si>
  <si>
    <t>AGKD84621RS</t>
  </si>
  <si>
    <t>Angelim Pedra 8/4x6x21'_x000D_
(2x6x21') Rough Sawn</t>
  </si>
  <si>
    <t>AGKD84622RS</t>
  </si>
  <si>
    <t>Angelim Pedra 8/4x6x22'_x000D_
(2x6x22') Rough Sawn</t>
  </si>
  <si>
    <t>AGKD84623RS</t>
  </si>
  <si>
    <t>Angelim Pedra 8/4x6x23'_x000D_
(2x6x23') Rough Sawn</t>
  </si>
  <si>
    <t>ARP1610</t>
  </si>
  <si>
    <t>Maximo Accoya Natural 1x6x10' _x000D_
(Net 3/4" x 5.75")</t>
  </si>
  <si>
    <t>ARP1614</t>
  </si>
  <si>
    <t>Maximo Accoya Natural 1x6x14' _x000D_
(Net 3/4" x 5.75")</t>
  </si>
  <si>
    <t>ARP1616</t>
  </si>
  <si>
    <t>Maximo Accoya Natural 1x6x16' _x000D_
(Net 3/4" x 5.75")</t>
  </si>
  <si>
    <t>ARP54612</t>
  </si>
  <si>
    <t>Maximo Accoya Natural 5/4x6x12' _x000D_
(Net 1" x 5.75")</t>
  </si>
  <si>
    <t>ARP54614</t>
  </si>
  <si>
    <t>Maximo Accoya Natural 5/4x6x14' _x000D_
(Net 1" x 5.75")</t>
  </si>
  <si>
    <t>ARP54616</t>
  </si>
  <si>
    <t>Maximo Accoya Natural 5/4x6x16' _x000D_
(Net 1" x 5.75")</t>
  </si>
  <si>
    <t>BW2610S</t>
  </si>
  <si>
    <t>Massaranduba Bullet Wood 2x6x10'_x000D_
(1.5" x 5.5") S4S E4E</t>
  </si>
  <si>
    <t>BW4412S</t>
  </si>
  <si>
    <t>Massaranduba Bullet Wood_x000D_
4x4x12'(3.5" x 3.5") Air_x000D_
Dried S4S E4E</t>
  </si>
  <si>
    <t>BW4414S</t>
  </si>
  <si>
    <t>Massaranduba Bullet Wood_x000D_
4x4x14'(3.5" x 3.5") Air_x000D_
Dried S4S E4E</t>
  </si>
  <si>
    <t>Global Boston</t>
  </si>
  <si>
    <t>East Weymouth</t>
  </si>
  <si>
    <t>9009</t>
  </si>
  <si>
    <t>BW4416S</t>
  </si>
  <si>
    <t>Massaranduba Bullet Wood_x000D_
4x4x16'(3.5" x 3.5") Air_x000D_
Dried S4S E4E</t>
  </si>
  <si>
    <t>BW4418S</t>
  </si>
  <si>
    <t>Massaranduba Bullet Wood_x000D_
4x4x18'(3.5" x 3.5") Air_x000D_
Dried S4S E4E</t>
  </si>
  <si>
    <t>BW4420S</t>
  </si>
  <si>
    <t>Massaranduba Bullet Wood_x000D_
4x4x20'(3.5" x 3.5") Air_x000D_
Dried S4S E4E</t>
  </si>
  <si>
    <t>BW4422S</t>
  </si>
  <si>
    <t>Massaranduba Bullet Wood_x000D_
4x4x22'(3.5" x 3.5") Air_x000D_
Dried S4S E4E</t>
  </si>
  <si>
    <t>BW448S</t>
  </si>
  <si>
    <t>Massaranduba Bullet Wood_x000D_
4x4x8'(3.5" x 3.5") Air_x000D_
Dried S4S E4E</t>
  </si>
  <si>
    <t>BW6610S</t>
  </si>
  <si>
    <t>Massaranduba Bullet Wood 6x6x10'_x000D_
(5.5" x 5.5") Air Dried S4S E4E</t>
  </si>
  <si>
    <t>BW6612S</t>
  </si>
  <si>
    <t>Massaranduba Bullet Wood 6x6x12'_x000D_
(5.5" x 5.5") Air Dried S4S E4E</t>
  </si>
  <si>
    <t>BW6614S</t>
  </si>
  <si>
    <t>Massaranduba Bullet Wood 6x6x14'_x000D_
(5.5" x 5.5") Air Dried S4S E4E</t>
  </si>
  <si>
    <t>BW6616S</t>
  </si>
  <si>
    <t>Massaranduba Bullet Wood 6x6x16'_x000D_
(5.5" x 5.5") Air Dried S4S E4E</t>
  </si>
  <si>
    <t>BW6618S</t>
  </si>
  <si>
    <t>Massaranduba Bullet Wood 6x6x18'_x000D_
(5.5" x 5.5") Air Dried S4S E4E</t>
  </si>
  <si>
    <t>BW6620S</t>
  </si>
  <si>
    <t>Massaranduba Bullet Wood 6x6x20'_x000D_
(5.5" x 5.5") Air Dried S4S E4E</t>
  </si>
  <si>
    <t>BW668S</t>
  </si>
  <si>
    <t>Massaranduba Bullet Wood 6x6x8'_x000D_
(5.5" x 5.5") Air Dried S4S E4E</t>
  </si>
  <si>
    <t>BWKD11010S</t>
  </si>
  <si>
    <t>Massaranduba Bullet Wood_x000D_
1x10x10' (3/4" x 9.25") S4S E4E</t>
  </si>
  <si>
    <t>BWKD1108S</t>
  </si>
  <si>
    <t>Massaranduba Bullet Wood 1x10x8'_x000D_
(3/4" x 9.25") S4S E4E</t>
  </si>
  <si>
    <t>BWKD11212S</t>
  </si>
  <si>
    <t>Massaranduba Bullet Wood_x000D_
1x12x12' (3/4" x 11.25") S4S E4E</t>
  </si>
  <si>
    <t>BWKD11214S</t>
  </si>
  <si>
    <t>Massaranduba Bullet Wood_x000D_
1x12x14' (3/4" x 11.25") S4S E4E</t>
  </si>
  <si>
    <t>BWKD1410S</t>
  </si>
  <si>
    <t>Massaranduba Bullet Wood_x000D_
1x4x10'(3/4" x 3.5") Kiln Dried_x000D_
S4S E4E</t>
  </si>
  <si>
    <t>BWKD1411S</t>
  </si>
  <si>
    <t>Massaranduba Bullet Wood_x000D_
1x4x11'(3/4" x 3.5") Kiln Dried_x000D_
S4S E4E</t>
  </si>
  <si>
    <t>BWKD1412S</t>
  </si>
  <si>
    <t>Massaranduba Bullet Wood_x000D_
1x4x12'(3/4" x 3.5") Kiln Dried_x000D_
S4S E4E</t>
  </si>
  <si>
    <t>BWKD1413S</t>
  </si>
  <si>
    <t>Massaranduba Bullet Wood_x000D_
1x4x13'(3/4" x 3.5") Kiln Dried_x000D_
S4S E4E</t>
  </si>
  <si>
    <t>BWKD1414S</t>
  </si>
  <si>
    <t>Massaranduba Bullet Wood_x000D_
1x4x14'(3/4" x 3.5") Kiln Dried_x000D_
S4S E4E</t>
  </si>
  <si>
    <t>BWKD1415S</t>
  </si>
  <si>
    <t>Massaranduba Bullet Wood_x000D_
1x4x15'(3/4" x 3.5") Kiln Dried_x000D_
S4S E4E</t>
  </si>
  <si>
    <t>BWKD1417S</t>
  </si>
  <si>
    <t>Massaranduba Bullet Wood_x000D_
1x4x17'(3/4" x 3.5") Kiln Dried_x000D_
S4S E4E</t>
  </si>
  <si>
    <t>BWKD1419S</t>
  </si>
  <si>
    <t>Massaranduba Bullet Wood_x000D_
1x4x19'(3/4" x 3.5") Kiln Dried_x000D_
S4S E4E</t>
  </si>
  <si>
    <t>BWKD1420S</t>
  </si>
  <si>
    <t>Massaranduba Bullet Wood_x000D_
1x4x20'(3/4" x 3.5") Kiln Dried_x000D_
S4S E4E</t>
  </si>
  <si>
    <t>BWKD1422S</t>
  </si>
  <si>
    <t>Massaranduba Bullet Wood_x000D_
1x4x22'(3/4" x 3.5") Kiln Dried_x000D_
S4S E4E</t>
  </si>
  <si>
    <t>BWKD148S</t>
  </si>
  <si>
    <t>Massaranduba Bullet Wood_x000D_
1x4x8'(3/4" x 3.5") Kiln Dried_x000D_
S4S E4E</t>
  </si>
  <si>
    <t>BWKD149S</t>
  </si>
  <si>
    <t>Massaranduba Bullet Wood_x000D_
1x4x9'(3/4" x 3.5") Kiln Dried_x000D_
S4S E4E</t>
  </si>
  <si>
    <t>BWKD1812S</t>
  </si>
  <si>
    <t>Massaranduba Bullet Wood 1x8x12'_x000D_
(3/4" x 7.25") S4S E4E</t>
  </si>
  <si>
    <t>BWKD1814S</t>
  </si>
  <si>
    <t>Massaranduba Bullet Wood 1x8x14'_x000D_
(3/4" x 7.25") S4S E4E</t>
  </si>
  <si>
    <t>BWKD228S</t>
  </si>
  <si>
    <t>Massaranduba Bullet Wood 2x2x8'_x000D_
(1.5" x 1.5") Kiln Dried S4S E4E</t>
  </si>
  <si>
    <t>BWKD229S</t>
  </si>
  <si>
    <t>Massaranduba Bullet Wood 2x2x9'_x000D_
(1.5" x 1.5") Kiln Dried S4S E4E</t>
  </si>
  <si>
    <t>BWKD54410S</t>
  </si>
  <si>
    <t>Massaranduba Bullet Wood_x000D_
5/4x4x10' (1" x 3.5") S4S E4E</t>
  </si>
  <si>
    <t>BWKD54412S</t>
  </si>
  <si>
    <t>Massaranduba Bullet Wood_x000D_
5/4x4x12' (1" x 3.5") S4S E4E</t>
  </si>
  <si>
    <t>BWKD54414S</t>
  </si>
  <si>
    <t>Massaranduba Bullet Wood_x000D_
5/4x4x14' (1" x 3.5") S4S E4E</t>
  </si>
  <si>
    <t>BWKD54416S</t>
  </si>
  <si>
    <t>Massaranduba Bullet Wood_x000D_
5/4x4x16' (1" x 3.5") S4S E4E</t>
  </si>
  <si>
    <t>BWKD54418S</t>
  </si>
  <si>
    <t>Massaranduba Bullet Wood_x000D_
5/4x4x18' (1" x 3.5") S4S E4E</t>
  </si>
  <si>
    <t>BWKD54420S</t>
  </si>
  <si>
    <t>Massaranduba Bullet Wood_x000D_
5/4x4x20' (1" x 3.5") S4S E4E</t>
  </si>
  <si>
    <t>BWKD54422S</t>
  </si>
  <si>
    <t>Massaranduba Bullet Wood_x000D_
5/4x4x22' (1" x 3.5") S4S E4E</t>
  </si>
  <si>
    <t>BWKD5448S</t>
  </si>
  <si>
    <t>Massaranduba Bullet Wood_x000D_
5/4x4x8' (1" x 3.5") S4S E4E</t>
  </si>
  <si>
    <t>BWKD54614S</t>
  </si>
  <si>
    <t>Massaranduba Bullet Wood_x000D_
5/4x6x14'(1" x 5.5")_x000D_
Kiln Dried S4 E4E</t>
  </si>
  <si>
    <t>BWKD54618S</t>
  </si>
  <si>
    <t>Massaranduba Bullet Wood_x000D_
5/4x6x18'(1" x 5.5")_x000D_
Kiln Dried S4 E4E</t>
  </si>
  <si>
    <t>BWKD54622S</t>
  </si>
  <si>
    <t>Massaranduba Bullet Wood_x000D_
5/4x6x22'(1" x 5.5")_x000D_
Kiln Dried S4 E4E</t>
  </si>
  <si>
    <t>CM31020S</t>
  </si>
  <si>
    <t>Cumaru Maximo 3x10x20' Net size_x000D_
(2.5" x 9.5") AirDried S4S E4E</t>
  </si>
  <si>
    <t>CM3108S</t>
  </si>
  <si>
    <t>Cumaru Maximo 3"x10"x8'(2.5" x_x000D_
9.25") AirDried S4S E4E</t>
  </si>
  <si>
    <t>CM31216S</t>
  </si>
  <si>
    <t>Cumaru 3x12x16' (2.5"  x 11.25")_x000D_
Air Dried FAS S4S E4E</t>
  </si>
  <si>
    <t>CM3614S</t>
  </si>
  <si>
    <t>Cumaru 3x6x14' (2.5" x  5.5")_x000D_
Air_x000D_
Dried FAS S4S E4E</t>
  </si>
  <si>
    <t>CM3616S</t>
  </si>
  <si>
    <t>Cumaru 3x6x16' (2.5" x  5.5")_x000D_
Air Dried FAS S4S E4E</t>
  </si>
  <si>
    <t>CM3812S</t>
  </si>
  <si>
    <t>Cumaru 3x8x12' (2.5"  x7.25")_x000D_
Air_x000D_
Dried FAS S4S E4E</t>
  </si>
  <si>
    <t>CM3814S</t>
  </si>
  <si>
    <t>Cumaru 3x8x14' (2.5"  x7.25")_x000D_
Air_x000D_
Dried FAS S4S E4E</t>
  </si>
  <si>
    <t>CM3816S</t>
  </si>
  <si>
    <t>Cumaru 3x8x16' (2.5" x 7.25")_x000D_
Air_x000D_
Dried FAS S4S E4E</t>
  </si>
  <si>
    <t>CM3820S</t>
  </si>
  <si>
    <t>Cumaru 3x8x20' (2.5"  x7.25")_x000D_
Air_x000D_
Dried FAS S4S E4E</t>
  </si>
  <si>
    <t>CM388S</t>
  </si>
  <si>
    <t>Cumaru 3x8x8' (2.5"  x7.25")_x000D_
Air_x000D_
Dried FAS S4S E4E</t>
  </si>
  <si>
    <t>CM3912S</t>
  </si>
  <si>
    <t>Cumaru 3x9x12' (2.5" x  8.5")_x000D_
Air_x000D_
Dried FAS S4S E4E</t>
  </si>
  <si>
    <t>CM4410S</t>
  </si>
  <si>
    <t>Cumaru Maximo 4x4x10'(3.5" x_x000D_
3.5") FSC 100% AirDried S4S E4E</t>
  </si>
  <si>
    <t>CM4414S</t>
  </si>
  <si>
    <t>Cumaru Maximo 4"x4"x14'(3.25" x_x000D_
3.25") AirDried S4S E4E</t>
  </si>
  <si>
    <t>CM448S</t>
  </si>
  <si>
    <t>Cumaru Maximo 4"x4"x8'(3.25" x_x000D_
3.25") AirDried S4S E4E</t>
  </si>
  <si>
    <t>CM4812S</t>
  </si>
  <si>
    <t>Cumaru 4x8x12' (3.5" x  7.25")_x000D_
Air Dried S4S E4E</t>
  </si>
  <si>
    <t>CM4814S</t>
  </si>
  <si>
    <t>Cumaru 4x8x14' (3.5" x  7.25")_x000D_
Air Dried S4S E4E</t>
  </si>
  <si>
    <t>CM4816S</t>
  </si>
  <si>
    <t>Cumaru 4x8x16' (3.5" x  7.25")_x000D_
Air Dried S4S E4E</t>
  </si>
  <si>
    <t>CM5014014S</t>
  </si>
  <si>
    <t>Cumaru Maximo 50mm X 140mm X 14'_x000D_
(2"x 5.5") Kiln Dried S4S E4E</t>
  </si>
  <si>
    <t>CM61214S</t>
  </si>
  <si>
    <t>Cumaru 6x12x14' (5.5" x 11.25")_x000D_
Air Dried S4S E4E</t>
  </si>
  <si>
    <t>CM61216S</t>
  </si>
  <si>
    <t>Cumaru 6x12x16' (5.5" x 11.25")_x000D_
Air Dried S4S E4E</t>
  </si>
  <si>
    <t>CM6612S</t>
  </si>
  <si>
    <t>Cumaru Maximo 6x6x12'(5.5" x_x000D_
5.5") Air Dried S4S E4E</t>
  </si>
  <si>
    <t>CM6614S</t>
  </si>
  <si>
    <t>Cumaru Maximo 6x6x14'(5.5" x_x000D_
5.5") AirDried S4S E4E</t>
  </si>
  <si>
    <t>CM6616S</t>
  </si>
  <si>
    <t>Cumaru Maximo 6x6x16'(5.5" x_x000D_
5.5") AirDried S4S E4E</t>
  </si>
  <si>
    <t>CM6812S</t>
  </si>
  <si>
    <t>Cumaru 6x8x12' (5.5" x  7.25")_x000D_
Air Dried S4S E4E</t>
  </si>
  <si>
    <t>CM6814S</t>
  </si>
  <si>
    <t>Cumaru 6x8x14' (5.5" x  7.25")_x000D_
Air Dried S4S E4E</t>
  </si>
  <si>
    <t>CM6816S</t>
  </si>
  <si>
    <t>Cumaru 6x8x16' (5.5" x  7.25")_x000D_
Air Dried S4S E4E</t>
  </si>
  <si>
    <t>CM8816S</t>
  </si>
  <si>
    <t>Cumaru Maximo 8x8x16'(7.25" x_x000D_
7.25") AirDried S4S E4E</t>
  </si>
  <si>
    <t>CM8818S</t>
  </si>
  <si>
    <t>Cumaru Maximo 8x8x18'(7.25" x_x000D_
7.25") AirDried S4S E4E</t>
  </si>
  <si>
    <t>CM8820S</t>
  </si>
  <si>
    <t>Cumaru Maximo 8x8x20'(7.25" x_x000D_
7.25") AirDried S4S E4E</t>
  </si>
  <si>
    <t>CM888S</t>
  </si>
  <si>
    <t>Cumaru Maximo 8x8x8'(7.25" x_x000D_
7.25") AirDried S4S E4E</t>
  </si>
  <si>
    <t>CMKD1410MS</t>
  </si>
  <si>
    <t>Cumaru Maximo 1x4x10' Net_x000D_
Size(7/8" x 4-3/4") Kiln Dried_x000D_
S4S E4E</t>
  </si>
  <si>
    <t>CMKD1411MS</t>
  </si>
  <si>
    <t>Cumaru Maximo 1x4x11' Net_x000D_
Size(7/8" x 3-3/4") Kiln Dried_x000D_
S4SE4E</t>
  </si>
  <si>
    <t>CMKD1412MS</t>
  </si>
  <si>
    <t>Cumaru Maximo 1x4x12' Net_x000D_
Size(7/8" x 3-3/4") Kiln Dried_x000D_
S4SE4E</t>
  </si>
  <si>
    <t>CMKD1413MS</t>
  </si>
  <si>
    <t>Cumaru Maximo 1x4x13' Net_x000D_
Size(7/8" x 3-3/4") Kiln Dried_x000D_
S4SE4E</t>
  </si>
  <si>
    <t>CMKD1414MS</t>
  </si>
  <si>
    <t>Cumaru Maximo 1x4x14' Net_x000D_
Size(7/8" x 3-3/4") Kiln Dried_x000D_
S4SE4E</t>
  </si>
  <si>
    <t>CMKD1415MS</t>
  </si>
  <si>
    <t>Cumaru Maximo 1x4x15' Net_x000D_
Size(7/8" x 3-3/4") Kiln Dried_x000D_
S4SE4E</t>
  </si>
  <si>
    <t>CMKD1416MS</t>
  </si>
  <si>
    <t>Cumaru Maximo 1x4x16' Net_x000D_
Size(7/8" x 3-3/4") Kiln Dried_x000D_
S4SE4E</t>
  </si>
  <si>
    <t>CMKD1417MS</t>
  </si>
  <si>
    <t>Cumaru Maximo 1x4x17' Net_x000D_
Size(7/8" x 3-3/4") Kiln Dried_x000D_
S4SE4E</t>
  </si>
  <si>
    <t>CMKD1418MS</t>
  </si>
  <si>
    <t>Cumaru Maximo 1x4x18' Net_x000D_
Size(7/8" x 3-3/4") Kiln Dried_x000D_
S4SE4E</t>
  </si>
  <si>
    <t>CMKD1419MS</t>
  </si>
  <si>
    <t>Cumaru Maximo 1x4x19' Net_x000D_
Size(7/8" x 3-3/4") Kiln Dried_x000D_
S4SE4E</t>
  </si>
  <si>
    <t>CMKD1420MS</t>
  </si>
  <si>
    <t>Cumaru Maximo 1x4x20' Net_x000D_
Size(7/8" x 3-3/4") Kiln Dried_x000D_
S4SE4E</t>
  </si>
  <si>
    <t>CMKD1421MS</t>
  </si>
  <si>
    <t>Cumaru Maximo 1x4x21' Net_x000D_
Size(7/8" x 3-3/4") Kiln Dried_x000D_
S4SE4E</t>
  </si>
  <si>
    <t>CMKD1422MS</t>
  </si>
  <si>
    <t>Cumaru Maximo 1x4x22' Net_x000D_
Size(7/8" x 3-3/4") Kiln Dried_x000D_
S4SE4E</t>
  </si>
  <si>
    <t>CMKD146MS</t>
  </si>
  <si>
    <t>Cumaru Maximo 1x4x6' Net_x000D_
Size(7/8" x 3-3/4") Kiln Dried_x000D_
S4SE4E</t>
  </si>
  <si>
    <t>CMKD147MS</t>
  </si>
  <si>
    <t>Cumaru Maximo 1x4x7' Net_x000D_
Size(7/8" x 3-3/4") Kiln Dried_x000D_
S4SE4E</t>
  </si>
  <si>
    <t>CMKD148MS</t>
  </si>
  <si>
    <t>Cumaru Maximo 1x4x8' Net_x000D_
Size(7/8" x 3-3/4") Kiln Dried_x000D_
S4SE4E</t>
  </si>
  <si>
    <t>CMKD149MS</t>
  </si>
  <si>
    <t>Cumaru Maximo 1x4x9' Net_x000D_
Size(7/8" x 3-3/4") Kiln Dried_x000D_
S4SE4E</t>
  </si>
  <si>
    <t>CMKD1610MS</t>
  </si>
  <si>
    <t>Cumaru Maximo 1x6x10' Net_x000D_
Size(7/8" x 5-3/4") Kiln Dried_x000D_
S4SE4E</t>
  </si>
  <si>
    <t>CMKD1610S</t>
  </si>
  <si>
    <t>Cumaru Maximo 1x6x10'(3/4" x_x000D_
5.5") Kiln Dried S4S E4E</t>
  </si>
  <si>
    <t>CMKD1611MS</t>
  </si>
  <si>
    <t>Cumaru Maximo 1x6x11' Net_x000D_
Size(7/8" x 5-3/4") Kiln Dried_x000D_
S4SE4E</t>
  </si>
  <si>
    <t>CMKD1612MS</t>
  </si>
  <si>
    <t>Cumaru Maximo 1x6x12' Net_x000D_
Size(7/8" x 5-3/4") Kiln Dried_x000D_
S4SE4E</t>
  </si>
  <si>
    <t>CMKD1612S</t>
  </si>
  <si>
    <t>Cumaru Maximo 1x6x12'(3/4" x_x000D_
5.5") Kiln Dried S4S E4E</t>
  </si>
  <si>
    <t>CMKD1613MS</t>
  </si>
  <si>
    <t>Cumaru Maximo 1x6x13' Net_x000D_
Size(7/8" x 5-3/4") Kiln Dried_x000D_
S4SE4E</t>
  </si>
  <si>
    <t>CMKD1614MS</t>
  </si>
  <si>
    <t>Cumaru Maximo 1x6x14' Net_x000D_
Size(7/8" x 5-3/4") Kiln Dried_x000D_
S4SE4E</t>
  </si>
  <si>
    <t>CMKD1614S</t>
  </si>
  <si>
    <t>Cumaru Maximo 1x6x14'(3/4" x_x000D_
5.5") Kiln Dried S4S E4E</t>
  </si>
  <si>
    <t>CMKD1615MS</t>
  </si>
  <si>
    <t>Cumaru Maximo 1x6x15' Net_x000D_
Size(7/8" x 5-3/4") Kiln Dried_x000D_
S4SE4E</t>
  </si>
  <si>
    <t>CMKD1616MS</t>
  </si>
  <si>
    <t>Cumaru Maximo 1x6x16' Net_x000D_
Size(7/8" x 5-3/4") Kiln Dried_x000D_
S4SE4E</t>
  </si>
  <si>
    <t>CMKD1616S</t>
  </si>
  <si>
    <t>Cumaru Maximo 1x6x16'(3/4" x_x000D_
5.5") Kiln Dried S4S E4E</t>
  </si>
  <si>
    <t>Global NY</t>
  </si>
  <si>
    <t>Ronkonkoma</t>
  </si>
  <si>
    <t>9011</t>
  </si>
  <si>
    <t>CMKD1617MS</t>
  </si>
  <si>
    <t>Cumaru Maximo 1x6x17' Net_x000D_
Size(7/8" x 5-3/4") Kiln Dried_x000D_
S4SE4E</t>
  </si>
  <si>
    <t>CMKD1617S</t>
  </si>
  <si>
    <t>Cumaru Maximo 1x6x17'(3/4" x_x000D_
5.5") Kiln Dried S4S E4E</t>
  </si>
  <si>
    <t>CMKD1618MS</t>
  </si>
  <si>
    <t>Cumaru Maximo 1x6x18' Net_x000D_
Size(7/8" x 5-3/4") Kiln Dried_x000D_
S4SE4E</t>
  </si>
  <si>
    <t>CMKD1618S</t>
  </si>
  <si>
    <t>Cumaru Maximo 1x6x18'(3/4" x_x000D_
5.5") Kiln Dried S4S E4E</t>
  </si>
  <si>
    <t>CMKD1619MS</t>
  </si>
  <si>
    <t>Cumaru Maximo 1x6x19' Net_x000D_
Size(7/8" x 5-3/4") Kiln Dried_x000D_
S4SE4E</t>
  </si>
  <si>
    <t>CMKD1620MS</t>
  </si>
  <si>
    <t>Cumaru Maximo 1x6x20' Net_x000D_
Size(7/8" x 5-3/4") Kiln Dried_x000D_
S4SE4E</t>
  </si>
  <si>
    <t>CMKD163S</t>
  </si>
  <si>
    <t>Cumaru Maximo 1x6x3'(3/4" x_x000D_
5.5") Kiln Dried S4S E4E</t>
  </si>
  <si>
    <t>CMKD164S</t>
  </si>
  <si>
    <t>Cumaru Maximo 1x6x4'(3/4" x_x000D_
5.5") Kiln Dried S4S E4E</t>
  </si>
  <si>
    <t>CMKD165S</t>
  </si>
  <si>
    <t>Cumaru Maximo 1x6x5'(3/4" x_x000D_
5.5") Kiln Dried S4S E4E</t>
  </si>
  <si>
    <t>CMKD166MS</t>
  </si>
  <si>
    <t>Cumaru Maximo 1x6x6' Net_x000D_
Size(7/8" x 5-3/4") Kiln Dried_x000D_
S4SE4E</t>
  </si>
  <si>
    <t>CMKD166S</t>
  </si>
  <si>
    <t>Cumaru Maximo 1x6x6'(3/4" x_x000D_
5.5") Kiln Dried S4S E4E</t>
  </si>
  <si>
    <t>CMKD167MS</t>
  </si>
  <si>
    <t>CMKD167S</t>
  </si>
  <si>
    <t>Cumaru Maximo 1x6x7'(3/4" x_x000D_
5.5") Kiln Dried S4S E4E</t>
  </si>
  <si>
    <t>CMKD168MS</t>
  </si>
  <si>
    <t>Cumaru Maximo 1x6x8' Net_x000D_
Size(7/8" x 5-3/4") Kiln Dried_x000D_
S4SE4E</t>
  </si>
  <si>
    <t>CMKD168S</t>
  </si>
  <si>
    <t>Cumaru Maximo 1x6x8'(3/4" x_x000D_
5.5") Kiln Dried S4S E4E</t>
  </si>
  <si>
    <t>CMKD169MS</t>
  </si>
  <si>
    <t>Cumaru Maximo 1x6x9' Net_x000D_
Size(7/8" x 5-3/4") Kiln Dried_x000D_
S4SE4E</t>
  </si>
  <si>
    <t>CMKD169S</t>
  </si>
  <si>
    <t>Cumaru Maximo 1x6x9'(3/4" x_x000D_
5.5") Kiln Dried S4S E4E</t>
  </si>
  <si>
    <t>CMKD2114510S</t>
  </si>
  <si>
    <t>Cumaru Maximo 21mm x 145mm x 10'_x000D_
Kiln Dried S4S E4E</t>
  </si>
  <si>
    <t>CMKD2114511S</t>
  </si>
  <si>
    <t>Cumaru Maximo 21mm x 145mm x 11'_x000D_
Kiln Dried S4S E4E</t>
  </si>
  <si>
    <t>CMKD2114512S</t>
  </si>
  <si>
    <t>Cumaru Maximo 21mm x 145mm x 12'_x000D_
Kiln Dried S4S E4E</t>
  </si>
  <si>
    <t>CMKD2114513S</t>
  </si>
  <si>
    <t>Cumaru Maximo 21mm x 145mm x 13'_x000D_
Kiln Dried S4S E4E</t>
  </si>
  <si>
    <t>CMKD2114514S</t>
  </si>
  <si>
    <t>Cumaru Maximo 21mm x 145mm x 14'_x000D_
Kiln Dried S4S E4E</t>
  </si>
  <si>
    <t>CMKD2114515S</t>
  </si>
  <si>
    <t>Cumaru Maximo 21mm x 145mm x 15'_x000D_
Kiln Dried S4S E4E</t>
  </si>
  <si>
    <t>CMKD2114516S</t>
  </si>
  <si>
    <t>Cumaru Maximo 21mm x 145mm x 16'_x000D_
Kiln Dried S4S E4E</t>
  </si>
  <si>
    <t>CMKD2114517S</t>
  </si>
  <si>
    <t>Cumaru Maximo 21mm x 145mm x 17'_x000D_
Kiln Dried S4S E4E</t>
  </si>
  <si>
    <t>CMKD2114518S</t>
  </si>
  <si>
    <t>Cumaru Maximo 21mm x 145mm x 18'_x000D_
Kiln Dried S4S E4E</t>
  </si>
  <si>
    <t>CMKD2114519S</t>
  </si>
  <si>
    <t>Cumaru Maximo 21mm x 145mm x 19'_x000D_
Kiln Dried S4S E4E</t>
  </si>
  <si>
    <t>CMKD2114520S</t>
  </si>
  <si>
    <t>Cumaru Maximo 21mm x 145mm x 20'_x000D_
Kiln Dried S4S E4E</t>
  </si>
  <si>
    <t>CMKD211456S</t>
  </si>
  <si>
    <t>Cumaru Maximo 21mm x 145mm x 6'_x000D_
Kiln Dried S4S E4E</t>
  </si>
  <si>
    <t>CMKD211457S</t>
  </si>
  <si>
    <t>Cumaru Maximo 21mm x 145mm x 7'_x000D_
Kiln Dried S4S E4E</t>
  </si>
  <si>
    <t>CMKD211458S</t>
  </si>
  <si>
    <t>Cumaru Maximo 21mm x 145mm x 8'_x000D_
Kiln Dried S4S E4E</t>
  </si>
  <si>
    <t>CMKD211459S</t>
  </si>
  <si>
    <t>Cumaru Maximo 21mm x 145mm x 9'_x000D_
Kiln Dried S4S E4E</t>
  </si>
  <si>
    <t>CMKD2310S</t>
  </si>
  <si>
    <t>Cumaru Maximo 2x3x10' (1.5"x3")_x000D_
Kiln Dried S4S E4E</t>
  </si>
  <si>
    <t>CMKD2312S</t>
  </si>
  <si>
    <t>Cumaru Maximo 2x3x12' (1.5"x3")_x000D_
Kiln Dried S4S E4E</t>
  </si>
  <si>
    <t>CMKD236S</t>
  </si>
  <si>
    <t>Cumaru Maximo 2x3x6' (1.5"x3")_x000D_
Kiln Dried S4S E4E</t>
  </si>
  <si>
    <t>CMKD238S</t>
  </si>
  <si>
    <t>Cumaru Maximo 2x3x8' (1.5"x3")_x000D_
Kiln Dried S4S E4E</t>
  </si>
  <si>
    <t>CMKD2410S</t>
  </si>
  <si>
    <t>Cumaru Maximo 2x4x10' (1.5"x_x000D_
3.5") Kiln Dried S4S E4E</t>
  </si>
  <si>
    <t>CMKD2412S</t>
  </si>
  <si>
    <t>Cumaru Maximo 2x4x12' (1.5"x_x000D_
3.5") Kiln Dried S4S E4E</t>
  </si>
  <si>
    <t>CMKD2414S</t>
  </si>
  <si>
    <t>Cumaru Maximo 2x4x14' (1.5"x_x000D_
3.5") Kiln Dried S4S E4E</t>
  </si>
  <si>
    <t>CMKD2416S</t>
  </si>
  <si>
    <t>Cumaru Maximo 2x4x16' (1.5"x_x000D_
3.5") Kiln Dried S4S E4E</t>
  </si>
  <si>
    <t>CMKD2418S</t>
  </si>
  <si>
    <t>Cumaru Maximo 2x4x18' (1.5"x_x000D_
3.5") Kiln Dried S4S E4E</t>
  </si>
  <si>
    <t>CMKD2420S</t>
  </si>
  <si>
    <t>Cumaru Maximo 2x4x20' (1.5"x_x000D_
3.5") Kiln Dried S4S E4E</t>
  </si>
  <si>
    <t>CMKD248S</t>
  </si>
  <si>
    <t>Cumaru Maximo 2x4x8' (1.5"x_x000D_
3.5") Kiln Dried S4S E4E</t>
  </si>
  <si>
    <t>CMKD2611S</t>
  </si>
  <si>
    <t>Cumaru Maximo 2x6x11' (1.5"x_x000D_
5.5") Kiln Dried S4S E4E</t>
  </si>
  <si>
    <t>CMKD2612S</t>
  </si>
  <si>
    <t>Cumaru Maximo 2x6x12' (1.5"x_x000D_
5.5") Kiln Dried S4S E4E</t>
  </si>
  <si>
    <t>CMKD2621S</t>
  </si>
  <si>
    <t>Cumaru Maximo 2x6x21' (1.5"x_x000D_
5.5") Kiln Dried S4S E4E</t>
  </si>
  <si>
    <t>CMKD263S</t>
  </si>
  <si>
    <t>Cumaru Maximo 2x6x3' (1.5"x_x000D_
5.5") Kiln Dried S4S E4E</t>
  </si>
  <si>
    <t>CMKD264S</t>
  </si>
  <si>
    <t>Cumaru Maximo 2x6x4' (1.5"x_x000D_
5.5") Kiln Dried S4S E4E</t>
  </si>
  <si>
    <t>CMKD268S</t>
  </si>
  <si>
    <t>Cumaru Maximo 2x6x8' (1.5"x_x000D_
5.5") Kiln Dried S4S E4E</t>
  </si>
  <si>
    <t>CMKD269S</t>
  </si>
  <si>
    <t>Cumaru Maximo 2x6x9' (1.5"x_x000D_
5.5") Kiln Dried S4S E4E</t>
  </si>
  <si>
    <t>CMKD2812S</t>
  </si>
  <si>
    <t>Cumaru Maximo 2x8x12' (1.5"x_x000D_
7.25") Kiln Dried S4S E4E</t>
  </si>
  <si>
    <t>CMKD2814S</t>
  </si>
  <si>
    <t>Cumaru Maximo 2x8x14' (1.5"x_x000D_
7.25") Kiln Dried S4S E4E</t>
  </si>
  <si>
    <t>CMKD288S</t>
  </si>
  <si>
    <t>Cumaru Maximo 2x8x8' (1.5"x_x000D_
7.25") Kiln Dried S4S E4E</t>
  </si>
  <si>
    <t>CMKD41214S</t>
  </si>
  <si>
    <t>Cumaru Maximo 4x12x14'(3.5"x _x000D_
11.25") Kiln Dried S4S E4E</t>
  </si>
  <si>
    <t>CMKD41216S</t>
  </si>
  <si>
    <t>Cumaru Maximo 4x12x16'(3.5"x _x000D_
11.25") Kiln Dried S4S E4E</t>
  </si>
  <si>
    <t>CMKD541014S</t>
  </si>
  <si>
    <t>Cumaru Maximo 5/4x10x14' (1"x_x000D_
9.25") Kiln Dried S4S E4E</t>
  </si>
  <si>
    <t>CMKD541210S</t>
  </si>
  <si>
    <t>Cumaru Maximo 5/4x12x10' (1"x_x000D_
11.25") Kiln Dried S4S E4E</t>
  </si>
  <si>
    <t>CMKD541212S</t>
  </si>
  <si>
    <t>Cumaru Maximo 5/4x12x12' (1"x_x000D_
11.25") Kiln Dried S4S E4E</t>
  </si>
  <si>
    <t>CMKD541214S</t>
  </si>
  <si>
    <t>Cumaru Maximo 5/4x12x14' (1"x_x000D_
11.25") Kiln Dried S4S E4E</t>
  </si>
  <si>
    <t>CMKD54128S</t>
  </si>
  <si>
    <t>Cumaru Maximo 5/4x12x8' (1"x_x000D_
11.25") Kiln Dried S4S E4E</t>
  </si>
  <si>
    <t>CMKD54610S</t>
  </si>
  <si>
    <t>Cumaru Maximo 5/4"x6"x10'(1" x_x000D_
5.5") Kiln Dried S4S E4E</t>
  </si>
  <si>
    <t>Global Boise RS</t>
  </si>
  <si>
    <t>Riverside</t>
  </si>
  <si>
    <t>9013</t>
  </si>
  <si>
    <t>CMKD54612S</t>
  </si>
  <si>
    <t>Cumaru Maximo 5/4x6x12'(1" x_x000D_
5.5") Kiln Dried S4S E4E</t>
  </si>
  <si>
    <t>CMKD54614S</t>
  </si>
  <si>
    <t>Cumaru Maximo 5/4"x6"x14'(1" x_x000D_
5.5") Kiln Dried S4S E4E</t>
  </si>
  <si>
    <t>CMKD54616S</t>
  </si>
  <si>
    <t>Cumaru Maximo 5/4"x6"x16'(1" x_x000D_
5.5") Kiln Dried S4S E4E</t>
  </si>
  <si>
    <t>CMKD54618S</t>
  </si>
  <si>
    <t>Cumaru Maximo 5/4"x6"x18'(1" x_x000D_
5.5") Kiln Dried S4S E4E</t>
  </si>
  <si>
    <t>CMKD54622S</t>
  </si>
  <si>
    <t>Cumaru Maximo 5/4"x6"x22'(1" x_x000D_
5.5") Kiln Dried S4S E4E</t>
  </si>
  <si>
    <t>CMKD5468S</t>
  </si>
  <si>
    <t>Cumaru Maximo 5/4x6x8'(1" x_x000D_
5.5") Kiln Dried S4S E4E</t>
  </si>
  <si>
    <t>CMKD54810S</t>
  </si>
  <si>
    <t>Cumaru Maximo 5/4x8x10' (1"x_x000D_
7.25") Kiln Dried S4S E4E</t>
  </si>
  <si>
    <t>CMKD54812S</t>
  </si>
  <si>
    <t>Cumaru Maximo 5/4x8x12' (1"x_x000D_
7.25") Kiln Dried S4S E4E</t>
  </si>
  <si>
    <t>CMKD54816S</t>
  </si>
  <si>
    <t>Cumaru Maximo 5/4x8x16' (1"x_x000D_
7.25") Kiln Dried S4S E4E</t>
  </si>
  <si>
    <t>CMKD54818S</t>
  </si>
  <si>
    <t>Cumaru Maximo 5/4x8x18' (1"x_x000D_
7.25") Kiln Dried S4S E4E</t>
  </si>
  <si>
    <t>CMKD54820S</t>
  </si>
  <si>
    <t>Cumaru Maximo 5/4x8x20' (1"x_x000D_
7.25") Kiln Dried S4S E4E</t>
  </si>
  <si>
    <t>CMKD54822S</t>
  </si>
  <si>
    <t>Cumaru Maximo 5/4x8x22' (1"x_x000D_
7.25") Kiln Dried S4S E4E</t>
  </si>
  <si>
    <t>CMKD5488S</t>
  </si>
  <si>
    <t>Cumaru Maximo 5/4x8x8' (1"x_x000D_
7.25") Kiln Dried S4S E4E</t>
  </si>
  <si>
    <t>CMTILE2424</t>
  </si>
  <si>
    <t>Cumaru Tiles 24" x 24"</t>
  </si>
  <si>
    <t>CMTILE2448</t>
  </si>
  <si>
    <t>Cumaru Tiles 24" x 48"</t>
  </si>
  <si>
    <t>DECKTIPE16</t>
  </si>
  <si>
    <t>Deck With Texture Ipe 1.25" x 6"_x000D_
x 16'</t>
  </si>
  <si>
    <t>Global Palm Beach</t>
  </si>
  <si>
    <t>Riviera Beach</t>
  </si>
  <si>
    <t>9016</t>
  </si>
  <si>
    <t>EDGEGRAY</t>
  </si>
  <si>
    <t>Edge Finishing Texture Gray 10_x000D_
FT x 10'</t>
  </si>
  <si>
    <t>EDGEWPGRAY</t>
  </si>
  <si>
    <t>Edge Finishinf for Wall Panel_x000D_
Gray 1.25x5.5x16'</t>
  </si>
  <si>
    <t>EDGEWPIPE</t>
  </si>
  <si>
    <t>Edge Finishinf for Wall Panel_x000D_
Ipe 1.25x5.5x16'</t>
  </si>
  <si>
    <t>GPKD1610S</t>
  </si>
  <si>
    <t>Garapa Maximo 1x6x10' (3/4"x_x000D_
5.5") Kiln Dried S4S E4E</t>
  </si>
  <si>
    <t>Global Hardwoods CA</t>
  </si>
  <si>
    <t>Perris</t>
  </si>
  <si>
    <t>9012</t>
  </si>
  <si>
    <t>GPKD1611S</t>
  </si>
  <si>
    <t>Garapa Maximo 1x6x11' (3/4"x_x000D_
5.5") Kiln Dried S4S E4E</t>
  </si>
  <si>
    <t>GPKD1612S</t>
  </si>
  <si>
    <t>GPKD1613S</t>
  </si>
  <si>
    <t>Garapa Maximo 1x6x13' (3/4"x_x000D_
5.5") Kiln Dried S4S E4E</t>
  </si>
  <si>
    <t>GPKD1614S</t>
  </si>
  <si>
    <t>Garapa Maximo 1x6x14' (3/4"x_x000D_
5.5") Kiln Dried S4S E4E</t>
  </si>
  <si>
    <t>GPKD1615S</t>
  </si>
  <si>
    <t>Garapa Maximo 1x6x15' (3/4"x_x000D_
5.5") Kiln Dried S4S E4E</t>
  </si>
  <si>
    <t>GPKD1618S</t>
  </si>
  <si>
    <t>Garapa Maximo 1x6x18' (3/4"x_x000D_
5.5") Kiln Dried S4S E4E</t>
  </si>
  <si>
    <t>GPKD1619S</t>
  </si>
  <si>
    <t>GPKD168S</t>
  </si>
  <si>
    <t>Garapa Maximo 1x6x8' (3/4"x_x000D_
5.5") Kiln Dried S4S E4E</t>
  </si>
  <si>
    <t>GPKD54610S</t>
  </si>
  <si>
    <t>Garapa Maximo 5/4"x6"x10'(1" x_x000D_
5.5") Kiln Dried S4S E4E</t>
  </si>
  <si>
    <t>GPKD54611S</t>
  </si>
  <si>
    <t>Garapa Maximo 5/4"x6"x11'(1" x_x000D_
5.5") Kiln Dried S4S E4E</t>
  </si>
  <si>
    <t>GPKD54612S</t>
  </si>
  <si>
    <t>Garapa Maximo 5/4"x6"x12'(1" x_x000D_
5.5") Kiln Dried S4S E4E</t>
  </si>
  <si>
    <t>GPKD54613S</t>
  </si>
  <si>
    <t>Garapa Maximo 5/4"x6"x13'(1" x_x000D_
5.5") Kiln Dried S4S E4E</t>
  </si>
  <si>
    <t>GPKD54614S</t>
  </si>
  <si>
    <t>GPKD54616S</t>
  </si>
  <si>
    <t>Garapa Maximo 5/4"x6"x16'(1" x_x000D_
5.5") Kiln Dried S4S E4E</t>
  </si>
  <si>
    <t>GPKD54618S</t>
  </si>
  <si>
    <t>Garapa Maximo 5/4"x6"x18'(1" x_x000D_
5.5") Kiln Dried S4S E4E</t>
  </si>
  <si>
    <t>GPKD54620S</t>
  </si>
  <si>
    <t>Garapa Maximo 5/4"x6"x20(1" x_x000D_
5.5") Kiln Dried S4S E4E</t>
  </si>
  <si>
    <t>GPKD5466S</t>
  </si>
  <si>
    <t>Garapa Maximo 5/4"x6"x6'(1" x_x000D_
5.5") Kiln Dried S4S E4E</t>
  </si>
  <si>
    <t>GPKD5467S</t>
  </si>
  <si>
    <t>Garapa Maximo 5/4"x6"x7'(1" x_x000D_
5.5") Kiln Dried S4S E4E</t>
  </si>
  <si>
    <t>GPKD5468S</t>
  </si>
  <si>
    <t>Garapa Maximo 5/4"x6"x8'(1" x_x000D_
5.5") Kiln Dried S4S E4E</t>
  </si>
  <si>
    <t>GPKD5469S</t>
  </si>
  <si>
    <t>Garapa Maximo 5/4"x6"x9'(1" x_x000D_
5.5") Kiln Dried S4S E4E</t>
  </si>
  <si>
    <t>GPTILE2424</t>
  </si>
  <si>
    <t>Garapa Tiles 24" x 24"_x000D_
6lbs per sq.ft Average._x000D_
Need 1.25 connectors per deck_x000D_
tile.</t>
  </si>
  <si>
    <t>IPE21012S</t>
  </si>
  <si>
    <t>Ipe 2x10x12' (1.5" x  9.25") Air_x000D_
Dried FAS S4S E4E</t>
  </si>
  <si>
    <t>IPE21014S</t>
  </si>
  <si>
    <t>Ipe 2x10x14' (1.5" x  9.25") Air_x000D_
Dried FAS S4S E4E</t>
  </si>
  <si>
    <t>IPE21020S</t>
  </si>
  <si>
    <t>Ipe 2x10x20' (1.5" x  9.25") Air_x000D_
Dried FAS S4S E4E</t>
  </si>
  <si>
    <t>IPE21210S</t>
  </si>
  <si>
    <t>Ipe 2x12x10' (1.5" x  11.25")_x000D_
Air Dried FAS S4S E4E</t>
  </si>
  <si>
    <t>IPE21212S</t>
  </si>
  <si>
    <t>Ipe 2x12x12' (1.5" x  11.25")_x000D_
Air Dried FAS S4S E4E</t>
  </si>
  <si>
    <t>IPE21214S</t>
  </si>
  <si>
    <t>Ipe 2x12x14' (1.5" x  11.25")_x000D_
Air Dried FAS S4S E4E</t>
  </si>
  <si>
    <t>IPE21216S</t>
  </si>
  <si>
    <t>IPE21218S</t>
  </si>
  <si>
    <t>Ipe 2x12x18' (1.5" x  11.25")_x000D_
Air Dried FAS S4S E4E</t>
  </si>
  <si>
    <t>IPE21220S</t>
  </si>
  <si>
    <t>Ipe 2x12x20' (1.5" x  11.25")_x000D_
Air Dried FAS S4S E4E</t>
  </si>
  <si>
    <t>IPE2128S</t>
  </si>
  <si>
    <t>Ipe 2x12x8' (1.5" x  11.25") Air_x000D_
Dried FAS S4S E4E</t>
  </si>
  <si>
    <t>IPE2210S</t>
  </si>
  <si>
    <t>Ipe 2x2x10' (1.5" x  1.5") Air_x000D_
Dried S4S E4E</t>
  </si>
  <si>
    <t>IPE2212S</t>
  </si>
  <si>
    <t>Ipe 2x2x12' (1.5" x  1.5") Air_x000D_
Dried S4S E4E</t>
  </si>
  <si>
    <t>IPE2214S</t>
  </si>
  <si>
    <t>Ipe 2x2x14' (1.5" x  1.5") Air_x000D_
Dried S4S E4E</t>
  </si>
  <si>
    <t>IPE2216S</t>
  </si>
  <si>
    <t>Ipe 2x2x16' (1.5" x  1.5") Air_x000D_
Dried S4S E4E</t>
  </si>
  <si>
    <t>IPE2218S</t>
  </si>
  <si>
    <t>Ipe 2x2x18' (1.5" x  1.5") Air_x000D_
Dried S4S E4E</t>
  </si>
  <si>
    <t>IPE2220S</t>
  </si>
  <si>
    <t>Ipe 2x2x20' (1.5" x  1.5") Air_x000D_
Dried S4S E4E</t>
  </si>
  <si>
    <t>IPE223S</t>
  </si>
  <si>
    <t>Ipe 2x2x3' (1.5" x  1.5") Air_x000D_
Dried S4S E4E</t>
  </si>
  <si>
    <t>IPE224S</t>
  </si>
  <si>
    <t>Ipe 2x2x4' (1.5" x  1.5") Air_x000D_
Dried S4S E4E</t>
  </si>
  <si>
    <t>IPE225S</t>
  </si>
  <si>
    <t>Ipe 2x2x5' (1.5" x  1.5") Air_x000D_
Dried S4S E4E</t>
  </si>
  <si>
    <t>IPE226S</t>
  </si>
  <si>
    <t>Ipe 2x2x6' (1.5" x  1.5") Air_x000D_
Dried S4S E4E</t>
  </si>
  <si>
    <t>IPE227S</t>
  </si>
  <si>
    <t>Ipe 2x2x7' (1.5" x  1.5") Air_x000D_
Dried S4S E4E</t>
  </si>
  <si>
    <t>IPE228S</t>
  </si>
  <si>
    <t>Ipe 2x2x8' (1.5" x  1.5") Air_x000D_
Dried S4S E4E</t>
  </si>
  <si>
    <t>IPE2410S</t>
  </si>
  <si>
    <t>Ipe 2x4x10' (1.5" x  3.5") Air_x000D_
Dried FAS S4S E4E</t>
  </si>
  <si>
    <t>IPE2412S</t>
  </si>
  <si>
    <t>Ipe 2x4x12' (1.5" x  3.5") Air_x000D_
Dried FAS S4S E4E</t>
  </si>
  <si>
    <t>IPE2414S</t>
  </si>
  <si>
    <t>Ipe 2x4x14' (1.5" x  3.5") Air_x000D_
Dried FAS S4S E4E</t>
  </si>
  <si>
    <t>IPE2416S</t>
  </si>
  <si>
    <t>Ipe 2x4x16' (1.5" x  3.5") Air_x000D_
Dried FAS S4S E4E</t>
  </si>
  <si>
    <t>IPE2418S</t>
  </si>
  <si>
    <t>Ipe 2x4x18' (1.5" x  3.5") Air_x000D_
Dried FAS S4S E4E</t>
  </si>
  <si>
    <t>IPE2420S</t>
  </si>
  <si>
    <t>Ipe 2x4x20' (1.5" x  3.5") Air_x000D_
Dried FAS S4S E4E</t>
  </si>
  <si>
    <t>IPE2422S</t>
  </si>
  <si>
    <t>Ipe 2x4x22' (1.5" x  3.5") Air_x000D_
Dried FAS S4S E4E</t>
  </si>
  <si>
    <t>IPE243S</t>
  </si>
  <si>
    <t>Ipe 2x4x3' (1.5" x  3.5") Air_x000D_
Dried FAS S4S E4E</t>
  </si>
  <si>
    <t>IPE244S</t>
  </si>
  <si>
    <t>Ipe 2x4x4' (1.5" x  3.5") Air_x000D_
Dried FAS S4S E4E</t>
  </si>
  <si>
    <t>IPE245S</t>
  </si>
  <si>
    <t>Ipe 2x4x5' (1.5" x  3.5") Air_x000D_
Dried FAS S4S E4E</t>
  </si>
  <si>
    <t>IPE246S</t>
  </si>
  <si>
    <t>Ipe 2x4x6' (1.5" x  3.5") Air_x000D_
Dried FAS S4S E4E</t>
  </si>
  <si>
    <t>IPE247S</t>
  </si>
  <si>
    <t>Ipe 2x4x7' (1.5" x  3.5") Air_x000D_
Dried FAS S4S E4E</t>
  </si>
  <si>
    <t>IPE248S</t>
  </si>
  <si>
    <t>Ipe 2x4x8' (1.5" x  3.5") Air_x000D_
Dried FAS S4S E4E</t>
  </si>
  <si>
    <t>IPE2610S</t>
  </si>
  <si>
    <t>Ipe 2x6x10' (1.5" x  5.5") Air_x000D_
Dried FAS S4S E4E</t>
  </si>
  <si>
    <t>Global on The Way</t>
  </si>
  <si>
    <t>Hialeah</t>
  </si>
  <si>
    <t>9014</t>
  </si>
  <si>
    <t>IPE2612S</t>
  </si>
  <si>
    <t>Ipe 2x6x12' (1.5" x  5.5") Air_x000D_
Dried FAS S4S E4E</t>
  </si>
  <si>
    <t>IPE2614S</t>
  </si>
  <si>
    <t>Ipe 2x6x14' (1.5" x  5.5") Air_x000D_
Dried FAS S4S E4E</t>
  </si>
  <si>
    <t>IPE2616S</t>
  </si>
  <si>
    <t>Ipe 2x6x16' (1.5" x  5.5") Air_x000D_
Dried FAS S4S E4E</t>
  </si>
  <si>
    <t>IPE2618S</t>
  </si>
  <si>
    <t>Ipe 2x6x18' (1.5" x  5.5") Air_x000D_
Dried FAS S4S E4E</t>
  </si>
  <si>
    <t>IPE2620S</t>
  </si>
  <si>
    <t>Ipe 2x6x20' (1.5" x  5.5") Air_x000D_
Dried FAS S4S E4E</t>
  </si>
  <si>
    <t>IPE2622S</t>
  </si>
  <si>
    <t>Ipe 2x6x22' (1.5" x  5.5") Air_x000D_
Dried FAS S4S E4E</t>
  </si>
  <si>
    <t>IPE265S</t>
  </si>
  <si>
    <t>Ipe 2x6x5' (1.5" x  5.5") Air_x000D_
Dried FAS S4S E4E</t>
  </si>
  <si>
    <t>IPE266S</t>
  </si>
  <si>
    <t>Ipe 2x6x6' (1.5" x  5.5") Air_x000D_
Dried FAS S4S E4E</t>
  </si>
  <si>
    <t>IPE267S</t>
  </si>
  <si>
    <t>Ipe 2x6x7' (1.5" x  5.5") Air_x000D_
Dried FAS S4S E4E</t>
  </si>
  <si>
    <t>IPE268S</t>
  </si>
  <si>
    <t>Ipe 2x6x8' (1.5" x  5.5") Air_x000D_
Dried FAS S4S E4E</t>
  </si>
  <si>
    <t>IPE2810S</t>
  </si>
  <si>
    <t>Ipe 2x8x10' (1.5" x  7.25") Air_x000D_
Dried FAS S4S E4E</t>
  </si>
  <si>
    <t>IPE2812S</t>
  </si>
  <si>
    <t>Ipe 2x8x12' (1.5" x  7.25") Air_x000D_
Dried FAS S4S E4E</t>
  </si>
  <si>
    <t>IPE2814S</t>
  </si>
  <si>
    <t>Ipe 2x8x14' (1.5" x  7.25") Air_x000D_
Dried FAS S4S E4E</t>
  </si>
  <si>
    <t>IPE2816S</t>
  </si>
  <si>
    <t>Ipe 2x8x16' (1.5" x  7.25") Air_x000D_
Dried FAS S4S E4E</t>
  </si>
  <si>
    <t>IPE2818S</t>
  </si>
  <si>
    <t>Ipe 2x8x18' (1.5" x  7.25") Air_x000D_
Dried FAS S4S E4E</t>
  </si>
  <si>
    <t>IPE2820S</t>
  </si>
  <si>
    <t>Ipe 2x8x20' (1.5" x  7.25") Air_x000D_
Dried FAS S4S E4E</t>
  </si>
  <si>
    <t>IPE285S</t>
  </si>
  <si>
    <t>Ipe 2x8x5' (1.5" x  7.25") Air_x000D_
Dried FAS S4S E4E</t>
  </si>
  <si>
    <t>IPE286S</t>
  </si>
  <si>
    <t>IPE288S</t>
  </si>
  <si>
    <t>Ipe 2x8x8' (1.5" x  7.25") Air_x000D_
Dried FAS S4S E4E</t>
  </si>
  <si>
    <t>IPE31010S</t>
  </si>
  <si>
    <t>Ipe Maximo 3x10x10' (2.5"_x000D_
x9.25") AirDried S4S E4E</t>
  </si>
  <si>
    <t>IPE31012S</t>
  </si>
  <si>
    <t>Ipe Maximo 3x10x12' (2.5"_x000D_
x9.25") AirDried S4S E4E</t>
  </si>
  <si>
    <t>IPE31014S</t>
  </si>
  <si>
    <t>Ipe Maximo 3x10x14' (2.5"_x000D_
x9.25") AirDried S4S E4E</t>
  </si>
  <si>
    <t>IPE31018S</t>
  </si>
  <si>
    <t>Ipe Maximo 3x10x18' (2.5"_x000D_
x9.25") AirDried S4S E4E</t>
  </si>
  <si>
    <t>IPE31020S</t>
  </si>
  <si>
    <t>Ipe Maximo 3x10x20' (2.5"_x000D_
x9.25") AirDried S4S E4E</t>
  </si>
  <si>
    <t>IPE3108S</t>
  </si>
  <si>
    <t>Ipe Maximo 3x10x8'(2.5" x 9.25")_x000D_
AirDried S4S E4E</t>
  </si>
  <si>
    <t>IPE31210S</t>
  </si>
  <si>
    <t>Ipe 3x12x10' (2.5"  x11.25") Air_x000D_
Dried FAS S4S E4E</t>
  </si>
  <si>
    <t>IPE31212S</t>
  </si>
  <si>
    <t>Ipe 3x12x12' (2.5"  x11.25") Air_x000D_
Dried FAS S4S E4E</t>
  </si>
  <si>
    <t>IPE31214S</t>
  </si>
  <si>
    <t>Ipe 3x12x14' (2.5"  x11.25") Air_x000D_
Dried FAS S4S E4E</t>
  </si>
  <si>
    <t>IPE31216S</t>
  </si>
  <si>
    <t>Ipe 3x12x16' (2.5"  x11.25") Air_x000D_
Dried FAS S4S E4E</t>
  </si>
  <si>
    <t>IPE31218S</t>
  </si>
  <si>
    <t>Ipe 3x12x18' (2.5"  x11.25") Air_x000D_
Dried FAS S4S E4E</t>
  </si>
  <si>
    <t>IPE31220S</t>
  </si>
  <si>
    <t>Ipe 3x12x20' (2.5"  x11.25") Air_x000D_
Dried FAS S4S E4E</t>
  </si>
  <si>
    <t>IPE3128S</t>
  </si>
  <si>
    <t>Ipe 3x12x8' (2.5"  x11.25") Air_x000D_
Dried FAS S4S E4E</t>
  </si>
  <si>
    <t>IPE3318S</t>
  </si>
  <si>
    <t>Ipe 3x3x18' (3"x3") Air_x000D_
Dried FAS S4S E4E</t>
  </si>
  <si>
    <t>IPE3610S</t>
  </si>
  <si>
    <t>Ipe 3x6x10' (2.5" x  5.5") Air_x000D_
Dried FAS S4S E4E</t>
  </si>
  <si>
    <t>IPE3612S</t>
  </si>
  <si>
    <t>Ipe 3x6x12' (2.5" x  5.5") Air_x000D_
Dried FAS S4S E4E</t>
  </si>
  <si>
    <t>IPE3614S</t>
  </si>
  <si>
    <t>Ipe 3x6x14' (2.5" x  5.5") Air_x000D_
Dried FAS S4S E4E</t>
  </si>
  <si>
    <t>IPE3616S</t>
  </si>
  <si>
    <t>Ipe 3x6x16' (2.5" x  5.5") Air_x000D_
Dried FAS S4S E4E</t>
  </si>
  <si>
    <t>IPE3618S</t>
  </si>
  <si>
    <t>Ipe 3x6x18' (2.5" x  5.5") Air_x000D_
Dried FAS S4S E4E</t>
  </si>
  <si>
    <t>IPE3620S</t>
  </si>
  <si>
    <t>Ipe 3x6x20' (2.5" x  5.5") Air_x000D_
Dried FAS S4S E4E</t>
  </si>
  <si>
    <t>IPE368S</t>
  </si>
  <si>
    <t>Ipe 3x6x8' (2.5" x  5.5") Air_x000D_
Dried FAS S4S E4E</t>
  </si>
  <si>
    <t>IPE3810S</t>
  </si>
  <si>
    <t>Ipe 3x8x10' (2.5"  x7.25") Air_x000D_
Dried FAS S4S E4E</t>
  </si>
  <si>
    <t>IPE3812S</t>
  </si>
  <si>
    <t>Ipe 3x8x12' (2.5"  x7.25") Air_x000D_
Dried FAS S4S E4E</t>
  </si>
  <si>
    <t>IPE3814S</t>
  </si>
  <si>
    <t>Ipe 3x8x14' (2.5"  x7.25") Air_x000D_
Dried FAS S4S E4E</t>
  </si>
  <si>
    <t>IPE3816S</t>
  </si>
  <si>
    <t>Ipe 3x8x16' (2.5"  x7.25") Air_x000D_
Dried FAS S4S E4E</t>
  </si>
  <si>
    <t>IPE3818S</t>
  </si>
  <si>
    <t>Ipe 3x8x18' (2.5"  x7.25") Air_x000D_
Dried FAS S4S E4E</t>
  </si>
  <si>
    <t>IPE3820S</t>
  </si>
  <si>
    <t>Ipe 3x8x20' (2.5"  x7.25") Air_x000D_
Dried FAS S4S E4E</t>
  </si>
  <si>
    <t>IPE3822S</t>
  </si>
  <si>
    <t>Ipe 3x8x22' (2.5"  x7.25") Air_x000D_
Dried FAS S4S E4E</t>
  </si>
  <si>
    <t>IPE388S</t>
  </si>
  <si>
    <t>Ipe 3x8x8' (2.5"  x7.25") Air_x000D_
Dried FAS S4S E4E</t>
  </si>
  <si>
    <t>IPE41010S</t>
  </si>
  <si>
    <t>Ipe Maximo 4x10x10' (3.5"_x000D_
x9.25") Air Dried S4S E4E</t>
  </si>
  <si>
    <t>IPE41018S</t>
  </si>
  <si>
    <t>Ipe Maximo 4x10x18' (3.5"_x000D_
x9.25") Air Dried S4S E4E</t>
  </si>
  <si>
    <t>IPE4108S</t>
  </si>
  <si>
    <t>IPE41210S</t>
  </si>
  <si>
    <t>Ipe 4x12x10' (3.5" x 11.5")_x000D_
AirDried FAS S4S E4E</t>
  </si>
  <si>
    <t>IPE41212S</t>
  </si>
  <si>
    <t>Ipe 4x12x12' (3.5" x 11.5")_x000D_
AirDried FAS S4S E4E</t>
  </si>
  <si>
    <t>IPE41214S</t>
  </si>
  <si>
    <t>Ipe 4x12x14' (3.5" x  11.5") Air_x000D_
Dried FAS S4S E4E</t>
  </si>
  <si>
    <t>IPE41216S</t>
  </si>
  <si>
    <t>Ipe 4x12x16' (3.5" x 11.5")_x000D_
AirDried FAS S4S E4E</t>
  </si>
  <si>
    <t>IPE41218S</t>
  </si>
  <si>
    <t>Ipe 4x12x18' (3.5" x  11.5") Air_x000D_
Dried FAS S4S E4E</t>
  </si>
  <si>
    <t>IPE41220S</t>
  </si>
  <si>
    <t>Ipe 4x12x20' (3.5" x  11.5") Air_x000D_
Dried FAS S4S E4E</t>
  </si>
  <si>
    <t>IPE41222S</t>
  </si>
  <si>
    <t>Ipe 4x12x22' (3.5" x  11.5") Air_x000D_
Dried FAS S4S E4E</t>
  </si>
  <si>
    <t>IPE4128S</t>
  </si>
  <si>
    <t>Ipe 4x12x8' (3.5" x 11.5")_x000D_
AirDried FAS S4S E4E</t>
  </si>
  <si>
    <t>IPE4410S</t>
  </si>
  <si>
    <t>Ipe 4x4x10' (3.5" x  3.5") Air_x000D_
Dried S4S E4E</t>
  </si>
  <si>
    <t>IPE4412S</t>
  </si>
  <si>
    <t>Ipe 4x4x12' (3.5" x  3.5") Air_x000D_
Dried S4S E4E</t>
  </si>
  <si>
    <t>IPE4414S</t>
  </si>
  <si>
    <t>Ipe 4x4x14' (3.5" x  3.5") Air_x000D_
Dried S4S E4E</t>
  </si>
  <si>
    <t>IPE4416S</t>
  </si>
  <si>
    <t>Ipe 4x4x16' (3.5" x  3.5") Air_x000D_
Dried S4S E4E</t>
  </si>
  <si>
    <t>IPE4418S</t>
  </si>
  <si>
    <t>Ipe 4x4x18' (3.5" x  3.5") Air_x000D_
Dried S4S E4E</t>
  </si>
  <si>
    <t>IPE4420S</t>
  </si>
  <si>
    <t>Ipe 4x4x20' (3.5" x  3.5") Air_x000D_
Dried S4S E4E</t>
  </si>
  <si>
    <t>IPE4610S</t>
  </si>
  <si>
    <t>Ipe 4x6x10' (3.5" x  5.5") Air_x000D_
Dried S4S E4E</t>
  </si>
  <si>
    <t>IPE4612S</t>
  </si>
  <si>
    <t>Ipe 4x6x12' (3.5" x  5.5") Air_x000D_
Dried S4S E4E</t>
  </si>
  <si>
    <t>IPE4614S</t>
  </si>
  <si>
    <t>Ipe Maximo 4x6x14' (3.5" x5.5")_x000D_
AirDried S4S E4E</t>
  </si>
  <si>
    <t>IPE4618S</t>
  </si>
  <si>
    <t>Ipe Maximo 4x6x18' (3.5" x5.5")_x000D_
AirDried S4S E4E</t>
  </si>
  <si>
    <t>IPE4620S</t>
  </si>
  <si>
    <t>Ipe Maximo 4x6x20' (3.5" x5.5")_x000D_
AirDried S4S E4E</t>
  </si>
  <si>
    <t>IPE4622S</t>
  </si>
  <si>
    <t>Ipe Maximo 4x6x22' (3.5" x5.5")_x000D_
AirDried S4S E4E</t>
  </si>
  <si>
    <t>IPE467S</t>
  </si>
  <si>
    <t>Ipe Maximo 4x6x7' (3.5" x5.5")_x000D_
AirDried S4S E4E</t>
  </si>
  <si>
    <t>IPE4810S</t>
  </si>
  <si>
    <t>Ipe 4x8x10' (3.5" x  7.25") Air_x000D_
Dried FAS S4S E4E</t>
  </si>
  <si>
    <t>IPE4812S</t>
  </si>
  <si>
    <t>Ipe 4x8x12' (3.5" x  7.25") Air_x000D_
Dried FAS S4S E4E</t>
  </si>
  <si>
    <t>IPE4814S</t>
  </si>
  <si>
    <t>Ipe 4x8x14' (3.5" x  7.25") Air_x000D_
Dried FAS S4S E4E</t>
  </si>
  <si>
    <t>IPE4816S</t>
  </si>
  <si>
    <t>Ipe 4x8x16' (3.5" x  7.25") Air_x000D_
Dried FAS S4S E4E</t>
  </si>
  <si>
    <t>IPE4818S</t>
  </si>
  <si>
    <t>Ipe 4x8x18' (3.5" x  7.25") Air_x000D_
Dried FAS S4S E4E</t>
  </si>
  <si>
    <t>IPE4820S</t>
  </si>
  <si>
    <t>Ipe 4x8x20' (3.5" x  7.25") Air_x000D_
Dried FAS S4S E4E</t>
  </si>
  <si>
    <t>IPE4822S</t>
  </si>
  <si>
    <t>Ipe 4x8x22' (3.5" x  7.25") Air_x000D_
Dried FAS S4S E4E</t>
  </si>
  <si>
    <t>IPE61218S</t>
  </si>
  <si>
    <t>Ipe 6x12x18' (5.5" x 11.25") Air_x000D_
Dried S4S E4E</t>
  </si>
  <si>
    <t>IPE61220S</t>
  </si>
  <si>
    <t>Ipe 6x12x20' (5.5" x 11.25") Air_x000D_
Dried S4S E4E</t>
  </si>
  <si>
    <t>IPE6610S</t>
  </si>
  <si>
    <t>Ipe 6x6x10' (5.5" x  5.5") Air_x000D_
Dried S4S E4E</t>
  </si>
  <si>
    <t>IPE6612S</t>
  </si>
  <si>
    <t>Ipe 6x6x12' (5.5" x  5.5") Air_x000D_
Dried S4S E4E</t>
  </si>
  <si>
    <t>IPE6614S</t>
  </si>
  <si>
    <t>Ipe 6x6x14' (5.5" x  5.5") Air_x000D_
Dried S4S E4E</t>
  </si>
  <si>
    <t>IPE6616S</t>
  </si>
  <si>
    <t>Ipe 6x6x16' (5.5" x  5.5") Air_x000D_
Dried S4S E4E</t>
  </si>
  <si>
    <t>IPE6618S</t>
  </si>
  <si>
    <t>Ipe 6x6x18' (5.5" x  5.5") Air_x000D_
Dried S4S E4E</t>
  </si>
  <si>
    <t>IPE6620S</t>
  </si>
  <si>
    <t>Ipe 6x6x20' (5.5"  x 5.5") Air_x000D_
Dried S4S E4E</t>
  </si>
  <si>
    <t>IPE6622S</t>
  </si>
  <si>
    <t>Ipe 6x6x22' (5.5"  x 5.5") Air_x000D_
Dried S4S E4E</t>
  </si>
  <si>
    <t>IPE668S</t>
  </si>
  <si>
    <t>IPE6814S</t>
  </si>
  <si>
    <t>Ipe 6x8x14' (5.5" x  7.25") Air_x000D_
Dried S4S E4E</t>
  </si>
  <si>
    <t>IPE6818S</t>
  </si>
  <si>
    <t>Ipe 6x8x18' (5.5" x  7.25") Air_x000D_
Dried S4S E4E</t>
  </si>
  <si>
    <t>IPE6820S</t>
  </si>
  <si>
    <t>Ipe 6x8x20' (5.5" x  7.25") Air_x000D_
Dried S4S E4E</t>
  </si>
  <si>
    <t>IPE6822S</t>
  </si>
  <si>
    <t>Ipe 6x8x22' (5.5" x  7.25") Air_x000D_
Dried S4S E4E</t>
  </si>
  <si>
    <t>IPE8810S</t>
  </si>
  <si>
    <t>Ipe Maximo 8x8x10'(7.25" x_x000D_
7.25") Air Dried S4S E4E.</t>
  </si>
  <si>
    <t>IPE8812S</t>
  </si>
  <si>
    <t>Ipe Maximo 8x8x12'(7.25" x_x000D_
7.25") Air Dried S4S E4E.</t>
  </si>
  <si>
    <t>IPE8814S</t>
  </si>
  <si>
    <t>Ipe Maximo 8x8x14'(7.25" x_x000D_
7.25") AirDried S4S E4E</t>
  </si>
  <si>
    <t>IPE8820S</t>
  </si>
  <si>
    <t>Ipe Maximo 8x8x20'(7.25" x_x000D_
7.25") AirDried S4S E4E</t>
  </si>
  <si>
    <t>IPEKD11212S</t>
  </si>
  <si>
    <t>Ipe Maximo 1x12x12' (3/4"_x000D_
x11.25") Kiln Dried S4S E4E</t>
  </si>
  <si>
    <t>IPEKD11220S</t>
  </si>
  <si>
    <t>Ipe Maximo 1x12x20' (3/4"_x000D_
x11.25") Kiln Dried S4S E4E</t>
  </si>
  <si>
    <t>IPEKD1310S</t>
  </si>
  <si>
    <t>Ipe Maximo 1x3x10' (3/4" X2_x000D_
3/4") Kiln Dried S4S E4E</t>
  </si>
  <si>
    <t>IPEKD1311S</t>
  </si>
  <si>
    <t>Ipe Maximo 1x3x11' (3/4" X2_x000D_
3/4") Kiln Dried S4S E4E</t>
  </si>
  <si>
    <t>IPEKD1312S</t>
  </si>
  <si>
    <t>Ipe Maximo 1x3x12' (3/4" X2_x000D_
3/4") Kiln Dried S4S E4E</t>
  </si>
  <si>
    <t>IPEKD1313S</t>
  </si>
  <si>
    <t>Ipe Maximo 1x3x13' (3/4" X2_x000D_
3/4") Kiln Dried S4S E4E</t>
  </si>
  <si>
    <t>IPEKD1314S</t>
  </si>
  <si>
    <t>Ipe Maximo 1x3x14' (3/4" X2_x000D_
3/4") Kiln Dried S4S E4E</t>
  </si>
  <si>
    <t>IPEKD1315S</t>
  </si>
  <si>
    <t>Ipe Maximo 1x3x15' (3/4" X2_x000D_
3/4") Kiln Dried S4S E4E</t>
  </si>
  <si>
    <t>IPEKD1316S</t>
  </si>
  <si>
    <t>Ipe Maximo 1x3x16' (3/4" X2_x000D_
3/4") Kiln Dried S4S E4E</t>
  </si>
  <si>
    <t>IPEKD1317S</t>
  </si>
  <si>
    <t>Ipe Maximo 1x3x17' (3/4" X2_x000D_
3/4") Kiln Dried S4S E4E</t>
  </si>
  <si>
    <t>IPEKD1318S</t>
  </si>
  <si>
    <t>Ipe Maximo 1x3x18' (3/4" X2_x000D_
3/4") Kiln Dried S4S E4E</t>
  </si>
  <si>
    <t>IPEKD1319S</t>
  </si>
  <si>
    <t>Ipe Maximo 1x3x19' (3/4" X2_x000D_
3/4") Kiln Dried S4S E4E</t>
  </si>
  <si>
    <t>IPEKD1320S</t>
  </si>
  <si>
    <t>Ipe Maximo 1x3x20' (3/4" X2_x000D_
3/4") Kiln Dried S4S E4E</t>
  </si>
  <si>
    <t>IPEKD1321S</t>
  </si>
  <si>
    <t>Ipe Maximo 1x3x21' (3/4" X2_x000D_
3/4") Kiln Dried S4S E4E</t>
  </si>
  <si>
    <t>IPEKD1322S</t>
  </si>
  <si>
    <t>Ipe Maximo 1x3x22' (3/4" X2_x000D_
3/4") Kiln Dried S4S E4E</t>
  </si>
  <si>
    <t>IPEKD136S</t>
  </si>
  <si>
    <t>Ipe Maximo 1x3x6' (3/4" X 23/4")_x000D_
Kiln Dried S4S E4E</t>
  </si>
  <si>
    <t>IPEKD137S</t>
  </si>
  <si>
    <t>Ipe Maximo 1x3x7' (3/4" X 23/4")_x000D_
Kiln Dried S4S E4E</t>
  </si>
  <si>
    <t>IPEKD138S</t>
  </si>
  <si>
    <t>Ipe Maximo 1x3x8' (3/4" X 23/4")_x000D_
Kiln Dried S4S E4E</t>
  </si>
  <si>
    <t>IPEKD139S</t>
  </si>
  <si>
    <t>Ipe Maximo 1x3x9' (3/4" X 23/4")_x000D_
Kiln Dried S4S E4E</t>
  </si>
  <si>
    <t>IPEKD1410S</t>
  </si>
  <si>
    <t>IPEKD1412S</t>
  </si>
  <si>
    <t>IPEKD1418S</t>
  </si>
  <si>
    <t>Ipe Maximo 1x4x18' (3/4" X3_x000D_
1/2") Kiln Dried S4S E4E</t>
  </si>
  <si>
    <t>IPEKD1420S</t>
  </si>
  <si>
    <t>IPEKD148S</t>
  </si>
  <si>
    <t>IPEKD1610S</t>
  </si>
  <si>
    <t>Ipe Maximo 1x6x10' (3/4" x5.5")_x000D_
Kiln Dried S4S E4E</t>
  </si>
  <si>
    <t>IPEKD1612S</t>
  </si>
  <si>
    <t>Ipe Maximo 1x6x12' (3/4" x5.5")_x000D_
Kiln Dried S4S E4E</t>
  </si>
  <si>
    <t>IPEKD1614S</t>
  </si>
  <si>
    <t>Ipe Maximo 1x6x14' (3/4" x5.5")_x000D_
Kiln Dried S4S E4E</t>
  </si>
  <si>
    <t>IPEKD1616S</t>
  </si>
  <si>
    <t>Ipe Maximo 1x6x16' (3/4" x5.5")_x000D_
Kiln Dried S4S E4E</t>
  </si>
  <si>
    <t>IPEKD1618S</t>
  </si>
  <si>
    <t>Ipe Maximo 1x6x18' (3/4" x5.5")_x000D_
Kiln Dried S4S E4E</t>
  </si>
  <si>
    <t>IPEKD1620S</t>
  </si>
  <si>
    <t>Ipe Maximo 1x6x20' (3/4" x5.5")_x000D_
Kiln Dried S4S E4E</t>
  </si>
  <si>
    <t>IPEKD1622S</t>
  </si>
  <si>
    <t>Ipe Maximo 1x6x22' (3/4" x5.5")_x000D_
Kiln Dried S4S E4E</t>
  </si>
  <si>
    <t>IPEKD164S</t>
  </si>
  <si>
    <t>Ipe Maximo 1x6x4' (3/4" x5.5")_x000D_
Kiln Dried S4S E4E</t>
  </si>
  <si>
    <t>IPEKD165S</t>
  </si>
  <si>
    <t>Ipe Maximo 1x6x5' (3/4" x5.5")_x000D_
Kiln Dried S4S E4E</t>
  </si>
  <si>
    <t>IPEKD166S</t>
  </si>
  <si>
    <t>Ipe Maximo 1x6x6' (3/4" x5.5")_x000D_
Kiln Dried S4S E4E</t>
  </si>
  <si>
    <t>IPEKD168S</t>
  </si>
  <si>
    <t>Ipe Maximo 1x6x8' (3/4" x5.5")_x000D_
Kiln Dried S4S E4E</t>
  </si>
  <si>
    <t>IPEKD1810S</t>
  </si>
  <si>
    <t>Ipe Maximo 1x8x10' (3/4" x7.25")_x000D_
Kiln Dried S4S E4E</t>
  </si>
  <si>
    <t>IPEKD1812S</t>
  </si>
  <si>
    <t>Ipe Maximo 1x8x12' (3/4" x7.25")_x000D_
Kiln Dried S4S E4E</t>
  </si>
  <si>
    <t>IPEKD1814S</t>
  </si>
  <si>
    <t>Ipe Maximo 1x8x14' (3/4" x7.25")_x000D_
Kiln Dried S4S E4E</t>
  </si>
  <si>
    <t>IPEKD1816S</t>
  </si>
  <si>
    <t>Ipe Maximo 1x8x16' (3/4" x7.25")_x000D_
Kiln Dried S4S E4E</t>
  </si>
  <si>
    <t>IPEKD1818S</t>
  </si>
  <si>
    <t>Ipe Maximo 1x8x18' (3/4" x7.25")_x000D_
Kiln Dried S4S E4E</t>
  </si>
  <si>
    <t>IPEKD1820S</t>
  </si>
  <si>
    <t>Ipe Maximo 1x8x20' (3/4" x7.25")_x000D_
Kiln Dried S4S E4E</t>
  </si>
  <si>
    <t>IPEKD188S</t>
  </si>
  <si>
    <t>Ipe Maximo 1x8x8' (3/4" x7.25")_x000D_
Kiln Dried S4S E4E</t>
  </si>
  <si>
    <t>IPEKD541010S</t>
  </si>
  <si>
    <t>Ipe Maximo 5/4x10x10' (1"_x000D_
x9.25") Kiln Dried S4S E4E</t>
  </si>
  <si>
    <t>IPEKD541214S</t>
  </si>
  <si>
    <t>Ipe Maximo 5/4x12"x14' (1"x_x000D_
11.25") Kiln Dried S4S E4E</t>
  </si>
  <si>
    <t>IPEKD541216S</t>
  </si>
  <si>
    <t>Ipe Maximo 5/4x12"x16' (1"x_x000D_
11.25") Kiln Dried S4S E4E</t>
  </si>
  <si>
    <t>IPEKD541218S</t>
  </si>
  <si>
    <t>Ipe Maximo 5/4x12"x18' (1"x_x000D_
11.25") Kiln Dried S4S E4E</t>
  </si>
  <si>
    <t>IPEKD54310S</t>
  </si>
  <si>
    <t>Ipe Maximo 5/4x3x10' (5/4"x3")_x000D_
Kiln Dried S4S E4E</t>
  </si>
  <si>
    <t>IPEKD54410G</t>
  </si>
  <si>
    <t>Ipe Maximo 5/4x4x10' (1" x3.5")_x000D_
Kiln Dried S4S E4E Grooved2_x000D_
Sides</t>
  </si>
  <si>
    <t>IPEKD54410S</t>
  </si>
  <si>
    <t>Ipe Maximo 5/4x4x10' (1" x3.5")_x000D_
Kiln Dried S4S E4E</t>
  </si>
  <si>
    <t>IPEKD54412G</t>
  </si>
  <si>
    <t>Ipe Maximo 5/4x4x12' (1" x3.5")_x000D_
Kiln Dried S4S E4E Grooved2_x000D_
Sides</t>
  </si>
  <si>
    <t>IPEKD54412S</t>
  </si>
  <si>
    <t>Ipe Maximo 5/4x4x12' (1" x3.5")_x000D_
Kiln Dried S4S E4E</t>
  </si>
  <si>
    <t>IPEKD54414S</t>
  </si>
  <si>
    <t>Ipe Maximo 5/4x4x14' (1" x3.5")_x000D_
Kiln Dried S4S E4E</t>
  </si>
  <si>
    <t>IPEKD54416S</t>
  </si>
  <si>
    <t>Ipe Maximo 5/4x4x16' (1" x3.5")_x000D_
Kiln Dried S4S E4E</t>
  </si>
  <si>
    <t>IPEKD54418S</t>
  </si>
  <si>
    <t>Ipe Maximo 5/4x4x18' (1" x3.5")_x000D_
Kiln Dried S4S E4E</t>
  </si>
  <si>
    <t>IPEKD5448G</t>
  </si>
  <si>
    <t>Ipe Maximo 5/4x4x8' (1" x3.5")_x000D_
Kiln Dried S4S E4E Grooved2_x000D_
Sides</t>
  </si>
  <si>
    <t>IPEKD5448S</t>
  </si>
  <si>
    <t>Ipe Maximo 5/4x4x8' (1" x3.5")_x000D_
Kiln Dried S4S E4E</t>
  </si>
  <si>
    <t>IPEKD54610G</t>
  </si>
  <si>
    <t>Ipe Maximo 5/4x6x10' (1" x5.5")_x000D_
Kiln Dried S4S E4E Grooved2_x000D_
Sides</t>
  </si>
  <si>
    <t>IPEKD54610S</t>
  </si>
  <si>
    <t>Ipe Maximo 5/4x6x10' (1" x5.5")_x000D_
Kiln Dried S4S E4E</t>
  </si>
  <si>
    <t>IPEKD54610TK</t>
  </si>
  <si>
    <t>Ipe Maximo 5/4x6x10' (23mm x_x000D_
140mm) Kiln Dried S4S E4E</t>
  </si>
  <si>
    <t>IPEKD54612G</t>
  </si>
  <si>
    <t>Ipe Maximo 5/4x6x12' (1" x5.5")_x000D_
Kiln Dried S4S E4E Grooved2_x000D_
Sides</t>
  </si>
  <si>
    <t>IPEKD54612S</t>
  </si>
  <si>
    <t>Ipe Maximo 5/4x6x12' (1" x5.5")_x000D_
Kiln Dried S4S E4E</t>
  </si>
  <si>
    <t>IPEKD54614G</t>
  </si>
  <si>
    <t>Ipe Maximo 5/4x6x14' (1" x5.5")_x000D_
Kiln Dried S4S E4E Grooved2_x000D_
Sides</t>
  </si>
  <si>
    <t>IPEKD54614S</t>
  </si>
  <si>
    <t>Ipe Maximo 5/4x6x14' (1" x5.5")_x000D_
Kiln Dried S4S E4E</t>
  </si>
  <si>
    <t>IPEKD54616G</t>
  </si>
  <si>
    <t>Ipe Maximo 5/4x6x16' (1" x5.5")_x000D_
Kiln Dried S4S E4E Grooved2_x000D_
Sides</t>
  </si>
  <si>
    <t>IPEKD54616S</t>
  </si>
  <si>
    <t>Ipe Maximo 5/4x6x16' (1" x5.5")_x000D_
Kiln Dried S4S E4E</t>
  </si>
  <si>
    <t>IPEKD54618G</t>
  </si>
  <si>
    <t>Ipe Maximo 5/4x6x18' (1" x5.5")_x000D_
Kiln Dried S4S E4E Grooved2_x000D_
Sides</t>
  </si>
  <si>
    <t>IPEKD54618S</t>
  </si>
  <si>
    <t>Ipe Maximo 5/4x6x18' (1" x5.5")_x000D_
Kiln Dried S4S E4E</t>
  </si>
  <si>
    <t>IPEKD54620G</t>
  </si>
  <si>
    <t>Ipe Maximo 5/4x6x20' (1" x5.5")_x000D_
Kiln Dried S4S E4E Grooved2_x000D_
Sides</t>
  </si>
  <si>
    <t>IPEKD54620S</t>
  </si>
  <si>
    <t>Ipe Maximo 5/4x6x20 (1" x5.5")_x000D_
Kiln Dried S4S E4E</t>
  </si>
  <si>
    <t>IPEKD5464G</t>
  </si>
  <si>
    <t>Ipe Maximo 5/4x6x4' (1" x5.5")_x000D_
Kiln Dried S4S E4E Grooved2_x000D_
Sides</t>
  </si>
  <si>
    <t>IPEKD5464S</t>
  </si>
  <si>
    <t>Ipe Maximo 5/4x6x4' (1" x5.5")_x000D_
Kiln Dried S4S E4E</t>
  </si>
  <si>
    <t>IPEKD5465G</t>
  </si>
  <si>
    <t>Ipe Maximo 5/4x6x5' (1" x5.5")_x000D_
Kiln Dried S4S E4E Grooved2_x000D_
Sides</t>
  </si>
  <si>
    <t>IPEKD5465S</t>
  </si>
  <si>
    <t>Ipe Maximo 5/4x6x5' (1" x5.5")_x000D_
Kiln Dried S4S E4E</t>
  </si>
  <si>
    <t>IPEKD5466G</t>
  </si>
  <si>
    <t>Ipe Maximo 5/4x6x6' (1" x5.5")_x000D_
Kiln Dried Grooved 2 Sides</t>
  </si>
  <si>
    <t>IPEKD5466S</t>
  </si>
  <si>
    <t>Ipe Maximo 5/4x6x6' (1" x5.5")_x000D_
Kiln Dried S4S E4E</t>
  </si>
  <si>
    <t>IPEKD5467G</t>
  </si>
  <si>
    <t>Ipe Maximo 5/4x6x7' (1" x5.5")_x000D_
Kiln Dried S4S E4E Grooved2_x000D_
Sides</t>
  </si>
  <si>
    <t>IPEKD5467S</t>
  </si>
  <si>
    <t>Ipe Maximo 5/4x6x7' (1" x5.5")_x000D_
Kiln Dried S4S E4E</t>
  </si>
  <si>
    <t>IPEKD5468G</t>
  </si>
  <si>
    <t>Ipe Maximo 5/4x6x8' (1" x5.5")_x000D_
Kiln Dried S4S E4E Grooved2_x000D_
Sides</t>
  </si>
  <si>
    <t>IPEKD5468S</t>
  </si>
  <si>
    <t>Ipe Maximo 5/4x6x8' (1" x5.5")_x000D_
Kiln Dried S4S E4E</t>
  </si>
  <si>
    <t>IPEKD5468TK</t>
  </si>
  <si>
    <t>Ipe Maximo 5/4x6x8' (23mm x_x000D_
140mm) Kiln Dried S4S E4E</t>
  </si>
  <si>
    <t>IPETILE2424</t>
  </si>
  <si>
    <t>Ipe Tiles 24" x 24"_x000D_
6lbs per sq.ft Average._x000D_
Need 1.25 connectors per deck_x000D_
tile.</t>
  </si>
  <si>
    <t>IPETILE2496</t>
  </si>
  <si>
    <t>Ipe Tiles 24" x 96" (Net size_x000D_
2'x8')</t>
  </si>
  <si>
    <t>IRT1613S</t>
  </si>
  <si>
    <t>Ironthermo 1x6x13' S4S E4E(Net_x000D_
3/4” x 5.5”)</t>
  </si>
  <si>
    <t>NXCLBB16</t>
  </si>
  <si>
    <t>Big Ben 1x8x16' - Norx London_x000D_
Collection (1"x8") Charcoal</t>
  </si>
  <si>
    <t>NXCLBK16</t>
  </si>
  <si>
    <t>Brooklyn 1x6x16' - Norx New York_x000D_
Collection (1"x6")</t>
  </si>
  <si>
    <t>NXCLCM16</t>
  </si>
  <si>
    <t>Colosseum 1x7x16' - Norx Rome_x000D_
Collection (1"x7")Light Brown</t>
  </si>
  <si>
    <t>NXCLCNYCLIP175</t>
  </si>
  <si>
    <t>Corner Clips Set (175 per box) -_x000D_
screw and clip</t>
  </si>
  <si>
    <t>NXCLCNYCLIP180</t>
  </si>
  <si>
    <t>Corner Clips Set (180 per box) -_x000D_
screw and clip</t>
  </si>
  <si>
    <t>NXCLCNYCLIP50</t>
  </si>
  <si>
    <t>Corner Clips Set (50 per box) -_x000D_
screw and clip</t>
  </si>
  <si>
    <t>NXCLCTRIMBB</t>
  </si>
  <si>
    <t>Big Ben Corner Trim _x000D_
(1.90”x3.90” ) Norx, London_x000D_
Collection, (Charcoal)</t>
  </si>
  <si>
    <t>NXCLCTRIMBR</t>
  </si>
  <si>
    <t>Brooklyn Corner Trim ( 1”x1”)_x000D_
Norx, New York Collection (_x000D_
Light Brown )</t>
  </si>
  <si>
    <t>NXCLCTRIMCM</t>
  </si>
  <si>
    <t>Colosseum Corner Trim ( 1.5”x3”_x000D_
) Norx, Rome Collection, (Light_x000D_
Brown)</t>
  </si>
  <si>
    <t>NXCLCTRIMES</t>
  </si>
  <si>
    <t>Empire State Corner Trim (_x000D_
1”x1”) Norx, New York_x000D_
Collection( Dark Brown )</t>
  </si>
  <si>
    <t>NXCLCTRIMHP</t>
  </si>
  <si>
    <t>Hyde Park Corner Trim (_x000D_
1.90”x3.90” ) Norx, London_x000D_
Collection, (Dark Brown)</t>
  </si>
  <si>
    <t>NXCLCTRIMMF</t>
  </si>
  <si>
    <t>Mayfair Corner Trim (_x000D_
1.90”x3.90” ) Norx, London_x000D_
Collection, (Light Brown)</t>
  </si>
  <si>
    <t>NXCLCTRIMNV</t>
  </si>
  <si>
    <t>Navona Corner Trim ( 1.5”x3” )_x000D_
Norx, Rome Collection,_x000D_
(Charcoal)</t>
  </si>
  <si>
    <t>NXCLCTRIMOX</t>
  </si>
  <si>
    <t>Oxford Corner Trim ( 1.90”x3.90”_x000D_
) Norx, London Collection,_x000D_
(Gray)</t>
  </si>
  <si>
    <t>NXCLCTRIMPN</t>
  </si>
  <si>
    <t>Pantheon Corner Trim ( 1.5”x3” )_x000D_
Norx, Rome Collection, (Dark_x000D_
Brown)</t>
  </si>
  <si>
    <t>NXCLCTRIMRF</t>
  </si>
  <si>
    <t>Rockefeller  Corner Trim (_x000D_
1”x1”) Norx, New York Collection_x000D_
( Grey )</t>
  </si>
  <si>
    <t>NXCLCTRIMTV</t>
  </si>
  <si>
    <t>Trevi Corner Trim ( 1.5”x3” )_x000D_
Norx, Rome Collection, (Gray)</t>
  </si>
  <si>
    <t>NXCLES16</t>
  </si>
  <si>
    <t>Empire State 1x6x16' - Norx New_x000D_
York Collection (1"x6")</t>
  </si>
  <si>
    <t>NXCLFACH16</t>
  </si>
  <si>
    <t>Norx Cladding Architecture_x000D_
Fascia (Charcoal)_x000D_
1/2" x 5.5" x 16'</t>
  </si>
  <si>
    <t>NXCLFADB16</t>
  </si>
  <si>
    <t>Norx Cladding Architecture_x000D_
Fascia (Dark Brown) _x000D_
1/2" x 5.5" x 16'</t>
  </si>
  <si>
    <t>NXCLFAGR16</t>
  </si>
  <si>
    <t>Norx Cladding Architecture_x000D_
Fascia (Gray)_x000D_
1/2" x 5.5" x 16'</t>
  </si>
  <si>
    <t>NXCLFALB16</t>
  </si>
  <si>
    <t>Norx Cladding Architecture_x000D_
Fascia (Light Brown) _x000D_
1/2" x 5.5" x 16'</t>
  </si>
  <si>
    <t>NXCLHP16</t>
  </si>
  <si>
    <t>Hyde Park 1x8x16' - Norx London_x000D_
Collection (1"x8")Dark Brown</t>
  </si>
  <si>
    <t>NXCLMF16</t>
  </si>
  <si>
    <t>Mayfair 1x8x16' - Norx London_x000D_
Collection (1"x8")Light Brown</t>
  </si>
  <si>
    <t>NXCLNV16</t>
  </si>
  <si>
    <t>Navona 1x7x16' - Norx Rome_x000D_
Collection (1"x7")Charcoal</t>
  </si>
  <si>
    <t>NXCLNYCLIP</t>
  </si>
  <si>
    <t>Stainless Steel Clips 7mm_x000D_
Spacing - 250 CT / Box Inc._x000D_
Clips and Screws</t>
  </si>
  <si>
    <t>NXCLNYCLIP175</t>
  </si>
  <si>
    <t>Stainless Steel Clips 7mm_x000D_
Spacing - 175 CT / Box Inc._x000D_
Clips and Screws</t>
  </si>
  <si>
    <t>NXCLNYCLIP180</t>
  </si>
  <si>
    <t>Stainless Steel Clips 7mm_x000D_
Spacing - 180 CT / Box Inc._x000D_
Clips and Screws</t>
  </si>
  <si>
    <t>NXCLNYCLIP50</t>
  </si>
  <si>
    <t>Stainless Steel Clips 7mm_x000D_
Spacing - 50 CT / Box Inc._x000D_
Clips and Screws</t>
  </si>
  <si>
    <t>NXCLOX16</t>
  </si>
  <si>
    <t>Oxford 1x8x16' - Norx London_x000D_
Collection (1"x8")Gray Color</t>
  </si>
  <si>
    <t>NXCLPN16</t>
  </si>
  <si>
    <t>Pantheon 1x7x16' - Norx Rome_x000D_
Collection (1"x7")Dark Brown</t>
  </si>
  <si>
    <t>NXCLRF16</t>
  </si>
  <si>
    <t>Rockefeller 1x6x16'- Norx New_x000D_
York_x000D_
Collection (1"x6")</t>
  </si>
  <si>
    <t>NXCLTRIMBL</t>
  </si>
  <si>
    <t>Cladding Trim Charcoal 2"x2"_x000D_
- Norx Cladding Trim (Corner_x000D_
Trim / Finish Cap) 16'_x000D_
Used for: _x000D_
London- Big Ben,_x000D_
Rome- Navona.</t>
  </si>
  <si>
    <t>NXCLTRIMDB</t>
  </si>
  <si>
    <t>Cladding Trim Dark Brown 2"x2" -_x000D_
Norx Cladding Trim (Corner Trim_x000D_
/ Finish Cap) 16'_x000D_
Used for:_x000D_
London- Hyde Park,_x000D_
Rome- Pantheon,_x000D_
New York- Empire States_x000D_
Los Angeles- Santa Monica</t>
  </si>
  <si>
    <t>NXCLTRIMG</t>
  </si>
  <si>
    <t>Cladding Trim Gray 2"x2"_x000D_
- Norx Cladding Trim (Corner_x000D_
Trim / Finish Cap) 16'_x000D_
Used for:_x000D_
London- Oxford,_x000D_
Rome- Trevi_x000D_
New York- Rockefeller,_x000D_
Los Angeles- Venice.</t>
  </si>
  <si>
    <t>NXCLTRIMLB</t>
  </si>
  <si>
    <t>Cladding Trim Light Brown 2"x2"_x000D_
- Norx Cladding Trim (Corner_x000D_
Trim / Finish Cap) 16'_x000D_
Used for:_x000D_
London- Mayfair,_x000D_
Rome- Colosseum,_x000D_
Los Angeles- Hollywood,_x000D_
New York- Brooklyn.</t>
  </si>
  <si>
    <t>NXCLTV16</t>
  </si>
  <si>
    <t>Trevi 1x7x16'- Norx Rome_x000D_
Collection (1"x7")Grey Color</t>
  </si>
  <si>
    <t>NXCTRIMLB</t>
  </si>
  <si>
    <t>Corner Trim - 1.5x3x16' - Light_x000D_
Brown</t>
  </si>
  <si>
    <t>NXPCLEB18</t>
  </si>
  <si>
    <t>1x8x16' ( Ebony ) Charcoal_x000D_
Color- Norx Performance</t>
  </si>
  <si>
    <t>NXPCLIPE16</t>
  </si>
  <si>
    <t>1x6x16' IPE Color- ( Dark Brown)_x000D_
- Norx Performance Collection,_x000D_
Net size: 0.98"x5.74". Composite_x000D_
Cladding.</t>
  </si>
  <si>
    <t>NXPCLIPE18</t>
  </si>
  <si>
    <t>1x8x16' IPE Color- (Dark Brown)_x000D_
- Norx Performance Collection,_x000D_
Net size: 0.98"x8.75". Composite_x000D_
Cladding.</t>
  </si>
  <si>
    <t>NXPCLTE16</t>
  </si>
  <si>
    <t>1x6x16' TEAK Color- (Light_x000D_
Brown) - Norx Performance_x000D_
Collection, Net size:_x000D_
0.98"x5.74". Composite Cladding.</t>
  </si>
  <si>
    <t>NXPCLTG18</t>
  </si>
  <si>
    <t>1x8x16' ( Tigerwood) Dark Teak_x000D_
W/ Black Strips - Performance_x000D_
(Mixed colors)</t>
  </si>
  <si>
    <t>NXPCTRIMEB</t>
  </si>
  <si>
    <t>Corner Trim -3x3x16' - ( EBONY )_x000D_
(Charcoal Color)- for 1x6_x000D_
Performance</t>
  </si>
  <si>
    <t>NXPCTRIMIP</t>
  </si>
  <si>
    <t>Corner Trim -3x3x16' - IPE Color_x000D_
-(Dark Brown- for 1x6_x000D_
Performance (Net 2.5"x2.5")</t>
  </si>
  <si>
    <t>NXPCTRIMIP18</t>
  </si>
  <si>
    <t>Corner Trim -3x3x16' - ( IPE )_x000D_
-(Dark Brown) for 1x8_x000D_
Performance (Net 2.5"x2.5")</t>
  </si>
  <si>
    <t>NXPCTRIMTE</t>
  </si>
  <si>
    <t>Corner Trim -3x3x16' - TEAK_x000D_
Color -(Light Brown)for 1x6_x000D_
Performance (Net 2.5"x2.5")</t>
  </si>
  <si>
    <t>NXPCTRIMTG</t>
  </si>
  <si>
    <t>Corner Trim -3x3x16'-(TIGERWOOD)_x000D_
 (Dark Brown )-for 1x6_x000D_
Performance ((Net 2.5"x2.5")</t>
  </si>
  <si>
    <t>NXPLTRIMEB</t>
  </si>
  <si>
    <t>2x2x16' - L Trim - ( Ebony )_x000D_
Charcoal Color- Norx Performance</t>
  </si>
  <si>
    <t>NXPLTRIMIP</t>
  </si>
  <si>
    <t>2x2x16' - L Trim - IPE Color,_x000D_
(Dark Brown) Norx Performance_x000D_
Collection. Composite Cladding L_x000D_
TRIM.</t>
  </si>
  <si>
    <t>NXPLTRIMTE</t>
  </si>
  <si>
    <t>2x2x16' - L Trim - TEAK Color,_x000D_
(Light Brown) Norx Performance_x000D_
Collection. Composite Cladding L_x000D_
TRIM.</t>
  </si>
  <si>
    <t>NXPLTRIMTG</t>
  </si>
  <si>
    <t>2x2x16' - L Trim - ( Tigerwood)_x000D_
Dark Teak - Norx Performance.</t>
  </si>
  <si>
    <t>NXSSCLIP</t>
  </si>
  <si>
    <t>Stainless Steel Clips - 3/32"_x000D_
Spacing - 250 CT / Box Inc._x000D_
Clips and Screws, coverage 150SF</t>
  </si>
  <si>
    <t>NXWH58616</t>
  </si>
  <si>
    <t>Norx 5/8x6 (23 x 140 x 16') -_x000D_
White Color</t>
  </si>
  <si>
    <t>SAIFLABRSH100</t>
  </si>
  <si>
    <t>SAICOS 100mm Flat Brush For_x000D_
Water &amp; Oil (0950 100)</t>
  </si>
  <si>
    <t>SAIFLABRSH30</t>
  </si>
  <si>
    <t>SAICOS 30mm Flat Brush For Water_x000D_
&amp; Oil (0950 030)</t>
  </si>
  <si>
    <t>SAIFLABRSH50</t>
  </si>
  <si>
    <t>SAICOS 50mm Flat Brush For Water_x000D_
&amp; Oil (0950 050)</t>
  </si>
  <si>
    <t>SAIFLABRSH60</t>
  </si>
  <si>
    <t>SAICOS 60mm Flat Brush For Water_x000D_
&amp; Oil (0950 060)</t>
  </si>
  <si>
    <t>SAIFLOBRSH150</t>
  </si>
  <si>
    <t>SAICOS 150mm Floor Brush_x000D_
(0950 150)</t>
  </si>
  <si>
    <t>SAIFLOBRSH210</t>
  </si>
  <si>
    <t>SAICOS 210mm Floor Brush _x000D_
(0950 220)</t>
  </si>
  <si>
    <t>SO331897-000</t>
  </si>
  <si>
    <t>MISC</t>
  </si>
  <si>
    <t>SO703767-000</t>
  </si>
  <si>
    <t>SO703787-000</t>
  </si>
  <si>
    <t>SO706877-000</t>
  </si>
  <si>
    <t>SO712090-000</t>
  </si>
  <si>
    <t>SO714980-000</t>
  </si>
  <si>
    <t>SERVICE / EXPENSE RECOVERY</t>
  </si>
  <si>
    <t>SO714986-000</t>
  </si>
  <si>
    <t>TA11010S</t>
  </si>
  <si>
    <t>Maximo ThermoWood Ash 1x10x10'_x000D_
S4S E4E(Net 0.79 x 9.84 x 118")</t>
  </si>
  <si>
    <t>TA11011S</t>
  </si>
  <si>
    <t>Maximo ThermoWood Ash 1x10x11'_x000D_
S4S E4E(Net 0.79 x 9.84 x 130")</t>
  </si>
  <si>
    <t>TA11012S</t>
  </si>
  <si>
    <t>Maximo ThermoWood Ash 1x10x12'_x000D_
S4S E4E(Net 0.79 x 9.84 x 142")</t>
  </si>
  <si>
    <t>TA11013S</t>
  </si>
  <si>
    <t>Maximo ThermoWood Ash 1x10x13'_x000D_
S4S E4E(Net 0.79 x 9.84 x 154")</t>
  </si>
  <si>
    <t>TA11014S</t>
  </si>
  <si>
    <t>Maximo ThermoWood Ash 1x10x14'_x000D_
S4S E4E(Net 0.79 x 9.84 x 165")</t>
  </si>
  <si>
    <t>TA1104S</t>
  </si>
  <si>
    <t>Maximo ThermoWood Ash 1x10x4'_x000D_
S4S E4E(Net 0.79 x 9.84 x 47")</t>
  </si>
  <si>
    <t>TA1105S</t>
  </si>
  <si>
    <t>Maximo ThermoWood Ash 1x10x5'_x000D_
S4S E4E(Net 0.79 x 9.84 x 59")</t>
  </si>
  <si>
    <t>TA1106S</t>
  </si>
  <si>
    <t>Maximo ThermoWood Ash 1x10x6'_x000D_
S4S E4E(Net 0.79 x 9.84 x 71")</t>
  </si>
  <si>
    <t>TA1107S</t>
  </si>
  <si>
    <t>Maximo ThermoWood Ash 1x10x7'_x000D_
S4S E4E(Net 0.79 x 9.84 x 83")</t>
  </si>
  <si>
    <t>TA1108S</t>
  </si>
  <si>
    <t>Maximo ThermoWood Ash 1x10x8'_x000D_
S4S E4E(Net 0.79 x 9.84 x 95")</t>
  </si>
  <si>
    <t>TA1109S</t>
  </si>
  <si>
    <t>Maximo ThermoWood Ash 1x10x9'_x000D_
S4S E4E(Net 0.79 x 9.84 x 106")</t>
  </si>
  <si>
    <t>TA156SSEM</t>
  </si>
  <si>
    <t>Maximo ThermoWood Ash 1x5x6'_x000D_
S4S-END MATCH (Net 0.83 x 5.12 x_x000D_
71")</t>
  </si>
  <si>
    <t>TA157SSEM</t>
  </si>
  <si>
    <t>Maximo ThermoWood Ash 1x5x7'_x000D_
S4S-END MATCH (Net 0.83 x 5.12 x_x000D_
83")</t>
  </si>
  <si>
    <t>TA1610SSEM</t>
  </si>
  <si>
    <t>Maximo ThermoWood Ash 1x6x10'_x000D_
S4S E4E - END MATCH (Net 0.83 x_x000D_
5.51 x 118")</t>
  </si>
  <si>
    <t>TA1611SSEM</t>
  </si>
  <si>
    <t>Maximo ThermoWood Ash 1x6x11'_x000D_
S4S E4E - END MATCH (Net 0.83 x_x000D_
5.51 x 130")</t>
  </si>
  <si>
    <t>TA1612SSEM</t>
  </si>
  <si>
    <t>Maximo ThermoWood Ash 1x6x12'_x000D_
S4S E4E - END MATCH (Net 0.83 x_x000D_
5.51 x 142")</t>
  </si>
  <si>
    <t>TA1613SSEM</t>
  </si>
  <si>
    <t>Maximo ThermoWood Ash 1x6x13'_x000D_
S4S E4E - END MATCH (Net 0.83 x_x000D_
5.51 x 154")</t>
  </si>
  <si>
    <t>TA1614SSEM</t>
  </si>
  <si>
    <t>Maximo ThermoWood Ash 1x6x14'_x000D_
S4S E4E - END MATCH (Net 0.83 x_x000D_
5.51 x 165")</t>
  </si>
  <si>
    <t>TA1616SSEM</t>
  </si>
  <si>
    <t>Maximo ThermoWood Ash 1x6x16'_x000D_
S4S E4E - END MATCH (Net 0.83 x_x000D_
5.51 x 189")</t>
  </si>
  <si>
    <t>TA166SSEM</t>
  </si>
  <si>
    <t>Maximo ThermoWood Ash 1x6x6'_x000D_
S4S E4E - END MATCH (Net 0.83 x_x000D_
5.51 x 71")</t>
  </si>
  <si>
    <t>TA167SSEM</t>
  </si>
  <si>
    <t>Maximo ThermoWood Ash 1x6x7'_x000D_
S4S E4E - END MATCH (Net 0.83 x_x000D_
5.51 x 83")</t>
  </si>
  <si>
    <t>TA168SSEM</t>
  </si>
  <si>
    <t>Maximo ThermoWood Ash 1x6x8'_x000D_
S4S E4E - END MATCH (Net 0.83 x_x000D_
5.51 x 95")</t>
  </si>
  <si>
    <t>TA169SSEM</t>
  </si>
  <si>
    <t>Maximo ThermoWood Ash 1x6x9'_x000D_
S4S E4E - END MATCH (Net 0.83 x_x000D_
5.51 x 106")</t>
  </si>
  <si>
    <t>TA184S</t>
  </si>
  <si>
    <t>Maximo ThermoWood Ash 1x8x4'_x000D_
S4S E4E(Net 0.79 x 7.09 x 47")</t>
  </si>
  <si>
    <t>TA185S</t>
  </si>
  <si>
    <t>Maximo ThermoWood Ash 1x8x5'_x000D_
S4S E4E(Net 0.79 x 7.09 x 59")</t>
  </si>
  <si>
    <t>TA186S</t>
  </si>
  <si>
    <t>Maximo ThermoWood Ash 1x8x6'_x000D_
S4S E4E(Net 0.79 x 7.09 x 71")</t>
  </si>
  <si>
    <t>TA187S</t>
  </si>
  <si>
    <t>Maximo ThermoWood Ash 1x8x7'_x000D_
S4S E4E(Net 0.79 x 7.09 x 83")</t>
  </si>
  <si>
    <t>TA188S</t>
  </si>
  <si>
    <t>Maximo ThermoWood Ash 1x8x8'_x000D_
S4S E4E(Net 0.79 x 7.09 x 95")</t>
  </si>
  <si>
    <t>TA2410S</t>
  </si>
  <si>
    <t>Maximo ThermoWood Ash 2x4x10'_x000D_
S4S E4E(Net 1.57 x 3.54 x 118")</t>
  </si>
  <si>
    <t>TA2411S</t>
  </si>
  <si>
    <t>Maximo ThermoWood Ash 2x4x11'_x000D_
S4S E4E(Net 1.57 x 3.54 x 130")</t>
  </si>
  <si>
    <t>TA2412S</t>
  </si>
  <si>
    <t>Maximo ThermoWood Ash 2x4x12'_x000D_
S4S E4E(Net 1.57 x 3.54 x 142")</t>
  </si>
  <si>
    <t>TA2413S</t>
  </si>
  <si>
    <t>Maximo ThermoWood Ash 2x4x13'_x000D_
S4S E4E(Net 1.57 x 3.54 x 154")</t>
  </si>
  <si>
    <t>TA2414S</t>
  </si>
  <si>
    <t>Maximo ThermoWood Ash 2x4x14'_x000D_
S4S E4E(Net 1.57 x 3.54 x 165")</t>
  </si>
  <si>
    <t>TA244S</t>
  </si>
  <si>
    <t>Maximo ThermoWood Ash 2x4x4'_x000D_
S4S E4E(Net 1.57 x 3.54 x 47")</t>
  </si>
  <si>
    <t>TA245S</t>
  </si>
  <si>
    <t>Maximo ThermoWood Ash 2x4x5'_x000D_
S4S E4E(Net 1.57 x 3.54 x 59")</t>
  </si>
  <si>
    <t>TA246S</t>
  </si>
  <si>
    <t>Maximo ThermoWood Ash 2x4x6'_x000D_
S4S E4E(Net 1.57 x 3.54 x 71")</t>
  </si>
  <si>
    <t>TA247S</t>
  </si>
  <si>
    <t>Maximo ThermoWood Ash 2x4x7'_x000D_
S4S E4E(Net 1.57 x 3.54 x 83")</t>
  </si>
  <si>
    <t>TA248S</t>
  </si>
  <si>
    <t>Maximo ThermoWood Ash 2x4x8'_x000D_
S4S E4E(Net 1.57 x 3.54 x 95")</t>
  </si>
  <si>
    <t>TA249S</t>
  </si>
  <si>
    <t>Maximo ThermoWood Ash 2x4x9'_x000D_
S4S E4E(Net 1.57 x 3.54 x 106")</t>
  </si>
  <si>
    <t>TA2510S</t>
  </si>
  <si>
    <t>TA254S</t>
  </si>
  <si>
    <t>TA255S</t>
  </si>
  <si>
    <t>TA256S</t>
  </si>
  <si>
    <t>TA257S</t>
  </si>
  <si>
    <t>TA259S</t>
  </si>
  <si>
    <t>TA54510SSEM</t>
  </si>
  <si>
    <t>Maximo ThermoWood Ash 5/4x5x10'_x000D_
S4S-END MATCH (Net 0.98 x 5.12 x_x000D_
118")</t>
  </si>
  <si>
    <t>TA5456SSEM</t>
  </si>
  <si>
    <t>Maximo ThermoWood Ash 5/4x5x6'_x000D_
S4S-END MATCH (Net 0.98 x 5.12 x_x000D_
71")</t>
  </si>
  <si>
    <t>TA5458SSEM</t>
  </si>
  <si>
    <t>Maximo ThermoWood Ash 5/4x5x8'_x000D_
S4S-END MATCH (Net 0.98 x 5.12 x_x000D_
95")</t>
  </si>
  <si>
    <t>TA5459SSEM</t>
  </si>
  <si>
    <t>Maximo ThermoWood Ash 5/4x5x9'_x000D_
S4S-END MATCH (Net 0.98 x 5.12 x_x000D_
106")</t>
  </si>
  <si>
    <t>TA54610SSEM</t>
  </si>
  <si>
    <t>Maximo ThermoWood Ash 5/4x6x10'_x000D_
S4S E4E - END MATCH (Net 0.98 x_x000D_
5.51 x 118")</t>
  </si>
  <si>
    <t>TA54611SSEM</t>
  </si>
  <si>
    <t>TA54612SSEM</t>
  </si>
  <si>
    <t>TA5466SSEM</t>
  </si>
  <si>
    <t>Maximo ThermoWood Ash 5/4x6x6'_x000D_
S4S E4E - END MATCH (Net 0.98 x_x000D_
5.51 x 71")</t>
  </si>
  <si>
    <t>TA5467SSEM</t>
  </si>
  <si>
    <t>Maximo ThermoWood Ash 5/4x6x7'_x000D_
S4S E4E - END MATCH (Net 0.98 x_x000D_
5.51 x 83")</t>
  </si>
  <si>
    <t>TA5468SSEM</t>
  </si>
  <si>
    <t>Maximo ThermoWood Ash 5/4x6x8'_x000D_
S4S E4E - END MATCH (Net 0.98 x_x000D_
5.51 x 95")</t>
  </si>
  <si>
    <t>TA5469SSEM</t>
  </si>
  <si>
    <t>Maximo ThermoWood Ash 5/4x6x9'_x000D_
S4S E4E - END MATCH (Net 0.98 x_x000D_
5.51 x 106")</t>
  </si>
  <si>
    <t>TAY1414S</t>
  </si>
  <si>
    <t>TAY146S</t>
  </si>
  <si>
    <t>TAY147S</t>
  </si>
  <si>
    <t>TAY148S</t>
  </si>
  <si>
    <t>TAY149S</t>
  </si>
  <si>
    <t>TAY2311S</t>
  </si>
  <si>
    <t>Maximo ThermoWood Ayous 2x3x11'_x000D_
S4S (Net 1.57 x 2.56 x 130")</t>
  </si>
  <si>
    <t>TAY238S</t>
  </si>
  <si>
    <t>Maximo ThermoWood Ayous 2x3x8'_x000D_
S4S (Net 1.57 x 2.56 x 95")</t>
  </si>
  <si>
    <t>TAY239S</t>
  </si>
  <si>
    <t>Maximo ThermoWood Ayous 2x3x9'_x000D_
S4S (Net 1.57 x 2.56 x 106")</t>
  </si>
  <si>
    <t>TAY54410S</t>
  </si>
  <si>
    <t>Maximo ThermoWood Ayous_x000D_
5/4x4x10' S4S E4E(Net 0.98 x_x000D_
3.54 x 118")</t>
  </si>
  <si>
    <t>TAY54411S</t>
  </si>
  <si>
    <t>Maximo ThermoWood Ayous_x000D_
5/4x4x11' S4S E4E(Net 0.98 x_x000D_
3.54 x 130")</t>
  </si>
  <si>
    <t>TAY5446S</t>
  </si>
  <si>
    <t>Maximo ThermoWood Ayous 5/4x4x6'_x000D_
S4S E4E(Net 0.98 x 3.54 x 71")</t>
  </si>
  <si>
    <t>TAY5447S</t>
  </si>
  <si>
    <t>Maximo ThermoWood Ayous 5/4x4x7'_x000D_
S4S E4E(Net 0.98 x 3.54 x 83")</t>
  </si>
  <si>
    <t>TAY5448S</t>
  </si>
  <si>
    <t>Maximo ThermoWood Ayous 5/4x4x8'_x000D_
S4S E4E(Net 0.98 x 3.54 x 95")</t>
  </si>
  <si>
    <t>TAY5449S</t>
  </si>
  <si>
    <t>Maximo ThermoWood Ayous 5/4x4x9'_x000D_
S4S E4E(Net 0.98 x 3.54 x 106")</t>
  </si>
  <si>
    <t>TAY54610S</t>
  </si>
  <si>
    <t>Maximo ThermoWood Ayous_x000D_
5/4x6x10' S4S E4E(Net 0.98 x_x000D_
5.51 x 118")</t>
  </si>
  <si>
    <t>TAY54611S</t>
  </si>
  <si>
    <t>Maximo ThermoWood Ayous_x000D_
5/4x6x11' S4S E4E(Net 0.98 x_x000D_
5.51 x 130")</t>
  </si>
  <si>
    <t>TAY54614S</t>
  </si>
  <si>
    <t>Maximo ThermoWood Ayous_x000D_
5/4x6x14' S4S E4E(Net 0.98 x_x000D_
5.51 x 165")</t>
  </si>
  <si>
    <t>TAY54616S</t>
  </si>
  <si>
    <t>Maximo ThermoWood Ayous_x000D_
5/4x6x16' S4S E4E(Net 0.98 x_x000D_
5.51 x 189")</t>
  </si>
  <si>
    <t>TAY54617S</t>
  </si>
  <si>
    <t>Maximo ThermoWood Ayous_x000D_
5/4x6x17' S4S E4E(Net 0.98 x_x000D_
5.51 x 201")</t>
  </si>
  <si>
    <t>TAY5469S</t>
  </si>
  <si>
    <t>Maximo ThermoWood Ayous 5/4x6x9'_x000D_
S4S E4E(Net 0.98 x 5.51 x 106")</t>
  </si>
  <si>
    <t>TAYCNGVJ1610</t>
  </si>
  <si>
    <t>Maximo Thermowood Ayous 1x6x10'_x000D_
(Net 0.75 x 5.91 x 118") –_x000D_
VJoint - Nickel Gap - Pre_x000D_
Finished</t>
  </si>
  <si>
    <t>TAYCNGVJ1611</t>
  </si>
  <si>
    <t>Maximo Thermowood Ayous 1x6x11'_x000D_
(Net 0.75 x 5.91 x 130") –_x000D_
VJoint - Nickel Gap - Pre_x000D_
Finished</t>
  </si>
  <si>
    <t>TAYCNGVJ1612</t>
  </si>
  <si>
    <t>Maximo Thermowood Ayous 1x6x12'_x000D_
(Net 0.75 x 5.91 x 142") –_x000D_
VJoint - Nickel Gap - Pre_x000D_
Finished</t>
  </si>
  <si>
    <t>TAYCNGVJ1613</t>
  </si>
  <si>
    <t>Maximo Thermowood Ayous 1x6x13'_x000D_
(Net 0.75 x 5.91 x 154") –_x000D_
VJoint - Nickel Gap - Pre_x000D_
Finished</t>
  </si>
  <si>
    <t>TAYCNGVJ1614</t>
  </si>
  <si>
    <t>Maximo Thermowood Ayous 1x6x14'_x000D_
(Net 0.75 x 5.91 x 165") –_x000D_
VJoint - Nickel Gap - Pre_x000D_
Finished</t>
  </si>
  <si>
    <t>TAYCNGVJ1615</t>
  </si>
  <si>
    <t>Maximo Thermowood Ayous 1x6x15'_x000D_
(Net 0.75 x 5.91 x 177") –_x000D_
VJoint - Nickel Gap - Pre_x000D_
Finished</t>
  </si>
  <si>
    <t>TAYCNGVJ1616</t>
  </si>
  <si>
    <t>Maximo Thermowood Ayous 1x6x16'_x000D_
(Net 0.75 x 5.91 x 189") –_x000D_
VJoint - Nickel Gap - Pre_x000D_
Finished</t>
  </si>
  <si>
    <t>TAYCNGVJ164</t>
  </si>
  <si>
    <t>Maximo Thermowood Ayous 1x6x4'_x000D_
(Net 0.75 x 5.91 x 47") – VJoint_x000D_
- Nickel Gap - Pre Finished</t>
  </si>
  <si>
    <t>TAYCNGVJ165</t>
  </si>
  <si>
    <t>Maximo Thermowood Ayous 1x6x5'_x000D_
(Net 0.75 x 5.91 x 59") – VJoint_x000D_
- Nickel Gap - Pre Finished</t>
  </si>
  <si>
    <t>TAYCNGVJ166</t>
  </si>
  <si>
    <t>Maximo Thermowood Ayous 1x6x6'_x000D_
(Net 0.75 x 5.91 x 71") – VJoint_x000D_
- Nickel Gap - Pre Finished</t>
  </si>
  <si>
    <t>TAYCNGVJ167</t>
  </si>
  <si>
    <t>Maximo Thermowood Ayous 1x6x7'_x000D_
(Net 0.75 x 5.91 x 83") – VJoint_x000D_
- Nickel Gap - Pre Finished</t>
  </si>
  <si>
    <t>TAYCNGVJ168</t>
  </si>
  <si>
    <t>Maximo Thermowood Ayous 1x6x8'_x000D_
(Net 0.75 x 5.91 x 95") – VJoint_x000D_
- Nickel Gap - Pre Finished</t>
  </si>
  <si>
    <t>TAYCNGVJ169</t>
  </si>
  <si>
    <t>Maximo Thermowood Ayous 1x6x9'_x000D_
(Net 0.75 x 5.91 x 106") –_x000D_
VJoint - Nickel Gap - Pre_x000D_
Finished</t>
  </si>
  <si>
    <t>TAYD245S</t>
  </si>
  <si>
    <t>Maximo Thermo Ayous 2x4x5' Dark_x000D_
Color S4S E4E (1.5" x 3.5" x_x000D_
59")</t>
  </si>
  <si>
    <t>TAYD246S</t>
  </si>
  <si>
    <t>Thermo Ayous 2x4x6' Dark Color_x000D_
S4S E4E (1.5" x 3.5" x 71")</t>
  </si>
  <si>
    <t>TAYD247S</t>
  </si>
  <si>
    <t>Thermo Ayous 2x4x7' Dark Color_x000D_
S4S E4E (1.5" x 3.5" x 83")</t>
  </si>
  <si>
    <t>TAYDVJ1610</t>
  </si>
  <si>
    <t>Thermo Ayous 1x6x10' Dark Color_x000D_
T&amp;G V-Joint Square Back_x000D_
(3/4"x5.25"x118")</t>
  </si>
  <si>
    <t>TAYDVJ1611</t>
  </si>
  <si>
    <t>Thermo Ayous 1x6x11' Dark Color_x000D_
T&amp;G V-Joint Square Back_x000D_
(3/4"x5.25"x130")</t>
  </si>
  <si>
    <t>TAYDVJ1612</t>
  </si>
  <si>
    <t>Thermo Ayous 1x6x12' Dark Color_x000D_
T&amp;G V-Joint Square Back_x000D_
(3/4"x5.25"x142")</t>
  </si>
  <si>
    <t>TAYDVJ1613</t>
  </si>
  <si>
    <t>Thermo Ayous 1x6x13' Dark Color_x000D_
T&amp;G V-Joint Square Back_x000D_
(3/4"x5.25"x154")</t>
  </si>
  <si>
    <t>TAYDVJ1614</t>
  </si>
  <si>
    <t>Thermo Ayous 1x6x14' Dark Color_x000D_
T&amp;G V-Joint Square Back_x000D_
(3/4"x5.25"x165")</t>
  </si>
  <si>
    <t>TAYDVJ1615</t>
  </si>
  <si>
    <t>Thermo Ayous 1x6x15' Dark Color_x000D_
T&amp;G V-Joint Square Back_x000D_
(3/4"x5.25"x177")</t>
  </si>
  <si>
    <t>TAYDVJ1617</t>
  </si>
  <si>
    <t>Thermo Ayous 1x6x17' Dark Color_x000D_
T&amp;G V-Joint Square Back_x000D_
(3/4"x5.25"x201")</t>
  </si>
  <si>
    <t>TAYDVJ166</t>
  </si>
  <si>
    <t>Thermo Ayous 1x6x6' Dark Color_x000D_
T&amp;G V-Joint Square Back_x000D_
(3/4"x5.25"x71")</t>
  </si>
  <si>
    <t>TAYDVJ167</t>
  </si>
  <si>
    <t>Thermo Ayous 1x6x7' Dark Color_x000D_
T&amp;G V-Joint Square Back_x000D_
(3/4"x5.25"x83")</t>
  </si>
  <si>
    <t>TAYDVJ168</t>
  </si>
  <si>
    <t>Thermo Ayous 1x6x8' Dark Color_x000D_
T&amp;G V-Joint Square Back_x000D_
(3/4"x5.25"x95")</t>
  </si>
  <si>
    <t>TAYDVJ169</t>
  </si>
  <si>
    <t>Thermo Ayous 1x6x9' Dark Color_x000D_
T&amp;G V-Joint Square Back_x000D_
(3/4"x5.25"x106")</t>
  </si>
  <si>
    <t>TAYJPLL1810</t>
  </si>
  <si>
    <t>Maximo ThermoWood Ayous 1x8x10' _x000D_
S4S E4E (3/4"x7" face)</t>
  </si>
  <si>
    <t>TAYJPLL1811</t>
  </si>
  <si>
    <t>Maximo ThermoWood Ayous 1x8x11' _x000D_
S4S E4E (3/4"x7" face)</t>
  </si>
  <si>
    <t>TAYJPLL1812</t>
  </si>
  <si>
    <t>Maximo ThermoWood Ayous 1x8x12' _x000D_
S4S E4E (3/4"x7" face)</t>
  </si>
  <si>
    <t>TAYJPLL1814</t>
  </si>
  <si>
    <t>Maximo ThermoWood Ayous 1x8x14' _x000D_
S4S E4E (3/4"x7" face)</t>
  </si>
  <si>
    <t>TAYJPLL1816</t>
  </si>
  <si>
    <t>Maximo ThermoWood Ayous 1x8x16' _x000D_
S4S E4E (3/4"x7" face)</t>
  </si>
  <si>
    <t>TAYJPLL1817</t>
  </si>
  <si>
    <t>Maximo ThermoWood Ayous 1x8x17' _x000D_
S4S E4E (3/4"x7" face)</t>
  </si>
  <si>
    <t>TAYJPLL188</t>
  </si>
  <si>
    <t>Maximo ThermoWood Ayous 1x8x8' _x000D_
S4S E4E (3/4"x7" face)</t>
  </si>
  <si>
    <t>TAYJPLL189</t>
  </si>
  <si>
    <t>Maximo ThermoWood Ayous 1x8x9' _x000D_
S4S E4E (3/4"x7" face)</t>
  </si>
  <si>
    <t>TAYJPLL2210</t>
  </si>
  <si>
    <t>Maximo ThermoWood Ayous 2x2x10' _x000D_
S4S E4E (1.5" x 1.5" Face)</t>
  </si>
  <si>
    <t>TAYJPLL2211</t>
  </si>
  <si>
    <t>Maximo ThermoWood Ayous 2x2x11' _x000D_
S4S E4E (1.5" x 1.5" Face)</t>
  </si>
  <si>
    <t>TAYJPLL2212</t>
  </si>
  <si>
    <t>Maximo ThermoWood Ayous 2x2x12' _x000D_
S4S E4E (1.5" x 1.5" Face)</t>
  </si>
  <si>
    <t>TAYJPLL2213</t>
  </si>
  <si>
    <t>Maximo ThermoWood Ayous 2x2x13' _x000D_
S4S E4E (1.5" x 1.5" Face)</t>
  </si>
  <si>
    <t>TAYJPLL2214</t>
  </si>
  <si>
    <t>Maximo ThermoWood Ayous 2x2x14' _x000D_
S4S E4E (1.5" x 1.5" Face)</t>
  </si>
  <si>
    <t>TAYJPLL2216</t>
  </si>
  <si>
    <t>Maximo ThermoWood Ayous 2x2x16' _x000D_
S4S E4E (1.5" x 1.5" Face)</t>
  </si>
  <si>
    <t>TAYJPLL2217</t>
  </si>
  <si>
    <t>Maximo ThermoWood Ayous 2x2x17' _x000D_
S4S E4E (1.5" x 1.5" Face)</t>
  </si>
  <si>
    <t>TAYJPLL228</t>
  </si>
  <si>
    <t>Maximo ThermoWood Ayous 2x2x8' _x000D_
S4S E4E (1.5" x 1.5" Face)</t>
  </si>
  <si>
    <t>TAYJPLL229</t>
  </si>
  <si>
    <t>Maximo ThermoWood Ayous 2x2x9' _x000D_
S4S E4E (1.5" x 1.5" Face)</t>
  </si>
  <si>
    <t>TAYJPLL2410</t>
  </si>
  <si>
    <t>Maximo ThermoWood Ayous 2x4x10' _x000D_
S4S E4E (1.5" x 3.5" Face)</t>
  </si>
  <si>
    <t>TAYJPLL2411</t>
  </si>
  <si>
    <t>Maximo ThermoWood Ayous 2x4x11' _x000D_
S4S E4E (1.5" x 3.5" Face)</t>
  </si>
  <si>
    <t>TAYJPLL2412</t>
  </si>
  <si>
    <t>Maximo ThermoWood Ayous 2x4x12' _x000D_
S4S E4E (1.5" x 3.5" Face)</t>
  </si>
  <si>
    <t>TAYJPLL2413</t>
  </si>
  <si>
    <t>Maximo ThermoWood Ayous 2x4x13' _x000D_
S4S E4E (1.5" x 3.5" Face)</t>
  </si>
  <si>
    <t>TAYJPLL2414</t>
  </si>
  <si>
    <t>Maximo ThermoWood Ayous 2x4x14' _x000D_
S4S E4E (1.5" x 3.5" Face)</t>
  </si>
  <si>
    <t>TAYJPLL2417</t>
  </si>
  <si>
    <t>Maximo ThermoWood Ayous 2x4x17' _x000D_
S4S E4E (1.5" x 3.5" Face)</t>
  </si>
  <si>
    <t>TAYJPLL248</t>
  </si>
  <si>
    <t>Maximo ThermoWood Ayous 2x4x8' _x000D_
S4S E4E (1.5" x 3.5" Face)</t>
  </si>
  <si>
    <t>TAYJPLL249</t>
  </si>
  <si>
    <t>Maximo ThermoWood Ayous 2x4x9' _x000D_
S4S E4E (1.5" x 3.5" Face)</t>
  </si>
  <si>
    <t>TAYJPLL2610</t>
  </si>
  <si>
    <t>Maximo ThermoWood Ayous 2x6x10' _x000D_
S4S E4E (1.5" x 5.5" Face)</t>
  </si>
  <si>
    <t>TAYJPLL2611</t>
  </si>
  <si>
    <t>Maximo ThermoWood Ayous 2x6x11' _x000D_
S4S E4E (1.5" x 5.5" Face)</t>
  </si>
  <si>
    <t>TAYJPLL2612</t>
  </si>
  <si>
    <t>Maximo ThermoWood Ayous 2x6x12' _x000D_
S4S E4E (1.5" x 5.5" Face)</t>
  </si>
  <si>
    <t>TAYJPLL2613</t>
  </si>
  <si>
    <t>Maximo ThermoWood Ayous 2x6x13' _x000D_
S4S E4E (1.5" x 5.5" Face)</t>
  </si>
  <si>
    <t>TAYJPLL2614</t>
  </si>
  <si>
    <t>Maximo ThermoWood Ayous 2x6x14' _x000D_
S4S E4E (1.5" x 5.5" Face)</t>
  </si>
  <si>
    <t>TAYJPLL2615</t>
  </si>
  <si>
    <t>Maximo ThermoWood Ayous 2x6x15' _x000D_
S4S E4E (1.5" x 5.5" Face)</t>
  </si>
  <si>
    <t>TAYJPLL2616</t>
  </si>
  <si>
    <t>Maximo ThermoWood Ayous 2x6x16' _x000D_
S4S E4E (1.5" x 5.5" Face)</t>
  </si>
  <si>
    <t>TAYJPLL2617</t>
  </si>
  <si>
    <t>Maximo ThermoWood Ayous 2x6x17' _x000D_
S4S E4E (1.5" x 5.5" Face)</t>
  </si>
  <si>
    <t>TAYJPLL268</t>
  </si>
  <si>
    <t>Maximo ThermoWood Ayous 2x6x8' _x000D_
S4S E4E (1.5" x 5.5" Face)</t>
  </si>
  <si>
    <t>TAYJPLL269</t>
  </si>
  <si>
    <t>Maximo ThermoWood Ayous 2x6x9' _x000D_
S4S E4E (1.5" x 5.5" Face)</t>
  </si>
  <si>
    <t>TAYJPLLRS54610</t>
  </si>
  <si>
    <t>Maximo ThermoWood Ayous_x000D_
5/4x6x10' (1" x5.5" Face) Rough_x000D_
Sawn</t>
  </si>
  <si>
    <t>TAYJPLLRS54612</t>
  </si>
  <si>
    <t>Maximo ThermoWood Ayous_x000D_
5/4x6x12' (1" x5.5" Face) Rough_x000D_
Sawn</t>
  </si>
  <si>
    <t>TAYJPLLRS54613</t>
  </si>
  <si>
    <t>Maximo ThermoWood Ayous_x000D_
5/4x6x13' (1" x5.5" Face) Rough_x000D_
Sawn</t>
  </si>
  <si>
    <t>TAYJPLLRS54616</t>
  </si>
  <si>
    <t>Maximo ThermoWood Ayous_x000D_
5/4x6x16' (1" x5.5" Face) Rough_x000D_
Sawn</t>
  </si>
  <si>
    <t>TAYJPLLRS54618</t>
  </si>
  <si>
    <t>Maximo ThermoWood Ayous_x000D_
5/4x6x18' (1" x5.5" Face) Rough_x000D_
Sawn</t>
  </si>
  <si>
    <t>TAYJPLLRS5468</t>
  </si>
  <si>
    <t>Maximo ThermoWood Ayous 5/4x6x8'_x000D_
(1" x5.5" Face) Rough Sawn</t>
  </si>
  <si>
    <t>TAYJPLLRS5469</t>
  </si>
  <si>
    <t>Maximo ThermoWood Ayous 5/4x6x9'_x000D_
(1" x5.5" Face) Rough Sawn</t>
  </si>
  <si>
    <t>TAYJPLLVJ1610</t>
  </si>
  <si>
    <t>Maximo ThermoWood Ayous 1x6x10'_x000D_
V-Joint Square (3/4"x5.25" face)</t>
  </si>
  <si>
    <t>TAYJPLLVJ1612</t>
  </si>
  <si>
    <t>Maximo ThermoWood Ayous 1x6x12'_x000D_
V-Joint Square (3/4"x5.25" face)</t>
  </si>
  <si>
    <t>TAYJPLLVJ1615</t>
  </si>
  <si>
    <t>Maximo ThermoWood Ayous 1x6x15'_x000D_
V-Joint Square (3/4"x5.25" face)</t>
  </si>
  <si>
    <t>TAYJPLLVJ166</t>
  </si>
  <si>
    <t>Maximo ThermoWood Ayous 1x6x6'_x000D_
V-Joint Square (3/4"x5.25" face)</t>
  </si>
  <si>
    <t>TAYJPLLVJ167</t>
  </si>
  <si>
    <t>Maximo ThermoWood Ayous 1x6x7'_x000D_
V-Joint Square (3/4"x5.25" face)</t>
  </si>
  <si>
    <t>TAYJPLLVJ168</t>
  </si>
  <si>
    <t>Maximo ThermoWood Ayous 1x6x8'_x000D_
V-Joint Square (3/4"x5.25" face)</t>
  </si>
  <si>
    <t>TAYJPLLVJNG1610</t>
  </si>
  <si>
    <t>Maximo ThermoWood Ayous 1x6x10'_x000D_
V-Joint and Nickel Gap_x000D_
(3/4"x5.25" face)</t>
  </si>
  <si>
    <t>TAYJPLLVJNG1613</t>
  </si>
  <si>
    <t>Maximo ThermoWood Ayous 1x6x13'_x000D_
V-Joint and Nickel Gap_x000D_
(3/4"x5.25" face)</t>
  </si>
  <si>
    <t>TAYJPLLVJNG1614</t>
  </si>
  <si>
    <t>Maximo ThermoWood Ayous 1x6x14'_x000D_
V-Joint and Nickel Gap_x000D_
(3/4"x5.25" face)</t>
  </si>
  <si>
    <t>TAYJPLLVJNG1617</t>
  </si>
  <si>
    <t>Maximo ThermoWood Ayous 1x6x17'_x000D_
V-Joint and Nickel Gap_x000D_
(3/4"x5.25" face)</t>
  </si>
  <si>
    <t>TAYJPLLVJNG168</t>
  </si>
  <si>
    <t>Maximo ThermoWood Ayous 1x6x8'_x000D_
V-Joint and Nickel Gap_x000D_
(3/4"x5.25" face)</t>
  </si>
  <si>
    <t>TAYL11010S</t>
  </si>
  <si>
    <t>Maximo ThermoWood Ayous 1x10x10'_x000D_
S4S E4E(Net 0.79 x 9.84 x 118")</t>
  </si>
  <si>
    <t>TAYL11011S</t>
  </si>
  <si>
    <t>Maximo ThermoWood Ayous 1x10x11'_x000D_
S4S E4E(Net 0.79 x 9.84 x 130")</t>
  </si>
  <si>
    <t>TAYL11013S</t>
  </si>
  <si>
    <t>Maximo ThermoWood Ayous 1x10x13'_x000D_
S4S E4E(Net 0.79 x 9.84 x 154")</t>
  </si>
  <si>
    <t>TAYL11014S</t>
  </si>
  <si>
    <t>Maximo ThermoWood Ayous 1x10x14'_x000D_
S4S E4E(Net 0.79 x 9.84 x 165")</t>
  </si>
  <si>
    <t>TAYL1104S</t>
  </si>
  <si>
    <t>Maximo ThermoWood Ayous 1x10x4'_x000D_
S4S E4E(Net 0.79 x 9.84 x 47")</t>
  </si>
  <si>
    <t>TAYL1105S</t>
  </si>
  <si>
    <t>Maximo ThermoWood Ayous 1x10x5'_x000D_
S4S E4E(Net 0.79 x 9.84 x 59")</t>
  </si>
  <si>
    <t>TAYL1106S</t>
  </si>
  <si>
    <t>Maximo ThermoWood Ayous 1x10x6'_x000D_
S4S E4E(Net 0.79 x 9.84 x 71")</t>
  </si>
  <si>
    <t>TAYL1107S</t>
  </si>
  <si>
    <t>Maximo ThermoWood Ayous 1x10x7'_x000D_
S4S E4E(Net 0.79 x 9.84 x 83")</t>
  </si>
  <si>
    <t>TAYL1108S</t>
  </si>
  <si>
    <t>Maximo ThermoWood Ayous 1x10x8'_x000D_
S4S E4E(Net 0.79 x 9.84 x 95")</t>
  </si>
  <si>
    <t>TAYL1109S</t>
  </si>
  <si>
    <t>Maximo ThermoWood Ayous 1x10x9'_x000D_
S4S E4E(Net 0.79 x 9.84 x 106")</t>
  </si>
  <si>
    <t>TAYL1117S</t>
  </si>
  <si>
    <t>Maximo ThermoWood Ayous 1x11x7' _x000D_
Square (3/4" x 10.25" x 83")</t>
  </si>
  <si>
    <t>TAYL1118S</t>
  </si>
  <si>
    <t>Maximo ThermoWood Ayous 1x11x8' _x000D_
Square (3/4" x 10.25" x 95")</t>
  </si>
  <si>
    <t>TAYL1610S</t>
  </si>
  <si>
    <t>Maximo ThermoWood Ayous 1x6x10'_x000D_
S4S E4E(Net 0.75 x 5.51 x 118")</t>
  </si>
  <si>
    <t>TAYL1611S</t>
  </si>
  <si>
    <t>Maximo ThermoWood Ayous 1x6x11'_x000D_
S4S E4E(Net 0.75 x 5.51 x 130")</t>
  </si>
  <si>
    <t>TAYL1612S</t>
  </si>
  <si>
    <t>Maximo ThermoWood Ayous 1x6x12'_x000D_
S4S E4E(Net 0.75 x 5.51 x 142")</t>
  </si>
  <si>
    <t>TAYL1613S</t>
  </si>
  <si>
    <t>Maximo ThermoWood Ayous 1x6x13'_x000D_
S4S E4E(Net 0.75 x 5.51 x 154")</t>
  </si>
  <si>
    <t>TAYL1614S</t>
  </si>
  <si>
    <t>Maximo ThermoWood Ayous 1x6x14'_x000D_
S4S E4E(Net 0.75 x 5.51 x 165")</t>
  </si>
  <si>
    <t>TAYL1615S</t>
  </si>
  <si>
    <t>Maximo ThermoWood Ayous 1x6x15'_x000D_
S4S E4E(Net 0.75 x 5.51 x 177")</t>
  </si>
  <si>
    <t>TAYL1616S</t>
  </si>
  <si>
    <t>Maximo ThermoWood Ayous 1x6x16'_x000D_
S4S E4E(Net 0.75 x 5.51 x 189")</t>
  </si>
  <si>
    <t>TAYL164S</t>
  </si>
  <si>
    <t>Maximo ThermoWood Ayous 1x6x4'_x000D_
S4S E4E(Net 0.75 x 5.51 x 47")</t>
  </si>
  <si>
    <t>TAYL165S</t>
  </si>
  <si>
    <t>Maximo ThermoWood Ayous 1x6x5'_x000D_
S4S E4E(Net 0.75 x 5.51 x 59")</t>
  </si>
  <si>
    <t>TAYL166S</t>
  </si>
  <si>
    <t>Maximo ThermoWood Ayous 1x6x6'_x000D_
S4S E4E(Net 0.75 x 5.51 x 71")</t>
  </si>
  <si>
    <t>TAYL167S</t>
  </si>
  <si>
    <t>Maximo ThermoWood Ayous 1x6x7'_x000D_
S4S E4E(Net 0.75 x 5.51 x 83")</t>
  </si>
  <si>
    <t>TAYL168S</t>
  </si>
  <si>
    <t>Maximo ThermoWood Ayous 1x6x8'_x000D_
S4S E4E(Net 0.75 x 5.51 x 95")</t>
  </si>
  <si>
    <t>TAYL169S</t>
  </si>
  <si>
    <t>Maximo ThermoWood Ayous 1x6x9'_x000D_
S4S E4E(Net 0.75 x 5.51 x 106")</t>
  </si>
  <si>
    <t>TAYL1810S</t>
  </si>
  <si>
    <t>Maximo ThermoWood Ayous 1x8x10'_x000D_
S4S E4E(Net 0.79 x 7.09 x 118")</t>
  </si>
  <si>
    <t>TAYL1811S</t>
  </si>
  <si>
    <t>Maximo ThermoWood Ayous 1x8x11'_x000D_
S4S E4E(Net 0.79 x 7.09 x 130")</t>
  </si>
  <si>
    <t>TAYL1813S</t>
  </si>
  <si>
    <t>Maximo ThermoWood Ayous 1x8x13'_x000D_
S4S E4E(Net 0.79 x 7.09 x 154")</t>
  </si>
  <si>
    <t>TAYL184S</t>
  </si>
  <si>
    <t>Maximo ThermoWood Ayous 1x8x4'_x000D_
S4S E4E(Net 0.79 x 7.09 x 47")</t>
  </si>
  <si>
    <t>TAYL185S</t>
  </si>
  <si>
    <t>Maximo ThermoWood Ayous 1x8x5'_x000D_
S4S E4E(Net 0.79 x 7.09 x 59")</t>
  </si>
  <si>
    <t>TAYL186S</t>
  </si>
  <si>
    <t>Maximo ThermoWood Ayous 1x8x6'_x000D_
S4S E4E(Net 0.79 x 7.09 x 71")</t>
  </si>
  <si>
    <t>TAYL187S</t>
  </si>
  <si>
    <t>Maximo ThermoWood Ayous 1x8x7'_x000D_
S4S E4E(Net 0.79 x 7.09 x 83")</t>
  </si>
  <si>
    <t>TAYL188S</t>
  </si>
  <si>
    <t>Maximo ThermoWood Ayous 1x8x8'_x000D_
S4S E4E(Net 0.79 x 7.09 x 95")</t>
  </si>
  <si>
    <t>TAYL189S</t>
  </si>
  <si>
    <t>Maximo ThermoWood Ayous 1x8x9'_x000D_
S4S E4E(Net 0.79 x 7.09 x 106")</t>
  </si>
  <si>
    <t>TAYL227S</t>
  </si>
  <si>
    <t>Maximo ThermoWood Ayous 2x2x7'_x000D_
S4S E4E(Net 1.57 x 1.57 x 83")</t>
  </si>
  <si>
    <t>TAYL2410S</t>
  </si>
  <si>
    <t>Maximo ThermoWood Ayous 2x4x10'_x000D_
S4S E4E(Net 1.57 x 3.54 x 118")</t>
  </si>
  <si>
    <t>TAYL2412S</t>
  </si>
  <si>
    <t>Maximo ThermoWood Ayous 2x4x12'_x000D_
S4S E4E(Net 1.57 x 3.54 x 142")</t>
  </si>
  <si>
    <t>TAYL247S</t>
  </si>
  <si>
    <t>Maximo ThermoWood Ayous 2x4x7'_x000D_
S4S E4E(Net 1.57 x 3.54 x 83")</t>
  </si>
  <si>
    <t>TAYL248S</t>
  </si>
  <si>
    <t>Maximo ThermoWood Ayous 2x4x8'_x000D_
S4S E4E(Net 1.57 x 3.54 x 95")</t>
  </si>
  <si>
    <t>TAYL249S</t>
  </si>
  <si>
    <t>Maximo ThermoWood Ayous 2x4x9'_x000D_
S4S E4E(Net 1.57 x 3.54 x 106")</t>
  </si>
  <si>
    <t>TAYL2610S</t>
  </si>
  <si>
    <t>Maximo ThermoWood Ayous 2x6x10'_x000D_
S4S E4E(Net 1.57 x 5.51 x 118")</t>
  </si>
  <si>
    <t>TAYL2611S</t>
  </si>
  <si>
    <t>Maximo ThermoWood Ayous 2x6x11'_x000D_
S4S E4E(Net 1.57 x 5.51 x 130")</t>
  </si>
  <si>
    <t>TAYL265S</t>
  </si>
  <si>
    <t>Maximo ThermoWood Ayous 2x6x5'_x000D_
S4S E4E(Net 1.57 x 5.51 x 59")</t>
  </si>
  <si>
    <t>TAYL266S</t>
  </si>
  <si>
    <t>Maximo ThermoWood Ayous 2x6x6'_x000D_
S4S E4E(Net 1.57 x 5.51 x 71")</t>
  </si>
  <si>
    <t>TAYL267S</t>
  </si>
  <si>
    <t>Maximo ThermoWood Ayous 2x6x7'_x000D_
S4S E4E(Net 1.57 x 5.51 x 83")</t>
  </si>
  <si>
    <t>TAYL268S</t>
  </si>
  <si>
    <t>Maximo ThermoWood Ayous 2x6x8'_x000D_
S4S E4E(Net 1.57 x 5.51 x 95")</t>
  </si>
  <si>
    <t>TAYL269S</t>
  </si>
  <si>
    <t>Maximo ThermoWood Ayous 2x6x9'_x000D_
S4S E4E(Net 1.57 x 5.51 x 106")</t>
  </si>
  <si>
    <t>TAYLNGVJ1610</t>
  </si>
  <si>
    <t>Maximo ThermoWood Ayous 1x6x10'_x000D_
V-Joint Nickel Gap (Net 0.75 x_x000D_
5.51 x 118")(Face 5.26")</t>
  </si>
  <si>
    <t>TAYLNGVJ1611</t>
  </si>
  <si>
    <t>Maximo ThermoWood Ayous 1x6x11'_x000D_
V-Joint Nickel Gap (Net 0.75 x_x000D_
5.51 x 130")(Face 5.26")</t>
  </si>
  <si>
    <t>TAYLNGVJ1612</t>
  </si>
  <si>
    <t>Maximo ThermoWood Ayous 1x6x12'_x000D_
V-Joint Nickel Gap (Net 0.75 x_x000D_
5.51 x 142")(Face 5.26")</t>
  </si>
  <si>
    <t>TAYLNGVJ1613</t>
  </si>
  <si>
    <t>Maximo ThermoWood Ayous 1x6x13'_x000D_
V-Joint Nickel Gap (Net 0.75 x_x000D_
5.51 x 154")(Face 5.26")</t>
  </si>
  <si>
    <t>TAYLNGVJ1614</t>
  </si>
  <si>
    <t>Maximo ThermoWood Ayous 1x6x14'_x000D_
V-Joint Nickel Gap (Net 0.75 x_x000D_
5.51 x 165")(Face 5.26")</t>
  </si>
  <si>
    <t>TAYLNGVJ1615</t>
  </si>
  <si>
    <t>Maximo ThermoWood Ayous 1x6x15'_x000D_
V-Joint Nickel Gap (Net 0.75 x_x000D_
5.51 x 177")(Face 5.26")</t>
  </si>
  <si>
    <t>TAYLNGVJ1616</t>
  </si>
  <si>
    <t>Maximo ThermoWood Ayous 1x6x16'_x000D_
V-Joint Nickel Gap (Net 0.75 x_x000D_
5.51 x 189")(Face 5.26")</t>
  </si>
  <si>
    <t>TAYLNGVJ164</t>
  </si>
  <si>
    <t>Maximo ThermoWood Ayous 1x6x4'_x000D_
V-Joint Nickel Gap (Net 0.75 x_x000D_
5.51 x 47")(Face 5.26")</t>
  </si>
  <si>
    <t>TAYLNGVJ165</t>
  </si>
  <si>
    <t>Maximo ThermoWood Ayous 1x6x5'_x000D_
V-Joint Nickel Gap (Net 0.75 x_x000D_
5.51 x 59")(Face 5.26")</t>
  </si>
  <si>
    <t>TAYLNGVJ166</t>
  </si>
  <si>
    <t>Maximo ThermoWood Ayous 1x6x6'_x000D_
V-Joint Nickel Gap (Net 0.75 x_x000D_
5.51 x 71")(Face 5.26")</t>
  </si>
  <si>
    <t>TAYLNGVJ167</t>
  </si>
  <si>
    <t>Maximo ThermoWood Ayous 1x6x7'_x000D_
V-Joint Nickel Gap (Net 0.75 x_x000D_
5.51 x 83")(Face 5.26")</t>
  </si>
  <si>
    <t>TAYLNGVJ168</t>
  </si>
  <si>
    <t>Maximo ThermoWood Ayous 1x6x8'_x000D_
V-Joint Nickel Gap (Net 0.75 x_x000D_
5.51 x 95")(Face 5.26")</t>
  </si>
  <si>
    <t>TAYLNGVJ169</t>
  </si>
  <si>
    <t>Maximo ThermoWood Ayous 1x6x9'_x000D_
V-Joint Nickel Gap (Net 0.75 x_x000D_
5.51 x 106")(Face 5.26")</t>
  </si>
  <si>
    <t>TAYLRS54610</t>
  </si>
  <si>
    <t>Maximo ThermoWood Ayous_x000D_
5/4x6x10' Rough Sawn (Net 0.98 x_x000D_
5.91 x 118")</t>
  </si>
  <si>
    <t>TAYLRS54612</t>
  </si>
  <si>
    <t>Maximo ThermoWood Ayous_x000D_
5/4x6x12' Rough Sawn (Net 0.98 x_x000D_
5.91 x 142")</t>
  </si>
  <si>
    <t>TAYLRS54613</t>
  </si>
  <si>
    <t>Maximo ThermoWood Ayous_x000D_
5/4x6x13' Rough Sawn (Net 0.98 x_x000D_
5.91 x 154")</t>
  </si>
  <si>
    <t>TAYLRS54615</t>
  </si>
  <si>
    <t>Maximo ThermoWood Ayous_x000D_
5/4x6x15' Rough Sawn (Net 0.98 x_x000D_
5.91 x 177")</t>
  </si>
  <si>
    <t>TAYLRS54616</t>
  </si>
  <si>
    <t>Maximo ThermoWood Ayous_x000D_
5/4x6x16' Rough Sawn (Net 0.98 x_x000D_
5.91 x 189")</t>
  </si>
  <si>
    <t>TAYLRS5467</t>
  </si>
  <si>
    <t>Maximo ThermoWood Ayous 5/4x6x7'_x000D_
Rough Sawn (Net 0.98 x 5.91 x_x000D_
83")</t>
  </si>
  <si>
    <t>TAYLRS5468</t>
  </si>
  <si>
    <t>Maximo ThermoWood Ayous 5/4x6x8'_x000D_
Rough Sawn (Net 0.98 x 5.91 x_x000D_
95")</t>
  </si>
  <si>
    <t>TAYLTG1610CL5</t>
  </si>
  <si>
    <t>Maximo ThermoWood Ayous 1x6x10'_x000D_
Tongue &amp; Groove with a #5 fluted_x000D_
profile, 1 Side Louver 1/2"_x000D_
Projection(Net 0.75 x 5.51 x_x000D_
118")(Face 5.26")</t>
  </si>
  <si>
    <t>TAYLTG1611CL5</t>
  </si>
  <si>
    <t>Maximo ThermoWood Ayous 1x6x11'_x000D_
Tongue &amp; Groove with a #5 fluted_x000D_
profile, 1 Side Louver 1/2"_x000D_
Projection(Net 0.75 x 5.51 x_x000D_
130")(Face 5.26")</t>
  </si>
  <si>
    <t>TAYLTG1612CL5</t>
  </si>
  <si>
    <t>Maximo ThermoWood Ayous 1x6x12'_x000D_
Tongue &amp; Groove with a #5 fluted_x000D_
profile, 1 Side Louver 1/2"_x000D_
Projection(Net 0.75 x 5.51 x_x000D_
142")(Face 5.26")</t>
  </si>
  <si>
    <t>TAYLTG1613CL5</t>
  </si>
  <si>
    <t>Maximo ThermoWood Ayous 1x6x13'_x000D_
Tongue &amp; Groove with a #5 fluted_x000D_
profile, 1 Side Louver 1/2"_x000D_
Projection(Net 0.75 x 5.51 x_x000D_
154")(Face 5.26")</t>
  </si>
  <si>
    <t>TAYLTG1614CL5</t>
  </si>
  <si>
    <t>Maximo ThermoWood Ayous 1x6x14'_x000D_
Tongue &amp; Groove with a #5 fluted_x000D_
profile, 1 Side Louver 1/2"_x000D_
Projection(Net 0.75 x 5.51 x_x000D_
165")(Face 5.26")</t>
  </si>
  <si>
    <t>TAYLTG1615CL5</t>
  </si>
  <si>
    <t>Maximo ThermoWood Ayous 1x6x15'_x000D_
Tongue &amp; Groove with a #5 fluted_x000D_
profile, 1 Side Louver 1/2"_x000D_
Projection(Net 0.75 x 5.51 x_x000D_
177")(Face 5.26")</t>
  </si>
  <si>
    <t>TAYLTG1616CL5</t>
  </si>
  <si>
    <t>Maximo ThermoWood Ayous 1x6x16'_x000D_
Tongue &amp; Groove with a #5 fluted_x000D_
profile, 1 Side Louver 1/2"_x000D_
Projection(Net 0.75 x 5.51 x_x000D_
189")(Face 5.26")</t>
  </si>
  <si>
    <t>TAYLTG166CL5</t>
  </si>
  <si>
    <t>Maximo ThermoWood Ayous 1x6x6'_x000D_
Tongue &amp; Groove with a #5 fluted_x000D_
profile, 1 Side Louver 1/2"_x000D_
Projection(Net 0.75 x 5.51 x_x000D_
71")(Face 5.26")</t>
  </si>
  <si>
    <t>TAYLTG167CL5</t>
  </si>
  <si>
    <t>Maximo ThermoWood Ayous 1x6x7'_x000D_
Tongue &amp; Groove with a #5 fluted_x000D_
profile, 1 Side Louver 1/2"_x000D_
Projection(Net 0.75 x 5.51 x_x000D_
83")(Face 5.26")</t>
  </si>
  <si>
    <t>TAYLTG168CL5</t>
  </si>
  <si>
    <t>Maximo ThermoWood Ayous 1x6x8'_x000D_
Tongue &amp; Groove with a #5 fluted_x000D_
profile, 1 Side Louver 1/2"_x000D_
Projection(Net 0.75 x 5.51 x_x000D_
95")(Face 5.26")</t>
  </si>
  <si>
    <t>TAYLTG169CL5</t>
  </si>
  <si>
    <t>Maximo ThermoWood Ayous 1x6x9'_x000D_
Tongue &amp; Groove with a #5 fluted_x000D_
profile, 1 Side Louver 1/2"_x000D_
Projection(Net 0.75 x 5.51 x_x000D_
106")(Face 5.26")</t>
  </si>
  <si>
    <t>TAYLVJ1610</t>
  </si>
  <si>
    <t>Maximo ThermoWood Ayous 1x6x10'_x000D_
V-Joint Square back (Net 0.75 x_x000D_
5.51 x 118")(Face 5.26")</t>
  </si>
  <si>
    <t>TAYLVJ1611</t>
  </si>
  <si>
    <t>Maximo ThermoWood Ayous 1x6x11'_x000D_
V-Joint Square back (Net 0.75 x_x000D_
5.51 x 130")(Face 5.26")</t>
  </si>
  <si>
    <t>TAYLVJ1612</t>
  </si>
  <si>
    <t>Maximo ThermoWood Ayous 1x6x12'_x000D_
V-Joint Square back (Net 0.75 x_x000D_
5.51 x 142")(Face 5.26")</t>
  </si>
  <si>
    <t>TAYLVJ1613</t>
  </si>
  <si>
    <t>Maximo ThermoWood Ayous 1x6x13'_x000D_
V-Joint Square back (Net 0.75 x_x000D_
5.51 x 154")(Face 5.26")</t>
  </si>
  <si>
    <t>TAYLVJ1614</t>
  </si>
  <si>
    <t>Maximo ThermoWood Ayous 1x6x14'_x000D_
V-Joint Square back (Net 0.75 x_x000D_
5.51 x 165")(Face 5.26")</t>
  </si>
  <si>
    <t>TAYLVJ1615</t>
  </si>
  <si>
    <t>Maximo ThermoWood Ayous 1x6x15'_x000D_
V-Joint Square back (Net 0.75 x_x000D_
5.51 x 177")(Face 5.26")</t>
  </si>
  <si>
    <t>TAYLVJ1616</t>
  </si>
  <si>
    <t>Maximo ThermoWood Ayous 1x6x16'_x000D_
V-Joint Square back (Net 0.75 x_x000D_
5.51 x 189")(Face 5.26")</t>
  </si>
  <si>
    <t>TAYLVJ1617</t>
  </si>
  <si>
    <t>Maximo ThermoWood Ayous 1x6x17'_x000D_
V-Joint Square back (Net 0.75 x_x000D_
5.51 x 201")(Face 5.26")</t>
  </si>
  <si>
    <t>TAYLVJ1618</t>
  </si>
  <si>
    <t>Maximo ThermoWood Ayous 1x6x18'_x000D_
V-Joint Square back (Net 0.75 x_x000D_
5.51 x 216")(Face 5.26")</t>
  </si>
  <si>
    <t>TAYLVJ164</t>
  </si>
  <si>
    <t>Maximo ThermoWood Ayous 1x6x4'_x000D_
V-Joint Square back (Net 0.75 x_x000D_
5.51 x 47")(Face 5.26")</t>
  </si>
  <si>
    <t>TAYLVJ166</t>
  </si>
  <si>
    <t>Maximo ThermoWood Ayous 1x6x6'_x000D_
V-Joint Square back (Net 0.75 x_x000D_
5.51 x 71")(Face 5.26")</t>
  </si>
  <si>
    <t>TAYLVJ167</t>
  </si>
  <si>
    <t>Maximo ThermoWood Ayous 1x6x7'_x000D_
V-Joint Square back (Net 0.75 x_x000D_
5.51 x 83")(Face 5.26")</t>
  </si>
  <si>
    <t>TAYLVJ168</t>
  </si>
  <si>
    <t>Maximo ThermoWood Ayous 1x6x8'_x000D_
V-Joint Square back (Net 0.75 x_x000D_
5.51 x 95")(Face 5.26")</t>
  </si>
  <si>
    <t>TAYLVJ169</t>
  </si>
  <si>
    <t>Maximo ThermoWood Ayous 1x6x9'_x000D_
V-Joint Square back (Net 0.75 x_x000D_
5.51 x 106")(Face 5.26")</t>
  </si>
  <si>
    <t>TAYVJ1410</t>
  </si>
  <si>
    <t>Maximo ThermoWood Ayous 1x4x10'_x000D_
V-Joint Square back (Net 0.75 x_x000D_
3.62 x 118")(3.37' Face)</t>
  </si>
  <si>
    <t>TAYVJ1411</t>
  </si>
  <si>
    <t>Maximo ThermoWood Ayous 1x4x11'_x000D_
V-Joint Square back (Net 0.75 x_x000D_
3.62 x 130")(3.37' Face)</t>
  </si>
  <si>
    <t>TAYVJ1412</t>
  </si>
  <si>
    <t>Maximo ThermoWood Ayous 1x4x12'_x000D_
V-Joint Square back (Net 0.75 x_x000D_
3.62 x 142")(3.37' Face)</t>
  </si>
  <si>
    <t>TAYVJ1413</t>
  </si>
  <si>
    <t>Maximo ThermoWood Ayous 1x4x13'_x000D_
V-Joint Square back (Net 0.75 x_x000D_
3.62 x 154")(3.37' Face)</t>
  </si>
  <si>
    <t>TAYVJ1414</t>
  </si>
  <si>
    <t>Maximo ThermoWood Ayous 1x4x14'_x000D_
V-Joint Square back (Net 0.75 x_x000D_
3.62 x 165")(3.37' Face)</t>
  </si>
  <si>
    <t>TAYVJ1415</t>
  </si>
  <si>
    <t>Maximo ThermoWood Ayous 1x4x15'_x000D_
V-Joint Square back (Net 0.75 x_x000D_
3.62 x 177")(3.37' Face)</t>
  </si>
  <si>
    <t>TAYVJ1416</t>
  </si>
  <si>
    <t>Maximo ThermoWood Ayous 1x4x16'_x000D_
V-Joint Square back (Net 0.75 x_x000D_
3.62 x 189")(3.37' Face)</t>
  </si>
  <si>
    <t>TAYVJ1417</t>
  </si>
  <si>
    <t>Maximo ThermoWood Ayous 1x4x17'_x000D_
V-Joint Square back (Net 0.75 x_x000D_
3.62 x 201")(3.37' Face)</t>
  </si>
  <si>
    <t>TAYVJ146</t>
  </si>
  <si>
    <t>Maximo ThermoWood Ayous 1x4x6'_x000D_
V-Joint Square back (Net 0.75 x_x000D_
3.62 x 71")(3.37' Face)</t>
  </si>
  <si>
    <t>TAYVJ147</t>
  </si>
  <si>
    <t>Maximo ThermoWood Ayous 1x4x7'_x000D_
V-Joint Square back (Net 0.75 x_x000D_
3.62 x 83")(3.37' Face)</t>
  </si>
  <si>
    <t>TAYVJ148</t>
  </si>
  <si>
    <t>TAYVJ149</t>
  </si>
  <si>
    <t>Maximo ThermoWood Ayous 1x4x9'_x000D_
V-Joint Square back (Net 0.75 x_x000D_
3.62 x 106")(3.37' Face)</t>
  </si>
  <si>
    <t>TCRBNG1610</t>
  </si>
  <si>
    <t>Maximo Thermo Clear Radiata Pine_x000D_
1x6x10' Nickel Gap - BLACK_x000D_
COLOR(Net 0.75" x 5.43" x_x000D_
118")(4.6" Face)</t>
  </si>
  <si>
    <t>TCRBNG1611</t>
  </si>
  <si>
    <t>Maximo Thermo Clear Radiata Pine_x000D_
1x6x11' Nickel Gap - BLACK_x000D_
COLOR(Net 0.75" x 5.43" x_x000D_
130")(4.6" Face)</t>
  </si>
  <si>
    <t>TCRBNG1612</t>
  </si>
  <si>
    <t>Maximo Thermo Clear Radiata Pine_x000D_
1x6x12' Nickel Gap - BLACK_x000D_
COLOR(Net 0.75" x 5.43" x_x000D_
142")(4.6" Face)</t>
  </si>
  <si>
    <t>TCRBNG1613</t>
  </si>
  <si>
    <t>Maximo Thermo Clear Radiata Pine_x000D_
1x6x13' Nickel Gap - BLACK_x000D_
COLOR(Net 0.75" x 5.43" x_x000D_
154")(4.6" Face)</t>
  </si>
  <si>
    <t>TCRBNG1614</t>
  </si>
  <si>
    <t>Maximo Thermo Clear Radiata Pine_x000D_
1x6x14' Nickel Gap - BLACK_x000D_
COLOR(Net 0.75" x 5.43" x_x000D_
165")(4.6" Face)</t>
  </si>
  <si>
    <t>TCRBNG1615</t>
  </si>
  <si>
    <t>Maximo Thermo Clear Radiata Pine_x000D_
1x6x15' Nickel Gap - BLACK_x000D_
COLOR(Net 0.75" x 5.43" x_x000D_
177")(4.6" Face)</t>
  </si>
  <si>
    <t>TCRBNG1616</t>
  </si>
  <si>
    <t>Maximo Thermo Clear Radiata Pine_x000D_
1x6x16' Nickel Gap - BLACK_x000D_
COLOR(Net 0.75" x 5.43" x_x000D_
189")(4.6" Face)</t>
  </si>
  <si>
    <t>TCRBNG1617</t>
  </si>
  <si>
    <t>Maximo Thermo Clear Radiata Pine_x000D_
1x6x17' Nickel Gap - BLACK_x000D_
COLOR(Net 0.75" x 5.43" x_x000D_
201")(4.6" Face)</t>
  </si>
  <si>
    <t>TCRBNG1618</t>
  </si>
  <si>
    <t>Maximo Thermo Clear Radiata Pine_x000D_
1x6x18' Nickel Gap - BLACK_x000D_
COLOR(Net 0.75" x 5.43" x_x000D_
216")(4.6" Face)</t>
  </si>
  <si>
    <t>TCRBNG163</t>
  </si>
  <si>
    <t>Maximo Thermo Clear Radiata Pine_x000D_
1x6x3' Nickel Gap - BLACK_x000D_
COLOR(Net 0.75" x 5.43" x_x000D_
35")(4.6" Face)</t>
  </si>
  <si>
    <t>TCRBNG164</t>
  </si>
  <si>
    <t>Maximo Thermo Clear Radiata Pine_x000D_
1x6x4' Nickel Gap - BLACK_x000D_
COLOR(Net 0.75" x 5.43" x_x000D_
47")(4.6" Face)</t>
  </si>
  <si>
    <t>TCRBNG165</t>
  </si>
  <si>
    <t>Maximo Thermo Clear Radiata Pine_x000D_
1x6x5' Nickel Gap - BLACK_x000D_
COLOR(Net 0.75" x 5.43" x_x000D_
59")(4.6" Face)</t>
  </si>
  <si>
    <t>TCRBNG166</t>
  </si>
  <si>
    <t>Maximo Thermo Clear Radiata Pine_x000D_
1x6x6' Nickel Gap - BLACK_x000D_
COLOR(Net 0.75" x 5.43" x_x000D_
71")(4.6" Face)</t>
  </si>
  <si>
    <t>TCRBNG167</t>
  </si>
  <si>
    <t>Maximo Thermo Clear Radiata Pine_x000D_
1x6x7' Nickel Gap - BLACK_x000D_
COLOR(Net 0.75" x 5.43" x_x000D_
83")(4.6" Face)</t>
  </si>
  <si>
    <t>TCRBNG168</t>
  </si>
  <si>
    <t>Maximo Thermo Clear Radiata Pine_x000D_
1x6x8' Nickel Gap - BLACK_x000D_
COLOR(Net 0.75" x 5.43" x_x000D_
95")(4.6" Face)</t>
  </si>
  <si>
    <t>TCRBNG169</t>
  </si>
  <si>
    <t>Maximo Thermo Clear Radiata Pine_x000D_
1x6x9' Nickel Gap - BLACK_x000D_
COLOR(Net 0.75" x 5.43" x_x000D_
106")(4.6" Face)</t>
  </si>
  <si>
    <t>TCRNGOPX1610</t>
  </si>
  <si>
    <t>Maximo Thermo Clear Radiata Pine_x000D_
1x6x10' Nickel Gap - OPX (Net_x000D_
0.75" x 5.43" x 118")(4.6" Face)</t>
  </si>
  <si>
    <t>TCRNGOPX1611</t>
  </si>
  <si>
    <t>Maximo Thermo Clear Radiata Pine_x000D_
1x6x11' Nickel Gap - OPX (Net_x000D_
0.75" x 5.43" x 130")(4.6" Face)</t>
  </si>
  <si>
    <t>TCRNGOPX1612</t>
  </si>
  <si>
    <t>Maximo Thermo Clear Radiata Pine_x000D_
1x6x12' Nickel Gap - OPX (Net_x000D_
0.75" x 5.43" x 142")(4.6" Face)</t>
  </si>
  <si>
    <t>TCRNGOPX1613</t>
  </si>
  <si>
    <t>Maximo Thermo Clear Radiata Pine_x000D_
1x6x13' Nickel Gap - OPX (Net_x000D_
0.75" x 5.43" x 154")(4.6" Face)</t>
  </si>
  <si>
    <t>TCRNGOPX1614</t>
  </si>
  <si>
    <t>Maximo Thermo Clear Radiata Pine_x000D_
1x6x14' Nickel Gap - OPX (Net_x000D_
0.75" x 5.43" x 165")(4.6" Face)</t>
  </si>
  <si>
    <t>TCRNGOPX1616</t>
  </si>
  <si>
    <t>Maximo Thermo Clear Radiata Pine_x000D_
1x6x16' Nickel Gap - OPX (Net_x000D_
0.75" x 5.43" x 189")(4.6" Face)</t>
  </si>
  <si>
    <t>TCRNGOPX1618</t>
  </si>
  <si>
    <t>Maximo Thermo Clear Radiata Pine_x000D_
1x6x18' Nickel Gap - OPX (Net_x000D_
0.75" x 5.43" x 216")(4.6" Face)</t>
  </si>
  <si>
    <t>TCRNGOPX167</t>
  </si>
  <si>
    <t>Maximo Thermo Clear Radiata Pine_x000D_
1x6x7' Nickel Gap - OPX (Net_x000D_
0.75" x 5.43" x 83")(4.6" Face)</t>
  </si>
  <si>
    <t>TCRNGOPX168</t>
  </si>
  <si>
    <t>Maximo Thermo Clear Radiata Pine_x000D_
1x6x8' Nickel Gap - OPX (Net_x000D_
0.75" x 5.43" x 95")(4.6" Face)</t>
  </si>
  <si>
    <t>TCRNGWB1510</t>
  </si>
  <si>
    <t>Maximo Thermo Clear Radiata Pine_x000D_
1x5x10' Nickel Gap - Wire_x000D_
Brushed (Net 0.75" x 4.53" x_x000D_
118")(3.7" Face)</t>
  </si>
  <si>
    <t>TCRNGWB1512</t>
  </si>
  <si>
    <t>Maximo Thermo Clear Radiata Pine_x000D_
1x5x12' Nickel Gap - Wire_x000D_
Brushed (Net 0.75" x 4.53" x_x000D_
142")(3.7" Face)</t>
  </si>
  <si>
    <t>TCRNGWB1514</t>
  </si>
  <si>
    <t>Maximo Thermo Clear Radiata Pine_x000D_
1x5x14' Nickel Gap - Wire_x000D_
Brushed (Net 0.75" x 4.53" x_x000D_
165")(3.7" Face)</t>
  </si>
  <si>
    <t>TCRNGWB1516</t>
  </si>
  <si>
    <t>Maximo Thermo Clear Radiata Pine_x000D_
1x5x16' Nickel Gap - Wire_x000D_
Brushed (Net 0.75" x 4.53" x_x000D_
189")(3.7" Face)</t>
  </si>
  <si>
    <t>TCRNGWB1518</t>
  </si>
  <si>
    <t>Maximo Thermo Clear Radiata Pine_x000D_
1x5x18' Nickel Gap - Wire_x000D_
Brushed (Net 0.75" x 4.53" x_x000D_
216")(3.7" Face)</t>
  </si>
  <si>
    <t>TCRNGWB154</t>
  </si>
  <si>
    <t>Maximo Thermo Clear Radiata Pine_x000D_
1x5x4' Nickel Gap - Wire Brushed_x000D_
(Net 0.75" x 4.53" x 47")(3.7"_x000D_
Face)</t>
  </si>
  <si>
    <t>TCRNGWB155</t>
  </si>
  <si>
    <t>Maximo Thermo Clear Radiata Pine_x000D_
1x5x5' Nickel Gap - Wire Brushed_x000D_
(Net 0.75" x 4.53" x 59")(3.7"_x000D_
Face)</t>
  </si>
  <si>
    <t>TCRNGWB156</t>
  </si>
  <si>
    <t>Maximo Thermo Clear Radiata Pine_x000D_
1x5x6' Nickel Gap - Wire Brushed_x000D_
(Net 0.75" x 4.53" x 71")(3.7"_x000D_
Face)</t>
  </si>
  <si>
    <t>TCRNGWB157</t>
  </si>
  <si>
    <t>Maximo Thermo Clear Radiata Pine_x000D_
1x5x7' Nickel Gap - Wire Brushed_x000D_
(Net 0.75" x 4.53" x 83")(3.7"_x000D_
Face)</t>
  </si>
  <si>
    <t>TCRNGWB158</t>
  </si>
  <si>
    <t>Maximo Thermo Clear Radiata Pine_x000D_
1x5x8' Nickel Gap - Wire Brushed_x000D_
(Net 0.75" x 4.53" x 95")(3.7"_x000D_
Face)</t>
  </si>
  <si>
    <t>TCRNGWB159</t>
  </si>
  <si>
    <t>Maximo Thermo Clear Radiata Pine_x000D_
1x5x9' Nickel Gap - Wire Brushed_x000D_
(Net 0.75" x 4.53" x 106")(3.7"_x000D_
Face)</t>
  </si>
  <si>
    <t>TCRS11213</t>
  </si>
  <si>
    <t>Maximo Thermo Clear Radiata Pine_x000D_
1x12x13' Square (Net 0.75"_x000D_
x 11.22" x 154")</t>
  </si>
  <si>
    <t>TCRS11214</t>
  </si>
  <si>
    <t>TCRS11215</t>
  </si>
  <si>
    <t>TCRS11216</t>
  </si>
  <si>
    <t>Maximo Thermo Clear Radiata Pine_x000D_
1x12x16' Square (Net 0.75"_x000D_
x 11.22" x 189")</t>
  </si>
  <si>
    <t>TCRS1812</t>
  </si>
  <si>
    <t>Maximo Thermo Clear Radiata Pine_x000D_
1x8x12' S4S (Net 0.75"_x000D_
x 7.28" x 142")</t>
  </si>
  <si>
    <t>TCRS1814</t>
  </si>
  <si>
    <t>Maximo Thermo Clear Radiata Pine_x000D_
1x8x14' S4S (Net 0.75"_x000D_
x 7.28" x 165")</t>
  </si>
  <si>
    <t>TCRSOPX1610</t>
  </si>
  <si>
    <t>Maximo Thermo Clear Radiata Pine_x000D_
1x6x10' S4S E4E - OPX (Net 0.75"_x000D_
x 5.43" x 118")</t>
  </si>
  <si>
    <t>TCRSOPX1612</t>
  </si>
  <si>
    <t>Maximo Thermo Clear Radiata Pine_x000D_
1x6x12' S4S E4E - OPX (Net 0.75"_x000D_
x 5.43" x 142")</t>
  </si>
  <si>
    <t>TCRSOPX1614</t>
  </si>
  <si>
    <t>Maximo Thermo Clear Radiata Pine_x000D_
1x6x14' S4S E4E - OPX (Net 0.75"_x000D_
x 5.43" x 165")</t>
  </si>
  <si>
    <t>TCRSOPX1616</t>
  </si>
  <si>
    <t>Maximo Thermo Clear Radiata Pine_x000D_
1x6x16' S4S E4E - OPX (Net 0.75"_x000D_
x 5.43" x 189")</t>
  </si>
  <si>
    <t>TCRSOPX1618</t>
  </si>
  <si>
    <t>Maximo Thermo Clear Radiata Pine_x000D_
1x6x18' S4S E4E - OPX (Net 0.75"_x000D_
x 5.43" x 216")</t>
  </si>
  <si>
    <t>TCRSOPX167</t>
  </si>
  <si>
    <t>Maximo Thermo Clear Radiata Pine_x000D_
1x6x7' S4S E4E - OPX (Net 0.75"_x000D_
x 5.43" x 83")</t>
  </si>
  <si>
    <t>TCRSOPX169</t>
  </si>
  <si>
    <t>Maximo Thermo Clear Radiata Pine_x000D_
1x6x9' S4S E4E - OPX (Net 0.75"_x000D_
x 5.43" x 106")</t>
  </si>
  <si>
    <t>TCRSOPX2615</t>
  </si>
  <si>
    <t>Maximo Thermo Clear Radiata Pine_x000D_
2x6x15' S4S E4E - OPX (Net 1.50"_x000D_
x 5.43" x 177")</t>
  </si>
  <si>
    <t>TCRSOPX2616</t>
  </si>
  <si>
    <t>Maximo Thermo Clear Radiata Pine_x000D_
2x6x16' S4S E4E - OPX (Net 1.50"_x000D_
x 5.43" x 189")</t>
  </si>
  <si>
    <t>TCRSOPX264</t>
  </si>
  <si>
    <t>Maximo Thermo Clear Radiata Pine_x000D_
2x6x4' S4S E4E - OPX (Net 1.50"_x000D_
x 5.43" x 47")</t>
  </si>
  <si>
    <t>TCRSOPX268</t>
  </si>
  <si>
    <t>Maximo Thermo Clear Radiata Pine_x000D_
2x6x8' S4S E4E - OPX (Net 1.50"_x000D_
x 5.43" x 95")</t>
  </si>
  <si>
    <t>TCRSOPX54612</t>
  </si>
  <si>
    <t>Maximo Thermo Clear Radiata Pine_x000D_
5/4x6x12' S4S E4E - OPX (Net_x000D_
0.75" x 5.43" x 142")</t>
  </si>
  <si>
    <t>TCRSOPX54614</t>
  </si>
  <si>
    <t>Maximo Thermo Clear Radiata Pine_x000D_
5/4x6x14' S4S E4E - OPX (Net_x000D_
0.75" x 5.43" x 165")</t>
  </si>
  <si>
    <t>TCRSOPX54616</t>
  </si>
  <si>
    <t>Maximo Thermo Clear Radiata Pine_x000D_
5/4x6x16' S4S E4E - OPX (Net_x000D_
0.75" x 5.43" x 189")</t>
  </si>
  <si>
    <t>TCRVJSB38410</t>
  </si>
  <si>
    <t>Maximo Thermo Clear Radiata Pine_x000D_
3/8x4x10' V-Joint Square Back_x000D_
(Net 0.39" x 3.54" x 118")(3.29"_x000D_
Face)</t>
  </si>
  <si>
    <t>TCRVJSB38411</t>
  </si>
  <si>
    <t>Maximo Thermo Clear Radiata Pine_x000D_
3/8x4x11' V-Joint Square Back_x000D_
(Net 0.39" x 3.54" x 130")(3.29"_x000D_
Face)</t>
  </si>
  <si>
    <t>TCRVJSB38412</t>
  </si>
  <si>
    <t>Maximo Thermo Clear Radiata Pine_x000D_
3/8x4x12' V-Joint Square Back_x000D_
(Net 0.39" x 3.54" x 142")(3.29"_x000D_
Face)</t>
  </si>
  <si>
    <t>TCRVJSB38413</t>
  </si>
  <si>
    <t>Maximo Thermo Clear Radiata Pine_x000D_
3/8x4x13' V-Joint Square Back_x000D_
(Net 0.39" x 3.54" x 154")(3.29"_x000D_
Face)</t>
  </si>
  <si>
    <t>TCRVJSB38414</t>
  </si>
  <si>
    <t>Maximo Thermo Clear Radiata Pine_x000D_
3/8x4x14' V-Joint Square Back_x000D_
(Net 0.39" x 3.54" x 165")(3.29"_x000D_
Face)</t>
  </si>
  <si>
    <t>TCRVJSB38416</t>
  </si>
  <si>
    <t>Maximo Thermo Clear Radiata Pine_x000D_
3/8x4x16' V-Joint Square Back_x000D_
(Net 0.39" x 3.54" x 189")(3.29"_x000D_
Face)</t>
  </si>
  <si>
    <t>TCRVJSB3844</t>
  </si>
  <si>
    <t>Maximo Thermo Clear Radiata Pine_x000D_
3/8x4x4' V-Joint Square Back_x000D_
(Net 0.39" x 3.54" x 47")(3.29"_x000D_
Face)</t>
  </si>
  <si>
    <t>TCRVJSB3845</t>
  </si>
  <si>
    <t>Maximo Thermo Clear Radiata Pine_x000D_
3/8x4x5' V-Joint Square Back_x000D_
(Net 0.39" x 3.54" x 59")(3.29"_x000D_
Face)</t>
  </si>
  <si>
    <t>TCRVJSB3846</t>
  </si>
  <si>
    <t>Maximo Thermo Clear Radiata Pine_x000D_
3/8x4x6' V-Joint Square Back_x000D_
(Net 0.39" x 3.54" x 71")(3.29"_x000D_
Face)</t>
  </si>
  <si>
    <t>TCRVJSB3847</t>
  </si>
  <si>
    <t>Maximo Thermo Clear Radiata Pine_x000D_
3/8x4x7' V-Joint Square Back_x000D_
(Net 0.39" x 3.54" x 83")(3.29"_x000D_
Face)</t>
  </si>
  <si>
    <t>TCRVJSB3848</t>
  </si>
  <si>
    <t>Maximo Thermo Clear Radiata Pine_x000D_
3/8x4x8' V-Joint Square Back_x000D_
(Net 0.39" x 3.54" x 95")(3.29"_x000D_
Face)</t>
  </si>
  <si>
    <t>TCRVJSB3849</t>
  </si>
  <si>
    <t>Maximo Thermo Clear Radiata Pine_x000D_
3/8x4x9' V-Joint Square Back_x000D_
(Net 0.39" x 3.54" x 106")(3.29"_x000D_
Face)</t>
  </si>
  <si>
    <t>TCRWNG1610</t>
  </si>
  <si>
    <t>Maximo Thermo Clear Radiata Pine_x000D_
1x6x10' Nickel Gap - WHITE_x000D_
COLOR(Net 0.75" x 5.43" x_x000D_
118")(4.6" Face)</t>
  </si>
  <si>
    <t>TCRWNG1611</t>
  </si>
  <si>
    <t>Maximo Thermo Clear Radiata Pine_x000D_
1x6x11' Nickel Gap - WHITE_x000D_
COLOR(Net 0.75" x 5.43" x_x000D_
130")(4.6" Face)</t>
  </si>
  <si>
    <t>TCRWNG1612</t>
  </si>
  <si>
    <t>Maximo Thermo Clear Radiata Pine_x000D_
1x6x12' Nickel Gap - WHITE_x000D_
COLOR(Net 0.75" x 5.43" x_x000D_
142")(4.6" Face)</t>
  </si>
  <si>
    <t>TCRWNG1613</t>
  </si>
  <si>
    <t>Maximo Thermo Clear Radiata Pine_x000D_
1x6x13' Nickel Gap - WHITE_x000D_
COLOR(Net 0.75" x 5.43" x_x000D_
154")(4.6" Face)</t>
  </si>
  <si>
    <t>TCRWNG1614</t>
  </si>
  <si>
    <t>Maximo Thermo Clear Radiata Pine_x000D_
1x6x14' Nickel Gap - WHITE_x000D_
COLOR(Net 0.75" x 5.43" x_x000D_
165")(4.6" Face)</t>
  </si>
  <si>
    <t>TCRWNG1616</t>
  </si>
  <si>
    <t>Maximo Thermo Clear Radiata Pine_x000D_
1x6x16' Nickel Gap - WHITE_x000D_
COLOR(Net 0.75" x 5.43" x_x000D_
189")(4.6" Face)</t>
  </si>
  <si>
    <t>TCRWNG1617</t>
  </si>
  <si>
    <t>Maximo Thermo Clear Radiata Pine_x000D_
1x6x17' Nickel Gap - WHITE_x000D_
COLOR(Net 0.75" x 5.43" x_x000D_
201")(4.6" Face)</t>
  </si>
  <si>
    <t>TCRWNG1618</t>
  </si>
  <si>
    <t>Maximo Thermo Clear Radiata Pine_x000D_
1x6x18' Nickel Gap - WHITE_x000D_
COLOR(Net 0.75" x 5.43" x_x000D_
216")(4.6" Face)</t>
  </si>
  <si>
    <t>TCRWNG164</t>
  </si>
  <si>
    <t>Maximo Thermo Clear Radiata Pine_x000D_
1x6x4' Nickel Gap - WHITE_x000D_
COLOR(Net 0.75" x 5.43" x_x000D_
47")(4.6" Face)</t>
  </si>
  <si>
    <t>TCRWNG165</t>
  </si>
  <si>
    <t>Maximo Thermo Clear Radiata Pine_x000D_
1x6x5' Nickel Gap - WHITE_x000D_
COLOR(Net 0.75" x 5.43" x_x000D_
59")(4.6" Face)</t>
  </si>
  <si>
    <t>TCRWNG166</t>
  </si>
  <si>
    <t>Maximo Thermo Clear Radiata Pine_x000D_
1x6x6' Nickel Gap - WHITE_x000D_
COLOR(Net 0.75" x 5.43" x_x000D_
7")(4.6" Face)</t>
  </si>
  <si>
    <t>TCRWNG167</t>
  </si>
  <si>
    <t>Maximo Thermo Clear Radiata Pine_x000D_
1x6x7' Nickel Gap - WHITE_x000D_
COLOR(Net 0.75" x 5.43" x_x000D_
83")(4.6" Face)</t>
  </si>
  <si>
    <t>TCRWNG168</t>
  </si>
  <si>
    <t>Maximo Thermo Clear Radiata Pine_x000D_
1x6x8' Nickel Gap - WHITE_x000D_
COLOR(Net 0.75" x 5.43" x_x000D_
95")(4.6" Face)</t>
  </si>
  <si>
    <t>TCRWNG169</t>
  </si>
  <si>
    <t>Maximo Thermo Clear Radiata Pine_x000D_
1x6x9' Nickel Gap - WHITE_x000D_
COLOR(Net 0.75" x 5.43" x_x000D_
106")(4.6" Face)</t>
  </si>
  <si>
    <t>TGKD1410S</t>
  </si>
  <si>
    <t>Tigerwood Maximo 1x4x10'(3/4" x_x000D_
3 1/2") Kiln Dried S4</t>
  </si>
  <si>
    <t>TGKD1412S</t>
  </si>
  <si>
    <t>Tigerwood Maximo 1x4x12'(3/4" x_x000D_
3 1/2") Kiln Dried S4SE4E</t>
  </si>
  <si>
    <t>TGKD1414S</t>
  </si>
  <si>
    <t>Tigerwood Maximo 1x4x14'(3/4" x_x000D_
3 1/2") Kiln Dried S4SE4E</t>
  </si>
  <si>
    <t>TGKD1416S</t>
  </si>
  <si>
    <t>Tigerwood Maximo 1x4x16'(3/4" x_x000D_
3 1/2") Kiln Dried S4SE4E</t>
  </si>
  <si>
    <t>TGKD1418S</t>
  </si>
  <si>
    <t>Tigerwood Maximo 1x4x18'(3/4" x_x000D_
3 1/2") Kiln Dried S4SE4E</t>
  </si>
  <si>
    <t>TGKD1420S</t>
  </si>
  <si>
    <t>Tigerwood Maximo 1x4x20'(3/4" x_x000D_
3 1/2") Kiln Dried S4SE4E</t>
  </si>
  <si>
    <t>TGKD1422S</t>
  </si>
  <si>
    <t>Tigerwood Maximo 1x4x22'(3/4" x_x000D_
3 1/2") Kiln Dried S4SE4E</t>
  </si>
  <si>
    <t>TGKD144S</t>
  </si>
  <si>
    <t>Tigerwood Maximo 1x4x4'(3/4" x 3_x000D_
1/2") Kiln Dried S4SE4E</t>
  </si>
  <si>
    <t>TGKD145S</t>
  </si>
  <si>
    <t>Tigerwood Maximo 1x4x5'(3/4" x 3_x000D_
1/2") Kiln Dried S4SE4</t>
  </si>
  <si>
    <t>TGKD146S</t>
  </si>
  <si>
    <t>Tigerwood Maximo 1x4x6'(3/4" x 3_x000D_
1/2") Kiln Dried S4SE4E</t>
  </si>
  <si>
    <t>TGKD147S</t>
  </si>
  <si>
    <t>Tigerwood Maximo 1x4x7'(3/4" x 3_x000D_
1/2") Kiln Dried S4SE4E</t>
  </si>
  <si>
    <t>TGKD148S</t>
  </si>
  <si>
    <t>Tigerwood Maximo 1x4x8'(3/4" x 3_x000D_
1/2") Kiln Dried S4SE4E</t>
  </si>
  <si>
    <t>TGKD1612S</t>
  </si>
  <si>
    <t>Tigerwood Maximo 1x6x12'(3/4" x_x000D_
5.5") Kiln Dried S4S E4E</t>
  </si>
  <si>
    <t>TGKD1616S</t>
  </si>
  <si>
    <t>Tigerwood Maximo 1x6x16'(3/4" x_x000D_
5.5") Kiln Dried S4S E4E</t>
  </si>
  <si>
    <t>TGKD164S</t>
  </si>
  <si>
    <t>Tigerwood Maximo 1x6x4'(3/4" x_x000D_
5.5") Kiln Dried S4S E4E</t>
  </si>
  <si>
    <t>TGKD165S</t>
  </si>
  <si>
    <t>Tigerwood Maximo 1x6x5'(3/4" x_x000D_
5.5") Kiln Dried S4S E4E</t>
  </si>
  <si>
    <t>TGKD166S</t>
  </si>
  <si>
    <t>Tigerwood Maximo 1x6x6'(3/4" x_x000D_
5.5") Kiln Dried S4S E4E</t>
  </si>
  <si>
    <t>TGKD168S</t>
  </si>
  <si>
    <t>Tigerwood Maximo 1x6x8'(3/4" x_x000D_
5.5") Kiln Dried S4S E4E</t>
  </si>
  <si>
    <t>TP2412S</t>
  </si>
  <si>
    <t>Maximo ThermoWood Scandinavian_x000D_
Pine 2x4x12' S4S E4E(Net 1.65" x_x000D_
3.62" x 142")</t>
  </si>
  <si>
    <t>TP2413S</t>
  </si>
  <si>
    <t>Maximo ThermoWood Scandinavian_x000D_
Pine 2x4x13' S4S E4E(Net 1.65" x_x000D_
3.62" x 154")</t>
  </si>
  <si>
    <t>TP2417S</t>
  </si>
  <si>
    <t>Maximo ThermoWood Scandinavian_x000D_
Pine 2x4x17' S4S E4E(Net 1.65" x_x000D_
3.62" x 201")</t>
  </si>
  <si>
    <t>TP245S</t>
  </si>
  <si>
    <t>Maximo ThermoWood Scandinavian_x000D_
Pine 2x4x5' S4S E4E(Net 1.65" x_x000D_
3.62" x 59")</t>
  </si>
  <si>
    <t>TP246S</t>
  </si>
  <si>
    <t>Maximo ThermoWood Scandinavian_x000D_
Pine 2x4x6' S4S E4E(Net 1.65" x_x000D_
3.62" x 71")</t>
  </si>
  <si>
    <t>TP247S</t>
  </si>
  <si>
    <t>Maximo ThermoWood Scandinavian_x000D_
Pine 2x4x7' S4S E4E(Net 1.65" x_x000D_
3.62" x 83")</t>
  </si>
  <si>
    <t>TPNGVJ1610</t>
  </si>
  <si>
    <t>Maximo ThermoWood Scandinavian_x000D_
Pine 1x6x10' V-Joint - Nickel_x000D_
Gap (Net 0.75" x 5.51" x_x000D_
118")(5.26" face)</t>
  </si>
  <si>
    <t>TPNGVJ1611</t>
  </si>
  <si>
    <t>Maximo ThermoWood Scandinavian_x000D_
Pine 1x6x11' V-Joint - Nickel_x000D_
Gap (Net 0.75" x 5.51" x_x000D_
130")(5.26" face)</t>
  </si>
  <si>
    <t>TPNGVJ1612</t>
  </si>
  <si>
    <t>Maximo ThermoWood Scandinavian_x000D_
Pine 1x6x12' V-Joint - Nickel_x000D_
Gap (Net 0.75" x 5.51" x_x000D_
142")(5.26" face)</t>
  </si>
  <si>
    <t>TPNGVJ1613</t>
  </si>
  <si>
    <t>Maximo ThermoWood Scandinavian_x000D_
Pine 1x6x13' V-Joint - Nickel_x000D_
Gap (Net 0.75" x 5.51" x_x000D_
154")(5.26" face)</t>
  </si>
  <si>
    <t>TPNGVJ1614</t>
  </si>
  <si>
    <t>Maximo ThermoWood Scandinavian_x000D_
Pine 1x6x14' V-Joint - Nickel_x000D_
Gap (Net 0.75" x 5.51" x_x000D_
165")(5.26" face)</t>
  </si>
  <si>
    <t>TPNGVJ1615</t>
  </si>
  <si>
    <t>Maximo ThermoWood Scandinavian_x000D_
Pine 1x6x15' V-Joint - Nickel_x000D_
Gap (Net 0.75" x 5.51" x_x000D_
177")(5.26" face)</t>
  </si>
  <si>
    <t>TPNGVJ1616</t>
  </si>
  <si>
    <t>Maximo ThermoWood Scandinavian_x000D_
Pine 1x6x16' V-Joint - Nickel_x000D_
Gap (Net 0.75" x 5.51" x_x000D_
189")(5.26" face)</t>
  </si>
  <si>
    <t>TPNGVJ1617</t>
  </si>
  <si>
    <t>TPNGVJ1618</t>
  </si>
  <si>
    <t>Maximo ThermoWood Scandinavian_x000D_
Pine 1x6x18' V-Joint - Nickel_x000D_
Gap (Net 0.75" x 5.51" x_x000D_
213")(5.26" face)</t>
  </si>
  <si>
    <t>TPNGVJ165</t>
  </si>
  <si>
    <t>Maximo ThermoWood Scandinavian_x000D_
Pine 1x6x5' V-Joint - Nickel Gap_x000D_
(Net 0.75" x 5.51" x 59")(5.26"_x000D_
face)</t>
  </si>
  <si>
    <t>TPNGVJ167</t>
  </si>
  <si>
    <t>Maximo ThermoWood Scandinavian_x000D_
Pine 1x6x7' V-Joint - Nickel Gap_x000D_
(Net 0.75" x 5.51" x 83")(5.26"_x000D_
face)</t>
  </si>
  <si>
    <t>TPNGVJ168</t>
  </si>
  <si>
    <t>Maximo ThermoWood Scandinavian_x000D_
Pine 1x6x8' V-Joint - Nickel Gap_x000D_
(Net 0.75" x 5.51" x 95")(5.26"_x000D_
face)</t>
  </si>
  <si>
    <t>TPNGVJ169</t>
  </si>
  <si>
    <t>Maximo ThermoWood Scandinavian_x000D_
Pine 1x6x9' V-Joint - Nickel Gap_x000D_
(Net 0.75" x 5.51" x 106")(5.26"_x000D_
face)</t>
  </si>
  <si>
    <t>TPTG1610CL5</t>
  </si>
  <si>
    <t>Maximo ThermoWood Scandinavian_x000D_
Pine 1x6x10' Cladding with a #5_x000D_
fluted profile, 1 Side Louver_x000D_
1/2" Projection with Relief (Net_x000D_
0.75" x 5.51" x 118")(5.26"_x000D_
Face)</t>
  </si>
  <si>
    <t>TPTG1611CL5</t>
  </si>
  <si>
    <t>Maximo ThermoWood Scandinavian_x000D_
Pine 1x6x11' Cladding with a #5_x000D_
fluted profile, 1 Side Louver_x000D_
1/2" Projection with Relief (Net_x000D_
0.75" x 5.51" x 130")(5.26"_x000D_
Face)</t>
  </si>
  <si>
    <t>TPTG1612CL5</t>
  </si>
  <si>
    <t>Maximo ThermoWood Scandinavian_x000D_
Pine 1x6x12' Cladding with a #5_x000D_
fluted profile, 1 Side Louver_x000D_
1/2" Projection with Relief (Net_x000D_
0.75" x 5.51" x 142")(5.26"_x000D_
Face)</t>
  </si>
  <si>
    <t>TPTG1613CL5</t>
  </si>
  <si>
    <t>Maximo ThermoWood Scandinavian_x000D_
Pine 1x6x13' Cladding with a #5_x000D_
fluted profile, 1 Side Louver_x000D_
1/2" Projection with Relief (Net_x000D_
0.75" x 5.51" x 154")(5.26"_x000D_
Face)</t>
  </si>
  <si>
    <t>TPTG1615CL5</t>
  </si>
  <si>
    <t>Maximo ThermoWood Scandinavian_x000D_
Pine 1x6x15' Cladding with a #5_x000D_
fluted profile, 1 Side Louver_x000D_
1/2" Projection with Relief (Net_x000D_
0.75" x 5.51" x 177")(5.26"_x000D_
Face)</t>
  </si>
  <si>
    <t>TPTG1616CL5</t>
  </si>
  <si>
    <t>Maximo ThermoWood Scandinavian_x000D_
Pine 1x6x16' Cladding with a #5_x000D_
fluted profile, 1 Side Louver_x000D_
1/2" Projection with Relief (Net_x000D_
0.75" x 5.51" x 189")(5.26"_x000D_
Face)</t>
  </si>
  <si>
    <t>TPTG169CL5</t>
  </si>
  <si>
    <t>Maximo ThermoWood Scandinavian_x000D_
Pine 1x6x9' Cladding with a #5_x000D_
fluted profile, 1 Side Louver_x000D_
1/2" Projection with Relief (Net_x000D_
0.75" x 5.51" x 106")(5.26"_x000D_
Face)</t>
  </si>
  <si>
    <t>TPVJ1610S</t>
  </si>
  <si>
    <t>Maximo ThermoWood Scandinavian_x000D_
Pine 1x6x10' V-Joint - Square_x000D_
Back (Net 0.75" x 5.51" x 118")_x000D_
(5.26" Face)</t>
  </si>
  <si>
    <t>TPVJ1611S</t>
  </si>
  <si>
    <t>Maximo ThermoWood Scandinavian_x000D_
Pine 1x6x11' V-Joint - Square_x000D_
Back (Net 0.75" x 5.51" x 130")_x000D_
(5.26" Face)</t>
  </si>
  <si>
    <t>TPVJ1612S</t>
  </si>
  <si>
    <t>Maximo ThermoWood Scandinavian_x000D_
Pine 1x6x12' V-Joint - Square_x000D_
Back (Net 0.75" x 5.51" x 142")_x000D_
(5.26" Face)</t>
  </si>
  <si>
    <t>TPVJ1613S</t>
  </si>
  <si>
    <t>Maximo ThermoWood Scandinavian_x000D_
Pine 1x6x13' V-Joint - Square_x000D_
Back (Net 0.75" x 5.51" x 154")_x000D_
(5.26" Face)</t>
  </si>
  <si>
    <t>TPVJ1614S</t>
  </si>
  <si>
    <t>Maximo ThermoWood Scandinavian_x000D_
Pine 1x6x14' V-Joint - Square_x000D_
Back (Net 0.75" x 5.51" x 165")_x000D_
(5.26" Face)</t>
  </si>
  <si>
    <t>TPVJ1615S</t>
  </si>
  <si>
    <t>Maximo ThermoWood Scandinavian_x000D_
Pine 1x6x15' V-Joint - Square_x000D_
Back (Net 0.75" x 5.51" x 177")_x000D_
(5.26" Face)</t>
  </si>
  <si>
    <t>TPVJ1617S</t>
  </si>
  <si>
    <t>Maximo ThermoWood Scandinavian_x000D_
Pine 1x6x17' V-Joint - Square_x000D_
Back (Net 0.75" x 5.51" x 201")_x000D_
(5.26" Face)</t>
  </si>
  <si>
    <t>TPVJ165S</t>
  </si>
  <si>
    <t>Maximo ThermoWood Scandinavian_x000D_
Pine 1x6x5' V-Joint - Square_x000D_
Back (Net 0.75" x 5.51" x 59")_x000D_
(5.26" Face)</t>
  </si>
  <si>
    <t>TPVJ166S</t>
  </si>
  <si>
    <t>Maximo ThermoWood Scandinavian_x000D_
Pine 1x6x6' V-Joint - Square_x000D_
Back (Net 0.75" x 5.51" x 71")_x000D_
(5.26" Face)</t>
  </si>
  <si>
    <t>TPVJ167S</t>
  </si>
  <si>
    <t>Maximo ThermoWood Scandinavian_x000D_
Pine 1x6x7' V-Joint - Square_x000D_
Back (Net 0.75" x 5.51" x 83")_x000D_
(5.26" Face)</t>
  </si>
  <si>
    <t>TPVJ168S</t>
  </si>
  <si>
    <t>Maximo ThermoWood Scandinavian_x000D_
Pine 1x6x8' V-Joint - Square_x000D_
Back (Net 0.75" x 5.51" x 95")_x000D_
(5.26" Face)</t>
  </si>
  <si>
    <t>TPVJ169S</t>
  </si>
  <si>
    <t>Maximo ThermoWood Scandinavian_x000D_
Pine 1x6x9' V-Joint - Square_x000D_
Back (Net 0.75" x 5.51" x 106")_x000D_
(5.26" Face)</t>
  </si>
  <si>
    <t>TPVJ58411S</t>
  </si>
  <si>
    <t>Maximo ThermoWood Scandinavian_x000D_
Pine 5/8x4x11' V-Joint - Square_x000D_
Back (Net 0.59" x 3.62" x 130")_x000D_
(3.37" Face)</t>
  </si>
  <si>
    <t>TPVJ58412S</t>
  </si>
  <si>
    <t>Maximo ThermoWood Scandinavian_x000D_
Pine 5/8x4x12' V-Joint - Square_x000D_
Back (Net 0.59" x 3.62" x 142")_x000D_
(3.37" Face)</t>
  </si>
  <si>
    <t>TPVJ58413S</t>
  </si>
  <si>
    <t>Maximo ThermoWood Scandinavian_x000D_
Pine 5/8x4x13' V-Joint - Square_x000D_
Back (Net 0.59" x 3.62" x 154")_x000D_
(3.37" Face)</t>
  </si>
  <si>
    <t>TPVJ58414S</t>
  </si>
  <si>
    <t>Maximo ThermoWood Scandinavian_x000D_
Pine 5/8x4x14' V-Joint - Square_x000D_
Back (Net 0.59" x 3.62" x 165")_x000D_
(3.37" Face)</t>
  </si>
  <si>
    <t>TPVJ58415S</t>
  </si>
  <si>
    <t>Maximo ThermoWood Scandinavian_x000D_
Pine 5/8x4x15' V-Joint - Square_x000D_
Back (Net 0.59" x 3.62" x 177")_x000D_
(3.37" Face)</t>
  </si>
  <si>
    <t>TPVJ58416S</t>
  </si>
  <si>
    <t>Maximo ThermoWood Scandinavian_x000D_
Pine 5/8x4x16' V-Joint - Square_x000D_
Back (Net 0.59" x 3.62" x 189")_x000D_
(3.37" Face)</t>
  </si>
  <si>
    <t>TPVJ5848S</t>
  </si>
  <si>
    <t>Maximo ThermoWood Scandinavian_x000D_
Pine 5/8x4x8' V-Joint - Square_x000D_
Back (Net 0.59" x 3.62" x 95")_x000D_
(3.37" Face)</t>
  </si>
  <si>
    <t>TPVJ5849S</t>
  </si>
  <si>
    <t>Maximo ThermoWood Scandinavian_x000D_
Pine 5/8x4x9' V-Joint - Square_x000D_
Back (Net 0.59" x 3.62" x 106")_x000D_
(3.37" Face)</t>
  </si>
  <si>
    <t>WAKDTGVJ1610</t>
  </si>
  <si>
    <t>WAWA S4S TONGUE AND GROOVE KD_x000D_
3/4" x 5.5" x 10'_x000D_
INTERIOR USE ONLY*</t>
  </si>
  <si>
    <t>WAKDTGVJ1612</t>
  </si>
  <si>
    <t>WAWA S4S TONGUE AND GROOVE KD_x000D_
3/4" x 5.5" x 12'_x000D_
INTERIOR USE ONLY*</t>
  </si>
  <si>
    <t>WAKDTGVJ167</t>
  </si>
  <si>
    <t>WAWA S4S TONGUE AND GROOVE KD_x000D_
3/4" x 5.5" x 7'_x000D_
INTERIOR USE ONLY*</t>
  </si>
  <si>
    <t>WAKDTGVJ168</t>
  </si>
  <si>
    <t>WAWA S4S TONGUE AND GROOVE KD_x000D_
3/4" x 5.5" x 8'_x000D_
INTERIOR USE ONLY*</t>
  </si>
  <si>
    <t>WAKDTGVJ169</t>
  </si>
  <si>
    <t>WAWA S4S TONGUE AND GROOVE KD_x000D_
3/4" x 5.5" x 9'_x000D_
INTERIOR USE ONLY*</t>
  </si>
  <si>
    <t>WOEXTOILBIPE18L</t>
  </si>
  <si>
    <t>SO719383-000</t>
  </si>
  <si>
    <t>WOEXTOILTRCON18L</t>
  </si>
  <si>
    <t>WOCA Industrial Exterior Oil SP_x000D_
Natural 20 ltr. Tropical_x000D_
conditioning Oil</t>
  </si>
  <si>
    <t>TAYJPLL2619</t>
  </si>
  <si>
    <t>Maximo ThermoWood Ayous 2x6x19' _x000D_
S4S E4E (1.5" x 5.5" Face)</t>
  </si>
  <si>
    <t>CM31214S</t>
  </si>
  <si>
    <t>Cumaru 3x12x14' (2.5"  x 11.25")_x000D_
Air Dried FAS S4S E4E</t>
  </si>
  <si>
    <t>CM3810S</t>
  </si>
  <si>
    <t>Cumaru 3x8x10' (2.5"  x7.25")_x000D_
Air_x000D_
Dried FAS S4S E4E</t>
  </si>
  <si>
    <t>CM3818S</t>
  </si>
  <si>
    <t>Cumaru 3x8x18' (2.5"  x7.25")_x000D_
Air_x000D_
Dried FAS S4S E4E</t>
  </si>
  <si>
    <t>CM4420S</t>
  </si>
  <si>
    <t>Cumaru Maximo 4x4x20'(3.5" x_x000D_
3.5") FSC 100% AirDried S4S E4E</t>
  </si>
  <si>
    <t>CMKD284S</t>
  </si>
  <si>
    <t>Cumaru Maximo 2x8x4' (1.5"x_x000D_
7.25") Kiln Dried S4S E4E</t>
  </si>
  <si>
    <t>CMKD285S</t>
  </si>
  <si>
    <t>Cumaru Maximo 2x8x5' (1.5"x_x000D_
7.25") Kiln Dried S4S E4E</t>
  </si>
  <si>
    <t>CMKD286S</t>
  </si>
  <si>
    <t>Cumaru Maximo 2x8x6' (1.5"x_x000D_
7.25") Kiln Dried S4S E4E</t>
  </si>
  <si>
    <t>CMKD287S</t>
  </si>
  <si>
    <t>Cumaru Maximo 2x8x7' (1.5"x_x000D_
7.25") Kiln Dried S4S E4E</t>
  </si>
  <si>
    <t>CMKD541220S</t>
  </si>
  <si>
    <t>Cumaru Maximo 5/4x12x20' (1"x_x000D_
11.25") Kiln Dried S4S E4E</t>
  </si>
  <si>
    <t>TAYAPGMS1614</t>
  </si>
  <si>
    <t>Maximo ThermoWood Ayous 1x6x14'_x000D_
Alfa Profile - Groco Matte_x000D_
Surfaced (Net 0.75 x 5.51 x_x000D_
165")</t>
  </si>
  <si>
    <t>TAYAPGMS1616</t>
  </si>
  <si>
    <t>Maximo ThermoWood Ayous 1x6x16'_x000D_
Alfa Profile - Groco Matte_x000D_
Surfaced (Net 0.75 x 5.51 x_x000D_
189")</t>
  </si>
  <si>
    <t>IPE21222S</t>
  </si>
  <si>
    <t>Ipe 2x12x22' (1.5" x  11.25")_x000D_
Air_x000D_
Dried FAS S4S E4E</t>
  </si>
  <si>
    <t>IPE21224S</t>
  </si>
  <si>
    <t>Ipe 2x12x24' (1.5" x  11.25")_x000D_
Air_x000D_
Dried FAS S4S E4E</t>
  </si>
  <si>
    <t>IPE2822S</t>
  </si>
  <si>
    <t>Ipe 2x8x22' (1.5" x  7.25") Air_x000D_
Dried FAS S4S E4E</t>
  </si>
  <si>
    <t>IPE2222S</t>
  </si>
  <si>
    <t>Ipe 2x2x22' (1.5" x  1.5") Air_x000D_
Dried S4S E4E</t>
  </si>
  <si>
    <t>IPE462S</t>
  </si>
  <si>
    <t>Ipe 4x6x2' (3.5" x  5.5") Air_x000D_
Dried S4S E4E</t>
  </si>
  <si>
    <t>IPE464S</t>
  </si>
  <si>
    <t>Ipe 4x6x4' (3.5" x  5.5") Air_x000D_
Dried S4S E4E</t>
  </si>
  <si>
    <t>IPE465S</t>
  </si>
  <si>
    <t>Ipe 4x6x5' (3.5" x  5.5") Air_x000D_
Dried S4S E4E</t>
  </si>
  <si>
    <t>IPE466S</t>
  </si>
  <si>
    <t>Ipe 4x6x6' (3.5" x  5.5") Air_x000D_
Dried S4S E4E</t>
  </si>
  <si>
    <t>IPE4107S</t>
  </si>
  <si>
    <t>Ipe Maximo 4x10x7' (3.5"_x000D_
x9.25") Air Dried S4S E4E</t>
  </si>
  <si>
    <t>IPE61222S</t>
  </si>
  <si>
    <t>Ipe 6x12x22' (5.5" x 11.25") Air_x000D_
Dried S4S E4E</t>
  </si>
  <si>
    <t>IPE6812S</t>
  </si>
  <si>
    <t>Ipe 6x8x12' (5.5" x  7.25") Air_x000D_
Dried S4S E4E</t>
  </si>
  <si>
    <t>IPE8818S</t>
  </si>
  <si>
    <t>Ipe Maximo 8x8x18'(7.25" x_x000D_
7.25") Air Dried S4S E4E.</t>
  </si>
  <si>
    <t>IPE8822S</t>
  </si>
  <si>
    <t>Ipe Maximo 8x8x22'(7.25" x_x000D_
7.25") Air Dried S4S E4E.</t>
  </si>
  <si>
    <t>IPEBTILE2424</t>
  </si>
  <si>
    <t>SO727952-000</t>
  </si>
  <si>
    <t>TAYJPLLVJNG1619</t>
  </si>
  <si>
    <t>Maximo ThermoWood Ayous 1x6x19'_x000D_
V-Joint and Nickel Gap_x000D_
(3/4"x5.25" face)</t>
  </si>
  <si>
    <t>TAYJPLL1819</t>
  </si>
  <si>
    <t>Maximo ThermoWood Ayous 1x8x19' _x000D_
S4S E4E (3/4"x7" face)</t>
  </si>
  <si>
    <t>TAYJPLL1127</t>
  </si>
  <si>
    <t>Maximo ThermoWood Ayous 1x12x7' _x000D_
S4S E4E (3/4"x11,22" face)</t>
  </si>
  <si>
    <t>TAYJPLL1128</t>
  </si>
  <si>
    <t>Maximo ThermoWood Ayous 1x12x8' _x000D_
S4S E4E (3/4"x11,22" face)</t>
  </si>
  <si>
    <t>TAYJPLL1129</t>
  </si>
  <si>
    <t>Maximo ThermoWood Ayous 1x12x9' _x000D_
S4S E4E (3/4"x11,22" face)</t>
  </si>
  <si>
    <t>TAYJPLL11210</t>
  </si>
  <si>
    <t>Maximo ThermoWood Ayous 1x12x10'_x000D_
S4S E4E (3/4"x11,22" face)</t>
  </si>
  <si>
    <t>TAYJPLL11212</t>
  </si>
  <si>
    <t>Maximo ThermoWood Ayous 1x12x12'_x000D_
S4S E4E (3/4"x11,22" face)</t>
  </si>
  <si>
    <t>TAYJPLL11213</t>
  </si>
  <si>
    <t>Maximo ThermoWood Ayous 1x12x13'_x000D_
S4S E4E (3/4"x11,22" face)</t>
  </si>
  <si>
    <t>TAYJPLL11216</t>
  </si>
  <si>
    <t>Maximo ThermoWood Ayous 1x12x16'_x000D_
S4S E4E (3/4"x11,22" face)</t>
  </si>
  <si>
    <t>TAYJPLL11217</t>
  </si>
  <si>
    <t>Maximo ThermoWood Ayous 1x12x17'_x000D_
S4S E4E (3/4"x11,22" face)</t>
  </si>
  <si>
    <t>TAYJPLL11218</t>
  </si>
  <si>
    <t>Maximo ThermoWood Ayous 1x12x18'_x000D_
S4S E4E (3/4"x11,22" face)</t>
  </si>
  <si>
    <t>TAYJPLL11219</t>
  </si>
  <si>
    <t>Maximo ThermoWood Ayous 1x12x19'_x000D_
S4S E4E (3/4"x11,22" face)</t>
  </si>
  <si>
    <t>SO737705-000</t>
  </si>
  <si>
    <t>Expense Recovery</t>
  </si>
  <si>
    <t>RWTSLAB</t>
  </si>
  <si>
    <t>Round Wood Table Slab</t>
  </si>
  <si>
    <t>CASCADETABLE</t>
  </si>
  <si>
    <t>Cascade Wood Table</t>
  </si>
  <si>
    <t>DBCASCADETABLE</t>
  </si>
  <si>
    <t>Double Cascade Wood Table</t>
  </si>
  <si>
    <t>DBCASCADETABLEWG</t>
  </si>
  <si>
    <t>Double Cascade Wood Table with_x000D_
Glass</t>
  </si>
  <si>
    <t>WOODTABLE1</t>
  </si>
  <si>
    <t>Wood Table 1</t>
  </si>
  <si>
    <t>WOODTABLE2</t>
  </si>
  <si>
    <t>Wood Table 2</t>
  </si>
  <si>
    <t>TAYLNGVJ164P</t>
  </si>
  <si>
    <t>Maximo ThermoWood Ayous 1x6x4’_x000D_
PLUS V-Joint Nickel Gap (Net_x000D_
0.75 x 5.91 x 47”)(Face 5.60”)</t>
  </si>
  <si>
    <t>TAYLNGVJ165P</t>
  </si>
  <si>
    <t>Maximo ThermoWood Ayous 1x6x5’_x000D_
PLUS V-Joint Nickel Gap (Net_x000D_
0.75 x 5.91 x 59”)(Face 5.60”)</t>
  </si>
  <si>
    <t>TAYLNGVJ166P</t>
  </si>
  <si>
    <t>Maximo ThermoWood Ayous 1x6x6’_x000D_
PLUS V-Joint Nickel Gap (Net_x000D_
0.75 x 5.91 x 71”)(Face 5.60”)</t>
  </si>
  <si>
    <t>TAYLNGVJ167P</t>
  </si>
  <si>
    <t>Maximo ThermoWood Ayous 1x6x7’_x000D_
PLUS V-Joint Nickel Gap (Net_x000D_
0.75 x 5.91 x 83”)(Face 5.60”)</t>
  </si>
  <si>
    <t>TAYLNGVJ168P</t>
  </si>
  <si>
    <t>Maximo ThermoWood Ayous 1x6x8’_x000D_
PLUS V-Joint Nickel Gap (Net_x000D_
0.75 x 5.91 x 95”)(Face 5.</t>
  </si>
  <si>
    <t>TAYLNGVJ169P</t>
  </si>
  <si>
    <t>Maximo ThermoWood Ayous 1x6x9’_x000D_
PLUS V-Joint Nickel Gap (Net_x000D_
0.75 x 5.91 x 106”)(Face 5.60”)</t>
  </si>
  <si>
    <t>TAYLNGVJ1610P</t>
  </si>
  <si>
    <t>Maximo ThermoWood Ayous 1x6x10’_x000D_
PLUS V-Joint Nickel Gap (Net_x000D_
0.75 x 5.91 x 118”)(Face 5.60”)</t>
  </si>
  <si>
    <t>TAYLNGVJ1612P</t>
  </si>
  <si>
    <t>Maximo ThermoWood Ayous 1x6x12’_x000D_
PLUS V-Joint Nickel Gap (Net_x000D_
0.75 x 5.91 x 142”)(Face 5.60”)</t>
  </si>
  <si>
    <t>TAYLNGVJ1613P</t>
  </si>
  <si>
    <t>Maximo ThermoWood Ayous 1x6x13’_x000D_
PLUS V-Joint Nickel Gap (Net_x000D_
0.75 x 5.91 x 154”)(Face 5.60”)</t>
  </si>
  <si>
    <t>SO745560-000</t>
  </si>
  <si>
    <t>SO752802-000</t>
  </si>
  <si>
    <t>TAYJPLL1109</t>
  </si>
  <si>
    <t>Maximo ThermoWood Ayous 1x10x9'_x000D_
- S4S E4E (3/4"x 9,25" face)</t>
  </si>
  <si>
    <t>TAYJPLL11010</t>
  </si>
  <si>
    <t>Maximo ThermoWood Ayous 1x10x10'_x000D_
- S4S E4E (3/4"x 9,25" face)</t>
  </si>
  <si>
    <t>TAYJPLL11011</t>
  </si>
  <si>
    <t>Maximo ThermoWood Ayous 1x10x11'_x000D_
- S4S E4E (3/4"x 9,25" face)</t>
  </si>
  <si>
    <t>TAYJPLL11013</t>
  </si>
  <si>
    <t>Maximo ThermoWood Ayous 1x10x13'_x000D_
- S4S E4E (3/4"x 9,25" face)</t>
  </si>
  <si>
    <t>TAYJPLL11014</t>
  </si>
  <si>
    <t>Maximo ThermoWood Ayous 1x10x14'_x000D_
- S4S E4E (3/4"x 9,25" face)</t>
  </si>
  <si>
    <t>TAYJPLL11016</t>
  </si>
  <si>
    <t>Maximo ThermoWood Ayous 1x10x16'_x000D_
- S4S E4E (3/4"x 9,25" face)</t>
  </si>
  <si>
    <t>TAYJPLL11017</t>
  </si>
  <si>
    <t>Maximo ThermoWood Ayous 1x10x17'_x000D_
- S4S E4E (3/4"x 9,25" face)</t>
  </si>
  <si>
    <t>TAYJPLL11018</t>
  </si>
  <si>
    <t>Maximo ThermoWood Ayous 1x10x18'_x000D_
- S4S E4E (3/4"x 9,25" face)</t>
  </si>
  <si>
    <t>TAYJPLL11019</t>
  </si>
  <si>
    <t>Maximo ThermoWood Ayous 1x10x19'_x000D_
- S4S E4E (3/4"x 9,25" face)</t>
  </si>
  <si>
    <t>100551</t>
  </si>
  <si>
    <t>US4EVERCLAD CONDITIONER10L</t>
  </si>
  <si>
    <t>SO758758-000</t>
  </si>
  <si>
    <t>TPNGVJ5848</t>
  </si>
  <si>
    <t>TPNGVJ58411</t>
  </si>
  <si>
    <t>TPNGVJ58414</t>
  </si>
  <si>
    <t>TPNGVJ58416</t>
  </si>
  <si>
    <t>SO762516-000</t>
  </si>
  <si>
    <t>ARPSG168S</t>
  </si>
  <si>
    <t>Maximo Accoya Slate Grey 1x6x8'_x000D_
(Net 3/4 x 5.75)</t>
  </si>
  <si>
    <t>ARPSG1610S</t>
  </si>
  <si>
    <t>Maximo Accoya Slate Grey 1x6x10'_x000D_
(Net 3/4 x 5.75)</t>
  </si>
  <si>
    <t>ARPSG1612S</t>
  </si>
  <si>
    <t>Maximo Accoya Slate Grey 1x6x'_x000D_
(Net 3/4 x 5.75)</t>
  </si>
  <si>
    <t>ARPSG1614S</t>
  </si>
  <si>
    <t>Maximo Accoya Slate Grey 1x6x14'_x000D_
(Net 3/4 x 5.75)</t>
  </si>
  <si>
    <t>ARPSG1616S</t>
  </si>
  <si>
    <t>Maximo Accoya Slate Grey 1x6x16'_x000D_
(Net 3/4 x 5.75)</t>
  </si>
  <si>
    <t>ARPSG5468S</t>
  </si>
  <si>
    <t>Maximo Accoya Slate Grey_x000D_
5/4"x6"x8' (Net 1 x 5.75)</t>
  </si>
  <si>
    <t>ARPSG54610S</t>
  </si>
  <si>
    <t>Maximo Accoya Slate Grey_x000D_
5/4"x6"x10' (Net 1 x 5.75)</t>
  </si>
  <si>
    <t>ARPSG54612S</t>
  </si>
  <si>
    <t>Maximo Accoya Slate Grey_x000D_
5/4"x6"x12' (Net 1 x 5.75)</t>
  </si>
  <si>
    <t>ARPSG54614S</t>
  </si>
  <si>
    <t>Maximo Accoya Slate Grey_x000D_
5/4"x6"x14' (Net 1 x 5.75)</t>
  </si>
  <si>
    <t>ARPSG54616S</t>
  </si>
  <si>
    <t>Maximo Accoya Slate Grey_x000D_
5/4"x6"x16' (Net 1 x 5.75)</t>
  </si>
  <si>
    <t>TAYJPLL11020</t>
  </si>
  <si>
    <t>Maximo ThermoWood Ayous 1x10x20'_x000D_
S4S E4E (3/4"x 9,25" face)</t>
  </si>
  <si>
    <t>TAYJPLL11220</t>
  </si>
  <si>
    <t>Maximo ThermoWood Ayous 1x12x20'_x000D_
S4S E4E (3/4"x11,22" face)</t>
  </si>
  <si>
    <t>TAYJPLLRS54619</t>
  </si>
  <si>
    <t>Maximo ThermoWood Ayous_x000D_
5/4x6x19' Rough Sawn (1"x6"_x000D_
face)</t>
  </si>
  <si>
    <t>SO766241-000</t>
  </si>
  <si>
    <t>SO769024-000</t>
  </si>
  <si>
    <t>SO774955-000</t>
  </si>
  <si>
    <t>TPNGVJ1619</t>
  </si>
  <si>
    <t>Maximo ThermoWood Scandinavian_x000D_
Pine 1x6x18' V-Joint - Nickel_x000D_
Gap (Net 0.75" x 5.51" x_x000D_
224")(5.26" face)</t>
  </si>
  <si>
    <t>SO777716-000</t>
  </si>
  <si>
    <t>Family</t>
  </si>
  <si>
    <t>Group</t>
  </si>
  <si>
    <t>Subgroup</t>
  </si>
  <si>
    <t>Type</t>
  </si>
  <si>
    <t>SKU</t>
  </si>
  <si>
    <t>Specie</t>
  </si>
  <si>
    <t>Model</t>
  </si>
  <si>
    <t>Profile</t>
  </si>
  <si>
    <t>Size</t>
  </si>
  <si>
    <t>Lenght</t>
  </si>
  <si>
    <t>Lenght (m)</t>
  </si>
  <si>
    <t>Thick (mm)</t>
  </si>
  <si>
    <t>Width (mm)</t>
  </si>
  <si>
    <t>Conv L (pol)</t>
  </si>
  <si>
    <t>Conv T (pol)</t>
  </si>
  <si>
    <t>Conv W (pol)</t>
  </si>
  <si>
    <t>Conv m3xLF</t>
  </si>
  <si>
    <t>Conv PcxM3</t>
  </si>
  <si>
    <t>Description Code</t>
  </si>
  <si>
    <t>Accoya</t>
  </si>
  <si>
    <t>Accoya 4/4x6</t>
  </si>
  <si>
    <t>Long</t>
  </si>
  <si>
    <t>Acetylated</t>
  </si>
  <si>
    <t>ARPRS44610</t>
  </si>
  <si>
    <t>Rough Sawn</t>
  </si>
  <si>
    <t>-</t>
  </si>
  <si>
    <t>4/4x6</t>
  </si>
  <si>
    <t>ARPRS44611</t>
  </si>
  <si>
    <t>ARPRS44612</t>
  </si>
  <si>
    <t>ARPRS44613</t>
  </si>
  <si>
    <t>ARPRS44614</t>
  </si>
  <si>
    <t>ARPRS44615</t>
  </si>
  <si>
    <t>ARPRS44616</t>
  </si>
  <si>
    <t>ARPRS4468</t>
  </si>
  <si>
    <t>ARPRS4469</t>
  </si>
  <si>
    <t>ARPRS54610</t>
  </si>
  <si>
    <t>5/4x6</t>
  </si>
  <si>
    <t>ARPRS54611</t>
  </si>
  <si>
    <t>ARPRS54612</t>
  </si>
  <si>
    <t>ARPRS54613</t>
  </si>
  <si>
    <t>ARPRS54614</t>
  </si>
  <si>
    <t>ARPRS54615</t>
  </si>
  <si>
    <t>ARPRS54616</t>
  </si>
  <si>
    <t>ARPRS5468</t>
  </si>
  <si>
    <t>ARPRS5469</t>
  </si>
  <si>
    <t>ARPRSCG44610</t>
  </si>
  <si>
    <t>Grey</t>
  </si>
  <si>
    <t>ARPRSCG44611</t>
  </si>
  <si>
    <t>ARPRSCG44612</t>
  </si>
  <si>
    <t>ARPRSCG44613</t>
  </si>
  <si>
    <t>ARPRSCG44614</t>
  </si>
  <si>
    <t>ARPRSCG44615</t>
  </si>
  <si>
    <t>ARPRSCG44616</t>
  </si>
  <si>
    <t>ARPRSCG4468</t>
  </si>
  <si>
    <t>ARPRSCG4469</t>
  </si>
  <si>
    <t>Accoya 5/4x6</t>
  </si>
  <si>
    <t>ARPCBI54610G</t>
  </si>
  <si>
    <t>Maximo Accoya</t>
  </si>
  <si>
    <t>Grooved</t>
  </si>
  <si>
    <t>Brown Ipe</t>
  </si>
  <si>
    <t>ARPCBI54611G</t>
  </si>
  <si>
    <t>ARPCBI54612G</t>
  </si>
  <si>
    <t>ARPCBI54613G</t>
  </si>
  <si>
    <t>ARPCBI54614G</t>
  </si>
  <si>
    <t>ARPCBI54615G</t>
  </si>
  <si>
    <t>ARPCBI54616G</t>
  </si>
  <si>
    <t>ARPCBI54617G</t>
  </si>
  <si>
    <t>ARPCBI54618G</t>
  </si>
  <si>
    <t>ARPCBI54619G</t>
  </si>
  <si>
    <t>ARPCBI54620G</t>
  </si>
  <si>
    <t>ARPCBI54621G</t>
  </si>
  <si>
    <t>ARPCBI54622G</t>
  </si>
  <si>
    <t>ARPCBI5468G</t>
  </si>
  <si>
    <t>ARPCBI5469G</t>
  </si>
  <si>
    <t>Accoya 1x6</t>
  </si>
  <si>
    <t>ARPSG1610G</t>
  </si>
  <si>
    <t>Maximo Accoya Grooved Slate Grey 1x6</t>
  </si>
  <si>
    <t>Slate Grey</t>
  </si>
  <si>
    <t>1x6</t>
  </si>
  <si>
    <t>Maximo Accoya Grooved Slate Grey 1x6 Long</t>
  </si>
  <si>
    <t>ARPSG1611G</t>
  </si>
  <si>
    <t>ARPSG1612G</t>
  </si>
  <si>
    <t>ARPSG1613G</t>
  </si>
  <si>
    <t>ARPSG1614G</t>
  </si>
  <si>
    <t>ARPSG1615G</t>
  </si>
  <si>
    <t>ARPSG1616G</t>
  </si>
  <si>
    <t>ARPSG1617G</t>
  </si>
  <si>
    <t>ARPSG1618G</t>
  </si>
  <si>
    <t>ARPSG1619G</t>
  </si>
  <si>
    <t>ARPSG1620G</t>
  </si>
  <si>
    <t>ARPSG168G</t>
  </si>
  <si>
    <t>ARPSG169G</t>
  </si>
  <si>
    <t>ARPSG54610G</t>
  </si>
  <si>
    <t>Maximo Accoya Grooved Slate Grey 5/4x6</t>
  </si>
  <si>
    <t>Maximo Accoya Grooved Slate Grey 5/4x6 Long</t>
  </si>
  <si>
    <t>ARPSG54611G</t>
  </si>
  <si>
    <t>ARPSG54612G</t>
  </si>
  <si>
    <t>ARPSG54613G</t>
  </si>
  <si>
    <t>ARPSG54614G</t>
  </si>
  <si>
    <t>ARPSG54615G</t>
  </si>
  <si>
    <t>ARPSG54616G</t>
  </si>
  <si>
    <t>ARPSG54617G</t>
  </si>
  <si>
    <t>ARPSG54618G</t>
  </si>
  <si>
    <t>ARPSG54619G</t>
  </si>
  <si>
    <t>ARPSG54620G</t>
  </si>
  <si>
    <t>ARPSG5468G</t>
  </si>
  <si>
    <t>ARPSG5469G</t>
  </si>
  <si>
    <t>Maximo Accoya S4S E4E 1x6</t>
  </si>
  <si>
    <t>S4S E4E</t>
  </si>
  <si>
    <t>Maximo Accoya S4S E4E 1x6 Long</t>
  </si>
  <si>
    <t>ARP1611</t>
  </si>
  <si>
    <t>ARP1612</t>
  </si>
  <si>
    <t>ARP1613</t>
  </si>
  <si>
    <t>ARP1615</t>
  </si>
  <si>
    <t>ARP168</t>
  </si>
  <si>
    <t>ARP169</t>
  </si>
  <si>
    <t>ARP54610</t>
  </si>
  <si>
    <t>Maximo Accoya S4S E4E 5/4x6</t>
  </si>
  <si>
    <t>Maximo Accoya S4S E4E 5/4x6 Long</t>
  </si>
  <si>
    <t>ARP54611</t>
  </si>
  <si>
    <t>ARP54613</t>
  </si>
  <si>
    <t>ARP54615</t>
  </si>
  <si>
    <t>ARP5468</t>
  </si>
  <si>
    <t>ARP5469</t>
  </si>
  <si>
    <t>ARPCBI54610S</t>
  </si>
  <si>
    <t>ARPCBI54611S</t>
  </si>
  <si>
    <t>ARPCBI54612S</t>
  </si>
  <si>
    <t>ARPCBI54613S</t>
  </si>
  <si>
    <t>ARPCBI54614S</t>
  </si>
  <si>
    <t>ARPCBI54615S</t>
  </si>
  <si>
    <t>ARPCBI54616S</t>
  </si>
  <si>
    <t>ARPCBI54617S</t>
  </si>
  <si>
    <t>ARPCBI54618S</t>
  </si>
  <si>
    <t>ARPCBI54619S</t>
  </si>
  <si>
    <t>ARPCBI54620S</t>
  </si>
  <si>
    <t>ARPCBI54621S</t>
  </si>
  <si>
    <t>ARPCBI54622S</t>
  </si>
  <si>
    <t>ARPCBI5468S</t>
  </si>
  <si>
    <t>ARPCBI5469S</t>
  </si>
  <si>
    <t>Maximo Accoya S4S E4E Slate Grey 1x6</t>
  </si>
  <si>
    <t>Maximo Accoya S4S E4E Slate Grey 1x6 Long</t>
  </si>
  <si>
    <t>ARPSG1611S</t>
  </si>
  <si>
    <t>ARPSG1613S</t>
  </si>
  <si>
    <t>ARPSG1615S</t>
  </si>
  <si>
    <t>ARPSG1617S</t>
  </si>
  <si>
    <t>ARPSG1618S</t>
  </si>
  <si>
    <t>ARPSG1619S</t>
  </si>
  <si>
    <t>ARPSG1620S</t>
  </si>
  <si>
    <t>ARPSG169S</t>
  </si>
  <si>
    <t>Maximo Accoya S4S E4E Slate Grey 5/4x6</t>
  </si>
  <si>
    <t>Maximo Accoya S4S E4E Slate Grey 5/4x6 Long</t>
  </si>
  <si>
    <t>ARPSG54611S</t>
  </si>
  <si>
    <t>ARPSG54613S</t>
  </si>
  <si>
    <t>ARPSG54615S</t>
  </si>
  <si>
    <t>ARPSG54617S</t>
  </si>
  <si>
    <t>ARPSG54618S</t>
  </si>
  <si>
    <t>ARPSG54619S</t>
  </si>
  <si>
    <t>ARPSG54620S</t>
  </si>
  <si>
    <t>ARPSG5469S</t>
  </si>
  <si>
    <t>Angelim</t>
  </si>
  <si>
    <t>Angelim 1.5x6</t>
  </si>
  <si>
    <t>Hardwoods</t>
  </si>
  <si>
    <t>Angelim Pedra Rough Sawn 1.5x6</t>
  </si>
  <si>
    <t>Angelim Pedra</t>
  </si>
  <si>
    <t>1.5x6</t>
  </si>
  <si>
    <t>Angelim Pedra Rough Sawn 1.5x6 Long</t>
  </si>
  <si>
    <t>Angelim 1.5x8</t>
  </si>
  <si>
    <t>Angelim Pedra Rough Sawn 1.5x8</t>
  </si>
  <si>
    <t>1.5x8</t>
  </si>
  <si>
    <t>Angelim Pedra Rough Sawn 1.5x8 Long</t>
  </si>
  <si>
    <t>Angelim 2x6 A</t>
  </si>
  <si>
    <t>Angelim Pedra Rough Sawn 2x6 A</t>
  </si>
  <si>
    <t>2x6 A</t>
  </si>
  <si>
    <t>Angelim Pedra Rough Sawn 2x6 A Long</t>
  </si>
  <si>
    <t>Angelim 2x8 A</t>
  </si>
  <si>
    <t>AGKD84810RS</t>
  </si>
  <si>
    <t>Angelim Pedra Rough Sawn 2x8 A</t>
  </si>
  <si>
    <t>2x8 A</t>
  </si>
  <si>
    <t>Angelim Pedra Rough Sawn 2x8 A Long</t>
  </si>
  <si>
    <t>AGKD84811RS</t>
  </si>
  <si>
    <t>AGKD84812RS</t>
  </si>
  <si>
    <t>AGKD84813RS</t>
  </si>
  <si>
    <t>AGKD84814RS</t>
  </si>
  <si>
    <t>AGKD84815RS</t>
  </si>
  <si>
    <t>AGKD84816RS</t>
  </si>
  <si>
    <t>AGKD84817RS</t>
  </si>
  <si>
    <t>AGKD84818RS</t>
  </si>
  <si>
    <t>AGKD84819RS</t>
  </si>
  <si>
    <t>AGKD84820RS</t>
  </si>
  <si>
    <t>AGKD84821RS</t>
  </si>
  <si>
    <t>AGKD84822RS</t>
  </si>
  <si>
    <t>AGKD84823RS</t>
  </si>
  <si>
    <t>Angelim 43x68</t>
  </si>
  <si>
    <t>AGKD436810S</t>
  </si>
  <si>
    <t>Angelim Pedra S4S E4E 43x68</t>
  </si>
  <si>
    <t>43x68</t>
  </si>
  <si>
    <t>Angelim Pedra S4S E4E 43x68 Long</t>
  </si>
  <si>
    <t>AGKD436811S</t>
  </si>
  <si>
    <t>AGKD436812S</t>
  </si>
  <si>
    <t>AGKD436813S</t>
  </si>
  <si>
    <t>AGKD436814S</t>
  </si>
  <si>
    <t>AGKD436815S</t>
  </si>
  <si>
    <t>AGKD436816S</t>
  </si>
  <si>
    <t>AGKD436817S</t>
  </si>
  <si>
    <t>AGKD436818S</t>
  </si>
  <si>
    <t>AGKD436819S</t>
  </si>
  <si>
    <t>AGKD436820S</t>
  </si>
  <si>
    <t>AGKD436821S</t>
  </si>
  <si>
    <t>AGKD436822S</t>
  </si>
  <si>
    <t>AGKD436823S</t>
  </si>
  <si>
    <t>AGKD436824S</t>
  </si>
  <si>
    <t>Short</t>
  </si>
  <si>
    <t>AGKD43684S</t>
  </si>
  <si>
    <t>Angelim Pedra S4S E4E 43x68 Short</t>
  </si>
  <si>
    <t>AGKD43685S</t>
  </si>
  <si>
    <t>AGKD43686S</t>
  </si>
  <si>
    <t>AGKD43687S</t>
  </si>
  <si>
    <t>AGKD43688S</t>
  </si>
  <si>
    <t>AGKD43689S</t>
  </si>
  <si>
    <t>Cumaru</t>
  </si>
  <si>
    <t>Cumaru 5/4x6</t>
  </si>
  <si>
    <t>CMKD54610G</t>
  </si>
  <si>
    <t>Cumaru Grooved 5/4x6</t>
  </si>
  <si>
    <t>Cumaru Grooved 5/4x6 Long</t>
  </si>
  <si>
    <t>CMKD54611G</t>
  </si>
  <si>
    <t>CMKD54612G</t>
  </si>
  <si>
    <t>CMKD54613G</t>
  </si>
  <si>
    <t>CMKD54614G</t>
  </si>
  <si>
    <t>CMKD54615G</t>
  </si>
  <si>
    <t>CMKD54616G</t>
  </si>
  <si>
    <t>CMKD54617G</t>
  </si>
  <si>
    <t>CMKD54618G</t>
  </si>
  <si>
    <t>CMKD54619G</t>
  </si>
  <si>
    <t>CMKD54620G</t>
  </si>
  <si>
    <t>CMKD54621G</t>
  </si>
  <si>
    <t>CMKD54622G</t>
  </si>
  <si>
    <t>CMKD54623G</t>
  </si>
  <si>
    <t>CMKD54624G</t>
  </si>
  <si>
    <t>CMKD5463G</t>
  </si>
  <si>
    <t>Cumaru Grooved 5/4x6 Short</t>
  </si>
  <si>
    <t>CMKD5464G</t>
  </si>
  <si>
    <t>CMKD5465G</t>
  </si>
  <si>
    <t>CMKD5466G</t>
  </si>
  <si>
    <t>CMKD5467G</t>
  </si>
  <si>
    <t>CMKD5468G</t>
  </si>
  <si>
    <t>CMKD5469G</t>
  </si>
  <si>
    <t>CMRS54610S</t>
  </si>
  <si>
    <t>Cumaru Rough Sawn 5/4x6</t>
  </si>
  <si>
    <t>Cumaru Rough Sawn 5/4x6 Long</t>
  </si>
  <si>
    <t>CMRS54611S</t>
  </si>
  <si>
    <t>CMRS54612S</t>
  </si>
  <si>
    <t>CMRS54613S</t>
  </si>
  <si>
    <t>CMRS54614S</t>
  </si>
  <si>
    <t>CMRS54615S</t>
  </si>
  <si>
    <t>CMRS54616S</t>
  </si>
  <si>
    <t>CMRS54617S</t>
  </si>
  <si>
    <t>CMRS54618S</t>
  </si>
  <si>
    <t>CMRS54619S</t>
  </si>
  <si>
    <t>CMRS54620S</t>
  </si>
  <si>
    <t>CMRS54621S</t>
  </si>
  <si>
    <t>CMRS54622S</t>
  </si>
  <si>
    <t>CMRS54623S</t>
  </si>
  <si>
    <t>CMRS54624S</t>
  </si>
  <si>
    <t>CMRS5463S</t>
  </si>
  <si>
    <t>Cumaru Rough Sawn 5/4x6 Short</t>
  </si>
  <si>
    <t>CMRS5464S</t>
  </si>
  <si>
    <t>CMRS5465S</t>
  </si>
  <si>
    <t>CMRS5466S</t>
  </si>
  <si>
    <t>CMRS5467S</t>
  </si>
  <si>
    <t>CMRS5468S</t>
  </si>
  <si>
    <t>CMRS5469S</t>
  </si>
  <si>
    <t>Cumaru 1x3</t>
  </si>
  <si>
    <t>CMKD1310S</t>
  </si>
  <si>
    <t>Cumaru S4S E4E 1x3</t>
  </si>
  <si>
    <t>1x3</t>
  </si>
  <si>
    <t>Cumaru S4S E4E 1x3 Long</t>
  </si>
  <si>
    <t>CMKD1311S</t>
  </si>
  <si>
    <t>CMKD1312S</t>
  </si>
  <si>
    <t>CMKD1313S</t>
  </si>
  <si>
    <t>CMKD1314S</t>
  </si>
  <si>
    <t>CMKD1315S</t>
  </si>
  <si>
    <t>CMKD1316S</t>
  </si>
  <si>
    <t>CMKD1317S</t>
  </si>
  <si>
    <t>CMKD1318S</t>
  </si>
  <si>
    <t>CMKD1319S</t>
  </si>
  <si>
    <t>CMKD1320S</t>
  </si>
  <si>
    <t>CMKD1321S</t>
  </si>
  <si>
    <t>CMKD1322S</t>
  </si>
  <si>
    <t>CMKD1323S</t>
  </si>
  <si>
    <t>CMKD1324S</t>
  </si>
  <si>
    <t>CMKD133S</t>
  </si>
  <si>
    <t>Cumaru S4S E4E 1x3 Short</t>
  </si>
  <si>
    <t>CMKD134S</t>
  </si>
  <si>
    <t>CMKD135S</t>
  </si>
  <si>
    <t>CMKD136S</t>
  </si>
  <si>
    <t>CMKD137S</t>
  </si>
  <si>
    <t>CMKD138S</t>
  </si>
  <si>
    <t>CMKD139S</t>
  </si>
  <si>
    <t>Cumaru 1x4 Plus</t>
  </si>
  <si>
    <t>Cumaru S4S E4E 1x4 Plus</t>
  </si>
  <si>
    <t>1x4 Plus</t>
  </si>
  <si>
    <t>Cumaru S4S E4E 1x4 Plus Long</t>
  </si>
  <si>
    <t>CMKD143MS</t>
  </si>
  <si>
    <t>Cumaru S4S E4E 1x4 Plus Short</t>
  </si>
  <si>
    <t>CMKD144MS</t>
  </si>
  <si>
    <t>CMKD145MS</t>
  </si>
  <si>
    <t>Cumaru 1x4</t>
  </si>
  <si>
    <t>CMKD1410S</t>
  </si>
  <si>
    <t>Cumaru S4S E4E 1x4</t>
  </si>
  <si>
    <t>1x4</t>
  </si>
  <si>
    <t>Cumaru S4S E4E 1x4 Long</t>
  </si>
  <si>
    <t>CMKD1411S</t>
  </si>
  <si>
    <t>CMKD1412S</t>
  </si>
  <si>
    <t>CMKD1413S</t>
  </si>
  <si>
    <t>CMKD1414S</t>
  </si>
  <si>
    <t>CMKD1415S</t>
  </si>
  <si>
    <t>CMKD1416S</t>
  </si>
  <si>
    <t>CMKD1417S</t>
  </si>
  <si>
    <t>CMKD1418S</t>
  </si>
  <si>
    <t>CMKD1419S</t>
  </si>
  <si>
    <t>CMKD1420S</t>
  </si>
  <si>
    <t>CMKD1421S</t>
  </si>
  <si>
    <t>CMKD1422S</t>
  </si>
  <si>
    <t>CMKD1423S</t>
  </si>
  <si>
    <t>CMKD1424S</t>
  </si>
  <si>
    <t>CMKD143S</t>
  </si>
  <si>
    <t>Cumaru S4S E4E 1x4 Short</t>
  </si>
  <si>
    <t>CMKD144S</t>
  </si>
  <si>
    <t>CMKD145S</t>
  </si>
  <si>
    <t>CMKD146S</t>
  </si>
  <si>
    <t>CMKD147S</t>
  </si>
  <si>
    <t>CMKD148S</t>
  </si>
  <si>
    <t>CMKD149S</t>
  </si>
  <si>
    <t>Cumaru 1x6 Plus</t>
  </si>
  <si>
    <t>Cumaru S4S E4E 1x6 Plus</t>
  </si>
  <si>
    <t>1x6 Plus</t>
  </si>
  <si>
    <t>Cumaru S4S E4E 1x6 Plus Long</t>
  </si>
  <si>
    <t>CMKD163MS</t>
  </si>
  <si>
    <t>Cumaru S4S E4E 1x6 Plus Short</t>
  </si>
  <si>
    <t>CMKD164MS</t>
  </si>
  <si>
    <t>CMKD165MS</t>
  </si>
  <si>
    <t>Cumaru 1x6</t>
  </si>
  <si>
    <t>Cumaru S4S E4E 1x6</t>
  </si>
  <si>
    <t>Cumaru S4S E4E 1x6 Long</t>
  </si>
  <si>
    <t>CMKD1611S</t>
  </si>
  <si>
    <t>CMKD1613S</t>
  </si>
  <si>
    <t>CMKD1615S</t>
  </si>
  <si>
    <t>CMKD1619S</t>
  </si>
  <si>
    <t>CMKD1620S</t>
  </si>
  <si>
    <t>CMKD1621S</t>
  </si>
  <si>
    <t>CMKD1622S</t>
  </si>
  <si>
    <t>CMKD1623S</t>
  </si>
  <si>
    <t>CMKD1624S</t>
  </si>
  <si>
    <t>Cumaru S4S E4E 1x6 Short</t>
  </si>
  <si>
    <t>Cumaru 1x8</t>
  </si>
  <si>
    <t>CMKD1810S</t>
  </si>
  <si>
    <t>Cumaru S4S E4E 1x8</t>
  </si>
  <si>
    <t>1x8</t>
  </si>
  <si>
    <t>Cumaru S4S E4E 1x8 Long</t>
  </si>
  <si>
    <t>CMKD1811S</t>
  </si>
  <si>
    <t>CMKD1812S</t>
  </si>
  <si>
    <t>CMKD1813S</t>
  </si>
  <si>
    <t>CMKD1814S</t>
  </si>
  <si>
    <t>CMKD1815S</t>
  </si>
  <si>
    <t>CMKD1816S</t>
  </si>
  <si>
    <t>CMKD1817S</t>
  </si>
  <si>
    <t>CMKD1818S</t>
  </si>
  <si>
    <t>CMKD1819S</t>
  </si>
  <si>
    <t>CMKD1820S</t>
  </si>
  <si>
    <t>CMKD1821S</t>
  </si>
  <si>
    <t>CMKD1822S</t>
  </si>
  <si>
    <t>CMKD1823S</t>
  </si>
  <si>
    <t>CMKD1824S</t>
  </si>
  <si>
    <t>CMKD183S</t>
  </si>
  <si>
    <t>Cumaru S4S E4E 1x8 Short</t>
  </si>
  <si>
    <t>CMKD184S</t>
  </si>
  <si>
    <t>CMKD185S</t>
  </si>
  <si>
    <t>CMKD186S</t>
  </si>
  <si>
    <t>CMKD187S</t>
  </si>
  <si>
    <t>CMKD188S</t>
  </si>
  <si>
    <t>CMKD189S</t>
  </si>
  <si>
    <t>Cumaru 21x145</t>
  </si>
  <si>
    <t>Cumaru S4S E4E 21x145</t>
  </si>
  <si>
    <t>21x145</t>
  </si>
  <si>
    <t>Cumaru S4S E4E 21x145 Long</t>
  </si>
  <si>
    <t>Cumaru S4S E4E 21x145 Short</t>
  </si>
  <si>
    <t>Cumaru 2x10</t>
  </si>
  <si>
    <t>CMKD21010S</t>
  </si>
  <si>
    <t>Cumaru S4S E4E 2x10</t>
  </si>
  <si>
    <t>2x10</t>
  </si>
  <si>
    <t>Cumaru S4S E4E 2x10 Long</t>
  </si>
  <si>
    <t>CMKD21011S</t>
  </si>
  <si>
    <t>CMKD21012S</t>
  </si>
  <si>
    <t>CMKD21013S</t>
  </si>
  <si>
    <t>CMKD21014S</t>
  </si>
  <si>
    <t>CMKD21015S</t>
  </si>
  <si>
    <t>CMKD21016S</t>
  </si>
  <si>
    <t>CMKD21017S</t>
  </si>
  <si>
    <t>CMKD21018S</t>
  </si>
  <si>
    <t>CMKD21019S</t>
  </si>
  <si>
    <t>CMKD21020S</t>
  </si>
  <si>
    <t>CMKD21021S</t>
  </si>
  <si>
    <t>CMKD21022S</t>
  </si>
  <si>
    <t>CMKD21023S</t>
  </si>
  <si>
    <t>CMKD21024S</t>
  </si>
  <si>
    <t>CMKD2103S</t>
  </si>
  <si>
    <t>Cumaru S4S E4E 2x10 Short</t>
  </si>
  <si>
    <t>CMKD2104S</t>
  </si>
  <si>
    <t>CMKD2105S</t>
  </si>
  <si>
    <t>CMKD2106S</t>
  </si>
  <si>
    <t>CMKD2107S</t>
  </si>
  <si>
    <t>CMKD2108S</t>
  </si>
  <si>
    <t>CMKD2109S</t>
  </si>
  <si>
    <t>Cumaru 2x12</t>
  </si>
  <si>
    <t>CMKD21210S</t>
  </si>
  <si>
    <t>Cumaru S4S E4E 2x12</t>
  </si>
  <si>
    <t>2x12</t>
  </si>
  <si>
    <t>Cumaru S4S E4E 2x12 Long</t>
  </si>
  <si>
    <t>CMKD21211S</t>
  </si>
  <si>
    <t>CMKD21212S</t>
  </si>
  <si>
    <t>CMKD21213S</t>
  </si>
  <si>
    <t>CMKD21214S</t>
  </si>
  <si>
    <t>CMKD21215S</t>
  </si>
  <si>
    <t>CMKD21216S</t>
  </si>
  <si>
    <t>CMKD21217S</t>
  </si>
  <si>
    <t>CMKD21218S</t>
  </si>
  <si>
    <t>CMKD21219S</t>
  </si>
  <si>
    <t>CMKD21220S</t>
  </si>
  <si>
    <t>CMKD21221S</t>
  </si>
  <si>
    <t>CMKD21222S</t>
  </si>
  <si>
    <t>CMKD21223S</t>
  </si>
  <si>
    <t>CMKD21224S</t>
  </si>
  <si>
    <t>CMKD2123S</t>
  </si>
  <si>
    <t>Cumaru S4S E4E 2x12 Short</t>
  </si>
  <si>
    <t>CMKD2124S</t>
  </si>
  <si>
    <t>CMKD2125S</t>
  </si>
  <si>
    <t>CMKD2126S</t>
  </si>
  <si>
    <t>CMKD2127S</t>
  </si>
  <si>
    <t>CMKD2128S</t>
  </si>
  <si>
    <t>CMKD2129S</t>
  </si>
  <si>
    <t>Cumaru 2x2</t>
  </si>
  <si>
    <t>CMKD2210S</t>
  </si>
  <si>
    <t>Cumaru S4S E4E 2x2</t>
  </si>
  <si>
    <t>2x2</t>
  </si>
  <si>
    <t>Cumaru S4S E4E 2x2 Long</t>
  </si>
  <si>
    <t>CMKD2211S</t>
  </si>
  <si>
    <t>CMKD2212S</t>
  </si>
  <si>
    <t>CMKD2213S</t>
  </si>
  <si>
    <t>CMKD2214S</t>
  </si>
  <si>
    <t>CMKD2215S</t>
  </si>
  <si>
    <t>CMKD2216S</t>
  </si>
  <si>
    <t>CMKD2217S</t>
  </si>
  <si>
    <t>CMKD2218S</t>
  </si>
  <si>
    <t>CMKD2219S</t>
  </si>
  <si>
    <t>CMKD2220S</t>
  </si>
  <si>
    <t>CMKD2221S</t>
  </si>
  <si>
    <t>CMKD2222S</t>
  </si>
  <si>
    <t>CMKD2223S</t>
  </si>
  <si>
    <t>CMKD2224S</t>
  </si>
  <si>
    <t>CMKD223S</t>
  </si>
  <si>
    <t>Cumaru S4S E4E 2x2 Short</t>
  </si>
  <si>
    <t>CMKD224S</t>
  </si>
  <si>
    <t>CMKD225S</t>
  </si>
  <si>
    <t>CMKD226S</t>
  </si>
  <si>
    <t>CMKD227S</t>
  </si>
  <si>
    <t>CMKD228S</t>
  </si>
  <si>
    <t>CMKD229S</t>
  </si>
  <si>
    <t>Cumaru 2x3</t>
  </si>
  <si>
    <t>Cumaru S4S E4E 2x3</t>
  </si>
  <si>
    <t>2x3</t>
  </si>
  <si>
    <t>Cumaru S4S E4E 2x3 Long</t>
  </si>
  <si>
    <t>Cumaru S4S E4E 2x3 Short</t>
  </si>
  <si>
    <t>Cumaru 2x4</t>
  </si>
  <si>
    <t>Cumaru S4S E4E 2x4</t>
  </si>
  <si>
    <t>2x4</t>
  </si>
  <si>
    <t>Cumaru S4S E4E 2x4 Long</t>
  </si>
  <si>
    <t>CMKD2411S</t>
  </si>
  <si>
    <t>CMKD2413S</t>
  </si>
  <si>
    <t>CMKD2415S</t>
  </si>
  <si>
    <t>CMKD2417S</t>
  </si>
  <si>
    <t>CMKD2419S</t>
  </si>
  <si>
    <t>CMKD2421S</t>
  </si>
  <si>
    <t>CMKD2422S</t>
  </si>
  <si>
    <t>CMKD2423S</t>
  </si>
  <si>
    <t>CMKD2424S</t>
  </si>
  <si>
    <t>CMKD243S</t>
  </si>
  <si>
    <t>Cumaru S4S E4E 2x4 Short</t>
  </si>
  <si>
    <t>CMKD244S</t>
  </si>
  <si>
    <t>CMKD245S</t>
  </si>
  <si>
    <t>CMKD246S</t>
  </si>
  <si>
    <t>CMKD247S</t>
  </si>
  <si>
    <t>CMKD249S</t>
  </si>
  <si>
    <t>Cumaru 2x6</t>
  </si>
  <si>
    <t>CMKD2610S</t>
  </si>
  <si>
    <t>Cumaru S4S E4E 2x6</t>
  </si>
  <si>
    <t>2x6</t>
  </si>
  <si>
    <t>Cumaru S4S E4E 2x6 Long</t>
  </si>
  <si>
    <t>CMKD2613S</t>
  </si>
  <si>
    <t>CMKD2614S</t>
  </si>
  <si>
    <t>CMKD2615S</t>
  </si>
  <si>
    <t>CMKD2616S</t>
  </si>
  <si>
    <t>CMKD2617S</t>
  </si>
  <si>
    <t>CMKD2618S</t>
  </si>
  <si>
    <t>CMKD2619S</t>
  </si>
  <si>
    <t>CMKD2620S</t>
  </si>
  <si>
    <t>CMKD2622S</t>
  </si>
  <si>
    <t>CMKD2623S</t>
  </si>
  <si>
    <t>CMKD2624S</t>
  </si>
  <si>
    <t>Cumaru S4S E4E 2x6 Short</t>
  </si>
  <si>
    <t>CMKD265S</t>
  </si>
  <si>
    <t>CMKD266S</t>
  </si>
  <si>
    <t>CMKD267S</t>
  </si>
  <si>
    <t>Cumaru 2x8</t>
  </si>
  <si>
    <t>CMKD2810S</t>
  </si>
  <si>
    <t>Cumaru S4S E4E 2x8</t>
  </si>
  <si>
    <t>2x8</t>
  </si>
  <si>
    <t>Cumaru S4S E4E 2x8 Long</t>
  </si>
  <si>
    <t>CMKD2811S</t>
  </si>
  <si>
    <t>CMKD2813S</t>
  </si>
  <si>
    <t>CMKD2815S</t>
  </si>
  <si>
    <t>CMKD2816S</t>
  </si>
  <si>
    <t>CMKD2817S</t>
  </si>
  <si>
    <t>CMKD2818S</t>
  </si>
  <si>
    <t>CMKD2819S</t>
  </si>
  <si>
    <t>CMKD2820S</t>
  </si>
  <si>
    <t>CMKD2821S</t>
  </si>
  <si>
    <t>CMKD2822S</t>
  </si>
  <si>
    <t>CMKD2823S</t>
  </si>
  <si>
    <t>CMKD2824S</t>
  </si>
  <si>
    <t>CMKD283S</t>
  </si>
  <si>
    <t>Cumaru S4S E4E 2x8 Short</t>
  </si>
  <si>
    <t>CMKD289S</t>
  </si>
  <si>
    <t>Cumaru 3x10</t>
  </si>
  <si>
    <t>CM31010S</t>
  </si>
  <si>
    <t>Cumaru S4S E4E 3x10</t>
  </si>
  <si>
    <t>3x10</t>
  </si>
  <si>
    <t>Cumaru S4S E4E 3x10 Long</t>
  </si>
  <si>
    <t>CM31011S</t>
  </si>
  <si>
    <t>CM31012S</t>
  </si>
  <si>
    <t>CM31013S</t>
  </si>
  <si>
    <t>CM31014S</t>
  </si>
  <si>
    <t>CM31015S</t>
  </si>
  <si>
    <t>CM31016S</t>
  </si>
  <si>
    <t>CM31017S</t>
  </si>
  <si>
    <t>CM31018S</t>
  </si>
  <si>
    <t>CM31019S</t>
  </si>
  <si>
    <t>CM31021S</t>
  </si>
  <si>
    <t>CM31022S</t>
  </si>
  <si>
    <t>CM3103S</t>
  </si>
  <si>
    <t>Cumaru S4S E4E 3x10 Short</t>
  </si>
  <si>
    <t>CM3104S</t>
  </si>
  <si>
    <t>CM3105S</t>
  </si>
  <si>
    <t>CM3106S</t>
  </si>
  <si>
    <t>CM3107S</t>
  </si>
  <si>
    <t>CM3109S</t>
  </si>
  <si>
    <t>Cumaru 3x12</t>
  </si>
  <si>
    <t>CM31210S</t>
  </si>
  <si>
    <t>Cumaru S4S E4E 3x12</t>
  </si>
  <si>
    <t>3x12</t>
  </si>
  <si>
    <t>Cumaru S4S E4E 3x12 Long</t>
  </si>
  <si>
    <t>CMKD31210S</t>
  </si>
  <si>
    <t>CM31211S</t>
  </si>
  <si>
    <t>CMKD31211S</t>
  </si>
  <si>
    <t>CM31212S</t>
  </si>
  <si>
    <t>CMKD31212S</t>
  </si>
  <si>
    <t>CM31213S</t>
  </si>
  <si>
    <t>CMKD31213S</t>
  </si>
  <si>
    <t>CMKD31214S</t>
  </si>
  <si>
    <t>CM31215S</t>
  </si>
  <si>
    <t>CMKD31215S</t>
  </si>
  <si>
    <t>CMKD31216S</t>
  </si>
  <si>
    <t>CM31217S</t>
  </si>
  <si>
    <t>CMKD31217S</t>
  </si>
  <si>
    <t>CM31218S</t>
  </si>
  <si>
    <t>CMKD31218S</t>
  </si>
  <si>
    <t>CM31219S</t>
  </si>
  <si>
    <t>CMKD31219S</t>
  </si>
  <si>
    <t>CM31220S</t>
  </si>
  <si>
    <t>CMKD31220S</t>
  </si>
  <si>
    <t>CM31221S</t>
  </si>
  <si>
    <t>CMKD31221S</t>
  </si>
  <si>
    <t>CM31222S</t>
  </si>
  <si>
    <t>CMKD31222S</t>
  </si>
  <si>
    <t>CM3123S</t>
  </si>
  <si>
    <t>Cumaru S4S E4E 3x12 Short</t>
  </si>
  <si>
    <t>CMKD3123S</t>
  </si>
  <si>
    <t>CM3124S</t>
  </si>
  <si>
    <t>CMKD3124S</t>
  </si>
  <si>
    <t>CM3125S</t>
  </si>
  <si>
    <t>CMKD3125S</t>
  </si>
  <si>
    <t>CM3126S</t>
  </si>
  <si>
    <t>CMKD3126S</t>
  </si>
  <si>
    <t>CM3127S</t>
  </si>
  <si>
    <t>CMKD3127S</t>
  </si>
  <si>
    <t>CM3128S</t>
  </si>
  <si>
    <t>CMKD3128S</t>
  </si>
  <si>
    <t>CM3129S</t>
  </si>
  <si>
    <t>CMKD3129S</t>
  </si>
  <si>
    <t>Cumaru 3x6</t>
  </si>
  <si>
    <t>CM3610S</t>
  </si>
  <si>
    <t>Cumaru S4S E4E 3x6</t>
  </si>
  <si>
    <t>3x6</t>
  </si>
  <si>
    <t>Cumaru S4S E4E 3x6 Long</t>
  </si>
  <si>
    <t>CM3611S</t>
  </si>
  <si>
    <t>CM3612S</t>
  </si>
  <si>
    <t>CM3613S</t>
  </si>
  <si>
    <t>CM3615S</t>
  </si>
  <si>
    <t>CM3617S</t>
  </si>
  <si>
    <t>CM3618S</t>
  </si>
  <si>
    <t>CM3619S</t>
  </si>
  <si>
    <t>CM3620S</t>
  </si>
  <si>
    <t>CM3621S</t>
  </si>
  <si>
    <t>CM3622S</t>
  </si>
  <si>
    <t>CM363S</t>
  </si>
  <si>
    <t>Cumaru S4S E4E 3x6 Short</t>
  </si>
  <si>
    <t>CM364S</t>
  </si>
  <si>
    <t>CM365S</t>
  </si>
  <si>
    <t>CM366S</t>
  </si>
  <si>
    <t>CM367S</t>
  </si>
  <si>
    <t>CM368S</t>
  </si>
  <si>
    <t>CM369S</t>
  </si>
  <si>
    <t>Cumaru 3x8</t>
  </si>
  <si>
    <t>Cumaru S4S E4E 3x8</t>
  </si>
  <si>
    <t>3x8</t>
  </si>
  <si>
    <t>Cumaru S4S E4E 3x8 Long</t>
  </si>
  <si>
    <t>CMKD3810S</t>
  </si>
  <si>
    <t>CM3811S</t>
  </si>
  <si>
    <t>CMKD3811S</t>
  </si>
  <si>
    <t>CMKD3812S</t>
  </si>
  <si>
    <t>CM3813S</t>
  </si>
  <si>
    <t>CMKD3813S</t>
  </si>
  <si>
    <t>CMKD3814S</t>
  </si>
  <si>
    <t>CM3815S</t>
  </si>
  <si>
    <t>CMKD3815S</t>
  </si>
  <si>
    <t>CMKD3816S</t>
  </si>
  <si>
    <t>CM3817S</t>
  </si>
  <si>
    <t>CMKD3817S</t>
  </si>
  <si>
    <t>CMKD3818S</t>
  </si>
  <si>
    <t>CM3819S</t>
  </si>
  <si>
    <t>CMKD3819S</t>
  </si>
  <si>
    <t>CMKD3820S</t>
  </si>
  <si>
    <t>CM3821S</t>
  </si>
  <si>
    <t>CMKD3821S</t>
  </si>
  <si>
    <t>CM3822S</t>
  </si>
  <si>
    <t>CMKD3822S</t>
  </si>
  <si>
    <t>CM383S</t>
  </si>
  <si>
    <t>Cumaru S4S E4E 3x8 Short</t>
  </si>
  <si>
    <t>CMKD383S</t>
  </si>
  <si>
    <t>CM384S</t>
  </si>
  <si>
    <t>CMKD384S</t>
  </si>
  <si>
    <t>CM385S</t>
  </si>
  <si>
    <t>CMKD385S</t>
  </si>
  <si>
    <t>CM386S</t>
  </si>
  <si>
    <t>CMKD386S</t>
  </si>
  <si>
    <t>CM387S</t>
  </si>
  <si>
    <t>CMKD387S</t>
  </si>
  <si>
    <t>CMKD388S</t>
  </si>
  <si>
    <t>CM389S</t>
  </si>
  <si>
    <t>CMKD389S</t>
  </si>
  <si>
    <t>Cumaru 3x9</t>
  </si>
  <si>
    <t>Cumaru S4S E4E 3x9</t>
  </si>
  <si>
    <t>3x9</t>
  </si>
  <si>
    <t>Cumaru S4S E4E 3x9 Long</t>
  </si>
  <si>
    <t>Cumaru 4x12</t>
  </si>
  <si>
    <t>CM41210S</t>
  </si>
  <si>
    <t>Cumaru S4S E4E 4x12</t>
  </si>
  <si>
    <t>4x12</t>
  </si>
  <si>
    <t>Cumaru S4S E4E 4x12 Long</t>
  </si>
  <si>
    <t>CMKD41210S</t>
  </si>
  <si>
    <t>CM41211S</t>
  </si>
  <si>
    <t>CMKD41211S</t>
  </si>
  <si>
    <t>CM41212S</t>
  </si>
  <si>
    <t>CMKD41212S</t>
  </si>
  <si>
    <t>CM41213S</t>
  </si>
  <si>
    <t>CMKD41213S</t>
  </si>
  <si>
    <t>CM41214S</t>
  </si>
  <si>
    <t>CM41215S</t>
  </si>
  <si>
    <t>CMKD41215S</t>
  </si>
  <si>
    <t>CM41216S</t>
  </si>
  <si>
    <t>CM41217S</t>
  </si>
  <si>
    <t>CMKD41217S</t>
  </si>
  <si>
    <t>CM41218S</t>
  </si>
  <si>
    <t>CMKD41218S</t>
  </si>
  <si>
    <t>CM41219S</t>
  </si>
  <si>
    <t>CMKD41219S</t>
  </si>
  <si>
    <t>CM41220S</t>
  </si>
  <si>
    <t>CMKD41220S</t>
  </si>
  <si>
    <t>CM41221S</t>
  </si>
  <si>
    <t>CMKD41221S</t>
  </si>
  <si>
    <t>CM41222S</t>
  </si>
  <si>
    <t>CMKD41222S</t>
  </si>
  <si>
    <t>CM4123S</t>
  </si>
  <si>
    <t>Cumaru S4S E4E 4x12 Short</t>
  </si>
  <si>
    <t>CMKD4123S</t>
  </si>
  <si>
    <t>CM4124S</t>
  </si>
  <si>
    <t>CMKD4124S</t>
  </si>
  <si>
    <t>CM4125S</t>
  </si>
  <si>
    <t>CMKD4125S</t>
  </si>
  <si>
    <t>CM4126S</t>
  </si>
  <si>
    <t>CMKD4126S</t>
  </si>
  <si>
    <t>CM4127S</t>
  </si>
  <si>
    <t>CMKD4127S</t>
  </si>
  <si>
    <t>CM4128S</t>
  </si>
  <si>
    <t>CMKD4128S</t>
  </si>
  <si>
    <t>CM4129S</t>
  </si>
  <si>
    <t>CMKD4129S</t>
  </si>
  <si>
    <t>Cumaru 4x4</t>
  </si>
  <si>
    <t>Cumaru S4S E4E 4x4</t>
  </si>
  <si>
    <t>4x4</t>
  </si>
  <si>
    <t>Cumaru S4S E4E 4x4 Long</t>
  </si>
  <si>
    <t>CM4411S</t>
  </si>
  <si>
    <t>CM4412S</t>
  </si>
  <si>
    <t>CM4413S</t>
  </si>
  <si>
    <t>CM4415S</t>
  </si>
  <si>
    <t>CM4416S</t>
  </si>
  <si>
    <t>CM4417S</t>
  </si>
  <si>
    <t>CM4418S</t>
  </si>
  <si>
    <t>CM4419S</t>
  </si>
  <si>
    <t>CM4421S</t>
  </si>
  <si>
    <t>CM4422S</t>
  </si>
  <si>
    <t>CM443S</t>
  </si>
  <si>
    <t>Cumaru S4S E4E 4x4 Short</t>
  </si>
  <si>
    <t>CM444S</t>
  </si>
  <si>
    <t>CM445S</t>
  </si>
  <si>
    <t>CM446S</t>
  </si>
  <si>
    <t>CM447S</t>
  </si>
  <si>
    <t>CM449S</t>
  </si>
  <si>
    <t>Cumaru 4x8</t>
  </si>
  <si>
    <t>CM4810S</t>
  </si>
  <si>
    <t>Cumaru S4S E4E 4x8</t>
  </si>
  <si>
    <t>4x8</t>
  </si>
  <si>
    <t>Cumaru S4S E4E 4x8 Long</t>
  </si>
  <si>
    <t>CM4811S</t>
  </si>
  <si>
    <t>CM4813S</t>
  </si>
  <si>
    <t>CM4815S</t>
  </si>
  <si>
    <t>CM4817S</t>
  </si>
  <si>
    <t>CM4818S</t>
  </si>
  <si>
    <t>CM4819S</t>
  </si>
  <si>
    <t>CM4820S</t>
  </si>
  <si>
    <t>CM4821S</t>
  </si>
  <si>
    <t>CM4822S</t>
  </si>
  <si>
    <t>CM4823S</t>
  </si>
  <si>
    <t>CM4824S</t>
  </si>
  <si>
    <t>CM483S</t>
  </si>
  <si>
    <t>Cumaru S4S E4E 4x8 Short</t>
  </si>
  <si>
    <t>CM484S</t>
  </si>
  <si>
    <t>CM485S</t>
  </si>
  <si>
    <t>CM486S</t>
  </si>
  <si>
    <t>CM487S</t>
  </si>
  <si>
    <t>CM488S</t>
  </si>
  <si>
    <t>CM489S</t>
  </si>
  <si>
    <t>Cumaru 5/4x10</t>
  </si>
  <si>
    <t>CMKD541010S</t>
  </si>
  <si>
    <t>Cumaru S4S E4E 5/4x10</t>
  </si>
  <si>
    <t>5/4x10</t>
  </si>
  <si>
    <t>Cumaru S4S E4E 5/4x10 Long</t>
  </si>
  <si>
    <t>CMKD541011S</t>
  </si>
  <si>
    <t>CMKD541012S</t>
  </si>
  <si>
    <t>CMKD541013S</t>
  </si>
  <si>
    <t>CMKD541015S</t>
  </si>
  <si>
    <t>CMKD541016S</t>
  </si>
  <si>
    <t>CMKD541017S</t>
  </si>
  <si>
    <t>CMKD541018S</t>
  </si>
  <si>
    <t>CMKD541019S</t>
  </si>
  <si>
    <t>CMKD541020S</t>
  </si>
  <si>
    <t>CMKD541021S</t>
  </si>
  <si>
    <t>CMKD541022S</t>
  </si>
  <si>
    <t>CMKD541023S</t>
  </si>
  <si>
    <t>CMKD541024S</t>
  </si>
  <si>
    <t>CMKD54103S</t>
  </si>
  <si>
    <t>Cumaru S4S E4E 5/4x10 Short</t>
  </si>
  <si>
    <t>CMKD54104S</t>
  </si>
  <si>
    <t>CMKD54105S</t>
  </si>
  <si>
    <t>CMKD54106S</t>
  </si>
  <si>
    <t>CMKD54107S</t>
  </si>
  <si>
    <t>CMKD54108S</t>
  </si>
  <si>
    <t>CMKD54109S</t>
  </si>
  <si>
    <t>Cumaru 5/4x12</t>
  </si>
  <si>
    <t>Cumaru S4S E4E 5/4x12</t>
  </si>
  <si>
    <t>5/4x12</t>
  </si>
  <si>
    <t>Cumaru S4S E4E 5/4x12 Long</t>
  </si>
  <si>
    <t>CMKD541211S</t>
  </si>
  <si>
    <t>CMKD541213S</t>
  </si>
  <si>
    <t>CMKD541215S</t>
  </si>
  <si>
    <t>CMKD541216S</t>
  </si>
  <si>
    <t>CMKD541217S</t>
  </si>
  <si>
    <t>CMKD541218S</t>
  </si>
  <si>
    <t>CMKD541219S</t>
  </si>
  <si>
    <t>CMKD541221S</t>
  </si>
  <si>
    <t>CMKD541222S</t>
  </si>
  <si>
    <t>CMKD541223S</t>
  </si>
  <si>
    <t>CMKD541224S</t>
  </si>
  <si>
    <t>CMKD54123S</t>
  </si>
  <si>
    <t>Cumaru S4S E4E 5/4x12 Short</t>
  </si>
  <si>
    <t>CMKD54124S</t>
  </si>
  <si>
    <t>CMKD54125S</t>
  </si>
  <si>
    <t>CMKD54126S</t>
  </si>
  <si>
    <t>CMKD54127S</t>
  </si>
  <si>
    <t>CMKD54129S</t>
  </si>
  <si>
    <t>Cumaru S4S E4E 5/4x6</t>
  </si>
  <si>
    <t>Cumaru S4S E4E 5/4x6 Long</t>
  </si>
  <si>
    <t>CMKD54611S</t>
  </si>
  <si>
    <t>CMKD54613S</t>
  </si>
  <si>
    <t>CMKD54615S</t>
  </si>
  <si>
    <t>CMKD54617S</t>
  </si>
  <si>
    <t>CMKD54619S</t>
  </si>
  <si>
    <t>CMKD54620S</t>
  </si>
  <si>
    <t>CMKD54621S</t>
  </si>
  <si>
    <t>CMKD54623S</t>
  </si>
  <si>
    <t>CMKD54624S</t>
  </si>
  <si>
    <t>CMKD5463S</t>
  </si>
  <si>
    <t>Cumaru S4S E4E 5/4x6 Short</t>
  </si>
  <si>
    <t>CMKD5464S</t>
  </si>
  <si>
    <t>CMKD5465S</t>
  </si>
  <si>
    <t>CMKD5466S</t>
  </si>
  <si>
    <t>CMKD5467S</t>
  </si>
  <si>
    <t>CMKD5469S</t>
  </si>
  <si>
    <t>Cumaru 5/4x8</t>
  </si>
  <si>
    <t>Cumaru S4S E4E 5/4x8</t>
  </si>
  <si>
    <t>5/4x8</t>
  </si>
  <si>
    <t>Cumaru S4S E4E 5/4x8 Long</t>
  </si>
  <si>
    <t>CMKD54811S</t>
  </si>
  <si>
    <t>CMKD54813S</t>
  </si>
  <si>
    <t>CMKD54814S</t>
  </si>
  <si>
    <t>CMKD54815S</t>
  </si>
  <si>
    <t>CMKD54817S</t>
  </si>
  <si>
    <t>CMKD54819S</t>
  </si>
  <si>
    <t>CMKD54821S</t>
  </si>
  <si>
    <t>CMKD54823S</t>
  </si>
  <si>
    <t>CMKD54824S</t>
  </si>
  <si>
    <t>CMKD5483S</t>
  </si>
  <si>
    <t>Cumaru S4S E4E 5/4x8 Short</t>
  </si>
  <si>
    <t>CMKD5484S</t>
  </si>
  <si>
    <t>CMKD5485S</t>
  </si>
  <si>
    <t>CMKD5486S</t>
  </si>
  <si>
    <t>CMKD5487S</t>
  </si>
  <si>
    <t>CMKD5489S</t>
  </si>
  <si>
    <t>Cumaru 50x140</t>
  </si>
  <si>
    <t>Cumaru S4S E4E 50x140</t>
  </si>
  <si>
    <t>50x140</t>
  </si>
  <si>
    <t>Cumaru S4S E4E 50x140 Long</t>
  </si>
  <si>
    <t>Cumaru 6x12</t>
  </si>
  <si>
    <t>CM61210S</t>
  </si>
  <si>
    <t>Cumaru S4S E4E 6x12</t>
  </si>
  <si>
    <t>6x12</t>
  </si>
  <si>
    <t>Cumaru S4S E4E 6x12 Long</t>
  </si>
  <si>
    <t>CM61211S</t>
  </si>
  <si>
    <t>CM61212S</t>
  </si>
  <si>
    <t>CM61213S</t>
  </si>
  <si>
    <t>CM61215S</t>
  </si>
  <si>
    <t>CM61217S</t>
  </si>
  <si>
    <t>CM61218S</t>
  </si>
  <si>
    <t>CM61219S</t>
  </si>
  <si>
    <t>CM61220S</t>
  </si>
  <si>
    <t>CM61221S</t>
  </si>
  <si>
    <t>CM61222S</t>
  </si>
  <si>
    <t>CM61223S</t>
  </si>
  <si>
    <t>CM61224S</t>
  </si>
  <si>
    <t>CM6123S</t>
  </si>
  <si>
    <t>Cumaru S4S E4E 6x12 Short</t>
  </si>
  <si>
    <t>CM6124S</t>
  </si>
  <si>
    <t>CM6125S</t>
  </si>
  <si>
    <t>CM6126S</t>
  </si>
  <si>
    <t>CM6127S</t>
  </si>
  <si>
    <t>CM6128S</t>
  </si>
  <si>
    <t>CM6129S</t>
  </si>
  <si>
    <t>Cumaru 6x6</t>
  </si>
  <si>
    <t>CM6610S</t>
  </si>
  <si>
    <t>Cumaru S4S E4E 6x6</t>
  </si>
  <si>
    <t>6x6</t>
  </si>
  <si>
    <t>Cumaru S4S E4E 6x6 Long</t>
  </si>
  <si>
    <t>CM6611S</t>
  </si>
  <si>
    <t>CM6613S</t>
  </si>
  <si>
    <t>CM6615S</t>
  </si>
  <si>
    <t>CM6617S</t>
  </si>
  <si>
    <t>CM6618S</t>
  </si>
  <si>
    <t>CM6619S</t>
  </si>
  <si>
    <t>CM6620S</t>
  </si>
  <si>
    <t>CM6621S</t>
  </si>
  <si>
    <t>CM6622S</t>
  </si>
  <si>
    <t>CM663S</t>
  </si>
  <si>
    <t>Cumaru S4S E4E 6x6 Short</t>
  </si>
  <si>
    <t>CM664S</t>
  </si>
  <si>
    <t>CM665S</t>
  </si>
  <si>
    <t>CM666S</t>
  </si>
  <si>
    <t>CM667S</t>
  </si>
  <si>
    <t>CM668S</t>
  </si>
  <si>
    <t>CM669S</t>
  </si>
  <si>
    <t>Cumaru 6x8</t>
  </si>
  <si>
    <t>CM6810S</t>
  </si>
  <si>
    <t>Cumaru S4S E4E 6x8</t>
  </si>
  <si>
    <t>6x8</t>
  </si>
  <si>
    <t>Cumaru S4S E4E 6x8 Long</t>
  </si>
  <si>
    <t>CM6811S</t>
  </si>
  <si>
    <t>CM6813S</t>
  </si>
  <si>
    <t>CM6815S</t>
  </si>
  <si>
    <t>CM6817S</t>
  </si>
  <si>
    <t>CM6818S</t>
  </si>
  <si>
    <t>CM6819S</t>
  </si>
  <si>
    <t>CM6820S</t>
  </si>
  <si>
    <t>CM6821S</t>
  </si>
  <si>
    <t>CM6822S</t>
  </si>
  <si>
    <t>CM6823S</t>
  </si>
  <si>
    <t>CM6824S</t>
  </si>
  <si>
    <t>CM683S</t>
  </si>
  <si>
    <t>Cumaru S4S E4E 6x8 Short</t>
  </si>
  <si>
    <t>CM684S</t>
  </si>
  <si>
    <t>CM685S</t>
  </si>
  <si>
    <t>CM686S</t>
  </si>
  <si>
    <t>CM687S</t>
  </si>
  <si>
    <t>CM688S</t>
  </si>
  <si>
    <t>CM689S</t>
  </si>
  <si>
    <t>Cumaru 8x8</t>
  </si>
  <si>
    <t>CM8810S</t>
  </si>
  <si>
    <t>Cumaru S4S E4E 8x8</t>
  </si>
  <si>
    <t>8x8</t>
  </si>
  <si>
    <t>Cumaru S4S E4E 8x8 Long</t>
  </si>
  <si>
    <t>CM8811S</t>
  </si>
  <si>
    <t>CM8812S</t>
  </si>
  <si>
    <t>CM8813S</t>
  </si>
  <si>
    <t>CM8814S</t>
  </si>
  <si>
    <t>CM8815S</t>
  </si>
  <si>
    <t>CM8817S</t>
  </si>
  <si>
    <t>CM8819S</t>
  </si>
  <si>
    <t>CM8821S</t>
  </si>
  <si>
    <t>CM8822S</t>
  </si>
  <si>
    <t>CM883S</t>
  </si>
  <si>
    <t>Cumaru S4S E4E 8x8 Short</t>
  </si>
  <si>
    <t>CM884S</t>
  </si>
  <si>
    <t>CM885S</t>
  </si>
  <si>
    <t>CM886S</t>
  </si>
  <si>
    <t>CM887S</t>
  </si>
  <si>
    <t>CM889S</t>
  </si>
  <si>
    <t>MN743029-004</t>
  </si>
  <si>
    <t>Cumaru T&amp;G V-Joint 2 sides 1x6</t>
  </si>
  <si>
    <t>T&amp;G V-Joint 2 sides</t>
  </si>
  <si>
    <t>Cumaru T&amp;G V-Joint 2 sides 1x6 Long</t>
  </si>
  <si>
    <t>MN743029-002</t>
  </si>
  <si>
    <t>MN743029-003</t>
  </si>
  <si>
    <t>MN743029-000</t>
  </si>
  <si>
    <t>Cumaru T&amp;G V-Joint 2 sides 1x6 Short</t>
  </si>
  <si>
    <t>MN743029-001</t>
  </si>
  <si>
    <t>Cumaru 24x24</t>
  </si>
  <si>
    <t>Tiles</t>
  </si>
  <si>
    <t>Cumaru Tiles 24x24</t>
  </si>
  <si>
    <t>24x24</t>
  </si>
  <si>
    <t>Cumaru Tiles 24x24 Tiles</t>
  </si>
  <si>
    <t>Cumaru 24x48</t>
  </si>
  <si>
    <t>Cumaru Tiles 24x48</t>
  </si>
  <si>
    <t>24x48</t>
  </si>
  <si>
    <t>Cumaru Tiles 24x48 Tiles</t>
  </si>
  <si>
    <t>Garapa</t>
  </si>
  <si>
    <t>Garapa 1x6 Plus</t>
  </si>
  <si>
    <t>GPKD54610MS</t>
  </si>
  <si>
    <t>Garapa S4S E4E 1x6 Plus</t>
  </si>
  <si>
    <t>Garapa S4S E4E 1x6 Plus Long</t>
  </si>
  <si>
    <t>GPKD54611MS</t>
  </si>
  <si>
    <t>GPKD54612MS</t>
  </si>
  <si>
    <t>GPKD54613MS</t>
  </si>
  <si>
    <t>GPKD54614MS</t>
  </si>
  <si>
    <t>GPKD54615MS</t>
  </si>
  <si>
    <t>GPKD54616MS</t>
  </si>
  <si>
    <t>GPKD54617MS</t>
  </si>
  <si>
    <t>GPKD54618MS</t>
  </si>
  <si>
    <t>GPKD54619MS</t>
  </si>
  <si>
    <t>GPKD54620MS</t>
  </si>
  <si>
    <t>GPKD54621MS</t>
  </si>
  <si>
    <t>GPKD54622MS</t>
  </si>
  <si>
    <t>GPKD5463MS</t>
  </si>
  <si>
    <t>Garapa S4S E4E 1x6 Plus Short</t>
  </si>
  <si>
    <t>GPKD5464MS</t>
  </si>
  <si>
    <t>GPKD5465MS</t>
  </si>
  <si>
    <t>GPKD5466MS</t>
  </si>
  <si>
    <t>GPKD5467MS</t>
  </si>
  <si>
    <t>GPKD5468MS</t>
  </si>
  <si>
    <t>GPKD5469MS</t>
  </si>
  <si>
    <t>Garapa 1x6</t>
  </si>
  <si>
    <t>Garapa S4S E4E 1x6</t>
  </si>
  <si>
    <t>Garapa S4S E4E 1x6 Long</t>
  </si>
  <si>
    <t>GPKD1616S</t>
  </si>
  <si>
    <t>GPKD1617S</t>
  </si>
  <si>
    <t>GPKD1620S</t>
  </si>
  <si>
    <t>GPKD163S</t>
  </si>
  <si>
    <t>Garapa S4S E4E 1x6 Short</t>
  </si>
  <si>
    <t>GPKD164S</t>
  </si>
  <si>
    <t>GPKD165S</t>
  </si>
  <si>
    <t>GPKD166S</t>
  </si>
  <si>
    <t>GPKD167S</t>
  </si>
  <si>
    <t>GPKD169S</t>
  </si>
  <si>
    <t>Garapa 5/4x6</t>
  </si>
  <si>
    <t>Garapa S4S E4E 5/4x6</t>
  </si>
  <si>
    <t>Garapa S4S E4E 5/4x6 Long</t>
  </si>
  <si>
    <t>GPKD54615S</t>
  </si>
  <si>
    <t>GPKD54617S</t>
  </si>
  <si>
    <t>GPKD54619S</t>
  </si>
  <si>
    <t>GPKD54621S</t>
  </si>
  <si>
    <t>GPKD54622S</t>
  </si>
  <si>
    <t>GPKD5463S</t>
  </si>
  <si>
    <t>Garapa S4S E4E 5/4x6 Short</t>
  </si>
  <si>
    <t>GPKD5464S</t>
  </si>
  <si>
    <t>GPKD5465S</t>
  </si>
  <si>
    <t>GPKDCBI1610S</t>
  </si>
  <si>
    <t>GPKDCBI1611S</t>
  </si>
  <si>
    <t>GPKDCBI1612S</t>
  </si>
  <si>
    <t>GPKDCBI1613S</t>
  </si>
  <si>
    <t>GPKDCBI1614S</t>
  </si>
  <si>
    <t>GPKDCBI1615S</t>
  </si>
  <si>
    <t>GPKDCBI1616S</t>
  </si>
  <si>
    <t>GPKDCBI1617S</t>
  </si>
  <si>
    <t>GPKDCBI1618S</t>
  </si>
  <si>
    <t>GPKDCBI1619S</t>
  </si>
  <si>
    <t>GPKDCBI1620S</t>
  </si>
  <si>
    <t>GPKDCBI163S</t>
  </si>
  <si>
    <t>GPKDCBI164S</t>
  </si>
  <si>
    <t>GPKDCBI165S</t>
  </si>
  <si>
    <t>GPKDCBI166S</t>
  </si>
  <si>
    <t>GPKDCBI167S</t>
  </si>
  <si>
    <t>GPKDCBI168S</t>
  </si>
  <si>
    <t>GPKDCBI169S</t>
  </si>
  <si>
    <t>Garapa 24x24</t>
  </si>
  <si>
    <t>Garapa Tiles 24x24</t>
  </si>
  <si>
    <t>Garapa Tiles 24x24 Tiles</t>
  </si>
  <si>
    <t>Wood Furniture</t>
  </si>
  <si>
    <t>Large Bracket</t>
  </si>
  <si>
    <t>SO743084-000</t>
  </si>
  <si>
    <t>Garapa Wood Furniture</t>
  </si>
  <si>
    <t>Garapa Wood Furniture Large Bracket</t>
  </si>
  <si>
    <t>Small Bracket</t>
  </si>
  <si>
    <t>SO743084-001</t>
  </si>
  <si>
    <t>Garapa Wood Furniture Small Bracket</t>
  </si>
  <si>
    <t>Medium Bracket</t>
  </si>
  <si>
    <t>SO743084-002</t>
  </si>
  <si>
    <t>Garapa Wood Furniture Medium Bracket</t>
  </si>
  <si>
    <t>Ipe</t>
  </si>
  <si>
    <t>Ipe 5/4x6</t>
  </si>
  <si>
    <t>Random Lenght</t>
  </si>
  <si>
    <t>IPEKD546RLG</t>
  </si>
  <si>
    <t>Ipe Grooved Random Lenght 5/4x6</t>
  </si>
  <si>
    <t>Ipe Grooved Random Lenght 5/4x6 Random Lenght</t>
  </si>
  <si>
    <t>Ipe 1x10</t>
  </si>
  <si>
    <t>IPEKD11010S</t>
  </si>
  <si>
    <t>Ipe S4S E4E 1x10</t>
  </si>
  <si>
    <t>1x10</t>
  </si>
  <si>
    <t>Ipe S4S E4E 1x10 Long</t>
  </si>
  <si>
    <t>IPEKD11011S</t>
  </si>
  <si>
    <t>IPEKD11012S</t>
  </si>
  <si>
    <t>IPEKD11013S</t>
  </si>
  <si>
    <t>IPEKD11014S</t>
  </si>
  <si>
    <t>IPEKD11015S</t>
  </si>
  <si>
    <t>IPEKD11016S</t>
  </si>
  <si>
    <t>IPEKD11017S</t>
  </si>
  <si>
    <t>IPEKD11018S</t>
  </si>
  <si>
    <t>IPEKD11019S</t>
  </si>
  <si>
    <t>IPEKD11020S</t>
  </si>
  <si>
    <t>IPEKD11021S</t>
  </si>
  <si>
    <t>IPEKD11022S</t>
  </si>
  <si>
    <t>IPEKD1103S</t>
  </si>
  <si>
    <t>Ipe S4S E4E 1x10 Short</t>
  </si>
  <si>
    <t>IPEKD1104S</t>
  </si>
  <si>
    <t>IPEKD1105S</t>
  </si>
  <si>
    <t>IPEKD1106S</t>
  </si>
  <si>
    <t>IPEKD1107S</t>
  </si>
  <si>
    <t>IPEKD1108S</t>
  </si>
  <si>
    <t>IPEKD1109S</t>
  </si>
  <si>
    <t>Ipe 1x12</t>
  </si>
  <si>
    <t>IPEKD11210S</t>
  </si>
  <si>
    <t>Ipe S4S E4E 1x12</t>
  </si>
  <si>
    <t>1x12</t>
  </si>
  <si>
    <t>Ipe S4S E4E 1x12 Long</t>
  </si>
  <si>
    <t>IPEKD11211S</t>
  </si>
  <si>
    <t>IPEKD11213S</t>
  </si>
  <si>
    <t>IPEKD11214S</t>
  </si>
  <si>
    <t>IPEKD11215S</t>
  </si>
  <si>
    <t>IPEKD11216S</t>
  </si>
  <si>
    <t>IPEKD11217S</t>
  </si>
  <si>
    <t>IPEKD11218S</t>
  </si>
  <si>
    <t>IPEKD11219S</t>
  </si>
  <si>
    <t>IPEKD11221S</t>
  </si>
  <si>
    <t>IPEKD11222S</t>
  </si>
  <si>
    <t>IPEKD1123S</t>
  </si>
  <si>
    <t>Ipe S4S E4E 1x12 Short</t>
  </si>
  <si>
    <t>IPEKD1124S</t>
  </si>
  <si>
    <t>IPEKD1125S</t>
  </si>
  <si>
    <t>IPEKD1126S</t>
  </si>
  <si>
    <t>IPEKD1127S</t>
  </si>
  <si>
    <t>IPEKD1128S</t>
  </si>
  <si>
    <t>IPEKD1129S</t>
  </si>
  <si>
    <t>Ipe 1x2</t>
  </si>
  <si>
    <t>IPEKD1210S</t>
  </si>
  <si>
    <t>Ipe S4S E4E 1x2</t>
  </si>
  <si>
    <t>1x2</t>
  </si>
  <si>
    <t>Ipe S4S E4E 1x2 Long</t>
  </si>
  <si>
    <t>IPEKD1211S</t>
  </si>
  <si>
    <t>IPEKD1212S</t>
  </si>
  <si>
    <t>IPEKD1213S</t>
  </si>
  <si>
    <t>IPEKD1214S</t>
  </si>
  <si>
    <t>IPEKD1215S</t>
  </si>
  <si>
    <t>IPEKD1216S</t>
  </si>
  <si>
    <t>IPEKD1217S</t>
  </si>
  <si>
    <t>IPEKD1218S</t>
  </si>
  <si>
    <t>IPEKD1219S</t>
  </si>
  <si>
    <t>IPEKD1220S</t>
  </si>
  <si>
    <t>IPEKD1221S</t>
  </si>
  <si>
    <t>IPEKD1222S</t>
  </si>
  <si>
    <t>IPEKD123S</t>
  </si>
  <si>
    <t>Ipe S4S E4E 1x2 Short</t>
  </si>
  <si>
    <t>IPEKD124S</t>
  </si>
  <si>
    <t>IPEKD125S</t>
  </si>
  <si>
    <t>IPEKD126S</t>
  </si>
  <si>
    <t>IPEKD127S</t>
  </si>
  <si>
    <t>IPEKD128S</t>
  </si>
  <si>
    <t>IPEKD129S</t>
  </si>
  <si>
    <t>Ipe 1x3</t>
  </si>
  <si>
    <t>Ipe S4S E4E 1x3</t>
  </si>
  <si>
    <t>Ipe S4S E4E 1x3 Long</t>
  </si>
  <si>
    <t>IPEKD133S</t>
  </si>
  <si>
    <t>Ipe S4S E4E 1x3 Short</t>
  </si>
  <si>
    <t>IPEKD134S</t>
  </si>
  <si>
    <t>IPEKD135S</t>
  </si>
  <si>
    <t>Ipe 1x4</t>
  </si>
  <si>
    <t>Ipe S4S E4E 1x4</t>
  </si>
  <si>
    <t>Ipe S4S E4E 1x4 Long</t>
  </si>
  <si>
    <t>IPEKD1411S</t>
  </si>
  <si>
    <t>IPEKD1413S</t>
  </si>
  <si>
    <t>IPEKD1414S</t>
  </si>
  <si>
    <t>IPEKD1415S</t>
  </si>
  <si>
    <t>IPEKD1416S</t>
  </si>
  <si>
    <t>IPEKD1417S</t>
  </si>
  <si>
    <t>IPEKD1419S</t>
  </si>
  <si>
    <t>IPEKD1421S</t>
  </si>
  <si>
    <t>IPEKD1422S</t>
  </si>
  <si>
    <t>IPEKD143S</t>
  </si>
  <si>
    <t>Ipe S4S E4E 1x4 Short</t>
  </si>
  <si>
    <t>IPEKD144S</t>
  </si>
  <si>
    <t>IPEKD145S</t>
  </si>
  <si>
    <t>IPEKD146S</t>
  </si>
  <si>
    <t>IPEKD147S</t>
  </si>
  <si>
    <t>IPEKD149S</t>
  </si>
  <si>
    <t>Ipe 1x6 Plus</t>
  </si>
  <si>
    <t>IPEP1610S</t>
  </si>
  <si>
    <t>Ipe S4S E4E 1x6 Plus</t>
  </si>
  <si>
    <t>Ipe S4S E4E 1x6 Plus Long</t>
  </si>
  <si>
    <t>IPEP1611S</t>
  </si>
  <si>
    <t>IPEP1612S</t>
  </si>
  <si>
    <t>IPEP1613S</t>
  </si>
  <si>
    <t>IPEP1614S</t>
  </si>
  <si>
    <t>IPEP1615S</t>
  </si>
  <si>
    <t>IPEP1616S</t>
  </si>
  <si>
    <t>IPEP1617S</t>
  </si>
  <si>
    <t>IPEP1618S</t>
  </si>
  <si>
    <t>IPEP1619S</t>
  </si>
  <si>
    <t>IPEP1620S</t>
  </si>
  <si>
    <t>IPEP1621S</t>
  </si>
  <si>
    <t>IPEP1622S</t>
  </si>
  <si>
    <t>IPEP1623S</t>
  </si>
  <si>
    <t>IPEP1624S</t>
  </si>
  <si>
    <t>IPEP163S</t>
  </si>
  <si>
    <t>Ipe S4S E4E 1x6 Plus Short</t>
  </si>
  <si>
    <t>IPEP164S</t>
  </si>
  <si>
    <t>IPEP165S</t>
  </si>
  <si>
    <t>IPEP166S</t>
  </si>
  <si>
    <t>IPEP167S</t>
  </si>
  <si>
    <t>IPEP168S</t>
  </si>
  <si>
    <t>IPEP169S</t>
  </si>
  <si>
    <t>Ipe 1x6</t>
  </si>
  <si>
    <t>Ipe S4S E4E 1x6</t>
  </si>
  <si>
    <t>Ipe S4S E4E 1x6 Long</t>
  </si>
  <si>
    <t>IPEKD1611S</t>
  </si>
  <si>
    <t>IPEKD1613S</t>
  </si>
  <si>
    <t>IPEKD1615S</t>
  </si>
  <si>
    <t>IPEKD1617S</t>
  </si>
  <si>
    <t>IPEKD1619S</t>
  </si>
  <si>
    <t>IPEKD1621S</t>
  </si>
  <si>
    <t>IPEKD163S</t>
  </si>
  <si>
    <t>Ipe S4S E4E 1x6 Short</t>
  </si>
  <si>
    <t>IPEKD167S</t>
  </si>
  <si>
    <t>IPEKD169S</t>
  </si>
  <si>
    <t>Ipe 1x8</t>
  </si>
  <si>
    <t>Ipe S4S E4E 1x8</t>
  </si>
  <si>
    <t>Ipe S4S E4E 1x8 Long</t>
  </si>
  <si>
    <t>IPEKD1811S</t>
  </si>
  <si>
    <t>IPEKD1813S</t>
  </si>
  <si>
    <t>IPEKD1815S</t>
  </si>
  <si>
    <t>IPEKD1817S</t>
  </si>
  <si>
    <t>IPEKD1819S</t>
  </si>
  <si>
    <t>IPEKD1821S</t>
  </si>
  <si>
    <t>IPEKD1822S</t>
  </si>
  <si>
    <t>IPEKD183S</t>
  </si>
  <si>
    <t>Ipe S4S E4E 1x8 Short</t>
  </si>
  <si>
    <t>IPEKD184S</t>
  </si>
  <si>
    <t>IPEKD185S</t>
  </si>
  <si>
    <t>IPEKD186S</t>
  </si>
  <si>
    <t>IPEKD187S</t>
  </si>
  <si>
    <t>IPEKD189S</t>
  </si>
  <si>
    <t>Ipe 2x10</t>
  </si>
  <si>
    <t>IPE21010S</t>
  </si>
  <si>
    <t>Ipe S4S E4E 2x10</t>
  </si>
  <si>
    <t>Ipe S4S E4E 2x10 Long</t>
  </si>
  <si>
    <t>IPE21011S</t>
  </si>
  <si>
    <t>IPE21013S</t>
  </si>
  <si>
    <t>IPE21015S</t>
  </si>
  <si>
    <t>IPE21016S</t>
  </si>
  <si>
    <t>IPE21017S</t>
  </si>
  <si>
    <t>IPE21018S</t>
  </si>
  <si>
    <t>IPE21019S</t>
  </si>
  <si>
    <t>IPE21021S</t>
  </si>
  <si>
    <t>IPE21022S</t>
  </si>
  <si>
    <t>IPE2103S</t>
  </si>
  <si>
    <t>Ipe S4S E4E 2x10 Short</t>
  </si>
  <si>
    <t>IPE2104S</t>
  </si>
  <si>
    <t>IPE2105S</t>
  </si>
  <si>
    <t>IPE2106S</t>
  </si>
  <si>
    <t>IPE2107S</t>
  </si>
  <si>
    <t>IPE2108S</t>
  </si>
  <si>
    <t>IPE2109S</t>
  </si>
  <si>
    <t>Ipe 2x12</t>
  </si>
  <si>
    <t>Ipe S4S E4E 2x12</t>
  </si>
  <si>
    <t>Ipe S4S E4E 2x12 Long</t>
  </si>
  <si>
    <t>IPE21211S</t>
  </si>
  <si>
    <t>IPE21213S</t>
  </si>
  <si>
    <t>IPE21215S</t>
  </si>
  <si>
    <t>IPE21217S</t>
  </si>
  <si>
    <t>IPE21219S</t>
  </si>
  <si>
    <t>IPE21221S</t>
  </si>
  <si>
    <t>IPE2123S</t>
  </si>
  <si>
    <t>Ipe S4S E4E 2x12 Short</t>
  </si>
  <si>
    <t>IPE2124S</t>
  </si>
  <si>
    <t>IPE2125S</t>
  </si>
  <si>
    <t>IPE2126S</t>
  </si>
  <si>
    <t>IPE2127S</t>
  </si>
  <si>
    <t>IPE2129S</t>
  </si>
  <si>
    <t>Ipe 2x2</t>
  </si>
  <si>
    <t>Ipe S4S E4E 2x2</t>
  </si>
  <si>
    <t>Ipe S4S E4E 2x2 Long</t>
  </si>
  <si>
    <t>IPE2211S</t>
  </si>
  <si>
    <t>IPE2213S</t>
  </si>
  <si>
    <t>IPE2215S</t>
  </si>
  <si>
    <t>IPE2217S</t>
  </si>
  <si>
    <t>IPE2219S</t>
  </si>
  <si>
    <t>IPE2221S</t>
  </si>
  <si>
    <t>Ipe S4S E4E 2x2 Short</t>
  </si>
  <si>
    <t>IPE229S</t>
  </si>
  <si>
    <t>Ipe 2x4</t>
  </si>
  <si>
    <t>Ipe S4S E4E 2x4</t>
  </si>
  <si>
    <t>Ipe S4S E4E 2x4 Long</t>
  </si>
  <si>
    <t>IPEKD2410S</t>
  </si>
  <si>
    <t>IPE2411S</t>
  </si>
  <si>
    <t>IPEKD2411S</t>
  </si>
  <si>
    <t>IPEKD2412S</t>
  </si>
  <si>
    <t>IPE2413S</t>
  </si>
  <si>
    <t>IPEKD2413S</t>
  </si>
  <si>
    <t>IPEKD2414S</t>
  </si>
  <si>
    <t>IPE2415S</t>
  </si>
  <si>
    <t>IPEKD2415S</t>
  </si>
  <si>
    <t>IPEKD2416S</t>
  </si>
  <si>
    <t>IPE2417S</t>
  </si>
  <si>
    <t>IPEKD2417S</t>
  </si>
  <si>
    <t>IPEKD2418S</t>
  </si>
  <si>
    <t>IPE2419S</t>
  </si>
  <si>
    <t>IPEKD2419S</t>
  </si>
  <si>
    <t>IPEKD2420S</t>
  </si>
  <si>
    <t>IPE2421S</t>
  </si>
  <si>
    <t>IPEKD2421S</t>
  </si>
  <si>
    <t>IPEKD2422S</t>
  </si>
  <si>
    <t>Ipe S4S E4E 2x4 Short</t>
  </si>
  <si>
    <t>IPEKD243S</t>
  </si>
  <si>
    <t>IPEKD244S</t>
  </si>
  <si>
    <t>IPEKD245S</t>
  </si>
  <si>
    <t>IPEKD246S</t>
  </si>
  <si>
    <t>IPEKD247S</t>
  </si>
  <si>
    <t>IPEKD248S</t>
  </si>
  <si>
    <t>IPE249S</t>
  </si>
  <si>
    <t>IPEKD249S</t>
  </si>
  <si>
    <t>Ipe 2x6</t>
  </si>
  <si>
    <t>Ipe S4S E4E 2x6</t>
  </si>
  <si>
    <t>Ipe S4S E4E 2x6 Long</t>
  </si>
  <si>
    <t>IPEKD2610S</t>
  </si>
  <si>
    <t>IPE2611S</t>
  </si>
  <si>
    <t>IPEKD2611S</t>
  </si>
  <si>
    <t>IPEKD2612S</t>
  </si>
  <si>
    <t>IPE2613S</t>
  </si>
  <si>
    <t>IPEKD2613S</t>
  </si>
  <si>
    <t>IPEKD2614S</t>
  </si>
  <si>
    <t>IPE2615S</t>
  </si>
  <si>
    <t>IPEKD2615S</t>
  </si>
  <si>
    <t>IPEKD2616S</t>
  </si>
  <si>
    <t>IPE2617S</t>
  </si>
  <si>
    <t>IPEKD2617S</t>
  </si>
  <si>
    <t>IPEKD2618S</t>
  </si>
  <si>
    <t>IPE2619S</t>
  </si>
  <si>
    <t>IPEKD2619S</t>
  </si>
  <si>
    <t>IPEKD2620S</t>
  </si>
  <si>
    <t>IPE2621S</t>
  </si>
  <si>
    <t>IPEKD2621S</t>
  </si>
  <si>
    <t>IPEKD2622S</t>
  </si>
  <si>
    <t>IPE263S</t>
  </si>
  <si>
    <t>Ipe S4S E4E 2x6 Short</t>
  </si>
  <si>
    <t>IPEKD263S</t>
  </si>
  <si>
    <t>IPE264S</t>
  </si>
  <si>
    <t>IPEKD264S</t>
  </si>
  <si>
    <t>IPEKD265S</t>
  </si>
  <si>
    <t>IPEKD266S</t>
  </si>
  <si>
    <t>IPEKD267S</t>
  </si>
  <si>
    <t>IPEKD268S</t>
  </si>
  <si>
    <t>IPE269S</t>
  </si>
  <si>
    <t>IPEKD269S</t>
  </si>
  <si>
    <t>Ipe 2x8</t>
  </si>
  <si>
    <t>Ipe S4S E4E 2x8</t>
  </si>
  <si>
    <t>Ipe S4S E4E 2x8 Long</t>
  </si>
  <si>
    <t>IPE2811S</t>
  </si>
  <si>
    <t>IPE2813S</t>
  </si>
  <si>
    <t>IPE2815S</t>
  </si>
  <si>
    <t>IPE2817S</t>
  </si>
  <si>
    <t>IPE2819S</t>
  </si>
  <si>
    <t>IPE2821S</t>
  </si>
  <si>
    <t>IPE283S</t>
  </si>
  <si>
    <t>Ipe S4S E4E 2x8 Short</t>
  </si>
  <si>
    <t>IPE284S</t>
  </si>
  <si>
    <t>IPE287S</t>
  </si>
  <si>
    <t>IPE289S</t>
  </si>
  <si>
    <t>Ipe 3x10</t>
  </si>
  <si>
    <t>Ipe S4S E4E 3x10</t>
  </si>
  <si>
    <t>Ipe S4S E4E 3x10 Long</t>
  </si>
  <si>
    <t>IPE31011S</t>
  </si>
  <si>
    <t>IPE31013S</t>
  </si>
  <si>
    <t>IPE31015S</t>
  </si>
  <si>
    <t>IPE31016S</t>
  </si>
  <si>
    <t>IPE31017S</t>
  </si>
  <si>
    <t>IPE31019S</t>
  </si>
  <si>
    <t>IPE31021S</t>
  </si>
  <si>
    <t>IPE31022S</t>
  </si>
  <si>
    <t>IPE3103S</t>
  </si>
  <si>
    <t>Ipe S4S E4E 3x10 Short</t>
  </si>
  <si>
    <t>IPE3104S</t>
  </si>
  <si>
    <t>IPE3105S</t>
  </si>
  <si>
    <t>IPE3106S</t>
  </si>
  <si>
    <t>IPE3107S</t>
  </si>
  <si>
    <t>IPE3109S</t>
  </si>
  <si>
    <t>Ipe 3x12</t>
  </si>
  <si>
    <t>Ipe S4S E4E 3x12</t>
  </si>
  <si>
    <t>Ipe S4S E4E 3x12 Long</t>
  </si>
  <si>
    <t>IPE31211S</t>
  </si>
  <si>
    <t>IPE31213S</t>
  </si>
  <si>
    <t>IPE31215S</t>
  </si>
  <si>
    <t>IPE31217S</t>
  </si>
  <si>
    <t>IPE31219S</t>
  </si>
  <si>
    <t>IPE31221S</t>
  </si>
  <si>
    <t>IPE31222S</t>
  </si>
  <si>
    <t>IPE3123S</t>
  </si>
  <si>
    <t>Ipe S4S E4E 3x12 Short</t>
  </si>
  <si>
    <t>IPE3124S</t>
  </si>
  <si>
    <t>IPE3125S</t>
  </si>
  <si>
    <t>IPE3126S</t>
  </si>
  <si>
    <t>IPE3127S</t>
  </si>
  <si>
    <t>IPE3129S</t>
  </si>
  <si>
    <t>Ipe 3x3</t>
  </si>
  <si>
    <t>Ipe S4S E4E 3x3</t>
  </si>
  <si>
    <t>3x3</t>
  </si>
  <si>
    <t>Ipe S4S E4E 3x3 Long</t>
  </si>
  <si>
    <t>Ipe 3x6</t>
  </si>
  <si>
    <t>Ipe S4S E4E 3x6</t>
  </si>
  <si>
    <t>Ipe S4S E4E 3x6 Long</t>
  </si>
  <si>
    <t>IPE3611S</t>
  </si>
  <si>
    <t>IPE3613S</t>
  </si>
  <si>
    <t>IPE3615S</t>
  </si>
  <si>
    <t>IPE3617S</t>
  </si>
  <si>
    <t>IPE3619S</t>
  </si>
  <si>
    <t>IPE3621S</t>
  </si>
  <si>
    <t>IPE3622S</t>
  </si>
  <si>
    <t>IPE363S</t>
  </si>
  <si>
    <t>Ipe S4S E4E 3x6 Short</t>
  </si>
  <si>
    <t>IPE364S</t>
  </si>
  <si>
    <t>IPE365S</t>
  </si>
  <si>
    <t>IPE366S</t>
  </si>
  <si>
    <t>IPE367S</t>
  </si>
  <si>
    <t>IPE369S</t>
  </si>
  <si>
    <t>Ipe 3x8</t>
  </si>
  <si>
    <t>Ipe S4S E4E 3x8</t>
  </si>
  <si>
    <t>Ipe S4S E4E 3x8 Long</t>
  </si>
  <si>
    <t>IPE3811S</t>
  </si>
  <si>
    <t>IPE3813S</t>
  </si>
  <si>
    <t>IPE3815S</t>
  </si>
  <si>
    <t>IPE3817S</t>
  </si>
  <si>
    <t>IPE3819S</t>
  </si>
  <si>
    <t>IPE3821S</t>
  </si>
  <si>
    <t>IPE383S</t>
  </si>
  <si>
    <t>Ipe S4S E4E 3x8 Short</t>
  </si>
  <si>
    <t>IPE384S</t>
  </si>
  <si>
    <t>IPE385S</t>
  </si>
  <si>
    <t>IPE386S</t>
  </si>
  <si>
    <t>IPE387S</t>
  </si>
  <si>
    <t>IPE389S</t>
  </si>
  <si>
    <t>Ipe 4x10</t>
  </si>
  <si>
    <t>Ipe S4S E4E 4x10</t>
  </si>
  <si>
    <t>4x10</t>
  </si>
  <si>
    <t>Ipe S4S E4E 4x10 Long</t>
  </si>
  <si>
    <t>IPE41011S</t>
  </si>
  <si>
    <t>IPE41012S</t>
  </si>
  <si>
    <t>IPE41013S</t>
  </si>
  <si>
    <t>IPE41014S</t>
  </si>
  <si>
    <t>IPE41015S</t>
  </si>
  <si>
    <t>IPE41016S</t>
  </si>
  <si>
    <t>IPE41017S</t>
  </si>
  <si>
    <t>IPE41019S</t>
  </si>
  <si>
    <t>IPE41020S</t>
  </si>
  <si>
    <t>IPE41021S</t>
  </si>
  <si>
    <t>IPE41022S</t>
  </si>
  <si>
    <t>IPE4103S</t>
  </si>
  <si>
    <t>Ipe S4S E4E 4x10 Short</t>
  </si>
  <si>
    <t>IPE4104S</t>
  </si>
  <si>
    <t>IPE4105S</t>
  </si>
  <si>
    <t>IPE4106S</t>
  </si>
  <si>
    <t>IPE4109S</t>
  </si>
  <si>
    <t>Ipe 4x12</t>
  </si>
  <si>
    <t>Ipe S4S E4E 4x12</t>
  </si>
  <si>
    <t>Ipe S4S E4E 4x12 Long</t>
  </si>
  <si>
    <t>IPE41211S</t>
  </si>
  <si>
    <t>IPE41213S</t>
  </si>
  <si>
    <t>IPE41215S</t>
  </si>
  <si>
    <t>IPE41217S</t>
  </si>
  <si>
    <t>IPE41219S</t>
  </si>
  <si>
    <t>IPE41221S</t>
  </si>
  <si>
    <t>IPE4123S</t>
  </si>
  <si>
    <t>Ipe S4S E4E 4x12 Short</t>
  </si>
  <si>
    <t>IPE4124S</t>
  </si>
  <si>
    <t>IPE4125S</t>
  </si>
  <si>
    <t>IPE4126S</t>
  </si>
  <si>
    <t>IPE4127S</t>
  </si>
  <si>
    <t>IPE4129S</t>
  </si>
  <si>
    <t>Ipe 4x4</t>
  </si>
  <si>
    <t>Ipe S4S E4E 4x4</t>
  </si>
  <si>
    <t>Ipe S4S E4E 4x4 Long</t>
  </si>
  <si>
    <t>IPE4411S</t>
  </si>
  <si>
    <t>IPE4413S</t>
  </si>
  <si>
    <t>IPE4415S</t>
  </si>
  <si>
    <t>IPE4417S</t>
  </si>
  <si>
    <t>IPE4419S</t>
  </si>
  <si>
    <t>IPE4421S</t>
  </si>
  <si>
    <t>IPE4422S</t>
  </si>
  <si>
    <t>IPE443S</t>
  </si>
  <si>
    <t>Ipe S4S E4E 4x4 Short</t>
  </si>
  <si>
    <t>IPE444S</t>
  </si>
  <si>
    <t>IPE445S</t>
  </si>
  <si>
    <t>IPE446S</t>
  </si>
  <si>
    <t>IPE447S</t>
  </si>
  <si>
    <t>IPE448S</t>
  </si>
  <si>
    <t>IPE449S</t>
  </si>
  <si>
    <t>Ipe 4x6</t>
  </si>
  <si>
    <t>Ipe S4S E4E 4x6</t>
  </si>
  <si>
    <t>4x6</t>
  </si>
  <si>
    <t>Ipe S4S E4E 4x6 Long</t>
  </si>
  <si>
    <t>IPE4611S</t>
  </si>
  <si>
    <t>IPE4613S</t>
  </si>
  <si>
    <t>IPE4615S</t>
  </si>
  <si>
    <t>IPE4616S</t>
  </si>
  <si>
    <t>IPE4617S</t>
  </si>
  <si>
    <t>IPE4619S</t>
  </si>
  <si>
    <t>IPE4621S</t>
  </si>
  <si>
    <t>IPE463S</t>
  </si>
  <si>
    <t>Ipe S4S E4E 4x6 Short</t>
  </si>
  <si>
    <t>IPE468S</t>
  </si>
  <si>
    <t>IPE469S</t>
  </si>
  <si>
    <t>Ipe 4x8</t>
  </si>
  <si>
    <t>Ipe S4S E4E 4x8</t>
  </si>
  <si>
    <t>Ipe S4S E4E 4x8 Long</t>
  </si>
  <si>
    <t>IPE4811S</t>
  </si>
  <si>
    <t>IPE4813S</t>
  </si>
  <si>
    <t>IPE4815S</t>
  </si>
  <si>
    <t>IPE4817S</t>
  </si>
  <si>
    <t>IPE4819S</t>
  </si>
  <si>
    <t>IPE4821S</t>
  </si>
  <si>
    <t>IPE483S</t>
  </si>
  <si>
    <t>Ipe S4S E4E 4x8 Short</t>
  </si>
  <si>
    <t>IPE484S</t>
  </si>
  <si>
    <t>IPE485S</t>
  </si>
  <si>
    <t>IPE486S</t>
  </si>
  <si>
    <t>IPE487S</t>
  </si>
  <si>
    <t>IPE488S</t>
  </si>
  <si>
    <t>IPE489S</t>
  </si>
  <si>
    <t>Ipe 5/4x10</t>
  </si>
  <si>
    <t>Ipe S4S E4E 5/4x10</t>
  </si>
  <si>
    <t>Ipe S4S E4E 5/4x10 Long</t>
  </si>
  <si>
    <t>IPEKD541011S</t>
  </si>
  <si>
    <t>IPEKD541012S</t>
  </si>
  <si>
    <t>IPEKD541013S</t>
  </si>
  <si>
    <t>IPEKD541014S</t>
  </si>
  <si>
    <t>IPEKD541015S</t>
  </si>
  <si>
    <t>IPEKD541016S</t>
  </si>
  <si>
    <t>IPEKD541017S</t>
  </si>
  <si>
    <t>IPEKD541018S</t>
  </si>
  <si>
    <t>IPEKD541019S</t>
  </si>
  <si>
    <t>IPEKD541020S</t>
  </si>
  <si>
    <t>IPEKD541021S</t>
  </si>
  <si>
    <t>IPEKD541022S</t>
  </si>
  <si>
    <t>IPEKD541023S</t>
  </si>
  <si>
    <t>IPEKD541024S</t>
  </si>
  <si>
    <t>IPEKD54103S</t>
  </si>
  <si>
    <t>Ipe S4S E4E 5/4x10 Short</t>
  </si>
  <si>
    <t>IPEKD54104S</t>
  </si>
  <si>
    <t>IPEKD54105S</t>
  </si>
  <si>
    <t>IPEKD54106S</t>
  </si>
  <si>
    <t>IPEKD54107S</t>
  </si>
  <si>
    <t>IPEKD54108S</t>
  </si>
  <si>
    <t>IPEKD54109S</t>
  </si>
  <si>
    <t>Ipe 5/4x12</t>
  </si>
  <si>
    <t>IPE541210S</t>
  </si>
  <si>
    <t>Ipe S4S E4E 5/4x12</t>
  </si>
  <si>
    <t>Ipe S4S E4E 5/4x12 Long</t>
  </si>
  <si>
    <t>IPEKD541210S</t>
  </si>
  <si>
    <t>IPE541211S</t>
  </si>
  <si>
    <t>IPEKD541211S</t>
  </si>
  <si>
    <t>IPE541212S</t>
  </si>
  <si>
    <t>IPEKD541212S</t>
  </si>
  <si>
    <t>IPE541213S</t>
  </si>
  <si>
    <t>IPEKD541213S</t>
  </si>
  <si>
    <t>IPE541214S</t>
  </si>
  <si>
    <t>IPE541215S</t>
  </si>
  <si>
    <t>IPEKD541215S</t>
  </si>
  <si>
    <t>IPE541216S</t>
  </si>
  <si>
    <t>IPE541217S</t>
  </si>
  <si>
    <t>IPEKD541217S</t>
  </si>
  <si>
    <t>IPE541218S</t>
  </si>
  <si>
    <t>IPE541219S</t>
  </si>
  <si>
    <t>IPEKD541219S</t>
  </si>
  <si>
    <t>IPE541220S</t>
  </si>
  <si>
    <t>IPEKD541220S</t>
  </si>
  <si>
    <t>IPE541221S</t>
  </si>
  <si>
    <t>IPEKD541221S</t>
  </si>
  <si>
    <t>IPE541222S</t>
  </si>
  <si>
    <t>IPEKD541222S</t>
  </si>
  <si>
    <t>IPE54123S</t>
  </si>
  <si>
    <t>Ipe S4S E4E 5/4x12 Short</t>
  </si>
  <si>
    <t>IPEKD54123S</t>
  </si>
  <si>
    <t>IPE54124S</t>
  </si>
  <si>
    <t>IPEKD54124S</t>
  </si>
  <si>
    <t>IPE54125S</t>
  </si>
  <si>
    <t>IPEKD54125S</t>
  </si>
  <si>
    <t>IPE54126S</t>
  </si>
  <si>
    <t>IPEKD54126S</t>
  </si>
  <si>
    <t>IPE54127S</t>
  </si>
  <si>
    <t>IPEKD54127S</t>
  </si>
  <si>
    <t>IPE54128S</t>
  </si>
  <si>
    <t>IPEKD54128S</t>
  </si>
  <si>
    <t>IPE54129S</t>
  </si>
  <si>
    <t>IPEKD54129S</t>
  </si>
  <si>
    <t>Ipe 5/4x3</t>
  </si>
  <si>
    <t>Ipe S4S E4E 5/4x3</t>
  </si>
  <si>
    <t>5/4x3</t>
  </si>
  <si>
    <t>Ipe S4S E4E 5/4x3 Long</t>
  </si>
  <si>
    <t>IPEKD54311S</t>
  </si>
  <si>
    <t>IPEKD54312S</t>
  </si>
  <si>
    <t>IPEKD54313S</t>
  </si>
  <si>
    <t>IPEKD54314S</t>
  </si>
  <si>
    <t>IPEKD54315S</t>
  </si>
  <si>
    <t>IPEKD54316S</t>
  </si>
  <si>
    <t>IPEKD54317S</t>
  </si>
  <si>
    <t>IPEKD54318S</t>
  </si>
  <si>
    <t>IPEKD54319S</t>
  </si>
  <si>
    <t>IPEKD54320S</t>
  </si>
  <si>
    <t>IPEKD5433S</t>
  </si>
  <si>
    <t>Ipe S4S E4E 5/4x3 Short</t>
  </si>
  <si>
    <t>IPEKD5434S</t>
  </si>
  <si>
    <t>IPEKD5435S</t>
  </si>
  <si>
    <t>IPEKD5436S</t>
  </si>
  <si>
    <t>IPEKD5437S</t>
  </si>
  <si>
    <t>IPEKD5438S</t>
  </si>
  <si>
    <t>IPEKD5439S</t>
  </si>
  <si>
    <t>Ipe 5/4x4</t>
  </si>
  <si>
    <t>Ipe S4S E4E 5/4x4</t>
  </si>
  <si>
    <t>5/4x4</t>
  </si>
  <si>
    <t>Ipe S4S E4E 5/4x4 Long</t>
  </si>
  <si>
    <t>Ipe Grooved 5/4x4</t>
  </si>
  <si>
    <t>Ipe Grooved 5/4x4 Long</t>
  </si>
  <si>
    <t>IPEKD54411S</t>
  </si>
  <si>
    <t>IPEKD54411G</t>
  </si>
  <si>
    <t>IPEKD54413S</t>
  </si>
  <si>
    <t>IPEKD54413G</t>
  </si>
  <si>
    <t>IPEKD54414G</t>
  </si>
  <si>
    <t>IPEKD54415S</t>
  </si>
  <si>
    <t>IPEKD54415G</t>
  </si>
  <si>
    <t>IPEKD54416G</t>
  </si>
  <si>
    <t>IPEKD54417S</t>
  </si>
  <si>
    <t>IPEKD54417G</t>
  </si>
  <si>
    <t>IPEKD54418G</t>
  </si>
  <si>
    <t>IPEKD54419S</t>
  </si>
  <si>
    <t>IPEKD54419G</t>
  </si>
  <si>
    <t>IPEKD54420S</t>
  </si>
  <si>
    <t>IPEKD54420G</t>
  </si>
  <si>
    <t>IPEKD54421S</t>
  </si>
  <si>
    <t>IPEKD54421G</t>
  </si>
  <si>
    <t>IPEKD54422S</t>
  </si>
  <si>
    <t>IPEKD54422G</t>
  </si>
  <si>
    <t>IPEKD5443S</t>
  </si>
  <si>
    <t>Ipe S4S E4E 5/4x4 Short</t>
  </si>
  <si>
    <t>IPEKD5443G</t>
  </si>
  <si>
    <t>Ipe Grooved 5/4x4 Short</t>
  </si>
  <si>
    <t>IPEKD5444S</t>
  </si>
  <si>
    <t>IPEKD5444G</t>
  </si>
  <si>
    <t>IPEKD5445S</t>
  </si>
  <si>
    <t>IPEKD5445G</t>
  </si>
  <si>
    <t>IPEKD5446S</t>
  </si>
  <si>
    <t>IPEKD5446G</t>
  </si>
  <si>
    <t>IPEKD5447S</t>
  </si>
  <si>
    <t>IPEKD5447G</t>
  </si>
  <si>
    <t>IPEKD5449S</t>
  </si>
  <si>
    <t>IPEKD5449G</t>
  </si>
  <si>
    <t>Ipe S4S E4E 5/4x6</t>
  </si>
  <si>
    <t>Ipe S4S E4E 5/4x6 Long</t>
  </si>
  <si>
    <t>Ipe Grooved 5/4x6</t>
  </si>
  <si>
    <t>Ipe Grooved 5/4x6 Long</t>
  </si>
  <si>
    <t>IPEKDCG54610S</t>
  </si>
  <si>
    <t>Ipe S4S E4E - Grade B 5/4x6</t>
  </si>
  <si>
    <t>S4S E4E - Grade B</t>
  </si>
  <si>
    <t>Ipe S4S E4E - Grade B 5/4x6 Long</t>
  </si>
  <si>
    <t>Ipe 7/8x6</t>
  </si>
  <si>
    <t>Ipe S4S E4E - TK 23 7/8x6</t>
  </si>
  <si>
    <t>S4S E4E - TK 23</t>
  </si>
  <si>
    <t>7/8x6</t>
  </si>
  <si>
    <t>Ipe S4S E4E - TK 23 7/8x6 Long</t>
  </si>
  <si>
    <t>IPEKD54611S</t>
  </si>
  <si>
    <t>IPEKD54611G</t>
  </si>
  <si>
    <t>IPEKDCG54611S</t>
  </si>
  <si>
    <t>IPEKD54611TK</t>
  </si>
  <si>
    <t>IPEKDCG54612S</t>
  </si>
  <si>
    <t>IPEKD54612TK</t>
  </si>
  <si>
    <t>IPEKD54613S</t>
  </si>
  <si>
    <t>IPEKD54613G</t>
  </si>
  <si>
    <t>IPEKDCG54613S</t>
  </si>
  <si>
    <t>IPEKD54613TK</t>
  </si>
  <si>
    <t>IPEKDCG54614S</t>
  </si>
  <si>
    <t>IPEKD54614TK</t>
  </si>
  <si>
    <t>IPEKD54615S</t>
  </si>
  <si>
    <t>IPEKD54615G</t>
  </si>
  <si>
    <t>IPEKDCG54615S</t>
  </si>
  <si>
    <t>IPEKD54615TK</t>
  </si>
  <si>
    <t>IPEKDCG54616S</t>
  </si>
  <si>
    <t>IPEKD54616TK</t>
  </si>
  <si>
    <t>IPEKD54617S</t>
  </si>
  <si>
    <t>IPEKD54617G</t>
  </si>
  <si>
    <t>IPEKDCG54617S</t>
  </si>
  <si>
    <t>IPEKD54617TK</t>
  </si>
  <si>
    <t>IPEKDCG54618S</t>
  </si>
  <si>
    <t>IPEKD54618TK</t>
  </si>
  <si>
    <t>IPEKD54619S</t>
  </si>
  <si>
    <t>IPEKD54619G</t>
  </si>
  <si>
    <t>IPEKDCG54619S</t>
  </si>
  <si>
    <t>IPEKD54619TK</t>
  </si>
  <si>
    <t>IPEKDCG54620S</t>
  </si>
  <si>
    <t>IPEKD54620TK</t>
  </si>
  <si>
    <t>IPEKD54621S</t>
  </si>
  <si>
    <t>IPEKD54621G</t>
  </si>
  <si>
    <t>IPEKDCG54621S</t>
  </si>
  <si>
    <t>IPEKD54621TK</t>
  </si>
  <si>
    <t>IPEKD54622S</t>
  </si>
  <si>
    <t>IPEKD54622G</t>
  </si>
  <si>
    <t>IPEKDCG54622S</t>
  </si>
  <si>
    <t>IPEKD54622TK</t>
  </si>
  <si>
    <t>IPEKD5463S</t>
  </si>
  <si>
    <t>Ipe S4S E4E 5/4x6 Short</t>
  </si>
  <si>
    <t>IPEKD5463G</t>
  </si>
  <si>
    <t>Ipe Grooved 5/4x6 Short</t>
  </si>
  <si>
    <t>IPEKDCG5463S</t>
  </si>
  <si>
    <t>Ipe S4S E4E - Grade B 5/4x6 Short</t>
  </si>
  <si>
    <t>IPEKD5463TK</t>
  </si>
  <si>
    <t>Ipe S4S E4E - TK 23 7/8x6 Short</t>
  </si>
  <si>
    <t>IPEKDCG5464S</t>
  </si>
  <si>
    <t>IPEKD5464TK</t>
  </si>
  <si>
    <t>IPEKDCG5465S</t>
  </si>
  <si>
    <t>IPEKD5465TK</t>
  </si>
  <si>
    <t>IPEKDCG5466S</t>
  </si>
  <si>
    <t>IPEKD5466TK</t>
  </si>
  <si>
    <t>IPEKDCG5467S</t>
  </si>
  <si>
    <t>IPEKD5467TK</t>
  </si>
  <si>
    <t>IPEKDCG5468S</t>
  </si>
  <si>
    <t>IPEKD5469S</t>
  </si>
  <si>
    <t>IPEKD5469G</t>
  </si>
  <si>
    <t>IPEKDCG5469S</t>
  </si>
  <si>
    <t>IPEKD5469TK</t>
  </si>
  <si>
    <t>Ipe 5/4x8</t>
  </si>
  <si>
    <t>IPEKD54810S</t>
  </si>
  <si>
    <t>Ipe S4S E4E 5/4x8</t>
  </si>
  <si>
    <t>Ipe S4S E4E 5/4x8 Long</t>
  </si>
  <si>
    <t>IPEKD54811S</t>
  </si>
  <si>
    <t>IPEKD54812S</t>
  </si>
  <si>
    <t>IPEKD54813S</t>
  </si>
  <si>
    <t>IPEKD54814S</t>
  </si>
  <si>
    <t>IPEKD54815S</t>
  </si>
  <si>
    <t>IPEKD54816S</t>
  </si>
  <si>
    <t>IPEKD54817S</t>
  </si>
  <si>
    <t>IPEKD54818S</t>
  </si>
  <si>
    <t>IPEKD54819S</t>
  </si>
  <si>
    <t>IPEKD54820S</t>
  </si>
  <si>
    <t>IPEKD54821S</t>
  </si>
  <si>
    <t>IPEKD54822S</t>
  </si>
  <si>
    <t>IPEKD54823S</t>
  </si>
  <si>
    <t>IPEKD54824S</t>
  </si>
  <si>
    <t>IPEKD5483S</t>
  </si>
  <si>
    <t>Ipe S4S E4E 5/4x8 Short</t>
  </si>
  <si>
    <t>IPEKD5484S</t>
  </si>
  <si>
    <t>IPEKD5485S</t>
  </si>
  <si>
    <t>IPEKD5486S</t>
  </si>
  <si>
    <t>IPEKD5487S</t>
  </si>
  <si>
    <t>IPEKD5488S</t>
  </si>
  <si>
    <t>IPEKD5489S</t>
  </si>
  <si>
    <t>Ipe 6x12</t>
  </si>
  <si>
    <t>IPE61210S</t>
  </si>
  <si>
    <t>Ipe S4S E4E 6x12</t>
  </si>
  <si>
    <t>Ipe S4S E4E 6x12 Long</t>
  </si>
  <si>
    <t>IPE61211S</t>
  </si>
  <si>
    <t>IPE61212S</t>
  </si>
  <si>
    <t>IPE61213S</t>
  </si>
  <si>
    <t>IPE61214S</t>
  </si>
  <si>
    <t>IPE61215S</t>
  </si>
  <si>
    <t>IPE61216S</t>
  </si>
  <si>
    <t>IPE61217S</t>
  </si>
  <si>
    <t>IPE61219S</t>
  </si>
  <si>
    <t>IPE61221S</t>
  </si>
  <si>
    <t>IPE6123S</t>
  </si>
  <si>
    <t>Ipe S4S E4E 6x12 Short</t>
  </si>
  <si>
    <t>IPE6124S</t>
  </si>
  <si>
    <t>IPE6125S</t>
  </si>
  <si>
    <t>IPE6126S</t>
  </si>
  <si>
    <t>IPE6127S</t>
  </si>
  <si>
    <t>IPE6128S</t>
  </si>
  <si>
    <t>IPE6129S</t>
  </si>
  <si>
    <t>Ipe 6x6</t>
  </si>
  <si>
    <t>Ipe S4S E4E 6x6</t>
  </si>
  <si>
    <t>Ipe S4S E4E 6x6 Long</t>
  </si>
  <si>
    <t>IPE6611S</t>
  </si>
  <si>
    <t>IPE6613S</t>
  </si>
  <si>
    <t>IPE6615S</t>
  </si>
  <si>
    <t>IPE6617S</t>
  </si>
  <si>
    <t>IPE6619S</t>
  </si>
  <si>
    <t>IPE6621S</t>
  </si>
  <si>
    <t>IPE663S</t>
  </si>
  <si>
    <t>Ipe S4S E4E 6x6 Short</t>
  </si>
  <si>
    <t>IPE664S</t>
  </si>
  <si>
    <t>IPE665S</t>
  </si>
  <si>
    <t>IPE666S</t>
  </si>
  <si>
    <t>IPE667S</t>
  </si>
  <si>
    <t>IPE669S</t>
  </si>
  <si>
    <t>Ipe 6x8</t>
  </si>
  <si>
    <t>IPE6810S</t>
  </si>
  <si>
    <t>Ipe S4S E4E 6x8</t>
  </si>
  <si>
    <t>Ipe S4S E4E 6x8 Long</t>
  </si>
  <si>
    <t>IPE6811S</t>
  </si>
  <si>
    <t>IPE6813S</t>
  </si>
  <si>
    <t>IPE6815S</t>
  </si>
  <si>
    <t>IPE6816S</t>
  </si>
  <si>
    <t>IPE6817S</t>
  </si>
  <si>
    <t>IPE6819S</t>
  </si>
  <si>
    <t>IPE6821S</t>
  </si>
  <si>
    <t>IPE683S</t>
  </si>
  <si>
    <t>Ipe S4S E4E 6x8 Short</t>
  </si>
  <si>
    <t>IPE684S</t>
  </si>
  <si>
    <t>IPE685S</t>
  </si>
  <si>
    <t>IPE686S</t>
  </si>
  <si>
    <t>IPE687S</t>
  </si>
  <si>
    <t>IPE688S</t>
  </si>
  <si>
    <t>IPE689S</t>
  </si>
  <si>
    <t>Ipe 8x8</t>
  </si>
  <si>
    <t>Ipe S4S E4E 8x8</t>
  </si>
  <si>
    <t>Ipe S4S E4E 8x8 Long</t>
  </si>
  <si>
    <t>IPE8811S</t>
  </si>
  <si>
    <t>IPE8813S</t>
  </si>
  <si>
    <t>IPE8815S</t>
  </si>
  <si>
    <t>IPE8816S</t>
  </si>
  <si>
    <t>IPE8817S</t>
  </si>
  <si>
    <t>IPE8819S</t>
  </si>
  <si>
    <t>IPE8821S</t>
  </si>
  <si>
    <t>IPE883S</t>
  </si>
  <si>
    <t>Ipe S4S E4E 8x8 Short</t>
  </si>
  <si>
    <t>IPE884S</t>
  </si>
  <si>
    <t>IPE885S</t>
  </si>
  <si>
    <t>IPE886S</t>
  </si>
  <si>
    <t>IPE887S</t>
  </si>
  <si>
    <t>IPE888S</t>
  </si>
  <si>
    <t>IPE889S</t>
  </si>
  <si>
    <t>IPEKD16RLS</t>
  </si>
  <si>
    <t>Ipe S4S E4E Random Lenght 1x6</t>
  </si>
  <si>
    <t>Ipe S4S E4E Random Lenght 1x6 Random Lenght</t>
  </si>
  <si>
    <t>IPETGVJ214RLS</t>
  </si>
  <si>
    <t>Ipe T&amp;G V-Joint 2 sides Random Lenght 1x4</t>
  </si>
  <si>
    <t>Ipe T&amp;G V-Joint 2 sides Random Lenght 1x4 Random Lenght</t>
  </si>
  <si>
    <t>Ipe 12x12</t>
  </si>
  <si>
    <t>IPETILE1212S</t>
  </si>
  <si>
    <t>Ipe Tiles 12x12</t>
  </si>
  <si>
    <t>12x12</t>
  </si>
  <si>
    <t>Ipe Tiles 12x12 Tiles</t>
  </si>
  <si>
    <t>Ipe 24x24</t>
  </si>
  <si>
    <t>Ipe Tiles 24x24</t>
  </si>
  <si>
    <t>Ipe Tiles 24x24 Tiles</t>
  </si>
  <si>
    <t>Ipe 24x48</t>
  </si>
  <si>
    <t>IPETILE2448</t>
  </si>
  <si>
    <t>Ipe Tiles 24x48</t>
  </si>
  <si>
    <t>Ipe Tiles 24x48 Tiles</t>
  </si>
  <si>
    <t>Ipe 24x72</t>
  </si>
  <si>
    <t>IPETILE2472</t>
  </si>
  <si>
    <t>Ipe Tiles 24x72</t>
  </si>
  <si>
    <t>24x72</t>
  </si>
  <si>
    <t>Ipe Tiles 24x72 Tiles</t>
  </si>
  <si>
    <t>Ipe 24x96</t>
  </si>
  <si>
    <t>Ipe Tiles 24x96</t>
  </si>
  <si>
    <t>24x96</t>
  </si>
  <si>
    <t>Ipe Tiles 24x96 Tiles</t>
  </si>
  <si>
    <t>IpeB</t>
  </si>
  <si>
    <t>IpeB 24x24</t>
  </si>
  <si>
    <t>IpeB Tiles 24x24</t>
  </si>
  <si>
    <t>IpeB Tiles 24x24 Tiles</t>
  </si>
  <si>
    <t>Itauba</t>
  </si>
  <si>
    <t>Itauba 1x6</t>
  </si>
  <si>
    <t>ITKD1610S</t>
  </si>
  <si>
    <t>Itauba S4S E4E 1x6</t>
  </si>
  <si>
    <t>Itauba S4S E4E 1x6 Long</t>
  </si>
  <si>
    <t>ITKD1612S</t>
  </si>
  <si>
    <t>ITKD1614S</t>
  </si>
  <si>
    <t>ITKD1616S</t>
  </si>
  <si>
    <t>ITKD1618S</t>
  </si>
  <si>
    <t>ITKD1620S</t>
  </si>
  <si>
    <t>ITKD1622S</t>
  </si>
  <si>
    <t>ITKD168S</t>
  </si>
  <si>
    <t>Itauba 1x8</t>
  </si>
  <si>
    <t>ITKD1810S</t>
  </si>
  <si>
    <t>Itauba S4S E4E 1x8</t>
  </si>
  <si>
    <t>Itauba S4S E4E 1x8 Long</t>
  </si>
  <si>
    <t>ITKD1812S</t>
  </si>
  <si>
    <t>ITKD1814S</t>
  </si>
  <si>
    <t>ITKD1816S</t>
  </si>
  <si>
    <t>ITKD1818S</t>
  </si>
  <si>
    <t>ITKD1820S</t>
  </si>
  <si>
    <t>ITKD1822S</t>
  </si>
  <si>
    <t>ITKD188S</t>
  </si>
  <si>
    <t>Itauba 21x145</t>
  </si>
  <si>
    <t>ITKD2114510S</t>
  </si>
  <si>
    <t>Itauba S4S E4E 21x145</t>
  </si>
  <si>
    <t>Itauba S4S E4E 21x145 Long</t>
  </si>
  <si>
    <t>ITKD2114511S</t>
  </si>
  <si>
    <t>ITKD2114512S</t>
  </si>
  <si>
    <t>ITKD2114513S</t>
  </si>
  <si>
    <t>ITKD2114514S</t>
  </si>
  <si>
    <t>ITKD2114515S</t>
  </si>
  <si>
    <t>ITKD2114516S</t>
  </si>
  <si>
    <t>ITKD2114517S</t>
  </si>
  <si>
    <t>ITKD2114518S</t>
  </si>
  <si>
    <t>ITKD2114519S</t>
  </si>
  <si>
    <t>ITKD2114520S</t>
  </si>
  <si>
    <t>ITKD211456S</t>
  </si>
  <si>
    <t>Itauba S4S E4E 21x145 Short</t>
  </si>
  <si>
    <t>ITKD211457S</t>
  </si>
  <si>
    <t>ITKD211458S</t>
  </si>
  <si>
    <t>ITKD211459S</t>
  </si>
  <si>
    <t>Itauba 12x105</t>
  </si>
  <si>
    <t>ITKD12105RLS</t>
  </si>
  <si>
    <t>Itauba S4S E4E Random Lenght 12x105</t>
  </si>
  <si>
    <t>12x105</t>
  </si>
  <si>
    <t>Itauba S4S E4E Random Lenght 12x105 Random Lenght</t>
  </si>
  <si>
    <t>Itauba 20x105</t>
  </si>
  <si>
    <t>ITKD20105RLS</t>
  </si>
  <si>
    <t>Itauba S4S E4E Random Lenght 20x105</t>
  </si>
  <si>
    <t>20x105</t>
  </si>
  <si>
    <t>Itauba S4S E4E Random Lenght 20x105 Random Lenght</t>
  </si>
  <si>
    <t>Itauba 24x24</t>
  </si>
  <si>
    <t>ITTILE2424</t>
  </si>
  <si>
    <t>Itauba Tiles 24x24</t>
  </si>
  <si>
    <t>Itauba Tiles 24x24 Tiles</t>
  </si>
  <si>
    <t>Massaranduba</t>
  </si>
  <si>
    <t>Massaranduba 1x10</t>
  </si>
  <si>
    <t>Massaranduba Bullet Wood S4S E4E 1x10</t>
  </si>
  <si>
    <t>Massaranduba Bullet Wood</t>
  </si>
  <si>
    <t>Massaranduba Bullet Wood S4S E4E 1x10 Long</t>
  </si>
  <si>
    <t>BWKD11011S</t>
  </si>
  <si>
    <t>BWKD11012S</t>
  </si>
  <si>
    <t>BWKD11013S</t>
  </si>
  <si>
    <t>BWKD11014S</t>
  </si>
  <si>
    <t>BWKD11015S</t>
  </si>
  <si>
    <t>BWKD11016S</t>
  </si>
  <si>
    <t>BWKD11017S</t>
  </si>
  <si>
    <t>BWKD11018S</t>
  </si>
  <si>
    <t>BWKD11019S</t>
  </si>
  <si>
    <t>BWKD11020S</t>
  </si>
  <si>
    <t>BWKD11021S</t>
  </si>
  <si>
    <t>BWKD11022S</t>
  </si>
  <si>
    <t>BWKD1109S</t>
  </si>
  <si>
    <t>Massaranduba 1x12</t>
  </si>
  <si>
    <t>BWKD11210S</t>
  </si>
  <si>
    <t>Massaranduba Bullet Wood S4S E4E 1x12</t>
  </si>
  <si>
    <t>Massaranduba Bullet Wood S4S E4E 1x12 Long</t>
  </si>
  <si>
    <t>BWKD11211S</t>
  </si>
  <si>
    <t>BWKD11213S</t>
  </si>
  <si>
    <t>BWKD11215S</t>
  </si>
  <si>
    <t>BWKD11216S</t>
  </si>
  <si>
    <t>BWKD11217S</t>
  </si>
  <si>
    <t>BWKD11218S</t>
  </si>
  <si>
    <t>BWKD11219S</t>
  </si>
  <si>
    <t>BWKD11220S</t>
  </si>
  <si>
    <t>BWKD11221S</t>
  </si>
  <si>
    <t>BWKD11222S</t>
  </si>
  <si>
    <t>BWKD1128S</t>
  </si>
  <si>
    <t>BWKD1129S</t>
  </si>
  <si>
    <t>Massaranduba 1x4</t>
  </si>
  <si>
    <t>Massaranduba Bullet Wood S4S E4E 1x4</t>
  </si>
  <si>
    <t>Massaranduba Bullet Wood S4S E4E 1x4 Long</t>
  </si>
  <si>
    <t>BWKD1416S</t>
  </si>
  <si>
    <t>BWKD1418S</t>
  </si>
  <si>
    <t>Massaranduba 1x6</t>
  </si>
  <si>
    <t>BWKD1610S</t>
  </si>
  <si>
    <t>Massaranduba Bullet Wood S4S E4E 1x6</t>
  </si>
  <si>
    <t>Massaranduba Bullet Wood S4S E4E 1x6 Long</t>
  </si>
  <si>
    <t>BWKD1611S</t>
  </si>
  <si>
    <t>BWKD1612S</t>
  </si>
  <si>
    <t>BWKD1613S</t>
  </si>
  <si>
    <t>BWKD1614S</t>
  </si>
  <si>
    <t>BWKD1615S</t>
  </si>
  <si>
    <t>BWKD1616S</t>
  </si>
  <si>
    <t>BWKD1617S</t>
  </si>
  <si>
    <t>BWKD1618S</t>
  </si>
  <si>
    <t>BWKD1619S</t>
  </si>
  <si>
    <t>BWKD1620S</t>
  </si>
  <si>
    <t>BWKD1621S</t>
  </si>
  <si>
    <t>BWKD1622S</t>
  </si>
  <si>
    <t>BWKD163S</t>
  </si>
  <si>
    <t>Massaranduba Bullet Wood S4S E4E 1x6 Short</t>
  </si>
  <si>
    <t>BWKD164S</t>
  </si>
  <si>
    <t>BWKD165S</t>
  </si>
  <si>
    <t>BWKD166S</t>
  </si>
  <si>
    <t>BWKD167S</t>
  </si>
  <si>
    <t>BWKD168S</t>
  </si>
  <si>
    <t>BWKD169S</t>
  </si>
  <si>
    <t>Massaranduba 1x8</t>
  </si>
  <si>
    <t>BWKD1810S</t>
  </si>
  <si>
    <t>Massaranduba Bullet Wood S4S E4E 1x8</t>
  </si>
  <si>
    <t>Massaranduba Bullet Wood S4S E4E 1x8 Long</t>
  </si>
  <si>
    <t>BWKD1811S</t>
  </si>
  <si>
    <t>BWKD1813S</t>
  </si>
  <si>
    <t>BWKD1815S</t>
  </si>
  <si>
    <t>BWKD1816S</t>
  </si>
  <si>
    <t>BWKD1817S</t>
  </si>
  <si>
    <t>BWKD1818S</t>
  </si>
  <si>
    <t>BWKD1819S</t>
  </si>
  <si>
    <t>BWKD1820S</t>
  </si>
  <si>
    <t>BWKD1821S</t>
  </si>
  <si>
    <t>BWKD1822S</t>
  </si>
  <si>
    <t>BWKD188S</t>
  </si>
  <si>
    <t>BWKD189S</t>
  </si>
  <si>
    <t>Massaranduba 2x2</t>
  </si>
  <si>
    <t>BWKD2210S</t>
  </si>
  <si>
    <t>Massaranduba Bullet Wood S4S E4E 2x2</t>
  </si>
  <si>
    <t>Massaranduba Bullet Wood S4S E4E 2x2 Long</t>
  </si>
  <si>
    <t>BWKD2211S</t>
  </si>
  <si>
    <t>BWKD2212S</t>
  </si>
  <si>
    <t>BWKD2213S</t>
  </si>
  <si>
    <t>BWKD2214S</t>
  </si>
  <si>
    <t>BWKD2215S</t>
  </si>
  <si>
    <t>BWKD2216S</t>
  </si>
  <si>
    <t>BWKD2217S</t>
  </si>
  <si>
    <t>BWKD2218S</t>
  </si>
  <si>
    <t>BWKD2219S</t>
  </si>
  <si>
    <t>BWKD2220S</t>
  </si>
  <si>
    <t>BWKD2221S</t>
  </si>
  <si>
    <t>BWKD2222S</t>
  </si>
  <si>
    <t>BWKD223S</t>
  </si>
  <si>
    <t>Massaranduba Bullet Wood S4S E4E 2x2 Short</t>
  </si>
  <si>
    <t>BWKD224S</t>
  </si>
  <si>
    <t>BWKD225S</t>
  </si>
  <si>
    <t>BWKD226S</t>
  </si>
  <si>
    <t>BWKD227S</t>
  </si>
  <si>
    <t>Massaranduba 2x4</t>
  </si>
  <si>
    <t>BWKD2410S</t>
  </si>
  <si>
    <t>Massaranduba Bullet Wood S4S E4E 2x4</t>
  </si>
  <si>
    <t>Massaranduba Bullet Wood S4S E4E 2x4 Long</t>
  </si>
  <si>
    <t>BWKD2411S</t>
  </si>
  <si>
    <t>BWKD2412S</t>
  </si>
  <si>
    <t>BWKD2413S</t>
  </si>
  <si>
    <t>BWKD2414S</t>
  </si>
  <si>
    <t>BWKD2415S</t>
  </si>
  <si>
    <t>BWKD2416S</t>
  </si>
  <si>
    <t>BWKD2417S</t>
  </si>
  <si>
    <t>BWKD2418S</t>
  </si>
  <si>
    <t>BWKD2419S</t>
  </si>
  <si>
    <t>BWKD2420S</t>
  </si>
  <si>
    <t>BWKD2421S</t>
  </si>
  <si>
    <t>BWKD2422S</t>
  </si>
  <si>
    <t>BWKD243S</t>
  </si>
  <si>
    <t>Massaranduba Bullet Wood S4S E4E 2x4 Short</t>
  </si>
  <si>
    <t>BWKD244S</t>
  </si>
  <si>
    <t>BWKD245S</t>
  </si>
  <si>
    <t>BWKD246S</t>
  </si>
  <si>
    <t>BWKD247S</t>
  </si>
  <si>
    <t>BWKD248S</t>
  </si>
  <si>
    <t>BWKD249S</t>
  </si>
  <si>
    <t>Massaranduba 2x6</t>
  </si>
  <si>
    <t>Massaranduba Bullet Wood S4S E4E 2x6</t>
  </si>
  <si>
    <t>Massaranduba Bullet Wood S4S E4E 2x6 Long</t>
  </si>
  <si>
    <t>BW2611S</t>
  </si>
  <si>
    <t>BW2612S</t>
  </si>
  <si>
    <t>BW2613S</t>
  </si>
  <si>
    <t>BW2614S</t>
  </si>
  <si>
    <t>BW2615S</t>
  </si>
  <si>
    <t>BW2616S</t>
  </si>
  <si>
    <t>BW2617S</t>
  </si>
  <si>
    <t>BW2618S</t>
  </si>
  <si>
    <t>BW2619S</t>
  </si>
  <si>
    <t>BW2620S</t>
  </si>
  <si>
    <t>BW2621S</t>
  </si>
  <si>
    <t>BW2622S</t>
  </si>
  <si>
    <t>BW263S</t>
  </si>
  <si>
    <t>Massaranduba Bullet Wood S4S E4E 2x6 Short</t>
  </si>
  <si>
    <t>BW264S</t>
  </si>
  <si>
    <t>BW265S</t>
  </si>
  <si>
    <t>BW266S</t>
  </si>
  <si>
    <t>BW267S</t>
  </si>
  <si>
    <t>BW268S</t>
  </si>
  <si>
    <t>BW269S</t>
  </si>
  <si>
    <t>Massaranduba 4x4</t>
  </si>
  <si>
    <t>BW4410S</t>
  </si>
  <si>
    <t>Massaranduba Bullet Wood S4S E4E 4x4</t>
  </si>
  <si>
    <t>Massaranduba Bullet Wood S4S E4E 4x4 Long</t>
  </si>
  <si>
    <t>Massaranduba 5/4x4</t>
  </si>
  <si>
    <t>Massaranduba Bullet Wood S4S E4E 5/4x4</t>
  </si>
  <si>
    <t>Massaranduba Bullet Wood S4S E4E 5/4x4 Long</t>
  </si>
  <si>
    <t>Massaranduba 5/4x6</t>
  </si>
  <si>
    <t>BWKD54610S</t>
  </si>
  <si>
    <t>Massaranduba Bullet Wood S4S E4E 5/4x6</t>
  </si>
  <si>
    <t>Massaranduba Bullet Wood S4S E4E 5/4x6 Long</t>
  </si>
  <si>
    <t>BWKD54611S</t>
  </si>
  <si>
    <t>BWKD54612S</t>
  </si>
  <si>
    <t>BWKD54613S</t>
  </si>
  <si>
    <t>BWKD54615S</t>
  </si>
  <si>
    <t>BWKD54616S</t>
  </si>
  <si>
    <t>BWKD54617S</t>
  </si>
  <si>
    <t>BWKD54619S</t>
  </si>
  <si>
    <t>BWKD54620S</t>
  </si>
  <si>
    <t>BWKD54621S</t>
  </si>
  <si>
    <t>BWKD5463S</t>
  </si>
  <si>
    <t>Massaranduba Bullet Wood S4S E4E 5/4x6 Short</t>
  </si>
  <si>
    <t>BWKD5464S</t>
  </si>
  <si>
    <t>BWKD5465S</t>
  </si>
  <si>
    <t>BWKD5466S</t>
  </si>
  <si>
    <t>BWKD5467S</t>
  </si>
  <si>
    <t>BWKD5468S</t>
  </si>
  <si>
    <t>BWKD5469S</t>
  </si>
  <si>
    <t>Massaranduba 6x6</t>
  </si>
  <si>
    <t>Massaranduba Bullet Wood S4S E4E 6x6</t>
  </si>
  <si>
    <t>Massaranduba Bullet Wood S4S E4E 6x6 Long</t>
  </si>
  <si>
    <t>BW6611S</t>
  </si>
  <si>
    <t>BW6613S</t>
  </si>
  <si>
    <t>BW6615S</t>
  </si>
  <si>
    <t>BW6617S</t>
  </si>
  <si>
    <t>BW6619S</t>
  </si>
  <si>
    <t>BW6621S</t>
  </si>
  <si>
    <t>BW6622S</t>
  </si>
  <si>
    <t>BW663S</t>
  </si>
  <si>
    <t>BW664S</t>
  </si>
  <si>
    <t>BW665S</t>
  </si>
  <si>
    <t>BW666S</t>
  </si>
  <si>
    <t>BW667S</t>
  </si>
  <si>
    <t>BW669S</t>
  </si>
  <si>
    <t>Massaranduba 12x100</t>
  </si>
  <si>
    <t>BWKD12100RLS</t>
  </si>
  <si>
    <t>Massaranduba S4S E4E Random Lenght 12x100</t>
  </si>
  <si>
    <t>12x100</t>
  </si>
  <si>
    <t>Massaranduba S4S E4E Random Lenght 12x100 Random Lenght</t>
  </si>
  <si>
    <t>Massaranduba 20x105</t>
  </si>
  <si>
    <t>BWKD20105RLS</t>
  </si>
  <si>
    <t>Massaranduba S4S E4E Random Lenght 20x105</t>
  </si>
  <si>
    <t>Massaranduba S4S E4E Random Lenght 20x105 Random Lenght</t>
  </si>
  <si>
    <t>Massaranduba 30x105</t>
  </si>
  <si>
    <t>BWKD30105RLS</t>
  </si>
  <si>
    <t>Massaranduba S4S E4E Random Lenght 30x105</t>
  </si>
  <si>
    <t>30x105</t>
  </si>
  <si>
    <t>Massaranduba S4S E4E Random Lenght 30x105 Random Lenght</t>
  </si>
  <si>
    <t>Massaranduba 30x150</t>
  </si>
  <si>
    <t>BWKD30150RLS</t>
  </si>
  <si>
    <t>Massaranduba S4S E4E Random Lenght 30x150</t>
  </si>
  <si>
    <t>30x150</t>
  </si>
  <si>
    <t>Massaranduba S4S E4E Random Lenght 30x150 Random Lenght</t>
  </si>
  <si>
    <t>Sucupira</t>
  </si>
  <si>
    <t>Sucupira 5/4x6</t>
  </si>
  <si>
    <t>SPCLLOKD546RLS</t>
  </si>
  <si>
    <t>Sucupira S4S E4E Random Lenght 5/4x6</t>
  </si>
  <si>
    <t>Sucupira S4S E4E Random Lenght 5/4x6 Random Lenght</t>
  </si>
  <si>
    <t>Tigerwood</t>
  </si>
  <si>
    <t>Tigerwood 1x4</t>
  </si>
  <si>
    <t>Tigerwood S4S E4E 1x4</t>
  </si>
  <si>
    <t>Tigerwood S4S E4E 1x4 Long</t>
  </si>
  <si>
    <t>Tigerwood S4S E4E 1x4 Short</t>
  </si>
  <si>
    <t>Tigerwood 1x6</t>
  </si>
  <si>
    <t>TGKD1610S</t>
  </si>
  <si>
    <t>Tigerwood S4S E4E 1x6</t>
  </si>
  <si>
    <t>Tigerwood S4S E4E 1x6 Long</t>
  </si>
  <si>
    <t>TGKD1614S</t>
  </si>
  <si>
    <t>TGKD1618S</t>
  </si>
  <si>
    <t>TGKD1620S</t>
  </si>
  <si>
    <t>TGKD1622S</t>
  </si>
  <si>
    <t>Tigerwood S4S E4E 1x6 Short</t>
  </si>
  <si>
    <t>Architecture</t>
  </si>
  <si>
    <t>London</t>
  </si>
  <si>
    <t>Norx</t>
  </si>
  <si>
    <t>Big Ben London Collection Profile 1x8</t>
  </si>
  <si>
    <t>Big Ben</t>
  </si>
  <si>
    <t>Big Ben London Collection Profile 1x8 Long</t>
  </si>
  <si>
    <t>Los Angeles</t>
  </si>
  <si>
    <t>Brooklyn New York Collection Profile 1x6</t>
  </si>
  <si>
    <t>Brooklyn</t>
  </si>
  <si>
    <t>Brooklyn New York Collection Profile 1x6 Long</t>
  </si>
  <si>
    <t>New York</t>
  </si>
  <si>
    <t>NXCLBK8</t>
  </si>
  <si>
    <t>L Trim 2x2</t>
  </si>
  <si>
    <t>Charcoal Architecture Collection L Trim 2x2</t>
  </si>
  <si>
    <t>Charcoal</t>
  </si>
  <si>
    <t>L Trim</t>
  </si>
  <si>
    <t>Charcoal Architecture Collection L Trim 2x2 Long</t>
  </si>
  <si>
    <t>Charcoal London Collection Corner Trim 1.5x3.9</t>
  </si>
  <si>
    <t>Corner Trim</t>
  </si>
  <si>
    <t>1.5x3.9</t>
  </si>
  <si>
    <t>Charcoal London Collection Corner Trim 1.5x3.9 Long</t>
  </si>
  <si>
    <t>Rome</t>
  </si>
  <si>
    <t>Charcoal Rome Collection Corner Trim 1.5x3</t>
  </si>
  <si>
    <t>1.5x3</t>
  </si>
  <si>
    <t>Charcoal Rome Collection Corner Trim 1.5x3 Long</t>
  </si>
  <si>
    <t>Colosseum Rome Collection Profile 1x7</t>
  </si>
  <si>
    <t>Colosseum</t>
  </si>
  <si>
    <t>1x7</t>
  </si>
  <si>
    <t>Colosseum Rome Collection Profile 1x7 Long</t>
  </si>
  <si>
    <t>Rio</t>
  </si>
  <si>
    <t>Profile 1x6</t>
  </si>
  <si>
    <t>NXCP12GR</t>
  </si>
  <si>
    <t>Copacabana Rio Collection Grooved 1x6</t>
  </si>
  <si>
    <t>Copacabana</t>
  </si>
  <si>
    <t>Copacabana Rio Collection Grooved 1x6 Long</t>
  </si>
  <si>
    <t>NXCP16GR</t>
  </si>
  <si>
    <t>NXCP20GR</t>
  </si>
  <si>
    <t>NXCP12SQ</t>
  </si>
  <si>
    <t>Copacabana Rio Collection Square 1x6</t>
  </si>
  <si>
    <t>Square</t>
  </si>
  <si>
    <t>Copacabana Rio Collection Square 1x6 Long</t>
  </si>
  <si>
    <t>NXCP16SQ</t>
  </si>
  <si>
    <t>NXCP20SQ</t>
  </si>
  <si>
    <t>Dark Brown Architecture Collection L Trim 2x2</t>
  </si>
  <si>
    <t>Dark Brown</t>
  </si>
  <si>
    <t>Dark Brown Architecture Collection L Trim 2x2 Long</t>
  </si>
  <si>
    <t>Dark Brown London Collection Corner Trim 1.5x3.9</t>
  </si>
  <si>
    <t>Dark Brown London Collection Corner Trim 1.5x3.9 Long</t>
  </si>
  <si>
    <t>Dark Brown New York Collection Corner Trim 1x1</t>
  </si>
  <si>
    <t>1x1</t>
  </si>
  <si>
    <t>Dark Brown New York Collection Corner Trim 1x1 Long</t>
  </si>
  <si>
    <t>Dark Brown Rome Collection Corner Trim 1.5x3</t>
  </si>
  <si>
    <t>Dark Brown Rome Collection Corner Trim 1.5x3 Long</t>
  </si>
  <si>
    <t>Composite</t>
  </si>
  <si>
    <t>Eco Duo</t>
  </si>
  <si>
    <t>EDGC1516SQ</t>
  </si>
  <si>
    <t>Deck With Texture Gray Deck 1.25" x 5.5"</t>
  </si>
  <si>
    <t>Deck With Texture Gray</t>
  </si>
  <si>
    <t>Deck</t>
  </si>
  <si>
    <t>1.25x5.5</t>
  </si>
  <si>
    <t>Deck With Texture Gray Deck 1.25" x 5.5" Long</t>
  </si>
  <si>
    <t>EDGC1612GR</t>
  </si>
  <si>
    <t>Deck With Texture Gray Deck 1.25" x 6"</t>
  </si>
  <si>
    <t>1.25x6</t>
  </si>
  <si>
    <t>Deck With Texture Gray Deck 1.25" x 6" Long</t>
  </si>
  <si>
    <t>EDGC1616GR</t>
  </si>
  <si>
    <t>DECKTIPE12</t>
  </si>
  <si>
    <t>Deck With Texture Ipe Deck 1.25" x 6"</t>
  </si>
  <si>
    <t>Deck With Texture Ipe</t>
  </si>
  <si>
    <t>Deck With Texture Ipe Deck 1.25" x 6" Long</t>
  </si>
  <si>
    <t>Performance 1</t>
  </si>
  <si>
    <t>Corner Trim 1.5x3</t>
  </si>
  <si>
    <t>Ebony Performance Corner Trim 1.5x3</t>
  </si>
  <si>
    <t>Ebony</t>
  </si>
  <si>
    <t>Ebony Performance Corner Trim 1.5x3 Long</t>
  </si>
  <si>
    <t>Performance 2</t>
  </si>
  <si>
    <t>NX2PCTRIMEB17</t>
  </si>
  <si>
    <t>Corner Trim 1.5x3.9</t>
  </si>
  <si>
    <t>NXPCTRIMEB18</t>
  </si>
  <si>
    <t>Ebony Performance Corner Trim 1.5x3.9</t>
  </si>
  <si>
    <t>Ebony Performance Corner Trim 1.5x3.9 Long</t>
  </si>
  <si>
    <t>NX2PCTRIMEB18</t>
  </si>
  <si>
    <t>Ebony Performance L Trim 2x2</t>
  </si>
  <si>
    <t>Ebony Performance L Trim 2x2 Long</t>
  </si>
  <si>
    <t>NX2PLTRIMEB</t>
  </si>
  <si>
    <t>NXPCLEB16</t>
  </si>
  <si>
    <t>Ebony Performance Profile 1x6</t>
  </si>
  <si>
    <t>Ebony Performance Profile 1x6 Long</t>
  </si>
  <si>
    <t>Profile 1x7</t>
  </si>
  <si>
    <t>NX2PCLEB17</t>
  </si>
  <si>
    <t>Ebony Performance Profile 1x7</t>
  </si>
  <si>
    <t>Ebony Performance Profile 1x7 Long</t>
  </si>
  <si>
    <t>Profile 1x8</t>
  </si>
  <si>
    <t>Ebony Performance Profile 1x8</t>
  </si>
  <si>
    <t>Ebony Performance Profile 1x8 Long</t>
  </si>
  <si>
    <t>NX2PCLEB18</t>
  </si>
  <si>
    <t>NX2PCLEB187</t>
  </si>
  <si>
    <t>Plywood</t>
  </si>
  <si>
    <t>WPB</t>
  </si>
  <si>
    <t>EPPLYWOOD34</t>
  </si>
  <si>
    <t>Elliots Pine Plywood 3/4x4x8'</t>
  </si>
  <si>
    <t>Elliots Pine</t>
  </si>
  <si>
    <t>3/4x4</t>
  </si>
  <si>
    <t>Elliots Pine Plywood 3/4x4x8' Long</t>
  </si>
  <si>
    <t>EPPLYWOOD58</t>
  </si>
  <si>
    <t>Elliots Pine Plywood 5/4x4x8'</t>
  </si>
  <si>
    <t>Elliots Pine Plywood 5/4x4x8' Long</t>
  </si>
  <si>
    <t>Empire State New York Collection Profile 1x6</t>
  </si>
  <si>
    <t>Empire State</t>
  </si>
  <si>
    <t>Empire State New York Collection Profile 1x6 Long</t>
  </si>
  <si>
    <t>NXCLES8</t>
  </si>
  <si>
    <t>Fascia</t>
  </si>
  <si>
    <t>Fascia Charcoal Fascia Collection Profile 1x6</t>
  </si>
  <si>
    <t>Fascia Charcoal</t>
  </si>
  <si>
    <t>Fascia Charcoal Fascia Collection Profile 1x6 Long</t>
  </si>
  <si>
    <t>Fascia Dark Brown Fascia Collection Profile 1x6</t>
  </si>
  <si>
    <t>Fascia Dark Brown</t>
  </si>
  <si>
    <t>Fascia Dark Brown Fascia Collection Profile 1x6 Long</t>
  </si>
  <si>
    <t>Fascia Gray Fascia Collection Profile 1x6</t>
  </si>
  <si>
    <t>Fascia Gray</t>
  </si>
  <si>
    <t>Fascia Gray Fascia Collection Profile 1x6 Long</t>
  </si>
  <si>
    <t>Fascia Light Brown Fascia Collection Profile 1x6</t>
  </si>
  <si>
    <t>Fascia Light Brown</t>
  </si>
  <si>
    <t>Fascia Light Brown Fascia Collection Profile 1x6 Long</t>
  </si>
  <si>
    <t>Gray Architecture Collection L Trim 2x2</t>
  </si>
  <si>
    <t>Gray</t>
  </si>
  <si>
    <t>Gray Architecture Collection L Trim 2x2 Long</t>
  </si>
  <si>
    <t>Gray Edge Finishinf 6x6</t>
  </si>
  <si>
    <t>Edge Finishinf</t>
  </si>
  <si>
    <t>Gray Edge Finishinf 6x6 Long</t>
  </si>
  <si>
    <t>Gray London Collection Corner Trim 1.5x3.9</t>
  </si>
  <si>
    <t>Gray London Collection Corner Trim 1.5x3.9 Long</t>
  </si>
  <si>
    <t>Gray New York Collection Corner Trim 1x1</t>
  </si>
  <si>
    <t>Gray New York Collection Corner Trim 1x1 Long</t>
  </si>
  <si>
    <t>Gray Rome Collection Corner Trim 1.5x3</t>
  </si>
  <si>
    <t>Gray Rome Collection Corner Trim 1.5x3 Long</t>
  </si>
  <si>
    <t>NXPCTRIMHI</t>
  </si>
  <si>
    <t>Hickory Performance Corner Trim 1.5x3</t>
  </si>
  <si>
    <t>Hickory</t>
  </si>
  <si>
    <t>Hickory Performance Corner Trim 1.5x3 Long</t>
  </si>
  <si>
    <t>NX2PCTRIMHI17</t>
  </si>
  <si>
    <t>NXPCTRIMHI18</t>
  </si>
  <si>
    <t>Hickory Performance Corner Trim 1.5x3.9</t>
  </si>
  <si>
    <t>Hickory Performance Corner Trim 1.5x3.9 Long</t>
  </si>
  <si>
    <t>NX2PCTRIMHI18</t>
  </si>
  <si>
    <t>NXPLTRIMHI</t>
  </si>
  <si>
    <t>Hickory Performance L Trim 2x2</t>
  </si>
  <si>
    <t>Hickory Performance L Trim 2x2 Long</t>
  </si>
  <si>
    <t>NX2PLTRIMHI</t>
  </si>
  <si>
    <t>NXPCLHI16</t>
  </si>
  <si>
    <t>Hickory Performance Profile 1x6</t>
  </si>
  <si>
    <t>Hickory Performance Profile 1x6 Long</t>
  </si>
  <si>
    <t>NX2PCLHI17</t>
  </si>
  <si>
    <t>Hickory Performance Profile 1x7</t>
  </si>
  <si>
    <t>Hickory Performance Profile 1x7 Long</t>
  </si>
  <si>
    <t>NXPCLHI18</t>
  </si>
  <si>
    <t>Hickory Performance Profile 1x8</t>
  </si>
  <si>
    <t>Hickory Performance Profile 1x8 Long</t>
  </si>
  <si>
    <t>NX2PCLHI18</t>
  </si>
  <si>
    <t>NXCLHW16</t>
  </si>
  <si>
    <t>Hollywood Los Angeles Collection Profile 1x6</t>
  </si>
  <si>
    <t>Hollywood</t>
  </si>
  <si>
    <t>Hollywood Los Angeles Collection Profile 1x6 Long</t>
  </si>
  <si>
    <t>Hyde Park London Collection Profile 1x8</t>
  </si>
  <si>
    <t>Hyde Park</t>
  </si>
  <si>
    <t>Hyde Park London Collection Profile 1x8 Long</t>
  </si>
  <si>
    <t>NXIP12GR</t>
  </si>
  <si>
    <t>Ipanema Rio Collection Grooved 1x6</t>
  </si>
  <si>
    <t>Ipanema</t>
  </si>
  <si>
    <t>Ipanema Rio Collection Grooved 1x6 Long</t>
  </si>
  <si>
    <t>NXIP16GR</t>
  </si>
  <si>
    <t>NXIP20GR</t>
  </si>
  <si>
    <t>NXIP12SQ</t>
  </si>
  <si>
    <t>Ipanema Rio Collection Square 1x6</t>
  </si>
  <si>
    <t>Ipanema Rio Collection Square 1x6 Long</t>
  </si>
  <si>
    <t>NXIP16SQ</t>
  </si>
  <si>
    <t>NXIP20SQ</t>
  </si>
  <si>
    <t>BDTXIPE</t>
  </si>
  <si>
    <t>Ipe Board 1.25" x 5.5"</t>
  </si>
  <si>
    <t>Board</t>
  </si>
  <si>
    <t>Ipe Board 1.25" x 5.5" Long</t>
  </si>
  <si>
    <t>COLUMNIPE558</t>
  </si>
  <si>
    <t>Ipe Column 5"x5"</t>
  </si>
  <si>
    <t>Column</t>
  </si>
  <si>
    <t>5x5</t>
  </si>
  <si>
    <t>Ipe Column 5"x5" Long</t>
  </si>
  <si>
    <t>COLUMNCIPE558</t>
  </si>
  <si>
    <t>Ipe Column Cover 5"x5"</t>
  </si>
  <si>
    <t>Column Cover</t>
  </si>
  <si>
    <t>Ipe Column Cover 5"x5" Long</t>
  </si>
  <si>
    <t>FFNSHINGIPE</t>
  </si>
  <si>
    <t>Ipe Fence Finishing 2.5"x3.5"</t>
  </si>
  <si>
    <t>Fence Finishing</t>
  </si>
  <si>
    <t>2.5x3.5</t>
  </si>
  <si>
    <t>Ipe Fence Finishing 2.5"x3.5" Long</t>
  </si>
  <si>
    <t>FT&amp;JIPE</t>
  </si>
  <si>
    <t>Ipe Fence Tongue and Grooved 3"x7"</t>
  </si>
  <si>
    <t>Fence Tongue and Grooved</t>
  </si>
  <si>
    <t>3x7</t>
  </si>
  <si>
    <t>Ipe Fence Tongue and Grooved 3"x7" Long</t>
  </si>
  <si>
    <t>FLOORFIPE</t>
  </si>
  <si>
    <t>Ipe Floor Fitting 1.5"x9"</t>
  </si>
  <si>
    <t>Floor Fitting</t>
  </si>
  <si>
    <t>1.5x9</t>
  </si>
  <si>
    <t>Ipe Floor Fitting 1.5"x9" Long</t>
  </si>
  <si>
    <t>NXPCTRIMIPE</t>
  </si>
  <si>
    <t>Ipe Performance Corner Trim 1.5x3</t>
  </si>
  <si>
    <t>Ipe Performance Corner Trim 1.5x3 Long</t>
  </si>
  <si>
    <t>NX2PCTRIMIPE17</t>
  </si>
  <si>
    <t>NXPCTRIMIPE18</t>
  </si>
  <si>
    <t>Ipe Performance Corner Trim 1.5x3.9</t>
  </si>
  <si>
    <t>Ipe Performance Corner Trim 1.5x3.9 Long</t>
  </si>
  <si>
    <t>NX2PCTRIMIPE18</t>
  </si>
  <si>
    <t>Corner Trim 3x3</t>
  </si>
  <si>
    <t>Ipe Performance Corner Trim 3x3</t>
  </si>
  <si>
    <t>Ipe Performance Corner Trim 3x3 Long</t>
  </si>
  <si>
    <t>NXPLTRIMCE</t>
  </si>
  <si>
    <t>Cedar</t>
  </si>
  <si>
    <t>NXCTRIMCE</t>
  </si>
  <si>
    <t>Ipe Performance L Trim 2x2</t>
  </si>
  <si>
    <t>Ipe Performance L Trim 2x2 Long</t>
  </si>
  <si>
    <t>NX2PLTRIMIP</t>
  </si>
  <si>
    <t>Ipe Performance Profile 1x6</t>
  </si>
  <si>
    <t>Ipe Performance Profile 1x6 Long</t>
  </si>
  <si>
    <t>NX2PCLIPE17</t>
  </si>
  <si>
    <t>Ipe Performance Profile 1x7</t>
  </si>
  <si>
    <t>Ipe Performance Profile 1x7 Long</t>
  </si>
  <si>
    <t>Ipe Performance Profile 1x8</t>
  </si>
  <si>
    <t>Ipe Performance Profile 1x8 Long</t>
  </si>
  <si>
    <t>NX2PCLIPE18</t>
  </si>
  <si>
    <t>NXLB12GR</t>
  </si>
  <si>
    <t>Leblon Rio Collection Grooved 1x6</t>
  </si>
  <si>
    <t>Leblon</t>
  </si>
  <si>
    <t>Leblon Rio Collection Grooved 1x6 Long</t>
  </si>
  <si>
    <t>NXLB16GR</t>
  </si>
  <si>
    <t>NXLB20GR</t>
  </si>
  <si>
    <t>NXLBRISER</t>
  </si>
  <si>
    <t>Leblon Rio Collection Riser 1x6</t>
  </si>
  <si>
    <t>Riser</t>
  </si>
  <si>
    <t>Leblon Rio Collection Riser 1x6 Long</t>
  </si>
  <si>
    <t>NXLB16SQ</t>
  </si>
  <si>
    <t>Leblon Rio Collection Square 1x6</t>
  </si>
  <si>
    <t>Leblon Rio Collection Square 1x6 Long</t>
  </si>
  <si>
    <t>Light Brown Architecture Collection L Trim 2x2</t>
  </si>
  <si>
    <t>Light Brown</t>
  </si>
  <si>
    <t>Light Brown Architecture Collection L Trim 2x2 Long</t>
  </si>
  <si>
    <t>Light Brown London Collection Corner Trim 1.5x3.9</t>
  </si>
  <si>
    <t>Light Brown London Collection Corner Trim 1.5x3.9 Long</t>
  </si>
  <si>
    <t>Light Brown New York Collection Corner Trim 1x1</t>
  </si>
  <si>
    <t>Light Brown New York Collection Corner Trim 1x1 Long</t>
  </si>
  <si>
    <t>Light Brown Rome Collection Corner Trim 1.5x3</t>
  </si>
  <si>
    <t>Light Brown Rome Collection Corner Trim 1.5x3 Long</t>
  </si>
  <si>
    <t>Mayfair London Collection Profile 1x8</t>
  </si>
  <si>
    <t>Mayfair</t>
  </si>
  <si>
    <t>Mayfair London Collection Profile 1x8 Long</t>
  </si>
  <si>
    <t>Navona Rome Collection Profile 1x7</t>
  </si>
  <si>
    <t>Navona</t>
  </si>
  <si>
    <t>Navona Rome Collection Profile 1x7 Long</t>
  </si>
  <si>
    <t>BDTXOAK</t>
  </si>
  <si>
    <t>Oak Board With Texture 1.25"x5.5"</t>
  </si>
  <si>
    <t>Oak</t>
  </si>
  <si>
    <t>Board With Texture</t>
  </si>
  <si>
    <t>Oak Board With Texture 1.25"x5.5" Long</t>
  </si>
  <si>
    <t>COLUMNCOAK558</t>
  </si>
  <si>
    <t>Oak Column 5"x5"</t>
  </si>
  <si>
    <t>Oak Column 5"x5" Long</t>
  </si>
  <si>
    <t>EDGEWPOAK</t>
  </si>
  <si>
    <t>Oak Edge Finishinf 6x6</t>
  </si>
  <si>
    <t>Oak Edge Finishinf 6x6 Long</t>
  </si>
  <si>
    <t>FFNSHINGOAK</t>
  </si>
  <si>
    <t>Oak Fence Finishing 2.5"x3.5"</t>
  </si>
  <si>
    <t>Oak Fence Finishing 2.5"x3.5" Long</t>
  </si>
  <si>
    <t>FT&amp;JOAK</t>
  </si>
  <si>
    <t>Oak Fence Tongue and Grooved 3"x7"</t>
  </si>
  <si>
    <t>Oak Fence Tongue and Grooved 3"x7" Long</t>
  </si>
  <si>
    <t>FLOORFOAK</t>
  </si>
  <si>
    <t>Oak Floor Fitting 1.5"x9"</t>
  </si>
  <si>
    <t>Oak Floor Fitting 1.5"x9" Long</t>
  </si>
  <si>
    <t>Oxford London Collection Profile 1x8</t>
  </si>
  <si>
    <t>Oxford</t>
  </si>
  <si>
    <t>Oxford London Collection Profile 1x8 Long</t>
  </si>
  <si>
    <t>Pantheon Rome Collection Profile 1x7</t>
  </si>
  <si>
    <t>Pantheon</t>
  </si>
  <si>
    <t>Pantheon Rome Collection Profile 1x7 Long</t>
  </si>
  <si>
    <t>Rockefeller New York Collection Profile 1x6</t>
  </si>
  <si>
    <t>Rockefeller</t>
  </si>
  <si>
    <t>Rockefeller New York Collection Profile 1x6 Long</t>
  </si>
  <si>
    <t>NXCLSM16</t>
  </si>
  <si>
    <t>Santa Monica Los Angeles Collection Profile 1x6</t>
  </si>
  <si>
    <t>Santa Monica</t>
  </si>
  <si>
    <t>Santa Monica Los Angeles Collection Profile 1x6 Long</t>
  </si>
  <si>
    <t>Clip</t>
  </si>
  <si>
    <t>Steel Clip and 40mm Screw Box</t>
  </si>
  <si>
    <t>Steel Clip and 40mm Screw</t>
  </si>
  <si>
    <t>Box</t>
  </si>
  <si>
    <t>Steel Clip and 40mm Screw Box Clip</t>
  </si>
  <si>
    <t>NXSSSCREWS-250</t>
  </si>
  <si>
    <t>NXCLIPHW</t>
  </si>
  <si>
    <t>Steel Starter Clip Box</t>
  </si>
  <si>
    <t>Steel Starter Clip</t>
  </si>
  <si>
    <t>Steel Starter Clip Box Clip</t>
  </si>
  <si>
    <t>Teak Performance Corner Trim 1.5x3</t>
  </si>
  <si>
    <t>Teak</t>
  </si>
  <si>
    <t>Teak Performance Corner Trim 1.5x3 Long</t>
  </si>
  <si>
    <t>NX2PCTRIMTE17</t>
  </si>
  <si>
    <t>NXPCTRIMTE18</t>
  </si>
  <si>
    <t>Teak Performance Corner Trim 1.5x3.9</t>
  </si>
  <si>
    <t>Teak Performance Corner Trim 1.5x3.9 Long</t>
  </si>
  <si>
    <t>NX2PCTRIMTE18</t>
  </si>
  <si>
    <t>Teak Performance L Trim 2x2</t>
  </si>
  <si>
    <t>Teak Performance L Trim 2x2 Long</t>
  </si>
  <si>
    <t>NX2PLTRIMTE</t>
  </si>
  <si>
    <t>Teak Performance Profile 1x6</t>
  </si>
  <si>
    <t>Teak Performance Profile 1x6 Long</t>
  </si>
  <si>
    <t>NXPCLTE17</t>
  </si>
  <si>
    <t>Teak Performance Profile 1x7</t>
  </si>
  <si>
    <t>Teak Performance Profile 1x7 Long</t>
  </si>
  <si>
    <t>NX2PCLTE17</t>
  </si>
  <si>
    <t>NXPCLTE18</t>
  </si>
  <si>
    <t>Teak Performance Profile 1x8</t>
  </si>
  <si>
    <t>Teak Performance Profile 1x8 Long</t>
  </si>
  <si>
    <t>NX2PCLTE18</t>
  </si>
  <si>
    <t>Tigerwood Performance Corner Trim 1.5x3</t>
  </si>
  <si>
    <t>Tigerwood Performance Corner Trim 1.5x3 Long</t>
  </si>
  <si>
    <t>NX2PCTRIMTG17</t>
  </si>
  <si>
    <t>NXPCTRIMTG18</t>
  </si>
  <si>
    <t>Tigerwood Performance Corner Trim 1.5x3.9</t>
  </si>
  <si>
    <t>Tigerwood Performance Corner Trim 1.5x3.9 Long</t>
  </si>
  <si>
    <t>NX2PCTRIMTG18</t>
  </si>
  <si>
    <t>Tigerwood Performance L Trim 2x2</t>
  </si>
  <si>
    <t>Tigerwood Performance L Trim 2x2 Long</t>
  </si>
  <si>
    <t>NX2PLTRIMTG</t>
  </si>
  <si>
    <t>NXPCLTG16</t>
  </si>
  <si>
    <t>Tigerwood Performance Profile 1x6</t>
  </si>
  <si>
    <t>Tigerwood Performance Profile 1x6 Long</t>
  </si>
  <si>
    <t>NXPCLTG17</t>
  </si>
  <si>
    <t>Tigerwood Performance Profile 1x7</t>
  </si>
  <si>
    <t>Tigerwood Performance Profile 1x7 Long</t>
  </si>
  <si>
    <t>NX2PCLTG17</t>
  </si>
  <si>
    <t>Tigerwood Performance Profile 1x8</t>
  </si>
  <si>
    <t>Tigerwood Performance Profile 1x8 Long</t>
  </si>
  <si>
    <t>NX2PCLTG18</t>
  </si>
  <si>
    <t>Trevi Rome Collection Profile 1x7</t>
  </si>
  <si>
    <t>Trevi</t>
  </si>
  <si>
    <t>Trevi Rome Collection Profile 1x7 Long</t>
  </si>
  <si>
    <t>Paris</t>
  </si>
  <si>
    <t>NXTPRISER</t>
  </si>
  <si>
    <t>Triomphe Paris Collection Riser 1x6</t>
  </si>
  <si>
    <t>Triomphe</t>
  </si>
  <si>
    <t>Triomphe Paris Collection Riser 1x6 Long</t>
  </si>
  <si>
    <t>NXCLVE16</t>
  </si>
  <si>
    <t>Venice Los Angeles Collection Profile 1x6</t>
  </si>
  <si>
    <t>Venice</t>
  </si>
  <si>
    <t>Venice Los Angeles Collection Profile 1x6 Long</t>
  </si>
  <si>
    <t>Profile 23x140</t>
  </si>
  <si>
    <t>White Performance Profile 23x140</t>
  </si>
  <si>
    <t>White</t>
  </si>
  <si>
    <t>23x140</t>
  </si>
  <si>
    <t>White Performance Profile 23x140 Long</t>
  </si>
  <si>
    <t>Services</t>
  </si>
  <si>
    <t>Other</t>
  </si>
  <si>
    <t>RS-001</t>
  </si>
  <si>
    <t>0</t>
  </si>
  <si>
    <t>Expense Recovery Services</t>
  </si>
  <si>
    <t>RS-002</t>
  </si>
  <si>
    <t>Freight</t>
  </si>
  <si>
    <t>FRT-001</t>
  </si>
  <si>
    <t>Freight Services</t>
  </si>
  <si>
    <t>Freight Services Services</t>
  </si>
  <si>
    <t>FRT-002</t>
  </si>
  <si>
    <t>FRT-003</t>
  </si>
  <si>
    <t>Marketing</t>
  </si>
  <si>
    <t>MKT-001</t>
  </si>
  <si>
    <t>Marketing Services</t>
  </si>
  <si>
    <t>Marketing Services Services</t>
  </si>
  <si>
    <t>MKT-002</t>
  </si>
  <si>
    <t>MKT-003</t>
  </si>
  <si>
    <t>MKT-004</t>
  </si>
  <si>
    <t>MKT-005</t>
  </si>
  <si>
    <t>MKT-006</t>
  </si>
  <si>
    <t>MKT-007</t>
  </si>
  <si>
    <t>MKT-008</t>
  </si>
  <si>
    <t>MKT-009</t>
  </si>
  <si>
    <t>MKT-010</t>
  </si>
  <si>
    <t>MKT-011</t>
  </si>
  <si>
    <t>MKT-012</t>
  </si>
  <si>
    <t>MKT-013</t>
  </si>
  <si>
    <t>MKT-014</t>
  </si>
  <si>
    <t>MKT-015</t>
  </si>
  <si>
    <t>MKT-016</t>
  </si>
  <si>
    <t>MKT-017</t>
  </si>
  <si>
    <t>Milling</t>
  </si>
  <si>
    <t>SO751902-000</t>
  </si>
  <si>
    <t>Milling Services</t>
  </si>
  <si>
    <t>SO751904-000</t>
  </si>
  <si>
    <t>MN711852-000</t>
  </si>
  <si>
    <t>MN726576-000</t>
  </si>
  <si>
    <t>Painting</t>
  </si>
  <si>
    <t>SO735639-000</t>
  </si>
  <si>
    <t>Painting Services</t>
  </si>
  <si>
    <t>SO757825-000</t>
  </si>
  <si>
    <t>Refund</t>
  </si>
  <si>
    <t>RF-001</t>
  </si>
  <si>
    <t>Refund Services</t>
  </si>
  <si>
    <t>Refund Services Services</t>
  </si>
  <si>
    <t>RF-002</t>
  </si>
  <si>
    <t>RF-003</t>
  </si>
  <si>
    <t>RF-004</t>
  </si>
  <si>
    <t>Samples</t>
  </si>
  <si>
    <t>SMP-001</t>
  </si>
  <si>
    <t>Samples Samples</t>
  </si>
  <si>
    <t>Showroom</t>
  </si>
  <si>
    <t>SWR-001</t>
  </si>
  <si>
    <t>Showroom Services</t>
  </si>
  <si>
    <t>Saicos</t>
  </si>
  <si>
    <t>Saicos 0,125ml</t>
  </si>
  <si>
    <t>Oil</t>
  </si>
  <si>
    <t>SAIBAASHN125ML</t>
  </si>
  <si>
    <t>Ash Natural Bel Air H2O Garden And Cladding Transparent</t>
  </si>
  <si>
    <t>Ash Natural</t>
  </si>
  <si>
    <t>Bel Air H2O Garden And Cladding</t>
  </si>
  <si>
    <t>Transparent</t>
  </si>
  <si>
    <t>0,125ml</t>
  </si>
  <si>
    <t>Ash Natural Bel Air H2O Garden And Cladding Transparent Oil</t>
  </si>
  <si>
    <t>Saicos 2,5L</t>
  </si>
  <si>
    <t>SAIBAASHN2L</t>
  </si>
  <si>
    <t>2,5L</t>
  </si>
  <si>
    <t>Saicos 10L</t>
  </si>
  <si>
    <t>SAIBAASHN10L</t>
  </si>
  <si>
    <t>10L</t>
  </si>
  <si>
    <t>Saicos 0,750ml</t>
  </si>
  <si>
    <t>SAIBAASHN750ML</t>
  </si>
  <si>
    <t>0,750ml</t>
  </si>
  <si>
    <t>SAIBAAYOUSNAT2L</t>
  </si>
  <si>
    <t>Ayous Natural Bel Air H2O Garden And Cladding Transparent</t>
  </si>
  <si>
    <t>Ayous Natural</t>
  </si>
  <si>
    <t>Ayous Natural Bel Air H2O Garden And Cladding Transparent Oil</t>
  </si>
  <si>
    <t>SAIBAAYOUSNAT10L</t>
  </si>
  <si>
    <t>SAIBAAYOUSN125ML</t>
  </si>
  <si>
    <t>SAIBAAYOUSN750ML</t>
  </si>
  <si>
    <t>SAIBABANG125ML</t>
  </si>
  <si>
    <t>Bangkirai Bel Air H2O Garden And Cladding Transparent</t>
  </si>
  <si>
    <t>Bangkirai</t>
  </si>
  <si>
    <t>Bangkirai Bel Air H2O Garden And Cladding Transparent Oil</t>
  </si>
  <si>
    <t>SAIBABANG750ML</t>
  </si>
  <si>
    <t>SAIBABANG10L</t>
  </si>
  <si>
    <t>SAIBABANG2L</t>
  </si>
  <si>
    <t>SAISWOBANG2L</t>
  </si>
  <si>
    <t>Bangkirai Special Wood Oil</t>
  </si>
  <si>
    <t>Special Wood Oil</t>
  </si>
  <si>
    <t>Bangkirai Special Wood Oil Oil</t>
  </si>
  <si>
    <t>SAISWOBANG10L</t>
  </si>
  <si>
    <t>SAISWOBANG125ML</t>
  </si>
  <si>
    <t>SAISWOBANG750ML</t>
  </si>
  <si>
    <t>SAIBACOLORL125ML</t>
  </si>
  <si>
    <t>Conditioner Bel Air H2O Garden And Cladding Transparent</t>
  </si>
  <si>
    <t>Conditioner</t>
  </si>
  <si>
    <t>Conditioner Bel Air H2O Garden And Cladding Transparent Oil</t>
  </si>
  <si>
    <t>SAIBACOLORL750ML</t>
  </si>
  <si>
    <t>SAIBACOLORLESS2L</t>
  </si>
  <si>
    <t>SAIBACOLORLES10L</t>
  </si>
  <si>
    <t>SAISWOCLESS2L</t>
  </si>
  <si>
    <t>Conditioner Special Wood Oil</t>
  </si>
  <si>
    <t>Conditioner Special Wood Oil Oil</t>
  </si>
  <si>
    <t>SAISWOCLESS10L</t>
  </si>
  <si>
    <t>SAISWOCL125ML</t>
  </si>
  <si>
    <t>SAISWOCL750ML</t>
  </si>
  <si>
    <t>SAISWOCL2L</t>
  </si>
  <si>
    <t>SAISWOCL10L</t>
  </si>
  <si>
    <t>SAIBAODB125ML</t>
  </si>
  <si>
    <t>Deep Black Bel Air H2O Garden And Cladding Opaque</t>
  </si>
  <si>
    <t>Deep Black</t>
  </si>
  <si>
    <t>Opaque</t>
  </si>
  <si>
    <t>Deep Black Bel Air H2O Garden And Cladding Opaque Oil</t>
  </si>
  <si>
    <t>SAIBAODB750ML</t>
  </si>
  <si>
    <t>SAIBAODB10L</t>
  </si>
  <si>
    <t>SAIBAODB2L</t>
  </si>
  <si>
    <t>SAIBAEBON125ML</t>
  </si>
  <si>
    <t>Ebony Bel Air H2O Garden And Cladding Transparent</t>
  </si>
  <si>
    <t>Ebony Bel Air H2O Garden And Cladding Transparent Oil</t>
  </si>
  <si>
    <t>SAIBAEBON750ML</t>
  </si>
  <si>
    <t>SAIBAEBON2L</t>
  </si>
  <si>
    <t>SAIBAEBON10L</t>
  </si>
  <si>
    <t>Saicos 4,55L</t>
  </si>
  <si>
    <t>Sealant</t>
  </si>
  <si>
    <t>SAIEMTMATTCL4L</t>
  </si>
  <si>
    <t>Ecoline MultiTop Matt Colourless Water based Sealant</t>
  </si>
  <si>
    <t>Ecoline MultiTop</t>
  </si>
  <si>
    <t>Matt Colourless</t>
  </si>
  <si>
    <t>Water based Sealant</t>
  </si>
  <si>
    <t>4,55L</t>
  </si>
  <si>
    <t>Ecoline MultiTop Matt Colourless Water based Sealant Sealant</t>
  </si>
  <si>
    <t>Saicos 0,450ml</t>
  </si>
  <si>
    <t>SAIEMTPBLA450ML</t>
  </si>
  <si>
    <t>Ecoline MultiTop Pitch Black Water based Sealant</t>
  </si>
  <si>
    <t>Pitch Black</t>
  </si>
  <si>
    <t>0,450ml</t>
  </si>
  <si>
    <t>Ecoline MultiTop Pitch Black Water based Sealant Sealant</t>
  </si>
  <si>
    <t>SAIBAOAK125ML</t>
  </si>
  <si>
    <t>Oak Bel Air H2O Garden And Cladding Transparent</t>
  </si>
  <si>
    <t>Oak Bel Air H2O Garden And Cladding Transparent Oil</t>
  </si>
  <si>
    <t>SAIBAOAK750ML</t>
  </si>
  <si>
    <t>SAIBAOAK2L</t>
  </si>
  <si>
    <t>SAIBAOAK10L</t>
  </si>
  <si>
    <t>SAIBAPEARLG10L</t>
  </si>
  <si>
    <t>Pearl Grey Bel Air H2O Garden And Cladding Transparent</t>
  </si>
  <si>
    <t>Pearl Grey</t>
  </si>
  <si>
    <t>Pearl Grey Bel Air H2O Garden And Cladding Transparent Oil</t>
  </si>
  <si>
    <t>SAIBAPEARLG2L</t>
  </si>
  <si>
    <t>SAIBAPEARLG125ML</t>
  </si>
  <si>
    <t>SAIBAPEARLG750ML</t>
  </si>
  <si>
    <t>SAIBAPEARLW2L</t>
  </si>
  <si>
    <t>Pearl White Bel Air H2O Garden And Cladding Transparent</t>
  </si>
  <si>
    <t>Pearl White</t>
  </si>
  <si>
    <t>Pearl White Bel Air H2O Garden And Cladding Transparent Oil</t>
  </si>
  <si>
    <t>SAIBAPEARLW10L</t>
  </si>
  <si>
    <t>SAIBAPEARLW125ML</t>
  </si>
  <si>
    <t>SAIBAPEARLW750ML</t>
  </si>
  <si>
    <t>SAIBARADN125ML</t>
  </si>
  <si>
    <t>Radiata Natural Bel Air H2O Garden And Cladding Transparent</t>
  </si>
  <si>
    <t>Radiata Natural</t>
  </si>
  <si>
    <t>Radiata Natural Bel Air H2O Garden And Cladding Transparent Oil</t>
  </si>
  <si>
    <t>SAIBARADN2L</t>
  </si>
  <si>
    <t>SAIBARADN10L</t>
  </si>
  <si>
    <t>SAIBARADN750ML</t>
  </si>
  <si>
    <t>Flat Brush 100 mm</t>
  </si>
  <si>
    <t>Flat Brush</t>
  </si>
  <si>
    <t>Saicos 100 mm Flat Brush For Water &amp; Oil</t>
  </si>
  <si>
    <t>For Water &amp; Oil</t>
  </si>
  <si>
    <t>100 mm</t>
  </si>
  <si>
    <t>Saicos 100 mm Flat Brush For Water &amp; Oil Flat Brush</t>
  </si>
  <si>
    <t>Flat Brush 150 mm</t>
  </si>
  <si>
    <t>Saicos 150 mm Flat Brush For Water &amp; Oil</t>
  </si>
  <si>
    <t>150 mm</t>
  </si>
  <si>
    <t>Saicos 150 mm Flat Brush For Water &amp; Oil Flat Brush</t>
  </si>
  <si>
    <t>Flat Brush 210 mm</t>
  </si>
  <si>
    <t>Saicos 210 mm Flat Brush For Water &amp; Oil</t>
  </si>
  <si>
    <t>210 mm</t>
  </si>
  <si>
    <t>Saicos 210 mm Flat Brush For Water &amp; Oil Flat Brush</t>
  </si>
  <si>
    <t>Flat Brush 30 mm</t>
  </si>
  <si>
    <t>Saicos 30 mm Flat Brush For Water &amp; Oil</t>
  </si>
  <si>
    <t>30 mm</t>
  </si>
  <si>
    <t>Saicos 30 mm Flat Brush For Water &amp; Oil Flat Brush</t>
  </si>
  <si>
    <t>Flat Brush 50 mm</t>
  </si>
  <si>
    <t>Saicos 50 mm Flat Brush For Water &amp; Oil</t>
  </si>
  <si>
    <t>50 mm</t>
  </si>
  <si>
    <t>Saicos 50 mm Flat Brush For Water &amp; Oil Flat Brush</t>
  </si>
  <si>
    <t>Flat Brush 60 mm</t>
  </si>
  <si>
    <t>Saicos 60 mm Flat Brush For Water &amp; Oil</t>
  </si>
  <si>
    <t>60 mm</t>
  </si>
  <si>
    <t>Saicos 60 mm Flat Brush For Water &amp; Oil Flat Brush</t>
  </si>
  <si>
    <t>SAIPHWXOIL125ML</t>
  </si>
  <si>
    <t>Sattin Matt Premium Hardwax Oil</t>
  </si>
  <si>
    <t>Sattin Matt</t>
  </si>
  <si>
    <t>Premium Hardwax Oil</t>
  </si>
  <si>
    <t>Sattin Matt Premium Hardwax Oil Oil</t>
  </si>
  <si>
    <t>SAIPHWXOIL750ML</t>
  </si>
  <si>
    <t>SAIPHWXOIL2L</t>
  </si>
  <si>
    <t>SAIPHWXOIL10L</t>
  </si>
  <si>
    <t>SAIBASN10L</t>
  </si>
  <si>
    <t>Scandinavian Natural Bel Air H2O Garden And Cladding Transparent</t>
  </si>
  <si>
    <t>Scandinavian Natural</t>
  </si>
  <si>
    <t>Scandinavian Natural Bel Air H2O Garden And Cladding Transparent Oil</t>
  </si>
  <si>
    <t>SAIBASN2L</t>
  </si>
  <si>
    <t>SAIBASN125ML</t>
  </si>
  <si>
    <t>SAIBASN750ML</t>
  </si>
  <si>
    <t>SAIECOSGREY125ML</t>
  </si>
  <si>
    <t>Silver Grey Ecoline Oil Ground Coat</t>
  </si>
  <si>
    <t>Silver Grey</t>
  </si>
  <si>
    <t>Ecoline Oil Ground Coat</t>
  </si>
  <si>
    <t>Silver Grey Ecoline Oil Ground Coat Oil</t>
  </si>
  <si>
    <t>SAIECOSGREY750ML</t>
  </si>
  <si>
    <t>SAIECOSGREY2L</t>
  </si>
  <si>
    <t>SAIECOSGREY10L</t>
  </si>
  <si>
    <t>SAISWOTWT125ML</t>
  </si>
  <si>
    <t>Taupe Special Wood Oil</t>
  </si>
  <si>
    <t>Taupe</t>
  </si>
  <si>
    <t>Taupe Special Wood Oil Oil</t>
  </si>
  <si>
    <t>SAISWOTWT750ML</t>
  </si>
  <si>
    <t>SAISWOTWT10L</t>
  </si>
  <si>
    <t>SAIBATEAK125ML</t>
  </si>
  <si>
    <t>Teak Bel Air H2O Garden And Cladding Transparent</t>
  </si>
  <si>
    <t>Teak Bel Air H2O Garden And Cladding Transparent Oil</t>
  </si>
  <si>
    <t>SAIBATEAK750ML</t>
  </si>
  <si>
    <t>SAIBATEAK2L</t>
  </si>
  <si>
    <t>SAIBATEAK10L</t>
  </si>
  <si>
    <t>SAISWOTT125ML</t>
  </si>
  <si>
    <t>Teak Special Wood Oil</t>
  </si>
  <si>
    <t>Teak Special Wood Oil Oil</t>
  </si>
  <si>
    <t>SAISWOTT750ML</t>
  </si>
  <si>
    <t>SAISWOTT2L</t>
  </si>
  <si>
    <t>SAISWOTT10L</t>
  </si>
  <si>
    <t>SAISWOTWT2L</t>
  </si>
  <si>
    <t>Thermowood Special Wood Oil</t>
  </si>
  <si>
    <t>Thermowood</t>
  </si>
  <si>
    <t>Thermowood Special Wood Oil Oil</t>
  </si>
  <si>
    <t>SAIBAWAL125ML</t>
  </si>
  <si>
    <t>Walnut Bel Air H2O Garden And Cladding Transparent</t>
  </si>
  <si>
    <t>Walnut</t>
  </si>
  <si>
    <t>Walnut Bel Air H2O Garden And Cladding Transparent Oil</t>
  </si>
  <si>
    <t>SAIBAWAL750ML</t>
  </si>
  <si>
    <t>SAIBAWAL2L</t>
  </si>
  <si>
    <t>SAIBAWAL10L</t>
  </si>
  <si>
    <t>SAIBAWO125ML</t>
  </si>
  <si>
    <t>White Oak Bel Air H2O Garden And Cladding Transparent</t>
  </si>
  <si>
    <t>White Oak</t>
  </si>
  <si>
    <t>White Oak Bel Air H2O Garden And Cladding Transparent Oil</t>
  </si>
  <si>
    <t>SAIBAWO750ML</t>
  </si>
  <si>
    <t>SAIBAWO2L</t>
  </si>
  <si>
    <t>SAIBAWO10L</t>
  </si>
  <si>
    <t>SAIBAWOP125ML</t>
  </si>
  <si>
    <t>White Opaque Bel Air H2O Garden And Cladding Transparent</t>
  </si>
  <si>
    <t>White Opaque</t>
  </si>
  <si>
    <t>White Opaque Bel Air H2O Garden And Cladding Transparent Oil</t>
  </si>
  <si>
    <t>SAIBAWOP750ML</t>
  </si>
  <si>
    <t>SAIBAWOP2L</t>
  </si>
  <si>
    <t>SAIBAWOP10L</t>
  </si>
  <si>
    <t>Ash</t>
  </si>
  <si>
    <t>Ash 1x6 Plus</t>
  </si>
  <si>
    <t>MN704239-004</t>
  </si>
  <si>
    <t>Profile #2</t>
  </si>
  <si>
    <t>MN704239-003</t>
  </si>
  <si>
    <t>Rondo</t>
  </si>
  <si>
    <t>Ayous</t>
  </si>
  <si>
    <t>Ayous 2x6</t>
  </si>
  <si>
    <t>MN704239-001</t>
  </si>
  <si>
    <t>Elevato Trio</t>
  </si>
  <si>
    <t>MN704239-002</t>
  </si>
  <si>
    <t>Ayous 1x6</t>
  </si>
  <si>
    <t>MN704239-000</t>
  </si>
  <si>
    <t>Ironthermo</t>
  </si>
  <si>
    <t>Ironthermo 1x6</t>
  </si>
  <si>
    <t>IRT1610S</t>
  </si>
  <si>
    <t>Ironthermo S4S E4E 1x6</t>
  </si>
  <si>
    <t>Ironthermo S4S E4E 1x6 Long</t>
  </si>
  <si>
    <t>IRT1611S</t>
  </si>
  <si>
    <t>IRT1612S</t>
  </si>
  <si>
    <t>IRT1614S</t>
  </si>
  <si>
    <t>IRT1615S</t>
  </si>
  <si>
    <t>IRT1616S</t>
  </si>
  <si>
    <t>IRT1617S</t>
  </si>
  <si>
    <t>IRT1618S</t>
  </si>
  <si>
    <t>IRT1619S</t>
  </si>
  <si>
    <t>IRT1620S</t>
  </si>
  <si>
    <t>IRT164S</t>
  </si>
  <si>
    <t>Ironthermo S4S E4E 1x6 Short</t>
  </si>
  <si>
    <t>IRT165S</t>
  </si>
  <si>
    <t>IRT166S</t>
  </si>
  <si>
    <t>IRT167S</t>
  </si>
  <si>
    <t>IRT168S</t>
  </si>
  <si>
    <t>IRT169S</t>
  </si>
  <si>
    <t>Ash 1x5 1/4</t>
  </si>
  <si>
    <t>TA1510SSEM</t>
  </si>
  <si>
    <t>Maximo Thermo Ash S4S E4E End Match 1x5 1/4</t>
  </si>
  <si>
    <t>Maximo Thermo Ash</t>
  </si>
  <si>
    <t>End Match</t>
  </si>
  <si>
    <t>1x5 1/4</t>
  </si>
  <si>
    <t>Maximo Thermo Ash S4S E4E End Match 1x5 1/4 Long</t>
  </si>
  <si>
    <t>TA1511SSEM</t>
  </si>
  <si>
    <t>TA1512SSEM</t>
  </si>
  <si>
    <t>TA1513SSEM</t>
  </si>
  <si>
    <t>TA1514SSEM</t>
  </si>
  <si>
    <t>TA1515SSEM</t>
  </si>
  <si>
    <t>TA1516SSEM</t>
  </si>
  <si>
    <t>TA1517SSEM</t>
  </si>
  <si>
    <t>TA1518SSEM</t>
  </si>
  <si>
    <t>TA154SSEM</t>
  </si>
  <si>
    <t>Maximo Thermo Ash S4S E4E End Match 1x5 1/4 Short</t>
  </si>
  <si>
    <t>TA155SSEM</t>
  </si>
  <si>
    <t>TA158SSEM</t>
  </si>
  <si>
    <t>TA159SSEM</t>
  </si>
  <si>
    <t>Maximo Thermo Ash S4S E4E End Match 1x6 Plus</t>
  </si>
  <si>
    <t>Maximo Thermo Ash S4S E4E End Match 1x6 Plus Long</t>
  </si>
  <si>
    <t>TA1615SSEM</t>
  </si>
  <si>
    <t>TA1617SSEM</t>
  </si>
  <si>
    <t>TA1618SSEM</t>
  </si>
  <si>
    <t>TA164SSEM</t>
  </si>
  <si>
    <t>Maximo Thermo Ash S4S E4E End Match 1x6 Plus Short</t>
  </si>
  <si>
    <t>TA165SSEM</t>
  </si>
  <si>
    <t>Ash 5/4x5 1/4</t>
  </si>
  <si>
    <t>Maximo Thermo Ash S4S E4E End Match 5/4x5 1/4</t>
  </si>
  <si>
    <t>5/4x5 1/4</t>
  </si>
  <si>
    <t>Maximo Thermo Ash S4S E4E End Match 5/4x5 1/4 Long</t>
  </si>
  <si>
    <t>TA54511SSEM</t>
  </si>
  <si>
    <t>TA54512SSEM</t>
  </si>
  <si>
    <t>TA54513SSEM</t>
  </si>
  <si>
    <t>TA54514SSEM</t>
  </si>
  <si>
    <t>TA54515SSEM</t>
  </si>
  <si>
    <t>TA54516SSEM</t>
  </si>
  <si>
    <t>TA54517SSEM</t>
  </si>
  <si>
    <t>TA54518SSEM</t>
  </si>
  <si>
    <t>TA5454SSEM</t>
  </si>
  <si>
    <t>Maximo Thermo Ash S4S E4E End Match 5/4x5 1/4 Short</t>
  </si>
  <si>
    <t>TA5455SSEM</t>
  </si>
  <si>
    <t>TA5457SSEM</t>
  </si>
  <si>
    <t>Ash 5/4x6</t>
  </si>
  <si>
    <t>Maximo Thermo Ash S4S E4E End Match 5/4x6</t>
  </si>
  <si>
    <t>Maximo Thermo Ash S4S E4E End Match 5/4x6 Long</t>
  </si>
  <si>
    <t>TA54613SSEM</t>
  </si>
  <si>
    <t>TA54614SSEM</t>
  </si>
  <si>
    <t>TA54615SSEM</t>
  </si>
  <si>
    <t>TA54616SSEM</t>
  </si>
  <si>
    <t>TA54617SSEM</t>
  </si>
  <si>
    <t>TA54618SSEM</t>
  </si>
  <si>
    <t>TA5464SSEM</t>
  </si>
  <si>
    <t>Maximo Thermo Ash S4S E4E End Match 5/4x6 Short</t>
  </si>
  <si>
    <t>TA5465SSEM</t>
  </si>
  <si>
    <t>Ash 1x10</t>
  </si>
  <si>
    <t>Maximo Thermo Ash S4S E4E 1x10</t>
  </si>
  <si>
    <t>Maximo Thermo Ash S4S E4E 1x10 Long</t>
  </si>
  <si>
    <t>TA11015S</t>
  </si>
  <si>
    <t>TA11016S</t>
  </si>
  <si>
    <t>TA11017S</t>
  </si>
  <si>
    <t>TA11018S</t>
  </si>
  <si>
    <t>Maximo Thermo Ash S4S E4E 1x10 Short</t>
  </si>
  <si>
    <t>Ash 1x6</t>
  </si>
  <si>
    <t>TA1610S</t>
  </si>
  <si>
    <t>Maximo Thermo Ash S4S E4E 1x6</t>
  </si>
  <si>
    <t>Maximo Thermo Ash S4S E4E 1x6 Long</t>
  </si>
  <si>
    <t>TA1611S</t>
  </si>
  <si>
    <t>TA1612S</t>
  </si>
  <si>
    <t>TA1613S</t>
  </si>
  <si>
    <t>TA1614S</t>
  </si>
  <si>
    <t>TA1615S</t>
  </si>
  <si>
    <t>TA1616S</t>
  </si>
  <si>
    <t>TA1617S</t>
  </si>
  <si>
    <t>TA1618S</t>
  </si>
  <si>
    <t>TA164S</t>
  </si>
  <si>
    <t>Maximo Thermo Ash S4S E4E 1x6 Short</t>
  </si>
  <si>
    <t>TA165S</t>
  </si>
  <si>
    <t>TA166S</t>
  </si>
  <si>
    <t>TA167S</t>
  </si>
  <si>
    <t>TA168S</t>
  </si>
  <si>
    <t>TA169S</t>
  </si>
  <si>
    <t>Ash 1x8</t>
  </si>
  <si>
    <t>TA1810S</t>
  </si>
  <si>
    <t>Maximo Thermo Ash S4S E4E 1x8</t>
  </si>
  <si>
    <t>Maximo Thermo Ash S4S E4E 1x8 Long</t>
  </si>
  <si>
    <t>TA1811S</t>
  </si>
  <si>
    <t>TA1812S</t>
  </si>
  <si>
    <t>TA1813S</t>
  </si>
  <si>
    <t>TA1814S</t>
  </si>
  <si>
    <t>TA1815S</t>
  </si>
  <si>
    <t>TA1816S</t>
  </si>
  <si>
    <t>TA1817S</t>
  </si>
  <si>
    <t>TA1818S</t>
  </si>
  <si>
    <t>Maximo Thermo Ash S4S E4E 1x8 Short</t>
  </si>
  <si>
    <t>TA189S</t>
  </si>
  <si>
    <t>Ash 2x2</t>
  </si>
  <si>
    <t>TA2210S</t>
  </si>
  <si>
    <t>Maximo Thermo Ash S4S E4E 2x2</t>
  </si>
  <si>
    <t>Maximo Thermo Ash S4S E4E 2x2 Long</t>
  </si>
  <si>
    <t>TA2211S</t>
  </si>
  <si>
    <t>TA2212S</t>
  </si>
  <si>
    <t>TA2213S</t>
  </si>
  <si>
    <t>TA2214S</t>
  </si>
  <si>
    <t>TA2215S</t>
  </si>
  <si>
    <t>TA2216S</t>
  </si>
  <si>
    <t>TA2217S</t>
  </si>
  <si>
    <t>TA2218S</t>
  </si>
  <si>
    <t>TA223S</t>
  </si>
  <si>
    <t>Maximo Thermo Ash S4S E4E 2x2 Short</t>
  </si>
  <si>
    <t>TA224S</t>
  </si>
  <si>
    <t>TA225S</t>
  </si>
  <si>
    <t>TA226S</t>
  </si>
  <si>
    <t>TA227S</t>
  </si>
  <si>
    <t>TA228S</t>
  </si>
  <si>
    <t>TA229S</t>
  </si>
  <si>
    <t>Ash 2x4</t>
  </si>
  <si>
    <t>Maximo Thermo Ash S4S E4E 2x4</t>
  </si>
  <si>
    <t>Maximo Thermo Ash S4S E4E 2x4 Long</t>
  </si>
  <si>
    <t>TA2415S</t>
  </si>
  <si>
    <t>TA2416S</t>
  </si>
  <si>
    <t>TA2417S</t>
  </si>
  <si>
    <t>TA2418S</t>
  </si>
  <si>
    <t>Maximo Thermo Ash S4S E4E 2x4 Short</t>
  </si>
  <si>
    <t>Ash 2x5 1/4</t>
  </si>
  <si>
    <t>Maximo Thermo Ash S4S E4E 2x5 1/4</t>
  </si>
  <si>
    <t>2x5 1/4</t>
  </si>
  <si>
    <t>Maximo Thermo Ash S4S E4E 2x5 1/4 Long</t>
  </si>
  <si>
    <t>TA2511S</t>
  </si>
  <si>
    <t>TA2512S</t>
  </si>
  <si>
    <t>TA2513S</t>
  </si>
  <si>
    <t>TA2514S</t>
  </si>
  <si>
    <t>TA2515S</t>
  </si>
  <si>
    <t>TA2516S</t>
  </si>
  <si>
    <t>TA2517S</t>
  </si>
  <si>
    <t>TA2518S</t>
  </si>
  <si>
    <t>Maximo Thermo Ash S4S E4E 2x5 1/4 Short</t>
  </si>
  <si>
    <t>TA258S</t>
  </si>
  <si>
    <t>Ash 2x6</t>
  </si>
  <si>
    <t>TA2610S</t>
  </si>
  <si>
    <t>Maximo Thermo Ash S4S E4E 2x6</t>
  </si>
  <si>
    <t>Maximo Thermo Ash S4S E4E 2x6 Long</t>
  </si>
  <si>
    <t>TA2611S</t>
  </si>
  <si>
    <t>TA2612S</t>
  </si>
  <si>
    <t>TA2613S</t>
  </si>
  <si>
    <t>TA2614S</t>
  </si>
  <si>
    <t>TA2615S</t>
  </si>
  <si>
    <t>TA2616S</t>
  </si>
  <si>
    <t>TA2617S</t>
  </si>
  <si>
    <t>TA2618S</t>
  </si>
  <si>
    <t>TA264S</t>
  </si>
  <si>
    <t>Maximo Thermo Ash S4S E4E 2x6 Short</t>
  </si>
  <si>
    <t>TA265S</t>
  </si>
  <si>
    <t>TA266S</t>
  </si>
  <si>
    <t>TA267S</t>
  </si>
  <si>
    <t>TA268S</t>
  </si>
  <si>
    <t>TA269S</t>
  </si>
  <si>
    <t>TAYAPGMS1610</t>
  </si>
  <si>
    <t>Maximo Thermo Ayous Alfa Profile Groco Matte 1x6</t>
  </si>
  <si>
    <t>Maximo Thermo Ayous</t>
  </si>
  <si>
    <t>Alfa Profile</t>
  </si>
  <si>
    <t>Groco Matte</t>
  </si>
  <si>
    <t>Maximo Thermo Ayous Alfa Profile Groco Matte 1x6 Long</t>
  </si>
  <si>
    <t>TAYAPGMS1612</t>
  </si>
  <si>
    <t>TAYAPGMS1618</t>
  </si>
  <si>
    <t>TAYAPGMS168</t>
  </si>
  <si>
    <t>Ayous Dark</t>
  </si>
  <si>
    <t>Ayous Dark 1x11</t>
  </si>
  <si>
    <t>TAYD11110S</t>
  </si>
  <si>
    <t>Maximo Thermo Ayous Dark S4S E4E 1x11</t>
  </si>
  <si>
    <t>Maximo Thermo Ayous Dark</t>
  </si>
  <si>
    <t>1x11</t>
  </si>
  <si>
    <t>Maximo Thermo Ayous Dark S4S E4E 1x11 Long</t>
  </si>
  <si>
    <t>TAYD11111S</t>
  </si>
  <si>
    <t>TAYD11112S</t>
  </si>
  <si>
    <t>TAYD11113S</t>
  </si>
  <si>
    <t>TAYD11114S</t>
  </si>
  <si>
    <t>TAYD11115S</t>
  </si>
  <si>
    <t>TAYD11116S</t>
  </si>
  <si>
    <t>TAYD11117S</t>
  </si>
  <si>
    <t>TAYD11118S</t>
  </si>
  <si>
    <t>TAYD1114S</t>
  </si>
  <si>
    <t>Maximo Thermo Ayous Dark S4S E4E 1x11 Short</t>
  </si>
  <si>
    <t>TAYD1115S</t>
  </si>
  <si>
    <t>TAYD1116S</t>
  </si>
  <si>
    <t>TAYD1117S</t>
  </si>
  <si>
    <t>TAYD1118S</t>
  </si>
  <si>
    <t>TAYD1119S</t>
  </si>
  <si>
    <t>Ayous Dark 1x6</t>
  </si>
  <si>
    <t>TAYD1610S</t>
  </si>
  <si>
    <t>Maximo Thermo Ayous Dark S4S E4E 1x6</t>
  </si>
  <si>
    <t>Maximo Thermo Ayous Dark S4S E4E 1x6 Long</t>
  </si>
  <si>
    <t>TAYD1611S</t>
  </si>
  <si>
    <t>TAYD1612S</t>
  </si>
  <si>
    <t>TAYD1613S</t>
  </si>
  <si>
    <t>TAYD1614S</t>
  </si>
  <si>
    <t>TAYD1615S</t>
  </si>
  <si>
    <t>TAYD1616S</t>
  </si>
  <si>
    <t>TAYD1617S</t>
  </si>
  <si>
    <t>TAYD1618S</t>
  </si>
  <si>
    <t>TAYD164S</t>
  </si>
  <si>
    <t>Maximo Thermo Ayous Dark S4S E4E 1x6 Short</t>
  </si>
  <si>
    <t>TAYD165S</t>
  </si>
  <si>
    <t>TAYD166S</t>
  </si>
  <si>
    <t>TAYD167S</t>
  </si>
  <si>
    <t>TAYD168S</t>
  </si>
  <si>
    <t>TAYD169S</t>
  </si>
  <si>
    <t>Ayous Dark 1x8</t>
  </si>
  <si>
    <t>TAYD1810S</t>
  </si>
  <si>
    <t>Maximo Thermo Ayous Dark S4S E4E 1x8</t>
  </si>
  <si>
    <t>Maximo Thermo Ayous Dark S4S E4E 1x8 Long</t>
  </si>
  <si>
    <t>TAYD1811S</t>
  </si>
  <si>
    <t>TAYD1812S</t>
  </si>
  <si>
    <t>TAYD1813S</t>
  </si>
  <si>
    <t>TAYD1814S</t>
  </si>
  <si>
    <t>TAYD1815S</t>
  </si>
  <si>
    <t>TAYD1816S</t>
  </si>
  <si>
    <t>TAYD1817S</t>
  </si>
  <si>
    <t>TAYD1818S</t>
  </si>
  <si>
    <t>TAYD184S</t>
  </si>
  <si>
    <t>Maximo Thermo Ayous Dark S4S E4E 1x8 Short</t>
  </si>
  <si>
    <t>TAYD185S</t>
  </si>
  <si>
    <t>TAYD186S</t>
  </si>
  <si>
    <t>TAYD187S</t>
  </si>
  <si>
    <t>TAYD188S</t>
  </si>
  <si>
    <t>TAYD189S</t>
  </si>
  <si>
    <t>Ayous Dark 2x2</t>
  </si>
  <si>
    <t>TAYD2210S</t>
  </si>
  <si>
    <t>Maximo Thermo Ayous Dark S4S E4E 2x2</t>
  </si>
  <si>
    <t>Maximo Thermo Ayous Dark S4S E4E 2x2 Long</t>
  </si>
  <si>
    <t>TAYD2211S</t>
  </si>
  <si>
    <t>TAYD2212S</t>
  </si>
  <si>
    <t>TAYD2213S</t>
  </si>
  <si>
    <t>TAYD2214S</t>
  </si>
  <si>
    <t>TAYD2215S</t>
  </si>
  <si>
    <t>TAYD2216S</t>
  </si>
  <si>
    <t>TAYD2217S</t>
  </si>
  <si>
    <t>TAYD2218S</t>
  </si>
  <si>
    <t>TAYD224S</t>
  </si>
  <si>
    <t>Maximo Thermo Ayous Dark S4S E4E 2x2 Short</t>
  </si>
  <si>
    <t>TAYD225S</t>
  </si>
  <si>
    <t>TAYD226S</t>
  </si>
  <si>
    <t>TAYD227S</t>
  </si>
  <si>
    <t>TAYD228S</t>
  </si>
  <si>
    <t>TAYD229S</t>
  </si>
  <si>
    <t>Ayous Dark 2x4</t>
  </si>
  <si>
    <t>TAYD2410S</t>
  </si>
  <si>
    <t>Maximo Thermo Ayous Dark S4S E4E 2x4</t>
  </si>
  <si>
    <t>Maximo Thermo Ayous Dark S4S E4E 2x4 Long</t>
  </si>
  <si>
    <t>TAYD2411S</t>
  </si>
  <si>
    <t>TAYD2412S</t>
  </si>
  <si>
    <t>TAYD2413S</t>
  </si>
  <si>
    <t>TAYD2414S</t>
  </si>
  <si>
    <t>TAYD2415S</t>
  </si>
  <si>
    <t>TAYD2416S</t>
  </si>
  <si>
    <t>TAYD2417S</t>
  </si>
  <si>
    <t>TAYD2418S</t>
  </si>
  <si>
    <t>TAYD244S</t>
  </si>
  <si>
    <t>Maximo Thermo Ayous Dark S4S E4E 2x4 Short</t>
  </si>
  <si>
    <t>TAYD248S</t>
  </si>
  <si>
    <t>TAYD249S</t>
  </si>
  <si>
    <t>Ayous Dark 2x6</t>
  </si>
  <si>
    <t>TAYD2610S</t>
  </si>
  <si>
    <t>Maximo Thermo Ayous Dark S4S E4E 2x6</t>
  </si>
  <si>
    <t>Maximo Thermo Ayous Dark S4S E4E 2x6 Long</t>
  </si>
  <si>
    <t>TAYD2611S</t>
  </si>
  <si>
    <t>TAYD2612S</t>
  </si>
  <si>
    <t>TAYD2613S</t>
  </si>
  <si>
    <t>TAYD2614S</t>
  </si>
  <si>
    <t>TAYD2615S</t>
  </si>
  <si>
    <t>TAYD2616S</t>
  </si>
  <si>
    <t>TAYD2617S</t>
  </si>
  <si>
    <t>TAYD2618S</t>
  </si>
  <si>
    <t>TAYD264S</t>
  </si>
  <si>
    <t>Maximo Thermo Ayous Dark S4S E4E 2x6 Short</t>
  </si>
  <si>
    <t>TAYD265S</t>
  </si>
  <si>
    <t>TAYD266S</t>
  </si>
  <si>
    <t>TAYD267S</t>
  </si>
  <si>
    <t>TAYD268S</t>
  </si>
  <si>
    <t>TAYD269S</t>
  </si>
  <si>
    <t>Maximo Thermo Ayous Dark VJoint - Square Back 1x6</t>
  </si>
  <si>
    <t>VJoint - Square Back</t>
  </si>
  <si>
    <t>Maximo Thermo Ayous Dark VJoint - Square Back 1x6 Long</t>
  </si>
  <si>
    <t>TAYDVJ1616</t>
  </si>
  <si>
    <t>TAYDVJ1618</t>
  </si>
  <si>
    <t>TAYDVJ164</t>
  </si>
  <si>
    <t>Maximo Thermo Ayous Dark VJoint - Square Back 1x6 Short</t>
  </si>
  <si>
    <t>TAYDVJ165</t>
  </si>
  <si>
    <t>Maximo Thermo Ayous Fluted 1x6</t>
  </si>
  <si>
    <t>Fluted</t>
  </si>
  <si>
    <t>Maximo Thermo Ayous Fluted 1x6 Long</t>
  </si>
  <si>
    <t>TAYLTG1617CL5</t>
  </si>
  <si>
    <t>TAYLTG1618CL5</t>
  </si>
  <si>
    <t>TAYLTG164CL5</t>
  </si>
  <si>
    <t>Maximo Thermo Ayous Fluted 1x6 Short</t>
  </si>
  <si>
    <t>TAYLTG165CL5</t>
  </si>
  <si>
    <t>Ayous JPL</t>
  </si>
  <si>
    <t>Ayous JPL 1x6</t>
  </si>
  <si>
    <t>TAYJPLLTG1610CL5</t>
  </si>
  <si>
    <t>Maximo Thermo Ayous JPL Fluted 1x6</t>
  </si>
  <si>
    <t>Maximo Thermo Ayous JPL</t>
  </si>
  <si>
    <t>Maximo Thermo Ayous JPL Fluted 1x6 Long</t>
  </si>
  <si>
    <t>TAYJPLLTG1611CL5</t>
  </si>
  <si>
    <t>TAYJPLLTG1612CL5</t>
  </si>
  <si>
    <t>TAYJPLLTG1613CL5</t>
  </si>
  <si>
    <t>TAYJPLLTG1614CL5</t>
  </si>
  <si>
    <t>TAYJPLLTG1615CL5</t>
  </si>
  <si>
    <t>TAYJPLLTG1616CL5</t>
  </si>
  <si>
    <t>TAYJPLLTG1617CL5</t>
  </si>
  <si>
    <t>TAYJPLLTG1618CL5</t>
  </si>
  <si>
    <t>TAYJPLLTG164CL5</t>
  </si>
  <si>
    <t>Maximo Thermo Ayous JPL Fluted 1x6 Short</t>
  </si>
  <si>
    <t>TAYJPLLTG165CL5</t>
  </si>
  <si>
    <t>TAYJPLLTG166CL5</t>
  </si>
  <si>
    <t>TAYJPLLTG167CL5</t>
  </si>
  <si>
    <t>TAYJPLLTG168CL5</t>
  </si>
  <si>
    <t>TAYJPLLTG169CL5</t>
  </si>
  <si>
    <t>Ayous JPL 1x10</t>
  </si>
  <si>
    <t>Maximo Thermo Ayous JPL S4S E4E 1x10</t>
  </si>
  <si>
    <t>Maximo Thermo Ayous JPL S4S E4E 1x10 Long</t>
  </si>
  <si>
    <t>TAYJPLL11012</t>
  </si>
  <si>
    <t>TAYJPLL11015</t>
  </si>
  <si>
    <t>TAYJPLL1104</t>
  </si>
  <si>
    <t>Maximo Thermo Ayous JPL S4S E4E 1x10 Short</t>
  </si>
  <si>
    <t>TAYJPLL1105</t>
  </si>
  <si>
    <t>TAYJPLL1106</t>
  </si>
  <si>
    <t>TAYJPLL1107</t>
  </si>
  <si>
    <t>TAYJPLL1108</t>
  </si>
  <si>
    <t>Ayous JPL 1x11</t>
  </si>
  <si>
    <t>TAYJPLL11110</t>
  </si>
  <si>
    <t>Maximo Thermo Ayous JPL S4S E4E 1x11</t>
  </si>
  <si>
    <t>Maximo Thermo Ayous JPL S4S E4E 1x11 Long</t>
  </si>
  <si>
    <t>TAYJPLL11111</t>
  </si>
  <si>
    <t>TAYJPLL11112</t>
  </si>
  <si>
    <t>TAYJPLL11113</t>
  </si>
  <si>
    <t>TAYJPLL11114</t>
  </si>
  <si>
    <t>TAYJPLL11115</t>
  </si>
  <si>
    <t>TAYJPLL11116</t>
  </si>
  <si>
    <t>TAYJPLL11117</t>
  </si>
  <si>
    <t>TAYJPLL11118</t>
  </si>
  <si>
    <t>TAYJPLL1114</t>
  </si>
  <si>
    <t>Maximo Thermo Ayous JPL S4S E4E 1x11 Short</t>
  </si>
  <si>
    <t>TAYJPLL1115</t>
  </si>
  <si>
    <t>TAYJPLL1116</t>
  </si>
  <si>
    <t>TAYJPLL1117</t>
  </si>
  <si>
    <t>TAYJPLL1118</t>
  </si>
  <si>
    <t>TAYJPLL1119</t>
  </si>
  <si>
    <t>Ayous JPL 1x12</t>
  </si>
  <si>
    <t>Maximo Thermo Ayous JPL S4S E4E 1x12</t>
  </si>
  <si>
    <t>Maximo Thermo Ayous JPL S4S E4E 1x12 Long</t>
  </si>
  <si>
    <t>TAYJPLL11211</t>
  </si>
  <si>
    <t>TAYJPLL11214</t>
  </si>
  <si>
    <t>TAYJPLL11215</t>
  </si>
  <si>
    <t>TAYJPLL1124</t>
  </si>
  <si>
    <t>Maximo Thermo Ayous JPL S4S E4E 1x12 Short</t>
  </si>
  <si>
    <t>TAYJPLL1125</t>
  </si>
  <si>
    <t>TAYJPLL1126</t>
  </si>
  <si>
    <t>Ayous JPL 1x4</t>
  </si>
  <si>
    <t>TAYJPL1410</t>
  </si>
  <si>
    <t>Maximo Thermo Ayous JPL S4S E4E 1x4</t>
  </si>
  <si>
    <t>Maximo Thermo Ayous JPL S4S E4E 1x4 Long</t>
  </si>
  <si>
    <t>TAYJPL1411</t>
  </si>
  <si>
    <t>TAYJPL1412</t>
  </si>
  <si>
    <t>TAYJPL1413</t>
  </si>
  <si>
    <t>TAYJPL1414</t>
  </si>
  <si>
    <t>TAYJPL1415</t>
  </si>
  <si>
    <t>TAYJPL1416</t>
  </si>
  <si>
    <t>TAYJPL1417</t>
  </si>
  <si>
    <t>TAYJPL1418</t>
  </si>
  <si>
    <t>TAYJPL144</t>
  </si>
  <si>
    <t>Maximo Thermo Ayous JPL S4S E4E 1x4 Short</t>
  </si>
  <si>
    <t>TAYJPL145</t>
  </si>
  <si>
    <t>TAYJPL146</t>
  </si>
  <si>
    <t>TAYJPL147</t>
  </si>
  <si>
    <t>TAYJPL148</t>
  </si>
  <si>
    <t>TAYJPL149</t>
  </si>
  <si>
    <t>TAYJPL1610S</t>
  </si>
  <si>
    <t>Maximo Thermo Ayous JPL S4S E4E 1x6</t>
  </si>
  <si>
    <t>Maximo Thermo Ayous JPL S4S E4E 1x6 Long</t>
  </si>
  <si>
    <t>TAYJPL1611S</t>
  </si>
  <si>
    <t>TAYJPL1612S</t>
  </si>
  <si>
    <t>TAYJPL1613S</t>
  </si>
  <si>
    <t>TAYJPL1614S</t>
  </si>
  <si>
    <t>TAYJPL1615S</t>
  </si>
  <si>
    <t>TAYJPL1616S</t>
  </si>
  <si>
    <t>TAYJPL1617S</t>
  </si>
  <si>
    <t>TAYJPL1618S</t>
  </si>
  <si>
    <t>TAYJPL164S</t>
  </si>
  <si>
    <t>Maximo Thermo Ayous JPL S4S E4E 1x6 Short</t>
  </si>
  <si>
    <t>TAYJPL165S</t>
  </si>
  <si>
    <t>TAYJPL166S</t>
  </si>
  <si>
    <t>TAYJPL167S</t>
  </si>
  <si>
    <t>TAYJPL168S</t>
  </si>
  <si>
    <t>TAYJPL169S</t>
  </si>
  <si>
    <t>Ayous JPL 1x8</t>
  </si>
  <si>
    <t>Maximo Thermo Ayous JPL S4S E4E 1x8</t>
  </si>
  <si>
    <t>Maximo Thermo Ayous JPL S4S E4E 1x8 Long</t>
  </si>
  <si>
    <t>TAYJPLL1813</t>
  </si>
  <si>
    <t>TAYJPLL1815</t>
  </si>
  <si>
    <t>TAYJPLL1818</t>
  </si>
  <si>
    <t>TAYJPLL184</t>
  </si>
  <si>
    <t>Maximo Thermo Ayous JPL S4S E4E 1x8 Short</t>
  </si>
  <si>
    <t>TAYJPLL185</t>
  </si>
  <si>
    <t>TAYJPLL186</t>
  </si>
  <si>
    <t>TAYJPLL187</t>
  </si>
  <si>
    <t>Ayous JPL 2x2</t>
  </si>
  <si>
    <t>Maximo Thermo Ayous JPL S4S E4E 2x2</t>
  </si>
  <si>
    <t>Maximo Thermo Ayous JPL S4S E4E 2x2 Long</t>
  </si>
  <si>
    <t>TAYJPLL2215</t>
  </si>
  <si>
    <t>TAYJPLL2218</t>
  </si>
  <si>
    <t>TAYJPLL224</t>
  </si>
  <si>
    <t>Maximo Thermo Ayous JPL S4S E4E 2x2 Short</t>
  </si>
  <si>
    <t>TAYJPLL226</t>
  </si>
  <si>
    <t>TAYJPLL227</t>
  </si>
  <si>
    <t>Ayous JPL 2x3</t>
  </si>
  <si>
    <t>TAYJPLLS2310</t>
  </si>
  <si>
    <t>Maximo Thermo Ayous JPL S4S E4E 2x3</t>
  </si>
  <si>
    <t>Maximo Thermo Ayous JPL S4S E4E 2x3 Long</t>
  </si>
  <si>
    <t>TAYJPLLS2311</t>
  </si>
  <si>
    <t>TAYJPLLS2312</t>
  </si>
  <si>
    <t>TAYJPLLS2313</t>
  </si>
  <si>
    <t>TAYJPLLS2314</t>
  </si>
  <si>
    <t>TAYJPLLS2315</t>
  </si>
  <si>
    <t>TAYJPLLS2316</t>
  </si>
  <si>
    <t>TAYJPLLS2317</t>
  </si>
  <si>
    <t>TAYJPLLS2318</t>
  </si>
  <si>
    <t>TAYJPLLS234</t>
  </si>
  <si>
    <t>Maximo Thermo Ayous JPL S4S E4E 2x3 Short</t>
  </si>
  <si>
    <t>TAYJPLLS235</t>
  </si>
  <si>
    <t>TAYJPLLS236</t>
  </si>
  <si>
    <t>TAYJPLLS237</t>
  </si>
  <si>
    <t>TAYJPLLS238</t>
  </si>
  <si>
    <t>TAYJPLLS239</t>
  </si>
  <si>
    <t>Ayous JPL 2x4</t>
  </si>
  <si>
    <t>Maximo Thermo Ayous JPL S4S E4E 2x4</t>
  </si>
  <si>
    <t>Maximo Thermo Ayous JPL S4S E4E 2x4 Long</t>
  </si>
  <si>
    <t>TAYJPLL2415</t>
  </si>
  <si>
    <t>TAYJPLL2416</t>
  </si>
  <si>
    <t>TAYJPLL2418</t>
  </si>
  <si>
    <t>TAYJPLL244</t>
  </si>
  <si>
    <t>Maximo Thermo Ayous JPL S4S E4E 2x4 Short</t>
  </si>
  <si>
    <t>TAYJPLL245</t>
  </si>
  <si>
    <t>TAYJPLL246</t>
  </si>
  <si>
    <t>TAYJPLL247</t>
  </si>
  <si>
    <t>Ayous JPL 2x6</t>
  </si>
  <si>
    <t>Maximo Thermo Ayous JPL S4S E4E 2x6</t>
  </si>
  <si>
    <t>Maximo Thermo Ayous JPL S4S E4E 2x6 Long</t>
  </si>
  <si>
    <t>TAYJPLL2618</t>
  </si>
  <si>
    <t>TAYJPLL264</t>
  </si>
  <si>
    <t>Maximo Thermo Ayous JPL S4S E4E 2x6 Short</t>
  </si>
  <si>
    <t>TAYJPLL265</t>
  </si>
  <si>
    <t>TAYJPLL266</t>
  </si>
  <si>
    <t>TAYJPLL267</t>
  </si>
  <si>
    <t>Ayous JPL 5/4x4</t>
  </si>
  <si>
    <t>TAYJPL54410</t>
  </si>
  <si>
    <t>Maximo Thermo Ayous JPL S4S E4E 5/4x4</t>
  </si>
  <si>
    <t>Maximo Thermo Ayous JPL S4S E4E 5/4x4 Long</t>
  </si>
  <si>
    <t>TAYJPL54411</t>
  </si>
  <si>
    <t>TAYJPL54412</t>
  </si>
  <si>
    <t>TAYJPL54413</t>
  </si>
  <si>
    <t>TAYJPL54414</t>
  </si>
  <si>
    <t>TAYJPL54415</t>
  </si>
  <si>
    <t>TAYJPL54416</t>
  </si>
  <si>
    <t>TAYJPL54417</t>
  </si>
  <si>
    <t>TAYJPL54418</t>
  </si>
  <si>
    <t>TAYJPL5444</t>
  </si>
  <si>
    <t>Maximo Thermo Ayous JPL S4S E4E 5/4x4 Short</t>
  </si>
  <si>
    <t>TAYJPL5445</t>
  </si>
  <si>
    <t>TAYJPL5446</t>
  </si>
  <si>
    <t>TAYJPL5447</t>
  </si>
  <si>
    <t>TAYJPL5448</t>
  </si>
  <si>
    <t>TAYJPL5449</t>
  </si>
  <si>
    <t>Ayous JPL 5/4x6</t>
  </si>
  <si>
    <t>TAYJPL54610</t>
  </si>
  <si>
    <t>Maximo Thermo Ayous JPL S4S E4E 5/4x6</t>
  </si>
  <si>
    <t>Maximo Thermo Ayous JPL S4S E4E 5/4x6 Long</t>
  </si>
  <si>
    <t>TAYJPL54611</t>
  </si>
  <si>
    <t>TAYJPL54612</t>
  </si>
  <si>
    <t>TAYJPL54613</t>
  </si>
  <si>
    <t>TAYJPL54614</t>
  </si>
  <si>
    <t>TAYJPL54615</t>
  </si>
  <si>
    <t>TAYJPL54616</t>
  </si>
  <si>
    <t>TAYJPL54617</t>
  </si>
  <si>
    <t>TAYJPL54618</t>
  </si>
  <si>
    <t>TAYJPL5464</t>
  </si>
  <si>
    <t>Maximo Thermo Ayous JPL S4S E4E 5/4x6 Short</t>
  </si>
  <si>
    <t>TAYJPL5465</t>
  </si>
  <si>
    <t>TAYJPL5466</t>
  </si>
  <si>
    <t>TAYJPL5467</t>
  </si>
  <si>
    <t>TAYJPL5468</t>
  </si>
  <si>
    <t>TAYJPL5469</t>
  </si>
  <si>
    <t>Maximo Thermo Ayous JPL VJoint - Nickel Gap 1x6</t>
  </si>
  <si>
    <t>VJoint - Nickel Gap</t>
  </si>
  <si>
    <t>Maximo Thermo Ayous JPL VJoint - Nickel Gap 1x6 Long</t>
  </si>
  <si>
    <t>TAYJPLLVJNG1611</t>
  </si>
  <si>
    <t>TAYJPLLVJNG1612</t>
  </si>
  <si>
    <t>TAYJPLLVJNG1615</t>
  </si>
  <si>
    <t>TAYJPLLVJNG1616</t>
  </si>
  <si>
    <t>TAYJPLLVJNG1618</t>
  </si>
  <si>
    <t>TAYJPLLVJNG164</t>
  </si>
  <si>
    <t>TAYJPLLVJNG165</t>
  </si>
  <si>
    <t>TAYJPLLVJNG166</t>
  </si>
  <si>
    <t>TAYJPLLVJNG167</t>
  </si>
  <si>
    <t>TAYJPLLVJNG169</t>
  </si>
  <si>
    <t>Maximo Thermo Ayous JPL VJoint - Square Back 1x6</t>
  </si>
  <si>
    <t>Maximo Thermo Ayous JPL VJoint - Square Back 1x6 Long</t>
  </si>
  <si>
    <t>TAYJPLLVJ1611</t>
  </si>
  <si>
    <t>TAYJPLLVJ1613</t>
  </si>
  <si>
    <t>TAYJPLLVJ1614</t>
  </si>
  <si>
    <t>TAYJPLLVJ1616</t>
  </si>
  <si>
    <t>TAYJPLLVJ1617</t>
  </si>
  <si>
    <t>TAYJPLLVJ1618</t>
  </si>
  <si>
    <t>TAYJPLLVJ1619</t>
  </si>
  <si>
    <t>TAYJPLLVJ164</t>
  </si>
  <si>
    <t>Maximo Thermo Ayous JPL VJoint - Square Back 1x6 Short</t>
  </si>
  <si>
    <t>TAYJPLLVJ165</t>
  </si>
  <si>
    <t>TAYJPLLVJ169</t>
  </si>
  <si>
    <t>Ayous 5/4x6</t>
  </si>
  <si>
    <t>Maximo Thermo Ayous Rough Sawn 5/4x6</t>
  </si>
  <si>
    <t>Maximo Thermo Ayous Rough Sawn 5/4x6 Long</t>
  </si>
  <si>
    <t>TAYLRS54611</t>
  </si>
  <si>
    <t>TAYLRS54614</t>
  </si>
  <si>
    <t>TAYLRS54617</t>
  </si>
  <si>
    <t>TAYLRS54618</t>
  </si>
  <si>
    <t>TAYLRS5464</t>
  </si>
  <si>
    <t>Maximo Thermo Ayous Rough Sawn 5/4x6 Short</t>
  </si>
  <si>
    <t>TAYLRS5465</t>
  </si>
  <si>
    <t>TAYLRS5466</t>
  </si>
  <si>
    <t>TAYLRS5469</t>
  </si>
  <si>
    <t>Ayous 1x10</t>
  </si>
  <si>
    <t>Maximo Thermo Ayous S4S E4E 1x10</t>
  </si>
  <si>
    <t>Maximo Thermo Ayous S4S E4E 1x10 Long</t>
  </si>
  <si>
    <t>TAYL11012S</t>
  </si>
  <si>
    <t>TAYL11015S</t>
  </si>
  <si>
    <t>TAYL11016S</t>
  </si>
  <si>
    <t>TAYL11017S</t>
  </si>
  <si>
    <t>TAYL11018S</t>
  </si>
  <si>
    <t>Maximo Thermo Ayous S4S E4E 1x10 Short</t>
  </si>
  <si>
    <t>Ayous 1x11</t>
  </si>
  <si>
    <t>TAYL11110S</t>
  </si>
  <si>
    <t>Maximo Thermo Ayous S4S E4E 1x11</t>
  </si>
  <si>
    <t>Maximo Thermo Ayous S4S E4E 1x11 Long</t>
  </si>
  <si>
    <t>TAYL11111S</t>
  </si>
  <si>
    <t>TAYL11112S</t>
  </si>
  <si>
    <t>TAYL11113S</t>
  </si>
  <si>
    <t>TAYL11114S</t>
  </si>
  <si>
    <t>TAYL11115S</t>
  </si>
  <si>
    <t>TAYL11116S</t>
  </si>
  <si>
    <t>TAYL11117S</t>
  </si>
  <si>
    <t>TAYL11118S</t>
  </si>
  <si>
    <t>TAYL1114S</t>
  </si>
  <si>
    <t>Maximo Thermo Ayous S4S E4E 1x11 Short</t>
  </si>
  <si>
    <t>TAYL1115S</t>
  </si>
  <si>
    <t>TAYL1116S</t>
  </si>
  <si>
    <t>TAYL1119S</t>
  </si>
  <si>
    <t>Ayous 1x4</t>
  </si>
  <si>
    <t>TAY1410S</t>
  </si>
  <si>
    <t>Maximo Thermo Ayous S4S E4E 1x4</t>
  </si>
  <si>
    <t>Maximo Thermo Ayous S4S E4E 1x4 Long</t>
  </si>
  <si>
    <t>TAY1411S</t>
  </si>
  <si>
    <t>TAY1412S</t>
  </si>
  <si>
    <t>TAY1413S</t>
  </si>
  <si>
    <t>TAY1415S</t>
  </si>
  <si>
    <t>TAY1416S</t>
  </si>
  <si>
    <t>TAY1417S</t>
  </si>
  <si>
    <t>TAY1418S</t>
  </si>
  <si>
    <t>TAY144S</t>
  </si>
  <si>
    <t>Maximo Thermo Ayous S4S E4E 1x4 Short</t>
  </si>
  <si>
    <t>TAY145S</t>
  </si>
  <si>
    <t>Maximo Thermo Ayous S4S E4E 1x6</t>
  </si>
  <si>
    <t>Maximo Thermo Ayous S4S E4E 1x6 Long</t>
  </si>
  <si>
    <t>TAYL1617S</t>
  </si>
  <si>
    <t>TAYL1618S</t>
  </si>
  <si>
    <t>Maximo Thermo Ayous S4S E4E 1x6 Short</t>
  </si>
  <si>
    <t>Ayous 1x8</t>
  </si>
  <si>
    <t>Maximo Thermo Ayous S4S E4E 1x8</t>
  </si>
  <si>
    <t>Maximo Thermo Ayous S4S E4E 1x8 Long</t>
  </si>
  <si>
    <t>TAYL1812S</t>
  </si>
  <si>
    <t>TAYL1814S</t>
  </si>
  <si>
    <t>TAYL1815S</t>
  </si>
  <si>
    <t>TAYL1816S</t>
  </si>
  <si>
    <t>TAYL1817S</t>
  </si>
  <si>
    <t>TAYL1818S</t>
  </si>
  <si>
    <t>Maximo Thermo Ayous S4S E4E 1x8 Short</t>
  </si>
  <si>
    <t>Ayous 2x2</t>
  </si>
  <si>
    <t>TAYL2210S</t>
  </si>
  <si>
    <t>Maximo Thermo Ayous S4S E4E 2x2</t>
  </si>
  <si>
    <t>Maximo Thermo Ayous S4S E4E 2x2 Long</t>
  </si>
  <si>
    <t>TAYL2211S</t>
  </si>
  <si>
    <t>TAYL2212S</t>
  </si>
  <si>
    <t>TAYL2213S</t>
  </si>
  <si>
    <t>TAYL2214S</t>
  </si>
  <si>
    <t>TAYL2215S</t>
  </si>
  <si>
    <t>TAYL2216S</t>
  </si>
  <si>
    <t>TAYL2217S</t>
  </si>
  <si>
    <t>TAYL2218S</t>
  </si>
  <si>
    <t>TAYL224S</t>
  </si>
  <si>
    <t>Maximo Thermo Ayous S4S E4E 2x2 Short</t>
  </si>
  <si>
    <t>TAYL225S</t>
  </si>
  <si>
    <t>TAYJPLL225</t>
  </si>
  <si>
    <t>TAYL226S</t>
  </si>
  <si>
    <t>TAYL228S</t>
  </si>
  <si>
    <t>TAYL229S</t>
  </si>
  <si>
    <t>Ayous 2x3</t>
  </si>
  <si>
    <t>TAY2310S</t>
  </si>
  <si>
    <t>Maximo Thermo Ayous S4S E4E 2x3</t>
  </si>
  <si>
    <t>Maximo Thermo Ayous S4S E4E 2x3 Long</t>
  </si>
  <si>
    <t>TAY2312S</t>
  </si>
  <si>
    <t>TAY2313S</t>
  </si>
  <si>
    <t>TAY2314S</t>
  </si>
  <si>
    <t>TAY2315S</t>
  </si>
  <si>
    <t>TAY2316S</t>
  </si>
  <si>
    <t>TAY2317S</t>
  </si>
  <si>
    <t>TAY2318S</t>
  </si>
  <si>
    <t>TAY234S</t>
  </si>
  <si>
    <t>Maximo Thermo Ayous S4S E4E 2x3 Short</t>
  </si>
  <si>
    <t>TAY235S</t>
  </si>
  <si>
    <t>TAY236S</t>
  </si>
  <si>
    <t>TAY237S</t>
  </si>
  <si>
    <t>Ayous 2x4</t>
  </si>
  <si>
    <t>Maximo Thermo Ayous S4S E4E 2x4</t>
  </si>
  <si>
    <t>Maximo Thermo Ayous S4S E4E 2x4 Long</t>
  </si>
  <si>
    <t>TAYL2411S</t>
  </si>
  <si>
    <t>TAYL2413S</t>
  </si>
  <si>
    <t>TAYL2414S</t>
  </si>
  <si>
    <t>TAYL2415S</t>
  </si>
  <si>
    <t>TAYL2416S</t>
  </si>
  <si>
    <t>TAYL2417S</t>
  </si>
  <si>
    <t>TAYL2418S</t>
  </si>
  <si>
    <t>TAYL244S</t>
  </si>
  <si>
    <t>Maximo Thermo Ayous S4S E4E 2x4 Short</t>
  </si>
  <si>
    <t>TAYL245S</t>
  </si>
  <si>
    <t>TAYL246S</t>
  </si>
  <si>
    <t>Maximo Thermo Ayous S4S E4E 2x6</t>
  </si>
  <si>
    <t>Maximo Thermo Ayous S4S E4E 2x6 Long</t>
  </si>
  <si>
    <t>TAYL2612S</t>
  </si>
  <si>
    <t>TAYL2613S</t>
  </si>
  <si>
    <t>TAYL2614S</t>
  </si>
  <si>
    <t>TAYL2615S</t>
  </si>
  <si>
    <t>TAYL2616S</t>
  </si>
  <si>
    <t>TAYL2617S</t>
  </si>
  <si>
    <t>TAYL2618S</t>
  </si>
  <si>
    <t>TAYL264S</t>
  </si>
  <si>
    <t>Maximo Thermo Ayous S4S E4E 2x6 Short</t>
  </si>
  <si>
    <t>Ayous 5/4x4</t>
  </si>
  <si>
    <t>Maximo Thermo Ayous S4S E4E 5/4x4</t>
  </si>
  <si>
    <t>Maximo Thermo Ayous S4S E4E 5/4x4 Long</t>
  </si>
  <si>
    <t>TAY54412S</t>
  </si>
  <si>
    <t>TAY54413S</t>
  </si>
  <si>
    <t>TAY54414S</t>
  </si>
  <si>
    <t>TAY54415S</t>
  </si>
  <si>
    <t>TAY54416S</t>
  </si>
  <si>
    <t>TAY54417S</t>
  </si>
  <si>
    <t>TAY54418S</t>
  </si>
  <si>
    <t>TAY5444S</t>
  </si>
  <si>
    <t>Maximo Thermo Ayous S4S E4E 5/4x4 Short</t>
  </si>
  <si>
    <t>TAY5445S</t>
  </si>
  <si>
    <t>Maximo Thermo Ayous S4S E4E 5/4x6</t>
  </si>
  <si>
    <t>Maximo Thermo Ayous S4S E4E 5/4x6 Long</t>
  </si>
  <si>
    <t>TAY54612S</t>
  </si>
  <si>
    <t>TAY54613S</t>
  </si>
  <si>
    <t>TAY54615S</t>
  </si>
  <si>
    <t>TAY54618S</t>
  </si>
  <si>
    <t>TAY5464S</t>
  </si>
  <si>
    <t>Maximo Thermo Ayous S4S E4E 5/4x6 Short</t>
  </si>
  <si>
    <t>TAY5465S</t>
  </si>
  <si>
    <t>TAY5466S</t>
  </si>
  <si>
    <t>TAY5467S</t>
  </si>
  <si>
    <t>TAY5468S</t>
  </si>
  <si>
    <t>TAYLNGVJBB1610</t>
  </si>
  <si>
    <t>Maximo Thermo Ayous VJoint - Nickel Gap Burn Blocked 1x6</t>
  </si>
  <si>
    <t>Burn Blocked</t>
  </si>
  <si>
    <t>Maximo Thermo Ayous VJoint - Nickel Gap Burn Blocked 1x6 Long</t>
  </si>
  <si>
    <t>TAYLNGVJBB1611</t>
  </si>
  <si>
    <t>TAYLNGVJBB1612</t>
  </si>
  <si>
    <t>TAYLNGVJBB1613</t>
  </si>
  <si>
    <t>TAYLNGVJBB1614</t>
  </si>
  <si>
    <t>TAYLNGVJBB1615</t>
  </si>
  <si>
    <t>TAYLNGVJBB1616</t>
  </si>
  <si>
    <t>TAYLNGVJBB1617</t>
  </si>
  <si>
    <t>TAYLNGVJBB1618</t>
  </si>
  <si>
    <t>TAYLNGVJBB164</t>
  </si>
  <si>
    <t>Maximo Thermo Ayous VJoint - Nickel Gap Burn Blocked 1x6 Short</t>
  </si>
  <si>
    <t>TAYLNGVJBB165</t>
  </si>
  <si>
    <t>TAYLNGVJBB166</t>
  </si>
  <si>
    <t>TAYLNGVJBB167</t>
  </si>
  <si>
    <t>TAYLNGVJBB168</t>
  </si>
  <si>
    <t>TAYLNGVJBB169</t>
  </si>
  <si>
    <t>TAYCSAINGVJ1610</t>
  </si>
  <si>
    <t>Maximo Thermo Ayous VJoint - Nickel Gap Pre Finished - Saicos 1x6</t>
  </si>
  <si>
    <t>Pre Finished - Saicos</t>
  </si>
  <si>
    <t>Maximo Thermo Ayous VJoint - Nickel Gap Pre Finished - Saicos 1x6 Long</t>
  </si>
  <si>
    <t>TAYCSAINGVJ1611</t>
  </si>
  <si>
    <t>TAYCSAINGVJ1612</t>
  </si>
  <si>
    <t>TAYCSAINGVJ1613</t>
  </si>
  <si>
    <t>TAYCSAINGVJ1614</t>
  </si>
  <si>
    <t>TAYCSAINGVJ1615</t>
  </si>
  <si>
    <t>TAYCSAINGVJ1616</t>
  </si>
  <si>
    <t>TAYCSAINGVJ1617</t>
  </si>
  <si>
    <t>TAYCSAINGVJ1618</t>
  </si>
  <si>
    <t>TAYCSAINGVJ164</t>
  </si>
  <si>
    <t>Maximo Thermo Ayous VJoint - Nickel Gap Pre Finished - Saicos 1x6 Short</t>
  </si>
  <si>
    <t>TAYCSAINGVJ165</t>
  </si>
  <si>
    <t>TAYCSAINGVJ166</t>
  </si>
  <si>
    <t>TAYCSAINGVJ167</t>
  </si>
  <si>
    <t>TAYCSAINGVJ168</t>
  </si>
  <si>
    <t>TAYCSAINGVJ169</t>
  </si>
  <si>
    <t>Maximo Thermo Ayous VJoint - Nickel Gap Pre Finished - Hemel 1x6</t>
  </si>
  <si>
    <t>Pre Finished - Hemel</t>
  </si>
  <si>
    <t>Maximo Thermo Ayous VJoint - Nickel Gap Pre Finished - Hemel 1x6 Long</t>
  </si>
  <si>
    <t>TAYCNGVJ1617</t>
  </si>
  <si>
    <t>TAYCNGVJ1618</t>
  </si>
  <si>
    <t>Maximo Thermo Ayous VJoint - Nickel Gap Pre Finished - Hemel 1x6 Short</t>
  </si>
  <si>
    <t>Maximo Thermo Ayous VJoint - Nickel Gap 1x6</t>
  </si>
  <si>
    <t>Maximo Thermo Ayous VJoint - Nickel Gap 1x6 Long</t>
  </si>
  <si>
    <t>TAYLNGVJ1617</t>
  </si>
  <si>
    <t>TAYLNGVJ1618</t>
  </si>
  <si>
    <t>Maximo Thermo Ayous VJoint - Nickel Gap 1x6 Short</t>
  </si>
  <si>
    <t>Maximo Thermo Ayous VJoint - Square Back 1x4</t>
  </si>
  <si>
    <t>Maximo Thermo Ayous VJoint - Square Back 1x4 Long</t>
  </si>
  <si>
    <t>TAYLNGVJ1410</t>
  </si>
  <si>
    <t>Maximo Thermo Ayous VJoint - Nickel Gap 1x4</t>
  </si>
  <si>
    <t>Maximo Thermo Ayous VJoint - Nickel Gap 1x4 Long</t>
  </si>
  <si>
    <t>TAYLNGVJ1411</t>
  </si>
  <si>
    <t>TAYLNGVJ1412</t>
  </si>
  <si>
    <t>TAYLNGVJ1413</t>
  </si>
  <si>
    <t>TAYLNGVJ1414</t>
  </si>
  <si>
    <t>TAYLNGVJ1415</t>
  </si>
  <si>
    <t>TAYLNGVJ1416</t>
  </si>
  <si>
    <t>TAYLNGVJ1417</t>
  </si>
  <si>
    <t>TAYVJ1418</t>
  </si>
  <si>
    <t>TAYLNGVJ1418</t>
  </si>
  <si>
    <t>TAYVJ144</t>
  </si>
  <si>
    <t>Maximo Thermo Ayous VJoint - Square Back 1x4 Short</t>
  </si>
  <si>
    <t>TAYLNGVJ144</t>
  </si>
  <si>
    <t>Maximo Thermo Ayous VJoint - Nickel Gap 1x4 Short</t>
  </si>
  <si>
    <t>TAYVJ145</t>
  </si>
  <si>
    <t>TAYLNGVJ145</t>
  </si>
  <si>
    <t>TAYLNGVJ146</t>
  </si>
  <si>
    <t>TAYLNGVJ147</t>
  </si>
  <si>
    <t>TAYLNGVJ148</t>
  </si>
  <si>
    <t>TAYLNGVJ149</t>
  </si>
  <si>
    <t>Maximo Thermo Ayous VJoint - Square Back 1x6</t>
  </si>
  <si>
    <t>Maximo Thermo Ayous VJoint - Square Back 1x6 Long</t>
  </si>
  <si>
    <t>Maximo Thermo Ayous VJoint - Square Back 1x6 Short</t>
  </si>
  <si>
    <t>TAYLVJ165</t>
  </si>
  <si>
    <t>MN720099-001</t>
  </si>
  <si>
    <t>Maximo Thermo Ayous VJoint - Square Back 1x8</t>
  </si>
  <si>
    <t>Maximo Thermo Ayous VJoint - Square Back 1x8 Long</t>
  </si>
  <si>
    <t>MN720099-000</t>
  </si>
  <si>
    <t>TAYLFVJ1610</t>
  </si>
  <si>
    <t>Maximo Thermo Ayous VJoint - Square Back 3 Faces 1x6</t>
  </si>
  <si>
    <t>3 Faces</t>
  </si>
  <si>
    <t>Maximo Thermo Ayous VJoint - Square Back 3 Faces 1x6 Long</t>
  </si>
  <si>
    <t>TAYLFVJ1611</t>
  </si>
  <si>
    <t>TAYLFVJ1612</t>
  </si>
  <si>
    <t>TAYLFVJ1613</t>
  </si>
  <si>
    <t>TAYLFVJ1614</t>
  </si>
  <si>
    <t>TAYLFVJ1615</t>
  </si>
  <si>
    <t>TAYLFVJ1616</t>
  </si>
  <si>
    <t>TAYLFVJ1617</t>
  </si>
  <si>
    <t>TAYLFVJ1618</t>
  </si>
  <si>
    <t>TAYLFVJ164</t>
  </si>
  <si>
    <t>Maximo Thermo Ayous VJoint - Square Back 3 Faces 1x6 Short</t>
  </si>
  <si>
    <t>TAYLFVJ165</t>
  </si>
  <si>
    <t>TAYLFVJ166</t>
  </si>
  <si>
    <t>TAYLFVJ167</t>
  </si>
  <si>
    <t>TAYLFVJ168</t>
  </si>
  <si>
    <t>TAYLFVJ169</t>
  </si>
  <si>
    <t>Radiata</t>
  </si>
  <si>
    <t>Radiata 1x5</t>
  </si>
  <si>
    <t>TCRNGOPX1510</t>
  </si>
  <si>
    <t>Maximo Thermo Clear Radiata Nickel Gap OPX 1x5</t>
  </si>
  <si>
    <t>Maximo Thermo Clear Radiata</t>
  </si>
  <si>
    <t>Nickel Gap</t>
  </si>
  <si>
    <t>OPX</t>
  </si>
  <si>
    <t>1x5</t>
  </si>
  <si>
    <t>Maximo Thermo Clear Radiata Nickel Gap OPX 1x5 Long</t>
  </si>
  <si>
    <t>TCRNGOPX1511</t>
  </si>
  <si>
    <t>TCRNGOPX1512</t>
  </si>
  <si>
    <t>TCRNGOPX1513</t>
  </si>
  <si>
    <t>TCRNGOPX1514</t>
  </si>
  <si>
    <t>TCRNGOPX1515</t>
  </si>
  <si>
    <t>TCRNGOPX1516</t>
  </si>
  <si>
    <t>TCRNGOPX1517</t>
  </si>
  <si>
    <t>TCRNGOPX1518</t>
  </si>
  <si>
    <t>TCRNGOPX154</t>
  </si>
  <si>
    <t>Maximo Thermo Clear Radiata Nickel Gap OPX 1x5 Short</t>
  </si>
  <si>
    <t>TCRNGOPX155</t>
  </si>
  <si>
    <t>TCRNGOPX156</t>
  </si>
  <si>
    <t>TCRNGOPX157</t>
  </si>
  <si>
    <t>TCRNGOPX158</t>
  </si>
  <si>
    <t>TCRNGOPX159</t>
  </si>
  <si>
    <t>Radiata 1x6</t>
  </si>
  <si>
    <t>Maximo Thermo Clear Radiata Nickel Gap OPX 1x6</t>
  </si>
  <si>
    <t>Maximo Thermo Clear Radiata Nickel Gap OPX 1x6 Long</t>
  </si>
  <si>
    <t>TCRNGOPX1615</t>
  </si>
  <si>
    <t>TCRNGOPX1617</t>
  </si>
  <si>
    <t>TCRNGOPX164</t>
  </si>
  <si>
    <t>Maximo Thermo Clear Radiata Nickel Gap OPX 1x6 Short</t>
  </si>
  <si>
    <t>TCRNGOPX165</t>
  </si>
  <si>
    <t>TCRNGOPX166</t>
  </si>
  <si>
    <t>TCRNGOPX169</t>
  </si>
  <si>
    <t>Maximo Thermo Clear Radiata Nickel Gap Pre Finished Black 1x6</t>
  </si>
  <si>
    <t>Pre Finished Black</t>
  </si>
  <si>
    <t>Maximo Thermo Clear Radiata Nickel Gap Pre Finished Black 1x6 Long</t>
  </si>
  <si>
    <t>Maximo Thermo Clear Radiata Nickel Gap Pre Finished Black 1x6 Short</t>
  </si>
  <si>
    <t>Maximo Thermo Clear Radiata Nickel Gap Pre Finished White 1x6</t>
  </si>
  <si>
    <t>Pre Finished White</t>
  </si>
  <si>
    <t>Maximo Thermo Clear Radiata Nickel Gap Pre Finished White 1x6 Long</t>
  </si>
  <si>
    <t>TCRWNG1615</t>
  </si>
  <si>
    <t>Maximo Thermo Clear Radiata Nickel Gap Pre Finished White 1x6 Short</t>
  </si>
  <si>
    <t>Maximo Thermo Clear Radiata Nickel Gap Wire Brushed 1x5</t>
  </si>
  <si>
    <t>Wire Brushed</t>
  </si>
  <si>
    <t>Maximo Thermo Clear Radiata Nickel Gap Wire Brushed 1x5 Long</t>
  </si>
  <si>
    <t>TCRNGWB1511</t>
  </si>
  <si>
    <t>TCRNGWB1513</t>
  </si>
  <si>
    <t>TCRNGWB1515</t>
  </si>
  <si>
    <t>TCRNGWB1517</t>
  </si>
  <si>
    <t>Maximo Thermo Clear Radiata Nickel Gap Wire Brushed 1x5 Short</t>
  </si>
  <si>
    <t>Radiata 3/8x4</t>
  </si>
  <si>
    <t>TCRNGOPX38410</t>
  </si>
  <si>
    <t>Maximo Thermo Clear Radiata Nickel Gap 3/8x4</t>
  </si>
  <si>
    <t>3/8x4</t>
  </si>
  <si>
    <t>Maximo Thermo Clear Radiata Nickel Gap 3/8x4 Long</t>
  </si>
  <si>
    <t>TCRNGOPX38411</t>
  </si>
  <si>
    <t>TCRNGOPX38412</t>
  </si>
  <si>
    <t>TCRNGOPX38413</t>
  </si>
  <si>
    <t>TCRNGOPX38414</t>
  </si>
  <si>
    <t>TCRNGOPX38415</t>
  </si>
  <si>
    <t>TCRNGOPX38416</t>
  </si>
  <si>
    <t>TCRNGOPX38417</t>
  </si>
  <si>
    <t>TCRNGOPX38418</t>
  </si>
  <si>
    <t>TCRNGOPX3844</t>
  </si>
  <si>
    <t>Maximo Thermo Clear Radiata Nickel Gap 3/8x4 Short</t>
  </si>
  <si>
    <t>TCRNGOPX3845</t>
  </si>
  <si>
    <t>TCRNGOPX3846</t>
  </si>
  <si>
    <t>TCRNGOPX3847</t>
  </si>
  <si>
    <t>TCRNGOPX3848</t>
  </si>
  <si>
    <t>TCRNGOPX3849</t>
  </si>
  <si>
    <t>Radiata 1x12</t>
  </si>
  <si>
    <t>TCRS11210</t>
  </si>
  <si>
    <t>Maximo Thermo Clear Radiata S4S 1x12</t>
  </si>
  <si>
    <t>S4S</t>
  </si>
  <si>
    <t>Maximo Thermo Clear Radiata S4S 1x12 Long</t>
  </si>
  <si>
    <t>TCRS11211</t>
  </si>
  <si>
    <t>TCRS11212</t>
  </si>
  <si>
    <t>TCRS11217</t>
  </si>
  <si>
    <t>TCRS11218</t>
  </si>
  <si>
    <t>TCRS1124</t>
  </si>
  <si>
    <t>Maximo Thermo Clear Radiata S4S 1x12 Short</t>
  </si>
  <si>
    <t>TCRS1125</t>
  </si>
  <si>
    <t>TCRS1126</t>
  </si>
  <si>
    <t>TCRS1127</t>
  </si>
  <si>
    <t>TCRS1128</t>
  </si>
  <si>
    <t>TCRS1129</t>
  </si>
  <si>
    <t>Radiata 1x8</t>
  </si>
  <si>
    <t>TCRS1810</t>
  </si>
  <si>
    <t>Maximo Thermo Clear Radiata S4S 1x8</t>
  </si>
  <si>
    <t>Maximo Thermo Clear Radiata S4S 1x8 Long</t>
  </si>
  <si>
    <t>TCRS1811</t>
  </si>
  <si>
    <t>TCRS1813</t>
  </si>
  <si>
    <t>TCRS1815</t>
  </si>
  <si>
    <t>TCRS1816</t>
  </si>
  <si>
    <t>TCRS1817</t>
  </si>
  <si>
    <t>TCRS1818</t>
  </si>
  <si>
    <t>TCRS184</t>
  </si>
  <si>
    <t>Maximo Thermo Clear Radiata S4S 1x8 Short</t>
  </si>
  <si>
    <t>TCRS185</t>
  </si>
  <si>
    <t>TCRS186</t>
  </si>
  <si>
    <t>TCRS187</t>
  </si>
  <si>
    <t>TCRS188</t>
  </si>
  <si>
    <t>TCRS189</t>
  </si>
  <si>
    <t>Maximo Thermo Clear Radiata S4S E4E OPX 1x6</t>
  </si>
  <si>
    <t>Maximo Thermo Clear Radiata S4S E4E OPX 1x6 Long</t>
  </si>
  <si>
    <t>TCRSOPX1611</t>
  </si>
  <si>
    <t>TCRSOPX1613</t>
  </si>
  <si>
    <t>TCRSOPX1615</t>
  </si>
  <si>
    <t>TCRSOPX1617</t>
  </si>
  <si>
    <t>TCRSOPX164</t>
  </si>
  <si>
    <t>Maximo Thermo Clear Radiata S4S E4E OPX 1x6 Short</t>
  </si>
  <si>
    <t>TCRSOPX165</t>
  </si>
  <si>
    <t>TCRSOPX166</t>
  </si>
  <si>
    <t>TCRSOPX168</t>
  </si>
  <si>
    <t>Radiata 2x6</t>
  </si>
  <si>
    <t>TCRSOPX2610</t>
  </si>
  <si>
    <t>Maximo Thermo Clear Radiata S4S E4E OPX 2x6</t>
  </si>
  <si>
    <t>Maximo Thermo Clear Radiata S4S E4E OPX 2x6 Long</t>
  </si>
  <si>
    <t>TCRSOPX2611</t>
  </si>
  <si>
    <t>TCRSOPX2612</t>
  </si>
  <si>
    <t>TCRSOPX2613</t>
  </si>
  <si>
    <t>TCRSOPX2614</t>
  </si>
  <si>
    <t>TCRSOPX2617</t>
  </si>
  <si>
    <t>TCRSOPX2618</t>
  </si>
  <si>
    <t>Maximo Thermo Clear Radiata S4S E4E OPX 2x6 Short</t>
  </si>
  <si>
    <t>TCRSOPX265</t>
  </si>
  <si>
    <t>TCRSOPX266</t>
  </si>
  <si>
    <t>TCRSOPX267</t>
  </si>
  <si>
    <t>TCRSOPX269</t>
  </si>
  <si>
    <t>Radiata 5/4x6</t>
  </si>
  <si>
    <t>TCRSOPX54610</t>
  </si>
  <si>
    <t>Maximo Thermo Clear Radiata S4S E4E OPX 5/4x6</t>
  </si>
  <si>
    <t>Maximo Thermo Clear Radiata S4S E4E OPX 5/4x6 Long</t>
  </si>
  <si>
    <t>TCRSOPX54611</t>
  </si>
  <si>
    <t>TCRSOPX54613</t>
  </si>
  <si>
    <t>TCRSOPX54615</t>
  </si>
  <si>
    <t>TCRSOPX54617</t>
  </si>
  <si>
    <t>TCRSOPX54618</t>
  </si>
  <si>
    <t>TCRSOPX5464</t>
  </si>
  <si>
    <t>Maximo Thermo Clear Radiata S4S E4E OPX 5/4x6 Short</t>
  </si>
  <si>
    <t>TCRSOPX5465</t>
  </si>
  <si>
    <t>TCRSOPX5466</t>
  </si>
  <si>
    <t>TCRSOPX5467</t>
  </si>
  <si>
    <t>TCRSOPX5468</t>
  </si>
  <si>
    <t>TCRSOPX5469</t>
  </si>
  <si>
    <t>TCRS1610</t>
  </si>
  <si>
    <t>Maximo Thermo Clear Radiata S4S E4E 1x6</t>
  </si>
  <si>
    <t>Maximo Thermo Clear Radiata S4S E4E 1x6 Long</t>
  </si>
  <si>
    <t>TCRS1611</t>
  </si>
  <si>
    <t>TCRS1612</t>
  </si>
  <si>
    <t>TCRS1613</t>
  </si>
  <si>
    <t>TCRS1614</t>
  </si>
  <si>
    <t>TCRS1615</t>
  </si>
  <si>
    <t>TCRS1616</t>
  </si>
  <si>
    <t>TCRS1617</t>
  </si>
  <si>
    <t>TCRS1618</t>
  </si>
  <si>
    <t>TCRS164</t>
  </si>
  <si>
    <t>Maximo Thermo Clear Radiata S4S E4E 1x6 Short</t>
  </si>
  <si>
    <t>TCRS165</t>
  </si>
  <si>
    <t>TCRS166</t>
  </si>
  <si>
    <t>TCRS167</t>
  </si>
  <si>
    <t>TCRS168</t>
  </si>
  <si>
    <t>TCRS169</t>
  </si>
  <si>
    <t>Maximo Thermo Clear Radiata VJoint - Square Back 3/8x4</t>
  </si>
  <si>
    <t>Maximo Thermo Clear Radiata VJoint - Square Back 3/8x4 Long</t>
  </si>
  <si>
    <t>TCRVJSB38415</t>
  </si>
  <si>
    <t>TCRVJSB38417</t>
  </si>
  <si>
    <t>TCRVJSB38418</t>
  </si>
  <si>
    <t>Maximo Thermo Clear Radiata VJoint - Square Back 3/8x4 Short</t>
  </si>
  <si>
    <t>Scandinavian Pine</t>
  </si>
  <si>
    <t>Scandinavian Pine 1x6</t>
  </si>
  <si>
    <t>Maximo Thermo Scandinavian Pine Fluted 1x6</t>
  </si>
  <si>
    <t>Maximo Thermo Scandinavian Pine</t>
  </si>
  <si>
    <t>Maximo Thermo Scandinavian Pine Fluted 1x6 Long</t>
  </si>
  <si>
    <t>TPTG1614CL5</t>
  </si>
  <si>
    <t>TPTG1617CL5</t>
  </si>
  <si>
    <t>TPTG1618CL5</t>
  </si>
  <si>
    <t>TPTG164CL5</t>
  </si>
  <si>
    <t>Maximo Thermo Scandinavian Pine Fluted 1x6 Short</t>
  </si>
  <si>
    <t>TPTG165CL5</t>
  </si>
  <si>
    <t>TPTG166CL5</t>
  </si>
  <si>
    <t>TPTG167CL5</t>
  </si>
  <si>
    <t>TPTG168CL5</t>
  </si>
  <si>
    <t>Scandinavian Pine 2x4</t>
  </si>
  <si>
    <t>TP2410S</t>
  </si>
  <si>
    <t>Maximo Thermo Scandinavian Pine S4S E4E 2x4</t>
  </si>
  <si>
    <t>Maximo Thermo Scandinavian Pine S4S E4E 2x4 Long</t>
  </si>
  <si>
    <t>TP2411S</t>
  </si>
  <si>
    <t>TP2414S</t>
  </si>
  <si>
    <t>TP2415S</t>
  </si>
  <si>
    <t>TP2416S</t>
  </si>
  <si>
    <t>TP2418S</t>
  </si>
  <si>
    <t>TP2419S</t>
  </si>
  <si>
    <t>TP244S</t>
  </si>
  <si>
    <t>Maximo Thermo Scandinavian Pine S4S E4E 2x4 Short</t>
  </si>
  <si>
    <t>TP248S</t>
  </si>
  <si>
    <t>TP249S</t>
  </si>
  <si>
    <t>Scandinavian Pine 5/4x6</t>
  </si>
  <si>
    <t>TP54610S</t>
  </si>
  <si>
    <t>Maximo Thermo Scandinavian Pine S4S E4E 5/4x6</t>
  </si>
  <si>
    <t>Maximo Thermo Scandinavian Pine S4S E4E 5/4x6 Long</t>
  </si>
  <si>
    <t>TP54611S</t>
  </si>
  <si>
    <t>TP54612S</t>
  </si>
  <si>
    <t>TP54613S</t>
  </si>
  <si>
    <t>TP54614S</t>
  </si>
  <si>
    <t>TP54615S</t>
  </si>
  <si>
    <t>TP54616S</t>
  </si>
  <si>
    <t>TP54617S</t>
  </si>
  <si>
    <t>TP54618S</t>
  </si>
  <si>
    <t>TP5464S</t>
  </si>
  <si>
    <t>Maximo Thermo Scandinavian Pine S4S E4E 5/4x6 Short</t>
  </si>
  <si>
    <t>TP5465S</t>
  </si>
  <si>
    <t>TP5466S</t>
  </si>
  <si>
    <t>TP5467S</t>
  </si>
  <si>
    <t>TP5468S</t>
  </si>
  <si>
    <t>TP5469S</t>
  </si>
  <si>
    <t>Maximo Thermo Scandinavian Pine VJoint - Nickel Gap 1x6</t>
  </si>
  <si>
    <t>Maximo Thermo Scandinavian Pine VJoint - Nickel Gap 1x6 Long</t>
  </si>
  <si>
    <t>TPNGVJ164</t>
  </si>
  <si>
    <t>Maximo Thermo Scandinavian Pine VJoint - Nickel Gap 1x6 Short</t>
  </si>
  <si>
    <t>TPNGVJ166</t>
  </si>
  <si>
    <t>Maximo Thermo Scandinavian Pine VJoint - Square Back 1x6</t>
  </si>
  <si>
    <t>Maximo Thermo Scandinavian Pine VJoint - Square Back 1x6 Long</t>
  </si>
  <si>
    <t>TPVJ1616S</t>
  </si>
  <si>
    <t>TPVJ1618S</t>
  </si>
  <si>
    <t>TPVJ164S</t>
  </si>
  <si>
    <t>Maximo Thermo Scandinavian Pine VJoint - Square Back 1x6 Short</t>
  </si>
  <si>
    <t>Scandinavian Pine 5/8x4</t>
  </si>
  <si>
    <t>TPVJ58410S</t>
  </si>
  <si>
    <t>Maximo Thermo Scandinavian Pine VJoint - Square Back 5/8x4</t>
  </si>
  <si>
    <t>5/8x4</t>
  </si>
  <si>
    <t>Maximo Thermo Scandinavian Pine VJoint - Square Back 5/8x4 Long</t>
  </si>
  <si>
    <t>TPVJ58417S</t>
  </si>
  <si>
    <t>TPVJ58418S</t>
  </si>
  <si>
    <t>TPVJ5844S</t>
  </si>
  <si>
    <t>Maximo Thermo Scandinavian Pine VJoint - Square Back 5/8x4 Short</t>
  </si>
  <si>
    <t>TPVJ5845S</t>
  </si>
  <si>
    <t>TPVJ5846S</t>
  </si>
  <si>
    <t>TPVJ5847S</t>
  </si>
  <si>
    <t>Ayous 1x6 Plus</t>
  </si>
  <si>
    <t>Maximo Thermo Ayous VJoint - Nickel Gap 1x6 Plus</t>
  </si>
  <si>
    <t>Maximo Thermo Ayous VJoint - Nickel Gap 1x6 Plus Long</t>
  </si>
  <si>
    <t>TAYLNGVJ1614P</t>
  </si>
  <si>
    <t>TAYLNGVJ1615P</t>
  </si>
  <si>
    <t>TAYLNGVJ1616P</t>
  </si>
  <si>
    <t>TAYLNGVJ1617P</t>
  </si>
  <si>
    <t>TAYLNGVJ1618P</t>
  </si>
  <si>
    <t>Maximo Thermo Ayous VJoint - Nickel Gap 1x6 Plus Short</t>
  </si>
  <si>
    <t>TAYLNGVJ1611P</t>
  </si>
  <si>
    <t>Abodo</t>
  </si>
  <si>
    <t>Abodo 4L</t>
  </si>
  <si>
    <t>Nero Abodo Protector Water Born 4L</t>
  </si>
  <si>
    <t>Nero</t>
  </si>
  <si>
    <t>Abodo Protector Water Born</t>
  </si>
  <si>
    <t>4L</t>
  </si>
  <si>
    <t>Nero Abodo Protector Water Born 4L Oil</t>
  </si>
  <si>
    <t>Wawa</t>
  </si>
  <si>
    <t>Wawa 1x6</t>
  </si>
  <si>
    <t>Wawa S4S Tongue &amp; Grooved 1x6</t>
  </si>
  <si>
    <t>Tongue &amp; Grooved</t>
  </si>
  <si>
    <t>Wawa S4S Tongue &amp; Grooved 1x6 Long</t>
  </si>
  <si>
    <t>WAKDTGVJ1611</t>
  </si>
  <si>
    <t>WAKDTGVJ1613</t>
  </si>
  <si>
    <t>WAKDTGVJ1614</t>
  </si>
  <si>
    <t>WAKDTGVJ1615</t>
  </si>
  <si>
    <t>WAKDTGVJ1616</t>
  </si>
  <si>
    <t>WAKDTGVJ1617</t>
  </si>
  <si>
    <t>WAKDTGVJ1618</t>
  </si>
  <si>
    <t>WAKDTGVJ164</t>
  </si>
  <si>
    <t>Wawa S4S Tongue &amp; Grooved 1x6 Short</t>
  </si>
  <si>
    <t>WAKDTGVJ165</t>
  </si>
  <si>
    <t>WAKDTGVJ166</t>
  </si>
  <si>
    <t>White Abodo Protector Water Born 4L</t>
  </si>
  <si>
    <t>White Abodo Protector Water Born 4L Oil</t>
  </si>
  <si>
    <t>US4</t>
  </si>
  <si>
    <t>US4 10L</t>
  </si>
  <si>
    <t>100558</t>
  </si>
  <si>
    <t>Ayous Natural US4 Everclad Aqua Oil Transparent</t>
  </si>
  <si>
    <t>US4 Everclad Aqua Oil</t>
  </si>
  <si>
    <t>Ayous Natural US4 Everclad Aqua Oil Transparent Oil</t>
  </si>
  <si>
    <t>US4 2,5L</t>
  </si>
  <si>
    <t>100567</t>
  </si>
  <si>
    <t>US4 0,750ml</t>
  </si>
  <si>
    <t>100576</t>
  </si>
  <si>
    <t>US4 0,125ml</t>
  </si>
  <si>
    <t>100585</t>
  </si>
  <si>
    <t>100610</t>
  </si>
  <si>
    <t>Bangkirai US4 Everclad Aqua Oil Opaque</t>
  </si>
  <si>
    <t>Bangkirai US4 Everclad Aqua Oil Opaque Oil</t>
  </si>
  <si>
    <t>100616</t>
  </si>
  <si>
    <t>100622</t>
  </si>
  <si>
    <t>100628</t>
  </si>
  <si>
    <t>100550</t>
  </si>
  <si>
    <t>Bangkirai US4 Everclad Aqua Oil Transparent</t>
  </si>
  <si>
    <t>Bangkirai US4 Everclad Aqua Oil Transparent Oil</t>
  </si>
  <si>
    <t>100559</t>
  </si>
  <si>
    <t>100568</t>
  </si>
  <si>
    <t>100577</t>
  </si>
  <si>
    <t>100586</t>
  </si>
  <si>
    <t>Bangkirai US4 Everdeck Oil</t>
  </si>
  <si>
    <t>US4 Everdeck Oil</t>
  </si>
  <si>
    <t>Bangkirai US4 Everdeck Oil Oil</t>
  </si>
  <si>
    <t>100590</t>
  </si>
  <si>
    <t>100594</t>
  </si>
  <si>
    <t>100598</t>
  </si>
  <si>
    <t>Conditioner US4 Everclad Aqua Oil Transparent</t>
  </si>
  <si>
    <t>Conditioner US4 Everclad Aqua Oil Transparent Oil</t>
  </si>
  <si>
    <t>100560</t>
  </si>
  <si>
    <t>100569</t>
  </si>
  <si>
    <t>100578</t>
  </si>
  <si>
    <t>100587</t>
  </si>
  <si>
    <t>Conditioner US4 Everdeck Oil</t>
  </si>
  <si>
    <t>Conditioner US4 Everdeck Oil Oil</t>
  </si>
  <si>
    <t>100591</t>
  </si>
  <si>
    <t>100595</t>
  </si>
  <si>
    <t>100599</t>
  </si>
  <si>
    <t>100552</t>
  </si>
  <si>
    <t>Deep Black US4 Everclad Aqua Oil Opaque</t>
  </si>
  <si>
    <t>Deep Black US4 Everclad Aqua Oil Opaque Oil</t>
  </si>
  <si>
    <t>100561</t>
  </si>
  <si>
    <t>100570</t>
  </si>
  <si>
    <t>100579</t>
  </si>
  <si>
    <t>100611</t>
  </si>
  <si>
    <t>Ebony US4 Everclad Aqua Oil Opaque</t>
  </si>
  <si>
    <t>Ebony US4 Everclad Aqua Oil Opaque Oil</t>
  </si>
  <si>
    <t>100617</t>
  </si>
  <si>
    <t>100623</t>
  </si>
  <si>
    <t>100629</t>
  </si>
  <si>
    <t>100553</t>
  </si>
  <si>
    <t>Ebony US4 Everclad Aqua Oil Transparent</t>
  </si>
  <si>
    <t>Ebony US4 Everclad Aqua Oil Transparent Oil</t>
  </si>
  <si>
    <t>100562</t>
  </si>
  <si>
    <t>100571</t>
  </si>
  <si>
    <t>100580</t>
  </si>
  <si>
    <t>100612</t>
  </si>
  <si>
    <t>Oak US4 Everclad Aqua Oil Opaque</t>
  </si>
  <si>
    <t>Oak US4 Everclad Aqua Oil Opaque Oil</t>
  </si>
  <si>
    <t>100618</t>
  </si>
  <si>
    <t>100624</t>
  </si>
  <si>
    <t>100630</t>
  </si>
  <si>
    <t>100554</t>
  </si>
  <si>
    <t>Oak US4 Everclad Aqua Oil Transparent</t>
  </si>
  <si>
    <t>Oak US4 Everclad Aqua Oil Transparent Oil</t>
  </si>
  <si>
    <t>100563</t>
  </si>
  <si>
    <t>100572</t>
  </si>
  <si>
    <t>100581</t>
  </si>
  <si>
    <t>100646</t>
  </si>
  <si>
    <t>Pearl White US4 Everclad Aqua Oil Transparent</t>
  </si>
  <si>
    <t>Pearl White US4 Everclad Aqua Oil Transparent Oil</t>
  </si>
  <si>
    <t>Kit</t>
  </si>
  <si>
    <t>Pro Deck Clip Kit 175 Count - SS304 - Black</t>
  </si>
  <si>
    <t>Pro Deck Clip Kit 175 Count</t>
  </si>
  <si>
    <t>SS304 - Black</t>
  </si>
  <si>
    <t>Pro Deck Clip Kit 175 Count - SS304 - Black Clip</t>
  </si>
  <si>
    <t>100588</t>
  </si>
  <si>
    <t>Taupe US4 Everdeck Oil</t>
  </si>
  <si>
    <t>Taupe US4 Everdeck Oil Oil</t>
  </si>
  <si>
    <t>100596</t>
  </si>
  <si>
    <t>100600</t>
  </si>
  <si>
    <t>100613</t>
  </si>
  <si>
    <t>Teak US4 Everclad Aqua Oil Opaque</t>
  </si>
  <si>
    <t>Teak US4 Everclad Aqua Oil Opaque Oil</t>
  </si>
  <si>
    <t>100619</t>
  </si>
  <si>
    <t>100625</t>
  </si>
  <si>
    <t>100631</t>
  </si>
  <si>
    <t>100555</t>
  </si>
  <si>
    <t>Teak US4 Everclad Aqua Oil Transparent</t>
  </si>
  <si>
    <t>Teak US4 Everclad Aqua Oil Transparent Oil</t>
  </si>
  <si>
    <t>100564</t>
  </si>
  <si>
    <t>100573</t>
  </si>
  <si>
    <t>100582</t>
  </si>
  <si>
    <t>100589</t>
  </si>
  <si>
    <t>Teak US4 Everdeck Oil</t>
  </si>
  <si>
    <t>Teak US4 Everdeck Oil Oil</t>
  </si>
  <si>
    <t>100593</t>
  </si>
  <si>
    <t>100597</t>
  </si>
  <si>
    <t>100601</t>
  </si>
  <si>
    <t>100592</t>
  </si>
  <si>
    <t>Thermowood US4 Everdeck Oil</t>
  </si>
  <si>
    <t>Thermowood US4 Everdeck Oil Oil</t>
  </si>
  <si>
    <t>100614</t>
  </si>
  <si>
    <t>Walnut US4 Everclad Aqua Oil Opaque</t>
  </si>
  <si>
    <t>Walnut US4 Everclad Aqua Oil Opaque Oil</t>
  </si>
  <si>
    <t>100620</t>
  </si>
  <si>
    <t>100626</t>
  </si>
  <si>
    <t>100632</t>
  </si>
  <si>
    <t>100556</t>
  </si>
  <si>
    <t>Walnut US4 Everclad Aqua Oil Transparent</t>
  </si>
  <si>
    <t>Walnut US4 Everclad Aqua Oil Transparent Oil</t>
  </si>
  <si>
    <t>100565</t>
  </si>
  <si>
    <t>100574</t>
  </si>
  <si>
    <t>100583</t>
  </si>
  <si>
    <t>100615</t>
  </si>
  <si>
    <t>White Oak US4 Everclad Aqua Oil Opaque</t>
  </si>
  <si>
    <t>White Oak US4 Everclad Aqua Oil Opaque Oil</t>
  </si>
  <si>
    <t>100621</t>
  </si>
  <si>
    <t>100627</t>
  </si>
  <si>
    <t>100633</t>
  </si>
  <si>
    <t>100557</t>
  </si>
  <si>
    <t>White Oak US4 Everclad Aqua Oil Transparent</t>
  </si>
  <si>
    <t>White Oak US4 Everclad Aqua Oil Transparent Oil</t>
  </si>
  <si>
    <t>100566</t>
  </si>
  <si>
    <t>100575</t>
  </si>
  <si>
    <t>100584</t>
  </si>
  <si>
    <t>Woca</t>
  </si>
  <si>
    <t>Woca 18L</t>
  </si>
  <si>
    <t>Brown Ipe 18L Woca Denmark Industrial Exterior Oil Sp Natural</t>
  </si>
  <si>
    <t>18L Woca Denmark Industrial Exterior Oil Sp Natural</t>
  </si>
  <si>
    <t>18L</t>
  </si>
  <si>
    <t>Brown Ipe 18L Woca Denmark Industrial Exterior Oil Sp Natural Oil</t>
  </si>
  <si>
    <t>Tropical Conditioning 18L Industrial Exterior Oil Sp Natural</t>
  </si>
  <si>
    <t>Tropical Conditioning</t>
  </si>
  <si>
    <t>18L Industrial Exterior Oil Sp Natural</t>
  </si>
  <si>
    <t>Tropical Conditioning 18L Industrial Exterior Oil Sp Natural Oil</t>
  </si>
  <si>
    <t>Wood Table</t>
  </si>
  <si>
    <t>Cascade</t>
  </si>
  <si>
    <t>Regular</t>
  </si>
  <si>
    <t>Cascade Wood Table Regular</t>
  </si>
  <si>
    <t>Double</t>
  </si>
  <si>
    <t>Double Cascade</t>
  </si>
  <si>
    <t>Double Cascade Wood Table Double</t>
  </si>
  <si>
    <t>Double Cascade Wood Table with Glass</t>
  </si>
  <si>
    <t>with Glass</t>
  </si>
  <si>
    <t>Double Cascade Wood Table with Glass Double</t>
  </si>
  <si>
    <t>Slab</t>
  </si>
  <si>
    <t>Round Wood</t>
  </si>
  <si>
    <t>Table Slab</t>
  </si>
  <si>
    <t>Round Wood Table Slab Regular</t>
  </si>
  <si>
    <t>SWSLAB</t>
  </si>
  <si>
    <t>Saman Wood Table</t>
  </si>
  <si>
    <t>Saman</t>
  </si>
  <si>
    <t>Saman Wood Table Regular</t>
  </si>
  <si>
    <t>Armchair</t>
  </si>
  <si>
    <t>SOC96848-000</t>
  </si>
  <si>
    <t>Wood Furniture Armchair Dama</t>
  </si>
  <si>
    <t>Dama</t>
  </si>
  <si>
    <t>Wood Furniture Armchair Dama Armchair</t>
  </si>
  <si>
    <t>SOC96848-001</t>
  </si>
  <si>
    <t>Table</t>
  </si>
  <si>
    <t>SOC96848-002</t>
  </si>
  <si>
    <t>Wood Furniture Table Dama</t>
  </si>
  <si>
    <t>Wood Furniture Table Dama Table</t>
  </si>
  <si>
    <t>1</t>
  </si>
  <si>
    <t>Wood Table 1 Regular</t>
  </si>
  <si>
    <t>2</t>
  </si>
  <si>
    <t>Wood Table 2 Regular</t>
  </si>
  <si>
    <t>TPNGVJ58410</t>
  </si>
  <si>
    <t>Maximo Thermo Scandinavian Pine VJoint - Nickel Gap 5/8x4</t>
  </si>
  <si>
    <t>Maximo Thermo Scandinavian Pine VJoint - Nickel Gap 5/8x4 Long</t>
  </si>
  <si>
    <t>TPNGVJ58412</t>
  </si>
  <si>
    <t>TPNGVJ58413</t>
  </si>
  <si>
    <t>TPNGVJ58415</t>
  </si>
  <si>
    <t>TPNGVJ58417</t>
  </si>
  <si>
    <t>TPNGVJ58418</t>
  </si>
  <si>
    <t>TPNGVJ5844</t>
  </si>
  <si>
    <t>Maximo Thermo Scandinavian Pine VJoint - Nickel Gap 5/8x4 Short</t>
  </si>
  <si>
    <t>TPNGVJ5845</t>
  </si>
  <si>
    <t>TPNGVJ5846</t>
  </si>
  <si>
    <t>TPNGVJ5847</t>
  </si>
  <si>
    <t>TPNGVJ5849</t>
  </si>
  <si>
    <t>Maximo Thermo Ayous JPL Rough Sawn 5/4x6</t>
  </si>
  <si>
    <t>Maximo Thermo Ayous JPL Rough Sawn 5/4x6 Long</t>
  </si>
  <si>
    <t>TAYJPLLRS54611</t>
  </si>
  <si>
    <t>TAYJPLLRS54614</t>
  </si>
  <si>
    <t>TAYJPLLRS54615</t>
  </si>
  <si>
    <t>TAYJPLLRS54617</t>
  </si>
  <si>
    <t>TAYJPLLRS5464</t>
  </si>
  <si>
    <t>Maximo Thermo Ayous JPL Rough Sawn 5/4x6 Short</t>
  </si>
  <si>
    <t>TAYJPLLRS5465</t>
  </si>
  <si>
    <t>TAYJPLLRS5466</t>
  </si>
  <si>
    <t>TAYJPLLRS5467</t>
  </si>
  <si>
    <t>Jatoba</t>
  </si>
  <si>
    <t>Jatoba 5/4x6</t>
  </si>
  <si>
    <t>JTKD54610S</t>
  </si>
  <si>
    <t>Jatoba S4S E4E 5/4x6</t>
  </si>
  <si>
    <t>Jatoba S4S E4E 5/4x6 Long</t>
  </si>
  <si>
    <t>JTKD54611S</t>
  </si>
  <si>
    <t>JTKD54612S</t>
  </si>
  <si>
    <t>JTKD54613S</t>
  </si>
  <si>
    <t>JTKD54614S</t>
  </si>
  <si>
    <t>JTKD54615S</t>
  </si>
  <si>
    <t>JTKD54616S</t>
  </si>
  <si>
    <t>JTKD54617S</t>
  </si>
  <si>
    <t>JTKD54618S</t>
  </si>
  <si>
    <t>JTKD54619S</t>
  </si>
  <si>
    <t>JTKD54620S</t>
  </si>
  <si>
    <t>JTKD54621S</t>
  </si>
  <si>
    <t>JTKD54622S</t>
  </si>
  <si>
    <t>JTKD5463S</t>
  </si>
  <si>
    <t>Jatoba S4S E4E 5/4x6 Short</t>
  </si>
  <si>
    <t>JTKD5464S</t>
  </si>
  <si>
    <t>JTKD5465S</t>
  </si>
  <si>
    <t>JTKD5466S</t>
  </si>
  <si>
    <t>JTKD5467S</t>
  </si>
  <si>
    <t>JTKD5468S</t>
  </si>
  <si>
    <t>JTKD5469S</t>
  </si>
  <si>
    <t>Jatoba 5/4x4</t>
  </si>
  <si>
    <t>JTKD54410S</t>
  </si>
  <si>
    <t>Jatoba S4S E4E 5/4x4</t>
  </si>
  <si>
    <t>Jatoba S4S E4E 5/4x4 Long</t>
  </si>
  <si>
    <t>JTKD54411S</t>
  </si>
  <si>
    <t>JTKD54412S</t>
  </si>
  <si>
    <t>JTKD54413S</t>
  </si>
  <si>
    <t>JTKD54414S</t>
  </si>
  <si>
    <t>JTKD54415S</t>
  </si>
  <si>
    <t>JTKD54416S</t>
  </si>
  <si>
    <t>JTKD54417S</t>
  </si>
  <si>
    <t>JTKD54418S</t>
  </si>
  <si>
    <t>JTKD54419S</t>
  </si>
  <si>
    <t>JTKD54420S</t>
  </si>
  <si>
    <t>JTKD54421S</t>
  </si>
  <si>
    <t>JTKD54422S</t>
  </si>
  <si>
    <t>JTKD5443S</t>
  </si>
  <si>
    <t>Jatoba S4S E4E 5/4x4 Short</t>
  </si>
  <si>
    <t>JTKD5444S</t>
  </si>
  <si>
    <t>JTKD5445S</t>
  </si>
  <si>
    <t>JTKD5446S</t>
  </si>
  <si>
    <t>JTKD5447S</t>
  </si>
  <si>
    <t>JTKD5448S</t>
  </si>
  <si>
    <t>JTKD5449S</t>
  </si>
  <si>
    <t>Massaranduba 24x24</t>
  </si>
  <si>
    <t>BWTILE2424</t>
  </si>
  <si>
    <t>Massaranduba Bullet Wood Tiles 24x24</t>
  </si>
  <si>
    <t>SO763035-000</t>
  </si>
  <si>
    <t>MNC67716-000</t>
  </si>
  <si>
    <t>Maximo Thermo Scandinavian Pine VJoint - Nickel Gap Wire Brush 1x6</t>
  </si>
  <si>
    <t>Wire Brush</t>
  </si>
  <si>
    <t>MNC67716-001</t>
  </si>
  <si>
    <t>MNC67716-002</t>
  </si>
  <si>
    <t>MNC67716-003</t>
  </si>
  <si>
    <t>MNC67716-004</t>
  </si>
  <si>
    <t>Real Stock</t>
  </si>
  <si>
    <t>Stock Cost</t>
  </si>
  <si>
    <t>M³</t>
  </si>
  <si>
    <t>Local</t>
  </si>
  <si>
    <t>SO778750-000</t>
  </si>
  <si>
    <t>Ipe Maximo 5/4x6x22' (1" x5.5")_x000D_
Kiln Dried S4S E4E Grooved2_x000D_
Sides</t>
  </si>
  <si>
    <t>Global LBM Russin</t>
  </si>
  <si>
    <t>9015</t>
  </si>
  <si>
    <t>Maximo ThermoWood Ayous 1x6x10'_x000D_
V-Joint Nickel Gap (0.75" x 5.51_x000D_
" x 118")(5.26" Face) BURN_x000D_
BLOCKED (Fire retardant)</t>
  </si>
  <si>
    <t>Maximo ThermoWood Ayous 1x6x11'_x000D_
V-Joint Nickel Gap (0.75" x 5.51_x000D_
" x 130")(5.26" Face) BURN_x000D_
BLOCKED (Fire retardant)</t>
  </si>
  <si>
    <t>Maximo ThermoWood Ayous 1x6x12'_x000D_
V-Joint Nickel Gap (0.75" x 5.51_x000D_
" x 142")(5.26" Face) BURN_x000D_
BLOCKED (Fire retardant)</t>
  </si>
  <si>
    <t>Maximo ThermoWood Ayous 1x6x13'_x000D_
V-Joint Nickel Gap (0.75" x 5.51_x000D_
" x 154")(5.26" Face) BURN_x000D_
BLOCKED (Fire retardant)</t>
  </si>
  <si>
    <t>Maximo ThermoWood Ayous 1x6x14'_x000D_
V-Joint Nickel Gap (0.75" x 5.51_x000D_
" x 165")(5.26" Face) BURN_x000D_
BLOCKED (Fire retardant)</t>
  </si>
  <si>
    <t>Maximo ThermoWood Ayous 1x6x15'_x000D_
V-Joint Nickel Gap (0.75" x 5.51_x000D_
" x 177")(5.26" Face) BURN_x000D_
BLOCKED (Fire retardant)</t>
  </si>
  <si>
    <t>Maximo ThermoWood Ayous 1x6x6'_x000D_
V-Joint Nickel Gap (0.75" x 5.51_x000D_
" x 71")(5.26" Face) BURN_x000D_
BLOCKED (Fire retardant)</t>
  </si>
  <si>
    <t>Maximo ThermoWood Ayous 1x6x7'_x000D_
V-Joint Nickel Gap (0.75" x 5.51_x000D_
" x 83")(5.26" Face) BURN_x000D_
BLOCKED (Fire retardant)</t>
  </si>
  <si>
    <t>Maximo ThermoWood Ayous 1x6x8'_x000D_
V-Joint Nickel Gap (0.75" x 5.51_x000D_
" x 95")(5.26" Face) BURN_x000D_
BLOCKED (Fire retardant)</t>
  </si>
  <si>
    <t>Maximo ThermoWood Ayous 1x6x9'_x000D_
V-Joint Nickel Gap (0.75" x 5.51_x000D_
" x 106")(5.26" Face) BURN_x000D_
BLOCKED (Fire retardant)</t>
  </si>
  <si>
    <t>SO779525-000</t>
  </si>
  <si>
    <t>SO782295-000</t>
  </si>
  <si>
    <t>Ipe Maximo 5/4x6x22' (1" x5.5")_x000D_
Kiln Dried S4S E4E</t>
  </si>
  <si>
    <t>2x2x16' - L Trim - (Hickory) -_x000D_
(Light Beige) Norx Performance_x000D_
Collection. NEW PROFILE</t>
  </si>
  <si>
    <t>Global LBM  Boise Detroit</t>
  </si>
  <si>
    <t>Clearwater</t>
  </si>
  <si>
    <t>9010</t>
  </si>
  <si>
    <t>Maximo Accoya Grooved Brown Ipe (Coated) 5/4x6</t>
  </si>
  <si>
    <t>Brown Ipe (Coated)</t>
  </si>
  <si>
    <t>Maximo Accoya Grooved Brown Ipe (Coated) 5/4x6 Long</t>
  </si>
  <si>
    <t>Maximo Accoya S4S E4E Brown Ipe (Coated) 5/4x6</t>
  </si>
  <si>
    <t>Maximo Accoya S4S E4E Brown Ipe (Coated) 5/4x6 Long</t>
  </si>
  <si>
    <t>Garapa S4S E4E Brown Ipe (Coated) 1x6</t>
  </si>
  <si>
    <t>Garapa S4S E4E Brown Ipe (Coated) 1x6 Long</t>
  </si>
  <si>
    <t>Garapa S4S E4E Brown Ipe (Coated) 1x6 Short</t>
  </si>
  <si>
    <t>Maximo Thermo Ash Profile #2 Random Lenght 1x6 Plus</t>
  </si>
  <si>
    <t>Maximo Thermo Ash Profile #2 Random Lenght 1x6 Plus Random Lenght</t>
  </si>
  <si>
    <t>Maximo Thermo Ash Rondo Random Lenght 1x6 Plus</t>
  </si>
  <si>
    <t>Maximo Thermo Ash Rondo Random Lenght 1x6 Plus Random Lenght</t>
  </si>
  <si>
    <t>Maximo Thermo Ayous Elevato Trio Random Lenght 2x6</t>
  </si>
  <si>
    <t>Maximo Thermo Ayous Elevato Trio Random Lenght 2x6 Random Lenght</t>
  </si>
  <si>
    <t>Maximo Thermo Ayous Rondo Random Lenght 1x6</t>
  </si>
  <si>
    <t>Maximo Thermo Ayous Rondo Random Lenght 1x6 Random Lenght</t>
  </si>
  <si>
    <t>CMKD4410S</t>
  </si>
  <si>
    <t>CMKD4411S</t>
  </si>
  <si>
    <t>CMKD4412S</t>
  </si>
  <si>
    <t>CMKD4413S</t>
  </si>
  <si>
    <t>CMKD4414S</t>
  </si>
  <si>
    <t>CMKD4415S</t>
  </si>
  <si>
    <t>CMKD4416S</t>
  </si>
  <si>
    <t>CMKD4417S</t>
  </si>
  <si>
    <t>CMKD4418S</t>
  </si>
  <si>
    <t>CMKD4419S</t>
  </si>
  <si>
    <t>CMKD4420S</t>
  </si>
  <si>
    <t>CMKD4421S</t>
  </si>
  <si>
    <t>CMKD4422S</t>
  </si>
  <si>
    <t>CMKD443S</t>
  </si>
  <si>
    <t>CMKD444S</t>
  </si>
  <si>
    <t>CMKD445S</t>
  </si>
  <si>
    <t>CMKD446S</t>
  </si>
  <si>
    <t>CMKD447S</t>
  </si>
  <si>
    <t>CMKD448S</t>
  </si>
  <si>
    <t>CMKD449S</t>
  </si>
  <si>
    <t>MNC70801-011</t>
  </si>
  <si>
    <t>MNC70801-000</t>
  </si>
  <si>
    <t>Maximo Thermo Scandinavian Pine VJoint - Nickel Gap Wire Brush Walnut Color 1x6</t>
  </si>
  <si>
    <t>Wire Brush Walnut Color</t>
  </si>
  <si>
    <t>Maximo Thermo Scandinavian Pine VJoint - Nickel Gap Wire Brush Walnut Color 1x6 Long</t>
  </si>
  <si>
    <t>MNC70801-001</t>
  </si>
  <si>
    <t>MNC70801-002</t>
  </si>
  <si>
    <t>MNC70801-003</t>
  </si>
  <si>
    <t>MNC70801-004</t>
  </si>
  <si>
    <t>MNC70801-005</t>
  </si>
  <si>
    <t>MNC70801-006</t>
  </si>
  <si>
    <t>MNC70801-007</t>
  </si>
  <si>
    <t>MNC70801-008</t>
  </si>
  <si>
    <t>Maximo Thermo Scandinavian Pine VJoint - Nickel Gap Wire Brush Walnut Color 1x6 Short</t>
  </si>
  <si>
    <t>MNC70801-009</t>
  </si>
  <si>
    <t>MNC70801-010</t>
  </si>
  <si>
    <t>MNC70788-002</t>
  </si>
  <si>
    <t>SOC70788-003</t>
  </si>
  <si>
    <t>Garapa 25x145</t>
  </si>
  <si>
    <t>SOC80225-000</t>
  </si>
  <si>
    <t>Garapa Gentle Smooth 25x145</t>
  </si>
  <si>
    <t>Gentle Smooth</t>
  </si>
  <si>
    <t>25x145</t>
  </si>
  <si>
    <t>Garapa Gentle Smooth 25x145 Short</t>
  </si>
  <si>
    <t>SOC80225-001</t>
  </si>
  <si>
    <t>Garapa Gentle Smooth 25x145 Long</t>
  </si>
  <si>
    <t>SOC80225-002</t>
  </si>
  <si>
    <t>SOC80225-003</t>
  </si>
  <si>
    <t>SOC80225-004</t>
  </si>
  <si>
    <t>SOC80225-005</t>
  </si>
  <si>
    <t>SOC80225-006</t>
  </si>
  <si>
    <t>SOC80225-007</t>
  </si>
  <si>
    <t>SOC80225-008</t>
  </si>
  <si>
    <t>Ipe 1x3.5</t>
  </si>
  <si>
    <t>SOC74212-000</t>
  </si>
  <si>
    <t>Ipe S4S E4E 1x3.5</t>
  </si>
  <si>
    <t>1x3.5</t>
  </si>
  <si>
    <t>Ipe S4S E4E 1x3.5 Long</t>
  </si>
  <si>
    <t>100201</t>
  </si>
  <si>
    <t>Pro Deck Clip Kit 875 Count - SS304 - Black</t>
  </si>
  <si>
    <t>Pro Deck Clip Kit 875 Count</t>
  </si>
  <si>
    <t>Pro Deck Clip Kit 875 Count - SS304 - Black Clip</t>
  </si>
  <si>
    <t>Ipe Maximo 1x4X10' (3/4" X 3.5")_x000D_
Kiln Dried S4S E4E</t>
  </si>
  <si>
    <t>Ipe Maximo 1x4x12' (3/4" X 3.5")_x000D_
Kiln Dried S4S E4E</t>
  </si>
  <si>
    <t>Ipe Maximo 1x4x20' (3/4" X 3.5")_x000D_
Kiln Dried S4S E4E</t>
  </si>
  <si>
    <t>Ipe Maximo 1x4x8' (3/4" X 3_x000D_
1/2")_x000D_
Kiln Dried S4S E4E</t>
  </si>
  <si>
    <t>2x2x16' - L Trim - IPE Color,_x000D_
(Dark Brown) Norx Performance_x000D_
Collection. NEW PROFILE</t>
  </si>
  <si>
    <t>2x2x16' - L Trim - TEAK Color,_x000D_
(Light Brown) Norx Performance_x000D_
Collection. NEW PROFILE</t>
  </si>
  <si>
    <t>2x2x16' - L Trim - ( Tigerwood)_x000D_
Dark Teak - Norx Performance_x000D_
Collection. NEW PROFILE</t>
  </si>
  <si>
    <t>Maximo ThermoWood Ayous 1x4x8'_x000D_
V-Joint Nickel Gap (Net 0.75 x_x000D_
3.62 x 94") (Face 3.37")</t>
  </si>
  <si>
    <t>Maximo Accoya Rough Sawn 4/4x6</t>
  </si>
  <si>
    <t>Maximo Accoya Rough Sawn 4/4x6 Long</t>
  </si>
  <si>
    <t>Maximo Accoya Rough Sawn 5/4x6</t>
  </si>
  <si>
    <t>Maximo Accoya Rough Sawn 5/4x6 Long</t>
  </si>
  <si>
    <t>Maximo Accoya Rough Sawn Grey 4/4x6</t>
  </si>
  <si>
    <t>Maximo Accoya Rough Sawn Grey 4/4x6 Long</t>
  </si>
  <si>
    <t>MNC81998-000</t>
  </si>
  <si>
    <t>SOC81508-000</t>
  </si>
  <si>
    <t>MNC81508-000</t>
  </si>
  <si>
    <t>SOC84651-000</t>
  </si>
  <si>
    <t>Ipe Maximo 5/4x4x14' (1" x3.5")_x000D_
Kiln Dried S4S E4E Grooved2_x000D_
Sides</t>
  </si>
  <si>
    <t>Ipe Maximo 5/4x4x16' (1" x3.5")_x000D_
Kiln Dried S4S E4E Grooved2_x000D_
Sides</t>
  </si>
  <si>
    <t>Ipe Maximo 5/4x4x18' (1" x3.5")_x000D_
Kiln Dried S4S E4E Grooved2_x000D_
Sides</t>
  </si>
  <si>
    <t>Ipe Maximo 5/4x4x20' (1" x3.5")_x000D_
Kiln Dried S4S E4E Grooved2_x000D_
Sides</t>
  </si>
  <si>
    <t>Ipe Maximo 5/4x4x20' (1" x3.5")_x000D_
Kiln Dried S4S E4E</t>
  </si>
  <si>
    <t>Maximo ThermoWood Ayous 1x6x12'_x000D_
V-Joint and Nickel Gap_x000D_
(3/4"x5.25" face)</t>
  </si>
  <si>
    <t>Maximo ThermoWood Ayous 1x6x15'_x000D_
V-Joint and Nickel Gap_x000D_
(3/4"x5.25" face)</t>
  </si>
  <si>
    <t>Maximo ThermoWood Ayous 1x6x16'_x000D_
V-Joint and Nickel Gap_x000D_
(3/4"x5.25" face)</t>
  </si>
  <si>
    <t>Maximo ThermoWood Ayous 1x6x18'_x000D_
V-Joint and Nickel Gap_x000D_
(3/4"x5.25" face)</t>
  </si>
  <si>
    <t>Conv M3xLF</t>
  </si>
  <si>
    <t>LF</t>
  </si>
  <si>
    <t>Maximo Thermo Clear Radiata Pine_x000D_
2x6x7' S4S E4E - OPX (Net 1.50"_x000D_
x 5.43" x 83")</t>
  </si>
  <si>
    <t>Maximo Thermo Clear Radiata Pine_x000D_
1x6x15' Nickel Gap - OPX (Net_x000D_
0.75" x 5.43" x 177")(4.6" Face)</t>
  </si>
  <si>
    <t>Maximo Thermo Clear Radiata Pine_x000D_
1x6x4' Nickel Gap - OPX (Net_x000D_
0.75" x 5.43" x 47")(4.6" Face)</t>
  </si>
  <si>
    <t>Maximo Thermo Clear Radiata Pine_x000D_
1x6x5' Nickel Gap - OPX (Net_x000D_
0.75" x 5.43" x 59")(4.6" Face)</t>
  </si>
  <si>
    <t>Maximo Thermo Clear Radiata Pine_x000D_
1x6x6' Nickel Gap - OPX (Net_x000D_
0.75" x 5.43" x 71")(4.6" Face)</t>
  </si>
  <si>
    <t>Maximo Thermo Clear Radiata Pine_x000D_
1x6x9' Nickel Gap - OPX (Net_x000D_
0.75" x 5.43" x 106")(4.6" Face)</t>
  </si>
  <si>
    <t>SO789945-000</t>
  </si>
  <si>
    <t>US4EVERCLAD BANGKIRAI10L</t>
  </si>
  <si>
    <t>US4EVERCLAD BANGKIRAI2.5L</t>
  </si>
  <si>
    <t>SO351618-007</t>
  </si>
  <si>
    <t>Painting Services_x000D_
Ayous 1x6 and 1x8 - Nickel Gap_x000D_
PreFinished Pearl Transparent_x000D_
AYOUS V-JOINT/NG 1X8:_x000D_
4' 32 PIECES - 126LF_x000D_
5' 25 PIECES - 123LF_x000D_
8' 61 PIECES - 480LF_x000D_
9' 105 PIECES - 930LF_x000D_
10' 105 PIECES - 1.033LF_x000D_
11' 63 PIECES - 682LF_x000D_
TOTAL 1X8: 3374 LF_x000D_
SIDE NICKEL GAP_x000D_
_x000D_
AYOUS V-JOINT/NG 1X6:_x000D_
6' 35 PIECES - 207LF_x000D_
7' 70 PIECES - 482LF_x000D_
8' 210 PIECES - 1.654LF_x000D_
9' 147 pieces - 1.302LF_x000D_
10' 28 PIECES - 276LF_x000D_
11' 21 PIECES - 227LF_x000D_
12' 35 PIECES - 413LF_x000D_
TOTAL 1X6: 4.561_x000D_
SIDE NICKEL GAP_x000D_
_x000D_
LF TOTAL: 7.935LF_x000D_
MIA C76640</t>
  </si>
  <si>
    <t>SOC84507-000</t>
  </si>
  <si>
    <t>Ayous 1X6 V-Joint with Wire_x000D_
Brush_x000D_
4'  - 14 pieces - 55 LF_x000D_
13' - 63 pieces - 806 LF_x000D_
15' - 161 pieces - 2.377 LF_x000D_
17' - 49 pieces - 820 LF_x000D_
_x000D_
Total: 4.058 LF</t>
  </si>
  <si>
    <t>SO354342-000</t>
  </si>
  <si>
    <t>Painting Bangkirai_x000D_
Size:  Square Back_x000D_
_x000D_
4' - 14 pieces - 55 LF_x000D_
13' - 63 pieces - 806 LF_x000D_
15' - 161 pieces - 2.377 LF_x000D_
17' 49 pieces - 820 LF_x000D_
_x000D_
Total: 4.058 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</si>
</sst>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$-409]#,##0.00;[$$-409]\-#,##0.00"/>
    <numFmt numFmtId="165" formatCode="#,##0.0000"/>
    <numFmt numFmtId="166" formatCode="#,##0.000"/>
  </numFmts>
  <fonts count="3" x14ac:knownFonts="1">
    <font>
      <sz val="10"/>
      <color rgb="FF000000"/>
      <name val="ARIAL"/>
      <charset val="1"/>
    </font>
    <font>
      <sz val="10"/>
      <color rgb="FF000000"/>
      <name val="Arial"/>
      <family val="2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NumberFormat="1"/>
    <xf numFmtId="4" fontId="0" fillId="0" borderId="0" xfId="0" applyNumberFormat="1"/>
    <xf numFmtId="44" fontId="0" fillId="0" borderId="0" xfId="1" applyFon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44" fontId="2" fillId="2" borderId="0" xfId="1" applyFont="1" applyFill="1"/>
    <xf numFmtId="165" fontId="2" fillId="2" borderId="0" xfId="0" applyNumberFormat="1" applyFont="1" applyFill="1"/>
    <xf numFmtId="166" fontId="2" fillId="2" borderId="0" xfId="0" applyNumberFormat="1" applyFont="1" applyFill="1"/>
    <xf numFmtId="3" fontId="2" fillId="2" borderId="0" xfId="0" applyNumberFormat="1" applyFont="1" applyFill="1"/>
    <xf numFmtId="3" fontId="0" fillId="0" borderId="0" xfId="0" applyNumberFormat="1"/>
  </cellXfs>
  <cellStyles count="2">
    <cellStyle name="Moeda" xfId="1" builtinId="4"/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9525</xdr:rowOff>
    </xdr:from>
    <xdr:to>
      <xdr:col>15</xdr:col>
      <xdr:colOff>0</xdr:colOff>
      <xdr:row>3</xdr:row>
      <xdr:rowOff>0</xdr:rowOff>
    </xdr:to>
    <xdr:sp macro="[0]!AtualizarLocalStock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6C6C425E-B1AC-5B9B-41A7-FE262A7014A3}"/>
            </a:ext>
          </a:extLst>
        </xdr:cNvPr>
        <xdr:cNvSpPr/>
      </xdr:nvSpPr>
      <xdr:spPr>
        <a:xfrm>
          <a:off x="10544175" y="171450"/>
          <a:ext cx="1371600" cy="314325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IMPORTAR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13A988E-0A53-490B-95B7-735DBEAD4751}" autoFormatId="16" applyNumberFormats="0" applyBorderFormats="0" applyFontFormats="0" applyPatternFormats="0" applyAlignmentFormats="0" applyWidthHeightFormats="0">
  <queryTableRefresh nextId="21">
    <queryTableFields count="20">
      <queryTableField id="1" name="Family" tableColumnId="1"/>
      <queryTableField id="2" name="Group" tableColumnId="2"/>
      <queryTableField id="3" name="Subgroup" tableColumnId="3"/>
      <queryTableField id="4" name="Type" tableColumnId="4"/>
      <queryTableField id="5" name="SKU" tableColumnId="5"/>
      <queryTableField id="6" name="Description" tableColumnId="6"/>
      <queryTableField id="7" name="Specie" tableColumnId="7"/>
      <queryTableField id="8" name="Model" tableColumnId="8"/>
      <queryTableField id="9" name="Profile" tableColumnId="9"/>
      <queryTableField id="10" name="Size" tableColumnId="10"/>
      <queryTableField id="11" name="Lenght" tableColumnId="11"/>
      <queryTableField id="12" name="Lenght (m)" tableColumnId="12"/>
      <queryTableField id="13" name="Thick (mm)" tableColumnId="13"/>
      <queryTableField id="14" name="Width (mm)" tableColumnId="14"/>
      <queryTableField id="15" name="Conv L (pol)" tableColumnId="15"/>
      <queryTableField id="16" name="Conv T (pol)" tableColumnId="16"/>
      <queryTableField id="17" name="Conv W (pol)" tableColumnId="17"/>
      <queryTableField id="18" name="Conv m3xLF" tableColumnId="18"/>
      <queryTableField id="19" name="Conv PcxM3" tableColumnId="19"/>
      <queryTableField id="20" name="Description Cod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1592C-86C3-43F4-84A9-D41AB4F1BB4E}" name="Base_SKUs" displayName="Base_SKUs" ref="A1:T3738" tableType="queryTable" totalsRowShown="0">
  <autoFilter ref="A1:T3738" xr:uid="{5581592C-86C3-43F4-84A9-D41AB4F1BB4E}"/>
  <tableColumns count="20">
    <tableColumn id="1" xr3:uid="{3447F0F3-DEC8-4679-B57D-D389D0F20D1B}" uniqueName="1" name="Family" queryTableFieldId="1" dataDxfId="10"/>
    <tableColumn id="2" xr3:uid="{244836D2-26F3-4FEF-9C75-15D49A5BA246}" uniqueName="2" name="Group" queryTableFieldId="2" dataDxfId="9"/>
    <tableColumn id="3" xr3:uid="{09C7A96C-91AC-4180-B6D4-F5243A68CE66}" uniqueName="3" name="Subgroup" queryTableFieldId="3" dataDxfId="8"/>
    <tableColumn id="4" xr3:uid="{22759EC6-57EE-47CB-8D83-7137E01A1264}" uniqueName="4" name="Type" queryTableFieldId="4" dataDxfId="7"/>
    <tableColumn id="5" xr3:uid="{808418D8-E8C3-4A17-B9D6-AF8C6437304F}" uniqueName="5" name="SKU" queryTableFieldId="5" dataDxfId="6"/>
    <tableColumn id="6" xr3:uid="{FBEAD113-D007-43AB-B9BF-14F431187898}" uniqueName="6" name="Description" queryTableFieldId="6" dataDxfId="5"/>
    <tableColumn id="7" xr3:uid="{DFC1880F-F34A-4AB7-8CEB-45D74F0E3336}" uniqueName="7" name="Specie" queryTableFieldId="7" dataDxfId="4"/>
    <tableColumn id="8" xr3:uid="{6100FF11-13E0-47D6-86EA-2F728CB7BC47}" uniqueName="8" name="Model" queryTableFieldId="8" dataDxfId="3"/>
    <tableColumn id="9" xr3:uid="{D2C701BA-5079-4B4E-8660-45335D74616F}" uniqueName="9" name="Profile" queryTableFieldId="9" dataDxfId="2"/>
    <tableColumn id="10" xr3:uid="{FEF7ACCB-F381-458E-8099-E409CC50BA64}" uniqueName="10" name="Size" queryTableFieldId="10" dataDxfId="1"/>
    <tableColumn id="11" xr3:uid="{3B2C09AF-F204-4306-A626-0E43A36D355D}" uniqueName="11" name="Lenght" queryTableFieldId="11"/>
    <tableColumn id="12" xr3:uid="{F652F04E-3AEF-4425-9346-544829B90363}" uniqueName="12" name="Lenght (m)" queryTableFieldId="12"/>
    <tableColumn id="13" xr3:uid="{E9F9CF7F-8FD9-4B8C-A43D-F54CF67C27D5}" uniqueName="13" name="Thick (mm)" queryTableFieldId="13"/>
    <tableColumn id="14" xr3:uid="{AAF9D07E-58F5-4A94-9297-E8DA2142987B}" uniqueName="14" name="Width (mm)" queryTableFieldId="14"/>
    <tableColumn id="15" xr3:uid="{05094BD7-F742-42AB-8D2A-09D7F10C19D2}" uniqueName="15" name="Conv L (pol)" queryTableFieldId="15"/>
    <tableColumn id="16" xr3:uid="{DF60CF67-2B22-47D7-A986-7B9101F05CD7}" uniqueName="16" name="Conv T (pol)" queryTableFieldId="16"/>
    <tableColumn id="17" xr3:uid="{4BAA8512-1354-44F0-ACD0-421A033AED24}" uniqueName="17" name="Conv W (pol)" queryTableFieldId="17"/>
    <tableColumn id="18" xr3:uid="{40CE08F5-84FF-4CE4-A23D-C48C92497AE4}" uniqueName="18" name="Conv m3xLF" queryTableFieldId="18"/>
    <tableColumn id="19" xr3:uid="{2CF91C7F-1235-42DF-B23F-BFEDB612AD21}" uniqueName="19" name="Conv PcxM3" queryTableFieldId="19"/>
    <tableColumn id="20" xr3:uid="{44DEF010-59D1-40A4-9979-38CF984301BA}" uniqueName="20" name="Description Code" queryTableFieldId="20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4C62-68D7-4C0F-A561-B5451EA874C0}">
  <sheetPr codeName="Planilha1">
    <tabColor theme="4" tint="-0.499984740745262"/>
  </sheetPr>
  <dimension ref="A1:T3738"/>
  <sheetViews>
    <sheetView topLeftCell="A3705" zoomScale="90" zoomScaleNormal="90" workbookViewId="0">
      <selection activeCell="C3733" sqref="C3733"/>
    </sheetView>
  </sheetViews>
  <sheetFormatPr defaultRowHeight="12.75" x14ac:dyDescent="0.2"/>
  <cols>
    <col min="1" max="1" width="17.42578125" bestFit="1" customWidth="1"/>
    <col min="2" max="2" width="22.7109375" bestFit="1" customWidth="1"/>
    <col min="3" max="3" width="15.42578125" bestFit="1" customWidth="1"/>
    <col min="4" max="4" width="12.7109375" bestFit="1" customWidth="1"/>
    <col min="5" max="5" width="22.140625" bestFit="1" customWidth="1"/>
    <col min="6" max="6" width="76.140625" bestFit="1" customWidth="1"/>
    <col min="7" max="7" width="32.42578125" bestFit="1" customWidth="1"/>
    <col min="8" max="8" width="47.7109375" bestFit="1" customWidth="1"/>
    <col min="9" max="9" width="22.85546875" bestFit="1" customWidth="1"/>
    <col min="10" max="10" width="8.85546875" bestFit="1" customWidth="1"/>
    <col min="11" max="11" width="9.85546875" bestFit="1" customWidth="1"/>
    <col min="12" max="12" width="13.28515625" bestFit="1" customWidth="1"/>
    <col min="13" max="13" width="13.85546875" bestFit="1" customWidth="1"/>
    <col min="14" max="16" width="14.140625" bestFit="1" customWidth="1"/>
    <col min="17" max="17" width="14.85546875" bestFit="1" customWidth="1"/>
    <col min="18" max="18" width="14.5703125" bestFit="1" customWidth="1"/>
    <col min="19" max="19" width="14.7109375" bestFit="1" customWidth="1"/>
    <col min="20" max="20" width="81.140625" bestFit="1" customWidth="1"/>
  </cols>
  <sheetData>
    <row r="1" spans="1:20" x14ac:dyDescent="0.2">
      <c r="A1" t="s">
        <v>2075</v>
      </c>
      <c r="B1" t="s">
        <v>2076</v>
      </c>
      <c r="C1" t="s">
        <v>2077</v>
      </c>
      <c r="D1" t="s">
        <v>2078</v>
      </c>
      <c r="E1" t="s">
        <v>2079</v>
      </c>
      <c r="F1" t="s">
        <v>1</v>
      </c>
      <c r="G1" t="s">
        <v>2080</v>
      </c>
      <c r="H1" t="s">
        <v>2081</v>
      </c>
      <c r="I1" t="s">
        <v>2082</v>
      </c>
      <c r="J1" t="s">
        <v>2083</v>
      </c>
      <c r="K1" t="s">
        <v>2084</v>
      </c>
      <c r="L1" t="s">
        <v>2085</v>
      </c>
      <c r="M1" t="s">
        <v>2086</v>
      </c>
      <c r="N1" t="s">
        <v>2087</v>
      </c>
      <c r="O1" t="s">
        <v>2088</v>
      </c>
      <c r="P1" t="s">
        <v>2089</v>
      </c>
      <c r="Q1" t="s">
        <v>2090</v>
      </c>
      <c r="R1" t="s">
        <v>2091</v>
      </c>
      <c r="S1" t="s">
        <v>2092</v>
      </c>
      <c r="T1" t="s">
        <v>2093</v>
      </c>
    </row>
    <row r="2" spans="1:20" x14ac:dyDescent="0.2">
      <c r="A2" s="4" t="s">
        <v>2094</v>
      </c>
      <c r="B2" s="4" t="s">
        <v>2095</v>
      </c>
      <c r="C2" s="4" t="s">
        <v>2096</v>
      </c>
      <c r="D2" s="4" t="s">
        <v>2097</v>
      </c>
      <c r="E2" s="4" t="s">
        <v>2098</v>
      </c>
      <c r="F2" s="4" t="s">
        <v>6234</v>
      </c>
      <c r="G2" s="4" t="s">
        <v>2132</v>
      </c>
      <c r="H2" s="4" t="s">
        <v>2099</v>
      </c>
      <c r="I2" s="4" t="s">
        <v>2100</v>
      </c>
      <c r="J2" s="4" t="s">
        <v>2101</v>
      </c>
      <c r="K2">
        <v>10</v>
      </c>
      <c r="L2">
        <v>3.048</v>
      </c>
      <c r="M2">
        <v>25.4</v>
      </c>
      <c r="N2">
        <v>146.05000000000001</v>
      </c>
      <c r="O2">
        <v>120</v>
      </c>
      <c r="P2">
        <v>1</v>
      </c>
      <c r="Q2">
        <v>5.7500000000000009</v>
      </c>
      <c r="R2">
        <v>884.40200000000004</v>
      </c>
      <c r="S2">
        <v>1.1307074160000003E-2</v>
      </c>
      <c r="T2" s="4" t="s">
        <v>6235</v>
      </c>
    </row>
    <row r="3" spans="1:20" x14ac:dyDescent="0.2">
      <c r="A3" s="4" t="s">
        <v>2094</v>
      </c>
      <c r="B3" s="4" t="s">
        <v>2095</v>
      </c>
      <c r="C3" s="4" t="s">
        <v>2096</v>
      </c>
      <c r="D3" s="4" t="s">
        <v>2097</v>
      </c>
      <c r="E3" s="4" t="s">
        <v>2102</v>
      </c>
      <c r="F3" s="4" t="s">
        <v>6234</v>
      </c>
      <c r="G3" s="4" t="s">
        <v>2132</v>
      </c>
      <c r="H3" s="4" t="s">
        <v>2099</v>
      </c>
      <c r="I3" s="4" t="s">
        <v>2100</v>
      </c>
      <c r="J3" s="4" t="s">
        <v>2101</v>
      </c>
      <c r="K3">
        <v>11</v>
      </c>
      <c r="L3">
        <v>3.3527999999999998</v>
      </c>
      <c r="M3">
        <v>25.4</v>
      </c>
      <c r="N3">
        <v>146.05000000000001</v>
      </c>
      <c r="O3">
        <v>132</v>
      </c>
      <c r="P3">
        <v>1</v>
      </c>
      <c r="Q3">
        <v>5.7500000000000009</v>
      </c>
      <c r="R3">
        <v>884.40200000000004</v>
      </c>
      <c r="S3">
        <v>1.2437781575999998E-2</v>
      </c>
      <c r="T3" s="4" t="s">
        <v>6235</v>
      </c>
    </row>
    <row r="4" spans="1:20" x14ac:dyDescent="0.2">
      <c r="A4" s="4" t="s">
        <v>2094</v>
      </c>
      <c r="B4" s="4" t="s">
        <v>2095</v>
      </c>
      <c r="C4" s="4" t="s">
        <v>2096</v>
      </c>
      <c r="D4" s="4" t="s">
        <v>2097</v>
      </c>
      <c r="E4" s="4" t="s">
        <v>2103</v>
      </c>
      <c r="F4" s="4" t="s">
        <v>6234</v>
      </c>
      <c r="G4" s="4" t="s">
        <v>2132</v>
      </c>
      <c r="H4" s="4" t="s">
        <v>2099</v>
      </c>
      <c r="I4" s="4" t="s">
        <v>2100</v>
      </c>
      <c r="J4" s="4" t="s">
        <v>2101</v>
      </c>
      <c r="K4">
        <v>12</v>
      </c>
      <c r="L4">
        <v>3.6576</v>
      </c>
      <c r="M4">
        <v>25.4</v>
      </c>
      <c r="N4">
        <v>146.05000000000001</v>
      </c>
      <c r="O4">
        <v>144</v>
      </c>
      <c r="P4">
        <v>1</v>
      </c>
      <c r="Q4">
        <v>5.7500000000000009</v>
      </c>
      <c r="R4">
        <v>884.40200000000004</v>
      </c>
      <c r="S4">
        <v>1.3568488992000001E-2</v>
      </c>
      <c r="T4" s="4" t="s">
        <v>6235</v>
      </c>
    </row>
    <row r="5" spans="1:20" x14ac:dyDescent="0.2">
      <c r="A5" s="4" t="s">
        <v>2094</v>
      </c>
      <c r="B5" s="4" t="s">
        <v>2095</v>
      </c>
      <c r="C5" s="4" t="s">
        <v>2096</v>
      </c>
      <c r="D5" s="4" t="s">
        <v>2097</v>
      </c>
      <c r="E5" s="4" t="s">
        <v>2104</v>
      </c>
      <c r="F5" s="4" t="s">
        <v>6234</v>
      </c>
      <c r="G5" s="4" t="s">
        <v>2132</v>
      </c>
      <c r="H5" s="4" t="s">
        <v>2099</v>
      </c>
      <c r="I5" s="4" t="s">
        <v>2100</v>
      </c>
      <c r="J5" s="4" t="s">
        <v>2101</v>
      </c>
      <c r="K5">
        <v>13</v>
      </c>
      <c r="L5">
        <v>3.9624000000000001</v>
      </c>
      <c r="M5">
        <v>25.4</v>
      </c>
      <c r="N5">
        <v>146.05000000000001</v>
      </c>
      <c r="O5">
        <v>156</v>
      </c>
      <c r="P5">
        <v>1</v>
      </c>
      <c r="Q5">
        <v>5.7500000000000009</v>
      </c>
      <c r="R5">
        <v>884.40200000000004</v>
      </c>
      <c r="S5">
        <v>1.4699196408000001E-2</v>
      </c>
      <c r="T5" s="4" t="s">
        <v>6235</v>
      </c>
    </row>
    <row r="6" spans="1:20" x14ac:dyDescent="0.2">
      <c r="A6" s="4" t="s">
        <v>2094</v>
      </c>
      <c r="B6" s="4" t="s">
        <v>2095</v>
      </c>
      <c r="C6" s="4" t="s">
        <v>2096</v>
      </c>
      <c r="D6" s="4" t="s">
        <v>2097</v>
      </c>
      <c r="E6" s="4" t="s">
        <v>2105</v>
      </c>
      <c r="F6" s="4" t="s">
        <v>6234</v>
      </c>
      <c r="G6" s="4" t="s">
        <v>2132</v>
      </c>
      <c r="H6" s="4" t="s">
        <v>2099</v>
      </c>
      <c r="I6" s="4" t="s">
        <v>2100</v>
      </c>
      <c r="J6" s="4" t="s">
        <v>2101</v>
      </c>
      <c r="K6">
        <v>14</v>
      </c>
      <c r="L6">
        <v>4.2671999999999999</v>
      </c>
      <c r="M6">
        <v>25.4</v>
      </c>
      <c r="N6">
        <v>146.05000000000001</v>
      </c>
      <c r="O6">
        <v>168</v>
      </c>
      <c r="P6">
        <v>1</v>
      </c>
      <c r="Q6">
        <v>5.7500000000000009</v>
      </c>
      <c r="R6">
        <v>884.40200000000004</v>
      </c>
      <c r="S6">
        <v>1.5829903824E-2</v>
      </c>
      <c r="T6" s="4" t="s">
        <v>6235</v>
      </c>
    </row>
    <row r="7" spans="1:20" x14ac:dyDescent="0.2">
      <c r="A7" s="4" t="s">
        <v>2094</v>
      </c>
      <c r="B7" s="4" t="s">
        <v>2095</v>
      </c>
      <c r="C7" s="4" t="s">
        <v>2096</v>
      </c>
      <c r="D7" s="4" t="s">
        <v>2097</v>
      </c>
      <c r="E7" s="4" t="s">
        <v>2106</v>
      </c>
      <c r="F7" s="4" t="s">
        <v>6234</v>
      </c>
      <c r="G7" s="4" t="s">
        <v>2132</v>
      </c>
      <c r="H7" s="4" t="s">
        <v>2099</v>
      </c>
      <c r="I7" s="4" t="s">
        <v>2100</v>
      </c>
      <c r="J7" s="4" t="s">
        <v>2101</v>
      </c>
      <c r="K7">
        <v>15</v>
      </c>
      <c r="L7">
        <v>4.5720000000000001</v>
      </c>
      <c r="M7">
        <v>25.4</v>
      </c>
      <c r="N7">
        <v>146.05000000000001</v>
      </c>
      <c r="O7">
        <v>180</v>
      </c>
      <c r="P7">
        <v>1</v>
      </c>
      <c r="Q7">
        <v>5.7500000000000009</v>
      </c>
      <c r="R7">
        <v>884.40200000000004</v>
      </c>
      <c r="S7">
        <v>1.6960611240000003E-2</v>
      </c>
      <c r="T7" s="4" t="s">
        <v>6235</v>
      </c>
    </row>
    <row r="8" spans="1:20" x14ac:dyDescent="0.2">
      <c r="A8" s="4" t="s">
        <v>2094</v>
      </c>
      <c r="B8" s="4" t="s">
        <v>2095</v>
      </c>
      <c r="C8" s="4" t="s">
        <v>2096</v>
      </c>
      <c r="D8" s="4" t="s">
        <v>2097</v>
      </c>
      <c r="E8" s="4" t="s">
        <v>2107</v>
      </c>
      <c r="F8" s="4" t="s">
        <v>6234</v>
      </c>
      <c r="G8" s="4" t="s">
        <v>2132</v>
      </c>
      <c r="H8" s="4" t="s">
        <v>2099</v>
      </c>
      <c r="I8" s="4" t="s">
        <v>2100</v>
      </c>
      <c r="J8" s="4" t="s">
        <v>2101</v>
      </c>
      <c r="K8">
        <v>16</v>
      </c>
      <c r="L8">
        <v>4.8768000000000002</v>
      </c>
      <c r="M8">
        <v>25.4</v>
      </c>
      <c r="N8">
        <v>146.05000000000001</v>
      </c>
      <c r="O8">
        <v>192.00000000000003</v>
      </c>
      <c r="P8">
        <v>1</v>
      </c>
      <c r="Q8">
        <v>5.7500000000000009</v>
      </c>
      <c r="R8">
        <v>884.40200000000004</v>
      </c>
      <c r="S8">
        <v>1.8091318656000003E-2</v>
      </c>
      <c r="T8" s="4" t="s">
        <v>6235</v>
      </c>
    </row>
    <row r="9" spans="1:20" x14ac:dyDescent="0.2">
      <c r="A9" s="4" t="s">
        <v>2094</v>
      </c>
      <c r="B9" s="4" t="s">
        <v>2095</v>
      </c>
      <c r="C9" s="4" t="s">
        <v>2096</v>
      </c>
      <c r="D9" s="4" t="s">
        <v>2097</v>
      </c>
      <c r="E9" s="4" t="s">
        <v>2108</v>
      </c>
      <c r="F9" s="4" t="s">
        <v>6234</v>
      </c>
      <c r="G9" s="4" t="s">
        <v>2132</v>
      </c>
      <c r="H9" s="4" t="s">
        <v>2099</v>
      </c>
      <c r="I9" s="4" t="s">
        <v>2100</v>
      </c>
      <c r="J9" s="4" t="s">
        <v>2101</v>
      </c>
      <c r="K9">
        <v>8</v>
      </c>
      <c r="L9">
        <v>2.4384000000000001</v>
      </c>
      <c r="M9">
        <v>25.4</v>
      </c>
      <c r="N9">
        <v>146.05000000000001</v>
      </c>
      <c r="O9">
        <v>96.000000000000014</v>
      </c>
      <c r="P9">
        <v>1</v>
      </c>
      <c r="Q9">
        <v>5.7500000000000009</v>
      </c>
      <c r="R9">
        <v>884.40200000000004</v>
      </c>
      <c r="S9">
        <v>9.0456593280000015E-3</v>
      </c>
      <c r="T9" s="4" t="s">
        <v>6235</v>
      </c>
    </row>
    <row r="10" spans="1:20" x14ac:dyDescent="0.2">
      <c r="A10" s="4" t="s">
        <v>2094</v>
      </c>
      <c r="B10" s="4" t="s">
        <v>2095</v>
      </c>
      <c r="C10" s="4" t="s">
        <v>2096</v>
      </c>
      <c r="D10" s="4" t="s">
        <v>2097</v>
      </c>
      <c r="E10" s="4" t="s">
        <v>2109</v>
      </c>
      <c r="F10" s="4" t="s">
        <v>6234</v>
      </c>
      <c r="G10" s="4" t="s">
        <v>2132</v>
      </c>
      <c r="H10" s="4" t="s">
        <v>2099</v>
      </c>
      <c r="I10" s="4" t="s">
        <v>2100</v>
      </c>
      <c r="J10" s="4" t="s">
        <v>2101</v>
      </c>
      <c r="K10">
        <v>9</v>
      </c>
      <c r="L10">
        <v>2.7431999999999999</v>
      </c>
      <c r="M10">
        <v>25.4</v>
      </c>
      <c r="N10">
        <v>146.05000000000001</v>
      </c>
      <c r="O10">
        <v>108</v>
      </c>
      <c r="P10">
        <v>1</v>
      </c>
      <c r="Q10">
        <v>5.7500000000000009</v>
      </c>
      <c r="R10">
        <v>884.40200000000004</v>
      </c>
      <c r="S10">
        <v>1.0176366744E-2</v>
      </c>
      <c r="T10" s="4" t="s">
        <v>6235</v>
      </c>
    </row>
    <row r="11" spans="1:20" x14ac:dyDescent="0.2">
      <c r="A11" s="4" t="s">
        <v>2094</v>
      </c>
      <c r="B11" s="4" t="s">
        <v>2095</v>
      </c>
      <c r="C11" s="4" t="s">
        <v>2096</v>
      </c>
      <c r="D11" s="4" t="s">
        <v>2097</v>
      </c>
      <c r="E11" s="4" t="s">
        <v>2110</v>
      </c>
      <c r="F11" s="4" t="s">
        <v>6236</v>
      </c>
      <c r="G11" s="4" t="s">
        <v>2132</v>
      </c>
      <c r="H11" s="4" t="s">
        <v>2099</v>
      </c>
      <c r="I11" s="4" t="s">
        <v>2100</v>
      </c>
      <c r="J11" s="4" t="s">
        <v>2111</v>
      </c>
      <c r="K11">
        <v>10</v>
      </c>
      <c r="L11">
        <v>3.048</v>
      </c>
      <c r="M11">
        <v>25.4</v>
      </c>
      <c r="N11">
        <v>146.05000000000001</v>
      </c>
      <c r="O11">
        <v>120</v>
      </c>
      <c r="P11">
        <v>1</v>
      </c>
      <c r="Q11">
        <v>5.7500000000000009</v>
      </c>
      <c r="R11">
        <v>884.40200000000004</v>
      </c>
      <c r="S11">
        <v>1.1307074160000003E-2</v>
      </c>
      <c r="T11" s="4" t="s">
        <v>6237</v>
      </c>
    </row>
    <row r="12" spans="1:20" x14ac:dyDescent="0.2">
      <c r="A12" s="4" t="s">
        <v>2094</v>
      </c>
      <c r="B12" s="4" t="s">
        <v>2095</v>
      </c>
      <c r="C12" s="4" t="s">
        <v>2096</v>
      </c>
      <c r="D12" s="4" t="s">
        <v>2097</v>
      </c>
      <c r="E12" s="4" t="s">
        <v>2112</v>
      </c>
      <c r="F12" s="4" t="s">
        <v>6236</v>
      </c>
      <c r="G12" s="4" t="s">
        <v>2132</v>
      </c>
      <c r="H12" s="4" t="s">
        <v>2099</v>
      </c>
      <c r="I12" s="4" t="s">
        <v>2100</v>
      </c>
      <c r="J12" s="4" t="s">
        <v>2111</v>
      </c>
      <c r="K12">
        <v>11</v>
      </c>
      <c r="L12">
        <v>3.3527999999999998</v>
      </c>
      <c r="M12">
        <v>25.4</v>
      </c>
      <c r="N12">
        <v>146.05000000000001</v>
      </c>
      <c r="O12">
        <v>132</v>
      </c>
      <c r="P12">
        <v>1</v>
      </c>
      <c r="Q12">
        <v>5.7500000000000009</v>
      </c>
      <c r="R12">
        <v>884.40200000000004</v>
      </c>
      <c r="S12">
        <v>1.2437781575999998E-2</v>
      </c>
      <c r="T12" s="4" t="s">
        <v>6237</v>
      </c>
    </row>
    <row r="13" spans="1:20" x14ac:dyDescent="0.2">
      <c r="A13" s="4" t="s">
        <v>2094</v>
      </c>
      <c r="B13" s="4" t="s">
        <v>2095</v>
      </c>
      <c r="C13" s="4" t="s">
        <v>2096</v>
      </c>
      <c r="D13" s="4" t="s">
        <v>2097</v>
      </c>
      <c r="E13" s="4" t="s">
        <v>2113</v>
      </c>
      <c r="F13" s="4" t="s">
        <v>6236</v>
      </c>
      <c r="G13" s="4" t="s">
        <v>2132</v>
      </c>
      <c r="H13" s="4" t="s">
        <v>2099</v>
      </c>
      <c r="I13" s="4" t="s">
        <v>2100</v>
      </c>
      <c r="J13" s="4" t="s">
        <v>2111</v>
      </c>
      <c r="K13">
        <v>12</v>
      </c>
      <c r="L13">
        <v>3.6576</v>
      </c>
      <c r="M13">
        <v>25.4</v>
      </c>
      <c r="N13">
        <v>146.05000000000001</v>
      </c>
      <c r="O13">
        <v>144</v>
      </c>
      <c r="P13">
        <v>1</v>
      </c>
      <c r="Q13">
        <v>5.7500000000000009</v>
      </c>
      <c r="R13">
        <v>884.40200000000004</v>
      </c>
      <c r="S13">
        <v>1.3568488992000001E-2</v>
      </c>
      <c r="T13" s="4" t="s">
        <v>6237</v>
      </c>
    </row>
    <row r="14" spans="1:20" x14ac:dyDescent="0.2">
      <c r="A14" s="4" t="s">
        <v>2094</v>
      </c>
      <c r="B14" s="4" t="s">
        <v>2095</v>
      </c>
      <c r="C14" s="4" t="s">
        <v>2096</v>
      </c>
      <c r="D14" s="4" t="s">
        <v>2097</v>
      </c>
      <c r="E14" s="4" t="s">
        <v>2114</v>
      </c>
      <c r="F14" s="4" t="s">
        <v>6236</v>
      </c>
      <c r="G14" s="4" t="s">
        <v>2132</v>
      </c>
      <c r="H14" s="4" t="s">
        <v>2099</v>
      </c>
      <c r="I14" s="4" t="s">
        <v>2100</v>
      </c>
      <c r="J14" s="4" t="s">
        <v>2111</v>
      </c>
      <c r="K14">
        <v>13</v>
      </c>
      <c r="L14">
        <v>3.9624000000000001</v>
      </c>
      <c r="M14">
        <v>25.4</v>
      </c>
      <c r="N14">
        <v>146.05000000000001</v>
      </c>
      <c r="O14">
        <v>156</v>
      </c>
      <c r="P14">
        <v>1</v>
      </c>
      <c r="Q14">
        <v>5.7500000000000009</v>
      </c>
      <c r="R14">
        <v>884.40200000000004</v>
      </c>
      <c r="S14">
        <v>1.4699196408000001E-2</v>
      </c>
      <c r="T14" s="4" t="s">
        <v>6237</v>
      </c>
    </row>
    <row r="15" spans="1:20" x14ac:dyDescent="0.2">
      <c r="A15" s="4" t="s">
        <v>2094</v>
      </c>
      <c r="B15" s="4" t="s">
        <v>2095</v>
      </c>
      <c r="C15" s="4" t="s">
        <v>2096</v>
      </c>
      <c r="D15" s="4" t="s">
        <v>2097</v>
      </c>
      <c r="E15" s="4" t="s">
        <v>2115</v>
      </c>
      <c r="F15" s="4" t="s">
        <v>6236</v>
      </c>
      <c r="G15" s="4" t="s">
        <v>2132</v>
      </c>
      <c r="H15" s="4" t="s">
        <v>2099</v>
      </c>
      <c r="I15" s="4" t="s">
        <v>2100</v>
      </c>
      <c r="J15" s="4" t="s">
        <v>2111</v>
      </c>
      <c r="K15">
        <v>14</v>
      </c>
      <c r="L15">
        <v>4.2671999999999999</v>
      </c>
      <c r="M15">
        <v>25.4</v>
      </c>
      <c r="N15">
        <v>146.05000000000001</v>
      </c>
      <c r="O15">
        <v>168</v>
      </c>
      <c r="P15">
        <v>1</v>
      </c>
      <c r="Q15">
        <v>5.7500000000000009</v>
      </c>
      <c r="R15">
        <v>884.40200000000004</v>
      </c>
      <c r="S15">
        <v>1.5829903824E-2</v>
      </c>
      <c r="T15" s="4" t="s">
        <v>6237</v>
      </c>
    </row>
    <row r="16" spans="1:20" x14ac:dyDescent="0.2">
      <c r="A16" s="4" t="s">
        <v>2094</v>
      </c>
      <c r="B16" s="4" t="s">
        <v>2095</v>
      </c>
      <c r="C16" s="4" t="s">
        <v>2096</v>
      </c>
      <c r="D16" s="4" t="s">
        <v>2097</v>
      </c>
      <c r="E16" s="4" t="s">
        <v>2116</v>
      </c>
      <c r="F16" s="4" t="s">
        <v>6236</v>
      </c>
      <c r="G16" s="4" t="s">
        <v>2132</v>
      </c>
      <c r="H16" s="4" t="s">
        <v>2099</v>
      </c>
      <c r="I16" s="4" t="s">
        <v>2100</v>
      </c>
      <c r="J16" s="4" t="s">
        <v>2111</v>
      </c>
      <c r="K16">
        <v>15</v>
      </c>
      <c r="L16">
        <v>4.5720000000000001</v>
      </c>
      <c r="M16">
        <v>25.4</v>
      </c>
      <c r="N16">
        <v>146.05000000000001</v>
      </c>
      <c r="O16">
        <v>180</v>
      </c>
      <c r="P16">
        <v>1</v>
      </c>
      <c r="Q16">
        <v>5.7500000000000009</v>
      </c>
      <c r="R16">
        <v>884.40200000000004</v>
      </c>
      <c r="S16">
        <v>1.6960611240000003E-2</v>
      </c>
      <c r="T16" s="4" t="s">
        <v>6237</v>
      </c>
    </row>
    <row r="17" spans="1:20" x14ac:dyDescent="0.2">
      <c r="A17" s="4" t="s">
        <v>2094</v>
      </c>
      <c r="B17" s="4" t="s">
        <v>2095</v>
      </c>
      <c r="C17" s="4" t="s">
        <v>2096</v>
      </c>
      <c r="D17" s="4" t="s">
        <v>2097</v>
      </c>
      <c r="E17" s="4" t="s">
        <v>2117</v>
      </c>
      <c r="F17" s="4" t="s">
        <v>6236</v>
      </c>
      <c r="G17" s="4" t="s">
        <v>2132</v>
      </c>
      <c r="H17" s="4" t="s">
        <v>2099</v>
      </c>
      <c r="I17" s="4" t="s">
        <v>2100</v>
      </c>
      <c r="J17" s="4" t="s">
        <v>2111</v>
      </c>
      <c r="K17">
        <v>16</v>
      </c>
      <c r="L17">
        <v>4.8768000000000002</v>
      </c>
      <c r="M17">
        <v>25.4</v>
      </c>
      <c r="N17">
        <v>146.05000000000001</v>
      </c>
      <c r="O17">
        <v>192.00000000000003</v>
      </c>
      <c r="P17">
        <v>1</v>
      </c>
      <c r="Q17">
        <v>5.7500000000000009</v>
      </c>
      <c r="R17">
        <v>884.40200000000004</v>
      </c>
      <c r="S17">
        <v>1.8091318656000003E-2</v>
      </c>
      <c r="T17" s="4" t="s">
        <v>6237</v>
      </c>
    </row>
    <row r="18" spans="1:20" x14ac:dyDescent="0.2">
      <c r="A18" s="4" t="s">
        <v>2094</v>
      </c>
      <c r="B18" s="4" t="s">
        <v>2095</v>
      </c>
      <c r="C18" s="4" t="s">
        <v>2096</v>
      </c>
      <c r="D18" s="4" t="s">
        <v>2097</v>
      </c>
      <c r="E18" s="4" t="s">
        <v>2118</v>
      </c>
      <c r="F18" s="4" t="s">
        <v>6236</v>
      </c>
      <c r="G18" s="4" t="s">
        <v>2132</v>
      </c>
      <c r="H18" s="4" t="s">
        <v>2099</v>
      </c>
      <c r="I18" s="4" t="s">
        <v>2100</v>
      </c>
      <c r="J18" s="4" t="s">
        <v>2111</v>
      </c>
      <c r="K18">
        <v>8</v>
      </c>
      <c r="L18">
        <v>2.4384000000000001</v>
      </c>
      <c r="M18">
        <v>25.4</v>
      </c>
      <c r="N18">
        <v>146.05000000000001</v>
      </c>
      <c r="O18">
        <v>96.000000000000014</v>
      </c>
      <c r="P18">
        <v>1</v>
      </c>
      <c r="Q18">
        <v>5.7500000000000009</v>
      </c>
      <c r="R18">
        <v>884.40200000000004</v>
      </c>
      <c r="S18">
        <v>9.0456593280000015E-3</v>
      </c>
      <c r="T18" s="4" t="s">
        <v>6237</v>
      </c>
    </row>
    <row r="19" spans="1:20" x14ac:dyDescent="0.2">
      <c r="A19" s="4" t="s">
        <v>2094</v>
      </c>
      <c r="B19" s="4" t="s">
        <v>2095</v>
      </c>
      <c r="C19" s="4" t="s">
        <v>2096</v>
      </c>
      <c r="D19" s="4" t="s">
        <v>2097</v>
      </c>
      <c r="E19" s="4" t="s">
        <v>2119</v>
      </c>
      <c r="F19" s="4" t="s">
        <v>6236</v>
      </c>
      <c r="G19" s="4" t="s">
        <v>2132</v>
      </c>
      <c r="H19" s="4" t="s">
        <v>2099</v>
      </c>
      <c r="I19" s="4" t="s">
        <v>2100</v>
      </c>
      <c r="J19" s="4" t="s">
        <v>2111</v>
      </c>
      <c r="K19">
        <v>9</v>
      </c>
      <c r="L19">
        <v>2.7431999999999999</v>
      </c>
      <c r="M19">
        <v>25.4</v>
      </c>
      <c r="N19">
        <v>146.05000000000001</v>
      </c>
      <c r="O19">
        <v>108</v>
      </c>
      <c r="P19">
        <v>1</v>
      </c>
      <c r="Q19">
        <v>5.7500000000000009</v>
      </c>
      <c r="R19">
        <v>884.40200000000004</v>
      </c>
      <c r="S19">
        <v>1.0176366744E-2</v>
      </c>
      <c r="T19" s="4" t="s">
        <v>6237</v>
      </c>
    </row>
    <row r="20" spans="1:20" x14ac:dyDescent="0.2">
      <c r="A20" s="4" t="s">
        <v>2094</v>
      </c>
      <c r="B20" s="4" t="s">
        <v>2095</v>
      </c>
      <c r="C20" s="4" t="s">
        <v>2096</v>
      </c>
      <c r="D20" s="4" t="s">
        <v>2097</v>
      </c>
      <c r="E20" s="4" t="s">
        <v>2120</v>
      </c>
      <c r="F20" s="4" t="s">
        <v>6238</v>
      </c>
      <c r="G20" s="4" t="s">
        <v>2132</v>
      </c>
      <c r="H20" s="4" t="s">
        <v>2099</v>
      </c>
      <c r="I20" s="4" t="s">
        <v>2121</v>
      </c>
      <c r="J20" s="4" t="s">
        <v>2101</v>
      </c>
      <c r="K20">
        <v>10</v>
      </c>
      <c r="L20">
        <v>3.048</v>
      </c>
      <c r="M20">
        <v>25.4</v>
      </c>
      <c r="N20">
        <v>146.05000000000001</v>
      </c>
      <c r="O20">
        <v>120</v>
      </c>
      <c r="P20">
        <v>1</v>
      </c>
      <c r="Q20">
        <v>5.7500000000000009</v>
      </c>
      <c r="R20">
        <v>884.40200000000004</v>
      </c>
      <c r="S20">
        <v>1.1307074160000003E-2</v>
      </c>
      <c r="T20" s="4" t="s">
        <v>6239</v>
      </c>
    </row>
    <row r="21" spans="1:20" x14ac:dyDescent="0.2">
      <c r="A21" s="4" t="s">
        <v>2094</v>
      </c>
      <c r="B21" s="4" t="s">
        <v>2095</v>
      </c>
      <c r="C21" s="4" t="s">
        <v>2096</v>
      </c>
      <c r="D21" s="4" t="s">
        <v>2097</v>
      </c>
      <c r="E21" s="4" t="s">
        <v>2122</v>
      </c>
      <c r="F21" s="4" t="s">
        <v>6238</v>
      </c>
      <c r="G21" s="4" t="s">
        <v>2132</v>
      </c>
      <c r="H21" s="4" t="s">
        <v>2099</v>
      </c>
      <c r="I21" s="4" t="s">
        <v>2121</v>
      </c>
      <c r="J21" s="4" t="s">
        <v>2101</v>
      </c>
      <c r="K21">
        <v>11</v>
      </c>
      <c r="L21">
        <v>3.3527999999999998</v>
      </c>
      <c r="M21">
        <v>25.4</v>
      </c>
      <c r="N21">
        <v>146.05000000000001</v>
      </c>
      <c r="O21">
        <v>132</v>
      </c>
      <c r="P21">
        <v>1</v>
      </c>
      <c r="Q21">
        <v>5.7500000000000009</v>
      </c>
      <c r="R21">
        <v>884.40200000000004</v>
      </c>
      <c r="S21">
        <v>1.2437781575999998E-2</v>
      </c>
      <c r="T21" s="4" t="s">
        <v>6239</v>
      </c>
    </row>
    <row r="22" spans="1:20" x14ac:dyDescent="0.2">
      <c r="A22" s="4" t="s">
        <v>2094</v>
      </c>
      <c r="B22" s="4" t="s">
        <v>2095</v>
      </c>
      <c r="C22" s="4" t="s">
        <v>2096</v>
      </c>
      <c r="D22" s="4" t="s">
        <v>2097</v>
      </c>
      <c r="E22" s="4" t="s">
        <v>2123</v>
      </c>
      <c r="F22" s="4" t="s">
        <v>6238</v>
      </c>
      <c r="G22" s="4" t="s">
        <v>2132</v>
      </c>
      <c r="H22" s="4" t="s">
        <v>2099</v>
      </c>
      <c r="I22" s="4" t="s">
        <v>2121</v>
      </c>
      <c r="J22" s="4" t="s">
        <v>2101</v>
      </c>
      <c r="K22">
        <v>12</v>
      </c>
      <c r="L22">
        <v>3.6576</v>
      </c>
      <c r="M22">
        <v>25.4</v>
      </c>
      <c r="N22">
        <v>146.05000000000001</v>
      </c>
      <c r="O22">
        <v>144</v>
      </c>
      <c r="P22">
        <v>1</v>
      </c>
      <c r="Q22">
        <v>5.7500000000000009</v>
      </c>
      <c r="R22">
        <v>884.40200000000004</v>
      </c>
      <c r="S22">
        <v>1.3568488992000001E-2</v>
      </c>
      <c r="T22" s="4" t="s">
        <v>6239</v>
      </c>
    </row>
    <row r="23" spans="1:20" x14ac:dyDescent="0.2">
      <c r="A23" s="4" t="s">
        <v>2094</v>
      </c>
      <c r="B23" s="4" t="s">
        <v>2095</v>
      </c>
      <c r="C23" s="4" t="s">
        <v>2096</v>
      </c>
      <c r="D23" s="4" t="s">
        <v>2097</v>
      </c>
      <c r="E23" s="4" t="s">
        <v>2124</v>
      </c>
      <c r="F23" s="4" t="s">
        <v>6238</v>
      </c>
      <c r="G23" s="4" t="s">
        <v>2132</v>
      </c>
      <c r="H23" s="4" t="s">
        <v>2099</v>
      </c>
      <c r="I23" s="4" t="s">
        <v>2121</v>
      </c>
      <c r="J23" s="4" t="s">
        <v>2101</v>
      </c>
      <c r="K23">
        <v>13</v>
      </c>
      <c r="L23">
        <v>3.9624000000000001</v>
      </c>
      <c r="M23">
        <v>25.4</v>
      </c>
      <c r="N23">
        <v>146.05000000000001</v>
      </c>
      <c r="O23">
        <v>156</v>
      </c>
      <c r="P23">
        <v>1</v>
      </c>
      <c r="Q23">
        <v>5.7500000000000009</v>
      </c>
      <c r="R23">
        <v>884.40200000000004</v>
      </c>
      <c r="S23">
        <v>1.4699196408000001E-2</v>
      </c>
      <c r="T23" s="4" t="s">
        <v>6239</v>
      </c>
    </row>
    <row r="24" spans="1:20" x14ac:dyDescent="0.2">
      <c r="A24" s="4" t="s">
        <v>2094</v>
      </c>
      <c r="B24" s="4" t="s">
        <v>2095</v>
      </c>
      <c r="C24" s="4" t="s">
        <v>2096</v>
      </c>
      <c r="D24" s="4" t="s">
        <v>2097</v>
      </c>
      <c r="E24" s="4" t="s">
        <v>2125</v>
      </c>
      <c r="F24" s="4" t="s">
        <v>6238</v>
      </c>
      <c r="G24" s="4" t="s">
        <v>2132</v>
      </c>
      <c r="H24" s="4" t="s">
        <v>2099</v>
      </c>
      <c r="I24" s="4" t="s">
        <v>2121</v>
      </c>
      <c r="J24" s="4" t="s">
        <v>2101</v>
      </c>
      <c r="K24">
        <v>14</v>
      </c>
      <c r="L24">
        <v>4.2671999999999999</v>
      </c>
      <c r="M24">
        <v>25.4</v>
      </c>
      <c r="N24">
        <v>146.05000000000001</v>
      </c>
      <c r="O24">
        <v>168</v>
      </c>
      <c r="P24">
        <v>1</v>
      </c>
      <c r="Q24">
        <v>5.7500000000000009</v>
      </c>
      <c r="R24">
        <v>884.40200000000004</v>
      </c>
      <c r="S24">
        <v>1.5829903824E-2</v>
      </c>
      <c r="T24" s="4" t="s">
        <v>6239</v>
      </c>
    </row>
    <row r="25" spans="1:20" x14ac:dyDescent="0.2">
      <c r="A25" s="4" t="s">
        <v>2094</v>
      </c>
      <c r="B25" s="4" t="s">
        <v>2095</v>
      </c>
      <c r="C25" s="4" t="s">
        <v>2096</v>
      </c>
      <c r="D25" s="4" t="s">
        <v>2097</v>
      </c>
      <c r="E25" s="4" t="s">
        <v>2126</v>
      </c>
      <c r="F25" s="4" t="s">
        <v>6238</v>
      </c>
      <c r="G25" s="4" t="s">
        <v>2132</v>
      </c>
      <c r="H25" s="4" t="s">
        <v>2099</v>
      </c>
      <c r="I25" s="4" t="s">
        <v>2121</v>
      </c>
      <c r="J25" s="4" t="s">
        <v>2101</v>
      </c>
      <c r="K25">
        <v>15</v>
      </c>
      <c r="L25">
        <v>4.5720000000000001</v>
      </c>
      <c r="M25">
        <v>25.4</v>
      </c>
      <c r="N25">
        <v>146.05000000000001</v>
      </c>
      <c r="O25">
        <v>180</v>
      </c>
      <c r="P25">
        <v>1</v>
      </c>
      <c r="Q25">
        <v>5.7500000000000009</v>
      </c>
      <c r="R25">
        <v>884.40200000000004</v>
      </c>
      <c r="S25">
        <v>1.6960611240000003E-2</v>
      </c>
      <c r="T25" s="4" t="s">
        <v>6239</v>
      </c>
    </row>
    <row r="26" spans="1:20" x14ac:dyDescent="0.2">
      <c r="A26" s="4" t="s">
        <v>2094</v>
      </c>
      <c r="B26" s="4" t="s">
        <v>2095</v>
      </c>
      <c r="C26" s="4" t="s">
        <v>2096</v>
      </c>
      <c r="D26" s="4" t="s">
        <v>2097</v>
      </c>
      <c r="E26" s="4" t="s">
        <v>2127</v>
      </c>
      <c r="F26" s="4" t="s">
        <v>6238</v>
      </c>
      <c r="G26" s="4" t="s">
        <v>2132</v>
      </c>
      <c r="H26" s="4" t="s">
        <v>2099</v>
      </c>
      <c r="I26" s="4" t="s">
        <v>2121</v>
      </c>
      <c r="J26" s="4" t="s">
        <v>2101</v>
      </c>
      <c r="K26">
        <v>16</v>
      </c>
      <c r="L26">
        <v>4.8768000000000002</v>
      </c>
      <c r="M26">
        <v>25.4</v>
      </c>
      <c r="N26">
        <v>146.05000000000001</v>
      </c>
      <c r="O26">
        <v>192.00000000000003</v>
      </c>
      <c r="P26">
        <v>1</v>
      </c>
      <c r="Q26">
        <v>5.7500000000000009</v>
      </c>
      <c r="R26">
        <v>884.40200000000004</v>
      </c>
      <c r="S26">
        <v>1.8091318656000003E-2</v>
      </c>
      <c r="T26" s="4" t="s">
        <v>6239</v>
      </c>
    </row>
    <row r="27" spans="1:20" x14ac:dyDescent="0.2">
      <c r="A27" s="4" t="s">
        <v>2094</v>
      </c>
      <c r="B27" s="4" t="s">
        <v>2095</v>
      </c>
      <c r="C27" s="4" t="s">
        <v>2096</v>
      </c>
      <c r="D27" s="4" t="s">
        <v>2097</v>
      </c>
      <c r="E27" s="4" t="s">
        <v>2128</v>
      </c>
      <c r="F27" s="4" t="s">
        <v>6238</v>
      </c>
      <c r="G27" s="4" t="s">
        <v>2132</v>
      </c>
      <c r="H27" s="4" t="s">
        <v>2099</v>
      </c>
      <c r="I27" s="4" t="s">
        <v>2121</v>
      </c>
      <c r="J27" s="4" t="s">
        <v>2101</v>
      </c>
      <c r="K27">
        <v>8</v>
      </c>
      <c r="L27">
        <v>2.4384000000000001</v>
      </c>
      <c r="M27">
        <v>25.4</v>
      </c>
      <c r="N27">
        <v>146.05000000000001</v>
      </c>
      <c r="O27">
        <v>96.000000000000014</v>
      </c>
      <c r="P27">
        <v>1</v>
      </c>
      <c r="Q27">
        <v>5.7500000000000009</v>
      </c>
      <c r="R27">
        <v>884.40200000000004</v>
      </c>
      <c r="S27">
        <v>9.0456593280000015E-3</v>
      </c>
      <c r="T27" s="4" t="s">
        <v>6239</v>
      </c>
    </row>
    <row r="28" spans="1:20" x14ac:dyDescent="0.2">
      <c r="A28" s="4" t="s">
        <v>2094</v>
      </c>
      <c r="B28" s="4" t="s">
        <v>2095</v>
      </c>
      <c r="C28" s="4" t="s">
        <v>2096</v>
      </c>
      <c r="D28" s="4" t="s">
        <v>2097</v>
      </c>
      <c r="E28" s="4" t="s">
        <v>2129</v>
      </c>
      <c r="F28" s="4" t="s">
        <v>6238</v>
      </c>
      <c r="G28" s="4" t="s">
        <v>2132</v>
      </c>
      <c r="H28" s="4" t="s">
        <v>2099</v>
      </c>
      <c r="I28" s="4" t="s">
        <v>2121</v>
      </c>
      <c r="J28" s="4" t="s">
        <v>2101</v>
      </c>
      <c r="K28">
        <v>9</v>
      </c>
      <c r="L28">
        <v>2.7431999999999999</v>
      </c>
      <c r="M28">
        <v>25.4</v>
      </c>
      <c r="N28">
        <v>146.05000000000001</v>
      </c>
      <c r="O28">
        <v>108</v>
      </c>
      <c r="P28">
        <v>1</v>
      </c>
      <c r="Q28">
        <v>5.7500000000000009</v>
      </c>
      <c r="R28">
        <v>884.40200000000004</v>
      </c>
      <c r="S28">
        <v>1.0176366744E-2</v>
      </c>
      <c r="T28" s="4" t="s">
        <v>6239</v>
      </c>
    </row>
    <row r="29" spans="1:20" x14ac:dyDescent="0.2">
      <c r="A29" s="4" t="s">
        <v>2094</v>
      </c>
      <c r="B29" s="4" t="s">
        <v>2130</v>
      </c>
      <c r="C29" s="4" t="s">
        <v>2096</v>
      </c>
      <c r="D29" s="4" t="s">
        <v>2097</v>
      </c>
      <c r="E29" s="4" t="s">
        <v>2131</v>
      </c>
      <c r="F29" s="4" t="s">
        <v>6148</v>
      </c>
      <c r="G29" s="4" t="s">
        <v>2132</v>
      </c>
      <c r="H29" s="4" t="s">
        <v>2133</v>
      </c>
      <c r="I29" s="4" t="s">
        <v>6149</v>
      </c>
      <c r="J29" s="4" t="s">
        <v>2111</v>
      </c>
      <c r="K29">
        <v>10</v>
      </c>
      <c r="L29">
        <v>3.048</v>
      </c>
      <c r="M29">
        <v>25.4</v>
      </c>
      <c r="N29">
        <v>146.05000000000001</v>
      </c>
      <c r="O29">
        <v>120</v>
      </c>
      <c r="P29">
        <v>1</v>
      </c>
      <c r="Q29">
        <v>5.7500000000000009</v>
      </c>
      <c r="R29">
        <v>884.40200000000004</v>
      </c>
      <c r="S29">
        <v>1.1307074160000003E-2</v>
      </c>
      <c r="T29" s="4" t="s">
        <v>6150</v>
      </c>
    </row>
    <row r="30" spans="1:20" x14ac:dyDescent="0.2">
      <c r="A30" s="4" t="s">
        <v>2094</v>
      </c>
      <c r="B30" s="4" t="s">
        <v>2130</v>
      </c>
      <c r="C30" s="4" t="s">
        <v>2096</v>
      </c>
      <c r="D30" s="4" t="s">
        <v>2097</v>
      </c>
      <c r="E30" s="4" t="s">
        <v>2135</v>
      </c>
      <c r="F30" s="4" t="s">
        <v>6148</v>
      </c>
      <c r="G30" s="4" t="s">
        <v>2132</v>
      </c>
      <c r="H30" s="4" t="s">
        <v>2133</v>
      </c>
      <c r="I30" s="4" t="s">
        <v>6149</v>
      </c>
      <c r="J30" s="4" t="s">
        <v>2111</v>
      </c>
      <c r="K30">
        <v>11</v>
      </c>
      <c r="L30">
        <v>3.3527999999999998</v>
      </c>
      <c r="M30">
        <v>25.4</v>
      </c>
      <c r="N30">
        <v>146.05000000000001</v>
      </c>
      <c r="O30">
        <v>132</v>
      </c>
      <c r="P30">
        <v>1</v>
      </c>
      <c r="Q30">
        <v>5.7500000000000009</v>
      </c>
      <c r="R30">
        <v>884.40200000000004</v>
      </c>
      <c r="S30">
        <v>1.2437781575999998E-2</v>
      </c>
      <c r="T30" s="4" t="s">
        <v>6150</v>
      </c>
    </row>
    <row r="31" spans="1:20" x14ac:dyDescent="0.2">
      <c r="A31" s="4" t="s">
        <v>2094</v>
      </c>
      <c r="B31" s="4" t="s">
        <v>2130</v>
      </c>
      <c r="C31" s="4" t="s">
        <v>2096</v>
      </c>
      <c r="D31" s="4" t="s">
        <v>2097</v>
      </c>
      <c r="E31" s="4" t="s">
        <v>2136</v>
      </c>
      <c r="F31" s="4" t="s">
        <v>6148</v>
      </c>
      <c r="G31" s="4" t="s">
        <v>2132</v>
      </c>
      <c r="H31" s="4" t="s">
        <v>2133</v>
      </c>
      <c r="I31" s="4" t="s">
        <v>6149</v>
      </c>
      <c r="J31" s="4" t="s">
        <v>2111</v>
      </c>
      <c r="K31">
        <v>12</v>
      </c>
      <c r="L31">
        <v>3.6576</v>
      </c>
      <c r="M31">
        <v>25.4</v>
      </c>
      <c r="N31">
        <v>146.05000000000001</v>
      </c>
      <c r="O31">
        <v>144</v>
      </c>
      <c r="P31">
        <v>1</v>
      </c>
      <c r="Q31">
        <v>5.7500000000000009</v>
      </c>
      <c r="R31">
        <v>884.40200000000004</v>
      </c>
      <c r="S31">
        <v>1.3568488992000001E-2</v>
      </c>
      <c r="T31" s="4" t="s">
        <v>6150</v>
      </c>
    </row>
    <row r="32" spans="1:20" x14ac:dyDescent="0.2">
      <c r="A32" s="4" t="s">
        <v>2094</v>
      </c>
      <c r="B32" s="4" t="s">
        <v>2130</v>
      </c>
      <c r="C32" s="4" t="s">
        <v>2096</v>
      </c>
      <c r="D32" s="4" t="s">
        <v>2097</v>
      </c>
      <c r="E32" s="4" t="s">
        <v>2137</v>
      </c>
      <c r="F32" s="4" t="s">
        <v>6148</v>
      </c>
      <c r="G32" s="4" t="s">
        <v>2132</v>
      </c>
      <c r="H32" s="4" t="s">
        <v>2133</v>
      </c>
      <c r="I32" s="4" t="s">
        <v>6149</v>
      </c>
      <c r="J32" s="4" t="s">
        <v>2111</v>
      </c>
      <c r="K32">
        <v>13</v>
      </c>
      <c r="L32">
        <v>3.9624000000000001</v>
      </c>
      <c r="M32">
        <v>25.4</v>
      </c>
      <c r="N32">
        <v>146.05000000000001</v>
      </c>
      <c r="O32">
        <v>156</v>
      </c>
      <c r="P32">
        <v>1</v>
      </c>
      <c r="Q32">
        <v>5.7500000000000009</v>
      </c>
      <c r="R32">
        <v>884.40200000000004</v>
      </c>
      <c r="S32">
        <v>1.4699196408000001E-2</v>
      </c>
      <c r="T32" s="4" t="s">
        <v>6150</v>
      </c>
    </row>
    <row r="33" spans="1:20" x14ac:dyDescent="0.2">
      <c r="A33" s="4" t="s">
        <v>2094</v>
      </c>
      <c r="B33" s="4" t="s">
        <v>2130</v>
      </c>
      <c r="C33" s="4" t="s">
        <v>2096</v>
      </c>
      <c r="D33" s="4" t="s">
        <v>2097</v>
      </c>
      <c r="E33" s="4" t="s">
        <v>2138</v>
      </c>
      <c r="F33" s="4" t="s">
        <v>6148</v>
      </c>
      <c r="G33" s="4" t="s">
        <v>2132</v>
      </c>
      <c r="H33" s="4" t="s">
        <v>2133</v>
      </c>
      <c r="I33" s="4" t="s">
        <v>6149</v>
      </c>
      <c r="J33" s="4" t="s">
        <v>2111</v>
      </c>
      <c r="K33">
        <v>14</v>
      </c>
      <c r="L33">
        <v>4.2671999999999999</v>
      </c>
      <c r="M33">
        <v>25.4</v>
      </c>
      <c r="N33">
        <v>146.05000000000001</v>
      </c>
      <c r="O33">
        <v>168</v>
      </c>
      <c r="P33">
        <v>1</v>
      </c>
      <c r="Q33">
        <v>5.7500000000000009</v>
      </c>
      <c r="R33">
        <v>884.40200000000004</v>
      </c>
      <c r="S33">
        <v>1.5829903824E-2</v>
      </c>
      <c r="T33" s="4" t="s">
        <v>6150</v>
      </c>
    </row>
    <row r="34" spans="1:20" x14ac:dyDescent="0.2">
      <c r="A34" s="4" t="s">
        <v>2094</v>
      </c>
      <c r="B34" s="4" t="s">
        <v>2130</v>
      </c>
      <c r="C34" s="4" t="s">
        <v>2096</v>
      </c>
      <c r="D34" s="4" t="s">
        <v>2097</v>
      </c>
      <c r="E34" s="4" t="s">
        <v>2139</v>
      </c>
      <c r="F34" s="4" t="s">
        <v>6148</v>
      </c>
      <c r="G34" s="4" t="s">
        <v>2132</v>
      </c>
      <c r="H34" s="4" t="s">
        <v>2133</v>
      </c>
      <c r="I34" s="4" t="s">
        <v>6149</v>
      </c>
      <c r="J34" s="4" t="s">
        <v>2111</v>
      </c>
      <c r="K34">
        <v>15</v>
      </c>
      <c r="L34">
        <v>4.5720000000000001</v>
      </c>
      <c r="M34">
        <v>25.4</v>
      </c>
      <c r="N34">
        <v>146.05000000000001</v>
      </c>
      <c r="O34">
        <v>180</v>
      </c>
      <c r="P34">
        <v>1</v>
      </c>
      <c r="Q34">
        <v>5.7500000000000009</v>
      </c>
      <c r="R34">
        <v>884.40200000000004</v>
      </c>
      <c r="S34">
        <v>1.6960611240000003E-2</v>
      </c>
      <c r="T34" s="4" t="s">
        <v>6150</v>
      </c>
    </row>
    <row r="35" spans="1:20" x14ac:dyDescent="0.2">
      <c r="A35" s="4" t="s">
        <v>2094</v>
      </c>
      <c r="B35" s="4" t="s">
        <v>2130</v>
      </c>
      <c r="C35" s="4" t="s">
        <v>2096</v>
      </c>
      <c r="D35" s="4" t="s">
        <v>2097</v>
      </c>
      <c r="E35" s="4" t="s">
        <v>2140</v>
      </c>
      <c r="F35" s="4" t="s">
        <v>6148</v>
      </c>
      <c r="G35" s="4" t="s">
        <v>2132</v>
      </c>
      <c r="H35" s="4" t="s">
        <v>2133</v>
      </c>
      <c r="I35" s="4" t="s">
        <v>6149</v>
      </c>
      <c r="J35" s="4" t="s">
        <v>2111</v>
      </c>
      <c r="K35">
        <v>16</v>
      </c>
      <c r="L35">
        <v>4.8768000000000002</v>
      </c>
      <c r="M35">
        <v>25.4</v>
      </c>
      <c r="N35">
        <v>146.05000000000001</v>
      </c>
      <c r="O35">
        <v>192.00000000000003</v>
      </c>
      <c r="P35">
        <v>1</v>
      </c>
      <c r="Q35">
        <v>5.7500000000000009</v>
      </c>
      <c r="R35">
        <v>884.40200000000004</v>
      </c>
      <c r="S35">
        <v>1.8091318656000003E-2</v>
      </c>
      <c r="T35" s="4" t="s">
        <v>6150</v>
      </c>
    </row>
    <row r="36" spans="1:20" x14ac:dyDescent="0.2">
      <c r="A36" s="4" t="s">
        <v>2094</v>
      </c>
      <c r="B36" s="4" t="s">
        <v>2130</v>
      </c>
      <c r="C36" s="4" t="s">
        <v>2096</v>
      </c>
      <c r="D36" s="4" t="s">
        <v>2097</v>
      </c>
      <c r="E36" s="4" t="s">
        <v>2141</v>
      </c>
      <c r="F36" s="4" t="s">
        <v>6148</v>
      </c>
      <c r="G36" s="4" t="s">
        <v>2132</v>
      </c>
      <c r="H36" s="4" t="s">
        <v>2133</v>
      </c>
      <c r="I36" s="4" t="s">
        <v>6149</v>
      </c>
      <c r="J36" s="4" t="s">
        <v>2111</v>
      </c>
      <c r="K36">
        <v>17</v>
      </c>
      <c r="L36">
        <v>5.1816000000000004</v>
      </c>
      <c r="M36">
        <v>25.4</v>
      </c>
      <c r="N36">
        <v>146.05000000000001</v>
      </c>
      <c r="O36">
        <v>204.00000000000003</v>
      </c>
      <c r="P36">
        <v>1</v>
      </c>
      <c r="Q36">
        <v>5.7500000000000009</v>
      </c>
      <c r="R36">
        <v>884.40200000000004</v>
      </c>
      <c r="S36">
        <v>1.9222026072000003E-2</v>
      </c>
      <c r="T36" s="4" t="s">
        <v>6150</v>
      </c>
    </row>
    <row r="37" spans="1:20" x14ac:dyDescent="0.2">
      <c r="A37" s="4" t="s">
        <v>2094</v>
      </c>
      <c r="B37" s="4" t="s">
        <v>2130</v>
      </c>
      <c r="C37" s="4" t="s">
        <v>2096</v>
      </c>
      <c r="D37" s="4" t="s">
        <v>2097</v>
      </c>
      <c r="E37" s="4" t="s">
        <v>2142</v>
      </c>
      <c r="F37" s="4" t="s">
        <v>6148</v>
      </c>
      <c r="G37" s="4" t="s">
        <v>2132</v>
      </c>
      <c r="H37" s="4" t="s">
        <v>2133</v>
      </c>
      <c r="I37" s="4" t="s">
        <v>6149</v>
      </c>
      <c r="J37" s="4" t="s">
        <v>2111</v>
      </c>
      <c r="K37">
        <v>18</v>
      </c>
      <c r="L37">
        <v>5.4863999999999997</v>
      </c>
      <c r="M37">
        <v>25.4</v>
      </c>
      <c r="N37">
        <v>146.05000000000001</v>
      </c>
      <c r="O37">
        <v>216</v>
      </c>
      <c r="P37">
        <v>1</v>
      </c>
      <c r="Q37">
        <v>5.7500000000000009</v>
      </c>
      <c r="R37">
        <v>884.40200000000004</v>
      </c>
      <c r="S37">
        <v>2.0352733487999999E-2</v>
      </c>
      <c r="T37" s="4" t="s">
        <v>6150</v>
      </c>
    </row>
    <row r="38" spans="1:20" x14ac:dyDescent="0.2">
      <c r="A38" s="4" t="s">
        <v>2094</v>
      </c>
      <c r="B38" s="4" t="s">
        <v>2130</v>
      </c>
      <c r="C38" s="4" t="s">
        <v>2096</v>
      </c>
      <c r="D38" s="4" t="s">
        <v>2097</v>
      </c>
      <c r="E38" s="4" t="s">
        <v>2143</v>
      </c>
      <c r="F38" s="4" t="s">
        <v>6148</v>
      </c>
      <c r="G38" s="4" t="s">
        <v>2132</v>
      </c>
      <c r="H38" s="4" t="s">
        <v>2133</v>
      </c>
      <c r="I38" s="4" t="s">
        <v>6149</v>
      </c>
      <c r="J38" s="4" t="s">
        <v>2111</v>
      </c>
      <c r="K38">
        <v>19</v>
      </c>
      <c r="L38">
        <v>5.7911999999999999</v>
      </c>
      <c r="M38">
        <v>25.4</v>
      </c>
      <c r="N38">
        <v>146.05000000000001</v>
      </c>
      <c r="O38">
        <v>228</v>
      </c>
      <c r="P38">
        <v>1</v>
      </c>
      <c r="Q38">
        <v>5.7500000000000009</v>
      </c>
      <c r="R38">
        <v>884.40200000000004</v>
      </c>
      <c r="S38">
        <v>2.1483440903999999E-2</v>
      </c>
      <c r="T38" s="4" t="s">
        <v>6150</v>
      </c>
    </row>
    <row r="39" spans="1:20" x14ac:dyDescent="0.2">
      <c r="A39" s="4" t="s">
        <v>2094</v>
      </c>
      <c r="B39" s="4" t="s">
        <v>2130</v>
      </c>
      <c r="C39" s="4" t="s">
        <v>2096</v>
      </c>
      <c r="D39" s="4" t="s">
        <v>2097</v>
      </c>
      <c r="E39" s="4" t="s">
        <v>2144</v>
      </c>
      <c r="F39" s="4" t="s">
        <v>6148</v>
      </c>
      <c r="G39" s="4" t="s">
        <v>2132</v>
      </c>
      <c r="H39" s="4" t="s">
        <v>2133</v>
      </c>
      <c r="I39" s="4" t="s">
        <v>6149</v>
      </c>
      <c r="J39" s="4" t="s">
        <v>2111</v>
      </c>
      <c r="K39">
        <v>20</v>
      </c>
      <c r="L39">
        <v>6.0960000000000001</v>
      </c>
      <c r="M39">
        <v>25.4</v>
      </c>
      <c r="N39">
        <v>146.05000000000001</v>
      </c>
      <c r="O39">
        <v>240</v>
      </c>
      <c r="P39">
        <v>1</v>
      </c>
      <c r="Q39">
        <v>5.7500000000000009</v>
      </c>
      <c r="R39">
        <v>884.40200000000004</v>
      </c>
      <c r="S39">
        <v>2.2614148320000006E-2</v>
      </c>
      <c r="T39" s="4" t="s">
        <v>6150</v>
      </c>
    </row>
    <row r="40" spans="1:20" x14ac:dyDescent="0.2">
      <c r="A40" s="4" t="s">
        <v>2094</v>
      </c>
      <c r="B40" s="4" t="s">
        <v>2130</v>
      </c>
      <c r="C40" s="4" t="s">
        <v>2096</v>
      </c>
      <c r="D40" s="4" t="s">
        <v>2097</v>
      </c>
      <c r="E40" s="4" t="s">
        <v>2145</v>
      </c>
      <c r="F40" s="4" t="s">
        <v>6148</v>
      </c>
      <c r="G40" s="4" t="s">
        <v>2132</v>
      </c>
      <c r="H40" s="4" t="s">
        <v>2133</v>
      </c>
      <c r="I40" s="4" t="s">
        <v>6149</v>
      </c>
      <c r="J40" s="4" t="s">
        <v>2111</v>
      </c>
      <c r="K40">
        <v>21</v>
      </c>
      <c r="L40">
        <v>6.4008000000000003</v>
      </c>
      <c r="M40">
        <v>25.4</v>
      </c>
      <c r="N40">
        <v>146.05000000000001</v>
      </c>
      <c r="O40">
        <v>252.00000000000003</v>
      </c>
      <c r="P40">
        <v>1</v>
      </c>
      <c r="Q40">
        <v>5.7500000000000009</v>
      </c>
      <c r="R40">
        <v>884.40200000000004</v>
      </c>
      <c r="S40">
        <v>2.3744855736000003E-2</v>
      </c>
      <c r="T40" s="4" t="s">
        <v>6150</v>
      </c>
    </row>
    <row r="41" spans="1:20" x14ac:dyDescent="0.2">
      <c r="A41" s="4" t="s">
        <v>2094</v>
      </c>
      <c r="B41" s="4" t="s">
        <v>2130</v>
      </c>
      <c r="C41" s="4" t="s">
        <v>2096</v>
      </c>
      <c r="D41" s="4" t="s">
        <v>2097</v>
      </c>
      <c r="E41" s="4" t="s">
        <v>2146</v>
      </c>
      <c r="F41" s="4" t="s">
        <v>6148</v>
      </c>
      <c r="G41" s="4" t="s">
        <v>2132</v>
      </c>
      <c r="H41" s="4" t="s">
        <v>2133</v>
      </c>
      <c r="I41" s="4" t="s">
        <v>6149</v>
      </c>
      <c r="J41" s="4" t="s">
        <v>2111</v>
      </c>
      <c r="K41">
        <v>22</v>
      </c>
      <c r="L41">
        <v>6.7055999999999996</v>
      </c>
      <c r="M41">
        <v>25.4</v>
      </c>
      <c r="N41">
        <v>146.05000000000001</v>
      </c>
      <c r="O41">
        <v>264</v>
      </c>
      <c r="P41">
        <v>1</v>
      </c>
      <c r="Q41">
        <v>5.7500000000000009</v>
      </c>
      <c r="R41">
        <v>884.40200000000004</v>
      </c>
      <c r="S41">
        <v>2.4875563151999996E-2</v>
      </c>
      <c r="T41" s="4" t="s">
        <v>6150</v>
      </c>
    </row>
    <row r="42" spans="1:20" x14ac:dyDescent="0.2">
      <c r="A42" s="4" t="s">
        <v>2094</v>
      </c>
      <c r="B42" s="4" t="s">
        <v>2130</v>
      </c>
      <c r="C42" s="4" t="s">
        <v>2096</v>
      </c>
      <c r="D42" s="4" t="s">
        <v>2097</v>
      </c>
      <c r="E42" s="4" t="s">
        <v>2147</v>
      </c>
      <c r="F42" s="4" t="s">
        <v>6148</v>
      </c>
      <c r="G42" s="4" t="s">
        <v>2132</v>
      </c>
      <c r="H42" s="4" t="s">
        <v>2133</v>
      </c>
      <c r="I42" s="4" t="s">
        <v>6149</v>
      </c>
      <c r="J42" s="4" t="s">
        <v>2111</v>
      </c>
      <c r="K42">
        <v>8</v>
      </c>
      <c r="L42">
        <v>2.4384000000000001</v>
      </c>
      <c r="M42">
        <v>25.4</v>
      </c>
      <c r="N42">
        <v>146.05000000000001</v>
      </c>
      <c r="O42">
        <v>96.000000000000014</v>
      </c>
      <c r="P42">
        <v>1</v>
      </c>
      <c r="Q42">
        <v>5.7500000000000009</v>
      </c>
      <c r="R42">
        <v>884.40200000000004</v>
      </c>
      <c r="S42">
        <v>9.0456593280000015E-3</v>
      </c>
      <c r="T42" s="4" t="s">
        <v>6150</v>
      </c>
    </row>
    <row r="43" spans="1:20" x14ac:dyDescent="0.2">
      <c r="A43" s="4" t="s">
        <v>2094</v>
      </c>
      <c r="B43" s="4" t="s">
        <v>2130</v>
      </c>
      <c r="C43" s="4" t="s">
        <v>2096</v>
      </c>
      <c r="D43" s="4" t="s">
        <v>2097</v>
      </c>
      <c r="E43" s="4" t="s">
        <v>2148</v>
      </c>
      <c r="F43" s="4" t="s">
        <v>6148</v>
      </c>
      <c r="G43" s="4" t="s">
        <v>2132</v>
      </c>
      <c r="H43" s="4" t="s">
        <v>2133</v>
      </c>
      <c r="I43" s="4" t="s">
        <v>6149</v>
      </c>
      <c r="J43" s="4" t="s">
        <v>2111</v>
      </c>
      <c r="K43">
        <v>9</v>
      </c>
      <c r="L43">
        <v>2.7431999999999999</v>
      </c>
      <c r="M43">
        <v>25.4</v>
      </c>
      <c r="N43">
        <v>146.05000000000001</v>
      </c>
      <c r="O43">
        <v>108</v>
      </c>
      <c r="P43">
        <v>1</v>
      </c>
      <c r="Q43">
        <v>5.7500000000000009</v>
      </c>
      <c r="R43">
        <v>884.40200000000004</v>
      </c>
      <c r="S43">
        <v>1.0176366744E-2</v>
      </c>
      <c r="T43" s="4" t="s">
        <v>6150</v>
      </c>
    </row>
    <row r="44" spans="1:20" x14ac:dyDescent="0.2">
      <c r="A44" s="4" t="s">
        <v>2094</v>
      </c>
      <c r="B44" s="4" t="s">
        <v>2149</v>
      </c>
      <c r="C44" s="4" t="s">
        <v>2096</v>
      </c>
      <c r="D44" s="4" t="s">
        <v>2097</v>
      </c>
      <c r="E44" s="4" t="s">
        <v>2150</v>
      </c>
      <c r="F44" s="4" t="s">
        <v>2151</v>
      </c>
      <c r="G44" s="4" t="s">
        <v>2132</v>
      </c>
      <c r="H44" s="4" t="s">
        <v>2133</v>
      </c>
      <c r="I44" s="4" t="s">
        <v>2152</v>
      </c>
      <c r="J44" s="4" t="s">
        <v>2153</v>
      </c>
      <c r="K44">
        <v>10</v>
      </c>
      <c r="L44">
        <v>3.048</v>
      </c>
      <c r="M44">
        <v>19.049999999999997</v>
      </c>
      <c r="N44">
        <v>146.05000000000001</v>
      </c>
      <c r="O44">
        <v>120</v>
      </c>
      <c r="P44">
        <v>0.74999999999999989</v>
      </c>
      <c r="Q44">
        <v>5.7500000000000009</v>
      </c>
      <c r="R44">
        <v>1179.203</v>
      </c>
      <c r="S44">
        <v>8.4803056199999997E-3</v>
      </c>
      <c r="T44" s="4" t="s">
        <v>2154</v>
      </c>
    </row>
    <row r="45" spans="1:20" x14ac:dyDescent="0.2">
      <c r="A45" s="4" t="s">
        <v>2094</v>
      </c>
      <c r="B45" s="4" t="s">
        <v>2149</v>
      </c>
      <c r="C45" s="4" t="s">
        <v>2096</v>
      </c>
      <c r="D45" s="4" t="s">
        <v>2097</v>
      </c>
      <c r="E45" s="4" t="s">
        <v>2155</v>
      </c>
      <c r="F45" s="4" t="s">
        <v>2151</v>
      </c>
      <c r="G45" s="4" t="s">
        <v>2132</v>
      </c>
      <c r="H45" s="4" t="s">
        <v>2133</v>
      </c>
      <c r="I45" s="4" t="s">
        <v>2152</v>
      </c>
      <c r="J45" s="4" t="s">
        <v>2153</v>
      </c>
      <c r="K45">
        <v>11</v>
      </c>
      <c r="L45">
        <v>3.3527999999999998</v>
      </c>
      <c r="M45">
        <v>19.049999999999997</v>
      </c>
      <c r="N45">
        <v>146.05000000000001</v>
      </c>
      <c r="O45">
        <v>132</v>
      </c>
      <c r="P45">
        <v>0.74999999999999989</v>
      </c>
      <c r="Q45">
        <v>5.7500000000000009</v>
      </c>
      <c r="R45">
        <v>1179.203</v>
      </c>
      <c r="S45">
        <v>9.3283361819999997E-3</v>
      </c>
      <c r="T45" s="4" t="s">
        <v>2154</v>
      </c>
    </row>
    <row r="46" spans="1:20" x14ac:dyDescent="0.2">
      <c r="A46" s="4" t="s">
        <v>2094</v>
      </c>
      <c r="B46" s="4" t="s">
        <v>2149</v>
      </c>
      <c r="C46" s="4" t="s">
        <v>2096</v>
      </c>
      <c r="D46" s="4" t="s">
        <v>2097</v>
      </c>
      <c r="E46" s="4" t="s">
        <v>2156</v>
      </c>
      <c r="F46" s="4" t="s">
        <v>2151</v>
      </c>
      <c r="G46" s="4" t="s">
        <v>2132</v>
      </c>
      <c r="H46" s="4" t="s">
        <v>2133</v>
      </c>
      <c r="I46" s="4" t="s">
        <v>2152</v>
      </c>
      <c r="J46" s="4" t="s">
        <v>2153</v>
      </c>
      <c r="K46">
        <v>12</v>
      </c>
      <c r="L46">
        <v>3.6576</v>
      </c>
      <c r="M46">
        <v>19.049999999999997</v>
      </c>
      <c r="N46">
        <v>146.05000000000001</v>
      </c>
      <c r="O46">
        <v>144</v>
      </c>
      <c r="P46">
        <v>0.74999999999999989</v>
      </c>
      <c r="Q46">
        <v>5.7500000000000009</v>
      </c>
      <c r="R46">
        <v>1179.203</v>
      </c>
      <c r="S46">
        <v>1.0176366743999998E-2</v>
      </c>
      <c r="T46" s="4" t="s">
        <v>2154</v>
      </c>
    </row>
    <row r="47" spans="1:20" x14ac:dyDescent="0.2">
      <c r="A47" s="4" t="s">
        <v>2094</v>
      </c>
      <c r="B47" s="4" t="s">
        <v>2149</v>
      </c>
      <c r="C47" s="4" t="s">
        <v>2096</v>
      </c>
      <c r="D47" s="4" t="s">
        <v>2097</v>
      </c>
      <c r="E47" s="4" t="s">
        <v>2157</v>
      </c>
      <c r="F47" s="4" t="s">
        <v>2151</v>
      </c>
      <c r="G47" s="4" t="s">
        <v>2132</v>
      </c>
      <c r="H47" s="4" t="s">
        <v>2133</v>
      </c>
      <c r="I47" s="4" t="s">
        <v>2152</v>
      </c>
      <c r="J47" s="4" t="s">
        <v>2153</v>
      </c>
      <c r="K47">
        <v>13</v>
      </c>
      <c r="L47">
        <v>3.9624000000000001</v>
      </c>
      <c r="M47">
        <v>19.049999999999997</v>
      </c>
      <c r="N47">
        <v>146.05000000000001</v>
      </c>
      <c r="O47">
        <v>156</v>
      </c>
      <c r="P47">
        <v>0.74999999999999989</v>
      </c>
      <c r="Q47">
        <v>5.7500000000000009</v>
      </c>
      <c r="R47">
        <v>1179.203</v>
      </c>
      <c r="S47">
        <v>1.1024397306E-2</v>
      </c>
      <c r="T47" s="4" t="s">
        <v>2154</v>
      </c>
    </row>
    <row r="48" spans="1:20" x14ac:dyDescent="0.2">
      <c r="A48" s="4" t="s">
        <v>2094</v>
      </c>
      <c r="B48" s="4" t="s">
        <v>2149</v>
      </c>
      <c r="C48" s="4" t="s">
        <v>2096</v>
      </c>
      <c r="D48" s="4" t="s">
        <v>2097</v>
      </c>
      <c r="E48" s="4" t="s">
        <v>2158</v>
      </c>
      <c r="F48" s="4" t="s">
        <v>2151</v>
      </c>
      <c r="G48" s="4" t="s">
        <v>2132</v>
      </c>
      <c r="H48" s="4" t="s">
        <v>2133</v>
      </c>
      <c r="I48" s="4" t="s">
        <v>2152</v>
      </c>
      <c r="J48" s="4" t="s">
        <v>2153</v>
      </c>
      <c r="K48">
        <v>14</v>
      </c>
      <c r="L48">
        <v>4.2671999999999999</v>
      </c>
      <c r="M48">
        <v>19.049999999999997</v>
      </c>
      <c r="N48">
        <v>146.05000000000001</v>
      </c>
      <c r="O48">
        <v>168</v>
      </c>
      <c r="P48">
        <v>0.74999999999999989</v>
      </c>
      <c r="Q48">
        <v>5.7500000000000009</v>
      </c>
      <c r="R48">
        <v>1179.203</v>
      </c>
      <c r="S48">
        <v>1.1872427868E-2</v>
      </c>
      <c r="T48" s="4" t="s">
        <v>2154</v>
      </c>
    </row>
    <row r="49" spans="1:20" x14ac:dyDescent="0.2">
      <c r="A49" s="4" t="s">
        <v>2094</v>
      </c>
      <c r="B49" s="4" t="s">
        <v>2149</v>
      </c>
      <c r="C49" s="4" t="s">
        <v>2096</v>
      </c>
      <c r="D49" s="4" t="s">
        <v>2097</v>
      </c>
      <c r="E49" s="4" t="s">
        <v>2159</v>
      </c>
      <c r="F49" s="4" t="s">
        <v>2151</v>
      </c>
      <c r="G49" s="4" t="s">
        <v>2132</v>
      </c>
      <c r="H49" s="4" t="s">
        <v>2133</v>
      </c>
      <c r="I49" s="4" t="s">
        <v>2152</v>
      </c>
      <c r="J49" s="4" t="s">
        <v>2153</v>
      </c>
      <c r="K49">
        <v>15</v>
      </c>
      <c r="L49">
        <v>4.5720000000000001</v>
      </c>
      <c r="M49">
        <v>19.049999999999997</v>
      </c>
      <c r="N49">
        <v>146.05000000000001</v>
      </c>
      <c r="O49">
        <v>180</v>
      </c>
      <c r="P49">
        <v>0.74999999999999989</v>
      </c>
      <c r="Q49">
        <v>5.7500000000000009</v>
      </c>
      <c r="R49">
        <v>1179.203</v>
      </c>
      <c r="S49">
        <v>1.2720458430000001E-2</v>
      </c>
      <c r="T49" s="4" t="s">
        <v>2154</v>
      </c>
    </row>
    <row r="50" spans="1:20" x14ac:dyDescent="0.2">
      <c r="A50" s="4" t="s">
        <v>2094</v>
      </c>
      <c r="B50" s="4" t="s">
        <v>2149</v>
      </c>
      <c r="C50" s="4" t="s">
        <v>2096</v>
      </c>
      <c r="D50" s="4" t="s">
        <v>2097</v>
      </c>
      <c r="E50" s="4" t="s">
        <v>2160</v>
      </c>
      <c r="F50" s="4" t="s">
        <v>2151</v>
      </c>
      <c r="G50" s="4" t="s">
        <v>2132</v>
      </c>
      <c r="H50" s="4" t="s">
        <v>2133</v>
      </c>
      <c r="I50" s="4" t="s">
        <v>2152</v>
      </c>
      <c r="J50" s="4" t="s">
        <v>2153</v>
      </c>
      <c r="K50">
        <v>16</v>
      </c>
      <c r="L50">
        <v>4.8768000000000002</v>
      </c>
      <c r="M50">
        <v>19.049999999999997</v>
      </c>
      <c r="N50">
        <v>146.05000000000001</v>
      </c>
      <c r="O50">
        <v>192.00000000000003</v>
      </c>
      <c r="P50">
        <v>0.74999999999999989</v>
      </c>
      <c r="Q50">
        <v>5.7500000000000009</v>
      </c>
      <c r="R50">
        <v>1179.203</v>
      </c>
      <c r="S50">
        <v>1.3568488992000001E-2</v>
      </c>
      <c r="T50" s="4" t="s">
        <v>2154</v>
      </c>
    </row>
    <row r="51" spans="1:20" x14ac:dyDescent="0.2">
      <c r="A51" s="4" t="s">
        <v>2094</v>
      </c>
      <c r="B51" s="4" t="s">
        <v>2149</v>
      </c>
      <c r="C51" s="4" t="s">
        <v>2096</v>
      </c>
      <c r="D51" s="4" t="s">
        <v>2097</v>
      </c>
      <c r="E51" s="4" t="s">
        <v>2161</v>
      </c>
      <c r="F51" s="4" t="s">
        <v>2151</v>
      </c>
      <c r="G51" s="4" t="s">
        <v>2132</v>
      </c>
      <c r="H51" s="4" t="s">
        <v>2133</v>
      </c>
      <c r="I51" s="4" t="s">
        <v>2152</v>
      </c>
      <c r="J51" s="4" t="s">
        <v>2153</v>
      </c>
      <c r="K51">
        <v>17</v>
      </c>
      <c r="L51">
        <v>5.1816000000000004</v>
      </c>
      <c r="M51">
        <v>19.049999999999997</v>
      </c>
      <c r="N51">
        <v>146.05000000000001</v>
      </c>
      <c r="O51">
        <v>204.00000000000003</v>
      </c>
      <c r="P51">
        <v>0.74999999999999989</v>
      </c>
      <c r="Q51">
        <v>5.7500000000000009</v>
      </c>
      <c r="R51">
        <v>1179.203</v>
      </c>
      <c r="S51">
        <v>1.4416519554000001E-2</v>
      </c>
      <c r="T51" s="4" t="s">
        <v>2154</v>
      </c>
    </row>
    <row r="52" spans="1:20" x14ac:dyDescent="0.2">
      <c r="A52" s="4" t="s">
        <v>2094</v>
      </c>
      <c r="B52" s="4" t="s">
        <v>2149</v>
      </c>
      <c r="C52" s="4" t="s">
        <v>2096</v>
      </c>
      <c r="D52" s="4" t="s">
        <v>2097</v>
      </c>
      <c r="E52" s="4" t="s">
        <v>2162</v>
      </c>
      <c r="F52" s="4" t="s">
        <v>2151</v>
      </c>
      <c r="G52" s="4" t="s">
        <v>2132</v>
      </c>
      <c r="H52" s="4" t="s">
        <v>2133</v>
      </c>
      <c r="I52" s="4" t="s">
        <v>2152</v>
      </c>
      <c r="J52" s="4" t="s">
        <v>2153</v>
      </c>
      <c r="K52">
        <v>18</v>
      </c>
      <c r="L52">
        <v>5.4863999999999997</v>
      </c>
      <c r="M52">
        <v>19.049999999999997</v>
      </c>
      <c r="N52">
        <v>146.05000000000001</v>
      </c>
      <c r="O52">
        <v>216</v>
      </c>
      <c r="P52">
        <v>0.74999999999999989</v>
      </c>
      <c r="Q52">
        <v>5.7500000000000009</v>
      </c>
      <c r="R52">
        <v>1179.203</v>
      </c>
      <c r="S52">
        <v>1.5264550116E-2</v>
      </c>
      <c r="T52" s="4" t="s">
        <v>2154</v>
      </c>
    </row>
    <row r="53" spans="1:20" x14ac:dyDescent="0.2">
      <c r="A53" s="4" t="s">
        <v>2094</v>
      </c>
      <c r="B53" s="4" t="s">
        <v>2149</v>
      </c>
      <c r="C53" s="4" t="s">
        <v>2096</v>
      </c>
      <c r="D53" s="4" t="s">
        <v>2097</v>
      </c>
      <c r="E53" s="4" t="s">
        <v>2163</v>
      </c>
      <c r="F53" s="4" t="s">
        <v>2151</v>
      </c>
      <c r="G53" s="4" t="s">
        <v>2132</v>
      </c>
      <c r="H53" s="4" t="s">
        <v>2133</v>
      </c>
      <c r="I53" s="4" t="s">
        <v>2152</v>
      </c>
      <c r="J53" s="4" t="s">
        <v>2153</v>
      </c>
      <c r="K53">
        <v>19</v>
      </c>
      <c r="L53">
        <v>5.7911999999999999</v>
      </c>
      <c r="M53">
        <v>19.049999999999997</v>
      </c>
      <c r="N53">
        <v>146.05000000000001</v>
      </c>
      <c r="O53">
        <v>228</v>
      </c>
      <c r="P53">
        <v>0.74999999999999989</v>
      </c>
      <c r="Q53">
        <v>5.7500000000000009</v>
      </c>
      <c r="R53">
        <v>1179.203</v>
      </c>
      <c r="S53">
        <v>1.6112580677999998E-2</v>
      </c>
      <c r="T53" s="4" t="s">
        <v>2154</v>
      </c>
    </row>
    <row r="54" spans="1:20" x14ac:dyDescent="0.2">
      <c r="A54" s="4" t="s">
        <v>2094</v>
      </c>
      <c r="B54" s="4" t="s">
        <v>2149</v>
      </c>
      <c r="C54" s="4" t="s">
        <v>2096</v>
      </c>
      <c r="D54" s="4" t="s">
        <v>2097</v>
      </c>
      <c r="E54" s="4" t="s">
        <v>2164</v>
      </c>
      <c r="F54" s="4" t="s">
        <v>2151</v>
      </c>
      <c r="G54" s="4" t="s">
        <v>2132</v>
      </c>
      <c r="H54" s="4" t="s">
        <v>2133</v>
      </c>
      <c r="I54" s="4" t="s">
        <v>2152</v>
      </c>
      <c r="J54" s="4" t="s">
        <v>2153</v>
      </c>
      <c r="K54">
        <v>20</v>
      </c>
      <c r="L54">
        <v>6.0960000000000001</v>
      </c>
      <c r="M54">
        <v>19.049999999999997</v>
      </c>
      <c r="N54">
        <v>146.05000000000001</v>
      </c>
      <c r="O54">
        <v>240</v>
      </c>
      <c r="P54">
        <v>0.74999999999999989</v>
      </c>
      <c r="Q54">
        <v>5.7500000000000009</v>
      </c>
      <c r="R54">
        <v>1179.203</v>
      </c>
      <c r="S54">
        <v>1.6960611239999999E-2</v>
      </c>
      <c r="T54" s="4" t="s">
        <v>2154</v>
      </c>
    </row>
    <row r="55" spans="1:20" x14ac:dyDescent="0.2">
      <c r="A55" s="4" t="s">
        <v>2094</v>
      </c>
      <c r="B55" s="4" t="s">
        <v>2149</v>
      </c>
      <c r="C55" s="4" t="s">
        <v>2096</v>
      </c>
      <c r="D55" s="4" t="s">
        <v>2097</v>
      </c>
      <c r="E55" s="4" t="s">
        <v>2165</v>
      </c>
      <c r="F55" s="4" t="s">
        <v>2151</v>
      </c>
      <c r="G55" s="4" t="s">
        <v>2132</v>
      </c>
      <c r="H55" s="4" t="s">
        <v>2133</v>
      </c>
      <c r="I55" s="4" t="s">
        <v>2152</v>
      </c>
      <c r="J55" s="4" t="s">
        <v>2153</v>
      </c>
      <c r="K55">
        <v>8</v>
      </c>
      <c r="L55">
        <v>2.4384000000000001</v>
      </c>
      <c r="M55">
        <v>19.049999999999997</v>
      </c>
      <c r="N55">
        <v>146.05000000000001</v>
      </c>
      <c r="O55">
        <v>96.000000000000014</v>
      </c>
      <c r="P55">
        <v>0.74999999999999989</v>
      </c>
      <c r="Q55">
        <v>5.7500000000000009</v>
      </c>
      <c r="R55">
        <v>1179.203</v>
      </c>
      <c r="S55">
        <v>6.7842444960000007E-3</v>
      </c>
      <c r="T55" s="4" t="s">
        <v>2154</v>
      </c>
    </row>
    <row r="56" spans="1:20" x14ac:dyDescent="0.2">
      <c r="A56" s="4" t="s">
        <v>2094</v>
      </c>
      <c r="B56" s="4" t="s">
        <v>2149</v>
      </c>
      <c r="C56" s="4" t="s">
        <v>2096</v>
      </c>
      <c r="D56" s="4" t="s">
        <v>2097</v>
      </c>
      <c r="E56" s="4" t="s">
        <v>2166</v>
      </c>
      <c r="F56" s="4" t="s">
        <v>2151</v>
      </c>
      <c r="G56" s="4" t="s">
        <v>2132</v>
      </c>
      <c r="H56" s="4" t="s">
        <v>2133</v>
      </c>
      <c r="I56" s="4" t="s">
        <v>2152</v>
      </c>
      <c r="J56" s="4" t="s">
        <v>2153</v>
      </c>
      <c r="K56">
        <v>9</v>
      </c>
      <c r="L56">
        <v>2.7431999999999999</v>
      </c>
      <c r="M56">
        <v>19.049999999999997</v>
      </c>
      <c r="N56">
        <v>146.05000000000001</v>
      </c>
      <c r="O56">
        <v>108</v>
      </c>
      <c r="P56">
        <v>0.74999999999999989</v>
      </c>
      <c r="Q56">
        <v>5.7500000000000009</v>
      </c>
      <c r="R56">
        <v>1179.203</v>
      </c>
      <c r="S56">
        <v>7.6322750579999998E-3</v>
      </c>
      <c r="T56" s="4" t="s">
        <v>2154</v>
      </c>
    </row>
    <row r="57" spans="1:20" x14ac:dyDescent="0.2">
      <c r="A57" s="4" t="s">
        <v>2094</v>
      </c>
      <c r="B57" s="4" t="s">
        <v>2130</v>
      </c>
      <c r="C57" s="4" t="s">
        <v>2096</v>
      </c>
      <c r="D57" s="4" t="s">
        <v>2097</v>
      </c>
      <c r="E57" s="4" t="s">
        <v>2167</v>
      </c>
      <c r="F57" s="4" t="s">
        <v>2168</v>
      </c>
      <c r="G57" s="4" t="s">
        <v>2132</v>
      </c>
      <c r="H57" s="4" t="s">
        <v>2133</v>
      </c>
      <c r="I57" s="4" t="s">
        <v>2152</v>
      </c>
      <c r="J57" s="4" t="s">
        <v>2111</v>
      </c>
      <c r="K57">
        <v>10</v>
      </c>
      <c r="L57">
        <v>3.048</v>
      </c>
      <c r="M57">
        <v>25.4</v>
      </c>
      <c r="N57">
        <v>146.05000000000001</v>
      </c>
      <c r="O57">
        <v>120</v>
      </c>
      <c r="P57">
        <v>1</v>
      </c>
      <c r="Q57">
        <v>5.7500000000000009</v>
      </c>
      <c r="R57">
        <v>884.40200000000004</v>
      </c>
      <c r="S57">
        <v>1.1307074160000003E-2</v>
      </c>
      <c r="T57" s="4" t="s">
        <v>2169</v>
      </c>
    </row>
    <row r="58" spans="1:20" x14ac:dyDescent="0.2">
      <c r="A58" s="4" t="s">
        <v>2094</v>
      </c>
      <c r="B58" s="4" t="s">
        <v>2130</v>
      </c>
      <c r="C58" s="4" t="s">
        <v>2096</v>
      </c>
      <c r="D58" s="4" t="s">
        <v>2097</v>
      </c>
      <c r="E58" s="4" t="s">
        <v>2170</v>
      </c>
      <c r="F58" s="4" t="s">
        <v>2168</v>
      </c>
      <c r="G58" s="4" t="s">
        <v>2132</v>
      </c>
      <c r="H58" s="4" t="s">
        <v>2133</v>
      </c>
      <c r="I58" s="4" t="s">
        <v>2152</v>
      </c>
      <c r="J58" s="4" t="s">
        <v>2111</v>
      </c>
      <c r="K58">
        <v>11</v>
      </c>
      <c r="L58">
        <v>3.3527999999999998</v>
      </c>
      <c r="M58">
        <v>25.4</v>
      </c>
      <c r="N58">
        <v>146.05000000000001</v>
      </c>
      <c r="O58">
        <v>132</v>
      </c>
      <c r="P58">
        <v>1</v>
      </c>
      <c r="Q58">
        <v>5.7500000000000009</v>
      </c>
      <c r="R58">
        <v>884.40200000000004</v>
      </c>
      <c r="S58">
        <v>1.2437781575999998E-2</v>
      </c>
      <c r="T58" s="4" t="s">
        <v>2169</v>
      </c>
    </row>
    <row r="59" spans="1:20" x14ac:dyDescent="0.2">
      <c r="A59" s="4" t="s">
        <v>2094</v>
      </c>
      <c r="B59" s="4" t="s">
        <v>2130</v>
      </c>
      <c r="C59" s="4" t="s">
        <v>2096</v>
      </c>
      <c r="D59" s="4" t="s">
        <v>2097</v>
      </c>
      <c r="E59" s="4" t="s">
        <v>2171</v>
      </c>
      <c r="F59" s="4" t="s">
        <v>2168</v>
      </c>
      <c r="G59" s="4" t="s">
        <v>2132</v>
      </c>
      <c r="H59" s="4" t="s">
        <v>2133</v>
      </c>
      <c r="I59" s="4" t="s">
        <v>2152</v>
      </c>
      <c r="J59" s="4" t="s">
        <v>2111</v>
      </c>
      <c r="K59">
        <v>12</v>
      </c>
      <c r="L59">
        <v>3.6576</v>
      </c>
      <c r="M59">
        <v>25.4</v>
      </c>
      <c r="N59">
        <v>146.05000000000001</v>
      </c>
      <c r="O59">
        <v>144</v>
      </c>
      <c r="P59">
        <v>1</v>
      </c>
      <c r="Q59">
        <v>5.7500000000000009</v>
      </c>
      <c r="R59">
        <v>884.40200000000004</v>
      </c>
      <c r="S59">
        <v>1.3568488992000001E-2</v>
      </c>
      <c r="T59" s="4" t="s">
        <v>2169</v>
      </c>
    </row>
    <row r="60" spans="1:20" x14ac:dyDescent="0.2">
      <c r="A60" s="4" t="s">
        <v>2094</v>
      </c>
      <c r="B60" s="4" t="s">
        <v>2130</v>
      </c>
      <c r="C60" s="4" t="s">
        <v>2096</v>
      </c>
      <c r="D60" s="4" t="s">
        <v>2097</v>
      </c>
      <c r="E60" s="4" t="s">
        <v>2172</v>
      </c>
      <c r="F60" s="4" t="s">
        <v>2168</v>
      </c>
      <c r="G60" s="4" t="s">
        <v>2132</v>
      </c>
      <c r="H60" s="4" t="s">
        <v>2133</v>
      </c>
      <c r="I60" s="4" t="s">
        <v>2152</v>
      </c>
      <c r="J60" s="4" t="s">
        <v>2111</v>
      </c>
      <c r="K60">
        <v>13</v>
      </c>
      <c r="L60">
        <v>3.9624000000000001</v>
      </c>
      <c r="M60">
        <v>25.4</v>
      </c>
      <c r="N60">
        <v>146.05000000000001</v>
      </c>
      <c r="O60">
        <v>156</v>
      </c>
      <c r="P60">
        <v>1</v>
      </c>
      <c r="Q60">
        <v>5.7500000000000009</v>
      </c>
      <c r="R60">
        <v>884.40200000000004</v>
      </c>
      <c r="S60">
        <v>1.4699196408000001E-2</v>
      </c>
      <c r="T60" s="4" t="s">
        <v>2169</v>
      </c>
    </row>
    <row r="61" spans="1:20" x14ac:dyDescent="0.2">
      <c r="A61" s="4" t="s">
        <v>2094</v>
      </c>
      <c r="B61" s="4" t="s">
        <v>2130</v>
      </c>
      <c r="C61" s="4" t="s">
        <v>2096</v>
      </c>
      <c r="D61" s="4" t="s">
        <v>2097</v>
      </c>
      <c r="E61" s="4" t="s">
        <v>2173</v>
      </c>
      <c r="F61" s="4" t="s">
        <v>2168</v>
      </c>
      <c r="G61" s="4" t="s">
        <v>2132</v>
      </c>
      <c r="H61" s="4" t="s">
        <v>2133</v>
      </c>
      <c r="I61" s="4" t="s">
        <v>2152</v>
      </c>
      <c r="J61" s="4" t="s">
        <v>2111</v>
      </c>
      <c r="K61">
        <v>14</v>
      </c>
      <c r="L61">
        <v>4.2671999999999999</v>
      </c>
      <c r="M61">
        <v>25.4</v>
      </c>
      <c r="N61">
        <v>146.05000000000001</v>
      </c>
      <c r="O61">
        <v>168</v>
      </c>
      <c r="P61">
        <v>1</v>
      </c>
      <c r="Q61">
        <v>5.7500000000000009</v>
      </c>
      <c r="R61">
        <v>884.40200000000004</v>
      </c>
      <c r="S61">
        <v>1.5829903824E-2</v>
      </c>
      <c r="T61" s="4" t="s">
        <v>2169</v>
      </c>
    </row>
    <row r="62" spans="1:20" x14ac:dyDescent="0.2">
      <c r="A62" s="4" t="s">
        <v>2094</v>
      </c>
      <c r="B62" s="4" t="s">
        <v>2130</v>
      </c>
      <c r="C62" s="4" t="s">
        <v>2096</v>
      </c>
      <c r="D62" s="4" t="s">
        <v>2097</v>
      </c>
      <c r="E62" s="4" t="s">
        <v>2174</v>
      </c>
      <c r="F62" s="4" t="s">
        <v>2168</v>
      </c>
      <c r="G62" s="4" t="s">
        <v>2132</v>
      </c>
      <c r="H62" s="4" t="s">
        <v>2133</v>
      </c>
      <c r="I62" s="4" t="s">
        <v>2152</v>
      </c>
      <c r="J62" s="4" t="s">
        <v>2111</v>
      </c>
      <c r="K62">
        <v>15</v>
      </c>
      <c r="L62">
        <v>4.5720000000000001</v>
      </c>
      <c r="M62">
        <v>25.4</v>
      </c>
      <c r="N62">
        <v>146.05000000000001</v>
      </c>
      <c r="O62">
        <v>180</v>
      </c>
      <c r="P62">
        <v>1</v>
      </c>
      <c r="Q62">
        <v>5.7500000000000009</v>
      </c>
      <c r="R62">
        <v>884.40200000000004</v>
      </c>
      <c r="S62">
        <v>1.6960611240000003E-2</v>
      </c>
      <c r="T62" s="4" t="s">
        <v>2169</v>
      </c>
    </row>
    <row r="63" spans="1:20" x14ac:dyDescent="0.2">
      <c r="A63" s="4" t="s">
        <v>2094</v>
      </c>
      <c r="B63" s="4" t="s">
        <v>2130</v>
      </c>
      <c r="C63" s="4" t="s">
        <v>2096</v>
      </c>
      <c r="D63" s="4" t="s">
        <v>2097</v>
      </c>
      <c r="E63" s="4" t="s">
        <v>2175</v>
      </c>
      <c r="F63" s="4" t="s">
        <v>2168</v>
      </c>
      <c r="G63" s="4" t="s">
        <v>2132</v>
      </c>
      <c r="H63" s="4" t="s">
        <v>2133</v>
      </c>
      <c r="I63" s="4" t="s">
        <v>2152</v>
      </c>
      <c r="J63" s="4" t="s">
        <v>2111</v>
      </c>
      <c r="K63">
        <v>16</v>
      </c>
      <c r="L63">
        <v>4.8768000000000002</v>
      </c>
      <c r="M63">
        <v>25.4</v>
      </c>
      <c r="N63">
        <v>146.05000000000001</v>
      </c>
      <c r="O63">
        <v>192.00000000000003</v>
      </c>
      <c r="P63">
        <v>1</v>
      </c>
      <c r="Q63">
        <v>5.7500000000000009</v>
      </c>
      <c r="R63">
        <v>884.40200000000004</v>
      </c>
      <c r="S63">
        <v>1.8091318656000003E-2</v>
      </c>
      <c r="T63" s="4" t="s">
        <v>2169</v>
      </c>
    </row>
    <row r="64" spans="1:20" x14ac:dyDescent="0.2">
      <c r="A64" s="4" t="s">
        <v>2094</v>
      </c>
      <c r="B64" s="4" t="s">
        <v>2130</v>
      </c>
      <c r="C64" s="4" t="s">
        <v>2096</v>
      </c>
      <c r="D64" s="4" t="s">
        <v>2097</v>
      </c>
      <c r="E64" s="4" t="s">
        <v>2176</v>
      </c>
      <c r="F64" s="4" t="s">
        <v>2168</v>
      </c>
      <c r="G64" s="4" t="s">
        <v>2132</v>
      </c>
      <c r="H64" s="4" t="s">
        <v>2133</v>
      </c>
      <c r="I64" s="4" t="s">
        <v>2152</v>
      </c>
      <c r="J64" s="4" t="s">
        <v>2111</v>
      </c>
      <c r="K64">
        <v>17</v>
      </c>
      <c r="L64">
        <v>5.1816000000000004</v>
      </c>
      <c r="M64">
        <v>25.4</v>
      </c>
      <c r="N64">
        <v>146.05000000000001</v>
      </c>
      <c r="O64">
        <v>204.00000000000003</v>
      </c>
      <c r="P64">
        <v>1</v>
      </c>
      <c r="Q64">
        <v>5.7500000000000009</v>
      </c>
      <c r="R64">
        <v>884.40200000000004</v>
      </c>
      <c r="S64">
        <v>1.9222026072000003E-2</v>
      </c>
      <c r="T64" s="4" t="s">
        <v>2169</v>
      </c>
    </row>
    <row r="65" spans="1:20" x14ac:dyDescent="0.2">
      <c r="A65" s="4" t="s">
        <v>2094</v>
      </c>
      <c r="B65" s="4" t="s">
        <v>2130</v>
      </c>
      <c r="C65" s="4" t="s">
        <v>2096</v>
      </c>
      <c r="D65" s="4" t="s">
        <v>2097</v>
      </c>
      <c r="E65" s="4" t="s">
        <v>2177</v>
      </c>
      <c r="F65" s="4" t="s">
        <v>2168</v>
      </c>
      <c r="G65" s="4" t="s">
        <v>2132</v>
      </c>
      <c r="H65" s="4" t="s">
        <v>2133</v>
      </c>
      <c r="I65" s="4" t="s">
        <v>2152</v>
      </c>
      <c r="J65" s="4" t="s">
        <v>2111</v>
      </c>
      <c r="K65">
        <v>18</v>
      </c>
      <c r="L65">
        <v>5.4863999999999997</v>
      </c>
      <c r="M65">
        <v>25.4</v>
      </c>
      <c r="N65">
        <v>146.05000000000001</v>
      </c>
      <c r="O65">
        <v>216</v>
      </c>
      <c r="P65">
        <v>1</v>
      </c>
      <c r="Q65">
        <v>5.7500000000000009</v>
      </c>
      <c r="R65">
        <v>884.40200000000004</v>
      </c>
      <c r="S65">
        <v>2.0352733487999999E-2</v>
      </c>
      <c r="T65" s="4" t="s">
        <v>2169</v>
      </c>
    </row>
    <row r="66" spans="1:20" x14ac:dyDescent="0.2">
      <c r="A66" s="4" t="s">
        <v>2094</v>
      </c>
      <c r="B66" s="4" t="s">
        <v>2130</v>
      </c>
      <c r="C66" s="4" t="s">
        <v>2096</v>
      </c>
      <c r="D66" s="4" t="s">
        <v>2097</v>
      </c>
      <c r="E66" s="4" t="s">
        <v>2178</v>
      </c>
      <c r="F66" s="4" t="s">
        <v>2168</v>
      </c>
      <c r="G66" s="4" t="s">
        <v>2132</v>
      </c>
      <c r="H66" s="4" t="s">
        <v>2133</v>
      </c>
      <c r="I66" s="4" t="s">
        <v>2152</v>
      </c>
      <c r="J66" s="4" t="s">
        <v>2111</v>
      </c>
      <c r="K66">
        <v>19</v>
      </c>
      <c r="L66">
        <v>5.7911999999999999</v>
      </c>
      <c r="M66">
        <v>25.4</v>
      </c>
      <c r="N66">
        <v>146.05000000000001</v>
      </c>
      <c r="O66">
        <v>228</v>
      </c>
      <c r="P66">
        <v>1</v>
      </c>
      <c r="Q66">
        <v>5.7500000000000009</v>
      </c>
      <c r="R66">
        <v>884.40200000000004</v>
      </c>
      <c r="S66">
        <v>2.1483440903999999E-2</v>
      </c>
      <c r="T66" s="4" t="s">
        <v>2169</v>
      </c>
    </row>
    <row r="67" spans="1:20" x14ac:dyDescent="0.2">
      <c r="A67" s="4" t="s">
        <v>2094</v>
      </c>
      <c r="B67" s="4" t="s">
        <v>2130</v>
      </c>
      <c r="C67" s="4" t="s">
        <v>2096</v>
      </c>
      <c r="D67" s="4" t="s">
        <v>2097</v>
      </c>
      <c r="E67" s="4" t="s">
        <v>2179</v>
      </c>
      <c r="F67" s="4" t="s">
        <v>2168</v>
      </c>
      <c r="G67" s="4" t="s">
        <v>2132</v>
      </c>
      <c r="H67" s="4" t="s">
        <v>2133</v>
      </c>
      <c r="I67" s="4" t="s">
        <v>2152</v>
      </c>
      <c r="J67" s="4" t="s">
        <v>2111</v>
      </c>
      <c r="K67">
        <v>20</v>
      </c>
      <c r="L67">
        <v>6.0960000000000001</v>
      </c>
      <c r="M67">
        <v>25.4</v>
      </c>
      <c r="N67">
        <v>146.05000000000001</v>
      </c>
      <c r="O67">
        <v>240</v>
      </c>
      <c r="P67">
        <v>1</v>
      </c>
      <c r="Q67">
        <v>5.7500000000000009</v>
      </c>
      <c r="R67">
        <v>884.40200000000004</v>
      </c>
      <c r="S67">
        <v>2.2614148320000006E-2</v>
      </c>
      <c r="T67" s="4" t="s">
        <v>2169</v>
      </c>
    </row>
    <row r="68" spans="1:20" x14ac:dyDescent="0.2">
      <c r="A68" s="4" t="s">
        <v>2094</v>
      </c>
      <c r="B68" s="4" t="s">
        <v>2130</v>
      </c>
      <c r="C68" s="4" t="s">
        <v>2096</v>
      </c>
      <c r="D68" s="4" t="s">
        <v>2097</v>
      </c>
      <c r="E68" s="4" t="s">
        <v>2180</v>
      </c>
      <c r="F68" s="4" t="s">
        <v>2168</v>
      </c>
      <c r="G68" s="4" t="s">
        <v>2132</v>
      </c>
      <c r="H68" s="4" t="s">
        <v>2133</v>
      </c>
      <c r="I68" s="4" t="s">
        <v>2152</v>
      </c>
      <c r="J68" s="4" t="s">
        <v>2111</v>
      </c>
      <c r="K68">
        <v>8</v>
      </c>
      <c r="L68">
        <v>2.4384000000000001</v>
      </c>
      <c r="M68">
        <v>25.4</v>
      </c>
      <c r="N68">
        <v>146.05000000000001</v>
      </c>
      <c r="O68">
        <v>96.000000000000014</v>
      </c>
      <c r="P68">
        <v>1</v>
      </c>
      <c r="Q68">
        <v>5.7500000000000009</v>
      </c>
      <c r="R68">
        <v>884.40200000000004</v>
      </c>
      <c r="S68">
        <v>9.0456593280000015E-3</v>
      </c>
      <c r="T68" s="4" t="s">
        <v>2169</v>
      </c>
    </row>
    <row r="69" spans="1:20" x14ac:dyDescent="0.2">
      <c r="A69" s="4" t="s">
        <v>2094</v>
      </c>
      <c r="B69" s="4" t="s">
        <v>2130</v>
      </c>
      <c r="C69" s="4" t="s">
        <v>2096</v>
      </c>
      <c r="D69" s="4" t="s">
        <v>2097</v>
      </c>
      <c r="E69" s="4" t="s">
        <v>2181</v>
      </c>
      <c r="F69" s="4" t="s">
        <v>2168</v>
      </c>
      <c r="G69" s="4" t="s">
        <v>2132</v>
      </c>
      <c r="H69" s="4" t="s">
        <v>2133</v>
      </c>
      <c r="I69" s="4" t="s">
        <v>2152</v>
      </c>
      <c r="J69" s="4" t="s">
        <v>2111</v>
      </c>
      <c r="K69">
        <v>9</v>
      </c>
      <c r="L69">
        <v>2.7431999999999999</v>
      </c>
      <c r="M69">
        <v>25.4</v>
      </c>
      <c r="N69">
        <v>146.05000000000001</v>
      </c>
      <c r="O69">
        <v>108</v>
      </c>
      <c r="P69">
        <v>1</v>
      </c>
      <c r="Q69">
        <v>5.7500000000000009</v>
      </c>
      <c r="R69">
        <v>884.40200000000004</v>
      </c>
      <c r="S69">
        <v>1.0176366744E-2</v>
      </c>
      <c r="T69" s="4" t="s">
        <v>2169</v>
      </c>
    </row>
    <row r="70" spans="1:20" x14ac:dyDescent="0.2">
      <c r="A70" s="4" t="s">
        <v>2094</v>
      </c>
      <c r="B70" s="4" t="s">
        <v>2149</v>
      </c>
      <c r="C70" s="4" t="s">
        <v>2096</v>
      </c>
      <c r="D70" s="4" t="s">
        <v>2097</v>
      </c>
      <c r="E70" s="4" t="s">
        <v>107</v>
      </c>
      <c r="F70" s="4" t="s">
        <v>2182</v>
      </c>
      <c r="G70" s="4" t="s">
        <v>2132</v>
      </c>
      <c r="H70" s="4" t="s">
        <v>2183</v>
      </c>
      <c r="I70" s="4" t="s">
        <v>2100</v>
      </c>
      <c r="J70" s="4" t="s">
        <v>2153</v>
      </c>
      <c r="K70">
        <v>10</v>
      </c>
      <c r="L70">
        <v>3.048</v>
      </c>
      <c r="M70">
        <v>19.049999999999997</v>
      </c>
      <c r="N70">
        <v>146.05000000000001</v>
      </c>
      <c r="O70">
        <v>120</v>
      </c>
      <c r="P70">
        <v>0.74999999999999989</v>
      </c>
      <c r="Q70">
        <v>5.7500000000000009</v>
      </c>
      <c r="R70">
        <v>1179.203</v>
      </c>
      <c r="S70">
        <v>8.4803056199999997E-3</v>
      </c>
      <c r="T70" s="4" t="s">
        <v>2184</v>
      </c>
    </row>
    <row r="71" spans="1:20" x14ac:dyDescent="0.2">
      <c r="A71" s="4" t="s">
        <v>2094</v>
      </c>
      <c r="B71" s="4" t="s">
        <v>2149</v>
      </c>
      <c r="C71" s="4" t="s">
        <v>2096</v>
      </c>
      <c r="D71" s="4" t="s">
        <v>2097</v>
      </c>
      <c r="E71" s="4" t="s">
        <v>2185</v>
      </c>
      <c r="F71" s="4" t="s">
        <v>2182</v>
      </c>
      <c r="G71" s="4" t="s">
        <v>2132</v>
      </c>
      <c r="H71" s="4" t="s">
        <v>2183</v>
      </c>
      <c r="I71" s="4" t="s">
        <v>2100</v>
      </c>
      <c r="J71" s="4" t="s">
        <v>2153</v>
      </c>
      <c r="K71">
        <v>11</v>
      </c>
      <c r="L71">
        <v>3.3527999999999998</v>
      </c>
      <c r="M71">
        <v>19.049999999999997</v>
      </c>
      <c r="N71">
        <v>146.05000000000001</v>
      </c>
      <c r="O71">
        <v>132</v>
      </c>
      <c r="P71">
        <v>0.74999999999999989</v>
      </c>
      <c r="Q71">
        <v>5.7500000000000009</v>
      </c>
      <c r="R71">
        <v>1179.203</v>
      </c>
      <c r="S71">
        <v>9.3283361819999997E-3</v>
      </c>
      <c r="T71" s="4" t="s">
        <v>2184</v>
      </c>
    </row>
    <row r="72" spans="1:20" x14ac:dyDescent="0.2">
      <c r="A72" s="4" t="s">
        <v>2094</v>
      </c>
      <c r="B72" s="4" t="s">
        <v>2149</v>
      </c>
      <c r="C72" s="4" t="s">
        <v>2096</v>
      </c>
      <c r="D72" s="4" t="s">
        <v>2097</v>
      </c>
      <c r="E72" s="4" t="s">
        <v>2186</v>
      </c>
      <c r="F72" s="4" t="s">
        <v>2182</v>
      </c>
      <c r="G72" s="4" t="s">
        <v>2132</v>
      </c>
      <c r="H72" s="4" t="s">
        <v>2183</v>
      </c>
      <c r="I72" s="4" t="s">
        <v>2100</v>
      </c>
      <c r="J72" s="4" t="s">
        <v>2153</v>
      </c>
      <c r="K72">
        <v>12</v>
      </c>
      <c r="L72">
        <v>3.6576</v>
      </c>
      <c r="M72">
        <v>19.049999999999997</v>
      </c>
      <c r="N72">
        <v>146.05000000000001</v>
      </c>
      <c r="O72">
        <v>144</v>
      </c>
      <c r="P72">
        <v>0.74999999999999989</v>
      </c>
      <c r="Q72">
        <v>5.7500000000000009</v>
      </c>
      <c r="R72">
        <v>1179.203</v>
      </c>
      <c r="S72">
        <v>1.0176366743999998E-2</v>
      </c>
      <c r="T72" s="4" t="s">
        <v>2184</v>
      </c>
    </row>
    <row r="73" spans="1:20" x14ac:dyDescent="0.2">
      <c r="A73" s="4" t="s">
        <v>2094</v>
      </c>
      <c r="B73" s="4" t="s">
        <v>2149</v>
      </c>
      <c r="C73" s="4" t="s">
        <v>2096</v>
      </c>
      <c r="D73" s="4" t="s">
        <v>2097</v>
      </c>
      <c r="E73" s="4" t="s">
        <v>2187</v>
      </c>
      <c r="F73" s="4" t="s">
        <v>2182</v>
      </c>
      <c r="G73" s="4" t="s">
        <v>2132</v>
      </c>
      <c r="H73" s="4" t="s">
        <v>2183</v>
      </c>
      <c r="I73" s="4" t="s">
        <v>2100</v>
      </c>
      <c r="J73" s="4" t="s">
        <v>2153</v>
      </c>
      <c r="K73">
        <v>13</v>
      </c>
      <c r="L73">
        <v>3.9624000000000001</v>
      </c>
      <c r="M73">
        <v>19.049999999999997</v>
      </c>
      <c r="N73">
        <v>146.05000000000001</v>
      </c>
      <c r="O73">
        <v>156</v>
      </c>
      <c r="P73">
        <v>0.74999999999999989</v>
      </c>
      <c r="Q73">
        <v>5.7500000000000009</v>
      </c>
      <c r="R73">
        <v>1179.203</v>
      </c>
      <c r="S73">
        <v>1.1024397306E-2</v>
      </c>
      <c r="T73" s="4" t="s">
        <v>2184</v>
      </c>
    </row>
    <row r="74" spans="1:20" x14ac:dyDescent="0.2">
      <c r="A74" s="4" t="s">
        <v>2094</v>
      </c>
      <c r="B74" s="4" t="s">
        <v>2149</v>
      </c>
      <c r="C74" s="4" t="s">
        <v>2096</v>
      </c>
      <c r="D74" s="4" t="s">
        <v>2097</v>
      </c>
      <c r="E74" s="4" t="s">
        <v>109</v>
      </c>
      <c r="F74" s="4" t="s">
        <v>2182</v>
      </c>
      <c r="G74" s="4" t="s">
        <v>2132</v>
      </c>
      <c r="H74" s="4" t="s">
        <v>2183</v>
      </c>
      <c r="I74" s="4" t="s">
        <v>2100</v>
      </c>
      <c r="J74" s="4" t="s">
        <v>2153</v>
      </c>
      <c r="K74">
        <v>14</v>
      </c>
      <c r="L74">
        <v>4.2671999999999999</v>
      </c>
      <c r="M74">
        <v>19.049999999999997</v>
      </c>
      <c r="N74">
        <v>146.05000000000001</v>
      </c>
      <c r="O74">
        <v>168</v>
      </c>
      <c r="P74">
        <v>0.74999999999999989</v>
      </c>
      <c r="Q74">
        <v>5.7500000000000009</v>
      </c>
      <c r="R74">
        <v>1179.203</v>
      </c>
      <c r="S74">
        <v>1.1872427868E-2</v>
      </c>
      <c r="T74" s="4" t="s">
        <v>2184</v>
      </c>
    </row>
    <row r="75" spans="1:20" x14ac:dyDescent="0.2">
      <c r="A75" s="4" t="s">
        <v>2094</v>
      </c>
      <c r="B75" s="4" t="s">
        <v>2149</v>
      </c>
      <c r="C75" s="4" t="s">
        <v>2096</v>
      </c>
      <c r="D75" s="4" t="s">
        <v>2097</v>
      </c>
      <c r="E75" s="4" t="s">
        <v>2188</v>
      </c>
      <c r="F75" s="4" t="s">
        <v>2182</v>
      </c>
      <c r="G75" s="4" t="s">
        <v>2132</v>
      </c>
      <c r="H75" s="4" t="s">
        <v>2183</v>
      </c>
      <c r="I75" s="4" t="s">
        <v>2100</v>
      </c>
      <c r="J75" s="4" t="s">
        <v>2153</v>
      </c>
      <c r="K75">
        <v>15</v>
      </c>
      <c r="L75">
        <v>4.5720000000000001</v>
      </c>
      <c r="M75">
        <v>19.049999999999997</v>
      </c>
      <c r="N75">
        <v>146.05000000000001</v>
      </c>
      <c r="O75">
        <v>180</v>
      </c>
      <c r="P75">
        <v>0.74999999999999989</v>
      </c>
      <c r="Q75">
        <v>5.7500000000000009</v>
      </c>
      <c r="R75">
        <v>1179.203</v>
      </c>
      <c r="S75">
        <v>1.2720458430000001E-2</v>
      </c>
      <c r="T75" s="4" t="s">
        <v>2184</v>
      </c>
    </row>
    <row r="76" spans="1:20" x14ac:dyDescent="0.2">
      <c r="A76" s="4" t="s">
        <v>2094</v>
      </c>
      <c r="B76" s="4" t="s">
        <v>2149</v>
      </c>
      <c r="C76" s="4" t="s">
        <v>2096</v>
      </c>
      <c r="D76" s="4" t="s">
        <v>2097</v>
      </c>
      <c r="E76" s="4" t="s">
        <v>111</v>
      </c>
      <c r="F76" s="4" t="s">
        <v>2182</v>
      </c>
      <c r="G76" s="4" t="s">
        <v>2132</v>
      </c>
      <c r="H76" s="4" t="s">
        <v>2183</v>
      </c>
      <c r="I76" s="4" t="s">
        <v>2100</v>
      </c>
      <c r="J76" s="4" t="s">
        <v>2153</v>
      </c>
      <c r="K76">
        <v>16</v>
      </c>
      <c r="L76">
        <v>4.8768000000000002</v>
      </c>
      <c r="M76">
        <v>19.049999999999997</v>
      </c>
      <c r="N76">
        <v>146.05000000000001</v>
      </c>
      <c r="O76">
        <v>192.00000000000003</v>
      </c>
      <c r="P76">
        <v>0.74999999999999989</v>
      </c>
      <c r="Q76">
        <v>5.7500000000000009</v>
      </c>
      <c r="R76">
        <v>1179.203</v>
      </c>
      <c r="S76">
        <v>1.3568488992000001E-2</v>
      </c>
      <c r="T76" s="4" t="s">
        <v>2184</v>
      </c>
    </row>
    <row r="77" spans="1:20" x14ac:dyDescent="0.2">
      <c r="A77" s="4" t="s">
        <v>2094</v>
      </c>
      <c r="B77" s="4" t="s">
        <v>2149</v>
      </c>
      <c r="C77" s="4" t="s">
        <v>2096</v>
      </c>
      <c r="D77" s="4" t="s">
        <v>2097</v>
      </c>
      <c r="E77" s="4" t="s">
        <v>2189</v>
      </c>
      <c r="F77" s="4" t="s">
        <v>2182</v>
      </c>
      <c r="G77" s="4" t="s">
        <v>2132</v>
      </c>
      <c r="H77" s="4" t="s">
        <v>2183</v>
      </c>
      <c r="I77" s="4" t="s">
        <v>2100</v>
      </c>
      <c r="J77" s="4" t="s">
        <v>2153</v>
      </c>
      <c r="K77">
        <v>8</v>
      </c>
      <c r="L77">
        <v>2.4384000000000001</v>
      </c>
      <c r="M77">
        <v>19.049999999999997</v>
      </c>
      <c r="N77">
        <v>146.05000000000001</v>
      </c>
      <c r="O77">
        <v>96.000000000000014</v>
      </c>
      <c r="P77">
        <v>0.74999999999999989</v>
      </c>
      <c r="Q77">
        <v>5.7500000000000009</v>
      </c>
      <c r="R77">
        <v>1179.203</v>
      </c>
      <c r="S77">
        <v>6.7842444960000007E-3</v>
      </c>
      <c r="T77" s="4" t="s">
        <v>2184</v>
      </c>
    </row>
    <row r="78" spans="1:20" x14ac:dyDescent="0.2">
      <c r="A78" s="4" t="s">
        <v>2094</v>
      </c>
      <c r="B78" s="4" t="s">
        <v>2149</v>
      </c>
      <c r="C78" s="4" t="s">
        <v>2096</v>
      </c>
      <c r="D78" s="4" t="s">
        <v>2097</v>
      </c>
      <c r="E78" s="4" t="s">
        <v>2190</v>
      </c>
      <c r="F78" s="4" t="s">
        <v>2182</v>
      </c>
      <c r="G78" s="4" t="s">
        <v>2132</v>
      </c>
      <c r="H78" s="4" t="s">
        <v>2183</v>
      </c>
      <c r="I78" s="4" t="s">
        <v>2100</v>
      </c>
      <c r="J78" s="4" t="s">
        <v>2153</v>
      </c>
      <c r="K78">
        <v>9</v>
      </c>
      <c r="L78">
        <v>2.7431999999999999</v>
      </c>
      <c r="M78">
        <v>19.049999999999997</v>
      </c>
      <c r="N78">
        <v>146.05000000000001</v>
      </c>
      <c r="O78">
        <v>108</v>
      </c>
      <c r="P78">
        <v>0.74999999999999989</v>
      </c>
      <c r="Q78">
        <v>5.7500000000000009</v>
      </c>
      <c r="R78">
        <v>1179.203</v>
      </c>
      <c r="S78">
        <v>7.6322750579999998E-3</v>
      </c>
      <c r="T78" s="4" t="s">
        <v>2184</v>
      </c>
    </row>
    <row r="79" spans="1:20" x14ac:dyDescent="0.2">
      <c r="A79" s="4" t="s">
        <v>2094</v>
      </c>
      <c r="B79" s="4" t="s">
        <v>2130</v>
      </c>
      <c r="C79" s="4" t="s">
        <v>2096</v>
      </c>
      <c r="D79" s="4" t="s">
        <v>2097</v>
      </c>
      <c r="E79" s="4" t="s">
        <v>2191</v>
      </c>
      <c r="F79" s="4" t="s">
        <v>2192</v>
      </c>
      <c r="G79" s="4" t="s">
        <v>2132</v>
      </c>
      <c r="H79" s="4" t="s">
        <v>2183</v>
      </c>
      <c r="I79" s="4" t="s">
        <v>2100</v>
      </c>
      <c r="J79" s="4" t="s">
        <v>2111</v>
      </c>
      <c r="K79">
        <v>10</v>
      </c>
      <c r="L79">
        <v>3.048</v>
      </c>
      <c r="M79">
        <v>25.4</v>
      </c>
      <c r="N79">
        <v>146.05000000000001</v>
      </c>
      <c r="O79">
        <v>120</v>
      </c>
      <c r="P79">
        <v>1</v>
      </c>
      <c r="Q79">
        <v>5.7500000000000009</v>
      </c>
      <c r="R79">
        <v>884.40200000000004</v>
      </c>
      <c r="S79">
        <v>1.1307074160000003E-2</v>
      </c>
      <c r="T79" s="4" t="s">
        <v>2193</v>
      </c>
    </row>
    <row r="80" spans="1:20" x14ac:dyDescent="0.2">
      <c r="A80" s="4" t="s">
        <v>2094</v>
      </c>
      <c r="B80" s="4" t="s">
        <v>2130</v>
      </c>
      <c r="C80" s="4" t="s">
        <v>2096</v>
      </c>
      <c r="D80" s="4" t="s">
        <v>2097</v>
      </c>
      <c r="E80" s="4" t="s">
        <v>2194</v>
      </c>
      <c r="F80" s="4" t="s">
        <v>2192</v>
      </c>
      <c r="G80" s="4" t="s">
        <v>2132</v>
      </c>
      <c r="H80" s="4" t="s">
        <v>2183</v>
      </c>
      <c r="I80" s="4" t="s">
        <v>2100</v>
      </c>
      <c r="J80" s="4" t="s">
        <v>2111</v>
      </c>
      <c r="K80">
        <v>11</v>
      </c>
      <c r="L80">
        <v>3.3527999999999998</v>
      </c>
      <c r="M80">
        <v>25.4</v>
      </c>
      <c r="N80">
        <v>146.05000000000001</v>
      </c>
      <c r="O80">
        <v>132</v>
      </c>
      <c r="P80">
        <v>1</v>
      </c>
      <c r="Q80">
        <v>5.7500000000000009</v>
      </c>
      <c r="R80">
        <v>884.40200000000004</v>
      </c>
      <c r="S80">
        <v>1.2437781575999998E-2</v>
      </c>
      <c r="T80" s="4" t="s">
        <v>2193</v>
      </c>
    </row>
    <row r="81" spans="1:20" x14ac:dyDescent="0.2">
      <c r="A81" s="4" t="s">
        <v>2094</v>
      </c>
      <c r="B81" s="4" t="s">
        <v>2130</v>
      </c>
      <c r="C81" s="4" t="s">
        <v>2096</v>
      </c>
      <c r="D81" s="4" t="s">
        <v>2097</v>
      </c>
      <c r="E81" s="4" t="s">
        <v>113</v>
      </c>
      <c r="F81" s="4" t="s">
        <v>2192</v>
      </c>
      <c r="G81" s="4" t="s">
        <v>2132</v>
      </c>
      <c r="H81" s="4" t="s">
        <v>2183</v>
      </c>
      <c r="I81" s="4" t="s">
        <v>2100</v>
      </c>
      <c r="J81" s="4" t="s">
        <v>2111</v>
      </c>
      <c r="K81">
        <v>12</v>
      </c>
      <c r="L81">
        <v>3.6576</v>
      </c>
      <c r="M81">
        <v>25.4</v>
      </c>
      <c r="N81">
        <v>146.05000000000001</v>
      </c>
      <c r="O81">
        <v>144</v>
      </c>
      <c r="P81">
        <v>1</v>
      </c>
      <c r="Q81">
        <v>5.7500000000000009</v>
      </c>
      <c r="R81">
        <v>884.40200000000004</v>
      </c>
      <c r="S81">
        <v>1.3568488992000001E-2</v>
      </c>
      <c r="T81" s="4" t="s">
        <v>2193</v>
      </c>
    </row>
    <row r="82" spans="1:20" x14ac:dyDescent="0.2">
      <c r="A82" s="4" t="s">
        <v>2094</v>
      </c>
      <c r="B82" s="4" t="s">
        <v>2130</v>
      </c>
      <c r="C82" s="4" t="s">
        <v>2096</v>
      </c>
      <c r="D82" s="4" t="s">
        <v>2097</v>
      </c>
      <c r="E82" s="4" t="s">
        <v>2195</v>
      </c>
      <c r="F82" s="4" t="s">
        <v>2192</v>
      </c>
      <c r="G82" s="4" t="s">
        <v>2132</v>
      </c>
      <c r="H82" s="4" t="s">
        <v>2183</v>
      </c>
      <c r="I82" s="4" t="s">
        <v>2100</v>
      </c>
      <c r="J82" s="4" t="s">
        <v>2111</v>
      </c>
      <c r="K82">
        <v>13</v>
      </c>
      <c r="L82">
        <v>3.9624000000000001</v>
      </c>
      <c r="M82">
        <v>25.4</v>
      </c>
      <c r="N82">
        <v>146.05000000000001</v>
      </c>
      <c r="O82">
        <v>156</v>
      </c>
      <c r="P82">
        <v>1</v>
      </c>
      <c r="Q82">
        <v>5.7500000000000009</v>
      </c>
      <c r="R82">
        <v>884.40200000000004</v>
      </c>
      <c r="S82">
        <v>1.4699196408000001E-2</v>
      </c>
      <c r="T82" s="4" t="s">
        <v>2193</v>
      </c>
    </row>
    <row r="83" spans="1:20" x14ac:dyDescent="0.2">
      <c r="A83" s="4" t="s">
        <v>2094</v>
      </c>
      <c r="B83" s="4" t="s">
        <v>2130</v>
      </c>
      <c r="C83" s="4" t="s">
        <v>2096</v>
      </c>
      <c r="D83" s="4" t="s">
        <v>2097</v>
      </c>
      <c r="E83" s="4" t="s">
        <v>115</v>
      </c>
      <c r="F83" s="4" t="s">
        <v>2192</v>
      </c>
      <c r="G83" s="4" t="s">
        <v>2132</v>
      </c>
      <c r="H83" s="4" t="s">
        <v>2183</v>
      </c>
      <c r="I83" s="4" t="s">
        <v>2100</v>
      </c>
      <c r="J83" s="4" t="s">
        <v>2111</v>
      </c>
      <c r="K83">
        <v>14</v>
      </c>
      <c r="L83">
        <v>4.2671999999999999</v>
      </c>
      <c r="M83">
        <v>25.4</v>
      </c>
      <c r="N83">
        <v>146.05000000000001</v>
      </c>
      <c r="O83">
        <v>168</v>
      </c>
      <c r="P83">
        <v>1</v>
      </c>
      <c r="Q83">
        <v>5.7500000000000009</v>
      </c>
      <c r="R83">
        <v>884.40200000000004</v>
      </c>
      <c r="S83">
        <v>1.5829903824E-2</v>
      </c>
      <c r="T83" s="4" t="s">
        <v>2193</v>
      </c>
    </row>
    <row r="84" spans="1:20" x14ac:dyDescent="0.2">
      <c r="A84" s="4" t="s">
        <v>2094</v>
      </c>
      <c r="B84" s="4" t="s">
        <v>2130</v>
      </c>
      <c r="C84" s="4" t="s">
        <v>2096</v>
      </c>
      <c r="D84" s="4" t="s">
        <v>2097</v>
      </c>
      <c r="E84" s="4" t="s">
        <v>2196</v>
      </c>
      <c r="F84" s="4" t="s">
        <v>2192</v>
      </c>
      <c r="G84" s="4" t="s">
        <v>2132</v>
      </c>
      <c r="H84" s="4" t="s">
        <v>2183</v>
      </c>
      <c r="I84" s="4" t="s">
        <v>2100</v>
      </c>
      <c r="J84" s="4" t="s">
        <v>2111</v>
      </c>
      <c r="K84">
        <v>15</v>
      </c>
      <c r="L84">
        <v>4.5720000000000001</v>
      </c>
      <c r="M84">
        <v>25.4</v>
      </c>
      <c r="N84">
        <v>146.05000000000001</v>
      </c>
      <c r="O84">
        <v>180</v>
      </c>
      <c r="P84">
        <v>1</v>
      </c>
      <c r="Q84">
        <v>5.7500000000000009</v>
      </c>
      <c r="R84">
        <v>884.40200000000004</v>
      </c>
      <c r="S84">
        <v>1.6960611240000003E-2</v>
      </c>
      <c r="T84" s="4" t="s">
        <v>2193</v>
      </c>
    </row>
    <row r="85" spans="1:20" x14ac:dyDescent="0.2">
      <c r="A85" s="4" t="s">
        <v>2094</v>
      </c>
      <c r="B85" s="4" t="s">
        <v>2130</v>
      </c>
      <c r="C85" s="4" t="s">
        <v>2096</v>
      </c>
      <c r="D85" s="4" t="s">
        <v>2097</v>
      </c>
      <c r="E85" s="4" t="s">
        <v>117</v>
      </c>
      <c r="F85" s="4" t="s">
        <v>2192</v>
      </c>
      <c r="G85" s="4" t="s">
        <v>2132</v>
      </c>
      <c r="H85" s="4" t="s">
        <v>2183</v>
      </c>
      <c r="I85" s="4" t="s">
        <v>2100</v>
      </c>
      <c r="J85" s="4" t="s">
        <v>2111</v>
      </c>
      <c r="K85">
        <v>16</v>
      </c>
      <c r="L85">
        <v>4.8768000000000002</v>
      </c>
      <c r="M85">
        <v>25.4</v>
      </c>
      <c r="N85">
        <v>146.05000000000001</v>
      </c>
      <c r="O85">
        <v>192.00000000000003</v>
      </c>
      <c r="P85">
        <v>1</v>
      </c>
      <c r="Q85">
        <v>5.7500000000000009</v>
      </c>
      <c r="R85">
        <v>884.40200000000004</v>
      </c>
      <c r="S85">
        <v>1.8091318656000003E-2</v>
      </c>
      <c r="T85" s="4" t="s">
        <v>2193</v>
      </c>
    </row>
    <row r="86" spans="1:20" x14ac:dyDescent="0.2">
      <c r="A86" s="4" t="s">
        <v>2094</v>
      </c>
      <c r="B86" s="4" t="s">
        <v>2130</v>
      </c>
      <c r="C86" s="4" t="s">
        <v>2096</v>
      </c>
      <c r="D86" s="4" t="s">
        <v>2097</v>
      </c>
      <c r="E86" s="4" t="s">
        <v>2197</v>
      </c>
      <c r="F86" s="4" t="s">
        <v>2192</v>
      </c>
      <c r="G86" s="4" t="s">
        <v>2132</v>
      </c>
      <c r="H86" s="4" t="s">
        <v>2183</v>
      </c>
      <c r="I86" s="4" t="s">
        <v>2100</v>
      </c>
      <c r="J86" s="4" t="s">
        <v>2111</v>
      </c>
      <c r="K86">
        <v>8</v>
      </c>
      <c r="L86">
        <v>2.4384000000000001</v>
      </c>
      <c r="M86">
        <v>25.4</v>
      </c>
      <c r="N86">
        <v>146.05000000000001</v>
      </c>
      <c r="O86">
        <v>96.000000000000014</v>
      </c>
      <c r="P86">
        <v>1</v>
      </c>
      <c r="Q86">
        <v>5.7500000000000009</v>
      </c>
      <c r="R86">
        <v>884.40200000000004</v>
      </c>
      <c r="S86">
        <v>9.0456593280000015E-3</v>
      </c>
      <c r="T86" s="4" t="s">
        <v>2193</v>
      </c>
    </row>
    <row r="87" spans="1:20" x14ac:dyDescent="0.2">
      <c r="A87" s="4" t="s">
        <v>2094</v>
      </c>
      <c r="B87" s="4" t="s">
        <v>2130</v>
      </c>
      <c r="C87" s="4" t="s">
        <v>2096</v>
      </c>
      <c r="D87" s="4" t="s">
        <v>2097</v>
      </c>
      <c r="E87" s="4" t="s">
        <v>2198</v>
      </c>
      <c r="F87" s="4" t="s">
        <v>2192</v>
      </c>
      <c r="G87" s="4" t="s">
        <v>2132</v>
      </c>
      <c r="H87" s="4" t="s">
        <v>2183</v>
      </c>
      <c r="I87" s="4" t="s">
        <v>2100</v>
      </c>
      <c r="J87" s="4" t="s">
        <v>2111</v>
      </c>
      <c r="K87">
        <v>9</v>
      </c>
      <c r="L87">
        <v>2.7431999999999999</v>
      </c>
      <c r="M87">
        <v>25.4</v>
      </c>
      <c r="N87">
        <v>146.05000000000001</v>
      </c>
      <c r="O87">
        <v>108</v>
      </c>
      <c r="P87">
        <v>1</v>
      </c>
      <c r="Q87">
        <v>5.7500000000000009</v>
      </c>
      <c r="R87">
        <v>884.40200000000004</v>
      </c>
      <c r="S87">
        <v>1.0176366744E-2</v>
      </c>
      <c r="T87" s="4" t="s">
        <v>2193</v>
      </c>
    </row>
    <row r="88" spans="1:20" x14ac:dyDescent="0.2">
      <c r="A88" s="4" t="s">
        <v>2094</v>
      </c>
      <c r="B88" s="4" t="s">
        <v>2130</v>
      </c>
      <c r="C88" s="4" t="s">
        <v>2096</v>
      </c>
      <c r="D88" s="4" t="s">
        <v>2097</v>
      </c>
      <c r="E88" s="4" t="s">
        <v>2199</v>
      </c>
      <c r="F88" s="4" t="s">
        <v>6151</v>
      </c>
      <c r="G88" s="4" t="s">
        <v>2132</v>
      </c>
      <c r="H88" s="4" t="s">
        <v>2183</v>
      </c>
      <c r="I88" s="4" t="s">
        <v>6149</v>
      </c>
      <c r="J88" s="4" t="s">
        <v>2111</v>
      </c>
      <c r="K88">
        <v>10</v>
      </c>
      <c r="L88">
        <v>3.048</v>
      </c>
      <c r="M88">
        <v>25.4</v>
      </c>
      <c r="N88">
        <v>146.05000000000001</v>
      </c>
      <c r="O88">
        <v>120</v>
      </c>
      <c r="P88">
        <v>1</v>
      </c>
      <c r="Q88">
        <v>5.7500000000000009</v>
      </c>
      <c r="R88">
        <v>884.40200000000004</v>
      </c>
      <c r="S88">
        <v>1.1307074160000003E-2</v>
      </c>
      <c r="T88" s="4" t="s">
        <v>6152</v>
      </c>
    </row>
    <row r="89" spans="1:20" x14ac:dyDescent="0.2">
      <c r="A89" s="4" t="s">
        <v>2094</v>
      </c>
      <c r="B89" s="4" t="s">
        <v>2130</v>
      </c>
      <c r="C89" s="4" t="s">
        <v>2096</v>
      </c>
      <c r="D89" s="4" t="s">
        <v>2097</v>
      </c>
      <c r="E89" s="4" t="s">
        <v>2200</v>
      </c>
      <c r="F89" s="4" t="s">
        <v>6151</v>
      </c>
      <c r="G89" s="4" t="s">
        <v>2132</v>
      </c>
      <c r="H89" s="4" t="s">
        <v>2183</v>
      </c>
      <c r="I89" s="4" t="s">
        <v>6149</v>
      </c>
      <c r="J89" s="4" t="s">
        <v>2111</v>
      </c>
      <c r="K89">
        <v>11</v>
      </c>
      <c r="L89">
        <v>3.3527999999999998</v>
      </c>
      <c r="M89">
        <v>25.4</v>
      </c>
      <c r="N89">
        <v>146.05000000000001</v>
      </c>
      <c r="O89">
        <v>132</v>
      </c>
      <c r="P89">
        <v>1</v>
      </c>
      <c r="Q89">
        <v>5.7500000000000009</v>
      </c>
      <c r="R89">
        <v>884.40200000000004</v>
      </c>
      <c r="S89">
        <v>1.2437781575999998E-2</v>
      </c>
      <c r="T89" s="4" t="s">
        <v>6152</v>
      </c>
    </row>
    <row r="90" spans="1:20" x14ac:dyDescent="0.2">
      <c r="A90" s="4" t="s">
        <v>2094</v>
      </c>
      <c r="B90" s="4" t="s">
        <v>2130</v>
      </c>
      <c r="C90" s="4" t="s">
        <v>2096</v>
      </c>
      <c r="D90" s="4" t="s">
        <v>2097</v>
      </c>
      <c r="E90" s="4" t="s">
        <v>2201</v>
      </c>
      <c r="F90" s="4" t="s">
        <v>6151</v>
      </c>
      <c r="G90" s="4" t="s">
        <v>2132</v>
      </c>
      <c r="H90" s="4" t="s">
        <v>2183</v>
      </c>
      <c r="I90" s="4" t="s">
        <v>6149</v>
      </c>
      <c r="J90" s="4" t="s">
        <v>2111</v>
      </c>
      <c r="K90">
        <v>12</v>
      </c>
      <c r="L90">
        <v>3.6576</v>
      </c>
      <c r="M90">
        <v>25.4</v>
      </c>
      <c r="N90">
        <v>146.05000000000001</v>
      </c>
      <c r="O90">
        <v>144</v>
      </c>
      <c r="P90">
        <v>1</v>
      </c>
      <c r="Q90">
        <v>5.7500000000000009</v>
      </c>
      <c r="R90">
        <v>884.40200000000004</v>
      </c>
      <c r="S90">
        <v>1.3568488992000001E-2</v>
      </c>
      <c r="T90" s="4" t="s">
        <v>6152</v>
      </c>
    </row>
    <row r="91" spans="1:20" x14ac:dyDescent="0.2">
      <c r="A91" s="4" t="s">
        <v>2094</v>
      </c>
      <c r="B91" s="4" t="s">
        <v>2130</v>
      </c>
      <c r="C91" s="4" t="s">
        <v>2096</v>
      </c>
      <c r="D91" s="4" t="s">
        <v>2097</v>
      </c>
      <c r="E91" s="4" t="s">
        <v>2202</v>
      </c>
      <c r="F91" s="4" t="s">
        <v>6151</v>
      </c>
      <c r="G91" s="4" t="s">
        <v>2132</v>
      </c>
      <c r="H91" s="4" t="s">
        <v>2183</v>
      </c>
      <c r="I91" s="4" t="s">
        <v>6149</v>
      </c>
      <c r="J91" s="4" t="s">
        <v>2111</v>
      </c>
      <c r="K91">
        <v>13</v>
      </c>
      <c r="L91">
        <v>3.9624000000000001</v>
      </c>
      <c r="M91">
        <v>25.4</v>
      </c>
      <c r="N91">
        <v>146.05000000000001</v>
      </c>
      <c r="O91">
        <v>156</v>
      </c>
      <c r="P91">
        <v>1</v>
      </c>
      <c r="Q91">
        <v>5.7500000000000009</v>
      </c>
      <c r="R91">
        <v>884.40200000000004</v>
      </c>
      <c r="S91">
        <v>1.4699196408000001E-2</v>
      </c>
      <c r="T91" s="4" t="s">
        <v>6152</v>
      </c>
    </row>
    <row r="92" spans="1:20" x14ac:dyDescent="0.2">
      <c r="A92" s="4" t="s">
        <v>2094</v>
      </c>
      <c r="B92" s="4" t="s">
        <v>2130</v>
      </c>
      <c r="C92" s="4" t="s">
        <v>2096</v>
      </c>
      <c r="D92" s="4" t="s">
        <v>2097</v>
      </c>
      <c r="E92" s="4" t="s">
        <v>2203</v>
      </c>
      <c r="F92" s="4" t="s">
        <v>6151</v>
      </c>
      <c r="G92" s="4" t="s">
        <v>2132</v>
      </c>
      <c r="H92" s="4" t="s">
        <v>2183</v>
      </c>
      <c r="I92" s="4" t="s">
        <v>6149</v>
      </c>
      <c r="J92" s="4" t="s">
        <v>2111</v>
      </c>
      <c r="K92">
        <v>14</v>
      </c>
      <c r="L92">
        <v>4.2671999999999999</v>
      </c>
      <c r="M92">
        <v>25.4</v>
      </c>
      <c r="N92">
        <v>146.05000000000001</v>
      </c>
      <c r="O92">
        <v>168</v>
      </c>
      <c r="P92">
        <v>1</v>
      </c>
      <c r="Q92">
        <v>5.7500000000000009</v>
      </c>
      <c r="R92">
        <v>884.40200000000004</v>
      </c>
      <c r="S92">
        <v>1.5829903824E-2</v>
      </c>
      <c r="T92" s="4" t="s">
        <v>6152</v>
      </c>
    </row>
    <row r="93" spans="1:20" x14ac:dyDescent="0.2">
      <c r="A93" s="4" t="s">
        <v>2094</v>
      </c>
      <c r="B93" s="4" t="s">
        <v>2130</v>
      </c>
      <c r="C93" s="4" t="s">
        <v>2096</v>
      </c>
      <c r="D93" s="4" t="s">
        <v>2097</v>
      </c>
      <c r="E93" s="4" t="s">
        <v>2204</v>
      </c>
      <c r="F93" s="4" t="s">
        <v>6151</v>
      </c>
      <c r="G93" s="4" t="s">
        <v>2132</v>
      </c>
      <c r="H93" s="4" t="s">
        <v>2183</v>
      </c>
      <c r="I93" s="4" t="s">
        <v>6149</v>
      </c>
      <c r="J93" s="4" t="s">
        <v>2111</v>
      </c>
      <c r="K93">
        <v>15</v>
      </c>
      <c r="L93">
        <v>4.5720000000000001</v>
      </c>
      <c r="M93">
        <v>25.4</v>
      </c>
      <c r="N93">
        <v>146.05000000000001</v>
      </c>
      <c r="O93">
        <v>180</v>
      </c>
      <c r="P93">
        <v>1</v>
      </c>
      <c r="Q93">
        <v>5.7500000000000009</v>
      </c>
      <c r="R93">
        <v>884.40200000000004</v>
      </c>
      <c r="S93">
        <v>1.6960611240000003E-2</v>
      </c>
      <c r="T93" s="4" t="s">
        <v>6152</v>
      </c>
    </row>
    <row r="94" spans="1:20" x14ac:dyDescent="0.2">
      <c r="A94" s="4" t="s">
        <v>2094</v>
      </c>
      <c r="B94" s="4" t="s">
        <v>2130</v>
      </c>
      <c r="C94" s="4" t="s">
        <v>2096</v>
      </c>
      <c r="D94" s="4" t="s">
        <v>2097</v>
      </c>
      <c r="E94" s="4" t="s">
        <v>2205</v>
      </c>
      <c r="F94" s="4" t="s">
        <v>6151</v>
      </c>
      <c r="G94" s="4" t="s">
        <v>2132</v>
      </c>
      <c r="H94" s="4" t="s">
        <v>2183</v>
      </c>
      <c r="I94" s="4" t="s">
        <v>6149</v>
      </c>
      <c r="J94" s="4" t="s">
        <v>2111</v>
      </c>
      <c r="K94">
        <v>16</v>
      </c>
      <c r="L94">
        <v>4.8768000000000002</v>
      </c>
      <c r="M94">
        <v>25.4</v>
      </c>
      <c r="N94">
        <v>146.05000000000001</v>
      </c>
      <c r="O94">
        <v>192.00000000000003</v>
      </c>
      <c r="P94">
        <v>1</v>
      </c>
      <c r="Q94">
        <v>5.7500000000000009</v>
      </c>
      <c r="R94">
        <v>884.40200000000004</v>
      </c>
      <c r="S94">
        <v>1.8091318656000003E-2</v>
      </c>
      <c r="T94" s="4" t="s">
        <v>6152</v>
      </c>
    </row>
    <row r="95" spans="1:20" x14ac:dyDescent="0.2">
      <c r="A95" s="4" t="s">
        <v>2094</v>
      </c>
      <c r="B95" s="4" t="s">
        <v>2130</v>
      </c>
      <c r="C95" s="4" t="s">
        <v>2096</v>
      </c>
      <c r="D95" s="4" t="s">
        <v>2097</v>
      </c>
      <c r="E95" s="4" t="s">
        <v>2206</v>
      </c>
      <c r="F95" s="4" t="s">
        <v>6151</v>
      </c>
      <c r="G95" s="4" t="s">
        <v>2132</v>
      </c>
      <c r="H95" s="4" t="s">
        <v>2183</v>
      </c>
      <c r="I95" s="4" t="s">
        <v>6149</v>
      </c>
      <c r="J95" s="4" t="s">
        <v>2111</v>
      </c>
      <c r="K95">
        <v>17</v>
      </c>
      <c r="L95">
        <v>5.1816000000000004</v>
      </c>
      <c r="M95">
        <v>25.4</v>
      </c>
      <c r="N95">
        <v>146.05000000000001</v>
      </c>
      <c r="O95">
        <v>204.00000000000003</v>
      </c>
      <c r="P95">
        <v>1</v>
      </c>
      <c r="Q95">
        <v>5.7500000000000009</v>
      </c>
      <c r="R95">
        <v>884.40200000000004</v>
      </c>
      <c r="S95">
        <v>1.9222026072000003E-2</v>
      </c>
      <c r="T95" s="4" t="s">
        <v>6152</v>
      </c>
    </row>
    <row r="96" spans="1:20" x14ac:dyDescent="0.2">
      <c r="A96" s="4" t="s">
        <v>2094</v>
      </c>
      <c r="B96" s="4" t="s">
        <v>2130</v>
      </c>
      <c r="C96" s="4" t="s">
        <v>2096</v>
      </c>
      <c r="D96" s="4" t="s">
        <v>2097</v>
      </c>
      <c r="E96" s="4" t="s">
        <v>2207</v>
      </c>
      <c r="F96" s="4" t="s">
        <v>6151</v>
      </c>
      <c r="G96" s="4" t="s">
        <v>2132</v>
      </c>
      <c r="H96" s="4" t="s">
        <v>2183</v>
      </c>
      <c r="I96" s="4" t="s">
        <v>6149</v>
      </c>
      <c r="J96" s="4" t="s">
        <v>2111</v>
      </c>
      <c r="K96">
        <v>18</v>
      </c>
      <c r="L96">
        <v>5.4863999999999997</v>
      </c>
      <c r="M96">
        <v>25.4</v>
      </c>
      <c r="N96">
        <v>146.05000000000001</v>
      </c>
      <c r="O96">
        <v>216</v>
      </c>
      <c r="P96">
        <v>1</v>
      </c>
      <c r="Q96">
        <v>5.7500000000000009</v>
      </c>
      <c r="R96">
        <v>884.40200000000004</v>
      </c>
      <c r="S96">
        <v>2.0352733487999999E-2</v>
      </c>
      <c r="T96" s="4" t="s">
        <v>6152</v>
      </c>
    </row>
    <row r="97" spans="1:20" x14ac:dyDescent="0.2">
      <c r="A97" s="4" t="s">
        <v>2094</v>
      </c>
      <c r="B97" s="4" t="s">
        <v>2130</v>
      </c>
      <c r="C97" s="4" t="s">
        <v>2096</v>
      </c>
      <c r="D97" s="4" t="s">
        <v>2097</v>
      </c>
      <c r="E97" s="4" t="s">
        <v>2208</v>
      </c>
      <c r="F97" s="4" t="s">
        <v>6151</v>
      </c>
      <c r="G97" s="4" t="s">
        <v>2132</v>
      </c>
      <c r="H97" s="4" t="s">
        <v>2183</v>
      </c>
      <c r="I97" s="4" t="s">
        <v>6149</v>
      </c>
      <c r="J97" s="4" t="s">
        <v>2111</v>
      </c>
      <c r="K97">
        <v>19</v>
      </c>
      <c r="L97">
        <v>5.7911999999999999</v>
      </c>
      <c r="M97">
        <v>25.4</v>
      </c>
      <c r="N97">
        <v>146.05000000000001</v>
      </c>
      <c r="O97">
        <v>228</v>
      </c>
      <c r="P97">
        <v>1</v>
      </c>
      <c r="Q97">
        <v>5.7500000000000009</v>
      </c>
      <c r="R97">
        <v>884.40200000000004</v>
      </c>
      <c r="S97">
        <v>2.1483440903999999E-2</v>
      </c>
      <c r="T97" s="4" t="s">
        <v>6152</v>
      </c>
    </row>
    <row r="98" spans="1:20" x14ac:dyDescent="0.2">
      <c r="A98" s="4" t="s">
        <v>2094</v>
      </c>
      <c r="B98" s="4" t="s">
        <v>2130</v>
      </c>
      <c r="C98" s="4" t="s">
        <v>2096</v>
      </c>
      <c r="D98" s="4" t="s">
        <v>2097</v>
      </c>
      <c r="E98" s="4" t="s">
        <v>2209</v>
      </c>
      <c r="F98" s="4" t="s">
        <v>6151</v>
      </c>
      <c r="G98" s="4" t="s">
        <v>2132</v>
      </c>
      <c r="H98" s="4" t="s">
        <v>2183</v>
      </c>
      <c r="I98" s="4" t="s">
        <v>6149</v>
      </c>
      <c r="J98" s="4" t="s">
        <v>2111</v>
      </c>
      <c r="K98">
        <v>20</v>
      </c>
      <c r="L98">
        <v>6.0960000000000001</v>
      </c>
      <c r="M98">
        <v>25.4</v>
      </c>
      <c r="N98">
        <v>146.05000000000001</v>
      </c>
      <c r="O98">
        <v>240</v>
      </c>
      <c r="P98">
        <v>1</v>
      </c>
      <c r="Q98">
        <v>5.7500000000000009</v>
      </c>
      <c r="R98">
        <v>884.40200000000004</v>
      </c>
      <c r="S98">
        <v>2.2614148320000006E-2</v>
      </c>
      <c r="T98" s="4" t="s">
        <v>6152</v>
      </c>
    </row>
    <row r="99" spans="1:20" x14ac:dyDescent="0.2">
      <c r="A99" s="4" t="s">
        <v>2094</v>
      </c>
      <c r="B99" s="4" t="s">
        <v>2130</v>
      </c>
      <c r="C99" s="4" t="s">
        <v>2096</v>
      </c>
      <c r="D99" s="4" t="s">
        <v>2097</v>
      </c>
      <c r="E99" s="4" t="s">
        <v>2210</v>
      </c>
      <c r="F99" s="4" t="s">
        <v>6151</v>
      </c>
      <c r="G99" s="4" t="s">
        <v>2132</v>
      </c>
      <c r="H99" s="4" t="s">
        <v>2183</v>
      </c>
      <c r="I99" s="4" t="s">
        <v>6149</v>
      </c>
      <c r="J99" s="4" t="s">
        <v>2111</v>
      </c>
      <c r="K99">
        <v>21</v>
      </c>
      <c r="L99">
        <v>6.4008000000000003</v>
      </c>
      <c r="M99">
        <v>25.4</v>
      </c>
      <c r="N99">
        <v>146.05000000000001</v>
      </c>
      <c r="O99">
        <v>252.00000000000003</v>
      </c>
      <c r="P99">
        <v>1</v>
      </c>
      <c r="Q99">
        <v>5.7500000000000009</v>
      </c>
      <c r="R99">
        <v>884.40200000000004</v>
      </c>
      <c r="S99">
        <v>2.3744855736000003E-2</v>
      </c>
      <c r="T99" s="4" t="s">
        <v>6152</v>
      </c>
    </row>
    <row r="100" spans="1:20" x14ac:dyDescent="0.2">
      <c r="A100" s="4" t="s">
        <v>2094</v>
      </c>
      <c r="B100" s="4" t="s">
        <v>2130</v>
      </c>
      <c r="C100" s="4" t="s">
        <v>2096</v>
      </c>
      <c r="D100" s="4" t="s">
        <v>2097</v>
      </c>
      <c r="E100" s="4" t="s">
        <v>2211</v>
      </c>
      <c r="F100" s="4" t="s">
        <v>6151</v>
      </c>
      <c r="G100" s="4" t="s">
        <v>2132</v>
      </c>
      <c r="H100" s="4" t="s">
        <v>2183</v>
      </c>
      <c r="I100" s="4" t="s">
        <v>6149</v>
      </c>
      <c r="J100" s="4" t="s">
        <v>2111</v>
      </c>
      <c r="K100">
        <v>22</v>
      </c>
      <c r="L100">
        <v>6.7055999999999996</v>
      </c>
      <c r="M100">
        <v>25.4</v>
      </c>
      <c r="N100">
        <v>146.05000000000001</v>
      </c>
      <c r="O100">
        <v>264</v>
      </c>
      <c r="P100">
        <v>1</v>
      </c>
      <c r="Q100">
        <v>5.7500000000000009</v>
      </c>
      <c r="R100">
        <v>884.40200000000004</v>
      </c>
      <c r="S100">
        <v>2.4875563151999996E-2</v>
      </c>
      <c r="T100" s="4" t="s">
        <v>6152</v>
      </c>
    </row>
    <row r="101" spans="1:20" x14ac:dyDescent="0.2">
      <c r="A101" s="4" t="s">
        <v>2094</v>
      </c>
      <c r="B101" s="4" t="s">
        <v>2130</v>
      </c>
      <c r="C101" s="4" t="s">
        <v>2096</v>
      </c>
      <c r="D101" s="4" t="s">
        <v>2097</v>
      </c>
      <c r="E101" s="4" t="s">
        <v>2212</v>
      </c>
      <c r="F101" s="4" t="s">
        <v>6151</v>
      </c>
      <c r="G101" s="4" t="s">
        <v>2132</v>
      </c>
      <c r="H101" s="4" t="s">
        <v>2183</v>
      </c>
      <c r="I101" s="4" t="s">
        <v>6149</v>
      </c>
      <c r="J101" s="4" t="s">
        <v>2111</v>
      </c>
      <c r="K101">
        <v>8</v>
      </c>
      <c r="L101">
        <v>2.4384000000000001</v>
      </c>
      <c r="M101">
        <v>25.4</v>
      </c>
      <c r="N101">
        <v>146.05000000000001</v>
      </c>
      <c r="O101">
        <v>96.000000000000014</v>
      </c>
      <c r="P101">
        <v>1</v>
      </c>
      <c r="Q101">
        <v>5.7500000000000009</v>
      </c>
      <c r="R101">
        <v>884.40200000000004</v>
      </c>
      <c r="S101">
        <v>9.0456593280000015E-3</v>
      </c>
      <c r="T101" s="4" t="s">
        <v>6152</v>
      </c>
    </row>
    <row r="102" spans="1:20" x14ac:dyDescent="0.2">
      <c r="A102" s="4" t="s">
        <v>2094</v>
      </c>
      <c r="B102" s="4" t="s">
        <v>2130</v>
      </c>
      <c r="C102" s="4" t="s">
        <v>2096</v>
      </c>
      <c r="D102" s="4" t="s">
        <v>2097</v>
      </c>
      <c r="E102" s="4" t="s">
        <v>2213</v>
      </c>
      <c r="F102" s="4" t="s">
        <v>6151</v>
      </c>
      <c r="G102" s="4" t="s">
        <v>2132</v>
      </c>
      <c r="H102" s="4" t="s">
        <v>2183</v>
      </c>
      <c r="I102" s="4" t="s">
        <v>6149</v>
      </c>
      <c r="J102" s="4" t="s">
        <v>2111</v>
      </c>
      <c r="K102">
        <v>9</v>
      </c>
      <c r="L102">
        <v>2.7431999999999999</v>
      </c>
      <c r="M102">
        <v>25.4</v>
      </c>
      <c r="N102">
        <v>146.05000000000001</v>
      </c>
      <c r="O102">
        <v>108</v>
      </c>
      <c r="P102">
        <v>1</v>
      </c>
      <c r="Q102">
        <v>5.7500000000000009</v>
      </c>
      <c r="R102">
        <v>884.40200000000004</v>
      </c>
      <c r="S102">
        <v>1.0176366744E-2</v>
      </c>
      <c r="T102" s="4" t="s">
        <v>6152</v>
      </c>
    </row>
    <row r="103" spans="1:20" x14ac:dyDescent="0.2">
      <c r="A103" s="4" t="s">
        <v>2094</v>
      </c>
      <c r="B103" s="4" t="s">
        <v>2149</v>
      </c>
      <c r="C103" s="4" t="s">
        <v>2096</v>
      </c>
      <c r="D103" s="4" t="s">
        <v>2097</v>
      </c>
      <c r="E103" s="4" t="s">
        <v>2045</v>
      </c>
      <c r="F103" s="4" t="s">
        <v>2214</v>
      </c>
      <c r="G103" s="4" t="s">
        <v>2132</v>
      </c>
      <c r="H103" s="4" t="s">
        <v>2183</v>
      </c>
      <c r="I103" s="4" t="s">
        <v>2152</v>
      </c>
      <c r="J103" s="4" t="s">
        <v>2153</v>
      </c>
      <c r="K103">
        <v>10</v>
      </c>
      <c r="L103">
        <v>3.048</v>
      </c>
      <c r="M103">
        <v>19.049999999999997</v>
      </c>
      <c r="N103">
        <v>146.05000000000001</v>
      </c>
      <c r="O103">
        <v>120</v>
      </c>
      <c r="P103">
        <v>0.74999999999999989</v>
      </c>
      <c r="Q103">
        <v>5.7500000000000009</v>
      </c>
      <c r="R103">
        <v>1179.203</v>
      </c>
      <c r="S103">
        <v>8.4803056199999997E-3</v>
      </c>
      <c r="T103" s="4" t="s">
        <v>2215</v>
      </c>
    </row>
    <row r="104" spans="1:20" x14ac:dyDescent="0.2">
      <c r="A104" s="4" t="s">
        <v>2094</v>
      </c>
      <c r="B104" s="4" t="s">
        <v>2149</v>
      </c>
      <c r="C104" s="4" t="s">
        <v>2096</v>
      </c>
      <c r="D104" s="4" t="s">
        <v>2097</v>
      </c>
      <c r="E104" s="4" t="s">
        <v>2216</v>
      </c>
      <c r="F104" s="4" t="s">
        <v>2214</v>
      </c>
      <c r="G104" s="4" t="s">
        <v>2132</v>
      </c>
      <c r="H104" s="4" t="s">
        <v>2183</v>
      </c>
      <c r="I104" s="4" t="s">
        <v>2152</v>
      </c>
      <c r="J104" s="4" t="s">
        <v>2153</v>
      </c>
      <c r="K104">
        <v>11</v>
      </c>
      <c r="L104">
        <v>3.3527999999999998</v>
      </c>
      <c r="M104">
        <v>19.049999999999997</v>
      </c>
      <c r="N104">
        <v>146.05000000000001</v>
      </c>
      <c r="O104">
        <v>132</v>
      </c>
      <c r="P104">
        <v>0.74999999999999989</v>
      </c>
      <c r="Q104">
        <v>5.7500000000000009</v>
      </c>
      <c r="R104">
        <v>1179.203</v>
      </c>
      <c r="S104">
        <v>9.3283361819999997E-3</v>
      </c>
      <c r="T104" s="4" t="s">
        <v>2215</v>
      </c>
    </row>
    <row r="105" spans="1:20" x14ac:dyDescent="0.2">
      <c r="A105" s="4" t="s">
        <v>2094</v>
      </c>
      <c r="B105" s="4" t="s">
        <v>2149</v>
      </c>
      <c r="C105" s="4" t="s">
        <v>2096</v>
      </c>
      <c r="D105" s="4" t="s">
        <v>2097</v>
      </c>
      <c r="E105" s="4" t="s">
        <v>2047</v>
      </c>
      <c r="F105" s="4" t="s">
        <v>2214</v>
      </c>
      <c r="G105" s="4" t="s">
        <v>2132</v>
      </c>
      <c r="H105" s="4" t="s">
        <v>2183</v>
      </c>
      <c r="I105" s="4" t="s">
        <v>2152</v>
      </c>
      <c r="J105" s="4" t="s">
        <v>2153</v>
      </c>
      <c r="K105">
        <v>12</v>
      </c>
      <c r="L105">
        <v>3.6576</v>
      </c>
      <c r="M105">
        <v>19.049999999999997</v>
      </c>
      <c r="N105">
        <v>146.05000000000001</v>
      </c>
      <c r="O105">
        <v>144</v>
      </c>
      <c r="P105">
        <v>0.74999999999999989</v>
      </c>
      <c r="Q105">
        <v>5.7500000000000009</v>
      </c>
      <c r="R105">
        <v>1179.203</v>
      </c>
      <c r="S105">
        <v>1.0176366743999998E-2</v>
      </c>
      <c r="T105" s="4" t="s">
        <v>2215</v>
      </c>
    </row>
    <row r="106" spans="1:20" x14ac:dyDescent="0.2">
      <c r="A106" s="4" t="s">
        <v>2094</v>
      </c>
      <c r="B106" s="4" t="s">
        <v>2149</v>
      </c>
      <c r="C106" s="4" t="s">
        <v>2096</v>
      </c>
      <c r="D106" s="4" t="s">
        <v>2097</v>
      </c>
      <c r="E106" s="4" t="s">
        <v>2217</v>
      </c>
      <c r="F106" s="4" t="s">
        <v>2214</v>
      </c>
      <c r="G106" s="4" t="s">
        <v>2132</v>
      </c>
      <c r="H106" s="4" t="s">
        <v>2183</v>
      </c>
      <c r="I106" s="4" t="s">
        <v>2152</v>
      </c>
      <c r="J106" s="4" t="s">
        <v>2153</v>
      </c>
      <c r="K106">
        <v>13</v>
      </c>
      <c r="L106">
        <v>3.9624000000000001</v>
      </c>
      <c r="M106">
        <v>19.049999999999997</v>
      </c>
      <c r="N106">
        <v>146.05000000000001</v>
      </c>
      <c r="O106">
        <v>156</v>
      </c>
      <c r="P106">
        <v>0.74999999999999989</v>
      </c>
      <c r="Q106">
        <v>5.7500000000000009</v>
      </c>
      <c r="R106">
        <v>1179.203</v>
      </c>
      <c r="S106">
        <v>1.1024397306E-2</v>
      </c>
      <c r="T106" s="4" t="s">
        <v>2215</v>
      </c>
    </row>
    <row r="107" spans="1:20" x14ac:dyDescent="0.2">
      <c r="A107" s="4" t="s">
        <v>2094</v>
      </c>
      <c r="B107" s="4" t="s">
        <v>2149</v>
      </c>
      <c r="C107" s="4" t="s">
        <v>2096</v>
      </c>
      <c r="D107" s="4" t="s">
        <v>2097</v>
      </c>
      <c r="E107" s="4" t="s">
        <v>2049</v>
      </c>
      <c r="F107" s="4" t="s">
        <v>2214</v>
      </c>
      <c r="G107" s="4" t="s">
        <v>2132</v>
      </c>
      <c r="H107" s="4" t="s">
        <v>2183</v>
      </c>
      <c r="I107" s="4" t="s">
        <v>2152</v>
      </c>
      <c r="J107" s="4" t="s">
        <v>2153</v>
      </c>
      <c r="K107">
        <v>14</v>
      </c>
      <c r="L107">
        <v>4.2671999999999999</v>
      </c>
      <c r="M107">
        <v>19.049999999999997</v>
      </c>
      <c r="N107">
        <v>146.05000000000001</v>
      </c>
      <c r="O107">
        <v>168</v>
      </c>
      <c r="P107">
        <v>0.74999999999999989</v>
      </c>
      <c r="Q107">
        <v>5.7500000000000009</v>
      </c>
      <c r="R107">
        <v>1179.203</v>
      </c>
      <c r="S107">
        <v>1.1872427868E-2</v>
      </c>
      <c r="T107" s="4" t="s">
        <v>2215</v>
      </c>
    </row>
    <row r="108" spans="1:20" x14ac:dyDescent="0.2">
      <c r="A108" s="4" t="s">
        <v>2094</v>
      </c>
      <c r="B108" s="4" t="s">
        <v>2149</v>
      </c>
      <c r="C108" s="4" t="s">
        <v>2096</v>
      </c>
      <c r="D108" s="4" t="s">
        <v>2097</v>
      </c>
      <c r="E108" s="4" t="s">
        <v>2218</v>
      </c>
      <c r="F108" s="4" t="s">
        <v>2214</v>
      </c>
      <c r="G108" s="4" t="s">
        <v>2132</v>
      </c>
      <c r="H108" s="4" t="s">
        <v>2183</v>
      </c>
      <c r="I108" s="4" t="s">
        <v>2152</v>
      </c>
      <c r="J108" s="4" t="s">
        <v>2153</v>
      </c>
      <c r="K108">
        <v>15</v>
      </c>
      <c r="L108">
        <v>4.5720000000000001</v>
      </c>
      <c r="M108">
        <v>19.049999999999997</v>
      </c>
      <c r="N108">
        <v>146.05000000000001</v>
      </c>
      <c r="O108">
        <v>180</v>
      </c>
      <c r="P108">
        <v>0.74999999999999989</v>
      </c>
      <c r="Q108">
        <v>5.7500000000000009</v>
      </c>
      <c r="R108">
        <v>1179.203</v>
      </c>
      <c r="S108">
        <v>1.2720458430000001E-2</v>
      </c>
      <c r="T108" s="4" t="s">
        <v>2215</v>
      </c>
    </row>
    <row r="109" spans="1:20" x14ac:dyDescent="0.2">
      <c r="A109" s="4" t="s">
        <v>2094</v>
      </c>
      <c r="B109" s="4" t="s">
        <v>2149</v>
      </c>
      <c r="C109" s="4" t="s">
        <v>2096</v>
      </c>
      <c r="D109" s="4" t="s">
        <v>2097</v>
      </c>
      <c r="E109" s="4" t="s">
        <v>2051</v>
      </c>
      <c r="F109" s="4" t="s">
        <v>2214</v>
      </c>
      <c r="G109" s="4" t="s">
        <v>2132</v>
      </c>
      <c r="H109" s="4" t="s">
        <v>2183</v>
      </c>
      <c r="I109" s="4" t="s">
        <v>2152</v>
      </c>
      <c r="J109" s="4" t="s">
        <v>2153</v>
      </c>
      <c r="K109">
        <v>16</v>
      </c>
      <c r="L109">
        <v>4.8768000000000002</v>
      </c>
      <c r="M109">
        <v>19.049999999999997</v>
      </c>
      <c r="N109">
        <v>146.05000000000001</v>
      </c>
      <c r="O109">
        <v>192.00000000000003</v>
      </c>
      <c r="P109">
        <v>0.74999999999999989</v>
      </c>
      <c r="Q109">
        <v>5.7500000000000009</v>
      </c>
      <c r="R109">
        <v>1179.203</v>
      </c>
      <c r="S109">
        <v>1.3568488992000001E-2</v>
      </c>
      <c r="T109" s="4" t="s">
        <v>2215</v>
      </c>
    </row>
    <row r="110" spans="1:20" x14ac:dyDescent="0.2">
      <c r="A110" s="4" t="s">
        <v>2094</v>
      </c>
      <c r="B110" s="4" t="s">
        <v>2149</v>
      </c>
      <c r="C110" s="4" t="s">
        <v>2096</v>
      </c>
      <c r="D110" s="4" t="s">
        <v>2097</v>
      </c>
      <c r="E110" s="4" t="s">
        <v>2219</v>
      </c>
      <c r="F110" s="4" t="s">
        <v>2214</v>
      </c>
      <c r="G110" s="4" t="s">
        <v>2132</v>
      </c>
      <c r="H110" s="4" t="s">
        <v>2183</v>
      </c>
      <c r="I110" s="4" t="s">
        <v>2152</v>
      </c>
      <c r="J110" s="4" t="s">
        <v>2153</v>
      </c>
      <c r="K110">
        <v>17</v>
      </c>
      <c r="L110">
        <v>5.1816000000000004</v>
      </c>
      <c r="M110">
        <v>19.049999999999997</v>
      </c>
      <c r="N110">
        <v>146.05000000000001</v>
      </c>
      <c r="O110">
        <v>204.00000000000003</v>
      </c>
      <c r="P110">
        <v>0.74999999999999989</v>
      </c>
      <c r="Q110">
        <v>5.7500000000000009</v>
      </c>
      <c r="R110">
        <v>1179.203</v>
      </c>
      <c r="S110">
        <v>1.4416519554000001E-2</v>
      </c>
      <c r="T110" s="4" t="s">
        <v>2215</v>
      </c>
    </row>
    <row r="111" spans="1:20" x14ac:dyDescent="0.2">
      <c r="A111" s="4" t="s">
        <v>2094</v>
      </c>
      <c r="B111" s="4" t="s">
        <v>2149</v>
      </c>
      <c r="C111" s="4" t="s">
        <v>2096</v>
      </c>
      <c r="D111" s="4" t="s">
        <v>2097</v>
      </c>
      <c r="E111" s="4" t="s">
        <v>2220</v>
      </c>
      <c r="F111" s="4" t="s">
        <v>2214</v>
      </c>
      <c r="G111" s="4" t="s">
        <v>2132</v>
      </c>
      <c r="H111" s="4" t="s">
        <v>2183</v>
      </c>
      <c r="I111" s="4" t="s">
        <v>2152</v>
      </c>
      <c r="J111" s="4" t="s">
        <v>2153</v>
      </c>
      <c r="K111">
        <v>18</v>
      </c>
      <c r="L111">
        <v>5.4863999999999997</v>
      </c>
      <c r="M111">
        <v>19.049999999999997</v>
      </c>
      <c r="N111">
        <v>146.05000000000001</v>
      </c>
      <c r="O111">
        <v>216</v>
      </c>
      <c r="P111">
        <v>0.74999999999999989</v>
      </c>
      <c r="Q111">
        <v>5.7500000000000009</v>
      </c>
      <c r="R111">
        <v>1179.203</v>
      </c>
      <c r="S111">
        <v>1.5264550116E-2</v>
      </c>
      <c r="T111" s="4" t="s">
        <v>2215</v>
      </c>
    </row>
    <row r="112" spans="1:20" x14ac:dyDescent="0.2">
      <c r="A112" s="4" t="s">
        <v>2094</v>
      </c>
      <c r="B112" s="4" t="s">
        <v>2149</v>
      </c>
      <c r="C112" s="4" t="s">
        <v>2096</v>
      </c>
      <c r="D112" s="4" t="s">
        <v>2097</v>
      </c>
      <c r="E112" s="4" t="s">
        <v>2221</v>
      </c>
      <c r="F112" s="4" t="s">
        <v>2214</v>
      </c>
      <c r="G112" s="4" t="s">
        <v>2132</v>
      </c>
      <c r="H112" s="4" t="s">
        <v>2183</v>
      </c>
      <c r="I112" s="4" t="s">
        <v>2152</v>
      </c>
      <c r="J112" s="4" t="s">
        <v>2153</v>
      </c>
      <c r="K112">
        <v>19</v>
      </c>
      <c r="L112">
        <v>5.7911999999999999</v>
      </c>
      <c r="M112">
        <v>19.049999999999997</v>
      </c>
      <c r="N112">
        <v>146.05000000000001</v>
      </c>
      <c r="O112">
        <v>228</v>
      </c>
      <c r="P112">
        <v>0.74999999999999989</v>
      </c>
      <c r="Q112">
        <v>5.7500000000000009</v>
      </c>
      <c r="R112">
        <v>1179.203</v>
      </c>
      <c r="S112">
        <v>1.6112580677999998E-2</v>
      </c>
      <c r="T112" s="4" t="s">
        <v>2215</v>
      </c>
    </row>
    <row r="113" spans="1:20" x14ac:dyDescent="0.2">
      <c r="A113" s="4" t="s">
        <v>2094</v>
      </c>
      <c r="B113" s="4" t="s">
        <v>2149</v>
      </c>
      <c r="C113" s="4" t="s">
        <v>2096</v>
      </c>
      <c r="D113" s="4" t="s">
        <v>2097</v>
      </c>
      <c r="E113" s="4" t="s">
        <v>2222</v>
      </c>
      <c r="F113" s="4" t="s">
        <v>2214</v>
      </c>
      <c r="G113" s="4" t="s">
        <v>2132</v>
      </c>
      <c r="H113" s="4" t="s">
        <v>2183</v>
      </c>
      <c r="I113" s="4" t="s">
        <v>2152</v>
      </c>
      <c r="J113" s="4" t="s">
        <v>2153</v>
      </c>
      <c r="K113">
        <v>20</v>
      </c>
      <c r="L113">
        <v>6.0960000000000001</v>
      </c>
      <c r="M113">
        <v>19.049999999999997</v>
      </c>
      <c r="N113">
        <v>146.05000000000001</v>
      </c>
      <c r="O113">
        <v>240</v>
      </c>
      <c r="P113">
        <v>0.74999999999999989</v>
      </c>
      <c r="Q113">
        <v>5.7500000000000009</v>
      </c>
      <c r="R113">
        <v>1179.203</v>
      </c>
      <c r="S113">
        <v>1.6960611239999999E-2</v>
      </c>
      <c r="T113" s="4" t="s">
        <v>2215</v>
      </c>
    </row>
    <row r="114" spans="1:20" x14ac:dyDescent="0.2">
      <c r="A114" s="4" t="s">
        <v>2094</v>
      </c>
      <c r="B114" s="4" t="s">
        <v>2149</v>
      </c>
      <c r="C114" s="4" t="s">
        <v>2096</v>
      </c>
      <c r="D114" s="4" t="s">
        <v>2097</v>
      </c>
      <c r="E114" s="4" t="s">
        <v>2043</v>
      </c>
      <c r="F114" s="4" t="s">
        <v>2214</v>
      </c>
      <c r="G114" s="4" t="s">
        <v>2132</v>
      </c>
      <c r="H114" s="4" t="s">
        <v>2183</v>
      </c>
      <c r="I114" s="4" t="s">
        <v>2152</v>
      </c>
      <c r="J114" s="4" t="s">
        <v>2153</v>
      </c>
      <c r="K114">
        <v>8</v>
      </c>
      <c r="L114">
        <v>2.4384000000000001</v>
      </c>
      <c r="M114">
        <v>19.049999999999997</v>
      </c>
      <c r="N114">
        <v>146.05000000000001</v>
      </c>
      <c r="O114">
        <v>96.000000000000014</v>
      </c>
      <c r="P114">
        <v>0.74999999999999989</v>
      </c>
      <c r="Q114">
        <v>5.7500000000000009</v>
      </c>
      <c r="R114">
        <v>1179.203</v>
      </c>
      <c r="S114">
        <v>6.7842444960000007E-3</v>
      </c>
      <c r="T114" s="4" t="s">
        <v>2215</v>
      </c>
    </row>
    <row r="115" spans="1:20" x14ac:dyDescent="0.2">
      <c r="A115" s="4" t="s">
        <v>2094</v>
      </c>
      <c r="B115" s="4" t="s">
        <v>2149</v>
      </c>
      <c r="C115" s="4" t="s">
        <v>2096</v>
      </c>
      <c r="D115" s="4" t="s">
        <v>2097</v>
      </c>
      <c r="E115" s="4" t="s">
        <v>2223</v>
      </c>
      <c r="F115" s="4" t="s">
        <v>2214</v>
      </c>
      <c r="G115" s="4" t="s">
        <v>2132</v>
      </c>
      <c r="H115" s="4" t="s">
        <v>2183</v>
      </c>
      <c r="I115" s="4" t="s">
        <v>2152</v>
      </c>
      <c r="J115" s="4" t="s">
        <v>2153</v>
      </c>
      <c r="K115">
        <v>9</v>
      </c>
      <c r="L115">
        <v>2.7431999999999999</v>
      </c>
      <c r="M115">
        <v>19.049999999999997</v>
      </c>
      <c r="N115">
        <v>146.05000000000001</v>
      </c>
      <c r="O115">
        <v>108</v>
      </c>
      <c r="P115">
        <v>0.74999999999999989</v>
      </c>
      <c r="Q115">
        <v>5.7500000000000009</v>
      </c>
      <c r="R115">
        <v>1179.203</v>
      </c>
      <c r="S115">
        <v>7.6322750579999998E-3</v>
      </c>
      <c r="T115" s="4" t="s">
        <v>2215</v>
      </c>
    </row>
    <row r="116" spans="1:20" x14ac:dyDescent="0.2">
      <c r="A116" s="4" t="s">
        <v>2094</v>
      </c>
      <c r="B116" s="4" t="s">
        <v>2130</v>
      </c>
      <c r="C116" s="4" t="s">
        <v>2096</v>
      </c>
      <c r="D116" s="4" t="s">
        <v>2097</v>
      </c>
      <c r="E116" s="4" t="s">
        <v>2055</v>
      </c>
      <c r="F116" s="4" t="s">
        <v>2224</v>
      </c>
      <c r="G116" s="4" t="s">
        <v>2132</v>
      </c>
      <c r="H116" s="4" t="s">
        <v>2183</v>
      </c>
      <c r="I116" s="4" t="s">
        <v>2152</v>
      </c>
      <c r="J116" s="4" t="s">
        <v>2111</v>
      </c>
      <c r="K116">
        <v>10</v>
      </c>
      <c r="L116">
        <v>3.048</v>
      </c>
      <c r="M116">
        <v>25.4</v>
      </c>
      <c r="N116">
        <v>146.05000000000001</v>
      </c>
      <c r="O116">
        <v>120</v>
      </c>
      <c r="P116">
        <v>1</v>
      </c>
      <c r="Q116">
        <v>5.7500000000000009</v>
      </c>
      <c r="R116">
        <v>884.40200000000004</v>
      </c>
      <c r="S116">
        <v>1.1307074160000003E-2</v>
      </c>
      <c r="T116" s="4" t="s">
        <v>2225</v>
      </c>
    </row>
    <row r="117" spans="1:20" x14ac:dyDescent="0.2">
      <c r="A117" s="4" t="s">
        <v>2094</v>
      </c>
      <c r="B117" s="4" t="s">
        <v>2130</v>
      </c>
      <c r="C117" s="4" t="s">
        <v>2096</v>
      </c>
      <c r="D117" s="4" t="s">
        <v>2097</v>
      </c>
      <c r="E117" s="4" t="s">
        <v>2226</v>
      </c>
      <c r="F117" s="4" t="s">
        <v>2224</v>
      </c>
      <c r="G117" s="4" t="s">
        <v>2132</v>
      </c>
      <c r="H117" s="4" t="s">
        <v>2183</v>
      </c>
      <c r="I117" s="4" t="s">
        <v>2152</v>
      </c>
      <c r="J117" s="4" t="s">
        <v>2111</v>
      </c>
      <c r="K117">
        <v>11</v>
      </c>
      <c r="L117">
        <v>3.3527999999999998</v>
      </c>
      <c r="M117">
        <v>25.4</v>
      </c>
      <c r="N117">
        <v>146.05000000000001</v>
      </c>
      <c r="O117">
        <v>132</v>
      </c>
      <c r="P117">
        <v>1</v>
      </c>
      <c r="Q117">
        <v>5.7500000000000009</v>
      </c>
      <c r="R117">
        <v>884.40200000000004</v>
      </c>
      <c r="S117">
        <v>1.2437781575999998E-2</v>
      </c>
      <c r="T117" s="4" t="s">
        <v>2225</v>
      </c>
    </row>
    <row r="118" spans="1:20" x14ac:dyDescent="0.2">
      <c r="A118" s="4" t="s">
        <v>2094</v>
      </c>
      <c r="B118" s="4" t="s">
        <v>2130</v>
      </c>
      <c r="C118" s="4" t="s">
        <v>2096</v>
      </c>
      <c r="D118" s="4" t="s">
        <v>2097</v>
      </c>
      <c r="E118" s="4" t="s">
        <v>2057</v>
      </c>
      <c r="F118" s="4" t="s">
        <v>2224</v>
      </c>
      <c r="G118" s="4" t="s">
        <v>2132</v>
      </c>
      <c r="H118" s="4" t="s">
        <v>2183</v>
      </c>
      <c r="I118" s="4" t="s">
        <v>2152</v>
      </c>
      <c r="J118" s="4" t="s">
        <v>2111</v>
      </c>
      <c r="K118">
        <v>12</v>
      </c>
      <c r="L118">
        <v>3.6576</v>
      </c>
      <c r="M118">
        <v>25.4</v>
      </c>
      <c r="N118">
        <v>146.05000000000001</v>
      </c>
      <c r="O118">
        <v>144</v>
      </c>
      <c r="P118">
        <v>1</v>
      </c>
      <c r="Q118">
        <v>5.7500000000000009</v>
      </c>
      <c r="R118">
        <v>884.40200000000004</v>
      </c>
      <c r="S118">
        <v>1.3568488992000001E-2</v>
      </c>
      <c r="T118" s="4" t="s">
        <v>2225</v>
      </c>
    </row>
    <row r="119" spans="1:20" x14ac:dyDescent="0.2">
      <c r="A119" s="4" t="s">
        <v>2094</v>
      </c>
      <c r="B119" s="4" t="s">
        <v>2130</v>
      </c>
      <c r="C119" s="4" t="s">
        <v>2096</v>
      </c>
      <c r="D119" s="4" t="s">
        <v>2097</v>
      </c>
      <c r="E119" s="4" t="s">
        <v>2227</v>
      </c>
      <c r="F119" s="4" t="s">
        <v>2224</v>
      </c>
      <c r="G119" s="4" t="s">
        <v>2132</v>
      </c>
      <c r="H119" s="4" t="s">
        <v>2183</v>
      </c>
      <c r="I119" s="4" t="s">
        <v>2152</v>
      </c>
      <c r="J119" s="4" t="s">
        <v>2111</v>
      </c>
      <c r="K119">
        <v>13</v>
      </c>
      <c r="L119">
        <v>3.9624000000000001</v>
      </c>
      <c r="M119">
        <v>25.4</v>
      </c>
      <c r="N119">
        <v>146.05000000000001</v>
      </c>
      <c r="O119">
        <v>156</v>
      </c>
      <c r="P119">
        <v>1</v>
      </c>
      <c r="Q119">
        <v>5.7500000000000009</v>
      </c>
      <c r="R119">
        <v>884.40200000000004</v>
      </c>
      <c r="S119">
        <v>1.4699196408000001E-2</v>
      </c>
      <c r="T119" s="4" t="s">
        <v>2225</v>
      </c>
    </row>
    <row r="120" spans="1:20" x14ac:dyDescent="0.2">
      <c r="A120" s="4" t="s">
        <v>2094</v>
      </c>
      <c r="B120" s="4" t="s">
        <v>2130</v>
      </c>
      <c r="C120" s="4" t="s">
        <v>2096</v>
      </c>
      <c r="D120" s="4" t="s">
        <v>2097</v>
      </c>
      <c r="E120" s="4" t="s">
        <v>2059</v>
      </c>
      <c r="F120" s="4" t="s">
        <v>2224</v>
      </c>
      <c r="G120" s="4" t="s">
        <v>2132</v>
      </c>
      <c r="H120" s="4" t="s">
        <v>2183</v>
      </c>
      <c r="I120" s="4" t="s">
        <v>2152</v>
      </c>
      <c r="J120" s="4" t="s">
        <v>2111</v>
      </c>
      <c r="K120">
        <v>14</v>
      </c>
      <c r="L120">
        <v>4.2671999999999999</v>
      </c>
      <c r="M120">
        <v>25.4</v>
      </c>
      <c r="N120">
        <v>146.05000000000001</v>
      </c>
      <c r="O120">
        <v>168</v>
      </c>
      <c r="P120">
        <v>1</v>
      </c>
      <c r="Q120">
        <v>5.7500000000000009</v>
      </c>
      <c r="R120">
        <v>884.40200000000004</v>
      </c>
      <c r="S120">
        <v>1.5829903824E-2</v>
      </c>
      <c r="T120" s="4" t="s">
        <v>2225</v>
      </c>
    </row>
    <row r="121" spans="1:20" x14ac:dyDescent="0.2">
      <c r="A121" s="4" t="s">
        <v>2094</v>
      </c>
      <c r="B121" s="4" t="s">
        <v>2130</v>
      </c>
      <c r="C121" s="4" t="s">
        <v>2096</v>
      </c>
      <c r="D121" s="4" t="s">
        <v>2097</v>
      </c>
      <c r="E121" s="4" t="s">
        <v>2228</v>
      </c>
      <c r="F121" s="4" t="s">
        <v>2224</v>
      </c>
      <c r="G121" s="4" t="s">
        <v>2132</v>
      </c>
      <c r="H121" s="4" t="s">
        <v>2183</v>
      </c>
      <c r="I121" s="4" t="s">
        <v>2152</v>
      </c>
      <c r="J121" s="4" t="s">
        <v>2111</v>
      </c>
      <c r="K121">
        <v>15</v>
      </c>
      <c r="L121">
        <v>4.5720000000000001</v>
      </c>
      <c r="M121">
        <v>25.4</v>
      </c>
      <c r="N121">
        <v>146.05000000000001</v>
      </c>
      <c r="O121">
        <v>180</v>
      </c>
      <c r="P121">
        <v>1</v>
      </c>
      <c r="Q121">
        <v>5.7500000000000009</v>
      </c>
      <c r="R121">
        <v>884.40200000000004</v>
      </c>
      <c r="S121">
        <v>1.6960611240000003E-2</v>
      </c>
      <c r="T121" s="4" t="s">
        <v>2225</v>
      </c>
    </row>
    <row r="122" spans="1:20" x14ac:dyDescent="0.2">
      <c r="A122" s="4" t="s">
        <v>2094</v>
      </c>
      <c r="B122" s="4" t="s">
        <v>2130</v>
      </c>
      <c r="C122" s="4" t="s">
        <v>2096</v>
      </c>
      <c r="D122" s="4" t="s">
        <v>2097</v>
      </c>
      <c r="E122" s="4" t="s">
        <v>2061</v>
      </c>
      <c r="F122" s="4" t="s">
        <v>2224</v>
      </c>
      <c r="G122" s="4" t="s">
        <v>2132</v>
      </c>
      <c r="H122" s="4" t="s">
        <v>2183</v>
      </c>
      <c r="I122" s="4" t="s">
        <v>2152</v>
      </c>
      <c r="J122" s="4" t="s">
        <v>2111</v>
      </c>
      <c r="K122">
        <v>16</v>
      </c>
      <c r="L122">
        <v>4.8768000000000002</v>
      </c>
      <c r="M122">
        <v>25.4</v>
      </c>
      <c r="N122">
        <v>146.05000000000001</v>
      </c>
      <c r="O122">
        <v>192.00000000000003</v>
      </c>
      <c r="P122">
        <v>1</v>
      </c>
      <c r="Q122">
        <v>5.7500000000000009</v>
      </c>
      <c r="R122">
        <v>884.40200000000004</v>
      </c>
      <c r="S122">
        <v>1.8091318656000003E-2</v>
      </c>
      <c r="T122" s="4" t="s">
        <v>2225</v>
      </c>
    </row>
    <row r="123" spans="1:20" x14ac:dyDescent="0.2">
      <c r="A123" s="4" t="s">
        <v>2094</v>
      </c>
      <c r="B123" s="4" t="s">
        <v>2130</v>
      </c>
      <c r="C123" s="4" t="s">
        <v>2096</v>
      </c>
      <c r="D123" s="4" t="s">
        <v>2097</v>
      </c>
      <c r="E123" s="4" t="s">
        <v>2229</v>
      </c>
      <c r="F123" s="4" t="s">
        <v>2224</v>
      </c>
      <c r="G123" s="4" t="s">
        <v>2132</v>
      </c>
      <c r="H123" s="4" t="s">
        <v>2183</v>
      </c>
      <c r="I123" s="4" t="s">
        <v>2152</v>
      </c>
      <c r="J123" s="4" t="s">
        <v>2111</v>
      </c>
      <c r="K123">
        <v>17</v>
      </c>
      <c r="L123">
        <v>5.1816000000000004</v>
      </c>
      <c r="M123">
        <v>25.4</v>
      </c>
      <c r="N123">
        <v>146.05000000000001</v>
      </c>
      <c r="O123">
        <v>204.00000000000003</v>
      </c>
      <c r="P123">
        <v>1</v>
      </c>
      <c r="Q123">
        <v>5.7500000000000009</v>
      </c>
      <c r="R123">
        <v>884.40200000000004</v>
      </c>
      <c r="S123">
        <v>1.9222026072000003E-2</v>
      </c>
      <c r="T123" s="4" t="s">
        <v>2225</v>
      </c>
    </row>
    <row r="124" spans="1:20" x14ac:dyDescent="0.2">
      <c r="A124" s="4" t="s">
        <v>2094</v>
      </c>
      <c r="B124" s="4" t="s">
        <v>2130</v>
      </c>
      <c r="C124" s="4" t="s">
        <v>2096</v>
      </c>
      <c r="D124" s="4" t="s">
        <v>2097</v>
      </c>
      <c r="E124" s="4" t="s">
        <v>2230</v>
      </c>
      <c r="F124" s="4" t="s">
        <v>2224</v>
      </c>
      <c r="G124" s="4" t="s">
        <v>2132</v>
      </c>
      <c r="H124" s="4" t="s">
        <v>2183</v>
      </c>
      <c r="I124" s="4" t="s">
        <v>2152</v>
      </c>
      <c r="J124" s="4" t="s">
        <v>2111</v>
      </c>
      <c r="K124">
        <v>18</v>
      </c>
      <c r="L124">
        <v>5.4863999999999997</v>
      </c>
      <c r="M124">
        <v>25.4</v>
      </c>
      <c r="N124">
        <v>146.05000000000001</v>
      </c>
      <c r="O124">
        <v>216</v>
      </c>
      <c r="P124">
        <v>1</v>
      </c>
      <c r="Q124">
        <v>5.7500000000000009</v>
      </c>
      <c r="R124">
        <v>884.40200000000004</v>
      </c>
      <c r="S124">
        <v>2.0352733487999999E-2</v>
      </c>
      <c r="T124" s="4" t="s">
        <v>2225</v>
      </c>
    </row>
    <row r="125" spans="1:20" x14ac:dyDescent="0.2">
      <c r="A125" s="4" t="s">
        <v>2094</v>
      </c>
      <c r="B125" s="4" t="s">
        <v>2130</v>
      </c>
      <c r="C125" s="4" t="s">
        <v>2096</v>
      </c>
      <c r="D125" s="4" t="s">
        <v>2097</v>
      </c>
      <c r="E125" s="4" t="s">
        <v>2231</v>
      </c>
      <c r="F125" s="4" t="s">
        <v>2224</v>
      </c>
      <c r="G125" s="4" t="s">
        <v>2132</v>
      </c>
      <c r="H125" s="4" t="s">
        <v>2183</v>
      </c>
      <c r="I125" s="4" t="s">
        <v>2152</v>
      </c>
      <c r="J125" s="4" t="s">
        <v>2111</v>
      </c>
      <c r="K125">
        <v>19</v>
      </c>
      <c r="L125">
        <v>5.7911999999999999</v>
      </c>
      <c r="M125">
        <v>25.4</v>
      </c>
      <c r="N125">
        <v>146.05000000000001</v>
      </c>
      <c r="O125">
        <v>228</v>
      </c>
      <c r="P125">
        <v>1</v>
      </c>
      <c r="Q125">
        <v>5.7500000000000009</v>
      </c>
      <c r="R125">
        <v>884.40200000000004</v>
      </c>
      <c r="S125">
        <v>2.1483440903999999E-2</v>
      </c>
      <c r="T125" s="4" t="s">
        <v>2225</v>
      </c>
    </row>
    <row r="126" spans="1:20" x14ac:dyDescent="0.2">
      <c r="A126" s="4" t="s">
        <v>2094</v>
      </c>
      <c r="B126" s="4" t="s">
        <v>2130</v>
      </c>
      <c r="C126" s="4" t="s">
        <v>2096</v>
      </c>
      <c r="D126" s="4" t="s">
        <v>2097</v>
      </c>
      <c r="E126" s="4" t="s">
        <v>2232</v>
      </c>
      <c r="F126" s="4" t="s">
        <v>2224</v>
      </c>
      <c r="G126" s="4" t="s">
        <v>2132</v>
      </c>
      <c r="H126" s="4" t="s">
        <v>2183</v>
      </c>
      <c r="I126" s="4" t="s">
        <v>2152</v>
      </c>
      <c r="J126" s="4" t="s">
        <v>2111</v>
      </c>
      <c r="K126">
        <v>20</v>
      </c>
      <c r="L126">
        <v>6.0960000000000001</v>
      </c>
      <c r="M126">
        <v>25.4</v>
      </c>
      <c r="N126">
        <v>146.05000000000001</v>
      </c>
      <c r="O126">
        <v>240</v>
      </c>
      <c r="P126">
        <v>1</v>
      </c>
      <c r="Q126">
        <v>5.7500000000000009</v>
      </c>
      <c r="R126">
        <v>884.40200000000004</v>
      </c>
      <c r="S126">
        <v>2.2614148320000006E-2</v>
      </c>
      <c r="T126" s="4" t="s">
        <v>2225</v>
      </c>
    </row>
    <row r="127" spans="1:20" x14ac:dyDescent="0.2">
      <c r="A127" s="4" t="s">
        <v>2094</v>
      </c>
      <c r="B127" s="4" t="s">
        <v>2130</v>
      </c>
      <c r="C127" s="4" t="s">
        <v>2096</v>
      </c>
      <c r="D127" s="4" t="s">
        <v>2097</v>
      </c>
      <c r="E127" s="4" t="s">
        <v>2053</v>
      </c>
      <c r="F127" s="4" t="s">
        <v>2224</v>
      </c>
      <c r="G127" s="4" t="s">
        <v>2132</v>
      </c>
      <c r="H127" s="4" t="s">
        <v>2183</v>
      </c>
      <c r="I127" s="4" t="s">
        <v>2152</v>
      </c>
      <c r="J127" s="4" t="s">
        <v>2111</v>
      </c>
      <c r="K127">
        <v>8</v>
      </c>
      <c r="L127">
        <v>2.4384000000000001</v>
      </c>
      <c r="M127">
        <v>25.4</v>
      </c>
      <c r="N127">
        <v>146.05000000000001</v>
      </c>
      <c r="O127">
        <v>96.000000000000014</v>
      </c>
      <c r="P127">
        <v>1</v>
      </c>
      <c r="Q127">
        <v>5.7500000000000009</v>
      </c>
      <c r="R127">
        <v>884.40200000000004</v>
      </c>
      <c r="S127">
        <v>9.0456593280000015E-3</v>
      </c>
      <c r="T127" s="4" t="s">
        <v>2225</v>
      </c>
    </row>
    <row r="128" spans="1:20" x14ac:dyDescent="0.2">
      <c r="A128" s="4" t="s">
        <v>2094</v>
      </c>
      <c r="B128" s="4" t="s">
        <v>2130</v>
      </c>
      <c r="C128" s="4" t="s">
        <v>2096</v>
      </c>
      <c r="D128" s="4" t="s">
        <v>2097</v>
      </c>
      <c r="E128" s="4" t="s">
        <v>2233</v>
      </c>
      <c r="F128" s="4" t="s">
        <v>2224</v>
      </c>
      <c r="G128" s="4" t="s">
        <v>2132</v>
      </c>
      <c r="H128" s="4" t="s">
        <v>2183</v>
      </c>
      <c r="I128" s="4" t="s">
        <v>2152</v>
      </c>
      <c r="J128" s="4" t="s">
        <v>2111</v>
      </c>
      <c r="K128">
        <v>9</v>
      </c>
      <c r="L128">
        <v>2.7431999999999999</v>
      </c>
      <c r="M128">
        <v>25.4</v>
      </c>
      <c r="N128">
        <v>146.05000000000001</v>
      </c>
      <c r="O128">
        <v>108</v>
      </c>
      <c r="P128">
        <v>1</v>
      </c>
      <c r="Q128">
        <v>5.7500000000000009</v>
      </c>
      <c r="R128">
        <v>884.40200000000004</v>
      </c>
      <c r="S128">
        <v>1.0176366744E-2</v>
      </c>
      <c r="T128" s="4" t="s">
        <v>2225</v>
      </c>
    </row>
    <row r="129" spans="1:20" x14ac:dyDescent="0.2">
      <c r="A129" s="4" t="s">
        <v>2234</v>
      </c>
      <c r="B129" s="4" t="s">
        <v>2235</v>
      </c>
      <c r="C129" s="4" t="s">
        <v>2096</v>
      </c>
      <c r="D129" s="4" t="s">
        <v>2236</v>
      </c>
      <c r="E129" s="4" t="s">
        <v>22</v>
      </c>
      <c r="F129" s="4" t="s">
        <v>2237</v>
      </c>
      <c r="G129" s="4" t="s">
        <v>2238</v>
      </c>
      <c r="H129" s="4" t="s">
        <v>2099</v>
      </c>
      <c r="I129" s="4" t="s">
        <v>2100</v>
      </c>
      <c r="J129" s="4" t="s">
        <v>2239</v>
      </c>
      <c r="K129">
        <v>10</v>
      </c>
      <c r="L129">
        <v>3.048</v>
      </c>
      <c r="M129">
        <v>38.1</v>
      </c>
      <c r="N129">
        <v>152.4</v>
      </c>
      <c r="O129">
        <v>120</v>
      </c>
      <c r="P129">
        <v>1.5000000000000002</v>
      </c>
      <c r="Q129">
        <v>6.0000000000000009</v>
      </c>
      <c r="R129">
        <v>565.03499999999997</v>
      </c>
      <c r="S129">
        <v>1.7698029120000004E-2</v>
      </c>
      <c r="T129" s="4" t="s">
        <v>2240</v>
      </c>
    </row>
    <row r="130" spans="1:20" x14ac:dyDescent="0.2">
      <c r="A130" s="4" t="s">
        <v>2234</v>
      </c>
      <c r="B130" s="4" t="s">
        <v>2235</v>
      </c>
      <c r="C130" s="4" t="s">
        <v>2096</v>
      </c>
      <c r="D130" s="4" t="s">
        <v>2236</v>
      </c>
      <c r="E130" s="4" t="s">
        <v>27</v>
      </c>
      <c r="F130" s="4" t="s">
        <v>2237</v>
      </c>
      <c r="G130" s="4" t="s">
        <v>2238</v>
      </c>
      <c r="H130" s="4" t="s">
        <v>2099</v>
      </c>
      <c r="I130" s="4" t="s">
        <v>2100</v>
      </c>
      <c r="J130" s="4" t="s">
        <v>2239</v>
      </c>
      <c r="K130">
        <v>11</v>
      </c>
      <c r="L130">
        <v>3.3527999999999998</v>
      </c>
      <c r="M130">
        <v>38.1</v>
      </c>
      <c r="N130">
        <v>152.4</v>
      </c>
      <c r="O130">
        <v>132</v>
      </c>
      <c r="P130">
        <v>1.5000000000000002</v>
      </c>
      <c r="Q130">
        <v>6.0000000000000009</v>
      </c>
      <c r="R130">
        <v>565.03499999999997</v>
      </c>
      <c r="S130">
        <v>1.9467832032000001E-2</v>
      </c>
      <c r="T130" s="4" t="s">
        <v>2240</v>
      </c>
    </row>
    <row r="131" spans="1:20" x14ac:dyDescent="0.2">
      <c r="A131" s="4" t="s">
        <v>2234</v>
      </c>
      <c r="B131" s="4" t="s">
        <v>2235</v>
      </c>
      <c r="C131" s="4" t="s">
        <v>2096</v>
      </c>
      <c r="D131" s="4" t="s">
        <v>2236</v>
      </c>
      <c r="E131" s="4" t="s">
        <v>29</v>
      </c>
      <c r="F131" s="4" t="s">
        <v>2237</v>
      </c>
      <c r="G131" s="4" t="s">
        <v>2238</v>
      </c>
      <c r="H131" s="4" t="s">
        <v>2099</v>
      </c>
      <c r="I131" s="4" t="s">
        <v>2100</v>
      </c>
      <c r="J131" s="4" t="s">
        <v>2239</v>
      </c>
      <c r="K131">
        <v>12</v>
      </c>
      <c r="L131">
        <v>3.6576</v>
      </c>
      <c r="M131">
        <v>38.1</v>
      </c>
      <c r="N131">
        <v>152.4</v>
      </c>
      <c r="O131">
        <v>144</v>
      </c>
      <c r="P131">
        <v>1.5000000000000002</v>
      </c>
      <c r="Q131">
        <v>6.0000000000000009</v>
      </c>
      <c r="R131">
        <v>565.03499999999997</v>
      </c>
      <c r="S131">
        <v>2.1237634944000001E-2</v>
      </c>
      <c r="T131" s="4" t="s">
        <v>2240</v>
      </c>
    </row>
    <row r="132" spans="1:20" x14ac:dyDescent="0.2">
      <c r="A132" s="4" t="s">
        <v>2234</v>
      </c>
      <c r="B132" s="4" t="s">
        <v>2235</v>
      </c>
      <c r="C132" s="4" t="s">
        <v>2096</v>
      </c>
      <c r="D132" s="4" t="s">
        <v>2236</v>
      </c>
      <c r="E132" s="4" t="s">
        <v>31</v>
      </c>
      <c r="F132" s="4" t="s">
        <v>2237</v>
      </c>
      <c r="G132" s="4" t="s">
        <v>2238</v>
      </c>
      <c r="H132" s="4" t="s">
        <v>2099</v>
      </c>
      <c r="I132" s="4" t="s">
        <v>2100</v>
      </c>
      <c r="J132" s="4" t="s">
        <v>2239</v>
      </c>
      <c r="K132">
        <v>13</v>
      </c>
      <c r="L132">
        <v>3.9624000000000001</v>
      </c>
      <c r="M132">
        <v>38.1</v>
      </c>
      <c r="N132">
        <v>152.4</v>
      </c>
      <c r="O132">
        <v>156</v>
      </c>
      <c r="P132">
        <v>1.5000000000000002</v>
      </c>
      <c r="Q132">
        <v>6.0000000000000009</v>
      </c>
      <c r="R132">
        <v>565.03499999999997</v>
      </c>
      <c r="S132">
        <v>2.3007437856000002E-2</v>
      </c>
      <c r="T132" s="4" t="s">
        <v>2240</v>
      </c>
    </row>
    <row r="133" spans="1:20" x14ac:dyDescent="0.2">
      <c r="A133" s="4" t="s">
        <v>2234</v>
      </c>
      <c r="B133" s="4" t="s">
        <v>2235</v>
      </c>
      <c r="C133" s="4" t="s">
        <v>2096</v>
      </c>
      <c r="D133" s="4" t="s">
        <v>2236</v>
      </c>
      <c r="E133" s="4" t="s">
        <v>33</v>
      </c>
      <c r="F133" s="4" t="s">
        <v>2237</v>
      </c>
      <c r="G133" s="4" t="s">
        <v>2238</v>
      </c>
      <c r="H133" s="4" t="s">
        <v>2099</v>
      </c>
      <c r="I133" s="4" t="s">
        <v>2100</v>
      </c>
      <c r="J133" s="4" t="s">
        <v>2239</v>
      </c>
      <c r="K133">
        <v>14</v>
      </c>
      <c r="L133">
        <v>4.2671999999999999</v>
      </c>
      <c r="M133">
        <v>38.1</v>
      </c>
      <c r="N133">
        <v>152.4</v>
      </c>
      <c r="O133">
        <v>168</v>
      </c>
      <c r="P133">
        <v>1.5000000000000002</v>
      </c>
      <c r="Q133">
        <v>6.0000000000000009</v>
      </c>
      <c r="R133">
        <v>565.03499999999997</v>
      </c>
      <c r="S133">
        <v>2.4777240768000003E-2</v>
      </c>
      <c r="T133" s="4" t="s">
        <v>2240</v>
      </c>
    </row>
    <row r="134" spans="1:20" x14ac:dyDescent="0.2">
      <c r="A134" s="4" t="s">
        <v>2234</v>
      </c>
      <c r="B134" s="4" t="s">
        <v>2235</v>
      </c>
      <c r="C134" s="4" t="s">
        <v>2096</v>
      </c>
      <c r="D134" s="4" t="s">
        <v>2236</v>
      </c>
      <c r="E134" s="4" t="s">
        <v>35</v>
      </c>
      <c r="F134" s="4" t="s">
        <v>2237</v>
      </c>
      <c r="G134" s="4" t="s">
        <v>2238</v>
      </c>
      <c r="H134" s="4" t="s">
        <v>2099</v>
      </c>
      <c r="I134" s="4" t="s">
        <v>2100</v>
      </c>
      <c r="J134" s="4" t="s">
        <v>2239</v>
      </c>
      <c r="K134">
        <v>15</v>
      </c>
      <c r="L134">
        <v>4.5720000000000001</v>
      </c>
      <c r="M134">
        <v>38.1</v>
      </c>
      <c r="N134">
        <v>152.4</v>
      </c>
      <c r="O134">
        <v>180</v>
      </c>
      <c r="P134">
        <v>1.5000000000000002</v>
      </c>
      <c r="Q134">
        <v>6.0000000000000009</v>
      </c>
      <c r="R134">
        <v>565.03499999999997</v>
      </c>
      <c r="S134">
        <v>2.6547043680000004E-2</v>
      </c>
      <c r="T134" s="4" t="s">
        <v>2240</v>
      </c>
    </row>
    <row r="135" spans="1:20" x14ac:dyDescent="0.2">
      <c r="A135" s="4" t="s">
        <v>2234</v>
      </c>
      <c r="B135" s="4" t="s">
        <v>2235</v>
      </c>
      <c r="C135" s="4" t="s">
        <v>2096</v>
      </c>
      <c r="D135" s="4" t="s">
        <v>2236</v>
      </c>
      <c r="E135" s="4" t="s">
        <v>37</v>
      </c>
      <c r="F135" s="4" t="s">
        <v>2237</v>
      </c>
      <c r="G135" s="4" t="s">
        <v>2238</v>
      </c>
      <c r="H135" s="4" t="s">
        <v>2099</v>
      </c>
      <c r="I135" s="4" t="s">
        <v>2100</v>
      </c>
      <c r="J135" s="4" t="s">
        <v>2239</v>
      </c>
      <c r="K135">
        <v>16</v>
      </c>
      <c r="L135">
        <v>4.8768000000000002</v>
      </c>
      <c r="M135">
        <v>38.1</v>
      </c>
      <c r="N135">
        <v>152.4</v>
      </c>
      <c r="O135">
        <v>192.00000000000003</v>
      </c>
      <c r="P135">
        <v>1.5000000000000002</v>
      </c>
      <c r="Q135">
        <v>6.0000000000000009</v>
      </c>
      <c r="R135">
        <v>565.03499999999997</v>
      </c>
      <c r="S135">
        <v>2.8316846592000004E-2</v>
      </c>
      <c r="T135" s="4" t="s">
        <v>2240</v>
      </c>
    </row>
    <row r="136" spans="1:20" x14ac:dyDescent="0.2">
      <c r="A136" s="4" t="s">
        <v>2234</v>
      </c>
      <c r="B136" s="4" t="s">
        <v>2235</v>
      </c>
      <c r="C136" s="4" t="s">
        <v>2096</v>
      </c>
      <c r="D136" s="4" t="s">
        <v>2236</v>
      </c>
      <c r="E136" s="4" t="s">
        <v>39</v>
      </c>
      <c r="F136" s="4" t="s">
        <v>2237</v>
      </c>
      <c r="G136" s="4" t="s">
        <v>2238</v>
      </c>
      <c r="H136" s="4" t="s">
        <v>2099</v>
      </c>
      <c r="I136" s="4" t="s">
        <v>2100</v>
      </c>
      <c r="J136" s="4" t="s">
        <v>2239</v>
      </c>
      <c r="K136">
        <v>17</v>
      </c>
      <c r="L136">
        <v>5.1816000000000004</v>
      </c>
      <c r="M136">
        <v>38.1</v>
      </c>
      <c r="N136">
        <v>152.4</v>
      </c>
      <c r="O136">
        <v>204.00000000000003</v>
      </c>
      <c r="P136">
        <v>1.5000000000000002</v>
      </c>
      <c r="Q136">
        <v>6.0000000000000009</v>
      </c>
      <c r="R136">
        <v>565.03499999999997</v>
      </c>
      <c r="S136">
        <v>3.0086649504000008E-2</v>
      </c>
      <c r="T136" s="4" t="s">
        <v>2240</v>
      </c>
    </row>
    <row r="137" spans="1:20" x14ac:dyDescent="0.2">
      <c r="A137" s="4" t="s">
        <v>2234</v>
      </c>
      <c r="B137" s="4" t="s">
        <v>2235</v>
      </c>
      <c r="C137" s="4" t="s">
        <v>2096</v>
      </c>
      <c r="D137" s="4" t="s">
        <v>2236</v>
      </c>
      <c r="E137" s="4" t="s">
        <v>41</v>
      </c>
      <c r="F137" s="4" t="s">
        <v>2237</v>
      </c>
      <c r="G137" s="4" t="s">
        <v>2238</v>
      </c>
      <c r="H137" s="4" t="s">
        <v>2099</v>
      </c>
      <c r="I137" s="4" t="s">
        <v>2100</v>
      </c>
      <c r="J137" s="4" t="s">
        <v>2239</v>
      </c>
      <c r="K137">
        <v>18</v>
      </c>
      <c r="L137">
        <v>5.4863999999999997</v>
      </c>
      <c r="M137">
        <v>38.1</v>
      </c>
      <c r="N137">
        <v>152.4</v>
      </c>
      <c r="O137">
        <v>216</v>
      </c>
      <c r="P137">
        <v>1.5000000000000002</v>
      </c>
      <c r="Q137">
        <v>6.0000000000000009</v>
      </c>
      <c r="R137">
        <v>565.03499999999997</v>
      </c>
      <c r="S137">
        <v>3.1856452415999999E-2</v>
      </c>
      <c r="T137" s="4" t="s">
        <v>2240</v>
      </c>
    </row>
    <row r="138" spans="1:20" x14ac:dyDescent="0.2">
      <c r="A138" s="4" t="s">
        <v>2234</v>
      </c>
      <c r="B138" s="4" t="s">
        <v>2235</v>
      </c>
      <c r="C138" s="4" t="s">
        <v>2096</v>
      </c>
      <c r="D138" s="4" t="s">
        <v>2236</v>
      </c>
      <c r="E138" s="4" t="s">
        <v>43</v>
      </c>
      <c r="F138" s="4" t="s">
        <v>2237</v>
      </c>
      <c r="G138" s="4" t="s">
        <v>2238</v>
      </c>
      <c r="H138" s="4" t="s">
        <v>2099</v>
      </c>
      <c r="I138" s="4" t="s">
        <v>2100</v>
      </c>
      <c r="J138" s="4" t="s">
        <v>2239</v>
      </c>
      <c r="K138">
        <v>19</v>
      </c>
      <c r="L138">
        <v>5.7911999999999999</v>
      </c>
      <c r="M138">
        <v>38.1</v>
      </c>
      <c r="N138">
        <v>152.4</v>
      </c>
      <c r="O138">
        <v>228</v>
      </c>
      <c r="P138">
        <v>1.5000000000000002</v>
      </c>
      <c r="Q138">
        <v>6.0000000000000009</v>
      </c>
      <c r="R138">
        <v>565.03499999999997</v>
      </c>
      <c r="S138">
        <v>3.3626255328000003E-2</v>
      </c>
      <c r="T138" s="4" t="s">
        <v>2240</v>
      </c>
    </row>
    <row r="139" spans="1:20" x14ac:dyDescent="0.2">
      <c r="A139" s="4" t="s">
        <v>2234</v>
      </c>
      <c r="B139" s="4" t="s">
        <v>2235</v>
      </c>
      <c r="C139" s="4" t="s">
        <v>2096</v>
      </c>
      <c r="D139" s="4" t="s">
        <v>2236</v>
      </c>
      <c r="E139" s="4" t="s">
        <v>45</v>
      </c>
      <c r="F139" s="4" t="s">
        <v>2237</v>
      </c>
      <c r="G139" s="4" t="s">
        <v>2238</v>
      </c>
      <c r="H139" s="4" t="s">
        <v>2099</v>
      </c>
      <c r="I139" s="4" t="s">
        <v>2100</v>
      </c>
      <c r="J139" s="4" t="s">
        <v>2239</v>
      </c>
      <c r="K139">
        <v>20</v>
      </c>
      <c r="L139">
        <v>6.0960000000000001</v>
      </c>
      <c r="M139">
        <v>38.1</v>
      </c>
      <c r="N139">
        <v>152.4</v>
      </c>
      <c r="O139">
        <v>240</v>
      </c>
      <c r="P139">
        <v>1.5000000000000002</v>
      </c>
      <c r="Q139">
        <v>6.0000000000000009</v>
      </c>
      <c r="R139">
        <v>565.03499999999997</v>
      </c>
      <c r="S139">
        <v>3.5396058240000007E-2</v>
      </c>
      <c r="T139" s="4" t="s">
        <v>2240</v>
      </c>
    </row>
    <row r="140" spans="1:20" x14ac:dyDescent="0.2">
      <c r="A140" s="4" t="s">
        <v>2234</v>
      </c>
      <c r="B140" s="4" t="s">
        <v>2235</v>
      </c>
      <c r="C140" s="4" t="s">
        <v>2096</v>
      </c>
      <c r="D140" s="4" t="s">
        <v>2236</v>
      </c>
      <c r="E140" s="4" t="s">
        <v>47</v>
      </c>
      <c r="F140" s="4" t="s">
        <v>2237</v>
      </c>
      <c r="G140" s="4" t="s">
        <v>2238</v>
      </c>
      <c r="H140" s="4" t="s">
        <v>2099</v>
      </c>
      <c r="I140" s="4" t="s">
        <v>2100</v>
      </c>
      <c r="J140" s="4" t="s">
        <v>2239</v>
      </c>
      <c r="K140">
        <v>21</v>
      </c>
      <c r="L140">
        <v>6.4008000000000003</v>
      </c>
      <c r="M140">
        <v>38.1</v>
      </c>
      <c r="N140">
        <v>152.4</v>
      </c>
      <c r="O140">
        <v>252.00000000000003</v>
      </c>
      <c r="P140">
        <v>1.5000000000000002</v>
      </c>
      <c r="Q140">
        <v>6.0000000000000009</v>
      </c>
      <c r="R140">
        <v>565.03499999999997</v>
      </c>
      <c r="S140">
        <v>3.7165861152000004E-2</v>
      </c>
      <c r="T140" s="4" t="s">
        <v>2240</v>
      </c>
    </row>
    <row r="141" spans="1:20" x14ac:dyDescent="0.2">
      <c r="A141" s="4" t="s">
        <v>2234</v>
      </c>
      <c r="B141" s="4" t="s">
        <v>2235</v>
      </c>
      <c r="C141" s="4" t="s">
        <v>2096</v>
      </c>
      <c r="D141" s="4" t="s">
        <v>2236</v>
      </c>
      <c r="E141" s="4" t="s">
        <v>49</v>
      </c>
      <c r="F141" s="4" t="s">
        <v>2237</v>
      </c>
      <c r="G141" s="4" t="s">
        <v>2238</v>
      </c>
      <c r="H141" s="4" t="s">
        <v>2099</v>
      </c>
      <c r="I141" s="4" t="s">
        <v>2100</v>
      </c>
      <c r="J141" s="4" t="s">
        <v>2239</v>
      </c>
      <c r="K141">
        <v>22</v>
      </c>
      <c r="L141">
        <v>6.7055999999999996</v>
      </c>
      <c r="M141">
        <v>38.1</v>
      </c>
      <c r="N141">
        <v>152.4</v>
      </c>
      <c r="O141">
        <v>264</v>
      </c>
      <c r="P141">
        <v>1.5000000000000002</v>
      </c>
      <c r="Q141">
        <v>6.0000000000000009</v>
      </c>
      <c r="R141">
        <v>565.03499999999997</v>
      </c>
      <c r="S141">
        <v>3.8935664064000002E-2</v>
      </c>
      <c r="T141" s="4" t="s">
        <v>2240</v>
      </c>
    </row>
    <row r="142" spans="1:20" x14ac:dyDescent="0.2">
      <c r="A142" s="4" t="s">
        <v>2234</v>
      </c>
      <c r="B142" s="4" t="s">
        <v>2241</v>
      </c>
      <c r="C142" s="4" t="s">
        <v>2096</v>
      </c>
      <c r="D142" s="4" t="s">
        <v>2236</v>
      </c>
      <c r="E142" s="4" t="s">
        <v>51</v>
      </c>
      <c r="F142" s="4" t="s">
        <v>2242</v>
      </c>
      <c r="G142" s="4" t="s">
        <v>2238</v>
      </c>
      <c r="H142" s="4" t="s">
        <v>2099</v>
      </c>
      <c r="I142" s="4" t="s">
        <v>2100</v>
      </c>
      <c r="J142" s="4" t="s">
        <v>2243</v>
      </c>
      <c r="K142">
        <v>10</v>
      </c>
      <c r="L142">
        <v>3.048</v>
      </c>
      <c r="M142">
        <v>38.1</v>
      </c>
      <c r="N142">
        <v>203.2</v>
      </c>
      <c r="O142">
        <v>120</v>
      </c>
      <c r="P142">
        <v>1.5000000000000002</v>
      </c>
      <c r="Q142">
        <v>8</v>
      </c>
      <c r="R142">
        <v>423.77600000000001</v>
      </c>
      <c r="S142">
        <v>2.3597372160000001E-2</v>
      </c>
      <c r="T142" s="4" t="s">
        <v>2244</v>
      </c>
    </row>
    <row r="143" spans="1:20" x14ac:dyDescent="0.2">
      <c r="A143" s="4" t="s">
        <v>2234</v>
      </c>
      <c r="B143" s="4" t="s">
        <v>2241</v>
      </c>
      <c r="C143" s="4" t="s">
        <v>2096</v>
      </c>
      <c r="D143" s="4" t="s">
        <v>2236</v>
      </c>
      <c r="E143" s="4" t="s">
        <v>53</v>
      </c>
      <c r="F143" s="4" t="s">
        <v>2242</v>
      </c>
      <c r="G143" s="4" t="s">
        <v>2238</v>
      </c>
      <c r="H143" s="4" t="s">
        <v>2099</v>
      </c>
      <c r="I143" s="4" t="s">
        <v>2100</v>
      </c>
      <c r="J143" s="4" t="s">
        <v>2243</v>
      </c>
      <c r="K143">
        <v>11</v>
      </c>
      <c r="L143">
        <v>3.3527999999999998</v>
      </c>
      <c r="M143">
        <v>38.1</v>
      </c>
      <c r="N143">
        <v>203.2</v>
      </c>
      <c r="O143">
        <v>132</v>
      </c>
      <c r="P143">
        <v>1.5000000000000002</v>
      </c>
      <c r="Q143">
        <v>8</v>
      </c>
      <c r="R143">
        <v>423.77600000000001</v>
      </c>
      <c r="S143">
        <v>2.5957109375999998E-2</v>
      </c>
      <c r="T143" s="4" t="s">
        <v>2244</v>
      </c>
    </row>
    <row r="144" spans="1:20" x14ac:dyDescent="0.2">
      <c r="A144" s="4" t="s">
        <v>2234</v>
      </c>
      <c r="B144" s="4" t="s">
        <v>2241</v>
      </c>
      <c r="C144" s="4" t="s">
        <v>2096</v>
      </c>
      <c r="D144" s="4" t="s">
        <v>2236</v>
      </c>
      <c r="E144" s="4" t="s">
        <v>55</v>
      </c>
      <c r="F144" s="4" t="s">
        <v>2242</v>
      </c>
      <c r="G144" s="4" t="s">
        <v>2238</v>
      </c>
      <c r="H144" s="4" t="s">
        <v>2099</v>
      </c>
      <c r="I144" s="4" t="s">
        <v>2100</v>
      </c>
      <c r="J144" s="4" t="s">
        <v>2243</v>
      </c>
      <c r="K144">
        <v>12</v>
      </c>
      <c r="L144">
        <v>3.6576</v>
      </c>
      <c r="M144">
        <v>38.1</v>
      </c>
      <c r="N144">
        <v>203.2</v>
      </c>
      <c r="O144">
        <v>144</v>
      </c>
      <c r="P144">
        <v>1.5000000000000002</v>
      </c>
      <c r="Q144">
        <v>8</v>
      </c>
      <c r="R144">
        <v>423.77600000000001</v>
      </c>
      <c r="S144">
        <v>2.8316846591999997E-2</v>
      </c>
      <c r="T144" s="4" t="s">
        <v>2244</v>
      </c>
    </row>
    <row r="145" spans="1:20" x14ac:dyDescent="0.2">
      <c r="A145" s="4" t="s">
        <v>2234</v>
      </c>
      <c r="B145" s="4" t="s">
        <v>2241</v>
      </c>
      <c r="C145" s="4" t="s">
        <v>2096</v>
      </c>
      <c r="D145" s="4" t="s">
        <v>2236</v>
      </c>
      <c r="E145" s="4" t="s">
        <v>57</v>
      </c>
      <c r="F145" s="4" t="s">
        <v>2242</v>
      </c>
      <c r="G145" s="4" t="s">
        <v>2238</v>
      </c>
      <c r="H145" s="4" t="s">
        <v>2099</v>
      </c>
      <c r="I145" s="4" t="s">
        <v>2100</v>
      </c>
      <c r="J145" s="4" t="s">
        <v>2243</v>
      </c>
      <c r="K145">
        <v>13</v>
      </c>
      <c r="L145">
        <v>3.9624000000000001</v>
      </c>
      <c r="M145">
        <v>38.1</v>
      </c>
      <c r="N145">
        <v>203.2</v>
      </c>
      <c r="O145">
        <v>156</v>
      </c>
      <c r="P145">
        <v>1.5000000000000002</v>
      </c>
      <c r="Q145">
        <v>8</v>
      </c>
      <c r="R145">
        <v>423.77600000000001</v>
      </c>
      <c r="S145">
        <v>3.0676583808000001E-2</v>
      </c>
      <c r="T145" s="4" t="s">
        <v>2244</v>
      </c>
    </row>
    <row r="146" spans="1:20" x14ac:dyDescent="0.2">
      <c r="A146" s="4" t="s">
        <v>2234</v>
      </c>
      <c r="B146" s="4" t="s">
        <v>2241</v>
      </c>
      <c r="C146" s="4" t="s">
        <v>2096</v>
      </c>
      <c r="D146" s="4" t="s">
        <v>2236</v>
      </c>
      <c r="E146" s="4" t="s">
        <v>59</v>
      </c>
      <c r="F146" s="4" t="s">
        <v>2242</v>
      </c>
      <c r="G146" s="4" t="s">
        <v>2238</v>
      </c>
      <c r="H146" s="4" t="s">
        <v>2099</v>
      </c>
      <c r="I146" s="4" t="s">
        <v>2100</v>
      </c>
      <c r="J146" s="4" t="s">
        <v>2243</v>
      </c>
      <c r="K146">
        <v>14</v>
      </c>
      <c r="L146">
        <v>4.2671999999999999</v>
      </c>
      <c r="M146">
        <v>38.1</v>
      </c>
      <c r="N146">
        <v>203.2</v>
      </c>
      <c r="O146">
        <v>168</v>
      </c>
      <c r="P146">
        <v>1.5000000000000002</v>
      </c>
      <c r="Q146">
        <v>8</v>
      </c>
      <c r="R146">
        <v>423.77600000000001</v>
      </c>
      <c r="S146">
        <v>3.3036321023999997E-2</v>
      </c>
      <c r="T146" s="4" t="s">
        <v>2244</v>
      </c>
    </row>
    <row r="147" spans="1:20" x14ac:dyDescent="0.2">
      <c r="A147" s="4" t="s">
        <v>2234</v>
      </c>
      <c r="B147" s="4" t="s">
        <v>2241</v>
      </c>
      <c r="C147" s="4" t="s">
        <v>2096</v>
      </c>
      <c r="D147" s="4" t="s">
        <v>2236</v>
      </c>
      <c r="E147" s="4" t="s">
        <v>61</v>
      </c>
      <c r="F147" s="4" t="s">
        <v>2242</v>
      </c>
      <c r="G147" s="4" t="s">
        <v>2238</v>
      </c>
      <c r="H147" s="4" t="s">
        <v>2099</v>
      </c>
      <c r="I147" s="4" t="s">
        <v>2100</v>
      </c>
      <c r="J147" s="4" t="s">
        <v>2243</v>
      </c>
      <c r="K147">
        <v>15</v>
      </c>
      <c r="L147">
        <v>4.5720000000000001</v>
      </c>
      <c r="M147">
        <v>38.1</v>
      </c>
      <c r="N147">
        <v>203.2</v>
      </c>
      <c r="O147">
        <v>180</v>
      </c>
      <c r="P147">
        <v>1.5000000000000002</v>
      </c>
      <c r="Q147">
        <v>8</v>
      </c>
      <c r="R147">
        <v>423.77600000000001</v>
      </c>
      <c r="S147">
        <v>3.539605824E-2</v>
      </c>
      <c r="T147" s="4" t="s">
        <v>2244</v>
      </c>
    </row>
    <row r="148" spans="1:20" x14ac:dyDescent="0.2">
      <c r="A148" s="4" t="s">
        <v>2234</v>
      </c>
      <c r="B148" s="4" t="s">
        <v>2241</v>
      </c>
      <c r="C148" s="4" t="s">
        <v>2096</v>
      </c>
      <c r="D148" s="4" t="s">
        <v>2236</v>
      </c>
      <c r="E148" s="4" t="s">
        <v>63</v>
      </c>
      <c r="F148" s="4" t="s">
        <v>2242</v>
      </c>
      <c r="G148" s="4" t="s">
        <v>2238</v>
      </c>
      <c r="H148" s="4" t="s">
        <v>2099</v>
      </c>
      <c r="I148" s="4" t="s">
        <v>2100</v>
      </c>
      <c r="J148" s="4" t="s">
        <v>2243</v>
      </c>
      <c r="K148">
        <v>16</v>
      </c>
      <c r="L148">
        <v>4.8768000000000002</v>
      </c>
      <c r="M148">
        <v>38.1</v>
      </c>
      <c r="N148">
        <v>203.2</v>
      </c>
      <c r="O148">
        <v>192.00000000000003</v>
      </c>
      <c r="P148">
        <v>1.5000000000000002</v>
      </c>
      <c r="Q148">
        <v>8</v>
      </c>
      <c r="R148">
        <v>423.77600000000001</v>
      </c>
      <c r="S148">
        <v>3.7755795456000003E-2</v>
      </c>
      <c r="T148" s="4" t="s">
        <v>2244</v>
      </c>
    </row>
    <row r="149" spans="1:20" x14ac:dyDescent="0.2">
      <c r="A149" s="4" t="s">
        <v>2234</v>
      </c>
      <c r="B149" s="4" t="s">
        <v>2241</v>
      </c>
      <c r="C149" s="4" t="s">
        <v>2096</v>
      </c>
      <c r="D149" s="4" t="s">
        <v>2236</v>
      </c>
      <c r="E149" s="4" t="s">
        <v>65</v>
      </c>
      <c r="F149" s="4" t="s">
        <v>2242</v>
      </c>
      <c r="G149" s="4" t="s">
        <v>2238</v>
      </c>
      <c r="H149" s="4" t="s">
        <v>2099</v>
      </c>
      <c r="I149" s="4" t="s">
        <v>2100</v>
      </c>
      <c r="J149" s="4" t="s">
        <v>2243</v>
      </c>
      <c r="K149">
        <v>17</v>
      </c>
      <c r="L149">
        <v>5.1816000000000004</v>
      </c>
      <c r="M149">
        <v>38.1</v>
      </c>
      <c r="N149">
        <v>203.2</v>
      </c>
      <c r="O149">
        <v>204.00000000000003</v>
      </c>
      <c r="P149">
        <v>1.5000000000000002</v>
      </c>
      <c r="Q149">
        <v>8</v>
      </c>
      <c r="R149">
        <v>423.77600000000001</v>
      </c>
      <c r="S149">
        <v>4.0115532672000007E-2</v>
      </c>
      <c r="T149" s="4" t="s">
        <v>2244</v>
      </c>
    </row>
    <row r="150" spans="1:20" x14ac:dyDescent="0.2">
      <c r="A150" s="4" t="s">
        <v>2234</v>
      </c>
      <c r="B150" s="4" t="s">
        <v>2241</v>
      </c>
      <c r="C150" s="4" t="s">
        <v>2096</v>
      </c>
      <c r="D150" s="4" t="s">
        <v>2236</v>
      </c>
      <c r="E150" s="4" t="s">
        <v>67</v>
      </c>
      <c r="F150" s="4" t="s">
        <v>2242</v>
      </c>
      <c r="G150" s="4" t="s">
        <v>2238</v>
      </c>
      <c r="H150" s="4" t="s">
        <v>2099</v>
      </c>
      <c r="I150" s="4" t="s">
        <v>2100</v>
      </c>
      <c r="J150" s="4" t="s">
        <v>2243</v>
      </c>
      <c r="K150">
        <v>18</v>
      </c>
      <c r="L150">
        <v>5.4863999999999997</v>
      </c>
      <c r="M150">
        <v>38.1</v>
      </c>
      <c r="N150">
        <v>203.2</v>
      </c>
      <c r="O150">
        <v>216</v>
      </c>
      <c r="P150">
        <v>1.5000000000000002</v>
      </c>
      <c r="Q150">
        <v>8</v>
      </c>
      <c r="R150">
        <v>423.77600000000001</v>
      </c>
      <c r="S150">
        <v>4.2475269888000003E-2</v>
      </c>
      <c r="T150" s="4" t="s">
        <v>2244</v>
      </c>
    </row>
    <row r="151" spans="1:20" x14ac:dyDescent="0.2">
      <c r="A151" s="4" t="s">
        <v>2234</v>
      </c>
      <c r="B151" s="4" t="s">
        <v>2241</v>
      </c>
      <c r="C151" s="4" t="s">
        <v>2096</v>
      </c>
      <c r="D151" s="4" t="s">
        <v>2236</v>
      </c>
      <c r="E151" s="4" t="s">
        <v>69</v>
      </c>
      <c r="F151" s="4" t="s">
        <v>2242</v>
      </c>
      <c r="G151" s="4" t="s">
        <v>2238</v>
      </c>
      <c r="H151" s="4" t="s">
        <v>2099</v>
      </c>
      <c r="I151" s="4" t="s">
        <v>2100</v>
      </c>
      <c r="J151" s="4" t="s">
        <v>2243</v>
      </c>
      <c r="K151">
        <v>19</v>
      </c>
      <c r="L151">
        <v>5.7911999999999999</v>
      </c>
      <c r="M151">
        <v>38.1</v>
      </c>
      <c r="N151">
        <v>203.2</v>
      </c>
      <c r="O151">
        <v>228</v>
      </c>
      <c r="P151">
        <v>1.5000000000000002</v>
      </c>
      <c r="Q151">
        <v>8</v>
      </c>
      <c r="R151">
        <v>423.77600000000001</v>
      </c>
      <c r="S151">
        <v>4.4835007103999999E-2</v>
      </c>
      <c r="T151" s="4" t="s">
        <v>2244</v>
      </c>
    </row>
    <row r="152" spans="1:20" x14ac:dyDescent="0.2">
      <c r="A152" s="4" t="s">
        <v>2234</v>
      </c>
      <c r="B152" s="4" t="s">
        <v>2241</v>
      </c>
      <c r="C152" s="4" t="s">
        <v>2096</v>
      </c>
      <c r="D152" s="4" t="s">
        <v>2236</v>
      </c>
      <c r="E152" s="4" t="s">
        <v>71</v>
      </c>
      <c r="F152" s="4" t="s">
        <v>2242</v>
      </c>
      <c r="G152" s="4" t="s">
        <v>2238</v>
      </c>
      <c r="H152" s="4" t="s">
        <v>2099</v>
      </c>
      <c r="I152" s="4" t="s">
        <v>2100</v>
      </c>
      <c r="J152" s="4" t="s">
        <v>2243</v>
      </c>
      <c r="K152">
        <v>20</v>
      </c>
      <c r="L152">
        <v>6.0960000000000001</v>
      </c>
      <c r="M152">
        <v>38.1</v>
      </c>
      <c r="N152">
        <v>203.2</v>
      </c>
      <c r="O152">
        <v>240</v>
      </c>
      <c r="P152">
        <v>1.5000000000000002</v>
      </c>
      <c r="Q152">
        <v>8</v>
      </c>
      <c r="R152">
        <v>423.77600000000001</v>
      </c>
      <c r="S152">
        <v>4.7194744320000002E-2</v>
      </c>
      <c r="T152" s="4" t="s">
        <v>2244</v>
      </c>
    </row>
    <row r="153" spans="1:20" x14ac:dyDescent="0.2">
      <c r="A153" s="4" t="s">
        <v>2234</v>
      </c>
      <c r="B153" s="4" t="s">
        <v>2241</v>
      </c>
      <c r="C153" s="4" t="s">
        <v>2096</v>
      </c>
      <c r="D153" s="4" t="s">
        <v>2236</v>
      </c>
      <c r="E153" s="4" t="s">
        <v>73</v>
      </c>
      <c r="F153" s="4" t="s">
        <v>2242</v>
      </c>
      <c r="G153" s="4" t="s">
        <v>2238</v>
      </c>
      <c r="H153" s="4" t="s">
        <v>2099</v>
      </c>
      <c r="I153" s="4" t="s">
        <v>2100</v>
      </c>
      <c r="J153" s="4" t="s">
        <v>2243</v>
      </c>
      <c r="K153">
        <v>21</v>
      </c>
      <c r="L153">
        <v>6.4008000000000003</v>
      </c>
      <c r="M153">
        <v>38.1</v>
      </c>
      <c r="N153">
        <v>203.2</v>
      </c>
      <c r="O153">
        <v>252.00000000000003</v>
      </c>
      <c r="P153">
        <v>1.5000000000000002</v>
      </c>
      <c r="Q153">
        <v>8</v>
      </c>
      <c r="R153">
        <v>423.77600000000001</v>
      </c>
      <c r="S153">
        <v>4.9554481536000006E-2</v>
      </c>
      <c r="T153" s="4" t="s">
        <v>2244</v>
      </c>
    </row>
    <row r="154" spans="1:20" x14ac:dyDescent="0.2">
      <c r="A154" s="4" t="s">
        <v>2234</v>
      </c>
      <c r="B154" s="4" t="s">
        <v>2241</v>
      </c>
      <c r="C154" s="4" t="s">
        <v>2096</v>
      </c>
      <c r="D154" s="4" t="s">
        <v>2236</v>
      </c>
      <c r="E154" s="4" t="s">
        <v>75</v>
      </c>
      <c r="F154" s="4" t="s">
        <v>2242</v>
      </c>
      <c r="G154" s="4" t="s">
        <v>2238</v>
      </c>
      <c r="H154" s="4" t="s">
        <v>2099</v>
      </c>
      <c r="I154" s="4" t="s">
        <v>2100</v>
      </c>
      <c r="J154" s="4" t="s">
        <v>2243</v>
      </c>
      <c r="K154">
        <v>22</v>
      </c>
      <c r="L154">
        <v>6.7055999999999996</v>
      </c>
      <c r="M154">
        <v>38.1</v>
      </c>
      <c r="N154">
        <v>203.2</v>
      </c>
      <c r="O154">
        <v>264</v>
      </c>
      <c r="P154">
        <v>1.5000000000000002</v>
      </c>
      <c r="Q154">
        <v>8</v>
      </c>
      <c r="R154">
        <v>423.77600000000001</v>
      </c>
      <c r="S154">
        <v>5.1914218751999995E-2</v>
      </c>
      <c r="T154" s="4" t="s">
        <v>2244</v>
      </c>
    </row>
    <row r="155" spans="1:20" x14ac:dyDescent="0.2">
      <c r="A155" s="4" t="s">
        <v>2234</v>
      </c>
      <c r="B155" s="4" t="s">
        <v>2241</v>
      </c>
      <c r="C155" s="4" t="s">
        <v>2096</v>
      </c>
      <c r="D155" s="4" t="s">
        <v>2236</v>
      </c>
      <c r="E155" s="4" t="s">
        <v>77</v>
      </c>
      <c r="F155" s="4" t="s">
        <v>2242</v>
      </c>
      <c r="G155" s="4" t="s">
        <v>2238</v>
      </c>
      <c r="H155" s="4" t="s">
        <v>2099</v>
      </c>
      <c r="I155" s="4" t="s">
        <v>2100</v>
      </c>
      <c r="J155" s="4" t="s">
        <v>2243</v>
      </c>
      <c r="K155">
        <v>9</v>
      </c>
      <c r="L155">
        <v>2.7431999999999999</v>
      </c>
      <c r="M155">
        <v>38.1</v>
      </c>
      <c r="N155">
        <v>203.2</v>
      </c>
      <c r="O155">
        <v>108</v>
      </c>
      <c r="P155">
        <v>1.5000000000000002</v>
      </c>
      <c r="Q155">
        <v>8</v>
      </c>
      <c r="R155">
        <v>423.77600000000001</v>
      </c>
      <c r="S155">
        <v>2.1237634944000001E-2</v>
      </c>
      <c r="T155" s="4" t="s">
        <v>2244</v>
      </c>
    </row>
    <row r="156" spans="1:20" x14ac:dyDescent="0.2">
      <c r="A156" s="4" t="s">
        <v>2234</v>
      </c>
      <c r="B156" s="4" t="s">
        <v>2245</v>
      </c>
      <c r="C156" s="4" t="s">
        <v>2096</v>
      </c>
      <c r="D156" s="4" t="s">
        <v>2236</v>
      </c>
      <c r="E156" s="4" t="s">
        <v>79</v>
      </c>
      <c r="F156" s="4" t="s">
        <v>2246</v>
      </c>
      <c r="G156" s="4" t="s">
        <v>2238</v>
      </c>
      <c r="H156" s="4" t="s">
        <v>2099</v>
      </c>
      <c r="I156" s="4" t="s">
        <v>2100</v>
      </c>
      <c r="J156" s="4" t="s">
        <v>2247</v>
      </c>
      <c r="K156">
        <v>10</v>
      </c>
      <c r="L156">
        <v>3.048</v>
      </c>
      <c r="M156">
        <v>50.8</v>
      </c>
      <c r="N156">
        <v>152.4</v>
      </c>
      <c r="O156">
        <v>120</v>
      </c>
      <c r="P156">
        <v>2</v>
      </c>
      <c r="Q156">
        <v>6.0000000000000009</v>
      </c>
      <c r="R156">
        <v>423.77600000000001</v>
      </c>
      <c r="S156">
        <v>2.3597372160000001E-2</v>
      </c>
      <c r="T156" s="4" t="s">
        <v>2248</v>
      </c>
    </row>
    <row r="157" spans="1:20" x14ac:dyDescent="0.2">
      <c r="A157" s="4" t="s">
        <v>2234</v>
      </c>
      <c r="B157" s="4" t="s">
        <v>2245</v>
      </c>
      <c r="C157" s="4" t="s">
        <v>2096</v>
      </c>
      <c r="D157" s="4" t="s">
        <v>2236</v>
      </c>
      <c r="E157" s="4" t="s">
        <v>81</v>
      </c>
      <c r="F157" s="4" t="s">
        <v>2246</v>
      </c>
      <c r="G157" s="4" t="s">
        <v>2238</v>
      </c>
      <c r="H157" s="4" t="s">
        <v>2099</v>
      </c>
      <c r="I157" s="4" t="s">
        <v>2100</v>
      </c>
      <c r="J157" s="4" t="s">
        <v>2247</v>
      </c>
      <c r="K157">
        <v>11</v>
      </c>
      <c r="L157">
        <v>3.3527999999999998</v>
      </c>
      <c r="M157">
        <v>50.8</v>
      </c>
      <c r="N157">
        <v>152.4</v>
      </c>
      <c r="O157">
        <v>132</v>
      </c>
      <c r="P157">
        <v>2</v>
      </c>
      <c r="Q157">
        <v>6.0000000000000009</v>
      </c>
      <c r="R157">
        <v>423.77600000000001</v>
      </c>
      <c r="S157">
        <v>2.5957109375999994E-2</v>
      </c>
      <c r="T157" s="4" t="s">
        <v>2248</v>
      </c>
    </row>
    <row r="158" spans="1:20" x14ac:dyDescent="0.2">
      <c r="A158" s="4" t="s">
        <v>2234</v>
      </c>
      <c r="B158" s="4" t="s">
        <v>2245</v>
      </c>
      <c r="C158" s="4" t="s">
        <v>2096</v>
      </c>
      <c r="D158" s="4" t="s">
        <v>2236</v>
      </c>
      <c r="E158" s="4" t="s">
        <v>83</v>
      </c>
      <c r="F158" s="4" t="s">
        <v>2246</v>
      </c>
      <c r="G158" s="4" t="s">
        <v>2238</v>
      </c>
      <c r="H158" s="4" t="s">
        <v>2099</v>
      </c>
      <c r="I158" s="4" t="s">
        <v>2100</v>
      </c>
      <c r="J158" s="4" t="s">
        <v>2247</v>
      </c>
      <c r="K158">
        <v>12</v>
      </c>
      <c r="L158">
        <v>3.6576</v>
      </c>
      <c r="M158">
        <v>50.8</v>
      </c>
      <c r="N158">
        <v>152.4</v>
      </c>
      <c r="O158">
        <v>144</v>
      </c>
      <c r="P158">
        <v>2</v>
      </c>
      <c r="Q158">
        <v>6.0000000000000009</v>
      </c>
      <c r="R158">
        <v>423.77600000000001</v>
      </c>
      <c r="S158">
        <v>2.8316846591999997E-2</v>
      </c>
      <c r="T158" s="4" t="s">
        <v>2248</v>
      </c>
    </row>
    <row r="159" spans="1:20" x14ac:dyDescent="0.2">
      <c r="A159" s="4" t="s">
        <v>2234</v>
      </c>
      <c r="B159" s="4" t="s">
        <v>2245</v>
      </c>
      <c r="C159" s="4" t="s">
        <v>2096</v>
      </c>
      <c r="D159" s="4" t="s">
        <v>2236</v>
      </c>
      <c r="E159" s="4" t="s">
        <v>85</v>
      </c>
      <c r="F159" s="4" t="s">
        <v>2246</v>
      </c>
      <c r="G159" s="4" t="s">
        <v>2238</v>
      </c>
      <c r="H159" s="4" t="s">
        <v>2099</v>
      </c>
      <c r="I159" s="4" t="s">
        <v>2100</v>
      </c>
      <c r="J159" s="4" t="s">
        <v>2247</v>
      </c>
      <c r="K159">
        <v>13</v>
      </c>
      <c r="L159">
        <v>3.9624000000000001</v>
      </c>
      <c r="M159">
        <v>50.8</v>
      </c>
      <c r="N159">
        <v>152.4</v>
      </c>
      <c r="O159">
        <v>156</v>
      </c>
      <c r="P159">
        <v>2</v>
      </c>
      <c r="Q159">
        <v>6.0000000000000009</v>
      </c>
      <c r="R159">
        <v>423.77600000000001</v>
      </c>
      <c r="S159">
        <v>3.0676583808000001E-2</v>
      </c>
      <c r="T159" s="4" t="s">
        <v>2248</v>
      </c>
    </row>
    <row r="160" spans="1:20" x14ac:dyDescent="0.2">
      <c r="A160" s="4" t="s">
        <v>2234</v>
      </c>
      <c r="B160" s="4" t="s">
        <v>2245</v>
      </c>
      <c r="C160" s="4" t="s">
        <v>2096</v>
      </c>
      <c r="D160" s="4" t="s">
        <v>2236</v>
      </c>
      <c r="E160" s="4" t="s">
        <v>87</v>
      </c>
      <c r="F160" s="4" t="s">
        <v>2246</v>
      </c>
      <c r="G160" s="4" t="s">
        <v>2238</v>
      </c>
      <c r="H160" s="4" t="s">
        <v>2099</v>
      </c>
      <c r="I160" s="4" t="s">
        <v>2100</v>
      </c>
      <c r="J160" s="4" t="s">
        <v>2247</v>
      </c>
      <c r="K160">
        <v>14</v>
      </c>
      <c r="L160">
        <v>4.2671999999999999</v>
      </c>
      <c r="M160">
        <v>50.8</v>
      </c>
      <c r="N160">
        <v>152.4</v>
      </c>
      <c r="O160">
        <v>168</v>
      </c>
      <c r="P160">
        <v>2</v>
      </c>
      <c r="Q160">
        <v>6.0000000000000009</v>
      </c>
      <c r="R160">
        <v>423.77600000000001</v>
      </c>
      <c r="S160">
        <v>3.3036321023999997E-2</v>
      </c>
      <c r="T160" s="4" t="s">
        <v>2248</v>
      </c>
    </row>
    <row r="161" spans="1:20" x14ac:dyDescent="0.2">
      <c r="A161" s="4" t="s">
        <v>2234</v>
      </c>
      <c r="B161" s="4" t="s">
        <v>2245</v>
      </c>
      <c r="C161" s="4" t="s">
        <v>2096</v>
      </c>
      <c r="D161" s="4" t="s">
        <v>2236</v>
      </c>
      <c r="E161" s="4" t="s">
        <v>89</v>
      </c>
      <c r="F161" s="4" t="s">
        <v>2246</v>
      </c>
      <c r="G161" s="4" t="s">
        <v>2238</v>
      </c>
      <c r="H161" s="4" t="s">
        <v>2099</v>
      </c>
      <c r="I161" s="4" t="s">
        <v>2100</v>
      </c>
      <c r="J161" s="4" t="s">
        <v>2247</v>
      </c>
      <c r="K161">
        <v>15</v>
      </c>
      <c r="L161">
        <v>4.5720000000000001</v>
      </c>
      <c r="M161">
        <v>50.8</v>
      </c>
      <c r="N161">
        <v>152.4</v>
      </c>
      <c r="O161">
        <v>180</v>
      </c>
      <c r="P161">
        <v>2</v>
      </c>
      <c r="Q161">
        <v>6.0000000000000009</v>
      </c>
      <c r="R161">
        <v>423.77600000000001</v>
      </c>
      <c r="S161">
        <v>3.539605824E-2</v>
      </c>
      <c r="T161" s="4" t="s">
        <v>2248</v>
      </c>
    </row>
    <row r="162" spans="1:20" x14ac:dyDescent="0.2">
      <c r="A162" s="4" t="s">
        <v>2234</v>
      </c>
      <c r="B162" s="4" t="s">
        <v>2245</v>
      </c>
      <c r="C162" s="4" t="s">
        <v>2096</v>
      </c>
      <c r="D162" s="4" t="s">
        <v>2236</v>
      </c>
      <c r="E162" s="4" t="s">
        <v>91</v>
      </c>
      <c r="F162" s="4" t="s">
        <v>2246</v>
      </c>
      <c r="G162" s="4" t="s">
        <v>2238</v>
      </c>
      <c r="H162" s="4" t="s">
        <v>2099</v>
      </c>
      <c r="I162" s="4" t="s">
        <v>2100</v>
      </c>
      <c r="J162" s="4" t="s">
        <v>2247</v>
      </c>
      <c r="K162">
        <v>16</v>
      </c>
      <c r="L162">
        <v>4.8768000000000002</v>
      </c>
      <c r="M162">
        <v>50.8</v>
      </c>
      <c r="N162">
        <v>152.4</v>
      </c>
      <c r="O162">
        <v>192.00000000000003</v>
      </c>
      <c r="P162">
        <v>2</v>
      </c>
      <c r="Q162">
        <v>6.0000000000000009</v>
      </c>
      <c r="R162">
        <v>423.77600000000001</v>
      </c>
      <c r="S162">
        <v>3.7755795456000003E-2</v>
      </c>
      <c r="T162" s="4" t="s">
        <v>2248</v>
      </c>
    </row>
    <row r="163" spans="1:20" x14ac:dyDescent="0.2">
      <c r="A163" s="4" t="s">
        <v>2234</v>
      </c>
      <c r="B163" s="4" t="s">
        <v>2245</v>
      </c>
      <c r="C163" s="4" t="s">
        <v>2096</v>
      </c>
      <c r="D163" s="4" t="s">
        <v>2236</v>
      </c>
      <c r="E163" s="4" t="s">
        <v>93</v>
      </c>
      <c r="F163" s="4" t="s">
        <v>2246</v>
      </c>
      <c r="G163" s="4" t="s">
        <v>2238</v>
      </c>
      <c r="H163" s="4" t="s">
        <v>2099</v>
      </c>
      <c r="I163" s="4" t="s">
        <v>2100</v>
      </c>
      <c r="J163" s="4" t="s">
        <v>2247</v>
      </c>
      <c r="K163">
        <v>17</v>
      </c>
      <c r="L163">
        <v>5.1816000000000004</v>
      </c>
      <c r="M163">
        <v>50.8</v>
      </c>
      <c r="N163">
        <v>152.4</v>
      </c>
      <c r="O163">
        <v>204.00000000000003</v>
      </c>
      <c r="P163">
        <v>2</v>
      </c>
      <c r="Q163">
        <v>6.0000000000000009</v>
      </c>
      <c r="R163">
        <v>423.77600000000001</v>
      </c>
      <c r="S163">
        <v>4.0115532672E-2</v>
      </c>
      <c r="T163" s="4" t="s">
        <v>2248</v>
      </c>
    </row>
    <row r="164" spans="1:20" x14ac:dyDescent="0.2">
      <c r="A164" s="4" t="s">
        <v>2234</v>
      </c>
      <c r="B164" s="4" t="s">
        <v>2245</v>
      </c>
      <c r="C164" s="4" t="s">
        <v>2096</v>
      </c>
      <c r="D164" s="4" t="s">
        <v>2236</v>
      </c>
      <c r="E164" s="4" t="s">
        <v>95</v>
      </c>
      <c r="F164" s="4" t="s">
        <v>2246</v>
      </c>
      <c r="G164" s="4" t="s">
        <v>2238</v>
      </c>
      <c r="H164" s="4" t="s">
        <v>2099</v>
      </c>
      <c r="I164" s="4" t="s">
        <v>2100</v>
      </c>
      <c r="J164" s="4" t="s">
        <v>2247</v>
      </c>
      <c r="K164">
        <v>18</v>
      </c>
      <c r="L164">
        <v>5.4863999999999997</v>
      </c>
      <c r="M164">
        <v>50.8</v>
      </c>
      <c r="N164">
        <v>152.4</v>
      </c>
      <c r="O164">
        <v>216</v>
      </c>
      <c r="P164">
        <v>2</v>
      </c>
      <c r="Q164">
        <v>6.0000000000000009</v>
      </c>
      <c r="R164">
        <v>423.77600000000001</v>
      </c>
      <c r="S164">
        <v>4.2475269888000003E-2</v>
      </c>
      <c r="T164" s="4" t="s">
        <v>2248</v>
      </c>
    </row>
    <row r="165" spans="1:20" x14ac:dyDescent="0.2">
      <c r="A165" s="4" t="s">
        <v>2234</v>
      </c>
      <c r="B165" s="4" t="s">
        <v>2245</v>
      </c>
      <c r="C165" s="4" t="s">
        <v>2096</v>
      </c>
      <c r="D165" s="4" t="s">
        <v>2236</v>
      </c>
      <c r="E165" s="4" t="s">
        <v>97</v>
      </c>
      <c r="F165" s="4" t="s">
        <v>2246</v>
      </c>
      <c r="G165" s="4" t="s">
        <v>2238</v>
      </c>
      <c r="H165" s="4" t="s">
        <v>2099</v>
      </c>
      <c r="I165" s="4" t="s">
        <v>2100</v>
      </c>
      <c r="J165" s="4" t="s">
        <v>2247</v>
      </c>
      <c r="K165">
        <v>19</v>
      </c>
      <c r="L165">
        <v>5.7911999999999999</v>
      </c>
      <c r="M165">
        <v>50.8</v>
      </c>
      <c r="N165">
        <v>152.4</v>
      </c>
      <c r="O165">
        <v>228</v>
      </c>
      <c r="P165">
        <v>2</v>
      </c>
      <c r="Q165">
        <v>6.0000000000000009</v>
      </c>
      <c r="R165">
        <v>423.77600000000001</v>
      </c>
      <c r="S165">
        <v>4.4835007103999992E-2</v>
      </c>
      <c r="T165" s="4" t="s">
        <v>2248</v>
      </c>
    </row>
    <row r="166" spans="1:20" x14ac:dyDescent="0.2">
      <c r="A166" s="4" t="s">
        <v>2234</v>
      </c>
      <c r="B166" s="4" t="s">
        <v>2245</v>
      </c>
      <c r="C166" s="4" t="s">
        <v>2096</v>
      </c>
      <c r="D166" s="4" t="s">
        <v>2236</v>
      </c>
      <c r="E166" s="4" t="s">
        <v>99</v>
      </c>
      <c r="F166" s="4" t="s">
        <v>2246</v>
      </c>
      <c r="G166" s="4" t="s">
        <v>2238</v>
      </c>
      <c r="H166" s="4" t="s">
        <v>2099</v>
      </c>
      <c r="I166" s="4" t="s">
        <v>2100</v>
      </c>
      <c r="J166" s="4" t="s">
        <v>2247</v>
      </c>
      <c r="K166">
        <v>20</v>
      </c>
      <c r="L166">
        <v>6.0960000000000001</v>
      </c>
      <c r="M166">
        <v>50.8</v>
      </c>
      <c r="N166">
        <v>152.4</v>
      </c>
      <c r="O166">
        <v>240</v>
      </c>
      <c r="P166">
        <v>2</v>
      </c>
      <c r="Q166">
        <v>6.0000000000000009</v>
      </c>
      <c r="R166">
        <v>423.77600000000001</v>
      </c>
      <c r="S166">
        <v>4.7194744320000002E-2</v>
      </c>
      <c r="T166" s="4" t="s">
        <v>2248</v>
      </c>
    </row>
    <row r="167" spans="1:20" x14ac:dyDescent="0.2">
      <c r="A167" s="4" t="s">
        <v>2234</v>
      </c>
      <c r="B167" s="4" t="s">
        <v>2245</v>
      </c>
      <c r="C167" s="4" t="s">
        <v>2096</v>
      </c>
      <c r="D167" s="4" t="s">
        <v>2236</v>
      </c>
      <c r="E167" s="4" t="s">
        <v>101</v>
      </c>
      <c r="F167" s="4" t="s">
        <v>2246</v>
      </c>
      <c r="G167" s="4" t="s">
        <v>2238</v>
      </c>
      <c r="H167" s="4" t="s">
        <v>2099</v>
      </c>
      <c r="I167" s="4" t="s">
        <v>2100</v>
      </c>
      <c r="J167" s="4" t="s">
        <v>2247</v>
      </c>
      <c r="K167">
        <v>21</v>
      </c>
      <c r="L167">
        <v>6.4008000000000003</v>
      </c>
      <c r="M167">
        <v>50.8</v>
      </c>
      <c r="N167">
        <v>152.4</v>
      </c>
      <c r="O167">
        <v>252.00000000000003</v>
      </c>
      <c r="P167">
        <v>2</v>
      </c>
      <c r="Q167">
        <v>6.0000000000000009</v>
      </c>
      <c r="R167">
        <v>423.77600000000001</v>
      </c>
      <c r="S167">
        <v>4.9554481536000006E-2</v>
      </c>
      <c r="T167" s="4" t="s">
        <v>2248</v>
      </c>
    </row>
    <row r="168" spans="1:20" x14ac:dyDescent="0.2">
      <c r="A168" s="4" t="s">
        <v>2234</v>
      </c>
      <c r="B168" s="4" t="s">
        <v>2245</v>
      </c>
      <c r="C168" s="4" t="s">
        <v>2096</v>
      </c>
      <c r="D168" s="4" t="s">
        <v>2236</v>
      </c>
      <c r="E168" s="4" t="s">
        <v>103</v>
      </c>
      <c r="F168" s="4" t="s">
        <v>2246</v>
      </c>
      <c r="G168" s="4" t="s">
        <v>2238</v>
      </c>
      <c r="H168" s="4" t="s">
        <v>2099</v>
      </c>
      <c r="I168" s="4" t="s">
        <v>2100</v>
      </c>
      <c r="J168" s="4" t="s">
        <v>2247</v>
      </c>
      <c r="K168">
        <v>22</v>
      </c>
      <c r="L168">
        <v>6.7055999999999996</v>
      </c>
      <c r="M168">
        <v>50.8</v>
      </c>
      <c r="N168">
        <v>152.4</v>
      </c>
      <c r="O168">
        <v>264</v>
      </c>
      <c r="P168">
        <v>2</v>
      </c>
      <c r="Q168">
        <v>6.0000000000000009</v>
      </c>
      <c r="R168">
        <v>423.77600000000001</v>
      </c>
      <c r="S168">
        <v>5.1914218751999988E-2</v>
      </c>
      <c r="T168" s="4" t="s">
        <v>2248</v>
      </c>
    </row>
    <row r="169" spans="1:20" x14ac:dyDescent="0.2">
      <c r="A169" s="4" t="s">
        <v>2234</v>
      </c>
      <c r="B169" s="4" t="s">
        <v>2245</v>
      </c>
      <c r="C169" s="4" t="s">
        <v>2096</v>
      </c>
      <c r="D169" s="4" t="s">
        <v>2236</v>
      </c>
      <c r="E169" s="4" t="s">
        <v>105</v>
      </c>
      <c r="F169" s="4" t="s">
        <v>2246</v>
      </c>
      <c r="G169" s="4" t="s">
        <v>2238</v>
      </c>
      <c r="H169" s="4" t="s">
        <v>2099</v>
      </c>
      <c r="I169" s="4" t="s">
        <v>2100</v>
      </c>
      <c r="J169" s="4" t="s">
        <v>2247</v>
      </c>
      <c r="K169">
        <v>23</v>
      </c>
      <c r="L169">
        <v>7.0103999999999997</v>
      </c>
      <c r="M169">
        <v>50.8</v>
      </c>
      <c r="N169">
        <v>152.4</v>
      </c>
      <c r="O169">
        <v>276</v>
      </c>
      <c r="P169">
        <v>2</v>
      </c>
      <c r="Q169">
        <v>6.0000000000000009</v>
      </c>
      <c r="R169">
        <v>423.77600000000001</v>
      </c>
      <c r="S169">
        <v>5.4273955968000005E-2</v>
      </c>
      <c r="T169" s="4" t="s">
        <v>2248</v>
      </c>
    </row>
    <row r="170" spans="1:20" x14ac:dyDescent="0.2">
      <c r="A170" s="4" t="s">
        <v>2234</v>
      </c>
      <c r="B170" s="4" t="s">
        <v>2249</v>
      </c>
      <c r="C170" s="4" t="s">
        <v>2096</v>
      </c>
      <c r="D170" s="4" t="s">
        <v>2236</v>
      </c>
      <c r="E170" s="4" t="s">
        <v>2250</v>
      </c>
      <c r="F170" s="4" t="s">
        <v>2251</v>
      </c>
      <c r="G170" s="4" t="s">
        <v>2238</v>
      </c>
      <c r="H170" s="4" t="s">
        <v>2099</v>
      </c>
      <c r="I170" s="4" t="s">
        <v>2100</v>
      </c>
      <c r="J170" s="4" t="s">
        <v>2252</v>
      </c>
      <c r="K170">
        <v>10</v>
      </c>
      <c r="L170">
        <v>3.048</v>
      </c>
      <c r="M170">
        <v>50.8</v>
      </c>
      <c r="N170">
        <v>203.2</v>
      </c>
      <c r="O170">
        <v>120</v>
      </c>
      <c r="P170">
        <v>2</v>
      </c>
      <c r="Q170">
        <v>8</v>
      </c>
      <c r="R170">
        <v>317.83199999999999</v>
      </c>
      <c r="S170">
        <v>3.1463162879999999E-2</v>
      </c>
      <c r="T170" s="4" t="s">
        <v>2253</v>
      </c>
    </row>
    <row r="171" spans="1:20" x14ac:dyDescent="0.2">
      <c r="A171" s="4" t="s">
        <v>2234</v>
      </c>
      <c r="B171" s="4" t="s">
        <v>2249</v>
      </c>
      <c r="C171" s="4" t="s">
        <v>2096</v>
      </c>
      <c r="D171" s="4" t="s">
        <v>2236</v>
      </c>
      <c r="E171" s="4" t="s">
        <v>2254</v>
      </c>
      <c r="F171" s="4" t="s">
        <v>2251</v>
      </c>
      <c r="G171" s="4" t="s">
        <v>2238</v>
      </c>
      <c r="H171" s="4" t="s">
        <v>2099</v>
      </c>
      <c r="I171" s="4" t="s">
        <v>2100</v>
      </c>
      <c r="J171" s="4" t="s">
        <v>2252</v>
      </c>
      <c r="K171">
        <v>11</v>
      </c>
      <c r="L171">
        <v>3.3527999999999998</v>
      </c>
      <c r="M171">
        <v>50.8</v>
      </c>
      <c r="N171">
        <v>203.2</v>
      </c>
      <c r="O171">
        <v>132</v>
      </c>
      <c r="P171">
        <v>2</v>
      </c>
      <c r="Q171">
        <v>8</v>
      </c>
      <c r="R171">
        <v>317.83199999999999</v>
      </c>
      <c r="S171">
        <v>3.4609479167999994E-2</v>
      </c>
      <c r="T171" s="4" t="s">
        <v>2253</v>
      </c>
    </row>
    <row r="172" spans="1:20" x14ac:dyDescent="0.2">
      <c r="A172" s="4" t="s">
        <v>2234</v>
      </c>
      <c r="B172" s="4" t="s">
        <v>2249</v>
      </c>
      <c r="C172" s="4" t="s">
        <v>2096</v>
      </c>
      <c r="D172" s="4" t="s">
        <v>2236</v>
      </c>
      <c r="E172" s="4" t="s">
        <v>2255</v>
      </c>
      <c r="F172" s="4" t="s">
        <v>2251</v>
      </c>
      <c r="G172" s="4" t="s">
        <v>2238</v>
      </c>
      <c r="H172" s="4" t="s">
        <v>2099</v>
      </c>
      <c r="I172" s="4" t="s">
        <v>2100</v>
      </c>
      <c r="J172" s="4" t="s">
        <v>2252</v>
      </c>
      <c r="K172">
        <v>12</v>
      </c>
      <c r="L172">
        <v>3.6576</v>
      </c>
      <c r="M172">
        <v>50.8</v>
      </c>
      <c r="N172">
        <v>203.2</v>
      </c>
      <c r="O172">
        <v>144</v>
      </c>
      <c r="P172">
        <v>2</v>
      </c>
      <c r="Q172">
        <v>8</v>
      </c>
      <c r="R172">
        <v>317.83199999999999</v>
      </c>
      <c r="S172">
        <v>3.7755795455999996E-2</v>
      </c>
      <c r="T172" s="4" t="s">
        <v>2253</v>
      </c>
    </row>
    <row r="173" spans="1:20" x14ac:dyDescent="0.2">
      <c r="A173" s="4" t="s">
        <v>2234</v>
      </c>
      <c r="B173" s="4" t="s">
        <v>2249</v>
      </c>
      <c r="C173" s="4" t="s">
        <v>2096</v>
      </c>
      <c r="D173" s="4" t="s">
        <v>2236</v>
      </c>
      <c r="E173" s="4" t="s">
        <v>2256</v>
      </c>
      <c r="F173" s="4" t="s">
        <v>2251</v>
      </c>
      <c r="G173" s="4" t="s">
        <v>2238</v>
      </c>
      <c r="H173" s="4" t="s">
        <v>2099</v>
      </c>
      <c r="I173" s="4" t="s">
        <v>2100</v>
      </c>
      <c r="J173" s="4" t="s">
        <v>2252</v>
      </c>
      <c r="K173">
        <v>13</v>
      </c>
      <c r="L173">
        <v>3.9624000000000001</v>
      </c>
      <c r="M173">
        <v>50.8</v>
      </c>
      <c r="N173">
        <v>203.2</v>
      </c>
      <c r="O173">
        <v>156</v>
      </c>
      <c r="P173">
        <v>2</v>
      </c>
      <c r="Q173">
        <v>8</v>
      </c>
      <c r="R173">
        <v>317.83199999999999</v>
      </c>
      <c r="S173">
        <v>4.0902111743999998E-2</v>
      </c>
      <c r="T173" s="4" t="s">
        <v>2253</v>
      </c>
    </row>
    <row r="174" spans="1:20" x14ac:dyDescent="0.2">
      <c r="A174" s="4" t="s">
        <v>2234</v>
      </c>
      <c r="B174" s="4" t="s">
        <v>2249</v>
      </c>
      <c r="C174" s="4" t="s">
        <v>2096</v>
      </c>
      <c r="D174" s="4" t="s">
        <v>2236</v>
      </c>
      <c r="E174" s="4" t="s">
        <v>2257</v>
      </c>
      <c r="F174" s="4" t="s">
        <v>2251</v>
      </c>
      <c r="G174" s="4" t="s">
        <v>2238</v>
      </c>
      <c r="H174" s="4" t="s">
        <v>2099</v>
      </c>
      <c r="I174" s="4" t="s">
        <v>2100</v>
      </c>
      <c r="J174" s="4" t="s">
        <v>2252</v>
      </c>
      <c r="K174">
        <v>14</v>
      </c>
      <c r="L174">
        <v>4.2671999999999999</v>
      </c>
      <c r="M174">
        <v>50.8</v>
      </c>
      <c r="N174">
        <v>203.2</v>
      </c>
      <c r="O174">
        <v>168</v>
      </c>
      <c r="P174">
        <v>2</v>
      </c>
      <c r="Q174">
        <v>8</v>
      </c>
      <c r="R174">
        <v>317.83199999999999</v>
      </c>
      <c r="S174">
        <v>4.4048428031999994E-2</v>
      </c>
      <c r="T174" s="4" t="s">
        <v>2253</v>
      </c>
    </row>
    <row r="175" spans="1:20" x14ac:dyDescent="0.2">
      <c r="A175" s="4" t="s">
        <v>2234</v>
      </c>
      <c r="B175" s="4" t="s">
        <v>2249</v>
      </c>
      <c r="C175" s="4" t="s">
        <v>2096</v>
      </c>
      <c r="D175" s="4" t="s">
        <v>2236</v>
      </c>
      <c r="E175" s="4" t="s">
        <v>2258</v>
      </c>
      <c r="F175" s="4" t="s">
        <v>2251</v>
      </c>
      <c r="G175" s="4" t="s">
        <v>2238</v>
      </c>
      <c r="H175" s="4" t="s">
        <v>2099</v>
      </c>
      <c r="I175" s="4" t="s">
        <v>2100</v>
      </c>
      <c r="J175" s="4" t="s">
        <v>2252</v>
      </c>
      <c r="K175">
        <v>15</v>
      </c>
      <c r="L175">
        <v>4.5720000000000001</v>
      </c>
      <c r="M175">
        <v>50.8</v>
      </c>
      <c r="N175">
        <v>203.2</v>
      </c>
      <c r="O175">
        <v>180</v>
      </c>
      <c r="P175">
        <v>2</v>
      </c>
      <c r="Q175">
        <v>8</v>
      </c>
      <c r="R175">
        <v>317.83199999999999</v>
      </c>
      <c r="S175">
        <v>4.7194744319999996E-2</v>
      </c>
      <c r="T175" s="4" t="s">
        <v>2253</v>
      </c>
    </row>
    <row r="176" spans="1:20" x14ac:dyDescent="0.2">
      <c r="A176" s="4" t="s">
        <v>2234</v>
      </c>
      <c r="B176" s="4" t="s">
        <v>2249</v>
      </c>
      <c r="C176" s="4" t="s">
        <v>2096</v>
      </c>
      <c r="D176" s="4" t="s">
        <v>2236</v>
      </c>
      <c r="E176" s="4" t="s">
        <v>2259</v>
      </c>
      <c r="F176" s="4" t="s">
        <v>2251</v>
      </c>
      <c r="G176" s="4" t="s">
        <v>2238</v>
      </c>
      <c r="H176" s="4" t="s">
        <v>2099</v>
      </c>
      <c r="I176" s="4" t="s">
        <v>2100</v>
      </c>
      <c r="J176" s="4" t="s">
        <v>2252</v>
      </c>
      <c r="K176">
        <v>16</v>
      </c>
      <c r="L176">
        <v>4.8768000000000002</v>
      </c>
      <c r="M176">
        <v>50.8</v>
      </c>
      <c r="N176">
        <v>203.2</v>
      </c>
      <c r="O176">
        <v>192.00000000000003</v>
      </c>
      <c r="P176">
        <v>2</v>
      </c>
      <c r="Q176">
        <v>8</v>
      </c>
      <c r="R176">
        <v>317.83199999999999</v>
      </c>
      <c r="S176">
        <v>5.0341060607999998E-2</v>
      </c>
      <c r="T176" s="4" t="s">
        <v>2253</v>
      </c>
    </row>
    <row r="177" spans="1:20" x14ac:dyDescent="0.2">
      <c r="A177" s="4" t="s">
        <v>2234</v>
      </c>
      <c r="B177" s="4" t="s">
        <v>2249</v>
      </c>
      <c r="C177" s="4" t="s">
        <v>2096</v>
      </c>
      <c r="D177" s="4" t="s">
        <v>2236</v>
      </c>
      <c r="E177" s="4" t="s">
        <v>2260</v>
      </c>
      <c r="F177" s="4" t="s">
        <v>2251</v>
      </c>
      <c r="G177" s="4" t="s">
        <v>2238</v>
      </c>
      <c r="H177" s="4" t="s">
        <v>2099</v>
      </c>
      <c r="I177" s="4" t="s">
        <v>2100</v>
      </c>
      <c r="J177" s="4" t="s">
        <v>2252</v>
      </c>
      <c r="K177">
        <v>17</v>
      </c>
      <c r="L177">
        <v>5.1816000000000004</v>
      </c>
      <c r="M177">
        <v>50.8</v>
      </c>
      <c r="N177">
        <v>203.2</v>
      </c>
      <c r="O177">
        <v>204.00000000000003</v>
      </c>
      <c r="P177">
        <v>2</v>
      </c>
      <c r="Q177">
        <v>8</v>
      </c>
      <c r="R177">
        <v>317.83199999999999</v>
      </c>
      <c r="S177">
        <v>5.3487376896E-2</v>
      </c>
      <c r="T177" s="4" t="s">
        <v>2253</v>
      </c>
    </row>
    <row r="178" spans="1:20" x14ac:dyDescent="0.2">
      <c r="A178" s="4" t="s">
        <v>2234</v>
      </c>
      <c r="B178" s="4" t="s">
        <v>2249</v>
      </c>
      <c r="C178" s="4" t="s">
        <v>2096</v>
      </c>
      <c r="D178" s="4" t="s">
        <v>2236</v>
      </c>
      <c r="E178" s="4" t="s">
        <v>2261</v>
      </c>
      <c r="F178" s="4" t="s">
        <v>2251</v>
      </c>
      <c r="G178" s="4" t="s">
        <v>2238</v>
      </c>
      <c r="H178" s="4" t="s">
        <v>2099</v>
      </c>
      <c r="I178" s="4" t="s">
        <v>2100</v>
      </c>
      <c r="J178" s="4" t="s">
        <v>2252</v>
      </c>
      <c r="K178">
        <v>18</v>
      </c>
      <c r="L178">
        <v>5.4863999999999997</v>
      </c>
      <c r="M178">
        <v>50.8</v>
      </c>
      <c r="N178">
        <v>203.2</v>
      </c>
      <c r="O178">
        <v>216</v>
      </c>
      <c r="P178">
        <v>2</v>
      </c>
      <c r="Q178">
        <v>8</v>
      </c>
      <c r="R178">
        <v>317.83199999999999</v>
      </c>
      <c r="S178">
        <v>5.6633693183999995E-2</v>
      </c>
      <c r="T178" s="4" t="s">
        <v>2253</v>
      </c>
    </row>
    <row r="179" spans="1:20" x14ac:dyDescent="0.2">
      <c r="A179" s="4" t="s">
        <v>2234</v>
      </c>
      <c r="B179" s="4" t="s">
        <v>2249</v>
      </c>
      <c r="C179" s="4" t="s">
        <v>2096</v>
      </c>
      <c r="D179" s="4" t="s">
        <v>2236</v>
      </c>
      <c r="E179" s="4" t="s">
        <v>2262</v>
      </c>
      <c r="F179" s="4" t="s">
        <v>2251</v>
      </c>
      <c r="G179" s="4" t="s">
        <v>2238</v>
      </c>
      <c r="H179" s="4" t="s">
        <v>2099</v>
      </c>
      <c r="I179" s="4" t="s">
        <v>2100</v>
      </c>
      <c r="J179" s="4" t="s">
        <v>2252</v>
      </c>
      <c r="K179">
        <v>19</v>
      </c>
      <c r="L179">
        <v>5.7911999999999999</v>
      </c>
      <c r="M179">
        <v>50.8</v>
      </c>
      <c r="N179">
        <v>203.2</v>
      </c>
      <c r="O179">
        <v>228</v>
      </c>
      <c r="P179">
        <v>2</v>
      </c>
      <c r="Q179">
        <v>8</v>
      </c>
      <c r="R179">
        <v>317.83199999999999</v>
      </c>
      <c r="S179">
        <v>5.978000947199999E-2</v>
      </c>
      <c r="T179" s="4" t="s">
        <v>2253</v>
      </c>
    </row>
    <row r="180" spans="1:20" x14ac:dyDescent="0.2">
      <c r="A180" s="4" t="s">
        <v>2234</v>
      </c>
      <c r="B180" s="4" t="s">
        <v>2249</v>
      </c>
      <c r="C180" s="4" t="s">
        <v>2096</v>
      </c>
      <c r="D180" s="4" t="s">
        <v>2236</v>
      </c>
      <c r="E180" s="4" t="s">
        <v>2263</v>
      </c>
      <c r="F180" s="4" t="s">
        <v>2251</v>
      </c>
      <c r="G180" s="4" t="s">
        <v>2238</v>
      </c>
      <c r="H180" s="4" t="s">
        <v>2099</v>
      </c>
      <c r="I180" s="4" t="s">
        <v>2100</v>
      </c>
      <c r="J180" s="4" t="s">
        <v>2252</v>
      </c>
      <c r="K180">
        <v>20</v>
      </c>
      <c r="L180">
        <v>6.0960000000000001</v>
      </c>
      <c r="M180">
        <v>50.8</v>
      </c>
      <c r="N180">
        <v>203.2</v>
      </c>
      <c r="O180">
        <v>240</v>
      </c>
      <c r="P180">
        <v>2</v>
      </c>
      <c r="Q180">
        <v>8</v>
      </c>
      <c r="R180">
        <v>317.83199999999999</v>
      </c>
      <c r="S180">
        <v>6.2926325759999999E-2</v>
      </c>
      <c r="T180" s="4" t="s">
        <v>2253</v>
      </c>
    </row>
    <row r="181" spans="1:20" x14ac:dyDescent="0.2">
      <c r="A181" s="4" t="s">
        <v>2234</v>
      </c>
      <c r="B181" s="4" t="s">
        <v>2249</v>
      </c>
      <c r="C181" s="4" t="s">
        <v>2096</v>
      </c>
      <c r="D181" s="4" t="s">
        <v>2236</v>
      </c>
      <c r="E181" s="4" t="s">
        <v>2264</v>
      </c>
      <c r="F181" s="4" t="s">
        <v>2251</v>
      </c>
      <c r="G181" s="4" t="s">
        <v>2238</v>
      </c>
      <c r="H181" s="4" t="s">
        <v>2099</v>
      </c>
      <c r="I181" s="4" t="s">
        <v>2100</v>
      </c>
      <c r="J181" s="4" t="s">
        <v>2252</v>
      </c>
      <c r="K181">
        <v>21</v>
      </c>
      <c r="L181">
        <v>6.4008000000000003</v>
      </c>
      <c r="M181">
        <v>50.8</v>
      </c>
      <c r="N181">
        <v>203.2</v>
      </c>
      <c r="O181">
        <v>252.00000000000003</v>
      </c>
      <c r="P181">
        <v>2</v>
      </c>
      <c r="Q181">
        <v>8</v>
      </c>
      <c r="R181">
        <v>317.83199999999999</v>
      </c>
      <c r="S181">
        <v>6.6072642047999994E-2</v>
      </c>
      <c r="T181" s="4" t="s">
        <v>2253</v>
      </c>
    </row>
    <row r="182" spans="1:20" x14ac:dyDescent="0.2">
      <c r="A182" s="4" t="s">
        <v>2234</v>
      </c>
      <c r="B182" s="4" t="s">
        <v>2249</v>
      </c>
      <c r="C182" s="4" t="s">
        <v>2096</v>
      </c>
      <c r="D182" s="4" t="s">
        <v>2236</v>
      </c>
      <c r="E182" s="4" t="s">
        <v>2265</v>
      </c>
      <c r="F182" s="4" t="s">
        <v>2251</v>
      </c>
      <c r="G182" s="4" t="s">
        <v>2238</v>
      </c>
      <c r="H182" s="4" t="s">
        <v>2099</v>
      </c>
      <c r="I182" s="4" t="s">
        <v>2100</v>
      </c>
      <c r="J182" s="4" t="s">
        <v>2252</v>
      </c>
      <c r="K182">
        <v>22</v>
      </c>
      <c r="L182">
        <v>6.7055999999999996</v>
      </c>
      <c r="M182">
        <v>50.8</v>
      </c>
      <c r="N182">
        <v>203.2</v>
      </c>
      <c r="O182">
        <v>264</v>
      </c>
      <c r="P182">
        <v>2</v>
      </c>
      <c r="Q182">
        <v>8</v>
      </c>
      <c r="R182">
        <v>317.83199999999999</v>
      </c>
      <c r="S182">
        <v>6.9218958335999989E-2</v>
      </c>
      <c r="T182" s="4" t="s">
        <v>2253</v>
      </c>
    </row>
    <row r="183" spans="1:20" x14ac:dyDescent="0.2">
      <c r="A183" s="4" t="s">
        <v>2234</v>
      </c>
      <c r="B183" s="4" t="s">
        <v>2249</v>
      </c>
      <c r="C183" s="4" t="s">
        <v>2096</v>
      </c>
      <c r="D183" s="4" t="s">
        <v>2236</v>
      </c>
      <c r="E183" s="4" t="s">
        <v>2266</v>
      </c>
      <c r="F183" s="4" t="s">
        <v>2251</v>
      </c>
      <c r="G183" s="4" t="s">
        <v>2238</v>
      </c>
      <c r="H183" s="4" t="s">
        <v>2099</v>
      </c>
      <c r="I183" s="4" t="s">
        <v>2100</v>
      </c>
      <c r="J183" s="4" t="s">
        <v>2252</v>
      </c>
      <c r="K183">
        <v>23</v>
      </c>
      <c r="L183">
        <v>7.0103999999999997</v>
      </c>
      <c r="M183">
        <v>50.8</v>
      </c>
      <c r="N183">
        <v>203.2</v>
      </c>
      <c r="O183">
        <v>276</v>
      </c>
      <c r="P183">
        <v>2</v>
      </c>
      <c r="Q183">
        <v>8</v>
      </c>
      <c r="R183">
        <v>317.83199999999999</v>
      </c>
      <c r="S183">
        <v>7.2365274623999998E-2</v>
      </c>
      <c r="T183" s="4" t="s">
        <v>2253</v>
      </c>
    </row>
    <row r="184" spans="1:20" x14ac:dyDescent="0.2">
      <c r="A184" s="4" t="s">
        <v>2234</v>
      </c>
      <c r="B184" s="4" t="s">
        <v>2267</v>
      </c>
      <c r="C184" s="4" t="s">
        <v>2096</v>
      </c>
      <c r="D184" s="4" t="s">
        <v>2236</v>
      </c>
      <c r="E184" s="4" t="s">
        <v>2268</v>
      </c>
      <c r="F184" s="4" t="s">
        <v>2269</v>
      </c>
      <c r="G184" s="4" t="s">
        <v>2238</v>
      </c>
      <c r="H184" s="4" t="s">
        <v>2183</v>
      </c>
      <c r="I184" s="4" t="s">
        <v>2100</v>
      </c>
      <c r="J184" s="4" t="s">
        <v>2270</v>
      </c>
      <c r="K184">
        <v>10</v>
      </c>
      <c r="L184">
        <v>3.048</v>
      </c>
      <c r="M184">
        <v>43</v>
      </c>
      <c r="N184">
        <v>68</v>
      </c>
      <c r="O184">
        <v>120</v>
      </c>
      <c r="P184">
        <v>1.6929133858267718</v>
      </c>
      <c r="Q184">
        <v>2.6771653543307088</v>
      </c>
      <c r="R184">
        <v>1122.038</v>
      </c>
      <c r="S184">
        <v>8.9123519999999984E-3</v>
      </c>
      <c r="T184" s="4" t="s">
        <v>2271</v>
      </c>
    </row>
    <row r="185" spans="1:20" x14ac:dyDescent="0.2">
      <c r="A185" s="4" t="s">
        <v>2234</v>
      </c>
      <c r="B185" s="4" t="s">
        <v>2267</v>
      </c>
      <c r="C185" s="4" t="s">
        <v>2096</v>
      </c>
      <c r="D185" s="4" t="s">
        <v>2236</v>
      </c>
      <c r="E185" s="4" t="s">
        <v>2272</v>
      </c>
      <c r="F185" s="4" t="s">
        <v>2269</v>
      </c>
      <c r="G185" s="4" t="s">
        <v>2238</v>
      </c>
      <c r="H185" s="4" t="s">
        <v>2183</v>
      </c>
      <c r="I185" s="4" t="s">
        <v>2100</v>
      </c>
      <c r="J185" s="4" t="s">
        <v>2270</v>
      </c>
      <c r="K185">
        <v>11</v>
      </c>
      <c r="L185">
        <v>3.3528000000000002</v>
      </c>
      <c r="M185">
        <v>43</v>
      </c>
      <c r="N185">
        <v>68</v>
      </c>
      <c r="O185">
        <v>132</v>
      </c>
      <c r="P185">
        <v>1.6929133858267718</v>
      </c>
      <c r="Q185">
        <v>2.6771653543307088</v>
      </c>
      <c r="R185">
        <v>1122.038</v>
      </c>
      <c r="S185">
        <v>9.8035872000000017E-3</v>
      </c>
      <c r="T185" s="4" t="s">
        <v>2271</v>
      </c>
    </row>
    <row r="186" spans="1:20" x14ac:dyDescent="0.2">
      <c r="A186" s="4" t="s">
        <v>2234</v>
      </c>
      <c r="B186" s="4" t="s">
        <v>2267</v>
      </c>
      <c r="C186" s="4" t="s">
        <v>2096</v>
      </c>
      <c r="D186" s="4" t="s">
        <v>2236</v>
      </c>
      <c r="E186" s="4" t="s">
        <v>2273</v>
      </c>
      <c r="F186" s="4" t="s">
        <v>2269</v>
      </c>
      <c r="G186" s="4" t="s">
        <v>2238</v>
      </c>
      <c r="H186" s="4" t="s">
        <v>2183</v>
      </c>
      <c r="I186" s="4" t="s">
        <v>2100</v>
      </c>
      <c r="J186" s="4" t="s">
        <v>2270</v>
      </c>
      <c r="K186">
        <v>12</v>
      </c>
      <c r="L186">
        <v>3.6576000000000004</v>
      </c>
      <c r="M186">
        <v>43</v>
      </c>
      <c r="N186">
        <v>68</v>
      </c>
      <c r="O186">
        <v>144.00000000000003</v>
      </c>
      <c r="P186">
        <v>1.6929133858267718</v>
      </c>
      <c r="Q186">
        <v>2.6771653543307088</v>
      </c>
      <c r="R186">
        <v>1122.038</v>
      </c>
      <c r="S186">
        <v>1.0694822400000002E-2</v>
      </c>
      <c r="T186" s="4" t="s">
        <v>2271</v>
      </c>
    </row>
    <row r="187" spans="1:20" x14ac:dyDescent="0.2">
      <c r="A187" s="4" t="s">
        <v>2234</v>
      </c>
      <c r="B187" s="4" t="s">
        <v>2267</v>
      </c>
      <c r="C187" s="4" t="s">
        <v>2096</v>
      </c>
      <c r="D187" s="4" t="s">
        <v>2236</v>
      </c>
      <c r="E187" s="4" t="s">
        <v>2274</v>
      </c>
      <c r="F187" s="4" t="s">
        <v>2269</v>
      </c>
      <c r="G187" s="4" t="s">
        <v>2238</v>
      </c>
      <c r="H187" s="4" t="s">
        <v>2183</v>
      </c>
      <c r="I187" s="4" t="s">
        <v>2100</v>
      </c>
      <c r="J187" s="4" t="s">
        <v>2270</v>
      </c>
      <c r="K187">
        <v>13</v>
      </c>
      <c r="L187">
        <v>3.9624000000000001</v>
      </c>
      <c r="M187">
        <v>43</v>
      </c>
      <c r="N187">
        <v>68</v>
      </c>
      <c r="O187">
        <v>156</v>
      </c>
      <c r="P187">
        <v>1.6929133858267718</v>
      </c>
      <c r="Q187">
        <v>2.6771653543307088</v>
      </c>
      <c r="R187">
        <v>1122.038</v>
      </c>
      <c r="S187">
        <v>1.15860576E-2</v>
      </c>
      <c r="T187" s="4" t="s">
        <v>2271</v>
      </c>
    </row>
    <row r="188" spans="1:20" x14ac:dyDescent="0.2">
      <c r="A188" s="4" t="s">
        <v>2234</v>
      </c>
      <c r="B188" s="4" t="s">
        <v>2267</v>
      </c>
      <c r="C188" s="4" t="s">
        <v>2096</v>
      </c>
      <c r="D188" s="4" t="s">
        <v>2236</v>
      </c>
      <c r="E188" s="4" t="s">
        <v>2275</v>
      </c>
      <c r="F188" s="4" t="s">
        <v>2269</v>
      </c>
      <c r="G188" s="4" t="s">
        <v>2238</v>
      </c>
      <c r="H188" s="4" t="s">
        <v>2183</v>
      </c>
      <c r="I188" s="4" t="s">
        <v>2100</v>
      </c>
      <c r="J188" s="4" t="s">
        <v>2270</v>
      </c>
      <c r="K188">
        <v>14</v>
      </c>
      <c r="L188">
        <v>4.2671999999999999</v>
      </c>
      <c r="M188">
        <v>43</v>
      </c>
      <c r="N188">
        <v>68</v>
      </c>
      <c r="O188">
        <v>168</v>
      </c>
      <c r="P188">
        <v>1.6929133858267718</v>
      </c>
      <c r="Q188">
        <v>2.6771653543307088</v>
      </c>
      <c r="R188">
        <v>1122.038</v>
      </c>
      <c r="S188">
        <v>1.2477292800000001E-2</v>
      </c>
      <c r="T188" s="4" t="s">
        <v>2271</v>
      </c>
    </row>
    <row r="189" spans="1:20" x14ac:dyDescent="0.2">
      <c r="A189" s="4" t="s">
        <v>2234</v>
      </c>
      <c r="B189" s="4" t="s">
        <v>2267</v>
      </c>
      <c r="C189" s="4" t="s">
        <v>2096</v>
      </c>
      <c r="D189" s="4" t="s">
        <v>2236</v>
      </c>
      <c r="E189" s="4" t="s">
        <v>2276</v>
      </c>
      <c r="F189" s="4" t="s">
        <v>2269</v>
      </c>
      <c r="G189" s="4" t="s">
        <v>2238</v>
      </c>
      <c r="H189" s="4" t="s">
        <v>2183</v>
      </c>
      <c r="I189" s="4" t="s">
        <v>2100</v>
      </c>
      <c r="J189" s="4" t="s">
        <v>2270</v>
      </c>
      <c r="K189">
        <v>15</v>
      </c>
      <c r="L189">
        <v>4.5720000000000001</v>
      </c>
      <c r="M189">
        <v>43</v>
      </c>
      <c r="N189">
        <v>68</v>
      </c>
      <c r="O189">
        <v>180</v>
      </c>
      <c r="P189">
        <v>1.6929133858267718</v>
      </c>
      <c r="Q189">
        <v>2.6771653543307088</v>
      </c>
      <c r="R189">
        <v>1122.038</v>
      </c>
      <c r="S189">
        <v>1.3368527999999999E-2</v>
      </c>
      <c r="T189" s="4" t="s">
        <v>2271</v>
      </c>
    </row>
    <row r="190" spans="1:20" x14ac:dyDescent="0.2">
      <c r="A190" s="4" t="s">
        <v>2234</v>
      </c>
      <c r="B190" s="4" t="s">
        <v>2267</v>
      </c>
      <c r="C190" s="4" t="s">
        <v>2096</v>
      </c>
      <c r="D190" s="4" t="s">
        <v>2236</v>
      </c>
      <c r="E190" s="4" t="s">
        <v>2277</v>
      </c>
      <c r="F190" s="4" t="s">
        <v>2269</v>
      </c>
      <c r="G190" s="4" t="s">
        <v>2238</v>
      </c>
      <c r="H190" s="4" t="s">
        <v>2183</v>
      </c>
      <c r="I190" s="4" t="s">
        <v>2100</v>
      </c>
      <c r="J190" s="4" t="s">
        <v>2270</v>
      </c>
      <c r="K190">
        <v>16</v>
      </c>
      <c r="L190">
        <v>4.8768000000000002</v>
      </c>
      <c r="M190">
        <v>43</v>
      </c>
      <c r="N190">
        <v>68</v>
      </c>
      <c r="O190">
        <v>192.00000000000003</v>
      </c>
      <c r="P190">
        <v>1.6929133858267718</v>
      </c>
      <c r="Q190">
        <v>2.6771653543307088</v>
      </c>
      <c r="R190">
        <v>1122.038</v>
      </c>
      <c r="S190">
        <v>1.4259763200000001E-2</v>
      </c>
      <c r="T190" s="4" t="s">
        <v>2271</v>
      </c>
    </row>
    <row r="191" spans="1:20" x14ac:dyDescent="0.2">
      <c r="A191" s="4" t="s">
        <v>2234</v>
      </c>
      <c r="B191" s="4" t="s">
        <v>2267</v>
      </c>
      <c r="C191" s="4" t="s">
        <v>2096</v>
      </c>
      <c r="D191" s="4" t="s">
        <v>2236</v>
      </c>
      <c r="E191" s="4" t="s">
        <v>2278</v>
      </c>
      <c r="F191" s="4" t="s">
        <v>2269</v>
      </c>
      <c r="G191" s="4" t="s">
        <v>2238</v>
      </c>
      <c r="H191" s="4" t="s">
        <v>2183</v>
      </c>
      <c r="I191" s="4" t="s">
        <v>2100</v>
      </c>
      <c r="J191" s="4" t="s">
        <v>2270</v>
      </c>
      <c r="K191">
        <v>17</v>
      </c>
      <c r="L191">
        <v>5.1816000000000004</v>
      </c>
      <c r="M191">
        <v>43</v>
      </c>
      <c r="N191">
        <v>68</v>
      </c>
      <c r="O191">
        <v>204.00000000000003</v>
      </c>
      <c r="P191">
        <v>1.6929133858267718</v>
      </c>
      <c r="Q191">
        <v>2.6771653543307088</v>
      </c>
      <c r="R191">
        <v>1122.038</v>
      </c>
      <c r="S191">
        <v>1.5150998400000002E-2</v>
      </c>
      <c r="T191" s="4" t="s">
        <v>2271</v>
      </c>
    </row>
    <row r="192" spans="1:20" x14ac:dyDescent="0.2">
      <c r="A192" s="4" t="s">
        <v>2234</v>
      </c>
      <c r="B192" s="4" t="s">
        <v>2267</v>
      </c>
      <c r="C192" s="4" t="s">
        <v>2096</v>
      </c>
      <c r="D192" s="4" t="s">
        <v>2236</v>
      </c>
      <c r="E192" s="4" t="s">
        <v>2279</v>
      </c>
      <c r="F192" s="4" t="s">
        <v>2269</v>
      </c>
      <c r="G192" s="4" t="s">
        <v>2238</v>
      </c>
      <c r="H192" s="4" t="s">
        <v>2183</v>
      </c>
      <c r="I192" s="4" t="s">
        <v>2100</v>
      </c>
      <c r="J192" s="4" t="s">
        <v>2270</v>
      </c>
      <c r="K192">
        <v>18</v>
      </c>
      <c r="L192">
        <v>5.4864000000000006</v>
      </c>
      <c r="M192">
        <v>43</v>
      </c>
      <c r="N192">
        <v>68</v>
      </c>
      <c r="O192">
        <v>216.00000000000003</v>
      </c>
      <c r="P192">
        <v>1.6929133858267718</v>
      </c>
      <c r="Q192">
        <v>2.6771653543307088</v>
      </c>
      <c r="R192">
        <v>1122.038</v>
      </c>
      <c r="S192">
        <v>1.6042233600000004E-2</v>
      </c>
      <c r="T192" s="4" t="s">
        <v>2271</v>
      </c>
    </row>
    <row r="193" spans="1:20" x14ac:dyDescent="0.2">
      <c r="A193" s="4" t="s">
        <v>2234</v>
      </c>
      <c r="B193" s="4" t="s">
        <v>2267</v>
      </c>
      <c r="C193" s="4" t="s">
        <v>2096</v>
      </c>
      <c r="D193" s="4" t="s">
        <v>2236</v>
      </c>
      <c r="E193" s="4" t="s">
        <v>2280</v>
      </c>
      <c r="F193" s="4" t="s">
        <v>2269</v>
      </c>
      <c r="G193" s="4" t="s">
        <v>2238</v>
      </c>
      <c r="H193" s="4" t="s">
        <v>2183</v>
      </c>
      <c r="I193" s="4" t="s">
        <v>2100</v>
      </c>
      <c r="J193" s="4" t="s">
        <v>2270</v>
      </c>
      <c r="K193">
        <v>19</v>
      </c>
      <c r="L193">
        <v>5.7911999999999999</v>
      </c>
      <c r="M193">
        <v>43</v>
      </c>
      <c r="N193">
        <v>68</v>
      </c>
      <c r="O193">
        <v>228</v>
      </c>
      <c r="P193">
        <v>1.6929133858267718</v>
      </c>
      <c r="Q193">
        <v>2.6771653543307088</v>
      </c>
      <c r="R193">
        <v>1122.038</v>
      </c>
      <c r="S193">
        <v>1.69334688E-2</v>
      </c>
      <c r="T193" s="4" t="s">
        <v>2271</v>
      </c>
    </row>
    <row r="194" spans="1:20" x14ac:dyDescent="0.2">
      <c r="A194" s="4" t="s">
        <v>2234</v>
      </c>
      <c r="B194" s="4" t="s">
        <v>2267</v>
      </c>
      <c r="C194" s="4" t="s">
        <v>2096</v>
      </c>
      <c r="D194" s="4" t="s">
        <v>2236</v>
      </c>
      <c r="E194" s="4" t="s">
        <v>2281</v>
      </c>
      <c r="F194" s="4" t="s">
        <v>2269</v>
      </c>
      <c r="G194" s="4" t="s">
        <v>2238</v>
      </c>
      <c r="H194" s="4" t="s">
        <v>2183</v>
      </c>
      <c r="I194" s="4" t="s">
        <v>2100</v>
      </c>
      <c r="J194" s="4" t="s">
        <v>2270</v>
      </c>
      <c r="K194">
        <v>20</v>
      </c>
      <c r="L194">
        <v>6.0960000000000001</v>
      </c>
      <c r="M194">
        <v>43</v>
      </c>
      <c r="N194">
        <v>68</v>
      </c>
      <c r="O194">
        <v>240</v>
      </c>
      <c r="P194">
        <v>1.6929133858267718</v>
      </c>
      <c r="Q194">
        <v>2.6771653543307088</v>
      </c>
      <c r="R194">
        <v>1122.038</v>
      </c>
      <c r="S194">
        <v>1.7824703999999997E-2</v>
      </c>
      <c r="T194" s="4" t="s">
        <v>2271</v>
      </c>
    </row>
    <row r="195" spans="1:20" x14ac:dyDescent="0.2">
      <c r="A195" s="4" t="s">
        <v>2234</v>
      </c>
      <c r="B195" s="4" t="s">
        <v>2267</v>
      </c>
      <c r="C195" s="4" t="s">
        <v>2096</v>
      </c>
      <c r="D195" s="4" t="s">
        <v>2236</v>
      </c>
      <c r="E195" s="4" t="s">
        <v>2282</v>
      </c>
      <c r="F195" s="4" t="s">
        <v>2269</v>
      </c>
      <c r="G195" s="4" t="s">
        <v>2238</v>
      </c>
      <c r="H195" s="4" t="s">
        <v>2183</v>
      </c>
      <c r="I195" s="4" t="s">
        <v>2100</v>
      </c>
      <c r="J195" s="4" t="s">
        <v>2270</v>
      </c>
      <c r="K195">
        <v>21</v>
      </c>
      <c r="L195">
        <v>6.4008000000000003</v>
      </c>
      <c r="M195">
        <v>43</v>
      </c>
      <c r="N195">
        <v>68</v>
      </c>
      <c r="O195">
        <v>252.00000000000003</v>
      </c>
      <c r="P195">
        <v>1.6929133858267718</v>
      </c>
      <c r="Q195">
        <v>2.6771653543307088</v>
      </c>
      <c r="R195">
        <v>1122.038</v>
      </c>
      <c r="S195">
        <v>1.87159392E-2</v>
      </c>
      <c r="T195" s="4" t="s">
        <v>2271</v>
      </c>
    </row>
    <row r="196" spans="1:20" x14ac:dyDescent="0.2">
      <c r="A196" s="4" t="s">
        <v>2234</v>
      </c>
      <c r="B196" s="4" t="s">
        <v>2267</v>
      </c>
      <c r="C196" s="4" t="s">
        <v>2096</v>
      </c>
      <c r="D196" s="4" t="s">
        <v>2236</v>
      </c>
      <c r="E196" s="4" t="s">
        <v>2283</v>
      </c>
      <c r="F196" s="4" t="s">
        <v>2269</v>
      </c>
      <c r="G196" s="4" t="s">
        <v>2238</v>
      </c>
      <c r="H196" s="4" t="s">
        <v>2183</v>
      </c>
      <c r="I196" s="4" t="s">
        <v>2100</v>
      </c>
      <c r="J196" s="4" t="s">
        <v>2270</v>
      </c>
      <c r="K196">
        <v>22</v>
      </c>
      <c r="L196">
        <v>6.7056000000000004</v>
      </c>
      <c r="M196">
        <v>43</v>
      </c>
      <c r="N196">
        <v>68</v>
      </c>
      <c r="O196">
        <v>264</v>
      </c>
      <c r="P196">
        <v>1.6929133858267718</v>
      </c>
      <c r="Q196">
        <v>2.6771653543307088</v>
      </c>
      <c r="R196">
        <v>1122.038</v>
      </c>
      <c r="S196">
        <v>1.9607174400000003E-2</v>
      </c>
      <c r="T196" s="4" t="s">
        <v>2271</v>
      </c>
    </row>
    <row r="197" spans="1:20" x14ac:dyDescent="0.2">
      <c r="A197" s="4" t="s">
        <v>2234</v>
      </c>
      <c r="B197" s="4" t="s">
        <v>2267</v>
      </c>
      <c r="C197" s="4" t="s">
        <v>2096</v>
      </c>
      <c r="D197" s="4" t="s">
        <v>2236</v>
      </c>
      <c r="E197" s="4" t="s">
        <v>2284</v>
      </c>
      <c r="F197" s="4" t="s">
        <v>2269</v>
      </c>
      <c r="G197" s="4" t="s">
        <v>2238</v>
      </c>
      <c r="H197" s="4" t="s">
        <v>2183</v>
      </c>
      <c r="I197" s="4" t="s">
        <v>2100</v>
      </c>
      <c r="J197" s="4" t="s">
        <v>2270</v>
      </c>
      <c r="K197">
        <v>23</v>
      </c>
      <c r="L197">
        <v>7.0104000000000006</v>
      </c>
      <c r="M197">
        <v>43</v>
      </c>
      <c r="N197">
        <v>68</v>
      </c>
      <c r="O197">
        <v>276.00000000000006</v>
      </c>
      <c r="P197">
        <v>1.6929133858267718</v>
      </c>
      <c r="Q197">
        <v>2.6771653543307088</v>
      </c>
      <c r="R197">
        <v>1122.038</v>
      </c>
      <c r="S197">
        <v>2.0498409600000003E-2</v>
      </c>
      <c r="T197" s="4" t="s">
        <v>2271</v>
      </c>
    </row>
    <row r="198" spans="1:20" x14ac:dyDescent="0.2">
      <c r="A198" s="4" t="s">
        <v>2234</v>
      </c>
      <c r="B198" s="4" t="s">
        <v>2267</v>
      </c>
      <c r="C198" s="4" t="s">
        <v>2096</v>
      </c>
      <c r="D198" s="4" t="s">
        <v>2236</v>
      </c>
      <c r="E198" s="4" t="s">
        <v>2285</v>
      </c>
      <c r="F198" s="4" t="s">
        <v>2269</v>
      </c>
      <c r="G198" s="4" t="s">
        <v>2238</v>
      </c>
      <c r="H198" s="4" t="s">
        <v>2183</v>
      </c>
      <c r="I198" s="4" t="s">
        <v>2100</v>
      </c>
      <c r="J198" s="4" t="s">
        <v>2270</v>
      </c>
      <c r="K198">
        <v>24</v>
      </c>
      <c r="L198">
        <v>7.3152000000000008</v>
      </c>
      <c r="M198">
        <v>43</v>
      </c>
      <c r="N198">
        <v>68</v>
      </c>
      <c r="O198">
        <v>288.00000000000006</v>
      </c>
      <c r="P198">
        <v>1.6929133858267718</v>
      </c>
      <c r="Q198">
        <v>2.6771653543307088</v>
      </c>
      <c r="R198">
        <v>1122.038</v>
      </c>
      <c r="S198">
        <v>2.1389644800000003E-2</v>
      </c>
      <c r="T198" s="4" t="s">
        <v>2271</v>
      </c>
    </row>
    <row r="199" spans="1:20" x14ac:dyDescent="0.2">
      <c r="A199" s="4" t="s">
        <v>2234</v>
      </c>
      <c r="B199" s="4" t="s">
        <v>2267</v>
      </c>
      <c r="C199" s="4" t="s">
        <v>2286</v>
      </c>
      <c r="D199" s="4" t="s">
        <v>2236</v>
      </c>
      <c r="E199" s="4" t="s">
        <v>2287</v>
      </c>
      <c r="F199" s="4" t="s">
        <v>2269</v>
      </c>
      <c r="G199" s="4" t="s">
        <v>2238</v>
      </c>
      <c r="H199" s="4" t="s">
        <v>2183</v>
      </c>
      <c r="I199" s="4" t="s">
        <v>2100</v>
      </c>
      <c r="J199" s="4" t="s">
        <v>2270</v>
      </c>
      <c r="K199">
        <v>4</v>
      </c>
      <c r="L199">
        <v>1.2192000000000001</v>
      </c>
      <c r="M199">
        <v>43</v>
      </c>
      <c r="N199">
        <v>68</v>
      </c>
      <c r="O199">
        <v>48.000000000000007</v>
      </c>
      <c r="P199">
        <v>1.6929133858267718</v>
      </c>
      <c r="Q199">
        <v>2.6771653543307088</v>
      </c>
      <c r="R199">
        <v>1122.038</v>
      </c>
      <c r="S199">
        <v>3.5649408000000002E-3</v>
      </c>
      <c r="T199" s="4" t="s">
        <v>2288</v>
      </c>
    </row>
    <row r="200" spans="1:20" x14ac:dyDescent="0.2">
      <c r="A200" s="4" t="s">
        <v>2234</v>
      </c>
      <c r="B200" s="4" t="s">
        <v>2267</v>
      </c>
      <c r="C200" s="4" t="s">
        <v>2286</v>
      </c>
      <c r="D200" s="4" t="s">
        <v>2236</v>
      </c>
      <c r="E200" s="4" t="s">
        <v>2289</v>
      </c>
      <c r="F200" s="4" t="s">
        <v>2269</v>
      </c>
      <c r="G200" s="4" t="s">
        <v>2238</v>
      </c>
      <c r="H200" s="4" t="s">
        <v>2183</v>
      </c>
      <c r="I200" s="4" t="s">
        <v>2100</v>
      </c>
      <c r="J200" s="4" t="s">
        <v>2270</v>
      </c>
      <c r="K200">
        <v>5</v>
      </c>
      <c r="L200">
        <v>1.524</v>
      </c>
      <c r="M200">
        <v>43</v>
      </c>
      <c r="N200">
        <v>68</v>
      </c>
      <c r="O200">
        <v>60</v>
      </c>
      <c r="P200">
        <v>1.6929133858267718</v>
      </c>
      <c r="Q200">
        <v>2.6771653543307088</v>
      </c>
      <c r="R200">
        <v>1122.038</v>
      </c>
      <c r="S200">
        <v>4.4561759999999992E-3</v>
      </c>
      <c r="T200" s="4" t="s">
        <v>2288</v>
      </c>
    </row>
    <row r="201" spans="1:20" x14ac:dyDescent="0.2">
      <c r="A201" s="4" t="s">
        <v>2234</v>
      </c>
      <c r="B201" s="4" t="s">
        <v>2267</v>
      </c>
      <c r="C201" s="4" t="s">
        <v>2286</v>
      </c>
      <c r="D201" s="4" t="s">
        <v>2236</v>
      </c>
      <c r="E201" s="4" t="s">
        <v>2290</v>
      </c>
      <c r="F201" s="4" t="s">
        <v>2269</v>
      </c>
      <c r="G201" s="4" t="s">
        <v>2238</v>
      </c>
      <c r="H201" s="4" t="s">
        <v>2183</v>
      </c>
      <c r="I201" s="4" t="s">
        <v>2100</v>
      </c>
      <c r="J201" s="4" t="s">
        <v>2270</v>
      </c>
      <c r="K201">
        <v>6</v>
      </c>
      <c r="L201">
        <v>1.8288000000000002</v>
      </c>
      <c r="M201">
        <v>43</v>
      </c>
      <c r="N201">
        <v>68</v>
      </c>
      <c r="O201">
        <v>72.000000000000014</v>
      </c>
      <c r="P201">
        <v>1.6929133858267718</v>
      </c>
      <c r="Q201">
        <v>2.6771653543307088</v>
      </c>
      <c r="R201">
        <v>1122.038</v>
      </c>
      <c r="S201">
        <v>5.3474112000000008E-3</v>
      </c>
      <c r="T201" s="4" t="s">
        <v>2288</v>
      </c>
    </row>
    <row r="202" spans="1:20" x14ac:dyDescent="0.2">
      <c r="A202" s="4" t="s">
        <v>2234</v>
      </c>
      <c r="B202" s="4" t="s">
        <v>2267</v>
      </c>
      <c r="C202" s="4" t="s">
        <v>2286</v>
      </c>
      <c r="D202" s="4" t="s">
        <v>2236</v>
      </c>
      <c r="E202" s="4" t="s">
        <v>2291</v>
      </c>
      <c r="F202" s="4" t="s">
        <v>2269</v>
      </c>
      <c r="G202" s="4" t="s">
        <v>2238</v>
      </c>
      <c r="H202" s="4" t="s">
        <v>2183</v>
      </c>
      <c r="I202" s="4" t="s">
        <v>2100</v>
      </c>
      <c r="J202" s="4" t="s">
        <v>2270</v>
      </c>
      <c r="K202">
        <v>7</v>
      </c>
      <c r="L202">
        <v>2.1335999999999999</v>
      </c>
      <c r="M202">
        <v>43</v>
      </c>
      <c r="N202">
        <v>68</v>
      </c>
      <c r="O202">
        <v>84</v>
      </c>
      <c r="P202">
        <v>1.6929133858267718</v>
      </c>
      <c r="Q202">
        <v>2.6771653543307088</v>
      </c>
      <c r="R202">
        <v>1122.038</v>
      </c>
      <c r="S202">
        <v>6.2386464000000006E-3</v>
      </c>
      <c r="T202" s="4" t="s">
        <v>2288</v>
      </c>
    </row>
    <row r="203" spans="1:20" x14ac:dyDescent="0.2">
      <c r="A203" s="4" t="s">
        <v>2234</v>
      </c>
      <c r="B203" s="4" t="s">
        <v>2267</v>
      </c>
      <c r="C203" s="4" t="s">
        <v>2096</v>
      </c>
      <c r="D203" s="4" t="s">
        <v>2236</v>
      </c>
      <c r="E203" s="4" t="s">
        <v>2292</v>
      </c>
      <c r="F203" s="4" t="s">
        <v>2269</v>
      </c>
      <c r="G203" s="4" t="s">
        <v>2238</v>
      </c>
      <c r="H203" s="4" t="s">
        <v>2183</v>
      </c>
      <c r="I203" s="4" t="s">
        <v>2100</v>
      </c>
      <c r="J203" s="4" t="s">
        <v>2270</v>
      </c>
      <c r="K203">
        <v>8</v>
      </c>
      <c r="L203">
        <v>2.4384000000000001</v>
      </c>
      <c r="M203">
        <v>43</v>
      </c>
      <c r="N203">
        <v>68</v>
      </c>
      <c r="O203">
        <v>96.000000000000014</v>
      </c>
      <c r="P203">
        <v>1.6929133858267718</v>
      </c>
      <c r="Q203">
        <v>2.6771653543307088</v>
      </c>
      <c r="R203">
        <v>1122.038</v>
      </c>
      <c r="S203">
        <v>7.1298816000000004E-3</v>
      </c>
      <c r="T203" s="4" t="s">
        <v>2271</v>
      </c>
    </row>
    <row r="204" spans="1:20" x14ac:dyDescent="0.2">
      <c r="A204" s="4" t="s">
        <v>2234</v>
      </c>
      <c r="B204" s="4" t="s">
        <v>2267</v>
      </c>
      <c r="C204" s="4" t="s">
        <v>2096</v>
      </c>
      <c r="D204" s="4" t="s">
        <v>2236</v>
      </c>
      <c r="E204" s="4" t="s">
        <v>2293</v>
      </c>
      <c r="F204" s="4" t="s">
        <v>2269</v>
      </c>
      <c r="G204" s="4" t="s">
        <v>2238</v>
      </c>
      <c r="H204" s="4" t="s">
        <v>2183</v>
      </c>
      <c r="I204" s="4" t="s">
        <v>2100</v>
      </c>
      <c r="J204" s="4" t="s">
        <v>2270</v>
      </c>
      <c r="K204">
        <v>9</v>
      </c>
      <c r="L204">
        <v>2.7432000000000003</v>
      </c>
      <c r="M204">
        <v>43</v>
      </c>
      <c r="N204">
        <v>68</v>
      </c>
      <c r="O204">
        <v>108.00000000000001</v>
      </c>
      <c r="P204">
        <v>1.6929133858267718</v>
      </c>
      <c r="Q204">
        <v>2.6771653543307088</v>
      </c>
      <c r="R204">
        <v>1122.038</v>
      </c>
      <c r="S204">
        <v>8.021116800000002E-3</v>
      </c>
      <c r="T204" s="4" t="s">
        <v>2271</v>
      </c>
    </row>
    <row r="205" spans="1:20" x14ac:dyDescent="0.2">
      <c r="A205" s="4" t="s">
        <v>2294</v>
      </c>
      <c r="B205" s="4" t="s">
        <v>2295</v>
      </c>
      <c r="C205" s="4" t="s">
        <v>2096</v>
      </c>
      <c r="D205" s="4" t="s">
        <v>2236</v>
      </c>
      <c r="E205" s="4" t="s">
        <v>2296</v>
      </c>
      <c r="F205" s="4" t="s">
        <v>2297</v>
      </c>
      <c r="G205" s="4" t="s">
        <v>2294</v>
      </c>
      <c r="H205" s="4" t="s">
        <v>2133</v>
      </c>
      <c r="I205" s="4" t="s">
        <v>2100</v>
      </c>
      <c r="J205" s="4" t="s">
        <v>2111</v>
      </c>
      <c r="K205">
        <v>10</v>
      </c>
      <c r="L205">
        <v>3.048</v>
      </c>
      <c r="M205">
        <v>25.4</v>
      </c>
      <c r="N205">
        <v>139.69999999999999</v>
      </c>
      <c r="O205">
        <v>120</v>
      </c>
      <c r="P205">
        <v>1</v>
      </c>
      <c r="Q205">
        <v>5.5</v>
      </c>
      <c r="R205">
        <v>924.60199999999998</v>
      </c>
      <c r="S205">
        <v>1.081546224E-2</v>
      </c>
      <c r="T205" s="4" t="s">
        <v>2298</v>
      </c>
    </row>
    <row r="206" spans="1:20" x14ac:dyDescent="0.2">
      <c r="A206" s="4" t="s">
        <v>2294</v>
      </c>
      <c r="B206" s="4" t="s">
        <v>2295</v>
      </c>
      <c r="C206" s="4" t="s">
        <v>2096</v>
      </c>
      <c r="D206" s="4" t="s">
        <v>2236</v>
      </c>
      <c r="E206" s="4" t="s">
        <v>2299</v>
      </c>
      <c r="F206" s="4" t="s">
        <v>2297</v>
      </c>
      <c r="G206" s="4" t="s">
        <v>2294</v>
      </c>
      <c r="H206" s="4" t="s">
        <v>2133</v>
      </c>
      <c r="I206" s="4" t="s">
        <v>2100</v>
      </c>
      <c r="J206" s="4" t="s">
        <v>2111</v>
      </c>
      <c r="K206">
        <v>11</v>
      </c>
      <c r="L206">
        <v>3.3527999999999998</v>
      </c>
      <c r="M206">
        <v>25.4</v>
      </c>
      <c r="N206">
        <v>139.69999999999999</v>
      </c>
      <c r="O206">
        <v>132</v>
      </c>
      <c r="P206">
        <v>1</v>
      </c>
      <c r="Q206">
        <v>5.5</v>
      </c>
      <c r="R206">
        <v>924.60199999999998</v>
      </c>
      <c r="S206">
        <v>1.1897008463999995E-2</v>
      </c>
      <c r="T206" s="4" t="s">
        <v>2298</v>
      </c>
    </row>
    <row r="207" spans="1:20" x14ac:dyDescent="0.2">
      <c r="A207" s="4" t="s">
        <v>2294</v>
      </c>
      <c r="B207" s="4" t="s">
        <v>2295</v>
      </c>
      <c r="C207" s="4" t="s">
        <v>2096</v>
      </c>
      <c r="D207" s="4" t="s">
        <v>2236</v>
      </c>
      <c r="E207" s="4" t="s">
        <v>2300</v>
      </c>
      <c r="F207" s="4" t="s">
        <v>2297</v>
      </c>
      <c r="G207" s="4" t="s">
        <v>2294</v>
      </c>
      <c r="H207" s="4" t="s">
        <v>2133</v>
      </c>
      <c r="I207" s="4" t="s">
        <v>2100</v>
      </c>
      <c r="J207" s="4" t="s">
        <v>2111</v>
      </c>
      <c r="K207">
        <v>12</v>
      </c>
      <c r="L207">
        <v>3.6576</v>
      </c>
      <c r="M207">
        <v>25.4</v>
      </c>
      <c r="N207">
        <v>139.69999999999999</v>
      </c>
      <c r="O207">
        <v>144</v>
      </c>
      <c r="P207">
        <v>1</v>
      </c>
      <c r="Q207">
        <v>5.5</v>
      </c>
      <c r="R207">
        <v>924.60199999999998</v>
      </c>
      <c r="S207">
        <v>1.2978554687999997E-2</v>
      </c>
      <c r="T207" s="4" t="s">
        <v>2298</v>
      </c>
    </row>
    <row r="208" spans="1:20" x14ac:dyDescent="0.2">
      <c r="A208" s="4" t="s">
        <v>2294</v>
      </c>
      <c r="B208" s="4" t="s">
        <v>2295</v>
      </c>
      <c r="C208" s="4" t="s">
        <v>2096</v>
      </c>
      <c r="D208" s="4" t="s">
        <v>2236</v>
      </c>
      <c r="E208" s="4" t="s">
        <v>2301</v>
      </c>
      <c r="F208" s="4" t="s">
        <v>2297</v>
      </c>
      <c r="G208" s="4" t="s">
        <v>2294</v>
      </c>
      <c r="H208" s="4" t="s">
        <v>2133</v>
      </c>
      <c r="I208" s="4" t="s">
        <v>2100</v>
      </c>
      <c r="J208" s="4" t="s">
        <v>2111</v>
      </c>
      <c r="K208">
        <v>13</v>
      </c>
      <c r="L208">
        <v>3.9624000000000001</v>
      </c>
      <c r="M208">
        <v>25.4</v>
      </c>
      <c r="N208">
        <v>139.69999999999999</v>
      </c>
      <c r="O208">
        <v>156</v>
      </c>
      <c r="P208">
        <v>1</v>
      </c>
      <c r="Q208">
        <v>5.5</v>
      </c>
      <c r="R208">
        <v>924.60199999999998</v>
      </c>
      <c r="S208">
        <v>1.4060100911999997E-2</v>
      </c>
      <c r="T208" s="4" t="s">
        <v>2298</v>
      </c>
    </row>
    <row r="209" spans="1:20" x14ac:dyDescent="0.2">
      <c r="A209" s="4" t="s">
        <v>2294</v>
      </c>
      <c r="B209" s="4" t="s">
        <v>2295</v>
      </c>
      <c r="C209" s="4" t="s">
        <v>2096</v>
      </c>
      <c r="D209" s="4" t="s">
        <v>2236</v>
      </c>
      <c r="E209" s="4" t="s">
        <v>2302</v>
      </c>
      <c r="F209" s="4" t="s">
        <v>2297</v>
      </c>
      <c r="G209" s="4" t="s">
        <v>2294</v>
      </c>
      <c r="H209" s="4" t="s">
        <v>2133</v>
      </c>
      <c r="I209" s="4" t="s">
        <v>2100</v>
      </c>
      <c r="J209" s="4" t="s">
        <v>2111</v>
      </c>
      <c r="K209">
        <v>14</v>
      </c>
      <c r="L209">
        <v>4.2671999999999999</v>
      </c>
      <c r="M209">
        <v>25.4</v>
      </c>
      <c r="N209">
        <v>139.69999999999999</v>
      </c>
      <c r="O209">
        <v>168</v>
      </c>
      <c r="P209">
        <v>1</v>
      </c>
      <c r="Q209">
        <v>5.5</v>
      </c>
      <c r="R209">
        <v>924.60199999999998</v>
      </c>
      <c r="S209">
        <v>1.5141647135999997E-2</v>
      </c>
      <c r="T209" s="4" t="s">
        <v>2298</v>
      </c>
    </row>
    <row r="210" spans="1:20" x14ac:dyDescent="0.2">
      <c r="A210" s="4" t="s">
        <v>2294</v>
      </c>
      <c r="B210" s="4" t="s">
        <v>2295</v>
      </c>
      <c r="C210" s="4" t="s">
        <v>2096</v>
      </c>
      <c r="D210" s="4" t="s">
        <v>2236</v>
      </c>
      <c r="E210" s="4" t="s">
        <v>2303</v>
      </c>
      <c r="F210" s="4" t="s">
        <v>2297</v>
      </c>
      <c r="G210" s="4" t="s">
        <v>2294</v>
      </c>
      <c r="H210" s="4" t="s">
        <v>2133</v>
      </c>
      <c r="I210" s="4" t="s">
        <v>2100</v>
      </c>
      <c r="J210" s="4" t="s">
        <v>2111</v>
      </c>
      <c r="K210">
        <v>15</v>
      </c>
      <c r="L210">
        <v>4.5720000000000001</v>
      </c>
      <c r="M210">
        <v>25.4</v>
      </c>
      <c r="N210">
        <v>139.69999999999999</v>
      </c>
      <c r="O210">
        <v>180</v>
      </c>
      <c r="P210">
        <v>1</v>
      </c>
      <c r="Q210">
        <v>5.5</v>
      </c>
      <c r="R210">
        <v>924.60199999999998</v>
      </c>
      <c r="S210">
        <v>1.6223193359999999E-2</v>
      </c>
      <c r="T210" s="4" t="s">
        <v>2298</v>
      </c>
    </row>
    <row r="211" spans="1:20" x14ac:dyDescent="0.2">
      <c r="A211" s="4" t="s">
        <v>2294</v>
      </c>
      <c r="B211" s="4" t="s">
        <v>2295</v>
      </c>
      <c r="C211" s="4" t="s">
        <v>2096</v>
      </c>
      <c r="D211" s="4" t="s">
        <v>2236</v>
      </c>
      <c r="E211" s="4" t="s">
        <v>2304</v>
      </c>
      <c r="F211" s="4" t="s">
        <v>2297</v>
      </c>
      <c r="G211" s="4" t="s">
        <v>2294</v>
      </c>
      <c r="H211" s="4" t="s">
        <v>2133</v>
      </c>
      <c r="I211" s="4" t="s">
        <v>2100</v>
      </c>
      <c r="J211" s="4" t="s">
        <v>2111</v>
      </c>
      <c r="K211">
        <v>16</v>
      </c>
      <c r="L211">
        <v>4.8768000000000002</v>
      </c>
      <c r="M211">
        <v>25.4</v>
      </c>
      <c r="N211">
        <v>139.69999999999999</v>
      </c>
      <c r="O211">
        <v>192.00000000000003</v>
      </c>
      <c r="P211">
        <v>1</v>
      </c>
      <c r="Q211">
        <v>5.5</v>
      </c>
      <c r="R211">
        <v>924.60199999999998</v>
      </c>
      <c r="S211">
        <v>1.7304739584000001E-2</v>
      </c>
      <c r="T211" s="4" t="s">
        <v>2298</v>
      </c>
    </row>
    <row r="212" spans="1:20" x14ac:dyDescent="0.2">
      <c r="A212" s="4" t="s">
        <v>2294</v>
      </c>
      <c r="B212" s="4" t="s">
        <v>2295</v>
      </c>
      <c r="C212" s="4" t="s">
        <v>2096</v>
      </c>
      <c r="D212" s="4" t="s">
        <v>2236</v>
      </c>
      <c r="E212" s="4" t="s">
        <v>2305</v>
      </c>
      <c r="F212" s="4" t="s">
        <v>2297</v>
      </c>
      <c r="G212" s="4" t="s">
        <v>2294</v>
      </c>
      <c r="H212" s="4" t="s">
        <v>2133</v>
      </c>
      <c r="I212" s="4" t="s">
        <v>2100</v>
      </c>
      <c r="J212" s="4" t="s">
        <v>2111</v>
      </c>
      <c r="K212">
        <v>17</v>
      </c>
      <c r="L212">
        <v>5.1816000000000004</v>
      </c>
      <c r="M212">
        <v>25.4</v>
      </c>
      <c r="N212">
        <v>139.69999999999999</v>
      </c>
      <c r="O212">
        <v>204.00000000000003</v>
      </c>
      <c r="P212">
        <v>1</v>
      </c>
      <c r="Q212">
        <v>5.5</v>
      </c>
      <c r="R212">
        <v>924.60199999999998</v>
      </c>
      <c r="S212">
        <v>1.8386285807999999E-2</v>
      </c>
      <c r="T212" s="4" t="s">
        <v>2298</v>
      </c>
    </row>
    <row r="213" spans="1:20" x14ac:dyDescent="0.2">
      <c r="A213" s="4" t="s">
        <v>2294</v>
      </c>
      <c r="B213" s="4" t="s">
        <v>2295</v>
      </c>
      <c r="C213" s="4" t="s">
        <v>2096</v>
      </c>
      <c r="D213" s="4" t="s">
        <v>2236</v>
      </c>
      <c r="E213" s="4" t="s">
        <v>2306</v>
      </c>
      <c r="F213" s="4" t="s">
        <v>2297</v>
      </c>
      <c r="G213" s="4" t="s">
        <v>2294</v>
      </c>
      <c r="H213" s="4" t="s">
        <v>2133</v>
      </c>
      <c r="I213" s="4" t="s">
        <v>2100</v>
      </c>
      <c r="J213" s="4" t="s">
        <v>2111</v>
      </c>
      <c r="K213">
        <v>18</v>
      </c>
      <c r="L213">
        <v>5.4863999999999997</v>
      </c>
      <c r="M213">
        <v>25.4</v>
      </c>
      <c r="N213">
        <v>139.69999999999999</v>
      </c>
      <c r="O213">
        <v>216</v>
      </c>
      <c r="P213">
        <v>1</v>
      </c>
      <c r="Q213">
        <v>5.5</v>
      </c>
      <c r="R213">
        <v>924.60199999999998</v>
      </c>
      <c r="S213">
        <v>1.9467832031999997E-2</v>
      </c>
      <c r="T213" s="4" t="s">
        <v>2298</v>
      </c>
    </row>
    <row r="214" spans="1:20" x14ac:dyDescent="0.2">
      <c r="A214" s="4" t="s">
        <v>2294</v>
      </c>
      <c r="B214" s="4" t="s">
        <v>2295</v>
      </c>
      <c r="C214" s="4" t="s">
        <v>2096</v>
      </c>
      <c r="D214" s="4" t="s">
        <v>2236</v>
      </c>
      <c r="E214" s="4" t="s">
        <v>2307</v>
      </c>
      <c r="F214" s="4" t="s">
        <v>2297</v>
      </c>
      <c r="G214" s="4" t="s">
        <v>2294</v>
      </c>
      <c r="H214" s="4" t="s">
        <v>2133</v>
      </c>
      <c r="I214" s="4" t="s">
        <v>2100</v>
      </c>
      <c r="J214" s="4" t="s">
        <v>2111</v>
      </c>
      <c r="K214">
        <v>19</v>
      </c>
      <c r="L214">
        <v>5.7911999999999999</v>
      </c>
      <c r="M214">
        <v>25.4</v>
      </c>
      <c r="N214">
        <v>139.69999999999999</v>
      </c>
      <c r="O214">
        <v>228</v>
      </c>
      <c r="P214">
        <v>1</v>
      </c>
      <c r="Q214">
        <v>5.5</v>
      </c>
      <c r="R214">
        <v>924.60199999999998</v>
      </c>
      <c r="S214">
        <v>2.0549378255999992E-2</v>
      </c>
      <c r="T214" s="4" t="s">
        <v>2298</v>
      </c>
    </row>
    <row r="215" spans="1:20" x14ac:dyDescent="0.2">
      <c r="A215" s="4" t="s">
        <v>2294</v>
      </c>
      <c r="B215" s="4" t="s">
        <v>2295</v>
      </c>
      <c r="C215" s="4" t="s">
        <v>2096</v>
      </c>
      <c r="D215" s="4" t="s">
        <v>2236</v>
      </c>
      <c r="E215" s="4" t="s">
        <v>2308</v>
      </c>
      <c r="F215" s="4" t="s">
        <v>2297</v>
      </c>
      <c r="G215" s="4" t="s">
        <v>2294</v>
      </c>
      <c r="H215" s="4" t="s">
        <v>2133</v>
      </c>
      <c r="I215" s="4" t="s">
        <v>2100</v>
      </c>
      <c r="J215" s="4" t="s">
        <v>2111</v>
      </c>
      <c r="K215">
        <v>20</v>
      </c>
      <c r="L215">
        <v>6.0960000000000001</v>
      </c>
      <c r="M215">
        <v>25.4</v>
      </c>
      <c r="N215">
        <v>139.69999999999999</v>
      </c>
      <c r="O215">
        <v>240</v>
      </c>
      <c r="P215">
        <v>1</v>
      </c>
      <c r="Q215">
        <v>5.5</v>
      </c>
      <c r="R215">
        <v>924.60199999999998</v>
      </c>
      <c r="S215">
        <v>2.1630924480000001E-2</v>
      </c>
      <c r="T215" s="4" t="s">
        <v>2298</v>
      </c>
    </row>
    <row r="216" spans="1:20" x14ac:dyDescent="0.2">
      <c r="A216" s="4" t="s">
        <v>2294</v>
      </c>
      <c r="B216" s="4" t="s">
        <v>2295</v>
      </c>
      <c r="C216" s="4" t="s">
        <v>2096</v>
      </c>
      <c r="D216" s="4" t="s">
        <v>2236</v>
      </c>
      <c r="E216" s="4" t="s">
        <v>2309</v>
      </c>
      <c r="F216" s="4" t="s">
        <v>2297</v>
      </c>
      <c r="G216" s="4" t="s">
        <v>2294</v>
      </c>
      <c r="H216" s="4" t="s">
        <v>2133</v>
      </c>
      <c r="I216" s="4" t="s">
        <v>2100</v>
      </c>
      <c r="J216" s="4" t="s">
        <v>2111</v>
      </c>
      <c r="K216">
        <v>21</v>
      </c>
      <c r="L216">
        <v>6.4008000000000003</v>
      </c>
      <c r="M216">
        <v>25.4</v>
      </c>
      <c r="N216">
        <v>139.69999999999999</v>
      </c>
      <c r="O216">
        <v>252.00000000000003</v>
      </c>
      <c r="P216">
        <v>1</v>
      </c>
      <c r="Q216">
        <v>5.5</v>
      </c>
      <c r="R216">
        <v>924.60199999999998</v>
      </c>
      <c r="S216">
        <v>2.2712470703999999E-2</v>
      </c>
      <c r="T216" s="4" t="s">
        <v>2298</v>
      </c>
    </row>
    <row r="217" spans="1:20" x14ac:dyDescent="0.2">
      <c r="A217" s="4" t="s">
        <v>2294</v>
      </c>
      <c r="B217" s="4" t="s">
        <v>2295</v>
      </c>
      <c r="C217" s="4" t="s">
        <v>2096</v>
      </c>
      <c r="D217" s="4" t="s">
        <v>2236</v>
      </c>
      <c r="E217" s="4" t="s">
        <v>2310</v>
      </c>
      <c r="F217" s="4" t="s">
        <v>2297</v>
      </c>
      <c r="G217" s="4" t="s">
        <v>2294</v>
      </c>
      <c r="H217" s="4" t="s">
        <v>2133</v>
      </c>
      <c r="I217" s="4" t="s">
        <v>2100</v>
      </c>
      <c r="J217" s="4" t="s">
        <v>2111</v>
      </c>
      <c r="K217">
        <v>22</v>
      </c>
      <c r="L217">
        <v>6.7055999999999996</v>
      </c>
      <c r="M217">
        <v>25.4</v>
      </c>
      <c r="N217">
        <v>139.69999999999999</v>
      </c>
      <c r="O217">
        <v>264</v>
      </c>
      <c r="P217">
        <v>1</v>
      </c>
      <c r="Q217">
        <v>5.5</v>
      </c>
      <c r="R217">
        <v>924.60199999999998</v>
      </c>
      <c r="S217">
        <v>2.3794016927999991E-2</v>
      </c>
      <c r="T217" s="4" t="s">
        <v>2298</v>
      </c>
    </row>
    <row r="218" spans="1:20" x14ac:dyDescent="0.2">
      <c r="A218" s="4" t="s">
        <v>2294</v>
      </c>
      <c r="B218" s="4" t="s">
        <v>2295</v>
      </c>
      <c r="C218" s="4" t="s">
        <v>2096</v>
      </c>
      <c r="D218" s="4" t="s">
        <v>2236</v>
      </c>
      <c r="E218" s="4" t="s">
        <v>2311</v>
      </c>
      <c r="F218" s="4" t="s">
        <v>2297</v>
      </c>
      <c r="G218" s="4" t="s">
        <v>2294</v>
      </c>
      <c r="H218" s="4" t="s">
        <v>2133</v>
      </c>
      <c r="I218" s="4" t="s">
        <v>2100</v>
      </c>
      <c r="J218" s="4" t="s">
        <v>2111</v>
      </c>
      <c r="K218">
        <v>23</v>
      </c>
      <c r="L218">
        <v>7.0103999999999997</v>
      </c>
      <c r="M218">
        <v>25.4</v>
      </c>
      <c r="N218">
        <v>139.69999999999999</v>
      </c>
      <c r="O218">
        <v>276</v>
      </c>
      <c r="P218">
        <v>1</v>
      </c>
      <c r="Q218">
        <v>5.5</v>
      </c>
      <c r="R218">
        <v>924.60199999999998</v>
      </c>
      <c r="S218">
        <v>2.4875563151999999E-2</v>
      </c>
      <c r="T218" s="4" t="s">
        <v>2298</v>
      </c>
    </row>
    <row r="219" spans="1:20" x14ac:dyDescent="0.2">
      <c r="A219" s="4" t="s">
        <v>2294</v>
      </c>
      <c r="B219" s="4" t="s">
        <v>2295</v>
      </c>
      <c r="C219" s="4" t="s">
        <v>2096</v>
      </c>
      <c r="D219" s="4" t="s">
        <v>2236</v>
      </c>
      <c r="E219" s="4" t="s">
        <v>2312</v>
      </c>
      <c r="F219" s="4" t="s">
        <v>2297</v>
      </c>
      <c r="G219" s="4" t="s">
        <v>2294</v>
      </c>
      <c r="H219" s="4" t="s">
        <v>2133</v>
      </c>
      <c r="I219" s="4" t="s">
        <v>2100</v>
      </c>
      <c r="J219" s="4" t="s">
        <v>2111</v>
      </c>
      <c r="K219">
        <v>24</v>
      </c>
      <c r="L219">
        <v>7.3152000000000008</v>
      </c>
      <c r="M219">
        <v>25.4</v>
      </c>
      <c r="N219">
        <v>139.69999999999999</v>
      </c>
      <c r="O219">
        <v>288.00000000000006</v>
      </c>
      <c r="P219">
        <v>1</v>
      </c>
      <c r="Q219">
        <v>5.5</v>
      </c>
      <c r="R219">
        <v>924.60199999999998</v>
      </c>
      <c r="S219">
        <v>2.5957109375999998E-2</v>
      </c>
      <c r="T219" s="4" t="s">
        <v>2298</v>
      </c>
    </row>
    <row r="220" spans="1:20" x14ac:dyDescent="0.2">
      <c r="A220" s="4" t="s">
        <v>2294</v>
      </c>
      <c r="B220" s="4" t="s">
        <v>2295</v>
      </c>
      <c r="C220" s="4" t="s">
        <v>2286</v>
      </c>
      <c r="D220" s="4" t="s">
        <v>2236</v>
      </c>
      <c r="E220" s="4" t="s">
        <v>2313</v>
      </c>
      <c r="F220" s="4" t="s">
        <v>2297</v>
      </c>
      <c r="G220" s="4" t="s">
        <v>2294</v>
      </c>
      <c r="H220" s="4" t="s">
        <v>2133</v>
      </c>
      <c r="I220" s="4" t="s">
        <v>2100</v>
      </c>
      <c r="J220" s="4" t="s">
        <v>2111</v>
      </c>
      <c r="K220">
        <v>3</v>
      </c>
      <c r="L220">
        <v>0.91439999999999999</v>
      </c>
      <c r="M220">
        <v>25.4</v>
      </c>
      <c r="N220">
        <v>139.69999999999999</v>
      </c>
      <c r="O220">
        <v>36</v>
      </c>
      <c r="P220">
        <v>1</v>
      </c>
      <c r="Q220">
        <v>5.5</v>
      </c>
      <c r="R220">
        <v>924.60199999999998</v>
      </c>
      <c r="S220">
        <v>3.2446386719999993E-3</v>
      </c>
      <c r="T220" s="4" t="s">
        <v>2314</v>
      </c>
    </row>
    <row r="221" spans="1:20" x14ac:dyDescent="0.2">
      <c r="A221" s="4" t="s">
        <v>2294</v>
      </c>
      <c r="B221" s="4" t="s">
        <v>2295</v>
      </c>
      <c r="C221" s="4" t="s">
        <v>2286</v>
      </c>
      <c r="D221" s="4" t="s">
        <v>2236</v>
      </c>
      <c r="E221" s="4" t="s">
        <v>2315</v>
      </c>
      <c r="F221" s="4" t="s">
        <v>2297</v>
      </c>
      <c r="G221" s="4" t="s">
        <v>2294</v>
      </c>
      <c r="H221" s="4" t="s">
        <v>2133</v>
      </c>
      <c r="I221" s="4" t="s">
        <v>2100</v>
      </c>
      <c r="J221" s="4" t="s">
        <v>2111</v>
      </c>
      <c r="K221">
        <v>4</v>
      </c>
      <c r="L221">
        <v>1.2192000000000001</v>
      </c>
      <c r="M221">
        <v>25.4</v>
      </c>
      <c r="N221">
        <v>139.69999999999999</v>
      </c>
      <c r="O221">
        <v>48.000000000000007</v>
      </c>
      <c r="P221">
        <v>1</v>
      </c>
      <c r="Q221">
        <v>5.5</v>
      </c>
      <c r="R221">
        <v>924.60199999999998</v>
      </c>
      <c r="S221">
        <v>4.3261848960000002E-3</v>
      </c>
      <c r="T221" s="4" t="s">
        <v>2314</v>
      </c>
    </row>
    <row r="222" spans="1:20" x14ac:dyDescent="0.2">
      <c r="A222" s="4" t="s">
        <v>2294</v>
      </c>
      <c r="B222" s="4" t="s">
        <v>2295</v>
      </c>
      <c r="C222" s="4" t="s">
        <v>2286</v>
      </c>
      <c r="D222" s="4" t="s">
        <v>2236</v>
      </c>
      <c r="E222" s="4" t="s">
        <v>2316</v>
      </c>
      <c r="F222" s="4" t="s">
        <v>2297</v>
      </c>
      <c r="G222" s="4" t="s">
        <v>2294</v>
      </c>
      <c r="H222" s="4" t="s">
        <v>2133</v>
      </c>
      <c r="I222" s="4" t="s">
        <v>2100</v>
      </c>
      <c r="J222" s="4" t="s">
        <v>2111</v>
      </c>
      <c r="K222">
        <v>5</v>
      </c>
      <c r="L222">
        <v>1.524</v>
      </c>
      <c r="M222">
        <v>25.4</v>
      </c>
      <c r="N222">
        <v>139.69999999999999</v>
      </c>
      <c r="O222">
        <v>60</v>
      </c>
      <c r="P222">
        <v>1</v>
      </c>
      <c r="Q222">
        <v>5.5</v>
      </c>
      <c r="R222">
        <v>924.60199999999998</v>
      </c>
      <c r="S222">
        <v>5.4077311200000002E-3</v>
      </c>
      <c r="T222" s="4" t="s">
        <v>2314</v>
      </c>
    </row>
    <row r="223" spans="1:20" x14ac:dyDescent="0.2">
      <c r="A223" s="4" t="s">
        <v>2294</v>
      </c>
      <c r="B223" s="4" t="s">
        <v>2295</v>
      </c>
      <c r="C223" s="4" t="s">
        <v>2286</v>
      </c>
      <c r="D223" s="4" t="s">
        <v>2236</v>
      </c>
      <c r="E223" s="4" t="s">
        <v>2317</v>
      </c>
      <c r="F223" s="4" t="s">
        <v>2297</v>
      </c>
      <c r="G223" s="4" t="s">
        <v>2294</v>
      </c>
      <c r="H223" s="4" t="s">
        <v>2133</v>
      </c>
      <c r="I223" s="4" t="s">
        <v>2100</v>
      </c>
      <c r="J223" s="4" t="s">
        <v>2111</v>
      </c>
      <c r="K223">
        <v>6</v>
      </c>
      <c r="L223">
        <v>1.8288</v>
      </c>
      <c r="M223">
        <v>25.4</v>
      </c>
      <c r="N223">
        <v>139.69999999999999</v>
      </c>
      <c r="O223">
        <v>72</v>
      </c>
      <c r="P223">
        <v>1</v>
      </c>
      <c r="Q223">
        <v>5.5</v>
      </c>
      <c r="R223">
        <v>924.60199999999998</v>
      </c>
      <c r="S223">
        <v>6.4892773439999985E-3</v>
      </c>
      <c r="T223" s="4" t="s">
        <v>2314</v>
      </c>
    </row>
    <row r="224" spans="1:20" x14ac:dyDescent="0.2">
      <c r="A224" s="4" t="s">
        <v>2294</v>
      </c>
      <c r="B224" s="4" t="s">
        <v>2295</v>
      </c>
      <c r="C224" s="4" t="s">
        <v>2286</v>
      </c>
      <c r="D224" s="4" t="s">
        <v>2236</v>
      </c>
      <c r="E224" s="4" t="s">
        <v>2318</v>
      </c>
      <c r="F224" s="4" t="s">
        <v>2297</v>
      </c>
      <c r="G224" s="4" t="s">
        <v>2294</v>
      </c>
      <c r="H224" s="4" t="s">
        <v>2133</v>
      </c>
      <c r="I224" s="4" t="s">
        <v>2100</v>
      </c>
      <c r="J224" s="4" t="s">
        <v>2111</v>
      </c>
      <c r="K224">
        <v>7</v>
      </c>
      <c r="L224">
        <v>2.1335999999999999</v>
      </c>
      <c r="M224">
        <v>25.4</v>
      </c>
      <c r="N224">
        <v>139.69999999999999</v>
      </c>
      <c r="O224">
        <v>84</v>
      </c>
      <c r="P224">
        <v>1</v>
      </c>
      <c r="Q224">
        <v>5.5</v>
      </c>
      <c r="R224">
        <v>924.60199999999998</v>
      </c>
      <c r="S224">
        <v>7.5708235679999986E-3</v>
      </c>
      <c r="T224" s="4" t="s">
        <v>2314</v>
      </c>
    </row>
    <row r="225" spans="1:20" x14ac:dyDescent="0.2">
      <c r="A225" s="4" t="s">
        <v>2294</v>
      </c>
      <c r="B225" s="4" t="s">
        <v>2295</v>
      </c>
      <c r="C225" s="4" t="s">
        <v>2096</v>
      </c>
      <c r="D225" s="4" t="s">
        <v>2236</v>
      </c>
      <c r="E225" s="4" t="s">
        <v>2319</v>
      </c>
      <c r="F225" s="4" t="s">
        <v>2297</v>
      </c>
      <c r="G225" s="4" t="s">
        <v>2294</v>
      </c>
      <c r="H225" s="4" t="s">
        <v>2133</v>
      </c>
      <c r="I225" s="4" t="s">
        <v>2100</v>
      </c>
      <c r="J225" s="4" t="s">
        <v>2111</v>
      </c>
      <c r="K225">
        <v>8</v>
      </c>
      <c r="L225">
        <v>2.4384000000000001</v>
      </c>
      <c r="M225">
        <v>25.4</v>
      </c>
      <c r="N225">
        <v>139.69999999999999</v>
      </c>
      <c r="O225">
        <v>96.000000000000014</v>
      </c>
      <c r="P225">
        <v>1</v>
      </c>
      <c r="Q225">
        <v>5.5</v>
      </c>
      <c r="R225">
        <v>924.60199999999998</v>
      </c>
      <c r="S225">
        <v>8.6523697920000003E-3</v>
      </c>
      <c r="T225" s="4" t="s">
        <v>2298</v>
      </c>
    </row>
    <row r="226" spans="1:20" x14ac:dyDescent="0.2">
      <c r="A226" s="4" t="s">
        <v>2294</v>
      </c>
      <c r="B226" s="4" t="s">
        <v>2295</v>
      </c>
      <c r="C226" s="4" t="s">
        <v>2096</v>
      </c>
      <c r="D226" s="4" t="s">
        <v>2236</v>
      </c>
      <c r="E226" s="4" t="s">
        <v>2320</v>
      </c>
      <c r="F226" s="4" t="s">
        <v>2297</v>
      </c>
      <c r="G226" s="4" t="s">
        <v>2294</v>
      </c>
      <c r="H226" s="4" t="s">
        <v>2133</v>
      </c>
      <c r="I226" s="4" t="s">
        <v>2100</v>
      </c>
      <c r="J226" s="4" t="s">
        <v>2111</v>
      </c>
      <c r="K226">
        <v>9</v>
      </c>
      <c r="L226">
        <v>2.7431999999999999</v>
      </c>
      <c r="M226">
        <v>25.4</v>
      </c>
      <c r="N226">
        <v>139.69999999999999</v>
      </c>
      <c r="O226">
        <v>108</v>
      </c>
      <c r="P226">
        <v>1</v>
      </c>
      <c r="Q226">
        <v>5.5</v>
      </c>
      <c r="R226">
        <v>924.60199999999998</v>
      </c>
      <c r="S226">
        <v>9.7339160159999986E-3</v>
      </c>
      <c r="T226" s="4" t="s">
        <v>2298</v>
      </c>
    </row>
    <row r="227" spans="1:20" x14ac:dyDescent="0.2">
      <c r="A227" s="4" t="s">
        <v>2294</v>
      </c>
      <c r="B227" s="4" t="s">
        <v>2295</v>
      </c>
      <c r="C227" s="4" t="s">
        <v>2096</v>
      </c>
      <c r="D227" s="4" t="s">
        <v>2236</v>
      </c>
      <c r="E227" s="4" t="s">
        <v>2321</v>
      </c>
      <c r="F227" s="4" t="s">
        <v>2322</v>
      </c>
      <c r="G227" s="4" t="s">
        <v>2294</v>
      </c>
      <c r="H227" s="4" t="s">
        <v>2099</v>
      </c>
      <c r="I227" s="4" t="s">
        <v>2100</v>
      </c>
      <c r="J227" s="4" t="s">
        <v>2111</v>
      </c>
      <c r="K227">
        <v>10</v>
      </c>
      <c r="L227">
        <v>3.048</v>
      </c>
      <c r="M227">
        <v>26</v>
      </c>
      <c r="N227">
        <v>160</v>
      </c>
      <c r="O227">
        <v>120</v>
      </c>
      <c r="P227">
        <v>1.0236220472440944</v>
      </c>
      <c r="Q227">
        <v>6.2992125984251972</v>
      </c>
      <c r="R227">
        <v>788.66300000000001</v>
      </c>
      <c r="S227">
        <v>1.2679679999999999E-2</v>
      </c>
      <c r="T227" s="4" t="s">
        <v>2323</v>
      </c>
    </row>
    <row r="228" spans="1:20" x14ac:dyDescent="0.2">
      <c r="A228" s="4" t="s">
        <v>2294</v>
      </c>
      <c r="B228" s="4" t="s">
        <v>2295</v>
      </c>
      <c r="C228" s="4" t="s">
        <v>2096</v>
      </c>
      <c r="D228" s="4" t="s">
        <v>2236</v>
      </c>
      <c r="E228" s="4" t="s">
        <v>2324</v>
      </c>
      <c r="F228" s="4" t="s">
        <v>2322</v>
      </c>
      <c r="G228" s="4" t="s">
        <v>2294</v>
      </c>
      <c r="H228" s="4" t="s">
        <v>2099</v>
      </c>
      <c r="I228" s="4" t="s">
        <v>2100</v>
      </c>
      <c r="J228" s="4" t="s">
        <v>2111</v>
      </c>
      <c r="K228">
        <v>11</v>
      </c>
      <c r="L228">
        <v>3.3528000000000002</v>
      </c>
      <c r="M228">
        <v>26</v>
      </c>
      <c r="N228">
        <v>160</v>
      </c>
      <c r="O228">
        <v>132</v>
      </c>
      <c r="P228">
        <v>1.0236220472440944</v>
      </c>
      <c r="Q228">
        <v>6.2992125984251972</v>
      </c>
      <c r="R228">
        <v>788.66300000000001</v>
      </c>
      <c r="S228">
        <v>1.3947648000000002E-2</v>
      </c>
      <c r="T228" s="4" t="s">
        <v>2323</v>
      </c>
    </row>
    <row r="229" spans="1:20" x14ac:dyDescent="0.2">
      <c r="A229" s="4" t="s">
        <v>2294</v>
      </c>
      <c r="B229" s="4" t="s">
        <v>2295</v>
      </c>
      <c r="C229" s="4" t="s">
        <v>2096</v>
      </c>
      <c r="D229" s="4" t="s">
        <v>2236</v>
      </c>
      <c r="E229" s="4" t="s">
        <v>2325</v>
      </c>
      <c r="F229" s="4" t="s">
        <v>2322</v>
      </c>
      <c r="G229" s="4" t="s">
        <v>2294</v>
      </c>
      <c r="H229" s="4" t="s">
        <v>2099</v>
      </c>
      <c r="I229" s="4" t="s">
        <v>2100</v>
      </c>
      <c r="J229" s="4" t="s">
        <v>2111</v>
      </c>
      <c r="K229">
        <v>12</v>
      </c>
      <c r="L229">
        <v>3.6576000000000004</v>
      </c>
      <c r="M229">
        <v>26</v>
      </c>
      <c r="N229">
        <v>160</v>
      </c>
      <c r="O229">
        <v>144.00000000000003</v>
      </c>
      <c r="P229">
        <v>1.0236220472440944</v>
      </c>
      <c r="Q229">
        <v>6.2992125984251972</v>
      </c>
      <c r="R229">
        <v>788.66300000000001</v>
      </c>
      <c r="S229">
        <v>1.5215616000000003E-2</v>
      </c>
      <c r="T229" s="4" t="s">
        <v>2323</v>
      </c>
    </row>
    <row r="230" spans="1:20" x14ac:dyDescent="0.2">
      <c r="A230" s="4" t="s">
        <v>2294</v>
      </c>
      <c r="B230" s="4" t="s">
        <v>2295</v>
      </c>
      <c r="C230" s="4" t="s">
        <v>2096</v>
      </c>
      <c r="D230" s="4" t="s">
        <v>2236</v>
      </c>
      <c r="E230" s="4" t="s">
        <v>2326</v>
      </c>
      <c r="F230" s="4" t="s">
        <v>2322</v>
      </c>
      <c r="G230" s="4" t="s">
        <v>2294</v>
      </c>
      <c r="H230" s="4" t="s">
        <v>2099</v>
      </c>
      <c r="I230" s="4" t="s">
        <v>2100</v>
      </c>
      <c r="J230" s="4" t="s">
        <v>2111</v>
      </c>
      <c r="K230">
        <v>13</v>
      </c>
      <c r="L230">
        <v>3.9624000000000001</v>
      </c>
      <c r="M230">
        <v>26</v>
      </c>
      <c r="N230">
        <v>160</v>
      </c>
      <c r="O230">
        <v>156</v>
      </c>
      <c r="P230">
        <v>1.0236220472440944</v>
      </c>
      <c r="Q230">
        <v>6.2992125984251972</v>
      </c>
      <c r="R230">
        <v>788.66300000000001</v>
      </c>
      <c r="S230">
        <v>1.6483583999999999E-2</v>
      </c>
      <c r="T230" s="4" t="s">
        <v>2323</v>
      </c>
    </row>
    <row r="231" spans="1:20" x14ac:dyDescent="0.2">
      <c r="A231" s="4" t="s">
        <v>2294</v>
      </c>
      <c r="B231" s="4" t="s">
        <v>2295</v>
      </c>
      <c r="C231" s="4" t="s">
        <v>2096</v>
      </c>
      <c r="D231" s="4" t="s">
        <v>2236</v>
      </c>
      <c r="E231" s="4" t="s">
        <v>2327</v>
      </c>
      <c r="F231" s="4" t="s">
        <v>2322</v>
      </c>
      <c r="G231" s="4" t="s">
        <v>2294</v>
      </c>
      <c r="H231" s="4" t="s">
        <v>2099</v>
      </c>
      <c r="I231" s="4" t="s">
        <v>2100</v>
      </c>
      <c r="J231" s="4" t="s">
        <v>2111</v>
      </c>
      <c r="K231">
        <v>14</v>
      </c>
      <c r="L231">
        <v>4.2671999999999999</v>
      </c>
      <c r="M231">
        <v>26</v>
      </c>
      <c r="N231">
        <v>160</v>
      </c>
      <c r="O231">
        <v>168</v>
      </c>
      <c r="P231">
        <v>1.0236220472440944</v>
      </c>
      <c r="Q231">
        <v>6.2992125984251972</v>
      </c>
      <c r="R231">
        <v>788.66300000000001</v>
      </c>
      <c r="S231">
        <v>1.7751552E-2</v>
      </c>
      <c r="T231" s="4" t="s">
        <v>2323</v>
      </c>
    </row>
    <row r="232" spans="1:20" x14ac:dyDescent="0.2">
      <c r="A232" s="4" t="s">
        <v>2294</v>
      </c>
      <c r="B232" s="4" t="s">
        <v>2295</v>
      </c>
      <c r="C232" s="4" t="s">
        <v>2096</v>
      </c>
      <c r="D232" s="4" t="s">
        <v>2236</v>
      </c>
      <c r="E232" s="4" t="s">
        <v>2328</v>
      </c>
      <c r="F232" s="4" t="s">
        <v>2322</v>
      </c>
      <c r="G232" s="4" t="s">
        <v>2294</v>
      </c>
      <c r="H232" s="4" t="s">
        <v>2099</v>
      </c>
      <c r="I232" s="4" t="s">
        <v>2100</v>
      </c>
      <c r="J232" s="4" t="s">
        <v>2111</v>
      </c>
      <c r="K232">
        <v>15</v>
      </c>
      <c r="L232">
        <v>4.5720000000000001</v>
      </c>
      <c r="M232">
        <v>26</v>
      </c>
      <c r="N232">
        <v>160</v>
      </c>
      <c r="O232">
        <v>180</v>
      </c>
      <c r="P232">
        <v>1.0236220472440944</v>
      </c>
      <c r="Q232">
        <v>6.2992125984251972</v>
      </c>
      <c r="R232">
        <v>788.66300000000001</v>
      </c>
      <c r="S232">
        <v>1.9019520000000002E-2</v>
      </c>
      <c r="T232" s="4" t="s">
        <v>2323</v>
      </c>
    </row>
    <row r="233" spans="1:20" x14ac:dyDescent="0.2">
      <c r="A233" s="4" t="s">
        <v>2294</v>
      </c>
      <c r="B233" s="4" t="s">
        <v>2295</v>
      </c>
      <c r="C233" s="4" t="s">
        <v>2096</v>
      </c>
      <c r="D233" s="4" t="s">
        <v>2236</v>
      </c>
      <c r="E233" s="4" t="s">
        <v>2329</v>
      </c>
      <c r="F233" s="4" t="s">
        <v>2322</v>
      </c>
      <c r="G233" s="4" t="s">
        <v>2294</v>
      </c>
      <c r="H233" s="4" t="s">
        <v>2099</v>
      </c>
      <c r="I233" s="4" t="s">
        <v>2100</v>
      </c>
      <c r="J233" s="4" t="s">
        <v>2111</v>
      </c>
      <c r="K233">
        <v>16</v>
      </c>
      <c r="L233">
        <v>4.8768000000000002</v>
      </c>
      <c r="M233">
        <v>26</v>
      </c>
      <c r="N233">
        <v>160</v>
      </c>
      <c r="O233">
        <v>192.00000000000003</v>
      </c>
      <c r="P233">
        <v>1.0236220472440944</v>
      </c>
      <c r="Q233">
        <v>6.2992125984251972</v>
      </c>
      <c r="R233">
        <v>788.66300000000001</v>
      </c>
      <c r="S233">
        <v>2.0287488000000003E-2</v>
      </c>
      <c r="T233" s="4" t="s">
        <v>2323</v>
      </c>
    </row>
    <row r="234" spans="1:20" x14ac:dyDescent="0.2">
      <c r="A234" s="4" t="s">
        <v>2294</v>
      </c>
      <c r="B234" s="4" t="s">
        <v>2295</v>
      </c>
      <c r="C234" s="4" t="s">
        <v>2096</v>
      </c>
      <c r="D234" s="4" t="s">
        <v>2236</v>
      </c>
      <c r="E234" s="4" t="s">
        <v>2330</v>
      </c>
      <c r="F234" s="4" t="s">
        <v>2322</v>
      </c>
      <c r="G234" s="4" t="s">
        <v>2294</v>
      </c>
      <c r="H234" s="4" t="s">
        <v>2099</v>
      </c>
      <c r="I234" s="4" t="s">
        <v>2100</v>
      </c>
      <c r="J234" s="4" t="s">
        <v>2111</v>
      </c>
      <c r="K234">
        <v>17</v>
      </c>
      <c r="L234">
        <v>5.1816000000000004</v>
      </c>
      <c r="M234">
        <v>26</v>
      </c>
      <c r="N234">
        <v>160</v>
      </c>
      <c r="O234">
        <v>204.00000000000003</v>
      </c>
      <c r="P234">
        <v>1.0236220472440944</v>
      </c>
      <c r="Q234">
        <v>6.2992125984251972</v>
      </c>
      <c r="R234">
        <v>788.66300000000001</v>
      </c>
      <c r="S234">
        <v>2.1555456000000004E-2</v>
      </c>
      <c r="T234" s="4" t="s">
        <v>2323</v>
      </c>
    </row>
    <row r="235" spans="1:20" x14ac:dyDescent="0.2">
      <c r="A235" s="4" t="s">
        <v>2294</v>
      </c>
      <c r="B235" s="4" t="s">
        <v>2295</v>
      </c>
      <c r="C235" s="4" t="s">
        <v>2096</v>
      </c>
      <c r="D235" s="4" t="s">
        <v>2236</v>
      </c>
      <c r="E235" s="4" t="s">
        <v>2331</v>
      </c>
      <c r="F235" s="4" t="s">
        <v>2322</v>
      </c>
      <c r="G235" s="4" t="s">
        <v>2294</v>
      </c>
      <c r="H235" s="4" t="s">
        <v>2099</v>
      </c>
      <c r="I235" s="4" t="s">
        <v>2100</v>
      </c>
      <c r="J235" s="4" t="s">
        <v>2111</v>
      </c>
      <c r="K235">
        <v>18</v>
      </c>
      <c r="L235">
        <v>5.4864000000000006</v>
      </c>
      <c r="M235">
        <v>26</v>
      </c>
      <c r="N235">
        <v>160</v>
      </c>
      <c r="O235">
        <v>216.00000000000003</v>
      </c>
      <c r="P235">
        <v>1.0236220472440944</v>
      </c>
      <c r="Q235">
        <v>6.2992125984251972</v>
      </c>
      <c r="R235">
        <v>788.66300000000001</v>
      </c>
      <c r="S235">
        <v>2.2823424000000005E-2</v>
      </c>
      <c r="T235" s="4" t="s">
        <v>2323</v>
      </c>
    </row>
    <row r="236" spans="1:20" x14ac:dyDescent="0.2">
      <c r="A236" s="4" t="s">
        <v>2294</v>
      </c>
      <c r="B236" s="4" t="s">
        <v>2295</v>
      </c>
      <c r="C236" s="4" t="s">
        <v>2096</v>
      </c>
      <c r="D236" s="4" t="s">
        <v>2236</v>
      </c>
      <c r="E236" s="4" t="s">
        <v>2332</v>
      </c>
      <c r="F236" s="4" t="s">
        <v>2322</v>
      </c>
      <c r="G236" s="4" t="s">
        <v>2294</v>
      </c>
      <c r="H236" s="4" t="s">
        <v>2099</v>
      </c>
      <c r="I236" s="4" t="s">
        <v>2100</v>
      </c>
      <c r="J236" s="4" t="s">
        <v>2111</v>
      </c>
      <c r="K236">
        <v>19</v>
      </c>
      <c r="L236">
        <v>5.7911999999999999</v>
      </c>
      <c r="M236">
        <v>26</v>
      </c>
      <c r="N236">
        <v>160</v>
      </c>
      <c r="O236">
        <v>228</v>
      </c>
      <c r="P236">
        <v>1.0236220472440944</v>
      </c>
      <c r="Q236">
        <v>6.2992125984251972</v>
      </c>
      <c r="R236">
        <v>788.66300000000001</v>
      </c>
      <c r="S236">
        <v>2.4091392000000003E-2</v>
      </c>
      <c r="T236" s="4" t="s">
        <v>2323</v>
      </c>
    </row>
    <row r="237" spans="1:20" x14ac:dyDescent="0.2">
      <c r="A237" s="4" t="s">
        <v>2294</v>
      </c>
      <c r="B237" s="4" t="s">
        <v>2295</v>
      </c>
      <c r="C237" s="4" t="s">
        <v>2096</v>
      </c>
      <c r="D237" s="4" t="s">
        <v>2236</v>
      </c>
      <c r="E237" s="4" t="s">
        <v>2333</v>
      </c>
      <c r="F237" s="4" t="s">
        <v>2322</v>
      </c>
      <c r="G237" s="4" t="s">
        <v>2294</v>
      </c>
      <c r="H237" s="4" t="s">
        <v>2099</v>
      </c>
      <c r="I237" s="4" t="s">
        <v>2100</v>
      </c>
      <c r="J237" s="4" t="s">
        <v>2111</v>
      </c>
      <c r="K237">
        <v>20</v>
      </c>
      <c r="L237">
        <v>6.0960000000000001</v>
      </c>
      <c r="M237">
        <v>26</v>
      </c>
      <c r="N237">
        <v>160</v>
      </c>
      <c r="O237">
        <v>240</v>
      </c>
      <c r="P237">
        <v>1.0236220472440944</v>
      </c>
      <c r="Q237">
        <v>6.2992125984251972</v>
      </c>
      <c r="R237">
        <v>788.66300000000001</v>
      </c>
      <c r="S237">
        <v>2.5359359999999997E-2</v>
      </c>
      <c r="T237" s="4" t="s">
        <v>2323</v>
      </c>
    </row>
    <row r="238" spans="1:20" x14ac:dyDescent="0.2">
      <c r="A238" s="4" t="s">
        <v>2294</v>
      </c>
      <c r="B238" s="4" t="s">
        <v>2295</v>
      </c>
      <c r="C238" s="4" t="s">
        <v>2096</v>
      </c>
      <c r="D238" s="4" t="s">
        <v>2236</v>
      </c>
      <c r="E238" s="4" t="s">
        <v>2334</v>
      </c>
      <c r="F238" s="4" t="s">
        <v>2322</v>
      </c>
      <c r="G238" s="4" t="s">
        <v>2294</v>
      </c>
      <c r="H238" s="4" t="s">
        <v>2099</v>
      </c>
      <c r="I238" s="4" t="s">
        <v>2100</v>
      </c>
      <c r="J238" s="4" t="s">
        <v>2111</v>
      </c>
      <c r="K238">
        <v>21</v>
      </c>
      <c r="L238">
        <v>6.4008000000000003</v>
      </c>
      <c r="M238">
        <v>26</v>
      </c>
      <c r="N238">
        <v>160</v>
      </c>
      <c r="O238">
        <v>252.00000000000003</v>
      </c>
      <c r="P238">
        <v>1.0236220472440944</v>
      </c>
      <c r="Q238">
        <v>6.2992125984251972</v>
      </c>
      <c r="R238">
        <v>788.66300000000001</v>
      </c>
      <c r="S238">
        <v>2.6627328000000002E-2</v>
      </c>
      <c r="T238" s="4" t="s">
        <v>2323</v>
      </c>
    </row>
    <row r="239" spans="1:20" x14ac:dyDescent="0.2">
      <c r="A239" s="4" t="s">
        <v>2294</v>
      </c>
      <c r="B239" s="4" t="s">
        <v>2295</v>
      </c>
      <c r="C239" s="4" t="s">
        <v>2096</v>
      </c>
      <c r="D239" s="4" t="s">
        <v>2236</v>
      </c>
      <c r="E239" s="4" t="s">
        <v>2335</v>
      </c>
      <c r="F239" s="4" t="s">
        <v>2322</v>
      </c>
      <c r="G239" s="4" t="s">
        <v>2294</v>
      </c>
      <c r="H239" s="4" t="s">
        <v>2099</v>
      </c>
      <c r="I239" s="4" t="s">
        <v>2100</v>
      </c>
      <c r="J239" s="4" t="s">
        <v>2111</v>
      </c>
      <c r="K239">
        <v>22</v>
      </c>
      <c r="L239">
        <v>6.7056000000000004</v>
      </c>
      <c r="M239">
        <v>26</v>
      </c>
      <c r="N239">
        <v>160</v>
      </c>
      <c r="O239">
        <v>264</v>
      </c>
      <c r="P239">
        <v>1.0236220472440944</v>
      </c>
      <c r="Q239">
        <v>6.2992125984251972</v>
      </c>
      <c r="R239">
        <v>788.66300000000001</v>
      </c>
      <c r="S239">
        <v>2.7895296000000003E-2</v>
      </c>
      <c r="T239" s="4" t="s">
        <v>2323</v>
      </c>
    </row>
    <row r="240" spans="1:20" x14ac:dyDescent="0.2">
      <c r="A240" s="4" t="s">
        <v>2294</v>
      </c>
      <c r="B240" s="4" t="s">
        <v>2295</v>
      </c>
      <c r="C240" s="4" t="s">
        <v>2096</v>
      </c>
      <c r="D240" s="4" t="s">
        <v>2236</v>
      </c>
      <c r="E240" s="4" t="s">
        <v>2336</v>
      </c>
      <c r="F240" s="4" t="s">
        <v>2322</v>
      </c>
      <c r="G240" s="4" t="s">
        <v>2294</v>
      </c>
      <c r="H240" s="4" t="s">
        <v>2099</v>
      </c>
      <c r="I240" s="4" t="s">
        <v>2100</v>
      </c>
      <c r="J240" s="4" t="s">
        <v>2111</v>
      </c>
      <c r="K240">
        <v>23</v>
      </c>
      <c r="L240">
        <v>7.0104000000000006</v>
      </c>
      <c r="M240">
        <v>26</v>
      </c>
      <c r="N240">
        <v>160</v>
      </c>
      <c r="O240">
        <v>276.00000000000006</v>
      </c>
      <c r="P240">
        <v>1.0236220472440944</v>
      </c>
      <c r="Q240">
        <v>6.2992125984251972</v>
      </c>
      <c r="R240">
        <v>788.66300000000001</v>
      </c>
      <c r="S240">
        <v>2.9163264000000005E-2</v>
      </c>
      <c r="T240" s="4" t="s">
        <v>2323</v>
      </c>
    </row>
    <row r="241" spans="1:20" x14ac:dyDescent="0.2">
      <c r="A241" s="4" t="s">
        <v>2294</v>
      </c>
      <c r="B241" s="4" t="s">
        <v>2295</v>
      </c>
      <c r="C241" s="4" t="s">
        <v>2096</v>
      </c>
      <c r="D241" s="4" t="s">
        <v>2236</v>
      </c>
      <c r="E241" s="4" t="s">
        <v>2337</v>
      </c>
      <c r="F241" s="4" t="s">
        <v>2322</v>
      </c>
      <c r="G241" s="4" t="s">
        <v>2294</v>
      </c>
      <c r="H241" s="4" t="s">
        <v>2099</v>
      </c>
      <c r="I241" s="4" t="s">
        <v>2100</v>
      </c>
      <c r="J241" s="4" t="s">
        <v>2111</v>
      </c>
      <c r="K241">
        <v>24</v>
      </c>
      <c r="L241">
        <v>7.3152000000000008</v>
      </c>
      <c r="M241">
        <v>26</v>
      </c>
      <c r="N241">
        <v>160</v>
      </c>
      <c r="O241">
        <v>288.00000000000006</v>
      </c>
      <c r="P241">
        <v>1.0236220472440944</v>
      </c>
      <c r="Q241">
        <v>6.2992125984251972</v>
      </c>
      <c r="R241">
        <v>788.66300000000001</v>
      </c>
      <c r="S241">
        <v>3.0431232000000006E-2</v>
      </c>
      <c r="T241" s="4" t="s">
        <v>2323</v>
      </c>
    </row>
    <row r="242" spans="1:20" x14ac:dyDescent="0.2">
      <c r="A242" s="4" t="s">
        <v>2294</v>
      </c>
      <c r="B242" s="4" t="s">
        <v>2295</v>
      </c>
      <c r="C242" s="4" t="s">
        <v>2286</v>
      </c>
      <c r="D242" s="4" t="s">
        <v>2236</v>
      </c>
      <c r="E242" s="4" t="s">
        <v>2338</v>
      </c>
      <c r="F242" s="4" t="s">
        <v>2322</v>
      </c>
      <c r="G242" s="4" t="s">
        <v>2294</v>
      </c>
      <c r="H242" s="4" t="s">
        <v>2099</v>
      </c>
      <c r="I242" s="4" t="s">
        <v>2100</v>
      </c>
      <c r="J242" s="4" t="s">
        <v>2111</v>
      </c>
      <c r="K242">
        <v>3</v>
      </c>
      <c r="L242">
        <v>0.9144000000000001</v>
      </c>
      <c r="M242">
        <v>26</v>
      </c>
      <c r="N242">
        <v>160</v>
      </c>
      <c r="O242">
        <v>36.000000000000007</v>
      </c>
      <c r="P242">
        <v>1.0236220472440944</v>
      </c>
      <c r="Q242">
        <v>6.2992125984251972</v>
      </c>
      <c r="R242">
        <v>788.66300000000001</v>
      </c>
      <c r="S242">
        <v>3.8039040000000007E-3</v>
      </c>
      <c r="T242" s="4" t="s">
        <v>2339</v>
      </c>
    </row>
    <row r="243" spans="1:20" x14ac:dyDescent="0.2">
      <c r="A243" s="4" t="s">
        <v>2294</v>
      </c>
      <c r="B243" s="4" t="s">
        <v>2295</v>
      </c>
      <c r="C243" s="4" t="s">
        <v>2286</v>
      </c>
      <c r="D243" s="4" t="s">
        <v>2236</v>
      </c>
      <c r="E243" s="4" t="s">
        <v>2340</v>
      </c>
      <c r="F243" s="4" t="s">
        <v>2322</v>
      </c>
      <c r="G243" s="4" t="s">
        <v>2294</v>
      </c>
      <c r="H243" s="4" t="s">
        <v>2099</v>
      </c>
      <c r="I243" s="4" t="s">
        <v>2100</v>
      </c>
      <c r="J243" s="4" t="s">
        <v>2111</v>
      </c>
      <c r="K243">
        <v>4</v>
      </c>
      <c r="L243">
        <v>1.2192000000000001</v>
      </c>
      <c r="M243">
        <v>26</v>
      </c>
      <c r="N243">
        <v>160</v>
      </c>
      <c r="O243">
        <v>48.000000000000007</v>
      </c>
      <c r="P243">
        <v>1.0236220472440944</v>
      </c>
      <c r="Q243">
        <v>6.2992125984251972</v>
      </c>
      <c r="R243">
        <v>788.66300000000001</v>
      </c>
      <c r="S243">
        <v>5.0718720000000007E-3</v>
      </c>
      <c r="T243" s="4" t="s">
        <v>2339</v>
      </c>
    </row>
    <row r="244" spans="1:20" x14ac:dyDescent="0.2">
      <c r="A244" s="4" t="s">
        <v>2294</v>
      </c>
      <c r="B244" s="4" t="s">
        <v>2295</v>
      </c>
      <c r="C244" s="4" t="s">
        <v>2286</v>
      </c>
      <c r="D244" s="4" t="s">
        <v>2236</v>
      </c>
      <c r="E244" s="4" t="s">
        <v>2341</v>
      </c>
      <c r="F244" s="4" t="s">
        <v>2322</v>
      </c>
      <c r="G244" s="4" t="s">
        <v>2294</v>
      </c>
      <c r="H244" s="4" t="s">
        <v>2099</v>
      </c>
      <c r="I244" s="4" t="s">
        <v>2100</v>
      </c>
      <c r="J244" s="4" t="s">
        <v>2111</v>
      </c>
      <c r="K244">
        <v>5</v>
      </c>
      <c r="L244">
        <v>1.524</v>
      </c>
      <c r="M244">
        <v>26</v>
      </c>
      <c r="N244">
        <v>160</v>
      </c>
      <c r="O244">
        <v>60</v>
      </c>
      <c r="P244">
        <v>1.0236220472440944</v>
      </c>
      <c r="Q244">
        <v>6.2992125984251972</v>
      </c>
      <c r="R244">
        <v>788.66300000000001</v>
      </c>
      <c r="S244">
        <v>6.3398399999999994E-3</v>
      </c>
      <c r="T244" s="4" t="s">
        <v>2339</v>
      </c>
    </row>
    <row r="245" spans="1:20" x14ac:dyDescent="0.2">
      <c r="A245" s="4" t="s">
        <v>2294</v>
      </c>
      <c r="B245" s="4" t="s">
        <v>2295</v>
      </c>
      <c r="C245" s="4" t="s">
        <v>2286</v>
      </c>
      <c r="D245" s="4" t="s">
        <v>2236</v>
      </c>
      <c r="E245" s="4" t="s">
        <v>2342</v>
      </c>
      <c r="F245" s="4" t="s">
        <v>2322</v>
      </c>
      <c r="G245" s="4" t="s">
        <v>2294</v>
      </c>
      <c r="H245" s="4" t="s">
        <v>2099</v>
      </c>
      <c r="I245" s="4" t="s">
        <v>2100</v>
      </c>
      <c r="J245" s="4" t="s">
        <v>2111</v>
      </c>
      <c r="K245">
        <v>6</v>
      </c>
      <c r="L245">
        <v>1.8288000000000002</v>
      </c>
      <c r="M245">
        <v>26</v>
      </c>
      <c r="N245">
        <v>160</v>
      </c>
      <c r="O245">
        <v>72.000000000000014</v>
      </c>
      <c r="P245">
        <v>1.0236220472440944</v>
      </c>
      <c r="Q245">
        <v>6.2992125984251972</v>
      </c>
      <c r="R245">
        <v>788.66300000000001</v>
      </c>
      <c r="S245">
        <v>7.6078080000000015E-3</v>
      </c>
      <c r="T245" s="4" t="s">
        <v>2339</v>
      </c>
    </row>
    <row r="246" spans="1:20" x14ac:dyDescent="0.2">
      <c r="A246" s="4" t="s">
        <v>2294</v>
      </c>
      <c r="B246" s="4" t="s">
        <v>2295</v>
      </c>
      <c r="C246" s="4" t="s">
        <v>2286</v>
      </c>
      <c r="D246" s="4" t="s">
        <v>2236</v>
      </c>
      <c r="E246" s="4" t="s">
        <v>2343</v>
      </c>
      <c r="F246" s="4" t="s">
        <v>2322</v>
      </c>
      <c r="G246" s="4" t="s">
        <v>2294</v>
      </c>
      <c r="H246" s="4" t="s">
        <v>2099</v>
      </c>
      <c r="I246" s="4" t="s">
        <v>2100</v>
      </c>
      <c r="J246" s="4" t="s">
        <v>2111</v>
      </c>
      <c r="K246">
        <v>7</v>
      </c>
      <c r="L246">
        <v>2.1335999999999999</v>
      </c>
      <c r="M246">
        <v>26</v>
      </c>
      <c r="N246">
        <v>160</v>
      </c>
      <c r="O246">
        <v>84</v>
      </c>
      <c r="P246">
        <v>1.0236220472440944</v>
      </c>
      <c r="Q246">
        <v>6.2992125984251972</v>
      </c>
      <c r="R246">
        <v>788.66300000000001</v>
      </c>
      <c r="S246">
        <v>8.8757760000000002E-3</v>
      </c>
      <c r="T246" s="4" t="s">
        <v>2339</v>
      </c>
    </row>
    <row r="247" spans="1:20" x14ac:dyDescent="0.2">
      <c r="A247" s="4" t="s">
        <v>2294</v>
      </c>
      <c r="B247" s="4" t="s">
        <v>2295</v>
      </c>
      <c r="C247" s="4" t="s">
        <v>2096</v>
      </c>
      <c r="D247" s="4" t="s">
        <v>2236</v>
      </c>
      <c r="E247" s="4" t="s">
        <v>2344</v>
      </c>
      <c r="F247" s="4" t="s">
        <v>2322</v>
      </c>
      <c r="G247" s="4" t="s">
        <v>2294</v>
      </c>
      <c r="H247" s="4" t="s">
        <v>2099</v>
      </c>
      <c r="I247" s="4" t="s">
        <v>2100</v>
      </c>
      <c r="J247" s="4" t="s">
        <v>2111</v>
      </c>
      <c r="K247">
        <v>8</v>
      </c>
      <c r="L247">
        <v>2.4384000000000001</v>
      </c>
      <c r="M247">
        <v>26</v>
      </c>
      <c r="N247">
        <v>160</v>
      </c>
      <c r="O247">
        <v>96.000000000000014</v>
      </c>
      <c r="P247">
        <v>1.0236220472440944</v>
      </c>
      <c r="Q247">
        <v>6.2992125984251972</v>
      </c>
      <c r="R247">
        <v>788.66300000000001</v>
      </c>
      <c r="S247">
        <v>1.0143744000000001E-2</v>
      </c>
      <c r="T247" s="4" t="s">
        <v>2323</v>
      </c>
    </row>
    <row r="248" spans="1:20" x14ac:dyDescent="0.2">
      <c r="A248" s="4" t="s">
        <v>2294</v>
      </c>
      <c r="B248" s="4" t="s">
        <v>2295</v>
      </c>
      <c r="C248" s="4" t="s">
        <v>2096</v>
      </c>
      <c r="D248" s="4" t="s">
        <v>2236</v>
      </c>
      <c r="E248" s="4" t="s">
        <v>2345</v>
      </c>
      <c r="F248" s="4" t="s">
        <v>2322</v>
      </c>
      <c r="G248" s="4" t="s">
        <v>2294</v>
      </c>
      <c r="H248" s="4" t="s">
        <v>2099</v>
      </c>
      <c r="I248" s="4" t="s">
        <v>2100</v>
      </c>
      <c r="J248" s="4" t="s">
        <v>2111</v>
      </c>
      <c r="K248">
        <v>9</v>
      </c>
      <c r="L248">
        <v>2.7432000000000003</v>
      </c>
      <c r="M248">
        <v>26</v>
      </c>
      <c r="N248">
        <v>160</v>
      </c>
      <c r="O248">
        <v>108.00000000000001</v>
      </c>
      <c r="P248">
        <v>1.0236220472440944</v>
      </c>
      <c r="Q248">
        <v>6.2992125984251972</v>
      </c>
      <c r="R248">
        <v>788.66300000000001</v>
      </c>
      <c r="S248">
        <v>1.1411712000000003E-2</v>
      </c>
      <c r="T248" s="4" t="s">
        <v>2323</v>
      </c>
    </row>
    <row r="249" spans="1:20" x14ac:dyDescent="0.2">
      <c r="A249" s="4" t="s">
        <v>2294</v>
      </c>
      <c r="B249" s="4" t="s">
        <v>2346</v>
      </c>
      <c r="C249" s="4" t="s">
        <v>2096</v>
      </c>
      <c r="D249" s="4" t="s">
        <v>2236</v>
      </c>
      <c r="E249" s="4" t="s">
        <v>2347</v>
      </c>
      <c r="F249" s="4" t="s">
        <v>2348</v>
      </c>
      <c r="G249" s="4" t="s">
        <v>2294</v>
      </c>
      <c r="H249" s="4" t="s">
        <v>2183</v>
      </c>
      <c r="I249" s="4" t="s">
        <v>2100</v>
      </c>
      <c r="J249" s="4" t="s">
        <v>2349</v>
      </c>
      <c r="K249">
        <v>10</v>
      </c>
      <c r="L249">
        <v>3.048</v>
      </c>
      <c r="M249">
        <v>19</v>
      </c>
      <c r="N249">
        <v>70</v>
      </c>
      <c r="O249">
        <v>120</v>
      </c>
      <c r="P249">
        <v>0.74803149606299213</v>
      </c>
      <c r="Q249">
        <v>2.7559055118110236</v>
      </c>
      <c r="R249">
        <v>2466.797</v>
      </c>
      <c r="S249">
        <v>4.0538400000000004E-3</v>
      </c>
      <c r="T249" s="4" t="s">
        <v>2350</v>
      </c>
    </row>
    <row r="250" spans="1:20" x14ac:dyDescent="0.2">
      <c r="A250" s="4" t="s">
        <v>2294</v>
      </c>
      <c r="B250" s="4" t="s">
        <v>2346</v>
      </c>
      <c r="C250" s="4" t="s">
        <v>2096</v>
      </c>
      <c r="D250" s="4" t="s">
        <v>2236</v>
      </c>
      <c r="E250" s="4" t="s">
        <v>2351</v>
      </c>
      <c r="F250" s="4" t="s">
        <v>2348</v>
      </c>
      <c r="G250" s="4" t="s">
        <v>2294</v>
      </c>
      <c r="H250" s="4" t="s">
        <v>2183</v>
      </c>
      <c r="I250" s="4" t="s">
        <v>2100</v>
      </c>
      <c r="J250" s="4" t="s">
        <v>2349</v>
      </c>
      <c r="K250">
        <v>11</v>
      </c>
      <c r="L250">
        <v>3.3527999999999998</v>
      </c>
      <c r="M250">
        <v>19</v>
      </c>
      <c r="N250">
        <v>70</v>
      </c>
      <c r="O250">
        <v>132</v>
      </c>
      <c r="P250">
        <v>0.74803149606299213</v>
      </c>
      <c r="Q250">
        <v>2.7559055118110236</v>
      </c>
      <c r="R250">
        <v>2466.797</v>
      </c>
      <c r="S250">
        <v>4.4592239999999995E-3</v>
      </c>
      <c r="T250" s="4" t="s">
        <v>2350</v>
      </c>
    </row>
    <row r="251" spans="1:20" x14ac:dyDescent="0.2">
      <c r="A251" s="4" t="s">
        <v>2294</v>
      </c>
      <c r="B251" s="4" t="s">
        <v>2346</v>
      </c>
      <c r="C251" s="4" t="s">
        <v>2096</v>
      </c>
      <c r="D251" s="4" t="s">
        <v>2236</v>
      </c>
      <c r="E251" s="4" t="s">
        <v>2352</v>
      </c>
      <c r="F251" s="4" t="s">
        <v>2348</v>
      </c>
      <c r="G251" s="4" t="s">
        <v>2294</v>
      </c>
      <c r="H251" s="4" t="s">
        <v>2183</v>
      </c>
      <c r="I251" s="4" t="s">
        <v>2100</v>
      </c>
      <c r="J251" s="4" t="s">
        <v>2349</v>
      </c>
      <c r="K251">
        <v>12</v>
      </c>
      <c r="L251">
        <v>3.6576</v>
      </c>
      <c r="M251">
        <v>19</v>
      </c>
      <c r="N251">
        <v>70</v>
      </c>
      <c r="O251">
        <v>144</v>
      </c>
      <c r="P251">
        <v>0.74803149606299213</v>
      </c>
      <c r="Q251">
        <v>2.7559055118110236</v>
      </c>
      <c r="R251">
        <v>2466.797</v>
      </c>
      <c r="S251">
        <v>4.8646079999999994E-3</v>
      </c>
      <c r="T251" s="4" t="s">
        <v>2350</v>
      </c>
    </row>
    <row r="252" spans="1:20" x14ac:dyDescent="0.2">
      <c r="A252" s="4" t="s">
        <v>2294</v>
      </c>
      <c r="B252" s="4" t="s">
        <v>2346</v>
      </c>
      <c r="C252" s="4" t="s">
        <v>2096</v>
      </c>
      <c r="D252" s="4" t="s">
        <v>2236</v>
      </c>
      <c r="E252" s="4" t="s">
        <v>2353</v>
      </c>
      <c r="F252" s="4" t="s">
        <v>2348</v>
      </c>
      <c r="G252" s="4" t="s">
        <v>2294</v>
      </c>
      <c r="H252" s="4" t="s">
        <v>2183</v>
      </c>
      <c r="I252" s="4" t="s">
        <v>2100</v>
      </c>
      <c r="J252" s="4" t="s">
        <v>2349</v>
      </c>
      <c r="K252">
        <v>13</v>
      </c>
      <c r="L252">
        <v>3.9624000000000001</v>
      </c>
      <c r="M252">
        <v>19</v>
      </c>
      <c r="N252">
        <v>70</v>
      </c>
      <c r="O252">
        <v>156</v>
      </c>
      <c r="P252">
        <v>0.74803149606299213</v>
      </c>
      <c r="Q252">
        <v>2.7559055118110236</v>
      </c>
      <c r="R252">
        <v>2466.797</v>
      </c>
      <c r="S252">
        <v>5.2699920000000003E-3</v>
      </c>
      <c r="T252" s="4" t="s">
        <v>2350</v>
      </c>
    </row>
    <row r="253" spans="1:20" x14ac:dyDescent="0.2">
      <c r="A253" s="4" t="s">
        <v>2294</v>
      </c>
      <c r="B253" s="4" t="s">
        <v>2346</v>
      </c>
      <c r="C253" s="4" t="s">
        <v>2096</v>
      </c>
      <c r="D253" s="4" t="s">
        <v>2236</v>
      </c>
      <c r="E253" s="4" t="s">
        <v>2354</v>
      </c>
      <c r="F253" s="4" t="s">
        <v>2348</v>
      </c>
      <c r="G253" s="4" t="s">
        <v>2294</v>
      </c>
      <c r="H253" s="4" t="s">
        <v>2183</v>
      </c>
      <c r="I253" s="4" t="s">
        <v>2100</v>
      </c>
      <c r="J253" s="4" t="s">
        <v>2349</v>
      </c>
      <c r="K253">
        <v>14</v>
      </c>
      <c r="L253">
        <v>4.2671999999999999</v>
      </c>
      <c r="M253">
        <v>19</v>
      </c>
      <c r="N253">
        <v>70</v>
      </c>
      <c r="O253">
        <v>168</v>
      </c>
      <c r="P253">
        <v>0.74803149606299213</v>
      </c>
      <c r="Q253">
        <v>2.7559055118110236</v>
      </c>
      <c r="R253">
        <v>2466.797</v>
      </c>
      <c r="S253">
        <v>5.6753759999999993E-3</v>
      </c>
      <c r="T253" s="4" t="s">
        <v>2350</v>
      </c>
    </row>
    <row r="254" spans="1:20" x14ac:dyDescent="0.2">
      <c r="A254" s="4" t="s">
        <v>2294</v>
      </c>
      <c r="B254" s="4" t="s">
        <v>2346</v>
      </c>
      <c r="C254" s="4" t="s">
        <v>2096</v>
      </c>
      <c r="D254" s="4" t="s">
        <v>2236</v>
      </c>
      <c r="E254" s="4" t="s">
        <v>2355</v>
      </c>
      <c r="F254" s="4" t="s">
        <v>2348</v>
      </c>
      <c r="G254" s="4" t="s">
        <v>2294</v>
      </c>
      <c r="H254" s="4" t="s">
        <v>2183</v>
      </c>
      <c r="I254" s="4" t="s">
        <v>2100</v>
      </c>
      <c r="J254" s="4" t="s">
        <v>2349</v>
      </c>
      <c r="K254">
        <v>15</v>
      </c>
      <c r="L254">
        <v>4.5720000000000001</v>
      </c>
      <c r="M254">
        <v>19</v>
      </c>
      <c r="N254">
        <v>70</v>
      </c>
      <c r="O254">
        <v>180</v>
      </c>
      <c r="P254">
        <v>0.74803149606299213</v>
      </c>
      <c r="Q254">
        <v>2.7559055118110236</v>
      </c>
      <c r="R254">
        <v>2466.797</v>
      </c>
      <c r="S254">
        <v>6.0807599999999993E-3</v>
      </c>
      <c r="T254" s="4" t="s">
        <v>2350</v>
      </c>
    </row>
    <row r="255" spans="1:20" x14ac:dyDescent="0.2">
      <c r="A255" s="4" t="s">
        <v>2294</v>
      </c>
      <c r="B255" s="4" t="s">
        <v>2346</v>
      </c>
      <c r="C255" s="4" t="s">
        <v>2096</v>
      </c>
      <c r="D255" s="4" t="s">
        <v>2236</v>
      </c>
      <c r="E255" s="4" t="s">
        <v>2356</v>
      </c>
      <c r="F255" s="4" t="s">
        <v>2348</v>
      </c>
      <c r="G255" s="4" t="s">
        <v>2294</v>
      </c>
      <c r="H255" s="4" t="s">
        <v>2183</v>
      </c>
      <c r="I255" s="4" t="s">
        <v>2100</v>
      </c>
      <c r="J255" s="4" t="s">
        <v>2349</v>
      </c>
      <c r="K255">
        <v>16</v>
      </c>
      <c r="L255">
        <v>4.8768000000000002</v>
      </c>
      <c r="M255">
        <v>19</v>
      </c>
      <c r="N255">
        <v>70</v>
      </c>
      <c r="O255">
        <v>192.00000000000003</v>
      </c>
      <c r="P255">
        <v>0.74803149606299213</v>
      </c>
      <c r="Q255">
        <v>2.7559055118110236</v>
      </c>
      <c r="R255">
        <v>2466.797</v>
      </c>
      <c r="S255">
        <v>6.4861439999999992E-3</v>
      </c>
      <c r="T255" s="4" t="s">
        <v>2350</v>
      </c>
    </row>
    <row r="256" spans="1:20" x14ac:dyDescent="0.2">
      <c r="A256" s="4" t="s">
        <v>2294</v>
      </c>
      <c r="B256" s="4" t="s">
        <v>2346</v>
      </c>
      <c r="C256" s="4" t="s">
        <v>2096</v>
      </c>
      <c r="D256" s="4" t="s">
        <v>2236</v>
      </c>
      <c r="E256" s="4" t="s">
        <v>2357</v>
      </c>
      <c r="F256" s="4" t="s">
        <v>2348</v>
      </c>
      <c r="G256" s="4" t="s">
        <v>2294</v>
      </c>
      <c r="H256" s="4" t="s">
        <v>2183</v>
      </c>
      <c r="I256" s="4" t="s">
        <v>2100</v>
      </c>
      <c r="J256" s="4" t="s">
        <v>2349</v>
      </c>
      <c r="K256">
        <v>17</v>
      </c>
      <c r="L256">
        <v>5.1816000000000004</v>
      </c>
      <c r="M256">
        <v>19</v>
      </c>
      <c r="N256">
        <v>70</v>
      </c>
      <c r="O256">
        <v>204.00000000000003</v>
      </c>
      <c r="P256">
        <v>0.74803149606299213</v>
      </c>
      <c r="Q256">
        <v>2.7559055118110236</v>
      </c>
      <c r="R256">
        <v>2466.797</v>
      </c>
      <c r="S256">
        <v>6.8915280000000001E-3</v>
      </c>
      <c r="T256" s="4" t="s">
        <v>2350</v>
      </c>
    </row>
    <row r="257" spans="1:20" x14ac:dyDescent="0.2">
      <c r="A257" s="4" t="s">
        <v>2294</v>
      </c>
      <c r="B257" s="4" t="s">
        <v>2346</v>
      </c>
      <c r="C257" s="4" t="s">
        <v>2096</v>
      </c>
      <c r="D257" s="4" t="s">
        <v>2236</v>
      </c>
      <c r="E257" s="4" t="s">
        <v>2358</v>
      </c>
      <c r="F257" s="4" t="s">
        <v>2348</v>
      </c>
      <c r="G257" s="4" t="s">
        <v>2294</v>
      </c>
      <c r="H257" s="4" t="s">
        <v>2183</v>
      </c>
      <c r="I257" s="4" t="s">
        <v>2100</v>
      </c>
      <c r="J257" s="4" t="s">
        <v>2349</v>
      </c>
      <c r="K257">
        <v>18</v>
      </c>
      <c r="L257">
        <v>5.4863999999999997</v>
      </c>
      <c r="M257">
        <v>19</v>
      </c>
      <c r="N257">
        <v>70</v>
      </c>
      <c r="O257">
        <v>216</v>
      </c>
      <c r="P257">
        <v>0.74803149606299213</v>
      </c>
      <c r="Q257">
        <v>2.7559055118110236</v>
      </c>
      <c r="R257">
        <v>2466.797</v>
      </c>
      <c r="S257">
        <v>7.2969119999999991E-3</v>
      </c>
      <c r="T257" s="4" t="s">
        <v>2350</v>
      </c>
    </row>
    <row r="258" spans="1:20" x14ac:dyDescent="0.2">
      <c r="A258" s="4" t="s">
        <v>2294</v>
      </c>
      <c r="B258" s="4" t="s">
        <v>2346</v>
      </c>
      <c r="C258" s="4" t="s">
        <v>2096</v>
      </c>
      <c r="D258" s="4" t="s">
        <v>2236</v>
      </c>
      <c r="E258" s="4" t="s">
        <v>2359</v>
      </c>
      <c r="F258" s="4" t="s">
        <v>2348</v>
      </c>
      <c r="G258" s="4" t="s">
        <v>2294</v>
      </c>
      <c r="H258" s="4" t="s">
        <v>2183</v>
      </c>
      <c r="I258" s="4" t="s">
        <v>2100</v>
      </c>
      <c r="J258" s="4" t="s">
        <v>2349</v>
      </c>
      <c r="K258">
        <v>19</v>
      </c>
      <c r="L258">
        <v>5.7911999999999999</v>
      </c>
      <c r="M258">
        <v>19</v>
      </c>
      <c r="N258">
        <v>70</v>
      </c>
      <c r="O258">
        <v>228</v>
      </c>
      <c r="P258">
        <v>0.74803149606299213</v>
      </c>
      <c r="Q258">
        <v>2.7559055118110236</v>
      </c>
      <c r="R258">
        <v>2466.797</v>
      </c>
      <c r="S258">
        <v>7.702296E-3</v>
      </c>
      <c r="T258" s="4" t="s">
        <v>2350</v>
      </c>
    </row>
    <row r="259" spans="1:20" x14ac:dyDescent="0.2">
      <c r="A259" s="4" t="s">
        <v>2294</v>
      </c>
      <c r="B259" s="4" t="s">
        <v>2346</v>
      </c>
      <c r="C259" s="4" t="s">
        <v>2096</v>
      </c>
      <c r="D259" s="4" t="s">
        <v>2236</v>
      </c>
      <c r="E259" s="4" t="s">
        <v>2360</v>
      </c>
      <c r="F259" s="4" t="s">
        <v>2348</v>
      </c>
      <c r="G259" s="4" t="s">
        <v>2294</v>
      </c>
      <c r="H259" s="4" t="s">
        <v>2183</v>
      </c>
      <c r="I259" s="4" t="s">
        <v>2100</v>
      </c>
      <c r="J259" s="4" t="s">
        <v>2349</v>
      </c>
      <c r="K259">
        <v>20</v>
      </c>
      <c r="L259">
        <v>6.0960000000000001</v>
      </c>
      <c r="M259">
        <v>19</v>
      </c>
      <c r="N259">
        <v>70</v>
      </c>
      <c r="O259">
        <v>240</v>
      </c>
      <c r="P259">
        <v>0.74803149606299213</v>
      </c>
      <c r="Q259">
        <v>2.7559055118110236</v>
      </c>
      <c r="R259">
        <v>2466.797</v>
      </c>
      <c r="S259">
        <v>8.1076800000000008E-3</v>
      </c>
      <c r="T259" s="4" t="s">
        <v>2350</v>
      </c>
    </row>
    <row r="260" spans="1:20" x14ac:dyDescent="0.2">
      <c r="A260" s="4" t="s">
        <v>2294</v>
      </c>
      <c r="B260" s="4" t="s">
        <v>2346</v>
      </c>
      <c r="C260" s="4" t="s">
        <v>2096</v>
      </c>
      <c r="D260" s="4" t="s">
        <v>2236</v>
      </c>
      <c r="E260" s="4" t="s">
        <v>2361</v>
      </c>
      <c r="F260" s="4" t="s">
        <v>2348</v>
      </c>
      <c r="G260" s="4" t="s">
        <v>2294</v>
      </c>
      <c r="H260" s="4" t="s">
        <v>2183</v>
      </c>
      <c r="I260" s="4" t="s">
        <v>2100</v>
      </c>
      <c r="J260" s="4" t="s">
        <v>2349</v>
      </c>
      <c r="K260">
        <v>21</v>
      </c>
      <c r="L260">
        <v>6.4008000000000003</v>
      </c>
      <c r="M260">
        <v>19</v>
      </c>
      <c r="N260">
        <v>70</v>
      </c>
      <c r="O260">
        <v>252.00000000000003</v>
      </c>
      <c r="P260">
        <v>0.74803149606299213</v>
      </c>
      <c r="Q260">
        <v>2.7559055118110236</v>
      </c>
      <c r="R260">
        <v>2466.797</v>
      </c>
      <c r="S260">
        <v>8.5130640000000007E-3</v>
      </c>
      <c r="T260" s="4" t="s">
        <v>2350</v>
      </c>
    </row>
    <row r="261" spans="1:20" x14ac:dyDescent="0.2">
      <c r="A261" s="4" t="s">
        <v>2294</v>
      </c>
      <c r="B261" s="4" t="s">
        <v>2346</v>
      </c>
      <c r="C261" s="4" t="s">
        <v>2096</v>
      </c>
      <c r="D261" s="4" t="s">
        <v>2236</v>
      </c>
      <c r="E261" s="4" t="s">
        <v>2362</v>
      </c>
      <c r="F261" s="4" t="s">
        <v>2348</v>
      </c>
      <c r="G261" s="4" t="s">
        <v>2294</v>
      </c>
      <c r="H261" s="4" t="s">
        <v>2183</v>
      </c>
      <c r="I261" s="4" t="s">
        <v>2100</v>
      </c>
      <c r="J261" s="4" t="s">
        <v>2349</v>
      </c>
      <c r="K261">
        <v>22</v>
      </c>
      <c r="L261">
        <v>6.7055999999999996</v>
      </c>
      <c r="M261">
        <v>19</v>
      </c>
      <c r="N261">
        <v>70</v>
      </c>
      <c r="O261">
        <v>264</v>
      </c>
      <c r="P261">
        <v>0.74803149606299213</v>
      </c>
      <c r="Q261">
        <v>2.7559055118110236</v>
      </c>
      <c r="R261">
        <v>2466.797</v>
      </c>
      <c r="S261">
        <v>8.918447999999999E-3</v>
      </c>
      <c r="T261" s="4" t="s">
        <v>2350</v>
      </c>
    </row>
    <row r="262" spans="1:20" x14ac:dyDescent="0.2">
      <c r="A262" s="4" t="s">
        <v>2294</v>
      </c>
      <c r="B262" s="4" t="s">
        <v>2346</v>
      </c>
      <c r="C262" s="4" t="s">
        <v>2096</v>
      </c>
      <c r="D262" s="4" t="s">
        <v>2236</v>
      </c>
      <c r="E262" s="4" t="s">
        <v>2363</v>
      </c>
      <c r="F262" s="4" t="s">
        <v>2348</v>
      </c>
      <c r="G262" s="4" t="s">
        <v>2294</v>
      </c>
      <c r="H262" s="4" t="s">
        <v>2183</v>
      </c>
      <c r="I262" s="4" t="s">
        <v>2100</v>
      </c>
      <c r="J262" s="4" t="s">
        <v>2349</v>
      </c>
      <c r="K262">
        <v>23</v>
      </c>
      <c r="L262">
        <v>7.0103999999999997</v>
      </c>
      <c r="M262">
        <v>19</v>
      </c>
      <c r="N262">
        <v>70</v>
      </c>
      <c r="O262">
        <v>276</v>
      </c>
      <c r="P262">
        <v>0.74803149606299213</v>
      </c>
      <c r="Q262">
        <v>2.7559055118110236</v>
      </c>
      <c r="R262">
        <v>2466.797</v>
      </c>
      <c r="S262">
        <v>9.3238319999999989E-3</v>
      </c>
      <c r="T262" s="4" t="s">
        <v>2350</v>
      </c>
    </row>
    <row r="263" spans="1:20" x14ac:dyDescent="0.2">
      <c r="A263" s="4" t="s">
        <v>2294</v>
      </c>
      <c r="B263" s="4" t="s">
        <v>2346</v>
      </c>
      <c r="C263" s="4" t="s">
        <v>2096</v>
      </c>
      <c r="D263" s="4" t="s">
        <v>2236</v>
      </c>
      <c r="E263" s="4" t="s">
        <v>2364</v>
      </c>
      <c r="F263" s="4" t="s">
        <v>2348</v>
      </c>
      <c r="G263" s="4" t="s">
        <v>2294</v>
      </c>
      <c r="H263" s="4" t="s">
        <v>2183</v>
      </c>
      <c r="I263" s="4" t="s">
        <v>2100</v>
      </c>
      <c r="J263" s="4" t="s">
        <v>2349</v>
      </c>
      <c r="K263">
        <v>24</v>
      </c>
      <c r="L263">
        <v>7.3152000000000008</v>
      </c>
      <c r="M263">
        <v>19</v>
      </c>
      <c r="N263">
        <v>70</v>
      </c>
      <c r="O263">
        <v>288.00000000000006</v>
      </c>
      <c r="P263">
        <v>0.74803149606299213</v>
      </c>
      <c r="Q263">
        <v>2.7559055118110236</v>
      </c>
      <c r="R263">
        <v>2466.797</v>
      </c>
      <c r="S263">
        <v>9.7292160000000006E-3</v>
      </c>
      <c r="T263" s="4" t="s">
        <v>2350</v>
      </c>
    </row>
    <row r="264" spans="1:20" x14ac:dyDescent="0.2">
      <c r="A264" s="4" t="s">
        <v>2294</v>
      </c>
      <c r="B264" s="4" t="s">
        <v>2346</v>
      </c>
      <c r="C264" s="4" t="s">
        <v>2286</v>
      </c>
      <c r="D264" s="4" t="s">
        <v>2236</v>
      </c>
      <c r="E264" s="4" t="s">
        <v>2365</v>
      </c>
      <c r="F264" s="4" t="s">
        <v>2348</v>
      </c>
      <c r="G264" s="4" t="s">
        <v>2294</v>
      </c>
      <c r="H264" s="4" t="s">
        <v>2183</v>
      </c>
      <c r="I264" s="4" t="s">
        <v>2100</v>
      </c>
      <c r="J264" s="4" t="s">
        <v>2349</v>
      </c>
      <c r="K264">
        <v>3</v>
      </c>
      <c r="L264">
        <v>0.91439999999999999</v>
      </c>
      <c r="M264">
        <v>19</v>
      </c>
      <c r="N264">
        <v>70</v>
      </c>
      <c r="O264">
        <v>36</v>
      </c>
      <c r="P264">
        <v>0.74803149606299213</v>
      </c>
      <c r="Q264">
        <v>2.7559055118110236</v>
      </c>
      <c r="R264">
        <v>2466.797</v>
      </c>
      <c r="S264">
        <v>1.2161519999999999E-3</v>
      </c>
      <c r="T264" s="4" t="s">
        <v>2366</v>
      </c>
    </row>
    <row r="265" spans="1:20" x14ac:dyDescent="0.2">
      <c r="A265" s="4" t="s">
        <v>2294</v>
      </c>
      <c r="B265" s="4" t="s">
        <v>2346</v>
      </c>
      <c r="C265" s="4" t="s">
        <v>2286</v>
      </c>
      <c r="D265" s="4" t="s">
        <v>2236</v>
      </c>
      <c r="E265" s="4" t="s">
        <v>2367</v>
      </c>
      <c r="F265" s="4" t="s">
        <v>2348</v>
      </c>
      <c r="G265" s="4" t="s">
        <v>2294</v>
      </c>
      <c r="H265" s="4" t="s">
        <v>2183</v>
      </c>
      <c r="I265" s="4" t="s">
        <v>2100</v>
      </c>
      <c r="J265" s="4" t="s">
        <v>2349</v>
      </c>
      <c r="K265">
        <v>4</v>
      </c>
      <c r="L265">
        <v>1.2192000000000001</v>
      </c>
      <c r="M265">
        <v>19</v>
      </c>
      <c r="N265">
        <v>70</v>
      </c>
      <c r="O265">
        <v>48.000000000000007</v>
      </c>
      <c r="P265">
        <v>0.74803149606299213</v>
      </c>
      <c r="Q265">
        <v>2.7559055118110236</v>
      </c>
      <c r="R265">
        <v>2466.797</v>
      </c>
      <c r="S265">
        <v>1.6215359999999998E-3</v>
      </c>
      <c r="T265" s="4" t="s">
        <v>2366</v>
      </c>
    </row>
    <row r="266" spans="1:20" x14ac:dyDescent="0.2">
      <c r="A266" s="4" t="s">
        <v>2294</v>
      </c>
      <c r="B266" s="4" t="s">
        <v>2346</v>
      </c>
      <c r="C266" s="4" t="s">
        <v>2286</v>
      </c>
      <c r="D266" s="4" t="s">
        <v>2236</v>
      </c>
      <c r="E266" s="4" t="s">
        <v>2368</v>
      </c>
      <c r="F266" s="4" t="s">
        <v>2348</v>
      </c>
      <c r="G266" s="4" t="s">
        <v>2294</v>
      </c>
      <c r="H266" s="4" t="s">
        <v>2183</v>
      </c>
      <c r="I266" s="4" t="s">
        <v>2100</v>
      </c>
      <c r="J266" s="4" t="s">
        <v>2349</v>
      </c>
      <c r="K266">
        <v>5</v>
      </c>
      <c r="L266">
        <v>1.524</v>
      </c>
      <c r="M266">
        <v>19</v>
      </c>
      <c r="N266">
        <v>70</v>
      </c>
      <c r="O266">
        <v>60</v>
      </c>
      <c r="P266">
        <v>0.74803149606299213</v>
      </c>
      <c r="Q266">
        <v>2.7559055118110236</v>
      </c>
      <c r="R266">
        <v>2466.797</v>
      </c>
      <c r="S266">
        <v>2.0269200000000002E-3</v>
      </c>
      <c r="T266" s="4" t="s">
        <v>2366</v>
      </c>
    </row>
    <row r="267" spans="1:20" x14ac:dyDescent="0.2">
      <c r="A267" s="4" t="s">
        <v>2294</v>
      </c>
      <c r="B267" s="4" t="s">
        <v>2346</v>
      </c>
      <c r="C267" s="4" t="s">
        <v>2286</v>
      </c>
      <c r="D267" s="4" t="s">
        <v>2236</v>
      </c>
      <c r="E267" s="4" t="s">
        <v>2369</v>
      </c>
      <c r="F267" s="4" t="s">
        <v>2348</v>
      </c>
      <c r="G267" s="4" t="s">
        <v>2294</v>
      </c>
      <c r="H267" s="4" t="s">
        <v>2183</v>
      </c>
      <c r="I267" s="4" t="s">
        <v>2100</v>
      </c>
      <c r="J267" s="4" t="s">
        <v>2349</v>
      </c>
      <c r="K267">
        <v>6</v>
      </c>
      <c r="L267">
        <v>1.8288</v>
      </c>
      <c r="M267">
        <v>19</v>
      </c>
      <c r="N267">
        <v>70</v>
      </c>
      <c r="O267">
        <v>72</v>
      </c>
      <c r="P267">
        <v>0.74803149606299213</v>
      </c>
      <c r="Q267">
        <v>2.7559055118110236</v>
      </c>
      <c r="R267">
        <v>2466.797</v>
      </c>
      <c r="S267">
        <v>2.4323039999999997E-3</v>
      </c>
      <c r="T267" s="4" t="s">
        <v>2366</v>
      </c>
    </row>
    <row r="268" spans="1:20" x14ac:dyDescent="0.2">
      <c r="A268" s="4" t="s">
        <v>2294</v>
      </c>
      <c r="B268" s="4" t="s">
        <v>2346</v>
      </c>
      <c r="C268" s="4" t="s">
        <v>2286</v>
      </c>
      <c r="D268" s="4" t="s">
        <v>2236</v>
      </c>
      <c r="E268" s="4" t="s">
        <v>2370</v>
      </c>
      <c r="F268" s="4" t="s">
        <v>2348</v>
      </c>
      <c r="G268" s="4" t="s">
        <v>2294</v>
      </c>
      <c r="H268" s="4" t="s">
        <v>2183</v>
      </c>
      <c r="I268" s="4" t="s">
        <v>2100</v>
      </c>
      <c r="J268" s="4" t="s">
        <v>2349</v>
      </c>
      <c r="K268">
        <v>7</v>
      </c>
      <c r="L268">
        <v>2.1335999999999999</v>
      </c>
      <c r="M268">
        <v>19</v>
      </c>
      <c r="N268">
        <v>70</v>
      </c>
      <c r="O268">
        <v>84</v>
      </c>
      <c r="P268">
        <v>0.74803149606299213</v>
      </c>
      <c r="Q268">
        <v>2.7559055118110236</v>
      </c>
      <c r="R268">
        <v>2466.797</v>
      </c>
      <c r="S268">
        <v>2.8376879999999997E-3</v>
      </c>
      <c r="T268" s="4" t="s">
        <v>2366</v>
      </c>
    </row>
    <row r="269" spans="1:20" x14ac:dyDescent="0.2">
      <c r="A269" s="4" t="s">
        <v>2294</v>
      </c>
      <c r="B269" s="4" t="s">
        <v>2346</v>
      </c>
      <c r="C269" s="4" t="s">
        <v>2096</v>
      </c>
      <c r="D269" s="4" t="s">
        <v>2236</v>
      </c>
      <c r="E269" s="4" t="s">
        <v>2371</v>
      </c>
      <c r="F269" s="4" t="s">
        <v>2348</v>
      </c>
      <c r="G269" s="4" t="s">
        <v>2294</v>
      </c>
      <c r="H269" s="4" t="s">
        <v>2183</v>
      </c>
      <c r="I269" s="4" t="s">
        <v>2100</v>
      </c>
      <c r="J269" s="4" t="s">
        <v>2349</v>
      </c>
      <c r="K269">
        <v>8</v>
      </c>
      <c r="L269">
        <v>2.4384000000000001</v>
      </c>
      <c r="M269">
        <v>19</v>
      </c>
      <c r="N269">
        <v>70</v>
      </c>
      <c r="O269">
        <v>96.000000000000014</v>
      </c>
      <c r="P269">
        <v>0.74803149606299213</v>
      </c>
      <c r="Q269">
        <v>2.7559055118110236</v>
      </c>
      <c r="R269">
        <v>2466.797</v>
      </c>
      <c r="S269">
        <v>3.2430719999999996E-3</v>
      </c>
      <c r="T269" s="4" t="s">
        <v>2350</v>
      </c>
    </row>
    <row r="270" spans="1:20" x14ac:dyDescent="0.2">
      <c r="A270" s="4" t="s">
        <v>2294</v>
      </c>
      <c r="B270" s="4" t="s">
        <v>2346</v>
      </c>
      <c r="C270" s="4" t="s">
        <v>2096</v>
      </c>
      <c r="D270" s="4" t="s">
        <v>2236</v>
      </c>
      <c r="E270" s="4" t="s">
        <v>2372</v>
      </c>
      <c r="F270" s="4" t="s">
        <v>2348</v>
      </c>
      <c r="G270" s="4" t="s">
        <v>2294</v>
      </c>
      <c r="H270" s="4" t="s">
        <v>2183</v>
      </c>
      <c r="I270" s="4" t="s">
        <v>2100</v>
      </c>
      <c r="J270" s="4" t="s">
        <v>2349</v>
      </c>
      <c r="K270">
        <v>9</v>
      </c>
      <c r="L270">
        <v>2.7431999999999999</v>
      </c>
      <c r="M270">
        <v>19</v>
      </c>
      <c r="N270">
        <v>70</v>
      </c>
      <c r="O270">
        <v>108</v>
      </c>
      <c r="P270">
        <v>0.74803149606299213</v>
      </c>
      <c r="Q270">
        <v>2.7559055118110236</v>
      </c>
      <c r="R270">
        <v>2466.797</v>
      </c>
      <c r="S270">
        <v>3.6484559999999996E-3</v>
      </c>
      <c r="T270" s="4" t="s">
        <v>2350</v>
      </c>
    </row>
    <row r="271" spans="1:20" x14ac:dyDescent="0.2">
      <c r="A271" s="4" t="s">
        <v>2294</v>
      </c>
      <c r="B271" s="4" t="s">
        <v>2373</v>
      </c>
      <c r="C271" s="4" t="s">
        <v>2096</v>
      </c>
      <c r="D271" s="4" t="s">
        <v>2236</v>
      </c>
      <c r="E271" s="4" t="s">
        <v>274</v>
      </c>
      <c r="F271" s="4" t="s">
        <v>2374</v>
      </c>
      <c r="G271" s="4" t="s">
        <v>2294</v>
      </c>
      <c r="H271" s="4" t="s">
        <v>2183</v>
      </c>
      <c r="I271" s="4" t="s">
        <v>2100</v>
      </c>
      <c r="J271" s="4" t="s">
        <v>2375</v>
      </c>
      <c r="K271">
        <v>10</v>
      </c>
      <c r="L271">
        <v>3.048</v>
      </c>
      <c r="M271">
        <v>22.224999999999998</v>
      </c>
      <c r="N271">
        <v>95.25</v>
      </c>
      <c r="O271">
        <v>120</v>
      </c>
      <c r="P271">
        <v>0.875</v>
      </c>
      <c r="Q271">
        <v>3.75</v>
      </c>
      <c r="R271">
        <v>1549.809</v>
      </c>
      <c r="S271">
        <v>6.452406449999999E-3</v>
      </c>
      <c r="T271" s="4" t="s">
        <v>2376</v>
      </c>
    </row>
    <row r="272" spans="1:20" x14ac:dyDescent="0.2">
      <c r="A272" s="4" t="s">
        <v>2294</v>
      </c>
      <c r="B272" s="4" t="s">
        <v>2373</v>
      </c>
      <c r="C272" s="4" t="s">
        <v>2096</v>
      </c>
      <c r="D272" s="4" t="s">
        <v>2236</v>
      </c>
      <c r="E272" s="4" t="s">
        <v>276</v>
      </c>
      <c r="F272" s="4" t="s">
        <v>2374</v>
      </c>
      <c r="G272" s="4" t="s">
        <v>2294</v>
      </c>
      <c r="H272" s="4" t="s">
        <v>2183</v>
      </c>
      <c r="I272" s="4" t="s">
        <v>2100</v>
      </c>
      <c r="J272" s="4" t="s">
        <v>2375</v>
      </c>
      <c r="K272">
        <v>11</v>
      </c>
      <c r="L272">
        <v>3.3527999999999998</v>
      </c>
      <c r="M272">
        <v>22.224999999999998</v>
      </c>
      <c r="N272">
        <v>95.25</v>
      </c>
      <c r="O272">
        <v>132</v>
      </c>
      <c r="P272">
        <v>0.875</v>
      </c>
      <c r="Q272">
        <v>3.75</v>
      </c>
      <c r="R272">
        <v>1549.809</v>
      </c>
      <c r="S272">
        <v>7.0976470949999987E-3</v>
      </c>
      <c r="T272" s="4" t="s">
        <v>2376</v>
      </c>
    </row>
    <row r="273" spans="1:20" x14ac:dyDescent="0.2">
      <c r="A273" s="4" t="s">
        <v>2294</v>
      </c>
      <c r="B273" s="4" t="s">
        <v>2373</v>
      </c>
      <c r="C273" s="4" t="s">
        <v>2096</v>
      </c>
      <c r="D273" s="4" t="s">
        <v>2236</v>
      </c>
      <c r="E273" s="4" t="s">
        <v>278</v>
      </c>
      <c r="F273" s="4" t="s">
        <v>2374</v>
      </c>
      <c r="G273" s="4" t="s">
        <v>2294</v>
      </c>
      <c r="H273" s="4" t="s">
        <v>2183</v>
      </c>
      <c r="I273" s="4" t="s">
        <v>2100</v>
      </c>
      <c r="J273" s="4" t="s">
        <v>2375</v>
      </c>
      <c r="K273">
        <v>12</v>
      </c>
      <c r="L273">
        <v>3.6576</v>
      </c>
      <c r="M273">
        <v>22.224999999999998</v>
      </c>
      <c r="N273">
        <v>95.25</v>
      </c>
      <c r="O273">
        <v>144</v>
      </c>
      <c r="P273">
        <v>0.875</v>
      </c>
      <c r="Q273">
        <v>3.75</v>
      </c>
      <c r="R273">
        <v>1549.809</v>
      </c>
      <c r="S273">
        <v>7.7428877399999983E-3</v>
      </c>
      <c r="T273" s="4" t="s">
        <v>2376</v>
      </c>
    </row>
    <row r="274" spans="1:20" x14ac:dyDescent="0.2">
      <c r="A274" s="4" t="s">
        <v>2294</v>
      </c>
      <c r="B274" s="4" t="s">
        <v>2373</v>
      </c>
      <c r="C274" s="4" t="s">
        <v>2096</v>
      </c>
      <c r="D274" s="4" t="s">
        <v>2236</v>
      </c>
      <c r="E274" s="4" t="s">
        <v>280</v>
      </c>
      <c r="F274" s="4" t="s">
        <v>2374</v>
      </c>
      <c r="G274" s="4" t="s">
        <v>2294</v>
      </c>
      <c r="H274" s="4" t="s">
        <v>2183</v>
      </c>
      <c r="I274" s="4" t="s">
        <v>2100</v>
      </c>
      <c r="J274" s="4" t="s">
        <v>2375</v>
      </c>
      <c r="K274">
        <v>13</v>
      </c>
      <c r="L274">
        <v>3.9624000000000001</v>
      </c>
      <c r="M274">
        <v>22.224999999999998</v>
      </c>
      <c r="N274">
        <v>95.25</v>
      </c>
      <c r="O274">
        <v>156</v>
      </c>
      <c r="P274">
        <v>0.875</v>
      </c>
      <c r="Q274">
        <v>3.75</v>
      </c>
      <c r="R274">
        <v>1549.809</v>
      </c>
      <c r="S274">
        <v>8.3881283850000005E-3</v>
      </c>
      <c r="T274" s="4" t="s">
        <v>2376</v>
      </c>
    </row>
    <row r="275" spans="1:20" x14ac:dyDescent="0.2">
      <c r="A275" s="4" t="s">
        <v>2294</v>
      </c>
      <c r="B275" s="4" t="s">
        <v>2373</v>
      </c>
      <c r="C275" s="4" t="s">
        <v>2096</v>
      </c>
      <c r="D275" s="4" t="s">
        <v>2236</v>
      </c>
      <c r="E275" s="4" t="s">
        <v>282</v>
      </c>
      <c r="F275" s="4" t="s">
        <v>2374</v>
      </c>
      <c r="G275" s="4" t="s">
        <v>2294</v>
      </c>
      <c r="H275" s="4" t="s">
        <v>2183</v>
      </c>
      <c r="I275" s="4" t="s">
        <v>2100</v>
      </c>
      <c r="J275" s="4" t="s">
        <v>2375</v>
      </c>
      <c r="K275">
        <v>14</v>
      </c>
      <c r="L275">
        <v>4.2671999999999999</v>
      </c>
      <c r="M275">
        <v>22.224999999999998</v>
      </c>
      <c r="N275">
        <v>95.25</v>
      </c>
      <c r="O275">
        <v>168</v>
      </c>
      <c r="P275">
        <v>0.875</v>
      </c>
      <c r="Q275">
        <v>3.75</v>
      </c>
      <c r="R275">
        <v>1549.809</v>
      </c>
      <c r="S275">
        <v>9.0333690299999984E-3</v>
      </c>
      <c r="T275" s="4" t="s">
        <v>2376</v>
      </c>
    </row>
    <row r="276" spans="1:20" x14ac:dyDescent="0.2">
      <c r="A276" s="4" t="s">
        <v>2294</v>
      </c>
      <c r="B276" s="4" t="s">
        <v>2373</v>
      </c>
      <c r="C276" s="4" t="s">
        <v>2096</v>
      </c>
      <c r="D276" s="4" t="s">
        <v>2236</v>
      </c>
      <c r="E276" s="4" t="s">
        <v>284</v>
      </c>
      <c r="F276" s="4" t="s">
        <v>2374</v>
      </c>
      <c r="G276" s="4" t="s">
        <v>2294</v>
      </c>
      <c r="H276" s="4" t="s">
        <v>2183</v>
      </c>
      <c r="I276" s="4" t="s">
        <v>2100</v>
      </c>
      <c r="J276" s="4" t="s">
        <v>2375</v>
      </c>
      <c r="K276">
        <v>15</v>
      </c>
      <c r="L276">
        <v>4.5720000000000001</v>
      </c>
      <c r="M276">
        <v>22.224999999999998</v>
      </c>
      <c r="N276">
        <v>95.25</v>
      </c>
      <c r="O276">
        <v>180</v>
      </c>
      <c r="P276">
        <v>0.875</v>
      </c>
      <c r="Q276">
        <v>3.75</v>
      </c>
      <c r="R276">
        <v>1549.809</v>
      </c>
      <c r="S276">
        <v>9.6786096749999981E-3</v>
      </c>
      <c r="T276" s="4" t="s">
        <v>2376</v>
      </c>
    </row>
    <row r="277" spans="1:20" x14ac:dyDescent="0.2">
      <c r="A277" s="4" t="s">
        <v>2294</v>
      </c>
      <c r="B277" s="4" t="s">
        <v>2373</v>
      </c>
      <c r="C277" s="4" t="s">
        <v>2096</v>
      </c>
      <c r="D277" s="4" t="s">
        <v>2236</v>
      </c>
      <c r="E277" s="4" t="s">
        <v>286</v>
      </c>
      <c r="F277" s="4" t="s">
        <v>2374</v>
      </c>
      <c r="G277" s="4" t="s">
        <v>2294</v>
      </c>
      <c r="H277" s="4" t="s">
        <v>2183</v>
      </c>
      <c r="I277" s="4" t="s">
        <v>2100</v>
      </c>
      <c r="J277" s="4" t="s">
        <v>2375</v>
      </c>
      <c r="K277">
        <v>16</v>
      </c>
      <c r="L277">
        <v>4.8768000000000002</v>
      </c>
      <c r="M277">
        <v>22.224999999999998</v>
      </c>
      <c r="N277">
        <v>95.25</v>
      </c>
      <c r="O277">
        <v>192.00000000000003</v>
      </c>
      <c r="P277">
        <v>0.875</v>
      </c>
      <c r="Q277">
        <v>3.75</v>
      </c>
      <c r="R277">
        <v>1549.809</v>
      </c>
      <c r="S277">
        <v>1.0323850319999999E-2</v>
      </c>
      <c r="T277" s="4" t="s">
        <v>2376</v>
      </c>
    </row>
    <row r="278" spans="1:20" x14ac:dyDescent="0.2">
      <c r="A278" s="4" t="s">
        <v>2294</v>
      </c>
      <c r="B278" s="4" t="s">
        <v>2373</v>
      </c>
      <c r="C278" s="4" t="s">
        <v>2096</v>
      </c>
      <c r="D278" s="4" t="s">
        <v>2236</v>
      </c>
      <c r="E278" s="4" t="s">
        <v>288</v>
      </c>
      <c r="F278" s="4" t="s">
        <v>2374</v>
      </c>
      <c r="G278" s="4" t="s">
        <v>2294</v>
      </c>
      <c r="H278" s="4" t="s">
        <v>2183</v>
      </c>
      <c r="I278" s="4" t="s">
        <v>2100</v>
      </c>
      <c r="J278" s="4" t="s">
        <v>2375</v>
      </c>
      <c r="K278">
        <v>17</v>
      </c>
      <c r="L278">
        <v>5.1816000000000004</v>
      </c>
      <c r="M278">
        <v>22.224999999999998</v>
      </c>
      <c r="N278">
        <v>95.25</v>
      </c>
      <c r="O278">
        <v>204.00000000000003</v>
      </c>
      <c r="P278">
        <v>0.875</v>
      </c>
      <c r="Q278">
        <v>3.75</v>
      </c>
      <c r="R278">
        <v>1549.809</v>
      </c>
      <c r="S278">
        <v>1.0969090964999999E-2</v>
      </c>
      <c r="T278" s="4" t="s">
        <v>2376</v>
      </c>
    </row>
    <row r="279" spans="1:20" x14ac:dyDescent="0.2">
      <c r="A279" s="4" t="s">
        <v>2294</v>
      </c>
      <c r="B279" s="4" t="s">
        <v>2373</v>
      </c>
      <c r="C279" s="4" t="s">
        <v>2096</v>
      </c>
      <c r="D279" s="4" t="s">
        <v>2236</v>
      </c>
      <c r="E279" s="4" t="s">
        <v>290</v>
      </c>
      <c r="F279" s="4" t="s">
        <v>2374</v>
      </c>
      <c r="G279" s="4" t="s">
        <v>2294</v>
      </c>
      <c r="H279" s="4" t="s">
        <v>2183</v>
      </c>
      <c r="I279" s="4" t="s">
        <v>2100</v>
      </c>
      <c r="J279" s="4" t="s">
        <v>2375</v>
      </c>
      <c r="K279">
        <v>18</v>
      </c>
      <c r="L279">
        <v>5.4863999999999997</v>
      </c>
      <c r="M279">
        <v>22.224999999999998</v>
      </c>
      <c r="N279">
        <v>95.25</v>
      </c>
      <c r="O279">
        <v>216</v>
      </c>
      <c r="P279">
        <v>0.875</v>
      </c>
      <c r="Q279">
        <v>3.75</v>
      </c>
      <c r="R279">
        <v>1549.809</v>
      </c>
      <c r="S279">
        <v>1.1614331609999997E-2</v>
      </c>
      <c r="T279" s="4" t="s">
        <v>2376</v>
      </c>
    </row>
    <row r="280" spans="1:20" x14ac:dyDescent="0.2">
      <c r="A280" s="4" t="s">
        <v>2294</v>
      </c>
      <c r="B280" s="4" t="s">
        <v>2373</v>
      </c>
      <c r="C280" s="4" t="s">
        <v>2096</v>
      </c>
      <c r="D280" s="4" t="s">
        <v>2236</v>
      </c>
      <c r="E280" s="4" t="s">
        <v>292</v>
      </c>
      <c r="F280" s="4" t="s">
        <v>2374</v>
      </c>
      <c r="G280" s="4" t="s">
        <v>2294</v>
      </c>
      <c r="H280" s="4" t="s">
        <v>2183</v>
      </c>
      <c r="I280" s="4" t="s">
        <v>2100</v>
      </c>
      <c r="J280" s="4" t="s">
        <v>2375</v>
      </c>
      <c r="K280">
        <v>19</v>
      </c>
      <c r="L280">
        <v>5.7911999999999999</v>
      </c>
      <c r="M280">
        <v>22.224999999999998</v>
      </c>
      <c r="N280">
        <v>95.25</v>
      </c>
      <c r="O280">
        <v>228</v>
      </c>
      <c r="P280">
        <v>0.875</v>
      </c>
      <c r="Q280">
        <v>3.75</v>
      </c>
      <c r="R280">
        <v>1549.809</v>
      </c>
      <c r="S280">
        <v>1.2259572254999998E-2</v>
      </c>
      <c r="T280" s="4" t="s">
        <v>2376</v>
      </c>
    </row>
    <row r="281" spans="1:20" x14ac:dyDescent="0.2">
      <c r="A281" s="4" t="s">
        <v>2294</v>
      </c>
      <c r="B281" s="4" t="s">
        <v>2373</v>
      </c>
      <c r="C281" s="4" t="s">
        <v>2096</v>
      </c>
      <c r="D281" s="4" t="s">
        <v>2236</v>
      </c>
      <c r="E281" s="4" t="s">
        <v>294</v>
      </c>
      <c r="F281" s="4" t="s">
        <v>2374</v>
      </c>
      <c r="G281" s="4" t="s">
        <v>2294</v>
      </c>
      <c r="H281" s="4" t="s">
        <v>2183</v>
      </c>
      <c r="I281" s="4" t="s">
        <v>2100</v>
      </c>
      <c r="J281" s="4" t="s">
        <v>2375</v>
      </c>
      <c r="K281">
        <v>20</v>
      </c>
      <c r="L281">
        <v>6.0960000000000001</v>
      </c>
      <c r="M281">
        <v>22.224999999999998</v>
      </c>
      <c r="N281">
        <v>95.25</v>
      </c>
      <c r="O281">
        <v>240</v>
      </c>
      <c r="P281">
        <v>0.875</v>
      </c>
      <c r="Q281">
        <v>3.75</v>
      </c>
      <c r="R281">
        <v>1549.809</v>
      </c>
      <c r="S281">
        <v>1.2904812899999998E-2</v>
      </c>
      <c r="T281" s="4" t="s">
        <v>2376</v>
      </c>
    </row>
    <row r="282" spans="1:20" x14ac:dyDescent="0.2">
      <c r="A282" s="4" t="s">
        <v>2294</v>
      </c>
      <c r="B282" s="4" t="s">
        <v>2373</v>
      </c>
      <c r="C282" s="4" t="s">
        <v>2096</v>
      </c>
      <c r="D282" s="4" t="s">
        <v>2236</v>
      </c>
      <c r="E282" s="4" t="s">
        <v>296</v>
      </c>
      <c r="F282" s="4" t="s">
        <v>2374</v>
      </c>
      <c r="G282" s="4" t="s">
        <v>2294</v>
      </c>
      <c r="H282" s="4" t="s">
        <v>2183</v>
      </c>
      <c r="I282" s="4" t="s">
        <v>2100</v>
      </c>
      <c r="J282" s="4" t="s">
        <v>2375</v>
      </c>
      <c r="K282">
        <v>21</v>
      </c>
      <c r="L282">
        <v>6.4008000000000003</v>
      </c>
      <c r="M282">
        <v>22.224999999999998</v>
      </c>
      <c r="N282">
        <v>95.25</v>
      </c>
      <c r="O282">
        <v>252.00000000000003</v>
      </c>
      <c r="P282">
        <v>0.875</v>
      </c>
      <c r="Q282">
        <v>3.75</v>
      </c>
      <c r="R282">
        <v>1549.809</v>
      </c>
      <c r="S282">
        <v>1.3550053545000001E-2</v>
      </c>
      <c r="T282" s="4" t="s">
        <v>2376</v>
      </c>
    </row>
    <row r="283" spans="1:20" x14ac:dyDescent="0.2">
      <c r="A283" s="4" t="s">
        <v>2294</v>
      </c>
      <c r="B283" s="4" t="s">
        <v>2373</v>
      </c>
      <c r="C283" s="4" t="s">
        <v>2096</v>
      </c>
      <c r="D283" s="4" t="s">
        <v>2236</v>
      </c>
      <c r="E283" s="4" t="s">
        <v>298</v>
      </c>
      <c r="F283" s="4" t="s">
        <v>2374</v>
      </c>
      <c r="G283" s="4" t="s">
        <v>2294</v>
      </c>
      <c r="H283" s="4" t="s">
        <v>2183</v>
      </c>
      <c r="I283" s="4" t="s">
        <v>2100</v>
      </c>
      <c r="J283" s="4" t="s">
        <v>2375</v>
      </c>
      <c r="K283">
        <v>22</v>
      </c>
      <c r="L283">
        <v>6.7055999999999996</v>
      </c>
      <c r="M283">
        <v>22.224999999999998</v>
      </c>
      <c r="N283">
        <v>95.25</v>
      </c>
      <c r="O283">
        <v>264</v>
      </c>
      <c r="P283">
        <v>0.875</v>
      </c>
      <c r="Q283">
        <v>3.75</v>
      </c>
      <c r="R283">
        <v>1549.809</v>
      </c>
      <c r="S283">
        <v>1.4195294189999997E-2</v>
      </c>
      <c r="T283" s="4" t="s">
        <v>2376</v>
      </c>
    </row>
    <row r="284" spans="1:20" x14ac:dyDescent="0.2">
      <c r="A284" s="4" t="s">
        <v>2294</v>
      </c>
      <c r="B284" s="4" t="s">
        <v>2373</v>
      </c>
      <c r="C284" s="4" t="s">
        <v>2286</v>
      </c>
      <c r="D284" s="4" t="s">
        <v>2236</v>
      </c>
      <c r="E284" s="4" t="s">
        <v>2377</v>
      </c>
      <c r="F284" s="4" t="s">
        <v>2374</v>
      </c>
      <c r="G284" s="4" t="s">
        <v>2294</v>
      </c>
      <c r="H284" s="4" t="s">
        <v>2183</v>
      </c>
      <c r="I284" s="4" t="s">
        <v>2100</v>
      </c>
      <c r="J284" s="4" t="s">
        <v>2375</v>
      </c>
      <c r="K284">
        <v>3</v>
      </c>
      <c r="L284">
        <v>0.91439999999999999</v>
      </c>
      <c r="M284">
        <v>22.224999999999998</v>
      </c>
      <c r="N284">
        <v>95.25</v>
      </c>
      <c r="O284">
        <v>36</v>
      </c>
      <c r="P284">
        <v>0.875</v>
      </c>
      <c r="Q284">
        <v>3.75</v>
      </c>
      <c r="R284">
        <v>1549.809</v>
      </c>
      <c r="S284">
        <v>1.9357219349999996E-3</v>
      </c>
      <c r="T284" s="4" t="s">
        <v>2378</v>
      </c>
    </row>
    <row r="285" spans="1:20" x14ac:dyDescent="0.2">
      <c r="A285" s="4" t="s">
        <v>2294</v>
      </c>
      <c r="B285" s="4" t="s">
        <v>2373</v>
      </c>
      <c r="C285" s="4" t="s">
        <v>2286</v>
      </c>
      <c r="D285" s="4" t="s">
        <v>2236</v>
      </c>
      <c r="E285" s="4" t="s">
        <v>2379</v>
      </c>
      <c r="F285" s="4" t="s">
        <v>2374</v>
      </c>
      <c r="G285" s="4" t="s">
        <v>2294</v>
      </c>
      <c r="H285" s="4" t="s">
        <v>2183</v>
      </c>
      <c r="I285" s="4" t="s">
        <v>2100</v>
      </c>
      <c r="J285" s="4" t="s">
        <v>2375</v>
      </c>
      <c r="K285">
        <v>4</v>
      </c>
      <c r="L285">
        <v>1.2192000000000001</v>
      </c>
      <c r="M285">
        <v>22.224999999999998</v>
      </c>
      <c r="N285">
        <v>95.25</v>
      </c>
      <c r="O285">
        <v>48.000000000000007</v>
      </c>
      <c r="P285">
        <v>0.875</v>
      </c>
      <c r="Q285">
        <v>3.75</v>
      </c>
      <c r="R285">
        <v>1549.809</v>
      </c>
      <c r="S285">
        <v>2.5809625799999999E-3</v>
      </c>
      <c r="T285" s="4" t="s">
        <v>2378</v>
      </c>
    </row>
    <row r="286" spans="1:20" x14ac:dyDescent="0.2">
      <c r="A286" s="4" t="s">
        <v>2294</v>
      </c>
      <c r="B286" s="4" t="s">
        <v>2373</v>
      </c>
      <c r="C286" s="4" t="s">
        <v>2286</v>
      </c>
      <c r="D286" s="4" t="s">
        <v>2236</v>
      </c>
      <c r="E286" s="4" t="s">
        <v>2380</v>
      </c>
      <c r="F286" s="4" t="s">
        <v>2374</v>
      </c>
      <c r="G286" s="4" t="s">
        <v>2294</v>
      </c>
      <c r="H286" s="4" t="s">
        <v>2183</v>
      </c>
      <c r="I286" s="4" t="s">
        <v>2100</v>
      </c>
      <c r="J286" s="4" t="s">
        <v>2375</v>
      </c>
      <c r="K286">
        <v>5</v>
      </c>
      <c r="L286">
        <v>1.524</v>
      </c>
      <c r="M286">
        <v>22.224999999999998</v>
      </c>
      <c r="N286">
        <v>95.25</v>
      </c>
      <c r="O286">
        <v>60</v>
      </c>
      <c r="P286">
        <v>0.875</v>
      </c>
      <c r="Q286">
        <v>3.75</v>
      </c>
      <c r="R286">
        <v>1549.809</v>
      </c>
      <c r="S286">
        <v>3.2262032249999995E-3</v>
      </c>
      <c r="T286" s="4" t="s">
        <v>2378</v>
      </c>
    </row>
    <row r="287" spans="1:20" x14ac:dyDescent="0.2">
      <c r="A287" s="4" t="s">
        <v>2294</v>
      </c>
      <c r="B287" s="4" t="s">
        <v>2373</v>
      </c>
      <c r="C287" s="4" t="s">
        <v>2286</v>
      </c>
      <c r="D287" s="4" t="s">
        <v>2236</v>
      </c>
      <c r="E287" s="4" t="s">
        <v>300</v>
      </c>
      <c r="F287" s="4" t="s">
        <v>2374</v>
      </c>
      <c r="G287" s="4" t="s">
        <v>2294</v>
      </c>
      <c r="H287" s="4" t="s">
        <v>2183</v>
      </c>
      <c r="I287" s="4" t="s">
        <v>2100</v>
      </c>
      <c r="J287" s="4" t="s">
        <v>2375</v>
      </c>
      <c r="K287">
        <v>6</v>
      </c>
      <c r="L287">
        <v>1.8288</v>
      </c>
      <c r="M287">
        <v>22.224999999999998</v>
      </c>
      <c r="N287">
        <v>95.25</v>
      </c>
      <c r="O287">
        <v>72</v>
      </c>
      <c r="P287">
        <v>0.875</v>
      </c>
      <c r="Q287">
        <v>3.75</v>
      </c>
      <c r="R287">
        <v>1549.809</v>
      </c>
      <c r="S287">
        <v>3.8714438699999991E-3</v>
      </c>
      <c r="T287" s="4" t="s">
        <v>2378</v>
      </c>
    </row>
    <row r="288" spans="1:20" x14ac:dyDescent="0.2">
      <c r="A288" s="4" t="s">
        <v>2294</v>
      </c>
      <c r="B288" s="4" t="s">
        <v>2373</v>
      </c>
      <c r="C288" s="4" t="s">
        <v>2286</v>
      </c>
      <c r="D288" s="4" t="s">
        <v>2236</v>
      </c>
      <c r="E288" s="4" t="s">
        <v>302</v>
      </c>
      <c r="F288" s="4" t="s">
        <v>2374</v>
      </c>
      <c r="G288" s="4" t="s">
        <v>2294</v>
      </c>
      <c r="H288" s="4" t="s">
        <v>2183</v>
      </c>
      <c r="I288" s="4" t="s">
        <v>2100</v>
      </c>
      <c r="J288" s="4" t="s">
        <v>2375</v>
      </c>
      <c r="K288">
        <v>7</v>
      </c>
      <c r="L288">
        <v>2.1335999999999999</v>
      </c>
      <c r="M288">
        <v>22.224999999999998</v>
      </c>
      <c r="N288">
        <v>95.25</v>
      </c>
      <c r="O288">
        <v>84</v>
      </c>
      <c r="P288">
        <v>0.875</v>
      </c>
      <c r="Q288">
        <v>3.75</v>
      </c>
      <c r="R288">
        <v>1549.809</v>
      </c>
      <c r="S288">
        <v>4.5166845149999992E-3</v>
      </c>
      <c r="T288" s="4" t="s">
        <v>2378</v>
      </c>
    </row>
    <row r="289" spans="1:20" x14ac:dyDescent="0.2">
      <c r="A289" s="4" t="s">
        <v>2294</v>
      </c>
      <c r="B289" s="4" t="s">
        <v>2373</v>
      </c>
      <c r="C289" s="4" t="s">
        <v>2096</v>
      </c>
      <c r="D289" s="4" t="s">
        <v>2236</v>
      </c>
      <c r="E289" s="4" t="s">
        <v>304</v>
      </c>
      <c r="F289" s="4" t="s">
        <v>2374</v>
      </c>
      <c r="G289" s="4" t="s">
        <v>2294</v>
      </c>
      <c r="H289" s="4" t="s">
        <v>2183</v>
      </c>
      <c r="I289" s="4" t="s">
        <v>2100</v>
      </c>
      <c r="J289" s="4" t="s">
        <v>2375</v>
      </c>
      <c r="K289">
        <v>8</v>
      </c>
      <c r="L289">
        <v>2.4384000000000001</v>
      </c>
      <c r="M289">
        <v>22.224999999999998</v>
      </c>
      <c r="N289">
        <v>95.25</v>
      </c>
      <c r="O289">
        <v>96.000000000000014</v>
      </c>
      <c r="P289">
        <v>0.875</v>
      </c>
      <c r="Q289">
        <v>3.75</v>
      </c>
      <c r="R289">
        <v>1549.809</v>
      </c>
      <c r="S289">
        <v>5.1619251599999997E-3</v>
      </c>
      <c r="T289" s="4" t="s">
        <v>2376</v>
      </c>
    </row>
    <row r="290" spans="1:20" x14ac:dyDescent="0.2">
      <c r="A290" s="4" t="s">
        <v>2294</v>
      </c>
      <c r="B290" s="4" t="s">
        <v>2373</v>
      </c>
      <c r="C290" s="4" t="s">
        <v>2096</v>
      </c>
      <c r="D290" s="4" t="s">
        <v>2236</v>
      </c>
      <c r="E290" s="4" t="s">
        <v>306</v>
      </c>
      <c r="F290" s="4" t="s">
        <v>2374</v>
      </c>
      <c r="G290" s="4" t="s">
        <v>2294</v>
      </c>
      <c r="H290" s="4" t="s">
        <v>2183</v>
      </c>
      <c r="I290" s="4" t="s">
        <v>2100</v>
      </c>
      <c r="J290" s="4" t="s">
        <v>2375</v>
      </c>
      <c r="K290">
        <v>9</v>
      </c>
      <c r="L290">
        <v>2.7431999999999999</v>
      </c>
      <c r="M290">
        <v>22.224999999999998</v>
      </c>
      <c r="N290">
        <v>95.25</v>
      </c>
      <c r="O290">
        <v>108</v>
      </c>
      <c r="P290">
        <v>0.875</v>
      </c>
      <c r="Q290">
        <v>3.75</v>
      </c>
      <c r="R290">
        <v>1549.809</v>
      </c>
      <c r="S290">
        <v>5.8071658049999985E-3</v>
      </c>
      <c r="T290" s="4" t="s">
        <v>2376</v>
      </c>
    </row>
    <row r="291" spans="1:20" x14ac:dyDescent="0.2">
      <c r="A291" s="4" t="s">
        <v>2294</v>
      </c>
      <c r="B291" s="4" t="s">
        <v>2381</v>
      </c>
      <c r="C291" s="4" t="s">
        <v>2096</v>
      </c>
      <c r="D291" s="4" t="s">
        <v>2236</v>
      </c>
      <c r="E291" s="4" t="s">
        <v>2382</v>
      </c>
      <c r="F291" s="4" t="s">
        <v>2383</v>
      </c>
      <c r="G291" s="4" t="s">
        <v>2294</v>
      </c>
      <c r="H291" s="4" t="s">
        <v>2183</v>
      </c>
      <c r="I291" s="4" t="s">
        <v>2100</v>
      </c>
      <c r="J291" s="4" t="s">
        <v>2384</v>
      </c>
      <c r="K291">
        <v>10</v>
      </c>
      <c r="L291">
        <v>3.048</v>
      </c>
      <c r="M291">
        <v>19.05</v>
      </c>
      <c r="N291">
        <v>88.9</v>
      </c>
      <c r="O291">
        <v>120</v>
      </c>
      <c r="P291">
        <v>0.75000000000000011</v>
      </c>
      <c r="Q291">
        <v>3.5000000000000004</v>
      </c>
      <c r="R291">
        <v>1937.2619999999999</v>
      </c>
      <c r="S291">
        <v>5.1619251600000006E-3</v>
      </c>
      <c r="T291" s="4" t="s">
        <v>2385</v>
      </c>
    </row>
    <row r="292" spans="1:20" x14ac:dyDescent="0.2">
      <c r="A292" s="4" t="s">
        <v>2294</v>
      </c>
      <c r="B292" s="4" t="s">
        <v>2381</v>
      </c>
      <c r="C292" s="4" t="s">
        <v>2096</v>
      </c>
      <c r="D292" s="4" t="s">
        <v>2236</v>
      </c>
      <c r="E292" s="4" t="s">
        <v>2386</v>
      </c>
      <c r="F292" s="4" t="s">
        <v>2383</v>
      </c>
      <c r="G292" s="4" t="s">
        <v>2294</v>
      </c>
      <c r="H292" s="4" t="s">
        <v>2183</v>
      </c>
      <c r="I292" s="4" t="s">
        <v>2100</v>
      </c>
      <c r="J292" s="4" t="s">
        <v>2384</v>
      </c>
      <c r="K292">
        <v>11</v>
      </c>
      <c r="L292">
        <v>3.3527999999999998</v>
      </c>
      <c r="M292">
        <v>19.05</v>
      </c>
      <c r="N292">
        <v>88.9</v>
      </c>
      <c r="O292">
        <v>132</v>
      </c>
      <c r="P292">
        <v>0.75000000000000011</v>
      </c>
      <c r="Q292">
        <v>3.5000000000000004</v>
      </c>
      <c r="R292">
        <v>1937.2619999999999</v>
      </c>
      <c r="S292">
        <v>5.6781176760000007E-3</v>
      </c>
      <c r="T292" s="4" t="s">
        <v>2385</v>
      </c>
    </row>
    <row r="293" spans="1:20" x14ac:dyDescent="0.2">
      <c r="A293" s="4" t="s">
        <v>2294</v>
      </c>
      <c r="B293" s="4" t="s">
        <v>2381</v>
      </c>
      <c r="C293" s="4" t="s">
        <v>2096</v>
      </c>
      <c r="D293" s="4" t="s">
        <v>2236</v>
      </c>
      <c r="E293" s="4" t="s">
        <v>2387</v>
      </c>
      <c r="F293" s="4" t="s">
        <v>2383</v>
      </c>
      <c r="G293" s="4" t="s">
        <v>2294</v>
      </c>
      <c r="H293" s="4" t="s">
        <v>2183</v>
      </c>
      <c r="I293" s="4" t="s">
        <v>2100</v>
      </c>
      <c r="J293" s="4" t="s">
        <v>2384</v>
      </c>
      <c r="K293">
        <v>12</v>
      </c>
      <c r="L293">
        <v>3.6576</v>
      </c>
      <c r="M293">
        <v>19.05</v>
      </c>
      <c r="N293">
        <v>88.9</v>
      </c>
      <c r="O293">
        <v>144</v>
      </c>
      <c r="P293">
        <v>0.75000000000000011</v>
      </c>
      <c r="Q293">
        <v>3.5000000000000004</v>
      </c>
      <c r="R293">
        <v>1937.2619999999999</v>
      </c>
      <c r="S293">
        <v>6.1943101919999998E-3</v>
      </c>
      <c r="T293" s="4" t="s">
        <v>2385</v>
      </c>
    </row>
    <row r="294" spans="1:20" x14ac:dyDescent="0.2">
      <c r="A294" s="4" t="s">
        <v>2294</v>
      </c>
      <c r="B294" s="4" t="s">
        <v>2381</v>
      </c>
      <c r="C294" s="4" t="s">
        <v>2096</v>
      </c>
      <c r="D294" s="4" t="s">
        <v>2236</v>
      </c>
      <c r="E294" s="4" t="s">
        <v>2388</v>
      </c>
      <c r="F294" s="4" t="s">
        <v>2383</v>
      </c>
      <c r="G294" s="4" t="s">
        <v>2294</v>
      </c>
      <c r="H294" s="4" t="s">
        <v>2183</v>
      </c>
      <c r="I294" s="4" t="s">
        <v>2100</v>
      </c>
      <c r="J294" s="4" t="s">
        <v>2384</v>
      </c>
      <c r="K294">
        <v>13</v>
      </c>
      <c r="L294">
        <v>3.9624000000000001</v>
      </c>
      <c r="M294">
        <v>19.05</v>
      </c>
      <c r="N294">
        <v>88.9</v>
      </c>
      <c r="O294">
        <v>156</v>
      </c>
      <c r="P294">
        <v>0.75000000000000011</v>
      </c>
      <c r="Q294">
        <v>3.5000000000000004</v>
      </c>
      <c r="R294">
        <v>1937.2619999999999</v>
      </c>
      <c r="S294">
        <v>6.7105027080000008E-3</v>
      </c>
      <c r="T294" s="4" t="s">
        <v>2385</v>
      </c>
    </row>
    <row r="295" spans="1:20" x14ac:dyDescent="0.2">
      <c r="A295" s="4" t="s">
        <v>2294</v>
      </c>
      <c r="B295" s="4" t="s">
        <v>2381</v>
      </c>
      <c r="C295" s="4" t="s">
        <v>2096</v>
      </c>
      <c r="D295" s="4" t="s">
        <v>2236</v>
      </c>
      <c r="E295" s="4" t="s">
        <v>2389</v>
      </c>
      <c r="F295" s="4" t="s">
        <v>2383</v>
      </c>
      <c r="G295" s="4" t="s">
        <v>2294</v>
      </c>
      <c r="H295" s="4" t="s">
        <v>2183</v>
      </c>
      <c r="I295" s="4" t="s">
        <v>2100</v>
      </c>
      <c r="J295" s="4" t="s">
        <v>2384</v>
      </c>
      <c r="K295">
        <v>14</v>
      </c>
      <c r="L295">
        <v>4.2671999999999999</v>
      </c>
      <c r="M295">
        <v>19.05</v>
      </c>
      <c r="N295">
        <v>88.9</v>
      </c>
      <c r="O295">
        <v>168</v>
      </c>
      <c r="P295">
        <v>0.75000000000000011</v>
      </c>
      <c r="Q295">
        <v>3.5000000000000004</v>
      </c>
      <c r="R295">
        <v>1937.2619999999999</v>
      </c>
      <c r="S295">
        <v>7.226695224E-3</v>
      </c>
      <c r="T295" s="4" t="s">
        <v>2385</v>
      </c>
    </row>
    <row r="296" spans="1:20" x14ac:dyDescent="0.2">
      <c r="A296" s="4" t="s">
        <v>2294</v>
      </c>
      <c r="B296" s="4" t="s">
        <v>2381</v>
      </c>
      <c r="C296" s="4" t="s">
        <v>2096</v>
      </c>
      <c r="D296" s="4" t="s">
        <v>2236</v>
      </c>
      <c r="E296" s="4" t="s">
        <v>2390</v>
      </c>
      <c r="F296" s="4" t="s">
        <v>2383</v>
      </c>
      <c r="G296" s="4" t="s">
        <v>2294</v>
      </c>
      <c r="H296" s="4" t="s">
        <v>2183</v>
      </c>
      <c r="I296" s="4" t="s">
        <v>2100</v>
      </c>
      <c r="J296" s="4" t="s">
        <v>2384</v>
      </c>
      <c r="K296">
        <v>15</v>
      </c>
      <c r="L296">
        <v>4.5720000000000001</v>
      </c>
      <c r="M296">
        <v>19.05</v>
      </c>
      <c r="N296">
        <v>88.9</v>
      </c>
      <c r="O296">
        <v>180</v>
      </c>
      <c r="P296">
        <v>0.75000000000000011</v>
      </c>
      <c r="Q296">
        <v>3.5000000000000004</v>
      </c>
      <c r="R296">
        <v>1937.2619999999999</v>
      </c>
      <c r="S296">
        <v>7.7428877400000018E-3</v>
      </c>
      <c r="T296" s="4" t="s">
        <v>2385</v>
      </c>
    </row>
    <row r="297" spans="1:20" x14ac:dyDescent="0.2">
      <c r="A297" s="4" t="s">
        <v>2294</v>
      </c>
      <c r="B297" s="4" t="s">
        <v>2381</v>
      </c>
      <c r="C297" s="4" t="s">
        <v>2096</v>
      </c>
      <c r="D297" s="4" t="s">
        <v>2236</v>
      </c>
      <c r="E297" s="4" t="s">
        <v>2391</v>
      </c>
      <c r="F297" s="4" t="s">
        <v>2383</v>
      </c>
      <c r="G297" s="4" t="s">
        <v>2294</v>
      </c>
      <c r="H297" s="4" t="s">
        <v>2183</v>
      </c>
      <c r="I297" s="4" t="s">
        <v>2100</v>
      </c>
      <c r="J297" s="4" t="s">
        <v>2384</v>
      </c>
      <c r="K297">
        <v>16</v>
      </c>
      <c r="L297">
        <v>4.8768000000000002</v>
      </c>
      <c r="M297">
        <v>19.05</v>
      </c>
      <c r="N297">
        <v>88.9</v>
      </c>
      <c r="O297">
        <v>192.00000000000003</v>
      </c>
      <c r="P297">
        <v>0.75000000000000011</v>
      </c>
      <c r="Q297">
        <v>3.5000000000000004</v>
      </c>
      <c r="R297">
        <v>1937.2619999999999</v>
      </c>
      <c r="S297">
        <v>8.259080256000001E-3</v>
      </c>
      <c r="T297" s="4" t="s">
        <v>2385</v>
      </c>
    </row>
    <row r="298" spans="1:20" x14ac:dyDescent="0.2">
      <c r="A298" s="4" t="s">
        <v>2294</v>
      </c>
      <c r="B298" s="4" t="s">
        <v>2381</v>
      </c>
      <c r="C298" s="4" t="s">
        <v>2096</v>
      </c>
      <c r="D298" s="4" t="s">
        <v>2236</v>
      </c>
      <c r="E298" s="4" t="s">
        <v>2392</v>
      </c>
      <c r="F298" s="4" t="s">
        <v>2383</v>
      </c>
      <c r="G298" s="4" t="s">
        <v>2294</v>
      </c>
      <c r="H298" s="4" t="s">
        <v>2183</v>
      </c>
      <c r="I298" s="4" t="s">
        <v>2100</v>
      </c>
      <c r="J298" s="4" t="s">
        <v>2384</v>
      </c>
      <c r="K298">
        <v>17</v>
      </c>
      <c r="L298">
        <v>5.1816000000000004</v>
      </c>
      <c r="M298">
        <v>19.05</v>
      </c>
      <c r="N298">
        <v>88.9</v>
      </c>
      <c r="O298">
        <v>204.00000000000003</v>
      </c>
      <c r="P298">
        <v>0.75000000000000011</v>
      </c>
      <c r="Q298">
        <v>3.5000000000000004</v>
      </c>
      <c r="R298">
        <v>1937.2619999999999</v>
      </c>
      <c r="S298">
        <v>8.7752727720000027E-3</v>
      </c>
      <c r="T298" s="4" t="s">
        <v>2385</v>
      </c>
    </row>
    <row r="299" spans="1:20" x14ac:dyDescent="0.2">
      <c r="A299" s="4" t="s">
        <v>2294</v>
      </c>
      <c r="B299" s="4" t="s">
        <v>2381</v>
      </c>
      <c r="C299" s="4" t="s">
        <v>2096</v>
      </c>
      <c r="D299" s="4" t="s">
        <v>2236</v>
      </c>
      <c r="E299" s="4" t="s">
        <v>2393</v>
      </c>
      <c r="F299" s="4" t="s">
        <v>2383</v>
      </c>
      <c r="G299" s="4" t="s">
        <v>2294</v>
      </c>
      <c r="H299" s="4" t="s">
        <v>2183</v>
      </c>
      <c r="I299" s="4" t="s">
        <v>2100</v>
      </c>
      <c r="J299" s="4" t="s">
        <v>2384</v>
      </c>
      <c r="K299">
        <v>18</v>
      </c>
      <c r="L299">
        <v>5.4863999999999997</v>
      </c>
      <c r="M299">
        <v>19.05</v>
      </c>
      <c r="N299">
        <v>88.9</v>
      </c>
      <c r="O299">
        <v>216</v>
      </c>
      <c r="P299">
        <v>0.75000000000000011</v>
      </c>
      <c r="Q299">
        <v>3.5000000000000004</v>
      </c>
      <c r="R299">
        <v>1937.2619999999999</v>
      </c>
      <c r="S299">
        <v>9.2914652880000011E-3</v>
      </c>
      <c r="T299" s="4" t="s">
        <v>2385</v>
      </c>
    </row>
    <row r="300" spans="1:20" x14ac:dyDescent="0.2">
      <c r="A300" s="4" t="s">
        <v>2294</v>
      </c>
      <c r="B300" s="4" t="s">
        <v>2381</v>
      </c>
      <c r="C300" s="4" t="s">
        <v>2096</v>
      </c>
      <c r="D300" s="4" t="s">
        <v>2236</v>
      </c>
      <c r="E300" s="4" t="s">
        <v>2394</v>
      </c>
      <c r="F300" s="4" t="s">
        <v>2383</v>
      </c>
      <c r="G300" s="4" t="s">
        <v>2294</v>
      </c>
      <c r="H300" s="4" t="s">
        <v>2183</v>
      </c>
      <c r="I300" s="4" t="s">
        <v>2100</v>
      </c>
      <c r="J300" s="4" t="s">
        <v>2384</v>
      </c>
      <c r="K300">
        <v>19</v>
      </c>
      <c r="L300">
        <v>5.7911999999999999</v>
      </c>
      <c r="M300">
        <v>19.05</v>
      </c>
      <c r="N300">
        <v>88.9</v>
      </c>
      <c r="O300">
        <v>228</v>
      </c>
      <c r="P300">
        <v>0.75000000000000011</v>
      </c>
      <c r="Q300">
        <v>3.5000000000000004</v>
      </c>
      <c r="R300">
        <v>1937.2619999999999</v>
      </c>
      <c r="S300">
        <v>9.8076578040000011E-3</v>
      </c>
      <c r="T300" s="4" t="s">
        <v>2385</v>
      </c>
    </row>
    <row r="301" spans="1:20" x14ac:dyDescent="0.2">
      <c r="A301" s="4" t="s">
        <v>2294</v>
      </c>
      <c r="B301" s="4" t="s">
        <v>2381</v>
      </c>
      <c r="C301" s="4" t="s">
        <v>2096</v>
      </c>
      <c r="D301" s="4" t="s">
        <v>2236</v>
      </c>
      <c r="E301" s="4" t="s">
        <v>2395</v>
      </c>
      <c r="F301" s="4" t="s">
        <v>2383</v>
      </c>
      <c r="G301" s="4" t="s">
        <v>2294</v>
      </c>
      <c r="H301" s="4" t="s">
        <v>2183</v>
      </c>
      <c r="I301" s="4" t="s">
        <v>2100</v>
      </c>
      <c r="J301" s="4" t="s">
        <v>2384</v>
      </c>
      <c r="K301">
        <v>20</v>
      </c>
      <c r="L301">
        <v>6.0960000000000001</v>
      </c>
      <c r="M301">
        <v>19.05</v>
      </c>
      <c r="N301">
        <v>88.9</v>
      </c>
      <c r="O301">
        <v>240</v>
      </c>
      <c r="P301">
        <v>0.75000000000000011</v>
      </c>
      <c r="Q301">
        <v>3.5000000000000004</v>
      </c>
      <c r="R301">
        <v>1937.2619999999999</v>
      </c>
      <c r="S301">
        <v>1.0323850320000001E-2</v>
      </c>
      <c r="T301" s="4" t="s">
        <v>2385</v>
      </c>
    </row>
    <row r="302" spans="1:20" x14ac:dyDescent="0.2">
      <c r="A302" s="4" t="s">
        <v>2294</v>
      </c>
      <c r="B302" s="4" t="s">
        <v>2381</v>
      </c>
      <c r="C302" s="4" t="s">
        <v>2096</v>
      </c>
      <c r="D302" s="4" t="s">
        <v>2236</v>
      </c>
      <c r="E302" s="4" t="s">
        <v>2396</v>
      </c>
      <c r="F302" s="4" t="s">
        <v>2383</v>
      </c>
      <c r="G302" s="4" t="s">
        <v>2294</v>
      </c>
      <c r="H302" s="4" t="s">
        <v>2183</v>
      </c>
      <c r="I302" s="4" t="s">
        <v>2100</v>
      </c>
      <c r="J302" s="4" t="s">
        <v>2384</v>
      </c>
      <c r="K302">
        <v>21</v>
      </c>
      <c r="L302">
        <v>6.4008000000000003</v>
      </c>
      <c r="M302">
        <v>19.05</v>
      </c>
      <c r="N302">
        <v>88.9</v>
      </c>
      <c r="O302">
        <v>252.00000000000003</v>
      </c>
      <c r="P302">
        <v>0.75000000000000011</v>
      </c>
      <c r="Q302">
        <v>3.5000000000000004</v>
      </c>
      <c r="R302">
        <v>1937.2619999999999</v>
      </c>
      <c r="S302">
        <v>1.0840042836000001E-2</v>
      </c>
      <c r="T302" s="4" t="s">
        <v>2385</v>
      </c>
    </row>
    <row r="303" spans="1:20" x14ac:dyDescent="0.2">
      <c r="A303" s="4" t="s">
        <v>2294</v>
      </c>
      <c r="B303" s="4" t="s">
        <v>2381</v>
      </c>
      <c r="C303" s="4" t="s">
        <v>2096</v>
      </c>
      <c r="D303" s="4" t="s">
        <v>2236</v>
      </c>
      <c r="E303" s="4" t="s">
        <v>2397</v>
      </c>
      <c r="F303" s="4" t="s">
        <v>2383</v>
      </c>
      <c r="G303" s="4" t="s">
        <v>2294</v>
      </c>
      <c r="H303" s="4" t="s">
        <v>2183</v>
      </c>
      <c r="I303" s="4" t="s">
        <v>2100</v>
      </c>
      <c r="J303" s="4" t="s">
        <v>2384</v>
      </c>
      <c r="K303">
        <v>22</v>
      </c>
      <c r="L303">
        <v>6.7055999999999996</v>
      </c>
      <c r="M303">
        <v>19.05</v>
      </c>
      <c r="N303">
        <v>88.9</v>
      </c>
      <c r="O303">
        <v>264</v>
      </c>
      <c r="P303">
        <v>0.75000000000000011</v>
      </c>
      <c r="Q303">
        <v>3.5000000000000004</v>
      </c>
      <c r="R303">
        <v>1937.2619999999999</v>
      </c>
      <c r="S303">
        <v>1.1356235352000001E-2</v>
      </c>
      <c r="T303" s="4" t="s">
        <v>2385</v>
      </c>
    </row>
    <row r="304" spans="1:20" x14ac:dyDescent="0.2">
      <c r="A304" s="4" t="s">
        <v>2294</v>
      </c>
      <c r="B304" s="4" t="s">
        <v>2381</v>
      </c>
      <c r="C304" s="4" t="s">
        <v>2096</v>
      </c>
      <c r="D304" s="4" t="s">
        <v>2236</v>
      </c>
      <c r="E304" s="4" t="s">
        <v>2398</v>
      </c>
      <c r="F304" s="4" t="s">
        <v>2383</v>
      </c>
      <c r="G304" s="4" t="s">
        <v>2294</v>
      </c>
      <c r="H304" s="4" t="s">
        <v>2183</v>
      </c>
      <c r="I304" s="4" t="s">
        <v>2100</v>
      </c>
      <c r="J304" s="4" t="s">
        <v>2384</v>
      </c>
      <c r="K304">
        <v>23</v>
      </c>
      <c r="L304">
        <v>7.0103999999999997</v>
      </c>
      <c r="M304">
        <v>19.05</v>
      </c>
      <c r="N304">
        <v>88.9</v>
      </c>
      <c r="O304">
        <v>276</v>
      </c>
      <c r="P304">
        <v>0.75000000000000011</v>
      </c>
      <c r="Q304">
        <v>3.5000000000000004</v>
      </c>
      <c r="R304">
        <v>1937.2619999999999</v>
      </c>
      <c r="S304">
        <v>1.1872427868000003E-2</v>
      </c>
      <c r="T304" s="4" t="s">
        <v>2385</v>
      </c>
    </row>
    <row r="305" spans="1:20" x14ac:dyDescent="0.2">
      <c r="A305" s="4" t="s">
        <v>2294</v>
      </c>
      <c r="B305" s="4" t="s">
        <v>2381</v>
      </c>
      <c r="C305" s="4" t="s">
        <v>2096</v>
      </c>
      <c r="D305" s="4" t="s">
        <v>2236</v>
      </c>
      <c r="E305" s="4" t="s">
        <v>2399</v>
      </c>
      <c r="F305" s="4" t="s">
        <v>2383</v>
      </c>
      <c r="G305" s="4" t="s">
        <v>2294</v>
      </c>
      <c r="H305" s="4" t="s">
        <v>2183</v>
      </c>
      <c r="I305" s="4" t="s">
        <v>2100</v>
      </c>
      <c r="J305" s="4" t="s">
        <v>2384</v>
      </c>
      <c r="K305">
        <v>24</v>
      </c>
      <c r="L305">
        <v>7.3152000000000008</v>
      </c>
      <c r="M305">
        <v>19.05</v>
      </c>
      <c r="N305">
        <v>88.9</v>
      </c>
      <c r="O305">
        <v>288.00000000000006</v>
      </c>
      <c r="P305">
        <v>0.75000000000000011</v>
      </c>
      <c r="Q305">
        <v>3.5000000000000004</v>
      </c>
      <c r="R305">
        <v>1937.2619999999999</v>
      </c>
      <c r="S305">
        <v>1.2388620384000003E-2</v>
      </c>
      <c r="T305" s="4" t="s">
        <v>2385</v>
      </c>
    </row>
    <row r="306" spans="1:20" x14ac:dyDescent="0.2">
      <c r="A306" s="4" t="s">
        <v>2294</v>
      </c>
      <c r="B306" s="4" t="s">
        <v>2381</v>
      </c>
      <c r="C306" s="4" t="s">
        <v>2286</v>
      </c>
      <c r="D306" s="4" t="s">
        <v>2236</v>
      </c>
      <c r="E306" s="4" t="s">
        <v>2400</v>
      </c>
      <c r="F306" s="4" t="s">
        <v>2383</v>
      </c>
      <c r="G306" s="4" t="s">
        <v>2294</v>
      </c>
      <c r="H306" s="4" t="s">
        <v>2183</v>
      </c>
      <c r="I306" s="4" t="s">
        <v>2100</v>
      </c>
      <c r="J306" s="4" t="s">
        <v>2384</v>
      </c>
      <c r="K306">
        <v>3</v>
      </c>
      <c r="L306">
        <v>0.91439999999999999</v>
      </c>
      <c r="M306">
        <v>19.05</v>
      </c>
      <c r="N306">
        <v>88.9</v>
      </c>
      <c r="O306">
        <v>36</v>
      </c>
      <c r="P306">
        <v>0.75000000000000011</v>
      </c>
      <c r="Q306">
        <v>3.5000000000000004</v>
      </c>
      <c r="R306">
        <v>1937.2619999999999</v>
      </c>
      <c r="S306">
        <v>1.548577548E-3</v>
      </c>
      <c r="T306" s="4" t="s">
        <v>2401</v>
      </c>
    </row>
    <row r="307" spans="1:20" x14ac:dyDescent="0.2">
      <c r="A307" s="4" t="s">
        <v>2294</v>
      </c>
      <c r="B307" s="4" t="s">
        <v>2381</v>
      </c>
      <c r="C307" s="4" t="s">
        <v>2286</v>
      </c>
      <c r="D307" s="4" t="s">
        <v>2236</v>
      </c>
      <c r="E307" s="4" t="s">
        <v>2402</v>
      </c>
      <c r="F307" s="4" t="s">
        <v>2383</v>
      </c>
      <c r="G307" s="4" t="s">
        <v>2294</v>
      </c>
      <c r="H307" s="4" t="s">
        <v>2183</v>
      </c>
      <c r="I307" s="4" t="s">
        <v>2100</v>
      </c>
      <c r="J307" s="4" t="s">
        <v>2384</v>
      </c>
      <c r="K307">
        <v>4</v>
      </c>
      <c r="L307">
        <v>1.2192000000000001</v>
      </c>
      <c r="M307">
        <v>19.05</v>
      </c>
      <c r="N307">
        <v>88.9</v>
      </c>
      <c r="O307">
        <v>48.000000000000007</v>
      </c>
      <c r="P307">
        <v>0.75000000000000011</v>
      </c>
      <c r="Q307">
        <v>3.5000000000000004</v>
      </c>
      <c r="R307">
        <v>1937.2619999999999</v>
      </c>
      <c r="S307">
        <v>2.0647700640000002E-3</v>
      </c>
      <c r="T307" s="4" t="s">
        <v>2401</v>
      </c>
    </row>
    <row r="308" spans="1:20" x14ac:dyDescent="0.2">
      <c r="A308" s="4" t="s">
        <v>2294</v>
      </c>
      <c r="B308" s="4" t="s">
        <v>2381</v>
      </c>
      <c r="C308" s="4" t="s">
        <v>2286</v>
      </c>
      <c r="D308" s="4" t="s">
        <v>2236</v>
      </c>
      <c r="E308" s="4" t="s">
        <v>2403</v>
      </c>
      <c r="F308" s="4" t="s">
        <v>2383</v>
      </c>
      <c r="G308" s="4" t="s">
        <v>2294</v>
      </c>
      <c r="H308" s="4" t="s">
        <v>2183</v>
      </c>
      <c r="I308" s="4" t="s">
        <v>2100</v>
      </c>
      <c r="J308" s="4" t="s">
        <v>2384</v>
      </c>
      <c r="K308">
        <v>5</v>
      </c>
      <c r="L308">
        <v>1.524</v>
      </c>
      <c r="M308">
        <v>19.05</v>
      </c>
      <c r="N308">
        <v>88.9</v>
      </c>
      <c r="O308">
        <v>60</v>
      </c>
      <c r="P308">
        <v>0.75000000000000011</v>
      </c>
      <c r="Q308">
        <v>3.5000000000000004</v>
      </c>
      <c r="R308">
        <v>1937.2619999999999</v>
      </c>
      <c r="S308">
        <v>2.5809625800000003E-3</v>
      </c>
      <c r="T308" s="4" t="s">
        <v>2401</v>
      </c>
    </row>
    <row r="309" spans="1:20" x14ac:dyDescent="0.2">
      <c r="A309" s="4" t="s">
        <v>2294</v>
      </c>
      <c r="B309" s="4" t="s">
        <v>2381</v>
      </c>
      <c r="C309" s="4" t="s">
        <v>2286</v>
      </c>
      <c r="D309" s="4" t="s">
        <v>2236</v>
      </c>
      <c r="E309" s="4" t="s">
        <v>2404</v>
      </c>
      <c r="F309" s="4" t="s">
        <v>2383</v>
      </c>
      <c r="G309" s="4" t="s">
        <v>2294</v>
      </c>
      <c r="H309" s="4" t="s">
        <v>2183</v>
      </c>
      <c r="I309" s="4" t="s">
        <v>2100</v>
      </c>
      <c r="J309" s="4" t="s">
        <v>2384</v>
      </c>
      <c r="K309">
        <v>6</v>
      </c>
      <c r="L309">
        <v>1.8288</v>
      </c>
      <c r="M309">
        <v>19.05</v>
      </c>
      <c r="N309">
        <v>88.9</v>
      </c>
      <c r="O309">
        <v>72</v>
      </c>
      <c r="P309">
        <v>0.75000000000000011</v>
      </c>
      <c r="Q309">
        <v>3.5000000000000004</v>
      </c>
      <c r="R309">
        <v>1937.2619999999999</v>
      </c>
      <c r="S309">
        <v>3.0971550959999999E-3</v>
      </c>
      <c r="T309" s="4" t="s">
        <v>2401</v>
      </c>
    </row>
    <row r="310" spans="1:20" x14ac:dyDescent="0.2">
      <c r="A310" s="4" t="s">
        <v>2294</v>
      </c>
      <c r="B310" s="4" t="s">
        <v>2381</v>
      </c>
      <c r="C310" s="4" t="s">
        <v>2286</v>
      </c>
      <c r="D310" s="4" t="s">
        <v>2236</v>
      </c>
      <c r="E310" s="4" t="s">
        <v>2405</v>
      </c>
      <c r="F310" s="4" t="s">
        <v>2383</v>
      </c>
      <c r="G310" s="4" t="s">
        <v>2294</v>
      </c>
      <c r="H310" s="4" t="s">
        <v>2183</v>
      </c>
      <c r="I310" s="4" t="s">
        <v>2100</v>
      </c>
      <c r="J310" s="4" t="s">
        <v>2384</v>
      </c>
      <c r="K310">
        <v>7</v>
      </c>
      <c r="L310">
        <v>2.1335999999999999</v>
      </c>
      <c r="M310">
        <v>19.05</v>
      </c>
      <c r="N310">
        <v>88.9</v>
      </c>
      <c r="O310">
        <v>84</v>
      </c>
      <c r="P310">
        <v>0.75000000000000011</v>
      </c>
      <c r="Q310">
        <v>3.5000000000000004</v>
      </c>
      <c r="R310">
        <v>1937.2619999999999</v>
      </c>
      <c r="S310">
        <v>3.613347612E-3</v>
      </c>
      <c r="T310" s="4" t="s">
        <v>2401</v>
      </c>
    </row>
    <row r="311" spans="1:20" x14ac:dyDescent="0.2">
      <c r="A311" s="4" t="s">
        <v>2294</v>
      </c>
      <c r="B311" s="4" t="s">
        <v>2381</v>
      </c>
      <c r="C311" s="4" t="s">
        <v>2096</v>
      </c>
      <c r="D311" s="4" t="s">
        <v>2236</v>
      </c>
      <c r="E311" s="4" t="s">
        <v>2406</v>
      </c>
      <c r="F311" s="4" t="s">
        <v>2383</v>
      </c>
      <c r="G311" s="4" t="s">
        <v>2294</v>
      </c>
      <c r="H311" s="4" t="s">
        <v>2183</v>
      </c>
      <c r="I311" s="4" t="s">
        <v>2100</v>
      </c>
      <c r="J311" s="4" t="s">
        <v>2384</v>
      </c>
      <c r="K311">
        <v>8</v>
      </c>
      <c r="L311">
        <v>2.4384000000000001</v>
      </c>
      <c r="M311">
        <v>19.05</v>
      </c>
      <c r="N311">
        <v>88.9</v>
      </c>
      <c r="O311">
        <v>96.000000000000014</v>
      </c>
      <c r="P311">
        <v>0.75000000000000011</v>
      </c>
      <c r="Q311">
        <v>3.5000000000000004</v>
      </c>
      <c r="R311">
        <v>1937.2619999999999</v>
      </c>
      <c r="S311">
        <v>4.1295401280000005E-3</v>
      </c>
      <c r="T311" s="4" t="s">
        <v>2385</v>
      </c>
    </row>
    <row r="312" spans="1:20" x14ac:dyDescent="0.2">
      <c r="A312" s="4" t="s">
        <v>2294</v>
      </c>
      <c r="B312" s="4" t="s">
        <v>2381</v>
      </c>
      <c r="C312" s="4" t="s">
        <v>2096</v>
      </c>
      <c r="D312" s="4" t="s">
        <v>2236</v>
      </c>
      <c r="E312" s="4" t="s">
        <v>2407</v>
      </c>
      <c r="F312" s="4" t="s">
        <v>2383</v>
      </c>
      <c r="G312" s="4" t="s">
        <v>2294</v>
      </c>
      <c r="H312" s="4" t="s">
        <v>2183</v>
      </c>
      <c r="I312" s="4" t="s">
        <v>2100</v>
      </c>
      <c r="J312" s="4" t="s">
        <v>2384</v>
      </c>
      <c r="K312">
        <v>9</v>
      </c>
      <c r="L312">
        <v>2.7431999999999999</v>
      </c>
      <c r="M312">
        <v>19.05</v>
      </c>
      <c r="N312">
        <v>88.9</v>
      </c>
      <c r="O312">
        <v>108</v>
      </c>
      <c r="P312">
        <v>0.75000000000000011</v>
      </c>
      <c r="Q312">
        <v>3.5000000000000004</v>
      </c>
      <c r="R312">
        <v>1937.2619999999999</v>
      </c>
      <c r="S312">
        <v>4.6457326440000005E-3</v>
      </c>
      <c r="T312" s="4" t="s">
        <v>2385</v>
      </c>
    </row>
    <row r="313" spans="1:20" x14ac:dyDescent="0.2">
      <c r="A313" s="4" t="s">
        <v>2294</v>
      </c>
      <c r="B313" s="4" t="s">
        <v>2408</v>
      </c>
      <c r="C313" s="4" t="s">
        <v>2096</v>
      </c>
      <c r="D313" s="4" t="s">
        <v>2236</v>
      </c>
      <c r="E313" s="4" t="s">
        <v>308</v>
      </c>
      <c r="F313" s="4" t="s">
        <v>2409</v>
      </c>
      <c r="G313" s="4" t="s">
        <v>2294</v>
      </c>
      <c r="H313" s="4" t="s">
        <v>2183</v>
      </c>
      <c r="I313" s="4" t="s">
        <v>2100</v>
      </c>
      <c r="J313" s="4" t="s">
        <v>2410</v>
      </c>
      <c r="K313">
        <v>10</v>
      </c>
      <c r="L313">
        <v>3.048</v>
      </c>
      <c r="M313">
        <v>22.224999999999998</v>
      </c>
      <c r="N313">
        <v>146.04999999999998</v>
      </c>
      <c r="O313">
        <v>120</v>
      </c>
      <c r="P313">
        <v>0.875</v>
      </c>
      <c r="Q313">
        <v>5.75</v>
      </c>
      <c r="R313">
        <v>1010.745</v>
      </c>
      <c r="S313">
        <v>9.893689889999998E-3</v>
      </c>
      <c r="T313" s="4" t="s">
        <v>2411</v>
      </c>
    </row>
    <row r="314" spans="1:20" x14ac:dyDescent="0.2">
      <c r="A314" s="4" t="s">
        <v>2294</v>
      </c>
      <c r="B314" s="4" t="s">
        <v>2408</v>
      </c>
      <c r="C314" s="4" t="s">
        <v>2096</v>
      </c>
      <c r="D314" s="4" t="s">
        <v>2236</v>
      </c>
      <c r="E314" s="4" t="s">
        <v>312</v>
      </c>
      <c r="F314" s="4" t="s">
        <v>2409</v>
      </c>
      <c r="G314" s="4" t="s">
        <v>2294</v>
      </c>
      <c r="H314" s="4" t="s">
        <v>2183</v>
      </c>
      <c r="I314" s="4" t="s">
        <v>2100</v>
      </c>
      <c r="J314" s="4" t="s">
        <v>2410</v>
      </c>
      <c r="K314">
        <v>11</v>
      </c>
      <c r="L314">
        <v>3.3527999999999998</v>
      </c>
      <c r="M314">
        <v>22.224999999999998</v>
      </c>
      <c r="N314">
        <v>146.04999999999998</v>
      </c>
      <c r="O314">
        <v>132</v>
      </c>
      <c r="P314">
        <v>0.875</v>
      </c>
      <c r="Q314">
        <v>5.75</v>
      </c>
      <c r="R314">
        <v>1010.745</v>
      </c>
      <c r="S314">
        <v>1.0883058878999997E-2</v>
      </c>
      <c r="T314" s="4" t="s">
        <v>2411</v>
      </c>
    </row>
    <row r="315" spans="1:20" x14ac:dyDescent="0.2">
      <c r="A315" s="4" t="s">
        <v>2294</v>
      </c>
      <c r="B315" s="4" t="s">
        <v>2408</v>
      </c>
      <c r="C315" s="4" t="s">
        <v>2096</v>
      </c>
      <c r="D315" s="4" t="s">
        <v>2236</v>
      </c>
      <c r="E315" s="4" t="s">
        <v>314</v>
      </c>
      <c r="F315" s="4" t="s">
        <v>2409</v>
      </c>
      <c r="G315" s="4" t="s">
        <v>2294</v>
      </c>
      <c r="H315" s="4" t="s">
        <v>2183</v>
      </c>
      <c r="I315" s="4" t="s">
        <v>2100</v>
      </c>
      <c r="J315" s="4" t="s">
        <v>2410</v>
      </c>
      <c r="K315">
        <v>12</v>
      </c>
      <c r="L315">
        <v>3.6576</v>
      </c>
      <c r="M315">
        <v>22.224999999999998</v>
      </c>
      <c r="N315">
        <v>146.04999999999998</v>
      </c>
      <c r="O315">
        <v>144</v>
      </c>
      <c r="P315">
        <v>0.875</v>
      </c>
      <c r="Q315">
        <v>5.75</v>
      </c>
      <c r="R315">
        <v>1010.745</v>
      </c>
      <c r="S315">
        <v>1.1872427867999998E-2</v>
      </c>
      <c r="T315" s="4" t="s">
        <v>2411</v>
      </c>
    </row>
    <row r="316" spans="1:20" x14ac:dyDescent="0.2">
      <c r="A316" s="4" t="s">
        <v>2294</v>
      </c>
      <c r="B316" s="4" t="s">
        <v>2408</v>
      </c>
      <c r="C316" s="4" t="s">
        <v>2096</v>
      </c>
      <c r="D316" s="4" t="s">
        <v>2236</v>
      </c>
      <c r="E316" s="4" t="s">
        <v>318</v>
      </c>
      <c r="F316" s="4" t="s">
        <v>2409</v>
      </c>
      <c r="G316" s="4" t="s">
        <v>2294</v>
      </c>
      <c r="H316" s="4" t="s">
        <v>2183</v>
      </c>
      <c r="I316" s="4" t="s">
        <v>2100</v>
      </c>
      <c r="J316" s="4" t="s">
        <v>2410</v>
      </c>
      <c r="K316">
        <v>13</v>
      </c>
      <c r="L316">
        <v>3.9624000000000001</v>
      </c>
      <c r="M316">
        <v>22.224999999999998</v>
      </c>
      <c r="N316">
        <v>146.04999999999998</v>
      </c>
      <c r="O316">
        <v>156</v>
      </c>
      <c r="P316">
        <v>0.875</v>
      </c>
      <c r="Q316">
        <v>5.75</v>
      </c>
      <c r="R316">
        <v>1010.745</v>
      </c>
      <c r="S316">
        <v>1.2861796857E-2</v>
      </c>
      <c r="T316" s="4" t="s">
        <v>2411</v>
      </c>
    </row>
    <row r="317" spans="1:20" x14ac:dyDescent="0.2">
      <c r="A317" s="4" t="s">
        <v>2294</v>
      </c>
      <c r="B317" s="4" t="s">
        <v>2408</v>
      </c>
      <c r="C317" s="4" t="s">
        <v>2096</v>
      </c>
      <c r="D317" s="4" t="s">
        <v>2236</v>
      </c>
      <c r="E317" s="4" t="s">
        <v>320</v>
      </c>
      <c r="F317" s="4" t="s">
        <v>2409</v>
      </c>
      <c r="G317" s="4" t="s">
        <v>2294</v>
      </c>
      <c r="H317" s="4" t="s">
        <v>2183</v>
      </c>
      <c r="I317" s="4" t="s">
        <v>2100</v>
      </c>
      <c r="J317" s="4" t="s">
        <v>2410</v>
      </c>
      <c r="K317">
        <v>14</v>
      </c>
      <c r="L317">
        <v>4.2671999999999999</v>
      </c>
      <c r="M317">
        <v>22.224999999999998</v>
      </c>
      <c r="N317">
        <v>146.04999999999998</v>
      </c>
      <c r="O317">
        <v>168</v>
      </c>
      <c r="P317">
        <v>0.875</v>
      </c>
      <c r="Q317">
        <v>5.75</v>
      </c>
      <c r="R317">
        <v>1010.745</v>
      </c>
      <c r="S317">
        <v>1.3851165845999996E-2</v>
      </c>
      <c r="T317" s="4" t="s">
        <v>2411</v>
      </c>
    </row>
    <row r="318" spans="1:20" x14ac:dyDescent="0.2">
      <c r="A318" s="4" t="s">
        <v>2294</v>
      </c>
      <c r="B318" s="4" t="s">
        <v>2408</v>
      </c>
      <c r="C318" s="4" t="s">
        <v>2096</v>
      </c>
      <c r="D318" s="4" t="s">
        <v>2236</v>
      </c>
      <c r="E318" s="4" t="s">
        <v>324</v>
      </c>
      <c r="F318" s="4" t="s">
        <v>2409</v>
      </c>
      <c r="G318" s="4" t="s">
        <v>2294</v>
      </c>
      <c r="H318" s="4" t="s">
        <v>2183</v>
      </c>
      <c r="I318" s="4" t="s">
        <v>2100</v>
      </c>
      <c r="J318" s="4" t="s">
        <v>2410</v>
      </c>
      <c r="K318">
        <v>15</v>
      </c>
      <c r="L318">
        <v>4.5720000000000001</v>
      </c>
      <c r="M318">
        <v>22.224999999999998</v>
      </c>
      <c r="N318">
        <v>146.04999999999998</v>
      </c>
      <c r="O318">
        <v>180</v>
      </c>
      <c r="P318">
        <v>0.875</v>
      </c>
      <c r="Q318">
        <v>5.75</v>
      </c>
      <c r="R318">
        <v>1010.745</v>
      </c>
      <c r="S318">
        <v>1.4840534834999997E-2</v>
      </c>
      <c r="T318" s="4" t="s">
        <v>2411</v>
      </c>
    </row>
    <row r="319" spans="1:20" x14ac:dyDescent="0.2">
      <c r="A319" s="4" t="s">
        <v>2294</v>
      </c>
      <c r="B319" s="4" t="s">
        <v>2408</v>
      </c>
      <c r="C319" s="4" t="s">
        <v>2096</v>
      </c>
      <c r="D319" s="4" t="s">
        <v>2236</v>
      </c>
      <c r="E319" s="4" t="s">
        <v>326</v>
      </c>
      <c r="F319" s="4" t="s">
        <v>2409</v>
      </c>
      <c r="G319" s="4" t="s">
        <v>2294</v>
      </c>
      <c r="H319" s="4" t="s">
        <v>2183</v>
      </c>
      <c r="I319" s="4" t="s">
        <v>2100</v>
      </c>
      <c r="J319" s="4" t="s">
        <v>2410</v>
      </c>
      <c r="K319">
        <v>16</v>
      </c>
      <c r="L319">
        <v>4.8768000000000002</v>
      </c>
      <c r="M319">
        <v>22.224999999999998</v>
      </c>
      <c r="N319">
        <v>146.04999999999998</v>
      </c>
      <c r="O319">
        <v>192.00000000000003</v>
      </c>
      <c r="P319">
        <v>0.875</v>
      </c>
      <c r="Q319">
        <v>5.75</v>
      </c>
      <c r="R319">
        <v>1010.745</v>
      </c>
      <c r="S319">
        <v>1.5829903823999996E-2</v>
      </c>
      <c r="T319" s="4" t="s">
        <v>2411</v>
      </c>
    </row>
    <row r="320" spans="1:20" x14ac:dyDescent="0.2">
      <c r="A320" s="4" t="s">
        <v>2294</v>
      </c>
      <c r="B320" s="4" t="s">
        <v>2408</v>
      </c>
      <c r="C320" s="4" t="s">
        <v>2096</v>
      </c>
      <c r="D320" s="4" t="s">
        <v>2236</v>
      </c>
      <c r="E320" s="4" t="s">
        <v>333</v>
      </c>
      <c r="F320" s="4" t="s">
        <v>2409</v>
      </c>
      <c r="G320" s="4" t="s">
        <v>2294</v>
      </c>
      <c r="H320" s="4" t="s">
        <v>2183</v>
      </c>
      <c r="I320" s="4" t="s">
        <v>2100</v>
      </c>
      <c r="J320" s="4" t="s">
        <v>2410</v>
      </c>
      <c r="K320">
        <v>17</v>
      </c>
      <c r="L320">
        <v>5.1816000000000004</v>
      </c>
      <c r="M320">
        <v>22.224999999999998</v>
      </c>
      <c r="N320">
        <v>146.04999999999998</v>
      </c>
      <c r="O320">
        <v>204.00000000000003</v>
      </c>
      <c r="P320">
        <v>0.875</v>
      </c>
      <c r="Q320">
        <v>5.75</v>
      </c>
      <c r="R320">
        <v>1010.745</v>
      </c>
      <c r="S320">
        <v>1.6819272812999997E-2</v>
      </c>
      <c r="T320" s="4" t="s">
        <v>2411</v>
      </c>
    </row>
    <row r="321" spans="1:20" x14ac:dyDescent="0.2">
      <c r="A321" s="4" t="s">
        <v>2294</v>
      </c>
      <c r="B321" s="4" t="s">
        <v>2408</v>
      </c>
      <c r="C321" s="4" t="s">
        <v>2096</v>
      </c>
      <c r="D321" s="4" t="s">
        <v>2236</v>
      </c>
      <c r="E321" s="4" t="s">
        <v>337</v>
      </c>
      <c r="F321" s="4" t="s">
        <v>2409</v>
      </c>
      <c r="G321" s="4" t="s">
        <v>2294</v>
      </c>
      <c r="H321" s="4" t="s">
        <v>2183</v>
      </c>
      <c r="I321" s="4" t="s">
        <v>2100</v>
      </c>
      <c r="J321" s="4" t="s">
        <v>2410</v>
      </c>
      <c r="K321">
        <v>18</v>
      </c>
      <c r="L321">
        <v>5.4863999999999997</v>
      </c>
      <c r="M321">
        <v>22.224999999999998</v>
      </c>
      <c r="N321">
        <v>146.04999999999998</v>
      </c>
      <c r="O321">
        <v>216</v>
      </c>
      <c r="P321">
        <v>0.875</v>
      </c>
      <c r="Q321">
        <v>5.75</v>
      </c>
      <c r="R321">
        <v>1010.745</v>
      </c>
      <c r="S321">
        <v>1.7808641801999994E-2</v>
      </c>
      <c r="T321" s="4" t="s">
        <v>2411</v>
      </c>
    </row>
    <row r="322" spans="1:20" x14ac:dyDescent="0.2">
      <c r="A322" s="4" t="s">
        <v>2294</v>
      </c>
      <c r="B322" s="4" t="s">
        <v>2408</v>
      </c>
      <c r="C322" s="4" t="s">
        <v>2096</v>
      </c>
      <c r="D322" s="4" t="s">
        <v>2236</v>
      </c>
      <c r="E322" s="4" t="s">
        <v>341</v>
      </c>
      <c r="F322" s="4" t="s">
        <v>2409</v>
      </c>
      <c r="G322" s="4" t="s">
        <v>2294</v>
      </c>
      <c r="H322" s="4" t="s">
        <v>2183</v>
      </c>
      <c r="I322" s="4" t="s">
        <v>2100</v>
      </c>
      <c r="J322" s="4" t="s">
        <v>2410</v>
      </c>
      <c r="K322">
        <v>19</v>
      </c>
      <c r="L322">
        <v>5.7911999999999999</v>
      </c>
      <c r="M322">
        <v>22.224999999999998</v>
      </c>
      <c r="N322">
        <v>146.04999999999998</v>
      </c>
      <c r="O322">
        <v>228</v>
      </c>
      <c r="P322">
        <v>0.875</v>
      </c>
      <c r="Q322">
        <v>5.75</v>
      </c>
      <c r="R322">
        <v>1010.745</v>
      </c>
      <c r="S322">
        <v>1.8798010790999995E-2</v>
      </c>
      <c r="T322" s="4" t="s">
        <v>2411</v>
      </c>
    </row>
    <row r="323" spans="1:20" x14ac:dyDescent="0.2">
      <c r="A323" s="4" t="s">
        <v>2294</v>
      </c>
      <c r="B323" s="4" t="s">
        <v>2408</v>
      </c>
      <c r="C323" s="4" t="s">
        <v>2096</v>
      </c>
      <c r="D323" s="4" t="s">
        <v>2236</v>
      </c>
      <c r="E323" s="4" t="s">
        <v>343</v>
      </c>
      <c r="F323" s="4" t="s">
        <v>2409</v>
      </c>
      <c r="G323" s="4" t="s">
        <v>2294</v>
      </c>
      <c r="H323" s="4" t="s">
        <v>2183</v>
      </c>
      <c r="I323" s="4" t="s">
        <v>2100</v>
      </c>
      <c r="J323" s="4" t="s">
        <v>2410</v>
      </c>
      <c r="K323">
        <v>20</v>
      </c>
      <c r="L323">
        <v>6.0960000000000001</v>
      </c>
      <c r="M323">
        <v>22.224999999999998</v>
      </c>
      <c r="N323">
        <v>146.04999999999998</v>
      </c>
      <c r="O323">
        <v>240</v>
      </c>
      <c r="P323">
        <v>0.875</v>
      </c>
      <c r="Q323">
        <v>5.75</v>
      </c>
      <c r="R323">
        <v>1010.745</v>
      </c>
      <c r="S323">
        <v>1.9787379779999996E-2</v>
      </c>
      <c r="T323" s="4" t="s">
        <v>2411</v>
      </c>
    </row>
    <row r="324" spans="1:20" x14ac:dyDescent="0.2">
      <c r="A324" s="4" t="s">
        <v>2294</v>
      </c>
      <c r="B324" s="4" t="s">
        <v>2408</v>
      </c>
      <c r="C324" s="4" t="s">
        <v>2286</v>
      </c>
      <c r="D324" s="4" t="s">
        <v>2236</v>
      </c>
      <c r="E324" s="4" t="s">
        <v>2412</v>
      </c>
      <c r="F324" s="4" t="s">
        <v>2409</v>
      </c>
      <c r="G324" s="4" t="s">
        <v>2294</v>
      </c>
      <c r="H324" s="4" t="s">
        <v>2183</v>
      </c>
      <c r="I324" s="4" t="s">
        <v>2100</v>
      </c>
      <c r="J324" s="4" t="s">
        <v>2410</v>
      </c>
      <c r="K324">
        <v>3</v>
      </c>
      <c r="L324">
        <v>0.91439999999999999</v>
      </c>
      <c r="M324">
        <v>22.224999999999998</v>
      </c>
      <c r="N324">
        <v>146.04999999999998</v>
      </c>
      <c r="O324">
        <v>36</v>
      </c>
      <c r="P324">
        <v>0.875</v>
      </c>
      <c r="Q324">
        <v>5.75</v>
      </c>
      <c r="R324">
        <v>1010.745</v>
      </c>
      <c r="S324">
        <v>2.9681069669999995E-3</v>
      </c>
      <c r="T324" s="4" t="s">
        <v>2413</v>
      </c>
    </row>
    <row r="325" spans="1:20" x14ac:dyDescent="0.2">
      <c r="A325" s="4" t="s">
        <v>2294</v>
      </c>
      <c r="B325" s="4" t="s">
        <v>2408</v>
      </c>
      <c r="C325" s="4" t="s">
        <v>2286</v>
      </c>
      <c r="D325" s="4" t="s">
        <v>2236</v>
      </c>
      <c r="E325" s="4" t="s">
        <v>2414</v>
      </c>
      <c r="F325" s="4" t="s">
        <v>2409</v>
      </c>
      <c r="G325" s="4" t="s">
        <v>2294</v>
      </c>
      <c r="H325" s="4" t="s">
        <v>2183</v>
      </c>
      <c r="I325" s="4" t="s">
        <v>2100</v>
      </c>
      <c r="J325" s="4" t="s">
        <v>2410</v>
      </c>
      <c r="K325">
        <v>4</v>
      </c>
      <c r="L325">
        <v>1.2192000000000001</v>
      </c>
      <c r="M325">
        <v>22.224999999999998</v>
      </c>
      <c r="N325">
        <v>146.04999999999998</v>
      </c>
      <c r="O325">
        <v>48.000000000000007</v>
      </c>
      <c r="P325">
        <v>0.875</v>
      </c>
      <c r="Q325">
        <v>5.75</v>
      </c>
      <c r="R325">
        <v>1010.745</v>
      </c>
      <c r="S325">
        <v>3.957475955999999E-3</v>
      </c>
      <c r="T325" s="4" t="s">
        <v>2413</v>
      </c>
    </row>
    <row r="326" spans="1:20" x14ac:dyDescent="0.2">
      <c r="A326" s="4" t="s">
        <v>2294</v>
      </c>
      <c r="B326" s="4" t="s">
        <v>2408</v>
      </c>
      <c r="C326" s="4" t="s">
        <v>2286</v>
      </c>
      <c r="D326" s="4" t="s">
        <v>2236</v>
      </c>
      <c r="E326" s="4" t="s">
        <v>2415</v>
      </c>
      <c r="F326" s="4" t="s">
        <v>2409</v>
      </c>
      <c r="G326" s="4" t="s">
        <v>2294</v>
      </c>
      <c r="H326" s="4" t="s">
        <v>2183</v>
      </c>
      <c r="I326" s="4" t="s">
        <v>2100</v>
      </c>
      <c r="J326" s="4" t="s">
        <v>2410</v>
      </c>
      <c r="K326">
        <v>5</v>
      </c>
      <c r="L326">
        <v>1.524</v>
      </c>
      <c r="M326">
        <v>22.224999999999998</v>
      </c>
      <c r="N326">
        <v>146.04999999999998</v>
      </c>
      <c r="O326">
        <v>60</v>
      </c>
      <c r="P326">
        <v>0.875</v>
      </c>
      <c r="Q326">
        <v>5.75</v>
      </c>
      <c r="R326">
        <v>1010.745</v>
      </c>
      <c r="S326">
        <v>4.946844944999999E-3</v>
      </c>
      <c r="T326" s="4" t="s">
        <v>2413</v>
      </c>
    </row>
    <row r="327" spans="1:20" x14ac:dyDescent="0.2">
      <c r="A327" s="4" t="s">
        <v>2294</v>
      </c>
      <c r="B327" s="4" t="s">
        <v>2408</v>
      </c>
      <c r="C327" s="4" t="s">
        <v>2286</v>
      </c>
      <c r="D327" s="4" t="s">
        <v>2236</v>
      </c>
      <c r="E327" s="4" t="s">
        <v>351</v>
      </c>
      <c r="F327" s="4" t="s">
        <v>2409</v>
      </c>
      <c r="G327" s="4" t="s">
        <v>2294</v>
      </c>
      <c r="H327" s="4" t="s">
        <v>2183</v>
      </c>
      <c r="I327" s="4" t="s">
        <v>2100</v>
      </c>
      <c r="J327" s="4" t="s">
        <v>2410</v>
      </c>
      <c r="K327">
        <v>6</v>
      </c>
      <c r="L327">
        <v>1.8288</v>
      </c>
      <c r="M327">
        <v>22.224999999999998</v>
      </c>
      <c r="N327">
        <v>146.04999999999998</v>
      </c>
      <c r="O327">
        <v>72</v>
      </c>
      <c r="P327">
        <v>0.875</v>
      </c>
      <c r="Q327">
        <v>5.75</v>
      </c>
      <c r="R327">
        <v>1010.745</v>
      </c>
      <c r="S327">
        <v>5.9362139339999989E-3</v>
      </c>
      <c r="T327" s="4" t="s">
        <v>2413</v>
      </c>
    </row>
    <row r="328" spans="1:20" x14ac:dyDescent="0.2">
      <c r="A328" s="4" t="s">
        <v>2294</v>
      </c>
      <c r="B328" s="4" t="s">
        <v>2408</v>
      </c>
      <c r="C328" s="4" t="s">
        <v>2286</v>
      </c>
      <c r="D328" s="4" t="s">
        <v>2236</v>
      </c>
      <c r="E328" s="4" t="s">
        <v>355</v>
      </c>
      <c r="F328" s="4" t="s">
        <v>2409</v>
      </c>
      <c r="G328" s="4" t="s">
        <v>2294</v>
      </c>
      <c r="H328" s="4" t="s">
        <v>2183</v>
      </c>
      <c r="I328" s="4" t="s">
        <v>2100</v>
      </c>
      <c r="J328" s="4" t="s">
        <v>2410</v>
      </c>
      <c r="K328">
        <v>7</v>
      </c>
      <c r="L328">
        <v>2.1335999999999999</v>
      </c>
      <c r="M328">
        <v>22.224999999999998</v>
      </c>
      <c r="N328">
        <v>146.04999999999998</v>
      </c>
      <c r="O328">
        <v>84</v>
      </c>
      <c r="P328">
        <v>0.875</v>
      </c>
      <c r="Q328">
        <v>5.75</v>
      </c>
      <c r="R328">
        <v>1010.745</v>
      </c>
      <c r="S328">
        <v>6.9255829229999981E-3</v>
      </c>
      <c r="T328" s="4" t="s">
        <v>2413</v>
      </c>
    </row>
    <row r="329" spans="1:20" x14ac:dyDescent="0.2">
      <c r="A329" s="4" t="s">
        <v>2294</v>
      </c>
      <c r="B329" s="4" t="s">
        <v>2408</v>
      </c>
      <c r="C329" s="4" t="s">
        <v>2096</v>
      </c>
      <c r="D329" s="4" t="s">
        <v>2236</v>
      </c>
      <c r="E329" s="4" t="s">
        <v>358</v>
      </c>
      <c r="F329" s="4" t="s">
        <v>2409</v>
      </c>
      <c r="G329" s="4" t="s">
        <v>2294</v>
      </c>
      <c r="H329" s="4" t="s">
        <v>2183</v>
      </c>
      <c r="I329" s="4" t="s">
        <v>2100</v>
      </c>
      <c r="J329" s="4" t="s">
        <v>2410</v>
      </c>
      <c r="K329">
        <v>8</v>
      </c>
      <c r="L329">
        <v>2.4384000000000001</v>
      </c>
      <c r="M329">
        <v>22.224999999999998</v>
      </c>
      <c r="N329">
        <v>146.04999999999998</v>
      </c>
      <c r="O329">
        <v>96.000000000000014</v>
      </c>
      <c r="P329">
        <v>0.875</v>
      </c>
      <c r="Q329">
        <v>5.75</v>
      </c>
      <c r="R329">
        <v>1010.745</v>
      </c>
      <c r="S329">
        <v>7.914951911999998E-3</v>
      </c>
      <c r="T329" s="4" t="s">
        <v>2411</v>
      </c>
    </row>
    <row r="330" spans="1:20" x14ac:dyDescent="0.2">
      <c r="A330" s="4" t="s">
        <v>2294</v>
      </c>
      <c r="B330" s="4" t="s">
        <v>2408</v>
      </c>
      <c r="C330" s="4" t="s">
        <v>2096</v>
      </c>
      <c r="D330" s="4" t="s">
        <v>2236</v>
      </c>
      <c r="E330" s="4" t="s">
        <v>362</v>
      </c>
      <c r="F330" s="4" t="s">
        <v>2409</v>
      </c>
      <c r="G330" s="4" t="s">
        <v>2294</v>
      </c>
      <c r="H330" s="4" t="s">
        <v>2183</v>
      </c>
      <c r="I330" s="4" t="s">
        <v>2100</v>
      </c>
      <c r="J330" s="4" t="s">
        <v>2410</v>
      </c>
      <c r="K330">
        <v>9</v>
      </c>
      <c r="L330">
        <v>2.7431999999999999</v>
      </c>
      <c r="M330">
        <v>22.224999999999998</v>
      </c>
      <c r="N330">
        <v>146.04999999999998</v>
      </c>
      <c r="O330">
        <v>108</v>
      </c>
      <c r="P330">
        <v>0.875</v>
      </c>
      <c r="Q330">
        <v>5.75</v>
      </c>
      <c r="R330">
        <v>1010.745</v>
      </c>
      <c r="S330">
        <v>8.9043209009999971E-3</v>
      </c>
      <c r="T330" s="4" t="s">
        <v>2411</v>
      </c>
    </row>
    <row r="331" spans="1:20" x14ac:dyDescent="0.2">
      <c r="A331" s="4" t="s">
        <v>2294</v>
      </c>
      <c r="B331" s="4" t="s">
        <v>2416</v>
      </c>
      <c r="C331" s="4" t="s">
        <v>2096</v>
      </c>
      <c r="D331" s="4" t="s">
        <v>2236</v>
      </c>
      <c r="E331" s="4" t="s">
        <v>310</v>
      </c>
      <c r="F331" s="4" t="s">
        <v>2417</v>
      </c>
      <c r="G331" s="4" t="s">
        <v>2294</v>
      </c>
      <c r="H331" s="4" t="s">
        <v>2183</v>
      </c>
      <c r="I331" s="4" t="s">
        <v>2100</v>
      </c>
      <c r="J331" s="4" t="s">
        <v>2153</v>
      </c>
      <c r="K331">
        <v>10</v>
      </c>
      <c r="L331">
        <v>3.048</v>
      </c>
      <c r="M331">
        <v>19.05</v>
      </c>
      <c r="N331">
        <v>139.69999999999999</v>
      </c>
      <c r="O331">
        <v>120</v>
      </c>
      <c r="P331">
        <v>0.75000000000000011</v>
      </c>
      <c r="Q331">
        <v>5.5</v>
      </c>
      <c r="R331">
        <v>1232.8030000000001</v>
      </c>
      <c r="S331">
        <v>8.1115966799999994E-3</v>
      </c>
      <c r="T331" s="4" t="s">
        <v>2418</v>
      </c>
    </row>
    <row r="332" spans="1:20" x14ac:dyDescent="0.2">
      <c r="A332" s="4" t="s">
        <v>2294</v>
      </c>
      <c r="B332" s="4" t="s">
        <v>2416</v>
      </c>
      <c r="C332" s="4" t="s">
        <v>2096</v>
      </c>
      <c r="D332" s="4" t="s">
        <v>2236</v>
      </c>
      <c r="E332" s="4" t="s">
        <v>2419</v>
      </c>
      <c r="F332" s="4" t="s">
        <v>2417</v>
      </c>
      <c r="G332" s="4" t="s">
        <v>2294</v>
      </c>
      <c r="H332" s="4" t="s">
        <v>2183</v>
      </c>
      <c r="I332" s="4" t="s">
        <v>2100</v>
      </c>
      <c r="J332" s="4" t="s">
        <v>2153</v>
      </c>
      <c r="K332">
        <v>11</v>
      </c>
      <c r="L332">
        <v>3.3527999999999998</v>
      </c>
      <c r="M332">
        <v>19.05</v>
      </c>
      <c r="N332">
        <v>139.69999999999999</v>
      </c>
      <c r="O332">
        <v>132</v>
      </c>
      <c r="P332">
        <v>0.75000000000000011</v>
      </c>
      <c r="Q332">
        <v>5.5</v>
      </c>
      <c r="R332">
        <v>1232.8030000000001</v>
      </c>
      <c r="S332">
        <v>8.922756347999999E-3</v>
      </c>
      <c r="T332" s="4" t="s">
        <v>2418</v>
      </c>
    </row>
    <row r="333" spans="1:20" x14ac:dyDescent="0.2">
      <c r="A333" s="4" t="s">
        <v>2294</v>
      </c>
      <c r="B333" s="4" t="s">
        <v>2416</v>
      </c>
      <c r="C333" s="4" t="s">
        <v>2096</v>
      </c>
      <c r="D333" s="4" t="s">
        <v>2236</v>
      </c>
      <c r="E333" s="4" t="s">
        <v>316</v>
      </c>
      <c r="F333" s="4" t="s">
        <v>2417</v>
      </c>
      <c r="G333" s="4" t="s">
        <v>2294</v>
      </c>
      <c r="H333" s="4" t="s">
        <v>2183</v>
      </c>
      <c r="I333" s="4" t="s">
        <v>2100</v>
      </c>
      <c r="J333" s="4" t="s">
        <v>2153</v>
      </c>
      <c r="K333">
        <v>12</v>
      </c>
      <c r="L333">
        <v>3.6576</v>
      </c>
      <c r="M333">
        <v>19.05</v>
      </c>
      <c r="N333">
        <v>139.69999999999999</v>
      </c>
      <c r="O333">
        <v>144</v>
      </c>
      <c r="P333">
        <v>0.75000000000000011</v>
      </c>
      <c r="Q333">
        <v>5.5</v>
      </c>
      <c r="R333">
        <v>1232.8030000000001</v>
      </c>
      <c r="S333">
        <v>9.7339160159999986E-3</v>
      </c>
      <c r="T333" s="4" t="s">
        <v>2418</v>
      </c>
    </row>
    <row r="334" spans="1:20" x14ac:dyDescent="0.2">
      <c r="A334" s="4" t="s">
        <v>2294</v>
      </c>
      <c r="B334" s="4" t="s">
        <v>2416</v>
      </c>
      <c r="C334" s="4" t="s">
        <v>2096</v>
      </c>
      <c r="D334" s="4" t="s">
        <v>2236</v>
      </c>
      <c r="E334" s="4" t="s">
        <v>2420</v>
      </c>
      <c r="F334" s="4" t="s">
        <v>2417</v>
      </c>
      <c r="G334" s="4" t="s">
        <v>2294</v>
      </c>
      <c r="H334" s="4" t="s">
        <v>2183</v>
      </c>
      <c r="I334" s="4" t="s">
        <v>2100</v>
      </c>
      <c r="J334" s="4" t="s">
        <v>2153</v>
      </c>
      <c r="K334">
        <v>13</v>
      </c>
      <c r="L334">
        <v>3.9624000000000001</v>
      </c>
      <c r="M334">
        <v>19.05</v>
      </c>
      <c r="N334">
        <v>139.69999999999999</v>
      </c>
      <c r="O334">
        <v>156</v>
      </c>
      <c r="P334">
        <v>0.75000000000000011</v>
      </c>
      <c r="Q334">
        <v>5.5</v>
      </c>
      <c r="R334">
        <v>1232.8030000000001</v>
      </c>
      <c r="S334">
        <v>1.0545075684E-2</v>
      </c>
      <c r="T334" s="4" t="s">
        <v>2418</v>
      </c>
    </row>
    <row r="335" spans="1:20" x14ac:dyDescent="0.2">
      <c r="A335" s="4" t="s">
        <v>2294</v>
      </c>
      <c r="B335" s="4" t="s">
        <v>2416</v>
      </c>
      <c r="C335" s="4" t="s">
        <v>2096</v>
      </c>
      <c r="D335" s="4" t="s">
        <v>2236</v>
      </c>
      <c r="E335" s="4" t="s">
        <v>322</v>
      </c>
      <c r="F335" s="4" t="s">
        <v>2417</v>
      </c>
      <c r="G335" s="4" t="s">
        <v>2294</v>
      </c>
      <c r="H335" s="4" t="s">
        <v>2183</v>
      </c>
      <c r="I335" s="4" t="s">
        <v>2100</v>
      </c>
      <c r="J335" s="4" t="s">
        <v>2153</v>
      </c>
      <c r="K335">
        <v>14</v>
      </c>
      <c r="L335">
        <v>4.2671999999999999</v>
      </c>
      <c r="M335">
        <v>19.05</v>
      </c>
      <c r="N335">
        <v>139.69999999999999</v>
      </c>
      <c r="O335">
        <v>168</v>
      </c>
      <c r="P335">
        <v>0.75000000000000011</v>
      </c>
      <c r="Q335">
        <v>5.5</v>
      </c>
      <c r="R335">
        <v>1232.8030000000001</v>
      </c>
      <c r="S335">
        <v>1.1356235352E-2</v>
      </c>
      <c r="T335" s="4" t="s">
        <v>2418</v>
      </c>
    </row>
    <row r="336" spans="1:20" x14ac:dyDescent="0.2">
      <c r="A336" s="4" t="s">
        <v>2294</v>
      </c>
      <c r="B336" s="4" t="s">
        <v>2416</v>
      </c>
      <c r="C336" s="4" t="s">
        <v>2096</v>
      </c>
      <c r="D336" s="4" t="s">
        <v>2236</v>
      </c>
      <c r="E336" s="4" t="s">
        <v>2421</v>
      </c>
      <c r="F336" s="4" t="s">
        <v>2417</v>
      </c>
      <c r="G336" s="4" t="s">
        <v>2294</v>
      </c>
      <c r="H336" s="4" t="s">
        <v>2183</v>
      </c>
      <c r="I336" s="4" t="s">
        <v>2100</v>
      </c>
      <c r="J336" s="4" t="s">
        <v>2153</v>
      </c>
      <c r="K336">
        <v>15</v>
      </c>
      <c r="L336">
        <v>4.5720000000000001</v>
      </c>
      <c r="M336">
        <v>19.05</v>
      </c>
      <c r="N336">
        <v>139.69999999999999</v>
      </c>
      <c r="O336">
        <v>180</v>
      </c>
      <c r="P336">
        <v>0.75000000000000011</v>
      </c>
      <c r="Q336">
        <v>5.5</v>
      </c>
      <c r="R336">
        <v>1232.8030000000001</v>
      </c>
      <c r="S336">
        <v>1.2167395020000001E-2</v>
      </c>
      <c r="T336" s="4" t="s">
        <v>2418</v>
      </c>
    </row>
    <row r="337" spans="1:20" x14ac:dyDescent="0.2">
      <c r="A337" s="4" t="s">
        <v>2294</v>
      </c>
      <c r="B337" s="4" t="s">
        <v>2416</v>
      </c>
      <c r="C337" s="4" t="s">
        <v>2096</v>
      </c>
      <c r="D337" s="4" t="s">
        <v>2236</v>
      </c>
      <c r="E337" s="4" t="s">
        <v>328</v>
      </c>
      <c r="F337" s="4" t="s">
        <v>2417</v>
      </c>
      <c r="G337" s="4" t="s">
        <v>2294</v>
      </c>
      <c r="H337" s="4" t="s">
        <v>2183</v>
      </c>
      <c r="I337" s="4" t="s">
        <v>2100</v>
      </c>
      <c r="J337" s="4" t="s">
        <v>2153</v>
      </c>
      <c r="K337">
        <v>16</v>
      </c>
      <c r="L337">
        <v>4.8768000000000002</v>
      </c>
      <c r="M337">
        <v>19.05</v>
      </c>
      <c r="N337">
        <v>139.69999999999999</v>
      </c>
      <c r="O337">
        <v>192.00000000000003</v>
      </c>
      <c r="P337">
        <v>0.75000000000000011</v>
      </c>
      <c r="Q337">
        <v>5.5</v>
      </c>
      <c r="R337">
        <v>1232.8030000000001</v>
      </c>
      <c r="S337">
        <v>1.2978554687999999E-2</v>
      </c>
      <c r="T337" s="4" t="s">
        <v>2418</v>
      </c>
    </row>
    <row r="338" spans="1:20" x14ac:dyDescent="0.2">
      <c r="A338" s="4" t="s">
        <v>2294</v>
      </c>
      <c r="B338" s="4" t="s">
        <v>2416</v>
      </c>
      <c r="C338" s="4" t="s">
        <v>2096</v>
      </c>
      <c r="D338" s="4" t="s">
        <v>2236</v>
      </c>
      <c r="E338" s="4" t="s">
        <v>335</v>
      </c>
      <c r="F338" s="4" t="s">
        <v>2417</v>
      </c>
      <c r="G338" s="4" t="s">
        <v>2294</v>
      </c>
      <c r="H338" s="4" t="s">
        <v>2183</v>
      </c>
      <c r="I338" s="4" t="s">
        <v>2100</v>
      </c>
      <c r="J338" s="4" t="s">
        <v>2153</v>
      </c>
      <c r="K338">
        <v>17</v>
      </c>
      <c r="L338">
        <v>5.1816000000000004</v>
      </c>
      <c r="M338">
        <v>19.05</v>
      </c>
      <c r="N338">
        <v>139.69999999999999</v>
      </c>
      <c r="O338">
        <v>204.00000000000003</v>
      </c>
      <c r="P338">
        <v>0.75000000000000011</v>
      </c>
      <c r="Q338">
        <v>5.5</v>
      </c>
      <c r="R338">
        <v>1232.8030000000001</v>
      </c>
      <c r="S338">
        <v>1.3789714356000002E-2</v>
      </c>
      <c r="T338" s="4" t="s">
        <v>2418</v>
      </c>
    </row>
    <row r="339" spans="1:20" x14ac:dyDescent="0.2">
      <c r="A339" s="4" t="s">
        <v>2294</v>
      </c>
      <c r="B339" s="4" t="s">
        <v>2416</v>
      </c>
      <c r="C339" s="4" t="s">
        <v>2096</v>
      </c>
      <c r="D339" s="4" t="s">
        <v>2236</v>
      </c>
      <c r="E339" s="4" t="s">
        <v>339</v>
      </c>
      <c r="F339" s="4" t="s">
        <v>2417</v>
      </c>
      <c r="G339" s="4" t="s">
        <v>2294</v>
      </c>
      <c r="H339" s="4" t="s">
        <v>2183</v>
      </c>
      <c r="I339" s="4" t="s">
        <v>2100</v>
      </c>
      <c r="J339" s="4" t="s">
        <v>2153</v>
      </c>
      <c r="K339">
        <v>18</v>
      </c>
      <c r="L339">
        <v>5.4863999999999997</v>
      </c>
      <c r="M339">
        <v>19.05</v>
      </c>
      <c r="N339">
        <v>139.69999999999999</v>
      </c>
      <c r="O339">
        <v>216</v>
      </c>
      <c r="P339">
        <v>0.75000000000000011</v>
      </c>
      <c r="Q339">
        <v>5.5</v>
      </c>
      <c r="R339">
        <v>1232.8030000000001</v>
      </c>
      <c r="S339">
        <v>1.4600874024E-2</v>
      </c>
      <c r="T339" s="4" t="s">
        <v>2418</v>
      </c>
    </row>
    <row r="340" spans="1:20" x14ac:dyDescent="0.2">
      <c r="A340" s="4" t="s">
        <v>2294</v>
      </c>
      <c r="B340" s="4" t="s">
        <v>2416</v>
      </c>
      <c r="C340" s="4" t="s">
        <v>2096</v>
      </c>
      <c r="D340" s="4" t="s">
        <v>2236</v>
      </c>
      <c r="E340" s="4" t="s">
        <v>2422</v>
      </c>
      <c r="F340" s="4" t="s">
        <v>2417</v>
      </c>
      <c r="G340" s="4" t="s">
        <v>2294</v>
      </c>
      <c r="H340" s="4" t="s">
        <v>2183</v>
      </c>
      <c r="I340" s="4" t="s">
        <v>2100</v>
      </c>
      <c r="J340" s="4" t="s">
        <v>2153</v>
      </c>
      <c r="K340">
        <v>19</v>
      </c>
      <c r="L340">
        <v>5.7911999999999999</v>
      </c>
      <c r="M340">
        <v>19.05</v>
      </c>
      <c r="N340">
        <v>139.69999999999999</v>
      </c>
      <c r="O340">
        <v>228</v>
      </c>
      <c r="P340">
        <v>0.75000000000000011</v>
      </c>
      <c r="Q340">
        <v>5.5</v>
      </c>
      <c r="R340">
        <v>1232.8030000000001</v>
      </c>
      <c r="S340">
        <v>1.5412033691999999E-2</v>
      </c>
      <c r="T340" s="4" t="s">
        <v>2418</v>
      </c>
    </row>
    <row r="341" spans="1:20" x14ac:dyDescent="0.2">
      <c r="A341" s="4" t="s">
        <v>2294</v>
      </c>
      <c r="B341" s="4" t="s">
        <v>2416</v>
      </c>
      <c r="C341" s="4" t="s">
        <v>2096</v>
      </c>
      <c r="D341" s="4" t="s">
        <v>2236</v>
      </c>
      <c r="E341" s="4" t="s">
        <v>2423</v>
      </c>
      <c r="F341" s="4" t="s">
        <v>2417</v>
      </c>
      <c r="G341" s="4" t="s">
        <v>2294</v>
      </c>
      <c r="H341" s="4" t="s">
        <v>2183</v>
      </c>
      <c r="I341" s="4" t="s">
        <v>2100</v>
      </c>
      <c r="J341" s="4" t="s">
        <v>2153</v>
      </c>
      <c r="K341">
        <v>20</v>
      </c>
      <c r="L341">
        <v>6.0960000000000001</v>
      </c>
      <c r="M341">
        <v>19.05</v>
      </c>
      <c r="N341">
        <v>139.69999999999999</v>
      </c>
      <c r="O341">
        <v>240</v>
      </c>
      <c r="P341">
        <v>0.75000000000000011</v>
      </c>
      <c r="Q341">
        <v>5.5</v>
      </c>
      <c r="R341">
        <v>1232.8030000000001</v>
      </c>
      <c r="S341">
        <v>1.6223193359999999E-2</v>
      </c>
      <c r="T341" s="4" t="s">
        <v>2418</v>
      </c>
    </row>
    <row r="342" spans="1:20" x14ac:dyDescent="0.2">
      <c r="A342" s="4" t="s">
        <v>2294</v>
      </c>
      <c r="B342" s="4" t="s">
        <v>2416</v>
      </c>
      <c r="C342" s="4" t="s">
        <v>2096</v>
      </c>
      <c r="D342" s="4" t="s">
        <v>2236</v>
      </c>
      <c r="E342" s="4" t="s">
        <v>2424</v>
      </c>
      <c r="F342" s="4" t="s">
        <v>2417</v>
      </c>
      <c r="G342" s="4" t="s">
        <v>2294</v>
      </c>
      <c r="H342" s="4" t="s">
        <v>2183</v>
      </c>
      <c r="I342" s="4" t="s">
        <v>2100</v>
      </c>
      <c r="J342" s="4" t="s">
        <v>2153</v>
      </c>
      <c r="K342">
        <v>21</v>
      </c>
      <c r="L342">
        <v>6.4008000000000003</v>
      </c>
      <c r="M342">
        <v>19.05</v>
      </c>
      <c r="N342">
        <v>139.69999999999999</v>
      </c>
      <c r="O342">
        <v>252.00000000000003</v>
      </c>
      <c r="P342">
        <v>0.75000000000000011</v>
      </c>
      <c r="Q342">
        <v>5.5</v>
      </c>
      <c r="R342">
        <v>1232.8030000000001</v>
      </c>
      <c r="S342">
        <v>1.7034353028E-2</v>
      </c>
      <c r="T342" s="4" t="s">
        <v>2418</v>
      </c>
    </row>
    <row r="343" spans="1:20" x14ac:dyDescent="0.2">
      <c r="A343" s="4" t="s">
        <v>2294</v>
      </c>
      <c r="B343" s="4" t="s">
        <v>2416</v>
      </c>
      <c r="C343" s="4" t="s">
        <v>2096</v>
      </c>
      <c r="D343" s="4" t="s">
        <v>2236</v>
      </c>
      <c r="E343" s="4" t="s">
        <v>2425</v>
      </c>
      <c r="F343" s="4" t="s">
        <v>2417</v>
      </c>
      <c r="G343" s="4" t="s">
        <v>2294</v>
      </c>
      <c r="H343" s="4" t="s">
        <v>2183</v>
      </c>
      <c r="I343" s="4" t="s">
        <v>2100</v>
      </c>
      <c r="J343" s="4" t="s">
        <v>2153</v>
      </c>
      <c r="K343">
        <v>22</v>
      </c>
      <c r="L343">
        <v>6.7055999999999996</v>
      </c>
      <c r="M343">
        <v>19.05</v>
      </c>
      <c r="N343">
        <v>139.69999999999999</v>
      </c>
      <c r="O343">
        <v>264</v>
      </c>
      <c r="P343">
        <v>0.75000000000000011</v>
      </c>
      <c r="Q343">
        <v>5.5</v>
      </c>
      <c r="R343">
        <v>1232.8030000000001</v>
      </c>
      <c r="S343">
        <v>1.7845512695999998E-2</v>
      </c>
      <c r="T343" s="4" t="s">
        <v>2418</v>
      </c>
    </row>
    <row r="344" spans="1:20" x14ac:dyDescent="0.2">
      <c r="A344" s="4" t="s">
        <v>2294</v>
      </c>
      <c r="B344" s="4" t="s">
        <v>2416</v>
      </c>
      <c r="C344" s="4" t="s">
        <v>2096</v>
      </c>
      <c r="D344" s="4" t="s">
        <v>2236</v>
      </c>
      <c r="E344" s="4" t="s">
        <v>2426</v>
      </c>
      <c r="F344" s="4" t="s">
        <v>2417</v>
      </c>
      <c r="G344" s="4" t="s">
        <v>2294</v>
      </c>
      <c r="H344" s="4" t="s">
        <v>2183</v>
      </c>
      <c r="I344" s="4" t="s">
        <v>2100</v>
      </c>
      <c r="J344" s="4" t="s">
        <v>2153</v>
      </c>
      <c r="K344">
        <v>23</v>
      </c>
      <c r="L344">
        <v>7.0103999999999997</v>
      </c>
      <c r="M344">
        <v>19.05</v>
      </c>
      <c r="N344">
        <v>139.69999999999999</v>
      </c>
      <c r="O344">
        <v>276</v>
      </c>
      <c r="P344">
        <v>0.75000000000000011</v>
      </c>
      <c r="Q344">
        <v>5.5</v>
      </c>
      <c r="R344">
        <v>1232.8030000000001</v>
      </c>
      <c r="S344">
        <v>1.8656672364000003E-2</v>
      </c>
      <c r="T344" s="4" t="s">
        <v>2418</v>
      </c>
    </row>
    <row r="345" spans="1:20" x14ac:dyDescent="0.2">
      <c r="A345" s="4" t="s">
        <v>2294</v>
      </c>
      <c r="B345" s="4" t="s">
        <v>2416</v>
      </c>
      <c r="C345" s="4" t="s">
        <v>2096</v>
      </c>
      <c r="D345" s="4" t="s">
        <v>2236</v>
      </c>
      <c r="E345" s="4" t="s">
        <v>2427</v>
      </c>
      <c r="F345" s="4" t="s">
        <v>2417</v>
      </c>
      <c r="G345" s="4" t="s">
        <v>2294</v>
      </c>
      <c r="H345" s="4" t="s">
        <v>2183</v>
      </c>
      <c r="I345" s="4" t="s">
        <v>2100</v>
      </c>
      <c r="J345" s="4" t="s">
        <v>2153</v>
      </c>
      <c r="K345">
        <v>24</v>
      </c>
      <c r="L345">
        <v>7.3152000000000008</v>
      </c>
      <c r="M345">
        <v>19.05</v>
      </c>
      <c r="N345">
        <v>139.69999999999999</v>
      </c>
      <c r="O345">
        <v>288.00000000000006</v>
      </c>
      <c r="P345">
        <v>0.75000000000000011</v>
      </c>
      <c r="Q345">
        <v>5.5</v>
      </c>
      <c r="R345">
        <v>1232.8030000000001</v>
      </c>
      <c r="S345">
        <v>1.9467832032000001E-2</v>
      </c>
      <c r="T345" s="4" t="s">
        <v>2418</v>
      </c>
    </row>
    <row r="346" spans="1:20" x14ac:dyDescent="0.2">
      <c r="A346" s="4" t="s">
        <v>2294</v>
      </c>
      <c r="B346" s="4" t="s">
        <v>2416</v>
      </c>
      <c r="C346" s="4" t="s">
        <v>2286</v>
      </c>
      <c r="D346" s="4" t="s">
        <v>2236</v>
      </c>
      <c r="E346" s="4" t="s">
        <v>345</v>
      </c>
      <c r="F346" s="4" t="s">
        <v>2417</v>
      </c>
      <c r="G346" s="4" t="s">
        <v>2294</v>
      </c>
      <c r="H346" s="4" t="s">
        <v>2183</v>
      </c>
      <c r="I346" s="4" t="s">
        <v>2100</v>
      </c>
      <c r="J346" s="4" t="s">
        <v>2153</v>
      </c>
      <c r="K346">
        <v>3</v>
      </c>
      <c r="L346">
        <v>0.91439999999999999</v>
      </c>
      <c r="M346">
        <v>19.05</v>
      </c>
      <c r="N346">
        <v>139.69999999999999</v>
      </c>
      <c r="O346">
        <v>36</v>
      </c>
      <c r="P346">
        <v>0.75000000000000011</v>
      </c>
      <c r="Q346">
        <v>5.5</v>
      </c>
      <c r="R346">
        <v>1232.8030000000001</v>
      </c>
      <c r="S346">
        <v>2.4334790039999997E-3</v>
      </c>
      <c r="T346" s="4" t="s">
        <v>2428</v>
      </c>
    </row>
    <row r="347" spans="1:20" x14ac:dyDescent="0.2">
      <c r="A347" s="4" t="s">
        <v>2294</v>
      </c>
      <c r="B347" s="4" t="s">
        <v>2416</v>
      </c>
      <c r="C347" s="4" t="s">
        <v>2286</v>
      </c>
      <c r="D347" s="4" t="s">
        <v>2236</v>
      </c>
      <c r="E347" s="4" t="s">
        <v>347</v>
      </c>
      <c r="F347" s="4" t="s">
        <v>2417</v>
      </c>
      <c r="G347" s="4" t="s">
        <v>2294</v>
      </c>
      <c r="H347" s="4" t="s">
        <v>2183</v>
      </c>
      <c r="I347" s="4" t="s">
        <v>2100</v>
      </c>
      <c r="J347" s="4" t="s">
        <v>2153</v>
      </c>
      <c r="K347">
        <v>4</v>
      </c>
      <c r="L347">
        <v>1.2192000000000001</v>
      </c>
      <c r="M347">
        <v>19.05</v>
      </c>
      <c r="N347">
        <v>139.69999999999999</v>
      </c>
      <c r="O347">
        <v>48.000000000000007</v>
      </c>
      <c r="P347">
        <v>0.75000000000000011</v>
      </c>
      <c r="Q347">
        <v>5.5</v>
      </c>
      <c r="R347">
        <v>1232.8030000000001</v>
      </c>
      <c r="S347">
        <v>3.2446386719999997E-3</v>
      </c>
      <c r="T347" s="4" t="s">
        <v>2428</v>
      </c>
    </row>
    <row r="348" spans="1:20" x14ac:dyDescent="0.2">
      <c r="A348" s="4" t="s">
        <v>2294</v>
      </c>
      <c r="B348" s="4" t="s">
        <v>2416</v>
      </c>
      <c r="C348" s="4" t="s">
        <v>2286</v>
      </c>
      <c r="D348" s="4" t="s">
        <v>2236</v>
      </c>
      <c r="E348" s="4" t="s">
        <v>349</v>
      </c>
      <c r="F348" s="4" t="s">
        <v>2417</v>
      </c>
      <c r="G348" s="4" t="s">
        <v>2294</v>
      </c>
      <c r="H348" s="4" t="s">
        <v>2183</v>
      </c>
      <c r="I348" s="4" t="s">
        <v>2100</v>
      </c>
      <c r="J348" s="4" t="s">
        <v>2153</v>
      </c>
      <c r="K348">
        <v>5</v>
      </c>
      <c r="L348">
        <v>1.524</v>
      </c>
      <c r="M348">
        <v>19.05</v>
      </c>
      <c r="N348">
        <v>139.69999999999999</v>
      </c>
      <c r="O348">
        <v>60</v>
      </c>
      <c r="P348">
        <v>0.75000000000000011</v>
      </c>
      <c r="Q348">
        <v>5.5</v>
      </c>
      <c r="R348">
        <v>1232.8030000000001</v>
      </c>
      <c r="S348">
        <v>4.0557983399999997E-3</v>
      </c>
      <c r="T348" s="4" t="s">
        <v>2428</v>
      </c>
    </row>
    <row r="349" spans="1:20" x14ac:dyDescent="0.2">
      <c r="A349" s="4" t="s">
        <v>2294</v>
      </c>
      <c r="B349" s="4" t="s">
        <v>2416</v>
      </c>
      <c r="C349" s="4" t="s">
        <v>2286</v>
      </c>
      <c r="D349" s="4" t="s">
        <v>2236</v>
      </c>
      <c r="E349" s="4" t="s">
        <v>353</v>
      </c>
      <c r="F349" s="4" t="s">
        <v>2417</v>
      </c>
      <c r="G349" s="4" t="s">
        <v>2294</v>
      </c>
      <c r="H349" s="4" t="s">
        <v>2183</v>
      </c>
      <c r="I349" s="4" t="s">
        <v>2100</v>
      </c>
      <c r="J349" s="4" t="s">
        <v>2153</v>
      </c>
      <c r="K349">
        <v>6</v>
      </c>
      <c r="L349">
        <v>1.8288</v>
      </c>
      <c r="M349">
        <v>19.05</v>
      </c>
      <c r="N349">
        <v>139.69999999999999</v>
      </c>
      <c r="O349">
        <v>72</v>
      </c>
      <c r="P349">
        <v>0.75000000000000011</v>
      </c>
      <c r="Q349">
        <v>5.5</v>
      </c>
      <c r="R349">
        <v>1232.8030000000001</v>
      </c>
      <c r="S349">
        <v>4.8669580079999993E-3</v>
      </c>
      <c r="T349" s="4" t="s">
        <v>2428</v>
      </c>
    </row>
    <row r="350" spans="1:20" x14ac:dyDescent="0.2">
      <c r="A350" s="4" t="s">
        <v>2294</v>
      </c>
      <c r="B350" s="4" t="s">
        <v>2416</v>
      </c>
      <c r="C350" s="4" t="s">
        <v>2286</v>
      </c>
      <c r="D350" s="4" t="s">
        <v>2236</v>
      </c>
      <c r="E350" s="4" t="s">
        <v>356</v>
      </c>
      <c r="F350" s="4" t="s">
        <v>2417</v>
      </c>
      <c r="G350" s="4" t="s">
        <v>2294</v>
      </c>
      <c r="H350" s="4" t="s">
        <v>2183</v>
      </c>
      <c r="I350" s="4" t="s">
        <v>2100</v>
      </c>
      <c r="J350" s="4" t="s">
        <v>2153</v>
      </c>
      <c r="K350">
        <v>7</v>
      </c>
      <c r="L350">
        <v>2.1335999999999999</v>
      </c>
      <c r="M350">
        <v>19.05</v>
      </c>
      <c r="N350">
        <v>139.69999999999999</v>
      </c>
      <c r="O350">
        <v>84</v>
      </c>
      <c r="P350">
        <v>0.75000000000000011</v>
      </c>
      <c r="Q350">
        <v>5.5</v>
      </c>
      <c r="R350">
        <v>1232.8030000000001</v>
      </c>
      <c r="S350">
        <v>5.6781176759999998E-3</v>
      </c>
      <c r="T350" s="4" t="s">
        <v>2428</v>
      </c>
    </row>
    <row r="351" spans="1:20" x14ac:dyDescent="0.2">
      <c r="A351" s="4" t="s">
        <v>2294</v>
      </c>
      <c r="B351" s="4" t="s">
        <v>2416</v>
      </c>
      <c r="C351" s="4" t="s">
        <v>2096</v>
      </c>
      <c r="D351" s="4" t="s">
        <v>2236</v>
      </c>
      <c r="E351" s="4" t="s">
        <v>360</v>
      </c>
      <c r="F351" s="4" t="s">
        <v>2417</v>
      </c>
      <c r="G351" s="4" t="s">
        <v>2294</v>
      </c>
      <c r="H351" s="4" t="s">
        <v>2183</v>
      </c>
      <c r="I351" s="4" t="s">
        <v>2100</v>
      </c>
      <c r="J351" s="4" t="s">
        <v>2153</v>
      </c>
      <c r="K351">
        <v>8</v>
      </c>
      <c r="L351">
        <v>2.4384000000000001</v>
      </c>
      <c r="M351">
        <v>19.05</v>
      </c>
      <c r="N351">
        <v>139.69999999999999</v>
      </c>
      <c r="O351">
        <v>96.000000000000014</v>
      </c>
      <c r="P351">
        <v>0.75000000000000011</v>
      </c>
      <c r="Q351">
        <v>5.5</v>
      </c>
      <c r="R351">
        <v>1232.8030000000001</v>
      </c>
      <c r="S351">
        <v>6.4892773439999994E-3</v>
      </c>
      <c r="T351" s="4" t="s">
        <v>2418</v>
      </c>
    </row>
    <row r="352" spans="1:20" x14ac:dyDescent="0.2">
      <c r="A352" s="4" t="s">
        <v>2294</v>
      </c>
      <c r="B352" s="4" t="s">
        <v>2416</v>
      </c>
      <c r="C352" s="4" t="s">
        <v>2096</v>
      </c>
      <c r="D352" s="4" t="s">
        <v>2236</v>
      </c>
      <c r="E352" s="4" t="s">
        <v>364</v>
      </c>
      <c r="F352" s="4" t="s">
        <v>2417</v>
      </c>
      <c r="G352" s="4" t="s">
        <v>2294</v>
      </c>
      <c r="H352" s="4" t="s">
        <v>2183</v>
      </c>
      <c r="I352" s="4" t="s">
        <v>2100</v>
      </c>
      <c r="J352" s="4" t="s">
        <v>2153</v>
      </c>
      <c r="K352">
        <v>9</v>
      </c>
      <c r="L352">
        <v>2.7431999999999999</v>
      </c>
      <c r="M352">
        <v>19.05</v>
      </c>
      <c r="N352">
        <v>139.69999999999999</v>
      </c>
      <c r="O352">
        <v>108</v>
      </c>
      <c r="P352">
        <v>0.75000000000000011</v>
      </c>
      <c r="Q352">
        <v>5.5</v>
      </c>
      <c r="R352">
        <v>1232.8030000000001</v>
      </c>
      <c r="S352">
        <v>7.3004370119999999E-3</v>
      </c>
      <c r="T352" s="4" t="s">
        <v>2418</v>
      </c>
    </row>
    <row r="353" spans="1:20" x14ac:dyDescent="0.2">
      <c r="A353" s="4" t="s">
        <v>2294</v>
      </c>
      <c r="B353" s="4" t="s">
        <v>2429</v>
      </c>
      <c r="C353" s="4" t="s">
        <v>2096</v>
      </c>
      <c r="D353" s="4" t="s">
        <v>2236</v>
      </c>
      <c r="E353" s="4" t="s">
        <v>2430</v>
      </c>
      <c r="F353" s="4" t="s">
        <v>2431</v>
      </c>
      <c r="G353" s="4" t="s">
        <v>2294</v>
      </c>
      <c r="H353" s="4" t="s">
        <v>2183</v>
      </c>
      <c r="I353" s="4" t="s">
        <v>2100</v>
      </c>
      <c r="J353" s="4" t="s">
        <v>2432</v>
      </c>
      <c r="K353">
        <v>10</v>
      </c>
      <c r="L353">
        <v>3.048</v>
      </c>
      <c r="M353">
        <v>19.05</v>
      </c>
      <c r="N353">
        <v>184.15</v>
      </c>
      <c r="O353">
        <v>120</v>
      </c>
      <c r="P353">
        <v>0.75000000000000011</v>
      </c>
      <c r="Q353">
        <v>7.2500000000000009</v>
      </c>
      <c r="R353">
        <v>935.23</v>
      </c>
      <c r="S353">
        <v>1.0692559260000001E-2</v>
      </c>
      <c r="T353" s="4" t="s">
        <v>2433</v>
      </c>
    </row>
    <row r="354" spans="1:20" x14ac:dyDescent="0.2">
      <c r="A354" s="4" t="s">
        <v>2294</v>
      </c>
      <c r="B354" s="4" t="s">
        <v>2429</v>
      </c>
      <c r="C354" s="4" t="s">
        <v>2096</v>
      </c>
      <c r="D354" s="4" t="s">
        <v>2236</v>
      </c>
      <c r="E354" s="4" t="s">
        <v>2434</v>
      </c>
      <c r="F354" s="4" t="s">
        <v>2431</v>
      </c>
      <c r="G354" s="4" t="s">
        <v>2294</v>
      </c>
      <c r="H354" s="4" t="s">
        <v>2183</v>
      </c>
      <c r="I354" s="4" t="s">
        <v>2100</v>
      </c>
      <c r="J354" s="4" t="s">
        <v>2432</v>
      </c>
      <c r="K354">
        <v>11</v>
      </c>
      <c r="L354">
        <v>3.3527999999999998</v>
      </c>
      <c r="M354">
        <v>19.05</v>
      </c>
      <c r="N354">
        <v>184.15</v>
      </c>
      <c r="O354">
        <v>132</v>
      </c>
      <c r="P354">
        <v>0.75000000000000011</v>
      </c>
      <c r="Q354">
        <v>7.2500000000000009</v>
      </c>
      <c r="R354">
        <v>935.23</v>
      </c>
      <c r="S354">
        <v>1.1761815186E-2</v>
      </c>
      <c r="T354" s="4" t="s">
        <v>2433</v>
      </c>
    </row>
    <row r="355" spans="1:20" x14ac:dyDescent="0.2">
      <c r="A355" s="4" t="s">
        <v>2294</v>
      </c>
      <c r="B355" s="4" t="s">
        <v>2429</v>
      </c>
      <c r="C355" s="4" t="s">
        <v>2096</v>
      </c>
      <c r="D355" s="4" t="s">
        <v>2236</v>
      </c>
      <c r="E355" s="4" t="s">
        <v>2435</v>
      </c>
      <c r="F355" s="4" t="s">
        <v>2431</v>
      </c>
      <c r="G355" s="4" t="s">
        <v>2294</v>
      </c>
      <c r="H355" s="4" t="s">
        <v>2183</v>
      </c>
      <c r="I355" s="4" t="s">
        <v>2100</v>
      </c>
      <c r="J355" s="4" t="s">
        <v>2432</v>
      </c>
      <c r="K355">
        <v>12</v>
      </c>
      <c r="L355">
        <v>3.6576</v>
      </c>
      <c r="M355">
        <v>19.05</v>
      </c>
      <c r="N355">
        <v>184.15</v>
      </c>
      <c r="O355">
        <v>144</v>
      </c>
      <c r="P355">
        <v>0.75000000000000011</v>
      </c>
      <c r="Q355">
        <v>7.2500000000000009</v>
      </c>
      <c r="R355">
        <v>935.23</v>
      </c>
      <c r="S355">
        <v>1.2831071112000001E-2</v>
      </c>
      <c r="T355" s="4" t="s">
        <v>2433</v>
      </c>
    </row>
    <row r="356" spans="1:20" x14ac:dyDescent="0.2">
      <c r="A356" s="4" t="s">
        <v>2294</v>
      </c>
      <c r="B356" s="4" t="s">
        <v>2429</v>
      </c>
      <c r="C356" s="4" t="s">
        <v>2096</v>
      </c>
      <c r="D356" s="4" t="s">
        <v>2236</v>
      </c>
      <c r="E356" s="4" t="s">
        <v>2436</v>
      </c>
      <c r="F356" s="4" t="s">
        <v>2431</v>
      </c>
      <c r="G356" s="4" t="s">
        <v>2294</v>
      </c>
      <c r="H356" s="4" t="s">
        <v>2183</v>
      </c>
      <c r="I356" s="4" t="s">
        <v>2100</v>
      </c>
      <c r="J356" s="4" t="s">
        <v>2432</v>
      </c>
      <c r="K356">
        <v>13</v>
      </c>
      <c r="L356">
        <v>3.9624000000000001</v>
      </c>
      <c r="M356">
        <v>19.05</v>
      </c>
      <c r="N356">
        <v>184.15</v>
      </c>
      <c r="O356">
        <v>156</v>
      </c>
      <c r="P356">
        <v>0.75000000000000011</v>
      </c>
      <c r="Q356">
        <v>7.2500000000000009</v>
      </c>
      <c r="R356">
        <v>935.23</v>
      </c>
      <c r="S356">
        <v>1.3900327037999999E-2</v>
      </c>
      <c r="T356" s="4" t="s">
        <v>2433</v>
      </c>
    </row>
    <row r="357" spans="1:20" x14ac:dyDescent="0.2">
      <c r="A357" s="4" t="s">
        <v>2294</v>
      </c>
      <c r="B357" s="4" t="s">
        <v>2429</v>
      </c>
      <c r="C357" s="4" t="s">
        <v>2096</v>
      </c>
      <c r="D357" s="4" t="s">
        <v>2236</v>
      </c>
      <c r="E357" s="4" t="s">
        <v>2437</v>
      </c>
      <c r="F357" s="4" t="s">
        <v>2431</v>
      </c>
      <c r="G357" s="4" t="s">
        <v>2294</v>
      </c>
      <c r="H357" s="4" t="s">
        <v>2183</v>
      </c>
      <c r="I357" s="4" t="s">
        <v>2100</v>
      </c>
      <c r="J357" s="4" t="s">
        <v>2432</v>
      </c>
      <c r="K357">
        <v>14</v>
      </c>
      <c r="L357">
        <v>4.2671999999999999</v>
      </c>
      <c r="M357">
        <v>19.05</v>
      </c>
      <c r="N357">
        <v>184.15</v>
      </c>
      <c r="O357">
        <v>168</v>
      </c>
      <c r="P357">
        <v>0.75000000000000011</v>
      </c>
      <c r="Q357">
        <v>7.2500000000000009</v>
      </c>
      <c r="R357">
        <v>935.23</v>
      </c>
      <c r="S357">
        <v>1.4969582964E-2</v>
      </c>
      <c r="T357" s="4" t="s">
        <v>2433</v>
      </c>
    </row>
    <row r="358" spans="1:20" x14ac:dyDescent="0.2">
      <c r="A358" s="4" t="s">
        <v>2294</v>
      </c>
      <c r="B358" s="4" t="s">
        <v>2429</v>
      </c>
      <c r="C358" s="4" t="s">
        <v>2096</v>
      </c>
      <c r="D358" s="4" t="s">
        <v>2236</v>
      </c>
      <c r="E358" s="4" t="s">
        <v>2438</v>
      </c>
      <c r="F358" s="4" t="s">
        <v>2431</v>
      </c>
      <c r="G358" s="4" t="s">
        <v>2294</v>
      </c>
      <c r="H358" s="4" t="s">
        <v>2183</v>
      </c>
      <c r="I358" s="4" t="s">
        <v>2100</v>
      </c>
      <c r="J358" s="4" t="s">
        <v>2432</v>
      </c>
      <c r="K358">
        <v>15</v>
      </c>
      <c r="L358">
        <v>4.5720000000000001</v>
      </c>
      <c r="M358">
        <v>19.05</v>
      </c>
      <c r="N358">
        <v>184.15</v>
      </c>
      <c r="O358">
        <v>180</v>
      </c>
      <c r="P358">
        <v>0.75000000000000011</v>
      </c>
      <c r="Q358">
        <v>7.2500000000000009</v>
      </c>
      <c r="R358">
        <v>935.23</v>
      </c>
      <c r="S358">
        <v>1.603883889E-2</v>
      </c>
      <c r="T358" s="4" t="s">
        <v>2433</v>
      </c>
    </row>
    <row r="359" spans="1:20" x14ac:dyDescent="0.2">
      <c r="A359" s="4" t="s">
        <v>2294</v>
      </c>
      <c r="B359" s="4" t="s">
        <v>2429</v>
      </c>
      <c r="C359" s="4" t="s">
        <v>2096</v>
      </c>
      <c r="D359" s="4" t="s">
        <v>2236</v>
      </c>
      <c r="E359" s="4" t="s">
        <v>2439</v>
      </c>
      <c r="F359" s="4" t="s">
        <v>2431</v>
      </c>
      <c r="G359" s="4" t="s">
        <v>2294</v>
      </c>
      <c r="H359" s="4" t="s">
        <v>2183</v>
      </c>
      <c r="I359" s="4" t="s">
        <v>2100</v>
      </c>
      <c r="J359" s="4" t="s">
        <v>2432</v>
      </c>
      <c r="K359">
        <v>16</v>
      </c>
      <c r="L359">
        <v>4.8768000000000002</v>
      </c>
      <c r="M359">
        <v>19.05</v>
      </c>
      <c r="N359">
        <v>184.15</v>
      </c>
      <c r="O359">
        <v>192.00000000000003</v>
      </c>
      <c r="P359">
        <v>0.75000000000000011</v>
      </c>
      <c r="Q359">
        <v>7.2500000000000009</v>
      </c>
      <c r="R359">
        <v>935.23</v>
      </c>
      <c r="S359">
        <v>1.7108094816000001E-2</v>
      </c>
      <c r="T359" s="4" t="s">
        <v>2433</v>
      </c>
    </row>
    <row r="360" spans="1:20" x14ac:dyDescent="0.2">
      <c r="A360" s="4" t="s">
        <v>2294</v>
      </c>
      <c r="B360" s="4" t="s">
        <v>2429</v>
      </c>
      <c r="C360" s="4" t="s">
        <v>2096</v>
      </c>
      <c r="D360" s="4" t="s">
        <v>2236</v>
      </c>
      <c r="E360" s="4" t="s">
        <v>2440</v>
      </c>
      <c r="F360" s="4" t="s">
        <v>2431</v>
      </c>
      <c r="G360" s="4" t="s">
        <v>2294</v>
      </c>
      <c r="H360" s="4" t="s">
        <v>2183</v>
      </c>
      <c r="I360" s="4" t="s">
        <v>2100</v>
      </c>
      <c r="J360" s="4" t="s">
        <v>2432</v>
      </c>
      <c r="K360">
        <v>17</v>
      </c>
      <c r="L360">
        <v>5.1816000000000004</v>
      </c>
      <c r="M360">
        <v>19.05</v>
      </c>
      <c r="N360">
        <v>184.15</v>
      </c>
      <c r="O360">
        <v>204.00000000000003</v>
      </c>
      <c r="P360">
        <v>0.75000000000000011</v>
      </c>
      <c r="Q360">
        <v>7.2500000000000009</v>
      </c>
      <c r="R360">
        <v>935.23</v>
      </c>
      <c r="S360">
        <v>1.8177350742000005E-2</v>
      </c>
      <c r="T360" s="4" t="s">
        <v>2433</v>
      </c>
    </row>
    <row r="361" spans="1:20" x14ac:dyDescent="0.2">
      <c r="A361" s="4" t="s">
        <v>2294</v>
      </c>
      <c r="B361" s="4" t="s">
        <v>2429</v>
      </c>
      <c r="C361" s="4" t="s">
        <v>2096</v>
      </c>
      <c r="D361" s="4" t="s">
        <v>2236</v>
      </c>
      <c r="E361" s="4" t="s">
        <v>2441</v>
      </c>
      <c r="F361" s="4" t="s">
        <v>2431</v>
      </c>
      <c r="G361" s="4" t="s">
        <v>2294</v>
      </c>
      <c r="H361" s="4" t="s">
        <v>2183</v>
      </c>
      <c r="I361" s="4" t="s">
        <v>2100</v>
      </c>
      <c r="J361" s="4" t="s">
        <v>2432</v>
      </c>
      <c r="K361">
        <v>18</v>
      </c>
      <c r="L361">
        <v>5.4863999999999997</v>
      </c>
      <c r="M361">
        <v>19.05</v>
      </c>
      <c r="N361">
        <v>184.15</v>
      </c>
      <c r="O361">
        <v>216</v>
      </c>
      <c r="P361">
        <v>0.75000000000000011</v>
      </c>
      <c r="Q361">
        <v>7.2500000000000009</v>
      </c>
      <c r="R361">
        <v>935.23</v>
      </c>
      <c r="S361">
        <v>1.9246606668000002E-2</v>
      </c>
      <c r="T361" s="4" t="s">
        <v>2433</v>
      </c>
    </row>
    <row r="362" spans="1:20" x14ac:dyDescent="0.2">
      <c r="A362" s="4" t="s">
        <v>2294</v>
      </c>
      <c r="B362" s="4" t="s">
        <v>2429</v>
      </c>
      <c r="C362" s="4" t="s">
        <v>2096</v>
      </c>
      <c r="D362" s="4" t="s">
        <v>2236</v>
      </c>
      <c r="E362" s="4" t="s">
        <v>2442</v>
      </c>
      <c r="F362" s="4" t="s">
        <v>2431</v>
      </c>
      <c r="G362" s="4" t="s">
        <v>2294</v>
      </c>
      <c r="H362" s="4" t="s">
        <v>2183</v>
      </c>
      <c r="I362" s="4" t="s">
        <v>2100</v>
      </c>
      <c r="J362" s="4" t="s">
        <v>2432</v>
      </c>
      <c r="K362">
        <v>19</v>
      </c>
      <c r="L362">
        <v>5.7911999999999999</v>
      </c>
      <c r="M362">
        <v>19.05</v>
      </c>
      <c r="N362">
        <v>184.15</v>
      </c>
      <c r="O362">
        <v>228</v>
      </c>
      <c r="P362">
        <v>0.75000000000000011</v>
      </c>
      <c r="Q362">
        <v>7.2500000000000009</v>
      </c>
      <c r="R362">
        <v>935.23</v>
      </c>
      <c r="S362">
        <v>2.0315862594000002E-2</v>
      </c>
      <c r="T362" s="4" t="s">
        <v>2433</v>
      </c>
    </row>
    <row r="363" spans="1:20" x14ac:dyDescent="0.2">
      <c r="A363" s="4" t="s">
        <v>2294</v>
      </c>
      <c r="B363" s="4" t="s">
        <v>2429</v>
      </c>
      <c r="C363" s="4" t="s">
        <v>2096</v>
      </c>
      <c r="D363" s="4" t="s">
        <v>2236</v>
      </c>
      <c r="E363" s="4" t="s">
        <v>2443</v>
      </c>
      <c r="F363" s="4" t="s">
        <v>2431</v>
      </c>
      <c r="G363" s="4" t="s">
        <v>2294</v>
      </c>
      <c r="H363" s="4" t="s">
        <v>2183</v>
      </c>
      <c r="I363" s="4" t="s">
        <v>2100</v>
      </c>
      <c r="J363" s="4" t="s">
        <v>2432</v>
      </c>
      <c r="K363">
        <v>20</v>
      </c>
      <c r="L363">
        <v>6.0960000000000001</v>
      </c>
      <c r="M363">
        <v>19.05</v>
      </c>
      <c r="N363">
        <v>184.15</v>
      </c>
      <c r="O363">
        <v>240</v>
      </c>
      <c r="P363">
        <v>0.75000000000000011</v>
      </c>
      <c r="Q363">
        <v>7.2500000000000009</v>
      </c>
      <c r="R363">
        <v>935.23</v>
      </c>
      <c r="S363">
        <v>2.1385118520000003E-2</v>
      </c>
      <c r="T363" s="4" t="s">
        <v>2433</v>
      </c>
    </row>
    <row r="364" spans="1:20" x14ac:dyDescent="0.2">
      <c r="A364" s="4" t="s">
        <v>2294</v>
      </c>
      <c r="B364" s="4" t="s">
        <v>2429</v>
      </c>
      <c r="C364" s="4" t="s">
        <v>2096</v>
      </c>
      <c r="D364" s="4" t="s">
        <v>2236</v>
      </c>
      <c r="E364" s="4" t="s">
        <v>2444</v>
      </c>
      <c r="F364" s="4" t="s">
        <v>2431</v>
      </c>
      <c r="G364" s="4" t="s">
        <v>2294</v>
      </c>
      <c r="H364" s="4" t="s">
        <v>2183</v>
      </c>
      <c r="I364" s="4" t="s">
        <v>2100</v>
      </c>
      <c r="J364" s="4" t="s">
        <v>2432</v>
      </c>
      <c r="K364">
        <v>21</v>
      </c>
      <c r="L364">
        <v>6.4008000000000003</v>
      </c>
      <c r="M364">
        <v>19.05</v>
      </c>
      <c r="N364">
        <v>184.15</v>
      </c>
      <c r="O364">
        <v>252.00000000000003</v>
      </c>
      <c r="P364">
        <v>0.75000000000000011</v>
      </c>
      <c r="Q364">
        <v>7.2500000000000009</v>
      </c>
      <c r="R364">
        <v>935.23</v>
      </c>
      <c r="S364">
        <v>2.2454374446000003E-2</v>
      </c>
      <c r="T364" s="4" t="s">
        <v>2433</v>
      </c>
    </row>
    <row r="365" spans="1:20" x14ac:dyDescent="0.2">
      <c r="A365" s="4" t="s">
        <v>2294</v>
      </c>
      <c r="B365" s="4" t="s">
        <v>2429</v>
      </c>
      <c r="C365" s="4" t="s">
        <v>2096</v>
      </c>
      <c r="D365" s="4" t="s">
        <v>2236</v>
      </c>
      <c r="E365" s="4" t="s">
        <v>2445</v>
      </c>
      <c r="F365" s="4" t="s">
        <v>2431</v>
      </c>
      <c r="G365" s="4" t="s">
        <v>2294</v>
      </c>
      <c r="H365" s="4" t="s">
        <v>2183</v>
      </c>
      <c r="I365" s="4" t="s">
        <v>2100</v>
      </c>
      <c r="J365" s="4" t="s">
        <v>2432</v>
      </c>
      <c r="K365">
        <v>22</v>
      </c>
      <c r="L365">
        <v>6.7055999999999996</v>
      </c>
      <c r="M365">
        <v>19.05</v>
      </c>
      <c r="N365">
        <v>184.15</v>
      </c>
      <c r="O365">
        <v>264</v>
      </c>
      <c r="P365">
        <v>0.75000000000000011</v>
      </c>
      <c r="Q365">
        <v>7.2500000000000009</v>
      </c>
      <c r="R365">
        <v>935.23</v>
      </c>
      <c r="S365">
        <v>2.3523630372E-2</v>
      </c>
      <c r="T365" s="4" t="s">
        <v>2433</v>
      </c>
    </row>
    <row r="366" spans="1:20" x14ac:dyDescent="0.2">
      <c r="A366" s="4" t="s">
        <v>2294</v>
      </c>
      <c r="B366" s="4" t="s">
        <v>2429</v>
      </c>
      <c r="C366" s="4" t="s">
        <v>2096</v>
      </c>
      <c r="D366" s="4" t="s">
        <v>2236</v>
      </c>
      <c r="E366" s="4" t="s">
        <v>2446</v>
      </c>
      <c r="F366" s="4" t="s">
        <v>2431</v>
      </c>
      <c r="G366" s="4" t="s">
        <v>2294</v>
      </c>
      <c r="H366" s="4" t="s">
        <v>2183</v>
      </c>
      <c r="I366" s="4" t="s">
        <v>2100</v>
      </c>
      <c r="J366" s="4" t="s">
        <v>2432</v>
      </c>
      <c r="K366">
        <v>23</v>
      </c>
      <c r="L366">
        <v>7.0103999999999997</v>
      </c>
      <c r="M366">
        <v>19.05</v>
      </c>
      <c r="N366">
        <v>184.15</v>
      </c>
      <c r="O366">
        <v>276</v>
      </c>
      <c r="P366">
        <v>0.75000000000000011</v>
      </c>
      <c r="Q366">
        <v>7.2500000000000009</v>
      </c>
      <c r="R366">
        <v>935.23</v>
      </c>
      <c r="S366">
        <v>2.4592886298000004E-2</v>
      </c>
      <c r="T366" s="4" t="s">
        <v>2433</v>
      </c>
    </row>
    <row r="367" spans="1:20" x14ac:dyDescent="0.2">
      <c r="A367" s="4" t="s">
        <v>2294</v>
      </c>
      <c r="B367" s="4" t="s">
        <v>2429</v>
      </c>
      <c r="C367" s="4" t="s">
        <v>2096</v>
      </c>
      <c r="D367" s="4" t="s">
        <v>2236</v>
      </c>
      <c r="E367" s="4" t="s">
        <v>2447</v>
      </c>
      <c r="F367" s="4" t="s">
        <v>2431</v>
      </c>
      <c r="G367" s="4" t="s">
        <v>2294</v>
      </c>
      <c r="H367" s="4" t="s">
        <v>2183</v>
      </c>
      <c r="I367" s="4" t="s">
        <v>2100</v>
      </c>
      <c r="J367" s="4" t="s">
        <v>2432</v>
      </c>
      <c r="K367">
        <v>24</v>
      </c>
      <c r="L367">
        <v>7.3152000000000008</v>
      </c>
      <c r="M367">
        <v>19.05</v>
      </c>
      <c r="N367">
        <v>184.15</v>
      </c>
      <c r="O367">
        <v>288.00000000000006</v>
      </c>
      <c r="P367">
        <v>0.75000000000000011</v>
      </c>
      <c r="Q367">
        <v>7.2500000000000009</v>
      </c>
      <c r="R367">
        <v>935.23</v>
      </c>
      <c r="S367">
        <v>2.5662142224000005E-2</v>
      </c>
      <c r="T367" s="4" t="s">
        <v>2433</v>
      </c>
    </row>
    <row r="368" spans="1:20" x14ac:dyDescent="0.2">
      <c r="A368" s="4" t="s">
        <v>2294</v>
      </c>
      <c r="B368" s="4" t="s">
        <v>2429</v>
      </c>
      <c r="C368" s="4" t="s">
        <v>2286</v>
      </c>
      <c r="D368" s="4" t="s">
        <v>2236</v>
      </c>
      <c r="E368" s="4" t="s">
        <v>2448</v>
      </c>
      <c r="F368" s="4" t="s">
        <v>2431</v>
      </c>
      <c r="G368" s="4" t="s">
        <v>2294</v>
      </c>
      <c r="H368" s="4" t="s">
        <v>2183</v>
      </c>
      <c r="I368" s="4" t="s">
        <v>2100</v>
      </c>
      <c r="J368" s="4" t="s">
        <v>2432</v>
      </c>
      <c r="K368">
        <v>3</v>
      </c>
      <c r="L368">
        <v>0.91439999999999999</v>
      </c>
      <c r="M368">
        <v>19.05</v>
      </c>
      <c r="N368">
        <v>184.15</v>
      </c>
      <c r="O368">
        <v>36</v>
      </c>
      <c r="P368">
        <v>0.75000000000000011</v>
      </c>
      <c r="Q368">
        <v>7.2500000000000009</v>
      </c>
      <c r="R368">
        <v>935.23</v>
      </c>
      <c r="S368">
        <v>3.2077677780000002E-3</v>
      </c>
      <c r="T368" s="4" t="s">
        <v>2449</v>
      </c>
    </row>
    <row r="369" spans="1:20" x14ac:dyDescent="0.2">
      <c r="A369" s="4" t="s">
        <v>2294</v>
      </c>
      <c r="B369" s="4" t="s">
        <v>2429</v>
      </c>
      <c r="C369" s="4" t="s">
        <v>2286</v>
      </c>
      <c r="D369" s="4" t="s">
        <v>2236</v>
      </c>
      <c r="E369" s="4" t="s">
        <v>2450</v>
      </c>
      <c r="F369" s="4" t="s">
        <v>2431</v>
      </c>
      <c r="G369" s="4" t="s">
        <v>2294</v>
      </c>
      <c r="H369" s="4" t="s">
        <v>2183</v>
      </c>
      <c r="I369" s="4" t="s">
        <v>2100</v>
      </c>
      <c r="J369" s="4" t="s">
        <v>2432</v>
      </c>
      <c r="K369">
        <v>4</v>
      </c>
      <c r="L369">
        <v>1.2192000000000001</v>
      </c>
      <c r="M369">
        <v>19.05</v>
      </c>
      <c r="N369">
        <v>184.15</v>
      </c>
      <c r="O369">
        <v>48.000000000000007</v>
      </c>
      <c r="P369">
        <v>0.75000000000000011</v>
      </c>
      <c r="Q369">
        <v>7.2500000000000009</v>
      </c>
      <c r="R369">
        <v>935.23</v>
      </c>
      <c r="S369">
        <v>4.2770237040000002E-3</v>
      </c>
      <c r="T369" s="4" t="s">
        <v>2449</v>
      </c>
    </row>
    <row r="370" spans="1:20" x14ac:dyDescent="0.2">
      <c r="A370" s="4" t="s">
        <v>2294</v>
      </c>
      <c r="B370" s="4" t="s">
        <v>2429</v>
      </c>
      <c r="C370" s="4" t="s">
        <v>2286</v>
      </c>
      <c r="D370" s="4" t="s">
        <v>2236</v>
      </c>
      <c r="E370" s="4" t="s">
        <v>2451</v>
      </c>
      <c r="F370" s="4" t="s">
        <v>2431</v>
      </c>
      <c r="G370" s="4" t="s">
        <v>2294</v>
      </c>
      <c r="H370" s="4" t="s">
        <v>2183</v>
      </c>
      <c r="I370" s="4" t="s">
        <v>2100</v>
      </c>
      <c r="J370" s="4" t="s">
        <v>2432</v>
      </c>
      <c r="K370">
        <v>5</v>
      </c>
      <c r="L370">
        <v>1.524</v>
      </c>
      <c r="M370">
        <v>19.05</v>
      </c>
      <c r="N370">
        <v>184.15</v>
      </c>
      <c r="O370">
        <v>60</v>
      </c>
      <c r="P370">
        <v>0.75000000000000011</v>
      </c>
      <c r="Q370">
        <v>7.2500000000000009</v>
      </c>
      <c r="R370">
        <v>935.23</v>
      </c>
      <c r="S370">
        <v>5.3462796300000007E-3</v>
      </c>
      <c r="T370" s="4" t="s">
        <v>2449</v>
      </c>
    </row>
    <row r="371" spans="1:20" x14ac:dyDescent="0.2">
      <c r="A371" s="4" t="s">
        <v>2294</v>
      </c>
      <c r="B371" s="4" t="s">
        <v>2429</v>
      </c>
      <c r="C371" s="4" t="s">
        <v>2286</v>
      </c>
      <c r="D371" s="4" t="s">
        <v>2236</v>
      </c>
      <c r="E371" s="4" t="s">
        <v>2452</v>
      </c>
      <c r="F371" s="4" t="s">
        <v>2431</v>
      </c>
      <c r="G371" s="4" t="s">
        <v>2294</v>
      </c>
      <c r="H371" s="4" t="s">
        <v>2183</v>
      </c>
      <c r="I371" s="4" t="s">
        <v>2100</v>
      </c>
      <c r="J371" s="4" t="s">
        <v>2432</v>
      </c>
      <c r="K371">
        <v>6</v>
      </c>
      <c r="L371">
        <v>1.8288</v>
      </c>
      <c r="M371">
        <v>19.05</v>
      </c>
      <c r="N371">
        <v>184.15</v>
      </c>
      <c r="O371">
        <v>72</v>
      </c>
      <c r="P371">
        <v>0.75000000000000011</v>
      </c>
      <c r="Q371">
        <v>7.2500000000000009</v>
      </c>
      <c r="R371">
        <v>935.23</v>
      </c>
      <c r="S371">
        <v>6.4155355560000004E-3</v>
      </c>
      <c r="T371" s="4" t="s">
        <v>2449</v>
      </c>
    </row>
    <row r="372" spans="1:20" x14ac:dyDescent="0.2">
      <c r="A372" s="4" t="s">
        <v>2294</v>
      </c>
      <c r="B372" s="4" t="s">
        <v>2429</v>
      </c>
      <c r="C372" s="4" t="s">
        <v>2286</v>
      </c>
      <c r="D372" s="4" t="s">
        <v>2236</v>
      </c>
      <c r="E372" s="4" t="s">
        <v>2453</v>
      </c>
      <c r="F372" s="4" t="s">
        <v>2431</v>
      </c>
      <c r="G372" s="4" t="s">
        <v>2294</v>
      </c>
      <c r="H372" s="4" t="s">
        <v>2183</v>
      </c>
      <c r="I372" s="4" t="s">
        <v>2100</v>
      </c>
      <c r="J372" s="4" t="s">
        <v>2432</v>
      </c>
      <c r="K372">
        <v>7</v>
      </c>
      <c r="L372">
        <v>2.1335999999999999</v>
      </c>
      <c r="M372">
        <v>19.05</v>
      </c>
      <c r="N372">
        <v>184.15</v>
      </c>
      <c r="O372">
        <v>84</v>
      </c>
      <c r="P372">
        <v>0.75000000000000011</v>
      </c>
      <c r="Q372">
        <v>7.2500000000000009</v>
      </c>
      <c r="R372">
        <v>935.23</v>
      </c>
      <c r="S372">
        <v>7.484791482E-3</v>
      </c>
      <c r="T372" s="4" t="s">
        <v>2449</v>
      </c>
    </row>
    <row r="373" spans="1:20" x14ac:dyDescent="0.2">
      <c r="A373" s="4" t="s">
        <v>2294</v>
      </c>
      <c r="B373" s="4" t="s">
        <v>2429</v>
      </c>
      <c r="C373" s="4" t="s">
        <v>2096</v>
      </c>
      <c r="D373" s="4" t="s">
        <v>2236</v>
      </c>
      <c r="E373" s="4" t="s">
        <v>2454</v>
      </c>
      <c r="F373" s="4" t="s">
        <v>2431</v>
      </c>
      <c r="G373" s="4" t="s">
        <v>2294</v>
      </c>
      <c r="H373" s="4" t="s">
        <v>2183</v>
      </c>
      <c r="I373" s="4" t="s">
        <v>2100</v>
      </c>
      <c r="J373" s="4" t="s">
        <v>2432</v>
      </c>
      <c r="K373">
        <v>8</v>
      </c>
      <c r="L373">
        <v>2.4384000000000001</v>
      </c>
      <c r="M373">
        <v>19.05</v>
      </c>
      <c r="N373">
        <v>184.15</v>
      </c>
      <c r="O373">
        <v>96.000000000000014</v>
      </c>
      <c r="P373">
        <v>0.75000000000000011</v>
      </c>
      <c r="Q373">
        <v>7.2500000000000009</v>
      </c>
      <c r="R373">
        <v>935.23</v>
      </c>
      <c r="S373">
        <v>8.5540474080000005E-3</v>
      </c>
      <c r="T373" s="4" t="s">
        <v>2433</v>
      </c>
    </row>
    <row r="374" spans="1:20" x14ac:dyDescent="0.2">
      <c r="A374" s="4" t="s">
        <v>2294</v>
      </c>
      <c r="B374" s="4" t="s">
        <v>2429</v>
      </c>
      <c r="C374" s="4" t="s">
        <v>2096</v>
      </c>
      <c r="D374" s="4" t="s">
        <v>2236</v>
      </c>
      <c r="E374" s="4" t="s">
        <v>2455</v>
      </c>
      <c r="F374" s="4" t="s">
        <v>2431</v>
      </c>
      <c r="G374" s="4" t="s">
        <v>2294</v>
      </c>
      <c r="H374" s="4" t="s">
        <v>2183</v>
      </c>
      <c r="I374" s="4" t="s">
        <v>2100</v>
      </c>
      <c r="J374" s="4" t="s">
        <v>2432</v>
      </c>
      <c r="K374">
        <v>9</v>
      </c>
      <c r="L374">
        <v>2.7431999999999999</v>
      </c>
      <c r="M374">
        <v>19.05</v>
      </c>
      <c r="N374">
        <v>184.15</v>
      </c>
      <c r="O374">
        <v>108</v>
      </c>
      <c r="P374">
        <v>0.75000000000000011</v>
      </c>
      <c r="Q374">
        <v>7.2500000000000009</v>
      </c>
      <c r="R374">
        <v>935.23</v>
      </c>
      <c r="S374">
        <v>9.623303334000001E-3</v>
      </c>
      <c r="T374" s="4" t="s">
        <v>2433</v>
      </c>
    </row>
    <row r="375" spans="1:20" x14ac:dyDescent="0.2">
      <c r="A375" s="4" t="s">
        <v>2294</v>
      </c>
      <c r="B375" s="4" t="s">
        <v>2456</v>
      </c>
      <c r="C375" s="4" t="s">
        <v>2096</v>
      </c>
      <c r="D375" s="4" t="s">
        <v>2236</v>
      </c>
      <c r="E375" s="4" t="s">
        <v>366</v>
      </c>
      <c r="F375" s="4" t="s">
        <v>2457</v>
      </c>
      <c r="G375" s="4" t="s">
        <v>2294</v>
      </c>
      <c r="H375" s="4" t="s">
        <v>2183</v>
      </c>
      <c r="I375" s="4" t="s">
        <v>2100</v>
      </c>
      <c r="J375" s="4" t="s">
        <v>2458</v>
      </c>
      <c r="K375">
        <v>10</v>
      </c>
      <c r="L375">
        <v>3.048</v>
      </c>
      <c r="M375">
        <v>21</v>
      </c>
      <c r="N375">
        <v>145</v>
      </c>
      <c r="O375">
        <v>120</v>
      </c>
      <c r="P375">
        <v>0.82677165354330717</v>
      </c>
      <c r="Q375">
        <v>5.7086614173228352</v>
      </c>
      <c r="R375">
        <v>1077.452</v>
      </c>
      <c r="S375">
        <v>9.2811600000000001E-3</v>
      </c>
      <c r="T375" s="4" t="s">
        <v>2459</v>
      </c>
    </row>
    <row r="376" spans="1:20" x14ac:dyDescent="0.2">
      <c r="A376" s="4" t="s">
        <v>2294</v>
      </c>
      <c r="B376" s="4" t="s">
        <v>2456</v>
      </c>
      <c r="C376" s="4" t="s">
        <v>2096</v>
      </c>
      <c r="D376" s="4" t="s">
        <v>2236</v>
      </c>
      <c r="E376" s="4" t="s">
        <v>368</v>
      </c>
      <c r="F376" s="4" t="s">
        <v>2457</v>
      </c>
      <c r="G376" s="4" t="s">
        <v>2294</v>
      </c>
      <c r="H376" s="4" t="s">
        <v>2183</v>
      </c>
      <c r="I376" s="4" t="s">
        <v>2100</v>
      </c>
      <c r="J376" s="4" t="s">
        <v>2458</v>
      </c>
      <c r="K376">
        <v>11</v>
      </c>
      <c r="L376">
        <v>3.3527999999999998</v>
      </c>
      <c r="M376">
        <v>21</v>
      </c>
      <c r="N376">
        <v>145</v>
      </c>
      <c r="O376">
        <v>132</v>
      </c>
      <c r="P376">
        <v>0.82677165354330717</v>
      </c>
      <c r="Q376">
        <v>5.7086614173228352</v>
      </c>
      <c r="R376">
        <v>1077.452</v>
      </c>
      <c r="S376">
        <v>1.0209276E-2</v>
      </c>
      <c r="T376" s="4" t="s">
        <v>2459</v>
      </c>
    </row>
    <row r="377" spans="1:20" x14ac:dyDescent="0.2">
      <c r="A377" s="4" t="s">
        <v>2294</v>
      </c>
      <c r="B377" s="4" t="s">
        <v>2456</v>
      </c>
      <c r="C377" s="4" t="s">
        <v>2096</v>
      </c>
      <c r="D377" s="4" t="s">
        <v>2236</v>
      </c>
      <c r="E377" s="4" t="s">
        <v>370</v>
      </c>
      <c r="F377" s="4" t="s">
        <v>2457</v>
      </c>
      <c r="G377" s="4" t="s">
        <v>2294</v>
      </c>
      <c r="H377" s="4" t="s">
        <v>2183</v>
      </c>
      <c r="I377" s="4" t="s">
        <v>2100</v>
      </c>
      <c r="J377" s="4" t="s">
        <v>2458</v>
      </c>
      <c r="K377">
        <v>12</v>
      </c>
      <c r="L377">
        <v>3.6576</v>
      </c>
      <c r="M377">
        <v>21</v>
      </c>
      <c r="N377">
        <v>145</v>
      </c>
      <c r="O377">
        <v>144</v>
      </c>
      <c r="P377">
        <v>0.82677165354330717</v>
      </c>
      <c r="Q377">
        <v>5.7086614173228352</v>
      </c>
      <c r="R377">
        <v>1077.452</v>
      </c>
      <c r="S377">
        <v>1.1137391999999999E-2</v>
      </c>
      <c r="T377" s="4" t="s">
        <v>2459</v>
      </c>
    </row>
    <row r="378" spans="1:20" x14ac:dyDescent="0.2">
      <c r="A378" s="4" t="s">
        <v>2294</v>
      </c>
      <c r="B378" s="4" t="s">
        <v>2456</v>
      </c>
      <c r="C378" s="4" t="s">
        <v>2096</v>
      </c>
      <c r="D378" s="4" t="s">
        <v>2236</v>
      </c>
      <c r="E378" s="4" t="s">
        <v>372</v>
      </c>
      <c r="F378" s="4" t="s">
        <v>2457</v>
      </c>
      <c r="G378" s="4" t="s">
        <v>2294</v>
      </c>
      <c r="H378" s="4" t="s">
        <v>2183</v>
      </c>
      <c r="I378" s="4" t="s">
        <v>2100</v>
      </c>
      <c r="J378" s="4" t="s">
        <v>2458</v>
      </c>
      <c r="K378">
        <v>13</v>
      </c>
      <c r="L378">
        <v>3.9624000000000001</v>
      </c>
      <c r="M378">
        <v>21</v>
      </c>
      <c r="N378">
        <v>145</v>
      </c>
      <c r="O378">
        <v>156</v>
      </c>
      <c r="P378">
        <v>0.82677165354330717</v>
      </c>
      <c r="Q378">
        <v>5.7086614173228352</v>
      </c>
      <c r="R378">
        <v>1077.452</v>
      </c>
      <c r="S378">
        <v>1.2065508000000001E-2</v>
      </c>
      <c r="T378" s="4" t="s">
        <v>2459</v>
      </c>
    </row>
    <row r="379" spans="1:20" x14ac:dyDescent="0.2">
      <c r="A379" s="4" t="s">
        <v>2294</v>
      </c>
      <c r="B379" s="4" t="s">
        <v>2456</v>
      </c>
      <c r="C379" s="4" t="s">
        <v>2096</v>
      </c>
      <c r="D379" s="4" t="s">
        <v>2236</v>
      </c>
      <c r="E379" s="4" t="s">
        <v>374</v>
      </c>
      <c r="F379" s="4" t="s">
        <v>2457</v>
      </c>
      <c r="G379" s="4" t="s">
        <v>2294</v>
      </c>
      <c r="H379" s="4" t="s">
        <v>2183</v>
      </c>
      <c r="I379" s="4" t="s">
        <v>2100</v>
      </c>
      <c r="J379" s="4" t="s">
        <v>2458</v>
      </c>
      <c r="K379">
        <v>14</v>
      </c>
      <c r="L379">
        <v>4.2671999999999999</v>
      </c>
      <c r="M379">
        <v>21</v>
      </c>
      <c r="N379">
        <v>145</v>
      </c>
      <c r="O379">
        <v>168</v>
      </c>
      <c r="P379">
        <v>0.82677165354330717</v>
      </c>
      <c r="Q379">
        <v>5.7086614173228352</v>
      </c>
      <c r="R379">
        <v>1077.452</v>
      </c>
      <c r="S379">
        <v>1.2993624E-2</v>
      </c>
      <c r="T379" s="4" t="s">
        <v>2459</v>
      </c>
    </row>
    <row r="380" spans="1:20" x14ac:dyDescent="0.2">
      <c r="A380" s="4" t="s">
        <v>2294</v>
      </c>
      <c r="B380" s="4" t="s">
        <v>2456</v>
      </c>
      <c r="C380" s="4" t="s">
        <v>2096</v>
      </c>
      <c r="D380" s="4" t="s">
        <v>2236</v>
      </c>
      <c r="E380" s="4" t="s">
        <v>376</v>
      </c>
      <c r="F380" s="4" t="s">
        <v>2457</v>
      </c>
      <c r="G380" s="4" t="s">
        <v>2294</v>
      </c>
      <c r="H380" s="4" t="s">
        <v>2183</v>
      </c>
      <c r="I380" s="4" t="s">
        <v>2100</v>
      </c>
      <c r="J380" s="4" t="s">
        <v>2458</v>
      </c>
      <c r="K380">
        <v>15</v>
      </c>
      <c r="L380">
        <v>4.5720000000000001</v>
      </c>
      <c r="M380">
        <v>21</v>
      </c>
      <c r="N380">
        <v>145</v>
      </c>
      <c r="O380">
        <v>180</v>
      </c>
      <c r="P380">
        <v>0.82677165354330717</v>
      </c>
      <c r="Q380">
        <v>5.7086614173228352</v>
      </c>
      <c r="R380">
        <v>1077.452</v>
      </c>
      <c r="S380">
        <v>1.392174E-2</v>
      </c>
      <c r="T380" s="4" t="s">
        <v>2459</v>
      </c>
    </row>
    <row r="381" spans="1:20" x14ac:dyDescent="0.2">
      <c r="A381" s="4" t="s">
        <v>2294</v>
      </c>
      <c r="B381" s="4" t="s">
        <v>2456</v>
      </c>
      <c r="C381" s="4" t="s">
        <v>2096</v>
      </c>
      <c r="D381" s="4" t="s">
        <v>2236</v>
      </c>
      <c r="E381" s="4" t="s">
        <v>378</v>
      </c>
      <c r="F381" s="4" t="s">
        <v>2457</v>
      </c>
      <c r="G381" s="4" t="s">
        <v>2294</v>
      </c>
      <c r="H381" s="4" t="s">
        <v>2183</v>
      </c>
      <c r="I381" s="4" t="s">
        <v>2100</v>
      </c>
      <c r="J381" s="4" t="s">
        <v>2458</v>
      </c>
      <c r="K381">
        <v>16</v>
      </c>
      <c r="L381">
        <v>4.8768000000000002</v>
      </c>
      <c r="M381">
        <v>21</v>
      </c>
      <c r="N381">
        <v>145</v>
      </c>
      <c r="O381">
        <v>192.00000000000003</v>
      </c>
      <c r="P381">
        <v>0.82677165354330717</v>
      </c>
      <c r="Q381">
        <v>5.7086614173228352</v>
      </c>
      <c r="R381">
        <v>1077.452</v>
      </c>
      <c r="S381">
        <v>1.4849856E-2</v>
      </c>
      <c r="T381" s="4" t="s">
        <v>2459</v>
      </c>
    </row>
    <row r="382" spans="1:20" x14ac:dyDescent="0.2">
      <c r="A382" s="4" t="s">
        <v>2294</v>
      </c>
      <c r="B382" s="4" t="s">
        <v>2456</v>
      </c>
      <c r="C382" s="4" t="s">
        <v>2096</v>
      </c>
      <c r="D382" s="4" t="s">
        <v>2236</v>
      </c>
      <c r="E382" s="4" t="s">
        <v>380</v>
      </c>
      <c r="F382" s="4" t="s">
        <v>2457</v>
      </c>
      <c r="G382" s="4" t="s">
        <v>2294</v>
      </c>
      <c r="H382" s="4" t="s">
        <v>2183</v>
      </c>
      <c r="I382" s="4" t="s">
        <v>2100</v>
      </c>
      <c r="J382" s="4" t="s">
        <v>2458</v>
      </c>
      <c r="K382">
        <v>17</v>
      </c>
      <c r="L382">
        <v>5.1816000000000004</v>
      </c>
      <c r="M382">
        <v>21</v>
      </c>
      <c r="N382">
        <v>145</v>
      </c>
      <c r="O382">
        <v>204.00000000000003</v>
      </c>
      <c r="P382">
        <v>0.82677165354330717</v>
      </c>
      <c r="Q382">
        <v>5.7086614173228352</v>
      </c>
      <c r="R382">
        <v>1077.452</v>
      </c>
      <c r="S382">
        <v>1.5777972000000001E-2</v>
      </c>
      <c r="T382" s="4" t="s">
        <v>2459</v>
      </c>
    </row>
    <row r="383" spans="1:20" x14ac:dyDescent="0.2">
      <c r="A383" s="4" t="s">
        <v>2294</v>
      </c>
      <c r="B383" s="4" t="s">
        <v>2456</v>
      </c>
      <c r="C383" s="4" t="s">
        <v>2096</v>
      </c>
      <c r="D383" s="4" t="s">
        <v>2236</v>
      </c>
      <c r="E383" s="4" t="s">
        <v>382</v>
      </c>
      <c r="F383" s="4" t="s">
        <v>2457</v>
      </c>
      <c r="G383" s="4" t="s">
        <v>2294</v>
      </c>
      <c r="H383" s="4" t="s">
        <v>2183</v>
      </c>
      <c r="I383" s="4" t="s">
        <v>2100</v>
      </c>
      <c r="J383" s="4" t="s">
        <v>2458</v>
      </c>
      <c r="K383">
        <v>18</v>
      </c>
      <c r="L383">
        <v>5.4863999999999997</v>
      </c>
      <c r="M383">
        <v>21</v>
      </c>
      <c r="N383">
        <v>145</v>
      </c>
      <c r="O383">
        <v>216</v>
      </c>
      <c r="P383">
        <v>0.82677165354330717</v>
      </c>
      <c r="Q383">
        <v>5.7086614173228352</v>
      </c>
      <c r="R383">
        <v>1077.452</v>
      </c>
      <c r="S383">
        <v>1.6706087999999997E-2</v>
      </c>
      <c r="T383" s="4" t="s">
        <v>2459</v>
      </c>
    </row>
    <row r="384" spans="1:20" x14ac:dyDescent="0.2">
      <c r="A384" s="4" t="s">
        <v>2294</v>
      </c>
      <c r="B384" s="4" t="s">
        <v>2456</v>
      </c>
      <c r="C384" s="4" t="s">
        <v>2096</v>
      </c>
      <c r="D384" s="4" t="s">
        <v>2236</v>
      </c>
      <c r="E384" s="4" t="s">
        <v>384</v>
      </c>
      <c r="F384" s="4" t="s">
        <v>2457</v>
      </c>
      <c r="G384" s="4" t="s">
        <v>2294</v>
      </c>
      <c r="H384" s="4" t="s">
        <v>2183</v>
      </c>
      <c r="I384" s="4" t="s">
        <v>2100</v>
      </c>
      <c r="J384" s="4" t="s">
        <v>2458</v>
      </c>
      <c r="K384">
        <v>19</v>
      </c>
      <c r="L384">
        <v>5.7911999999999999</v>
      </c>
      <c r="M384">
        <v>21</v>
      </c>
      <c r="N384">
        <v>145</v>
      </c>
      <c r="O384">
        <v>228</v>
      </c>
      <c r="P384">
        <v>0.82677165354330717</v>
      </c>
      <c r="Q384">
        <v>5.7086614173228352</v>
      </c>
      <c r="R384">
        <v>1077.452</v>
      </c>
      <c r="S384">
        <v>1.7634204000000001E-2</v>
      </c>
      <c r="T384" s="4" t="s">
        <v>2459</v>
      </c>
    </row>
    <row r="385" spans="1:20" x14ac:dyDescent="0.2">
      <c r="A385" s="4" t="s">
        <v>2294</v>
      </c>
      <c r="B385" s="4" t="s">
        <v>2456</v>
      </c>
      <c r="C385" s="4" t="s">
        <v>2096</v>
      </c>
      <c r="D385" s="4" t="s">
        <v>2236</v>
      </c>
      <c r="E385" s="4" t="s">
        <v>386</v>
      </c>
      <c r="F385" s="4" t="s">
        <v>2457</v>
      </c>
      <c r="G385" s="4" t="s">
        <v>2294</v>
      </c>
      <c r="H385" s="4" t="s">
        <v>2183</v>
      </c>
      <c r="I385" s="4" t="s">
        <v>2100</v>
      </c>
      <c r="J385" s="4" t="s">
        <v>2458</v>
      </c>
      <c r="K385">
        <v>20</v>
      </c>
      <c r="L385">
        <v>6.0960000000000001</v>
      </c>
      <c r="M385">
        <v>21</v>
      </c>
      <c r="N385">
        <v>145</v>
      </c>
      <c r="O385">
        <v>240</v>
      </c>
      <c r="P385">
        <v>0.82677165354330717</v>
      </c>
      <c r="Q385">
        <v>5.7086614173228352</v>
      </c>
      <c r="R385">
        <v>1077.452</v>
      </c>
      <c r="S385">
        <v>1.856232E-2</v>
      </c>
      <c r="T385" s="4" t="s">
        <v>2459</v>
      </c>
    </row>
    <row r="386" spans="1:20" x14ac:dyDescent="0.2">
      <c r="A386" s="4" t="s">
        <v>2294</v>
      </c>
      <c r="B386" s="4" t="s">
        <v>2456</v>
      </c>
      <c r="C386" s="4" t="s">
        <v>2286</v>
      </c>
      <c r="D386" s="4" t="s">
        <v>2236</v>
      </c>
      <c r="E386" s="4" t="s">
        <v>388</v>
      </c>
      <c r="F386" s="4" t="s">
        <v>2457</v>
      </c>
      <c r="G386" s="4" t="s">
        <v>2294</v>
      </c>
      <c r="H386" s="4" t="s">
        <v>2183</v>
      </c>
      <c r="I386" s="4" t="s">
        <v>2100</v>
      </c>
      <c r="J386" s="4" t="s">
        <v>2458</v>
      </c>
      <c r="K386">
        <v>6</v>
      </c>
      <c r="L386">
        <v>1.8288</v>
      </c>
      <c r="M386">
        <v>21</v>
      </c>
      <c r="N386">
        <v>145</v>
      </c>
      <c r="O386">
        <v>72</v>
      </c>
      <c r="P386">
        <v>0.82677165354330717</v>
      </c>
      <c r="Q386">
        <v>5.7086614173228352</v>
      </c>
      <c r="R386">
        <v>1077.452</v>
      </c>
      <c r="S386">
        <v>5.5686959999999997E-3</v>
      </c>
      <c r="T386" s="4" t="s">
        <v>2460</v>
      </c>
    </row>
    <row r="387" spans="1:20" x14ac:dyDescent="0.2">
      <c r="A387" s="4" t="s">
        <v>2294</v>
      </c>
      <c r="B387" s="4" t="s">
        <v>2456</v>
      </c>
      <c r="C387" s="4" t="s">
        <v>2286</v>
      </c>
      <c r="D387" s="4" t="s">
        <v>2236</v>
      </c>
      <c r="E387" s="4" t="s">
        <v>390</v>
      </c>
      <c r="F387" s="4" t="s">
        <v>2457</v>
      </c>
      <c r="G387" s="4" t="s">
        <v>2294</v>
      </c>
      <c r="H387" s="4" t="s">
        <v>2183</v>
      </c>
      <c r="I387" s="4" t="s">
        <v>2100</v>
      </c>
      <c r="J387" s="4" t="s">
        <v>2458</v>
      </c>
      <c r="K387">
        <v>7</v>
      </c>
      <c r="L387">
        <v>2.1335999999999999</v>
      </c>
      <c r="M387">
        <v>21</v>
      </c>
      <c r="N387">
        <v>145</v>
      </c>
      <c r="O387">
        <v>84</v>
      </c>
      <c r="P387">
        <v>0.82677165354330717</v>
      </c>
      <c r="Q387">
        <v>5.7086614173228352</v>
      </c>
      <c r="R387">
        <v>1077.452</v>
      </c>
      <c r="S387">
        <v>6.4968120000000002E-3</v>
      </c>
      <c r="T387" s="4" t="s">
        <v>2460</v>
      </c>
    </row>
    <row r="388" spans="1:20" x14ac:dyDescent="0.2">
      <c r="A388" s="4" t="s">
        <v>2294</v>
      </c>
      <c r="B388" s="4" t="s">
        <v>2456</v>
      </c>
      <c r="C388" s="4" t="s">
        <v>2096</v>
      </c>
      <c r="D388" s="4" t="s">
        <v>2236</v>
      </c>
      <c r="E388" s="4" t="s">
        <v>392</v>
      </c>
      <c r="F388" s="4" t="s">
        <v>2457</v>
      </c>
      <c r="G388" s="4" t="s">
        <v>2294</v>
      </c>
      <c r="H388" s="4" t="s">
        <v>2183</v>
      </c>
      <c r="I388" s="4" t="s">
        <v>2100</v>
      </c>
      <c r="J388" s="4" t="s">
        <v>2458</v>
      </c>
      <c r="K388">
        <v>8</v>
      </c>
      <c r="L388">
        <v>2.4384000000000001</v>
      </c>
      <c r="M388">
        <v>21</v>
      </c>
      <c r="N388">
        <v>145</v>
      </c>
      <c r="O388">
        <v>96.000000000000014</v>
      </c>
      <c r="P388">
        <v>0.82677165354330717</v>
      </c>
      <c r="Q388">
        <v>5.7086614173228352</v>
      </c>
      <c r="R388">
        <v>1077.452</v>
      </c>
      <c r="S388">
        <v>7.4249279999999999E-3</v>
      </c>
      <c r="T388" s="4" t="s">
        <v>2459</v>
      </c>
    </row>
    <row r="389" spans="1:20" x14ac:dyDescent="0.2">
      <c r="A389" s="4" t="s">
        <v>2294</v>
      </c>
      <c r="B389" s="4" t="s">
        <v>2456</v>
      </c>
      <c r="C389" s="4" t="s">
        <v>2096</v>
      </c>
      <c r="D389" s="4" t="s">
        <v>2236</v>
      </c>
      <c r="E389" s="4" t="s">
        <v>394</v>
      </c>
      <c r="F389" s="4" t="s">
        <v>2457</v>
      </c>
      <c r="G389" s="4" t="s">
        <v>2294</v>
      </c>
      <c r="H389" s="4" t="s">
        <v>2183</v>
      </c>
      <c r="I389" s="4" t="s">
        <v>2100</v>
      </c>
      <c r="J389" s="4" t="s">
        <v>2458</v>
      </c>
      <c r="K389">
        <v>9</v>
      </c>
      <c r="L389">
        <v>2.7431999999999999</v>
      </c>
      <c r="M389">
        <v>21</v>
      </c>
      <c r="N389">
        <v>145</v>
      </c>
      <c r="O389">
        <v>108</v>
      </c>
      <c r="P389">
        <v>0.82677165354330717</v>
      </c>
      <c r="Q389">
        <v>5.7086614173228352</v>
      </c>
      <c r="R389">
        <v>1077.452</v>
      </c>
      <c r="S389">
        <v>8.3530439999999987E-3</v>
      </c>
      <c r="T389" s="4" t="s">
        <v>2459</v>
      </c>
    </row>
    <row r="390" spans="1:20" x14ac:dyDescent="0.2">
      <c r="A390" s="4" t="s">
        <v>2294</v>
      </c>
      <c r="B390" s="4" t="s">
        <v>2461</v>
      </c>
      <c r="C390" s="4" t="s">
        <v>2096</v>
      </c>
      <c r="D390" s="4" t="s">
        <v>2236</v>
      </c>
      <c r="E390" s="4" t="s">
        <v>2462</v>
      </c>
      <c r="F390" s="4" t="s">
        <v>2463</v>
      </c>
      <c r="G390" s="4" t="s">
        <v>2294</v>
      </c>
      <c r="H390" s="4" t="s">
        <v>2183</v>
      </c>
      <c r="I390" s="4" t="s">
        <v>2100</v>
      </c>
      <c r="J390" s="4" t="s">
        <v>2464</v>
      </c>
      <c r="K390">
        <v>10</v>
      </c>
      <c r="L390">
        <v>3.048</v>
      </c>
      <c r="M390">
        <v>38.1</v>
      </c>
      <c r="N390">
        <v>234.95</v>
      </c>
      <c r="O390">
        <v>120</v>
      </c>
      <c r="P390">
        <v>1.5000000000000002</v>
      </c>
      <c r="Q390">
        <v>9.25</v>
      </c>
      <c r="R390">
        <v>366.50900000000001</v>
      </c>
      <c r="S390">
        <v>2.7284461560000004E-2</v>
      </c>
      <c r="T390" s="4" t="s">
        <v>2465</v>
      </c>
    </row>
    <row r="391" spans="1:20" x14ac:dyDescent="0.2">
      <c r="A391" s="4" t="s">
        <v>2294</v>
      </c>
      <c r="B391" s="4" t="s">
        <v>2461</v>
      </c>
      <c r="C391" s="4" t="s">
        <v>2096</v>
      </c>
      <c r="D391" s="4" t="s">
        <v>2236</v>
      </c>
      <c r="E391" s="4" t="s">
        <v>2466</v>
      </c>
      <c r="F391" s="4" t="s">
        <v>2463</v>
      </c>
      <c r="G391" s="4" t="s">
        <v>2294</v>
      </c>
      <c r="H391" s="4" t="s">
        <v>2183</v>
      </c>
      <c r="I391" s="4" t="s">
        <v>2100</v>
      </c>
      <c r="J391" s="4" t="s">
        <v>2464</v>
      </c>
      <c r="K391">
        <v>11</v>
      </c>
      <c r="L391">
        <v>3.3527999999999998</v>
      </c>
      <c r="M391">
        <v>38.1</v>
      </c>
      <c r="N391">
        <v>234.95</v>
      </c>
      <c r="O391">
        <v>132</v>
      </c>
      <c r="P391">
        <v>1.5000000000000002</v>
      </c>
      <c r="Q391">
        <v>9.25</v>
      </c>
      <c r="R391">
        <v>366.50900000000001</v>
      </c>
      <c r="S391">
        <v>3.0012907715999997E-2</v>
      </c>
      <c r="T391" s="4" t="s">
        <v>2465</v>
      </c>
    </row>
    <row r="392" spans="1:20" x14ac:dyDescent="0.2">
      <c r="A392" s="4" t="s">
        <v>2294</v>
      </c>
      <c r="B392" s="4" t="s">
        <v>2461</v>
      </c>
      <c r="C392" s="4" t="s">
        <v>2096</v>
      </c>
      <c r="D392" s="4" t="s">
        <v>2236</v>
      </c>
      <c r="E392" s="4" t="s">
        <v>2467</v>
      </c>
      <c r="F392" s="4" t="s">
        <v>2463</v>
      </c>
      <c r="G392" s="4" t="s">
        <v>2294</v>
      </c>
      <c r="H392" s="4" t="s">
        <v>2183</v>
      </c>
      <c r="I392" s="4" t="s">
        <v>2100</v>
      </c>
      <c r="J392" s="4" t="s">
        <v>2464</v>
      </c>
      <c r="K392">
        <v>12</v>
      </c>
      <c r="L392">
        <v>3.6576</v>
      </c>
      <c r="M392">
        <v>38.1</v>
      </c>
      <c r="N392">
        <v>234.95</v>
      </c>
      <c r="O392">
        <v>144</v>
      </c>
      <c r="P392">
        <v>1.5000000000000002</v>
      </c>
      <c r="Q392">
        <v>9.25</v>
      </c>
      <c r="R392">
        <v>366.50900000000001</v>
      </c>
      <c r="S392">
        <v>3.2741353872000001E-2</v>
      </c>
      <c r="T392" s="4" t="s">
        <v>2465</v>
      </c>
    </row>
    <row r="393" spans="1:20" x14ac:dyDescent="0.2">
      <c r="A393" s="4" t="s">
        <v>2294</v>
      </c>
      <c r="B393" s="4" t="s">
        <v>2461</v>
      </c>
      <c r="C393" s="4" t="s">
        <v>2096</v>
      </c>
      <c r="D393" s="4" t="s">
        <v>2236</v>
      </c>
      <c r="E393" s="4" t="s">
        <v>2468</v>
      </c>
      <c r="F393" s="4" t="s">
        <v>2463</v>
      </c>
      <c r="G393" s="4" t="s">
        <v>2294</v>
      </c>
      <c r="H393" s="4" t="s">
        <v>2183</v>
      </c>
      <c r="I393" s="4" t="s">
        <v>2100</v>
      </c>
      <c r="J393" s="4" t="s">
        <v>2464</v>
      </c>
      <c r="K393">
        <v>13</v>
      </c>
      <c r="L393">
        <v>3.9624000000000001</v>
      </c>
      <c r="M393">
        <v>38.1</v>
      </c>
      <c r="N393">
        <v>234.95</v>
      </c>
      <c r="O393">
        <v>156</v>
      </c>
      <c r="P393">
        <v>1.5000000000000002</v>
      </c>
      <c r="Q393">
        <v>9.25</v>
      </c>
      <c r="R393">
        <v>366.50900000000001</v>
      </c>
      <c r="S393">
        <v>3.5469800028000001E-2</v>
      </c>
      <c r="T393" s="4" t="s">
        <v>2465</v>
      </c>
    </row>
    <row r="394" spans="1:20" x14ac:dyDescent="0.2">
      <c r="A394" s="4" t="s">
        <v>2294</v>
      </c>
      <c r="B394" s="4" t="s">
        <v>2461</v>
      </c>
      <c r="C394" s="4" t="s">
        <v>2096</v>
      </c>
      <c r="D394" s="4" t="s">
        <v>2236</v>
      </c>
      <c r="E394" s="4" t="s">
        <v>2469</v>
      </c>
      <c r="F394" s="4" t="s">
        <v>2463</v>
      </c>
      <c r="G394" s="4" t="s">
        <v>2294</v>
      </c>
      <c r="H394" s="4" t="s">
        <v>2183</v>
      </c>
      <c r="I394" s="4" t="s">
        <v>2100</v>
      </c>
      <c r="J394" s="4" t="s">
        <v>2464</v>
      </c>
      <c r="K394">
        <v>14</v>
      </c>
      <c r="L394">
        <v>4.2671999999999999</v>
      </c>
      <c r="M394">
        <v>38.1</v>
      </c>
      <c r="N394">
        <v>234.95</v>
      </c>
      <c r="O394">
        <v>168</v>
      </c>
      <c r="P394">
        <v>1.5000000000000002</v>
      </c>
      <c r="Q394">
        <v>9.25</v>
      </c>
      <c r="R394">
        <v>366.50900000000001</v>
      </c>
      <c r="S394">
        <v>3.8198246184000001E-2</v>
      </c>
      <c r="T394" s="4" t="s">
        <v>2465</v>
      </c>
    </row>
    <row r="395" spans="1:20" x14ac:dyDescent="0.2">
      <c r="A395" s="4" t="s">
        <v>2294</v>
      </c>
      <c r="B395" s="4" t="s">
        <v>2461</v>
      </c>
      <c r="C395" s="4" t="s">
        <v>2096</v>
      </c>
      <c r="D395" s="4" t="s">
        <v>2236</v>
      </c>
      <c r="E395" s="4" t="s">
        <v>2470</v>
      </c>
      <c r="F395" s="4" t="s">
        <v>2463</v>
      </c>
      <c r="G395" s="4" t="s">
        <v>2294</v>
      </c>
      <c r="H395" s="4" t="s">
        <v>2183</v>
      </c>
      <c r="I395" s="4" t="s">
        <v>2100</v>
      </c>
      <c r="J395" s="4" t="s">
        <v>2464</v>
      </c>
      <c r="K395">
        <v>15</v>
      </c>
      <c r="L395">
        <v>4.5720000000000001</v>
      </c>
      <c r="M395">
        <v>38.1</v>
      </c>
      <c r="N395">
        <v>234.95</v>
      </c>
      <c r="O395">
        <v>180</v>
      </c>
      <c r="P395">
        <v>1.5000000000000002</v>
      </c>
      <c r="Q395">
        <v>9.25</v>
      </c>
      <c r="R395">
        <v>366.50900000000001</v>
      </c>
      <c r="S395">
        <v>4.0926692340000001E-2</v>
      </c>
      <c r="T395" s="4" t="s">
        <v>2465</v>
      </c>
    </row>
    <row r="396" spans="1:20" x14ac:dyDescent="0.2">
      <c r="A396" s="4" t="s">
        <v>2294</v>
      </c>
      <c r="B396" s="4" t="s">
        <v>2461</v>
      </c>
      <c r="C396" s="4" t="s">
        <v>2096</v>
      </c>
      <c r="D396" s="4" t="s">
        <v>2236</v>
      </c>
      <c r="E396" s="4" t="s">
        <v>2471</v>
      </c>
      <c r="F396" s="4" t="s">
        <v>2463</v>
      </c>
      <c r="G396" s="4" t="s">
        <v>2294</v>
      </c>
      <c r="H396" s="4" t="s">
        <v>2183</v>
      </c>
      <c r="I396" s="4" t="s">
        <v>2100</v>
      </c>
      <c r="J396" s="4" t="s">
        <v>2464</v>
      </c>
      <c r="K396">
        <v>16</v>
      </c>
      <c r="L396">
        <v>4.8768000000000002</v>
      </c>
      <c r="M396">
        <v>38.1</v>
      </c>
      <c r="N396">
        <v>234.95</v>
      </c>
      <c r="O396">
        <v>192.00000000000003</v>
      </c>
      <c r="P396">
        <v>1.5000000000000002</v>
      </c>
      <c r="Q396">
        <v>9.25</v>
      </c>
      <c r="R396">
        <v>366.50900000000001</v>
      </c>
      <c r="S396">
        <v>4.3655138496000001E-2</v>
      </c>
      <c r="T396" s="4" t="s">
        <v>2465</v>
      </c>
    </row>
    <row r="397" spans="1:20" x14ac:dyDescent="0.2">
      <c r="A397" s="4" t="s">
        <v>2294</v>
      </c>
      <c r="B397" s="4" t="s">
        <v>2461</v>
      </c>
      <c r="C397" s="4" t="s">
        <v>2096</v>
      </c>
      <c r="D397" s="4" t="s">
        <v>2236</v>
      </c>
      <c r="E397" s="4" t="s">
        <v>2472</v>
      </c>
      <c r="F397" s="4" t="s">
        <v>2463</v>
      </c>
      <c r="G397" s="4" t="s">
        <v>2294</v>
      </c>
      <c r="H397" s="4" t="s">
        <v>2183</v>
      </c>
      <c r="I397" s="4" t="s">
        <v>2100</v>
      </c>
      <c r="J397" s="4" t="s">
        <v>2464</v>
      </c>
      <c r="K397">
        <v>17</v>
      </c>
      <c r="L397">
        <v>5.1816000000000004</v>
      </c>
      <c r="M397">
        <v>38.1</v>
      </c>
      <c r="N397">
        <v>234.95</v>
      </c>
      <c r="O397">
        <v>204.00000000000003</v>
      </c>
      <c r="P397">
        <v>1.5000000000000002</v>
      </c>
      <c r="Q397">
        <v>9.25</v>
      </c>
      <c r="R397">
        <v>366.50900000000001</v>
      </c>
      <c r="S397">
        <v>4.6383584652000001E-2</v>
      </c>
      <c r="T397" s="4" t="s">
        <v>2465</v>
      </c>
    </row>
    <row r="398" spans="1:20" x14ac:dyDescent="0.2">
      <c r="A398" s="4" t="s">
        <v>2294</v>
      </c>
      <c r="B398" s="4" t="s">
        <v>2461</v>
      </c>
      <c r="C398" s="4" t="s">
        <v>2096</v>
      </c>
      <c r="D398" s="4" t="s">
        <v>2236</v>
      </c>
      <c r="E398" s="4" t="s">
        <v>2473</v>
      </c>
      <c r="F398" s="4" t="s">
        <v>2463</v>
      </c>
      <c r="G398" s="4" t="s">
        <v>2294</v>
      </c>
      <c r="H398" s="4" t="s">
        <v>2183</v>
      </c>
      <c r="I398" s="4" t="s">
        <v>2100</v>
      </c>
      <c r="J398" s="4" t="s">
        <v>2464</v>
      </c>
      <c r="K398">
        <v>18</v>
      </c>
      <c r="L398">
        <v>5.4863999999999997</v>
      </c>
      <c r="M398">
        <v>38.1</v>
      </c>
      <c r="N398">
        <v>234.95</v>
      </c>
      <c r="O398">
        <v>216</v>
      </c>
      <c r="P398">
        <v>1.5000000000000002</v>
      </c>
      <c r="Q398">
        <v>9.25</v>
      </c>
      <c r="R398">
        <v>366.50900000000001</v>
      </c>
      <c r="S398">
        <v>4.9112030808000001E-2</v>
      </c>
      <c r="T398" s="4" t="s">
        <v>2465</v>
      </c>
    </row>
    <row r="399" spans="1:20" x14ac:dyDescent="0.2">
      <c r="A399" s="4" t="s">
        <v>2294</v>
      </c>
      <c r="B399" s="4" t="s">
        <v>2461</v>
      </c>
      <c r="C399" s="4" t="s">
        <v>2096</v>
      </c>
      <c r="D399" s="4" t="s">
        <v>2236</v>
      </c>
      <c r="E399" s="4" t="s">
        <v>2474</v>
      </c>
      <c r="F399" s="4" t="s">
        <v>2463</v>
      </c>
      <c r="G399" s="4" t="s">
        <v>2294</v>
      </c>
      <c r="H399" s="4" t="s">
        <v>2183</v>
      </c>
      <c r="I399" s="4" t="s">
        <v>2100</v>
      </c>
      <c r="J399" s="4" t="s">
        <v>2464</v>
      </c>
      <c r="K399">
        <v>19</v>
      </c>
      <c r="L399">
        <v>5.7911999999999999</v>
      </c>
      <c r="M399">
        <v>38.1</v>
      </c>
      <c r="N399">
        <v>234.95</v>
      </c>
      <c r="O399">
        <v>228</v>
      </c>
      <c r="P399">
        <v>1.5000000000000002</v>
      </c>
      <c r="Q399">
        <v>9.25</v>
      </c>
      <c r="R399">
        <v>366.50900000000001</v>
      </c>
      <c r="S399">
        <v>5.1840476964000001E-2</v>
      </c>
      <c r="T399" s="4" t="s">
        <v>2465</v>
      </c>
    </row>
    <row r="400" spans="1:20" x14ac:dyDescent="0.2">
      <c r="A400" s="4" t="s">
        <v>2294</v>
      </c>
      <c r="B400" s="4" t="s">
        <v>2461</v>
      </c>
      <c r="C400" s="4" t="s">
        <v>2096</v>
      </c>
      <c r="D400" s="4" t="s">
        <v>2236</v>
      </c>
      <c r="E400" s="4" t="s">
        <v>2475</v>
      </c>
      <c r="F400" s="4" t="s">
        <v>2463</v>
      </c>
      <c r="G400" s="4" t="s">
        <v>2294</v>
      </c>
      <c r="H400" s="4" t="s">
        <v>2183</v>
      </c>
      <c r="I400" s="4" t="s">
        <v>2100</v>
      </c>
      <c r="J400" s="4" t="s">
        <v>2464</v>
      </c>
      <c r="K400">
        <v>20</v>
      </c>
      <c r="L400">
        <v>6.0960000000000001</v>
      </c>
      <c r="M400">
        <v>38.1</v>
      </c>
      <c r="N400">
        <v>234.95</v>
      </c>
      <c r="O400">
        <v>240</v>
      </c>
      <c r="P400">
        <v>1.5000000000000002</v>
      </c>
      <c r="Q400">
        <v>9.25</v>
      </c>
      <c r="R400">
        <v>366.50900000000001</v>
      </c>
      <c r="S400">
        <v>5.4568923120000008E-2</v>
      </c>
      <c r="T400" s="4" t="s">
        <v>2465</v>
      </c>
    </row>
    <row r="401" spans="1:20" x14ac:dyDescent="0.2">
      <c r="A401" s="4" t="s">
        <v>2294</v>
      </c>
      <c r="B401" s="4" t="s">
        <v>2461</v>
      </c>
      <c r="C401" s="4" t="s">
        <v>2096</v>
      </c>
      <c r="D401" s="4" t="s">
        <v>2236</v>
      </c>
      <c r="E401" s="4" t="s">
        <v>2476</v>
      </c>
      <c r="F401" s="4" t="s">
        <v>2463</v>
      </c>
      <c r="G401" s="4" t="s">
        <v>2294</v>
      </c>
      <c r="H401" s="4" t="s">
        <v>2183</v>
      </c>
      <c r="I401" s="4" t="s">
        <v>2100</v>
      </c>
      <c r="J401" s="4" t="s">
        <v>2464</v>
      </c>
      <c r="K401">
        <v>21</v>
      </c>
      <c r="L401">
        <v>6.4008000000000003</v>
      </c>
      <c r="M401">
        <v>38.1</v>
      </c>
      <c r="N401">
        <v>234.95</v>
      </c>
      <c r="O401">
        <v>252.00000000000003</v>
      </c>
      <c r="P401">
        <v>1.5000000000000002</v>
      </c>
      <c r="Q401">
        <v>9.25</v>
      </c>
      <c r="R401">
        <v>366.50900000000001</v>
      </c>
      <c r="S401">
        <v>5.7297369276000001E-2</v>
      </c>
      <c r="T401" s="4" t="s">
        <v>2465</v>
      </c>
    </row>
    <row r="402" spans="1:20" x14ac:dyDescent="0.2">
      <c r="A402" s="4" t="s">
        <v>2294</v>
      </c>
      <c r="B402" s="4" t="s">
        <v>2461</v>
      </c>
      <c r="C402" s="4" t="s">
        <v>2096</v>
      </c>
      <c r="D402" s="4" t="s">
        <v>2236</v>
      </c>
      <c r="E402" s="4" t="s">
        <v>2477</v>
      </c>
      <c r="F402" s="4" t="s">
        <v>2463</v>
      </c>
      <c r="G402" s="4" t="s">
        <v>2294</v>
      </c>
      <c r="H402" s="4" t="s">
        <v>2183</v>
      </c>
      <c r="I402" s="4" t="s">
        <v>2100</v>
      </c>
      <c r="J402" s="4" t="s">
        <v>2464</v>
      </c>
      <c r="K402">
        <v>22</v>
      </c>
      <c r="L402">
        <v>6.7055999999999996</v>
      </c>
      <c r="M402">
        <v>38.1</v>
      </c>
      <c r="N402">
        <v>234.95</v>
      </c>
      <c r="O402">
        <v>264</v>
      </c>
      <c r="P402">
        <v>1.5000000000000002</v>
      </c>
      <c r="Q402">
        <v>9.25</v>
      </c>
      <c r="R402">
        <v>366.50900000000001</v>
      </c>
      <c r="S402">
        <v>6.0025815431999995E-2</v>
      </c>
      <c r="T402" s="4" t="s">
        <v>2465</v>
      </c>
    </row>
    <row r="403" spans="1:20" x14ac:dyDescent="0.2">
      <c r="A403" s="4" t="s">
        <v>2294</v>
      </c>
      <c r="B403" s="4" t="s">
        <v>2461</v>
      </c>
      <c r="C403" s="4" t="s">
        <v>2096</v>
      </c>
      <c r="D403" s="4" t="s">
        <v>2236</v>
      </c>
      <c r="E403" s="4" t="s">
        <v>2478</v>
      </c>
      <c r="F403" s="4" t="s">
        <v>2463</v>
      </c>
      <c r="G403" s="4" t="s">
        <v>2294</v>
      </c>
      <c r="H403" s="4" t="s">
        <v>2183</v>
      </c>
      <c r="I403" s="4" t="s">
        <v>2100</v>
      </c>
      <c r="J403" s="4" t="s">
        <v>2464</v>
      </c>
      <c r="K403">
        <v>23</v>
      </c>
      <c r="L403">
        <v>7.0103999999999997</v>
      </c>
      <c r="M403">
        <v>38.1</v>
      </c>
      <c r="N403">
        <v>234.95</v>
      </c>
      <c r="O403">
        <v>276</v>
      </c>
      <c r="P403">
        <v>1.5000000000000002</v>
      </c>
      <c r="Q403">
        <v>9.25</v>
      </c>
      <c r="R403">
        <v>366.50900000000001</v>
      </c>
      <c r="S403">
        <v>6.2754261588000002E-2</v>
      </c>
      <c r="T403" s="4" t="s">
        <v>2465</v>
      </c>
    </row>
    <row r="404" spans="1:20" x14ac:dyDescent="0.2">
      <c r="A404" s="4" t="s">
        <v>2294</v>
      </c>
      <c r="B404" s="4" t="s">
        <v>2461</v>
      </c>
      <c r="C404" s="4" t="s">
        <v>2096</v>
      </c>
      <c r="D404" s="4" t="s">
        <v>2236</v>
      </c>
      <c r="E404" s="4" t="s">
        <v>2479</v>
      </c>
      <c r="F404" s="4" t="s">
        <v>2463</v>
      </c>
      <c r="G404" s="4" t="s">
        <v>2294</v>
      </c>
      <c r="H404" s="4" t="s">
        <v>2183</v>
      </c>
      <c r="I404" s="4" t="s">
        <v>2100</v>
      </c>
      <c r="J404" s="4" t="s">
        <v>2464</v>
      </c>
      <c r="K404">
        <v>24</v>
      </c>
      <c r="L404">
        <v>7.3152000000000008</v>
      </c>
      <c r="M404">
        <v>38.1</v>
      </c>
      <c r="N404">
        <v>234.95</v>
      </c>
      <c r="O404">
        <v>288.00000000000006</v>
      </c>
      <c r="P404">
        <v>1.5000000000000002</v>
      </c>
      <c r="Q404">
        <v>9.25</v>
      </c>
      <c r="R404">
        <v>366.50900000000001</v>
      </c>
      <c r="S404">
        <v>6.5482707744000015E-2</v>
      </c>
      <c r="T404" s="4" t="s">
        <v>2465</v>
      </c>
    </row>
    <row r="405" spans="1:20" x14ac:dyDescent="0.2">
      <c r="A405" s="4" t="s">
        <v>2294</v>
      </c>
      <c r="B405" s="4" t="s">
        <v>2461</v>
      </c>
      <c r="C405" s="4" t="s">
        <v>2286</v>
      </c>
      <c r="D405" s="4" t="s">
        <v>2236</v>
      </c>
      <c r="E405" s="4" t="s">
        <v>2480</v>
      </c>
      <c r="F405" s="4" t="s">
        <v>2463</v>
      </c>
      <c r="G405" s="4" t="s">
        <v>2294</v>
      </c>
      <c r="H405" s="4" t="s">
        <v>2183</v>
      </c>
      <c r="I405" s="4" t="s">
        <v>2100</v>
      </c>
      <c r="J405" s="4" t="s">
        <v>2464</v>
      </c>
      <c r="K405">
        <v>3</v>
      </c>
      <c r="L405">
        <v>0.91439999999999999</v>
      </c>
      <c r="M405">
        <v>38.1</v>
      </c>
      <c r="N405">
        <v>234.95</v>
      </c>
      <c r="O405">
        <v>36</v>
      </c>
      <c r="P405">
        <v>1.5000000000000002</v>
      </c>
      <c r="Q405">
        <v>9.25</v>
      </c>
      <c r="R405">
        <v>366.50900000000001</v>
      </c>
      <c r="S405">
        <v>8.1853384680000002E-3</v>
      </c>
      <c r="T405" s="4" t="s">
        <v>2481</v>
      </c>
    </row>
    <row r="406" spans="1:20" x14ac:dyDescent="0.2">
      <c r="A406" s="4" t="s">
        <v>2294</v>
      </c>
      <c r="B406" s="4" t="s">
        <v>2461</v>
      </c>
      <c r="C406" s="4" t="s">
        <v>2286</v>
      </c>
      <c r="D406" s="4" t="s">
        <v>2236</v>
      </c>
      <c r="E406" s="4" t="s">
        <v>2482</v>
      </c>
      <c r="F406" s="4" t="s">
        <v>2463</v>
      </c>
      <c r="G406" s="4" t="s">
        <v>2294</v>
      </c>
      <c r="H406" s="4" t="s">
        <v>2183</v>
      </c>
      <c r="I406" s="4" t="s">
        <v>2100</v>
      </c>
      <c r="J406" s="4" t="s">
        <v>2464</v>
      </c>
      <c r="K406">
        <v>4</v>
      </c>
      <c r="L406">
        <v>1.2192000000000001</v>
      </c>
      <c r="M406">
        <v>38.1</v>
      </c>
      <c r="N406">
        <v>234.95</v>
      </c>
      <c r="O406">
        <v>48.000000000000007</v>
      </c>
      <c r="P406">
        <v>1.5000000000000002</v>
      </c>
      <c r="Q406">
        <v>9.25</v>
      </c>
      <c r="R406">
        <v>366.50900000000001</v>
      </c>
      <c r="S406">
        <v>1.0913784624E-2</v>
      </c>
      <c r="T406" s="4" t="s">
        <v>2481</v>
      </c>
    </row>
    <row r="407" spans="1:20" x14ac:dyDescent="0.2">
      <c r="A407" s="4" t="s">
        <v>2294</v>
      </c>
      <c r="B407" s="4" t="s">
        <v>2461</v>
      </c>
      <c r="C407" s="4" t="s">
        <v>2286</v>
      </c>
      <c r="D407" s="4" t="s">
        <v>2236</v>
      </c>
      <c r="E407" s="4" t="s">
        <v>2483</v>
      </c>
      <c r="F407" s="4" t="s">
        <v>2463</v>
      </c>
      <c r="G407" s="4" t="s">
        <v>2294</v>
      </c>
      <c r="H407" s="4" t="s">
        <v>2183</v>
      </c>
      <c r="I407" s="4" t="s">
        <v>2100</v>
      </c>
      <c r="J407" s="4" t="s">
        <v>2464</v>
      </c>
      <c r="K407">
        <v>5</v>
      </c>
      <c r="L407">
        <v>1.524</v>
      </c>
      <c r="M407">
        <v>38.1</v>
      </c>
      <c r="N407">
        <v>234.95</v>
      </c>
      <c r="O407">
        <v>60</v>
      </c>
      <c r="P407">
        <v>1.5000000000000002</v>
      </c>
      <c r="Q407">
        <v>9.25</v>
      </c>
      <c r="R407">
        <v>366.50900000000001</v>
      </c>
      <c r="S407">
        <v>1.3642230780000002E-2</v>
      </c>
      <c r="T407" s="4" t="s">
        <v>2481</v>
      </c>
    </row>
    <row r="408" spans="1:20" x14ac:dyDescent="0.2">
      <c r="A408" s="4" t="s">
        <v>2294</v>
      </c>
      <c r="B408" s="4" t="s">
        <v>2461</v>
      </c>
      <c r="C408" s="4" t="s">
        <v>2286</v>
      </c>
      <c r="D408" s="4" t="s">
        <v>2236</v>
      </c>
      <c r="E408" s="4" t="s">
        <v>2484</v>
      </c>
      <c r="F408" s="4" t="s">
        <v>2463</v>
      </c>
      <c r="G408" s="4" t="s">
        <v>2294</v>
      </c>
      <c r="H408" s="4" t="s">
        <v>2183</v>
      </c>
      <c r="I408" s="4" t="s">
        <v>2100</v>
      </c>
      <c r="J408" s="4" t="s">
        <v>2464</v>
      </c>
      <c r="K408">
        <v>6</v>
      </c>
      <c r="L408">
        <v>1.8288</v>
      </c>
      <c r="M408">
        <v>38.1</v>
      </c>
      <c r="N408">
        <v>234.95</v>
      </c>
      <c r="O408">
        <v>72</v>
      </c>
      <c r="P408">
        <v>1.5000000000000002</v>
      </c>
      <c r="Q408">
        <v>9.25</v>
      </c>
      <c r="R408">
        <v>366.50900000000001</v>
      </c>
      <c r="S408">
        <v>1.6370676936E-2</v>
      </c>
      <c r="T408" s="4" t="s">
        <v>2481</v>
      </c>
    </row>
    <row r="409" spans="1:20" x14ac:dyDescent="0.2">
      <c r="A409" s="4" t="s">
        <v>2294</v>
      </c>
      <c r="B409" s="4" t="s">
        <v>2461</v>
      </c>
      <c r="C409" s="4" t="s">
        <v>2286</v>
      </c>
      <c r="D409" s="4" t="s">
        <v>2236</v>
      </c>
      <c r="E409" s="4" t="s">
        <v>2485</v>
      </c>
      <c r="F409" s="4" t="s">
        <v>2463</v>
      </c>
      <c r="G409" s="4" t="s">
        <v>2294</v>
      </c>
      <c r="H409" s="4" t="s">
        <v>2183</v>
      </c>
      <c r="I409" s="4" t="s">
        <v>2100</v>
      </c>
      <c r="J409" s="4" t="s">
        <v>2464</v>
      </c>
      <c r="K409">
        <v>7</v>
      </c>
      <c r="L409">
        <v>2.1335999999999999</v>
      </c>
      <c r="M409">
        <v>38.1</v>
      </c>
      <c r="N409">
        <v>234.95</v>
      </c>
      <c r="O409">
        <v>84</v>
      </c>
      <c r="P409">
        <v>1.5000000000000002</v>
      </c>
      <c r="Q409">
        <v>9.25</v>
      </c>
      <c r="R409">
        <v>366.50900000000001</v>
      </c>
      <c r="S409">
        <v>1.9099123092E-2</v>
      </c>
      <c r="T409" s="4" t="s">
        <v>2481</v>
      </c>
    </row>
    <row r="410" spans="1:20" x14ac:dyDescent="0.2">
      <c r="A410" s="4" t="s">
        <v>2294</v>
      </c>
      <c r="B410" s="4" t="s">
        <v>2461</v>
      </c>
      <c r="C410" s="4" t="s">
        <v>2096</v>
      </c>
      <c r="D410" s="4" t="s">
        <v>2236</v>
      </c>
      <c r="E410" s="4" t="s">
        <v>2486</v>
      </c>
      <c r="F410" s="4" t="s">
        <v>2463</v>
      </c>
      <c r="G410" s="4" t="s">
        <v>2294</v>
      </c>
      <c r="H410" s="4" t="s">
        <v>2183</v>
      </c>
      <c r="I410" s="4" t="s">
        <v>2100</v>
      </c>
      <c r="J410" s="4" t="s">
        <v>2464</v>
      </c>
      <c r="K410">
        <v>8</v>
      </c>
      <c r="L410">
        <v>2.4384000000000001</v>
      </c>
      <c r="M410">
        <v>38.1</v>
      </c>
      <c r="N410">
        <v>234.95</v>
      </c>
      <c r="O410">
        <v>96.000000000000014</v>
      </c>
      <c r="P410">
        <v>1.5000000000000002</v>
      </c>
      <c r="Q410">
        <v>9.25</v>
      </c>
      <c r="R410">
        <v>366.50900000000001</v>
      </c>
      <c r="S410">
        <v>2.1827569248000001E-2</v>
      </c>
      <c r="T410" s="4" t="s">
        <v>2465</v>
      </c>
    </row>
    <row r="411" spans="1:20" x14ac:dyDescent="0.2">
      <c r="A411" s="4" t="s">
        <v>2294</v>
      </c>
      <c r="B411" s="4" t="s">
        <v>2461</v>
      </c>
      <c r="C411" s="4" t="s">
        <v>2096</v>
      </c>
      <c r="D411" s="4" t="s">
        <v>2236</v>
      </c>
      <c r="E411" s="4" t="s">
        <v>2487</v>
      </c>
      <c r="F411" s="4" t="s">
        <v>2463</v>
      </c>
      <c r="G411" s="4" t="s">
        <v>2294</v>
      </c>
      <c r="H411" s="4" t="s">
        <v>2183</v>
      </c>
      <c r="I411" s="4" t="s">
        <v>2100</v>
      </c>
      <c r="J411" s="4" t="s">
        <v>2464</v>
      </c>
      <c r="K411">
        <v>9</v>
      </c>
      <c r="L411">
        <v>2.7431999999999999</v>
      </c>
      <c r="M411">
        <v>38.1</v>
      </c>
      <c r="N411">
        <v>234.95</v>
      </c>
      <c r="O411">
        <v>108</v>
      </c>
      <c r="P411">
        <v>1.5000000000000002</v>
      </c>
      <c r="Q411">
        <v>9.25</v>
      </c>
      <c r="R411">
        <v>366.50900000000001</v>
      </c>
      <c r="S411">
        <v>2.4556015404000001E-2</v>
      </c>
      <c r="T411" s="4" t="s">
        <v>2465</v>
      </c>
    </row>
    <row r="412" spans="1:20" x14ac:dyDescent="0.2">
      <c r="A412" s="4" t="s">
        <v>2294</v>
      </c>
      <c r="B412" s="4" t="s">
        <v>2488</v>
      </c>
      <c r="C412" s="4" t="s">
        <v>2096</v>
      </c>
      <c r="D412" s="4" t="s">
        <v>2236</v>
      </c>
      <c r="E412" s="4" t="s">
        <v>2489</v>
      </c>
      <c r="F412" s="4" t="s">
        <v>2490</v>
      </c>
      <c r="G412" s="4" t="s">
        <v>2294</v>
      </c>
      <c r="H412" s="4" t="s">
        <v>2183</v>
      </c>
      <c r="I412" s="4" t="s">
        <v>2100</v>
      </c>
      <c r="J412" s="4" t="s">
        <v>2491</v>
      </c>
      <c r="K412">
        <v>10</v>
      </c>
      <c r="L412">
        <v>3.048</v>
      </c>
      <c r="M412">
        <v>38.1</v>
      </c>
      <c r="N412">
        <v>285.75</v>
      </c>
      <c r="O412">
        <v>120</v>
      </c>
      <c r="P412">
        <v>1.5000000000000002</v>
      </c>
      <c r="Q412">
        <v>11.25</v>
      </c>
      <c r="R412">
        <v>301.35199999999998</v>
      </c>
      <c r="S412">
        <v>3.3183804600000005E-2</v>
      </c>
      <c r="T412" s="4" t="s">
        <v>2492</v>
      </c>
    </row>
    <row r="413" spans="1:20" x14ac:dyDescent="0.2">
      <c r="A413" s="4" t="s">
        <v>2294</v>
      </c>
      <c r="B413" s="4" t="s">
        <v>2488</v>
      </c>
      <c r="C413" s="4" t="s">
        <v>2096</v>
      </c>
      <c r="D413" s="4" t="s">
        <v>2236</v>
      </c>
      <c r="E413" s="4" t="s">
        <v>2493</v>
      </c>
      <c r="F413" s="4" t="s">
        <v>2490</v>
      </c>
      <c r="G413" s="4" t="s">
        <v>2294</v>
      </c>
      <c r="H413" s="4" t="s">
        <v>2183</v>
      </c>
      <c r="I413" s="4" t="s">
        <v>2100</v>
      </c>
      <c r="J413" s="4" t="s">
        <v>2491</v>
      </c>
      <c r="K413">
        <v>11</v>
      </c>
      <c r="L413">
        <v>3.3527999999999998</v>
      </c>
      <c r="M413">
        <v>38.1</v>
      </c>
      <c r="N413">
        <v>285.75</v>
      </c>
      <c r="O413">
        <v>132</v>
      </c>
      <c r="P413">
        <v>1.5000000000000002</v>
      </c>
      <c r="Q413">
        <v>11.25</v>
      </c>
      <c r="R413">
        <v>301.35199999999998</v>
      </c>
      <c r="S413">
        <v>3.6502185060000004E-2</v>
      </c>
      <c r="T413" s="4" t="s">
        <v>2492</v>
      </c>
    </row>
    <row r="414" spans="1:20" x14ac:dyDescent="0.2">
      <c r="A414" s="4" t="s">
        <v>2294</v>
      </c>
      <c r="B414" s="4" t="s">
        <v>2488</v>
      </c>
      <c r="C414" s="4" t="s">
        <v>2096</v>
      </c>
      <c r="D414" s="4" t="s">
        <v>2236</v>
      </c>
      <c r="E414" s="4" t="s">
        <v>2494</v>
      </c>
      <c r="F414" s="4" t="s">
        <v>2490</v>
      </c>
      <c r="G414" s="4" t="s">
        <v>2294</v>
      </c>
      <c r="H414" s="4" t="s">
        <v>2183</v>
      </c>
      <c r="I414" s="4" t="s">
        <v>2100</v>
      </c>
      <c r="J414" s="4" t="s">
        <v>2491</v>
      </c>
      <c r="K414">
        <v>12</v>
      </c>
      <c r="L414">
        <v>3.6576</v>
      </c>
      <c r="M414">
        <v>38.1</v>
      </c>
      <c r="N414">
        <v>285.75</v>
      </c>
      <c r="O414">
        <v>144</v>
      </c>
      <c r="P414">
        <v>1.5000000000000002</v>
      </c>
      <c r="Q414">
        <v>11.25</v>
      </c>
      <c r="R414">
        <v>301.35199999999998</v>
      </c>
      <c r="S414">
        <v>3.9820565519999997E-2</v>
      </c>
      <c r="T414" s="4" t="s">
        <v>2492</v>
      </c>
    </row>
    <row r="415" spans="1:20" x14ac:dyDescent="0.2">
      <c r="A415" s="4" t="s">
        <v>2294</v>
      </c>
      <c r="B415" s="4" t="s">
        <v>2488</v>
      </c>
      <c r="C415" s="4" t="s">
        <v>2096</v>
      </c>
      <c r="D415" s="4" t="s">
        <v>2236</v>
      </c>
      <c r="E415" s="4" t="s">
        <v>2495</v>
      </c>
      <c r="F415" s="4" t="s">
        <v>2490</v>
      </c>
      <c r="G415" s="4" t="s">
        <v>2294</v>
      </c>
      <c r="H415" s="4" t="s">
        <v>2183</v>
      </c>
      <c r="I415" s="4" t="s">
        <v>2100</v>
      </c>
      <c r="J415" s="4" t="s">
        <v>2491</v>
      </c>
      <c r="K415">
        <v>13</v>
      </c>
      <c r="L415">
        <v>3.9624000000000001</v>
      </c>
      <c r="M415">
        <v>38.1</v>
      </c>
      <c r="N415">
        <v>285.75</v>
      </c>
      <c r="O415">
        <v>156</v>
      </c>
      <c r="P415">
        <v>1.5000000000000002</v>
      </c>
      <c r="Q415">
        <v>11.25</v>
      </c>
      <c r="R415">
        <v>301.35199999999998</v>
      </c>
      <c r="S415">
        <v>4.3138945980000003E-2</v>
      </c>
      <c r="T415" s="4" t="s">
        <v>2492</v>
      </c>
    </row>
    <row r="416" spans="1:20" x14ac:dyDescent="0.2">
      <c r="A416" s="4" t="s">
        <v>2294</v>
      </c>
      <c r="B416" s="4" t="s">
        <v>2488</v>
      </c>
      <c r="C416" s="4" t="s">
        <v>2096</v>
      </c>
      <c r="D416" s="4" t="s">
        <v>2236</v>
      </c>
      <c r="E416" s="4" t="s">
        <v>2496</v>
      </c>
      <c r="F416" s="4" t="s">
        <v>2490</v>
      </c>
      <c r="G416" s="4" t="s">
        <v>2294</v>
      </c>
      <c r="H416" s="4" t="s">
        <v>2183</v>
      </c>
      <c r="I416" s="4" t="s">
        <v>2100</v>
      </c>
      <c r="J416" s="4" t="s">
        <v>2491</v>
      </c>
      <c r="K416">
        <v>14</v>
      </c>
      <c r="L416">
        <v>4.2671999999999999</v>
      </c>
      <c r="M416">
        <v>38.1</v>
      </c>
      <c r="N416">
        <v>285.75</v>
      </c>
      <c r="O416">
        <v>168</v>
      </c>
      <c r="P416">
        <v>1.5000000000000002</v>
      </c>
      <c r="Q416">
        <v>11.25</v>
      </c>
      <c r="R416">
        <v>301.35199999999998</v>
      </c>
      <c r="S416">
        <v>4.6457326440000002E-2</v>
      </c>
      <c r="T416" s="4" t="s">
        <v>2492</v>
      </c>
    </row>
    <row r="417" spans="1:20" x14ac:dyDescent="0.2">
      <c r="A417" s="4" t="s">
        <v>2294</v>
      </c>
      <c r="B417" s="4" t="s">
        <v>2488</v>
      </c>
      <c r="C417" s="4" t="s">
        <v>2096</v>
      </c>
      <c r="D417" s="4" t="s">
        <v>2236</v>
      </c>
      <c r="E417" s="4" t="s">
        <v>2497</v>
      </c>
      <c r="F417" s="4" t="s">
        <v>2490</v>
      </c>
      <c r="G417" s="4" t="s">
        <v>2294</v>
      </c>
      <c r="H417" s="4" t="s">
        <v>2183</v>
      </c>
      <c r="I417" s="4" t="s">
        <v>2100</v>
      </c>
      <c r="J417" s="4" t="s">
        <v>2491</v>
      </c>
      <c r="K417">
        <v>15</v>
      </c>
      <c r="L417">
        <v>4.5720000000000001</v>
      </c>
      <c r="M417">
        <v>38.1</v>
      </c>
      <c r="N417">
        <v>285.75</v>
      </c>
      <c r="O417">
        <v>180</v>
      </c>
      <c r="P417">
        <v>1.5000000000000002</v>
      </c>
      <c r="Q417">
        <v>11.25</v>
      </c>
      <c r="R417">
        <v>301.35199999999998</v>
      </c>
      <c r="S417">
        <v>4.9775706900000001E-2</v>
      </c>
      <c r="T417" s="4" t="s">
        <v>2492</v>
      </c>
    </row>
    <row r="418" spans="1:20" x14ac:dyDescent="0.2">
      <c r="A418" s="4" t="s">
        <v>2294</v>
      </c>
      <c r="B418" s="4" t="s">
        <v>2488</v>
      </c>
      <c r="C418" s="4" t="s">
        <v>2096</v>
      </c>
      <c r="D418" s="4" t="s">
        <v>2236</v>
      </c>
      <c r="E418" s="4" t="s">
        <v>2498</v>
      </c>
      <c r="F418" s="4" t="s">
        <v>2490</v>
      </c>
      <c r="G418" s="4" t="s">
        <v>2294</v>
      </c>
      <c r="H418" s="4" t="s">
        <v>2183</v>
      </c>
      <c r="I418" s="4" t="s">
        <v>2100</v>
      </c>
      <c r="J418" s="4" t="s">
        <v>2491</v>
      </c>
      <c r="K418">
        <v>16</v>
      </c>
      <c r="L418">
        <v>4.8768000000000002</v>
      </c>
      <c r="M418">
        <v>38.1</v>
      </c>
      <c r="N418">
        <v>285.75</v>
      </c>
      <c r="O418">
        <v>192.00000000000003</v>
      </c>
      <c r="P418">
        <v>1.5000000000000002</v>
      </c>
      <c r="Q418">
        <v>11.25</v>
      </c>
      <c r="R418">
        <v>301.35199999999998</v>
      </c>
      <c r="S418">
        <v>5.309408736E-2</v>
      </c>
      <c r="T418" s="4" t="s">
        <v>2492</v>
      </c>
    </row>
    <row r="419" spans="1:20" x14ac:dyDescent="0.2">
      <c r="A419" s="4" t="s">
        <v>2294</v>
      </c>
      <c r="B419" s="4" t="s">
        <v>2488</v>
      </c>
      <c r="C419" s="4" t="s">
        <v>2096</v>
      </c>
      <c r="D419" s="4" t="s">
        <v>2236</v>
      </c>
      <c r="E419" s="4" t="s">
        <v>2499</v>
      </c>
      <c r="F419" s="4" t="s">
        <v>2490</v>
      </c>
      <c r="G419" s="4" t="s">
        <v>2294</v>
      </c>
      <c r="H419" s="4" t="s">
        <v>2183</v>
      </c>
      <c r="I419" s="4" t="s">
        <v>2100</v>
      </c>
      <c r="J419" s="4" t="s">
        <v>2491</v>
      </c>
      <c r="K419">
        <v>17</v>
      </c>
      <c r="L419">
        <v>5.1816000000000004</v>
      </c>
      <c r="M419">
        <v>38.1</v>
      </c>
      <c r="N419">
        <v>285.75</v>
      </c>
      <c r="O419">
        <v>204.00000000000003</v>
      </c>
      <c r="P419">
        <v>1.5000000000000002</v>
      </c>
      <c r="Q419">
        <v>11.25</v>
      </c>
      <c r="R419">
        <v>301.35199999999998</v>
      </c>
      <c r="S419">
        <v>5.6412467820000013E-2</v>
      </c>
      <c r="T419" s="4" t="s">
        <v>2492</v>
      </c>
    </row>
    <row r="420" spans="1:20" x14ac:dyDescent="0.2">
      <c r="A420" s="4" t="s">
        <v>2294</v>
      </c>
      <c r="B420" s="4" t="s">
        <v>2488</v>
      </c>
      <c r="C420" s="4" t="s">
        <v>2096</v>
      </c>
      <c r="D420" s="4" t="s">
        <v>2236</v>
      </c>
      <c r="E420" s="4" t="s">
        <v>2500</v>
      </c>
      <c r="F420" s="4" t="s">
        <v>2490</v>
      </c>
      <c r="G420" s="4" t="s">
        <v>2294</v>
      </c>
      <c r="H420" s="4" t="s">
        <v>2183</v>
      </c>
      <c r="I420" s="4" t="s">
        <v>2100</v>
      </c>
      <c r="J420" s="4" t="s">
        <v>2491</v>
      </c>
      <c r="K420">
        <v>18</v>
      </c>
      <c r="L420">
        <v>5.4863999999999997</v>
      </c>
      <c r="M420">
        <v>38.1</v>
      </c>
      <c r="N420">
        <v>285.75</v>
      </c>
      <c r="O420">
        <v>216</v>
      </c>
      <c r="P420">
        <v>1.5000000000000002</v>
      </c>
      <c r="Q420">
        <v>11.25</v>
      </c>
      <c r="R420">
        <v>301.35199999999998</v>
      </c>
      <c r="S420">
        <v>5.9730848279999998E-2</v>
      </c>
      <c r="T420" s="4" t="s">
        <v>2492</v>
      </c>
    </row>
    <row r="421" spans="1:20" x14ac:dyDescent="0.2">
      <c r="A421" s="4" t="s">
        <v>2294</v>
      </c>
      <c r="B421" s="4" t="s">
        <v>2488</v>
      </c>
      <c r="C421" s="4" t="s">
        <v>2096</v>
      </c>
      <c r="D421" s="4" t="s">
        <v>2236</v>
      </c>
      <c r="E421" s="4" t="s">
        <v>2501</v>
      </c>
      <c r="F421" s="4" t="s">
        <v>2490</v>
      </c>
      <c r="G421" s="4" t="s">
        <v>2294</v>
      </c>
      <c r="H421" s="4" t="s">
        <v>2183</v>
      </c>
      <c r="I421" s="4" t="s">
        <v>2100</v>
      </c>
      <c r="J421" s="4" t="s">
        <v>2491</v>
      </c>
      <c r="K421">
        <v>19</v>
      </c>
      <c r="L421">
        <v>5.7911999999999999</v>
      </c>
      <c r="M421">
        <v>38.1</v>
      </c>
      <c r="N421">
        <v>285.75</v>
      </c>
      <c r="O421">
        <v>228</v>
      </c>
      <c r="P421">
        <v>1.5000000000000002</v>
      </c>
      <c r="Q421">
        <v>11.25</v>
      </c>
      <c r="R421">
        <v>301.35199999999998</v>
      </c>
      <c r="S421">
        <v>6.3049228740000005E-2</v>
      </c>
      <c r="T421" s="4" t="s">
        <v>2492</v>
      </c>
    </row>
    <row r="422" spans="1:20" x14ac:dyDescent="0.2">
      <c r="A422" s="4" t="s">
        <v>2294</v>
      </c>
      <c r="B422" s="4" t="s">
        <v>2488</v>
      </c>
      <c r="C422" s="4" t="s">
        <v>2096</v>
      </c>
      <c r="D422" s="4" t="s">
        <v>2236</v>
      </c>
      <c r="E422" s="4" t="s">
        <v>2502</v>
      </c>
      <c r="F422" s="4" t="s">
        <v>2490</v>
      </c>
      <c r="G422" s="4" t="s">
        <v>2294</v>
      </c>
      <c r="H422" s="4" t="s">
        <v>2183</v>
      </c>
      <c r="I422" s="4" t="s">
        <v>2100</v>
      </c>
      <c r="J422" s="4" t="s">
        <v>2491</v>
      </c>
      <c r="K422">
        <v>20</v>
      </c>
      <c r="L422">
        <v>6.0960000000000001</v>
      </c>
      <c r="M422">
        <v>38.1</v>
      </c>
      <c r="N422">
        <v>285.75</v>
      </c>
      <c r="O422">
        <v>240</v>
      </c>
      <c r="P422">
        <v>1.5000000000000002</v>
      </c>
      <c r="Q422">
        <v>11.25</v>
      </c>
      <c r="R422">
        <v>301.35199999999998</v>
      </c>
      <c r="S422">
        <v>6.6367609200000011E-2</v>
      </c>
      <c r="T422" s="4" t="s">
        <v>2492</v>
      </c>
    </row>
    <row r="423" spans="1:20" x14ac:dyDescent="0.2">
      <c r="A423" s="4" t="s">
        <v>2294</v>
      </c>
      <c r="B423" s="4" t="s">
        <v>2488</v>
      </c>
      <c r="C423" s="4" t="s">
        <v>2096</v>
      </c>
      <c r="D423" s="4" t="s">
        <v>2236</v>
      </c>
      <c r="E423" s="4" t="s">
        <v>2503</v>
      </c>
      <c r="F423" s="4" t="s">
        <v>2490</v>
      </c>
      <c r="G423" s="4" t="s">
        <v>2294</v>
      </c>
      <c r="H423" s="4" t="s">
        <v>2183</v>
      </c>
      <c r="I423" s="4" t="s">
        <v>2100</v>
      </c>
      <c r="J423" s="4" t="s">
        <v>2491</v>
      </c>
      <c r="K423">
        <v>21</v>
      </c>
      <c r="L423">
        <v>6.4008000000000003</v>
      </c>
      <c r="M423">
        <v>38.1</v>
      </c>
      <c r="N423">
        <v>285.75</v>
      </c>
      <c r="O423">
        <v>252.00000000000003</v>
      </c>
      <c r="P423">
        <v>1.5000000000000002</v>
      </c>
      <c r="Q423">
        <v>11.25</v>
      </c>
      <c r="R423">
        <v>301.35199999999998</v>
      </c>
      <c r="S423">
        <v>6.9685989660000003E-2</v>
      </c>
      <c r="T423" s="4" t="s">
        <v>2492</v>
      </c>
    </row>
    <row r="424" spans="1:20" x14ac:dyDescent="0.2">
      <c r="A424" s="4" t="s">
        <v>2294</v>
      </c>
      <c r="B424" s="4" t="s">
        <v>2488</v>
      </c>
      <c r="C424" s="4" t="s">
        <v>2096</v>
      </c>
      <c r="D424" s="4" t="s">
        <v>2236</v>
      </c>
      <c r="E424" s="4" t="s">
        <v>2504</v>
      </c>
      <c r="F424" s="4" t="s">
        <v>2490</v>
      </c>
      <c r="G424" s="4" t="s">
        <v>2294</v>
      </c>
      <c r="H424" s="4" t="s">
        <v>2183</v>
      </c>
      <c r="I424" s="4" t="s">
        <v>2100</v>
      </c>
      <c r="J424" s="4" t="s">
        <v>2491</v>
      </c>
      <c r="K424">
        <v>22</v>
      </c>
      <c r="L424">
        <v>6.7055999999999996</v>
      </c>
      <c r="M424">
        <v>38.1</v>
      </c>
      <c r="N424">
        <v>285.75</v>
      </c>
      <c r="O424">
        <v>264</v>
      </c>
      <c r="P424">
        <v>1.5000000000000002</v>
      </c>
      <c r="Q424">
        <v>11.25</v>
      </c>
      <c r="R424">
        <v>301.35199999999998</v>
      </c>
      <c r="S424">
        <v>7.3004370120000009E-2</v>
      </c>
      <c r="T424" s="4" t="s">
        <v>2492</v>
      </c>
    </row>
    <row r="425" spans="1:20" x14ac:dyDescent="0.2">
      <c r="A425" s="4" t="s">
        <v>2294</v>
      </c>
      <c r="B425" s="4" t="s">
        <v>2488</v>
      </c>
      <c r="C425" s="4" t="s">
        <v>2096</v>
      </c>
      <c r="D425" s="4" t="s">
        <v>2236</v>
      </c>
      <c r="E425" s="4" t="s">
        <v>2505</v>
      </c>
      <c r="F425" s="4" t="s">
        <v>2490</v>
      </c>
      <c r="G425" s="4" t="s">
        <v>2294</v>
      </c>
      <c r="H425" s="4" t="s">
        <v>2183</v>
      </c>
      <c r="I425" s="4" t="s">
        <v>2100</v>
      </c>
      <c r="J425" s="4" t="s">
        <v>2491</v>
      </c>
      <c r="K425">
        <v>23</v>
      </c>
      <c r="L425">
        <v>7.0103999999999997</v>
      </c>
      <c r="M425">
        <v>38.1</v>
      </c>
      <c r="N425">
        <v>285.75</v>
      </c>
      <c r="O425">
        <v>276</v>
      </c>
      <c r="P425">
        <v>1.5000000000000002</v>
      </c>
      <c r="Q425">
        <v>11.25</v>
      </c>
      <c r="R425">
        <v>301.35199999999998</v>
      </c>
      <c r="S425">
        <v>7.6322750580000001E-2</v>
      </c>
      <c r="T425" s="4" t="s">
        <v>2492</v>
      </c>
    </row>
    <row r="426" spans="1:20" x14ac:dyDescent="0.2">
      <c r="A426" s="4" t="s">
        <v>2294</v>
      </c>
      <c r="B426" s="4" t="s">
        <v>2488</v>
      </c>
      <c r="C426" s="4" t="s">
        <v>2096</v>
      </c>
      <c r="D426" s="4" t="s">
        <v>2236</v>
      </c>
      <c r="E426" s="4" t="s">
        <v>2506</v>
      </c>
      <c r="F426" s="4" t="s">
        <v>2490</v>
      </c>
      <c r="G426" s="4" t="s">
        <v>2294</v>
      </c>
      <c r="H426" s="4" t="s">
        <v>2183</v>
      </c>
      <c r="I426" s="4" t="s">
        <v>2100</v>
      </c>
      <c r="J426" s="4" t="s">
        <v>2491</v>
      </c>
      <c r="K426">
        <v>24</v>
      </c>
      <c r="L426">
        <v>7.3152000000000008</v>
      </c>
      <c r="M426">
        <v>38.1</v>
      </c>
      <c r="N426">
        <v>285.75</v>
      </c>
      <c r="O426">
        <v>288.00000000000006</v>
      </c>
      <c r="P426">
        <v>1.5000000000000002</v>
      </c>
      <c r="Q426">
        <v>11.25</v>
      </c>
      <c r="R426">
        <v>301.35199999999998</v>
      </c>
      <c r="S426">
        <v>7.9641131040000007E-2</v>
      </c>
      <c r="T426" s="4" t="s">
        <v>2492</v>
      </c>
    </row>
    <row r="427" spans="1:20" x14ac:dyDescent="0.2">
      <c r="A427" s="4" t="s">
        <v>2294</v>
      </c>
      <c r="B427" s="4" t="s">
        <v>2488</v>
      </c>
      <c r="C427" s="4" t="s">
        <v>2286</v>
      </c>
      <c r="D427" s="4" t="s">
        <v>2236</v>
      </c>
      <c r="E427" s="4" t="s">
        <v>2507</v>
      </c>
      <c r="F427" s="4" t="s">
        <v>2490</v>
      </c>
      <c r="G427" s="4" t="s">
        <v>2294</v>
      </c>
      <c r="H427" s="4" t="s">
        <v>2183</v>
      </c>
      <c r="I427" s="4" t="s">
        <v>2100</v>
      </c>
      <c r="J427" s="4" t="s">
        <v>2491</v>
      </c>
      <c r="K427">
        <v>3</v>
      </c>
      <c r="L427">
        <v>0.91439999999999999</v>
      </c>
      <c r="M427">
        <v>38.1</v>
      </c>
      <c r="N427">
        <v>285.75</v>
      </c>
      <c r="O427">
        <v>36</v>
      </c>
      <c r="P427">
        <v>1.5000000000000002</v>
      </c>
      <c r="Q427">
        <v>11.25</v>
      </c>
      <c r="R427">
        <v>301.35199999999998</v>
      </c>
      <c r="S427">
        <v>9.9551413799999992E-3</v>
      </c>
      <c r="T427" s="4" t="s">
        <v>2508</v>
      </c>
    </row>
    <row r="428" spans="1:20" x14ac:dyDescent="0.2">
      <c r="A428" s="4" t="s">
        <v>2294</v>
      </c>
      <c r="B428" s="4" t="s">
        <v>2488</v>
      </c>
      <c r="C428" s="4" t="s">
        <v>2286</v>
      </c>
      <c r="D428" s="4" t="s">
        <v>2236</v>
      </c>
      <c r="E428" s="4" t="s">
        <v>2509</v>
      </c>
      <c r="F428" s="4" t="s">
        <v>2490</v>
      </c>
      <c r="G428" s="4" t="s">
        <v>2294</v>
      </c>
      <c r="H428" s="4" t="s">
        <v>2183</v>
      </c>
      <c r="I428" s="4" t="s">
        <v>2100</v>
      </c>
      <c r="J428" s="4" t="s">
        <v>2491</v>
      </c>
      <c r="K428">
        <v>4</v>
      </c>
      <c r="L428">
        <v>1.2192000000000001</v>
      </c>
      <c r="M428">
        <v>38.1</v>
      </c>
      <c r="N428">
        <v>285.75</v>
      </c>
      <c r="O428">
        <v>48.000000000000007</v>
      </c>
      <c r="P428">
        <v>1.5000000000000002</v>
      </c>
      <c r="Q428">
        <v>11.25</v>
      </c>
      <c r="R428">
        <v>301.35199999999998</v>
      </c>
      <c r="S428">
        <v>1.327352184E-2</v>
      </c>
      <c r="T428" s="4" t="s">
        <v>2508</v>
      </c>
    </row>
    <row r="429" spans="1:20" x14ac:dyDescent="0.2">
      <c r="A429" s="4" t="s">
        <v>2294</v>
      </c>
      <c r="B429" s="4" t="s">
        <v>2488</v>
      </c>
      <c r="C429" s="4" t="s">
        <v>2286</v>
      </c>
      <c r="D429" s="4" t="s">
        <v>2236</v>
      </c>
      <c r="E429" s="4" t="s">
        <v>2510</v>
      </c>
      <c r="F429" s="4" t="s">
        <v>2490</v>
      </c>
      <c r="G429" s="4" t="s">
        <v>2294</v>
      </c>
      <c r="H429" s="4" t="s">
        <v>2183</v>
      </c>
      <c r="I429" s="4" t="s">
        <v>2100</v>
      </c>
      <c r="J429" s="4" t="s">
        <v>2491</v>
      </c>
      <c r="K429">
        <v>5</v>
      </c>
      <c r="L429">
        <v>1.524</v>
      </c>
      <c r="M429">
        <v>38.1</v>
      </c>
      <c r="N429">
        <v>285.75</v>
      </c>
      <c r="O429">
        <v>60</v>
      </c>
      <c r="P429">
        <v>1.5000000000000002</v>
      </c>
      <c r="Q429">
        <v>11.25</v>
      </c>
      <c r="R429">
        <v>301.35199999999998</v>
      </c>
      <c r="S429">
        <v>1.6591902300000003E-2</v>
      </c>
      <c r="T429" s="4" t="s">
        <v>2508</v>
      </c>
    </row>
    <row r="430" spans="1:20" x14ac:dyDescent="0.2">
      <c r="A430" s="4" t="s">
        <v>2294</v>
      </c>
      <c r="B430" s="4" t="s">
        <v>2488</v>
      </c>
      <c r="C430" s="4" t="s">
        <v>2286</v>
      </c>
      <c r="D430" s="4" t="s">
        <v>2236</v>
      </c>
      <c r="E430" s="4" t="s">
        <v>2511</v>
      </c>
      <c r="F430" s="4" t="s">
        <v>2490</v>
      </c>
      <c r="G430" s="4" t="s">
        <v>2294</v>
      </c>
      <c r="H430" s="4" t="s">
        <v>2183</v>
      </c>
      <c r="I430" s="4" t="s">
        <v>2100</v>
      </c>
      <c r="J430" s="4" t="s">
        <v>2491</v>
      </c>
      <c r="K430">
        <v>6</v>
      </c>
      <c r="L430">
        <v>1.8288</v>
      </c>
      <c r="M430">
        <v>38.1</v>
      </c>
      <c r="N430">
        <v>285.75</v>
      </c>
      <c r="O430">
        <v>72</v>
      </c>
      <c r="P430">
        <v>1.5000000000000002</v>
      </c>
      <c r="Q430">
        <v>11.25</v>
      </c>
      <c r="R430">
        <v>301.35199999999998</v>
      </c>
      <c r="S430">
        <v>1.9910282759999998E-2</v>
      </c>
      <c r="T430" s="4" t="s">
        <v>2508</v>
      </c>
    </row>
    <row r="431" spans="1:20" x14ac:dyDescent="0.2">
      <c r="A431" s="4" t="s">
        <v>2294</v>
      </c>
      <c r="B431" s="4" t="s">
        <v>2488</v>
      </c>
      <c r="C431" s="4" t="s">
        <v>2286</v>
      </c>
      <c r="D431" s="4" t="s">
        <v>2236</v>
      </c>
      <c r="E431" s="4" t="s">
        <v>2512</v>
      </c>
      <c r="F431" s="4" t="s">
        <v>2490</v>
      </c>
      <c r="G431" s="4" t="s">
        <v>2294</v>
      </c>
      <c r="H431" s="4" t="s">
        <v>2183</v>
      </c>
      <c r="I431" s="4" t="s">
        <v>2100</v>
      </c>
      <c r="J431" s="4" t="s">
        <v>2491</v>
      </c>
      <c r="K431">
        <v>7</v>
      </c>
      <c r="L431">
        <v>2.1335999999999999</v>
      </c>
      <c r="M431">
        <v>38.1</v>
      </c>
      <c r="N431">
        <v>285.75</v>
      </c>
      <c r="O431">
        <v>84</v>
      </c>
      <c r="P431">
        <v>1.5000000000000002</v>
      </c>
      <c r="Q431">
        <v>11.25</v>
      </c>
      <c r="R431">
        <v>301.35199999999998</v>
      </c>
      <c r="S431">
        <v>2.3228663220000001E-2</v>
      </c>
      <c r="T431" s="4" t="s">
        <v>2508</v>
      </c>
    </row>
    <row r="432" spans="1:20" x14ac:dyDescent="0.2">
      <c r="A432" s="4" t="s">
        <v>2294</v>
      </c>
      <c r="B432" s="4" t="s">
        <v>2488</v>
      </c>
      <c r="C432" s="4" t="s">
        <v>2096</v>
      </c>
      <c r="D432" s="4" t="s">
        <v>2236</v>
      </c>
      <c r="E432" s="4" t="s">
        <v>2513</v>
      </c>
      <c r="F432" s="4" t="s">
        <v>2490</v>
      </c>
      <c r="G432" s="4" t="s">
        <v>2294</v>
      </c>
      <c r="H432" s="4" t="s">
        <v>2183</v>
      </c>
      <c r="I432" s="4" t="s">
        <v>2100</v>
      </c>
      <c r="J432" s="4" t="s">
        <v>2491</v>
      </c>
      <c r="K432">
        <v>8</v>
      </c>
      <c r="L432">
        <v>2.4384000000000001</v>
      </c>
      <c r="M432">
        <v>38.1</v>
      </c>
      <c r="N432">
        <v>285.75</v>
      </c>
      <c r="O432">
        <v>96.000000000000014</v>
      </c>
      <c r="P432">
        <v>1.5000000000000002</v>
      </c>
      <c r="Q432">
        <v>11.25</v>
      </c>
      <c r="R432">
        <v>301.35199999999998</v>
      </c>
      <c r="S432">
        <v>2.654704368E-2</v>
      </c>
      <c r="T432" s="4" t="s">
        <v>2492</v>
      </c>
    </row>
    <row r="433" spans="1:20" x14ac:dyDescent="0.2">
      <c r="A433" s="4" t="s">
        <v>2294</v>
      </c>
      <c r="B433" s="4" t="s">
        <v>2488</v>
      </c>
      <c r="C433" s="4" t="s">
        <v>2096</v>
      </c>
      <c r="D433" s="4" t="s">
        <v>2236</v>
      </c>
      <c r="E433" s="4" t="s">
        <v>2514</v>
      </c>
      <c r="F433" s="4" t="s">
        <v>2490</v>
      </c>
      <c r="G433" s="4" t="s">
        <v>2294</v>
      </c>
      <c r="H433" s="4" t="s">
        <v>2183</v>
      </c>
      <c r="I433" s="4" t="s">
        <v>2100</v>
      </c>
      <c r="J433" s="4" t="s">
        <v>2491</v>
      </c>
      <c r="K433">
        <v>9</v>
      </c>
      <c r="L433">
        <v>2.7431999999999999</v>
      </c>
      <c r="M433">
        <v>38.1</v>
      </c>
      <c r="N433">
        <v>285.75</v>
      </c>
      <c r="O433">
        <v>108</v>
      </c>
      <c r="P433">
        <v>1.5000000000000002</v>
      </c>
      <c r="Q433">
        <v>11.25</v>
      </c>
      <c r="R433">
        <v>301.35199999999998</v>
      </c>
      <c r="S433">
        <v>2.9865424139999999E-2</v>
      </c>
      <c r="T433" s="4" t="s">
        <v>2492</v>
      </c>
    </row>
    <row r="434" spans="1:20" x14ac:dyDescent="0.2">
      <c r="A434" s="4" t="s">
        <v>2294</v>
      </c>
      <c r="B434" s="4" t="s">
        <v>2515</v>
      </c>
      <c r="C434" s="4" t="s">
        <v>2096</v>
      </c>
      <c r="D434" s="4" t="s">
        <v>2236</v>
      </c>
      <c r="E434" s="4" t="s">
        <v>2516</v>
      </c>
      <c r="F434" s="4" t="s">
        <v>2517</v>
      </c>
      <c r="G434" s="4" t="s">
        <v>2294</v>
      </c>
      <c r="H434" s="4" t="s">
        <v>2183</v>
      </c>
      <c r="I434" s="4" t="s">
        <v>2100</v>
      </c>
      <c r="J434" s="4" t="s">
        <v>2518</v>
      </c>
      <c r="K434">
        <v>10</v>
      </c>
      <c r="L434">
        <v>3.048</v>
      </c>
      <c r="M434">
        <v>38.1</v>
      </c>
      <c r="N434">
        <v>38.1</v>
      </c>
      <c r="O434">
        <v>120</v>
      </c>
      <c r="P434">
        <v>1.5000000000000002</v>
      </c>
      <c r="Q434">
        <v>1.5000000000000002</v>
      </c>
      <c r="R434">
        <v>2260.1390000000001</v>
      </c>
      <c r="S434">
        <v>4.4245072800000009E-3</v>
      </c>
      <c r="T434" s="4" t="s">
        <v>2519</v>
      </c>
    </row>
    <row r="435" spans="1:20" x14ac:dyDescent="0.2">
      <c r="A435" s="4" t="s">
        <v>2294</v>
      </c>
      <c r="B435" s="4" t="s">
        <v>2515</v>
      </c>
      <c r="C435" s="4" t="s">
        <v>2096</v>
      </c>
      <c r="D435" s="4" t="s">
        <v>2236</v>
      </c>
      <c r="E435" s="4" t="s">
        <v>2520</v>
      </c>
      <c r="F435" s="4" t="s">
        <v>2517</v>
      </c>
      <c r="G435" s="4" t="s">
        <v>2294</v>
      </c>
      <c r="H435" s="4" t="s">
        <v>2183</v>
      </c>
      <c r="I435" s="4" t="s">
        <v>2100</v>
      </c>
      <c r="J435" s="4" t="s">
        <v>2518</v>
      </c>
      <c r="K435">
        <v>11</v>
      </c>
      <c r="L435">
        <v>3.3527999999999998</v>
      </c>
      <c r="M435">
        <v>38.1</v>
      </c>
      <c r="N435">
        <v>38.1</v>
      </c>
      <c r="O435">
        <v>132</v>
      </c>
      <c r="P435">
        <v>1.5000000000000002</v>
      </c>
      <c r="Q435">
        <v>1.5000000000000002</v>
      </c>
      <c r="R435">
        <v>2260.1390000000001</v>
      </c>
      <c r="S435">
        <v>4.8669580080000002E-3</v>
      </c>
      <c r="T435" s="4" t="s">
        <v>2519</v>
      </c>
    </row>
    <row r="436" spans="1:20" x14ac:dyDescent="0.2">
      <c r="A436" s="4" t="s">
        <v>2294</v>
      </c>
      <c r="B436" s="4" t="s">
        <v>2515</v>
      </c>
      <c r="C436" s="4" t="s">
        <v>2096</v>
      </c>
      <c r="D436" s="4" t="s">
        <v>2236</v>
      </c>
      <c r="E436" s="4" t="s">
        <v>2521</v>
      </c>
      <c r="F436" s="4" t="s">
        <v>2517</v>
      </c>
      <c r="G436" s="4" t="s">
        <v>2294</v>
      </c>
      <c r="H436" s="4" t="s">
        <v>2183</v>
      </c>
      <c r="I436" s="4" t="s">
        <v>2100</v>
      </c>
      <c r="J436" s="4" t="s">
        <v>2518</v>
      </c>
      <c r="K436">
        <v>12</v>
      </c>
      <c r="L436">
        <v>3.6576</v>
      </c>
      <c r="M436">
        <v>38.1</v>
      </c>
      <c r="N436">
        <v>38.1</v>
      </c>
      <c r="O436">
        <v>144</v>
      </c>
      <c r="P436">
        <v>1.5000000000000002</v>
      </c>
      <c r="Q436">
        <v>1.5000000000000002</v>
      </c>
      <c r="R436">
        <v>2260.1390000000001</v>
      </c>
      <c r="S436">
        <v>5.3094087360000004E-3</v>
      </c>
      <c r="T436" s="4" t="s">
        <v>2519</v>
      </c>
    </row>
    <row r="437" spans="1:20" x14ac:dyDescent="0.2">
      <c r="A437" s="4" t="s">
        <v>2294</v>
      </c>
      <c r="B437" s="4" t="s">
        <v>2515</v>
      </c>
      <c r="C437" s="4" t="s">
        <v>2096</v>
      </c>
      <c r="D437" s="4" t="s">
        <v>2236</v>
      </c>
      <c r="E437" s="4" t="s">
        <v>2522</v>
      </c>
      <c r="F437" s="4" t="s">
        <v>2517</v>
      </c>
      <c r="G437" s="4" t="s">
        <v>2294</v>
      </c>
      <c r="H437" s="4" t="s">
        <v>2183</v>
      </c>
      <c r="I437" s="4" t="s">
        <v>2100</v>
      </c>
      <c r="J437" s="4" t="s">
        <v>2518</v>
      </c>
      <c r="K437">
        <v>13</v>
      </c>
      <c r="L437">
        <v>3.9624000000000001</v>
      </c>
      <c r="M437">
        <v>38.1</v>
      </c>
      <c r="N437">
        <v>38.1</v>
      </c>
      <c r="O437">
        <v>156</v>
      </c>
      <c r="P437">
        <v>1.5000000000000002</v>
      </c>
      <c r="Q437">
        <v>1.5000000000000002</v>
      </c>
      <c r="R437">
        <v>2260.1390000000001</v>
      </c>
      <c r="S437">
        <v>5.7518594640000005E-3</v>
      </c>
      <c r="T437" s="4" t="s">
        <v>2519</v>
      </c>
    </row>
    <row r="438" spans="1:20" x14ac:dyDescent="0.2">
      <c r="A438" s="4" t="s">
        <v>2294</v>
      </c>
      <c r="B438" s="4" t="s">
        <v>2515</v>
      </c>
      <c r="C438" s="4" t="s">
        <v>2096</v>
      </c>
      <c r="D438" s="4" t="s">
        <v>2236</v>
      </c>
      <c r="E438" s="4" t="s">
        <v>2523</v>
      </c>
      <c r="F438" s="4" t="s">
        <v>2517</v>
      </c>
      <c r="G438" s="4" t="s">
        <v>2294</v>
      </c>
      <c r="H438" s="4" t="s">
        <v>2183</v>
      </c>
      <c r="I438" s="4" t="s">
        <v>2100</v>
      </c>
      <c r="J438" s="4" t="s">
        <v>2518</v>
      </c>
      <c r="K438">
        <v>14</v>
      </c>
      <c r="L438">
        <v>4.2671999999999999</v>
      </c>
      <c r="M438">
        <v>38.1</v>
      </c>
      <c r="N438">
        <v>38.1</v>
      </c>
      <c r="O438">
        <v>168</v>
      </c>
      <c r="P438">
        <v>1.5000000000000002</v>
      </c>
      <c r="Q438">
        <v>1.5000000000000002</v>
      </c>
      <c r="R438">
        <v>2260.1390000000001</v>
      </c>
      <c r="S438">
        <v>6.1943101920000007E-3</v>
      </c>
      <c r="T438" s="4" t="s">
        <v>2519</v>
      </c>
    </row>
    <row r="439" spans="1:20" x14ac:dyDescent="0.2">
      <c r="A439" s="4" t="s">
        <v>2294</v>
      </c>
      <c r="B439" s="4" t="s">
        <v>2515</v>
      </c>
      <c r="C439" s="4" t="s">
        <v>2096</v>
      </c>
      <c r="D439" s="4" t="s">
        <v>2236</v>
      </c>
      <c r="E439" s="4" t="s">
        <v>2524</v>
      </c>
      <c r="F439" s="4" t="s">
        <v>2517</v>
      </c>
      <c r="G439" s="4" t="s">
        <v>2294</v>
      </c>
      <c r="H439" s="4" t="s">
        <v>2183</v>
      </c>
      <c r="I439" s="4" t="s">
        <v>2100</v>
      </c>
      <c r="J439" s="4" t="s">
        <v>2518</v>
      </c>
      <c r="K439">
        <v>15</v>
      </c>
      <c r="L439">
        <v>4.5720000000000001</v>
      </c>
      <c r="M439">
        <v>38.1</v>
      </c>
      <c r="N439">
        <v>38.1</v>
      </c>
      <c r="O439">
        <v>180</v>
      </c>
      <c r="P439">
        <v>1.5000000000000002</v>
      </c>
      <c r="Q439">
        <v>1.5000000000000002</v>
      </c>
      <c r="R439">
        <v>2260.1390000000001</v>
      </c>
      <c r="S439">
        <v>6.6367609200000009E-3</v>
      </c>
      <c r="T439" s="4" t="s">
        <v>2519</v>
      </c>
    </row>
    <row r="440" spans="1:20" x14ac:dyDescent="0.2">
      <c r="A440" s="4" t="s">
        <v>2294</v>
      </c>
      <c r="B440" s="4" t="s">
        <v>2515</v>
      </c>
      <c r="C440" s="4" t="s">
        <v>2096</v>
      </c>
      <c r="D440" s="4" t="s">
        <v>2236</v>
      </c>
      <c r="E440" s="4" t="s">
        <v>2525</v>
      </c>
      <c r="F440" s="4" t="s">
        <v>2517</v>
      </c>
      <c r="G440" s="4" t="s">
        <v>2294</v>
      </c>
      <c r="H440" s="4" t="s">
        <v>2183</v>
      </c>
      <c r="I440" s="4" t="s">
        <v>2100</v>
      </c>
      <c r="J440" s="4" t="s">
        <v>2518</v>
      </c>
      <c r="K440">
        <v>16</v>
      </c>
      <c r="L440">
        <v>4.8768000000000002</v>
      </c>
      <c r="M440">
        <v>38.1</v>
      </c>
      <c r="N440">
        <v>38.1</v>
      </c>
      <c r="O440">
        <v>192.00000000000003</v>
      </c>
      <c r="P440">
        <v>1.5000000000000002</v>
      </c>
      <c r="Q440">
        <v>1.5000000000000002</v>
      </c>
      <c r="R440">
        <v>2260.1390000000001</v>
      </c>
      <c r="S440">
        <v>7.0792116480000011E-3</v>
      </c>
      <c r="T440" s="4" t="s">
        <v>2519</v>
      </c>
    </row>
    <row r="441" spans="1:20" x14ac:dyDescent="0.2">
      <c r="A441" s="4" t="s">
        <v>2294</v>
      </c>
      <c r="B441" s="4" t="s">
        <v>2515</v>
      </c>
      <c r="C441" s="4" t="s">
        <v>2096</v>
      </c>
      <c r="D441" s="4" t="s">
        <v>2236</v>
      </c>
      <c r="E441" s="4" t="s">
        <v>2526</v>
      </c>
      <c r="F441" s="4" t="s">
        <v>2517</v>
      </c>
      <c r="G441" s="4" t="s">
        <v>2294</v>
      </c>
      <c r="H441" s="4" t="s">
        <v>2183</v>
      </c>
      <c r="I441" s="4" t="s">
        <v>2100</v>
      </c>
      <c r="J441" s="4" t="s">
        <v>2518</v>
      </c>
      <c r="K441">
        <v>17</v>
      </c>
      <c r="L441">
        <v>5.1816000000000004</v>
      </c>
      <c r="M441">
        <v>38.1</v>
      </c>
      <c r="N441">
        <v>38.1</v>
      </c>
      <c r="O441">
        <v>204.00000000000003</v>
      </c>
      <c r="P441">
        <v>1.5000000000000002</v>
      </c>
      <c r="Q441">
        <v>1.5000000000000002</v>
      </c>
      <c r="R441">
        <v>2260.1390000000001</v>
      </c>
      <c r="S441">
        <v>7.5216623760000021E-3</v>
      </c>
      <c r="T441" s="4" t="s">
        <v>2519</v>
      </c>
    </row>
    <row r="442" spans="1:20" x14ac:dyDescent="0.2">
      <c r="A442" s="4" t="s">
        <v>2294</v>
      </c>
      <c r="B442" s="4" t="s">
        <v>2515</v>
      </c>
      <c r="C442" s="4" t="s">
        <v>2096</v>
      </c>
      <c r="D442" s="4" t="s">
        <v>2236</v>
      </c>
      <c r="E442" s="4" t="s">
        <v>2527</v>
      </c>
      <c r="F442" s="4" t="s">
        <v>2517</v>
      </c>
      <c r="G442" s="4" t="s">
        <v>2294</v>
      </c>
      <c r="H442" s="4" t="s">
        <v>2183</v>
      </c>
      <c r="I442" s="4" t="s">
        <v>2100</v>
      </c>
      <c r="J442" s="4" t="s">
        <v>2518</v>
      </c>
      <c r="K442">
        <v>18</v>
      </c>
      <c r="L442">
        <v>5.4863999999999997</v>
      </c>
      <c r="M442">
        <v>38.1</v>
      </c>
      <c r="N442">
        <v>38.1</v>
      </c>
      <c r="O442">
        <v>216</v>
      </c>
      <c r="P442">
        <v>1.5000000000000002</v>
      </c>
      <c r="Q442">
        <v>1.5000000000000002</v>
      </c>
      <c r="R442">
        <v>2260.1390000000001</v>
      </c>
      <c r="S442">
        <v>7.9641131039999997E-3</v>
      </c>
      <c r="T442" s="4" t="s">
        <v>2519</v>
      </c>
    </row>
    <row r="443" spans="1:20" x14ac:dyDescent="0.2">
      <c r="A443" s="4" t="s">
        <v>2294</v>
      </c>
      <c r="B443" s="4" t="s">
        <v>2515</v>
      </c>
      <c r="C443" s="4" t="s">
        <v>2096</v>
      </c>
      <c r="D443" s="4" t="s">
        <v>2236</v>
      </c>
      <c r="E443" s="4" t="s">
        <v>2528</v>
      </c>
      <c r="F443" s="4" t="s">
        <v>2517</v>
      </c>
      <c r="G443" s="4" t="s">
        <v>2294</v>
      </c>
      <c r="H443" s="4" t="s">
        <v>2183</v>
      </c>
      <c r="I443" s="4" t="s">
        <v>2100</v>
      </c>
      <c r="J443" s="4" t="s">
        <v>2518</v>
      </c>
      <c r="K443">
        <v>19</v>
      </c>
      <c r="L443">
        <v>5.7911999999999999</v>
      </c>
      <c r="M443">
        <v>38.1</v>
      </c>
      <c r="N443">
        <v>38.1</v>
      </c>
      <c r="O443">
        <v>228</v>
      </c>
      <c r="P443">
        <v>1.5000000000000002</v>
      </c>
      <c r="Q443">
        <v>1.5000000000000002</v>
      </c>
      <c r="R443">
        <v>2260.1390000000001</v>
      </c>
      <c r="S443">
        <v>8.4065638320000007E-3</v>
      </c>
      <c r="T443" s="4" t="s">
        <v>2519</v>
      </c>
    </row>
    <row r="444" spans="1:20" x14ac:dyDescent="0.2">
      <c r="A444" s="4" t="s">
        <v>2294</v>
      </c>
      <c r="B444" s="4" t="s">
        <v>2515</v>
      </c>
      <c r="C444" s="4" t="s">
        <v>2096</v>
      </c>
      <c r="D444" s="4" t="s">
        <v>2236</v>
      </c>
      <c r="E444" s="4" t="s">
        <v>2529</v>
      </c>
      <c r="F444" s="4" t="s">
        <v>2517</v>
      </c>
      <c r="G444" s="4" t="s">
        <v>2294</v>
      </c>
      <c r="H444" s="4" t="s">
        <v>2183</v>
      </c>
      <c r="I444" s="4" t="s">
        <v>2100</v>
      </c>
      <c r="J444" s="4" t="s">
        <v>2518</v>
      </c>
      <c r="K444">
        <v>20</v>
      </c>
      <c r="L444">
        <v>6.0960000000000001</v>
      </c>
      <c r="M444">
        <v>38.1</v>
      </c>
      <c r="N444">
        <v>38.1</v>
      </c>
      <c r="O444">
        <v>240</v>
      </c>
      <c r="P444">
        <v>1.5000000000000002</v>
      </c>
      <c r="Q444">
        <v>1.5000000000000002</v>
      </c>
      <c r="R444">
        <v>2260.1390000000001</v>
      </c>
      <c r="S444">
        <v>8.8490145600000018E-3</v>
      </c>
      <c r="T444" s="4" t="s">
        <v>2519</v>
      </c>
    </row>
    <row r="445" spans="1:20" x14ac:dyDescent="0.2">
      <c r="A445" s="4" t="s">
        <v>2294</v>
      </c>
      <c r="B445" s="4" t="s">
        <v>2515</v>
      </c>
      <c r="C445" s="4" t="s">
        <v>2096</v>
      </c>
      <c r="D445" s="4" t="s">
        <v>2236</v>
      </c>
      <c r="E445" s="4" t="s">
        <v>2530</v>
      </c>
      <c r="F445" s="4" t="s">
        <v>2517</v>
      </c>
      <c r="G445" s="4" t="s">
        <v>2294</v>
      </c>
      <c r="H445" s="4" t="s">
        <v>2183</v>
      </c>
      <c r="I445" s="4" t="s">
        <v>2100</v>
      </c>
      <c r="J445" s="4" t="s">
        <v>2518</v>
      </c>
      <c r="K445">
        <v>21</v>
      </c>
      <c r="L445">
        <v>6.4008000000000003</v>
      </c>
      <c r="M445">
        <v>38.1</v>
      </c>
      <c r="N445">
        <v>38.1</v>
      </c>
      <c r="O445">
        <v>252.00000000000003</v>
      </c>
      <c r="P445">
        <v>1.5000000000000002</v>
      </c>
      <c r="Q445">
        <v>1.5000000000000002</v>
      </c>
      <c r="R445">
        <v>2260.1390000000001</v>
      </c>
      <c r="S445">
        <v>9.2914652880000011E-3</v>
      </c>
      <c r="T445" s="4" t="s">
        <v>2519</v>
      </c>
    </row>
    <row r="446" spans="1:20" x14ac:dyDescent="0.2">
      <c r="A446" s="4" t="s">
        <v>2294</v>
      </c>
      <c r="B446" s="4" t="s">
        <v>2515</v>
      </c>
      <c r="C446" s="4" t="s">
        <v>2096</v>
      </c>
      <c r="D446" s="4" t="s">
        <v>2236</v>
      </c>
      <c r="E446" s="4" t="s">
        <v>2531</v>
      </c>
      <c r="F446" s="4" t="s">
        <v>2517</v>
      </c>
      <c r="G446" s="4" t="s">
        <v>2294</v>
      </c>
      <c r="H446" s="4" t="s">
        <v>2183</v>
      </c>
      <c r="I446" s="4" t="s">
        <v>2100</v>
      </c>
      <c r="J446" s="4" t="s">
        <v>2518</v>
      </c>
      <c r="K446">
        <v>22</v>
      </c>
      <c r="L446">
        <v>6.7055999999999996</v>
      </c>
      <c r="M446">
        <v>38.1</v>
      </c>
      <c r="N446">
        <v>38.1</v>
      </c>
      <c r="O446">
        <v>264</v>
      </c>
      <c r="P446">
        <v>1.5000000000000002</v>
      </c>
      <c r="Q446">
        <v>1.5000000000000002</v>
      </c>
      <c r="R446">
        <v>2260.1390000000001</v>
      </c>
      <c r="S446">
        <v>9.7339160160000004E-3</v>
      </c>
      <c r="T446" s="4" t="s">
        <v>2519</v>
      </c>
    </row>
    <row r="447" spans="1:20" x14ac:dyDescent="0.2">
      <c r="A447" s="4" t="s">
        <v>2294</v>
      </c>
      <c r="B447" s="4" t="s">
        <v>2515</v>
      </c>
      <c r="C447" s="4" t="s">
        <v>2096</v>
      </c>
      <c r="D447" s="4" t="s">
        <v>2236</v>
      </c>
      <c r="E447" s="4" t="s">
        <v>2532</v>
      </c>
      <c r="F447" s="4" t="s">
        <v>2517</v>
      </c>
      <c r="G447" s="4" t="s">
        <v>2294</v>
      </c>
      <c r="H447" s="4" t="s">
        <v>2183</v>
      </c>
      <c r="I447" s="4" t="s">
        <v>2100</v>
      </c>
      <c r="J447" s="4" t="s">
        <v>2518</v>
      </c>
      <c r="K447">
        <v>23</v>
      </c>
      <c r="L447">
        <v>7.0103999999999997</v>
      </c>
      <c r="M447">
        <v>38.1</v>
      </c>
      <c r="N447">
        <v>38.1</v>
      </c>
      <c r="O447">
        <v>276</v>
      </c>
      <c r="P447">
        <v>1.5000000000000002</v>
      </c>
      <c r="Q447">
        <v>1.5000000000000002</v>
      </c>
      <c r="R447">
        <v>2260.1390000000001</v>
      </c>
      <c r="S447">
        <v>1.0176366744000003E-2</v>
      </c>
      <c r="T447" s="4" t="s">
        <v>2519</v>
      </c>
    </row>
    <row r="448" spans="1:20" x14ac:dyDescent="0.2">
      <c r="A448" s="4" t="s">
        <v>2294</v>
      </c>
      <c r="B448" s="4" t="s">
        <v>2515</v>
      </c>
      <c r="C448" s="4" t="s">
        <v>2096</v>
      </c>
      <c r="D448" s="4" t="s">
        <v>2236</v>
      </c>
      <c r="E448" s="4" t="s">
        <v>2533</v>
      </c>
      <c r="F448" s="4" t="s">
        <v>2517</v>
      </c>
      <c r="G448" s="4" t="s">
        <v>2294</v>
      </c>
      <c r="H448" s="4" t="s">
        <v>2183</v>
      </c>
      <c r="I448" s="4" t="s">
        <v>2100</v>
      </c>
      <c r="J448" s="4" t="s">
        <v>2518</v>
      </c>
      <c r="K448">
        <v>24</v>
      </c>
      <c r="L448">
        <v>7.3152000000000008</v>
      </c>
      <c r="M448">
        <v>38.1</v>
      </c>
      <c r="N448">
        <v>38.1</v>
      </c>
      <c r="O448">
        <v>288.00000000000006</v>
      </c>
      <c r="P448">
        <v>1.5000000000000002</v>
      </c>
      <c r="Q448">
        <v>1.5000000000000002</v>
      </c>
      <c r="R448">
        <v>2260.1390000000001</v>
      </c>
      <c r="S448">
        <v>1.0618817472000002E-2</v>
      </c>
      <c r="T448" s="4" t="s">
        <v>2519</v>
      </c>
    </row>
    <row r="449" spans="1:20" x14ac:dyDescent="0.2">
      <c r="A449" s="4" t="s">
        <v>2294</v>
      </c>
      <c r="B449" s="4" t="s">
        <v>2515</v>
      </c>
      <c r="C449" s="4" t="s">
        <v>2286</v>
      </c>
      <c r="D449" s="4" t="s">
        <v>2236</v>
      </c>
      <c r="E449" s="4" t="s">
        <v>2534</v>
      </c>
      <c r="F449" s="4" t="s">
        <v>2517</v>
      </c>
      <c r="G449" s="4" t="s">
        <v>2294</v>
      </c>
      <c r="H449" s="4" t="s">
        <v>2183</v>
      </c>
      <c r="I449" s="4" t="s">
        <v>2100</v>
      </c>
      <c r="J449" s="4" t="s">
        <v>2518</v>
      </c>
      <c r="K449">
        <v>3</v>
      </c>
      <c r="L449">
        <v>0.91439999999999999</v>
      </c>
      <c r="M449">
        <v>38.1</v>
      </c>
      <c r="N449">
        <v>38.1</v>
      </c>
      <c r="O449">
        <v>36</v>
      </c>
      <c r="P449">
        <v>1.5000000000000002</v>
      </c>
      <c r="Q449">
        <v>1.5000000000000002</v>
      </c>
      <c r="R449">
        <v>2260.1390000000001</v>
      </c>
      <c r="S449">
        <v>1.3273521840000001E-3</v>
      </c>
      <c r="T449" s="4" t="s">
        <v>2535</v>
      </c>
    </row>
    <row r="450" spans="1:20" x14ac:dyDescent="0.2">
      <c r="A450" s="4" t="s">
        <v>2294</v>
      </c>
      <c r="B450" s="4" t="s">
        <v>2515</v>
      </c>
      <c r="C450" s="4" t="s">
        <v>2286</v>
      </c>
      <c r="D450" s="4" t="s">
        <v>2236</v>
      </c>
      <c r="E450" s="4" t="s">
        <v>2536</v>
      </c>
      <c r="F450" s="4" t="s">
        <v>2517</v>
      </c>
      <c r="G450" s="4" t="s">
        <v>2294</v>
      </c>
      <c r="H450" s="4" t="s">
        <v>2183</v>
      </c>
      <c r="I450" s="4" t="s">
        <v>2100</v>
      </c>
      <c r="J450" s="4" t="s">
        <v>2518</v>
      </c>
      <c r="K450">
        <v>4</v>
      </c>
      <c r="L450">
        <v>1.2192000000000001</v>
      </c>
      <c r="M450">
        <v>38.1</v>
      </c>
      <c r="N450">
        <v>38.1</v>
      </c>
      <c r="O450">
        <v>48.000000000000007</v>
      </c>
      <c r="P450">
        <v>1.5000000000000002</v>
      </c>
      <c r="Q450">
        <v>1.5000000000000002</v>
      </c>
      <c r="R450">
        <v>2260.1390000000001</v>
      </c>
      <c r="S450">
        <v>1.7698029120000003E-3</v>
      </c>
      <c r="T450" s="4" t="s">
        <v>2535</v>
      </c>
    </row>
    <row r="451" spans="1:20" x14ac:dyDescent="0.2">
      <c r="A451" s="4" t="s">
        <v>2294</v>
      </c>
      <c r="B451" s="4" t="s">
        <v>2515</v>
      </c>
      <c r="C451" s="4" t="s">
        <v>2286</v>
      </c>
      <c r="D451" s="4" t="s">
        <v>2236</v>
      </c>
      <c r="E451" s="4" t="s">
        <v>2537</v>
      </c>
      <c r="F451" s="4" t="s">
        <v>2517</v>
      </c>
      <c r="G451" s="4" t="s">
        <v>2294</v>
      </c>
      <c r="H451" s="4" t="s">
        <v>2183</v>
      </c>
      <c r="I451" s="4" t="s">
        <v>2100</v>
      </c>
      <c r="J451" s="4" t="s">
        <v>2518</v>
      </c>
      <c r="K451">
        <v>5</v>
      </c>
      <c r="L451">
        <v>1.524</v>
      </c>
      <c r="M451">
        <v>38.1</v>
      </c>
      <c r="N451">
        <v>38.1</v>
      </c>
      <c r="O451">
        <v>60</v>
      </c>
      <c r="P451">
        <v>1.5000000000000002</v>
      </c>
      <c r="Q451">
        <v>1.5000000000000002</v>
      </c>
      <c r="R451">
        <v>2260.1390000000001</v>
      </c>
      <c r="S451">
        <v>2.2122536400000004E-3</v>
      </c>
      <c r="T451" s="4" t="s">
        <v>2535</v>
      </c>
    </row>
    <row r="452" spans="1:20" x14ac:dyDescent="0.2">
      <c r="A452" s="4" t="s">
        <v>2294</v>
      </c>
      <c r="B452" s="4" t="s">
        <v>2515</v>
      </c>
      <c r="C452" s="4" t="s">
        <v>2286</v>
      </c>
      <c r="D452" s="4" t="s">
        <v>2236</v>
      </c>
      <c r="E452" s="4" t="s">
        <v>2538</v>
      </c>
      <c r="F452" s="4" t="s">
        <v>2517</v>
      </c>
      <c r="G452" s="4" t="s">
        <v>2294</v>
      </c>
      <c r="H452" s="4" t="s">
        <v>2183</v>
      </c>
      <c r="I452" s="4" t="s">
        <v>2100</v>
      </c>
      <c r="J452" s="4" t="s">
        <v>2518</v>
      </c>
      <c r="K452">
        <v>6</v>
      </c>
      <c r="L452">
        <v>1.8288</v>
      </c>
      <c r="M452">
        <v>38.1</v>
      </c>
      <c r="N452">
        <v>38.1</v>
      </c>
      <c r="O452">
        <v>72</v>
      </c>
      <c r="P452">
        <v>1.5000000000000002</v>
      </c>
      <c r="Q452">
        <v>1.5000000000000002</v>
      </c>
      <c r="R452">
        <v>2260.1390000000001</v>
      </c>
      <c r="S452">
        <v>2.6547043680000002E-3</v>
      </c>
      <c r="T452" s="4" t="s">
        <v>2535</v>
      </c>
    </row>
    <row r="453" spans="1:20" x14ac:dyDescent="0.2">
      <c r="A453" s="4" t="s">
        <v>2294</v>
      </c>
      <c r="B453" s="4" t="s">
        <v>2515</v>
      </c>
      <c r="C453" s="4" t="s">
        <v>2286</v>
      </c>
      <c r="D453" s="4" t="s">
        <v>2236</v>
      </c>
      <c r="E453" s="4" t="s">
        <v>2539</v>
      </c>
      <c r="F453" s="4" t="s">
        <v>2517</v>
      </c>
      <c r="G453" s="4" t="s">
        <v>2294</v>
      </c>
      <c r="H453" s="4" t="s">
        <v>2183</v>
      </c>
      <c r="I453" s="4" t="s">
        <v>2100</v>
      </c>
      <c r="J453" s="4" t="s">
        <v>2518</v>
      </c>
      <c r="K453">
        <v>7</v>
      </c>
      <c r="L453">
        <v>2.1335999999999999</v>
      </c>
      <c r="M453">
        <v>38.1</v>
      </c>
      <c r="N453">
        <v>38.1</v>
      </c>
      <c r="O453">
        <v>84</v>
      </c>
      <c r="P453">
        <v>1.5000000000000002</v>
      </c>
      <c r="Q453">
        <v>1.5000000000000002</v>
      </c>
      <c r="R453">
        <v>2260.1390000000001</v>
      </c>
      <c r="S453">
        <v>3.0971550960000004E-3</v>
      </c>
      <c r="T453" s="4" t="s">
        <v>2535</v>
      </c>
    </row>
    <row r="454" spans="1:20" x14ac:dyDescent="0.2">
      <c r="A454" s="4" t="s">
        <v>2294</v>
      </c>
      <c r="B454" s="4" t="s">
        <v>2515</v>
      </c>
      <c r="C454" s="4" t="s">
        <v>2096</v>
      </c>
      <c r="D454" s="4" t="s">
        <v>2236</v>
      </c>
      <c r="E454" s="4" t="s">
        <v>2540</v>
      </c>
      <c r="F454" s="4" t="s">
        <v>2517</v>
      </c>
      <c r="G454" s="4" t="s">
        <v>2294</v>
      </c>
      <c r="H454" s="4" t="s">
        <v>2183</v>
      </c>
      <c r="I454" s="4" t="s">
        <v>2100</v>
      </c>
      <c r="J454" s="4" t="s">
        <v>2518</v>
      </c>
      <c r="K454">
        <v>8</v>
      </c>
      <c r="L454">
        <v>2.4384000000000001</v>
      </c>
      <c r="M454">
        <v>38.1</v>
      </c>
      <c r="N454">
        <v>38.1</v>
      </c>
      <c r="O454">
        <v>96.000000000000014</v>
      </c>
      <c r="P454">
        <v>1.5000000000000002</v>
      </c>
      <c r="Q454">
        <v>1.5000000000000002</v>
      </c>
      <c r="R454">
        <v>2260.1390000000001</v>
      </c>
      <c r="S454">
        <v>3.5396058240000005E-3</v>
      </c>
      <c r="T454" s="4" t="s">
        <v>2519</v>
      </c>
    </row>
    <row r="455" spans="1:20" x14ac:dyDescent="0.2">
      <c r="A455" s="4" t="s">
        <v>2294</v>
      </c>
      <c r="B455" s="4" t="s">
        <v>2515</v>
      </c>
      <c r="C455" s="4" t="s">
        <v>2096</v>
      </c>
      <c r="D455" s="4" t="s">
        <v>2236</v>
      </c>
      <c r="E455" s="4" t="s">
        <v>2541</v>
      </c>
      <c r="F455" s="4" t="s">
        <v>2517</v>
      </c>
      <c r="G455" s="4" t="s">
        <v>2294</v>
      </c>
      <c r="H455" s="4" t="s">
        <v>2183</v>
      </c>
      <c r="I455" s="4" t="s">
        <v>2100</v>
      </c>
      <c r="J455" s="4" t="s">
        <v>2518</v>
      </c>
      <c r="K455">
        <v>9</v>
      </c>
      <c r="L455">
        <v>2.7431999999999999</v>
      </c>
      <c r="M455">
        <v>38.1</v>
      </c>
      <c r="N455">
        <v>38.1</v>
      </c>
      <c r="O455">
        <v>108</v>
      </c>
      <c r="P455">
        <v>1.5000000000000002</v>
      </c>
      <c r="Q455">
        <v>1.5000000000000002</v>
      </c>
      <c r="R455">
        <v>2260.1390000000001</v>
      </c>
      <c r="S455">
        <v>3.9820565519999998E-3</v>
      </c>
      <c r="T455" s="4" t="s">
        <v>2519</v>
      </c>
    </row>
    <row r="456" spans="1:20" x14ac:dyDescent="0.2">
      <c r="A456" s="4" t="s">
        <v>2294</v>
      </c>
      <c r="B456" s="4" t="s">
        <v>2542</v>
      </c>
      <c r="C456" s="4" t="s">
        <v>2096</v>
      </c>
      <c r="D456" s="4" t="s">
        <v>2236</v>
      </c>
      <c r="E456" s="4" t="s">
        <v>396</v>
      </c>
      <c r="F456" s="4" t="s">
        <v>2543</v>
      </c>
      <c r="G456" s="4" t="s">
        <v>2294</v>
      </c>
      <c r="H456" s="4" t="s">
        <v>2183</v>
      </c>
      <c r="I456" s="4" t="s">
        <v>2100</v>
      </c>
      <c r="J456" s="4" t="s">
        <v>2544</v>
      </c>
      <c r="K456">
        <v>10</v>
      </c>
      <c r="L456">
        <v>3.048</v>
      </c>
      <c r="M456">
        <v>38.1</v>
      </c>
      <c r="N456">
        <v>76.2</v>
      </c>
      <c r="O456">
        <v>120</v>
      </c>
      <c r="P456">
        <v>1.5000000000000002</v>
      </c>
      <c r="Q456">
        <v>3.0000000000000004</v>
      </c>
      <c r="R456">
        <v>1130.069</v>
      </c>
      <c r="S456">
        <v>8.8490145600000018E-3</v>
      </c>
      <c r="T456" s="4" t="s">
        <v>2545</v>
      </c>
    </row>
    <row r="457" spans="1:20" x14ac:dyDescent="0.2">
      <c r="A457" s="4" t="s">
        <v>2294</v>
      </c>
      <c r="B457" s="4" t="s">
        <v>2542</v>
      </c>
      <c r="C457" s="4" t="s">
        <v>2096</v>
      </c>
      <c r="D457" s="4" t="s">
        <v>2236</v>
      </c>
      <c r="E457" s="4" t="s">
        <v>398</v>
      </c>
      <c r="F457" s="4" t="s">
        <v>2543</v>
      </c>
      <c r="G457" s="4" t="s">
        <v>2294</v>
      </c>
      <c r="H457" s="4" t="s">
        <v>2183</v>
      </c>
      <c r="I457" s="4" t="s">
        <v>2100</v>
      </c>
      <c r="J457" s="4" t="s">
        <v>2544</v>
      </c>
      <c r="K457">
        <v>12</v>
      </c>
      <c r="L457">
        <v>3.6576</v>
      </c>
      <c r="M457">
        <v>38.1</v>
      </c>
      <c r="N457">
        <v>76.2</v>
      </c>
      <c r="O457">
        <v>144</v>
      </c>
      <c r="P457">
        <v>1.5000000000000002</v>
      </c>
      <c r="Q457">
        <v>3.0000000000000004</v>
      </c>
      <c r="R457">
        <v>1130.069</v>
      </c>
      <c r="S457">
        <v>1.0618817472000001E-2</v>
      </c>
      <c r="T457" s="4" t="s">
        <v>2545</v>
      </c>
    </row>
    <row r="458" spans="1:20" x14ac:dyDescent="0.2">
      <c r="A458" s="4" t="s">
        <v>2294</v>
      </c>
      <c r="B458" s="4" t="s">
        <v>2542</v>
      </c>
      <c r="C458" s="4" t="s">
        <v>2286</v>
      </c>
      <c r="D458" s="4" t="s">
        <v>2236</v>
      </c>
      <c r="E458" s="4" t="s">
        <v>400</v>
      </c>
      <c r="F458" s="4" t="s">
        <v>2543</v>
      </c>
      <c r="G458" s="4" t="s">
        <v>2294</v>
      </c>
      <c r="H458" s="4" t="s">
        <v>2183</v>
      </c>
      <c r="I458" s="4" t="s">
        <v>2100</v>
      </c>
      <c r="J458" s="4" t="s">
        <v>2544</v>
      </c>
      <c r="K458">
        <v>6</v>
      </c>
      <c r="L458">
        <v>1.8288</v>
      </c>
      <c r="M458">
        <v>38.1</v>
      </c>
      <c r="N458">
        <v>76.2</v>
      </c>
      <c r="O458">
        <v>72</v>
      </c>
      <c r="P458">
        <v>1.5000000000000002</v>
      </c>
      <c r="Q458">
        <v>3.0000000000000004</v>
      </c>
      <c r="R458">
        <v>1130.069</v>
      </c>
      <c r="S458">
        <v>5.3094087360000004E-3</v>
      </c>
      <c r="T458" s="4" t="s">
        <v>2546</v>
      </c>
    </row>
    <row r="459" spans="1:20" x14ac:dyDescent="0.2">
      <c r="A459" s="4" t="s">
        <v>2294</v>
      </c>
      <c r="B459" s="4" t="s">
        <v>2542</v>
      </c>
      <c r="C459" s="4" t="s">
        <v>2096</v>
      </c>
      <c r="D459" s="4" t="s">
        <v>2236</v>
      </c>
      <c r="E459" s="4" t="s">
        <v>402</v>
      </c>
      <c r="F459" s="4" t="s">
        <v>2543</v>
      </c>
      <c r="G459" s="4" t="s">
        <v>2294</v>
      </c>
      <c r="H459" s="4" t="s">
        <v>2183</v>
      </c>
      <c r="I459" s="4" t="s">
        <v>2100</v>
      </c>
      <c r="J459" s="4" t="s">
        <v>2544</v>
      </c>
      <c r="K459">
        <v>8</v>
      </c>
      <c r="L459">
        <v>2.4384000000000001</v>
      </c>
      <c r="M459">
        <v>38.1</v>
      </c>
      <c r="N459">
        <v>76.2</v>
      </c>
      <c r="O459">
        <v>96.000000000000014</v>
      </c>
      <c r="P459">
        <v>1.5000000000000002</v>
      </c>
      <c r="Q459">
        <v>3.0000000000000004</v>
      </c>
      <c r="R459">
        <v>1130.069</v>
      </c>
      <c r="S459">
        <v>7.0792116480000011E-3</v>
      </c>
      <c r="T459" s="4" t="s">
        <v>2545</v>
      </c>
    </row>
    <row r="460" spans="1:20" x14ac:dyDescent="0.2">
      <c r="A460" s="4" t="s">
        <v>2294</v>
      </c>
      <c r="B460" s="4" t="s">
        <v>2547</v>
      </c>
      <c r="C460" s="4" t="s">
        <v>2096</v>
      </c>
      <c r="D460" s="4" t="s">
        <v>2236</v>
      </c>
      <c r="E460" s="4" t="s">
        <v>404</v>
      </c>
      <c r="F460" s="4" t="s">
        <v>2548</v>
      </c>
      <c r="G460" s="4" t="s">
        <v>2294</v>
      </c>
      <c r="H460" s="4" t="s">
        <v>2183</v>
      </c>
      <c r="I460" s="4" t="s">
        <v>2100</v>
      </c>
      <c r="J460" s="4" t="s">
        <v>2549</v>
      </c>
      <c r="K460">
        <v>10</v>
      </c>
      <c r="L460">
        <v>3.048</v>
      </c>
      <c r="M460">
        <v>38.1</v>
      </c>
      <c r="N460">
        <v>88.9</v>
      </c>
      <c r="O460">
        <v>120</v>
      </c>
      <c r="P460">
        <v>1.5000000000000002</v>
      </c>
      <c r="Q460">
        <v>3.5000000000000004</v>
      </c>
      <c r="R460">
        <v>968.63099999999997</v>
      </c>
      <c r="S460">
        <v>1.0323850320000001E-2</v>
      </c>
      <c r="T460" s="4" t="s">
        <v>2550</v>
      </c>
    </row>
    <row r="461" spans="1:20" x14ac:dyDescent="0.2">
      <c r="A461" s="4" t="s">
        <v>2294</v>
      </c>
      <c r="B461" s="4" t="s">
        <v>2547</v>
      </c>
      <c r="C461" s="4" t="s">
        <v>2096</v>
      </c>
      <c r="D461" s="4" t="s">
        <v>2236</v>
      </c>
      <c r="E461" s="4" t="s">
        <v>2551</v>
      </c>
      <c r="F461" s="4" t="s">
        <v>2548</v>
      </c>
      <c r="G461" s="4" t="s">
        <v>2294</v>
      </c>
      <c r="H461" s="4" t="s">
        <v>2183</v>
      </c>
      <c r="I461" s="4" t="s">
        <v>2100</v>
      </c>
      <c r="J461" s="4" t="s">
        <v>2549</v>
      </c>
      <c r="K461">
        <v>11</v>
      </c>
      <c r="L461">
        <v>3.3527999999999998</v>
      </c>
      <c r="M461">
        <v>38.1</v>
      </c>
      <c r="N461">
        <v>88.9</v>
      </c>
      <c r="O461">
        <v>132</v>
      </c>
      <c r="P461">
        <v>1.5000000000000002</v>
      </c>
      <c r="Q461">
        <v>3.5000000000000004</v>
      </c>
      <c r="R461">
        <v>968.63099999999997</v>
      </c>
      <c r="S461">
        <v>1.1356235352000001E-2</v>
      </c>
      <c r="T461" s="4" t="s">
        <v>2550</v>
      </c>
    </row>
    <row r="462" spans="1:20" x14ac:dyDescent="0.2">
      <c r="A462" s="4" t="s">
        <v>2294</v>
      </c>
      <c r="B462" s="4" t="s">
        <v>2547</v>
      </c>
      <c r="C462" s="4" t="s">
        <v>2096</v>
      </c>
      <c r="D462" s="4" t="s">
        <v>2236</v>
      </c>
      <c r="E462" s="4" t="s">
        <v>406</v>
      </c>
      <c r="F462" s="4" t="s">
        <v>2548</v>
      </c>
      <c r="G462" s="4" t="s">
        <v>2294</v>
      </c>
      <c r="H462" s="4" t="s">
        <v>2183</v>
      </c>
      <c r="I462" s="4" t="s">
        <v>2100</v>
      </c>
      <c r="J462" s="4" t="s">
        <v>2549</v>
      </c>
      <c r="K462">
        <v>12</v>
      </c>
      <c r="L462">
        <v>3.6576</v>
      </c>
      <c r="M462">
        <v>38.1</v>
      </c>
      <c r="N462">
        <v>88.9</v>
      </c>
      <c r="O462">
        <v>144</v>
      </c>
      <c r="P462">
        <v>1.5000000000000002</v>
      </c>
      <c r="Q462">
        <v>3.5000000000000004</v>
      </c>
      <c r="R462">
        <v>968.63099999999997</v>
      </c>
      <c r="S462">
        <v>1.2388620384E-2</v>
      </c>
      <c r="T462" s="4" t="s">
        <v>2550</v>
      </c>
    </row>
    <row r="463" spans="1:20" x14ac:dyDescent="0.2">
      <c r="A463" s="4" t="s">
        <v>2294</v>
      </c>
      <c r="B463" s="4" t="s">
        <v>2547</v>
      </c>
      <c r="C463" s="4" t="s">
        <v>2096</v>
      </c>
      <c r="D463" s="4" t="s">
        <v>2236</v>
      </c>
      <c r="E463" s="4" t="s">
        <v>2552</v>
      </c>
      <c r="F463" s="4" t="s">
        <v>2548</v>
      </c>
      <c r="G463" s="4" t="s">
        <v>2294</v>
      </c>
      <c r="H463" s="4" t="s">
        <v>2183</v>
      </c>
      <c r="I463" s="4" t="s">
        <v>2100</v>
      </c>
      <c r="J463" s="4" t="s">
        <v>2549</v>
      </c>
      <c r="K463">
        <v>13</v>
      </c>
      <c r="L463">
        <v>3.9624000000000001</v>
      </c>
      <c r="M463">
        <v>38.1</v>
      </c>
      <c r="N463">
        <v>88.9</v>
      </c>
      <c r="O463">
        <v>156</v>
      </c>
      <c r="P463">
        <v>1.5000000000000002</v>
      </c>
      <c r="Q463">
        <v>3.5000000000000004</v>
      </c>
      <c r="R463">
        <v>968.63099999999997</v>
      </c>
      <c r="S463">
        <v>1.3421005416000002E-2</v>
      </c>
      <c r="T463" s="4" t="s">
        <v>2550</v>
      </c>
    </row>
    <row r="464" spans="1:20" x14ac:dyDescent="0.2">
      <c r="A464" s="4" t="s">
        <v>2294</v>
      </c>
      <c r="B464" s="4" t="s">
        <v>2547</v>
      </c>
      <c r="C464" s="4" t="s">
        <v>2096</v>
      </c>
      <c r="D464" s="4" t="s">
        <v>2236</v>
      </c>
      <c r="E464" s="4" t="s">
        <v>408</v>
      </c>
      <c r="F464" s="4" t="s">
        <v>2548</v>
      </c>
      <c r="G464" s="4" t="s">
        <v>2294</v>
      </c>
      <c r="H464" s="4" t="s">
        <v>2183</v>
      </c>
      <c r="I464" s="4" t="s">
        <v>2100</v>
      </c>
      <c r="J464" s="4" t="s">
        <v>2549</v>
      </c>
      <c r="K464">
        <v>14</v>
      </c>
      <c r="L464">
        <v>4.2671999999999999</v>
      </c>
      <c r="M464">
        <v>38.1</v>
      </c>
      <c r="N464">
        <v>88.9</v>
      </c>
      <c r="O464">
        <v>168</v>
      </c>
      <c r="P464">
        <v>1.5000000000000002</v>
      </c>
      <c r="Q464">
        <v>3.5000000000000004</v>
      </c>
      <c r="R464">
        <v>968.63099999999997</v>
      </c>
      <c r="S464">
        <v>1.4453390448E-2</v>
      </c>
      <c r="T464" s="4" t="s">
        <v>2550</v>
      </c>
    </row>
    <row r="465" spans="1:20" x14ac:dyDescent="0.2">
      <c r="A465" s="4" t="s">
        <v>2294</v>
      </c>
      <c r="B465" s="4" t="s">
        <v>2547</v>
      </c>
      <c r="C465" s="4" t="s">
        <v>2096</v>
      </c>
      <c r="D465" s="4" t="s">
        <v>2236</v>
      </c>
      <c r="E465" s="4" t="s">
        <v>2553</v>
      </c>
      <c r="F465" s="4" t="s">
        <v>2548</v>
      </c>
      <c r="G465" s="4" t="s">
        <v>2294</v>
      </c>
      <c r="H465" s="4" t="s">
        <v>2183</v>
      </c>
      <c r="I465" s="4" t="s">
        <v>2100</v>
      </c>
      <c r="J465" s="4" t="s">
        <v>2549</v>
      </c>
      <c r="K465">
        <v>15</v>
      </c>
      <c r="L465">
        <v>4.5720000000000001</v>
      </c>
      <c r="M465">
        <v>38.1</v>
      </c>
      <c r="N465">
        <v>88.9</v>
      </c>
      <c r="O465">
        <v>180</v>
      </c>
      <c r="P465">
        <v>1.5000000000000002</v>
      </c>
      <c r="Q465">
        <v>3.5000000000000004</v>
      </c>
      <c r="R465">
        <v>968.63099999999997</v>
      </c>
      <c r="S465">
        <v>1.5485775480000004E-2</v>
      </c>
      <c r="T465" s="4" t="s">
        <v>2550</v>
      </c>
    </row>
    <row r="466" spans="1:20" x14ac:dyDescent="0.2">
      <c r="A466" s="4" t="s">
        <v>2294</v>
      </c>
      <c r="B466" s="4" t="s">
        <v>2547</v>
      </c>
      <c r="C466" s="4" t="s">
        <v>2096</v>
      </c>
      <c r="D466" s="4" t="s">
        <v>2236</v>
      </c>
      <c r="E466" s="4" t="s">
        <v>410</v>
      </c>
      <c r="F466" s="4" t="s">
        <v>2548</v>
      </c>
      <c r="G466" s="4" t="s">
        <v>2294</v>
      </c>
      <c r="H466" s="4" t="s">
        <v>2183</v>
      </c>
      <c r="I466" s="4" t="s">
        <v>2100</v>
      </c>
      <c r="J466" s="4" t="s">
        <v>2549</v>
      </c>
      <c r="K466">
        <v>16</v>
      </c>
      <c r="L466">
        <v>4.8768000000000002</v>
      </c>
      <c r="M466">
        <v>38.1</v>
      </c>
      <c r="N466">
        <v>88.9</v>
      </c>
      <c r="O466">
        <v>192.00000000000003</v>
      </c>
      <c r="P466">
        <v>1.5000000000000002</v>
      </c>
      <c r="Q466">
        <v>3.5000000000000004</v>
      </c>
      <c r="R466">
        <v>968.63099999999997</v>
      </c>
      <c r="S466">
        <v>1.6518160512000002E-2</v>
      </c>
      <c r="T466" s="4" t="s">
        <v>2550</v>
      </c>
    </row>
    <row r="467" spans="1:20" x14ac:dyDescent="0.2">
      <c r="A467" s="4" t="s">
        <v>2294</v>
      </c>
      <c r="B467" s="4" t="s">
        <v>2547</v>
      </c>
      <c r="C467" s="4" t="s">
        <v>2096</v>
      </c>
      <c r="D467" s="4" t="s">
        <v>2236</v>
      </c>
      <c r="E467" s="4" t="s">
        <v>2554</v>
      </c>
      <c r="F467" s="4" t="s">
        <v>2548</v>
      </c>
      <c r="G467" s="4" t="s">
        <v>2294</v>
      </c>
      <c r="H467" s="4" t="s">
        <v>2183</v>
      </c>
      <c r="I467" s="4" t="s">
        <v>2100</v>
      </c>
      <c r="J467" s="4" t="s">
        <v>2549</v>
      </c>
      <c r="K467">
        <v>17</v>
      </c>
      <c r="L467">
        <v>5.1816000000000004</v>
      </c>
      <c r="M467">
        <v>38.1</v>
      </c>
      <c r="N467">
        <v>88.9</v>
      </c>
      <c r="O467">
        <v>204.00000000000003</v>
      </c>
      <c r="P467">
        <v>1.5000000000000002</v>
      </c>
      <c r="Q467">
        <v>3.5000000000000004</v>
      </c>
      <c r="R467">
        <v>968.63099999999997</v>
      </c>
      <c r="S467">
        <v>1.7550545544000005E-2</v>
      </c>
      <c r="T467" s="4" t="s">
        <v>2550</v>
      </c>
    </row>
    <row r="468" spans="1:20" x14ac:dyDescent="0.2">
      <c r="A468" s="4" t="s">
        <v>2294</v>
      </c>
      <c r="B468" s="4" t="s">
        <v>2547</v>
      </c>
      <c r="C468" s="4" t="s">
        <v>2096</v>
      </c>
      <c r="D468" s="4" t="s">
        <v>2236</v>
      </c>
      <c r="E468" s="4" t="s">
        <v>412</v>
      </c>
      <c r="F468" s="4" t="s">
        <v>2548</v>
      </c>
      <c r="G468" s="4" t="s">
        <v>2294</v>
      </c>
      <c r="H468" s="4" t="s">
        <v>2183</v>
      </c>
      <c r="I468" s="4" t="s">
        <v>2100</v>
      </c>
      <c r="J468" s="4" t="s">
        <v>2549</v>
      </c>
      <c r="K468">
        <v>18</v>
      </c>
      <c r="L468">
        <v>5.4863999999999997</v>
      </c>
      <c r="M468">
        <v>38.1</v>
      </c>
      <c r="N468">
        <v>88.9</v>
      </c>
      <c r="O468">
        <v>216</v>
      </c>
      <c r="P468">
        <v>1.5000000000000002</v>
      </c>
      <c r="Q468">
        <v>3.5000000000000004</v>
      </c>
      <c r="R468">
        <v>968.63099999999997</v>
      </c>
      <c r="S468">
        <v>1.8582930576000002E-2</v>
      </c>
      <c r="T468" s="4" t="s">
        <v>2550</v>
      </c>
    </row>
    <row r="469" spans="1:20" x14ac:dyDescent="0.2">
      <c r="A469" s="4" t="s">
        <v>2294</v>
      </c>
      <c r="B469" s="4" t="s">
        <v>2547</v>
      </c>
      <c r="C469" s="4" t="s">
        <v>2096</v>
      </c>
      <c r="D469" s="4" t="s">
        <v>2236</v>
      </c>
      <c r="E469" s="4" t="s">
        <v>2555</v>
      </c>
      <c r="F469" s="4" t="s">
        <v>2548</v>
      </c>
      <c r="G469" s="4" t="s">
        <v>2294</v>
      </c>
      <c r="H469" s="4" t="s">
        <v>2183</v>
      </c>
      <c r="I469" s="4" t="s">
        <v>2100</v>
      </c>
      <c r="J469" s="4" t="s">
        <v>2549</v>
      </c>
      <c r="K469">
        <v>19</v>
      </c>
      <c r="L469">
        <v>5.7911999999999999</v>
      </c>
      <c r="M469">
        <v>38.1</v>
      </c>
      <c r="N469">
        <v>88.9</v>
      </c>
      <c r="O469">
        <v>228</v>
      </c>
      <c r="P469">
        <v>1.5000000000000002</v>
      </c>
      <c r="Q469">
        <v>3.5000000000000004</v>
      </c>
      <c r="R469">
        <v>968.63099999999997</v>
      </c>
      <c r="S469">
        <v>1.9615315608000002E-2</v>
      </c>
      <c r="T469" s="4" t="s">
        <v>2550</v>
      </c>
    </row>
    <row r="470" spans="1:20" x14ac:dyDescent="0.2">
      <c r="A470" s="4" t="s">
        <v>2294</v>
      </c>
      <c r="B470" s="4" t="s">
        <v>2547</v>
      </c>
      <c r="C470" s="4" t="s">
        <v>2096</v>
      </c>
      <c r="D470" s="4" t="s">
        <v>2236</v>
      </c>
      <c r="E470" s="4" t="s">
        <v>414</v>
      </c>
      <c r="F470" s="4" t="s">
        <v>2548</v>
      </c>
      <c r="G470" s="4" t="s">
        <v>2294</v>
      </c>
      <c r="H470" s="4" t="s">
        <v>2183</v>
      </c>
      <c r="I470" s="4" t="s">
        <v>2100</v>
      </c>
      <c r="J470" s="4" t="s">
        <v>2549</v>
      </c>
      <c r="K470">
        <v>20</v>
      </c>
      <c r="L470">
        <v>6.0960000000000001</v>
      </c>
      <c r="M470">
        <v>38.1</v>
      </c>
      <c r="N470">
        <v>88.9</v>
      </c>
      <c r="O470">
        <v>240</v>
      </c>
      <c r="P470">
        <v>1.5000000000000002</v>
      </c>
      <c r="Q470">
        <v>3.5000000000000004</v>
      </c>
      <c r="R470">
        <v>968.63099999999997</v>
      </c>
      <c r="S470">
        <v>2.0647700640000002E-2</v>
      </c>
      <c r="T470" s="4" t="s">
        <v>2550</v>
      </c>
    </row>
    <row r="471" spans="1:20" x14ac:dyDescent="0.2">
      <c r="A471" s="4" t="s">
        <v>2294</v>
      </c>
      <c r="B471" s="4" t="s">
        <v>2547</v>
      </c>
      <c r="C471" s="4" t="s">
        <v>2096</v>
      </c>
      <c r="D471" s="4" t="s">
        <v>2236</v>
      </c>
      <c r="E471" s="4" t="s">
        <v>2556</v>
      </c>
      <c r="F471" s="4" t="s">
        <v>2548</v>
      </c>
      <c r="G471" s="4" t="s">
        <v>2294</v>
      </c>
      <c r="H471" s="4" t="s">
        <v>2183</v>
      </c>
      <c r="I471" s="4" t="s">
        <v>2100</v>
      </c>
      <c r="J471" s="4" t="s">
        <v>2549</v>
      </c>
      <c r="K471">
        <v>21</v>
      </c>
      <c r="L471">
        <v>6.4008000000000003</v>
      </c>
      <c r="M471">
        <v>38.1</v>
      </c>
      <c r="N471">
        <v>88.9</v>
      </c>
      <c r="O471">
        <v>252.00000000000003</v>
      </c>
      <c r="P471">
        <v>1.5000000000000002</v>
      </c>
      <c r="Q471">
        <v>3.5000000000000004</v>
      </c>
      <c r="R471">
        <v>968.63099999999997</v>
      </c>
      <c r="S471">
        <v>2.1680085672000003E-2</v>
      </c>
      <c r="T471" s="4" t="s">
        <v>2550</v>
      </c>
    </row>
    <row r="472" spans="1:20" x14ac:dyDescent="0.2">
      <c r="A472" s="4" t="s">
        <v>2294</v>
      </c>
      <c r="B472" s="4" t="s">
        <v>2547</v>
      </c>
      <c r="C472" s="4" t="s">
        <v>2096</v>
      </c>
      <c r="D472" s="4" t="s">
        <v>2236</v>
      </c>
      <c r="E472" s="4" t="s">
        <v>2557</v>
      </c>
      <c r="F472" s="4" t="s">
        <v>2548</v>
      </c>
      <c r="G472" s="4" t="s">
        <v>2294</v>
      </c>
      <c r="H472" s="4" t="s">
        <v>2183</v>
      </c>
      <c r="I472" s="4" t="s">
        <v>2100</v>
      </c>
      <c r="J472" s="4" t="s">
        <v>2549</v>
      </c>
      <c r="K472">
        <v>22</v>
      </c>
      <c r="L472">
        <v>6.7055999999999996</v>
      </c>
      <c r="M472">
        <v>38.1</v>
      </c>
      <c r="N472">
        <v>88.9</v>
      </c>
      <c r="O472">
        <v>264</v>
      </c>
      <c r="P472">
        <v>1.5000000000000002</v>
      </c>
      <c r="Q472">
        <v>3.5000000000000004</v>
      </c>
      <c r="R472">
        <v>968.63099999999997</v>
      </c>
      <c r="S472">
        <v>2.2712470704000003E-2</v>
      </c>
      <c r="T472" s="4" t="s">
        <v>2550</v>
      </c>
    </row>
    <row r="473" spans="1:20" x14ac:dyDescent="0.2">
      <c r="A473" s="4" t="s">
        <v>2294</v>
      </c>
      <c r="B473" s="4" t="s">
        <v>2547</v>
      </c>
      <c r="C473" s="4" t="s">
        <v>2096</v>
      </c>
      <c r="D473" s="4" t="s">
        <v>2236</v>
      </c>
      <c r="E473" s="4" t="s">
        <v>2558</v>
      </c>
      <c r="F473" s="4" t="s">
        <v>2548</v>
      </c>
      <c r="G473" s="4" t="s">
        <v>2294</v>
      </c>
      <c r="H473" s="4" t="s">
        <v>2183</v>
      </c>
      <c r="I473" s="4" t="s">
        <v>2100</v>
      </c>
      <c r="J473" s="4" t="s">
        <v>2549</v>
      </c>
      <c r="K473">
        <v>23</v>
      </c>
      <c r="L473">
        <v>7.0103999999999997</v>
      </c>
      <c r="M473">
        <v>38.1</v>
      </c>
      <c r="N473">
        <v>88.9</v>
      </c>
      <c r="O473">
        <v>276</v>
      </c>
      <c r="P473">
        <v>1.5000000000000002</v>
      </c>
      <c r="Q473">
        <v>3.5000000000000004</v>
      </c>
      <c r="R473">
        <v>968.63099999999997</v>
      </c>
      <c r="S473">
        <v>2.3744855736000006E-2</v>
      </c>
      <c r="T473" s="4" t="s">
        <v>2550</v>
      </c>
    </row>
    <row r="474" spans="1:20" x14ac:dyDescent="0.2">
      <c r="A474" s="4" t="s">
        <v>2294</v>
      </c>
      <c r="B474" s="4" t="s">
        <v>2547</v>
      </c>
      <c r="C474" s="4" t="s">
        <v>2096</v>
      </c>
      <c r="D474" s="4" t="s">
        <v>2236</v>
      </c>
      <c r="E474" s="4" t="s">
        <v>2559</v>
      </c>
      <c r="F474" s="4" t="s">
        <v>2548</v>
      </c>
      <c r="G474" s="4" t="s">
        <v>2294</v>
      </c>
      <c r="H474" s="4" t="s">
        <v>2183</v>
      </c>
      <c r="I474" s="4" t="s">
        <v>2100</v>
      </c>
      <c r="J474" s="4" t="s">
        <v>2549</v>
      </c>
      <c r="K474">
        <v>24</v>
      </c>
      <c r="L474">
        <v>7.3152000000000008</v>
      </c>
      <c r="M474">
        <v>38.1</v>
      </c>
      <c r="N474">
        <v>88.9</v>
      </c>
      <c r="O474">
        <v>288.00000000000006</v>
      </c>
      <c r="P474">
        <v>1.5000000000000002</v>
      </c>
      <c r="Q474">
        <v>3.5000000000000004</v>
      </c>
      <c r="R474">
        <v>968.63099999999997</v>
      </c>
      <c r="S474">
        <v>2.4777240768000006E-2</v>
      </c>
      <c r="T474" s="4" t="s">
        <v>2550</v>
      </c>
    </row>
    <row r="475" spans="1:20" x14ac:dyDescent="0.2">
      <c r="A475" s="4" t="s">
        <v>2294</v>
      </c>
      <c r="B475" s="4" t="s">
        <v>2547</v>
      </c>
      <c r="C475" s="4" t="s">
        <v>2286</v>
      </c>
      <c r="D475" s="4" t="s">
        <v>2236</v>
      </c>
      <c r="E475" s="4" t="s">
        <v>2560</v>
      </c>
      <c r="F475" s="4" t="s">
        <v>2548</v>
      </c>
      <c r="G475" s="4" t="s">
        <v>2294</v>
      </c>
      <c r="H475" s="4" t="s">
        <v>2183</v>
      </c>
      <c r="I475" s="4" t="s">
        <v>2100</v>
      </c>
      <c r="J475" s="4" t="s">
        <v>2549</v>
      </c>
      <c r="K475">
        <v>3</v>
      </c>
      <c r="L475">
        <v>0.91439999999999999</v>
      </c>
      <c r="M475">
        <v>38.1</v>
      </c>
      <c r="N475">
        <v>88.9</v>
      </c>
      <c r="O475">
        <v>36</v>
      </c>
      <c r="P475">
        <v>1.5000000000000002</v>
      </c>
      <c r="Q475">
        <v>3.5000000000000004</v>
      </c>
      <c r="R475">
        <v>968.63099999999997</v>
      </c>
      <c r="S475">
        <v>3.0971550959999999E-3</v>
      </c>
      <c r="T475" s="4" t="s">
        <v>2561</v>
      </c>
    </row>
    <row r="476" spans="1:20" x14ac:dyDescent="0.2">
      <c r="A476" s="4" t="s">
        <v>2294</v>
      </c>
      <c r="B476" s="4" t="s">
        <v>2547</v>
      </c>
      <c r="C476" s="4" t="s">
        <v>2286</v>
      </c>
      <c r="D476" s="4" t="s">
        <v>2236</v>
      </c>
      <c r="E476" s="4" t="s">
        <v>2562</v>
      </c>
      <c r="F476" s="4" t="s">
        <v>2548</v>
      </c>
      <c r="G476" s="4" t="s">
        <v>2294</v>
      </c>
      <c r="H476" s="4" t="s">
        <v>2183</v>
      </c>
      <c r="I476" s="4" t="s">
        <v>2100</v>
      </c>
      <c r="J476" s="4" t="s">
        <v>2549</v>
      </c>
      <c r="K476">
        <v>4</v>
      </c>
      <c r="L476">
        <v>1.2192000000000001</v>
      </c>
      <c r="M476">
        <v>38.1</v>
      </c>
      <c r="N476">
        <v>88.9</v>
      </c>
      <c r="O476">
        <v>48.000000000000007</v>
      </c>
      <c r="P476">
        <v>1.5000000000000002</v>
      </c>
      <c r="Q476">
        <v>3.5000000000000004</v>
      </c>
      <c r="R476">
        <v>968.63099999999997</v>
      </c>
      <c r="S476">
        <v>4.1295401280000005E-3</v>
      </c>
      <c r="T476" s="4" t="s">
        <v>2561</v>
      </c>
    </row>
    <row r="477" spans="1:20" x14ac:dyDescent="0.2">
      <c r="A477" s="4" t="s">
        <v>2294</v>
      </c>
      <c r="B477" s="4" t="s">
        <v>2547</v>
      </c>
      <c r="C477" s="4" t="s">
        <v>2286</v>
      </c>
      <c r="D477" s="4" t="s">
        <v>2236</v>
      </c>
      <c r="E477" s="4" t="s">
        <v>2563</v>
      </c>
      <c r="F477" s="4" t="s">
        <v>2548</v>
      </c>
      <c r="G477" s="4" t="s">
        <v>2294</v>
      </c>
      <c r="H477" s="4" t="s">
        <v>2183</v>
      </c>
      <c r="I477" s="4" t="s">
        <v>2100</v>
      </c>
      <c r="J477" s="4" t="s">
        <v>2549</v>
      </c>
      <c r="K477">
        <v>5</v>
      </c>
      <c r="L477">
        <v>1.524</v>
      </c>
      <c r="M477">
        <v>38.1</v>
      </c>
      <c r="N477">
        <v>88.9</v>
      </c>
      <c r="O477">
        <v>60</v>
      </c>
      <c r="P477">
        <v>1.5000000000000002</v>
      </c>
      <c r="Q477">
        <v>3.5000000000000004</v>
      </c>
      <c r="R477">
        <v>968.63099999999997</v>
      </c>
      <c r="S477">
        <v>5.1619251600000006E-3</v>
      </c>
      <c r="T477" s="4" t="s">
        <v>2561</v>
      </c>
    </row>
    <row r="478" spans="1:20" x14ac:dyDescent="0.2">
      <c r="A478" s="4" t="s">
        <v>2294</v>
      </c>
      <c r="B478" s="4" t="s">
        <v>2547</v>
      </c>
      <c r="C478" s="4" t="s">
        <v>2286</v>
      </c>
      <c r="D478" s="4" t="s">
        <v>2236</v>
      </c>
      <c r="E478" s="4" t="s">
        <v>2564</v>
      </c>
      <c r="F478" s="4" t="s">
        <v>2548</v>
      </c>
      <c r="G478" s="4" t="s">
        <v>2294</v>
      </c>
      <c r="H478" s="4" t="s">
        <v>2183</v>
      </c>
      <c r="I478" s="4" t="s">
        <v>2100</v>
      </c>
      <c r="J478" s="4" t="s">
        <v>2549</v>
      </c>
      <c r="K478">
        <v>6</v>
      </c>
      <c r="L478">
        <v>1.8288</v>
      </c>
      <c r="M478">
        <v>38.1</v>
      </c>
      <c r="N478">
        <v>88.9</v>
      </c>
      <c r="O478">
        <v>72</v>
      </c>
      <c r="P478">
        <v>1.5000000000000002</v>
      </c>
      <c r="Q478">
        <v>3.5000000000000004</v>
      </c>
      <c r="R478">
        <v>968.63099999999997</v>
      </c>
      <c r="S478">
        <v>6.1943101919999998E-3</v>
      </c>
      <c r="T478" s="4" t="s">
        <v>2561</v>
      </c>
    </row>
    <row r="479" spans="1:20" x14ac:dyDescent="0.2">
      <c r="A479" s="4" t="s">
        <v>2294</v>
      </c>
      <c r="B479" s="4" t="s">
        <v>2547</v>
      </c>
      <c r="C479" s="4" t="s">
        <v>2286</v>
      </c>
      <c r="D479" s="4" t="s">
        <v>2236</v>
      </c>
      <c r="E479" s="4" t="s">
        <v>2565</v>
      </c>
      <c r="F479" s="4" t="s">
        <v>2548</v>
      </c>
      <c r="G479" s="4" t="s">
        <v>2294</v>
      </c>
      <c r="H479" s="4" t="s">
        <v>2183</v>
      </c>
      <c r="I479" s="4" t="s">
        <v>2100</v>
      </c>
      <c r="J479" s="4" t="s">
        <v>2549</v>
      </c>
      <c r="K479">
        <v>7</v>
      </c>
      <c r="L479">
        <v>2.1335999999999999</v>
      </c>
      <c r="M479">
        <v>38.1</v>
      </c>
      <c r="N479">
        <v>88.9</v>
      </c>
      <c r="O479">
        <v>84</v>
      </c>
      <c r="P479">
        <v>1.5000000000000002</v>
      </c>
      <c r="Q479">
        <v>3.5000000000000004</v>
      </c>
      <c r="R479">
        <v>968.63099999999997</v>
      </c>
      <c r="S479">
        <v>7.226695224E-3</v>
      </c>
      <c r="T479" s="4" t="s">
        <v>2561</v>
      </c>
    </row>
    <row r="480" spans="1:20" x14ac:dyDescent="0.2">
      <c r="A480" s="4" t="s">
        <v>2294</v>
      </c>
      <c r="B480" s="4" t="s">
        <v>2547</v>
      </c>
      <c r="C480" s="4" t="s">
        <v>2096</v>
      </c>
      <c r="D480" s="4" t="s">
        <v>2236</v>
      </c>
      <c r="E480" s="4" t="s">
        <v>416</v>
      </c>
      <c r="F480" s="4" t="s">
        <v>2548</v>
      </c>
      <c r="G480" s="4" t="s">
        <v>2294</v>
      </c>
      <c r="H480" s="4" t="s">
        <v>2183</v>
      </c>
      <c r="I480" s="4" t="s">
        <v>2100</v>
      </c>
      <c r="J480" s="4" t="s">
        <v>2549</v>
      </c>
      <c r="K480">
        <v>8</v>
      </c>
      <c r="L480">
        <v>2.4384000000000001</v>
      </c>
      <c r="M480">
        <v>38.1</v>
      </c>
      <c r="N480">
        <v>88.9</v>
      </c>
      <c r="O480">
        <v>96.000000000000014</v>
      </c>
      <c r="P480">
        <v>1.5000000000000002</v>
      </c>
      <c r="Q480">
        <v>3.5000000000000004</v>
      </c>
      <c r="R480">
        <v>968.63099999999997</v>
      </c>
      <c r="S480">
        <v>8.259080256000001E-3</v>
      </c>
      <c r="T480" s="4" t="s">
        <v>2550</v>
      </c>
    </row>
    <row r="481" spans="1:20" x14ac:dyDescent="0.2">
      <c r="A481" s="4" t="s">
        <v>2294</v>
      </c>
      <c r="B481" s="4" t="s">
        <v>2547</v>
      </c>
      <c r="C481" s="4" t="s">
        <v>2096</v>
      </c>
      <c r="D481" s="4" t="s">
        <v>2236</v>
      </c>
      <c r="E481" s="4" t="s">
        <v>2566</v>
      </c>
      <c r="F481" s="4" t="s">
        <v>2548</v>
      </c>
      <c r="G481" s="4" t="s">
        <v>2294</v>
      </c>
      <c r="H481" s="4" t="s">
        <v>2183</v>
      </c>
      <c r="I481" s="4" t="s">
        <v>2100</v>
      </c>
      <c r="J481" s="4" t="s">
        <v>2549</v>
      </c>
      <c r="K481">
        <v>9</v>
      </c>
      <c r="L481">
        <v>2.7431999999999999</v>
      </c>
      <c r="M481">
        <v>38.1</v>
      </c>
      <c r="N481">
        <v>88.9</v>
      </c>
      <c r="O481">
        <v>108</v>
      </c>
      <c r="P481">
        <v>1.5000000000000002</v>
      </c>
      <c r="Q481">
        <v>3.5000000000000004</v>
      </c>
      <c r="R481">
        <v>968.63099999999997</v>
      </c>
      <c r="S481">
        <v>9.2914652880000011E-3</v>
      </c>
      <c r="T481" s="4" t="s">
        <v>2550</v>
      </c>
    </row>
    <row r="482" spans="1:20" x14ac:dyDescent="0.2">
      <c r="A482" s="4" t="s">
        <v>2294</v>
      </c>
      <c r="B482" s="4" t="s">
        <v>2567</v>
      </c>
      <c r="C482" s="4" t="s">
        <v>2096</v>
      </c>
      <c r="D482" s="4" t="s">
        <v>2236</v>
      </c>
      <c r="E482" s="4" t="s">
        <v>2568</v>
      </c>
      <c r="F482" s="4" t="s">
        <v>2569</v>
      </c>
      <c r="G482" s="4" t="s">
        <v>2294</v>
      </c>
      <c r="H482" s="4" t="s">
        <v>2183</v>
      </c>
      <c r="I482" s="4" t="s">
        <v>2100</v>
      </c>
      <c r="J482" s="4" t="s">
        <v>2570</v>
      </c>
      <c r="K482">
        <v>10</v>
      </c>
      <c r="L482">
        <v>3.048</v>
      </c>
      <c r="M482">
        <v>38.1</v>
      </c>
      <c r="N482">
        <v>139.69999999999999</v>
      </c>
      <c r="O482">
        <v>120</v>
      </c>
      <c r="P482">
        <v>1.5000000000000002</v>
      </c>
      <c r="Q482">
        <v>5.5</v>
      </c>
      <c r="R482">
        <v>616.40099999999995</v>
      </c>
      <c r="S482">
        <v>1.6223193359999999E-2</v>
      </c>
      <c r="T482" s="4" t="s">
        <v>2571</v>
      </c>
    </row>
    <row r="483" spans="1:20" x14ac:dyDescent="0.2">
      <c r="A483" s="4" t="s">
        <v>2294</v>
      </c>
      <c r="B483" s="4" t="s">
        <v>2567</v>
      </c>
      <c r="C483" s="4" t="s">
        <v>2096</v>
      </c>
      <c r="D483" s="4" t="s">
        <v>2236</v>
      </c>
      <c r="E483" s="4" t="s">
        <v>418</v>
      </c>
      <c r="F483" s="4" t="s">
        <v>2569</v>
      </c>
      <c r="G483" s="4" t="s">
        <v>2294</v>
      </c>
      <c r="H483" s="4" t="s">
        <v>2183</v>
      </c>
      <c r="I483" s="4" t="s">
        <v>2100</v>
      </c>
      <c r="J483" s="4" t="s">
        <v>2570</v>
      </c>
      <c r="K483">
        <v>11</v>
      </c>
      <c r="L483">
        <v>3.3527999999999998</v>
      </c>
      <c r="M483">
        <v>38.1</v>
      </c>
      <c r="N483">
        <v>139.69999999999999</v>
      </c>
      <c r="O483">
        <v>132</v>
      </c>
      <c r="P483">
        <v>1.5000000000000002</v>
      </c>
      <c r="Q483">
        <v>5.5</v>
      </c>
      <c r="R483">
        <v>616.40099999999995</v>
      </c>
      <c r="S483">
        <v>1.7845512695999998E-2</v>
      </c>
      <c r="T483" s="4" t="s">
        <v>2571</v>
      </c>
    </row>
    <row r="484" spans="1:20" x14ac:dyDescent="0.2">
      <c r="A484" s="4" t="s">
        <v>2294</v>
      </c>
      <c r="B484" s="4" t="s">
        <v>2567</v>
      </c>
      <c r="C484" s="4" t="s">
        <v>2096</v>
      </c>
      <c r="D484" s="4" t="s">
        <v>2236</v>
      </c>
      <c r="E484" s="4" t="s">
        <v>420</v>
      </c>
      <c r="F484" s="4" t="s">
        <v>2569</v>
      </c>
      <c r="G484" s="4" t="s">
        <v>2294</v>
      </c>
      <c r="H484" s="4" t="s">
        <v>2183</v>
      </c>
      <c r="I484" s="4" t="s">
        <v>2100</v>
      </c>
      <c r="J484" s="4" t="s">
        <v>2570</v>
      </c>
      <c r="K484">
        <v>12</v>
      </c>
      <c r="L484">
        <v>3.6576</v>
      </c>
      <c r="M484">
        <v>38.1</v>
      </c>
      <c r="N484">
        <v>139.69999999999999</v>
      </c>
      <c r="O484">
        <v>144</v>
      </c>
      <c r="P484">
        <v>1.5000000000000002</v>
      </c>
      <c r="Q484">
        <v>5.5</v>
      </c>
      <c r="R484">
        <v>616.40099999999995</v>
      </c>
      <c r="S484">
        <v>1.9467832031999997E-2</v>
      </c>
      <c r="T484" s="4" t="s">
        <v>2571</v>
      </c>
    </row>
    <row r="485" spans="1:20" x14ac:dyDescent="0.2">
      <c r="A485" s="4" t="s">
        <v>2294</v>
      </c>
      <c r="B485" s="4" t="s">
        <v>2567</v>
      </c>
      <c r="C485" s="4" t="s">
        <v>2096</v>
      </c>
      <c r="D485" s="4" t="s">
        <v>2236</v>
      </c>
      <c r="E485" s="4" t="s">
        <v>2572</v>
      </c>
      <c r="F485" s="4" t="s">
        <v>2569</v>
      </c>
      <c r="G485" s="4" t="s">
        <v>2294</v>
      </c>
      <c r="H485" s="4" t="s">
        <v>2183</v>
      </c>
      <c r="I485" s="4" t="s">
        <v>2100</v>
      </c>
      <c r="J485" s="4" t="s">
        <v>2570</v>
      </c>
      <c r="K485">
        <v>13</v>
      </c>
      <c r="L485">
        <v>3.9624000000000001</v>
      </c>
      <c r="M485">
        <v>38.1</v>
      </c>
      <c r="N485">
        <v>139.69999999999999</v>
      </c>
      <c r="O485">
        <v>156</v>
      </c>
      <c r="P485">
        <v>1.5000000000000002</v>
      </c>
      <c r="Q485">
        <v>5.5</v>
      </c>
      <c r="R485">
        <v>616.40099999999995</v>
      </c>
      <c r="S485">
        <v>2.1090151368E-2</v>
      </c>
      <c r="T485" s="4" t="s">
        <v>2571</v>
      </c>
    </row>
    <row r="486" spans="1:20" x14ac:dyDescent="0.2">
      <c r="A486" s="4" t="s">
        <v>2294</v>
      </c>
      <c r="B486" s="4" t="s">
        <v>2567</v>
      </c>
      <c r="C486" s="4" t="s">
        <v>2096</v>
      </c>
      <c r="D486" s="4" t="s">
        <v>2236</v>
      </c>
      <c r="E486" s="4" t="s">
        <v>2573</v>
      </c>
      <c r="F486" s="4" t="s">
        <v>2569</v>
      </c>
      <c r="G486" s="4" t="s">
        <v>2294</v>
      </c>
      <c r="H486" s="4" t="s">
        <v>2183</v>
      </c>
      <c r="I486" s="4" t="s">
        <v>2100</v>
      </c>
      <c r="J486" s="4" t="s">
        <v>2570</v>
      </c>
      <c r="K486">
        <v>14</v>
      </c>
      <c r="L486">
        <v>4.2671999999999999</v>
      </c>
      <c r="M486">
        <v>38.1</v>
      </c>
      <c r="N486">
        <v>139.69999999999999</v>
      </c>
      <c r="O486">
        <v>168</v>
      </c>
      <c r="P486">
        <v>1.5000000000000002</v>
      </c>
      <c r="Q486">
        <v>5.5</v>
      </c>
      <c r="R486">
        <v>616.40099999999995</v>
      </c>
      <c r="S486">
        <v>2.2712470703999999E-2</v>
      </c>
      <c r="T486" s="4" t="s">
        <v>2571</v>
      </c>
    </row>
    <row r="487" spans="1:20" x14ac:dyDescent="0.2">
      <c r="A487" s="4" t="s">
        <v>2294</v>
      </c>
      <c r="B487" s="4" t="s">
        <v>2567</v>
      </c>
      <c r="C487" s="4" t="s">
        <v>2096</v>
      </c>
      <c r="D487" s="4" t="s">
        <v>2236</v>
      </c>
      <c r="E487" s="4" t="s">
        <v>2574</v>
      </c>
      <c r="F487" s="4" t="s">
        <v>2569</v>
      </c>
      <c r="G487" s="4" t="s">
        <v>2294</v>
      </c>
      <c r="H487" s="4" t="s">
        <v>2183</v>
      </c>
      <c r="I487" s="4" t="s">
        <v>2100</v>
      </c>
      <c r="J487" s="4" t="s">
        <v>2570</v>
      </c>
      <c r="K487">
        <v>15</v>
      </c>
      <c r="L487">
        <v>4.5720000000000001</v>
      </c>
      <c r="M487">
        <v>38.1</v>
      </c>
      <c r="N487">
        <v>139.69999999999999</v>
      </c>
      <c r="O487">
        <v>180</v>
      </c>
      <c r="P487">
        <v>1.5000000000000002</v>
      </c>
      <c r="Q487">
        <v>5.5</v>
      </c>
      <c r="R487">
        <v>616.40099999999995</v>
      </c>
      <c r="S487">
        <v>2.4334790040000002E-2</v>
      </c>
      <c r="T487" s="4" t="s">
        <v>2571</v>
      </c>
    </row>
    <row r="488" spans="1:20" x14ac:dyDescent="0.2">
      <c r="A488" s="4" t="s">
        <v>2294</v>
      </c>
      <c r="B488" s="4" t="s">
        <v>2567</v>
      </c>
      <c r="C488" s="4" t="s">
        <v>2096</v>
      </c>
      <c r="D488" s="4" t="s">
        <v>2236</v>
      </c>
      <c r="E488" s="4" t="s">
        <v>2575</v>
      </c>
      <c r="F488" s="4" t="s">
        <v>2569</v>
      </c>
      <c r="G488" s="4" t="s">
        <v>2294</v>
      </c>
      <c r="H488" s="4" t="s">
        <v>2183</v>
      </c>
      <c r="I488" s="4" t="s">
        <v>2100</v>
      </c>
      <c r="J488" s="4" t="s">
        <v>2570</v>
      </c>
      <c r="K488">
        <v>16</v>
      </c>
      <c r="L488">
        <v>4.8768000000000002</v>
      </c>
      <c r="M488">
        <v>38.1</v>
      </c>
      <c r="N488">
        <v>139.69999999999999</v>
      </c>
      <c r="O488">
        <v>192.00000000000003</v>
      </c>
      <c r="P488">
        <v>1.5000000000000002</v>
      </c>
      <c r="Q488">
        <v>5.5</v>
      </c>
      <c r="R488">
        <v>616.40099999999995</v>
      </c>
      <c r="S488">
        <v>2.5957109375999998E-2</v>
      </c>
      <c r="T488" s="4" t="s">
        <v>2571</v>
      </c>
    </row>
    <row r="489" spans="1:20" x14ac:dyDescent="0.2">
      <c r="A489" s="4" t="s">
        <v>2294</v>
      </c>
      <c r="B489" s="4" t="s">
        <v>2567</v>
      </c>
      <c r="C489" s="4" t="s">
        <v>2096</v>
      </c>
      <c r="D489" s="4" t="s">
        <v>2236</v>
      </c>
      <c r="E489" s="4" t="s">
        <v>2576</v>
      </c>
      <c r="F489" s="4" t="s">
        <v>2569</v>
      </c>
      <c r="G489" s="4" t="s">
        <v>2294</v>
      </c>
      <c r="H489" s="4" t="s">
        <v>2183</v>
      </c>
      <c r="I489" s="4" t="s">
        <v>2100</v>
      </c>
      <c r="J489" s="4" t="s">
        <v>2570</v>
      </c>
      <c r="K489">
        <v>17</v>
      </c>
      <c r="L489">
        <v>5.1816000000000004</v>
      </c>
      <c r="M489">
        <v>38.1</v>
      </c>
      <c r="N489">
        <v>139.69999999999999</v>
      </c>
      <c r="O489">
        <v>204.00000000000003</v>
      </c>
      <c r="P489">
        <v>1.5000000000000002</v>
      </c>
      <c r="Q489">
        <v>5.5</v>
      </c>
      <c r="R489">
        <v>616.40099999999995</v>
      </c>
      <c r="S489">
        <v>2.7579428712000004E-2</v>
      </c>
      <c r="T489" s="4" t="s">
        <v>2571</v>
      </c>
    </row>
    <row r="490" spans="1:20" x14ac:dyDescent="0.2">
      <c r="A490" s="4" t="s">
        <v>2294</v>
      </c>
      <c r="B490" s="4" t="s">
        <v>2567</v>
      </c>
      <c r="C490" s="4" t="s">
        <v>2096</v>
      </c>
      <c r="D490" s="4" t="s">
        <v>2236</v>
      </c>
      <c r="E490" s="4" t="s">
        <v>2577</v>
      </c>
      <c r="F490" s="4" t="s">
        <v>2569</v>
      </c>
      <c r="G490" s="4" t="s">
        <v>2294</v>
      </c>
      <c r="H490" s="4" t="s">
        <v>2183</v>
      </c>
      <c r="I490" s="4" t="s">
        <v>2100</v>
      </c>
      <c r="J490" s="4" t="s">
        <v>2570</v>
      </c>
      <c r="K490">
        <v>18</v>
      </c>
      <c r="L490">
        <v>5.4863999999999997</v>
      </c>
      <c r="M490">
        <v>38.1</v>
      </c>
      <c r="N490">
        <v>139.69999999999999</v>
      </c>
      <c r="O490">
        <v>216</v>
      </c>
      <c r="P490">
        <v>1.5000000000000002</v>
      </c>
      <c r="Q490">
        <v>5.5</v>
      </c>
      <c r="R490">
        <v>616.40099999999995</v>
      </c>
      <c r="S490">
        <v>2.9201748047999999E-2</v>
      </c>
      <c r="T490" s="4" t="s">
        <v>2571</v>
      </c>
    </row>
    <row r="491" spans="1:20" x14ac:dyDescent="0.2">
      <c r="A491" s="4" t="s">
        <v>2294</v>
      </c>
      <c r="B491" s="4" t="s">
        <v>2567</v>
      </c>
      <c r="C491" s="4" t="s">
        <v>2096</v>
      </c>
      <c r="D491" s="4" t="s">
        <v>2236</v>
      </c>
      <c r="E491" s="4" t="s">
        <v>2578</v>
      </c>
      <c r="F491" s="4" t="s">
        <v>2569</v>
      </c>
      <c r="G491" s="4" t="s">
        <v>2294</v>
      </c>
      <c r="H491" s="4" t="s">
        <v>2183</v>
      </c>
      <c r="I491" s="4" t="s">
        <v>2100</v>
      </c>
      <c r="J491" s="4" t="s">
        <v>2570</v>
      </c>
      <c r="K491">
        <v>19</v>
      </c>
      <c r="L491">
        <v>5.7911999999999999</v>
      </c>
      <c r="M491">
        <v>38.1</v>
      </c>
      <c r="N491">
        <v>139.69999999999999</v>
      </c>
      <c r="O491">
        <v>228</v>
      </c>
      <c r="P491">
        <v>1.5000000000000002</v>
      </c>
      <c r="Q491">
        <v>5.5</v>
      </c>
      <c r="R491">
        <v>616.40099999999995</v>
      </c>
      <c r="S491">
        <v>3.0824067383999999E-2</v>
      </c>
      <c r="T491" s="4" t="s">
        <v>2571</v>
      </c>
    </row>
    <row r="492" spans="1:20" x14ac:dyDescent="0.2">
      <c r="A492" s="4" t="s">
        <v>2294</v>
      </c>
      <c r="B492" s="4" t="s">
        <v>2567</v>
      </c>
      <c r="C492" s="4" t="s">
        <v>2096</v>
      </c>
      <c r="D492" s="4" t="s">
        <v>2236</v>
      </c>
      <c r="E492" s="4" t="s">
        <v>2579</v>
      </c>
      <c r="F492" s="4" t="s">
        <v>2569</v>
      </c>
      <c r="G492" s="4" t="s">
        <v>2294</v>
      </c>
      <c r="H492" s="4" t="s">
        <v>2183</v>
      </c>
      <c r="I492" s="4" t="s">
        <v>2100</v>
      </c>
      <c r="J492" s="4" t="s">
        <v>2570</v>
      </c>
      <c r="K492">
        <v>20</v>
      </c>
      <c r="L492">
        <v>6.0960000000000001</v>
      </c>
      <c r="M492">
        <v>38.1</v>
      </c>
      <c r="N492">
        <v>139.69999999999999</v>
      </c>
      <c r="O492">
        <v>240</v>
      </c>
      <c r="P492">
        <v>1.5000000000000002</v>
      </c>
      <c r="Q492">
        <v>5.5</v>
      </c>
      <c r="R492">
        <v>616.40099999999995</v>
      </c>
      <c r="S492">
        <v>3.2446386719999998E-2</v>
      </c>
      <c r="T492" s="4" t="s">
        <v>2571</v>
      </c>
    </row>
    <row r="493" spans="1:20" x14ac:dyDescent="0.2">
      <c r="A493" s="4" t="s">
        <v>2294</v>
      </c>
      <c r="B493" s="4" t="s">
        <v>2567</v>
      </c>
      <c r="C493" s="4" t="s">
        <v>2096</v>
      </c>
      <c r="D493" s="4" t="s">
        <v>2236</v>
      </c>
      <c r="E493" s="4" t="s">
        <v>422</v>
      </c>
      <c r="F493" s="4" t="s">
        <v>2569</v>
      </c>
      <c r="G493" s="4" t="s">
        <v>2294</v>
      </c>
      <c r="H493" s="4" t="s">
        <v>2183</v>
      </c>
      <c r="I493" s="4" t="s">
        <v>2100</v>
      </c>
      <c r="J493" s="4" t="s">
        <v>2570</v>
      </c>
      <c r="K493">
        <v>21</v>
      </c>
      <c r="L493">
        <v>6.4008000000000003</v>
      </c>
      <c r="M493">
        <v>38.1</v>
      </c>
      <c r="N493">
        <v>139.69999999999999</v>
      </c>
      <c r="O493">
        <v>252.00000000000003</v>
      </c>
      <c r="P493">
        <v>1.5000000000000002</v>
      </c>
      <c r="Q493">
        <v>5.5</v>
      </c>
      <c r="R493">
        <v>616.40099999999995</v>
      </c>
      <c r="S493">
        <v>3.4068706056E-2</v>
      </c>
      <c r="T493" s="4" t="s">
        <v>2571</v>
      </c>
    </row>
    <row r="494" spans="1:20" x14ac:dyDescent="0.2">
      <c r="A494" s="4" t="s">
        <v>2294</v>
      </c>
      <c r="B494" s="4" t="s">
        <v>2567</v>
      </c>
      <c r="C494" s="4" t="s">
        <v>2096</v>
      </c>
      <c r="D494" s="4" t="s">
        <v>2236</v>
      </c>
      <c r="E494" s="4" t="s">
        <v>2580</v>
      </c>
      <c r="F494" s="4" t="s">
        <v>2569</v>
      </c>
      <c r="G494" s="4" t="s">
        <v>2294</v>
      </c>
      <c r="H494" s="4" t="s">
        <v>2183</v>
      </c>
      <c r="I494" s="4" t="s">
        <v>2100</v>
      </c>
      <c r="J494" s="4" t="s">
        <v>2570</v>
      </c>
      <c r="K494">
        <v>22</v>
      </c>
      <c r="L494">
        <v>6.7055999999999996</v>
      </c>
      <c r="M494">
        <v>38.1</v>
      </c>
      <c r="N494">
        <v>139.69999999999999</v>
      </c>
      <c r="O494">
        <v>264</v>
      </c>
      <c r="P494">
        <v>1.5000000000000002</v>
      </c>
      <c r="Q494">
        <v>5.5</v>
      </c>
      <c r="R494">
        <v>616.40099999999995</v>
      </c>
      <c r="S494">
        <v>3.5691025391999996E-2</v>
      </c>
      <c r="T494" s="4" t="s">
        <v>2571</v>
      </c>
    </row>
    <row r="495" spans="1:20" x14ac:dyDescent="0.2">
      <c r="A495" s="4" t="s">
        <v>2294</v>
      </c>
      <c r="B495" s="4" t="s">
        <v>2567</v>
      </c>
      <c r="C495" s="4" t="s">
        <v>2096</v>
      </c>
      <c r="D495" s="4" t="s">
        <v>2236</v>
      </c>
      <c r="E495" s="4" t="s">
        <v>2581</v>
      </c>
      <c r="F495" s="4" t="s">
        <v>2569</v>
      </c>
      <c r="G495" s="4" t="s">
        <v>2294</v>
      </c>
      <c r="H495" s="4" t="s">
        <v>2183</v>
      </c>
      <c r="I495" s="4" t="s">
        <v>2100</v>
      </c>
      <c r="J495" s="4" t="s">
        <v>2570</v>
      </c>
      <c r="K495">
        <v>23</v>
      </c>
      <c r="L495">
        <v>7.0103999999999997</v>
      </c>
      <c r="M495">
        <v>38.1</v>
      </c>
      <c r="N495">
        <v>139.69999999999999</v>
      </c>
      <c r="O495">
        <v>276</v>
      </c>
      <c r="P495">
        <v>1.5000000000000002</v>
      </c>
      <c r="Q495">
        <v>5.5</v>
      </c>
      <c r="R495">
        <v>616.40099999999995</v>
      </c>
      <c r="S495">
        <v>3.7313344728000006E-2</v>
      </c>
      <c r="T495" s="4" t="s">
        <v>2571</v>
      </c>
    </row>
    <row r="496" spans="1:20" x14ac:dyDescent="0.2">
      <c r="A496" s="4" t="s">
        <v>2294</v>
      </c>
      <c r="B496" s="4" t="s">
        <v>2567</v>
      </c>
      <c r="C496" s="4" t="s">
        <v>2096</v>
      </c>
      <c r="D496" s="4" t="s">
        <v>2236</v>
      </c>
      <c r="E496" s="4" t="s">
        <v>2582</v>
      </c>
      <c r="F496" s="4" t="s">
        <v>2569</v>
      </c>
      <c r="G496" s="4" t="s">
        <v>2294</v>
      </c>
      <c r="H496" s="4" t="s">
        <v>2183</v>
      </c>
      <c r="I496" s="4" t="s">
        <v>2100</v>
      </c>
      <c r="J496" s="4" t="s">
        <v>2570</v>
      </c>
      <c r="K496">
        <v>24</v>
      </c>
      <c r="L496">
        <v>7.3152000000000008</v>
      </c>
      <c r="M496">
        <v>38.1</v>
      </c>
      <c r="N496">
        <v>139.69999999999999</v>
      </c>
      <c r="O496">
        <v>288.00000000000006</v>
      </c>
      <c r="P496">
        <v>1.5000000000000002</v>
      </c>
      <c r="Q496">
        <v>5.5</v>
      </c>
      <c r="R496">
        <v>616.40099999999995</v>
      </c>
      <c r="S496">
        <v>3.8935664064000002E-2</v>
      </c>
      <c r="T496" s="4" t="s">
        <v>2571</v>
      </c>
    </row>
    <row r="497" spans="1:20" x14ac:dyDescent="0.2">
      <c r="A497" s="4" t="s">
        <v>2294</v>
      </c>
      <c r="B497" s="4" t="s">
        <v>2567</v>
      </c>
      <c r="C497" s="4" t="s">
        <v>2286</v>
      </c>
      <c r="D497" s="4" t="s">
        <v>2236</v>
      </c>
      <c r="E497" s="4" t="s">
        <v>424</v>
      </c>
      <c r="F497" s="4" t="s">
        <v>2569</v>
      </c>
      <c r="G497" s="4" t="s">
        <v>2294</v>
      </c>
      <c r="H497" s="4" t="s">
        <v>2183</v>
      </c>
      <c r="I497" s="4" t="s">
        <v>2100</v>
      </c>
      <c r="J497" s="4" t="s">
        <v>2570</v>
      </c>
      <c r="K497">
        <v>3</v>
      </c>
      <c r="L497">
        <v>0.91439999999999999</v>
      </c>
      <c r="M497">
        <v>38.1</v>
      </c>
      <c r="N497">
        <v>139.69999999999999</v>
      </c>
      <c r="O497">
        <v>36</v>
      </c>
      <c r="P497">
        <v>1.5000000000000002</v>
      </c>
      <c r="Q497">
        <v>5.5</v>
      </c>
      <c r="R497">
        <v>616.40099999999995</v>
      </c>
      <c r="S497">
        <v>4.8669580079999993E-3</v>
      </c>
      <c r="T497" s="4" t="s">
        <v>2583</v>
      </c>
    </row>
    <row r="498" spans="1:20" x14ac:dyDescent="0.2">
      <c r="A498" s="4" t="s">
        <v>2294</v>
      </c>
      <c r="B498" s="4" t="s">
        <v>2567</v>
      </c>
      <c r="C498" s="4" t="s">
        <v>2286</v>
      </c>
      <c r="D498" s="4" t="s">
        <v>2236</v>
      </c>
      <c r="E498" s="4" t="s">
        <v>426</v>
      </c>
      <c r="F498" s="4" t="s">
        <v>2569</v>
      </c>
      <c r="G498" s="4" t="s">
        <v>2294</v>
      </c>
      <c r="H498" s="4" t="s">
        <v>2183</v>
      </c>
      <c r="I498" s="4" t="s">
        <v>2100</v>
      </c>
      <c r="J498" s="4" t="s">
        <v>2570</v>
      </c>
      <c r="K498">
        <v>4</v>
      </c>
      <c r="L498">
        <v>1.2192000000000001</v>
      </c>
      <c r="M498">
        <v>38.1</v>
      </c>
      <c r="N498">
        <v>139.69999999999999</v>
      </c>
      <c r="O498">
        <v>48.000000000000007</v>
      </c>
      <c r="P498">
        <v>1.5000000000000002</v>
      </c>
      <c r="Q498">
        <v>5.5</v>
      </c>
      <c r="R498">
        <v>616.40099999999995</v>
      </c>
      <c r="S498">
        <v>6.4892773439999994E-3</v>
      </c>
      <c r="T498" s="4" t="s">
        <v>2583</v>
      </c>
    </row>
    <row r="499" spans="1:20" x14ac:dyDescent="0.2">
      <c r="A499" s="4" t="s">
        <v>2294</v>
      </c>
      <c r="B499" s="4" t="s">
        <v>2567</v>
      </c>
      <c r="C499" s="4" t="s">
        <v>2286</v>
      </c>
      <c r="D499" s="4" t="s">
        <v>2236</v>
      </c>
      <c r="E499" s="4" t="s">
        <v>2584</v>
      </c>
      <c r="F499" s="4" t="s">
        <v>2569</v>
      </c>
      <c r="G499" s="4" t="s">
        <v>2294</v>
      </c>
      <c r="H499" s="4" t="s">
        <v>2183</v>
      </c>
      <c r="I499" s="4" t="s">
        <v>2100</v>
      </c>
      <c r="J499" s="4" t="s">
        <v>2570</v>
      </c>
      <c r="K499">
        <v>5</v>
      </c>
      <c r="L499">
        <v>1.524</v>
      </c>
      <c r="M499">
        <v>38.1</v>
      </c>
      <c r="N499">
        <v>139.69999999999999</v>
      </c>
      <c r="O499">
        <v>60</v>
      </c>
      <c r="P499">
        <v>1.5000000000000002</v>
      </c>
      <c r="Q499">
        <v>5.5</v>
      </c>
      <c r="R499">
        <v>616.40099999999995</v>
      </c>
      <c r="S499">
        <v>8.1115966799999994E-3</v>
      </c>
      <c r="T499" s="4" t="s">
        <v>2583</v>
      </c>
    </row>
    <row r="500" spans="1:20" x14ac:dyDescent="0.2">
      <c r="A500" s="4" t="s">
        <v>2294</v>
      </c>
      <c r="B500" s="4" t="s">
        <v>2567</v>
      </c>
      <c r="C500" s="4" t="s">
        <v>2286</v>
      </c>
      <c r="D500" s="4" t="s">
        <v>2236</v>
      </c>
      <c r="E500" s="4" t="s">
        <v>2585</v>
      </c>
      <c r="F500" s="4" t="s">
        <v>2569</v>
      </c>
      <c r="G500" s="4" t="s">
        <v>2294</v>
      </c>
      <c r="H500" s="4" t="s">
        <v>2183</v>
      </c>
      <c r="I500" s="4" t="s">
        <v>2100</v>
      </c>
      <c r="J500" s="4" t="s">
        <v>2570</v>
      </c>
      <c r="K500">
        <v>6</v>
      </c>
      <c r="L500">
        <v>1.8288</v>
      </c>
      <c r="M500">
        <v>38.1</v>
      </c>
      <c r="N500">
        <v>139.69999999999999</v>
      </c>
      <c r="O500">
        <v>72</v>
      </c>
      <c r="P500">
        <v>1.5000000000000002</v>
      </c>
      <c r="Q500">
        <v>5.5</v>
      </c>
      <c r="R500">
        <v>616.40099999999995</v>
      </c>
      <c r="S500">
        <v>9.7339160159999986E-3</v>
      </c>
      <c r="T500" s="4" t="s">
        <v>2583</v>
      </c>
    </row>
    <row r="501" spans="1:20" x14ac:dyDescent="0.2">
      <c r="A501" s="4" t="s">
        <v>2294</v>
      </c>
      <c r="B501" s="4" t="s">
        <v>2567</v>
      </c>
      <c r="C501" s="4" t="s">
        <v>2286</v>
      </c>
      <c r="D501" s="4" t="s">
        <v>2236</v>
      </c>
      <c r="E501" s="4" t="s">
        <v>2586</v>
      </c>
      <c r="F501" s="4" t="s">
        <v>2569</v>
      </c>
      <c r="G501" s="4" t="s">
        <v>2294</v>
      </c>
      <c r="H501" s="4" t="s">
        <v>2183</v>
      </c>
      <c r="I501" s="4" t="s">
        <v>2100</v>
      </c>
      <c r="J501" s="4" t="s">
        <v>2570</v>
      </c>
      <c r="K501">
        <v>7</v>
      </c>
      <c r="L501">
        <v>2.1335999999999999</v>
      </c>
      <c r="M501">
        <v>38.1</v>
      </c>
      <c r="N501">
        <v>139.69999999999999</v>
      </c>
      <c r="O501">
        <v>84</v>
      </c>
      <c r="P501">
        <v>1.5000000000000002</v>
      </c>
      <c r="Q501">
        <v>5.5</v>
      </c>
      <c r="R501">
        <v>616.40099999999995</v>
      </c>
      <c r="S501">
        <v>1.1356235352E-2</v>
      </c>
      <c r="T501" s="4" t="s">
        <v>2583</v>
      </c>
    </row>
    <row r="502" spans="1:20" x14ac:dyDescent="0.2">
      <c r="A502" s="4" t="s">
        <v>2294</v>
      </c>
      <c r="B502" s="4" t="s">
        <v>2567</v>
      </c>
      <c r="C502" s="4" t="s">
        <v>2096</v>
      </c>
      <c r="D502" s="4" t="s">
        <v>2236</v>
      </c>
      <c r="E502" s="4" t="s">
        <v>428</v>
      </c>
      <c r="F502" s="4" t="s">
        <v>2569</v>
      </c>
      <c r="G502" s="4" t="s">
        <v>2294</v>
      </c>
      <c r="H502" s="4" t="s">
        <v>2183</v>
      </c>
      <c r="I502" s="4" t="s">
        <v>2100</v>
      </c>
      <c r="J502" s="4" t="s">
        <v>2570</v>
      </c>
      <c r="K502">
        <v>8</v>
      </c>
      <c r="L502">
        <v>2.4384000000000001</v>
      </c>
      <c r="M502">
        <v>38.1</v>
      </c>
      <c r="N502">
        <v>139.69999999999999</v>
      </c>
      <c r="O502">
        <v>96.000000000000014</v>
      </c>
      <c r="P502">
        <v>1.5000000000000002</v>
      </c>
      <c r="Q502">
        <v>5.5</v>
      </c>
      <c r="R502">
        <v>616.40099999999995</v>
      </c>
      <c r="S502">
        <v>1.2978554687999999E-2</v>
      </c>
      <c r="T502" s="4" t="s">
        <v>2571</v>
      </c>
    </row>
    <row r="503" spans="1:20" x14ac:dyDescent="0.2">
      <c r="A503" s="4" t="s">
        <v>2294</v>
      </c>
      <c r="B503" s="4" t="s">
        <v>2567</v>
      </c>
      <c r="C503" s="4" t="s">
        <v>2096</v>
      </c>
      <c r="D503" s="4" t="s">
        <v>2236</v>
      </c>
      <c r="E503" s="4" t="s">
        <v>430</v>
      </c>
      <c r="F503" s="4" t="s">
        <v>2569</v>
      </c>
      <c r="G503" s="4" t="s">
        <v>2294</v>
      </c>
      <c r="H503" s="4" t="s">
        <v>2183</v>
      </c>
      <c r="I503" s="4" t="s">
        <v>2100</v>
      </c>
      <c r="J503" s="4" t="s">
        <v>2570</v>
      </c>
      <c r="K503">
        <v>9</v>
      </c>
      <c r="L503">
        <v>2.7431999999999999</v>
      </c>
      <c r="M503">
        <v>38.1</v>
      </c>
      <c r="N503">
        <v>139.69999999999999</v>
      </c>
      <c r="O503">
        <v>108</v>
      </c>
      <c r="P503">
        <v>1.5000000000000002</v>
      </c>
      <c r="Q503">
        <v>5.5</v>
      </c>
      <c r="R503">
        <v>616.40099999999995</v>
      </c>
      <c r="S503">
        <v>1.4600874024E-2</v>
      </c>
      <c r="T503" s="4" t="s">
        <v>2571</v>
      </c>
    </row>
    <row r="504" spans="1:20" x14ac:dyDescent="0.2">
      <c r="A504" s="4" t="s">
        <v>2294</v>
      </c>
      <c r="B504" s="4" t="s">
        <v>2587</v>
      </c>
      <c r="C504" s="4" t="s">
        <v>2096</v>
      </c>
      <c r="D504" s="4" t="s">
        <v>2236</v>
      </c>
      <c r="E504" s="4" t="s">
        <v>2588</v>
      </c>
      <c r="F504" s="4" t="s">
        <v>2589</v>
      </c>
      <c r="G504" s="4" t="s">
        <v>2294</v>
      </c>
      <c r="H504" s="4" t="s">
        <v>2183</v>
      </c>
      <c r="I504" s="4" t="s">
        <v>2100</v>
      </c>
      <c r="J504" s="4" t="s">
        <v>2590</v>
      </c>
      <c r="K504">
        <v>10</v>
      </c>
      <c r="L504">
        <v>3.048</v>
      </c>
      <c r="M504">
        <v>38.1</v>
      </c>
      <c r="N504">
        <v>184.15</v>
      </c>
      <c r="O504">
        <v>120</v>
      </c>
      <c r="P504">
        <v>1.5000000000000002</v>
      </c>
      <c r="Q504">
        <v>7.2500000000000009</v>
      </c>
      <c r="R504">
        <v>467.61500000000001</v>
      </c>
      <c r="S504">
        <v>2.1385118520000003E-2</v>
      </c>
      <c r="T504" s="4" t="s">
        <v>2591</v>
      </c>
    </row>
    <row r="505" spans="1:20" x14ac:dyDescent="0.2">
      <c r="A505" s="4" t="s">
        <v>2294</v>
      </c>
      <c r="B505" s="4" t="s">
        <v>2587</v>
      </c>
      <c r="C505" s="4" t="s">
        <v>2096</v>
      </c>
      <c r="D505" s="4" t="s">
        <v>2236</v>
      </c>
      <c r="E505" s="4" t="s">
        <v>2592</v>
      </c>
      <c r="F505" s="4" t="s">
        <v>2589</v>
      </c>
      <c r="G505" s="4" t="s">
        <v>2294</v>
      </c>
      <c r="H505" s="4" t="s">
        <v>2183</v>
      </c>
      <c r="I505" s="4" t="s">
        <v>2100</v>
      </c>
      <c r="J505" s="4" t="s">
        <v>2590</v>
      </c>
      <c r="K505">
        <v>11</v>
      </c>
      <c r="L505">
        <v>3.3527999999999998</v>
      </c>
      <c r="M505">
        <v>38.1</v>
      </c>
      <c r="N505">
        <v>184.15</v>
      </c>
      <c r="O505">
        <v>132</v>
      </c>
      <c r="P505">
        <v>1.5000000000000002</v>
      </c>
      <c r="Q505">
        <v>7.2500000000000009</v>
      </c>
      <c r="R505">
        <v>467.61500000000001</v>
      </c>
      <c r="S505">
        <v>2.3523630372E-2</v>
      </c>
      <c r="T505" s="4" t="s">
        <v>2591</v>
      </c>
    </row>
    <row r="506" spans="1:20" x14ac:dyDescent="0.2">
      <c r="A506" s="4" t="s">
        <v>2294</v>
      </c>
      <c r="B506" s="4" t="s">
        <v>2587</v>
      </c>
      <c r="C506" s="4" t="s">
        <v>2096</v>
      </c>
      <c r="D506" s="4" t="s">
        <v>2236</v>
      </c>
      <c r="E506" s="4" t="s">
        <v>432</v>
      </c>
      <c r="F506" s="4" t="s">
        <v>2589</v>
      </c>
      <c r="G506" s="4" t="s">
        <v>2294</v>
      </c>
      <c r="H506" s="4" t="s">
        <v>2183</v>
      </c>
      <c r="I506" s="4" t="s">
        <v>2100</v>
      </c>
      <c r="J506" s="4" t="s">
        <v>2590</v>
      </c>
      <c r="K506">
        <v>12</v>
      </c>
      <c r="L506">
        <v>3.6576</v>
      </c>
      <c r="M506">
        <v>38.1</v>
      </c>
      <c r="N506">
        <v>184.15</v>
      </c>
      <c r="O506">
        <v>144</v>
      </c>
      <c r="P506">
        <v>1.5000000000000002</v>
      </c>
      <c r="Q506">
        <v>7.2500000000000009</v>
      </c>
      <c r="R506">
        <v>467.61500000000001</v>
      </c>
      <c r="S506">
        <v>2.5662142224000001E-2</v>
      </c>
      <c r="T506" s="4" t="s">
        <v>2591</v>
      </c>
    </row>
    <row r="507" spans="1:20" x14ac:dyDescent="0.2">
      <c r="A507" s="4" t="s">
        <v>2294</v>
      </c>
      <c r="B507" s="4" t="s">
        <v>2587</v>
      </c>
      <c r="C507" s="4" t="s">
        <v>2096</v>
      </c>
      <c r="D507" s="4" t="s">
        <v>2236</v>
      </c>
      <c r="E507" s="4" t="s">
        <v>2593</v>
      </c>
      <c r="F507" s="4" t="s">
        <v>2589</v>
      </c>
      <c r="G507" s="4" t="s">
        <v>2294</v>
      </c>
      <c r="H507" s="4" t="s">
        <v>2183</v>
      </c>
      <c r="I507" s="4" t="s">
        <v>2100</v>
      </c>
      <c r="J507" s="4" t="s">
        <v>2590</v>
      </c>
      <c r="K507">
        <v>13</v>
      </c>
      <c r="L507">
        <v>3.9624000000000001</v>
      </c>
      <c r="M507">
        <v>38.1</v>
      </c>
      <c r="N507">
        <v>184.15</v>
      </c>
      <c r="O507">
        <v>156</v>
      </c>
      <c r="P507">
        <v>1.5000000000000002</v>
      </c>
      <c r="Q507">
        <v>7.2500000000000009</v>
      </c>
      <c r="R507">
        <v>467.61500000000001</v>
      </c>
      <c r="S507">
        <v>2.7800654075999999E-2</v>
      </c>
      <c r="T507" s="4" t="s">
        <v>2591</v>
      </c>
    </row>
    <row r="508" spans="1:20" x14ac:dyDescent="0.2">
      <c r="A508" s="4" t="s">
        <v>2294</v>
      </c>
      <c r="B508" s="4" t="s">
        <v>2587</v>
      </c>
      <c r="C508" s="4" t="s">
        <v>2096</v>
      </c>
      <c r="D508" s="4" t="s">
        <v>2236</v>
      </c>
      <c r="E508" s="4" t="s">
        <v>434</v>
      </c>
      <c r="F508" s="4" t="s">
        <v>2589</v>
      </c>
      <c r="G508" s="4" t="s">
        <v>2294</v>
      </c>
      <c r="H508" s="4" t="s">
        <v>2183</v>
      </c>
      <c r="I508" s="4" t="s">
        <v>2100</v>
      </c>
      <c r="J508" s="4" t="s">
        <v>2590</v>
      </c>
      <c r="K508">
        <v>14</v>
      </c>
      <c r="L508">
        <v>4.2671999999999999</v>
      </c>
      <c r="M508">
        <v>38.1</v>
      </c>
      <c r="N508">
        <v>184.15</v>
      </c>
      <c r="O508">
        <v>168</v>
      </c>
      <c r="P508">
        <v>1.5000000000000002</v>
      </c>
      <c r="Q508">
        <v>7.2500000000000009</v>
      </c>
      <c r="R508">
        <v>467.61500000000001</v>
      </c>
      <c r="S508">
        <v>2.9939165928E-2</v>
      </c>
      <c r="T508" s="4" t="s">
        <v>2591</v>
      </c>
    </row>
    <row r="509" spans="1:20" x14ac:dyDescent="0.2">
      <c r="A509" s="4" t="s">
        <v>2294</v>
      </c>
      <c r="B509" s="4" t="s">
        <v>2587</v>
      </c>
      <c r="C509" s="4" t="s">
        <v>2096</v>
      </c>
      <c r="D509" s="4" t="s">
        <v>2236</v>
      </c>
      <c r="E509" s="4" t="s">
        <v>2594</v>
      </c>
      <c r="F509" s="4" t="s">
        <v>2589</v>
      </c>
      <c r="G509" s="4" t="s">
        <v>2294</v>
      </c>
      <c r="H509" s="4" t="s">
        <v>2183</v>
      </c>
      <c r="I509" s="4" t="s">
        <v>2100</v>
      </c>
      <c r="J509" s="4" t="s">
        <v>2590</v>
      </c>
      <c r="K509">
        <v>15</v>
      </c>
      <c r="L509">
        <v>4.5720000000000001</v>
      </c>
      <c r="M509">
        <v>38.1</v>
      </c>
      <c r="N509">
        <v>184.15</v>
      </c>
      <c r="O509">
        <v>180</v>
      </c>
      <c r="P509">
        <v>1.5000000000000002</v>
      </c>
      <c r="Q509">
        <v>7.2500000000000009</v>
      </c>
      <c r="R509">
        <v>467.61500000000001</v>
      </c>
      <c r="S509">
        <v>3.2077677780000001E-2</v>
      </c>
      <c r="T509" s="4" t="s">
        <v>2591</v>
      </c>
    </row>
    <row r="510" spans="1:20" x14ac:dyDescent="0.2">
      <c r="A510" s="4" t="s">
        <v>2294</v>
      </c>
      <c r="B510" s="4" t="s">
        <v>2587</v>
      </c>
      <c r="C510" s="4" t="s">
        <v>2096</v>
      </c>
      <c r="D510" s="4" t="s">
        <v>2236</v>
      </c>
      <c r="E510" s="4" t="s">
        <v>2595</v>
      </c>
      <c r="F510" s="4" t="s">
        <v>2589</v>
      </c>
      <c r="G510" s="4" t="s">
        <v>2294</v>
      </c>
      <c r="H510" s="4" t="s">
        <v>2183</v>
      </c>
      <c r="I510" s="4" t="s">
        <v>2100</v>
      </c>
      <c r="J510" s="4" t="s">
        <v>2590</v>
      </c>
      <c r="K510">
        <v>16</v>
      </c>
      <c r="L510">
        <v>4.8768000000000002</v>
      </c>
      <c r="M510">
        <v>38.1</v>
      </c>
      <c r="N510">
        <v>184.15</v>
      </c>
      <c r="O510">
        <v>192.00000000000003</v>
      </c>
      <c r="P510">
        <v>1.5000000000000002</v>
      </c>
      <c r="Q510">
        <v>7.2500000000000009</v>
      </c>
      <c r="R510">
        <v>467.61500000000001</v>
      </c>
      <c r="S510">
        <v>3.4216189632000002E-2</v>
      </c>
      <c r="T510" s="4" t="s">
        <v>2591</v>
      </c>
    </row>
    <row r="511" spans="1:20" x14ac:dyDescent="0.2">
      <c r="A511" s="4" t="s">
        <v>2294</v>
      </c>
      <c r="B511" s="4" t="s">
        <v>2587</v>
      </c>
      <c r="C511" s="4" t="s">
        <v>2096</v>
      </c>
      <c r="D511" s="4" t="s">
        <v>2236</v>
      </c>
      <c r="E511" s="4" t="s">
        <v>2596</v>
      </c>
      <c r="F511" s="4" t="s">
        <v>2589</v>
      </c>
      <c r="G511" s="4" t="s">
        <v>2294</v>
      </c>
      <c r="H511" s="4" t="s">
        <v>2183</v>
      </c>
      <c r="I511" s="4" t="s">
        <v>2100</v>
      </c>
      <c r="J511" s="4" t="s">
        <v>2590</v>
      </c>
      <c r="K511">
        <v>17</v>
      </c>
      <c r="L511">
        <v>5.1816000000000004</v>
      </c>
      <c r="M511">
        <v>38.1</v>
      </c>
      <c r="N511">
        <v>184.15</v>
      </c>
      <c r="O511">
        <v>204.00000000000003</v>
      </c>
      <c r="P511">
        <v>1.5000000000000002</v>
      </c>
      <c r="Q511">
        <v>7.2500000000000009</v>
      </c>
      <c r="R511">
        <v>467.61500000000001</v>
      </c>
      <c r="S511">
        <v>3.635470148400001E-2</v>
      </c>
      <c r="T511" s="4" t="s">
        <v>2591</v>
      </c>
    </row>
    <row r="512" spans="1:20" x14ac:dyDescent="0.2">
      <c r="A512" s="4" t="s">
        <v>2294</v>
      </c>
      <c r="B512" s="4" t="s">
        <v>2587</v>
      </c>
      <c r="C512" s="4" t="s">
        <v>2096</v>
      </c>
      <c r="D512" s="4" t="s">
        <v>2236</v>
      </c>
      <c r="E512" s="4" t="s">
        <v>2597</v>
      </c>
      <c r="F512" s="4" t="s">
        <v>2589</v>
      </c>
      <c r="G512" s="4" t="s">
        <v>2294</v>
      </c>
      <c r="H512" s="4" t="s">
        <v>2183</v>
      </c>
      <c r="I512" s="4" t="s">
        <v>2100</v>
      </c>
      <c r="J512" s="4" t="s">
        <v>2590</v>
      </c>
      <c r="K512">
        <v>18</v>
      </c>
      <c r="L512">
        <v>5.4863999999999997</v>
      </c>
      <c r="M512">
        <v>38.1</v>
      </c>
      <c r="N512">
        <v>184.15</v>
      </c>
      <c r="O512">
        <v>216</v>
      </c>
      <c r="P512">
        <v>1.5000000000000002</v>
      </c>
      <c r="Q512">
        <v>7.2500000000000009</v>
      </c>
      <c r="R512">
        <v>467.61500000000001</v>
      </c>
      <c r="S512">
        <v>3.8493213336000004E-2</v>
      </c>
      <c r="T512" s="4" t="s">
        <v>2591</v>
      </c>
    </row>
    <row r="513" spans="1:20" x14ac:dyDescent="0.2">
      <c r="A513" s="4" t="s">
        <v>2294</v>
      </c>
      <c r="B513" s="4" t="s">
        <v>2587</v>
      </c>
      <c r="C513" s="4" t="s">
        <v>2096</v>
      </c>
      <c r="D513" s="4" t="s">
        <v>2236</v>
      </c>
      <c r="E513" s="4" t="s">
        <v>2598</v>
      </c>
      <c r="F513" s="4" t="s">
        <v>2589</v>
      </c>
      <c r="G513" s="4" t="s">
        <v>2294</v>
      </c>
      <c r="H513" s="4" t="s">
        <v>2183</v>
      </c>
      <c r="I513" s="4" t="s">
        <v>2100</v>
      </c>
      <c r="J513" s="4" t="s">
        <v>2590</v>
      </c>
      <c r="K513">
        <v>19</v>
      </c>
      <c r="L513">
        <v>5.7911999999999999</v>
      </c>
      <c r="M513">
        <v>38.1</v>
      </c>
      <c r="N513">
        <v>184.15</v>
      </c>
      <c r="O513">
        <v>228</v>
      </c>
      <c r="P513">
        <v>1.5000000000000002</v>
      </c>
      <c r="Q513">
        <v>7.2500000000000009</v>
      </c>
      <c r="R513">
        <v>467.61500000000001</v>
      </c>
      <c r="S513">
        <v>4.0631725188000005E-2</v>
      </c>
      <c r="T513" s="4" t="s">
        <v>2591</v>
      </c>
    </row>
    <row r="514" spans="1:20" x14ac:dyDescent="0.2">
      <c r="A514" s="4" t="s">
        <v>2294</v>
      </c>
      <c r="B514" s="4" t="s">
        <v>2587</v>
      </c>
      <c r="C514" s="4" t="s">
        <v>2096</v>
      </c>
      <c r="D514" s="4" t="s">
        <v>2236</v>
      </c>
      <c r="E514" s="4" t="s">
        <v>2599</v>
      </c>
      <c r="F514" s="4" t="s">
        <v>2589</v>
      </c>
      <c r="G514" s="4" t="s">
        <v>2294</v>
      </c>
      <c r="H514" s="4" t="s">
        <v>2183</v>
      </c>
      <c r="I514" s="4" t="s">
        <v>2100</v>
      </c>
      <c r="J514" s="4" t="s">
        <v>2590</v>
      </c>
      <c r="K514">
        <v>20</v>
      </c>
      <c r="L514">
        <v>6.0960000000000001</v>
      </c>
      <c r="M514">
        <v>38.1</v>
      </c>
      <c r="N514">
        <v>184.15</v>
      </c>
      <c r="O514">
        <v>240</v>
      </c>
      <c r="P514">
        <v>1.5000000000000002</v>
      </c>
      <c r="Q514">
        <v>7.2500000000000009</v>
      </c>
      <c r="R514">
        <v>467.61500000000001</v>
      </c>
      <c r="S514">
        <v>4.2770237040000006E-2</v>
      </c>
      <c r="T514" s="4" t="s">
        <v>2591</v>
      </c>
    </row>
    <row r="515" spans="1:20" x14ac:dyDescent="0.2">
      <c r="A515" s="4" t="s">
        <v>2294</v>
      </c>
      <c r="B515" s="4" t="s">
        <v>2587</v>
      </c>
      <c r="C515" s="4" t="s">
        <v>2096</v>
      </c>
      <c r="D515" s="4" t="s">
        <v>2236</v>
      </c>
      <c r="E515" s="4" t="s">
        <v>2600</v>
      </c>
      <c r="F515" s="4" t="s">
        <v>2589</v>
      </c>
      <c r="G515" s="4" t="s">
        <v>2294</v>
      </c>
      <c r="H515" s="4" t="s">
        <v>2183</v>
      </c>
      <c r="I515" s="4" t="s">
        <v>2100</v>
      </c>
      <c r="J515" s="4" t="s">
        <v>2590</v>
      </c>
      <c r="K515">
        <v>21</v>
      </c>
      <c r="L515">
        <v>6.4008000000000003</v>
      </c>
      <c r="M515">
        <v>38.1</v>
      </c>
      <c r="N515">
        <v>184.15</v>
      </c>
      <c r="O515">
        <v>252.00000000000003</v>
      </c>
      <c r="P515">
        <v>1.5000000000000002</v>
      </c>
      <c r="Q515">
        <v>7.2500000000000009</v>
      </c>
      <c r="R515">
        <v>467.61500000000001</v>
      </c>
      <c r="S515">
        <v>4.4908748892000007E-2</v>
      </c>
      <c r="T515" s="4" t="s">
        <v>2591</v>
      </c>
    </row>
    <row r="516" spans="1:20" x14ac:dyDescent="0.2">
      <c r="A516" s="4" t="s">
        <v>2294</v>
      </c>
      <c r="B516" s="4" t="s">
        <v>2587</v>
      </c>
      <c r="C516" s="4" t="s">
        <v>2096</v>
      </c>
      <c r="D516" s="4" t="s">
        <v>2236</v>
      </c>
      <c r="E516" s="4" t="s">
        <v>2601</v>
      </c>
      <c r="F516" s="4" t="s">
        <v>2589</v>
      </c>
      <c r="G516" s="4" t="s">
        <v>2294</v>
      </c>
      <c r="H516" s="4" t="s">
        <v>2183</v>
      </c>
      <c r="I516" s="4" t="s">
        <v>2100</v>
      </c>
      <c r="J516" s="4" t="s">
        <v>2590</v>
      </c>
      <c r="K516">
        <v>22</v>
      </c>
      <c r="L516">
        <v>6.7055999999999996</v>
      </c>
      <c r="M516">
        <v>38.1</v>
      </c>
      <c r="N516">
        <v>184.15</v>
      </c>
      <c r="O516">
        <v>264</v>
      </c>
      <c r="P516">
        <v>1.5000000000000002</v>
      </c>
      <c r="Q516">
        <v>7.2500000000000009</v>
      </c>
      <c r="R516">
        <v>467.61500000000001</v>
      </c>
      <c r="S516">
        <v>4.7047260744000001E-2</v>
      </c>
      <c r="T516" s="4" t="s">
        <v>2591</v>
      </c>
    </row>
    <row r="517" spans="1:20" x14ac:dyDescent="0.2">
      <c r="A517" s="4" t="s">
        <v>2294</v>
      </c>
      <c r="B517" s="4" t="s">
        <v>2587</v>
      </c>
      <c r="C517" s="4" t="s">
        <v>2096</v>
      </c>
      <c r="D517" s="4" t="s">
        <v>2236</v>
      </c>
      <c r="E517" s="4" t="s">
        <v>2602</v>
      </c>
      <c r="F517" s="4" t="s">
        <v>2589</v>
      </c>
      <c r="G517" s="4" t="s">
        <v>2294</v>
      </c>
      <c r="H517" s="4" t="s">
        <v>2183</v>
      </c>
      <c r="I517" s="4" t="s">
        <v>2100</v>
      </c>
      <c r="J517" s="4" t="s">
        <v>2590</v>
      </c>
      <c r="K517">
        <v>23</v>
      </c>
      <c r="L517">
        <v>7.0103999999999997</v>
      </c>
      <c r="M517">
        <v>38.1</v>
      </c>
      <c r="N517">
        <v>184.15</v>
      </c>
      <c r="O517">
        <v>276</v>
      </c>
      <c r="P517">
        <v>1.5000000000000002</v>
      </c>
      <c r="Q517">
        <v>7.2500000000000009</v>
      </c>
      <c r="R517">
        <v>467.61500000000001</v>
      </c>
      <c r="S517">
        <v>4.9185772596000009E-2</v>
      </c>
      <c r="T517" s="4" t="s">
        <v>2591</v>
      </c>
    </row>
    <row r="518" spans="1:20" x14ac:dyDescent="0.2">
      <c r="A518" s="4" t="s">
        <v>2294</v>
      </c>
      <c r="B518" s="4" t="s">
        <v>2587</v>
      </c>
      <c r="C518" s="4" t="s">
        <v>2096</v>
      </c>
      <c r="D518" s="4" t="s">
        <v>2236</v>
      </c>
      <c r="E518" s="4" t="s">
        <v>2603</v>
      </c>
      <c r="F518" s="4" t="s">
        <v>2589</v>
      </c>
      <c r="G518" s="4" t="s">
        <v>2294</v>
      </c>
      <c r="H518" s="4" t="s">
        <v>2183</v>
      </c>
      <c r="I518" s="4" t="s">
        <v>2100</v>
      </c>
      <c r="J518" s="4" t="s">
        <v>2590</v>
      </c>
      <c r="K518">
        <v>24</v>
      </c>
      <c r="L518">
        <v>7.3152000000000008</v>
      </c>
      <c r="M518">
        <v>38.1</v>
      </c>
      <c r="N518">
        <v>184.15</v>
      </c>
      <c r="O518">
        <v>288.00000000000006</v>
      </c>
      <c r="P518">
        <v>1.5000000000000002</v>
      </c>
      <c r="Q518">
        <v>7.2500000000000009</v>
      </c>
      <c r="R518">
        <v>467.61500000000001</v>
      </c>
      <c r="S518">
        <v>5.132428444800001E-2</v>
      </c>
      <c r="T518" s="4" t="s">
        <v>2591</v>
      </c>
    </row>
    <row r="519" spans="1:20" x14ac:dyDescent="0.2">
      <c r="A519" s="4" t="s">
        <v>2294</v>
      </c>
      <c r="B519" s="4" t="s">
        <v>2587</v>
      </c>
      <c r="C519" s="4" t="s">
        <v>2286</v>
      </c>
      <c r="D519" s="4" t="s">
        <v>2236</v>
      </c>
      <c r="E519" s="4" t="s">
        <v>2604</v>
      </c>
      <c r="F519" s="4" t="s">
        <v>2589</v>
      </c>
      <c r="G519" s="4" t="s">
        <v>2294</v>
      </c>
      <c r="H519" s="4" t="s">
        <v>2183</v>
      </c>
      <c r="I519" s="4" t="s">
        <v>2100</v>
      </c>
      <c r="J519" s="4" t="s">
        <v>2590</v>
      </c>
      <c r="K519">
        <v>3</v>
      </c>
      <c r="L519">
        <v>0.91439999999999999</v>
      </c>
      <c r="M519">
        <v>38.1</v>
      </c>
      <c r="N519">
        <v>184.15</v>
      </c>
      <c r="O519">
        <v>36</v>
      </c>
      <c r="P519">
        <v>1.5000000000000002</v>
      </c>
      <c r="Q519">
        <v>7.2500000000000009</v>
      </c>
      <c r="R519">
        <v>467.61500000000001</v>
      </c>
      <c r="S519">
        <v>6.4155355560000004E-3</v>
      </c>
      <c r="T519" s="4" t="s">
        <v>2605</v>
      </c>
    </row>
    <row r="520" spans="1:20" x14ac:dyDescent="0.2">
      <c r="A520" s="4" t="s">
        <v>2294</v>
      </c>
      <c r="B520" s="4" t="s">
        <v>2587</v>
      </c>
      <c r="C520" s="4" t="s">
        <v>2286</v>
      </c>
      <c r="D520" s="4" t="s">
        <v>2236</v>
      </c>
      <c r="E520" s="4" t="s">
        <v>1917</v>
      </c>
      <c r="F520" s="4" t="s">
        <v>2589</v>
      </c>
      <c r="G520" s="4" t="s">
        <v>2294</v>
      </c>
      <c r="H520" s="4" t="s">
        <v>2183</v>
      </c>
      <c r="I520" s="4" t="s">
        <v>2100</v>
      </c>
      <c r="J520" s="4" t="s">
        <v>2590</v>
      </c>
      <c r="K520">
        <v>4</v>
      </c>
      <c r="L520">
        <v>1.2192000000000001</v>
      </c>
      <c r="M520">
        <v>38.1</v>
      </c>
      <c r="N520">
        <v>184.15</v>
      </c>
      <c r="O520">
        <v>48.000000000000007</v>
      </c>
      <c r="P520">
        <v>1.5000000000000002</v>
      </c>
      <c r="Q520">
        <v>7.2500000000000009</v>
      </c>
      <c r="R520">
        <v>467.61500000000001</v>
      </c>
      <c r="S520">
        <v>8.5540474080000005E-3</v>
      </c>
      <c r="T520" s="4" t="s">
        <v>2605</v>
      </c>
    </row>
    <row r="521" spans="1:20" x14ac:dyDescent="0.2">
      <c r="A521" s="4" t="s">
        <v>2294</v>
      </c>
      <c r="B521" s="4" t="s">
        <v>2587</v>
      </c>
      <c r="C521" s="4" t="s">
        <v>2286</v>
      </c>
      <c r="D521" s="4" t="s">
        <v>2236</v>
      </c>
      <c r="E521" s="4" t="s">
        <v>1919</v>
      </c>
      <c r="F521" s="4" t="s">
        <v>2589</v>
      </c>
      <c r="G521" s="4" t="s">
        <v>2294</v>
      </c>
      <c r="H521" s="4" t="s">
        <v>2183</v>
      </c>
      <c r="I521" s="4" t="s">
        <v>2100</v>
      </c>
      <c r="J521" s="4" t="s">
        <v>2590</v>
      </c>
      <c r="K521">
        <v>5</v>
      </c>
      <c r="L521">
        <v>1.524</v>
      </c>
      <c r="M521">
        <v>38.1</v>
      </c>
      <c r="N521">
        <v>184.15</v>
      </c>
      <c r="O521">
        <v>60</v>
      </c>
      <c r="P521">
        <v>1.5000000000000002</v>
      </c>
      <c r="Q521">
        <v>7.2500000000000009</v>
      </c>
      <c r="R521">
        <v>467.61500000000001</v>
      </c>
      <c r="S521">
        <v>1.0692559260000001E-2</v>
      </c>
      <c r="T521" s="4" t="s">
        <v>2605</v>
      </c>
    </row>
    <row r="522" spans="1:20" x14ac:dyDescent="0.2">
      <c r="A522" s="4" t="s">
        <v>2294</v>
      </c>
      <c r="B522" s="4" t="s">
        <v>2587</v>
      </c>
      <c r="C522" s="4" t="s">
        <v>2286</v>
      </c>
      <c r="D522" s="4" t="s">
        <v>2236</v>
      </c>
      <c r="E522" s="4" t="s">
        <v>1921</v>
      </c>
      <c r="F522" s="4" t="s">
        <v>2589</v>
      </c>
      <c r="G522" s="4" t="s">
        <v>2294</v>
      </c>
      <c r="H522" s="4" t="s">
        <v>2183</v>
      </c>
      <c r="I522" s="4" t="s">
        <v>2100</v>
      </c>
      <c r="J522" s="4" t="s">
        <v>2590</v>
      </c>
      <c r="K522">
        <v>6</v>
      </c>
      <c r="L522">
        <v>1.8288</v>
      </c>
      <c r="M522">
        <v>38.1</v>
      </c>
      <c r="N522">
        <v>184.15</v>
      </c>
      <c r="O522">
        <v>72</v>
      </c>
      <c r="P522">
        <v>1.5000000000000002</v>
      </c>
      <c r="Q522">
        <v>7.2500000000000009</v>
      </c>
      <c r="R522">
        <v>467.61500000000001</v>
      </c>
      <c r="S522">
        <v>1.2831071112000001E-2</v>
      </c>
      <c r="T522" s="4" t="s">
        <v>2605</v>
      </c>
    </row>
    <row r="523" spans="1:20" x14ac:dyDescent="0.2">
      <c r="A523" s="4" t="s">
        <v>2294</v>
      </c>
      <c r="B523" s="4" t="s">
        <v>2587</v>
      </c>
      <c r="C523" s="4" t="s">
        <v>2286</v>
      </c>
      <c r="D523" s="4" t="s">
        <v>2236</v>
      </c>
      <c r="E523" s="4" t="s">
        <v>1923</v>
      </c>
      <c r="F523" s="4" t="s">
        <v>2589</v>
      </c>
      <c r="G523" s="4" t="s">
        <v>2294</v>
      </c>
      <c r="H523" s="4" t="s">
        <v>2183</v>
      </c>
      <c r="I523" s="4" t="s">
        <v>2100</v>
      </c>
      <c r="J523" s="4" t="s">
        <v>2590</v>
      </c>
      <c r="K523">
        <v>7</v>
      </c>
      <c r="L523">
        <v>2.1335999999999999</v>
      </c>
      <c r="M523">
        <v>38.1</v>
      </c>
      <c r="N523">
        <v>184.15</v>
      </c>
      <c r="O523">
        <v>84</v>
      </c>
      <c r="P523">
        <v>1.5000000000000002</v>
      </c>
      <c r="Q523">
        <v>7.2500000000000009</v>
      </c>
      <c r="R523">
        <v>467.61500000000001</v>
      </c>
      <c r="S523">
        <v>1.4969582964E-2</v>
      </c>
      <c r="T523" s="4" t="s">
        <v>2605</v>
      </c>
    </row>
    <row r="524" spans="1:20" x14ac:dyDescent="0.2">
      <c r="A524" s="4" t="s">
        <v>2294</v>
      </c>
      <c r="B524" s="4" t="s">
        <v>2587</v>
      </c>
      <c r="C524" s="4" t="s">
        <v>2096</v>
      </c>
      <c r="D524" s="4" t="s">
        <v>2236</v>
      </c>
      <c r="E524" s="4" t="s">
        <v>436</v>
      </c>
      <c r="F524" s="4" t="s">
        <v>2589</v>
      </c>
      <c r="G524" s="4" t="s">
        <v>2294</v>
      </c>
      <c r="H524" s="4" t="s">
        <v>2183</v>
      </c>
      <c r="I524" s="4" t="s">
        <v>2100</v>
      </c>
      <c r="J524" s="4" t="s">
        <v>2590</v>
      </c>
      <c r="K524">
        <v>8</v>
      </c>
      <c r="L524">
        <v>2.4384000000000001</v>
      </c>
      <c r="M524">
        <v>38.1</v>
      </c>
      <c r="N524">
        <v>184.15</v>
      </c>
      <c r="O524">
        <v>96.000000000000014</v>
      </c>
      <c r="P524">
        <v>1.5000000000000002</v>
      </c>
      <c r="Q524">
        <v>7.2500000000000009</v>
      </c>
      <c r="R524">
        <v>467.61500000000001</v>
      </c>
      <c r="S524">
        <v>1.7108094816000001E-2</v>
      </c>
      <c r="T524" s="4" t="s">
        <v>2591</v>
      </c>
    </row>
    <row r="525" spans="1:20" x14ac:dyDescent="0.2">
      <c r="A525" s="4" t="s">
        <v>2294</v>
      </c>
      <c r="B525" s="4" t="s">
        <v>2587</v>
      </c>
      <c r="C525" s="4" t="s">
        <v>2096</v>
      </c>
      <c r="D525" s="4" t="s">
        <v>2236</v>
      </c>
      <c r="E525" s="4" t="s">
        <v>2606</v>
      </c>
      <c r="F525" s="4" t="s">
        <v>2589</v>
      </c>
      <c r="G525" s="4" t="s">
        <v>2294</v>
      </c>
      <c r="H525" s="4" t="s">
        <v>2183</v>
      </c>
      <c r="I525" s="4" t="s">
        <v>2100</v>
      </c>
      <c r="J525" s="4" t="s">
        <v>2590</v>
      </c>
      <c r="K525">
        <v>9</v>
      </c>
      <c r="L525">
        <v>2.7431999999999999</v>
      </c>
      <c r="M525">
        <v>38.1</v>
      </c>
      <c r="N525">
        <v>184.15</v>
      </c>
      <c r="O525">
        <v>108</v>
      </c>
      <c r="P525">
        <v>1.5000000000000002</v>
      </c>
      <c r="Q525">
        <v>7.2500000000000009</v>
      </c>
      <c r="R525">
        <v>467.61500000000001</v>
      </c>
      <c r="S525">
        <v>1.9246606668000002E-2</v>
      </c>
      <c r="T525" s="4" t="s">
        <v>2591</v>
      </c>
    </row>
    <row r="526" spans="1:20" x14ac:dyDescent="0.2">
      <c r="A526" s="4" t="s">
        <v>2294</v>
      </c>
      <c r="B526" s="4" t="s">
        <v>2607</v>
      </c>
      <c r="C526" s="4" t="s">
        <v>2096</v>
      </c>
      <c r="D526" s="4" t="s">
        <v>2236</v>
      </c>
      <c r="E526" s="4" t="s">
        <v>2608</v>
      </c>
      <c r="F526" s="4" t="s">
        <v>2609</v>
      </c>
      <c r="G526" s="4" t="s">
        <v>2294</v>
      </c>
      <c r="H526" s="4" t="s">
        <v>2183</v>
      </c>
      <c r="I526" s="4" t="s">
        <v>2100</v>
      </c>
      <c r="J526" s="4" t="s">
        <v>2610</v>
      </c>
      <c r="K526">
        <v>10</v>
      </c>
      <c r="L526">
        <v>3.048</v>
      </c>
      <c r="M526">
        <v>63.5</v>
      </c>
      <c r="N526">
        <v>234.95</v>
      </c>
      <c r="O526">
        <v>120</v>
      </c>
      <c r="P526">
        <v>2.5</v>
      </c>
      <c r="Q526">
        <v>9.25</v>
      </c>
      <c r="R526">
        <v>219.905</v>
      </c>
      <c r="S526">
        <v>4.5474102599999996E-2</v>
      </c>
      <c r="T526" s="4" t="s">
        <v>2611</v>
      </c>
    </row>
    <row r="527" spans="1:20" x14ac:dyDescent="0.2">
      <c r="A527" s="4" t="s">
        <v>2294</v>
      </c>
      <c r="B527" s="4" t="s">
        <v>2607</v>
      </c>
      <c r="C527" s="4" t="s">
        <v>2096</v>
      </c>
      <c r="D527" s="4" t="s">
        <v>2236</v>
      </c>
      <c r="E527" s="4" t="s">
        <v>2612</v>
      </c>
      <c r="F527" s="4" t="s">
        <v>2609</v>
      </c>
      <c r="G527" s="4" t="s">
        <v>2294</v>
      </c>
      <c r="H527" s="4" t="s">
        <v>2183</v>
      </c>
      <c r="I527" s="4" t="s">
        <v>2100</v>
      </c>
      <c r="J527" s="4" t="s">
        <v>2610</v>
      </c>
      <c r="K527">
        <v>11</v>
      </c>
      <c r="L527">
        <v>3.3527999999999998</v>
      </c>
      <c r="M527">
        <v>63.5</v>
      </c>
      <c r="N527">
        <v>234.95</v>
      </c>
      <c r="O527">
        <v>132</v>
      </c>
      <c r="P527">
        <v>2.5</v>
      </c>
      <c r="Q527">
        <v>9.25</v>
      </c>
      <c r="R527">
        <v>219.905</v>
      </c>
      <c r="S527">
        <v>5.0021512859999992E-2</v>
      </c>
      <c r="T527" s="4" t="s">
        <v>2611</v>
      </c>
    </row>
    <row r="528" spans="1:20" x14ac:dyDescent="0.2">
      <c r="A528" s="4" t="s">
        <v>2294</v>
      </c>
      <c r="B528" s="4" t="s">
        <v>2607</v>
      </c>
      <c r="C528" s="4" t="s">
        <v>2096</v>
      </c>
      <c r="D528" s="4" t="s">
        <v>2236</v>
      </c>
      <c r="E528" s="4" t="s">
        <v>2613</v>
      </c>
      <c r="F528" s="4" t="s">
        <v>2609</v>
      </c>
      <c r="G528" s="4" t="s">
        <v>2294</v>
      </c>
      <c r="H528" s="4" t="s">
        <v>2183</v>
      </c>
      <c r="I528" s="4" t="s">
        <v>2100</v>
      </c>
      <c r="J528" s="4" t="s">
        <v>2610</v>
      </c>
      <c r="K528">
        <v>12</v>
      </c>
      <c r="L528">
        <v>3.6576</v>
      </c>
      <c r="M528">
        <v>63.5</v>
      </c>
      <c r="N528">
        <v>234.95</v>
      </c>
      <c r="O528">
        <v>144</v>
      </c>
      <c r="P528">
        <v>2.5</v>
      </c>
      <c r="Q528">
        <v>9.25</v>
      </c>
      <c r="R528">
        <v>219.905</v>
      </c>
      <c r="S528">
        <v>5.4568923120000001E-2</v>
      </c>
      <c r="T528" s="4" t="s">
        <v>2611</v>
      </c>
    </row>
    <row r="529" spans="1:20" x14ac:dyDescent="0.2">
      <c r="A529" s="4" t="s">
        <v>2294</v>
      </c>
      <c r="B529" s="4" t="s">
        <v>2607</v>
      </c>
      <c r="C529" s="4" t="s">
        <v>2096</v>
      </c>
      <c r="D529" s="4" t="s">
        <v>2236</v>
      </c>
      <c r="E529" s="4" t="s">
        <v>2614</v>
      </c>
      <c r="F529" s="4" t="s">
        <v>2609</v>
      </c>
      <c r="G529" s="4" t="s">
        <v>2294</v>
      </c>
      <c r="H529" s="4" t="s">
        <v>2183</v>
      </c>
      <c r="I529" s="4" t="s">
        <v>2100</v>
      </c>
      <c r="J529" s="4" t="s">
        <v>2610</v>
      </c>
      <c r="K529">
        <v>13</v>
      </c>
      <c r="L529">
        <v>3.9624000000000001</v>
      </c>
      <c r="M529">
        <v>63.5</v>
      </c>
      <c r="N529">
        <v>234.95</v>
      </c>
      <c r="O529">
        <v>156</v>
      </c>
      <c r="P529">
        <v>2.5</v>
      </c>
      <c r="Q529">
        <v>9.25</v>
      </c>
      <c r="R529">
        <v>219.905</v>
      </c>
      <c r="S529">
        <v>5.9116333380000004E-2</v>
      </c>
      <c r="T529" s="4" t="s">
        <v>2611</v>
      </c>
    </row>
    <row r="530" spans="1:20" x14ac:dyDescent="0.2">
      <c r="A530" s="4" t="s">
        <v>2294</v>
      </c>
      <c r="B530" s="4" t="s">
        <v>2607</v>
      </c>
      <c r="C530" s="4" t="s">
        <v>2096</v>
      </c>
      <c r="D530" s="4" t="s">
        <v>2236</v>
      </c>
      <c r="E530" s="4" t="s">
        <v>2615</v>
      </c>
      <c r="F530" s="4" t="s">
        <v>2609</v>
      </c>
      <c r="G530" s="4" t="s">
        <v>2294</v>
      </c>
      <c r="H530" s="4" t="s">
        <v>2183</v>
      </c>
      <c r="I530" s="4" t="s">
        <v>2100</v>
      </c>
      <c r="J530" s="4" t="s">
        <v>2610</v>
      </c>
      <c r="K530">
        <v>14</v>
      </c>
      <c r="L530">
        <v>4.2671999999999999</v>
      </c>
      <c r="M530">
        <v>63.5</v>
      </c>
      <c r="N530">
        <v>234.95</v>
      </c>
      <c r="O530">
        <v>168</v>
      </c>
      <c r="P530">
        <v>2.5</v>
      </c>
      <c r="Q530">
        <v>9.25</v>
      </c>
      <c r="R530">
        <v>219.905</v>
      </c>
      <c r="S530">
        <v>6.3663743639999992E-2</v>
      </c>
      <c r="T530" s="4" t="s">
        <v>2611</v>
      </c>
    </row>
    <row r="531" spans="1:20" x14ac:dyDescent="0.2">
      <c r="A531" s="4" t="s">
        <v>2294</v>
      </c>
      <c r="B531" s="4" t="s">
        <v>2607</v>
      </c>
      <c r="C531" s="4" t="s">
        <v>2096</v>
      </c>
      <c r="D531" s="4" t="s">
        <v>2236</v>
      </c>
      <c r="E531" s="4" t="s">
        <v>2616</v>
      </c>
      <c r="F531" s="4" t="s">
        <v>2609</v>
      </c>
      <c r="G531" s="4" t="s">
        <v>2294</v>
      </c>
      <c r="H531" s="4" t="s">
        <v>2183</v>
      </c>
      <c r="I531" s="4" t="s">
        <v>2100</v>
      </c>
      <c r="J531" s="4" t="s">
        <v>2610</v>
      </c>
      <c r="K531">
        <v>15</v>
      </c>
      <c r="L531">
        <v>4.5720000000000001</v>
      </c>
      <c r="M531">
        <v>63.5</v>
      </c>
      <c r="N531">
        <v>234.95</v>
      </c>
      <c r="O531">
        <v>180</v>
      </c>
      <c r="P531">
        <v>2.5</v>
      </c>
      <c r="Q531">
        <v>9.25</v>
      </c>
      <c r="R531">
        <v>219.905</v>
      </c>
      <c r="S531">
        <v>6.8211153900000002E-2</v>
      </c>
      <c r="T531" s="4" t="s">
        <v>2611</v>
      </c>
    </row>
    <row r="532" spans="1:20" x14ac:dyDescent="0.2">
      <c r="A532" s="4" t="s">
        <v>2294</v>
      </c>
      <c r="B532" s="4" t="s">
        <v>2607</v>
      </c>
      <c r="C532" s="4" t="s">
        <v>2096</v>
      </c>
      <c r="D532" s="4" t="s">
        <v>2236</v>
      </c>
      <c r="E532" s="4" t="s">
        <v>2617</v>
      </c>
      <c r="F532" s="4" t="s">
        <v>2609</v>
      </c>
      <c r="G532" s="4" t="s">
        <v>2294</v>
      </c>
      <c r="H532" s="4" t="s">
        <v>2183</v>
      </c>
      <c r="I532" s="4" t="s">
        <v>2100</v>
      </c>
      <c r="J532" s="4" t="s">
        <v>2610</v>
      </c>
      <c r="K532">
        <v>16</v>
      </c>
      <c r="L532">
        <v>4.8768000000000002</v>
      </c>
      <c r="M532">
        <v>63.5</v>
      </c>
      <c r="N532">
        <v>234.95</v>
      </c>
      <c r="O532">
        <v>192.00000000000003</v>
      </c>
      <c r="P532">
        <v>2.5</v>
      </c>
      <c r="Q532">
        <v>9.25</v>
      </c>
      <c r="R532">
        <v>219.905</v>
      </c>
      <c r="S532">
        <v>7.2758564160000011E-2</v>
      </c>
      <c r="T532" s="4" t="s">
        <v>2611</v>
      </c>
    </row>
    <row r="533" spans="1:20" x14ac:dyDescent="0.2">
      <c r="A533" s="4" t="s">
        <v>2294</v>
      </c>
      <c r="B533" s="4" t="s">
        <v>2607</v>
      </c>
      <c r="C533" s="4" t="s">
        <v>2096</v>
      </c>
      <c r="D533" s="4" t="s">
        <v>2236</v>
      </c>
      <c r="E533" s="4" t="s">
        <v>2618</v>
      </c>
      <c r="F533" s="4" t="s">
        <v>2609</v>
      </c>
      <c r="G533" s="4" t="s">
        <v>2294</v>
      </c>
      <c r="H533" s="4" t="s">
        <v>2183</v>
      </c>
      <c r="I533" s="4" t="s">
        <v>2100</v>
      </c>
      <c r="J533" s="4" t="s">
        <v>2610</v>
      </c>
      <c r="K533">
        <v>17</v>
      </c>
      <c r="L533">
        <v>5.1816000000000004</v>
      </c>
      <c r="M533">
        <v>63.5</v>
      </c>
      <c r="N533">
        <v>234.95</v>
      </c>
      <c r="O533">
        <v>204.00000000000003</v>
      </c>
      <c r="P533">
        <v>2.5</v>
      </c>
      <c r="Q533">
        <v>9.25</v>
      </c>
      <c r="R533">
        <v>219.905</v>
      </c>
      <c r="S533">
        <v>7.7305974419999993E-2</v>
      </c>
      <c r="T533" s="4" t="s">
        <v>2611</v>
      </c>
    </row>
    <row r="534" spans="1:20" x14ac:dyDescent="0.2">
      <c r="A534" s="4" t="s">
        <v>2294</v>
      </c>
      <c r="B534" s="4" t="s">
        <v>2607</v>
      </c>
      <c r="C534" s="4" t="s">
        <v>2096</v>
      </c>
      <c r="D534" s="4" t="s">
        <v>2236</v>
      </c>
      <c r="E534" s="4" t="s">
        <v>2619</v>
      </c>
      <c r="F534" s="4" t="s">
        <v>2609</v>
      </c>
      <c r="G534" s="4" t="s">
        <v>2294</v>
      </c>
      <c r="H534" s="4" t="s">
        <v>2183</v>
      </c>
      <c r="I534" s="4" t="s">
        <v>2100</v>
      </c>
      <c r="J534" s="4" t="s">
        <v>2610</v>
      </c>
      <c r="K534">
        <v>18</v>
      </c>
      <c r="L534">
        <v>5.4863999999999997</v>
      </c>
      <c r="M534">
        <v>63.5</v>
      </c>
      <c r="N534">
        <v>234.95</v>
      </c>
      <c r="O534">
        <v>216</v>
      </c>
      <c r="P534">
        <v>2.5</v>
      </c>
      <c r="Q534">
        <v>9.25</v>
      </c>
      <c r="R534">
        <v>219.905</v>
      </c>
      <c r="S534">
        <v>8.1853384679999988E-2</v>
      </c>
      <c r="T534" s="4" t="s">
        <v>2611</v>
      </c>
    </row>
    <row r="535" spans="1:20" x14ac:dyDescent="0.2">
      <c r="A535" s="4" t="s">
        <v>2294</v>
      </c>
      <c r="B535" s="4" t="s">
        <v>2607</v>
      </c>
      <c r="C535" s="4" t="s">
        <v>2096</v>
      </c>
      <c r="D535" s="4" t="s">
        <v>2236</v>
      </c>
      <c r="E535" s="4" t="s">
        <v>2620</v>
      </c>
      <c r="F535" s="4" t="s">
        <v>2609</v>
      </c>
      <c r="G535" s="4" t="s">
        <v>2294</v>
      </c>
      <c r="H535" s="4" t="s">
        <v>2183</v>
      </c>
      <c r="I535" s="4" t="s">
        <v>2100</v>
      </c>
      <c r="J535" s="4" t="s">
        <v>2610</v>
      </c>
      <c r="K535">
        <v>19</v>
      </c>
      <c r="L535">
        <v>5.7911999999999999</v>
      </c>
      <c r="M535">
        <v>63.5</v>
      </c>
      <c r="N535">
        <v>234.95</v>
      </c>
      <c r="O535">
        <v>228</v>
      </c>
      <c r="P535">
        <v>2.5</v>
      </c>
      <c r="Q535">
        <v>9.25</v>
      </c>
      <c r="R535">
        <v>219.905</v>
      </c>
      <c r="S535">
        <v>8.6400794939999997E-2</v>
      </c>
      <c r="T535" s="4" t="s">
        <v>2611</v>
      </c>
    </row>
    <row r="536" spans="1:20" x14ac:dyDescent="0.2">
      <c r="A536" s="4" t="s">
        <v>2294</v>
      </c>
      <c r="B536" s="4" t="s">
        <v>2607</v>
      </c>
      <c r="C536" s="4" t="s">
        <v>2096</v>
      </c>
      <c r="D536" s="4" t="s">
        <v>2236</v>
      </c>
      <c r="E536" s="4" t="s">
        <v>214</v>
      </c>
      <c r="F536" s="4" t="s">
        <v>2609</v>
      </c>
      <c r="G536" s="4" t="s">
        <v>2294</v>
      </c>
      <c r="H536" s="4" t="s">
        <v>2183</v>
      </c>
      <c r="I536" s="4" t="s">
        <v>2100</v>
      </c>
      <c r="J536" s="4" t="s">
        <v>2610</v>
      </c>
      <c r="K536">
        <v>20</v>
      </c>
      <c r="L536">
        <v>6.0960000000000001</v>
      </c>
      <c r="M536">
        <v>63.5</v>
      </c>
      <c r="N536">
        <v>234.95</v>
      </c>
      <c r="O536">
        <v>240</v>
      </c>
      <c r="P536">
        <v>2.5</v>
      </c>
      <c r="Q536">
        <v>9.25</v>
      </c>
      <c r="R536">
        <v>219.905</v>
      </c>
      <c r="S536">
        <v>9.0948205199999993E-2</v>
      </c>
      <c r="T536" s="4" t="s">
        <v>2611</v>
      </c>
    </row>
    <row r="537" spans="1:20" x14ac:dyDescent="0.2">
      <c r="A537" s="4" t="s">
        <v>2294</v>
      </c>
      <c r="B537" s="4" t="s">
        <v>2607</v>
      </c>
      <c r="C537" s="4" t="s">
        <v>2096</v>
      </c>
      <c r="D537" s="4" t="s">
        <v>2236</v>
      </c>
      <c r="E537" s="4" t="s">
        <v>2621</v>
      </c>
      <c r="F537" s="4" t="s">
        <v>2609</v>
      </c>
      <c r="G537" s="4" t="s">
        <v>2294</v>
      </c>
      <c r="H537" s="4" t="s">
        <v>2183</v>
      </c>
      <c r="I537" s="4" t="s">
        <v>2100</v>
      </c>
      <c r="J537" s="4" t="s">
        <v>2610</v>
      </c>
      <c r="K537">
        <v>21</v>
      </c>
      <c r="L537">
        <v>6.4008000000000003</v>
      </c>
      <c r="M537">
        <v>63.5</v>
      </c>
      <c r="N537">
        <v>234.95</v>
      </c>
      <c r="O537">
        <v>252.00000000000003</v>
      </c>
      <c r="P537">
        <v>2.5</v>
      </c>
      <c r="Q537">
        <v>9.25</v>
      </c>
      <c r="R537">
        <v>219.905</v>
      </c>
      <c r="S537">
        <v>9.5495615460000002E-2</v>
      </c>
      <c r="T537" s="4" t="s">
        <v>2611</v>
      </c>
    </row>
    <row r="538" spans="1:20" x14ac:dyDescent="0.2">
      <c r="A538" s="4" t="s">
        <v>2294</v>
      </c>
      <c r="B538" s="4" t="s">
        <v>2607</v>
      </c>
      <c r="C538" s="4" t="s">
        <v>2096</v>
      </c>
      <c r="D538" s="4" t="s">
        <v>2236</v>
      </c>
      <c r="E538" s="4" t="s">
        <v>2622</v>
      </c>
      <c r="F538" s="4" t="s">
        <v>2609</v>
      </c>
      <c r="G538" s="4" t="s">
        <v>2294</v>
      </c>
      <c r="H538" s="4" t="s">
        <v>2183</v>
      </c>
      <c r="I538" s="4" t="s">
        <v>2100</v>
      </c>
      <c r="J538" s="4" t="s">
        <v>2610</v>
      </c>
      <c r="K538">
        <v>22</v>
      </c>
      <c r="L538">
        <v>6.7055999999999996</v>
      </c>
      <c r="M538">
        <v>63.5</v>
      </c>
      <c r="N538">
        <v>234.95</v>
      </c>
      <c r="O538">
        <v>264</v>
      </c>
      <c r="P538">
        <v>2.5</v>
      </c>
      <c r="Q538">
        <v>9.25</v>
      </c>
      <c r="R538">
        <v>219.905</v>
      </c>
      <c r="S538">
        <v>0.10004302571999998</v>
      </c>
      <c r="T538" s="4" t="s">
        <v>2611</v>
      </c>
    </row>
    <row r="539" spans="1:20" x14ac:dyDescent="0.2">
      <c r="A539" s="4" t="s">
        <v>2294</v>
      </c>
      <c r="B539" s="4" t="s">
        <v>2607</v>
      </c>
      <c r="C539" s="4" t="s">
        <v>2286</v>
      </c>
      <c r="D539" s="4" t="s">
        <v>2236</v>
      </c>
      <c r="E539" s="4" t="s">
        <v>2623</v>
      </c>
      <c r="F539" s="4" t="s">
        <v>2609</v>
      </c>
      <c r="G539" s="4" t="s">
        <v>2294</v>
      </c>
      <c r="H539" s="4" t="s">
        <v>2183</v>
      </c>
      <c r="I539" s="4" t="s">
        <v>2100</v>
      </c>
      <c r="J539" s="4" t="s">
        <v>2610</v>
      </c>
      <c r="K539">
        <v>3</v>
      </c>
      <c r="L539">
        <v>0.91439999999999999</v>
      </c>
      <c r="M539">
        <v>63.5</v>
      </c>
      <c r="N539">
        <v>234.95</v>
      </c>
      <c r="O539">
        <v>36</v>
      </c>
      <c r="P539">
        <v>2.5</v>
      </c>
      <c r="Q539">
        <v>9.25</v>
      </c>
      <c r="R539">
        <v>219.905</v>
      </c>
      <c r="S539">
        <v>1.364223078E-2</v>
      </c>
      <c r="T539" s="4" t="s">
        <v>2624</v>
      </c>
    </row>
    <row r="540" spans="1:20" x14ac:dyDescent="0.2">
      <c r="A540" s="4" t="s">
        <v>2294</v>
      </c>
      <c r="B540" s="4" t="s">
        <v>2607</v>
      </c>
      <c r="C540" s="4" t="s">
        <v>2286</v>
      </c>
      <c r="D540" s="4" t="s">
        <v>2236</v>
      </c>
      <c r="E540" s="4" t="s">
        <v>2625</v>
      </c>
      <c r="F540" s="4" t="s">
        <v>2609</v>
      </c>
      <c r="G540" s="4" t="s">
        <v>2294</v>
      </c>
      <c r="H540" s="4" t="s">
        <v>2183</v>
      </c>
      <c r="I540" s="4" t="s">
        <v>2100</v>
      </c>
      <c r="J540" s="4" t="s">
        <v>2610</v>
      </c>
      <c r="K540">
        <v>4</v>
      </c>
      <c r="L540">
        <v>1.2192000000000001</v>
      </c>
      <c r="M540">
        <v>63.5</v>
      </c>
      <c r="N540">
        <v>234.95</v>
      </c>
      <c r="O540">
        <v>48.000000000000007</v>
      </c>
      <c r="P540">
        <v>2.5</v>
      </c>
      <c r="Q540">
        <v>9.25</v>
      </c>
      <c r="R540">
        <v>219.905</v>
      </c>
      <c r="S540">
        <v>1.8189641040000003E-2</v>
      </c>
      <c r="T540" s="4" t="s">
        <v>2624</v>
      </c>
    </row>
    <row r="541" spans="1:20" x14ac:dyDescent="0.2">
      <c r="A541" s="4" t="s">
        <v>2294</v>
      </c>
      <c r="B541" s="4" t="s">
        <v>2607</v>
      </c>
      <c r="C541" s="4" t="s">
        <v>2286</v>
      </c>
      <c r="D541" s="4" t="s">
        <v>2236</v>
      </c>
      <c r="E541" s="4" t="s">
        <v>2626</v>
      </c>
      <c r="F541" s="4" t="s">
        <v>2609</v>
      </c>
      <c r="G541" s="4" t="s">
        <v>2294</v>
      </c>
      <c r="H541" s="4" t="s">
        <v>2183</v>
      </c>
      <c r="I541" s="4" t="s">
        <v>2100</v>
      </c>
      <c r="J541" s="4" t="s">
        <v>2610</v>
      </c>
      <c r="K541">
        <v>5</v>
      </c>
      <c r="L541">
        <v>1.524</v>
      </c>
      <c r="M541">
        <v>63.5</v>
      </c>
      <c r="N541">
        <v>234.95</v>
      </c>
      <c r="O541">
        <v>60</v>
      </c>
      <c r="P541">
        <v>2.5</v>
      </c>
      <c r="Q541">
        <v>9.25</v>
      </c>
      <c r="R541">
        <v>219.905</v>
      </c>
      <c r="S541">
        <v>2.2737051299999998E-2</v>
      </c>
      <c r="T541" s="4" t="s">
        <v>2624</v>
      </c>
    </row>
    <row r="542" spans="1:20" x14ac:dyDescent="0.2">
      <c r="A542" s="4" t="s">
        <v>2294</v>
      </c>
      <c r="B542" s="4" t="s">
        <v>2607</v>
      </c>
      <c r="C542" s="4" t="s">
        <v>2286</v>
      </c>
      <c r="D542" s="4" t="s">
        <v>2236</v>
      </c>
      <c r="E542" s="4" t="s">
        <v>2627</v>
      </c>
      <c r="F542" s="4" t="s">
        <v>2609</v>
      </c>
      <c r="G542" s="4" t="s">
        <v>2294</v>
      </c>
      <c r="H542" s="4" t="s">
        <v>2183</v>
      </c>
      <c r="I542" s="4" t="s">
        <v>2100</v>
      </c>
      <c r="J542" s="4" t="s">
        <v>2610</v>
      </c>
      <c r="K542">
        <v>6</v>
      </c>
      <c r="L542">
        <v>1.8288</v>
      </c>
      <c r="M542">
        <v>63.5</v>
      </c>
      <c r="N542">
        <v>234.95</v>
      </c>
      <c r="O542">
        <v>72</v>
      </c>
      <c r="P542">
        <v>2.5</v>
      </c>
      <c r="Q542">
        <v>9.25</v>
      </c>
      <c r="R542">
        <v>219.905</v>
      </c>
      <c r="S542">
        <v>2.7284461560000001E-2</v>
      </c>
      <c r="T542" s="4" t="s">
        <v>2624</v>
      </c>
    </row>
    <row r="543" spans="1:20" x14ac:dyDescent="0.2">
      <c r="A543" s="4" t="s">
        <v>2294</v>
      </c>
      <c r="B543" s="4" t="s">
        <v>2607</v>
      </c>
      <c r="C543" s="4" t="s">
        <v>2286</v>
      </c>
      <c r="D543" s="4" t="s">
        <v>2236</v>
      </c>
      <c r="E543" s="4" t="s">
        <v>2628</v>
      </c>
      <c r="F543" s="4" t="s">
        <v>2609</v>
      </c>
      <c r="G543" s="4" t="s">
        <v>2294</v>
      </c>
      <c r="H543" s="4" t="s">
        <v>2183</v>
      </c>
      <c r="I543" s="4" t="s">
        <v>2100</v>
      </c>
      <c r="J543" s="4" t="s">
        <v>2610</v>
      </c>
      <c r="K543">
        <v>7</v>
      </c>
      <c r="L543">
        <v>2.1335999999999999</v>
      </c>
      <c r="M543">
        <v>63.5</v>
      </c>
      <c r="N543">
        <v>234.95</v>
      </c>
      <c r="O543">
        <v>84</v>
      </c>
      <c r="P543">
        <v>2.5</v>
      </c>
      <c r="Q543">
        <v>9.25</v>
      </c>
      <c r="R543">
        <v>219.905</v>
      </c>
      <c r="S543">
        <v>3.1831871819999996E-2</v>
      </c>
      <c r="T543" s="4" t="s">
        <v>2624</v>
      </c>
    </row>
    <row r="544" spans="1:20" x14ac:dyDescent="0.2">
      <c r="A544" s="4" t="s">
        <v>2294</v>
      </c>
      <c r="B544" s="4" t="s">
        <v>2607</v>
      </c>
      <c r="C544" s="4" t="s">
        <v>2096</v>
      </c>
      <c r="D544" s="4" t="s">
        <v>2236</v>
      </c>
      <c r="E544" s="4" t="s">
        <v>216</v>
      </c>
      <c r="F544" s="4" t="s">
        <v>2609</v>
      </c>
      <c r="G544" s="4" t="s">
        <v>2294</v>
      </c>
      <c r="H544" s="4" t="s">
        <v>2183</v>
      </c>
      <c r="I544" s="4" t="s">
        <v>2100</v>
      </c>
      <c r="J544" s="4" t="s">
        <v>2610</v>
      </c>
      <c r="K544">
        <v>8</v>
      </c>
      <c r="L544">
        <v>2.4384000000000001</v>
      </c>
      <c r="M544">
        <v>63.5</v>
      </c>
      <c r="N544">
        <v>234.95</v>
      </c>
      <c r="O544">
        <v>96.000000000000014</v>
      </c>
      <c r="P544">
        <v>2.5</v>
      </c>
      <c r="Q544">
        <v>9.25</v>
      </c>
      <c r="R544">
        <v>219.905</v>
      </c>
      <c r="S544">
        <v>3.6379282080000006E-2</v>
      </c>
      <c r="T544" s="4" t="s">
        <v>2611</v>
      </c>
    </row>
    <row r="545" spans="1:20" x14ac:dyDescent="0.2">
      <c r="A545" s="4" t="s">
        <v>2294</v>
      </c>
      <c r="B545" s="4" t="s">
        <v>2607</v>
      </c>
      <c r="C545" s="4" t="s">
        <v>2096</v>
      </c>
      <c r="D545" s="4" t="s">
        <v>2236</v>
      </c>
      <c r="E545" s="4" t="s">
        <v>2629</v>
      </c>
      <c r="F545" s="4" t="s">
        <v>2609</v>
      </c>
      <c r="G545" s="4" t="s">
        <v>2294</v>
      </c>
      <c r="H545" s="4" t="s">
        <v>2183</v>
      </c>
      <c r="I545" s="4" t="s">
        <v>2100</v>
      </c>
      <c r="J545" s="4" t="s">
        <v>2610</v>
      </c>
      <c r="K545">
        <v>9</v>
      </c>
      <c r="L545">
        <v>2.7431999999999999</v>
      </c>
      <c r="M545">
        <v>63.5</v>
      </c>
      <c r="N545">
        <v>234.95</v>
      </c>
      <c r="O545">
        <v>108</v>
      </c>
      <c r="P545">
        <v>2.5</v>
      </c>
      <c r="Q545">
        <v>9.25</v>
      </c>
      <c r="R545">
        <v>219.905</v>
      </c>
      <c r="S545">
        <v>4.0926692339999994E-2</v>
      </c>
      <c r="T545" s="4" t="s">
        <v>2611</v>
      </c>
    </row>
    <row r="546" spans="1:20" x14ac:dyDescent="0.2">
      <c r="A546" s="4" t="s">
        <v>2294</v>
      </c>
      <c r="B546" s="4" t="s">
        <v>2630</v>
      </c>
      <c r="C546" s="4" t="s">
        <v>2096</v>
      </c>
      <c r="D546" s="4" t="s">
        <v>2236</v>
      </c>
      <c r="E546" s="4" t="s">
        <v>2631</v>
      </c>
      <c r="F546" s="4" t="s">
        <v>2632</v>
      </c>
      <c r="G546" s="4" t="s">
        <v>2294</v>
      </c>
      <c r="H546" s="4" t="s">
        <v>2183</v>
      </c>
      <c r="I546" s="4" t="s">
        <v>2100</v>
      </c>
      <c r="J546" s="4" t="s">
        <v>2633</v>
      </c>
      <c r="K546">
        <v>10</v>
      </c>
      <c r="L546">
        <v>3.048</v>
      </c>
      <c r="M546">
        <v>63.5</v>
      </c>
      <c r="N546">
        <v>285.75</v>
      </c>
      <c r="O546">
        <v>120</v>
      </c>
      <c r="P546">
        <v>2.5</v>
      </c>
      <c r="Q546">
        <v>11.25</v>
      </c>
      <c r="R546">
        <v>180.81100000000001</v>
      </c>
      <c r="S546">
        <v>5.5306340999999995E-2</v>
      </c>
      <c r="T546" s="4" t="s">
        <v>2634</v>
      </c>
    </row>
    <row r="547" spans="1:20" x14ac:dyDescent="0.2">
      <c r="A547" s="4" t="s">
        <v>2294</v>
      </c>
      <c r="B547" s="4" t="s">
        <v>2630</v>
      </c>
      <c r="C547" s="4" t="s">
        <v>2096</v>
      </c>
      <c r="D547" s="4" t="s">
        <v>2236</v>
      </c>
      <c r="E547" s="4" t="s">
        <v>2635</v>
      </c>
      <c r="F547" s="4" t="s">
        <v>2632</v>
      </c>
      <c r="G547" s="4" t="s">
        <v>2294</v>
      </c>
      <c r="H547" s="4" t="s">
        <v>2183</v>
      </c>
      <c r="I547" s="4" t="s">
        <v>2100</v>
      </c>
      <c r="J547" s="4" t="s">
        <v>2633</v>
      </c>
      <c r="K547">
        <v>10</v>
      </c>
      <c r="L547">
        <v>3.048</v>
      </c>
      <c r="M547">
        <v>63.5</v>
      </c>
      <c r="N547">
        <v>285.75</v>
      </c>
      <c r="O547">
        <v>120</v>
      </c>
      <c r="P547">
        <v>2.5</v>
      </c>
      <c r="Q547">
        <v>11.25</v>
      </c>
      <c r="R547">
        <v>180.81100000000001</v>
      </c>
      <c r="S547">
        <v>5.5306340999999995E-2</v>
      </c>
      <c r="T547" s="4" t="s">
        <v>2634</v>
      </c>
    </row>
    <row r="548" spans="1:20" x14ac:dyDescent="0.2">
      <c r="A548" s="4" t="s">
        <v>2294</v>
      </c>
      <c r="B548" s="4" t="s">
        <v>2630</v>
      </c>
      <c r="C548" s="4" t="s">
        <v>2096</v>
      </c>
      <c r="D548" s="4" t="s">
        <v>2236</v>
      </c>
      <c r="E548" s="4" t="s">
        <v>2636</v>
      </c>
      <c r="F548" s="4" t="s">
        <v>2632</v>
      </c>
      <c r="G548" s="4" t="s">
        <v>2294</v>
      </c>
      <c r="H548" s="4" t="s">
        <v>2183</v>
      </c>
      <c r="I548" s="4" t="s">
        <v>2100</v>
      </c>
      <c r="J548" s="4" t="s">
        <v>2633</v>
      </c>
      <c r="K548">
        <v>11</v>
      </c>
      <c r="L548">
        <v>3.3527999999999998</v>
      </c>
      <c r="M548">
        <v>63.5</v>
      </c>
      <c r="N548">
        <v>285.75</v>
      </c>
      <c r="O548">
        <v>132</v>
      </c>
      <c r="P548">
        <v>2.5</v>
      </c>
      <c r="Q548">
        <v>11.25</v>
      </c>
      <c r="R548">
        <v>180.81100000000001</v>
      </c>
      <c r="S548">
        <v>6.0836975099999989E-2</v>
      </c>
      <c r="T548" s="4" t="s">
        <v>2634</v>
      </c>
    </row>
    <row r="549" spans="1:20" x14ac:dyDescent="0.2">
      <c r="A549" s="4" t="s">
        <v>2294</v>
      </c>
      <c r="B549" s="4" t="s">
        <v>2630</v>
      </c>
      <c r="C549" s="4" t="s">
        <v>2096</v>
      </c>
      <c r="D549" s="4" t="s">
        <v>2236</v>
      </c>
      <c r="E549" s="4" t="s">
        <v>2637</v>
      </c>
      <c r="F549" s="4" t="s">
        <v>2632</v>
      </c>
      <c r="G549" s="4" t="s">
        <v>2294</v>
      </c>
      <c r="H549" s="4" t="s">
        <v>2183</v>
      </c>
      <c r="I549" s="4" t="s">
        <v>2100</v>
      </c>
      <c r="J549" s="4" t="s">
        <v>2633</v>
      </c>
      <c r="K549">
        <v>11</v>
      </c>
      <c r="L549">
        <v>3.3527999999999998</v>
      </c>
      <c r="M549">
        <v>63.5</v>
      </c>
      <c r="N549">
        <v>285.75</v>
      </c>
      <c r="O549">
        <v>132</v>
      </c>
      <c r="P549">
        <v>2.5</v>
      </c>
      <c r="Q549">
        <v>11.25</v>
      </c>
      <c r="R549">
        <v>180.81100000000001</v>
      </c>
      <c r="S549">
        <v>6.0836975099999989E-2</v>
      </c>
      <c r="T549" s="4" t="s">
        <v>2634</v>
      </c>
    </row>
    <row r="550" spans="1:20" x14ac:dyDescent="0.2">
      <c r="A550" s="4" t="s">
        <v>2294</v>
      </c>
      <c r="B550" s="4" t="s">
        <v>2630</v>
      </c>
      <c r="C550" s="4" t="s">
        <v>2096</v>
      </c>
      <c r="D550" s="4" t="s">
        <v>2236</v>
      </c>
      <c r="E550" s="4" t="s">
        <v>2638</v>
      </c>
      <c r="F550" s="4" t="s">
        <v>2632</v>
      </c>
      <c r="G550" s="4" t="s">
        <v>2294</v>
      </c>
      <c r="H550" s="4" t="s">
        <v>2183</v>
      </c>
      <c r="I550" s="4" t="s">
        <v>2100</v>
      </c>
      <c r="J550" s="4" t="s">
        <v>2633</v>
      </c>
      <c r="K550">
        <v>12</v>
      </c>
      <c r="L550">
        <v>3.6576</v>
      </c>
      <c r="M550">
        <v>63.5</v>
      </c>
      <c r="N550">
        <v>285.75</v>
      </c>
      <c r="O550">
        <v>144</v>
      </c>
      <c r="P550">
        <v>2.5</v>
      </c>
      <c r="Q550">
        <v>11.25</v>
      </c>
      <c r="R550">
        <v>180.81100000000001</v>
      </c>
      <c r="S550">
        <v>6.6367609200000011E-2</v>
      </c>
      <c r="T550" s="4" t="s">
        <v>2634</v>
      </c>
    </row>
    <row r="551" spans="1:20" x14ac:dyDescent="0.2">
      <c r="A551" s="4" t="s">
        <v>2294</v>
      </c>
      <c r="B551" s="4" t="s">
        <v>2630</v>
      </c>
      <c r="C551" s="4" t="s">
        <v>2096</v>
      </c>
      <c r="D551" s="4" t="s">
        <v>2236</v>
      </c>
      <c r="E551" s="4" t="s">
        <v>2639</v>
      </c>
      <c r="F551" s="4" t="s">
        <v>2632</v>
      </c>
      <c r="G551" s="4" t="s">
        <v>2294</v>
      </c>
      <c r="H551" s="4" t="s">
        <v>2183</v>
      </c>
      <c r="I551" s="4" t="s">
        <v>2100</v>
      </c>
      <c r="J551" s="4" t="s">
        <v>2633</v>
      </c>
      <c r="K551">
        <v>12</v>
      </c>
      <c r="L551">
        <v>3.6576</v>
      </c>
      <c r="M551">
        <v>63.5</v>
      </c>
      <c r="N551">
        <v>285.75</v>
      </c>
      <c r="O551">
        <v>144</v>
      </c>
      <c r="P551">
        <v>2.5</v>
      </c>
      <c r="Q551">
        <v>11.25</v>
      </c>
      <c r="R551">
        <v>180.81100000000001</v>
      </c>
      <c r="S551">
        <v>6.6367609200000011E-2</v>
      </c>
      <c r="T551" s="4" t="s">
        <v>2634</v>
      </c>
    </row>
    <row r="552" spans="1:20" x14ac:dyDescent="0.2">
      <c r="A552" s="4" t="s">
        <v>2294</v>
      </c>
      <c r="B552" s="4" t="s">
        <v>2630</v>
      </c>
      <c r="C552" s="4" t="s">
        <v>2096</v>
      </c>
      <c r="D552" s="4" t="s">
        <v>2236</v>
      </c>
      <c r="E552" s="4" t="s">
        <v>2640</v>
      </c>
      <c r="F552" s="4" t="s">
        <v>2632</v>
      </c>
      <c r="G552" s="4" t="s">
        <v>2294</v>
      </c>
      <c r="H552" s="4" t="s">
        <v>2183</v>
      </c>
      <c r="I552" s="4" t="s">
        <v>2100</v>
      </c>
      <c r="J552" s="4" t="s">
        <v>2633</v>
      </c>
      <c r="K552">
        <v>13</v>
      </c>
      <c r="L552">
        <v>3.9624000000000001</v>
      </c>
      <c r="M552">
        <v>63.5</v>
      </c>
      <c r="N552">
        <v>285.75</v>
      </c>
      <c r="O552">
        <v>156</v>
      </c>
      <c r="P552">
        <v>2.5</v>
      </c>
      <c r="Q552">
        <v>11.25</v>
      </c>
      <c r="R552">
        <v>180.81100000000001</v>
      </c>
      <c r="S552">
        <v>7.1898243299999998E-2</v>
      </c>
      <c r="T552" s="4" t="s">
        <v>2634</v>
      </c>
    </row>
    <row r="553" spans="1:20" x14ac:dyDescent="0.2">
      <c r="A553" s="4" t="s">
        <v>2294</v>
      </c>
      <c r="B553" s="4" t="s">
        <v>2630</v>
      </c>
      <c r="C553" s="4" t="s">
        <v>2096</v>
      </c>
      <c r="D553" s="4" t="s">
        <v>2236</v>
      </c>
      <c r="E553" s="4" t="s">
        <v>2641</v>
      </c>
      <c r="F553" s="4" t="s">
        <v>2632</v>
      </c>
      <c r="G553" s="4" t="s">
        <v>2294</v>
      </c>
      <c r="H553" s="4" t="s">
        <v>2183</v>
      </c>
      <c r="I553" s="4" t="s">
        <v>2100</v>
      </c>
      <c r="J553" s="4" t="s">
        <v>2633</v>
      </c>
      <c r="K553">
        <v>13</v>
      </c>
      <c r="L553">
        <v>3.9624000000000001</v>
      </c>
      <c r="M553">
        <v>63.5</v>
      </c>
      <c r="N553">
        <v>285.75</v>
      </c>
      <c r="O553">
        <v>156</v>
      </c>
      <c r="P553">
        <v>2.5</v>
      </c>
      <c r="Q553">
        <v>11.25</v>
      </c>
      <c r="R553">
        <v>180.81100000000001</v>
      </c>
      <c r="S553">
        <v>7.1898243299999998E-2</v>
      </c>
      <c r="T553" s="4" t="s">
        <v>2634</v>
      </c>
    </row>
    <row r="554" spans="1:20" x14ac:dyDescent="0.2">
      <c r="A554" s="4" t="s">
        <v>2294</v>
      </c>
      <c r="B554" s="4" t="s">
        <v>2630</v>
      </c>
      <c r="C554" s="4" t="s">
        <v>2096</v>
      </c>
      <c r="D554" s="4" t="s">
        <v>2236</v>
      </c>
      <c r="E554" s="4" t="s">
        <v>1909</v>
      </c>
      <c r="F554" s="4" t="s">
        <v>2632</v>
      </c>
      <c r="G554" s="4" t="s">
        <v>2294</v>
      </c>
      <c r="H554" s="4" t="s">
        <v>2183</v>
      </c>
      <c r="I554" s="4" t="s">
        <v>2100</v>
      </c>
      <c r="J554" s="4" t="s">
        <v>2633</v>
      </c>
      <c r="K554">
        <v>14</v>
      </c>
      <c r="L554">
        <v>4.2671999999999999</v>
      </c>
      <c r="M554">
        <v>63.5</v>
      </c>
      <c r="N554">
        <v>285.75</v>
      </c>
      <c r="O554">
        <v>168</v>
      </c>
      <c r="P554">
        <v>2.5</v>
      </c>
      <c r="Q554">
        <v>11.25</v>
      </c>
      <c r="R554">
        <v>180.81100000000001</v>
      </c>
      <c r="S554">
        <v>7.7428877399999985E-2</v>
      </c>
      <c r="T554" s="4" t="s">
        <v>2634</v>
      </c>
    </row>
    <row r="555" spans="1:20" x14ac:dyDescent="0.2">
      <c r="A555" s="4" t="s">
        <v>2294</v>
      </c>
      <c r="B555" s="4" t="s">
        <v>2630</v>
      </c>
      <c r="C555" s="4" t="s">
        <v>2096</v>
      </c>
      <c r="D555" s="4" t="s">
        <v>2236</v>
      </c>
      <c r="E555" s="4" t="s">
        <v>2642</v>
      </c>
      <c r="F555" s="4" t="s">
        <v>2632</v>
      </c>
      <c r="G555" s="4" t="s">
        <v>2294</v>
      </c>
      <c r="H555" s="4" t="s">
        <v>2183</v>
      </c>
      <c r="I555" s="4" t="s">
        <v>2100</v>
      </c>
      <c r="J555" s="4" t="s">
        <v>2633</v>
      </c>
      <c r="K555">
        <v>14</v>
      </c>
      <c r="L555">
        <v>4.2671999999999999</v>
      </c>
      <c r="M555">
        <v>63.5</v>
      </c>
      <c r="N555">
        <v>285.75</v>
      </c>
      <c r="O555">
        <v>168</v>
      </c>
      <c r="P555">
        <v>2.5</v>
      </c>
      <c r="Q555">
        <v>11.25</v>
      </c>
      <c r="R555">
        <v>180.81100000000001</v>
      </c>
      <c r="S555">
        <v>7.7428877399999985E-2</v>
      </c>
      <c r="T555" s="4" t="s">
        <v>2634</v>
      </c>
    </row>
    <row r="556" spans="1:20" x14ac:dyDescent="0.2">
      <c r="A556" s="4" t="s">
        <v>2294</v>
      </c>
      <c r="B556" s="4" t="s">
        <v>2630</v>
      </c>
      <c r="C556" s="4" t="s">
        <v>2096</v>
      </c>
      <c r="D556" s="4" t="s">
        <v>2236</v>
      </c>
      <c r="E556" s="4" t="s">
        <v>2643</v>
      </c>
      <c r="F556" s="4" t="s">
        <v>2632</v>
      </c>
      <c r="G556" s="4" t="s">
        <v>2294</v>
      </c>
      <c r="H556" s="4" t="s">
        <v>2183</v>
      </c>
      <c r="I556" s="4" t="s">
        <v>2100</v>
      </c>
      <c r="J556" s="4" t="s">
        <v>2633</v>
      </c>
      <c r="K556">
        <v>15</v>
      </c>
      <c r="L556">
        <v>4.5720000000000001</v>
      </c>
      <c r="M556">
        <v>63.5</v>
      </c>
      <c r="N556">
        <v>285.75</v>
      </c>
      <c r="O556">
        <v>180</v>
      </c>
      <c r="P556">
        <v>2.5</v>
      </c>
      <c r="Q556">
        <v>11.25</v>
      </c>
      <c r="R556">
        <v>180.81100000000001</v>
      </c>
      <c r="S556">
        <v>8.2959511499999999E-2</v>
      </c>
      <c r="T556" s="4" t="s">
        <v>2634</v>
      </c>
    </row>
    <row r="557" spans="1:20" x14ac:dyDescent="0.2">
      <c r="A557" s="4" t="s">
        <v>2294</v>
      </c>
      <c r="B557" s="4" t="s">
        <v>2630</v>
      </c>
      <c r="C557" s="4" t="s">
        <v>2096</v>
      </c>
      <c r="D557" s="4" t="s">
        <v>2236</v>
      </c>
      <c r="E557" s="4" t="s">
        <v>2644</v>
      </c>
      <c r="F557" s="4" t="s">
        <v>2632</v>
      </c>
      <c r="G557" s="4" t="s">
        <v>2294</v>
      </c>
      <c r="H557" s="4" t="s">
        <v>2183</v>
      </c>
      <c r="I557" s="4" t="s">
        <v>2100</v>
      </c>
      <c r="J557" s="4" t="s">
        <v>2633</v>
      </c>
      <c r="K557">
        <v>15</v>
      </c>
      <c r="L557">
        <v>4.5720000000000001</v>
      </c>
      <c r="M557">
        <v>63.5</v>
      </c>
      <c r="N557">
        <v>285.75</v>
      </c>
      <c r="O557">
        <v>180</v>
      </c>
      <c r="P557">
        <v>2.5</v>
      </c>
      <c r="Q557">
        <v>11.25</v>
      </c>
      <c r="R557">
        <v>180.81100000000001</v>
      </c>
      <c r="S557">
        <v>8.2959511499999999E-2</v>
      </c>
      <c r="T557" s="4" t="s">
        <v>2634</v>
      </c>
    </row>
    <row r="558" spans="1:20" x14ac:dyDescent="0.2">
      <c r="A558" s="4" t="s">
        <v>2294</v>
      </c>
      <c r="B558" s="4" t="s">
        <v>2630</v>
      </c>
      <c r="C558" s="4" t="s">
        <v>2096</v>
      </c>
      <c r="D558" s="4" t="s">
        <v>2236</v>
      </c>
      <c r="E558" s="4" t="s">
        <v>218</v>
      </c>
      <c r="F558" s="4" t="s">
        <v>2632</v>
      </c>
      <c r="G558" s="4" t="s">
        <v>2294</v>
      </c>
      <c r="H558" s="4" t="s">
        <v>2183</v>
      </c>
      <c r="I558" s="4" t="s">
        <v>2100</v>
      </c>
      <c r="J558" s="4" t="s">
        <v>2633</v>
      </c>
      <c r="K558">
        <v>16</v>
      </c>
      <c r="L558">
        <v>4.8768000000000002</v>
      </c>
      <c r="M558">
        <v>63.5</v>
      </c>
      <c r="N558">
        <v>285.75</v>
      </c>
      <c r="O558">
        <v>192.00000000000003</v>
      </c>
      <c r="P558">
        <v>2.5</v>
      </c>
      <c r="Q558">
        <v>11.25</v>
      </c>
      <c r="R558">
        <v>180.81100000000001</v>
      </c>
      <c r="S558">
        <v>8.84901456E-2</v>
      </c>
      <c r="T558" s="4" t="s">
        <v>2634</v>
      </c>
    </row>
    <row r="559" spans="1:20" x14ac:dyDescent="0.2">
      <c r="A559" s="4" t="s">
        <v>2294</v>
      </c>
      <c r="B559" s="4" t="s">
        <v>2630</v>
      </c>
      <c r="C559" s="4" t="s">
        <v>2096</v>
      </c>
      <c r="D559" s="4" t="s">
        <v>2236</v>
      </c>
      <c r="E559" s="4" t="s">
        <v>2645</v>
      </c>
      <c r="F559" s="4" t="s">
        <v>2632</v>
      </c>
      <c r="G559" s="4" t="s">
        <v>2294</v>
      </c>
      <c r="H559" s="4" t="s">
        <v>2183</v>
      </c>
      <c r="I559" s="4" t="s">
        <v>2100</v>
      </c>
      <c r="J559" s="4" t="s">
        <v>2633</v>
      </c>
      <c r="K559">
        <v>16</v>
      </c>
      <c r="L559">
        <v>4.8768000000000002</v>
      </c>
      <c r="M559">
        <v>63.5</v>
      </c>
      <c r="N559">
        <v>285.75</v>
      </c>
      <c r="O559">
        <v>192.00000000000003</v>
      </c>
      <c r="P559">
        <v>2.5</v>
      </c>
      <c r="Q559">
        <v>11.25</v>
      </c>
      <c r="R559">
        <v>180.81100000000001</v>
      </c>
      <c r="S559">
        <v>8.84901456E-2</v>
      </c>
      <c r="T559" s="4" t="s">
        <v>2634</v>
      </c>
    </row>
    <row r="560" spans="1:20" x14ac:dyDescent="0.2">
      <c r="A560" s="4" t="s">
        <v>2294</v>
      </c>
      <c r="B560" s="4" t="s">
        <v>2630</v>
      </c>
      <c r="C560" s="4" t="s">
        <v>2096</v>
      </c>
      <c r="D560" s="4" t="s">
        <v>2236</v>
      </c>
      <c r="E560" s="4" t="s">
        <v>2646</v>
      </c>
      <c r="F560" s="4" t="s">
        <v>2632</v>
      </c>
      <c r="G560" s="4" t="s">
        <v>2294</v>
      </c>
      <c r="H560" s="4" t="s">
        <v>2183</v>
      </c>
      <c r="I560" s="4" t="s">
        <v>2100</v>
      </c>
      <c r="J560" s="4" t="s">
        <v>2633</v>
      </c>
      <c r="K560">
        <v>17</v>
      </c>
      <c r="L560">
        <v>5.1816000000000004</v>
      </c>
      <c r="M560">
        <v>63.5</v>
      </c>
      <c r="N560">
        <v>285.75</v>
      </c>
      <c r="O560">
        <v>204.00000000000003</v>
      </c>
      <c r="P560">
        <v>2.5</v>
      </c>
      <c r="Q560">
        <v>11.25</v>
      </c>
      <c r="R560">
        <v>180.81100000000001</v>
      </c>
      <c r="S560">
        <v>9.4020779700000001E-2</v>
      </c>
      <c r="T560" s="4" t="s">
        <v>2634</v>
      </c>
    </row>
    <row r="561" spans="1:20" x14ac:dyDescent="0.2">
      <c r="A561" s="4" t="s">
        <v>2294</v>
      </c>
      <c r="B561" s="4" t="s">
        <v>2630</v>
      </c>
      <c r="C561" s="4" t="s">
        <v>2096</v>
      </c>
      <c r="D561" s="4" t="s">
        <v>2236</v>
      </c>
      <c r="E561" s="4" t="s">
        <v>2647</v>
      </c>
      <c r="F561" s="4" t="s">
        <v>2632</v>
      </c>
      <c r="G561" s="4" t="s">
        <v>2294</v>
      </c>
      <c r="H561" s="4" t="s">
        <v>2183</v>
      </c>
      <c r="I561" s="4" t="s">
        <v>2100</v>
      </c>
      <c r="J561" s="4" t="s">
        <v>2633</v>
      </c>
      <c r="K561">
        <v>17</v>
      </c>
      <c r="L561">
        <v>5.1816000000000004</v>
      </c>
      <c r="M561">
        <v>63.5</v>
      </c>
      <c r="N561">
        <v>285.75</v>
      </c>
      <c r="O561">
        <v>204.00000000000003</v>
      </c>
      <c r="P561">
        <v>2.5</v>
      </c>
      <c r="Q561">
        <v>11.25</v>
      </c>
      <c r="R561">
        <v>180.81100000000001</v>
      </c>
      <c r="S561">
        <v>9.4020779700000001E-2</v>
      </c>
      <c r="T561" s="4" t="s">
        <v>2634</v>
      </c>
    </row>
    <row r="562" spans="1:20" x14ac:dyDescent="0.2">
      <c r="A562" s="4" t="s">
        <v>2294</v>
      </c>
      <c r="B562" s="4" t="s">
        <v>2630</v>
      </c>
      <c r="C562" s="4" t="s">
        <v>2096</v>
      </c>
      <c r="D562" s="4" t="s">
        <v>2236</v>
      </c>
      <c r="E562" s="4" t="s">
        <v>2648</v>
      </c>
      <c r="F562" s="4" t="s">
        <v>2632</v>
      </c>
      <c r="G562" s="4" t="s">
        <v>2294</v>
      </c>
      <c r="H562" s="4" t="s">
        <v>2183</v>
      </c>
      <c r="I562" s="4" t="s">
        <v>2100</v>
      </c>
      <c r="J562" s="4" t="s">
        <v>2633</v>
      </c>
      <c r="K562">
        <v>18</v>
      </c>
      <c r="L562">
        <v>5.4863999999999997</v>
      </c>
      <c r="M562">
        <v>63.5</v>
      </c>
      <c r="N562">
        <v>285.75</v>
      </c>
      <c r="O562">
        <v>216</v>
      </c>
      <c r="P562">
        <v>2.5</v>
      </c>
      <c r="Q562">
        <v>11.25</v>
      </c>
      <c r="R562">
        <v>180.81100000000001</v>
      </c>
      <c r="S562">
        <v>9.9551413799999988E-2</v>
      </c>
      <c r="T562" s="4" t="s">
        <v>2634</v>
      </c>
    </row>
    <row r="563" spans="1:20" x14ac:dyDescent="0.2">
      <c r="A563" s="4" t="s">
        <v>2294</v>
      </c>
      <c r="B563" s="4" t="s">
        <v>2630</v>
      </c>
      <c r="C563" s="4" t="s">
        <v>2096</v>
      </c>
      <c r="D563" s="4" t="s">
        <v>2236</v>
      </c>
      <c r="E563" s="4" t="s">
        <v>2649</v>
      </c>
      <c r="F563" s="4" t="s">
        <v>2632</v>
      </c>
      <c r="G563" s="4" t="s">
        <v>2294</v>
      </c>
      <c r="H563" s="4" t="s">
        <v>2183</v>
      </c>
      <c r="I563" s="4" t="s">
        <v>2100</v>
      </c>
      <c r="J563" s="4" t="s">
        <v>2633</v>
      </c>
      <c r="K563">
        <v>18</v>
      </c>
      <c r="L563">
        <v>5.4863999999999997</v>
      </c>
      <c r="M563">
        <v>63.5</v>
      </c>
      <c r="N563">
        <v>285.75</v>
      </c>
      <c r="O563">
        <v>216</v>
      </c>
      <c r="P563">
        <v>2.5</v>
      </c>
      <c r="Q563">
        <v>11.25</v>
      </c>
      <c r="R563">
        <v>180.81100000000001</v>
      </c>
      <c r="S563">
        <v>9.9551413799999988E-2</v>
      </c>
      <c r="T563" s="4" t="s">
        <v>2634</v>
      </c>
    </row>
    <row r="564" spans="1:20" x14ac:dyDescent="0.2">
      <c r="A564" s="4" t="s">
        <v>2294</v>
      </c>
      <c r="B564" s="4" t="s">
        <v>2630</v>
      </c>
      <c r="C564" s="4" t="s">
        <v>2096</v>
      </c>
      <c r="D564" s="4" t="s">
        <v>2236</v>
      </c>
      <c r="E564" s="4" t="s">
        <v>2650</v>
      </c>
      <c r="F564" s="4" t="s">
        <v>2632</v>
      </c>
      <c r="G564" s="4" t="s">
        <v>2294</v>
      </c>
      <c r="H564" s="4" t="s">
        <v>2183</v>
      </c>
      <c r="I564" s="4" t="s">
        <v>2100</v>
      </c>
      <c r="J564" s="4" t="s">
        <v>2633</v>
      </c>
      <c r="K564">
        <v>19</v>
      </c>
      <c r="L564">
        <v>5.7911999999999999</v>
      </c>
      <c r="M564">
        <v>63.5</v>
      </c>
      <c r="N564">
        <v>285.75</v>
      </c>
      <c r="O564">
        <v>228</v>
      </c>
      <c r="P564">
        <v>2.5</v>
      </c>
      <c r="Q564">
        <v>11.25</v>
      </c>
      <c r="R564">
        <v>180.81100000000001</v>
      </c>
      <c r="S564">
        <v>0.10508204789999999</v>
      </c>
      <c r="T564" s="4" t="s">
        <v>2634</v>
      </c>
    </row>
    <row r="565" spans="1:20" x14ac:dyDescent="0.2">
      <c r="A565" s="4" t="s">
        <v>2294</v>
      </c>
      <c r="B565" s="4" t="s">
        <v>2630</v>
      </c>
      <c r="C565" s="4" t="s">
        <v>2096</v>
      </c>
      <c r="D565" s="4" t="s">
        <v>2236</v>
      </c>
      <c r="E565" s="4" t="s">
        <v>2651</v>
      </c>
      <c r="F565" s="4" t="s">
        <v>2632</v>
      </c>
      <c r="G565" s="4" t="s">
        <v>2294</v>
      </c>
      <c r="H565" s="4" t="s">
        <v>2183</v>
      </c>
      <c r="I565" s="4" t="s">
        <v>2100</v>
      </c>
      <c r="J565" s="4" t="s">
        <v>2633</v>
      </c>
      <c r="K565">
        <v>19</v>
      </c>
      <c r="L565">
        <v>5.7911999999999999</v>
      </c>
      <c r="M565">
        <v>63.5</v>
      </c>
      <c r="N565">
        <v>285.75</v>
      </c>
      <c r="O565">
        <v>228</v>
      </c>
      <c r="P565">
        <v>2.5</v>
      </c>
      <c r="Q565">
        <v>11.25</v>
      </c>
      <c r="R565">
        <v>180.81100000000001</v>
      </c>
      <c r="S565">
        <v>0.10508204789999999</v>
      </c>
      <c r="T565" s="4" t="s">
        <v>2634</v>
      </c>
    </row>
    <row r="566" spans="1:20" x14ac:dyDescent="0.2">
      <c r="A566" s="4" t="s">
        <v>2294</v>
      </c>
      <c r="B566" s="4" t="s">
        <v>2630</v>
      </c>
      <c r="C566" s="4" t="s">
        <v>2096</v>
      </c>
      <c r="D566" s="4" t="s">
        <v>2236</v>
      </c>
      <c r="E566" s="4" t="s">
        <v>2652</v>
      </c>
      <c r="F566" s="4" t="s">
        <v>2632</v>
      </c>
      <c r="G566" s="4" t="s">
        <v>2294</v>
      </c>
      <c r="H566" s="4" t="s">
        <v>2183</v>
      </c>
      <c r="I566" s="4" t="s">
        <v>2100</v>
      </c>
      <c r="J566" s="4" t="s">
        <v>2633</v>
      </c>
      <c r="K566">
        <v>20</v>
      </c>
      <c r="L566">
        <v>6.0960000000000001</v>
      </c>
      <c r="M566">
        <v>63.5</v>
      </c>
      <c r="N566">
        <v>285.75</v>
      </c>
      <c r="O566">
        <v>240</v>
      </c>
      <c r="P566">
        <v>2.5</v>
      </c>
      <c r="Q566">
        <v>11.25</v>
      </c>
      <c r="R566">
        <v>180.81100000000001</v>
      </c>
      <c r="S566">
        <v>0.11061268199999999</v>
      </c>
      <c r="T566" s="4" t="s">
        <v>2634</v>
      </c>
    </row>
    <row r="567" spans="1:20" x14ac:dyDescent="0.2">
      <c r="A567" s="4" t="s">
        <v>2294</v>
      </c>
      <c r="B567" s="4" t="s">
        <v>2630</v>
      </c>
      <c r="C567" s="4" t="s">
        <v>2096</v>
      </c>
      <c r="D567" s="4" t="s">
        <v>2236</v>
      </c>
      <c r="E567" s="4" t="s">
        <v>2653</v>
      </c>
      <c r="F567" s="4" t="s">
        <v>2632</v>
      </c>
      <c r="G567" s="4" t="s">
        <v>2294</v>
      </c>
      <c r="H567" s="4" t="s">
        <v>2183</v>
      </c>
      <c r="I567" s="4" t="s">
        <v>2100</v>
      </c>
      <c r="J567" s="4" t="s">
        <v>2633</v>
      </c>
      <c r="K567">
        <v>20</v>
      </c>
      <c r="L567">
        <v>6.0960000000000001</v>
      </c>
      <c r="M567">
        <v>63.5</v>
      </c>
      <c r="N567">
        <v>285.75</v>
      </c>
      <c r="O567">
        <v>240</v>
      </c>
      <c r="P567">
        <v>2.5</v>
      </c>
      <c r="Q567">
        <v>11.25</v>
      </c>
      <c r="R567">
        <v>180.81100000000001</v>
      </c>
      <c r="S567">
        <v>0.11061268199999999</v>
      </c>
      <c r="T567" s="4" t="s">
        <v>2634</v>
      </c>
    </row>
    <row r="568" spans="1:20" x14ac:dyDescent="0.2">
      <c r="A568" s="4" t="s">
        <v>2294</v>
      </c>
      <c r="B568" s="4" t="s">
        <v>2630</v>
      </c>
      <c r="C568" s="4" t="s">
        <v>2096</v>
      </c>
      <c r="D568" s="4" t="s">
        <v>2236</v>
      </c>
      <c r="E568" s="4" t="s">
        <v>2654</v>
      </c>
      <c r="F568" s="4" t="s">
        <v>2632</v>
      </c>
      <c r="G568" s="4" t="s">
        <v>2294</v>
      </c>
      <c r="H568" s="4" t="s">
        <v>2183</v>
      </c>
      <c r="I568" s="4" t="s">
        <v>2100</v>
      </c>
      <c r="J568" s="4" t="s">
        <v>2633</v>
      </c>
      <c r="K568">
        <v>21</v>
      </c>
      <c r="L568">
        <v>6.4008000000000003</v>
      </c>
      <c r="M568">
        <v>63.5</v>
      </c>
      <c r="N568">
        <v>285.75</v>
      </c>
      <c r="O568">
        <v>252.00000000000003</v>
      </c>
      <c r="P568">
        <v>2.5</v>
      </c>
      <c r="Q568">
        <v>11.25</v>
      </c>
      <c r="R568">
        <v>180.81100000000001</v>
      </c>
      <c r="S568">
        <v>0.1161433161</v>
      </c>
      <c r="T568" s="4" t="s">
        <v>2634</v>
      </c>
    </row>
    <row r="569" spans="1:20" x14ac:dyDescent="0.2">
      <c r="A569" s="4" t="s">
        <v>2294</v>
      </c>
      <c r="B569" s="4" t="s">
        <v>2630</v>
      </c>
      <c r="C569" s="4" t="s">
        <v>2096</v>
      </c>
      <c r="D569" s="4" t="s">
        <v>2236</v>
      </c>
      <c r="E569" s="4" t="s">
        <v>2655</v>
      </c>
      <c r="F569" s="4" t="s">
        <v>2632</v>
      </c>
      <c r="G569" s="4" t="s">
        <v>2294</v>
      </c>
      <c r="H569" s="4" t="s">
        <v>2183</v>
      </c>
      <c r="I569" s="4" t="s">
        <v>2100</v>
      </c>
      <c r="J569" s="4" t="s">
        <v>2633</v>
      </c>
      <c r="K569">
        <v>21</v>
      </c>
      <c r="L569">
        <v>6.4008000000000003</v>
      </c>
      <c r="M569">
        <v>63.5</v>
      </c>
      <c r="N569">
        <v>285.75</v>
      </c>
      <c r="O569">
        <v>252.00000000000003</v>
      </c>
      <c r="P569">
        <v>2.5</v>
      </c>
      <c r="Q569">
        <v>11.25</v>
      </c>
      <c r="R569">
        <v>180.81100000000001</v>
      </c>
      <c r="S569">
        <v>0.1161433161</v>
      </c>
      <c r="T569" s="4" t="s">
        <v>2634</v>
      </c>
    </row>
    <row r="570" spans="1:20" x14ac:dyDescent="0.2">
      <c r="A570" s="4" t="s">
        <v>2294</v>
      </c>
      <c r="B570" s="4" t="s">
        <v>2630</v>
      </c>
      <c r="C570" s="4" t="s">
        <v>2096</v>
      </c>
      <c r="D570" s="4" t="s">
        <v>2236</v>
      </c>
      <c r="E570" s="4" t="s">
        <v>2656</v>
      </c>
      <c r="F570" s="4" t="s">
        <v>2632</v>
      </c>
      <c r="G570" s="4" t="s">
        <v>2294</v>
      </c>
      <c r="H570" s="4" t="s">
        <v>2183</v>
      </c>
      <c r="I570" s="4" t="s">
        <v>2100</v>
      </c>
      <c r="J570" s="4" t="s">
        <v>2633</v>
      </c>
      <c r="K570">
        <v>22</v>
      </c>
      <c r="L570">
        <v>6.7055999999999996</v>
      </c>
      <c r="M570">
        <v>63.5</v>
      </c>
      <c r="N570">
        <v>285.75</v>
      </c>
      <c r="O570">
        <v>264</v>
      </c>
      <c r="P570">
        <v>2.5</v>
      </c>
      <c r="Q570">
        <v>11.25</v>
      </c>
      <c r="R570">
        <v>180.81100000000001</v>
      </c>
      <c r="S570">
        <v>0.12167395019999998</v>
      </c>
      <c r="T570" s="4" t="s">
        <v>2634</v>
      </c>
    </row>
    <row r="571" spans="1:20" x14ac:dyDescent="0.2">
      <c r="A571" s="4" t="s">
        <v>2294</v>
      </c>
      <c r="B571" s="4" t="s">
        <v>2630</v>
      </c>
      <c r="C571" s="4" t="s">
        <v>2096</v>
      </c>
      <c r="D571" s="4" t="s">
        <v>2236</v>
      </c>
      <c r="E571" s="4" t="s">
        <v>2657</v>
      </c>
      <c r="F571" s="4" t="s">
        <v>2632</v>
      </c>
      <c r="G571" s="4" t="s">
        <v>2294</v>
      </c>
      <c r="H571" s="4" t="s">
        <v>2183</v>
      </c>
      <c r="I571" s="4" t="s">
        <v>2100</v>
      </c>
      <c r="J571" s="4" t="s">
        <v>2633</v>
      </c>
      <c r="K571">
        <v>22</v>
      </c>
      <c r="L571">
        <v>6.7055999999999996</v>
      </c>
      <c r="M571">
        <v>63.5</v>
      </c>
      <c r="N571">
        <v>285.75</v>
      </c>
      <c r="O571">
        <v>264</v>
      </c>
      <c r="P571">
        <v>2.5</v>
      </c>
      <c r="Q571">
        <v>11.25</v>
      </c>
      <c r="R571">
        <v>180.81100000000001</v>
      </c>
      <c r="S571">
        <v>0.12167395019999998</v>
      </c>
      <c r="T571" s="4" t="s">
        <v>2634</v>
      </c>
    </row>
    <row r="572" spans="1:20" x14ac:dyDescent="0.2">
      <c r="A572" s="4" t="s">
        <v>2294</v>
      </c>
      <c r="B572" s="4" t="s">
        <v>2630</v>
      </c>
      <c r="C572" s="4" t="s">
        <v>2286</v>
      </c>
      <c r="D572" s="4" t="s">
        <v>2236</v>
      </c>
      <c r="E572" s="4" t="s">
        <v>2658</v>
      </c>
      <c r="F572" s="4" t="s">
        <v>2632</v>
      </c>
      <c r="G572" s="4" t="s">
        <v>2294</v>
      </c>
      <c r="H572" s="4" t="s">
        <v>2183</v>
      </c>
      <c r="I572" s="4" t="s">
        <v>2100</v>
      </c>
      <c r="J572" s="4" t="s">
        <v>2633</v>
      </c>
      <c r="K572">
        <v>3</v>
      </c>
      <c r="L572">
        <v>0.91439999999999999</v>
      </c>
      <c r="M572">
        <v>63.5</v>
      </c>
      <c r="N572">
        <v>285.75</v>
      </c>
      <c r="O572">
        <v>36</v>
      </c>
      <c r="P572">
        <v>2.5</v>
      </c>
      <c r="Q572">
        <v>11.25</v>
      </c>
      <c r="R572">
        <v>180.81100000000001</v>
      </c>
      <c r="S572">
        <v>1.6591902300000003E-2</v>
      </c>
      <c r="T572" s="4" t="s">
        <v>2659</v>
      </c>
    </row>
    <row r="573" spans="1:20" x14ac:dyDescent="0.2">
      <c r="A573" s="4" t="s">
        <v>2294</v>
      </c>
      <c r="B573" s="4" t="s">
        <v>2630</v>
      </c>
      <c r="C573" s="4" t="s">
        <v>2286</v>
      </c>
      <c r="D573" s="4" t="s">
        <v>2236</v>
      </c>
      <c r="E573" s="4" t="s">
        <v>2660</v>
      </c>
      <c r="F573" s="4" t="s">
        <v>2632</v>
      </c>
      <c r="G573" s="4" t="s">
        <v>2294</v>
      </c>
      <c r="H573" s="4" t="s">
        <v>2183</v>
      </c>
      <c r="I573" s="4" t="s">
        <v>2100</v>
      </c>
      <c r="J573" s="4" t="s">
        <v>2633</v>
      </c>
      <c r="K573">
        <v>3</v>
      </c>
      <c r="L573">
        <v>0.91439999999999999</v>
      </c>
      <c r="M573">
        <v>63.5</v>
      </c>
      <c r="N573">
        <v>285.75</v>
      </c>
      <c r="O573">
        <v>36</v>
      </c>
      <c r="P573">
        <v>2.5</v>
      </c>
      <c r="Q573">
        <v>11.25</v>
      </c>
      <c r="R573">
        <v>180.81100000000001</v>
      </c>
      <c r="S573">
        <v>1.6591902300000003E-2</v>
      </c>
      <c r="T573" s="4" t="s">
        <v>2659</v>
      </c>
    </row>
    <row r="574" spans="1:20" x14ac:dyDescent="0.2">
      <c r="A574" s="4" t="s">
        <v>2294</v>
      </c>
      <c r="B574" s="4" t="s">
        <v>2630</v>
      </c>
      <c r="C574" s="4" t="s">
        <v>2286</v>
      </c>
      <c r="D574" s="4" t="s">
        <v>2236</v>
      </c>
      <c r="E574" s="4" t="s">
        <v>2661</v>
      </c>
      <c r="F574" s="4" t="s">
        <v>2632</v>
      </c>
      <c r="G574" s="4" t="s">
        <v>2294</v>
      </c>
      <c r="H574" s="4" t="s">
        <v>2183</v>
      </c>
      <c r="I574" s="4" t="s">
        <v>2100</v>
      </c>
      <c r="J574" s="4" t="s">
        <v>2633</v>
      </c>
      <c r="K574">
        <v>4</v>
      </c>
      <c r="L574">
        <v>1.2192000000000001</v>
      </c>
      <c r="M574">
        <v>63.5</v>
      </c>
      <c r="N574">
        <v>285.75</v>
      </c>
      <c r="O574">
        <v>48.000000000000007</v>
      </c>
      <c r="P574">
        <v>2.5</v>
      </c>
      <c r="Q574">
        <v>11.25</v>
      </c>
      <c r="R574">
        <v>180.81100000000001</v>
      </c>
      <c r="S574">
        <v>2.21225364E-2</v>
      </c>
      <c r="T574" s="4" t="s">
        <v>2659</v>
      </c>
    </row>
    <row r="575" spans="1:20" x14ac:dyDescent="0.2">
      <c r="A575" s="4" t="s">
        <v>2294</v>
      </c>
      <c r="B575" s="4" t="s">
        <v>2630</v>
      </c>
      <c r="C575" s="4" t="s">
        <v>2286</v>
      </c>
      <c r="D575" s="4" t="s">
        <v>2236</v>
      </c>
      <c r="E575" s="4" t="s">
        <v>2662</v>
      </c>
      <c r="F575" s="4" t="s">
        <v>2632</v>
      </c>
      <c r="G575" s="4" t="s">
        <v>2294</v>
      </c>
      <c r="H575" s="4" t="s">
        <v>2183</v>
      </c>
      <c r="I575" s="4" t="s">
        <v>2100</v>
      </c>
      <c r="J575" s="4" t="s">
        <v>2633</v>
      </c>
      <c r="K575">
        <v>4</v>
      </c>
      <c r="L575">
        <v>1.2192000000000001</v>
      </c>
      <c r="M575">
        <v>63.5</v>
      </c>
      <c r="N575">
        <v>285.75</v>
      </c>
      <c r="O575">
        <v>48.000000000000007</v>
      </c>
      <c r="P575">
        <v>2.5</v>
      </c>
      <c r="Q575">
        <v>11.25</v>
      </c>
      <c r="R575">
        <v>180.81100000000001</v>
      </c>
      <c r="S575">
        <v>2.21225364E-2</v>
      </c>
      <c r="T575" s="4" t="s">
        <v>2659</v>
      </c>
    </row>
    <row r="576" spans="1:20" x14ac:dyDescent="0.2">
      <c r="A576" s="4" t="s">
        <v>2294</v>
      </c>
      <c r="B576" s="4" t="s">
        <v>2630</v>
      </c>
      <c r="C576" s="4" t="s">
        <v>2286</v>
      </c>
      <c r="D576" s="4" t="s">
        <v>2236</v>
      </c>
      <c r="E576" s="4" t="s">
        <v>2663</v>
      </c>
      <c r="F576" s="4" t="s">
        <v>2632</v>
      </c>
      <c r="G576" s="4" t="s">
        <v>2294</v>
      </c>
      <c r="H576" s="4" t="s">
        <v>2183</v>
      </c>
      <c r="I576" s="4" t="s">
        <v>2100</v>
      </c>
      <c r="J576" s="4" t="s">
        <v>2633</v>
      </c>
      <c r="K576">
        <v>5</v>
      </c>
      <c r="L576">
        <v>1.524</v>
      </c>
      <c r="M576">
        <v>63.5</v>
      </c>
      <c r="N576">
        <v>285.75</v>
      </c>
      <c r="O576">
        <v>60</v>
      </c>
      <c r="P576">
        <v>2.5</v>
      </c>
      <c r="Q576">
        <v>11.25</v>
      </c>
      <c r="R576">
        <v>180.81100000000001</v>
      </c>
      <c r="S576">
        <v>2.7653170499999997E-2</v>
      </c>
      <c r="T576" s="4" t="s">
        <v>2659</v>
      </c>
    </row>
    <row r="577" spans="1:20" x14ac:dyDescent="0.2">
      <c r="A577" s="4" t="s">
        <v>2294</v>
      </c>
      <c r="B577" s="4" t="s">
        <v>2630</v>
      </c>
      <c r="C577" s="4" t="s">
        <v>2286</v>
      </c>
      <c r="D577" s="4" t="s">
        <v>2236</v>
      </c>
      <c r="E577" s="4" t="s">
        <v>2664</v>
      </c>
      <c r="F577" s="4" t="s">
        <v>2632</v>
      </c>
      <c r="G577" s="4" t="s">
        <v>2294</v>
      </c>
      <c r="H577" s="4" t="s">
        <v>2183</v>
      </c>
      <c r="I577" s="4" t="s">
        <v>2100</v>
      </c>
      <c r="J577" s="4" t="s">
        <v>2633</v>
      </c>
      <c r="K577">
        <v>5</v>
      </c>
      <c r="L577">
        <v>1.524</v>
      </c>
      <c r="M577">
        <v>63.5</v>
      </c>
      <c r="N577">
        <v>285.75</v>
      </c>
      <c r="O577">
        <v>60</v>
      </c>
      <c r="P577">
        <v>2.5</v>
      </c>
      <c r="Q577">
        <v>11.25</v>
      </c>
      <c r="R577">
        <v>180.81100000000001</v>
      </c>
      <c r="S577">
        <v>2.7653170499999997E-2</v>
      </c>
      <c r="T577" s="4" t="s">
        <v>2659</v>
      </c>
    </row>
    <row r="578" spans="1:20" x14ac:dyDescent="0.2">
      <c r="A578" s="4" t="s">
        <v>2294</v>
      </c>
      <c r="B578" s="4" t="s">
        <v>2630</v>
      </c>
      <c r="C578" s="4" t="s">
        <v>2286</v>
      </c>
      <c r="D578" s="4" t="s">
        <v>2236</v>
      </c>
      <c r="E578" s="4" t="s">
        <v>2665</v>
      </c>
      <c r="F578" s="4" t="s">
        <v>2632</v>
      </c>
      <c r="G578" s="4" t="s">
        <v>2294</v>
      </c>
      <c r="H578" s="4" t="s">
        <v>2183</v>
      </c>
      <c r="I578" s="4" t="s">
        <v>2100</v>
      </c>
      <c r="J578" s="4" t="s">
        <v>2633</v>
      </c>
      <c r="K578">
        <v>6</v>
      </c>
      <c r="L578">
        <v>1.8288</v>
      </c>
      <c r="M578">
        <v>63.5</v>
      </c>
      <c r="N578">
        <v>285.75</v>
      </c>
      <c r="O578">
        <v>72</v>
      </c>
      <c r="P578">
        <v>2.5</v>
      </c>
      <c r="Q578">
        <v>11.25</v>
      </c>
      <c r="R578">
        <v>180.81100000000001</v>
      </c>
      <c r="S578">
        <v>3.3183804600000005E-2</v>
      </c>
      <c r="T578" s="4" t="s">
        <v>2659</v>
      </c>
    </row>
    <row r="579" spans="1:20" x14ac:dyDescent="0.2">
      <c r="A579" s="4" t="s">
        <v>2294</v>
      </c>
      <c r="B579" s="4" t="s">
        <v>2630</v>
      </c>
      <c r="C579" s="4" t="s">
        <v>2286</v>
      </c>
      <c r="D579" s="4" t="s">
        <v>2236</v>
      </c>
      <c r="E579" s="4" t="s">
        <v>2666</v>
      </c>
      <c r="F579" s="4" t="s">
        <v>2632</v>
      </c>
      <c r="G579" s="4" t="s">
        <v>2294</v>
      </c>
      <c r="H579" s="4" t="s">
        <v>2183</v>
      </c>
      <c r="I579" s="4" t="s">
        <v>2100</v>
      </c>
      <c r="J579" s="4" t="s">
        <v>2633</v>
      </c>
      <c r="K579">
        <v>6</v>
      </c>
      <c r="L579">
        <v>1.8288</v>
      </c>
      <c r="M579">
        <v>63.5</v>
      </c>
      <c r="N579">
        <v>285.75</v>
      </c>
      <c r="O579">
        <v>72</v>
      </c>
      <c r="P579">
        <v>2.5</v>
      </c>
      <c r="Q579">
        <v>11.25</v>
      </c>
      <c r="R579">
        <v>180.81100000000001</v>
      </c>
      <c r="S579">
        <v>3.3183804600000005E-2</v>
      </c>
      <c r="T579" s="4" t="s">
        <v>2659</v>
      </c>
    </row>
    <row r="580" spans="1:20" x14ac:dyDescent="0.2">
      <c r="A580" s="4" t="s">
        <v>2294</v>
      </c>
      <c r="B580" s="4" t="s">
        <v>2630</v>
      </c>
      <c r="C580" s="4" t="s">
        <v>2286</v>
      </c>
      <c r="D580" s="4" t="s">
        <v>2236</v>
      </c>
      <c r="E580" s="4" t="s">
        <v>2667</v>
      </c>
      <c r="F580" s="4" t="s">
        <v>2632</v>
      </c>
      <c r="G580" s="4" t="s">
        <v>2294</v>
      </c>
      <c r="H580" s="4" t="s">
        <v>2183</v>
      </c>
      <c r="I580" s="4" t="s">
        <v>2100</v>
      </c>
      <c r="J580" s="4" t="s">
        <v>2633</v>
      </c>
      <c r="K580">
        <v>7</v>
      </c>
      <c r="L580">
        <v>2.1335999999999999</v>
      </c>
      <c r="M580">
        <v>63.5</v>
      </c>
      <c r="N580">
        <v>285.75</v>
      </c>
      <c r="O580">
        <v>84</v>
      </c>
      <c r="P580">
        <v>2.5</v>
      </c>
      <c r="Q580">
        <v>11.25</v>
      </c>
      <c r="R580">
        <v>180.81100000000001</v>
      </c>
      <c r="S580">
        <v>3.8714438699999992E-2</v>
      </c>
      <c r="T580" s="4" t="s">
        <v>2659</v>
      </c>
    </row>
    <row r="581" spans="1:20" x14ac:dyDescent="0.2">
      <c r="A581" s="4" t="s">
        <v>2294</v>
      </c>
      <c r="B581" s="4" t="s">
        <v>2630</v>
      </c>
      <c r="C581" s="4" t="s">
        <v>2286</v>
      </c>
      <c r="D581" s="4" t="s">
        <v>2236</v>
      </c>
      <c r="E581" s="4" t="s">
        <v>2668</v>
      </c>
      <c r="F581" s="4" t="s">
        <v>2632</v>
      </c>
      <c r="G581" s="4" t="s">
        <v>2294</v>
      </c>
      <c r="H581" s="4" t="s">
        <v>2183</v>
      </c>
      <c r="I581" s="4" t="s">
        <v>2100</v>
      </c>
      <c r="J581" s="4" t="s">
        <v>2633</v>
      </c>
      <c r="K581">
        <v>7</v>
      </c>
      <c r="L581">
        <v>2.1335999999999999</v>
      </c>
      <c r="M581">
        <v>63.5</v>
      </c>
      <c r="N581">
        <v>285.75</v>
      </c>
      <c r="O581">
        <v>84</v>
      </c>
      <c r="P581">
        <v>2.5</v>
      </c>
      <c r="Q581">
        <v>11.25</v>
      </c>
      <c r="R581">
        <v>180.81100000000001</v>
      </c>
      <c r="S581">
        <v>3.8714438699999992E-2</v>
      </c>
      <c r="T581" s="4" t="s">
        <v>2659</v>
      </c>
    </row>
    <row r="582" spans="1:20" x14ac:dyDescent="0.2">
      <c r="A582" s="4" t="s">
        <v>2294</v>
      </c>
      <c r="B582" s="4" t="s">
        <v>2630</v>
      </c>
      <c r="C582" s="4" t="s">
        <v>2096</v>
      </c>
      <c r="D582" s="4" t="s">
        <v>2236</v>
      </c>
      <c r="E582" s="4" t="s">
        <v>2669</v>
      </c>
      <c r="F582" s="4" t="s">
        <v>2632</v>
      </c>
      <c r="G582" s="4" t="s">
        <v>2294</v>
      </c>
      <c r="H582" s="4" t="s">
        <v>2183</v>
      </c>
      <c r="I582" s="4" t="s">
        <v>2100</v>
      </c>
      <c r="J582" s="4" t="s">
        <v>2633</v>
      </c>
      <c r="K582">
        <v>8</v>
      </c>
      <c r="L582">
        <v>2.4384000000000001</v>
      </c>
      <c r="M582">
        <v>63.5</v>
      </c>
      <c r="N582">
        <v>285.75</v>
      </c>
      <c r="O582">
        <v>96.000000000000014</v>
      </c>
      <c r="P582">
        <v>2.5</v>
      </c>
      <c r="Q582">
        <v>11.25</v>
      </c>
      <c r="R582">
        <v>180.81100000000001</v>
      </c>
      <c r="S582">
        <v>4.42450728E-2</v>
      </c>
      <c r="T582" s="4" t="s">
        <v>2634</v>
      </c>
    </row>
    <row r="583" spans="1:20" x14ac:dyDescent="0.2">
      <c r="A583" s="4" t="s">
        <v>2294</v>
      </c>
      <c r="B583" s="4" t="s">
        <v>2630</v>
      </c>
      <c r="C583" s="4" t="s">
        <v>2096</v>
      </c>
      <c r="D583" s="4" t="s">
        <v>2236</v>
      </c>
      <c r="E583" s="4" t="s">
        <v>2670</v>
      </c>
      <c r="F583" s="4" t="s">
        <v>2632</v>
      </c>
      <c r="G583" s="4" t="s">
        <v>2294</v>
      </c>
      <c r="H583" s="4" t="s">
        <v>2183</v>
      </c>
      <c r="I583" s="4" t="s">
        <v>2100</v>
      </c>
      <c r="J583" s="4" t="s">
        <v>2633</v>
      </c>
      <c r="K583">
        <v>8</v>
      </c>
      <c r="L583">
        <v>2.4384000000000001</v>
      </c>
      <c r="M583">
        <v>63.5</v>
      </c>
      <c r="N583">
        <v>285.75</v>
      </c>
      <c r="O583">
        <v>96.000000000000014</v>
      </c>
      <c r="P583">
        <v>2.5</v>
      </c>
      <c r="Q583">
        <v>11.25</v>
      </c>
      <c r="R583">
        <v>180.81100000000001</v>
      </c>
      <c r="S583">
        <v>4.42450728E-2</v>
      </c>
      <c r="T583" s="4" t="s">
        <v>2634</v>
      </c>
    </row>
    <row r="584" spans="1:20" x14ac:dyDescent="0.2">
      <c r="A584" s="4" t="s">
        <v>2294</v>
      </c>
      <c r="B584" s="4" t="s">
        <v>2630</v>
      </c>
      <c r="C584" s="4" t="s">
        <v>2096</v>
      </c>
      <c r="D584" s="4" t="s">
        <v>2236</v>
      </c>
      <c r="E584" s="4" t="s">
        <v>2671</v>
      </c>
      <c r="F584" s="4" t="s">
        <v>2632</v>
      </c>
      <c r="G584" s="4" t="s">
        <v>2294</v>
      </c>
      <c r="H584" s="4" t="s">
        <v>2183</v>
      </c>
      <c r="I584" s="4" t="s">
        <v>2100</v>
      </c>
      <c r="J584" s="4" t="s">
        <v>2633</v>
      </c>
      <c r="K584">
        <v>9</v>
      </c>
      <c r="L584">
        <v>2.7431999999999999</v>
      </c>
      <c r="M584">
        <v>63.5</v>
      </c>
      <c r="N584">
        <v>285.75</v>
      </c>
      <c r="O584">
        <v>108</v>
      </c>
      <c r="P584">
        <v>2.5</v>
      </c>
      <c r="Q584">
        <v>11.25</v>
      </c>
      <c r="R584">
        <v>180.81100000000001</v>
      </c>
      <c r="S584">
        <v>4.9775706899999994E-2</v>
      </c>
      <c r="T584" s="4" t="s">
        <v>2634</v>
      </c>
    </row>
    <row r="585" spans="1:20" x14ac:dyDescent="0.2">
      <c r="A585" s="4" t="s">
        <v>2294</v>
      </c>
      <c r="B585" s="4" t="s">
        <v>2630</v>
      </c>
      <c r="C585" s="4" t="s">
        <v>2096</v>
      </c>
      <c r="D585" s="4" t="s">
        <v>2236</v>
      </c>
      <c r="E585" s="4" t="s">
        <v>2672</v>
      </c>
      <c r="F585" s="4" t="s">
        <v>2632</v>
      </c>
      <c r="G585" s="4" t="s">
        <v>2294</v>
      </c>
      <c r="H585" s="4" t="s">
        <v>2183</v>
      </c>
      <c r="I585" s="4" t="s">
        <v>2100</v>
      </c>
      <c r="J585" s="4" t="s">
        <v>2633</v>
      </c>
      <c r="K585">
        <v>9</v>
      </c>
      <c r="L585">
        <v>2.7431999999999999</v>
      </c>
      <c r="M585">
        <v>63.5</v>
      </c>
      <c r="N585">
        <v>285.75</v>
      </c>
      <c r="O585">
        <v>108</v>
      </c>
      <c r="P585">
        <v>2.5</v>
      </c>
      <c r="Q585">
        <v>11.25</v>
      </c>
      <c r="R585">
        <v>180.81100000000001</v>
      </c>
      <c r="S585">
        <v>4.9775706899999994E-2</v>
      </c>
      <c r="T585" s="4" t="s">
        <v>2634</v>
      </c>
    </row>
    <row r="586" spans="1:20" x14ac:dyDescent="0.2">
      <c r="A586" s="4" t="s">
        <v>2294</v>
      </c>
      <c r="B586" s="4" t="s">
        <v>2673</v>
      </c>
      <c r="C586" s="4" t="s">
        <v>2096</v>
      </c>
      <c r="D586" s="4" t="s">
        <v>2236</v>
      </c>
      <c r="E586" s="4" t="s">
        <v>2674</v>
      </c>
      <c r="F586" s="4" t="s">
        <v>2675</v>
      </c>
      <c r="G586" s="4" t="s">
        <v>2294</v>
      </c>
      <c r="H586" s="4" t="s">
        <v>2183</v>
      </c>
      <c r="I586" s="4" t="s">
        <v>2100</v>
      </c>
      <c r="J586" s="4" t="s">
        <v>2676</v>
      </c>
      <c r="K586">
        <v>10</v>
      </c>
      <c r="L586">
        <v>3.048</v>
      </c>
      <c r="M586">
        <v>63.5</v>
      </c>
      <c r="N586">
        <v>139.69999999999999</v>
      </c>
      <c r="O586">
        <v>120</v>
      </c>
      <c r="P586">
        <v>2.5</v>
      </c>
      <c r="Q586">
        <v>5.5</v>
      </c>
      <c r="R586">
        <v>369.84100000000001</v>
      </c>
      <c r="S586">
        <v>2.7038655599999999E-2</v>
      </c>
      <c r="T586" s="4" t="s">
        <v>2677</v>
      </c>
    </row>
    <row r="587" spans="1:20" x14ac:dyDescent="0.2">
      <c r="A587" s="4" t="s">
        <v>2294</v>
      </c>
      <c r="B587" s="4" t="s">
        <v>2673</v>
      </c>
      <c r="C587" s="4" t="s">
        <v>2096</v>
      </c>
      <c r="D587" s="4" t="s">
        <v>2236</v>
      </c>
      <c r="E587" s="4" t="s">
        <v>2678</v>
      </c>
      <c r="F587" s="4" t="s">
        <v>2675</v>
      </c>
      <c r="G587" s="4" t="s">
        <v>2294</v>
      </c>
      <c r="H587" s="4" t="s">
        <v>2183</v>
      </c>
      <c r="I587" s="4" t="s">
        <v>2100</v>
      </c>
      <c r="J587" s="4" t="s">
        <v>2676</v>
      </c>
      <c r="K587">
        <v>11</v>
      </c>
      <c r="L587">
        <v>3.3527999999999998</v>
      </c>
      <c r="M587">
        <v>63.5</v>
      </c>
      <c r="N587">
        <v>139.69999999999999</v>
      </c>
      <c r="O587">
        <v>132</v>
      </c>
      <c r="P587">
        <v>2.5</v>
      </c>
      <c r="Q587">
        <v>5.5</v>
      </c>
      <c r="R587">
        <v>369.84100000000001</v>
      </c>
      <c r="S587">
        <v>2.9742521159999997E-2</v>
      </c>
      <c r="T587" s="4" t="s">
        <v>2677</v>
      </c>
    </row>
    <row r="588" spans="1:20" x14ac:dyDescent="0.2">
      <c r="A588" s="4" t="s">
        <v>2294</v>
      </c>
      <c r="B588" s="4" t="s">
        <v>2673</v>
      </c>
      <c r="C588" s="4" t="s">
        <v>2096</v>
      </c>
      <c r="D588" s="4" t="s">
        <v>2236</v>
      </c>
      <c r="E588" s="4" t="s">
        <v>2679</v>
      </c>
      <c r="F588" s="4" t="s">
        <v>2675</v>
      </c>
      <c r="G588" s="4" t="s">
        <v>2294</v>
      </c>
      <c r="H588" s="4" t="s">
        <v>2183</v>
      </c>
      <c r="I588" s="4" t="s">
        <v>2100</v>
      </c>
      <c r="J588" s="4" t="s">
        <v>2676</v>
      </c>
      <c r="K588">
        <v>12</v>
      </c>
      <c r="L588">
        <v>3.6576</v>
      </c>
      <c r="M588">
        <v>63.5</v>
      </c>
      <c r="N588">
        <v>139.69999999999999</v>
      </c>
      <c r="O588">
        <v>144</v>
      </c>
      <c r="P588">
        <v>2.5</v>
      </c>
      <c r="Q588">
        <v>5.5</v>
      </c>
      <c r="R588">
        <v>369.84100000000001</v>
      </c>
      <c r="S588">
        <v>3.2446386719999998E-2</v>
      </c>
      <c r="T588" s="4" t="s">
        <v>2677</v>
      </c>
    </row>
    <row r="589" spans="1:20" x14ac:dyDescent="0.2">
      <c r="A589" s="4" t="s">
        <v>2294</v>
      </c>
      <c r="B589" s="4" t="s">
        <v>2673</v>
      </c>
      <c r="C589" s="4" t="s">
        <v>2096</v>
      </c>
      <c r="D589" s="4" t="s">
        <v>2236</v>
      </c>
      <c r="E589" s="4" t="s">
        <v>2680</v>
      </c>
      <c r="F589" s="4" t="s">
        <v>2675</v>
      </c>
      <c r="G589" s="4" t="s">
        <v>2294</v>
      </c>
      <c r="H589" s="4" t="s">
        <v>2183</v>
      </c>
      <c r="I589" s="4" t="s">
        <v>2100</v>
      </c>
      <c r="J589" s="4" t="s">
        <v>2676</v>
      </c>
      <c r="K589">
        <v>13</v>
      </c>
      <c r="L589">
        <v>3.9624000000000001</v>
      </c>
      <c r="M589">
        <v>63.5</v>
      </c>
      <c r="N589">
        <v>139.69999999999999</v>
      </c>
      <c r="O589">
        <v>156</v>
      </c>
      <c r="P589">
        <v>2.5</v>
      </c>
      <c r="Q589">
        <v>5.5</v>
      </c>
      <c r="R589">
        <v>369.84100000000001</v>
      </c>
      <c r="S589">
        <v>3.5150252279999995E-2</v>
      </c>
      <c r="T589" s="4" t="s">
        <v>2677</v>
      </c>
    </row>
    <row r="590" spans="1:20" x14ac:dyDescent="0.2">
      <c r="A590" s="4" t="s">
        <v>2294</v>
      </c>
      <c r="B590" s="4" t="s">
        <v>2673</v>
      </c>
      <c r="C590" s="4" t="s">
        <v>2096</v>
      </c>
      <c r="D590" s="4" t="s">
        <v>2236</v>
      </c>
      <c r="E590" s="4" t="s">
        <v>220</v>
      </c>
      <c r="F590" s="4" t="s">
        <v>2675</v>
      </c>
      <c r="G590" s="4" t="s">
        <v>2294</v>
      </c>
      <c r="H590" s="4" t="s">
        <v>2183</v>
      </c>
      <c r="I590" s="4" t="s">
        <v>2100</v>
      </c>
      <c r="J590" s="4" t="s">
        <v>2676</v>
      </c>
      <c r="K590">
        <v>14</v>
      </c>
      <c r="L590">
        <v>4.2671999999999999</v>
      </c>
      <c r="M590">
        <v>63.5</v>
      </c>
      <c r="N590">
        <v>139.69999999999999</v>
      </c>
      <c r="O590">
        <v>168</v>
      </c>
      <c r="P590">
        <v>2.5</v>
      </c>
      <c r="Q590">
        <v>5.5</v>
      </c>
      <c r="R590">
        <v>369.84100000000001</v>
      </c>
      <c r="S590">
        <v>3.7854117839999993E-2</v>
      </c>
      <c r="T590" s="4" t="s">
        <v>2677</v>
      </c>
    </row>
    <row r="591" spans="1:20" x14ac:dyDescent="0.2">
      <c r="A591" s="4" t="s">
        <v>2294</v>
      </c>
      <c r="B591" s="4" t="s">
        <v>2673</v>
      </c>
      <c r="C591" s="4" t="s">
        <v>2096</v>
      </c>
      <c r="D591" s="4" t="s">
        <v>2236</v>
      </c>
      <c r="E591" s="4" t="s">
        <v>2681</v>
      </c>
      <c r="F591" s="4" t="s">
        <v>2675</v>
      </c>
      <c r="G591" s="4" t="s">
        <v>2294</v>
      </c>
      <c r="H591" s="4" t="s">
        <v>2183</v>
      </c>
      <c r="I591" s="4" t="s">
        <v>2100</v>
      </c>
      <c r="J591" s="4" t="s">
        <v>2676</v>
      </c>
      <c r="K591">
        <v>15</v>
      </c>
      <c r="L591">
        <v>4.5720000000000001</v>
      </c>
      <c r="M591">
        <v>63.5</v>
      </c>
      <c r="N591">
        <v>139.69999999999999</v>
      </c>
      <c r="O591">
        <v>180</v>
      </c>
      <c r="P591">
        <v>2.5</v>
      </c>
      <c r="Q591">
        <v>5.5</v>
      </c>
      <c r="R591">
        <v>369.84100000000001</v>
      </c>
      <c r="S591">
        <v>4.0557983399999997E-2</v>
      </c>
      <c r="T591" s="4" t="s">
        <v>2677</v>
      </c>
    </row>
    <row r="592" spans="1:20" x14ac:dyDescent="0.2">
      <c r="A592" s="4" t="s">
        <v>2294</v>
      </c>
      <c r="B592" s="4" t="s">
        <v>2673</v>
      </c>
      <c r="C592" s="4" t="s">
        <v>2096</v>
      </c>
      <c r="D592" s="4" t="s">
        <v>2236</v>
      </c>
      <c r="E592" s="4" t="s">
        <v>222</v>
      </c>
      <c r="F592" s="4" t="s">
        <v>2675</v>
      </c>
      <c r="G592" s="4" t="s">
        <v>2294</v>
      </c>
      <c r="H592" s="4" t="s">
        <v>2183</v>
      </c>
      <c r="I592" s="4" t="s">
        <v>2100</v>
      </c>
      <c r="J592" s="4" t="s">
        <v>2676</v>
      </c>
      <c r="K592">
        <v>16</v>
      </c>
      <c r="L592">
        <v>4.8768000000000002</v>
      </c>
      <c r="M592">
        <v>63.5</v>
      </c>
      <c r="N592">
        <v>139.69999999999999</v>
      </c>
      <c r="O592">
        <v>192.00000000000003</v>
      </c>
      <c r="P592">
        <v>2.5</v>
      </c>
      <c r="Q592">
        <v>5.5</v>
      </c>
      <c r="R592">
        <v>369.84100000000001</v>
      </c>
      <c r="S592">
        <v>4.3261848960000002E-2</v>
      </c>
      <c r="T592" s="4" t="s">
        <v>2677</v>
      </c>
    </row>
    <row r="593" spans="1:20" x14ac:dyDescent="0.2">
      <c r="A593" s="4" t="s">
        <v>2294</v>
      </c>
      <c r="B593" s="4" t="s">
        <v>2673</v>
      </c>
      <c r="C593" s="4" t="s">
        <v>2096</v>
      </c>
      <c r="D593" s="4" t="s">
        <v>2236</v>
      </c>
      <c r="E593" s="4" t="s">
        <v>2682</v>
      </c>
      <c r="F593" s="4" t="s">
        <v>2675</v>
      </c>
      <c r="G593" s="4" t="s">
        <v>2294</v>
      </c>
      <c r="H593" s="4" t="s">
        <v>2183</v>
      </c>
      <c r="I593" s="4" t="s">
        <v>2100</v>
      </c>
      <c r="J593" s="4" t="s">
        <v>2676</v>
      </c>
      <c r="K593">
        <v>17</v>
      </c>
      <c r="L593">
        <v>5.1816000000000004</v>
      </c>
      <c r="M593">
        <v>63.5</v>
      </c>
      <c r="N593">
        <v>139.69999999999999</v>
      </c>
      <c r="O593">
        <v>204.00000000000003</v>
      </c>
      <c r="P593">
        <v>2.5</v>
      </c>
      <c r="Q593">
        <v>5.5</v>
      </c>
      <c r="R593">
        <v>369.84100000000001</v>
      </c>
      <c r="S593">
        <v>4.5965714519999999E-2</v>
      </c>
      <c r="T593" s="4" t="s">
        <v>2677</v>
      </c>
    </row>
    <row r="594" spans="1:20" x14ac:dyDescent="0.2">
      <c r="A594" s="4" t="s">
        <v>2294</v>
      </c>
      <c r="B594" s="4" t="s">
        <v>2673</v>
      </c>
      <c r="C594" s="4" t="s">
        <v>2096</v>
      </c>
      <c r="D594" s="4" t="s">
        <v>2236</v>
      </c>
      <c r="E594" s="4" t="s">
        <v>2683</v>
      </c>
      <c r="F594" s="4" t="s">
        <v>2675</v>
      </c>
      <c r="G594" s="4" t="s">
        <v>2294</v>
      </c>
      <c r="H594" s="4" t="s">
        <v>2183</v>
      </c>
      <c r="I594" s="4" t="s">
        <v>2100</v>
      </c>
      <c r="J594" s="4" t="s">
        <v>2676</v>
      </c>
      <c r="K594">
        <v>18</v>
      </c>
      <c r="L594">
        <v>5.4863999999999997</v>
      </c>
      <c r="M594">
        <v>63.5</v>
      </c>
      <c r="N594">
        <v>139.69999999999999</v>
      </c>
      <c r="O594">
        <v>216</v>
      </c>
      <c r="P594">
        <v>2.5</v>
      </c>
      <c r="Q594">
        <v>5.5</v>
      </c>
      <c r="R594">
        <v>369.84100000000001</v>
      </c>
      <c r="S594">
        <v>4.8669580079999997E-2</v>
      </c>
      <c r="T594" s="4" t="s">
        <v>2677</v>
      </c>
    </row>
    <row r="595" spans="1:20" x14ac:dyDescent="0.2">
      <c r="A595" s="4" t="s">
        <v>2294</v>
      </c>
      <c r="B595" s="4" t="s">
        <v>2673</v>
      </c>
      <c r="C595" s="4" t="s">
        <v>2096</v>
      </c>
      <c r="D595" s="4" t="s">
        <v>2236</v>
      </c>
      <c r="E595" s="4" t="s">
        <v>2684</v>
      </c>
      <c r="F595" s="4" t="s">
        <v>2675</v>
      </c>
      <c r="G595" s="4" t="s">
        <v>2294</v>
      </c>
      <c r="H595" s="4" t="s">
        <v>2183</v>
      </c>
      <c r="I595" s="4" t="s">
        <v>2100</v>
      </c>
      <c r="J595" s="4" t="s">
        <v>2676</v>
      </c>
      <c r="K595">
        <v>19</v>
      </c>
      <c r="L595">
        <v>5.7911999999999999</v>
      </c>
      <c r="M595">
        <v>63.5</v>
      </c>
      <c r="N595">
        <v>139.69999999999999</v>
      </c>
      <c r="O595">
        <v>228</v>
      </c>
      <c r="P595">
        <v>2.5</v>
      </c>
      <c r="Q595">
        <v>5.5</v>
      </c>
      <c r="R595">
        <v>369.84100000000001</v>
      </c>
      <c r="S595">
        <v>5.1373445639999994E-2</v>
      </c>
      <c r="T595" s="4" t="s">
        <v>2677</v>
      </c>
    </row>
    <row r="596" spans="1:20" x14ac:dyDescent="0.2">
      <c r="A596" s="4" t="s">
        <v>2294</v>
      </c>
      <c r="B596" s="4" t="s">
        <v>2673</v>
      </c>
      <c r="C596" s="4" t="s">
        <v>2096</v>
      </c>
      <c r="D596" s="4" t="s">
        <v>2236</v>
      </c>
      <c r="E596" s="4" t="s">
        <v>2685</v>
      </c>
      <c r="F596" s="4" t="s">
        <v>2675</v>
      </c>
      <c r="G596" s="4" t="s">
        <v>2294</v>
      </c>
      <c r="H596" s="4" t="s">
        <v>2183</v>
      </c>
      <c r="I596" s="4" t="s">
        <v>2100</v>
      </c>
      <c r="J596" s="4" t="s">
        <v>2676</v>
      </c>
      <c r="K596">
        <v>20</v>
      </c>
      <c r="L596">
        <v>6.0960000000000001</v>
      </c>
      <c r="M596">
        <v>63.5</v>
      </c>
      <c r="N596">
        <v>139.69999999999999</v>
      </c>
      <c r="O596">
        <v>240</v>
      </c>
      <c r="P596">
        <v>2.5</v>
      </c>
      <c r="Q596">
        <v>5.5</v>
      </c>
      <c r="R596">
        <v>369.84100000000001</v>
      </c>
      <c r="S596">
        <v>5.4077311199999999E-2</v>
      </c>
      <c r="T596" s="4" t="s">
        <v>2677</v>
      </c>
    </row>
    <row r="597" spans="1:20" x14ac:dyDescent="0.2">
      <c r="A597" s="4" t="s">
        <v>2294</v>
      </c>
      <c r="B597" s="4" t="s">
        <v>2673</v>
      </c>
      <c r="C597" s="4" t="s">
        <v>2096</v>
      </c>
      <c r="D597" s="4" t="s">
        <v>2236</v>
      </c>
      <c r="E597" s="4" t="s">
        <v>2686</v>
      </c>
      <c r="F597" s="4" t="s">
        <v>2675</v>
      </c>
      <c r="G597" s="4" t="s">
        <v>2294</v>
      </c>
      <c r="H597" s="4" t="s">
        <v>2183</v>
      </c>
      <c r="I597" s="4" t="s">
        <v>2100</v>
      </c>
      <c r="J597" s="4" t="s">
        <v>2676</v>
      </c>
      <c r="K597">
        <v>21</v>
      </c>
      <c r="L597">
        <v>6.4008000000000003</v>
      </c>
      <c r="M597">
        <v>63.5</v>
      </c>
      <c r="N597">
        <v>139.69999999999999</v>
      </c>
      <c r="O597">
        <v>252.00000000000003</v>
      </c>
      <c r="P597">
        <v>2.5</v>
      </c>
      <c r="Q597">
        <v>5.5</v>
      </c>
      <c r="R597">
        <v>369.84100000000001</v>
      </c>
      <c r="S597">
        <v>5.6781176759999996E-2</v>
      </c>
      <c r="T597" s="4" t="s">
        <v>2677</v>
      </c>
    </row>
    <row r="598" spans="1:20" x14ac:dyDescent="0.2">
      <c r="A598" s="4" t="s">
        <v>2294</v>
      </c>
      <c r="B598" s="4" t="s">
        <v>2673</v>
      </c>
      <c r="C598" s="4" t="s">
        <v>2096</v>
      </c>
      <c r="D598" s="4" t="s">
        <v>2236</v>
      </c>
      <c r="E598" s="4" t="s">
        <v>2687</v>
      </c>
      <c r="F598" s="4" t="s">
        <v>2675</v>
      </c>
      <c r="G598" s="4" t="s">
        <v>2294</v>
      </c>
      <c r="H598" s="4" t="s">
        <v>2183</v>
      </c>
      <c r="I598" s="4" t="s">
        <v>2100</v>
      </c>
      <c r="J598" s="4" t="s">
        <v>2676</v>
      </c>
      <c r="K598">
        <v>22</v>
      </c>
      <c r="L598">
        <v>6.7055999999999996</v>
      </c>
      <c r="M598">
        <v>63.5</v>
      </c>
      <c r="N598">
        <v>139.69999999999999</v>
      </c>
      <c r="O598">
        <v>264</v>
      </c>
      <c r="P598">
        <v>2.5</v>
      </c>
      <c r="Q598">
        <v>5.5</v>
      </c>
      <c r="R598">
        <v>369.84100000000001</v>
      </c>
      <c r="S598">
        <v>5.9485042319999994E-2</v>
      </c>
      <c r="T598" s="4" t="s">
        <v>2677</v>
      </c>
    </row>
    <row r="599" spans="1:20" x14ac:dyDescent="0.2">
      <c r="A599" s="4" t="s">
        <v>2294</v>
      </c>
      <c r="B599" s="4" t="s">
        <v>2673</v>
      </c>
      <c r="C599" s="4" t="s">
        <v>2286</v>
      </c>
      <c r="D599" s="4" t="s">
        <v>2236</v>
      </c>
      <c r="E599" s="4" t="s">
        <v>2688</v>
      </c>
      <c r="F599" s="4" t="s">
        <v>2675</v>
      </c>
      <c r="G599" s="4" t="s">
        <v>2294</v>
      </c>
      <c r="H599" s="4" t="s">
        <v>2183</v>
      </c>
      <c r="I599" s="4" t="s">
        <v>2100</v>
      </c>
      <c r="J599" s="4" t="s">
        <v>2676</v>
      </c>
      <c r="K599">
        <v>3</v>
      </c>
      <c r="L599">
        <v>0.91439999999999999</v>
      </c>
      <c r="M599">
        <v>63.5</v>
      </c>
      <c r="N599">
        <v>139.69999999999999</v>
      </c>
      <c r="O599">
        <v>36</v>
      </c>
      <c r="P599">
        <v>2.5</v>
      </c>
      <c r="Q599">
        <v>5.5</v>
      </c>
      <c r="R599">
        <v>369.84100000000001</v>
      </c>
      <c r="S599">
        <v>8.1115966799999994E-3</v>
      </c>
      <c r="T599" s="4" t="s">
        <v>2689</v>
      </c>
    </row>
    <row r="600" spans="1:20" x14ac:dyDescent="0.2">
      <c r="A600" s="4" t="s">
        <v>2294</v>
      </c>
      <c r="B600" s="4" t="s">
        <v>2673</v>
      </c>
      <c r="C600" s="4" t="s">
        <v>2286</v>
      </c>
      <c r="D600" s="4" t="s">
        <v>2236</v>
      </c>
      <c r="E600" s="4" t="s">
        <v>2690</v>
      </c>
      <c r="F600" s="4" t="s">
        <v>2675</v>
      </c>
      <c r="G600" s="4" t="s">
        <v>2294</v>
      </c>
      <c r="H600" s="4" t="s">
        <v>2183</v>
      </c>
      <c r="I600" s="4" t="s">
        <v>2100</v>
      </c>
      <c r="J600" s="4" t="s">
        <v>2676</v>
      </c>
      <c r="K600">
        <v>4</v>
      </c>
      <c r="L600">
        <v>1.2192000000000001</v>
      </c>
      <c r="M600">
        <v>63.5</v>
      </c>
      <c r="N600">
        <v>139.69999999999999</v>
      </c>
      <c r="O600">
        <v>48.000000000000007</v>
      </c>
      <c r="P600">
        <v>2.5</v>
      </c>
      <c r="Q600">
        <v>5.5</v>
      </c>
      <c r="R600">
        <v>369.84100000000001</v>
      </c>
      <c r="S600">
        <v>1.081546224E-2</v>
      </c>
      <c r="T600" s="4" t="s">
        <v>2689</v>
      </c>
    </row>
    <row r="601" spans="1:20" x14ac:dyDescent="0.2">
      <c r="A601" s="4" t="s">
        <v>2294</v>
      </c>
      <c r="B601" s="4" t="s">
        <v>2673</v>
      </c>
      <c r="C601" s="4" t="s">
        <v>2286</v>
      </c>
      <c r="D601" s="4" t="s">
        <v>2236</v>
      </c>
      <c r="E601" s="4" t="s">
        <v>2691</v>
      </c>
      <c r="F601" s="4" t="s">
        <v>2675</v>
      </c>
      <c r="G601" s="4" t="s">
        <v>2294</v>
      </c>
      <c r="H601" s="4" t="s">
        <v>2183</v>
      </c>
      <c r="I601" s="4" t="s">
        <v>2100</v>
      </c>
      <c r="J601" s="4" t="s">
        <v>2676</v>
      </c>
      <c r="K601">
        <v>5</v>
      </c>
      <c r="L601">
        <v>1.524</v>
      </c>
      <c r="M601">
        <v>63.5</v>
      </c>
      <c r="N601">
        <v>139.69999999999999</v>
      </c>
      <c r="O601">
        <v>60</v>
      </c>
      <c r="P601">
        <v>2.5</v>
      </c>
      <c r="Q601">
        <v>5.5</v>
      </c>
      <c r="R601">
        <v>369.84100000000001</v>
      </c>
      <c r="S601">
        <v>1.35193278E-2</v>
      </c>
      <c r="T601" s="4" t="s">
        <v>2689</v>
      </c>
    </row>
    <row r="602" spans="1:20" x14ac:dyDescent="0.2">
      <c r="A602" s="4" t="s">
        <v>2294</v>
      </c>
      <c r="B602" s="4" t="s">
        <v>2673</v>
      </c>
      <c r="C602" s="4" t="s">
        <v>2286</v>
      </c>
      <c r="D602" s="4" t="s">
        <v>2236</v>
      </c>
      <c r="E602" s="4" t="s">
        <v>2692</v>
      </c>
      <c r="F602" s="4" t="s">
        <v>2675</v>
      </c>
      <c r="G602" s="4" t="s">
        <v>2294</v>
      </c>
      <c r="H602" s="4" t="s">
        <v>2183</v>
      </c>
      <c r="I602" s="4" t="s">
        <v>2100</v>
      </c>
      <c r="J602" s="4" t="s">
        <v>2676</v>
      </c>
      <c r="K602">
        <v>6</v>
      </c>
      <c r="L602">
        <v>1.8288</v>
      </c>
      <c r="M602">
        <v>63.5</v>
      </c>
      <c r="N602">
        <v>139.69999999999999</v>
      </c>
      <c r="O602">
        <v>72</v>
      </c>
      <c r="P602">
        <v>2.5</v>
      </c>
      <c r="Q602">
        <v>5.5</v>
      </c>
      <c r="R602">
        <v>369.84100000000001</v>
      </c>
      <c r="S602">
        <v>1.6223193359999999E-2</v>
      </c>
      <c r="T602" s="4" t="s">
        <v>2689</v>
      </c>
    </row>
    <row r="603" spans="1:20" x14ac:dyDescent="0.2">
      <c r="A603" s="4" t="s">
        <v>2294</v>
      </c>
      <c r="B603" s="4" t="s">
        <v>2673</v>
      </c>
      <c r="C603" s="4" t="s">
        <v>2286</v>
      </c>
      <c r="D603" s="4" t="s">
        <v>2236</v>
      </c>
      <c r="E603" s="4" t="s">
        <v>2693</v>
      </c>
      <c r="F603" s="4" t="s">
        <v>2675</v>
      </c>
      <c r="G603" s="4" t="s">
        <v>2294</v>
      </c>
      <c r="H603" s="4" t="s">
        <v>2183</v>
      </c>
      <c r="I603" s="4" t="s">
        <v>2100</v>
      </c>
      <c r="J603" s="4" t="s">
        <v>2676</v>
      </c>
      <c r="K603">
        <v>7</v>
      </c>
      <c r="L603">
        <v>2.1335999999999999</v>
      </c>
      <c r="M603">
        <v>63.5</v>
      </c>
      <c r="N603">
        <v>139.69999999999999</v>
      </c>
      <c r="O603">
        <v>84</v>
      </c>
      <c r="P603">
        <v>2.5</v>
      </c>
      <c r="Q603">
        <v>5.5</v>
      </c>
      <c r="R603">
        <v>369.84100000000001</v>
      </c>
      <c r="S603">
        <v>1.8927058919999996E-2</v>
      </c>
      <c r="T603" s="4" t="s">
        <v>2689</v>
      </c>
    </row>
    <row r="604" spans="1:20" x14ac:dyDescent="0.2">
      <c r="A604" s="4" t="s">
        <v>2294</v>
      </c>
      <c r="B604" s="4" t="s">
        <v>2673</v>
      </c>
      <c r="C604" s="4" t="s">
        <v>2096</v>
      </c>
      <c r="D604" s="4" t="s">
        <v>2236</v>
      </c>
      <c r="E604" s="4" t="s">
        <v>2694</v>
      </c>
      <c r="F604" s="4" t="s">
        <v>2675</v>
      </c>
      <c r="G604" s="4" t="s">
        <v>2294</v>
      </c>
      <c r="H604" s="4" t="s">
        <v>2183</v>
      </c>
      <c r="I604" s="4" t="s">
        <v>2100</v>
      </c>
      <c r="J604" s="4" t="s">
        <v>2676</v>
      </c>
      <c r="K604">
        <v>8</v>
      </c>
      <c r="L604">
        <v>2.4384000000000001</v>
      </c>
      <c r="M604">
        <v>63.5</v>
      </c>
      <c r="N604">
        <v>139.69999999999999</v>
      </c>
      <c r="O604">
        <v>96.000000000000014</v>
      </c>
      <c r="P604">
        <v>2.5</v>
      </c>
      <c r="Q604">
        <v>5.5</v>
      </c>
      <c r="R604">
        <v>369.84100000000001</v>
      </c>
      <c r="S604">
        <v>2.1630924480000001E-2</v>
      </c>
      <c r="T604" s="4" t="s">
        <v>2677</v>
      </c>
    </row>
    <row r="605" spans="1:20" x14ac:dyDescent="0.2">
      <c r="A605" s="4" t="s">
        <v>2294</v>
      </c>
      <c r="B605" s="4" t="s">
        <v>2673</v>
      </c>
      <c r="C605" s="4" t="s">
        <v>2096</v>
      </c>
      <c r="D605" s="4" t="s">
        <v>2236</v>
      </c>
      <c r="E605" s="4" t="s">
        <v>2695</v>
      </c>
      <c r="F605" s="4" t="s">
        <v>2675</v>
      </c>
      <c r="G605" s="4" t="s">
        <v>2294</v>
      </c>
      <c r="H605" s="4" t="s">
        <v>2183</v>
      </c>
      <c r="I605" s="4" t="s">
        <v>2100</v>
      </c>
      <c r="J605" s="4" t="s">
        <v>2676</v>
      </c>
      <c r="K605">
        <v>9</v>
      </c>
      <c r="L605">
        <v>2.7431999999999999</v>
      </c>
      <c r="M605">
        <v>63.5</v>
      </c>
      <c r="N605">
        <v>139.69999999999999</v>
      </c>
      <c r="O605">
        <v>108</v>
      </c>
      <c r="P605">
        <v>2.5</v>
      </c>
      <c r="Q605">
        <v>5.5</v>
      </c>
      <c r="R605">
        <v>369.84100000000001</v>
      </c>
      <c r="S605">
        <v>2.4334790039999998E-2</v>
      </c>
      <c r="T605" s="4" t="s">
        <v>2677</v>
      </c>
    </row>
    <row r="606" spans="1:20" x14ac:dyDescent="0.2">
      <c r="A606" s="4" t="s">
        <v>2294</v>
      </c>
      <c r="B606" s="4" t="s">
        <v>2696</v>
      </c>
      <c r="C606" s="4" t="s">
        <v>2096</v>
      </c>
      <c r="D606" s="4" t="s">
        <v>2236</v>
      </c>
      <c r="E606" s="4" t="s">
        <v>1911</v>
      </c>
      <c r="F606" s="4" t="s">
        <v>2697</v>
      </c>
      <c r="G606" s="4" t="s">
        <v>2294</v>
      </c>
      <c r="H606" s="4" t="s">
        <v>2183</v>
      </c>
      <c r="I606" s="4" t="s">
        <v>2100</v>
      </c>
      <c r="J606" s="4" t="s">
        <v>2698</v>
      </c>
      <c r="K606">
        <v>10</v>
      </c>
      <c r="L606">
        <v>3.048</v>
      </c>
      <c r="M606">
        <v>63.5</v>
      </c>
      <c r="N606">
        <v>184.15</v>
      </c>
      <c r="O606">
        <v>120</v>
      </c>
      <c r="P606">
        <v>2.5</v>
      </c>
      <c r="Q606">
        <v>7.2500000000000009</v>
      </c>
      <c r="R606">
        <v>280.56900000000002</v>
      </c>
      <c r="S606">
        <v>3.5641864199999998E-2</v>
      </c>
      <c r="T606" s="4" t="s">
        <v>2699</v>
      </c>
    </row>
    <row r="607" spans="1:20" x14ac:dyDescent="0.2">
      <c r="A607" s="4" t="s">
        <v>2294</v>
      </c>
      <c r="B607" s="4" t="s">
        <v>2696</v>
      </c>
      <c r="C607" s="4" t="s">
        <v>2096</v>
      </c>
      <c r="D607" s="4" t="s">
        <v>2236</v>
      </c>
      <c r="E607" s="4" t="s">
        <v>2700</v>
      </c>
      <c r="F607" s="4" t="s">
        <v>2697</v>
      </c>
      <c r="G607" s="4" t="s">
        <v>2294</v>
      </c>
      <c r="H607" s="4" t="s">
        <v>2183</v>
      </c>
      <c r="I607" s="4" t="s">
        <v>2100</v>
      </c>
      <c r="J607" s="4" t="s">
        <v>2698</v>
      </c>
      <c r="K607">
        <v>10</v>
      </c>
      <c r="L607">
        <v>3.048</v>
      </c>
      <c r="M607">
        <v>63.5</v>
      </c>
      <c r="N607">
        <v>184.15</v>
      </c>
      <c r="O607">
        <v>120</v>
      </c>
      <c r="P607">
        <v>2.5</v>
      </c>
      <c r="Q607">
        <v>7.2500000000000009</v>
      </c>
      <c r="R607">
        <v>280.56900000000002</v>
      </c>
      <c r="S607">
        <v>3.5641864199999998E-2</v>
      </c>
      <c r="T607" s="4" t="s">
        <v>2699</v>
      </c>
    </row>
    <row r="608" spans="1:20" x14ac:dyDescent="0.2">
      <c r="A608" s="4" t="s">
        <v>2294</v>
      </c>
      <c r="B608" s="4" t="s">
        <v>2696</v>
      </c>
      <c r="C608" s="4" t="s">
        <v>2096</v>
      </c>
      <c r="D608" s="4" t="s">
        <v>2236</v>
      </c>
      <c r="E608" s="4" t="s">
        <v>2701</v>
      </c>
      <c r="F608" s="4" t="s">
        <v>2697</v>
      </c>
      <c r="G608" s="4" t="s">
        <v>2294</v>
      </c>
      <c r="H608" s="4" t="s">
        <v>2183</v>
      </c>
      <c r="I608" s="4" t="s">
        <v>2100</v>
      </c>
      <c r="J608" s="4" t="s">
        <v>2698</v>
      </c>
      <c r="K608">
        <v>11</v>
      </c>
      <c r="L608">
        <v>3.3527999999999998</v>
      </c>
      <c r="M608">
        <v>63.5</v>
      </c>
      <c r="N608">
        <v>184.15</v>
      </c>
      <c r="O608">
        <v>132</v>
      </c>
      <c r="P608">
        <v>2.5</v>
      </c>
      <c r="Q608">
        <v>7.2500000000000009</v>
      </c>
      <c r="R608">
        <v>280.56900000000002</v>
      </c>
      <c r="S608">
        <v>3.9206050620000002E-2</v>
      </c>
      <c r="T608" s="4" t="s">
        <v>2699</v>
      </c>
    </row>
    <row r="609" spans="1:20" x14ac:dyDescent="0.2">
      <c r="A609" s="4" t="s">
        <v>2294</v>
      </c>
      <c r="B609" s="4" t="s">
        <v>2696</v>
      </c>
      <c r="C609" s="4" t="s">
        <v>2096</v>
      </c>
      <c r="D609" s="4" t="s">
        <v>2236</v>
      </c>
      <c r="E609" s="4" t="s">
        <v>2702</v>
      </c>
      <c r="F609" s="4" t="s">
        <v>2697</v>
      </c>
      <c r="G609" s="4" t="s">
        <v>2294</v>
      </c>
      <c r="H609" s="4" t="s">
        <v>2183</v>
      </c>
      <c r="I609" s="4" t="s">
        <v>2100</v>
      </c>
      <c r="J609" s="4" t="s">
        <v>2698</v>
      </c>
      <c r="K609">
        <v>11</v>
      </c>
      <c r="L609">
        <v>3.3527999999999998</v>
      </c>
      <c r="M609">
        <v>63.5</v>
      </c>
      <c r="N609">
        <v>184.15</v>
      </c>
      <c r="O609">
        <v>132</v>
      </c>
      <c r="P609">
        <v>2.5</v>
      </c>
      <c r="Q609">
        <v>7.2500000000000009</v>
      </c>
      <c r="R609">
        <v>280.56900000000002</v>
      </c>
      <c r="S609">
        <v>3.9206050620000002E-2</v>
      </c>
      <c r="T609" s="4" t="s">
        <v>2699</v>
      </c>
    </row>
    <row r="610" spans="1:20" x14ac:dyDescent="0.2">
      <c r="A610" s="4" t="s">
        <v>2294</v>
      </c>
      <c r="B610" s="4" t="s">
        <v>2696</v>
      </c>
      <c r="C610" s="4" t="s">
        <v>2096</v>
      </c>
      <c r="D610" s="4" t="s">
        <v>2236</v>
      </c>
      <c r="E610" s="4" t="s">
        <v>224</v>
      </c>
      <c r="F610" s="4" t="s">
        <v>2697</v>
      </c>
      <c r="G610" s="4" t="s">
        <v>2294</v>
      </c>
      <c r="H610" s="4" t="s">
        <v>2183</v>
      </c>
      <c r="I610" s="4" t="s">
        <v>2100</v>
      </c>
      <c r="J610" s="4" t="s">
        <v>2698</v>
      </c>
      <c r="K610">
        <v>12</v>
      </c>
      <c r="L610">
        <v>3.6576</v>
      </c>
      <c r="M610">
        <v>63.5</v>
      </c>
      <c r="N610">
        <v>184.15</v>
      </c>
      <c r="O610">
        <v>144</v>
      </c>
      <c r="P610">
        <v>2.5</v>
      </c>
      <c r="Q610">
        <v>7.2500000000000009</v>
      </c>
      <c r="R610">
        <v>280.56900000000002</v>
      </c>
      <c r="S610">
        <v>4.2770237040000006E-2</v>
      </c>
      <c r="T610" s="4" t="s">
        <v>2699</v>
      </c>
    </row>
    <row r="611" spans="1:20" x14ac:dyDescent="0.2">
      <c r="A611" s="4" t="s">
        <v>2294</v>
      </c>
      <c r="B611" s="4" t="s">
        <v>2696</v>
      </c>
      <c r="C611" s="4" t="s">
        <v>2096</v>
      </c>
      <c r="D611" s="4" t="s">
        <v>2236</v>
      </c>
      <c r="E611" s="4" t="s">
        <v>2703</v>
      </c>
      <c r="F611" s="4" t="s">
        <v>2697</v>
      </c>
      <c r="G611" s="4" t="s">
        <v>2294</v>
      </c>
      <c r="H611" s="4" t="s">
        <v>2183</v>
      </c>
      <c r="I611" s="4" t="s">
        <v>2100</v>
      </c>
      <c r="J611" s="4" t="s">
        <v>2698</v>
      </c>
      <c r="K611">
        <v>12</v>
      </c>
      <c r="L611">
        <v>3.6576</v>
      </c>
      <c r="M611">
        <v>63.5</v>
      </c>
      <c r="N611">
        <v>184.15</v>
      </c>
      <c r="O611">
        <v>144</v>
      </c>
      <c r="P611">
        <v>2.5</v>
      </c>
      <c r="Q611">
        <v>7.2500000000000009</v>
      </c>
      <c r="R611">
        <v>280.56900000000002</v>
      </c>
      <c r="S611">
        <v>4.2770237040000006E-2</v>
      </c>
      <c r="T611" s="4" t="s">
        <v>2699</v>
      </c>
    </row>
    <row r="612" spans="1:20" x14ac:dyDescent="0.2">
      <c r="A612" s="4" t="s">
        <v>2294</v>
      </c>
      <c r="B612" s="4" t="s">
        <v>2696</v>
      </c>
      <c r="C612" s="4" t="s">
        <v>2096</v>
      </c>
      <c r="D612" s="4" t="s">
        <v>2236</v>
      </c>
      <c r="E612" s="4" t="s">
        <v>2704</v>
      </c>
      <c r="F612" s="4" t="s">
        <v>2697</v>
      </c>
      <c r="G612" s="4" t="s">
        <v>2294</v>
      </c>
      <c r="H612" s="4" t="s">
        <v>2183</v>
      </c>
      <c r="I612" s="4" t="s">
        <v>2100</v>
      </c>
      <c r="J612" s="4" t="s">
        <v>2698</v>
      </c>
      <c r="K612">
        <v>13</v>
      </c>
      <c r="L612">
        <v>3.9624000000000001</v>
      </c>
      <c r="M612">
        <v>63.5</v>
      </c>
      <c r="N612">
        <v>184.15</v>
      </c>
      <c r="O612">
        <v>156</v>
      </c>
      <c r="P612">
        <v>2.5</v>
      </c>
      <c r="Q612">
        <v>7.2500000000000009</v>
      </c>
      <c r="R612">
        <v>280.56900000000002</v>
      </c>
      <c r="S612">
        <v>4.6334423460000003E-2</v>
      </c>
      <c r="T612" s="4" t="s">
        <v>2699</v>
      </c>
    </row>
    <row r="613" spans="1:20" x14ac:dyDescent="0.2">
      <c r="A613" s="4" t="s">
        <v>2294</v>
      </c>
      <c r="B613" s="4" t="s">
        <v>2696</v>
      </c>
      <c r="C613" s="4" t="s">
        <v>2096</v>
      </c>
      <c r="D613" s="4" t="s">
        <v>2236</v>
      </c>
      <c r="E613" s="4" t="s">
        <v>2705</v>
      </c>
      <c r="F613" s="4" t="s">
        <v>2697</v>
      </c>
      <c r="G613" s="4" t="s">
        <v>2294</v>
      </c>
      <c r="H613" s="4" t="s">
        <v>2183</v>
      </c>
      <c r="I613" s="4" t="s">
        <v>2100</v>
      </c>
      <c r="J613" s="4" t="s">
        <v>2698</v>
      </c>
      <c r="K613">
        <v>13</v>
      </c>
      <c r="L613">
        <v>3.9624000000000001</v>
      </c>
      <c r="M613">
        <v>63.5</v>
      </c>
      <c r="N613">
        <v>184.15</v>
      </c>
      <c r="O613">
        <v>156</v>
      </c>
      <c r="P613">
        <v>2.5</v>
      </c>
      <c r="Q613">
        <v>7.2500000000000009</v>
      </c>
      <c r="R613">
        <v>280.56900000000002</v>
      </c>
      <c r="S613">
        <v>4.6334423460000003E-2</v>
      </c>
      <c r="T613" s="4" t="s">
        <v>2699</v>
      </c>
    </row>
    <row r="614" spans="1:20" x14ac:dyDescent="0.2">
      <c r="A614" s="4" t="s">
        <v>2294</v>
      </c>
      <c r="B614" s="4" t="s">
        <v>2696</v>
      </c>
      <c r="C614" s="4" t="s">
        <v>2096</v>
      </c>
      <c r="D614" s="4" t="s">
        <v>2236</v>
      </c>
      <c r="E614" s="4" t="s">
        <v>226</v>
      </c>
      <c r="F614" s="4" t="s">
        <v>2697</v>
      </c>
      <c r="G614" s="4" t="s">
        <v>2294</v>
      </c>
      <c r="H614" s="4" t="s">
        <v>2183</v>
      </c>
      <c r="I614" s="4" t="s">
        <v>2100</v>
      </c>
      <c r="J614" s="4" t="s">
        <v>2698</v>
      </c>
      <c r="K614">
        <v>14</v>
      </c>
      <c r="L614">
        <v>4.2671999999999999</v>
      </c>
      <c r="M614">
        <v>63.5</v>
      </c>
      <c r="N614">
        <v>184.15</v>
      </c>
      <c r="O614">
        <v>168</v>
      </c>
      <c r="P614">
        <v>2.5</v>
      </c>
      <c r="Q614">
        <v>7.2500000000000009</v>
      </c>
      <c r="R614">
        <v>280.56900000000002</v>
      </c>
      <c r="S614">
        <v>4.9898609879999993E-2</v>
      </c>
      <c r="T614" s="4" t="s">
        <v>2699</v>
      </c>
    </row>
    <row r="615" spans="1:20" x14ac:dyDescent="0.2">
      <c r="A615" s="4" t="s">
        <v>2294</v>
      </c>
      <c r="B615" s="4" t="s">
        <v>2696</v>
      </c>
      <c r="C615" s="4" t="s">
        <v>2096</v>
      </c>
      <c r="D615" s="4" t="s">
        <v>2236</v>
      </c>
      <c r="E615" s="4" t="s">
        <v>2706</v>
      </c>
      <c r="F615" s="4" t="s">
        <v>2697</v>
      </c>
      <c r="G615" s="4" t="s">
        <v>2294</v>
      </c>
      <c r="H615" s="4" t="s">
        <v>2183</v>
      </c>
      <c r="I615" s="4" t="s">
        <v>2100</v>
      </c>
      <c r="J615" s="4" t="s">
        <v>2698</v>
      </c>
      <c r="K615">
        <v>14</v>
      </c>
      <c r="L615">
        <v>4.2671999999999999</v>
      </c>
      <c r="M615">
        <v>63.5</v>
      </c>
      <c r="N615">
        <v>184.15</v>
      </c>
      <c r="O615">
        <v>168</v>
      </c>
      <c r="P615">
        <v>2.5</v>
      </c>
      <c r="Q615">
        <v>7.2500000000000009</v>
      </c>
      <c r="R615">
        <v>280.56900000000002</v>
      </c>
      <c r="S615">
        <v>4.9898609879999993E-2</v>
      </c>
      <c r="T615" s="4" t="s">
        <v>2699</v>
      </c>
    </row>
    <row r="616" spans="1:20" x14ac:dyDescent="0.2">
      <c r="A616" s="4" t="s">
        <v>2294</v>
      </c>
      <c r="B616" s="4" t="s">
        <v>2696</v>
      </c>
      <c r="C616" s="4" t="s">
        <v>2096</v>
      </c>
      <c r="D616" s="4" t="s">
        <v>2236</v>
      </c>
      <c r="E616" s="4" t="s">
        <v>2707</v>
      </c>
      <c r="F616" s="4" t="s">
        <v>2697</v>
      </c>
      <c r="G616" s="4" t="s">
        <v>2294</v>
      </c>
      <c r="H616" s="4" t="s">
        <v>2183</v>
      </c>
      <c r="I616" s="4" t="s">
        <v>2100</v>
      </c>
      <c r="J616" s="4" t="s">
        <v>2698</v>
      </c>
      <c r="K616">
        <v>15</v>
      </c>
      <c r="L616">
        <v>4.5720000000000001</v>
      </c>
      <c r="M616">
        <v>63.5</v>
      </c>
      <c r="N616">
        <v>184.15</v>
      </c>
      <c r="O616">
        <v>180</v>
      </c>
      <c r="P616">
        <v>2.5</v>
      </c>
      <c r="Q616">
        <v>7.2500000000000009</v>
      </c>
      <c r="R616">
        <v>280.56900000000002</v>
      </c>
      <c r="S616">
        <v>5.3462796300000011E-2</v>
      </c>
      <c r="T616" s="4" t="s">
        <v>2699</v>
      </c>
    </row>
    <row r="617" spans="1:20" x14ac:dyDescent="0.2">
      <c r="A617" s="4" t="s">
        <v>2294</v>
      </c>
      <c r="B617" s="4" t="s">
        <v>2696</v>
      </c>
      <c r="C617" s="4" t="s">
        <v>2096</v>
      </c>
      <c r="D617" s="4" t="s">
        <v>2236</v>
      </c>
      <c r="E617" s="4" t="s">
        <v>2708</v>
      </c>
      <c r="F617" s="4" t="s">
        <v>2697</v>
      </c>
      <c r="G617" s="4" t="s">
        <v>2294</v>
      </c>
      <c r="H617" s="4" t="s">
        <v>2183</v>
      </c>
      <c r="I617" s="4" t="s">
        <v>2100</v>
      </c>
      <c r="J617" s="4" t="s">
        <v>2698</v>
      </c>
      <c r="K617">
        <v>15</v>
      </c>
      <c r="L617">
        <v>4.5720000000000001</v>
      </c>
      <c r="M617">
        <v>63.5</v>
      </c>
      <c r="N617">
        <v>184.15</v>
      </c>
      <c r="O617">
        <v>180</v>
      </c>
      <c r="P617">
        <v>2.5</v>
      </c>
      <c r="Q617">
        <v>7.2500000000000009</v>
      </c>
      <c r="R617">
        <v>280.56900000000002</v>
      </c>
      <c r="S617">
        <v>5.3462796300000011E-2</v>
      </c>
      <c r="T617" s="4" t="s">
        <v>2699</v>
      </c>
    </row>
    <row r="618" spans="1:20" x14ac:dyDescent="0.2">
      <c r="A618" s="4" t="s">
        <v>2294</v>
      </c>
      <c r="B618" s="4" t="s">
        <v>2696</v>
      </c>
      <c r="C618" s="4" t="s">
        <v>2096</v>
      </c>
      <c r="D618" s="4" t="s">
        <v>2236</v>
      </c>
      <c r="E618" s="4" t="s">
        <v>228</v>
      </c>
      <c r="F618" s="4" t="s">
        <v>2697</v>
      </c>
      <c r="G618" s="4" t="s">
        <v>2294</v>
      </c>
      <c r="H618" s="4" t="s">
        <v>2183</v>
      </c>
      <c r="I618" s="4" t="s">
        <v>2100</v>
      </c>
      <c r="J618" s="4" t="s">
        <v>2698</v>
      </c>
      <c r="K618">
        <v>16</v>
      </c>
      <c r="L618">
        <v>4.8768000000000002</v>
      </c>
      <c r="M618">
        <v>63.5</v>
      </c>
      <c r="N618">
        <v>184.15</v>
      </c>
      <c r="O618">
        <v>192.00000000000003</v>
      </c>
      <c r="P618">
        <v>2.5</v>
      </c>
      <c r="Q618">
        <v>7.2500000000000009</v>
      </c>
      <c r="R618">
        <v>280.56900000000002</v>
      </c>
      <c r="S618">
        <v>5.7026982720000008E-2</v>
      </c>
      <c r="T618" s="4" t="s">
        <v>2699</v>
      </c>
    </row>
    <row r="619" spans="1:20" x14ac:dyDescent="0.2">
      <c r="A619" s="4" t="s">
        <v>2294</v>
      </c>
      <c r="B619" s="4" t="s">
        <v>2696</v>
      </c>
      <c r="C619" s="4" t="s">
        <v>2096</v>
      </c>
      <c r="D619" s="4" t="s">
        <v>2236</v>
      </c>
      <c r="E619" s="4" t="s">
        <v>2709</v>
      </c>
      <c r="F619" s="4" t="s">
        <v>2697</v>
      </c>
      <c r="G619" s="4" t="s">
        <v>2294</v>
      </c>
      <c r="H619" s="4" t="s">
        <v>2183</v>
      </c>
      <c r="I619" s="4" t="s">
        <v>2100</v>
      </c>
      <c r="J619" s="4" t="s">
        <v>2698</v>
      </c>
      <c r="K619">
        <v>16</v>
      </c>
      <c r="L619">
        <v>4.8768000000000002</v>
      </c>
      <c r="M619">
        <v>63.5</v>
      </c>
      <c r="N619">
        <v>184.15</v>
      </c>
      <c r="O619">
        <v>192.00000000000003</v>
      </c>
      <c r="P619">
        <v>2.5</v>
      </c>
      <c r="Q619">
        <v>7.2500000000000009</v>
      </c>
      <c r="R619">
        <v>280.56900000000002</v>
      </c>
      <c r="S619">
        <v>5.7026982720000008E-2</v>
      </c>
      <c r="T619" s="4" t="s">
        <v>2699</v>
      </c>
    </row>
    <row r="620" spans="1:20" x14ac:dyDescent="0.2">
      <c r="A620" s="4" t="s">
        <v>2294</v>
      </c>
      <c r="B620" s="4" t="s">
        <v>2696</v>
      </c>
      <c r="C620" s="4" t="s">
        <v>2096</v>
      </c>
      <c r="D620" s="4" t="s">
        <v>2236</v>
      </c>
      <c r="E620" s="4" t="s">
        <v>2710</v>
      </c>
      <c r="F620" s="4" t="s">
        <v>2697</v>
      </c>
      <c r="G620" s="4" t="s">
        <v>2294</v>
      </c>
      <c r="H620" s="4" t="s">
        <v>2183</v>
      </c>
      <c r="I620" s="4" t="s">
        <v>2100</v>
      </c>
      <c r="J620" s="4" t="s">
        <v>2698</v>
      </c>
      <c r="K620">
        <v>17</v>
      </c>
      <c r="L620">
        <v>5.1816000000000004</v>
      </c>
      <c r="M620">
        <v>63.5</v>
      </c>
      <c r="N620">
        <v>184.15</v>
      </c>
      <c r="O620">
        <v>204.00000000000003</v>
      </c>
      <c r="P620">
        <v>2.5</v>
      </c>
      <c r="Q620">
        <v>7.2500000000000009</v>
      </c>
      <c r="R620">
        <v>280.56900000000002</v>
      </c>
      <c r="S620">
        <v>6.0591169140000005E-2</v>
      </c>
      <c r="T620" s="4" t="s">
        <v>2699</v>
      </c>
    </row>
    <row r="621" spans="1:20" x14ac:dyDescent="0.2">
      <c r="A621" s="4" t="s">
        <v>2294</v>
      </c>
      <c r="B621" s="4" t="s">
        <v>2696</v>
      </c>
      <c r="C621" s="4" t="s">
        <v>2096</v>
      </c>
      <c r="D621" s="4" t="s">
        <v>2236</v>
      </c>
      <c r="E621" s="4" t="s">
        <v>2711</v>
      </c>
      <c r="F621" s="4" t="s">
        <v>2697</v>
      </c>
      <c r="G621" s="4" t="s">
        <v>2294</v>
      </c>
      <c r="H621" s="4" t="s">
        <v>2183</v>
      </c>
      <c r="I621" s="4" t="s">
        <v>2100</v>
      </c>
      <c r="J621" s="4" t="s">
        <v>2698</v>
      </c>
      <c r="K621">
        <v>17</v>
      </c>
      <c r="L621">
        <v>5.1816000000000004</v>
      </c>
      <c r="M621">
        <v>63.5</v>
      </c>
      <c r="N621">
        <v>184.15</v>
      </c>
      <c r="O621">
        <v>204.00000000000003</v>
      </c>
      <c r="P621">
        <v>2.5</v>
      </c>
      <c r="Q621">
        <v>7.2500000000000009</v>
      </c>
      <c r="R621">
        <v>280.56900000000002</v>
      </c>
      <c r="S621">
        <v>6.0591169140000005E-2</v>
      </c>
      <c r="T621" s="4" t="s">
        <v>2699</v>
      </c>
    </row>
    <row r="622" spans="1:20" x14ac:dyDescent="0.2">
      <c r="A622" s="4" t="s">
        <v>2294</v>
      </c>
      <c r="B622" s="4" t="s">
        <v>2696</v>
      </c>
      <c r="C622" s="4" t="s">
        <v>2096</v>
      </c>
      <c r="D622" s="4" t="s">
        <v>2236</v>
      </c>
      <c r="E622" s="4" t="s">
        <v>1913</v>
      </c>
      <c r="F622" s="4" t="s">
        <v>2697</v>
      </c>
      <c r="G622" s="4" t="s">
        <v>2294</v>
      </c>
      <c r="H622" s="4" t="s">
        <v>2183</v>
      </c>
      <c r="I622" s="4" t="s">
        <v>2100</v>
      </c>
      <c r="J622" s="4" t="s">
        <v>2698</v>
      </c>
      <c r="K622">
        <v>18</v>
      </c>
      <c r="L622">
        <v>5.4863999999999997</v>
      </c>
      <c r="M622">
        <v>63.5</v>
      </c>
      <c r="N622">
        <v>184.15</v>
      </c>
      <c r="O622">
        <v>216</v>
      </c>
      <c r="P622">
        <v>2.5</v>
      </c>
      <c r="Q622">
        <v>7.2500000000000009</v>
      </c>
      <c r="R622">
        <v>280.56900000000002</v>
      </c>
      <c r="S622">
        <v>6.4155355560000002E-2</v>
      </c>
      <c r="T622" s="4" t="s">
        <v>2699</v>
      </c>
    </row>
    <row r="623" spans="1:20" x14ac:dyDescent="0.2">
      <c r="A623" s="4" t="s">
        <v>2294</v>
      </c>
      <c r="B623" s="4" t="s">
        <v>2696</v>
      </c>
      <c r="C623" s="4" t="s">
        <v>2096</v>
      </c>
      <c r="D623" s="4" t="s">
        <v>2236</v>
      </c>
      <c r="E623" s="4" t="s">
        <v>2712</v>
      </c>
      <c r="F623" s="4" t="s">
        <v>2697</v>
      </c>
      <c r="G623" s="4" t="s">
        <v>2294</v>
      </c>
      <c r="H623" s="4" t="s">
        <v>2183</v>
      </c>
      <c r="I623" s="4" t="s">
        <v>2100</v>
      </c>
      <c r="J623" s="4" t="s">
        <v>2698</v>
      </c>
      <c r="K623">
        <v>18</v>
      </c>
      <c r="L623">
        <v>5.4863999999999997</v>
      </c>
      <c r="M623">
        <v>63.5</v>
      </c>
      <c r="N623">
        <v>184.15</v>
      </c>
      <c r="O623">
        <v>216</v>
      </c>
      <c r="P623">
        <v>2.5</v>
      </c>
      <c r="Q623">
        <v>7.2500000000000009</v>
      </c>
      <c r="R623">
        <v>280.56900000000002</v>
      </c>
      <c r="S623">
        <v>6.4155355560000002E-2</v>
      </c>
      <c r="T623" s="4" t="s">
        <v>2699</v>
      </c>
    </row>
    <row r="624" spans="1:20" x14ac:dyDescent="0.2">
      <c r="A624" s="4" t="s">
        <v>2294</v>
      </c>
      <c r="B624" s="4" t="s">
        <v>2696</v>
      </c>
      <c r="C624" s="4" t="s">
        <v>2096</v>
      </c>
      <c r="D624" s="4" t="s">
        <v>2236</v>
      </c>
      <c r="E624" s="4" t="s">
        <v>2713</v>
      </c>
      <c r="F624" s="4" t="s">
        <v>2697</v>
      </c>
      <c r="G624" s="4" t="s">
        <v>2294</v>
      </c>
      <c r="H624" s="4" t="s">
        <v>2183</v>
      </c>
      <c r="I624" s="4" t="s">
        <v>2100</v>
      </c>
      <c r="J624" s="4" t="s">
        <v>2698</v>
      </c>
      <c r="K624">
        <v>19</v>
      </c>
      <c r="L624">
        <v>5.7911999999999999</v>
      </c>
      <c r="M624">
        <v>63.5</v>
      </c>
      <c r="N624">
        <v>184.15</v>
      </c>
      <c r="O624">
        <v>228</v>
      </c>
      <c r="P624">
        <v>2.5</v>
      </c>
      <c r="Q624">
        <v>7.2500000000000009</v>
      </c>
      <c r="R624">
        <v>280.56900000000002</v>
      </c>
      <c r="S624">
        <v>6.7719541980000006E-2</v>
      </c>
      <c r="T624" s="4" t="s">
        <v>2699</v>
      </c>
    </row>
    <row r="625" spans="1:20" x14ac:dyDescent="0.2">
      <c r="A625" s="4" t="s">
        <v>2294</v>
      </c>
      <c r="B625" s="4" t="s">
        <v>2696</v>
      </c>
      <c r="C625" s="4" t="s">
        <v>2096</v>
      </c>
      <c r="D625" s="4" t="s">
        <v>2236</v>
      </c>
      <c r="E625" s="4" t="s">
        <v>2714</v>
      </c>
      <c r="F625" s="4" t="s">
        <v>2697</v>
      </c>
      <c r="G625" s="4" t="s">
        <v>2294</v>
      </c>
      <c r="H625" s="4" t="s">
        <v>2183</v>
      </c>
      <c r="I625" s="4" t="s">
        <v>2100</v>
      </c>
      <c r="J625" s="4" t="s">
        <v>2698</v>
      </c>
      <c r="K625">
        <v>19</v>
      </c>
      <c r="L625">
        <v>5.7911999999999999</v>
      </c>
      <c r="M625">
        <v>63.5</v>
      </c>
      <c r="N625">
        <v>184.15</v>
      </c>
      <c r="O625">
        <v>228</v>
      </c>
      <c r="P625">
        <v>2.5</v>
      </c>
      <c r="Q625">
        <v>7.2500000000000009</v>
      </c>
      <c r="R625">
        <v>280.56900000000002</v>
      </c>
      <c r="S625">
        <v>6.7719541980000006E-2</v>
      </c>
      <c r="T625" s="4" t="s">
        <v>2699</v>
      </c>
    </row>
    <row r="626" spans="1:20" x14ac:dyDescent="0.2">
      <c r="A626" s="4" t="s">
        <v>2294</v>
      </c>
      <c r="B626" s="4" t="s">
        <v>2696</v>
      </c>
      <c r="C626" s="4" t="s">
        <v>2096</v>
      </c>
      <c r="D626" s="4" t="s">
        <v>2236</v>
      </c>
      <c r="E626" s="4" t="s">
        <v>230</v>
      </c>
      <c r="F626" s="4" t="s">
        <v>2697</v>
      </c>
      <c r="G626" s="4" t="s">
        <v>2294</v>
      </c>
      <c r="H626" s="4" t="s">
        <v>2183</v>
      </c>
      <c r="I626" s="4" t="s">
        <v>2100</v>
      </c>
      <c r="J626" s="4" t="s">
        <v>2698</v>
      </c>
      <c r="K626">
        <v>20</v>
      </c>
      <c r="L626">
        <v>6.0960000000000001</v>
      </c>
      <c r="M626">
        <v>63.5</v>
      </c>
      <c r="N626">
        <v>184.15</v>
      </c>
      <c r="O626">
        <v>240</v>
      </c>
      <c r="P626">
        <v>2.5</v>
      </c>
      <c r="Q626">
        <v>7.2500000000000009</v>
      </c>
      <c r="R626">
        <v>280.56900000000002</v>
      </c>
      <c r="S626">
        <v>7.1283728399999996E-2</v>
      </c>
      <c r="T626" s="4" t="s">
        <v>2699</v>
      </c>
    </row>
    <row r="627" spans="1:20" x14ac:dyDescent="0.2">
      <c r="A627" s="4" t="s">
        <v>2294</v>
      </c>
      <c r="B627" s="4" t="s">
        <v>2696</v>
      </c>
      <c r="C627" s="4" t="s">
        <v>2096</v>
      </c>
      <c r="D627" s="4" t="s">
        <v>2236</v>
      </c>
      <c r="E627" s="4" t="s">
        <v>2715</v>
      </c>
      <c r="F627" s="4" t="s">
        <v>2697</v>
      </c>
      <c r="G627" s="4" t="s">
        <v>2294</v>
      </c>
      <c r="H627" s="4" t="s">
        <v>2183</v>
      </c>
      <c r="I627" s="4" t="s">
        <v>2100</v>
      </c>
      <c r="J627" s="4" t="s">
        <v>2698</v>
      </c>
      <c r="K627">
        <v>20</v>
      </c>
      <c r="L627">
        <v>6.0960000000000001</v>
      </c>
      <c r="M627">
        <v>63.5</v>
      </c>
      <c r="N627">
        <v>184.15</v>
      </c>
      <c r="O627">
        <v>240</v>
      </c>
      <c r="P627">
        <v>2.5</v>
      </c>
      <c r="Q627">
        <v>7.2500000000000009</v>
      </c>
      <c r="R627">
        <v>280.56900000000002</v>
      </c>
      <c r="S627">
        <v>7.1283728399999996E-2</v>
      </c>
      <c r="T627" s="4" t="s">
        <v>2699</v>
      </c>
    </row>
    <row r="628" spans="1:20" x14ac:dyDescent="0.2">
      <c r="A628" s="4" t="s">
        <v>2294</v>
      </c>
      <c r="B628" s="4" t="s">
        <v>2696</v>
      </c>
      <c r="C628" s="4" t="s">
        <v>2096</v>
      </c>
      <c r="D628" s="4" t="s">
        <v>2236</v>
      </c>
      <c r="E628" s="4" t="s">
        <v>2716</v>
      </c>
      <c r="F628" s="4" t="s">
        <v>2697</v>
      </c>
      <c r="G628" s="4" t="s">
        <v>2294</v>
      </c>
      <c r="H628" s="4" t="s">
        <v>2183</v>
      </c>
      <c r="I628" s="4" t="s">
        <v>2100</v>
      </c>
      <c r="J628" s="4" t="s">
        <v>2698</v>
      </c>
      <c r="K628">
        <v>21</v>
      </c>
      <c r="L628">
        <v>6.4008000000000003</v>
      </c>
      <c r="M628">
        <v>63.5</v>
      </c>
      <c r="N628">
        <v>184.15</v>
      </c>
      <c r="O628">
        <v>252.00000000000003</v>
      </c>
      <c r="P628">
        <v>2.5</v>
      </c>
      <c r="Q628">
        <v>7.2500000000000009</v>
      </c>
      <c r="R628">
        <v>280.56900000000002</v>
      </c>
      <c r="S628">
        <v>7.484791482E-2</v>
      </c>
      <c r="T628" s="4" t="s">
        <v>2699</v>
      </c>
    </row>
    <row r="629" spans="1:20" x14ac:dyDescent="0.2">
      <c r="A629" s="4" t="s">
        <v>2294</v>
      </c>
      <c r="B629" s="4" t="s">
        <v>2696</v>
      </c>
      <c r="C629" s="4" t="s">
        <v>2096</v>
      </c>
      <c r="D629" s="4" t="s">
        <v>2236</v>
      </c>
      <c r="E629" s="4" t="s">
        <v>2717</v>
      </c>
      <c r="F629" s="4" t="s">
        <v>2697</v>
      </c>
      <c r="G629" s="4" t="s">
        <v>2294</v>
      </c>
      <c r="H629" s="4" t="s">
        <v>2183</v>
      </c>
      <c r="I629" s="4" t="s">
        <v>2100</v>
      </c>
      <c r="J629" s="4" t="s">
        <v>2698</v>
      </c>
      <c r="K629">
        <v>21</v>
      </c>
      <c r="L629">
        <v>6.4008000000000003</v>
      </c>
      <c r="M629">
        <v>63.5</v>
      </c>
      <c r="N629">
        <v>184.15</v>
      </c>
      <c r="O629">
        <v>252.00000000000003</v>
      </c>
      <c r="P629">
        <v>2.5</v>
      </c>
      <c r="Q629">
        <v>7.2500000000000009</v>
      </c>
      <c r="R629">
        <v>280.56900000000002</v>
      </c>
      <c r="S629">
        <v>7.484791482E-2</v>
      </c>
      <c r="T629" s="4" t="s">
        <v>2699</v>
      </c>
    </row>
    <row r="630" spans="1:20" x14ac:dyDescent="0.2">
      <c r="A630" s="4" t="s">
        <v>2294</v>
      </c>
      <c r="B630" s="4" t="s">
        <v>2696</v>
      </c>
      <c r="C630" s="4" t="s">
        <v>2096</v>
      </c>
      <c r="D630" s="4" t="s">
        <v>2236</v>
      </c>
      <c r="E630" s="4" t="s">
        <v>2718</v>
      </c>
      <c r="F630" s="4" t="s">
        <v>2697</v>
      </c>
      <c r="G630" s="4" t="s">
        <v>2294</v>
      </c>
      <c r="H630" s="4" t="s">
        <v>2183</v>
      </c>
      <c r="I630" s="4" t="s">
        <v>2100</v>
      </c>
      <c r="J630" s="4" t="s">
        <v>2698</v>
      </c>
      <c r="K630">
        <v>22</v>
      </c>
      <c r="L630">
        <v>6.7055999999999996</v>
      </c>
      <c r="M630">
        <v>63.5</v>
      </c>
      <c r="N630">
        <v>184.15</v>
      </c>
      <c r="O630">
        <v>264</v>
      </c>
      <c r="P630">
        <v>2.5</v>
      </c>
      <c r="Q630">
        <v>7.2500000000000009</v>
      </c>
      <c r="R630">
        <v>280.56900000000002</v>
      </c>
      <c r="S630">
        <v>7.8412101240000004E-2</v>
      </c>
      <c r="T630" s="4" t="s">
        <v>2699</v>
      </c>
    </row>
    <row r="631" spans="1:20" x14ac:dyDescent="0.2">
      <c r="A631" s="4" t="s">
        <v>2294</v>
      </c>
      <c r="B631" s="4" t="s">
        <v>2696</v>
      </c>
      <c r="C631" s="4" t="s">
        <v>2096</v>
      </c>
      <c r="D631" s="4" t="s">
        <v>2236</v>
      </c>
      <c r="E631" s="4" t="s">
        <v>2719</v>
      </c>
      <c r="F631" s="4" t="s">
        <v>2697</v>
      </c>
      <c r="G631" s="4" t="s">
        <v>2294</v>
      </c>
      <c r="H631" s="4" t="s">
        <v>2183</v>
      </c>
      <c r="I631" s="4" t="s">
        <v>2100</v>
      </c>
      <c r="J631" s="4" t="s">
        <v>2698</v>
      </c>
      <c r="K631">
        <v>22</v>
      </c>
      <c r="L631">
        <v>6.7055999999999996</v>
      </c>
      <c r="M631">
        <v>63.5</v>
      </c>
      <c r="N631">
        <v>184.15</v>
      </c>
      <c r="O631">
        <v>264</v>
      </c>
      <c r="P631">
        <v>2.5</v>
      </c>
      <c r="Q631">
        <v>7.2500000000000009</v>
      </c>
      <c r="R631">
        <v>280.56900000000002</v>
      </c>
      <c r="S631">
        <v>7.8412101240000004E-2</v>
      </c>
      <c r="T631" s="4" t="s">
        <v>2699</v>
      </c>
    </row>
    <row r="632" spans="1:20" x14ac:dyDescent="0.2">
      <c r="A632" s="4" t="s">
        <v>2294</v>
      </c>
      <c r="B632" s="4" t="s">
        <v>2696</v>
      </c>
      <c r="C632" s="4" t="s">
        <v>2286</v>
      </c>
      <c r="D632" s="4" t="s">
        <v>2236</v>
      </c>
      <c r="E632" s="4" t="s">
        <v>2720</v>
      </c>
      <c r="F632" s="4" t="s">
        <v>2697</v>
      </c>
      <c r="G632" s="4" t="s">
        <v>2294</v>
      </c>
      <c r="H632" s="4" t="s">
        <v>2183</v>
      </c>
      <c r="I632" s="4" t="s">
        <v>2100</v>
      </c>
      <c r="J632" s="4" t="s">
        <v>2698</v>
      </c>
      <c r="K632">
        <v>3</v>
      </c>
      <c r="L632">
        <v>0.91439999999999999</v>
      </c>
      <c r="M632">
        <v>63.5</v>
      </c>
      <c r="N632">
        <v>184.15</v>
      </c>
      <c r="O632">
        <v>36</v>
      </c>
      <c r="P632">
        <v>2.5</v>
      </c>
      <c r="Q632">
        <v>7.2500000000000009</v>
      </c>
      <c r="R632">
        <v>280.56900000000002</v>
      </c>
      <c r="S632">
        <v>1.0692559260000001E-2</v>
      </c>
      <c r="T632" s="4" t="s">
        <v>2721</v>
      </c>
    </row>
    <row r="633" spans="1:20" x14ac:dyDescent="0.2">
      <c r="A633" s="4" t="s">
        <v>2294</v>
      </c>
      <c r="B633" s="4" t="s">
        <v>2696</v>
      </c>
      <c r="C633" s="4" t="s">
        <v>2286</v>
      </c>
      <c r="D633" s="4" t="s">
        <v>2236</v>
      </c>
      <c r="E633" s="4" t="s">
        <v>2722</v>
      </c>
      <c r="F633" s="4" t="s">
        <v>2697</v>
      </c>
      <c r="G633" s="4" t="s">
        <v>2294</v>
      </c>
      <c r="H633" s="4" t="s">
        <v>2183</v>
      </c>
      <c r="I633" s="4" t="s">
        <v>2100</v>
      </c>
      <c r="J633" s="4" t="s">
        <v>2698</v>
      </c>
      <c r="K633">
        <v>3</v>
      </c>
      <c r="L633">
        <v>0.91439999999999999</v>
      </c>
      <c r="M633">
        <v>63.5</v>
      </c>
      <c r="N633">
        <v>184.15</v>
      </c>
      <c r="O633">
        <v>36</v>
      </c>
      <c r="P633">
        <v>2.5</v>
      </c>
      <c r="Q633">
        <v>7.2500000000000009</v>
      </c>
      <c r="R633">
        <v>280.56900000000002</v>
      </c>
      <c r="S633">
        <v>1.0692559260000001E-2</v>
      </c>
      <c r="T633" s="4" t="s">
        <v>2721</v>
      </c>
    </row>
    <row r="634" spans="1:20" x14ac:dyDescent="0.2">
      <c r="A634" s="4" t="s">
        <v>2294</v>
      </c>
      <c r="B634" s="4" t="s">
        <v>2696</v>
      </c>
      <c r="C634" s="4" t="s">
        <v>2286</v>
      </c>
      <c r="D634" s="4" t="s">
        <v>2236</v>
      </c>
      <c r="E634" s="4" t="s">
        <v>2723</v>
      </c>
      <c r="F634" s="4" t="s">
        <v>2697</v>
      </c>
      <c r="G634" s="4" t="s">
        <v>2294</v>
      </c>
      <c r="H634" s="4" t="s">
        <v>2183</v>
      </c>
      <c r="I634" s="4" t="s">
        <v>2100</v>
      </c>
      <c r="J634" s="4" t="s">
        <v>2698</v>
      </c>
      <c r="K634">
        <v>4</v>
      </c>
      <c r="L634">
        <v>1.2192000000000001</v>
      </c>
      <c r="M634">
        <v>63.5</v>
      </c>
      <c r="N634">
        <v>184.15</v>
      </c>
      <c r="O634">
        <v>48.000000000000007</v>
      </c>
      <c r="P634">
        <v>2.5</v>
      </c>
      <c r="Q634">
        <v>7.2500000000000009</v>
      </c>
      <c r="R634">
        <v>280.56900000000002</v>
      </c>
      <c r="S634">
        <v>1.4256745680000002E-2</v>
      </c>
      <c r="T634" s="4" t="s">
        <v>2721</v>
      </c>
    </row>
    <row r="635" spans="1:20" x14ac:dyDescent="0.2">
      <c r="A635" s="4" t="s">
        <v>2294</v>
      </c>
      <c r="B635" s="4" t="s">
        <v>2696</v>
      </c>
      <c r="C635" s="4" t="s">
        <v>2286</v>
      </c>
      <c r="D635" s="4" t="s">
        <v>2236</v>
      </c>
      <c r="E635" s="4" t="s">
        <v>2724</v>
      </c>
      <c r="F635" s="4" t="s">
        <v>2697</v>
      </c>
      <c r="G635" s="4" t="s">
        <v>2294</v>
      </c>
      <c r="H635" s="4" t="s">
        <v>2183</v>
      </c>
      <c r="I635" s="4" t="s">
        <v>2100</v>
      </c>
      <c r="J635" s="4" t="s">
        <v>2698</v>
      </c>
      <c r="K635">
        <v>4</v>
      </c>
      <c r="L635">
        <v>1.2192000000000001</v>
      </c>
      <c r="M635">
        <v>63.5</v>
      </c>
      <c r="N635">
        <v>184.15</v>
      </c>
      <c r="O635">
        <v>48.000000000000007</v>
      </c>
      <c r="P635">
        <v>2.5</v>
      </c>
      <c r="Q635">
        <v>7.2500000000000009</v>
      </c>
      <c r="R635">
        <v>280.56900000000002</v>
      </c>
      <c r="S635">
        <v>1.4256745680000002E-2</v>
      </c>
      <c r="T635" s="4" t="s">
        <v>2721</v>
      </c>
    </row>
    <row r="636" spans="1:20" x14ac:dyDescent="0.2">
      <c r="A636" s="4" t="s">
        <v>2294</v>
      </c>
      <c r="B636" s="4" t="s">
        <v>2696</v>
      </c>
      <c r="C636" s="4" t="s">
        <v>2286</v>
      </c>
      <c r="D636" s="4" t="s">
        <v>2236</v>
      </c>
      <c r="E636" s="4" t="s">
        <v>2725</v>
      </c>
      <c r="F636" s="4" t="s">
        <v>2697</v>
      </c>
      <c r="G636" s="4" t="s">
        <v>2294</v>
      </c>
      <c r="H636" s="4" t="s">
        <v>2183</v>
      </c>
      <c r="I636" s="4" t="s">
        <v>2100</v>
      </c>
      <c r="J636" s="4" t="s">
        <v>2698</v>
      </c>
      <c r="K636">
        <v>5</v>
      </c>
      <c r="L636">
        <v>1.524</v>
      </c>
      <c r="M636">
        <v>63.5</v>
      </c>
      <c r="N636">
        <v>184.15</v>
      </c>
      <c r="O636">
        <v>60</v>
      </c>
      <c r="P636">
        <v>2.5</v>
      </c>
      <c r="Q636">
        <v>7.2500000000000009</v>
      </c>
      <c r="R636">
        <v>280.56900000000002</v>
      </c>
      <c r="S636">
        <v>1.7820932099999999E-2</v>
      </c>
      <c r="T636" s="4" t="s">
        <v>2721</v>
      </c>
    </row>
    <row r="637" spans="1:20" x14ac:dyDescent="0.2">
      <c r="A637" s="4" t="s">
        <v>2294</v>
      </c>
      <c r="B637" s="4" t="s">
        <v>2696</v>
      </c>
      <c r="C637" s="4" t="s">
        <v>2286</v>
      </c>
      <c r="D637" s="4" t="s">
        <v>2236</v>
      </c>
      <c r="E637" s="4" t="s">
        <v>2726</v>
      </c>
      <c r="F637" s="4" t="s">
        <v>2697</v>
      </c>
      <c r="G637" s="4" t="s">
        <v>2294</v>
      </c>
      <c r="H637" s="4" t="s">
        <v>2183</v>
      </c>
      <c r="I637" s="4" t="s">
        <v>2100</v>
      </c>
      <c r="J637" s="4" t="s">
        <v>2698</v>
      </c>
      <c r="K637">
        <v>5</v>
      </c>
      <c r="L637">
        <v>1.524</v>
      </c>
      <c r="M637">
        <v>63.5</v>
      </c>
      <c r="N637">
        <v>184.15</v>
      </c>
      <c r="O637">
        <v>60</v>
      </c>
      <c r="P637">
        <v>2.5</v>
      </c>
      <c r="Q637">
        <v>7.2500000000000009</v>
      </c>
      <c r="R637">
        <v>280.56900000000002</v>
      </c>
      <c r="S637">
        <v>1.7820932099999999E-2</v>
      </c>
      <c r="T637" s="4" t="s">
        <v>2721</v>
      </c>
    </row>
    <row r="638" spans="1:20" x14ac:dyDescent="0.2">
      <c r="A638" s="4" t="s">
        <v>2294</v>
      </c>
      <c r="B638" s="4" t="s">
        <v>2696</v>
      </c>
      <c r="C638" s="4" t="s">
        <v>2286</v>
      </c>
      <c r="D638" s="4" t="s">
        <v>2236</v>
      </c>
      <c r="E638" s="4" t="s">
        <v>2727</v>
      </c>
      <c r="F638" s="4" t="s">
        <v>2697</v>
      </c>
      <c r="G638" s="4" t="s">
        <v>2294</v>
      </c>
      <c r="H638" s="4" t="s">
        <v>2183</v>
      </c>
      <c r="I638" s="4" t="s">
        <v>2100</v>
      </c>
      <c r="J638" s="4" t="s">
        <v>2698</v>
      </c>
      <c r="K638">
        <v>6</v>
      </c>
      <c r="L638">
        <v>1.8288</v>
      </c>
      <c r="M638">
        <v>63.5</v>
      </c>
      <c r="N638">
        <v>184.15</v>
      </c>
      <c r="O638">
        <v>72</v>
      </c>
      <c r="P638">
        <v>2.5</v>
      </c>
      <c r="Q638">
        <v>7.2500000000000009</v>
      </c>
      <c r="R638">
        <v>280.56900000000002</v>
      </c>
      <c r="S638">
        <v>2.1385118520000003E-2</v>
      </c>
      <c r="T638" s="4" t="s">
        <v>2721</v>
      </c>
    </row>
    <row r="639" spans="1:20" x14ac:dyDescent="0.2">
      <c r="A639" s="4" t="s">
        <v>2294</v>
      </c>
      <c r="B639" s="4" t="s">
        <v>2696</v>
      </c>
      <c r="C639" s="4" t="s">
        <v>2286</v>
      </c>
      <c r="D639" s="4" t="s">
        <v>2236</v>
      </c>
      <c r="E639" s="4" t="s">
        <v>2728</v>
      </c>
      <c r="F639" s="4" t="s">
        <v>2697</v>
      </c>
      <c r="G639" s="4" t="s">
        <v>2294</v>
      </c>
      <c r="H639" s="4" t="s">
        <v>2183</v>
      </c>
      <c r="I639" s="4" t="s">
        <v>2100</v>
      </c>
      <c r="J639" s="4" t="s">
        <v>2698</v>
      </c>
      <c r="K639">
        <v>6</v>
      </c>
      <c r="L639">
        <v>1.8288</v>
      </c>
      <c r="M639">
        <v>63.5</v>
      </c>
      <c r="N639">
        <v>184.15</v>
      </c>
      <c r="O639">
        <v>72</v>
      </c>
      <c r="P639">
        <v>2.5</v>
      </c>
      <c r="Q639">
        <v>7.2500000000000009</v>
      </c>
      <c r="R639">
        <v>280.56900000000002</v>
      </c>
      <c r="S639">
        <v>2.1385118520000003E-2</v>
      </c>
      <c r="T639" s="4" t="s">
        <v>2721</v>
      </c>
    </row>
    <row r="640" spans="1:20" x14ac:dyDescent="0.2">
      <c r="A640" s="4" t="s">
        <v>2294</v>
      </c>
      <c r="B640" s="4" t="s">
        <v>2696</v>
      </c>
      <c r="C640" s="4" t="s">
        <v>2286</v>
      </c>
      <c r="D640" s="4" t="s">
        <v>2236</v>
      </c>
      <c r="E640" s="4" t="s">
        <v>2729</v>
      </c>
      <c r="F640" s="4" t="s">
        <v>2697</v>
      </c>
      <c r="G640" s="4" t="s">
        <v>2294</v>
      </c>
      <c r="H640" s="4" t="s">
        <v>2183</v>
      </c>
      <c r="I640" s="4" t="s">
        <v>2100</v>
      </c>
      <c r="J640" s="4" t="s">
        <v>2698</v>
      </c>
      <c r="K640">
        <v>7</v>
      </c>
      <c r="L640">
        <v>2.1335999999999999</v>
      </c>
      <c r="M640">
        <v>63.5</v>
      </c>
      <c r="N640">
        <v>184.15</v>
      </c>
      <c r="O640">
        <v>84</v>
      </c>
      <c r="P640">
        <v>2.5</v>
      </c>
      <c r="Q640">
        <v>7.2500000000000009</v>
      </c>
      <c r="R640">
        <v>280.56900000000002</v>
      </c>
      <c r="S640">
        <v>2.4949304939999997E-2</v>
      </c>
      <c r="T640" s="4" t="s">
        <v>2721</v>
      </c>
    </row>
    <row r="641" spans="1:20" x14ac:dyDescent="0.2">
      <c r="A641" s="4" t="s">
        <v>2294</v>
      </c>
      <c r="B641" s="4" t="s">
        <v>2696</v>
      </c>
      <c r="C641" s="4" t="s">
        <v>2286</v>
      </c>
      <c r="D641" s="4" t="s">
        <v>2236</v>
      </c>
      <c r="E641" s="4" t="s">
        <v>2730</v>
      </c>
      <c r="F641" s="4" t="s">
        <v>2697</v>
      </c>
      <c r="G641" s="4" t="s">
        <v>2294</v>
      </c>
      <c r="H641" s="4" t="s">
        <v>2183</v>
      </c>
      <c r="I641" s="4" t="s">
        <v>2100</v>
      </c>
      <c r="J641" s="4" t="s">
        <v>2698</v>
      </c>
      <c r="K641">
        <v>7</v>
      </c>
      <c r="L641">
        <v>2.1335999999999999</v>
      </c>
      <c r="M641">
        <v>63.5</v>
      </c>
      <c r="N641">
        <v>184.15</v>
      </c>
      <c r="O641">
        <v>84</v>
      </c>
      <c r="P641">
        <v>2.5</v>
      </c>
      <c r="Q641">
        <v>7.2500000000000009</v>
      </c>
      <c r="R641">
        <v>280.56900000000002</v>
      </c>
      <c r="S641">
        <v>2.4949304939999997E-2</v>
      </c>
      <c r="T641" s="4" t="s">
        <v>2721</v>
      </c>
    </row>
    <row r="642" spans="1:20" x14ac:dyDescent="0.2">
      <c r="A642" s="4" t="s">
        <v>2294</v>
      </c>
      <c r="B642" s="4" t="s">
        <v>2696</v>
      </c>
      <c r="C642" s="4" t="s">
        <v>2096</v>
      </c>
      <c r="D642" s="4" t="s">
        <v>2236</v>
      </c>
      <c r="E642" s="4" t="s">
        <v>232</v>
      </c>
      <c r="F642" s="4" t="s">
        <v>2697</v>
      </c>
      <c r="G642" s="4" t="s">
        <v>2294</v>
      </c>
      <c r="H642" s="4" t="s">
        <v>2183</v>
      </c>
      <c r="I642" s="4" t="s">
        <v>2100</v>
      </c>
      <c r="J642" s="4" t="s">
        <v>2698</v>
      </c>
      <c r="K642">
        <v>8</v>
      </c>
      <c r="L642">
        <v>2.4384000000000001</v>
      </c>
      <c r="M642">
        <v>63.5</v>
      </c>
      <c r="N642">
        <v>184.15</v>
      </c>
      <c r="O642">
        <v>96.000000000000014</v>
      </c>
      <c r="P642">
        <v>2.5</v>
      </c>
      <c r="Q642">
        <v>7.2500000000000009</v>
      </c>
      <c r="R642">
        <v>280.56900000000002</v>
      </c>
      <c r="S642">
        <v>2.8513491360000004E-2</v>
      </c>
      <c r="T642" s="4" t="s">
        <v>2699</v>
      </c>
    </row>
    <row r="643" spans="1:20" x14ac:dyDescent="0.2">
      <c r="A643" s="4" t="s">
        <v>2294</v>
      </c>
      <c r="B643" s="4" t="s">
        <v>2696</v>
      </c>
      <c r="C643" s="4" t="s">
        <v>2096</v>
      </c>
      <c r="D643" s="4" t="s">
        <v>2236</v>
      </c>
      <c r="E643" s="4" t="s">
        <v>2731</v>
      </c>
      <c r="F643" s="4" t="s">
        <v>2697</v>
      </c>
      <c r="G643" s="4" t="s">
        <v>2294</v>
      </c>
      <c r="H643" s="4" t="s">
        <v>2183</v>
      </c>
      <c r="I643" s="4" t="s">
        <v>2100</v>
      </c>
      <c r="J643" s="4" t="s">
        <v>2698</v>
      </c>
      <c r="K643">
        <v>8</v>
      </c>
      <c r="L643">
        <v>2.4384000000000001</v>
      </c>
      <c r="M643">
        <v>63.5</v>
      </c>
      <c r="N643">
        <v>184.15</v>
      </c>
      <c r="O643">
        <v>96.000000000000014</v>
      </c>
      <c r="P643">
        <v>2.5</v>
      </c>
      <c r="Q643">
        <v>7.2500000000000009</v>
      </c>
      <c r="R643">
        <v>280.56900000000002</v>
      </c>
      <c r="S643">
        <v>2.8513491360000004E-2</v>
      </c>
      <c r="T643" s="4" t="s">
        <v>2699</v>
      </c>
    </row>
    <row r="644" spans="1:20" x14ac:dyDescent="0.2">
      <c r="A644" s="4" t="s">
        <v>2294</v>
      </c>
      <c r="B644" s="4" t="s">
        <v>2696</v>
      </c>
      <c r="C644" s="4" t="s">
        <v>2096</v>
      </c>
      <c r="D644" s="4" t="s">
        <v>2236</v>
      </c>
      <c r="E644" s="4" t="s">
        <v>2732</v>
      </c>
      <c r="F644" s="4" t="s">
        <v>2697</v>
      </c>
      <c r="G644" s="4" t="s">
        <v>2294</v>
      </c>
      <c r="H644" s="4" t="s">
        <v>2183</v>
      </c>
      <c r="I644" s="4" t="s">
        <v>2100</v>
      </c>
      <c r="J644" s="4" t="s">
        <v>2698</v>
      </c>
      <c r="K644">
        <v>9</v>
      </c>
      <c r="L644">
        <v>2.7431999999999999</v>
      </c>
      <c r="M644">
        <v>63.5</v>
      </c>
      <c r="N644">
        <v>184.15</v>
      </c>
      <c r="O644">
        <v>108</v>
      </c>
      <c r="P644">
        <v>2.5</v>
      </c>
      <c r="Q644">
        <v>7.2500000000000009</v>
      </c>
      <c r="R644">
        <v>280.56900000000002</v>
      </c>
      <c r="S644">
        <v>3.2077677780000001E-2</v>
      </c>
      <c r="T644" s="4" t="s">
        <v>2699</v>
      </c>
    </row>
    <row r="645" spans="1:20" x14ac:dyDescent="0.2">
      <c r="A645" s="4" t="s">
        <v>2294</v>
      </c>
      <c r="B645" s="4" t="s">
        <v>2696</v>
      </c>
      <c r="C645" s="4" t="s">
        <v>2096</v>
      </c>
      <c r="D645" s="4" t="s">
        <v>2236</v>
      </c>
      <c r="E645" s="4" t="s">
        <v>2733</v>
      </c>
      <c r="F645" s="4" t="s">
        <v>2697</v>
      </c>
      <c r="G645" s="4" t="s">
        <v>2294</v>
      </c>
      <c r="H645" s="4" t="s">
        <v>2183</v>
      </c>
      <c r="I645" s="4" t="s">
        <v>2100</v>
      </c>
      <c r="J645" s="4" t="s">
        <v>2698</v>
      </c>
      <c r="K645">
        <v>9</v>
      </c>
      <c r="L645">
        <v>2.7431999999999999</v>
      </c>
      <c r="M645">
        <v>63.5</v>
      </c>
      <c r="N645">
        <v>184.15</v>
      </c>
      <c r="O645">
        <v>108</v>
      </c>
      <c r="P645">
        <v>2.5</v>
      </c>
      <c r="Q645">
        <v>7.2500000000000009</v>
      </c>
      <c r="R645">
        <v>280.56900000000002</v>
      </c>
      <c r="S645">
        <v>3.2077677780000001E-2</v>
      </c>
      <c r="T645" s="4" t="s">
        <v>2699</v>
      </c>
    </row>
    <row r="646" spans="1:20" x14ac:dyDescent="0.2">
      <c r="A646" s="4" t="s">
        <v>2294</v>
      </c>
      <c r="B646" s="4" t="s">
        <v>2734</v>
      </c>
      <c r="C646" s="4" t="s">
        <v>2096</v>
      </c>
      <c r="D646" s="4" t="s">
        <v>2236</v>
      </c>
      <c r="E646" s="4" t="s">
        <v>234</v>
      </c>
      <c r="F646" s="4" t="s">
        <v>2735</v>
      </c>
      <c r="G646" s="4" t="s">
        <v>2294</v>
      </c>
      <c r="H646" s="4" t="s">
        <v>2183</v>
      </c>
      <c r="I646" s="4" t="s">
        <v>2100</v>
      </c>
      <c r="J646" s="4" t="s">
        <v>2736</v>
      </c>
      <c r="K646">
        <v>12</v>
      </c>
      <c r="L646">
        <v>3.6576</v>
      </c>
      <c r="M646">
        <v>63.5</v>
      </c>
      <c r="N646">
        <v>215.89999999999998</v>
      </c>
      <c r="O646">
        <v>144</v>
      </c>
      <c r="P646">
        <v>2.5</v>
      </c>
      <c r="Q646">
        <v>8.5</v>
      </c>
      <c r="R646">
        <v>239.309</v>
      </c>
      <c r="S646">
        <v>5.0144415839999991E-2</v>
      </c>
      <c r="T646" s="4" t="s">
        <v>2737</v>
      </c>
    </row>
    <row r="647" spans="1:20" x14ac:dyDescent="0.2">
      <c r="A647" s="4" t="s">
        <v>2294</v>
      </c>
      <c r="B647" s="4" t="s">
        <v>2738</v>
      </c>
      <c r="C647" s="4" t="s">
        <v>2096</v>
      </c>
      <c r="D647" s="4" t="s">
        <v>2236</v>
      </c>
      <c r="E647" s="4" t="s">
        <v>2739</v>
      </c>
      <c r="F647" s="4" t="s">
        <v>2740</v>
      </c>
      <c r="G647" s="4" t="s">
        <v>2294</v>
      </c>
      <c r="H647" s="4" t="s">
        <v>2183</v>
      </c>
      <c r="I647" s="4" t="s">
        <v>2100</v>
      </c>
      <c r="J647" s="4" t="s">
        <v>2741</v>
      </c>
      <c r="K647">
        <v>10</v>
      </c>
      <c r="L647">
        <v>3.048</v>
      </c>
      <c r="M647">
        <v>88.9</v>
      </c>
      <c r="N647">
        <v>285.75</v>
      </c>
      <c r="O647">
        <v>120</v>
      </c>
      <c r="P647">
        <v>3.5000000000000004</v>
      </c>
      <c r="Q647">
        <v>11.25</v>
      </c>
      <c r="R647">
        <v>129.15100000000001</v>
      </c>
      <c r="S647">
        <v>7.7428877400000012E-2</v>
      </c>
      <c r="T647" s="4" t="s">
        <v>2742</v>
      </c>
    </row>
    <row r="648" spans="1:20" x14ac:dyDescent="0.2">
      <c r="A648" s="4" t="s">
        <v>2294</v>
      </c>
      <c r="B648" s="4" t="s">
        <v>2738</v>
      </c>
      <c r="C648" s="4" t="s">
        <v>2096</v>
      </c>
      <c r="D648" s="4" t="s">
        <v>2236</v>
      </c>
      <c r="E648" s="4" t="s">
        <v>2743</v>
      </c>
      <c r="F648" s="4" t="s">
        <v>2740</v>
      </c>
      <c r="G648" s="4" t="s">
        <v>2294</v>
      </c>
      <c r="H648" s="4" t="s">
        <v>2183</v>
      </c>
      <c r="I648" s="4" t="s">
        <v>2100</v>
      </c>
      <c r="J648" s="4" t="s">
        <v>2741</v>
      </c>
      <c r="K648">
        <v>10</v>
      </c>
      <c r="L648">
        <v>3.048</v>
      </c>
      <c r="M648">
        <v>88.9</v>
      </c>
      <c r="N648">
        <v>285.75</v>
      </c>
      <c r="O648">
        <v>120</v>
      </c>
      <c r="P648">
        <v>3.5000000000000004</v>
      </c>
      <c r="Q648">
        <v>11.25</v>
      </c>
      <c r="R648">
        <v>129.15100000000001</v>
      </c>
      <c r="S648">
        <v>7.7428877400000012E-2</v>
      </c>
      <c r="T648" s="4" t="s">
        <v>2742</v>
      </c>
    </row>
    <row r="649" spans="1:20" x14ac:dyDescent="0.2">
      <c r="A649" s="4" t="s">
        <v>2294</v>
      </c>
      <c r="B649" s="4" t="s">
        <v>2738</v>
      </c>
      <c r="C649" s="4" t="s">
        <v>2096</v>
      </c>
      <c r="D649" s="4" t="s">
        <v>2236</v>
      </c>
      <c r="E649" s="4" t="s">
        <v>2744</v>
      </c>
      <c r="F649" s="4" t="s">
        <v>2740</v>
      </c>
      <c r="G649" s="4" t="s">
        <v>2294</v>
      </c>
      <c r="H649" s="4" t="s">
        <v>2183</v>
      </c>
      <c r="I649" s="4" t="s">
        <v>2100</v>
      </c>
      <c r="J649" s="4" t="s">
        <v>2741</v>
      </c>
      <c r="K649">
        <v>11</v>
      </c>
      <c r="L649">
        <v>3.3527999999999998</v>
      </c>
      <c r="M649">
        <v>88.9</v>
      </c>
      <c r="N649">
        <v>285.75</v>
      </c>
      <c r="O649">
        <v>132</v>
      </c>
      <c r="P649">
        <v>3.5000000000000004</v>
      </c>
      <c r="Q649">
        <v>11.25</v>
      </c>
      <c r="R649">
        <v>129.15100000000001</v>
      </c>
      <c r="S649">
        <v>8.5171765139999994E-2</v>
      </c>
      <c r="T649" s="4" t="s">
        <v>2742</v>
      </c>
    </row>
    <row r="650" spans="1:20" x14ac:dyDescent="0.2">
      <c r="A650" s="4" t="s">
        <v>2294</v>
      </c>
      <c r="B650" s="4" t="s">
        <v>2738</v>
      </c>
      <c r="C650" s="4" t="s">
        <v>2096</v>
      </c>
      <c r="D650" s="4" t="s">
        <v>2236</v>
      </c>
      <c r="E650" s="4" t="s">
        <v>2745</v>
      </c>
      <c r="F650" s="4" t="s">
        <v>2740</v>
      </c>
      <c r="G650" s="4" t="s">
        <v>2294</v>
      </c>
      <c r="H650" s="4" t="s">
        <v>2183</v>
      </c>
      <c r="I650" s="4" t="s">
        <v>2100</v>
      </c>
      <c r="J650" s="4" t="s">
        <v>2741</v>
      </c>
      <c r="K650">
        <v>11</v>
      </c>
      <c r="L650">
        <v>3.3527999999999998</v>
      </c>
      <c r="M650">
        <v>88.9</v>
      </c>
      <c r="N650">
        <v>285.75</v>
      </c>
      <c r="O650">
        <v>132</v>
      </c>
      <c r="P650">
        <v>3.5000000000000004</v>
      </c>
      <c r="Q650">
        <v>11.25</v>
      </c>
      <c r="R650">
        <v>129.15100000000001</v>
      </c>
      <c r="S650">
        <v>8.5171765139999994E-2</v>
      </c>
      <c r="T650" s="4" t="s">
        <v>2742</v>
      </c>
    </row>
    <row r="651" spans="1:20" x14ac:dyDescent="0.2">
      <c r="A651" s="4" t="s">
        <v>2294</v>
      </c>
      <c r="B651" s="4" t="s">
        <v>2738</v>
      </c>
      <c r="C651" s="4" t="s">
        <v>2096</v>
      </c>
      <c r="D651" s="4" t="s">
        <v>2236</v>
      </c>
      <c r="E651" s="4" t="s">
        <v>2746</v>
      </c>
      <c r="F651" s="4" t="s">
        <v>2740</v>
      </c>
      <c r="G651" s="4" t="s">
        <v>2294</v>
      </c>
      <c r="H651" s="4" t="s">
        <v>2183</v>
      </c>
      <c r="I651" s="4" t="s">
        <v>2100</v>
      </c>
      <c r="J651" s="4" t="s">
        <v>2741</v>
      </c>
      <c r="K651">
        <v>12</v>
      </c>
      <c r="L651">
        <v>3.6576</v>
      </c>
      <c r="M651">
        <v>88.9</v>
      </c>
      <c r="N651">
        <v>285.75</v>
      </c>
      <c r="O651">
        <v>144</v>
      </c>
      <c r="P651">
        <v>3.5000000000000004</v>
      </c>
      <c r="Q651">
        <v>11.25</v>
      </c>
      <c r="R651">
        <v>129.15100000000001</v>
      </c>
      <c r="S651">
        <v>9.2914652880000004E-2</v>
      </c>
      <c r="T651" s="4" t="s">
        <v>2742</v>
      </c>
    </row>
    <row r="652" spans="1:20" x14ac:dyDescent="0.2">
      <c r="A652" s="4" t="s">
        <v>2294</v>
      </c>
      <c r="B652" s="4" t="s">
        <v>2738</v>
      </c>
      <c r="C652" s="4" t="s">
        <v>2096</v>
      </c>
      <c r="D652" s="4" t="s">
        <v>2236</v>
      </c>
      <c r="E652" s="4" t="s">
        <v>2747</v>
      </c>
      <c r="F652" s="4" t="s">
        <v>2740</v>
      </c>
      <c r="G652" s="4" t="s">
        <v>2294</v>
      </c>
      <c r="H652" s="4" t="s">
        <v>2183</v>
      </c>
      <c r="I652" s="4" t="s">
        <v>2100</v>
      </c>
      <c r="J652" s="4" t="s">
        <v>2741</v>
      </c>
      <c r="K652">
        <v>12</v>
      </c>
      <c r="L652">
        <v>3.6576</v>
      </c>
      <c r="M652">
        <v>88.9</v>
      </c>
      <c r="N652">
        <v>285.75</v>
      </c>
      <c r="O652">
        <v>144</v>
      </c>
      <c r="P652">
        <v>3.5000000000000004</v>
      </c>
      <c r="Q652">
        <v>11.25</v>
      </c>
      <c r="R652">
        <v>129.15100000000001</v>
      </c>
      <c r="S652">
        <v>9.2914652880000004E-2</v>
      </c>
      <c r="T652" s="4" t="s">
        <v>2742</v>
      </c>
    </row>
    <row r="653" spans="1:20" x14ac:dyDescent="0.2">
      <c r="A653" s="4" t="s">
        <v>2294</v>
      </c>
      <c r="B653" s="4" t="s">
        <v>2738</v>
      </c>
      <c r="C653" s="4" t="s">
        <v>2096</v>
      </c>
      <c r="D653" s="4" t="s">
        <v>2236</v>
      </c>
      <c r="E653" s="4" t="s">
        <v>2748</v>
      </c>
      <c r="F653" s="4" t="s">
        <v>2740</v>
      </c>
      <c r="G653" s="4" t="s">
        <v>2294</v>
      </c>
      <c r="H653" s="4" t="s">
        <v>2183</v>
      </c>
      <c r="I653" s="4" t="s">
        <v>2100</v>
      </c>
      <c r="J653" s="4" t="s">
        <v>2741</v>
      </c>
      <c r="K653">
        <v>13</v>
      </c>
      <c r="L653">
        <v>3.9624000000000001</v>
      </c>
      <c r="M653">
        <v>88.9</v>
      </c>
      <c r="N653">
        <v>285.75</v>
      </c>
      <c r="O653">
        <v>156</v>
      </c>
      <c r="P653">
        <v>3.5000000000000004</v>
      </c>
      <c r="Q653">
        <v>11.25</v>
      </c>
      <c r="R653">
        <v>129.15100000000001</v>
      </c>
      <c r="S653">
        <v>0.10065754062000001</v>
      </c>
      <c r="T653" s="4" t="s">
        <v>2742</v>
      </c>
    </row>
    <row r="654" spans="1:20" x14ac:dyDescent="0.2">
      <c r="A654" s="4" t="s">
        <v>2294</v>
      </c>
      <c r="B654" s="4" t="s">
        <v>2738</v>
      </c>
      <c r="C654" s="4" t="s">
        <v>2096</v>
      </c>
      <c r="D654" s="4" t="s">
        <v>2236</v>
      </c>
      <c r="E654" s="4" t="s">
        <v>2749</v>
      </c>
      <c r="F654" s="4" t="s">
        <v>2740</v>
      </c>
      <c r="G654" s="4" t="s">
        <v>2294</v>
      </c>
      <c r="H654" s="4" t="s">
        <v>2183</v>
      </c>
      <c r="I654" s="4" t="s">
        <v>2100</v>
      </c>
      <c r="J654" s="4" t="s">
        <v>2741</v>
      </c>
      <c r="K654">
        <v>13</v>
      </c>
      <c r="L654">
        <v>3.9624000000000001</v>
      </c>
      <c r="M654">
        <v>88.9</v>
      </c>
      <c r="N654">
        <v>285.75</v>
      </c>
      <c r="O654">
        <v>156</v>
      </c>
      <c r="P654">
        <v>3.5000000000000004</v>
      </c>
      <c r="Q654">
        <v>11.25</v>
      </c>
      <c r="R654">
        <v>129.15100000000001</v>
      </c>
      <c r="S654">
        <v>0.10065754062000001</v>
      </c>
      <c r="T654" s="4" t="s">
        <v>2742</v>
      </c>
    </row>
    <row r="655" spans="1:20" x14ac:dyDescent="0.2">
      <c r="A655" s="4" t="s">
        <v>2294</v>
      </c>
      <c r="B655" s="4" t="s">
        <v>2738</v>
      </c>
      <c r="C655" s="4" t="s">
        <v>2096</v>
      </c>
      <c r="D655" s="4" t="s">
        <v>2236</v>
      </c>
      <c r="E655" s="4" t="s">
        <v>2750</v>
      </c>
      <c r="F655" s="4" t="s">
        <v>2740</v>
      </c>
      <c r="G655" s="4" t="s">
        <v>2294</v>
      </c>
      <c r="H655" s="4" t="s">
        <v>2183</v>
      </c>
      <c r="I655" s="4" t="s">
        <v>2100</v>
      </c>
      <c r="J655" s="4" t="s">
        <v>2741</v>
      </c>
      <c r="K655">
        <v>14</v>
      </c>
      <c r="L655">
        <v>4.2671999999999999</v>
      </c>
      <c r="M655">
        <v>88.9</v>
      </c>
      <c r="N655">
        <v>285.75</v>
      </c>
      <c r="O655">
        <v>168</v>
      </c>
      <c r="P655">
        <v>3.5000000000000004</v>
      </c>
      <c r="Q655">
        <v>11.25</v>
      </c>
      <c r="R655">
        <v>129.15100000000001</v>
      </c>
      <c r="S655">
        <v>0.10840042836000001</v>
      </c>
      <c r="T655" s="4" t="s">
        <v>2742</v>
      </c>
    </row>
    <row r="656" spans="1:20" x14ac:dyDescent="0.2">
      <c r="A656" s="4" t="s">
        <v>2294</v>
      </c>
      <c r="B656" s="4" t="s">
        <v>2738</v>
      </c>
      <c r="C656" s="4" t="s">
        <v>2096</v>
      </c>
      <c r="D656" s="4" t="s">
        <v>2236</v>
      </c>
      <c r="E656" s="4" t="s">
        <v>438</v>
      </c>
      <c r="F656" s="4" t="s">
        <v>2740</v>
      </c>
      <c r="G656" s="4" t="s">
        <v>2294</v>
      </c>
      <c r="H656" s="4" t="s">
        <v>2183</v>
      </c>
      <c r="I656" s="4" t="s">
        <v>2100</v>
      </c>
      <c r="J656" s="4" t="s">
        <v>2741</v>
      </c>
      <c r="K656">
        <v>14</v>
      </c>
      <c r="L656">
        <v>4.2671999999999999</v>
      </c>
      <c r="M656">
        <v>88.9</v>
      </c>
      <c r="N656">
        <v>285.75</v>
      </c>
      <c r="O656">
        <v>168</v>
      </c>
      <c r="P656">
        <v>3.5000000000000004</v>
      </c>
      <c r="Q656">
        <v>11.25</v>
      </c>
      <c r="R656">
        <v>129.15100000000001</v>
      </c>
      <c r="S656">
        <v>0.10840042836000001</v>
      </c>
      <c r="T656" s="4" t="s">
        <v>2742</v>
      </c>
    </row>
    <row r="657" spans="1:20" x14ac:dyDescent="0.2">
      <c r="A657" s="4" t="s">
        <v>2294</v>
      </c>
      <c r="B657" s="4" t="s">
        <v>2738</v>
      </c>
      <c r="C657" s="4" t="s">
        <v>2096</v>
      </c>
      <c r="D657" s="4" t="s">
        <v>2236</v>
      </c>
      <c r="E657" s="4" t="s">
        <v>2751</v>
      </c>
      <c r="F657" s="4" t="s">
        <v>2740</v>
      </c>
      <c r="G657" s="4" t="s">
        <v>2294</v>
      </c>
      <c r="H657" s="4" t="s">
        <v>2183</v>
      </c>
      <c r="I657" s="4" t="s">
        <v>2100</v>
      </c>
      <c r="J657" s="4" t="s">
        <v>2741</v>
      </c>
      <c r="K657">
        <v>15</v>
      </c>
      <c r="L657">
        <v>4.5720000000000001</v>
      </c>
      <c r="M657">
        <v>88.9</v>
      </c>
      <c r="N657">
        <v>285.75</v>
      </c>
      <c r="O657">
        <v>180</v>
      </c>
      <c r="P657">
        <v>3.5000000000000004</v>
      </c>
      <c r="Q657">
        <v>11.25</v>
      </c>
      <c r="R657">
        <v>129.15100000000001</v>
      </c>
      <c r="S657">
        <v>0.1161433161</v>
      </c>
      <c r="T657" s="4" t="s">
        <v>2742</v>
      </c>
    </row>
    <row r="658" spans="1:20" x14ac:dyDescent="0.2">
      <c r="A658" s="4" t="s">
        <v>2294</v>
      </c>
      <c r="B658" s="4" t="s">
        <v>2738</v>
      </c>
      <c r="C658" s="4" t="s">
        <v>2096</v>
      </c>
      <c r="D658" s="4" t="s">
        <v>2236</v>
      </c>
      <c r="E658" s="4" t="s">
        <v>2752</v>
      </c>
      <c r="F658" s="4" t="s">
        <v>2740</v>
      </c>
      <c r="G658" s="4" t="s">
        <v>2294</v>
      </c>
      <c r="H658" s="4" t="s">
        <v>2183</v>
      </c>
      <c r="I658" s="4" t="s">
        <v>2100</v>
      </c>
      <c r="J658" s="4" t="s">
        <v>2741</v>
      </c>
      <c r="K658">
        <v>15</v>
      </c>
      <c r="L658">
        <v>4.5720000000000001</v>
      </c>
      <c r="M658">
        <v>88.9</v>
      </c>
      <c r="N658">
        <v>285.75</v>
      </c>
      <c r="O658">
        <v>180</v>
      </c>
      <c r="P658">
        <v>3.5000000000000004</v>
      </c>
      <c r="Q658">
        <v>11.25</v>
      </c>
      <c r="R658">
        <v>129.15100000000001</v>
      </c>
      <c r="S658">
        <v>0.1161433161</v>
      </c>
      <c r="T658" s="4" t="s">
        <v>2742</v>
      </c>
    </row>
    <row r="659" spans="1:20" x14ac:dyDescent="0.2">
      <c r="A659" s="4" t="s">
        <v>2294</v>
      </c>
      <c r="B659" s="4" t="s">
        <v>2738</v>
      </c>
      <c r="C659" s="4" t="s">
        <v>2096</v>
      </c>
      <c r="D659" s="4" t="s">
        <v>2236</v>
      </c>
      <c r="E659" s="4" t="s">
        <v>2753</v>
      </c>
      <c r="F659" s="4" t="s">
        <v>2740</v>
      </c>
      <c r="G659" s="4" t="s">
        <v>2294</v>
      </c>
      <c r="H659" s="4" t="s">
        <v>2183</v>
      </c>
      <c r="I659" s="4" t="s">
        <v>2100</v>
      </c>
      <c r="J659" s="4" t="s">
        <v>2741</v>
      </c>
      <c r="K659">
        <v>16</v>
      </c>
      <c r="L659">
        <v>4.8768000000000002</v>
      </c>
      <c r="M659">
        <v>88.9</v>
      </c>
      <c r="N659">
        <v>285.75</v>
      </c>
      <c r="O659">
        <v>192.00000000000003</v>
      </c>
      <c r="P659">
        <v>3.5000000000000004</v>
      </c>
      <c r="Q659">
        <v>11.25</v>
      </c>
      <c r="R659">
        <v>129.15100000000001</v>
      </c>
      <c r="S659">
        <v>0.12388620384000003</v>
      </c>
      <c r="T659" s="4" t="s">
        <v>2742</v>
      </c>
    </row>
    <row r="660" spans="1:20" x14ac:dyDescent="0.2">
      <c r="A660" s="4" t="s">
        <v>2294</v>
      </c>
      <c r="B660" s="4" t="s">
        <v>2738</v>
      </c>
      <c r="C660" s="4" t="s">
        <v>2096</v>
      </c>
      <c r="D660" s="4" t="s">
        <v>2236</v>
      </c>
      <c r="E660" s="4" t="s">
        <v>440</v>
      </c>
      <c r="F660" s="4" t="s">
        <v>2740</v>
      </c>
      <c r="G660" s="4" t="s">
        <v>2294</v>
      </c>
      <c r="H660" s="4" t="s">
        <v>2183</v>
      </c>
      <c r="I660" s="4" t="s">
        <v>2100</v>
      </c>
      <c r="J660" s="4" t="s">
        <v>2741</v>
      </c>
      <c r="K660">
        <v>16</v>
      </c>
      <c r="L660">
        <v>4.8768000000000002</v>
      </c>
      <c r="M660">
        <v>88.9</v>
      </c>
      <c r="N660">
        <v>285.75</v>
      </c>
      <c r="O660">
        <v>192.00000000000003</v>
      </c>
      <c r="P660">
        <v>3.5000000000000004</v>
      </c>
      <c r="Q660">
        <v>11.25</v>
      </c>
      <c r="R660">
        <v>129.15100000000001</v>
      </c>
      <c r="S660">
        <v>0.12388620384000003</v>
      </c>
      <c r="T660" s="4" t="s">
        <v>2742</v>
      </c>
    </row>
    <row r="661" spans="1:20" x14ac:dyDescent="0.2">
      <c r="A661" s="4" t="s">
        <v>2294</v>
      </c>
      <c r="B661" s="4" t="s">
        <v>2738</v>
      </c>
      <c r="C661" s="4" t="s">
        <v>2096</v>
      </c>
      <c r="D661" s="4" t="s">
        <v>2236</v>
      </c>
      <c r="E661" s="4" t="s">
        <v>2754</v>
      </c>
      <c r="F661" s="4" t="s">
        <v>2740</v>
      </c>
      <c r="G661" s="4" t="s">
        <v>2294</v>
      </c>
      <c r="H661" s="4" t="s">
        <v>2183</v>
      </c>
      <c r="I661" s="4" t="s">
        <v>2100</v>
      </c>
      <c r="J661" s="4" t="s">
        <v>2741</v>
      </c>
      <c r="K661">
        <v>17</v>
      </c>
      <c r="L661">
        <v>5.1816000000000004</v>
      </c>
      <c r="M661">
        <v>88.9</v>
      </c>
      <c r="N661">
        <v>285.75</v>
      </c>
      <c r="O661">
        <v>204.00000000000003</v>
      </c>
      <c r="P661">
        <v>3.5000000000000004</v>
      </c>
      <c r="Q661">
        <v>11.25</v>
      </c>
      <c r="R661">
        <v>129.15100000000001</v>
      </c>
      <c r="S661">
        <v>0.13162909158000002</v>
      </c>
      <c r="T661" s="4" t="s">
        <v>2742</v>
      </c>
    </row>
    <row r="662" spans="1:20" x14ac:dyDescent="0.2">
      <c r="A662" s="4" t="s">
        <v>2294</v>
      </c>
      <c r="B662" s="4" t="s">
        <v>2738</v>
      </c>
      <c r="C662" s="4" t="s">
        <v>2096</v>
      </c>
      <c r="D662" s="4" t="s">
        <v>2236</v>
      </c>
      <c r="E662" s="4" t="s">
        <v>2755</v>
      </c>
      <c r="F662" s="4" t="s">
        <v>2740</v>
      </c>
      <c r="G662" s="4" t="s">
        <v>2294</v>
      </c>
      <c r="H662" s="4" t="s">
        <v>2183</v>
      </c>
      <c r="I662" s="4" t="s">
        <v>2100</v>
      </c>
      <c r="J662" s="4" t="s">
        <v>2741</v>
      </c>
      <c r="K662">
        <v>17</v>
      </c>
      <c r="L662">
        <v>5.1816000000000004</v>
      </c>
      <c r="M662">
        <v>88.9</v>
      </c>
      <c r="N662">
        <v>285.75</v>
      </c>
      <c r="O662">
        <v>204.00000000000003</v>
      </c>
      <c r="P662">
        <v>3.5000000000000004</v>
      </c>
      <c r="Q662">
        <v>11.25</v>
      </c>
      <c r="R662">
        <v>129.15100000000001</v>
      </c>
      <c r="S662">
        <v>0.13162909158000002</v>
      </c>
      <c r="T662" s="4" t="s">
        <v>2742</v>
      </c>
    </row>
    <row r="663" spans="1:20" x14ac:dyDescent="0.2">
      <c r="A663" s="4" t="s">
        <v>2294</v>
      </c>
      <c r="B663" s="4" t="s">
        <v>2738</v>
      </c>
      <c r="C663" s="4" t="s">
        <v>2096</v>
      </c>
      <c r="D663" s="4" t="s">
        <v>2236</v>
      </c>
      <c r="E663" s="4" t="s">
        <v>2756</v>
      </c>
      <c r="F663" s="4" t="s">
        <v>2740</v>
      </c>
      <c r="G663" s="4" t="s">
        <v>2294</v>
      </c>
      <c r="H663" s="4" t="s">
        <v>2183</v>
      </c>
      <c r="I663" s="4" t="s">
        <v>2100</v>
      </c>
      <c r="J663" s="4" t="s">
        <v>2741</v>
      </c>
      <c r="K663">
        <v>18</v>
      </c>
      <c r="L663">
        <v>5.4863999999999997</v>
      </c>
      <c r="M663">
        <v>88.9</v>
      </c>
      <c r="N663">
        <v>285.75</v>
      </c>
      <c r="O663">
        <v>216</v>
      </c>
      <c r="P663">
        <v>3.5000000000000004</v>
      </c>
      <c r="Q663">
        <v>11.25</v>
      </c>
      <c r="R663">
        <v>129.15100000000001</v>
      </c>
      <c r="S663">
        <v>0.13937197932000001</v>
      </c>
      <c r="T663" s="4" t="s">
        <v>2742</v>
      </c>
    </row>
    <row r="664" spans="1:20" x14ac:dyDescent="0.2">
      <c r="A664" s="4" t="s">
        <v>2294</v>
      </c>
      <c r="B664" s="4" t="s">
        <v>2738</v>
      </c>
      <c r="C664" s="4" t="s">
        <v>2096</v>
      </c>
      <c r="D664" s="4" t="s">
        <v>2236</v>
      </c>
      <c r="E664" s="4" t="s">
        <v>2757</v>
      </c>
      <c r="F664" s="4" t="s">
        <v>2740</v>
      </c>
      <c r="G664" s="4" t="s">
        <v>2294</v>
      </c>
      <c r="H664" s="4" t="s">
        <v>2183</v>
      </c>
      <c r="I664" s="4" t="s">
        <v>2100</v>
      </c>
      <c r="J664" s="4" t="s">
        <v>2741</v>
      </c>
      <c r="K664">
        <v>18</v>
      </c>
      <c r="L664">
        <v>5.4863999999999997</v>
      </c>
      <c r="M664">
        <v>88.9</v>
      </c>
      <c r="N664">
        <v>285.75</v>
      </c>
      <c r="O664">
        <v>216</v>
      </c>
      <c r="P664">
        <v>3.5000000000000004</v>
      </c>
      <c r="Q664">
        <v>11.25</v>
      </c>
      <c r="R664">
        <v>129.15100000000001</v>
      </c>
      <c r="S664">
        <v>0.13937197932000001</v>
      </c>
      <c r="T664" s="4" t="s">
        <v>2742</v>
      </c>
    </row>
    <row r="665" spans="1:20" x14ac:dyDescent="0.2">
      <c r="A665" s="4" t="s">
        <v>2294</v>
      </c>
      <c r="B665" s="4" t="s">
        <v>2738</v>
      </c>
      <c r="C665" s="4" t="s">
        <v>2096</v>
      </c>
      <c r="D665" s="4" t="s">
        <v>2236</v>
      </c>
      <c r="E665" s="4" t="s">
        <v>2758</v>
      </c>
      <c r="F665" s="4" t="s">
        <v>2740</v>
      </c>
      <c r="G665" s="4" t="s">
        <v>2294</v>
      </c>
      <c r="H665" s="4" t="s">
        <v>2183</v>
      </c>
      <c r="I665" s="4" t="s">
        <v>2100</v>
      </c>
      <c r="J665" s="4" t="s">
        <v>2741</v>
      </c>
      <c r="K665">
        <v>19</v>
      </c>
      <c r="L665">
        <v>5.7911999999999999</v>
      </c>
      <c r="M665">
        <v>88.9</v>
      </c>
      <c r="N665">
        <v>285.75</v>
      </c>
      <c r="O665">
        <v>228</v>
      </c>
      <c r="P665">
        <v>3.5000000000000004</v>
      </c>
      <c r="Q665">
        <v>11.25</v>
      </c>
      <c r="R665">
        <v>129.15100000000001</v>
      </c>
      <c r="S665">
        <v>0.14711486705999999</v>
      </c>
      <c r="T665" s="4" t="s">
        <v>2742</v>
      </c>
    </row>
    <row r="666" spans="1:20" x14ac:dyDescent="0.2">
      <c r="A666" s="4" t="s">
        <v>2294</v>
      </c>
      <c r="B666" s="4" t="s">
        <v>2738</v>
      </c>
      <c r="C666" s="4" t="s">
        <v>2096</v>
      </c>
      <c r="D666" s="4" t="s">
        <v>2236</v>
      </c>
      <c r="E666" s="4" t="s">
        <v>2759</v>
      </c>
      <c r="F666" s="4" t="s">
        <v>2740</v>
      </c>
      <c r="G666" s="4" t="s">
        <v>2294</v>
      </c>
      <c r="H666" s="4" t="s">
        <v>2183</v>
      </c>
      <c r="I666" s="4" t="s">
        <v>2100</v>
      </c>
      <c r="J666" s="4" t="s">
        <v>2741</v>
      </c>
      <c r="K666">
        <v>19</v>
      </c>
      <c r="L666">
        <v>5.7911999999999999</v>
      </c>
      <c r="M666">
        <v>88.9</v>
      </c>
      <c r="N666">
        <v>285.75</v>
      </c>
      <c r="O666">
        <v>228</v>
      </c>
      <c r="P666">
        <v>3.5000000000000004</v>
      </c>
      <c r="Q666">
        <v>11.25</v>
      </c>
      <c r="R666">
        <v>129.15100000000001</v>
      </c>
      <c r="S666">
        <v>0.14711486705999999</v>
      </c>
      <c r="T666" s="4" t="s">
        <v>2742</v>
      </c>
    </row>
    <row r="667" spans="1:20" x14ac:dyDescent="0.2">
      <c r="A667" s="4" t="s">
        <v>2294</v>
      </c>
      <c r="B667" s="4" t="s">
        <v>2738</v>
      </c>
      <c r="C667" s="4" t="s">
        <v>2096</v>
      </c>
      <c r="D667" s="4" t="s">
        <v>2236</v>
      </c>
      <c r="E667" s="4" t="s">
        <v>2760</v>
      </c>
      <c r="F667" s="4" t="s">
        <v>2740</v>
      </c>
      <c r="G667" s="4" t="s">
        <v>2294</v>
      </c>
      <c r="H667" s="4" t="s">
        <v>2183</v>
      </c>
      <c r="I667" s="4" t="s">
        <v>2100</v>
      </c>
      <c r="J667" s="4" t="s">
        <v>2741</v>
      </c>
      <c r="K667">
        <v>20</v>
      </c>
      <c r="L667">
        <v>6.0960000000000001</v>
      </c>
      <c r="M667">
        <v>88.9</v>
      </c>
      <c r="N667">
        <v>285.75</v>
      </c>
      <c r="O667">
        <v>240</v>
      </c>
      <c r="P667">
        <v>3.5000000000000004</v>
      </c>
      <c r="Q667">
        <v>11.25</v>
      </c>
      <c r="R667">
        <v>129.15100000000001</v>
      </c>
      <c r="S667">
        <v>0.15485775480000002</v>
      </c>
      <c r="T667" s="4" t="s">
        <v>2742</v>
      </c>
    </row>
    <row r="668" spans="1:20" x14ac:dyDescent="0.2">
      <c r="A668" s="4" t="s">
        <v>2294</v>
      </c>
      <c r="B668" s="4" t="s">
        <v>2738</v>
      </c>
      <c r="C668" s="4" t="s">
        <v>2096</v>
      </c>
      <c r="D668" s="4" t="s">
        <v>2236</v>
      </c>
      <c r="E668" s="4" t="s">
        <v>2761</v>
      </c>
      <c r="F668" s="4" t="s">
        <v>2740</v>
      </c>
      <c r="G668" s="4" t="s">
        <v>2294</v>
      </c>
      <c r="H668" s="4" t="s">
        <v>2183</v>
      </c>
      <c r="I668" s="4" t="s">
        <v>2100</v>
      </c>
      <c r="J668" s="4" t="s">
        <v>2741</v>
      </c>
      <c r="K668">
        <v>20</v>
      </c>
      <c r="L668">
        <v>6.0960000000000001</v>
      </c>
      <c r="M668">
        <v>88.9</v>
      </c>
      <c r="N668">
        <v>285.75</v>
      </c>
      <c r="O668">
        <v>240</v>
      </c>
      <c r="P668">
        <v>3.5000000000000004</v>
      </c>
      <c r="Q668">
        <v>11.25</v>
      </c>
      <c r="R668">
        <v>129.15100000000001</v>
      </c>
      <c r="S668">
        <v>0.15485775480000002</v>
      </c>
      <c r="T668" s="4" t="s">
        <v>2742</v>
      </c>
    </row>
    <row r="669" spans="1:20" x14ac:dyDescent="0.2">
      <c r="A669" s="4" t="s">
        <v>2294</v>
      </c>
      <c r="B669" s="4" t="s">
        <v>2738</v>
      </c>
      <c r="C669" s="4" t="s">
        <v>2096</v>
      </c>
      <c r="D669" s="4" t="s">
        <v>2236</v>
      </c>
      <c r="E669" s="4" t="s">
        <v>2762</v>
      </c>
      <c r="F669" s="4" t="s">
        <v>2740</v>
      </c>
      <c r="G669" s="4" t="s">
        <v>2294</v>
      </c>
      <c r="H669" s="4" t="s">
        <v>2183</v>
      </c>
      <c r="I669" s="4" t="s">
        <v>2100</v>
      </c>
      <c r="J669" s="4" t="s">
        <v>2741</v>
      </c>
      <c r="K669">
        <v>21</v>
      </c>
      <c r="L669">
        <v>6.4008000000000003</v>
      </c>
      <c r="M669">
        <v>88.9</v>
      </c>
      <c r="N669">
        <v>285.75</v>
      </c>
      <c r="O669">
        <v>252.00000000000003</v>
      </c>
      <c r="P669">
        <v>3.5000000000000004</v>
      </c>
      <c r="Q669">
        <v>11.25</v>
      </c>
      <c r="R669">
        <v>129.15100000000001</v>
      </c>
      <c r="S669">
        <v>0.16260064254000003</v>
      </c>
      <c r="T669" s="4" t="s">
        <v>2742</v>
      </c>
    </row>
    <row r="670" spans="1:20" x14ac:dyDescent="0.2">
      <c r="A670" s="4" t="s">
        <v>2294</v>
      </c>
      <c r="B670" s="4" t="s">
        <v>2738</v>
      </c>
      <c r="C670" s="4" t="s">
        <v>2096</v>
      </c>
      <c r="D670" s="4" t="s">
        <v>2236</v>
      </c>
      <c r="E670" s="4" t="s">
        <v>2763</v>
      </c>
      <c r="F670" s="4" t="s">
        <v>2740</v>
      </c>
      <c r="G670" s="4" t="s">
        <v>2294</v>
      </c>
      <c r="H670" s="4" t="s">
        <v>2183</v>
      </c>
      <c r="I670" s="4" t="s">
        <v>2100</v>
      </c>
      <c r="J670" s="4" t="s">
        <v>2741</v>
      </c>
      <c r="K670">
        <v>21</v>
      </c>
      <c r="L670">
        <v>6.4008000000000003</v>
      </c>
      <c r="M670">
        <v>88.9</v>
      </c>
      <c r="N670">
        <v>285.75</v>
      </c>
      <c r="O670">
        <v>252.00000000000003</v>
      </c>
      <c r="P670">
        <v>3.5000000000000004</v>
      </c>
      <c r="Q670">
        <v>11.25</v>
      </c>
      <c r="R670">
        <v>129.15100000000001</v>
      </c>
      <c r="S670">
        <v>0.16260064254000003</v>
      </c>
      <c r="T670" s="4" t="s">
        <v>2742</v>
      </c>
    </row>
    <row r="671" spans="1:20" x14ac:dyDescent="0.2">
      <c r="A671" s="4" t="s">
        <v>2294</v>
      </c>
      <c r="B671" s="4" t="s">
        <v>2738</v>
      </c>
      <c r="C671" s="4" t="s">
        <v>2096</v>
      </c>
      <c r="D671" s="4" t="s">
        <v>2236</v>
      </c>
      <c r="E671" s="4" t="s">
        <v>2764</v>
      </c>
      <c r="F671" s="4" t="s">
        <v>2740</v>
      </c>
      <c r="G671" s="4" t="s">
        <v>2294</v>
      </c>
      <c r="H671" s="4" t="s">
        <v>2183</v>
      </c>
      <c r="I671" s="4" t="s">
        <v>2100</v>
      </c>
      <c r="J671" s="4" t="s">
        <v>2741</v>
      </c>
      <c r="K671">
        <v>22</v>
      </c>
      <c r="L671">
        <v>6.7055999999999996</v>
      </c>
      <c r="M671">
        <v>88.9</v>
      </c>
      <c r="N671">
        <v>285.75</v>
      </c>
      <c r="O671">
        <v>264</v>
      </c>
      <c r="P671">
        <v>3.5000000000000004</v>
      </c>
      <c r="Q671">
        <v>11.25</v>
      </c>
      <c r="R671">
        <v>129.15100000000001</v>
      </c>
      <c r="S671">
        <v>0.17034353027999999</v>
      </c>
      <c r="T671" s="4" t="s">
        <v>2742</v>
      </c>
    </row>
    <row r="672" spans="1:20" x14ac:dyDescent="0.2">
      <c r="A672" s="4" t="s">
        <v>2294</v>
      </c>
      <c r="B672" s="4" t="s">
        <v>2738</v>
      </c>
      <c r="C672" s="4" t="s">
        <v>2096</v>
      </c>
      <c r="D672" s="4" t="s">
        <v>2236</v>
      </c>
      <c r="E672" s="4" t="s">
        <v>2765</v>
      </c>
      <c r="F672" s="4" t="s">
        <v>2740</v>
      </c>
      <c r="G672" s="4" t="s">
        <v>2294</v>
      </c>
      <c r="H672" s="4" t="s">
        <v>2183</v>
      </c>
      <c r="I672" s="4" t="s">
        <v>2100</v>
      </c>
      <c r="J672" s="4" t="s">
        <v>2741</v>
      </c>
      <c r="K672">
        <v>22</v>
      </c>
      <c r="L672">
        <v>6.7055999999999996</v>
      </c>
      <c r="M672">
        <v>88.9</v>
      </c>
      <c r="N672">
        <v>285.75</v>
      </c>
      <c r="O672">
        <v>264</v>
      </c>
      <c r="P672">
        <v>3.5000000000000004</v>
      </c>
      <c r="Q672">
        <v>11.25</v>
      </c>
      <c r="R672">
        <v>129.15100000000001</v>
      </c>
      <c r="S672">
        <v>0.17034353027999999</v>
      </c>
      <c r="T672" s="4" t="s">
        <v>2742</v>
      </c>
    </row>
    <row r="673" spans="1:20" x14ac:dyDescent="0.2">
      <c r="A673" s="4" t="s">
        <v>2294</v>
      </c>
      <c r="B673" s="4" t="s">
        <v>2738</v>
      </c>
      <c r="C673" s="4" t="s">
        <v>2286</v>
      </c>
      <c r="D673" s="4" t="s">
        <v>2236</v>
      </c>
      <c r="E673" s="4" t="s">
        <v>2766</v>
      </c>
      <c r="F673" s="4" t="s">
        <v>2740</v>
      </c>
      <c r="G673" s="4" t="s">
        <v>2294</v>
      </c>
      <c r="H673" s="4" t="s">
        <v>2183</v>
      </c>
      <c r="I673" s="4" t="s">
        <v>2100</v>
      </c>
      <c r="J673" s="4" t="s">
        <v>2741</v>
      </c>
      <c r="K673">
        <v>3</v>
      </c>
      <c r="L673">
        <v>0.91439999999999999</v>
      </c>
      <c r="M673">
        <v>88.9</v>
      </c>
      <c r="N673">
        <v>285.75</v>
      </c>
      <c r="O673">
        <v>36</v>
      </c>
      <c r="P673">
        <v>3.5000000000000004</v>
      </c>
      <c r="Q673">
        <v>11.25</v>
      </c>
      <c r="R673">
        <v>129.15100000000001</v>
      </c>
      <c r="S673">
        <v>2.3228663220000001E-2</v>
      </c>
      <c r="T673" s="4" t="s">
        <v>2767</v>
      </c>
    </row>
    <row r="674" spans="1:20" x14ac:dyDescent="0.2">
      <c r="A674" s="4" t="s">
        <v>2294</v>
      </c>
      <c r="B674" s="4" t="s">
        <v>2738</v>
      </c>
      <c r="C674" s="4" t="s">
        <v>2286</v>
      </c>
      <c r="D674" s="4" t="s">
        <v>2236</v>
      </c>
      <c r="E674" s="4" t="s">
        <v>2768</v>
      </c>
      <c r="F674" s="4" t="s">
        <v>2740</v>
      </c>
      <c r="G674" s="4" t="s">
        <v>2294</v>
      </c>
      <c r="H674" s="4" t="s">
        <v>2183</v>
      </c>
      <c r="I674" s="4" t="s">
        <v>2100</v>
      </c>
      <c r="J674" s="4" t="s">
        <v>2741</v>
      </c>
      <c r="K674">
        <v>3</v>
      </c>
      <c r="L674">
        <v>0.91439999999999999</v>
      </c>
      <c r="M674">
        <v>88.9</v>
      </c>
      <c r="N674">
        <v>285.75</v>
      </c>
      <c r="O674">
        <v>36</v>
      </c>
      <c r="P674">
        <v>3.5000000000000004</v>
      </c>
      <c r="Q674">
        <v>11.25</v>
      </c>
      <c r="R674">
        <v>129.15100000000001</v>
      </c>
      <c r="S674">
        <v>2.3228663220000001E-2</v>
      </c>
      <c r="T674" s="4" t="s">
        <v>2767</v>
      </c>
    </row>
    <row r="675" spans="1:20" x14ac:dyDescent="0.2">
      <c r="A675" s="4" t="s">
        <v>2294</v>
      </c>
      <c r="B675" s="4" t="s">
        <v>2738</v>
      </c>
      <c r="C675" s="4" t="s">
        <v>2286</v>
      </c>
      <c r="D675" s="4" t="s">
        <v>2236</v>
      </c>
      <c r="E675" s="4" t="s">
        <v>2769</v>
      </c>
      <c r="F675" s="4" t="s">
        <v>2740</v>
      </c>
      <c r="G675" s="4" t="s">
        <v>2294</v>
      </c>
      <c r="H675" s="4" t="s">
        <v>2183</v>
      </c>
      <c r="I675" s="4" t="s">
        <v>2100</v>
      </c>
      <c r="J675" s="4" t="s">
        <v>2741</v>
      </c>
      <c r="K675">
        <v>4</v>
      </c>
      <c r="L675">
        <v>1.2192000000000001</v>
      </c>
      <c r="M675">
        <v>88.9</v>
      </c>
      <c r="N675">
        <v>285.75</v>
      </c>
      <c r="O675">
        <v>48.000000000000007</v>
      </c>
      <c r="P675">
        <v>3.5000000000000004</v>
      </c>
      <c r="Q675">
        <v>11.25</v>
      </c>
      <c r="R675">
        <v>129.15100000000001</v>
      </c>
      <c r="S675">
        <v>3.0971550960000007E-2</v>
      </c>
      <c r="T675" s="4" t="s">
        <v>2767</v>
      </c>
    </row>
    <row r="676" spans="1:20" x14ac:dyDescent="0.2">
      <c r="A676" s="4" t="s">
        <v>2294</v>
      </c>
      <c r="B676" s="4" t="s">
        <v>2738</v>
      </c>
      <c r="C676" s="4" t="s">
        <v>2286</v>
      </c>
      <c r="D676" s="4" t="s">
        <v>2236</v>
      </c>
      <c r="E676" s="4" t="s">
        <v>2770</v>
      </c>
      <c r="F676" s="4" t="s">
        <v>2740</v>
      </c>
      <c r="G676" s="4" t="s">
        <v>2294</v>
      </c>
      <c r="H676" s="4" t="s">
        <v>2183</v>
      </c>
      <c r="I676" s="4" t="s">
        <v>2100</v>
      </c>
      <c r="J676" s="4" t="s">
        <v>2741</v>
      </c>
      <c r="K676">
        <v>4</v>
      </c>
      <c r="L676">
        <v>1.2192000000000001</v>
      </c>
      <c r="M676">
        <v>88.9</v>
      </c>
      <c r="N676">
        <v>285.75</v>
      </c>
      <c r="O676">
        <v>48.000000000000007</v>
      </c>
      <c r="P676">
        <v>3.5000000000000004</v>
      </c>
      <c r="Q676">
        <v>11.25</v>
      </c>
      <c r="R676">
        <v>129.15100000000001</v>
      </c>
      <c r="S676">
        <v>3.0971550960000007E-2</v>
      </c>
      <c r="T676" s="4" t="s">
        <v>2767</v>
      </c>
    </row>
    <row r="677" spans="1:20" x14ac:dyDescent="0.2">
      <c r="A677" s="4" t="s">
        <v>2294</v>
      </c>
      <c r="B677" s="4" t="s">
        <v>2738</v>
      </c>
      <c r="C677" s="4" t="s">
        <v>2286</v>
      </c>
      <c r="D677" s="4" t="s">
        <v>2236</v>
      </c>
      <c r="E677" s="4" t="s">
        <v>2771</v>
      </c>
      <c r="F677" s="4" t="s">
        <v>2740</v>
      </c>
      <c r="G677" s="4" t="s">
        <v>2294</v>
      </c>
      <c r="H677" s="4" t="s">
        <v>2183</v>
      </c>
      <c r="I677" s="4" t="s">
        <v>2100</v>
      </c>
      <c r="J677" s="4" t="s">
        <v>2741</v>
      </c>
      <c r="K677">
        <v>5</v>
      </c>
      <c r="L677">
        <v>1.524</v>
      </c>
      <c r="M677">
        <v>88.9</v>
      </c>
      <c r="N677">
        <v>285.75</v>
      </c>
      <c r="O677">
        <v>60</v>
      </c>
      <c r="P677">
        <v>3.5000000000000004</v>
      </c>
      <c r="Q677">
        <v>11.25</v>
      </c>
      <c r="R677">
        <v>129.15100000000001</v>
      </c>
      <c r="S677">
        <v>3.8714438700000006E-2</v>
      </c>
      <c r="T677" s="4" t="s">
        <v>2767</v>
      </c>
    </row>
    <row r="678" spans="1:20" x14ac:dyDescent="0.2">
      <c r="A678" s="4" t="s">
        <v>2294</v>
      </c>
      <c r="B678" s="4" t="s">
        <v>2738</v>
      </c>
      <c r="C678" s="4" t="s">
        <v>2286</v>
      </c>
      <c r="D678" s="4" t="s">
        <v>2236</v>
      </c>
      <c r="E678" s="4" t="s">
        <v>2772</v>
      </c>
      <c r="F678" s="4" t="s">
        <v>2740</v>
      </c>
      <c r="G678" s="4" t="s">
        <v>2294</v>
      </c>
      <c r="H678" s="4" t="s">
        <v>2183</v>
      </c>
      <c r="I678" s="4" t="s">
        <v>2100</v>
      </c>
      <c r="J678" s="4" t="s">
        <v>2741</v>
      </c>
      <c r="K678">
        <v>5</v>
      </c>
      <c r="L678">
        <v>1.524</v>
      </c>
      <c r="M678">
        <v>88.9</v>
      </c>
      <c r="N678">
        <v>285.75</v>
      </c>
      <c r="O678">
        <v>60</v>
      </c>
      <c r="P678">
        <v>3.5000000000000004</v>
      </c>
      <c r="Q678">
        <v>11.25</v>
      </c>
      <c r="R678">
        <v>129.15100000000001</v>
      </c>
      <c r="S678">
        <v>3.8714438700000006E-2</v>
      </c>
      <c r="T678" s="4" t="s">
        <v>2767</v>
      </c>
    </row>
    <row r="679" spans="1:20" x14ac:dyDescent="0.2">
      <c r="A679" s="4" t="s">
        <v>2294</v>
      </c>
      <c r="B679" s="4" t="s">
        <v>2738</v>
      </c>
      <c r="C679" s="4" t="s">
        <v>2286</v>
      </c>
      <c r="D679" s="4" t="s">
        <v>2236</v>
      </c>
      <c r="E679" s="4" t="s">
        <v>2773</v>
      </c>
      <c r="F679" s="4" t="s">
        <v>2740</v>
      </c>
      <c r="G679" s="4" t="s">
        <v>2294</v>
      </c>
      <c r="H679" s="4" t="s">
        <v>2183</v>
      </c>
      <c r="I679" s="4" t="s">
        <v>2100</v>
      </c>
      <c r="J679" s="4" t="s">
        <v>2741</v>
      </c>
      <c r="K679">
        <v>6</v>
      </c>
      <c r="L679">
        <v>1.8288</v>
      </c>
      <c r="M679">
        <v>88.9</v>
      </c>
      <c r="N679">
        <v>285.75</v>
      </c>
      <c r="O679">
        <v>72</v>
      </c>
      <c r="P679">
        <v>3.5000000000000004</v>
      </c>
      <c r="Q679">
        <v>11.25</v>
      </c>
      <c r="R679">
        <v>129.15100000000001</v>
      </c>
      <c r="S679">
        <v>4.6457326440000002E-2</v>
      </c>
      <c r="T679" s="4" t="s">
        <v>2767</v>
      </c>
    </row>
    <row r="680" spans="1:20" x14ac:dyDescent="0.2">
      <c r="A680" s="4" t="s">
        <v>2294</v>
      </c>
      <c r="B680" s="4" t="s">
        <v>2738</v>
      </c>
      <c r="C680" s="4" t="s">
        <v>2286</v>
      </c>
      <c r="D680" s="4" t="s">
        <v>2236</v>
      </c>
      <c r="E680" s="4" t="s">
        <v>2774</v>
      </c>
      <c r="F680" s="4" t="s">
        <v>2740</v>
      </c>
      <c r="G680" s="4" t="s">
        <v>2294</v>
      </c>
      <c r="H680" s="4" t="s">
        <v>2183</v>
      </c>
      <c r="I680" s="4" t="s">
        <v>2100</v>
      </c>
      <c r="J680" s="4" t="s">
        <v>2741</v>
      </c>
      <c r="K680">
        <v>6</v>
      </c>
      <c r="L680">
        <v>1.8288</v>
      </c>
      <c r="M680">
        <v>88.9</v>
      </c>
      <c r="N680">
        <v>285.75</v>
      </c>
      <c r="O680">
        <v>72</v>
      </c>
      <c r="P680">
        <v>3.5000000000000004</v>
      </c>
      <c r="Q680">
        <v>11.25</v>
      </c>
      <c r="R680">
        <v>129.15100000000001</v>
      </c>
      <c r="S680">
        <v>4.6457326440000002E-2</v>
      </c>
      <c r="T680" s="4" t="s">
        <v>2767</v>
      </c>
    </row>
    <row r="681" spans="1:20" x14ac:dyDescent="0.2">
      <c r="A681" s="4" t="s">
        <v>2294</v>
      </c>
      <c r="B681" s="4" t="s">
        <v>2738</v>
      </c>
      <c r="C681" s="4" t="s">
        <v>2286</v>
      </c>
      <c r="D681" s="4" t="s">
        <v>2236</v>
      </c>
      <c r="E681" s="4" t="s">
        <v>2775</v>
      </c>
      <c r="F681" s="4" t="s">
        <v>2740</v>
      </c>
      <c r="G681" s="4" t="s">
        <v>2294</v>
      </c>
      <c r="H681" s="4" t="s">
        <v>2183</v>
      </c>
      <c r="I681" s="4" t="s">
        <v>2100</v>
      </c>
      <c r="J681" s="4" t="s">
        <v>2741</v>
      </c>
      <c r="K681">
        <v>7</v>
      </c>
      <c r="L681">
        <v>2.1335999999999999</v>
      </c>
      <c r="M681">
        <v>88.9</v>
      </c>
      <c r="N681">
        <v>285.75</v>
      </c>
      <c r="O681">
        <v>84</v>
      </c>
      <c r="P681">
        <v>3.5000000000000004</v>
      </c>
      <c r="Q681">
        <v>11.25</v>
      </c>
      <c r="R681">
        <v>129.15100000000001</v>
      </c>
      <c r="S681">
        <v>5.4200214180000005E-2</v>
      </c>
      <c r="T681" s="4" t="s">
        <v>2767</v>
      </c>
    </row>
    <row r="682" spans="1:20" x14ac:dyDescent="0.2">
      <c r="A682" s="4" t="s">
        <v>2294</v>
      </c>
      <c r="B682" s="4" t="s">
        <v>2738</v>
      </c>
      <c r="C682" s="4" t="s">
        <v>2286</v>
      </c>
      <c r="D682" s="4" t="s">
        <v>2236</v>
      </c>
      <c r="E682" s="4" t="s">
        <v>2776</v>
      </c>
      <c r="F682" s="4" t="s">
        <v>2740</v>
      </c>
      <c r="G682" s="4" t="s">
        <v>2294</v>
      </c>
      <c r="H682" s="4" t="s">
        <v>2183</v>
      </c>
      <c r="I682" s="4" t="s">
        <v>2100</v>
      </c>
      <c r="J682" s="4" t="s">
        <v>2741</v>
      </c>
      <c r="K682">
        <v>7</v>
      </c>
      <c r="L682">
        <v>2.1335999999999999</v>
      </c>
      <c r="M682">
        <v>88.9</v>
      </c>
      <c r="N682">
        <v>285.75</v>
      </c>
      <c r="O682">
        <v>84</v>
      </c>
      <c r="P682">
        <v>3.5000000000000004</v>
      </c>
      <c r="Q682">
        <v>11.25</v>
      </c>
      <c r="R682">
        <v>129.15100000000001</v>
      </c>
      <c r="S682">
        <v>5.4200214180000005E-2</v>
      </c>
      <c r="T682" s="4" t="s">
        <v>2767</v>
      </c>
    </row>
    <row r="683" spans="1:20" x14ac:dyDescent="0.2">
      <c r="A683" s="4" t="s">
        <v>2294</v>
      </c>
      <c r="B683" s="4" t="s">
        <v>2738</v>
      </c>
      <c r="C683" s="4" t="s">
        <v>2096</v>
      </c>
      <c r="D683" s="4" t="s">
        <v>2236</v>
      </c>
      <c r="E683" s="4" t="s">
        <v>2777</v>
      </c>
      <c r="F683" s="4" t="s">
        <v>2740</v>
      </c>
      <c r="G683" s="4" t="s">
        <v>2294</v>
      </c>
      <c r="H683" s="4" t="s">
        <v>2183</v>
      </c>
      <c r="I683" s="4" t="s">
        <v>2100</v>
      </c>
      <c r="J683" s="4" t="s">
        <v>2741</v>
      </c>
      <c r="K683">
        <v>8</v>
      </c>
      <c r="L683">
        <v>2.4384000000000001</v>
      </c>
      <c r="M683">
        <v>88.9</v>
      </c>
      <c r="N683">
        <v>285.75</v>
      </c>
      <c r="O683">
        <v>96.000000000000014</v>
      </c>
      <c r="P683">
        <v>3.5000000000000004</v>
      </c>
      <c r="Q683">
        <v>11.25</v>
      </c>
      <c r="R683">
        <v>129.15100000000001</v>
      </c>
      <c r="S683">
        <v>6.1943101920000014E-2</v>
      </c>
      <c r="T683" s="4" t="s">
        <v>2742</v>
      </c>
    </row>
    <row r="684" spans="1:20" x14ac:dyDescent="0.2">
      <c r="A684" s="4" t="s">
        <v>2294</v>
      </c>
      <c r="B684" s="4" t="s">
        <v>2738</v>
      </c>
      <c r="C684" s="4" t="s">
        <v>2096</v>
      </c>
      <c r="D684" s="4" t="s">
        <v>2236</v>
      </c>
      <c r="E684" s="4" t="s">
        <v>2778</v>
      </c>
      <c r="F684" s="4" t="s">
        <v>2740</v>
      </c>
      <c r="G684" s="4" t="s">
        <v>2294</v>
      </c>
      <c r="H684" s="4" t="s">
        <v>2183</v>
      </c>
      <c r="I684" s="4" t="s">
        <v>2100</v>
      </c>
      <c r="J684" s="4" t="s">
        <v>2741</v>
      </c>
      <c r="K684">
        <v>8</v>
      </c>
      <c r="L684">
        <v>2.4384000000000001</v>
      </c>
      <c r="M684">
        <v>88.9</v>
      </c>
      <c r="N684">
        <v>285.75</v>
      </c>
      <c r="O684">
        <v>96.000000000000014</v>
      </c>
      <c r="P684">
        <v>3.5000000000000004</v>
      </c>
      <c r="Q684">
        <v>11.25</v>
      </c>
      <c r="R684">
        <v>129.15100000000001</v>
      </c>
      <c r="S684">
        <v>6.1943101920000014E-2</v>
      </c>
      <c r="T684" s="4" t="s">
        <v>2742</v>
      </c>
    </row>
    <row r="685" spans="1:20" x14ac:dyDescent="0.2">
      <c r="A685" s="4" t="s">
        <v>2294</v>
      </c>
      <c r="B685" s="4" t="s">
        <v>2738</v>
      </c>
      <c r="C685" s="4" t="s">
        <v>2096</v>
      </c>
      <c r="D685" s="4" t="s">
        <v>2236</v>
      </c>
      <c r="E685" s="4" t="s">
        <v>2779</v>
      </c>
      <c r="F685" s="4" t="s">
        <v>2740</v>
      </c>
      <c r="G685" s="4" t="s">
        <v>2294</v>
      </c>
      <c r="H685" s="4" t="s">
        <v>2183</v>
      </c>
      <c r="I685" s="4" t="s">
        <v>2100</v>
      </c>
      <c r="J685" s="4" t="s">
        <v>2741</v>
      </c>
      <c r="K685">
        <v>9</v>
      </c>
      <c r="L685">
        <v>2.7431999999999999</v>
      </c>
      <c r="M685">
        <v>88.9</v>
      </c>
      <c r="N685">
        <v>285.75</v>
      </c>
      <c r="O685">
        <v>108</v>
      </c>
      <c r="P685">
        <v>3.5000000000000004</v>
      </c>
      <c r="Q685">
        <v>11.25</v>
      </c>
      <c r="R685">
        <v>129.15100000000001</v>
      </c>
      <c r="S685">
        <v>6.9685989660000003E-2</v>
      </c>
      <c r="T685" s="4" t="s">
        <v>2742</v>
      </c>
    </row>
    <row r="686" spans="1:20" x14ac:dyDescent="0.2">
      <c r="A686" s="4" t="s">
        <v>2294</v>
      </c>
      <c r="B686" s="4" t="s">
        <v>2738</v>
      </c>
      <c r="C686" s="4" t="s">
        <v>2096</v>
      </c>
      <c r="D686" s="4" t="s">
        <v>2236</v>
      </c>
      <c r="E686" s="4" t="s">
        <v>2780</v>
      </c>
      <c r="F686" s="4" t="s">
        <v>2740</v>
      </c>
      <c r="G686" s="4" t="s">
        <v>2294</v>
      </c>
      <c r="H686" s="4" t="s">
        <v>2183</v>
      </c>
      <c r="I686" s="4" t="s">
        <v>2100</v>
      </c>
      <c r="J686" s="4" t="s">
        <v>2741</v>
      </c>
      <c r="K686">
        <v>9</v>
      </c>
      <c r="L686">
        <v>2.7431999999999999</v>
      </c>
      <c r="M686">
        <v>88.9</v>
      </c>
      <c r="N686">
        <v>285.75</v>
      </c>
      <c r="O686">
        <v>108</v>
      </c>
      <c r="P686">
        <v>3.5000000000000004</v>
      </c>
      <c r="Q686">
        <v>11.25</v>
      </c>
      <c r="R686">
        <v>129.15100000000001</v>
      </c>
      <c r="S686">
        <v>6.9685989660000003E-2</v>
      </c>
      <c r="T686" s="4" t="s">
        <v>2742</v>
      </c>
    </row>
    <row r="687" spans="1:20" x14ac:dyDescent="0.2">
      <c r="A687" s="4" t="s">
        <v>2294</v>
      </c>
      <c r="B687" s="4" t="s">
        <v>2781</v>
      </c>
      <c r="C687" s="4" t="s">
        <v>2096</v>
      </c>
      <c r="D687" s="4" t="s">
        <v>2236</v>
      </c>
      <c r="E687" s="4" t="s">
        <v>236</v>
      </c>
      <c r="F687" s="4" t="s">
        <v>2782</v>
      </c>
      <c r="G687" s="4" t="s">
        <v>2294</v>
      </c>
      <c r="H687" s="4" t="s">
        <v>2183</v>
      </c>
      <c r="I687" s="4" t="s">
        <v>2100</v>
      </c>
      <c r="J687" s="4" t="s">
        <v>2783</v>
      </c>
      <c r="K687">
        <v>10</v>
      </c>
      <c r="L687">
        <v>3.048</v>
      </c>
      <c r="M687">
        <v>88.9</v>
      </c>
      <c r="N687">
        <v>88.9</v>
      </c>
      <c r="O687">
        <v>120</v>
      </c>
      <c r="P687">
        <v>3.5000000000000004</v>
      </c>
      <c r="Q687">
        <v>3.5000000000000004</v>
      </c>
      <c r="R687">
        <v>415.12799999999999</v>
      </c>
      <c r="S687">
        <v>2.4088984080000007E-2</v>
      </c>
      <c r="T687" s="4" t="s">
        <v>2784</v>
      </c>
    </row>
    <row r="688" spans="1:20" x14ac:dyDescent="0.2">
      <c r="A688" s="4" t="s">
        <v>2294</v>
      </c>
      <c r="B688" s="4" t="s">
        <v>2781</v>
      </c>
      <c r="C688" s="4" t="s">
        <v>2096</v>
      </c>
      <c r="D688" s="4" t="s">
        <v>2236</v>
      </c>
      <c r="E688" s="4" t="s">
        <v>2785</v>
      </c>
      <c r="F688" s="4" t="s">
        <v>2782</v>
      </c>
      <c r="G688" s="4" t="s">
        <v>2294</v>
      </c>
      <c r="H688" s="4" t="s">
        <v>2183</v>
      </c>
      <c r="I688" s="4" t="s">
        <v>2100</v>
      </c>
      <c r="J688" s="4" t="s">
        <v>2783</v>
      </c>
      <c r="K688">
        <v>11</v>
      </c>
      <c r="L688">
        <v>3.3527999999999998</v>
      </c>
      <c r="M688">
        <v>88.9</v>
      </c>
      <c r="N688">
        <v>88.9</v>
      </c>
      <c r="O688">
        <v>132</v>
      </c>
      <c r="P688">
        <v>3.5000000000000004</v>
      </c>
      <c r="Q688">
        <v>3.5000000000000004</v>
      </c>
      <c r="R688">
        <v>415.12799999999999</v>
      </c>
      <c r="S688">
        <v>2.6497882487999998E-2</v>
      </c>
      <c r="T688" s="4" t="s">
        <v>2784</v>
      </c>
    </row>
    <row r="689" spans="1:20" x14ac:dyDescent="0.2">
      <c r="A689" s="4" t="s">
        <v>2294</v>
      </c>
      <c r="B689" s="4" t="s">
        <v>2781</v>
      </c>
      <c r="C689" s="4" t="s">
        <v>2096</v>
      </c>
      <c r="D689" s="4" t="s">
        <v>2236</v>
      </c>
      <c r="E689" s="4" t="s">
        <v>2786</v>
      </c>
      <c r="F689" s="4" t="s">
        <v>2782</v>
      </c>
      <c r="G689" s="4" t="s">
        <v>2294</v>
      </c>
      <c r="H689" s="4" t="s">
        <v>2183</v>
      </c>
      <c r="I689" s="4" t="s">
        <v>2100</v>
      </c>
      <c r="J689" s="4" t="s">
        <v>2783</v>
      </c>
      <c r="K689">
        <v>12</v>
      </c>
      <c r="L689">
        <v>3.6576</v>
      </c>
      <c r="M689">
        <v>88.9</v>
      </c>
      <c r="N689">
        <v>88.9</v>
      </c>
      <c r="O689">
        <v>144</v>
      </c>
      <c r="P689">
        <v>3.5000000000000004</v>
      </c>
      <c r="Q689">
        <v>3.5000000000000004</v>
      </c>
      <c r="R689">
        <v>415.12799999999999</v>
      </c>
      <c r="S689">
        <v>2.8906780896E-2</v>
      </c>
      <c r="T689" s="4" t="s">
        <v>2784</v>
      </c>
    </row>
    <row r="690" spans="1:20" x14ac:dyDescent="0.2">
      <c r="A690" s="4" t="s">
        <v>2294</v>
      </c>
      <c r="B690" s="4" t="s">
        <v>2781</v>
      </c>
      <c r="C690" s="4" t="s">
        <v>2096</v>
      </c>
      <c r="D690" s="4" t="s">
        <v>2236</v>
      </c>
      <c r="E690" s="4" t="s">
        <v>2787</v>
      </c>
      <c r="F690" s="4" t="s">
        <v>2782</v>
      </c>
      <c r="G690" s="4" t="s">
        <v>2294</v>
      </c>
      <c r="H690" s="4" t="s">
        <v>2183</v>
      </c>
      <c r="I690" s="4" t="s">
        <v>2100</v>
      </c>
      <c r="J690" s="4" t="s">
        <v>2783</v>
      </c>
      <c r="K690">
        <v>13</v>
      </c>
      <c r="L690">
        <v>3.9624000000000001</v>
      </c>
      <c r="M690">
        <v>88.9</v>
      </c>
      <c r="N690">
        <v>88.9</v>
      </c>
      <c r="O690">
        <v>156</v>
      </c>
      <c r="P690">
        <v>3.5000000000000004</v>
      </c>
      <c r="Q690">
        <v>3.5000000000000004</v>
      </c>
      <c r="R690">
        <v>415.12799999999999</v>
      </c>
      <c r="S690">
        <v>3.1315679304000012E-2</v>
      </c>
      <c r="T690" s="4" t="s">
        <v>2784</v>
      </c>
    </row>
    <row r="691" spans="1:20" x14ac:dyDescent="0.2">
      <c r="A691" s="4" t="s">
        <v>2294</v>
      </c>
      <c r="B691" s="4" t="s">
        <v>2781</v>
      </c>
      <c r="C691" s="4" t="s">
        <v>2096</v>
      </c>
      <c r="D691" s="4" t="s">
        <v>2236</v>
      </c>
      <c r="E691" s="4" t="s">
        <v>238</v>
      </c>
      <c r="F691" s="4" t="s">
        <v>2782</v>
      </c>
      <c r="G691" s="4" t="s">
        <v>2294</v>
      </c>
      <c r="H691" s="4" t="s">
        <v>2183</v>
      </c>
      <c r="I691" s="4" t="s">
        <v>2100</v>
      </c>
      <c r="J691" s="4" t="s">
        <v>2783</v>
      </c>
      <c r="K691">
        <v>14</v>
      </c>
      <c r="L691">
        <v>4.2671999999999999</v>
      </c>
      <c r="M691">
        <v>88.9</v>
      </c>
      <c r="N691">
        <v>88.9</v>
      </c>
      <c r="O691">
        <v>168</v>
      </c>
      <c r="P691">
        <v>3.5000000000000004</v>
      </c>
      <c r="Q691">
        <v>3.5000000000000004</v>
      </c>
      <c r="R691">
        <v>415.12799999999999</v>
      </c>
      <c r="S691">
        <v>3.3724577712000006E-2</v>
      </c>
      <c r="T691" s="4" t="s">
        <v>2784</v>
      </c>
    </row>
    <row r="692" spans="1:20" x14ac:dyDescent="0.2">
      <c r="A692" s="4" t="s">
        <v>2294</v>
      </c>
      <c r="B692" s="4" t="s">
        <v>2781</v>
      </c>
      <c r="C692" s="4" t="s">
        <v>2096</v>
      </c>
      <c r="D692" s="4" t="s">
        <v>2236</v>
      </c>
      <c r="E692" s="4" t="s">
        <v>2788</v>
      </c>
      <c r="F692" s="4" t="s">
        <v>2782</v>
      </c>
      <c r="G692" s="4" t="s">
        <v>2294</v>
      </c>
      <c r="H692" s="4" t="s">
        <v>2183</v>
      </c>
      <c r="I692" s="4" t="s">
        <v>2100</v>
      </c>
      <c r="J692" s="4" t="s">
        <v>2783</v>
      </c>
      <c r="K692">
        <v>15</v>
      </c>
      <c r="L692">
        <v>4.5720000000000001</v>
      </c>
      <c r="M692">
        <v>88.9</v>
      </c>
      <c r="N692">
        <v>88.9</v>
      </c>
      <c r="O692">
        <v>180</v>
      </c>
      <c r="P692">
        <v>3.5000000000000004</v>
      </c>
      <c r="Q692">
        <v>3.5000000000000004</v>
      </c>
      <c r="R692">
        <v>415.12799999999999</v>
      </c>
      <c r="S692">
        <v>3.6133476120000008E-2</v>
      </c>
      <c r="T692" s="4" t="s">
        <v>2784</v>
      </c>
    </row>
    <row r="693" spans="1:20" x14ac:dyDescent="0.2">
      <c r="A693" s="4" t="s">
        <v>2294</v>
      </c>
      <c r="B693" s="4" t="s">
        <v>2781</v>
      </c>
      <c r="C693" s="4" t="s">
        <v>2096</v>
      </c>
      <c r="D693" s="4" t="s">
        <v>2236</v>
      </c>
      <c r="E693" s="4" t="s">
        <v>2789</v>
      </c>
      <c r="F693" s="4" t="s">
        <v>2782</v>
      </c>
      <c r="G693" s="4" t="s">
        <v>2294</v>
      </c>
      <c r="H693" s="4" t="s">
        <v>2183</v>
      </c>
      <c r="I693" s="4" t="s">
        <v>2100</v>
      </c>
      <c r="J693" s="4" t="s">
        <v>2783</v>
      </c>
      <c r="K693">
        <v>16</v>
      </c>
      <c r="L693">
        <v>4.8768000000000002</v>
      </c>
      <c r="M693">
        <v>88.9</v>
      </c>
      <c r="N693">
        <v>88.9</v>
      </c>
      <c r="O693">
        <v>192.00000000000003</v>
      </c>
      <c r="P693">
        <v>3.5000000000000004</v>
      </c>
      <c r="Q693">
        <v>3.5000000000000004</v>
      </c>
      <c r="R693">
        <v>415.12799999999999</v>
      </c>
      <c r="S693">
        <v>3.8542374528000009E-2</v>
      </c>
      <c r="T693" s="4" t="s">
        <v>2784</v>
      </c>
    </row>
    <row r="694" spans="1:20" x14ac:dyDescent="0.2">
      <c r="A694" s="4" t="s">
        <v>2294</v>
      </c>
      <c r="B694" s="4" t="s">
        <v>2781</v>
      </c>
      <c r="C694" s="4" t="s">
        <v>2096</v>
      </c>
      <c r="D694" s="4" t="s">
        <v>2236</v>
      </c>
      <c r="E694" s="4" t="s">
        <v>2790</v>
      </c>
      <c r="F694" s="4" t="s">
        <v>2782</v>
      </c>
      <c r="G694" s="4" t="s">
        <v>2294</v>
      </c>
      <c r="H694" s="4" t="s">
        <v>2183</v>
      </c>
      <c r="I694" s="4" t="s">
        <v>2100</v>
      </c>
      <c r="J694" s="4" t="s">
        <v>2783</v>
      </c>
      <c r="K694">
        <v>17</v>
      </c>
      <c r="L694">
        <v>5.1816000000000004</v>
      </c>
      <c r="M694">
        <v>88.9</v>
      </c>
      <c r="N694">
        <v>88.9</v>
      </c>
      <c r="O694">
        <v>204.00000000000003</v>
      </c>
      <c r="P694">
        <v>3.5000000000000004</v>
      </c>
      <c r="Q694">
        <v>3.5000000000000004</v>
      </c>
      <c r="R694">
        <v>415.12799999999999</v>
      </c>
      <c r="S694">
        <v>4.0951272936000011E-2</v>
      </c>
      <c r="T694" s="4" t="s">
        <v>2784</v>
      </c>
    </row>
    <row r="695" spans="1:20" x14ac:dyDescent="0.2">
      <c r="A695" s="4" t="s">
        <v>2294</v>
      </c>
      <c r="B695" s="4" t="s">
        <v>2781</v>
      </c>
      <c r="C695" s="4" t="s">
        <v>2096</v>
      </c>
      <c r="D695" s="4" t="s">
        <v>2236</v>
      </c>
      <c r="E695" s="4" t="s">
        <v>2791</v>
      </c>
      <c r="F695" s="4" t="s">
        <v>2782</v>
      </c>
      <c r="G695" s="4" t="s">
        <v>2294</v>
      </c>
      <c r="H695" s="4" t="s">
        <v>2183</v>
      </c>
      <c r="I695" s="4" t="s">
        <v>2100</v>
      </c>
      <c r="J695" s="4" t="s">
        <v>2783</v>
      </c>
      <c r="K695">
        <v>18</v>
      </c>
      <c r="L695">
        <v>5.4863999999999997</v>
      </c>
      <c r="M695">
        <v>88.9</v>
      </c>
      <c r="N695">
        <v>88.9</v>
      </c>
      <c r="O695">
        <v>216</v>
      </c>
      <c r="P695">
        <v>3.5000000000000004</v>
      </c>
      <c r="Q695">
        <v>3.5000000000000004</v>
      </c>
      <c r="R695">
        <v>415.12799999999999</v>
      </c>
      <c r="S695">
        <v>4.3360171344000005E-2</v>
      </c>
      <c r="T695" s="4" t="s">
        <v>2784</v>
      </c>
    </row>
    <row r="696" spans="1:20" x14ac:dyDescent="0.2">
      <c r="A696" s="4" t="s">
        <v>2294</v>
      </c>
      <c r="B696" s="4" t="s">
        <v>2781</v>
      </c>
      <c r="C696" s="4" t="s">
        <v>2096</v>
      </c>
      <c r="D696" s="4" t="s">
        <v>2236</v>
      </c>
      <c r="E696" s="4" t="s">
        <v>2792</v>
      </c>
      <c r="F696" s="4" t="s">
        <v>2782</v>
      </c>
      <c r="G696" s="4" t="s">
        <v>2294</v>
      </c>
      <c r="H696" s="4" t="s">
        <v>2183</v>
      </c>
      <c r="I696" s="4" t="s">
        <v>2100</v>
      </c>
      <c r="J696" s="4" t="s">
        <v>2783</v>
      </c>
      <c r="K696">
        <v>19</v>
      </c>
      <c r="L696">
        <v>5.7911999999999999</v>
      </c>
      <c r="M696">
        <v>88.9</v>
      </c>
      <c r="N696">
        <v>88.9</v>
      </c>
      <c r="O696">
        <v>228</v>
      </c>
      <c r="P696">
        <v>3.5000000000000004</v>
      </c>
      <c r="Q696">
        <v>3.5000000000000004</v>
      </c>
      <c r="R696">
        <v>415.12799999999999</v>
      </c>
      <c r="S696">
        <v>4.5769069751999999E-2</v>
      </c>
      <c r="T696" s="4" t="s">
        <v>2784</v>
      </c>
    </row>
    <row r="697" spans="1:20" x14ac:dyDescent="0.2">
      <c r="A697" s="4" t="s">
        <v>2294</v>
      </c>
      <c r="B697" s="4" t="s">
        <v>2781</v>
      </c>
      <c r="C697" s="4" t="s">
        <v>2096</v>
      </c>
      <c r="D697" s="4" t="s">
        <v>2236</v>
      </c>
      <c r="E697" s="4" t="s">
        <v>1915</v>
      </c>
      <c r="F697" s="4" t="s">
        <v>2782</v>
      </c>
      <c r="G697" s="4" t="s">
        <v>2294</v>
      </c>
      <c r="H697" s="4" t="s">
        <v>2183</v>
      </c>
      <c r="I697" s="4" t="s">
        <v>2100</v>
      </c>
      <c r="J697" s="4" t="s">
        <v>2783</v>
      </c>
      <c r="K697">
        <v>20</v>
      </c>
      <c r="L697">
        <v>6.0960000000000001</v>
      </c>
      <c r="M697">
        <v>88.9</v>
      </c>
      <c r="N697">
        <v>88.9</v>
      </c>
      <c r="O697">
        <v>240</v>
      </c>
      <c r="P697">
        <v>3.5000000000000004</v>
      </c>
      <c r="Q697">
        <v>3.5000000000000004</v>
      </c>
      <c r="R697">
        <v>415.12799999999999</v>
      </c>
      <c r="S697">
        <v>4.8177968160000015E-2</v>
      </c>
      <c r="T697" s="4" t="s">
        <v>2784</v>
      </c>
    </row>
    <row r="698" spans="1:20" x14ac:dyDescent="0.2">
      <c r="A698" s="4" t="s">
        <v>2294</v>
      </c>
      <c r="B698" s="4" t="s">
        <v>2781</v>
      </c>
      <c r="C698" s="4" t="s">
        <v>2096</v>
      </c>
      <c r="D698" s="4" t="s">
        <v>2236</v>
      </c>
      <c r="E698" s="4" t="s">
        <v>2793</v>
      </c>
      <c r="F698" s="4" t="s">
        <v>2782</v>
      </c>
      <c r="G698" s="4" t="s">
        <v>2294</v>
      </c>
      <c r="H698" s="4" t="s">
        <v>2183</v>
      </c>
      <c r="I698" s="4" t="s">
        <v>2100</v>
      </c>
      <c r="J698" s="4" t="s">
        <v>2783</v>
      </c>
      <c r="K698">
        <v>21</v>
      </c>
      <c r="L698">
        <v>6.4008000000000003</v>
      </c>
      <c r="M698">
        <v>88.9</v>
      </c>
      <c r="N698">
        <v>88.9</v>
      </c>
      <c r="O698">
        <v>252.00000000000003</v>
      </c>
      <c r="P698">
        <v>3.5000000000000004</v>
      </c>
      <c r="Q698">
        <v>3.5000000000000004</v>
      </c>
      <c r="R698">
        <v>415.12799999999999</v>
      </c>
      <c r="S698">
        <v>5.0586866568000009E-2</v>
      </c>
      <c r="T698" s="4" t="s">
        <v>2784</v>
      </c>
    </row>
    <row r="699" spans="1:20" x14ac:dyDescent="0.2">
      <c r="A699" s="4" t="s">
        <v>2294</v>
      </c>
      <c r="B699" s="4" t="s">
        <v>2781</v>
      </c>
      <c r="C699" s="4" t="s">
        <v>2096</v>
      </c>
      <c r="D699" s="4" t="s">
        <v>2236</v>
      </c>
      <c r="E699" s="4" t="s">
        <v>2794</v>
      </c>
      <c r="F699" s="4" t="s">
        <v>2782</v>
      </c>
      <c r="G699" s="4" t="s">
        <v>2294</v>
      </c>
      <c r="H699" s="4" t="s">
        <v>2183</v>
      </c>
      <c r="I699" s="4" t="s">
        <v>2100</v>
      </c>
      <c r="J699" s="4" t="s">
        <v>2783</v>
      </c>
      <c r="K699">
        <v>22</v>
      </c>
      <c r="L699">
        <v>6.7055999999999996</v>
      </c>
      <c r="M699">
        <v>88.9</v>
      </c>
      <c r="N699">
        <v>88.9</v>
      </c>
      <c r="O699">
        <v>264</v>
      </c>
      <c r="P699">
        <v>3.5000000000000004</v>
      </c>
      <c r="Q699">
        <v>3.5000000000000004</v>
      </c>
      <c r="R699">
        <v>415.12799999999999</v>
      </c>
      <c r="S699">
        <v>5.2995764975999997E-2</v>
      </c>
      <c r="T699" s="4" t="s">
        <v>2784</v>
      </c>
    </row>
    <row r="700" spans="1:20" x14ac:dyDescent="0.2">
      <c r="A700" s="4" t="s">
        <v>2294</v>
      </c>
      <c r="B700" s="4" t="s">
        <v>2781</v>
      </c>
      <c r="C700" s="4" t="s">
        <v>2286</v>
      </c>
      <c r="D700" s="4" t="s">
        <v>2236</v>
      </c>
      <c r="E700" s="4" t="s">
        <v>2795</v>
      </c>
      <c r="F700" s="4" t="s">
        <v>2782</v>
      </c>
      <c r="G700" s="4" t="s">
        <v>2294</v>
      </c>
      <c r="H700" s="4" t="s">
        <v>2183</v>
      </c>
      <c r="I700" s="4" t="s">
        <v>2100</v>
      </c>
      <c r="J700" s="4" t="s">
        <v>2783</v>
      </c>
      <c r="K700">
        <v>3</v>
      </c>
      <c r="L700">
        <v>0.91439999999999999</v>
      </c>
      <c r="M700">
        <v>88.9</v>
      </c>
      <c r="N700">
        <v>88.9</v>
      </c>
      <c r="O700">
        <v>36</v>
      </c>
      <c r="P700">
        <v>3.5000000000000004</v>
      </c>
      <c r="Q700">
        <v>3.5000000000000004</v>
      </c>
      <c r="R700">
        <v>415.12799999999999</v>
      </c>
      <c r="S700">
        <v>7.226695224E-3</v>
      </c>
      <c r="T700" s="4" t="s">
        <v>2796</v>
      </c>
    </row>
    <row r="701" spans="1:20" x14ac:dyDescent="0.2">
      <c r="A701" s="4" t="s">
        <v>2294</v>
      </c>
      <c r="B701" s="4" t="s">
        <v>2781</v>
      </c>
      <c r="C701" s="4" t="s">
        <v>2286</v>
      </c>
      <c r="D701" s="4" t="s">
        <v>2236</v>
      </c>
      <c r="E701" s="4" t="s">
        <v>2797</v>
      </c>
      <c r="F701" s="4" t="s">
        <v>2782</v>
      </c>
      <c r="G701" s="4" t="s">
        <v>2294</v>
      </c>
      <c r="H701" s="4" t="s">
        <v>2183</v>
      </c>
      <c r="I701" s="4" t="s">
        <v>2100</v>
      </c>
      <c r="J701" s="4" t="s">
        <v>2783</v>
      </c>
      <c r="K701">
        <v>4</v>
      </c>
      <c r="L701">
        <v>1.2192000000000001</v>
      </c>
      <c r="M701">
        <v>88.9</v>
      </c>
      <c r="N701">
        <v>88.9</v>
      </c>
      <c r="O701">
        <v>48.000000000000007</v>
      </c>
      <c r="P701">
        <v>3.5000000000000004</v>
      </c>
      <c r="Q701">
        <v>3.5000000000000004</v>
      </c>
      <c r="R701">
        <v>415.12799999999999</v>
      </c>
      <c r="S701">
        <v>9.6355936320000023E-3</v>
      </c>
      <c r="T701" s="4" t="s">
        <v>2796</v>
      </c>
    </row>
    <row r="702" spans="1:20" x14ac:dyDescent="0.2">
      <c r="A702" s="4" t="s">
        <v>2294</v>
      </c>
      <c r="B702" s="4" t="s">
        <v>2781</v>
      </c>
      <c r="C702" s="4" t="s">
        <v>2286</v>
      </c>
      <c r="D702" s="4" t="s">
        <v>2236</v>
      </c>
      <c r="E702" s="4" t="s">
        <v>2798</v>
      </c>
      <c r="F702" s="4" t="s">
        <v>2782</v>
      </c>
      <c r="G702" s="4" t="s">
        <v>2294</v>
      </c>
      <c r="H702" s="4" t="s">
        <v>2183</v>
      </c>
      <c r="I702" s="4" t="s">
        <v>2100</v>
      </c>
      <c r="J702" s="4" t="s">
        <v>2783</v>
      </c>
      <c r="K702">
        <v>5</v>
      </c>
      <c r="L702">
        <v>1.524</v>
      </c>
      <c r="M702">
        <v>88.9</v>
      </c>
      <c r="N702">
        <v>88.9</v>
      </c>
      <c r="O702">
        <v>60</v>
      </c>
      <c r="P702">
        <v>3.5000000000000004</v>
      </c>
      <c r="Q702">
        <v>3.5000000000000004</v>
      </c>
      <c r="R702">
        <v>415.12799999999999</v>
      </c>
      <c r="S702">
        <v>1.2044492040000004E-2</v>
      </c>
      <c r="T702" s="4" t="s">
        <v>2796</v>
      </c>
    </row>
    <row r="703" spans="1:20" x14ac:dyDescent="0.2">
      <c r="A703" s="4" t="s">
        <v>2294</v>
      </c>
      <c r="B703" s="4" t="s">
        <v>2781</v>
      </c>
      <c r="C703" s="4" t="s">
        <v>2286</v>
      </c>
      <c r="D703" s="4" t="s">
        <v>2236</v>
      </c>
      <c r="E703" s="4" t="s">
        <v>2799</v>
      </c>
      <c r="F703" s="4" t="s">
        <v>2782</v>
      </c>
      <c r="G703" s="4" t="s">
        <v>2294</v>
      </c>
      <c r="H703" s="4" t="s">
        <v>2183</v>
      </c>
      <c r="I703" s="4" t="s">
        <v>2100</v>
      </c>
      <c r="J703" s="4" t="s">
        <v>2783</v>
      </c>
      <c r="K703">
        <v>6</v>
      </c>
      <c r="L703">
        <v>1.8288</v>
      </c>
      <c r="M703">
        <v>88.9</v>
      </c>
      <c r="N703">
        <v>88.9</v>
      </c>
      <c r="O703">
        <v>72</v>
      </c>
      <c r="P703">
        <v>3.5000000000000004</v>
      </c>
      <c r="Q703">
        <v>3.5000000000000004</v>
      </c>
      <c r="R703">
        <v>415.12799999999999</v>
      </c>
      <c r="S703">
        <v>1.4453390448E-2</v>
      </c>
      <c r="T703" s="4" t="s">
        <v>2796</v>
      </c>
    </row>
    <row r="704" spans="1:20" x14ac:dyDescent="0.2">
      <c r="A704" s="4" t="s">
        <v>2294</v>
      </c>
      <c r="B704" s="4" t="s">
        <v>2781</v>
      </c>
      <c r="C704" s="4" t="s">
        <v>2286</v>
      </c>
      <c r="D704" s="4" t="s">
        <v>2236</v>
      </c>
      <c r="E704" s="4" t="s">
        <v>2800</v>
      </c>
      <c r="F704" s="4" t="s">
        <v>2782</v>
      </c>
      <c r="G704" s="4" t="s">
        <v>2294</v>
      </c>
      <c r="H704" s="4" t="s">
        <v>2183</v>
      </c>
      <c r="I704" s="4" t="s">
        <v>2100</v>
      </c>
      <c r="J704" s="4" t="s">
        <v>2783</v>
      </c>
      <c r="K704">
        <v>7</v>
      </c>
      <c r="L704">
        <v>2.1335999999999999</v>
      </c>
      <c r="M704">
        <v>88.9</v>
      </c>
      <c r="N704">
        <v>88.9</v>
      </c>
      <c r="O704">
        <v>84</v>
      </c>
      <c r="P704">
        <v>3.5000000000000004</v>
      </c>
      <c r="Q704">
        <v>3.5000000000000004</v>
      </c>
      <c r="R704">
        <v>415.12799999999999</v>
      </c>
      <c r="S704">
        <v>1.6862288856000003E-2</v>
      </c>
      <c r="T704" s="4" t="s">
        <v>2796</v>
      </c>
    </row>
    <row r="705" spans="1:20" x14ac:dyDescent="0.2">
      <c r="A705" s="4" t="s">
        <v>2294</v>
      </c>
      <c r="B705" s="4" t="s">
        <v>2781</v>
      </c>
      <c r="C705" s="4" t="s">
        <v>2096</v>
      </c>
      <c r="D705" s="4" t="s">
        <v>2236</v>
      </c>
      <c r="E705" s="4" t="s">
        <v>240</v>
      </c>
      <c r="F705" s="4" t="s">
        <v>2782</v>
      </c>
      <c r="G705" s="4" t="s">
        <v>2294</v>
      </c>
      <c r="H705" s="4" t="s">
        <v>2183</v>
      </c>
      <c r="I705" s="4" t="s">
        <v>2100</v>
      </c>
      <c r="J705" s="4" t="s">
        <v>2783</v>
      </c>
      <c r="K705">
        <v>8</v>
      </c>
      <c r="L705">
        <v>2.4384000000000001</v>
      </c>
      <c r="M705">
        <v>88.9</v>
      </c>
      <c r="N705">
        <v>88.9</v>
      </c>
      <c r="O705">
        <v>96.000000000000014</v>
      </c>
      <c r="P705">
        <v>3.5000000000000004</v>
      </c>
      <c r="Q705">
        <v>3.5000000000000004</v>
      </c>
      <c r="R705">
        <v>415.12799999999999</v>
      </c>
      <c r="S705">
        <v>1.9271187264000005E-2</v>
      </c>
      <c r="T705" s="4" t="s">
        <v>2784</v>
      </c>
    </row>
    <row r="706" spans="1:20" x14ac:dyDescent="0.2">
      <c r="A706" s="4" t="s">
        <v>2294</v>
      </c>
      <c r="B706" s="4" t="s">
        <v>2781</v>
      </c>
      <c r="C706" s="4" t="s">
        <v>2096</v>
      </c>
      <c r="D706" s="4" t="s">
        <v>2236</v>
      </c>
      <c r="E706" s="4" t="s">
        <v>2801</v>
      </c>
      <c r="F706" s="4" t="s">
        <v>2782</v>
      </c>
      <c r="G706" s="4" t="s">
        <v>2294</v>
      </c>
      <c r="H706" s="4" t="s">
        <v>2183</v>
      </c>
      <c r="I706" s="4" t="s">
        <v>2100</v>
      </c>
      <c r="J706" s="4" t="s">
        <v>2783</v>
      </c>
      <c r="K706">
        <v>9</v>
      </c>
      <c r="L706">
        <v>2.7431999999999999</v>
      </c>
      <c r="M706">
        <v>88.9</v>
      </c>
      <c r="N706">
        <v>88.9</v>
      </c>
      <c r="O706">
        <v>108</v>
      </c>
      <c r="P706">
        <v>3.5000000000000004</v>
      </c>
      <c r="Q706">
        <v>3.5000000000000004</v>
      </c>
      <c r="R706">
        <v>415.12799999999999</v>
      </c>
      <c r="S706">
        <v>2.1680085672000003E-2</v>
      </c>
      <c r="T706" s="4" t="s">
        <v>2784</v>
      </c>
    </row>
    <row r="707" spans="1:20" x14ac:dyDescent="0.2">
      <c r="A707" s="4" t="s">
        <v>2294</v>
      </c>
      <c r="B707" s="4" t="s">
        <v>2802</v>
      </c>
      <c r="C707" s="4" t="s">
        <v>2096</v>
      </c>
      <c r="D707" s="4" t="s">
        <v>2236</v>
      </c>
      <c r="E707" s="4" t="s">
        <v>2803</v>
      </c>
      <c r="F707" s="4" t="s">
        <v>2804</v>
      </c>
      <c r="G707" s="4" t="s">
        <v>2294</v>
      </c>
      <c r="H707" s="4" t="s">
        <v>2183</v>
      </c>
      <c r="I707" s="4" t="s">
        <v>2100</v>
      </c>
      <c r="J707" s="4" t="s">
        <v>2805</v>
      </c>
      <c r="K707">
        <v>10</v>
      </c>
      <c r="L707">
        <v>3.048</v>
      </c>
      <c r="M707">
        <v>88.9</v>
      </c>
      <c r="N707">
        <v>184.15</v>
      </c>
      <c r="O707">
        <v>120</v>
      </c>
      <c r="P707">
        <v>3.5000000000000004</v>
      </c>
      <c r="Q707">
        <v>7.2500000000000009</v>
      </c>
      <c r="R707">
        <v>200.40600000000001</v>
      </c>
      <c r="S707">
        <v>4.9898609880000014E-2</v>
      </c>
      <c r="T707" s="4" t="s">
        <v>2806</v>
      </c>
    </row>
    <row r="708" spans="1:20" x14ac:dyDescent="0.2">
      <c r="A708" s="4" t="s">
        <v>2294</v>
      </c>
      <c r="B708" s="4" t="s">
        <v>2802</v>
      </c>
      <c r="C708" s="4" t="s">
        <v>2096</v>
      </c>
      <c r="D708" s="4" t="s">
        <v>2236</v>
      </c>
      <c r="E708" s="4" t="s">
        <v>2807</v>
      </c>
      <c r="F708" s="4" t="s">
        <v>2804</v>
      </c>
      <c r="G708" s="4" t="s">
        <v>2294</v>
      </c>
      <c r="H708" s="4" t="s">
        <v>2183</v>
      </c>
      <c r="I708" s="4" t="s">
        <v>2100</v>
      </c>
      <c r="J708" s="4" t="s">
        <v>2805</v>
      </c>
      <c r="K708">
        <v>11</v>
      </c>
      <c r="L708">
        <v>3.3527999999999998</v>
      </c>
      <c r="M708">
        <v>88.9</v>
      </c>
      <c r="N708">
        <v>184.15</v>
      </c>
      <c r="O708">
        <v>132</v>
      </c>
      <c r="P708">
        <v>3.5000000000000004</v>
      </c>
      <c r="Q708">
        <v>7.2500000000000009</v>
      </c>
      <c r="R708">
        <v>200.40600000000001</v>
      </c>
      <c r="S708">
        <v>5.4888470868E-2</v>
      </c>
      <c r="T708" s="4" t="s">
        <v>2806</v>
      </c>
    </row>
    <row r="709" spans="1:20" x14ac:dyDescent="0.2">
      <c r="A709" s="4" t="s">
        <v>2294</v>
      </c>
      <c r="B709" s="4" t="s">
        <v>2802</v>
      </c>
      <c r="C709" s="4" t="s">
        <v>2096</v>
      </c>
      <c r="D709" s="4" t="s">
        <v>2236</v>
      </c>
      <c r="E709" s="4" t="s">
        <v>242</v>
      </c>
      <c r="F709" s="4" t="s">
        <v>2804</v>
      </c>
      <c r="G709" s="4" t="s">
        <v>2294</v>
      </c>
      <c r="H709" s="4" t="s">
        <v>2183</v>
      </c>
      <c r="I709" s="4" t="s">
        <v>2100</v>
      </c>
      <c r="J709" s="4" t="s">
        <v>2805</v>
      </c>
      <c r="K709">
        <v>12</v>
      </c>
      <c r="L709">
        <v>3.6576</v>
      </c>
      <c r="M709">
        <v>88.9</v>
      </c>
      <c r="N709">
        <v>184.15</v>
      </c>
      <c r="O709">
        <v>144</v>
      </c>
      <c r="P709">
        <v>3.5000000000000004</v>
      </c>
      <c r="Q709">
        <v>7.2500000000000009</v>
      </c>
      <c r="R709">
        <v>200.40600000000001</v>
      </c>
      <c r="S709">
        <v>5.9878331856E-2</v>
      </c>
      <c r="T709" s="4" t="s">
        <v>2806</v>
      </c>
    </row>
    <row r="710" spans="1:20" x14ac:dyDescent="0.2">
      <c r="A710" s="4" t="s">
        <v>2294</v>
      </c>
      <c r="B710" s="4" t="s">
        <v>2802</v>
      </c>
      <c r="C710" s="4" t="s">
        <v>2096</v>
      </c>
      <c r="D710" s="4" t="s">
        <v>2236</v>
      </c>
      <c r="E710" s="4" t="s">
        <v>2808</v>
      </c>
      <c r="F710" s="4" t="s">
        <v>2804</v>
      </c>
      <c r="G710" s="4" t="s">
        <v>2294</v>
      </c>
      <c r="H710" s="4" t="s">
        <v>2183</v>
      </c>
      <c r="I710" s="4" t="s">
        <v>2100</v>
      </c>
      <c r="J710" s="4" t="s">
        <v>2805</v>
      </c>
      <c r="K710">
        <v>13</v>
      </c>
      <c r="L710">
        <v>3.9624000000000001</v>
      </c>
      <c r="M710">
        <v>88.9</v>
      </c>
      <c r="N710">
        <v>184.15</v>
      </c>
      <c r="O710">
        <v>156</v>
      </c>
      <c r="P710">
        <v>3.5000000000000004</v>
      </c>
      <c r="Q710">
        <v>7.2500000000000009</v>
      </c>
      <c r="R710">
        <v>200.40600000000001</v>
      </c>
      <c r="S710">
        <v>6.4868192844000014E-2</v>
      </c>
      <c r="T710" s="4" t="s">
        <v>2806</v>
      </c>
    </row>
    <row r="711" spans="1:20" x14ac:dyDescent="0.2">
      <c r="A711" s="4" t="s">
        <v>2294</v>
      </c>
      <c r="B711" s="4" t="s">
        <v>2802</v>
      </c>
      <c r="C711" s="4" t="s">
        <v>2096</v>
      </c>
      <c r="D711" s="4" t="s">
        <v>2236</v>
      </c>
      <c r="E711" s="4" t="s">
        <v>244</v>
      </c>
      <c r="F711" s="4" t="s">
        <v>2804</v>
      </c>
      <c r="G711" s="4" t="s">
        <v>2294</v>
      </c>
      <c r="H711" s="4" t="s">
        <v>2183</v>
      </c>
      <c r="I711" s="4" t="s">
        <v>2100</v>
      </c>
      <c r="J711" s="4" t="s">
        <v>2805</v>
      </c>
      <c r="K711">
        <v>14</v>
      </c>
      <c r="L711">
        <v>4.2671999999999999</v>
      </c>
      <c r="M711">
        <v>88.9</v>
      </c>
      <c r="N711">
        <v>184.15</v>
      </c>
      <c r="O711">
        <v>168</v>
      </c>
      <c r="P711">
        <v>3.5000000000000004</v>
      </c>
      <c r="Q711">
        <v>7.2500000000000009</v>
      </c>
      <c r="R711">
        <v>200.40600000000001</v>
      </c>
      <c r="S711">
        <v>6.9858053832000014E-2</v>
      </c>
      <c r="T711" s="4" t="s">
        <v>2806</v>
      </c>
    </row>
    <row r="712" spans="1:20" x14ac:dyDescent="0.2">
      <c r="A712" s="4" t="s">
        <v>2294</v>
      </c>
      <c r="B712" s="4" t="s">
        <v>2802</v>
      </c>
      <c r="C712" s="4" t="s">
        <v>2096</v>
      </c>
      <c r="D712" s="4" t="s">
        <v>2236</v>
      </c>
      <c r="E712" s="4" t="s">
        <v>2809</v>
      </c>
      <c r="F712" s="4" t="s">
        <v>2804</v>
      </c>
      <c r="G712" s="4" t="s">
        <v>2294</v>
      </c>
      <c r="H712" s="4" t="s">
        <v>2183</v>
      </c>
      <c r="I712" s="4" t="s">
        <v>2100</v>
      </c>
      <c r="J712" s="4" t="s">
        <v>2805</v>
      </c>
      <c r="K712">
        <v>15</v>
      </c>
      <c r="L712">
        <v>4.5720000000000001</v>
      </c>
      <c r="M712">
        <v>88.9</v>
      </c>
      <c r="N712">
        <v>184.15</v>
      </c>
      <c r="O712">
        <v>180</v>
      </c>
      <c r="P712">
        <v>3.5000000000000004</v>
      </c>
      <c r="Q712">
        <v>7.2500000000000009</v>
      </c>
      <c r="R712">
        <v>200.40600000000001</v>
      </c>
      <c r="S712">
        <v>7.484791482E-2</v>
      </c>
      <c r="T712" s="4" t="s">
        <v>2806</v>
      </c>
    </row>
    <row r="713" spans="1:20" x14ac:dyDescent="0.2">
      <c r="A713" s="4" t="s">
        <v>2294</v>
      </c>
      <c r="B713" s="4" t="s">
        <v>2802</v>
      </c>
      <c r="C713" s="4" t="s">
        <v>2096</v>
      </c>
      <c r="D713" s="4" t="s">
        <v>2236</v>
      </c>
      <c r="E713" s="4" t="s">
        <v>246</v>
      </c>
      <c r="F713" s="4" t="s">
        <v>2804</v>
      </c>
      <c r="G713" s="4" t="s">
        <v>2294</v>
      </c>
      <c r="H713" s="4" t="s">
        <v>2183</v>
      </c>
      <c r="I713" s="4" t="s">
        <v>2100</v>
      </c>
      <c r="J713" s="4" t="s">
        <v>2805</v>
      </c>
      <c r="K713">
        <v>16</v>
      </c>
      <c r="L713">
        <v>4.8768000000000002</v>
      </c>
      <c r="M713">
        <v>88.9</v>
      </c>
      <c r="N713">
        <v>184.15</v>
      </c>
      <c r="O713">
        <v>192.00000000000003</v>
      </c>
      <c r="P713">
        <v>3.5000000000000004</v>
      </c>
      <c r="Q713">
        <v>7.2500000000000009</v>
      </c>
      <c r="R713">
        <v>200.40600000000001</v>
      </c>
      <c r="S713">
        <v>7.9837775808000014E-2</v>
      </c>
      <c r="T713" s="4" t="s">
        <v>2806</v>
      </c>
    </row>
    <row r="714" spans="1:20" x14ac:dyDescent="0.2">
      <c r="A714" s="4" t="s">
        <v>2294</v>
      </c>
      <c r="B714" s="4" t="s">
        <v>2802</v>
      </c>
      <c r="C714" s="4" t="s">
        <v>2096</v>
      </c>
      <c r="D714" s="4" t="s">
        <v>2236</v>
      </c>
      <c r="E714" s="4" t="s">
        <v>2810</v>
      </c>
      <c r="F714" s="4" t="s">
        <v>2804</v>
      </c>
      <c r="G714" s="4" t="s">
        <v>2294</v>
      </c>
      <c r="H714" s="4" t="s">
        <v>2183</v>
      </c>
      <c r="I714" s="4" t="s">
        <v>2100</v>
      </c>
      <c r="J714" s="4" t="s">
        <v>2805</v>
      </c>
      <c r="K714">
        <v>17</v>
      </c>
      <c r="L714">
        <v>5.1816000000000004</v>
      </c>
      <c r="M714">
        <v>88.9</v>
      </c>
      <c r="N714">
        <v>184.15</v>
      </c>
      <c r="O714">
        <v>204.00000000000003</v>
      </c>
      <c r="P714">
        <v>3.5000000000000004</v>
      </c>
      <c r="Q714">
        <v>7.2500000000000009</v>
      </c>
      <c r="R714">
        <v>200.40600000000001</v>
      </c>
      <c r="S714">
        <v>8.4827636796000028E-2</v>
      </c>
      <c r="T714" s="4" t="s">
        <v>2806</v>
      </c>
    </row>
    <row r="715" spans="1:20" x14ac:dyDescent="0.2">
      <c r="A715" s="4" t="s">
        <v>2294</v>
      </c>
      <c r="B715" s="4" t="s">
        <v>2802</v>
      </c>
      <c r="C715" s="4" t="s">
        <v>2096</v>
      </c>
      <c r="D715" s="4" t="s">
        <v>2236</v>
      </c>
      <c r="E715" s="4" t="s">
        <v>2811</v>
      </c>
      <c r="F715" s="4" t="s">
        <v>2804</v>
      </c>
      <c r="G715" s="4" t="s">
        <v>2294</v>
      </c>
      <c r="H715" s="4" t="s">
        <v>2183</v>
      </c>
      <c r="I715" s="4" t="s">
        <v>2100</v>
      </c>
      <c r="J715" s="4" t="s">
        <v>2805</v>
      </c>
      <c r="K715">
        <v>18</v>
      </c>
      <c r="L715">
        <v>5.4863999999999997</v>
      </c>
      <c r="M715">
        <v>88.9</v>
      </c>
      <c r="N715">
        <v>184.15</v>
      </c>
      <c r="O715">
        <v>216</v>
      </c>
      <c r="P715">
        <v>3.5000000000000004</v>
      </c>
      <c r="Q715">
        <v>7.2500000000000009</v>
      </c>
      <c r="R715">
        <v>200.40600000000001</v>
      </c>
      <c r="S715">
        <v>8.9817497784000014E-2</v>
      </c>
      <c r="T715" s="4" t="s">
        <v>2806</v>
      </c>
    </row>
    <row r="716" spans="1:20" x14ac:dyDescent="0.2">
      <c r="A716" s="4" t="s">
        <v>2294</v>
      </c>
      <c r="B716" s="4" t="s">
        <v>2802</v>
      </c>
      <c r="C716" s="4" t="s">
        <v>2096</v>
      </c>
      <c r="D716" s="4" t="s">
        <v>2236</v>
      </c>
      <c r="E716" s="4" t="s">
        <v>2812</v>
      </c>
      <c r="F716" s="4" t="s">
        <v>2804</v>
      </c>
      <c r="G716" s="4" t="s">
        <v>2294</v>
      </c>
      <c r="H716" s="4" t="s">
        <v>2183</v>
      </c>
      <c r="I716" s="4" t="s">
        <v>2100</v>
      </c>
      <c r="J716" s="4" t="s">
        <v>2805</v>
      </c>
      <c r="K716">
        <v>19</v>
      </c>
      <c r="L716">
        <v>5.7911999999999999</v>
      </c>
      <c r="M716">
        <v>88.9</v>
      </c>
      <c r="N716">
        <v>184.15</v>
      </c>
      <c r="O716">
        <v>228</v>
      </c>
      <c r="P716">
        <v>3.5000000000000004</v>
      </c>
      <c r="Q716">
        <v>7.2500000000000009</v>
      </c>
      <c r="R716">
        <v>200.40600000000001</v>
      </c>
      <c r="S716">
        <v>9.4807358772E-2</v>
      </c>
      <c r="T716" s="4" t="s">
        <v>2806</v>
      </c>
    </row>
    <row r="717" spans="1:20" x14ac:dyDescent="0.2">
      <c r="A717" s="4" t="s">
        <v>2294</v>
      </c>
      <c r="B717" s="4" t="s">
        <v>2802</v>
      </c>
      <c r="C717" s="4" t="s">
        <v>2096</v>
      </c>
      <c r="D717" s="4" t="s">
        <v>2236</v>
      </c>
      <c r="E717" s="4" t="s">
        <v>2813</v>
      </c>
      <c r="F717" s="4" t="s">
        <v>2804</v>
      </c>
      <c r="G717" s="4" t="s">
        <v>2294</v>
      </c>
      <c r="H717" s="4" t="s">
        <v>2183</v>
      </c>
      <c r="I717" s="4" t="s">
        <v>2100</v>
      </c>
      <c r="J717" s="4" t="s">
        <v>2805</v>
      </c>
      <c r="K717">
        <v>20</v>
      </c>
      <c r="L717">
        <v>6.0960000000000001</v>
      </c>
      <c r="M717">
        <v>88.9</v>
      </c>
      <c r="N717">
        <v>184.15</v>
      </c>
      <c r="O717">
        <v>240</v>
      </c>
      <c r="P717">
        <v>3.5000000000000004</v>
      </c>
      <c r="Q717">
        <v>7.2500000000000009</v>
      </c>
      <c r="R717">
        <v>200.40600000000001</v>
      </c>
      <c r="S717">
        <v>9.9797219760000028E-2</v>
      </c>
      <c r="T717" s="4" t="s">
        <v>2806</v>
      </c>
    </row>
    <row r="718" spans="1:20" x14ac:dyDescent="0.2">
      <c r="A718" s="4" t="s">
        <v>2294</v>
      </c>
      <c r="B718" s="4" t="s">
        <v>2802</v>
      </c>
      <c r="C718" s="4" t="s">
        <v>2096</v>
      </c>
      <c r="D718" s="4" t="s">
        <v>2236</v>
      </c>
      <c r="E718" s="4" t="s">
        <v>2814</v>
      </c>
      <c r="F718" s="4" t="s">
        <v>2804</v>
      </c>
      <c r="G718" s="4" t="s">
        <v>2294</v>
      </c>
      <c r="H718" s="4" t="s">
        <v>2183</v>
      </c>
      <c r="I718" s="4" t="s">
        <v>2100</v>
      </c>
      <c r="J718" s="4" t="s">
        <v>2805</v>
      </c>
      <c r="K718">
        <v>21</v>
      </c>
      <c r="L718">
        <v>6.4008000000000003</v>
      </c>
      <c r="M718">
        <v>88.9</v>
      </c>
      <c r="N718">
        <v>184.15</v>
      </c>
      <c r="O718">
        <v>252.00000000000003</v>
      </c>
      <c r="P718">
        <v>3.5000000000000004</v>
      </c>
      <c r="Q718">
        <v>7.2500000000000009</v>
      </c>
      <c r="R718">
        <v>200.40600000000001</v>
      </c>
      <c r="S718">
        <v>0.10478708074800003</v>
      </c>
      <c r="T718" s="4" t="s">
        <v>2806</v>
      </c>
    </row>
    <row r="719" spans="1:20" x14ac:dyDescent="0.2">
      <c r="A719" s="4" t="s">
        <v>2294</v>
      </c>
      <c r="B719" s="4" t="s">
        <v>2802</v>
      </c>
      <c r="C719" s="4" t="s">
        <v>2096</v>
      </c>
      <c r="D719" s="4" t="s">
        <v>2236</v>
      </c>
      <c r="E719" s="4" t="s">
        <v>2815</v>
      </c>
      <c r="F719" s="4" t="s">
        <v>2804</v>
      </c>
      <c r="G719" s="4" t="s">
        <v>2294</v>
      </c>
      <c r="H719" s="4" t="s">
        <v>2183</v>
      </c>
      <c r="I719" s="4" t="s">
        <v>2100</v>
      </c>
      <c r="J719" s="4" t="s">
        <v>2805</v>
      </c>
      <c r="K719">
        <v>22</v>
      </c>
      <c r="L719">
        <v>6.7055999999999996</v>
      </c>
      <c r="M719">
        <v>88.9</v>
      </c>
      <c r="N719">
        <v>184.15</v>
      </c>
      <c r="O719">
        <v>264</v>
      </c>
      <c r="P719">
        <v>3.5000000000000004</v>
      </c>
      <c r="Q719">
        <v>7.2500000000000009</v>
      </c>
      <c r="R719">
        <v>200.40600000000001</v>
      </c>
      <c r="S719">
        <v>0.109776941736</v>
      </c>
      <c r="T719" s="4" t="s">
        <v>2806</v>
      </c>
    </row>
    <row r="720" spans="1:20" x14ac:dyDescent="0.2">
      <c r="A720" s="4" t="s">
        <v>2294</v>
      </c>
      <c r="B720" s="4" t="s">
        <v>2802</v>
      </c>
      <c r="C720" s="4" t="s">
        <v>2096</v>
      </c>
      <c r="D720" s="4" t="s">
        <v>2236</v>
      </c>
      <c r="E720" s="4" t="s">
        <v>2816</v>
      </c>
      <c r="F720" s="4" t="s">
        <v>2804</v>
      </c>
      <c r="G720" s="4" t="s">
        <v>2294</v>
      </c>
      <c r="H720" s="4" t="s">
        <v>2183</v>
      </c>
      <c r="I720" s="4" t="s">
        <v>2100</v>
      </c>
      <c r="J720" s="4" t="s">
        <v>2805</v>
      </c>
      <c r="K720">
        <v>23</v>
      </c>
      <c r="L720">
        <v>7.0103999999999997</v>
      </c>
      <c r="M720">
        <v>88.9</v>
      </c>
      <c r="N720">
        <v>184.15</v>
      </c>
      <c r="O720">
        <v>276</v>
      </c>
      <c r="P720">
        <v>3.5000000000000004</v>
      </c>
      <c r="Q720">
        <v>7.2500000000000009</v>
      </c>
      <c r="R720">
        <v>200.40600000000001</v>
      </c>
      <c r="S720">
        <v>0.11476680272400001</v>
      </c>
      <c r="T720" s="4" t="s">
        <v>2806</v>
      </c>
    </row>
    <row r="721" spans="1:20" x14ac:dyDescent="0.2">
      <c r="A721" s="4" t="s">
        <v>2294</v>
      </c>
      <c r="B721" s="4" t="s">
        <v>2802</v>
      </c>
      <c r="C721" s="4" t="s">
        <v>2096</v>
      </c>
      <c r="D721" s="4" t="s">
        <v>2236</v>
      </c>
      <c r="E721" s="4" t="s">
        <v>2817</v>
      </c>
      <c r="F721" s="4" t="s">
        <v>2804</v>
      </c>
      <c r="G721" s="4" t="s">
        <v>2294</v>
      </c>
      <c r="H721" s="4" t="s">
        <v>2183</v>
      </c>
      <c r="I721" s="4" t="s">
        <v>2100</v>
      </c>
      <c r="J721" s="4" t="s">
        <v>2805</v>
      </c>
      <c r="K721">
        <v>24</v>
      </c>
      <c r="L721">
        <v>7.3152000000000008</v>
      </c>
      <c r="M721">
        <v>88.9</v>
      </c>
      <c r="N721">
        <v>184.15</v>
      </c>
      <c r="O721">
        <v>288.00000000000006</v>
      </c>
      <c r="P721">
        <v>3.5000000000000004</v>
      </c>
      <c r="Q721">
        <v>7.2500000000000009</v>
      </c>
      <c r="R721">
        <v>200.40600000000001</v>
      </c>
      <c r="S721">
        <v>0.11975666371200001</v>
      </c>
      <c r="T721" s="4" t="s">
        <v>2806</v>
      </c>
    </row>
    <row r="722" spans="1:20" x14ac:dyDescent="0.2">
      <c r="A722" s="4" t="s">
        <v>2294</v>
      </c>
      <c r="B722" s="4" t="s">
        <v>2802</v>
      </c>
      <c r="C722" s="4" t="s">
        <v>2286</v>
      </c>
      <c r="D722" s="4" t="s">
        <v>2236</v>
      </c>
      <c r="E722" s="4" t="s">
        <v>2818</v>
      </c>
      <c r="F722" s="4" t="s">
        <v>2804</v>
      </c>
      <c r="G722" s="4" t="s">
        <v>2294</v>
      </c>
      <c r="H722" s="4" t="s">
        <v>2183</v>
      </c>
      <c r="I722" s="4" t="s">
        <v>2100</v>
      </c>
      <c r="J722" s="4" t="s">
        <v>2805</v>
      </c>
      <c r="K722">
        <v>3</v>
      </c>
      <c r="L722">
        <v>0.91439999999999999</v>
      </c>
      <c r="M722">
        <v>88.9</v>
      </c>
      <c r="N722">
        <v>184.15</v>
      </c>
      <c r="O722">
        <v>36</v>
      </c>
      <c r="P722">
        <v>3.5000000000000004</v>
      </c>
      <c r="Q722">
        <v>7.2500000000000009</v>
      </c>
      <c r="R722">
        <v>200.40600000000001</v>
      </c>
      <c r="S722">
        <v>1.4969582964E-2</v>
      </c>
      <c r="T722" s="4" t="s">
        <v>2819</v>
      </c>
    </row>
    <row r="723" spans="1:20" x14ac:dyDescent="0.2">
      <c r="A723" s="4" t="s">
        <v>2294</v>
      </c>
      <c r="B723" s="4" t="s">
        <v>2802</v>
      </c>
      <c r="C723" s="4" t="s">
        <v>2286</v>
      </c>
      <c r="D723" s="4" t="s">
        <v>2236</v>
      </c>
      <c r="E723" s="4" t="s">
        <v>2820</v>
      </c>
      <c r="F723" s="4" t="s">
        <v>2804</v>
      </c>
      <c r="G723" s="4" t="s">
        <v>2294</v>
      </c>
      <c r="H723" s="4" t="s">
        <v>2183</v>
      </c>
      <c r="I723" s="4" t="s">
        <v>2100</v>
      </c>
      <c r="J723" s="4" t="s">
        <v>2805</v>
      </c>
      <c r="K723">
        <v>4</v>
      </c>
      <c r="L723">
        <v>1.2192000000000001</v>
      </c>
      <c r="M723">
        <v>88.9</v>
      </c>
      <c r="N723">
        <v>184.15</v>
      </c>
      <c r="O723">
        <v>48.000000000000007</v>
      </c>
      <c r="P723">
        <v>3.5000000000000004</v>
      </c>
      <c r="Q723">
        <v>7.2500000000000009</v>
      </c>
      <c r="R723">
        <v>200.40600000000001</v>
      </c>
      <c r="S723">
        <v>1.9959443952000003E-2</v>
      </c>
      <c r="T723" s="4" t="s">
        <v>2819</v>
      </c>
    </row>
    <row r="724" spans="1:20" x14ac:dyDescent="0.2">
      <c r="A724" s="4" t="s">
        <v>2294</v>
      </c>
      <c r="B724" s="4" t="s">
        <v>2802</v>
      </c>
      <c r="C724" s="4" t="s">
        <v>2286</v>
      </c>
      <c r="D724" s="4" t="s">
        <v>2236</v>
      </c>
      <c r="E724" s="4" t="s">
        <v>2821</v>
      </c>
      <c r="F724" s="4" t="s">
        <v>2804</v>
      </c>
      <c r="G724" s="4" t="s">
        <v>2294</v>
      </c>
      <c r="H724" s="4" t="s">
        <v>2183</v>
      </c>
      <c r="I724" s="4" t="s">
        <v>2100</v>
      </c>
      <c r="J724" s="4" t="s">
        <v>2805</v>
      </c>
      <c r="K724">
        <v>5</v>
      </c>
      <c r="L724">
        <v>1.524</v>
      </c>
      <c r="M724">
        <v>88.9</v>
      </c>
      <c r="N724">
        <v>184.15</v>
      </c>
      <c r="O724">
        <v>60</v>
      </c>
      <c r="P724">
        <v>3.5000000000000004</v>
      </c>
      <c r="Q724">
        <v>7.2500000000000009</v>
      </c>
      <c r="R724">
        <v>200.40600000000001</v>
      </c>
      <c r="S724">
        <v>2.4949304940000007E-2</v>
      </c>
      <c r="T724" s="4" t="s">
        <v>2819</v>
      </c>
    </row>
    <row r="725" spans="1:20" x14ac:dyDescent="0.2">
      <c r="A725" s="4" t="s">
        <v>2294</v>
      </c>
      <c r="B725" s="4" t="s">
        <v>2802</v>
      </c>
      <c r="C725" s="4" t="s">
        <v>2286</v>
      </c>
      <c r="D725" s="4" t="s">
        <v>2236</v>
      </c>
      <c r="E725" s="4" t="s">
        <v>2822</v>
      </c>
      <c r="F725" s="4" t="s">
        <v>2804</v>
      </c>
      <c r="G725" s="4" t="s">
        <v>2294</v>
      </c>
      <c r="H725" s="4" t="s">
        <v>2183</v>
      </c>
      <c r="I725" s="4" t="s">
        <v>2100</v>
      </c>
      <c r="J725" s="4" t="s">
        <v>2805</v>
      </c>
      <c r="K725">
        <v>6</v>
      </c>
      <c r="L725">
        <v>1.8288</v>
      </c>
      <c r="M725">
        <v>88.9</v>
      </c>
      <c r="N725">
        <v>184.15</v>
      </c>
      <c r="O725">
        <v>72</v>
      </c>
      <c r="P725">
        <v>3.5000000000000004</v>
      </c>
      <c r="Q725">
        <v>7.2500000000000009</v>
      </c>
      <c r="R725">
        <v>200.40600000000001</v>
      </c>
      <c r="S725">
        <v>2.9939165928E-2</v>
      </c>
      <c r="T725" s="4" t="s">
        <v>2819</v>
      </c>
    </row>
    <row r="726" spans="1:20" x14ac:dyDescent="0.2">
      <c r="A726" s="4" t="s">
        <v>2294</v>
      </c>
      <c r="B726" s="4" t="s">
        <v>2802</v>
      </c>
      <c r="C726" s="4" t="s">
        <v>2286</v>
      </c>
      <c r="D726" s="4" t="s">
        <v>2236</v>
      </c>
      <c r="E726" s="4" t="s">
        <v>2823</v>
      </c>
      <c r="F726" s="4" t="s">
        <v>2804</v>
      </c>
      <c r="G726" s="4" t="s">
        <v>2294</v>
      </c>
      <c r="H726" s="4" t="s">
        <v>2183</v>
      </c>
      <c r="I726" s="4" t="s">
        <v>2100</v>
      </c>
      <c r="J726" s="4" t="s">
        <v>2805</v>
      </c>
      <c r="K726">
        <v>7</v>
      </c>
      <c r="L726">
        <v>2.1335999999999999</v>
      </c>
      <c r="M726">
        <v>88.9</v>
      </c>
      <c r="N726">
        <v>184.15</v>
      </c>
      <c r="O726">
        <v>84</v>
      </c>
      <c r="P726">
        <v>3.5000000000000004</v>
      </c>
      <c r="Q726">
        <v>7.2500000000000009</v>
      </c>
      <c r="R726">
        <v>200.40600000000001</v>
      </c>
      <c r="S726">
        <v>3.4929026916000007E-2</v>
      </c>
      <c r="T726" s="4" t="s">
        <v>2819</v>
      </c>
    </row>
    <row r="727" spans="1:20" x14ac:dyDescent="0.2">
      <c r="A727" s="4" t="s">
        <v>2294</v>
      </c>
      <c r="B727" s="4" t="s">
        <v>2802</v>
      </c>
      <c r="C727" s="4" t="s">
        <v>2096</v>
      </c>
      <c r="D727" s="4" t="s">
        <v>2236</v>
      </c>
      <c r="E727" s="4" t="s">
        <v>2824</v>
      </c>
      <c r="F727" s="4" t="s">
        <v>2804</v>
      </c>
      <c r="G727" s="4" t="s">
        <v>2294</v>
      </c>
      <c r="H727" s="4" t="s">
        <v>2183</v>
      </c>
      <c r="I727" s="4" t="s">
        <v>2100</v>
      </c>
      <c r="J727" s="4" t="s">
        <v>2805</v>
      </c>
      <c r="K727">
        <v>8</v>
      </c>
      <c r="L727">
        <v>2.4384000000000001</v>
      </c>
      <c r="M727">
        <v>88.9</v>
      </c>
      <c r="N727">
        <v>184.15</v>
      </c>
      <c r="O727">
        <v>96.000000000000014</v>
      </c>
      <c r="P727">
        <v>3.5000000000000004</v>
      </c>
      <c r="Q727">
        <v>7.2500000000000009</v>
      </c>
      <c r="R727">
        <v>200.40600000000001</v>
      </c>
      <c r="S727">
        <v>3.9918887904000007E-2</v>
      </c>
      <c r="T727" s="4" t="s">
        <v>2806</v>
      </c>
    </row>
    <row r="728" spans="1:20" x14ac:dyDescent="0.2">
      <c r="A728" s="4" t="s">
        <v>2294</v>
      </c>
      <c r="B728" s="4" t="s">
        <v>2802</v>
      </c>
      <c r="C728" s="4" t="s">
        <v>2096</v>
      </c>
      <c r="D728" s="4" t="s">
        <v>2236</v>
      </c>
      <c r="E728" s="4" t="s">
        <v>2825</v>
      </c>
      <c r="F728" s="4" t="s">
        <v>2804</v>
      </c>
      <c r="G728" s="4" t="s">
        <v>2294</v>
      </c>
      <c r="H728" s="4" t="s">
        <v>2183</v>
      </c>
      <c r="I728" s="4" t="s">
        <v>2100</v>
      </c>
      <c r="J728" s="4" t="s">
        <v>2805</v>
      </c>
      <c r="K728">
        <v>9</v>
      </c>
      <c r="L728">
        <v>2.7431999999999999</v>
      </c>
      <c r="M728">
        <v>88.9</v>
      </c>
      <c r="N728">
        <v>184.15</v>
      </c>
      <c r="O728">
        <v>108</v>
      </c>
      <c r="P728">
        <v>3.5000000000000004</v>
      </c>
      <c r="Q728">
        <v>7.2500000000000009</v>
      </c>
      <c r="R728">
        <v>200.40600000000001</v>
      </c>
      <c r="S728">
        <v>4.4908748892000007E-2</v>
      </c>
      <c r="T728" s="4" t="s">
        <v>2806</v>
      </c>
    </row>
    <row r="729" spans="1:20" x14ac:dyDescent="0.2">
      <c r="A729" s="4" t="s">
        <v>2294</v>
      </c>
      <c r="B729" s="4" t="s">
        <v>2826</v>
      </c>
      <c r="C729" s="4" t="s">
        <v>2096</v>
      </c>
      <c r="D729" s="4" t="s">
        <v>2236</v>
      </c>
      <c r="E729" s="4" t="s">
        <v>2827</v>
      </c>
      <c r="F729" s="4" t="s">
        <v>2828</v>
      </c>
      <c r="G729" s="4" t="s">
        <v>2294</v>
      </c>
      <c r="H729" s="4" t="s">
        <v>2183</v>
      </c>
      <c r="I729" s="4" t="s">
        <v>2100</v>
      </c>
      <c r="J729" s="4" t="s">
        <v>2829</v>
      </c>
      <c r="K729">
        <v>10</v>
      </c>
      <c r="L729">
        <v>3.048</v>
      </c>
      <c r="M729">
        <v>25.4</v>
      </c>
      <c r="N729">
        <v>234.95</v>
      </c>
      <c r="O729">
        <v>120</v>
      </c>
      <c r="P729">
        <v>1</v>
      </c>
      <c r="Q729">
        <v>9.25</v>
      </c>
      <c r="R729">
        <v>549.76300000000003</v>
      </c>
      <c r="S729">
        <v>1.8189641040000003E-2</v>
      </c>
      <c r="T729" s="4" t="s">
        <v>2830</v>
      </c>
    </row>
    <row r="730" spans="1:20" x14ac:dyDescent="0.2">
      <c r="A730" s="4" t="s">
        <v>2294</v>
      </c>
      <c r="B730" s="4" t="s">
        <v>2826</v>
      </c>
      <c r="C730" s="4" t="s">
        <v>2096</v>
      </c>
      <c r="D730" s="4" t="s">
        <v>2236</v>
      </c>
      <c r="E730" s="4" t="s">
        <v>2831</v>
      </c>
      <c r="F730" s="4" t="s">
        <v>2828</v>
      </c>
      <c r="G730" s="4" t="s">
        <v>2294</v>
      </c>
      <c r="H730" s="4" t="s">
        <v>2183</v>
      </c>
      <c r="I730" s="4" t="s">
        <v>2100</v>
      </c>
      <c r="J730" s="4" t="s">
        <v>2829</v>
      </c>
      <c r="K730">
        <v>11</v>
      </c>
      <c r="L730">
        <v>3.3527999999999998</v>
      </c>
      <c r="M730">
        <v>25.4</v>
      </c>
      <c r="N730">
        <v>234.95</v>
      </c>
      <c r="O730">
        <v>132</v>
      </c>
      <c r="P730">
        <v>1</v>
      </c>
      <c r="Q730">
        <v>9.25</v>
      </c>
      <c r="R730">
        <v>549.76300000000003</v>
      </c>
      <c r="S730">
        <v>2.0008605143999995E-2</v>
      </c>
      <c r="T730" s="4" t="s">
        <v>2830</v>
      </c>
    </row>
    <row r="731" spans="1:20" x14ac:dyDescent="0.2">
      <c r="A731" s="4" t="s">
        <v>2294</v>
      </c>
      <c r="B731" s="4" t="s">
        <v>2826</v>
      </c>
      <c r="C731" s="4" t="s">
        <v>2096</v>
      </c>
      <c r="D731" s="4" t="s">
        <v>2236</v>
      </c>
      <c r="E731" s="4" t="s">
        <v>2832</v>
      </c>
      <c r="F731" s="4" t="s">
        <v>2828</v>
      </c>
      <c r="G731" s="4" t="s">
        <v>2294</v>
      </c>
      <c r="H731" s="4" t="s">
        <v>2183</v>
      </c>
      <c r="I731" s="4" t="s">
        <v>2100</v>
      </c>
      <c r="J731" s="4" t="s">
        <v>2829</v>
      </c>
      <c r="K731">
        <v>12</v>
      </c>
      <c r="L731">
        <v>3.6576</v>
      </c>
      <c r="M731">
        <v>25.4</v>
      </c>
      <c r="N731">
        <v>234.95</v>
      </c>
      <c r="O731">
        <v>144</v>
      </c>
      <c r="P731">
        <v>1</v>
      </c>
      <c r="Q731">
        <v>9.25</v>
      </c>
      <c r="R731">
        <v>549.76300000000003</v>
      </c>
      <c r="S731">
        <v>2.1827569247999997E-2</v>
      </c>
      <c r="T731" s="4" t="s">
        <v>2830</v>
      </c>
    </row>
    <row r="732" spans="1:20" x14ac:dyDescent="0.2">
      <c r="A732" s="4" t="s">
        <v>2294</v>
      </c>
      <c r="B732" s="4" t="s">
        <v>2826</v>
      </c>
      <c r="C732" s="4" t="s">
        <v>2096</v>
      </c>
      <c r="D732" s="4" t="s">
        <v>2236</v>
      </c>
      <c r="E732" s="4" t="s">
        <v>2833</v>
      </c>
      <c r="F732" s="4" t="s">
        <v>2828</v>
      </c>
      <c r="G732" s="4" t="s">
        <v>2294</v>
      </c>
      <c r="H732" s="4" t="s">
        <v>2183</v>
      </c>
      <c r="I732" s="4" t="s">
        <v>2100</v>
      </c>
      <c r="J732" s="4" t="s">
        <v>2829</v>
      </c>
      <c r="K732">
        <v>13</v>
      </c>
      <c r="L732">
        <v>3.9624000000000001</v>
      </c>
      <c r="M732">
        <v>25.4</v>
      </c>
      <c r="N732">
        <v>234.95</v>
      </c>
      <c r="O732">
        <v>156</v>
      </c>
      <c r="P732">
        <v>1</v>
      </c>
      <c r="Q732">
        <v>9.25</v>
      </c>
      <c r="R732">
        <v>549.76300000000003</v>
      </c>
      <c r="S732">
        <v>2.3646533351999996E-2</v>
      </c>
      <c r="T732" s="4" t="s">
        <v>2830</v>
      </c>
    </row>
    <row r="733" spans="1:20" x14ac:dyDescent="0.2">
      <c r="A733" s="4" t="s">
        <v>2294</v>
      </c>
      <c r="B733" s="4" t="s">
        <v>2826</v>
      </c>
      <c r="C733" s="4" t="s">
        <v>2096</v>
      </c>
      <c r="D733" s="4" t="s">
        <v>2236</v>
      </c>
      <c r="E733" s="4" t="s">
        <v>442</v>
      </c>
      <c r="F733" s="4" t="s">
        <v>2828</v>
      </c>
      <c r="G733" s="4" t="s">
        <v>2294</v>
      </c>
      <c r="H733" s="4" t="s">
        <v>2183</v>
      </c>
      <c r="I733" s="4" t="s">
        <v>2100</v>
      </c>
      <c r="J733" s="4" t="s">
        <v>2829</v>
      </c>
      <c r="K733">
        <v>14</v>
      </c>
      <c r="L733">
        <v>4.2671999999999999</v>
      </c>
      <c r="M733">
        <v>25.4</v>
      </c>
      <c r="N733">
        <v>234.95</v>
      </c>
      <c r="O733">
        <v>168</v>
      </c>
      <c r="P733">
        <v>1</v>
      </c>
      <c r="Q733">
        <v>9.25</v>
      </c>
      <c r="R733">
        <v>549.76300000000003</v>
      </c>
      <c r="S733">
        <v>2.5465497455999998E-2</v>
      </c>
      <c r="T733" s="4" t="s">
        <v>2830</v>
      </c>
    </row>
    <row r="734" spans="1:20" x14ac:dyDescent="0.2">
      <c r="A734" s="4" t="s">
        <v>2294</v>
      </c>
      <c r="B734" s="4" t="s">
        <v>2826</v>
      </c>
      <c r="C734" s="4" t="s">
        <v>2096</v>
      </c>
      <c r="D734" s="4" t="s">
        <v>2236</v>
      </c>
      <c r="E734" s="4" t="s">
        <v>2834</v>
      </c>
      <c r="F734" s="4" t="s">
        <v>2828</v>
      </c>
      <c r="G734" s="4" t="s">
        <v>2294</v>
      </c>
      <c r="H734" s="4" t="s">
        <v>2183</v>
      </c>
      <c r="I734" s="4" t="s">
        <v>2100</v>
      </c>
      <c r="J734" s="4" t="s">
        <v>2829</v>
      </c>
      <c r="K734">
        <v>15</v>
      </c>
      <c r="L734">
        <v>4.5720000000000001</v>
      </c>
      <c r="M734">
        <v>25.4</v>
      </c>
      <c r="N734">
        <v>234.95</v>
      </c>
      <c r="O734">
        <v>180</v>
      </c>
      <c r="P734">
        <v>1</v>
      </c>
      <c r="Q734">
        <v>9.25</v>
      </c>
      <c r="R734">
        <v>549.76300000000003</v>
      </c>
      <c r="S734">
        <v>2.7284461560000001E-2</v>
      </c>
      <c r="T734" s="4" t="s">
        <v>2830</v>
      </c>
    </row>
    <row r="735" spans="1:20" x14ac:dyDescent="0.2">
      <c r="A735" s="4" t="s">
        <v>2294</v>
      </c>
      <c r="B735" s="4" t="s">
        <v>2826</v>
      </c>
      <c r="C735" s="4" t="s">
        <v>2096</v>
      </c>
      <c r="D735" s="4" t="s">
        <v>2236</v>
      </c>
      <c r="E735" s="4" t="s">
        <v>2835</v>
      </c>
      <c r="F735" s="4" t="s">
        <v>2828</v>
      </c>
      <c r="G735" s="4" t="s">
        <v>2294</v>
      </c>
      <c r="H735" s="4" t="s">
        <v>2183</v>
      </c>
      <c r="I735" s="4" t="s">
        <v>2100</v>
      </c>
      <c r="J735" s="4" t="s">
        <v>2829</v>
      </c>
      <c r="K735">
        <v>16</v>
      </c>
      <c r="L735">
        <v>4.8768000000000002</v>
      </c>
      <c r="M735">
        <v>25.4</v>
      </c>
      <c r="N735">
        <v>234.95</v>
      </c>
      <c r="O735">
        <v>192.00000000000003</v>
      </c>
      <c r="P735">
        <v>1</v>
      </c>
      <c r="Q735">
        <v>9.25</v>
      </c>
      <c r="R735">
        <v>549.76300000000003</v>
      </c>
      <c r="S735">
        <v>2.9103425664E-2</v>
      </c>
      <c r="T735" s="4" t="s">
        <v>2830</v>
      </c>
    </row>
    <row r="736" spans="1:20" x14ac:dyDescent="0.2">
      <c r="A736" s="4" t="s">
        <v>2294</v>
      </c>
      <c r="B736" s="4" t="s">
        <v>2826</v>
      </c>
      <c r="C736" s="4" t="s">
        <v>2096</v>
      </c>
      <c r="D736" s="4" t="s">
        <v>2236</v>
      </c>
      <c r="E736" s="4" t="s">
        <v>2836</v>
      </c>
      <c r="F736" s="4" t="s">
        <v>2828</v>
      </c>
      <c r="G736" s="4" t="s">
        <v>2294</v>
      </c>
      <c r="H736" s="4" t="s">
        <v>2183</v>
      </c>
      <c r="I736" s="4" t="s">
        <v>2100</v>
      </c>
      <c r="J736" s="4" t="s">
        <v>2829</v>
      </c>
      <c r="K736">
        <v>17</v>
      </c>
      <c r="L736">
        <v>5.1816000000000004</v>
      </c>
      <c r="M736">
        <v>25.4</v>
      </c>
      <c r="N736">
        <v>234.95</v>
      </c>
      <c r="O736">
        <v>204.00000000000003</v>
      </c>
      <c r="P736">
        <v>1</v>
      </c>
      <c r="Q736">
        <v>9.25</v>
      </c>
      <c r="R736">
        <v>549.76300000000003</v>
      </c>
      <c r="S736">
        <v>3.0922389767999998E-2</v>
      </c>
      <c r="T736" s="4" t="s">
        <v>2830</v>
      </c>
    </row>
    <row r="737" spans="1:20" x14ac:dyDescent="0.2">
      <c r="A737" s="4" t="s">
        <v>2294</v>
      </c>
      <c r="B737" s="4" t="s">
        <v>2826</v>
      </c>
      <c r="C737" s="4" t="s">
        <v>2096</v>
      </c>
      <c r="D737" s="4" t="s">
        <v>2236</v>
      </c>
      <c r="E737" s="4" t="s">
        <v>2837</v>
      </c>
      <c r="F737" s="4" t="s">
        <v>2828</v>
      </c>
      <c r="G737" s="4" t="s">
        <v>2294</v>
      </c>
      <c r="H737" s="4" t="s">
        <v>2183</v>
      </c>
      <c r="I737" s="4" t="s">
        <v>2100</v>
      </c>
      <c r="J737" s="4" t="s">
        <v>2829</v>
      </c>
      <c r="K737">
        <v>18</v>
      </c>
      <c r="L737">
        <v>5.4863999999999997</v>
      </c>
      <c r="M737">
        <v>25.4</v>
      </c>
      <c r="N737">
        <v>234.95</v>
      </c>
      <c r="O737">
        <v>216</v>
      </c>
      <c r="P737">
        <v>1</v>
      </c>
      <c r="Q737">
        <v>9.25</v>
      </c>
      <c r="R737">
        <v>549.76300000000003</v>
      </c>
      <c r="S737">
        <v>3.2741353872000001E-2</v>
      </c>
      <c r="T737" s="4" t="s">
        <v>2830</v>
      </c>
    </row>
    <row r="738" spans="1:20" x14ac:dyDescent="0.2">
      <c r="A738" s="4" t="s">
        <v>2294</v>
      </c>
      <c r="B738" s="4" t="s">
        <v>2826</v>
      </c>
      <c r="C738" s="4" t="s">
        <v>2096</v>
      </c>
      <c r="D738" s="4" t="s">
        <v>2236</v>
      </c>
      <c r="E738" s="4" t="s">
        <v>2838</v>
      </c>
      <c r="F738" s="4" t="s">
        <v>2828</v>
      </c>
      <c r="G738" s="4" t="s">
        <v>2294</v>
      </c>
      <c r="H738" s="4" t="s">
        <v>2183</v>
      </c>
      <c r="I738" s="4" t="s">
        <v>2100</v>
      </c>
      <c r="J738" s="4" t="s">
        <v>2829</v>
      </c>
      <c r="K738">
        <v>19</v>
      </c>
      <c r="L738">
        <v>5.7911999999999999</v>
      </c>
      <c r="M738">
        <v>25.4</v>
      </c>
      <c r="N738">
        <v>234.95</v>
      </c>
      <c r="O738">
        <v>228</v>
      </c>
      <c r="P738">
        <v>1</v>
      </c>
      <c r="Q738">
        <v>9.25</v>
      </c>
      <c r="R738">
        <v>549.76300000000003</v>
      </c>
      <c r="S738">
        <v>3.4560317975999996E-2</v>
      </c>
      <c r="T738" s="4" t="s">
        <v>2830</v>
      </c>
    </row>
    <row r="739" spans="1:20" x14ac:dyDescent="0.2">
      <c r="A739" s="4" t="s">
        <v>2294</v>
      </c>
      <c r="B739" s="4" t="s">
        <v>2826</v>
      </c>
      <c r="C739" s="4" t="s">
        <v>2096</v>
      </c>
      <c r="D739" s="4" t="s">
        <v>2236</v>
      </c>
      <c r="E739" s="4" t="s">
        <v>2839</v>
      </c>
      <c r="F739" s="4" t="s">
        <v>2828</v>
      </c>
      <c r="G739" s="4" t="s">
        <v>2294</v>
      </c>
      <c r="H739" s="4" t="s">
        <v>2183</v>
      </c>
      <c r="I739" s="4" t="s">
        <v>2100</v>
      </c>
      <c r="J739" s="4" t="s">
        <v>2829</v>
      </c>
      <c r="K739">
        <v>20</v>
      </c>
      <c r="L739">
        <v>6.0960000000000001</v>
      </c>
      <c r="M739">
        <v>25.4</v>
      </c>
      <c r="N739">
        <v>234.95</v>
      </c>
      <c r="O739">
        <v>240</v>
      </c>
      <c r="P739">
        <v>1</v>
      </c>
      <c r="Q739">
        <v>9.25</v>
      </c>
      <c r="R739">
        <v>549.76300000000003</v>
      </c>
      <c r="S739">
        <v>3.6379282080000006E-2</v>
      </c>
      <c r="T739" s="4" t="s">
        <v>2830</v>
      </c>
    </row>
    <row r="740" spans="1:20" x14ac:dyDescent="0.2">
      <c r="A740" s="4" t="s">
        <v>2294</v>
      </c>
      <c r="B740" s="4" t="s">
        <v>2826</v>
      </c>
      <c r="C740" s="4" t="s">
        <v>2096</v>
      </c>
      <c r="D740" s="4" t="s">
        <v>2236</v>
      </c>
      <c r="E740" s="4" t="s">
        <v>2840</v>
      </c>
      <c r="F740" s="4" t="s">
        <v>2828</v>
      </c>
      <c r="G740" s="4" t="s">
        <v>2294</v>
      </c>
      <c r="H740" s="4" t="s">
        <v>2183</v>
      </c>
      <c r="I740" s="4" t="s">
        <v>2100</v>
      </c>
      <c r="J740" s="4" t="s">
        <v>2829</v>
      </c>
      <c r="K740">
        <v>21</v>
      </c>
      <c r="L740">
        <v>6.4008000000000003</v>
      </c>
      <c r="M740">
        <v>25.4</v>
      </c>
      <c r="N740">
        <v>234.95</v>
      </c>
      <c r="O740">
        <v>252.00000000000003</v>
      </c>
      <c r="P740">
        <v>1</v>
      </c>
      <c r="Q740">
        <v>9.25</v>
      </c>
      <c r="R740">
        <v>549.76300000000003</v>
      </c>
      <c r="S740">
        <v>3.8198246184000001E-2</v>
      </c>
      <c r="T740" s="4" t="s">
        <v>2830</v>
      </c>
    </row>
    <row r="741" spans="1:20" x14ac:dyDescent="0.2">
      <c r="A741" s="4" t="s">
        <v>2294</v>
      </c>
      <c r="B741" s="4" t="s">
        <v>2826</v>
      </c>
      <c r="C741" s="4" t="s">
        <v>2096</v>
      </c>
      <c r="D741" s="4" t="s">
        <v>2236</v>
      </c>
      <c r="E741" s="4" t="s">
        <v>2841</v>
      </c>
      <c r="F741" s="4" t="s">
        <v>2828</v>
      </c>
      <c r="G741" s="4" t="s">
        <v>2294</v>
      </c>
      <c r="H741" s="4" t="s">
        <v>2183</v>
      </c>
      <c r="I741" s="4" t="s">
        <v>2100</v>
      </c>
      <c r="J741" s="4" t="s">
        <v>2829</v>
      </c>
      <c r="K741">
        <v>22</v>
      </c>
      <c r="L741">
        <v>6.7055999999999996</v>
      </c>
      <c r="M741">
        <v>25.4</v>
      </c>
      <c r="N741">
        <v>234.95</v>
      </c>
      <c r="O741">
        <v>264</v>
      </c>
      <c r="P741">
        <v>1</v>
      </c>
      <c r="Q741">
        <v>9.25</v>
      </c>
      <c r="R741">
        <v>549.76300000000003</v>
      </c>
      <c r="S741">
        <v>4.0017210287999989E-2</v>
      </c>
      <c r="T741" s="4" t="s">
        <v>2830</v>
      </c>
    </row>
    <row r="742" spans="1:20" x14ac:dyDescent="0.2">
      <c r="A742" s="4" t="s">
        <v>2294</v>
      </c>
      <c r="B742" s="4" t="s">
        <v>2826</v>
      </c>
      <c r="C742" s="4" t="s">
        <v>2096</v>
      </c>
      <c r="D742" s="4" t="s">
        <v>2236</v>
      </c>
      <c r="E742" s="4" t="s">
        <v>2842</v>
      </c>
      <c r="F742" s="4" t="s">
        <v>2828</v>
      </c>
      <c r="G742" s="4" t="s">
        <v>2294</v>
      </c>
      <c r="H742" s="4" t="s">
        <v>2183</v>
      </c>
      <c r="I742" s="4" t="s">
        <v>2100</v>
      </c>
      <c r="J742" s="4" t="s">
        <v>2829</v>
      </c>
      <c r="K742">
        <v>23</v>
      </c>
      <c r="L742">
        <v>7.0103999999999997</v>
      </c>
      <c r="M742">
        <v>25.4</v>
      </c>
      <c r="N742">
        <v>234.95</v>
      </c>
      <c r="O742">
        <v>276</v>
      </c>
      <c r="P742">
        <v>1</v>
      </c>
      <c r="Q742">
        <v>9.25</v>
      </c>
      <c r="R742">
        <v>549.76300000000003</v>
      </c>
      <c r="S742">
        <v>4.1836174391999999E-2</v>
      </c>
      <c r="T742" s="4" t="s">
        <v>2830</v>
      </c>
    </row>
    <row r="743" spans="1:20" x14ac:dyDescent="0.2">
      <c r="A743" s="4" t="s">
        <v>2294</v>
      </c>
      <c r="B743" s="4" t="s">
        <v>2826</v>
      </c>
      <c r="C743" s="4" t="s">
        <v>2096</v>
      </c>
      <c r="D743" s="4" t="s">
        <v>2236</v>
      </c>
      <c r="E743" s="4" t="s">
        <v>2843</v>
      </c>
      <c r="F743" s="4" t="s">
        <v>2828</v>
      </c>
      <c r="G743" s="4" t="s">
        <v>2294</v>
      </c>
      <c r="H743" s="4" t="s">
        <v>2183</v>
      </c>
      <c r="I743" s="4" t="s">
        <v>2100</v>
      </c>
      <c r="J743" s="4" t="s">
        <v>2829</v>
      </c>
      <c r="K743">
        <v>24</v>
      </c>
      <c r="L743">
        <v>7.3152000000000008</v>
      </c>
      <c r="M743">
        <v>25.4</v>
      </c>
      <c r="N743">
        <v>234.95</v>
      </c>
      <c r="O743">
        <v>288.00000000000006</v>
      </c>
      <c r="P743">
        <v>1</v>
      </c>
      <c r="Q743">
        <v>9.25</v>
      </c>
      <c r="R743">
        <v>549.76300000000003</v>
      </c>
      <c r="S743">
        <v>4.3655138496000001E-2</v>
      </c>
      <c r="T743" s="4" t="s">
        <v>2830</v>
      </c>
    </row>
    <row r="744" spans="1:20" x14ac:dyDescent="0.2">
      <c r="A744" s="4" t="s">
        <v>2294</v>
      </c>
      <c r="B744" s="4" t="s">
        <v>2826</v>
      </c>
      <c r="C744" s="4" t="s">
        <v>2286</v>
      </c>
      <c r="D744" s="4" t="s">
        <v>2236</v>
      </c>
      <c r="E744" s="4" t="s">
        <v>2844</v>
      </c>
      <c r="F744" s="4" t="s">
        <v>2828</v>
      </c>
      <c r="G744" s="4" t="s">
        <v>2294</v>
      </c>
      <c r="H744" s="4" t="s">
        <v>2183</v>
      </c>
      <c r="I744" s="4" t="s">
        <v>2100</v>
      </c>
      <c r="J744" s="4" t="s">
        <v>2829</v>
      </c>
      <c r="K744">
        <v>3</v>
      </c>
      <c r="L744">
        <v>0.91439999999999999</v>
      </c>
      <c r="M744">
        <v>25.4</v>
      </c>
      <c r="N744">
        <v>234.95</v>
      </c>
      <c r="O744">
        <v>36</v>
      </c>
      <c r="P744">
        <v>1</v>
      </c>
      <c r="Q744">
        <v>9.25</v>
      </c>
      <c r="R744">
        <v>549.76300000000003</v>
      </c>
      <c r="S744">
        <v>5.4568923119999993E-3</v>
      </c>
      <c r="T744" s="4" t="s">
        <v>2845</v>
      </c>
    </row>
    <row r="745" spans="1:20" x14ac:dyDescent="0.2">
      <c r="A745" s="4" t="s">
        <v>2294</v>
      </c>
      <c r="B745" s="4" t="s">
        <v>2826</v>
      </c>
      <c r="C745" s="4" t="s">
        <v>2286</v>
      </c>
      <c r="D745" s="4" t="s">
        <v>2236</v>
      </c>
      <c r="E745" s="4" t="s">
        <v>2846</v>
      </c>
      <c r="F745" s="4" t="s">
        <v>2828</v>
      </c>
      <c r="G745" s="4" t="s">
        <v>2294</v>
      </c>
      <c r="H745" s="4" t="s">
        <v>2183</v>
      </c>
      <c r="I745" s="4" t="s">
        <v>2100</v>
      </c>
      <c r="J745" s="4" t="s">
        <v>2829</v>
      </c>
      <c r="K745">
        <v>4</v>
      </c>
      <c r="L745">
        <v>1.2192000000000001</v>
      </c>
      <c r="M745">
        <v>25.4</v>
      </c>
      <c r="N745">
        <v>234.95</v>
      </c>
      <c r="O745">
        <v>48.000000000000007</v>
      </c>
      <c r="P745">
        <v>1</v>
      </c>
      <c r="Q745">
        <v>9.25</v>
      </c>
      <c r="R745">
        <v>549.76300000000003</v>
      </c>
      <c r="S745">
        <v>7.2758564159999999E-3</v>
      </c>
      <c r="T745" s="4" t="s">
        <v>2845</v>
      </c>
    </row>
    <row r="746" spans="1:20" x14ac:dyDescent="0.2">
      <c r="A746" s="4" t="s">
        <v>2294</v>
      </c>
      <c r="B746" s="4" t="s">
        <v>2826</v>
      </c>
      <c r="C746" s="4" t="s">
        <v>2286</v>
      </c>
      <c r="D746" s="4" t="s">
        <v>2236</v>
      </c>
      <c r="E746" s="4" t="s">
        <v>2847</v>
      </c>
      <c r="F746" s="4" t="s">
        <v>2828</v>
      </c>
      <c r="G746" s="4" t="s">
        <v>2294</v>
      </c>
      <c r="H746" s="4" t="s">
        <v>2183</v>
      </c>
      <c r="I746" s="4" t="s">
        <v>2100</v>
      </c>
      <c r="J746" s="4" t="s">
        <v>2829</v>
      </c>
      <c r="K746">
        <v>5</v>
      </c>
      <c r="L746">
        <v>1.524</v>
      </c>
      <c r="M746">
        <v>25.4</v>
      </c>
      <c r="N746">
        <v>234.95</v>
      </c>
      <c r="O746">
        <v>60</v>
      </c>
      <c r="P746">
        <v>1</v>
      </c>
      <c r="Q746">
        <v>9.25</v>
      </c>
      <c r="R746">
        <v>549.76300000000003</v>
      </c>
      <c r="S746">
        <v>9.0948205200000014E-3</v>
      </c>
      <c r="T746" s="4" t="s">
        <v>2845</v>
      </c>
    </row>
    <row r="747" spans="1:20" x14ac:dyDescent="0.2">
      <c r="A747" s="4" t="s">
        <v>2294</v>
      </c>
      <c r="B747" s="4" t="s">
        <v>2826</v>
      </c>
      <c r="C747" s="4" t="s">
        <v>2286</v>
      </c>
      <c r="D747" s="4" t="s">
        <v>2236</v>
      </c>
      <c r="E747" s="4" t="s">
        <v>2848</v>
      </c>
      <c r="F747" s="4" t="s">
        <v>2828</v>
      </c>
      <c r="G747" s="4" t="s">
        <v>2294</v>
      </c>
      <c r="H747" s="4" t="s">
        <v>2183</v>
      </c>
      <c r="I747" s="4" t="s">
        <v>2100</v>
      </c>
      <c r="J747" s="4" t="s">
        <v>2829</v>
      </c>
      <c r="K747">
        <v>6</v>
      </c>
      <c r="L747">
        <v>1.8288</v>
      </c>
      <c r="M747">
        <v>25.4</v>
      </c>
      <c r="N747">
        <v>234.95</v>
      </c>
      <c r="O747">
        <v>72</v>
      </c>
      <c r="P747">
        <v>1</v>
      </c>
      <c r="Q747">
        <v>9.25</v>
      </c>
      <c r="R747">
        <v>549.76300000000003</v>
      </c>
      <c r="S747">
        <v>1.0913784623999999E-2</v>
      </c>
      <c r="T747" s="4" t="s">
        <v>2845</v>
      </c>
    </row>
    <row r="748" spans="1:20" x14ac:dyDescent="0.2">
      <c r="A748" s="4" t="s">
        <v>2294</v>
      </c>
      <c r="B748" s="4" t="s">
        <v>2826</v>
      </c>
      <c r="C748" s="4" t="s">
        <v>2286</v>
      </c>
      <c r="D748" s="4" t="s">
        <v>2236</v>
      </c>
      <c r="E748" s="4" t="s">
        <v>2849</v>
      </c>
      <c r="F748" s="4" t="s">
        <v>2828</v>
      </c>
      <c r="G748" s="4" t="s">
        <v>2294</v>
      </c>
      <c r="H748" s="4" t="s">
        <v>2183</v>
      </c>
      <c r="I748" s="4" t="s">
        <v>2100</v>
      </c>
      <c r="J748" s="4" t="s">
        <v>2829</v>
      </c>
      <c r="K748">
        <v>7</v>
      </c>
      <c r="L748">
        <v>2.1335999999999999</v>
      </c>
      <c r="M748">
        <v>25.4</v>
      </c>
      <c r="N748">
        <v>234.95</v>
      </c>
      <c r="O748">
        <v>84</v>
      </c>
      <c r="P748">
        <v>1</v>
      </c>
      <c r="Q748">
        <v>9.25</v>
      </c>
      <c r="R748">
        <v>549.76300000000003</v>
      </c>
      <c r="S748">
        <v>1.2732748727999999E-2</v>
      </c>
      <c r="T748" s="4" t="s">
        <v>2845</v>
      </c>
    </row>
    <row r="749" spans="1:20" x14ac:dyDescent="0.2">
      <c r="A749" s="4" t="s">
        <v>2294</v>
      </c>
      <c r="B749" s="4" t="s">
        <v>2826</v>
      </c>
      <c r="C749" s="4" t="s">
        <v>2096</v>
      </c>
      <c r="D749" s="4" t="s">
        <v>2236</v>
      </c>
      <c r="E749" s="4" t="s">
        <v>2850</v>
      </c>
      <c r="F749" s="4" t="s">
        <v>2828</v>
      </c>
      <c r="G749" s="4" t="s">
        <v>2294</v>
      </c>
      <c r="H749" s="4" t="s">
        <v>2183</v>
      </c>
      <c r="I749" s="4" t="s">
        <v>2100</v>
      </c>
      <c r="J749" s="4" t="s">
        <v>2829</v>
      </c>
      <c r="K749">
        <v>8</v>
      </c>
      <c r="L749">
        <v>2.4384000000000001</v>
      </c>
      <c r="M749">
        <v>25.4</v>
      </c>
      <c r="N749">
        <v>234.95</v>
      </c>
      <c r="O749">
        <v>96.000000000000014</v>
      </c>
      <c r="P749">
        <v>1</v>
      </c>
      <c r="Q749">
        <v>9.25</v>
      </c>
      <c r="R749">
        <v>549.76300000000003</v>
      </c>
      <c r="S749">
        <v>1.4551712832E-2</v>
      </c>
      <c r="T749" s="4" t="s">
        <v>2830</v>
      </c>
    </row>
    <row r="750" spans="1:20" x14ac:dyDescent="0.2">
      <c r="A750" s="4" t="s">
        <v>2294</v>
      </c>
      <c r="B750" s="4" t="s">
        <v>2826</v>
      </c>
      <c r="C750" s="4" t="s">
        <v>2096</v>
      </c>
      <c r="D750" s="4" t="s">
        <v>2236</v>
      </c>
      <c r="E750" s="4" t="s">
        <v>2851</v>
      </c>
      <c r="F750" s="4" t="s">
        <v>2828</v>
      </c>
      <c r="G750" s="4" t="s">
        <v>2294</v>
      </c>
      <c r="H750" s="4" t="s">
        <v>2183</v>
      </c>
      <c r="I750" s="4" t="s">
        <v>2100</v>
      </c>
      <c r="J750" s="4" t="s">
        <v>2829</v>
      </c>
      <c r="K750">
        <v>9</v>
      </c>
      <c r="L750">
        <v>2.7431999999999999</v>
      </c>
      <c r="M750">
        <v>25.4</v>
      </c>
      <c r="N750">
        <v>234.95</v>
      </c>
      <c r="O750">
        <v>108</v>
      </c>
      <c r="P750">
        <v>1</v>
      </c>
      <c r="Q750">
        <v>9.25</v>
      </c>
      <c r="R750">
        <v>549.76300000000003</v>
      </c>
      <c r="S750">
        <v>1.6370676936E-2</v>
      </c>
      <c r="T750" s="4" t="s">
        <v>2830</v>
      </c>
    </row>
    <row r="751" spans="1:20" x14ac:dyDescent="0.2">
      <c r="A751" s="4" t="s">
        <v>2294</v>
      </c>
      <c r="B751" s="4" t="s">
        <v>2852</v>
      </c>
      <c r="C751" s="4" t="s">
        <v>2096</v>
      </c>
      <c r="D751" s="4" t="s">
        <v>2236</v>
      </c>
      <c r="E751" s="4" t="s">
        <v>444</v>
      </c>
      <c r="F751" s="4" t="s">
        <v>2853</v>
      </c>
      <c r="G751" s="4" t="s">
        <v>2294</v>
      </c>
      <c r="H751" s="4" t="s">
        <v>2183</v>
      </c>
      <c r="I751" s="4" t="s">
        <v>2100</v>
      </c>
      <c r="J751" s="4" t="s">
        <v>2854</v>
      </c>
      <c r="K751">
        <v>10</v>
      </c>
      <c r="L751">
        <v>3.048</v>
      </c>
      <c r="M751">
        <v>25.4</v>
      </c>
      <c r="N751">
        <v>285.75</v>
      </c>
      <c r="O751">
        <v>120</v>
      </c>
      <c r="P751">
        <v>1</v>
      </c>
      <c r="Q751">
        <v>11.25</v>
      </c>
      <c r="R751">
        <v>452.02800000000002</v>
      </c>
      <c r="S751">
        <v>2.21225364E-2</v>
      </c>
      <c r="T751" s="4" t="s">
        <v>2855</v>
      </c>
    </row>
    <row r="752" spans="1:20" x14ac:dyDescent="0.2">
      <c r="A752" s="4" t="s">
        <v>2294</v>
      </c>
      <c r="B752" s="4" t="s">
        <v>2852</v>
      </c>
      <c r="C752" s="4" t="s">
        <v>2096</v>
      </c>
      <c r="D752" s="4" t="s">
        <v>2236</v>
      </c>
      <c r="E752" s="4" t="s">
        <v>2856</v>
      </c>
      <c r="F752" s="4" t="s">
        <v>2853</v>
      </c>
      <c r="G752" s="4" t="s">
        <v>2294</v>
      </c>
      <c r="H752" s="4" t="s">
        <v>2183</v>
      </c>
      <c r="I752" s="4" t="s">
        <v>2100</v>
      </c>
      <c r="J752" s="4" t="s">
        <v>2854</v>
      </c>
      <c r="K752">
        <v>11</v>
      </c>
      <c r="L752">
        <v>3.3527999999999998</v>
      </c>
      <c r="M752">
        <v>25.4</v>
      </c>
      <c r="N752">
        <v>285.75</v>
      </c>
      <c r="O752">
        <v>132</v>
      </c>
      <c r="P752">
        <v>1</v>
      </c>
      <c r="Q752">
        <v>11.25</v>
      </c>
      <c r="R752">
        <v>452.02800000000002</v>
      </c>
      <c r="S752">
        <v>2.4334790039999995E-2</v>
      </c>
      <c r="T752" s="4" t="s">
        <v>2855</v>
      </c>
    </row>
    <row r="753" spans="1:20" x14ac:dyDescent="0.2">
      <c r="A753" s="4" t="s">
        <v>2294</v>
      </c>
      <c r="B753" s="4" t="s">
        <v>2852</v>
      </c>
      <c r="C753" s="4" t="s">
        <v>2096</v>
      </c>
      <c r="D753" s="4" t="s">
        <v>2236</v>
      </c>
      <c r="E753" s="4" t="s">
        <v>446</v>
      </c>
      <c r="F753" s="4" t="s">
        <v>2853</v>
      </c>
      <c r="G753" s="4" t="s">
        <v>2294</v>
      </c>
      <c r="H753" s="4" t="s">
        <v>2183</v>
      </c>
      <c r="I753" s="4" t="s">
        <v>2100</v>
      </c>
      <c r="J753" s="4" t="s">
        <v>2854</v>
      </c>
      <c r="K753">
        <v>12</v>
      </c>
      <c r="L753">
        <v>3.6576</v>
      </c>
      <c r="M753">
        <v>25.4</v>
      </c>
      <c r="N753">
        <v>285.75</v>
      </c>
      <c r="O753">
        <v>144</v>
      </c>
      <c r="P753">
        <v>1</v>
      </c>
      <c r="Q753">
        <v>11.25</v>
      </c>
      <c r="R753">
        <v>452.02800000000002</v>
      </c>
      <c r="S753">
        <v>2.6547043679999997E-2</v>
      </c>
      <c r="T753" s="4" t="s">
        <v>2855</v>
      </c>
    </row>
    <row r="754" spans="1:20" x14ac:dyDescent="0.2">
      <c r="A754" s="4" t="s">
        <v>2294</v>
      </c>
      <c r="B754" s="4" t="s">
        <v>2852</v>
      </c>
      <c r="C754" s="4" t="s">
        <v>2096</v>
      </c>
      <c r="D754" s="4" t="s">
        <v>2236</v>
      </c>
      <c r="E754" s="4" t="s">
        <v>2857</v>
      </c>
      <c r="F754" s="4" t="s">
        <v>2853</v>
      </c>
      <c r="G754" s="4" t="s">
        <v>2294</v>
      </c>
      <c r="H754" s="4" t="s">
        <v>2183</v>
      </c>
      <c r="I754" s="4" t="s">
        <v>2100</v>
      </c>
      <c r="J754" s="4" t="s">
        <v>2854</v>
      </c>
      <c r="K754">
        <v>13</v>
      </c>
      <c r="L754">
        <v>3.9624000000000001</v>
      </c>
      <c r="M754">
        <v>25.4</v>
      </c>
      <c r="N754">
        <v>285.75</v>
      </c>
      <c r="O754">
        <v>156</v>
      </c>
      <c r="P754">
        <v>1</v>
      </c>
      <c r="Q754">
        <v>11.25</v>
      </c>
      <c r="R754">
        <v>452.02800000000002</v>
      </c>
      <c r="S754">
        <v>2.8759297319999998E-2</v>
      </c>
      <c r="T754" s="4" t="s">
        <v>2855</v>
      </c>
    </row>
    <row r="755" spans="1:20" x14ac:dyDescent="0.2">
      <c r="A755" s="4" t="s">
        <v>2294</v>
      </c>
      <c r="B755" s="4" t="s">
        <v>2852</v>
      </c>
      <c r="C755" s="4" t="s">
        <v>2096</v>
      </c>
      <c r="D755" s="4" t="s">
        <v>2236</v>
      </c>
      <c r="E755" s="4" t="s">
        <v>448</v>
      </c>
      <c r="F755" s="4" t="s">
        <v>2853</v>
      </c>
      <c r="G755" s="4" t="s">
        <v>2294</v>
      </c>
      <c r="H755" s="4" t="s">
        <v>2183</v>
      </c>
      <c r="I755" s="4" t="s">
        <v>2100</v>
      </c>
      <c r="J755" s="4" t="s">
        <v>2854</v>
      </c>
      <c r="K755">
        <v>14</v>
      </c>
      <c r="L755">
        <v>4.2671999999999999</v>
      </c>
      <c r="M755">
        <v>25.4</v>
      </c>
      <c r="N755">
        <v>285.75</v>
      </c>
      <c r="O755">
        <v>168</v>
      </c>
      <c r="P755">
        <v>1</v>
      </c>
      <c r="Q755">
        <v>11.25</v>
      </c>
      <c r="R755">
        <v>452.02800000000002</v>
      </c>
      <c r="S755">
        <v>3.0971550959999997E-2</v>
      </c>
      <c r="T755" s="4" t="s">
        <v>2855</v>
      </c>
    </row>
    <row r="756" spans="1:20" x14ac:dyDescent="0.2">
      <c r="A756" s="4" t="s">
        <v>2294</v>
      </c>
      <c r="B756" s="4" t="s">
        <v>2852</v>
      </c>
      <c r="C756" s="4" t="s">
        <v>2096</v>
      </c>
      <c r="D756" s="4" t="s">
        <v>2236</v>
      </c>
      <c r="E756" s="4" t="s">
        <v>2858</v>
      </c>
      <c r="F756" s="4" t="s">
        <v>2853</v>
      </c>
      <c r="G756" s="4" t="s">
        <v>2294</v>
      </c>
      <c r="H756" s="4" t="s">
        <v>2183</v>
      </c>
      <c r="I756" s="4" t="s">
        <v>2100</v>
      </c>
      <c r="J756" s="4" t="s">
        <v>2854</v>
      </c>
      <c r="K756">
        <v>15</v>
      </c>
      <c r="L756">
        <v>4.5720000000000001</v>
      </c>
      <c r="M756">
        <v>25.4</v>
      </c>
      <c r="N756">
        <v>285.75</v>
      </c>
      <c r="O756">
        <v>180</v>
      </c>
      <c r="P756">
        <v>1</v>
      </c>
      <c r="Q756">
        <v>11.25</v>
      </c>
      <c r="R756">
        <v>452.02800000000002</v>
      </c>
      <c r="S756">
        <v>3.3183804600000005E-2</v>
      </c>
      <c r="T756" s="4" t="s">
        <v>2855</v>
      </c>
    </row>
    <row r="757" spans="1:20" x14ac:dyDescent="0.2">
      <c r="A757" s="4" t="s">
        <v>2294</v>
      </c>
      <c r="B757" s="4" t="s">
        <v>2852</v>
      </c>
      <c r="C757" s="4" t="s">
        <v>2096</v>
      </c>
      <c r="D757" s="4" t="s">
        <v>2236</v>
      </c>
      <c r="E757" s="4" t="s">
        <v>2859</v>
      </c>
      <c r="F757" s="4" t="s">
        <v>2853</v>
      </c>
      <c r="G757" s="4" t="s">
        <v>2294</v>
      </c>
      <c r="H757" s="4" t="s">
        <v>2183</v>
      </c>
      <c r="I757" s="4" t="s">
        <v>2100</v>
      </c>
      <c r="J757" s="4" t="s">
        <v>2854</v>
      </c>
      <c r="K757">
        <v>16</v>
      </c>
      <c r="L757">
        <v>4.8768000000000002</v>
      </c>
      <c r="M757">
        <v>25.4</v>
      </c>
      <c r="N757">
        <v>285.75</v>
      </c>
      <c r="O757">
        <v>192.00000000000003</v>
      </c>
      <c r="P757">
        <v>1</v>
      </c>
      <c r="Q757">
        <v>11.25</v>
      </c>
      <c r="R757">
        <v>452.02800000000002</v>
      </c>
      <c r="S757">
        <v>3.539605824E-2</v>
      </c>
      <c r="T757" s="4" t="s">
        <v>2855</v>
      </c>
    </row>
    <row r="758" spans="1:20" x14ac:dyDescent="0.2">
      <c r="A758" s="4" t="s">
        <v>2294</v>
      </c>
      <c r="B758" s="4" t="s">
        <v>2852</v>
      </c>
      <c r="C758" s="4" t="s">
        <v>2096</v>
      </c>
      <c r="D758" s="4" t="s">
        <v>2236</v>
      </c>
      <c r="E758" s="4" t="s">
        <v>2860</v>
      </c>
      <c r="F758" s="4" t="s">
        <v>2853</v>
      </c>
      <c r="G758" s="4" t="s">
        <v>2294</v>
      </c>
      <c r="H758" s="4" t="s">
        <v>2183</v>
      </c>
      <c r="I758" s="4" t="s">
        <v>2100</v>
      </c>
      <c r="J758" s="4" t="s">
        <v>2854</v>
      </c>
      <c r="K758">
        <v>17</v>
      </c>
      <c r="L758">
        <v>5.1816000000000004</v>
      </c>
      <c r="M758">
        <v>25.4</v>
      </c>
      <c r="N758">
        <v>285.75</v>
      </c>
      <c r="O758">
        <v>204.00000000000003</v>
      </c>
      <c r="P758">
        <v>1</v>
      </c>
      <c r="Q758">
        <v>11.25</v>
      </c>
      <c r="R758">
        <v>452.02800000000002</v>
      </c>
      <c r="S758">
        <v>3.7608311880000002E-2</v>
      </c>
      <c r="T758" s="4" t="s">
        <v>2855</v>
      </c>
    </row>
    <row r="759" spans="1:20" x14ac:dyDescent="0.2">
      <c r="A759" s="4" t="s">
        <v>2294</v>
      </c>
      <c r="B759" s="4" t="s">
        <v>2852</v>
      </c>
      <c r="C759" s="4" t="s">
        <v>2096</v>
      </c>
      <c r="D759" s="4" t="s">
        <v>2236</v>
      </c>
      <c r="E759" s="4" t="s">
        <v>2861</v>
      </c>
      <c r="F759" s="4" t="s">
        <v>2853</v>
      </c>
      <c r="G759" s="4" t="s">
        <v>2294</v>
      </c>
      <c r="H759" s="4" t="s">
        <v>2183</v>
      </c>
      <c r="I759" s="4" t="s">
        <v>2100</v>
      </c>
      <c r="J759" s="4" t="s">
        <v>2854</v>
      </c>
      <c r="K759">
        <v>18</v>
      </c>
      <c r="L759">
        <v>5.4863999999999997</v>
      </c>
      <c r="M759">
        <v>25.4</v>
      </c>
      <c r="N759">
        <v>285.75</v>
      </c>
      <c r="O759">
        <v>216</v>
      </c>
      <c r="P759">
        <v>1</v>
      </c>
      <c r="Q759">
        <v>11.25</v>
      </c>
      <c r="R759">
        <v>452.02800000000002</v>
      </c>
      <c r="S759">
        <v>3.9820565519999997E-2</v>
      </c>
      <c r="T759" s="4" t="s">
        <v>2855</v>
      </c>
    </row>
    <row r="760" spans="1:20" x14ac:dyDescent="0.2">
      <c r="A760" s="4" t="s">
        <v>2294</v>
      </c>
      <c r="B760" s="4" t="s">
        <v>2852</v>
      </c>
      <c r="C760" s="4" t="s">
        <v>2096</v>
      </c>
      <c r="D760" s="4" t="s">
        <v>2236</v>
      </c>
      <c r="E760" s="4" t="s">
        <v>2862</v>
      </c>
      <c r="F760" s="4" t="s">
        <v>2853</v>
      </c>
      <c r="G760" s="4" t="s">
        <v>2294</v>
      </c>
      <c r="H760" s="4" t="s">
        <v>2183</v>
      </c>
      <c r="I760" s="4" t="s">
        <v>2100</v>
      </c>
      <c r="J760" s="4" t="s">
        <v>2854</v>
      </c>
      <c r="K760">
        <v>19</v>
      </c>
      <c r="L760">
        <v>5.7911999999999999</v>
      </c>
      <c r="M760">
        <v>25.4</v>
      </c>
      <c r="N760">
        <v>285.75</v>
      </c>
      <c r="O760">
        <v>228</v>
      </c>
      <c r="P760">
        <v>1</v>
      </c>
      <c r="Q760">
        <v>11.25</v>
      </c>
      <c r="R760">
        <v>452.02800000000002</v>
      </c>
      <c r="S760">
        <v>4.2032819159999998E-2</v>
      </c>
      <c r="T760" s="4" t="s">
        <v>2855</v>
      </c>
    </row>
    <row r="761" spans="1:20" x14ac:dyDescent="0.2">
      <c r="A761" s="4" t="s">
        <v>2294</v>
      </c>
      <c r="B761" s="4" t="s">
        <v>2852</v>
      </c>
      <c r="C761" s="4" t="s">
        <v>2096</v>
      </c>
      <c r="D761" s="4" t="s">
        <v>2236</v>
      </c>
      <c r="E761" s="4" t="s">
        <v>1925</v>
      </c>
      <c r="F761" s="4" t="s">
        <v>2853</v>
      </c>
      <c r="G761" s="4" t="s">
        <v>2294</v>
      </c>
      <c r="H761" s="4" t="s">
        <v>2183</v>
      </c>
      <c r="I761" s="4" t="s">
        <v>2100</v>
      </c>
      <c r="J761" s="4" t="s">
        <v>2854</v>
      </c>
      <c r="K761">
        <v>20</v>
      </c>
      <c r="L761">
        <v>6.0960000000000001</v>
      </c>
      <c r="M761">
        <v>25.4</v>
      </c>
      <c r="N761">
        <v>285.75</v>
      </c>
      <c r="O761">
        <v>240</v>
      </c>
      <c r="P761">
        <v>1</v>
      </c>
      <c r="Q761">
        <v>11.25</v>
      </c>
      <c r="R761">
        <v>452.02800000000002</v>
      </c>
      <c r="S761">
        <v>4.42450728E-2</v>
      </c>
      <c r="T761" s="4" t="s">
        <v>2855</v>
      </c>
    </row>
    <row r="762" spans="1:20" x14ac:dyDescent="0.2">
      <c r="A762" s="4" t="s">
        <v>2294</v>
      </c>
      <c r="B762" s="4" t="s">
        <v>2852</v>
      </c>
      <c r="C762" s="4" t="s">
        <v>2096</v>
      </c>
      <c r="D762" s="4" t="s">
        <v>2236</v>
      </c>
      <c r="E762" s="4" t="s">
        <v>2863</v>
      </c>
      <c r="F762" s="4" t="s">
        <v>2853</v>
      </c>
      <c r="G762" s="4" t="s">
        <v>2294</v>
      </c>
      <c r="H762" s="4" t="s">
        <v>2183</v>
      </c>
      <c r="I762" s="4" t="s">
        <v>2100</v>
      </c>
      <c r="J762" s="4" t="s">
        <v>2854</v>
      </c>
      <c r="K762">
        <v>21</v>
      </c>
      <c r="L762">
        <v>6.4008000000000003</v>
      </c>
      <c r="M762">
        <v>25.4</v>
      </c>
      <c r="N762">
        <v>285.75</v>
      </c>
      <c r="O762">
        <v>252.00000000000003</v>
      </c>
      <c r="P762">
        <v>1</v>
      </c>
      <c r="Q762">
        <v>11.25</v>
      </c>
      <c r="R762">
        <v>452.02800000000002</v>
      </c>
      <c r="S762">
        <v>4.6457326440000002E-2</v>
      </c>
      <c r="T762" s="4" t="s">
        <v>2855</v>
      </c>
    </row>
    <row r="763" spans="1:20" x14ac:dyDescent="0.2">
      <c r="A763" s="4" t="s">
        <v>2294</v>
      </c>
      <c r="B763" s="4" t="s">
        <v>2852</v>
      </c>
      <c r="C763" s="4" t="s">
        <v>2096</v>
      </c>
      <c r="D763" s="4" t="s">
        <v>2236</v>
      </c>
      <c r="E763" s="4" t="s">
        <v>2864</v>
      </c>
      <c r="F763" s="4" t="s">
        <v>2853</v>
      </c>
      <c r="G763" s="4" t="s">
        <v>2294</v>
      </c>
      <c r="H763" s="4" t="s">
        <v>2183</v>
      </c>
      <c r="I763" s="4" t="s">
        <v>2100</v>
      </c>
      <c r="J763" s="4" t="s">
        <v>2854</v>
      </c>
      <c r="K763">
        <v>22</v>
      </c>
      <c r="L763">
        <v>6.7055999999999996</v>
      </c>
      <c r="M763">
        <v>25.4</v>
      </c>
      <c r="N763">
        <v>285.75</v>
      </c>
      <c r="O763">
        <v>264</v>
      </c>
      <c r="P763">
        <v>1</v>
      </c>
      <c r="Q763">
        <v>11.25</v>
      </c>
      <c r="R763">
        <v>452.02800000000002</v>
      </c>
      <c r="S763">
        <v>4.866958007999999E-2</v>
      </c>
      <c r="T763" s="4" t="s">
        <v>2855</v>
      </c>
    </row>
    <row r="764" spans="1:20" x14ac:dyDescent="0.2">
      <c r="A764" s="4" t="s">
        <v>2294</v>
      </c>
      <c r="B764" s="4" t="s">
        <v>2852</v>
      </c>
      <c r="C764" s="4" t="s">
        <v>2096</v>
      </c>
      <c r="D764" s="4" t="s">
        <v>2236</v>
      </c>
      <c r="E764" s="4" t="s">
        <v>2865</v>
      </c>
      <c r="F764" s="4" t="s">
        <v>2853</v>
      </c>
      <c r="G764" s="4" t="s">
        <v>2294</v>
      </c>
      <c r="H764" s="4" t="s">
        <v>2183</v>
      </c>
      <c r="I764" s="4" t="s">
        <v>2100</v>
      </c>
      <c r="J764" s="4" t="s">
        <v>2854</v>
      </c>
      <c r="K764">
        <v>23</v>
      </c>
      <c r="L764">
        <v>7.0103999999999997</v>
      </c>
      <c r="M764">
        <v>25.4</v>
      </c>
      <c r="N764">
        <v>285.75</v>
      </c>
      <c r="O764">
        <v>276</v>
      </c>
      <c r="P764">
        <v>1</v>
      </c>
      <c r="Q764">
        <v>11.25</v>
      </c>
      <c r="R764">
        <v>452.02800000000002</v>
      </c>
      <c r="S764">
        <v>5.0881833720000005E-2</v>
      </c>
      <c r="T764" s="4" t="s">
        <v>2855</v>
      </c>
    </row>
    <row r="765" spans="1:20" x14ac:dyDescent="0.2">
      <c r="A765" s="4" t="s">
        <v>2294</v>
      </c>
      <c r="B765" s="4" t="s">
        <v>2852</v>
      </c>
      <c r="C765" s="4" t="s">
        <v>2096</v>
      </c>
      <c r="D765" s="4" t="s">
        <v>2236</v>
      </c>
      <c r="E765" s="4" t="s">
        <v>2866</v>
      </c>
      <c r="F765" s="4" t="s">
        <v>2853</v>
      </c>
      <c r="G765" s="4" t="s">
        <v>2294</v>
      </c>
      <c r="H765" s="4" t="s">
        <v>2183</v>
      </c>
      <c r="I765" s="4" t="s">
        <v>2100</v>
      </c>
      <c r="J765" s="4" t="s">
        <v>2854</v>
      </c>
      <c r="K765">
        <v>24</v>
      </c>
      <c r="L765">
        <v>7.3152000000000008</v>
      </c>
      <c r="M765">
        <v>25.4</v>
      </c>
      <c r="N765">
        <v>285.75</v>
      </c>
      <c r="O765">
        <v>288.00000000000006</v>
      </c>
      <c r="P765">
        <v>1</v>
      </c>
      <c r="Q765">
        <v>11.25</v>
      </c>
      <c r="R765">
        <v>452.02800000000002</v>
      </c>
      <c r="S765">
        <v>5.309408736E-2</v>
      </c>
      <c r="T765" s="4" t="s">
        <v>2855</v>
      </c>
    </row>
    <row r="766" spans="1:20" x14ac:dyDescent="0.2">
      <c r="A766" s="4" t="s">
        <v>2294</v>
      </c>
      <c r="B766" s="4" t="s">
        <v>2852</v>
      </c>
      <c r="C766" s="4" t="s">
        <v>2286</v>
      </c>
      <c r="D766" s="4" t="s">
        <v>2236</v>
      </c>
      <c r="E766" s="4" t="s">
        <v>2867</v>
      </c>
      <c r="F766" s="4" t="s">
        <v>2853</v>
      </c>
      <c r="G766" s="4" t="s">
        <v>2294</v>
      </c>
      <c r="H766" s="4" t="s">
        <v>2183</v>
      </c>
      <c r="I766" s="4" t="s">
        <v>2100</v>
      </c>
      <c r="J766" s="4" t="s">
        <v>2854</v>
      </c>
      <c r="K766">
        <v>3</v>
      </c>
      <c r="L766">
        <v>0.91439999999999999</v>
      </c>
      <c r="M766">
        <v>25.4</v>
      </c>
      <c r="N766">
        <v>285.75</v>
      </c>
      <c r="O766">
        <v>36</v>
      </c>
      <c r="P766">
        <v>1</v>
      </c>
      <c r="Q766">
        <v>11.25</v>
      </c>
      <c r="R766">
        <v>452.02800000000002</v>
      </c>
      <c r="S766">
        <v>6.6367609199999992E-3</v>
      </c>
      <c r="T766" s="4" t="s">
        <v>2868</v>
      </c>
    </row>
    <row r="767" spans="1:20" x14ac:dyDescent="0.2">
      <c r="A767" s="4" t="s">
        <v>2294</v>
      </c>
      <c r="B767" s="4" t="s">
        <v>2852</v>
      </c>
      <c r="C767" s="4" t="s">
        <v>2286</v>
      </c>
      <c r="D767" s="4" t="s">
        <v>2236</v>
      </c>
      <c r="E767" s="4" t="s">
        <v>2869</v>
      </c>
      <c r="F767" s="4" t="s">
        <v>2853</v>
      </c>
      <c r="G767" s="4" t="s">
        <v>2294</v>
      </c>
      <c r="H767" s="4" t="s">
        <v>2183</v>
      </c>
      <c r="I767" s="4" t="s">
        <v>2100</v>
      </c>
      <c r="J767" s="4" t="s">
        <v>2854</v>
      </c>
      <c r="K767">
        <v>4</v>
      </c>
      <c r="L767">
        <v>1.2192000000000001</v>
      </c>
      <c r="M767">
        <v>25.4</v>
      </c>
      <c r="N767">
        <v>285.75</v>
      </c>
      <c r="O767">
        <v>48.000000000000007</v>
      </c>
      <c r="P767">
        <v>1</v>
      </c>
      <c r="Q767">
        <v>11.25</v>
      </c>
      <c r="R767">
        <v>452.02800000000002</v>
      </c>
      <c r="S767">
        <v>8.84901456E-3</v>
      </c>
      <c r="T767" s="4" t="s">
        <v>2868</v>
      </c>
    </row>
    <row r="768" spans="1:20" x14ac:dyDescent="0.2">
      <c r="A768" s="4" t="s">
        <v>2294</v>
      </c>
      <c r="B768" s="4" t="s">
        <v>2852</v>
      </c>
      <c r="C768" s="4" t="s">
        <v>2286</v>
      </c>
      <c r="D768" s="4" t="s">
        <v>2236</v>
      </c>
      <c r="E768" s="4" t="s">
        <v>2870</v>
      </c>
      <c r="F768" s="4" t="s">
        <v>2853</v>
      </c>
      <c r="G768" s="4" t="s">
        <v>2294</v>
      </c>
      <c r="H768" s="4" t="s">
        <v>2183</v>
      </c>
      <c r="I768" s="4" t="s">
        <v>2100</v>
      </c>
      <c r="J768" s="4" t="s">
        <v>2854</v>
      </c>
      <c r="K768">
        <v>5</v>
      </c>
      <c r="L768">
        <v>1.524</v>
      </c>
      <c r="M768">
        <v>25.4</v>
      </c>
      <c r="N768">
        <v>285.75</v>
      </c>
      <c r="O768">
        <v>60</v>
      </c>
      <c r="P768">
        <v>1</v>
      </c>
      <c r="Q768">
        <v>11.25</v>
      </c>
      <c r="R768">
        <v>452.02800000000002</v>
      </c>
      <c r="S768">
        <v>1.10612682E-2</v>
      </c>
      <c r="T768" s="4" t="s">
        <v>2868</v>
      </c>
    </row>
    <row r="769" spans="1:20" x14ac:dyDescent="0.2">
      <c r="A769" s="4" t="s">
        <v>2294</v>
      </c>
      <c r="B769" s="4" t="s">
        <v>2852</v>
      </c>
      <c r="C769" s="4" t="s">
        <v>2286</v>
      </c>
      <c r="D769" s="4" t="s">
        <v>2236</v>
      </c>
      <c r="E769" s="4" t="s">
        <v>2871</v>
      </c>
      <c r="F769" s="4" t="s">
        <v>2853</v>
      </c>
      <c r="G769" s="4" t="s">
        <v>2294</v>
      </c>
      <c r="H769" s="4" t="s">
        <v>2183</v>
      </c>
      <c r="I769" s="4" t="s">
        <v>2100</v>
      </c>
      <c r="J769" s="4" t="s">
        <v>2854</v>
      </c>
      <c r="K769">
        <v>6</v>
      </c>
      <c r="L769">
        <v>1.8288</v>
      </c>
      <c r="M769">
        <v>25.4</v>
      </c>
      <c r="N769">
        <v>285.75</v>
      </c>
      <c r="O769">
        <v>72</v>
      </c>
      <c r="P769">
        <v>1</v>
      </c>
      <c r="Q769">
        <v>11.25</v>
      </c>
      <c r="R769">
        <v>452.02800000000002</v>
      </c>
      <c r="S769">
        <v>1.3273521839999998E-2</v>
      </c>
      <c r="T769" s="4" t="s">
        <v>2868</v>
      </c>
    </row>
    <row r="770" spans="1:20" x14ac:dyDescent="0.2">
      <c r="A770" s="4" t="s">
        <v>2294</v>
      </c>
      <c r="B770" s="4" t="s">
        <v>2852</v>
      </c>
      <c r="C770" s="4" t="s">
        <v>2286</v>
      </c>
      <c r="D770" s="4" t="s">
        <v>2236</v>
      </c>
      <c r="E770" s="4" t="s">
        <v>2872</v>
      </c>
      <c r="F770" s="4" t="s">
        <v>2853</v>
      </c>
      <c r="G770" s="4" t="s">
        <v>2294</v>
      </c>
      <c r="H770" s="4" t="s">
        <v>2183</v>
      </c>
      <c r="I770" s="4" t="s">
        <v>2100</v>
      </c>
      <c r="J770" s="4" t="s">
        <v>2854</v>
      </c>
      <c r="K770">
        <v>7</v>
      </c>
      <c r="L770">
        <v>2.1335999999999999</v>
      </c>
      <c r="M770">
        <v>25.4</v>
      </c>
      <c r="N770">
        <v>285.75</v>
      </c>
      <c r="O770">
        <v>84</v>
      </c>
      <c r="P770">
        <v>1</v>
      </c>
      <c r="Q770">
        <v>11.25</v>
      </c>
      <c r="R770">
        <v>452.02800000000002</v>
      </c>
      <c r="S770">
        <v>1.5485775479999998E-2</v>
      </c>
      <c r="T770" s="4" t="s">
        <v>2868</v>
      </c>
    </row>
    <row r="771" spans="1:20" x14ac:dyDescent="0.2">
      <c r="A771" s="4" t="s">
        <v>2294</v>
      </c>
      <c r="B771" s="4" t="s">
        <v>2852</v>
      </c>
      <c r="C771" s="4" t="s">
        <v>2096</v>
      </c>
      <c r="D771" s="4" t="s">
        <v>2236</v>
      </c>
      <c r="E771" s="4" t="s">
        <v>450</v>
      </c>
      <c r="F771" s="4" t="s">
        <v>2853</v>
      </c>
      <c r="G771" s="4" t="s">
        <v>2294</v>
      </c>
      <c r="H771" s="4" t="s">
        <v>2183</v>
      </c>
      <c r="I771" s="4" t="s">
        <v>2100</v>
      </c>
      <c r="J771" s="4" t="s">
        <v>2854</v>
      </c>
      <c r="K771">
        <v>8</v>
      </c>
      <c r="L771">
        <v>2.4384000000000001</v>
      </c>
      <c r="M771">
        <v>25.4</v>
      </c>
      <c r="N771">
        <v>285.75</v>
      </c>
      <c r="O771">
        <v>96.000000000000014</v>
      </c>
      <c r="P771">
        <v>1</v>
      </c>
      <c r="Q771">
        <v>11.25</v>
      </c>
      <c r="R771">
        <v>452.02800000000002</v>
      </c>
      <c r="S771">
        <v>1.769802912E-2</v>
      </c>
      <c r="T771" s="4" t="s">
        <v>2855</v>
      </c>
    </row>
    <row r="772" spans="1:20" x14ac:dyDescent="0.2">
      <c r="A772" s="4" t="s">
        <v>2294</v>
      </c>
      <c r="B772" s="4" t="s">
        <v>2852</v>
      </c>
      <c r="C772" s="4" t="s">
        <v>2096</v>
      </c>
      <c r="D772" s="4" t="s">
        <v>2236</v>
      </c>
      <c r="E772" s="4" t="s">
        <v>2873</v>
      </c>
      <c r="F772" s="4" t="s">
        <v>2853</v>
      </c>
      <c r="G772" s="4" t="s">
        <v>2294</v>
      </c>
      <c r="H772" s="4" t="s">
        <v>2183</v>
      </c>
      <c r="I772" s="4" t="s">
        <v>2100</v>
      </c>
      <c r="J772" s="4" t="s">
        <v>2854</v>
      </c>
      <c r="K772">
        <v>9</v>
      </c>
      <c r="L772">
        <v>2.7431999999999999</v>
      </c>
      <c r="M772">
        <v>25.4</v>
      </c>
      <c r="N772">
        <v>285.75</v>
      </c>
      <c r="O772">
        <v>108</v>
      </c>
      <c r="P772">
        <v>1</v>
      </c>
      <c r="Q772">
        <v>11.25</v>
      </c>
      <c r="R772">
        <v>452.02800000000002</v>
      </c>
      <c r="S772">
        <v>1.9910282759999998E-2</v>
      </c>
      <c r="T772" s="4" t="s">
        <v>2855</v>
      </c>
    </row>
    <row r="773" spans="1:20" x14ac:dyDescent="0.2">
      <c r="A773" s="4" t="s">
        <v>2294</v>
      </c>
      <c r="B773" s="4" t="s">
        <v>2295</v>
      </c>
      <c r="C773" s="4" t="s">
        <v>2096</v>
      </c>
      <c r="D773" s="4" t="s">
        <v>2236</v>
      </c>
      <c r="E773" s="4" t="s">
        <v>452</v>
      </c>
      <c r="F773" s="4" t="s">
        <v>2874</v>
      </c>
      <c r="G773" s="4" t="s">
        <v>2294</v>
      </c>
      <c r="H773" s="4" t="s">
        <v>2183</v>
      </c>
      <c r="I773" s="4" t="s">
        <v>2100</v>
      </c>
      <c r="J773" s="4" t="s">
        <v>2111</v>
      </c>
      <c r="K773">
        <v>10</v>
      </c>
      <c r="L773">
        <v>3.048</v>
      </c>
      <c r="M773">
        <v>25.4</v>
      </c>
      <c r="N773">
        <v>139.69999999999999</v>
      </c>
      <c r="O773">
        <v>120</v>
      </c>
      <c r="P773">
        <v>1</v>
      </c>
      <c r="Q773">
        <v>5.5</v>
      </c>
      <c r="R773">
        <v>924.60199999999998</v>
      </c>
      <c r="S773">
        <v>1.081546224E-2</v>
      </c>
      <c r="T773" s="4" t="s">
        <v>2875</v>
      </c>
    </row>
    <row r="774" spans="1:20" x14ac:dyDescent="0.2">
      <c r="A774" s="4" t="s">
        <v>2294</v>
      </c>
      <c r="B774" s="4" t="s">
        <v>2295</v>
      </c>
      <c r="C774" s="4" t="s">
        <v>2096</v>
      </c>
      <c r="D774" s="4" t="s">
        <v>2236</v>
      </c>
      <c r="E774" s="4" t="s">
        <v>2876</v>
      </c>
      <c r="F774" s="4" t="s">
        <v>2874</v>
      </c>
      <c r="G774" s="4" t="s">
        <v>2294</v>
      </c>
      <c r="H774" s="4" t="s">
        <v>2183</v>
      </c>
      <c r="I774" s="4" t="s">
        <v>2100</v>
      </c>
      <c r="J774" s="4" t="s">
        <v>2111</v>
      </c>
      <c r="K774">
        <v>11</v>
      </c>
      <c r="L774">
        <v>3.3527999999999998</v>
      </c>
      <c r="M774">
        <v>25.4</v>
      </c>
      <c r="N774">
        <v>139.69999999999999</v>
      </c>
      <c r="O774">
        <v>132</v>
      </c>
      <c r="P774">
        <v>1</v>
      </c>
      <c r="Q774">
        <v>5.5</v>
      </c>
      <c r="R774">
        <v>924.60199999999998</v>
      </c>
      <c r="S774">
        <v>1.1897008463999995E-2</v>
      </c>
      <c r="T774" s="4" t="s">
        <v>2875</v>
      </c>
    </row>
    <row r="775" spans="1:20" x14ac:dyDescent="0.2">
      <c r="A775" s="4" t="s">
        <v>2294</v>
      </c>
      <c r="B775" s="4" t="s">
        <v>2295</v>
      </c>
      <c r="C775" s="4" t="s">
        <v>2096</v>
      </c>
      <c r="D775" s="4" t="s">
        <v>2236</v>
      </c>
      <c r="E775" s="4" t="s">
        <v>457</v>
      </c>
      <c r="F775" s="4" t="s">
        <v>2874</v>
      </c>
      <c r="G775" s="4" t="s">
        <v>2294</v>
      </c>
      <c r="H775" s="4" t="s">
        <v>2183</v>
      </c>
      <c r="I775" s="4" t="s">
        <v>2100</v>
      </c>
      <c r="J775" s="4" t="s">
        <v>2111</v>
      </c>
      <c r="K775">
        <v>12</v>
      </c>
      <c r="L775">
        <v>3.6576</v>
      </c>
      <c r="M775">
        <v>25.4</v>
      </c>
      <c r="N775">
        <v>139.69999999999999</v>
      </c>
      <c r="O775">
        <v>144</v>
      </c>
      <c r="P775">
        <v>1</v>
      </c>
      <c r="Q775">
        <v>5.5</v>
      </c>
      <c r="R775">
        <v>924.60199999999998</v>
      </c>
      <c r="S775">
        <v>1.2978554687999997E-2</v>
      </c>
      <c r="T775" s="4" t="s">
        <v>2875</v>
      </c>
    </row>
    <row r="776" spans="1:20" x14ac:dyDescent="0.2">
      <c r="A776" s="4" t="s">
        <v>2294</v>
      </c>
      <c r="B776" s="4" t="s">
        <v>2295</v>
      </c>
      <c r="C776" s="4" t="s">
        <v>2096</v>
      </c>
      <c r="D776" s="4" t="s">
        <v>2236</v>
      </c>
      <c r="E776" s="4" t="s">
        <v>2877</v>
      </c>
      <c r="F776" s="4" t="s">
        <v>2874</v>
      </c>
      <c r="G776" s="4" t="s">
        <v>2294</v>
      </c>
      <c r="H776" s="4" t="s">
        <v>2183</v>
      </c>
      <c r="I776" s="4" t="s">
        <v>2100</v>
      </c>
      <c r="J776" s="4" t="s">
        <v>2111</v>
      </c>
      <c r="K776">
        <v>13</v>
      </c>
      <c r="L776">
        <v>3.9624000000000001</v>
      </c>
      <c r="M776">
        <v>25.4</v>
      </c>
      <c r="N776">
        <v>139.69999999999999</v>
      </c>
      <c r="O776">
        <v>156</v>
      </c>
      <c r="P776">
        <v>1</v>
      </c>
      <c r="Q776">
        <v>5.5</v>
      </c>
      <c r="R776">
        <v>924.60199999999998</v>
      </c>
      <c r="S776">
        <v>1.4060100911999997E-2</v>
      </c>
      <c r="T776" s="4" t="s">
        <v>2875</v>
      </c>
    </row>
    <row r="777" spans="1:20" x14ac:dyDescent="0.2">
      <c r="A777" s="4" t="s">
        <v>2294</v>
      </c>
      <c r="B777" s="4" t="s">
        <v>2295</v>
      </c>
      <c r="C777" s="4" t="s">
        <v>2096</v>
      </c>
      <c r="D777" s="4" t="s">
        <v>2236</v>
      </c>
      <c r="E777" s="4" t="s">
        <v>459</v>
      </c>
      <c r="F777" s="4" t="s">
        <v>2874</v>
      </c>
      <c r="G777" s="4" t="s">
        <v>2294</v>
      </c>
      <c r="H777" s="4" t="s">
        <v>2183</v>
      </c>
      <c r="I777" s="4" t="s">
        <v>2100</v>
      </c>
      <c r="J777" s="4" t="s">
        <v>2111</v>
      </c>
      <c r="K777">
        <v>14</v>
      </c>
      <c r="L777">
        <v>4.2671999999999999</v>
      </c>
      <c r="M777">
        <v>25.4</v>
      </c>
      <c r="N777">
        <v>139.69999999999999</v>
      </c>
      <c r="O777">
        <v>168</v>
      </c>
      <c r="P777">
        <v>1</v>
      </c>
      <c r="Q777">
        <v>5.5</v>
      </c>
      <c r="R777">
        <v>924.60199999999998</v>
      </c>
      <c r="S777">
        <v>1.5141647135999997E-2</v>
      </c>
      <c r="T777" s="4" t="s">
        <v>2875</v>
      </c>
    </row>
    <row r="778" spans="1:20" x14ac:dyDescent="0.2">
      <c r="A778" s="4" t="s">
        <v>2294</v>
      </c>
      <c r="B778" s="4" t="s">
        <v>2295</v>
      </c>
      <c r="C778" s="4" t="s">
        <v>2096</v>
      </c>
      <c r="D778" s="4" t="s">
        <v>2236</v>
      </c>
      <c r="E778" s="4" t="s">
        <v>2878</v>
      </c>
      <c r="F778" s="4" t="s">
        <v>2874</v>
      </c>
      <c r="G778" s="4" t="s">
        <v>2294</v>
      </c>
      <c r="H778" s="4" t="s">
        <v>2183</v>
      </c>
      <c r="I778" s="4" t="s">
        <v>2100</v>
      </c>
      <c r="J778" s="4" t="s">
        <v>2111</v>
      </c>
      <c r="K778">
        <v>15</v>
      </c>
      <c r="L778">
        <v>4.5720000000000001</v>
      </c>
      <c r="M778">
        <v>25.4</v>
      </c>
      <c r="N778">
        <v>139.69999999999999</v>
      </c>
      <c r="O778">
        <v>180</v>
      </c>
      <c r="P778">
        <v>1</v>
      </c>
      <c r="Q778">
        <v>5.5</v>
      </c>
      <c r="R778">
        <v>924.60199999999998</v>
      </c>
      <c r="S778">
        <v>1.6223193359999999E-2</v>
      </c>
      <c r="T778" s="4" t="s">
        <v>2875</v>
      </c>
    </row>
    <row r="779" spans="1:20" x14ac:dyDescent="0.2">
      <c r="A779" s="4" t="s">
        <v>2294</v>
      </c>
      <c r="B779" s="4" t="s">
        <v>2295</v>
      </c>
      <c r="C779" s="4" t="s">
        <v>2096</v>
      </c>
      <c r="D779" s="4" t="s">
        <v>2236</v>
      </c>
      <c r="E779" s="4" t="s">
        <v>461</v>
      </c>
      <c r="F779" s="4" t="s">
        <v>2874</v>
      </c>
      <c r="G779" s="4" t="s">
        <v>2294</v>
      </c>
      <c r="H779" s="4" t="s">
        <v>2183</v>
      </c>
      <c r="I779" s="4" t="s">
        <v>2100</v>
      </c>
      <c r="J779" s="4" t="s">
        <v>2111</v>
      </c>
      <c r="K779">
        <v>16</v>
      </c>
      <c r="L779">
        <v>4.8768000000000002</v>
      </c>
      <c r="M779">
        <v>25.4</v>
      </c>
      <c r="N779">
        <v>139.69999999999999</v>
      </c>
      <c r="O779">
        <v>192.00000000000003</v>
      </c>
      <c r="P779">
        <v>1</v>
      </c>
      <c r="Q779">
        <v>5.5</v>
      </c>
      <c r="R779">
        <v>924.60199999999998</v>
      </c>
      <c r="S779">
        <v>1.7304739584000001E-2</v>
      </c>
      <c r="T779" s="4" t="s">
        <v>2875</v>
      </c>
    </row>
    <row r="780" spans="1:20" x14ac:dyDescent="0.2">
      <c r="A780" s="4" t="s">
        <v>2294</v>
      </c>
      <c r="B780" s="4" t="s">
        <v>2295</v>
      </c>
      <c r="C780" s="4" t="s">
        <v>2096</v>
      </c>
      <c r="D780" s="4" t="s">
        <v>2236</v>
      </c>
      <c r="E780" s="4" t="s">
        <v>2879</v>
      </c>
      <c r="F780" s="4" t="s">
        <v>2874</v>
      </c>
      <c r="G780" s="4" t="s">
        <v>2294</v>
      </c>
      <c r="H780" s="4" t="s">
        <v>2183</v>
      </c>
      <c r="I780" s="4" t="s">
        <v>2100</v>
      </c>
      <c r="J780" s="4" t="s">
        <v>2111</v>
      </c>
      <c r="K780">
        <v>17</v>
      </c>
      <c r="L780">
        <v>5.1816000000000004</v>
      </c>
      <c r="M780">
        <v>25.4</v>
      </c>
      <c r="N780">
        <v>139.69999999999999</v>
      </c>
      <c r="O780">
        <v>204.00000000000003</v>
      </c>
      <c r="P780">
        <v>1</v>
      </c>
      <c r="Q780">
        <v>5.5</v>
      </c>
      <c r="R780">
        <v>924.60199999999998</v>
      </c>
      <c r="S780">
        <v>1.8386285807999999E-2</v>
      </c>
      <c r="T780" s="4" t="s">
        <v>2875</v>
      </c>
    </row>
    <row r="781" spans="1:20" x14ac:dyDescent="0.2">
      <c r="A781" s="4" t="s">
        <v>2294</v>
      </c>
      <c r="B781" s="4" t="s">
        <v>2295</v>
      </c>
      <c r="C781" s="4" t="s">
        <v>2096</v>
      </c>
      <c r="D781" s="4" t="s">
        <v>2236</v>
      </c>
      <c r="E781" s="4" t="s">
        <v>463</v>
      </c>
      <c r="F781" s="4" t="s">
        <v>2874</v>
      </c>
      <c r="G781" s="4" t="s">
        <v>2294</v>
      </c>
      <c r="H781" s="4" t="s">
        <v>2183</v>
      </c>
      <c r="I781" s="4" t="s">
        <v>2100</v>
      </c>
      <c r="J781" s="4" t="s">
        <v>2111</v>
      </c>
      <c r="K781">
        <v>18</v>
      </c>
      <c r="L781">
        <v>5.4863999999999997</v>
      </c>
      <c r="M781">
        <v>25.4</v>
      </c>
      <c r="N781">
        <v>139.69999999999999</v>
      </c>
      <c r="O781">
        <v>216</v>
      </c>
      <c r="P781">
        <v>1</v>
      </c>
      <c r="Q781">
        <v>5.5</v>
      </c>
      <c r="R781">
        <v>924.60199999999998</v>
      </c>
      <c r="S781">
        <v>1.9467832031999997E-2</v>
      </c>
      <c r="T781" s="4" t="s">
        <v>2875</v>
      </c>
    </row>
    <row r="782" spans="1:20" x14ac:dyDescent="0.2">
      <c r="A782" s="4" t="s">
        <v>2294</v>
      </c>
      <c r="B782" s="4" t="s">
        <v>2295</v>
      </c>
      <c r="C782" s="4" t="s">
        <v>2096</v>
      </c>
      <c r="D782" s="4" t="s">
        <v>2236</v>
      </c>
      <c r="E782" s="4" t="s">
        <v>2880</v>
      </c>
      <c r="F782" s="4" t="s">
        <v>2874</v>
      </c>
      <c r="G782" s="4" t="s">
        <v>2294</v>
      </c>
      <c r="H782" s="4" t="s">
        <v>2183</v>
      </c>
      <c r="I782" s="4" t="s">
        <v>2100</v>
      </c>
      <c r="J782" s="4" t="s">
        <v>2111</v>
      </c>
      <c r="K782">
        <v>19</v>
      </c>
      <c r="L782">
        <v>5.7911999999999999</v>
      </c>
      <c r="M782">
        <v>25.4</v>
      </c>
      <c r="N782">
        <v>139.69999999999999</v>
      </c>
      <c r="O782">
        <v>228</v>
      </c>
      <c r="P782">
        <v>1</v>
      </c>
      <c r="Q782">
        <v>5.5</v>
      </c>
      <c r="R782">
        <v>924.60199999999998</v>
      </c>
      <c r="S782">
        <v>2.0549378255999992E-2</v>
      </c>
      <c r="T782" s="4" t="s">
        <v>2875</v>
      </c>
    </row>
    <row r="783" spans="1:20" x14ac:dyDescent="0.2">
      <c r="A783" s="4" t="s">
        <v>2294</v>
      </c>
      <c r="B783" s="4" t="s">
        <v>2295</v>
      </c>
      <c r="C783" s="4" t="s">
        <v>2096</v>
      </c>
      <c r="D783" s="4" t="s">
        <v>2236</v>
      </c>
      <c r="E783" s="4" t="s">
        <v>2881</v>
      </c>
      <c r="F783" s="4" t="s">
        <v>2874</v>
      </c>
      <c r="G783" s="4" t="s">
        <v>2294</v>
      </c>
      <c r="H783" s="4" t="s">
        <v>2183</v>
      </c>
      <c r="I783" s="4" t="s">
        <v>2100</v>
      </c>
      <c r="J783" s="4" t="s">
        <v>2111</v>
      </c>
      <c r="K783">
        <v>20</v>
      </c>
      <c r="L783">
        <v>6.0960000000000001</v>
      </c>
      <c r="M783">
        <v>25.4</v>
      </c>
      <c r="N783">
        <v>139.69999999999999</v>
      </c>
      <c r="O783">
        <v>240</v>
      </c>
      <c r="P783">
        <v>1</v>
      </c>
      <c r="Q783">
        <v>5.5</v>
      </c>
      <c r="R783">
        <v>924.60199999999998</v>
      </c>
      <c r="S783">
        <v>2.1630924480000001E-2</v>
      </c>
      <c r="T783" s="4" t="s">
        <v>2875</v>
      </c>
    </row>
    <row r="784" spans="1:20" x14ac:dyDescent="0.2">
      <c r="A784" s="4" t="s">
        <v>2294</v>
      </c>
      <c r="B784" s="4" t="s">
        <v>2295</v>
      </c>
      <c r="C784" s="4" t="s">
        <v>2096</v>
      </c>
      <c r="D784" s="4" t="s">
        <v>2236</v>
      </c>
      <c r="E784" s="4" t="s">
        <v>2882</v>
      </c>
      <c r="F784" s="4" t="s">
        <v>2874</v>
      </c>
      <c r="G784" s="4" t="s">
        <v>2294</v>
      </c>
      <c r="H784" s="4" t="s">
        <v>2183</v>
      </c>
      <c r="I784" s="4" t="s">
        <v>2100</v>
      </c>
      <c r="J784" s="4" t="s">
        <v>2111</v>
      </c>
      <c r="K784">
        <v>21</v>
      </c>
      <c r="L784">
        <v>6.4008000000000003</v>
      </c>
      <c r="M784">
        <v>25.4</v>
      </c>
      <c r="N784">
        <v>139.69999999999999</v>
      </c>
      <c r="O784">
        <v>252.00000000000003</v>
      </c>
      <c r="P784">
        <v>1</v>
      </c>
      <c r="Q784">
        <v>5.5</v>
      </c>
      <c r="R784">
        <v>924.60199999999998</v>
      </c>
      <c r="S784">
        <v>2.2712470703999999E-2</v>
      </c>
      <c r="T784" s="4" t="s">
        <v>2875</v>
      </c>
    </row>
    <row r="785" spans="1:20" x14ac:dyDescent="0.2">
      <c r="A785" s="4" t="s">
        <v>2294</v>
      </c>
      <c r="B785" s="4" t="s">
        <v>2295</v>
      </c>
      <c r="C785" s="4" t="s">
        <v>2096</v>
      </c>
      <c r="D785" s="4" t="s">
        <v>2236</v>
      </c>
      <c r="E785" s="4" t="s">
        <v>465</v>
      </c>
      <c r="F785" s="4" t="s">
        <v>2874</v>
      </c>
      <c r="G785" s="4" t="s">
        <v>2294</v>
      </c>
      <c r="H785" s="4" t="s">
        <v>2183</v>
      </c>
      <c r="I785" s="4" t="s">
        <v>2100</v>
      </c>
      <c r="J785" s="4" t="s">
        <v>2111</v>
      </c>
      <c r="K785">
        <v>22</v>
      </c>
      <c r="L785">
        <v>6.7055999999999996</v>
      </c>
      <c r="M785">
        <v>25.4</v>
      </c>
      <c r="N785">
        <v>139.69999999999999</v>
      </c>
      <c r="O785">
        <v>264</v>
      </c>
      <c r="P785">
        <v>1</v>
      </c>
      <c r="Q785">
        <v>5.5</v>
      </c>
      <c r="R785">
        <v>924.60199999999998</v>
      </c>
      <c r="S785">
        <v>2.3794016927999991E-2</v>
      </c>
      <c r="T785" s="4" t="s">
        <v>2875</v>
      </c>
    </row>
    <row r="786" spans="1:20" x14ac:dyDescent="0.2">
      <c r="A786" s="4" t="s">
        <v>2294</v>
      </c>
      <c r="B786" s="4" t="s">
        <v>2295</v>
      </c>
      <c r="C786" s="4" t="s">
        <v>2096</v>
      </c>
      <c r="D786" s="4" t="s">
        <v>2236</v>
      </c>
      <c r="E786" s="4" t="s">
        <v>2883</v>
      </c>
      <c r="F786" s="4" t="s">
        <v>2874</v>
      </c>
      <c r="G786" s="4" t="s">
        <v>2294</v>
      </c>
      <c r="H786" s="4" t="s">
        <v>2183</v>
      </c>
      <c r="I786" s="4" t="s">
        <v>2100</v>
      </c>
      <c r="J786" s="4" t="s">
        <v>2111</v>
      </c>
      <c r="K786">
        <v>23</v>
      </c>
      <c r="L786">
        <v>7.0103999999999997</v>
      </c>
      <c r="M786">
        <v>25.4</v>
      </c>
      <c r="N786">
        <v>139.69999999999999</v>
      </c>
      <c r="O786">
        <v>276</v>
      </c>
      <c r="P786">
        <v>1</v>
      </c>
      <c r="Q786">
        <v>5.5</v>
      </c>
      <c r="R786">
        <v>924.60199999999998</v>
      </c>
      <c r="S786">
        <v>2.4875563151999999E-2</v>
      </c>
      <c r="T786" s="4" t="s">
        <v>2875</v>
      </c>
    </row>
    <row r="787" spans="1:20" x14ac:dyDescent="0.2">
      <c r="A787" s="4" t="s">
        <v>2294</v>
      </c>
      <c r="B787" s="4" t="s">
        <v>2295</v>
      </c>
      <c r="C787" s="4" t="s">
        <v>2096</v>
      </c>
      <c r="D787" s="4" t="s">
        <v>2236</v>
      </c>
      <c r="E787" s="4" t="s">
        <v>2884</v>
      </c>
      <c r="F787" s="4" t="s">
        <v>2874</v>
      </c>
      <c r="G787" s="4" t="s">
        <v>2294</v>
      </c>
      <c r="H787" s="4" t="s">
        <v>2183</v>
      </c>
      <c r="I787" s="4" t="s">
        <v>2100</v>
      </c>
      <c r="J787" s="4" t="s">
        <v>2111</v>
      </c>
      <c r="K787">
        <v>24</v>
      </c>
      <c r="L787">
        <v>7.3152000000000008</v>
      </c>
      <c r="M787">
        <v>25.4</v>
      </c>
      <c r="N787">
        <v>139.69999999999999</v>
      </c>
      <c r="O787">
        <v>288.00000000000006</v>
      </c>
      <c r="P787">
        <v>1</v>
      </c>
      <c r="Q787">
        <v>5.5</v>
      </c>
      <c r="R787">
        <v>924.60199999999998</v>
      </c>
      <c r="S787">
        <v>2.5957109375999998E-2</v>
      </c>
      <c r="T787" s="4" t="s">
        <v>2875</v>
      </c>
    </row>
    <row r="788" spans="1:20" x14ac:dyDescent="0.2">
      <c r="A788" s="4" t="s">
        <v>2294</v>
      </c>
      <c r="B788" s="4" t="s">
        <v>2295</v>
      </c>
      <c r="C788" s="4" t="s">
        <v>2286</v>
      </c>
      <c r="D788" s="4" t="s">
        <v>2236</v>
      </c>
      <c r="E788" s="4" t="s">
        <v>2885</v>
      </c>
      <c r="F788" s="4" t="s">
        <v>2874</v>
      </c>
      <c r="G788" s="4" t="s">
        <v>2294</v>
      </c>
      <c r="H788" s="4" t="s">
        <v>2183</v>
      </c>
      <c r="I788" s="4" t="s">
        <v>2100</v>
      </c>
      <c r="J788" s="4" t="s">
        <v>2111</v>
      </c>
      <c r="K788">
        <v>3</v>
      </c>
      <c r="L788">
        <v>0.91439999999999999</v>
      </c>
      <c r="M788">
        <v>25.4</v>
      </c>
      <c r="N788">
        <v>139.69999999999999</v>
      </c>
      <c r="O788">
        <v>36</v>
      </c>
      <c r="P788">
        <v>1</v>
      </c>
      <c r="Q788">
        <v>5.5</v>
      </c>
      <c r="R788">
        <v>924.60199999999998</v>
      </c>
      <c r="S788">
        <v>3.2446386719999993E-3</v>
      </c>
      <c r="T788" s="4" t="s">
        <v>2886</v>
      </c>
    </row>
    <row r="789" spans="1:20" x14ac:dyDescent="0.2">
      <c r="A789" s="4" t="s">
        <v>2294</v>
      </c>
      <c r="B789" s="4" t="s">
        <v>2295</v>
      </c>
      <c r="C789" s="4" t="s">
        <v>2286</v>
      </c>
      <c r="D789" s="4" t="s">
        <v>2236</v>
      </c>
      <c r="E789" s="4" t="s">
        <v>2887</v>
      </c>
      <c r="F789" s="4" t="s">
        <v>2874</v>
      </c>
      <c r="G789" s="4" t="s">
        <v>2294</v>
      </c>
      <c r="H789" s="4" t="s">
        <v>2183</v>
      </c>
      <c r="I789" s="4" t="s">
        <v>2100</v>
      </c>
      <c r="J789" s="4" t="s">
        <v>2111</v>
      </c>
      <c r="K789">
        <v>4</v>
      </c>
      <c r="L789">
        <v>1.2192000000000001</v>
      </c>
      <c r="M789">
        <v>25.4</v>
      </c>
      <c r="N789">
        <v>139.69999999999999</v>
      </c>
      <c r="O789">
        <v>48.000000000000007</v>
      </c>
      <c r="P789">
        <v>1</v>
      </c>
      <c r="Q789">
        <v>5.5</v>
      </c>
      <c r="R789">
        <v>924.60199999999998</v>
      </c>
      <c r="S789">
        <v>4.3261848960000002E-3</v>
      </c>
      <c r="T789" s="4" t="s">
        <v>2886</v>
      </c>
    </row>
    <row r="790" spans="1:20" x14ac:dyDescent="0.2">
      <c r="A790" s="4" t="s">
        <v>2294</v>
      </c>
      <c r="B790" s="4" t="s">
        <v>2295</v>
      </c>
      <c r="C790" s="4" t="s">
        <v>2286</v>
      </c>
      <c r="D790" s="4" t="s">
        <v>2236</v>
      </c>
      <c r="E790" s="4" t="s">
        <v>2888</v>
      </c>
      <c r="F790" s="4" t="s">
        <v>2874</v>
      </c>
      <c r="G790" s="4" t="s">
        <v>2294</v>
      </c>
      <c r="H790" s="4" t="s">
        <v>2183</v>
      </c>
      <c r="I790" s="4" t="s">
        <v>2100</v>
      </c>
      <c r="J790" s="4" t="s">
        <v>2111</v>
      </c>
      <c r="K790">
        <v>5</v>
      </c>
      <c r="L790">
        <v>1.524</v>
      </c>
      <c r="M790">
        <v>25.4</v>
      </c>
      <c r="N790">
        <v>139.69999999999999</v>
      </c>
      <c r="O790">
        <v>60</v>
      </c>
      <c r="P790">
        <v>1</v>
      </c>
      <c r="Q790">
        <v>5.5</v>
      </c>
      <c r="R790">
        <v>924.60199999999998</v>
      </c>
      <c r="S790">
        <v>5.4077311200000002E-3</v>
      </c>
      <c r="T790" s="4" t="s">
        <v>2886</v>
      </c>
    </row>
    <row r="791" spans="1:20" x14ac:dyDescent="0.2">
      <c r="A791" s="4" t="s">
        <v>2294</v>
      </c>
      <c r="B791" s="4" t="s">
        <v>2295</v>
      </c>
      <c r="C791" s="4" t="s">
        <v>2286</v>
      </c>
      <c r="D791" s="4" t="s">
        <v>2236</v>
      </c>
      <c r="E791" s="4" t="s">
        <v>2889</v>
      </c>
      <c r="F791" s="4" t="s">
        <v>2874</v>
      </c>
      <c r="G791" s="4" t="s">
        <v>2294</v>
      </c>
      <c r="H791" s="4" t="s">
        <v>2183</v>
      </c>
      <c r="I791" s="4" t="s">
        <v>2100</v>
      </c>
      <c r="J791" s="4" t="s">
        <v>2111</v>
      </c>
      <c r="K791">
        <v>6</v>
      </c>
      <c r="L791">
        <v>1.8288</v>
      </c>
      <c r="M791">
        <v>25.4</v>
      </c>
      <c r="N791">
        <v>139.69999999999999</v>
      </c>
      <c r="O791">
        <v>72</v>
      </c>
      <c r="P791">
        <v>1</v>
      </c>
      <c r="Q791">
        <v>5.5</v>
      </c>
      <c r="R791">
        <v>924.60199999999998</v>
      </c>
      <c r="S791">
        <v>6.4892773439999985E-3</v>
      </c>
      <c r="T791" s="4" t="s">
        <v>2886</v>
      </c>
    </row>
    <row r="792" spans="1:20" x14ac:dyDescent="0.2">
      <c r="A792" s="4" t="s">
        <v>2294</v>
      </c>
      <c r="B792" s="4" t="s">
        <v>2295</v>
      </c>
      <c r="C792" s="4" t="s">
        <v>2286</v>
      </c>
      <c r="D792" s="4" t="s">
        <v>2236</v>
      </c>
      <c r="E792" s="4" t="s">
        <v>2890</v>
      </c>
      <c r="F792" s="4" t="s">
        <v>2874</v>
      </c>
      <c r="G792" s="4" t="s">
        <v>2294</v>
      </c>
      <c r="H792" s="4" t="s">
        <v>2183</v>
      </c>
      <c r="I792" s="4" t="s">
        <v>2100</v>
      </c>
      <c r="J792" s="4" t="s">
        <v>2111</v>
      </c>
      <c r="K792">
        <v>7</v>
      </c>
      <c r="L792">
        <v>2.1335999999999999</v>
      </c>
      <c r="M792">
        <v>25.4</v>
      </c>
      <c r="N792">
        <v>139.69999999999999</v>
      </c>
      <c r="O792">
        <v>84</v>
      </c>
      <c r="P792">
        <v>1</v>
      </c>
      <c r="Q792">
        <v>5.5</v>
      </c>
      <c r="R792">
        <v>924.60199999999998</v>
      </c>
      <c r="S792">
        <v>7.5708235679999986E-3</v>
      </c>
      <c r="T792" s="4" t="s">
        <v>2886</v>
      </c>
    </row>
    <row r="793" spans="1:20" x14ac:dyDescent="0.2">
      <c r="A793" s="4" t="s">
        <v>2294</v>
      </c>
      <c r="B793" s="4" t="s">
        <v>2295</v>
      </c>
      <c r="C793" s="4" t="s">
        <v>2096</v>
      </c>
      <c r="D793" s="4" t="s">
        <v>2236</v>
      </c>
      <c r="E793" s="4" t="s">
        <v>467</v>
      </c>
      <c r="F793" s="4" t="s">
        <v>2874</v>
      </c>
      <c r="G793" s="4" t="s">
        <v>2294</v>
      </c>
      <c r="H793" s="4" t="s">
        <v>2183</v>
      </c>
      <c r="I793" s="4" t="s">
        <v>2100</v>
      </c>
      <c r="J793" s="4" t="s">
        <v>2111</v>
      </c>
      <c r="K793">
        <v>8</v>
      </c>
      <c r="L793">
        <v>2.4384000000000001</v>
      </c>
      <c r="M793">
        <v>25.4</v>
      </c>
      <c r="N793">
        <v>139.69999999999999</v>
      </c>
      <c r="O793">
        <v>96.000000000000014</v>
      </c>
      <c r="P793">
        <v>1</v>
      </c>
      <c r="Q793">
        <v>5.5</v>
      </c>
      <c r="R793">
        <v>924.60199999999998</v>
      </c>
      <c r="S793">
        <v>8.6523697920000003E-3</v>
      </c>
      <c r="T793" s="4" t="s">
        <v>2875</v>
      </c>
    </row>
    <row r="794" spans="1:20" x14ac:dyDescent="0.2">
      <c r="A794" s="4" t="s">
        <v>2294</v>
      </c>
      <c r="B794" s="4" t="s">
        <v>2295</v>
      </c>
      <c r="C794" s="4" t="s">
        <v>2096</v>
      </c>
      <c r="D794" s="4" t="s">
        <v>2236</v>
      </c>
      <c r="E794" s="4" t="s">
        <v>2891</v>
      </c>
      <c r="F794" s="4" t="s">
        <v>2874</v>
      </c>
      <c r="G794" s="4" t="s">
        <v>2294</v>
      </c>
      <c r="H794" s="4" t="s">
        <v>2183</v>
      </c>
      <c r="I794" s="4" t="s">
        <v>2100</v>
      </c>
      <c r="J794" s="4" t="s">
        <v>2111</v>
      </c>
      <c r="K794">
        <v>9</v>
      </c>
      <c r="L794">
        <v>2.7431999999999999</v>
      </c>
      <c r="M794">
        <v>25.4</v>
      </c>
      <c r="N794">
        <v>139.69999999999999</v>
      </c>
      <c r="O794">
        <v>108</v>
      </c>
      <c r="P794">
        <v>1</v>
      </c>
      <c r="Q794">
        <v>5.5</v>
      </c>
      <c r="R794">
        <v>924.60199999999998</v>
      </c>
      <c r="S794">
        <v>9.7339160159999986E-3</v>
      </c>
      <c r="T794" s="4" t="s">
        <v>2875</v>
      </c>
    </row>
    <row r="795" spans="1:20" x14ac:dyDescent="0.2">
      <c r="A795" s="4" t="s">
        <v>2294</v>
      </c>
      <c r="B795" s="4" t="s">
        <v>2892</v>
      </c>
      <c r="C795" s="4" t="s">
        <v>2096</v>
      </c>
      <c r="D795" s="4" t="s">
        <v>2236</v>
      </c>
      <c r="E795" s="4" t="s">
        <v>469</v>
      </c>
      <c r="F795" s="4" t="s">
        <v>2893</v>
      </c>
      <c r="G795" s="4" t="s">
        <v>2294</v>
      </c>
      <c r="H795" s="4" t="s">
        <v>2183</v>
      </c>
      <c r="I795" s="4" t="s">
        <v>2100</v>
      </c>
      <c r="J795" s="4" t="s">
        <v>2894</v>
      </c>
      <c r="K795">
        <v>10</v>
      </c>
      <c r="L795">
        <v>3.048</v>
      </c>
      <c r="M795">
        <v>25.4</v>
      </c>
      <c r="N795">
        <v>184.15</v>
      </c>
      <c r="O795">
        <v>120</v>
      </c>
      <c r="P795">
        <v>1</v>
      </c>
      <c r="Q795">
        <v>7.2500000000000009</v>
      </c>
      <c r="R795">
        <v>701.42200000000003</v>
      </c>
      <c r="S795">
        <v>1.4256745680000002E-2</v>
      </c>
      <c r="T795" s="4" t="s">
        <v>2895</v>
      </c>
    </row>
    <row r="796" spans="1:20" x14ac:dyDescent="0.2">
      <c r="A796" s="4" t="s">
        <v>2294</v>
      </c>
      <c r="B796" s="4" t="s">
        <v>2892</v>
      </c>
      <c r="C796" s="4" t="s">
        <v>2096</v>
      </c>
      <c r="D796" s="4" t="s">
        <v>2236</v>
      </c>
      <c r="E796" s="4" t="s">
        <v>2896</v>
      </c>
      <c r="F796" s="4" t="s">
        <v>2893</v>
      </c>
      <c r="G796" s="4" t="s">
        <v>2294</v>
      </c>
      <c r="H796" s="4" t="s">
        <v>2183</v>
      </c>
      <c r="I796" s="4" t="s">
        <v>2100</v>
      </c>
      <c r="J796" s="4" t="s">
        <v>2894</v>
      </c>
      <c r="K796">
        <v>11</v>
      </c>
      <c r="L796">
        <v>3.3527999999999998</v>
      </c>
      <c r="M796">
        <v>25.4</v>
      </c>
      <c r="N796">
        <v>184.15</v>
      </c>
      <c r="O796">
        <v>132</v>
      </c>
      <c r="P796">
        <v>1</v>
      </c>
      <c r="Q796">
        <v>7.2500000000000009</v>
      </c>
      <c r="R796">
        <v>701.42200000000003</v>
      </c>
      <c r="S796">
        <v>1.5682420247999995E-2</v>
      </c>
      <c r="T796" s="4" t="s">
        <v>2895</v>
      </c>
    </row>
    <row r="797" spans="1:20" x14ac:dyDescent="0.2">
      <c r="A797" s="4" t="s">
        <v>2294</v>
      </c>
      <c r="B797" s="4" t="s">
        <v>2892</v>
      </c>
      <c r="C797" s="4" t="s">
        <v>2096</v>
      </c>
      <c r="D797" s="4" t="s">
        <v>2236</v>
      </c>
      <c r="E797" s="4" t="s">
        <v>471</v>
      </c>
      <c r="F797" s="4" t="s">
        <v>2893</v>
      </c>
      <c r="G797" s="4" t="s">
        <v>2294</v>
      </c>
      <c r="H797" s="4" t="s">
        <v>2183</v>
      </c>
      <c r="I797" s="4" t="s">
        <v>2100</v>
      </c>
      <c r="J797" s="4" t="s">
        <v>2894</v>
      </c>
      <c r="K797">
        <v>12</v>
      </c>
      <c r="L797">
        <v>3.6576</v>
      </c>
      <c r="M797">
        <v>25.4</v>
      </c>
      <c r="N797">
        <v>184.15</v>
      </c>
      <c r="O797">
        <v>144</v>
      </c>
      <c r="P797">
        <v>1</v>
      </c>
      <c r="Q797">
        <v>7.2500000000000009</v>
      </c>
      <c r="R797">
        <v>701.42200000000003</v>
      </c>
      <c r="S797">
        <v>1.7108094815999998E-2</v>
      </c>
      <c r="T797" s="4" t="s">
        <v>2895</v>
      </c>
    </row>
    <row r="798" spans="1:20" x14ac:dyDescent="0.2">
      <c r="A798" s="4" t="s">
        <v>2294</v>
      </c>
      <c r="B798" s="4" t="s">
        <v>2892</v>
      </c>
      <c r="C798" s="4" t="s">
        <v>2096</v>
      </c>
      <c r="D798" s="4" t="s">
        <v>2236</v>
      </c>
      <c r="E798" s="4" t="s">
        <v>2897</v>
      </c>
      <c r="F798" s="4" t="s">
        <v>2893</v>
      </c>
      <c r="G798" s="4" t="s">
        <v>2294</v>
      </c>
      <c r="H798" s="4" t="s">
        <v>2183</v>
      </c>
      <c r="I798" s="4" t="s">
        <v>2100</v>
      </c>
      <c r="J798" s="4" t="s">
        <v>2894</v>
      </c>
      <c r="K798">
        <v>13</v>
      </c>
      <c r="L798">
        <v>3.9624000000000001</v>
      </c>
      <c r="M798">
        <v>25.4</v>
      </c>
      <c r="N798">
        <v>184.15</v>
      </c>
      <c r="O798">
        <v>156</v>
      </c>
      <c r="P798">
        <v>1</v>
      </c>
      <c r="Q798">
        <v>7.2500000000000009</v>
      </c>
      <c r="R798">
        <v>701.42200000000003</v>
      </c>
      <c r="S798">
        <v>1.8533769384E-2</v>
      </c>
      <c r="T798" s="4" t="s">
        <v>2895</v>
      </c>
    </row>
    <row r="799" spans="1:20" x14ac:dyDescent="0.2">
      <c r="A799" s="4" t="s">
        <v>2294</v>
      </c>
      <c r="B799" s="4" t="s">
        <v>2892</v>
      </c>
      <c r="C799" s="4" t="s">
        <v>2096</v>
      </c>
      <c r="D799" s="4" t="s">
        <v>2236</v>
      </c>
      <c r="E799" s="4" t="s">
        <v>2898</v>
      </c>
      <c r="F799" s="4" t="s">
        <v>2893</v>
      </c>
      <c r="G799" s="4" t="s">
        <v>2294</v>
      </c>
      <c r="H799" s="4" t="s">
        <v>2183</v>
      </c>
      <c r="I799" s="4" t="s">
        <v>2100</v>
      </c>
      <c r="J799" s="4" t="s">
        <v>2894</v>
      </c>
      <c r="K799">
        <v>14</v>
      </c>
      <c r="L799">
        <v>4.2671999999999999</v>
      </c>
      <c r="M799">
        <v>25.4</v>
      </c>
      <c r="N799">
        <v>184.15</v>
      </c>
      <c r="O799">
        <v>168</v>
      </c>
      <c r="P799">
        <v>1</v>
      </c>
      <c r="Q799">
        <v>7.2500000000000009</v>
      </c>
      <c r="R799">
        <v>701.42200000000003</v>
      </c>
      <c r="S799">
        <v>1.9959443951999997E-2</v>
      </c>
      <c r="T799" s="4" t="s">
        <v>2895</v>
      </c>
    </row>
    <row r="800" spans="1:20" x14ac:dyDescent="0.2">
      <c r="A800" s="4" t="s">
        <v>2294</v>
      </c>
      <c r="B800" s="4" t="s">
        <v>2892</v>
      </c>
      <c r="C800" s="4" t="s">
        <v>2096</v>
      </c>
      <c r="D800" s="4" t="s">
        <v>2236</v>
      </c>
      <c r="E800" s="4" t="s">
        <v>2899</v>
      </c>
      <c r="F800" s="4" t="s">
        <v>2893</v>
      </c>
      <c r="G800" s="4" t="s">
        <v>2294</v>
      </c>
      <c r="H800" s="4" t="s">
        <v>2183</v>
      </c>
      <c r="I800" s="4" t="s">
        <v>2100</v>
      </c>
      <c r="J800" s="4" t="s">
        <v>2894</v>
      </c>
      <c r="K800">
        <v>15</v>
      </c>
      <c r="L800">
        <v>4.5720000000000001</v>
      </c>
      <c r="M800">
        <v>25.4</v>
      </c>
      <c r="N800">
        <v>184.15</v>
      </c>
      <c r="O800">
        <v>180</v>
      </c>
      <c r="P800">
        <v>1</v>
      </c>
      <c r="Q800">
        <v>7.2500000000000009</v>
      </c>
      <c r="R800">
        <v>701.42200000000003</v>
      </c>
      <c r="S800">
        <v>2.1385118520000003E-2</v>
      </c>
      <c r="T800" s="4" t="s">
        <v>2895</v>
      </c>
    </row>
    <row r="801" spans="1:20" x14ac:dyDescent="0.2">
      <c r="A801" s="4" t="s">
        <v>2294</v>
      </c>
      <c r="B801" s="4" t="s">
        <v>2892</v>
      </c>
      <c r="C801" s="4" t="s">
        <v>2096</v>
      </c>
      <c r="D801" s="4" t="s">
        <v>2236</v>
      </c>
      <c r="E801" s="4" t="s">
        <v>473</v>
      </c>
      <c r="F801" s="4" t="s">
        <v>2893</v>
      </c>
      <c r="G801" s="4" t="s">
        <v>2294</v>
      </c>
      <c r="H801" s="4" t="s">
        <v>2183</v>
      </c>
      <c r="I801" s="4" t="s">
        <v>2100</v>
      </c>
      <c r="J801" s="4" t="s">
        <v>2894</v>
      </c>
      <c r="K801">
        <v>16</v>
      </c>
      <c r="L801">
        <v>4.8768000000000002</v>
      </c>
      <c r="M801">
        <v>25.4</v>
      </c>
      <c r="N801">
        <v>184.15</v>
      </c>
      <c r="O801">
        <v>192.00000000000003</v>
      </c>
      <c r="P801">
        <v>1</v>
      </c>
      <c r="Q801">
        <v>7.2500000000000009</v>
      </c>
      <c r="R801">
        <v>701.42200000000003</v>
      </c>
      <c r="S801">
        <v>2.2810793087999999E-2</v>
      </c>
      <c r="T801" s="4" t="s">
        <v>2895</v>
      </c>
    </row>
    <row r="802" spans="1:20" x14ac:dyDescent="0.2">
      <c r="A802" s="4" t="s">
        <v>2294</v>
      </c>
      <c r="B802" s="4" t="s">
        <v>2892</v>
      </c>
      <c r="C802" s="4" t="s">
        <v>2096</v>
      </c>
      <c r="D802" s="4" t="s">
        <v>2236</v>
      </c>
      <c r="E802" s="4" t="s">
        <v>2900</v>
      </c>
      <c r="F802" s="4" t="s">
        <v>2893</v>
      </c>
      <c r="G802" s="4" t="s">
        <v>2294</v>
      </c>
      <c r="H802" s="4" t="s">
        <v>2183</v>
      </c>
      <c r="I802" s="4" t="s">
        <v>2100</v>
      </c>
      <c r="J802" s="4" t="s">
        <v>2894</v>
      </c>
      <c r="K802">
        <v>17</v>
      </c>
      <c r="L802">
        <v>5.1816000000000004</v>
      </c>
      <c r="M802">
        <v>25.4</v>
      </c>
      <c r="N802">
        <v>184.15</v>
      </c>
      <c r="O802">
        <v>204.00000000000003</v>
      </c>
      <c r="P802">
        <v>1</v>
      </c>
      <c r="Q802">
        <v>7.2500000000000009</v>
      </c>
      <c r="R802">
        <v>701.42200000000003</v>
      </c>
      <c r="S802">
        <v>2.4236467656000002E-2</v>
      </c>
      <c r="T802" s="4" t="s">
        <v>2895</v>
      </c>
    </row>
    <row r="803" spans="1:20" x14ac:dyDescent="0.2">
      <c r="A803" s="4" t="s">
        <v>2294</v>
      </c>
      <c r="B803" s="4" t="s">
        <v>2892</v>
      </c>
      <c r="C803" s="4" t="s">
        <v>2096</v>
      </c>
      <c r="D803" s="4" t="s">
        <v>2236</v>
      </c>
      <c r="E803" s="4" t="s">
        <v>475</v>
      </c>
      <c r="F803" s="4" t="s">
        <v>2893</v>
      </c>
      <c r="G803" s="4" t="s">
        <v>2294</v>
      </c>
      <c r="H803" s="4" t="s">
        <v>2183</v>
      </c>
      <c r="I803" s="4" t="s">
        <v>2100</v>
      </c>
      <c r="J803" s="4" t="s">
        <v>2894</v>
      </c>
      <c r="K803">
        <v>18</v>
      </c>
      <c r="L803">
        <v>5.4863999999999997</v>
      </c>
      <c r="M803">
        <v>25.4</v>
      </c>
      <c r="N803">
        <v>184.15</v>
      </c>
      <c r="O803">
        <v>216</v>
      </c>
      <c r="P803">
        <v>1</v>
      </c>
      <c r="Q803">
        <v>7.2500000000000009</v>
      </c>
      <c r="R803">
        <v>701.42200000000003</v>
      </c>
      <c r="S803">
        <v>2.5662142224000001E-2</v>
      </c>
      <c r="T803" s="4" t="s">
        <v>2895</v>
      </c>
    </row>
    <row r="804" spans="1:20" x14ac:dyDescent="0.2">
      <c r="A804" s="4" t="s">
        <v>2294</v>
      </c>
      <c r="B804" s="4" t="s">
        <v>2892</v>
      </c>
      <c r="C804" s="4" t="s">
        <v>2096</v>
      </c>
      <c r="D804" s="4" t="s">
        <v>2236</v>
      </c>
      <c r="E804" s="4" t="s">
        <v>2901</v>
      </c>
      <c r="F804" s="4" t="s">
        <v>2893</v>
      </c>
      <c r="G804" s="4" t="s">
        <v>2294</v>
      </c>
      <c r="H804" s="4" t="s">
        <v>2183</v>
      </c>
      <c r="I804" s="4" t="s">
        <v>2100</v>
      </c>
      <c r="J804" s="4" t="s">
        <v>2894</v>
      </c>
      <c r="K804">
        <v>19</v>
      </c>
      <c r="L804">
        <v>5.7911999999999999</v>
      </c>
      <c r="M804">
        <v>25.4</v>
      </c>
      <c r="N804">
        <v>184.15</v>
      </c>
      <c r="O804">
        <v>228</v>
      </c>
      <c r="P804">
        <v>1</v>
      </c>
      <c r="Q804">
        <v>7.2500000000000009</v>
      </c>
      <c r="R804">
        <v>701.42200000000003</v>
      </c>
      <c r="S804">
        <v>2.7087816791999994E-2</v>
      </c>
      <c r="T804" s="4" t="s">
        <v>2895</v>
      </c>
    </row>
    <row r="805" spans="1:20" x14ac:dyDescent="0.2">
      <c r="A805" s="4" t="s">
        <v>2294</v>
      </c>
      <c r="B805" s="4" t="s">
        <v>2892</v>
      </c>
      <c r="C805" s="4" t="s">
        <v>2096</v>
      </c>
      <c r="D805" s="4" t="s">
        <v>2236</v>
      </c>
      <c r="E805" s="4" t="s">
        <v>477</v>
      </c>
      <c r="F805" s="4" t="s">
        <v>2893</v>
      </c>
      <c r="G805" s="4" t="s">
        <v>2294</v>
      </c>
      <c r="H805" s="4" t="s">
        <v>2183</v>
      </c>
      <c r="I805" s="4" t="s">
        <v>2100</v>
      </c>
      <c r="J805" s="4" t="s">
        <v>2894</v>
      </c>
      <c r="K805">
        <v>20</v>
      </c>
      <c r="L805">
        <v>6.0960000000000001</v>
      </c>
      <c r="M805">
        <v>25.4</v>
      </c>
      <c r="N805">
        <v>184.15</v>
      </c>
      <c r="O805">
        <v>240</v>
      </c>
      <c r="P805">
        <v>1</v>
      </c>
      <c r="Q805">
        <v>7.2500000000000009</v>
      </c>
      <c r="R805">
        <v>701.42200000000003</v>
      </c>
      <c r="S805">
        <v>2.8513491360000004E-2</v>
      </c>
      <c r="T805" s="4" t="s">
        <v>2895</v>
      </c>
    </row>
    <row r="806" spans="1:20" x14ac:dyDescent="0.2">
      <c r="A806" s="4" t="s">
        <v>2294</v>
      </c>
      <c r="B806" s="4" t="s">
        <v>2892</v>
      </c>
      <c r="C806" s="4" t="s">
        <v>2096</v>
      </c>
      <c r="D806" s="4" t="s">
        <v>2236</v>
      </c>
      <c r="E806" s="4" t="s">
        <v>2902</v>
      </c>
      <c r="F806" s="4" t="s">
        <v>2893</v>
      </c>
      <c r="G806" s="4" t="s">
        <v>2294</v>
      </c>
      <c r="H806" s="4" t="s">
        <v>2183</v>
      </c>
      <c r="I806" s="4" t="s">
        <v>2100</v>
      </c>
      <c r="J806" s="4" t="s">
        <v>2894</v>
      </c>
      <c r="K806">
        <v>21</v>
      </c>
      <c r="L806">
        <v>6.4008000000000003</v>
      </c>
      <c r="M806">
        <v>25.4</v>
      </c>
      <c r="N806">
        <v>184.15</v>
      </c>
      <c r="O806">
        <v>252.00000000000003</v>
      </c>
      <c r="P806">
        <v>1</v>
      </c>
      <c r="Q806">
        <v>7.2500000000000009</v>
      </c>
      <c r="R806">
        <v>701.42200000000003</v>
      </c>
      <c r="S806">
        <v>2.9939165928E-2</v>
      </c>
      <c r="T806" s="4" t="s">
        <v>2895</v>
      </c>
    </row>
    <row r="807" spans="1:20" x14ac:dyDescent="0.2">
      <c r="A807" s="4" t="s">
        <v>2294</v>
      </c>
      <c r="B807" s="4" t="s">
        <v>2892</v>
      </c>
      <c r="C807" s="4" t="s">
        <v>2096</v>
      </c>
      <c r="D807" s="4" t="s">
        <v>2236</v>
      </c>
      <c r="E807" s="4" t="s">
        <v>479</v>
      </c>
      <c r="F807" s="4" t="s">
        <v>2893</v>
      </c>
      <c r="G807" s="4" t="s">
        <v>2294</v>
      </c>
      <c r="H807" s="4" t="s">
        <v>2183</v>
      </c>
      <c r="I807" s="4" t="s">
        <v>2100</v>
      </c>
      <c r="J807" s="4" t="s">
        <v>2894</v>
      </c>
      <c r="K807">
        <v>22</v>
      </c>
      <c r="L807">
        <v>6.7055999999999996</v>
      </c>
      <c r="M807">
        <v>25.4</v>
      </c>
      <c r="N807">
        <v>184.15</v>
      </c>
      <c r="O807">
        <v>264</v>
      </c>
      <c r="P807">
        <v>1</v>
      </c>
      <c r="Q807">
        <v>7.2500000000000009</v>
      </c>
      <c r="R807">
        <v>701.42200000000003</v>
      </c>
      <c r="S807">
        <v>3.1364840495999989E-2</v>
      </c>
      <c r="T807" s="4" t="s">
        <v>2895</v>
      </c>
    </row>
    <row r="808" spans="1:20" x14ac:dyDescent="0.2">
      <c r="A808" s="4" t="s">
        <v>2294</v>
      </c>
      <c r="B808" s="4" t="s">
        <v>2892</v>
      </c>
      <c r="C808" s="4" t="s">
        <v>2096</v>
      </c>
      <c r="D808" s="4" t="s">
        <v>2236</v>
      </c>
      <c r="E808" s="4" t="s">
        <v>2903</v>
      </c>
      <c r="F808" s="4" t="s">
        <v>2893</v>
      </c>
      <c r="G808" s="4" t="s">
        <v>2294</v>
      </c>
      <c r="H808" s="4" t="s">
        <v>2183</v>
      </c>
      <c r="I808" s="4" t="s">
        <v>2100</v>
      </c>
      <c r="J808" s="4" t="s">
        <v>2894</v>
      </c>
      <c r="K808">
        <v>23</v>
      </c>
      <c r="L808">
        <v>7.0103999999999997</v>
      </c>
      <c r="M808">
        <v>25.4</v>
      </c>
      <c r="N808">
        <v>184.15</v>
      </c>
      <c r="O808">
        <v>276</v>
      </c>
      <c r="P808">
        <v>1</v>
      </c>
      <c r="Q808">
        <v>7.2500000000000009</v>
      </c>
      <c r="R808">
        <v>701.42200000000003</v>
      </c>
      <c r="S808">
        <v>3.2790515063999999E-2</v>
      </c>
      <c r="T808" s="4" t="s">
        <v>2895</v>
      </c>
    </row>
    <row r="809" spans="1:20" x14ac:dyDescent="0.2">
      <c r="A809" s="4" t="s">
        <v>2294</v>
      </c>
      <c r="B809" s="4" t="s">
        <v>2892</v>
      </c>
      <c r="C809" s="4" t="s">
        <v>2096</v>
      </c>
      <c r="D809" s="4" t="s">
        <v>2236</v>
      </c>
      <c r="E809" s="4" t="s">
        <v>2904</v>
      </c>
      <c r="F809" s="4" t="s">
        <v>2893</v>
      </c>
      <c r="G809" s="4" t="s">
        <v>2294</v>
      </c>
      <c r="H809" s="4" t="s">
        <v>2183</v>
      </c>
      <c r="I809" s="4" t="s">
        <v>2100</v>
      </c>
      <c r="J809" s="4" t="s">
        <v>2894</v>
      </c>
      <c r="K809">
        <v>24</v>
      </c>
      <c r="L809">
        <v>7.3152000000000008</v>
      </c>
      <c r="M809">
        <v>25.4</v>
      </c>
      <c r="N809">
        <v>184.15</v>
      </c>
      <c r="O809">
        <v>288.00000000000006</v>
      </c>
      <c r="P809">
        <v>1</v>
      </c>
      <c r="Q809">
        <v>7.2500000000000009</v>
      </c>
      <c r="R809">
        <v>701.42200000000003</v>
      </c>
      <c r="S809">
        <v>3.4216189632000002E-2</v>
      </c>
      <c r="T809" s="4" t="s">
        <v>2895</v>
      </c>
    </row>
    <row r="810" spans="1:20" x14ac:dyDescent="0.2">
      <c r="A810" s="4" t="s">
        <v>2294</v>
      </c>
      <c r="B810" s="4" t="s">
        <v>2892</v>
      </c>
      <c r="C810" s="4" t="s">
        <v>2286</v>
      </c>
      <c r="D810" s="4" t="s">
        <v>2236</v>
      </c>
      <c r="E810" s="4" t="s">
        <v>2905</v>
      </c>
      <c r="F810" s="4" t="s">
        <v>2893</v>
      </c>
      <c r="G810" s="4" t="s">
        <v>2294</v>
      </c>
      <c r="H810" s="4" t="s">
        <v>2183</v>
      </c>
      <c r="I810" s="4" t="s">
        <v>2100</v>
      </c>
      <c r="J810" s="4" t="s">
        <v>2894</v>
      </c>
      <c r="K810">
        <v>3</v>
      </c>
      <c r="L810">
        <v>0.91439999999999999</v>
      </c>
      <c r="M810">
        <v>25.4</v>
      </c>
      <c r="N810">
        <v>184.15</v>
      </c>
      <c r="O810">
        <v>36</v>
      </c>
      <c r="P810">
        <v>1</v>
      </c>
      <c r="Q810">
        <v>7.2500000000000009</v>
      </c>
      <c r="R810">
        <v>701.42200000000003</v>
      </c>
      <c r="S810">
        <v>4.2770237039999994E-3</v>
      </c>
      <c r="T810" s="4" t="s">
        <v>2906</v>
      </c>
    </row>
    <row r="811" spans="1:20" x14ac:dyDescent="0.2">
      <c r="A811" s="4" t="s">
        <v>2294</v>
      </c>
      <c r="B811" s="4" t="s">
        <v>2892</v>
      </c>
      <c r="C811" s="4" t="s">
        <v>2286</v>
      </c>
      <c r="D811" s="4" t="s">
        <v>2236</v>
      </c>
      <c r="E811" s="4" t="s">
        <v>2907</v>
      </c>
      <c r="F811" s="4" t="s">
        <v>2893</v>
      </c>
      <c r="G811" s="4" t="s">
        <v>2294</v>
      </c>
      <c r="H811" s="4" t="s">
        <v>2183</v>
      </c>
      <c r="I811" s="4" t="s">
        <v>2100</v>
      </c>
      <c r="J811" s="4" t="s">
        <v>2894</v>
      </c>
      <c r="K811">
        <v>4</v>
      </c>
      <c r="L811">
        <v>1.2192000000000001</v>
      </c>
      <c r="M811">
        <v>25.4</v>
      </c>
      <c r="N811">
        <v>184.15</v>
      </c>
      <c r="O811">
        <v>48.000000000000007</v>
      </c>
      <c r="P811">
        <v>1</v>
      </c>
      <c r="Q811">
        <v>7.2500000000000009</v>
      </c>
      <c r="R811">
        <v>701.42200000000003</v>
      </c>
      <c r="S811">
        <v>5.7026982719999997E-3</v>
      </c>
      <c r="T811" s="4" t="s">
        <v>2906</v>
      </c>
    </row>
    <row r="812" spans="1:20" x14ac:dyDescent="0.2">
      <c r="A812" s="4" t="s">
        <v>2294</v>
      </c>
      <c r="B812" s="4" t="s">
        <v>2892</v>
      </c>
      <c r="C812" s="4" t="s">
        <v>2286</v>
      </c>
      <c r="D812" s="4" t="s">
        <v>2236</v>
      </c>
      <c r="E812" s="4" t="s">
        <v>2908</v>
      </c>
      <c r="F812" s="4" t="s">
        <v>2893</v>
      </c>
      <c r="G812" s="4" t="s">
        <v>2294</v>
      </c>
      <c r="H812" s="4" t="s">
        <v>2183</v>
      </c>
      <c r="I812" s="4" t="s">
        <v>2100</v>
      </c>
      <c r="J812" s="4" t="s">
        <v>2894</v>
      </c>
      <c r="K812">
        <v>5</v>
      </c>
      <c r="L812">
        <v>1.524</v>
      </c>
      <c r="M812">
        <v>25.4</v>
      </c>
      <c r="N812">
        <v>184.15</v>
      </c>
      <c r="O812">
        <v>60</v>
      </c>
      <c r="P812">
        <v>1</v>
      </c>
      <c r="Q812">
        <v>7.2500000000000009</v>
      </c>
      <c r="R812">
        <v>701.42200000000003</v>
      </c>
      <c r="S812">
        <v>7.128372840000001E-3</v>
      </c>
      <c r="T812" s="4" t="s">
        <v>2906</v>
      </c>
    </row>
    <row r="813" spans="1:20" x14ac:dyDescent="0.2">
      <c r="A813" s="4" t="s">
        <v>2294</v>
      </c>
      <c r="B813" s="4" t="s">
        <v>2892</v>
      </c>
      <c r="C813" s="4" t="s">
        <v>2286</v>
      </c>
      <c r="D813" s="4" t="s">
        <v>2236</v>
      </c>
      <c r="E813" s="4" t="s">
        <v>2909</v>
      </c>
      <c r="F813" s="4" t="s">
        <v>2893</v>
      </c>
      <c r="G813" s="4" t="s">
        <v>2294</v>
      </c>
      <c r="H813" s="4" t="s">
        <v>2183</v>
      </c>
      <c r="I813" s="4" t="s">
        <v>2100</v>
      </c>
      <c r="J813" s="4" t="s">
        <v>2894</v>
      </c>
      <c r="K813">
        <v>6</v>
      </c>
      <c r="L813">
        <v>1.8288</v>
      </c>
      <c r="M813">
        <v>25.4</v>
      </c>
      <c r="N813">
        <v>184.15</v>
      </c>
      <c r="O813">
        <v>72</v>
      </c>
      <c r="P813">
        <v>1</v>
      </c>
      <c r="Q813">
        <v>7.2500000000000009</v>
      </c>
      <c r="R813">
        <v>701.42200000000003</v>
      </c>
      <c r="S813">
        <v>8.5540474079999988E-3</v>
      </c>
      <c r="T813" s="4" t="s">
        <v>2906</v>
      </c>
    </row>
    <row r="814" spans="1:20" x14ac:dyDescent="0.2">
      <c r="A814" s="4" t="s">
        <v>2294</v>
      </c>
      <c r="B814" s="4" t="s">
        <v>2892</v>
      </c>
      <c r="C814" s="4" t="s">
        <v>2286</v>
      </c>
      <c r="D814" s="4" t="s">
        <v>2236</v>
      </c>
      <c r="E814" s="4" t="s">
        <v>2910</v>
      </c>
      <c r="F814" s="4" t="s">
        <v>2893</v>
      </c>
      <c r="G814" s="4" t="s">
        <v>2294</v>
      </c>
      <c r="H814" s="4" t="s">
        <v>2183</v>
      </c>
      <c r="I814" s="4" t="s">
        <v>2100</v>
      </c>
      <c r="J814" s="4" t="s">
        <v>2894</v>
      </c>
      <c r="K814">
        <v>7</v>
      </c>
      <c r="L814">
        <v>2.1335999999999999</v>
      </c>
      <c r="M814">
        <v>25.4</v>
      </c>
      <c r="N814">
        <v>184.15</v>
      </c>
      <c r="O814">
        <v>84</v>
      </c>
      <c r="P814">
        <v>1</v>
      </c>
      <c r="Q814">
        <v>7.2500000000000009</v>
      </c>
      <c r="R814">
        <v>701.42200000000003</v>
      </c>
      <c r="S814">
        <v>9.9797219759999983E-3</v>
      </c>
      <c r="T814" s="4" t="s">
        <v>2906</v>
      </c>
    </row>
    <row r="815" spans="1:20" x14ac:dyDescent="0.2">
      <c r="A815" s="4" t="s">
        <v>2294</v>
      </c>
      <c r="B815" s="4" t="s">
        <v>2892</v>
      </c>
      <c r="C815" s="4" t="s">
        <v>2096</v>
      </c>
      <c r="D815" s="4" t="s">
        <v>2236</v>
      </c>
      <c r="E815" s="4" t="s">
        <v>481</v>
      </c>
      <c r="F815" s="4" t="s">
        <v>2893</v>
      </c>
      <c r="G815" s="4" t="s">
        <v>2294</v>
      </c>
      <c r="H815" s="4" t="s">
        <v>2183</v>
      </c>
      <c r="I815" s="4" t="s">
        <v>2100</v>
      </c>
      <c r="J815" s="4" t="s">
        <v>2894</v>
      </c>
      <c r="K815">
        <v>8</v>
      </c>
      <c r="L815">
        <v>2.4384000000000001</v>
      </c>
      <c r="M815">
        <v>25.4</v>
      </c>
      <c r="N815">
        <v>184.15</v>
      </c>
      <c r="O815">
        <v>96.000000000000014</v>
      </c>
      <c r="P815">
        <v>1</v>
      </c>
      <c r="Q815">
        <v>7.2500000000000009</v>
      </c>
      <c r="R815">
        <v>701.42200000000003</v>
      </c>
      <c r="S815">
        <v>1.1405396543999999E-2</v>
      </c>
      <c r="T815" s="4" t="s">
        <v>2895</v>
      </c>
    </row>
    <row r="816" spans="1:20" x14ac:dyDescent="0.2">
      <c r="A816" s="4" t="s">
        <v>2294</v>
      </c>
      <c r="B816" s="4" t="s">
        <v>2892</v>
      </c>
      <c r="C816" s="4" t="s">
        <v>2096</v>
      </c>
      <c r="D816" s="4" t="s">
        <v>2236</v>
      </c>
      <c r="E816" s="4" t="s">
        <v>2911</v>
      </c>
      <c r="F816" s="4" t="s">
        <v>2893</v>
      </c>
      <c r="G816" s="4" t="s">
        <v>2294</v>
      </c>
      <c r="H816" s="4" t="s">
        <v>2183</v>
      </c>
      <c r="I816" s="4" t="s">
        <v>2100</v>
      </c>
      <c r="J816" s="4" t="s">
        <v>2894</v>
      </c>
      <c r="K816">
        <v>9</v>
      </c>
      <c r="L816">
        <v>2.7431999999999999</v>
      </c>
      <c r="M816">
        <v>25.4</v>
      </c>
      <c r="N816">
        <v>184.15</v>
      </c>
      <c r="O816">
        <v>108</v>
      </c>
      <c r="P816">
        <v>1</v>
      </c>
      <c r="Q816">
        <v>7.2500000000000009</v>
      </c>
      <c r="R816">
        <v>701.42200000000003</v>
      </c>
      <c r="S816">
        <v>1.2831071112000001E-2</v>
      </c>
      <c r="T816" s="4" t="s">
        <v>2895</v>
      </c>
    </row>
    <row r="817" spans="1:20" x14ac:dyDescent="0.2">
      <c r="A817" s="4" t="s">
        <v>2294</v>
      </c>
      <c r="B817" s="4" t="s">
        <v>2912</v>
      </c>
      <c r="C817" s="4" t="s">
        <v>2096</v>
      </c>
      <c r="D817" s="4" t="s">
        <v>2236</v>
      </c>
      <c r="E817" s="4" t="s">
        <v>248</v>
      </c>
      <c r="F817" s="4" t="s">
        <v>2913</v>
      </c>
      <c r="G817" s="4" t="s">
        <v>2294</v>
      </c>
      <c r="H817" s="4" t="s">
        <v>2183</v>
      </c>
      <c r="I817" s="4" t="s">
        <v>2100</v>
      </c>
      <c r="J817" s="4" t="s">
        <v>2914</v>
      </c>
      <c r="K817">
        <v>14</v>
      </c>
      <c r="L817">
        <v>4.2671999999999999</v>
      </c>
      <c r="M817">
        <v>50</v>
      </c>
      <c r="N817">
        <v>140</v>
      </c>
      <c r="O817">
        <v>168</v>
      </c>
      <c r="P817">
        <v>1.9685039370078741</v>
      </c>
      <c r="Q817">
        <v>5.5118110236220472</v>
      </c>
      <c r="R817">
        <v>468.69099999999997</v>
      </c>
      <c r="S817">
        <v>2.9870399999999998E-2</v>
      </c>
      <c r="T817" s="4" t="s">
        <v>2915</v>
      </c>
    </row>
    <row r="818" spans="1:20" x14ac:dyDescent="0.2">
      <c r="A818" s="4" t="s">
        <v>2294</v>
      </c>
      <c r="B818" s="4" t="s">
        <v>2916</v>
      </c>
      <c r="C818" s="4" t="s">
        <v>2096</v>
      </c>
      <c r="D818" s="4" t="s">
        <v>2236</v>
      </c>
      <c r="E818" s="4" t="s">
        <v>2917</v>
      </c>
      <c r="F818" s="4" t="s">
        <v>2918</v>
      </c>
      <c r="G818" s="4" t="s">
        <v>2294</v>
      </c>
      <c r="H818" s="4" t="s">
        <v>2183</v>
      </c>
      <c r="I818" s="4" t="s">
        <v>2100</v>
      </c>
      <c r="J818" s="4" t="s">
        <v>2919</v>
      </c>
      <c r="K818">
        <v>10</v>
      </c>
      <c r="L818">
        <v>3.048</v>
      </c>
      <c r="M818">
        <v>139.69999999999999</v>
      </c>
      <c r="N818">
        <v>285.75</v>
      </c>
      <c r="O818">
        <v>120</v>
      </c>
      <c r="P818">
        <v>5.5</v>
      </c>
      <c r="Q818">
        <v>11.25</v>
      </c>
      <c r="R818">
        <v>82.186999999999998</v>
      </c>
      <c r="S818">
        <v>0.12167395019999998</v>
      </c>
      <c r="T818" s="4" t="s">
        <v>2920</v>
      </c>
    </row>
    <row r="819" spans="1:20" x14ac:dyDescent="0.2">
      <c r="A819" s="4" t="s">
        <v>2294</v>
      </c>
      <c r="B819" s="4" t="s">
        <v>2916</v>
      </c>
      <c r="C819" s="4" t="s">
        <v>2096</v>
      </c>
      <c r="D819" s="4" t="s">
        <v>2236</v>
      </c>
      <c r="E819" s="4" t="s">
        <v>2921</v>
      </c>
      <c r="F819" s="4" t="s">
        <v>2918</v>
      </c>
      <c r="G819" s="4" t="s">
        <v>2294</v>
      </c>
      <c r="H819" s="4" t="s">
        <v>2183</v>
      </c>
      <c r="I819" s="4" t="s">
        <v>2100</v>
      </c>
      <c r="J819" s="4" t="s">
        <v>2919</v>
      </c>
      <c r="K819">
        <v>11</v>
      </c>
      <c r="L819">
        <v>3.3527999999999998</v>
      </c>
      <c r="M819">
        <v>139.69999999999999</v>
      </c>
      <c r="N819">
        <v>285.75</v>
      </c>
      <c r="O819">
        <v>132</v>
      </c>
      <c r="P819">
        <v>5.5</v>
      </c>
      <c r="Q819">
        <v>11.25</v>
      </c>
      <c r="R819">
        <v>82.186999999999998</v>
      </c>
      <c r="S819">
        <v>0.13384134521999996</v>
      </c>
      <c r="T819" s="4" t="s">
        <v>2920</v>
      </c>
    </row>
    <row r="820" spans="1:20" x14ac:dyDescent="0.2">
      <c r="A820" s="4" t="s">
        <v>2294</v>
      </c>
      <c r="B820" s="4" t="s">
        <v>2916</v>
      </c>
      <c r="C820" s="4" t="s">
        <v>2096</v>
      </c>
      <c r="D820" s="4" t="s">
        <v>2236</v>
      </c>
      <c r="E820" s="4" t="s">
        <v>2922</v>
      </c>
      <c r="F820" s="4" t="s">
        <v>2918</v>
      </c>
      <c r="G820" s="4" t="s">
        <v>2294</v>
      </c>
      <c r="H820" s="4" t="s">
        <v>2183</v>
      </c>
      <c r="I820" s="4" t="s">
        <v>2100</v>
      </c>
      <c r="J820" s="4" t="s">
        <v>2919</v>
      </c>
      <c r="K820">
        <v>12</v>
      </c>
      <c r="L820">
        <v>3.6576</v>
      </c>
      <c r="M820">
        <v>139.69999999999999</v>
      </c>
      <c r="N820">
        <v>285.75</v>
      </c>
      <c r="O820">
        <v>144</v>
      </c>
      <c r="P820">
        <v>5.5</v>
      </c>
      <c r="Q820">
        <v>11.25</v>
      </c>
      <c r="R820">
        <v>82.186999999999998</v>
      </c>
      <c r="S820">
        <v>0.14600874024000002</v>
      </c>
      <c r="T820" s="4" t="s">
        <v>2920</v>
      </c>
    </row>
    <row r="821" spans="1:20" x14ac:dyDescent="0.2">
      <c r="A821" s="4" t="s">
        <v>2294</v>
      </c>
      <c r="B821" s="4" t="s">
        <v>2916</v>
      </c>
      <c r="C821" s="4" t="s">
        <v>2096</v>
      </c>
      <c r="D821" s="4" t="s">
        <v>2236</v>
      </c>
      <c r="E821" s="4" t="s">
        <v>2923</v>
      </c>
      <c r="F821" s="4" t="s">
        <v>2918</v>
      </c>
      <c r="G821" s="4" t="s">
        <v>2294</v>
      </c>
      <c r="H821" s="4" t="s">
        <v>2183</v>
      </c>
      <c r="I821" s="4" t="s">
        <v>2100</v>
      </c>
      <c r="J821" s="4" t="s">
        <v>2919</v>
      </c>
      <c r="K821">
        <v>13</v>
      </c>
      <c r="L821">
        <v>3.9624000000000001</v>
      </c>
      <c r="M821">
        <v>139.69999999999999</v>
      </c>
      <c r="N821">
        <v>285.75</v>
      </c>
      <c r="O821">
        <v>156</v>
      </c>
      <c r="P821">
        <v>5.5</v>
      </c>
      <c r="Q821">
        <v>11.25</v>
      </c>
      <c r="R821">
        <v>82.186999999999998</v>
      </c>
      <c r="S821">
        <v>0.15817613525999999</v>
      </c>
      <c r="T821" s="4" t="s">
        <v>2920</v>
      </c>
    </row>
    <row r="822" spans="1:20" x14ac:dyDescent="0.2">
      <c r="A822" s="4" t="s">
        <v>2294</v>
      </c>
      <c r="B822" s="4" t="s">
        <v>2916</v>
      </c>
      <c r="C822" s="4" t="s">
        <v>2096</v>
      </c>
      <c r="D822" s="4" t="s">
        <v>2236</v>
      </c>
      <c r="E822" s="4" t="s">
        <v>250</v>
      </c>
      <c r="F822" s="4" t="s">
        <v>2918</v>
      </c>
      <c r="G822" s="4" t="s">
        <v>2294</v>
      </c>
      <c r="H822" s="4" t="s">
        <v>2183</v>
      </c>
      <c r="I822" s="4" t="s">
        <v>2100</v>
      </c>
      <c r="J822" s="4" t="s">
        <v>2919</v>
      </c>
      <c r="K822">
        <v>14</v>
      </c>
      <c r="L822">
        <v>4.2671999999999999</v>
      </c>
      <c r="M822">
        <v>139.69999999999999</v>
      </c>
      <c r="N822">
        <v>285.75</v>
      </c>
      <c r="O822">
        <v>168</v>
      </c>
      <c r="P822">
        <v>5.5</v>
      </c>
      <c r="Q822">
        <v>11.25</v>
      </c>
      <c r="R822">
        <v>82.186999999999998</v>
      </c>
      <c r="S822">
        <v>0.17034353027999996</v>
      </c>
      <c r="T822" s="4" t="s">
        <v>2920</v>
      </c>
    </row>
    <row r="823" spans="1:20" x14ac:dyDescent="0.2">
      <c r="A823" s="4" t="s">
        <v>2294</v>
      </c>
      <c r="B823" s="4" t="s">
        <v>2916</v>
      </c>
      <c r="C823" s="4" t="s">
        <v>2096</v>
      </c>
      <c r="D823" s="4" t="s">
        <v>2236</v>
      </c>
      <c r="E823" s="4" t="s">
        <v>2924</v>
      </c>
      <c r="F823" s="4" t="s">
        <v>2918</v>
      </c>
      <c r="G823" s="4" t="s">
        <v>2294</v>
      </c>
      <c r="H823" s="4" t="s">
        <v>2183</v>
      </c>
      <c r="I823" s="4" t="s">
        <v>2100</v>
      </c>
      <c r="J823" s="4" t="s">
        <v>2919</v>
      </c>
      <c r="K823">
        <v>15</v>
      </c>
      <c r="L823">
        <v>4.5720000000000001</v>
      </c>
      <c r="M823">
        <v>139.69999999999999</v>
      </c>
      <c r="N823">
        <v>285.75</v>
      </c>
      <c r="O823">
        <v>180</v>
      </c>
      <c r="P823">
        <v>5.5</v>
      </c>
      <c r="Q823">
        <v>11.25</v>
      </c>
      <c r="R823">
        <v>82.186999999999998</v>
      </c>
      <c r="S823">
        <v>0.18251092529999999</v>
      </c>
      <c r="T823" s="4" t="s">
        <v>2920</v>
      </c>
    </row>
    <row r="824" spans="1:20" x14ac:dyDescent="0.2">
      <c r="A824" s="4" t="s">
        <v>2294</v>
      </c>
      <c r="B824" s="4" t="s">
        <v>2916</v>
      </c>
      <c r="C824" s="4" t="s">
        <v>2096</v>
      </c>
      <c r="D824" s="4" t="s">
        <v>2236</v>
      </c>
      <c r="E824" s="4" t="s">
        <v>252</v>
      </c>
      <c r="F824" s="4" t="s">
        <v>2918</v>
      </c>
      <c r="G824" s="4" t="s">
        <v>2294</v>
      </c>
      <c r="H824" s="4" t="s">
        <v>2183</v>
      </c>
      <c r="I824" s="4" t="s">
        <v>2100</v>
      </c>
      <c r="J824" s="4" t="s">
        <v>2919</v>
      </c>
      <c r="K824">
        <v>16</v>
      </c>
      <c r="L824">
        <v>4.8768000000000002</v>
      </c>
      <c r="M824">
        <v>139.69999999999999</v>
      </c>
      <c r="N824">
        <v>285.75</v>
      </c>
      <c r="O824">
        <v>192.00000000000003</v>
      </c>
      <c r="P824">
        <v>5.5</v>
      </c>
      <c r="Q824">
        <v>11.25</v>
      </c>
      <c r="R824">
        <v>82.186999999999998</v>
      </c>
      <c r="S824">
        <v>0.19467832031999999</v>
      </c>
      <c r="T824" s="4" t="s">
        <v>2920</v>
      </c>
    </row>
    <row r="825" spans="1:20" x14ac:dyDescent="0.2">
      <c r="A825" s="4" t="s">
        <v>2294</v>
      </c>
      <c r="B825" s="4" t="s">
        <v>2916</v>
      </c>
      <c r="C825" s="4" t="s">
        <v>2096</v>
      </c>
      <c r="D825" s="4" t="s">
        <v>2236</v>
      </c>
      <c r="E825" s="4" t="s">
        <v>2925</v>
      </c>
      <c r="F825" s="4" t="s">
        <v>2918</v>
      </c>
      <c r="G825" s="4" t="s">
        <v>2294</v>
      </c>
      <c r="H825" s="4" t="s">
        <v>2183</v>
      </c>
      <c r="I825" s="4" t="s">
        <v>2100</v>
      </c>
      <c r="J825" s="4" t="s">
        <v>2919</v>
      </c>
      <c r="K825">
        <v>17</v>
      </c>
      <c r="L825">
        <v>5.1816000000000004</v>
      </c>
      <c r="M825">
        <v>139.69999999999999</v>
      </c>
      <c r="N825">
        <v>285.75</v>
      </c>
      <c r="O825">
        <v>204.00000000000003</v>
      </c>
      <c r="P825">
        <v>5.5</v>
      </c>
      <c r="Q825">
        <v>11.25</v>
      </c>
      <c r="R825">
        <v>82.186999999999998</v>
      </c>
      <c r="S825">
        <v>0.20684571533999996</v>
      </c>
      <c r="T825" s="4" t="s">
        <v>2920</v>
      </c>
    </row>
    <row r="826" spans="1:20" x14ac:dyDescent="0.2">
      <c r="A826" s="4" t="s">
        <v>2294</v>
      </c>
      <c r="B826" s="4" t="s">
        <v>2916</v>
      </c>
      <c r="C826" s="4" t="s">
        <v>2096</v>
      </c>
      <c r="D826" s="4" t="s">
        <v>2236</v>
      </c>
      <c r="E826" s="4" t="s">
        <v>2926</v>
      </c>
      <c r="F826" s="4" t="s">
        <v>2918</v>
      </c>
      <c r="G826" s="4" t="s">
        <v>2294</v>
      </c>
      <c r="H826" s="4" t="s">
        <v>2183</v>
      </c>
      <c r="I826" s="4" t="s">
        <v>2100</v>
      </c>
      <c r="J826" s="4" t="s">
        <v>2919</v>
      </c>
      <c r="K826">
        <v>18</v>
      </c>
      <c r="L826">
        <v>5.4863999999999997</v>
      </c>
      <c r="M826">
        <v>139.69999999999999</v>
      </c>
      <c r="N826">
        <v>285.75</v>
      </c>
      <c r="O826">
        <v>216</v>
      </c>
      <c r="P826">
        <v>5.5</v>
      </c>
      <c r="Q826">
        <v>11.25</v>
      </c>
      <c r="R826">
        <v>82.186999999999998</v>
      </c>
      <c r="S826">
        <v>0.21901311035999996</v>
      </c>
      <c r="T826" s="4" t="s">
        <v>2920</v>
      </c>
    </row>
    <row r="827" spans="1:20" x14ac:dyDescent="0.2">
      <c r="A827" s="4" t="s">
        <v>2294</v>
      </c>
      <c r="B827" s="4" t="s">
        <v>2916</v>
      </c>
      <c r="C827" s="4" t="s">
        <v>2096</v>
      </c>
      <c r="D827" s="4" t="s">
        <v>2236</v>
      </c>
      <c r="E827" s="4" t="s">
        <v>2927</v>
      </c>
      <c r="F827" s="4" t="s">
        <v>2918</v>
      </c>
      <c r="G827" s="4" t="s">
        <v>2294</v>
      </c>
      <c r="H827" s="4" t="s">
        <v>2183</v>
      </c>
      <c r="I827" s="4" t="s">
        <v>2100</v>
      </c>
      <c r="J827" s="4" t="s">
        <v>2919</v>
      </c>
      <c r="K827">
        <v>19</v>
      </c>
      <c r="L827">
        <v>5.7911999999999999</v>
      </c>
      <c r="M827">
        <v>139.69999999999999</v>
      </c>
      <c r="N827">
        <v>285.75</v>
      </c>
      <c r="O827">
        <v>228</v>
      </c>
      <c r="P827">
        <v>5.5</v>
      </c>
      <c r="Q827">
        <v>11.25</v>
      </c>
      <c r="R827">
        <v>82.186999999999998</v>
      </c>
      <c r="S827">
        <v>0.23118050537999998</v>
      </c>
      <c r="T827" s="4" t="s">
        <v>2920</v>
      </c>
    </row>
    <row r="828" spans="1:20" x14ac:dyDescent="0.2">
      <c r="A828" s="4" t="s">
        <v>2294</v>
      </c>
      <c r="B828" s="4" t="s">
        <v>2916</v>
      </c>
      <c r="C828" s="4" t="s">
        <v>2096</v>
      </c>
      <c r="D828" s="4" t="s">
        <v>2236</v>
      </c>
      <c r="E828" s="4" t="s">
        <v>2928</v>
      </c>
      <c r="F828" s="4" t="s">
        <v>2918</v>
      </c>
      <c r="G828" s="4" t="s">
        <v>2294</v>
      </c>
      <c r="H828" s="4" t="s">
        <v>2183</v>
      </c>
      <c r="I828" s="4" t="s">
        <v>2100</v>
      </c>
      <c r="J828" s="4" t="s">
        <v>2919</v>
      </c>
      <c r="K828">
        <v>20</v>
      </c>
      <c r="L828">
        <v>6.0960000000000001</v>
      </c>
      <c r="M828">
        <v>139.69999999999999</v>
      </c>
      <c r="N828">
        <v>285.75</v>
      </c>
      <c r="O828">
        <v>240</v>
      </c>
      <c r="P828">
        <v>5.5</v>
      </c>
      <c r="Q828">
        <v>11.25</v>
      </c>
      <c r="R828">
        <v>82.186999999999998</v>
      </c>
      <c r="S828">
        <v>0.24334790039999996</v>
      </c>
      <c r="T828" s="4" t="s">
        <v>2920</v>
      </c>
    </row>
    <row r="829" spans="1:20" x14ac:dyDescent="0.2">
      <c r="A829" s="4" t="s">
        <v>2294</v>
      </c>
      <c r="B829" s="4" t="s">
        <v>2916</v>
      </c>
      <c r="C829" s="4" t="s">
        <v>2096</v>
      </c>
      <c r="D829" s="4" t="s">
        <v>2236</v>
      </c>
      <c r="E829" s="4" t="s">
        <v>2929</v>
      </c>
      <c r="F829" s="4" t="s">
        <v>2918</v>
      </c>
      <c r="G829" s="4" t="s">
        <v>2294</v>
      </c>
      <c r="H829" s="4" t="s">
        <v>2183</v>
      </c>
      <c r="I829" s="4" t="s">
        <v>2100</v>
      </c>
      <c r="J829" s="4" t="s">
        <v>2919</v>
      </c>
      <c r="K829">
        <v>21</v>
      </c>
      <c r="L829">
        <v>6.4008000000000003</v>
      </c>
      <c r="M829">
        <v>139.69999999999999</v>
      </c>
      <c r="N829">
        <v>285.75</v>
      </c>
      <c r="O829">
        <v>252.00000000000003</v>
      </c>
      <c r="P829">
        <v>5.5</v>
      </c>
      <c r="Q829">
        <v>11.25</v>
      </c>
      <c r="R829">
        <v>82.186999999999998</v>
      </c>
      <c r="S829">
        <v>0.25551529541999995</v>
      </c>
      <c r="T829" s="4" t="s">
        <v>2920</v>
      </c>
    </row>
    <row r="830" spans="1:20" x14ac:dyDescent="0.2">
      <c r="A830" s="4" t="s">
        <v>2294</v>
      </c>
      <c r="B830" s="4" t="s">
        <v>2916</v>
      </c>
      <c r="C830" s="4" t="s">
        <v>2096</v>
      </c>
      <c r="D830" s="4" t="s">
        <v>2236</v>
      </c>
      <c r="E830" s="4" t="s">
        <v>2930</v>
      </c>
      <c r="F830" s="4" t="s">
        <v>2918</v>
      </c>
      <c r="G830" s="4" t="s">
        <v>2294</v>
      </c>
      <c r="H830" s="4" t="s">
        <v>2183</v>
      </c>
      <c r="I830" s="4" t="s">
        <v>2100</v>
      </c>
      <c r="J830" s="4" t="s">
        <v>2919</v>
      </c>
      <c r="K830">
        <v>22</v>
      </c>
      <c r="L830">
        <v>6.7055999999999996</v>
      </c>
      <c r="M830">
        <v>139.69999999999999</v>
      </c>
      <c r="N830">
        <v>285.75</v>
      </c>
      <c r="O830">
        <v>264</v>
      </c>
      <c r="P830">
        <v>5.5</v>
      </c>
      <c r="Q830">
        <v>11.25</v>
      </c>
      <c r="R830">
        <v>82.186999999999998</v>
      </c>
      <c r="S830">
        <v>0.26768269043999993</v>
      </c>
      <c r="T830" s="4" t="s">
        <v>2920</v>
      </c>
    </row>
    <row r="831" spans="1:20" x14ac:dyDescent="0.2">
      <c r="A831" s="4" t="s">
        <v>2294</v>
      </c>
      <c r="B831" s="4" t="s">
        <v>2916</v>
      </c>
      <c r="C831" s="4" t="s">
        <v>2096</v>
      </c>
      <c r="D831" s="4" t="s">
        <v>2236</v>
      </c>
      <c r="E831" s="4" t="s">
        <v>2931</v>
      </c>
      <c r="F831" s="4" t="s">
        <v>2918</v>
      </c>
      <c r="G831" s="4" t="s">
        <v>2294</v>
      </c>
      <c r="H831" s="4" t="s">
        <v>2183</v>
      </c>
      <c r="I831" s="4" t="s">
        <v>2100</v>
      </c>
      <c r="J831" s="4" t="s">
        <v>2919</v>
      </c>
      <c r="K831">
        <v>23</v>
      </c>
      <c r="L831">
        <v>7.0103999999999997</v>
      </c>
      <c r="M831">
        <v>139.69999999999999</v>
      </c>
      <c r="N831">
        <v>285.75</v>
      </c>
      <c r="O831">
        <v>276</v>
      </c>
      <c r="P831">
        <v>5.5</v>
      </c>
      <c r="Q831">
        <v>11.25</v>
      </c>
      <c r="R831">
        <v>82.186999999999998</v>
      </c>
      <c r="S831">
        <v>0.27985008545999995</v>
      </c>
      <c r="T831" s="4" t="s">
        <v>2920</v>
      </c>
    </row>
    <row r="832" spans="1:20" x14ac:dyDescent="0.2">
      <c r="A832" s="4" t="s">
        <v>2294</v>
      </c>
      <c r="B832" s="4" t="s">
        <v>2916</v>
      </c>
      <c r="C832" s="4" t="s">
        <v>2096</v>
      </c>
      <c r="D832" s="4" t="s">
        <v>2236</v>
      </c>
      <c r="E832" s="4" t="s">
        <v>2932</v>
      </c>
      <c r="F832" s="4" t="s">
        <v>2918</v>
      </c>
      <c r="G832" s="4" t="s">
        <v>2294</v>
      </c>
      <c r="H832" s="4" t="s">
        <v>2183</v>
      </c>
      <c r="I832" s="4" t="s">
        <v>2100</v>
      </c>
      <c r="J832" s="4" t="s">
        <v>2919</v>
      </c>
      <c r="K832">
        <v>24</v>
      </c>
      <c r="L832">
        <v>7.3152000000000008</v>
      </c>
      <c r="M832">
        <v>139.69999999999999</v>
      </c>
      <c r="N832">
        <v>285.75</v>
      </c>
      <c r="O832">
        <v>288.00000000000006</v>
      </c>
      <c r="P832">
        <v>5.5</v>
      </c>
      <c r="Q832">
        <v>11.25</v>
      </c>
      <c r="R832">
        <v>82.186999999999998</v>
      </c>
      <c r="S832">
        <v>0.29201748048000004</v>
      </c>
      <c r="T832" s="4" t="s">
        <v>2920</v>
      </c>
    </row>
    <row r="833" spans="1:20" x14ac:dyDescent="0.2">
      <c r="A833" s="4" t="s">
        <v>2294</v>
      </c>
      <c r="B833" s="4" t="s">
        <v>2916</v>
      </c>
      <c r="C833" s="4" t="s">
        <v>2286</v>
      </c>
      <c r="D833" s="4" t="s">
        <v>2236</v>
      </c>
      <c r="E833" s="4" t="s">
        <v>2933</v>
      </c>
      <c r="F833" s="4" t="s">
        <v>2918</v>
      </c>
      <c r="G833" s="4" t="s">
        <v>2294</v>
      </c>
      <c r="H833" s="4" t="s">
        <v>2183</v>
      </c>
      <c r="I833" s="4" t="s">
        <v>2100</v>
      </c>
      <c r="J833" s="4" t="s">
        <v>2919</v>
      </c>
      <c r="K833">
        <v>3</v>
      </c>
      <c r="L833">
        <v>0.91439999999999999</v>
      </c>
      <c r="M833">
        <v>139.69999999999999</v>
      </c>
      <c r="N833">
        <v>285.75</v>
      </c>
      <c r="O833">
        <v>36</v>
      </c>
      <c r="P833">
        <v>5.5</v>
      </c>
      <c r="Q833">
        <v>11.25</v>
      </c>
      <c r="R833">
        <v>82.186999999999998</v>
      </c>
      <c r="S833">
        <v>3.6502185060000004E-2</v>
      </c>
      <c r="T833" s="4" t="s">
        <v>2934</v>
      </c>
    </row>
    <row r="834" spans="1:20" x14ac:dyDescent="0.2">
      <c r="A834" s="4" t="s">
        <v>2294</v>
      </c>
      <c r="B834" s="4" t="s">
        <v>2916</v>
      </c>
      <c r="C834" s="4" t="s">
        <v>2286</v>
      </c>
      <c r="D834" s="4" t="s">
        <v>2236</v>
      </c>
      <c r="E834" s="4" t="s">
        <v>2935</v>
      </c>
      <c r="F834" s="4" t="s">
        <v>2918</v>
      </c>
      <c r="G834" s="4" t="s">
        <v>2294</v>
      </c>
      <c r="H834" s="4" t="s">
        <v>2183</v>
      </c>
      <c r="I834" s="4" t="s">
        <v>2100</v>
      </c>
      <c r="J834" s="4" t="s">
        <v>2919</v>
      </c>
      <c r="K834">
        <v>4</v>
      </c>
      <c r="L834">
        <v>1.2192000000000001</v>
      </c>
      <c r="M834">
        <v>139.69999999999999</v>
      </c>
      <c r="N834">
        <v>285.75</v>
      </c>
      <c r="O834">
        <v>48.000000000000007</v>
      </c>
      <c r="P834">
        <v>5.5</v>
      </c>
      <c r="Q834">
        <v>11.25</v>
      </c>
      <c r="R834">
        <v>82.186999999999998</v>
      </c>
      <c r="S834">
        <v>4.8669580079999997E-2</v>
      </c>
      <c r="T834" s="4" t="s">
        <v>2934</v>
      </c>
    </row>
    <row r="835" spans="1:20" x14ac:dyDescent="0.2">
      <c r="A835" s="4" t="s">
        <v>2294</v>
      </c>
      <c r="B835" s="4" t="s">
        <v>2916</v>
      </c>
      <c r="C835" s="4" t="s">
        <v>2286</v>
      </c>
      <c r="D835" s="4" t="s">
        <v>2236</v>
      </c>
      <c r="E835" s="4" t="s">
        <v>2936</v>
      </c>
      <c r="F835" s="4" t="s">
        <v>2918</v>
      </c>
      <c r="G835" s="4" t="s">
        <v>2294</v>
      </c>
      <c r="H835" s="4" t="s">
        <v>2183</v>
      </c>
      <c r="I835" s="4" t="s">
        <v>2100</v>
      </c>
      <c r="J835" s="4" t="s">
        <v>2919</v>
      </c>
      <c r="K835">
        <v>5</v>
      </c>
      <c r="L835">
        <v>1.524</v>
      </c>
      <c r="M835">
        <v>139.69999999999999</v>
      </c>
      <c r="N835">
        <v>285.75</v>
      </c>
      <c r="O835">
        <v>60</v>
      </c>
      <c r="P835">
        <v>5.5</v>
      </c>
      <c r="Q835">
        <v>11.25</v>
      </c>
      <c r="R835">
        <v>82.186999999999998</v>
      </c>
      <c r="S835">
        <v>6.0836975099999989E-2</v>
      </c>
      <c r="T835" s="4" t="s">
        <v>2934</v>
      </c>
    </row>
    <row r="836" spans="1:20" x14ac:dyDescent="0.2">
      <c r="A836" s="4" t="s">
        <v>2294</v>
      </c>
      <c r="B836" s="4" t="s">
        <v>2916</v>
      </c>
      <c r="C836" s="4" t="s">
        <v>2286</v>
      </c>
      <c r="D836" s="4" t="s">
        <v>2236</v>
      </c>
      <c r="E836" s="4" t="s">
        <v>2937</v>
      </c>
      <c r="F836" s="4" t="s">
        <v>2918</v>
      </c>
      <c r="G836" s="4" t="s">
        <v>2294</v>
      </c>
      <c r="H836" s="4" t="s">
        <v>2183</v>
      </c>
      <c r="I836" s="4" t="s">
        <v>2100</v>
      </c>
      <c r="J836" s="4" t="s">
        <v>2919</v>
      </c>
      <c r="K836">
        <v>6</v>
      </c>
      <c r="L836">
        <v>1.8288</v>
      </c>
      <c r="M836">
        <v>139.69999999999999</v>
      </c>
      <c r="N836">
        <v>285.75</v>
      </c>
      <c r="O836">
        <v>72</v>
      </c>
      <c r="P836">
        <v>5.5</v>
      </c>
      <c r="Q836">
        <v>11.25</v>
      </c>
      <c r="R836">
        <v>82.186999999999998</v>
      </c>
      <c r="S836">
        <v>7.3004370120000009E-2</v>
      </c>
      <c r="T836" s="4" t="s">
        <v>2934</v>
      </c>
    </row>
    <row r="837" spans="1:20" x14ac:dyDescent="0.2">
      <c r="A837" s="4" t="s">
        <v>2294</v>
      </c>
      <c r="B837" s="4" t="s">
        <v>2916</v>
      </c>
      <c r="C837" s="4" t="s">
        <v>2286</v>
      </c>
      <c r="D837" s="4" t="s">
        <v>2236</v>
      </c>
      <c r="E837" s="4" t="s">
        <v>2938</v>
      </c>
      <c r="F837" s="4" t="s">
        <v>2918</v>
      </c>
      <c r="G837" s="4" t="s">
        <v>2294</v>
      </c>
      <c r="H837" s="4" t="s">
        <v>2183</v>
      </c>
      <c r="I837" s="4" t="s">
        <v>2100</v>
      </c>
      <c r="J837" s="4" t="s">
        <v>2919</v>
      </c>
      <c r="K837">
        <v>7</v>
      </c>
      <c r="L837">
        <v>2.1335999999999999</v>
      </c>
      <c r="M837">
        <v>139.69999999999999</v>
      </c>
      <c r="N837">
        <v>285.75</v>
      </c>
      <c r="O837">
        <v>84</v>
      </c>
      <c r="P837">
        <v>5.5</v>
      </c>
      <c r="Q837">
        <v>11.25</v>
      </c>
      <c r="R837">
        <v>82.186999999999998</v>
      </c>
      <c r="S837">
        <v>8.517176513999998E-2</v>
      </c>
      <c r="T837" s="4" t="s">
        <v>2934</v>
      </c>
    </row>
    <row r="838" spans="1:20" x14ac:dyDescent="0.2">
      <c r="A838" s="4" t="s">
        <v>2294</v>
      </c>
      <c r="B838" s="4" t="s">
        <v>2916</v>
      </c>
      <c r="C838" s="4" t="s">
        <v>2096</v>
      </c>
      <c r="D838" s="4" t="s">
        <v>2236</v>
      </c>
      <c r="E838" s="4" t="s">
        <v>2939</v>
      </c>
      <c r="F838" s="4" t="s">
        <v>2918</v>
      </c>
      <c r="G838" s="4" t="s">
        <v>2294</v>
      </c>
      <c r="H838" s="4" t="s">
        <v>2183</v>
      </c>
      <c r="I838" s="4" t="s">
        <v>2100</v>
      </c>
      <c r="J838" s="4" t="s">
        <v>2919</v>
      </c>
      <c r="K838">
        <v>8</v>
      </c>
      <c r="L838">
        <v>2.4384000000000001</v>
      </c>
      <c r="M838">
        <v>139.69999999999999</v>
      </c>
      <c r="N838">
        <v>285.75</v>
      </c>
      <c r="O838">
        <v>96.000000000000014</v>
      </c>
      <c r="P838">
        <v>5.5</v>
      </c>
      <c r="Q838">
        <v>11.25</v>
      </c>
      <c r="R838">
        <v>82.186999999999998</v>
      </c>
      <c r="S838">
        <v>9.7339160159999993E-2</v>
      </c>
      <c r="T838" s="4" t="s">
        <v>2920</v>
      </c>
    </row>
    <row r="839" spans="1:20" x14ac:dyDescent="0.2">
      <c r="A839" s="4" t="s">
        <v>2294</v>
      </c>
      <c r="B839" s="4" t="s">
        <v>2916</v>
      </c>
      <c r="C839" s="4" t="s">
        <v>2096</v>
      </c>
      <c r="D839" s="4" t="s">
        <v>2236</v>
      </c>
      <c r="E839" s="4" t="s">
        <v>2940</v>
      </c>
      <c r="F839" s="4" t="s">
        <v>2918</v>
      </c>
      <c r="G839" s="4" t="s">
        <v>2294</v>
      </c>
      <c r="H839" s="4" t="s">
        <v>2183</v>
      </c>
      <c r="I839" s="4" t="s">
        <v>2100</v>
      </c>
      <c r="J839" s="4" t="s">
        <v>2919</v>
      </c>
      <c r="K839">
        <v>9</v>
      </c>
      <c r="L839">
        <v>2.7431999999999999</v>
      </c>
      <c r="M839">
        <v>139.69999999999999</v>
      </c>
      <c r="N839">
        <v>285.75</v>
      </c>
      <c r="O839">
        <v>108</v>
      </c>
      <c r="P839">
        <v>5.5</v>
      </c>
      <c r="Q839">
        <v>11.25</v>
      </c>
      <c r="R839">
        <v>82.186999999999998</v>
      </c>
      <c r="S839">
        <v>0.10950655517999998</v>
      </c>
      <c r="T839" s="4" t="s">
        <v>2920</v>
      </c>
    </row>
    <row r="840" spans="1:20" x14ac:dyDescent="0.2">
      <c r="A840" s="4" t="s">
        <v>2294</v>
      </c>
      <c r="B840" s="4" t="s">
        <v>2941</v>
      </c>
      <c r="C840" s="4" t="s">
        <v>2096</v>
      </c>
      <c r="D840" s="4" t="s">
        <v>2236</v>
      </c>
      <c r="E840" s="4" t="s">
        <v>2942</v>
      </c>
      <c r="F840" s="4" t="s">
        <v>2943</v>
      </c>
      <c r="G840" s="4" t="s">
        <v>2294</v>
      </c>
      <c r="H840" s="4" t="s">
        <v>2183</v>
      </c>
      <c r="I840" s="4" t="s">
        <v>2100</v>
      </c>
      <c r="J840" s="4" t="s">
        <v>2944</v>
      </c>
      <c r="K840">
        <v>10</v>
      </c>
      <c r="L840">
        <v>3.048</v>
      </c>
      <c r="M840">
        <v>139.69999999999999</v>
      </c>
      <c r="N840">
        <v>139.69999999999999</v>
      </c>
      <c r="O840">
        <v>120</v>
      </c>
      <c r="P840">
        <v>5.5</v>
      </c>
      <c r="Q840">
        <v>5.5</v>
      </c>
      <c r="R840">
        <v>168.10900000000001</v>
      </c>
      <c r="S840">
        <v>5.9485042319999994E-2</v>
      </c>
      <c r="T840" s="4" t="s">
        <v>2945</v>
      </c>
    </row>
    <row r="841" spans="1:20" x14ac:dyDescent="0.2">
      <c r="A841" s="4" t="s">
        <v>2294</v>
      </c>
      <c r="B841" s="4" t="s">
        <v>2941</v>
      </c>
      <c r="C841" s="4" t="s">
        <v>2096</v>
      </c>
      <c r="D841" s="4" t="s">
        <v>2236</v>
      </c>
      <c r="E841" s="4" t="s">
        <v>2946</v>
      </c>
      <c r="F841" s="4" t="s">
        <v>2943</v>
      </c>
      <c r="G841" s="4" t="s">
        <v>2294</v>
      </c>
      <c r="H841" s="4" t="s">
        <v>2183</v>
      </c>
      <c r="I841" s="4" t="s">
        <v>2100</v>
      </c>
      <c r="J841" s="4" t="s">
        <v>2944</v>
      </c>
      <c r="K841">
        <v>11</v>
      </c>
      <c r="L841">
        <v>3.3527999999999998</v>
      </c>
      <c r="M841">
        <v>139.69999999999999</v>
      </c>
      <c r="N841">
        <v>139.69999999999999</v>
      </c>
      <c r="O841">
        <v>132</v>
      </c>
      <c r="P841">
        <v>5.5</v>
      </c>
      <c r="Q841">
        <v>5.5</v>
      </c>
      <c r="R841">
        <v>168.10900000000001</v>
      </c>
      <c r="S841">
        <v>6.5433546551999983E-2</v>
      </c>
      <c r="T841" s="4" t="s">
        <v>2945</v>
      </c>
    </row>
    <row r="842" spans="1:20" x14ac:dyDescent="0.2">
      <c r="A842" s="4" t="s">
        <v>2294</v>
      </c>
      <c r="B842" s="4" t="s">
        <v>2941</v>
      </c>
      <c r="C842" s="4" t="s">
        <v>2096</v>
      </c>
      <c r="D842" s="4" t="s">
        <v>2236</v>
      </c>
      <c r="E842" s="4" t="s">
        <v>254</v>
      </c>
      <c r="F842" s="4" t="s">
        <v>2943</v>
      </c>
      <c r="G842" s="4" t="s">
        <v>2294</v>
      </c>
      <c r="H842" s="4" t="s">
        <v>2183</v>
      </c>
      <c r="I842" s="4" t="s">
        <v>2100</v>
      </c>
      <c r="J842" s="4" t="s">
        <v>2944</v>
      </c>
      <c r="K842">
        <v>12</v>
      </c>
      <c r="L842">
        <v>3.6576</v>
      </c>
      <c r="M842">
        <v>139.69999999999999</v>
      </c>
      <c r="N842">
        <v>139.69999999999999</v>
      </c>
      <c r="O842">
        <v>144</v>
      </c>
      <c r="P842">
        <v>5.5</v>
      </c>
      <c r="Q842">
        <v>5.5</v>
      </c>
      <c r="R842">
        <v>168.10900000000001</v>
      </c>
      <c r="S842">
        <v>7.1382050783999992E-2</v>
      </c>
      <c r="T842" s="4" t="s">
        <v>2945</v>
      </c>
    </row>
    <row r="843" spans="1:20" x14ac:dyDescent="0.2">
      <c r="A843" s="4" t="s">
        <v>2294</v>
      </c>
      <c r="B843" s="4" t="s">
        <v>2941</v>
      </c>
      <c r="C843" s="4" t="s">
        <v>2096</v>
      </c>
      <c r="D843" s="4" t="s">
        <v>2236</v>
      </c>
      <c r="E843" s="4" t="s">
        <v>2947</v>
      </c>
      <c r="F843" s="4" t="s">
        <v>2943</v>
      </c>
      <c r="G843" s="4" t="s">
        <v>2294</v>
      </c>
      <c r="H843" s="4" t="s">
        <v>2183</v>
      </c>
      <c r="I843" s="4" t="s">
        <v>2100</v>
      </c>
      <c r="J843" s="4" t="s">
        <v>2944</v>
      </c>
      <c r="K843">
        <v>13</v>
      </c>
      <c r="L843">
        <v>3.9624000000000001</v>
      </c>
      <c r="M843">
        <v>139.69999999999999</v>
      </c>
      <c r="N843">
        <v>139.69999999999999</v>
      </c>
      <c r="O843">
        <v>156</v>
      </c>
      <c r="P843">
        <v>5.5</v>
      </c>
      <c r="Q843">
        <v>5.5</v>
      </c>
      <c r="R843">
        <v>168.10900000000001</v>
      </c>
      <c r="S843">
        <v>7.7330555015999988E-2</v>
      </c>
      <c r="T843" s="4" t="s">
        <v>2945</v>
      </c>
    </row>
    <row r="844" spans="1:20" x14ac:dyDescent="0.2">
      <c r="A844" s="4" t="s">
        <v>2294</v>
      </c>
      <c r="B844" s="4" t="s">
        <v>2941</v>
      </c>
      <c r="C844" s="4" t="s">
        <v>2096</v>
      </c>
      <c r="D844" s="4" t="s">
        <v>2236</v>
      </c>
      <c r="E844" s="4" t="s">
        <v>256</v>
      </c>
      <c r="F844" s="4" t="s">
        <v>2943</v>
      </c>
      <c r="G844" s="4" t="s">
        <v>2294</v>
      </c>
      <c r="H844" s="4" t="s">
        <v>2183</v>
      </c>
      <c r="I844" s="4" t="s">
        <v>2100</v>
      </c>
      <c r="J844" s="4" t="s">
        <v>2944</v>
      </c>
      <c r="K844">
        <v>14</v>
      </c>
      <c r="L844">
        <v>4.2671999999999999</v>
      </c>
      <c r="M844">
        <v>139.69999999999999</v>
      </c>
      <c r="N844">
        <v>139.69999999999999</v>
      </c>
      <c r="O844">
        <v>168</v>
      </c>
      <c r="P844">
        <v>5.5</v>
      </c>
      <c r="Q844">
        <v>5.5</v>
      </c>
      <c r="R844">
        <v>168.10900000000001</v>
      </c>
      <c r="S844">
        <v>8.327905924799997E-2</v>
      </c>
      <c r="T844" s="4" t="s">
        <v>2945</v>
      </c>
    </row>
    <row r="845" spans="1:20" x14ac:dyDescent="0.2">
      <c r="A845" s="4" t="s">
        <v>2294</v>
      </c>
      <c r="B845" s="4" t="s">
        <v>2941</v>
      </c>
      <c r="C845" s="4" t="s">
        <v>2096</v>
      </c>
      <c r="D845" s="4" t="s">
        <v>2236</v>
      </c>
      <c r="E845" s="4" t="s">
        <v>2948</v>
      </c>
      <c r="F845" s="4" t="s">
        <v>2943</v>
      </c>
      <c r="G845" s="4" t="s">
        <v>2294</v>
      </c>
      <c r="H845" s="4" t="s">
        <v>2183</v>
      </c>
      <c r="I845" s="4" t="s">
        <v>2100</v>
      </c>
      <c r="J845" s="4" t="s">
        <v>2944</v>
      </c>
      <c r="K845">
        <v>15</v>
      </c>
      <c r="L845">
        <v>4.5720000000000001</v>
      </c>
      <c r="M845">
        <v>139.69999999999999</v>
      </c>
      <c r="N845">
        <v>139.69999999999999</v>
      </c>
      <c r="O845">
        <v>180</v>
      </c>
      <c r="P845">
        <v>5.5</v>
      </c>
      <c r="Q845">
        <v>5.5</v>
      </c>
      <c r="R845">
        <v>168.10900000000001</v>
      </c>
      <c r="S845">
        <v>8.922756347999998E-2</v>
      </c>
      <c r="T845" s="4" t="s">
        <v>2945</v>
      </c>
    </row>
    <row r="846" spans="1:20" x14ac:dyDescent="0.2">
      <c r="A846" s="4" t="s">
        <v>2294</v>
      </c>
      <c r="B846" s="4" t="s">
        <v>2941</v>
      </c>
      <c r="C846" s="4" t="s">
        <v>2096</v>
      </c>
      <c r="D846" s="4" t="s">
        <v>2236</v>
      </c>
      <c r="E846" s="4" t="s">
        <v>258</v>
      </c>
      <c r="F846" s="4" t="s">
        <v>2943</v>
      </c>
      <c r="G846" s="4" t="s">
        <v>2294</v>
      </c>
      <c r="H846" s="4" t="s">
        <v>2183</v>
      </c>
      <c r="I846" s="4" t="s">
        <v>2100</v>
      </c>
      <c r="J846" s="4" t="s">
        <v>2944</v>
      </c>
      <c r="K846">
        <v>16</v>
      </c>
      <c r="L846">
        <v>4.8768000000000002</v>
      </c>
      <c r="M846">
        <v>139.69999999999999</v>
      </c>
      <c r="N846">
        <v>139.69999999999999</v>
      </c>
      <c r="O846">
        <v>192.00000000000003</v>
      </c>
      <c r="P846">
        <v>5.5</v>
      </c>
      <c r="Q846">
        <v>5.5</v>
      </c>
      <c r="R846">
        <v>168.10900000000001</v>
      </c>
      <c r="S846">
        <v>9.517606771199999E-2</v>
      </c>
      <c r="T846" s="4" t="s">
        <v>2945</v>
      </c>
    </row>
    <row r="847" spans="1:20" x14ac:dyDescent="0.2">
      <c r="A847" s="4" t="s">
        <v>2294</v>
      </c>
      <c r="B847" s="4" t="s">
        <v>2941</v>
      </c>
      <c r="C847" s="4" t="s">
        <v>2096</v>
      </c>
      <c r="D847" s="4" t="s">
        <v>2236</v>
      </c>
      <c r="E847" s="4" t="s">
        <v>2949</v>
      </c>
      <c r="F847" s="4" t="s">
        <v>2943</v>
      </c>
      <c r="G847" s="4" t="s">
        <v>2294</v>
      </c>
      <c r="H847" s="4" t="s">
        <v>2183</v>
      </c>
      <c r="I847" s="4" t="s">
        <v>2100</v>
      </c>
      <c r="J847" s="4" t="s">
        <v>2944</v>
      </c>
      <c r="K847">
        <v>17</v>
      </c>
      <c r="L847">
        <v>5.1816000000000004</v>
      </c>
      <c r="M847">
        <v>139.69999999999999</v>
      </c>
      <c r="N847">
        <v>139.69999999999999</v>
      </c>
      <c r="O847">
        <v>204.00000000000003</v>
      </c>
      <c r="P847">
        <v>5.5</v>
      </c>
      <c r="Q847">
        <v>5.5</v>
      </c>
      <c r="R847">
        <v>168.10900000000001</v>
      </c>
      <c r="S847">
        <v>0.10112457194399999</v>
      </c>
      <c r="T847" s="4" t="s">
        <v>2945</v>
      </c>
    </row>
    <row r="848" spans="1:20" x14ac:dyDescent="0.2">
      <c r="A848" s="4" t="s">
        <v>2294</v>
      </c>
      <c r="B848" s="4" t="s">
        <v>2941</v>
      </c>
      <c r="C848" s="4" t="s">
        <v>2096</v>
      </c>
      <c r="D848" s="4" t="s">
        <v>2236</v>
      </c>
      <c r="E848" s="4" t="s">
        <v>2950</v>
      </c>
      <c r="F848" s="4" t="s">
        <v>2943</v>
      </c>
      <c r="G848" s="4" t="s">
        <v>2294</v>
      </c>
      <c r="H848" s="4" t="s">
        <v>2183</v>
      </c>
      <c r="I848" s="4" t="s">
        <v>2100</v>
      </c>
      <c r="J848" s="4" t="s">
        <v>2944</v>
      </c>
      <c r="K848">
        <v>18</v>
      </c>
      <c r="L848">
        <v>5.4863999999999997</v>
      </c>
      <c r="M848">
        <v>139.69999999999999</v>
      </c>
      <c r="N848">
        <v>139.69999999999999</v>
      </c>
      <c r="O848">
        <v>216</v>
      </c>
      <c r="P848">
        <v>5.5</v>
      </c>
      <c r="Q848">
        <v>5.5</v>
      </c>
      <c r="R848">
        <v>168.10900000000001</v>
      </c>
      <c r="S848">
        <v>0.10707307617599995</v>
      </c>
      <c r="T848" s="4" t="s">
        <v>2945</v>
      </c>
    </row>
    <row r="849" spans="1:20" x14ac:dyDescent="0.2">
      <c r="A849" s="4" t="s">
        <v>2294</v>
      </c>
      <c r="B849" s="4" t="s">
        <v>2941</v>
      </c>
      <c r="C849" s="4" t="s">
        <v>2096</v>
      </c>
      <c r="D849" s="4" t="s">
        <v>2236</v>
      </c>
      <c r="E849" s="4" t="s">
        <v>2951</v>
      </c>
      <c r="F849" s="4" t="s">
        <v>2943</v>
      </c>
      <c r="G849" s="4" t="s">
        <v>2294</v>
      </c>
      <c r="H849" s="4" t="s">
        <v>2183</v>
      </c>
      <c r="I849" s="4" t="s">
        <v>2100</v>
      </c>
      <c r="J849" s="4" t="s">
        <v>2944</v>
      </c>
      <c r="K849">
        <v>19</v>
      </c>
      <c r="L849">
        <v>5.7911999999999999</v>
      </c>
      <c r="M849">
        <v>139.69999999999999</v>
      </c>
      <c r="N849">
        <v>139.69999999999999</v>
      </c>
      <c r="O849">
        <v>228</v>
      </c>
      <c r="P849">
        <v>5.5</v>
      </c>
      <c r="Q849">
        <v>5.5</v>
      </c>
      <c r="R849">
        <v>168.10900000000001</v>
      </c>
      <c r="S849">
        <v>0.11302158040799998</v>
      </c>
      <c r="T849" s="4" t="s">
        <v>2945</v>
      </c>
    </row>
    <row r="850" spans="1:20" x14ac:dyDescent="0.2">
      <c r="A850" s="4" t="s">
        <v>2294</v>
      </c>
      <c r="B850" s="4" t="s">
        <v>2941</v>
      </c>
      <c r="C850" s="4" t="s">
        <v>2096</v>
      </c>
      <c r="D850" s="4" t="s">
        <v>2236</v>
      </c>
      <c r="E850" s="4" t="s">
        <v>2952</v>
      </c>
      <c r="F850" s="4" t="s">
        <v>2943</v>
      </c>
      <c r="G850" s="4" t="s">
        <v>2294</v>
      </c>
      <c r="H850" s="4" t="s">
        <v>2183</v>
      </c>
      <c r="I850" s="4" t="s">
        <v>2100</v>
      </c>
      <c r="J850" s="4" t="s">
        <v>2944</v>
      </c>
      <c r="K850">
        <v>20</v>
      </c>
      <c r="L850">
        <v>6.0960000000000001</v>
      </c>
      <c r="M850">
        <v>139.69999999999999</v>
      </c>
      <c r="N850">
        <v>139.69999999999999</v>
      </c>
      <c r="O850">
        <v>240</v>
      </c>
      <c r="P850">
        <v>5.5</v>
      </c>
      <c r="Q850">
        <v>5.5</v>
      </c>
      <c r="R850">
        <v>168.10900000000001</v>
      </c>
      <c r="S850">
        <v>0.11897008463999999</v>
      </c>
      <c r="T850" s="4" t="s">
        <v>2945</v>
      </c>
    </row>
    <row r="851" spans="1:20" x14ac:dyDescent="0.2">
      <c r="A851" s="4" t="s">
        <v>2294</v>
      </c>
      <c r="B851" s="4" t="s">
        <v>2941</v>
      </c>
      <c r="C851" s="4" t="s">
        <v>2096</v>
      </c>
      <c r="D851" s="4" t="s">
        <v>2236</v>
      </c>
      <c r="E851" s="4" t="s">
        <v>2953</v>
      </c>
      <c r="F851" s="4" t="s">
        <v>2943</v>
      </c>
      <c r="G851" s="4" t="s">
        <v>2294</v>
      </c>
      <c r="H851" s="4" t="s">
        <v>2183</v>
      </c>
      <c r="I851" s="4" t="s">
        <v>2100</v>
      </c>
      <c r="J851" s="4" t="s">
        <v>2944</v>
      </c>
      <c r="K851">
        <v>21</v>
      </c>
      <c r="L851">
        <v>6.4008000000000003</v>
      </c>
      <c r="M851">
        <v>139.69999999999999</v>
      </c>
      <c r="N851">
        <v>139.69999999999999</v>
      </c>
      <c r="O851">
        <v>252.00000000000003</v>
      </c>
      <c r="P851">
        <v>5.5</v>
      </c>
      <c r="Q851">
        <v>5.5</v>
      </c>
      <c r="R851">
        <v>168.10900000000001</v>
      </c>
      <c r="S851">
        <v>0.12491858887199997</v>
      </c>
      <c r="T851" s="4" t="s">
        <v>2945</v>
      </c>
    </row>
    <row r="852" spans="1:20" x14ac:dyDescent="0.2">
      <c r="A852" s="4" t="s">
        <v>2294</v>
      </c>
      <c r="B852" s="4" t="s">
        <v>2941</v>
      </c>
      <c r="C852" s="4" t="s">
        <v>2096</v>
      </c>
      <c r="D852" s="4" t="s">
        <v>2236</v>
      </c>
      <c r="E852" s="4" t="s">
        <v>2954</v>
      </c>
      <c r="F852" s="4" t="s">
        <v>2943</v>
      </c>
      <c r="G852" s="4" t="s">
        <v>2294</v>
      </c>
      <c r="H852" s="4" t="s">
        <v>2183</v>
      </c>
      <c r="I852" s="4" t="s">
        <v>2100</v>
      </c>
      <c r="J852" s="4" t="s">
        <v>2944</v>
      </c>
      <c r="K852">
        <v>22</v>
      </c>
      <c r="L852">
        <v>6.7055999999999996</v>
      </c>
      <c r="M852">
        <v>139.69999999999999</v>
      </c>
      <c r="N852">
        <v>139.69999999999999</v>
      </c>
      <c r="O852">
        <v>264</v>
      </c>
      <c r="P852">
        <v>5.5</v>
      </c>
      <c r="Q852">
        <v>5.5</v>
      </c>
      <c r="R852">
        <v>168.10900000000001</v>
      </c>
      <c r="S852">
        <v>0.13086709310399997</v>
      </c>
      <c r="T852" s="4" t="s">
        <v>2945</v>
      </c>
    </row>
    <row r="853" spans="1:20" x14ac:dyDescent="0.2">
      <c r="A853" s="4" t="s">
        <v>2294</v>
      </c>
      <c r="B853" s="4" t="s">
        <v>2941</v>
      </c>
      <c r="C853" s="4" t="s">
        <v>2286</v>
      </c>
      <c r="D853" s="4" t="s">
        <v>2236</v>
      </c>
      <c r="E853" s="4" t="s">
        <v>2955</v>
      </c>
      <c r="F853" s="4" t="s">
        <v>2943</v>
      </c>
      <c r="G853" s="4" t="s">
        <v>2294</v>
      </c>
      <c r="H853" s="4" t="s">
        <v>2183</v>
      </c>
      <c r="I853" s="4" t="s">
        <v>2100</v>
      </c>
      <c r="J853" s="4" t="s">
        <v>2944</v>
      </c>
      <c r="K853">
        <v>3</v>
      </c>
      <c r="L853">
        <v>0.91439999999999999</v>
      </c>
      <c r="M853">
        <v>139.69999999999999</v>
      </c>
      <c r="N853">
        <v>139.69999999999999</v>
      </c>
      <c r="O853">
        <v>36</v>
      </c>
      <c r="P853">
        <v>5.5</v>
      </c>
      <c r="Q853">
        <v>5.5</v>
      </c>
      <c r="R853">
        <v>168.10900000000001</v>
      </c>
      <c r="S853">
        <v>1.7845512695999998E-2</v>
      </c>
      <c r="T853" s="4" t="s">
        <v>2956</v>
      </c>
    </row>
    <row r="854" spans="1:20" x14ac:dyDescent="0.2">
      <c r="A854" s="4" t="s">
        <v>2294</v>
      </c>
      <c r="B854" s="4" t="s">
        <v>2941</v>
      </c>
      <c r="C854" s="4" t="s">
        <v>2286</v>
      </c>
      <c r="D854" s="4" t="s">
        <v>2236</v>
      </c>
      <c r="E854" s="4" t="s">
        <v>2957</v>
      </c>
      <c r="F854" s="4" t="s">
        <v>2943</v>
      </c>
      <c r="G854" s="4" t="s">
        <v>2294</v>
      </c>
      <c r="H854" s="4" t="s">
        <v>2183</v>
      </c>
      <c r="I854" s="4" t="s">
        <v>2100</v>
      </c>
      <c r="J854" s="4" t="s">
        <v>2944</v>
      </c>
      <c r="K854">
        <v>4</v>
      </c>
      <c r="L854">
        <v>1.2192000000000001</v>
      </c>
      <c r="M854">
        <v>139.69999999999999</v>
      </c>
      <c r="N854">
        <v>139.69999999999999</v>
      </c>
      <c r="O854">
        <v>48.000000000000007</v>
      </c>
      <c r="P854">
        <v>5.5</v>
      </c>
      <c r="Q854">
        <v>5.5</v>
      </c>
      <c r="R854">
        <v>168.10900000000001</v>
      </c>
      <c r="S854">
        <v>2.3794016927999997E-2</v>
      </c>
      <c r="T854" s="4" t="s">
        <v>2956</v>
      </c>
    </row>
    <row r="855" spans="1:20" x14ac:dyDescent="0.2">
      <c r="A855" s="4" t="s">
        <v>2294</v>
      </c>
      <c r="B855" s="4" t="s">
        <v>2941</v>
      </c>
      <c r="C855" s="4" t="s">
        <v>2286</v>
      </c>
      <c r="D855" s="4" t="s">
        <v>2236</v>
      </c>
      <c r="E855" s="4" t="s">
        <v>2958</v>
      </c>
      <c r="F855" s="4" t="s">
        <v>2943</v>
      </c>
      <c r="G855" s="4" t="s">
        <v>2294</v>
      </c>
      <c r="H855" s="4" t="s">
        <v>2183</v>
      </c>
      <c r="I855" s="4" t="s">
        <v>2100</v>
      </c>
      <c r="J855" s="4" t="s">
        <v>2944</v>
      </c>
      <c r="K855">
        <v>5</v>
      </c>
      <c r="L855">
        <v>1.524</v>
      </c>
      <c r="M855">
        <v>139.69999999999999</v>
      </c>
      <c r="N855">
        <v>139.69999999999999</v>
      </c>
      <c r="O855">
        <v>60</v>
      </c>
      <c r="P855">
        <v>5.5</v>
      </c>
      <c r="Q855">
        <v>5.5</v>
      </c>
      <c r="R855">
        <v>168.10900000000001</v>
      </c>
      <c r="S855">
        <v>2.9742521159999997E-2</v>
      </c>
      <c r="T855" s="4" t="s">
        <v>2956</v>
      </c>
    </row>
    <row r="856" spans="1:20" x14ac:dyDescent="0.2">
      <c r="A856" s="4" t="s">
        <v>2294</v>
      </c>
      <c r="B856" s="4" t="s">
        <v>2941</v>
      </c>
      <c r="C856" s="4" t="s">
        <v>2286</v>
      </c>
      <c r="D856" s="4" t="s">
        <v>2236</v>
      </c>
      <c r="E856" s="4" t="s">
        <v>2959</v>
      </c>
      <c r="F856" s="4" t="s">
        <v>2943</v>
      </c>
      <c r="G856" s="4" t="s">
        <v>2294</v>
      </c>
      <c r="H856" s="4" t="s">
        <v>2183</v>
      </c>
      <c r="I856" s="4" t="s">
        <v>2100</v>
      </c>
      <c r="J856" s="4" t="s">
        <v>2944</v>
      </c>
      <c r="K856">
        <v>6</v>
      </c>
      <c r="L856">
        <v>1.8288</v>
      </c>
      <c r="M856">
        <v>139.69999999999999</v>
      </c>
      <c r="N856">
        <v>139.69999999999999</v>
      </c>
      <c r="O856">
        <v>72</v>
      </c>
      <c r="P856">
        <v>5.5</v>
      </c>
      <c r="Q856">
        <v>5.5</v>
      </c>
      <c r="R856">
        <v>168.10900000000001</v>
      </c>
      <c r="S856">
        <v>3.5691025391999996E-2</v>
      </c>
      <c r="T856" s="4" t="s">
        <v>2956</v>
      </c>
    </row>
    <row r="857" spans="1:20" x14ac:dyDescent="0.2">
      <c r="A857" s="4" t="s">
        <v>2294</v>
      </c>
      <c r="B857" s="4" t="s">
        <v>2941</v>
      </c>
      <c r="C857" s="4" t="s">
        <v>2286</v>
      </c>
      <c r="D857" s="4" t="s">
        <v>2236</v>
      </c>
      <c r="E857" s="4" t="s">
        <v>2960</v>
      </c>
      <c r="F857" s="4" t="s">
        <v>2943</v>
      </c>
      <c r="G857" s="4" t="s">
        <v>2294</v>
      </c>
      <c r="H857" s="4" t="s">
        <v>2183</v>
      </c>
      <c r="I857" s="4" t="s">
        <v>2100</v>
      </c>
      <c r="J857" s="4" t="s">
        <v>2944</v>
      </c>
      <c r="K857">
        <v>7</v>
      </c>
      <c r="L857">
        <v>2.1335999999999999</v>
      </c>
      <c r="M857">
        <v>139.69999999999999</v>
      </c>
      <c r="N857">
        <v>139.69999999999999</v>
      </c>
      <c r="O857">
        <v>84</v>
      </c>
      <c r="P857">
        <v>5.5</v>
      </c>
      <c r="Q857">
        <v>5.5</v>
      </c>
      <c r="R857">
        <v>168.10900000000001</v>
      </c>
      <c r="S857">
        <v>4.1639529623999985E-2</v>
      </c>
      <c r="T857" s="4" t="s">
        <v>2956</v>
      </c>
    </row>
    <row r="858" spans="1:20" x14ac:dyDescent="0.2">
      <c r="A858" s="4" t="s">
        <v>2294</v>
      </c>
      <c r="B858" s="4" t="s">
        <v>2941</v>
      </c>
      <c r="C858" s="4" t="s">
        <v>2096</v>
      </c>
      <c r="D858" s="4" t="s">
        <v>2236</v>
      </c>
      <c r="E858" s="4" t="s">
        <v>2961</v>
      </c>
      <c r="F858" s="4" t="s">
        <v>2943</v>
      </c>
      <c r="G858" s="4" t="s">
        <v>2294</v>
      </c>
      <c r="H858" s="4" t="s">
        <v>2183</v>
      </c>
      <c r="I858" s="4" t="s">
        <v>2100</v>
      </c>
      <c r="J858" s="4" t="s">
        <v>2944</v>
      </c>
      <c r="K858">
        <v>8</v>
      </c>
      <c r="L858">
        <v>2.4384000000000001</v>
      </c>
      <c r="M858">
        <v>139.69999999999999</v>
      </c>
      <c r="N858">
        <v>139.69999999999999</v>
      </c>
      <c r="O858">
        <v>96.000000000000014</v>
      </c>
      <c r="P858">
        <v>5.5</v>
      </c>
      <c r="Q858">
        <v>5.5</v>
      </c>
      <c r="R858">
        <v>168.10900000000001</v>
      </c>
      <c r="S858">
        <v>4.7588033855999995E-2</v>
      </c>
      <c r="T858" s="4" t="s">
        <v>2945</v>
      </c>
    </row>
    <row r="859" spans="1:20" x14ac:dyDescent="0.2">
      <c r="A859" s="4" t="s">
        <v>2294</v>
      </c>
      <c r="B859" s="4" t="s">
        <v>2941</v>
      </c>
      <c r="C859" s="4" t="s">
        <v>2096</v>
      </c>
      <c r="D859" s="4" t="s">
        <v>2236</v>
      </c>
      <c r="E859" s="4" t="s">
        <v>2962</v>
      </c>
      <c r="F859" s="4" t="s">
        <v>2943</v>
      </c>
      <c r="G859" s="4" t="s">
        <v>2294</v>
      </c>
      <c r="H859" s="4" t="s">
        <v>2183</v>
      </c>
      <c r="I859" s="4" t="s">
        <v>2100</v>
      </c>
      <c r="J859" s="4" t="s">
        <v>2944</v>
      </c>
      <c r="K859">
        <v>9</v>
      </c>
      <c r="L859">
        <v>2.7431999999999999</v>
      </c>
      <c r="M859">
        <v>139.69999999999999</v>
      </c>
      <c r="N859">
        <v>139.69999999999999</v>
      </c>
      <c r="O859">
        <v>108</v>
      </c>
      <c r="P859">
        <v>5.5</v>
      </c>
      <c r="Q859">
        <v>5.5</v>
      </c>
      <c r="R859">
        <v>168.10900000000001</v>
      </c>
      <c r="S859">
        <v>5.3536538087999977E-2</v>
      </c>
      <c r="T859" s="4" t="s">
        <v>2945</v>
      </c>
    </row>
    <row r="860" spans="1:20" x14ac:dyDescent="0.2">
      <c r="A860" s="4" t="s">
        <v>2294</v>
      </c>
      <c r="B860" s="4" t="s">
        <v>2963</v>
      </c>
      <c r="C860" s="4" t="s">
        <v>2096</v>
      </c>
      <c r="D860" s="4" t="s">
        <v>2236</v>
      </c>
      <c r="E860" s="4" t="s">
        <v>2964</v>
      </c>
      <c r="F860" s="4" t="s">
        <v>2965</v>
      </c>
      <c r="G860" s="4" t="s">
        <v>2294</v>
      </c>
      <c r="H860" s="4" t="s">
        <v>2183</v>
      </c>
      <c r="I860" s="4" t="s">
        <v>2100</v>
      </c>
      <c r="J860" s="4" t="s">
        <v>2966</v>
      </c>
      <c r="K860">
        <v>10</v>
      </c>
      <c r="L860">
        <v>3.048</v>
      </c>
      <c r="M860">
        <v>139.69999999999999</v>
      </c>
      <c r="N860">
        <v>184.15</v>
      </c>
      <c r="O860">
        <v>120</v>
      </c>
      <c r="P860">
        <v>5.5</v>
      </c>
      <c r="Q860">
        <v>7.2500000000000009</v>
      </c>
      <c r="R860">
        <v>127.53100000000001</v>
      </c>
      <c r="S860">
        <v>7.8412101240000004E-2</v>
      </c>
      <c r="T860" s="4" t="s">
        <v>2967</v>
      </c>
    </row>
    <row r="861" spans="1:20" x14ac:dyDescent="0.2">
      <c r="A861" s="4" t="s">
        <v>2294</v>
      </c>
      <c r="B861" s="4" t="s">
        <v>2963</v>
      </c>
      <c r="C861" s="4" t="s">
        <v>2096</v>
      </c>
      <c r="D861" s="4" t="s">
        <v>2236</v>
      </c>
      <c r="E861" s="4" t="s">
        <v>2968</v>
      </c>
      <c r="F861" s="4" t="s">
        <v>2965</v>
      </c>
      <c r="G861" s="4" t="s">
        <v>2294</v>
      </c>
      <c r="H861" s="4" t="s">
        <v>2183</v>
      </c>
      <c r="I861" s="4" t="s">
        <v>2100</v>
      </c>
      <c r="J861" s="4" t="s">
        <v>2966</v>
      </c>
      <c r="K861">
        <v>11</v>
      </c>
      <c r="L861">
        <v>3.3527999999999998</v>
      </c>
      <c r="M861">
        <v>139.69999999999999</v>
      </c>
      <c r="N861">
        <v>184.15</v>
      </c>
      <c r="O861">
        <v>132</v>
      </c>
      <c r="P861">
        <v>5.5</v>
      </c>
      <c r="Q861">
        <v>7.2500000000000009</v>
      </c>
      <c r="R861">
        <v>127.53100000000001</v>
      </c>
      <c r="S861">
        <v>8.6253311363999982E-2</v>
      </c>
      <c r="T861" s="4" t="s">
        <v>2967</v>
      </c>
    </row>
    <row r="862" spans="1:20" x14ac:dyDescent="0.2">
      <c r="A862" s="4" t="s">
        <v>2294</v>
      </c>
      <c r="B862" s="4" t="s">
        <v>2963</v>
      </c>
      <c r="C862" s="4" t="s">
        <v>2096</v>
      </c>
      <c r="D862" s="4" t="s">
        <v>2236</v>
      </c>
      <c r="E862" s="4" t="s">
        <v>260</v>
      </c>
      <c r="F862" s="4" t="s">
        <v>2965</v>
      </c>
      <c r="G862" s="4" t="s">
        <v>2294</v>
      </c>
      <c r="H862" s="4" t="s">
        <v>2183</v>
      </c>
      <c r="I862" s="4" t="s">
        <v>2100</v>
      </c>
      <c r="J862" s="4" t="s">
        <v>2966</v>
      </c>
      <c r="K862">
        <v>12</v>
      </c>
      <c r="L862">
        <v>3.6576</v>
      </c>
      <c r="M862">
        <v>139.69999999999999</v>
      </c>
      <c r="N862">
        <v>184.15</v>
      </c>
      <c r="O862">
        <v>144</v>
      </c>
      <c r="P862">
        <v>5.5</v>
      </c>
      <c r="Q862">
        <v>7.2500000000000009</v>
      </c>
      <c r="R862">
        <v>127.53100000000001</v>
      </c>
      <c r="S862">
        <v>9.4094521488000002E-2</v>
      </c>
      <c r="T862" s="4" t="s">
        <v>2967</v>
      </c>
    </row>
    <row r="863" spans="1:20" x14ac:dyDescent="0.2">
      <c r="A863" s="4" t="s">
        <v>2294</v>
      </c>
      <c r="B863" s="4" t="s">
        <v>2963</v>
      </c>
      <c r="C863" s="4" t="s">
        <v>2096</v>
      </c>
      <c r="D863" s="4" t="s">
        <v>2236</v>
      </c>
      <c r="E863" s="4" t="s">
        <v>2969</v>
      </c>
      <c r="F863" s="4" t="s">
        <v>2965</v>
      </c>
      <c r="G863" s="4" t="s">
        <v>2294</v>
      </c>
      <c r="H863" s="4" t="s">
        <v>2183</v>
      </c>
      <c r="I863" s="4" t="s">
        <v>2100</v>
      </c>
      <c r="J863" s="4" t="s">
        <v>2966</v>
      </c>
      <c r="K863">
        <v>13</v>
      </c>
      <c r="L863">
        <v>3.9624000000000001</v>
      </c>
      <c r="M863">
        <v>139.69999999999999</v>
      </c>
      <c r="N863">
        <v>184.15</v>
      </c>
      <c r="O863">
        <v>156</v>
      </c>
      <c r="P863">
        <v>5.5</v>
      </c>
      <c r="Q863">
        <v>7.2500000000000009</v>
      </c>
      <c r="R863">
        <v>127.53100000000001</v>
      </c>
      <c r="S863">
        <v>0.10193573161199999</v>
      </c>
      <c r="T863" s="4" t="s">
        <v>2967</v>
      </c>
    </row>
    <row r="864" spans="1:20" x14ac:dyDescent="0.2">
      <c r="A864" s="4" t="s">
        <v>2294</v>
      </c>
      <c r="B864" s="4" t="s">
        <v>2963</v>
      </c>
      <c r="C864" s="4" t="s">
        <v>2096</v>
      </c>
      <c r="D864" s="4" t="s">
        <v>2236</v>
      </c>
      <c r="E864" s="4" t="s">
        <v>262</v>
      </c>
      <c r="F864" s="4" t="s">
        <v>2965</v>
      </c>
      <c r="G864" s="4" t="s">
        <v>2294</v>
      </c>
      <c r="H864" s="4" t="s">
        <v>2183</v>
      </c>
      <c r="I864" s="4" t="s">
        <v>2100</v>
      </c>
      <c r="J864" s="4" t="s">
        <v>2966</v>
      </c>
      <c r="K864">
        <v>14</v>
      </c>
      <c r="L864">
        <v>4.2671999999999999</v>
      </c>
      <c r="M864">
        <v>139.69999999999999</v>
      </c>
      <c r="N864">
        <v>184.15</v>
      </c>
      <c r="O864">
        <v>168</v>
      </c>
      <c r="P864">
        <v>5.5</v>
      </c>
      <c r="Q864">
        <v>7.2500000000000009</v>
      </c>
      <c r="R864">
        <v>127.53100000000001</v>
      </c>
      <c r="S864">
        <v>0.10977694173599997</v>
      </c>
      <c r="T864" s="4" t="s">
        <v>2967</v>
      </c>
    </row>
    <row r="865" spans="1:20" x14ac:dyDescent="0.2">
      <c r="A865" s="4" t="s">
        <v>2294</v>
      </c>
      <c r="B865" s="4" t="s">
        <v>2963</v>
      </c>
      <c r="C865" s="4" t="s">
        <v>2096</v>
      </c>
      <c r="D865" s="4" t="s">
        <v>2236</v>
      </c>
      <c r="E865" s="4" t="s">
        <v>2970</v>
      </c>
      <c r="F865" s="4" t="s">
        <v>2965</v>
      </c>
      <c r="G865" s="4" t="s">
        <v>2294</v>
      </c>
      <c r="H865" s="4" t="s">
        <v>2183</v>
      </c>
      <c r="I865" s="4" t="s">
        <v>2100</v>
      </c>
      <c r="J865" s="4" t="s">
        <v>2966</v>
      </c>
      <c r="K865">
        <v>15</v>
      </c>
      <c r="L865">
        <v>4.5720000000000001</v>
      </c>
      <c r="M865">
        <v>139.69999999999999</v>
      </c>
      <c r="N865">
        <v>184.15</v>
      </c>
      <c r="O865">
        <v>180</v>
      </c>
      <c r="P865">
        <v>5.5</v>
      </c>
      <c r="Q865">
        <v>7.2500000000000009</v>
      </c>
      <c r="R865">
        <v>127.53100000000001</v>
      </c>
      <c r="S865">
        <v>0.11761815185999999</v>
      </c>
      <c r="T865" s="4" t="s">
        <v>2967</v>
      </c>
    </row>
    <row r="866" spans="1:20" x14ac:dyDescent="0.2">
      <c r="A866" s="4" t="s">
        <v>2294</v>
      </c>
      <c r="B866" s="4" t="s">
        <v>2963</v>
      </c>
      <c r="C866" s="4" t="s">
        <v>2096</v>
      </c>
      <c r="D866" s="4" t="s">
        <v>2236</v>
      </c>
      <c r="E866" s="4" t="s">
        <v>264</v>
      </c>
      <c r="F866" s="4" t="s">
        <v>2965</v>
      </c>
      <c r="G866" s="4" t="s">
        <v>2294</v>
      </c>
      <c r="H866" s="4" t="s">
        <v>2183</v>
      </c>
      <c r="I866" s="4" t="s">
        <v>2100</v>
      </c>
      <c r="J866" s="4" t="s">
        <v>2966</v>
      </c>
      <c r="K866">
        <v>16</v>
      </c>
      <c r="L866">
        <v>4.8768000000000002</v>
      </c>
      <c r="M866">
        <v>139.69999999999999</v>
      </c>
      <c r="N866">
        <v>184.15</v>
      </c>
      <c r="O866">
        <v>192.00000000000003</v>
      </c>
      <c r="P866">
        <v>5.5</v>
      </c>
      <c r="Q866">
        <v>7.2500000000000009</v>
      </c>
      <c r="R866">
        <v>127.53100000000001</v>
      </c>
      <c r="S866">
        <v>0.12545936198399998</v>
      </c>
      <c r="T866" s="4" t="s">
        <v>2967</v>
      </c>
    </row>
    <row r="867" spans="1:20" x14ac:dyDescent="0.2">
      <c r="A867" s="4" t="s">
        <v>2294</v>
      </c>
      <c r="B867" s="4" t="s">
        <v>2963</v>
      </c>
      <c r="C867" s="4" t="s">
        <v>2096</v>
      </c>
      <c r="D867" s="4" t="s">
        <v>2236</v>
      </c>
      <c r="E867" s="4" t="s">
        <v>2971</v>
      </c>
      <c r="F867" s="4" t="s">
        <v>2965</v>
      </c>
      <c r="G867" s="4" t="s">
        <v>2294</v>
      </c>
      <c r="H867" s="4" t="s">
        <v>2183</v>
      </c>
      <c r="I867" s="4" t="s">
        <v>2100</v>
      </c>
      <c r="J867" s="4" t="s">
        <v>2966</v>
      </c>
      <c r="K867">
        <v>17</v>
      </c>
      <c r="L867">
        <v>5.1816000000000004</v>
      </c>
      <c r="M867">
        <v>139.69999999999999</v>
      </c>
      <c r="N867">
        <v>184.15</v>
      </c>
      <c r="O867">
        <v>204.00000000000003</v>
      </c>
      <c r="P867">
        <v>5.5</v>
      </c>
      <c r="Q867">
        <v>7.2500000000000009</v>
      </c>
      <c r="R867">
        <v>127.53100000000001</v>
      </c>
      <c r="S867">
        <v>0.13330057210799998</v>
      </c>
      <c r="T867" s="4" t="s">
        <v>2967</v>
      </c>
    </row>
    <row r="868" spans="1:20" x14ac:dyDescent="0.2">
      <c r="A868" s="4" t="s">
        <v>2294</v>
      </c>
      <c r="B868" s="4" t="s">
        <v>2963</v>
      </c>
      <c r="C868" s="4" t="s">
        <v>2096</v>
      </c>
      <c r="D868" s="4" t="s">
        <v>2236</v>
      </c>
      <c r="E868" s="4" t="s">
        <v>2972</v>
      </c>
      <c r="F868" s="4" t="s">
        <v>2965</v>
      </c>
      <c r="G868" s="4" t="s">
        <v>2294</v>
      </c>
      <c r="H868" s="4" t="s">
        <v>2183</v>
      </c>
      <c r="I868" s="4" t="s">
        <v>2100</v>
      </c>
      <c r="J868" s="4" t="s">
        <v>2966</v>
      </c>
      <c r="K868">
        <v>18</v>
      </c>
      <c r="L868">
        <v>5.4863999999999997</v>
      </c>
      <c r="M868">
        <v>139.69999999999999</v>
      </c>
      <c r="N868">
        <v>184.15</v>
      </c>
      <c r="O868">
        <v>216</v>
      </c>
      <c r="P868">
        <v>5.5</v>
      </c>
      <c r="Q868">
        <v>7.2500000000000009</v>
      </c>
      <c r="R868">
        <v>127.53100000000001</v>
      </c>
      <c r="S868">
        <v>0.14114178223199997</v>
      </c>
      <c r="T868" s="4" t="s">
        <v>2967</v>
      </c>
    </row>
    <row r="869" spans="1:20" x14ac:dyDescent="0.2">
      <c r="A869" s="4" t="s">
        <v>2294</v>
      </c>
      <c r="B869" s="4" t="s">
        <v>2963</v>
      </c>
      <c r="C869" s="4" t="s">
        <v>2096</v>
      </c>
      <c r="D869" s="4" t="s">
        <v>2236</v>
      </c>
      <c r="E869" s="4" t="s">
        <v>2973</v>
      </c>
      <c r="F869" s="4" t="s">
        <v>2965</v>
      </c>
      <c r="G869" s="4" t="s">
        <v>2294</v>
      </c>
      <c r="H869" s="4" t="s">
        <v>2183</v>
      </c>
      <c r="I869" s="4" t="s">
        <v>2100</v>
      </c>
      <c r="J869" s="4" t="s">
        <v>2966</v>
      </c>
      <c r="K869">
        <v>19</v>
      </c>
      <c r="L869">
        <v>5.7911999999999999</v>
      </c>
      <c r="M869">
        <v>139.69999999999999</v>
      </c>
      <c r="N869">
        <v>184.15</v>
      </c>
      <c r="O869">
        <v>228</v>
      </c>
      <c r="P869">
        <v>5.5</v>
      </c>
      <c r="Q869">
        <v>7.2500000000000009</v>
      </c>
      <c r="R869">
        <v>127.53100000000001</v>
      </c>
      <c r="S869">
        <v>0.14898299235599999</v>
      </c>
      <c r="T869" s="4" t="s">
        <v>2967</v>
      </c>
    </row>
    <row r="870" spans="1:20" x14ac:dyDescent="0.2">
      <c r="A870" s="4" t="s">
        <v>2294</v>
      </c>
      <c r="B870" s="4" t="s">
        <v>2963</v>
      </c>
      <c r="C870" s="4" t="s">
        <v>2096</v>
      </c>
      <c r="D870" s="4" t="s">
        <v>2236</v>
      </c>
      <c r="E870" s="4" t="s">
        <v>2974</v>
      </c>
      <c r="F870" s="4" t="s">
        <v>2965</v>
      </c>
      <c r="G870" s="4" t="s">
        <v>2294</v>
      </c>
      <c r="H870" s="4" t="s">
        <v>2183</v>
      </c>
      <c r="I870" s="4" t="s">
        <v>2100</v>
      </c>
      <c r="J870" s="4" t="s">
        <v>2966</v>
      </c>
      <c r="K870">
        <v>20</v>
      </c>
      <c r="L870">
        <v>6.0960000000000001</v>
      </c>
      <c r="M870">
        <v>139.69999999999999</v>
      </c>
      <c r="N870">
        <v>184.15</v>
      </c>
      <c r="O870">
        <v>240</v>
      </c>
      <c r="P870">
        <v>5.5</v>
      </c>
      <c r="Q870">
        <v>7.2500000000000009</v>
      </c>
      <c r="R870">
        <v>127.53100000000001</v>
      </c>
      <c r="S870">
        <v>0.15682420248000001</v>
      </c>
      <c r="T870" s="4" t="s">
        <v>2967</v>
      </c>
    </row>
    <row r="871" spans="1:20" x14ac:dyDescent="0.2">
      <c r="A871" s="4" t="s">
        <v>2294</v>
      </c>
      <c r="B871" s="4" t="s">
        <v>2963</v>
      </c>
      <c r="C871" s="4" t="s">
        <v>2096</v>
      </c>
      <c r="D871" s="4" t="s">
        <v>2236</v>
      </c>
      <c r="E871" s="4" t="s">
        <v>2975</v>
      </c>
      <c r="F871" s="4" t="s">
        <v>2965</v>
      </c>
      <c r="G871" s="4" t="s">
        <v>2294</v>
      </c>
      <c r="H871" s="4" t="s">
        <v>2183</v>
      </c>
      <c r="I871" s="4" t="s">
        <v>2100</v>
      </c>
      <c r="J871" s="4" t="s">
        <v>2966</v>
      </c>
      <c r="K871">
        <v>21</v>
      </c>
      <c r="L871">
        <v>6.4008000000000003</v>
      </c>
      <c r="M871">
        <v>139.69999999999999</v>
      </c>
      <c r="N871">
        <v>184.15</v>
      </c>
      <c r="O871">
        <v>252.00000000000003</v>
      </c>
      <c r="P871">
        <v>5.5</v>
      </c>
      <c r="Q871">
        <v>7.2500000000000009</v>
      </c>
      <c r="R871">
        <v>127.53100000000001</v>
      </c>
      <c r="S871">
        <v>0.16466541260399997</v>
      </c>
      <c r="T871" s="4" t="s">
        <v>2967</v>
      </c>
    </row>
    <row r="872" spans="1:20" x14ac:dyDescent="0.2">
      <c r="A872" s="4" t="s">
        <v>2294</v>
      </c>
      <c r="B872" s="4" t="s">
        <v>2963</v>
      </c>
      <c r="C872" s="4" t="s">
        <v>2096</v>
      </c>
      <c r="D872" s="4" t="s">
        <v>2236</v>
      </c>
      <c r="E872" s="4" t="s">
        <v>2976</v>
      </c>
      <c r="F872" s="4" t="s">
        <v>2965</v>
      </c>
      <c r="G872" s="4" t="s">
        <v>2294</v>
      </c>
      <c r="H872" s="4" t="s">
        <v>2183</v>
      </c>
      <c r="I872" s="4" t="s">
        <v>2100</v>
      </c>
      <c r="J872" s="4" t="s">
        <v>2966</v>
      </c>
      <c r="K872">
        <v>22</v>
      </c>
      <c r="L872">
        <v>6.7055999999999996</v>
      </c>
      <c r="M872">
        <v>139.69999999999999</v>
      </c>
      <c r="N872">
        <v>184.15</v>
      </c>
      <c r="O872">
        <v>264</v>
      </c>
      <c r="P872">
        <v>5.5</v>
      </c>
      <c r="Q872">
        <v>7.2500000000000009</v>
      </c>
      <c r="R872">
        <v>127.53100000000001</v>
      </c>
      <c r="S872">
        <v>0.17250662272799996</v>
      </c>
      <c r="T872" s="4" t="s">
        <v>2967</v>
      </c>
    </row>
    <row r="873" spans="1:20" x14ac:dyDescent="0.2">
      <c r="A873" s="4" t="s">
        <v>2294</v>
      </c>
      <c r="B873" s="4" t="s">
        <v>2963</v>
      </c>
      <c r="C873" s="4" t="s">
        <v>2096</v>
      </c>
      <c r="D873" s="4" t="s">
        <v>2236</v>
      </c>
      <c r="E873" s="4" t="s">
        <v>2977</v>
      </c>
      <c r="F873" s="4" t="s">
        <v>2965</v>
      </c>
      <c r="G873" s="4" t="s">
        <v>2294</v>
      </c>
      <c r="H873" s="4" t="s">
        <v>2183</v>
      </c>
      <c r="I873" s="4" t="s">
        <v>2100</v>
      </c>
      <c r="J873" s="4" t="s">
        <v>2966</v>
      </c>
      <c r="K873">
        <v>23</v>
      </c>
      <c r="L873">
        <v>7.0103999999999997</v>
      </c>
      <c r="M873">
        <v>139.69999999999999</v>
      </c>
      <c r="N873">
        <v>184.15</v>
      </c>
      <c r="O873">
        <v>276</v>
      </c>
      <c r="P873">
        <v>5.5</v>
      </c>
      <c r="Q873">
        <v>7.2500000000000009</v>
      </c>
      <c r="R873">
        <v>127.53100000000001</v>
      </c>
      <c r="S873">
        <v>0.18034783285199998</v>
      </c>
      <c r="T873" s="4" t="s">
        <v>2967</v>
      </c>
    </row>
    <row r="874" spans="1:20" x14ac:dyDescent="0.2">
      <c r="A874" s="4" t="s">
        <v>2294</v>
      </c>
      <c r="B874" s="4" t="s">
        <v>2963</v>
      </c>
      <c r="C874" s="4" t="s">
        <v>2096</v>
      </c>
      <c r="D874" s="4" t="s">
        <v>2236</v>
      </c>
      <c r="E874" s="4" t="s">
        <v>2978</v>
      </c>
      <c r="F874" s="4" t="s">
        <v>2965</v>
      </c>
      <c r="G874" s="4" t="s">
        <v>2294</v>
      </c>
      <c r="H874" s="4" t="s">
        <v>2183</v>
      </c>
      <c r="I874" s="4" t="s">
        <v>2100</v>
      </c>
      <c r="J874" s="4" t="s">
        <v>2966</v>
      </c>
      <c r="K874">
        <v>24</v>
      </c>
      <c r="L874">
        <v>7.3152000000000008</v>
      </c>
      <c r="M874">
        <v>139.69999999999999</v>
      </c>
      <c r="N874">
        <v>184.15</v>
      </c>
      <c r="O874">
        <v>288.00000000000006</v>
      </c>
      <c r="P874">
        <v>5.5</v>
      </c>
      <c r="Q874">
        <v>7.2500000000000009</v>
      </c>
      <c r="R874">
        <v>127.53100000000001</v>
      </c>
      <c r="S874">
        <v>0.188189042976</v>
      </c>
      <c r="T874" s="4" t="s">
        <v>2967</v>
      </c>
    </row>
    <row r="875" spans="1:20" x14ac:dyDescent="0.2">
      <c r="A875" s="4" t="s">
        <v>2294</v>
      </c>
      <c r="B875" s="4" t="s">
        <v>2963</v>
      </c>
      <c r="C875" s="4" t="s">
        <v>2286</v>
      </c>
      <c r="D875" s="4" t="s">
        <v>2236</v>
      </c>
      <c r="E875" s="4" t="s">
        <v>2979</v>
      </c>
      <c r="F875" s="4" t="s">
        <v>2965</v>
      </c>
      <c r="G875" s="4" t="s">
        <v>2294</v>
      </c>
      <c r="H875" s="4" t="s">
        <v>2183</v>
      </c>
      <c r="I875" s="4" t="s">
        <v>2100</v>
      </c>
      <c r="J875" s="4" t="s">
        <v>2966</v>
      </c>
      <c r="K875">
        <v>3</v>
      </c>
      <c r="L875">
        <v>0.91439999999999999</v>
      </c>
      <c r="M875">
        <v>139.69999999999999</v>
      </c>
      <c r="N875">
        <v>184.15</v>
      </c>
      <c r="O875">
        <v>36</v>
      </c>
      <c r="P875">
        <v>5.5</v>
      </c>
      <c r="Q875">
        <v>7.2500000000000009</v>
      </c>
      <c r="R875">
        <v>127.53100000000001</v>
      </c>
      <c r="S875">
        <v>2.3523630372E-2</v>
      </c>
      <c r="T875" s="4" t="s">
        <v>2980</v>
      </c>
    </row>
    <row r="876" spans="1:20" x14ac:dyDescent="0.2">
      <c r="A876" s="4" t="s">
        <v>2294</v>
      </c>
      <c r="B876" s="4" t="s">
        <v>2963</v>
      </c>
      <c r="C876" s="4" t="s">
        <v>2286</v>
      </c>
      <c r="D876" s="4" t="s">
        <v>2236</v>
      </c>
      <c r="E876" s="4" t="s">
        <v>2981</v>
      </c>
      <c r="F876" s="4" t="s">
        <v>2965</v>
      </c>
      <c r="G876" s="4" t="s">
        <v>2294</v>
      </c>
      <c r="H876" s="4" t="s">
        <v>2183</v>
      </c>
      <c r="I876" s="4" t="s">
        <v>2100</v>
      </c>
      <c r="J876" s="4" t="s">
        <v>2966</v>
      </c>
      <c r="K876">
        <v>4</v>
      </c>
      <c r="L876">
        <v>1.2192000000000001</v>
      </c>
      <c r="M876">
        <v>139.69999999999999</v>
      </c>
      <c r="N876">
        <v>184.15</v>
      </c>
      <c r="O876">
        <v>48.000000000000007</v>
      </c>
      <c r="P876">
        <v>5.5</v>
      </c>
      <c r="Q876">
        <v>7.2500000000000009</v>
      </c>
      <c r="R876">
        <v>127.53100000000001</v>
      </c>
      <c r="S876">
        <v>3.1364840495999996E-2</v>
      </c>
      <c r="T876" s="4" t="s">
        <v>2980</v>
      </c>
    </row>
    <row r="877" spans="1:20" x14ac:dyDescent="0.2">
      <c r="A877" s="4" t="s">
        <v>2294</v>
      </c>
      <c r="B877" s="4" t="s">
        <v>2963</v>
      </c>
      <c r="C877" s="4" t="s">
        <v>2286</v>
      </c>
      <c r="D877" s="4" t="s">
        <v>2236</v>
      </c>
      <c r="E877" s="4" t="s">
        <v>2982</v>
      </c>
      <c r="F877" s="4" t="s">
        <v>2965</v>
      </c>
      <c r="G877" s="4" t="s">
        <v>2294</v>
      </c>
      <c r="H877" s="4" t="s">
        <v>2183</v>
      </c>
      <c r="I877" s="4" t="s">
        <v>2100</v>
      </c>
      <c r="J877" s="4" t="s">
        <v>2966</v>
      </c>
      <c r="K877">
        <v>5</v>
      </c>
      <c r="L877">
        <v>1.524</v>
      </c>
      <c r="M877">
        <v>139.69999999999999</v>
      </c>
      <c r="N877">
        <v>184.15</v>
      </c>
      <c r="O877">
        <v>60</v>
      </c>
      <c r="P877">
        <v>5.5</v>
      </c>
      <c r="Q877">
        <v>7.2500000000000009</v>
      </c>
      <c r="R877">
        <v>127.53100000000001</v>
      </c>
      <c r="S877">
        <v>3.9206050620000002E-2</v>
      </c>
      <c r="T877" s="4" t="s">
        <v>2980</v>
      </c>
    </row>
    <row r="878" spans="1:20" x14ac:dyDescent="0.2">
      <c r="A878" s="4" t="s">
        <v>2294</v>
      </c>
      <c r="B878" s="4" t="s">
        <v>2963</v>
      </c>
      <c r="C878" s="4" t="s">
        <v>2286</v>
      </c>
      <c r="D878" s="4" t="s">
        <v>2236</v>
      </c>
      <c r="E878" s="4" t="s">
        <v>2983</v>
      </c>
      <c r="F878" s="4" t="s">
        <v>2965</v>
      </c>
      <c r="G878" s="4" t="s">
        <v>2294</v>
      </c>
      <c r="H878" s="4" t="s">
        <v>2183</v>
      </c>
      <c r="I878" s="4" t="s">
        <v>2100</v>
      </c>
      <c r="J878" s="4" t="s">
        <v>2966</v>
      </c>
      <c r="K878">
        <v>6</v>
      </c>
      <c r="L878">
        <v>1.8288</v>
      </c>
      <c r="M878">
        <v>139.69999999999999</v>
      </c>
      <c r="N878">
        <v>184.15</v>
      </c>
      <c r="O878">
        <v>72</v>
      </c>
      <c r="P878">
        <v>5.5</v>
      </c>
      <c r="Q878">
        <v>7.2500000000000009</v>
      </c>
      <c r="R878">
        <v>127.53100000000001</v>
      </c>
      <c r="S878">
        <v>4.7047260744000001E-2</v>
      </c>
      <c r="T878" s="4" t="s">
        <v>2980</v>
      </c>
    </row>
    <row r="879" spans="1:20" x14ac:dyDescent="0.2">
      <c r="A879" s="4" t="s">
        <v>2294</v>
      </c>
      <c r="B879" s="4" t="s">
        <v>2963</v>
      </c>
      <c r="C879" s="4" t="s">
        <v>2286</v>
      </c>
      <c r="D879" s="4" t="s">
        <v>2236</v>
      </c>
      <c r="E879" s="4" t="s">
        <v>2984</v>
      </c>
      <c r="F879" s="4" t="s">
        <v>2965</v>
      </c>
      <c r="G879" s="4" t="s">
        <v>2294</v>
      </c>
      <c r="H879" s="4" t="s">
        <v>2183</v>
      </c>
      <c r="I879" s="4" t="s">
        <v>2100</v>
      </c>
      <c r="J879" s="4" t="s">
        <v>2966</v>
      </c>
      <c r="K879">
        <v>7</v>
      </c>
      <c r="L879">
        <v>2.1335999999999999</v>
      </c>
      <c r="M879">
        <v>139.69999999999999</v>
      </c>
      <c r="N879">
        <v>184.15</v>
      </c>
      <c r="O879">
        <v>84</v>
      </c>
      <c r="P879">
        <v>5.5</v>
      </c>
      <c r="Q879">
        <v>7.2500000000000009</v>
      </c>
      <c r="R879">
        <v>127.53100000000001</v>
      </c>
      <c r="S879">
        <v>5.4888470867999986E-2</v>
      </c>
      <c r="T879" s="4" t="s">
        <v>2980</v>
      </c>
    </row>
    <row r="880" spans="1:20" x14ac:dyDescent="0.2">
      <c r="A880" s="4" t="s">
        <v>2294</v>
      </c>
      <c r="B880" s="4" t="s">
        <v>2963</v>
      </c>
      <c r="C880" s="4" t="s">
        <v>2096</v>
      </c>
      <c r="D880" s="4" t="s">
        <v>2236</v>
      </c>
      <c r="E880" s="4" t="s">
        <v>2985</v>
      </c>
      <c r="F880" s="4" t="s">
        <v>2965</v>
      </c>
      <c r="G880" s="4" t="s">
        <v>2294</v>
      </c>
      <c r="H880" s="4" t="s">
        <v>2183</v>
      </c>
      <c r="I880" s="4" t="s">
        <v>2100</v>
      </c>
      <c r="J880" s="4" t="s">
        <v>2966</v>
      </c>
      <c r="K880">
        <v>8</v>
      </c>
      <c r="L880">
        <v>2.4384000000000001</v>
      </c>
      <c r="M880">
        <v>139.69999999999999</v>
      </c>
      <c r="N880">
        <v>184.15</v>
      </c>
      <c r="O880">
        <v>96.000000000000014</v>
      </c>
      <c r="P880">
        <v>5.5</v>
      </c>
      <c r="Q880">
        <v>7.2500000000000009</v>
      </c>
      <c r="R880">
        <v>127.53100000000001</v>
      </c>
      <c r="S880">
        <v>6.2729680991999992E-2</v>
      </c>
      <c r="T880" s="4" t="s">
        <v>2967</v>
      </c>
    </row>
    <row r="881" spans="1:20" x14ac:dyDescent="0.2">
      <c r="A881" s="4" t="s">
        <v>2294</v>
      </c>
      <c r="B881" s="4" t="s">
        <v>2963</v>
      </c>
      <c r="C881" s="4" t="s">
        <v>2096</v>
      </c>
      <c r="D881" s="4" t="s">
        <v>2236</v>
      </c>
      <c r="E881" s="4" t="s">
        <v>2986</v>
      </c>
      <c r="F881" s="4" t="s">
        <v>2965</v>
      </c>
      <c r="G881" s="4" t="s">
        <v>2294</v>
      </c>
      <c r="H881" s="4" t="s">
        <v>2183</v>
      </c>
      <c r="I881" s="4" t="s">
        <v>2100</v>
      </c>
      <c r="J881" s="4" t="s">
        <v>2966</v>
      </c>
      <c r="K881">
        <v>9</v>
      </c>
      <c r="L881">
        <v>2.7431999999999999</v>
      </c>
      <c r="M881">
        <v>139.69999999999999</v>
      </c>
      <c r="N881">
        <v>184.15</v>
      </c>
      <c r="O881">
        <v>108</v>
      </c>
      <c r="P881">
        <v>5.5</v>
      </c>
      <c r="Q881">
        <v>7.2500000000000009</v>
      </c>
      <c r="R881">
        <v>127.53100000000001</v>
      </c>
      <c r="S881">
        <v>7.0570891115999984E-2</v>
      </c>
      <c r="T881" s="4" t="s">
        <v>2967</v>
      </c>
    </row>
    <row r="882" spans="1:20" x14ac:dyDescent="0.2">
      <c r="A882" s="4" t="s">
        <v>2294</v>
      </c>
      <c r="B882" s="4" t="s">
        <v>2987</v>
      </c>
      <c r="C882" s="4" t="s">
        <v>2096</v>
      </c>
      <c r="D882" s="4" t="s">
        <v>2236</v>
      </c>
      <c r="E882" s="4" t="s">
        <v>2988</v>
      </c>
      <c r="F882" s="4" t="s">
        <v>2989</v>
      </c>
      <c r="G882" s="4" t="s">
        <v>2294</v>
      </c>
      <c r="H882" s="4" t="s">
        <v>2183</v>
      </c>
      <c r="I882" s="4" t="s">
        <v>2100</v>
      </c>
      <c r="J882" s="4" t="s">
        <v>2990</v>
      </c>
      <c r="K882">
        <v>10</v>
      </c>
      <c r="L882">
        <v>3.048</v>
      </c>
      <c r="M882">
        <v>184.15</v>
      </c>
      <c r="N882">
        <v>184.15</v>
      </c>
      <c r="O882">
        <v>120</v>
      </c>
      <c r="P882">
        <v>7.2500000000000009</v>
      </c>
      <c r="Q882">
        <v>7.2500000000000009</v>
      </c>
      <c r="R882">
        <v>96.748000000000005</v>
      </c>
      <c r="S882">
        <v>0.10336140618000002</v>
      </c>
      <c r="T882" s="4" t="s">
        <v>2991</v>
      </c>
    </row>
    <row r="883" spans="1:20" x14ac:dyDescent="0.2">
      <c r="A883" s="4" t="s">
        <v>2294</v>
      </c>
      <c r="B883" s="4" t="s">
        <v>2987</v>
      </c>
      <c r="C883" s="4" t="s">
        <v>2096</v>
      </c>
      <c r="D883" s="4" t="s">
        <v>2236</v>
      </c>
      <c r="E883" s="4" t="s">
        <v>2992</v>
      </c>
      <c r="F883" s="4" t="s">
        <v>2989</v>
      </c>
      <c r="G883" s="4" t="s">
        <v>2294</v>
      </c>
      <c r="H883" s="4" t="s">
        <v>2183</v>
      </c>
      <c r="I883" s="4" t="s">
        <v>2100</v>
      </c>
      <c r="J883" s="4" t="s">
        <v>2990</v>
      </c>
      <c r="K883">
        <v>11</v>
      </c>
      <c r="L883">
        <v>3.3527999999999998</v>
      </c>
      <c r="M883">
        <v>184.15</v>
      </c>
      <c r="N883">
        <v>184.15</v>
      </c>
      <c r="O883">
        <v>132</v>
      </c>
      <c r="P883">
        <v>7.2500000000000009</v>
      </c>
      <c r="Q883">
        <v>7.2500000000000009</v>
      </c>
      <c r="R883">
        <v>96.748000000000005</v>
      </c>
      <c r="S883">
        <v>0.113697546798</v>
      </c>
      <c r="T883" s="4" t="s">
        <v>2991</v>
      </c>
    </row>
    <row r="884" spans="1:20" x14ac:dyDescent="0.2">
      <c r="A884" s="4" t="s">
        <v>2294</v>
      </c>
      <c r="B884" s="4" t="s">
        <v>2987</v>
      </c>
      <c r="C884" s="4" t="s">
        <v>2096</v>
      </c>
      <c r="D884" s="4" t="s">
        <v>2236</v>
      </c>
      <c r="E884" s="4" t="s">
        <v>2993</v>
      </c>
      <c r="F884" s="4" t="s">
        <v>2989</v>
      </c>
      <c r="G884" s="4" t="s">
        <v>2294</v>
      </c>
      <c r="H884" s="4" t="s">
        <v>2183</v>
      </c>
      <c r="I884" s="4" t="s">
        <v>2100</v>
      </c>
      <c r="J884" s="4" t="s">
        <v>2990</v>
      </c>
      <c r="K884">
        <v>12</v>
      </c>
      <c r="L884">
        <v>3.6576</v>
      </c>
      <c r="M884">
        <v>184.15</v>
      </c>
      <c r="N884">
        <v>184.15</v>
      </c>
      <c r="O884">
        <v>144</v>
      </c>
      <c r="P884">
        <v>7.2500000000000009</v>
      </c>
      <c r="Q884">
        <v>7.2500000000000009</v>
      </c>
      <c r="R884">
        <v>96.748000000000005</v>
      </c>
      <c r="S884">
        <v>0.124033687416</v>
      </c>
      <c r="T884" s="4" t="s">
        <v>2991</v>
      </c>
    </row>
    <row r="885" spans="1:20" x14ac:dyDescent="0.2">
      <c r="A885" s="4" t="s">
        <v>2294</v>
      </c>
      <c r="B885" s="4" t="s">
        <v>2987</v>
      </c>
      <c r="C885" s="4" t="s">
        <v>2096</v>
      </c>
      <c r="D885" s="4" t="s">
        <v>2236</v>
      </c>
      <c r="E885" s="4" t="s">
        <v>2994</v>
      </c>
      <c r="F885" s="4" t="s">
        <v>2989</v>
      </c>
      <c r="G885" s="4" t="s">
        <v>2294</v>
      </c>
      <c r="H885" s="4" t="s">
        <v>2183</v>
      </c>
      <c r="I885" s="4" t="s">
        <v>2100</v>
      </c>
      <c r="J885" s="4" t="s">
        <v>2990</v>
      </c>
      <c r="K885">
        <v>13</v>
      </c>
      <c r="L885">
        <v>3.9624000000000001</v>
      </c>
      <c r="M885">
        <v>184.15</v>
      </c>
      <c r="N885">
        <v>184.15</v>
      </c>
      <c r="O885">
        <v>156</v>
      </c>
      <c r="P885">
        <v>7.2500000000000009</v>
      </c>
      <c r="Q885">
        <v>7.2500000000000009</v>
      </c>
      <c r="R885">
        <v>96.748000000000005</v>
      </c>
      <c r="S885">
        <v>0.13436982803399999</v>
      </c>
      <c r="T885" s="4" t="s">
        <v>2991</v>
      </c>
    </row>
    <row r="886" spans="1:20" x14ac:dyDescent="0.2">
      <c r="A886" s="4" t="s">
        <v>2294</v>
      </c>
      <c r="B886" s="4" t="s">
        <v>2987</v>
      </c>
      <c r="C886" s="4" t="s">
        <v>2096</v>
      </c>
      <c r="D886" s="4" t="s">
        <v>2236</v>
      </c>
      <c r="E886" s="4" t="s">
        <v>2995</v>
      </c>
      <c r="F886" s="4" t="s">
        <v>2989</v>
      </c>
      <c r="G886" s="4" t="s">
        <v>2294</v>
      </c>
      <c r="H886" s="4" t="s">
        <v>2183</v>
      </c>
      <c r="I886" s="4" t="s">
        <v>2100</v>
      </c>
      <c r="J886" s="4" t="s">
        <v>2990</v>
      </c>
      <c r="K886">
        <v>14</v>
      </c>
      <c r="L886">
        <v>4.2671999999999999</v>
      </c>
      <c r="M886">
        <v>184.15</v>
      </c>
      <c r="N886">
        <v>184.15</v>
      </c>
      <c r="O886">
        <v>168</v>
      </c>
      <c r="P886">
        <v>7.2500000000000009</v>
      </c>
      <c r="Q886">
        <v>7.2500000000000009</v>
      </c>
      <c r="R886">
        <v>96.748000000000005</v>
      </c>
      <c r="S886">
        <v>0.14470596865200003</v>
      </c>
      <c r="T886" s="4" t="s">
        <v>2991</v>
      </c>
    </row>
    <row r="887" spans="1:20" x14ac:dyDescent="0.2">
      <c r="A887" s="4" t="s">
        <v>2294</v>
      </c>
      <c r="B887" s="4" t="s">
        <v>2987</v>
      </c>
      <c r="C887" s="4" t="s">
        <v>2096</v>
      </c>
      <c r="D887" s="4" t="s">
        <v>2236</v>
      </c>
      <c r="E887" s="4" t="s">
        <v>2996</v>
      </c>
      <c r="F887" s="4" t="s">
        <v>2989</v>
      </c>
      <c r="G887" s="4" t="s">
        <v>2294</v>
      </c>
      <c r="H887" s="4" t="s">
        <v>2183</v>
      </c>
      <c r="I887" s="4" t="s">
        <v>2100</v>
      </c>
      <c r="J887" s="4" t="s">
        <v>2990</v>
      </c>
      <c r="K887">
        <v>15</v>
      </c>
      <c r="L887">
        <v>4.5720000000000001</v>
      </c>
      <c r="M887">
        <v>184.15</v>
      </c>
      <c r="N887">
        <v>184.15</v>
      </c>
      <c r="O887">
        <v>180</v>
      </c>
      <c r="P887">
        <v>7.2500000000000009</v>
      </c>
      <c r="Q887">
        <v>7.2500000000000009</v>
      </c>
      <c r="R887">
        <v>96.748000000000005</v>
      </c>
      <c r="S887">
        <v>0.15504210927000003</v>
      </c>
      <c r="T887" s="4" t="s">
        <v>2991</v>
      </c>
    </row>
    <row r="888" spans="1:20" x14ac:dyDescent="0.2">
      <c r="A888" s="4" t="s">
        <v>2294</v>
      </c>
      <c r="B888" s="4" t="s">
        <v>2987</v>
      </c>
      <c r="C888" s="4" t="s">
        <v>2096</v>
      </c>
      <c r="D888" s="4" t="s">
        <v>2236</v>
      </c>
      <c r="E888" s="4" t="s">
        <v>266</v>
      </c>
      <c r="F888" s="4" t="s">
        <v>2989</v>
      </c>
      <c r="G888" s="4" t="s">
        <v>2294</v>
      </c>
      <c r="H888" s="4" t="s">
        <v>2183</v>
      </c>
      <c r="I888" s="4" t="s">
        <v>2100</v>
      </c>
      <c r="J888" s="4" t="s">
        <v>2990</v>
      </c>
      <c r="K888">
        <v>16</v>
      </c>
      <c r="L888">
        <v>4.8768000000000002</v>
      </c>
      <c r="M888">
        <v>184.15</v>
      </c>
      <c r="N888">
        <v>184.15</v>
      </c>
      <c r="O888">
        <v>192.00000000000003</v>
      </c>
      <c r="P888">
        <v>7.2500000000000009</v>
      </c>
      <c r="Q888">
        <v>7.2500000000000009</v>
      </c>
      <c r="R888">
        <v>96.748000000000005</v>
      </c>
      <c r="S888">
        <v>0.16537824988800004</v>
      </c>
      <c r="T888" s="4" t="s">
        <v>2991</v>
      </c>
    </row>
    <row r="889" spans="1:20" x14ac:dyDescent="0.2">
      <c r="A889" s="4" t="s">
        <v>2294</v>
      </c>
      <c r="B889" s="4" t="s">
        <v>2987</v>
      </c>
      <c r="C889" s="4" t="s">
        <v>2096</v>
      </c>
      <c r="D889" s="4" t="s">
        <v>2236</v>
      </c>
      <c r="E889" s="4" t="s">
        <v>2997</v>
      </c>
      <c r="F889" s="4" t="s">
        <v>2989</v>
      </c>
      <c r="G889" s="4" t="s">
        <v>2294</v>
      </c>
      <c r="H889" s="4" t="s">
        <v>2183</v>
      </c>
      <c r="I889" s="4" t="s">
        <v>2100</v>
      </c>
      <c r="J889" s="4" t="s">
        <v>2990</v>
      </c>
      <c r="K889">
        <v>17</v>
      </c>
      <c r="L889">
        <v>5.1816000000000004</v>
      </c>
      <c r="M889">
        <v>184.15</v>
      </c>
      <c r="N889">
        <v>184.15</v>
      </c>
      <c r="O889">
        <v>204.00000000000003</v>
      </c>
      <c r="P889">
        <v>7.2500000000000009</v>
      </c>
      <c r="Q889">
        <v>7.2500000000000009</v>
      </c>
      <c r="R889">
        <v>96.748000000000005</v>
      </c>
      <c r="S889">
        <v>0.17571439050600002</v>
      </c>
      <c r="T889" s="4" t="s">
        <v>2991</v>
      </c>
    </row>
    <row r="890" spans="1:20" x14ac:dyDescent="0.2">
      <c r="A890" s="4" t="s">
        <v>2294</v>
      </c>
      <c r="B890" s="4" t="s">
        <v>2987</v>
      </c>
      <c r="C890" s="4" t="s">
        <v>2096</v>
      </c>
      <c r="D890" s="4" t="s">
        <v>2236</v>
      </c>
      <c r="E890" s="4" t="s">
        <v>268</v>
      </c>
      <c r="F890" s="4" t="s">
        <v>2989</v>
      </c>
      <c r="G890" s="4" t="s">
        <v>2294</v>
      </c>
      <c r="H890" s="4" t="s">
        <v>2183</v>
      </c>
      <c r="I890" s="4" t="s">
        <v>2100</v>
      </c>
      <c r="J890" s="4" t="s">
        <v>2990</v>
      </c>
      <c r="K890">
        <v>18</v>
      </c>
      <c r="L890">
        <v>5.4863999999999997</v>
      </c>
      <c r="M890">
        <v>184.15</v>
      </c>
      <c r="N890">
        <v>184.15</v>
      </c>
      <c r="O890">
        <v>216</v>
      </c>
      <c r="P890">
        <v>7.2500000000000009</v>
      </c>
      <c r="Q890">
        <v>7.2500000000000009</v>
      </c>
      <c r="R890">
        <v>96.748000000000005</v>
      </c>
      <c r="S890">
        <v>0.186050531124</v>
      </c>
      <c r="T890" s="4" t="s">
        <v>2991</v>
      </c>
    </row>
    <row r="891" spans="1:20" x14ac:dyDescent="0.2">
      <c r="A891" s="4" t="s">
        <v>2294</v>
      </c>
      <c r="B891" s="4" t="s">
        <v>2987</v>
      </c>
      <c r="C891" s="4" t="s">
        <v>2096</v>
      </c>
      <c r="D891" s="4" t="s">
        <v>2236</v>
      </c>
      <c r="E891" s="4" t="s">
        <v>2998</v>
      </c>
      <c r="F891" s="4" t="s">
        <v>2989</v>
      </c>
      <c r="G891" s="4" t="s">
        <v>2294</v>
      </c>
      <c r="H891" s="4" t="s">
        <v>2183</v>
      </c>
      <c r="I891" s="4" t="s">
        <v>2100</v>
      </c>
      <c r="J891" s="4" t="s">
        <v>2990</v>
      </c>
      <c r="K891">
        <v>19</v>
      </c>
      <c r="L891">
        <v>5.7911999999999999</v>
      </c>
      <c r="M891">
        <v>184.15</v>
      </c>
      <c r="N891">
        <v>184.15</v>
      </c>
      <c r="O891">
        <v>228</v>
      </c>
      <c r="P891">
        <v>7.2500000000000009</v>
      </c>
      <c r="Q891">
        <v>7.2500000000000009</v>
      </c>
      <c r="R891">
        <v>96.748000000000005</v>
      </c>
      <c r="S891">
        <v>0.196386671742</v>
      </c>
      <c r="T891" s="4" t="s">
        <v>2991</v>
      </c>
    </row>
    <row r="892" spans="1:20" x14ac:dyDescent="0.2">
      <c r="A892" s="4" t="s">
        <v>2294</v>
      </c>
      <c r="B892" s="4" t="s">
        <v>2987</v>
      </c>
      <c r="C892" s="4" t="s">
        <v>2096</v>
      </c>
      <c r="D892" s="4" t="s">
        <v>2236</v>
      </c>
      <c r="E892" s="4" t="s">
        <v>270</v>
      </c>
      <c r="F892" s="4" t="s">
        <v>2989</v>
      </c>
      <c r="G892" s="4" t="s">
        <v>2294</v>
      </c>
      <c r="H892" s="4" t="s">
        <v>2183</v>
      </c>
      <c r="I892" s="4" t="s">
        <v>2100</v>
      </c>
      <c r="J892" s="4" t="s">
        <v>2990</v>
      </c>
      <c r="K892">
        <v>20</v>
      </c>
      <c r="L892">
        <v>6.0960000000000001</v>
      </c>
      <c r="M892">
        <v>184.15</v>
      </c>
      <c r="N892">
        <v>184.15</v>
      </c>
      <c r="O892">
        <v>240</v>
      </c>
      <c r="P892">
        <v>7.2500000000000009</v>
      </c>
      <c r="Q892">
        <v>7.2500000000000009</v>
      </c>
      <c r="R892">
        <v>96.748000000000005</v>
      </c>
      <c r="S892">
        <v>0.20672281236000004</v>
      </c>
      <c r="T892" s="4" t="s">
        <v>2991</v>
      </c>
    </row>
    <row r="893" spans="1:20" x14ac:dyDescent="0.2">
      <c r="A893" s="4" t="s">
        <v>2294</v>
      </c>
      <c r="B893" s="4" t="s">
        <v>2987</v>
      </c>
      <c r="C893" s="4" t="s">
        <v>2096</v>
      </c>
      <c r="D893" s="4" t="s">
        <v>2236</v>
      </c>
      <c r="E893" s="4" t="s">
        <v>2999</v>
      </c>
      <c r="F893" s="4" t="s">
        <v>2989</v>
      </c>
      <c r="G893" s="4" t="s">
        <v>2294</v>
      </c>
      <c r="H893" s="4" t="s">
        <v>2183</v>
      </c>
      <c r="I893" s="4" t="s">
        <v>2100</v>
      </c>
      <c r="J893" s="4" t="s">
        <v>2990</v>
      </c>
      <c r="K893">
        <v>21</v>
      </c>
      <c r="L893">
        <v>6.4008000000000003</v>
      </c>
      <c r="M893">
        <v>184.15</v>
      </c>
      <c r="N893">
        <v>184.15</v>
      </c>
      <c r="O893">
        <v>252.00000000000003</v>
      </c>
      <c r="P893">
        <v>7.2500000000000009</v>
      </c>
      <c r="Q893">
        <v>7.2500000000000009</v>
      </c>
      <c r="R893">
        <v>96.748000000000005</v>
      </c>
      <c r="S893">
        <v>0.21705895297800001</v>
      </c>
      <c r="T893" s="4" t="s">
        <v>2991</v>
      </c>
    </row>
    <row r="894" spans="1:20" x14ac:dyDescent="0.2">
      <c r="A894" s="4" t="s">
        <v>2294</v>
      </c>
      <c r="B894" s="4" t="s">
        <v>2987</v>
      </c>
      <c r="C894" s="4" t="s">
        <v>2096</v>
      </c>
      <c r="D894" s="4" t="s">
        <v>2236</v>
      </c>
      <c r="E894" s="4" t="s">
        <v>3000</v>
      </c>
      <c r="F894" s="4" t="s">
        <v>2989</v>
      </c>
      <c r="G894" s="4" t="s">
        <v>2294</v>
      </c>
      <c r="H894" s="4" t="s">
        <v>2183</v>
      </c>
      <c r="I894" s="4" t="s">
        <v>2100</v>
      </c>
      <c r="J894" s="4" t="s">
        <v>2990</v>
      </c>
      <c r="K894">
        <v>22</v>
      </c>
      <c r="L894">
        <v>6.7055999999999996</v>
      </c>
      <c r="M894">
        <v>184.15</v>
      </c>
      <c r="N894">
        <v>184.15</v>
      </c>
      <c r="O894">
        <v>264</v>
      </c>
      <c r="P894">
        <v>7.2500000000000009</v>
      </c>
      <c r="Q894">
        <v>7.2500000000000009</v>
      </c>
      <c r="R894">
        <v>96.748000000000005</v>
      </c>
      <c r="S894">
        <v>0.22739509359599999</v>
      </c>
      <c r="T894" s="4" t="s">
        <v>2991</v>
      </c>
    </row>
    <row r="895" spans="1:20" x14ac:dyDescent="0.2">
      <c r="A895" s="4" t="s">
        <v>2294</v>
      </c>
      <c r="B895" s="4" t="s">
        <v>2987</v>
      </c>
      <c r="C895" s="4" t="s">
        <v>2286</v>
      </c>
      <c r="D895" s="4" t="s">
        <v>2236</v>
      </c>
      <c r="E895" s="4" t="s">
        <v>3001</v>
      </c>
      <c r="F895" s="4" t="s">
        <v>2989</v>
      </c>
      <c r="G895" s="4" t="s">
        <v>2294</v>
      </c>
      <c r="H895" s="4" t="s">
        <v>2183</v>
      </c>
      <c r="I895" s="4" t="s">
        <v>2100</v>
      </c>
      <c r="J895" s="4" t="s">
        <v>2990</v>
      </c>
      <c r="K895">
        <v>3</v>
      </c>
      <c r="L895">
        <v>0.91439999999999999</v>
      </c>
      <c r="M895">
        <v>184.15</v>
      </c>
      <c r="N895">
        <v>184.15</v>
      </c>
      <c r="O895">
        <v>36</v>
      </c>
      <c r="P895">
        <v>7.2500000000000009</v>
      </c>
      <c r="Q895">
        <v>7.2500000000000009</v>
      </c>
      <c r="R895">
        <v>96.748000000000005</v>
      </c>
      <c r="S895">
        <v>3.1008421854E-2</v>
      </c>
      <c r="T895" s="4" t="s">
        <v>3002</v>
      </c>
    </row>
    <row r="896" spans="1:20" x14ac:dyDescent="0.2">
      <c r="A896" s="4" t="s">
        <v>2294</v>
      </c>
      <c r="B896" s="4" t="s">
        <v>2987</v>
      </c>
      <c r="C896" s="4" t="s">
        <v>2286</v>
      </c>
      <c r="D896" s="4" t="s">
        <v>2236</v>
      </c>
      <c r="E896" s="4" t="s">
        <v>3003</v>
      </c>
      <c r="F896" s="4" t="s">
        <v>2989</v>
      </c>
      <c r="G896" s="4" t="s">
        <v>2294</v>
      </c>
      <c r="H896" s="4" t="s">
        <v>2183</v>
      </c>
      <c r="I896" s="4" t="s">
        <v>2100</v>
      </c>
      <c r="J896" s="4" t="s">
        <v>2990</v>
      </c>
      <c r="K896">
        <v>4</v>
      </c>
      <c r="L896">
        <v>1.2192000000000001</v>
      </c>
      <c r="M896">
        <v>184.15</v>
      </c>
      <c r="N896">
        <v>184.15</v>
      </c>
      <c r="O896">
        <v>48.000000000000007</v>
      </c>
      <c r="P896">
        <v>7.2500000000000009</v>
      </c>
      <c r="Q896">
        <v>7.2500000000000009</v>
      </c>
      <c r="R896">
        <v>96.748000000000005</v>
      </c>
      <c r="S896">
        <v>4.134456247200001E-2</v>
      </c>
      <c r="T896" s="4" t="s">
        <v>3002</v>
      </c>
    </row>
    <row r="897" spans="1:20" x14ac:dyDescent="0.2">
      <c r="A897" s="4" t="s">
        <v>2294</v>
      </c>
      <c r="B897" s="4" t="s">
        <v>2987</v>
      </c>
      <c r="C897" s="4" t="s">
        <v>2286</v>
      </c>
      <c r="D897" s="4" t="s">
        <v>2236</v>
      </c>
      <c r="E897" s="4" t="s">
        <v>3004</v>
      </c>
      <c r="F897" s="4" t="s">
        <v>2989</v>
      </c>
      <c r="G897" s="4" t="s">
        <v>2294</v>
      </c>
      <c r="H897" s="4" t="s">
        <v>2183</v>
      </c>
      <c r="I897" s="4" t="s">
        <v>2100</v>
      </c>
      <c r="J897" s="4" t="s">
        <v>2990</v>
      </c>
      <c r="K897">
        <v>5</v>
      </c>
      <c r="L897">
        <v>1.524</v>
      </c>
      <c r="M897">
        <v>184.15</v>
      </c>
      <c r="N897">
        <v>184.15</v>
      </c>
      <c r="O897">
        <v>60</v>
      </c>
      <c r="P897">
        <v>7.2500000000000009</v>
      </c>
      <c r="Q897">
        <v>7.2500000000000009</v>
      </c>
      <c r="R897">
        <v>96.748000000000005</v>
      </c>
      <c r="S897">
        <v>5.1680703090000009E-2</v>
      </c>
      <c r="T897" s="4" t="s">
        <v>3002</v>
      </c>
    </row>
    <row r="898" spans="1:20" x14ac:dyDescent="0.2">
      <c r="A898" s="4" t="s">
        <v>2294</v>
      </c>
      <c r="B898" s="4" t="s">
        <v>2987</v>
      </c>
      <c r="C898" s="4" t="s">
        <v>2286</v>
      </c>
      <c r="D898" s="4" t="s">
        <v>2236</v>
      </c>
      <c r="E898" s="4" t="s">
        <v>3005</v>
      </c>
      <c r="F898" s="4" t="s">
        <v>2989</v>
      </c>
      <c r="G898" s="4" t="s">
        <v>2294</v>
      </c>
      <c r="H898" s="4" t="s">
        <v>2183</v>
      </c>
      <c r="I898" s="4" t="s">
        <v>2100</v>
      </c>
      <c r="J898" s="4" t="s">
        <v>2990</v>
      </c>
      <c r="K898">
        <v>6</v>
      </c>
      <c r="L898">
        <v>1.8288</v>
      </c>
      <c r="M898">
        <v>184.15</v>
      </c>
      <c r="N898">
        <v>184.15</v>
      </c>
      <c r="O898">
        <v>72</v>
      </c>
      <c r="P898">
        <v>7.2500000000000009</v>
      </c>
      <c r="Q898">
        <v>7.2500000000000009</v>
      </c>
      <c r="R898">
        <v>96.748000000000005</v>
      </c>
      <c r="S898">
        <v>6.2016843708000001E-2</v>
      </c>
      <c r="T898" s="4" t="s">
        <v>3002</v>
      </c>
    </row>
    <row r="899" spans="1:20" x14ac:dyDescent="0.2">
      <c r="A899" s="4" t="s">
        <v>2294</v>
      </c>
      <c r="B899" s="4" t="s">
        <v>2987</v>
      </c>
      <c r="C899" s="4" t="s">
        <v>2286</v>
      </c>
      <c r="D899" s="4" t="s">
        <v>2236</v>
      </c>
      <c r="E899" s="4" t="s">
        <v>3006</v>
      </c>
      <c r="F899" s="4" t="s">
        <v>2989</v>
      </c>
      <c r="G899" s="4" t="s">
        <v>2294</v>
      </c>
      <c r="H899" s="4" t="s">
        <v>2183</v>
      </c>
      <c r="I899" s="4" t="s">
        <v>2100</v>
      </c>
      <c r="J899" s="4" t="s">
        <v>2990</v>
      </c>
      <c r="K899">
        <v>7</v>
      </c>
      <c r="L899">
        <v>2.1335999999999999</v>
      </c>
      <c r="M899">
        <v>184.15</v>
      </c>
      <c r="N899">
        <v>184.15</v>
      </c>
      <c r="O899">
        <v>84</v>
      </c>
      <c r="P899">
        <v>7.2500000000000009</v>
      </c>
      <c r="Q899">
        <v>7.2500000000000009</v>
      </c>
      <c r="R899">
        <v>96.748000000000005</v>
      </c>
      <c r="S899">
        <v>7.2352984326000014E-2</v>
      </c>
      <c r="T899" s="4" t="s">
        <v>3002</v>
      </c>
    </row>
    <row r="900" spans="1:20" x14ac:dyDescent="0.2">
      <c r="A900" s="4" t="s">
        <v>2294</v>
      </c>
      <c r="B900" s="4" t="s">
        <v>2987</v>
      </c>
      <c r="C900" s="4" t="s">
        <v>2096</v>
      </c>
      <c r="D900" s="4" t="s">
        <v>2236</v>
      </c>
      <c r="E900" s="4" t="s">
        <v>272</v>
      </c>
      <c r="F900" s="4" t="s">
        <v>2989</v>
      </c>
      <c r="G900" s="4" t="s">
        <v>2294</v>
      </c>
      <c r="H900" s="4" t="s">
        <v>2183</v>
      </c>
      <c r="I900" s="4" t="s">
        <v>2100</v>
      </c>
      <c r="J900" s="4" t="s">
        <v>2990</v>
      </c>
      <c r="K900">
        <v>8</v>
      </c>
      <c r="L900">
        <v>2.4384000000000001</v>
      </c>
      <c r="M900">
        <v>184.15</v>
      </c>
      <c r="N900">
        <v>184.15</v>
      </c>
      <c r="O900">
        <v>96.000000000000014</v>
      </c>
      <c r="P900">
        <v>7.2500000000000009</v>
      </c>
      <c r="Q900">
        <v>7.2500000000000009</v>
      </c>
      <c r="R900">
        <v>96.748000000000005</v>
      </c>
      <c r="S900">
        <v>8.268912494400002E-2</v>
      </c>
      <c r="T900" s="4" t="s">
        <v>2991</v>
      </c>
    </row>
    <row r="901" spans="1:20" x14ac:dyDescent="0.2">
      <c r="A901" s="4" t="s">
        <v>2294</v>
      </c>
      <c r="B901" s="4" t="s">
        <v>2987</v>
      </c>
      <c r="C901" s="4" t="s">
        <v>2096</v>
      </c>
      <c r="D901" s="4" t="s">
        <v>2236</v>
      </c>
      <c r="E901" s="4" t="s">
        <v>3007</v>
      </c>
      <c r="F901" s="4" t="s">
        <v>2989</v>
      </c>
      <c r="G901" s="4" t="s">
        <v>2294</v>
      </c>
      <c r="H901" s="4" t="s">
        <v>2183</v>
      </c>
      <c r="I901" s="4" t="s">
        <v>2100</v>
      </c>
      <c r="J901" s="4" t="s">
        <v>2990</v>
      </c>
      <c r="K901">
        <v>9</v>
      </c>
      <c r="L901">
        <v>2.7431999999999999</v>
      </c>
      <c r="M901">
        <v>184.15</v>
      </c>
      <c r="N901">
        <v>184.15</v>
      </c>
      <c r="O901">
        <v>108</v>
      </c>
      <c r="P901">
        <v>7.2500000000000009</v>
      </c>
      <c r="Q901">
        <v>7.2500000000000009</v>
      </c>
      <c r="R901">
        <v>96.748000000000005</v>
      </c>
      <c r="S901">
        <v>9.3025265561999998E-2</v>
      </c>
      <c r="T901" s="4" t="s">
        <v>2991</v>
      </c>
    </row>
    <row r="902" spans="1:20" x14ac:dyDescent="0.2">
      <c r="A902" s="4" t="s">
        <v>2294</v>
      </c>
      <c r="B902" s="4" t="s">
        <v>2416</v>
      </c>
      <c r="C902" s="4" t="s">
        <v>2096</v>
      </c>
      <c r="D902" s="4" t="s">
        <v>2236</v>
      </c>
      <c r="E902" s="4" t="s">
        <v>3008</v>
      </c>
      <c r="F902" s="4" t="s">
        <v>3009</v>
      </c>
      <c r="G902" s="4" t="s">
        <v>2294</v>
      </c>
      <c r="H902" s="4" t="s">
        <v>3010</v>
      </c>
      <c r="I902" s="4" t="s">
        <v>2100</v>
      </c>
      <c r="J902" s="4" t="s">
        <v>2153</v>
      </c>
      <c r="K902">
        <v>11</v>
      </c>
      <c r="L902">
        <v>3.3527999999999998</v>
      </c>
      <c r="M902">
        <v>19.05</v>
      </c>
      <c r="N902">
        <v>139.69999999999999</v>
      </c>
      <c r="O902">
        <v>132</v>
      </c>
      <c r="P902">
        <v>0.75000000000000011</v>
      </c>
      <c r="Q902">
        <v>5.5</v>
      </c>
      <c r="R902">
        <v>1232.8030000000001</v>
      </c>
      <c r="S902">
        <v>8.922756347999999E-3</v>
      </c>
      <c r="T902" s="4" t="s">
        <v>3011</v>
      </c>
    </row>
    <row r="903" spans="1:20" x14ac:dyDescent="0.2">
      <c r="A903" s="4" t="s">
        <v>2294</v>
      </c>
      <c r="B903" s="4" t="s">
        <v>2416</v>
      </c>
      <c r="C903" s="4" t="s">
        <v>2096</v>
      </c>
      <c r="D903" s="4" t="s">
        <v>2236</v>
      </c>
      <c r="E903" s="4" t="s">
        <v>3012</v>
      </c>
      <c r="F903" s="4" t="s">
        <v>3009</v>
      </c>
      <c r="G903" s="4" t="s">
        <v>2294</v>
      </c>
      <c r="H903" s="4" t="s">
        <v>3010</v>
      </c>
      <c r="I903" s="4" t="s">
        <v>2100</v>
      </c>
      <c r="J903" s="4" t="s">
        <v>2153</v>
      </c>
      <c r="K903">
        <v>13</v>
      </c>
      <c r="L903">
        <v>3.9624000000000001</v>
      </c>
      <c r="M903">
        <v>19.05</v>
      </c>
      <c r="N903">
        <v>139.69999999999999</v>
      </c>
      <c r="O903">
        <v>156</v>
      </c>
      <c r="P903">
        <v>0.75000000000000011</v>
      </c>
      <c r="Q903">
        <v>5.5</v>
      </c>
      <c r="R903">
        <v>1232.8030000000001</v>
      </c>
      <c r="S903">
        <v>1.0545075684E-2</v>
      </c>
      <c r="T903" s="4" t="s">
        <v>3011</v>
      </c>
    </row>
    <row r="904" spans="1:20" x14ac:dyDescent="0.2">
      <c r="A904" s="4" t="s">
        <v>2294</v>
      </c>
      <c r="B904" s="4" t="s">
        <v>2416</v>
      </c>
      <c r="C904" s="4" t="s">
        <v>2096</v>
      </c>
      <c r="D904" s="4" t="s">
        <v>2236</v>
      </c>
      <c r="E904" s="4" t="s">
        <v>3013</v>
      </c>
      <c r="F904" s="4" t="s">
        <v>3009</v>
      </c>
      <c r="G904" s="4" t="s">
        <v>2294</v>
      </c>
      <c r="H904" s="4" t="s">
        <v>3010</v>
      </c>
      <c r="I904" s="4" t="s">
        <v>2100</v>
      </c>
      <c r="J904" s="4" t="s">
        <v>2153</v>
      </c>
      <c r="K904">
        <v>15</v>
      </c>
      <c r="L904">
        <v>4.5720000000000001</v>
      </c>
      <c r="M904">
        <v>19.05</v>
      </c>
      <c r="N904">
        <v>139.69999999999999</v>
      </c>
      <c r="O904">
        <v>180</v>
      </c>
      <c r="P904">
        <v>0.75000000000000011</v>
      </c>
      <c r="Q904">
        <v>5.5</v>
      </c>
      <c r="R904">
        <v>1232.8030000000001</v>
      </c>
      <c r="S904">
        <v>1.2167395020000001E-2</v>
      </c>
      <c r="T904" s="4" t="s">
        <v>3011</v>
      </c>
    </row>
    <row r="905" spans="1:20" x14ac:dyDescent="0.2">
      <c r="A905" s="4" t="s">
        <v>2294</v>
      </c>
      <c r="B905" s="4" t="s">
        <v>2416</v>
      </c>
      <c r="C905" s="4" t="s">
        <v>2286</v>
      </c>
      <c r="D905" s="4" t="s">
        <v>2236</v>
      </c>
      <c r="E905" s="4" t="s">
        <v>3014</v>
      </c>
      <c r="F905" s="4" t="s">
        <v>3009</v>
      </c>
      <c r="G905" s="4" t="s">
        <v>2294</v>
      </c>
      <c r="H905" s="4" t="s">
        <v>3010</v>
      </c>
      <c r="I905" s="4" t="s">
        <v>2100</v>
      </c>
      <c r="J905" s="4" t="s">
        <v>2153</v>
      </c>
      <c r="K905">
        <v>7</v>
      </c>
      <c r="L905">
        <v>2.1335999999999999</v>
      </c>
      <c r="M905">
        <v>19.05</v>
      </c>
      <c r="N905">
        <v>139.69999999999999</v>
      </c>
      <c r="O905">
        <v>84</v>
      </c>
      <c r="P905">
        <v>0.75000000000000011</v>
      </c>
      <c r="Q905">
        <v>5.5</v>
      </c>
      <c r="R905">
        <v>1232.8030000000001</v>
      </c>
      <c r="S905">
        <v>5.6781176759999998E-3</v>
      </c>
      <c r="T905" s="4" t="s">
        <v>3015</v>
      </c>
    </row>
    <row r="906" spans="1:20" x14ac:dyDescent="0.2">
      <c r="A906" s="4" t="s">
        <v>2294</v>
      </c>
      <c r="B906" s="4" t="s">
        <v>2416</v>
      </c>
      <c r="C906" s="4" t="s">
        <v>2096</v>
      </c>
      <c r="D906" s="4" t="s">
        <v>2236</v>
      </c>
      <c r="E906" s="4" t="s">
        <v>3016</v>
      </c>
      <c r="F906" s="4" t="s">
        <v>3009</v>
      </c>
      <c r="G906" s="4" t="s">
        <v>2294</v>
      </c>
      <c r="H906" s="4" t="s">
        <v>3010</v>
      </c>
      <c r="I906" s="4" t="s">
        <v>2100</v>
      </c>
      <c r="J906" s="4" t="s">
        <v>2153</v>
      </c>
      <c r="K906">
        <v>9</v>
      </c>
      <c r="L906">
        <v>2.7431999999999999</v>
      </c>
      <c r="M906">
        <v>19.05</v>
      </c>
      <c r="N906">
        <v>139.69999999999999</v>
      </c>
      <c r="O906">
        <v>108</v>
      </c>
      <c r="P906">
        <v>0.75000000000000011</v>
      </c>
      <c r="Q906">
        <v>5.5</v>
      </c>
      <c r="R906">
        <v>1232.8030000000001</v>
      </c>
      <c r="S906">
        <v>7.3004370119999999E-3</v>
      </c>
      <c r="T906" s="4" t="s">
        <v>3011</v>
      </c>
    </row>
    <row r="907" spans="1:20" x14ac:dyDescent="0.2">
      <c r="A907" s="4" t="s">
        <v>2294</v>
      </c>
      <c r="B907" s="4" t="s">
        <v>3017</v>
      </c>
      <c r="C907" s="4" t="s">
        <v>3018</v>
      </c>
      <c r="D907" s="4" t="s">
        <v>2236</v>
      </c>
      <c r="E907" s="4" t="s">
        <v>483</v>
      </c>
      <c r="F907" s="4" t="s">
        <v>3019</v>
      </c>
      <c r="G907" s="4" t="s">
        <v>2294</v>
      </c>
      <c r="H907" s="4" t="s">
        <v>3018</v>
      </c>
      <c r="I907" s="4" t="s">
        <v>2100</v>
      </c>
      <c r="J907" s="4" t="s">
        <v>3020</v>
      </c>
      <c r="K907">
        <v>24</v>
      </c>
      <c r="L907">
        <v>0.60640000000000005</v>
      </c>
      <c r="M907">
        <v>19</v>
      </c>
      <c r="N907">
        <v>71</v>
      </c>
      <c r="O907">
        <v>23.8740157480315</v>
      </c>
      <c r="P907">
        <v>0.74803149606299213</v>
      </c>
      <c r="Q907">
        <v>2.7952755905511815</v>
      </c>
      <c r="R907">
        <v>2432.0529999999999</v>
      </c>
      <c r="S907">
        <v>8.1803360000000012E-4</v>
      </c>
      <c r="T907" s="4" t="s">
        <v>3021</v>
      </c>
    </row>
    <row r="908" spans="1:20" x14ac:dyDescent="0.2">
      <c r="A908" s="4" t="s">
        <v>2294</v>
      </c>
      <c r="B908" s="4" t="s">
        <v>3022</v>
      </c>
      <c r="C908" s="4" t="s">
        <v>3018</v>
      </c>
      <c r="D908" s="4" t="s">
        <v>2236</v>
      </c>
      <c r="E908" s="4" t="s">
        <v>485</v>
      </c>
      <c r="F908" s="4" t="s">
        <v>3023</v>
      </c>
      <c r="G908" s="4" t="s">
        <v>2294</v>
      </c>
      <c r="H908" s="4" t="s">
        <v>3018</v>
      </c>
      <c r="I908" s="4" t="s">
        <v>2100</v>
      </c>
      <c r="J908" s="4" t="s">
        <v>3024</v>
      </c>
      <c r="K908">
        <v>48</v>
      </c>
      <c r="L908">
        <v>1.2192000000000001</v>
      </c>
      <c r="M908">
        <v>19</v>
      </c>
      <c r="N908">
        <v>71</v>
      </c>
      <c r="O908">
        <v>48.000000000000007</v>
      </c>
      <c r="P908">
        <v>0.74803149606299213</v>
      </c>
      <c r="Q908">
        <v>2.7952755905511815</v>
      </c>
      <c r="R908">
        <v>2432.0529999999999</v>
      </c>
      <c r="S908">
        <v>1.6447007999999999E-3</v>
      </c>
      <c r="T908" s="4" t="s">
        <v>3025</v>
      </c>
    </row>
    <row r="909" spans="1:20" x14ac:dyDescent="0.2">
      <c r="A909" s="4" t="s">
        <v>3026</v>
      </c>
      <c r="B909" s="4" t="s">
        <v>3027</v>
      </c>
      <c r="C909" s="4" t="s">
        <v>2096</v>
      </c>
      <c r="D909" s="4" t="s">
        <v>2236</v>
      </c>
      <c r="E909" s="4" t="s">
        <v>3028</v>
      </c>
      <c r="F909" s="4" t="s">
        <v>3029</v>
      </c>
      <c r="G909" s="4" t="s">
        <v>3026</v>
      </c>
      <c r="H909" s="4" t="s">
        <v>2183</v>
      </c>
      <c r="I909" s="4" t="s">
        <v>2100</v>
      </c>
      <c r="J909" s="4" t="s">
        <v>2410</v>
      </c>
      <c r="K909">
        <v>10</v>
      </c>
      <c r="L909">
        <v>3.048</v>
      </c>
      <c r="M909">
        <v>21</v>
      </c>
      <c r="N909">
        <v>145</v>
      </c>
      <c r="O909">
        <v>120</v>
      </c>
      <c r="P909">
        <v>0.82677165354330717</v>
      </c>
      <c r="Q909">
        <v>5.7086614173228352</v>
      </c>
      <c r="R909">
        <v>1077.452</v>
      </c>
      <c r="S909">
        <v>9.2811600000000001E-3</v>
      </c>
      <c r="T909" s="4" t="s">
        <v>3030</v>
      </c>
    </row>
    <row r="910" spans="1:20" x14ac:dyDescent="0.2">
      <c r="A910" s="4" t="s">
        <v>3026</v>
      </c>
      <c r="B910" s="4" t="s">
        <v>3027</v>
      </c>
      <c r="C910" s="4" t="s">
        <v>2096</v>
      </c>
      <c r="D910" s="4" t="s">
        <v>2236</v>
      </c>
      <c r="E910" s="4" t="s">
        <v>3031</v>
      </c>
      <c r="F910" s="4" t="s">
        <v>3029</v>
      </c>
      <c r="G910" s="4" t="s">
        <v>3026</v>
      </c>
      <c r="H910" s="4" t="s">
        <v>2183</v>
      </c>
      <c r="I910" s="4" t="s">
        <v>2100</v>
      </c>
      <c r="J910" s="4" t="s">
        <v>2410</v>
      </c>
      <c r="K910">
        <v>11</v>
      </c>
      <c r="L910">
        <v>3.3528000000000002</v>
      </c>
      <c r="M910">
        <v>21</v>
      </c>
      <c r="N910">
        <v>145</v>
      </c>
      <c r="O910">
        <v>132</v>
      </c>
      <c r="P910">
        <v>0.82677165354330717</v>
      </c>
      <c r="Q910">
        <v>5.7086614173228352</v>
      </c>
      <c r="R910">
        <v>1077.452</v>
      </c>
      <c r="S910">
        <v>1.0209276E-2</v>
      </c>
      <c r="T910" s="4" t="s">
        <v>3030</v>
      </c>
    </row>
    <row r="911" spans="1:20" x14ac:dyDescent="0.2">
      <c r="A911" s="4" t="s">
        <v>3026</v>
      </c>
      <c r="B911" s="4" t="s">
        <v>3027</v>
      </c>
      <c r="C911" s="4" t="s">
        <v>2096</v>
      </c>
      <c r="D911" s="4" t="s">
        <v>2236</v>
      </c>
      <c r="E911" s="4" t="s">
        <v>3032</v>
      </c>
      <c r="F911" s="4" t="s">
        <v>3029</v>
      </c>
      <c r="G911" s="4" t="s">
        <v>3026</v>
      </c>
      <c r="H911" s="4" t="s">
        <v>2183</v>
      </c>
      <c r="I911" s="4" t="s">
        <v>2100</v>
      </c>
      <c r="J911" s="4" t="s">
        <v>2410</v>
      </c>
      <c r="K911">
        <v>12</v>
      </c>
      <c r="L911">
        <v>3.6576000000000004</v>
      </c>
      <c r="M911">
        <v>21</v>
      </c>
      <c r="N911">
        <v>145</v>
      </c>
      <c r="O911">
        <v>144.00000000000003</v>
      </c>
      <c r="P911">
        <v>0.82677165354330717</v>
      </c>
      <c r="Q911">
        <v>5.7086614173228352</v>
      </c>
      <c r="R911">
        <v>1077.452</v>
      </c>
      <c r="S911">
        <v>1.1137391999999999E-2</v>
      </c>
      <c r="T911" s="4" t="s">
        <v>3030</v>
      </c>
    </row>
    <row r="912" spans="1:20" x14ac:dyDescent="0.2">
      <c r="A912" s="4" t="s">
        <v>3026</v>
      </c>
      <c r="B912" s="4" t="s">
        <v>3027</v>
      </c>
      <c r="C912" s="4" t="s">
        <v>2096</v>
      </c>
      <c r="D912" s="4" t="s">
        <v>2236</v>
      </c>
      <c r="E912" s="4" t="s">
        <v>3033</v>
      </c>
      <c r="F912" s="4" t="s">
        <v>3029</v>
      </c>
      <c r="G912" s="4" t="s">
        <v>3026</v>
      </c>
      <c r="H912" s="4" t="s">
        <v>2183</v>
      </c>
      <c r="I912" s="4" t="s">
        <v>2100</v>
      </c>
      <c r="J912" s="4" t="s">
        <v>2410</v>
      </c>
      <c r="K912">
        <v>13</v>
      </c>
      <c r="L912">
        <v>3.9624000000000001</v>
      </c>
      <c r="M912">
        <v>21</v>
      </c>
      <c r="N912">
        <v>145</v>
      </c>
      <c r="O912">
        <v>156</v>
      </c>
      <c r="P912">
        <v>0.82677165354330717</v>
      </c>
      <c r="Q912">
        <v>5.7086614173228352</v>
      </c>
      <c r="R912">
        <v>1077.452</v>
      </c>
      <c r="S912">
        <v>1.2065508000000001E-2</v>
      </c>
      <c r="T912" s="4" t="s">
        <v>3030</v>
      </c>
    </row>
    <row r="913" spans="1:20" x14ac:dyDescent="0.2">
      <c r="A913" s="4" t="s">
        <v>3026</v>
      </c>
      <c r="B913" s="4" t="s">
        <v>3027</v>
      </c>
      <c r="C913" s="4" t="s">
        <v>2096</v>
      </c>
      <c r="D913" s="4" t="s">
        <v>2236</v>
      </c>
      <c r="E913" s="4" t="s">
        <v>3034</v>
      </c>
      <c r="F913" s="4" t="s">
        <v>3029</v>
      </c>
      <c r="G913" s="4" t="s">
        <v>3026</v>
      </c>
      <c r="H913" s="4" t="s">
        <v>2183</v>
      </c>
      <c r="I913" s="4" t="s">
        <v>2100</v>
      </c>
      <c r="J913" s="4" t="s">
        <v>2410</v>
      </c>
      <c r="K913">
        <v>14</v>
      </c>
      <c r="L913">
        <v>4.2671999999999999</v>
      </c>
      <c r="M913">
        <v>21</v>
      </c>
      <c r="N913">
        <v>145</v>
      </c>
      <c r="O913">
        <v>168</v>
      </c>
      <c r="P913">
        <v>0.82677165354330717</v>
      </c>
      <c r="Q913">
        <v>5.7086614173228352</v>
      </c>
      <c r="R913">
        <v>1077.452</v>
      </c>
      <c r="S913">
        <v>1.2993624E-2</v>
      </c>
      <c r="T913" s="4" t="s">
        <v>3030</v>
      </c>
    </row>
    <row r="914" spans="1:20" x14ac:dyDescent="0.2">
      <c r="A914" s="4" t="s">
        <v>3026</v>
      </c>
      <c r="B914" s="4" t="s">
        <v>3027</v>
      </c>
      <c r="C914" s="4" t="s">
        <v>2096</v>
      </c>
      <c r="D914" s="4" t="s">
        <v>2236</v>
      </c>
      <c r="E914" s="4" t="s">
        <v>3035</v>
      </c>
      <c r="F914" s="4" t="s">
        <v>3029</v>
      </c>
      <c r="G914" s="4" t="s">
        <v>3026</v>
      </c>
      <c r="H914" s="4" t="s">
        <v>2183</v>
      </c>
      <c r="I914" s="4" t="s">
        <v>2100</v>
      </c>
      <c r="J914" s="4" t="s">
        <v>2410</v>
      </c>
      <c r="K914">
        <v>15</v>
      </c>
      <c r="L914">
        <v>4.5720000000000001</v>
      </c>
      <c r="M914">
        <v>21</v>
      </c>
      <c r="N914">
        <v>145</v>
      </c>
      <c r="O914">
        <v>180</v>
      </c>
      <c r="P914">
        <v>0.82677165354330717</v>
      </c>
      <c r="Q914">
        <v>5.7086614173228352</v>
      </c>
      <c r="R914">
        <v>1077.452</v>
      </c>
      <c r="S914">
        <v>1.392174E-2</v>
      </c>
      <c r="T914" s="4" t="s">
        <v>3030</v>
      </c>
    </row>
    <row r="915" spans="1:20" x14ac:dyDescent="0.2">
      <c r="A915" s="4" t="s">
        <v>3026</v>
      </c>
      <c r="B915" s="4" t="s">
        <v>3027</v>
      </c>
      <c r="C915" s="4" t="s">
        <v>2096</v>
      </c>
      <c r="D915" s="4" t="s">
        <v>2236</v>
      </c>
      <c r="E915" s="4" t="s">
        <v>3036</v>
      </c>
      <c r="F915" s="4" t="s">
        <v>3029</v>
      </c>
      <c r="G915" s="4" t="s">
        <v>3026</v>
      </c>
      <c r="H915" s="4" t="s">
        <v>2183</v>
      </c>
      <c r="I915" s="4" t="s">
        <v>2100</v>
      </c>
      <c r="J915" s="4" t="s">
        <v>2410</v>
      </c>
      <c r="K915">
        <v>16</v>
      </c>
      <c r="L915">
        <v>4.8768000000000002</v>
      </c>
      <c r="M915">
        <v>21</v>
      </c>
      <c r="N915">
        <v>145</v>
      </c>
      <c r="O915">
        <v>192.00000000000003</v>
      </c>
      <c r="P915">
        <v>0.82677165354330717</v>
      </c>
      <c r="Q915">
        <v>5.7086614173228352</v>
      </c>
      <c r="R915">
        <v>1077.452</v>
      </c>
      <c r="S915">
        <v>1.4849856E-2</v>
      </c>
      <c r="T915" s="4" t="s">
        <v>3030</v>
      </c>
    </row>
    <row r="916" spans="1:20" x14ac:dyDescent="0.2">
      <c r="A916" s="4" t="s">
        <v>3026</v>
      </c>
      <c r="B916" s="4" t="s">
        <v>3027</v>
      </c>
      <c r="C916" s="4" t="s">
        <v>2096</v>
      </c>
      <c r="D916" s="4" t="s">
        <v>2236</v>
      </c>
      <c r="E916" s="4" t="s">
        <v>3037</v>
      </c>
      <c r="F916" s="4" t="s">
        <v>3029</v>
      </c>
      <c r="G916" s="4" t="s">
        <v>3026</v>
      </c>
      <c r="H916" s="4" t="s">
        <v>2183</v>
      </c>
      <c r="I916" s="4" t="s">
        <v>2100</v>
      </c>
      <c r="J916" s="4" t="s">
        <v>2410</v>
      </c>
      <c r="K916">
        <v>17</v>
      </c>
      <c r="L916">
        <v>5.1816000000000004</v>
      </c>
      <c r="M916">
        <v>21</v>
      </c>
      <c r="N916">
        <v>145</v>
      </c>
      <c r="O916">
        <v>204.00000000000003</v>
      </c>
      <c r="P916">
        <v>0.82677165354330717</v>
      </c>
      <c r="Q916">
        <v>5.7086614173228352</v>
      </c>
      <c r="R916">
        <v>1077.452</v>
      </c>
      <c r="S916">
        <v>1.5777972000000001E-2</v>
      </c>
      <c r="T916" s="4" t="s">
        <v>3030</v>
      </c>
    </row>
    <row r="917" spans="1:20" x14ac:dyDescent="0.2">
      <c r="A917" s="4" t="s">
        <v>3026</v>
      </c>
      <c r="B917" s="4" t="s">
        <v>3027</v>
      </c>
      <c r="C917" s="4" t="s">
        <v>2096</v>
      </c>
      <c r="D917" s="4" t="s">
        <v>2236</v>
      </c>
      <c r="E917" s="4" t="s">
        <v>3038</v>
      </c>
      <c r="F917" s="4" t="s">
        <v>3029</v>
      </c>
      <c r="G917" s="4" t="s">
        <v>3026</v>
      </c>
      <c r="H917" s="4" t="s">
        <v>2183</v>
      </c>
      <c r="I917" s="4" t="s">
        <v>2100</v>
      </c>
      <c r="J917" s="4" t="s">
        <v>2410</v>
      </c>
      <c r="K917">
        <v>18</v>
      </c>
      <c r="L917">
        <v>5.4864000000000006</v>
      </c>
      <c r="M917">
        <v>21</v>
      </c>
      <c r="N917">
        <v>145</v>
      </c>
      <c r="O917">
        <v>216.00000000000003</v>
      </c>
      <c r="P917">
        <v>0.82677165354330717</v>
      </c>
      <c r="Q917">
        <v>5.7086614173228352</v>
      </c>
      <c r="R917">
        <v>1077.452</v>
      </c>
      <c r="S917">
        <v>1.6706088000000001E-2</v>
      </c>
      <c r="T917" s="4" t="s">
        <v>3030</v>
      </c>
    </row>
    <row r="918" spans="1:20" x14ac:dyDescent="0.2">
      <c r="A918" s="4" t="s">
        <v>3026</v>
      </c>
      <c r="B918" s="4" t="s">
        <v>3027</v>
      </c>
      <c r="C918" s="4" t="s">
        <v>2096</v>
      </c>
      <c r="D918" s="4" t="s">
        <v>2236</v>
      </c>
      <c r="E918" s="4" t="s">
        <v>3039</v>
      </c>
      <c r="F918" s="4" t="s">
        <v>3029</v>
      </c>
      <c r="G918" s="4" t="s">
        <v>3026</v>
      </c>
      <c r="H918" s="4" t="s">
        <v>2183</v>
      </c>
      <c r="I918" s="4" t="s">
        <v>2100</v>
      </c>
      <c r="J918" s="4" t="s">
        <v>2410</v>
      </c>
      <c r="K918">
        <v>19</v>
      </c>
      <c r="L918">
        <v>5.7911999999999999</v>
      </c>
      <c r="M918">
        <v>21</v>
      </c>
      <c r="N918">
        <v>145</v>
      </c>
      <c r="O918">
        <v>228</v>
      </c>
      <c r="P918">
        <v>0.82677165354330717</v>
      </c>
      <c r="Q918">
        <v>5.7086614173228352</v>
      </c>
      <c r="R918">
        <v>1077.452</v>
      </c>
      <c r="S918">
        <v>1.7634204000000001E-2</v>
      </c>
      <c r="T918" s="4" t="s">
        <v>3030</v>
      </c>
    </row>
    <row r="919" spans="1:20" x14ac:dyDescent="0.2">
      <c r="A919" s="4" t="s">
        <v>3026</v>
      </c>
      <c r="B919" s="4" t="s">
        <v>3027</v>
      </c>
      <c r="C919" s="4" t="s">
        <v>2096</v>
      </c>
      <c r="D919" s="4" t="s">
        <v>2236</v>
      </c>
      <c r="E919" s="4" t="s">
        <v>3040</v>
      </c>
      <c r="F919" s="4" t="s">
        <v>3029</v>
      </c>
      <c r="G919" s="4" t="s">
        <v>3026</v>
      </c>
      <c r="H919" s="4" t="s">
        <v>2183</v>
      </c>
      <c r="I919" s="4" t="s">
        <v>2100</v>
      </c>
      <c r="J919" s="4" t="s">
        <v>2410</v>
      </c>
      <c r="K919">
        <v>20</v>
      </c>
      <c r="L919">
        <v>6.0960000000000001</v>
      </c>
      <c r="M919">
        <v>21</v>
      </c>
      <c r="N919">
        <v>145</v>
      </c>
      <c r="O919">
        <v>240</v>
      </c>
      <c r="P919">
        <v>0.82677165354330717</v>
      </c>
      <c r="Q919">
        <v>5.7086614173228352</v>
      </c>
      <c r="R919">
        <v>1077.452</v>
      </c>
      <c r="S919">
        <v>1.856232E-2</v>
      </c>
      <c r="T919" s="4" t="s">
        <v>3030</v>
      </c>
    </row>
    <row r="920" spans="1:20" x14ac:dyDescent="0.2">
      <c r="A920" s="4" t="s">
        <v>3026</v>
      </c>
      <c r="B920" s="4" t="s">
        <v>3027</v>
      </c>
      <c r="C920" s="4" t="s">
        <v>2096</v>
      </c>
      <c r="D920" s="4" t="s">
        <v>2236</v>
      </c>
      <c r="E920" s="4" t="s">
        <v>3041</v>
      </c>
      <c r="F920" s="4" t="s">
        <v>3029</v>
      </c>
      <c r="G920" s="4" t="s">
        <v>3026</v>
      </c>
      <c r="H920" s="4" t="s">
        <v>2183</v>
      </c>
      <c r="I920" s="4" t="s">
        <v>2100</v>
      </c>
      <c r="J920" s="4" t="s">
        <v>2410</v>
      </c>
      <c r="K920">
        <v>21</v>
      </c>
      <c r="L920">
        <v>6.4008000000000003</v>
      </c>
      <c r="M920">
        <v>21</v>
      </c>
      <c r="N920">
        <v>145</v>
      </c>
      <c r="O920">
        <v>252.00000000000003</v>
      </c>
      <c r="P920">
        <v>0.82677165354330717</v>
      </c>
      <c r="Q920">
        <v>5.7086614173228352</v>
      </c>
      <c r="R920">
        <v>1077.452</v>
      </c>
      <c r="S920">
        <v>1.9490436E-2</v>
      </c>
      <c r="T920" s="4" t="s">
        <v>3030</v>
      </c>
    </row>
    <row r="921" spans="1:20" x14ac:dyDescent="0.2">
      <c r="A921" s="4" t="s">
        <v>3026</v>
      </c>
      <c r="B921" s="4" t="s">
        <v>3027</v>
      </c>
      <c r="C921" s="4" t="s">
        <v>2096</v>
      </c>
      <c r="D921" s="4" t="s">
        <v>2236</v>
      </c>
      <c r="E921" s="4" t="s">
        <v>3042</v>
      </c>
      <c r="F921" s="4" t="s">
        <v>3029</v>
      </c>
      <c r="G921" s="4" t="s">
        <v>3026</v>
      </c>
      <c r="H921" s="4" t="s">
        <v>2183</v>
      </c>
      <c r="I921" s="4" t="s">
        <v>2100</v>
      </c>
      <c r="J921" s="4" t="s">
        <v>2410</v>
      </c>
      <c r="K921">
        <v>22</v>
      </c>
      <c r="L921">
        <v>6.7056000000000004</v>
      </c>
      <c r="M921">
        <v>21</v>
      </c>
      <c r="N921">
        <v>145</v>
      </c>
      <c r="O921">
        <v>264</v>
      </c>
      <c r="P921">
        <v>0.82677165354330717</v>
      </c>
      <c r="Q921">
        <v>5.7086614173228352</v>
      </c>
      <c r="R921">
        <v>1077.452</v>
      </c>
      <c r="S921">
        <v>2.0418552E-2</v>
      </c>
      <c r="T921" s="4" t="s">
        <v>3030</v>
      </c>
    </row>
    <row r="922" spans="1:20" x14ac:dyDescent="0.2">
      <c r="A922" s="4" t="s">
        <v>3026</v>
      </c>
      <c r="B922" s="4" t="s">
        <v>3027</v>
      </c>
      <c r="C922" s="4" t="s">
        <v>2286</v>
      </c>
      <c r="D922" s="4" t="s">
        <v>2236</v>
      </c>
      <c r="E922" s="4" t="s">
        <v>3043</v>
      </c>
      <c r="F922" s="4" t="s">
        <v>3029</v>
      </c>
      <c r="G922" s="4" t="s">
        <v>3026</v>
      </c>
      <c r="H922" s="4" t="s">
        <v>2183</v>
      </c>
      <c r="I922" s="4" t="s">
        <v>2100</v>
      </c>
      <c r="J922" s="4" t="s">
        <v>2410</v>
      </c>
      <c r="K922">
        <v>3</v>
      </c>
      <c r="L922">
        <v>0.9144000000000001</v>
      </c>
      <c r="M922">
        <v>21</v>
      </c>
      <c r="N922">
        <v>145</v>
      </c>
      <c r="O922">
        <v>36.000000000000007</v>
      </c>
      <c r="P922">
        <v>0.82677165354330717</v>
      </c>
      <c r="Q922">
        <v>5.7086614173228352</v>
      </c>
      <c r="R922">
        <v>1077.452</v>
      </c>
      <c r="S922">
        <v>2.7843479999999999E-3</v>
      </c>
      <c r="T922" s="4" t="s">
        <v>3044</v>
      </c>
    </row>
    <row r="923" spans="1:20" x14ac:dyDescent="0.2">
      <c r="A923" s="4" t="s">
        <v>3026</v>
      </c>
      <c r="B923" s="4" t="s">
        <v>3027</v>
      </c>
      <c r="C923" s="4" t="s">
        <v>2286</v>
      </c>
      <c r="D923" s="4" t="s">
        <v>2236</v>
      </c>
      <c r="E923" s="4" t="s">
        <v>3045</v>
      </c>
      <c r="F923" s="4" t="s">
        <v>3029</v>
      </c>
      <c r="G923" s="4" t="s">
        <v>3026</v>
      </c>
      <c r="H923" s="4" t="s">
        <v>2183</v>
      </c>
      <c r="I923" s="4" t="s">
        <v>2100</v>
      </c>
      <c r="J923" s="4" t="s">
        <v>2410</v>
      </c>
      <c r="K923">
        <v>4</v>
      </c>
      <c r="L923">
        <v>1.2192000000000001</v>
      </c>
      <c r="M923">
        <v>21</v>
      </c>
      <c r="N923">
        <v>145</v>
      </c>
      <c r="O923">
        <v>48.000000000000007</v>
      </c>
      <c r="P923">
        <v>0.82677165354330717</v>
      </c>
      <c r="Q923">
        <v>5.7086614173228352</v>
      </c>
      <c r="R923">
        <v>1077.452</v>
      </c>
      <c r="S923">
        <v>3.712464E-3</v>
      </c>
      <c r="T923" s="4" t="s">
        <v>3044</v>
      </c>
    </row>
    <row r="924" spans="1:20" x14ac:dyDescent="0.2">
      <c r="A924" s="4" t="s">
        <v>3026</v>
      </c>
      <c r="B924" s="4" t="s">
        <v>3027</v>
      </c>
      <c r="C924" s="4" t="s">
        <v>2286</v>
      </c>
      <c r="D924" s="4" t="s">
        <v>2236</v>
      </c>
      <c r="E924" s="4" t="s">
        <v>3046</v>
      </c>
      <c r="F924" s="4" t="s">
        <v>3029</v>
      </c>
      <c r="G924" s="4" t="s">
        <v>3026</v>
      </c>
      <c r="H924" s="4" t="s">
        <v>2183</v>
      </c>
      <c r="I924" s="4" t="s">
        <v>2100</v>
      </c>
      <c r="J924" s="4" t="s">
        <v>2410</v>
      </c>
      <c r="K924">
        <v>5</v>
      </c>
      <c r="L924">
        <v>1.524</v>
      </c>
      <c r="M924">
        <v>21</v>
      </c>
      <c r="N924">
        <v>145</v>
      </c>
      <c r="O924">
        <v>60</v>
      </c>
      <c r="P924">
        <v>0.82677165354330717</v>
      </c>
      <c r="Q924">
        <v>5.7086614173228352</v>
      </c>
      <c r="R924">
        <v>1077.452</v>
      </c>
      <c r="S924">
        <v>4.6405800000000001E-3</v>
      </c>
      <c r="T924" s="4" t="s">
        <v>3044</v>
      </c>
    </row>
    <row r="925" spans="1:20" x14ac:dyDescent="0.2">
      <c r="A925" s="4" t="s">
        <v>3026</v>
      </c>
      <c r="B925" s="4" t="s">
        <v>3027</v>
      </c>
      <c r="C925" s="4" t="s">
        <v>2286</v>
      </c>
      <c r="D925" s="4" t="s">
        <v>2236</v>
      </c>
      <c r="E925" s="4" t="s">
        <v>3047</v>
      </c>
      <c r="F925" s="4" t="s">
        <v>3029</v>
      </c>
      <c r="G925" s="4" t="s">
        <v>3026</v>
      </c>
      <c r="H925" s="4" t="s">
        <v>2183</v>
      </c>
      <c r="I925" s="4" t="s">
        <v>2100</v>
      </c>
      <c r="J925" s="4" t="s">
        <v>2410</v>
      </c>
      <c r="K925">
        <v>6</v>
      </c>
      <c r="L925">
        <v>1.8288000000000002</v>
      </c>
      <c r="M925">
        <v>21</v>
      </c>
      <c r="N925">
        <v>145</v>
      </c>
      <c r="O925">
        <v>72.000000000000014</v>
      </c>
      <c r="P925">
        <v>0.82677165354330717</v>
      </c>
      <c r="Q925">
        <v>5.7086614173228352</v>
      </c>
      <c r="R925">
        <v>1077.452</v>
      </c>
      <c r="S925">
        <v>5.5686959999999997E-3</v>
      </c>
      <c r="T925" s="4" t="s">
        <v>3044</v>
      </c>
    </row>
    <row r="926" spans="1:20" x14ac:dyDescent="0.2">
      <c r="A926" s="4" t="s">
        <v>3026</v>
      </c>
      <c r="B926" s="4" t="s">
        <v>3027</v>
      </c>
      <c r="C926" s="4" t="s">
        <v>2286</v>
      </c>
      <c r="D926" s="4" t="s">
        <v>2236</v>
      </c>
      <c r="E926" s="4" t="s">
        <v>3048</v>
      </c>
      <c r="F926" s="4" t="s">
        <v>3029</v>
      </c>
      <c r="G926" s="4" t="s">
        <v>3026</v>
      </c>
      <c r="H926" s="4" t="s">
        <v>2183</v>
      </c>
      <c r="I926" s="4" t="s">
        <v>2100</v>
      </c>
      <c r="J926" s="4" t="s">
        <v>2410</v>
      </c>
      <c r="K926">
        <v>7</v>
      </c>
      <c r="L926">
        <v>2.1335999999999999</v>
      </c>
      <c r="M926">
        <v>21</v>
      </c>
      <c r="N926">
        <v>145</v>
      </c>
      <c r="O926">
        <v>84</v>
      </c>
      <c r="P926">
        <v>0.82677165354330717</v>
      </c>
      <c r="Q926">
        <v>5.7086614173228352</v>
      </c>
      <c r="R926">
        <v>1077.452</v>
      </c>
      <c r="S926">
        <v>6.4968120000000002E-3</v>
      </c>
      <c r="T926" s="4" t="s">
        <v>3044</v>
      </c>
    </row>
    <row r="927" spans="1:20" x14ac:dyDescent="0.2">
      <c r="A927" s="4" t="s">
        <v>3026</v>
      </c>
      <c r="B927" s="4" t="s">
        <v>3027</v>
      </c>
      <c r="C927" s="4" t="s">
        <v>2096</v>
      </c>
      <c r="D927" s="4" t="s">
        <v>2236</v>
      </c>
      <c r="E927" s="4" t="s">
        <v>3049</v>
      </c>
      <c r="F927" s="4" t="s">
        <v>3029</v>
      </c>
      <c r="G927" s="4" t="s">
        <v>3026</v>
      </c>
      <c r="H927" s="4" t="s">
        <v>2183</v>
      </c>
      <c r="I927" s="4" t="s">
        <v>2100</v>
      </c>
      <c r="J927" s="4" t="s">
        <v>2410</v>
      </c>
      <c r="K927">
        <v>8</v>
      </c>
      <c r="L927">
        <v>2.4384000000000001</v>
      </c>
      <c r="M927">
        <v>21</v>
      </c>
      <c r="N927">
        <v>145</v>
      </c>
      <c r="O927">
        <v>96.000000000000014</v>
      </c>
      <c r="P927">
        <v>0.82677165354330717</v>
      </c>
      <c r="Q927">
        <v>5.7086614173228352</v>
      </c>
      <c r="R927">
        <v>1077.452</v>
      </c>
      <c r="S927">
        <v>7.4249279999999999E-3</v>
      </c>
      <c r="T927" s="4" t="s">
        <v>3030</v>
      </c>
    </row>
    <row r="928" spans="1:20" x14ac:dyDescent="0.2">
      <c r="A928" s="4" t="s">
        <v>3026</v>
      </c>
      <c r="B928" s="4" t="s">
        <v>3027</v>
      </c>
      <c r="C928" s="4" t="s">
        <v>2096</v>
      </c>
      <c r="D928" s="4" t="s">
        <v>2236</v>
      </c>
      <c r="E928" s="4" t="s">
        <v>3050</v>
      </c>
      <c r="F928" s="4" t="s">
        <v>3029</v>
      </c>
      <c r="G928" s="4" t="s">
        <v>3026</v>
      </c>
      <c r="H928" s="4" t="s">
        <v>2183</v>
      </c>
      <c r="I928" s="4" t="s">
        <v>2100</v>
      </c>
      <c r="J928" s="4" t="s">
        <v>2410</v>
      </c>
      <c r="K928">
        <v>9</v>
      </c>
      <c r="L928">
        <v>2.7432000000000003</v>
      </c>
      <c r="M928">
        <v>21</v>
      </c>
      <c r="N928">
        <v>145</v>
      </c>
      <c r="O928">
        <v>108.00000000000001</v>
      </c>
      <c r="P928">
        <v>0.82677165354330717</v>
      </c>
      <c r="Q928">
        <v>5.7086614173228352</v>
      </c>
      <c r="R928">
        <v>1077.452</v>
      </c>
      <c r="S928">
        <v>8.3530440000000004E-3</v>
      </c>
      <c r="T928" s="4" t="s">
        <v>3030</v>
      </c>
    </row>
    <row r="929" spans="1:20" x14ac:dyDescent="0.2">
      <c r="A929" s="4" t="s">
        <v>3026</v>
      </c>
      <c r="B929" s="4" t="s">
        <v>3051</v>
      </c>
      <c r="C929" s="4" t="s">
        <v>2096</v>
      </c>
      <c r="D929" s="4" t="s">
        <v>2236</v>
      </c>
      <c r="E929" s="4" t="s">
        <v>498</v>
      </c>
      <c r="F929" s="4" t="s">
        <v>3052</v>
      </c>
      <c r="G929" s="4" t="s">
        <v>3026</v>
      </c>
      <c r="H929" s="4" t="s">
        <v>2183</v>
      </c>
      <c r="I929" s="4" t="s">
        <v>2100</v>
      </c>
      <c r="J929" s="4" t="s">
        <v>2153</v>
      </c>
      <c r="K929">
        <v>10</v>
      </c>
      <c r="L929">
        <v>3.048</v>
      </c>
      <c r="M929">
        <v>19.05</v>
      </c>
      <c r="N929">
        <v>139.69999999999999</v>
      </c>
      <c r="O929">
        <v>120</v>
      </c>
      <c r="P929">
        <v>0.75000000000000011</v>
      </c>
      <c r="Q929">
        <v>5.5</v>
      </c>
      <c r="R929">
        <v>1232.8030000000001</v>
      </c>
      <c r="S929">
        <v>8.1115966799999994E-3</v>
      </c>
      <c r="T929" s="4" t="s">
        <v>3053</v>
      </c>
    </row>
    <row r="930" spans="1:20" x14ac:dyDescent="0.2">
      <c r="A930" s="4" t="s">
        <v>3026</v>
      </c>
      <c r="B930" s="4" t="s">
        <v>3051</v>
      </c>
      <c r="C930" s="4" t="s">
        <v>2096</v>
      </c>
      <c r="D930" s="4" t="s">
        <v>2236</v>
      </c>
      <c r="E930" s="4" t="s">
        <v>503</v>
      </c>
      <c r="F930" s="4" t="s">
        <v>3052</v>
      </c>
      <c r="G930" s="4" t="s">
        <v>3026</v>
      </c>
      <c r="H930" s="4" t="s">
        <v>2183</v>
      </c>
      <c r="I930" s="4" t="s">
        <v>2100</v>
      </c>
      <c r="J930" s="4" t="s">
        <v>2153</v>
      </c>
      <c r="K930">
        <v>11</v>
      </c>
      <c r="L930">
        <v>3.3527999999999998</v>
      </c>
      <c r="M930">
        <v>19.05</v>
      </c>
      <c r="N930">
        <v>139.69999999999999</v>
      </c>
      <c r="O930">
        <v>132</v>
      </c>
      <c r="P930">
        <v>0.75000000000000011</v>
      </c>
      <c r="Q930">
        <v>5.5</v>
      </c>
      <c r="R930">
        <v>1232.8030000000001</v>
      </c>
      <c r="S930">
        <v>8.922756347999999E-3</v>
      </c>
      <c r="T930" s="4" t="s">
        <v>3053</v>
      </c>
    </row>
    <row r="931" spans="1:20" x14ac:dyDescent="0.2">
      <c r="A931" s="4" t="s">
        <v>3026</v>
      </c>
      <c r="B931" s="4" t="s">
        <v>3051</v>
      </c>
      <c r="C931" s="4" t="s">
        <v>2096</v>
      </c>
      <c r="D931" s="4" t="s">
        <v>2236</v>
      </c>
      <c r="E931" s="4" t="s">
        <v>505</v>
      </c>
      <c r="F931" s="4" t="s">
        <v>3052</v>
      </c>
      <c r="G931" s="4" t="s">
        <v>3026</v>
      </c>
      <c r="H931" s="4" t="s">
        <v>2183</v>
      </c>
      <c r="I931" s="4" t="s">
        <v>2100</v>
      </c>
      <c r="J931" s="4" t="s">
        <v>2153</v>
      </c>
      <c r="K931">
        <v>12</v>
      </c>
      <c r="L931">
        <v>3.6576</v>
      </c>
      <c r="M931">
        <v>19.05</v>
      </c>
      <c r="N931">
        <v>139.69999999999999</v>
      </c>
      <c r="O931">
        <v>144</v>
      </c>
      <c r="P931">
        <v>0.75000000000000011</v>
      </c>
      <c r="Q931">
        <v>5.5</v>
      </c>
      <c r="R931">
        <v>1232.8030000000001</v>
      </c>
      <c r="S931">
        <v>9.7339160159999986E-3</v>
      </c>
      <c r="T931" s="4" t="s">
        <v>3053</v>
      </c>
    </row>
    <row r="932" spans="1:20" x14ac:dyDescent="0.2">
      <c r="A932" s="4" t="s">
        <v>3026</v>
      </c>
      <c r="B932" s="4" t="s">
        <v>3051</v>
      </c>
      <c r="C932" s="4" t="s">
        <v>2096</v>
      </c>
      <c r="D932" s="4" t="s">
        <v>2236</v>
      </c>
      <c r="E932" s="4" t="s">
        <v>506</v>
      </c>
      <c r="F932" s="4" t="s">
        <v>3052</v>
      </c>
      <c r="G932" s="4" t="s">
        <v>3026</v>
      </c>
      <c r="H932" s="4" t="s">
        <v>2183</v>
      </c>
      <c r="I932" s="4" t="s">
        <v>2100</v>
      </c>
      <c r="J932" s="4" t="s">
        <v>2153</v>
      </c>
      <c r="K932">
        <v>13</v>
      </c>
      <c r="L932">
        <v>3.9624000000000001</v>
      </c>
      <c r="M932">
        <v>19.05</v>
      </c>
      <c r="N932">
        <v>139.69999999999999</v>
      </c>
      <c r="O932">
        <v>156</v>
      </c>
      <c r="P932">
        <v>0.75000000000000011</v>
      </c>
      <c r="Q932">
        <v>5.5</v>
      </c>
      <c r="R932">
        <v>1232.8030000000001</v>
      </c>
      <c r="S932">
        <v>1.0545075684E-2</v>
      </c>
      <c r="T932" s="4" t="s">
        <v>3053</v>
      </c>
    </row>
    <row r="933" spans="1:20" x14ac:dyDescent="0.2">
      <c r="A933" s="4" t="s">
        <v>3026</v>
      </c>
      <c r="B933" s="4" t="s">
        <v>3051</v>
      </c>
      <c r="C933" s="4" t="s">
        <v>2096</v>
      </c>
      <c r="D933" s="4" t="s">
        <v>2236</v>
      </c>
      <c r="E933" s="4" t="s">
        <v>508</v>
      </c>
      <c r="F933" s="4" t="s">
        <v>3052</v>
      </c>
      <c r="G933" s="4" t="s">
        <v>3026</v>
      </c>
      <c r="H933" s="4" t="s">
        <v>2183</v>
      </c>
      <c r="I933" s="4" t="s">
        <v>2100</v>
      </c>
      <c r="J933" s="4" t="s">
        <v>2153</v>
      </c>
      <c r="K933">
        <v>14</v>
      </c>
      <c r="L933">
        <v>4.2671999999999999</v>
      </c>
      <c r="M933">
        <v>19.05</v>
      </c>
      <c r="N933">
        <v>139.69999999999999</v>
      </c>
      <c r="O933">
        <v>168</v>
      </c>
      <c r="P933">
        <v>0.75000000000000011</v>
      </c>
      <c r="Q933">
        <v>5.5</v>
      </c>
      <c r="R933">
        <v>1232.8030000000001</v>
      </c>
      <c r="S933">
        <v>1.1356235352E-2</v>
      </c>
      <c r="T933" s="4" t="s">
        <v>3053</v>
      </c>
    </row>
    <row r="934" spans="1:20" x14ac:dyDescent="0.2">
      <c r="A934" s="4" t="s">
        <v>3026</v>
      </c>
      <c r="B934" s="4" t="s">
        <v>3051</v>
      </c>
      <c r="C934" s="4" t="s">
        <v>2096</v>
      </c>
      <c r="D934" s="4" t="s">
        <v>2236</v>
      </c>
      <c r="E934" s="4" t="s">
        <v>510</v>
      </c>
      <c r="F934" s="4" t="s">
        <v>3052</v>
      </c>
      <c r="G934" s="4" t="s">
        <v>3026</v>
      </c>
      <c r="H934" s="4" t="s">
        <v>2183</v>
      </c>
      <c r="I934" s="4" t="s">
        <v>2100</v>
      </c>
      <c r="J934" s="4" t="s">
        <v>2153</v>
      </c>
      <c r="K934">
        <v>15</v>
      </c>
      <c r="L934">
        <v>4.5720000000000001</v>
      </c>
      <c r="M934">
        <v>19.05</v>
      </c>
      <c r="N934">
        <v>139.69999999999999</v>
      </c>
      <c r="O934">
        <v>180</v>
      </c>
      <c r="P934">
        <v>0.75000000000000011</v>
      </c>
      <c r="Q934">
        <v>5.5</v>
      </c>
      <c r="R934">
        <v>1232.8030000000001</v>
      </c>
      <c r="S934">
        <v>1.2167395020000001E-2</v>
      </c>
      <c r="T934" s="4" t="s">
        <v>3053</v>
      </c>
    </row>
    <row r="935" spans="1:20" x14ac:dyDescent="0.2">
      <c r="A935" s="4" t="s">
        <v>3026</v>
      </c>
      <c r="B935" s="4" t="s">
        <v>3051</v>
      </c>
      <c r="C935" s="4" t="s">
        <v>2096</v>
      </c>
      <c r="D935" s="4" t="s">
        <v>2236</v>
      </c>
      <c r="E935" s="4" t="s">
        <v>3054</v>
      </c>
      <c r="F935" s="4" t="s">
        <v>3052</v>
      </c>
      <c r="G935" s="4" t="s">
        <v>3026</v>
      </c>
      <c r="H935" s="4" t="s">
        <v>2183</v>
      </c>
      <c r="I935" s="4" t="s">
        <v>2100</v>
      </c>
      <c r="J935" s="4" t="s">
        <v>2153</v>
      </c>
      <c r="K935">
        <v>16</v>
      </c>
      <c r="L935">
        <v>4.8768000000000002</v>
      </c>
      <c r="M935">
        <v>19.05</v>
      </c>
      <c r="N935">
        <v>139.69999999999999</v>
      </c>
      <c r="O935">
        <v>192.00000000000003</v>
      </c>
      <c r="P935">
        <v>0.75000000000000011</v>
      </c>
      <c r="Q935">
        <v>5.5</v>
      </c>
      <c r="R935">
        <v>1232.8030000000001</v>
      </c>
      <c r="S935">
        <v>1.2978554687999999E-2</v>
      </c>
      <c r="T935" s="4" t="s">
        <v>3053</v>
      </c>
    </row>
    <row r="936" spans="1:20" x14ac:dyDescent="0.2">
      <c r="A936" s="4" t="s">
        <v>3026</v>
      </c>
      <c r="B936" s="4" t="s">
        <v>3051</v>
      </c>
      <c r="C936" s="4" t="s">
        <v>2096</v>
      </c>
      <c r="D936" s="4" t="s">
        <v>2236</v>
      </c>
      <c r="E936" s="4" t="s">
        <v>3055</v>
      </c>
      <c r="F936" s="4" t="s">
        <v>3052</v>
      </c>
      <c r="G936" s="4" t="s">
        <v>3026</v>
      </c>
      <c r="H936" s="4" t="s">
        <v>2183</v>
      </c>
      <c r="I936" s="4" t="s">
        <v>2100</v>
      </c>
      <c r="J936" s="4" t="s">
        <v>2153</v>
      </c>
      <c r="K936">
        <v>17</v>
      </c>
      <c r="L936">
        <v>5.1816000000000004</v>
      </c>
      <c r="M936">
        <v>19.05</v>
      </c>
      <c r="N936">
        <v>139.69999999999999</v>
      </c>
      <c r="O936">
        <v>204.00000000000003</v>
      </c>
      <c r="P936">
        <v>0.75000000000000011</v>
      </c>
      <c r="Q936">
        <v>5.5</v>
      </c>
      <c r="R936">
        <v>1232.8030000000001</v>
      </c>
      <c r="S936">
        <v>1.3789714356000002E-2</v>
      </c>
      <c r="T936" s="4" t="s">
        <v>3053</v>
      </c>
    </row>
    <row r="937" spans="1:20" x14ac:dyDescent="0.2">
      <c r="A937" s="4" t="s">
        <v>3026</v>
      </c>
      <c r="B937" s="4" t="s">
        <v>3051</v>
      </c>
      <c r="C937" s="4" t="s">
        <v>2096</v>
      </c>
      <c r="D937" s="4" t="s">
        <v>2236</v>
      </c>
      <c r="E937" s="4" t="s">
        <v>512</v>
      </c>
      <c r="F937" s="4" t="s">
        <v>3052</v>
      </c>
      <c r="G937" s="4" t="s">
        <v>3026</v>
      </c>
      <c r="H937" s="4" t="s">
        <v>2183</v>
      </c>
      <c r="I937" s="4" t="s">
        <v>2100</v>
      </c>
      <c r="J937" s="4" t="s">
        <v>2153</v>
      </c>
      <c r="K937">
        <v>18</v>
      </c>
      <c r="L937">
        <v>5.4863999999999997</v>
      </c>
      <c r="M937">
        <v>19.05</v>
      </c>
      <c r="N937">
        <v>139.69999999999999</v>
      </c>
      <c r="O937">
        <v>216</v>
      </c>
      <c r="P937">
        <v>0.75000000000000011</v>
      </c>
      <c r="Q937">
        <v>5.5</v>
      </c>
      <c r="R937">
        <v>1232.8030000000001</v>
      </c>
      <c r="S937">
        <v>1.4600874024E-2</v>
      </c>
      <c r="T937" s="4" t="s">
        <v>3053</v>
      </c>
    </row>
    <row r="938" spans="1:20" x14ac:dyDescent="0.2">
      <c r="A938" s="4" t="s">
        <v>3026</v>
      </c>
      <c r="B938" s="4" t="s">
        <v>3051</v>
      </c>
      <c r="C938" s="4" t="s">
        <v>2096</v>
      </c>
      <c r="D938" s="4" t="s">
        <v>2236</v>
      </c>
      <c r="E938" s="4" t="s">
        <v>514</v>
      </c>
      <c r="F938" s="4" t="s">
        <v>3052</v>
      </c>
      <c r="G938" s="4" t="s">
        <v>3026</v>
      </c>
      <c r="H938" s="4" t="s">
        <v>2183</v>
      </c>
      <c r="I938" s="4" t="s">
        <v>2100</v>
      </c>
      <c r="J938" s="4" t="s">
        <v>2153</v>
      </c>
      <c r="K938">
        <v>19</v>
      </c>
      <c r="L938">
        <v>5.7911999999999999</v>
      </c>
      <c r="M938">
        <v>19.05</v>
      </c>
      <c r="N938">
        <v>139.69999999999999</v>
      </c>
      <c r="O938">
        <v>228</v>
      </c>
      <c r="P938">
        <v>0.75000000000000011</v>
      </c>
      <c r="Q938">
        <v>5.5</v>
      </c>
      <c r="R938">
        <v>1232.8030000000001</v>
      </c>
      <c r="S938">
        <v>1.5412033691999999E-2</v>
      </c>
      <c r="T938" s="4" t="s">
        <v>3053</v>
      </c>
    </row>
    <row r="939" spans="1:20" x14ac:dyDescent="0.2">
      <c r="A939" s="4" t="s">
        <v>3026</v>
      </c>
      <c r="B939" s="4" t="s">
        <v>3051</v>
      </c>
      <c r="C939" s="4" t="s">
        <v>2096</v>
      </c>
      <c r="D939" s="4" t="s">
        <v>2236</v>
      </c>
      <c r="E939" s="4" t="s">
        <v>3056</v>
      </c>
      <c r="F939" s="4" t="s">
        <v>3052</v>
      </c>
      <c r="G939" s="4" t="s">
        <v>3026</v>
      </c>
      <c r="H939" s="4" t="s">
        <v>2183</v>
      </c>
      <c r="I939" s="4" t="s">
        <v>2100</v>
      </c>
      <c r="J939" s="4" t="s">
        <v>2153</v>
      </c>
      <c r="K939">
        <v>20</v>
      </c>
      <c r="L939">
        <v>6.0960000000000001</v>
      </c>
      <c r="M939">
        <v>19.05</v>
      </c>
      <c r="N939">
        <v>139.69999999999999</v>
      </c>
      <c r="O939">
        <v>240</v>
      </c>
      <c r="P939">
        <v>0.75000000000000011</v>
      </c>
      <c r="Q939">
        <v>5.5</v>
      </c>
      <c r="R939">
        <v>1232.8030000000001</v>
      </c>
      <c r="S939">
        <v>1.6223193359999999E-2</v>
      </c>
      <c r="T939" s="4" t="s">
        <v>3053</v>
      </c>
    </row>
    <row r="940" spans="1:20" x14ac:dyDescent="0.2">
      <c r="A940" s="4" t="s">
        <v>3026</v>
      </c>
      <c r="B940" s="4" t="s">
        <v>3051</v>
      </c>
      <c r="C940" s="4" t="s">
        <v>2286</v>
      </c>
      <c r="D940" s="4" t="s">
        <v>2236</v>
      </c>
      <c r="E940" s="4" t="s">
        <v>3057</v>
      </c>
      <c r="F940" s="4" t="s">
        <v>3052</v>
      </c>
      <c r="G940" s="4" t="s">
        <v>3026</v>
      </c>
      <c r="H940" s="4" t="s">
        <v>2183</v>
      </c>
      <c r="I940" s="4" t="s">
        <v>2100</v>
      </c>
      <c r="J940" s="4" t="s">
        <v>2153</v>
      </c>
      <c r="K940">
        <v>3</v>
      </c>
      <c r="L940">
        <v>0.91439999999999999</v>
      </c>
      <c r="M940">
        <v>19.05</v>
      </c>
      <c r="N940">
        <v>139.69999999999999</v>
      </c>
      <c r="O940">
        <v>36</v>
      </c>
      <c r="P940">
        <v>0.75000000000000011</v>
      </c>
      <c r="Q940">
        <v>5.5</v>
      </c>
      <c r="R940">
        <v>1232.8030000000001</v>
      </c>
      <c r="S940">
        <v>2.4334790039999997E-3</v>
      </c>
      <c r="T940" s="4" t="s">
        <v>3058</v>
      </c>
    </row>
    <row r="941" spans="1:20" x14ac:dyDescent="0.2">
      <c r="A941" s="4" t="s">
        <v>3026</v>
      </c>
      <c r="B941" s="4" t="s">
        <v>3051</v>
      </c>
      <c r="C941" s="4" t="s">
        <v>2286</v>
      </c>
      <c r="D941" s="4" t="s">
        <v>2236</v>
      </c>
      <c r="E941" s="4" t="s">
        <v>3059</v>
      </c>
      <c r="F941" s="4" t="s">
        <v>3052</v>
      </c>
      <c r="G941" s="4" t="s">
        <v>3026</v>
      </c>
      <c r="H941" s="4" t="s">
        <v>2183</v>
      </c>
      <c r="I941" s="4" t="s">
        <v>2100</v>
      </c>
      <c r="J941" s="4" t="s">
        <v>2153</v>
      </c>
      <c r="K941">
        <v>4</v>
      </c>
      <c r="L941">
        <v>1.2192000000000001</v>
      </c>
      <c r="M941">
        <v>19.05</v>
      </c>
      <c r="N941">
        <v>139.69999999999999</v>
      </c>
      <c r="O941">
        <v>48.000000000000007</v>
      </c>
      <c r="P941">
        <v>0.75000000000000011</v>
      </c>
      <c r="Q941">
        <v>5.5</v>
      </c>
      <c r="R941">
        <v>1232.8030000000001</v>
      </c>
      <c r="S941">
        <v>3.2446386719999997E-3</v>
      </c>
      <c r="T941" s="4" t="s">
        <v>3058</v>
      </c>
    </row>
    <row r="942" spans="1:20" x14ac:dyDescent="0.2">
      <c r="A942" s="4" t="s">
        <v>3026</v>
      </c>
      <c r="B942" s="4" t="s">
        <v>3051</v>
      </c>
      <c r="C942" s="4" t="s">
        <v>2286</v>
      </c>
      <c r="D942" s="4" t="s">
        <v>2236</v>
      </c>
      <c r="E942" s="4" t="s">
        <v>3060</v>
      </c>
      <c r="F942" s="4" t="s">
        <v>3052</v>
      </c>
      <c r="G942" s="4" t="s">
        <v>3026</v>
      </c>
      <c r="H942" s="4" t="s">
        <v>2183</v>
      </c>
      <c r="I942" s="4" t="s">
        <v>2100</v>
      </c>
      <c r="J942" s="4" t="s">
        <v>2153</v>
      </c>
      <c r="K942">
        <v>5</v>
      </c>
      <c r="L942">
        <v>1.524</v>
      </c>
      <c r="M942">
        <v>19.05</v>
      </c>
      <c r="N942">
        <v>139.69999999999999</v>
      </c>
      <c r="O942">
        <v>60</v>
      </c>
      <c r="P942">
        <v>0.75000000000000011</v>
      </c>
      <c r="Q942">
        <v>5.5</v>
      </c>
      <c r="R942">
        <v>1232.8030000000001</v>
      </c>
      <c r="S942">
        <v>4.0557983399999997E-3</v>
      </c>
      <c r="T942" s="4" t="s">
        <v>3058</v>
      </c>
    </row>
    <row r="943" spans="1:20" x14ac:dyDescent="0.2">
      <c r="A943" s="4" t="s">
        <v>3026</v>
      </c>
      <c r="B943" s="4" t="s">
        <v>3051</v>
      </c>
      <c r="C943" s="4" t="s">
        <v>2286</v>
      </c>
      <c r="D943" s="4" t="s">
        <v>2236</v>
      </c>
      <c r="E943" s="4" t="s">
        <v>3061</v>
      </c>
      <c r="F943" s="4" t="s">
        <v>3052</v>
      </c>
      <c r="G943" s="4" t="s">
        <v>3026</v>
      </c>
      <c r="H943" s="4" t="s">
        <v>2183</v>
      </c>
      <c r="I943" s="4" t="s">
        <v>2100</v>
      </c>
      <c r="J943" s="4" t="s">
        <v>2153</v>
      </c>
      <c r="K943">
        <v>6</v>
      </c>
      <c r="L943">
        <v>1.8288</v>
      </c>
      <c r="M943">
        <v>19.05</v>
      </c>
      <c r="N943">
        <v>139.69999999999999</v>
      </c>
      <c r="O943">
        <v>72</v>
      </c>
      <c r="P943">
        <v>0.75000000000000011</v>
      </c>
      <c r="Q943">
        <v>5.5</v>
      </c>
      <c r="R943">
        <v>1232.8030000000001</v>
      </c>
      <c r="S943">
        <v>4.8669580079999993E-3</v>
      </c>
      <c r="T943" s="4" t="s">
        <v>3058</v>
      </c>
    </row>
    <row r="944" spans="1:20" x14ac:dyDescent="0.2">
      <c r="A944" s="4" t="s">
        <v>3026</v>
      </c>
      <c r="B944" s="4" t="s">
        <v>3051</v>
      </c>
      <c r="C944" s="4" t="s">
        <v>2286</v>
      </c>
      <c r="D944" s="4" t="s">
        <v>2236</v>
      </c>
      <c r="E944" s="4" t="s">
        <v>3062</v>
      </c>
      <c r="F944" s="4" t="s">
        <v>3052</v>
      </c>
      <c r="G944" s="4" t="s">
        <v>3026</v>
      </c>
      <c r="H944" s="4" t="s">
        <v>2183</v>
      </c>
      <c r="I944" s="4" t="s">
        <v>2100</v>
      </c>
      <c r="J944" s="4" t="s">
        <v>2153</v>
      </c>
      <c r="K944">
        <v>7</v>
      </c>
      <c r="L944">
        <v>2.1335999999999999</v>
      </c>
      <c r="M944">
        <v>19.05</v>
      </c>
      <c r="N944">
        <v>139.69999999999999</v>
      </c>
      <c r="O944">
        <v>84</v>
      </c>
      <c r="P944">
        <v>0.75000000000000011</v>
      </c>
      <c r="Q944">
        <v>5.5</v>
      </c>
      <c r="R944">
        <v>1232.8030000000001</v>
      </c>
      <c r="S944">
        <v>5.6781176759999998E-3</v>
      </c>
      <c r="T944" s="4" t="s">
        <v>3058</v>
      </c>
    </row>
    <row r="945" spans="1:20" x14ac:dyDescent="0.2">
      <c r="A945" s="4" t="s">
        <v>3026</v>
      </c>
      <c r="B945" s="4" t="s">
        <v>3051</v>
      </c>
      <c r="C945" s="4" t="s">
        <v>2096</v>
      </c>
      <c r="D945" s="4" t="s">
        <v>2236</v>
      </c>
      <c r="E945" s="4" t="s">
        <v>515</v>
      </c>
      <c r="F945" s="4" t="s">
        <v>3052</v>
      </c>
      <c r="G945" s="4" t="s">
        <v>3026</v>
      </c>
      <c r="H945" s="4" t="s">
        <v>2183</v>
      </c>
      <c r="I945" s="4" t="s">
        <v>2100</v>
      </c>
      <c r="J945" s="4" t="s">
        <v>2153</v>
      </c>
      <c r="K945">
        <v>8</v>
      </c>
      <c r="L945">
        <v>2.4384000000000001</v>
      </c>
      <c r="M945">
        <v>19.05</v>
      </c>
      <c r="N945">
        <v>139.69999999999999</v>
      </c>
      <c r="O945">
        <v>96.000000000000014</v>
      </c>
      <c r="P945">
        <v>0.75000000000000011</v>
      </c>
      <c r="Q945">
        <v>5.5</v>
      </c>
      <c r="R945">
        <v>1232.8030000000001</v>
      </c>
      <c r="S945">
        <v>6.4892773439999994E-3</v>
      </c>
      <c r="T945" s="4" t="s">
        <v>3053</v>
      </c>
    </row>
    <row r="946" spans="1:20" x14ac:dyDescent="0.2">
      <c r="A946" s="4" t="s">
        <v>3026</v>
      </c>
      <c r="B946" s="4" t="s">
        <v>3051</v>
      </c>
      <c r="C946" s="4" t="s">
        <v>2096</v>
      </c>
      <c r="D946" s="4" t="s">
        <v>2236</v>
      </c>
      <c r="E946" s="4" t="s">
        <v>3063</v>
      </c>
      <c r="F946" s="4" t="s">
        <v>3052</v>
      </c>
      <c r="G946" s="4" t="s">
        <v>3026</v>
      </c>
      <c r="H946" s="4" t="s">
        <v>2183</v>
      </c>
      <c r="I946" s="4" t="s">
        <v>2100</v>
      </c>
      <c r="J946" s="4" t="s">
        <v>2153</v>
      </c>
      <c r="K946">
        <v>9</v>
      </c>
      <c r="L946">
        <v>2.7431999999999999</v>
      </c>
      <c r="M946">
        <v>19.05</v>
      </c>
      <c r="N946">
        <v>139.69999999999999</v>
      </c>
      <c r="O946">
        <v>108</v>
      </c>
      <c r="P946">
        <v>0.75000000000000011</v>
      </c>
      <c r="Q946">
        <v>5.5</v>
      </c>
      <c r="R946">
        <v>1232.8030000000001</v>
      </c>
      <c r="S946">
        <v>7.3004370119999999E-3</v>
      </c>
      <c r="T946" s="4" t="s">
        <v>3053</v>
      </c>
    </row>
    <row r="947" spans="1:20" x14ac:dyDescent="0.2">
      <c r="A947" s="4" t="s">
        <v>3026</v>
      </c>
      <c r="B947" s="4" t="s">
        <v>3064</v>
      </c>
      <c r="C947" s="4" t="s">
        <v>2096</v>
      </c>
      <c r="D947" s="4" t="s">
        <v>2236</v>
      </c>
      <c r="E947" s="4" t="s">
        <v>517</v>
      </c>
      <c r="F947" s="4" t="s">
        <v>3065</v>
      </c>
      <c r="G947" s="4" t="s">
        <v>3026</v>
      </c>
      <c r="H947" s="4" t="s">
        <v>2183</v>
      </c>
      <c r="I947" s="4" t="s">
        <v>2100</v>
      </c>
      <c r="J947" s="4" t="s">
        <v>2111</v>
      </c>
      <c r="K947">
        <v>10</v>
      </c>
      <c r="L947">
        <v>3.048</v>
      </c>
      <c r="M947">
        <v>25.4</v>
      </c>
      <c r="N947">
        <v>139.69999999999999</v>
      </c>
      <c r="O947">
        <v>120</v>
      </c>
      <c r="P947">
        <v>1</v>
      </c>
      <c r="Q947">
        <v>5.5</v>
      </c>
      <c r="R947">
        <v>924.60199999999998</v>
      </c>
      <c r="S947">
        <v>1.081546224E-2</v>
      </c>
      <c r="T947" s="4" t="s">
        <v>3066</v>
      </c>
    </row>
    <row r="948" spans="1:20" x14ac:dyDescent="0.2">
      <c r="A948" s="4" t="s">
        <v>3026</v>
      </c>
      <c r="B948" s="4" t="s">
        <v>3064</v>
      </c>
      <c r="C948" s="4" t="s">
        <v>2096</v>
      </c>
      <c r="D948" s="4" t="s">
        <v>2236</v>
      </c>
      <c r="E948" s="4" t="s">
        <v>519</v>
      </c>
      <c r="F948" s="4" t="s">
        <v>3065</v>
      </c>
      <c r="G948" s="4" t="s">
        <v>3026</v>
      </c>
      <c r="H948" s="4" t="s">
        <v>2183</v>
      </c>
      <c r="I948" s="4" t="s">
        <v>2100</v>
      </c>
      <c r="J948" s="4" t="s">
        <v>2111</v>
      </c>
      <c r="K948">
        <v>11</v>
      </c>
      <c r="L948">
        <v>3.3527999999999998</v>
      </c>
      <c r="M948">
        <v>25.4</v>
      </c>
      <c r="N948">
        <v>139.69999999999999</v>
      </c>
      <c r="O948">
        <v>132</v>
      </c>
      <c r="P948">
        <v>1</v>
      </c>
      <c r="Q948">
        <v>5.5</v>
      </c>
      <c r="R948">
        <v>924.60199999999998</v>
      </c>
      <c r="S948">
        <v>1.1897008463999995E-2</v>
      </c>
      <c r="T948" s="4" t="s">
        <v>3066</v>
      </c>
    </row>
    <row r="949" spans="1:20" x14ac:dyDescent="0.2">
      <c r="A949" s="4" t="s">
        <v>3026</v>
      </c>
      <c r="B949" s="4" t="s">
        <v>3064</v>
      </c>
      <c r="C949" s="4" t="s">
        <v>2096</v>
      </c>
      <c r="D949" s="4" t="s">
        <v>2236</v>
      </c>
      <c r="E949" s="4" t="s">
        <v>521</v>
      </c>
      <c r="F949" s="4" t="s">
        <v>3065</v>
      </c>
      <c r="G949" s="4" t="s">
        <v>3026</v>
      </c>
      <c r="H949" s="4" t="s">
        <v>2183</v>
      </c>
      <c r="I949" s="4" t="s">
        <v>2100</v>
      </c>
      <c r="J949" s="4" t="s">
        <v>2111</v>
      </c>
      <c r="K949">
        <v>12</v>
      </c>
      <c r="L949">
        <v>3.6576</v>
      </c>
      <c r="M949">
        <v>25.4</v>
      </c>
      <c r="N949">
        <v>139.69999999999999</v>
      </c>
      <c r="O949">
        <v>144</v>
      </c>
      <c r="P949">
        <v>1</v>
      </c>
      <c r="Q949">
        <v>5.5</v>
      </c>
      <c r="R949">
        <v>924.60199999999998</v>
      </c>
      <c r="S949">
        <v>1.2978554687999997E-2</v>
      </c>
      <c r="T949" s="4" t="s">
        <v>3066</v>
      </c>
    </row>
    <row r="950" spans="1:20" x14ac:dyDescent="0.2">
      <c r="A950" s="4" t="s">
        <v>3026</v>
      </c>
      <c r="B950" s="4" t="s">
        <v>3064</v>
      </c>
      <c r="C950" s="4" t="s">
        <v>2096</v>
      </c>
      <c r="D950" s="4" t="s">
        <v>2236</v>
      </c>
      <c r="E950" s="4" t="s">
        <v>523</v>
      </c>
      <c r="F950" s="4" t="s">
        <v>3065</v>
      </c>
      <c r="G950" s="4" t="s">
        <v>3026</v>
      </c>
      <c r="H950" s="4" t="s">
        <v>2183</v>
      </c>
      <c r="I950" s="4" t="s">
        <v>2100</v>
      </c>
      <c r="J950" s="4" t="s">
        <v>2111</v>
      </c>
      <c r="K950">
        <v>13</v>
      </c>
      <c r="L950">
        <v>3.9624000000000001</v>
      </c>
      <c r="M950">
        <v>25.4</v>
      </c>
      <c r="N950">
        <v>139.69999999999999</v>
      </c>
      <c r="O950">
        <v>156</v>
      </c>
      <c r="P950">
        <v>1</v>
      </c>
      <c r="Q950">
        <v>5.5</v>
      </c>
      <c r="R950">
        <v>924.60199999999998</v>
      </c>
      <c r="S950">
        <v>1.4060100911999997E-2</v>
      </c>
      <c r="T950" s="4" t="s">
        <v>3066</v>
      </c>
    </row>
    <row r="951" spans="1:20" x14ac:dyDescent="0.2">
      <c r="A951" s="4" t="s">
        <v>3026</v>
      </c>
      <c r="B951" s="4" t="s">
        <v>3064</v>
      </c>
      <c r="C951" s="4" t="s">
        <v>2096</v>
      </c>
      <c r="D951" s="4" t="s">
        <v>2236</v>
      </c>
      <c r="E951" s="4" t="s">
        <v>525</v>
      </c>
      <c r="F951" s="4" t="s">
        <v>3065</v>
      </c>
      <c r="G951" s="4" t="s">
        <v>3026</v>
      </c>
      <c r="H951" s="4" t="s">
        <v>2183</v>
      </c>
      <c r="I951" s="4" t="s">
        <v>2100</v>
      </c>
      <c r="J951" s="4" t="s">
        <v>2111</v>
      </c>
      <c r="K951">
        <v>14</v>
      </c>
      <c r="L951">
        <v>4.2671999999999999</v>
      </c>
      <c r="M951">
        <v>25.4</v>
      </c>
      <c r="N951">
        <v>139.69999999999999</v>
      </c>
      <c r="O951">
        <v>168</v>
      </c>
      <c r="P951">
        <v>1</v>
      </c>
      <c r="Q951">
        <v>5.5</v>
      </c>
      <c r="R951">
        <v>924.60199999999998</v>
      </c>
      <c r="S951">
        <v>1.5141647135999997E-2</v>
      </c>
      <c r="T951" s="4" t="s">
        <v>3066</v>
      </c>
    </row>
    <row r="952" spans="1:20" x14ac:dyDescent="0.2">
      <c r="A952" s="4" t="s">
        <v>3026</v>
      </c>
      <c r="B952" s="4" t="s">
        <v>3064</v>
      </c>
      <c r="C952" s="4" t="s">
        <v>2096</v>
      </c>
      <c r="D952" s="4" t="s">
        <v>2236</v>
      </c>
      <c r="E952" s="4" t="s">
        <v>3067</v>
      </c>
      <c r="F952" s="4" t="s">
        <v>3065</v>
      </c>
      <c r="G952" s="4" t="s">
        <v>3026</v>
      </c>
      <c r="H952" s="4" t="s">
        <v>2183</v>
      </c>
      <c r="I952" s="4" t="s">
        <v>2100</v>
      </c>
      <c r="J952" s="4" t="s">
        <v>2111</v>
      </c>
      <c r="K952">
        <v>15</v>
      </c>
      <c r="L952">
        <v>4.5720000000000001</v>
      </c>
      <c r="M952">
        <v>25.4</v>
      </c>
      <c r="N952">
        <v>139.69999999999999</v>
      </c>
      <c r="O952">
        <v>180</v>
      </c>
      <c r="P952">
        <v>1</v>
      </c>
      <c r="Q952">
        <v>5.5</v>
      </c>
      <c r="R952">
        <v>924.60199999999998</v>
      </c>
      <c r="S952">
        <v>1.6223193359999999E-2</v>
      </c>
      <c r="T952" s="4" t="s">
        <v>3066</v>
      </c>
    </row>
    <row r="953" spans="1:20" x14ac:dyDescent="0.2">
      <c r="A953" s="4" t="s">
        <v>3026</v>
      </c>
      <c r="B953" s="4" t="s">
        <v>3064</v>
      </c>
      <c r="C953" s="4" t="s">
        <v>2096</v>
      </c>
      <c r="D953" s="4" t="s">
        <v>2236</v>
      </c>
      <c r="E953" s="4" t="s">
        <v>526</v>
      </c>
      <c r="F953" s="4" t="s">
        <v>3065</v>
      </c>
      <c r="G953" s="4" t="s">
        <v>3026</v>
      </c>
      <c r="H953" s="4" t="s">
        <v>2183</v>
      </c>
      <c r="I953" s="4" t="s">
        <v>2100</v>
      </c>
      <c r="J953" s="4" t="s">
        <v>2111</v>
      </c>
      <c r="K953">
        <v>16</v>
      </c>
      <c r="L953">
        <v>4.8768000000000002</v>
      </c>
      <c r="M953">
        <v>25.4</v>
      </c>
      <c r="N953">
        <v>139.69999999999999</v>
      </c>
      <c r="O953">
        <v>192.00000000000003</v>
      </c>
      <c r="P953">
        <v>1</v>
      </c>
      <c r="Q953">
        <v>5.5</v>
      </c>
      <c r="R953">
        <v>924.60199999999998</v>
      </c>
      <c r="S953">
        <v>1.7304739584000001E-2</v>
      </c>
      <c r="T953" s="4" t="s">
        <v>3066</v>
      </c>
    </row>
    <row r="954" spans="1:20" x14ac:dyDescent="0.2">
      <c r="A954" s="4" t="s">
        <v>3026</v>
      </c>
      <c r="B954" s="4" t="s">
        <v>3064</v>
      </c>
      <c r="C954" s="4" t="s">
        <v>2096</v>
      </c>
      <c r="D954" s="4" t="s">
        <v>2236</v>
      </c>
      <c r="E954" s="4" t="s">
        <v>3068</v>
      </c>
      <c r="F954" s="4" t="s">
        <v>3065</v>
      </c>
      <c r="G954" s="4" t="s">
        <v>3026</v>
      </c>
      <c r="H954" s="4" t="s">
        <v>2183</v>
      </c>
      <c r="I954" s="4" t="s">
        <v>2100</v>
      </c>
      <c r="J954" s="4" t="s">
        <v>2111</v>
      </c>
      <c r="K954">
        <v>17</v>
      </c>
      <c r="L954">
        <v>5.1816000000000004</v>
      </c>
      <c r="M954">
        <v>25.4</v>
      </c>
      <c r="N954">
        <v>139.69999999999999</v>
      </c>
      <c r="O954">
        <v>204.00000000000003</v>
      </c>
      <c r="P954">
        <v>1</v>
      </c>
      <c r="Q954">
        <v>5.5</v>
      </c>
      <c r="R954">
        <v>924.60199999999998</v>
      </c>
      <c r="S954">
        <v>1.8386285807999999E-2</v>
      </c>
      <c r="T954" s="4" t="s">
        <v>3066</v>
      </c>
    </row>
    <row r="955" spans="1:20" x14ac:dyDescent="0.2">
      <c r="A955" s="4" t="s">
        <v>3026</v>
      </c>
      <c r="B955" s="4" t="s">
        <v>3064</v>
      </c>
      <c r="C955" s="4" t="s">
        <v>2096</v>
      </c>
      <c r="D955" s="4" t="s">
        <v>2236</v>
      </c>
      <c r="E955" s="4" t="s">
        <v>528</v>
      </c>
      <c r="F955" s="4" t="s">
        <v>3065</v>
      </c>
      <c r="G955" s="4" t="s">
        <v>3026</v>
      </c>
      <c r="H955" s="4" t="s">
        <v>2183</v>
      </c>
      <c r="I955" s="4" t="s">
        <v>2100</v>
      </c>
      <c r="J955" s="4" t="s">
        <v>2111</v>
      </c>
      <c r="K955">
        <v>18</v>
      </c>
      <c r="L955">
        <v>5.4863999999999997</v>
      </c>
      <c r="M955">
        <v>25.4</v>
      </c>
      <c r="N955">
        <v>139.69999999999999</v>
      </c>
      <c r="O955">
        <v>216</v>
      </c>
      <c r="P955">
        <v>1</v>
      </c>
      <c r="Q955">
        <v>5.5</v>
      </c>
      <c r="R955">
        <v>924.60199999999998</v>
      </c>
      <c r="S955">
        <v>1.9467832031999997E-2</v>
      </c>
      <c r="T955" s="4" t="s">
        <v>3066</v>
      </c>
    </row>
    <row r="956" spans="1:20" x14ac:dyDescent="0.2">
      <c r="A956" s="4" t="s">
        <v>3026</v>
      </c>
      <c r="B956" s="4" t="s">
        <v>3064</v>
      </c>
      <c r="C956" s="4" t="s">
        <v>2096</v>
      </c>
      <c r="D956" s="4" t="s">
        <v>2236</v>
      </c>
      <c r="E956" s="4" t="s">
        <v>3069</v>
      </c>
      <c r="F956" s="4" t="s">
        <v>3065</v>
      </c>
      <c r="G956" s="4" t="s">
        <v>3026</v>
      </c>
      <c r="H956" s="4" t="s">
        <v>2183</v>
      </c>
      <c r="I956" s="4" t="s">
        <v>2100</v>
      </c>
      <c r="J956" s="4" t="s">
        <v>2111</v>
      </c>
      <c r="K956">
        <v>19</v>
      </c>
      <c r="L956">
        <v>5.7911999999999999</v>
      </c>
      <c r="M956">
        <v>25.4</v>
      </c>
      <c r="N956">
        <v>139.69999999999999</v>
      </c>
      <c r="O956">
        <v>228</v>
      </c>
      <c r="P956">
        <v>1</v>
      </c>
      <c r="Q956">
        <v>5.5</v>
      </c>
      <c r="R956">
        <v>924.60199999999998</v>
      </c>
      <c r="S956">
        <v>2.0549378255999992E-2</v>
      </c>
      <c r="T956" s="4" t="s">
        <v>3066</v>
      </c>
    </row>
    <row r="957" spans="1:20" x14ac:dyDescent="0.2">
      <c r="A957" s="4" t="s">
        <v>3026</v>
      </c>
      <c r="B957" s="4" t="s">
        <v>3064</v>
      </c>
      <c r="C957" s="4" t="s">
        <v>2096</v>
      </c>
      <c r="D957" s="4" t="s">
        <v>2236</v>
      </c>
      <c r="E957" s="4" t="s">
        <v>530</v>
      </c>
      <c r="F957" s="4" t="s">
        <v>3065</v>
      </c>
      <c r="G957" s="4" t="s">
        <v>3026</v>
      </c>
      <c r="H957" s="4" t="s">
        <v>2183</v>
      </c>
      <c r="I957" s="4" t="s">
        <v>2100</v>
      </c>
      <c r="J957" s="4" t="s">
        <v>2111</v>
      </c>
      <c r="K957">
        <v>20</v>
      </c>
      <c r="L957">
        <v>6.0960000000000001</v>
      </c>
      <c r="M957">
        <v>25.4</v>
      </c>
      <c r="N957">
        <v>139.69999999999999</v>
      </c>
      <c r="O957">
        <v>240</v>
      </c>
      <c r="P957">
        <v>1</v>
      </c>
      <c r="Q957">
        <v>5.5</v>
      </c>
      <c r="R957">
        <v>924.60199999999998</v>
      </c>
      <c r="S957">
        <v>2.1630924480000001E-2</v>
      </c>
      <c r="T957" s="4" t="s">
        <v>3066</v>
      </c>
    </row>
    <row r="958" spans="1:20" x14ac:dyDescent="0.2">
      <c r="A958" s="4" t="s">
        <v>3026</v>
      </c>
      <c r="B958" s="4" t="s">
        <v>3064</v>
      </c>
      <c r="C958" s="4" t="s">
        <v>2096</v>
      </c>
      <c r="D958" s="4" t="s">
        <v>2236</v>
      </c>
      <c r="E958" s="4" t="s">
        <v>3070</v>
      </c>
      <c r="F958" s="4" t="s">
        <v>3065</v>
      </c>
      <c r="G958" s="4" t="s">
        <v>3026</v>
      </c>
      <c r="H958" s="4" t="s">
        <v>2183</v>
      </c>
      <c r="I958" s="4" t="s">
        <v>2100</v>
      </c>
      <c r="J958" s="4" t="s">
        <v>2111</v>
      </c>
      <c r="K958">
        <v>21</v>
      </c>
      <c r="L958">
        <v>6.4008000000000003</v>
      </c>
      <c r="M958">
        <v>25.4</v>
      </c>
      <c r="N958">
        <v>139.69999999999999</v>
      </c>
      <c r="O958">
        <v>252.00000000000003</v>
      </c>
      <c r="P958">
        <v>1</v>
      </c>
      <c r="Q958">
        <v>5.5</v>
      </c>
      <c r="R958">
        <v>924.60199999999998</v>
      </c>
      <c r="S958">
        <v>2.2712470703999999E-2</v>
      </c>
      <c r="T958" s="4" t="s">
        <v>3066</v>
      </c>
    </row>
    <row r="959" spans="1:20" x14ac:dyDescent="0.2">
      <c r="A959" s="4" t="s">
        <v>3026</v>
      </c>
      <c r="B959" s="4" t="s">
        <v>3064</v>
      </c>
      <c r="C959" s="4" t="s">
        <v>2096</v>
      </c>
      <c r="D959" s="4" t="s">
        <v>2236</v>
      </c>
      <c r="E959" s="4" t="s">
        <v>3071</v>
      </c>
      <c r="F959" s="4" t="s">
        <v>3065</v>
      </c>
      <c r="G959" s="4" t="s">
        <v>3026</v>
      </c>
      <c r="H959" s="4" t="s">
        <v>2183</v>
      </c>
      <c r="I959" s="4" t="s">
        <v>2100</v>
      </c>
      <c r="J959" s="4" t="s">
        <v>2111</v>
      </c>
      <c r="K959">
        <v>22</v>
      </c>
      <c r="L959">
        <v>6.7056000000000004</v>
      </c>
      <c r="M959">
        <v>25.4</v>
      </c>
      <c r="N959">
        <v>139.69999999999999</v>
      </c>
      <c r="O959">
        <v>264</v>
      </c>
      <c r="P959">
        <v>1</v>
      </c>
      <c r="Q959">
        <v>5.5</v>
      </c>
      <c r="R959">
        <v>924.60199999999998</v>
      </c>
      <c r="S959">
        <v>2.3794016927999997E-2</v>
      </c>
      <c r="T959" s="4" t="s">
        <v>3066</v>
      </c>
    </row>
    <row r="960" spans="1:20" x14ac:dyDescent="0.2">
      <c r="A960" s="4" t="s">
        <v>3026</v>
      </c>
      <c r="B960" s="4" t="s">
        <v>3064</v>
      </c>
      <c r="C960" s="4" t="s">
        <v>2286</v>
      </c>
      <c r="D960" s="4" t="s">
        <v>2236</v>
      </c>
      <c r="E960" s="4" t="s">
        <v>3072</v>
      </c>
      <c r="F960" s="4" t="s">
        <v>3065</v>
      </c>
      <c r="G960" s="4" t="s">
        <v>3026</v>
      </c>
      <c r="H960" s="4" t="s">
        <v>2183</v>
      </c>
      <c r="I960" s="4" t="s">
        <v>2100</v>
      </c>
      <c r="J960" s="4" t="s">
        <v>2111</v>
      </c>
      <c r="K960">
        <v>3</v>
      </c>
      <c r="L960">
        <v>0.91439999999999999</v>
      </c>
      <c r="M960">
        <v>25.4</v>
      </c>
      <c r="N960">
        <v>139.69999999999999</v>
      </c>
      <c r="O960">
        <v>36</v>
      </c>
      <c r="P960">
        <v>1</v>
      </c>
      <c r="Q960">
        <v>5.5</v>
      </c>
      <c r="R960">
        <v>924.60199999999998</v>
      </c>
      <c r="S960">
        <v>3.2446386719999993E-3</v>
      </c>
      <c r="T960" s="4" t="s">
        <v>3073</v>
      </c>
    </row>
    <row r="961" spans="1:20" x14ac:dyDescent="0.2">
      <c r="A961" s="4" t="s">
        <v>3026</v>
      </c>
      <c r="B961" s="4" t="s">
        <v>3064</v>
      </c>
      <c r="C961" s="4" t="s">
        <v>2286</v>
      </c>
      <c r="D961" s="4" t="s">
        <v>2236</v>
      </c>
      <c r="E961" s="4" t="s">
        <v>3074</v>
      </c>
      <c r="F961" s="4" t="s">
        <v>3065</v>
      </c>
      <c r="G961" s="4" t="s">
        <v>3026</v>
      </c>
      <c r="H961" s="4" t="s">
        <v>2183</v>
      </c>
      <c r="I961" s="4" t="s">
        <v>2100</v>
      </c>
      <c r="J961" s="4" t="s">
        <v>2111</v>
      </c>
      <c r="K961">
        <v>4</v>
      </c>
      <c r="L961">
        <v>1.2192000000000001</v>
      </c>
      <c r="M961">
        <v>25.4</v>
      </c>
      <c r="N961">
        <v>139.69999999999999</v>
      </c>
      <c r="O961">
        <v>48.000000000000007</v>
      </c>
      <c r="P961">
        <v>1</v>
      </c>
      <c r="Q961">
        <v>5.5</v>
      </c>
      <c r="R961">
        <v>924.60199999999998</v>
      </c>
      <c r="S961">
        <v>4.3261848960000002E-3</v>
      </c>
      <c r="T961" s="4" t="s">
        <v>3073</v>
      </c>
    </row>
    <row r="962" spans="1:20" x14ac:dyDescent="0.2">
      <c r="A962" s="4" t="s">
        <v>3026</v>
      </c>
      <c r="B962" s="4" t="s">
        <v>3064</v>
      </c>
      <c r="C962" s="4" t="s">
        <v>2286</v>
      </c>
      <c r="D962" s="4" t="s">
        <v>2236</v>
      </c>
      <c r="E962" s="4" t="s">
        <v>3075</v>
      </c>
      <c r="F962" s="4" t="s">
        <v>3065</v>
      </c>
      <c r="G962" s="4" t="s">
        <v>3026</v>
      </c>
      <c r="H962" s="4" t="s">
        <v>2183</v>
      </c>
      <c r="I962" s="4" t="s">
        <v>2100</v>
      </c>
      <c r="J962" s="4" t="s">
        <v>2111</v>
      </c>
      <c r="K962">
        <v>5</v>
      </c>
      <c r="L962">
        <v>1.524</v>
      </c>
      <c r="M962">
        <v>25.4</v>
      </c>
      <c r="N962">
        <v>139.69999999999999</v>
      </c>
      <c r="O962">
        <v>60</v>
      </c>
      <c r="P962">
        <v>1</v>
      </c>
      <c r="Q962">
        <v>5.5</v>
      </c>
      <c r="R962">
        <v>924.60199999999998</v>
      </c>
      <c r="S962">
        <v>5.4077311200000002E-3</v>
      </c>
      <c r="T962" s="4" t="s">
        <v>3073</v>
      </c>
    </row>
    <row r="963" spans="1:20" x14ac:dyDescent="0.2">
      <c r="A963" s="4" t="s">
        <v>3026</v>
      </c>
      <c r="B963" s="4" t="s">
        <v>3064</v>
      </c>
      <c r="C963" s="4" t="s">
        <v>2286</v>
      </c>
      <c r="D963" s="4" t="s">
        <v>2236</v>
      </c>
      <c r="E963" s="4" t="s">
        <v>532</v>
      </c>
      <c r="F963" s="4" t="s">
        <v>3065</v>
      </c>
      <c r="G963" s="4" t="s">
        <v>3026</v>
      </c>
      <c r="H963" s="4" t="s">
        <v>2183</v>
      </c>
      <c r="I963" s="4" t="s">
        <v>2100</v>
      </c>
      <c r="J963" s="4" t="s">
        <v>2111</v>
      </c>
      <c r="K963">
        <v>6</v>
      </c>
      <c r="L963">
        <v>1.8288</v>
      </c>
      <c r="M963">
        <v>25.4</v>
      </c>
      <c r="N963">
        <v>139.69999999999999</v>
      </c>
      <c r="O963">
        <v>72</v>
      </c>
      <c r="P963">
        <v>1</v>
      </c>
      <c r="Q963">
        <v>5.5</v>
      </c>
      <c r="R963">
        <v>924.60199999999998</v>
      </c>
      <c r="S963">
        <v>6.4892773439999985E-3</v>
      </c>
      <c r="T963" s="4" t="s">
        <v>3073</v>
      </c>
    </row>
    <row r="964" spans="1:20" x14ac:dyDescent="0.2">
      <c r="A964" s="4" t="s">
        <v>3026</v>
      </c>
      <c r="B964" s="4" t="s">
        <v>3064</v>
      </c>
      <c r="C964" s="4" t="s">
        <v>2286</v>
      </c>
      <c r="D964" s="4" t="s">
        <v>2236</v>
      </c>
      <c r="E964" s="4" t="s">
        <v>534</v>
      </c>
      <c r="F964" s="4" t="s">
        <v>3065</v>
      </c>
      <c r="G964" s="4" t="s">
        <v>3026</v>
      </c>
      <c r="H964" s="4" t="s">
        <v>2183</v>
      </c>
      <c r="I964" s="4" t="s">
        <v>2100</v>
      </c>
      <c r="J964" s="4" t="s">
        <v>2111</v>
      </c>
      <c r="K964">
        <v>7</v>
      </c>
      <c r="L964">
        <v>2.1335999999999999</v>
      </c>
      <c r="M964">
        <v>25.4</v>
      </c>
      <c r="N964">
        <v>139.69999999999999</v>
      </c>
      <c r="O964">
        <v>84</v>
      </c>
      <c r="P964">
        <v>1</v>
      </c>
      <c r="Q964">
        <v>5.5</v>
      </c>
      <c r="R964">
        <v>924.60199999999998</v>
      </c>
      <c r="S964">
        <v>7.5708235679999986E-3</v>
      </c>
      <c r="T964" s="4" t="s">
        <v>3073</v>
      </c>
    </row>
    <row r="965" spans="1:20" x14ac:dyDescent="0.2">
      <c r="A965" s="4" t="s">
        <v>3026</v>
      </c>
      <c r="B965" s="4" t="s">
        <v>3064</v>
      </c>
      <c r="C965" s="4" t="s">
        <v>2096</v>
      </c>
      <c r="D965" s="4" t="s">
        <v>2236</v>
      </c>
      <c r="E965" s="4" t="s">
        <v>536</v>
      </c>
      <c r="F965" s="4" t="s">
        <v>3065</v>
      </c>
      <c r="G965" s="4" t="s">
        <v>3026</v>
      </c>
      <c r="H965" s="4" t="s">
        <v>2183</v>
      </c>
      <c r="I965" s="4" t="s">
        <v>2100</v>
      </c>
      <c r="J965" s="4" t="s">
        <v>2111</v>
      </c>
      <c r="K965">
        <v>8</v>
      </c>
      <c r="L965">
        <v>2.4384000000000001</v>
      </c>
      <c r="M965">
        <v>25.4</v>
      </c>
      <c r="N965">
        <v>139.69999999999999</v>
      </c>
      <c r="O965">
        <v>96.000000000000014</v>
      </c>
      <c r="P965">
        <v>1</v>
      </c>
      <c r="Q965">
        <v>5.5</v>
      </c>
      <c r="R965">
        <v>924.60199999999998</v>
      </c>
      <c r="S965">
        <v>8.6523697920000003E-3</v>
      </c>
      <c r="T965" s="4" t="s">
        <v>3066</v>
      </c>
    </row>
    <row r="966" spans="1:20" x14ac:dyDescent="0.2">
      <c r="A966" s="4" t="s">
        <v>3026</v>
      </c>
      <c r="B966" s="4" t="s">
        <v>3064</v>
      </c>
      <c r="C966" s="4" t="s">
        <v>2096</v>
      </c>
      <c r="D966" s="4" t="s">
        <v>2236</v>
      </c>
      <c r="E966" s="4" t="s">
        <v>538</v>
      </c>
      <c r="F966" s="4" t="s">
        <v>3065</v>
      </c>
      <c r="G966" s="4" t="s">
        <v>3026</v>
      </c>
      <c r="H966" s="4" t="s">
        <v>2183</v>
      </c>
      <c r="I966" s="4" t="s">
        <v>2100</v>
      </c>
      <c r="J966" s="4" t="s">
        <v>2111</v>
      </c>
      <c r="K966">
        <v>9</v>
      </c>
      <c r="L966">
        <v>2.7431999999999999</v>
      </c>
      <c r="M966">
        <v>25.4</v>
      </c>
      <c r="N966">
        <v>139.69999999999999</v>
      </c>
      <c r="O966">
        <v>108</v>
      </c>
      <c r="P966">
        <v>1</v>
      </c>
      <c r="Q966">
        <v>5.5</v>
      </c>
      <c r="R966">
        <v>924.60199999999998</v>
      </c>
      <c r="S966">
        <v>9.7339160159999986E-3</v>
      </c>
      <c r="T966" s="4" t="s">
        <v>3066</v>
      </c>
    </row>
    <row r="967" spans="1:20" x14ac:dyDescent="0.2">
      <c r="A967" s="4" t="s">
        <v>3026</v>
      </c>
      <c r="B967" s="4" t="s">
        <v>3051</v>
      </c>
      <c r="C967" s="4" t="s">
        <v>2096</v>
      </c>
      <c r="D967" s="4" t="s">
        <v>2236</v>
      </c>
      <c r="E967" s="4" t="s">
        <v>3076</v>
      </c>
      <c r="F967" s="4" t="s">
        <v>6153</v>
      </c>
      <c r="G967" s="4" t="s">
        <v>3026</v>
      </c>
      <c r="H967" s="4" t="s">
        <v>2183</v>
      </c>
      <c r="I967" s="4" t="s">
        <v>6149</v>
      </c>
      <c r="J967" s="4" t="s">
        <v>2153</v>
      </c>
      <c r="K967">
        <v>10</v>
      </c>
      <c r="L967">
        <v>3.048</v>
      </c>
      <c r="M967">
        <v>19.05</v>
      </c>
      <c r="N967">
        <v>139.69999999999999</v>
      </c>
      <c r="O967">
        <v>120</v>
      </c>
      <c r="P967">
        <v>0.75000000000000011</v>
      </c>
      <c r="Q967">
        <v>5.5</v>
      </c>
      <c r="R967">
        <v>1232.8030000000001</v>
      </c>
      <c r="S967">
        <v>8.1115966799999994E-3</v>
      </c>
      <c r="T967" s="4" t="s">
        <v>6154</v>
      </c>
    </row>
    <row r="968" spans="1:20" x14ac:dyDescent="0.2">
      <c r="A968" s="4" t="s">
        <v>3026</v>
      </c>
      <c r="B968" s="4" t="s">
        <v>3051</v>
      </c>
      <c r="C968" s="4" t="s">
        <v>2096</v>
      </c>
      <c r="D968" s="4" t="s">
        <v>2236</v>
      </c>
      <c r="E968" s="4" t="s">
        <v>3077</v>
      </c>
      <c r="F968" s="4" t="s">
        <v>6153</v>
      </c>
      <c r="G968" s="4" t="s">
        <v>3026</v>
      </c>
      <c r="H968" s="4" t="s">
        <v>2183</v>
      </c>
      <c r="I968" s="4" t="s">
        <v>6149</v>
      </c>
      <c r="J968" s="4" t="s">
        <v>2153</v>
      </c>
      <c r="K968">
        <v>11</v>
      </c>
      <c r="L968">
        <v>3.3527999999999998</v>
      </c>
      <c r="M968">
        <v>19.05</v>
      </c>
      <c r="N968">
        <v>139.69999999999999</v>
      </c>
      <c r="O968">
        <v>132</v>
      </c>
      <c r="P968">
        <v>0.75000000000000011</v>
      </c>
      <c r="Q968">
        <v>5.5</v>
      </c>
      <c r="R968">
        <v>1232.8030000000001</v>
      </c>
      <c r="S968">
        <v>8.922756347999999E-3</v>
      </c>
      <c r="T968" s="4" t="s">
        <v>6154</v>
      </c>
    </row>
    <row r="969" spans="1:20" x14ac:dyDescent="0.2">
      <c r="A969" s="4" t="s">
        <v>3026</v>
      </c>
      <c r="B969" s="4" t="s">
        <v>3051</v>
      </c>
      <c r="C969" s="4" t="s">
        <v>2096</v>
      </c>
      <c r="D969" s="4" t="s">
        <v>2236</v>
      </c>
      <c r="E969" s="4" t="s">
        <v>3078</v>
      </c>
      <c r="F969" s="4" t="s">
        <v>6153</v>
      </c>
      <c r="G969" s="4" t="s">
        <v>3026</v>
      </c>
      <c r="H969" s="4" t="s">
        <v>2183</v>
      </c>
      <c r="I969" s="4" t="s">
        <v>6149</v>
      </c>
      <c r="J969" s="4" t="s">
        <v>2153</v>
      </c>
      <c r="K969">
        <v>12</v>
      </c>
      <c r="L969">
        <v>3.6576</v>
      </c>
      <c r="M969">
        <v>19.05</v>
      </c>
      <c r="N969">
        <v>139.69999999999999</v>
      </c>
      <c r="O969">
        <v>144</v>
      </c>
      <c r="P969">
        <v>0.75000000000000011</v>
      </c>
      <c r="Q969">
        <v>5.5</v>
      </c>
      <c r="R969">
        <v>1232.8030000000001</v>
      </c>
      <c r="S969">
        <v>9.7339160159999986E-3</v>
      </c>
      <c r="T969" s="4" t="s">
        <v>6154</v>
      </c>
    </row>
    <row r="970" spans="1:20" x14ac:dyDescent="0.2">
      <c r="A970" s="4" t="s">
        <v>3026</v>
      </c>
      <c r="B970" s="4" t="s">
        <v>3051</v>
      </c>
      <c r="C970" s="4" t="s">
        <v>2096</v>
      </c>
      <c r="D970" s="4" t="s">
        <v>2236</v>
      </c>
      <c r="E970" s="4" t="s">
        <v>3079</v>
      </c>
      <c r="F970" s="4" t="s">
        <v>6153</v>
      </c>
      <c r="G970" s="4" t="s">
        <v>3026</v>
      </c>
      <c r="H970" s="4" t="s">
        <v>2183</v>
      </c>
      <c r="I970" s="4" t="s">
        <v>6149</v>
      </c>
      <c r="J970" s="4" t="s">
        <v>2153</v>
      </c>
      <c r="K970">
        <v>13</v>
      </c>
      <c r="L970">
        <v>3.9624000000000001</v>
      </c>
      <c r="M970">
        <v>19.05</v>
      </c>
      <c r="N970">
        <v>139.69999999999999</v>
      </c>
      <c r="O970">
        <v>156</v>
      </c>
      <c r="P970">
        <v>0.75000000000000011</v>
      </c>
      <c r="Q970">
        <v>5.5</v>
      </c>
      <c r="R970">
        <v>1232.8030000000001</v>
      </c>
      <c r="S970">
        <v>1.0545075684E-2</v>
      </c>
      <c r="T970" s="4" t="s">
        <v>6154</v>
      </c>
    </row>
    <row r="971" spans="1:20" x14ac:dyDescent="0.2">
      <c r="A971" s="4" t="s">
        <v>3026</v>
      </c>
      <c r="B971" s="4" t="s">
        <v>3051</v>
      </c>
      <c r="C971" s="4" t="s">
        <v>2096</v>
      </c>
      <c r="D971" s="4" t="s">
        <v>2236</v>
      </c>
      <c r="E971" s="4" t="s">
        <v>3080</v>
      </c>
      <c r="F971" s="4" t="s">
        <v>6153</v>
      </c>
      <c r="G971" s="4" t="s">
        <v>3026</v>
      </c>
      <c r="H971" s="4" t="s">
        <v>2183</v>
      </c>
      <c r="I971" s="4" t="s">
        <v>6149</v>
      </c>
      <c r="J971" s="4" t="s">
        <v>2153</v>
      </c>
      <c r="K971">
        <v>14</v>
      </c>
      <c r="L971">
        <v>4.2671999999999999</v>
      </c>
      <c r="M971">
        <v>19.05</v>
      </c>
      <c r="N971">
        <v>139.69999999999999</v>
      </c>
      <c r="O971">
        <v>168</v>
      </c>
      <c r="P971">
        <v>0.75000000000000011</v>
      </c>
      <c r="Q971">
        <v>5.5</v>
      </c>
      <c r="R971">
        <v>1232.8030000000001</v>
      </c>
      <c r="S971">
        <v>1.1356235352E-2</v>
      </c>
      <c r="T971" s="4" t="s">
        <v>6154</v>
      </c>
    </row>
    <row r="972" spans="1:20" x14ac:dyDescent="0.2">
      <c r="A972" s="4" t="s">
        <v>3026</v>
      </c>
      <c r="B972" s="4" t="s">
        <v>3051</v>
      </c>
      <c r="C972" s="4" t="s">
        <v>2096</v>
      </c>
      <c r="D972" s="4" t="s">
        <v>2236</v>
      </c>
      <c r="E972" s="4" t="s">
        <v>3081</v>
      </c>
      <c r="F972" s="4" t="s">
        <v>6153</v>
      </c>
      <c r="G972" s="4" t="s">
        <v>3026</v>
      </c>
      <c r="H972" s="4" t="s">
        <v>2183</v>
      </c>
      <c r="I972" s="4" t="s">
        <v>6149</v>
      </c>
      <c r="J972" s="4" t="s">
        <v>2153</v>
      </c>
      <c r="K972">
        <v>15</v>
      </c>
      <c r="L972">
        <v>4.5720000000000001</v>
      </c>
      <c r="M972">
        <v>19.05</v>
      </c>
      <c r="N972">
        <v>139.69999999999999</v>
      </c>
      <c r="O972">
        <v>180</v>
      </c>
      <c r="P972">
        <v>0.75000000000000011</v>
      </c>
      <c r="Q972">
        <v>5.5</v>
      </c>
      <c r="R972">
        <v>1232.8030000000001</v>
      </c>
      <c r="S972">
        <v>1.2167395020000001E-2</v>
      </c>
      <c r="T972" s="4" t="s">
        <v>6154</v>
      </c>
    </row>
    <row r="973" spans="1:20" x14ac:dyDescent="0.2">
      <c r="A973" s="4" t="s">
        <v>3026</v>
      </c>
      <c r="B973" s="4" t="s">
        <v>3051</v>
      </c>
      <c r="C973" s="4" t="s">
        <v>2096</v>
      </c>
      <c r="D973" s="4" t="s">
        <v>2236</v>
      </c>
      <c r="E973" s="4" t="s">
        <v>3082</v>
      </c>
      <c r="F973" s="4" t="s">
        <v>6153</v>
      </c>
      <c r="G973" s="4" t="s">
        <v>3026</v>
      </c>
      <c r="H973" s="4" t="s">
        <v>2183</v>
      </c>
      <c r="I973" s="4" t="s">
        <v>6149</v>
      </c>
      <c r="J973" s="4" t="s">
        <v>2153</v>
      </c>
      <c r="K973">
        <v>16</v>
      </c>
      <c r="L973">
        <v>4.8768000000000002</v>
      </c>
      <c r="M973">
        <v>19.05</v>
      </c>
      <c r="N973">
        <v>139.69999999999999</v>
      </c>
      <c r="O973">
        <v>192.00000000000003</v>
      </c>
      <c r="P973">
        <v>0.75000000000000011</v>
      </c>
      <c r="Q973">
        <v>5.5</v>
      </c>
      <c r="R973">
        <v>1232.8030000000001</v>
      </c>
      <c r="S973">
        <v>1.2978554687999999E-2</v>
      </c>
      <c r="T973" s="4" t="s">
        <v>6154</v>
      </c>
    </row>
    <row r="974" spans="1:20" x14ac:dyDescent="0.2">
      <c r="A974" s="4" t="s">
        <v>3026</v>
      </c>
      <c r="B974" s="4" t="s">
        <v>3051</v>
      </c>
      <c r="C974" s="4" t="s">
        <v>2096</v>
      </c>
      <c r="D974" s="4" t="s">
        <v>2236</v>
      </c>
      <c r="E974" s="4" t="s">
        <v>3083</v>
      </c>
      <c r="F974" s="4" t="s">
        <v>6153</v>
      </c>
      <c r="G974" s="4" t="s">
        <v>3026</v>
      </c>
      <c r="H974" s="4" t="s">
        <v>2183</v>
      </c>
      <c r="I974" s="4" t="s">
        <v>6149</v>
      </c>
      <c r="J974" s="4" t="s">
        <v>2153</v>
      </c>
      <c r="K974">
        <v>17</v>
      </c>
      <c r="L974">
        <v>5.1816000000000004</v>
      </c>
      <c r="M974">
        <v>19.05</v>
      </c>
      <c r="N974">
        <v>139.69999999999999</v>
      </c>
      <c r="O974">
        <v>204.00000000000003</v>
      </c>
      <c r="P974">
        <v>0.75000000000000011</v>
      </c>
      <c r="Q974">
        <v>5.5</v>
      </c>
      <c r="R974">
        <v>1232.8030000000001</v>
      </c>
      <c r="S974">
        <v>1.3789714356000002E-2</v>
      </c>
      <c r="T974" s="4" t="s">
        <v>6154</v>
      </c>
    </row>
    <row r="975" spans="1:20" x14ac:dyDescent="0.2">
      <c r="A975" s="4" t="s">
        <v>3026</v>
      </c>
      <c r="B975" s="4" t="s">
        <v>3051</v>
      </c>
      <c r="C975" s="4" t="s">
        <v>2096</v>
      </c>
      <c r="D975" s="4" t="s">
        <v>2236</v>
      </c>
      <c r="E975" s="4" t="s">
        <v>3084</v>
      </c>
      <c r="F975" s="4" t="s">
        <v>6153</v>
      </c>
      <c r="G975" s="4" t="s">
        <v>3026</v>
      </c>
      <c r="H975" s="4" t="s">
        <v>2183</v>
      </c>
      <c r="I975" s="4" t="s">
        <v>6149</v>
      </c>
      <c r="J975" s="4" t="s">
        <v>2153</v>
      </c>
      <c r="K975">
        <v>18</v>
      </c>
      <c r="L975">
        <v>5.4863999999999997</v>
      </c>
      <c r="M975">
        <v>19.05</v>
      </c>
      <c r="N975">
        <v>139.69999999999999</v>
      </c>
      <c r="O975">
        <v>216</v>
      </c>
      <c r="P975">
        <v>0.75000000000000011</v>
      </c>
      <c r="Q975">
        <v>5.5</v>
      </c>
      <c r="R975">
        <v>1232.8030000000001</v>
      </c>
      <c r="S975">
        <v>1.4600874024E-2</v>
      </c>
      <c r="T975" s="4" t="s">
        <v>6154</v>
      </c>
    </row>
    <row r="976" spans="1:20" x14ac:dyDescent="0.2">
      <c r="A976" s="4" t="s">
        <v>3026</v>
      </c>
      <c r="B976" s="4" t="s">
        <v>3051</v>
      </c>
      <c r="C976" s="4" t="s">
        <v>2096</v>
      </c>
      <c r="D976" s="4" t="s">
        <v>2236</v>
      </c>
      <c r="E976" s="4" t="s">
        <v>3085</v>
      </c>
      <c r="F976" s="4" t="s">
        <v>6153</v>
      </c>
      <c r="G976" s="4" t="s">
        <v>3026</v>
      </c>
      <c r="H976" s="4" t="s">
        <v>2183</v>
      </c>
      <c r="I976" s="4" t="s">
        <v>6149</v>
      </c>
      <c r="J976" s="4" t="s">
        <v>2153</v>
      </c>
      <c r="K976">
        <v>19</v>
      </c>
      <c r="L976">
        <v>5.7911999999999999</v>
      </c>
      <c r="M976">
        <v>19.05</v>
      </c>
      <c r="N976">
        <v>139.69999999999999</v>
      </c>
      <c r="O976">
        <v>228</v>
      </c>
      <c r="P976">
        <v>0.75000000000000011</v>
      </c>
      <c r="Q976">
        <v>5.5</v>
      </c>
      <c r="R976">
        <v>1232.8030000000001</v>
      </c>
      <c r="S976">
        <v>1.5412033691999999E-2</v>
      </c>
      <c r="T976" s="4" t="s">
        <v>6154</v>
      </c>
    </row>
    <row r="977" spans="1:20" x14ac:dyDescent="0.2">
      <c r="A977" s="4" t="s">
        <v>3026</v>
      </c>
      <c r="B977" s="4" t="s">
        <v>3051</v>
      </c>
      <c r="C977" s="4" t="s">
        <v>2096</v>
      </c>
      <c r="D977" s="4" t="s">
        <v>2236</v>
      </c>
      <c r="E977" s="4" t="s">
        <v>3086</v>
      </c>
      <c r="F977" s="4" t="s">
        <v>6153</v>
      </c>
      <c r="G977" s="4" t="s">
        <v>3026</v>
      </c>
      <c r="H977" s="4" t="s">
        <v>2183</v>
      </c>
      <c r="I977" s="4" t="s">
        <v>6149</v>
      </c>
      <c r="J977" s="4" t="s">
        <v>2153</v>
      </c>
      <c r="K977">
        <v>20</v>
      </c>
      <c r="L977">
        <v>6.0960000000000001</v>
      </c>
      <c r="M977">
        <v>19.05</v>
      </c>
      <c r="N977">
        <v>139.69999999999999</v>
      </c>
      <c r="O977">
        <v>240</v>
      </c>
      <c r="P977">
        <v>0.75000000000000011</v>
      </c>
      <c r="Q977">
        <v>5.5</v>
      </c>
      <c r="R977">
        <v>1232.8030000000001</v>
      </c>
      <c r="S977">
        <v>1.6223193359999999E-2</v>
      </c>
      <c r="T977" s="4" t="s">
        <v>6154</v>
      </c>
    </row>
    <row r="978" spans="1:20" x14ac:dyDescent="0.2">
      <c r="A978" s="4" t="s">
        <v>3026</v>
      </c>
      <c r="B978" s="4" t="s">
        <v>3051</v>
      </c>
      <c r="C978" s="4" t="s">
        <v>2286</v>
      </c>
      <c r="D978" s="4" t="s">
        <v>2236</v>
      </c>
      <c r="E978" s="4" t="s">
        <v>3087</v>
      </c>
      <c r="F978" s="4" t="s">
        <v>6153</v>
      </c>
      <c r="G978" s="4" t="s">
        <v>3026</v>
      </c>
      <c r="H978" s="4" t="s">
        <v>2183</v>
      </c>
      <c r="I978" s="4" t="s">
        <v>6149</v>
      </c>
      <c r="J978" s="4" t="s">
        <v>2153</v>
      </c>
      <c r="K978">
        <v>3</v>
      </c>
      <c r="L978">
        <v>0.91439999999999999</v>
      </c>
      <c r="M978">
        <v>19.05</v>
      </c>
      <c r="N978">
        <v>139.69999999999999</v>
      </c>
      <c r="O978">
        <v>36</v>
      </c>
      <c r="P978">
        <v>0.75000000000000011</v>
      </c>
      <c r="Q978">
        <v>5.5</v>
      </c>
      <c r="R978">
        <v>1232.8030000000001</v>
      </c>
      <c r="S978">
        <v>2.4334790039999997E-3</v>
      </c>
      <c r="T978" s="4" t="s">
        <v>6155</v>
      </c>
    </row>
    <row r="979" spans="1:20" x14ac:dyDescent="0.2">
      <c r="A979" s="4" t="s">
        <v>3026</v>
      </c>
      <c r="B979" s="4" t="s">
        <v>3051</v>
      </c>
      <c r="C979" s="4" t="s">
        <v>2286</v>
      </c>
      <c r="D979" s="4" t="s">
        <v>2236</v>
      </c>
      <c r="E979" s="4" t="s">
        <v>3088</v>
      </c>
      <c r="F979" s="4" t="s">
        <v>6153</v>
      </c>
      <c r="G979" s="4" t="s">
        <v>3026</v>
      </c>
      <c r="H979" s="4" t="s">
        <v>2183</v>
      </c>
      <c r="I979" s="4" t="s">
        <v>6149</v>
      </c>
      <c r="J979" s="4" t="s">
        <v>2153</v>
      </c>
      <c r="K979">
        <v>4</v>
      </c>
      <c r="L979">
        <v>1.2192000000000001</v>
      </c>
      <c r="M979">
        <v>19.05</v>
      </c>
      <c r="N979">
        <v>139.69999999999999</v>
      </c>
      <c r="O979">
        <v>48.000000000000007</v>
      </c>
      <c r="P979">
        <v>0.75000000000000011</v>
      </c>
      <c r="Q979">
        <v>5.5</v>
      </c>
      <c r="R979">
        <v>1232.8030000000001</v>
      </c>
      <c r="S979">
        <v>3.2446386719999997E-3</v>
      </c>
      <c r="T979" s="4" t="s">
        <v>6155</v>
      </c>
    </row>
    <row r="980" spans="1:20" x14ac:dyDescent="0.2">
      <c r="A980" s="4" t="s">
        <v>3026</v>
      </c>
      <c r="B980" s="4" t="s">
        <v>3051</v>
      </c>
      <c r="C980" s="4" t="s">
        <v>2286</v>
      </c>
      <c r="D980" s="4" t="s">
        <v>2236</v>
      </c>
      <c r="E980" s="4" t="s">
        <v>3089</v>
      </c>
      <c r="F980" s="4" t="s">
        <v>6153</v>
      </c>
      <c r="G980" s="4" t="s">
        <v>3026</v>
      </c>
      <c r="H980" s="4" t="s">
        <v>2183</v>
      </c>
      <c r="I980" s="4" t="s">
        <v>6149</v>
      </c>
      <c r="J980" s="4" t="s">
        <v>2153</v>
      </c>
      <c r="K980">
        <v>5</v>
      </c>
      <c r="L980">
        <v>1.524</v>
      </c>
      <c r="M980">
        <v>19.05</v>
      </c>
      <c r="N980">
        <v>139.69999999999999</v>
      </c>
      <c r="O980">
        <v>60</v>
      </c>
      <c r="P980">
        <v>0.75000000000000011</v>
      </c>
      <c r="Q980">
        <v>5.5</v>
      </c>
      <c r="R980">
        <v>1232.8030000000001</v>
      </c>
      <c r="S980">
        <v>4.0557983399999997E-3</v>
      </c>
      <c r="T980" s="4" t="s">
        <v>6155</v>
      </c>
    </row>
    <row r="981" spans="1:20" x14ac:dyDescent="0.2">
      <c r="A981" s="4" t="s">
        <v>3026</v>
      </c>
      <c r="B981" s="4" t="s">
        <v>3051</v>
      </c>
      <c r="C981" s="4" t="s">
        <v>2286</v>
      </c>
      <c r="D981" s="4" t="s">
        <v>2236</v>
      </c>
      <c r="E981" s="4" t="s">
        <v>3090</v>
      </c>
      <c r="F981" s="4" t="s">
        <v>6153</v>
      </c>
      <c r="G981" s="4" t="s">
        <v>3026</v>
      </c>
      <c r="H981" s="4" t="s">
        <v>2183</v>
      </c>
      <c r="I981" s="4" t="s">
        <v>6149</v>
      </c>
      <c r="J981" s="4" t="s">
        <v>2153</v>
      </c>
      <c r="K981">
        <v>6</v>
      </c>
      <c r="L981">
        <v>1.8288</v>
      </c>
      <c r="M981">
        <v>19.05</v>
      </c>
      <c r="N981">
        <v>139.69999999999999</v>
      </c>
      <c r="O981">
        <v>72</v>
      </c>
      <c r="P981">
        <v>0.75000000000000011</v>
      </c>
      <c r="Q981">
        <v>5.5</v>
      </c>
      <c r="R981">
        <v>1232.8030000000001</v>
      </c>
      <c r="S981">
        <v>4.8669580079999993E-3</v>
      </c>
      <c r="T981" s="4" t="s">
        <v>6155</v>
      </c>
    </row>
    <row r="982" spans="1:20" x14ac:dyDescent="0.2">
      <c r="A982" s="4" t="s">
        <v>3026</v>
      </c>
      <c r="B982" s="4" t="s">
        <v>3051</v>
      </c>
      <c r="C982" s="4" t="s">
        <v>2286</v>
      </c>
      <c r="D982" s="4" t="s">
        <v>2236</v>
      </c>
      <c r="E982" s="4" t="s">
        <v>3091</v>
      </c>
      <c r="F982" s="4" t="s">
        <v>6153</v>
      </c>
      <c r="G982" s="4" t="s">
        <v>3026</v>
      </c>
      <c r="H982" s="4" t="s">
        <v>2183</v>
      </c>
      <c r="I982" s="4" t="s">
        <v>6149</v>
      </c>
      <c r="J982" s="4" t="s">
        <v>2153</v>
      </c>
      <c r="K982">
        <v>7</v>
      </c>
      <c r="L982">
        <v>2.1335999999999999</v>
      </c>
      <c r="M982">
        <v>19.05</v>
      </c>
      <c r="N982">
        <v>139.69999999999999</v>
      </c>
      <c r="O982">
        <v>84</v>
      </c>
      <c r="P982">
        <v>0.75000000000000011</v>
      </c>
      <c r="Q982">
        <v>5.5</v>
      </c>
      <c r="R982">
        <v>1232.8030000000001</v>
      </c>
      <c r="S982">
        <v>5.6781176759999998E-3</v>
      </c>
      <c r="T982" s="4" t="s">
        <v>6155</v>
      </c>
    </row>
    <row r="983" spans="1:20" x14ac:dyDescent="0.2">
      <c r="A983" s="4" t="s">
        <v>3026</v>
      </c>
      <c r="B983" s="4" t="s">
        <v>3051</v>
      </c>
      <c r="C983" s="4" t="s">
        <v>2096</v>
      </c>
      <c r="D983" s="4" t="s">
        <v>2236</v>
      </c>
      <c r="E983" s="4" t="s">
        <v>3092</v>
      </c>
      <c r="F983" s="4" t="s">
        <v>6153</v>
      </c>
      <c r="G983" s="4" t="s">
        <v>3026</v>
      </c>
      <c r="H983" s="4" t="s">
        <v>2183</v>
      </c>
      <c r="I983" s="4" t="s">
        <v>6149</v>
      </c>
      <c r="J983" s="4" t="s">
        <v>2153</v>
      </c>
      <c r="K983">
        <v>8</v>
      </c>
      <c r="L983">
        <v>2.4384000000000001</v>
      </c>
      <c r="M983">
        <v>19.05</v>
      </c>
      <c r="N983">
        <v>139.69999999999999</v>
      </c>
      <c r="O983">
        <v>96.000000000000014</v>
      </c>
      <c r="P983">
        <v>0.75000000000000011</v>
      </c>
      <c r="Q983">
        <v>5.5</v>
      </c>
      <c r="R983">
        <v>1232.8030000000001</v>
      </c>
      <c r="S983">
        <v>6.4892773439999994E-3</v>
      </c>
      <c r="T983" s="4" t="s">
        <v>6154</v>
      </c>
    </row>
    <row r="984" spans="1:20" x14ac:dyDescent="0.2">
      <c r="A984" s="4" t="s">
        <v>3026</v>
      </c>
      <c r="B984" s="4" t="s">
        <v>3051</v>
      </c>
      <c r="C984" s="4" t="s">
        <v>2096</v>
      </c>
      <c r="D984" s="4" t="s">
        <v>2236</v>
      </c>
      <c r="E984" s="4" t="s">
        <v>3093</v>
      </c>
      <c r="F984" s="4" t="s">
        <v>6153</v>
      </c>
      <c r="G984" s="4" t="s">
        <v>3026</v>
      </c>
      <c r="H984" s="4" t="s">
        <v>2183</v>
      </c>
      <c r="I984" s="4" t="s">
        <v>6149</v>
      </c>
      <c r="J984" s="4" t="s">
        <v>2153</v>
      </c>
      <c r="K984">
        <v>9</v>
      </c>
      <c r="L984">
        <v>2.7431999999999999</v>
      </c>
      <c r="M984">
        <v>19.05</v>
      </c>
      <c r="N984">
        <v>139.69999999999999</v>
      </c>
      <c r="O984">
        <v>108</v>
      </c>
      <c r="P984">
        <v>0.75000000000000011</v>
      </c>
      <c r="Q984">
        <v>5.5</v>
      </c>
      <c r="R984">
        <v>1232.8030000000001</v>
      </c>
      <c r="S984">
        <v>7.3004370119999999E-3</v>
      </c>
      <c r="T984" s="4" t="s">
        <v>6154</v>
      </c>
    </row>
    <row r="985" spans="1:20" x14ac:dyDescent="0.2">
      <c r="A985" s="4" t="s">
        <v>3026</v>
      </c>
      <c r="B985" s="4" t="s">
        <v>3094</v>
      </c>
      <c r="C985" s="4" t="s">
        <v>3018</v>
      </c>
      <c r="D985" s="4" t="s">
        <v>2236</v>
      </c>
      <c r="E985" s="4" t="s">
        <v>540</v>
      </c>
      <c r="F985" s="4" t="s">
        <v>3095</v>
      </c>
      <c r="G985" s="4" t="s">
        <v>3026</v>
      </c>
      <c r="H985" s="4" t="s">
        <v>3018</v>
      </c>
      <c r="I985" s="4" t="s">
        <v>2100</v>
      </c>
      <c r="J985" s="4" t="s">
        <v>3020</v>
      </c>
      <c r="K985">
        <v>24</v>
      </c>
      <c r="L985">
        <v>0.60640000000000005</v>
      </c>
      <c r="M985">
        <v>19</v>
      </c>
      <c r="N985">
        <v>71</v>
      </c>
      <c r="O985">
        <v>23.8740157480315</v>
      </c>
      <c r="P985">
        <v>0.74803149606299213</v>
      </c>
      <c r="Q985">
        <v>2.7952755905511815</v>
      </c>
      <c r="R985">
        <v>2432.0529999999999</v>
      </c>
      <c r="S985">
        <v>8.1803360000000012E-4</v>
      </c>
      <c r="T985" s="4" t="s">
        <v>3096</v>
      </c>
    </row>
    <row r="986" spans="1:20" x14ac:dyDescent="0.2">
      <c r="A986" s="4" t="s">
        <v>3026</v>
      </c>
      <c r="B986" s="4" t="s">
        <v>3097</v>
      </c>
      <c r="C986" s="4" t="s">
        <v>3098</v>
      </c>
      <c r="D986" s="4" t="s">
        <v>2236</v>
      </c>
      <c r="E986" s="4" t="s">
        <v>3099</v>
      </c>
      <c r="F986" s="4" t="s">
        <v>3100</v>
      </c>
      <c r="G986" s="4" t="s">
        <v>3026</v>
      </c>
      <c r="H986" s="4" t="s">
        <v>3097</v>
      </c>
      <c r="I986" s="4" t="s">
        <v>2100</v>
      </c>
      <c r="J986" s="4" t="s">
        <v>2100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4" t="s">
        <v>3101</v>
      </c>
    </row>
    <row r="987" spans="1:20" x14ac:dyDescent="0.2">
      <c r="A987" s="4" t="s">
        <v>3026</v>
      </c>
      <c r="B987" s="4" t="s">
        <v>3097</v>
      </c>
      <c r="C987" s="4" t="s">
        <v>3102</v>
      </c>
      <c r="D987" s="4" t="s">
        <v>2236</v>
      </c>
      <c r="E987" s="4" t="s">
        <v>3103</v>
      </c>
      <c r="F987" s="4" t="s">
        <v>3100</v>
      </c>
      <c r="G987" s="4" t="s">
        <v>3026</v>
      </c>
      <c r="H987" s="4" t="s">
        <v>3097</v>
      </c>
      <c r="I987" s="4" t="s">
        <v>2100</v>
      </c>
      <c r="J987" s="4" t="s">
        <v>2100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4" t="s">
        <v>3104</v>
      </c>
    </row>
    <row r="988" spans="1:20" x14ac:dyDescent="0.2">
      <c r="A988" s="4" t="s">
        <v>3026</v>
      </c>
      <c r="B988" s="4" t="s">
        <v>3097</v>
      </c>
      <c r="C988" s="4" t="s">
        <v>3105</v>
      </c>
      <c r="D988" s="4" t="s">
        <v>2236</v>
      </c>
      <c r="E988" s="4" t="s">
        <v>3106</v>
      </c>
      <c r="F988" s="4" t="s">
        <v>3100</v>
      </c>
      <c r="G988" s="4" t="s">
        <v>3026</v>
      </c>
      <c r="H988" s="4" t="s">
        <v>3097</v>
      </c>
      <c r="I988" s="4" t="s">
        <v>2100</v>
      </c>
      <c r="J988" s="4" t="s">
        <v>2100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4" t="s">
        <v>3107</v>
      </c>
    </row>
    <row r="989" spans="1:20" x14ac:dyDescent="0.2">
      <c r="A989" s="4" t="s">
        <v>3108</v>
      </c>
      <c r="B989" s="4" t="s">
        <v>3109</v>
      </c>
      <c r="C989" s="4" t="s">
        <v>3110</v>
      </c>
      <c r="D989" s="4" t="s">
        <v>2236</v>
      </c>
      <c r="E989" s="4" t="s">
        <v>3111</v>
      </c>
      <c r="F989" s="4" t="s">
        <v>3112</v>
      </c>
      <c r="G989" s="4" t="s">
        <v>3108</v>
      </c>
      <c r="H989" s="4" t="s">
        <v>2133</v>
      </c>
      <c r="I989" s="4" t="s">
        <v>3110</v>
      </c>
      <c r="J989" s="4" t="s">
        <v>2111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4" t="s">
        <v>3113</v>
      </c>
    </row>
    <row r="990" spans="1:20" x14ac:dyDescent="0.2">
      <c r="A990" s="4" t="s">
        <v>3108</v>
      </c>
      <c r="B990" s="4" t="s">
        <v>3114</v>
      </c>
      <c r="C990" s="4" t="s">
        <v>2096</v>
      </c>
      <c r="D990" s="4" t="s">
        <v>2236</v>
      </c>
      <c r="E990" s="4" t="s">
        <v>3115</v>
      </c>
      <c r="F990" s="4" t="s">
        <v>3116</v>
      </c>
      <c r="G990" s="4" t="s">
        <v>3108</v>
      </c>
      <c r="H990" s="4" t="s">
        <v>2183</v>
      </c>
      <c r="I990" s="4" t="s">
        <v>2100</v>
      </c>
      <c r="J990" s="4" t="s">
        <v>3117</v>
      </c>
      <c r="K990">
        <v>10</v>
      </c>
      <c r="L990">
        <v>3.048</v>
      </c>
      <c r="M990">
        <v>19.05</v>
      </c>
      <c r="N990">
        <v>234.95</v>
      </c>
      <c r="O990">
        <v>120</v>
      </c>
      <c r="P990">
        <v>0.75000000000000011</v>
      </c>
      <c r="Q990">
        <v>9.25</v>
      </c>
      <c r="R990">
        <v>733.01800000000003</v>
      </c>
      <c r="S990">
        <v>1.3642230780000002E-2</v>
      </c>
      <c r="T990" s="4" t="s">
        <v>3118</v>
      </c>
    </row>
    <row r="991" spans="1:20" x14ac:dyDescent="0.2">
      <c r="A991" s="4" t="s">
        <v>3108</v>
      </c>
      <c r="B991" s="4" t="s">
        <v>3114</v>
      </c>
      <c r="C991" s="4" t="s">
        <v>2096</v>
      </c>
      <c r="D991" s="4" t="s">
        <v>2236</v>
      </c>
      <c r="E991" s="4" t="s">
        <v>3119</v>
      </c>
      <c r="F991" s="4" t="s">
        <v>3116</v>
      </c>
      <c r="G991" s="4" t="s">
        <v>3108</v>
      </c>
      <c r="H991" s="4" t="s">
        <v>2183</v>
      </c>
      <c r="I991" s="4" t="s">
        <v>2100</v>
      </c>
      <c r="J991" s="4" t="s">
        <v>3117</v>
      </c>
      <c r="K991">
        <v>11</v>
      </c>
      <c r="L991">
        <v>3.3527999999999998</v>
      </c>
      <c r="M991">
        <v>19.05</v>
      </c>
      <c r="N991">
        <v>234.95</v>
      </c>
      <c r="O991">
        <v>132</v>
      </c>
      <c r="P991">
        <v>0.75000000000000011</v>
      </c>
      <c r="Q991">
        <v>9.25</v>
      </c>
      <c r="R991">
        <v>733.01800000000003</v>
      </c>
      <c r="S991">
        <v>1.5006453857999999E-2</v>
      </c>
      <c r="T991" s="4" t="s">
        <v>3118</v>
      </c>
    </row>
    <row r="992" spans="1:20" x14ac:dyDescent="0.2">
      <c r="A992" s="4" t="s">
        <v>3108</v>
      </c>
      <c r="B992" s="4" t="s">
        <v>3114</v>
      </c>
      <c r="C992" s="4" t="s">
        <v>2096</v>
      </c>
      <c r="D992" s="4" t="s">
        <v>2236</v>
      </c>
      <c r="E992" s="4" t="s">
        <v>3120</v>
      </c>
      <c r="F992" s="4" t="s">
        <v>3116</v>
      </c>
      <c r="G992" s="4" t="s">
        <v>3108</v>
      </c>
      <c r="H992" s="4" t="s">
        <v>2183</v>
      </c>
      <c r="I992" s="4" t="s">
        <v>2100</v>
      </c>
      <c r="J992" s="4" t="s">
        <v>3117</v>
      </c>
      <c r="K992">
        <v>12</v>
      </c>
      <c r="L992">
        <v>3.6576</v>
      </c>
      <c r="M992">
        <v>19.05</v>
      </c>
      <c r="N992">
        <v>234.95</v>
      </c>
      <c r="O992">
        <v>144</v>
      </c>
      <c r="P992">
        <v>0.75000000000000011</v>
      </c>
      <c r="Q992">
        <v>9.25</v>
      </c>
      <c r="R992">
        <v>733.01800000000003</v>
      </c>
      <c r="S992">
        <v>1.6370676936E-2</v>
      </c>
      <c r="T992" s="4" t="s">
        <v>3118</v>
      </c>
    </row>
    <row r="993" spans="1:20" x14ac:dyDescent="0.2">
      <c r="A993" s="4" t="s">
        <v>3108</v>
      </c>
      <c r="B993" s="4" t="s">
        <v>3114</v>
      </c>
      <c r="C993" s="4" t="s">
        <v>2096</v>
      </c>
      <c r="D993" s="4" t="s">
        <v>2236</v>
      </c>
      <c r="E993" s="4" t="s">
        <v>3121</v>
      </c>
      <c r="F993" s="4" t="s">
        <v>3116</v>
      </c>
      <c r="G993" s="4" t="s">
        <v>3108</v>
      </c>
      <c r="H993" s="4" t="s">
        <v>2183</v>
      </c>
      <c r="I993" s="4" t="s">
        <v>2100</v>
      </c>
      <c r="J993" s="4" t="s">
        <v>3117</v>
      </c>
      <c r="K993">
        <v>13</v>
      </c>
      <c r="L993">
        <v>3.9624000000000001</v>
      </c>
      <c r="M993">
        <v>19.05</v>
      </c>
      <c r="N993">
        <v>234.95</v>
      </c>
      <c r="O993">
        <v>156</v>
      </c>
      <c r="P993">
        <v>0.75000000000000011</v>
      </c>
      <c r="Q993">
        <v>9.25</v>
      </c>
      <c r="R993">
        <v>733.01800000000003</v>
      </c>
      <c r="S993">
        <v>1.7734900014E-2</v>
      </c>
      <c r="T993" s="4" t="s">
        <v>3118</v>
      </c>
    </row>
    <row r="994" spans="1:20" x14ac:dyDescent="0.2">
      <c r="A994" s="4" t="s">
        <v>3108</v>
      </c>
      <c r="B994" s="4" t="s">
        <v>3114</v>
      </c>
      <c r="C994" s="4" t="s">
        <v>2096</v>
      </c>
      <c r="D994" s="4" t="s">
        <v>2236</v>
      </c>
      <c r="E994" s="4" t="s">
        <v>3122</v>
      </c>
      <c r="F994" s="4" t="s">
        <v>3116</v>
      </c>
      <c r="G994" s="4" t="s">
        <v>3108</v>
      </c>
      <c r="H994" s="4" t="s">
        <v>2183</v>
      </c>
      <c r="I994" s="4" t="s">
        <v>2100</v>
      </c>
      <c r="J994" s="4" t="s">
        <v>3117</v>
      </c>
      <c r="K994">
        <v>14</v>
      </c>
      <c r="L994">
        <v>4.2671999999999999</v>
      </c>
      <c r="M994">
        <v>19.05</v>
      </c>
      <c r="N994">
        <v>234.95</v>
      </c>
      <c r="O994">
        <v>168</v>
      </c>
      <c r="P994">
        <v>0.75000000000000011</v>
      </c>
      <c r="Q994">
        <v>9.25</v>
      </c>
      <c r="R994">
        <v>733.01800000000003</v>
      </c>
      <c r="S994">
        <v>1.9099123092E-2</v>
      </c>
      <c r="T994" s="4" t="s">
        <v>3118</v>
      </c>
    </row>
    <row r="995" spans="1:20" x14ac:dyDescent="0.2">
      <c r="A995" s="4" t="s">
        <v>3108</v>
      </c>
      <c r="B995" s="4" t="s">
        <v>3114</v>
      </c>
      <c r="C995" s="4" t="s">
        <v>2096</v>
      </c>
      <c r="D995" s="4" t="s">
        <v>2236</v>
      </c>
      <c r="E995" s="4" t="s">
        <v>3123</v>
      </c>
      <c r="F995" s="4" t="s">
        <v>3116</v>
      </c>
      <c r="G995" s="4" t="s">
        <v>3108</v>
      </c>
      <c r="H995" s="4" t="s">
        <v>2183</v>
      </c>
      <c r="I995" s="4" t="s">
        <v>2100</v>
      </c>
      <c r="J995" s="4" t="s">
        <v>3117</v>
      </c>
      <c r="K995">
        <v>15</v>
      </c>
      <c r="L995">
        <v>4.5720000000000001</v>
      </c>
      <c r="M995">
        <v>19.05</v>
      </c>
      <c r="N995">
        <v>234.95</v>
      </c>
      <c r="O995">
        <v>180</v>
      </c>
      <c r="P995">
        <v>0.75000000000000011</v>
      </c>
      <c r="Q995">
        <v>9.25</v>
      </c>
      <c r="R995">
        <v>733.01800000000003</v>
      </c>
      <c r="S995">
        <v>2.0463346170000001E-2</v>
      </c>
      <c r="T995" s="4" t="s">
        <v>3118</v>
      </c>
    </row>
    <row r="996" spans="1:20" x14ac:dyDescent="0.2">
      <c r="A996" s="4" t="s">
        <v>3108</v>
      </c>
      <c r="B996" s="4" t="s">
        <v>3114</v>
      </c>
      <c r="C996" s="4" t="s">
        <v>2096</v>
      </c>
      <c r="D996" s="4" t="s">
        <v>2236</v>
      </c>
      <c r="E996" s="4" t="s">
        <v>3124</v>
      </c>
      <c r="F996" s="4" t="s">
        <v>3116</v>
      </c>
      <c r="G996" s="4" t="s">
        <v>3108</v>
      </c>
      <c r="H996" s="4" t="s">
        <v>2183</v>
      </c>
      <c r="I996" s="4" t="s">
        <v>2100</v>
      </c>
      <c r="J996" s="4" t="s">
        <v>3117</v>
      </c>
      <c r="K996">
        <v>16</v>
      </c>
      <c r="L996">
        <v>4.8768000000000002</v>
      </c>
      <c r="M996">
        <v>19.05</v>
      </c>
      <c r="N996">
        <v>234.95</v>
      </c>
      <c r="O996">
        <v>192.00000000000003</v>
      </c>
      <c r="P996">
        <v>0.75000000000000011</v>
      </c>
      <c r="Q996">
        <v>9.25</v>
      </c>
      <c r="R996">
        <v>733.01800000000003</v>
      </c>
      <c r="S996">
        <v>2.1827569248000001E-2</v>
      </c>
      <c r="T996" s="4" t="s">
        <v>3118</v>
      </c>
    </row>
    <row r="997" spans="1:20" x14ac:dyDescent="0.2">
      <c r="A997" s="4" t="s">
        <v>3108</v>
      </c>
      <c r="B997" s="4" t="s">
        <v>3114</v>
      </c>
      <c r="C997" s="4" t="s">
        <v>2096</v>
      </c>
      <c r="D997" s="4" t="s">
        <v>2236</v>
      </c>
      <c r="E997" s="4" t="s">
        <v>3125</v>
      </c>
      <c r="F997" s="4" t="s">
        <v>3116</v>
      </c>
      <c r="G997" s="4" t="s">
        <v>3108</v>
      </c>
      <c r="H997" s="4" t="s">
        <v>2183</v>
      </c>
      <c r="I997" s="4" t="s">
        <v>2100</v>
      </c>
      <c r="J997" s="4" t="s">
        <v>3117</v>
      </c>
      <c r="K997">
        <v>17</v>
      </c>
      <c r="L997">
        <v>5.1816000000000004</v>
      </c>
      <c r="M997">
        <v>19.05</v>
      </c>
      <c r="N997">
        <v>234.95</v>
      </c>
      <c r="O997">
        <v>204.00000000000003</v>
      </c>
      <c r="P997">
        <v>0.75000000000000011</v>
      </c>
      <c r="Q997">
        <v>9.25</v>
      </c>
      <c r="R997">
        <v>733.01800000000003</v>
      </c>
      <c r="S997">
        <v>2.3191792326000001E-2</v>
      </c>
      <c r="T997" s="4" t="s">
        <v>3118</v>
      </c>
    </row>
    <row r="998" spans="1:20" x14ac:dyDescent="0.2">
      <c r="A998" s="4" t="s">
        <v>3108</v>
      </c>
      <c r="B998" s="4" t="s">
        <v>3114</v>
      </c>
      <c r="C998" s="4" t="s">
        <v>2096</v>
      </c>
      <c r="D998" s="4" t="s">
        <v>2236</v>
      </c>
      <c r="E998" s="4" t="s">
        <v>3126</v>
      </c>
      <c r="F998" s="4" t="s">
        <v>3116</v>
      </c>
      <c r="G998" s="4" t="s">
        <v>3108</v>
      </c>
      <c r="H998" s="4" t="s">
        <v>2183</v>
      </c>
      <c r="I998" s="4" t="s">
        <v>2100</v>
      </c>
      <c r="J998" s="4" t="s">
        <v>3117</v>
      </c>
      <c r="K998">
        <v>18</v>
      </c>
      <c r="L998">
        <v>5.4863999999999997</v>
      </c>
      <c r="M998">
        <v>19.05</v>
      </c>
      <c r="N998">
        <v>234.95</v>
      </c>
      <c r="O998">
        <v>216</v>
      </c>
      <c r="P998">
        <v>0.75000000000000011</v>
      </c>
      <c r="Q998">
        <v>9.25</v>
      </c>
      <c r="R998">
        <v>733.01800000000003</v>
      </c>
      <c r="S998">
        <v>2.4556015404000001E-2</v>
      </c>
      <c r="T998" s="4" t="s">
        <v>3118</v>
      </c>
    </row>
    <row r="999" spans="1:20" x14ac:dyDescent="0.2">
      <c r="A999" s="4" t="s">
        <v>3108</v>
      </c>
      <c r="B999" s="4" t="s">
        <v>3114</v>
      </c>
      <c r="C999" s="4" t="s">
        <v>2096</v>
      </c>
      <c r="D999" s="4" t="s">
        <v>2236</v>
      </c>
      <c r="E999" s="4" t="s">
        <v>3127</v>
      </c>
      <c r="F999" s="4" t="s">
        <v>3116</v>
      </c>
      <c r="G999" s="4" t="s">
        <v>3108</v>
      </c>
      <c r="H999" s="4" t="s">
        <v>2183</v>
      </c>
      <c r="I999" s="4" t="s">
        <v>2100</v>
      </c>
      <c r="J999" s="4" t="s">
        <v>3117</v>
      </c>
      <c r="K999">
        <v>19</v>
      </c>
      <c r="L999">
        <v>5.7911999999999999</v>
      </c>
      <c r="M999">
        <v>19.05</v>
      </c>
      <c r="N999">
        <v>234.95</v>
      </c>
      <c r="O999">
        <v>228</v>
      </c>
      <c r="P999">
        <v>0.75000000000000011</v>
      </c>
      <c r="Q999">
        <v>9.25</v>
      </c>
      <c r="R999">
        <v>733.01800000000003</v>
      </c>
      <c r="S999">
        <v>2.5920238482000001E-2</v>
      </c>
      <c r="T999" s="4" t="s">
        <v>3118</v>
      </c>
    </row>
    <row r="1000" spans="1:20" x14ac:dyDescent="0.2">
      <c r="A1000" s="4" t="s">
        <v>3108</v>
      </c>
      <c r="B1000" s="4" t="s">
        <v>3114</v>
      </c>
      <c r="C1000" s="4" t="s">
        <v>2096</v>
      </c>
      <c r="D1000" s="4" t="s">
        <v>2236</v>
      </c>
      <c r="E1000" s="4" t="s">
        <v>3128</v>
      </c>
      <c r="F1000" s="4" t="s">
        <v>3116</v>
      </c>
      <c r="G1000" s="4" t="s">
        <v>3108</v>
      </c>
      <c r="H1000" s="4" t="s">
        <v>2183</v>
      </c>
      <c r="I1000" s="4" t="s">
        <v>2100</v>
      </c>
      <c r="J1000" s="4" t="s">
        <v>3117</v>
      </c>
      <c r="K1000">
        <v>20</v>
      </c>
      <c r="L1000">
        <v>6.0960000000000001</v>
      </c>
      <c r="M1000">
        <v>19.05</v>
      </c>
      <c r="N1000">
        <v>234.95</v>
      </c>
      <c r="O1000">
        <v>240</v>
      </c>
      <c r="P1000">
        <v>0.75000000000000011</v>
      </c>
      <c r="Q1000">
        <v>9.25</v>
      </c>
      <c r="R1000">
        <v>733.01800000000003</v>
      </c>
      <c r="S1000">
        <v>2.7284461560000004E-2</v>
      </c>
      <c r="T1000" s="4" t="s">
        <v>3118</v>
      </c>
    </row>
    <row r="1001" spans="1:20" x14ac:dyDescent="0.2">
      <c r="A1001" s="4" t="s">
        <v>3108</v>
      </c>
      <c r="B1001" s="4" t="s">
        <v>3114</v>
      </c>
      <c r="C1001" s="4" t="s">
        <v>2096</v>
      </c>
      <c r="D1001" s="4" t="s">
        <v>2236</v>
      </c>
      <c r="E1001" s="4" t="s">
        <v>3129</v>
      </c>
      <c r="F1001" s="4" t="s">
        <v>3116</v>
      </c>
      <c r="G1001" s="4" t="s">
        <v>3108</v>
      </c>
      <c r="H1001" s="4" t="s">
        <v>2183</v>
      </c>
      <c r="I1001" s="4" t="s">
        <v>2100</v>
      </c>
      <c r="J1001" s="4" t="s">
        <v>3117</v>
      </c>
      <c r="K1001">
        <v>21</v>
      </c>
      <c r="L1001">
        <v>6.4008000000000003</v>
      </c>
      <c r="M1001">
        <v>19.05</v>
      </c>
      <c r="N1001">
        <v>234.95</v>
      </c>
      <c r="O1001">
        <v>252.00000000000003</v>
      </c>
      <c r="P1001">
        <v>0.75000000000000011</v>
      </c>
      <c r="Q1001">
        <v>9.25</v>
      </c>
      <c r="R1001">
        <v>733.01800000000003</v>
      </c>
      <c r="S1001">
        <v>2.8648684638000001E-2</v>
      </c>
      <c r="T1001" s="4" t="s">
        <v>3118</v>
      </c>
    </row>
    <row r="1002" spans="1:20" x14ac:dyDescent="0.2">
      <c r="A1002" s="4" t="s">
        <v>3108</v>
      </c>
      <c r="B1002" s="4" t="s">
        <v>3114</v>
      </c>
      <c r="C1002" s="4" t="s">
        <v>2096</v>
      </c>
      <c r="D1002" s="4" t="s">
        <v>2236</v>
      </c>
      <c r="E1002" s="4" t="s">
        <v>3130</v>
      </c>
      <c r="F1002" s="4" t="s">
        <v>3116</v>
      </c>
      <c r="G1002" s="4" t="s">
        <v>3108</v>
      </c>
      <c r="H1002" s="4" t="s">
        <v>2183</v>
      </c>
      <c r="I1002" s="4" t="s">
        <v>2100</v>
      </c>
      <c r="J1002" s="4" t="s">
        <v>3117</v>
      </c>
      <c r="K1002">
        <v>22</v>
      </c>
      <c r="L1002">
        <v>6.7055999999999996</v>
      </c>
      <c r="M1002">
        <v>19.05</v>
      </c>
      <c r="N1002">
        <v>234.95</v>
      </c>
      <c r="O1002">
        <v>264</v>
      </c>
      <c r="P1002">
        <v>0.75000000000000011</v>
      </c>
      <c r="Q1002">
        <v>9.25</v>
      </c>
      <c r="R1002">
        <v>733.01800000000003</v>
      </c>
      <c r="S1002">
        <v>3.0012907715999997E-2</v>
      </c>
      <c r="T1002" s="4" t="s">
        <v>3118</v>
      </c>
    </row>
    <row r="1003" spans="1:20" x14ac:dyDescent="0.2">
      <c r="A1003" s="4" t="s">
        <v>3108</v>
      </c>
      <c r="B1003" s="4" t="s">
        <v>3114</v>
      </c>
      <c r="C1003" s="4" t="s">
        <v>2286</v>
      </c>
      <c r="D1003" s="4" t="s">
        <v>2236</v>
      </c>
      <c r="E1003" s="4" t="s">
        <v>3131</v>
      </c>
      <c r="F1003" s="4" t="s">
        <v>3116</v>
      </c>
      <c r="G1003" s="4" t="s">
        <v>3108</v>
      </c>
      <c r="H1003" s="4" t="s">
        <v>2183</v>
      </c>
      <c r="I1003" s="4" t="s">
        <v>2100</v>
      </c>
      <c r="J1003" s="4" t="s">
        <v>3117</v>
      </c>
      <c r="K1003">
        <v>3</v>
      </c>
      <c r="L1003">
        <v>0.91439999999999999</v>
      </c>
      <c r="M1003">
        <v>19.05</v>
      </c>
      <c r="N1003">
        <v>234.95</v>
      </c>
      <c r="O1003">
        <v>36</v>
      </c>
      <c r="P1003">
        <v>0.75000000000000011</v>
      </c>
      <c r="Q1003">
        <v>9.25</v>
      </c>
      <c r="R1003">
        <v>733.01800000000003</v>
      </c>
      <c r="S1003">
        <v>4.0926692340000001E-3</v>
      </c>
      <c r="T1003" s="4" t="s">
        <v>3132</v>
      </c>
    </row>
    <row r="1004" spans="1:20" x14ac:dyDescent="0.2">
      <c r="A1004" s="4" t="s">
        <v>3108</v>
      </c>
      <c r="B1004" s="4" t="s">
        <v>3114</v>
      </c>
      <c r="C1004" s="4" t="s">
        <v>2286</v>
      </c>
      <c r="D1004" s="4" t="s">
        <v>2236</v>
      </c>
      <c r="E1004" s="4" t="s">
        <v>3133</v>
      </c>
      <c r="F1004" s="4" t="s">
        <v>3116</v>
      </c>
      <c r="G1004" s="4" t="s">
        <v>3108</v>
      </c>
      <c r="H1004" s="4" t="s">
        <v>2183</v>
      </c>
      <c r="I1004" s="4" t="s">
        <v>2100</v>
      </c>
      <c r="J1004" s="4" t="s">
        <v>3117</v>
      </c>
      <c r="K1004">
        <v>4</v>
      </c>
      <c r="L1004">
        <v>1.2192000000000001</v>
      </c>
      <c r="M1004">
        <v>19.05</v>
      </c>
      <c r="N1004">
        <v>234.95</v>
      </c>
      <c r="O1004">
        <v>48.000000000000007</v>
      </c>
      <c r="P1004">
        <v>0.75000000000000011</v>
      </c>
      <c r="Q1004">
        <v>9.25</v>
      </c>
      <c r="R1004">
        <v>733.01800000000003</v>
      </c>
      <c r="S1004">
        <v>5.4568923120000001E-3</v>
      </c>
      <c r="T1004" s="4" t="s">
        <v>3132</v>
      </c>
    </row>
    <row r="1005" spans="1:20" x14ac:dyDescent="0.2">
      <c r="A1005" s="4" t="s">
        <v>3108</v>
      </c>
      <c r="B1005" s="4" t="s">
        <v>3114</v>
      </c>
      <c r="C1005" s="4" t="s">
        <v>2286</v>
      </c>
      <c r="D1005" s="4" t="s">
        <v>2236</v>
      </c>
      <c r="E1005" s="4" t="s">
        <v>3134</v>
      </c>
      <c r="F1005" s="4" t="s">
        <v>3116</v>
      </c>
      <c r="G1005" s="4" t="s">
        <v>3108</v>
      </c>
      <c r="H1005" s="4" t="s">
        <v>2183</v>
      </c>
      <c r="I1005" s="4" t="s">
        <v>2100</v>
      </c>
      <c r="J1005" s="4" t="s">
        <v>3117</v>
      </c>
      <c r="K1005">
        <v>5</v>
      </c>
      <c r="L1005">
        <v>1.524</v>
      </c>
      <c r="M1005">
        <v>19.05</v>
      </c>
      <c r="N1005">
        <v>234.95</v>
      </c>
      <c r="O1005">
        <v>60</v>
      </c>
      <c r="P1005">
        <v>0.75000000000000011</v>
      </c>
      <c r="Q1005">
        <v>9.25</v>
      </c>
      <c r="R1005">
        <v>733.01800000000003</v>
      </c>
      <c r="S1005">
        <v>6.821115390000001E-3</v>
      </c>
      <c r="T1005" s="4" t="s">
        <v>3132</v>
      </c>
    </row>
    <row r="1006" spans="1:20" x14ac:dyDescent="0.2">
      <c r="A1006" s="4" t="s">
        <v>3108</v>
      </c>
      <c r="B1006" s="4" t="s">
        <v>3114</v>
      </c>
      <c r="C1006" s="4" t="s">
        <v>2286</v>
      </c>
      <c r="D1006" s="4" t="s">
        <v>2236</v>
      </c>
      <c r="E1006" s="4" t="s">
        <v>3135</v>
      </c>
      <c r="F1006" s="4" t="s">
        <v>3116</v>
      </c>
      <c r="G1006" s="4" t="s">
        <v>3108</v>
      </c>
      <c r="H1006" s="4" t="s">
        <v>2183</v>
      </c>
      <c r="I1006" s="4" t="s">
        <v>2100</v>
      </c>
      <c r="J1006" s="4" t="s">
        <v>3117</v>
      </c>
      <c r="K1006">
        <v>6</v>
      </c>
      <c r="L1006">
        <v>1.8288</v>
      </c>
      <c r="M1006">
        <v>19.05</v>
      </c>
      <c r="N1006">
        <v>234.95</v>
      </c>
      <c r="O1006">
        <v>72</v>
      </c>
      <c r="P1006">
        <v>0.75000000000000011</v>
      </c>
      <c r="Q1006">
        <v>9.25</v>
      </c>
      <c r="R1006">
        <v>733.01800000000003</v>
      </c>
      <c r="S1006">
        <v>8.1853384680000002E-3</v>
      </c>
      <c r="T1006" s="4" t="s">
        <v>3132</v>
      </c>
    </row>
    <row r="1007" spans="1:20" x14ac:dyDescent="0.2">
      <c r="A1007" s="4" t="s">
        <v>3108</v>
      </c>
      <c r="B1007" s="4" t="s">
        <v>3114</v>
      </c>
      <c r="C1007" s="4" t="s">
        <v>2286</v>
      </c>
      <c r="D1007" s="4" t="s">
        <v>2236</v>
      </c>
      <c r="E1007" s="4" t="s">
        <v>3136</v>
      </c>
      <c r="F1007" s="4" t="s">
        <v>3116</v>
      </c>
      <c r="G1007" s="4" t="s">
        <v>3108</v>
      </c>
      <c r="H1007" s="4" t="s">
        <v>2183</v>
      </c>
      <c r="I1007" s="4" t="s">
        <v>2100</v>
      </c>
      <c r="J1007" s="4" t="s">
        <v>3117</v>
      </c>
      <c r="K1007">
        <v>7</v>
      </c>
      <c r="L1007">
        <v>2.1335999999999999</v>
      </c>
      <c r="M1007">
        <v>19.05</v>
      </c>
      <c r="N1007">
        <v>234.95</v>
      </c>
      <c r="O1007">
        <v>84</v>
      </c>
      <c r="P1007">
        <v>0.75000000000000011</v>
      </c>
      <c r="Q1007">
        <v>9.25</v>
      </c>
      <c r="R1007">
        <v>733.01800000000003</v>
      </c>
      <c r="S1007">
        <v>9.5495615460000002E-3</v>
      </c>
      <c r="T1007" s="4" t="s">
        <v>3132</v>
      </c>
    </row>
    <row r="1008" spans="1:20" x14ac:dyDescent="0.2">
      <c r="A1008" s="4" t="s">
        <v>3108</v>
      </c>
      <c r="B1008" s="4" t="s">
        <v>3114</v>
      </c>
      <c r="C1008" s="4" t="s">
        <v>2096</v>
      </c>
      <c r="D1008" s="4" t="s">
        <v>2236</v>
      </c>
      <c r="E1008" s="4" t="s">
        <v>3137</v>
      </c>
      <c r="F1008" s="4" t="s">
        <v>3116</v>
      </c>
      <c r="G1008" s="4" t="s">
        <v>3108</v>
      </c>
      <c r="H1008" s="4" t="s">
        <v>2183</v>
      </c>
      <c r="I1008" s="4" t="s">
        <v>2100</v>
      </c>
      <c r="J1008" s="4" t="s">
        <v>3117</v>
      </c>
      <c r="K1008">
        <v>8</v>
      </c>
      <c r="L1008">
        <v>2.4384000000000001</v>
      </c>
      <c r="M1008">
        <v>19.05</v>
      </c>
      <c r="N1008">
        <v>234.95</v>
      </c>
      <c r="O1008">
        <v>96.000000000000014</v>
      </c>
      <c r="P1008">
        <v>0.75000000000000011</v>
      </c>
      <c r="Q1008">
        <v>9.25</v>
      </c>
      <c r="R1008">
        <v>733.01800000000003</v>
      </c>
      <c r="S1008">
        <v>1.0913784624E-2</v>
      </c>
      <c r="T1008" s="4" t="s">
        <v>3118</v>
      </c>
    </row>
    <row r="1009" spans="1:20" x14ac:dyDescent="0.2">
      <c r="A1009" s="4" t="s">
        <v>3108</v>
      </c>
      <c r="B1009" s="4" t="s">
        <v>3114</v>
      </c>
      <c r="C1009" s="4" t="s">
        <v>2096</v>
      </c>
      <c r="D1009" s="4" t="s">
        <v>2236</v>
      </c>
      <c r="E1009" s="4" t="s">
        <v>3138</v>
      </c>
      <c r="F1009" s="4" t="s">
        <v>3116</v>
      </c>
      <c r="G1009" s="4" t="s">
        <v>3108</v>
      </c>
      <c r="H1009" s="4" t="s">
        <v>2183</v>
      </c>
      <c r="I1009" s="4" t="s">
        <v>2100</v>
      </c>
      <c r="J1009" s="4" t="s">
        <v>3117</v>
      </c>
      <c r="K1009">
        <v>9</v>
      </c>
      <c r="L1009">
        <v>2.7431999999999999</v>
      </c>
      <c r="M1009">
        <v>19.05</v>
      </c>
      <c r="N1009">
        <v>234.95</v>
      </c>
      <c r="O1009">
        <v>108</v>
      </c>
      <c r="P1009">
        <v>0.75000000000000011</v>
      </c>
      <c r="Q1009">
        <v>9.25</v>
      </c>
      <c r="R1009">
        <v>733.01800000000003</v>
      </c>
      <c r="S1009">
        <v>1.2278007702E-2</v>
      </c>
      <c r="T1009" s="4" t="s">
        <v>3118</v>
      </c>
    </row>
    <row r="1010" spans="1:20" x14ac:dyDescent="0.2">
      <c r="A1010" s="4" t="s">
        <v>3108</v>
      </c>
      <c r="B1010" s="4" t="s">
        <v>3139</v>
      </c>
      <c r="C1010" s="4" t="s">
        <v>2096</v>
      </c>
      <c r="D1010" s="4" t="s">
        <v>2236</v>
      </c>
      <c r="E1010" s="4" t="s">
        <v>3140</v>
      </c>
      <c r="F1010" s="4" t="s">
        <v>3141</v>
      </c>
      <c r="G1010" s="4" t="s">
        <v>3108</v>
      </c>
      <c r="H1010" s="4" t="s">
        <v>2183</v>
      </c>
      <c r="I1010" s="4" t="s">
        <v>2100</v>
      </c>
      <c r="J1010" s="4" t="s">
        <v>3142</v>
      </c>
      <c r="K1010">
        <v>10</v>
      </c>
      <c r="L1010">
        <v>3.3527999999999998</v>
      </c>
      <c r="M1010">
        <v>19.05</v>
      </c>
      <c r="N1010">
        <v>285.75</v>
      </c>
      <c r="O1010">
        <v>132</v>
      </c>
      <c r="P1010">
        <v>0.75000000000000011</v>
      </c>
      <c r="Q1010">
        <v>11.25</v>
      </c>
      <c r="R1010">
        <v>602.70399999999995</v>
      </c>
      <c r="S1010">
        <v>1.8251092530000002E-2</v>
      </c>
      <c r="T1010" s="4" t="s">
        <v>3143</v>
      </c>
    </row>
    <row r="1011" spans="1:20" x14ac:dyDescent="0.2">
      <c r="A1011" s="4" t="s">
        <v>3108</v>
      </c>
      <c r="B1011" s="4" t="s">
        <v>3139</v>
      </c>
      <c r="C1011" s="4" t="s">
        <v>2096</v>
      </c>
      <c r="D1011" s="4" t="s">
        <v>2236</v>
      </c>
      <c r="E1011" s="4" t="s">
        <v>3144</v>
      </c>
      <c r="F1011" s="4" t="s">
        <v>3141</v>
      </c>
      <c r="G1011" s="4" t="s">
        <v>3108</v>
      </c>
      <c r="H1011" s="4" t="s">
        <v>2183</v>
      </c>
      <c r="I1011" s="4" t="s">
        <v>2100</v>
      </c>
      <c r="J1011" s="4" t="s">
        <v>3142</v>
      </c>
      <c r="K1011">
        <v>11</v>
      </c>
      <c r="L1011">
        <v>3.3527999999999998</v>
      </c>
      <c r="M1011">
        <v>19.05</v>
      </c>
      <c r="N1011">
        <v>285.75</v>
      </c>
      <c r="O1011">
        <v>132</v>
      </c>
      <c r="P1011">
        <v>0.75000000000000011</v>
      </c>
      <c r="Q1011">
        <v>11.25</v>
      </c>
      <c r="R1011">
        <v>602.70399999999995</v>
      </c>
      <c r="S1011">
        <v>1.8251092530000002E-2</v>
      </c>
      <c r="T1011" s="4" t="s">
        <v>3143</v>
      </c>
    </row>
    <row r="1012" spans="1:20" x14ac:dyDescent="0.2">
      <c r="A1012" s="4" t="s">
        <v>3108</v>
      </c>
      <c r="B1012" s="4" t="s">
        <v>3139</v>
      </c>
      <c r="C1012" s="4" t="s">
        <v>2096</v>
      </c>
      <c r="D1012" s="4" t="s">
        <v>2236</v>
      </c>
      <c r="E1012" s="4" t="s">
        <v>807</v>
      </c>
      <c r="F1012" s="4" t="s">
        <v>3141</v>
      </c>
      <c r="G1012" s="4" t="s">
        <v>3108</v>
      </c>
      <c r="H1012" s="4" t="s">
        <v>2183</v>
      </c>
      <c r="I1012" s="4" t="s">
        <v>2100</v>
      </c>
      <c r="J1012" s="4" t="s">
        <v>3142</v>
      </c>
      <c r="K1012">
        <v>12</v>
      </c>
      <c r="L1012">
        <v>3.6576</v>
      </c>
      <c r="M1012">
        <v>19.05</v>
      </c>
      <c r="N1012">
        <v>285.75</v>
      </c>
      <c r="O1012">
        <v>144</v>
      </c>
      <c r="P1012">
        <v>0.75000000000000011</v>
      </c>
      <c r="Q1012">
        <v>11.25</v>
      </c>
      <c r="R1012">
        <v>602.70399999999995</v>
      </c>
      <c r="S1012">
        <v>1.9910282759999998E-2</v>
      </c>
      <c r="T1012" s="4" t="s">
        <v>3143</v>
      </c>
    </row>
    <row r="1013" spans="1:20" x14ac:dyDescent="0.2">
      <c r="A1013" s="4" t="s">
        <v>3108</v>
      </c>
      <c r="B1013" s="4" t="s">
        <v>3139</v>
      </c>
      <c r="C1013" s="4" t="s">
        <v>2096</v>
      </c>
      <c r="D1013" s="4" t="s">
        <v>2236</v>
      </c>
      <c r="E1013" s="4" t="s">
        <v>3145</v>
      </c>
      <c r="F1013" s="4" t="s">
        <v>3141</v>
      </c>
      <c r="G1013" s="4" t="s">
        <v>3108</v>
      </c>
      <c r="H1013" s="4" t="s">
        <v>2183</v>
      </c>
      <c r="I1013" s="4" t="s">
        <v>2100</v>
      </c>
      <c r="J1013" s="4" t="s">
        <v>3142</v>
      </c>
      <c r="K1013">
        <v>13</v>
      </c>
      <c r="L1013">
        <v>3.9624000000000001</v>
      </c>
      <c r="M1013">
        <v>19.05</v>
      </c>
      <c r="N1013">
        <v>285.75</v>
      </c>
      <c r="O1013">
        <v>156</v>
      </c>
      <c r="P1013">
        <v>0.75000000000000011</v>
      </c>
      <c r="Q1013">
        <v>11.25</v>
      </c>
      <c r="R1013">
        <v>602.70399999999995</v>
      </c>
      <c r="S1013">
        <v>2.1569472990000001E-2</v>
      </c>
      <c r="T1013" s="4" t="s">
        <v>3143</v>
      </c>
    </row>
    <row r="1014" spans="1:20" x14ac:dyDescent="0.2">
      <c r="A1014" s="4" t="s">
        <v>3108</v>
      </c>
      <c r="B1014" s="4" t="s">
        <v>3139</v>
      </c>
      <c r="C1014" s="4" t="s">
        <v>2096</v>
      </c>
      <c r="D1014" s="4" t="s">
        <v>2236</v>
      </c>
      <c r="E1014" s="4" t="s">
        <v>3146</v>
      </c>
      <c r="F1014" s="4" t="s">
        <v>3141</v>
      </c>
      <c r="G1014" s="4" t="s">
        <v>3108</v>
      </c>
      <c r="H1014" s="4" t="s">
        <v>2183</v>
      </c>
      <c r="I1014" s="4" t="s">
        <v>2100</v>
      </c>
      <c r="J1014" s="4" t="s">
        <v>3142</v>
      </c>
      <c r="K1014">
        <v>14</v>
      </c>
      <c r="L1014">
        <v>4.2671999999999999</v>
      </c>
      <c r="M1014">
        <v>19.05</v>
      </c>
      <c r="N1014">
        <v>285.75</v>
      </c>
      <c r="O1014">
        <v>168</v>
      </c>
      <c r="P1014">
        <v>0.75000000000000011</v>
      </c>
      <c r="Q1014">
        <v>11.25</v>
      </c>
      <c r="R1014">
        <v>602.70399999999995</v>
      </c>
      <c r="S1014">
        <v>2.3228663220000001E-2</v>
      </c>
      <c r="T1014" s="4" t="s">
        <v>3143</v>
      </c>
    </row>
    <row r="1015" spans="1:20" x14ac:dyDescent="0.2">
      <c r="A1015" s="4" t="s">
        <v>3108</v>
      </c>
      <c r="B1015" s="4" t="s">
        <v>3139</v>
      </c>
      <c r="C1015" s="4" t="s">
        <v>2096</v>
      </c>
      <c r="D1015" s="4" t="s">
        <v>2236</v>
      </c>
      <c r="E1015" s="4" t="s">
        <v>3147</v>
      </c>
      <c r="F1015" s="4" t="s">
        <v>3141</v>
      </c>
      <c r="G1015" s="4" t="s">
        <v>3108</v>
      </c>
      <c r="H1015" s="4" t="s">
        <v>2183</v>
      </c>
      <c r="I1015" s="4" t="s">
        <v>2100</v>
      </c>
      <c r="J1015" s="4" t="s">
        <v>3142</v>
      </c>
      <c r="K1015">
        <v>15</v>
      </c>
      <c r="L1015">
        <v>4.5720000000000001</v>
      </c>
      <c r="M1015">
        <v>19.05</v>
      </c>
      <c r="N1015">
        <v>285.75</v>
      </c>
      <c r="O1015">
        <v>180</v>
      </c>
      <c r="P1015">
        <v>0.75000000000000011</v>
      </c>
      <c r="Q1015">
        <v>11.25</v>
      </c>
      <c r="R1015">
        <v>602.70399999999995</v>
      </c>
      <c r="S1015">
        <v>2.4887853450000001E-2</v>
      </c>
      <c r="T1015" s="4" t="s">
        <v>3143</v>
      </c>
    </row>
    <row r="1016" spans="1:20" x14ac:dyDescent="0.2">
      <c r="A1016" s="4" t="s">
        <v>3108</v>
      </c>
      <c r="B1016" s="4" t="s">
        <v>3139</v>
      </c>
      <c r="C1016" s="4" t="s">
        <v>2096</v>
      </c>
      <c r="D1016" s="4" t="s">
        <v>2236</v>
      </c>
      <c r="E1016" s="4" t="s">
        <v>3148</v>
      </c>
      <c r="F1016" s="4" t="s">
        <v>3141</v>
      </c>
      <c r="G1016" s="4" t="s">
        <v>3108</v>
      </c>
      <c r="H1016" s="4" t="s">
        <v>2183</v>
      </c>
      <c r="I1016" s="4" t="s">
        <v>2100</v>
      </c>
      <c r="J1016" s="4" t="s">
        <v>3142</v>
      </c>
      <c r="K1016">
        <v>16</v>
      </c>
      <c r="L1016">
        <v>4.8768000000000002</v>
      </c>
      <c r="M1016">
        <v>19.05</v>
      </c>
      <c r="N1016">
        <v>285.75</v>
      </c>
      <c r="O1016">
        <v>192.00000000000003</v>
      </c>
      <c r="P1016">
        <v>0.75000000000000011</v>
      </c>
      <c r="Q1016">
        <v>11.25</v>
      </c>
      <c r="R1016">
        <v>602.70399999999995</v>
      </c>
      <c r="S1016">
        <v>2.654704368E-2</v>
      </c>
      <c r="T1016" s="4" t="s">
        <v>3143</v>
      </c>
    </row>
    <row r="1017" spans="1:20" x14ac:dyDescent="0.2">
      <c r="A1017" s="4" t="s">
        <v>3108</v>
      </c>
      <c r="B1017" s="4" t="s">
        <v>3139</v>
      </c>
      <c r="C1017" s="4" t="s">
        <v>2096</v>
      </c>
      <c r="D1017" s="4" t="s">
        <v>2236</v>
      </c>
      <c r="E1017" s="4" t="s">
        <v>3149</v>
      </c>
      <c r="F1017" s="4" t="s">
        <v>3141</v>
      </c>
      <c r="G1017" s="4" t="s">
        <v>3108</v>
      </c>
      <c r="H1017" s="4" t="s">
        <v>2183</v>
      </c>
      <c r="I1017" s="4" t="s">
        <v>2100</v>
      </c>
      <c r="J1017" s="4" t="s">
        <v>3142</v>
      </c>
      <c r="K1017">
        <v>17</v>
      </c>
      <c r="L1017">
        <v>5.1816000000000004</v>
      </c>
      <c r="M1017">
        <v>19.05</v>
      </c>
      <c r="N1017">
        <v>285.75</v>
      </c>
      <c r="O1017">
        <v>204.00000000000003</v>
      </c>
      <c r="P1017">
        <v>0.75000000000000011</v>
      </c>
      <c r="Q1017">
        <v>11.25</v>
      </c>
      <c r="R1017">
        <v>602.70399999999995</v>
      </c>
      <c r="S1017">
        <v>2.8206233910000007E-2</v>
      </c>
      <c r="T1017" s="4" t="s">
        <v>3143</v>
      </c>
    </row>
    <row r="1018" spans="1:20" x14ac:dyDescent="0.2">
      <c r="A1018" s="4" t="s">
        <v>3108</v>
      </c>
      <c r="B1018" s="4" t="s">
        <v>3139</v>
      </c>
      <c r="C1018" s="4" t="s">
        <v>2096</v>
      </c>
      <c r="D1018" s="4" t="s">
        <v>2236</v>
      </c>
      <c r="E1018" s="4" t="s">
        <v>3150</v>
      </c>
      <c r="F1018" s="4" t="s">
        <v>3141</v>
      </c>
      <c r="G1018" s="4" t="s">
        <v>3108</v>
      </c>
      <c r="H1018" s="4" t="s">
        <v>2183</v>
      </c>
      <c r="I1018" s="4" t="s">
        <v>2100</v>
      </c>
      <c r="J1018" s="4" t="s">
        <v>3142</v>
      </c>
      <c r="K1018">
        <v>18</v>
      </c>
      <c r="L1018">
        <v>5.4863999999999997</v>
      </c>
      <c r="M1018">
        <v>19.05</v>
      </c>
      <c r="N1018">
        <v>285.75</v>
      </c>
      <c r="O1018">
        <v>216</v>
      </c>
      <c r="P1018">
        <v>0.75000000000000011</v>
      </c>
      <c r="Q1018">
        <v>11.25</v>
      </c>
      <c r="R1018">
        <v>602.70399999999995</v>
      </c>
      <c r="S1018">
        <v>2.9865424139999999E-2</v>
      </c>
      <c r="T1018" s="4" t="s">
        <v>3143</v>
      </c>
    </row>
    <row r="1019" spans="1:20" x14ac:dyDescent="0.2">
      <c r="A1019" s="4" t="s">
        <v>3108</v>
      </c>
      <c r="B1019" s="4" t="s">
        <v>3139</v>
      </c>
      <c r="C1019" s="4" t="s">
        <v>2096</v>
      </c>
      <c r="D1019" s="4" t="s">
        <v>2236</v>
      </c>
      <c r="E1019" s="4" t="s">
        <v>3151</v>
      </c>
      <c r="F1019" s="4" t="s">
        <v>3141</v>
      </c>
      <c r="G1019" s="4" t="s">
        <v>3108</v>
      </c>
      <c r="H1019" s="4" t="s">
        <v>2183</v>
      </c>
      <c r="I1019" s="4" t="s">
        <v>2100</v>
      </c>
      <c r="J1019" s="4" t="s">
        <v>3142</v>
      </c>
      <c r="K1019">
        <v>19</v>
      </c>
      <c r="L1019">
        <v>5.7911999999999999</v>
      </c>
      <c r="M1019">
        <v>19.05</v>
      </c>
      <c r="N1019">
        <v>285.75</v>
      </c>
      <c r="O1019">
        <v>228</v>
      </c>
      <c r="P1019">
        <v>0.75000000000000011</v>
      </c>
      <c r="Q1019">
        <v>11.25</v>
      </c>
      <c r="R1019">
        <v>602.70399999999995</v>
      </c>
      <c r="S1019">
        <v>3.1524614370000002E-2</v>
      </c>
      <c r="T1019" s="4" t="s">
        <v>3143</v>
      </c>
    </row>
    <row r="1020" spans="1:20" x14ac:dyDescent="0.2">
      <c r="A1020" s="4" t="s">
        <v>3108</v>
      </c>
      <c r="B1020" s="4" t="s">
        <v>3139</v>
      </c>
      <c r="C1020" s="4" t="s">
        <v>2096</v>
      </c>
      <c r="D1020" s="4" t="s">
        <v>2236</v>
      </c>
      <c r="E1020" s="4" t="s">
        <v>809</v>
      </c>
      <c r="F1020" s="4" t="s">
        <v>3141</v>
      </c>
      <c r="G1020" s="4" t="s">
        <v>3108</v>
      </c>
      <c r="H1020" s="4" t="s">
        <v>2183</v>
      </c>
      <c r="I1020" s="4" t="s">
        <v>2100</v>
      </c>
      <c r="J1020" s="4" t="s">
        <v>3142</v>
      </c>
      <c r="K1020">
        <v>20</v>
      </c>
      <c r="L1020">
        <v>6.0960000000000001</v>
      </c>
      <c r="M1020">
        <v>19.05</v>
      </c>
      <c r="N1020">
        <v>285.75</v>
      </c>
      <c r="O1020">
        <v>240</v>
      </c>
      <c r="P1020">
        <v>0.75000000000000011</v>
      </c>
      <c r="Q1020">
        <v>11.25</v>
      </c>
      <c r="R1020">
        <v>602.70399999999995</v>
      </c>
      <c r="S1020">
        <v>3.3183804600000005E-2</v>
      </c>
      <c r="T1020" s="4" t="s">
        <v>3143</v>
      </c>
    </row>
    <row r="1021" spans="1:20" x14ac:dyDescent="0.2">
      <c r="A1021" s="4" t="s">
        <v>3108</v>
      </c>
      <c r="B1021" s="4" t="s">
        <v>3139</v>
      </c>
      <c r="C1021" s="4" t="s">
        <v>2096</v>
      </c>
      <c r="D1021" s="4" t="s">
        <v>2236</v>
      </c>
      <c r="E1021" s="4" t="s">
        <v>3152</v>
      </c>
      <c r="F1021" s="4" t="s">
        <v>3141</v>
      </c>
      <c r="G1021" s="4" t="s">
        <v>3108</v>
      </c>
      <c r="H1021" s="4" t="s">
        <v>2183</v>
      </c>
      <c r="I1021" s="4" t="s">
        <v>2100</v>
      </c>
      <c r="J1021" s="4" t="s">
        <v>3142</v>
      </c>
      <c r="K1021">
        <v>21</v>
      </c>
      <c r="L1021">
        <v>6.4008000000000003</v>
      </c>
      <c r="M1021">
        <v>19.05</v>
      </c>
      <c r="N1021">
        <v>285.75</v>
      </c>
      <c r="O1021">
        <v>252.00000000000003</v>
      </c>
      <c r="P1021">
        <v>0.75000000000000011</v>
      </c>
      <c r="Q1021">
        <v>11.25</v>
      </c>
      <c r="R1021">
        <v>602.70399999999995</v>
      </c>
      <c r="S1021">
        <v>3.4842994830000001E-2</v>
      </c>
      <c r="T1021" s="4" t="s">
        <v>3143</v>
      </c>
    </row>
    <row r="1022" spans="1:20" x14ac:dyDescent="0.2">
      <c r="A1022" s="4" t="s">
        <v>3108</v>
      </c>
      <c r="B1022" s="4" t="s">
        <v>3139</v>
      </c>
      <c r="C1022" s="4" t="s">
        <v>2096</v>
      </c>
      <c r="D1022" s="4" t="s">
        <v>2236</v>
      </c>
      <c r="E1022" s="4" t="s">
        <v>3153</v>
      </c>
      <c r="F1022" s="4" t="s">
        <v>3141</v>
      </c>
      <c r="G1022" s="4" t="s">
        <v>3108</v>
      </c>
      <c r="H1022" s="4" t="s">
        <v>2183</v>
      </c>
      <c r="I1022" s="4" t="s">
        <v>2100</v>
      </c>
      <c r="J1022" s="4" t="s">
        <v>3142</v>
      </c>
      <c r="K1022">
        <v>22</v>
      </c>
      <c r="L1022">
        <v>6.7055999999999996</v>
      </c>
      <c r="M1022">
        <v>19.05</v>
      </c>
      <c r="N1022">
        <v>285.75</v>
      </c>
      <c r="O1022">
        <v>264</v>
      </c>
      <c r="P1022">
        <v>0.75000000000000011</v>
      </c>
      <c r="Q1022">
        <v>11.25</v>
      </c>
      <c r="R1022">
        <v>602.70399999999995</v>
      </c>
      <c r="S1022">
        <v>3.6502185060000004E-2</v>
      </c>
      <c r="T1022" s="4" t="s">
        <v>3143</v>
      </c>
    </row>
    <row r="1023" spans="1:20" x14ac:dyDescent="0.2">
      <c r="A1023" s="4" t="s">
        <v>3108</v>
      </c>
      <c r="B1023" s="4" t="s">
        <v>3139</v>
      </c>
      <c r="C1023" s="4" t="s">
        <v>2286</v>
      </c>
      <c r="D1023" s="4" t="s">
        <v>2236</v>
      </c>
      <c r="E1023" s="4" t="s">
        <v>3154</v>
      </c>
      <c r="F1023" s="4" t="s">
        <v>3141</v>
      </c>
      <c r="G1023" s="4" t="s">
        <v>3108</v>
      </c>
      <c r="H1023" s="4" t="s">
        <v>2183</v>
      </c>
      <c r="I1023" s="4" t="s">
        <v>2100</v>
      </c>
      <c r="J1023" s="4" t="s">
        <v>3142</v>
      </c>
      <c r="K1023">
        <v>3</v>
      </c>
      <c r="L1023">
        <v>0.91439999999999999</v>
      </c>
      <c r="M1023">
        <v>19.05</v>
      </c>
      <c r="N1023">
        <v>285.75</v>
      </c>
      <c r="O1023">
        <v>36</v>
      </c>
      <c r="P1023">
        <v>0.75000000000000011</v>
      </c>
      <c r="Q1023">
        <v>11.25</v>
      </c>
      <c r="R1023">
        <v>602.70399999999995</v>
      </c>
      <c r="S1023">
        <v>4.9775706899999996E-3</v>
      </c>
      <c r="T1023" s="4" t="s">
        <v>3155</v>
      </c>
    </row>
    <row r="1024" spans="1:20" x14ac:dyDescent="0.2">
      <c r="A1024" s="4" t="s">
        <v>3108</v>
      </c>
      <c r="B1024" s="4" t="s">
        <v>3139</v>
      </c>
      <c r="C1024" s="4" t="s">
        <v>2286</v>
      </c>
      <c r="D1024" s="4" t="s">
        <v>2236</v>
      </c>
      <c r="E1024" s="4" t="s">
        <v>3156</v>
      </c>
      <c r="F1024" s="4" t="s">
        <v>3141</v>
      </c>
      <c r="G1024" s="4" t="s">
        <v>3108</v>
      </c>
      <c r="H1024" s="4" t="s">
        <v>2183</v>
      </c>
      <c r="I1024" s="4" t="s">
        <v>2100</v>
      </c>
      <c r="J1024" s="4" t="s">
        <v>3142</v>
      </c>
      <c r="K1024">
        <v>4</v>
      </c>
      <c r="L1024">
        <v>1.2192000000000001</v>
      </c>
      <c r="M1024">
        <v>19.05</v>
      </c>
      <c r="N1024">
        <v>285.75</v>
      </c>
      <c r="O1024">
        <v>48.000000000000007</v>
      </c>
      <c r="P1024">
        <v>0.75000000000000011</v>
      </c>
      <c r="Q1024">
        <v>11.25</v>
      </c>
      <c r="R1024">
        <v>602.70399999999995</v>
      </c>
      <c r="S1024">
        <v>6.63676092E-3</v>
      </c>
      <c r="T1024" s="4" t="s">
        <v>3155</v>
      </c>
    </row>
    <row r="1025" spans="1:20" x14ac:dyDescent="0.2">
      <c r="A1025" s="4" t="s">
        <v>3108</v>
      </c>
      <c r="B1025" s="4" t="s">
        <v>3139</v>
      </c>
      <c r="C1025" s="4" t="s">
        <v>2286</v>
      </c>
      <c r="D1025" s="4" t="s">
        <v>2236</v>
      </c>
      <c r="E1025" s="4" t="s">
        <v>3157</v>
      </c>
      <c r="F1025" s="4" t="s">
        <v>3141</v>
      </c>
      <c r="G1025" s="4" t="s">
        <v>3108</v>
      </c>
      <c r="H1025" s="4" t="s">
        <v>2183</v>
      </c>
      <c r="I1025" s="4" t="s">
        <v>2100</v>
      </c>
      <c r="J1025" s="4" t="s">
        <v>3142</v>
      </c>
      <c r="K1025">
        <v>5</v>
      </c>
      <c r="L1025">
        <v>1.524</v>
      </c>
      <c r="M1025">
        <v>19.05</v>
      </c>
      <c r="N1025">
        <v>285.75</v>
      </c>
      <c r="O1025">
        <v>60</v>
      </c>
      <c r="P1025">
        <v>0.75000000000000011</v>
      </c>
      <c r="Q1025">
        <v>11.25</v>
      </c>
      <c r="R1025">
        <v>602.70399999999995</v>
      </c>
      <c r="S1025">
        <v>8.2959511500000013E-3</v>
      </c>
      <c r="T1025" s="4" t="s">
        <v>3155</v>
      </c>
    </row>
    <row r="1026" spans="1:20" x14ac:dyDescent="0.2">
      <c r="A1026" s="4" t="s">
        <v>3108</v>
      </c>
      <c r="B1026" s="4" t="s">
        <v>3139</v>
      </c>
      <c r="C1026" s="4" t="s">
        <v>2286</v>
      </c>
      <c r="D1026" s="4" t="s">
        <v>2236</v>
      </c>
      <c r="E1026" s="4" t="s">
        <v>3158</v>
      </c>
      <c r="F1026" s="4" t="s">
        <v>3141</v>
      </c>
      <c r="G1026" s="4" t="s">
        <v>3108</v>
      </c>
      <c r="H1026" s="4" t="s">
        <v>2183</v>
      </c>
      <c r="I1026" s="4" t="s">
        <v>2100</v>
      </c>
      <c r="J1026" s="4" t="s">
        <v>3142</v>
      </c>
      <c r="K1026">
        <v>6</v>
      </c>
      <c r="L1026">
        <v>1.8288</v>
      </c>
      <c r="M1026">
        <v>19.05</v>
      </c>
      <c r="N1026">
        <v>285.75</v>
      </c>
      <c r="O1026">
        <v>72</v>
      </c>
      <c r="P1026">
        <v>0.75000000000000011</v>
      </c>
      <c r="Q1026">
        <v>11.25</v>
      </c>
      <c r="R1026">
        <v>602.70399999999995</v>
      </c>
      <c r="S1026">
        <v>9.9551413799999992E-3</v>
      </c>
      <c r="T1026" s="4" t="s">
        <v>3155</v>
      </c>
    </row>
    <row r="1027" spans="1:20" x14ac:dyDescent="0.2">
      <c r="A1027" s="4" t="s">
        <v>3108</v>
      </c>
      <c r="B1027" s="4" t="s">
        <v>3139</v>
      </c>
      <c r="C1027" s="4" t="s">
        <v>2286</v>
      </c>
      <c r="D1027" s="4" t="s">
        <v>2236</v>
      </c>
      <c r="E1027" s="4" t="s">
        <v>3159</v>
      </c>
      <c r="F1027" s="4" t="s">
        <v>3141</v>
      </c>
      <c r="G1027" s="4" t="s">
        <v>3108</v>
      </c>
      <c r="H1027" s="4" t="s">
        <v>2183</v>
      </c>
      <c r="I1027" s="4" t="s">
        <v>2100</v>
      </c>
      <c r="J1027" s="4" t="s">
        <v>3142</v>
      </c>
      <c r="K1027">
        <v>7</v>
      </c>
      <c r="L1027">
        <v>2.1335999999999999</v>
      </c>
      <c r="M1027">
        <v>19.05</v>
      </c>
      <c r="N1027">
        <v>285.75</v>
      </c>
      <c r="O1027">
        <v>84</v>
      </c>
      <c r="P1027">
        <v>0.75000000000000011</v>
      </c>
      <c r="Q1027">
        <v>11.25</v>
      </c>
      <c r="R1027">
        <v>602.70399999999995</v>
      </c>
      <c r="S1027">
        <v>1.161433161E-2</v>
      </c>
      <c r="T1027" s="4" t="s">
        <v>3155</v>
      </c>
    </row>
    <row r="1028" spans="1:20" x14ac:dyDescent="0.2">
      <c r="A1028" s="4" t="s">
        <v>3108</v>
      </c>
      <c r="B1028" s="4" t="s">
        <v>3139</v>
      </c>
      <c r="C1028" s="4" t="s">
        <v>2096</v>
      </c>
      <c r="D1028" s="4" t="s">
        <v>2236</v>
      </c>
      <c r="E1028" s="4" t="s">
        <v>3160</v>
      </c>
      <c r="F1028" s="4" t="s">
        <v>3141</v>
      </c>
      <c r="G1028" s="4" t="s">
        <v>3108</v>
      </c>
      <c r="H1028" s="4" t="s">
        <v>2183</v>
      </c>
      <c r="I1028" s="4" t="s">
        <v>2100</v>
      </c>
      <c r="J1028" s="4" t="s">
        <v>3142</v>
      </c>
      <c r="K1028">
        <v>8</v>
      </c>
      <c r="L1028">
        <v>2.4384000000000001</v>
      </c>
      <c r="M1028">
        <v>19.05</v>
      </c>
      <c r="N1028">
        <v>285.75</v>
      </c>
      <c r="O1028">
        <v>96.000000000000014</v>
      </c>
      <c r="P1028">
        <v>0.75000000000000011</v>
      </c>
      <c r="Q1028">
        <v>11.25</v>
      </c>
      <c r="R1028">
        <v>602.70399999999995</v>
      </c>
      <c r="S1028">
        <v>1.327352184E-2</v>
      </c>
      <c r="T1028" s="4" t="s">
        <v>3143</v>
      </c>
    </row>
    <row r="1029" spans="1:20" x14ac:dyDescent="0.2">
      <c r="A1029" s="4" t="s">
        <v>3108</v>
      </c>
      <c r="B1029" s="4" t="s">
        <v>3139</v>
      </c>
      <c r="C1029" s="4" t="s">
        <v>2096</v>
      </c>
      <c r="D1029" s="4" t="s">
        <v>2236</v>
      </c>
      <c r="E1029" s="4" t="s">
        <v>3161</v>
      </c>
      <c r="F1029" s="4" t="s">
        <v>3141</v>
      </c>
      <c r="G1029" s="4" t="s">
        <v>3108</v>
      </c>
      <c r="H1029" s="4" t="s">
        <v>2183</v>
      </c>
      <c r="I1029" s="4" t="s">
        <v>2100</v>
      </c>
      <c r="J1029" s="4" t="s">
        <v>3142</v>
      </c>
      <c r="K1029">
        <v>9</v>
      </c>
      <c r="L1029">
        <v>2.7431999999999999</v>
      </c>
      <c r="M1029">
        <v>19.05</v>
      </c>
      <c r="N1029">
        <v>285.75</v>
      </c>
      <c r="O1029">
        <v>108</v>
      </c>
      <c r="P1029">
        <v>0.75000000000000011</v>
      </c>
      <c r="Q1029">
        <v>11.25</v>
      </c>
      <c r="R1029">
        <v>602.70399999999995</v>
      </c>
      <c r="S1029">
        <v>1.493271207E-2</v>
      </c>
      <c r="T1029" s="4" t="s">
        <v>3143</v>
      </c>
    </row>
    <row r="1030" spans="1:20" x14ac:dyDescent="0.2">
      <c r="A1030" s="4" t="s">
        <v>3108</v>
      </c>
      <c r="B1030" s="4" t="s">
        <v>3162</v>
      </c>
      <c r="C1030" s="4" t="s">
        <v>2096</v>
      </c>
      <c r="D1030" s="4" t="s">
        <v>2236</v>
      </c>
      <c r="E1030" s="4" t="s">
        <v>3163</v>
      </c>
      <c r="F1030" s="4" t="s">
        <v>3164</v>
      </c>
      <c r="G1030" s="4" t="s">
        <v>3108</v>
      </c>
      <c r="H1030" s="4" t="s">
        <v>2183</v>
      </c>
      <c r="I1030" s="4" t="s">
        <v>2100</v>
      </c>
      <c r="J1030" s="4" t="s">
        <v>3165</v>
      </c>
      <c r="K1030">
        <v>10</v>
      </c>
      <c r="L1030">
        <v>3.048</v>
      </c>
      <c r="M1030">
        <v>19.05</v>
      </c>
      <c r="N1030">
        <v>38.1</v>
      </c>
      <c r="O1030">
        <v>120</v>
      </c>
      <c r="P1030">
        <v>0.75000000000000011</v>
      </c>
      <c r="Q1030">
        <v>1.5000000000000002</v>
      </c>
      <c r="R1030">
        <v>4520.277</v>
      </c>
      <c r="S1030">
        <v>2.2122536400000004E-3</v>
      </c>
      <c r="T1030" s="4" t="s">
        <v>3166</v>
      </c>
    </row>
    <row r="1031" spans="1:20" x14ac:dyDescent="0.2">
      <c r="A1031" s="4" t="s">
        <v>3108</v>
      </c>
      <c r="B1031" s="4" t="s">
        <v>3162</v>
      </c>
      <c r="C1031" s="4" t="s">
        <v>2096</v>
      </c>
      <c r="D1031" s="4" t="s">
        <v>2236</v>
      </c>
      <c r="E1031" s="4" t="s">
        <v>3167</v>
      </c>
      <c r="F1031" s="4" t="s">
        <v>3164</v>
      </c>
      <c r="G1031" s="4" t="s">
        <v>3108</v>
      </c>
      <c r="H1031" s="4" t="s">
        <v>2183</v>
      </c>
      <c r="I1031" s="4" t="s">
        <v>2100</v>
      </c>
      <c r="J1031" s="4" t="s">
        <v>3165</v>
      </c>
      <c r="K1031">
        <v>11</v>
      </c>
      <c r="L1031">
        <v>3.3527999999999998</v>
      </c>
      <c r="M1031">
        <v>19.05</v>
      </c>
      <c r="N1031">
        <v>38.1</v>
      </c>
      <c r="O1031">
        <v>132</v>
      </c>
      <c r="P1031">
        <v>0.75000000000000011</v>
      </c>
      <c r="Q1031">
        <v>1.5000000000000002</v>
      </c>
      <c r="R1031">
        <v>4520.277</v>
      </c>
      <c r="S1031">
        <v>2.4334790040000001E-3</v>
      </c>
      <c r="T1031" s="4" t="s">
        <v>3166</v>
      </c>
    </row>
    <row r="1032" spans="1:20" x14ac:dyDescent="0.2">
      <c r="A1032" s="4" t="s">
        <v>3108</v>
      </c>
      <c r="B1032" s="4" t="s">
        <v>3162</v>
      </c>
      <c r="C1032" s="4" t="s">
        <v>2096</v>
      </c>
      <c r="D1032" s="4" t="s">
        <v>2236</v>
      </c>
      <c r="E1032" s="4" t="s">
        <v>3168</v>
      </c>
      <c r="F1032" s="4" t="s">
        <v>3164</v>
      </c>
      <c r="G1032" s="4" t="s">
        <v>3108</v>
      </c>
      <c r="H1032" s="4" t="s">
        <v>2183</v>
      </c>
      <c r="I1032" s="4" t="s">
        <v>2100</v>
      </c>
      <c r="J1032" s="4" t="s">
        <v>3165</v>
      </c>
      <c r="K1032">
        <v>12</v>
      </c>
      <c r="L1032">
        <v>3.6576</v>
      </c>
      <c r="M1032">
        <v>19.05</v>
      </c>
      <c r="N1032">
        <v>38.1</v>
      </c>
      <c r="O1032">
        <v>144</v>
      </c>
      <c r="P1032">
        <v>0.75000000000000011</v>
      </c>
      <c r="Q1032">
        <v>1.5000000000000002</v>
      </c>
      <c r="R1032">
        <v>4520.277</v>
      </c>
      <c r="S1032">
        <v>2.6547043680000002E-3</v>
      </c>
      <c r="T1032" s="4" t="s">
        <v>3166</v>
      </c>
    </row>
    <row r="1033" spans="1:20" x14ac:dyDescent="0.2">
      <c r="A1033" s="4" t="s">
        <v>3108</v>
      </c>
      <c r="B1033" s="4" t="s">
        <v>3162</v>
      </c>
      <c r="C1033" s="4" t="s">
        <v>2096</v>
      </c>
      <c r="D1033" s="4" t="s">
        <v>2236</v>
      </c>
      <c r="E1033" s="4" t="s">
        <v>3169</v>
      </c>
      <c r="F1033" s="4" t="s">
        <v>3164</v>
      </c>
      <c r="G1033" s="4" t="s">
        <v>3108</v>
      </c>
      <c r="H1033" s="4" t="s">
        <v>2183</v>
      </c>
      <c r="I1033" s="4" t="s">
        <v>2100</v>
      </c>
      <c r="J1033" s="4" t="s">
        <v>3165</v>
      </c>
      <c r="K1033">
        <v>13</v>
      </c>
      <c r="L1033">
        <v>3.9624000000000001</v>
      </c>
      <c r="M1033">
        <v>19.05</v>
      </c>
      <c r="N1033">
        <v>38.1</v>
      </c>
      <c r="O1033">
        <v>156</v>
      </c>
      <c r="P1033">
        <v>0.75000000000000011</v>
      </c>
      <c r="Q1033">
        <v>1.5000000000000002</v>
      </c>
      <c r="R1033">
        <v>4520.277</v>
      </c>
      <c r="S1033">
        <v>2.8759297320000003E-3</v>
      </c>
      <c r="T1033" s="4" t="s">
        <v>3166</v>
      </c>
    </row>
    <row r="1034" spans="1:20" x14ac:dyDescent="0.2">
      <c r="A1034" s="4" t="s">
        <v>3108</v>
      </c>
      <c r="B1034" s="4" t="s">
        <v>3162</v>
      </c>
      <c r="C1034" s="4" t="s">
        <v>2096</v>
      </c>
      <c r="D1034" s="4" t="s">
        <v>2236</v>
      </c>
      <c r="E1034" s="4" t="s">
        <v>3170</v>
      </c>
      <c r="F1034" s="4" t="s">
        <v>3164</v>
      </c>
      <c r="G1034" s="4" t="s">
        <v>3108</v>
      </c>
      <c r="H1034" s="4" t="s">
        <v>2183</v>
      </c>
      <c r="I1034" s="4" t="s">
        <v>2100</v>
      </c>
      <c r="J1034" s="4" t="s">
        <v>3165</v>
      </c>
      <c r="K1034">
        <v>14</v>
      </c>
      <c r="L1034">
        <v>4.2671999999999999</v>
      </c>
      <c r="M1034">
        <v>19.05</v>
      </c>
      <c r="N1034">
        <v>38.1</v>
      </c>
      <c r="O1034">
        <v>168</v>
      </c>
      <c r="P1034">
        <v>0.75000000000000011</v>
      </c>
      <c r="Q1034">
        <v>1.5000000000000002</v>
      </c>
      <c r="R1034">
        <v>4520.277</v>
      </c>
      <c r="S1034">
        <v>3.0971550960000004E-3</v>
      </c>
      <c r="T1034" s="4" t="s">
        <v>3166</v>
      </c>
    </row>
    <row r="1035" spans="1:20" x14ac:dyDescent="0.2">
      <c r="A1035" s="4" t="s">
        <v>3108</v>
      </c>
      <c r="B1035" s="4" t="s">
        <v>3162</v>
      </c>
      <c r="C1035" s="4" t="s">
        <v>2096</v>
      </c>
      <c r="D1035" s="4" t="s">
        <v>2236</v>
      </c>
      <c r="E1035" s="4" t="s">
        <v>3171</v>
      </c>
      <c r="F1035" s="4" t="s">
        <v>3164</v>
      </c>
      <c r="G1035" s="4" t="s">
        <v>3108</v>
      </c>
      <c r="H1035" s="4" t="s">
        <v>2183</v>
      </c>
      <c r="I1035" s="4" t="s">
        <v>2100</v>
      </c>
      <c r="J1035" s="4" t="s">
        <v>3165</v>
      </c>
      <c r="K1035">
        <v>15</v>
      </c>
      <c r="L1035">
        <v>4.5720000000000001</v>
      </c>
      <c r="M1035">
        <v>19.05</v>
      </c>
      <c r="N1035">
        <v>38.1</v>
      </c>
      <c r="O1035">
        <v>180</v>
      </c>
      <c r="P1035">
        <v>0.75000000000000011</v>
      </c>
      <c r="Q1035">
        <v>1.5000000000000002</v>
      </c>
      <c r="R1035">
        <v>4520.277</v>
      </c>
      <c r="S1035">
        <v>3.3183804600000004E-3</v>
      </c>
      <c r="T1035" s="4" t="s">
        <v>3166</v>
      </c>
    </row>
    <row r="1036" spans="1:20" x14ac:dyDescent="0.2">
      <c r="A1036" s="4" t="s">
        <v>3108</v>
      </c>
      <c r="B1036" s="4" t="s">
        <v>3162</v>
      </c>
      <c r="C1036" s="4" t="s">
        <v>2096</v>
      </c>
      <c r="D1036" s="4" t="s">
        <v>2236</v>
      </c>
      <c r="E1036" s="4" t="s">
        <v>3172</v>
      </c>
      <c r="F1036" s="4" t="s">
        <v>3164</v>
      </c>
      <c r="G1036" s="4" t="s">
        <v>3108</v>
      </c>
      <c r="H1036" s="4" t="s">
        <v>2183</v>
      </c>
      <c r="I1036" s="4" t="s">
        <v>2100</v>
      </c>
      <c r="J1036" s="4" t="s">
        <v>3165</v>
      </c>
      <c r="K1036">
        <v>16</v>
      </c>
      <c r="L1036">
        <v>4.8768000000000002</v>
      </c>
      <c r="M1036">
        <v>19.05</v>
      </c>
      <c r="N1036">
        <v>38.1</v>
      </c>
      <c r="O1036">
        <v>192.00000000000003</v>
      </c>
      <c r="P1036">
        <v>0.75000000000000011</v>
      </c>
      <c r="Q1036">
        <v>1.5000000000000002</v>
      </c>
      <c r="R1036">
        <v>4520.277</v>
      </c>
      <c r="S1036">
        <v>3.5396058240000005E-3</v>
      </c>
      <c r="T1036" s="4" t="s">
        <v>3166</v>
      </c>
    </row>
    <row r="1037" spans="1:20" x14ac:dyDescent="0.2">
      <c r="A1037" s="4" t="s">
        <v>3108</v>
      </c>
      <c r="B1037" s="4" t="s">
        <v>3162</v>
      </c>
      <c r="C1037" s="4" t="s">
        <v>2096</v>
      </c>
      <c r="D1037" s="4" t="s">
        <v>2236</v>
      </c>
      <c r="E1037" s="4" t="s">
        <v>3173</v>
      </c>
      <c r="F1037" s="4" t="s">
        <v>3164</v>
      </c>
      <c r="G1037" s="4" t="s">
        <v>3108</v>
      </c>
      <c r="H1037" s="4" t="s">
        <v>2183</v>
      </c>
      <c r="I1037" s="4" t="s">
        <v>2100</v>
      </c>
      <c r="J1037" s="4" t="s">
        <v>3165</v>
      </c>
      <c r="K1037">
        <v>17</v>
      </c>
      <c r="L1037">
        <v>5.1816000000000004</v>
      </c>
      <c r="M1037">
        <v>19.05</v>
      </c>
      <c r="N1037">
        <v>38.1</v>
      </c>
      <c r="O1037">
        <v>204.00000000000003</v>
      </c>
      <c r="P1037">
        <v>0.75000000000000011</v>
      </c>
      <c r="Q1037">
        <v>1.5000000000000002</v>
      </c>
      <c r="R1037">
        <v>4520.277</v>
      </c>
      <c r="S1037">
        <v>3.7608311880000011E-3</v>
      </c>
      <c r="T1037" s="4" t="s">
        <v>3166</v>
      </c>
    </row>
    <row r="1038" spans="1:20" x14ac:dyDescent="0.2">
      <c r="A1038" s="4" t="s">
        <v>3108</v>
      </c>
      <c r="B1038" s="4" t="s">
        <v>3162</v>
      </c>
      <c r="C1038" s="4" t="s">
        <v>2096</v>
      </c>
      <c r="D1038" s="4" t="s">
        <v>2236</v>
      </c>
      <c r="E1038" s="4" t="s">
        <v>3174</v>
      </c>
      <c r="F1038" s="4" t="s">
        <v>3164</v>
      </c>
      <c r="G1038" s="4" t="s">
        <v>3108</v>
      </c>
      <c r="H1038" s="4" t="s">
        <v>2183</v>
      </c>
      <c r="I1038" s="4" t="s">
        <v>2100</v>
      </c>
      <c r="J1038" s="4" t="s">
        <v>3165</v>
      </c>
      <c r="K1038">
        <v>18</v>
      </c>
      <c r="L1038">
        <v>5.4863999999999997</v>
      </c>
      <c r="M1038">
        <v>19.05</v>
      </c>
      <c r="N1038">
        <v>38.1</v>
      </c>
      <c r="O1038">
        <v>216</v>
      </c>
      <c r="P1038">
        <v>0.75000000000000011</v>
      </c>
      <c r="Q1038">
        <v>1.5000000000000002</v>
      </c>
      <c r="R1038">
        <v>4520.277</v>
      </c>
      <c r="S1038">
        <v>3.9820565519999998E-3</v>
      </c>
      <c r="T1038" s="4" t="s">
        <v>3166</v>
      </c>
    </row>
    <row r="1039" spans="1:20" x14ac:dyDescent="0.2">
      <c r="A1039" s="4" t="s">
        <v>3108</v>
      </c>
      <c r="B1039" s="4" t="s">
        <v>3162</v>
      </c>
      <c r="C1039" s="4" t="s">
        <v>2096</v>
      </c>
      <c r="D1039" s="4" t="s">
        <v>2236</v>
      </c>
      <c r="E1039" s="4" t="s">
        <v>3175</v>
      </c>
      <c r="F1039" s="4" t="s">
        <v>3164</v>
      </c>
      <c r="G1039" s="4" t="s">
        <v>3108</v>
      </c>
      <c r="H1039" s="4" t="s">
        <v>2183</v>
      </c>
      <c r="I1039" s="4" t="s">
        <v>2100</v>
      </c>
      <c r="J1039" s="4" t="s">
        <v>3165</v>
      </c>
      <c r="K1039">
        <v>19</v>
      </c>
      <c r="L1039">
        <v>5.7911999999999999</v>
      </c>
      <c r="M1039">
        <v>19.05</v>
      </c>
      <c r="N1039">
        <v>38.1</v>
      </c>
      <c r="O1039">
        <v>228</v>
      </c>
      <c r="P1039">
        <v>0.75000000000000011</v>
      </c>
      <c r="Q1039">
        <v>1.5000000000000002</v>
      </c>
      <c r="R1039">
        <v>4520.277</v>
      </c>
      <c r="S1039">
        <v>4.2032819160000004E-3</v>
      </c>
      <c r="T1039" s="4" t="s">
        <v>3166</v>
      </c>
    </row>
    <row r="1040" spans="1:20" x14ac:dyDescent="0.2">
      <c r="A1040" s="4" t="s">
        <v>3108</v>
      </c>
      <c r="B1040" s="4" t="s">
        <v>3162</v>
      </c>
      <c r="C1040" s="4" t="s">
        <v>2096</v>
      </c>
      <c r="D1040" s="4" t="s">
        <v>2236</v>
      </c>
      <c r="E1040" s="4" t="s">
        <v>3176</v>
      </c>
      <c r="F1040" s="4" t="s">
        <v>3164</v>
      </c>
      <c r="G1040" s="4" t="s">
        <v>3108</v>
      </c>
      <c r="H1040" s="4" t="s">
        <v>2183</v>
      </c>
      <c r="I1040" s="4" t="s">
        <v>2100</v>
      </c>
      <c r="J1040" s="4" t="s">
        <v>3165</v>
      </c>
      <c r="K1040">
        <v>20</v>
      </c>
      <c r="L1040">
        <v>6.0960000000000001</v>
      </c>
      <c r="M1040">
        <v>19.05</v>
      </c>
      <c r="N1040">
        <v>38.1</v>
      </c>
      <c r="O1040">
        <v>240</v>
      </c>
      <c r="P1040">
        <v>0.75000000000000011</v>
      </c>
      <c r="Q1040">
        <v>1.5000000000000002</v>
      </c>
      <c r="R1040">
        <v>4520.277</v>
      </c>
      <c r="S1040">
        <v>4.4245072800000009E-3</v>
      </c>
      <c r="T1040" s="4" t="s">
        <v>3166</v>
      </c>
    </row>
    <row r="1041" spans="1:20" x14ac:dyDescent="0.2">
      <c r="A1041" s="4" t="s">
        <v>3108</v>
      </c>
      <c r="B1041" s="4" t="s">
        <v>3162</v>
      </c>
      <c r="C1041" s="4" t="s">
        <v>2096</v>
      </c>
      <c r="D1041" s="4" t="s">
        <v>2236</v>
      </c>
      <c r="E1041" s="4" t="s">
        <v>3177</v>
      </c>
      <c r="F1041" s="4" t="s">
        <v>3164</v>
      </c>
      <c r="G1041" s="4" t="s">
        <v>3108</v>
      </c>
      <c r="H1041" s="4" t="s">
        <v>2183</v>
      </c>
      <c r="I1041" s="4" t="s">
        <v>2100</v>
      </c>
      <c r="J1041" s="4" t="s">
        <v>3165</v>
      </c>
      <c r="K1041">
        <v>21</v>
      </c>
      <c r="L1041">
        <v>6.4008000000000003</v>
      </c>
      <c r="M1041">
        <v>19.05</v>
      </c>
      <c r="N1041">
        <v>38.1</v>
      </c>
      <c r="O1041">
        <v>252.00000000000003</v>
      </c>
      <c r="P1041">
        <v>0.75000000000000011</v>
      </c>
      <c r="Q1041">
        <v>1.5000000000000002</v>
      </c>
      <c r="R1041">
        <v>4520.277</v>
      </c>
      <c r="S1041">
        <v>4.6457326440000005E-3</v>
      </c>
      <c r="T1041" s="4" t="s">
        <v>3166</v>
      </c>
    </row>
    <row r="1042" spans="1:20" x14ac:dyDescent="0.2">
      <c r="A1042" s="4" t="s">
        <v>3108</v>
      </c>
      <c r="B1042" s="4" t="s">
        <v>3162</v>
      </c>
      <c r="C1042" s="4" t="s">
        <v>2096</v>
      </c>
      <c r="D1042" s="4" t="s">
        <v>2236</v>
      </c>
      <c r="E1042" s="4" t="s">
        <v>3178</v>
      </c>
      <c r="F1042" s="4" t="s">
        <v>3164</v>
      </c>
      <c r="G1042" s="4" t="s">
        <v>3108</v>
      </c>
      <c r="H1042" s="4" t="s">
        <v>2183</v>
      </c>
      <c r="I1042" s="4" t="s">
        <v>2100</v>
      </c>
      <c r="J1042" s="4" t="s">
        <v>3165</v>
      </c>
      <c r="K1042">
        <v>22</v>
      </c>
      <c r="L1042">
        <v>6.7055999999999996</v>
      </c>
      <c r="M1042">
        <v>19.05</v>
      </c>
      <c r="N1042">
        <v>38.1</v>
      </c>
      <c r="O1042">
        <v>264</v>
      </c>
      <c r="P1042">
        <v>0.75000000000000011</v>
      </c>
      <c r="Q1042">
        <v>1.5000000000000002</v>
      </c>
      <c r="R1042">
        <v>4520.277</v>
      </c>
      <c r="S1042">
        <v>4.8669580080000002E-3</v>
      </c>
      <c r="T1042" s="4" t="s">
        <v>3166</v>
      </c>
    </row>
    <row r="1043" spans="1:20" x14ac:dyDescent="0.2">
      <c r="A1043" s="4" t="s">
        <v>3108</v>
      </c>
      <c r="B1043" s="4" t="s">
        <v>3162</v>
      </c>
      <c r="C1043" s="4" t="s">
        <v>2286</v>
      </c>
      <c r="D1043" s="4" t="s">
        <v>2236</v>
      </c>
      <c r="E1043" s="4" t="s">
        <v>3179</v>
      </c>
      <c r="F1043" s="4" t="s">
        <v>3164</v>
      </c>
      <c r="G1043" s="4" t="s">
        <v>3108</v>
      </c>
      <c r="H1043" s="4" t="s">
        <v>2183</v>
      </c>
      <c r="I1043" s="4" t="s">
        <v>2100</v>
      </c>
      <c r="J1043" s="4" t="s">
        <v>3165</v>
      </c>
      <c r="K1043">
        <v>3</v>
      </c>
      <c r="L1043">
        <v>0.91439999999999999</v>
      </c>
      <c r="M1043">
        <v>19.05</v>
      </c>
      <c r="N1043">
        <v>38.1</v>
      </c>
      <c r="O1043">
        <v>36</v>
      </c>
      <c r="P1043">
        <v>0.75000000000000011</v>
      </c>
      <c r="Q1043">
        <v>1.5000000000000002</v>
      </c>
      <c r="R1043">
        <v>4520.277</v>
      </c>
      <c r="S1043">
        <v>6.6367609200000005E-4</v>
      </c>
      <c r="T1043" s="4" t="s">
        <v>3180</v>
      </c>
    </row>
    <row r="1044" spans="1:20" x14ac:dyDescent="0.2">
      <c r="A1044" s="4" t="s">
        <v>3108</v>
      </c>
      <c r="B1044" s="4" t="s">
        <v>3162</v>
      </c>
      <c r="C1044" s="4" t="s">
        <v>2286</v>
      </c>
      <c r="D1044" s="4" t="s">
        <v>2236</v>
      </c>
      <c r="E1044" s="4" t="s">
        <v>3181</v>
      </c>
      <c r="F1044" s="4" t="s">
        <v>3164</v>
      </c>
      <c r="G1044" s="4" t="s">
        <v>3108</v>
      </c>
      <c r="H1044" s="4" t="s">
        <v>2183</v>
      </c>
      <c r="I1044" s="4" t="s">
        <v>2100</v>
      </c>
      <c r="J1044" s="4" t="s">
        <v>3165</v>
      </c>
      <c r="K1044">
        <v>4</v>
      </c>
      <c r="L1044">
        <v>1.2192000000000001</v>
      </c>
      <c r="M1044">
        <v>19.05</v>
      </c>
      <c r="N1044">
        <v>38.1</v>
      </c>
      <c r="O1044">
        <v>48.000000000000007</v>
      </c>
      <c r="P1044">
        <v>0.75000000000000011</v>
      </c>
      <c r="Q1044">
        <v>1.5000000000000002</v>
      </c>
      <c r="R1044">
        <v>4520.277</v>
      </c>
      <c r="S1044">
        <v>8.8490145600000013E-4</v>
      </c>
      <c r="T1044" s="4" t="s">
        <v>3180</v>
      </c>
    </row>
    <row r="1045" spans="1:20" x14ac:dyDescent="0.2">
      <c r="A1045" s="4" t="s">
        <v>3108</v>
      </c>
      <c r="B1045" s="4" t="s">
        <v>3162</v>
      </c>
      <c r="C1045" s="4" t="s">
        <v>2286</v>
      </c>
      <c r="D1045" s="4" t="s">
        <v>2236</v>
      </c>
      <c r="E1045" s="4" t="s">
        <v>3182</v>
      </c>
      <c r="F1045" s="4" t="s">
        <v>3164</v>
      </c>
      <c r="G1045" s="4" t="s">
        <v>3108</v>
      </c>
      <c r="H1045" s="4" t="s">
        <v>2183</v>
      </c>
      <c r="I1045" s="4" t="s">
        <v>2100</v>
      </c>
      <c r="J1045" s="4" t="s">
        <v>3165</v>
      </c>
      <c r="K1045">
        <v>5</v>
      </c>
      <c r="L1045">
        <v>1.524</v>
      </c>
      <c r="M1045">
        <v>19.05</v>
      </c>
      <c r="N1045">
        <v>38.1</v>
      </c>
      <c r="O1045">
        <v>60</v>
      </c>
      <c r="P1045">
        <v>0.75000000000000011</v>
      </c>
      <c r="Q1045">
        <v>1.5000000000000002</v>
      </c>
      <c r="R1045">
        <v>4520.277</v>
      </c>
      <c r="S1045">
        <v>1.1061268200000002E-3</v>
      </c>
      <c r="T1045" s="4" t="s">
        <v>3180</v>
      </c>
    </row>
    <row r="1046" spans="1:20" x14ac:dyDescent="0.2">
      <c r="A1046" s="4" t="s">
        <v>3108</v>
      </c>
      <c r="B1046" s="4" t="s">
        <v>3162</v>
      </c>
      <c r="C1046" s="4" t="s">
        <v>2286</v>
      </c>
      <c r="D1046" s="4" t="s">
        <v>2236</v>
      </c>
      <c r="E1046" s="4" t="s">
        <v>3183</v>
      </c>
      <c r="F1046" s="4" t="s">
        <v>3164</v>
      </c>
      <c r="G1046" s="4" t="s">
        <v>3108</v>
      </c>
      <c r="H1046" s="4" t="s">
        <v>2183</v>
      </c>
      <c r="I1046" s="4" t="s">
        <v>2100</v>
      </c>
      <c r="J1046" s="4" t="s">
        <v>3165</v>
      </c>
      <c r="K1046">
        <v>6</v>
      </c>
      <c r="L1046">
        <v>1.8288</v>
      </c>
      <c r="M1046">
        <v>19.05</v>
      </c>
      <c r="N1046">
        <v>38.1</v>
      </c>
      <c r="O1046">
        <v>72</v>
      </c>
      <c r="P1046">
        <v>0.75000000000000011</v>
      </c>
      <c r="Q1046">
        <v>1.5000000000000002</v>
      </c>
      <c r="R1046">
        <v>4520.277</v>
      </c>
      <c r="S1046">
        <v>1.3273521840000001E-3</v>
      </c>
      <c r="T1046" s="4" t="s">
        <v>3180</v>
      </c>
    </row>
    <row r="1047" spans="1:20" x14ac:dyDescent="0.2">
      <c r="A1047" s="4" t="s">
        <v>3108</v>
      </c>
      <c r="B1047" s="4" t="s">
        <v>3162</v>
      </c>
      <c r="C1047" s="4" t="s">
        <v>2286</v>
      </c>
      <c r="D1047" s="4" t="s">
        <v>2236</v>
      </c>
      <c r="E1047" s="4" t="s">
        <v>3184</v>
      </c>
      <c r="F1047" s="4" t="s">
        <v>3164</v>
      </c>
      <c r="G1047" s="4" t="s">
        <v>3108</v>
      </c>
      <c r="H1047" s="4" t="s">
        <v>2183</v>
      </c>
      <c r="I1047" s="4" t="s">
        <v>2100</v>
      </c>
      <c r="J1047" s="4" t="s">
        <v>3165</v>
      </c>
      <c r="K1047">
        <v>7</v>
      </c>
      <c r="L1047">
        <v>2.1335999999999999</v>
      </c>
      <c r="M1047">
        <v>19.05</v>
      </c>
      <c r="N1047">
        <v>38.1</v>
      </c>
      <c r="O1047">
        <v>84</v>
      </c>
      <c r="P1047">
        <v>0.75000000000000011</v>
      </c>
      <c r="Q1047">
        <v>1.5000000000000002</v>
      </c>
      <c r="R1047">
        <v>4520.277</v>
      </c>
      <c r="S1047">
        <v>1.5485775480000002E-3</v>
      </c>
      <c r="T1047" s="4" t="s">
        <v>3180</v>
      </c>
    </row>
    <row r="1048" spans="1:20" x14ac:dyDescent="0.2">
      <c r="A1048" s="4" t="s">
        <v>3108</v>
      </c>
      <c r="B1048" s="4" t="s">
        <v>3162</v>
      </c>
      <c r="C1048" s="4" t="s">
        <v>2096</v>
      </c>
      <c r="D1048" s="4" t="s">
        <v>2236</v>
      </c>
      <c r="E1048" s="4" t="s">
        <v>3185</v>
      </c>
      <c r="F1048" s="4" t="s">
        <v>3164</v>
      </c>
      <c r="G1048" s="4" t="s">
        <v>3108</v>
      </c>
      <c r="H1048" s="4" t="s">
        <v>2183</v>
      </c>
      <c r="I1048" s="4" t="s">
        <v>2100</v>
      </c>
      <c r="J1048" s="4" t="s">
        <v>3165</v>
      </c>
      <c r="K1048">
        <v>8</v>
      </c>
      <c r="L1048">
        <v>2.4384000000000001</v>
      </c>
      <c r="M1048">
        <v>19.05</v>
      </c>
      <c r="N1048">
        <v>38.1</v>
      </c>
      <c r="O1048">
        <v>96.000000000000014</v>
      </c>
      <c r="P1048">
        <v>0.75000000000000011</v>
      </c>
      <c r="Q1048">
        <v>1.5000000000000002</v>
      </c>
      <c r="R1048">
        <v>4520.277</v>
      </c>
      <c r="S1048">
        <v>1.7698029120000003E-3</v>
      </c>
      <c r="T1048" s="4" t="s">
        <v>3166</v>
      </c>
    </row>
    <row r="1049" spans="1:20" x14ac:dyDescent="0.2">
      <c r="A1049" s="4" t="s">
        <v>3108</v>
      </c>
      <c r="B1049" s="4" t="s">
        <v>3162</v>
      </c>
      <c r="C1049" s="4" t="s">
        <v>2096</v>
      </c>
      <c r="D1049" s="4" t="s">
        <v>2236</v>
      </c>
      <c r="E1049" s="4" t="s">
        <v>3186</v>
      </c>
      <c r="F1049" s="4" t="s">
        <v>3164</v>
      </c>
      <c r="G1049" s="4" t="s">
        <v>3108</v>
      </c>
      <c r="H1049" s="4" t="s">
        <v>2183</v>
      </c>
      <c r="I1049" s="4" t="s">
        <v>2100</v>
      </c>
      <c r="J1049" s="4" t="s">
        <v>3165</v>
      </c>
      <c r="K1049">
        <v>9</v>
      </c>
      <c r="L1049">
        <v>2.7431999999999999</v>
      </c>
      <c r="M1049">
        <v>19.05</v>
      </c>
      <c r="N1049">
        <v>38.1</v>
      </c>
      <c r="O1049">
        <v>108</v>
      </c>
      <c r="P1049">
        <v>0.75000000000000011</v>
      </c>
      <c r="Q1049">
        <v>1.5000000000000002</v>
      </c>
      <c r="R1049">
        <v>4520.277</v>
      </c>
      <c r="S1049">
        <v>1.9910282759999999E-3</v>
      </c>
      <c r="T1049" s="4" t="s">
        <v>3166</v>
      </c>
    </row>
    <row r="1050" spans="1:20" x14ac:dyDescent="0.2">
      <c r="A1050" s="4" t="s">
        <v>3108</v>
      </c>
      <c r="B1050" s="4" t="s">
        <v>3187</v>
      </c>
      <c r="C1050" s="4" t="s">
        <v>2096</v>
      </c>
      <c r="D1050" s="4" t="s">
        <v>2236</v>
      </c>
      <c r="E1050" s="4" t="s">
        <v>811</v>
      </c>
      <c r="F1050" s="4" t="s">
        <v>3188</v>
      </c>
      <c r="G1050" s="4" t="s">
        <v>3108</v>
      </c>
      <c r="H1050" s="4" t="s">
        <v>2183</v>
      </c>
      <c r="I1050" s="4" t="s">
        <v>2100</v>
      </c>
      <c r="J1050" s="4" t="s">
        <v>2349</v>
      </c>
      <c r="K1050">
        <v>10</v>
      </c>
      <c r="L1050">
        <v>3.048</v>
      </c>
      <c r="M1050">
        <v>19.05</v>
      </c>
      <c r="N1050">
        <v>70</v>
      </c>
      <c r="O1050">
        <v>120</v>
      </c>
      <c r="P1050">
        <v>0.75000000000000011</v>
      </c>
      <c r="Q1050">
        <v>2.7559055118110236</v>
      </c>
      <c r="R1050">
        <v>2460.3220000000001</v>
      </c>
      <c r="S1050">
        <v>4.0645080000000005E-3</v>
      </c>
      <c r="T1050" s="4" t="s">
        <v>3189</v>
      </c>
    </row>
    <row r="1051" spans="1:20" x14ac:dyDescent="0.2">
      <c r="A1051" s="4" t="s">
        <v>3108</v>
      </c>
      <c r="B1051" s="4" t="s">
        <v>3187</v>
      </c>
      <c r="C1051" s="4" t="s">
        <v>2096</v>
      </c>
      <c r="D1051" s="4" t="s">
        <v>2236</v>
      </c>
      <c r="E1051" s="4" t="s">
        <v>813</v>
      </c>
      <c r="F1051" s="4" t="s">
        <v>3188</v>
      </c>
      <c r="G1051" s="4" t="s">
        <v>3108</v>
      </c>
      <c r="H1051" s="4" t="s">
        <v>2183</v>
      </c>
      <c r="I1051" s="4" t="s">
        <v>2100</v>
      </c>
      <c r="J1051" s="4" t="s">
        <v>2349</v>
      </c>
      <c r="K1051">
        <v>11</v>
      </c>
      <c r="L1051">
        <v>3.3527999999999998</v>
      </c>
      <c r="M1051">
        <v>19.05</v>
      </c>
      <c r="N1051">
        <v>70</v>
      </c>
      <c r="O1051">
        <v>132</v>
      </c>
      <c r="P1051">
        <v>0.75000000000000011</v>
      </c>
      <c r="Q1051">
        <v>2.7559055118110236</v>
      </c>
      <c r="R1051">
        <v>2460.3220000000001</v>
      </c>
      <c r="S1051">
        <v>4.4709588E-3</v>
      </c>
      <c r="T1051" s="4" t="s">
        <v>3189</v>
      </c>
    </row>
    <row r="1052" spans="1:20" x14ac:dyDescent="0.2">
      <c r="A1052" s="4" t="s">
        <v>3108</v>
      </c>
      <c r="B1052" s="4" t="s">
        <v>3187</v>
      </c>
      <c r="C1052" s="4" t="s">
        <v>2096</v>
      </c>
      <c r="D1052" s="4" t="s">
        <v>2236</v>
      </c>
      <c r="E1052" s="4" t="s">
        <v>815</v>
      </c>
      <c r="F1052" s="4" t="s">
        <v>3188</v>
      </c>
      <c r="G1052" s="4" t="s">
        <v>3108</v>
      </c>
      <c r="H1052" s="4" t="s">
        <v>2183</v>
      </c>
      <c r="I1052" s="4" t="s">
        <v>2100</v>
      </c>
      <c r="J1052" s="4" t="s">
        <v>2349</v>
      </c>
      <c r="K1052">
        <v>12</v>
      </c>
      <c r="L1052">
        <v>3.6576</v>
      </c>
      <c r="M1052">
        <v>19.05</v>
      </c>
      <c r="N1052">
        <v>70</v>
      </c>
      <c r="O1052">
        <v>144</v>
      </c>
      <c r="P1052">
        <v>0.75000000000000011</v>
      </c>
      <c r="Q1052">
        <v>2.7559055118110236</v>
      </c>
      <c r="R1052">
        <v>2460.3220000000001</v>
      </c>
      <c r="S1052">
        <v>4.8774096000000003E-3</v>
      </c>
      <c r="T1052" s="4" t="s">
        <v>3189</v>
      </c>
    </row>
    <row r="1053" spans="1:20" x14ac:dyDescent="0.2">
      <c r="A1053" s="4" t="s">
        <v>3108</v>
      </c>
      <c r="B1053" s="4" t="s">
        <v>3187</v>
      </c>
      <c r="C1053" s="4" t="s">
        <v>2096</v>
      </c>
      <c r="D1053" s="4" t="s">
        <v>2236</v>
      </c>
      <c r="E1053" s="4" t="s">
        <v>817</v>
      </c>
      <c r="F1053" s="4" t="s">
        <v>3188</v>
      </c>
      <c r="G1053" s="4" t="s">
        <v>3108</v>
      </c>
      <c r="H1053" s="4" t="s">
        <v>2183</v>
      </c>
      <c r="I1053" s="4" t="s">
        <v>2100</v>
      </c>
      <c r="J1053" s="4" t="s">
        <v>2349</v>
      </c>
      <c r="K1053">
        <v>13</v>
      </c>
      <c r="L1053">
        <v>3.9624000000000001</v>
      </c>
      <c r="M1053">
        <v>19.05</v>
      </c>
      <c r="N1053">
        <v>70</v>
      </c>
      <c r="O1053">
        <v>156</v>
      </c>
      <c r="P1053">
        <v>0.75000000000000011</v>
      </c>
      <c r="Q1053">
        <v>2.7559055118110236</v>
      </c>
      <c r="R1053">
        <v>2460.3220000000001</v>
      </c>
      <c r="S1053">
        <v>5.2838603999999997E-3</v>
      </c>
      <c r="T1053" s="4" t="s">
        <v>3189</v>
      </c>
    </row>
    <row r="1054" spans="1:20" x14ac:dyDescent="0.2">
      <c r="A1054" s="4" t="s">
        <v>3108</v>
      </c>
      <c r="B1054" s="4" t="s">
        <v>3187</v>
      </c>
      <c r="C1054" s="4" t="s">
        <v>2096</v>
      </c>
      <c r="D1054" s="4" t="s">
        <v>2236</v>
      </c>
      <c r="E1054" s="4" t="s">
        <v>819</v>
      </c>
      <c r="F1054" s="4" t="s">
        <v>3188</v>
      </c>
      <c r="G1054" s="4" t="s">
        <v>3108</v>
      </c>
      <c r="H1054" s="4" t="s">
        <v>2183</v>
      </c>
      <c r="I1054" s="4" t="s">
        <v>2100</v>
      </c>
      <c r="J1054" s="4" t="s">
        <v>2349</v>
      </c>
      <c r="K1054">
        <v>14</v>
      </c>
      <c r="L1054">
        <v>4.2671999999999999</v>
      </c>
      <c r="M1054">
        <v>19.05</v>
      </c>
      <c r="N1054">
        <v>70</v>
      </c>
      <c r="O1054">
        <v>168</v>
      </c>
      <c r="P1054">
        <v>0.75000000000000011</v>
      </c>
      <c r="Q1054">
        <v>2.7559055118110236</v>
      </c>
      <c r="R1054">
        <v>2460.3220000000001</v>
      </c>
      <c r="S1054">
        <v>5.6903112E-3</v>
      </c>
      <c r="T1054" s="4" t="s">
        <v>3189</v>
      </c>
    </row>
    <row r="1055" spans="1:20" x14ac:dyDescent="0.2">
      <c r="A1055" s="4" t="s">
        <v>3108</v>
      </c>
      <c r="B1055" s="4" t="s">
        <v>3187</v>
      </c>
      <c r="C1055" s="4" t="s">
        <v>2096</v>
      </c>
      <c r="D1055" s="4" t="s">
        <v>2236</v>
      </c>
      <c r="E1055" s="4" t="s">
        <v>821</v>
      </c>
      <c r="F1055" s="4" t="s">
        <v>3188</v>
      </c>
      <c r="G1055" s="4" t="s">
        <v>3108</v>
      </c>
      <c r="H1055" s="4" t="s">
        <v>2183</v>
      </c>
      <c r="I1055" s="4" t="s">
        <v>2100</v>
      </c>
      <c r="J1055" s="4" t="s">
        <v>2349</v>
      </c>
      <c r="K1055">
        <v>15</v>
      </c>
      <c r="L1055">
        <v>4.5720000000000001</v>
      </c>
      <c r="M1055">
        <v>19.05</v>
      </c>
      <c r="N1055">
        <v>70</v>
      </c>
      <c r="O1055">
        <v>180</v>
      </c>
      <c r="P1055">
        <v>0.75000000000000011</v>
      </c>
      <c r="Q1055">
        <v>2.7559055118110236</v>
      </c>
      <c r="R1055">
        <v>2460.3220000000001</v>
      </c>
      <c r="S1055">
        <v>6.0967620000000012E-3</v>
      </c>
      <c r="T1055" s="4" t="s">
        <v>3189</v>
      </c>
    </row>
    <row r="1056" spans="1:20" x14ac:dyDescent="0.2">
      <c r="A1056" s="4" t="s">
        <v>3108</v>
      </c>
      <c r="B1056" s="4" t="s">
        <v>3187</v>
      </c>
      <c r="C1056" s="4" t="s">
        <v>2096</v>
      </c>
      <c r="D1056" s="4" t="s">
        <v>2236</v>
      </c>
      <c r="E1056" s="4" t="s">
        <v>823</v>
      </c>
      <c r="F1056" s="4" t="s">
        <v>3188</v>
      </c>
      <c r="G1056" s="4" t="s">
        <v>3108</v>
      </c>
      <c r="H1056" s="4" t="s">
        <v>2183</v>
      </c>
      <c r="I1056" s="4" t="s">
        <v>2100</v>
      </c>
      <c r="J1056" s="4" t="s">
        <v>2349</v>
      </c>
      <c r="K1056">
        <v>16</v>
      </c>
      <c r="L1056">
        <v>4.8768000000000002</v>
      </c>
      <c r="M1056">
        <v>19.05</v>
      </c>
      <c r="N1056">
        <v>70</v>
      </c>
      <c r="O1056">
        <v>192.00000000000003</v>
      </c>
      <c r="P1056">
        <v>0.75000000000000011</v>
      </c>
      <c r="Q1056">
        <v>2.7559055118110236</v>
      </c>
      <c r="R1056">
        <v>2460.3220000000001</v>
      </c>
      <c r="S1056">
        <v>6.5032127999999998E-3</v>
      </c>
      <c r="T1056" s="4" t="s">
        <v>3189</v>
      </c>
    </row>
    <row r="1057" spans="1:20" x14ac:dyDescent="0.2">
      <c r="A1057" s="4" t="s">
        <v>3108</v>
      </c>
      <c r="B1057" s="4" t="s">
        <v>3187</v>
      </c>
      <c r="C1057" s="4" t="s">
        <v>2096</v>
      </c>
      <c r="D1057" s="4" t="s">
        <v>2236</v>
      </c>
      <c r="E1057" s="4" t="s">
        <v>825</v>
      </c>
      <c r="F1057" s="4" t="s">
        <v>3188</v>
      </c>
      <c r="G1057" s="4" t="s">
        <v>3108</v>
      </c>
      <c r="H1057" s="4" t="s">
        <v>2183</v>
      </c>
      <c r="I1057" s="4" t="s">
        <v>2100</v>
      </c>
      <c r="J1057" s="4" t="s">
        <v>2349</v>
      </c>
      <c r="K1057">
        <v>17</v>
      </c>
      <c r="L1057">
        <v>5.1816000000000004</v>
      </c>
      <c r="M1057">
        <v>19.05</v>
      </c>
      <c r="N1057">
        <v>70</v>
      </c>
      <c r="O1057">
        <v>204.00000000000003</v>
      </c>
      <c r="P1057">
        <v>0.75000000000000011</v>
      </c>
      <c r="Q1057">
        <v>2.7559055118110236</v>
      </c>
      <c r="R1057">
        <v>2460.3220000000001</v>
      </c>
      <c r="S1057">
        <v>6.909663600000001E-3</v>
      </c>
      <c r="T1057" s="4" t="s">
        <v>3189</v>
      </c>
    </row>
    <row r="1058" spans="1:20" x14ac:dyDescent="0.2">
      <c r="A1058" s="4" t="s">
        <v>3108</v>
      </c>
      <c r="B1058" s="4" t="s">
        <v>3187</v>
      </c>
      <c r="C1058" s="4" t="s">
        <v>2096</v>
      </c>
      <c r="D1058" s="4" t="s">
        <v>2236</v>
      </c>
      <c r="E1058" s="4" t="s">
        <v>827</v>
      </c>
      <c r="F1058" s="4" t="s">
        <v>3188</v>
      </c>
      <c r="G1058" s="4" t="s">
        <v>3108</v>
      </c>
      <c r="H1058" s="4" t="s">
        <v>2183</v>
      </c>
      <c r="I1058" s="4" t="s">
        <v>2100</v>
      </c>
      <c r="J1058" s="4" t="s">
        <v>2349</v>
      </c>
      <c r="K1058">
        <v>18</v>
      </c>
      <c r="L1058">
        <v>5.4863999999999997</v>
      </c>
      <c r="M1058">
        <v>19.05</v>
      </c>
      <c r="N1058">
        <v>70</v>
      </c>
      <c r="O1058">
        <v>216</v>
      </c>
      <c r="P1058">
        <v>0.75000000000000011</v>
      </c>
      <c r="Q1058">
        <v>2.7559055118110236</v>
      </c>
      <c r="R1058">
        <v>2460.3220000000001</v>
      </c>
      <c r="S1058">
        <v>7.3161144000000004E-3</v>
      </c>
      <c r="T1058" s="4" t="s">
        <v>3189</v>
      </c>
    </row>
    <row r="1059" spans="1:20" x14ac:dyDescent="0.2">
      <c r="A1059" s="4" t="s">
        <v>3108</v>
      </c>
      <c r="B1059" s="4" t="s">
        <v>3187</v>
      </c>
      <c r="C1059" s="4" t="s">
        <v>2096</v>
      </c>
      <c r="D1059" s="4" t="s">
        <v>2236</v>
      </c>
      <c r="E1059" s="4" t="s">
        <v>829</v>
      </c>
      <c r="F1059" s="4" t="s">
        <v>3188</v>
      </c>
      <c r="G1059" s="4" t="s">
        <v>3108</v>
      </c>
      <c r="H1059" s="4" t="s">
        <v>2183</v>
      </c>
      <c r="I1059" s="4" t="s">
        <v>2100</v>
      </c>
      <c r="J1059" s="4" t="s">
        <v>2349</v>
      </c>
      <c r="K1059">
        <v>19</v>
      </c>
      <c r="L1059">
        <v>5.7911999999999999</v>
      </c>
      <c r="M1059">
        <v>19.05</v>
      </c>
      <c r="N1059">
        <v>70</v>
      </c>
      <c r="O1059">
        <v>228</v>
      </c>
      <c r="P1059">
        <v>0.75000000000000011</v>
      </c>
      <c r="Q1059">
        <v>2.7559055118110236</v>
      </c>
      <c r="R1059">
        <v>2460.3220000000001</v>
      </c>
      <c r="S1059">
        <v>7.7225652000000007E-3</v>
      </c>
      <c r="T1059" s="4" t="s">
        <v>3189</v>
      </c>
    </row>
    <row r="1060" spans="1:20" x14ac:dyDescent="0.2">
      <c r="A1060" s="4" t="s">
        <v>3108</v>
      </c>
      <c r="B1060" s="4" t="s">
        <v>3187</v>
      </c>
      <c r="C1060" s="4" t="s">
        <v>2096</v>
      </c>
      <c r="D1060" s="4" t="s">
        <v>2236</v>
      </c>
      <c r="E1060" s="4" t="s">
        <v>831</v>
      </c>
      <c r="F1060" s="4" t="s">
        <v>3188</v>
      </c>
      <c r="G1060" s="4" t="s">
        <v>3108</v>
      </c>
      <c r="H1060" s="4" t="s">
        <v>2183</v>
      </c>
      <c r="I1060" s="4" t="s">
        <v>2100</v>
      </c>
      <c r="J1060" s="4" t="s">
        <v>2349</v>
      </c>
      <c r="K1060">
        <v>20</v>
      </c>
      <c r="L1060">
        <v>6.0960000000000001</v>
      </c>
      <c r="M1060">
        <v>19.05</v>
      </c>
      <c r="N1060">
        <v>70</v>
      </c>
      <c r="O1060">
        <v>240</v>
      </c>
      <c r="P1060">
        <v>0.75000000000000011</v>
      </c>
      <c r="Q1060">
        <v>2.7559055118110236</v>
      </c>
      <c r="R1060">
        <v>2460.3220000000001</v>
      </c>
      <c r="S1060">
        <v>8.1290160000000011E-3</v>
      </c>
      <c r="T1060" s="4" t="s">
        <v>3189</v>
      </c>
    </row>
    <row r="1061" spans="1:20" x14ac:dyDescent="0.2">
      <c r="A1061" s="4" t="s">
        <v>3108</v>
      </c>
      <c r="B1061" s="4" t="s">
        <v>3187</v>
      </c>
      <c r="C1061" s="4" t="s">
        <v>2096</v>
      </c>
      <c r="D1061" s="4" t="s">
        <v>2236</v>
      </c>
      <c r="E1061" s="4" t="s">
        <v>833</v>
      </c>
      <c r="F1061" s="4" t="s">
        <v>3188</v>
      </c>
      <c r="G1061" s="4" t="s">
        <v>3108</v>
      </c>
      <c r="H1061" s="4" t="s">
        <v>2183</v>
      </c>
      <c r="I1061" s="4" t="s">
        <v>2100</v>
      </c>
      <c r="J1061" s="4" t="s">
        <v>2349</v>
      </c>
      <c r="K1061">
        <v>21</v>
      </c>
      <c r="L1061">
        <v>6.4008000000000003</v>
      </c>
      <c r="M1061">
        <v>19.05</v>
      </c>
      <c r="N1061">
        <v>70</v>
      </c>
      <c r="O1061">
        <v>252.00000000000003</v>
      </c>
      <c r="P1061">
        <v>0.75000000000000011</v>
      </c>
      <c r="Q1061">
        <v>2.7559055118110236</v>
      </c>
      <c r="R1061">
        <v>2460.3220000000001</v>
      </c>
      <c r="S1061">
        <v>8.5354668000000022E-3</v>
      </c>
      <c r="T1061" s="4" t="s">
        <v>3189</v>
      </c>
    </row>
    <row r="1062" spans="1:20" x14ac:dyDescent="0.2">
      <c r="A1062" s="4" t="s">
        <v>3108</v>
      </c>
      <c r="B1062" s="4" t="s">
        <v>3187</v>
      </c>
      <c r="C1062" s="4" t="s">
        <v>2096</v>
      </c>
      <c r="D1062" s="4" t="s">
        <v>2236</v>
      </c>
      <c r="E1062" s="4" t="s">
        <v>835</v>
      </c>
      <c r="F1062" s="4" t="s">
        <v>3188</v>
      </c>
      <c r="G1062" s="4" t="s">
        <v>3108</v>
      </c>
      <c r="H1062" s="4" t="s">
        <v>2183</v>
      </c>
      <c r="I1062" s="4" t="s">
        <v>2100</v>
      </c>
      <c r="J1062" s="4" t="s">
        <v>2349</v>
      </c>
      <c r="K1062">
        <v>22</v>
      </c>
      <c r="L1062">
        <v>6.7055999999999996</v>
      </c>
      <c r="M1062">
        <v>19.05</v>
      </c>
      <c r="N1062">
        <v>70</v>
      </c>
      <c r="O1062">
        <v>264</v>
      </c>
      <c r="P1062">
        <v>0.75000000000000011</v>
      </c>
      <c r="Q1062">
        <v>2.7559055118110236</v>
      </c>
      <c r="R1062">
        <v>2460.3220000000001</v>
      </c>
      <c r="S1062">
        <v>8.9419176E-3</v>
      </c>
      <c r="T1062" s="4" t="s">
        <v>3189</v>
      </c>
    </row>
    <row r="1063" spans="1:20" x14ac:dyDescent="0.2">
      <c r="A1063" s="4" t="s">
        <v>3108</v>
      </c>
      <c r="B1063" s="4" t="s">
        <v>3187</v>
      </c>
      <c r="C1063" s="4" t="s">
        <v>2286</v>
      </c>
      <c r="D1063" s="4" t="s">
        <v>2236</v>
      </c>
      <c r="E1063" s="4" t="s">
        <v>3190</v>
      </c>
      <c r="F1063" s="4" t="s">
        <v>3188</v>
      </c>
      <c r="G1063" s="4" t="s">
        <v>3108</v>
      </c>
      <c r="H1063" s="4" t="s">
        <v>2183</v>
      </c>
      <c r="I1063" s="4" t="s">
        <v>2100</v>
      </c>
      <c r="J1063" s="4" t="s">
        <v>2349</v>
      </c>
      <c r="K1063">
        <v>3</v>
      </c>
      <c r="L1063">
        <v>0.91439999999999999</v>
      </c>
      <c r="M1063">
        <v>19.05</v>
      </c>
      <c r="N1063">
        <v>70</v>
      </c>
      <c r="O1063">
        <v>36</v>
      </c>
      <c r="P1063">
        <v>0.75000000000000011</v>
      </c>
      <c r="Q1063">
        <v>2.7559055118110236</v>
      </c>
      <c r="R1063">
        <v>2460.3220000000001</v>
      </c>
      <c r="S1063">
        <v>1.2193524000000001E-3</v>
      </c>
      <c r="T1063" s="4" t="s">
        <v>3191</v>
      </c>
    </row>
    <row r="1064" spans="1:20" x14ac:dyDescent="0.2">
      <c r="A1064" s="4" t="s">
        <v>3108</v>
      </c>
      <c r="B1064" s="4" t="s">
        <v>3187</v>
      </c>
      <c r="C1064" s="4" t="s">
        <v>2286</v>
      </c>
      <c r="D1064" s="4" t="s">
        <v>2236</v>
      </c>
      <c r="E1064" s="4" t="s">
        <v>3192</v>
      </c>
      <c r="F1064" s="4" t="s">
        <v>3188</v>
      </c>
      <c r="G1064" s="4" t="s">
        <v>3108</v>
      </c>
      <c r="H1064" s="4" t="s">
        <v>2183</v>
      </c>
      <c r="I1064" s="4" t="s">
        <v>2100</v>
      </c>
      <c r="J1064" s="4" t="s">
        <v>2349</v>
      </c>
      <c r="K1064">
        <v>4</v>
      </c>
      <c r="L1064">
        <v>1.2192000000000001</v>
      </c>
      <c r="M1064">
        <v>19.05</v>
      </c>
      <c r="N1064">
        <v>70</v>
      </c>
      <c r="O1064">
        <v>48.000000000000007</v>
      </c>
      <c r="P1064">
        <v>0.75000000000000011</v>
      </c>
      <c r="Q1064">
        <v>2.7559055118110236</v>
      </c>
      <c r="R1064">
        <v>2460.3220000000001</v>
      </c>
      <c r="S1064">
        <v>1.6258032E-3</v>
      </c>
      <c r="T1064" s="4" t="s">
        <v>3191</v>
      </c>
    </row>
    <row r="1065" spans="1:20" x14ac:dyDescent="0.2">
      <c r="A1065" s="4" t="s">
        <v>3108</v>
      </c>
      <c r="B1065" s="4" t="s">
        <v>3187</v>
      </c>
      <c r="C1065" s="4" t="s">
        <v>2286</v>
      </c>
      <c r="D1065" s="4" t="s">
        <v>2236</v>
      </c>
      <c r="E1065" s="4" t="s">
        <v>3193</v>
      </c>
      <c r="F1065" s="4" t="s">
        <v>3188</v>
      </c>
      <c r="G1065" s="4" t="s">
        <v>3108</v>
      </c>
      <c r="H1065" s="4" t="s">
        <v>2183</v>
      </c>
      <c r="I1065" s="4" t="s">
        <v>2100</v>
      </c>
      <c r="J1065" s="4" t="s">
        <v>2349</v>
      </c>
      <c r="K1065">
        <v>5</v>
      </c>
      <c r="L1065">
        <v>1.524</v>
      </c>
      <c r="M1065">
        <v>19.05</v>
      </c>
      <c r="N1065">
        <v>70</v>
      </c>
      <c r="O1065">
        <v>60</v>
      </c>
      <c r="P1065">
        <v>0.75000000000000011</v>
      </c>
      <c r="Q1065">
        <v>2.7559055118110236</v>
      </c>
      <c r="R1065">
        <v>2460.3220000000001</v>
      </c>
      <c r="S1065">
        <v>2.0322540000000003E-3</v>
      </c>
      <c r="T1065" s="4" t="s">
        <v>3191</v>
      </c>
    </row>
    <row r="1066" spans="1:20" x14ac:dyDescent="0.2">
      <c r="A1066" s="4" t="s">
        <v>3108</v>
      </c>
      <c r="B1066" s="4" t="s">
        <v>3187</v>
      </c>
      <c r="C1066" s="4" t="s">
        <v>2286</v>
      </c>
      <c r="D1066" s="4" t="s">
        <v>2236</v>
      </c>
      <c r="E1066" s="4" t="s">
        <v>837</v>
      </c>
      <c r="F1066" s="4" t="s">
        <v>3188</v>
      </c>
      <c r="G1066" s="4" t="s">
        <v>3108</v>
      </c>
      <c r="H1066" s="4" t="s">
        <v>2183</v>
      </c>
      <c r="I1066" s="4" t="s">
        <v>2100</v>
      </c>
      <c r="J1066" s="4" t="s">
        <v>2349</v>
      </c>
      <c r="K1066">
        <v>6</v>
      </c>
      <c r="L1066">
        <v>1.8288</v>
      </c>
      <c r="M1066">
        <v>19.05</v>
      </c>
      <c r="N1066">
        <v>70</v>
      </c>
      <c r="O1066">
        <v>72</v>
      </c>
      <c r="P1066">
        <v>0.75000000000000011</v>
      </c>
      <c r="Q1066">
        <v>2.7559055118110236</v>
      </c>
      <c r="R1066">
        <v>2460.3220000000001</v>
      </c>
      <c r="S1066">
        <v>2.4387048000000001E-3</v>
      </c>
      <c r="T1066" s="4" t="s">
        <v>3191</v>
      </c>
    </row>
    <row r="1067" spans="1:20" x14ac:dyDescent="0.2">
      <c r="A1067" s="4" t="s">
        <v>3108</v>
      </c>
      <c r="B1067" s="4" t="s">
        <v>3187</v>
      </c>
      <c r="C1067" s="4" t="s">
        <v>2286</v>
      </c>
      <c r="D1067" s="4" t="s">
        <v>2236</v>
      </c>
      <c r="E1067" s="4" t="s">
        <v>839</v>
      </c>
      <c r="F1067" s="4" t="s">
        <v>3188</v>
      </c>
      <c r="G1067" s="4" t="s">
        <v>3108</v>
      </c>
      <c r="H1067" s="4" t="s">
        <v>2183</v>
      </c>
      <c r="I1067" s="4" t="s">
        <v>2100</v>
      </c>
      <c r="J1067" s="4" t="s">
        <v>2349</v>
      </c>
      <c r="K1067">
        <v>7</v>
      </c>
      <c r="L1067">
        <v>2.1335999999999999</v>
      </c>
      <c r="M1067">
        <v>19.05</v>
      </c>
      <c r="N1067">
        <v>70</v>
      </c>
      <c r="O1067">
        <v>84</v>
      </c>
      <c r="P1067">
        <v>0.75000000000000011</v>
      </c>
      <c r="Q1067">
        <v>2.7559055118110236</v>
      </c>
      <c r="R1067">
        <v>2460.3220000000001</v>
      </c>
      <c r="S1067">
        <v>2.8451556E-3</v>
      </c>
      <c r="T1067" s="4" t="s">
        <v>3191</v>
      </c>
    </row>
    <row r="1068" spans="1:20" x14ac:dyDescent="0.2">
      <c r="A1068" s="4" t="s">
        <v>3108</v>
      </c>
      <c r="B1068" s="4" t="s">
        <v>3187</v>
      </c>
      <c r="C1068" s="4" t="s">
        <v>2096</v>
      </c>
      <c r="D1068" s="4" t="s">
        <v>2236</v>
      </c>
      <c r="E1068" s="4" t="s">
        <v>841</v>
      </c>
      <c r="F1068" s="4" t="s">
        <v>3188</v>
      </c>
      <c r="G1068" s="4" t="s">
        <v>3108</v>
      </c>
      <c r="H1068" s="4" t="s">
        <v>2183</v>
      </c>
      <c r="I1068" s="4" t="s">
        <v>2100</v>
      </c>
      <c r="J1068" s="4" t="s">
        <v>2349</v>
      </c>
      <c r="K1068">
        <v>8</v>
      </c>
      <c r="L1068">
        <v>2.4384000000000001</v>
      </c>
      <c r="M1068">
        <v>19.05</v>
      </c>
      <c r="N1068">
        <v>70</v>
      </c>
      <c r="O1068">
        <v>96.000000000000014</v>
      </c>
      <c r="P1068">
        <v>0.75000000000000011</v>
      </c>
      <c r="Q1068">
        <v>2.7559055118110236</v>
      </c>
      <c r="R1068">
        <v>2460.3220000000001</v>
      </c>
      <c r="S1068">
        <v>3.2516063999999999E-3</v>
      </c>
      <c r="T1068" s="4" t="s">
        <v>3189</v>
      </c>
    </row>
    <row r="1069" spans="1:20" x14ac:dyDescent="0.2">
      <c r="A1069" s="4" t="s">
        <v>3108</v>
      </c>
      <c r="B1069" s="4" t="s">
        <v>3187</v>
      </c>
      <c r="C1069" s="4" t="s">
        <v>2096</v>
      </c>
      <c r="D1069" s="4" t="s">
        <v>2236</v>
      </c>
      <c r="E1069" s="4" t="s">
        <v>843</v>
      </c>
      <c r="F1069" s="4" t="s">
        <v>3188</v>
      </c>
      <c r="G1069" s="4" t="s">
        <v>3108</v>
      </c>
      <c r="H1069" s="4" t="s">
        <v>2183</v>
      </c>
      <c r="I1069" s="4" t="s">
        <v>2100</v>
      </c>
      <c r="J1069" s="4" t="s">
        <v>2349</v>
      </c>
      <c r="K1069">
        <v>9</v>
      </c>
      <c r="L1069">
        <v>2.7431999999999999</v>
      </c>
      <c r="M1069">
        <v>19.05</v>
      </c>
      <c r="N1069">
        <v>70</v>
      </c>
      <c r="O1069">
        <v>108</v>
      </c>
      <c r="P1069">
        <v>0.75000000000000011</v>
      </c>
      <c r="Q1069">
        <v>2.7559055118110236</v>
      </c>
      <c r="R1069">
        <v>2460.3220000000001</v>
      </c>
      <c r="S1069">
        <v>3.6580572000000002E-3</v>
      </c>
      <c r="T1069" s="4" t="s">
        <v>3189</v>
      </c>
    </row>
    <row r="1070" spans="1:20" x14ac:dyDescent="0.2">
      <c r="A1070" s="4" t="s">
        <v>3108</v>
      </c>
      <c r="B1070" s="4" t="s">
        <v>3194</v>
      </c>
      <c r="C1070" s="4" t="s">
        <v>2096</v>
      </c>
      <c r="D1070" s="4" t="s">
        <v>2236</v>
      </c>
      <c r="E1070" s="4" t="s">
        <v>845</v>
      </c>
      <c r="F1070" s="4" t="s">
        <v>3195</v>
      </c>
      <c r="G1070" s="4" t="s">
        <v>3108</v>
      </c>
      <c r="H1070" s="4" t="s">
        <v>2183</v>
      </c>
      <c r="I1070" s="4" t="s">
        <v>2100</v>
      </c>
      <c r="J1070" s="4" t="s">
        <v>2384</v>
      </c>
      <c r="K1070">
        <v>10</v>
      </c>
      <c r="L1070">
        <v>3.048</v>
      </c>
      <c r="M1070">
        <v>19.05</v>
      </c>
      <c r="N1070">
        <v>88.9</v>
      </c>
      <c r="O1070">
        <v>120</v>
      </c>
      <c r="P1070">
        <v>0.75000000000000011</v>
      </c>
      <c r="Q1070">
        <v>3.5000000000000004</v>
      </c>
      <c r="R1070">
        <v>1937.2619999999999</v>
      </c>
      <c r="S1070">
        <v>5.1619251600000006E-3</v>
      </c>
      <c r="T1070" s="4" t="s">
        <v>3196</v>
      </c>
    </row>
    <row r="1071" spans="1:20" x14ac:dyDescent="0.2">
      <c r="A1071" s="4" t="s">
        <v>3108</v>
      </c>
      <c r="B1071" s="4" t="s">
        <v>3194</v>
      </c>
      <c r="C1071" s="4" t="s">
        <v>2096</v>
      </c>
      <c r="D1071" s="4" t="s">
        <v>2236</v>
      </c>
      <c r="E1071" s="4" t="s">
        <v>3197</v>
      </c>
      <c r="F1071" s="4" t="s">
        <v>3195</v>
      </c>
      <c r="G1071" s="4" t="s">
        <v>3108</v>
      </c>
      <c r="H1071" s="4" t="s">
        <v>2183</v>
      </c>
      <c r="I1071" s="4" t="s">
        <v>2100</v>
      </c>
      <c r="J1071" s="4" t="s">
        <v>2384</v>
      </c>
      <c r="K1071">
        <v>11</v>
      </c>
      <c r="L1071">
        <v>3.3527999999999998</v>
      </c>
      <c r="M1071">
        <v>19.05</v>
      </c>
      <c r="N1071">
        <v>88.9</v>
      </c>
      <c r="O1071">
        <v>132</v>
      </c>
      <c r="P1071">
        <v>0.75000000000000011</v>
      </c>
      <c r="Q1071">
        <v>3.5000000000000004</v>
      </c>
      <c r="R1071">
        <v>1937.2619999999999</v>
      </c>
      <c r="S1071">
        <v>5.6781176760000007E-3</v>
      </c>
      <c r="T1071" s="4" t="s">
        <v>3196</v>
      </c>
    </row>
    <row r="1072" spans="1:20" x14ac:dyDescent="0.2">
      <c r="A1072" s="4" t="s">
        <v>3108</v>
      </c>
      <c r="B1072" s="4" t="s">
        <v>3194</v>
      </c>
      <c r="C1072" s="4" t="s">
        <v>2096</v>
      </c>
      <c r="D1072" s="4" t="s">
        <v>2236</v>
      </c>
      <c r="E1072" s="4" t="s">
        <v>846</v>
      </c>
      <c r="F1072" s="4" t="s">
        <v>3195</v>
      </c>
      <c r="G1072" s="4" t="s">
        <v>3108</v>
      </c>
      <c r="H1072" s="4" t="s">
        <v>2183</v>
      </c>
      <c r="I1072" s="4" t="s">
        <v>2100</v>
      </c>
      <c r="J1072" s="4" t="s">
        <v>2384</v>
      </c>
      <c r="K1072">
        <v>12</v>
      </c>
      <c r="L1072">
        <v>3.6576</v>
      </c>
      <c r="M1072">
        <v>19.05</v>
      </c>
      <c r="N1072">
        <v>88.9</v>
      </c>
      <c r="O1072">
        <v>144</v>
      </c>
      <c r="P1072">
        <v>0.75000000000000011</v>
      </c>
      <c r="Q1072">
        <v>3.5000000000000004</v>
      </c>
      <c r="R1072">
        <v>1937.2619999999999</v>
      </c>
      <c r="S1072">
        <v>6.1943101919999998E-3</v>
      </c>
      <c r="T1072" s="4" t="s">
        <v>3196</v>
      </c>
    </row>
    <row r="1073" spans="1:20" x14ac:dyDescent="0.2">
      <c r="A1073" s="4" t="s">
        <v>3108</v>
      </c>
      <c r="B1073" s="4" t="s">
        <v>3194</v>
      </c>
      <c r="C1073" s="4" t="s">
        <v>2096</v>
      </c>
      <c r="D1073" s="4" t="s">
        <v>2236</v>
      </c>
      <c r="E1073" s="4" t="s">
        <v>3198</v>
      </c>
      <c r="F1073" s="4" t="s">
        <v>3195</v>
      </c>
      <c r="G1073" s="4" t="s">
        <v>3108</v>
      </c>
      <c r="H1073" s="4" t="s">
        <v>2183</v>
      </c>
      <c r="I1073" s="4" t="s">
        <v>2100</v>
      </c>
      <c r="J1073" s="4" t="s">
        <v>2384</v>
      </c>
      <c r="K1073">
        <v>13</v>
      </c>
      <c r="L1073">
        <v>3.9624000000000001</v>
      </c>
      <c r="M1073">
        <v>19.05</v>
      </c>
      <c r="N1073">
        <v>88.9</v>
      </c>
      <c r="O1073">
        <v>156</v>
      </c>
      <c r="P1073">
        <v>0.75000000000000011</v>
      </c>
      <c r="Q1073">
        <v>3.5000000000000004</v>
      </c>
      <c r="R1073">
        <v>1937.2619999999999</v>
      </c>
      <c r="S1073">
        <v>6.7105027080000008E-3</v>
      </c>
      <c r="T1073" s="4" t="s">
        <v>3196</v>
      </c>
    </row>
    <row r="1074" spans="1:20" x14ac:dyDescent="0.2">
      <c r="A1074" s="4" t="s">
        <v>3108</v>
      </c>
      <c r="B1074" s="4" t="s">
        <v>3194</v>
      </c>
      <c r="C1074" s="4" t="s">
        <v>2096</v>
      </c>
      <c r="D1074" s="4" t="s">
        <v>2236</v>
      </c>
      <c r="E1074" s="4" t="s">
        <v>3199</v>
      </c>
      <c r="F1074" s="4" t="s">
        <v>3195</v>
      </c>
      <c r="G1074" s="4" t="s">
        <v>3108</v>
      </c>
      <c r="H1074" s="4" t="s">
        <v>2183</v>
      </c>
      <c r="I1074" s="4" t="s">
        <v>2100</v>
      </c>
      <c r="J1074" s="4" t="s">
        <v>2384</v>
      </c>
      <c r="K1074">
        <v>14</v>
      </c>
      <c r="L1074">
        <v>4.2671999999999999</v>
      </c>
      <c r="M1074">
        <v>19.05</v>
      </c>
      <c r="N1074">
        <v>88.9</v>
      </c>
      <c r="O1074">
        <v>168</v>
      </c>
      <c r="P1074">
        <v>0.75000000000000011</v>
      </c>
      <c r="Q1074">
        <v>3.5000000000000004</v>
      </c>
      <c r="R1074">
        <v>1937.2619999999999</v>
      </c>
      <c r="S1074">
        <v>7.226695224E-3</v>
      </c>
      <c r="T1074" s="4" t="s">
        <v>3196</v>
      </c>
    </row>
    <row r="1075" spans="1:20" x14ac:dyDescent="0.2">
      <c r="A1075" s="4" t="s">
        <v>3108</v>
      </c>
      <c r="B1075" s="4" t="s">
        <v>3194</v>
      </c>
      <c r="C1075" s="4" t="s">
        <v>2096</v>
      </c>
      <c r="D1075" s="4" t="s">
        <v>2236</v>
      </c>
      <c r="E1075" s="4" t="s">
        <v>3200</v>
      </c>
      <c r="F1075" s="4" t="s">
        <v>3195</v>
      </c>
      <c r="G1075" s="4" t="s">
        <v>3108</v>
      </c>
      <c r="H1075" s="4" t="s">
        <v>2183</v>
      </c>
      <c r="I1075" s="4" t="s">
        <v>2100</v>
      </c>
      <c r="J1075" s="4" t="s">
        <v>2384</v>
      </c>
      <c r="K1075">
        <v>15</v>
      </c>
      <c r="L1075">
        <v>4.5720000000000001</v>
      </c>
      <c r="M1075">
        <v>19.05</v>
      </c>
      <c r="N1075">
        <v>88.9</v>
      </c>
      <c r="O1075">
        <v>180</v>
      </c>
      <c r="P1075">
        <v>0.75000000000000011</v>
      </c>
      <c r="Q1075">
        <v>3.5000000000000004</v>
      </c>
      <c r="R1075">
        <v>1937.2619999999999</v>
      </c>
      <c r="S1075">
        <v>7.7428877400000018E-3</v>
      </c>
      <c r="T1075" s="4" t="s">
        <v>3196</v>
      </c>
    </row>
    <row r="1076" spans="1:20" x14ac:dyDescent="0.2">
      <c r="A1076" s="4" t="s">
        <v>3108</v>
      </c>
      <c r="B1076" s="4" t="s">
        <v>3194</v>
      </c>
      <c r="C1076" s="4" t="s">
        <v>2096</v>
      </c>
      <c r="D1076" s="4" t="s">
        <v>2236</v>
      </c>
      <c r="E1076" s="4" t="s">
        <v>3201</v>
      </c>
      <c r="F1076" s="4" t="s">
        <v>3195</v>
      </c>
      <c r="G1076" s="4" t="s">
        <v>3108</v>
      </c>
      <c r="H1076" s="4" t="s">
        <v>2183</v>
      </c>
      <c r="I1076" s="4" t="s">
        <v>2100</v>
      </c>
      <c r="J1076" s="4" t="s">
        <v>2384</v>
      </c>
      <c r="K1076">
        <v>16</v>
      </c>
      <c r="L1076">
        <v>4.8768000000000002</v>
      </c>
      <c r="M1076">
        <v>19.05</v>
      </c>
      <c r="N1076">
        <v>88.9</v>
      </c>
      <c r="O1076">
        <v>192.00000000000003</v>
      </c>
      <c r="P1076">
        <v>0.75000000000000011</v>
      </c>
      <c r="Q1076">
        <v>3.5000000000000004</v>
      </c>
      <c r="R1076">
        <v>1937.2619999999999</v>
      </c>
      <c r="S1076">
        <v>8.259080256000001E-3</v>
      </c>
      <c r="T1076" s="4" t="s">
        <v>3196</v>
      </c>
    </row>
    <row r="1077" spans="1:20" x14ac:dyDescent="0.2">
      <c r="A1077" s="4" t="s">
        <v>3108</v>
      </c>
      <c r="B1077" s="4" t="s">
        <v>3194</v>
      </c>
      <c r="C1077" s="4" t="s">
        <v>2096</v>
      </c>
      <c r="D1077" s="4" t="s">
        <v>2236</v>
      </c>
      <c r="E1077" s="4" t="s">
        <v>3202</v>
      </c>
      <c r="F1077" s="4" t="s">
        <v>3195</v>
      </c>
      <c r="G1077" s="4" t="s">
        <v>3108</v>
      </c>
      <c r="H1077" s="4" t="s">
        <v>2183</v>
      </c>
      <c r="I1077" s="4" t="s">
        <v>2100</v>
      </c>
      <c r="J1077" s="4" t="s">
        <v>2384</v>
      </c>
      <c r="K1077">
        <v>17</v>
      </c>
      <c r="L1077">
        <v>5.1816000000000004</v>
      </c>
      <c r="M1077">
        <v>19.05</v>
      </c>
      <c r="N1077">
        <v>88.9</v>
      </c>
      <c r="O1077">
        <v>204.00000000000003</v>
      </c>
      <c r="P1077">
        <v>0.75000000000000011</v>
      </c>
      <c r="Q1077">
        <v>3.5000000000000004</v>
      </c>
      <c r="R1077">
        <v>1937.2619999999999</v>
      </c>
      <c r="S1077">
        <v>8.7752727720000027E-3</v>
      </c>
      <c r="T1077" s="4" t="s">
        <v>3196</v>
      </c>
    </row>
    <row r="1078" spans="1:20" x14ac:dyDescent="0.2">
      <c r="A1078" s="4" t="s">
        <v>3108</v>
      </c>
      <c r="B1078" s="4" t="s">
        <v>3194</v>
      </c>
      <c r="C1078" s="4" t="s">
        <v>2096</v>
      </c>
      <c r="D1078" s="4" t="s">
        <v>2236</v>
      </c>
      <c r="E1078" s="4" t="s">
        <v>847</v>
      </c>
      <c r="F1078" s="4" t="s">
        <v>3195</v>
      </c>
      <c r="G1078" s="4" t="s">
        <v>3108</v>
      </c>
      <c r="H1078" s="4" t="s">
        <v>2183</v>
      </c>
      <c r="I1078" s="4" t="s">
        <v>2100</v>
      </c>
      <c r="J1078" s="4" t="s">
        <v>2384</v>
      </c>
      <c r="K1078">
        <v>18</v>
      </c>
      <c r="L1078">
        <v>5.4863999999999997</v>
      </c>
      <c r="M1078">
        <v>19.05</v>
      </c>
      <c r="N1078">
        <v>88.9</v>
      </c>
      <c r="O1078">
        <v>216</v>
      </c>
      <c r="P1078">
        <v>0.75000000000000011</v>
      </c>
      <c r="Q1078">
        <v>3.5000000000000004</v>
      </c>
      <c r="R1078">
        <v>1937.2619999999999</v>
      </c>
      <c r="S1078">
        <v>9.2914652880000011E-3</v>
      </c>
      <c r="T1078" s="4" t="s">
        <v>3196</v>
      </c>
    </row>
    <row r="1079" spans="1:20" x14ac:dyDescent="0.2">
      <c r="A1079" s="4" t="s">
        <v>3108</v>
      </c>
      <c r="B1079" s="4" t="s">
        <v>3194</v>
      </c>
      <c r="C1079" s="4" t="s">
        <v>2096</v>
      </c>
      <c r="D1079" s="4" t="s">
        <v>2236</v>
      </c>
      <c r="E1079" s="4" t="s">
        <v>3203</v>
      </c>
      <c r="F1079" s="4" t="s">
        <v>3195</v>
      </c>
      <c r="G1079" s="4" t="s">
        <v>3108</v>
      </c>
      <c r="H1079" s="4" t="s">
        <v>2183</v>
      </c>
      <c r="I1079" s="4" t="s">
        <v>2100</v>
      </c>
      <c r="J1079" s="4" t="s">
        <v>2384</v>
      </c>
      <c r="K1079">
        <v>19</v>
      </c>
      <c r="L1079">
        <v>5.7911999999999999</v>
      </c>
      <c r="M1079">
        <v>19.05</v>
      </c>
      <c r="N1079">
        <v>88.9</v>
      </c>
      <c r="O1079">
        <v>228</v>
      </c>
      <c r="P1079">
        <v>0.75000000000000011</v>
      </c>
      <c r="Q1079">
        <v>3.5000000000000004</v>
      </c>
      <c r="R1079">
        <v>1937.2619999999999</v>
      </c>
      <c r="S1079">
        <v>9.8076578040000011E-3</v>
      </c>
      <c r="T1079" s="4" t="s">
        <v>3196</v>
      </c>
    </row>
    <row r="1080" spans="1:20" x14ac:dyDescent="0.2">
      <c r="A1080" s="4" t="s">
        <v>3108</v>
      </c>
      <c r="B1080" s="4" t="s">
        <v>3194</v>
      </c>
      <c r="C1080" s="4" t="s">
        <v>2096</v>
      </c>
      <c r="D1080" s="4" t="s">
        <v>2236</v>
      </c>
      <c r="E1080" s="4" t="s">
        <v>849</v>
      </c>
      <c r="F1080" s="4" t="s">
        <v>3195</v>
      </c>
      <c r="G1080" s="4" t="s">
        <v>3108</v>
      </c>
      <c r="H1080" s="4" t="s">
        <v>2183</v>
      </c>
      <c r="I1080" s="4" t="s">
        <v>2100</v>
      </c>
      <c r="J1080" s="4" t="s">
        <v>2384</v>
      </c>
      <c r="K1080">
        <v>20</v>
      </c>
      <c r="L1080">
        <v>6.0960000000000001</v>
      </c>
      <c r="M1080">
        <v>19.05</v>
      </c>
      <c r="N1080">
        <v>88.9</v>
      </c>
      <c r="O1080">
        <v>240</v>
      </c>
      <c r="P1080">
        <v>0.75000000000000011</v>
      </c>
      <c r="Q1080">
        <v>3.5000000000000004</v>
      </c>
      <c r="R1080">
        <v>1937.2619999999999</v>
      </c>
      <c r="S1080">
        <v>1.0323850320000001E-2</v>
      </c>
      <c r="T1080" s="4" t="s">
        <v>3196</v>
      </c>
    </row>
    <row r="1081" spans="1:20" x14ac:dyDescent="0.2">
      <c r="A1081" s="4" t="s">
        <v>3108</v>
      </c>
      <c r="B1081" s="4" t="s">
        <v>3194</v>
      </c>
      <c r="C1081" s="4" t="s">
        <v>2096</v>
      </c>
      <c r="D1081" s="4" t="s">
        <v>2236</v>
      </c>
      <c r="E1081" s="4" t="s">
        <v>3204</v>
      </c>
      <c r="F1081" s="4" t="s">
        <v>3195</v>
      </c>
      <c r="G1081" s="4" t="s">
        <v>3108</v>
      </c>
      <c r="H1081" s="4" t="s">
        <v>2183</v>
      </c>
      <c r="I1081" s="4" t="s">
        <v>2100</v>
      </c>
      <c r="J1081" s="4" t="s">
        <v>2384</v>
      </c>
      <c r="K1081">
        <v>21</v>
      </c>
      <c r="L1081">
        <v>6.4008000000000003</v>
      </c>
      <c r="M1081">
        <v>19.05</v>
      </c>
      <c r="N1081">
        <v>88.9</v>
      </c>
      <c r="O1081">
        <v>252.00000000000003</v>
      </c>
      <c r="P1081">
        <v>0.75000000000000011</v>
      </c>
      <c r="Q1081">
        <v>3.5000000000000004</v>
      </c>
      <c r="R1081">
        <v>1937.2619999999999</v>
      </c>
      <c r="S1081">
        <v>1.0840042836000001E-2</v>
      </c>
      <c r="T1081" s="4" t="s">
        <v>3196</v>
      </c>
    </row>
    <row r="1082" spans="1:20" x14ac:dyDescent="0.2">
      <c r="A1082" s="4" t="s">
        <v>3108</v>
      </c>
      <c r="B1082" s="4" t="s">
        <v>3194</v>
      </c>
      <c r="C1082" s="4" t="s">
        <v>2096</v>
      </c>
      <c r="D1082" s="4" t="s">
        <v>2236</v>
      </c>
      <c r="E1082" s="4" t="s">
        <v>3205</v>
      </c>
      <c r="F1082" s="4" t="s">
        <v>3195</v>
      </c>
      <c r="G1082" s="4" t="s">
        <v>3108</v>
      </c>
      <c r="H1082" s="4" t="s">
        <v>2183</v>
      </c>
      <c r="I1082" s="4" t="s">
        <v>2100</v>
      </c>
      <c r="J1082" s="4" t="s">
        <v>2384</v>
      </c>
      <c r="K1082">
        <v>22</v>
      </c>
      <c r="L1082">
        <v>6.7055999999999996</v>
      </c>
      <c r="M1082">
        <v>19.05</v>
      </c>
      <c r="N1082">
        <v>88.9</v>
      </c>
      <c r="O1082">
        <v>264</v>
      </c>
      <c r="P1082">
        <v>0.75000000000000011</v>
      </c>
      <c r="Q1082">
        <v>3.5000000000000004</v>
      </c>
      <c r="R1082">
        <v>1937.2619999999999</v>
      </c>
      <c r="S1082">
        <v>1.1356235352000001E-2</v>
      </c>
      <c r="T1082" s="4" t="s">
        <v>3196</v>
      </c>
    </row>
    <row r="1083" spans="1:20" x14ac:dyDescent="0.2">
      <c r="A1083" s="4" t="s">
        <v>3108</v>
      </c>
      <c r="B1083" s="4" t="s">
        <v>3194</v>
      </c>
      <c r="C1083" s="4" t="s">
        <v>2286</v>
      </c>
      <c r="D1083" s="4" t="s">
        <v>2236</v>
      </c>
      <c r="E1083" s="4" t="s">
        <v>3206</v>
      </c>
      <c r="F1083" s="4" t="s">
        <v>3195</v>
      </c>
      <c r="G1083" s="4" t="s">
        <v>3108</v>
      </c>
      <c r="H1083" s="4" t="s">
        <v>2183</v>
      </c>
      <c r="I1083" s="4" t="s">
        <v>2100</v>
      </c>
      <c r="J1083" s="4" t="s">
        <v>2384</v>
      </c>
      <c r="K1083">
        <v>3</v>
      </c>
      <c r="L1083">
        <v>0.91439999999999999</v>
      </c>
      <c r="M1083">
        <v>19.05</v>
      </c>
      <c r="N1083">
        <v>88.9</v>
      </c>
      <c r="O1083">
        <v>36</v>
      </c>
      <c r="P1083">
        <v>0.75000000000000011</v>
      </c>
      <c r="Q1083">
        <v>3.5000000000000004</v>
      </c>
      <c r="R1083">
        <v>1937.2619999999999</v>
      </c>
      <c r="S1083">
        <v>1.548577548E-3</v>
      </c>
      <c r="T1083" s="4" t="s">
        <v>3207</v>
      </c>
    </row>
    <row r="1084" spans="1:20" x14ac:dyDescent="0.2">
      <c r="A1084" s="4" t="s">
        <v>3108</v>
      </c>
      <c r="B1084" s="4" t="s">
        <v>3194</v>
      </c>
      <c r="C1084" s="4" t="s">
        <v>2286</v>
      </c>
      <c r="D1084" s="4" t="s">
        <v>2236</v>
      </c>
      <c r="E1084" s="4" t="s">
        <v>3208</v>
      </c>
      <c r="F1084" s="4" t="s">
        <v>3195</v>
      </c>
      <c r="G1084" s="4" t="s">
        <v>3108</v>
      </c>
      <c r="H1084" s="4" t="s">
        <v>2183</v>
      </c>
      <c r="I1084" s="4" t="s">
        <v>2100</v>
      </c>
      <c r="J1084" s="4" t="s">
        <v>2384</v>
      </c>
      <c r="K1084">
        <v>4</v>
      </c>
      <c r="L1084">
        <v>1.2192000000000001</v>
      </c>
      <c r="M1084">
        <v>19.05</v>
      </c>
      <c r="N1084">
        <v>88.9</v>
      </c>
      <c r="O1084">
        <v>48.000000000000007</v>
      </c>
      <c r="P1084">
        <v>0.75000000000000011</v>
      </c>
      <c r="Q1084">
        <v>3.5000000000000004</v>
      </c>
      <c r="R1084">
        <v>1937.2619999999999</v>
      </c>
      <c r="S1084">
        <v>2.0647700640000002E-3</v>
      </c>
      <c r="T1084" s="4" t="s">
        <v>3207</v>
      </c>
    </row>
    <row r="1085" spans="1:20" x14ac:dyDescent="0.2">
      <c r="A1085" s="4" t="s">
        <v>3108</v>
      </c>
      <c r="B1085" s="4" t="s">
        <v>3194</v>
      </c>
      <c r="C1085" s="4" t="s">
        <v>2286</v>
      </c>
      <c r="D1085" s="4" t="s">
        <v>2236</v>
      </c>
      <c r="E1085" s="4" t="s">
        <v>3209</v>
      </c>
      <c r="F1085" s="4" t="s">
        <v>3195</v>
      </c>
      <c r="G1085" s="4" t="s">
        <v>3108</v>
      </c>
      <c r="H1085" s="4" t="s">
        <v>2183</v>
      </c>
      <c r="I1085" s="4" t="s">
        <v>2100</v>
      </c>
      <c r="J1085" s="4" t="s">
        <v>2384</v>
      </c>
      <c r="K1085">
        <v>5</v>
      </c>
      <c r="L1085">
        <v>1.524</v>
      </c>
      <c r="M1085">
        <v>19.05</v>
      </c>
      <c r="N1085">
        <v>88.9</v>
      </c>
      <c r="O1085">
        <v>60</v>
      </c>
      <c r="P1085">
        <v>0.75000000000000011</v>
      </c>
      <c r="Q1085">
        <v>3.5000000000000004</v>
      </c>
      <c r="R1085">
        <v>1937.2619999999999</v>
      </c>
      <c r="S1085">
        <v>2.5809625800000003E-3</v>
      </c>
      <c r="T1085" s="4" t="s">
        <v>3207</v>
      </c>
    </row>
    <row r="1086" spans="1:20" x14ac:dyDescent="0.2">
      <c r="A1086" s="4" t="s">
        <v>3108</v>
      </c>
      <c r="B1086" s="4" t="s">
        <v>3194</v>
      </c>
      <c r="C1086" s="4" t="s">
        <v>2286</v>
      </c>
      <c r="D1086" s="4" t="s">
        <v>2236</v>
      </c>
      <c r="E1086" s="4" t="s">
        <v>3210</v>
      </c>
      <c r="F1086" s="4" t="s">
        <v>3195</v>
      </c>
      <c r="G1086" s="4" t="s">
        <v>3108</v>
      </c>
      <c r="H1086" s="4" t="s">
        <v>2183</v>
      </c>
      <c r="I1086" s="4" t="s">
        <v>2100</v>
      </c>
      <c r="J1086" s="4" t="s">
        <v>2384</v>
      </c>
      <c r="K1086">
        <v>6</v>
      </c>
      <c r="L1086">
        <v>1.8288</v>
      </c>
      <c r="M1086">
        <v>19.05</v>
      </c>
      <c r="N1086">
        <v>88.9</v>
      </c>
      <c r="O1086">
        <v>72</v>
      </c>
      <c r="P1086">
        <v>0.75000000000000011</v>
      </c>
      <c r="Q1086">
        <v>3.5000000000000004</v>
      </c>
      <c r="R1086">
        <v>1937.2619999999999</v>
      </c>
      <c r="S1086">
        <v>3.0971550959999999E-3</v>
      </c>
      <c r="T1086" s="4" t="s">
        <v>3207</v>
      </c>
    </row>
    <row r="1087" spans="1:20" x14ac:dyDescent="0.2">
      <c r="A1087" s="4" t="s">
        <v>3108</v>
      </c>
      <c r="B1087" s="4" t="s">
        <v>3194</v>
      </c>
      <c r="C1087" s="4" t="s">
        <v>2286</v>
      </c>
      <c r="D1087" s="4" t="s">
        <v>2236</v>
      </c>
      <c r="E1087" s="4" t="s">
        <v>3211</v>
      </c>
      <c r="F1087" s="4" t="s">
        <v>3195</v>
      </c>
      <c r="G1087" s="4" t="s">
        <v>3108</v>
      </c>
      <c r="H1087" s="4" t="s">
        <v>2183</v>
      </c>
      <c r="I1087" s="4" t="s">
        <v>2100</v>
      </c>
      <c r="J1087" s="4" t="s">
        <v>2384</v>
      </c>
      <c r="K1087">
        <v>7</v>
      </c>
      <c r="L1087">
        <v>2.1335999999999999</v>
      </c>
      <c r="M1087">
        <v>19.05</v>
      </c>
      <c r="N1087">
        <v>88.9</v>
      </c>
      <c r="O1087">
        <v>84</v>
      </c>
      <c r="P1087">
        <v>0.75000000000000011</v>
      </c>
      <c r="Q1087">
        <v>3.5000000000000004</v>
      </c>
      <c r="R1087">
        <v>1937.2619999999999</v>
      </c>
      <c r="S1087">
        <v>3.613347612E-3</v>
      </c>
      <c r="T1087" s="4" t="s">
        <v>3207</v>
      </c>
    </row>
    <row r="1088" spans="1:20" x14ac:dyDescent="0.2">
      <c r="A1088" s="4" t="s">
        <v>3108</v>
      </c>
      <c r="B1088" s="4" t="s">
        <v>3194</v>
      </c>
      <c r="C1088" s="4" t="s">
        <v>2096</v>
      </c>
      <c r="D1088" s="4" t="s">
        <v>2236</v>
      </c>
      <c r="E1088" s="4" t="s">
        <v>850</v>
      </c>
      <c r="F1088" s="4" t="s">
        <v>3195</v>
      </c>
      <c r="G1088" s="4" t="s">
        <v>3108</v>
      </c>
      <c r="H1088" s="4" t="s">
        <v>2183</v>
      </c>
      <c r="I1088" s="4" t="s">
        <v>2100</v>
      </c>
      <c r="J1088" s="4" t="s">
        <v>2384</v>
      </c>
      <c r="K1088">
        <v>8</v>
      </c>
      <c r="L1088">
        <v>2.4384000000000001</v>
      </c>
      <c r="M1088">
        <v>19.05</v>
      </c>
      <c r="N1088">
        <v>88.9</v>
      </c>
      <c r="O1088">
        <v>96.000000000000014</v>
      </c>
      <c r="P1088">
        <v>0.75000000000000011</v>
      </c>
      <c r="Q1088">
        <v>3.5000000000000004</v>
      </c>
      <c r="R1088">
        <v>1937.2619999999999</v>
      </c>
      <c r="S1088">
        <v>4.1295401280000005E-3</v>
      </c>
      <c r="T1088" s="4" t="s">
        <v>3196</v>
      </c>
    </row>
    <row r="1089" spans="1:20" x14ac:dyDescent="0.2">
      <c r="A1089" s="4" t="s">
        <v>3108</v>
      </c>
      <c r="B1089" s="4" t="s">
        <v>3194</v>
      </c>
      <c r="C1089" s="4" t="s">
        <v>2096</v>
      </c>
      <c r="D1089" s="4" t="s">
        <v>2236</v>
      </c>
      <c r="E1089" s="4" t="s">
        <v>3212</v>
      </c>
      <c r="F1089" s="4" t="s">
        <v>3195</v>
      </c>
      <c r="G1089" s="4" t="s">
        <v>3108</v>
      </c>
      <c r="H1089" s="4" t="s">
        <v>2183</v>
      </c>
      <c r="I1089" s="4" t="s">
        <v>2100</v>
      </c>
      <c r="J1089" s="4" t="s">
        <v>2384</v>
      </c>
      <c r="K1089">
        <v>9</v>
      </c>
      <c r="L1089">
        <v>2.7431999999999999</v>
      </c>
      <c r="M1089">
        <v>19.05</v>
      </c>
      <c r="N1089">
        <v>88.9</v>
      </c>
      <c r="O1089">
        <v>108</v>
      </c>
      <c r="P1089">
        <v>0.75000000000000011</v>
      </c>
      <c r="Q1089">
        <v>3.5000000000000004</v>
      </c>
      <c r="R1089">
        <v>1937.2619999999999</v>
      </c>
      <c r="S1089">
        <v>4.6457326440000005E-3</v>
      </c>
      <c r="T1089" s="4" t="s">
        <v>3196</v>
      </c>
    </row>
    <row r="1090" spans="1:20" x14ac:dyDescent="0.2">
      <c r="A1090" s="4" t="s">
        <v>3108</v>
      </c>
      <c r="B1090" s="4" t="s">
        <v>3213</v>
      </c>
      <c r="C1090" s="4" t="s">
        <v>2096</v>
      </c>
      <c r="D1090" s="4" t="s">
        <v>2236</v>
      </c>
      <c r="E1090" s="4" t="s">
        <v>3214</v>
      </c>
      <c r="F1090" s="4" t="s">
        <v>3215</v>
      </c>
      <c r="G1090" s="4" t="s">
        <v>3108</v>
      </c>
      <c r="H1090" s="4" t="s">
        <v>2183</v>
      </c>
      <c r="I1090" s="4" t="s">
        <v>2100</v>
      </c>
      <c r="J1090" s="4" t="s">
        <v>2410</v>
      </c>
      <c r="K1090">
        <v>10</v>
      </c>
      <c r="L1090">
        <v>3.048</v>
      </c>
      <c r="M1090">
        <v>21</v>
      </c>
      <c r="N1090">
        <v>145</v>
      </c>
      <c r="O1090">
        <v>120</v>
      </c>
      <c r="P1090">
        <v>0.82677165354330717</v>
      </c>
      <c r="Q1090">
        <v>5.7086614173228352</v>
      </c>
      <c r="R1090">
        <v>1077.452</v>
      </c>
      <c r="S1090">
        <v>9.2811600000000001E-3</v>
      </c>
      <c r="T1090" s="4" t="s">
        <v>3216</v>
      </c>
    </row>
    <row r="1091" spans="1:20" x14ac:dyDescent="0.2">
      <c r="A1091" s="4" t="s">
        <v>3108</v>
      </c>
      <c r="B1091" s="4" t="s">
        <v>3213</v>
      </c>
      <c r="C1091" s="4" t="s">
        <v>2096</v>
      </c>
      <c r="D1091" s="4" t="s">
        <v>2236</v>
      </c>
      <c r="E1091" s="4" t="s">
        <v>3217</v>
      </c>
      <c r="F1091" s="4" t="s">
        <v>3215</v>
      </c>
      <c r="G1091" s="4" t="s">
        <v>3108</v>
      </c>
      <c r="H1091" s="4" t="s">
        <v>2183</v>
      </c>
      <c r="I1091" s="4" t="s">
        <v>2100</v>
      </c>
      <c r="J1091" s="4" t="s">
        <v>2410</v>
      </c>
      <c r="K1091">
        <v>11</v>
      </c>
      <c r="L1091">
        <v>3.3528000000000002</v>
      </c>
      <c r="M1091">
        <v>21</v>
      </c>
      <c r="N1091">
        <v>145</v>
      </c>
      <c r="O1091">
        <v>132</v>
      </c>
      <c r="P1091">
        <v>0.82677165354330717</v>
      </c>
      <c r="Q1091">
        <v>5.7086614173228352</v>
      </c>
      <c r="R1091">
        <v>1077.452</v>
      </c>
      <c r="S1091">
        <v>1.0209276E-2</v>
      </c>
      <c r="T1091" s="4" t="s">
        <v>3216</v>
      </c>
    </row>
    <row r="1092" spans="1:20" x14ac:dyDescent="0.2">
      <c r="A1092" s="4" t="s">
        <v>3108</v>
      </c>
      <c r="B1092" s="4" t="s">
        <v>3213</v>
      </c>
      <c r="C1092" s="4" t="s">
        <v>2096</v>
      </c>
      <c r="D1092" s="4" t="s">
        <v>2236</v>
      </c>
      <c r="E1092" s="4" t="s">
        <v>3218</v>
      </c>
      <c r="F1092" s="4" t="s">
        <v>3215</v>
      </c>
      <c r="G1092" s="4" t="s">
        <v>3108</v>
      </c>
      <c r="H1092" s="4" t="s">
        <v>2183</v>
      </c>
      <c r="I1092" s="4" t="s">
        <v>2100</v>
      </c>
      <c r="J1092" s="4" t="s">
        <v>2410</v>
      </c>
      <c r="K1092">
        <v>12</v>
      </c>
      <c r="L1092">
        <v>3.6576000000000004</v>
      </c>
      <c r="M1092">
        <v>21</v>
      </c>
      <c r="N1092">
        <v>145</v>
      </c>
      <c r="O1092">
        <v>144.00000000000003</v>
      </c>
      <c r="P1092">
        <v>0.82677165354330717</v>
      </c>
      <c r="Q1092">
        <v>5.7086614173228352</v>
      </c>
      <c r="R1092">
        <v>1077.452</v>
      </c>
      <c r="S1092">
        <v>1.1137391999999999E-2</v>
      </c>
      <c r="T1092" s="4" t="s">
        <v>3216</v>
      </c>
    </row>
    <row r="1093" spans="1:20" x14ac:dyDescent="0.2">
      <c r="A1093" s="4" t="s">
        <v>3108</v>
      </c>
      <c r="B1093" s="4" t="s">
        <v>3213</v>
      </c>
      <c r="C1093" s="4" t="s">
        <v>2096</v>
      </c>
      <c r="D1093" s="4" t="s">
        <v>2236</v>
      </c>
      <c r="E1093" s="4" t="s">
        <v>3219</v>
      </c>
      <c r="F1093" s="4" t="s">
        <v>3215</v>
      </c>
      <c r="G1093" s="4" t="s">
        <v>3108</v>
      </c>
      <c r="H1093" s="4" t="s">
        <v>2183</v>
      </c>
      <c r="I1093" s="4" t="s">
        <v>2100</v>
      </c>
      <c r="J1093" s="4" t="s">
        <v>2410</v>
      </c>
      <c r="K1093">
        <v>13</v>
      </c>
      <c r="L1093">
        <v>3.9624000000000001</v>
      </c>
      <c r="M1093">
        <v>21</v>
      </c>
      <c r="N1093">
        <v>145</v>
      </c>
      <c r="O1093">
        <v>156</v>
      </c>
      <c r="P1093">
        <v>0.82677165354330717</v>
      </c>
      <c r="Q1093">
        <v>5.7086614173228352</v>
      </c>
      <c r="R1093">
        <v>1077.452</v>
      </c>
      <c r="S1093">
        <v>1.2065508000000001E-2</v>
      </c>
      <c r="T1093" s="4" t="s">
        <v>3216</v>
      </c>
    </row>
    <row r="1094" spans="1:20" x14ac:dyDescent="0.2">
      <c r="A1094" s="4" t="s">
        <v>3108</v>
      </c>
      <c r="B1094" s="4" t="s">
        <v>3213</v>
      </c>
      <c r="C1094" s="4" t="s">
        <v>2096</v>
      </c>
      <c r="D1094" s="4" t="s">
        <v>2236</v>
      </c>
      <c r="E1094" s="4" t="s">
        <v>3220</v>
      </c>
      <c r="F1094" s="4" t="s">
        <v>3215</v>
      </c>
      <c r="G1094" s="4" t="s">
        <v>3108</v>
      </c>
      <c r="H1094" s="4" t="s">
        <v>2183</v>
      </c>
      <c r="I1094" s="4" t="s">
        <v>2100</v>
      </c>
      <c r="J1094" s="4" t="s">
        <v>2410</v>
      </c>
      <c r="K1094">
        <v>14</v>
      </c>
      <c r="L1094">
        <v>4.2671999999999999</v>
      </c>
      <c r="M1094">
        <v>21</v>
      </c>
      <c r="N1094">
        <v>145</v>
      </c>
      <c r="O1094">
        <v>168</v>
      </c>
      <c r="P1094">
        <v>0.82677165354330717</v>
      </c>
      <c r="Q1094">
        <v>5.7086614173228352</v>
      </c>
      <c r="R1094">
        <v>1077.452</v>
      </c>
      <c r="S1094">
        <v>1.2993624E-2</v>
      </c>
      <c r="T1094" s="4" t="s">
        <v>3216</v>
      </c>
    </row>
    <row r="1095" spans="1:20" x14ac:dyDescent="0.2">
      <c r="A1095" s="4" t="s">
        <v>3108</v>
      </c>
      <c r="B1095" s="4" t="s">
        <v>3213</v>
      </c>
      <c r="C1095" s="4" t="s">
        <v>2096</v>
      </c>
      <c r="D1095" s="4" t="s">
        <v>2236</v>
      </c>
      <c r="E1095" s="4" t="s">
        <v>3221</v>
      </c>
      <c r="F1095" s="4" t="s">
        <v>3215</v>
      </c>
      <c r="G1095" s="4" t="s">
        <v>3108</v>
      </c>
      <c r="H1095" s="4" t="s">
        <v>2183</v>
      </c>
      <c r="I1095" s="4" t="s">
        <v>2100</v>
      </c>
      <c r="J1095" s="4" t="s">
        <v>2410</v>
      </c>
      <c r="K1095">
        <v>15</v>
      </c>
      <c r="L1095">
        <v>4.5720000000000001</v>
      </c>
      <c r="M1095">
        <v>21</v>
      </c>
      <c r="N1095">
        <v>145</v>
      </c>
      <c r="O1095">
        <v>180</v>
      </c>
      <c r="P1095">
        <v>0.82677165354330717</v>
      </c>
      <c r="Q1095">
        <v>5.7086614173228352</v>
      </c>
      <c r="R1095">
        <v>1077.452</v>
      </c>
      <c r="S1095">
        <v>1.392174E-2</v>
      </c>
      <c r="T1095" s="4" t="s">
        <v>3216</v>
      </c>
    </row>
    <row r="1096" spans="1:20" x14ac:dyDescent="0.2">
      <c r="A1096" s="4" t="s">
        <v>3108</v>
      </c>
      <c r="B1096" s="4" t="s">
        <v>3213</v>
      </c>
      <c r="C1096" s="4" t="s">
        <v>2096</v>
      </c>
      <c r="D1096" s="4" t="s">
        <v>2236</v>
      </c>
      <c r="E1096" s="4" t="s">
        <v>3222</v>
      </c>
      <c r="F1096" s="4" t="s">
        <v>3215</v>
      </c>
      <c r="G1096" s="4" t="s">
        <v>3108</v>
      </c>
      <c r="H1096" s="4" t="s">
        <v>2183</v>
      </c>
      <c r="I1096" s="4" t="s">
        <v>2100</v>
      </c>
      <c r="J1096" s="4" t="s">
        <v>2410</v>
      </c>
      <c r="K1096">
        <v>16</v>
      </c>
      <c r="L1096">
        <v>4.8768000000000002</v>
      </c>
      <c r="M1096">
        <v>21</v>
      </c>
      <c r="N1096">
        <v>145</v>
      </c>
      <c r="O1096">
        <v>192.00000000000003</v>
      </c>
      <c r="P1096">
        <v>0.82677165354330717</v>
      </c>
      <c r="Q1096">
        <v>5.7086614173228352</v>
      </c>
      <c r="R1096">
        <v>1077.452</v>
      </c>
      <c r="S1096">
        <v>1.4849856E-2</v>
      </c>
      <c r="T1096" s="4" t="s">
        <v>3216</v>
      </c>
    </row>
    <row r="1097" spans="1:20" x14ac:dyDescent="0.2">
      <c r="A1097" s="4" t="s">
        <v>3108</v>
      </c>
      <c r="B1097" s="4" t="s">
        <v>3213</v>
      </c>
      <c r="C1097" s="4" t="s">
        <v>2096</v>
      </c>
      <c r="D1097" s="4" t="s">
        <v>2236</v>
      </c>
      <c r="E1097" s="4" t="s">
        <v>3223</v>
      </c>
      <c r="F1097" s="4" t="s">
        <v>3215</v>
      </c>
      <c r="G1097" s="4" t="s">
        <v>3108</v>
      </c>
      <c r="H1097" s="4" t="s">
        <v>2183</v>
      </c>
      <c r="I1097" s="4" t="s">
        <v>2100</v>
      </c>
      <c r="J1097" s="4" t="s">
        <v>2410</v>
      </c>
      <c r="K1097">
        <v>17</v>
      </c>
      <c r="L1097">
        <v>5.1816000000000004</v>
      </c>
      <c r="M1097">
        <v>21</v>
      </c>
      <c r="N1097">
        <v>145</v>
      </c>
      <c r="O1097">
        <v>204.00000000000003</v>
      </c>
      <c r="P1097">
        <v>0.82677165354330717</v>
      </c>
      <c r="Q1097">
        <v>5.7086614173228352</v>
      </c>
      <c r="R1097">
        <v>1077.452</v>
      </c>
      <c r="S1097">
        <v>1.5777972000000001E-2</v>
      </c>
      <c r="T1097" s="4" t="s">
        <v>3216</v>
      </c>
    </row>
    <row r="1098" spans="1:20" x14ac:dyDescent="0.2">
      <c r="A1098" s="4" t="s">
        <v>3108</v>
      </c>
      <c r="B1098" s="4" t="s">
        <v>3213</v>
      </c>
      <c r="C1098" s="4" t="s">
        <v>2096</v>
      </c>
      <c r="D1098" s="4" t="s">
        <v>2236</v>
      </c>
      <c r="E1098" s="4" t="s">
        <v>3224</v>
      </c>
      <c r="F1098" s="4" t="s">
        <v>3215</v>
      </c>
      <c r="G1098" s="4" t="s">
        <v>3108</v>
      </c>
      <c r="H1098" s="4" t="s">
        <v>2183</v>
      </c>
      <c r="I1098" s="4" t="s">
        <v>2100</v>
      </c>
      <c r="J1098" s="4" t="s">
        <v>2410</v>
      </c>
      <c r="K1098">
        <v>18</v>
      </c>
      <c r="L1098">
        <v>5.4864000000000006</v>
      </c>
      <c r="M1098">
        <v>21</v>
      </c>
      <c r="N1098">
        <v>145</v>
      </c>
      <c r="O1098">
        <v>216.00000000000003</v>
      </c>
      <c r="P1098">
        <v>0.82677165354330717</v>
      </c>
      <c r="Q1098">
        <v>5.7086614173228352</v>
      </c>
      <c r="R1098">
        <v>1077.452</v>
      </c>
      <c r="S1098">
        <v>1.6706088000000001E-2</v>
      </c>
      <c r="T1098" s="4" t="s">
        <v>3216</v>
      </c>
    </row>
    <row r="1099" spans="1:20" x14ac:dyDescent="0.2">
      <c r="A1099" s="4" t="s">
        <v>3108</v>
      </c>
      <c r="B1099" s="4" t="s">
        <v>3213</v>
      </c>
      <c r="C1099" s="4" t="s">
        <v>2096</v>
      </c>
      <c r="D1099" s="4" t="s">
        <v>2236</v>
      </c>
      <c r="E1099" s="4" t="s">
        <v>3225</v>
      </c>
      <c r="F1099" s="4" t="s">
        <v>3215</v>
      </c>
      <c r="G1099" s="4" t="s">
        <v>3108</v>
      </c>
      <c r="H1099" s="4" t="s">
        <v>2183</v>
      </c>
      <c r="I1099" s="4" t="s">
        <v>2100</v>
      </c>
      <c r="J1099" s="4" t="s">
        <v>2410</v>
      </c>
      <c r="K1099">
        <v>19</v>
      </c>
      <c r="L1099">
        <v>5.7911999999999999</v>
      </c>
      <c r="M1099">
        <v>21</v>
      </c>
      <c r="N1099">
        <v>145</v>
      </c>
      <c r="O1099">
        <v>228</v>
      </c>
      <c r="P1099">
        <v>0.82677165354330717</v>
      </c>
      <c r="Q1099">
        <v>5.7086614173228352</v>
      </c>
      <c r="R1099">
        <v>1077.452</v>
      </c>
      <c r="S1099">
        <v>1.7634204000000001E-2</v>
      </c>
      <c r="T1099" s="4" t="s">
        <v>3216</v>
      </c>
    </row>
    <row r="1100" spans="1:20" x14ac:dyDescent="0.2">
      <c r="A1100" s="4" t="s">
        <v>3108</v>
      </c>
      <c r="B1100" s="4" t="s">
        <v>3213</v>
      </c>
      <c r="C1100" s="4" t="s">
        <v>2096</v>
      </c>
      <c r="D1100" s="4" t="s">
        <v>2236</v>
      </c>
      <c r="E1100" s="4" t="s">
        <v>3226</v>
      </c>
      <c r="F1100" s="4" t="s">
        <v>3215</v>
      </c>
      <c r="G1100" s="4" t="s">
        <v>3108</v>
      </c>
      <c r="H1100" s="4" t="s">
        <v>2183</v>
      </c>
      <c r="I1100" s="4" t="s">
        <v>2100</v>
      </c>
      <c r="J1100" s="4" t="s">
        <v>2410</v>
      </c>
      <c r="K1100">
        <v>20</v>
      </c>
      <c r="L1100">
        <v>6.0960000000000001</v>
      </c>
      <c r="M1100">
        <v>21</v>
      </c>
      <c r="N1100">
        <v>145</v>
      </c>
      <c r="O1100">
        <v>240</v>
      </c>
      <c r="P1100">
        <v>0.82677165354330717</v>
      </c>
      <c r="Q1100">
        <v>5.7086614173228352</v>
      </c>
      <c r="R1100">
        <v>1077.452</v>
      </c>
      <c r="S1100">
        <v>1.856232E-2</v>
      </c>
      <c r="T1100" s="4" t="s">
        <v>3216</v>
      </c>
    </row>
    <row r="1101" spans="1:20" x14ac:dyDescent="0.2">
      <c r="A1101" s="4" t="s">
        <v>3108</v>
      </c>
      <c r="B1101" s="4" t="s">
        <v>3213</v>
      </c>
      <c r="C1101" s="4" t="s">
        <v>2096</v>
      </c>
      <c r="D1101" s="4" t="s">
        <v>2236</v>
      </c>
      <c r="E1101" s="4" t="s">
        <v>3227</v>
      </c>
      <c r="F1101" s="4" t="s">
        <v>3215</v>
      </c>
      <c r="G1101" s="4" t="s">
        <v>3108</v>
      </c>
      <c r="H1101" s="4" t="s">
        <v>2183</v>
      </c>
      <c r="I1101" s="4" t="s">
        <v>2100</v>
      </c>
      <c r="J1101" s="4" t="s">
        <v>2410</v>
      </c>
      <c r="K1101">
        <v>21</v>
      </c>
      <c r="L1101">
        <v>6.4008000000000003</v>
      </c>
      <c r="M1101">
        <v>21</v>
      </c>
      <c r="N1101">
        <v>145</v>
      </c>
      <c r="O1101">
        <v>252.00000000000003</v>
      </c>
      <c r="P1101">
        <v>0.82677165354330717</v>
      </c>
      <c r="Q1101">
        <v>5.7086614173228352</v>
      </c>
      <c r="R1101">
        <v>1077.452</v>
      </c>
      <c r="S1101">
        <v>1.9490436E-2</v>
      </c>
      <c r="T1101" s="4" t="s">
        <v>3216</v>
      </c>
    </row>
    <row r="1102" spans="1:20" x14ac:dyDescent="0.2">
      <c r="A1102" s="4" t="s">
        <v>3108</v>
      </c>
      <c r="B1102" s="4" t="s">
        <v>3213</v>
      </c>
      <c r="C1102" s="4" t="s">
        <v>2096</v>
      </c>
      <c r="D1102" s="4" t="s">
        <v>2236</v>
      </c>
      <c r="E1102" s="4" t="s">
        <v>3228</v>
      </c>
      <c r="F1102" s="4" t="s">
        <v>3215</v>
      </c>
      <c r="G1102" s="4" t="s">
        <v>3108</v>
      </c>
      <c r="H1102" s="4" t="s">
        <v>2183</v>
      </c>
      <c r="I1102" s="4" t="s">
        <v>2100</v>
      </c>
      <c r="J1102" s="4" t="s">
        <v>2410</v>
      </c>
      <c r="K1102">
        <v>22</v>
      </c>
      <c r="L1102">
        <v>6.7056000000000004</v>
      </c>
      <c r="M1102">
        <v>21</v>
      </c>
      <c r="N1102">
        <v>145</v>
      </c>
      <c r="O1102">
        <v>264</v>
      </c>
      <c r="P1102">
        <v>0.82677165354330717</v>
      </c>
      <c r="Q1102">
        <v>5.7086614173228352</v>
      </c>
      <c r="R1102">
        <v>1077.452</v>
      </c>
      <c r="S1102">
        <v>2.0418552E-2</v>
      </c>
      <c r="T1102" s="4" t="s">
        <v>3216</v>
      </c>
    </row>
    <row r="1103" spans="1:20" x14ac:dyDescent="0.2">
      <c r="A1103" s="4" t="s">
        <v>3108</v>
      </c>
      <c r="B1103" s="4" t="s">
        <v>3213</v>
      </c>
      <c r="C1103" s="4" t="s">
        <v>2096</v>
      </c>
      <c r="D1103" s="4" t="s">
        <v>2236</v>
      </c>
      <c r="E1103" s="4" t="s">
        <v>3229</v>
      </c>
      <c r="F1103" s="4" t="s">
        <v>3215</v>
      </c>
      <c r="G1103" s="4" t="s">
        <v>3108</v>
      </c>
      <c r="H1103" s="4" t="s">
        <v>2183</v>
      </c>
      <c r="I1103" s="4" t="s">
        <v>2100</v>
      </c>
      <c r="J1103" s="4" t="s">
        <v>2410</v>
      </c>
      <c r="K1103">
        <v>23</v>
      </c>
      <c r="L1103">
        <v>7.0104000000000006</v>
      </c>
      <c r="M1103">
        <v>21</v>
      </c>
      <c r="N1103">
        <v>145</v>
      </c>
      <c r="O1103">
        <v>276.00000000000006</v>
      </c>
      <c r="P1103">
        <v>0.82677165354330717</v>
      </c>
      <c r="Q1103">
        <v>5.7086614173228352</v>
      </c>
      <c r="R1103">
        <v>1077.452</v>
      </c>
      <c r="S1103">
        <v>2.1346668000000003E-2</v>
      </c>
      <c r="T1103" s="4" t="s">
        <v>3216</v>
      </c>
    </row>
    <row r="1104" spans="1:20" x14ac:dyDescent="0.2">
      <c r="A1104" s="4" t="s">
        <v>3108</v>
      </c>
      <c r="B1104" s="4" t="s">
        <v>3213</v>
      </c>
      <c r="C1104" s="4" t="s">
        <v>2096</v>
      </c>
      <c r="D1104" s="4" t="s">
        <v>2236</v>
      </c>
      <c r="E1104" s="4" t="s">
        <v>3230</v>
      </c>
      <c r="F1104" s="4" t="s">
        <v>3215</v>
      </c>
      <c r="G1104" s="4" t="s">
        <v>3108</v>
      </c>
      <c r="H1104" s="4" t="s">
        <v>2183</v>
      </c>
      <c r="I1104" s="4" t="s">
        <v>2100</v>
      </c>
      <c r="J1104" s="4" t="s">
        <v>2410</v>
      </c>
      <c r="K1104">
        <v>24</v>
      </c>
      <c r="L1104">
        <v>7.3152000000000008</v>
      </c>
      <c r="M1104">
        <v>21</v>
      </c>
      <c r="N1104">
        <v>145</v>
      </c>
      <c r="O1104">
        <v>288.00000000000006</v>
      </c>
      <c r="P1104">
        <v>0.82677165354330717</v>
      </c>
      <c r="Q1104">
        <v>5.7086614173228352</v>
      </c>
      <c r="R1104">
        <v>1077.452</v>
      </c>
      <c r="S1104">
        <v>2.2274783999999999E-2</v>
      </c>
      <c r="T1104" s="4" t="s">
        <v>3216</v>
      </c>
    </row>
    <row r="1105" spans="1:20" x14ac:dyDescent="0.2">
      <c r="A1105" s="4" t="s">
        <v>3108</v>
      </c>
      <c r="B1105" s="4" t="s">
        <v>3213</v>
      </c>
      <c r="C1105" s="4" t="s">
        <v>2286</v>
      </c>
      <c r="D1105" s="4" t="s">
        <v>2236</v>
      </c>
      <c r="E1105" s="4" t="s">
        <v>3231</v>
      </c>
      <c r="F1105" s="4" t="s">
        <v>3215</v>
      </c>
      <c r="G1105" s="4" t="s">
        <v>3108</v>
      </c>
      <c r="H1105" s="4" t="s">
        <v>2183</v>
      </c>
      <c r="I1105" s="4" t="s">
        <v>2100</v>
      </c>
      <c r="J1105" s="4" t="s">
        <v>2410</v>
      </c>
      <c r="K1105">
        <v>3</v>
      </c>
      <c r="L1105">
        <v>0.9144000000000001</v>
      </c>
      <c r="M1105">
        <v>21</v>
      </c>
      <c r="N1105">
        <v>145</v>
      </c>
      <c r="O1105">
        <v>36.000000000000007</v>
      </c>
      <c r="P1105">
        <v>0.82677165354330717</v>
      </c>
      <c r="Q1105">
        <v>5.7086614173228352</v>
      </c>
      <c r="R1105">
        <v>1077.452</v>
      </c>
      <c r="S1105">
        <v>2.7843479999999999E-3</v>
      </c>
      <c r="T1105" s="4" t="s">
        <v>3232</v>
      </c>
    </row>
    <row r="1106" spans="1:20" x14ac:dyDescent="0.2">
      <c r="A1106" s="4" t="s">
        <v>3108</v>
      </c>
      <c r="B1106" s="4" t="s">
        <v>3213</v>
      </c>
      <c r="C1106" s="4" t="s">
        <v>2286</v>
      </c>
      <c r="D1106" s="4" t="s">
        <v>2236</v>
      </c>
      <c r="E1106" s="4" t="s">
        <v>3233</v>
      </c>
      <c r="F1106" s="4" t="s">
        <v>3215</v>
      </c>
      <c r="G1106" s="4" t="s">
        <v>3108</v>
      </c>
      <c r="H1106" s="4" t="s">
        <v>2183</v>
      </c>
      <c r="I1106" s="4" t="s">
        <v>2100</v>
      </c>
      <c r="J1106" s="4" t="s">
        <v>2410</v>
      </c>
      <c r="K1106">
        <v>4</v>
      </c>
      <c r="L1106">
        <v>1.2192000000000001</v>
      </c>
      <c r="M1106">
        <v>21</v>
      </c>
      <c r="N1106">
        <v>145</v>
      </c>
      <c r="O1106">
        <v>48.000000000000007</v>
      </c>
      <c r="P1106">
        <v>0.82677165354330717</v>
      </c>
      <c r="Q1106">
        <v>5.7086614173228352</v>
      </c>
      <c r="R1106">
        <v>1077.452</v>
      </c>
      <c r="S1106">
        <v>3.712464E-3</v>
      </c>
      <c r="T1106" s="4" t="s">
        <v>3232</v>
      </c>
    </row>
    <row r="1107" spans="1:20" x14ac:dyDescent="0.2">
      <c r="A1107" s="4" t="s">
        <v>3108</v>
      </c>
      <c r="B1107" s="4" t="s">
        <v>3213</v>
      </c>
      <c r="C1107" s="4" t="s">
        <v>2286</v>
      </c>
      <c r="D1107" s="4" t="s">
        <v>2236</v>
      </c>
      <c r="E1107" s="4" t="s">
        <v>3234</v>
      </c>
      <c r="F1107" s="4" t="s">
        <v>3215</v>
      </c>
      <c r="G1107" s="4" t="s">
        <v>3108</v>
      </c>
      <c r="H1107" s="4" t="s">
        <v>2183</v>
      </c>
      <c r="I1107" s="4" t="s">
        <v>2100</v>
      </c>
      <c r="J1107" s="4" t="s">
        <v>2410</v>
      </c>
      <c r="K1107">
        <v>5</v>
      </c>
      <c r="L1107">
        <v>1.524</v>
      </c>
      <c r="M1107">
        <v>21</v>
      </c>
      <c r="N1107">
        <v>145</v>
      </c>
      <c r="O1107">
        <v>60</v>
      </c>
      <c r="P1107">
        <v>0.82677165354330717</v>
      </c>
      <c r="Q1107">
        <v>5.7086614173228352</v>
      </c>
      <c r="R1107">
        <v>1077.452</v>
      </c>
      <c r="S1107">
        <v>4.6405800000000001E-3</v>
      </c>
      <c r="T1107" s="4" t="s">
        <v>3232</v>
      </c>
    </row>
    <row r="1108" spans="1:20" x14ac:dyDescent="0.2">
      <c r="A1108" s="4" t="s">
        <v>3108</v>
      </c>
      <c r="B1108" s="4" t="s">
        <v>3213</v>
      </c>
      <c r="C1108" s="4" t="s">
        <v>2286</v>
      </c>
      <c r="D1108" s="4" t="s">
        <v>2236</v>
      </c>
      <c r="E1108" s="4" t="s">
        <v>3235</v>
      </c>
      <c r="F1108" s="4" t="s">
        <v>3215</v>
      </c>
      <c r="G1108" s="4" t="s">
        <v>3108</v>
      </c>
      <c r="H1108" s="4" t="s">
        <v>2183</v>
      </c>
      <c r="I1108" s="4" t="s">
        <v>2100</v>
      </c>
      <c r="J1108" s="4" t="s">
        <v>2410</v>
      </c>
      <c r="K1108">
        <v>6</v>
      </c>
      <c r="L1108">
        <v>1.8288000000000002</v>
      </c>
      <c r="M1108">
        <v>21</v>
      </c>
      <c r="N1108">
        <v>145</v>
      </c>
      <c r="O1108">
        <v>72.000000000000014</v>
      </c>
      <c r="P1108">
        <v>0.82677165354330717</v>
      </c>
      <c r="Q1108">
        <v>5.7086614173228352</v>
      </c>
      <c r="R1108">
        <v>1077.452</v>
      </c>
      <c r="S1108">
        <v>5.5686959999999997E-3</v>
      </c>
      <c r="T1108" s="4" t="s">
        <v>3232</v>
      </c>
    </row>
    <row r="1109" spans="1:20" x14ac:dyDescent="0.2">
      <c r="A1109" s="4" t="s">
        <v>3108</v>
      </c>
      <c r="B1109" s="4" t="s">
        <v>3213</v>
      </c>
      <c r="C1109" s="4" t="s">
        <v>2286</v>
      </c>
      <c r="D1109" s="4" t="s">
        <v>2236</v>
      </c>
      <c r="E1109" s="4" t="s">
        <v>3236</v>
      </c>
      <c r="F1109" s="4" t="s">
        <v>3215</v>
      </c>
      <c r="G1109" s="4" t="s">
        <v>3108</v>
      </c>
      <c r="H1109" s="4" t="s">
        <v>2183</v>
      </c>
      <c r="I1109" s="4" t="s">
        <v>2100</v>
      </c>
      <c r="J1109" s="4" t="s">
        <v>2410</v>
      </c>
      <c r="K1109">
        <v>7</v>
      </c>
      <c r="L1109">
        <v>2.1335999999999999</v>
      </c>
      <c r="M1109">
        <v>21</v>
      </c>
      <c r="N1109">
        <v>145</v>
      </c>
      <c r="O1109">
        <v>84</v>
      </c>
      <c r="P1109">
        <v>0.82677165354330717</v>
      </c>
      <c r="Q1109">
        <v>5.7086614173228352</v>
      </c>
      <c r="R1109">
        <v>1077.452</v>
      </c>
      <c r="S1109">
        <v>6.4968120000000002E-3</v>
      </c>
      <c r="T1109" s="4" t="s">
        <v>3232</v>
      </c>
    </row>
    <row r="1110" spans="1:20" x14ac:dyDescent="0.2">
      <c r="A1110" s="4" t="s">
        <v>3108</v>
      </c>
      <c r="B1110" s="4" t="s">
        <v>3213</v>
      </c>
      <c r="C1110" s="4" t="s">
        <v>2096</v>
      </c>
      <c r="D1110" s="4" t="s">
        <v>2236</v>
      </c>
      <c r="E1110" s="4" t="s">
        <v>3237</v>
      </c>
      <c r="F1110" s="4" t="s">
        <v>3215</v>
      </c>
      <c r="G1110" s="4" t="s">
        <v>3108</v>
      </c>
      <c r="H1110" s="4" t="s">
        <v>2183</v>
      </c>
      <c r="I1110" s="4" t="s">
        <v>2100</v>
      </c>
      <c r="J1110" s="4" t="s">
        <v>2410</v>
      </c>
      <c r="K1110">
        <v>8</v>
      </c>
      <c r="L1110">
        <v>2.4384000000000001</v>
      </c>
      <c r="M1110">
        <v>21</v>
      </c>
      <c r="N1110">
        <v>145</v>
      </c>
      <c r="O1110">
        <v>96.000000000000014</v>
      </c>
      <c r="P1110">
        <v>0.82677165354330717</v>
      </c>
      <c r="Q1110">
        <v>5.7086614173228352</v>
      </c>
      <c r="R1110">
        <v>1077.452</v>
      </c>
      <c r="S1110">
        <v>7.4249279999999999E-3</v>
      </c>
      <c r="T1110" s="4" t="s">
        <v>3216</v>
      </c>
    </row>
    <row r="1111" spans="1:20" x14ac:dyDescent="0.2">
      <c r="A1111" s="4" t="s">
        <v>3108</v>
      </c>
      <c r="B1111" s="4" t="s">
        <v>3213</v>
      </c>
      <c r="C1111" s="4" t="s">
        <v>2096</v>
      </c>
      <c r="D1111" s="4" t="s">
        <v>2236</v>
      </c>
      <c r="E1111" s="4" t="s">
        <v>3238</v>
      </c>
      <c r="F1111" s="4" t="s">
        <v>3215</v>
      </c>
      <c r="G1111" s="4" t="s">
        <v>3108</v>
      </c>
      <c r="H1111" s="4" t="s">
        <v>2183</v>
      </c>
      <c r="I1111" s="4" t="s">
        <v>2100</v>
      </c>
      <c r="J1111" s="4" t="s">
        <v>2410</v>
      </c>
      <c r="K1111">
        <v>9</v>
      </c>
      <c r="L1111">
        <v>2.7432000000000003</v>
      </c>
      <c r="M1111">
        <v>21</v>
      </c>
      <c r="N1111">
        <v>145</v>
      </c>
      <c r="O1111">
        <v>108.00000000000001</v>
      </c>
      <c r="P1111">
        <v>0.82677165354330717</v>
      </c>
      <c r="Q1111">
        <v>5.7086614173228352</v>
      </c>
      <c r="R1111">
        <v>1077.452</v>
      </c>
      <c r="S1111">
        <v>8.3530440000000004E-3</v>
      </c>
      <c r="T1111" s="4" t="s">
        <v>3216</v>
      </c>
    </row>
    <row r="1112" spans="1:20" x14ac:dyDescent="0.2">
      <c r="A1112" s="4" t="s">
        <v>3108</v>
      </c>
      <c r="B1112" s="4" t="s">
        <v>3239</v>
      </c>
      <c r="C1112" s="4" t="s">
        <v>2096</v>
      </c>
      <c r="D1112" s="4" t="s">
        <v>2236</v>
      </c>
      <c r="E1112" s="4" t="s">
        <v>851</v>
      </c>
      <c r="F1112" s="4" t="s">
        <v>3240</v>
      </c>
      <c r="G1112" s="4" t="s">
        <v>3108</v>
      </c>
      <c r="H1112" s="4" t="s">
        <v>2183</v>
      </c>
      <c r="I1112" s="4" t="s">
        <v>2100</v>
      </c>
      <c r="J1112" s="4" t="s">
        <v>2153</v>
      </c>
      <c r="K1112">
        <v>10</v>
      </c>
      <c r="L1112">
        <v>3.048</v>
      </c>
      <c r="M1112">
        <v>19.05</v>
      </c>
      <c r="N1112">
        <v>139.69999999999999</v>
      </c>
      <c r="O1112">
        <v>120</v>
      </c>
      <c r="P1112">
        <v>0.75000000000000011</v>
      </c>
      <c r="Q1112">
        <v>5.5</v>
      </c>
      <c r="R1112">
        <v>1232.8030000000001</v>
      </c>
      <c r="S1112">
        <v>8.1115966799999994E-3</v>
      </c>
      <c r="T1112" s="4" t="s">
        <v>3241</v>
      </c>
    </row>
    <row r="1113" spans="1:20" x14ac:dyDescent="0.2">
      <c r="A1113" s="4" t="s">
        <v>3108</v>
      </c>
      <c r="B1113" s="4" t="s">
        <v>3239</v>
      </c>
      <c r="C1113" s="4" t="s">
        <v>2096</v>
      </c>
      <c r="D1113" s="4" t="s">
        <v>2236</v>
      </c>
      <c r="E1113" s="4" t="s">
        <v>3242</v>
      </c>
      <c r="F1113" s="4" t="s">
        <v>3240</v>
      </c>
      <c r="G1113" s="4" t="s">
        <v>3108</v>
      </c>
      <c r="H1113" s="4" t="s">
        <v>2183</v>
      </c>
      <c r="I1113" s="4" t="s">
        <v>2100</v>
      </c>
      <c r="J1113" s="4" t="s">
        <v>2153</v>
      </c>
      <c r="K1113">
        <v>11</v>
      </c>
      <c r="L1113">
        <v>3.3527999999999998</v>
      </c>
      <c r="M1113">
        <v>19.05</v>
      </c>
      <c r="N1113">
        <v>139.69999999999999</v>
      </c>
      <c r="O1113">
        <v>132</v>
      </c>
      <c r="P1113">
        <v>0.75000000000000011</v>
      </c>
      <c r="Q1113">
        <v>5.5</v>
      </c>
      <c r="R1113">
        <v>1232.8030000000001</v>
      </c>
      <c r="S1113">
        <v>8.922756347999999E-3</v>
      </c>
      <c r="T1113" s="4" t="s">
        <v>3241</v>
      </c>
    </row>
    <row r="1114" spans="1:20" x14ac:dyDescent="0.2">
      <c r="A1114" s="4" t="s">
        <v>3108</v>
      </c>
      <c r="B1114" s="4" t="s">
        <v>3239</v>
      </c>
      <c r="C1114" s="4" t="s">
        <v>2096</v>
      </c>
      <c r="D1114" s="4" t="s">
        <v>2236</v>
      </c>
      <c r="E1114" s="4" t="s">
        <v>853</v>
      </c>
      <c r="F1114" s="4" t="s">
        <v>3240</v>
      </c>
      <c r="G1114" s="4" t="s">
        <v>3108</v>
      </c>
      <c r="H1114" s="4" t="s">
        <v>2183</v>
      </c>
      <c r="I1114" s="4" t="s">
        <v>2100</v>
      </c>
      <c r="J1114" s="4" t="s">
        <v>2153</v>
      </c>
      <c r="K1114">
        <v>12</v>
      </c>
      <c r="L1114">
        <v>3.6576</v>
      </c>
      <c r="M1114">
        <v>19.05</v>
      </c>
      <c r="N1114">
        <v>139.69999999999999</v>
      </c>
      <c r="O1114">
        <v>144</v>
      </c>
      <c r="P1114">
        <v>0.75000000000000011</v>
      </c>
      <c r="Q1114">
        <v>5.5</v>
      </c>
      <c r="R1114">
        <v>1232.8030000000001</v>
      </c>
      <c r="S1114">
        <v>9.7339160159999986E-3</v>
      </c>
      <c r="T1114" s="4" t="s">
        <v>3241</v>
      </c>
    </row>
    <row r="1115" spans="1:20" x14ac:dyDescent="0.2">
      <c r="A1115" s="4" t="s">
        <v>3108</v>
      </c>
      <c r="B1115" s="4" t="s">
        <v>3239</v>
      </c>
      <c r="C1115" s="4" t="s">
        <v>2096</v>
      </c>
      <c r="D1115" s="4" t="s">
        <v>2236</v>
      </c>
      <c r="E1115" s="4" t="s">
        <v>3243</v>
      </c>
      <c r="F1115" s="4" t="s">
        <v>3240</v>
      </c>
      <c r="G1115" s="4" t="s">
        <v>3108</v>
      </c>
      <c r="H1115" s="4" t="s">
        <v>2183</v>
      </c>
      <c r="I1115" s="4" t="s">
        <v>2100</v>
      </c>
      <c r="J1115" s="4" t="s">
        <v>2153</v>
      </c>
      <c r="K1115">
        <v>13</v>
      </c>
      <c r="L1115">
        <v>3.9624000000000001</v>
      </c>
      <c r="M1115">
        <v>19.05</v>
      </c>
      <c r="N1115">
        <v>139.69999999999999</v>
      </c>
      <c r="O1115">
        <v>156</v>
      </c>
      <c r="P1115">
        <v>0.75000000000000011</v>
      </c>
      <c r="Q1115">
        <v>5.5</v>
      </c>
      <c r="R1115">
        <v>1232.8030000000001</v>
      </c>
      <c r="S1115">
        <v>1.0545075684E-2</v>
      </c>
      <c r="T1115" s="4" t="s">
        <v>3241</v>
      </c>
    </row>
    <row r="1116" spans="1:20" x14ac:dyDescent="0.2">
      <c r="A1116" s="4" t="s">
        <v>3108</v>
      </c>
      <c r="B1116" s="4" t="s">
        <v>3239</v>
      </c>
      <c r="C1116" s="4" t="s">
        <v>2096</v>
      </c>
      <c r="D1116" s="4" t="s">
        <v>2236</v>
      </c>
      <c r="E1116" s="4" t="s">
        <v>855</v>
      </c>
      <c r="F1116" s="4" t="s">
        <v>3240</v>
      </c>
      <c r="G1116" s="4" t="s">
        <v>3108</v>
      </c>
      <c r="H1116" s="4" t="s">
        <v>2183</v>
      </c>
      <c r="I1116" s="4" t="s">
        <v>2100</v>
      </c>
      <c r="J1116" s="4" t="s">
        <v>2153</v>
      </c>
      <c r="K1116">
        <v>14</v>
      </c>
      <c r="L1116">
        <v>4.2671999999999999</v>
      </c>
      <c r="M1116">
        <v>19.05</v>
      </c>
      <c r="N1116">
        <v>139.69999999999999</v>
      </c>
      <c r="O1116">
        <v>168</v>
      </c>
      <c r="P1116">
        <v>0.75000000000000011</v>
      </c>
      <c r="Q1116">
        <v>5.5</v>
      </c>
      <c r="R1116">
        <v>1232.8030000000001</v>
      </c>
      <c r="S1116">
        <v>1.1356235352E-2</v>
      </c>
      <c r="T1116" s="4" t="s">
        <v>3241</v>
      </c>
    </row>
    <row r="1117" spans="1:20" x14ac:dyDescent="0.2">
      <c r="A1117" s="4" t="s">
        <v>3108</v>
      </c>
      <c r="B1117" s="4" t="s">
        <v>3239</v>
      </c>
      <c r="C1117" s="4" t="s">
        <v>2096</v>
      </c>
      <c r="D1117" s="4" t="s">
        <v>2236</v>
      </c>
      <c r="E1117" s="4" t="s">
        <v>3244</v>
      </c>
      <c r="F1117" s="4" t="s">
        <v>3240</v>
      </c>
      <c r="G1117" s="4" t="s">
        <v>3108</v>
      </c>
      <c r="H1117" s="4" t="s">
        <v>2183</v>
      </c>
      <c r="I1117" s="4" t="s">
        <v>2100</v>
      </c>
      <c r="J1117" s="4" t="s">
        <v>2153</v>
      </c>
      <c r="K1117">
        <v>15</v>
      </c>
      <c r="L1117">
        <v>4.5720000000000001</v>
      </c>
      <c r="M1117">
        <v>19.05</v>
      </c>
      <c r="N1117">
        <v>139.69999999999999</v>
      </c>
      <c r="O1117">
        <v>180</v>
      </c>
      <c r="P1117">
        <v>0.75000000000000011</v>
      </c>
      <c r="Q1117">
        <v>5.5</v>
      </c>
      <c r="R1117">
        <v>1232.8030000000001</v>
      </c>
      <c r="S1117">
        <v>1.2167395020000001E-2</v>
      </c>
      <c r="T1117" s="4" t="s">
        <v>3241</v>
      </c>
    </row>
    <row r="1118" spans="1:20" x14ac:dyDescent="0.2">
      <c r="A1118" s="4" t="s">
        <v>3108</v>
      </c>
      <c r="B1118" s="4" t="s">
        <v>3239</v>
      </c>
      <c r="C1118" s="4" t="s">
        <v>2096</v>
      </c>
      <c r="D1118" s="4" t="s">
        <v>2236</v>
      </c>
      <c r="E1118" s="4" t="s">
        <v>857</v>
      </c>
      <c r="F1118" s="4" t="s">
        <v>3240</v>
      </c>
      <c r="G1118" s="4" t="s">
        <v>3108</v>
      </c>
      <c r="H1118" s="4" t="s">
        <v>2183</v>
      </c>
      <c r="I1118" s="4" t="s">
        <v>2100</v>
      </c>
      <c r="J1118" s="4" t="s">
        <v>2153</v>
      </c>
      <c r="K1118">
        <v>16</v>
      </c>
      <c r="L1118">
        <v>4.8768000000000002</v>
      </c>
      <c r="M1118">
        <v>19.05</v>
      </c>
      <c r="N1118">
        <v>139.69999999999999</v>
      </c>
      <c r="O1118">
        <v>192.00000000000003</v>
      </c>
      <c r="P1118">
        <v>0.75000000000000011</v>
      </c>
      <c r="Q1118">
        <v>5.5</v>
      </c>
      <c r="R1118">
        <v>1232.8030000000001</v>
      </c>
      <c r="S1118">
        <v>1.2978554687999999E-2</v>
      </c>
      <c r="T1118" s="4" t="s">
        <v>3241</v>
      </c>
    </row>
    <row r="1119" spans="1:20" x14ac:dyDescent="0.2">
      <c r="A1119" s="4" t="s">
        <v>3108</v>
      </c>
      <c r="B1119" s="4" t="s">
        <v>3239</v>
      </c>
      <c r="C1119" s="4" t="s">
        <v>2096</v>
      </c>
      <c r="D1119" s="4" t="s">
        <v>2236</v>
      </c>
      <c r="E1119" s="4" t="s">
        <v>3245</v>
      </c>
      <c r="F1119" s="4" t="s">
        <v>3240</v>
      </c>
      <c r="G1119" s="4" t="s">
        <v>3108</v>
      </c>
      <c r="H1119" s="4" t="s">
        <v>2183</v>
      </c>
      <c r="I1119" s="4" t="s">
        <v>2100</v>
      </c>
      <c r="J1119" s="4" t="s">
        <v>2153</v>
      </c>
      <c r="K1119">
        <v>17</v>
      </c>
      <c r="L1119">
        <v>5.1816000000000004</v>
      </c>
      <c r="M1119">
        <v>19.05</v>
      </c>
      <c r="N1119">
        <v>139.69999999999999</v>
      </c>
      <c r="O1119">
        <v>204.00000000000003</v>
      </c>
      <c r="P1119">
        <v>0.75000000000000011</v>
      </c>
      <c r="Q1119">
        <v>5.5</v>
      </c>
      <c r="R1119">
        <v>1232.8030000000001</v>
      </c>
      <c r="S1119">
        <v>1.3789714356000002E-2</v>
      </c>
      <c r="T1119" s="4" t="s">
        <v>3241</v>
      </c>
    </row>
    <row r="1120" spans="1:20" x14ac:dyDescent="0.2">
      <c r="A1120" s="4" t="s">
        <v>3108</v>
      </c>
      <c r="B1120" s="4" t="s">
        <v>3239</v>
      </c>
      <c r="C1120" s="4" t="s">
        <v>2096</v>
      </c>
      <c r="D1120" s="4" t="s">
        <v>2236</v>
      </c>
      <c r="E1120" s="4" t="s">
        <v>859</v>
      </c>
      <c r="F1120" s="4" t="s">
        <v>3240</v>
      </c>
      <c r="G1120" s="4" t="s">
        <v>3108</v>
      </c>
      <c r="H1120" s="4" t="s">
        <v>2183</v>
      </c>
      <c r="I1120" s="4" t="s">
        <v>2100</v>
      </c>
      <c r="J1120" s="4" t="s">
        <v>2153</v>
      </c>
      <c r="K1120">
        <v>18</v>
      </c>
      <c r="L1120">
        <v>5.4863999999999997</v>
      </c>
      <c r="M1120">
        <v>19.05</v>
      </c>
      <c r="N1120">
        <v>139.69999999999999</v>
      </c>
      <c r="O1120">
        <v>216</v>
      </c>
      <c r="P1120">
        <v>0.75000000000000011</v>
      </c>
      <c r="Q1120">
        <v>5.5</v>
      </c>
      <c r="R1120">
        <v>1232.8030000000001</v>
      </c>
      <c r="S1120">
        <v>1.4600874024E-2</v>
      </c>
      <c r="T1120" s="4" t="s">
        <v>3241</v>
      </c>
    </row>
    <row r="1121" spans="1:20" x14ac:dyDescent="0.2">
      <c r="A1121" s="4" t="s">
        <v>3108</v>
      </c>
      <c r="B1121" s="4" t="s">
        <v>3239</v>
      </c>
      <c r="C1121" s="4" t="s">
        <v>2096</v>
      </c>
      <c r="D1121" s="4" t="s">
        <v>2236</v>
      </c>
      <c r="E1121" s="4" t="s">
        <v>3246</v>
      </c>
      <c r="F1121" s="4" t="s">
        <v>3240</v>
      </c>
      <c r="G1121" s="4" t="s">
        <v>3108</v>
      </c>
      <c r="H1121" s="4" t="s">
        <v>2183</v>
      </c>
      <c r="I1121" s="4" t="s">
        <v>2100</v>
      </c>
      <c r="J1121" s="4" t="s">
        <v>2153</v>
      </c>
      <c r="K1121">
        <v>19</v>
      </c>
      <c r="L1121">
        <v>5.7911999999999999</v>
      </c>
      <c r="M1121">
        <v>19.05</v>
      </c>
      <c r="N1121">
        <v>139.69999999999999</v>
      </c>
      <c r="O1121">
        <v>228</v>
      </c>
      <c r="P1121">
        <v>0.75000000000000011</v>
      </c>
      <c r="Q1121">
        <v>5.5</v>
      </c>
      <c r="R1121">
        <v>1232.8030000000001</v>
      </c>
      <c r="S1121">
        <v>1.5412033691999999E-2</v>
      </c>
      <c r="T1121" s="4" t="s">
        <v>3241</v>
      </c>
    </row>
    <row r="1122" spans="1:20" x14ac:dyDescent="0.2">
      <c r="A1122" s="4" t="s">
        <v>3108</v>
      </c>
      <c r="B1122" s="4" t="s">
        <v>3239</v>
      </c>
      <c r="C1122" s="4" t="s">
        <v>2096</v>
      </c>
      <c r="D1122" s="4" t="s">
        <v>2236</v>
      </c>
      <c r="E1122" s="4" t="s">
        <v>861</v>
      </c>
      <c r="F1122" s="4" t="s">
        <v>3240</v>
      </c>
      <c r="G1122" s="4" t="s">
        <v>3108</v>
      </c>
      <c r="H1122" s="4" t="s">
        <v>2183</v>
      </c>
      <c r="I1122" s="4" t="s">
        <v>2100</v>
      </c>
      <c r="J1122" s="4" t="s">
        <v>2153</v>
      </c>
      <c r="K1122">
        <v>20</v>
      </c>
      <c r="L1122">
        <v>6.0960000000000001</v>
      </c>
      <c r="M1122">
        <v>19.05</v>
      </c>
      <c r="N1122">
        <v>139.69999999999999</v>
      </c>
      <c r="O1122">
        <v>240</v>
      </c>
      <c r="P1122">
        <v>0.75000000000000011</v>
      </c>
      <c r="Q1122">
        <v>5.5</v>
      </c>
      <c r="R1122">
        <v>1232.8030000000001</v>
      </c>
      <c r="S1122">
        <v>1.6223193359999999E-2</v>
      </c>
      <c r="T1122" s="4" t="s">
        <v>3241</v>
      </c>
    </row>
    <row r="1123" spans="1:20" x14ac:dyDescent="0.2">
      <c r="A1123" s="4" t="s">
        <v>3108</v>
      </c>
      <c r="B1123" s="4" t="s">
        <v>3239</v>
      </c>
      <c r="C1123" s="4" t="s">
        <v>2096</v>
      </c>
      <c r="D1123" s="4" t="s">
        <v>2236</v>
      </c>
      <c r="E1123" s="4" t="s">
        <v>3247</v>
      </c>
      <c r="F1123" s="4" t="s">
        <v>3240</v>
      </c>
      <c r="G1123" s="4" t="s">
        <v>3108</v>
      </c>
      <c r="H1123" s="4" t="s">
        <v>2183</v>
      </c>
      <c r="I1123" s="4" t="s">
        <v>2100</v>
      </c>
      <c r="J1123" s="4" t="s">
        <v>2153</v>
      </c>
      <c r="K1123">
        <v>21</v>
      </c>
      <c r="L1123">
        <v>6.4008000000000003</v>
      </c>
      <c r="M1123">
        <v>19.05</v>
      </c>
      <c r="N1123">
        <v>139.69999999999999</v>
      </c>
      <c r="O1123">
        <v>252.00000000000003</v>
      </c>
      <c r="P1123">
        <v>0.75000000000000011</v>
      </c>
      <c r="Q1123">
        <v>5.5</v>
      </c>
      <c r="R1123">
        <v>1232.8030000000001</v>
      </c>
      <c r="S1123">
        <v>1.7034353028E-2</v>
      </c>
      <c r="T1123" s="4" t="s">
        <v>3241</v>
      </c>
    </row>
    <row r="1124" spans="1:20" x14ac:dyDescent="0.2">
      <c r="A1124" s="4" t="s">
        <v>3108</v>
      </c>
      <c r="B1124" s="4" t="s">
        <v>3239</v>
      </c>
      <c r="C1124" s="4" t="s">
        <v>2096</v>
      </c>
      <c r="D1124" s="4" t="s">
        <v>2236</v>
      </c>
      <c r="E1124" s="4" t="s">
        <v>863</v>
      </c>
      <c r="F1124" s="4" t="s">
        <v>3240</v>
      </c>
      <c r="G1124" s="4" t="s">
        <v>3108</v>
      </c>
      <c r="H1124" s="4" t="s">
        <v>2183</v>
      </c>
      <c r="I1124" s="4" t="s">
        <v>2100</v>
      </c>
      <c r="J1124" s="4" t="s">
        <v>2153</v>
      </c>
      <c r="K1124">
        <v>22</v>
      </c>
      <c r="L1124">
        <v>6.7055999999999996</v>
      </c>
      <c r="M1124">
        <v>19.05</v>
      </c>
      <c r="N1124">
        <v>139.69999999999999</v>
      </c>
      <c r="O1124">
        <v>264</v>
      </c>
      <c r="P1124">
        <v>0.75000000000000011</v>
      </c>
      <c r="Q1124">
        <v>5.5</v>
      </c>
      <c r="R1124">
        <v>1232.8030000000001</v>
      </c>
      <c r="S1124">
        <v>1.7845512695999998E-2</v>
      </c>
      <c r="T1124" s="4" t="s">
        <v>3241</v>
      </c>
    </row>
    <row r="1125" spans="1:20" x14ac:dyDescent="0.2">
      <c r="A1125" s="4" t="s">
        <v>3108</v>
      </c>
      <c r="B1125" s="4" t="s">
        <v>3239</v>
      </c>
      <c r="C1125" s="4" t="s">
        <v>2286</v>
      </c>
      <c r="D1125" s="4" t="s">
        <v>2236</v>
      </c>
      <c r="E1125" s="4" t="s">
        <v>3248</v>
      </c>
      <c r="F1125" s="4" t="s">
        <v>3240</v>
      </c>
      <c r="G1125" s="4" t="s">
        <v>3108</v>
      </c>
      <c r="H1125" s="4" t="s">
        <v>2183</v>
      </c>
      <c r="I1125" s="4" t="s">
        <v>2100</v>
      </c>
      <c r="J1125" s="4" t="s">
        <v>2153</v>
      </c>
      <c r="K1125">
        <v>3</v>
      </c>
      <c r="L1125">
        <v>0.91439999999999999</v>
      </c>
      <c r="M1125">
        <v>19.05</v>
      </c>
      <c r="N1125">
        <v>139.69999999999999</v>
      </c>
      <c r="O1125">
        <v>36</v>
      </c>
      <c r="P1125">
        <v>0.75000000000000011</v>
      </c>
      <c r="Q1125">
        <v>5.5</v>
      </c>
      <c r="R1125">
        <v>1232.8030000000001</v>
      </c>
      <c r="S1125">
        <v>2.4334790039999997E-3</v>
      </c>
      <c r="T1125" s="4" t="s">
        <v>3249</v>
      </c>
    </row>
    <row r="1126" spans="1:20" x14ac:dyDescent="0.2">
      <c r="A1126" s="4" t="s">
        <v>3108</v>
      </c>
      <c r="B1126" s="4" t="s">
        <v>3239</v>
      </c>
      <c r="C1126" s="4" t="s">
        <v>2286</v>
      </c>
      <c r="D1126" s="4" t="s">
        <v>2236</v>
      </c>
      <c r="E1126" s="4" t="s">
        <v>865</v>
      </c>
      <c r="F1126" s="4" t="s">
        <v>3240</v>
      </c>
      <c r="G1126" s="4" t="s">
        <v>3108</v>
      </c>
      <c r="H1126" s="4" t="s">
        <v>2183</v>
      </c>
      <c r="I1126" s="4" t="s">
        <v>2100</v>
      </c>
      <c r="J1126" s="4" t="s">
        <v>2153</v>
      </c>
      <c r="K1126">
        <v>4</v>
      </c>
      <c r="L1126">
        <v>1.2192000000000001</v>
      </c>
      <c r="M1126">
        <v>19.05</v>
      </c>
      <c r="N1126">
        <v>139.69999999999999</v>
      </c>
      <c r="O1126">
        <v>48.000000000000007</v>
      </c>
      <c r="P1126">
        <v>0.75000000000000011</v>
      </c>
      <c r="Q1126">
        <v>5.5</v>
      </c>
      <c r="R1126">
        <v>1232.8030000000001</v>
      </c>
      <c r="S1126">
        <v>3.2446386719999997E-3</v>
      </c>
      <c r="T1126" s="4" t="s">
        <v>3249</v>
      </c>
    </row>
    <row r="1127" spans="1:20" x14ac:dyDescent="0.2">
      <c r="A1127" s="4" t="s">
        <v>3108</v>
      </c>
      <c r="B1127" s="4" t="s">
        <v>3239</v>
      </c>
      <c r="C1127" s="4" t="s">
        <v>2286</v>
      </c>
      <c r="D1127" s="4" t="s">
        <v>2236</v>
      </c>
      <c r="E1127" s="4" t="s">
        <v>867</v>
      </c>
      <c r="F1127" s="4" t="s">
        <v>3240</v>
      </c>
      <c r="G1127" s="4" t="s">
        <v>3108</v>
      </c>
      <c r="H1127" s="4" t="s">
        <v>2183</v>
      </c>
      <c r="I1127" s="4" t="s">
        <v>2100</v>
      </c>
      <c r="J1127" s="4" t="s">
        <v>2153</v>
      </c>
      <c r="K1127">
        <v>5</v>
      </c>
      <c r="L1127">
        <v>1.524</v>
      </c>
      <c r="M1127">
        <v>19.05</v>
      </c>
      <c r="N1127">
        <v>139.69999999999999</v>
      </c>
      <c r="O1127">
        <v>60</v>
      </c>
      <c r="P1127">
        <v>0.75000000000000011</v>
      </c>
      <c r="Q1127">
        <v>5.5</v>
      </c>
      <c r="R1127">
        <v>1232.8030000000001</v>
      </c>
      <c r="S1127">
        <v>4.0557983399999997E-3</v>
      </c>
      <c r="T1127" s="4" t="s">
        <v>3249</v>
      </c>
    </row>
    <row r="1128" spans="1:20" x14ac:dyDescent="0.2">
      <c r="A1128" s="4" t="s">
        <v>3108</v>
      </c>
      <c r="B1128" s="4" t="s">
        <v>3239</v>
      </c>
      <c r="C1128" s="4" t="s">
        <v>2286</v>
      </c>
      <c r="D1128" s="4" t="s">
        <v>2236</v>
      </c>
      <c r="E1128" s="4" t="s">
        <v>869</v>
      </c>
      <c r="F1128" s="4" t="s">
        <v>3240</v>
      </c>
      <c r="G1128" s="4" t="s">
        <v>3108</v>
      </c>
      <c r="H1128" s="4" t="s">
        <v>2183</v>
      </c>
      <c r="I1128" s="4" t="s">
        <v>2100</v>
      </c>
      <c r="J1128" s="4" t="s">
        <v>2153</v>
      </c>
      <c r="K1128">
        <v>6</v>
      </c>
      <c r="L1128">
        <v>1.8288</v>
      </c>
      <c r="M1128">
        <v>19.05</v>
      </c>
      <c r="N1128">
        <v>139.69999999999999</v>
      </c>
      <c r="O1128">
        <v>72</v>
      </c>
      <c r="P1128">
        <v>0.75000000000000011</v>
      </c>
      <c r="Q1128">
        <v>5.5</v>
      </c>
      <c r="R1128">
        <v>1232.8030000000001</v>
      </c>
      <c r="S1128">
        <v>4.8669580079999993E-3</v>
      </c>
      <c r="T1128" s="4" t="s">
        <v>3249</v>
      </c>
    </row>
    <row r="1129" spans="1:20" x14ac:dyDescent="0.2">
      <c r="A1129" s="4" t="s">
        <v>3108</v>
      </c>
      <c r="B1129" s="4" t="s">
        <v>3239</v>
      </c>
      <c r="C1129" s="4" t="s">
        <v>2286</v>
      </c>
      <c r="D1129" s="4" t="s">
        <v>2236</v>
      </c>
      <c r="E1129" s="4" t="s">
        <v>3250</v>
      </c>
      <c r="F1129" s="4" t="s">
        <v>3240</v>
      </c>
      <c r="G1129" s="4" t="s">
        <v>3108</v>
      </c>
      <c r="H1129" s="4" t="s">
        <v>2183</v>
      </c>
      <c r="I1129" s="4" t="s">
        <v>2100</v>
      </c>
      <c r="J1129" s="4" t="s">
        <v>2153</v>
      </c>
      <c r="K1129">
        <v>7</v>
      </c>
      <c r="L1129">
        <v>2.1335999999999999</v>
      </c>
      <c r="M1129">
        <v>19.05</v>
      </c>
      <c r="N1129">
        <v>139.69999999999999</v>
      </c>
      <c r="O1129">
        <v>84</v>
      </c>
      <c r="P1129">
        <v>0.75000000000000011</v>
      </c>
      <c r="Q1129">
        <v>5.5</v>
      </c>
      <c r="R1129">
        <v>1232.8030000000001</v>
      </c>
      <c r="S1129">
        <v>5.6781176759999998E-3</v>
      </c>
      <c r="T1129" s="4" t="s">
        <v>3249</v>
      </c>
    </row>
    <row r="1130" spans="1:20" x14ac:dyDescent="0.2">
      <c r="A1130" s="4" t="s">
        <v>3108</v>
      </c>
      <c r="B1130" s="4" t="s">
        <v>3239</v>
      </c>
      <c r="C1130" s="4" t="s">
        <v>2096</v>
      </c>
      <c r="D1130" s="4" t="s">
        <v>2236</v>
      </c>
      <c r="E1130" s="4" t="s">
        <v>871</v>
      </c>
      <c r="F1130" s="4" t="s">
        <v>3240</v>
      </c>
      <c r="G1130" s="4" t="s">
        <v>3108</v>
      </c>
      <c r="H1130" s="4" t="s">
        <v>2183</v>
      </c>
      <c r="I1130" s="4" t="s">
        <v>2100</v>
      </c>
      <c r="J1130" s="4" t="s">
        <v>2153</v>
      </c>
      <c r="K1130">
        <v>8</v>
      </c>
      <c r="L1130">
        <v>2.4384000000000001</v>
      </c>
      <c r="M1130">
        <v>19.05</v>
      </c>
      <c r="N1130">
        <v>139.69999999999999</v>
      </c>
      <c r="O1130">
        <v>96.000000000000014</v>
      </c>
      <c r="P1130">
        <v>0.75000000000000011</v>
      </c>
      <c r="Q1130">
        <v>5.5</v>
      </c>
      <c r="R1130">
        <v>1232.8030000000001</v>
      </c>
      <c r="S1130">
        <v>6.4892773439999994E-3</v>
      </c>
      <c r="T1130" s="4" t="s">
        <v>3241</v>
      </c>
    </row>
    <row r="1131" spans="1:20" x14ac:dyDescent="0.2">
      <c r="A1131" s="4" t="s">
        <v>3108</v>
      </c>
      <c r="B1131" s="4" t="s">
        <v>3239</v>
      </c>
      <c r="C1131" s="4" t="s">
        <v>2096</v>
      </c>
      <c r="D1131" s="4" t="s">
        <v>2236</v>
      </c>
      <c r="E1131" s="4" t="s">
        <v>3251</v>
      </c>
      <c r="F1131" s="4" t="s">
        <v>3240</v>
      </c>
      <c r="G1131" s="4" t="s">
        <v>3108</v>
      </c>
      <c r="H1131" s="4" t="s">
        <v>2183</v>
      </c>
      <c r="I1131" s="4" t="s">
        <v>2100</v>
      </c>
      <c r="J1131" s="4" t="s">
        <v>2153</v>
      </c>
      <c r="K1131">
        <v>9</v>
      </c>
      <c r="L1131">
        <v>2.7431999999999999</v>
      </c>
      <c r="M1131">
        <v>19.05</v>
      </c>
      <c r="N1131">
        <v>139.69999999999999</v>
      </c>
      <c r="O1131">
        <v>108</v>
      </c>
      <c r="P1131">
        <v>0.75000000000000011</v>
      </c>
      <c r="Q1131">
        <v>5.5</v>
      </c>
      <c r="R1131">
        <v>1232.8030000000001</v>
      </c>
      <c r="S1131">
        <v>7.3004370119999999E-3</v>
      </c>
      <c r="T1131" s="4" t="s">
        <v>3241</v>
      </c>
    </row>
    <row r="1132" spans="1:20" x14ac:dyDescent="0.2">
      <c r="A1132" s="4" t="s">
        <v>3108</v>
      </c>
      <c r="B1132" s="4" t="s">
        <v>3252</v>
      </c>
      <c r="C1132" s="4" t="s">
        <v>2096</v>
      </c>
      <c r="D1132" s="4" t="s">
        <v>2236</v>
      </c>
      <c r="E1132" s="4" t="s">
        <v>873</v>
      </c>
      <c r="F1132" s="4" t="s">
        <v>3253</v>
      </c>
      <c r="G1132" s="4" t="s">
        <v>3108</v>
      </c>
      <c r="H1132" s="4" t="s">
        <v>2183</v>
      </c>
      <c r="I1132" s="4" t="s">
        <v>2100</v>
      </c>
      <c r="J1132" s="4" t="s">
        <v>2432</v>
      </c>
      <c r="K1132">
        <v>10</v>
      </c>
      <c r="L1132">
        <v>3.048</v>
      </c>
      <c r="M1132">
        <v>19.05</v>
      </c>
      <c r="N1132">
        <v>184.15</v>
      </c>
      <c r="O1132">
        <v>120</v>
      </c>
      <c r="P1132">
        <v>0.75000000000000011</v>
      </c>
      <c r="Q1132">
        <v>7.2500000000000009</v>
      </c>
      <c r="R1132">
        <v>935.23</v>
      </c>
      <c r="S1132">
        <v>1.0692559260000001E-2</v>
      </c>
      <c r="T1132" s="4" t="s">
        <v>3254</v>
      </c>
    </row>
    <row r="1133" spans="1:20" x14ac:dyDescent="0.2">
      <c r="A1133" s="4" t="s">
        <v>3108</v>
      </c>
      <c r="B1133" s="4" t="s">
        <v>3252</v>
      </c>
      <c r="C1133" s="4" t="s">
        <v>2096</v>
      </c>
      <c r="D1133" s="4" t="s">
        <v>2236</v>
      </c>
      <c r="E1133" s="4" t="s">
        <v>3255</v>
      </c>
      <c r="F1133" s="4" t="s">
        <v>3253</v>
      </c>
      <c r="G1133" s="4" t="s">
        <v>3108</v>
      </c>
      <c r="H1133" s="4" t="s">
        <v>2183</v>
      </c>
      <c r="I1133" s="4" t="s">
        <v>2100</v>
      </c>
      <c r="J1133" s="4" t="s">
        <v>2432</v>
      </c>
      <c r="K1133">
        <v>11</v>
      </c>
      <c r="L1133">
        <v>3.3527999999999998</v>
      </c>
      <c r="M1133">
        <v>19.05</v>
      </c>
      <c r="N1133">
        <v>184.15</v>
      </c>
      <c r="O1133">
        <v>132</v>
      </c>
      <c r="P1133">
        <v>0.75000000000000011</v>
      </c>
      <c r="Q1133">
        <v>7.2500000000000009</v>
      </c>
      <c r="R1133">
        <v>935.23</v>
      </c>
      <c r="S1133">
        <v>1.1761815186E-2</v>
      </c>
      <c r="T1133" s="4" t="s">
        <v>3254</v>
      </c>
    </row>
    <row r="1134" spans="1:20" x14ac:dyDescent="0.2">
      <c r="A1134" s="4" t="s">
        <v>3108</v>
      </c>
      <c r="B1134" s="4" t="s">
        <v>3252</v>
      </c>
      <c r="C1134" s="4" t="s">
        <v>2096</v>
      </c>
      <c r="D1134" s="4" t="s">
        <v>2236</v>
      </c>
      <c r="E1134" s="4" t="s">
        <v>875</v>
      </c>
      <c r="F1134" s="4" t="s">
        <v>3253</v>
      </c>
      <c r="G1134" s="4" t="s">
        <v>3108</v>
      </c>
      <c r="H1134" s="4" t="s">
        <v>2183</v>
      </c>
      <c r="I1134" s="4" t="s">
        <v>2100</v>
      </c>
      <c r="J1134" s="4" t="s">
        <v>2432</v>
      </c>
      <c r="K1134">
        <v>12</v>
      </c>
      <c r="L1134">
        <v>3.6576</v>
      </c>
      <c r="M1134">
        <v>19.05</v>
      </c>
      <c r="N1134">
        <v>184.15</v>
      </c>
      <c r="O1134">
        <v>144</v>
      </c>
      <c r="P1134">
        <v>0.75000000000000011</v>
      </c>
      <c r="Q1134">
        <v>7.2500000000000009</v>
      </c>
      <c r="R1134">
        <v>935.23</v>
      </c>
      <c r="S1134">
        <v>1.2831071112000001E-2</v>
      </c>
      <c r="T1134" s="4" t="s">
        <v>3254</v>
      </c>
    </row>
    <row r="1135" spans="1:20" x14ac:dyDescent="0.2">
      <c r="A1135" s="4" t="s">
        <v>3108</v>
      </c>
      <c r="B1135" s="4" t="s">
        <v>3252</v>
      </c>
      <c r="C1135" s="4" t="s">
        <v>2096</v>
      </c>
      <c r="D1135" s="4" t="s">
        <v>2236</v>
      </c>
      <c r="E1135" s="4" t="s">
        <v>3256</v>
      </c>
      <c r="F1135" s="4" t="s">
        <v>3253</v>
      </c>
      <c r="G1135" s="4" t="s">
        <v>3108</v>
      </c>
      <c r="H1135" s="4" t="s">
        <v>2183</v>
      </c>
      <c r="I1135" s="4" t="s">
        <v>2100</v>
      </c>
      <c r="J1135" s="4" t="s">
        <v>2432</v>
      </c>
      <c r="K1135">
        <v>13</v>
      </c>
      <c r="L1135">
        <v>3.9624000000000001</v>
      </c>
      <c r="M1135">
        <v>19.05</v>
      </c>
      <c r="N1135">
        <v>184.15</v>
      </c>
      <c r="O1135">
        <v>156</v>
      </c>
      <c r="P1135">
        <v>0.75000000000000011</v>
      </c>
      <c r="Q1135">
        <v>7.2500000000000009</v>
      </c>
      <c r="R1135">
        <v>935.23</v>
      </c>
      <c r="S1135">
        <v>1.3900327037999999E-2</v>
      </c>
      <c r="T1135" s="4" t="s">
        <v>3254</v>
      </c>
    </row>
    <row r="1136" spans="1:20" x14ac:dyDescent="0.2">
      <c r="A1136" s="4" t="s">
        <v>3108</v>
      </c>
      <c r="B1136" s="4" t="s">
        <v>3252</v>
      </c>
      <c r="C1136" s="4" t="s">
        <v>2096</v>
      </c>
      <c r="D1136" s="4" t="s">
        <v>2236</v>
      </c>
      <c r="E1136" s="4" t="s">
        <v>877</v>
      </c>
      <c r="F1136" s="4" t="s">
        <v>3253</v>
      </c>
      <c r="G1136" s="4" t="s">
        <v>3108</v>
      </c>
      <c r="H1136" s="4" t="s">
        <v>2183</v>
      </c>
      <c r="I1136" s="4" t="s">
        <v>2100</v>
      </c>
      <c r="J1136" s="4" t="s">
        <v>2432</v>
      </c>
      <c r="K1136">
        <v>14</v>
      </c>
      <c r="L1136">
        <v>4.2671999999999999</v>
      </c>
      <c r="M1136">
        <v>19.05</v>
      </c>
      <c r="N1136">
        <v>184.15</v>
      </c>
      <c r="O1136">
        <v>168</v>
      </c>
      <c r="P1136">
        <v>0.75000000000000011</v>
      </c>
      <c r="Q1136">
        <v>7.2500000000000009</v>
      </c>
      <c r="R1136">
        <v>935.23</v>
      </c>
      <c r="S1136">
        <v>1.4969582964E-2</v>
      </c>
      <c r="T1136" s="4" t="s">
        <v>3254</v>
      </c>
    </row>
    <row r="1137" spans="1:20" x14ac:dyDescent="0.2">
      <c r="A1137" s="4" t="s">
        <v>3108</v>
      </c>
      <c r="B1137" s="4" t="s">
        <v>3252</v>
      </c>
      <c r="C1137" s="4" t="s">
        <v>2096</v>
      </c>
      <c r="D1137" s="4" t="s">
        <v>2236</v>
      </c>
      <c r="E1137" s="4" t="s">
        <v>3257</v>
      </c>
      <c r="F1137" s="4" t="s">
        <v>3253</v>
      </c>
      <c r="G1137" s="4" t="s">
        <v>3108</v>
      </c>
      <c r="H1137" s="4" t="s">
        <v>2183</v>
      </c>
      <c r="I1137" s="4" t="s">
        <v>2100</v>
      </c>
      <c r="J1137" s="4" t="s">
        <v>2432</v>
      </c>
      <c r="K1137">
        <v>15</v>
      </c>
      <c r="L1137">
        <v>4.5720000000000001</v>
      </c>
      <c r="M1137">
        <v>19.05</v>
      </c>
      <c r="N1137">
        <v>184.15</v>
      </c>
      <c r="O1137">
        <v>180</v>
      </c>
      <c r="P1137">
        <v>0.75000000000000011</v>
      </c>
      <c r="Q1137">
        <v>7.2500000000000009</v>
      </c>
      <c r="R1137">
        <v>935.23</v>
      </c>
      <c r="S1137">
        <v>1.603883889E-2</v>
      </c>
      <c r="T1137" s="4" t="s">
        <v>3254</v>
      </c>
    </row>
    <row r="1138" spans="1:20" x14ac:dyDescent="0.2">
      <c r="A1138" s="4" t="s">
        <v>3108</v>
      </c>
      <c r="B1138" s="4" t="s">
        <v>3252</v>
      </c>
      <c r="C1138" s="4" t="s">
        <v>2096</v>
      </c>
      <c r="D1138" s="4" t="s">
        <v>2236</v>
      </c>
      <c r="E1138" s="4" t="s">
        <v>879</v>
      </c>
      <c r="F1138" s="4" t="s">
        <v>3253</v>
      </c>
      <c r="G1138" s="4" t="s">
        <v>3108</v>
      </c>
      <c r="H1138" s="4" t="s">
        <v>2183</v>
      </c>
      <c r="I1138" s="4" t="s">
        <v>2100</v>
      </c>
      <c r="J1138" s="4" t="s">
        <v>2432</v>
      </c>
      <c r="K1138">
        <v>16</v>
      </c>
      <c r="L1138">
        <v>4.8768000000000002</v>
      </c>
      <c r="M1138">
        <v>19.05</v>
      </c>
      <c r="N1138">
        <v>184.15</v>
      </c>
      <c r="O1138">
        <v>192.00000000000003</v>
      </c>
      <c r="P1138">
        <v>0.75000000000000011</v>
      </c>
      <c r="Q1138">
        <v>7.2500000000000009</v>
      </c>
      <c r="R1138">
        <v>935.23</v>
      </c>
      <c r="S1138">
        <v>1.7108094816000001E-2</v>
      </c>
      <c r="T1138" s="4" t="s">
        <v>3254</v>
      </c>
    </row>
    <row r="1139" spans="1:20" x14ac:dyDescent="0.2">
      <c r="A1139" s="4" t="s">
        <v>3108</v>
      </c>
      <c r="B1139" s="4" t="s">
        <v>3252</v>
      </c>
      <c r="C1139" s="4" t="s">
        <v>2096</v>
      </c>
      <c r="D1139" s="4" t="s">
        <v>2236</v>
      </c>
      <c r="E1139" s="4" t="s">
        <v>3258</v>
      </c>
      <c r="F1139" s="4" t="s">
        <v>3253</v>
      </c>
      <c r="G1139" s="4" t="s">
        <v>3108</v>
      </c>
      <c r="H1139" s="4" t="s">
        <v>2183</v>
      </c>
      <c r="I1139" s="4" t="s">
        <v>2100</v>
      </c>
      <c r="J1139" s="4" t="s">
        <v>2432</v>
      </c>
      <c r="K1139">
        <v>17</v>
      </c>
      <c r="L1139">
        <v>5.1816000000000004</v>
      </c>
      <c r="M1139">
        <v>19.05</v>
      </c>
      <c r="N1139">
        <v>184.15</v>
      </c>
      <c r="O1139">
        <v>204.00000000000003</v>
      </c>
      <c r="P1139">
        <v>0.75000000000000011</v>
      </c>
      <c r="Q1139">
        <v>7.2500000000000009</v>
      </c>
      <c r="R1139">
        <v>935.23</v>
      </c>
      <c r="S1139">
        <v>1.8177350742000005E-2</v>
      </c>
      <c r="T1139" s="4" t="s">
        <v>3254</v>
      </c>
    </row>
    <row r="1140" spans="1:20" x14ac:dyDescent="0.2">
      <c r="A1140" s="4" t="s">
        <v>3108</v>
      </c>
      <c r="B1140" s="4" t="s">
        <v>3252</v>
      </c>
      <c r="C1140" s="4" t="s">
        <v>2096</v>
      </c>
      <c r="D1140" s="4" t="s">
        <v>2236</v>
      </c>
      <c r="E1140" s="4" t="s">
        <v>881</v>
      </c>
      <c r="F1140" s="4" t="s">
        <v>3253</v>
      </c>
      <c r="G1140" s="4" t="s">
        <v>3108</v>
      </c>
      <c r="H1140" s="4" t="s">
        <v>2183</v>
      </c>
      <c r="I1140" s="4" t="s">
        <v>2100</v>
      </c>
      <c r="J1140" s="4" t="s">
        <v>2432</v>
      </c>
      <c r="K1140">
        <v>18</v>
      </c>
      <c r="L1140">
        <v>5.4863999999999997</v>
      </c>
      <c r="M1140">
        <v>19.05</v>
      </c>
      <c r="N1140">
        <v>184.15</v>
      </c>
      <c r="O1140">
        <v>216</v>
      </c>
      <c r="P1140">
        <v>0.75000000000000011</v>
      </c>
      <c r="Q1140">
        <v>7.2500000000000009</v>
      </c>
      <c r="R1140">
        <v>935.23</v>
      </c>
      <c r="S1140">
        <v>1.9246606668000002E-2</v>
      </c>
      <c r="T1140" s="4" t="s">
        <v>3254</v>
      </c>
    </row>
    <row r="1141" spans="1:20" x14ac:dyDescent="0.2">
      <c r="A1141" s="4" t="s">
        <v>3108</v>
      </c>
      <c r="B1141" s="4" t="s">
        <v>3252</v>
      </c>
      <c r="C1141" s="4" t="s">
        <v>2096</v>
      </c>
      <c r="D1141" s="4" t="s">
        <v>2236</v>
      </c>
      <c r="E1141" s="4" t="s">
        <v>3259</v>
      </c>
      <c r="F1141" s="4" t="s">
        <v>3253</v>
      </c>
      <c r="G1141" s="4" t="s">
        <v>3108</v>
      </c>
      <c r="H1141" s="4" t="s">
        <v>2183</v>
      </c>
      <c r="I1141" s="4" t="s">
        <v>2100</v>
      </c>
      <c r="J1141" s="4" t="s">
        <v>2432</v>
      </c>
      <c r="K1141">
        <v>19</v>
      </c>
      <c r="L1141">
        <v>5.7911999999999999</v>
      </c>
      <c r="M1141">
        <v>19.05</v>
      </c>
      <c r="N1141">
        <v>184.15</v>
      </c>
      <c r="O1141">
        <v>228</v>
      </c>
      <c r="P1141">
        <v>0.75000000000000011</v>
      </c>
      <c r="Q1141">
        <v>7.2500000000000009</v>
      </c>
      <c r="R1141">
        <v>935.23</v>
      </c>
      <c r="S1141">
        <v>2.0315862594000002E-2</v>
      </c>
      <c r="T1141" s="4" t="s">
        <v>3254</v>
      </c>
    </row>
    <row r="1142" spans="1:20" x14ac:dyDescent="0.2">
      <c r="A1142" s="4" t="s">
        <v>3108</v>
      </c>
      <c r="B1142" s="4" t="s">
        <v>3252</v>
      </c>
      <c r="C1142" s="4" t="s">
        <v>2096</v>
      </c>
      <c r="D1142" s="4" t="s">
        <v>2236</v>
      </c>
      <c r="E1142" s="4" t="s">
        <v>883</v>
      </c>
      <c r="F1142" s="4" t="s">
        <v>3253</v>
      </c>
      <c r="G1142" s="4" t="s">
        <v>3108</v>
      </c>
      <c r="H1142" s="4" t="s">
        <v>2183</v>
      </c>
      <c r="I1142" s="4" t="s">
        <v>2100</v>
      </c>
      <c r="J1142" s="4" t="s">
        <v>2432</v>
      </c>
      <c r="K1142">
        <v>20</v>
      </c>
      <c r="L1142">
        <v>6.0960000000000001</v>
      </c>
      <c r="M1142">
        <v>19.05</v>
      </c>
      <c r="N1142">
        <v>184.15</v>
      </c>
      <c r="O1142">
        <v>240</v>
      </c>
      <c r="P1142">
        <v>0.75000000000000011</v>
      </c>
      <c r="Q1142">
        <v>7.2500000000000009</v>
      </c>
      <c r="R1142">
        <v>935.23</v>
      </c>
      <c r="S1142">
        <v>2.1385118520000003E-2</v>
      </c>
      <c r="T1142" s="4" t="s">
        <v>3254</v>
      </c>
    </row>
    <row r="1143" spans="1:20" x14ac:dyDescent="0.2">
      <c r="A1143" s="4" t="s">
        <v>3108</v>
      </c>
      <c r="B1143" s="4" t="s">
        <v>3252</v>
      </c>
      <c r="C1143" s="4" t="s">
        <v>2096</v>
      </c>
      <c r="D1143" s="4" t="s">
        <v>2236</v>
      </c>
      <c r="E1143" s="4" t="s">
        <v>3260</v>
      </c>
      <c r="F1143" s="4" t="s">
        <v>3253</v>
      </c>
      <c r="G1143" s="4" t="s">
        <v>3108</v>
      </c>
      <c r="H1143" s="4" t="s">
        <v>2183</v>
      </c>
      <c r="I1143" s="4" t="s">
        <v>2100</v>
      </c>
      <c r="J1143" s="4" t="s">
        <v>2432</v>
      </c>
      <c r="K1143">
        <v>21</v>
      </c>
      <c r="L1143">
        <v>6.4008000000000003</v>
      </c>
      <c r="M1143">
        <v>19.05</v>
      </c>
      <c r="N1143">
        <v>184.15</v>
      </c>
      <c r="O1143">
        <v>252.00000000000003</v>
      </c>
      <c r="P1143">
        <v>0.75000000000000011</v>
      </c>
      <c r="Q1143">
        <v>7.2500000000000009</v>
      </c>
      <c r="R1143">
        <v>935.23</v>
      </c>
      <c r="S1143">
        <v>2.2454374446000003E-2</v>
      </c>
      <c r="T1143" s="4" t="s">
        <v>3254</v>
      </c>
    </row>
    <row r="1144" spans="1:20" x14ac:dyDescent="0.2">
      <c r="A1144" s="4" t="s">
        <v>3108</v>
      </c>
      <c r="B1144" s="4" t="s">
        <v>3252</v>
      </c>
      <c r="C1144" s="4" t="s">
        <v>2096</v>
      </c>
      <c r="D1144" s="4" t="s">
        <v>2236</v>
      </c>
      <c r="E1144" s="4" t="s">
        <v>3261</v>
      </c>
      <c r="F1144" s="4" t="s">
        <v>3253</v>
      </c>
      <c r="G1144" s="4" t="s">
        <v>3108</v>
      </c>
      <c r="H1144" s="4" t="s">
        <v>2183</v>
      </c>
      <c r="I1144" s="4" t="s">
        <v>2100</v>
      </c>
      <c r="J1144" s="4" t="s">
        <v>2432</v>
      </c>
      <c r="K1144">
        <v>22</v>
      </c>
      <c r="L1144">
        <v>6.7055999999999996</v>
      </c>
      <c r="M1144">
        <v>19.05</v>
      </c>
      <c r="N1144">
        <v>184.15</v>
      </c>
      <c r="O1144">
        <v>264</v>
      </c>
      <c r="P1144">
        <v>0.75000000000000011</v>
      </c>
      <c r="Q1144">
        <v>7.2500000000000009</v>
      </c>
      <c r="R1144">
        <v>935.23</v>
      </c>
      <c r="S1144">
        <v>2.3523630372E-2</v>
      </c>
      <c r="T1144" s="4" t="s">
        <v>3254</v>
      </c>
    </row>
    <row r="1145" spans="1:20" x14ac:dyDescent="0.2">
      <c r="A1145" s="4" t="s">
        <v>3108</v>
      </c>
      <c r="B1145" s="4" t="s">
        <v>3252</v>
      </c>
      <c r="C1145" s="4" t="s">
        <v>2286</v>
      </c>
      <c r="D1145" s="4" t="s">
        <v>2236</v>
      </c>
      <c r="E1145" s="4" t="s">
        <v>3262</v>
      </c>
      <c r="F1145" s="4" t="s">
        <v>3253</v>
      </c>
      <c r="G1145" s="4" t="s">
        <v>3108</v>
      </c>
      <c r="H1145" s="4" t="s">
        <v>2183</v>
      </c>
      <c r="I1145" s="4" t="s">
        <v>2100</v>
      </c>
      <c r="J1145" s="4" t="s">
        <v>2432</v>
      </c>
      <c r="K1145">
        <v>3</v>
      </c>
      <c r="L1145">
        <v>0.91439999999999999</v>
      </c>
      <c r="M1145">
        <v>19.05</v>
      </c>
      <c r="N1145">
        <v>184.15</v>
      </c>
      <c r="O1145">
        <v>36</v>
      </c>
      <c r="P1145">
        <v>0.75000000000000011</v>
      </c>
      <c r="Q1145">
        <v>7.2500000000000009</v>
      </c>
      <c r="R1145">
        <v>935.23</v>
      </c>
      <c r="S1145">
        <v>3.2077677780000002E-3</v>
      </c>
      <c r="T1145" s="4" t="s">
        <v>3263</v>
      </c>
    </row>
    <row r="1146" spans="1:20" x14ac:dyDescent="0.2">
      <c r="A1146" s="4" t="s">
        <v>3108</v>
      </c>
      <c r="B1146" s="4" t="s">
        <v>3252</v>
      </c>
      <c r="C1146" s="4" t="s">
        <v>2286</v>
      </c>
      <c r="D1146" s="4" t="s">
        <v>2236</v>
      </c>
      <c r="E1146" s="4" t="s">
        <v>3264</v>
      </c>
      <c r="F1146" s="4" t="s">
        <v>3253</v>
      </c>
      <c r="G1146" s="4" t="s">
        <v>3108</v>
      </c>
      <c r="H1146" s="4" t="s">
        <v>2183</v>
      </c>
      <c r="I1146" s="4" t="s">
        <v>2100</v>
      </c>
      <c r="J1146" s="4" t="s">
        <v>2432</v>
      </c>
      <c r="K1146">
        <v>4</v>
      </c>
      <c r="L1146">
        <v>1.2192000000000001</v>
      </c>
      <c r="M1146">
        <v>19.05</v>
      </c>
      <c r="N1146">
        <v>184.15</v>
      </c>
      <c r="O1146">
        <v>48.000000000000007</v>
      </c>
      <c r="P1146">
        <v>0.75000000000000011</v>
      </c>
      <c r="Q1146">
        <v>7.2500000000000009</v>
      </c>
      <c r="R1146">
        <v>935.23</v>
      </c>
      <c r="S1146">
        <v>4.2770237040000002E-3</v>
      </c>
      <c r="T1146" s="4" t="s">
        <v>3263</v>
      </c>
    </row>
    <row r="1147" spans="1:20" x14ac:dyDescent="0.2">
      <c r="A1147" s="4" t="s">
        <v>3108</v>
      </c>
      <c r="B1147" s="4" t="s">
        <v>3252</v>
      </c>
      <c r="C1147" s="4" t="s">
        <v>2286</v>
      </c>
      <c r="D1147" s="4" t="s">
        <v>2236</v>
      </c>
      <c r="E1147" s="4" t="s">
        <v>3265</v>
      </c>
      <c r="F1147" s="4" t="s">
        <v>3253</v>
      </c>
      <c r="G1147" s="4" t="s">
        <v>3108</v>
      </c>
      <c r="H1147" s="4" t="s">
        <v>2183</v>
      </c>
      <c r="I1147" s="4" t="s">
        <v>2100</v>
      </c>
      <c r="J1147" s="4" t="s">
        <v>2432</v>
      </c>
      <c r="K1147">
        <v>5</v>
      </c>
      <c r="L1147">
        <v>1.524</v>
      </c>
      <c r="M1147">
        <v>19.05</v>
      </c>
      <c r="N1147">
        <v>184.15</v>
      </c>
      <c r="O1147">
        <v>60</v>
      </c>
      <c r="P1147">
        <v>0.75000000000000011</v>
      </c>
      <c r="Q1147">
        <v>7.2500000000000009</v>
      </c>
      <c r="R1147">
        <v>935.23</v>
      </c>
      <c r="S1147">
        <v>5.3462796300000007E-3</v>
      </c>
      <c r="T1147" s="4" t="s">
        <v>3263</v>
      </c>
    </row>
    <row r="1148" spans="1:20" x14ac:dyDescent="0.2">
      <c r="A1148" s="4" t="s">
        <v>3108</v>
      </c>
      <c r="B1148" s="4" t="s">
        <v>3252</v>
      </c>
      <c r="C1148" s="4" t="s">
        <v>2286</v>
      </c>
      <c r="D1148" s="4" t="s">
        <v>2236</v>
      </c>
      <c r="E1148" s="4" t="s">
        <v>3266</v>
      </c>
      <c r="F1148" s="4" t="s">
        <v>3253</v>
      </c>
      <c r="G1148" s="4" t="s">
        <v>3108</v>
      </c>
      <c r="H1148" s="4" t="s">
        <v>2183</v>
      </c>
      <c r="I1148" s="4" t="s">
        <v>2100</v>
      </c>
      <c r="J1148" s="4" t="s">
        <v>2432</v>
      </c>
      <c r="K1148">
        <v>6</v>
      </c>
      <c r="L1148">
        <v>1.8288</v>
      </c>
      <c r="M1148">
        <v>19.05</v>
      </c>
      <c r="N1148">
        <v>184.15</v>
      </c>
      <c r="O1148">
        <v>72</v>
      </c>
      <c r="P1148">
        <v>0.75000000000000011</v>
      </c>
      <c r="Q1148">
        <v>7.2500000000000009</v>
      </c>
      <c r="R1148">
        <v>935.23</v>
      </c>
      <c r="S1148">
        <v>6.4155355560000004E-3</v>
      </c>
      <c r="T1148" s="4" t="s">
        <v>3263</v>
      </c>
    </row>
    <row r="1149" spans="1:20" x14ac:dyDescent="0.2">
      <c r="A1149" s="4" t="s">
        <v>3108</v>
      </c>
      <c r="B1149" s="4" t="s">
        <v>3252</v>
      </c>
      <c r="C1149" s="4" t="s">
        <v>2286</v>
      </c>
      <c r="D1149" s="4" t="s">
        <v>2236</v>
      </c>
      <c r="E1149" s="4" t="s">
        <v>3267</v>
      </c>
      <c r="F1149" s="4" t="s">
        <v>3253</v>
      </c>
      <c r="G1149" s="4" t="s">
        <v>3108</v>
      </c>
      <c r="H1149" s="4" t="s">
        <v>2183</v>
      </c>
      <c r="I1149" s="4" t="s">
        <v>2100</v>
      </c>
      <c r="J1149" s="4" t="s">
        <v>2432</v>
      </c>
      <c r="K1149">
        <v>7</v>
      </c>
      <c r="L1149">
        <v>2.1335999999999999</v>
      </c>
      <c r="M1149">
        <v>19.05</v>
      </c>
      <c r="N1149">
        <v>184.15</v>
      </c>
      <c r="O1149">
        <v>84</v>
      </c>
      <c r="P1149">
        <v>0.75000000000000011</v>
      </c>
      <c r="Q1149">
        <v>7.2500000000000009</v>
      </c>
      <c r="R1149">
        <v>935.23</v>
      </c>
      <c r="S1149">
        <v>7.484791482E-3</v>
      </c>
      <c r="T1149" s="4" t="s">
        <v>3263</v>
      </c>
    </row>
    <row r="1150" spans="1:20" x14ac:dyDescent="0.2">
      <c r="A1150" s="4" t="s">
        <v>3108</v>
      </c>
      <c r="B1150" s="4" t="s">
        <v>3252</v>
      </c>
      <c r="C1150" s="4" t="s">
        <v>2096</v>
      </c>
      <c r="D1150" s="4" t="s">
        <v>2236</v>
      </c>
      <c r="E1150" s="4" t="s">
        <v>885</v>
      </c>
      <c r="F1150" s="4" t="s">
        <v>3253</v>
      </c>
      <c r="G1150" s="4" t="s">
        <v>3108</v>
      </c>
      <c r="H1150" s="4" t="s">
        <v>2183</v>
      </c>
      <c r="I1150" s="4" t="s">
        <v>2100</v>
      </c>
      <c r="J1150" s="4" t="s">
        <v>2432</v>
      </c>
      <c r="K1150">
        <v>8</v>
      </c>
      <c r="L1150">
        <v>2.4384000000000001</v>
      </c>
      <c r="M1150">
        <v>19.05</v>
      </c>
      <c r="N1150">
        <v>184.15</v>
      </c>
      <c r="O1150">
        <v>96.000000000000014</v>
      </c>
      <c r="P1150">
        <v>0.75000000000000011</v>
      </c>
      <c r="Q1150">
        <v>7.2500000000000009</v>
      </c>
      <c r="R1150">
        <v>935.23</v>
      </c>
      <c r="S1150">
        <v>8.5540474080000005E-3</v>
      </c>
      <c r="T1150" s="4" t="s">
        <v>3254</v>
      </c>
    </row>
    <row r="1151" spans="1:20" x14ac:dyDescent="0.2">
      <c r="A1151" s="4" t="s">
        <v>3108</v>
      </c>
      <c r="B1151" s="4" t="s">
        <v>3252</v>
      </c>
      <c r="C1151" s="4" t="s">
        <v>2096</v>
      </c>
      <c r="D1151" s="4" t="s">
        <v>2236</v>
      </c>
      <c r="E1151" s="4" t="s">
        <v>3268</v>
      </c>
      <c r="F1151" s="4" t="s">
        <v>3253</v>
      </c>
      <c r="G1151" s="4" t="s">
        <v>3108</v>
      </c>
      <c r="H1151" s="4" t="s">
        <v>2183</v>
      </c>
      <c r="I1151" s="4" t="s">
        <v>2100</v>
      </c>
      <c r="J1151" s="4" t="s">
        <v>2432</v>
      </c>
      <c r="K1151">
        <v>9</v>
      </c>
      <c r="L1151">
        <v>2.7431999999999999</v>
      </c>
      <c r="M1151">
        <v>19.05</v>
      </c>
      <c r="N1151">
        <v>184.15</v>
      </c>
      <c r="O1151">
        <v>108</v>
      </c>
      <c r="P1151">
        <v>0.75000000000000011</v>
      </c>
      <c r="Q1151">
        <v>7.2500000000000009</v>
      </c>
      <c r="R1151">
        <v>935.23</v>
      </c>
      <c r="S1151">
        <v>9.623303334000001E-3</v>
      </c>
      <c r="T1151" s="4" t="s">
        <v>3254</v>
      </c>
    </row>
    <row r="1152" spans="1:20" x14ac:dyDescent="0.2">
      <c r="A1152" s="4" t="s">
        <v>3108</v>
      </c>
      <c r="B1152" s="4" t="s">
        <v>3269</v>
      </c>
      <c r="C1152" s="4" t="s">
        <v>2096</v>
      </c>
      <c r="D1152" s="4" t="s">
        <v>2236</v>
      </c>
      <c r="E1152" s="4" t="s">
        <v>3270</v>
      </c>
      <c r="F1152" s="4" t="s">
        <v>3271</v>
      </c>
      <c r="G1152" s="4" t="s">
        <v>3108</v>
      </c>
      <c r="H1152" s="4" t="s">
        <v>2183</v>
      </c>
      <c r="I1152" s="4" t="s">
        <v>2100</v>
      </c>
      <c r="J1152" s="4" t="s">
        <v>2464</v>
      </c>
      <c r="K1152">
        <v>10</v>
      </c>
      <c r="L1152">
        <v>3.048</v>
      </c>
      <c r="M1152">
        <v>38.1</v>
      </c>
      <c r="N1152">
        <v>234.95</v>
      </c>
      <c r="O1152">
        <v>120</v>
      </c>
      <c r="P1152">
        <v>1.5000000000000002</v>
      </c>
      <c r="Q1152">
        <v>9.25</v>
      </c>
      <c r="R1152">
        <v>366.50900000000001</v>
      </c>
      <c r="S1152">
        <v>2.7284461560000004E-2</v>
      </c>
      <c r="T1152" s="4" t="s">
        <v>3272</v>
      </c>
    </row>
    <row r="1153" spans="1:20" x14ac:dyDescent="0.2">
      <c r="A1153" s="4" t="s">
        <v>3108</v>
      </c>
      <c r="B1153" s="4" t="s">
        <v>3269</v>
      </c>
      <c r="C1153" s="4" t="s">
        <v>2096</v>
      </c>
      <c r="D1153" s="4" t="s">
        <v>2236</v>
      </c>
      <c r="E1153" s="4" t="s">
        <v>3273</v>
      </c>
      <c r="F1153" s="4" t="s">
        <v>3271</v>
      </c>
      <c r="G1153" s="4" t="s">
        <v>3108</v>
      </c>
      <c r="H1153" s="4" t="s">
        <v>2183</v>
      </c>
      <c r="I1153" s="4" t="s">
        <v>2100</v>
      </c>
      <c r="J1153" s="4" t="s">
        <v>2464</v>
      </c>
      <c r="K1153">
        <v>11</v>
      </c>
      <c r="L1153">
        <v>3.3527999999999998</v>
      </c>
      <c r="M1153">
        <v>38.1</v>
      </c>
      <c r="N1153">
        <v>234.95</v>
      </c>
      <c r="O1153">
        <v>132</v>
      </c>
      <c r="P1153">
        <v>1.5000000000000002</v>
      </c>
      <c r="Q1153">
        <v>9.25</v>
      </c>
      <c r="R1153">
        <v>366.50900000000001</v>
      </c>
      <c r="S1153">
        <v>3.0012907715999997E-2</v>
      </c>
      <c r="T1153" s="4" t="s">
        <v>3272</v>
      </c>
    </row>
    <row r="1154" spans="1:20" x14ac:dyDescent="0.2">
      <c r="A1154" s="4" t="s">
        <v>3108</v>
      </c>
      <c r="B1154" s="4" t="s">
        <v>3269</v>
      </c>
      <c r="C1154" s="4" t="s">
        <v>2096</v>
      </c>
      <c r="D1154" s="4" t="s">
        <v>2236</v>
      </c>
      <c r="E1154" s="4" t="s">
        <v>542</v>
      </c>
      <c r="F1154" s="4" t="s">
        <v>3271</v>
      </c>
      <c r="G1154" s="4" t="s">
        <v>3108</v>
      </c>
      <c r="H1154" s="4" t="s">
        <v>2183</v>
      </c>
      <c r="I1154" s="4" t="s">
        <v>2100</v>
      </c>
      <c r="J1154" s="4" t="s">
        <v>2464</v>
      </c>
      <c r="K1154">
        <v>12</v>
      </c>
      <c r="L1154">
        <v>3.6576</v>
      </c>
      <c r="M1154">
        <v>38.1</v>
      </c>
      <c r="N1154">
        <v>234.95</v>
      </c>
      <c r="O1154">
        <v>144</v>
      </c>
      <c r="P1154">
        <v>1.5000000000000002</v>
      </c>
      <c r="Q1154">
        <v>9.25</v>
      </c>
      <c r="R1154">
        <v>366.50900000000001</v>
      </c>
      <c r="S1154">
        <v>3.2741353872000001E-2</v>
      </c>
      <c r="T1154" s="4" t="s">
        <v>3272</v>
      </c>
    </row>
    <row r="1155" spans="1:20" x14ac:dyDescent="0.2">
      <c r="A1155" s="4" t="s">
        <v>3108</v>
      </c>
      <c r="B1155" s="4" t="s">
        <v>3269</v>
      </c>
      <c r="C1155" s="4" t="s">
        <v>2096</v>
      </c>
      <c r="D1155" s="4" t="s">
        <v>2236</v>
      </c>
      <c r="E1155" s="4" t="s">
        <v>3274</v>
      </c>
      <c r="F1155" s="4" t="s">
        <v>3271</v>
      </c>
      <c r="G1155" s="4" t="s">
        <v>3108</v>
      </c>
      <c r="H1155" s="4" t="s">
        <v>2183</v>
      </c>
      <c r="I1155" s="4" t="s">
        <v>2100</v>
      </c>
      <c r="J1155" s="4" t="s">
        <v>2464</v>
      </c>
      <c r="K1155">
        <v>13</v>
      </c>
      <c r="L1155">
        <v>3.9624000000000001</v>
      </c>
      <c r="M1155">
        <v>38.1</v>
      </c>
      <c r="N1155">
        <v>234.95</v>
      </c>
      <c r="O1155">
        <v>156</v>
      </c>
      <c r="P1155">
        <v>1.5000000000000002</v>
      </c>
      <c r="Q1155">
        <v>9.25</v>
      </c>
      <c r="R1155">
        <v>366.50900000000001</v>
      </c>
      <c r="S1155">
        <v>3.5469800028000001E-2</v>
      </c>
      <c r="T1155" s="4" t="s">
        <v>3272</v>
      </c>
    </row>
    <row r="1156" spans="1:20" x14ac:dyDescent="0.2">
      <c r="A1156" s="4" t="s">
        <v>3108</v>
      </c>
      <c r="B1156" s="4" t="s">
        <v>3269</v>
      </c>
      <c r="C1156" s="4" t="s">
        <v>2096</v>
      </c>
      <c r="D1156" s="4" t="s">
        <v>2236</v>
      </c>
      <c r="E1156" s="4" t="s">
        <v>544</v>
      </c>
      <c r="F1156" s="4" t="s">
        <v>3271</v>
      </c>
      <c r="G1156" s="4" t="s">
        <v>3108</v>
      </c>
      <c r="H1156" s="4" t="s">
        <v>2183</v>
      </c>
      <c r="I1156" s="4" t="s">
        <v>2100</v>
      </c>
      <c r="J1156" s="4" t="s">
        <v>2464</v>
      </c>
      <c r="K1156">
        <v>14</v>
      </c>
      <c r="L1156">
        <v>4.2671999999999999</v>
      </c>
      <c r="M1156">
        <v>38.1</v>
      </c>
      <c r="N1156">
        <v>234.95</v>
      </c>
      <c r="O1156">
        <v>168</v>
      </c>
      <c r="P1156">
        <v>1.5000000000000002</v>
      </c>
      <c r="Q1156">
        <v>9.25</v>
      </c>
      <c r="R1156">
        <v>366.50900000000001</v>
      </c>
      <c r="S1156">
        <v>3.8198246184000001E-2</v>
      </c>
      <c r="T1156" s="4" t="s">
        <v>3272</v>
      </c>
    </row>
    <row r="1157" spans="1:20" x14ac:dyDescent="0.2">
      <c r="A1157" s="4" t="s">
        <v>3108</v>
      </c>
      <c r="B1157" s="4" t="s">
        <v>3269</v>
      </c>
      <c r="C1157" s="4" t="s">
        <v>2096</v>
      </c>
      <c r="D1157" s="4" t="s">
        <v>2236</v>
      </c>
      <c r="E1157" s="4" t="s">
        <v>3275</v>
      </c>
      <c r="F1157" s="4" t="s">
        <v>3271</v>
      </c>
      <c r="G1157" s="4" t="s">
        <v>3108</v>
      </c>
      <c r="H1157" s="4" t="s">
        <v>2183</v>
      </c>
      <c r="I1157" s="4" t="s">
        <v>2100</v>
      </c>
      <c r="J1157" s="4" t="s">
        <v>2464</v>
      </c>
      <c r="K1157">
        <v>15</v>
      </c>
      <c r="L1157">
        <v>4.5720000000000001</v>
      </c>
      <c r="M1157">
        <v>38.1</v>
      </c>
      <c r="N1157">
        <v>234.95</v>
      </c>
      <c r="O1157">
        <v>180</v>
      </c>
      <c r="P1157">
        <v>1.5000000000000002</v>
      </c>
      <c r="Q1157">
        <v>9.25</v>
      </c>
      <c r="R1157">
        <v>366.50900000000001</v>
      </c>
      <c r="S1157">
        <v>4.0926692340000001E-2</v>
      </c>
      <c r="T1157" s="4" t="s">
        <v>3272</v>
      </c>
    </row>
    <row r="1158" spans="1:20" x14ac:dyDescent="0.2">
      <c r="A1158" s="4" t="s">
        <v>3108</v>
      </c>
      <c r="B1158" s="4" t="s">
        <v>3269</v>
      </c>
      <c r="C1158" s="4" t="s">
        <v>2096</v>
      </c>
      <c r="D1158" s="4" t="s">
        <v>2236</v>
      </c>
      <c r="E1158" s="4" t="s">
        <v>3276</v>
      </c>
      <c r="F1158" s="4" t="s">
        <v>3271</v>
      </c>
      <c r="G1158" s="4" t="s">
        <v>3108</v>
      </c>
      <c r="H1158" s="4" t="s">
        <v>2183</v>
      </c>
      <c r="I1158" s="4" t="s">
        <v>2100</v>
      </c>
      <c r="J1158" s="4" t="s">
        <v>2464</v>
      </c>
      <c r="K1158">
        <v>16</v>
      </c>
      <c r="L1158">
        <v>4.8768000000000002</v>
      </c>
      <c r="M1158">
        <v>38.1</v>
      </c>
      <c r="N1158">
        <v>234.95</v>
      </c>
      <c r="O1158">
        <v>192.00000000000003</v>
      </c>
      <c r="P1158">
        <v>1.5000000000000002</v>
      </c>
      <c r="Q1158">
        <v>9.25</v>
      </c>
      <c r="R1158">
        <v>366.50900000000001</v>
      </c>
      <c r="S1158">
        <v>4.3655138496000001E-2</v>
      </c>
      <c r="T1158" s="4" t="s">
        <v>3272</v>
      </c>
    </row>
    <row r="1159" spans="1:20" x14ac:dyDescent="0.2">
      <c r="A1159" s="4" t="s">
        <v>3108</v>
      </c>
      <c r="B1159" s="4" t="s">
        <v>3269</v>
      </c>
      <c r="C1159" s="4" t="s">
        <v>2096</v>
      </c>
      <c r="D1159" s="4" t="s">
        <v>2236</v>
      </c>
      <c r="E1159" s="4" t="s">
        <v>3277</v>
      </c>
      <c r="F1159" s="4" t="s">
        <v>3271</v>
      </c>
      <c r="G1159" s="4" t="s">
        <v>3108</v>
      </c>
      <c r="H1159" s="4" t="s">
        <v>2183</v>
      </c>
      <c r="I1159" s="4" t="s">
        <v>2100</v>
      </c>
      <c r="J1159" s="4" t="s">
        <v>2464</v>
      </c>
      <c r="K1159">
        <v>17</v>
      </c>
      <c r="L1159">
        <v>5.1816000000000004</v>
      </c>
      <c r="M1159">
        <v>38.1</v>
      </c>
      <c r="N1159">
        <v>234.95</v>
      </c>
      <c r="O1159">
        <v>204.00000000000003</v>
      </c>
      <c r="P1159">
        <v>1.5000000000000002</v>
      </c>
      <c r="Q1159">
        <v>9.25</v>
      </c>
      <c r="R1159">
        <v>366.50900000000001</v>
      </c>
      <c r="S1159">
        <v>4.6383584652000001E-2</v>
      </c>
      <c r="T1159" s="4" t="s">
        <v>3272</v>
      </c>
    </row>
    <row r="1160" spans="1:20" x14ac:dyDescent="0.2">
      <c r="A1160" s="4" t="s">
        <v>3108</v>
      </c>
      <c r="B1160" s="4" t="s">
        <v>3269</v>
      </c>
      <c r="C1160" s="4" t="s">
        <v>2096</v>
      </c>
      <c r="D1160" s="4" t="s">
        <v>2236</v>
      </c>
      <c r="E1160" s="4" t="s">
        <v>3278</v>
      </c>
      <c r="F1160" s="4" t="s">
        <v>3271</v>
      </c>
      <c r="G1160" s="4" t="s">
        <v>3108</v>
      </c>
      <c r="H1160" s="4" t="s">
        <v>2183</v>
      </c>
      <c r="I1160" s="4" t="s">
        <v>2100</v>
      </c>
      <c r="J1160" s="4" t="s">
        <v>2464</v>
      </c>
      <c r="K1160">
        <v>18</v>
      </c>
      <c r="L1160">
        <v>5.4863999999999997</v>
      </c>
      <c r="M1160">
        <v>38.1</v>
      </c>
      <c r="N1160">
        <v>234.95</v>
      </c>
      <c r="O1160">
        <v>216</v>
      </c>
      <c r="P1160">
        <v>1.5000000000000002</v>
      </c>
      <c r="Q1160">
        <v>9.25</v>
      </c>
      <c r="R1160">
        <v>366.50900000000001</v>
      </c>
      <c r="S1160">
        <v>4.9112030808000001E-2</v>
      </c>
      <c r="T1160" s="4" t="s">
        <v>3272</v>
      </c>
    </row>
    <row r="1161" spans="1:20" x14ac:dyDescent="0.2">
      <c r="A1161" s="4" t="s">
        <v>3108</v>
      </c>
      <c r="B1161" s="4" t="s">
        <v>3269</v>
      </c>
      <c r="C1161" s="4" t="s">
        <v>2096</v>
      </c>
      <c r="D1161" s="4" t="s">
        <v>2236</v>
      </c>
      <c r="E1161" s="4" t="s">
        <v>3279</v>
      </c>
      <c r="F1161" s="4" t="s">
        <v>3271</v>
      </c>
      <c r="G1161" s="4" t="s">
        <v>3108</v>
      </c>
      <c r="H1161" s="4" t="s">
        <v>2183</v>
      </c>
      <c r="I1161" s="4" t="s">
        <v>2100</v>
      </c>
      <c r="J1161" s="4" t="s">
        <v>2464</v>
      </c>
      <c r="K1161">
        <v>19</v>
      </c>
      <c r="L1161">
        <v>5.7911999999999999</v>
      </c>
      <c r="M1161">
        <v>38.1</v>
      </c>
      <c r="N1161">
        <v>234.95</v>
      </c>
      <c r="O1161">
        <v>228</v>
      </c>
      <c r="P1161">
        <v>1.5000000000000002</v>
      </c>
      <c r="Q1161">
        <v>9.25</v>
      </c>
      <c r="R1161">
        <v>366.50900000000001</v>
      </c>
      <c r="S1161">
        <v>5.1840476964000001E-2</v>
      </c>
      <c r="T1161" s="4" t="s">
        <v>3272</v>
      </c>
    </row>
    <row r="1162" spans="1:20" x14ac:dyDescent="0.2">
      <c r="A1162" s="4" t="s">
        <v>3108</v>
      </c>
      <c r="B1162" s="4" t="s">
        <v>3269</v>
      </c>
      <c r="C1162" s="4" t="s">
        <v>2096</v>
      </c>
      <c r="D1162" s="4" t="s">
        <v>2236</v>
      </c>
      <c r="E1162" s="4" t="s">
        <v>546</v>
      </c>
      <c r="F1162" s="4" t="s">
        <v>3271</v>
      </c>
      <c r="G1162" s="4" t="s">
        <v>3108</v>
      </c>
      <c r="H1162" s="4" t="s">
        <v>2183</v>
      </c>
      <c r="I1162" s="4" t="s">
        <v>2100</v>
      </c>
      <c r="J1162" s="4" t="s">
        <v>2464</v>
      </c>
      <c r="K1162">
        <v>20</v>
      </c>
      <c r="L1162">
        <v>6.0960000000000001</v>
      </c>
      <c r="M1162">
        <v>38.1</v>
      </c>
      <c r="N1162">
        <v>234.95</v>
      </c>
      <c r="O1162">
        <v>240</v>
      </c>
      <c r="P1162">
        <v>1.5000000000000002</v>
      </c>
      <c r="Q1162">
        <v>9.25</v>
      </c>
      <c r="R1162">
        <v>366.50900000000001</v>
      </c>
      <c r="S1162">
        <v>5.4568923120000008E-2</v>
      </c>
      <c r="T1162" s="4" t="s">
        <v>3272</v>
      </c>
    </row>
    <row r="1163" spans="1:20" x14ac:dyDescent="0.2">
      <c r="A1163" s="4" t="s">
        <v>3108</v>
      </c>
      <c r="B1163" s="4" t="s">
        <v>3269</v>
      </c>
      <c r="C1163" s="4" t="s">
        <v>2096</v>
      </c>
      <c r="D1163" s="4" t="s">
        <v>2236</v>
      </c>
      <c r="E1163" s="4" t="s">
        <v>3280</v>
      </c>
      <c r="F1163" s="4" t="s">
        <v>3271</v>
      </c>
      <c r="G1163" s="4" t="s">
        <v>3108</v>
      </c>
      <c r="H1163" s="4" t="s">
        <v>2183</v>
      </c>
      <c r="I1163" s="4" t="s">
        <v>2100</v>
      </c>
      <c r="J1163" s="4" t="s">
        <v>2464</v>
      </c>
      <c r="K1163">
        <v>21</v>
      </c>
      <c r="L1163">
        <v>6.4008000000000003</v>
      </c>
      <c r="M1163">
        <v>38.1</v>
      </c>
      <c r="N1163">
        <v>234.95</v>
      </c>
      <c r="O1163">
        <v>252.00000000000003</v>
      </c>
      <c r="P1163">
        <v>1.5000000000000002</v>
      </c>
      <c r="Q1163">
        <v>9.25</v>
      </c>
      <c r="R1163">
        <v>366.50900000000001</v>
      </c>
      <c r="S1163">
        <v>5.7297369276000001E-2</v>
      </c>
      <c r="T1163" s="4" t="s">
        <v>3272</v>
      </c>
    </row>
    <row r="1164" spans="1:20" x14ac:dyDescent="0.2">
      <c r="A1164" s="4" t="s">
        <v>3108</v>
      </c>
      <c r="B1164" s="4" t="s">
        <v>3269</v>
      </c>
      <c r="C1164" s="4" t="s">
        <v>2096</v>
      </c>
      <c r="D1164" s="4" t="s">
        <v>2236</v>
      </c>
      <c r="E1164" s="4" t="s">
        <v>3281</v>
      </c>
      <c r="F1164" s="4" t="s">
        <v>3271</v>
      </c>
      <c r="G1164" s="4" t="s">
        <v>3108</v>
      </c>
      <c r="H1164" s="4" t="s">
        <v>2183</v>
      </c>
      <c r="I1164" s="4" t="s">
        <v>2100</v>
      </c>
      <c r="J1164" s="4" t="s">
        <v>2464</v>
      </c>
      <c r="K1164">
        <v>22</v>
      </c>
      <c r="L1164">
        <v>6.7055999999999996</v>
      </c>
      <c r="M1164">
        <v>38.1</v>
      </c>
      <c r="N1164">
        <v>234.95</v>
      </c>
      <c r="O1164">
        <v>264</v>
      </c>
      <c r="P1164">
        <v>1.5000000000000002</v>
      </c>
      <c r="Q1164">
        <v>9.25</v>
      </c>
      <c r="R1164">
        <v>366.50900000000001</v>
      </c>
      <c r="S1164">
        <v>6.0025815431999995E-2</v>
      </c>
      <c r="T1164" s="4" t="s">
        <v>3272</v>
      </c>
    </row>
    <row r="1165" spans="1:20" x14ac:dyDescent="0.2">
      <c r="A1165" s="4" t="s">
        <v>3108</v>
      </c>
      <c r="B1165" s="4" t="s">
        <v>3269</v>
      </c>
      <c r="C1165" s="4" t="s">
        <v>2286</v>
      </c>
      <c r="D1165" s="4" t="s">
        <v>2236</v>
      </c>
      <c r="E1165" s="4" t="s">
        <v>3282</v>
      </c>
      <c r="F1165" s="4" t="s">
        <v>3271</v>
      </c>
      <c r="G1165" s="4" t="s">
        <v>3108</v>
      </c>
      <c r="H1165" s="4" t="s">
        <v>2183</v>
      </c>
      <c r="I1165" s="4" t="s">
        <v>2100</v>
      </c>
      <c r="J1165" s="4" t="s">
        <v>2464</v>
      </c>
      <c r="K1165">
        <v>3</v>
      </c>
      <c r="L1165">
        <v>0.91439999999999999</v>
      </c>
      <c r="M1165">
        <v>38.1</v>
      </c>
      <c r="N1165">
        <v>234.95</v>
      </c>
      <c r="O1165">
        <v>36</v>
      </c>
      <c r="P1165">
        <v>1.5000000000000002</v>
      </c>
      <c r="Q1165">
        <v>9.25</v>
      </c>
      <c r="R1165">
        <v>366.50900000000001</v>
      </c>
      <c r="S1165">
        <v>8.1853384680000002E-3</v>
      </c>
      <c r="T1165" s="4" t="s">
        <v>3283</v>
      </c>
    </row>
    <row r="1166" spans="1:20" x14ac:dyDescent="0.2">
      <c r="A1166" s="4" t="s">
        <v>3108</v>
      </c>
      <c r="B1166" s="4" t="s">
        <v>3269</v>
      </c>
      <c r="C1166" s="4" t="s">
        <v>2286</v>
      </c>
      <c r="D1166" s="4" t="s">
        <v>2236</v>
      </c>
      <c r="E1166" s="4" t="s">
        <v>3284</v>
      </c>
      <c r="F1166" s="4" t="s">
        <v>3271</v>
      </c>
      <c r="G1166" s="4" t="s">
        <v>3108</v>
      </c>
      <c r="H1166" s="4" t="s">
        <v>2183</v>
      </c>
      <c r="I1166" s="4" t="s">
        <v>2100</v>
      </c>
      <c r="J1166" s="4" t="s">
        <v>2464</v>
      </c>
      <c r="K1166">
        <v>4</v>
      </c>
      <c r="L1166">
        <v>1.2192000000000001</v>
      </c>
      <c r="M1166">
        <v>38.1</v>
      </c>
      <c r="N1166">
        <v>234.95</v>
      </c>
      <c r="O1166">
        <v>48.000000000000007</v>
      </c>
      <c r="P1166">
        <v>1.5000000000000002</v>
      </c>
      <c r="Q1166">
        <v>9.25</v>
      </c>
      <c r="R1166">
        <v>366.50900000000001</v>
      </c>
      <c r="S1166">
        <v>1.0913784624E-2</v>
      </c>
      <c r="T1166" s="4" t="s">
        <v>3283</v>
      </c>
    </row>
    <row r="1167" spans="1:20" x14ac:dyDescent="0.2">
      <c r="A1167" s="4" t="s">
        <v>3108</v>
      </c>
      <c r="B1167" s="4" t="s">
        <v>3269</v>
      </c>
      <c r="C1167" s="4" t="s">
        <v>2286</v>
      </c>
      <c r="D1167" s="4" t="s">
        <v>2236</v>
      </c>
      <c r="E1167" s="4" t="s">
        <v>3285</v>
      </c>
      <c r="F1167" s="4" t="s">
        <v>3271</v>
      </c>
      <c r="G1167" s="4" t="s">
        <v>3108</v>
      </c>
      <c r="H1167" s="4" t="s">
        <v>2183</v>
      </c>
      <c r="I1167" s="4" t="s">
        <v>2100</v>
      </c>
      <c r="J1167" s="4" t="s">
        <v>2464</v>
      </c>
      <c r="K1167">
        <v>5</v>
      </c>
      <c r="L1167">
        <v>1.524</v>
      </c>
      <c r="M1167">
        <v>38.1</v>
      </c>
      <c r="N1167">
        <v>234.95</v>
      </c>
      <c r="O1167">
        <v>60</v>
      </c>
      <c r="P1167">
        <v>1.5000000000000002</v>
      </c>
      <c r="Q1167">
        <v>9.25</v>
      </c>
      <c r="R1167">
        <v>366.50900000000001</v>
      </c>
      <c r="S1167">
        <v>1.3642230780000002E-2</v>
      </c>
      <c r="T1167" s="4" t="s">
        <v>3283</v>
      </c>
    </row>
    <row r="1168" spans="1:20" x14ac:dyDescent="0.2">
      <c r="A1168" s="4" t="s">
        <v>3108</v>
      </c>
      <c r="B1168" s="4" t="s">
        <v>3269</v>
      </c>
      <c r="C1168" s="4" t="s">
        <v>2286</v>
      </c>
      <c r="D1168" s="4" t="s">
        <v>2236</v>
      </c>
      <c r="E1168" s="4" t="s">
        <v>3286</v>
      </c>
      <c r="F1168" s="4" t="s">
        <v>3271</v>
      </c>
      <c r="G1168" s="4" t="s">
        <v>3108</v>
      </c>
      <c r="H1168" s="4" t="s">
        <v>2183</v>
      </c>
      <c r="I1168" s="4" t="s">
        <v>2100</v>
      </c>
      <c r="J1168" s="4" t="s">
        <v>2464</v>
      </c>
      <c r="K1168">
        <v>6</v>
      </c>
      <c r="L1168">
        <v>1.8288</v>
      </c>
      <c r="M1168">
        <v>38.1</v>
      </c>
      <c r="N1168">
        <v>234.95</v>
      </c>
      <c r="O1168">
        <v>72</v>
      </c>
      <c r="P1168">
        <v>1.5000000000000002</v>
      </c>
      <c r="Q1168">
        <v>9.25</v>
      </c>
      <c r="R1168">
        <v>366.50900000000001</v>
      </c>
      <c r="S1168">
        <v>1.6370676936E-2</v>
      </c>
      <c r="T1168" s="4" t="s">
        <v>3283</v>
      </c>
    </row>
    <row r="1169" spans="1:20" x14ac:dyDescent="0.2">
      <c r="A1169" s="4" t="s">
        <v>3108</v>
      </c>
      <c r="B1169" s="4" t="s">
        <v>3269</v>
      </c>
      <c r="C1169" s="4" t="s">
        <v>2286</v>
      </c>
      <c r="D1169" s="4" t="s">
        <v>2236</v>
      </c>
      <c r="E1169" s="4" t="s">
        <v>3287</v>
      </c>
      <c r="F1169" s="4" t="s">
        <v>3271</v>
      </c>
      <c r="G1169" s="4" t="s">
        <v>3108</v>
      </c>
      <c r="H1169" s="4" t="s">
        <v>2183</v>
      </c>
      <c r="I1169" s="4" t="s">
        <v>2100</v>
      </c>
      <c r="J1169" s="4" t="s">
        <v>2464</v>
      </c>
      <c r="K1169">
        <v>7</v>
      </c>
      <c r="L1169">
        <v>2.1335999999999999</v>
      </c>
      <c r="M1169">
        <v>38.1</v>
      </c>
      <c r="N1169">
        <v>234.95</v>
      </c>
      <c r="O1169">
        <v>84</v>
      </c>
      <c r="P1169">
        <v>1.5000000000000002</v>
      </c>
      <c r="Q1169">
        <v>9.25</v>
      </c>
      <c r="R1169">
        <v>366.50900000000001</v>
      </c>
      <c r="S1169">
        <v>1.9099123092E-2</v>
      </c>
      <c r="T1169" s="4" t="s">
        <v>3283</v>
      </c>
    </row>
    <row r="1170" spans="1:20" x14ac:dyDescent="0.2">
      <c r="A1170" s="4" t="s">
        <v>3108</v>
      </c>
      <c r="B1170" s="4" t="s">
        <v>3269</v>
      </c>
      <c r="C1170" s="4" t="s">
        <v>2096</v>
      </c>
      <c r="D1170" s="4" t="s">
        <v>2236</v>
      </c>
      <c r="E1170" s="4" t="s">
        <v>3288</v>
      </c>
      <c r="F1170" s="4" t="s">
        <v>3271</v>
      </c>
      <c r="G1170" s="4" t="s">
        <v>3108</v>
      </c>
      <c r="H1170" s="4" t="s">
        <v>2183</v>
      </c>
      <c r="I1170" s="4" t="s">
        <v>2100</v>
      </c>
      <c r="J1170" s="4" t="s">
        <v>2464</v>
      </c>
      <c r="K1170">
        <v>8</v>
      </c>
      <c r="L1170">
        <v>2.4384000000000001</v>
      </c>
      <c r="M1170">
        <v>38.1</v>
      </c>
      <c r="N1170">
        <v>234.95</v>
      </c>
      <c r="O1170">
        <v>96.000000000000014</v>
      </c>
      <c r="P1170">
        <v>1.5000000000000002</v>
      </c>
      <c r="Q1170">
        <v>9.25</v>
      </c>
      <c r="R1170">
        <v>366.50900000000001</v>
      </c>
      <c r="S1170">
        <v>2.1827569248000001E-2</v>
      </c>
      <c r="T1170" s="4" t="s">
        <v>3272</v>
      </c>
    </row>
    <row r="1171" spans="1:20" x14ac:dyDescent="0.2">
      <c r="A1171" s="4" t="s">
        <v>3108</v>
      </c>
      <c r="B1171" s="4" t="s">
        <v>3269</v>
      </c>
      <c r="C1171" s="4" t="s">
        <v>2096</v>
      </c>
      <c r="D1171" s="4" t="s">
        <v>2236</v>
      </c>
      <c r="E1171" s="4" t="s">
        <v>3289</v>
      </c>
      <c r="F1171" s="4" t="s">
        <v>3271</v>
      </c>
      <c r="G1171" s="4" t="s">
        <v>3108</v>
      </c>
      <c r="H1171" s="4" t="s">
        <v>2183</v>
      </c>
      <c r="I1171" s="4" t="s">
        <v>2100</v>
      </c>
      <c r="J1171" s="4" t="s">
        <v>2464</v>
      </c>
      <c r="K1171">
        <v>9</v>
      </c>
      <c r="L1171">
        <v>2.7431999999999999</v>
      </c>
      <c r="M1171">
        <v>38.1</v>
      </c>
      <c r="N1171">
        <v>234.95</v>
      </c>
      <c r="O1171">
        <v>108</v>
      </c>
      <c r="P1171">
        <v>1.5000000000000002</v>
      </c>
      <c r="Q1171">
        <v>9.25</v>
      </c>
      <c r="R1171">
        <v>366.50900000000001</v>
      </c>
      <c r="S1171">
        <v>2.4556015404000001E-2</v>
      </c>
      <c r="T1171" s="4" t="s">
        <v>3272</v>
      </c>
    </row>
    <row r="1172" spans="1:20" x14ac:dyDescent="0.2">
      <c r="A1172" s="4" t="s">
        <v>3108</v>
      </c>
      <c r="B1172" s="4" t="s">
        <v>3290</v>
      </c>
      <c r="C1172" s="4" t="s">
        <v>2096</v>
      </c>
      <c r="D1172" s="4" t="s">
        <v>2236</v>
      </c>
      <c r="E1172" s="4" t="s">
        <v>548</v>
      </c>
      <c r="F1172" s="4" t="s">
        <v>3291</v>
      </c>
      <c r="G1172" s="4" t="s">
        <v>3108</v>
      </c>
      <c r="H1172" s="4" t="s">
        <v>2183</v>
      </c>
      <c r="I1172" s="4" t="s">
        <v>2100</v>
      </c>
      <c r="J1172" s="4" t="s">
        <v>2491</v>
      </c>
      <c r="K1172">
        <v>10</v>
      </c>
      <c r="L1172">
        <v>3.048</v>
      </c>
      <c r="M1172">
        <v>38.1</v>
      </c>
      <c r="N1172">
        <v>285.75</v>
      </c>
      <c r="O1172">
        <v>120</v>
      </c>
      <c r="P1172">
        <v>1.5000000000000002</v>
      </c>
      <c r="Q1172">
        <v>11.25</v>
      </c>
      <c r="R1172">
        <v>301.35199999999998</v>
      </c>
      <c r="S1172">
        <v>3.3183804600000005E-2</v>
      </c>
      <c r="T1172" s="4" t="s">
        <v>3292</v>
      </c>
    </row>
    <row r="1173" spans="1:20" x14ac:dyDescent="0.2">
      <c r="A1173" s="4" t="s">
        <v>3108</v>
      </c>
      <c r="B1173" s="4" t="s">
        <v>3290</v>
      </c>
      <c r="C1173" s="4" t="s">
        <v>2096</v>
      </c>
      <c r="D1173" s="4" t="s">
        <v>2236</v>
      </c>
      <c r="E1173" s="4" t="s">
        <v>3293</v>
      </c>
      <c r="F1173" s="4" t="s">
        <v>3291</v>
      </c>
      <c r="G1173" s="4" t="s">
        <v>3108</v>
      </c>
      <c r="H1173" s="4" t="s">
        <v>2183</v>
      </c>
      <c r="I1173" s="4" t="s">
        <v>2100</v>
      </c>
      <c r="J1173" s="4" t="s">
        <v>2491</v>
      </c>
      <c r="K1173">
        <v>11</v>
      </c>
      <c r="L1173">
        <v>3.3527999999999998</v>
      </c>
      <c r="M1173">
        <v>38.1</v>
      </c>
      <c r="N1173">
        <v>285.75</v>
      </c>
      <c r="O1173">
        <v>132</v>
      </c>
      <c r="P1173">
        <v>1.5000000000000002</v>
      </c>
      <c r="Q1173">
        <v>11.25</v>
      </c>
      <c r="R1173">
        <v>301.35199999999998</v>
      </c>
      <c r="S1173">
        <v>3.6502185060000004E-2</v>
      </c>
      <c r="T1173" s="4" t="s">
        <v>3292</v>
      </c>
    </row>
    <row r="1174" spans="1:20" x14ac:dyDescent="0.2">
      <c r="A1174" s="4" t="s">
        <v>3108</v>
      </c>
      <c r="B1174" s="4" t="s">
        <v>3290</v>
      </c>
      <c r="C1174" s="4" t="s">
        <v>2096</v>
      </c>
      <c r="D1174" s="4" t="s">
        <v>2236</v>
      </c>
      <c r="E1174" s="4" t="s">
        <v>550</v>
      </c>
      <c r="F1174" s="4" t="s">
        <v>3291</v>
      </c>
      <c r="G1174" s="4" t="s">
        <v>3108</v>
      </c>
      <c r="H1174" s="4" t="s">
        <v>2183</v>
      </c>
      <c r="I1174" s="4" t="s">
        <v>2100</v>
      </c>
      <c r="J1174" s="4" t="s">
        <v>2491</v>
      </c>
      <c r="K1174">
        <v>12</v>
      </c>
      <c r="L1174">
        <v>3.6576</v>
      </c>
      <c r="M1174">
        <v>38.1</v>
      </c>
      <c r="N1174">
        <v>285.75</v>
      </c>
      <c r="O1174">
        <v>144</v>
      </c>
      <c r="P1174">
        <v>1.5000000000000002</v>
      </c>
      <c r="Q1174">
        <v>11.25</v>
      </c>
      <c r="R1174">
        <v>301.35199999999998</v>
      </c>
      <c r="S1174">
        <v>3.9820565519999997E-2</v>
      </c>
      <c r="T1174" s="4" t="s">
        <v>3292</v>
      </c>
    </row>
    <row r="1175" spans="1:20" x14ac:dyDescent="0.2">
      <c r="A1175" s="4" t="s">
        <v>3108</v>
      </c>
      <c r="B1175" s="4" t="s">
        <v>3290</v>
      </c>
      <c r="C1175" s="4" t="s">
        <v>2096</v>
      </c>
      <c r="D1175" s="4" t="s">
        <v>2236</v>
      </c>
      <c r="E1175" s="4" t="s">
        <v>3294</v>
      </c>
      <c r="F1175" s="4" t="s">
        <v>3291</v>
      </c>
      <c r="G1175" s="4" t="s">
        <v>3108</v>
      </c>
      <c r="H1175" s="4" t="s">
        <v>2183</v>
      </c>
      <c r="I1175" s="4" t="s">
        <v>2100</v>
      </c>
      <c r="J1175" s="4" t="s">
        <v>2491</v>
      </c>
      <c r="K1175">
        <v>13</v>
      </c>
      <c r="L1175">
        <v>3.9624000000000001</v>
      </c>
      <c r="M1175">
        <v>38.1</v>
      </c>
      <c r="N1175">
        <v>285.75</v>
      </c>
      <c r="O1175">
        <v>156</v>
      </c>
      <c r="P1175">
        <v>1.5000000000000002</v>
      </c>
      <c r="Q1175">
        <v>11.25</v>
      </c>
      <c r="R1175">
        <v>301.35199999999998</v>
      </c>
      <c r="S1175">
        <v>4.3138945980000003E-2</v>
      </c>
      <c r="T1175" s="4" t="s">
        <v>3292</v>
      </c>
    </row>
    <row r="1176" spans="1:20" x14ac:dyDescent="0.2">
      <c r="A1176" s="4" t="s">
        <v>3108</v>
      </c>
      <c r="B1176" s="4" t="s">
        <v>3290</v>
      </c>
      <c r="C1176" s="4" t="s">
        <v>2096</v>
      </c>
      <c r="D1176" s="4" t="s">
        <v>2236</v>
      </c>
      <c r="E1176" s="4" t="s">
        <v>552</v>
      </c>
      <c r="F1176" s="4" t="s">
        <v>3291</v>
      </c>
      <c r="G1176" s="4" t="s">
        <v>3108</v>
      </c>
      <c r="H1176" s="4" t="s">
        <v>2183</v>
      </c>
      <c r="I1176" s="4" t="s">
        <v>2100</v>
      </c>
      <c r="J1176" s="4" t="s">
        <v>2491</v>
      </c>
      <c r="K1176">
        <v>14</v>
      </c>
      <c r="L1176">
        <v>4.2671999999999999</v>
      </c>
      <c r="M1176">
        <v>38.1</v>
      </c>
      <c r="N1176">
        <v>285.75</v>
      </c>
      <c r="O1176">
        <v>168</v>
      </c>
      <c r="P1176">
        <v>1.5000000000000002</v>
      </c>
      <c r="Q1176">
        <v>11.25</v>
      </c>
      <c r="R1176">
        <v>301.35199999999998</v>
      </c>
      <c r="S1176">
        <v>4.6457326440000002E-2</v>
      </c>
      <c r="T1176" s="4" t="s">
        <v>3292</v>
      </c>
    </row>
    <row r="1177" spans="1:20" x14ac:dyDescent="0.2">
      <c r="A1177" s="4" t="s">
        <v>3108</v>
      </c>
      <c r="B1177" s="4" t="s">
        <v>3290</v>
      </c>
      <c r="C1177" s="4" t="s">
        <v>2096</v>
      </c>
      <c r="D1177" s="4" t="s">
        <v>2236</v>
      </c>
      <c r="E1177" s="4" t="s">
        <v>3295</v>
      </c>
      <c r="F1177" s="4" t="s">
        <v>3291</v>
      </c>
      <c r="G1177" s="4" t="s">
        <v>3108</v>
      </c>
      <c r="H1177" s="4" t="s">
        <v>2183</v>
      </c>
      <c r="I1177" s="4" t="s">
        <v>2100</v>
      </c>
      <c r="J1177" s="4" t="s">
        <v>2491</v>
      </c>
      <c r="K1177">
        <v>15</v>
      </c>
      <c r="L1177">
        <v>4.5720000000000001</v>
      </c>
      <c r="M1177">
        <v>38.1</v>
      </c>
      <c r="N1177">
        <v>285.75</v>
      </c>
      <c r="O1177">
        <v>180</v>
      </c>
      <c r="P1177">
        <v>1.5000000000000002</v>
      </c>
      <c r="Q1177">
        <v>11.25</v>
      </c>
      <c r="R1177">
        <v>301.35199999999998</v>
      </c>
      <c r="S1177">
        <v>4.9775706900000001E-2</v>
      </c>
      <c r="T1177" s="4" t="s">
        <v>3292</v>
      </c>
    </row>
    <row r="1178" spans="1:20" x14ac:dyDescent="0.2">
      <c r="A1178" s="4" t="s">
        <v>3108</v>
      </c>
      <c r="B1178" s="4" t="s">
        <v>3290</v>
      </c>
      <c r="C1178" s="4" t="s">
        <v>2096</v>
      </c>
      <c r="D1178" s="4" t="s">
        <v>2236</v>
      </c>
      <c r="E1178" s="4" t="s">
        <v>554</v>
      </c>
      <c r="F1178" s="4" t="s">
        <v>3291</v>
      </c>
      <c r="G1178" s="4" t="s">
        <v>3108</v>
      </c>
      <c r="H1178" s="4" t="s">
        <v>2183</v>
      </c>
      <c r="I1178" s="4" t="s">
        <v>2100</v>
      </c>
      <c r="J1178" s="4" t="s">
        <v>2491</v>
      </c>
      <c r="K1178">
        <v>16</v>
      </c>
      <c r="L1178">
        <v>4.8768000000000002</v>
      </c>
      <c r="M1178">
        <v>38.1</v>
      </c>
      <c r="N1178">
        <v>285.75</v>
      </c>
      <c r="O1178">
        <v>192.00000000000003</v>
      </c>
      <c r="P1178">
        <v>1.5000000000000002</v>
      </c>
      <c r="Q1178">
        <v>11.25</v>
      </c>
      <c r="R1178">
        <v>301.35199999999998</v>
      </c>
      <c r="S1178">
        <v>5.309408736E-2</v>
      </c>
      <c r="T1178" s="4" t="s">
        <v>3292</v>
      </c>
    </row>
    <row r="1179" spans="1:20" x14ac:dyDescent="0.2">
      <c r="A1179" s="4" t="s">
        <v>3108</v>
      </c>
      <c r="B1179" s="4" t="s">
        <v>3290</v>
      </c>
      <c r="C1179" s="4" t="s">
        <v>2096</v>
      </c>
      <c r="D1179" s="4" t="s">
        <v>2236</v>
      </c>
      <c r="E1179" s="4" t="s">
        <v>3296</v>
      </c>
      <c r="F1179" s="4" t="s">
        <v>3291</v>
      </c>
      <c r="G1179" s="4" t="s">
        <v>3108</v>
      </c>
      <c r="H1179" s="4" t="s">
        <v>2183</v>
      </c>
      <c r="I1179" s="4" t="s">
        <v>2100</v>
      </c>
      <c r="J1179" s="4" t="s">
        <v>2491</v>
      </c>
      <c r="K1179">
        <v>17</v>
      </c>
      <c r="L1179">
        <v>5.1816000000000004</v>
      </c>
      <c r="M1179">
        <v>38.1</v>
      </c>
      <c r="N1179">
        <v>285.75</v>
      </c>
      <c r="O1179">
        <v>204.00000000000003</v>
      </c>
      <c r="P1179">
        <v>1.5000000000000002</v>
      </c>
      <c r="Q1179">
        <v>11.25</v>
      </c>
      <c r="R1179">
        <v>301.35199999999998</v>
      </c>
      <c r="S1179">
        <v>5.6412467820000013E-2</v>
      </c>
      <c r="T1179" s="4" t="s">
        <v>3292</v>
      </c>
    </row>
    <row r="1180" spans="1:20" x14ac:dyDescent="0.2">
      <c r="A1180" s="4" t="s">
        <v>3108</v>
      </c>
      <c r="B1180" s="4" t="s">
        <v>3290</v>
      </c>
      <c r="C1180" s="4" t="s">
        <v>2096</v>
      </c>
      <c r="D1180" s="4" t="s">
        <v>2236</v>
      </c>
      <c r="E1180" s="4" t="s">
        <v>555</v>
      </c>
      <c r="F1180" s="4" t="s">
        <v>3291</v>
      </c>
      <c r="G1180" s="4" t="s">
        <v>3108</v>
      </c>
      <c r="H1180" s="4" t="s">
        <v>2183</v>
      </c>
      <c r="I1180" s="4" t="s">
        <v>2100</v>
      </c>
      <c r="J1180" s="4" t="s">
        <v>2491</v>
      </c>
      <c r="K1180">
        <v>18</v>
      </c>
      <c r="L1180">
        <v>5.4863999999999997</v>
      </c>
      <c r="M1180">
        <v>38.1</v>
      </c>
      <c r="N1180">
        <v>285.75</v>
      </c>
      <c r="O1180">
        <v>216</v>
      </c>
      <c r="P1180">
        <v>1.5000000000000002</v>
      </c>
      <c r="Q1180">
        <v>11.25</v>
      </c>
      <c r="R1180">
        <v>301.35199999999998</v>
      </c>
      <c r="S1180">
        <v>5.9730848279999998E-2</v>
      </c>
      <c r="T1180" s="4" t="s">
        <v>3292</v>
      </c>
    </row>
    <row r="1181" spans="1:20" x14ac:dyDescent="0.2">
      <c r="A1181" s="4" t="s">
        <v>3108</v>
      </c>
      <c r="B1181" s="4" t="s">
        <v>3290</v>
      </c>
      <c r="C1181" s="4" t="s">
        <v>2096</v>
      </c>
      <c r="D1181" s="4" t="s">
        <v>2236</v>
      </c>
      <c r="E1181" s="4" t="s">
        <v>3297</v>
      </c>
      <c r="F1181" s="4" t="s">
        <v>3291</v>
      </c>
      <c r="G1181" s="4" t="s">
        <v>3108</v>
      </c>
      <c r="H1181" s="4" t="s">
        <v>2183</v>
      </c>
      <c r="I1181" s="4" t="s">
        <v>2100</v>
      </c>
      <c r="J1181" s="4" t="s">
        <v>2491</v>
      </c>
      <c r="K1181">
        <v>19</v>
      </c>
      <c r="L1181">
        <v>5.7911999999999999</v>
      </c>
      <c r="M1181">
        <v>38.1</v>
      </c>
      <c r="N1181">
        <v>285.75</v>
      </c>
      <c r="O1181">
        <v>228</v>
      </c>
      <c r="P1181">
        <v>1.5000000000000002</v>
      </c>
      <c r="Q1181">
        <v>11.25</v>
      </c>
      <c r="R1181">
        <v>301.35199999999998</v>
      </c>
      <c r="S1181">
        <v>6.3049228740000005E-2</v>
      </c>
      <c r="T1181" s="4" t="s">
        <v>3292</v>
      </c>
    </row>
    <row r="1182" spans="1:20" x14ac:dyDescent="0.2">
      <c r="A1182" s="4" t="s">
        <v>3108</v>
      </c>
      <c r="B1182" s="4" t="s">
        <v>3290</v>
      </c>
      <c r="C1182" s="4" t="s">
        <v>2096</v>
      </c>
      <c r="D1182" s="4" t="s">
        <v>2236</v>
      </c>
      <c r="E1182" s="4" t="s">
        <v>557</v>
      </c>
      <c r="F1182" s="4" t="s">
        <v>3291</v>
      </c>
      <c r="G1182" s="4" t="s">
        <v>3108</v>
      </c>
      <c r="H1182" s="4" t="s">
        <v>2183</v>
      </c>
      <c r="I1182" s="4" t="s">
        <v>2100</v>
      </c>
      <c r="J1182" s="4" t="s">
        <v>2491</v>
      </c>
      <c r="K1182">
        <v>20</v>
      </c>
      <c r="L1182">
        <v>6.0960000000000001</v>
      </c>
      <c r="M1182">
        <v>38.1</v>
      </c>
      <c r="N1182">
        <v>285.75</v>
      </c>
      <c r="O1182">
        <v>240</v>
      </c>
      <c r="P1182">
        <v>1.5000000000000002</v>
      </c>
      <c r="Q1182">
        <v>11.25</v>
      </c>
      <c r="R1182">
        <v>301.35199999999998</v>
      </c>
      <c r="S1182">
        <v>6.6367609200000011E-2</v>
      </c>
      <c r="T1182" s="4" t="s">
        <v>3292</v>
      </c>
    </row>
    <row r="1183" spans="1:20" x14ac:dyDescent="0.2">
      <c r="A1183" s="4" t="s">
        <v>3108</v>
      </c>
      <c r="B1183" s="4" t="s">
        <v>3290</v>
      </c>
      <c r="C1183" s="4" t="s">
        <v>2096</v>
      </c>
      <c r="D1183" s="4" t="s">
        <v>2236</v>
      </c>
      <c r="E1183" s="4" t="s">
        <v>3298</v>
      </c>
      <c r="F1183" s="4" t="s">
        <v>3291</v>
      </c>
      <c r="G1183" s="4" t="s">
        <v>3108</v>
      </c>
      <c r="H1183" s="4" t="s">
        <v>2183</v>
      </c>
      <c r="I1183" s="4" t="s">
        <v>2100</v>
      </c>
      <c r="J1183" s="4" t="s">
        <v>2491</v>
      </c>
      <c r="K1183">
        <v>21</v>
      </c>
      <c r="L1183">
        <v>6.4008000000000003</v>
      </c>
      <c r="M1183">
        <v>38.1</v>
      </c>
      <c r="N1183">
        <v>285.75</v>
      </c>
      <c r="O1183">
        <v>252.00000000000003</v>
      </c>
      <c r="P1183">
        <v>1.5000000000000002</v>
      </c>
      <c r="Q1183">
        <v>11.25</v>
      </c>
      <c r="R1183">
        <v>301.35199999999998</v>
      </c>
      <c r="S1183">
        <v>6.9685989660000003E-2</v>
      </c>
      <c r="T1183" s="4" t="s">
        <v>3292</v>
      </c>
    </row>
    <row r="1184" spans="1:20" x14ac:dyDescent="0.2">
      <c r="A1184" s="4" t="s">
        <v>3108</v>
      </c>
      <c r="B1184" s="4" t="s">
        <v>3290</v>
      </c>
      <c r="C1184" s="4" t="s">
        <v>2096</v>
      </c>
      <c r="D1184" s="4" t="s">
        <v>2236</v>
      </c>
      <c r="E1184" s="4" t="s">
        <v>1931</v>
      </c>
      <c r="F1184" s="4" t="s">
        <v>3291</v>
      </c>
      <c r="G1184" s="4" t="s">
        <v>3108</v>
      </c>
      <c r="H1184" s="4" t="s">
        <v>2183</v>
      </c>
      <c r="I1184" s="4" t="s">
        <v>2100</v>
      </c>
      <c r="J1184" s="4" t="s">
        <v>2491</v>
      </c>
      <c r="K1184">
        <v>22</v>
      </c>
      <c r="L1184">
        <v>6.7055999999999996</v>
      </c>
      <c r="M1184">
        <v>38.1</v>
      </c>
      <c r="N1184">
        <v>285.75</v>
      </c>
      <c r="O1184">
        <v>264</v>
      </c>
      <c r="P1184">
        <v>1.5000000000000002</v>
      </c>
      <c r="Q1184">
        <v>11.25</v>
      </c>
      <c r="R1184">
        <v>301.35199999999998</v>
      </c>
      <c r="S1184">
        <v>7.3004370120000009E-2</v>
      </c>
      <c r="T1184" s="4" t="s">
        <v>3292</v>
      </c>
    </row>
    <row r="1185" spans="1:20" x14ac:dyDescent="0.2">
      <c r="A1185" s="4" t="s">
        <v>3108</v>
      </c>
      <c r="B1185" s="4" t="s">
        <v>3290</v>
      </c>
      <c r="C1185" s="4" t="s">
        <v>2096</v>
      </c>
      <c r="D1185" s="4" t="s">
        <v>2236</v>
      </c>
      <c r="E1185" s="4" t="s">
        <v>1933</v>
      </c>
      <c r="F1185" s="4" t="s">
        <v>3291</v>
      </c>
      <c r="G1185" s="4" t="s">
        <v>3108</v>
      </c>
      <c r="H1185" s="4" t="s">
        <v>2183</v>
      </c>
      <c r="I1185" s="4" t="s">
        <v>2100</v>
      </c>
      <c r="J1185" s="4" t="s">
        <v>2491</v>
      </c>
      <c r="K1185">
        <v>24</v>
      </c>
      <c r="L1185">
        <v>7.3152000000000008</v>
      </c>
      <c r="M1185">
        <v>38.1</v>
      </c>
      <c r="N1185">
        <v>285.75</v>
      </c>
      <c r="O1185">
        <v>288.00000000000006</v>
      </c>
      <c r="P1185">
        <v>1.5000000000000002</v>
      </c>
      <c r="Q1185">
        <v>11.25</v>
      </c>
      <c r="R1185">
        <v>301.35199999999998</v>
      </c>
      <c r="S1185">
        <v>7.9641131040000007E-2</v>
      </c>
      <c r="T1185" s="4" t="s">
        <v>3292</v>
      </c>
    </row>
    <row r="1186" spans="1:20" x14ac:dyDescent="0.2">
      <c r="A1186" s="4" t="s">
        <v>3108</v>
      </c>
      <c r="B1186" s="4" t="s">
        <v>3290</v>
      </c>
      <c r="C1186" s="4" t="s">
        <v>2286</v>
      </c>
      <c r="D1186" s="4" t="s">
        <v>2236</v>
      </c>
      <c r="E1186" s="4" t="s">
        <v>3299</v>
      </c>
      <c r="F1186" s="4" t="s">
        <v>3291</v>
      </c>
      <c r="G1186" s="4" t="s">
        <v>3108</v>
      </c>
      <c r="H1186" s="4" t="s">
        <v>2183</v>
      </c>
      <c r="I1186" s="4" t="s">
        <v>2100</v>
      </c>
      <c r="J1186" s="4" t="s">
        <v>2491</v>
      </c>
      <c r="K1186">
        <v>3</v>
      </c>
      <c r="L1186">
        <v>0.91439999999999999</v>
      </c>
      <c r="M1186">
        <v>38.1</v>
      </c>
      <c r="N1186">
        <v>285.75</v>
      </c>
      <c r="O1186">
        <v>36</v>
      </c>
      <c r="P1186">
        <v>1.5000000000000002</v>
      </c>
      <c r="Q1186">
        <v>11.25</v>
      </c>
      <c r="R1186">
        <v>301.35199999999998</v>
      </c>
      <c r="S1186">
        <v>9.9551413799999992E-3</v>
      </c>
      <c r="T1186" s="4" t="s">
        <v>3300</v>
      </c>
    </row>
    <row r="1187" spans="1:20" x14ac:dyDescent="0.2">
      <c r="A1187" s="4" t="s">
        <v>3108</v>
      </c>
      <c r="B1187" s="4" t="s">
        <v>3290</v>
      </c>
      <c r="C1187" s="4" t="s">
        <v>2286</v>
      </c>
      <c r="D1187" s="4" t="s">
        <v>2236</v>
      </c>
      <c r="E1187" s="4" t="s">
        <v>3301</v>
      </c>
      <c r="F1187" s="4" t="s">
        <v>3291</v>
      </c>
      <c r="G1187" s="4" t="s">
        <v>3108</v>
      </c>
      <c r="H1187" s="4" t="s">
        <v>2183</v>
      </c>
      <c r="I1187" s="4" t="s">
        <v>2100</v>
      </c>
      <c r="J1187" s="4" t="s">
        <v>2491</v>
      </c>
      <c r="K1187">
        <v>4</v>
      </c>
      <c r="L1187">
        <v>1.2192000000000001</v>
      </c>
      <c r="M1187">
        <v>38.1</v>
      </c>
      <c r="N1187">
        <v>285.75</v>
      </c>
      <c r="O1187">
        <v>48.000000000000007</v>
      </c>
      <c r="P1187">
        <v>1.5000000000000002</v>
      </c>
      <c r="Q1187">
        <v>11.25</v>
      </c>
      <c r="R1187">
        <v>301.35199999999998</v>
      </c>
      <c r="S1187">
        <v>1.327352184E-2</v>
      </c>
      <c r="T1187" s="4" t="s">
        <v>3300</v>
      </c>
    </row>
    <row r="1188" spans="1:20" x14ac:dyDescent="0.2">
      <c r="A1188" s="4" t="s">
        <v>3108</v>
      </c>
      <c r="B1188" s="4" t="s">
        <v>3290</v>
      </c>
      <c r="C1188" s="4" t="s">
        <v>2286</v>
      </c>
      <c r="D1188" s="4" t="s">
        <v>2236</v>
      </c>
      <c r="E1188" s="4" t="s">
        <v>3302</v>
      </c>
      <c r="F1188" s="4" t="s">
        <v>3291</v>
      </c>
      <c r="G1188" s="4" t="s">
        <v>3108</v>
      </c>
      <c r="H1188" s="4" t="s">
        <v>2183</v>
      </c>
      <c r="I1188" s="4" t="s">
        <v>2100</v>
      </c>
      <c r="J1188" s="4" t="s">
        <v>2491</v>
      </c>
      <c r="K1188">
        <v>5</v>
      </c>
      <c r="L1188">
        <v>1.524</v>
      </c>
      <c r="M1188">
        <v>38.1</v>
      </c>
      <c r="N1188">
        <v>285.75</v>
      </c>
      <c r="O1188">
        <v>60</v>
      </c>
      <c r="P1188">
        <v>1.5000000000000002</v>
      </c>
      <c r="Q1188">
        <v>11.25</v>
      </c>
      <c r="R1188">
        <v>301.35199999999998</v>
      </c>
      <c r="S1188">
        <v>1.6591902300000003E-2</v>
      </c>
      <c r="T1188" s="4" t="s">
        <v>3300</v>
      </c>
    </row>
    <row r="1189" spans="1:20" x14ac:dyDescent="0.2">
      <c r="A1189" s="4" t="s">
        <v>3108</v>
      </c>
      <c r="B1189" s="4" t="s">
        <v>3290</v>
      </c>
      <c r="C1189" s="4" t="s">
        <v>2286</v>
      </c>
      <c r="D1189" s="4" t="s">
        <v>2236</v>
      </c>
      <c r="E1189" s="4" t="s">
        <v>3303</v>
      </c>
      <c r="F1189" s="4" t="s">
        <v>3291</v>
      </c>
      <c r="G1189" s="4" t="s">
        <v>3108</v>
      </c>
      <c r="H1189" s="4" t="s">
        <v>2183</v>
      </c>
      <c r="I1189" s="4" t="s">
        <v>2100</v>
      </c>
      <c r="J1189" s="4" t="s">
        <v>2491</v>
      </c>
      <c r="K1189">
        <v>6</v>
      </c>
      <c r="L1189">
        <v>1.8288</v>
      </c>
      <c r="M1189">
        <v>38.1</v>
      </c>
      <c r="N1189">
        <v>285.75</v>
      </c>
      <c r="O1189">
        <v>72</v>
      </c>
      <c r="P1189">
        <v>1.5000000000000002</v>
      </c>
      <c r="Q1189">
        <v>11.25</v>
      </c>
      <c r="R1189">
        <v>301.35199999999998</v>
      </c>
      <c r="S1189">
        <v>1.9910282759999998E-2</v>
      </c>
      <c r="T1189" s="4" t="s">
        <v>3300</v>
      </c>
    </row>
    <row r="1190" spans="1:20" x14ac:dyDescent="0.2">
      <c r="A1190" s="4" t="s">
        <v>3108</v>
      </c>
      <c r="B1190" s="4" t="s">
        <v>3290</v>
      </c>
      <c r="C1190" s="4" t="s">
        <v>2286</v>
      </c>
      <c r="D1190" s="4" t="s">
        <v>2236</v>
      </c>
      <c r="E1190" s="4" t="s">
        <v>3304</v>
      </c>
      <c r="F1190" s="4" t="s">
        <v>3291</v>
      </c>
      <c r="G1190" s="4" t="s">
        <v>3108</v>
      </c>
      <c r="H1190" s="4" t="s">
        <v>2183</v>
      </c>
      <c r="I1190" s="4" t="s">
        <v>2100</v>
      </c>
      <c r="J1190" s="4" t="s">
        <v>2491</v>
      </c>
      <c r="K1190">
        <v>7</v>
      </c>
      <c r="L1190">
        <v>2.1335999999999999</v>
      </c>
      <c r="M1190">
        <v>38.1</v>
      </c>
      <c r="N1190">
        <v>285.75</v>
      </c>
      <c r="O1190">
        <v>84</v>
      </c>
      <c r="P1190">
        <v>1.5000000000000002</v>
      </c>
      <c r="Q1190">
        <v>11.25</v>
      </c>
      <c r="R1190">
        <v>301.35199999999998</v>
      </c>
      <c r="S1190">
        <v>2.3228663220000001E-2</v>
      </c>
      <c r="T1190" s="4" t="s">
        <v>3300</v>
      </c>
    </row>
    <row r="1191" spans="1:20" x14ac:dyDescent="0.2">
      <c r="A1191" s="4" t="s">
        <v>3108</v>
      </c>
      <c r="B1191" s="4" t="s">
        <v>3290</v>
      </c>
      <c r="C1191" s="4" t="s">
        <v>2096</v>
      </c>
      <c r="D1191" s="4" t="s">
        <v>2236</v>
      </c>
      <c r="E1191" s="4" t="s">
        <v>559</v>
      </c>
      <c r="F1191" s="4" t="s">
        <v>3291</v>
      </c>
      <c r="G1191" s="4" t="s">
        <v>3108</v>
      </c>
      <c r="H1191" s="4" t="s">
        <v>2183</v>
      </c>
      <c r="I1191" s="4" t="s">
        <v>2100</v>
      </c>
      <c r="J1191" s="4" t="s">
        <v>2491</v>
      </c>
      <c r="K1191">
        <v>8</v>
      </c>
      <c r="L1191">
        <v>2.4384000000000001</v>
      </c>
      <c r="M1191">
        <v>38.1</v>
      </c>
      <c r="N1191">
        <v>285.75</v>
      </c>
      <c r="O1191">
        <v>96.000000000000014</v>
      </c>
      <c r="P1191">
        <v>1.5000000000000002</v>
      </c>
      <c r="Q1191">
        <v>11.25</v>
      </c>
      <c r="R1191">
        <v>301.35199999999998</v>
      </c>
      <c r="S1191">
        <v>2.654704368E-2</v>
      </c>
      <c r="T1191" s="4" t="s">
        <v>3292</v>
      </c>
    </row>
    <row r="1192" spans="1:20" x14ac:dyDescent="0.2">
      <c r="A1192" s="4" t="s">
        <v>3108</v>
      </c>
      <c r="B1192" s="4" t="s">
        <v>3290</v>
      </c>
      <c r="C1192" s="4" t="s">
        <v>2096</v>
      </c>
      <c r="D1192" s="4" t="s">
        <v>2236</v>
      </c>
      <c r="E1192" s="4" t="s">
        <v>3305</v>
      </c>
      <c r="F1192" s="4" t="s">
        <v>3291</v>
      </c>
      <c r="G1192" s="4" t="s">
        <v>3108</v>
      </c>
      <c r="H1192" s="4" t="s">
        <v>2183</v>
      </c>
      <c r="I1192" s="4" t="s">
        <v>2100</v>
      </c>
      <c r="J1192" s="4" t="s">
        <v>2491</v>
      </c>
      <c r="K1192">
        <v>9</v>
      </c>
      <c r="L1192">
        <v>2.7431999999999999</v>
      </c>
      <c r="M1192">
        <v>38.1</v>
      </c>
      <c r="N1192">
        <v>285.75</v>
      </c>
      <c r="O1192">
        <v>108</v>
      </c>
      <c r="P1192">
        <v>1.5000000000000002</v>
      </c>
      <c r="Q1192">
        <v>11.25</v>
      </c>
      <c r="R1192">
        <v>301.35199999999998</v>
      </c>
      <c r="S1192">
        <v>2.9865424139999999E-2</v>
      </c>
      <c r="T1192" s="4" t="s">
        <v>3292</v>
      </c>
    </row>
    <row r="1193" spans="1:20" x14ac:dyDescent="0.2">
      <c r="A1193" s="4" t="s">
        <v>3108</v>
      </c>
      <c r="B1193" s="4" t="s">
        <v>3306</v>
      </c>
      <c r="C1193" s="4" t="s">
        <v>2096</v>
      </c>
      <c r="D1193" s="4" t="s">
        <v>2236</v>
      </c>
      <c r="E1193" s="4" t="s">
        <v>561</v>
      </c>
      <c r="F1193" s="4" t="s">
        <v>3307</v>
      </c>
      <c r="G1193" s="4" t="s">
        <v>3108</v>
      </c>
      <c r="H1193" s="4" t="s">
        <v>2183</v>
      </c>
      <c r="I1193" s="4" t="s">
        <v>2100</v>
      </c>
      <c r="J1193" s="4" t="s">
        <v>2518</v>
      </c>
      <c r="K1193">
        <v>10</v>
      </c>
      <c r="L1193">
        <v>3.048</v>
      </c>
      <c r="M1193">
        <v>38.1</v>
      </c>
      <c r="N1193">
        <v>38.1</v>
      </c>
      <c r="O1193">
        <v>120</v>
      </c>
      <c r="P1193">
        <v>1.5000000000000002</v>
      </c>
      <c r="Q1193">
        <v>1.5000000000000002</v>
      </c>
      <c r="R1193">
        <v>2260.1390000000001</v>
      </c>
      <c r="S1193">
        <v>4.4245072800000009E-3</v>
      </c>
      <c r="T1193" s="4" t="s">
        <v>3308</v>
      </c>
    </row>
    <row r="1194" spans="1:20" x14ac:dyDescent="0.2">
      <c r="A1194" s="4" t="s">
        <v>3108</v>
      </c>
      <c r="B1194" s="4" t="s">
        <v>3306</v>
      </c>
      <c r="C1194" s="4" t="s">
        <v>2096</v>
      </c>
      <c r="D1194" s="4" t="s">
        <v>2236</v>
      </c>
      <c r="E1194" s="4" t="s">
        <v>3309</v>
      </c>
      <c r="F1194" s="4" t="s">
        <v>3307</v>
      </c>
      <c r="G1194" s="4" t="s">
        <v>3108</v>
      </c>
      <c r="H1194" s="4" t="s">
        <v>2183</v>
      </c>
      <c r="I1194" s="4" t="s">
        <v>2100</v>
      </c>
      <c r="J1194" s="4" t="s">
        <v>2518</v>
      </c>
      <c r="K1194">
        <v>11</v>
      </c>
      <c r="L1194">
        <v>3.3527999999999998</v>
      </c>
      <c r="M1194">
        <v>38.1</v>
      </c>
      <c r="N1194">
        <v>38.1</v>
      </c>
      <c r="O1194">
        <v>132</v>
      </c>
      <c r="P1194">
        <v>1.5000000000000002</v>
      </c>
      <c r="Q1194">
        <v>1.5000000000000002</v>
      </c>
      <c r="R1194">
        <v>2260.1390000000001</v>
      </c>
      <c r="S1194">
        <v>4.8669580080000002E-3</v>
      </c>
      <c r="T1194" s="4" t="s">
        <v>3308</v>
      </c>
    </row>
    <row r="1195" spans="1:20" x14ac:dyDescent="0.2">
      <c r="A1195" s="4" t="s">
        <v>3108</v>
      </c>
      <c r="B1195" s="4" t="s">
        <v>3306</v>
      </c>
      <c r="C1195" s="4" t="s">
        <v>2096</v>
      </c>
      <c r="D1195" s="4" t="s">
        <v>2236</v>
      </c>
      <c r="E1195" s="4" t="s">
        <v>563</v>
      </c>
      <c r="F1195" s="4" t="s">
        <v>3307</v>
      </c>
      <c r="G1195" s="4" t="s">
        <v>3108</v>
      </c>
      <c r="H1195" s="4" t="s">
        <v>2183</v>
      </c>
      <c r="I1195" s="4" t="s">
        <v>2100</v>
      </c>
      <c r="J1195" s="4" t="s">
        <v>2518</v>
      </c>
      <c r="K1195">
        <v>12</v>
      </c>
      <c r="L1195">
        <v>3.6576</v>
      </c>
      <c r="M1195">
        <v>38.1</v>
      </c>
      <c r="N1195">
        <v>38.1</v>
      </c>
      <c r="O1195">
        <v>144</v>
      </c>
      <c r="P1195">
        <v>1.5000000000000002</v>
      </c>
      <c r="Q1195">
        <v>1.5000000000000002</v>
      </c>
      <c r="R1195">
        <v>2260.1390000000001</v>
      </c>
      <c r="S1195">
        <v>5.3094087360000004E-3</v>
      </c>
      <c r="T1195" s="4" t="s">
        <v>3308</v>
      </c>
    </row>
    <row r="1196" spans="1:20" x14ac:dyDescent="0.2">
      <c r="A1196" s="4" t="s">
        <v>3108</v>
      </c>
      <c r="B1196" s="4" t="s">
        <v>3306</v>
      </c>
      <c r="C1196" s="4" t="s">
        <v>2096</v>
      </c>
      <c r="D1196" s="4" t="s">
        <v>2236</v>
      </c>
      <c r="E1196" s="4" t="s">
        <v>3310</v>
      </c>
      <c r="F1196" s="4" t="s">
        <v>3307</v>
      </c>
      <c r="G1196" s="4" t="s">
        <v>3108</v>
      </c>
      <c r="H1196" s="4" t="s">
        <v>2183</v>
      </c>
      <c r="I1196" s="4" t="s">
        <v>2100</v>
      </c>
      <c r="J1196" s="4" t="s">
        <v>2518</v>
      </c>
      <c r="K1196">
        <v>13</v>
      </c>
      <c r="L1196">
        <v>3.9624000000000001</v>
      </c>
      <c r="M1196">
        <v>38.1</v>
      </c>
      <c r="N1196">
        <v>38.1</v>
      </c>
      <c r="O1196">
        <v>156</v>
      </c>
      <c r="P1196">
        <v>1.5000000000000002</v>
      </c>
      <c r="Q1196">
        <v>1.5000000000000002</v>
      </c>
      <c r="R1196">
        <v>2260.1390000000001</v>
      </c>
      <c r="S1196">
        <v>5.7518594640000005E-3</v>
      </c>
      <c r="T1196" s="4" t="s">
        <v>3308</v>
      </c>
    </row>
    <row r="1197" spans="1:20" x14ac:dyDescent="0.2">
      <c r="A1197" s="4" t="s">
        <v>3108</v>
      </c>
      <c r="B1197" s="4" t="s">
        <v>3306</v>
      </c>
      <c r="C1197" s="4" t="s">
        <v>2096</v>
      </c>
      <c r="D1197" s="4" t="s">
        <v>2236</v>
      </c>
      <c r="E1197" s="4" t="s">
        <v>565</v>
      </c>
      <c r="F1197" s="4" t="s">
        <v>3307</v>
      </c>
      <c r="G1197" s="4" t="s">
        <v>3108</v>
      </c>
      <c r="H1197" s="4" t="s">
        <v>2183</v>
      </c>
      <c r="I1197" s="4" t="s">
        <v>2100</v>
      </c>
      <c r="J1197" s="4" t="s">
        <v>2518</v>
      </c>
      <c r="K1197">
        <v>14</v>
      </c>
      <c r="L1197">
        <v>4.2671999999999999</v>
      </c>
      <c r="M1197">
        <v>38.1</v>
      </c>
      <c r="N1197">
        <v>38.1</v>
      </c>
      <c r="O1197">
        <v>168</v>
      </c>
      <c r="P1197">
        <v>1.5000000000000002</v>
      </c>
      <c r="Q1197">
        <v>1.5000000000000002</v>
      </c>
      <c r="R1197">
        <v>2260.1390000000001</v>
      </c>
      <c r="S1197">
        <v>6.1943101920000007E-3</v>
      </c>
      <c r="T1197" s="4" t="s">
        <v>3308</v>
      </c>
    </row>
    <row r="1198" spans="1:20" x14ac:dyDescent="0.2">
      <c r="A1198" s="4" t="s">
        <v>3108</v>
      </c>
      <c r="B1198" s="4" t="s">
        <v>3306</v>
      </c>
      <c r="C1198" s="4" t="s">
        <v>2096</v>
      </c>
      <c r="D1198" s="4" t="s">
        <v>2236</v>
      </c>
      <c r="E1198" s="4" t="s">
        <v>3311</v>
      </c>
      <c r="F1198" s="4" t="s">
        <v>3307</v>
      </c>
      <c r="G1198" s="4" t="s">
        <v>3108</v>
      </c>
      <c r="H1198" s="4" t="s">
        <v>2183</v>
      </c>
      <c r="I1198" s="4" t="s">
        <v>2100</v>
      </c>
      <c r="J1198" s="4" t="s">
        <v>2518</v>
      </c>
      <c r="K1198">
        <v>15</v>
      </c>
      <c r="L1198">
        <v>4.5720000000000001</v>
      </c>
      <c r="M1198">
        <v>38.1</v>
      </c>
      <c r="N1198">
        <v>38.1</v>
      </c>
      <c r="O1198">
        <v>180</v>
      </c>
      <c r="P1198">
        <v>1.5000000000000002</v>
      </c>
      <c r="Q1198">
        <v>1.5000000000000002</v>
      </c>
      <c r="R1198">
        <v>2260.1390000000001</v>
      </c>
      <c r="S1198">
        <v>6.6367609200000009E-3</v>
      </c>
      <c r="T1198" s="4" t="s">
        <v>3308</v>
      </c>
    </row>
    <row r="1199" spans="1:20" x14ac:dyDescent="0.2">
      <c r="A1199" s="4" t="s">
        <v>3108</v>
      </c>
      <c r="B1199" s="4" t="s">
        <v>3306</v>
      </c>
      <c r="C1199" s="4" t="s">
        <v>2096</v>
      </c>
      <c r="D1199" s="4" t="s">
        <v>2236</v>
      </c>
      <c r="E1199" s="4" t="s">
        <v>567</v>
      </c>
      <c r="F1199" s="4" t="s">
        <v>3307</v>
      </c>
      <c r="G1199" s="4" t="s">
        <v>3108</v>
      </c>
      <c r="H1199" s="4" t="s">
        <v>2183</v>
      </c>
      <c r="I1199" s="4" t="s">
        <v>2100</v>
      </c>
      <c r="J1199" s="4" t="s">
        <v>2518</v>
      </c>
      <c r="K1199">
        <v>16</v>
      </c>
      <c r="L1199">
        <v>4.8768000000000002</v>
      </c>
      <c r="M1199">
        <v>38.1</v>
      </c>
      <c r="N1199">
        <v>38.1</v>
      </c>
      <c r="O1199">
        <v>192.00000000000003</v>
      </c>
      <c r="P1199">
        <v>1.5000000000000002</v>
      </c>
      <c r="Q1199">
        <v>1.5000000000000002</v>
      </c>
      <c r="R1199">
        <v>2260.1390000000001</v>
      </c>
      <c r="S1199">
        <v>7.0792116480000011E-3</v>
      </c>
      <c r="T1199" s="4" t="s">
        <v>3308</v>
      </c>
    </row>
    <row r="1200" spans="1:20" x14ac:dyDescent="0.2">
      <c r="A1200" s="4" t="s">
        <v>3108</v>
      </c>
      <c r="B1200" s="4" t="s">
        <v>3306</v>
      </c>
      <c r="C1200" s="4" t="s">
        <v>2096</v>
      </c>
      <c r="D1200" s="4" t="s">
        <v>2236</v>
      </c>
      <c r="E1200" s="4" t="s">
        <v>3312</v>
      </c>
      <c r="F1200" s="4" t="s">
        <v>3307</v>
      </c>
      <c r="G1200" s="4" t="s">
        <v>3108</v>
      </c>
      <c r="H1200" s="4" t="s">
        <v>2183</v>
      </c>
      <c r="I1200" s="4" t="s">
        <v>2100</v>
      </c>
      <c r="J1200" s="4" t="s">
        <v>2518</v>
      </c>
      <c r="K1200">
        <v>17</v>
      </c>
      <c r="L1200">
        <v>5.1816000000000004</v>
      </c>
      <c r="M1200">
        <v>38.1</v>
      </c>
      <c r="N1200">
        <v>38.1</v>
      </c>
      <c r="O1200">
        <v>204.00000000000003</v>
      </c>
      <c r="P1200">
        <v>1.5000000000000002</v>
      </c>
      <c r="Q1200">
        <v>1.5000000000000002</v>
      </c>
      <c r="R1200">
        <v>2260.1390000000001</v>
      </c>
      <c r="S1200">
        <v>7.5216623760000021E-3</v>
      </c>
      <c r="T1200" s="4" t="s">
        <v>3308</v>
      </c>
    </row>
    <row r="1201" spans="1:20" x14ac:dyDescent="0.2">
      <c r="A1201" s="4" t="s">
        <v>3108</v>
      </c>
      <c r="B1201" s="4" t="s">
        <v>3306</v>
      </c>
      <c r="C1201" s="4" t="s">
        <v>2096</v>
      </c>
      <c r="D1201" s="4" t="s">
        <v>2236</v>
      </c>
      <c r="E1201" s="4" t="s">
        <v>569</v>
      </c>
      <c r="F1201" s="4" t="s">
        <v>3307</v>
      </c>
      <c r="G1201" s="4" t="s">
        <v>3108</v>
      </c>
      <c r="H1201" s="4" t="s">
        <v>2183</v>
      </c>
      <c r="I1201" s="4" t="s">
        <v>2100</v>
      </c>
      <c r="J1201" s="4" t="s">
        <v>2518</v>
      </c>
      <c r="K1201">
        <v>18</v>
      </c>
      <c r="L1201">
        <v>5.4863999999999997</v>
      </c>
      <c r="M1201">
        <v>38.1</v>
      </c>
      <c r="N1201">
        <v>38.1</v>
      </c>
      <c r="O1201">
        <v>216</v>
      </c>
      <c r="P1201">
        <v>1.5000000000000002</v>
      </c>
      <c r="Q1201">
        <v>1.5000000000000002</v>
      </c>
      <c r="R1201">
        <v>2260.1390000000001</v>
      </c>
      <c r="S1201">
        <v>7.9641131039999997E-3</v>
      </c>
      <c r="T1201" s="4" t="s">
        <v>3308</v>
      </c>
    </row>
    <row r="1202" spans="1:20" x14ac:dyDescent="0.2">
      <c r="A1202" s="4" t="s">
        <v>3108</v>
      </c>
      <c r="B1202" s="4" t="s">
        <v>3306</v>
      </c>
      <c r="C1202" s="4" t="s">
        <v>2096</v>
      </c>
      <c r="D1202" s="4" t="s">
        <v>2236</v>
      </c>
      <c r="E1202" s="4" t="s">
        <v>3313</v>
      </c>
      <c r="F1202" s="4" t="s">
        <v>3307</v>
      </c>
      <c r="G1202" s="4" t="s">
        <v>3108</v>
      </c>
      <c r="H1202" s="4" t="s">
        <v>2183</v>
      </c>
      <c r="I1202" s="4" t="s">
        <v>2100</v>
      </c>
      <c r="J1202" s="4" t="s">
        <v>2518</v>
      </c>
      <c r="K1202">
        <v>19</v>
      </c>
      <c r="L1202">
        <v>5.7911999999999999</v>
      </c>
      <c r="M1202">
        <v>38.1</v>
      </c>
      <c r="N1202">
        <v>38.1</v>
      </c>
      <c r="O1202">
        <v>228</v>
      </c>
      <c r="P1202">
        <v>1.5000000000000002</v>
      </c>
      <c r="Q1202">
        <v>1.5000000000000002</v>
      </c>
      <c r="R1202">
        <v>2260.1390000000001</v>
      </c>
      <c r="S1202">
        <v>8.4065638320000007E-3</v>
      </c>
      <c r="T1202" s="4" t="s">
        <v>3308</v>
      </c>
    </row>
    <row r="1203" spans="1:20" x14ac:dyDescent="0.2">
      <c r="A1203" s="4" t="s">
        <v>3108</v>
      </c>
      <c r="B1203" s="4" t="s">
        <v>3306</v>
      </c>
      <c r="C1203" s="4" t="s">
        <v>2096</v>
      </c>
      <c r="D1203" s="4" t="s">
        <v>2236</v>
      </c>
      <c r="E1203" s="4" t="s">
        <v>571</v>
      </c>
      <c r="F1203" s="4" t="s">
        <v>3307</v>
      </c>
      <c r="G1203" s="4" t="s">
        <v>3108</v>
      </c>
      <c r="H1203" s="4" t="s">
        <v>2183</v>
      </c>
      <c r="I1203" s="4" t="s">
        <v>2100</v>
      </c>
      <c r="J1203" s="4" t="s">
        <v>2518</v>
      </c>
      <c r="K1203">
        <v>20</v>
      </c>
      <c r="L1203">
        <v>6.0960000000000001</v>
      </c>
      <c r="M1203">
        <v>38.1</v>
      </c>
      <c r="N1203">
        <v>38.1</v>
      </c>
      <c r="O1203">
        <v>240</v>
      </c>
      <c r="P1203">
        <v>1.5000000000000002</v>
      </c>
      <c r="Q1203">
        <v>1.5000000000000002</v>
      </c>
      <c r="R1203">
        <v>2260.1390000000001</v>
      </c>
      <c r="S1203">
        <v>8.8490145600000018E-3</v>
      </c>
      <c r="T1203" s="4" t="s">
        <v>3308</v>
      </c>
    </row>
    <row r="1204" spans="1:20" x14ac:dyDescent="0.2">
      <c r="A1204" s="4" t="s">
        <v>3108</v>
      </c>
      <c r="B1204" s="4" t="s">
        <v>3306</v>
      </c>
      <c r="C1204" s="4" t="s">
        <v>2096</v>
      </c>
      <c r="D1204" s="4" t="s">
        <v>2236</v>
      </c>
      <c r="E1204" s="4" t="s">
        <v>3314</v>
      </c>
      <c r="F1204" s="4" t="s">
        <v>3307</v>
      </c>
      <c r="G1204" s="4" t="s">
        <v>3108</v>
      </c>
      <c r="H1204" s="4" t="s">
        <v>2183</v>
      </c>
      <c r="I1204" s="4" t="s">
        <v>2100</v>
      </c>
      <c r="J1204" s="4" t="s">
        <v>2518</v>
      </c>
      <c r="K1204">
        <v>21</v>
      </c>
      <c r="L1204">
        <v>6.4008000000000003</v>
      </c>
      <c r="M1204">
        <v>38.1</v>
      </c>
      <c r="N1204">
        <v>38.1</v>
      </c>
      <c r="O1204">
        <v>252.00000000000003</v>
      </c>
      <c r="P1204">
        <v>1.5000000000000002</v>
      </c>
      <c r="Q1204">
        <v>1.5000000000000002</v>
      </c>
      <c r="R1204">
        <v>2260.1390000000001</v>
      </c>
      <c r="S1204">
        <v>9.2914652880000011E-3</v>
      </c>
      <c r="T1204" s="4" t="s">
        <v>3308</v>
      </c>
    </row>
    <row r="1205" spans="1:20" x14ac:dyDescent="0.2">
      <c r="A1205" s="4" t="s">
        <v>3108</v>
      </c>
      <c r="B1205" s="4" t="s">
        <v>3306</v>
      </c>
      <c r="C1205" s="4" t="s">
        <v>2096</v>
      </c>
      <c r="D1205" s="4" t="s">
        <v>2236</v>
      </c>
      <c r="E1205" s="4" t="s">
        <v>1937</v>
      </c>
      <c r="F1205" s="4" t="s">
        <v>3307</v>
      </c>
      <c r="G1205" s="4" t="s">
        <v>3108</v>
      </c>
      <c r="H1205" s="4" t="s">
        <v>2183</v>
      </c>
      <c r="I1205" s="4" t="s">
        <v>2100</v>
      </c>
      <c r="J1205" s="4" t="s">
        <v>2518</v>
      </c>
      <c r="K1205">
        <v>22</v>
      </c>
      <c r="L1205">
        <v>6.7055999999999996</v>
      </c>
      <c r="M1205">
        <v>38.1</v>
      </c>
      <c r="N1205">
        <v>38.1</v>
      </c>
      <c r="O1205">
        <v>264</v>
      </c>
      <c r="P1205">
        <v>1.5000000000000002</v>
      </c>
      <c r="Q1205">
        <v>1.5000000000000002</v>
      </c>
      <c r="R1205">
        <v>2260.1390000000001</v>
      </c>
      <c r="S1205">
        <v>9.7339160160000004E-3</v>
      </c>
      <c r="T1205" s="4" t="s">
        <v>3308</v>
      </c>
    </row>
    <row r="1206" spans="1:20" x14ac:dyDescent="0.2">
      <c r="A1206" s="4" t="s">
        <v>3108</v>
      </c>
      <c r="B1206" s="4" t="s">
        <v>3306</v>
      </c>
      <c r="C1206" s="4" t="s">
        <v>2286</v>
      </c>
      <c r="D1206" s="4" t="s">
        <v>2236</v>
      </c>
      <c r="E1206" s="4" t="s">
        <v>573</v>
      </c>
      <c r="F1206" s="4" t="s">
        <v>3307</v>
      </c>
      <c r="G1206" s="4" t="s">
        <v>3108</v>
      </c>
      <c r="H1206" s="4" t="s">
        <v>2183</v>
      </c>
      <c r="I1206" s="4" t="s">
        <v>2100</v>
      </c>
      <c r="J1206" s="4" t="s">
        <v>2518</v>
      </c>
      <c r="K1206">
        <v>3</v>
      </c>
      <c r="L1206">
        <v>0.91439999999999999</v>
      </c>
      <c r="M1206">
        <v>38.1</v>
      </c>
      <c r="N1206">
        <v>38.1</v>
      </c>
      <c r="O1206">
        <v>36</v>
      </c>
      <c r="P1206">
        <v>1.5000000000000002</v>
      </c>
      <c r="Q1206">
        <v>1.5000000000000002</v>
      </c>
      <c r="R1206">
        <v>2260.1390000000001</v>
      </c>
      <c r="S1206">
        <v>1.3273521840000001E-3</v>
      </c>
      <c r="T1206" s="4" t="s">
        <v>3315</v>
      </c>
    </row>
    <row r="1207" spans="1:20" x14ac:dyDescent="0.2">
      <c r="A1207" s="4" t="s">
        <v>3108</v>
      </c>
      <c r="B1207" s="4" t="s">
        <v>3306</v>
      </c>
      <c r="C1207" s="4" t="s">
        <v>2286</v>
      </c>
      <c r="D1207" s="4" t="s">
        <v>2236</v>
      </c>
      <c r="E1207" s="4" t="s">
        <v>575</v>
      </c>
      <c r="F1207" s="4" t="s">
        <v>3307</v>
      </c>
      <c r="G1207" s="4" t="s">
        <v>3108</v>
      </c>
      <c r="H1207" s="4" t="s">
        <v>2183</v>
      </c>
      <c r="I1207" s="4" t="s">
        <v>2100</v>
      </c>
      <c r="J1207" s="4" t="s">
        <v>2518</v>
      </c>
      <c r="K1207">
        <v>4</v>
      </c>
      <c r="L1207">
        <v>1.2192000000000001</v>
      </c>
      <c r="M1207">
        <v>38.1</v>
      </c>
      <c r="N1207">
        <v>38.1</v>
      </c>
      <c r="O1207">
        <v>48.000000000000007</v>
      </c>
      <c r="P1207">
        <v>1.5000000000000002</v>
      </c>
      <c r="Q1207">
        <v>1.5000000000000002</v>
      </c>
      <c r="R1207">
        <v>2260.1390000000001</v>
      </c>
      <c r="S1207">
        <v>1.7698029120000003E-3</v>
      </c>
      <c r="T1207" s="4" t="s">
        <v>3315</v>
      </c>
    </row>
    <row r="1208" spans="1:20" x14ac:dyDescent="0.2">
      <c r="A1208" s="4" t="s">
        <v>3108</v>
      </c>
      <c r="B1208" s="4" t="s">
        <v>3306</v>
      </c>
      <c r="C1208" s="4" t="s">
        <v>2286</v>
      </c>
      <c r="D1208" s="4" t="s">
        <v>2236</v>
      </c>
      <c r="E1208" s="4" t="s">
        <v>577</v>
      </c>
      <c r="F1208" s="4" t="s">
        <v>3307</v>
      </c>
      <c r="G1208" s="4" t="s">
        <v>3108</v>
      </c>
      <c r="H1208" s="4" t="s">
        <v>2183</v>
      </c>
      <c r="I1208" s="4" t="s">
        <v>2100</v>
      </c>
      <c r="J1208" s="4" t="s">
        <v>2518</v>
      </c>
      <c r="K1208">
        <v>5</v>
      </c>
      <c r="L1208">
        <v>1.524</v>
      </c>
      <c r="M1208">
        <v>38.1</v>
      </c>
      <c r="N1208">
        <v>38.1</v>
      </c>
      <c r="O1208">
        <v>60</v>
      </c>
      <c r="P1208">
        <v>1.5000000000000002</v>
      </c>
      <c r="Q1208">
        <v>1.5000000000000002</v>
      </c>
      <c r="R1208">
        <v>2260.1390000000001</v>
      </c>
      <c r="S1208">
        <v>2.2122536400000004E-3</v>
      </c>
      <c r="T1208" s="4" t="s">
        <v>3315</v>
      </c>
    </row>
    <row r="1209" spans="1:20" x14ac:dyDescent="0.2">
      <c r="A1209" s="4" t="s">
        <v>3108</v>
      </c>
      <c r="B1209" s="4" t="s">
        <v>3306</v>
      </c>
      <c r="C1209" s="4" t="s">
        <v>2286</v>
      </c>
      <c r="D1209" s="4" t="s">
        <v>2236</v>
      </c>
      <c r="E1209" s="4" t="s">
        <v>579</v>
      </c>
      <c r="F1209" s="4" t="s">
        <v>3307</v>
      </c>
      <c r="G1209" s="4" t="s">
        <v>3108</v>
      </c>
      <c r="H1209" s="4" t="s">
        <v>2183</v>
      </c>
      <c r="I1209" s="4" t="s">
        <v>2100</v>
      </c>
      <c r="J1209" s="4" t="s">
        <v>2518</v>
      </c>
      <c r="K1209">
        <v>6</v>
      </c>
      <c r="L1209">
        <v>1.8288</v>
      </c>
      <c r="M1209">
        <v>38.1</v>
      </c>
      <c r="N1209">
        <v>38.1</v>
      </c>
      <c r="O1209">
        <v>72</v>
      </c>
      <c r="P1209">
        <v>1.5000000000000002</v>
      </c>
      <c r="Q1209">
        <v>1.5000000000000002</v>
      </c>
      <c r="R1209">
        <v>2260.1390000000001</v>
      </c>
      <c r="S1209">
        <v>2.6547043680000002E-3</v>
      </c>
      <c r="T1209" s="4" t="s">
        <v>3315</v>
      </c>
    </row>
    <row r="1210" spans="1:20" x14ac:dyDescent="0.2">
      <c r="A1210" s="4" t="s">
        <v>3108</v>
      </c>
      <c r="B1210" s="4" t="s">
        <v>3306</v>
      </c>
      <c r="C1210" s="4" t="s">
        <v>2286</v>
      </c>
      <c r="D1210" s="4" t="s">
        <v>2236</v>
      </c>
      <c r="E1210" s="4" t="s">
        <v>581</v>
      </c>
      <c r="F1210" s="4" t="s">
        <v>3307</v>
      </c>
      <c r="G1210" s="4" t="s">
        <v>3108</v>
      </c>
      <c r="H1210" s="4" t="s">
        <v>2183</v>
      </c>
      <c r="I1210" s="4" t="s">
        <v>2100</v>
      </c>
      <c r="J1210" s="4" t="s">
        <v>2518</v>
      </c>
      <c r="K1210">
        <v>7</v>
      </c>
      <c r="L1210">
        <v>2.1335999999999999</v>
      </c>
      <c r="M1210">
        <v>38.1</v>
      </c>
      <c r="N1210">
        <v>38.1</v>
      </c>
      <c r="O1210">
        <v>84</v>
      </c>
      <c r="P1210">
        <v>1.5000000000000002</v>
      </c>
      <c r="Q1210">
        <v>1.5000000000000002</v>
      </c>
      <c r="R1210">
        <v>2260.1390000000001</v>
      </c>
      <c r="S1210">
        <v>3.0971550960000004E-3</v>
      </c>
      <c r="T1210" s="4" t="s">
        <v>3315</v>
      </c>
    </row>
    <row r="1211" spans="1:20" x14ac:dyDescent="0.2">
      <c r="A1211" s="4" t="s">
        <v>3108</v>
      </c>
      <c r="B1211" s="4" t="s">
        <v>3306</v>
      </c>
      <c r="C1211" s="4" t="s">
        <v>2096</v>
      </c>
      <c r="D1211" s="4" t="s">
        <v>2236</v>
      </c>
      <c r="E1211" s="4" t="s">
        <v>583</v>
      </c>
      <c r="F1211" s="4" t="s">
        <v>3307</v>
      </c>
      <c r="G1211" s="4" t="s">
        <v>3108</v>
      </c>
      <c r="H1211" s="4" t="s">
        <v>2183</v>
      </c>
      <c r="I1211" s="4" t="s">
        <v>2100</v>
      </c>
      <c r="J1211" s="4" t="s">
        <v>2518</v>
      </c>
      <c r="K1211">
        <v>8</v>
      </c>
      <c r="L1211">
        <v>2.4384000000000001</v>
      </c>
      <c r="M1211">
        <v>38.1</v>
      </c>
      <c r="N1211">
        <v>38.1</v>
      </c>
      <c r="O1211">
        <v>96.000000000000014</v>
      </c>
      <c r="P1211">
        <v>1.5000000000000002</v>
      </c>
      <c r="Q1211">
        <v>1.5000000000000002</v>
      </c>
      <c r="R1211">
        <v>2260.1390000000001</v>
      </c>
      <c r="S1211">
        <v>3.5396058240000005E-3</v>
      </c>
      <c r="T1211" s="4" t="s">
        <v>3308</v>
      </c>
    </row>
    <row r="1212" spans="1:20" x14ac:dyDescent="0.2">
      <c r="A1212" s="4" t="s">
        <v>3108</v>
      </c>
      <c r="B1212" s="4" t="s">
        <v>3306</v>
      </c>
      <c r="C1212" s="4" t="s">
        <v>2096</v>
      </c>
      <c r="D1212" s="4" t="s">
        <v>2236</v>
      </c>
      <c r="E1212" s="4" t="s">
        <v>3316</v>
      </c>
      <c r="F1212" s="4" t="s">
        <v>3307</v>
      </c>
      <c r="G1212" s="4" t="s">
        <v>3108</v>
      </c>
      <c r="H1212" s="4" t="s">
        <v>2183</v>
      </c>
      <c r="I1212" s="4" t="s">
        <v>2100</v>
      </c>
      <c r="J1212" s="4" t="s">
        <v>2518</v>
      </c>
      <c r="K1212">
        <v>9</v>
      </c>
      <c r="L1212">
        <v>2.7431999999999999</v>
      </c>
      <c r="M1212">
        <v>38.1</v>
      </c>
      <c r="N1212">
        <v>38.1</v>
      </c>
      <c r="O1212">
        <v>108</v>
      </c>
      <c r="P1212">
        <v>1.5000000000000002</v>
      </c>
      <c r="Q1212">
        <v>1.5000000000000002</v>
      </c>
      <c r="R1212">
        <v>2260.1390000000001</v>
      </c>
      <c r="S1212">
        <v>3.9820565519999998E-3</v>
      </c>
      <c r="T1212" s="4" t="s">
        <v>3308</v>
      </c>
    </row>
    <row r="1213" spans="1:20" x14ac:dyDescent="0.2">
      <c r="A1213" s="4" t="s">
        <v>3108</v>
      </c>
      <c r="B1213" s="4" t="s">
        <v>3317</v>
      </c>
      <c r="C1213" s="4" t="s">
        <v>2096</v>
      </c>
      <c r="D1213" s="4" t="s">
        <v>2236</v>
      </c>
      <c r="E1213" s="4" t="s">
        <v>585</v>
      </c>
      <c r="F1213" s="4" t="s">
        <v>3318</v>
      </c>
      <c r="G1213" s="4" t="s">
        <v>3108</v>
      </c>
      <c r="H1213" s="4" t="s">
        <v>2183</v>
      </c>
      <c r="I1213" s="4" t="s">
        <v>2100</v>
      </c>
      <c r="J1213" s="4" t="s">
        <v>2549</v>
      </c>
      <c r="K1213">
        <v>10</v>
      </c>
      <c r="L1213">
        <v>3.048</v>
      </c>
      <c r="M1213">
        <v>38.1</v>
      </c>
      <c r="N1213">
        <v>88.9</v>
      </c>
      <c r="O1213">
        <v>120</v>
      </c>
      <c r="P1213">
        <v>1.5000000000000002</v>
      </c>
      <c r="Q1213">
        <v>3.5000000000000004</v>
      </c>
      <c r="R1213">
        <v>968.63099999999997</v>
      </c>
      <c r="S1213">
        <v>1.0323850320000001E-2</v>
      </c>
      <c r="T1213" s="4" t="s">
        <v>3319</v>
      </c>
    </row>
    <row r="1214" spans="1:20" x14ac:dyDescent="0.2">
      <c r="A1214" s="4" t="s">
        <v>3108</v>
      </c>
      <c r="B1214" s="4" t="s">
        <v>3317</v>
      </c>
      <c r="C1214" s="4" t="s">
        <v>2096</v>
      </c>
      <c r="D1214" s="4" t="s">
        <v>2236</v>
      </c>
      <c r="E1214" s="4" t="s">
        <v>3320</v>
      </c>
      <c r="F1214" s="4" t="s">
        <v>3318</v>
      </c>
      <c r="G1214" s="4" t="s">
        <v>3108</v>
      </c>
      <c r="H1214" s="4" t="s">
        <v>2183</v>
      </c>
      <c r="I1214" s="4" t="s">
        <v>2100</v>
      </c>
      <c r="J1214" s="4" t="s">
        <v>2549</v>
      </c>
      <c r="K1214">
        <v>10</v>
      </c>
      <c r="L1214">
        <v>3.048</v>
      </c>
      <c r="M1214">
        <v>38.1</v>
      </c>
      <c r="N1214">
        <v>88.9</v>
      </c>
      <c r="O1214">
        <v>120</v>
      </c>
      <c r="P1214">
        <v>1.5000000000000002</v>
      </c>
      <c r="Q1214">
        <v>3.5000000000000004</v>
      </c>
      <c r="R1214">
        <v>968.63099999999997</v>
      </c>
      <c r="S1214">
        <v>1.0323850320000001E-2</v>
      </c>
      <c r="T1214" s="4" t="s">
        <v>3319</v>
      </c>
    </row>
    <row r="1215" spans="1:20" x14ac:dyDescent="0.2">
      <c r="A1215" s="4" t="s">
        <v>3108</v>
      </c>
      <c r="B1215" s="4" t="s">
        <v>3317</v>
      </c>
      <c r="C1215" s="4" t="s">
        <v>2096</v>
      </c>
      <c r="D1215" s="4" t="s">
        <v>2236</v>
      </c>
      <c r="E1215" s="4" t="s">
        <v>3321</v>
      </c>
      <c r="F1215" s="4" t="s">
        <v>3318</v>
      </c>
      <c r="G1215" s="4" t="s">
        <v>3108</v>
      </c>
      <c r="H1215" s="4" t="s">
        <v>2183</v>
      </c>
      <c r="I1215" s="4" t="s">
        <v>2100</v>
      </c>
      <c r="J1215" s="4" t="s">
        <v>2549</v>
      </c>
      <c r="K1215">
        <v>11</v>
      </c>
      <c r="L1215">
        <v>3.3527999999999998</v>
      </c>
      <c r="M1215">
        <v>38.1</v>
      </c>
      <c r="N1215">
        <v>88.9</v>
      </c>
      <c r="O1215">
        <v>132</v>
      </c>
      <c r="P1215">
        <v>1.5000000000000002</v>
      </c>
      <c r="Q1215">
        <v>3.5000000000000004</v>
      </c>
      <c r="R1215">
        <v>968.63099999999997</v>
      </c>
      <c r="S1215">
        <v>1.1356235352000001E-2</v>
      </c>
      <c r="T1215" s="4" t="s">
        <v>3319</v>
      </c>
    </row>
    <row r="1216" spans="1:20" x14ac:dyDescent="0.2">
      <c r="A1216" s="4" t="s">
        <v>3108</v>
      </c>
      <c r="B1216" s="4" t="s">
        <v>3317</v>
      </c>
      <c r="C1216" s="4" t="s">
        <v>2096</v>
      </c>
      <c r="D1216" s="4" t="s">
        <v>2236</v>
      </c>
      <c r="E1216" s="4" t="s">
        <v>3322</v>
      </c>
      <c r="F1216" s="4" t="s">
        <v>3318</v>
      </c>
      <c r="G1216" s="4" t="s">
        <v>3108</v>
      </c>
      <c r="H1216" s="4" t="s">
        <v>2183</v>
      </c>
      <c r="I1216" s="4" t="s">
        <v>2100</v>
      </c>
      <c r="J1216" s="4" t="s">
        <v>2549</v>
      </c>
      <c r="K1216">
        <v>11</v>
      </c>
      <c r="L1216">
        <v>3.3527999999999998</v>
      </c>
      <c r="M1216">
        <v>38.1</v>
      </c>
      <c r="N1216">
        <v>88.9</v>
      </c>
      <c r="O1216">
        <v>132</v>
      </c>
      <c r="P1216">
        <v>1.5000000000000002</v>
      </c>
      <c r="Q1216">
        <v>3.5000000000000004</v>
      </c>
      <c r="R1216">
        <v>968.63099999999997</v>
      </c>
      <c r="S1216">
        <v>1.1356235352000001E-2</v>
      </c>
      <c r="T1216" s="4" t="s">
        <v>3319</v>
      </c>
    </row>
    <row r="1217" spans="1:20" x14ac:dyDescent="0.2">
      <c r="A1217" s="4" t="s">
        <v>3108</v>
      </c>
      <c r="B1217" s="4" t="s">
        <v>3317</v>
      </c>
      <c r="C1217" s="4" t="s">
        <v>2096</v>
      </c>
      <c r="D1217" s="4" t="s">
        <v>2236</v>
      </c>
      <c r="E1217" s="4" t="s">
        <v>587</v>
      </c>
      <c r="F1217" s="4" t="s">
        <v>3318</v>
      </c>
      <c r="G1217" s="4" t="s">
        <v>3108</v>
      </c>
      <c r="H1217" s="4" t="s">
        <v>2183</v>
      </c>
      <c r="I1217" s="4" t="s">
        <v>2100</v>
      </c>
      <c r="J1217" s="4" t="s">
        <v>2549</v>
      </c>
      <c r="K1217">
        <v>12</v>
      </c>
      <c r="L1217">
        <v>3.6576</v>
      </c>
      <c r="M1217">
        <v>38.1</v>
      </c>
      <c r="N1217">
        <v>88.9</v>
      </c>
      <c r="O1217">
        <v>144</v>
      </c>
      <c r="P1217">
        <v>1.5000000000000002</v>
      </c>
      <c r="Q1217">
        <v>3.5000000000000004</v>
      </c>
      <c r="R1217">
        <v>968.63099999999997</v>
      </c>
      <c r="S1217">
        <v>1.2388620384E-2</v>
      </c>
      <c r="T1217" s="4" t="s">
        <v>3319</v>
      </c>
    </row>
    <row r="1218" spans="1:20" x14ac:dyDescent="0.2">
      <c r="A1218" s="4" t="s">
        <v>3108</v>
      </c>
      <c r="B1218" s="4" t="s">
        <v>3317</v>
      </c>
      <c r="C1218" s="4" t="s">
        <v>2096</v>
      </c>
      <c r="D1218" s="4" t="s">
        <v>2236</v>
      </c>
      <c r="E1218" s="4" t="s">
        <v>3323</v>
      </c>
      <c r="F1218" s="4" t="s">
        <v>3318</v>
      </c>
      <c r="G1218" s="4" t="s">
        <v>3108</v>
      </c>
      <c r="H1218" s="4" t="s">
        <v>2183</v>
      </c>
      <c r="I1218" s="4" t="s">
        <v>2100</v>
      </c>
      <c r="J1218" s="4" t="s">
        <v>2549</v>
      </c>
      <c r="K1218">
        <v>12</v>
      </c>
      <c r="L1218">
        <v>3.6576</v>
      </c>
      <c r="M1218">
        <v>38.1</v>
      </c>
      <c r="N1218">
        <v>88.9</v>
      </c>
      <c r="O1218">
        <v>144</v>
      </c>
      <c r="P1218">
        <v>1.5000000000000002</v>
      </c>
      <c r="Q1218">
        <v>3.5000000000000004</v>
      </c>
      <c r="R1218">
        <v>968.63099999999997</v>
      </c>
      <c r="S1218">
        <v>1.2388620384E-2</v>
      </c>
      <c r="T1218" s="4" t="s">
        <v>3319</v>
      </c>
    </row>
    <row r="1219" spans="1:20" x14ac:dyDescent="0.2">
      <c r="A1219" s="4" t="s">
        <v>3108</v>
      </c>
      <c r="B1219" s="4" t="s">
        <v>3317</v>
      </c>
      <c r="C1219" s="4" t="s">
        <v>2096</v>
      </c>
      <c r="D1219" s="4" t="s">
        <v>2236</v>
      </c>
      <c r="E1219" s="4" t="s">
        <v>3324</v>
      </c>
      <c r="F1219" s="4" t="s">
        <v>3318</v>
      </c>
      <c r="G1219" s="4" t="s">
        <v>3108</v>
      </c>
      <c r="H1219" s="4" t="s">
        <v>2183</v>
      </c>
      <c r="I1219" s="4" t="s">
        <v>2100</v>
      </c>
      <c r="J1219" s="4" t="s">
        <v>2549</v>
      </c>
      <c r="K1219">
        <v>13</v>
      </c>
      <c r="L1219">
        <v>3.9624000000000001</v>
      </c>
      <c r="M1219">
        <v>38.1</v>
      </c>
      <c r="N1219">
        <v>88.9</v>
      </c>
      <c r="O1219">
        <v>156</v>
      </c>
      <c r="P1219">
        <v>1.5000000000000002</v>
      </c>
      <c r="Q1219">
        <v>3.5000000000000004</v>
      </c>
      <c r="R1219">
        <v>968.63099999999997</v>
      </c>
      <c r="S1219">
        <v>1.3421005416000002E-2</v>
      </c>
      <c r="T1219" s="4" t="s">
        <v>3319</v>
      </c>
    </row>
    <row r="1220" spans="1:20" x14ac:dyDescent="0.2">
      <c r="A1220" s="4" t="s">
        <v>3108</v>
      </c>
      <c r="B1220" s="4" t="s">
        <v>3317</v>
      </c>
      <c r="C1220" s="4" t="s">
        <v>2096</v>
      </c>
      <c r="D1220" s="4" t="s">
        <v>2236</v>
      </c>
      <c r="E1220" s="4" t="s">
        <v>3325</v>
      </c>
      <c r="F1220" s="4" t="s">
        <v>3318</v>
      </c>
      <c r="G1220" s="4" t="s">
        <v>3108</v>
      </c>
      <c r="H1220" s="4" t="s">
        <v>2183</v>
      </c>
      <c r="I1220" s="4" t="s">
        <v>2100</v>
      </c>
      <c r="J1220" s="4" t="s">
        <v>2549</v>
      </c>
      <c r="K1220">
        <v>13</v>
      </c>
      <c r="L1220">
        <v>3.9624000000000001</v>
      </c>
      <c r="M1220">
        <v>38.1</v>
      </c>
      <c r="N1220">
        <v>88.9</v>
      </c>
      <c r="O1220">
        <v>156</v>
      </c>
      <c r="P1220">
        <v>1.5000000000000002</v>
      </c>
      <c r="Q1220">
        <v>3.5000000000000004</v>
      </c>
      <c r="R1220">
        <v>968.63099999999997</v>
      </c>
      <c r="S1220">
        <v>1.3421005416000002E-2</v>
      </c>
      <c r="T1220" s="4" t="s">
        <v>3319</v>
      </c>
    </row>
    <row r="1221" spans="1:20" x14ac:dyDescent="0.2">
      <c r="A1221" s="4" t="s">
        <v>3108</v>
      </c>
      <c r="B1221" s="4" t="s">
        <v>3317</v>
      </c>
      <c r="C1221" s="4" t="s">
        <v>2096</v>
      </c>
      <c r="D1221" s="4" t="s">
        <v>2236</v>
      </c>
      <c r="E1221" s="4" t="s">
        <v>589</v>
      </c>
      <c r="F1221" s="4" t="s">
        <v>3318</v>
      </c>
      <c r="G1221" s="4" t="s">
        <v>3108</v>
      </c>
      <c r="H1221" s="4" t="s">
        <v>2183</v>
      </c>
      <c r="I1221" s="4" t="s">
        <v>2100</v>
      </c>
      <c r="J1221" s="4" t="s">
        <v>2549</v>
      </c>
      <c r="K1221">
        <v>14</v>
      </c>
      <c r="L1221">
        <v>4.2671999999999999</v>
      </c>
      <c r="M1221">
        <v>38.1</v>
      </c>
      <c r="N1221">
        <v>88.9</v>
      </c>
      <c r="O1221">
        <v>168</v>
      </c>
      <c r="P1221">
        <v>1.5000000000000002</v>
      </c>
      <c r="Q1221">
        <v>3.5000000000000004</v>
      </c>
      <c r="R1221">
        <v>968.63099999999997</v>
      </c>
      <c r="S1221">
        <v>1.4453390448E-2</v>
      </c>
      <c r="T1221" s="4" t="s">
        <v>3319</v>
      </c>
    </row>
    <row r="1222" spans="1:20" x14ac:dyDescent="0.2">
      <c r="A1222" s="4" t="s">
        <v>3108</v>
      </c>
      <c r="B1222" s="4" t="s">
        <v>3317</v>
      </c>
      <c r="C1222" s="4" t="s">
        <v>2096</v>
      </c>
      <c r="D1222" s="4" t="s">
        <v>2236</v>
      </c>
      <c r="E1222" s="4" t="s">
        <v>3326</v>
      </c>
      <c r="F1222" s="4" t="s">
        <v>3318</v>
      </c>
      <c r="G1222" s="4" t="s">
        <v>3108</v>
      </c>
      <c r="H1222" s="4" t="s">
        <v>2183</v>
      </c>
      <c r="I1222" s="4" t="s">
        <v>2100</v>
      </c>
      <c r="J1222" s="4" t="s">
        <v>2549</v>
      </c>
      <c r="K1222">
        <v>14</v>
      </c>
      <c r="L1222">
        <v>4.2671999999999999</v>
      </c>
      <c r="M1222">
        <v>38.1</v>
      </c>
      <c r="N1222">
        <v>88.9</v>
      </c>
      <c r="O1222">
        <v>168</v>
      </c>
      <c r="P1222">
        <v>1.5000000000000002</v>
      </c>
      <c r="Q1222">
        <v>3.5000000000000004</v>
      </c>
      <c r="R1222">
        <v>968.63099999999997</v>
      </c>
      <c r="S1222">
        <v>1.4453390448E-2</v>
      </c>
      <c r="T1222" s="4" t="s">
        <v>3319</v>
      </c>
    </row>
    <row r="1223" spans="1:20" x14ac:dyDescent="0.2">
      <c r="A1223" s="4" t="s">
        <v>3108</v>
      </c>
      <c r="B1223" s="4" t="s">
        <v>3317</v>
      </c>
      <c r="C1223" s="4" t="s">
        <v>2096</v>
      </c>
      <c r="D1223" s="4" t="s">
        <v>2236</v>
      </c>
      <c r="E1223" s="4" t="s">
        <v>3327</v>
      </c>
      <c r="F1223" s="4" t="s">
        <v>3318</v>
      </c>
      <c r="G1223" s="4" t="s">
        <v>3108</v>
      </c>
      <c r="H1223" s="4" t="s">
        <v>2183</v>
      </c>
      <c r="I1223" s="4" t="s">
        <v>2100</v>
      </c>
      <c r="J1223" s="4" t="s">
        <v>2549</v>
      </c>
      <c r="K1223">
        <v>15</v>
      </c>
      <c r="L1223">
        <v>4.5720000000000001</v>
      </c>
      <c r="M1223">
        <v>38.1</v>
      </c>
      <c r="N1223">
        <v>88.9</v>
      </c>
      <c r="O1223">
        <v>180</v>
      </c>
      <c r="P1223">
        <v>1.5000000000000002</v>
      </c>
      <c r="Q1223">
        <v>3.5000000000000004</v>
      </c>
      <c r="R1223">
        <v>968.63099999999997</v>
      </c>
      <c r="S1223">
        <v>1.5485775480000004E-2</v>
      </c>
      <c r="T1223" s="4" t="s">
        <v>3319</v>
      </c>
    </row>
    <row r="1224" spans="1:20" x14ac:dyDescent="0.2">
      <c r="A1224" s="4" t="s">
        <v>3108</v>
      </c>
      <c r="B1224" s="4" t="s">
        <v>3317</v>
      </c>
      <c r="C1224" s="4" t="s">
        <v>2096</v>
      </c>
      <c r="D1224" s="4" t="s">
        <v>2236</v>
      </c>
      <c r="E1224" s="4" t="s">
        <v>3328</v>
      </c>
      <c r="F1224" s="4" t="s">
        <v>3318</v>
      </c>
      <c r="G1224" s="4" t="s">
        <v>3108</v>
      </c>
      <c r="H1224" s="4" t="s">
        <v>2183</v>
      </c>
      <c r="I1224" s="4" t="s">
        <v>2100</v>
      </c>
      <c r="J1224" s="4" t="s">
        <v>2549</v>
      </c>
      <c r="K1224">
        <v>15</v>
      </c>
      <c r="L1224">
        <v>4.5720000000000001</v>
      </c>
      <c r="M1224">
        <v>38.1</v>
      </c>
      <c r="N1224">
        <v>88.9</v>
      </c>
      <c r="O1224">
        <v>180</v>
      </c>
      <c r="P1224">
        <v>1.5000000000000002</v>
      </c>
      <c r="Q1224">
        <v>3.5000000000000004</v>
      </c>
      <c r="R1224">
        <v>968.63099999999997</v>
      </c>
      <c r="S1224">
        <v>1.5485775480000004E-2</v>
      </c>
      <c r="T1224" s="4" t="s">
        <v>3319</v>
      </c>
    </row>
    <row r="1225" spans="1:20" x14ac:dyDescent="0.2">
      <c r="A1225" s="4" t="s">
        <v>3108</v>
      </c>
      <c r="B1225" s="4" t="s">
        <v>3317</v>
      </c>
      <c r="C1225" s="4" t="s">
        <v>2096</v>
      </c>
      <c r="D1225" s="4" t="s">
        <v>2236</v>
      </c>
      <c r="E1225" s="4" t="s">
        <v>591</v>
      </c>
      <c r="F1225" s="4" t="s">
        <v>3318</v>
      </c>
      <c r="G1225" s="4" t="s">
        <v>3108</v>
      </c>
      <c r="H1225" s="4" t="s">
        <v>2183</v>
      </c>
      <c r="I1225" s="4" t="s">
        <v>2100</v>
      </c>
      <c r="J1225" s="4" t="s">
        <v>2549</v>
      </c>
      <c r="K1225">
        <v>16</v>
      </c>
      <c r="L1225">
        <v>4.8768000000000002</v>
      </c>
      <c r="M1225">
        <v>38.1</v>
      </c>
      <c r="N1225">
        <v>88.9</v>
      </c>
      <c r="O1225">
        <v>192.00000000000003</v>
      </c>
      <c r="P1225">
        <v>1.5000000000000002</v>
      </c>
      <c r="Q1225">
        <v>3.5000000000000004</v>
      </c>
      <c r="R1225">
        <v>968.63099999999997</v>
      </c>
      <c r="S1225">
        <v>1.6518160512000002E-2</v>
      </c>
      <c r="T1225" s="4" t="s">
        <v>3319</v>
      </c>
    </row>
    <row r="1226" spans="1:20" x14ac:dyDescent="0.2">
      <c r="A1226" s="4" t="s">
        <v>3108</v>
      </c>
      <c r="B1226" s="4" t="s">
        <v>3317</v>
      </c>
      <c r="C1226" s="4" t="s">
        <v>2096</v>
      </c>
      <c r="D1226" s="4" t="s">
        <v>2236</v>
      </c>
      <c r="E1226" s="4" t="s">
        <v>3329</v>
      </c>
      <c r="F1226" s="4" t="s">
        <v>3318</v>
      </c>
      <c r="G1226" s="4" t="s">
        <v>3108</v>
      </c>
      <c r="H1226" s="4" t="s">
        <v>2183</v>
      </c>
      <c r="I1226" s="4" t="s">
        <v>2100</v>
      </c>
      <c r="J1226" s="4" t="s">
        <v>2549</v>
      </c>
      <c r="K1226">
        <v>16</v>
      </c>
      <c r="L1226">
        <v>4.8768000000000002</v>
      </c>
      <c r="M1226">
        <v>38.1</v>
      </c>
      <c r="N1226">
        <v>88.9</v>
      </c>
      <c r="O1226">
        <v>192.00000000000003</v>
      </c>
      <c r="P1226">
        <v>1.5000000000000002</v>
      </c>
      <c r="Q1226">
        <v>3.5000000000000004</v>
      </c>
      <c r="R1226">
        <v>968.63099999999997</v>
      </c>
      <c r="S1226">
        <v>1.6518160512000002E-2</v>
      </c>
      <c r="T1226" s="4" t="s">
        <v>3319</v>
      </c>
    </row>
    <row r="1227" spans="1:20" x14ac:dyDescent="0.2">
      <c r="A1227" s="4" t="s">
        <v>3108</v>
      </c>
      <c r="B1227" s="4" t="s">
        <v>3317</v>
      </c>
      <c r="C1227" s="4" t="s">
        <v>2096</v>
      </c>
      <c r="D1227" s="4" t="s">
        <v>2236</v>
      </c>
      <c r="E1227" s="4" t="s">
        <v>3330</v>
      </c>
      <c r="F1227" s="4" t="s">
        <v>3318</v>
      </c>
      <c r="G1227" s="4" t="s">
        <v>3108</v>
      </c>
      <c r="H1227" s="4" t="s">
        <v>2183</v>
      </c>
      <c r="I1227" s="4" t="s">
        <v>2100</v>
      </c>
      <c r="J1227" s="4" t="s">
        <v>2549</v>
      </c>
      <c r="K1227">
        <v>17</v>
      </c>
      <c r="L1227">
        <v>5.1816000000000004</v>
      </c>
      <c r="M1227">
        <v>38.1</v>
      </c>
      <c r="N1227">
        <v>88.9</v>
      </c>
      <c r="O1227">
        <v>204.00000000000003</v>
      </c>
      <c r="P1227">
        <v>1.5000000000000002</v>
      </c>
      <c r="Q1227">
        <v>3.5000000000000004</v>
      </c>
      <c r="R1227">
        <v>968.63099999999997</v>
      </c>
      <c r="S1227">
        <v>1.7550545544000005E-2</v>
      </c>
      <c r="T1227" s="4" t="s">
        <v>3319</v>
      </c>
    </row>
    <row r="1228" spans="1:20" x14ac:dyDescent="0.2">
      <c r="A1228" s="4" t="s">
        <v>3108</v>
      </c>
      <c r="B1228" s="4" t="s">
        <v>3317</v>
      </c>
      <c r="C1228" s="4" t="s">
        <v>2096</v>
      </c>
      <c r="D1228" s="4" t="s">
        <v>2236</v>
      </c>
      <c r="E1228" s="4" t="s">
        <v>3331</v>
      </c>
      <c r="F1228" s="4" t="s">
        <v>3318</v>
      </c>
      <c r="G1228" s="4" t="s">
        <v>3108</v>
      </c>
      <c r="H1228" s="4" t="s">
        <v>2183</v>
      </c>
      <c r="I1228" s="4" t="s">
        <v>2100</v>
      </c>
      <c r="J1228" s="4" t="s">
        <v>2549</v>
      </c>
      <c r="K1228">
        <v>17</v>
      </c>
      <c r="L1228">
        <v>5.1816000000000004</v>
      </c>
      <c r="M1228">
        <v>38.1</v>
      </c>
      <c r="N1228">
        <v>88.9</v>
      </c>
      <c r="O1228">
        <v>204.00000000000003</v>
      </c>
      <c r="P1228">
        <v>1.5000000000000002</v>
      </c>
      <c r="Q1228">
        <v>3.5000000000000004</v>
      </c>
      <c r="R1228">
        <v>968.63099999999997</v>
      </c>
      <c r="S1228">
        <v>1.7550545544000005E-2</v>
      </c>
      <c r="T1228" s="4" t="s">
        <v>3319</v>
      </c>
    </row>
    <row r="1229" spans="1:20" x14ac:dyDescent="0.2">
      <c r="A1229" s="4" t="s">
        <v>3108</v>
      </c>
      <c r="B1229" s="4" t="s">
        <v>3317</v>
      </c>
      <c r="C1229" s="4" t="s">
        <v>2096</v>
      </c>
      <c r="D1229" s="4" t="s">
        <v>2236</v>
      </c>
      <c r="E1229" s="4" t="s">
        <v>593</v>
      </c>
      <c r="F1229" s="4" t="s">
        <v>3318</v>
      </c>
      <c r="G1229" s="4" t="s">
        <v>3108</v>
      </c>
      <c r="H1229" s="4" t="s">
        <v>2183</v>
      </c>
      <c r="I1229" s="4" t="s">
        <v>2100</v>
      </c>
      <c r="J1229" s="4" t="s">
        <v>2549</v>
      </c>
      <c r="K1229">
        <v>18</v>
      </c>
      <c r="L1229">
        <v>5.4863999999999997</v>
      </c>
      <c r="M1229">
        <v>38.1</v>
      </c>
      <c r="N1229">
        <v>88.9</v>
      </c>
      <c r="O1229">
        <v>216</v>
      </c>
      <c r="P1229">
        <v>1.5000000000000002</v>
      </c>
      <c r="Q1229">
        <v>3.5000000000000004</v>
      </c>
      <c r="R1229">
        <v>968.63099999999997</v>
      </c>
      <c r="S1229">
        <v>1.8582930576000002E-2</v>
      </c>
      <c r="T1229" s="4" t="s">
        <v>3319</v>
      </c>
    </row>
    <row r="1230" spans="1:20" x14ac:dyDescent="0.2">
      <c r="A1230" s="4" t="s">
        <v>3108</v>
      </c>
      <c r="B1230" s="4" t="s">
        <v>3317</v>
      </c>
      <c r="C1230" s="4" t="s">
        <v>2096</v>
      </c>
      <c r="D1230" s="4" t="s">
        <v>2236</v>
      </c>
      <c r="E1230" s="4" t="s">
        <v>3332</v>
      </c>
      <c r="F1230" s="4" t="s">
        <v>3318</v>
      </c>
      <c r="G1230" s="4" t="s">
        <v>3108</v>
      </c>
      <c r="H1230" s="4" t="s">
        <v>2183</v>
      </c>
      <c r="I1230" s="4" t="s">
        <v>2100</v>
      </c>
      <c r="J1230" s="4" t="s">
        <v>2549</v>
      </c>
      <c r="K1230">
        <v>18</v>
      </c>
      <c r="L1230">
        <v>5.4863999999999997</v>
      </c>
      <c r="M1230">
        <v>38.1</v>
      </c>
      <c r="N1230">
        <v>88.9</v>
      </c>
      <c r="O1230">
        <v>216</v>
      </c>
      <c r="P1230">
        <v>1.5000000000000002</v>
      </c>
      <c r="Q1230">
        <v>3.5000000000000004</v>
      </c>
      <c r="R1230">
        <v>968.63099999999997</v>
      </c>
      <c r="S1230">
        <v>1.8582930576000002E-2</v>
      </c>
      <c r="T1230" s="4" t="s">
        <v>3319</v>
      </c>
    </row>
    <row r="1231" spans="1:20" x14ac:dyDescent="0.2">
      <c r="A1231" s="4" t="s">
        <v>3108</v>
      </c>
      <c r="B1231" s="4" t="s">
        <v>3317</v>
      </c>
      <c r="C1231" s="4" t="s">
        <v>2096</v>
      </c>
      <c r="D1231" s="4" t="s">
        <v>2236</v>
      </c>
      <c r="E1231" s="4" t="s">
        <v>3333</v>
      </c>
      <c r="F1231" s="4" t="s">
        <v>3318</v>
      </c>
      <c r="G1231" s="4" t="s">
        <v>3108</v>
      </c>
      <c r="H1231" s="4" t="s">
        <v>2183</v>
      </c>
      <c r="I1231" s="4" t="s">
        <v>2100</v>
      </c>
      <c r="J1231" s="4" t="s">
        <v>2549</v>
      </c>
      <c r="K1231">
        <v>19</v>
      </c>
      <c r="L1231">
        <v>5.7911999999999999</v>
      </c>
      <c r="M1231">
        <v>38.1</v>
      </c>
      <c r="N1231">
        <v>88.9</v>
      </c>
      <c r="O1231">
        <v>228</v>
      </c>
      <c r="P1231">
        <v>1.5000000000000002</v>
      </c>
      <c r="Q1231">
        <v>3.5000000000000004</v>
      </c>
      <c r="R1231">
        <v>968.63099999999997</v>
      </c>
      <c r="S1231">
        <v>1.9615315608000002E-2</v>
      </c>
      <c r="T1231" s="4" t="s">
        <v>3319</v>
      </c>
    </row>
    <row r="1232" spans="1:20" x14ac:dyDescent="0.2">
      <c r="A1232" s="4" t="s">
        <v>3108</v>
      </c>
      <c r="B1232" s="4" t="s">
        <v>3317</v>
      </c>
      <c r="C1232" s="4" t="s">
        <v>2096</v>
      </c>
      <c r="D1232" s="4" t="s">
        <v>2236</v>
      </c>
      <c r="E1232" s="4" t="s">
        <v>3334</v>
      </c>
      <c r="F1232" s="4" t="s">
        <v>3318</v>
      </c>
      <c r="G1232" s="4" t="s">
        <v>3108</v>
      </c>
      <c r="H1232" s="4" t="s">
        <v>2183</v>
      </c>
      <c r="I1232" s="4" t="s">
        <v>2100</v>
      </c>
      <c r="J1232" s="4" t="s">
        <v>2549</v>
      </c>
      <c r="K1232">
        <v>19</v>
      </c>
      <c r="L1232">
        <v>5.7911999999999999</v>
      </c>
      <c r="M1232">
        <v>38.1</v>
      </c>
      <c r="N1232">
        <v>88.9</v>
      </c>
      <c r="O1232">
        <v>228</v>
      </c>
      <c r="P1232">
        <v>1.5000000000000002</v>
      </c>
      <c r="Q1232">
        <v>3.5000000000000004</v>
      </c>
      <c r="R1232">
        <v>968.63099999999997</v>
      </c>
      <c r="S1232">
        <v>1.9615315608000002E-2</v>
      </c>
      <c r="T1232" s="4" t="s">
        <v>3319</v>
      </c>
    </row>
    <row r="1233" spans="1:20" x14ac:dyDescent="0.2">
      <c r="A1233" s="4" t="s">
        <v>3108</v>
      </c>
      <c r="B1233" s="4" t="s">
        <v>3317</v>
      </c>
      <c r="C1233" s="4" t="s">
        <v>2096</v>
      </c>
      <c r="D1233" s="4" t="s">
        <v>2236</v>
      </c>
      <c r="E1233" s="4" t="s">
        <v>595</v>
      </c>
      <c r="F1233" s="4" t="s">
        <v>3318</v>
      </c>
      <c r="G1233" s="4" t="s">
        <v>3108</v>
      </c>
      <c r="H1233" s="4" t="s">
        <v>2183</v>
      </c>
      <c r="I1233" s="4" t="s">
        <v>2100</v>
      </c>
      <c r="J1233" s="4" t="s">
        <v>2549</v>
      </c>
      <c r="K1233">
        <v>20</v>
      </c>
      <c r="L1233">
        <v>6.0960000000000001</v>
      </c>
      <c r="M1233">
        <v>38.1</v>
      </c>
      <c r="N1233">
        <v>88.9</v>
      </c>
      <c r="O1233">
        <v>240</v>
      </c>
      <c r="P1233">
        <v>1.5000000000000002</v>
      </c>
      <c r="Q1233">
        <v>3.5000000000000004</v>
      </c>
      <c r="R1233">
        <v>968.63099999999997</v>
      </c>
      <c r="S1233">
        <v>2.0647700640000002E-2</v>
      </c>
      <c r="T1233" s="4" t="s">
        <v>3319</v>
      </c>
    </row>
    <row r="1234" spans="1:20" x14ac:dyDescent="0.2">
      <c r="A1234" s="4" t="s">
        <v>3108</v>
      </c>
      <c r="B1234" s="4" t="s">
        <v>3317</v>
      </c>
      <c r="C1234" s="4" t="s">
        <v>2096</v>
      </c>
      <c r="D1234" s="4" t="s">
        <v>2236</v>
      </c>
      <c r="E1234" s="4" t="s">
        <v>3335</v>
      </c>
      <c r="F1234" s="4" t="s">
        <v>3318</v>
      </c>
      <c r="G1234" s="4" t="s">
        <v>3108</v>
      </c>
      <c r="H1234" s="4" t="s">
        <v>2183</v>
      </c>
      <c r="I1234" s="4" t="s">
        <v>2100</v>
      </c>
      <c r="J1234" s="4" t="s">
        <v>2549</v>
      </c>
      <c r="K1234">
        <v>20</v>
      </c>
      <c r="L1234">
        <v>6.0960000000000001</v>
      </c>
      <c r="M1234">
        <v>38.1</v>
      </c>
      <c r="N1234">
        <v>88.9</v>
      </c>
      <c r="O1234">
        <v>240</v>
      </c>
      <c r="P1234">
        <v>1.5000000000000002</v>
      </c>
      <c r="Q1234">
        <v>3.5000000000000004</v>
      </c>
      <c r="R1234">
        <v>968.63099999999997</v>
      </c>
      <c r="S1234">
        <v>2.0647700640000002E-2</v>
      </c>
      <c r="T1234" s="4" t="s">
        <v>3319</v>
      </c>
    </row>
    <row r="1235" spans="1:20" x14ac:dyDescent="0.2">
      <c r="A1235" s="4" t="s">
        <v>3108</v>
      </c>
      <c r="B1235" s="4" t="s">
        <v>3317</v>
      </c>
      <c r="C1235" s="4" t="s">
        <v>2096</v>
      </c>
      <c r="D1235" s="4" t="s">
        <v>2236</v>
      </c>
      <c r="E1235" s="4" t="s">
        <v>3336</v>
      </c>
      <c r="F1235" s="4" t="s">
        <v>3318</v>
      </c>
      <c r="G1235" s="4" t="s">
        <v>3108</v>
      </c>
      <c r="H1235" s="4" t="s">
        <v>2183</v>
      </c>
      <c r="I1235" s="4" t="s">
        <v>2100</v>
      </c>
      <c r="J1235" s="4" t="s">
        <v>2549</v>
      </c>
      <c r="K1235">
        <v>21</v>
      </c>
      <c r="L1235">
        <v>6.4008000000000003</v>
      </c>
      <c r="M1235">
        <v>38.1</v>
      </c>
      <c r="N1235">
        <v>88.9</v>
      </c>
      <c r="O1235">
        <v>252.00000000000003</v>
      </c>
      <c r="P1235">
        <v>1.5000000000000002</v>
      </c>
      <c r="Q1235">
        <v>3.5000000000000004</v>
      </c>
      <c r="R1235">
        <v>968.63099999999997</v>
      </c>
      <c r="S1235">
        <v>2.1680085672000003E-2</v>
      </c>
      <c r="T1235" s="4" t="s">
        <v>3319</v>
      </c>
    </row>
    <row r="1236" spans="1:20" x14ac:dyDescent="0.2">
      <c r="A1236" s="4" t="s">
        <v>3108</v>
      </c>
      <c r="B1236" s="4" t="s">
        <v>3317</v>
      </c>
      <c r="C1236" s="4" t="s">
        <v>2096</v>
      </c>
      <c r="D1236" s="4" t="s">
        <v>2236</v>
      </c>
      <c r="E1236" s="4" t="s">
        <v>3337</v>
      </c>
      <c r="F1236" s="4" t="s">
        <v>3318</v>
      </c>
      <c r="G1236" s="4" t="s">
        <v>3108</v>
      </c>
      <c r="H1236" s="4" t="s">
        <v>2183</v>
      </c>
      <c r="I1236" s="4" t="s">
        <v>2100</v>
      </c>
      <c r="J1236" s="4" t="s">
        <v>2549</v>
      </c>
      <c r="K1236">
        <v>21</v>
      </c>
      <c r="L1236">
        <v>6.4008000000000003</v>
      </c>
      <c r="M1236">
        <v>38.1</v>
      </c>
      <c r="N1236">
        <v>88.9</v>
      </c>
      <c r="O1236">
        <v>252.00000000000003</v>
      </c>
      <c r="P1236">
        <v>1.5000000000000002</v>
      </c>
      <c r="Q1236">
        <v>3.5000000000000004</v>
      </c>
      <c r="R1236">
        <v>968.63099999999997</v>
      </c>
      <c r="S1236">
        <v>2.1680085672000003E-2</v>
      </c>
      <c r="T1236" s="4" t="s">
        <v>3319</v>
      </c>
    </row>
    <row r="1237" spans="1:20" x14ac:dyDescent="0.2">
      <c r="A1237" s="4" t="s">
        <v>3108</v>
      </c>
      <c r="B1237" s="4" t="s">
        <v>3317</v>
      </c>
      <c r="C1237" s="4" t="s">
        <v>2096</v>
      </c>
      <c r="D1237" s="4" t="s">
        <v>2236</v>
      </c>
      <c r="E1237" s="4" t="s">
        <v>597</v>
      </c>
      <c r="F1237" s="4" t="s">
        <v>3318</v>
      </c>
      <c r="G1237" s="4" t="s">
        <v>3108</v>
      </c>
      <c r="H1237" s="4" t="s">
        <v>2183</v>
      </c>
      <c r="I1237" s="4" t="s">
        <v>2100</v>
      </c>
      <c r="J1237" s="4" t="s">
        <v>2549</v>
      </c>
      <c r="K1237">
        <v>22</v>
      </c>
      <c r="L1237">
        <v>6.7055999999999996</v>
      </c>
      <c r="M1237">
        <v>38.1</v>
      </c>
      <c r="N1237">
        <v>88.9</v>
      </c>
      <c r="O1237">
        <v>264</v>
      </c>
      <c r="P1237">
        <v>1.5000000000000002</v>
      </c>
      <c r="Q1237">
        <v>3.5000000000000004</v>
      </c>
      <c r="R1237">
        <v>968.63099999999997</v>
      </c>
      <c r="S1237">
        <v>2.2712470704000003E-2</v>
      </c>
      <c r="T1237" s="4" t="s">
        <v>3319</v>
      </c>
    </row>
    <row r="1238" spans="1:20" x14ac:dyDescent="0.2">
      <c r="A1238" s="4" t="s">
        <v>3108</v>
      </c>
      <c r="B1238" s="4" t="s">
        <v>3317</v>
      </c>
      <c r="C1238" s="4" t="s">
        <v>2096</v>
      </c>
      <c r="D1238" s="4" t="s">
        <v>2236</v>
      </c>
      <c r="E1238" s="4" t="s">
        <v>3338</v>
      </c>
      <c r="F1238" s="4" t="s">
        <v>3318</v>
      </c>
      <c r="G1238" s="4" t="s">
        <v>3108</v>
      </c>
      <c r="H1238" s="4" t="s">
        <v>2183</v>
      </c>
      <c r="I1238" s="4" t="s">
        <v>2100</v>
      </c>
      <c r="J1238" s="4" t="s">
        <v>2549</v>
      </c>
      <c r="K1238">
        <v>22</v>
      </c>
      <c r="L1238">
        <v>6.7055999999999996</v>
      </c>
      <c r="M1238">
        <v>38.1</v>
      </c>
      <c r="N1238">
        <v>88.9</v>
      </c>
      <c r="O1238">
        <v>264</v>
      </c>
      <c r="P1238">
        <v>1.5000000000000002</v>
      </c>
      <c r="Q1238">
        <v>3.5000000000000004</v>
      </c>
      <c r="R1238">
        <v>968.63099999999997</v>
      </c>
      <c r="S1238">
        <v>2.2712470704000003E-2</v>
      </c>
      <c r="T1238" s="4" t="s">
        <v>3319</v>
      </c>
    </row>
    <row r="1239" spans="1:20" x14ac:dyDescent="0.2">
      <c r="A1239" s="4" t="s">
        <v>3108</v>
      </c>
      <c r="B1239" s="4" t="s">
        <v>3317</v>
      </c>
      <c r="C1239" s="4" t="s">
        <v>2286</v>
      </c>
      <c r="D1239" s="4" t="s">
        <v>2236</v>
      </c>
      <c r="E1239" s="4" t="s">
        <v>599</v>
      </c>
      <c r="F1239" s="4" t="s">
        <v>3318</v>
      </c>
      <c r="G1239" s="4" t="s">
        <v>3108</v>
      </c>
      <c r="H1239" s="4" t="s">
        <v>2183</v>
      </c>
      <c r="I1239" s="4" t="s">
        <v>2100</v>
      </c>
      <c r="J1239" s="4" t="s">
        <v>2549</v>
      </c>
      <c r="K1239">
        <v>3</v>
      </c>
      <c r="L1239">
        <v>0.91439999999999999</v>
      </c>
      <c r="M1239">
        <v>38.1</v>
      </c>
      <c r="N1239">
        <v>88.9</v>
      </c>
      <c r="O1239">
        <v>36</v>
      </c>
      <c r="P1239">
        <v>1.5000000000000002</v>
      </c>
      <c r="Q1239">
        <v>3.5000000000000004</v>
      </c>
      <c r="R1239">
        <v>968.63099999999997</v>
      </c>
      <c r="S1239">
        <v>3.0971550959999999E-3</v>
      </c>
      <c r="T1239" s="4" t="s">
        <v>3339</v>
      </c>
    </row>
    <row r="1240" spans="1:20" x14ac:dyDescent="0.2">
      <c r="A1240" s="4" t="s">
        <v>3108</v>
      </c>
      <c r="B1240" s="4" t="s">
        <v>3317</v>
      </c>
      <c r="C1240" s="4" t="s">
        <v>2286</v>
      </c>
      <c r="D1240" s="4" t="s">
        <v>2236</v>
      </c>
      <c r="E1240" s="4" t="s">
        <v>3340</v>
      </c>
      <c r="F1240" s="4" t="s">
        <v>3318</v>
      </c>
      <c r="G1240" s="4" t="s">
        <v>3108</v>
      </c>
      <c r="H1240" s="4" t="s">
        <v>2183</v>
      </c>
      <c r="I1240" s="4" t="s">
        <v>2100</v>
      </c>
      <c r="J1240" s="4" t="s">
        <v>2549</v>
      </c>
      <c r="K1240">
        <v>3</v>
      </c>
      <c r="L1240">
        <v>0.91439999999999999</v>
      </c>
      <c r="M1240">
        <v>38.1</v>
      </c>
      <c r="N1240">
        <v>88.9</v>
      </c>
      <c r="O1240">
        <v>36</v>
      </c>
      <c r="P1240">
        <v>1.5000000000000002</v>
      </c>
      <c r="Q1240">
        <v>3.5000000000000004</v>
      </c>
      <c r="R1240">
        <v>968.63099999999997</v>
      </c>
      <c r="S1240">
        <v>3.0971550959999999E-3</v>
      </c>
      <c r="T1240" s="4" t="s">
        <v>3339</v>
      </c>
    </row>
    <row r="1241" spans="1:20" x14ac:dyDescent="0.2">
      <c r="A1241" s="4" t="s">
        <v>3108</v>
      </c>
      <c r="B1241" s="4" t="s">
        <v>3317</v>
      </c>
      <c r="C1241" s="4" t="s">
        <v>2286</v>
      </c>
      <c r="D1241" s="4" t="s">
        <v>2236</v>
      </c>
      <c r="E1241" s="4" t="s">
        <v>601</v>
      </c>
      <c r="F1241" s="4" t="s">
        <v>3318</v>
      </c>
      <c r="G1241" s="4" t="s">
        <v>3108</v>
      </c>
      <c r="H1241" s="4" t="s">
        <v>2183</v>
      </c>
      <c r="I1241" s="4" t="s">
        <v>2100</v>
      </c>
      <c r="J1241" s="4" t="s">
        <v>2549</v>
      </c>
      <c r="K1241">
        <v>4</v>
      </c>
      <c r="L1241">
        <v>1.2192000000000001</v>
      </c>
      <c r="M1241">
        <v>38.1</v>
      </c>
      <c r="N1241">
        <v>88.9</v>
      </c>
      <c r="O1241">
        <v>48.000000000000007</v>
      </c>
      <c r="P1241">
        <v>1.5000000000000002</v>
      </c>
      <c r="Q1241">
        <v>3.5000000000000004</v>
      </c>
      <c r="R1241">
        <v>968.63099999999997</v>
      </c>
      <c r="S1241">
        <v>4.1295401280000005E-3</v>
      </c>
      <c r="T1241" s="4" t="s">
        <v>3339</v>
      </c>
    </row>
    <row r="1242" spans="1:20" x14ac:dyDescent="0.2">
      <c r="A1242" s="4" t="s">
        <v>3108</v>
      </c>
      <c r="B1242" s="4" t="s">
        <v>3317</v>
      </c>
      <c r="C1242" s="4" t="s">
        <v>2286</v>
      </c>
      <c r="D1242" s="4" t="s">
        <v>2236</v>
      </c>
      <c r="E1242" s="4" t="s">
        <v>3341</v>
      </c>
      <c r="F1242" s="4" t="s">
        <v>3318</v>
      </c>
      <c r="G1242" s="4" t="s">
        <v>3108</v>
      </c>
      <c r="H1242" s="4" t="s">
        <v>2183</v>
      </c>
      <c r="I1242" s="4" t="s">
        <v>2100</v>
      </c>
      <c r="J1242" s="4" t="s">
        <v>2549</v>
      </c>
      <c r="K1242">
        <v>4</v>
      </c>
      <c r="L1242">
        <v>1.2192000000000001</v>
      </c>
      <c r="M1242">
        <v>38.1</v>
      </c>
      <c r="N1242">
        <v>88.9</v>
      </c>
      <c r="O1242">
        <v>48.000000000000007</v>
      </c>
      <c r="P1242">
        <v>1.5000000000000002</v>
      </c>
      <c r="Q1242">
        <v>3.5000000000000004</v>
      </c>
      <c r="R1242">
        <v>968.63099999999997</v>
      </c>
      <c r="S1242">
        <v>4.1295401280000005E-3</v>
      </c>
      <c r="T1242" s="4" t="s">
        <v>3339</v>
      </c>
    </row>
    <row r="1243" spans="1:20" x14ac:dyDescent="0.2">
      <c r="A1243" s="4" t="s">
        <v>3108</v>
      </c>
      <c r="B1243" s="4" t="s">
        <v>3317</v>
      </c>
      <c r="C1243" s="4" t="s">
        <v>2286</v>
      </c>
      <c r="D1243" s="4" t="s">
        <v>2236</v>
      </c>
      <c r="E1243" s="4" t="s">
        <v>603</v>
      </c>
      <c r="F1243" s="4" t="s">
        <v>3318</v>
      </c>
      <c r="G1243" s="4" t="s">
        <v>3108</v>
      </c>
      <c r="H1243" s="4" t="s">
        <v>2183</v>
      </c>
      <c r="I1243" s="4" t="s">
        <v>2100</v>
      </c>
      <c r="J1243" s="4" t="s">
        <v>2549</v>
      </c>
      <c r="K1243">
        <v>5</v>
      </c>
      <c r="L1243">
        <v>1.524</v>
      </c>
      <c r="M1243">
        <v>38.1</v>
      </c>
      <c r="N1243">
        <v>88.9</v>
      </c>
      <c r="O1243">
        <v>60</v>
      </c>
      <c r="P1243">
        <v>1.5000000000000002</v>
      </c>
      <c r="Q1243">
        <v>3.5000000000000004</v>
      </c>
      <c r="R1243">
        <v>968.63099999999997</v>
      </c>
      <c r="S1243">
        <v>5.1619251600000006E-3</v>
      </c>
      <c r="T1243" s="4" t="s">
        <v>3339</v>
      </c>
    </row>
    <row r="1244" spans="1:20" x14ac:dyDescent="0.2">
      <c r="A1244" s="4" t="s">
        <v>3108</v>
      </c>
      <c r="B1244" s="4" t="s">
        <v>3317</v>
      </c>
      <c r="C1244" s="4" t="s">
        <v>2286</v>
      </c>
      <c r="D1244" s="4" t="s">
        <v>2236</v>
      </c>
      <c r="E1244" s="4" t="s">
        <v>3342</v>
      </c>
      <c r="F1244" s="4" t="s">
        <v>3318</v>
      </c>
      <c r="G1244" s="4" t="s">
        <v>3108</v>
      </c>
      <c r="H1244" s="4" t="s">
        <v>2183</v>
      </c>
      <c r="I1244" s="4" t="s">
        <v>2100</v>
      </c>
      <c r="J1244" s="4" t="s">
        <v>2549</v>
      </c>
      <c r="K1244">
        <v>5</v>
      </c>
      <c r="L1244">
        <v>1.524</v>
      </c>
      <c r="M1244">
        <v>38.1</v>
      </c>
      <c r="N1244">
        <v>88.9</v>
      </c>
      <c r="O1244">
        <v>60</v>
      </c>
      <c r="P1244">
        <v>1.5000000000000002</v>
      </c>
      <c r="Q1244">
        <v>3.5000000000000004</v>
      </c>
      <c r="R1244">
        <v>968.63099999999997</v>
      </c>
      <c r="S1244">
        <v>5.1619251600000006E-3</v>
      </c>
      <c r="T1244" s="4" t="s">
        <v>3339</v>
      </c>
    </row>
    <row r="1245" spans="1:20" x14ac:dyDescent="0.2">
      <c r="A1245" s="4" t="s">
        <v>3108</v>
      </c>
      <c r="B1245" s="4" t="s">
        <v>3317</v>
      </c>
      <c r="C1245" s="4" t="s">
        <v>2286</v>
      </c>
      <c r="D1245" s="4" t="s">
        <v>2236</v>
      </c>
      <c r="E1245" s="4" t="s">
        <v>605</v>
      </c>
      <c r="F1245" s="4" t="s">
        <v>3318</v>
      </c>
      <c r="G1245" s="4" t="s">
        <v>3108</v>
      </c>
      <c r="H1245" s="4" t="s">
        <v>2183</v>
      </c>
      <c r="I1245" s="4" t="s">
        <v>2100</v>
      </c>
      <c r="J1245" s="4" t="s">
        <v>2549</v>
      </c>
      <c r="K1245">
        <v>6</v>
      </c>
      <c r="L1245">
        <v>1.8288</v>
      </c>
      <c r="M1245">
        <v>38.1</v>
      </c>
      <c r="N1245">
        <v>88.9</v>
      </c>
      <c r="O1245">
        <v>72</v>
      </c>
      <c r="P1245">
        <v>1.5000000000000002</v>
      </c>
      <c r="Q1245">
        <v>3.5000000000000004</v>
      </c>
      <c r="R1245">
        <v>968.63099999999997</v>
      </c>
      <c r="S1245">
        <v>6.1943101919999998E-3</v>
      </c>
      <c r="T1245" s="4" t="s">
        <v>3339</v>
      </c>
    </row>
    <row r="1246" spans="1:20" x14ac:dyDescent="0.2">
      <c r="A1246" s="4" t="s">
        <v>3108</v>
      </c>
      <c r="B1246" s="4" t="s">
        <v>3317</v>
      </c>
      <c r="C1246" s="4" t="s">
        <v>2286</v>
      </c>
      <c r="D1246" s="4" t="s">
        <v>2236</v>
      </c>
      <c r="E1246" s="4" t="s">
        <v>3343</v>
      </c>
      <c r="F1246" s="4" t="s">
        <v>3318</v>
      </c>
      <c r="G1246" s="4" t="s">
        <v>3108</v>
      </c>
      <c r="H1246" s="4" t="s">
        <v>2183</v>
      </c>
      <c r="I1246" s="4" t="s">
        <v>2100</v>
      </c>
      <c r="J1246" s="4" t="s">
        <v>2549</v>
      </c>
      <c r="K1246">
        <v>6</v>
      </c>
      <c r="L1246">
        <v>1.8288</v>
      </c>
      <c r="M1246">
        <v>38.1</v>
      </c>
      <c r="N1246">
        <v>88.9</v>
      </c>
      <c r="O1246">
        <v>72</v>
      </c>
      <c r="P1246">
        <v>1.5000000000000002</v>
      </c>
      <c r="Q1246">
        <v>3.5000000000000004</v>
      </c>
      <c r="R1246">
        <v>968.63099999999997</v>
      </c>
      <c r="S1246">
        <v>6.1943101919999998E-3</v>
      </c>
      <c r="T1246" s="4" t="s">
        <v>3339</v>
      </c>
    </row>
    <row r="1247" spans="1:20" x14ac:dyDescent="0.2">
      <c r="A1247" s="4" t="s">
        <v>3108</v>
      </c>
      <c r="B1247" s="4" t="s">
        <v>3317</v>
      </c>
      <c r="C1247" s="4" t="s">
        <v>2286</v>
      </c>
      <c r="D1247" s="4" t="s">
        <v>2236</v>
      </c>
      <c r="E1247" s="4" t="s">
        <v>607</v>
      </c>
      <c r="F1247" s="4" t="s">
        <v>3318</v>
      </c>
      <c r="G1247" s="4" t="s">
        <v>3108</v>
      </c>
      <c r="H1247" s="4" t="s">
        <v>2183</v>
      </c>
      <c r="I1247" s="4" t="s">
        <v>2100</v>
      </c>
      <c r="J1247" s="4" t="s">
        <v>2549</v>
      </c>
      <c r="K1247">
        <v>7</v>
      </c>
      <c r="L1247">
        <v>2.1335999999999999</v>
      </c>
      <c r="M1247">
        <v>38.1</v>
      </c>
      <c r="N1247">
        <v>88.9</v>
      </c>
      <c r="O1247">
        <v>84</v>
      </c>
      <c r="P1247">
        <v>1.5000000000000002</v>
      </c>
      <c r="Q1247">
        <v>3.5000000000000004</v>
      </c>
      <c r="R1247">
        <v>968.63099999999997</v>
      </c>
      <c r="S1247">
        <v>7.226695224E-3</v>
      </c>
      <c r="T1247" s="4" t="s">
        <v>3339</v>
      </c>
    </row>
    <row r="1248" spans="1:20" x14ac:dyDescent="0.2">
      <c r="A1248" s="4" t="s">
        <v>3108</v>
      </c>
      <c r="B1248" s="4" t="s">
        <v>3317</v>
      </c>
      <c r="C1248" s="4" t="s">
        <v>2286</v>
      </c>
      <c r="D1248" s="4" t="s">
        <v>2236</v>
      </c>
      <c r="E1248" s="4" t="s">
        <v>3344</v>
      </c>
      <c r="F1248" s="4" t="s">
        <v>3318</v>
      </c>
      <c r="G1248" s="4" t="s">
        <v>3108</v>
      </c>
      <c r="H1248" s="4" t="s">
        <v>2183</v>
      </c>
      <c r="I1248" s="4" t="s">
        <v>2100</v>
      </c>
      <c r="J1248" s="4" t="s">
        <v>2549</v>
      </c>
      <c r="K1248">
        <v>7</v>
      </c>
      <c r="L1248">
        <v>2.1335999999999999</v>
      </c>
      <c r="M1248">
        <v>38.1</v>
      </c>
      <c r="N1248">
        <v>88.9</v>
      </c>
      <c r="O1248">
        <v>84</v>
      </c>
      <c r="P1248">
        <v>1.5000000000000002</v>
      </c>
      <c r="Q1248">
        <v>3.5000000000000004</v>
      </c>
      <c r="R1248">
        <v>968.63099999999997</v>
      </c>
      <c r="S1248">
        <v>7.226695224E-3</v>
      </c>
      <c r="T1248" s="4" t="s">
        <v>3339</v>
      </c>
    </row>
    <row r="1249" spans="1:20" x14ac:dyDescent="0.2">
      <c r="A1249" s="4" t="s">
        <v>3108</v>
      </c>
      <c r="B1249" s="4" t="s">
        <v>3317</v>
      </c>
      <c r="C1249" s="4" t="s">
        <v>2096</v>
      </c>
      <c r="D1249" s="4" t="s">
        <v>2236</v>
      </c>
      <c r="E1249" s="4" t="s">
        <v>609</v>
      </c>
      <c r="F1249" s="4" t="s">
        <v>3318</v>
      </c>
      <c r="G1249" s="4" t="s">
        <v>3108</v>
      </c>
      <c r="H1249" s="4" t="s">
        <v>2183</v>
      </c>
      <c r="I1249" s="4" t="s">
        <v>2100</v>
      </c>
      <c r="J1249" s="4" t="s">
        <v>2549</v>
      </c>
      <c r="K1249">
        <v>8</v>
      </c>
      <c r="L1249">
        <v>2.4384000000000001</v>
      </c>
      <c r="M1249">
        <v>38.1</v>
      </c>
      <c r="N1249">
        <v>88.9</v>
      </c>
      <c r="O1249">
        <v>96.000000000000014</v>
      </c>
      <c r="P1249">
        <v>1.5000000000000002</v>
      </c>
      <c r="Q1249">
        <v>3.5000000000000004</v>
      </c>
      <c r="R1249">
        <v>968.63099999999997</v>
      </c>
      <c r="S1249">
        <v>8.259080256000001E-3</v>
      </c>
      <c r="T1249" s="4" t="s">
        <v>3319</v>
      </c>
    </row>
    <row r="1250" spans="1:20" x14ac:dyDescent="0.2">
      <c r="A1250" s="4" t="s">
        <v>3108</v>
      </c>
      <c r="B1250" s="4" t="s">
        <v>3317</v>
      </c>
      <c r="C1250" s="4" t="s">
        <v>2096</v>
      </c>
      <c r="D1250" s="4" t="s">
        <v>2236</v>
      </c>
      <c r="E1250" s="4" t="s">
        <v>3345</v>
      </c>
      <c r="F1250" s="4" t="s">
        <v>3318</v>
      </c>
      <c r="G1250" s="4" t="s">
        <v>3108</v>
      </c>
      <c r="H1250" s="4" t="s">
        <v>2183</v>
      </c>
      <c r="I1250" s="4" t="s">
        <v>2100</v>
      </c>
      <c r="J1250" s="4" t="s">
        <v>2549</v>
      </c>
      <c r="K1250">
        <v>8</v>
      </c>
      <c r="L1250">
        <v>2.4384000000000001</v>
      </c>
      <c r="M1250">
        <v>38.1</v>
      </c>
      <c r="N1250">
        <v>88.9</v>
      </c>
      <c r="O1250">
        <v>96.000000000000014</v>
      </c>
      <c r="P1250">
        <v>1.5000000000000002</v>
      </c>
      <c r="Q1250">
        <v>3.5000000000000004</v>
      </c>
      <c r="R1250">
        <v>968.63099999999997</v>
      </c>
      <c r="S1250">
        <v>8.259080256000001E-3</v>
      </c>
      <c r="T1250" s="4" t="s">
        <v>3319</v>
      </c>
    </row>
    <row r="1251" spans="1:20" x14ac:dyDescent="0.2">
      <c r="A1251" s="4" t="s">
        <v>3108</v>
      </c>
      <c r="B1251" s="4" t="s">
        <v>3317</v>
      </c>
      <c r="C1251" s="4" t="s">
        <v>2096</v>
      </c>
      <c r="D1251" s="4" t="s">
        <v>2236</v>
      </c>
      <c r="E1251" s="4" t="s">
        <v>3346</v>
      </c>
      <c r="F1251" s="4" t="s">
        <v>3318</v>
      </c>
      <c r="G1251" s="4" t="s">
        <v>3108</v>
      </c>
      <c r="H1251" s="4" t="s">
        <v>2183</v>
      </c>
      <c r="I1251" s="4" t="s">
        <v>2100</v>
      </c>
      <c r="J1251" s="4" t="s">
        <v>2549</v>
      </c>
      <c r="K1251">
        <v>9</v>
      </c>
      <c r="L1251">
        <v>2.7431999999999999</v>
      </c>
      <c r="M1251">
        <v>38.1</v>
      </c>
      <c r="N1251">
        <v>88.9</v>
      </c>
      <c r="O1251">
        <v>108</v>
      </c>
      <c r="P1251">
        <v>1.5000000000000002</v>
      </c>
      <c r="Q1251">
        <v>3.5000000000000004</v>
      </c>
      <c r="R1251">
        <v>968.63099999999997</v>
      </c>
      <c r="S1251">
        <v>9.2914652880000011E-3</v>
      </c>
      <c r="T1251" s="4" t="s">
        <v>3319</v>
      </c>
    </row>
    <row r="1252" spans="1:20" x14ac:dyDescent="0.2">
      <c r="A1252" s="4" t="s">
        <v>3108</v>
      </c>
      <c r="B1252" s="4" t="s">
        <v>3317</v>
      </c>
      <c r="C1252" s="4" t="s">
        <v>2096</v>
      </c>
      <c r="D1252" s="4" t="s">
        <v>2236</v>
      </c>
      <c r="E1252" s="4" t="s">
        <v>3347</v>
      </c>
      <c r="F1252" s="4" t="s">
        <v>3318</v>
      </c>
      <c r="G1252" s="4" t="s">
        <v>3108</v>
      </c>
      <c r="H1252" s="4" t="s">
        <v>2183</v>
      </c>
      <c r="I1252" s="4" t="s">
        <v>2100</v>
      </c>
      <c r="J1252" s="4" t="s">
        <v>2549</v>
      </c>
      <c r="K1252">
        <v>9</v>
      </c>
      <c r="L1252">
        <v>2.7431999999999999</v>
      </c>
      <c r="M1252">
        <v>38.1</v>
      </c>
      <c r="N1252">
        <v>88.9</v>
      </c>
      <c r="O1252">
        <v>108</v>
      </c>
      <c r="P1252">
        <v>1.5000000000000002</v>
      </c>
      <c r="Q1252">
        <v>3.5000000000000004</v>
      </c>
      <c r="R1252">
        <v>968.63099999999997</v>
      </c>
      <c r="S1252">
        <v>9.2914652880000011E-3</v>
      </c>
      <c r="T1252" s="4" t="s">
        <v>3319</v>
      </c>
    </row>
    <row r="1253" spans="1:20" x14ac:dyDescent="0.2">
      <c r="A1253" s="4" t="s">
        <v>3108</v>
      </c>
      <c r="B1253" s="4" t="s">
        <v>3348</v>
      </c>
      <c r="C1253" s="4" t="s">
        <v>2096</v>
      </c>
      <c r="D1253" s="4" t="s">
        <v>2236</v>
      </c>
      <c r="E1253" s="4" t="s">
        <v>611</v>
      </c>
      <c r="F1253" s="4" t="s">
        <v>3349</v>
      </c>
      <c r="G1253" s="4" t="s">
        <v>3108</v>
      </c>
      <c r="H1253" s="4" t="s">
        <v>2183</v>
      </c>
      <c r="I1253" s="4" t="s">
        <v>2100</v>
      </c>
      <c r="J1253" s="4" t="s">
        <v>2570</v>
      </c>
      <c r="K1253">
        <v>10</v>
      </c>
      <c r="L1253">
        <v>3.048</v>
      </c>
      <c r="M1253">
        <v>38.1</v>
      </c>
      <c r="N1253">
        <v>139.69999999999999</v>
      </c>
      <c r="O1253">
        <v>120</v>
      </c>
      <c r="P1253">
        <v>1.5000000000000002</v>
      </c>
      <c r="Q1253">
        <v>5.5</v>
      </c>
      <c r="R1253">
        <v>616.40099999999995</v>
      </c>
      <c r="S1253">
        <v>1.6223193359999999E-2</v>
      </c>
      <c r="T1253" s="4" t="s">
        <v>3350</v>
      </c>
    </row>
    <row r="1254" spans="1:20" x14ac:dyDescent="0.2">
      <c r="A1254" s="4" t="s">
        <v>3108</v>
      </c>
      <c r="B1254" s="4" t="s">
        <v>3348</v>
      </c>
      <c r="C1254" s="4" t="s">
        <v>2096</v>
      </c>
      <c r="D1254" s="4" t="s">
        <v>2236</v>
      </c>
      <c r="E1254" s="4" t="s">
        <v>3351</v>
      </c>
      <c r="F1254" s="4" t="s">
        <v>3349</v>
      </c>
      <c r="G1254" s="4" t="s">
        <v>3108</v>
      </c>
      <c r="H1254" s="4" t="s">
        <v>2183</v>
      </c>
      <c r="I1254" s="4" t="s">
        <v>2100</v>
      </c>
      <c r="J1254" s="4" t="s">
        <v>2570</v>
      </c>
      <c r="K1254">
        <v>10</v>
      </c>
      <c r="L1254">
        <v>3.048</v>
      </c>
      <c r="M1254">
        <v>38.1</v>
      </c>
      <c r="N1254">
        <v>139.69999999999999</v>
      </c>
      <c r="O1254">
        <v>120</v>
      </c>
      <c r="P1254">
        <v>1.5000000000000002</v>
      </c>
      <c r="Q1254">
        <v>5.5</v>
      </c>
      <c r="R1254">
        <v>616.40099999999995</v>
      </c>
      <c r="S1254">
        <v>1.6223193359999999E-2</v>
      </c>
      <c r="T1254" s="4" t="s">
        <v>3350</v>
      </c>
    </row>
    <row r="1255" spans="1:20" x14ac:dyDescent="0.2">
      <c r="A1255" s="4" t="s">
        <v>3108</v>
      </c>
      <c r="B1255" s="4" t="s">
        <v>3348</v>
      </c>
      <c r="C1255" s="4" t="s">
        <v>2096</v>
      </c>
      <c r="D1255" s="4" t="s">
        <v>2236</v>
      </c>
      <c r="E1255" s="4" t="s">
        <v>3352</v>
      </c>
      <c r="F1255" s="4" t="s">
        <v>3349</v>
      </c>
      <c r="G1255" s="4" t="s">
        <v>3108</v>
      </c>
      <c r="H1255" s="4" t="s">
        <v>2183</v>
      </c>
      <c r="I1255" s="4" t="s">
        <v>2100</v>
      </c>
      <c r="J1255" s="4" t="s">
        <v>2570</v>
      </c>
      <c r="K1255">
        <v>11</v>
      </c>
      <c r="L1255">
        <v>3.3527999999999998</v>
      </c>
      <c r="M1255">
        <v>38.1</v>
      </c>
      <c r="N1255">
        <v>139.69999999999999</v>
      </c>
      <c r="O1255">
        <v>132</v>
      </c>
      <c r="P1255">
        <v>1.5000000000000002</v>
      </c>
      <c r="Q1255">
        <v>5.5</v>
      </c>
      <c r="R1255">
        <v>616.40099999999995</v>
      </c>
      <c r="S1255">
        <v>1.7845512695999998E-2</v>
      </c>
      <c r="T1255" s="4" t="s">
        <v>3350</v>
      </c>
    </row>
    <row r="1256" spans="1:20" x14ac:dyDescent="0.2">
      <c r="A1256" s="4" t="s">
        <v>3108</v>
      </c>
      <c r="B1256" s="4" t="s">
        <v>3348</v>
      </c>
      <c r="C1256" s="4" t="s">
        <v>2096</v>
      </c>
      <c r="D1256" s="4" t="s">
        <v>2236</v>
      </c>
      <c r="E1256" s="4" t="s">
        <v>3353</v>
      </c>
      <c r="F1256" s="4" t="s">
        <v>3349</v>
      </c>
      <c r="G1256" s="4" t="s">
        <v>3108</v>
      </c>
      <c r="H1256" s="4" t="s">
        <v>2183</v>
      </c>
      <c r="I1256" s="4" t="s">
        <v>2100</v>
      </c>
      <c r="J1256" s="4" t="s">
        <v>2570</v>
      </c>
      <c r="K1256">
        <v>11</v>
      </c>
      <c r="L1256">
        <v>3.3527999999999998</v>
      </c>
      <c r="M1256">
        <v>38.1</v>
      </c>
      <c r="N1256">
        <v>139.69999999999999</v>
      </c>
      <c r="O1256">
        <v>132</v>
      </c>
      <c r="P1256">
        <v>1.5000000000000002</v>
      </c>
      <c r="Q1256">
        <v>5.5</v>
      </c>
      <c r="R1256">
        <v>616.40099999999995</v>
      </c>
      <c r="S1256">
        <v>1.7845512695999998E-2</v>
      </c>
      <c r="T1256" s="4" t="s">
        <v>3350</v>
      </c>
    </row>
    <row r="1257" spans="1:20" x14ac:dyDescent="0.2">
      <c r="A1257" s="4" t="s">
        <v>3108</v>
      </c>
      <c r="B1257" s="4" t="s">
        <v>3348</v>
      </c>
      <c r="C1257" s="4" t="s">
        <v>2096</v>
      </c>
      <c r="D1257" s="4" t="s">
        <v>2236</v>
      </c>
      <c r="E1257" s="4" t="s">
        <v>616</v>
      </c>
      <c r="F1257" s="4" t="s">
        <v>3349</v>
      </c>
      <c r="G1257" s="4" t="s">
        <v>3108</v>
      </c>
      <c r="H1257" s="4" t="s">
        <v>2183</v>
      </c>
      <c r="I1257" s="4" t="s">
        <v>2100</v>
      </c>
      <c r="J1257" s="4" t="s">
        <v>2570</v>
      </c>
      <c r="K1257">
        <v>12</v>
      </c>
      <c r="L1257">
        <v>3.6576</v>
      </c>
      <c r="M1257">
        <v>38.1</v>
      </c>
      <c r="N1257">
        <v>139.69999999999999</v>
      </c>
      <c r="O1257">
        <v>144</v>
      </c>
      <c r="P1257">
        <v>1.5000000000000002</v>
      </c>
      <c r="Q1257">
        <v>5.5</v>
      </c>
      <c r="R1257">
        <v>616.40099999999995</v>
      </c>
      <c r="S1257">
        <v>1.9467832031999997E-2</v>
      </c>
      <c r="T1257" s="4" t="s">
        <v>3350</v>
      </c>
    </row>
    <row r="1258" spans="1:20" x14ac:dyDescent="0.2">
      <c r="A1258" s="4" t="s">
        <v>3108</v>
      </c>
      <c r="B1258" s="4" t="s">
        <v>3348</v>
      </c>
      <c r="C1258" s="4" t="s">
        <v>2096</v>
      </c>
      <c r="D1258" s="4" t="s">
        <v>2236</v>
      </c>
      <c r="E1258" s="4" t="s">
        <v>3354</v>
      </c>
      <c r="F1258" s="4" t="s">
        <v>3349</v>
      </c>
      <c r="G1258" s="4" t="s">
        <v>3108</v>
      </c>
      <c r="H1258" s="4" t="s">
        <v>2183</v>
      </c>
      <c r="I1258" s="4" t="s">
        <v>2100</v>
      </c>
      <c r="J1258" s="4" t="s">
        <v>2570</v>
      </c>
      <c r="K1258">
        <v>12</v>
      </c>
      <c r="L1258">
        <v>3.6576</v>
      </c>
      <c r="M1258">
        <v>38.1</v>
      </c>
      <c r="N1258">
        <v>139.69999999999999</v>
      </c>
      <c r="O1258">
        <v>144</v>
      </c>
      <c r="P1258">
        <v>1.5000000000000002</v>
      </c>
      <c r="Q1258">
        <v>5.5</v>
      </c>
      <c r="R1258">
        <v>616.40099999999995</v>
      </c>
      <c r="S1258">
        <v>1.9467832031999997E-2</v>
      </c>
      <c r="T1258" s="4" t="s">
        <v>3350</v>
      </c>
    </row>
    <row r="1259" spans="1:20" x14ac:dyDescent="0.2">
      <c r="A1259" s="4" t="s">
        <v>3108</v>
      </c>
      <c r="B1259" s="4" t="s">
        <v>3348</v>
      </c>
      <c r="C1259" s="4" t="s">
        <v>2096</v>
      </c>
      <c r="D1259" s="4" t="s">
        <v>2236</v>
      </c>
      <c r="E1259" s="4" t="s">
        <v>3355</v>
      </c>
      <c r="F1259" s="4" t="s">
        <v>3349</v>
      </c>
      <c r="G1259" s="4" t="s">
        <v>3108</v>
      </c>
      <c r="H1259" s="4" t="s">
        <v>2183</v>
      </c>
      <c r="I1259" s="4" t="s">
        <v>2100</v>
      </c>
      <c r="J1259" s="4" t="s">
        <v>2570</v>
      </c>
      <c r="K1259">
        <v>13</v>
      </c>
      <c r="L1259">
        <v>3.9624000000000001</v>
      </c>
      <c r="M1259">
        <v>38.1</v>
      </c>
      <c r="N1259">
        <v>139.69999999999999</v>
      </c>
      <c r="O1259">
        <v>156</v>
      </c>
      <c r="P1259">
        <v>1.5000000000000002</v>
      </c>
      <c r="Q1259">
        <v>5.5</v>
      </c>
      <c r="R1259">
        <v>616.40099999999995</v>
      </c>
      <c r="S1259">
        <v>2.1090151368E-2</v>
      </c>
      <c r="T1259" s="4" t="s">
        <v>3350</v>
      </c>
    </row>
    <row r="1260" spans="1:20" x14ac:dyDescent="0.2">
      <c r="A1260" s="4" t="s">
        <v>3108</v>
      </c>
      <c r="B1260" s="4" t="s">
        <v>3348</v>
      </c>
      <c r="C1260" s="4" t="s">
        <v>2096</v>
      </c>
      <c r="D1260" s="4" t="s">
        <v>2236</v>
      </c>
      <c r="E1260" s="4" t="s">
        <v>3356</v>
      </c>
      <c r="F1260" s="4" t="s">
        <v>3349</v>
      </c>
      <c r="G1260" s="4" t="s">
        <v>3108</v>
      </c>
      <c r="H1260" s="4" t="s">
        <v>2183</v>
      </c>
      <c r="I1260" s="4" t="s">
        <v>2100</v>
      </c>
      <c r="J1260" s="4" t="s">
        <v>2570</v>
      </c>
      <c r="K1260">
        <v>13</v>
      </c>
      <c r="L1260">
        <v>3.9624000000000001</v>
      </c>
      <c r="M1260">
        <v>38.1</v>
      </c>
      <c r="N1260">
        <v>139.69999999999999</v>
      </c>
      <c r="O1260">
        <v>156</v>
      </c>
      <c r="P1260">
        <v>1.5000000000000002</v>
      </c>
      <c r="Q1260">
        <v>5.5</v>
      </c>
      <c r="R1260">
        <v>616.40099999999995</v>
      </c>
      <c r="S1260">
        <v>2.1090151368E-2</v>
      </c>
      <c r="T1260" s="4" t="s">
        <v>3350</v>
      </c>
    </row>
    <row r="1261" spans="1:20" x14ac:dyDescent="0.2">
      <c r="A1261" s="4" t="s">
        <v>3108</v>
      </c>
      <c r="B1261" s="4" t="s">
        <v>3348</v>
      </c>
      <c r="C1261" s="4" t="s">
        <v>2096</v>
      </c>
      <c r="D1261" s="4" t="s">
        <v>2236</v>
      </c>
      <c r="E1261" s="4" t="s">
        <v>618</v>
      </c>
      <c r="F1261" s="4" t="s">
        <v>3349</v>
      </c>
      <c r="G1261" s="4" t="s">
        <v>3108</v>
      </c>
      <c r="H1261" s="4" t="s">
        <v>2183</v>
      </c>
      <c r="I1261" s="4" t="s">
        <v>2100</v>
      </c>
      <c r="J1261" s="4" t="s">
        <v>2570</v>
      </c>
      <c r="K1261">
        <v>14</v>
      </c>
      <c r="L1261">
        <v>4.2671999999999999</v>
      </c>
      <c r="M1261">
        <v>38.1</v>
      </c>
      <c r="N1261">
        <v>139.69999999999999</v>
      </c>
      <c r="O1261">
        <v>168</v>
      </c>
      <c r="P1261">
        <v>1.5000000000000002</v>
      </c>
      <c r="Q1261">
        <v>5.5</v>
      </c>
      <c r="R1261">
        <v>616.40099999999995</v>
      </c>
      <c r="S1261">
        <v>2.2712470703999999E-2</v>
      </c>
      <c r="T1261" s="4" t="s">
        <v>3350</v>
      </c>
    </row>
    <row r="1262" spans="1:20" x14ac:dyDescent="0.2">
      <c r="A1262" s="4" t="s">
        <v>3108</v>
      </c>
      <c r="B1262" s="4" t="s">
        <v>3348</v>
      </c>
      <c r="C1262" s="4" t="s">
        <v>2096</v>
      </c>
      <c r="D1262" s="4" t="s">
        <v>2236</v>
      </c>
      <c r="E1262" s="4" t="s">
        <v>3357</v>
      </c>
      <c r="F1262" s="4" t="s">
        <v>3349</v>
      </c>
      <c r="G1262" s="4" t="s">
        <v>3108</v>
      </c>
      <c r="H1262" s="4" t="s">
        <v>2183</v>
      </c>
      <c r="I1262" s="4" t="s">
        <v>2100</v>
      </c>
      <c r="J1262" s="4" t="s">
        <v>2570</v>
      </c>
      <c r="K1262">
        <v>14</v>
      </c>
      <c r="L1262">
        <v>4.2671999999999999</v>
      </c>
      <c r="M1262">
        <v>38.1</v>
      </c>
      <c r="N1262">
        <v>139.69999999999999</v>
      </c>
      <c r="O1262">
        <v>168</v>
      </c>
      <c r="P1262">
        <v>1.5000000000000002</v>
      </c>
      <c r="Q1262">
        <v>5.5</v>
      </c>
      <c r="R1262">
        <v>616.40099999999995</v>
      </c>
      <c r="S1262">
        <v>2.2712470703999999E-2</v>
      </c>
      <c r="T1262" s="4" t="s">
        <v>3350</v>
      </c>
    </row>
    <row r="1263" spans="1:20" x14ac:dyDescent="0.2">
      <c r="A1263" s="4" t="s">
        <v>3108</v>
      </c>
      <c r="B1263" s="4" t="s">
        <v>3348</v>
      </c>
      <c r="C1263" s="4" t="s">
        <v>2096</v>
      </c>
      <c r="D1263" s="4" t="s">
        <v>2236</v>
      </c>
      <c r="E1263" s="4" t="s">
        <v>3358</v>
      </c>
      <c r="F1263" s="4" t="s">
        <v>3349</v>
      </c>
      <c r="G1263" s="4" t="s">
        <v>3108</v>
      </c>
      <c r="H1263" s="4" t="s">
        <v>2183</v>
      </c>
      <c r="I1263" s="4" t="s">
        <v>2100</v>
      </c>
      <c r="J1263" s="4" t="s">
        <v>2570</v>
      </c>
      <c r="K1263">
        <v>15</v>
      </c>
      <c r="L1263">
        <v>4.5720000000000001</v>
      </c>
      <c r="M1263">
        <v>38.1</v>
      </c>
      <c r="N1263">
        <v>139.69999999999999</v>
      </c>
      <c r="O1263">
        <v>180</v>
      </c>
      <c r="P1263">
        <v>1.5000000000000002</v>
      </c>
      <c r="Q1263">
        <v>5.5</v>
      </c>
      <c r="R1263">
        <v>616.40099999999995</v>
      </c>
      <c r="S1263">
        <v>2.4334790040000002E-2</v>
      </c>
      <c r="T1263" s="4" t="s">
        <v>3350</v>
      </c>
    </row>
    <row r="1264" spans="1:20" x14ac:dyDescent="0.2">
      <c r="A1264" s="4" t="s">
        <v>3108</v>
      </c>
      <c r="B1264" s="4" t="s">
        <v>3348</v>
      </c>
      <c r="C1264" s="4" t="s">
        <v>2096</v>
      </c>
      <c r="D1264" s="4" t="s">
        <v>2236</v>
      </c>
      <c r="E1264" s="4" t="s">
        <v>3359</v>
      </c>
      <c r="F1264" s="4" t="s">
        <v>3349</v>
      </c>
      <c r="G1264" s="4" t="s">
        <v>3108</v>
      </c>
      <c r="H1264" s="4" t="s">
        <v>2183</v>
      </c>
      <c r="I1264" s="4" t="s">
        <v>2100</v>
      </c>
      <c r="J1264" s="4" t="s">
        <v>2570</v>
      </c>
      <c r="K1264">
        <v>15</v>
      </c>
      <c r="L1264">
        <v>4.5720000000000001</v>
      </c>
      <c r="M1264">
        <v>38.1</v>
      </c>
      <c r="N1264">
        <v>139.69999999999999</v>
      </c>
      <c r="O1264">
        <v>180</v>
      </c>
      <c r="P1264">
        <v>1.5000000000000002</v>
      </c>
      <c r="Q1264">
        <v>5.5</v>
      </c>
      <c r="R1264">
        <v>616.40099999999995</v>
      </c>
      <c r="S1264">
        <v>2.4334790040000002E-2</v>
      </c>
      <c r="T1264" s="4" t="s">
        <v>3350</v>
      </c>
    </row>
    <row r="1265" spans="1:20" x14ac:dyDescent="0.2">
      <c r="A1265" s="4" t="s">
        <v>3108</v>
      </c>
      <c r="B1265" s="4" t="s">
        <v>3348</v>
      </c>
      <c r="C1265" s="4" t="s">
        <v>2096</v>
      </c>
      <c r="D1265" s="4" t="s">
        <v>2236</v>
      </c>
      <c r="E1265" s="4" t="s">
        <v>620</v>
      </c>
      <c r="F1265" s="4" t="s">
        <v>3349</v>
      </c>
      <c r="G1265" s="4" t="s">
        <v>3108</v>
      </c>
      <c r="H1265" s="4" t="s">
        <v>2183</v>
      </c>
      <c r="I1265" s="4" t="s">
        <v>2100</v>
      </c>
      <c r="J1265" s="4" t="s">
        <v>2570</v>
      </c>
      <c r="K1265">
        <v>16</v>
      </c>
      <c r="L1265">
        <v>4.8768000000000002</v>
      </c>
      <c r="M1265">
        <v>38.1</v>
      </c>
      <c r="N1265">
        <v>139.69999999999999</v>
      </c>
      <c r="O1265">
        <v>192.00000000000003</v>
      </c>
      <c r="P1265">
        <v>1.5000000000000002</v>
      </c>
      <c r="Q1265">
        <v>5.5</v>
      </c>
      <c r="R1265">
        <v>616.40099999999995</v>
      </c>
      <c r="S1265">
        <v>2.5957109375999998E-2</v>
      </c>
      <c r="T1265" s="4" t="s">
        <v>3350</v>
      </c>
    </row>
    <row r="1266" spans="1:20" x14ac:dyDescent="0.2">
      <c r="A1266" s="4" t="s">
        <v>3108</v>
      </c>
      <c r="B1266" s="4" t="s">
        <v>3348</v>
      </c>
      <c r="C1266" s="4" t="s">
        <v>2096</v>
      </c>
      <c r="D1266" s="4" t="s">
        <v>2236</v>
      </c>
      <c r="E1266" s="4" t="s">
        <v>3360</v>
      </c>
      <c r="F1266" s="4" t="s">
        <v>3349</v>
      </c>
      <c r="G1266" s="4" t="s">
        <v>3108</v>
      </c>
      <c r="H1266" s="4" t="s">
        <v>2183</v>
      </c>
      <c r="I1266" s="4" t="s">
        <v>2100</v>
      </c>
      <c r="J1266" s="4" t="s">
        <v>2570</v>
      </c>
      <c r="K1266">
        <v>16</v>
      </c>
      <c r="L1266">
        <v>4.8768000000000002</v>
      </c>
      <c r="M1266">
        <v>38.1</v>
      </c>
      <c r="N1266">
        <v>139.69999999999999</v>
      </c>
      <c r="O1266">
        <v>192.00000000000003</v>
      </c>
      <c r="P1266">
        <v>1.5000000000000002</v>
      </c>
      <c r="Q1266">
        <v>5.5</v>
      </c>
      <c r="R1266">
        <v>616.40099999999995</v>
      </c>
      <c r="S1266">
        <v>2.5957109375999998E-2</v>
      </c>
      <c r="T1266" s="4" t="s">
        <v>3350</v>
      </c>
    </row>
    <row r="1267" spans="1:20" x14ac:dyDescent="0.2">
      <c r="A1267" s="4" t="s">
        <v>3108</v>
      </c>
      <c r="B1267" s="4" t="s">
        <v>3348</v>
      </c>
      <c r="C1267" s="4" t="s">
        <v>2096</v>
      </c>
      <c r="D1267" s="4" t="s">
        <v>2236</v>
      </c>
      <c r="E1267" s="4" t="s">
        <v>3361</v>
      </c>
      <c r="F1267" s="4" t="s">
        <v>3349</v>
      </c>
      <c r="G1267" s="4" t="s">
        <v>3108</v>
      </c>
      <c r="H1267" s="4" t="s">
        <v>2183</v>
      </c>
      <c r="I1267" s="4" t="s">
        <v>2100</v>
      </c>
      <c r="J1267" s="4" t="s">
        <v>2570</v>
      </c>
      <c r="K1267">
        <v>17</v>
      </c>
      <c r="L1267">
        <v>5.1816000000000004</v>
      </c>
      <c r="M1267">
        <v>38.1</v>
      </c>
      <c r="N1267">
        <v>139.69999999999999</v>
      </c>
      <c r="O1267">
        <v>204.00000000000003</v>
      </c>
      <c r="P1267">
        <v>1.5000000000000002</v>
      </c>
      <c r="Q1267">
        <v>5.5</v>
      </c>
      <c r="R1267">
        <v>616.40099999999995</v>
      </c>
      <c r="S1267">
        <v>2.7579428712000004E-2</v>
      </c>
      <c r="T1267" s="4" t="s">
        <v>3350</v>
      </c>
    </row>
    <row r="1268" spans="1:20" x14ac:dyDescent="0.2">
      <c r="A1268" s="4" t="s">
        <v>3108</v>
      </c>
      <c r="B1268" s="4" t="s">
        <v>3348</v>
      </c>
      <c r="C1268" s="4" t="s">
        <v>2096</v>
      </c>
      <c r="D1268" s="4" t="s">
        <v>2236</v>
      </c>
      <c r="E1268" s="4" t="s">
        <v>3362</v>
      </c>
      <c r="F1268" s="4" t="s">
        <v>3349</v>
      </c>
      <c r="G1268" s="4" t="s">
        <v>3108</v>
      </c>
      <c r="H1268" s="4" t="s">
        <v>2183</v>
      </c>
      <c r="I1268" s="4" t="s">
        <v>2100</v>
      </c>
      <c r="J1268" s="4" t="s">
        <v>2570</v>
      </c>
      <c r="K1268">
        <v>17</v>
      </c>
      <c r="L1268">
        <v>5.1816000000000004</v>
      </c>
      <c r="M1268">
        <v>38.1</v>
      </c>
      <c r="N1268">
        <v>139.69999999999999</v>
      </c>
      <c r="O1268">
        <v>204.00000000000003</v>
      </c>
      <c r="P1268">
        <v>1.5000000000000002</v>
      </c>
      <c r="Q1268">
        <v>5.5</v>
      </c>
      <c r="R1268">
        <v>616.40099999999995</v>
      </c>
      <c r="S1268">
        <v>2.7579428712000004E-2</v>
      </c>
      <c r="T1268" s="4" t="s">
        <v>3350</v>
      </c>
    </row>
    <row r="1269" spans="1:20" x14ac:dyDescent="0.2">
      <c r="A1269" s="4" t="s">
        <v>3108</v>
      </c>
      <c r="B1269" s="4" t="s">
        <v>3348</v>
      </c>
      <c r="C1269" s="4" t="s">
        <v>2096</v>
      </c>
      <c r="D1269" s="4" t="s">
        <v>2236</v>
      </c>
      <c r="E1269" s="4" t="s">
        <v>622</v>
      </c>
      <c r="F1269" s="4" t="s">
        <v>3349</v>
      </c>
      <c r="G1269" s="4" t="s">
        <v>3108</v>
      </c>
      <c r="H1269" s="4" t="s">
        <v>2183</v>
      </c>
      <c r="I1269" s="4" t="s">
        <v>2100</v>
      </c>
      <c r="J1269" s="4" t="s">
        <v>2570</v>
      </c>
      <c r="K1269">
        <v>18</v>
      </c>
      <c r="L1269">
        <v>5.4863999999999997</v>
      </c>
      <c r="M1269">
        <v>38.1</v>
      </c>
      <c r="N1269">
        <v>139.69999999999999</v>
      </c>
      <c r="O1269">
        <v>216</v>
      </c>
      <c r="P1269">
        <v>1.5000000000000002</v>
      </c>
      <c r="Q1269">
        <v>5.5</v>
      </c>
      <c r="R1269">
        <v>616.40099999999995</v>
      </c>
      <c r="S1269">
        <v>2.9201748047999999E-2</v>
      </c>
      <c r="T1269" s="4" t="s">
        <v>3350</v>
      </c>
    </row>
    <row r="1270" spans="1:20" x14ac:dyDescent="0.2">
      <c r="A1270" s="4" t="s">
        <v>3108</v>
      </c>
      <c r="B1270" s="4" t="s">
        <v>3348</v>
      </c>
      <c r="C1270" s="4" t="s">
        <v>2096</v>
      </c>
      <c r="D1270" s="4" t="s">
        <v>2236</v>
      </c>
      <c r="E1270" s="4" t="s">
        <v>3363</v>
      </c>
      <c r="F1270" s="4" t="s">
        <v>3349</v>
      </c>
      <c r="G1270" s="4" t="s">
        <v>3108</v>
      </c>
      <c r="H1270" s="4" t="s">
        <v>2183</v>
      </c>
      <c r="I1270" s="4" t="s">
        <v>2100</v>
      </c>
      <c r="J1270" s="4" t="s">
        <v>2570</v>
      </c>
      <c r="K1270">
        <v>18</v>
      </c>
      <c r="L1270">
        <v>5.4863999999999997</v>
      </c>
      <c r="M1270">
        <v>38.1</v>
      </c>
      <c r="N1270">
        <v>139.69999999999999</v>
      </c>
      <c r="O1270">
        <v>216</v>
      </c>
      <c r="P1270">
        <v>1.5000000000000002</v>
      </c>
      <c r="Q1270">
        <v>5.5</v>
      </c>
      <c r="R1270">
        <v>616.40099999999995</v>
      </c>
      <c r="S1270">
        <v>2.9201748047999999E-2</v>
      </c>
      <c r="T1270" s="4" t="s">
        <v>3350</v>
      </c>
    </row>
    <row r="1271" spans="1:20" x14ac:dyDescent="0.2">
      <c r="A1271" s="4" t="s">
        <v>3108</v>
      </c>
      <c r="B1271" s="4" t="s">
        <v>3348</v>
      </c>
      <c r="C1271" s="4" t="s">
        <v>2096</v>
      </c>
      <c r="D1271" s="4" t="s">
        <v>2236</v>
      </c>
      <c r="E1271" s="4" t="s">
        <v>3364</v>
      </c>
      <c r="F1271" s="4" t="s">
        <v>3349</v>
      </c>
      <c r="G1271" s="4" t="s">
        <v>3108</v>
      </c>
      <c r="H1271" s="4" t="s">
        <v>2183</v>
      </c>
      <c r="I1271" s="4" t="s">
        <v>2100</v>
      </c>
      <c r="J1271" s="4" t="s">
        <v>2570</v>
      </c>
      <c r="K1271">
        <v>19</v>
      </c>
      <c r="L1271">
        <v>5.7911999999999999</v>
      </c>
      <c r="M1271">
        <v>38.1</v>
      </c>
      <c r="N1271">
        <v>139.69999999999999</v>
      </c>
      <c r="O1271">
        <v>228</v>
      </c>
      <c r="P1271">
        <v>1.5000000000000002</v>
      </c>
      <c r="Q1271">
        <v>5.5</v>
      </c>
      <c r="R1271">
        <v>616.40099999999995</v>
      </c>
      <c r="S1271">
        <v>3.0824067383999999E-2</v>
      </c>
      <c r="T1271" s="4" t="s">
        <v>3350</v>
      </c>
    </row>
    <row r="1272" spans="1:20" x14ac:dyDescent="0.2">
      <c r="A1272" s="4" t="s">
        <v>3108</v>
      </c>
      <c r="B1272" s="4" t="s">
        <v>3348</v>
      </c>
      <c r="C1272" s="4" t="s">
        <v>2096</v>
      </c>
      <c r="D1272" s="4" t="s">
        <v>2236</v>
      </c>
      <c r="E1272" s="4" t="s">
        <v>3365</v>
      </c>
      <c r="F1272" s="4" t="s">
        <v>3349</v>
      </c>
      <c r="G1272" s="4" t="s">
        <v>3108</v>
      </c>
      <c r="H1272" s="4" t="s">
        <v>2183</v>
      </c>
      <c r="I1272" s="4" t="s">
        <v>2100</v>
      </c>
      <c r="J1272" s="4" t="s">
        <v>2570</v>
      </c>
      <c r="K1272">
        <v>19</v>
      </c>
      <c r="L1272">
        <v>5.7911999999999999</v>
      </c>
      <c r="M1272">
        <v>38.1</v>
      </c>
      <c r="N1272">
        <v>139.69999999999999</v>
      </c>
      <c r="O1272">
        <v>228</v>
      </c>
      <c r="P1272">
        <v>1.5000000000000002</v>
      </c>
      <c r="Q1272">
        <v>5.5</v>
      </c>
      <c r="R1272">
        <v>616.40099999999995</v>
      </c>
      <c r="S1272">
        <v>3.0824067383999999E-2</v>
      </c>
      <c r="T1272" s="4" t="s">
        <v>3350</v>
      </c>
    </row>
    <row r="1273" spans="1:20" x14ac:dyDescent="0.2">
      <c r="A1273" s="4" t="s">
        <v>3108</v>
      </c>
      <c r="B1273" s="4" t="s">
        <v>3348</v>
      </c>
      <c r="C1273" s="4" t="s">
        <v>2096</v>
      </c>
      <c r="D1273" s="4" t="s">
        <v>2236</v>
      </c>
      <c r="E1273" s="4" t="s">
        <v>624</v>
      </c>
      <c r="F1273" s="4" t="s">
        <v>3349</v>
      </c>
      <c r="G1273" s="4" t="s">
        <v>3108</v>
      </c>
      <c r="H1273" s="4" t="s">
        <v>2183</v>
      </c>
      <c r="I1273" s="4" t="s">
        <v>2100</v>
      </c>
      <c r="J1273" s="4" t="s">
        <v>2570</v>
      </c>
      <c r="K1273">
        <v>20</v>
      </c>
      <c r="L1273">
        <v>6.0960000000000001</v>
      </c>
      <c r="M1273">
        <v>38.1</v>
      </c>
      <c r="N1273">
        <v>139.69999999999999</v>
      </c>
      <c r="O1273">
        <v>240</v>
      </c>
      <c r="P1273">
        <v>1.5000000000000002</v>
      </c>
      <c r="Q1273">
        <v>5.5</v>
      </c>
      <c r="R1273">
        <v>616.40099999999995</v>
      </c>
      <c r="S1273">
        <v>3.2446386719999998E-2</v>
      </c>
      <c r="T1273" s="4" t="s">
        <v>3350</v>
      </c>
    </row>
    <row r="1274" spans="1:20" x14ac:dyDescent="0.2">
      <c r="A1274" s="4" t="s">
        <v>3108</v>
      </c>
      <c r="B1274" s="4" t="s">
        <v>3348</v>
      </c>
      <c r="C1274" s="4" t="s">
        <v>2096</v>
      </c>
      <c r="D1274" s="4" t="s">
        <v>2236</v>
      </c>
      <c r="E1274" s="4" t="s">
        <v>3366</v>
      </c>
      <c r="F1274" s="4" t="s">
        <v>3349</v>
      </c>
      <c r="G1274" s="4" t="s">
        <v>3108</v>
      </c>
      <c r="H1274" s="4" t="s">
        <v>2183</v>
      </c>
      <c r="I1274" s="4" t="s">
        <v>2100</v>
      </c>
      <c r="J1274" s="4" t="s">
        <v>2570</v>
      </c>
      <c r="K1274">
        <v>20</v>
      </c>
      <c r="L1274">
        <v>6.0960000000000001</v>
      </c>
      <c r="M1274">
        <v>38.1</v>
      </c>
      <c r="N1274">
        <v>139.69999999999999</v>
      </c>
      <c r="O1274">
        <v>240</v>
      </c>
      <c r="P1274">
        <v>1.5000000000000002</v>
      </c>
      <c r="Q1274">
        <v>5.5</v>
      </c>
      <c r="R1274">
        <v>616.40099999999995</v>
      </c>
      <c r="S1274">
        <v>3.2446386719999998E-2</v>
      </c>
      <c r="T1274" s="4" t="s">
        <v>3350</v>
      </c>
    </row>
    <row r="1275" spans="1:20" x14ac:dyDescent="0.2">
      <c r="A1275" s="4" t="s">
        <v>3108</v>
      </c>
      <c r="B1275" s="4" t="s">
        <v>3348</v>
      </c>
      <c r="C1275" s="4" t="s">
        <v>2096</v>
      </c>
      <c r="D1275" s="4" t="s">
        <v>2236</v>
      </c>
      <c r="E1275" s="4" t="s">
        <v>3367</v>
      </c>
      <c r="F1275" s="4" t="s">
        <v>3349</v>
      </c>
      <c r="G1275" s="4" t="s">
        <v>3108</v>
      </c>
      <c r="H1275" s="4" t="s">
        <v>2183</v>
      </c>
      <c r="I1275" s="4" t="s">
        <v>2100</v>
      </c>
      <c r="J1275" s="4" t="s">
        <v>2570</v>
      </c>
      <c r="K1275">
        <v>21</v>
      </c>
      <c r="L1275">
        <v>6.4008000000000003</v>
      </c>
      <c r="M1275">
        <v>38.1</v>
      </c>
      <c r="N1275">
        <v>139.69999999999999</v>
      </c>
      <c r="O1275">
        <v>252.00000000000003</v>
      </c>
      <c r="P1275">
        <v>1.5000000000000002</v>
      </c>
      <c r="Q1275">
        <v>5.5</v>
      </c>
      <c r="R1275">
        <v>616.40099999999995</v>
      </c>
      <c r="S1275">
        <v>3.4068706056E-2</v>
      </c>
      <c r="T1275" s="4" t="s">
        <v>3350</v>
      </c>
    </row>
    <row r="1276" spans="1:20" x14ac:dyDescent="0.2">
      <c r="A1276" s="4" t="s">
        <v>3108</v>
      </c>
      <c r="B1276" s="4" t="s">
        <v>3348</v>
      </c>
      <c r="C1276" s="4" t="s">
        <v>2096</v>
      </c>
      <c r="D1276" s="4" t="s">
        <v>2236</v>
      </c>
      <c r="E1276" s="4" t="s">
        <v>3368</v>
      </c>
      <c r="F1276" s="4" t="s">
        <v>3349</v>
      </c>
      <c r="G1276" s="4" t="s">
        <v>3108</v>
      </c>
      <c r="H1276" s="4" t="s">
        <v>2183</v>
      </c>
      <c r="I1276" s="4" t="s">
        <v>2100</v>
      </c>
      <c r="J1276" s="4" t="s">
        <v>2570</v>
      </c>
      <c r="K1276">
        <v>21</v>
      </c>
      <c r="L1276">
        <v>6.4008000000000003</v>
      </c>
      <c r="M1276">
        <v>38.1</v>
      </c>
      <c r="N1276">
        <v>139.69999999999999</v>
      </c>
      <c r="O1276">
        <v>252.00000000000003</v>
      </c>
      <c r="P1276">
        <v>1.5000000000000002</v>
      </c>
      <c r="Q1276">
        <v>5.5</v>
      </c>
      <c r="R1276">
        <v>616.40099999999995</v>
      </c>
      <c r="S1276">
        <v>3.4068706056E-2</v>
      </c>
      <c r="T1276" s="4" t="s">
        <v>3350</v>
      </c>
    </row>
    <row r="1277" spans="1:20" x14ac:dyDescent="0.2">
      <c r="A1277" s="4" t="s">
        <v>3108</v>
      </c>
      <c r="B1277" s="4" t="s">
        <v>3348</v>
      </c>
      <c r="C1277" s="4" t="s">
        <v>2096</v>
      </c>
      <c r="D1277" s="4" t="s">
        <v>2236</v>
      </c>
      <c r="E1277" s="4" t="s">
        <v>626</v>
      </c>
      <c r="F1277" s="4" t="s">
        <v>3349</v>
      </c>
      <c r="G1277" s="4" t="s">
        <v>3108</v>
      </c>
      <c r="H1277" s="4" t="s">
        <v>2183</v>
      </c>
      <c r="I1277" s="4" t="s">
        <v>2100</v>
      </c>
      <c r="J1277" s="4" t="s">
        <v>2570</v>
      </c>
      <c r="K1277">
        <v>22</v>
      </c>
      <c r="L1277">
        <v>6.7055999999999996</v>
      </c>
      <c r="M1277">
        <v>38.1</v>
      </c>
      <c r="N1277">
        <v>139.69999999999999</v>
      </c>
      <c r="O1277">
        <v>264</v>
      </c>
      <c r="P1277">
        <v>1.5000000000000002</v>
      </c>
      <c r="Q1277">
        <v>5.5</v>
      </c>
      <c r="R1277">
        <v>616.40099999999995</v>
      </c>
      <c r="S1277">
        <v>3.5691025391999996E-2</v>
      </c>
      <c r="T1277" s="4" t="s">
        <v>3350</v>
      </c>
    </row>
    <row r="1278" spans="1:20" x14ac:dyDescent="0.2">
      <c r="A1278" s="4" t="s">
        <v>3108</v>
      </c>
      <c r="B1278" s="4" t="s">
        <v>3348</v>
      </c>
      <c r="C1278" s="4" t="s">
        <v>2096</v>
      </c>
      <c r="D1278" s="4" t="s">
        <v>2236</v>
      </c>
      <c r="E1278" s="4" t="s">
        <v>3369</v>
      </c>
      <c r="F1278" s="4" t="s">
        <v>3349</v>
      </c>
      <c r="G1278" s="4" t="s">
        <v>3108</v>
      </c>
      <c r="H1278" s="4" t="s">
        <v>2183</v>
      </c>
      <c r="I1278" s="4" t="s">
        <v>2100</v>
      </c>
      <c r="J1278" s="4" t="s">
        <v>2570</v>
      </c>
      <c r="K1278">
        <v>22</v>
      </c>
      <c r="L1278">
        <v>6.7055999999999996</v>
      </c>
      <c r="M1278">
        <v>38.1</v>
      </c>
      <c r="N1278">
        <v>139.69999999999999</v>
      </c>
      <c r="O1278">
        <v>264</v>
      </c>
      <c r="P1278">
        <v>1.5000000000000002</v>
      </c>
      <c r="Q1278">
        <v>5.5</v>
      </c>
      <c r="R1278">
        <v>616.40099999999995</v>
      </c>
      <c r="S1278">
        <v>3.5691025391999996E-2</v>
      </c>
      <c r="T1278" s="4" t="s">
        <v>3350</v>
      </c>
    </row>
    <row r="1279" spans="1:20" x14ac:dyDescent="0.2">
      <c r="A1279" s="4" t="s">
        <v>3108</v>
      </c>
      <c r="B1279" s="4" t="s">
        <v>3348</v>
      </c>
      <c r="C1279" s="4" t="s">
        <v>2286</v>
      </c>
      <c r="D1279" s="4" t="s">
        <v>2236</v>
      </c>
      <c r="E1279" s="4" t="s">
        <v>3370</v>
      </c>
      <c r="F1279" s="4" t="s">
        <v>3349</v>
      </c>
      <c r="G1279" s="4" t="s">
        <v>3108</v>
      </c>
      <c r="H1279" s="4" t="s">
        <v>2183</v>
      </c>
      <c r="I1279" s="4" t="s">
        <v>2100</v>
      </c>
      <c r="J1279" s="4" t="s">
        <v>2570</v>
      </c>
      <c r="K1279">
        <v>3</v>
      </c>
      <c r="L1279">
        <v>0.91439999999999999</v>
      </c>
      <c r="M1279">
        <v>38.1</v>
      </c>
      <c r="N1279">
        <v>139.69999999999999</v>
      </c>
      <c r="O1279">
        <v>36</v>
      </c>
      <c r="P1279">
        <v>1.5000000000000002</v>
      </c>
      <c r="Q1279">
        <v>5.5</v>
      </c>
      <c r="R1279">
        <v>616.40099999999995</v>
      </c>
      <c r="S1279">
        <v>4.8669580079999993E-3</v>
      </c>
      <c r="T1279" s="4" t="s">
        <v>3371</v>
      </c>
    </row>
    <row r="1280" spans="1:20" x14ac:dyDescent="0.2">
      <c r="A1280" s="4" t="s">
        <v>3108</v>
      </c>
      <c r="B1280" s="4" t="s">
        <v>3348</v>
      </c>
      <c r="C1280" s="4" t="s">
        <v>2286</v>
      </c>
      <c r="D1280" s="4" t="s">
        <v>2236</v>
      </c>
      <c r="E1280" s="4" t="s">
        <v>3372</v>
      </c>
      <c r="F1280" s="4" t="s">
        <v>3349</v>
      </c>
      <c r="G1280" s="4" t="s">
        <v>3108</v>
      </c>
      <c r="H1280" s="4" t="s">
        <v>2183</v>
      </c>
      <c r="I1280" s="4" t="s">
        <v>2100</v>
      </c>
      <c r="J1280" s="4" t="s">
        <v>2570</v>
      </c>
      <c r="K1280">
        <v>3</v>
      </c>
      <c r="L1280">
        <v>0.91439999999999999</v>
      </c>
      <c r="M1280">
        <v>38.1</v>
      </c>
      <c r="N1280">
        <v>139.69999999999999</v>
      </c>
      <c r="O1280">
        <v>36</v>
      </c>
      <c r="P1280">
        <v>1.5000000000000002</v>
      </c>
      <c r="Q1280">
        <v>5.5</v>
      </c>
      <c r="R1280">
        <v>616.40099999999995</v>
      </c>
      <c r="S1280">
        <v>4.8669580079999993E-3</v>
      </c>
      <c r="T1280" s="4" t="s">
        <v>3371</v>
      </c>
    </row>
    <row r="1281" spans="1:20" x14ac:dyDescent="0.2">
      <c r="A1281" s="4" t="s">
        <v>3108</v>
      </c>
      <c r="B1281" s="4" t="s">
        <v>3348</v>
      </c>
      <c r="C1281" s="4" t="s">
        <v>2286</v>
      </c>
      <c r="D1281" s="4" t="s">
        <v>2236</v>
      </c>
      <c r="E1281" s="4" t="s">
        <v>3373</v>
      </c>
      <c r="F1281" s="4" t="s">
        <v>3349</v>
      </c>
      <c r="G1281" s="4" t="s">
        <v>3108</v>
      </c>
      <c r="H1281" s="4" t="s">
        <v>2183</v>
      </c>
      <c r="I1281" s="4" t="s">
        <v>2100</v>
      </c>
      <c r="J1281" s="4" t="s">
        <v>2570</v>
      </c>
      <c r="K1281">
        <v>4</v>
      </c>
      <c r="L1281">
        <v>1.2192000000000001</v>
      </c>
      <c r="M1281">
        <v>38.1</v>
      </c>
      <c r="N1281">
        <v>139.69999999999999</v>
      </c>
      <c r="O1281">
        <v>48.000000000000007</v>
      </c>
      <c r="P1281">
        <v>1.5000000000000002</v>
      </c>
      <c r="Q1281">
        <v>5.5</v>
      </c>
      <c r="R1281">
        <v>616.40099999999995</v>
      </c>
      <c r="S1281">
        <v>6.4892773439999994E-3</v>
      </c>
      <c r="T1281" s="4" t="s">
        <v>3371</v>
      </c>
    </row>
    <row r="1282" spans="1:20" x14ac:dyDescent="0.2">
      <c r="A1282" s="4" t="s">
        <v>3108</v>
      </c>
      <c r="B1282" s="4" t="s">
        <v>3348</v>
      </c>
      <c r="C1282" s="4" t="s">
        <v>2286</v>
      </c>
      <c r="D1282" s="4" t="s">
        <v>2236</v>
      </c>
      <c r="E1282" s="4" t="s">
        <v>3374</v>
      </c>
      <c r="F1282" s="4" t="s">
        <v>3349</v>
      </c>
      <c r="G1282" s="4" t="s">
        <v>3108</v>
      </c>
      <c r="H1282" s="4" t="s">
        <v>2183</v>
      </c>
      <c r="I1282" s="4" t="s">
        <v>2100</v>
      </c>
      <c r="J1282" s="4" t="s">
        <v>2570</v>
      </c>
      <c r="K1282">
        <v>4</v>
      </c>
      <c r="L1282">
        <v>1.2192000000000001</v>
      </c>
      <c r="M1282">
        <v>38.1</v>
      </c>
      <c r="N1282">
        <v>139.69999999999999</v>
      </c>
      <c r="O1282">
        <v>48.000000000000007</v>
      </c>
      <c r="P1282">
        <v>1.5000000000000002</v>
      </c>
      <c r="Q1282">
        <v>5.5</v>
      </c>
      <c r="R1282">
        <v>616.40099999999995</v>
      </c>
      <c r="S1282">
        <v>6.4892773439999994E-3</v>
      </c>
      <c r="T1282" s="4" t="s">
        <v>3371</v>
      </c>
    </row>
    <row r="1283" spans="1:20" x14ac:dyDescent="0.2">
      <c r="A1283" s="4" t="s">
        <v>3108</v>
      </c>
      <c r="B1283" s="4" t="s">
        <v>3348</v>
      </c>
      <c r="C1283" s="4" t="s">
        <v>2286</v>
      </c>
      <c r="D1283" s="4" t="s">
        <v>2236</v>
      </c>
      <c r="E1283" s="4" t="s">
        <v>628</v>
      </c>
      <c r="F1283" s="4" t="s">
        <v>3349</v>
      </c>
      <c r="G1283" s="4" t="s">
        <v>3108</v>
      </c>
      <c r="H1283" s="4" t="s">
        <v>2183</v>
      </c>
      <c r="I1283" s="4" t="s">
        <v>2100</v>
      </c>
      <c r="J1283" s="4" t="s">
        <v>2570</v>
      </c>
      <c r="K1283">
        <v>5</v>
      </c>
      <c r="L1283">
        <v>1.524</v>
      </c>
      <c r="M1283">
        <v>38.1</v>
      </c>
      <c r="N1283">
        <v>139.69999999999999</v>
      </c>
      <c r="O1283">
        <v>60</v>
      </c>
      <c r="P1283">
        <v>1.5000000000000002</v>
      </c>
      <c r="Q1283">
        <v>5.5</v>
      </c>
      <c r="R1283">
        <v>616.40099999999995</v>
      </c>
      <c r="S1283">
        <v>8.1115966799999994E-3</v>
      </c>
      <c r="T1283" s="4" t="s">
        <v>3371</v>
      </c>
    </row>
    <row r="1284" spans="1:20" x14ac:dyDescent="0.2">
      <c r="A1284" s="4" t="s">
        <v>3108</v>
      </c>
      <c r="B1284" s="4" t="s">
        <v>3348</v>
      </c>
      <c r="C1284" s="4" t="s">
        <v>2286</v>
      </c>
      <c r="D1284" s="4" t="s">
        <v>2236</v>
      </c>
      <c r="E1284" s="4" t="s">
        <v>3375</v>
      </c>
      <c r="F1284" s="4" t="s">
        <v>3349</v>
      </c>
      <c r="G1284" s="4" t="s">
        <v>3108</v>
      </c>
      <c r="H1284" s="4" t="s">
        <v>2183</v>
      </c>
      <c r="I1284" s="4" t="s">
        <v>2100</v>
      </c>
      <c r="J1284" s="4" t="s">
        <v>2570</v>
      </c>
      <c r="K1284">
        <v>5</v>
      </c>
      <c r="L1284">
        <v>1.524</v>
      </c>
      <c r="M1284">
        <v>38.1</v>
      </c>
      <c r="N1284">
        <v>139.69999999999999</v>
      </c>
      <c r="O1284">
        <v>60</v>
      </c>
      <c r="P1284">
        <v>1.5000000000000002</v>
      </c>
      <c r="Q1284">
        <v>5.5</v>
      </c>
      <c r="R1284">
        <v>616.40099999999995</v>
      </c>
      <c r="S1284">
        <v>8.1115966799999994E-3</v>
      </c>
      <c r="T1284" s="4" t="s">
        <v>3371</v>
      </c>
    </row>
    <row r="1285" spans="1:20" x14ac:dyDescent="0.2">
      <c r="A1285" s="4" t="s">
        <v>3108</v>
      </c>
      <c r="B1285" s="4" t="s">
        <v>3348</v>
      </c>
      <c r="C1285" s="4" t="s">
        <v>2286</v>
      </c>
      <c r="D1285" s="4" t="s">
        <v>2236</v>
      </c>
      <c r="E1285" s="4" t="s">
        <v>630</v>
      </c>
      <c r="F1285" s="4" t="s">
        <v>3349</v>
      </c>
      <c r="G1285" s="4" t="s">
        <v>3108</v>
      </c>
      <c r="H1285" s="4" t="s">
        <v>2183</v>
      </c>
      <c r="I1285" s="4" t="s">
        <v>2100</v>
      </c>
      <c r="J1285" s="4" t="s">
        <v>2570</v>
      </c>
      <c r="K1285">
        <v>6</v>
      </c>
      <c r="L1285">
        <v>1.8288</v>
      </c>
      <c r="M1285">
        <v>38.1</v>
      </c>
      <c r="N1285">
        <v>139.69999999999999</v>
      </c>
      <c r="O1285">
        <v>72</v>
      </c>
      <c r="P1285">
        <v>1.5000000000000002</v>
      </c>
      <c r="Q1285">
        <v>5.5</v>
      </c>
      <c r="R1285">
        <v>616.40099999999995</v>
      </c>
      <c r="S1285">
        <v>9.7339160159999986E-3</v>
      </c>
      <c r="T1285" s="4" t="s">
        <v>3371</v>
      </c>
    </row>
    <row r="1286" spans="1:20" x14ac:dyDescent="0.2">
      <c r="A1286" s="4" t="s">
        <v>3108</v>
      </c>
      <c r="B1286" s="4" t="s">
        <v>3348</v>
      </c>
      <c r="C1286" s="4" t="s">
        <v>2286</v>
      </c>
      <c r="D1286" s="4" t="s">
        <v>2236</v>
      </c>
      <c r="E1286" s="4" t="s">
        <v>3376</v>
      </c>
      <c r="F1286" s="4" t="s">
        <v>3349</v>
      </c>
      <c r="G1286" s="4" t="s">
        <v>3108</v>
      </c>
      <c r="H1286" s="4" t="s">
        <v>2183</v>
      </c>
      <c r="I1286" s="4" t="s">
        <v>2100</v>
      </c>
      <c r="J1286" s="4" t="s">
        <v>2570</v>
      </c>
      <c r="K1286">
        <v>6</v>
      </c>
      <c r="L1286">
        <v>1.8288</v>
      </c>
      <c r="M1286">
        <v>38.1</v>
      </c>
      <c r="N1286">
        <v>139.69999999999999</v>
      </c>
      <c r="O1286">
        <v>72</v>
      </c>
      <c r="P1286">
        <v>1.5000000000000002</v>
      </c>
      <c r="Q1286">
        <v>5.5</v>
      </c>
      <c r="R1286">
        <v>616.40099999999995</v>
      </c>
      <c r="S1286">
        <v>9.7339160159999986E-3</v>
      </c>
      <c r="T1286" s="4" t="s">
        <v>3371</v>
      </c>
    </row>
    <row r="1287" spans="1:20" x14ac:dyDescent="0.2">
      <c r="A1287" s="4" t="s">
        <v>3108</v>
      </c>
      <c r="B1287" s="4" t="s">
        <v>3348</v>
      </c>
      <c r="C1287" s="4" t="s">
        <v>2286</v>
      </c>
      <c r="D1287" s="4" t="s">
        <v>2236</v>
      </c>
      <c r="E1287" s="4" t="s">
        <v>632</v>
      </c>
      <c r="F1287" s="4" t="s">
        <v>3349</v>
      </c>
      <c r="G1287" s="4" t="s">
        <v>3108</v>
      </c>
      <c r="H1287" s="4" t="s">
        <v>2183</v>
      </c>
      <c r="I1287" s="4" t="s">
        <v>2100</v>
      </c>
      <c r="J1287" s="4" t="s">
        <v>2570</v>
      </c>
      <c r="K1287">
        <v>7</v>
      </c>
      <c r="L1287">
        <v>2.1335999999999999</v>
      </c>
      <c r="M1287">
        <v>38.1</v>
      </c>
      <c r="N1287">
        <v>139.69999999999999</v>
      </c>
      <c r="O1287">
        <v>84</v>
      </c>
      <c r="P1287">
        <v>1.5000000000000002</v>
      </c>
      <c r="Q1287">
        <v>5.5</v>
      </c>
      <c r="R1287">
        <v>616.40099999999995</v>
      </c>
      <c r="S1287">
        <v>1.1356235352E-2</v>
      </c>
      <c r="T1287" s="4" t="s">
        <v>3371</v>
      </c>
    </row>
    <row r="1288" spans="1:20" x14ac:dyDescent="0.2">
      <c r="A1288" s="4" t="s">
        <v>3108</v>
      </c>
      <c r="B1288" s="4" t="s">
        <v>3348</v>
      </c>
      <c r="C1288" s="4" t="s">
        <v>2286</v>
      </c>
      <c r="D1288" s="4" t="s">
        <v>2236</v>
      </c>
      <c r="E1288" s="4" t="s">
        <v>3377</v>
      </c>
      <c r="F1288" s="4" t="s">
        <v>3349</v>
      </c>
      <c r="G1288" s="4" t="s">
        <v>3108</v>
      </c>
      <c r="H1288" s="4" t="s">
        <v>2183</v>
      </c>
      <c r="I1288" s="4" t="s">
        <v>2100</v>
      </c>
      <c r="J1288" s="4" t="s">
        <v>2570</v>
      </c>
      <c r="K1288">
        <v>7</v>
      </c>
      <c r="L1288">
        <v>2.1335999999999999</v>
      </c>
      <c r="M1288">
        <v>38.1</v>
      </c>
      <c r="N1288">
        <v>139.69999999999999</v>
      </c>
      <c r="O1288">
        <v>84</v>
      </c>
      <c r="P1288">
        <v>1.5000000000000002</v>
      </c>
      <c r="Q1288">
        <v>5.5</v>
      </c>
      <c r="R1288">
        <v>616.40099999999995</v>
      </c>
      <c r="S1288">
        <v>1.1356235352E-2</v>
      </c>
      <c r="T1288" s="4" t="s">
        <v>3371</v>
      </c>
    </row>
    <row r="1289" spans="1:20" x14ac:dyDescent="0.2">
      <c r="A1289" s="4" t="s">
        <v>3108</v>
      </c>
      <c r="B1289" s="4" t="s">
        <v>3348</v>
      </c>
      <c r="C1289" s="4" t="s">
        <v>2096</v>
      </c>
      <c r="D1289" s="4" t="s">
        <v>2236</v>
      </c>
      <c r="E1289" s="4" t="s">
        <v>634</v>
      </c>
      <c r="F1289" s="4" t="s">
        <v>3349</v>
      </c>
      <c r="G1289" s="4" t="s">
        <v>3108</v>
      </c>
      <c r="H1289" s="4" t="s">
        <v>2183</v>
      </c>
      <c r="I1289" s="4" t="s">
        <v>2100</v>
      </c>
      <c r="J1289" s="4" t="s">
        <v>2570</v>
      </c>
      <c r="K1289">
        <v>8</v>
      </c>
      <c r="L1289">
        <v>2.4384000000000001</v>
      </c>
      <c r="M1289">
        <v>38.1</v>
      </c>
      <c r="N1289">
        <v>139.69999999999999</v>
      </c>
      <c r="O1289">
        <v>96.000000000000014</v>
      </c>
      <c r="P1289">
        <v>1.5000000000000002</v>
      </c>
      <c r="Q1289">
        <v>5.5</v>
      </c>
      <c r="R1289">
        <v>616.40099999999995</v>
      </c>
      <c r="S1289">
        <v>1.2978554687999999E-2</v>
      </c>
      <c r="T1289" s="4" t="s">
        <v>3350</v>
      </c>
    </row>
    <row r="1290" spans="1:20" x14ac:dyDescent="0.2">
      <c r="A1290" s="4" t="s">
        <v>3108</v>
      </c>
      <c r="B1290" s="4" t="s">
        <v>3348</v>
      </c>
      <c r="C1290" s="4" t="s">
        <v>2096</v>
      </c>
      <c r="D1290" s="4" t="s">
        <v>2236</v>
      </c>
      <c r="E1290" s="4" t="s">
        <v>3378</v>
      </c>
      <c r="F1290" s="4" t="s">
        <v>3349</v>
      </c>
      <c r="G1290" s="4" t="s">
        <v>3108</v>
      </c>
      <c r="H1290" s="4" t="s">
        <v>2183</v>
      </c>
      <c r="I1290" s="4" t="s">
        <v>2100</v>
      </c>
      <c r="J1290" s="4" t="s">
        <v>2570</v>
      </c>
      <c r="K1290">
        <v>8</v>
      </c>
      <c r="L1290">
        <v>2.4384000000000001</v>
      </c>
      <c r="M1290">
        <v>38.1</v>
      </c>
      <c r="N1290">
        <v>139.69999999999999</v>
      </c>
      <c r="O1290">
        <v>96.000000000000014</v>
      </c>
      <c r="P1290">
        <v>1.5000000000000002</v>
      </c>
      <c r="Q1290">
        <v>5.5</v>
      </c>
      <c r="R1290">
        <v>616.40099999999995</v>
      </c>
      <c r="S1290">
        <v>1.2978554687999999E-2</v>
      </c>
      <c r="T1290" s="4" t="s">
        <v>3350</v>
      </c>
    </row>
    <row r="1291" spans="1:20" x14ac:dyDescent="0.2">
      <c r="A1291" s="4" t="s">
        <v>3108</v>
      </c>
      <c r="B1291" s="4" t="s">
        <v>3348</v>
      </c>
      <c r="C1291" s="4" t="s">
        <v>2096</v>
      </c>
      <c r="D1291" s="4" t="s">
        <v>2236</v>
      </c>
      <c r="E1291" s="4" t="s">
        <v>3379</v>
      </c>
      <c r="F1291" s="4" t="s">
        <v>3349</v>
      </c>
      <c r="G1291" s="4" t="s">
        <v>3108</v>
      </c>
      <c r="H1291" s="4" t="s">
        <v>2183</v>
      </c>
      <c r="I1291" s="4" t="s">
        <v>2100</v>
      </c>
      <c r="J1291" s="4" t="s">
        <v>2570</v>
      </c>
      <c r="K1291">
        <v>9</v>
      </c>
      <c r="L1291">
        <v>2.7431999999999999</v>
      </c>
      <c r="M1291">
        <v>38.1</v>
      </c>
      <c r="N1291">
        <v>139.69999999999999</v>
      </c>
      <c r="O1291">
        <v>108</v>
      </c>
      <c r="P1291">
        <v>1.5000000000000002</v>
      </c>
      <c r="Q1291">
        <v>5.5</v>
      </c>
      <c r="R1291">
        <v>616.40099999999995</v>
      </c>
      <c r="S1291">
        <v>1.4600874024E-2</v>
      </c>
      <c r="T1291" s="4" t="s">
        <v>3350</v>
      </c>
    </row>
    <row r="1292" spans="1:20" x14ac:dyDescent="0.2">
      <c r="A1292" s="4" t="s">
        <v>3108</v>
      </c>
      <c r="B1292" s="4" t="s">
        <v>3348</v>
      </c>
      <c r="C1292" s="4" t="s">
        <v>2096</v>
      </c>
      <c r="D1292" s="4" t="s">
        <v>2236</v>
      </c>
      <c r="E1292" s="4" t="s">
        <v>3380</v>
      </c>
      <c r="F1292" s="4" t="s">
        <v>3349</v>
      </c>
      <c r="G1292" s="4" t="s">
        <v>3108</v>
      </c>
      <c r="H1292" s="4" t="s">
        <v>2183</v>
      </c>
      <c r="I1292" s="4" t="s">
        <v>2100</v>
      </c>
      <c r="J1292" s="4" t="s">
        <v>2570</v>
      </c>
      <c r="K1292">
        <v>9</v>
      </c>
      <c r="L1292">
        <v>2.7431999999999999</v>
      </c>
      <c r="M1292">
        <v>38.1</v>
      </c>
      <c r="N1292">
        <v>139.69999999999999</v>
      </c>
      <c r="O1292">
        <v>108</v>
      </c>
      <c r="P1292">
        <v>1.5000000000000002</v>
      </c>
      <c r="Q1292">
        <v>5.5</v>
      </c>
      <c r="R1292">
        <v>616.40099999999995</v>
      </c>
      <c r="S1292">
        <v>1.4600874024E-2</v>
      </c>
      <c r="T1292" s="4" t="s">
        <v>3350</v>
      </c>
    </row>
    <row r="1293" spans="1:20" x14ac:dyDescent="0.2">
      <c r="A1293" s="4" t="s">
        <v>3108</v>
      </c>
      <c r="B1293" s="4" t="s">
        <v>3381</v>
      </c>
      <c r="C1293" s="4" t="s">
        <v>2096</v>
      </c>
      <c r="D1293" s="4" t="s">
        <v>2236</v>
      </c>
      <c r="E1293" s="4" t="s">
        <v>636</v>
      </c>
      <c r="F1293" s="4" t="s">
        <v>3382</v>
      </c>
      <c r="G1293" s="4" t="s">
        <v>3108</v>
      </c>
      <c r="H1293" s="4" t="s">
        <v>2183</v>
      </c>
      <c r="I1293" s="4" t="s">
        <v>2100</v>
      </c>
      <c r="J1293" s="4" t="s">
        <v>2590</v>
      </c>
      <c r="K1293">
        <v>10</v>
      </c>
      <c r="L1293">
        <v>3.048</v>
      </c>
      <c r="M1293">
        <v>38.1</v>
      </c>
      <c r="N1293">
        <v>184.15</v>
      </c>
      <c r="O1293">
        <v>120</v>
      </c>
      <c r="P1293">
        <v>1.5000000000000002</v>
      </c>
      <c r="Q1293">
        <v>7.2500000000000009</v>
      </c>
      <c r="R1293">
        <v>467.61500000000001</v>
      </c>
      <c r="S1293">
        <v>2.1385118520000003E-2</v>
      </c>
      <c r="T1293" s="4" t="s">
        <v>3383</v>
      </c>
    </row>
    <row r="1294" spans="1:20" x14ac:dyDescent="0.2">
      <c r="A1294" s="4" t="s">
        <v>3108</v>
      </c>
      <c r="B1294" s="4" t="s">
        <v>3381</v>
      </c>
      <c r="C1294" s="4" t="s">
        <v>2096</v>
      </c>
      <c r="D1294" s="4" t="s">
        <v>2236</v>
      </c>
      <c r="E1294" s="4" t="s">
        <v>3384</v>
      </c>
      <c r="F1294" s="4" t="s">
        <v>3382</v>
      </c>
      <c r="G1294" s="4" t="s">
        <v>3108</v>
      </c>
      <c r="H1294" s="4" t="s">
        <v>2183</v>
      </c>
      <c r="I1294" s="4" t="s">
        <v>2100</v>
      </c>
      <c r="J1294" s="4" t="s">
        <v>2590</v>
      </c>
      <c r="K1294">
        <v>11</v>
      </c>
      <c r="L1294">
        <v>3.3527999999999998</v>
      </c>
      <c r="M1294">
        <v>38.1</v>
      </c>
      <c r="N1294">
        <v>184.15</v>
      </c>
      <c r="O1294">
        <v>132</v>
      </c>
      <c r="P1294">
        <v>1.5000000000000002</v>
      </c>
      <c r="Q1294">
        <v>7.2500000000000009</v>
      </c>
      <c r="R1294">
        <v>467.61500000000001</v>
      </c>
      <c r="S1294">
        <v>2.3523630372E-2</v>
      </c>
      <c r="T1294" s="4" t="s">
        <v>3383</v>
      </c>
    </row>
    <row r="1295" spans="1:20" x14ac:dyDescent="0.2">
      <c r="A1295" s="4" t="s">
        <v>3108</v>
      </c>
      <c r="B1295" s="4" t="s">
        <v>3381</v>
      </c>
      <c r="C1295" s="4" t="s">
        <v>2096</v>
      </c>
      <c r="D1295" s="4" t="s">
        <v>2236</v>
      </c>
      <c r="E1295" s="4" t="s">
        <v>638</v>
      </c>
      <c r="F1295" s="4" t="s">
        <v>3382</v>
      </c>
      <c r="G1295" s="4" t="s">
        <v>3108</v>
      </c>
      <c r="H1295" s="4" t="s">
        <v>2183</v>
      </c>
      <c r="I1295" s="4" t="s">
        <v>2100</v>
      </c>
      <c r="J1295" s="4" t="s">
        <v>2590</v>
      </c>
      <c r="K1295">
        <v>12</v>
      </c>
      <c r="L1295">
        <v>3.6576</v>
      </c>
      <c r="M1295">
        <v>38.1</v>
      </c>
      <c r="N1295">
        <v>184.15</v>
      </c>
      <c r="O1295">
        <v>144</v>
      </c>
      <c r="P1295">
        <v>1.5000000000000002</v>
      </c>
      <c r="Q1295">
        <v>7.2500000000000009</v>
      </c>
      <c r="R1295">
        <v>467.61500000000001</v>
      </c>
      <c r="S1295">
        <v>2.5662142224000001E-2</v>
      </c>
      <c r="T1295" s="4" t="s">
        <v>3383</v>
      </c>
    </row>
    <row r="1296" spans="1:20" x14ac:dyDescent="0.2">
      <c r="A1296" s="4" t="s">
        <v>3108</v>
      </c>
      <c r="B1296" s="4" t="s">
        <v>3381</v>
      </c>
      <c r="C1296" s="4" t="s">
        <v>2096</v>
      </c>
      <c r="D1296" s="4" t="s">
        <v>2236</v>
      </c>
      <c r="E1296" s="4" t="s">
        <v>3385</v>
      </c>
      <c r="F1296" s="4" t="s">
        <v>3382</v>
      </c>
      <c r="G1296" s="4" t="s">
        <v>3108</v>
      </c>
      <c r="H1296" s="4" t="s">
        <v>2183</v>
      </c>
      <c r="I1296" s="4" t="s">
        <v>2100</v>
      </c>
      <c r="J1296" s="4" t="s">
        <v>2590</v>
      </c>
      <c r="K1296">
        <v>13</v>
      </c>
      <c r="L1296">
        <v>3.9624000000000001</v>
      </c>
      <c r="M1296">
        <v>38.1</v>
      </c>
      <c r="N1296">
        <v>184.15</v>
      </c>
      <c r="O1296">
        <v>156</v>
      </c>
      <c r="P1296">
        <v>1.5000000000000002</v>
      </c>
      <c r="Q1296">
        <v>7.2500000000000009</v>
      </c>
      <c r="R1296">
        <v>467.61500000000001</v>
      </c>
      <c r="S1296">
        <v>2.7800654075999999E-2</v>
      </c>
      <c r="T1296" s="4" t="s">
        <v>3383</v>
      </c>
    </row>
    <row r="1297" spans="1:20" x14ac:dyDescent="0.2">
      <c r="A1297" s="4" t="s">
        <v>3108</v>
      </c>
      <c r="B1297" s="4" t="s">
        <v>3381</v>
      </c>
      <c r="C1297" s="4" t="s">
        <v>2096</v>
      </c>
      <c r="D1297" s="4" t="s">
        <v>2236</v>
      </c>
      <c r="E1297" s="4" t="s">
        <v>640</v>
      </c>
      <c r="F1297" s="4" t="s">
        <v>3382</v>
      </c>
      <c r="G1297" s="4" t="s">
        <v>3108</v>
      </c>
      <c r="H1297" s="4" t="s">
        <v>2183</v>
      </c>
      <c r="I1297" s="4" t="s">
        <v>2100</v>
      </c>
      <c r="J1297" s="4" t="s">
        <v>2590</v>
      </c>
      <c r="K1297">
        <v>14</v>
      </c>
      <c r="L1297">
        <v>4.2671999999999999</v>
      </c>
      <c r="M1297">
        <v>38.1</v>
      </c>
      <c r="N1297">
        <v>184.15</v>
      </c>
      <c r="O1297">
        <v>168</v>
      </c>
      <c r="P1297">
        <v>1.5000000000000002</v>
      </c>
      <c r="Q1297">
        <v>7.2500000000000009</v>
      </c>
      <c r="R1297">
        <v>467.61500000000001</v>
      </c>
      <c r="S1297">
        <v>2.9939165928E-2</v>
      </c>
      <c r="T1297" s="4" t="s">
        <v>3383</v>
      </c>
    </row>
    <row r="1298" spans="1:20" x14ac:dyDescent="0.2">
      <c r="A1298" s="4" t="s">
        <v>3108</v>
      </c>
      <c r="B1298" s="4" t="s">
        <v>3381</v>
      </c>
      <c r="C1298" s="4" t="s">
        <v>2096</v>
      </c>
      <c r="D1298" s="4" t="s">
        <v>2236</v>
      </c>
      <c r="E1298" s="4" t="s">
        <v>3386</v>
      </c>
      <c r="F1298" s="4" t="s">
        <v>3382</v>
      </c>
      <c r="G1298" s="4" t="s">
        <v>3108</v>
      </c>
      <c r="H1298" s="4" t="s">
        <v>2183</v>
      </c>
      <c r="I1298" s="4" t="s">
        <v>2100</v>
      </c>
      <c r="J1298" s="4" t="s">
        <v>2590</v>
      </c>
      <c r="K1298">
        <v>15</v>
      </c>
      <c r="L1298">
        <v>4.5720000000000001</v>
      </c>
      <c r="M1298">
        <v>38.1</v>
      </c>
      <c r="N1298">
        <v>184.15</v>
      </c>
      <c r="O1298">
        <v>180</v>
      </c>
      <c r="P1298">
        <v>1.5000000000000002</v>
      </c>
      <c r="Q1298">
        <v>7.2500000000000009</v>
      </c>
      <c r="R1298">
        <v>467.61500000000001</v>
      </c>
      <c r="S1298">
        <v>3.2077677780000001E-2</v>
      </c>
      <c r="T1298" s="4" t="s">
        <v>3383</v>
      </c>
    </row>
    <row r="1299" spans="1:20" x14ac:dyDescent="0.2">
      <c r="A1299" s="4" t="s">
        <v>3108</v>
      </c>
      <c r="B1299" s="4" t="s">
        <v>3381</v>
      </c>
      <c r="C1299" s="4" t="s">
        <v>2096</v>
      </c>
      <c r="D1299" s="4" t="s">
        <v>2236</v>
      </c>
      <c r="E1299" s="4" t="s">
        <v>642</v>
      </c>
      <c r="F1299" s="4" t="s">
        <v>3382</v>
      </c>
      <c r="G1299" s="4" t="s">
        <v>3108</v>
      </c>
      <c r="H1299" s="4" t="s">
        <v>2183</v>
      </c>
      <c r="I1299" s="4" t="s">
        <v>2100</v>
      </c>
      <c r="J1299" s="4" t="s">
        <v>2590</v>
      </c>
      <c r="K1299">
        <v>16</v>
      </c>
      <c r="L1299">
        <v>4.8768000000000002</v>
      </c>
      <c r="M1299">
        <v>38.1</v>
      </c>
      <c r="N1299">
        <v>184.15</v>
      </c>
      <c r="O1299">
        <v>192.00000000000003</v>
      </c>
      <c r="P1299">
        <v>1.5000000000000002</v>
      </c>
      <c r="Q1299">
        <v>7.2500000000000009</v>
      </c>
      <c r="R1299">
        <v>467.61500000000001</v>
      </c>
      <c r="S1299">
        <v>3.4216189632000002E-2</v>
      </c>
      <c r="T1299" s="4" t="s">
        <v>3383</v>
      </c>
    </row>
    <row r="1300" spans="1:20" x14ac:dyDescent="0.2">
      <c r="A1300" s="4" t="s">
        <v>3108</v>
      </c>
      <c r="B1300" s="4" t="s">
        <v>3381</v>
      </c>
      <c r="C1300" s="4" t="s">
        <v>2096</v>
      </c>
      <c r="D1300" s="4" t="s">
        <v>2236</v>
      </c>
      <c r="E1300" s="4" t="s">
        <v>3387</v>
      </c>
      <c r="F1300" s="4" t="s">
        <v>3382</v>
      </c>
      <c r="G1300" s="4" t="s">
        <v>3108</v>
      </c>
      <c r="H1300" s="4" t="s">
        <v>2183</v>
      </c>
      <c r="I1300" s="4" t="s">
        <v>2100</v>
      </c>
      <c r="J1300" s="4" t="s">
        <v>2590</v>
      </c>
      <c r="K1300">
        <v>17</v>
      </c>
      <c r="L1300">
        <v>5.1816000000000004</v>
      </c>
      <c r="M1300">
        <v>38.1</v>
      </c>
      <c r="N1300">
        <v>184.15</v>
      </c>
      <c r="O1300">
        <v>204.00000000000003</v>
      </c>
      <c r="P1300">
        <v>1.5000000000000002</v>
      </c>
      <c r="Q1300">
        <v>7.2500000000000009</v>
      </c>
      <c r="R1300">
        <v>467.61500000000001</v>
      </c>
      <c r="S1300">
        <v>3.635470148400001E-2</v>
      </c>
      <c r="T1300" s="4" t="s">
        <v>3383</v>
      </c>
    </row>
    <row r="1301" spans="1:20" x14ac:dyDescent="0.2">
      <c r="A1301" s="4" t="s">
        <v>3108</v>
      </c>
      <c r="B1301" s="4" t="s">
        <v>3381</v>
      </c>
      <c r="C1301" s="4" t="s">
        <v>2096</v>
      </c>
      <c r="D1301" s="4" t="s">
        <v>2236</v>
      </c>
      <c r="E1301" s="4" t="s">
        <v>644</v>
      </c>
      <c r="F1301" s="4" t="s">
        <v>3382</v>
      </c>
      <c r="G1301" s="4" t="s">
        <v>3108</v>
      </c>
      <c r="H1301" s="4" t="s">
        <v>2183</v>
      </c>
      <c r="I1301" s="4" t="s">
        <v>2100</v>
      </c>
      <c r="J1301" s="4" t="s">
        <v>2590</v>
      </c>
      <c r="K1301">
        <v>18</v>
      </c>
      <c r="L1301">
        <v>5.4863999999999997</v>
      </c>
      <c r="M1301">
        <v>38.1</v>
      </c>
      <c r="N1301">
        <v>184.15</v>
      </c>
      <c r="O1301">
        <v>216</v>
      </c>
      <c r="P1301">
        <v>1.5000000000000002</v>
      </c>
      <c r="Q1301">
        <v>7.2500000000000009</v>
      </c>
      <c r="R1301">
        <v>467.61500000000001</v>
      </c>
      <c r="S1301">
        <v>3.8493213336000004E-2</v>
      </c>
      <c r="T1301" s="4" t="s">
        <v>3383</v>
      </c>
    </row>
    <row r="1302" spans="1:20" x14ac:dyDescent="0.2">
      <c r="A1302" s="4" t="s">
        <v>3108</v>
      </c>
      <c r="B1302" s="4" t="s">
        <v>3381</v>
      </c>
      <c r="C1302" s="4" t="s">
        <v>2096</v>
      </c>
      <c r="D1302" s="4" t="s">
        <v>2236</v>
      </c>
      <c r="E1302" s="4" t="s">
        <v>3388</v>
      </c>
      <c r="F1302" s="4" t="s">
        <v>3382</v>
      </c>
      <c r="G1302" s="4" t="s">
        <v>3108</v>
      </c>
      <c r="H1302" s="4" t="s">
        <v>2183</v>
      </c>
      <c r="I1302" s="4" t="s">
        <v>2100</v>
      </c>
      <c r="J1302" s="4" t="s">
        <v>2590</v>
      </c>
      <c r="K1302">
        <v>19</v>
      </c>
      <c r="L1302">
        <v>5.7911999999999999</v>
      </c>
      <c r="M1302">
        <v>38.1</v>
      </c>
      <c r="N1302">
        <v>184.15</v>
      </c>
      <c r="O1302">
        <v>228</v>
      </c>
      <c r="P1302">
        <v>1.5000000000000002</v>
      </c>
      <c r="Q1302">
        <v>7.2500000000000009</v>
      </c>
      <c r="R1302">
        <v>467.61500000000001</v>
      </c>
      <c r="S1302">
        <v>4.0631725188000005E-2</v>
      </c>
      <c r="T1302" s="4" t="s">
        <v>3383</v>
      </c>
    </row>
    <row r="1303" spans="1:20" x14ac:dyDescent="0.2">
      <c r="A1303" s="4" t="s">
        <v>3108</v>
      </c>
      <c r="B1303" s="4" t="s">
        <v>3381</v>
      </c>
      <c r="C1303" s="4" t="s">
        <v>2096</v>
      </c>
      <c r="D1303" s="4" t="s">
        <v>2236</v>
      </c>
      <c r="E1303" s="4" t="s">
        <v>646</v>
      </c>
      <c r="F1303" s="4" t="s">
        <v>3382</v>
      </c>
      <c r="G1303" s="4" t="s">
        <v>3108</v>
      </c>
      <c r="H1303" s="4" t="s">
        <v>2183</v>
      </c>
      <c r="I1303" s="4" t="s">
        <v>2100</v>
      </c>
      <c r="J1303" s="4" t="s">
        <v>2590</v>
      </c>
      <c r="K1303">
        <v>20</v>
      </c>
      <c r="L1303">
        <v>6.0960000000000001</v>
      </c>
      <c r="M1303">
        <v>38.1</v>
      </c>
      <c r="N1303">
        <v>184.15</v>
      </c>
      <c r="O1303">
        <v>240</v>
      </c>
      <c r="P1303">
        <v>1.5000000000000002</v>
      </c>
      <c r="Q1303">
        <v>7.2500000000000009</v>
      </c>
      <c r="R1303">
        <v>467.61500000000001</v>
      </c>
      <c r="S1303">
        <v>4.2770237040000006E-2</v>
      </c>
      <c r="T1303" s="4" t="s">
        <v>3383</v>
      </c>
    </row>
    <row r="1304" spans="1:20" x14ac:dyDescent="0.2">
      <c r="A1304" s="4" t="s">
        <v>3108</v>
      </c>
      <c r="B1304" s="4" t="s">
        <v>3381</v>
      </c>
      <c r="C1304" s="4" t="s">
        <v>2096</v>
      </c>
      <c r="D1304" s="4" t="s">
        <v>2236</v>
      </c>
      <c r="E1304" s="4" t="s">
        <v>3389</v>
      </c>
      <c r="F1304" s="4" t="s">
        <v>3382</v>
      </c>
      <c r="G1304" s="4" t="s">
        <v>3108</v>
      </c>
      <c r="H1304" s="4" t="s">
        <v>2183</v>
      </c>
      <c r="I1304" s="4" t="s">
        <v>2100</v>
      </c>
      <c r="J1304" s="4" t="s">
        <v>2590</v>
      </c>
      <c r="K1304">
        <v>21</v>
      </c>
      <c r="L1304">
        <v>6.4008000000000003</v>
      </c>
      <c r="M1304">
        <v>38.1</v>
      </c>
      <c r="N1304">
        <v>184.15</v>
      </c>
      <c r="O1304">
        <v>252.00000000000003</v>
      </c>
      <c r="P1304">
        <v>1.5000000000000002</v>
      </c>
      <c r="Q1304">
        <v>7.2500000000000009</v>
      </c>
      <c r="R1304">
        <v>467.61500000000001</v>
      </c>
      <c r="S1304">
        <v>4.4908748892000007E-2</v>
      </c>
      <c r="T1304" s="4" t="s">
        <v>3383</v>
      </c>
    </row>
    <row r="1305" spans="1:20" x14ac:dyDescent="0.2">
      <c r="A1305" s="4" t="s">
        <v>3108</v>
      </c>
      <c r="B1305" s="4" t="s">
        <v>3381</v>
      </c>
      <c r="C1305" s="4" t="s">
        <v>2096</v>
      </c>
      <c r="D1305" s="4" t="s">
        <v>2236</v>
      </c>
      <c r="E1305" s="4" t="s">
        <v>1935</v>
      </c>
      <c r="F1305" s="4" t="s">
        <v>3382</v>
      </c>
      <c r="G1305" s="4" t="s">
        <v>3108</v>
      </c>
      <c r="H1305" s="4" t="s">
        <v>2183</v>
      </c>
      <c r="I1305" s="4" t="s">
        <v>2100</v>
      </c>
      <c r="J1305" s="4" t="s">
        <v>2590</v>
      </c>
      <c r="K1305">
        <v>22</v>
      </c>
      <c r="L1305">
        <v>6.7055999999999996</v>
      </c>
      <c r="M1305">
        <v>38.1</v>
      </c>
      <c r="N1305">
        <v>184.15</v>
      </c>
      <c r="O1305">
        <v>264</v>
      </c>
      <c r="P1305">
        <v>1.5000000000000002</v>
      </c>
      <c r="Q1305">
        <v>7.2500000000000009</v>
      </c>
      <c r="R1305">
        <v>467.61500000000001</v>
      </c>
      <c r="S1305">
        <v>4.7047260744000001E-2</v>
      </c>
      <c r="T1305" s="4" t="s">
        <v>3383</v>
      </c>
    </row>
    <row r="1306" spans="1:20" x14ac:dyDescent="0.2">
      <c r="A1306" s="4" t="s">
        <v>3108</v>
      </c>
      <c r="B1306" s="4" t="s">
        <v>3381</v>
      </c>
      <c r="C1306" s="4" t="s">
        <v>2286</v>
      </c>
      <c r="D1306" s="4" t="s">
        <v>2236</v>
      </c>
      <c r="E1306" s="4" t="s">
        <v>3390</v>
      </c>
      <c r="F1306" s="4" t="s">
        <v>3382</v>
      </c>
      <c r="G1306" s="4" t="s">
        <v>3108</v>
      </c>
      <c r="H1306" s="4" t="s">
        <v>2183</v>
      </c>
      <c r="I1306" s="4" t="s">
        <v>2100</v>
      </c>
      <c r="J1306" s="4" t="s">
        <v>2590</v>
      </c>
      <c r="K1306">
        <v>3</v>
      </c>
      <c r="L1306">
        <v>0.91439999999999999</v>
      </c>
      <c r="M1306">
        <v>38.1</v>
      </c>
      <c r="N1306">
        <v>184.15</v>
      </c>
      <c r="O1306">
        <v>36</v>
      </c>
      <c r="P1306">
        <v>1.5000000000000002</v>
      </c>
      <c r="Q1306">
        <v>7.2500000000000009</v>
      </c>
      <c r="R1306">
        <v>467.61500000000001</v>
      </c>
      <c r="S1306">
        <v>6.4155355560000004E-3</v>
      </c>
      <c r="T1306" s="4" t="s">
        <v>3391</v>
      </c>
    </row>
    <row r="1307" spans="1:20" x14ac:dyDescent="0.2">
      <c r="A1307" s="4" t="s">
        <v>3108</v>
      </c>
      <c r="B1307" s="4" t="s">
        <v>3381</v>
      </c>
      <c r="C1307" s="4" t="s">
        <v>2286</v>
      </c>
      <c r="D1307" s="4" t="s">
        <v>2236</v>
      </c>
      <c r="E1307" s="4" t="s">
        <v>3392</v>
      </c>
      <c r="F1307" s="4" t="s">
        <v>3382</v>
      </c>
      <c r="G1307" s="4" t="s">
        <v>3108</v>
      </c>
      <c r="H1307" s="4" t="s">
        <v>2183</v>
      </c>
      <c r="I1307" s="4" t="s">
        <v>2100</v>
      </c>
      <c r="J1307" s="4" t="s">
        <v>2590</v>
      </c>
      <c r="K1307">
        <v>4</v>
      </c>
      <c r="L1307">
        <v>1.2192000000000001</v>
      </c>
      <c r="M1307">
        <v>38.1</v>
      </c>
      <c r="N1307">
        <v>184.15</v>
      </c>
      <c r="O1307">
        <v>48.000000000000007</v>
      </c>
      <c r="P1307">
        <v>1.5000000000000002</v>
      </c>
      <c r="Q1307">
        <v>7.2500000000000009</v>
      </c>
      <c r="R1307">
        <v>467.61500000000001</v>
      </c>
      <c r="S1307">
        <v>8.5540474080000005E-3</v>
      </c>
      <c r="T1307" s="4" t="s">
        <v>3391</v>
      </c>
    </row>
    <row r="1308" spans="1:20" x14ac:dyDescent="0.2">
      <c r="A1308" s="4" t="s">
        <v>3108</v>
      </c>
      <c r="B1308" s="4" t="s">
        <v>3381</v>
      </c>
      <c r="C1308" s="4" t="s">
        <v>2286</v>
      </c>
      <c r="D1308" s="4" t="s">
        <v>2236</v>
      </c>
      <c r="E1308" s="4" t="s">
        <v>648</v>
      </c>
      <c r="F1308" s="4" t="s">
        <v>3382</v>
      </c>
      <c r="G1308" s="4" t="s">
        <v>3108</v>
      </c>
      <c r="H1308" s="4" t="s">
        <v>2183</v>
      </c>
      <c r="I1308" s="4" t="s">
        <v>2100</v>
      </c>
      <c r="J1308" s="4" t="s">
        <v>2590</v>
      </c>
      <c r="K1308">
        <v>5</v>
      </c>
      <c r="L1308">
        <v>1.524</v>
      </c>
      <c r="M1308">
        <v>38.1</v>
      </c>
      <c r="N1308">
        <v>184.15</v>
      </c>
      <c r="O1308">
        <v>60</v>
      </c>
      <c r="P1308">
        <v>1.5000000000000002</v>
      </c>
      <c r="Q1308">
        <v>7.2500000000000009</v>
      </c>
      <c r="R1308">
        <v>467.61500000000001</v>
      </c>
      <c r="S1308">
        <v>1.0692559260000001E-2</v>
      </c>
      <c r="T1308" s="4" t="s">
        <v>3391</v>
      </c>
    </row>
    <row r="1309" spans="1:20" x14ac:dyDescent="0.2">
      <c r="A1309" s="4" t="s">
        <v>3108</v>
      </c>
      <c r="B1309" s="4" t="s">
        <v>3381</v>
      </c>
      <c r="C1309" s="4" t="s">
        <v>2286</v>
      </c>
      <c r="D1309" s="4" t="s">
        <v>2236</v>
      </c>
      <c r="E1309" s="4" t="s">
        <v>650</v>
      </c>
      <c r="F1309" s="4" t="s">
        <v>3382</v>
      </c>
      <c r="G1309" s="4" t="s">
        <v>3108</v>
      </c>
      <c r="H1309" s="4" t="s">
        <v>2183</v>
      </c>
      <c r="I1309" s="4" t="s">
        <v>2100</v>
      </c>
      <c r="J1309" s="4" t="s">
        <v>2590</v>
      </c>
      <c r="K1309">
        <v>6</v>
      </c>
      <c r="L1309">
        <v>1.8288</v>
      </c>
      <c r="M1309">
        <v>38.1</v>
      </c>
      <c r="N1309">
        <v>184.15</v>
      </c>
      <c r="O1309">
        <v>72</v>
      </c>
      <c r="P1309">
        <v>1.5000000000000002</v>
      </c>
      <c r="Q1309">
        <v>7.2500000000000009</v>
      </c>
      <c r="R1309">
        <v>467.61500000000001</v>
      </c>
      <c r="S1309">
        <v>1.2831071112000001E-2</v>
      </c>
      <c r="T1309" s="4" t="s">
        <v>3391</v>
      </c>
    </row>
    <row r="1310" spans="1:20" x14ac:dyDescent="0.2">
      <c r="A1310" s="4" t="s">
        <v>3108</v>
      </c>
      <c r="B1310" s="4" t="s">
        <v>3381</v>
      </c>
      <c r="C1310" s="4" t="s">
        <v>2286</v>
      </c>
      <c r="D1310" s="4" t="s">
        <v>2236</v>
      </c>
      <c r="E1310" s="4" t="s">
        <v>3393</v>
      </c>
      <c r="F1310" s="4" t="s">
        <v>3382</v>
      </c>
      <c r="G1310" s="4" t="s">
        <v>3108</v>
      </c>
      <c r="H1310" s="4" t="s">
        <v>2183</v>
      </c>
      <c r="I1310" s="4" t="s">
        <v>2100</v>
      </c>
      <c r="J1310" s="4" t="s">
        <v>2590</v>
      </c>
      <c r="K1310">
        <v>7</v>
      </c>
      <c r="L1310">
        <v>2.1335999999999999</v>
      </c>
      <c r="M1310">
        <v>38.1</v>
      </c>
      <c r="N1310">
        <v>184.15</v>
      </c>
      <c r="O1310">
        <v>84</v>
      </c>
      <c r="P1310">
        <v>1.5000000000000002</v>
      </c>
      <c r="Q1310">
        <v>7.2500000000000009</v>
      </c>
      <c r="R1310">
        <v>467.61500000000001</v>
      </c>
      <c r="S1310">
        <v>1.4969582964E-2</v>
      </c>
      <c r="T1310" s="4" t="s">
        <v>3391</v>
      </c>
    </row>
    <row r="1311" spans="1:20" x14ac:dyDescent="0.2">
      <c r="A1311" s="4" t="s">
        <v>3108</v>
      </c>
      <c r="B1311" s="4" t="s">
        <v>3381</v>
      </c>
      <c r="C1311" s="4" t="s">
        <v>2096</v>
      </c>
      <c r="D1311" s="4" t="s">
        <v>2236</v>
      </c>
      <c r="E1311" s="4" t="s">
        <v>651</v>
      </c>
      <c r="F1311" s="4" t="s">
        <v>3382</v>
      </c>
      <c r="G1311" s="4" t="s">
        <v>3108</v>
      </c>
      <c r="H1311" s="4" t="s">
        <v>2183</v>
      </c>
      <c r="I1311" s="4" t="s">
        <v>2100</v>
      </c>
      <c r="J1311" s="4" t="s">
        <v>2590</v>
      </c>
      <c r="K1311">
        <v>8</v>
      </c>
      <c r="L1311">
        <v>2.4384000000000001</v>
      </c>
      <c r="M1311">
        <v>38.1</v>
      </c>
      <c r="N1311">
        <v>184.15</v>
      </c>
      <c r="O1311">
        <v>96.000000000000014</v>
      </c>
      <c r="P1311">
        <v>1.5000000000000002</v>
      </c>
      <c r="Q1311">
        <v>7.2500000000000009</v>
      </c>
      <c r="R1311">
        <v>467.61500000000001</v>
      </c>
      <c r="S1311">
        <v>1.7108094816000001E-2</v>
      </c>
      <c r="T1311" s="4" t="s">
        <v>3383</v>
      </c>
    </row>
    <row r="1312" spans="1:20" x14ac:dyDescent="0.2">
      <c r="A1312" s="4" t="s">
        <v>3108</v>
      </c>
      <c r="B1312" s="4" t="s">
        <v>3381</v>
      </c>
      <c r="C1312" s="4" t="s">
        <v>2096</v>
      </c>
      <c r="D1312" s="4" t="s">
        <v>2236</v>
      </c>
      <c r="E1312" s="4" t="s">
        <v>3394</v>
      </c>
      <c r="F1312" s="4" t="s">
        <v>3382</v>
      </c>
      <c r="G1312" s="4" t="s">
        <v>3108</v>
      </c>
      <c r="H1312" s="4" t="s">
        <v>2183</v>
      </c>
      <c r="I1312" s="4" t="s">
        <v>2100</v>
      </c>
      <c r="J1312" s="4" t="s">
        <v>2590</v>
      </c>
      <c r="K1312">
        <v>9</v>
      </c>
      <c r="L1312">
        <v>2.7431999999999999</v>
      </c>
      <c r="M1312">
        <v>38.1</v>
      </c>
      <c r="N1312">
        <v>184.15</v>
      </c>
      <c r="O1312">
        <v>108</v>
      </c>
      <c r="P1312">
        <v>1.5000000000000002</v>
      </c>
      <c r="Q1312">
        <v>7.2500000000000009</v>
      </c>
      <c r="R1312">
        <v>467.61500000000001</v>
      </c>
      <c r="S1312">
        <v>1.9246606668000002E-2</v>
      </c>
      <c r="T1312" s="4" t="s">
        <v>3383</v>
      </c>
    </row>
    <row r="1313" spans="1:20" x14ac:dyDescent="0.2">
      <c r="A1313" s="4" t="s">
        <v>3108</v>
      </c>
      <c r="B1313" s="4" t="s">
        <v>3395</v>
      </c>
      <c r="C1313" s="4" t="s">
        <v>2096</v>
      </c>
      <c r="D1313" s="4" t="s">
        <v>2236</v>
      </c>
      <c r="E1313" s="4" t="s">
        <v>653</v>
      </c>
      <c r="F1313" s="4" t="s">
        <v>3396</v>
      </c>
      <c r="G1313" s="4" t="s">
        <v>3108</v>
      </c>
      <c r="H1313" s="4" t="s">
        <v>2183</v>
      </c>
      <c r="I1313" s="4" t="s">
        <v>2100</v>
      </c>
      <c r="J1313" s="4" t="s">
        <v>2610</v>
      </c>
      <c r="K1313">
        <v>10</v>
      </c>
      <c r="L1313">
        <v>3.048</v>
      </c>
      <c r="M1313">
        <v>63.5</v>
      </c>
      <c r="N1313">
        <v>234.95</v>
      </c>
      <c r="O1313">
        <v>120</v>
      </c>
      <c r="P1313">
        <v>2.5</v>
      </c>
      <c r="Q1313">
        <v>9.25</v>
      </c>
      <c r="R1313">
        <v>219.905</v>
      </c>
      <c r="S1313">
        <v>4.5474102599999996E-2</v>
      </c>
      <c r="T1313" s="4" t="s">
        <v>3397</v>
      </c>
    </row>
    <row r="1314" spans="1:20" x14ac:dyDescent="0.2">
      <c r="A1314" s="4" t="s">
        <v>3108</v>
      </c>
      <c r="B1314" s="4" t="s">
        <v>3395</v>
      </c>
      <c r="C1314" s="4" t="s">
        <v>2096</v>
      </c>
      <c r="D1314" s="4" t="s">
        <v>2236</v>
      </c>
      <c r="E1314" s="4" t="s">
        <v>3398</v>
      </c>
      <c r="F1314" s="4" t="s">
        <v>3396</v>
      </c>
      <c r="G1314" s="4" t="s">
        <v>3108</v>
      </c>
      <c r="H1314" s="4" t="s">
        <v>2183</v>
      </c>
      <c r="I1314" s="4" t="s">
        <v>2100</v>
      </c>
      <c r="J1314" s="4" t="s">
        <v>2610</v>
      </c>
      <c r="K1314">
        <v>11</v>
      </c>
      <c r="L1314">
        <v>3.3527999999999998</v>
      </c>
      <c r="M1314">
        <v>63.5</v>
      </c>
      <c r="N1314">
        <v>234.95</v>
      </c>
      <c r="O1314">
        <v>132</v>
      </c>
      <c r="P1314">
        <v>2.5</v>
      </c>
      <c r="Q1314">
        <v>9.25</v>
      </c>
      <c r="R1314">
        <v>219.905</v>
      </c>
      <c r="S1314">
        <v>5.0021512859999992E-2</v>
      </c>
      <c r="T1314" s="4" t="s">
        <v>3397</v>
      </c>
    </row>
    <row r="1315" spans="1:20" x14ac:dyDescent="0.2">
      <c r="A1315" s="4" t="s">
        <v>3108</v>
      </c>
      <c r="B1315" s="4" t="s">
        <v>3395</v>
      </c>
      <c r="C1315" s="4" t="s">
        <v>2096</v>
      </c>
      <c r="D1315" s="4" t="s">
        <v>2236</v>
      </c>
      <c r="E1315" s="4" t="s">
        <v>655</v>
      </c>
      <c r="F1315" s="4" t="s">
        <v>3396</v>
      </c>
      <c r="G1315" s="4" t="s">
        <v>3108</v>
      </c>
      <c r="H1315" s="4" t="s">
        <v>2183</v>
      </c>
      <c r="I1315" s="4" t="s">
        <v>2100</v>
      </c>
      <c r="J1315" s="4" t="s">
        <v>2610</v>
      </c>
      <c r="K1315">
        <v>12</v>
      </c>
      <c r="L1315">
        <v>3.6576</v>
      </c>
      <c r="M1315">
        <v>63.5</v>
      </c>
      <c r="N1315">
        <v>234.95</v>
      </c>
      <c r="O1315">
        <v>144</v>
      </c>
      <c r="P1315">
        <v>2.5</v>
      </c>
      <c r="Q1315">
        <v>9.25</v>
      </c>
      <c r="R1315">
        <v>219.905</v>
      </c>
      <c r="S1315">
        <v>5.4568923120000001E-2</v>
      </c>
      <c r="T1315" s="4" t="s">
        <v>3397</v>
      </c>
    </row>
    <row r="1316" spans="1:20" x14ac:dyDescent="0.2">
      <c r="A1316" s="4" t="s">
        <v>3108</v>
      </c>
      <c r="B1316" s="4" t="s">
        <v>3395</v>
      </c>
      <c r="C1316" s="4" t="s">
        <v>2096</v>
      </c>
      <c r="D1316" s="4" t="s">
        <v>2236</v>
      </c>
      <c r="E1316" s="4" t="s">
        <v>3399</v>
      </c>
      <c r="F1316" s="4" t="s">
        <v>3396</v>
      </c>
      <c r="G1316" s="4" t="s">
        <v>3108</v>
      </c>
      <c r="H1316" s="4" t="s">
        <v>2183</v>
      </c>
      <c r="I1316" s="4" t="s">
        <v>2100</v>
      </c>
      <c r="J1316" s="4" t="s">
        <v>2610</v>
      </c>
      <c r="K1316">
        <v>13</v>
      </c>
      <c r="L1316">
        <v>3.9624000000000001</v>
      </c>
      <c r="M1316">
        <v>63.5</v>
      </c>
      <c r="N1316">
        <v>234.95</v>
      </c>
      <c r="O1316">
        <v>156</v>
      </c>
      <c r="P1316">
        <v>2.5</v>
      </c>
      <c r="Q1316">
        <v>9.25</v>
      </c>
      <c r="R1316">
        <v>219.905</v>
      </c>
      <c r="S1316">
        <v>5.9116333380000004E-2</v>
      </c>
      <c r="T1316" s="4" t="s">
        <v>3397</v>
      </c>
    </row>
    <row r="1317" spans="1:20" x14ac:dyDescent="0.2">
      <c r="A1317" s="4" t="s">
        <v>3108</v>
      </c>
      <c r="B1317" s="4" t="s">
        <v>3395</v>
      </c>
      <c r="C1317" s="4" t="s">
        <v>2096</v>
      </c>
      <c r="D1317" s="4" t="s">
        <v>2236</v>
      </c>
      <c r="E1317" s="4" t="s">
        <v>657</v>
      </c>
      <c r="F1317" s="4" t="s">
        <v>3396</v>
      </c>
      <c r="G1317" s="4" t="s">
        <v>3108</v>
      </c>
      <c r="H1317" s="4" t="s">
        <v>2183</v>
      </c>
      <c r="I1317" s="4" t="s">
        <v>2100</v>
      </c>
      <c r="J1317" s="4" t="s">
        <v>2610</v>
      </c>
      <c r="K1317">
        <v>14</v>
      </c>
      <c r="L1317">
        <v>4.2671999999999999</v>
      </c>
      <c r="M1317">
        <v>63.5</v>
      </c>
      <c r="N1317">
        <v>234.95</v>
      </c>
      <c r="O1317">
        <v>168</v>
      </c>
      <c r="P1317">
        <v>2.5</v>
      </c>
      <c r="Q1317">
        <v>9.25</v>
      </c>
      <c r="R1317">
        <v>219.905</v>
      </c>
      <c r="S1317">
        <v>6.3663743639999992E-2</v>
      </c>
      <c r="T1317" s="4" t="s">
        <v>3397</v>
      </c>
    </row>
    <row r="1318" spans="1:20" x14ac:dyDescent="0.2">
      <c r="A1318" s="4" t="s">
        <v>3108</v>
      </c>
      <c r="B1318" s="4" t="s">
        <v>3395</v>
      </c>
      <c r="C1318" s="4" t="s">
        <v>2096</v>
      </c>
      <c r="D1318" s="4" t="s">
        <v>2236</v>
      </c>
      <c r="E1318" s="4" t="s">
        <v>3400</v>
      </c>
      <c r="F1318" s="4" t="s">
        <v>3396</v>
      </c>
      <c r="G1318" s="4" t="s">
        <v>3108</v>
      </c>
      <c r="H1318" s="4" t="s">
        <v>2183</v>
      </c>
      <c r="I1318" s="4" t="s">
        <v>2100</v>
      </c>
      <c r="J1318" s="4" t="s">
        <v>2610</v>
      </c>
      <c r="K1318">
        <v>15</v>
      </c>
      <c r="L1318">
        <v>4.5720000000000001</v>
      </c>
      <c r="M1318">
        <v>63.5</v>
      </c>
      <c r="N1318">
        <v>234.95</v>
      </c>
      <c r="O1318">
        <v>180</v>
      </c>
      <c r="P1318">
        <v>2.5</v>
      </c>
      <c r="Q1318">
        <v>9.25</v>
      </c>
      <c r="R1318">
        <v>219.905</v>
      </c>
      <c r="S1318">
        <v>6.8211153900000002E-2</v>
      </c>
      <c r="T1318" s="4" t="s">
        <v>3397</v>
      </c>
    </row>
    <row r="1319" spans="1:20" x14ac:dyDescent="0.2">
      <c r="A1319" s="4" t="s">
        <v>3108</v>
      </c>
      <c r="B1319" s="4" t="s">
        <v>3395</v>
      </c>
      <c r="C1319" s="4" t="s">
        <v>2096</v>
      </c>
      <c r="D1319" s="4" t="s">
        <v>2236</v>
      </c>
      <c r="E1319" s="4" t="s">
        <v>3401</v>
      </c>
      <c r="F1319" s="4" t="s">
        <v>3396</v>
      </c>
      <c r="G1319" s="4" t="s">
        <v>3108</v>
      </c>
      <c r="H1319" s="4" t="s">
        <v>2183</v>
      </c>
      <c r="I1319" s="4" t="s">
        <v>2100</v>
      </c>
      <c r="J1319" s="4" t="s">
        <v>2610</v>
      </c>
      <c r="K1319">
        <v>16</v>
      </c>
      <c r="L1319">
        <v>4.8768000000000002</v>
      </c>
      <c r="M1319">
        <v>63.5</v>
      </c>
      <c r="N1319">
        <v>234.95</v>
      </c>
      <c r="O1319">
        <v>192.00000000000003</v>
      </c>
      <c r="P1319">
        <v>2.5</v>
      </c>
      <c r="Q1319">
        <v>9.25</v>
      </c>
      <c r="R1319">
        <v>219.905</v>
      </c>
      <c r="S1319">
        <v>7.2758564160000011E-2</v>
      </c>
      <c r="T1319" s="4" t="s">
        <v>3397</v>
      </c>
    </row>
    <row r="1320" spans="1:20" x14ac:dyDescent="0.2">
      <c r="A1320" s="4" t="s">
        <v>3108</v>
      </c>
      <c r="B1320" s="4" t="s">
        <v>3395</v>
      </c>
      <c r="C1320" s="4" t="s">
        <v>2096</v>
      </c>
      <c r="D1320" s="4" t="s">
        <v>2236</v>
      </c>
      <c r="E1320" s="4" t="s">
        <v>3402</v>
      </c>
      <c r="F1320" s="4" t="s">
        <v>3396</v>
      </c>
      <c r="G1320" s="4" t="s">
        <v>3108</v>
      </c>
      <c r="H1320" s="4" t="s">
        <v>2183</v>
      </c>
      <c r="I1320" s="4" t="s">
        <v>2100</v>
      </c>
      <c r="J1320" s="4" t="s">
        <v>2610</v>
      </c>
      <c r="K1320">
        <v>17</v>
      </c>
      <c r="L1320">
        <v>5.1816000000000004</v>
      </c>
      <c r="M1320">
        <v>63.5</v>
      </c>
      <c r="N1320">
        <v>234.95</v>
      </c>
      <c r="O1320">
        <v>204.00000000000003</v>
      </c>
      <c r="P1320">
        <v>2.5</v>
      </c>
      <c r="Q1320">
        <v>9.25</v>
      </c>
      <c r="R1320">
        <v>219.905</v>
      </c>
      <c r="S1320">
        <v>7.7305974419999993E-2</v>
      </c>
      <c r="T1320" s="4" t="s">
        <v>3397</v>
      </c>
    </row>
    <row r="1321" spans="1:20" x14ac:dyDescent="0.2">
      <c r="A1321" s="4" t="s">
        <v>3108</v>
      </c>
      <c r="B1321" s="4" t="s">
        <v>3395</v>
      </c>
      <c r="C1321" s="4" t="s">
        <v>2096</v>
      </c>
      <c r="D1321" s="4" t="s">
        <v>2236</v>
      </c>
      <c r="E1321" s="4" t="s">
        <v>659</v>
      </c>
      <c r="F1321" s="4" t="s">
        <v>3396</v>
      </c>
      <c r="G1321" s="4" t="s">
        <v>3108</v>
      </c>
      <c r="H1321" s="4" t="s">
        <v>2183</v>
      </c>
      <c r="I1321" s="4" t="s">
        <v>2100</v>
      </c>
      <c r="J1321" s="4" t="s">
        <v>2610</v>
      </c>
      <c r="K1321">
        <v>18</v>
      </c>
      <c r="L1321">
        <v>5.4863999999999997</v>
      </c>
      <c r="M1321">
        <v>63.5</v>
      </c>
      <c r="N1321">
        <v>234.95</v>
      </c>
      <c r="O1321">
        <v>216</v>
      </c>
      <c r="P1321">
        <v>2.5</v>
      </c>
      <c r="Q1321">
        <v>9.25</v>
      </c>
      <c r="R1321">
        <v>219.905</v>
      </c>
      <c r="S1321">
        <v>8.1853384679999988E-2</v>
      </c>
      <c r="T1321" s="4" t="s">
        <v>3397</v>
      </c>
    </row>
    <row r="1322" spans="1:20" x14ac:dyDescent="0.2">
      <c r="A1322" s="4" t="s">
        <v>3108</v>
      </c>
      <c r="B1322" s="4" t="s">
        <v>3395</v>
      </c>
      <c r="C1322" s="4" t="s">
        <v>2096</v>
      </c>
      <c r="D1322" s="4" t="s">
        <v>2236</v>
      </c>
      <c r="E1322" s="4" t="s">
        <v>3403</v>
      </c>
      <c r="F1322" s="4" t="s">
        <v>3396</v>
      </c>
      <c r="G1322" s="4" t="s">
        <v>3108</v>
      </c>
      <c r="H1322" s="4" t="s">
        <v>2183</v>
      </c>
      <c r="I1322" s="4" t="s">
        <v>2100</v>
      </c>
      <c r="J1322" s="4" t="s">
        <v>2610</v>
      </c>
      <c r="K1322">
        <v>19</v>
      </c>
      <c r="L1322">
        <v>5.7911999999999999</v>
      </c>
      <c r="M1322">
        <v>63.5</v>
      </c>
      <c r="N1322">
        <v>234.95</v>
      </c>
      <c r="O1322">
        <v>228</v>
      </c>
      <c r="P1322">
        <v>2.5</v>
      </c>
      <c r="Q1322">
        <v>9.25</v>
      </c>
      <c r="R1322">
        <v>219.905</v>
      </c>
      <c r="S1322">
        <v>8.6400794939999997E-2</v>
      </c>
      <c r="T1322" s="4" t="s">
        <v>3397</v>
      </c>
    </row>
    <row r="1323" spans="1:20" x14ac:dyDescent="0.2">
      <c r="A1323" s="4" t="s">
        <v>3108</v>
      </c>
      <c r="B1323" s="4" t="s">
        <v>3395</v>
      </c>
      <c r="C1323" s="4" t="s">
        <v>2096</v>
      </c>
      <c r="D1323" s="4" t="s">
        <v>2236</v>
      </c>
      <c r="E1323" s="4" t="s">
        <v>661</v>
      </c>
      <c r="F1323" s="4" t="s">
        <v>3396</v>
      </c>
      <c r="G1323" s="4" t="s">
        <v>3108</v>
      </c>
      <c r="H1323" s="4" t="s">
        <v>2183</v>
      </c>
      <c r="I1323" s="4" t="s">
        <v>2100</v>
      </c>
      <c r="J1323" s="4" t="s">
        <v>2610</v>
      </c>
      <c r="K1323">
        <v>20</v>
      </c>
      <c r="L1323">
        <v>6.0960000000000001</v>
      </c>
      <c r="M1323">
        <v>63.5</v>
      </c>
      <c r="N1323">
        <v>234.95</v>
      </c>
      <c r="O1323">
        <v>240</v>
      </c>
      <c r="P1323">
        <v>2.5</v>
      </c>
      <c r="Q1323">
        <v>9.25</v>
      </c>
      <c r="R1323">
        <v>219.905</v>
      </c>
      <c r="S1323">
        <v>9.0948205199999993E-2</v>
      </c>
      <c r="T1323" s="4" t="s">
        <v>3397</v>
      </c>
    </row>
    <row r="1324" spans="1:20" x14ac:dyDescent="0.2">
      <c r="A1324" s="4" t="s">
        <v>3108</v>
      </c>
      <c r="B1324" s="4" t="s">
        <v>3395</v>
      </c>
      <c r="C1324" s="4" t="s">
        <v>2096</v>
      </c>
      <c r="D1324" s="4" t="s">
        <v>2236</v>
      </c>
      <c r="E1324" s="4" t="s">
        <v>3404</v>
      </c>
      <c r="F1324" s="4" t="s">
        <v>3396</v>
      </c>
      <c r="G1324" s="4" t="s">
        <v>3108</v>
      </c>
      <c r="H1324" s="4" t="s">
        <v>2183</v>
      </c>
      <c r="I1324" s="4" t="s">
        <v>2100</v>
      </c>
      <c r="J1324" s="4" t="s">
        <v>2610</v>
      </c>
      <c r="K1324">
        <v>21</v>
      </c>
      <c r="L1324">
        <v>6.4008000000000003</v>
      </c>
      <c r="M1324">
        <v>63.5</v>
      </c>
      <c r="N1324">
        <v>234.95</v>
      </c>
      <c r="O1324">
        <v>252.00000000000003</v>
      </c>
      <c r="P1324">
        <v>2.5</v>
      </c>
      <c r="Q1324">
        <v>9.25</v>
      </c>
      <c r="R1324">
        <v>219.905</v>
      </c>
      <c r="S1324">
        <v>9.5495615460000002E-2</v>
      </c>
      <c r="T1324" s="4" t="s">
        <v>3397</v>
      </c>
    </row>
    <row r="1325" spans="1:20" x14ac:dyDescent="0.2">
      <c r="A1325" s="4" t="s">
        <v>3108</v>
      </c>
      <c r="B1325" s="4" t="s">
        <v>3395</v>
      </c>
      <c r="C1325" s="4" t="s">
        <v>2096</v>
      </c>
      <c r="D1325" s="4" t="s">
        <v>2236</v>
      </c>
      <c r="E1325" s="4" t="s">
        <v>3405</v>
      </c>
      <c r="F1325" s="4" t="s">
        <v>3396</v>
      </c>
      <c r="G1325" s="4" t="s">
        <v>3108</v>
      </c>
      <c r="H1325" s="4" t="s">
        <v>2183</v>
      </c>
      <c r="I1325" s="4" t="s">
        <v>2100</v>
      </c>
      <c r="J1325" s="4" t="s">
        <v>2610</v>
      </c>
      <c r="K1325">
        <v>22</v>
      </c>
      <c r="L1325">
        <v>6.7055999999999996</v>
      </c>
      <c r="M1325">
        <v>63.5</v>
      </c>
      <c r="N1325">
        <v>234.95</v>
      </c>
      <c r="O1325">
        <v>264</v>
      </c>
      <c r="P1325">
        <v>2.5</v>
      </c>
      <c r="Q1325">
        <v>9.25</v>
      </c>
      <c r="R1325">
        <v>219.905</v>
      </c>
      <c r="S1325">
        <v>0.10004302571999998</v>
      </c>
      <c r="T1325" s="4" t="s">
        <v>3397</v>
      </c>
    </row>
    <row r="1326" spans="1:20" x14ac:dyDescent="0.2">
      <c r="A1326" s="4" t="s">
        <v>3108</v>
      </c>
      <c r="B1326" s="4" t="s">
        <v>3395</v>
      </c>
      <c r="C1326" s="4" t="s">
        <v>2286</v>
      </c>
      <c r="D1326" s="4" t="s">
        <v>2236</v>
      </c>
      <c r="E1326" s="4" t="s">
        <v>3406</v>
      </c>
      <c r="F1326" s="4" t="s">
        <v>3396</v>
      </c>
      <c r="G1326" s="4" t="s">
        <v>3108</v>
      </c>
      <c r="H1326" s="4" t="s">
        <v>2183</v>
      </c>
      <c r="I1326" s="4" t="s">
        <v>2100</v>
      </c>
      <c r="J1326" s="4" t="s">
        <v>2610</v>
      </c>
      <c r="K1326">
        <v>3</v>
      </c>
      <c r="L1326">
        <v>0.91439999999999999</v>
      </c>
      <c r="M1326">
        <v>63.5</v>
      </c>
      <c r="N1326">
        <v>234.95</v>
      </c>
      <c r="O1326">
        <v>36</v>
      </c>
      <c r="P1326">
        <v>2.5</v>
      </c>
      <c r="Q1326">
        <v>9.25</v>
      </c>
      <c r="R1326">
        <v>219.905</v>
      </c>
      <c r="S1326">
        <v>1.364223078E-2</v>
      </c>
      <c r="T1326" s="4" t="s">
        <v>3407</v>
      </c>
    </row>
    <row r="1327" spans="1:20" x14ac:dyDescent="0.2">
      <c r="A1327" s="4" t="s">
        <v>3108</v>
      </c>
      <c r="B1327" s="4" t="s">
        <v>3395</v>
      </c>
      <c r="C1327" s="4" t="s">
        <v>2286</v>
      </c>
      <c r="D1327" s="4" t="s">
        <v>2236</v>
      </c>
      <c r="E1327" s="4" t="s">
        <v>3408</v>
      </c>
      <c r="F1327" s="4" t="s">
        <v>3396</v>
      </c>
      <c r="G1327" s="4" t="s">
        <v>3108</v>
      </c>
      <c r="H1327" s="4" t="s">
        <v>2183</v>
      </c>
      <c r="I1327" s="4" t="s">
        <v>2100</v>
      </c>
      <c r="J1327" s="4" t="s">
        <v>2610</v>
      </c>
      <c r="K1327">
        <v>4</v>
      </c>
      <c r="L1327">
        <v>1.2192000000000001</v>
      </c>
      <c r="M1327">
        <v>63.5</v>
      </c>
      <c r="N1327">
        <v>234.95</v>
      </c>
      <c r="O1327">
        <v>48.000000000000007</v>
      </c>
      <c r="P1327">
        <v>2.5</v>
      </c>
      <c r="Q1327">
        <v>9.25</v>
      </c>
      <c r="R1327">
        <v>219.905</v>
      </c>
      <c r="S1327">
        <v>1.8189641040000003E-2</v>
      </c>
      <c r="T1327" s="4" t="s">
        <v>3407</v>
      </c>
    </row>
    <row r="1328" spans="1:20" x14ac:dyDescent="0.2">
      <c r="A1328" s="4" t="s">
        <v>3108</v>
      </c>
      <c r="B1328" s="4" t="s">
        <v>3395</v>
      </c>
      <c r="C1328" s="4" t="s">
        <v>2286</v>
      </c>
      <c r="D1328" s="4" t="s">
        <v>2236</v>
      </c>
      <c r="E1328" s="4" t="s">
        <v>3409</v>
      </c>
      <c r="F1328" s="4" t="s">
        <v>3396</v>
      </c>
      <c r="G1328" s="4" t="s">
        <v>3108</v>
      </c>
      <c r="H1328" s="4" t="s">
        <v>2183</v>
      </c>
      <c r="I1328" s="4" t="s">
        <v>2100</v>
      </c>
      <c r="J1328" s="4" t="s">
        <v>2610</v>
      </c>
      <c r="K1328">
        <v>5</v>
      </c>
      <c r="L1328">
        <v>1.524</v>
      </c>
      <c r="M1328">
        <v>63.5</v>
      </c>
      <c r="N1328">
        <v>234.95</v>
      </c>
      <c r="O1328">
        <v>60</v>
      </c>
      <c r="P1328">
        <v>2.5</v>
      </c>
      <c r="Q1328">
        <v>9.25</v>
      </c>
      <c r="R1328">
        <v>219.905</v>
      </c>
      <c r="S1328">
        <v>2.2737051299999998E-2</v>
      </c>
      <c r="T1328" s="4" t="s">
        <v>3407</v>
      </c>
    </row>
    <row r="1329" spans="1:20" x14ac:dyDescent="0.2">
      <c r="A1329" s="4" t="s">
        <v>3108</v>
      </c>
      <c r="B1329" s="4" t="s">
        <v>3395</v>
      </c>
      <c r="C1329" s="4" t="s">
        <v>2286</v>
      </c>
      <c r="D1329" s="4" t="s">
        <v>2236</v>
      </c>
      <c r="E1329" s="4" t="s">
        <v>3410</v>
      </c>
      <c r="F1329" s="4" t="s">
        <v>3396</v>
      </c>
      <c r="G1329" s="4" t="s">
        <v>3108</v>
      </c>
      <c r="H1329" s="4" t="s">
        <v>2183</v>
      </c>
      <c r="I1329" s="4" t="s">
        <v>2100</v>
      </c>
      <c r="J1329" s="4" t="s">
        <v>2610</v>
      </c>
      <c r="K1329">
        <v>6</v>
      </c>
      <c r="L1329">
        <v>1.8288</v>
      </c>
      <c r="M1329">
        <v>63.5</v>
      </c>
      <c r="N1329">
        <v>234.95</v>
      </c>
      <c r="O1329">
        <v>72</v>
      </c>
      <c r="P1329">
        <v>2.5</v>
      </c>
      <c r="Q1329">
        <v>9.25</v>
      </c>
      <c r="R1329">
        <v>219.905</v>
      </c>
      <c r="S1329">
        <v>2.7284461560000001E-2</v>
      </c>
      <c r="T1329" s="4" t="s">
        <v>3407</v>
      </c>
    </row>
    <row r="1330" spans="1:20" x14ac:dyDescent="0.2">
      <c r="A1330" s="4" t="s">
        <v>3108</v>
      </c>
      <c r="B1330" s="4" t="s">
        <v>3395</v>
      </c>
      <c r="C1330" s="4" t="s">
        <v>2286</v>
      </c>
      <c r="D1330" s="4" t="s">
        <v>2236</v>
      </c>
      <c r="E1330" s="4" t="s">
        <v>3411</v>
      </c>
      <c r="F1330" s="4" t="s">
        <v>3396</v>
      </c>
      <c r="G1330" s="4" t="s">
        <v>3108</v>
      </c>
      <c r="H1330" s="4" t="s">
        <v>2183</v>
      </c>
      <c r="I1330" s="4" t="s">
        <v>2100</v>
      </c>
      <c r="J1330" s="4" t="s">
        <v>2610</v>
      </c>
      <c r="K1330">
        <v>7</v>
      </c>
      <c r="L1330">
        <v>2.1335999999999999</v>
      </c>
      <c r="M1330">
        <v>63.5</v>
      </c>
      <c r="N1330">
        <v>234.95</v>
      </c>
      <c r="O1330">
        <v>84</v>
      </c>
      <c r="P1330">
        <v>2.5</v>
      </c>
      <c r="Q1330">
        <v>9.25</v>
      </c>
      <c r="R1330">
        <v>219.905</v>
      </c>
      <c r="S1330">
        <v>3.1831871819999996E-2</v>
      </c>
      <c r="T1330" s="4" t="s">
        <v>3407</v>
      </c>
    </row>
    <row r="1331" spans="1:20" x14ac:dyDescent="0.2">
      <c r="A1331" s="4" t="s">
        <v>3108</v>
      </c>
      <c r="B1331" s="4" t="s">
        <v>3395</v>
      </c>
      <c r="C1331" s="4" t="s">
        <v>2096</v>
      </c>
      <c r="D1331" s="4" t="s">
        <v>2236</v>
      </c>
      <c r="E1331" s="4" t="s">
        <v>663</v>
      </c>
      <c r="F1331" s="4" t="s">
        <v>3396</v>
      </c>
      <c r="G1331" s="4" t="s">
        <v>3108</v>
      </c>
      <c r="H1331" s="4" t="s">
        <v>2183</v>
      </c>
      <c r="I1331" s="4" t="s">
        <v>2100</v>
      </c>
      <c r="J1331" s="4" t="s">
        <v>2610</v>
      </c>
      <c r="K1331">
        <v>8</v>
      </c>
      <c r="L1331">
        <v>2.4384000000000001</v>
      </c>
      <c r="M1331">
        <v>63.5</v>
      </c>
      <c r="N1331">
        <v>234.95</v>
      </c>
      <c r="O1331">
        <v>96.000000000000014</v>
      </c>
      <c r="P1331">
        <v>2.5</v>
      </c>
      <c r="Q1331">
        <v>9.25</v>
      </c>
      <c r="R1331">
        <v>219.905</v>
      </c>
      <c r="S1331">
        <v>3.6379282080000006E-2</v>
      </c>
      <c r="T1331" s="4" t="s">
        <v>3397</v>
      </c>
    </row>
    <row r="1332" spans="1:20" x14ac:dyDescent="0.2">
      <c r="A1332" s="4" t="s">
        <v>3108</v>
      </c>
      <c r="B1332" s="4" t="s">
        <v>3395</v>
      </c>
      <c r="C1332" s="4" t="s">
        <v>2096</v>
      </c>
      <c r="D1332" s="4" t="s">
        <v>2236</v>
      </c>
      <c r="E1332" s="4" t="s">
        <v>3412</v>
      </c>
      <c r="F1332" s="4" t="s">
        <v>3396</v>
      </c>
      <c r="G1332" s="4" t="s">
        <v>3108</v>
      </c>
      <c r="H1332" s="4" t="s">
        <v>2183</v>
      </c>
      <c r="I1332" s="4" t="s">
        <v>2100</v>
      </c>
      <c r="J1332" s="4" t="s">
        <v>2610</v>
      </c>
      <c r="K1332">
        <v>9</v>
      </c>
      <c r="L1332">
        <v>2.7431999999999999</v>
      </c>
      <c r="M1332">
        <v>63.5</v>
      </c>
      <c r="N1332">
        <v>234.95</v>
      </c>
      <c r="O1332">
        <v>108</v>
      </c>
      <c r="P1332">
        <v>2.5</v>
      </c>
      <c r="Q1332">
        <v>9.25</v>
      </c>
      <c r="R1332">
        <v>219.905</v>
      </c>
      <c r="S1332">
        <v>4.0926692339999994E-2</v>
      </c>
      <c r="T1332" s="4" t="s">
        <v>3397</v>
      </c>
    </row>
    <row r="1333" spans="1:20" x14ac:dyDescent="0.2">
      <c r="A1333" s="4" t="s">
        <v>3108</v>
      </c>
      <c r="B1333" s="4" t="s">
        <v>3413</v>
      </c>
      <c r="C1333" s="4" t="s">
        <v>2096</v>
      </c>
      <c r="D1333" s="4" t="s">
        <v>2236</v>
      </c>
      <c r="E1333" s="4" t="s">
        <v>665</v>
      </c>
      <c r="F1333" s="4" t="s">
        <v>3414</v>
      </c>
      <c r="G1333" s="4" t="s">
        <v>3108</v>
      </c>
      <c r="H1333" s="4" t="s">
        <v>2183</v>
      </c>
      <c r="I1333" s="4" t="s">
        <v>2100</v>
      </c>
      <c r="J1333" s="4" t="s">
        <v>2633</v>
      </c>
      <c r="K1333">
        <v>10</v>
      </c>
      <c r="L1333">
        <v>3.048</v>
      </c>
      <c r="M1333">
        <v>63.5</v>
      </c>
      <c r="N1333">
        <v>285.75</v>
      </c>
      <c r="O1333">
        <v>120</v>
      </c>
      <c r="P1333">
        <v>2.5</v>
      </c>
      <c r="Q1333">
        <v>11.25</v>
      </c>
      <c r="R1333">
        <v>180.81100000000001</v>
      </c>
      <c r="S1333">
        <v>5.5306340999999995E-2</v>
      </c>
      <c r="T1333" s="4" t="s">
        <v>3415</v>
      </c>
    </row>
    <row r="1334" spans="1:20" x14ac:dyDescent="0.2">
      <c r="A1334" s="4" t="s">
        <v>3108</v>
      </c>
      <c r="B1334" s="4" t="s">
        <v>3413</v>
      </c>
      <c r="C1334" s="4" t="s">
        <v>2096</v>
      </c>
      <c r="D1334" s="4" t="s">
        <v>2236</v>
      </c>
      <c r="E1334" s="4" t="s">
        <v>3416</v>
      </c>
      <c r="F1334" s="4" t="s">
        <v>3414</v>
      </c>
      <c r="G1334" s="4" t="s">
        <v>3108</v>
      </c>
      <c r="H1334" s="4" t="s">
        <v>2183</v>
      </c>
      <c r="I1334" s="4" t="s">
        <v>2100</v>
      </c>
      <c r="J1334" s="4" t="s">
        <v>2633</v>
      </c>
      <c r="K1334">
        <v>11</v>
      </c>
      <c r="L1334">
        <v>3.3527999999999998</v>
      </c>
      <c r="M1334">
        <v>63.5</v>
      </c>
      <c r="N1334">
        <v>285.75</v>
      </c>
      <c r="O1334">
        <v>132</v>
      </c>
      <c r="P1334">
        <v>2.5</v>
      </c>
      <c r="Q1334">
        <v>11.25</v>
      </c>
      <c r="R1334">
        <v>180.81100000000001</v>
      </c>
      <c r="S1334">
        <v>6.0836975099999989E-2</v>
      </c>
      <c r="T1334" s="4" t="s">
        <v>3415</v>
      </c>
    </row>
    <row r="1335" spans="1:20" x14ac:dyDescent="0.2">
      <c r="A1335" s="4" t="s">
        <v>3108</v>
      </c>
      <c r="B1335" s="4" t="s">
        <v>3413</v>
      </c>
      <c r="C1335" s="4" t="s">
        <v>2096</v>
      </c>
      <c r="D1335" s="4" t="s">
        <v>2236</v>
      </c>
      <c r="E1335" s="4" t="s">
        <v>667</v>
      </c>
      <c r="F1335" s="4" t="s">
        <v>3414</v>
      </c>
      <c r="G1335" s="4" t="s">
        <v>3108</v>
      </c>
      <c r="H1335" s="4" t="s">
        <v>2183</v>
      </c>
      <c r="I1335" s="4" t="s">
        <v>2100</v>
      </c>
      <c r="J1335" s="4" t="s">
        <v>2633</v>
      </c>
      <c r="K1335">
        <v>12</v>
      </c>
      <c r="L1335">
        <v>3.6576</v>
      </c>
      <c r="M1335">
        <v>63.5</v>
      </c>
      <c r="N1335">
        <v>285.75</v>
      </c>
      <c r="O1335">
        <v>144</v>
      </c>
      <c r="P1335">
        <v>2.5</v>
      </c>
      <c r="Q1335">
        <v>11.25</v>
      </c>
      <c r="R1335">
        <v>180.81100000000001</v>
      </c>
      <c r="S1335">
        <v>6.6367609200000011E-2</v>
      </c>
      <c r="T1335" s="4" t="s">
        <v>3415</v>
      </c>
    </row>
    <row r="1336" spans="1:20" x14ac:dyDescent="0.2">
      <c r="A1336" s="4" t="s">
        <v>3108</v>
      </c>
      <c r="B1336" s="4" t="s">
        <v>3413</v>
      </c>
      <c r="C1336" s="4" t="s">
        <v>2096</v>
      </c>
      <c r="D1336" s="4" t="s">
        <v>2236</v>
      </c>
      <c r="E1336" s="4" t="s">
        <v>3417</v>
      </c>
      <c r="F1336" s="4" t="s">
        <v>3414</v>
      </c>
      <c r="G1336" s="4" t="s">
        <v>3108</v>
      </c>
      <c r="H1336" s="4" t="s">
        <v>2183</v>
      </c>
      <c r="I1336" s="4" t="s">
        <v>2100</v>
      </c>
      <c r="J1336" s="4" t="s">
        <v>2633</v>
      </c>
      <c r="K1336">
        <v>13</v>
      </c>
      <c r="L1336">
        <v>3.9624000000000001</v>
      </c>
      <c r="M1336">
        <v>63.5</v>
      </c>
      <c r="N1336">
        <v>285.75</v>
      </c>
      <c r="O1336">
        <v>156</v>
      </c>
      <c r="P1336">
        <v>2.5</v>
      </c>
      <c r="Q1336">
        <v>11.25</v>
      </c>
      <c r="R1336">
        <v>180.81100000000001</v>
      </c>
      <c r="S1336">
        <v>7.1898243299999998E-2</v>
      </c>
      <c r="T1336" s="4" t="s">
        <v>3415</v>
      </c>
    </row>
    <row r="1337" spans="1:20" x14ac:dyDescent="0.2">
      <c r="A1337" s="4" t="s">
        <v>3108</v>
      </c>
      <c r="B1337" s="4" t="s">
        <v>3413</v>
      </c>
      <c r="C1337" s="4" t="s">
        <v>2096</v>
      </c>
      <c r="D1337" s="4" t="s">
        <v>2236</v>
      </c>
      <c r="E1337" s="4" t="s">
        <v>669</v>
      </c>
      <c r="F1337" s="4" t="s">
        <v>3414</v>
      </c>
      <c r="G1337" s="4" t="s">
        <v>3108</v>
      </c>
      <c r="H1337" s="4" t="s">
        <v>2183</v>
      </c>
      <c r="I1337" s="4" t="s">
        <v>2100</v>
      </c>
      <c r="J1337" s="4" t="s">
        <v>2633</v>
      </c>
      <c r="K1337">
        <v>14</v>
      </c>
      <c r="L1337">
        <v>4.2671999999999999</v>
      </c>
      <c r="M1337">
        <v>63.5</v>
      </c>
      <c r="N1337">
        <v>285.75</v>
      </c>
      <c r="O1337">
        <v>168</v>
      </c>
      <c r="P1337">
        <v>2.5</v>
      </c>
      <c r="Q1337">
        <v>11.25</v>
      </c>
      <c r="R1337">
        <v>180.81100000000001</v>
      </c>
      <c r="S1337">
        <v>7.7428877399999985E-2</v>
      </c>
      <c r="T1337" s="4" t="s">
        <v>3415</v>
      </c>
    </row>
    <row r="1338" spans="1:20" x14ac:dyDescent="0.2">
      <c r="A1338" s="4" t="s">
        <v>3108</v>
      </c>
      <c r="B1338" s="4" t="s">
        <v>3413</v>
      </c>
      <c r="C1338" s="4" t="s">
        <v>2096</v>
      </c>
      <c r="D1338" s="4" t="s">
        <v>2236</v>
      </c>
      <c r="E1338" s="4" t="s">
        <v>3418</v>
      </c>
      <c r="F1338" s="4" t="s">
        <v>3414</v>
      </c>
      <c r="G1338" s="4" t="s">
        <v>3108</v>
      </c>
      <c r="H1338" s="4" t="s">
        <v>2183</v>
      </c>
      <c r="I1338" s="4" t="s">
        <v>2100</v>
      </c>
      <c r="J1338" s="4" t="s">
        <v>2633</v>
      </c>
      <c r="K1338">
        <v>15</v>
      </c>
      <c r="L1338">
        <v>4.5720000000000001</v>
      </c>
      <c r="M1338">
        <v>63.5</v>
      </c>
      <c r="N1338">
        <v>285.75</v>
      </c>
      <c r="O1338">
        <v>180</v>
      </c>
      <c r="P1338">
        <v>2.5</v>
      </c>
      <c r="Q1338">
        <v>11.25</v>
      </c>
      <c r="R1338">
        <v>180.81100000000001</v>
      </c>
      <c r="S1338">
        <v>8.2959511499999999E-2</v>
      </c>
      <c r="T1338" s="4" t="s">
        <v>3415</v>
      </c>
    </row>
    <row r="1339" spans="1:20" x14ac:dyDescent="0.2">
      <c r="A1339" s="4" t="s">
        <v>3108</v>
      </c>
      <c r="B1339" s="4" t="s">
        <v>3413</v>
      </c>
      <c r="C1339" s="4" t="s">
        <v>2096</v>
      </c>
      <c r="D1339" s="4" t="s">
        <v>2236</v>
      </c>
      <c r="E1339" s="4" t="s">
        <v>671</v>
      </c>
      <c r="F1339" s="4" t="s">
        <v>3414</v>
      </c>
      <c r="G1339" s="4" t="s">
        <v>3108</v>
      </c>
      <c r="H1339" s="4" t="s">
        <v>2183</v>
      </c>
      <c r="I1339" s="4" t="s">
        <v>2100</v>
      </c>
      <c r="J1339" s="4" t="s">
        <v>2633</v>
      </c>
      <c r="K1339">
        <v>16</v>
      </c>
      <c r="L1339">
        <v>4.8768000000000002</v>
      </c>
      <c r="M1339">
        <v>63.5</v>
      </c>
      <c r="N1339">
        <v>285.75</v>
      </c>
      <c r="O1339">
        <v>192.00000000000003</v>
      </c>
      <c r="P1339">
        <v>2.5</v>
      </c>
      <c r="Q1339">
        <v>11.25</v>
      </c>
      <c r="R1339">
        <v>180.81100000000001</v>
      </c>
      <c r="S1339">
        <v>8.84901456E-2</v>
      </c>
      <c r="T1339" s="4" t="s">
        <v>3415</v>
      </c>
    </row>
    <row r="1340" spans="1:20" x14ac:dyDescent="0.2">
      <c r="A1340" s="4" t="s">
        <v>3108</v>
      </c>
      <c r="B1340" s="4" t="s">
        <v>3413</v>
      </c>
      <c r="C1340" s="4" t="s">
        <v>2096</v>
      </c>
      <c r="D1340" s="4" t="s">
        <v>2236</v>
      </c>
      <c r="E1340" s="4" t="s">
        <v>3419</v>
      </c>
      <c r="F1340" s="4" t="s">
        <v>3414</v>
      </c>
      <c r="G1340" s="4" t="s">
        <v>3108</v>
      </c>
      <c r="H1340" s="4" t="s">
        <v>2183</v>
      </c>
      <c r="I1340" s="4" t="s">
        <v>2100</v>
      </c>
      <c r="J1340" s="4" t="s">
        <v>2633</v>
      </c>
      <c r="K1340">
        <v>17</v>
      </c>
      <c r="L1340">
        <v>5.1816000000000004</v>
      </c>
      <c r="M1340">
        <v>63.5</v>
      </c>
      <c r="N1340">
        <v>285.75</v>
      </c>
      <c r="O1340">
        <v>204.00000000000003</v>
      </c>
      <c r="P1340">
        <v>2.5</v>
      </c>
      <c r="Q1340">
        <v>11.25</v>
      </c>
      <c r="R1340">
        <v>180.81100000000001</v>
      </c>
      <c r="S1340">
        <v>9.4020779700000001E-2</v>
      </c>
      <c r="T1340" s="4" t="s">
        <v>3415</v>
      </c>
    </row>
    <row r="1341" spans="1:20" x14ac:dyDescent="0.2">
      <c r="A1341" s="4" t="s">
        <v>3108</v>
      </c>
      <c r="B1341" s="4" t="s">
        <v>3413</v>
      </c>
      <c r="C1341" s="4" t="s">
        <v>2096</v>
      </c>
      <c r="D1341" s="4" t="s">
        <v>2236</v>
      </c>
      <c r="E1341" s="4" t="s">
        <v>673</v>
      </c>
      <c r="F1341" s="4" t="s">
        <v>3414</v>
      </c>
      <c r="G1341" s="4" t="s">
        <v>3108</v>
      </c>
      <c r="H1341" s="4" t="s">
        <v>2183</v>
      </c>
      <c r="I1341" s="4" t="s">
        <v>2100</v>
      </c>
      <c r="J1341" s="4" t="s">
        <v>2633</v>
      </c>
      <c r="K1341">
        <v>18</v>
      </c>
      <c r="L1341">
        <v>5.4863999999999997</v>
      </c>
      <c r="M1341">
        <v>63.5</v>
      </c>
      <c r="N1341">
        <v>285.75</v>
      </c>
      <c r="O1341">
        <v>216</v>
      </c>
      <c r="P1341">
        <v>2.5</v>
      </c>
      <c r="Q1341">
        <v>11.25</v>
      </c>
      <c r="R1341">
        <v>180.81100000000001</v>
      </c>
      <c r="S1341">
        <v>9.9551413799999988E-2</v>
      </c>
      <c r="T1341" s="4" t="s">
        <v>3415</v>
      </c>
    </row>
    <row r="1342" spans="1:20" x14ac:dyDescent="0.2">
      <c r="A1342" s="4" t="s">
        <v>3108</v>
      </c>
      <c r="B1342" s="4" t="s">
        <v>3413</v>
      </c>
      <c r="C1342" s="4" t="s">
        <v>2096</v>
      </c>
      <c r="D1342" s="4" t="s">
        <v>2236</v>
      </c>
      <c r="E1342" s="4" t="s">
        <v>3420</v>
      </c>
      <c r="F1342" s="4" t="s">
        <v>3414</v>
      </c>
      <c r="G1342" s="4" t="s">
        <v>3108</v>
      </c>
      <c r="H1342" s="4" t="s">
        <v>2183</v>
      </c>
      <c r="I1342" s="4" t="s">
        <v>2100</v>
      </c>
      <c r="J1342" s="4" t="s">
        <v>2633</v>
      </c>
      <c r="K1342">
        <v>19</v>
      </c>
      <c r="L1342">
        <v>5.7911999999999999</v>
      </c>
      <c r="M1342">
        <v>63.5</v>
      </c>
      <c r="N1342">
        <v>285.75</v>
      </c>
      <c r="O1342">
        <v>228</v>
      </c>
      <c r="P1342">
        <v>2.5</v>
      </c>
      <c r="Q1342">
        <v>11.25</v>
      </c>
      <c r="R1342">
        <v>180.81100000000001</v>
      </c>
      <c r="S1342">
        <v>0.10508204789999999</v>
      </c>
      <c r="T1342" s="4" t="s">
        <v>3415</v>
      </c>
    </row>
    <row r="1343" spans="1:20" x14ac:dyDescent="0.2">
      <c r="A1343" s="4" t="s">
        <v>3108</v>
      </c>
      <c r="B1343" s="4" t="s">
        <v>3413</v>
      </c>
      <c r="C1343" s="4" t="s">
        <v>2096</v>
      </c>
      <c r="D1343" s="4" t="s">
        <v>2236</v>
      </c>
      <c r="E1343" s="4" t="s">
        <v>675</v>
      </c>
      <c r="F1343" s="4" t="s">
        <v>3414</v>
      </c>
      <c r="G1343" s="4" t="s">
        <v>3108</v>
      </c>
      <c r="H1343" s="4" t="s">
        <v>2183</v>
      </c>
      <c r="I1343" s="4" t="s">
        <v>2100</v>
      </c>
      <c r="J1343" s="4" t="s">
        <v>2633</v>
      </c>
      <c r="K1343">
        <v>20</v>
      </c>
      <c r="L1343">
        <v>6.0960000000000001</v>
      </c>
      <c r="M1343">
        <v>63.5</v>
      </c>
      <c r="N1343">
        <v>285.75</v>
      </c>
      <c r="O1343">
        <v>240</v>
      </c>
      <c r="P1343">
        <v>2.5</v>
      </c>
      <c r="Q1343">
        <v>11.25</v>
      </c>
      <c r="R1343">
        <v>180.81100000000001</v>
      </c>
      <c r="S1343">
        <v>0.11061268199999999</v>
      </c>
      <c r="T1343" s="4" t="s">
        <v>3415</v>
      </c>
    </row>
    <row r="1344" spans="1:20" x14ac:dyDescent="0.2">
      <c r="A1344" s="4" t="s">
        <v>3108</v>
      </c>
      <c r="B1344" s="4" t="s">
        <v>3413</v>
      </c>
      <c r="C1344" s="4" t="s">
        <v>2096</v>
      </c>
      <c r="D1344" s="4" t="s">
        <v>2236</v>
      </c>
      <c r="E1344" s="4" t="s">
        <v>3421</v>
      </c>
      <c r="F1344" s="4" t="s">
        <v>3414</v>
      </c>
      <c r="G1344" s="4" t="s">
        <v>3108</v>
      </c>
      <c r="H1344" s="4" t="s">
        <v>2183</v>
      </c>
      <c r="I1344" s="4" t="s">
        <v>2100</v>
      </c>
      <c r="J1344" s="4" t="s">
        <v>2633</v>
      </c>
      <c r="K1344">
        <v>21</v>
      </c>
      <c r="L1344">
        <v>6.4008000000000003</v>
      </c>
      <c r="M1344">
        <v>63.5</v>
      </c>
      <c r="N1344">
        <v>285.75</v>
      </c>
      <c r="O1344">
        <v>252.00000000000003</v>
      </c>
      <c r="P1344">
        <v>2.5</v>
      </c>
      <c r="Q1344">
        <v>11.25</v>
      </c>
      <c r="R1344">
        <v>180.81100000000001</v>
      </c>
      <c r="S1344">
        <v>0.1161433161</v>
      </c>
      <c r="T1344" s="4" t="s">
        <v>3415</v>
      </c>
    </row>
    <row r="1345" spans="1:20" x14ac:dyDescent="0.2">
      <c r="A1345" s="4" t="s">
        <v>3108</v>
      </c>
      <c r="B1345" s="4" t="s">
        <v>3413</v>
      </c>
      <c r="C1345" s="4" t="s">
        <v>2096</v>
      </c>
      <c r="D1345" s="4" t="s">
        <v>2236</v>
      </c>
      <c r="E1345" s="4" t="s">
        <v>3422</v>
      </c>
      <c r="F1345" s="4" t="s">
        <v>3414</v>
      </c>
      <c r="G1345" s="4" t="s">
        <v>3108</v>
      </c>
      <c r="H1345" s="4" t="s">
        <v>2183</v>
      </c>
      <c r="I1345" s="4" t="s">
        <v>2100</v>
      </c>
      <c r="J1345" s="4" t="s">
        <v>2633</v>
      </c>
      <c r="K1345">
        <v>22</v>
      </c>
      <c r="L1345">
        <v>6.7055999999999996</v>
      </c>
      <c r="M1345">
        <v>63.5</v>
      </c>
      <c r="N1345">
        <v>285.75</v>
      </c>
      <c r="O1345">
        <v>264</v>
      </c>
      <c r="P1345">
        <v>2.5</v>
      </c>
      <c r="Q1345">
        <v>11.25</v>
      </c>
      <c r="R1345">
        <v>180.81100000000001</v>
      </c>
      <c r="S1345">
        <v>0.12167395019999998</v>
      </c>
      <c r="T1345" s="4" t="s">
        <v>3415</v>
      </c>
    </row>
    <row r="1346" spans="1:20" x14ac:dyDescent="0.2">
      <c r="A1346" s="4" t="s">
        <v>3108</v>
      </c>
      <c r="B1346" s="4" t="s">
        <v>3413</v>
      </c>
      <c r="C1346" s="4" t="s">
        <v>2286</v>
      </c>
      <c r="D1346" s="4" t="s">
        <v>2236</v>
      </c>
      <c r="E1346" s="4" t="s">
        <v>3423</v>
      </c>
      <c r="F1346" s="4" t="s">
        <v>3414</v>
      </c>
      <c r="G1346" s="4" t="s">
        <v>3108</v>
      </c>
      <c r="H1346" s="4" t="s">
        <v>2183</v>
      </c>
      <c r="I1346" s="4" t="s">
        <v>2100</v>
      </c>
      <c r="J1346" s="4" t="s">
        <v>2633</v>
      </c>
      <c r="K1346">
        <v>3</v>
      </c>
      <c r="L1346">
        <v>0.91439999999999999</v>
      </c>
      <c r="M1346">
        <v>63.5</v>
      </c>
      <c r="N1346">
        <v>285.75</v>
      </c>
      <c r="O1346">
        <v>36</v>
      </c>
      <c r="P1346">
        <v>2.5</v>
      </c>
      <c r="Q1346">
        <v>11.25</v>
      </c>
      <c r="R1346">
        <v>180.81100000000001</v>
      </c>
      <c r="S1346">
        <v>1.6591902300000003E-2</v>
      </c>
      <c r="T1346" s="4" t="s">
        <v>3424</v>
      </c>
    </row>
    <row r="1347" spans="1:20" x14ac:dyDescent="0.2">
      <c r="A1347" s="4" t="s">
        <v>3108</v>
      </c>
      <c r="B1347" s="4" t="s">
        <v>3413</v>
      </c>
      <c r="C1347" s="4" t="s">
        <v>2286</v>
      </c>
      <c r="D1347" s="4" t="s">
        <v>2236</v>
      </c>
      <c r="E1347" s="4" t="s">
        <v>3425</v>
      </c>
      <c r="F1347" s="4" t="s">
        <v>3414</v>
      </c>
      <c r="G1347" s="4" t="s">
        <v>3108</v>
      </c>
      <c r="H1347" s="4" t="s">
        <v>2183</v>
      </c>
      <c r="I1347" s="4" t="s">
        <v>2100</v>
      </c>
      <c r="J1347" s="4" t="s">
        <v>2633</v>
      </c>
      <c r="K1347">
        <v>4</v>
      </c>
      <c r="L1347">
        <v>1.2192000000000001</v>
      </c>
      <c r="M1347">
        <v>63.5</v>
      </c>
      <c r="N1347">
        <v>285.75</v>
      </c>
      <c r="O1347">
        <v>48.000000000000007</v>
      </c>
      <c r="P1347">
        <v>2.5</v>
      </c>
      <c r="Q1347">
        <v>11.25</v>
      </c>
      <c r="R1347">
        <v>180.81100000000001</v>
      </c>
      <c r="S1347">
        <v>2.21225364E-2</v>
      </c>
      <c r="T1347" s="4" t="s">
        <v>3424</v>
      </c>
    </row>
    <row r="1348" spans="1:20" x14ac:dyDescent="0.2">
      <c r="A1348" s="4" t="s">
        <v>3108</v>
      </c>
      <c r="B1348" s="4" t="s">
        <v>3413</v>
      </c>
      <c r="C1348" s="4" t="s">
        <v>2286</v>
      </c>
      <c r="D1348" s="4" t="s">
        <v>2236</v>
      </c>
      <c r="E1348" s="4" t="s">
        <v>3426</v>
      </c>
      <c r="F1348" s="4" t="s">
        <v>3414</v>
      </c>
      <c r="G1348" s="4" t="s">
        <v>3108</v>
      </c>
      <c r="H1348" s="4" t="s">
        <v>2183</v>
      </c>
      <c r="I1348" s="4" t="s">
        <v>2100</v>
      </c>
      <c r="J1348" s="4" t="s">
        <v>2633</v>
      </c>
      <c r="K1348">
        <v>5</v>
      </c>
      <c r="L1348">
        <v>1.524</v>
      </c>
      <c r="M1348">
        <v>63.5</v>
      </c>
      <c r="N1348">
        <v>285.75</v>
      </c>
      <c r="O1348">
        <v>60</v>
      </c>
      <c r="P1348">
        <v>2.5</v>
      </c>
      <c r="Q1348">
        <v>11.25</v>
      </c>
      <c r="R1348">
        <v>180.81100000000001</v>
      </c>
      <c r="S1348">
        <v>2.7653170499999997E-2</v>
      </c>
      <c r="T1348" s="4" t="s">
        <v>3424</v>
      </c>
    </row>
    <row r="1349" spans="1:20" x14ac:dyDescent="0.2">
      <c r="A1349" s="4" t="s">
        <v>3108</v>
      </c>
      <c r="B1349" s="4" t="s">
        <v>3413</v>
      </c>
      <c r="C1349" s="4" t="s">
        <v>2286</v>
      </c>
      <c r="D1349" s="4" t="s">
        <v>2236</v>
      </c>
      <c r="E1349" s="4" t="s">
        <v>3427</v>
      </c>
      <c r="F1349" s="4" t="s">
        <v>3414</v>
      </c>
      <c r="G1349" s="4" t="s">
        <v>3108</v>
      </c>
      <c r="H1349" s="4" t="s">
        <v>2183</v>
      </c>
      <c r="I1349" s="4" t="s">
        <v>2100</v>
      </c>
      <c r="J1349" s="4" t="s">
        <v>2633</v>
      </c>
      <c r="K1349">
        <v>6</v>
      </c>
      <c r="L1349">
        <v>1.8288</v>
      </c>
      <c r="M1349">
        <v>63.5</v>
      </c>
      <c r="N1349">
        <v>285.75</v>
      </c>
      <c r="O1349">
        <v>72</v>
      </c>
      <c r="P1349">
        <v>2.5</v>
      </c>
      <c r="Q1349">
        <v>11.25</v>
      </c>
      <c r="R1349">
        <v>180.81100000000001</v>
      </c>
      <c r="S1349">
        <v>3.3183804600000005E-2</v>
      </c>
      <c r="T1349" s="4" t="s">
        <v>3424</v>
      </c>
    </row>
    <row r="1350" spans="1:20" x14ac:dyDescent="0.2">
      <c r="A1350" s="4" t="s">
        <v>3108</v>
      </c>
      <c r="B1350" s="4" t="s">
        <v>3413</v>
      </c>
      <c r="C1350" s="4" t="s">
        <v>2286</v>
      </c>
      <c r="D1350" s="4" t="s">
        <v>2236</v>
      </c>
      <c r="E1350" s="4" t="s">
        <v>3428</v>
      </c>
      <c r="F1350" s="4" t="s">
        <v>3414</v>
      </c>
      <c r="G1350" s="4" t="s">
        <v>3108</v>
      </c>
      <c r="H1350" s="4" t="s">
        <v>2183</v>
      </c>
      <c r="I1350" s="4" t="s">
        <v>2100</v>
      </c>
      <c r="J1350" s="4" t="s">
        <v>2633</v>
      </c>
      <c r="K1350">
        <v>7</v>
      </c>
      <c r="L1350">
        <v>2.1335999999999999</v>
      </c>
      <c r="M1350">
        <v>63.5</v>
      </c>
      <c r="N1350">
        <v>285.75</v>
      </c>
      <c r="O1350">
        <v>84</v>
      </c>
      <c r="P1350">
        <v>2.5</v>
      </c>
      <c r="Q1350">
        <v>11.25</v>
      </c>
      <c r="R1350">
        <v>180.81100000000001</v>
      </c>
      <c r="S1350">
        <v>3.8714438699999992E-2</v>
      </c>
      <c r="T1350" s="4" t="s">
        <v>3424</v>
      </c>
    </row>
    <row r="1351" spans="1:20" x14ac:dyDescent="0.2">
      <c r="A1351" s="4" t="s">
        <v>3108</v>
      </c>
      <c r="B1351" s="4" t="s">
        <v>3413</v>
      </c>
      <c r="C1351" s="4" t="s">
        <v>2096</v>
      </c>
      <c r="D1351" s="4" t="s">
        <v>2236</v>
      </c>
      <c r="E1351" s="4" t="s">
        <v>677</v>
      </c>
      <c r="F1351" s="4" t="s">
        <v>3414</v>
      </c>
      <c r="G1351" s="4" t="s">
        <v>3108</v>
      </c>
      <c r="H1351" s="4" t="s">
        <v>2183</v>
      </c>
      <c r="I1351" s="4" t="s">
        <v>2100</v>
      </c>
      <c r="J1351" s="4" t="s">
        <v>2633</v>
      </c>
      <c r="K1351">
        <v>8</v>
      </c>
      <c r="L1351">
        <v>2.4384000000000001</v>
      </c>
      <c r="M1351">
        <v>63.5</v>
      </c>
      <c r="N1351">
        <v>285.75</v>
      </c>
      <c r="O1351">
        <v>96.000000000000014</v>
      </c>
      <c r="P1351">
        <v>2.5</v>
      </c>
      <c r="Q1351">
        <v>11.25</v>
      </c>
      <c r="R1351">
        <v>180.81100000000001</v>
      </c>
      <c r="S1351">
        <v>4.42450728E-2</v>
      </c>
      <c r="T1351" s="4" t="s">
        <v>3415</v>
      </c>
    </row>
    <row r="1352" spans="1:20" x14ac:dyDescent="0.2">
      <c r="A1352" s="4" t="s">
        <v>3108</v>
      </c>
      <c r="B1352" s="4" t="s">
        <v>3413</v>
      </c>
      <c r="C1352" s="4" t="s">
        <v>2096</v>
      </c>
      <c r="D1352" s="4" t="s">
        <v>2236</v>
      </c>
      <c r="E1352" s="4" t="s">
        <v>3429</v>
      </c>
      <c r="F1352" s="4" t="s">
        <v>3414</v>
      </c>
      <c r="G1352" s="4" t="s">
        <v>3108</v>
      </c>
      <c r="H1352" s="4" t="s">
        <v>2183</v>
      </c>
      <c r="I1352" s="4" t="s">
        <v>2100</v>
      </c>
      <c r="J1352" s="4" t="s">
        <v>2633</v>
      </c>
      <c r="K1352">
        <v>9</v>
      </c>
      <c r="L1352">
        <v>2.7431999999999999</v>
      </c>
      <c r="M1352">
        <v>63.5</v>
      </c>
      <c r="N1352">
        <v>285.75</v>
      </c>
      <c r="O1352">
        <v>108</v>
      </c>
      <c r="P1352">
        <v>2.5</v>
      </c>
      <c r="Q1352">
        <v>11.25</v>
      </c>
      <c r="R1352">
        <v>180.81100000000001</v>
      </c>
      <c r="S1352">
        <v>4.9775706899999994E-2</v>
      </c>
      <c r="T1352" s="4" t="s">
        <v>3415</v>
      </c>
    </row>
    <row r="1353" spans="1:20" x14ac:dyDescent="0.2">
      <c r="A1353" s="4" t="s">
        <v>3108</v>
      </c>
      <c r="B1353" s="4" t="s">
        <v>3430</v>
      </c>
      <c r="C1353" s="4" t="s">
        <v>2096</v>
      </c>
      <c r="D1353" s="4" t="s">
        <v>2236</v>
      </c>
      <c r="E1353" s="4" t="s">
        <v>679</v>
      </c>
      <c r="F1353" s="4" t="s">
        <v>3431</v>
      </c>
      <c r="G1353" s="4" t="s">
        <v>3108</v>
      </c>
      <c r="H1353" s="4" t="s">
        <v>2183</v>
      </c>
      <c r="I1353" s="4" t="s">
        <v>2100</v>
      </c>
      <c r="J1353" s="4" t="s">
        <v>3432</v>
      </c>
      <c r="K1353">
        <v>18</v>
      </c>
      <c r="L1353">
        <v>5.4863999999999997</v>
      </c>
      <c r="M1353">
        <v>63.5</v>
      </c>
      <c r="N1353">
        <v>63.5</v>
      </c>
      <c r="O1353">
        <v>216</v>
      </c>
      <c r="P1353">
        <v>2.5</v>
      </c>
      <c r="Q1353">
        <v>2.5</v>
      </c>
      <c r="R1353">
        <v>813.65</v>
      </c>
      <c r="S1353">
        <v>2.2122536399999997E-2</v>
      </c>
      <c r="T1353" s="4" t="s">
        <v>3433</v>
      </c>
    </row>
    <row r="1354" spans="1:20" x14ac:dyDescent="0.2">
      <c r="A1354" s="4" t="s">
        <v>3108</v>
      </c>
      <c r="B1354" s="4" t="s">
        <v>3434</v>
      </c>
      <c r="C1354" s="4" t="s">
        <v>2096</v>
      </c>
      <c r="D1354" s="4" t="s">
        <v>2236</v>
      </c>
      <c r="E1354" s="4" t="s">
        <v>681</v>
      </c>
      <c r="F1354" s="4" t="s">
        <v>3435</v>
      </c>
      <c r="G1354" s="4" t="s">
        <v>3108</v>
      </c>
      <c r="H1354" s="4" t="s">
        <v>2183</v>
      </c>
      <c r="I1354" s="4" t="s">
        <v>2100</v>
      </c>
      <c r="J1354" s="4" t="s">
        <v>2676</v>
      </c>
      <c r="K1354">
        <v>10</v>
      </c>
      <c r="L1354">
        <v>3.048</v>
      </c>
      <c r="M1354">
        <v>63.5</v>
      </c>
      <c r="N1354">
        <v>139.69999999999999</v>
      </c>
      <c r="O1354">
        <v>120</v>
      </c>
      <c r="P1354">
        <v>2.5</v>
      </c>
      <c r="Q1354">
        <v>5.5</v>
      </c>
      <c r="R1354">
        <v>369.84100000000001</v>
      </c>
      <c r="S1354">
        <v>2.7038655599999999E-2</v>
      </c>
      <c r="T1354" s="4" t="s">
        <v>3436</v>
      </c>
    </row>
    <row r="1355" spans="1:20" x14ac:dyDescent="0.2">
      <c r="A1355" s="4" t="s">
        <v>3108</v>
      </c>
      <c r="B1355" s="4" t="s">
        <v>3434</v>
      </c>
      <c r="C1355" s="4" t="s">
        <v>2096</v>
      </c>
      <c r="D1355" s="4" t="s">
        <v>2236</v>
      </c>
      <c r="E1355" s="4" t="s">
        <v>3437</v>
      </c>
      <c r="F1355" s="4" t="s">
        <v>3435</v>
      </c>
      <c r="G1355" s="4" t="s">
        <v>3108</v>
      </c>
      <c r="H1355" s="4" t="s">
        <v>2183</v>
      </c>
      <c r="I1355" s="4" t="s">
        <v>2100</v>
      </c>
      <c r="J1355" s="4" t="s">
        <v>2676</v>
      </c>
      <c r="K1355">
        <v>11</v>
      </c>
      <c r="L1355">
        <v>3.3527999999999998</v>
      </c>
      <c r="M1355">
        <v>63.5</v>
      </c>
      <c r="N1355">
        <v>139.69999999999999</v>
      </c>
      <c r="O1355">
        <v>132</v>
      </c>
      <c r="P1355">
        <v>2.5</v>
      </c>
      <c r="Q1355">
        <v>5.5</v>
      </c>
      <c r="R1355">
        <v>369.84100000000001</v>
      </c>
      <c r="S1355">
        <v>2.9742521159999997E-2</v>
      </c>
      <c r="T1355" s="4" t="s">
        <v>3436</v>
      </c>
    </row>
    <row r="1356" spans="1:20" x14ac:dyDescent="0.2">
      <c r="A1356" s="4" t="s">
        <v>3108</v>
      </c>
      <c r="B1356" s="4" t="s">
        <v>3434</v>
      </c>
      <c r="C1356" s="4" t="s">
        <v>2096</v>
      </c>
      <c r="D1356" s="4" t="s">
        <v>2236</v>
      </c>
      <c r="E1356" s="4" t="s">
        <v>683</v>
      </c>
      <c r="F1356" s="4" t="s">
        <v>3435</v>
      </c>
      <c r="G1356" s="4" t="s">
        <v>3108</v>
      </c>
      <c r="H1356" s="4" t="s">
        <v>2183</v>
      </c>
      <c r="I1356" s="4" t="s">
        <v>2100</v>
      </c>
      <c r="J1356" s="4" t="s">
        <v>2676</v>
      </c>
      <c r="K1356">
        <v>12</v>
      </c>
      <c r="L1356">
        <v>3.6576</v>
      </c>
      <c r="M1356">
        <v>63.5</v>
      </c>
      <c r="N1356">
        <v>139.69999999999999</v>
      </c>
      <c r="O1356">
        <v>144</v>
      </c>
      <c r="P1356">
        <v>2.5</v>
      </c>
      <c r="Q1356">
        <v>5.5</v>
      </c>
      <c r="R1356">
        <v>369.84100000000001</v>
      </c>
      <c r="S1356">
        <v>3.2446386719999998E-2</v>
      </c>
      <c r="T1356" s="4" t="s">
        <v>3436</v>
      </c>
    </row>
    <row r="1357" spans="1:20" x14ac:dyDescent="0.2">
      <c r="A1357" s="4" t="s">
        <v>3108</v>
      </c>
      <c r="B1357" s="4" t="s">
        <v>3434</v>
      </c>
      <c r="C1357" s="4" t="s">
        <v>2096</v>
      </c>
      <c r="D1357" s="4" t="s">
        <v>2236</v>
      </c>
      <c r="E1357" s="4" t="s">
        <v>3438</v>
      </c>
      <c r="F1357" s="4" t="s">
        <v>3435</v>
      </c>
      <c r="G1357" s="4" t="s">
        <v>3108</v>
      </c>
      <c r="H1357" s="4" t="s">
        <v>2183</v>
      </c>
      <c r="I1357" s="4" t="s">
        <v>2100</v>
      </c>
      <c r="J1357" s="4" t="s">
        <v>2676</v>
      </c>
      <c r="K1357">
        <v>13</v>
      </c>
      <c r="L1357">
        <v>3.9624000000000001</v>
      </c>
      <c r="M1357">
        <v>63.5</v>
      </c>
      <c r="N1357">
        <v>139.69999999999999</v>
      </c>
      <c r="O1357">
        <v>156</v>
      </c>
      <c r="P1357">
        <v>2.5</v>
      </c>
      <c r="Q1357">
        <v>5.5</v>
      </c>
      <c r="R1357">
        <v>369.84100000000001</v>
      </c>
      <c r="S1357">
        <v>3.5150252279999995E-2</v>
      </c>
      <c r="T1357" s="4" t="s">
        <v>3436</v>
      </c>
    </row>
    <row r="1358" spans="1:20" x14ac:dyDescent="0.2">
      <c r="A1358" s="4" t="s">
        <v>3108</v>
      </c>
      <c r="B1358" s="4" t="s">
        <v>3434</v>
      </c>
      <c r="C1358" s="4" t="s">
        <v>2096</v>
      </c>
      <c r="D1358" s="4" t="s">
        <v>2236</v>
      </c>
      <c r="E1358" s="4" t="s">
        <v>685</v>
      </c>
      <c r="F1358" s="4" t="s">
        <v>3435</v>
      </c>
      <c r="G1358" s="4" t="s">
        <v>3108</v>
      </c>
      <c r="H1358" s="4" t="s">
        <v>2183</v>
      </c>
      <c r="I1358" s="4" t="s">
        <v>2100</v>
      </c>
      <c r="J1358" s="4" t="s">
        <v>2676</v>
      </c>
      <c r="K1358">
        <v>14</v>
      </c>
      <c r="L1358">
        <v>4.2671999999999999</v>
      </c>
      <c r="M1358">
        <v>63.5</v>
      </c>
      <c r="N1358">
        <v>139.69999999999999</v>
      </c>
      <c r="O1358">
        <v>168</v>
      </c>
      <c r="P1358">
        <v>2.5</v>
      </c>
      <c r="Q1358">
        <v>5.5</v>
      </c>
      <c r="R1358">
        <v>369.84100000000001</v>
      </c>
      <c r="S1358">
        <v>3.7854117839999993E-2</v>
      </c>
      <c r="T1358" s="4" t="s">
        <v>3436</v>
      </c>
    </row>
    <row r="1359" spans="1:20" x14ac:dyDescent="0.2">
      <c r="A1359" s="4" t="s">
        <v>3108</v>
      </c>
      <c r="B1359" s="4" t="s">
        <v>3434</v>
      </c>
      <c r="C1359" s="4" t="s">
        <v>2096</v>
      </c>
      <c r="D1359" s="4" t="s">
        <v>2236</v>
      </c>
      <c r="E1359" s="4" t="s">
        <v>3439</v>
      </c>
      <c r="F1359" s="4" t="s">
        <v>3435</v>
      </c>
      <c r="G1359" s="4" t="s">
        <v>3108</v>
      </c>
      <c r="H1359" s="4" t="s">
        <v>2183</v>
      </c>
      <c r="I1359" s="4" t="s">
        <v>2100</v>
      </c>
      <c r="J1359" s="4" t="s">
        <v>2676</v>
      </c>
      <c r="K1359">
        <v>15</v>
      </c>
      <c r="L1359">
        <v>4.5720000000000001</v>
      </c>
      <c r="M1359">
        <v>63.5</v>
      </c>
      <c r="N1359">
        <v>139.69999999999999</v>
      </c>
      <c r="O1359">
        <v>180</v>
      </c>
      <c r="P1359">
        <v>2.5</v>
      </c>
      <c r="Q1359">
        <v>5.5</v>
      </c>
      <c r="R1359">
        <v>369.84100000000001</v>
      </c>
      <c r="S1359">
        <v>4.0557983399999997E-2</v>
      </c>
      <c r="T1359" s="4" t="s">
        <v>3436</v>
      </c>
    </row>
    <row r="1360" spans="1:20" x14ac:dyDescent="0.2">
      <c r="A1360" s="4" t="s">
        <v>3108</v>
      </c>
      <c r="B1360" s="4" t="s">
        <v>3434</v>
      </c>
      <c r="C1360" s="4" t="s">
        <v>2096</v>
      </c>
      <c r="D1360" s="4" t="s">
        <v>2236</v>
      </c>
      <c r="E1360" s="4" t="s">
        <v>687</v>
      </c>
      <c r="F1360" s="4" t="s">
        <v>3435</v>
      </c>
      <c r="G1360" s="4" t="s">
        <v>3108</v>
      </c>
      <c r="H1360" s="4" t="s">
        <v>2183</v>
      </c>
      <c r="I1360" s="4" t="s">
        <v>2100</v>
      </c>
      <c r="J1360" s="4" t="s">
        <v>2676</v>
      </c>
      <c r="K1360">
        <v>16</v>
      </c>
      <c r="L1360">
        <v>4.8768000000000002</v>
      </c>
      <c r="M1360">
        <v>63.5</v>
      </c>
      <c r="N1360">
        <v>139.69999999999999</v>
      </c>
      <c r="O1360">
        <v>192.00000000000003</v>
      </c>
      <c r="P1360">
        <v>2.5</v>
      </c>
      <c r="Q1360">
        <v>5.5</v>
      </c>
      <c r="R1360">
        <v>369.84100000000001</v>
      </c>
      <c r="S1360">
        <v>4.3261848960000002E-2</v>
      </c>
      <c r="T1360" s="4" t="s">
        <v>3436</v>
      </c>
    </row>
    <row r="1361" spans="1:20" x14ac:dyDescent="0.2">
      <c r="A1361" s="4" t="s">
        <v>3108</v>
      </c>
      <c r="B1361" s="4" t="s">
        <v>3434</v>
      </c>
      <c r="C1361" s="4" t="s">
        <v>2096</v>
      </c>
      <c r="D1361" s="4" t="s">
        <v>2236</v>
      </c>
      <c r="E1361" s="4" t="s">
        <v>3440</v>
      </c>
      <c r="F1361" s="4" t="s">
        <v>3435</v>
      </c>
      <c r="G1361" s="4" t="s">
        <v>3108</v>
      </c>
      <c r="H1361" s="4" t="s">
        <v>2183</v>
      </c>
      <c r="I1361" s="4" t="s">
        <v>2100</v>
      </c>
      <c r="J1361" s="4" t="s">
        <v>2676</v>
      </c>
      <c r="K1361">
        <v>17</v>
      </c>
      <c r="L1361">
        <v>5.1816000000000004</v>
      </c>
      <c r="M1361">
        <v>63.5</v>
      </c>
      <c r="N1361">
        <v>139.69999999999999</v>
      </c>
      <c r="O1361">
        <v>204.00000000000003</v>
      </c>
      <c r="P1361">
        <v>2.5</v>
      </c>
      <c r="Q1361">
        <v>5.5</v>
      </c>
      <c r="R1361">
        <v>369.84100000000001</v>
      </c>
      <c r="S1361">
        <v>4.5965714519999999E-2</v>
      </c>
      <c r="T1361" s="4" t="s">
        <v>3436</v>
      </c>
    </row>
    <row r="1362" spans="1:20" x14ac:dyDescent="0.2">
      <c r="A1362" s="4" t="s">
        <v>3108</v>
      </c>
      <c r="B1362" s="4" t="s">
        <v>3434</v>
      </c>
      <c r="C1362" s="4" t="s">
        <v>2096</v>
      </c>
      <c r="D1362" s="4" t="s">
        <v>2236</v>
      </c>
      <c r="E1362" s="4" t="s">
        <v>689</v>
      </c>
      <c r="F1362" s="4" t="s">
        <v>3435</v>
      </c>
      <c r="G1362" s="4" t="s">
        <v>3108</v>
      </c>
      <c r="H1362" s="4" t="s">
        <v>2183</v>
      </c>
      <c r="I1362" s="4" t="s">
        <v>2100</v>
      </c>
      <c r="J1362" s="4" t="s">
        <v>2676</v>
      </c>
      <c r="K1362">
        <v>18</v>
      </c>
      <c r="L1362">
        <v>5.4863999999999997</v>
      </c>
      <c r="M1362">
        <v>63.5</v>
      </c>
      <c r="N1362">
        <v>139.69999999999999</v>
      </c>
      <c r="O1362">
        <v>216</v>
      </c>
      <c r="P1362">
        <v>2.5</v>
      </c>
      <c r="Q1362">
        <v>5.5</v>
      </c>
      <c r="R1362">
        <v>369.84100000000001</v>
      </c>
      <c r="S1362">
        <v>4.8669580079999997E-2</v>
      </c>
      <c r="T1362" s="4" t="s">
        <v>3436</v>
      </c>
    </row>
    <row r="1363" spans="1:20" x14ac:dyDescent="0.2">
      <c r="A1363" s="4" t="s">
        <v>3108</v>
      </c>
      <c r="B1363" s="4" t="s">
        <v>3434</v>
      </c>
      <c r="C1363" s="4" t="s">
        <v>2096</v>
      </c>
      <c r="D1363" s="4" t="s">
        <v>2236</v>
      </c>
      <c r="E1363" s="4" t="s">
        <v>3441</v>
      </c>
      <c r="F1363" s="4" t="s">
        <v>3435</v>
      </c>
      <c r="G1363" s="4" t="s">
        <v>3108</v>
      </c>
      <c r="H1363" s="4" t="s">
        <v>2183</v>
      </c>
      <c r="I1363" s="4" t="s">
        <v>2100</v>
      </c>
      <c r="J1363" s="4" t="s">
        <v>2676</v>
      </c>
      <c r="K1363">
        <v>19</v>
      </c>
      <c r="L1363">
        <v>5.7911999999999999</v>
      </c>
      <c r="M1363">
        <v>63.5</v>
      </c>
      <c r="N1363">
        <v>139.69999999999999</v>
      </c>
      <c r="O1363">
        <v>228</v>
      </c>
      <c r="P1363">
        <v>2.5</v>
      </c>
      <c r="Q1363">
        <v>5.5</v>
      </c>
      <c r="R1363">
        <v>369.84100000000001</v>
      </c>
      <c r="S1363">
        <v>5.1373445639999994E-2</v>
      </c>
      <c r="T1363" s="4" t="s">
        <v>3436</v>
      </c>
    </row>
    <row r="1364" spans="1:20" x14ac:dyDescent="0.2">
      <c r="A1364" s="4" t="s">
        <v>3108</v>
      </c>
      <c r="B1364" s="4" t="s">
        <v>3434</v>
      </c>
      <c r="C1364" s="4" t="s">
        <v>2096</v>
      </c>
      <c r="D1364" s="4" t="s">
        <v>2236</v>
      </c>
      <c r="E1364" s="4" t="s">
        <v>691</v>
      </c>
      <c r="F1364" s="4" t="s">
        <v>3435</v>
      </c>
      <c r="G1364" s="4" t="s">
        <v>3108</v>
      </c>
      <c r="H1364" s="4" t="s">
        <v>2183</v>
      </c>
      <c r="I1364" s="4" t="s">
        <v>2100</v>
      </c>
      <c r="J1364" s="4" t="s">
        <v>2676</v>
      </c>
      <c r="K1364">
        <v>20</v>
      </c>
      <c r="L1364">
        <v>6.0960000000000001</v>
      </c>
      <c r="M1364">
        <v>63.5</v>
      </c>
      <c r="N1364">
        <v>139.69999999999999</v>
      </c>
      <c r="O1364">
        <v>240</v>
      </c>
      <c r="P1364">
        <v>2.5</v>
      </c>
      <c r="Q1364">
        <v>5.5</v>
      </c>
      <c r="R1364">
        <v>369.84100000000001</v>
      </c>
      <c r="S1364">
        <v>5.4077311199999999E-2</v>
      </c>
      <c r="T1364" s="4" t="s">
        <v>3436</v>
      </c>
    </row>
    <row r="1365" spans="1:20" x14ac:dyDescent="0.2">
      <c r="A1365" s="4" t="s">
        <v>3108</v>
      </c>
      <c r="B1365" s="4" t="s">
        <v>3434</v>
      </c>
      <c r="C1365" s="4" t="s">
        <v>2096</v>
      </c>
      <c r="D1365" s="4" t="s">
        <v>2236</v>
      </c>
      <c r="E1365" s="4" t="s">
        <v>3442</v>
      </c>
      <c r="F1365" s="4" t="s">
        <v>3435</v>
      </c>
      <c r="G1365" s="4" t="s">
        <v>3108</v>
      </c>
      <c r="H1365" s="4" t="s">
        <v>2183</v>
      </c>
      <c r="I1365" s="4" t="s">
        <v>2100</v>
      </c>
      <c r="J1365" s="4" t="s">
        <v>2676</v>
      </c>
      <c r="K1365">
        <v>21</v>
      </c>
      <c r="L1365">
        <v>6.4008000000000003</v>
      </c>
      <c r="M1365">
        <v>63.5</v>
      </c>
      <c r="N1365">
        <v>139.69999999999999</v>
      </c>
      <c r="O1365">
        <v>252.00000000000003</v>
      </c>
      <c r="P1365">
        <v>2.5</v>
      </c>
      <c r="Q1365">
        <v>5.5</v>
      </c>
      <c r="R1365">
        <v>369.84100000000001</v>
      </c>
      <c r="S1365">
        <v>5.6781176759999996E-2</v>
      </c>
      <c r="T1365" s="4" t="s">
        <v>3436</v>
      </c>
    </row>
    <row r="1366" spans="1:20" x14ac:dyDescent="0.2">
      <c r="A1366" s="4" t="s">
        <v>3108</v>
      </c>
      <c r="B1366" s="4" t="s">
        <v>3434</v>
      </c>
      <c r="C1366" s="4" t="s">
        <v>2096</v>
      </c>
      <c r="D1366" s="4" t="s">
        <v>2236</v>
      </c>
      <c r="E1366" s="4" t="s">
        <v>3443</v>
      </c>
      <c r="F1366" s="4" t="s">
        <v>3435</v>
      </c>
      <c r="G1366" s="4" t="s">
        <v>3108</v>
      </c>
      <c r="H1366" s="4" t="s">
        <v>2183</v>
      </c>
      <c r="I1366" s="4" t="s">
        <v>2100</v>
      </c>
      <c r="J1366" s="4" t="s">
        <v>2676</v>
      </c>
      <c r="K1366">
        <v>22</v>
      </c>
      <c r="L1366">
        <v>6.7055999999999996</v>
      </c>
      <c r="M1366">
        <v>63.5</v>
      </c>
      <c r="N1366">
        <v>139.69999999999999</v>
      </c>
      <c r="O1366">
        <v>264</v>
      </c>
      <c r="P1366">
        <v>2.5</v>
      </c>
      <c r="Q1366">
        <v>5.5</v>
      </c>
      <c r="R1366">
        <v>369.84100000000001</v>
      </c>
      <c r="S1366">
        <v>5.9485042319999994E-2</v>
      </c>
      <c r="T1366" s="4" t="s">
        <v>3436</v>
      </c>
    </row>
    <row r="1367" spans="1:20" x14ac:dyDescent="0.2">
      <c r="A1367" s="4" t="s">
        <v>3108</v>
      </c>
      <c r="B1367" s="4" t="s">
        <v>3434</v>
      </c>
      <c r="C1367" s="4" t="s">
        <v>2286</v>
      </c>
      <c r="D1367" s="4" t="s">
        <v>2236</v>
      </c>
      <c r="E1367" s="4" t="s">
        <v>3444</v>
      </c>
      <c r="F1367" s="4" t="s">
        <v>3435</v>
      </c>
      <c r="G1367" s="4" t="s">
        <v>3108</v>
      </c>
      <c r="H1367" s="4" t="s">
        <v>2183</v>
      </c>
      <c r="I1367" s="4" t="s">
        <v>2100</v>
      </c>
      <c r="J1367" s="4" t="s">
        <v>2676</v>
      </c>
      <c r="K1367">
        <v>3</v>
      </c>
      <c r="L1367">
        <v>0.91439999999999999</v>
      </c>
      <c r="M1367">
        <v>63.5</v>
      </c>
      <c r="N1367">
        <v>139.69999999999999</v>
      </c>
      <c r="O1367">
        <v>36</v>
      </c>
      <c r="P1367">
        <v>2.5</v>
      </c>
      <c r="Q1367">
        <v>5.5</v>
      </c>
      <c r="R1367">
        <v>369.84100000000001</v>
      </c>
      <c r="S1367">
        <v>8.1115966799999994E-3</v>
      </c>
      <c r="T1367" s="4" t="s">
        <v>3445</v>
      </c>
    </row>
    <row r="1368" spans="1:20" x14ac:dyDescent="0.2">
      <c r="A1368" s="4" t="s">
        <v>3108</v>
      </c>
      <c r="B1368" s="4" t="s">
        <v>3434</v>
      </c>
      <c r="C1368" s="4" t="s">
        <v>2286</v>
      </c>
      <c r="D1368" s="4" t="s">
        <v>2236</v>
      </c>
      <c r="E1368" s="4" t="s">
        <v>3446</v>
      </c>
      <c r="F1368" s="4" t="s">
        <v>3435</v>
      </c>
      <c r="G1368" s="4" t="s">
        <v>3108</v>
      </c>
      <c r="H1368" s="4" t="s">
        <v>2183</v>
      </c>
      <c r="I1368" s="4" t="s">
        <v>2100</v>
      </c>
      <c r="J1368" s="4" t="s">
        <v>2676</v>
      </c>
      <c r="K1368">
        <v>4</v>
      </c>
      <c r="L1368">
        <v>1.2192000000000001</v>
      </c>
      <c r="M1368">
        <v>63.5</v>
      </c>
      <c r="N1368">
        <v>139.69999999999999</v>
      </c>
      <c r="O1368">
        <v>48.000000000000007</v>
      </c>
      <c r="P1368">
        <v>2.5</v>
      </c>
      <c r="Q1368">
        <v>5.5</v>
      </c>
      <c r="R1368">
        <v>369.84100000000001</v>
      </c>
      <c r="S1368">
        <v>1.081546224E-2</v>
      </c>
      <c r="T1368" s="4" t="s">
        <v>3445</v>
      </c>
    </row>
    <row r="1369" spans="1:20" x14ac:dyDescent="0.2">
      <c r="A1369" s="4" t="s">
        <v>3108</v>
      </c>
      <c r="B1369" s="4" t="s">
        <v>3434</v>
      </c>
      <c r="C1369" s="4" t="s">
        <v>2286</v>
      </c>
      <c r="D1369" s="4" t="s">
        <v>2236</v>
      </c>
      <c r="E1369" s="4" t="s">
        <v>3447</v>
      </c>
      <c r="F1369" s="4" t="s">
        <v>3435</v>
      </c>
      <c r="G1369" s="4" t="s">
        <v>3108</v>
      </c>
      <c r="H1369" s="4" t="s">
        <v>2183</v>
      </c>
      <c r="I1369" s="4" t="s">
        <v>2100</v>
      </c>
      <c r="J1369" s="4" t="s">
        <v>2676</v>
      </c>
      <c r="K1369">
        <v>5</v>
      </c>
      <c r="L1369">
        <v>1.524</v>
      </c>
      <c r="M1369">
        <v>63.5</v>
      </c>
      <c r="N1369">
        <v>139.69999999999999</v>
      </c>
      <c r="O1369">
        <v>60</v>
      </c>
      <c r="P1369">
        <v>2.5</v>
      </c>
      <c r="Q1369">
        <v>5.5</v>
      </c>
      <c r="R1369">
        <v>369.84100000000001</v>
      </c>
      <c r="S1369">
        <v>1.35193278E-2</v>
      </c>
      <c r="T1369" s="4" t="s">
        <v>3445</v>
      </c>
    </row>
    <row r="1370" spans="1:20" x14ac:dyDescent="0.2">
      <c r="A1370" s="4" t="s">
        <v>3108</v>
      </c>
      <c r="B1370" s="4" t="s">
        <v>3434</v>
      </c>
      <c r="C1370" s="4" t="s">
        <v>2286</v>
      </c>
      <c r="D1370" s="4" t="s">
        <v>2236</v>
      </c>
      <c r="E1370" s="4" t="s">
        <v>3448</v>
      </c>
      <c r="F1370" s="4" t="s">
        <v>3435</v>
      </c>
      <c r="G1370" s="4" t="s">
        <v>3108</v>
      </c>
      <c r="H1370" s="4" t="s">
        <v>2183</v>
      </c>
      <c r="I1370" s="4" t="s">
        <v>2100</v>
      </c>
      <c r="J1370" s="4" t="s">
        <v>2676</v>
      </c>
      <c r="K1370">
        <v>6</v>
      </c>
      <c r="L1370">
        <v>1.8288</v>
      </c>
      <c r="M1370">
        <v>63.5</v>
      </c>
      <c r="N1370">
        <v>139.69999999999999</v>
      </c>
      <c r="O1370">
        <v>72</v>
      </c>
      <c r="P1370">
        <v>2.5</v>
      </c>
      <c r="Q1370">
        <v>5.5</v>
      </c>
      <c r="R1370">
        <v>369.84100000000001</v>
      </c>
      <c r="S1370">
        <v>1.6223193359999999E-2</v>
      </c>
      <c r="T1370" s="4" t="s">
        <v>3445</v>
      </c>
    </row>
    <row r="1371" spans="1:20" x14ac:dyDescent="0.2">
      <c r="A1371" s="4" t="s">
        <v>3108</v>
      </c>
      <c r="B1371" s="4" t="s">
        <v>3434</v>
      </c>
      <c r="C1371" s="4" t="s">
        <v>2286</v>
      </c>
      <c r="D1371" s="4" t="s">
        <v>2236</v>
      </c>
      <c r="E1371" s="4" t="s">
        <v>3449</v>
      </c>
      <c r="F1371" s="4" t="s">
        <v>3435</v>
      </c>
      <c r="G1371" s="4" t="s">
        <v>3108</v>
      </c>
      <c r="H1371" s="4" t="s">
        <v>2183</v>
      </c>
      <c r="I1371" s="4" t="s">
        <v>2100</v>
      </c>
      <c r="J1371" s="4" t="s">
        <v>2676</v>
      </c>
      <c r="K1371">
        <v>7</v>
      </c>
      <c r="L1371">
        <v>2.1335999999999999</v>
      </c>
      <c r="M1371">
        <v>63.5</v>
      </c>
      <c r="N1371">
        <v>139.69999999999999</v>
      </c>
      <c r="O1371">
        <v>84</v>
      </c>
      <c r="P1371">
        <v>2.5</v>
      </c>
      <c r="Q1371">
        <v>5.5</v>
      </c>
      <c r="R1371">
        <v>369.84100000000001</v>
      </c>
      <c r="S1371">
        <v>1.8927058919999996E-2</v>
      </c>
      <c r="T1371" s="4" t="s">
        <v>3445</v>
      </c>
    </row>
    <row r="1372" spans="1:20" x14ac:dyDescent="0.2">
      <c r="A1372" s="4" t="s">
        <v>3108</v>
      </c>
      <c r="B1372" s="4" t="s">
        <v>3434</v>
      </c>
      <c r="C1372" s="4" t="s">
        <v>2096</v>
      </c>
      <c r="D1372" s="4" t="s">
        <v>2236</v>
      </c>
      <c r="E1372" s="4" t="s">
        <v>693</v>
      </c>
      <c r="F1372" s="4" t="s">
        <v>3435</v>
      </c>
      <c r="G1372" s="4" t="s">
        <v>3108</v>
      </c>
      <c r="H1372" s="4" t="s">
        <v>2183</v>
      </c>
      <c r="I1372" s="4" t="s">
        <v>2100</v>
      </c>
      <c r="J1372" s="4" t="s">
        <v>2676</v>
      </c>
      <c r="K1372">
        <v>8</v>
      </c>
      <c r="L1372">
        <v>2.4384000000000001</v>
      </c>
      <c r="M1372">
        <v>63.5</v>
      </c>
      <c r="N1372">
        <v>139.69999999999999</v>
      </c>
      <c r="O1372">
        <v>96.000000000000014</v>
      </c>
      <c r="P1372">
        <v>2.5</v>
      </c>
      <c r="Q1372">
        <v>5.5</v>
      </c>
      <c r="R1372">
        <v>369.84100000000001</v>
      </c>
      <c r="S1372">
        <v>2.1630924480000001E-2</v>
      </c>
      <c r="T1372" s="4" t="s">
        <v>3436</v>
      </c>
    </row>
    <row r="1373" spans="1:20" x14ac:dyDescent="0.2">
      <c r="A1373" s="4" t="s">
        <v>3108</v>
      </c>
      <c r="B1373" s="4" t="s">
        <v>3434</v>
      </c>
      <c r="C1373" s="4" t="s">
        <v>2096</v>
      </c>
      <c r="D1373" s="4" t="s">
        <v>2236</v>
      </c>
      <c r="E1373" s="4" t="s">
        <v>3450</v>
      </c>
      <c r="F1373" s="4" t="s">
        <v>3435</v>
      </c>
      <c r="G1373" s="4" t="s">
        <v>3108</v>
      </c>
      <c r="H1373" s="4" t="s">
        <v>2183</v>
      </c>
      <c r="I1373" s="4" t="s">
        <v>2100</v>
      </c>
      <c r="J1373" s="4" t="s">
        <v>2676</v>
      </c>
      <c r="K1373">
        <v>9</v>
      </c>
      <c r="L1373">
        <v>2.7431999999999999</v>
      </c>
      <c r="M1373">
        <v>63.5</v>
      </c>
      <c r="N1373">
        <v>139.69999999999999</v>
      </c>
      <c r="O1373">
        <v>108</v>
      </c>
      <c r="P1373">
        <v>2.5</v>
      </c>
      <c r="Q1373">
        <v>5.5</v>
      </c>
      <c r="R1373">
        <v>369.84100000000001</v>
      </c>
      <c r="S1373">
        <v>2.4334790039999998E-2</v>
      </c>
      <c r="T1373" s="4" t="s">
        <v>3436</v>
      </c>
    </row>
    <row r="1374" spans="1:20" x14ac:dyDescent="0.2">
      <c r="A1374" s="4" t="s">
        <v>3108</v>
      </c>
      <c r="B1374" s="4" t="s">
        <v>3451</v>
      </c>
      <c r="C1374" s="4" t="s">
        <v>2096</v>
      </c>
      <c r="D1374" s="4" t="s">
        <v>2236</v>
      </c>
      <c r="E1374" s="4" t="s">
        <v>695</v>
      </c>
      <c r="F1374" s="4" t="s">
        <v>3452</v>
      </c>
      <c r="G1374" s="4" t="s">
        <v>3108</v>
      </c>
      <c r="H1374" s="4" t="s">
        <v>2183</v>
      </c>
      <c r="I1374" s="4" t="s">
        <v>2100</v>
      </c>
      <c r="J1374" s="4" t="s">
        <v>2698</v>
      </c>
      <c r="K1374">
        <v>10</v>
      </c>
      <c r="L1374">
        <v>3.048</v>
      </c>
      <c r="M1374">
        <v>63.5</v>
      </c>
      <c r="N1374">
        <v>184.15</v>
      </c>
      <c r="O1374">
        <v>120</v>
      </c>
      <c r="P1374">
        <v>2.5</v>
      </c>
      <c r="Q1374">
        <v>7.2500000000000009</v>
      </c>
      <c r="R1374">
        <v>280.56900000000002</v>
      </c>
      <c r="S1374">
        <v>3.5641864199999998E-2</v>
      </c>
      <c r="T1374" s="4" t="s">
        <v>3453</v>
      </c>
    </row>
    <row r="1375" spans="1:20" x14ac:dyDescent="0.2">
      <c r="A1375" s="4" t="s">
        <v>3108</v>
      </c>
      <c r="B1375" s="4" t="s">
        <v>3451</v>
      </c>
      <c r="C1375" s="4" t="s">
        <v>2096</v>
      </c>
      <c r="D1375" s="4" t="s">
        <v>2236</v>
      </c>
      <c r="E1375" s="4" t="s">
        <v>3454</v>
      </c>
      <c r="F1375" s="4" t="s">
        <v>3452</v>
      </c>
      <c r="G1375" s="4" t="s">
        <v>3108</v>
      </c>
      <c r="H1375" s="4" t="s">
        <v>2183</v>
      </c>
      <c r="I1375" s="4" t="s">
        <v>2100</v>
      </c>
      <c r="J1375" s="4" t="s">
        <v>2698</v>
      </c>
      <c r="K1375">
        <v>11</v>
      </c>
      <c r="L1375">
        <v>3.3527999999999998</v>
      </c>
      <c r="M1375">
        <v>63.5</v>
      </c>
      <c r="N1375">
        <v>184.15</v>
      </c>
      <c r="O1375">
        <v>132</v>
      </c>
      <c r="P1375">
        <v>2.5</v>
      </c>
      <c r="Q1375">
        <v>7.2500000000000009</v>
      </c>
      <c r="R1375">
        <v>280.56900000000002</v>
      </c>
      <c r="S1375">
        <v>3.9206050620000002E-2</v>
      </c>
      <c r="T1375" s="4" t="s">
        <v>3453</v>
      </c>
    </row>
    <row r="1376" spans="1:20" x14ac:dyDescent="0.2">
      <c r="A1376" s="4" t="s">
        <v>3108</v>
      </c>
      <c r="B1376" s="4" t="s">
        <v>3451</v>
      </c>
      <c r="C1376" s="4" t="s">
        <v>2096</v>
      </c>
      <c r="D1376" s="4" t="s">
        <v>2236</v>
      </c>
      <c r="E1376" s="4" t="s">
        <v>697</v>
      </c>
      <c r="F1376" s="4" t="s">
        <v>3452</v>
      </c>
      <c r="G1376" s="4" t="s">
        <v>3108</v>
      </c>
      <c r="H1376" s="4" t="s">
        <v>2183</v>
      </c>
      <c r="I1376" s="4" t="s">
        <v>2100</v>
      </c>
      <c r="J1376" s="4" t="s">
        <v>2698</v>
      </c>
      <c r="K1376">
        <v>12</v>
      </c>
      <c r="L1376">
        <v>3.6576</v>
      </c>
      <c r="M1376">
        <v>63.5</v>
      </c>
      <c r="N1376">
        <v>184.15</v>
      </c>
      <c r="O1376">
        <v>144</v>
      </c>
      <c r="P1376">
        <v>2.5</v>
      </c>
      <c r="Q1376">
        <v>7.2500000000000009</v>
      </c>
      <c r="R1376">
        <v>280.56900000000002</v>
      </c>
      <c r="S1376">
        <v>4.2770237040000006E-2</v>
      </c>
      <c r="T1376" s="4" t="s">
        <v>3453</v>
      </c>
    </row>
    <row r="1377" spans="1:20" x14ac:dyDescent="0.2">
      <c r="A1377" s="4" t="s">
        <v>3108</v>
      </c>
      <c r="B1377" s="4" t="s">
        <v>3451</v>
      </c>
      <c r="C1377" s="4" t="s">
        <v>2096</v>
      </c>
      <c r="D1377" s="4" t="s">
        <v>2236</v>
      </c>
      <c r="E1377" s="4" t="s">
        <v>3455</v>
      </c>
      <c r="F1377" s="4" t="s">
        <v>3452</v>
      </c>
      <c r="G1377" s="4" t="s">
        <v>3108</v>
      </c>
      <c r="H1377" s="4" t="s">
        <v>2183</v>
      </c>
      <c r="I1377" s="4" t="s">
        <v>2100</v>
      </c>
      <c r="J1377" s="4" t="s">
        <v>2698</v>
      </c>
      <c r="K1377">
        <v>13</v>
      </c>
      <c r="L1377">
        <v>3.9624000000000001</v>
      </c>
      <c r="M1377">
        <v>63.5</v>
      </c>
      <c r="N1377">
        <v>184.15</v>
      </c>
      <c r="O1377">
        <v>156</v>
      </c>
      <c r="P1377">
        <v>2.5</v>
      </c>
      <c r="Q1377">
        <v>7.2500000000000009</v>
      </c>
      <c r="R1377">
        <v>280.56900000000002</v>
      </c>
      <c r="S1377">
        <v>4.6334423460000003E-2</v>
      </c>
      <c r="T1377" s="4" t="s">
        <v>3453</v>
      </c>
    </row>
    <row r="1378" spans="1:20" x14ac:dyDescent="0.2">
      <c r="A1378" s="4" t="s">
        <v>3108</v>
      </c>
      <c r="B1378" s="4" t="s">
        <v>3451</v>
      </c>
      <c r="C1378" s="4" t="s">
        <v>2096</v>
      </c>
      <c r="D1378" s="4" t="s">
        <v>2236</v>
      </c>
      <c r="E1378" s="4" t="s">
        <v>699</v>
      </c>
      <c r="F1378" s="4" t="s">
        <v>3452</v>
      </c>
      <c r="G1378" s="4" t="s">
        <v>3108</v>
      </c>
      <c r="H1378" s="4" t="s">
        <v>2183</v>
      </c>
      <c r="I1378" s="4" t="s">
        <v>2100</v>
      </c>
      <c r="J1378" s="4" t="s">
        <v>2698</v>
      </c>
      <c r="K1378">
        <v>14</v>
      </c>
      <c r="L1378">
        <v>4.2671999999999999</v>
      </c>
      <c r="M1378">
        <v>63.5</v>
      </c>
      <c r="N1378">
        <v>184.15</v>
      </c>
      <c r="O1378">
        <v>168</v>
      </c>
      <c r="P1378">
        <v>2.5</v>
      </c>
      <c r="Q1378">
        <v>7.2500000000000009</v>
      </c>
      <c r="R1378">
        <v>280.56900000000002</v>
      </c>
      <c r="S1378">
        <v>4.9898609879999993E-2</v>
      </c>
      <c r="T1378" s="4" t="s">
        <v>3453</v>
      </c>
    </row>
    <row r="1379" spans="1:20" x14ac:dyDescent="0.2">
      <c r="A1379" s="4" t="s">
        <v>3108</v>
      </c>
      <c r="B1379" s="4" t="s">
        <v>3451</v>
      </c>
      <c r="C1379" s="4" t="s">
        <v>2096</v>
      </c>
      <c r="D1379" s="4" t="s">
        <v>2236</v>
      </c>
      <c r="E1379" s="4" t="s">
        <v>3456</v>
      </c>
      <c r="F1379" s="4" t="s">
        <v>3452</v>
      </c>
      <c r="G1379" s="4" t="s">
        <v>3108</v>
      </c>
      <c r="H1379" s="4" t="s">
        <v>2183</v>
      </c>
      <c r="I1379" s="4" t="s">
        <v>2100</v>
      </c>
      <c r="J1379" s="4" t="s">
        <v>2698</v>
      </c>
      <c r="K1379">
        <v>15</v>
      </c>
      <c r="L1379">
        <v>4.5720000000000001</v>
      </c>
      <c r="M1379">
        <v>63.5</v>
      </c>
      <c r="N1379">
        <v>184.15</v>
      </c>
      <c r="O1379">
        <v>180</v>
      </c>
      <c r="P1379">
        <v>2.5</v>
      </c>
      <c r="Q1379">
        <v>7.2500000000000009</v>
      </c>
      <c r="R1379">
        <v>280.56900000000002</v>
      </c>
      <c r="S1379">
        <v>5.3462796300000011E-2</v>
      </c>
      <c r="T1379" s="4" t="s">
        <v>3453</v>
      </c>
    </row>
    <row r="1380" spans="1:20" x14ac:dyDescent="0.2">
      <c r="A1380" s="4" t="s">
        <v>3108</v>
      </c>
      <c r="B1380" s="4" t="s">
        <v>3451</v>
      </c>
      <c r="C1380" s="4" t="s">
        <v>2096</v>
      </c>
      <c r="D1380" s="4" t="s">
        <v>2236</v>
      </c>
      <c r="E1380" s="4" t="s">
        <v>701</v>
      </c>
      <c r="F1380" s="4" t="s">
        <v>3452</v>
      </c>
      <c r="G1380" s="4" t="s">
        <v>3108</v>
      </c>
      <c r="H1380" s="4" t="s">
        <v>2183</v>
      </c>
      <c r="I1380" s="4" t="s">
        <v>2100</v>
      </c>
      <c r="J1380" s="4" t="s">
        <v>2698</v>
      </c>
      <c r="K1380">
        <v>16</v>
      </c>
      <c r="L1380">
        <v>4.8768000000000002</v>
      </c>
      <c r="M1380">
        <v>63.5</v>
      </c>
      <c r="N1380">
        <v>184.15</v>
      </c>
      <c r="O1380">
        <v>192.00000000000003</v>
      </c>
      <c r="P1380">
        <v>2.5</v>
      </c>
      <c r="Q1380">
        <v>7.2500000000000009</v>
      </c>
      <c r="R1380">
        <v>280.56900000000002</v>
      </c>
      <c r="S1380">
        <v>5.7026982720000008E-2</v>
      </c>
      <c r="T1380" s="4" t="s">
        <v>3453</v>
      </c>
    </row>
    <row r="1381" spans="1:20" x14ac:dyDescent="0.2">
      <c r="A1381" s="4" t="s">
        <v>3108</v>
      </c>
      <c r="B1381" s="4" t="s">
        <v>3451</v>
      </c>
      <c r="C1381" s="4" t="s">
        <v>2096</v>
      </c>
      <c r="D1381" s="4" t="s">
        <v>2236</v>
      </c>
      <c r="E1381" s="4" t="s">
        <v>3457</v>
      </c>
      <c r="F1381" s="4" t="s">
        <v>3452</v>
      </c>
      <c r="G1381" s="4" t="s">
        <v>3108</v>
      </c>
      <c r="H1381" s="4" t="s">
        <v>2183</v>
      </c>
      <c r="I1381" s="4" t="s">
        <v>2100</v>
      </c>
      <c r="J1381" s="4" t="s">
        <v>2698</v>
      </c>
      <c r="K1381">
        <v>17</v>
      </c>
      <c r="L1381">
        <v>5.1816000000000004</v>
      </c>
      <c r="M1381">
        <v>63.5</v>
      </c>
      <c r="N1381">
        <v>184.15</v>
      </c>
      <c r="O1381">
        <v>204.00000000000003</v>
      </c>
      <c r="P1381">
        <v>2.5</v>
      </c>
      <c r="Q1381">
        <v>7.2500000000000009</v>
      </c>
      <c r="R1381">
        <v>280.56900000000002</v>
      </c>
      <c r="S1381">
        <v>6.0591169140000005E-2</v>
      </c>
      <c r="T1381" s="4" t="s">
        <v>3453</v>
      </c>
    </row>
    <row r="1382" spans="1:20" x14ac:dyDescent="0.2">
      <c r="A1382" s="4" t="s">
        <v>3108</v>
      </c>
      <c r="B1382" s="4" t="s">
        <v>3451</v>
      </c>
      <c r="C1382" s="4" t="s">
        <v>2096</v>
      </c>
      <c r="D1382" s="4" t="s">
        <v>2236</v>
      </c>
      <c r="E1382" s="4" t="s">
        <v>703</v>
      </c>
      <c r="F1382" s="4" t="s">
        <v>3452</v>
      </c>
      <c r="G1382" s="4" t="s">
        <v>3108</v>
      </c>
      <c r="H1382" s="4" t="s">
        <v>2183</v>
      </c>
      <c r="I1382" s="4" t="s">
        <v>2100</v>
      </c>
      <c r="J1382" s="4" t="s">
        <v>2698</v>
      </c>
      <c r="K1382">
        <v>18</v>
      </c>
      <c r="L1382">
        <v>5.4863999999999997</v>
      </c>
      <c r="M1382">
        <v>63.5</v>
      </c>
      <c r="N1382">
        <v>184.15</v>
      </c>
      <c r="O1382">
        <v>216</v>
      </c>
      <c r="P1382">
        <v>2.5</v>
      </c>
      <c r="Q1382">
        <v>7.2500000000000009</v>
      </c>
      <c r="R1382">
        <v>280.56900000000002</v>
      </c>
      <c r="S1382">
        <v>6.4155355560000002E-2</v>
      </c>
      <c r="T1382" s="4" t="s">
        <v>3453</v>
      </c>
    </row>
    <row r="1383" spans="1:20" x14ac:dyDescent="0.2">
      <c r="A1383" s="4" t="s">
        <v>3108</v>
      </c>
      <c r="B1383" s="4" t="s">
        <v>3451</v>
      </c>
      <c r="C1383" s="4" t="s">
        <v>2096</v>
      </c>
      <c r="D1383" s="4" t="s">
        <v>2236</v>
      </c>
      <c r="E1383" s="4" t="s">
        <v>3458</v>
      </c>
      <c r="F1383" s="4" t="s">
        <v>3452</v>
      </c>
      <c r="G1383" s="4" t="s">
        <v>3108</v>
      </c>
      <c r="H1383" s="4" t="s">
        <v>2183</v>
      </c>
      <c r="I1383" s="4" t="s">
        <v>2100</v>
      </c>
      <c r="J1383" s="4" t="s">
        <v>2698</v>
      </c>
      <c r="K1383">
        <v>19</v>
      </c>
      <c r="L1383">
        <v>5.7911999999999999</v>
      </c>
      <c r="M1383">
        <v>63.5</v>
      </c>
      <c r="N1383">
        <v>184.15</v>
      </c>
      <c r="O1383">
        <v>228</v>
      </c>
      <c r="P1383">
        <v>2.5</v>
      </c>
      <c r="Q1383">
        <v>7.2500000000000009</v>
      </c>
      <c r="R1383">
        <v>280.56900000000002</v>
      </c>
      <c r="S1383">
        <v>6.7719541980000006E-2</v>
      </c>
      <c r="T1383" s="4" t="s">
        <v>3453</v>
      </c>
    </row>
    <row r="1384" spans="1:20" x14ac:dyDescent="0.2">
      <c r="A1384" s="4" t="s">
        <v>3108</v>
      </c>
      <c r="B1384" s="4" t="s">
        <v>3451</v>
      </c>
      <c r="C1384" s="4" t="s">
        <v>2096</v>
      </c>
      <c r="D1384" s="4" t="s">
        <v>2236</v>
      </c>
      <c r="E1384" s="4" t="s">
        <v>705</v>
      </c>
      <c r="F1384" s="4" t="s">
        <v>3452</v>
      </c>
      <c r="G1384" s="4" t="s">
        <v>3108</v>
      </c>
      <c r="H1384" s="4" t="s">
        <v>2183</v>
      </c>
      <c r="I1384" s="4" t="s">
        <v>2100</v>
      </c>
      <c r="J1384" s="4" t="s">
        <v>2698</v>
      </c>
      <c r="K1384">
        <v>20</v>
      </c>
      <c r="L1384">
        <v>6.0960000000000001</v>
      </c>
      <c r="M1384">
        <v>63.5</v>
      </c>
      <c r="N1384">
        <v>184.15</v>
      </c>
      <c r="O1384">
        <v>240</v>
      </c>
      <c r="P1384">
        <v>2.5</v>
      </c>
      <c r="Q1384">
        <v>7.2500000000000009</v>
      </c>
      <c r="R1384">
        <v>280.56900000000002</v>
      </c>
      <c r="S1384">
        <v>7.1283728399999996E-2</v>
      </c>
      <c r="T1384" s="4" t="s">
        <v>3453</v>
      </c>
    </row>
    <row r="1385" spans="1:20" x14ac:dyDescent="0.2">
      <c r="A1385" s="4" t="s">
        <v>3108</v>
      </c>
      <c r="B1385" s="4" t="s">
        <v>3451</v>
      </c>
      <c r="C1385" s="4" t="s">
        <v>2096</v>
      </c>
      <c r="D1385" s="4" t="s">
        <v>2236</v>
      </c>
      <c r="E1385" s="4" t="s">
        <v>3459</v>
      </c>
      <c r="F1385" s="4" t="s">
        <v>3452</v>
      </c>
      <c r="G1385" s="4" t="s">
        <v>3108</v>
      </c>
      <c r="H1385" s="4" t="s">
        <v>2183</v>
      </c>
      <c r="I1385" s="4" t="s">
        <v>2100</v>
      </c>
      <c r="J1385" s="4" t="s">
        <v>2698</v>
      </c>
      <c r="K1385">
        <v>21</v>
      </c>
      <c r="L1385">
        <v>6.4008000000000003</v>
      </c>
      <c r="M1385">
        <v>63.5</v>
      </c>
      <c r="N1385">
        <v>184.15</v>
      </c>
      <c r="O1385">
        <v>252.00000000000003</v>
      </c>
      <c r="P1385">
        <v>2.5</v>
      </c>
      <c r="Q1385">
        <v>7.2500000000000009</v>
      </c>
      <c r="R1385">
        <v>280.56900000000002</v>
      </c>
      <c r="S1385">
        <v>7.484791482E-2</v>
      </c>
      <c r="T1385" s="4" t="s">
        <v>3453</v>
      </c>
    </row>
    <row r="1386" spans="1:20" x14ac:dyDescent="0.2">
      <c r="A1386" s="4" t="s">
        <v>3108</v>
      </c>
      <c r="B1386" s="4" t="s">
        <v>3451</v>
      </c>
      <c r="C1386" s="4" t="s">
        <v>2096</v>
      </c>
      <c r="D1386" s="4" t="s">
        <v>2236</v>
      </c>
      <c r="E1386" s="4" t="s">
        <v>707</v>
      </c>
      <c r="F1386" s="4" t="s">
        <v>3452</v>
      </c>
      <c r="G1386" s="4" t="s">
        <v>3108</v>
      </c>
      <c r="H1386" s="4" t="s">
        <v>2183</v>
      </c>
      <c r="I1386" s="4" t="s">
        <v>2100</v>
      </c>
      <c r="J1386" s="4" t="s">
        <v>2698</v>
      </c>
      <c r="K1386">
        <v>22</v>
      </c>
      <c r="L1386">
        <v>6.7055999999999996</v>
      </c>
      <c r="M1386">
        <v>63.5</v>
      </c>
      <c r="N1386">
        <v>184.15</v>
      </c>
      <c r="O1386">
        <v>264</v>
      </c>
      <c r="P1386">
        <v>2.5</v>
      </c>
      <c r="Q1386">
        <v>7.2500000000000009</v>
      </c>
      <c r="R1386">
        <v>280.56900000000002</v>
      </c>
      <c r="S1386">
        <v>7.8412101240000004E-2</v>
      </c>
      <c r="T1386" s="4" t="s">
        <v>3453</v>
      </c>
    </row>
    <row r="1387" spans="1:20" x14ac:dyDescent="0.2">
      <c r="A1387" s="4" t="s">
        <v>3108</v>
      </c>
      <c r="B1387" s="4" t="s">
        <v>3451</v>
      </c>
      <c r="C1387" s="4" t="s">
        <v>2286</v>
      </c>
      <c r="D1387" s="4" t="s">
        <v>2236</v>
      </c>
      <c r="E1387" s="4" t="s">
        <v>3460</v>
      </c>
      <c r="F1387" s="4" t="s">
        <v>3452</v>
      </c>
      <c r="G1387" s="4" t="s">
        <v>3108</v>
      </c>
      <c r="H1387" s="4" t="s">
        <v>2183</v>
      </c>
      <c r="I1387" s="4" t="s">
        <v>2100</v>
      </c>
      <c r="J1387" s="4" t="s">
        <v>2698</v>
      </c>
      <c r="K1387">
        <v>3</v>
      </c>
      <c r="L1387">
        <v>0.91439999999999999</v>
      </c>
      <c r="M1387">
        <v>63.5</v>
      </c>
      <c r="N1387">
        <v>184.15</v>
      </c>
      <c r="O1387">
        <v>36</v>
      </c>
      <c r="P1387">
        <v>2.5</v>
      </c>
      <c r="Q1387">
        <v>7.2500000000000009</v>
      </c>
      <c r="R1387">
        <v>280.56900000000002</v>
      </c>
      <c r="S1387">
        <v>1.0692559260000001E-2</v>
      </c>
      <c r="T1387" s="4" t="s">
        <v>3461</v>
      </c>
    </row>
    <row r="1388" spans="1:20" x14ac:dyDescent="0.2">
      <c r="A1388" s="4" t="s">
        <v>3108</v>
      </c>
      <c r="B1388" s="4" t="s">
        <v>3451</v>
      </c>
      <c r="C1388" s="4" t="s">
        <v>2286</v>
      </c>
      <c r="D1388" s="4" t="s">
        <v>2236</v>
      </c>
      <c r="E1388" s="4" t="s">
        <v>3462</v>
      </c>
      <c r="F1388" s="4" t="s">
        <v>3452</v>
      </c>
      <c r="G1388" s="4" t="s">
        <v>3108</v>
      </c>
      <c r="H1388" s="4" t="s">
        <v>2183</v>
      </c>
      <c r="I1388" s="4" t="s">
        <v>2100</v>
      </c>
      <c r="J1388" s="4" t="s">
        <v>2698</v>
      </c>
      <c r="K1388">
        <v>4</v>
      </c>
      <c r="L1388">
        <v>1.2192000000000001</v>
      </c>
      <c r="M1388">
        <v>63.5</v>
      </c>
      <c r="N1388">
        <v>184.15</v>
      </c>
      <c r="O1388">
        <v>48.000000000000007</v>
      </c>
      <c r="P1388">
        <v>2.5</v>
      </c>
      <c r="Q1388">
        <v>7.2500000000000009</v>
      </c>
      <c r="R1388">
        <v>280.56900000000002</v>
      </c>
      <c r="S1388">
        <v>1.4256745680000002E-2</v>
      </c>
      <c r="T1388" s="4" t="s">
        <v>3461</v>
      </c>
    </row>
    <row r="1389" spans="1:20" x14ac:dyDescent="0.2">
      <c r="A1389" s="4" t="s">
        <v>3108</v>
      </c>
      <c r="B1389" s="4" t="s">
        <v>3451</v>
      </c>
      <c r="C1389" s="4" t="s">
        <v>2286</v>
      </c>
      <c r="D1389" s="4" t="s">
        <v>2236</v>
      </c>
      <c r="E1389" s="4" t="s">
        <v>3463</v>
      </c>
      <c r="F1389" s="4" t="s">
        <v>3452</v>
      </c>
      <c r="G1389" s="4" t="s">
        <v>3108</v>
      </c>
      <c r="H1389" s="4" t="s">
        <v>2183</v>
      </c>
      <c r="I1389" s="4" t="s">
        <v>2100</v>
      </c>
      <c r="J1389" s="4" t="s">
        <v>2698</v>
      </c>
      <c r="K1389">
        <v>5</v>
      </c>
      <c r="L1389">
        <v>1.524</v>
      </c>
      <c r="M1389">
        <v>63.5</v>
      </c>
      <c r="N1389">
        <v>184.15</v>
      </c>
      <c r="O1389">
        <v>60</v>
      </c>
      <c r="P1389">
        <v>2.5</v>
      </c>
      <c r="Q1389">
        <v>7.2500000000000009</v>
      </c>
      <c r="R1389">
        <v>280.56900000000002</v>
      </c>
      <c r="S1389">
        <v>1.7820932099999999E-2</v>
      </c>
      <c r="T1389" s="4" t="s">
        <v>3461</v>
      </c>
    </row>
    <row r="1390" spans="1:20" x14ac:dyDescent="0.2">
      <c r="A1390" s="4" t="s">
        <v>3108</v>
      </c>
      <c r="B1390" s="4" t="s">
        <v>3451</v>
      </c>
      <c r="C1390" s="4" t="s">
        <v>2286</v>
      </c>
      <c r="D1390" s="4" t="s">
        <v>2236</v>
      </c>
      <c r="E1390" s="4" t="s">
        <v>3464</v>
      </c>
      <c r="F1390" s="4" t="s">
        <v>3452</v>
      </c>
      <c r="G1390" s="4" t="s">
        <v>3108</v>
      </c>
      <c r="H1390" s="4" t="s">
        <v>2183</v>
      </c>
      <c r="I1390" s="4" t="s">
        <v>2100</v>
      </c>
      <c r="J1390" s="4" t="s">
        <v>2698</v>
      </c>
      <c r="K1390">
        <v>6</v>
      </c>
      <c r="L1390">
        <v>1.8288</v>
      </c>
      <c r="M1390">
        <v>63.5</v>
      </c>
      <c r="N1390">
        <v>184.15</v>
      </c>
      <c r="O1390">
        <v>72</v>
      </c>
      <c r="P1390">
        <v>2.5</v>
      </c>
      <c r="Q1390">
        <v>7.2500000000000009</v>
      </c>
      <c r="R1390">
        <v>280.56900000000002</v>
      </c>
      <c r="S1390">
        <v>2.1385118520000003E-2</v>
      </c>
      <c r="T1390" s="4" t="s">
        <v>3461</v>
      </c>
    </row>
    <row r="1391" spans="1:20" x14ac:dyDescent="0.2">
      <c r="A1391" s="4" t="s">
        <v>3108</v>
      </c>
      <c r="B1391" s="4" t="s">
        <v>3451</v>
      </c>
      <c r="C1391" s="4" t="s">
        <v>2286</v>
      </c>
      <c r="D1391" s="4" t="s">
        <v>2236</v>
      </c>
      <c r="E1391" s="4" t="s">
        <v>3465</v>
      </c>
      <c r="F1391" s="4" t="s">
        <v>3452</v>
      </c>
      <c r="G1391" s="4" t="s">
        <v>3108</v>
      </c>
      <c r="H1391" s="4" t="s">
        <v>2183</v>
      </c>
      <c r="I1391" s="4" t="s">
        <v>2100</v>
      </c>
      <c r="J1391" s="4" t="s">
        <v>2698</v>
      </c>
      <c r="K1391">
        <v>7</v>
      </c>
      <c r="L1391">
        <v>2.1335999999999999</v>
      </c>
      <c r="M1391">
        <v>63.5</v>
      </c>
      <c r="N1391">
        <v>184.15</v>
      </c>
      <c r="O1391">
        <v>84</v>
      </c>
      <c r="P1391">
        <v>2.5</v>
      </c>
      <c r="Q1391">
        <v>7.2500000000000009</v>
      </c>
      <c r="R1391">
        <v>280.56900000000002</v>
      </c>
      <c r="S1391">
        <v>2.4949304939999997E-2</v>
      </c>
      <c r="T1391" s="4" t="s">
        <v>3461</v>
      </c>
    </row>
    <row r="1392" spans="1:20" x14ac:dyDescent="0.2">
      <c r="A1392" s="4" t="s">
        <v>3108</v>
      </c>
      <c r="B1392" s="4" t="s">
        <v>3451</v>
      </c>
      <c r="C1392" s="4" t="s">
        <v>2096</v>
      </c>
      <c r="D1392" s="4" t="s">
        <v>2236</v>
      </c>
      <c r="E1392" s="4" t="s">
        <v>709</v>
      </c>
      <c r="F1392" s="4" t="s">
        <v>3452</v>
      </c>
      <c r="G1392" s="4" t="s">
        <v>3108</v>
      </c>
      <c r="H1392" s="4" t="s">
        <v>2183</v>
      </c>
      <c r="I1392" s="4" t="s">
        <v>2100</v>
      </c>
      <c r="J1392" s="4" t="s">
        <v>2698</v>
      </c>
      <c r="K1392">
        <v>8</v>
      </c>
      <c r="L1392">
        <v>2.4384000000000001</v>
      </c>
      <c r="M1392">
        <v>63.5</v>
      </c>
      <c r="N1392">
        <v>184.15</v>
      </c>
      <c r="O1392">
        <v>96.000000000000014</v>
      </c>
      <c r="P1392">
        <v>2.5</v>
      </c>
      <c r="Q1392">
        <v>7.2500000000000009</v>
      </c>
      <c r="R1392">
        <v>280.56900000000002</v>
      </c>
      <c r="S1392">
        <v>2.8513491360000004E-2</v>
      </c>
      <c r="T1392" s="4" t="s">
        <v>3453</v>
      </c>
    </row>
    <row r="1393" spans="1:20" x14ac:dyDescent="0.2">
      <c r="A1393" s="4" t="s">
        <v>3108</v>
      </c>
      <c r="B1393" s="4" t="s">
        <v>3451</v>
      </c>
      <c r="C1393" s="4" t="s">
        <v>2096</v>
      </c>
      <c r="D1393" s="4" t="s">
        <v>2236</v>
      </c>
      <c r="E1393" s="4" t="s">
        <v>3466</v>
      </c>
      <c r="F1393" s="4" t="s">
        <v>3452</v>
      </c>
      <c r="G1393" s="4" t="s">
        <v>3108</v>
      </c>
      <c r="H1393" s="4" t="s">
        <v>2183</v>
      </c>
      <c r="I1393" s="4" t="s">
        <v>2100</v>
      </c>
      <c r="J1393" s="4" t="s">
        <v>2698</v>
      </c>
      <c r="K1393">
        <v>9</v>
      </c>
      <c r="L1393">
        <v>2.7431999999999999</v>
      </c>
      <c r="M1393">
        <v>63.5</v>
      </c>
      <c r="N1393">
        <v>184.15</v>
      </c>
      <c r="O1393">
        <v>108</v>
      </c>
      <c r="P1393">
        <v>2.5</v>
      </c>
      <c r="Q1393">
        <v>7.2500000000000009</v>
      </c>
      <c r="R1393">
        <v>280.56900000000002</v>
      </c>
      <c r="S1393">
        <v>3.2077677780000001E-2</v>
      </c>
      <c r="T1393" s="4" t="s">
        <v>3453</v>
      </c>
    </row>
    <row r="1394" spans="1:20" x14ac:dyDescent="0.2">
      <c r="A1394" s="4" t="s">
        <v>3108</v>
      </c>
      <c r="B1394" s="4" t="s">
        <v>3467</v>
      </c>
      <c r="C1394" s="4" t="s">
        <v>2096</v>
      </c>
      <c r="D1394" s="4" t="s">
        <v>2236</v>
      </c>
      <c r="E1394" s="4" t="s">
        <v>711</v>
      </c>
      <c r="F1394" s="4" t="s">
        <v>3468</v>
      </c>
      <c r="G1394" s="4" t="s">
        <v>3108</v>
      </c>
      <c r="H1394" s="4" t="s">
        <v>2183</v>
      </c>
      <c r="I1394" s="4" t="s">
        <v>2100</v>
      </c>
      <c r="J1394" s="4" t="s">
        <v>3469</v>
      </c>
      <c r="K1394">
        <v>10</v>
      </c>
      <c r="L1394">
        <v>3.048</v>
      </c>
      <c r="M1394">
        <v>88.9</v>
      </c>
      <c r="N1394">
        <v>234.95</v>
      </c>
      <c r="O1394">
        <v>120</v>
      </c>
      <c r="P1394">
        <v>3.5000000000000004</v>
      </c>
      <c r="Q1394">
        <v>9.25</v>
      </c>
      <c r="R1394">
        <v>157.07499999999999</v>
      </c>
      <c r="S1394">
        <v>6.366374364000002E-2</v>
      </c>
      <c r="T1394" s="4" t="s">
        <v>3470</v>
      </c>
    </row>
    <row r="1395" spans="1:20" x14ac:dyDescent="0.2">
      <c r="A1395" s="4" t="s">
        <v>3108</v>
      </c>
      <c r="B1395" s="4" t="s">
        <v>3467</v>
      </c>
      <c r="C1395" s="4" t="s">
        <v>2096</v>
      </c>
      <c r="D1395" s="4" t="s">
        <v>2236</v>
      </c>
      <c r="E1395" s="4" t="s">
        <v>3471</v>
      </c>
      <c r="F1395" s="4" t="s">
        <v>3468</v>
      </c>
      <c r="G1395" s="4" t="s">
        <v>3108</v>
      </c>
      <c r="H1395" s="4" t="s">
        <v>2183</v>
      </c>
      <c r="I1395" s="4" t="s">
        <v>2100</v>
      </c>
      <c r="J1395" s="4" t="s">
        <v>3469</v>
      </c>
      <c r="K1395">
        <v>11</v>
      </c>
      <c r="L1395">
        <v>3.3527999999999998</v>
      </c>
      <c r="M1395">
        <v>88.9</v>
      </c>
      <c r="N1395">
        <v>234.95</v>
      </c>
      <c r="O1395">
        <v>132</v>
      </c>
      <c r="P1395">
        <v>3.5000000000000004</v>
      </c>
      <c r="Q1395">
        <v>9.25</v>
      </c>
      <c r="R1395">
        <v>157.07499999999999</v>
      </c>
      <c r="S1395">
        <v>7.0030118003999983E-2</v>
      </c>
      <c r="T1395" s="4" t="s">
        <v>3470</v>
      </c>
    </row>
    <row r="1396" spans="1:20" x14ac:dyDescent="0.2">
      <c r="A1396" s="4" t="s">
        <v>3108</v>
      </c>
      <c r="B1396" s="4" t="s">
        <v>3467</v>
      </c>
      <c r="C1396" s="4" t="s">
        <v>2096</v>
      </c>
      <c r="D1396" s="4" t="s">
        <v>2236</v>
      </c>
      <c r="E1396" s="4" t="s">
        <v>3472</v>
      </c>
      <c r="F1396" s="4" t="s">
        <v>3468</v>
      </c>
      <c r="G1396" s="4" t="s">
        <v>3108</v>
      </c>
      <c r="H1396" s="4" t="s">
        <v>2183</v>
      </c>
      <c r="I1396" s="4" t="s">
        <v>2100</v>
      </c>
      <c r="J1396" s="4" t="s">
        <v>3469</v>
      </c>
      <c r="K1396">
        <v>12</v>
      </c>
      <c r="L1396">
        <v>3.6576</v>
      </c>
      <c r="M1396">
        <v>88.9</v>
      </c>
      <c r="N1396">
        <v>234.95</v>
      </c>
      <c r="O1396">
        <v>144</v>
      </c>
      <c r="P1396">
        <v>3.5000000000000004</v>
      </c>
      <c r="Q1396">
        <v>9.25</v>
      </c>
      <c r="R1396">
        <v>157.07499999999999</v>
      </c>
      <c r="S1396">
        <v>7.6396492368000002E-2</v>
      </c>
      <c r="T1396" s="4" t="s">
        <v>3470</v>
      </c>
    </row>
    <row r="1397" spans="1:20" x14ac:dyDescent="0.2">
      <c r="A1397" s="4" t="s">
        <v>3108</v>
      </c>
      <c r="B1397" s="4" t="s">
        <v>3467</v>
      </c>
      <c r="C1397" s="4" t="s">
        <v>2096</v>
      </c>
      <c r="D1397" s="4" t="s">
        <v>2236</v>
      </c>
      <c r="E1397" s="4" t="s">
        <v>3473</v>
      </c>
      <c r="F1397" s="4" t="s">
        <v>3468</v>
      </c>
      <c r="G1397" s="4" t="s">
        <v>3108</v>
      </c>
      <c r="H1397" s="4" t="s">
        <v>2183</v>
      </c>
      <c r="I1397" s="4" t="s">
        <v>2100</v>
      </c>
      <c r="J1397" s="4" t="s">
        <v>3469</v>
      </c>
      <c r="K1397">
        <v>13</v>
      </c>
      <c r="L1397">
        <v>3.9624000000000001</v>
      </c>
      <c r="M1397">
        <v>88.9</v>
      </c>
      <c r="N1397">
        <v>234.95</v>
      </c>
      <c r="O1397">
        <v>156</v>
      </c>
      <c r="P1397">
        <v>3.5000000000000004</v>
      </c>
      <c r="Q1397">
        <v>9.25</v>
      </c>
      <c r="R1397">
        <v>157.07499999999999</v>
      </c>
      <c r="S1397">
        <v>8.2762866732000021E-2</v>
      </c>
      <c r="T1397" s="4" t="s">
        <v>3470</v>
      </c>
    </row>
    <row r="1398" spans="1:20" x14ac:dyDescent="0.2">
      <c r="A1398" s="4" t="s">
        <v>3108</v>
      </c>
      <c r="B1398" s="4" t="s">
        <v>3467</v>
      </c>
      <c r="C1398" s="4" t="s">
        <v>2096</v>
      </c>
      <c r="D1398" s="4" t="s">
        <v>2236</v>
      </c>
      <c r="E1398" s="4" t="s">
        <v>3474</v>
      </c>
      <c r="F1398" s="4" t="s">
        <v>3468</v>
      </c>
      <c r="G1398" s="4" t="s">
        <v>3108</v>
      </c>
      <c r="H1398" s="4" t="s">
        <v>2183</v>
      </c>
      <c r="I1398" s="4" t="s">
        <v>2100</v>
      </c>
      <c r="J1398" s="4" t="s">
        <v>3469</v>
      </c>
      <c r="K1398">
        <v>14</v>
      </c>
      <c r="L1398">
        <v>4.2671999999999999</v>
      </c>
      <c r="M1398">
        <v>88.9</v>
      </c>
      <c r="N1398">
        <v>234.95</v>
      </c>
      <c r="O1398">
        <v>168</v>
      </c>
      <c r="P1398">
        <v>3.5000000000000004</v>
      </c>
      <c r="Q1398">
        <v>9.25</v>
      </c>
      <c r="R1398">
        <v>157.07499999999999</v>
      </c>
      <c r="S1398">
        <v>8.9129241095999998E-2</v>
      </c>
      <c r="T1398" s="4" t="s">
        <v>3470</v>
      </c>
    </row>
    <row r="1399" spans="1:20" x14ac:dyDescent="0.2">
      <c r="A1399" s="4" t="s">
        <v>3108</v>
      </c>
      <c r="B1399" s="4" t="s">
        <v>3467</v>
      </c>
      <c r="C1399" s="4" t="s">
        <v>2096</v>
      </c>
      <c r="D1399" s="4" t="s">
        <v>2236</v>
      </c>
      <c r="E1399" s="4" t="s">
        <v>3475</v>
      </c>
      <c r="F1399" s="4" t="s">
        <v>3468</v>
      </c>
      <c r="G1399" s="4" t="s">
        <v>3108</v>
      </c>
      <c r="H1399" s="4" t="s">
        <v>2183</v>
      </c>
      <c r="I1399" s="4" t="s">
        <v>2100</v>
      </c>
      <c r="J1399" s="4" t="s">
        <v>3469</v>
      </c>
      <c r="K1399">
        <v>15</v>
      </c>
      <c r="L1399">
        <v>4.5720000000000001</v>
      </c>
      <c r="M1399">
        <v>88.9</v>
      </c>
      <c r="N1399">
        <v>234.95</v>
      </c>
      <c r="O1399">
        <v>180</v>
      </c>
      <c r="P1399">
        <v>3.5000000000000004</v>
      </c>
      <c r="Q1399">
        <v>9.25</v>
      </c>
      <c r="R1399">
        <v>157.07499999999999</v>
      </c>
      <c r="S1399">
        <v>9.5495615460000002E-2</v>
      </c>
      <c r="T1399" s="4" t="s">
        <v>3470</v>
      </c>
    </row>
    <row r="1400" spans="1:20" x14ac:dyDescent="0.2">
      <c r="A1400" s="4" t="s">
        <v>3108</v>
      </c>
      <c r="B1400" s="4" t="s">
        <v>3467</v>
      </c>
      <c r="C1400" s="4" t="s">
        <v>2096</v>
      </c>
      <c r="D1400" s="4" t="s">
        <v>2236</v>
      </c>
      <c r="E1400" s="4" t="s">
        <v>3476</v>
      </c>
      <c r="F1400" s="4" t="s">
        <v>3468</v>
      </c>
      <c r="G1400" s="4" t="s">
        <v>3108</v>
      </c>
      <c r="H1400" s="4" t="s">
        <v>2183</v>
      </c>
      <c r="I1400" s="4" t="s">
        <v>2100</v>
      </c>
      <c r="J1400" s="4" t="s">
        <v>3469</v>
      </c>
      <c r="K1400">
        <v>16</v>
      </c>
      <c r="L1400">
        <v>4.8768000000000002</v>
      </c>
      <c r="M1400">
        <v>88.9</v>
      </c>
      <c r="N1400">
        <v>234.95</v>
      </c>
      <c r="O1400">
        <v>192.00000000000003</v>
      </c>
      <c r="P1400">
        <v>3.5000000000000004</v>
      </c>
      <c r="Q1400">
        <v>9.25</v>
      </c>
      <c r="R1400">
        <v>157.07499999999999</v>
      </c>
      <c r="S1400">
        <v>0.10186198982400002</v>
      </c>
      <c r="T1400" s="4" t="s">
        <v>3470</v>
      </c>
    </row>
    <row r="1401" spans="1:20" x14ac:dyDescent="0.2">
      <c r="A1401" s="4" t="s">
        <v>3108</v>
      </c>
      <c r="B1401" s="4" t="s">
        <v>3467</v>
      </c>
      <c r="C1401" s="4" t="s">
        <v>2096</v>
      </c>
      <c r="D1401" s="4" t="s">
        <v>2236</v>
      </c>
      <c r="E1401" s="4" t="s">
        <v>3477</v>
      </c>
      <c r="F1401" s="4" t="s">
        <v>3468</v>
      </c>
      <c r="G1401" s="4" t="s">
        <v>3108</v>
      </c>
      <c r="H1401" s="4" t="s">
        <v>2183</v>
      </c>
      <c r="I1401" s="4" t="s">
        <v>2100</v>
      </c>
      <c r="J1401" s="4" t="s">
        <v>3469</v>
      </c>
      <c r="K1401">
        <v>17</v>
      </c>
      <c r="L1401">
        <v>5.1816000000000004</v>
      </c>
      <c r="M1401">
        <v>88.9</v>
      </c>
      <c r="N1401">
        <v>234.95</v>
      </c>
      <c r="O1401">
        <v>204.00000000000003</v>
      </c>
      <c r="P1401">
        <v>3.5000000000000004</v>
      </c>
      <c r="Q1401">
        <v>9.25</v>
      </c>
      <c r="R1401">
        <v>157.07499999999999</v>
      </c>
      <c r="S1401">
        <v>0.10822836418800001</v>
      </c>
      <c r="T1401" s="4" t="s">
        <v>3470</v>
      </c>
    </row>
    <row r="1402" spans="1:20" x14ac:dyDescent="0.2">
      <c r="A1402" s="4" t="s">
        <v>3108</v>
      </c>
      <c r="B1402" s="4" t="s">
        <v>3467</v>
      </c>
      <c r="C1402" s="4" t="s">
        <v>2096</v>
      </c>
      <c r="D1402" s="4" t="s">
        <v>2236</v>
      </c>
      <c r="E1402" s="4" t="s">
        <v>713</v>
      </c>
      <c r="F1402" s="4" t="s">
        <v>3468</v>
      </c>
      <c r="G1402" s="4" t="s">
        <v>3108</v>
      </c>
      <c r="H1402" s="4" t="s">
        <v>2183</v>
      </c>
      <c r="I1402" s="4" t="s">
        <v>2100</v>
      </c>
      <c r="J1402" s="4" t="s">
        <v>3469</v>
      </c>
      <c r="K1402">
        <v>18</v>
      </c>
      <c r="L1402">
        <v>5.4863999999999997</v>
      </c>
      <c r="M1402">
        <v>88.9</v>
      </c>
      <c r="N1402">
        <v>234.95</v>
      </c>
      <c r="O1402">
        <v>216</v>
      </c>
      <c r="P1402">
        <v>3.5000000000000004</v>
      </c>
      <c r="Q1402">
        <v>9.25</v>
      </c>
      <c r="R1402">
        <v>157.07499999999999</v>
      </c>
      <c r="S1402">
        <v>0.114594738552</v>
      </c>
      <c r="T1402" s="4" t="s">
        <v>3470</v>
      </c>
    </row>
    <row r="1403" spans="1:20" x14ac:dyDescent="0.2">
      <c r="A1403" s="4" t="s">
        <v>3108</v>
      </c>
      <c r="B1403" s="4" t="s">
        <v>3467</v>
      </c>
      <c r="C1403" s="4" t="s">
        <v>2096</v>
      </c>
      <c r="D1403" s="4" t="s">
        <v>2236</v>
      </c>
      <c r="E1403" s="4" t="s">
        <v>3478</v>
      </c>
      <c r="F1403" s="4" t="s">
        <v>3468</v>
      </c>
      <c r="G1403" s="4" t="s">
        <v>3108</v>
      </c>
      <c r="H1403" s="4" t="s">
        <v>2183</v>
      </c>
      <c r="I1403" s="4" t="s">
        <v>2100</v>
      </c>
      <c r="J1403" s="4" t="s">
        <v>3469</v>
      </c>
      <c r="K1403">
        <v>19</v>
      </c>
      <c r="L1403">
        <v>5.7911999999999999</v>
      </c>
      <c r="M1403">
        <v>88.9</v>
      </c>
      <c r="N1403">
        <v>234.95</v>
      </c>
      <c r="O1403">
        <v>228</v>
      </c>
      <c r="P1403">
        <v>3.5000000000000004</v>
      </c>
      <c r="Q1403">
        <v>9.25</v>
      </c>
      <c r="R1403">
        <v>157.07499999999999</v>
      </c>
      <c r="S1403">
        <v>0.12096111291599999</v>
      </c>
      <c r="T1403" s="4" t="s">
        <v>3470</v>
      </c>
    </row>
    <row r="1404" spans="1:20" x14ac:dyDescent="0.2">
      <c r="A1404" s="4" t="s">
        <v>3108</v>
      </c>
      <c r="B1404" s="4" t="s">
        <v>3467</v>
      </c>
      <c r="C1404" s="4" t="s">
        <v>2096</v>
      </c>
      <c r="D1404" s="4" t="s">
        <v>2236</v>
      </c>
      <c r="E1404" s="4" t="s">
        <v>3479</v>
      </c>
      <c r="F1404" s="4" t="s">
        <v>3468</v>
      </c>
      <c r="G1404" s="4" t="s">
        <v>3108</v>
      </c>
      <c r="H1404" s="4" t="s">
        <v>2183</v>
      </c>
      <c r="I1404" s="4" t="s">
        <v>2100</v>
      </c>
      <c r="J1404" s="4" t="s">
        <v>3469</v>
      </c>
      <c r="K1404">
        <v>20</v>
      </c>
      <c r="L1404">
        <v>6.0960000000000001</v>
      </c>
      <c r="M1404">
        <v>88.9</v>
      </c>
      <c r="N1404">
        <v>234.95</v>
      </c>
      <c r="O1404">
        <v>240</v>
      </c>
      <c r="P1404">
        <v>3.5000000000000004</v>
      </c>
      <c r="Q1404">
        <v>9.25</v>
      </c>
      <c r="R1404">
        <v>157.07499999999999</v>
      </c>
      <c r="S1404">
        <v>0.12732748728000004</v>
      </c>
      <c r="T1404" s="4" t="s">
        <v>3470</v>
      </c>
    </row>
    <row r="1405" spans="1:20" x14ac:dyDescent="0.2">
      <c r="A1405" s="4" t="s">
        <v>3108</v>
      </c>
      <c r="B1405" s="4" t="s">
        <v>3467</v>
      </c>
      <c r="C1405" s="4" t="s">
        <v>2096</v>
      </c>
      <c r="D1405" s="4" t="s">
        <v>2236</v>
      </c>
      <c r="E1405" s="4" t="s">
        <v>3480</v>
      </c>
      <c r="F1405" s="4" t="s">
        <v>3468</v>
      </c>
      <c r="G1405" s="4" t="s">
        <v>3108</v>
      </c>
      <c r="H1405" s="4" t="s">
        <v>2183</v>
      </c>
      <c r="I1405" s="4" t="s">
        <v>2100</v>
      </c>
      <c r="J1405" s="4" t="s">
        <v>3469</v>
      </c>
      <c r="K1405">
        <v>21</v>
      </c>
      <c r="L1405">
        <v>6.4008000000000003</v>
      </c>
      <c r="M1405">
        <v>88.9</v>
      </c>
      <c r="N1405">
        <v>234.95</v>
      </c>
      <c r="O1405">
        <v>252.00000000000003</v>
      </c>
      <c r="P1405">
        <v>3.5000000000000004</v>
      </c>
      <c r="Q1405">
        <v>9.25</v>
      </c>
      <c r="R1405">
        <v>157.07499999999999</v>
      </c>
      <c r="S1405">
        <v>0.13369386164400002</v>
      </c>
      <c r="T1405" s="4" t="s">
        <v>3470</v>
      </c>
    </row>
    <row r="1406" spans="1:20" x14ac:dyDescent="0.2">
      <c r="A1406" s="4" t="s">
        <v>3108</v>
      </c>
      <c r="B1406" s="4" t="s">
        <v>3467</v>
      </c>
      <c r="C1406" s="4" t="s">
        <v>2096</v>
      </c>
      <c r="D1406" s="4" t="s">
        <v>2236</v>
      </c>
      <c r="E1406" s="4" t="s">
        <v>3481</v>
      </c>
      <c r="F1406" s="4" t="s">
        <v>3468</v>
      </c>
      <c r="G1406" s="4" t="s">
        <v>3108</v>
      </c>
      <c r="H1406" s="4" t="s">
        <v>2183</v>
      </c>
      <c r="I1406" s="4" t="s">
        <v>2100</v>
      </c>
      <c r="J1406" s="4" t="s">
        <v>3469</v>
      </c>
      <c r="K1406">
        <v>22</v>
      </c>
      <c r="L1406">
        <v>6.7055999999999996</v>
      </c>
      <c r="M1406">
        <v>88.9</v>
      </c>
      <c r="N1406">
        <v>234.95</v>
      </c>
      <c r="O1406">
        <v>264</v>
      </c>
      <c r="P1406">
        <v>3.5000000000000004</v>
      </c>
      <c r="Q1406">
        <v>9.25</v>
      </c>
      <c r="R1406">
        <v>157.07499999999999</v>
      </c>
      <c r="S1406">
        <v>0.14006023600799997</v>
      </c>
      <c r="T1406" s="4" t="s">
        <v>3470</v>
      </c>
    </row>
    <row r="1407" spans="1:20" x14ac:dyDescent="0.2">
      <c r="A1407" s="4" t="s">
        <v>3108</v>
      </c>
      <c r="B1407" s="4" t="s">
        <v>3467</v>
      </c>
      <c r="C1407" s="4" t="s">
        <v>2286</v>
      </c>
      <c r="D1407" s="4" t="s">
        <v>2236</v>
      </c>
      <c r="E1407" s="4" t="s">
        <v>3482</v>
      </c>
      <c r="F1407" s="4" t="s">
        <v>3468</v>
      </c>
      <c r="G1407" s="4" t="s">
        <v>3108</v>
      </c>
      <c r="H1407" s="4" t="s">
        <v>2183</v>
      </c>
      <c r="I1407" s="4" t="s">
        <v>2100</v>
      </c>
      <c r="J1407" s="4" t="s">
        <v>3469</v>
      </c>
      <c r="K1407">
        <v>3</v>
      </c>
      <c r="L1407">
        <v>0.91439999999999999</v>
      </c>
      <c r="M1407">
        <v>88.9</v>
      </c>
      <c r="N1407">
        <v>234.95</v>
      </c>
      <c r="O1407">
        <v>36</v>
      </c>
      <c r="P1407">
        <v>3.5000000000000004</v>
      </c>
      <c r="Q1407">
        <v>9.25</v>
      </c>
      <c r="R1407">
        <v>157.07499999999999</v>
      </c>
      <c r="S1407">
        <v>1.9099123092E-2</v>
      </c>
      <c r="T1407" s="4" t="s">
        <v>3483</v>
      </c>
    </row>
    <row r="1408" spans="1:20" x14ac:dyDescent="0.2">
      <c r="A1408" s="4" t="s">
        <v>3108</v>
      </c>
      <c r="B1408" s="4" t="s">
        <v>3467</v>
      </c>
      <c r="C1408" s="4" t="s">
        <v>2286</v>
      </c>
      <c r="D1408" s="4" t="s">
        <v>2236</v>
      </c>
      <c r="E1408" s="4" t="s">
        <v>3484</v>
      </c>
      <c r="F1408" s="4" t="s">
        <v>3468</v>
      </c>
      <c r="G1408" s="4" t="s">
        <v>3108</v>
      </c>
      <c r="H1408" s="4" t="s">
        <v>2183</v>
      </c>
      <c r="I1408" s="4" t="s">
        <v>2100</v>
      </c>
      <c r="J1408" s="4" t="s">
        <v>3469</v>
      </c>
      <c r="K1408">
        <v>4</v>
      </c>
      <c r="L1408">
        <v>1.2192000000000001</v>
      </c>
      <c r="M1408">
        <v>88.9</v>
      </c>
      <c r="N1408">
        <v>234.95</v>
      </c>
      <c r="O1408">
        <v>48.000000000000007</v>
      </c>
      <c r="P1408">
        <v>3.5000000000000004</v>
      </c>
      <c r="Q1408">
        <v>9.25</v>
      </c>
      <c r="R1408">
        <v>157.07499999999999</v>
      </c>
      <c r="S1408">
        <v>2.5465497456000005E-2</v>
      </c>
      <c r="T1408" s="4" t="s">
        <v>3483</v>
      </c>
    </row>
    <row r="1409" spans="1:20" x14ac:dyDescent="0.2">
      <c r="A1409" s="4" t="s">
        <v>3108</v>
      </c>
      <c r="B1409" s="4" t="s">
        <v>3467</v>
      </c>
      <c r="C1409" s="4" t="s">
        <v>2286</v>
      </c>
      <c r="D1409" s="4" t="s">
        <v>2236</v>
      </c>
      <c r="E1409" s="4" t="s">
        <v>3485</v>
      </c>
      <c r="F1409" s="4" t="s">
        <v>3468</v>
      </c>
      <c r="G1409" s="4" t="s">
        <v>3108</v>
      </c>
      <c r="H1409" s="4" t="s">
        <v>2183</v>
      </c>
      <c r="I1409" s="4" t="s">
        <v>2100</v>
      </c>
      <c r="J1409" s="4" t="s">
        <v>3469</v>
      </c>
      <c r="K1409">
        <v>5</v>
      </c>
      <c r="L1409">
        <v>1.524</v>
      </c>
      <c r="M1409">
        <v>88.9</v>
      </c>
      <c r="N1409">
        <v>234.95</v>
      </c>
      <c r="O1409">
        <v>60</v>
      </c>
      <c r="P1409">
        <v>3.5000000000000004</v>
      </c>
      <c r="Q1409">
        <v>9.25</v>
      </c>
      <c r="R1409">
        <v>157.07499999999999</v>
      </c>
      <c r="S1409">
        <v>3.183187182000001E-2</v>
      </c>
      <c r="T1409" s="4" t="s">
        <v>3483</v>
      </c>
    </row>
    <row r="1410" spans="1:20" x14ac:dyDescent="0.2">
      <c r="A1410" s="4" t="s">
        <v>3108</v>
      </c>
      <c r="B1410" s="4" t="s">
        <v>3467</v>
      </c>
      <c r="C1410" s="4" t="s">
        <v>2286</v>
      </c>
      <c r="D1410" s="4" t="s">
        <v>2236</v>
      </c>
      <c r="E1410" s="4" t="s">
        <v>3486</v>
      </c>
      <c r="F1410" s="4" t="s">
        <v>3468</v>
      </c>
      <c r="G1410" s="4" t="s">
        <v>3108</v>
      </c>
      <c r="H1410" s="4" t="s">
        <v>2183</v>
      </c>
      <c r="I1410" s="4" t="s">
        <v>2100</v>
      </c>
      <c r="J1410" s="4" t="s">
        <v>3469</v>
      </c>
      <c r="K1410">
        <v>6</v>
      </c>
      <c r="L1410">
        <v>1.8288</v>
      </c>
      <c r="M1410">
        <v>88.9</v>
      </c>
      <c r="N1410">
        <v>234.95</v>
      </c>
      <c r="O1410">
        <v>72</v>
      </c>
      <c r="P1410">
        <v>3.5000000000000004</v>
      </c>
      <c r="Q1410">
        <v>9.25</v>
      </c>
      <c r="R1410">
        <v>157.07499999999999</v>
      </c>
      <c r="S1410">
        <v>3.8198246184000001E-2</v>
      </c>
      <c r="T1410" s="4" t="s">
        <v>3483</v>
      </c>
    </row>
    <row r="1411" spans="1:20" x14ac:dyDescent="0.2">
      <c r="A1411" s="4" t="s">
        <v>3108</v>
      </c>
      <c r="B1411" s="4" t="s">
        <v>3467</v>
      </c>
      <c r="C1411" s="4" t="s">
        <v>2286</v>
      </c>
      <c r="D1411" s="4" t="s">
        <v>2236</v>
      </c>
      <c r="E1411" s="4" t="s">
        <v>1947</v>
      </c>
      <c r="F1411" s="4" t="s">
        <v>3468</v>
      </c>
      <c r="G1411" s="4" t="s">
        <v>3108</v>
      </c>
      <c r="H1411" s="4" t="s">
        <v>2183</v>
      </c>
      <c r="I1411" s="4" t="s">
        <v>2100</v>
      </c>
      <c r="J1411" s="4" t="s">
        <v>3469</v>
      </c>
      <c r="K1411">
        <v>7</v>
      </c>
      <c r="L1411">
        <v>2.1335999999999999</v>
      </c>
      <c r="M1411">
        <v>88.9</v>
      </c>
      <c r="N1411">
        <v>234.95</v>
      </c>
      <c r="O1411">
        <v>84</v>
      </c>
      <c r="P1411">
        <v>3.5000000000000004</v>
      </c>
      <c r="Q1411">
        <v>9.25</v>
      </c>
      <c r="R1411">
        <v>157.07499999999999</v>
      </c>
      <c r="S1411">
        <v>4.4564620547999999E-2</v>
      </c>
      <c r="T1411" s="4" t="s">
        <v>3483</v>
      </c>
    </row>
    <row r="1412" spans="1:20" x14ac:dyDescent="0.2">
      <c r="A1412" s="4" t="s">
        <v>3108</v>
      </c>
      <c r="B1412" s="4" t="s">
        <v>3467</v>
      </c>
      <c r="C1412" s="4" t="s">
        <v>2096</v>
      </c>
      <c r="D1412" s="4" t="s">
        <v>2236</v>
      </c>
      <c r="E1412" s="4" t="s">
        <v>715</v>
      </c>
      <c r="F1412" s="4" t="s">
        <v>3468</v>
      </c>
      <c r="G1412" s="4" t="s">
        <v>3108</v>
      </c>
      <c r="H1412" s="4" t="s">
        <v>2183</v>
      </c>
      <c r="I1412" s="4" t="s">
        <v>2100</v>
      </c>
      <c r="J1412" s="4" t="s">
        <v>3469</v>
      </c>
      <c r="K1412">
        <v>8</v>
      </c>
      <c r="L1412">
        <v>2.4384000000000001</v>
      </c>
      <c r="M1412">
        <v>88.9</v>
      </c>
      <c r="N1412">
        <v>234.95</v>
      </c>
      <c r="O1412">
        <v>96.000000000000014</v>
      </c>
      <c r="P1412">
        <v>3.5000000000000004</v>
      </c>
      <c r="Q1412">
        <v>9.25</v>
      </c>
      <c r="R1412">
        <v>157.07499999999999</v>
      </c>
      <c r="S1412">
        <v>5.093099491200001E-2</v>
      </c>
      <c r="T1412" s="4" t="s">
        <v>3470</v>
      </c>
    </row>
    <row r="1413" spans="1:20" x14ac:dyDescent="0.2">
      <c r="A1413" s="4" t="s">
        <v>3108</v>
      </c>
      <c r="B1413" s="4" t="s">
        <v>3467</v>
      </c>
      <c r="C1413" s="4" t="s">
        <v>2096</v>
      </c>
      <c r="D1413" s="4" t="s">
        <v>2236</v>
      </c>
      <c r="E1413" s="4" t="s">
        <v>3487</v>
      </c>
      <c r="F1413" s="4" t="s">
        <v>3468</v>
      </c>
      <c r="G1413" s="4" t="s">
        <v>3108</v>
      </c>
      <c r="H1413" s="4" t="s">
        <v>2183</v>
      </c>
      <c r="I1413" s="4" t="s">
        <v>2100</v>
      </c>
      <c r="J1413" s="4" t="s">
        <v>3469</v>
      </c>
      <c r="K1413">
        <v>9</v>
      </c>
      <c r="L1413">
        <v>2.7431999999999999</v>
      </c>
      <c r="M1413">
        <v>88.9</v>
      </c>
      <c r="N1413">
        <v>234.95</v>
      </c>
      <c r="O1413">
        <v>108</v>
      </c>
      <c r="P1413">
        <v>3.5000000000000004</v>
      </c>
      <c r="Q1413">
        <v>9.25</v>
      </c>
      <c r="R1413">
        <v>157.07499999999999</v>
      </c>
      <c r="S1413">
        <v>5.7297369276000001E-2</v>
      </c>
      <c r="T1413" s="4" t="s">
        <v>3470</v>
      </c>
    </row>
    <row r="1414" spans="1:20" x14ac:dyDescent="0.2">
      <c r="A1414" s="4" t="s">
        <v>3108</v>
      </c>
      <c r="B1414" s="4" t="s">
        <v>3488</v>
      </c>
      <c r="C1414" s="4" t="s">
        <v>2096</v>
      </c>
      <c r="D1414" s="4" t="s">
        <v>2236</v>
      </c>
      <c r="E1414" s="4" t="s">
        <v>716</v>
      </c>
      <c r="F1414" s="4" t="s">
        <v>3489</v>
      </c>
      <c r="G1414" s="4" t="s">
        <v>3108</v>
      </c>
      <c r="H1414" s="4" t="s">
        <v>2183</v>
      </c>
      <c r="I1414" s="4" t="s">
        <v>2100</v>
      </c>
      <c r="J1414" s="4" t="s">
        <v>2741</v>
      </c>
      <c r="K1414">
        <v>10</v>
      </c>
      <c r="L1414">
        <v>3.048</v>
      </c>
      <c r="M1414">
        <v>88.9</v>
      </c>
      <c r="N1414">
        <v>285.75</v>
      </c>
      <c r="O1414">
        <v>120</v>
      </c>
      <c r="P1414">
        <v>3.5000000000000004</v>
      </c>
      <c r="Q1414">
        <v>11.25</v>
      </c>
      <c r="R1414">
        <v>129.15100000000001</v>
      </c>
      <c r="S1414">
        <v>7.7428877400000012E-2</v>
      </c>
      <c r="T1414" s="4" t="s">
        <v>3490</v>
      </c>
    </row>
    <row r="1415" spans="1:20" x14ac:dyDescent="0.2">
      <c r="A1415" s="4" t="s">
        <v>3108</v>
      </c>
      <c r="B1415" s="4" t="s">
        <v>3488</v>
      </c>
      <c r="C1415" s="4" t="s">
        <v>2096</v>
      </c>
      <c r="D1415" s="4" t="s">
        <v>2236</v>
      </c>
      <c r="E1415" s="4" t="s">
        <v>3491</v>
      </c>
      <c r="F1415" s="4" t="s">
        <v>3489</v>
      </c>
      <c r="G1415" s="4" t="s">
        <v>3108</v>
      </c>
      <c r="H1415" s="4" t="s">
        <v>2183</v>
      </c>
      <c r="I1415" s="4" t="s">
        <v>2100</v>
      </c>
      <c r="J1415" s="4" t="s">
        <v>2741</v>
      </c>
      <c r="K1415">
        <v>11</v>
      </c>
      <c r="L1415">
        <v>3.3527999999999998</v>
      </c>
      <c r="M1415">
        <v>88.9</v>
      </c>
      <c r="N1415">
        <v>285.75</v>
      </c>
      <c r="O1415">
        <v>132</v>
      </c>
      <c r="P1415">
        <v>3.5000000000000004</v>
      </c>
      <c r="Q1415">
        <v>11.25</v>
      </c>
      <c r="R1415">
        <v>129.15100000000001</v>
      </c>
      <c r="S1415">
        <v>8.5171765139999994E-2</v>
      </c>
      <c r="T1415" s="4" t="s">
        <v>3490</v>
      </c>
    </row>
    <row r="1416" spans="1:20" x14ac:dyDescent="0.2">
      <c r="A1416" s="4" t="s">
        <v>3108</v>
      </c>
      <c r="B1416" s="4" t="s">
        <v>3488</v>
      </c>
      <c r="C1416" s="4" t="s">
        <v>2096</v>
      </c>
      <c r="D1416" s="4" t="s">
        <v>2236</v>
      </c>
      <c r="E1416" s="4" t="s">
        <v>718</v>
      </c>
      <c r="F1416" s="4" t="s">
        <v>3489</v>
      </c>
      <c r="G1416" s="4" t="s">
        <v>3108</v>
      </c>
      <c r="H1416" s="4" t="s">
        <v>2183</v>
      </c>
      <c r="I1416" s="4" t="s">
        <v>2100</v>
      </c>
      <c r="J1416" s="4" t="s">
        <v>2741</v>
      </c>
      <c r="K1416">
        <v>12</v>
      </c>
      <c r="L1416">
        <v>3.6576</v>
      </c>
      <c r="M1416">
        <v>88.9</v>
      </c>
      <c r="N1416">
        <v>285.75</v>
      </c>
      <c r="O1416">
        <v>144</v>
      </c>
      <c r="P1416">
        <v>3.5000000000000004</v>
      </c>
      <c r="Q1416">
        <v>11.25</v>
      </c>
      <c r="R1416">
        <v>129.15100000000001</v>
      </c>
      <c r="S1416">
        <v>9.2914652880000004E-2</v>
      </c>
      <c r="T1416" s="4" t="s">
        <v>3490</v>
      </c>
    </row>
    <row r="1417" spans="1:20" x14ac:dyDescent="0.2">
      <c r="A1417" s="4" t="s">
        <v>3108</v>
      </c>
      <c r="B1417" s="4" t="s">
        <v>3488</v>
      </c>
      <c r="C1417" s="4" t="s">
        <v>2096</v>
      </c>
      <c r="D1417" s="4" t="s">
        <v>2236</v>
      </c>
      <c r="E1417" s="4" t="s">
        <v>3492</v>
      </c>
      <c r="F1417" s="4" t="s">
        <v>3489</v>
      </c>
      <c r="G1417" s="4" t="s">
        <v>3108</v>
      </c>
      <c r="H1417" s="4" t="s">
        <v>2183</v>
      </c>
      <c r="I1417" s="4" t="s">
        <v>2100</v>
      </c>
      <c r="J1417" s="4" t="s">
        <v>2741</v>
      </c>
      <c r="K1417">
        <v>13</v>
      </c>
      <c r="L1417">
        <v>3.9624000000000001</v>
      </c>
      <c r="M1417">
        <v>88.9</v>
      </c>
      <c r="N1417">
        <v>285.75</v>
      </c>
      <c r="O1417">
        <v>156</v>
      </c>
      <c r="P1417">
        <v>3.5000000000000004</v>
      </c>
      <c r="Q1417">
        <v>11.25</v>
      </c>
      <c r="R1417">
        <v>129.15100000000001</v>
      </c>
      <c r="S1417">
        <v>0.10065754062000001</v>
      </c>
      <c r="T1417" s="4" t="s">
        <v>3490</v>
      </c>
    </row>
    <row r="1418" spans="1:20" x14ac:dyDescent="0.2">
      <c r="A1418" s="4" t="s">
        <v>3108</v>
      </c>
      <c r="B1418" s="4" t="s">
        <v>3488</v>
      </c>
      <c r="C1418" s="4" t="s">
        <v>2096</v>
      </c>
      <c r="D1418" s="4" t="s">
        <v>2236</v>
      </c>
      <c r="E1418" s="4" t="s">
        <v>720</v>
      </c>
      <c r="F1418" s="4" t="s">
        <v>3489</v>
      </c>
      <c r="G1418" s="4" t="s">
        <v>3108</v>
      </c>
      <c r="H1418" s="4" t="s">
        <v>2183</v>
      </c>
      <c r="I1418" s="4" t="s">
        <v>2100</v>
      </c>
      <c r="J1418" s="4" t="s">
        <v>2741</v>
      </c>
      <c r="K1418">
        <v>14</v>
      </c>
      <c r="L1418">
        <v>4.2671999999999999</v>
      </c>
      <c r="M1418">
        <v>88.9</v>
      </c>
      <c r="N1418">
        <v>285.75</v>
      </c>
      <c r="O1418">
        <v>168</v>
      </c>
      <c r="P1418">
        <v>3.5000000000000004</v>
      </c>
      <c r="Q1418">
        <v>11.25</v>
      </c>
      <c r="R1418">
        <v>129.15100000000001</v>
      </c>
      <c r="S1418">
        <v>0.10840042836000001</v>
      </c>
      <c r="T1418" s="4" t="s">
        <v>3490</v>
      </c>
    </row>
    <row r="1419" spans="1:20" x14ac:dyDescent="0.2">
      <c r="A1419" s="4" t="s">
        <v>3108</v>
      </c>
      <c r="B1419" s="4" t="s">
        <v>3488</v>
      </c>
      <c r="C1419" s="4" t="s">
        <v>2096</v>
      </c>
      <c r="D1419" s="4" t="s">
        <v>2236</v>
      </c>
      <c r="E1419" s="4" t="s">
        <v>3493</v>
      </c>
      <c r="F1419" s="4" t="s">
        <v>3489</v>
      </c>
      <c r="G1419" s="4" t="s">
        <v>3108</v>
      </c>
      <c r="H1419" s="4" t="s">
        <v>2183</v>
      </c>
      <c r="I1419" s="4" t="s">
        <v>2100</v>
      </c>
      <c r="J1419" s="4" t="s">
        <v>2741</v>
      </c>
      <c r="K1419">
        <v>15</v>
      </c>
      <c r="L1419">
        <v>4.5720000000000001</v>
      </c>
      <c r="M1419">
        <v>88.9</v>
      </c>
      <c r="N1419">
        <v>285.75</v>
      </c>
      <c r="O1419">
        <v>180</v>
      </c>
      <c r="P1419">
        <v>3.5000000000000004</v>
      </c>
      <c r="Q1419">
        <v>11.25</v>
      </c>
      <c r="R1419">
        <v>129.15100000000001</v>
      </c>
      <c r="S1419">
        <v>0.1161433161</v>
      </c>
      <c r="T1419" s="4" t="s">
        <v>3490</v>
      </c>
    </row>
    <row r="1420" spans="1:20" x14ac:dyDescent="0.2">
      <c r="A1420" s="4" t="s">
        <v>3108</v>
      </c>
      <c r="B1420" s="4" t="s">
        <v>3488</v>
      </c>
      <c r="C1420" s="4" t="s">
        <v>2096</v>
      </c>
      <c r="D1420" s="4" t="s">
        <v>2236</v>
      </c>
      <c r="E1420" s="4" t="s">
        <v>722</v>
      </c>
      <c r="F1420" s="4" t="s">
        <v>3489</v>
      </c>
      <c r="G1420" s="4" t="s">
        <v>3108</v>
      </c>
      <c r="H1420" s="4" t="s">
        <v>2183</v>
      </c>
      <c r="I1420" s="4" t="s">
        <v>2100</v>
      </c>
      <c r="J1420" s="4" t="s">
        <v>2741</v>
      </c>
      <c r="K1420">
        <v>16</v>
      </c>
      <c r="L1420">
        <v>4.8768000000000002</v>
      </c>
      <c r="M1420">
        <v>88.9</v>
      </c>
      <c r="N1420">
        <v>285.75</v>
      </c>
      <c r="O1420">
        <v>192.00000000000003</v>
      </c>
      <c r="P1420">
        <v>3.5000000000000004</v>
      </c>
      <c r="Q1420">
        <v>11.25</v>
      </c>
      <c r="R1420">
        <v>129.15100000000001</v>
      </c>
      <c r="S1420">
        <v>0.12388620384000003</v>
      </c>
      <c r="T1420" s="4" t="s">
        <v>3490</v>
      </c>
    </row>
    <row r="1421" spans="1:20" x14ac:dyDescent="0.2">
      <c r="A1421" s="4" t="s">
        <v>3108</v>
      </c>
      <c r="B1421" s="4" t="s">
        <v>3488</v>
      </c>
      <c r="C1421" s="4" t="s">
        <v>2096</v>
      </c>
      <c r="D1421" s="4" t="s">
        <v>2236</v>
      </c>
      <c r="E1421" s="4" t="s">
        <v>3494</v>
      </c>
      <c r="F1421" s="4" t="s">
        <v>3489</v>
      </c>
      <c r="G1421" s="4" t="s">
        <v>3108</v>
      </c>
      <c r="H1421" s="4" t="s">
        <v>2183</v>
      </c>
      <c r="I1421" s="4" t="s">
        <v>2100</v>
      </c>
      <c r="J1421" s="4" t="s">
        <v>2741</v>
      </c>
      <c r="K1421">
        <v>17</v>
      </c>
      <c r="L1421">
        <v>5.1816000000000004</v>
      </c>
      <c r="M1421">
        <v>88.9</v>
      </c>
      <c r="N1421">
        <v>285.75</v>
      </c>
      <c r="O1421">
        <v>204.00000000000003</v>
      </c>
      <c r="P1421">
        <v>3.5000000000000004</v>
      </c>
      <c r="Q1421">
        <v>11.25</v>
      </c>
      <c r="R1421">
        <v>129.15100000000001</v>
      </c>
      <c r="S1421">
        <v>0.13162909158000002</v>
      </c>
      <c r="T1421" s="4" t="s">
        <v>3490</v>
      </c>
    </row>
    <row r="1422" spans="1:20" x14ac:dyDescent="0.2">
      <c r="A1422" s="4" t="s">
        <v>3108</v>
      </c>
      <c r="B1422" s="4" t="s">
        <v>3488</v>
      </c>
      <c r="C1422" s="4" t="s">
        <v>2096</v>
      </c>
      <c r="D1422" s="4" t="s">
        <v>2236</v>
      </c>
      <c r="E1422" s="4" t="s">
        <v>724</v>
      </c>
      <c r="F1422" s="4" t="s">
        <v>3489</v>
      </c>
      <c r="G1422" s="4" t="s">
        <v>3108</v>
      </c>
      <c r="H1422" s="4" t="s">
        <v>2183</v>
      </c>
      <c r="I1422" s="4" t="s">
        <v>2100</v>
      </c>
      <c r="J1422" s="4" t="s">
        <v>2741</v>
      </c>
      <c r="K1422">
        <v>18</v>
      </c>
      <c r="L1422">
        <v>5.4863999999999997</v>
      </c>
      <c r="M1422">
        <v>88.9</v>
      </c>
      <c r="N1422">
        <v>285.75</v>
      </c>
      <c r="O1422">
        <v>216</v>
      </c>
      <c r="P1422">
        <v>3.5000000000000004</v>
      </c>
      <c r="Q1422">
        <v>11.25</v>
      </c>
      <c r="R1422">
        <v>129.15100000000001</v>
      </c>
      <c r="S1422">
        <v>0.13937197932000001</v>
      </c>
      <c r="T1422" s="4" t="s">
        <v>3490</v>
      </c>
    </row>
    <row r="1423" spans="1:20" x14ac:dyDescent="0.2">
      <c r="A1423" s="4" t="s">
        <v>3108</v>
      </c>
      <c r="B1423" s="4" t="s">
        <v>3488</v>
      </c>
      <c r="C1423" s="4" t="s">
        <v>2096</v>
      </c>
      <c r="D1423" s="4" t="s">
        <v>2236</v>
      </c>
      <c r="E1423" s="4" t="s">
        <v>3495</v>
      </c>
      <c r="F1423" s="4" t="s">
        <v>3489</v>
      </c>
      <c r="G1423" s="4" t="s">
        <v>3108</v>
      </c>
      <c r="H1423" s="4" t="s">
        <v>2183</v>
      </c>
      <c r="I1423" s="4" t="s">
        <v>2100</v>
      </c>
      <c r="J1423" s="4" t="s">
        <v>2741</v>
      </c>
      <c r="K1423">
        <v>19</v>
      </c>
      <c r="L1423">
        <v>5.7911999999999999</v>
      </c>
      <c r="M1423">
        <v>88.9</v>
      </c>
      <c r="N1423">
        <v>285.75</v>
      </c>
      <c r="O1423">
        <v>228</v>
      </c>
      <c r="P1423">
        <v>3.5000000000000004</v>
      </c>
      <c r="Q1423">
        <v>11.25</v>
      </c>
      <c r="R1423">
        <v>129.15100000000001</v>
      </c>
      <c r="S1423">
        <v>0.14711486705999999</v>
      </c>
      <c r="T1423" s="4" t="s">
        <v>3490</v>
      </c>
    </row>
    <row r="1424" spans="1:20" x14ac:dyDescent="0.2">
      <c r="A1424" s="4" t="s">
        <v>3108</v>
      </c>
      <c r="B1424" s="4" t="s">
        <v>3488</v>
      </c>
      <c r="C1424" s="4" t="s">
        <v>2096</v>
      </c>
      <c r="D1424" s="4" t="s">
        <v>2236</v>
      </c>
      <c r="E1424" s="4" t="s">
        <v>726</v>
      </c>
      <c r="F1424" s="4" t="s">
        <v>3489</v>
      </c>
      <c r="G1424" s="4" t="s">
        <v>3108</v>
      </c>
      <c r="H1424" s="4" t="s">
        <v>2183</v>
      </c>
      <c r="I1424" s="4" t="s">
        <v>2100</v>
      </c>
      <c r="J1424" s="4" t="s">
        <v>2741</v>
      </c>
      <c r="K1424">
        <v>20</v>
      </c>
      <c r="L1424">
        <v>6.0960000000000001</v>
      </c>
      <c r="M1424">
        <v>88.9</v>
      </c>
      <c r="N1424">
        <v>285.75</v>
      </c>
      <c r="O1424">
        <v>240</v>
      </c>
      <c r="P1424">
        <v>3.5000000000000004</v>
      </c>
      <c r="Q1424">
        <v>11.25</v>
      </c>
      <c r="R1424">
        <v>129.15100000000001</v>
      </c>
      <c r="S1424">
        <v>0.15485775480000002</v>
      </c>
      <c r="T1424" s="4" t="s">
        <v>3490</v>
      </c>
    </row>
    <row r="1425" spans="1:20" x14ac:dyDescent="0.2">
      <c r="A1425" s="4" t="s">
        <v>3108</v>
      </c>
      <c r="B1425" s="4" t="s">
        <v>3488</v>
      </c>
      <c r="C1425" s="4" t="s">
        <v>2096</v>
      </c>
      <c r="D1425" s="4" t="s">
        <v>2236</v>
      </c>
      <c r="E1425" s="4" t="s">
        <v>3496</v>
      </c>
      <c r="F1425" s="4" t="s">
        <v>3489</v>
      </c>
      <c r="G1425" s="4" t="s">
        <v>3108</v>
      </c>
      <c r="H1425" s="4" t="s">
        <v>2183</v>
      </c>
      <c r="I1425" s="4" t="s">
        <v>2100</v>
      </c>
      <c r="J1425" s="4" t="s">
        <v>2741</v>
      </c>
      <c r="K1425">
        <v>21</v>
      </c>
      <c r="L1425">
        <v>6.4008000000000003</v>
      </c>
      <c r="M1425">
        <v>88.9</v>
      </c>
      <c r="N1425">
        <v>285.75</v>
      </c>
      <c r="O1425">
        <v>252.00000000000003</v>
      </c>
      <c r="P1425">
        <v>3.5000000000000004</v>
      </c>
      <c r="Q1425">
        <v>11.25</v>
      </c>
      <c r="R1425">
        <v>129.15100000000001</v>
      </c>
      <c r="S1425">
        <v>0.16260064254000003</v>
      </c>
      <c r="T1425" s="4" t="s">
        <v>3490</v>
      </c>
    </row>
    <row r="1426" spans="1:20" x14ac:dyDescent="0.2">
      <c r="A1426" s="4" t="s">
        <v>3108</v>
      </c>
      <c r="B1426" s="4" t="s">
        <v>3488</v>
      </c>
      <c r="C1426" s="4" t="s">
        <v>2096</v>
      </c>
      <c r="D1426" s="4" t="s">
        <v>2236</v>
      </c>
      <c r="E1426" s="4" t="s">
        <v>728</v>
      </c>
      <c r="F1426" s="4" t="s">
        <v>3489</v>
      </c>
      <c r="G1426" s="4" t="s">
        <v>3108</v>
      </c>
      <c r="H1426" s="4" t="s">
        <v>2183</v>
      </c>
      <c r="I1426" s="4" t="s">
        <v>2100</v>
      </c>
      <c r="J1426" s="4" t="s">
        <v>2741</v>
      </c>
      <c r="K1426">
        <v>22</v>
      </c>
      <c r="L1426">
        <v>6.7055999999999996</v>
      </c>
      <c r="M1426">
        <v>88.9</v>
      </c>
      <c r="N1426">
        <v>285.75</v>
      </c>
      <c r="O1426">
        <v>264</v>
      </c>
      <c r="P1426">
        <v>3.5000000000000004</v>
      </c>
      <c r="Q1426">
        <v>11.25</v>
      </c>
      <c r="R1426">
        <v>129.15100000000001</v>
      </c>
      <c r="S1426">
        <v>0.17034353027999999</v>
      </c>
      <c r="T1426" s="4" t="s">
        <v>3490</v>
      </c>
    </row>
    <row r="1427" spans="1:20" x14ac:dyDescent="0.2">
      <c r="A1427" s="4" t="s">
        <v>3108</v>
      </c>
      <c r="B1427" s="4" t="s">
        <v>3488</v>
      </c>
      <c r="C1427" s="4" t="s">
        <v>2286</v>
      </c>
      <c r="D1427" s="4" t="s">
        <v>2236</v>
      </c>
      <c r="E1427" s="4" t="s">
        <v>3497</v>
      </c>
      <c r="F1427" s="4" t="s">
        <v>3489</v>
      </c>
      <c r="G1427" s="4" t="s">
        <v>3108</v>
      </c>
      <c r="H1427" s="4" t="s">
        <v>2183</v>
      </c>
      <c r="I1427" s="4" t="s">
        <v>2100</v>
      </c>
      <c r="J1427" s="4" t="s">
        <v>2741</v>
      </c>
      <c r="K1427">
        <v>3</v>
      </c>
      <c r="L1427">
        <v>0.91439999999999999</v>
      </c>
      <c r="M1427">
        <v>88.9</v>
      </c>
      <c r="N1427">
        <v>285.75</v>
      </c>
      <c r="O1427">
        <v>36</v>
      </c>
      <c r="P1427">
        <v>3.5000000000000004</v>
      </c>
      <c r="Q1427">
        <v>11.25</v>
      </c>
      <c r="R1427">
        <v>129.15100000000001</v>
      </c>
      <c r="S1427">
        <v>2.3228663220000001E-2</v>
      </c>
      <c r="T1427" s="4" t="s">
        <v>3498</v>
      </c>
    </row>
    <row r="1428" spans="1:20" x14ac:dyDescent="0.2">
      <c r="A1428" s="4" t="s">
        <v>3108</v>
      </c>
      <c r="B1428" s="4" t="s">
        <v>3488</v>
      </c>
      <c r="C1428" s="4" t="s">
        <v>2286</v>
      </c>
      <c r="D1428" s="4" t="s">
        <v>2236</v>
      </c>
      <c r="E1428" s="4" t="s">
        <v>3499</v>
      </c>
      <c r="F1428" s="4" t="s">
        <v>3489</v>
      </c>
      <c r="G1428" s="4" t="s">
        <v>3108</v>
      </c>
      <c r="H1428" s="4" t="s">
        <v>2183</v>
      </c>
      <c r="I1428" s="4" t="s">
        <v>2100</v>
      </c>
      <c r="J1428" s="4" t="s">
        <v>2741</v>
      </c>
      <c r="K1428">
        <v>4</v>
      </c>
      <c r="L1428">
        <v>1.2192000000000001</v>
      </c>
      <c r="M1428">
        <v>88.9</v>
      </c>
      <c r="N1428">
        <v>285.75</v>
      </c>
      <c r="O1428">
        <v>48.000000000000007</v>
      </c>
      <c r="P1428">
        <v>3.5000000000000004</v>
      </c>
      <c r="Q1428">
        <v>11.25</v>
      </c>
      <c r="R1428">
        <v>129.15100000000001</v>
      </c>
      <c r="S1428">
        <v>3.0971550960000007E-2</v>
      </c>
      <c r="T1428" s="4" t="s">
        <v>3498</v>
      </c>
    </row>
    <row r="1429" spans="1:20" x14ac:dyDescent="0.2">
      <c r="A1429" s="4" t="s">
        <v>3108</v>
      </c>
      <c r="B1429" s="4" t="s">
        <v>3488</v>
      </c>
      <c r="C1429" s="4" t="s">
        <v>2286</v>
      </c>
      <c r="D1429" s="4" t="s">
        <v>2236</v>
      </c>
      <c r="E1429" s="4" t="s">
        <v>3500</v>
      </c>
      <c r="F1429" s="4" t="s">
        <v>3489</v>
      </c>
      <c r="G1429" s="4" t="s">
        <v>3108</v>
      </c>
      <c r="H1429" s="4" t="s">
        <v>2183</v>
      </c>
      <c r="I1429" s="4" t="s">
        <v>2100</v>
      </c>
      <c r="J1429" s="4" t="s">
        <v>2741</v>
      </c>
      <c r="K1429">
        <v>5</v>
      </c>
      <c r="L1429">
        <v>1.524</v>
      </c>
      <c r="M1429">
        <v>88.9</v>
      </c>
      <c r="N1429">
        <v>285.75</v>
      </c>
      <c r="O1429">
        <v>60</v>
      </c>
      <c r="P1429">
        <v>3.5000000000000004</v>
      </c>
      <c r="Q1429">
        <v>11.25</v>
      </c>
      <c r="R1429">
        <v>129.15100000000001</v>
      </c>
      <c r="S1429">
        <v>3.8714438700000006E-2</v>
      </c>
      <c r="T1429" s="4" t="s">
        <v>3498</v>
      </c>
    </row>
    <row r="1430" spans="1:20" x14ac:dyDescent="0.2">
      <c r="A1430" s="4" t="s">
        <v>3108</v>
      </c>
      <c r="B1430" s="4" t="s">
        <v>3488</v>
      </c>
      <c r="C1430" s="4" t="s">
        <v>2286</v>
      </c>
      <c r="D1430" s="4" t="s">
        <v>2236</v>
      </c>
      <c r="E1430" s="4" t="s">
        <v>3501</v>
      </c>
      <c r="F1430" s="4" t="s">
        <v>3489</v>
      </c>
      <c r="G1430" s="4" t="s">
        <v>3108</v>
      </c>
      <c r="H1430" s="4" t="s">
        <v>2183</v>
      </c>
      <c r="I1430" s="4" t="s">
        <v>2100</v>
      </c>
      <c r="J1430" s="4" t="s">
        <v>2741</v>
      </c>
      <c r="K1430">
        <v>6</v>
      </c>
      <c r="L1430">
        <v>1.8288</v>
      </c>
      <c r="M1430">
        <v>88.9</v>
      </c>
      <c r="N1430">
        <v>285.75</v>
      </c>
      <c r="O1430">
        <v>72</v>
      </c>
      <c r="P1430">
        <v>3.5000000000000004</v>
      </c>
      <c r="Q1430">
        <v>11.25</v>
      </c>
      <c r="R1430">
        <v>129.15100000000001</v>
      </c>
      <c r="S1430">
        <v>4.6457326440000002E-2</v>
      </c>
      <c r="T1430" s="4" t="s">
        <v>3498</v>
      </c>
    </row>
    <row r="1431" spans="1:20" x14ac:dyDescent="0.2">
      <c r="A1431" s="4" t="s">
        <v>3108</v>
      </c>
      <c r="B1431" s="4" t="s">
        <v>3488</v>
      </c>
      <c r="C1431" s="4" t="s">
        <v>2286</v>
      </c>
      <c r="D1431" s="4" t="s">
        <v>2236</v>
      </c>
      <c r="E1431" s="4" t="s">
        <v>3502</v>
      </c>
      <c r="F1431" s="4" t="s">
        <v>3489</v>
      </c>
      <c r="G1431" s="4" t="s">
        <v>3108</v>
      </c>
      <c r="H1431" s="4" t="s">
        <v>2183</v>
      </c>
      <c r="I1431" s="4" t="s">
        <v>2100</v>
      </c>
      <c r="J1431" s="4" t="s">
        <v>2741</v>
      </c>
      <c r="K1431">
        <v>7</v>
      </c>
      <c r="L1431">
        <v>2.1335999999999999</v>
      </c>
      <c r="M1431">
        <v>88.9</v>
      </c>
      <c r="N1431">
        <v>285.75</v>
      </c>
      <c r="O1431">
        <v>84</v>
      </c>
      <c r="P1431">
        <v>3.5000000000000004</v>
      </c>
      <c r="Q1431">
        <v>11.25</v>
      </c>
      <c r="R1431">
        <v>129.15100000000001</v>
      </c>
      <c r="S1431">
        <v>5.4200214180000005E-2</v>
      </c>
      <c r="T1431" s="4" t="s">
        <v>3498</v>
      </c>
    </row>
    <row r="1432" spans="1:20" x14ac:dyDescent="0.2">
      <c r="A1432" s="4" t="s">
        <v>3108</v>
      </c>
      <c r="B1432" s="4" t="s">
        <v>3488</v>
      </c>
      <c r="C1432" s="4" t="s">
        <v>2096</v>
      </c>
      <c r="D1432" s="4" t="s">
        <v>2236</v>
      </c>
      <c r="E1432" s="4" t="s">
        <v>730</v>
      </c>
      <c r="F1432" s="4" t="s">
        <v>3489</v>
      </c>
      <c r="G1432" s="4" t="s">
        <v>3108</v>
      </c>
      <c r="H1432" s="4" t="s">
        <v>2183</v>
      </c>
      <c r="I1432" s="4" t="s">
        <v>2100</v>
      </c>
      <c r="J1432" s="4" t="s">
        <v>2741</v>
      </c>
      <c r="K1432">
        <v>8</v>
      </c>
      <c r="L1432">
        <v>2.4384000000000001</v>
      </c>
      <c r="M1432">
        <v>88.9</v>
      </c>
      <c r="N1432">
        <v>285.75</v>
      </c>
      <c r="O1432">
        <v>96.000000000000014</v>
      </c>
      <c r="P1432">
        <v>3.5000000000000004</v>
      </c>
      <c r="Q1432">
        <v>11.25</v>
      </c>
      <c r="R1432">
        <v>129.15100000000001</v>
      </c>
      <c r="S1432">
        <v>6.1943101920000014E-2</v>
      </c>
      <c r="T1432" s="4" t="s">
        <v>3490</v>
      </c>
    </row>
    <row r="1433" spans="1:20" x14ac:dyDescent="0.2">
      <c r="A1433" s="4" t="s">
        <v>3108</v>
      </c>
      <c r="B1433" s="4" t="s">
        <v>3488</v>
      </c>
      <c r="C1433" s="4" t="s">
        <v>2096</v>
      </c>
      <c r="D1433" s="4" t="s">
        <v>2236</v>
      </c>
      <c r="E1433" s="4" t="s">
        <v>3503</v>
      </c>
      <c r="F1433" s="4" t="s">
        <v>3489</v>
      </c>
      <c r="G1433" s="4" t="s">
        <v>3108</v>
      </c>
      <c r="H1433" s="4" t="s">
        <v>2183</v>
      </c>
      <c r="I1433" s="4" t="s">
        <v>2100</v>
      </c>
      <c r="J1433" s="4" t="s">
        <v>2741</v>
      </c>
      <c r="K1433">
        <v>9</v>
      </c>
      <c r="L1433">
        <v>2.7431999999999999</v>
      </c>
      <c r="M1433">
        <v>88.9</v>
      </c>
      <c r="N1433">
        <v>285.75</v>
      </c>
      <c r="O1433">
        <v>108</v>
      </c>
      <c r="P1433">
        <v>3.5000000000000004</v>
      </c>
      <c r="Q1433">
        <v>11.25</v>
      </c>
      <c r="R1433">
        <v>129.15100000000001</v>
      </c>
      <c r="S1433">
        <v>6.9685989660000003E-2</v>
      </c>
      <c r="T1433" s="4" t="s">
        <v>3490</v>
      </c>
    </row>
    <row r="1434" spans="1:20" x14ac:dyDescent="0.2">
      <c r="A1434" s="4" t="s">
        <v>3108</v>
      </c>
      <c r="B1434" s="4" t="s">
        <v>3504</v>
      </c>
      <c r="C1434" s="4" t="s">
        <v>2096</v>
      </c>
      <c r="D1434" s="4" t="s">
        <v>2236</v>
      </c>
      <c r="E1434" s="4" t="s">
        <v>732</v>
      </c>
      <c r="F1434" s="4" t="s">
        <v>3505</v>
      </c>
      <c r="G1434" s="4" t="s">
        <v>3108</v>
      </c>
      <c r="H1434" s="4" t="s">
        <v>2183</v>
      </c>
      <c r="I1434" s="4" t="s">
        <v>2100</v>
      </c>
      <c r="J1434" s="4" t="s">
        <v>2783</v>
      </c>
      <c r="K1434">
        <v>10</v>
      </c>
      <c r="L1434">
        <v>3.048</v>
      </c>
      <c r="M1434">
        <v>88.9</v>
      </c>
      <c r="N1434">
        <v>88.9</v>
      </c>
      <c r="O1434">
        <v>120</v>
      </c>
      <c r="P1434">
        <v>3.5000000000000004</v>
      </c>
      <c r="Q1434">
        <v>3.5000000000000004</v>
      </c>
      <c r="R1434">
        <v>415.12799999999999</v>
      </c>
      <c r="S1434">
        <v>2.4088984080000007E-2</v>
      </c>
      <c r="T1434" s="4" t="s">
        <v>3506</v>
      </c>
    </row>
    <row r="1435" spans="1:20" x14ac:dyDescent="0.2">
      <c r="A1435" s="4" t="s">
        <v>3108</v>
      </c>
      <c r="B1435" s="4" t="s">
        <v>3504</v>
      </c>
      <c r="C1435" s="4" t="s">
        <v>2096</v>
      </c>
      <c r="D1435" s="4" t="s">
        <v>2236</v>
      </c>
      <c r="E1435" s="4" t="s">
        <v>3507</v>
      </c>
      <c r="F1435" s="4" t="s">
        <v>3505</v>
      </c>
      <c r="G1435" s="4" t="s">
        <v>3108</v>
      </c>
      <c r="H1435" s="4" t="s">
        <v>2183</v>
      </c>
      <c r="I1435" s="4" t="s">
        <v>2100</v>
      </c>
      <c r="J1435" s="4" t="s">
        <v>2783</v>
      </c>
      <c r="K1435">
        <v>11</v>
      </c>
      <c r="L1435">
        <v>3.3527999999999998</v>
      </c>
      <c r="M1435">
        <v>88.9</v>
      </c>
      <c r="N1435">
        <v>88.9</v>
      </c>
      <c r="O1435">
        <v>132</v>
      </c>
      <c r="P1435">
        <v>3.5000000000000004</v>
      </c>
      <c r="Q1435">
        <v>3.5000000000000004</v>
      </c>
      <c r="R1435">
        <v>415.12799999999999</v>
      </c>
      <c r="S1435">
        <v>2.6497882487999998E-2</v>
      </c>
      <c r="T1435" s="4" t="s">
        <v>3506</v>
      </c>
    </row>
    <row r="1436" spans="1:20" x14ac:dyDescent="0.2">
      <c r="A1436" s="4" t="s">
        <v>3108</v>
      </c>
      <c r="B1436" s="4" t="s">
        <v>3504</v>
      </c>
      <c r="C1436" s="4" t="s">
        <v>2096</v>
      </c>
      <c r="D1436" s="4" t="s">
        <v>2236</v>
      </c>
      <c r="E1436" s="4" t="s">
        <v>734</v>
      </c>
      <c r="F1436" s="4" t="s">
        <v>3505</v>
      </c>
      <c r="G1436" s="4" t="s">
        <v>3108</v>
      </c>
      <c r="H1436" s="4" t="s">
        <v>2183</v>
      </c>
      <c r="I1436" s="4" t="s">
        <v>2100</v>
      </c>
      <c r="J1436" s="4" t="s">
        <v>2783</v>
      </c>
      <c r="K1436">
        <v>12</v>
      </c>
      <c r="L1436">
        <v>3.6576</v>
      </c>
      <c r="M1436">
        <v>88.9</v>
      </c>
      <c r="N1436">
        <v>88.9</v>
      </c>
      <c r="O1436">
        <v>144</v>
      </c>
      <c r="P1436">
        <v>3.5000000000000004</v>
      </c>
      <c r="Q1436">
        <v>3.5000000000000004</v>
      </c>
      <c r="R1436">
        <v>415.12799999999999</v>
      </c>
      <c r="S1436">
        <v>2.8906780896E-2</v>
      </c>
      <c r="T1436" s="4" t="s">
        <v>3506</v>
      </c>
    </row>
    <row r="1437" spans="1:20" x14ac:dyDescent="0.2">
      <c r="A1437" s="4" t="s">
        <v>3108</v>
      </c>
      <c r="B1437" s="4" t="s">
        <v>3504</v>
      </c>
      <c r="C1437" s="4" t="s">
        <v>2096</v>
      </c>
      <c r="D1437" s="4" t="s">
        <v>2236</v>
      </c>
      <c r="E1437" s="4" t="s">
        <v>3508</v>
      </c>
      <c r="F1437" s="4" t="s">
        <v>3505</v>
      </c>
      <c r="G1437" s="4" t="s">
        <v>3108</v>
      </c>
      <c r="H1437" s="4" t="s">
        <v>2183</v>
      </c>
      <c r="I1437" s="4" t="s">
        <v>2100</v>
      </c>
      <c r="J1437" s="4" t="s">
        <v>2783</v>
      </c>
      <c r="K1437">
        <v>13</v>
      </c>
      <c r="L1437">
        <v>3.9624000000000001</v>
      </c>
      <c r="M1437">
        <v>88.9</v>
      </c>
      <c r="N1437">
        <v>88.9</v>
      </c>
      <c r="O1437">
        <v>156</v>
      </c>
      <c r="P1437">
        <v>3.5000000000000004</v>
      </c>
      <c r="Q1437">
        <v>3.5000000000000004</v>
      </c>
      <c r="R1437">
        <v>415.12799999999999</v>
      </c>
      <c r="S1437">
        <v>3.1315679304000012E-2</v>
      </c>
      <c r="T1437" s="4" t="s">
        <v>3506</v>
      </c>
    </row>
    <row r="1438" spans="1:20" x14ac:dyDescent="0.2">
      <c r="A1438" s="4" t="s">
        <v>3108</v>
      </c>
      <c r="B1438" s="4" t="s">
        <v>3504</v>
      </c>
      <c r="C1438" s="4" t="s">
        <v>2096</v>
      </c>
      <c r="D1438" s="4" t="s">
        <v>2236</v>
      </c>
      <c r="E1438" s="4" t="s">
        <v>736</v>
      </c>
      <c r="F1438" s="4" t="s">
        <v>3505</v>
      </c>
      <c r="G1438" s="4" t="s">
        <v>3108</v>
      </c>
      <c r="H1438" s="4" t="s">
        <v>2183</v>
      </c>
      <c r="I1438" s="4" t="s">
        <v>2100</v>
      </c>
      <c r="J1438" s="4" t="s">
        <v>2783</v>
      </c>
      <c r="K1438">
        <v>14</v>
      </c>
      <c r="L1438">
        <v>4.2671999999999999</v>
      </c>
      <c r="M1438">
        <v>88.9</v>
      </c>
      <c r="N1438">
        <v>88.9</v>
      </c>
      <c r="O1438">
        <v>168</v>
      </c>
      <c r="P1438">
        <v>3.5000000000000004</v>
      </c>
      <c r="Q1438">
        <v>3.5000000000000004</v>
      </c>
      <c r="R1438">
        <v>415.12799999999999</v>
      </c>
      <c r="S1438">
        <v>3.3724577712000006E-2</v>
      </c>
      <c r="T1438" s="4" t="s">
        <v>3506</v>
      </c>
    </row>
    <row r="1439" spans="1:20" x14ac:dyDescent="0.2">
      <c r="A1439" s="4" t="s">
        <v>3108</v>
      </c>
      <c r="B1439" s="4" t="s">
        <v>3504</v>
      </c>
      <c r="C1439" s="4" t="s">
        <v>2096</v>
      </c>
      <c r="D1439" s="4" t="s">
        <v>2236</v>
      </c>
      <c r="E1439" s="4" t="s">
        <v>3509</v>
      </c>
      <c r="F1439" s="4" t="s">
        <v>3505</v>
      </c>
      <c r="G1439" s="4" t="s">
        <v>3108</v>
      </c>
      <c r="H1439" s="4" t="s">
        <v>2183</v>
      </c>
      <c r="I1439" s="4" t="s">
        <v>2100</v>
      </c>
      <c r="J1439" s="4" t="s">
        <v>2783</v>
      </c>
      <c r="K1439">
        <v>15</v>
      </c>
      <c r="L1439">
        <v>4.5720000000000001</v>
      </c>
      <c r="M1439">
        <v>88.9</v>
      </c>
      <c r="N1439">
        <v>88.9</v>
      </c>
      <c r="O1439">
        <v>180</v>
      </c>
      <c r="P1439">
        <v>3.5000000000000004</v>
      </c>
      <c r="Q1439">
        <v>3.5000000000000004</v>
      </c>
      <c r="R1439">
        <v>415.12799999999999</v>
      </c>
      <c r="S1439">
        <v>3.6133476120000008E-2</v>
      </c>
      <c r="T1439" s="4" t="s">
        <v>3506</v>
      </c>
    </row>
    <row r="1440" spans="1:20" x14ac:dyDescent="0.2">
      <c r="A1440" s="4" t="s">
        <v>3108</v>
      </c>
      <c r="B1440" s="4" t="s">
        <v>3504</v>
      </c>
      <c r="C1440" s="4" t="s">
        <v>2096</v>
      </c>
      <c r="D1440" s="4" t="s">
        <v>2236</v>
      </c>
      <c r="E1440" s="4" t="s">
        <v>738</v>
      </c>
      <c r="F1440" s="4" t="s">
        <v>3505</v>
      </c>
      <c r="G1440" s="4" t="s">
        <v>3108</v>
      </c>
      <c r="H1440" s="4" t="s">
        <v>2183</v>
      </c>
      <c r="I1440" s="4" t="s">
        <v>2100</v>
      </c>
      <c r="J1440" s="4" t="s">
        <v>2783</v>
      </c>
      <c r="K1440">
        <v>16</v>
      </c>
      <c r="L1440">
        <v>4.8768000000000002</v>
      </c>
      <c r="M1440">
        <v>88.9</v>
      </c>
      <c r="N1440">
        <v>88.9</v>
      </c>
      <c r="O1440">
        <v>192.00000000000003</v>
      </c>
      <c r="P1440">
        <v>3.5000000000000004</v>
      </c>
      <c r="Q1440">
        <v>3.5000000000000004</v>
      </c>
      <c r="R1440">
        <v>415.12799999999999</v>
      </c>
      <c r="S1440">
        <v>3.8542374528000009E-2</v>
      </c>
      <c r="T1440" s="4" t="s">
        <v>3506</v>
      </c>
    </row>
    <row r="1441" spans="1:20" x14ac:dyDescent="0.2">
      <c r="A1441" s="4" t="s">
        <v>3108</v>
      </c>
      <c r="B1441" s="4" t="s">
        <v>3504</v>
      </c>
      <c r="C1441" s="4" t="s">
        <v>2096</v>
      </c>
      <c r="D1441" s="4" t="s">
        <v>2236</v>
      </c>
      <c r="E1441" s="4" t="s">
        <v>3510</v>
      </c>
      <c r="F1441" s="4" t="s">
        <v>3505</v>
      </c>
      <c r="G1441" s="4" t="s">
        <v>3108</v>
      </c>
      <c r="H1441" s="4" t="s">
        <v>2183</v>
      </c>
      <c r="I1441" s="4" t="s">
        <v>2100</v>
      </c>
      <c r="J1441" s="4" t="s">
        <v>2783</v>
      </c>
      <c r="K1441">
        <v>17</v>
      </c>
      <c r="L1441">
        <v>5.1816000000000004</v>
      </c>
      <c r="M1441">
        <v>88.9</v>
      </c>
      <c r="N1441">
        <v>88.9</v>
      </c>
      <c r="O1441">
        <v>204.00000000000003</v>
      </c>
      <c r="P1441">
        <v>3.5000000000000004</v>
      </c>
      <c r="Q1441">
        <v>3.5000000000000004</v>
      </c>
      <c r="R1441">
        <v>415.12799999999999</v>
      </c>
      <c r="S1441">
        <v>4.0951272936000011E-2</v>
      </c>
      <c r="T1441" s="4" t="s">
        <v>3506</v>
      </c>
    </row>
    <row r="1442" spans="1:20" x14ac:dyDescent="0.2">
      <c r="A1442" s="4" t="s">
        <v>3108</v>
      </c>
      <c r="B1442" s="4" t="s">
        <v>3504</v>
      </c>
      <c r="C1442" s="4" t="s">
        <v>2096</v>
      </c>
      <c r="D1442" s="4" t="s">
        <v>2236</v>
      </c>
      <c r="E1442" s="4" t="s">
        <v>740</v>
      </c>
      <c r="F1442" s="4" t="s">
        <v>3505</v>
      </c>
      <c r="G1442" s="4" t="s">
        <v>3108</v>
      </c>
      <c r="H1442" s="4" t="s">
        <v>2183</v>
      </c>
      <c r="I1442" s="4" t="s">
        <v>2100</v>
      </c>
      <c r="J1442" s="4" t="s">
        <v>2783</v>
      </c>
      <c r="K1442">
        <v>18</v>
      </c>
      <c r="L1442">
        <v>5.4863999999999997</v>
      </c>
      <c r="M1442">
        <v>88.9</v>
      </c>
      <c r="N1442">
        <v>88.9</v>
      </c>
      <c r="O1442">
        <v>216</v>
      </c>
      <c r="P1442">
        <v>3.5000000000000004</v>
      </c>
      <c r="Q1442">
        <v>3.5000000000000004</v>
      </c>
      <c r="R1442">
        <v>415.12799999999999</v>
      </c>
      <c r="S1442">
        <v>4.3360171344000005E-2</v>
      </c>
      <c r="T1442" s="4" t="s">
        <v>3506</v>
      </c>
    </row>
    <row r="1443" spans="1:20" x14ac:dyDescent="0.2">
      <c r="A1443" s="4" t="s">
        <v>3108</v>
      </c>
      <c r="B1443" s="4" t="s">
        <v>3504</v>
      </c>
      <c r="C1443" s="4" t="s">
        <v>2096</v>
      </c>
      <c r="D1443" s="4" t="s">
        <v>2236</v>
      </c>
      <c r="E1443" s="4" t="s">
        <v>3511</v>
      </c>
      <c r="F1443" s="4" t="s">
        <v>3505</v>
      </c>
      <c r="G1443" s="4" t="s">
        <v>3108</v>
      </c>
      <c r="H1443" s="4" t="s">
        <v>2183</v>
      </c>
      <c r="I1443" s="4" t="s">
        <v>2100</v>
      </c>
      <c r="J1443" s="4" t="s">
        <v>2783</v>
      </c>
      <c r="K1443">
        <v>19</v>
      </c>
      <c r="L1443">
        <v>5.7911999999999999</v>
      </c>
      <c r="M1443">
        <v>88.9</v>
      </c>
      <c r="N1443">
        <v>88.9</v>
      </c>
      <c r="O1443">
        <v>228</v>
      </c>
      <c r="P1443">
        <v>3.5000000000000004</v>
      </c>
      <c r="Q1443">
        <v>3.5000000000000004</v>
      </c>
      <c r="R1443">
        <v>415.12799999999999</v>
      </c>
      <c r="S1443">
        <v>4.5769069751999999E-2</v>
      </c>
      <c r="T1443" s="4" t="s">
        <v>3506</v>
      </c>
    </row>
    <row r="1444" spans="1:20" x14ac:dyDescent="0.2">
      <c r="A1444" s="4" t="s">
        <v>3108</v>
      </c>
      <c r="B1444" s="4" t="s">
        <v>3504</v>
      </c>
      <c r="C1444" s="4" t="s">
        <v>2096</v>
      </c>
      <c r="D1444" s="4" t="s">
        <v>2236</v>
      </c>
      <c r="E1444" s="4" t="s">
        <v>742</v>
      </c>
      <c r="F1444" s="4" t="s">
        <v>3505</v>
      </c>
      <c r="G1444" s="4" t="s">
        <v>3108</v>
      </c>
      <c r="H1444" s="4" t="s">
        <v>2183</v>
      </c>
      <c r="I1444" s="4" t="s">
        <v>2100</v>
      </c>
      <c r="J1444" s="4" t="s">
        <v>2783</v>
      </c>
      <c r="K1444">
        <v>20</v>
      </c>
      <c r="L1444">
        <v>6.0960000000000001</v>
      </c>
      <c r="M1444">
        <v>88.9</v>
      </c>
      <c r="N1444">
        <v>88.9</v>
      </c>
      <c r="O1444">
        <v>240</v>
      </c>
      <c r="P1444">
        <v>3.5000000000000004</v>
      </c>
      <c r="Q1444">
        <v>3.5000000000000004</v>
      </c>
      <c r="R1444">
        <v>415.12799999999999</v>
      </c>
      <c r="S1444">
        <v>4.8177968160000015E-2</v>
      </c>
      <c r="T1444" s="4" t="s">
        <v>3506</v>
      </c>
    </row>
    <row r="1445" spans="1:20" x14ac:dyDescent="0.2">
      <c r="A1445" s="4" t="s">
        <v>3108</v>
      </c>
      <c r="B1445" s="4" t="s">
        <v>3504</v>
      </c>
      <c r="C1445" s="4" t="s">
        <v>2096</v>
      </c>
      <c r="D1445" s="4" t="s">
        <v>2236</v>
      </c>
      <c r="E1445" s="4" t="s">
        <v>3512</v>
      </c>
      <c r="F1445" s="4" t="s">
        <v>3505</v>
      </c>
      <c r="G1445" s="4" t="s">
        <v>3108</v>
      </c>
      <c r="H1445" s="4" t="s">
        <v>2183</v>
      </c>
      <c r="I1445" s="4" t="s">
        <v>2100</v>
      </c>
      <c r="J1445" s="4" t="s">
        <v>2783</v>
      </c>
      <c r="K1445">
        <v>21</v>
      </c>
      <c r="L1445">
        <v>6.4008000000000003</v>
      </c>
      <c r="M1445">
        <v>88.9</v>
      </c>
      <c r="N1445">
        <v>88.9</v>
      </c>
      <c r="O1445">
        <v>252.00000000000003</v>
      </c>
      <c r="P1445">
        <v>3.5000000000000004</v>
      </c>
      <c r="Q1445">
        <v>3.5000000000000004</v>
      </c>
      <c r="R1445">
        <v>415.12799999999999</v>
      </c>
      <c r="S1445">
        <v>5.0586866568000009E-2</v>
      </c>
      <c r="T1445" s="4" t="s">
        <v>3506</v>
      </c>
    </row>
    <row r="1446" spans="1:20" x14ac:dyDescent="0.2">
      <c r="A1446" s="4" t="s">
        <v>3108</v>
      </c>
      <c r="B1446" s="4" t="s">
        <v>3504</v>
      </c>
      <c r="C1446" s="4" t="s">
        <v>2096</v>
      </c>
      <c r="D1446" s="4" t="s">
        <v>2236</v>
      </c>
      <c r="E1446" s="4" t="s">
        <v>3513</v>
      </c>
      <c r="F1446" s="4" t="s">
        <v>3505</v>
      </c>
      <c r="G1446" s="4" t="s">
        <v>3108</v>
      </c>
      <c r="H1446" s="4" t="s">
        <v>2183</v>
      </c>
      <c r="I1446" s="4" t="s">
        <v>2100</v>
      </c>
      <c r="J1446" s="4" t="s">
        <v>2783</v>
      </c>
      <c r="K1446">
        <v>22</v>
      </c>
      <c r="L1446">
        <v>6.7055999999999996</v>
      </c>
      <c r="M1446">
        <v>88.9</v>
      </c>
      <c r="N1446">
        <v>88.9</v>
      </c>
      <c r="O1446">
        <v>264</v>
      </c>
      <c r="P1446">
        <v>3.5000000000000004</v>
      </c>
      <c r="Q1446">
        <v>3.5000000000000004</v>
      </c>
      <c r="R1446">
        <v>415.12799999999999</v>
      </c>
      <c r="S1446">
        <v>5.2995764975999997E-2</v>
      </c>
      <c r="T1446" s="4" t="s">
        <v>3506</v>
      </c>
    </row>
    <row r="1447" spans="1:20" x14ac:dyDescent="0.2">
      <c r="A1447" s="4" t="s">
        <v>3108</v>
      </c>
      <c r="B1447" s="4" t="s">
        <v>3504</v>
      </c>
      <c r="C1447" s="4" t="s">
        <v>2286</v>
      </c>
      <c r="D1447" s="4" t="s">
        <v>2236</v>
      </c>
      <c r="E1447" s="4" t="s">
        <v>3514</v>
      </c>
      <c r="F1447" s="4" t="s">
        <v>3505</v>
      </c>
      <c r="G1447" s="4" t="s">
        <v>3108</v>
      </c>
      <c r="H1447" s="4" t="s">
        <v>2183</v>
      </c>
      <c r="I1447" s="4" t="s">
        <v>2100</v>
      </c>
      <c r="J1447" s="4" t="s">
        <v>2783</v>
      </c>
      <c r="K1447">
        <v>3</v>
      </c>
      <c r="L1447">
        <v>0.91439999999999999</v>
      </c>
      <c r="M1447">
        <v>88.9</v>
      </c>
      <c r="N1447">
        <v>88.9</v>
      </c>
      <c r="O1447">
        <v>36</v>
      </c>
      <c r="P1447">
        <v>3.5000000000000004</v>
      </c>
      <c r="Q1447">
        <v>3.5000000000000004</v>
      </c>
      <c r="R1447">
        <v>415.12799999999999</v>
      </c>
      <c r="S1447">
        <v>7.226695224E-3</v>
      </c>
      <c r="T1447" s="4" t="s">
        <v>3515</v>
      </c>
    </row>
    <row r="1448" spans="1:20" x14ac:dyDescent="0.2">
      <c r="A1448" s="4" t="s">
        <v>3108</v>
      </c>
      <c r="B1448" s="4" t="s">
        <v>3504</v>
      </c>
      <c r="C1448" s="4" t="s">
        <v>2286</v>
      </c>
      <c r="D1448" s="4" t="s">
        <v>2236</v>
      </c>
      <c r="E1448" s="4" t="s">
        <v>3516</v>
      </c>
      <c r="F1448" s="4" t="s">
        <v>3505</v>
      </c>
      <c r="G1448" s="4" t="s">
        <v>3108</v>
      </c>
      <c r="H1448" s="4" t="s">
        <v>2183</v>
      </c>
      <c r="I1448" s="4" t="s">
        <v>2100</v>
      </c>
      <c r="J1448" s="4" t="s">
        <v>2783</v>
      </c>
      <c r="K1448">
        <v>4</v>
      </c>
      <c r="L1448">
        <v>1.2192000000000001</v>
      </c>
      <c r="M1448">
        <v>88.9</v>
      </c>
      <c r="N1448">
        <v>88.9</v>
      </c>
      <c r="O1448">
        <v>48.000000000000007</v>
      </c>
      <c r="P1448">
        <v>3.5000000000000004</v>
      </c>
      <c r="Q1448">
        <v>3.5000000000000004</v>
      </c>
      <c r="R1448">
        <v>415.12799999999999</v>
      </c>
      <c r="S1448">
        <v>9.6355936320000023E-3</v>
      </c>
      <c r="T1448" s="4" t="s">
        <v>3515</v>
      </c>
    </row>
    <row r="1449" spans="1:20" x14ac:dyDescent="0.2">
      <c r="A1449" s="4" t="s">
        <v>3108</v>
      </c>
      <c r="B1449" s="4" t="s">
        <v>3504</v>
      </c>
      <c r="C1449" s="4" t="s">
        <v>2286</v>
      </c>
      <c r="D1449" s="4" t="s">
        <v>2236</v>
      </c>
      <c r="E1449" s="4" t="s">
        <v>3517</v>
      </c>
      <c r="F1449" s="4" t="s">
        <v>3505</v>
      </c>
      <c r="G1449" s="4" t="s">
        <v>3108</v>
      </c>
      <c r="H1449" s="4" t="s">
        <v>2183</v>
      </c>
      <c r="I1449" s="4" t="s">
        <v>2100</v>
      </c>
      <c r="J1449" s="4" t="s">
        <v>2783</v>
      </c>
      <c r="K1449">
        <v>5</v>
      </c>
      <c r="L1449">
        <v>1.524</v>
      </c>
      <c r="M1449">
        <v>88.9</v>
      </c>
      <c r="N1449">
        <v>88.9</v>
      </c>
      <c r="O1449">
        <v>60</v>
      </c>
      <c r="P1449">
        <v>3.5000000000000004</v>
      </c>
      <c r="Q1449">
        <v>3.5000000000000004</v>
      </c>
      <c r="R1449">
        <v>415.12799999999999</v>
      </c>
      <c r="S1449">
        <v>1.2044492040000004E-2</v>
      </c>
      <c r="T1449" s="4" t="s">
        <v>3515</v>
      </c>
    </row>
    <row r="1450" spans="1:20" x14ac:dyDescent="0.2">
      <c r="A1450" s="4" t="s">
        <v>3108</v>
      </c>
      <c r="B1450" s="4" t="s">
        <v>3504</v>
      </c>
      <c r="C1450" s="4" t="s">
        <v>2286</v>
      </c>
      <c r="D1450" s="4" t="s">
        <v>2236</v>
      </c>
      <c r="E1450" s="4" t="s">
        <v>3518</v>
      </c>
      <c r="F1450" s="4" t="s">
        <v>3505</v>
      </c>
      <c r="G1450" s="4" t="s">
        <v>3108</v>
      </c>
      <c r="H1450" s="4" t="s">
        <v>2183</v>
      </c>
      <c r="I1450" s="4" t="s">
        <v>2100</v>
      </c>
      <c r="J1450" s="4" t="s">
        <v>2783</v>
      </c>
      <c r="K1450">
        <v>6</v>
      </c>
      <c r="L1450">
        <v>1.8288</v>
      </c>
      <c r="M1450">
        <v>88.9</v>
      </c>
      <c r="N1450">
        <v>88.9</v>
      </c>
      <c r="O1450">
        <v>72</v>
      </c>
      <c r="P1450">
        <v>3.5000000000000004</v>
      </c>
      <c r="Q1450">
        <v>3.5000000000000004</v>
      </c>
      <c r="R1450">
        <v>415.12799999999999</v>
      </c>
      <c r="S1450">
        <v>1.4453390448E-2</v>
      </c>
      <c r="T1450" s="4" t="s">
        <v>3515</v>
      </c>
    </row>
    <row r="1451" spans="1:20" x14ac:dyDescent="0.2">
      <c r="A1451" s="4" t="s">
        <v>3108</v>
      </c>
      <c r="B1451" s="4" t="s">
        <v>3504</v>
      </c>
      <c r="C1451" s="4" t="s">
        <v>2286</v>
      </c>
      <c r="D1451" s="4" t="s">
        <v>2236</v>
      </c>
      <c r="E1451" s="4" t="s">
        <v>3519</v>
      </c>
      <c r="F1451" s="4" t="s">
        <v>3505</v>
      </c>
      <c r="G1451" s="4" t="s">
        <v>3108</v>
      </c>
      <c r="H1451" s="4" t="s">
        <v>2183</v>
      </c>
      <c r="I1451" s="4" t="s">
        <v>2100</v>
      </c>
      <c r="J1451" s="4" t="s">
        <v>2783</v>
      </c>
      <c r="K1451">
        <v>7</v>
      </c>
      <c r="L1451">
        <v>2.1335999999999999</v>
      </c>
      <c r="M1451">
        <v>88.9</v>
      </c>
      <c r="N1451">
        <v>88.9</v>
      </c>
      <c r="O1451">
        <v>84</v>
      </c>
      <c r="P1451">
        <v>3.5000000000000004</v>
      </c>
      <c r="Q1451">
        <v>3.5000000000000004</v>
      </c>
      <c r="R1451">
        <v>415.12799999999999</v>
      </c>
      <c r="S1451">
        <v>1.6862288856000003E-2</v>
      </c>
      <c r="T1451" s="4" t="s">
        <v>3515</v>
      </c>
    </row>
    <row r="1452" spans="1:20" x14ac:dyDescent="0.2">
      <c r="A1452" s="4" t="s">
        <v>3108</v>
      </c>
      <c r="B1452" s="4" t="s">
        <v>3504</v>
      </c>
      <c r="C1452" s="4" t="s">
        <v>2096</v>
      </c>
      <c r="D1452" s="4" t="s">
        <v>2236</v>
      </c>
      <c r="E1452" s="4" t="s">
        <v>3520</v>
      </c>
      <c r="F1452" s="4" t="s">
        <v>3505</v>
      </c>
      <c r="G1452" s="4" t="s">
        <v>3108</v>
      </c>
      <c r="H1452" s="4" t="s">
        <v>2183</v>
      </c>
      <c r="I1452" s="4" t="s">
        <v>2100</v>
      </c>
      <c r="J1452" s="4" t="s">
        <v>2783</v>
      </c>
      <c r="K1452">
        <v>8</v>
      </c>
      <c r="L1452">
        <v>2.4384000000000001</v>
      </c>
      <c r="M1452">
        <v>88.9</v>
      </c>
      <c r="N1452">
        <v>88.9</v>
      </c>
      <c r="O1452">
        <v>96.000000000000014</v>
      </c>
      <c r="P1452">
        <v>3.5000000000000004</v>
      </c>
      <c r="Q1452">
        <v>3.5000000000000004</v>
      </c>
      <c r="R1452">
        <v>415.12799999999999</v>
      </c>
      <c r="S1452">
        <v>1.9271187264000005E-2</v>
      </c>
      <c r="T1452" s="4" t="s">
        <v>3506</v>
      </c>
    </row>
    <row r="1453" spans="1:20" x14ac:dyDescent="0.2">
      <c r="A1453" s="4" t="s">
        <v>3108</v>
      </c>
      <c r="B1453" s="4" t="s">
        <v>3504</v>
      </c>
      <c r="C1453" s="4" t="s">
        <v>2096</v>
      </c>
      <c r="D1453" s="4" t="s">
        <v>2236</v>
      </c>
      <c r="E1453" s="4" t="s">
        <v>3521</v>
      </c>
      <c r="F1453" s="4" t="s">
        <v>3505</v>
      </c>
      <c r="G1453" s="4" t="s">
        <v>3108</v>
      </c>
      <c r="H1453" s="4" t="s">
        <v>2183</v>
      </c>
      <c r="I1453" s="4" t="s">
        <v>2100</v>
      </c>
      <c r="J1453" s="4" t="s">
        <v>2783</v>
      </c>
      <c r="K1453">
        <v>9</v>
      </c>
      <c r="L1453">
        <v>2.7431999999999999</v>
      </c>
      <c r="M1453">
        <v>88.9</v>
      </c>
      <c r="N1453">
        <v>88.9</v>
      </c>
      <c r="O1453">
        <v>108</v>
      </c>
      <c r="P1453">
        <v>3.5000000000000004</v>
      </c>
      <c r="Q1453">
        <v>3.5000000000000004</v>
      </c>
      <c r="R1453">
        <v>415.12799999999999</v>
      </c>
      <c r="S1453">
        <v>2.1680085672000003E-2</v>
      </c>
      <c r="T1453" s="4" t="s">
        <v>3506</v>
      </c>
    </row>
    <row r="1454" spans="1:20" x14ac:dyDescent="0.2">
      <c r="A1454" s="4" t="s">
        <v>3108</v>
      </c>
      <c r="B1454" s="4" t="s">
        <v>3522</v>
      </c>
      <c r="C1454" s="4" t="s">
        <v>2096</v>
      </c>
      <c r="D1454" s="4" t="s">
        <v>2236</v>
      </c>
      <c r="E1454" s="4" t="s">
        <v>744</v>
      </c>
      <c r="F1454" s="4" t="s">
        <v>3523</v>
      </c>
      <c r="G1454" s="4" t="s">
        <v>3108</v>
      </c>
      <c r="H1454" s="4" t="s">
        <v>2183</v>
      </c>
      <c r="I1454" s="4" t="s">
        <v>2100</v>
      </c>
      <c r="J1454" s="4" t="s">
        <v>3524</v>
      </c>
      <c r="K1454">
        <v>10</v>
      </c>
      <c r="L1454">
        <v>3.048</v>
      </c>
      <c r="M1454">
        <v>88.9</v>
      </c>
      <c r="N1454">
        <v>139.69999999999999</v>
      </c>
      <c r="O1454">
        <v>120</v>
      </c>
      <c r="P1454">
        <v>3.5000000000000004</v>
      </c>
      <c r="Q1454">
        <v>5.5</v>
      </c>
      <c r="R1454">
        <v>264.17200000000003</v>
      </c>
      <c r="S1454">
        <v>3.7854117840000007E-2</v>
      </c>
      <c r="T1454" s="4" t="s">
        <v>3525</v>
      </c>
    </row>
    <row r="1455" spans="1:20" x14ac:dyDescent="0.2">
      <c r="A1455" s="4" t="s">
        <v>3108</v>
      </c>
      <c r="B1455" s="4" t="s">
        <v>3522</v>
      </c>
      <c r="C1455" s="4" t="s">
        <v>2096</v>
      </c>
      <c r="D1455" s="4" t="s">
        <v>2236</v>
      </c>
      <c r="E1455" s="4" t="s">
        <v>3526</v>
      </c>
      <c r="F1455" s="4" t="s">
        <v>3523</v>
      </c>
      <c r="G1455" s="4" t="s">
        <v>3108</v>
      </c>
      <c r="H1455" s="4" t="s">
        <v>2183</v>
      </c>
      <c r="I1455" s="4" t="s">
        <v>2100</v>
      </c>
      <c r="J1455" s="4" t="s">
        <v>3524</v>
      </c>
      <c r="K1455">
        <v>11</v>
      </c>
      <c r="L1455">
        <v>3.3527999999999998</v>
      </c>
      <c r="M1455">
        <v>88.9</v>
      </c>
      <c r="N1455">
        <v>139.69999999999999</v>
      </c>
      <c r="O1455">
        <v>132</v>
      </c>
      <c r="P1455">
        <v>3.5000000000000004</v>
      </c>
      <c r="Q1455">
        <v>5.5</v>
      </c>
      <c r="R1455">
        <v>264.17200000000003</v>
      </c>
      <c r="S1455">
        <v>4.1639529623999992E-2</v>
      </c>
      <c r="T1455" s="4" t="s">
        <v>3525</v>
      </c>
    </row>
    <row r="1456" spans="1:20" x14ac:dyDescent="0.2">
      <c r="A1456" s="4" t="s">
        <v>3108</v>
      </c>
      <c r="B1456" s="4" t="s">
        <v>3522</v>
      </c>
      <c r="C1456" s="4" t="s">
        <v>2096</v>
      </c>
      <c r="D1456" s="4" t="s">
        <v>2236</v>
      </c>
      <c r="E1456" s="4" t="s">
        <v>746</v>
      </c>
      <c r="F1456" s="4" t="s">
        <v>3523</v>
      </c>
      <c r="G1456" s="4" t="s">
        <v>3108</v>
      </c>
      <c r="H1456" s="4" t="s">
        <v>2183</v>
      </c>
      <c r="I1456" s="4" t="s">
        <v>2100</v>
      </c>
      <c r="J1456" s="4" t="s">
        <v>3524</v>
      </c>
      <c r="K1456">
        <v>12</v>
      </c>
      <c r="L1456">
        <v>3.6576</v>
      </c>
      <c r="M1456">
        <v>88.9</v>
      </c>
      <c r="N1456">
        <v>139.69999999999999</v>
      </c>
      <c r="O1456">
        <v>144</v>
      </c>
      <c r="P1456">
        <v>3.5000000000000004</v>
      </c>
      <c r="Q1456">
        <v>5.5</v>
      </c>
      <c r="R1456">
        <v>264.17200000000003</v>
      </c>
      <c r="S1456">
        <v>4.5424941407999998E-2</v>
      </c>
      <c r="T1456" s="4" t="s">
        <v>3525</v>
      </c>
    </row>
    <row r="1457" spans="1:20" x14ac:dyDescent="0.2">
      <c r="A1457" s="4" t="s">
        <v>3108</v>
      </c>
      <c r="B1457" s="4" t="s">
        <v>3522</v>
      </c>
      <c r="C1457" s="4" t="s">
        <v>2096</v>
      </c>
      <c r="D1457" s="4" t="s">
        <v>2236</v>
      </c>
      <c r="E1457" s="4" t="s">
        <v>3527</v>
      </c>
      <c r="F1457" s="4" t="s">
        <v>3523</v>
      </c>
      <c r="G1457" s="4" t="s">
        <v>3108</v>
      </c>
      <c r="H1457" s="4" t="s">
        <v>2183</v>
      </c>
      <c r="I1457" s="4" t="s">
        <v>2100</v>
      </c>
      <c r="J1457" s="4" t="s">
        <v>3524</v>
      </c>
      <c r="K1457">
        <v>13</v>
      </c>
      <c r="L1457">
        <v>3.9624000000000001</v>
      </c>
      <c r="M1457">
        <v>88.9</v>
      </c>
      <c r="N1457">
        <v>139.69999999999999</v>
      </c>
      <c r="O1457">
        <v>156</v>
      </c>
      <c r="P1457">
        <v>3.5000000000000004</v>
      </c>
      <c r="Q1457">
        <v>5.5</v>
      </c>
      <c r="R1457">
        <v>264.17200000000003</v>
      </c>
      <c r="S1457">
        <v>4.9210353192000005E-2</v>
      </c>
      <c r="T1457" s="4" t="s">
        <v>3525</v>
      </c>
    </row>
    <row r="1458" spans="1:20" x14ac:dyDescent="0.2">
      <c r="A1458" s="4" t="s">
        <v>3108</v>
      </c>
      <c r="B1458" s="4" t="s">
        <v>3522</v>
      </c>
      <c r="C1458" s="4" t="s">
        <v>2096</v>
      </c>
      <c r="D1458" s="4" t="s">
        <v>2236</v>
      </c>
      <c r="E1458" s="4" t="s">
        <v>748</v>
      </c>
      <c r="F1458" s="4" t="s">
        <v>3523</v>
      </c>
      <c r="G1458" s="4" t="s">
        <v>3108</v>
      </c>
      <c r="H1458" s="4" t="s">
        <v>2183</v>
      </c>
      <c r="I1458" s="4" t="s">
        <v>2100</v>
      </c>
      <c r="J1458" s="4" t="s">
        <v>3524</v>
      </c>
      <c r="K1458">
        <v>14</v>
      </c>
      <c r="L1458">
        <v>4.2671999999999999</v>
      </c>
      <c r="M1458">
        <v>88.9</v>
      </c>
      <c r="N1458">
        <v>139.69999999999999</v>
      </c>
      <c r="O1458">
        <v>168</v>
      </c>
      <c r="P1458">
        <v>3.5000000000000004</v>
      </c>
      <c r="Q1458">
        <v>5.5</v>
      </c>
      <c r="R1458">
        <v>264.17200000000003</v>
      </c>
      <c r="S1458">
        <v>5.2995764976000004E-2</v>
      </c>
      <c r="T1458" s="4" t="s">
        <v>3525</v>
      </c>
    </row>
    <row r="1459" spans="1:20" x14ac:dyDescent="0.2">
      <c r="A1459" s="4" t="s">
        <v>3108</v>
      </c>
      <c r="B1459" s="4" t="s">
        <v>3522</v>
      </c>
      <c r="C1459" s="4" t="s">
        <v>2096</v>
      </c>
      <c r="D1459" s="4" t="s">
        <v>2236</v>
      </c>
      <c r="E1459" s="4" t="s">
        <v>3528</v>
      </c>
      <c r="F1459" s="4" t="s">
        <v>3523</v>
      </c>
      <c r="G1459" s="4" t="s">
        <v>3108</v>
      </c>
      <c r="H1459" s="4" t="s">
        <v>2183</v>
      </c>
      <c r="I1459" s="4" t="s">
        <v>2100</v>
      </c>
      <c r="J1459" s="4" t="s">
        <v>3524</v>
      </c>
      <c r="K1459">
        <v>15</v>
      </c>
      <c r="L1459">
        <v>4.5720000000000001</v>
      </c>
      <c r="M1459">
        <v>88.9</v>
      </c>
      <c r="N1459">
        <v>139.69999999999999</v>
      </c>
      <c r="O1459">
        <v>180</v>
      </c>
      <c r="P1459">
        <v>3.5000000000000004</v>
      </c>
      <c r="Q1459">
        <v>5.5</v>
      </c>
      <c r="R1459">
        <v>264.17200000000003</v>
      </c>
      <c r="S1459">
        <v>5.6781176759999996E-2</v>
      </c>
      <c r="T1459" s="4" t="s">
        <v>3525</v>
      </c>
    </row>
    <row r="1460" spans="1:20" x14ac:dyDescent="0.2">
      <c r="A1460" s="4" t="s">
        <v>3108</v>
      </c>
      <c r="B1460" s="4" t="s">
        <v>3522</v>
      </c>
      <c r="C1460" s="4" t="s">
        <v>2096</v>
      </c>
      <c r="D1460" s="4" t="s">
        <v>2236</v>
      </c>
      <c r="E1460" s="4" t="s">
        <v>3529</v>
      </c>
      <c r="F1460" s="4" t="s">
        <v>3523</v>
      </c>
      <c r="G1460" s="4" t="s">
        <v>3108</v>
      </c>
      <c r="H1460" s="4" t="s">
        <v>2183</v>
      </c>
      <c r="I1460" s="4" t="s">
        <v>2100</v>
      </c>
      <c r="J1460" s="4" t="s">
        <v>3524</v>
      </c>
      <c r="K1460">
        <v>16</v>
      </c>
      <c r="L1460">
        <v>4.8768000000000002</v>
      </c>
      <c r="M1460">
        <v>88.9</v>
      </c>
      <c r="N1460">
        <v>139.69999999999999</v>
      </c>
      <c r="O1460">
        <v>192.00000000000003</v>
      </c>
      <c r="P1460">
        <v>3.5000000000000004</v>
      </c>
      <c r="Q1460">
        <v>5.5</v>
      </c>
      <c r="R1460">
        <v>264.17200000000003</v>
      </c>
      <c r="S1460">
        <v>6.0566588544000002E-2</v>
      </c>
      <c r="T1460" s="4" t="s">
        <v>3525</v>
      </c>
    </row>
    <row r="1461" spans="1:20" x14ac:dyDescent="0.2">
      <c r="A1461" s="4" t="s">
        <v>3108</v>
      </c>
      <c r="B1461" s="4" t="s">
        <v>3522</v>
      </c>
      <c r="C1461" s="4" t="s">
        <v>2096</v>
      </c>
      <c r="D1461" s="4" t="s">
        <v>2236</v>
      </c>
      <c r="E1461" s="4" t="s">
        <v>3530</v>
      </c>
      <c r="F1461" s="4" t="s">
        <v>3523</v>
      </c>
      <c r="G1461" s="4" t="s">
        <v>3108</v>
      </c>
      <c r="H1461" s="4" t="s">
        <v>2183</v>
      </c>
      <c r="I1461" s="4" t="s">
        <v>2100</v>
      </c>
      <c r="J1461" s="4" t="s">
        <v>3524</v>
      </c>
      <c r="K1461">
        <v>17</v>
      </c>
      <c r="L1461">
        <v>5.1816000000000004</v>
      </c>
      <c r="M1461">
        <v>88.9</v>
      </c>
      <c r="N1461">
        <v>139.69999999999999</v>
      </c>
      <c r="O1461">
        <v>204.00000000000003</v>
      </c>
      <c r="P1461">
        <v>3.5000000000000004</v>
      </c>
      <c r="Q1461">
        <v>5.5</v>
      </c>
      <c r="R1461">
        <v>264.17200000000003</v>
      </c>
      <c r="S1461">
        <v>6.4352000328000009E-2</v>
      </c>
      <c r="T1461" s="4" t="s">
        <v>3525</v>
      </c>
    </row>
    <row r="1462" spans="1:20" x14ac:dyDescent="0.2">
      <c r="A1462" s="4" t="s">
        <v>3108</v>
      </c>
      <c r="B1462" s="4" t="s">
        <v>3522</v>
      </c>
      <c r="C1462" s="4" t="s">
        <v>2096</v>
      </c>
      <c r="D1462" s="4" t="s">
        <v>2236</v>
      </c>
      <c r="E1462" s="4" t="s">
        <v>750</v>
      </c>
      <c r="F1462" s="4" t="s">
        <v>3523</v>
      </c>
      <c r="G1462" s="4" t="s">
        <v>3108</v>
      </c>
      <c r="H1462" s="4" t="s">
        <v>2183</v>
      </c>
      <c r="I1462" s="4" t="s">
        <v>2100</v>
      </c>
      <c r="J1462" s="4" t="s">
        <v>3524</v>
      </c>
      <c r="K1462">
        <v>18</v>
      </c>
      <c r="L1462">
        <v>5.4863999999999997</v>
      </c>
      <c r="M1462">
        <v>88.9</v>
      </c>
      <c r="N1462">
        <v>139.69999999999999</v>
      </c>
      <c r="O1462">
        <v>216</v>
      </c>
      <c r="P1462">
        <v>3.5000000000000004</v>
      </c>
      <c r="Q1462">
        <v>5.5</v>
      </c>
      <c r="R1462">
        <v>264.17200000000003</v>
      </c>
      <c r="S1462">
        <v>6.8137412112000001E-2</v>
      </c>
      <c r="T1462" s="4" t="s">
        <v>3525</v>
      </c>
    </row>
    <row r="1463" spans="1:20" x14ac:dyDescent="0.2">
      <c r="A1463" s="4" t="s">
        <v>3108</v>
      </c>
      <c r="B1463" s="4" t="s">
        <v>3522</v>
      </c>
      <c r="C1463" s="4" t="s">
        <v>2096</v>
      </c>
      <c r="D1463" s="4" t="s">
        <v>2236</v>
      </c>
      <c r="E1463" s="4" t="s">
        <v>3531</v>
      </c>
      <c r="F1463" s="4" t="s">
        <v>3523</v>
      </c>
      <c r="G1463" s="4" t="s">
        <v>3108</v>
      </c>
      <c r="H1463" s="4" t="s">
        <v>2183</v>
      </c>
      <c r="I1463" s="4" t="s">
        <v>2100</v>
      </c>
      <c r="J1463" s="4" t="s">
        <v>3524</v>
      </c>
      <c r="K1463">
        <v>19</v>
      </c>
      <c r="L1463">
        <v>5.7911999999999999</v>
      </c>
      <c r="M1463">
        <v>88.9</v>
      </c>
      <c r="N1463">
        <v>139.69999999999999</v>
      </c>
      <c r="O1463">
        <v>228</v>
      </c>
      <c r="P1463">
        <v>3.5000000000000004</v>
      </c>
      <c r="Q1463">
        <v>5.5</v>
      </c>
      <c r="R1463">
        <v>264.17200000000003</v>
      </c>
      <c r="S1463">
        <v>7.1922823895999979E-2</v>
      </c>
      <c r="T1463" s="4" t="s">
        <v>3525</v>
      </c>
    </row>
    <row r="1464" spans="1:20" x14ac:dyDescent="0.2">
      <c r="A1464" s="4" t="s">
        <v>3108</v>
      </c>
      <c r="B1464" s="4" t="s">
        <v>3522</v>
      </c>
      <c r="C1464" s="4" t="s">
        <v>2096</v>
      </c>
      <c r="D1464" s="4" t="s">
        <v>2236</v>
      </c>
      <c r="E1464" s="4" t="s">
        <v>1939</v>
      </c>
      <c r="F1464" s="4" t="s">
        <v>3523</v>
      </c>
      <c r="G1464" s="4" t="s">
        <v>3108</v>
      </c>
      <c r="H1464" s="4" t="s">
        <v>2183</v>
      </c>
      <c r="I1464" s="4" t="s">
        <v>2100</v>
      </c>
      <c r="J1464" s="4" t="s">
        <v>3524</v>
      </c>
      <c r="K1464">
        <v>2</v>
      </c>
      <c r="L1464">
        <v>0.60960000000000003</v>
      </c>
      <c r="M1464">
        <v>88.9</v>
      </c>
      <c r="N1464">
        <v>139.69999999999999</v>
      </c>
      <c r="O1464">
        <v>24.000000000000004</v>
      </c>
      <c r="P1464">
        <v>3.5000000000000004</v>
      </c>
      <c r="Q1464">
        <v>5.5</v>
      </c>
      <c r="R1464">
        <v>264.17200000000003</v>
      </c>
      <c r="S1464">
        <v>7.5708235680000003E-3</v>
      </c>
      <c r="T1464" s="4" t="s">
        <v>3525</v>
      </c>
    </row>
    <row r="1465" spans="1:20" x14ac:dyDescent="0.2">
      <c r="A1465" s="4" t="s">
        <v>3108</v>
      </c>
      <c r="B1465" s="4" t="s">
        <v>3522</v>
      </c>
      <c r="C1465" s="4" t="s">
        <v>2096</v>
      </c>
      <c r="D1465" s="4" t="s">
        <v>2236</v>
      </c>
      <c r="E1465" s="4" t="s">
        <v>752</v>
      </c>
      <c r="F1465" s="4" t="s">
        <v>3523</v>
      </c>
      <c r="G1465" s="4" t="s">
        <v>3108</v>
      </c>
      <c r="H1465" s="4" t="s">
        <v>2183</v>
      </c>
      <c r="I1465" s="4" t="s">
        <v>2100</v>
      </c>
      <c r="J1465" s="4" t="s">
        <v>3524</v>
      </c>
      <c r="K1465">
        <v>20</v>
      </c>
      <c r="L1465">
        <v>6.0960000000000001</v>
      </c>
      <c r="M1465">
        <v>88.9</v>
      </c>
      <c r="N1465">
        <v>139.69999999999999</v>
      </c>
      <c r="O1465">
        <v>240</v>
      </c>
      <c r="P1465">
        <v>3.5000000000000004</v>
      </c>
      <c r="Q1465">
        <v>5.5</v>
      </c>
      <c r="R1465">
        <v>264.17200000000003</v>
      </c>
      <c r="S1465">
        <v>7.5708235680000013E-2</v>
      </c>
      <c r="T1465" s="4" t="s">
        <v>3525</v>
      </c>
    </row>
    <row r="1466" spans="1:20" x14ac:dyDescent="0.2">
      <c r="A1466" s="4" t="s">
        <v>3108</v>
      </c>
      <c r="B1466" s="4" t="s">
        <v>3522</v>
      </c>
      <c r="C1466" s="4" t="s">
        <v>2096</v>
      </c>
      <c r="D1466" s="4" t="s">
        <v>2236</v>
      </c>
      <c r="E1466" s="4" t="s">
        <v>3532</v>
      </c>
      <c r="F1466" s="4" t="s">
        <v>3523</v>
      </c>
      <c r="G1466" s="4" t="s">
        <v>3108</v>
      </c>
      <c r="H1466" s="4" t="s">
        <v>2183</v>
      </c>
      <c r="I1466" s="4" t="s">
        <v>2100</v>
      </c>
      <c r="J1466" s="4" t="s">
        <v>3524</v>
      </c>
      <c r="K1466">
        <v>21</v>
      </c>
      <c r="L1466">
        <v>6.4008000000000003</v>
      </c>
      <c r="M1466">
        <v>88.9</v>
      </c>
      <c r="N1466">
        <v>139.69999999999999</v>
      </c>
      <c r="O1466">
        <v>252.00000000000003</v>
      </c>
      <c r="P1466">
        <v>3.5000000000000004</v>
      </c>
      <c r="Q1466">
        <v>5.5</v>
      </c>
      <c r="R1466">
        <v>264.17200000000003</v>
      </c>
      <c r="S1466">
        <v>7.9493647464000006E-2</v>
      </c>
      <c r="T1466" s="4" t="s">
        <v>3525</v>
      </c>
    </row>
    <row r="1467" spans="1:20" x14ac:dyDescent="0.2">
      <c r="A1467" s="4" t="s">
        <v>3108</v>
      </c>
      <c r="B1467" s="4" t="s">
        <v>3522</v>
      </c>
      <c r="C1467" s="4" t="s">
        <v>2096</v>
      </c>
      <c r="D1467" s="4" t="s">
        <v>2236</v>
      </c>
      <c r="E1467" s="4" t="s">
        <v>754</v>
      </c>
      <c r="F1467" s="4" t="s">
        <v>3523</v>
      </c>
      <c r="G1467" s="4" t="s">
        <v>3108</v>
      </c>
      <c r="H1467" s="4" t="s">
        <v>2183</v>
      </c>
      <c r="I1467" s="4" t="s">
        <v>2100</v>
      </c>
      <c r="J1467" s="4" t="s">
        <v>3524</v>
      </c>
      <c r="K1467">
        <v>22</v>
      </c>
      <c r="L1467">
        <v>6.7055999999999996</v>
      </c>
      <c r="M1467">
        <v>88.9</v>
      </c>
      <c r="N1467">
        <v>139.69999999999999</v>
      </c>
      <c r="O1467">
        <v>264</v>
      </c>
      <c r="P1467">
        <v>3.5000000000000004</v>
      </c>
      <c r="Q1467">
        <v>5.5</v>
      </c>
      <c r="R1467">
        <v>264.17200000000003</v>
      </c>
      <c r="S1467">
        <v>8.3279059247999984E-2</v>
      </c>
      <c r="T1467" s="4" t="s">
        <v>3525</v>
      </c>
    </row>
    <row r="1468" spans="1:20" x14ac:dyDescent="0.2">
      <c r="A1468" s="4" t="s">
        <v>3108</v>
      </c>
      <c r="B1468" s="4" t="s">
        <v>3522</v>
      </c>
      <c r="C1468" s="4" t="s">
        <v>2286</v>
      </c>
      <c r="D1468" s="4" t="s">
        <v>2236</v>
      </c>
      <c r="E1468" s="4" t="s">
        <v>3533</v>
      </c>
      <c r="F1468" s="4" t="s">
        <v>3523</v>
      </c>
      <c r="G1468" s="4" t="s">
        <v>3108</v>
      </c>
      <c r="H1468" s="4" t="s">
        <v>2183</v>
      </c>
      <c r="I1468" s="4" t="s">
        <v>2100</v>
      </c>
      <c r="J1468" s="4" t="s">
        <v>3524</v>
      </c>
      <c r="K1468">
        <v>3</v>
      </c>
      <c r="L1468">
        <v>0.91439999999999999</v>
      </c>
      <c r="M1468">
        <v>88.9</v>
      </c>
      <c r="N1468">
        <v>139.69999999999999</v>
      </c>
      <c r="O1468">
        <v>36</v>
      </c>
      <c r="P1468">
        <v>3.5000000000000004</v>
      </c>
      <c r="Q1468">
        <v>5.5</v>
      </c>
      <c r="R1468">
        <v>264.17200000000003</v>
      </c>
      <c r="S1468">
        <v>1.1356235352E-2</v>
      </c>
      <c r="T1468" s="4" t="s">
        <v>3534</v>
      </c>
    </row>
    <row r="1469" spans="1:20" x14ac:dyDescent="0.2">
      <c r="A1469" s="4" t="s">
        <v>3108</v>
      </c>
      <c r="B1469" s="4" t="s">
        <v>3522</v>
      </c>
      <c r="C1469" s="4" t="s">
        <v>2286</v>
      </c>
      <c r="D1469" s="4" t="s">
        <v>2236</v>
      </c>
      <c r="E1469" s="4" t="s">
        <v>1941</v>
      </c>
      <c r="F1469" s="4" t="s">
        <v>3523</v>
      </c>
      <c r="G1469" s="4" t="s">
        <v>3108</v>
      </c>
      <c r="H1469" s="4" t="s">
        <v>2183</v>
      </c>
      <c r="I1469" s="4" t="s">
        <v>2100</v>
      </c>
      <c r="J1469" s="4" t="s">
        <v>3524</v>
      </c>
      <c r="K1469">
        <v>4</v>
      </c>
      <c r="L1469">
        <v>1.2192000000000001</v>
      </c>
      <c r="M1469">
        <v>88.9</v>
      </c>
      <c r="N1469">
        <v>139.69999999999999</v>
      </c>
      <c r="O1469">
        <v>48.000000000000007</v>
      </c>
      <c r="P1469">
        <v>3.5000000000000004</v>
      </c>
      <c r="Q1469">
        <v>5.5</v>
      </c>
      <c r="R1469">
        <v>264.17200000000003</v>
      </c>
      <c r="S1469">
        <v>1.5141647136000001E-2</v>
      </c>
      <c r="T1469" s="4" t="s">
        <v>3534</v>
      </c>
    </row>
    <row r="1470" spans="1:20" x14ac:dyDescent="0.2">
      <c r="A1470" s="4" t="s">
        <v>3108</v>
      </c>
      <c r="B1470" s="4" t="s">
        <v>3522</v>
      </c>
      <c r="C1470" s="4" t="s">
        <v>2286</v>
      </c>
      <c r="D1470" s="4" t="s">
        <v>2236</v>
      </c>
      <c r="E1470" s="4" t="s">
        <v>1943</v>
      </c>
      <c r="F1470" s="4" t="s">
        <v>3523</v>
      </c>
      <c r="G1470" s="4" t="s">
        <v>3108</v>
      </c>
      <c r="H1470" s="4" t="s">
        <v>2183</v>
      </c>
      <c r="I1470" s="4" t="s">
        <v>2100</v>
      </c>
      <c r="J1470" s="4" t="s">
        <v>3524</v>
      </c>
      <c r="K1470">
        <v>5</v>
      </c>
      <c r="L1470">
        <v>1.524</v>
      </c>
      <c r="M1470">
        <v>88.9</v>
      </c>
      <c r="N1470">
        <v>139.69999999999999</v>
      </c>
      <c r="O1470">
        <v>60</v>
      </c>
      <c r="P1470">
        <v>3.5000000000000004</v>
      </c>
      <c r="Q1470">
        <v>5.5</v>
      </c>
      <c r="R1470">
        <v>264.17200000000003</v>
      </c>
      <c r="S1470">
        <v>1.8927058920000003E-2</v>
      </c>
      <c r="T1470" s="4" t="s">
        <v>3534</v>
      </c>
    </row>
    <row r="1471" spans="1:20" x14ac:dyDescent="0.2">
      <c r="A1471" s="4" t="s">
        <v>3108</v>
      </c>
      <c r="B1471" s="4" t="s">
        <v>3522</v>
      </c>
      <c r="C1471" s="4" t="s">
        <v>2286</v>
      </c>
      <c r="D1471" s="4" t="s">
        <v>2236</v>
      </c>
      <c r="E1471" s="4" t="s">
        <v>1945</v>
      </c>
      <c r="F1471" s="4" t="s">
        <v>3523</v>
      </c>
      <c r="G1471" s="4" t="s">
        <v>3108</v>
      </c>
      <c r="H1471" s="4" t="s">
        <v>2183</v>
      </c>
      <c r="I1471" s="4" t="s">
        <v>2100</v>
      </c>
      <c r="J1471" s="4" t="s">
        <v>3524</v>
      </c>
      <c r="K1471">
        <v>6</v>
      </c>
      <c r="L1471">
        <v>1.8288</v>
      </c>
      <c r="M1471">
        <v>88.9</v>
      </c>
      <c r="N1471">
        <v>139.69999999999999</v>
      </c>
      <c r="O1471">
        <v>72</v>
      </c>
      <c r="P1471">
        <v>3.5000000000000004</v>
      </c>
      <c r="Q1471">
        <v>5.5</v>
      </c>
      <c r="R1471">
        <v>264.17200000000003</v>
      </c>
      <c r="S1471">
        <v>2.2712470703999999E-2</v>
      </c>
      <c r="T1471" s="4" t="s">
        <v>3534</v>
      </c>
    </row>
    <row r="1472" spans="1:20" x14ac:dyDescent="0.2">
      <c r="A1472" s="4" t="s">
        <v>3108</v>
      </c>
      <c r="B1472" s="4" t="s">
        <v>3522</v>
      </c>
      <c r="C1472" s="4" t="s">
        <v>2286</v>
      </c>
      <c r="D1472" s="4" t="s">
        <v>2236</v>
      </c>
      <c r="E1472" s="4" t="s">
        <v>756</v>
      </c>
      <c r="F1472" s="4" t="s">
        <v>3523</v>
      </c>
      <c r="G1472" s="4" t="s">
        <v>3108</v>
      </c>
      <c r="H1472" s="4" t="s">
        <v>2183</v>
      </c>
      <c r="I1472" s="4" t="s">
        <v>2100</v>
      </c>
      <c r="J1472" s="4" t="s">
        <v>3524</v>
      </c>
      <c r="K1472">
        <v>7</v>
      </c>
      <c r="L1472">
        <v>2.1335999999999999</v>
      </c>
      <c r="M1472">
        <v>88.9</v>
      </c>
      <c r="N1472">
        <v>139.69999999999999</v>
      </c>
      <c r="O1472">
        <v>84</v>
      </c>
      <c r="P1472">
        <v>3.5000000000000004</v>
      </c>
      <c r="Q1472">
        <v>5.5</v>
      </c>
      <c r="R1472">
        <v>264.17200000000003</v>
      </c>
      <c r="S1472">
        <v>2.6497882488000002E-2</v>
      </c>
      <c r="T1472" s="4" t="s">
        <v>3534</v>
      </c>
    </row>
    <row r="1473" spans="1:20" x14ac:dyDescent="0.2">
      <c r="A1473" s="4" t="s">
        <v>3108</v>
      </c>
      <c r="B1473" s="4" t="s">
        <v>3522</v>
      </c>
      <c r="C1473" s="4" t="s">
        <v>2096</v>
      </c>
      <c r="D1473" s="4" t="s">
        <v>2236</v>
      </c>
      <c r="E1473" s="4" t="s">
        <v>3535</v>
      </c>
      <c r="F1473" s="4" t="s">
        <v>3523</v>
      </c>
      <c r="G1473" s="4" t="s">
        <v>3108</v>
      </c>
      <c r="H1473" s="4" t="s">
        <v>2183</v>
      </c>
      <c r="I1473" s="4" t="s">
        <v>2100</v>
      </c>
      <c r="J1473" s="4" t="s">
        <v>3524</v>
      </c>
      <c r="K1473">
        <v>8</v>
      </c>
      <c r="L1473">
        <v>2.4384000000000001</v>
      </c>
      <c r="M1473">
        <v>88.9</v>
      </c>
      <c r="N1473">
        <v>139.69999999999999</v>
      </c>
      <c r="O1473">
        <v>96.000000000000014</v>
      </c>
      <c r="P1473">
        <v>3.5000000000000004</v>
      </c>
      <c r="Q1473">
        <v>5.5</v>
      </c>
      <c r="R1473">
        <v>264.17200000000003</v>
      </c>
      <c r="S1473">
        <v>3.0283294272000001E-2</v>
      </c>
      <c r="T1473" s="4" t="s">
        <v>3525</v>
      </c>
    </row>
    <row r="1474" spans="1:20" x14ac:dyDescent="0.2">
      <c r="A1474" s="4" t="s">
        <v>3108</v>
      </c>
      <c r="B1474" s="4" t="s">
        <v>3522</v>
      </c>
      <c r="C1474" s="4" t="s">
        <v>2096</v>
      </c>
      <c r="D1474" s="4" t="s">
        <v>2236</v>
      </c>
      <c r="E1474" s="4" t="s">
        <v>3536</v>
      </c>
      <c r="F1474" s="4" t="s">
        <v>3523</v>
      </c>
      <c r="G1474" s="4" t="s">
        <v>3108</v>
      </c>
      <c r="H1474" s="4" t="s">
        <v>2183</v>
      </c>
      <c r="I1474" s="4" t="s">
        <v>2100</v>
      </c>
      <c r="J1474" s="4" t="s">
        <v>3524</v>
      </c>
      <c r="K1474">
        <v>9</v>
      </c>
      <c r="L1474">
        <v>2.7431999999999999</v>
      </c>
      <c r="M1474">
        <v>88.9</v>
      </c>
      <c r="N1474">
        <v>139.69999999999999</v>
      </c>
      <c r="O1474">
        <v>108</v>
      </c>
      <c r="P1474">
        <v>3.5000000000000004</v>
      </c>
      <c r="Q1474">
        <v>5.5</v>
      </c>
      <c r="R1474">
        <v>264.17200000000003</v>
      </c>
      <c r="S1474">
        <v>3.4068706056E-2</v>
      </c>
      <c r="T1474" s="4" t="s">
        <v>3525</v>
      </c>
    </row>
    <row r="1475" spans="1:20" x14ac:dyDescent="0.2">
      <c r="A1475" s="4" t="s">
        <v>3108</v>
      </c>
      <c r="B1475" s="4" t="s">
        <v>3537</v>
      </c>
      <c r="C1475" s="4" t="s">
        <v>2096</v>
      </c>
      <c r="D1475" s="4" t="s">
        <v>2236</v>
      </c>
      <c r="E1475" s="4" t="s">
        <v>758</v>
      </c>
      <c r="F1475" s="4" t="s">
        <v>3538</v>
      </c>
      <c r="G1475" s="4" t="s">
        <v>3108</v>
      </c>
      <c r="H1475" s="4" t="s">
        <v>2183</v>
      </c>
      <c r="I1475" s="4" t="s">
        <v>2100</v>
      </c>
      <c r="J1475" s="4" t="s">
        <v>2805</v>
      </c>
      <c r="K1475">
        <v>10</v>
      </c>
      <c r="L1475">
        <v>3.048</v>
      </c>
      <c r="M1475">
        <v>88.9</v>
      </c>
      <c r="N1475">
        <v>184.15</v>
      </c>
      <c r="O1475">
        <v>120</v>
      </c>
      <c r="P1475">
        <v>3.5000000000000004</v>
      </c>
      <c r="Q1475">
        <v>7.2500000000000009</v>
      </c>
      <c r="R1475">
        <v>200.40600000000001</v>
      </c>
      <c r="S1475">
        <v>4.9898609880000014E-2</v>
      </c>
      <c r="T1475" s="4" t="s">
        <v>3539</v>
      </c>
    </row>
    <row r="1476" spans="1:20" x14ac:dyDescent="0.2">
      <c r="A1476" s="4" t="s">
        <v>3108</v>
      </c>
      <c r="B1476" s="4" t="s">
        <v>3537</v>
      </c>
      <c r="C1476" s="4" t="s">
        <v>2096</v>
      </c>
      <c r="D1476" s="4" t="s">
        <v>2236</v>
      </c>
      <c r="E1476" s="4" t="s">
        <v>3540</v>
      </c>
      <c r="F1476" s="4" t="s">
        <v>3538</v>
      </c>
      <c r="G1476" s="4" t="s">
        <v>3108</v>
      </c>
      <c r="H1476" s="4" t="s">
        <v>2183</v>
      </c>
      <c r="I1476" s="4" t="s">
        <v>2100</v>
      </c>
      <c r="J1476" s="4" t="s">
        <v>2805</v>
      </c>
      <c r="K1476">
        <v>11</v>
      </c>
      <c r="L1476">
        <v>3.3527999999999998</v>
      </c>
      <c r="M1476">
        <v>88.9</v>
      </c>
      <c r="N1476">
        <v>184.15</v>
      </c>
      <c r="O1476">
        <v>132</v>
      </c>
      <c r="P1476">
        <v>3.5000000000000004</v>
      </c>
      <c r="Q1476">
        <v>7.2500000000000009</v>
      </c>
      <c r="R1476">
        <v>200.40600000000001</v>
      </c>
      <c r="S1476">
        <v>5.4888470868E-2</v>
      </c>
      <c r="T1476" s="4" t="s">
        <v>3539</v>
      </c>
    </row>
    <row r="1477" spans="1:20" x14ac:dyDescent="0.2">
      <c r="A1477" s="4" t="s">
        <v>3108</v>
      </c>
      <c r="B1477" s="4" t="s">
        <v>3537</v>
      </c>
      <c r="C1477" s="4" t="s">
        <v>2096</v>
      </c>
      <c r="D1477" s="4" t="s">
        <v>2236</v>
      </c>
      <c r="E1477" s="4" t="s">
        <v>760</v>
      </c>
      <c r="F1477" s="4" t="s">
        <v>3538</v>
      </c>
      <c r="G1477" s="4" t="s">
        <v>3108</v>
      </c>
      <c r="H1477" s="4" t="s">
        <v>2183</v>
      </c>
      <c r="I1477" s="4" t="s">
        <v>2100</v>
      </c>
      <c r="J1477" s="4" t="s">
        <v>2805</v>
      </c>
      <c r="K1477">
        <v>12</v>
      </c>
      <c r="L1477">
        <v>3.6576</v>
      </c>
      <c r="M1477">
        <v>88.9</v>
      </c>
      <c r="N1477">
        <v>184.15</v>
      </c>
      <c r="O1477">
        <v>144</v>
      </c>
      <c r="P1477">
        <v>3.5000000000000004</v>
      </c>
      <c r="Q1477">
        <v>7.2500000000000009</v>
      </c>
      <c r="R1477">
        <v>200.40600000000001</v>
      </c>
      <c r="S1477">
        <v>5.9878331856E-2</v>
      </c>
      <c r="T1477" s="4" t="s">
        <v>3539</v>
      </c>
    </row>
    <row r="1478" spans="1:20" x14ac:dyDescent="0.2">
      <c r="A1478" s="4" t="s">
        <v>3108</v>
      </c>
      <c r="B1478" s="4" t="s">
        <v>3537</v>
      </c>
      <c r="C1478" s="4" t="s">
        <v>2096</v>
      </c>
      <c r="D1478" s="4" t="s">
        <v>2236</v>
      </c>
      <c r="E1478" s="4" t="s">
        <v>3541</v>
      </c>
      <c r="F1478" s="4" t="s">
        <v>3538</v>
      </c>
      <c r="G1478" s="4" t="s">
        <v>3108</v>
      </c>
      <c r="H1478" s="4" t="s">
        <v>2183</v>
      </c>
      <c r="I1478" s="4" t="s">
        <v>2100</v>
      </c>
      <c r="J1478" s="4" t="s">
        <v>2805</v>
      </c>
      <c r="K1478">
        <v>13</v>
      </c>
      <c r="L1478">
        <v>3.9624000000000001</v>
      </c>
      <c r="M1478">
        <v>88.9</v>
      </c>
      <c r="N1478">
        <v>184.15</v>
      </c>
      <c r="O1478">
        <v>156</v>
      </c>
      <c r="P1478">
        <v>3.5000000000000004</v>
      </c>
      <c r="Q1478">
        <v>7.2500000000000009</v>
      </c>
      <c r="R1478">
        <v>200.40600000000001</v>
      </c>
      <c r="S1478">
        <v>6.4868192844000014E-2</v>
      </c>
      <c r="T1478" s="4" t="s">
        <v>3539</v>
      </c>
    </row>
    <row r="1479" spans="1:20" x14ac:dyDescent="0.2">
      <c r="A1479" s="4" t="s">
        <v>3108</v>
      </c>
      <c r="B1479" s="4" t="s">
        <v>3537</v>
      </c>
      <c r="C1479" s="4" t="s">
        <v>2096</v>
      </c>
      <c r="D1479" s="4" t="s">
        <v>2236</v>
      </c>
      <c r="E1479" s="4" t="s">
        <v>762</v>
      </c>
      <c r="F1479" s="4" t="s">
        <v>3538</v>
      </c>
      <c r="G1479" s="4" t="s">
        <v>3108</v>
      </c>
      <c r="H1479" s="4" t="s">
        <v>2183</v>
      </c>
      <c r="I1479" s="4" t="s">
        <v>2100</v>
      </c>
      <c r="J1479" s="4" t="s">
        <v>2805</v>
      </c>
      <c r="K1479">
        <v>14</v>
      </c>
      <c r="L1479">
        <v>4.2671999999999999</v>
      </c>
      <c r="M1479">
        <v>88.9</v>
      </c>
      <c r="N1479">
        <v>184.15</v>
      </c>
      <c r="O1479">
        <v>168</v>
      </c>
      <c r="P1479">
        <v>3.5000000000000004</v>
      </c>
      <c r="Q1479">
        <v>7.2500000000000009</v>
      </c>
      <c r="R1479">
        <v>200.40600000000001</v>
      </c>
      <c r="S1479">
        <v>6.9858053832000014E-2</v>
      </c>
      <c r="T1479" s="4" t="s">
        <v>3539</v>
      </c>
    </row>
    <row r="1480" spans="1:20" x14ac:dyDescent="0.2">
      <c r="A1480" s="4" t="s">
        <v>3108</v>
      </c>
      <c r="B1480" s="4" t="s">
        <v>3537</v>
      </c>
      <c r="C1480" s="4" t="s">
        <v>2096</v>
      </c>
      <c r="D1480" s="4" t="s">
        <v>2236</v>
      </c>
      <c r="E1480" s="4" t="s">
        <v>3542</v>
      </c>
      <c r="F1480" s="4" t="s">
        <v>3538</v>
      </c>
      <c r="G1480" s="4" t="s">
        <v>3108</v>
      </c>
      <c r="H1480" s="4" t="s">
        <v>2183</v>
      </c>
      <c r="I1480" s="4" t="s">
        <v>2100</v>
      </c>
      <c r="J1480" s="4" t="s">
        <v>2805</v>
      </c>
      <c r="K1480">
        <v>15</v>
      </c>
      <c r="L1480">
        <v>4.5720000000000001</v>
      </c>
      <c r="M1480">
        <v>88.9</v>
      </c>
      <c r="N1480">
        <v>184.15</v>
      </c>
      <c r="O1480">
        <v>180</v>
      </c>
      <c r="P1480">
        <v>3.5000000000000004</v>
      </c>
      <c r="Q1480">
        <v>7.2500000000000009</v>
      </c>
      <c r="R1480">
        <v>200.40600000000001</v>
      </c>
      <c r="S1480">
        <v>7.484791482E-2</v>
      </c>
      <c r="T1480" s="4" t="s">
        <v>3539</v>
      </c>
    </row>
    <row r="1481" spans="1:20" x14ac:dyDescent="0.2">
      <c r="A1481" s="4" t="s">
        <v>3108</v>
      </c>
      <c r="B1481" s="4" t="s">
        <v>3537</v>
      </c>
      <c r="C1481" s="4" t="s">
        <v>2096</v>
      </c>
      <c r="D1481" s="4" t="s">
        <v>2236</v>
      </c>
      <c r="E1481" s="4" t="s">
        <v>764</v>
      </c>
      <c r="F1481" s="4" t="s">
        <v>3538</v>
      </c>
      <c r="G1481" s="4" t="s">
        <v>3108</v>
      </c>
      <c r="H1481" s="4" t="s">
        <v>2183</v>
      </c>
      <c r="I1481" s="4" t="s">
        <v>2100</v>
      </c>
      <c r="J1481" s="4" t="s">
        <v>2805</v>
      </c>
      <c r="K1481">
        <v>16</v>
      </c>
      <c r="L1481">
        <v>4.8768000000000002</v>
      </c>
      <c r="M1481">
        <v>88.9</v>
      </c>
      <c r="N1481">
        <v>184.15</v>
      </c>
      <c r="O1481">
        <v>192.00000000000003</v>
      </c>
      <c r="P1481">
        <v>3.5000000000000004</v>
      </c>
      <c r="Q1481">
        <v>7.2500000000000009</v>
      </c>
      <c r="R1481">
        <v>200.40600000000001</v>
      </c>
      <c r="S1481">
        <v>7.9837775808000014E-2</v>
      </c>
      <c r="T1481" s="4" t="s">
        <v>3539</v>
      </c>
    </row>
    <row r="1482" spans="1:20" x14ac:dyDescent="0.2">
      <c r="A1482" s="4" t="s">
        <v>3108</v>
      </c>
      <c r="B1482" s="4" t="s">
        <v>3537</v>
      </c>
      <c r="C1482" s="4" t="s">
        <v>2096</v>
      </c>
      <c r="D1482" s="4" t="s">
        <v>2236</v>
      </c>
      <c r="E1482" s="4" t="s">
        <v>3543</v>
      </c>
      <c r="F1482" s="4" t="s">
        <v>3538</v>
      </c>
      <c r="G1482" s="4" t="s">
        <v>3108</v>
      </c>
      <c r="H1482" s="4" t="s">
        <v>2183</v>
      </c>
      <c r="I1482" s="4" t="s">
        <v>2100</v>
      </c>
      <c r="J1482" s="4" t="s">
        <v>2805</v>
      </c>
      <c r="K1482">
        <v>17</v>
      </c>
      <c r="L1482">
        <v>5.1816000000000004</v>
      </c>
      <c r="M1482">
        <v>88.9</v>
      </c>
      <c r="N1482">
        <v>184.15</v>
      </c>
      <c r="O1482">
        <v>204.00000000000003</v>
      </c>
      <c r="P1482">
        <v>3.5000000000000004</v>
      </c>
      <c r="Q1482">
        <v>7.2500000000000009</v>
      </c>
      <c r="R1482">
        <v>200.40600000000001</v>
      </c>
      <c r="S1482">
        <v>8.4827636796000028E-2</v>
      </c>
      <c r="T1482" s="4" t="s">
        <v>3539</v>
      </c>
    </row>
    <row r="1483" spans="1:20" x14ac:dyDescent="0.2">
      <c r="A1483" s="4" t="s">
        <v>3108</v>
      </c>
      <c r="B1483" s="4" t="s">
        <v>3537</v>
      </c>
      <c r="C1483" s="4" t="s">
        <v>2096</v>
      </c>
      <c r="D1483" s="4" t="s">
        <v>2236</v>
      </c>
      <c r="E1483" s="4" t="s">
        <v>766</v>
      </c>
      <c r="F1483" s="4" t="s">
        <v>3538</v>
      </c>
      <c r="G1483" s="4" t="s">
        <v>3108</v>
      </c>
      <c r="H1483" s="4" t="s">
        <v>2183</v>
      </c>
      <c r="I1483" s="4" t="s">
        <v>2100</v>
      </c>
      <c r="J1483" s="4" t="s">
        <v>2805</v>
      </c>
      <c r="K1483">
        <v>18</v>
      </c>
      <c r="L1483">
        <v>5.4863999999999997</v>
      </c>
      <c r="M1483">
        <v>88.9</v>
      </c>
      <c r="N1483">
        <v>184.15</v>
      </c>
      <c r="O1483">
        <v>216</v>
      </c>
      <c r="P1483">
        <v>3.5000000000000004</v>
      </c>
      <c r="Q1483">
        <v>7.2500000000000009</v>
      </c>
      <c r="R1483">
        <v>200.40600000000001</v>
      </c>
      <c r="S1483">
        <v>8.9817497784000014E-2</v>
      </c>
      <c r="T1483" s="4" t="s">
        <v>3539</v>
      </c>
    </row>
    <row r="1484" spans="1:20" x14ac:dyDescent="0.2">
      <c r="A1484" s="4" t="s">
        <v>3108</v>
      </c>
      <c r="B1484" s="4" t="s">
        <v>3537</v>
      </c>
      <c r="C1484" s="4" t="s">
        <v>2096</v>
      </c>
      <c r="D1484" s="4" t="s">
        <v>2236</v>
      </c>
      <c r="E1484" s="4" t="s">
        <v>3544</v>
      </c>
      <c r="F1484" s="4" t="s">
        <v>3538</v>
      </c>
      <c r="G1484" s="4" t="s">
        <v>3108</v>
      </c>
      <c r="H1484" s="4" t="s">
        <v>2183</v>
      </c>
      <c r="I1484" s="4" t="s">
        <v>2100</v>
      </c>
      <c r="J1484" s="4" t="s">
        <v>2805</v>
      </c>
      <c r="K1484">
        <v>19</v>
      </c>
      <c r="L1484">
        <v>5.7911999999999999</v>
      </c>
      <c r="M1484">
        <v>88.9</v>
      </c>
      <c r="N1484">
        <v>184.15</v>
      </c>
      <c r="O1484">
        <v>228</v>
      </c>
      <c r="P1484">
        <v>3.5000000000000004</v>
      </c>
      <c r="Q1484">
        <v>7.2500000000000009</v>
      </c>
      <c r="R1484">
        <v>200.40600000000001</v>
      </c>
      <c r="S1484">
        <v>9.4807358772E-2</v>
      </c>
      <c r="T1484" s="4" t="s">
        <v>3539</v>
      </c>
    </row>
    <row r="1485" spans="1:20" x14ac:dyDescent="0.2">
      <c r="A1485" s="4" t="s">
        <v>3108</v>
      </c>
      <c r="B1485" s="4" t="s">
        <v>3537</v>
      </c>
      <c r="C1485" s="4" t="s">
        <v>2096</v>
      </c>
      <c r="D1485" s="4" t="s">
        <v>2236</v>
      </c>
      <c r="E1485" s="4" t="s">
        <v>768</v>
      </c>
      <c r="F1485" s="4" t="s">
        <v>3538</v>
      </c>
      <c r="G1485" s="4" t="s">
        <v>3108</v>
      </c>
      <c r="H1485" s="4" t="s">
        <v>2183</v>
      </c>
      <c r="I1485" s="4" t="s">
        <v>2100</v>
      </c>
      <c r="J1485" s="4" t="s">
        <v>2805</v>
      </c>
      <c r="K1485">
        <v>20</v>
      </c>
      <c r="L1485">
        <v>6.0960000000000001</v>
      </c>
      <c r="M1485">
        <v>88.9</v>
      </c>
      <c r="N1485">
        <v>184.15</v>
      </c>
      <c r="O1485">
        <v>240</v>
      </c>
      <c r="P1485">
        <v>3.5000000000000004</v>
      </c>
      <c r="Q1485">
        <v>7.2500000000000009</v>
      </c>
      <c r="R1485">
        <v>200.40600000000001</v>
      </c>
      <c r="S1485">
        <v>9.9797219760000028E-2</v>
      </c>
      <c r="T1485" s="4" t="s">
        <v>3539</v>
      </c>
    </row>
    <row r="1486" spans="1:20" x14ac:dyDescent="0.2">
      <c r="A1486" s="4" t="s">
        <v>3108</v>
      </c>
      <c r="B1486" s="4" t="s">
        <v>3537</v>
      </c>
      <c r="C1486" s="4" t="s">
        <v>2096</v>
      </c>
      <c r="D1486" s="4" t="s">
        <v>2236</v>
      </c>
      <c r="E1486" s="4" t="s">
        <v>3545</v>
      </c>
      <c r="F1486" s="4" t="s">
        <v>3538</v>
      </c>
      <c r="G1486" s="4" t="s">
        <v>3108</v>
      </c>
      <c r="H1486" s="4" t="s">
        <v>2183</v>
      </c>
      <c r="I1486" s="4" t="s">
        <v>2100</v>
      </c>
      <c r="J1486" s="4" t="s">
        <v>2805</v>
      </c>
      <c r="K1486">
        <v>21</v>
      </c>
      <c r="L1486">
        <v>6.4008000000000003</v>
      </c>
      <c r="M1486">
        <v>88.9</v>
      </c>
      <c r="N1486">
        <v>184.15</v>
      </c>
      <c r="O1486">
        <v>252.00000000000003</v>
      </c>
      <c r="P1486">
        <v>3.5000000000000004</v>
      </c>
      <c r="Q1486">
        <v>7.2500000000000009</v>
      </c>
      <c r="R1486">
        <v>200.40600000000001</v>
      </c>
      <c r="S1486">
        <v>0.10478708074800003</v>
      </c>
      <c r="T1486" s="4" t="s">
        <v>3539</v>
      </c>
    </row>
    <row r="1487" spans="1:20" x14ac:dyDescent="0.2">
      <c r="A1487" s="4" t="s">
        <v>3108</v>
      </c>
      <c r="B1487" s="4" t="s">
        <v>3537</v>
      </c>
      <c r="C1487" s="4" t="s">
        <v>2096</v>
      </c>
      <c r="D1487" s="4" t="s">
        <v>2236</v>
      </c>
      <c r="E1487" s="4" t="s">
        <v>770</v>
      </c>
      <c r="F1487" s="4" t="s">
        <v>3538</v>
      </c>
      <c r="G1487" s="4" t="s">
        <v>3108</v>
      </c>
      <c r="H1487" s="4" t="s">
        <v>2183</v>
      </c>
      <c r="I1487" s="4" t="s">
        <v>2100</v>
      </c>
      <c r="J1487" s="4" t="s">
        <v>2805</v>
      </c>
      <c r="K1487">
        <v>22</v>
      </c>
      <c r="L1487">
        <v>6.7055999999999996</v>
      </c>
      <c r="M1487">
        <v>88.9</v>
      </c>
      <c r="N1487">
        <v>184.15</v>
      </c>
      <c r="O1487">
        <v>264</v>
      </c>
      <c r="P1487">
        <v>3.5000000000000004</v>
      </c>
      <c r="Q1487">
        <v>7.2500000000000009</v>
      </c>
      <c r="R1487">
        <v>200.40600000000001</v>
      </c>
      <c r="S1487">
        <v>0.109776941736</v>
      </c>
      <c r="T1487" s="4" t="s">
        <v>3539</v>
      </c>
    </row>
    <row r="1488" spans="1:20" x14ac:dyDescent="0.2">
      <c r="A1488" s="4" t="s">
        <v>3108</v>
      </c>
      <c r="B1488" s="4" t="s">
        <v>3537</v>
      </c>
      <c r="C1488" s="4" t="s">
        <v>2286</v>
      </c>
      <c r="D1488" s="4" t="s">
        <v>2236</v>
      </c>
      <c r="E1488" s="4" t="s">
        <v>3546</v>
      </c>
      <c r="F1488" s="4" t="s">
        <v>3538</v>
      </c>
      <c r="G1488" s="4" t="s">
        <v>3108</v>
      </c>
      <c r="H1488" s="4" t="s">
        <v>2183</v>
      </c>
      <c r="I1488" s="4" t="s">
        <v>2100</v>
      </c>
      <c r="J1488" s="4" t="s">
        <v>2805</v>
      </c>
      <c r="K1488">
        <v>3</v>
      </c>
      <c r="L1488">
        <v>0.91439999999999999</v>
      </c>
      <c r="M1488">
        <v>88.9</v>
      </c>
      <c r="N1488">
        <v>184.15</v>
      </c>
      <c r="O1488">
        <v>36</v>
      </c>
      <c r="P1488">
        <v>3.5000000000000004</v>
      </c>
      <c r="Q1488">
        <v>7.2500000000000009</v>
      </c>
      <c r="R1488">
        <v>200.40600000000001</v>
      </c>
      <c r="S1488">
        <v>1.4969582964E-2</v>
      </c>
      <c r="T1488" s="4" t="s">
        <v>3547</v>
      </c>
    </row>
    <row r="1489" spans="1:20" x14ac:dyDescent="0.2">
      <c r="A1489" s="4" t="s">
        <v>3108</v>
      </c>
      <c r="B1489" s="4" t="s">
        <v>3537</v>
      </c>
      <c r="C1489" s="4" t="s">
        <v>2286</v>
      </c>
      <c r="D1489" s="4" t="s">
        <v>2236</v>
      </c>
      <c r="E1489" s="4" t="s">
        <v>3548</v>
      </c>
      <c r="F1489" s="4" t="s">
        <v>3538</v>
      </c>
      <c r="G1489" s="4" t="s">
        <v>3108</v>
      </c>
      <c r="H1489" s="4" t="s">
        <v>2183</v>
      </c>
      <c r="I1489" s="4" t="s">
        <v>2100</v>
      </c>
      <c r="J1489" s="4" t="s">
        <v>2805</v>
      </c>
      <c r="K1489">
        <v>4</v>
      </c>
      <c r="L1489">
        <v>1.2192000000000001</v>
      </c>
      <c r="M1489">
        <v>88.9</v>
      </c>
      <c r="N1489">
        <v>184.15</v>
      </c>
      <c r="O1489">
        <v>48.000000000000007</v>
      </c>
      <c r="P1489">
        <v>3.5000000000000004</v>
      </c>
      <c r="Q1489">
        <v>7.2500000000000009</v>
      </c>
      <c r="R1489">
        <v>200.40600000000001</v>
      </c>
      <c r="S1489">
        <v>1.9959443952000003E-2</v>
      </c>
      <c r="T1489" s="4" t="s">
        <v>3547</v>
      </c>
    </row>
    <row r="1490" spans="1:20" x14ac:dyDescent="0.2">
      <c r="A1490" s="4" t="s">
        <v>3108</v>
      </c>
      <c r="B1490" s="4" t="s">
        <v>3537</v>
      </c>
      <c r="C1490" s="4" t="s">
        <v>2286</v>
      </c>
      <c r="D1490" s="4" t="s">
        <v>2236</v>
      </c>
      <c r="E1490" s="4" t="s">
        <v>3549</v>
      </c>
      <c r="F1490" s="4" t="s">
        <v>3538</v>
      </c>
      <c r="G1490" s="4" t="s">
        <v>3108</v>
      </c>
      <c r="H1490" s="4" t="s">
        <v>2183</v>
      </c>
      <c r="I1490" s="4" t="s">
        <v>2100</v>
      </c>
      <c r="J1490" s="4" t="s">
        <v>2805</v>
      </c>
      <c r="K1490">
        <v>5</v>
      </c>
      <c r="L1490">
        <v>1.524</v>
      </c>
      <c r="M1490">
        <v>88.9</v>
      </c>
      <c r="N1490">
        <v>184.15</v>
      </c>
      <c r="O1490">
        <v>60</v>
      </c>
      <c r="P1490">
        <v>3.5000000000000004</v>
      </c>
      <c r="Q1490">
        <v>7.2500000000000009</v>
      </c>
      <c r="R1490">
        <v>200.40600000000001</v>
      </c>
      <c r="S1490">
        <v>2.4949304940000007E-2</v>
      </c>
      <c r="T1490" s="4" t="s">
        <v>3547</v>
      </c>
    </row>
    <row r="1491" spans="1:20" x14ac:dyDescent="0.2">
      <c r="A1491" s="4" t="s">
        <v>3108</v>
      </c>
      <c r="B1491" s="4" t="s">
        <v>3537</v>
      </c>
      <c r="C1491" s="4" t="s">
        <v>2286</v>
      </c>
      <c r="D1491" s="4" t="s">
        <v>2236</v>
      </c>
      <c r="E1491" s="4" t="s">
        <v>3550</v>
      </c>
      <c r="F1491" s="4" t="s">
        <v>3538</v>
      </c>
      <c r="G1491" s="4" t="s">
        <v>3108</v>
      </c>
      <c r="H1491" s="4" t="s">
        <v>2183</v>
      </c>
      <c r="I1491" s="4" t="s">
        <v>2100</v>
      </c>
      <c r="J1491" s="4" t="s">
        <v>2805</v>
      </c>
      <c r="K1491">
        <v>6</v>
      </c>
      <c r="L1491">
        <v>1.8288</v>
      </c>
      <c r="M1491">
        <v>88.9</v>
      </c>
      <c r="N1491">
        <v>184.15</v>
      </c>
      <c r="O1491">
        <v>72</v>
      </c>
      <c r="P1491">
        <v>3.5000000000000004</v>
      </c>
      <c r="Q1491">
        <v>7.2500000000000009</v>
      </c>
      <c r="R1491">
        <v>200.40600000000001</v>
      </c>
      <c r="S1491">
        <v>2.9939165928E-2</v>
      </c>
      <c r="T1491" s="4" t="s">
        <v>3547</v>
      </c>
    </row>
    <row r="1492" spans="1:20" x14ac:dyDescent="0.2">
      <c r="A1492" s="4" t="s">
        <v>3108</v>
      </c>
      <c r="B1492" s="4" t="s">
        <v>3537</v>
      </c>
      <c r="C1492" s="4" t="s">
        <v>2286</v>
      </c>
      <c r="D1492" s="4" t="s">
        <v>2236</v>
      </c>
      <c r="E1492" s="4" t="s">
        <v>3551</v>
      </c>
      <c r="F1492" s="4" t="s">
        <v>3538</v>
      </c>
      <c r="G1492" s="4" t="s">
        <v>3108</v>
      </c>
      <c r="H1492" s="4" t="s">
        <v>2183</v>
      </c>
      <c r="I1492" s="4" t="s">
        <v>2100</v>
      </c>
      <c r="J1492" s="4" t="s">
        <v>2805</v>
      </c>
      <c r="K1492">
        <v>7</v>
      </c>
      <c r="L1492">
        <v>2.1335999999999999</v>
      </c>
      <c r="M1492">
        <v>88.9</v>
      </c>
      <c r="N1492">
        <v>184.15</v>
      </c>
      <c r="O1492">
        <v>84</v>
      </c>
      <c r="P1492">
        <v>3.5000000000000004</v>
      </c>
      <c r="Q1492">
        <v>7.2500000000000009</v>
      </c>
      <c r="R1492">
        <v>200.40600000000001</v>
      </c>
      <c r="S1492">
        <v>3.4929026916000007E-2</v>
      </c>
      <c r="T1492" s="4" t="s">
        <v>3547</v>
      </c>
    </row>
    <row r="1493" spans="1:20" x14ac:dyDescent="0.2">
      <c r="A1493" s="4" t="s">
        <v>3108</v>
      </c>
      <c r="B1493" s="4" t="s">
        <v>3537</v>
      </c>
      <c r="C1493" s="4" t="s">
        <v>2096</v>
      </c>
      <c r="D1493" s="4" t="s">
        <v>2236</v>
      </c>
      <c r="E1493" s="4" t="s">
        <v>3552</v>
      </c>
      <c r="F1493" s="4" t="s">
        <v>3538</v>
      </c>
      <c r="G1493" s="4" t="s">
        <v>3108</v>
      </c>
      <c r="H1493" s="4" t="s">
        <v>2183</v>
      </c>
      <c r="I1493" s="4" t="s">
        <v>2100</v>
      </c>
      <c r="J1493" s="4" t="s">
        <v>2805</v>
      </c>
      <c r="K1493">
        <v>8</v>
      </c>
      <c r="L1493">
        <v>2.4384000000000001</v>
      </c>
      <c r="M1493">
        <v>88.9</v>
      </c>
      <c r="N1493">
        <v>184.15</v>
      </c>
      <c r="O1493">
        <v>96.000000000000014</v>
      </c>
      <c r="P1493">
        <v>3.5000000000000004</v>
      </c>
      <c r="Q1493">
        <v>7.2500000000000009</v>
      </c>
      <c r="R1493">
        <v>200.40600000000001</v>
      </c>
      <c r="S1493">
        <v>3.9918887904000007E-2</v>
      </c>
      <c r="T1493" s="4" t="s">
        <v>3539</v>
      </c>
    </row>
    <row r="1494" spans="1:20" x14ac:dyDescent="0.2">
      <c r="A1494" s="4" t="s">
        <v>3108</v>
      </c>
      <c r="B1494" s="4" t="s">
        <v>3537</v>
      </c>
      <c r="C1494" s="4" t="s">
        <v>2096</v>
      </c>
      <c r="D1494" s="4" t="s">
        <v>2236</v>
      </c>
      <c r="E1494" s="4" t="s">
        <v>3553</v>
      </c>
      <c r="F1494" s="4" t="s">
        <v>3538</v>
      </c>
      <c r="G1494" s="4" t="s">
        <v>3108</v>
      </c>
      <c r="H1494" s="4" t="s">
        <v>2183</v>
      </c>
      <c r="I1494" s="4" t="s">
        <v>2100</v>
      </c>
      <c r="J1494" s="4" t="s">
        <v>2805</v>
      </c>
      <c r="K1494">
        <v>9</v>
      </c>
      <c r="L1494">
        <v>2.7431999999999999</v>
      </c>
      <c r="M1494">
        <v>88.9</v>
      </c>
      <c r="N1494">
        <v>184.15</v>
      </c>
      <c r="O1494">
        <v>108</v>
      </c>
      <c r="P1494">
        <v>3.5000000000000004</v>
      </c>
      <c r="Q1494">
        <v>7.2500000000000009</v>
      </c>
      <c r="R1494">
        <v>200.40600000000001</v>
      </c>
      <c r="S1494">
        <v>4.4908748892000007E-2</v>
      </c>
      <c r="T1494" s="4" t="s">
        <v>3539</v>
      </c>
    </row>
    <row r="1495" spans="1:20" x14ac:dyDescent="0.2">
      <c r="A1495" s="4" t="s">
        <v>3108</v>
      </c>
      <c r="B1495" s="4" t="s">
        <v>3554</v>
      </c>
      <c r="C1495" s="4" t="s">
        <v>2096</v>
      </c>
      <c r="D1495" s="4" t="s">
        <v>2236</v>
      </c>
      <c r="E1495" s="4" t="s">
        <v>887</v>
      </c>
      <c r="F1495" s="4" t="s">
        <v>3555</v>
      </c>
      <c r="G1495" s="4" t="s">
        <v>3108</v>
      </c>
      <c r="H1495" s="4" t="s">
        <v>2183</v>
      </c>
      <c r="I1495" s="4" t="s">
        <v>2100</v>
      </c>
      <c r="J1495" s="4" t="s">
        <v>2829</v>
      </c>
      <c r="K1495">
        <v>10</v>
      </c>
      <c r="L1495">
        <v>3.048</v>
      </c>
      <c r="M1495">
        <v>25.4</v>
      </c>
      <c r="N1495">
        <v>234.95</v>
      </c>
      <c r="O1495">
        <v>120</v>
      </c>
      <c r="P1495">
        <v>1</v>
      </c>
      <c r="Q1495">
        <v>9.25</v>
      </c>
      <c r="R1495">
        <v>549.76300000000003</v>
      </c>
      <c r="S1495">
        <v>1.8189641040000003E-2</v>
      </c>
      <c r="T1495" s="4" t="s">
        <v>3556</v>
      </c>
    </row>
    <row r="1496" spans="1:20" x14ac:dyDescent="0.2">
      <c r="A1496" s="4" t="s">
        <v>3108</v>
      </c>
      <c r="B1496" s="4" t="s">
        <v>3554</v>
      </c>
      <c r="C1496" s="4" t="s">
        <v>2096</v>
      </c>
      <c r="D1496" s="4" t="s">
        <v>2236</v>
      </c>
      <c r="E1496" s="4" t="s">
        <v>3557</v>
      </c>
      <c r="F1496" s="4" t="s">
        <v>3555</v>
      </c>
      <c r="G1496" s="4" t="s">
        <v>3108</v>
      </c>
      <c r="H1496" s="4" t="s">
        <v>2183</v>
      </c>
      <c r="I1496" s="4" t="s">
        <v>2100</v>
      </c>
      <c r="J1496" s="4" t="s">
        <v>2829</v>
      </c>
      <c r="K1496">
        <v>11</v>
      </c>
      <c r="L1496">
        <v>3.3527999999999998</v>
      </c>
      <c r="M1496">
        <v>25.4</v>
      </c>
      <c r="N1496">
        <v>234.95</v>
      </c>
      <c r="O1496">
        <v>132</v>
      </c>
      <c r="P1496">
        <v>1</v>
      </c>
      <c r="Q1496">
        <v>9.25</v>
      </c>
      <c r="R1496">
        <v>549.76300000000003</v>
      </c>
      <c r="S1496">
        <v>2.0008605143999995E-2</v>
      </c>
      <c r="T1496" s="4" t="s">
        <v>3556</v>
      </c>
    </row>
    <row r="1497" spans="1:20" x14ac:dyDescent="0.2">
      <c r="A1497" s="4" t="s">
        <v>3108</v>
      </c>
      <c r="B1497" s="4" t="s">
        <v>3554</v>
      </c>
      <c r="C1497" s="4" t="s">
        <v>2096</v>
      </c>
      <c r="D1497" s="4" t="s">
        <v>2236</v>
      </c>
      <c r="E1497" s="4" t="s">
        <v>3558</v>
      </c>
      <c r="F1497" s="4" t="s">
        <v>3555</v>
      </c>
      <c r="G1497" s="4" t="s">
        <v>3108</v>
      </c>
      <c r="H1497" s="4" t="s">
        <v>2183</v>
      </c>
      <c r="I1497" s="4" t="s">
        <v>2100</v>
      </c>
      <c r="J1497" s="4" t="s">
        <v>2829</v>
      </c>
      <c r="K1497">
        <v>12</v>
      </c>
      <c r="L1497">
        <v>3.6576</v>
      </c>
      <c r="M1497">
        <v>25.4</v>
      </c>
      <c r="N1497">
        <v>234.95</v>
      </c>
      <c r="O1497">
        <v>144</v>
      </c>
      <c r="P1497">
        <v>1</v>
      </c>
      <c r="Q1497">
        <v>9.25</v>
      </c>
      <c r="R1497">
        <v>549.76300000000003</v>
      </c>
      <c r="S1497">
        <v>2.1827569247999997E-2</v>
      </c>
      <c r="T1497" s="4" t="s">
        <v>3556</v>
      </c>
    </row>
    <row r="1498" spans="1:20" x14ac:dyDescent="0.2">
      <c r="A1498" s="4" t="s">
        <v>3108</v>
      </c>
      <c r="B1498" s="4" t="s">
        <v>3554</v>
      </c>
      <c r="C1498" s="4" t="s">
        <v>2096</v>
      </c>
      <c r="D1498" s="4" t="s">
        <v>2236</v>
      </c>
      <c r="E1498" s="4" t="s">
        <v>3559</v>
      </c>
      <c r="F1498" s="4" t="s">
        <v>3555</v>
      </c>
      <c r="G1498" s="4" t="s">
        <v>3108</v>
      </c>
      <c r="H1498" s="4" t="s">
        <v>2183</v>
      </c>
      <c r="I1498" s="4" t="s">
        <v>2100</v>
      </c>
      <c r="J1498" s="4" t="s">
        <v>2829</v>
      </c>
      <c r="K1498">
        <v>13</v>
      </c>
      <c r="L1498">
        <v>3.9624000000000001</v>
      </c>
      <c r="M1498">
        <v>25.4</v>
      </c>
      <c r="N1498">
        <v>234.95</v>
      </c>
      <c r="O1498">
        <v>156</v>
      </c>
      <c r="P1498">
        <v>1</v>
      </c>
      <c r="Q1498">
        <v>9.25</v>
      </c>
      <c r="R1498">
        <v>549.76300000000003</v>
      </c>
      <c r="S1498">
        <v>2.3646533351999996E-2</v>
      </c>
      <c r="T1498" s="4" t="s">
        <v>3556</v>
      </c>
    </row>
    <row r="1499" spans="1:20" x14ac:dyDescent="0.2">
      <c r="A1499" s="4" t="s">
        <v>3108</v>
      </c>
      <c r="B1499" s="4" t="s">
        <v>3554</v>
      </c>
      <c r="C1499" s="4" t="s">
        <v>2096</v>
      </c>
      <c r="D1499" s="4" t="s">
        <v>2236</v>
      </c>
      <c r="E1499" s="4" t="s">
        <v>3560</v>
      </c>
      <c r="F1499" s="4" t="s">
        <v>3555</v>
      </c>
      <c r="G1499" s="4" t="s">
        <v>3108</v>
      </c>
      <c r="H1499" s="4" t="s">
        <v>2183</v>
      </c>
      <c r="I1499" s="4" t="s">
        <v>2100</v>
      </c>
      <c r="J1499" s="4" t="s">
        <v>2829</v>
      </c>
      <c r="K1499">
        <v>14</v>
      </c>
      <c r="L1499">
        <v>4.2671999999999999</v>
      </c>
      <c r="M1499">
        <v>25.4</v>
      </c>
      <c r="N1499">
        <v>234.95</v>
      </c>
      <c r="O1499">
        <v>168</v>
      </c>
      <c r="P1499">
        <v>1</v>
      </c>
      <c r="Q1499">
        <v>9.25</v>
      </c>
      <c r="R1499">
        <v>549.76300000000003</v>
      </c>
      <c r="S1499">
        <v>2.5465497455999998E-2</v>
      </c>
      <c r="T1499" s="4" t="s">
        <v>3556</v>
      </c>
    </row>
    <row r="1500" spans="1:20" x14ac:dyDescent="0.2">
      <c r="A1500" s="4" t="s">
        <v>3108</v>
      </c>
      <c r="B1500" s="4" t="s">
        <v>3554</v>
      </c>
      <c r="C1500" s="4" t="s">
        <v>2096</v>
      </c>
      <c r="D1500" s="4" t="s">
        <v>2236</v>
      </c>
      <c r="E1500" s="4" t="s">
        <v>3561</v>
      </c>
      <c r="F1500" s="4" t="s">
        <v>3555</v>
      </c>
      <c r="G1500" s="4" t="s">
        <v>3108</v>
      </c>
      <c r="H1500" s="4" t="s">
        <v>2183</v>
      </c>
      <c r="I1500" s="4" t="s">
        <v>2100</v>
      </c>
      <c r="J1500" s="4" t="s">
        <v>2829</v>
      </c>
      <c r="K1500">
        <v>15</v>
      </c>
      <c r="L1500">
        <v>4.5720000000000001</v>
      </c>
      <c r="M1500">
        <v>25.4</v>
      </c>
      <c r="N1500">
        <v>234.95</v>
      </c>
      <c r="O1500">
        <v>180</v>
      </c>
      <c r="P1500">
        <v>1</v>
      </c>
      <c r="Q1500">
        <v>9.25</v>
      </c>
      <c r="R1500">
        <v>549.76300000000003</v>
      </c>
      <c r="S1500">
        <v>2.7284461560000001E-2</v>
      </c>
      <c r="T1500" s="4" t="s">
        <v>3556</v>
      </c>
    </row>
    <row r="1501" spans="1:20" x14ac:dyDescent="0.2">
      <c r="A1501" s="4" t="s">
        <v>3108</v>
      </c>
      <c r="B1501" s="4" t="s">
        <v>3554</v>
      </c>
      <c r="C1501" s="4" t="s">
        <v>2096</v>
      </c>
      <c r="D1501" s="4" t="s">
        <v>2236</v>
      </c>
      <c r="E1501" s="4" t="s">
        <v>3562</v>
      </c>
      <c r="F1501" s="4" t="s">
        <v>3555</v>
      </c>
      <c r="G1501" s="4" t="s">
        <v>3108</v>
      </c>
      <c r="H1501" s="4" t="s">
        <v>2183</v>
      </c>
      <c r="I1501" s="4" t="s">
        <v>2100</v>
      </c>
      <c r="J1501" s="4" t="s">
        <v>2829</v>
      </c>
      <c r="K1501">
        <v>16</v>
      </c>
      <c r="L1501">
        <v>4.8768000000000002</v>
      </c>
      <c r="M1501">
        <v>25.4</v>
      </c>
      <c r="N1501">
        <v>234.95</v>
      </c>
      <c r="O1501">
        <v>192.00000000000003</v>
      </c>
      <c r="P1501">
        <v>1</v>
      </c>
      <c r="Q1501">
        <v>9.25</v>
      </c>
      <c r="R1501">
        <v>549.76300000000003</v>
      </c>
      <c r="S1501">
        <v>2.9103425664E-2</v>
      </c>
      <c r="T1501" s="4" t="s">
        <v>3556</v>
      </c>
    </row>
    <row r="1502" spans="1:20" x14ac:dyDescent="0.2">
      <c r="A1502" s="4" t="s">
        <v>3108</v>
      </c>
      <c r="B1502" s="4" t="s">
        <v>3554</v>
      </c>
      <c r="C1502" s="4" t="s">
        <v>2096</v>
      </c>
      <c r="D1502" s="4" t="s">
        <v>2236</v>
      </c>
      <c r="E1502" s="4" t="s">
        <v>3563</v>
      </c>
      <c r="F1502" s="4" t="s">
        <v>3555</v>
      </c>
      <c r="G1502" s="4" t="s">
        <v>3108</v>
      </c>
      <c r="H1502" s="4" t="s">
        <v>2183</v>
      </c>
      <c r="I1502" s="4" t="s">
        <v>2100</v>
      </c>
      <c r="J1502" s="4" t="s">
        <v>2829</v>
      </c>
      <c r="K1502">
        <v>17</v>
      </c>
      <c r="L1502">
        <v>5.1816000000000004</v>
      </c>
      <c r="M1502">
        <v>25.4</v>
      </c>
      <c r="N1502">
        <v>234.95</v>
      </c>
      <c r="O1502">
        <v>204.00000000000003</v>
      </c>
      <c r="P1502">
        <v>1</v>
      </c>
      <c r="Q1502">
        <v>9.25</v>
      </c>
      <c r="R1502">
        <v>549.76300000000003</v>
      </c>
      <c r="S1502">
        <v>3.0922389767999998E-2</v>
      </c>
      <c r="T1502" s="4" t="s">
        <v>3556</v>
      </c>
    </row>
    <row r="1503" spans="1:20" x14ac:dyDescent="0.2">
      <c r="A1503" s="4" t="s">
        <v>3108</v>
      </c>
      <c r="B1503" s="4" t="s">
        <v>3554</v>
      </c>
      <c r="C1503" s="4" t="s">
        <v>2096</v>
      </c>
      <c r="D1503" s="4" t="s">
        <v>2236</v>
      </c>
      <c r="E1503" s="4" t="s">
        <v>3564</v>
      </c>
      <c r="F1503" s="4" t="s">
        <v>3555</v>
      </c>
      <c r="G1503" s="4" t="s">
        <v>3108</v>
      </c>
      <c r="H1503" s="4" t="s">
        <v>2183</v>
      </c>
      <c r="I1503" s="4" t="s">
        <v>2100</v>
      </c>
      <c r="J1503" s="4" t="s">
        <v>2829</v>
      </c>
      <c r="K1503">
        <v>18</v>
      </c>
      <c r="L1503">
        <v>5.4863999999999997</v>
      </c>
      <c r="M1503">
        <v>25.4</v>
      </c>
      <c r="N1503">
        <v>234.95</v>
      </c>
      <c r="O1503">
        <v>216</v>
      </c>
      <c r="P1503">
        <v>1</v>
      </c>
      <c r="Q1503">
        <v>9.25</v>
      </c>
      <c r="R1503">
        <v>549.76300000000003</v>
      </c>
      <c r="S1503">
        <v>3.2741353872000001E-2</v>
      </c>
      <c r="T1503" s="4" t="s">
        <v>3556</v>
      </c>
    </row>
    <row r="1504" spans="1:20" x14ac:dyDescent="0.2">
      <c r="A1504" s="4" t="s">
        <v>3108</v>
      </c>
      <c r="B1504" s="4" t="s">
        <v>3554</v>
      </c>
      <c r="C1504" s="4" t="s">
        <v>2096</v>
      </c>
      <c r="D1504" s="4" t="s">
        <v>2236</v>
      </c>
      <c r="E1504" s="4" t="s">
        <v>3565</v>
      </c>
      <c r="F1504" s="4" t="s">
        <v>3555</v>
      </c>
      <c r="G1504" s="4" t="s">
        <v>3108</v>
      </c>
      <c r="H1504" s="4" t="s">
        <v>2183</v>
      </c>
      <c r="I1504" s="4" t="s">
        <v>2100</v>
      </c>
      <c r="J1504" s="4" t="s">
        <v>2829</v>
      </c>
      <c r="K1504">
        <v>19</v>
      </c>
      <c r="L1504">
        <v>5.7911999999999999</v>
      </c>
      <c r="M1504">
        <v>25.4</v>
      </c>
      <c r="N1504">
        <v>234.95</v>
      </c>
      <c r="O1504">
        <v>228</v>
      </c>
      <c r="P1504">
        <v>1</v>
      </c>
      <c r="Q1504">
        <v>9.25</v>
      </c>
      <c r="R1504">
        <v>549.76300000000003</v>
      </c>
      <c r="S1504">
        <v>3.4560317975999996E-2</v>
      </c>
      <c r="T1504" s="4" t="s">
        <v>3556</v>
      </c>
    </row>
    <row r="1505" spans="1:20" x14ac:dyDescent="0.2">
      <c r="A1505" s="4" t="s">
        <v>3108</v>
      </c>
      <c r="B1505" s="4" t="s">
        <v>3554</v>
      </c>
      <c r="C1505" s="4" t="s">
        <v>2096</v>
      </c>
      <c r="D1505" s="4" t="s">
        <v>2236</v>
      </c>
      <c r="E1505" s="4" t="s">
        <v>3566</v>
      </c>
      <c r="F1505" s="4" t="s">
        <v>3555</v>
      </c>
      <c r="G1505" s="4" t="s">
        <v>3108</v>
      </c>
      <c r="H1505" s="4" t="s">
        <v>2183</v>
      </c>
      <c r="I1505" s="4" t="s">
        <v>2100</v>
      </c>
      <c r="J1505" s="4" t="s">
        <v>2829</v>
      </c>
      <c r="K1505">
        <v>20</v>
      </c>
      <c r="L1505">
        <v>6.0960000000000001</v>
      </c>
      <c r="M1505">
        <v>25.4</v>
      </c>
      <c r="N1505">
        <v>234.95</v>
      </c>
      <c r="O1505">
        <v>240</v>
      </c>
      <c r="P1505">
        <v>1</v>
      </c>
      <c r="Q1505">
        <v>9.25</v>
      </c>
      <c r="R1505">
        <v>549.76300000000003</v>
      </c>
      <c r="S1505">
        <v>3.6379282080000006E-2</v>
      </c>
      <c r="T1505" s="4" t="s">
        <v>3556</v>
      </c>
    </row>
    <row r="1506" spans="1:20" x14ac:dyDescent="0.2">
      <c r="A1506" s="4" t="s">
        <v>3108</v>
      </c>
      <c r="B1506" s="4" t="s">
        <v>3554</v>
      </c>
      <c r="C1506" s="4" t="s">
        <v>2096</v>
      </c>
      <c r="D1506" s="4" t="s">
        <v>2236</v>
      </c>
      <c r="E1506" s="4" t="s">
        <v>3567</v>
      </c>
      <c r="F1506" s="4" t="s">
        <v>3555</v>
      </c>
      <c r="G1506" s="4" t="s">
        <v>3108</v>
      </c>
      <c r="H1506" s="4" t="s">
        <v>2183</v>
      </c>
      <c r="I1506" s="4" t="s">
        <v>2100</v>
      </c>
      <c r="J1506" s="4" t="s">
        <v>2829</v>
      </c>
      <c r="K1506">
        <v>21</v>
      </c>
      <c r="L1506">
        <v>6.4008000000000003</v>
      </c>
      <c r="M1506">
        <v>25.4</v>
      </c>
      <c r="N1506">
        <v>234.95</v>
      </c>
      <c r="O1506">
        <v>252.00000000000003</v>
      </c>
      <c r="P1506">
        <v>1</v>
      </c>
      <c r="Q1506">
        <v>9.25</v>
      </c>
      <c r="R1506">
        <v>549.76300000000003</v>
      </c>
      <c r="S1506">
        <v>3.8198246184000001E-2</v>
      </c>
      <c r="T1506" s="4" t="s">
        <v>3556</v>
      </c>
    </row>
    <row r="1507" spans="1:20" x14ac:dyDescent="0.2">
      <c r="A1507" s="4" t="s">
        <v>3108</v>
      </c>
      <c r="B1507" s="4" t="s">
        <v>3554</v>
      </c>
      <c r="C1507" s="4" t="s">
        <v>2096</v>
      </c>
      <c r="D1507" s="4" t="s">
        <v>2236</v>
      </c>
      <c r="E1507" s="4" t="s">
        <v>3568</v>
      </c>
      <c r="F1507" s="4" t="s">
        <v>3555</v>
      </c>
      <c r="G1507" s="4" t="s">
        <v>3108</v>
      </c>
      <c r="H1507" s="4" t="s">
        <v>2183</v>
      </c>
      <c r="I1507" s="4" t="s">
        <v>2100</v>
      </c>
      <c r="J1507" s="4" t="s">
        <v>2829</v>
      </c>
      <c r="K1507">
        <v>22</v>
      </c>
      <c r="L1507">
        <v>6.7055999999999996</v>
      </c>
      <c r="M1507">
        <v>25.4</v>
      </c>
      <c r="N1507">
        <v>234.95</v>
      </c>
      <c r="O1507">
        <v>264</v>
      </c>
      <c r="P1507">
        <v>1</v>
      </c>
      <c r="Q1507">
        <v>9.25</v>
      </c>
      <c r="R1507">
        <v>549.76300000000003</v>
      </c>
      <c r="S1507">
        <v>4.0017210287999989E-2</v>
      </c>
      <c r="T1507" s="4" t="s">
        <v>3556</v>
      </c>
    </row>
    <row r="1508" spans="1:20" x14ac:dyDescent="0.2">
      <c r="A1508" s="4" t="s">
        <v>3108</v>
      </c>
      <c r="B1508" s="4" t="s">
        <v>3554</v>
      </c>
      <c r="C1508" s="4" t="s">
        <v>2096</v>
      </c>
      <c r="D1508" s="4" t="s">
        <v>2236</v>
      </c>
      <c r="E1508" s="4" t="s">
        <v>3569</v>
      </c>
      <c r="F1508" s="4" t="s">
        <v>3555</v>
      </c>
      <c r="G1508" s="4" t="s">
        <v>3108</v>
      </c>
      <c r="H1508" s="4" t="s">
        <v>2183</v>
      </c>
      <c r="I1508" s="4" t="s">
        <v>2100</v>
      </c>
      <c r="J1508" s="4" t="s">
        <v>2829</v>
      </c>
      <c r="K1508">
        <v>23</v>
      </c>
      <c r="L1508">
        <v>7.0103999999999997</v>
      </c>
      <c r="M1508">
        <v>25.4</v>
      </c>
      <c r="N1508">
        <v>234.95</v>
      </c>
      <c r="O1508">
        <v>276</v>
      </c>
      <c r="P1508">
        <v>1</v>
      </c>
      <c r="Q1508">
        <v>9.25</v>
      </c>
      <c r="R1508">
        <v>549.76300000000003</v>
      </c>
      <c r="S1508">
        <v>4.1836174391999999E-2</v>
      </c>
      <c r="T1508" s="4" t="s">
        <v>3556</v>
      </c>
    </row>
    <row r="1509" spans="1:20" x14ac:dyDescent="0.2">
      <c r="A1509" s="4" t="s">
        <v>3108</v>
      </c>
      <c r="B1509" s="4" t="s">
        <v>3554</v>
      </c>
      <c r="C1509" s="4" t="s">
        <v>2096</v>
      </c>
      <c r="D1509" s="4" t="s">
        <v>2236</v>
      </c>
      <c r="E1509" s="4" t="s">
        <v>3570</v>
      </c>
      <c r="F1509" s="4" t="s">
        <v>3555</v>
      </c>
      <c r="G1509" s="4" t="s">
        <v>3108</v>
      </c>
      <c r="H1509" s="4" t="s">
        <v>2183</v>
      </c>
      <c r="I1509" s="4" t="s">
        <v>2100</v>
      </c>
      <c r="J1509" s="4" t="s">
        <v>2829</v>
      </c>
      <c r="K1509">
        <v>24</v>
      </c>
      <c r="L1509">
        <v>7.3152000000000008</v>
      </c>
      <c r="M1509">
        <v>25.4</v>
      </c>
      <c r="N1509">
        <v>234.95</v>
      </c>
      <c r="O1509">
        <v>288.00000000000006</v>
      </c>
      <c r="P1509">
        <v>1</v>
      </c>
      <c r="Q1509">
        <v>9.25</v>
      </c>
      <c r="R1509">
        <v>549.76300000000003</v>
      </c>
      <c r="S1509">
        <v>4.3655138496000001E-2</v>
      </c>
      <c r="T1509" s="4" t="s">
        <v>3556</v>
      </c>
    </row>
    <row r="1510" spans="1:20" x14ac:dyDescent="0.2">
      <c r="A1510" s="4" t="s">
        <v>3108</v>
      </c>
      <c r="B1510" s="4" t="s">
        <v>3554</v>
      </c>
      <c r="C1510" s="4" t="s">
        <v>2286</v>
      </c>
      <c r="D1510" s="4" t="s">
        <v>2236</v>
      </c>
      <c r="E1510" s="4" t="s">
        <v>3571</v>
      </c>
      <c r="F1510" s="4" t="s">
        <v>3555</v>
      </c>
      <c r="G1510" s="4" t="s">
        <v>3108</v>
      </c>
      <c r="H1510" s="4" t="s">
        <v>2183</v>
      </c>
      <c r="I1510" s="4" t="s">
        <v>2100</v>
      </c>
      <c r="J1510" s="4" t="s">
        <v>2829</v>
      </c>
      <c r="K1510">
        <v>3</v>
      </c>
      <c r="L1510">
        <v>0.91439999999999999</v>
      </c>
      <c r="M1510">
        <v>25.4</v>
      </c>
      <c r="N1510">
        <v>234.95</v>
      </c>
      <c r="O1510">
        <v>36</v>
      </c>
      <c r="P1510">
        <v>1</v>
      </c>
      <c r="Q1510">
        <v>9.25</v>
      </c>
      <c r="R1510">
        <v>549.76300000000003</v>
      </c>
      <c r="S1510">
        <v>5.4568923119999993E-3</v>
      </c>
      <c r="T1510" s="4" t="s">
        <v>3572</v>
      </c>
    </row>
    <row r="1511" spans="1:20" x14ac:dyDescent="0.2">
      <c r="A1511" s="4" t="s">
        <v>3108</v>
      </c>
      <c r="B1511" s="4" t="s">
        <v>3554</v>
      </c>
      <c r="C1511" s="4" t="s">
        <v>2286</v>
      </c>
      <c r="D1511" s="4" t="s">
        <v>2236</v>
      </c>
      <c r="E1511" s="4" t="s">
        <v>3573</v>
      </c>
      <c r="F1511" s="4" t="s">
        <v>3555</v>
      </c>
      <c r="G1511" s="4" t="s">
        <v>3108</v>
      </c>
      <c r="H1511" s="4" t="s">
        <v>2183</v>
      </c>
      <c r="I1511" s="4" t="s">
        <v>2100</v>
      </c>
      <c r="J1511" s="4" t="s">
        <v>2829</v>
      </c>
      <c r="K1511">
        <v>4</v>
      </c>
      <c r="L1511">
        <v>1.2192000000000001</v>
      </c>
      <c r="M1511">
        <v>25.4</v>
      </c>
      <c r="N1511">
        <v>234.95</v>
      </c>
      <c r="O1511">
        <v>48.000000000000007</v>
      </c>
      <c r="P1511">
        <v>1</v>
      </c>
      <c r="Q1511">
        <v>9.25</v>
      </c>
      <c r="R1511">
        <v>549.76300000000003</v>
      </c>
      <c r="S1511">
        <v>7.2758564159999999E-3</v>
      </c>
      <c r="T1511" s="4" t="s">
        <v>3572</v>
      </c>
    </row>
    <row r="1512" spans="1:20" x14ac:dyDescent="0.2">
      <c r="A1512" s="4" t="s">
        <v>3108</v>
      </c>
      <c r="B1512" s="4" t="s">
        <v>3554</v>
      </c>
      <c r="C1512" s="4" t="s">
        <v>2286</v>
      </c>
      <c r="D1512" s="4" t="s">
        <v>2236</v>
      </c>
      <c r="E1512" s="4" t="s">
        <v>3574</v>
      </c>
      <c r="F1512" s="4" t="s">
        <v>3555</v>
      </c>
      <c r="G1512" s="4" t="s">
        <v>3108</v>
      </c>
      <c r="H1512" s="4" t="s">
        <v>2183</v>
      </c>
      <c r="I1512" s="4" t="s">
        <v>2100</v>
      </c>
      <c r="J1512" s="4" t="s">
        <v>2829</v>
      </c>
      <c r="K1512">
        <v>5</v>
      </c>
      <c r="L1512">
        <v>1.524</v>
      </c>
      <c r="M1512">
        <v>25.4</v>
      </c>
      <c r="N1512">
        <v>234.95</v>
      </c>
      <c r="O1512">
        <v>60</v>
      </c>
      <c r="P1512">
        <v>1</v>
      </c>
      <c r="Q1512">
        <v>9.25</v>
      </c>
      <c r="R1512">
        <v>549.76300000000003</v>
      </c>
      <c r="S1512">
        <v>9.0948205200000014E-3</v>
      </c>
      <c r="T1512" s="4" t="s">
        <v>3572</v>
      </c>
    </row>
    <row r="1513" spans="1:20" x14ac:dyDescent="0.2">
      <c r="A1513" s="4" t="s">
        <v>3108</v>
      </c>
      <c r="B1513" s="4" t="s">
        <v>3554</v>
      </c>
      <c r="C1513" s="4" t="s">
        <v>2286</v>
      </c>
      <c r="D1513" s="4" t="s">
        <v>2236</v>
      </c>
      <c r="E1513" s="4" t="s">
        <v>3575</v>
      </c>
      <c r="F1513" s="4" t="s">
        <v>3555</v>
      </c>
      <c r="G1513" s="4" t="s">
        <v>3108</v>
      </c>
      <c r="H1513" s="4" t="s">
        <v>2183</v>
      </c>
      <c r="I1513" s="4" t="s">
        <v>2100</v>
      </c>
      <c r="J1513" s="4" t="s">
        <v>2829</v>
      </c>
      <c r="K1513">
        <v>6</v>
      </c>
      <c r="L1513">
        <v>1.8288</v>
      </c>
      <c r="M1513">
        <v>25.4</v>
      </c>
      <c r="N1513">
        <v>234.95</v>
      </c>
      <c r="O1513">
        <v>72</v>
      </c>
      <c r="P1513">
        <v>1</v>
      </c>
      <c r="Q1513">
        <v>9.25</v>
      </c>
      <c r="R1513">
        <v>549.76300000000003</v>
      </c>
      <c r="S1513">
        <v>1.0913784623999999E-2</v>
      </c>
      <c r="T1513" s="4" t="s">
        <v>3572</v>
      </c>
    </row>
    <row r="1514" spans="1:20" x14ac:dyDescent="0.2">
      <c r="A1514" s="4" t="s">
        <v>3108</v>
      </c>
      <c r="B1514" s="4" t="s">
        <v>3554</v>
      </c>
      <c r="C1514" s="4" t="s">
        <v>2286</v>
      </c>
      <c r="D1514" s="4" t="s">
        <v>2236</v>
      </c>
      <c r="E1514" s="4" t="s">
        <v>3576</v>
      </c>
      <c r="F1514" s="4" t="s">
        <v>3555</v>
      </c>
      <c r="G1514" s="4" t="s">
        <v>3108</v>
      </c>
      <c r="H1514" s="4" t="s">
        <v>2183</v>
      </c>
      <c r="I1514" s="4" t="s">
        <v>2100</v>
      </c>
      <c r="J1514" s="4" t="s">
        <v>2829</v>
      </c>
      <c r="K1514">
        <v>7</v>
      </c>
      <c r="L1514">
        <v>2.1335999999999999</v>
      </c>
      <c r="M1514">
        <v>25.4</v>
      </c>
      <c r="N1514">
        <v>234.95</v>
      </c>
      <c r="O1514">
        <v>84</v>
      </c>
      <c r="P1514">
        <v>1</v>
      </c>
      <c r="Q1514">
        <v>9.25</v>
      </c>
      <c r="R1514">
        <v>549.76300000000003</v>
      </c>
      <c r="S1514">
        <v>1.2732748727999999E-2</v>
      </c>
      <c r="T1514" s="4" t="s">
        <v>3572</v>
      </c>
    </row>
    <row r="1515" spans="1:20" x14ac:dyDescent="0.2">
      <c r="A1515" s="4" t="s">
        <v>3108</v>
      </c>
      <c r="B1515" s="4" t="s">
        <v>3554</v>
      </c>
      <c r="C1515" s="4" t="s">
        <v>2096</v>
      </c>
      <c r="D1515" s="4" t="s">
        <v>2236</v>
      </c>
      <c r="E1515" s="4" t="s">
        <v>3577</v>
      </c>
      <c r="F1515" s="4" t="s">
        <v>3555</v>
      </c>
      <c r="G1515" s="4" t="s">
        <v>3108</v>
      </c>
      <c r="H1515" s="4" t="s">
        <v>2183</v>
      </c>
      <c r="I1515" s="4" t="s">
        <v>2100</v>
      </c>
      <c r="J1515" s="4" t="s">
        <v>2829</v>
      </c>
      <c r="K1515">
        <v>8</v>
      </c>
      <c r="L1515">
        <v>2.4384000000000001</v>
      </c>
      <c r="M1515">
        <v>25.4</v>
      </c>
      <c r="N1515">
        <v>234.95</v>
      </c>
      <c r="O1515">
        <v>96.000000000000014</v>
      </c>
      <c r="P1515">
        <v>1</v>
      </c>
      <c r="Q1515">
        <v>9.25</v>
      </c>
      <c r="R1515">
        <v>549.76300000000003</v>
      </c>
      <c r="S1515">
        <v>1.4551712832E-2</v>
      </c>
      <c r="T1515" s="4" t="s">
        <v>3556</v>
      </c>
    </row>
    <row r="1516" spans="1:20" x14ac:dyDescent="0.2">
      <c r="A1516" s="4" t="s">
        <v>3108</v>
      </c>
      <c r="B1516" s="4" t="s">
        <v>3554</v>
      </c>
      <c r="C1516" s="4" t="s">
        <v>2096</v>
      </c>
      <c r="D1516" s="4" t="s">
        <v>2236</v>
      </c>
      <c r="E1516" s="4" t="s">
        <v>3578</v>
      </c>
      <c r="F1516" s="4" t="s">
        <v>3555</v>
      </c>
      <c r="G1516" s="4" t="s">
        <v>3108</v>
      </c>
      <c r="H1516" s="4" t="s">
        <v>2183</v>
      </c>
      <c r="I1516" s="4" t="s">
        <v>2100</v>
      </c>
      <c r="J1516" s="4" t="s">
        <v>2829</v>
      </c>
      <c r="K1516">
        <v>9</v>
      </c>
      <c r="L1516">
        <v>2.7431999999999999</v>
      </c>
      <c r="M1516">
        <v>25.4</v>
      </c>
      <c r="N1516">
        <v>234.95</v>
      </c>
      <c r="O1516">
        <v>108</v>
      </c>
      <c r="P1516">
        <v>1</v>
      </c>
      <c r="Q1516">
        <v>9.25</v>
      </c>
      <c r="R1516">
        <v>549.76300000000003</v>
      </c>
      <c r="S1516">
        <v>1.6370676936E-2</v>
      </c>
      <c r="T1516" s="4" t="s">
        <v>3556</v>
      </c>
    </row>
    <row r="1517" spans="1:20" x14ac:dyDescent="0.2">
      <c r="A1517" s="4" t="s">
        <v>3108</v>
      </c>
      <c r="B1517" s="4" t="s">
        <v>3579</v>
      </c>
      <c r="C1517" s="4" t="s">
        <v>2096</v>
      </c>
      <c r="D1517" s="4" t="s">
        <v>2236</v>
      </c>
      <c r="E1517" s="4" t="s">
        <v>3580</v>
      </c>
      <c r="F1517" s="4" t="s">
        <v>3581</v>
      </c>
      <c r="G1517" s="4" t="s">
        <v>3108</v>
      </c>
      <c r="H1517" s="4" t="s">
        <v>2183</v>
      </c>
      <c r="I1517" s="4" t="s">
        <v>2100</v>
      </c>
      <c r="J1517" s="4" t="s">
        <v>2854</v>
      </c>
      <c r="K1517">
        <v>10</v>
      </c>
      <c r="L1517">
        <v>3.048</v>
      </c>
      <c r="M1517">
        <v>25.4</v>
      </c>
      <c r="N1517">
        <v>285.75</v>
      </c>
      <c r="O1517">
        <v>120</v>
      </c>
      <c r="P1517">
        <v>1</v>
      </c>
      <c r="Q1517">
        <v>11.25</v>
      </c>
      <c r="R1517">
        <v>452.02800000000002</v>
      </c>
      <c r="S1517">
        <v>2.21225364E-2</v>
      </c>
      <c r="T1517" s="4" t="s">
        <v>3582</v>
      </c>
    </row>
    <row r="1518" spans="1:20" x14ac:dyDescent="0.2">
      <c r="A1518" s="4" t="s">
        <v>3108</v>
      </c>
      <c r="B1518" s="4" t="s">
        <v>3579</v>
      </c>
      <c r="C1518" s="4" t="s">
        <v>2096</v>
      </c>
      <c r="D1518" s="4" t="s">
        <v>2236</v>
      </c>
      <c r="E1518" s="4" t="s">
        <v>3583</v>
      </c>
      <c r="F1518" s="4" t="s">
        <v>3581</v>
      </c>
      <c r="G1518" s="4" t="s">
        <v>3108</v>
      </c>
      <c r="H1518" s="4" t="s">
        <v>2183</v>
      </c>
      <c r="I1518" s="4" t="s">
        <v>2100</v>
      </c>
      <c r="J1518" s="4" t="s">
        <v>2854</v>
      </c>
      <c r="K1518">
        <v>10</v>
      </c>
      <c r="L1518">
        <v>3.048</v>
      </c>
      <c r="M1518">
        <v>25.4</v>
      </c>
      <c r="N1518">
        <v>285.75</v>
      </c>
      <c r="O1518">
        <v>120</v>
      </c>
      <c r="P1518">
        <v>1</v>
      </c>
      <c r="Q1518">
        <v>11.25</v>
      </c>
      <c r="R1518">
        <v>452.02800000000002</v>
      </c>
      <c r="S1518">
        <v>2.21225364E-2</v>
      </c>
      <c r="T1518" s="4" t="s">
        <v>3582</v>
      </c>
    </row>
    <row r="1519" spans="1:20" x14ac:dyDescent="0.2">
      <c r="A1519" s="4" t="s">
        <v>3108</v>
      </c>
      <c r="B1519" s="4" t="s">
        <v>3579</v>
      </c>
      <c r="C1519" s="4" t="s">
        <v>2096</v>
      </c>
      <c r="D1519" s="4" t="s">
        <v>2236</v>
      </c>
      <c r="E1519" s="4" t="s">
        <v>3584</v>
      </c>
      <c r="F1519" s="4" t="s">
        <v>3581</v>
      </c>
      <c r="G1519" s="4" t="s">
        <v>3108</v>
      </c>
      <c r="H1519" s="4" t="s">
        <v>2183</v>
      </c>
      <c r="I1519" s="4" t="s">
        <v>2100</v>
      </c>
      <c r="J1519" s="4" t="s">
        <v>2854</v>
      </c>
      <c r="K1519">
        <v>11</v>
      </c>
      <c r="L1519">
        <v>3.3527999999999998</v>
      </c>
      <c r="M1519">
        <v>25.4</v>
      </c>
      <c r="N1519">
        <v>285.75</v>
      </c>
      <c r="O1519">
        <v>132</v>
      </c>
      <c r="P1519">
        <v>1</v>
      </c>
      <c r="Q1519">
        <v>11.25</v>
      </c>
      <c r="R1519">
        <v>452.02800000000002</v>
      </c>
      <c r="S1519">
        <v>2.4334790039999995E-2</v>
      </c>
      <c r="T1519" s="4" t="s">
        <v>3582</v>
      </c>
    </row>
    <row r="1520" spans="1:20" x14ac:dyDescent="0.2">
      <c r="A1520" s="4" t="s">
        <v>3108</v>
      </c>
      <c r="B1520" s="4" t="s">
        <v>3579</v>
      </c>
      <c r="C1520" s="4" t="s">
        <v>2096</v>
      </c>
      <c r="D1520" s="4" t="s">
        <v>2236</v>
      </c>
      <c r="E1520" s="4" t="s">
        <v>3585</v>
      </c>
      <c r="F1520" s="4" t="s">
        <v>3581</v>
      </c>
      <c r="G1520" s="4" t="s">
        <v>3108</v>
      </c>
      <c r="H1520" s="4" t="s">
        <v>2183</v>
      </c>
      <c r="I1520" s="4" t="s">
        <v>2100</v>
      </c>
      <c r="J1520" s="4" t="s">
        <v>2854</v>
      </c>
      <c r="K1520">
        <v>11</v>
      </c>
      <c r="L1520">
        <v>3.3527999999999998</v>
      </c>
      <c r="M1520">
        <v>25.4</v>
      </c>
      <c r="N1520">
        <v>285.75</v>
      </c>
      <c r="O1520">
        <v>132</v>
      </c>
      <c r="P1520">
        <v>1</v>
      </c>
      <c r="Q1520">
        <v>11.25</v>
      </c>
      <c r="R1520">
        <v>452.02800000000002</v>
      </c>
      <c r="S1520">
        <v>2.4334790039999995E-2</v>
      </c>
      <c r="T1520" s="4" t="s">
        <v>3582</v>
      </c>
    </row>
    <row r="1521" spans="1:20" x14ac:dyDescent="0.2">
      <c r="A1521" s="4" t="s">
        <v>3108</v>
      </c>
      <c r="B1521" s="4" t="s">
        <v>3579</v>
      </c>
      <c r="C1521" s="4" t="s">
        <v>2096</v>
      </c>
      <c r="D1521" s="4" t="s">
        <v>2236</v>
      </c>
      <c r="E1521" s="4" t="s">
        <v>3586</v>
      </c>
      <c r="F1521" s="4" t="s">
        <v>3581</v>
      </c>
      <c r="G1521" s="4" t="s">
        <v>3108</v>
      </c>
      <c r="H1521" s="4" t="s">
        <v>2183</v>
      </c>
      <c r="I1521" s="4" t="s">
        <v>2100</v>
      </c>
      <c r="J1521" s="4" t="s">
        <v>2854</v>
      </c>
      <c r="K1521">
        <v>12</v>
      </c>
      <c r="L1521">
        <v>3.6576</v>
      </c>
      <c r="M1521">
        <v>25.4</v>
      </c>
      <c r="N1521">
        <v>285.75</v>
      </c>
      <c r="O1521">
        <v>144</v>
      </c>
      <c r="P1521">
        <v>1</v>
      </c>
      <c r="Q1521">
        <v>11.25</v>
      </c>
      <c r="R1521">
        <v>452.02800000000002</v>
      </c>
      <c r="S1521">
        <v>2.6547043679999997E-2</v>
      </c>
      <c r="T1521" s="4" t="s">
        <v>3582</v>
      </c>
    </row>
    <row r="1522" spans="1:20" x14ac:dyDescent="0.2">
      <c r="A1522" s="4" t="s">
        <v>3108</v>
      </c>
      <c r="B1522" s="4" t="s">
        <v>3579</v>
      </c>
      <c r="C1522" s="4" t="s">
        <v>2096</v>
      </c>
      <c r="D1522" s="4" t="s">
        <v>2236</v>
      </c>
      <c r="E1522" s="4" t="s">
        <v>3587</v>
      </c>
      <c r="F1522" s="4" t="s">
        <v>3581</v>
      </c>
      <c r="G1522" s="4" t="s">
        <v>3108</v>
      </c>
      <c r="H1522" s="4" t="s">
        <v>2183</v>
      </c>
      <c r="I1522" s="4" t="s">
        <v>2100</v>
      </c>
      <c r="J1522" s="4" t="s">
        <v>2854</v>
      </c>
      <c r="K1522">
        <v>12</v>
      </c>
      <c r="L1522">
        <v>3.6576</v>
      </c>
      <c r="M1522">
        <v>25.4</v>
      </c>
      <c r="N1522">
        <v>285.75</v>
      </c>
      <c r="O1522">
        <v>144</v>
      </c>
      <c r="P1522">
        <v>1</v>
      </c>
      <c r="Q1522">
        <v>11.25</v>
      </c>
      <c r="R1522">
        <v>452.02800000000002</v>
      </c>
      <c r="S1522">
        <v>2.6547043679999997E-2</v>
      </c>
      <c r="T1522" s="4" t="s">
        <v>3582</v>
      </c>
    </row>
    <row r="1523" spans="1:20" x14ac:dyDescent="0.2">
      <c r="A1523" s="4" t="s">
        <v>3108</v>
      </c>
      <c r="B1523" s="4" t="s">
        <v>3579</v>
      </c>
      <c r="C1523" s="4" t="s">
        <v>2096</v>
      </c>
      <c r="D1523" s="4" t="s">
        <v>2236</v>
      </c>
      <c r="E1523" s="4" t="s">
        <v>3588</v>
      </c>
      <c r="F1523" s="4" t="s">
        <v>3581</v>
      </c>
      <c r="G1523" s="4" t="s">
        <v>3108</v>
      </c>
      <c r="H1523" s="4" t="s">
        <v>2183</v>
      </c>
      <c r="I1523" s="4" t="s">
        <v>2100</v>
      </c>
      <c r="J1523" s="4" t="s">
        <v>2854</v>
      </c>
      <c r="K1523">
        <v>13</v>
      </c>
      <c r="L1523">
        <v>3.9624000000000001</v>
      </c>
      <c r="M1523">
        <v>25.4</v>
      </c>
      <c r="N1523">
        <v>285.75</v>
      </c>
      <c r="O1523">
        <v>156</v>
      </c>
      <c r="P1523">
        <v>1</v>
      </c>
      <c r="Q1523">
        <v>11.25</v>
      </c>
      <c r="R1523">
        <v>452.02800000000002</v>
      </c>
      <c r="S1523">
        <v>2.8759297319999998E-2</v>
      </c>
      <c r="T1523" s="4" t="s">
        <v>3582</v>
      </c>
    </row>
    <row r="1524" spans="1:20" x14ac:dyDescent="0.2">
      <c r="A1524" s="4" t="s">
        <v>3108</v>
      </c>
      <c r="B1524" s="4" t="s">
        <v>3579</v>
      </c>
      <c r="C1524" s="4" t="s">
        <v>2096</v>
      </c>
      <c r="D1524" s="4" t="s">
        <v>2236</v>
      </c>
      <c r="E1524" s="4" t="s">
        <v>3589</v>
      </c>
      <c r="F1524" s="4" t="s">
        <v>3581</v>
      </c>
      <c r="G1524" s="4" t="s">
        <v>3108</v>
      </c>
      <c r="H1524" s="4" t="s">
        <v>2183</v>
      </c>
      <c r="I1524" s="4" t="s">
        <v>2100</v>
      </c>
      <c r="J1524" s="4" t="s">
        <v>2854</v>
      </c>
      <c r="K1524">
        <v>13</v>
      </c>
      <c r="L1524">
        <v>3.9624000000000001</v>
      </c>
      <c r="M1524">
        <v>25.4</v>
      </c>
      <c r="N1524">
        <v>285.75</v>
      </c>
      <c r="O1524">
        <v>156</v>
      </c>
      <c r="P1524">
        <v>1</v>
      </c>
      <c r="Q1524">
        <v>11.25</v>
      </c>
      <c r="R1524">
        <v>452.02800000000002</v>
      </c>
      <c r="S1524">
        <v>2.8759297319999998E-2</v>
      </c>
      <c r="T1524" s="4" t="s">
        <v>3582</v>
      </c>
    </row>
    <row r="1525" spans="1:20" x14ac:dyDescent="0.2">
      <c r="A1525" s="4" t="s">
        <v>3108</v>
      </c>
      <c r="B1525" s="4" t="s">
        <v>3579</v>
      </c>
      <c r="C1525" s="4" t="s">
        <v>2096</v>
      </c>
      <c r="D1525" s="4" t="s">
        <v>2236</v>
      </c>
      <c r="E1525" s="4" t="s">
        <v>3590</v>
      </c>
      <c r="F1525" s="4" t="s">
        <v>3581</v>
      </c>
      <c r="G1525" s="4" t="s">
        <v>3108</v>
      </c>
      <c r="H1525" s="4" t="s">
        <v>2183</v>
      </c>
      <c r="I1525" s="4" t="s">
        <v>2100</v>
      </c>
      <c r="J1525" s="4" t="s">
        <v>2854</v>
      </c>
      <c r="K1525">
        <v>14</v>
      </c>
      <c r="L1525">
        <v>4.2671999999999999</v>
      </c>
      <c r="M1525">
        <v>25.4</v>
      </c>
      <c r="N1525">
        <v>285.75</v>
      </c>
      <c r="O1525">
        <v>168</v>
      </c>
      <c r="P1525">
        <v>1</v>
      </c>
      <c r="Q1525">
        <v>11.25</v>
      </c>
      <c r="R1525">
        <v>452.02800000000002</v>
      </c>
      <c r="S1525">
        <v>3.0971550959999997E-2</v>
      </c>
      <c r="T1525" s="4" t="s">
        <v>3582</v>
      </c>
    </row>
    <row r="1526" spans="1:20" x14ac:dyDescent="0.2">
      <c r="A1526" s="4" t="s">
        <v>3108</v>
      </c>
      <c r="B1526" s="4" t="s">
        <v>3579</v>
      </c>
      <c r="C1526" s="4" t="s">
        <v>2096</v>
      </c>
      <c r="D1526" s="4" t="s">
        <v>2236</v>
      </c>
      <c r="E1526" s="4" t="s">
        <v>889</v>
      </c>
      <c r="F1526" s="4" t="s">
        <v>3581</v>
      </c>
      <c r="G1526" s="4" t="s">
        <v>3108</v>
      </c>
      <c r="H1526" s="4" t="s">
        <v>2183</v>
      </c>
      <c r="I1526" s="4" t="s">
        <v>2100</v>
      </c>
      <c r="J1526" s="4" t="s">
        <v>2854</v>
      </c>
      <c r="K1526">
        <v>14</v>
      </c>
      <c r="L1526">
        <v>4.2671999999999999</v>
      </c>
      <c r="M1526">
        <v>25.4</v>
      </c>
      <c r="N1526">
        <v>285.75</v>
      </c>
      <c r="O1526">
        <v>168</v>
      </c>
      <c r="P1526">
        <v>1</v>
      </c>
      <c r="Q1526">
        <v>11.25</v>
      </c>
      <c r="R1526">
        <v>452.02800000000002</v>
      </c>
      <c r="S1526">
        <v>3.0971550959999997E-2</v>
      </c>
      <c r="T1526" s="4" t="s">
        <v>3582</v>
      </c>
    </row>
    <row r="1527" spans="1:20" x14ac:dyDescent="0.2">
      <c r="A1527" s="4" t="s">
        <v>3108</v>
      </c>
      <c r="B1527" s="4" t="s">
        <v>3579</v>
      </c>
      <c r="C1527" s="4" t="s">
        <v>2096</v>
      </c>
      <c r="D1527" s="4" t="s">
        <v>2236</v>
      </c>
      <c r="E1527" s="4" t="s">
        <v>3591</v>
      </c>
      <c r="F1527" s="4" t="s">
        <v>3581</v>
      </c>
      <c r="G1527" s="4" t="s">
        <v>3108</v>
      </c>
      <c r="H1527" s="4" t="s">
        <v>2183</v>
      </c>
      <c r="I1527" s="4" t="s">
        <v>2100</v>
      </c>
      <c r="J1527" s="4" t="s">
        <v>2854</v>
      </c>
      <c r="K1527">
        <v>15</v>
      </c>
      <c r="L1527">
        <v>4.5720000000000001</v>
      </c>
      <c r="M1527">
        <v>25.4</v>
      </c>
      <c r="N1527">
        <v>285.75</v>
      </c>
      <c r="O1527">
        <v>180</v>
      </c>
      <c r="P1527">
        <v>1</v>
      </c>
      <c r="Q1527">
        <v>11.25</v>
      </c>
      <c r="R1527">
        <v>452.02800000000002</v>
      </c>
      <c r="S1527">
        <v>3.3183804600000005E-2</v>
      </c>
      <c r="T1527" s="4" t="s">
        <v>3582</v>
      </c>
    </row>
    <row r="1528" spans="1:20" x14ac:dyDescent="0.2">
      <c r="A1528" s="4" t="s">
        <v>3108</v>
      </c>
      <c r="B1528" s="4" t="s">
        <v>3579</v>
      </c>
      <c r="C1528" s="4" t="s">
        <v>2096</v>
      </c>
      <c r="D1528" s="4" t="s">
        <v>2236</v>
      </c>
      <c r="E1528" s="4" t="s">
        <v>3592</v>
      </c>
      <c r="F1528" s="4" t="s">
        <v>3581</v>
      </c>
      <c r="G1528" s="4" t="s">
        <v>3108</v>
      </c>
      <c r="H1528" s="4" t="s">
        <v>2183</v>
      </c>
      <c r="I1528" s="4" t="s">
        <v>2100</v>
      </c>
      <c r="J1528" s="4" t="s">
        <v>2854</v>
      </c>
      <c r="K1528">
        <v>15</v>
      </c>
      <c r="L1528">
        <v>4.5720000000000001</v>
      </c>
      <c r="M1528">
        <v>25.4</v>
      </c>
      <c r="N1528">
        <v>285.75</v>
      </c>
      <c r="O1528">
        <v>180</v>
      </c>
      <c r="P1528">
        <v>1</v>
      </c>
      <c r="Q1528">
        <v>11.25</v>
      </c>
      <c r="R1528">
        <v>452.02800000000002</v>
      </c>
      <c r="S1528">
        <v>3.3183804600000005E-2</v>
      </c>
      <c r="T1528" s="4" t="s">
        <v>3582</v>
      </c>
    </row>
    <row r="1529" spans="1:20" x14ac:dyDescent="0.2">
      <c r="A1529" s="4" t="s">
        <v>3108</v>
      </c>
      <c r="B1529" s="4" t="s">
        <v>3579</v>
      </c>
      <c r="C1529" s="4" t="s">
        <v>2096</v>
      </c>
      <c r="D1529" s="4" t="s">
        <v>2236</v>
      </c>
      <c r="E1529" s="4" t="s">
        <v>3593</v>
      </c>
      <c r="F1529" s="4" t="s">
        <v>3581</v>
      </c>
      <c r="G1529" s="4" t="s">
        <v>3108</v>
      </c>
      <c r="H1529" s="4" t="s">
        <v>2183</v>
      </c>
      <c r="I1529" s="4" t="s">
        <v>2100</v>
      </c>
      <c r="J1529" s="4" t="s">
        <v>2854</v>
      </c>
      <c r="K1529">
        <v>16</v>
      </c>
      <c r="L1529">
        <v>4.8768000000000002</v>
      </c>
      <c r="M1529">
        <v>25.4</v>
      </c>
      <c r="N1529">
        <v>285.75</v>
      </c>
      <c r="O1529">
        <v>192.00000000000003</v>
      </c>
      <c r="P1529">
        <v>1</v>
      </c>
      <c r="Q1529">
        <v>11.25</v>
      </c>
      <c r="R1529">
        <v>452.02800000000002</v>
      </c>
      <c r="S1529">
        <v>3.539605824E-2</v>
      </c>
      <c r="T1529" s="4" t="s">
        <v>3582</v>
      </c>
    </row>
    <row r="1530" spans="1:20" x14ac:dyDescent="0.2">
      <c r="A1530" s="4" t="s">
        <v>3108</v>
      </c>
      <c r="B1530" s="4" t="s">
        <v>3579</v>
      </c>
      <c r="C1530" s="4" t="s">
        <v>2096</v>
      </c>
      <c r="D1530" s="4" t="s">
        <v>2236</v>
      </c>
      <c r="E1530" s="4" t="s">
        <v>891</v>
      </c>
      <c r="F1530" s="4" t="s">
        <v>3581</v>
      </c>
      <c r="G1530" s="4" t="s">
        <v>3108</v>
      </c>
      <c r="H1530" s="4" t="s">
        <v>2183</v>
      </c>
      <c r="I1530" s="4" t="s">
        <v>2100</v>
      </c>
      <c r="J1530" s="4" t="s">
        <v>2854</v>
      </c>
      <c r="K1530">
        <v>16</v>
      </c>
      <c r="L1530">
        <v>4.8768000000000002</v>
      </c>
      <c r="M1530">
        <v>25.4</v>
      </c>
      <c r="N1530">
        <v>285.75</v>
      </c>
      <c r="O1530">
        <v>192.00000000000003</v>
      </c>
      <c r="P1530">
        <v>1</v>
      </c>
      <c r="Q1530">
        <v>11.25</v>
      </c>
      <c r="R1530">
        <v>452.02800000000002</v>
      </c>
      <c r="S1530">
        <v>3.539605824E-2</v>
      </c>
      <c r="T1530" s="4" t="s">
        <v>3582</v>
      </c>
    </row>
    <row r="1531" spans="1:20" x14ac:dyDescent="0.2">
      <c r="A1531" s="4" t="s">
        <v>3108</v>
      </c>
      <c r="B1531" s="4" t="s">
        <v>3579</v>
      </c>
      <c r="C1531" s="4" t="s">
        <v>2096</v>
      </c>
      <c r="D1531" s="4" t="s">
        <v>2236</v>
      </c>
      <c r="E1531" s="4" t="s">
        <v>3594</v>
      </c>
      <c r="F1531" s="4" t="s">
        <v>3581</v>
      </c>
      <c r="G1531" s="4" t="s">
        <v>3108</v>
      </c>
      <c r="H1531" s="4" t="s">
        <v>2183</v>
      </c>
      <c r="I1531" s="4" t="s">
        <v>2100</v>
      </c>
      <c r="J1531" s="4" t="s">
        <v>2854</v>
      </c>
      <c r="K1531">
        <v>17</v>
      </c>
      <c r="L1531">
        <v>5.1816000000000004</v>
      </c>
      <c r="M1531">
        <v>25.4</v>
      </c>
      <c r="N1531">
        <v>285.75</v>
      </c>
      <c r="O1531">
        <v>204.00000000000003</v>
      </c>
      <c r="P1531">
        <v>1</v>
      </c>
      <c r="Q1531">
        <v>11.25</v>
      </c>
      <c r="R1531">
        <v>452.02800000000002</v>
      </c>
      <c r="S1531">
        <v>3.7608311880000002E-2</v>
      </c>
      <c r="T1531" s="4" t="s">
        <v>3582</v>
      </c>
    </row>
    <row r="1532" spans="1:20" x14ac:dyDescent="0.2">
      <c r="A1532" s="4" t="s">
        <v>3108</v>
      </c>
      <c r="B1532" s="4" t="s">
        <v>3579</v>
      </c>
      <c r="C1532" s="4" t="s">
        <v>2096</v>
      </c>
      <c r="D1532" s="4" t="s">
        <v>2236</v>
      </c>
      <c r="E1532" s="4" t="s">
        <v>3595</v>
      </c>
      <c r="F1532" s="4" t="s">
        <v>3581</v>
      </c>
      <c r="G1532" s="4" t="s">
        <v>3108</v>
      </c>
      <c r="H1532" s="4" t="s">
        <v>2183</v>
      </c>
      <c r="I1532" s="4" t="s">
        <v>2100</v>
      </c>
      <c r="J1532" s="4" t="s">
        <v>2854</v>
      </c>
      <c r="K1532">
        <v>17</v>
      </c>
      <c r="L1532">
        <v>5.1816000000000004</v>
      </c>
      <c r="M1532">
        <v>25.4</v>
      </c>
      <c r="N1532">
        <v>285.75</v>
      </c>
      <c r="O1532">
        <v>204.00000000000003</v>
      </c>
      <c r="P1532">
        <v>1</v>
      </c>
      <c r="Q1532">
        <v>11.25</v>
      </c>
      <c r="R1532">
        <v>452.02800000000002</v>
      </c>
      <c r="S1532">
        <v>3.7608311880000002E-2</v>
      </c>
      <c r="T1532" s="4" t="s">
        <v>3582</v>
      </c>
    </row>
    <row r="1533" spans="1:20" x14ac:dyDescent="0.2">
      <c r="A1533" s="4" t="s">
        <v>3108</v>
      </c>
      <c r="B1533" s="4" t="s">
        <v>3579</v>
      </c>
      <c r="C1533" s="4" t="s">
        <v>2096</v>
      </c>
      <c r="D1533" s="4" t="s">
        <v>2236</v>
      </c>
      <c r="E1533" s="4" t="s">
        <v>3596</v>
      </c>
      <c r="F1533" s="4" t="s">
        <v>3581</v>
      </c>
      <c r="G1533" s="4" t="s">
        <v>3108</v>
      </c>
      <c r="H1533" s="4" t="s">
        <v>2183</v>
      </c>
      <c r="I1533" s="4" t="s">
        <v>2100</v>
      </c>
      <c r="J1533" s="4" t="s">
        <v>2854</v>
      </c>
      <c r="K1533">
        <v>18</v>
      </c>
      <c r="L1533">
        <v>5.4863999999999997</v>
      </c>
      <c r="M1533">
        <v>25.4</v>
      </c>
      <c r="N1533">
        <v>285.75</v>
      </c>
      <c r="O1533">
        <v>216</v>
      </c>
      <c r="P1533">
        <v>1</v>
      </c>
      <c r="Q1533">
        <v>11.25</v>
      </c>
      <c r="R1533">
        <v>452.02800000000002</v>
      </c>
      <c r="S1533">
        <v>3.9820565519999997E-2</v>
      </c>
      <c r="T1533" s="4" t="s">
        <v>3582</v>
      </c>
    </row>
    <row r="1534" spans="1:20" x14ac:dyDescent="0.2">
      <c r="A1534" s="4" t="s">
        <v>3108</v>
      </c>
      <c r="B1534" s="4" t="s">
        <v>3579</v>
      </c>
      <c r="C1534" s="4" t="s">
        <v>2096</v>
      </c>
      <c r="D1534" s="4" t="s">
        <v>2236</v>
      </c>
      <c r="E1534" s="4" t="s">
        <v>893</v>
      </c>
      <c r="F1534" s="4" t="s">
        <v>3581</v>
      </c>
      <c r="G1534" s="4" t="s">
        <v>3108</v>
      </c>
      <c r="H1534" s="4" t="s">
        <v>2183</v>
      </c>
      <c r="I1534" s="4" t="s">
        <v>2100</v>
      </c>
      <c r="J1534" s="4" t="s">
        <v>2854</v>
      </c>
      <c r="K1534">
        <v>18</v>
      </c>
      <c r="L1534">
        <v>5.4863999999999997</v>
      </c>
      <c r="M1534">
        <v>25.4</v>
      </c>
      <c r="N1534">
        <v>285.75</v>
      </c>
      <c r="O1534">
        <v>216</v>
      </c>
      <c r="P1534">
        <v>1</v>
      </c>
      <c r="Q1534">
        <v>11.25</v>
      </c>
      <c r="R1534">
        <v>452.02800000000002</v>
      </c>
      <c r="S1534">
        <v>3.9820565519999997E-2</v>
      </c>
      <c r="T1534" s="4" t="s">
        <v>3582</v>
      </c>
    </row>
    <row r="1535" spans="1:20" x14ac:dyDescent="0.2">
      <c r="A1535" s="4" t="s">
        <v>3108</v>
      </c>
      <c r="B1535" s="4" t="s">
        <v>3579</v>
      </c>
      <c r="C1535" s="4" t="s">
        <v>2096</v>
      </c>
      <c r="D1535" s="4" t="s">
        <v>2236</v>
      </c>
      <c r="E1535" s="4" t="s">
        <v>3597</v>
      </c>
      <c r="F1535" s="4" t="s">
        <v>3581</v>
      </c>
      <c r="G1535" s="4" t="s">
        <v>3108</v>
      </c>
      <c r="H1535" s="4" t="s">
        <v>2183</v>
      </c>
      <c r="I1535" s="4" t="s">
        <v>2100</v>
      </c>
      <c r="J1535" s="4" t="s">
        <v>2854</v>
      </c>
      <c r="K1535">
        <v>19</v>
      </c>
      <c r="L1535">
        <v>5.7911999999999999</v>
      </c>
      <c r="M1535">
        <v>25.4</v>
      </c>
      <c r="N1535">
        <v>285.75</v>
      </c>
      <c r="O1535">
        <v>228</v>
      </c>
      <c r="P1535">
        <v>1</v>
      </c>
      <c r="Q1535">
        <v>11.25</v>
      </c>
      <c r="R1535">
        <v>452.02800000000002</v>
      </c>
      <c r="S1535">
        <v>4.2032819159999998E-2</v>
      </c>
      <c r="T1535" s="4" t="s">
        <v>3582</v>
      </c>
    </row>
    <row r="1536" spans="1:20" x14ac:dyDescent="0.2">
      <c r="A1536" s="4" t="s">
        <v>3108</v>
      </c>
      <c r="B1536" s="4" t="s">
        <v>3579</v>
      </c>
      <c r="C1536" s="4" t="s">
        <v>2096</v>
      </c>
      <c r="D1536" s="4" t="s">
        <v>2236</v>
      </c>
      <c r="E1536" s="4" t="s">
        <v>3598</v>
      </c>
      <c r="F1536" s="4" t="s">
        <v>3581</v>
      </c>
      <c r="G1536" s="4" t="s">
        <v>3108</v>
      </c>
      <c r="H1536" s="4" t="s">
        <v>2183</v>
      </c>
      <c r="I1536" s="4" t="s">
        <v>2100</v>
      </c>
      <c r="J1536" s="4" t="s">
        <v>2854</v>
      </c>
      <c r="K1536">
        <v>19</v>
      </c>
      <c r="L1536">
        <v>5.7911999999999999</v>
      </c>
      <c r="M1536">
        <v>25.4</v>
      </c>
      <c r="N1536">
        <v>285.75</v>
      </c>
      <c r="O1536">
        <v>228</v>
      </c>
      <c r="P1536">
        <v>1</v>
      </c>
      <c r="Q1536">
        <v>11.25</v>
      </c>
      <c r="R1536">
        <v>452.02800000000002</v>
      </c>
      <c r="S1536">
        <v>4.2032819159999998E-2</v>
      </c>
      <c r="T1536" s="4" t="s">
        <v>3582</v>
      </c>
    </row>
    <row r="1537" spans="1:20" x14ac:dyDescent="0.2">
      <c r="A1537" s="4" t="s">
        <v>3108</v>
      </c>
      <c r="B1537" s="4" t="s">
        <v>3579</v>
      </c>
      <c r="C1537" s="4" t="s">
        <v>2096</v>
      </c>
      <c r="D1537" s="4" t="s">
        <v>2236</v>
      </c>
      <c r="E1537" s="4" t="s">
        <v>3599</v>
      </c>
      <c r="F1537" s="4" t="s">
        <v>3581</v>
      </c>
      <c r="G1537" s="4" t="s">
        <v>3108</v>
      </c>
      <c r="H1537" s="4" t="s">
        <v>2183</v>
      </c>
      <c r="I1537" s="4" t="s">
        <v>2100</v>
      </c>
      <c r="J1537" s="4" t="s">
        <v>2854</v>
      </c>
      <c r="K1537">
        <v>20</v>
      </c>
      <c r="L1537">
        <v>6.0960000000000001</v>
      </c>
      <c r="M1537">
        <v>25.4</v>
      </c>
      <c r="N1537">
        <v>285.75</v>
      </c>
      <c r="O1537">
        <v>240</v>
      </c>
      <c r="P1537">
        <v>1</v>
      </c>
      <c r="Q1537">
        <v>11.25</v>
      </c>
      <c r="R1537">
        <v>452.02800000000002</v>
      </c>
      <c r="S1537">
        <v>4.42450728E-2</v>
      </c>
      <c r="T1537" s="4" t="s">
        <v>3582</v>
      </c>
    </row>
    <row r="1538" spans="1:20" x14ac:dyDescent="0.2">
      <c r="A1538" s="4" t="s">
        <v>3108</v>
      </c>
      <c r="B1538" s="4" t="s">
        <v>3579</v>
      </c>
      <c r="C1538" s="4" t="s">
        <v>2096</v>
      </c>
      <c r="D1538" s="4" t="s">
        <v>2236</v>
      </c>
      <c r="E1538" s="4" t="s">
        <v>3600</v>
      </c>
      <c r="F1538" s="4" t="s">
        <v>3581</v>
      </c>
      <c r="G1538" s="4" t="s">
        <v>3108</v>
      </c>
      <c r="H1538" s="4" t="s">
        <v>2183</v>
      </c>
      <c r="I1538" s="4" t="s">
        <v>2100</v>
      </c>
      <c r="J1538" s="4" t="s">
        <v>2854</v>
      </c>
      <c r="K1538">
        <v>20</v>
      </c>
      <c r="L1538">
        <v>6.0960000000000001</v>
      </c>
      <c r="M1538">
        <v>25.4</v>
      </c>
      <c r="N1538">
        <v>285.75</v>
      </c>
      <c r="O1538">
        <v>240</v>
      </c>
      <c r="P1538">
        <v>1</v>
      </c>
      <c r="Q1538">
        <v>11.25</v>
      </c>
      <c r="R1538">
        <v>452.02800000000002</v>
      </c>
      <c r="S1538">
        <v>4.42450728E-2</v>
      </c>
      <c r="T1538" s="4" t="s">
        <v>3582</v>
      </c>
    </row>
    <row r="1539" spans="1:20" x14ac:dyDescent="0.2">
      <c r="A1539" s="4" t="s">
        <v>3108</v>
      </c>
      <c r="B1539" s="4" t="s">
        <v>3579</v>
      </c>
      <c r="C1539" s="4" t="s">
        <v>2096</v>
      </c>
      <c r="D1539" s="4" t="s">
        <v>2236</v>
      </c>
      <c r="E1539" s="4" t="s">
        <v>3601</v>
      </c>
      <c r="F1539" s="4" t="s">
        <v>3581</v>
      </c>
      <c r="G1539" s="4" t="s">
        <v>3108</v>
      </c>
      <c r="H1539" s="4" t="s">
        <v>2183</v>
      </c>
      <c r="I1539" s="4" t="s">
        <v>2100</v>
      </c>
      <c r="J1539" s="4" t="s">
        <v>2854</v>
      </c>
      <c r="K1539">
        <v>21</v>
      </c>
      <c r="L1539">
        <v>6.4008000000000003</v>
      </c>
      <c r="M1539">
        <v>25.4</v>
      </c>
      <c r="N1539">
        <v>285.75</v>
      </c>
      <c r="O1539">
        <v>252.00000000000003</v>
      </c>
      <c r="P1539">
        <v>1</v>
      </c>
      <c r="Q1539">
        <v>11.25</v>
      </c>
      <c r="R1539">
        <v>452.02800000000002</v>
      </c>
      <c r="S1539">
        <v>4.6457326440000002E-2</v>
      </c>
      <c r="T1539" s="4" t="s">
        <v>3582</v>
      </c>
    </row>
    <row r="1540" spans="1:20" x14ac:dyDescent="0.2">
      <c r="A1540" s="4" t="s">
        <v>3108</v>
      </c>
      <c r="B1540" s="4" t="s">
        <v>3579</v>
      </c>
      <c r="C1540" s="4" t="s">
        <v>2096</v>
      </c>
      <c r="D1540" s="4" t="s">
        <v>2236</v>
      </c>
      <c r="E1540" s="4" t="s">
        <v>3602</v>
      </c>
      <c r="F1540" s="4" t="s">
        <v>3581</v>
      </c>
      <c r="G1540" s="4" t="s">
        <v>3108</v>
      </c>
      <c r="H1540" s="4" t="s">
        <v>2183</v>
      </c>
      <c r="I1540" s="4" t="s">
        <v>2100</v>
      </c>
      <c r="J1540" s="4" t="s">
        <v>2854</v>
      </c>
      <c r="K1540">
        <v>21</v>
      </c>
      <c r="L1540">
        <v>6.4008000000000003</v>
      </c>
      <c r="M1540">
        <v>25.4</v>
      </c>
      <c r="N1540">
        <v>285.75</v>
      </c>
      <c r="O1540">
        <v>252.00000000000003</v>
      </c>
      <c r="P1540">
        <v>1</v>
      </c>
      <c r="Q1540">
        <v>11.25</v>
      </c>
      <c r="R1540">
        <v>452.02800000000002</v>
      </c>
      <c r="S1540">
        <v>4.6457326440000002E-2</v>
      </c>
      <c r="T1540" s="4" t="s">
        <v>3582</v>
      </c>
    </row>
    <row r="1541" spans="1:20" x14ac:dyDescent="0.2">
      <c r="A1541" s="4" t="s">
        <v>3108</v>
      </c>
      <c r="B1541" s="4" t="s">
        <v>3579</v>
      </c>
      <c r="C1541" s="4" t="s">
        <v>2096</v>
      </c>
      <c r="D1541" s="4" t="s">
        <v>2236</v>
      </c>
      <c r="E1541" s="4" t="s">
        <v>3603</v>
      </c>
      <c r="F1541" s="4" t="s">
        <v>3581</v>
      </c>
      <c r="G1541" s="4" t="s">
        <v>3108</v>
      </c>
      <c r="H1541" s="4" t="s">
        <v>2183</v>
      </c>
      <c r="I1541" s="4" t="s">
        <v>2100</v>
      </c>
      <c r="J1541" s="4" t="s">
        <v>2854</v>
      </c>
      <c r="K1541">
        <v>22</v>
      </c>
      <c r="L1541">
        <v>6.7055999999999996</v>
      </c>
      <c r="M1541">
        <v>25.4</v>
      </c>
      <c r="N1541">
        <v>285.75</v>
      </c>
      <c r="O1541">
        <v>264</v>
      </c>
      <c r="P1541">
        <v>1</v>
      </c>
      <c r="Q1541">
        <v>11.25</v>
      </c>
      <c r="R1541">
        <v>452.02800000000002</v>
      </c>
      <c r="S1541">
        <v>4.866958007999999E-2</v>
      </c>
      <c r="T1541" s="4" t="s">
        <v>3582</v>
      </c>
    </row>
    <row r="1542" spans="1:20" x14ac:dyDescent="0.2">
      <c r="A1542" s="4" t="s">
        <v>3108</v>
      </c>
      <c r="B1542" s="4" t="s">
        <v>3579</v>
      </c>
      <c r="C1542" s="4" t="s">
        <v>2096</v>
      </c>
      <c r="D1542" s="4" t="s">
        <v>2236</v>
      </c>
      <c r="E1542" s="4" t="s">
        <v>3604</v>
      </c>
      <c r="F1542" s="4" t="s">
        <v>3581</v>
      </c>
      <c r="G1542" s="4" t="s">
        <v>3108</v>
      </c>
      <c r="H1542" s="4" t="s">
        <v>2183</v>
      </c>
      <c r="I1542" s="4" t="s">
        <v>2100</v>
      </c>
      <c r="J1542" s="4" t="s">
        <v>2854</v>
      </c>
      <c r="K1542">
        <v>22</v>
      </c>
      <c r="L1542">
        <v>6.7055999999999996</v>
      </c>
      <c r="M1542">
        <v>25.4</v>
      </c>
      <c r="N1542">
        <v>285.75</v>
      </c>
      <c r="O1542">
        <v>264</v>
      </c>
      <c r="P1542">
        <v>1</v>
      </c>
      <c r="Q1542">
        <v>11.25</v>
      </c>
      <c r="R1542">
        <v>452.02800000000002</v>
      </c>
      <c r="S1542">
        <v>4.866958007999999E-2</v>
      </c>
      <c r="T1542" s="4" t="s">
        <v>3582</v>
      </c>
    </row>
    <row r="1543" spans="1:20" x14ac:dyDescent="0.2">
      <c r="A1543" s="4" t="s">
        <v>3108</v>
      </c>
      <c r="B1543" s="4" t="s">
        <v>3579</v>
      </c>
      <c r="C1543" s="4" t="s">
        <v>2286</v>
      </c>
      <c r="D1543" s="4" t="s">
        <v>2236</v>
      </c>
      <c r="E1543" s="4" t="s">
        <v>3605</v>
      </c>
      <c r="F1543" s="4" t="s">
        <v>3581</v>
      </c>
      <c r="G1543" s="4" t="s">
        <v>3108</v>
      </c>
      <c r="H1543" s="4" t="s">
        <v>2183</v>
      </c>
      <c r="I1543" s="4" t="s">
        <v>2100</v>
      </c>
      <c r="J1543" s="4" t="s">
        <v>2854</v>
      </c>
      <c r="K1543">
        <v>3</v>
      </c>
      <c r="L1543">
        <v>0.91439999999999999</v>
      </c>
      <c r="M1543">
        <v>25.4</v>
      </c>
      <c r="N1543">
        <v>285.75</v>
      </c>
      <c r="O1543">
        <v>36</v>
      </c>
      <c r="P1543">
        <v>1</v>
      </c>
      <c r="Q1543">
        <v>11.25</v>
      </c>
      <c r="R1543">
        <v>452.02800000000002</v>
      </c>
      <c r="S1543">
        <v>6.6367609199999992E-3</v>
      </c>
      <c r="T1543" s="4" t="s">
        <v>3606</v>
      </c>
    </row>
    <row r="1544" spans="1:20" x14ac:dyDescent="0.2">
      <c r="A1544" s="4" t="s">
        <v>3108</v>
      </c>
      <c r="B1544" s="4" t="s">
        <v>3579</v>
      </c>
      <c r="C1544" s="4" t="s">
        <v>2286</v>
      </c>
      <c r="D1544" s="4" t="s">
        <v>2236</v>
      </c>
      <c r="E1544" s="4" t="s">
        <v>3607</v>
      </c>
      <c r="F1544" s="4" t="s">
        <v>3581</v>
      </c>
      <c r="G1544" s="4" t="s">
        <v>3108</v>
      </c>
      <c r="H1544" s="4" t="s">
        <v>2183</v>
      </c>
      <c r="I1544" s="4" t="s">
        <v>2100</v>
      </c>
      <c r="J1544" s="4" t="s">
        <v>2854</v>
      </c>
      <c r="K1544">
        <v>3</v>
      </c>
      <c r="L1544">
        <v>0.91439999999999999</v>
      </c>
      <c r="M1544">
        <v>25.4</v>
      </c>
      <c r="N1544">
        <v>285.75</v>
      </c>
      <c r="O1544">
        <v>36</v>
      </c>
      <c r="P1544">
        <v>1</v>
      </c>
      <c r="Q1544">
        <v>11.25</v>
      </c>
      <c r="R1544">
        <v>452.02800000000002</v>
      </c>
      <c r="S1544">
        <v>6.6367609199999992E-3</v>
      </c>
      <c r="T1544" s="4" t="s">
        <v>3606</v>
      </c>
    </row>
    <row r="1545" spans="1:20" x14ac:dyDescent="0.2">
      <c r="A1545" s="4" t="s">
        <v>3108</v>
      </c>
      <c r="B1545" s="4" t="s">
        <v>3579</v>
      </c>
      <c r="C1545" s="4" t="s">
        <v>2286</v>
      </c>
      <c r="D1545" s="4" t="s">
        <v>2236</v>
      </c>
      <c r="E1545" s="4" t="s">
        <v>3608</v>
      </c>
      <c r="F1545" s="4" t="s">
        <v>3581</v>
      </c>
      <c r="G1545" s="4" t="s">
        <v>3108</v>
      </c>
      <c r="H1545" s="4" t="s">
        <v>2183</v>
      </c>
      <c r="I1545" s="4" t="s">
        <v>2100</v>
      </c>
      <c r="J1545" s="4" t="s">
        <v>2854</v>
      </c>
      <c r="K1545">
        <v>4</v>
      </c>
      <c r="L1545">
        <v>1.2192000000000001</v>
      </c>
      <c r="M1545">
        <v>25.4</v>
      </c>
      <c r="N1545">
        <v>285.75</v>
      </c>
      <c r="O1545">
        <v>48.000000000000007</v>
      </c>
      <c r="P1545">
        <v>1</v>
      </c>
      <c r="Q1545">
        <v>11.25</v>
      </c>
      <c r="R1545">
        <v>452.02800000000002</v>
      </c>
      <c r="S1545">
        <v>8.84901456E-3</v>
      </c>
      <c r="T1545" s="4" t="s">
        <v>3606</v>
      </c>
    </row>
    <row r="1546" spans="1:20" x14ac:dyDescent="0.2">
      <c r="A1546" s="4" t="s">
        <v>3108</v>
      </c>
      <c r="B1546" s="4" t="s">
        <v>3579</v>
      </c>
      <c r="C1546" s="4" t="s">
        <v>2286</v>
      </c>
      <c r="D1546" s="4" t="s">
        <v>2236</v>
      </c>
      <c r="E1546" s="4" t="s">
        <v>3609</v>
      </c>
      <c r="F1546" s="4" t="s">
        <v>3581</v>
      </c>
      <c r="G1546" s="4" t="s">
        <v>3108</v>
      </c>
      <c r="H1546" s="4" t="s">
        <v>2183</v>
      </c>
      <c r="I1546" s="4" t="s">
        <v>2100</v>
      </c>
      <c r="J1546" s="4" t="s">
        <v>2854</v>
      </c>
      <c r="K1546">
        <v>4</v>
      </c>
      <c r="L1546">
        <v>1.2192000000000001</v>
      </c>
      <c r="M1546">
        <v>25.4</v>
      </c>
      <c r="N1546">
        <v>285.75</v>
      </c>
      <c r="O1546">
        <v>48.000000000000007</v>
      </c>
      <c r="P1546">
        <v>1</v>
      </c>
      <c r="Q1546">
        <v>11.25</v>
      </c>
      <c r="R1546">
        <v>452.02800000000002</v>
      </c>
      <c r="S1546">
        <v>8.84901456E-3</v>
      </c>
      <c r="T1546" s="4" t="s">
        <v>3606</v>
      </c>
    </row>
    <row r="1547" spans="1:20" x14ac:dyDescent="0.2">
      <c r="A1547" s="4" t="s">
        <v>3108</v>
      </c>
      <c r="B1547" s="4" t="s">
        <v>3579</v>
      </c>
      <c r="C1547" s="4" t="s">
        <v>2286</v>
      </c>
      <c r="D1547" s="4" t="s">
        <v>2236</v>
      </c>
      <c r="E1547" s="4" t="s">
        <v>3610</v>
      </c>
      <c r="F1547" s="4" t="s">
        <v>3581</v>
      </c>
      <c r="G1547" s="4" t="s">
        <v>3108</v>
      </c>
      <c r="H1547" s="4" t="s">
        <v>2183</v>
      </c>
      <c r="I1547" s="4" t="s">
        <v>2100</v>
      </c>
      <c r="J1547" s="4" t="s">
        <v>2854</v>
      </c>
      <c r="K1547">
        <v>5</v>
      </c>
      <c r="L1547">
        <v>1.524</v>
      </c>
      <c r="M1547">
        <v>25.4</v>
      </c>
      <c r="N1547">
        <v>285.75</v>
      </c>
      <c r="O1547">
        <v>60</v>
      </c>
      <c r="P1547">
        <v>1</v>
      </c>
      <c r="Q1547">
        <v>11.25</v>
      </c>
      <c r="R1547">
        <v>452.02800000000002</v>
      </c>
      <c r="S1547">
        <v>1.10612682E-2</v>
      </c>
      <c r="T1547" s="4" t="s">
        <v>3606</v>
      </c>
    </row>
    <row r="1548" spans="1:20" x14ac:dyDescent="0.2">
      <c r="A1548" s="4" t="s">
        <v>3108</v>
      </c>
      <c r="B1548" s="4" t="s">
        <v>3579</v>
      </c>
      <c r="C1548" s="4" t="s">
        <v>2286</v>
      </c>
      <c r="D1548" s="4" t="s">
        <v>2236</v>
      </c>
      <c r="E1548" s="4" t="s">
        <v>3611</v>
      </c>
      <c r="F1548" s="4" t="s">
        <v>3581</v>
      </c>
      <c r="G1548" s="4" t="s">
        <v>3108</v>
      </c>
      <c r="H1548" s="4" t="s">
        <v>2183</v>
      </c>
      <c r="I1548" s="4" t="s">
        <v>2100</v>
      </c>
      <c r="J1548" s="4" t="s">
        <v>2854</v>
      </c>
      <c r="K1548">
        <v>5</v>
      </c>
      <c r="L1548">
        <v>1.524</v>
      </c>
      <c r="M1548">
        <v>25.4</v>
      </c>
      <c r="N1548">
        <v>285.75</v>
      </c>
      <c r="O1548">
        <v>60</v>
      </c>
      <c r="P1548">
        <v>1</v>
      </c>
      <c r="Q1548">
        <v>11.25</v>
      </c>
      <c r="R1548">
        <v>452.02800000000002</v>
      </c>
      <c r="S1548">
        <v>1.10612682E-2</v>
      </c>
      <c r="T1548" s="4" t="s">
        <v>3606</v>
      </c>
    </row>
    <row r="1549" spans="1:20" x14ac:dyDescent="0.2">
      <c r="A1549" s="4" t="s">
        <v>3108</v>
      </c>
      <c r="B1549" s="4" t="s">
        <v>3579</v>
      </c>
      <c r="C1549" s="4" t="s">
        <v>2286</v>
      </c>
      <c r="D1549" s="4" t="s">
        <v>2236</v>
      </c>
      <c r="E1549" s="4" t="s">
        <v>3612</v>
      </c>
      <c r="F1549" s="4" t="s">
        <v>3581</v>
      </c>
      <c r="G1549" s="4" t="s">
        <v>3108</v>
      </c>
      <c r="H1549" s="4" t="s">
        <v>2183</v>
      </c>
      <c r="I1549" s="4" t="s">
        <v>2100</v>
      </c>
      <c r="J1549" s="4" t="s">
        <v>2854</v>
      </c>
      <c r="K1549">
        <v>6</v>
      </c>
      <c r="L1549">
        <v>1.8288</v>
      </c>
      <c r="M1549">
        <v>25.4</v>
      </c>
      <c r="N1549">
        <v>285.75</v>
      </c>
      <c r="O1549">
        <v>72</v>
      </c>
      <c r="P1549">
        <v>1</v>
      </c>
      <c r="Q1549">
        <v>11.25</v>
      </c>
      <c r="R1549">
        <v>452.02800000000002</v>
      </c>
      <c r="S1549">
        <v>1.3273521839999998E-2</v>
      </c>
      <c r="T1549" s="4" t="s">
        <v>3606</v>
      </c>
    </row>
    <row r="1550" spans="1:20" x14ac:dyDescent="0.2">
      <c r="A1550" s="4" t="s">
        <v>3108</v>
      </c>
      <c r="B1550" s="4" t="s">
        <v>3579</v>
      </c>
      <c r="C1550" s="4" t="s">
        <v>2286</v>
      </c>
      <c r="D1550" s="4" t="s">
        <v>2236</v>
      </c>
      <c r="E1550" s="4" t="s">
        <v>3613</v>
      </c>
      <c r="F1550" s="4" t="s">
        <v>3581</v>
      </c>
      <c r="G1550" s="4" t="s">
        <v>3108</v>
      </c>
      <c r="H1550" s="4" t="s">
        <v>2183</v>
      </c>
      <c r="I1550" s="4" t="s">
        <v>2100</v>
      </c>
      <c r="J1550" s="4" t="s">
        <v>2854</v>
      </c>
      <c r="K1550">
        <v>6</v>
      </c>
      <c r="L1550">
        <v>1.8288</v>
      </c>
      <c r="M1550">
        <v>25.4</v>
      </c>
      <c r="N1550">
        <v>285.75</v>
      </c>
      <c r="O1550">
        <v>72</v>
      </c>
      <c r="P1550">
        <v>1</v>
      </c>
      <c r="Q1550">
        <v>11.25</v>
      </c>
      <c r="R1550">
        <v>452.02800000000002</v>
      </c>
      <c r="S1550">
        <v>1.3273521839999998E-2</v>
      </c>
      <c r="T1550" s="4" t="s">
        <v>3606</v>
      </c>
    </row>
    <row r="1551" spans="1:20" x14ac:dyDescent="0.2">
      <c r="A1551" s="4" t="s">
        <v>3108</v>
      </c>
      <c r="B1551" s="4" t="s">
        <v>3579</v>
      </c>
      <c r="C1551" s="4" t="s">
        <v>2286</v>
      </c>
      <c r="D1551" s="4" t="s">
        <v>2236</v>
      </c>
      <c r="E1551" s="4" t="s">
        <v>3614</v>
      </c>
      <c r="F1551" s="4" t="s">
        <v>3581</v>
      </c>
      <c r="G1551" s="4" t="s">
        <v>3108</v>
      </c>
      <c r="H1551" s="4" t="s">
        <v>2183</v>
      </c>
      <c r="I1551" s="4" t="s">
        <v>2100</v>
      </c>
      <c r="J1551" s="4" t="s">
        <v>2854</v>
      </c>
      <c r="K1551">
        <v>7</v>
      </c>
      <c r="L1551">
        <v>2.1335999999999999</v>
      </c>
      <c r="M1551">
        <v>25.4</v>
      </c>
      <c r="N1551">
        <v>285.75</v>
      </c>
      <c r="O1551">
        <v>84</v>
      </c>
      <c r="P1551">
        <v>1</v>
      </c>
      <c r="Q1551">
        <v>11.25</v>
      </c>
      <c r="R1551">
        <v>452.02800000000002</v>
      </c>
      <c r="S1551">
        <v>1.5485775479999998E-2</v>
      </c>
      <c r="T1551" s="4" t="s">
        <v>3606</v>
      </c>
    </row>
    <row r="1552" spans="1:20" x14ac:dyDescent="0.2">
      <c r="A1552" s="4" t="s">
        <v>3108</v>
      </c>
      <c r="B1552" s="4" t="s">
        <v>3579</v>
      </c>
      <c r="C1552" s="4" t="s">
        <v>2286</v>
      </c>
      <c r="D1552" s="4" t="s">
        <v>2236</v>
      </c>
      <c r="E1552" s="4" t="s">
        <v>3615</v>
      </c>
      <c r="F1552" s="4" t="s">
        <v>3581</v>
      </c>
      <c r="G1552" s="4" t="s">
        <v>3108</v>
      </c>
      <c r="H1552" s="4" t="s">
        <v>2183</v>
      </c>
      <c r="I1552" s="4" t="s">
        <v>2100</v>
      </c>
      <c r="J1552" s="4" t="s">
        <v>2854</v>
      </c>
      <c r="K1552">
        <v>7</v>
      </c>
      <c r="L1552">
        <v>2.1335999999999999</v>
      </c>
      <c r="M1552">
        <v>25.4</v>
      </c>
      <c r="N1552">
        <v>285.75</v>
      </c>
      <c r="O1552">
        <v>84</v>
      </c>
      <c r="P1552">
        <v>1</v>
      </c>
      <c r="Q1552">
        <v>11.25</v>
      </c>
      <c r="R1552">
        <v>452.02800000000002</v>
      </c>
      <c r="S1552">
        <v>1.5485775479999998E-2</v>
      </c>
      <c r="T1552" s="4" t="s">
        <v>3606</v>
      </c>
    </row>
    <row r="1553" spans="1:20" x14ac:dyDescent="0.2">
      <c r="A1553" s="4" t="s">
        <v>3108</v>
      </c>
      <c r="B1553" s="4" t="s">
        <v>3579</v>
      </c>
      <c r="C1553" s="4" t="s">
        <v>2096</v>
      </c>
      <c r="D1553" s="4" t="s">
        <v>2236</v>
      </c>
      <c r="E1553" s="4" t="s">
        <v>3616</v>
      </c>
      <c r="F1553" s="4" t="s">
        <v>3581</v>
      </c>
      <c r="G1553" s="4" t="s">
        <v>3108</v>
      </c>
      <c r="H1553" s="4" t="s">
        <v>2183</v>
      </c>
      <c r="I1553" s="4" t="s">
        <v>2100</v>
      </c>
      <c r="J1553" s="4" t="s">
        <v>2854</v>
      </c>
      <c r="K1553">
        <v>8</v>
      </c>
      <c r="L1553">
        <v>2.4384000000000001</v>
      </c>
      <c r="M1553">
        <v>25.4</v>
      </c>
      <c r="N1553">
        <v>285.75</v>
      </c>
      <c r="O1553">
        <v>96.000000000000014</v>
      </c>
      <c r="P1553">
        <v>1</v>
      </c>
      <c r="Q1553">
        <v>11.25</v>
      </c>
      <c r="R1553">
        <v>452.02800000000002</v>
      </c>
      <c r="S1553">
        <v>1.769802912E-2</v>
      </c>
      <c r="T1553" s="4" t="s">
        <v>3582</v>
      </c>
    </row>
    <row r="1554" spans="1:20" x14ac:dyDescent="0.2">
      <c r="A1554" s="4" t="s">
        <v>3108</v>
      </c>
      <c r="B1554" s="4" t="s">
        <v>3579</v>
      </c>
      <c r="C1554" s="4" t="s">
        <v>2096</v>
      </c>
      <c r="D1554" s="4" t="s">
        <v>2236</v>
      </c>
      <c r="E1554" s="4" t="s">
        <v>3617</v>
      </c>
      <c r="F1554" s="4" t="s">
        <v>3581</v>
      </c>
      <c r="G1554" s="4" t="s">
        <v>3108</v>
      </c>
      <c r="H1554" s="4" t="s">
        <v>2183</v>
      </c>
      <c r="I1554" s="4" t="s">
        <v>2100</v>
      </c>
      <c r="J1554" s="4" t="s">
        <v>2854</v>
      </c>
      <c r="K1554">
        <v>8</v>
      </c>
      <c r="L1554">
        <v>2.4384000000000001</v>
      </c>
      <c r="M1554">
        <v>25.4</v>
      </c>
      <c r="N1554">
        <v>285.75</v>
      </c>
      <c r="O1554">
        <v>96.000000000000014</v>
      </c>
      <c r="P1554">
        <v>1</v>
      </c>
      <c r="Q1554">
        <v>11.25</v>
      </c>
      <c r="R1554">
        <v>452.02800000000002</v>
      </c>
      <c r="S1554">
        <v>1.769802912E-2</v>
      </c>
      <c r="T1554" s="4" t="s">
        <v>3582</v>
      </c>
    </row>
    <row r="1555" spans="1:20" x14ac:dyDescent="0.2">
      <c r="A1555" s="4" t="s">
        <v>3108</v>
      </c>
      <c r="B1555" s="4" t="s">
        <v>3579</v>
      </c>
      <c r="C1555" s="4" t="s">
        <v>2096</v>
      </c>
      <c r="D1555" s="4" t="s">
        <v>2236</v>
      </c>
      <c r="E1555" s="4" t="s">
        <v>3618</v>
      </c>
      <c r="F1555" s="4" t="s">
        <v>3581</v>
      </c>
      <c r="G1555" s="4" t="s">
        <v>3108</v>
      </c>
      <c r="H1555" s="4" t="s">
        <v>2183</v>
      </c>
      <c r="I1555" s="4" t="s">
        <v>2100</v>
      </c>
      <c r="J1555" s="4" t="s">
        <v>2854</v>
      </c>
      <c r="K1555">
        <v>9</v>
      </c>
      <c r="L1555">
        <v>2.7431999999999999</v>
      </c>
      <c r="M1555">
        <v>25.4</v>
      </c>
      <c r="N1555">
        <v>285.75</v>
      </c>
      <c r="O1555">
        <v>108</v>
      </c>
      <c r="P1555">
        <v>1</v>
      </c>
      <c r="Q1555">
        <v>11.25</v>
      </c>
      <c r="R1555">
        <v>452.02800000000002</v>
      </c>
      <c r="S1555">
        <v>1.9910282759999998E-2</v>
      </c>
      <c r="T1555" s="4" t="s">
        <v>3582</v>
      </c>
    </row>
    <row r="1556" spans="1:20" x14ac:dyDescent="0.2">
      <c r="A1556" s="4" t="s">
        <v>3108</v>
      </c>
      <c r="B1556" s="4" t="s">
        <v>3579</v>
      </c>
      <c r="C1556" s="4" t="s">
        <v>2096</v>
      </c>
      <c r="D1556" s="4" t="s">
        <v>2236</v>
      </c>
      <c r="E1556" s="4" t="s">
        <v>3619</v>
      </c>
      <c r="F1556" s="4" t="s">
        <v>3581</v>
      </c>
      <c r="G1556" s="4" t="s">
        <v>3108</v>
      </c>
      <c r="H1556" s="4" t="s">
        <v>2183</v>
      </c>
      <c r="I1556" s="4" t="s">
        <v>2100</v>
      </c>
      <c r="J1556" s="4" t="s">
        <v>2854</v>
      </c>
      <c r="K1556">
        <v>9</v>
      </c>
      <c r="L1556">
        <v>2.7431999999999999</v>
      </c>
      <c r="M1556">
        <v>25.4</v>
      </c>
      <c r="N1556">
        <v>285.75</v>
      </c>
      <c r="O1556">
        <v>108</v>
      </c>
      <c r="P1556">
        <v>1</v>
      </c>
      <c r="Q1556">
        <v>11.25</v>
      </c>
      <c r="R1556">
        <v>452.02800000000002</v>
      </c>
      <c r="S1556">
        <v>1.9910282759999998E-2</v>
      </c>
      <c r="T1556" s="4" t="s">
        <v>3582</v>
      </c>
    </row>
    <row r="1557" spans="1:20" x14ac:dyDescent="0.2">
      <c r="A1557" s="4" t="s">
        <v>3108</v>
      </c>
      <c r="B1557" s="4" t="s">
        <v>3620</v>
      </c>
      <c r="C1557" s="4" t="s">
        <v>2096</v>
      </c>
      <c r="D1557" s="4" t="s">
        <v>2236</v>
      </c>
      <c r="E1557" s="4" t="s">
        <v>895</v>
      </c>
      <c r="F1557" s="4" t="s">
        <v>3621</v>
      </c>
      <c r="G1557" s="4" t="s">
        <v>3108</v>
      </c>
      <c r="H1557" s="4" t="s">
        <v>2183</v>
      </c>
      <c r="I1557" s="4" t="s">
        <v>2100</v>
      </c>
      <c r="J1557" s="4" t="s">
        <v>3622</v>
      </c>
      <c r="K1557">
        <v>10</v>
      </c>
      <c r="L1557">
        <v>3.048</v>
      </c>
      <c r="M1557">
        <v>25.4</v>
      </c>
      <c r="N1557">
        <v>76.199999999999989</v>
      </c>
      <c r="O1557">
        <v>120</v>
      </c>
      <c r="P1557">
        <v>1</v>
      </c>
      <c r="Q1557">
        <v>2.9999999999999996</v>
      </c>
      <c r="R1557">
        <v>1695.104</v>
      </c>
      <c r="S1557">
        <v>5.8993430399999994E-3</v>
      </c>
      <c r="T1557" s="4" t="s">
        <v>3623</v>
      </c>
    </row>
    <row r="1558" spans="1:20" x14ac:dyDescent="0.2">
      <c r="A1558" s="4" t="s">
        <v>3108</v>
      </c>
      <c r="B1558" s="4" t="s">
        <v>3620</v>
      </c>
      <c r="C1558" s="4" t="s">
        <v>2096</v>
      </c>
      <c r="D1558" s="4" t="s">
        <v>2236</v>
      </c>
      <c r="E1558" s="4" t="s">
        <v>3624</v>
      </c>
      <c r="F1558" s="4" t="s">
        <v>3621</v>
      </c>
      <c r="G1558" s="4" t="s">
        <v>3108</v>
      </c>
      <c r="H1558" s="4" t="s">
        <v>2183</v>
      </c>
      <c r="I1558" s="4" t="s">
        <v>2100</v>
      </c>
      <c r="J1558" s="4" t="s">
        <v>3622</v>
      </c>
      <c r="K1558">
        <v>11</v>
      </c>
      <c r="L1558">
        <v>3.3528000000000002</v>
      </c>
      <c r="M1558">
        <v>25.4</v>
      </c>
      <c r="N1558">
        <v>76.2</v>
      </c>
      <c r="O1558">
        <v>132</v>
      </c>
      <c r="P1558">
        <v>1</v>
      </c>
      <c r="Q1558">
        <v>3.0000000000000004</v>
      </c>
      <c r="R1558">
        <v>1695.104</v>
      </c>
      <c r="S1558">
        <v>6.4892773439999994E-3</v>
      </c>
      <c r="T1558" s="4" t="s">
        <v>3623</v>
      </c>
    </row>
    <row r="1559" spans="1:20" x14ac:dyDescent="0.2">
      <c r="A1559" s="4" t="s">
        <v>3108</v>
      </c>
      <c r="B1559" s="4" t="s">
        <v>3620</v>
      </c>
      <c r="C1559" s="4" t="s">
        <v>2096</v>
      </c>
      <c r="D1559" s="4" t="s">
        <v>2236</v>
      </c>
      <c r="E1559" s="4" t="s">
        <v>3625</v>
      </c>
      <c r="F1559" s="4" t="s">
        <v>3621</v>
      </c>
      <c r="G1559" s="4" t="s">
        <v>3108</v>
      </c>
      <c r="H1559" s="4" t="s">
        <v>2183</v>
      </c>
      <c r="I1559" s="4" t="s">
        <v>2100</v>
      </c>
      <c r="J1559" s="4" t="s">
        <v>3622</v>
      </c>
      <c r="K1559">
        <v>12</v>
      </c>
      <c r="L1559">
        <v>3.6576000000000004</v>
      </c>
      <c r="M1559">
        <v>25.4</v>
      </c>
      <c r="N1559">
        <v>76.2</v>
      </c>
      <c r="O1559">
        <v>144.00000000000003</v>
      </c>
      <c r="P1559">
        <v>1</v>
      </c>
      <c r="Q1559">
        <v>3.0000000000000004</v>
      </c>
      <c r="R1559">
        <v>1695.104</v>
      </c>
      <c r="S1559">
        <v>7.0792116480000011E-3</v>
      </c>
      <c r="T1559" s="4" t="s">
        <v>3623</v>
      </c>
    </row>
    <row r="1560" spans="1:20" x14ac:dyDescent="0.2">
      <c r="A1560" s="4" t="s">
        <v>3108</v>
      </c>
      <c r="B1560" s="4" t="s">
        <v>3620</v>
      </c>
      <c r="C1560" s="4" t="s">
        <v>2096</v>
      </c>
      <c r="D1560" s="4" t="s">
        <v>2236</v>
      </c>
      <c r="E1560" s="4" t="s">
        <v>3626</v>
      </c>
      <c r="F1560" s="4" t="s">
        <v>3621</v>
      </c>
      <c r="G1560" s="4" t="s">
        <v>3108</v>
      </c>
      <c r="H1560" s="4" t="s">
        <v>2183</v>
      </c>
      <c r="I1560" s="4" t="s">
        <v>2100</v>
      </c>
      <c r="J1560" s="4" t="s">
        <v>3622</v>
      </c>
      <c r="K1560">
        <v>13</v>
      </c>
      <c r="L1560">
        <v>3.9624000000000001</v>
      </c>
      <c r="M1560">
        <v>25.4</v>
      </c>
      <c r="N1560">
        <v>76.2</v>
      </c>
      <c r="O1560">
        <v>156</v>
      </c>
      <c r="P1560">
        <v>1</v>
      </c>
      <c r="Q1560">
        <v>3.0000000000000004</v>
      </c>
      <c r="R1560">
        <v>1695.104</v>
      </c>
      <c r="S1560">
        <v>7.6691459520000001E-3</v>
      </c>
      <c r="T1560" s="4" t="s">
        <v>3623</v>
      </c>
    </row>
    <row r="1561" spans="1:20" x14ac:dyDescent="0.2">
      <c r="A1561" s="4" t="s">
        <v>3108</v>
      </c>
      <c r="B1561" s="4" t="s">
        <v>3620</v>
      </c>
      <c r="C1561" s="4" t="s">
        <v>2096</v>
      </c>
      <c r="D1561" s="4" t="s">
        <v>2236</v>
      </c>
      <c r="E1561" s="4" t="s">
        <v>3627</v>
      </c>
      <c r="F1561" s="4" t="s">
        <v>3621</v>
      </c>
      <c r="G1561" s="4" t="s">
        <v>3108</v>
      </c>
      <c r="H1561" s="4" t="s">
        <v>2183</v>
      </c>
      <c r="I1561" s="4" t="s">
        <v>2100</v>
      </c>
      <c r="J1561" s="4" t="s">
        <v>3622</v>
      </c>
      <c r="K1561">
        <v>14</v>
      </c>
      <c r="L1561">
        <v>4.2671999999999999</v>
      </c>
      <c r="M1561">
        <v>25.4</v>
      </c>
      <c r="N1561">
        <v>76.2</v>
      </c>
      <c r="O1561">
        <v>168</v>
      </c>
      <c r="P1561">
        <v>1</v>
      </c>
      <c r="Q1561">
        <v>3.0000000000000004</v>
      </c>
      <c r="R1561">
        <v>1695.104</v>
      </c>
      <c r="S1561">
        <v>8.2590802559999992E-3</v>
      </c>
      <c r="T1561" s="4" t="s">
        <v>3623</v>
      </c>
    </row>
    <row r="1562" spans="1:20" x14ac:dyDescent="0.2">
      <c r="A1562" s="4" t="s">
        <v>3108</v>
      </c>
      <c r="B1562" s="4" t="s">
        <v>3620</v>
      </c>
      <c r="C1562" s="4" t="s">
        <v>2096</v>
      </c>
      <c r="D1562" s="4" t="s">
        <v>2236</v>
      </c>
      <c r="E1562" s="4" t="s">
        <v>3628</v>
      </c>
      <c r="F1562" s="4" t="s">
        <v>3621</v>
      </c>
      <c r="G1562" s="4" t="s">
        <v>3108</v>
      </c>
      <c r="H1562" s="4" t="s">
        <v>2183</v>
      </c>
      <c r="I1562" s="4" t="s">
        <v>2100</v>
      </c>
      <c r="J1562" s="4" t="s">
        <v>3622</v>
      </c>
      <c r="K1562">
        <v>15</v>
      </c>
      <c r="L1562">
        <v>4.5720000000000001</v>
      </c>
      <c r="M1562">
        <v>25.4</v>
      </c>
      <c r="N1562">
        <v>76.2</v>
      </c>
      <c r="O1562">
        <v>180</v>
      </c>
      <c r="P1562">
        <v>1</v>
      </c>
      <c r="Q1562">
        <v>3.0000000000000004</v>
      </c>
      <c r="R1562">
        <v>1695.104</v>
      </c>
      <c r="S1562">
        <v>8.84901456E-3</v>
      </c>
      <c r="T1562" s="4" t="s">
        <v>3623</v>
      </c>
    </row>
    <row r="1563" spans="1:20" x14ac:dyDescent="0.2">
      <c r="A1563" s="4" t="s">
        <v>3108</v>
      </c>
      <c r="B1563" s="4" t="s">
        <v>3620</v>
      </c>
      <c r="C1563" s="4" t="s">
        <v>2096</v>
      </c>
      <c r="D1563" s="4" t="s">
        <v>2236</v>
      </c>
      <c r="E1563" s="4" t="s">
        <v>3629</v>
      </c>
      <c r="F1563" s="4" t="s">
        <v>3621</v>
      </c>
      <c r="G1563" s="4" t="s">
        <v>3108</v>
      </c>
      <c r="H1563" s="4" t="s">
        <v>2183</v>
      </c>
      <c r="I1563" s="4" t="s">
        <v>2100</v>
      </c>
      <c r="J1563" s="4" t="s">
        <v>3622</v>
      </c>
      <c r="K1563">
        <v>16</v>
      </c>
      <c r="L1563">
        <v>4.8768000000000002</v>
      </c>
      <c r="M1563">
        <v>25.4</v>
      </c>
      <c r="N1563">
        <v>76.2</v>
      </c>
      <c r="O1563">
        <v>192.00000000000003</v>
      </c>
      <c r="P1563">
        <v>1</v>
      </c>
      <c r="Q1563">
        <v>3.0000000000000004</v>
      </c>
      <c r="R1563">
        <v>1695.104</v>
      </c>
      <c r="S1563">
        <v>9.4389488640000008E-3</v>
      </c>
      <c r="T1563" s="4" t="s">
        <v>3623</v>
      </c>
    </row>
    <row r="1564" spans="1:20" x14ac:dyDescent="0.2">
      <c r="A1564" s="4" t="s">
        <v>3108</v>
      </c>
      <c r="B1564" s="4" t="s">
        <v>3620</v>
      </c>
      <c r="C1564" s="4" t="s">
        <v>2096</v>
      </c>
      <c r="D1564" s="4" t="s">
        <v>2236</v>
      </c>
      <c r="E1564" s="4" t="s">
        <v>3630</v>
      </c>
      <c r="F1564" s="4" t="s">
        <v>3621</v>
      </c>
      <c r="G1564" s="4" t="s">
        <v>3108</v>
      </c>
      <c r="H1564" s="4" t="s">
        <v>2183</v>
      </c>
      <c r="I1564" s="4" t="s">
        <v>2100</v>
      </c>
      <c r="J1564" s="4" t="s">
        <v>3622</v>
      </c>
      <c r="K1564">
        <v>17</v>
      </c>
      <c r="L1564">
        <v>5.1816000000000004</v>
      </c>
      <c r="M1564">
        <v>25.4</v>
      </c>
      <c r="N1564">
        <v>76.2</v>
      </c>
      <c r="O1564">
        <v>204.00000000000003</v>
      </c>
      <c r="P1564">
        <v>1</v>
      </c>
      <c r="Q1564">
        <v>3.0000000000000004</v>
      </c>
      <c r="R1564">
        <v>1695.104</v>
      </c>
      <c r="S1564">
        <v>1.0028883168E-2</v>
      </c>
      <c r="T1564" s="4" t="s">
        <v>3623</v>
      </c>
    </row>
    <row r="1565" spans="1:20" x14ac:dyDescent="0.2">
      <c r="A1565" s="4" t="s">
        <v>3108</v>
      </c>
      <c r="B1565" s="4" t="s">
        <v>3620</v>
      </c>
      <c r="C1565" s="4" t="s">
        <v>2096</v>
      </c>
      <c r="D1565" s="4" t="s">
        <v>2236</v>
      </c>
      <c r="E1565" s="4" t="s">
        <v>3631</v>
      </c>
      <c r="F1565" s="4" t="s">
        <v>3621</v>
      </c>
      <c r="G1565" s="4" t="s">
        <v>3108</v>
      </c>
      <c r="H1565" s="4" t="s">
        <v>2183</v>
      </c>
      <c r="I1565" s="4" t="s">
        <v>2100</v>
      </c>
      <c r="J1565" s="4" t="s">
        <v>3622</v>
      </c>
      <c r="K1565">
        <v>18</v>
      </c>
      <c r="L1565">
        <v>5.4864000000000006</v>
      </c>
      <c r="M1565">
        <v>25.4</v>
      </c>
      <c r="N1565">
        <v>76.2</v>
      </c>
      <c r="O1565">
        <v>216.00000000000003</v>
      </c>
      <c r="P1565">
        <v>1</v>
      </c>
      <c r="Q1565">
        <v>3.0000000000000004</v>
      </c>
      <c r="R1565">
        <v>1695.104</v>
      </c>
      <c r="S1565">
        <v>1.0618817472000002E-2</v>
      </c>
      <c r="T1565" s="4" t="s">
        <v>3623</v>
      </c>
    </row>
    <row r="1566" spans="1:20" x14ac:dyDescent="0.2">
      <c r="A1566" s="4" t="s">
        <v>3108</v>
      </c>
      <c r="B1566" s="4" t="s">
        <v>3620</v>
      </c>
      <c r="C1566" s="4" t="s">
        <v>2096</v>
      </c>
      <c r="D1566" s="4" t="s">
        <v>2236</v>
      </c>
      <c r="E1566" s="4" t="s">
        <v>3632</v>
      </c>
      <c r="F1566" s="4" t="s">
        <v>3621</v>
      </c>
      <c r="G1566" s="4" t="s">
        <v>3108</v>
      </c>
      <c r="H1566" s="4" t="s">
        <v>2183</v>
      </c>
      <c r="I1566" s="4" t="s">
        <v>2100</v>
      </c>
      <c r="J1566" s="4" t="s">
        <v>3622</v>
      </c>
      <c r="K1566">
        <v>19</v>
      </c>
      <c r="L1566">
        <v>5.7911999999999999</v>
      </c>
      <c r="M1566">
        <v>25.4</v>
      </c>
      <c r="N1566">
        <v>76.2</v>
      </c>
      <c r="O1566">
        <v>228</v>
      </c>
      <c r="P1566">
        <v>1</v>
      </c>
      <c r="Q1566">
        <v>3.0000000000000004</v>
      </c>
      <c r="R1566">
        <v>1695.104</v>
      </c>
      <c r="S1566">
        <v>1.1208751775999998E-2</v>
      </c>
      <c r="T1566" s="4" t="s">
        <v>3623</v>
      </c>
    </row>
    <row r="1567" spans="1:20" x14ac:dyDescent="0.2">
      <c r="A1567" s="4" t="s">
        <v>3108</v>
      </c>
      <c r="B1567" s="4" t="s">
        <v>3620</v>
      </c>
      <c r="C1567" s="4" t="s">
        <v>2096</v>
      </c>
      <c r="D1567" s="4" t="s">
        <v>2236</v>
      </c>
      <c r="E1567" s="4" t="s">
        <v>3633</v>
      </c>
      <c r="F1567" s="4" t="s">
        <v>3621</v>
      </c>
      <c r="G1567" s="4" t="s">
        <v>3108</v>
      </c>
      <c r="H1567" s="4" t="s">
        <v>2183</v>
      </c>
      <c r="I1567" s="4" t="s">
        <v>2100</v>
      </c>
      <c r="J1567" s="4" t="s">
        <v>3622</v>
      </c>
      <c r="K1567">
        <v>20</v>
      </c>
      <c r="L1567">
        <v>6.0960000000000001</v>
      </c>
      <c r="M1567">
        <v>25.4</v>
      </c>
      <c r="N1567">
        <v>76.2</v>
      </c>
      <c r="O1567">
        <v>240</v>
      </c>
      <c r="P1567">
        <v>1</v>
      </c>
      <c r="Q1567">
        <v>3.0000000000000004</v>
      </c>
      <c r="R1567">
        <v>1695.104</v>
      </c>
      <c r="S1567">
        <v>1.1798686080000001E-2</v>
      </c>
      <c r="T1567" s="4" t="s">
        <v>3623</v>
      </c>
    </row>
    <row r="1568" spans="1:20" x14ac:dyDescent="0.2">
      <c r="A1568" s="4" t="s">
        <v>3108</v>
      </c>
      <c r="B1568" s="4" t="s">
        <v>3620</v>
      </c>
      <c r="C1568" s="4" t="s">
        <v>2286</v>
      </c>
      <c r="D1568" s="4" t="s">
        <v>2236</v>
      </c>
      <c r="E1568" s="4" t="s">
        <v>3634</v>
      </c>
      <c r="F1568" s="4" t="s">
        <v>3621</v>
      </c>
      <c r="G1568" s="4" t="s">
        <v>3108</v>
      </c>
      <c r="H1568" s="4" t="s">
        <v>2183</v>
      </c>
      <c r="I1568" s="4" t="s">
        <v>2100</v>
      </c>
      <c r="J1568" s="4" t="s">
        <v>3622</v>
      </c>
      <c r="K1568">
        <v>3</v>
      </c>
      <c r="L1568">
        <v>0.9144000000000001</v>
      </c>
      <c r="M1568">
        <v>25.4</v>
      </c>
      <c r="N1568">
        <v>76.2</v>
      </c>
      <c r="O1568">
        <v>36.000000000000007</v>
      </c>
      <c r="P1568">
        <v>1</v>
      </c>
      <c r="Q1568">
        <v>3.0000000000000004</v>
      </c>
      <c r="R1568">
        <v>1695.104</v>
      </c>
      <c r="S1568">
        <v>1.7698029120000003E-3</v>
      </c>
      <c r="T1568" s="4" t="s">
        <v>3635</v>
      </c>
    </row>
    <row r="1569" spans="1:20" x14ac:dyDescent="0.2">
      <c r="A1569" s="4" t="s">
        <v>3108</v>
      </c>
      <c r="B1569" s="4" t="s">
        <v>3620</v>
      </c>
      <c r="C1569" s="4" t="s">
        <v>2286</v>
      </c>
      <c r="D1569" s="4" t="s">
        <v>2236</v>
      </c>
      <c r="E1569" s="4" t="s">
        <v>3636</v>
      </c>
      <c r="F1569" s="4" t="s">
        <v>3621</v>
      </c>
      <c r="G1569" s="4" t="s">
        <v>3108</v>
      </c>
      <c r="H1569" s="4" t="s">
        <v>2183</v>
      </c>
      <c r="I1569" s="4" t="s">
        <v>2100</v>
      </c>
      <c r="J1569" s="4" t="s">
        <v>3622</v>
      </c>
      <c r="K1569">
        <v>4</v>
      </c>
      <c r="L1569">
        <v>1.2192000000000001</v>
      </c>
      <c r="M1569">
        <v>25.4</v>
      </c>
      <c r="N1569">
        <v>76.2</v>
      </c>
      <c r="O1569">
        <v>48.000000000000007</v>
      </c>
      <c r="P1569">
        <v>1</v>
      </c>
      <c r="Q1569">
        <v>3.0000000000000004</v>
      </c>
      <c r="R1569">
        <v>1695.104</v>
      </c>
      <c r="S1569">
        <v>2.3597372160000002E-3</v>
      </c>
      <c r="T1569" s="4" t="s">
        <v>3635</v>
      </c>
    </row>
    <row r="1570" spans="1:20" x14ac:dyDescent="0.2">
      <c r="A1570" s="4" t="s">
        <v>3108</v>
      </c>
      <c r="B1570" s="4" t="s">
        <v>3620</v>
      </c>
      <c r="C1570" s="4" t="s">
        <v>2286</v>
      </c>
      <c r="D1570" s="4" t="s">
        <v>2236</v>
      </c>
      <c r="E1570" s="4" t="s">
        <v>3637</v>
      </c>
      <c r="F1570" s="4" t="s">
        <v>3621</v>
      </c>
      <c r="G1570" s="4" t="s">
        <v>3108</v>
      </c>
      <c r="H1570" s="4" t="s">
        <v>2183</v>
      </c>
      <c r="I1570" s="4" t="s">
        <v>2100</v>
      </c>
      <c r="J1570" s="4" t="s">
        <v>3622</v>
      </c>
      <c r="K1570">
        <v>5</v>
      </c>
      <c r="L1570">
        <v>1.524</v>
      </c>
      <c r="M1570">
        <v>25.4</v>
      </c>
      <c r="N1570">
        <v>76.2</v>
      </c>
      <c r="O1570">
        <v>60</v>
      </c>
      <c r="P1570">
        <v>1</v>
      </c>
      <c r="Q1570">
        <v>3.0000000000000004</v>
      </c>
      <c r="R1570">
        <v>1695.104</v>
      </c>
      <c r="S1570">
        <v>2.9496715200000002E-3</v>
      </c>
      <c r="T1570" s="4" t="s">
        <v>3635</v>
      </c>
    </row>
    <row r="1571" spans="1:20" x14ac:dyDescent="0.2">
      <c r="A1571" s="4" t="s">
        <v>3108</v>
      </c>
      <c r="B1571" s="4" t="s">
        <v>3620</v>
      </c>
      <c r="C1571" s="4" t="s">
        <v>2286</v>
      </c>
      <c r="D1571" s="4" t="s">
        <v>2236</v>
      </c>
      <c r="E1571" s="4" t="s">
        <v>3638</v>
      </c>
      <c r="F1571" s="4" t="s">
        <v>3621</v>
      </c>
      <c r="G1571" s="4" t="s">
        <v>3108</v>
      </c>
      <c r="H1571" s="4" t="s">
        <v>2183</v>
      </c>
      <c r="I1571" s="4" t="s">
        <v>2100</v>
      </c>
      <c r="J1571" s="4" t="s">
        <v>3622</v>
      </c>
      <c r="K1571">
        <v>6</v>
      </c>
      <c r="L1571">
        <v>1.8288000000000002</v>
      </c>
      <c r="M1571">
        <v>25.4</v>
      </c>
      <c r="N1571">
        <v>76.2</v>
      </c>
      <c r="O1571">
        <v>72.000000000000014</v>
      </c>
      <c r="P1571">
        <v>1</v>
      </c>
      <c r="Q1571">
        <v>3.0000000000000004</v>
      </c>
      <c r="R1571">
        <v>1695.104</v>
      </c>
      <c r="S1571">
        <v>3.5396058240000005E-3</v>
      </c>
      <c r="T1571" s="4" t="s">
        <v>3635</v>
      </c>
    </row>
    <row r="1572" spans="1:20" x14ac:dyDescent="0.2">
      <c r="A1572" s="4" t="s">
        <v>3108</v>
      </c>
      <c r="B1572" s="4" t="s">
        <v>3620</v>
      </c>
      <c r="C1572" s="4" t="s">
        <v>2286</v>
      </c>
      <c r="D1572" s="4" t="s">
        <v>2236</v>
      </c>
      <c r="E1572" s="4" t="s">
        <v>3639</v>
      </c>
      <c r="F1572" s="4" t="s">
        <v>3621</v>
      </c>
      <c r="G1572" s="4" t="s">
        <v>3108</v>
      </c>
      <c r="H1572" s="4" t="s">
        <v>2183</v>
      </c>
      <c r="I1572" s="4" t="s">
        <v>2100</v>
      </c>
      <c r="J1572" s="4" t="s">
        <v>3622</v>
      </c>
      <c r="K1572">
        <v>7</v>
      </c>
      <c r="L1572">
        <v>2.1335999999999999</v>
      </c>
      <c r="M1572">
        <v>25.4</v>
      </c>
      <c r="N1572">
        <v>76.2</v>
      </c>
      <c r="O1572">
        <v>84</v>
      </c>
      <c r="P1572">
        <v>1</v>
      </c>
      <c r="Q1572">
        <v>3.0000000000000004</v>
      </c>
      <c r="R1572">
        <v>1695.104</v>
      </c>
      <c r="S1572">
        <v>4.1295401279999996E-3</v>
      </c>
      <c r="T1572" s="4" t="s">
        <v>3635</v>
      </c>
    </row>
    <row r="1573" spans="1:20" x14ac:dyDescent="0.2">
      <c r="A1573" s="4" t="s">
        <v>3108</v>
      </c>
      <c r="B1573" s="4" t="s">
        <v>3620</v>
      </c>
      <c r="C1573" s="4" t="s">
        <v>2096</v>
      </c>
      <c r="D1573" s="4" t="s">
        <v>2236</v>
      </c>
      <c r="E1573" s="4" t="s">
        <v>3640</v>
      </c>
      <c r="F1573" s="4" t="s">
        <v>3621</v>
      </c>
      <c r="G1573" s="4" t="s">
        <v>3108</v>
      </c>
      <c r="H1573" s="4" t="s">
        <v>2183</v>
      </c>
      <c r="I1573" s="4" t="s">
        <v>2100</v>
      </c>
      <c r="J1573" s="4" t="s">
        <v>3622</v>
      </c>
      <c r="K1573">
        <v>8</v>
      </c>
      <c r="L1573">
        <v>2.4384000000000001</v>
      </c>
      <c r="M1573">
        <v>25.4</v>
      </c>
      <c r="N1573">
        <v>76.2</v>
      </c>
      <c r="O1573">
        <v>96.000000000000014</v>
      </c>
      <c r="P1573">
        <v>1</v>
      </c>
      <c r="Q1573">
        <v>3.0000000000000004</v>
      </c>
      <c r="R1573">
        <v>1695.104</v>
      </c>
      <c r="S1573">
        <v>4.7194744320000004E-3</v>
      </c>
      <c r="T1573" s="4" t="s">
        <v>3623</v>
      </c>
    </row>
    <row r="1574" spans="1:20" x14ac:dyDescent="0.2">
      <c r="A1574" s="4" t="s">
        <v>3108</v>
      </c>
      <c r="B1574" s="4" t="s">
        <v>3620</v>
      </c>
      <c r="C1574" s="4" t="s">
        <v>2096</v>
      </c>
      <c r="D1574" s="4" t="s">
        <v>2236</v>
      </c>
      <c r="E1574" s="4" t="s">
        <v>3641</v>
      </c>
      <c r="F1574" s="4" t="s">
        <v>3621</v>
      </c>
      <c r="G1574" s="4" t="s">
        <v>3108</v>
      </c>
      <c r="H1574" s="4" t="s">
        <v>2183</v>
      </c>
      <c r="I1574" s="4" t="s">
        <v>2100</v>
      </c>
      <c r="J1574" s="4" t="s">
        <v>3622</v>
      </c>
      <c r="K1574">
        <v>9</v>
      </c>
      <c r="L1574">
        <v>2.7432000000000003</v>
      </c>
      <c r="M1574">
        <v>25.4</v>
      </c>
      <c r="N1574">
        <v>76.2</v>
      </c>
      <c r="O1574">
        <v>108.00000000000001</v>
      </c>
      <c r="P1574">
        <v>1</v>
      </c>
      <c r="Q1574">
        <v>3.0000000000000004</v>
      </c>
      <c r="R1574">
        <v>1695.104</v>
      </c>
      <c r="S1574">
        <v>5.3094087360000012E-3</v>
      </c>
      <c r="T1574" s="4" t="s">
        <v>3623</v>
      </c>
    </row>
    <row r="1575" spans="1:20" x14ac:dyDescent="0.2">
      <c r="A1575" s="4" t="s">
        <v>3108</v>
      </c>
      <c r="B1575" s="4" t="s">
        <v>3642</v>
      </c>
      <c r="C1575" s="4" t="s">
        <v>2096</v>
      </c>
      <c r="D1575" s="4" t="s">
        <v>2236</v>
      </c>
      <c r="E1575" s="4" t="s">
        <v>899</v>
      </c>
      <c r="F1575" s="4" t="s">
        <v>3643</v>
      </c>
      <c r="G1575" s="4" t="s">
        <v>3108</v>
      </c>
      <c r="H1575" s="4" t="s">
        <v>2183</v>
      </c>
      <c r="I1575" s="4" t="s">
        <v>2100</v>
      </c>
      <c r="J1575" s="4" t="s">
        <v>3644</v>
      </c>
      <c r="K1575">
        <v>10</v>
      </c>
      <c r="L1575">
        <v>3.048</v>
      </c>
      <c r="M1575">
        <v>25.4</v>
      </c>
      <c r="N1575">
        <v>88.9</v>
      </c>
      <c r="O1575">
        <v>120</v>
      </c>
      <c r="P1575">
        <v>1</v>
      </c>
      <c r="Q1575">
        <v>3.5000000000000004</v>
      </c>
      <c r="R1575">
        <v>1452.9459999999999</v>
      </c>
      <c r="S1575">
        <v>6.8825668800000014E-3</v>
      </c>
      <c r="T1575" s="4" t="s">
        <v>3645</v>
      </c>
    </row>
    <row r="1576" spans="1:20" x14ac:dyDescent="0.2">
      <c r="A1576" s="4" t="s">
        <v>3108</v>
      </c>
      <c r="B1576" s="4" t="s">
        <v>3642</v>
      </c>
      <c r="C1576" s="4" t="s">
        <v>2096</v>
      </c>
      <c r="D1576" s="4" t="s">
        <v>2236</v>
      </c>
      <c r="E1576" s="4" t="s">
        <v>897</v>
      </c>
      <c r="F1576" s="4" t="s">
        <v>3646</v>
      </c>
      <c r="G1576" s="4" t="s">
        <v>3108</v>
      </c>
      <c r="H1576" s="4" t="s">
        <v>2133</v>
      </c>
      <c r="I1576" s="4" t="s">
        <v>2100</v>
      </c>
      <c r="J1576" s="4" t="s">
        <v>3644</v>
      </c>
      <c r="K1576">
        <v>10</v>
      </c>
      <c r="L1576">
        <v>3.048</v>
      </c>
      <c r="M1576">
        <v>25.4</v>
      </c>
      <c r="N1576">
        <v>88.9</v>
      </c>
      <c r="O1576">
        <v>120</v>
      </c>
      <c r="P1576">
        <v>1</v>
      </c>
      <c r="Q1576">
        <v>3.5000000000000004</v>
      </c>
      <c r="R1576">
        <v>1452.9459999999999</v>
      </c>
      <c r="S1576">
        <v>6.8825668800000014E-3</v>
      </c>
      <c r="T1576" s="4" t="s">
        <v>3647</v>
      </c>
    </row>
    <row r="1577" spans="1:20" x14ac:dyDescent="0.2">
      <c r="A1577" s="4" t="s">
        <v>3108</v>
      </c>
      <c r="B1577" s="4" t="s">
        <v>3642</v>
      </c>
      <c r="C1577" s="4" t="s">
        <v>2096</v>
      </c>
      <c r="D1577" s="4" t="s">
        <v>2236</v>
      </c>
      <c r="E1577" s="4" t="s">
        <v>3648</v>
      </c>
      <c r="F1577" s="4" t="s">
        <v>3643</v>
      </c>
      <c r="G1577" s="4" t="s">
        <v>3108</v>
      </c>
      <c r="H1577" s="4" t="s">
        <v>2183</v>
      </c>
      <c r="I1577" s="4" t="s">
        <v>2100</v>
      </c>
      <c r="J1577" s="4" t="s">
        <v>3644</v>
      </c>
      <c r="K1577">
        <v>11</v>
      </c>
      <c r="L1577">
        <v>3.3527999999999998</v>
      </c>
      <c r="M1577">
        <v>25.4</v>
      </c>
      <c r="N1577">
        <v>88.9</v>
      </c>
      <c r="O1577">
        <v>132</v>
      </c>
      <c r="P1577">
        <v>1</v>
      </c>
      <c r="Q1577">
        <v>3.5000000000000004</v>
      </c>
      <c r="R1577">
        <v>1452.9459999999999</v>
      </c>
      <c r="S1577">
        <v>7.5708235679999986E-3</v>
      </c>
      <c r="T1577" s="4" t="s">
        <v>3645</v>
      </c>
    </row>
    <row r="1578" spans="1:20" x14ac:dyDescent="0.2">
      <c r="A1578" s="4" t="s">
        <v>3108</v>
      </c>
      <c r="B1578" s="4" t="s">
        <v>3642</v>
      </c>
      <c r="C1578" s="4" t="s">
        <v>2096</v>
      </c>
      <c r="D1578" s="4" t="s">
        <v>2236</v>
      </c>
      <c r="E1578" s="4" t="s">
        <v>3649</v>
      </c>
      <c r="F1578" s="4" t="s">
        <v>3646</v>
      </c>
      <c r="G1578" s="4" t="s">
        <v>3108</v>
      </c>
      <c r="H1578" s="4" t="s">
        <v>2133</v>
      </c>
      <c r="I1578" s="4" t="s">
        <v>2100</v>
      </c>
      <c r="J1578" s="4" t="s">
        <v>3644</v>
      </c>
      <c r="K1578">
        <v>11</v>
      </c>
      <c r="L1578">
        <v>3.3527999999999998</v>
      </c>
      <c r="M1578">
        <v>25.4</v>
      </c>
      <c r="N1578">
        <v>88.9</v>
      </c>
      <c r="O1578">
        <v>132</v>
      </c>
      <c r="P1578">
        <v>1</v>
      </c>
      <c r="Q1578">
        <v>3.5000000000000004</v>
      </c>
      <c r="R1578">
        <v>1452.9459999999999</v>
      </c>
      <c r="S1578">
        <v>7.5708235679999986E-3</v>
      </c>
      <c r="T1578" s="4" t="s">
        <v>3647</v>
      </c>
    </row>
    <row r="1579" spans="1:20" x14ac:dyDescent="0.2">
      <c r="A1579" s="4" t="s">
        <v>3108</v>
      </c>
      <c r="B1579" s="4" t="s">
        <v>3642</v>
      </c>
      <c r="C1579" s="4" t="s">
        <v>2096</v>
      </c>
      <c r="D1579" s="4" t="s">
        <v>2236</v>
      </c>
      <c r="E1579" s="4" t="s">
        <v>903</v>
      </c>
      <c r="F1579" s="4" t="s">
        <v>3643</v>
      </c>
      <c r="G1579" s="4" t="s">
        <v>3108</v>
      </c>
      <c r="H1579" s="4" t="s">
        <v>2183</v>
      </c>
      <c r="I1579" s="4" t="s">
        <v>2100</v>
      </c>
      <c r="J1579" s="4" t="s">
        <v>3644</v>
      </c>
      <c r="K1579">
        <v>12</v>
      </c>
      <c r="L1579">
        <v>3.6576</v>
      </c>
      <c r="M1579">
        <v>25.4</v>
      </c>
      <c r="N1579">
        <v>88.9</v>
      </c>
      <c r="O1579">
        <v>144</v>
      </c>
      <c r="P1579">
        <v>1</v>
      </c>
      <c r="Q1579">
        <v>3.5000000000000004</v>
      </c>
      <c r="R1579">
        <v>1452.9459999999999</v>
      </c>
      <c r="S1579">
        <v>8.259080256000001E-3</v>
      </c>
      <c r="T1579" s="4" t="s">
        <v>3645</v>
      </c>
    </row>
    <row r="1580" spans="1:20" x14ac:dyDescent="0.2">
      <c r="A1580" s="4" t="s">
        <v>3108</v>
      </c>
      <c r="B1580" s="4" t="s">
        <v>3642</v>
      </c>
      <c r="C1580" s="4" t="s">
        <v>2096</v>
      </c>
      <c r="D1580" s="4" t="s">
        <v>2236</v>
      </c>
      <c r="E1580" s="4" t="s">
        <v>901</v>
      </c>
      <c r="F1580" s="4" t="s">
        <v>3646</v>
      </c>
      <c r="G1580" s="4" t="s">
        <v>3108</v>
      </c>
      <c r="H1580" s="4" t="s">
        <v>2133</v>
      </c>
      <c r="I1580" s="4" t="s">
        <v>2100</v>
      </c>
      <c r="J1580" s="4" t="s">
        <v>3644</v>
      </c>
      <c r="K1580">
        <v>12</v>
      </c>
      <c r="L1580">
        <v>3.6576</v>
      </c>
      <c r="M1580">
        <v>25.4</v>
      </c>
      <c r="N1580">
        <v>88.9</v>
      </c>
      <c r="O1580">
        <v>144</v>
      </c>
      <c r="P1580">
        <v>1</v>
      </c>
      <c r="Q1580">
        <v>3.5000000000000004</v>
      </c>
      <c r="R1580">
        <v>1452.9459999999999</v>
      </c>
      <c r="S1580">
        <v>8.259080256000001E-3</v>
      </c>
      <c r="T1580" s="4" t="s">
        <v>3647</v>
      </c>
    </row>
    <row r="1581" spans="1:20" x14ac:dyDescent="0.2">
      <c r="A1581" s="4" t="s">
        <v>3108</v>
      </c>
      <c r="B1581" s="4" t="s">
        <v>3642</v>
      </c>
      <c r="C1581" s="4" t="s">
        <v>2096</v>
      </c>
      <c r="D1581" s="4" t="s">
        <v>2236</v>
      </c>
      <c r="E1581" s="4" t="s">
        <v>3650</v>
      </c>
      <c r="F1581" s="4" t="s">
        <v>3643</v>
      </c>
      <c r="G1581" s="4" t="s">
        <v>3108</v>
      </c>
      <c r="H1581" s="4" t="s">
        <v>2183</v>
      </c>
      <c r="I1581" s="4" t="s">
        <v>2100</v>
      </c>
      <c r="J1581" s="4" t="s">
        <v>3644</v>
      </c>
      <c r="K1581">
        <v>13</v>
      </c>
      <c r="L1581">
        <v>3.9624000000000001</v>
      </c>
      <c r="M1581">
        <v>25.4</v>
      </c>
      <c r="N1581">
        <v>88.9</v>
      </c>
      <c r="O1581">
        <v>156</v>
      </c>
      <c r="P1581">
        <v>1</v>
      </c>
      <c r="Q1581">
        <v>3.5000000000000004</v>
      </c>
      <c r="R1581">
        <v>1452.9459999999999</v>
      </c>
      <c r="S1581">
        <v>8.9473369439999999E-3</v>
      </c>
      <c r="T1581" s="4" t="s">
        <v>3645</v>
      </c>
    </row>
    <row r="1582" spans="1:20" x14ac:dyDescent="0.2">
      <c r="A1582" s="4" t="s">
        <v>3108</v>
      </c>
      <c r="B1582" s="4" t="s">
        <v>3642</v>
      </c>
      <c r="C1582" s="4" t="s">
        <v>2096</v>
      </c>
      <c r="D1582" s="4" t="s">
        <v>2236</v>
      </c>
      <c r="E1582" s="4" t="s">
        <v>3651</v>
      </c>
      <c r="F1582" s="4" t="s">
        <v>3646</v>
      </c>
      <c r="G1582" s="4" t="s">
        <v>3108</v>
      </c>
      <c r="H1582" s="4" t="s">
        <v>2133</v>
      </c>
      <c r="I1582" s="4" t="s">
        <v>2100</v>
      </c>
      <c r="J1582" s="4" t="s">
        <v>3644</v>
      </c>
      <c r="K1582">
        <v>13</v>
      </c>
      <c r="L1582">
        <v>3.9624000000000001</v>
      </c>
      <c r="M1582">
        <v>25.4</v>
      </c>
      <c r="N1582">
        <v>88.9</v>
      </c>
      <c r="O1582">
        <v>156</v>
      </c>
      <c r="P1582">
        <v>1</v>
      </c>
      <c r="Q1582">
        <v>3.5000000000000004</v>
      </c>
      <c r="R1582">
        <v>1452.9459999999999</v>
      </c>
      <c r="S1582">
        <v>8.9473369439999999E-3</v>
      </c>
      <c r="T1582" s="4" t="s">
        <v>3647</v>
      </c>
    </row>
    <row r="1583" spans="1:20" x14ac:dyDescent="0.2">
      <c r="A1583" s="4" t="s">
        <v>3108</v>
      </c>
      <c r="B1583" s="4" t="s">
        <v>3642</v>
      </c>
      <c r="C1583" s="4" t="s">
        <v>2096</v>
      </c>
      <c r="D1583" s="4" t="s">
        <v>2236</v>
      </c>
      <c r="E1583" s="4" t="s">
        <v>905</v>
      </c>
      <c r="F1583" s="4" t="s">
        <v>3643</v>
      </c>
      <c r="G1583" s="4" t="s">
        <v>3108</v>
      </c>
      <c r="H1583" s="4" t="s">
        <v>2183</v>
      </c>
      <c r="I1583" s="4" t="s">
        <v>2100</v>
      </c>
      <c r="J1583" s="4" t="s">
        <v>3644</v>
      </c>
      <c r="K1583">
        <v>14</v>
      </c>
      <c r="L1583">
        <v>4.2671999999999999</v>
      </c>
      <c r="M1583">
        <v>25.4</v>
      </c>
      <c r="N1583">
        <v>88.9</v>
      </c>
      <c r="O1583">
        <v>168</v>
      </c>
      <c r="P1583">
        <v>1</v>
      </c>
      <c r="Q1583">
        <v>3.5000000000000004</v>
      </c>
      <c r="R1583">
        <v>1452.9459999999999</v>
      </c>
      <c r="S1583">
        <v>9.6355936319999988E-3</v>
      </c>
      <c r="T1583" s="4" t="s">
        <v>3645</v>
      </c>
    </row>
    <row r="1584" spans="1:20" x14ac:dyDescent="0.2">
      <c r="A1584" s="4" t="s">
        <v>3108</v>
      </c>
      <c r="B1584" s="4" t="s">
        <v>3642</v>
      </c>
      <c r="C1584" s="4" t="s">
        <v>2096</v>
      </c>
      <c r="D1584" s="4" t="s">
        <v>2236</v>
      </c>
      <c r="E1584" s="4" t="s">
        <v>3652</v>
      </c>
      <c r="F1584" s="4" t="s">
        <v>3646</v>
      </c>
      <c r="G1584" s="4" t="s">
        <v>3108</v>
      </c>
      <c r="H1584" s="4" t="s">
        <v>2133</v>
      </c>
      <c r="I1584" s="4" t="s">
        <v>2100</v>
      </c>
      <c r="J1584" s="4" t="s">
        <v>3644</v>
      </c>
      <c r="K1584">
        <v>14</v>
      </c>
      <c r="L1584">
        <v>4.2671999999999999</v>
      </c>
      <c r="M1584">
        <v>25.4</v>
      </c>
      <c r="N1584">
        <v>88.9</v>
      </c>
      <c r="O1584">
        <v>168</v>
      </c>
      <c r="P1584">
        <v>1</v>
      </c>
      <c r="Q1584">
        <v>3.5000000000000004</v>
      </c>
      <c r="R1584">
        <v>1452.9459999999999</v>
      </c>
      <c r="S1584">
        <v>9.6355936319999988E-3</v>
      </c>
      <c r="T1584" s="4" t="s">
        <v>3647</v>
      </c>
    </row>
    <row r="1585" spans="1:20" x14ac:dyDescent="0.2">
      <c r="A1585" s="4" t="s">
        <v>3108</v>
      </c>
      <c r="B1585" s="4" t="s">
        <v>3642</v>
      </c>
      <c r="C1585" s="4" t="s">
        <v>2096</v>
      </c>
      <c r="D1585" s="4" t="s">
        <v>2236</v>
      </c>
      <c r="E1585" s="4" t="s">
        <v>3653</v>
      </c>
      <c r="F1585" s="4" t="s">
        <v>3643</v>
      </c>
      <c r="G1585" s="4" t="s">
        <v>3108</v>
      </c>
      <c r="H1585" s="4" t="s">
        <v>2183</v>
      </c>
      <c r="I1585" s="4" t="s">
        <v>2100</v>
      </c>
      <c r="J1585" s="4" t="s">
        <v>3644</v>
      </c>
      <c r="K1585">
        <v>15</v>
      </c>
      <c r="L1585">
        <v>4.5720000000000001</v>
      </c>
      <c r="M1585">
        <v>25.4</v>
      </c>
      <c r="N1585">
        <v>88.9</v>
      </c>
      <c r="O1585">
        <v>180</v>
      </c>
      <c r="P1585">
        <v>1</v>
      </c>
      <c r="Q1585">
        <v>3.5000000000000004</v>
      </c>
      <c r="R1585">
        <v>1452.9459999999999</v>
      </c>
      <c r="S1585">
        <v>1.0323850320000001E-2</v>
      </c>
      <c r="T1585" s="4" t="s">
        <v>3645</v>
      </c>
    </row>
    <row r="1586" spans="1:20" x14ac:dyDescent="0.2">
      <c r="A1586" s="4" t="s">
        <v>3108</v>
      </c>
      <c r="B1586" s="4" t="s">
        <v>3642</v>
      </c>
      <c r="C1586" s="4" t="s">
        <v>2096</v>
      </c>
      <c r="D1586" s="4" t="s">
        <v>2236</v>
      </c>
      <c r="E1586" s="4" t="s">
        <v>3654</v>
      </c>
      <c r="F1586" s="4" t="s">
        <v>3646</v>
      </c>
      <c r="G1586" s="4" t="s">
        <v>3108</v>
      </c>
      <c r="H1586" s="4" t="s">
        <v>2133</v>
      </c>
      <c r="I1586" s="4" t="s">
        <v>2100</v>
      </c>
      <c r="J1586" s="4" t="s">
        <v>3644</v>
      </c>
      <c r="K1586">
        <v>15</v>
      </c>
      <c r="L1586">
        <v>4.5720000000000001</v>
      </c>
      <c r="M1586">
        <v>25.4</v>
      </c>
      <c r="N1586">
        <v>88.9</v>
      </c>
      <c r="O1586">
        <v>180</v>
      </c>
      <c r="P1586">
        <v>1</v>
      </c>
      <c r="Q1586">
        <v>3.5000000000000004</v>
      </c>
      <c r="R1586">
        <v>1452.9459999999999</v>
      </c>
      <c r="S1586">
        <v>1.0323850320000001E-2</v>
      </c>
      <c r="T1586" s="4" t="s">
        <v>3647</v>
      </c>
    </row>
    <row r="1587" spans="1:20" x14ac:dyDescent="0.2">
      <c r="A1587" s="4" t="s">
        <v>3108</v>
      </c>
      <c r="B1587" s="4" t="s">
        <v>3642</v>
      </c>
      <c r="C1587" s="4" t="s">
        <v>2096</v>
      </c>
      <c r="D1587" s="4" t="s">
        <v>2236</v>
      </c>
      <c r="E1587" s="4" t="s">
        <v>907</v>
      </c>
      <c r="F1587" s="4" t="s">
        <v>3643</v>
      </c>
      <c r="G1587" s="4" t="s">
        <v>3108</v>
      </c>
      <c r="H1587" s="4" t="s">
        <v>2183</v>
      </c>
      <c r="I1587" s="4" t="s">
        <v>2100</v>
      </c>
      <c r="J1587" s="4" t="s">
        <v>3644</v>
      </c>
      <c r="K1587">
        <v>16</v>
      </c>
      <c r="L1587">
        <v>4.8768000000000002</v>
      </c>
      <c r="M1587">
        <v>25.4</v>
      </c>
      <c r="N1587">
        <v>88.9</v>
      </c>
      <c r="O1587">
        <v>192.00000000000003</v>
      </c>
      <c r="P1587">
        <v>1</v>
      </c>
      <c r="Q1587">
        <v>3.5000000000000004</v>
      </c>
      <c r="R1587">
        <v>1452.9459999999999</v>
      </c>
      <c r="S1587">
        <v>1.1012107008E-2</v>
      </c>
      <c r="T1587" s="4" t="s">
        <v>3645</v>
      </c>
    </row>
    <row r="1588" spans="1:20" x14ac:dyDescent="0.2">
      <c r="A1588" s="4" t="s">
        <v>3108</v>
      </c>
      <c r="B1588" s="4" t="s">
        <v>3642</v>
      </c>
      <c r="C1588" s="4" t="s">
        <v>2096</v>
      </c>
      <c r="D1588" s="4" t="s">
        <v>2236</v>
      </c>
      <c r="E1588" s="4" t="s">
        <v>3655</v>
      </c>
      <c r="F1588" s="4" t="s">
        <v>3646</v>
      </c>
      <c r="G1588" s="4" t="s">
        <v>3108</v>
      </c>
      <c r="H1588" s="4" t="s">
        <v>2133</v>
      </c>
      <c r="I1588" s="4" t="s">
        <v>2100</v>
      </c>
      <c r="J1588" s="4" t="s">
        <v>3644</v>
      </c>
      <c r="K1588">
        <v>16</v>
      </c>
      <c r="L1588">
        <v>4.8768000000000002</v>
      </c>
      <c r="M1588">
        <v>25.4</v>
      </c>
      <c r="N1588">
        <v>88.9</v>
      </c>
      <c r="O1588">
        <v>192.00000000000003</v>
      </c>
      <c r="P1588">
        <v>1</v>
      </c>
      <c r="Q1588">
        <v>3.5000000000000004</v>
      </c>
      <c r="R1588">
        <v>1452.9459999999999</v>
      </c>
      <c r="S1588">
        <v>1.1012107008E-2</v>
      </c>
      <c r="T1588" s="4" t="s">
        <v>3647</v>
      </c>
    </row>
    <row r="1589" spans="1:20" x14ac:dyDescent="0.2">
      <c r="A1589" s="4" t="s">
        <v>3108</v>
      </c>
      <c r="B1589" s="4" t="s">
        <v>3642</v>
      </c>
      <c r="C1589" s="4" t="s">
        <v>2096</v>
      </c>
      <c r="D1589" s="4" t="s">
        <v>2236</v>
      </c>
      <c r="E1589" s="4" t="s">
        <v>3656</v>
      </c>
      <c r="F1589" s="4" t="s">
        <v>3643</v>
      </c>
      <c r="G1589" s="4" t="s">
        <v>3108</v>
      </c>
      <c r="H1589" s="4" t="s">
        <v>2183</v>
      </c>
      <c r="I1589" s="4" t="s">
        <v>2100</v>
      </c>
      <c r="J1589" s="4" t="s">
        <v>3644</v>
      </c>
      <c r="K1589">
        <v>17</v>
      </c>
      <c r="L1589">
        <v>5.1816000000000004</v>
      </c>
      <c r="M1589">
        <v>25.4</v>
      </c>
      <c r="N1589">
        <v>88.9</v>
      </c>
      <c r="O1589">
        <v>204.00000000000003</v>
      </c>
      <c r="P1589">
        <v>1</v>
      </c>
      <c r="Q1589">
        <v>3.5000000000000004</v>
      </c>
      <c r="R1589">
        <v>1452.9459999999999</v>
      </c>
      <c r="S1589">
        <v>1.1700363696000001E-2</v>
      </c>
      <c r="T1589" s="4" t="s">
        <v>3645</v>
      </c>
    </row>
    <row r="1590" spans="1:20" x14ac:dyDescent="0.2">
      <c r="A1590" s="4" t="s">
        <v>3108</v>
      </c>
      <c r="B1590" s="4" t="s">
        <v>3642</v>
      </c>
      <c r="C1590" s="4" t="s">
        <v>2096</v>
      </c>
      <c r="D1590" s="4" t="s">
        <v>2236</v>
      </c>
      <c r="E1590" s="4" t="s">
        <v>3657</v>
      </c>
      <c r="F1590" s="4" t="s">
        <v>3646</v>
      </c>
      <c r="G1590" s="4" t="s">
        <v>3108</v>
      </c>
      <c r="H1590" s="4" t="s">
        <v>2133</v>
      </c>
      <c r="I1590" s="4" t="s">
        <v>2100</v>
      </c>
      <c r="J1590" s="4" t="s">
        <v>3644</v>
      </c>
      <c r="K1590">
        <v>17</v>
      </c>
      <c r="L1590">
        <v>5.1816000000000004</v>
      </c>
      <c r="M1590">
        <v>25.4</v>
      </c>
      <c r="N1590">
        <v>88.9</v>
      </c>
      <c r="O1590">
        <v>204.00000000000003</v>
      </c>
      <c r="P1590">
        <v>1</v>
      </c>
      <c r="Q1590">
        <v>3.5000000000000004</v>
      </c>
      <c r="R1590">
        <v>1452.9459999999999</v>
      </c>
      <c r="S1590">
        <v>1.1700363696000001E-2</v>
      </c>
      <c r="T1590" s="4" t="s">
        <v>3647</v>
      </c>
    </row>
    <row r="1591" spans="1:20" x14ac:dyDescent="0.2">
      <c r="A1591" s="4" t="s">
        <v>3108</v>
      </c>
      <c r="B1591" s="4" t="s">
        <v>3642</v>
      </c>
      <c r="C1591" s="4" t="s">
        <v>2096</v>
      </c>
      <c r="D1591" s="4" t="s">
        <v>2236</v>
      </c>
      <c r="E1591" s="4" t="s">
        <v>909</v>
      </c>
      <c r="F1591" s="4" t="s">
        <v>3643</v>
      </c>
      <c r="G1591" s="4" t="s">
        <v>3108</v>
      </c>
      <c r="H1591" s="4" t="s">
        <v>2183</v>
      </c>
      <c r="I1591" s="4" t="s">
        <v>2100</v>
      </c>
      <c r="J1591" s="4" t="s">
        <v>3644</v>
      </c>
      <c r="K1591">
        <v>18</v>
      </c>
      <c r="L1591">
        <v>5.4863999999999997</v>
      </c>
      <c r="M1591">
        <v>25.4</v>
      </c>
      <c r="N1591">
        <v>88.9</v>
      </c>
      <c r="O1591">
        <v>216</v>
      </c>
      <c r="P1591">
        <v>1</v>
      </c>
      <c r="Q1591">
        <v>3.5000000000000004</v>
      </c>
      <c r="R1591">
        <v>1452.9459999999999</v>
      </c>
      <c r="S1591">
        <v>1.2388620384E-2</v>
      </c>
      <c r="T1591" s="4" t="s">
        <v>3645</v>
      </c>
    </row>
    <row r="1592" spans="1:20" x14ac:dyDescent="0.2">
      <c r="A1592" s="4" t="s">
        <v>3108</v>
      </c>
      <c r="B1592" s="4" t="s">
        <v>3642</v>
      </c>
      <c r="C1592" s="4" t="s">
        <v>2096</v>
      </c>
      <c r="D1592" s="4" t="s">
        <v>2236</v>
      </c>
      <c r="E1592" s="4" t="s">
        <v>3658</v>
      </c>
      <c r="F1592" s="4" t="s">
        <v>3646</v>
      </c>
      <c r="G1592" s="4" t="s">
        <v>3108</v>
      </c>
      <c r="H1592" s="4" t="s">
        <v>2133</v>
      </c>
      <c r="I1592" s="4" t="s">
        <v>2100</v>
      </c>
      <c r="J1592" s="4" t="s">
        <v>3644</v>
      </c>
      <c r="K1592">
        <v>18</v>
      </c>
      <c r="L1592">
        <v>5.4863999999999997</v>
      </c>
      <c r="M1592">
        <v>25.4</v>
      </c>
      <c r="N1592">
        <v>88.9</v>
      </c>
      <c r="O1592">
        <v>216</v>
      </c>
      <c r="P1592">
        <v>1</v>
      </c>
      <c r="Q1592">
        <v>3.5000000000000004</v>
      </c>
      <c r="R1592">
        <v>1452.9459999999999</v>
      </c>
      <c r="S1592">
        <v>1.2388620384E-2</v>
      </c>
      <c r="T1592" s="4" t="s">
        <v>3647</v>
      </c>
    </row>
    <row r="1593" spans="1:20" x14ac:dyDescent="0.2">
      <c r="A1593" s="4" t="s">
        <v>3108</v>
      </c>
      <c r="B1593" s="4" t="s">
        <v>3642</v>
      </c>
      <c r="C1593" s="4" t="s">
        <v>2096</v>
      </c>
      <c r="D1593" s="4" t="s">
        <v>2236</v>
      </c>
      <c r="E1593" s="4" t="s">
        <v>3659</v>
      </c>
      <c r="F1593" s="4" t="s">
        <v>3643</v>
      </c>
      <c r="G1593" s="4" t="s">
        <v>3108</v>
      </c>
      <c r="H1593" s="4" t="s">
        <v>2183</v>
      </c>
      <c r="I1593" s="4" t="s">
        <v>2100</v>
      </c>
      <c r="J1593" s="4" t="s">
        <v>3644</v>
      </c>
      <c r="K1593">
        <v>19</v>
      </c>
      <c r="L1593">
        <v>5.7911999999999999</v>
      </c>
      <c r="M1593">
        <v>25.4</v>
      </c>
      <c r="N1593">
        <v>88.9</v>
      </c>
      <c r="O1593">
        <v>228</v>
      </c>
      <c r="P1593">
        <v>1</v>
      </c>
      <c r="Q1593">
        <v>3.5000000000000004</v>
      </c>
      <c r="R1593">
        <v>1452.9459999999999</v>
      </c>
      <c r="S1593">
        <v>1.3076877071999999E-2</v>
      </c>
      <c r="T1593" s="4" t="s">
        <v>3645</v>
      </c>
    </row>
    <row r="1594" spans="1:20" x14ac:dyDescent="0.2">
      <c r="A1594" s="4" t="s">
        <v>3108</v>
      </c>
      <c r="B1594" s="4" t="s">
        <v>3642</v>
      </c>
      <c r="C1594" s="4" t="s">
        <v>2096</v>
      </c>
      <c r="D1594" s="4" t="s">
        <v>2236</v>
      </c>
      <c r="E1594" s="4" t="s">
        <v>3660</v>
      </c>
      <c r="F1594" s="4" t="s">
        <v>3646</v>
      </c>
      <c r="G1594" s="4" t="s">
        <v>3108</v>
      </c>
      <c r="H1594" s="4" t="s">
        <v>2133</v>
      </c>
      <c r="I1594" s="4" t="s">
        <v>2100</v>
      </c>
      <c r="J1594" s="4" t="s">
        <v>3644</v>
      </c>
      <c r="K1594">
        <v>19</v>
      </c>
      <c r="L1594">
        <v>5.7911999999999999</v>
      </c>
      <c r="M1594">
        <v>25.4</v>
      </c>
      <c r="N1594">
        <v>88.9</v>
      </c>
      <c r="O1594">
        <v>228</v>
      </c>
      <c r="P1594">
        <v>1</v>
      </c>
      <c r="Q1594">
        <v>3.5000000000000004</v>
      </c>
      <c r="R1594">
        <v>1452.9459999999999</v>
      </c>
      <c r="S1594">
        <v>1.3076877071999999E-2</v>
      </c>
      <c r="T1594" s="4" t="s">
        <v>3647</v>
      </c>
    </row>
    <row r="1595" spans="1:20" x14ac:dyDescent="0.2">
      <c r="A1595" s="4" t="s">
        <v>3108</v>
      </c>
      <c r="B1595" s="4" t="s">
        <v>3642</v>
      </c>
      <c r="C1595" s="4" t="s">
        <v>2096</v>
      </c>
      <c r="D1595" s="4" t="s">
        <v>2236</v>
      </c>
      <c r="E1595" s="4" t="s">
        <v>3661</v>
      </c>
      <c r="F1595" s="4" t="s">
        <v>3643</v>
      </c>
      <c r="G1595" s="4" t="s">
        <v>3108</v>
      </c>
      <c r="H1595" s="4" t="s">
        <v>2183</v>
      </c>
      <c r="I1595" s="4" t="s">
        <v>2100</v>
      </c>
      <c r="J1595" s="4" t="s">
        <v>3644</v>
      </c>
      <c r="K1595">
        <v>20</v>
      </c>
      <c r="L1595">
        <v>6.0960000000000001</v>
      </c>
      <c r="M1595">
        <v>25.4</v>
      </c>
      <c r="N1595">
        <v>88.9</v>
      </c>
      <c r="O1595">
        <v>240</v>
      </c>
      <c r="P1595">
        <v>1</v>
      </c>
      <c r="Q1595">
        <v>3.5000000000000004</v>
      </c>
      <c r="R1595">
        <v>1452.9459999999999</v>
      </c>
      <c r="S1595">
        <v>1.3765133760000003E-2</v>
      </c>
      <c r="T1595" s="4" t="s">
        <v>3645</v>
      </c>
    </row>
    <row r="1596" spans="1:20" x14ac:dyDescent="0.2">
      <c r="A1596" s="4" t="s">
        <v>3108</v>
      </c>
      <c r="B1596" s="4" t="s">
        <v>3642</v>
      </c>
      <c r="C1596" s="4" t="s">
        <v>2096</v>
      </c>
      <c r="D1596" s="4" t="s">
        <v>2236</v>
      </c>
      <c r="E1596" s="4" t="s">
        <v>3662</v>
      </c>
      <c r="F1596" s="4" t="s">
        <v>3646</v>
      </c>
      <c r="G1596" s="4" t="s">
        <v>3108</v>
      </c>
      <c r="H1596" s="4" t="s">
        <v>2133</v>
      </c>
      <c r="I1596" s="4" t="s">
        <v>2100</v>
      </c>
      <c r="J1596" s="4" t="s">
        <v>3644</v>
      </c>
      <c r="K1596">
        <v>20</v>
      </c>
      <c r="L1596">
        <v>6.0960000000000001</v>
      </c>
      <c r="M1596">
        <v>25.4</v>
      </c>
      <c r="N1596">
        <v>88.9</v>
      </c>
      <c r="O1596">
        <v>240</v>
      </c>
      <c r="P1596">
        <v>1</v>
      </c>
      <c r="Q1596">
        <v>3.5000000000000004</v>
      </c>
      <c r="R1596">
        <v>1452.9459999999999</v>
      </c>
      <c r="S1596">
        <v>1.3765133760000003E-2</v>
      </c>
      <c r="T1596" s="4" t="s">
        <v>3647</v>
      </c>
    </row>
    <row r="1597" spans="1:20" x14ac:dyDescent="0.2">
      <c r="A1597" s="4" t="s">
        <v>3108</v>
      </c>
      <c r="B1597" s="4" t="s">
        <v>3642</v>
      </c>
      <c r="C1597" s="4" t="s">
        <v>2096</v>
      </c>
      <c r="D1597" s="4" t="s">
        <v>2236</v>
      </c>
      <c r="E1597" s="4" t="s">
        <v>3663</v>
      </c>
      <c r="F1597" s="4" t="s">
        <v>3643</v>
      </c>
      <c r="G1597" s="4" t="s">
        <v>3108</v>
      </c>
      <c r="H1597" s="4" t="s">
        <v>2183</v>
      </c>
      <c r="I1597" s="4" t="s">
        <v>2100</v>
      </c>
      <c r="J1597" s="4" t="s">
        <v>3644</v>
      </c>
      <c r="K1597">
        <v>21</v>
      </c>
      <c r="L1597">
        <v>6.4008000000000003</v>
      </c>
      <c r="M1597">
        <v>25.4</v>
      </c>
      <c r="N1597">
        <v>88.9</v>
      </c>
      <c r="O1597">
        <v>252.00000000000003</v>
      </c>
      <c r="P1597">
        <v>1</v>
      </c>
      <c r="Q1597">
        <v>3.5000000000000004</v>
      </c>
      <c r="R1597">
        <v>1452.9459999999999</v>
      </c>
      <c r="S1597">
        <v>1.4453390448E-2</v>
      </c>
      <c r="T1597" s="4" t="s">
        <v>3645</v>
      </c>
    </row>
    <row r="1598" spans="1:20" x14ac:dyDescent="0.2">
      <c r="A1598" s="4" t="s">
        <v>3108</v>
      </c>
      <c r="B1598" s="4" t="s">
        <v>3642</v>
      </c>
      <c r="C1598" s="4" t="s">
        <v>2096</v>
      </c>
      <c r="D1598" s="4" t="s">
        <v>2236</v>
      </c>
      <c r="E1598" s="4" t="s">
        <v>3664</v>
      </c>
      <c r="F1598" s="4" t="s">
        <v>3646</v>
      </c>
      <c r="G1598" s="4" t="s">
        <v>3108</v>
      </c>
      <c r="H1598" s="4" t="s">
        <v>2133</v>
      </c>
      <c r="I1598" s="4" t="s">
        <v>2100</v>
      </c>
      <c r="J1598" s="4" t="s">
        <v>3644</v>
      </c>
      <c r="K1598">
        <v>21</v>
      </c>
      <c r="L1598">
        <v>6.4008000000000003</v>
      </c>
      <c r="M1598">
        <v>25.4</v>
      </c>
      <c r="N1598">
        <v>88.9</v>
      </c>
      <c r="O1598">
        <v>252.00000000000003</v>
      </c>
      <c r="P1598">
        <v>1</v>
      </c>
      <c r="Q1598">
        <v>3.5000000000000004</v>
      </c>
      <c r="R1598">
        <v>1452.9459999999999</v>
      </c>
      <c r="S1598">
        <v>1.4453390448E-2</v>
      </c>
      <c r="T1598" s="4" t="s">
        <v>3647</v>
      </c>
    </row>
    <row r="1599" spans="1:20" x14ac:dyDescent="0.2">
      <c r="A1599" s="4" t="s">
        <v>3108</v>
      </c>
      <c r="B1599" s="4" t="s">
        <v>3642</v>
      </c>
      <c r="C1599" s="4" t="s">
        <v>2096</v>
      </c>
      <c r="D1599" s="4" t="s">
        <v>2236</v>
      </c>
      <c r="E1599" s="4" t="s">
        <v>3665</v>
      </c>
      <c r="F1599" s="4" t="s">
        <v>3643</v>
      </c>
      <c r="G1599" s="4" t="s">
        <v>3108</v>
      </c>
      <c r="H1599" s="4" t="s">
        <v>2183</v>
      </c>
      <c r="I1599" s="4" t="s">
        <v>2100</v>
      </c>
      <c r="J1599" s="4" t="s">
        <v>3644</v>
      </c>
      <c r="K1599">
        <v>22</v>
      </c>
      <c r="L1599">
        <v>6.7055999999999996</v>
      </c>
      <c r="M1599">
        <v>25.4</v>
      </c>
      <c r="N1599">
        <v>88.9</v>
      </c>
      <c r="O1599">
        <v>264</v>
      </c>
      <c r="P1599">
        <v>1</v>
      </c>
      <c r="Q1599">
        <v>3.5000000000000004</v>
      </c>
      <c r="R1599">
        <v>1452.9459999999999</v>
      </c>
      <c r="S1599">
        <v>1.5141647135999997E-2</v>
      </c>
      <c r="T1599" s="4" t="s">
        <v>3645</v>
      </c>
    </row>
    <row r="1600" spans="1:20" x14ac:dyDescent="0.2">
      <c r="A1600" s="4" t="s">
        <v>3108</v>
      </c>
      <c r="B1600" s="4" t="s">
        <v>3642</v>
      </c>
      <c r="C1600" s="4" t="s">
        <v>2096</v>
      </c>
      <c r="D1600" s="4" t="s">
        <v>2236</v>
      </c>
      <c r="E1600" s="4" t="s">
        <v>3666</v>
      </c>
      <c r="F1600" s="4" t="s">
        <v>3646</v>
      </c>
      <c r="G1600" s="4" t="s">
        <v>3108</v>
      </c>
      <c r="H1600" s="4" t="s">
        <v>2133</v>
      </c>
      <c r="I1600" s="4" t="s">
        <v>2100</v>
      </c>
      <c r="J1600" s="4" t="s">
        <v>3644</v>
      </c>
      <c r="K1600">
        <v>22</v>
      </c>
      <c r="L1600">
        <v>6.7055999999999996</v>
      </c>
      <c r="M1600">
        <v>25.4</v>
      </c>
      <c r="N1600">
        <v>88.9</v>
      </c>
      <c r="O1600">
        <v>264</v>
      </c>
      <c r="P1600">
        <v>1</v>
      </c>
      <c r="Q1600">
        <v>3.5000000000000004</v>
      </c>
      <c r="R1600">
        <v>1452.9459999999999</v>
      </c>
      <c r="S1600">
        <v>1.5141647135999997E-2</v>
      </c>
      <c r="T1600" s="4" t="s">
        <v>3647</v>
      </c>
    </row>
    <row r="1601" spans="1:20" x14ac:dyDescent="0.2">
      <c r="A1601" s="4" t="s">
        <v>3108</v>
      </c>
      <c r="B1601" s="4" t="s">
        <v>3642</v>
      </c>
      <c r="C1601" s="4" t="s">
        <v>2286</v>
      </c>
      <c r="D1601" s="4" t="s">
        <v>2236</v>
      </c>
      <c r="E1601" s="4" t="s">
        <v>3667</v>
      </c>
      <c r="F1601" s="4" t="s">
        <v>3643</v>
      </c>
      <c r="G1601" s="4" t="s">
        <v>3108</v>
      </c>
      <c r="H1601" s="4" t="s">
        <v>2183</v>
      </c>
      <c r="I1601" s="4" t="s">
        <v>2100</v>
      </c>
      <c r="J1601" s="4" t="s">
        <v>3644</v>
      </c>
      <c r="K1601">
        <v>3</v>
      </c>
      <c r="L1601">
        <v>0.91439999999999999</v>
      </c>
      <c r="M1601">
        <v>25.4</v>
      </c>
      <c r="N1601">
        <v>88.9</v>
      </c>
      <c r="O1601">
        <v>36</v>
      </c>
      <c r="P1601">
        <v>1</v>
      </c>
      <c r="Q1601">
        <v>3.5000000000000004</v>
      </c>
      <c r="R1601">
        <v>1452.9459999999999</v>
      </c>
      <c r="S1601">
        <v>2.0647700640000002E-3</v>
      </c>
      <c r="T1601" s="4" t="s">
        <v>3668</v>
      </c>
    </row>
    <row r="1602" spans="1:20" x14ac:dyDescent="0.2">
      <c r="A1602" s="4" t="s">
        <v>3108</v>
      </c>
      <c r="B1602" s="4" t="s">
        <v>3642</v>
      </c>
      <c r="C1602" s="4" t="s">
        <v>2286</v>
      </c>
      <c r="D1602" s="4" t="s">
        <v>2236</v>
      </c>
      <c r="E1602" s="4" t="s">
        <v>3669</v>
      </c>
      <c r="F1602" s="4" t="s">
        <v>3646</v>
      </c>
      <c r="G1602" s="4" t="s">
        <v>3108</v>
      </c>
      <c r="H1602" s="4" t="s">
        <v>2133</v>
      </c>
      <c r="I1602" s="4" t="s">
        <v>2100</v>
      </c>
      <c r="J1602" s="4" t="s">
        <v>3644</v>
      </c>
      <c r="K1602">
        <v>3</v>
      </c>
      <c r="L1602">
        <v>0.91439999999999999</v>
      </c>
      <c r="M1602">
        <v>25.4</v>
      </c>
      <c r="N1602">
        <v>88.9</v>
      </c>
      <c r="O1602">
        <v>36</v>
      </c>
      <c r="P1602">
        <v>1</v>
      </c>
      <c r="Q1602">
        <v>3.5000000000000004</v>
      </c>
      <c r="R1602">
        <v>1452.9459999999999</v>
      </c>
      <c r="S1602">
        <v>2.0647700640000002E-3</v>
      </c>
      <c r="T1602" s="4" t="s">
        <v>3670</v>
      </c>
    </row>
    <row r="1603" spans="1:20" x14ac:dyDescent="0.2">
      <c r="A1603" s="4" t="s">
        <v>3108</v>
      </c>
      <c r="B1603" s="4" t="s">
        <v>3642</v>
      </c>
      <c r="C1603" s="4" t="s">
        <v>2286</v>
      </c>
      <c r="D1603" s="4" t="s">
        <v>2236</v>
      </c>
      <c r="E1603" s="4" t="s">
        <v>3671</v>
      </c>
      <c r="F1603" s="4" t="s">
        <v>3643</v>
      </c>
      <c r="G1603" s="4" t="s">
        <v>3108</v>
      </c>
      <c r="H1603" s="4" t="s">
        <v>2183</v>
      </c>
      <c r="I1603" s="4" t="s">
        <v>2100</v>
      </c>
      <c r="J1603" s="4" t="s">
        <v>3644</v>
      </c>
      <c r="K1603">
        <v>4</v>
      </c>
      <c r="L1603">
        <v>1.2192000000000001</v>
      </c>
      <c r="M1603">
        <v>25.4</v>
      </c>
      <c r="N1603">
        <v>88.9</v>
      </c>
      <c r="O1603">
        <v>48.000000000000007</v>
      </c>
      <c r="P1603">
        <v>1</v>
      </c>
      <c r="Q1603">
        <v>3.5000000000000004</v>
      </c>
      <c r="R1603">
        <v>1452.9459999999999</v>
      </c>
      <c r="S1603">
        <v>2.753026752E-3</v>
      </c>
      <c r="T1603" s="4" t="s">
        <v>3668</v>
      </c>
    </row>
    <row r="1604" spans="1:20" x14ac:dyDescent="0.2">
      <c r="A1604" s="4" t="s">
        <v>3108</v>
      </c>
      <c r="B1604" s="4" t="s">
        <v>3642</v>
      </c>
      <c r="C1604" s="4" t="s">
        <v>2286</v>
      </c>
      <c r="D1604" s="4" t="s">
        <v>2236</v>
      </c>
      <c r="E1604" s="4" t="s">
        <v>3672</v>
      </c>
      <c r="F1604" s="4" t="s">
        <v>3646</v>
      </c>
      <c r="G1604" s="4" t="s">
        <v>3108</v>
      </c>
      <c r="H1604" s="4" t="s">
        <v>2133</v>
      </c>
      <c r="I1604" s="4" t="s">
        <v>2100</v>
      </c>
      <c r="J1604" s="4" t="s">
        <v>3644</v>
      </c>
      <c r="K1604">
        <v>4</v>
      </c>
      <c r="L1604">
        <v>1.2192000000000001</v>
      </c>
      <c r="M1604">
        <v>25.4</v>
      </c>
      <c r="N1604">
        <v>88.9</v>
      </c>
      <c r="O1604">
        <v>48.000000000000007</v>
      </c>
      <c r="P1604">
        <v>1</v>
      </c>
      <c r="Q1604">
        <v>3.5000000000000004</v>
      </c>
      <c r="R1604">
        <v>1452.9459999999999</v>
      </c>
      <c r="S1604">
        <v>2.753026752E-3</v>
      </c>
      <c r="T1604" s="4" t="s">
        <v>3670</v>
      </c>
    </row>
    <row r="1605" spans="1:20" x14ac:dyDescent="0.2">
      <c r="A1605" s="4" t="s">
        <v>3108</v>
      </c>
      <c r="B1605" s="4" t="s">
        <v>3642</v>
      </c>
      <c r="C1605" s="4" t="s">
        <v>2286</v>
      </c>
      <c r="D1605" s="4" t="s">
        <v>2236</v>
      </c>
      <c r="E1605" s="4" t="s">
        <v>3673</v>
      </c>
      <c r="F1605" s="4" t="s">
        <v>3643</v>
      </c>
      <c r="G1605" s="4" t="s">
        <v>3108</v>
      </c>
      <c r="H1605" s="4" t="s">
        <v>2183</v>
      </c>
      <c r="I1605" s="4" t="s">
        <v>2100</v>
      </c>
      <c r="J1605" s="4" t="s">
        <v>3644</v>
      </c>
      <c r="K1605">
        <v>5</v>
      </c>
      <c r="L1605">
        <v>1.524</v>
      </c>
      <c r="M1605">
        <v>25.4</v>
      </c>
      <c r="N1605">
        <v>88.9</v>
      </c>
      <c r="O1605">
        <v>60</v>
      </c>
      <c r="P1605">
        <v>1</v>
      </c>
      <c r="Q1605">
        <v>3.5000000000000004</v>
      </c>
      <c r="R1605">
        <v>1452.9459999999999</v>
      </c>
      <c r="S1605">
        <v>3.4412834400000007E-3</v>
      </c>
      <c r="T1605" s="4" t="s">
        <v>3668</v>
      </c>
    </row>
    <row r="1606" spans="1:20" x14ac:dyDescent="0.2">
      <c r="A1606" s="4" t="s">
        <v>3108</v>
      </c>
      <c r="B1606" s="4" t="s">
        <v>3642</v>
      </c>
      <c r="C1606" s="4" t="s">
        <v>2286</v>
      </c>
      <c r="D1606" s="4" t="s">
        <v>2236</v>
      </c>
      <c r="E1606" s="4" t="s">
        <v>3674</v>
      </c>
      <c r="F1606" s="4" t="s">
        <v>3646</v>
      </c>
      <c r="G1606" s="4" t="s">
        <v>3108</v>
      </c>
      <c r="H1606" s="4" t="s">
        <v>2133</v>
      </c>
      <c r="I1606" s="4" t="s">
        <v>2100</v>
      </c>
      <c r="J1606" s="4" t="s">
        <v>3644</v>
      </c>
      <c r="K1606">
        <v>5</v>
      </c>
      <c r="L1606">
        <v>1.524</v>
      </c>
      <c r="M1606">
        <v>25.4</v>
      </c>
      <c r="N1606">
        <v>88.9</v>
      </c>
      <c r="O1606">
        <v>60</v>
      </c>
      <c r="P1606">
        <v>1</v>
      </c>
      <c r="Q1606">
        <v>3.5000000000000004</v>
      </c>
      <c r="R1606">
        <v>1452.9459999999999</v>
      </c>
      <c r="S1606">
        <v>3.4412834400000007E-3</v>
      </c>
      <c r="T1606" s="4" t="s">
        <v>3670</v>
      </c>
    </row>
    <row r="1607" spans="1:20" x14ac:dyDescent="0.2">
      <c r="A1607" s="4" t="s">
        <v>3108</v>
      </c>
      <c r="B1607" s="4" t="s">
        <v>3642</v>
      </c>
      <c r="C1607" s="4" t="s">
        <v>2286</v>
      </c>
      <c r="D1607" s="4" t="s">
        <v>2236</v>
      </c>
      <c r="E1607" s="4" t="s">
        <v>3675</v>
      </c>
      <c r="F1607" s="4" t="s">
        <v>3643</v>
      </c>
      <c r="G1607" s="4" t="s">
        <v>3108</v>
      </c>
      <c r="H1607" s="4" t="s">
        <v>2183</v>
      </c>
      <c r="I1607" s="4" t="s">
        <v>2100</v>
      </c>
      <c r="J1607" s="4" t="s">
        <v>3644</v>
      </c>
      <c r="K1607">
        <v>6</v>
      </c>
      <c r="L1607">
        <v>1.8288</v>
      </c>
      <c r="M1607">
        <v>25.4</v>
      </c>
      <c r="N1607">
        <v>88.9</v>
      </c>
      <c r="O1607">
        <v>72</v>
      </c>
      <c r="P1607">
        <v>1</v>
      </c>
      <c r="Q1607">
        <v>3.5000000000000004</v>
      </c>
      <c r="R1607">
        <v>1452.9459999999999</v>
      </c>
      <c r="S1607">
        <v>4.1295401280000005E-3</v>
      </c>
      <c r="T1607" s="4" t="s">
        <v>3668</v>
      </c>
    </row>
    <row r="1608" spans="1:20" x14ac:dyDescent="0.2">
      <c r="A1608" s="4" t="s">
        <v>3108</v>
      </c>
      <c r="B1608" s="4" t="s">
        <v>3642</v>
      </c>
      <c r="C1608" s="4" t="s">
        <v>2286</v>
      </c>
      <c r="D1608" s="4" t="s">
        <v>2236</v>
      </c>
      <c r="E1608" s="4" t="s">
        <v>3676</v>
      </c>
      <c r="F1608" s="4" t="s">
        <v>3646</v>
      </c>
      <c r="G1608" s="4" t="s">
        <v>3108</v>
      </c>
      <c r="H1608" s="4" t="s">
        <v>2133</v>
      </c>
      <c r="I1608" s="4" t="s">
        <v>2100</v>
      </c>
      <c r="J1608" s="4" t="s">
        <v>3644</v>
      </c>
      <c r="K1608">
        <v>6</v>
      </c>
      <c r="L1608">
        <v>1.8288</v>
      </c>
      <c r="M1608">
        <v>25.4</v>
      </c>
      <c r="N1608">
        <v>88.9</v>
      </c>
      <c r="O1608">
        <v>72</v>
      </c>
      <c r="P1608">
        <v>1</v>
      </c>
      <c r="Q1608">
        <v>3.5000000000000004</v>
      </c>
      <c r="R1608">
        <v>1452.9459999999999</v>
      </c>
      <c r="S1608">
        <v>4.1295401280000005E-3</v>
      </c>
      <c r="T1608" s="4" t="s">
        <v>3670</v>
      </c>
    </row>
    <row r="1609" spans="1:20" x14ac:dyDescent="0.2">
      <c r="A1609" s="4" t="s">
        <v>3108</v>
      </c>
      <c r="B1609" s="4" t="s">
        <v>3642</v>
      </c>
      <c r="C1609" s="4" t="s">
        <v>2286</v>
      </c>
      <c r="D1609" s="4" t="s">
        <v>2236</v>
      </c>
      <c r="E1609" s="4" t="s">
        <v>3677</v>
      </c>
      <c r="F1609" s="4" t="s">
        <v>3643</v>
      </c>
      <c r="G1609" s="4" t="s">
        <v>3108</v>
      </c>
      <c r="H1609" s="4" t="s">
        <v>2183</v>
      </c>
      <c r="I1609" s="4" t="s">
        <v>2100</v>
      </c>
      <c r="J1609" s="4" t="s">
        <v>3644</v>
      </c>
      <c r="K1609">
        <v>7</v>
      </c>
      <c r="L1609">
        <v>2.1335999999999999</v>
      </c>
      <c r="M1609">
        <v>25.4</v>
      </c>
      <c r="N1609">
        <v>88.9</v>
      </c>
      <c r="O1609">
        <v>84</v>
      </c>
      <c r="P1609">
        <v>1</v>
      </c>
      <c r="Q1609">
        <v>3.5000000000000004</v>
      </c>
      <c r="R1609">
        <v>1452.9459999999999</v>
      </c>
      <c r="S1609">
        <v>4.8177968159999994E-3</v>
      </c>
      <c r="T1609" s="4" t="s">
        <v>3668</v>
      </c>
    </row>
    <row r="1610" spans="1:20" x14ac:dyDescent="0.2">
      <c r="A1610" s="4" t="s">
        <v>3108</v>
      </c>
      <c r="B1610" s="4" t="s">
        <v>3642</v>
      </c>
      <c r="C1610" s="4" t="s">
        <v>2286</v>
      </c>
      <c r="D1610" s="4" t="s">
        <v>2236</v>
      </c>
      <c r="E1610" s="4" t="s">
        <v>3678</v>
      </c>
      <c r="F1610" s="4" t="s">
        <v>3646</v>
      </c>
      <c r="G1610" s="4" t="s">
        <v>3108</v>
      </c>
      <c r="H1610" s="4" t="s">
        <v>2133</v>
      </c>
      <c r="I1610" s="4" t="s">
        <v>2100</v>
      </c>
      <c r="J1610" s="4" t="s">
        <v>3644</v>
      </c>
      <c r="K1610">
        <v>7</v>
      </c>
      <c r="L1610">
        <v>2.1335999999999999</v>
      </c>
      <c r="M1610">
        <v>25.4</v>
      </c>
      <c r="N1610">
        <v>88.9</v>
      </c>
      <c r="O1610">
        <v>84</v>
      </c>
      <c r="P1610">
        <v>1</v>
      </c>
      <c r="Q1610">
        <v>3.5000000000000004</v>
      </c>
      <c r="R1610">
        <v>1452.9459999999999</v>
      </c>
      <c r="S1610">
        <v>4.8177968159999994E-3</v>
      </c>
      <c r="T1610" s="4" t="s">
        <v>3670</v>
      </c>
    </row>
    <row r="1611" spans="1:20" x14ac:dyDescent="0.2">
      <c r="A1611" s="4" t="s">
        <v>3108</v>
      </c>
      <c r="B1611" s="4" t="s">
        <v>3642</v>
      </c>
      <c r="C1611" s="4" t="s">
        <v>2096</v>
      </c>
      <c r="D1611" s="4" t="s">
        <v>2236</v>
      </c>
      <c r="E1611" s="4" t="s">
        <v>913</v>
      </c>
      <c r="F1611" s="4" t="s">
        <v>3643</v>
      </c>
      <c r="G1611" s="4" t="s">
        <v>3108</v>
      </c>
      <c r="H1611" s="4" t="s">
        <v>2183</v>
      </c>
      <c r="I1611" s="4" t="s">
        <v>2100</v>
      </c>
      <c r="J1611" s="4" t="s">
        <v>3644</v>
      </c>
      <c r="K1611">
        <v>8</v>
      </c>
      <c r="L1611">
        <v>2.4384000000000001</v>
      </c>
      <c r="M1611">
        <v>25.4</v>
      </c>
      <c r="N1611">
        <v>88.9</v>
      </c>
      <c r="O1611">
        <v>96.000000000000014</v>
      </c>
      <c r="P1611">
        <v>1</v>
      </c>
      <c r="Q1611">
        <v>3.5000000000000004</v>
      </c>
      <c r="R1611">
        <v>1452.9459999999999</v>
      </c>
      <c r="S1611">
        <v>5.5060535040000001E-3</v>
      </c>
      <c r="T1611" s="4" t="s">
        <v>3645</v>
      </c>
    </row>
    <row r="1612" spans="1:20" x14ac:dyDescent="0.2">
      <c r="A1612" s="4" t="s">
        <v>3108</v>
      </c>
      <c r="B1612" s="4" t="s">
        <v>3642</v>
      </c>
      <c r="C1612" s="4" t="s">
        <v>2096</v>
      </c>
      <c r="D1612" s="4" t="s">
        <v>2236</v>
      </c>
      <c r="E1612" s="4" t="s">
        <v>911</v>
      </c>
      <c r="F1612" s="4" t="s">
        <v>3646</v>
      </c>
      <c r="G1612" s="4" t="s">
        <v>3108</v>
      </c>
      <c r="H1612" s="4" t="s">
        <v>2133</v>
      </c>
      <c r="I1612" s="4" t="s">
        <v>2100</v>
      </c>
      <c r="J1612" s="4" t="s">
        <v>3644</v>
      </c>
      <c r="K1612">
        <v>8</v>
      </c>
      <c r="L1612">
        <v>2.4384000000000001</v>
      </c>
      <c r="M1612">
        <v>25.4</v>
      </c>
      <c r="N1612">
        <v>88.9</v>
      </c>
      <c r="O1612">
        <v>96.000000000000014</v>
      </c>
      <c r="P1612">
        <v>1</v>
      </c>
      <c r="Q1612">
        <v>3.5000000000000004</v>
      </c>
      <c r="R1612">
        <v>1452.9459999999999</v>
      </c>
      <c r="S1612">
        <v>5.5060535040000001E-3</v>
      </c>
      <c r="T1612" s="4" t="s">
        <v>3647</v>
      </c>
    </row>
    <row r="1613" spans="1:20" x14ac:dyDescent="0.2">
      <c r="A1613" s="4" t="s">
        <v>3108</v>
      </c>
      <c r="B1613" s="4" t="s">
        <v>3642</v>
      </c>
      <c r="C1613" s="4" t="s">
        <v>2096</v>
      </c>
      <c r="D1613" s="4" t="s">
        <v>2236</v>
      </c>
      <c r="E1613" s="4" t="s">
        <v>3679</v>
      </c>
      <c r="F1613" s="4" t="s">
        <v>3643</v>
      </c>
      <c r="G1613" s="4" t="s">
        <v>3108</v>
      </c>
      <c r="H1613" s="4" t="s">
        <v>2183</v>
      </c>
      <c r="I1613" s="4" t="s">
        <v>2100</v>
      </c>
      <c r="J1613" s="4" t="s">
        <v>3644</v>
      </c>
      <c r="K1613">
        <v>9</v>
      </c>
      <c r="L1613">
        <v>2.7431999999999999</v>
      </c>
      <c r="M1613">
        <v>25.4</v>
      </c>
      <c r="N1613">
        <v>88.9</v>
      </c>
      <c r="O1613">
        <v>108</v>
      </c>
      <c r="P1613">
        <v>1</v>
      </c>
      <c r="Q1613">
        <v>3.5000000000000004</v>
      </c>
      <c r="R1613">
        <v>1452.9459999999999</v>
      </c>
      <c r="S1613">
        <v>6.1943101919999998E-3</v>
      </c>
      <c r="T1613" s="4" t="s">
        <v>3645</v>
      </c>
    </row>
    <row r="1614" spans="1:20" x14ac:dyDescent="0.2">
      <c r="A1614" s="4" t="s">
        <v>3108</v>
      </c>
      <c r="B1614" s="4" t="s">
        <v>3642</v>
      </c>
      <c r="C1614" s="4" t="s">
        <v>2096</v>
      </c>
      <c r="D1614" s="4" t="s">
        <v>2236</v>
      </c>
      <c r="E1614" s="4" t="s">
        <v>3680</v>
      </c>
      <c r="F1614" s="4" t="s">
        <v>3646</v>
      </c>
      <c r="G1614" s="4" t="s">
        <v>3108</v>
      </c>
      <c r="H1614" s="4" t="s">
        <v>2133</v>
      </c>
      <c r="I1614" s="4" t="s">
        <v>2100</v>
      </c>
      <c r="J1614" s="4" t="s">
        <v>3644</v>
      </c>
      <c r="K1614">
        <v>9</v>
      </c>
      <c r="L1614">
        <v>2.7431999999999999</v>
      </c>
      <c r="M1614">
        <v>25.4</v>
      </c>
      <c r="N1614">
        <v>88.9</v>
      </c>
      <c r="O1614">
        <v>108</v>
      </c>
      <c r="P1614">
        <v>1</v>
      </c>
      <c r="Q1614">
        <v>3.5000000000000004</v>
      </c>
      <c r="R1614">
        <v>1452.9459999999999</v>
      </c>
      <c r="S1614">
        <v>6.1943101919999998E-3</v>
      </c>
      <c r="T1614" s="4" t="s">
        <v>3647</v>
      </c>
    </row>
    <row r="1615" spans="1:20" x14ac:dyDescent="0.2">
      <c r="A1615" s="4" t="s">
        <v>3108</v>
      </c>
      <c r="B1615" s="4" t="s">
        <v>3109</v>
      </c>
      <c r="C1615" s="4" t="s">
        <v>2096</v>
      </c>
      <c r="D1615" s="4" t="s">
        <v>2236</v>
      </c>
      <c r="E1615" s="4" t="s">
        <v>917</v>
      </c>
      <c r="F1615" s="4" t="s">
        <v>3681</v>
      </c>
      <c r="G1615" s="4" t="s">
        <v>3108</v>
      </c>
      <c r="H1615" s="4" t="s">
        <v>2183</v>
      </c>
      <c r="I1615" s="4" t="s">
        <v>2100</v>
      </c>
      <c r="J1615" s="4" t="s">
        <v>2111</v>
      </c>
      <c r="K1615">
        <v>10</v>
      </c>
      <c r="L1615">
        <v>3.048</v>
      </c>
      <c r="M1615">
        <v>25.4</v>
      </c>
      <c r="N1615">
        <v>139.69999999999999</v>
      </c>
      <c r="O1615">
        <v>120</v>
      </c>
      <c r="P1615">
        <v>1</v>
      </c>
      <c r="Q1615">
        <v>5.5</v>
      </c>
      <c r="R1615">
        <v>924.60199999999998</v>
      </c>
      <c r="S1615">
        <v>1.081546224E-2</v>
      </c>
      <c r="T1615" s="4" t="s">
        <v>3682</v>
      </c>
    </row>
    <row r="1616" spans="1:20" x14ac:dyDescent="0.2">
      <c r="A1616" s="4" t="s">
        <v>3108</v>
      </c>
      <c r="B1616" s="4" t="s">
        <v>3109</v>
      </c>
      <c r="C1616" s="4" t="s">
        <v>2096</v>
      </c>
      <c r="D1616" s="4" t="s">
        <v>2236</v>
      </c>
      <c r="E1616" s="4" t="s">
        <v>915</v>
      </c>
      <c r="F1616" s="4" t="s">
        <v>3683</v>
      </c>
      <c r="G1616" s="4" t="s">
        <v>3108</v>
      </c>
      <c r="H1616" s="4" t="s">
        <v>2133</v>
      </c>
      <c r="I1616" s="4" t="s">
        <v>2100</v>
      </c>
      <c r="J1616" s="4" t="s">
        <v>2111</v>
      </c>
      <c r="K1616">
        <v>10</v>
      </c>
      <c r="L1616">
        <v>3.048</v>
      </c>
      <c r="M1616">
        <v>25.4</v>
      </c>
      <c r="N1616">
        <v>139.69999999999999</v>
      </c>
      <c r="O1616">
        <v>120</v>
      </c>
      <c r="P1616">
        <v>1</v>
      </c>
      <c r="Q1616">
        <v>5.5</v>
      </c>
      <c r="R1616">
        <v>924.60199999999998</v>
      </c>
      <c r="S1616">
        <v>1.081546224E-2</v>
      </c>
      <c r="T1616" s="4" t="s">
        <v>3684</v>
      </c>
    </row>
    <row r="1617" spans="1:20" x14ac:dyDescent="0.2">
      <c r="A1617" s="4" t="s">
        <v>3108</v>
      </c>
      <c r="B1617" s="4" t="s">
        <v>3109</v>
      </c>
      <c r="C1617" s="4" t="s">
        <v>2096</v>
      </c>
      <c r="D1617" s="4" t="s">
        <v>2236</v>
      </c>
      <c r="E1617" s="4" t="s">
        <v>3685</v>
      </c>
      <c r="F1617" s="4" t="s">
        <v>3686</v>
      </c>
      <c r="G1617" s="4" t="s">
        <v>3108</v>
      </c>
      <c r="H1617" s="4" t="s">
        <v>3687</v>
      </c>
      <c r="I1617" s="4" t="s">
        <v>2100</v>
      </c>
      <c r="J1617" s="4" t="s">
        <v>2111</v>
      </c>
      <c r="K1617">
        <v>10</v>
      </c>
      <c r="L1617">
        <v>3.048</v>
      </c>
      <c r="M1617">
        <v>25.4</v>
      </c>
      <c r="N1617">
        <v>139.69999999999999</v>
      </c>
      <c r="O1617">
        <v>120</v>
      </c>
      <c r="P1617">
        <v>1</v>
      </c>
      <c r="Q1617">
        <v>5.5</v>
      </c>
      <c r="R1617">
        <v>924.60199999999998</v>
      </c>
      <c r="S1617">
        <v>1.081546224E-2</v>
      </c>
      <c r="T1617" s="4" t="s">
        <v>3688</v>
      </c>
    </row>
    <row r="1618" spans="1:20" x14ac:dyDescent="0.2">
      <c r="A1618" s="4" t="s">
        <v>3108</v>
      </c>
      <c r="B1618" s="4" t="s">
        <v>3689</v>
      </c>
      <c r="C1618" s="4" t="s">
        <v>2096</v>
      </c>
      <c r="D1618" s="4" t="s">
        <v>2236</v>
      </c>
      <c r="E1618" s="4" t="s">
        <v>919</v>
      </c>
      <c r="F1618" s="4" t="s">
        <v>3690</v>
      </c>
      <c r="G1618" s="4" t="s">
        <v>3108</v>
      </c>
      <c r="H1618" s="4" t="s">
        <v>3691</v>
      </c>
      <c r="I1618" s="4" t="s">
        <v>2100</v>
      </c>
      <c r="J1618" s="4" t="s">
        <v>3692</v>
      </c>
      <c r="K1618">
        <v>10</v>
      </c>
      <c r="L1618">
        <v>3.048</v>
      </c>
      <c r="M1618">
        <v>23</v>
      </c>
      <c r="N1618">
        <v>139.69999999999999</v>
      </c>
      <c r="O1618">
        <v>120</v>
      </c>
      <c r="P1618">
        <v>0.9055118110236221</v>
      </c>
      <c r="Q1618">
        <v>5.5</v>
      </c>
      <c r="R1618">
        <v>1021.082</v>
      </c>
      <c r="S1618">
        <v>9.7935287999999995E-3</v>
      </c>
      <c r="T1618" s="4" t="s">
        <v>3693</v>
      </c>
    </row>
    <row r="1619" spans="1:20" x14ac:dyDescent="0.2">
      <c r="A1619" s="4" t="s">
        <v>3108</v>
      </c>
      <c r="B1619" s="4" t="s">
        <v>3109</v>
      </c>
      <c r="C1619" s="4" t="s">
        <v>2096</v>
      </c>
      <c r="D1619" s="4" t="s">
        <v>2236</v>
      </c>
      <c r="E1619" s="4" t="s">
        <v>3694</v>
      </c>
      <c r="F1619" s="4" t="s">
        <v>3681</v>
      </c>
      <c r="G1619" s="4" t="s">
        <v>3108</v>
      </c>
      <c r="H1619" s="4" t="s">
        <v>2183</v>
      </c>
      <c r="I1619" s="4" t="s">
        <v>2100</v>
      </c>
      <c r="J1619" s="4" t="s">
        <v>2111</v>
      </c>
      <c r="K1619">
        <v>11</v>
      </c>
      <c r="L1619">
        <v>3.3527999999999998</v>
      </c>
      <c r="M1619">
        <v>25.4</v>
      </c>
      <c r="N1619">
        <v>139.69999999999999</v>
      </c>
      <c r="O1619">
        <v>132</v>
      </c>
      <c r="P1619">
        <v>1</v>
      </c>
      <c r="Q1619">
        <v>5.5</v>
      </c>
      <c r="R1619">
        <v>924.60199999999998</v>
      </c>
      <c r="S1619">
        <v>1.1897008463999995E-2</v>
      </c>
      <c r="T1619" s="4" t="s">
        <v>3682</v>
      </c>
    </row>
    <row r="1620" spans="1:20" x14ac:dyDescent="0.2">
      <c r="A1620" s="4" t="s">
        <v>3108</v>
      </c>
      <c r="B1620" s="4" t="s">
        <v>3109</v>
      </c>
      <c r="C1620" s="4" t="s">
        <v>2096</v>
      </c>
      <c r="D1620" s="4" t="s">
        <v>2236</v>
      </c>
      <c r="E1620" s="4" t="s">
        <v>3695</v>
      </c>
      <c r="F1620" s="4" t="s">
        <v>3683</v>
      </c>
      <c r="G1620" s="4" t="s">
        <v>3108</v>
      </c>
      <c r="H1620" s="4" t="s">
        <v>2133</v>
      </c>
      <c r="I1620" s="4" t="s">
        <v>2100</v>
      </c>
      <c r="J1620" s="4" t="s">
        <v>2111</v>
      </c>
      <c r="K1620">
        <v>11</v>
      </c>
      <c r="L1620">
        <v>3.3527999999999998</v>
      </c>
      <c r="M1620">
        <v>25.4</v>
      </c>
      <c r="N1620">
        <v>139.69999999999999</v>
      </c>
      <c r="O1620">
        <v>132</v>
      </c>
      <c r="P1620">
        <v>1</v>
      </c>
      <c r="Q1620">
        <v>5.5</v>
      </c>
      <c r="R1620">
        <v>924.60199999999998</v>
      </c>
      <c r="S1620">
        <v>1.1897008463999995E-2</v>
      </c>
      <c r="T1620" s="4" t="s">
        <v>3684</v>
      </c>
    </row>
    <row r="1621" spans="1:20" x14ac:dyDescent="0.2">
      <c r="A1621" s="4" t="s">
        <v>3108</v>
      </c>
      <c r="B1621" s="4" t="s">
        <v>3109</v>
      </c>
      <c r="C1621" s="4" t="s">
        <v>2096</v>
      </c>
      <c r="D1621" s="4" t="s">
        <v>2236</v>
      </c>
      <c r="E1621" s="4" t="s">
        <v>3696</v>
      </c>
      <c r="F1621" s="4" t="s">
        <v>3686</v>
      </c>
      <c r="G1621" s="4" t="s">
        <v>3108</v>
      </c>
      <c r="H1621" s="4" t="s">
        <v>3687</v>
      </c>
      <c r="I1621" s="4" t="s">
        <v>2100</v>
      </c>
      <c r="J1621" s="4" t="s">
        <v>2111</v>
      </c>
      <c r="K1621">
        <v>11</v>
      </c>
      <c r="L1621">
        <v>3.3527999999999998</v>
      </c>
      <c r="M1621">
        <v>25.4</v>
      </c>
      <c r="N1621">
        <v>139.69999999999999</v>
      </c>
      <c r="O1621">
        <v>132</v>
      </c>
      <c r="P1621">
        <v>1</v>
      </c>
      <c r="Q1621">
        <v>5.5</v>
      </c>
      <c r="R1621">
        <v>924.60199999999998</v>
      </c>
      <c r="S1621">
        <v>1.1897008463999995E-2</v>
      </c>
      <c r="T1621" s="4" t="s">
        <v>3688</v>
      </c>
    </row>
    <row r="1622" spans="1:20" x14ac:dyDescent="0.2">
      <c r="A1622" s="4" t="s">
        <v>3108</v>
      </c>
      <c r="B1622" s="4" t="s">
        <v>3689</v>
      </c>
      <c r="C1622" s="4" t="s">
        <v>2096</v>
      </c>
      <c r="D1622" s="4" t="s">
        <v>2236</v>
      </c>
      <c r="E1622" s="4" t="s">
        <v>3697</v>
      </c>
      <c r="F1622" s="4" t="s">
        <v>3690</v>
      </c>
      <c r="G1622" s="4" t="s">
        <v>3108</v>
      </c>
      <c r="H1622" s="4" t="s">
        <v>3691</v>
      </c>
      <c r="I1622" s="4" t="s">
        <v>2100</v>
      </c>
      <c r="J1622" s="4" t="s">
        <v>3692</v>
      </c>
      <c r="K1622">
        <v>11</v>
      </c>
      <c r="L1622">
        <v>3.3527999999999998</v>
      </c>
      <c r="M1622">
        <v>23</v>
      </c>
      <c r="N1622">
        <v>139.69999999999999</v>
      </c>
      <c r="O1622">
        <v>132</v>
      </c>
      <c r="P1622">
        <v>0.9055118110236221</v>
      </c>
      <c r="Q1622">
        <v>5.5</v>
      </c>
      <c r="R1622">
        <v>1021.082</v>
      </c>
      <c r="S1622">
        <v>1.0772881679999997E-2</v>
      </c>
      <c r="T1622" s="4" t="s">
        <v>3693</v>
      </c>
    </row>
    <row r="1623" spans="1:20" x14ac:dyDescent="0.2">
      <c r="A1623" s="4" t="s">
        <v>3108</v>
      </c>
      <c r="B1623" s="4" t="s">
        <v>3109</v>
      </c>
      <c r="C1623" s="4" t="s">
        <v>2096</v>
      </c>
      <c r="D1623" s="4" t="s">
        <v>2236</v>
      </c>
      <c r="E1623" s="4" t="s">
        <v>923</v>
      </c>
      <c r="F1623" s="4" t="s">
        <v>3681</v>
      </c>
      <c r="G1623" s="4" t="s">
        <v>3108</v>
      </c>
      <c r="H1623" s="4" t="s">
        <v>2183</v>
      </c>
      <c r="I1623" s="4" t="s">
        <v>2100</v>
      </c>
      <c r="J1623" s="4" t="s">
        <v>2111</v>
      </c>
      <c r="K1623">
        <v>12</v>
      </c>
      <c r="L1623">
        <v>3.6576</v>
      </c>
      <c r="M1623">
        <v>25.4</v>
      </c>
      <c r="N1623">
        <v>139.69999999999999</v>
      </c>
      <c r="O1623">
        <v>144</v>
      </c>
      <c r="P1623">
        <v>1</v>
      </c>
      <c r="Q1623">
        <v>5.5</v>
      </c>
      <c r="R1623">
        <v>924.60199999999998</v>
      </c>
      <c r="S1623">
        <v>1.2978554687999997E-2</v>
      </c>
      <c r="T1623" s="4" t="s">
        <v>3682</v>
      </c>
    </row>
    <row r="1624" spans="1:20" x14ac:dyDescent="0.2">
      <c r="A1624" s="4" t="s">
        <v>3108</v>
      </c>
      <c r="B1624" s="4" t="s">
        <v>3109</v>
      </c>
      <c r="C1624" s="4" t="s">
        <v>2096</v>
      </c>
      <c r="D1624" s="4" t="s">
        <v>2236</v>
      </c>
      <c r="E1624" s="4" t="s">
        <v>921</v>
      </c>
      <c r="F1624" s="4" t="s">
        <v>3683</v>
      </c>
      <c r="G1624" s="4" t="s">
        <v>3108</v>
      </c>
      <c r="H1624" s="4" t="s">
        <v>2133</v>
      </c>
      <c r="I1624" s="4" t="s">
        <v>2100</v>
      </c>
      <c r="J1624" s="4" t="s">
        <v>2111</v>
      </c>
      <c r="K1624">
        <v>12</v>
      </c>
      <c r="L1624">
        <v>3.6576</v>
      </c>
      <c r="M1624">
        <v>25.4</v>
      </c>
      <c r="N1624">
        <v>139.69999999999999</v>
      </c>
      <c r="O1624">
        <v>144</v>
      </c>
      <c r="P1624">
        <v>1</v>
      </c>
      <c r="Q1624">
        <v>5.5</v>
      </c>
      <c r="R1624">
        <v>924.60199999999998</v>
      </c>
      <c r="S1624">
        <v>1.2978554687999997E-2</v>
      </c>
      <c r="T1624" s="4" t="s">
        <v>3684</v>
      </c>
    </row>
    <row r="1625" spans="1:20" x14ac:dyDescent="0.2">
      <c r="A1625" s="4" t="s">
        <v>3108</v>
      </c>
      <c r="B1625" s="4" t="s">
        <v>3109</v>
      </c>
      <c r="C1625" s="4" t="s">
        <v>2096</v>
      </c>
      <c r="D1625" s="4" t="s">
        <v>2236</v>
      </c>
      <c r="E1625" s="4" t="s">
        <v>3698</v>
      </c>
      <c r="F1625" s="4" t="s">
        <v>3686</v>
      </c>
      <c r="G1625" s="4" t="s">
        <v>3108</v>
      </c>
      <c r="H1625" s="4" t="s">
        <v>3687</v>
      </c>
      <c r="I1625" s="4" t="s">
        <v>2100</v>
      </c>
      <c r="J1625" s="4" t="s">
        <v>2111</v>
      </c>
      <c r="K1625">
        <v>12</v>
      </c>
      <c r="L1625">
        <v>3.6576</v>
      </c>
      <c r="M1625">
        <v>25.4</v>
      </c>
      <c r="N1625">
        <v>139.69999999999999</v>
      </c>
      <c r="O1625">
        <v>144</v>
      </c>
      <c r="P1625">
        <v>1</v>
      </c>
      <c r="Q1625">
        <v>5.5</v>
      </c>
      <c r="R1625">
        <v>924.60199999999998</v>
      </c>
      <c r="S1625">
        <v>1.2978554687999997E-2</v>
      </c>
      <c r="T1625" s="4" t="s">
        <v>3688</v>
      </c>
    </row>
    <row r="1626" spans="1:20" x14ac:dyDescent="0.2">
      <c r="A1626" s="4" t="s">
        <v>3108</v>
      </c>
      <c r="B1626" s="4" t="s">
        <v>3689</v>
      </c>
      <c r="C1626" s="4" t="s">
        <v>2096</v>
      </c>
      <c r="D1626" s="4" t="s">
        <v>2236</v>
      </c>
      <c r="E1626" s="4" t="s">
        <v>3699</v>
      </c>
      <c r="F1626" s="4" t="s">
        <v>3690</v>
      </c>
      <c r="G1626" s="4" t="s">
        <v>3108</v>
      </c>
      <c r="H1626" s="4" t="s">
        <v>3691</v>
      </c>
      <c r="I1626" s="4" t="s">
        <v>2100</v>
      </c>
      <c r="J1626" s="4" t="s">
        <v>3692</v>
      </c>
      <c r="K1626">
        <v>12</v>
      </c>
      <c r="L1626">
        <v>3.6576</v>
      </c>
      <c r="M1626">
        <v>23</v>
      </c>
      <c r="N1626">
        <v>139.69999999999999</v>
      </c>
      <c r="O1626">
        <v>144</v>
      </c>
      <c r="P1626">
        <v>0.9055118110236221</v>
      </c>
      <c r="Q1626">
        <v>5.5</v>
      </c>
      <c r="R1626">
        <v>1021.082</v>
      </c>
      <c r="S1626">
        <v>1.175223456E-2</v>
      </c>
      <c r="T1626" s="4" t="s">
        <v>3693</v>
      </c>
    </row>
    <row r="1627" spans="1:20" x14ac:dyDescent="0.2">
      <c r="A1627" s="4" t="s">
        <v>3108</v>
      </c>
      <c r="B1627" s="4" t="s">
        <v>3109</v>
      </c>
      <c r="C1627" s="4" t="s">
        <v>2096</v>
      </c>
      <c r="D1627" s="4" t="s">
        <v>2236</v>
      </c>
      <c r="E1627" s="4" t="s">
        <v>3700</v>
      </c>
      <c r="F1627" s="4" t="s">
        <v>3681</v>
      </c>
      <c r="G1627" s="4" t="s">
        <v>3108</v>
      </c>
      <c r="H1627" s="4" t="s">
        <v>2183</v>
      </c>
      <c r="I1627" s="4" t="s">
        <v>2100</v>
      </c>
      <c r="J1627" s="4" t="s">
        <v>2111</v>
      </c>
      <c r="K1627">
        <v>13</v>
      </c>
      <c r="L1627">
        <v>3.9624000000000001</v>
      </c>
      <c r="M1627">
        <v>25.4</v>
      </c>
      <c r="N1627">
        <v>139.69999999999999</v>
      </c>
      <c r="O1627">
        <v>156</v>
      </c>
      <c r="P1627">
        <v>1</v>
      </c>
      <c r="Q1627">
        <v>5.5</v>
      </c>
      <c r="R1627">
        <v>924.60199999999998</v>
      </c>
      <c r="S1627">
        <v>1.4060100911999997E-2</v>
      </c>
      <c r="T1627" s="4" t="s">
        <v>3682</v>
      </c>
    </row>
    <row r="1628" spans="1:20" x14ac:dyDescent="0.2">
      <c r="A1628" s="4" t="s">
        <v>3108</v>
      </c>
      <c r="B1628" s="4" t="s">
        <v>3109</v>
      </c>
      <c r="C1628" s="4" t="s">
        <v>2096</v>
      </c>
      <c r="D1628" s="4" t="s">
        <v>2236</v>
      </c>
      <c r="E1628" s="4" t="s">
        <v>3701</v>
      </c>
      <c r="F1628" s="4" t="s">
        <v>3683</v>
      </c>
      <c r="G1628" s="4" t="s">
        <v>3108</v>
      </c>
      <c r="H1628" s="4" t="s">
        <v>2133</v>
      </c>
      <c r="I1628" s="4" t="s">
        <v>2100</v>
      </c>
      <c r="J1628" s="4" t="s">
        <v>2111</v>
      </c>
      <c r="K1628">
        <v>13</v>
      </c>
      <c r="L1628">
        <v>3.9624000000000001</v>
      </c>
      <c r="M1628">
        <v>25.4</v>
      </c>
      <c r="N1628">
        <v>139.69999999999999</v>
      </c>
      <c r="O1628">
        <v>156</v>
      </c>
      <c r="P1628">
        <v>1</v>
      </c>
      <c r="Q1628">
        <v>5.5</v>
      </c>
      <c r="R1628">
        <v>924.60199999999998</v>
      </c>
      <c r="S1628">
        <v>1.4060100911999997E-2</v>
      </c>
      <c r="T1628" s="4" t="s">
        <v>3684</v>
      </c>
    </row>
    <row r="1629" spans="1:20" x14ac:dyDescent="0.2">
      <c r="A1629" s="4" t="s">
        <v>3108</v>
      </c>
      <c r="B1629" s="4" t="s">
        <v>3109</v>
      </c>
      <c r="C1629" s="4" t="s">
        <v>2096</v>
      </c>
      <c r="D1629" s="4" t="s">
        <v>2236</v>
      </c>
      <c r="E1629" s="4" t="s">
        <v>3702</v>
      </c>
      <c r="F1629" s="4" t="s">
        <v>3686</v>
      </c>
      <c r="G1629" s="4" t="s">
        <v>3108</v>
      </c>
      <c r="H1629" s="4" t="s">
        <v>3687</v>
      </c>
      <c r="I1629" s="4" t="s">
        <v>2100</v>
      </c>
      <c r="J1629" s="4" t="s">
        <v>2111</v>
      </c>
      <c r="K1629">
        <v>13</v>
      </c>
      <c r="L1629">
        <v>3.9624000000000001</v>
      </c>
      <c r="M1629">
        <v>25.4</v>
      </c>
      <c r="N1629">
        <v>139.69999999999999</v>
      </c>
      <c r="O1629">
        <v>156</v>
      </c>
      <c r="P1629">
        <v>1</v>
      </c>
      <c r="Q1629">
        <v>5.5</v>
      </c>
      <c r="R1629">
        <v>924.60199999999998</v>
      </c>
      <c r="S1629">
        <v>1.4060100911999997E-2</v>
      </c>
      <c r="T1629" s="4" t="s">
        <v>3688</v>
      </c>
    </row>
    <row r="1630" spans="1:20" x14ac:dyDescent="0.2">
      <c r="A1630" s="4" t="s">
        <v>3108</v>
      </c>
      <c r="B1630" s="4" t="s">
        <v>3689</v>
      </c>
      <c r="C1630" s="4" t="s">
        <v>2096</v>
      </c>
      <c r="D1630" s="4" t="s">
        <v>2236</v>
      </c>
      <c r="E1630" s="4" t="s">
        <v>3703</v>
      </c>
      <c r="F1630" s="4" t="s">
        <v>3690</v>
      </c>
      <c r="G1630" s="4" t="s">
        <v>3108</v>
      </c>
      <c r="H1630" s="4" t="s">
        <v>3691</v>
      </c>
      <c r="I1630" s="4" t="s">
        <v>2100</v>
      </c>
      <c r="J1630" s="4" t="s">
        <v>3692</v>
      </c>
      <c r="K1630">
        <v>13</v>
      </c>
      <c r="L1630">
        <v>3.9624000000000001</v>
      </c>
      <c r="M1630">
        <v>23</v>
      </c>
      <c r="N1630">
        <v>139.69999999999999</v>
      </c>
      <c r="O1630">
        <v>156</v>
      </c>
      <c r="P1630">
        <v>0.9055118110236221</v>
      </c>
      <c r="Q1630">
        <v>5.5</v>
      </c>
      <c r="R1630">
        <v>1021.082</v>
      </c>
      <c r="S1630">
        <v>1.2731587439999999E-2</v>
      </c>
      <c r="T1630" s="4" t="s">
        <v>3693</v>
      </c>
    </row>
    <row r="1631" spans="1:20" x14ac:dyDescent="0.2">
      <c r="A1631" s="4" t="s">
        <v>3108</v>
      </c>
      <c r="B1631" s="4" t="s">
        <v>3109</v>
      </c>
      <c r="C1631" s="4" t="s">
        <v>2096</v>
      </c>
      <c r="D1631" s="4" t="s">
        <v>2236</v>
      </c>
      <c r="E1631" s="4" t="s">
        <v>927</v>
      </c>
      <c r="F1631" s="4" t="s">
        <v>3681</v>
      </c>
      <c r="G1631" s="4" t="s">
        <v>3108</v>
      </c>
      <c r="H1631" s="4" t="s">
        <v>2183</v>
      </c>
      <c r="I1631" s="4" t="s">
        <v>2100</v>
      </c>
      <c r="J1631" s="4" t="s">
        <v>2111</v>
      </c>
      <c r="K1631">
        <v>14</v>
      </c>
      <c r="L1631">
        <v>4.2671999999999999</v>
      </c>
      <c r="M1631">
        <v>25.4</v>
      </c>
      <c r="N1631">
        <v>139.69999999999999</v>
      </c>
      <c r="O1631">
        <v>168</v>
      </c>
      <c r="P1631">
        <v>1</v>
      </c>
      <c r="Q1631">
        <v>5.5</v>
      </c>
      <c r="R1631">
        <v>924.60199999999998</v>
      </c>
      <c r="S1631">
        <v>1.5141647135999997E-2</v>
      </c>
      <c r="T1631" s="4" t="s">
        <v>3682</v>
      </c>
    </row>
    <row r="1632" spans="1:20" x14ac:dyDescent="0.2">
      <c r="A1632" s="4" t="s">
        <v>3108</v>
      </c>
      <c r="B1632" s="4" t="s">
        <v>3109</v>
      </c>
      <c r="C1632" s="4" t="s">
        <v>2096</v>
      </c>
      <c r="D1632" s="4" t="s">
        <v>2236</v>
      </c>
      <c r="E1632" s="4" t="s">
        <v>925</v>
      </c>
      <c r="F1632" s="4" t="s">
        <v>3683</v>
      </c>
      <c r="G1632" s="4" t="s">
        <v>3108</v>
      </c>
      <c r="H1632" s="4" t="s">
        <v>2133</v>
      </c>
      <c r="I1632" s="4" t="s">
        <v>2100</v>
      </c>
      <c r="J1632" s="4" t="s">
        <v>2111</v>
      </c>
      <c r="K1632">
        <v>14</v>
      </c>
      <c r="L1632">
        <v>4.2671999999999999</v>
      </c>
      <c r="M1632">
        <v>25.4</v>
      </c>
      <c r="N1632">
        <v>139.69999999999999</v>
      </c>
      <c r="O1632">
        <v>168</v>
      </c>
      <c r="P1632">
        <v>1</v>
      </c>
      <c r="Q1632">
        <v>5.5</v>
      </c>
      <c r="R1632">
        <v>924.60199999999998</v>
      </c>
      <c r="S1632">
        <v>1.5141647135999997E-2</v>
      </c>
      <c r="T1632" s="4" t="s">
        <v>3684</v>
      </c>
    </row>
    <row r="1633" spans="1:20" x14ac:dyDescent="0.2">
      <c r="A1633" s="4" t="s">
        <v>3108</v>
      </c>
      <c r="B1633" s="4" t="s">
        <v>3109</v>
      </c>
      <c r="C1633" s="4" t="s">
        <v>2096</v>
      </c>
      <c r="D1633" s="4" t="s">
        <v>2236</v>
      </c>
      <c r="E1633" s="4" t="s">
        <v>3704</v>
      </c>
      <c r="F1633" s="4" t="s">
        <v>3686</v>
      </c>
      <c r="G1633" s="4" t="s">
        <v>3108</v>
      </c>
      <c r="H1633" s="4" t="s">
        <v>3687</v>
      </c>
      <c r="I1633" s="4" t="s">
        <v>2100</v>
      </c>
      <c r="J1633" s="4" t="s">
        <v>2111</v>
      </c>
      <c r="K1633">
        <v>14</v>
      </c>
      <c r="L1633">
        <v>4.2671999999999999</v>
      </c>
      <c r="M1633">
        <v>25.4</v>
      </c>
      <c r="N1633">
        <v>139.69999999999999</v>
      </c>
      <c r="O1633">
        <v>168</v>
      </c>
      <c r="P1633">
        <v>1</v>
      </c>
      <c r="Q1633">
        <v>5.5</v>
      </c>
      <c r="R1633">
        <v>924.60199999999998</v>
      </c>
      <c r="S1633">
        <v>1.5141647135999997E-2</v>
      </c>
      <c r="T1633" s="4" t="s">
        <v>3688</v>
      </c>
    </row>
    <row r="1634" spans="1:20" x14ac:dyDescent="0.2">
      <c r="A1634" s="4" t="s">
        <v>3108</v>
      </c>
      <c r="B1634" s="4" t="s">
        <v>3689</v>
      </c>
      <c r="C1634" s="4" t="s">
        <v>2096</v>
      </c>
      <c r="D1634" s="4" t="s">
        <v>2236</v>
      </c>
      <c r="E1634" s="4" t="s">
        <v>3705</v>
      </c>
      <c r="F1634" s="4" t="s">
        <v>3690</v>
      </c>
      <c r="G1634" s="4" t="s">
        <v>3108</v>
      </c>
      <c r="H1634" s="4" t="s">
        <v>3691</v>
      </c>
      <c r="I1634" s="4" t="s">
        <v>2100</v>
      </c>
      <c r="J1634" s="4" t="s">
        <v>3692</v>
      </c>
      <c r="K1634">
        <v>14</v>
      </c>
      <c r="L1634">
        <v>4.2671999999999999</v>
      </c>
      <c r="M1634">
        <v>23</v>
      </c>
      <c r="N1634">
        <v>139.69999999999999</v>
      </c>
      <c r="O1634">
        <v>168</v>
      </c>
      <c r="P1634">
        <v>0.9055118110236221</v>
      </c>
      <c r="Q1634">
        <v>5.5</v>
      </c>
      <c r="R1634">
        <v>1021.082</v>
      </c>
      <c r="S1634">
        <v>1.3710940319999998E-2</v>
      </c>
      <c r="T1634" s="4" t="s">
        <v>3693</v>
      </c>
    </row>
    <row r="1635" spans="1:20" x14ac:dyDescent="0.2">
      <c r="A1635" s="4" t="s">
        <v>3108</v>
      </c>
      <c r="B1635" s="4" t="s">
        <v>3109</v>
      </c>
      <c r="C1635" s="4" t="s">
        <v>2096</v>
      </c>
      <c r="D1635" s="4" t="s">
        <v>2236</v>
      </c>
      <c r="E1635" s="4" t="s">
        <v>3706</v>
      </c>
      <c r="F1635" s="4" t="s">
        <v>3681</v>
      </c>
      <c r="G1635" s="4" t="s">
        <v>3108</v>
      </c>
      <c r="H1635" s="4" t="s">
        <v>2183</v>
      </c>
      <c r="I1635" s="4" t="s">
        <v>2100</v>
      </c>
      <c r="J1635" s="4" t="s">
        <v>2111</v>
      </c>
      <c r="K1635">
        <v>15</v>
      </c>
      <c r="L1635">
        <v>4.5720000000000001</v>
      </c>
      <c r="M1635">
        <v>25.4</v>
      </c>
      <c r="N1635">
        <v>139.69999999999999</v>
      </c>
      <c r="O1635">
        <v>180</v>
      </c>
      <c r="P1635">
        <v>1</v>
      </c>
      <c r="Q1635">
        <v>5.5</v>
      </c>
      <c r="R1635">
        <v>924.60199999999998</v>
      </c>
      <c r="S1635">
        <v>1.6223193359999999E-2</v>
      </c>
      <c r="T1635" s="4" t="s">
        <v>3682</v>
      </c>
    </row>
    <row r="1636" spans="1:20" x14ac:dyDescent="0.2">
      <c r="A1636" s="4" t="s">
        <v>3108</v>
      </c>
      <c r="B1636" s="4" t="s">
        <v>3109</v>
      </c>
      <c r="C1636" s="4" t="s">
        <v>2096</v>
      </c>
      <c r="D1636" s="4" t="s">
        <v>2236</v>
      </c>
      <c r="E1636" s="4" t="s">
        <v>3707</v>
      </c>
      <c r="F1636" s="4" t="s">
        <v>3683</v>
      </c>
      <c r="G1636" s="4" t="s">
        <v>3108</v>
      </c>
      <c r="H1636" s="4" t="s">
        <v>2133</v>
      </c>
      <c r="I1636" s="4" t="s">
        <v>2100</v>
      </c>
      <c r="J1636" s="4" t="s">
        <v>2111</v>
      </c>
      <c r="K1636">
        <v>15</v>
      </c>
      <c r="L1636">
        <v>4.5720000000000001</v>
      </c>
      <c r="M1636">
        <v>25.4</v>
      </c>
      <c r="N1636">
        <v>139.69999999999999</v>
      </c>
      <c r="O1636">
        <v>180</v>
      </c>
      <c r="P1636">
        <v>1</v>
      </c>
      <c r="Q1636">
        <v>5.5</v>
      </c>
      <c r="R1636">
        <v>924.60199999999998</v>
      </c>
      <c r="S1636">
        <v>1.6223193359999999E-2</v>
      </c>
      <c r="T1636" s="4" t="s">
        <v>3684</v>
      </c>
    </row>
    <row r="1637" spans="1:20" x14ac:dyDescent="0.2">
      <c r="A1637" s="4" t="s">
        <v>3108</v>
      </c>
      <c r="B1637" s="4" t="s">
        <v>3109</v>
      </c>
      <c r="C1637" s="4" t="s">
        <v>2096</v>
      </c>
      <c r="D1637" s="4" t="s">
        <v>2236</v>
      </c>
      <c r="E1637" s="4" t="s">
        <v>3708</v>
      </c>
      <c r="F1637" s="4" t="s">
        <v>3686</v>
      </c>
      <c r="G1637" s="4" t="s">
        <v>3108</v>
      </c>
      <c r="H1637" s="4" t="s">
        <v>3687</v>
      </c>
      <c r="I1637" s="4" t="s">
        <v>2100</v>
      </c>
      <c r="J1637" s="4" t="s">
        <v>2111</v>
      </c>
      <c r="K1637">
        <v>15</v>
      </c>
      <c r="L1637">
        <v>4.5720000000000001</v>
      </c>
      <c r="M1637">
        <v>25.4</v>
      </c>
      <c r="N1637">
        <v>139.69999999999999</v>
      </c>
      <c r="O1637">
        <v>180</v>
      </c>
      <c r="P1637">
        <v>1</v>
      </c>
      <c r="Q1637">
        <v>5.5</v>
      </c>
      <c r="R1637">
        <v>924.60199999999998</v>
      </c>
      <c r="S1637">
        <v>1.6223193359999999E-2</v>
      </c>
      <c r="T1637" s="4" t="s">
        <v>3688</v>
      </c>
    </row>
    <row r="1638" spans="1:20" x14ac:dyDescent="0.2">
      <c r="A1638" s="4" t="s">
        <v>3108</v>
      </c>
      <c r="B1638" s="4" t="s">
        <v>3689</v>
      </c>
      <c r="C1638" s="4" t="s">
        <v>2096</v>
      </c>
      <c r="D1638" s="4" t="s">
        <v>2236</v>
      </c>
      <c r="E1638" s="4" t="s">
        <v>3709</v>
      </c>
      <c r="F1638" s="4" t="s">
        <v>3690</v>
      </c>
      <c r="G1638" s="4" t="s">
        <v>3108</v>
      </c>
      <c r="H1638" s="4" t="s">
        <v>3691</v>
      </c>
      <c r="I1638" s="4" t="s">
        <v>2100</v>
      </c>
      <c r="J1638" s="4" t="s">
        <v>3692</v>
      </c>
      <c r="K1638">
        <v>15</v>
      </c>
      <c r="L1638">
        <v>4.5720000000000001</v>
      </c>
      <c r="M1638">
        <v>23</v>
      </c>
      <c r="N1638">
        <v>139.69999999999999</v>
      </c>
      <c r="O1638">
        <v>180</v>
      </c>
      <c r="P1638">
        <v>0.9055118110236221</v>
      </c>
      <c r="Q1638">
        <v>5.5</v>
      </c>
      <c r="R1638">
        <v>1021.082</v>
      </c>
      <c r="S1638">
        <v>1.4690293199999999E-2</v>
      </c>
      <c r="T1638" s="4" t="s">
        <v>3693</v>
      </c>
    </row>
    <row r="1639" spans="1:20" x14ac:dyDescent="0.2">
      <c r="A1639" s="4" t="s">
        <v>3108</v>
      </c>
      <c r="B1639" s="4" t="s">
        <v>3109</v>
      </c>
      <c r="C1639" s="4" t="s">
        <v>2096</v>
      </c>
      <c r="D1639" s="4" t="s">
        <v>2236</v>
      </c>
      <c r="E1639" s="4" t="s">
        <v>931</v>
      </c>
      <c r="F1639" s="4" t="s">
        <v>3681</v>
      </c>
      <c r="G1639" s="4" t="s">
        <v>3108</v>
      </c>
      <c r="H1639" s="4" t="s">
        <v>2183</v>
      </c>
      <c r="I1639" s="4" t="s">
        <v>2100</v>
      </c>
      <c r="J1639" s="4" t="s">
        <v>2111</v>
      </c>
      <c r="K1639">
        <v>16</v>
      </c>
      <c r="L1639">
        <v>4.8768000000000002</v>
      </c>
      <c r="M1639">
        <v>25.4</v>
      </c>
      <c r="N1639">
        <v>139.69999999999999</v>
      </c>
      <c r="O1639">
        <v>192.00000000000003</v>
      </c>
      <c r="P1639">
        <v>1</v>
      </c>
      <c r="Q1639">
        <v>5.5</v>
      </c>
      <c r="R1639">
        <v>924.60199999999998</v>
      </c>
      <c r="S1639">
        <v>1.7304739584000001E-2</v>
      </c>
      <c r="T1639" s="4" t="s">
        <v>3682</v>
      </c>
    </row>
    <row r="1640" spans="1:20" x14ac:dyDescent="0.2">
      <c r="A1640" s="4" t="s">
        <v>3108</v>
      </c>
      <c r="B1640" s="4" t="s">
        <v>3109</v>
      </c>
      <c r="C1640" s="4" t="s">
        <v>2096</v>
      </c>
      <c r="D1640" s="4" t="s">
        <v>2236</v>
      </c>
      <c r="E1640" s="4" t="s">
        <v>929</v>
      </c>
      <c r="F1640" s="4" t="s">
        <v>3683</v>
      </c>
      <c r="G1640" s="4" t="s">
        <v>3108</v>
      </c>
      <c r="H1640" s="4" t="s">
        <v>2133</v>
      </c>
      <c r="I1640" s="4" t="s">
        <v>2100</v>
      </c>
      <c r="J1640" s="4" t="s">
        <v>2111</v>
      </c>
      <c r="K1640">
        <v>16</v>
      </c>
      <c r="L1640">
        <v>4.8768000000000002</v>
      </c>
      <c r="M1640">
        <v>25.4</v>
      </c>
      <c r="N1640">
        <v>139.69999999999999</v>
      </c>
      <c r="O1640">
        <v>192.00000000000003</v>
      </c>
      <c r="P1640">
        <v>1</v>
      </c>
      <c r="Q1640">
        <v>5.5</v>
      </c>
      <c r="R1640">
        <v>924.60199999999998</v>
      </c>
      <c r="S1640">
        <v>1.7304739584000001E-2</v>
      </c>
      <c r="T1640" s="4" t="s">
        <v>3684</v>
      </c>
    </row>
    <row r="1641" spans="1:20" x14ac:dyDescent="0.2">
      <c r="A1641" s="4" t="s">
        <v>3108</v>
      </c>
      <c r="B1641" s="4" t="s">
        <v>3109</v>
      </c>
      <c r="C1641" s="4" t="s">
        <v>2096</v>
      </c>
      <c r="D1641" s="4" t="s">
        <v>2236</v>
      </c>
      <c r="E1641" s="4" t="s">
        <v>3710</v>
      </c>
      <c r="F1641" s="4" t="s">
        <v>3686</v>
      </c>
      <c r="G1641" s="4" t="s">
        <v>3108</v>
      </c>
      <c r="H1641" s="4" t="s">
        <v>3687</v>
      </c>
      <c r="I1641" s="4" t="s">
        <v>2100</v>
      </c>
      <c r="J1641" s="4" t="s">
        <v>2111</v>
      </c>
      <c r="K1641">
        <v>16</v>
      </c>
      <c r="L1641">
        <v>4.8768000000000002</v>
      </c>
      <c r="M1641">
        <v>25.4</v>
      </c>
      <c r="N1641">
        <v>139.69999999999999</v>
      </c>
      <c r="O1641">
        <v>192.00000000000003</v>
      </c>
      <c r="P1641">
        <v>1</v>
      </c>
      <c r="Q1641">
        <v>5.5</v>
      </c>
      <c r="R1641">
        <v>924.60199999999998</v>
      </c>
      <c r="S1641">
        <v>1.7304739584000001E-2</v>
      </c>
      <c r="T1641" s="4" t="s">
        <v>3688</v>
      </c>
    </row>
    <row r="1642" spans="1:20" x14ac:dyDescent="0.2">
      <c r="A1642" s="4" t="s">
        <v>3108</v>
      </c>
      <c r="B1642" s="4" t="s">
        <v>3689</v>
      </c>
      <c r="C1642" s="4" t="s">
        <v>2096</v>
      </c>
      <c r="D1642" s="4" t="s">
        <v>2236</v>
      </c>
      <c r="E1642" s="4" t="s">
        <v>3711</v>
      </c>
      <c r="F1642" s="4" t="s">
        <v>3690</v>
      </c>
      <c r="G1642" s="4" t="s">
        <v>3108</v>
      </c>
      <c r="H1642" s="4" t="s">
        <v>3691</v>
      </c>
      <c r="I1642" s="4" t="s">
        <v>2100</v>
      </c>
      <c r="J1642" s="4" t="s">
        <v>3692</v>
      </c>
      <c r="K1642">
        <v>16</v>
      </c>
      <c r="L1642">
        <v>4.8768000000000002</v>
      </c>
      <c r="M1642">
        <v>23</v>
      </c>
      <c r="N1642">
        <v>139.69999999999999</v>
      </c>
      <c r="O1642">
        <v>192.00000000000003</v>
      </c>
      <c r="P1642">
        <v>0.9055118110236221</v>
      </c>
      <c r="Q1642">
        <v>5.5</v>
      </c>
      <c r="R1642">
        <v>1021.082</v>
      </c>
      <c r="S1642">
        <v>1.5669646079999999E-2</v>
      </c>
      <c r="T1642" s="4" t="s">
        <v>3693</v>
      </c>
    </row>
    <row r="1643" spans="1:20" x14ac:dyDescent="0.2">
      <c r="A1643" s="4" t="s">
        <v>3108</v>
      </c>
      <c r="B1643" s="4" t="s">
        <v>3109</v>
      </c>
      <c r="C1643" s="4" t="s">
        <v>2096</v>
      </c>
      <c r="D1643" s="4" t="s">
        <v>2236</v>
      </c>
      <c r="E1643" s="4" t="s">
        <v>3712</v>
      </c>
      <c r="F1643" s="4" t="s">
        <v>3681</v>
      </c>
      <c r="G1643" s="4" t="s">
        <v>3108</v>
      </c>
      <c r="H1643" s="4" t="s">
        <v>2183</v>
      </c>
      <c r="I1643" s="4" t="s">
        <v>2100</v>
      </c>
      <c r="J1643" s="4" t="s">
        <v>2111</v>
      </c>
      <c r="K1643">
        <v>17</v>
      </c>
      <c r="L1643">
        <v>5.1816000000000004</v>
      </c>
      <c r="M1643">
        <v>25.4</v>
      </c>
      <c r="N1643">
        <v>139.69999999999999</v>
      </c>
      <c r="O1643">
        <v>204.00000000000003</v>
      </c>
      <c r="P1643">
        <v>1</v>
      </c>
      <c r="Q1643">
        <v>5.5</v>
      </c>
      <c r="R1643">
        <v>924.60199999999998</v>
      </c>
      <c r="S1643">
        <v>1.8386285807999999E-2</v>
      </c>
      <c r="T1643" s="4" t="s">
        <v>3682</v>
      </c>
    </row>
    <row r="1644" spans="1:20" x14ac:dyDescent="0.2">
      <c r="A1644" s="4" t="s">
        <v>3108</v>
      </c>
      <c r="B1644" s="4" t="s">
        <v>3109</v>
      </c>
      <c r="C1644" s="4" t="s">
        <v>2096</v>
      </c>
      <c r="D1644" s="4" t="s">
        <v>2236</v>
      </c>
      <c r="E1644" s="4" t="s">
        <v>3713</v>
      </c>
      <c r="F1644" s="4" t="s">
        <v>3683</v>
      </c>
      <c r="G1644" s="4" t="s">
        <v>3108</v>
      </c>
      <c r="H1644" s="4" t="s">
        <v>2133</v>
      </c>
      <c r="I1644" s="4" t="s">
        <v>2100</v>
      </c>
      <c r="J1644" s="4" t="s">
        <v>2111</v>
      </c>
      <c r="K1644">
        <v>17</v>
      </c>
      <c r="L1644">
        <v>5.1816000000000004</v>
      </c>
      <c r="M1644">
        <v>25.4</v>
      </c>
      <c r="N1644">
        <v>139.69999999999999</v>
      </c>
      <c r="O1644">
        <v>204.00000000000003</v>
      </c>
      <c r="P1644">
        <v>1</v>
      </c>
      <c r="Q1644">
        <v>5.5</v>
      </c>
      <c r="R1644">
        <v>924.60199999999998</v>
      </c>
      <c r="S1644">
        <v>1.8386285807999999E-2</v>
      </c>
      <c r="T1644" s="4" t="s">
        <v>3684</v>
      </c>
    </row>
    <row r="1645" spans="1:20" x14ac:dyDescent="0.2">
      <c r="A1645" s="4" t="s">
        <v>3108</v>
      </c>
      <c r="B1645" s="4" t="s">
        <v>3109</v>
      </c>
      <c r="C1645" s="4" t="s">
        <v>2096</v>
      </c>
      <c r="D1645" s="4" t="s">
        <v>2236</v>
      </c>
      <c r="E1645" s="4" t="s">
        <v>3714</v>
      </c>
      <c r="F1645" s="4" t="s">
        <v>3686</v>
      </c>
      <c r="G1645" s="4" t="s">
        <v>3108</v>
      </c>
      <c r="H1645" s="4" t="s">
        <v>3687</v>
      </c>
      <c r="I1645" s="4" t="s">
        <v>2100</v>
      </c>
      <c r="J1645" s="4" t="s">
        <v>2111</v>
      </c>
      <c r="K1645">
        <v>17</v>
      </c>
      <c r="L1645">
        <v>5.1816000000000004</v>
      </c>
      <c r="M1645">
        <v>25.4</v>
      </c>
      <c r="N1645">
        <v>139.69999999999999</v>
      </c>
      <c r="O1645">
        <v>204.00000000000003</v>
      </c>
      <c r="P1645">
        <v>1</v>
      </c>
      <c r="Q1645">
        <v>5.5</v>
      </c>
      <c r="R1645">
        <v>924.60199999999998</v>
      </c>
      <c r="S1645">
        <v>1.8386285807999999E-2</v>
      </c>
      <c r="T1645" s="4" t="s">
        <v>3688</v>
      </c>
    </row>
    <row r="1646" spans="1:20" x14ac:dyDescent="0.2">
      <c r="A1646" s="4" t="s">
        <v>3108</v>
      </c>
      <c r="B1646" s="4" t="s">
        <v>3689</v>
      </c>
      <c r="C1646" s="4" t="s">
        <v>2096</v>
      </c>
      <c r="D1646" s="4" t="s">
        <v>2236</v>
      </c>
      <c r="E1646" s="4" t="s">
        <v>3715</v>
      </c>
      <c r="F1646" s="4" t="s">
        <v>3690</v>
      </c>
      <c r="G1646" s="4" t="s">
        <v>3108</v>
      </c>
      <c r="H1646" s="4" t="s">
        <v>3691</v>
      </c>
      <c r="I1646" s="4" t="s">
        <v>2100</v>
      </c>
      <c r="J1646" s="4" t="s">
        <v>3692</v>
      </c>
      <c r="K1646">
        <v>17</v>
      </c>
      <c r="L1646">
        <v>5.1816000000000004</v>
      </c>
      <c r="M1646">
        <v>23</v>
      </c>
      <c r="N1646">
        <v>139.69999999999999</v>
      </c>
      <c r="O1646">
        <v>204.00000000000003</v>
      </c>
      <c r="P1646">
        <v>0.9055118110236221</v>
      </c>
      <c r="Q1646">
        <v>5.5</v>
      </c>
      <c r="R1646">
        <v>1021.082</v>
      </c>
      <c r="S1646">
        <v>1.6648998960000001E-2</v>
      </c>
      <c r="T1646" s="4" t="s">
        <v>3693</v>
      </c>
    </row>
    <row r="1647" spans="1:20" x14ac:dyDescent="0.2">
      <c r="A1647" s="4" t="s">
        <v>3108</v>
      </c>
      <c r="B1647" s="4" t="s">
        <v>3109</v>
      </c>
      <c r="C1647" s="4" t="s">
        <v>2096</v>
      </c>
      <c r="D1647" s="4" t="s">
        <v>2236</v>
      </c>
      <c r="E1647" s="4" t="s">
        <v>935</v>
      </c>
      <c r="F1647" s="4" t="s">
        <v>3681</v>
      </c>
      <c r="G1647" s="4" t="s">
        <v>3108</v>
      </c>
      <c r="H1647" s="4" t="s">
        <v>2183</v>
      </c>
      <c r="I1647" s="4" t="s">
        <v>2100</v>
      </c>
      <c r="J1647" s="4" t="s">
        <v>2111</v>
      </c>
      <c r="K1647">
        <v>18</v>
      </c>
      <c r="L1647">
        <v>5.4863999999999997</v>
      </c>
      <c r="M1647">
        <v>25.4</v>
      </c>
      <c r="N1647">
        <v>139.69999999999999</v>
      </c>
      <c r="O1647">
        <v>216</v>
      </c>
      <c r="P1647">
        <v>1</v>
      </c>
      <c r="Q1647">
        <v>5.5</v>
      </c>
      <c r="R1647">
        <v>924.60199999999998</v>
      </c>
      <c r="S1647">
        <v>1.9467832031999997E-2</v>
      </c>
      <c r="T1647" s="4" t="s">
        <v>3682</v>
      </c>
    </row>
    <row r="1648" spans="1:20" x14ac:dyDescent="0.2">
      <c r="A1648" s="4" t="s">
        <v>3108</v>
      </c>
      <c r="B1648" s="4" t="s">
        <v>3109</v>
      </c>
      <c r="C1648" s="4" t="s">
        <v>2096</v>
      </c>
      <c r="D1648" s="4" t="s">
        <v>2236</v>
      </c>
      <c r="E1648" s="4" t="s">
        <v>933</v>
      </c>
      <c r="F1648" s="4" t="s">
        <v>3683</v>
      </c>
      <c r="G1648" s="4" t="s">
        <v>3108</v>
      </c>
      <c r="H1648" s="4" t="s">
        <v>2133</v>
      </c>
      <c r="I1648" s="4" t="s">
        <v>2100</v>
      </c>
      <c r="J1648" s="4" t="s">
        <v>2111</v>
      </c>
      <c r="K1648">
        <v>18</v>
      </c>
      <c r="L1648">
        <v>5.4863999999999997</v>
      </c>
      <c r="M1648">
        <v>25.4</v>
      </c>
      <c r="N1648">
        <v>139.69999999999999</v>
      </c>
      <c r="O1648">
        <v>216</v>
      </c>
      <c r="P1648">
        <v>1</v>
      </c>
      <c r="Q1648">
        <v>5.5</v>
      </c>
      <c r="R1648">
        <v>924.60199999999998</v>
      </c>
      <c r="S1648">
        <v>1.9467832031999997E-2</v>
      </c>
      <c r="T1648" s="4" t="s">
        <v>3684</v>
      </c>
    </row>
    <row r="1649" spans="1:20" x14ac:dyDescent="0.2">
      <c r="A1649" s="4" t="s">
        <v>3108</v>
      </c>
      <c r="B1649" s="4" t="s">
        <v>3109</v>
      </c>
      <c r="C1649" s="4" t="s">
        <v>2096</v>
      </c>
      <c r="D1649" s="4" t="s">
        <v>2236</v>
      </c>
      <c r="E1649" s="4" t="s">
        <v>3716</v>
      </c>
      <c r="F1649" s="4" t="s">
        <v>3686</v>
      </c>
      <c r="G1649" s="4" t="s">
        <v>3108</v>
      </c>
      <c r="H1649" s="4" t="s">
        <v>3687</v>
      </c>
      <c r="I1649" s="4" t="s">
        <v>2100</v>
      </c>
      <c r="J1649" s="4" t="s">
        <v>2111</v>
      </c>
      <c r="K1649">
        <v>18</v>
      </c>
      <c r="L1649">
        <v>5.4863999999999997</v>
      </c>
      <c r="M1649">
        <v>25.4</v>
      </c>
      <c r="N1649">
        <v>139.69999999999999</v>
      </c>
      <c r="O1649">
        <v>216</v>
      </c>
      <c r="P1649">
        <v>1</v>
      </c>
      <c r="Q1649">
        <v>5.5</v>
      </c>
      <c r="R1649">
        <v>924.60199999999998</v>
      </c>
      <c r="S1649">
        <v>1.9467832031999997E-2</v>
      </c>
      <c r="T1649" s="4" t="s">
        <v>3688</v>
      </c>
    </row>
    <row r="1650" spans="1:20" x14ac:dyDescent="0.2">
      <c r="A1650" s="4" t="s">
        <v>3108</v>
      </c>
      <c r="B1650" s="4" t="s">
        <v>3689</v>
      </c>
      <c r="C1650" s="4" t="s">
        <v>2096</v>
      </c>
      <c r="D1650" s="4" t="s">
        <v>2236</v>
      </c>
      <c r="E1650" s="4" t="s">
        <v>3717</v>
      </c>
      <c r="F1650" s="4" t="s">
        <v>3690</v>
      </c>
      <c r="G1650" s="4" t="s">
        <v>3108</v>
      </c>
      <c r="H1650" s="4" t="s">
        <v>3691</v>
      </c>
      <c r="I1650" s="4" t="s">
        <v>2100</v>
      </c>
      <c r="J1650" s="4" t="s">
        <v>3692</v>
      </c>
      <c r="K1650">
        <v>18</v>
      </c>
      <c r="L1650">
        <v>5.4863999999999997</v>
      </c>
      <c r="M1650">
        <v>23</v>
      </c>
      <c r="N1650">
        <v>139.69999999999999</v>
      </c>
      <c r="O1650">
        <v>216</v>
      </c>
      <c r="P1650">
        <v>0.9055118110236221</v>
      </c>
      <c r="Q1650">
        <v>5.5</v>
      </c>
      <c r="R1650">
        <v>1021.082</v>
      </c>
      <c r="S1650">
        <v>1.7628351839999997E-2</v>
      </c>
      <c r="T1650" s="4" t="s">
        <v>3693</v>
      </c>
    </row>
    <row r="1651" spans="1:20" x14ac:dyDescent="0.2">
      <c r="A1651" s="4" t="s">
        <v>3108</v>
      </c>
      <c r="B1651" s="4" t="s">
        <v>3109</v>
      </c>
      <c r="C1651" s="4" t="s">
        <v>2096</v>
      </c>
      <c r="D1651" s="4" t="s">
        <v>2236</v>
      </c>
      <c r="E1651" s="4" t="s">
        <v>3718</v>
      </c>
      <c r="F1651" s="4" t="s">
        <v>3681</v>
      </c>
      <c r="G1651" s="4" t="s">
        <v>3108</v>
      </c>
      <c r="H1651" s="4" t="s">
        <v>2183</v>
      </c>
      <c r="I1651" s="4" t="s">
        <v>2100</v>
      </c>
      <c r="J1651" s="4" t="s">
        <v>2111</v>
      </c>
      <c r="K1651">
        <v>19</v>
      </c>
      <c r="L1651">
        <v>5.7911999999999999</v>
      </c>
      <c r="M1651">
        <v>25.4</v>
      </c>
      <c r="N1651">
        <v>139.69999999999999</v>
      </c>
      <c r="O1651">
        <v>228</v>
      </c>
      <c r="P1651">
        <v>1</v>
      </c>
      <c r="Q1651">
        <v>5.5</v>
      </c>
      <c r="R1651">
        <v>924.60199999999998</v>
      </c>
      <c r="S1651">
        <v>2.0549378255999992E-2</v>
      </c>
      <c r="T1651" s="4" t="s">
        <v>3682</v>
      </c>
    </row>
    <row r="1652" spans="1:20" x14ac:dyDescent="0.2">
      <c r="A1652" s="4" t="s">
        <v>3108</v>
      </c>
      <c r="B1652" s="4" t="s">
        <v>3109</v>
      </c>
      <c r="C1652" s="4" t="s">
        <v>2096</v>
      </c>
      <c r="D1652" s="4" t="s">
        <v>2236</v>
      </c>
      <c r="E1652" s="4" t="s">
        <v>3719</v>
      </c>
      <c r="F1652" s="4" t="s">
        <v>3683</v>
      </c>
      <c r="G1652" s="4" t="s">
        <v>3108</v>
      </c>
      <c r="H1652" s="4" t="s">
        <v>2133</v>
      </c>
      <c r="I1652" s="4" t="s">
        <v>2100</v>
      </c>
      <c r="J1652" s="4" t="s">
        <v>2111</v>
      </c>
      <c r="K1652">
        <v>19</v>
      </c>
      <c r="L1652">
        <v>5.7911999999999999</v>
      </c>
      <c r="M1652">
        <v>25.4</v>
      </c>
      <c r="N1652">
        <v>139.69999999999999</v>
      </c>
      <c r="O1652">
        <v>228</v>
      </c>
      <c r="P1652">
        <v>1</v>
      </c>
      <c r="Q1652">
        <v>5.5</v>
      </c>
      <c r="R1652">
        <v>924.60199999999998</v>
      </c>
      <c r="S1652">
        <v>2.0549378255999992E-2</v>
      </c>
      <c r="T1652" s="4" t="s">
        <v>3684</v>
      </c>
    </row>
    <row r="1653" spans="1:20" x14ac:dyDescent="0.2">
      <c r="A1653" s="4" t="s">
        <v>3108</v>
      </c>
      <c r="B1653" s="4" t="s">
        <v>3109</v>
      </c>
      <c r="C1653" s="4" t="s">
        <v>2096</v>
      </c>
      <c r="D1653" s="4" t="s">
        <v>2236</v>
      </c>
      <c r="E1653" s="4" t="s">
        <v>3720</v>
      </c>
      <c r="F1653" s="4" t="s">
        <v>3686</v>
      </c>
      <c r="G1653" s="4" t="s">
        <v>3108</v>
      </c>
      <c r="H1653" s="4" t="s">
        <v>3687</v>
      </c>
      <c r="I1653" s="4" t="s">
        <v>2100</v>
      </c>
      <c r="J1653" s="4" t="s">
        <v>2111</v>
      </c>
      <c r="K1653">
        <v>19</v>
      </c>
      <c r="L1653">
        <v>5.7911999999999999</v>
      </c>
      <c r="M1653">
        <v>25.4</v>
      </c>
      <c r="N1653">
        <v>139.69999999999999</v>
      </c>
      <c r="O1653">
        <v>228</v>
      </c>
      <c r="P1653">
        <v>1</v>
      </c>
      <c r="Q1653">
        <v>5.5</v>
      </c>
      <c r="R1653">
        <v>924.60199999999998</v>
      </c>
      <c r="S1653">
        <v>2.0549378255999992E-2</v>
      </c>
      <c r="T1653" s="4" t="s">
        <v>3688</v>
      </c>
    </row>
    <row r="1654" spans="1:20" x14ac:dyDescent="0.2">
      <c r="A1654" s="4" t="s">
        <v>3108</v>
      </c>
      <c r="B1654" s="4" t="s">
        <v>3689</v>
      </c>
      <c r="C1654" s="4" t="s">
        <v>2096</v>
      </c>
      <c r="D1654" s="4" t="s">
        <v>2236</v>
      </c>
      <c r="E1654" s="4" t="s">
        <v>3721</v>
      </c>
      <c r="F1654" s="4" t="s">
        <v>3690</v>
      </c>
      <c r="G1654" s="4" t="s">
        <v>3108</v>
      </c>
      <c r="H1654" s="4" t="s">
        <v>3691</v>
      </c>
      <c r="I1654" s="4" t="s">
        <v>2100</v>
      </c>
      <c r="J1654" s="4" t="s">
        <v>3692</v>
      </c>
      <c r="K1654">
        <v>19</v>
      </c>
      <c r="L1654">
        <v>5.7911999999999999</v>
      </c>
      <c r="M1654">
        <v>23</v>
      </c>
      <c r="N1654">
        <v>139.69999999999999</v>
      </c>
      <c r="O1654">
        <v>228</v>
      </c>
      <c r="P1654">
        <v>0.9055118110236221</v>
      </c>
      <c r="Q1654">
        <v>5.5</v>
      </c>
      <c r="R1654">
        <v>1021.082</v>
      </c>
      <c r="S1654">
        <v>1.8607704719999996E-2</v>
      </c>
      <c r="T1654" s="4" t="s">
        <v>3693</v>
      </c>
    </row>
    <row r="1655" spans="1:20" x14ac:dyDescent="0.2">
      <c r="A1655" s="4" t="s">
        <v>3108</v>
      </c>
      <c r="B1655" s="4" t="s">
        <v>3109</v>
      </c>
      <c r="C1655" s="4" t="s">
        <v>2096</v>
      </c>
      <c r="D1655" s="4" t="s">
        <v>2236</v>
      </c>
      <c r="E1655" s="4" t="s">
        <v>939</v>
      </c>
      <c r="F1655" s="4" t="s">
        <v>3681</v>
      </c>
      <c r="G1655" s="4" t="s">
        <v>3108</v>
      </c>
      <c r="H1655" s="4" t="s">
        <v>2183</v>
      </c>
      <c r="I1655" s="4" t="s">
        <v>2100</v>
      </c>
      <c r="J1655" s="4" t="s">
        <v>2111</v>
      </c>
      <c r="K1655">
        <v>20</v>
      </c>
      <c r="L1655">
        <v>6.0960000000000001</v>
      </c>
      <c r="M1655">
        <v>25.4</v>
      </c>
      <c r="N1655">
        <v>139.69999999999999</v>
      </c>
      <c r="O1655">
        <v>240</v>
      </c>
      <c r="P1655">
        <v>1</v>
      </c>
      <c r="Q1655">
        <v>5.5</v>
      </c>
      <c r="R1655">
        <v>924.60199999999998</v>
      </c>
      <c r="S1655">
        <v>2.1630924480000001E-2</v>
      </c>
      <c r="T1655" s="4" t="s">
        <v>3682</v>
      </c>
    </row>
    <row r="1656" spans="1:20" x14ac:dyDescent="0.2">
      <c r="A1656" s="4" t="s">
        <v>3108</v>
      </c>
      <c r="B1656" s="4" t="s">
        <v>3109</v>
      </c>
      <c r="C1656" s="4" t="s">
        <v>2096</v>
      </c>
      <c r="D1656" s="4" t="s">
        <v>2236</v>
      </c>
      <c r="E1656" s="4" t="s">
        <v>937</v>
      </c>
      <c r="F1656" s="4" t="s">
        <v>3683</v>
      </c>
      <c r="G1656" s="4" t="s">
        <v>3108</v>
      </c>
      <c r="H1656" s="4" t="s">
        <v>2133</v>
      </c>
      <c r="I1656" s="4" t="s">
        <v>2100</v>
      </c>
      <c r="J1656" s="4" t="s">
        <v>2111</v>
      </c>
      <c r="K1656">
        <v>20</v>
      </c>
      <c r="L1656">
        <v>6.0960000000000001</v>
      </c>
      <c r="M1656">
        <v>25.4</v>
      </c>
      <c r="N1656">
        <v>139.69999999999999</v>
      </c>
      <c r="O1656">
        <v>240</v>
      </c>
      <c r="P1656">
        <v>1</v>
      </c>
      <c r="Q1656">
        <v>5.5</v>
      </c>
      <c r="R1656">
        <v>924.60199999999998</v>
      </c>
      <c r="S1656">
        <v>2.1630924480000001E-2</v>
      </c>
      <c r="T1656" s="4" t="s">
        <v>3684</v>
      </c>
    </row>
    <row r="1657" spans="1:20" x14ac:dyDescent="0.2">
      <c r="A1657" s="4" t="s">
        <v>3108</v>
      </c>
      <c r="B1657" s="4" t="s">
        <v>3109</v>
      </c>
      <c r="C1657" s="4" t="s">
        <v>2096</v>
      </c>
      <c r="D1657" s="4" t="s">
        <v>2236</v>
      </c>
      <c r="E1657" s="4" t="s">
        <v>3722</v>
      </c>
      <c r="F1657" s="4" t="s">
        <v>3686</v>
      </c>
      <c r="G1657" s="4" t="s">
        <v>3108</v>
      </c>
      <c r="H1657" s="4" t="s">
        <v>3687</v>
      </c>
      <c r="I1657" s="4" t="s">
        <v>2100</v>
      </c>
      <c r="J1657" s="4" t="s">
        <v>2111</v>
      </c>
      <c r="K1657">
        <v>20</v>
      </c>
      <c r="L1657">
        <v>6.0960000000000001</v>
      </c>
      <c r="M1657">
        <v>25.4</v>
      </c>
      <c r="N1657">
        <v>139.69999999999999</v>
      </c>
      <c r="O1657">
        <v>240</v>
      </c>
      <c r="P1657">
        <v>1</v>
      </c>
      <c r="Q1657">
        <v>5.5</v>
      </c>
      <c r="R1657">
        <v>924.60199999999998</v>
      </c>
      <c r="S1657">
        <v>2.1630924480000001E-2</v>
      </c>
      <c r="T1657" s="4" t="s">
        <v>3688</v>
      </c>
    </row>
    <row r="1658" spans="1:20" x14ac:dyDescent="0.2">
      <c r="A1658" s="4" t="s">
        <v>3108</v>
      </c>
      <c r="B1658" s="4" t="s">
        <v>3689</v>
      </c>
      <c r="C1658" s="4" t="s">
        <v>2096</v>
      </c>
      <c r="D1658" s="4" t="s">
        <v>2236</v>
      </c>
      <c r="E1658" s="4" t="s">
        <v>3723</v>
      </c>
      <c r="F1658" s="4" t="s">
        <v>3690</v>
      </c>
      <c r="G1658" s="4" t="s">
        <v>3108</v>
      </c>
      <c r="H1658" s="4" t="s">
        <v>3691</v>
      </c>
      <c r="I1658" s="4" t="s">
        <v>2100</v>
      </c>
      <c r="J1658" s="4" t="s">
        <v>3692</v>
      </c>
      <c r="K1658">
        <v>20</v>
      </c>
      <c r="L1658">
        <v>6.0960000000000001</v>
      </c>
      <c r="M1658">
        <v>23</v>
      </c>
      <c r="N1658">
        <v>139.69999999999999</v>
      </c>
      <c r="O1658">
        <v>240</v>
      </c>
      <c r="P1658">
        <v>0.9055118110236221</v>
      </c>
      <c r="Q1658">
        <v>5.5</v>
      </c>
      <c r="R1658">
        <v>1021.082</v>
      </c>
      <c r="S1658">
        <v>1.9587057599999999E-2</v>
      </c>
      <c r="T1658" s="4" t="s">
        <v>3693</v>
      </c>
    </row>
    <row r="1659" spans="1:20" x14ac:dyDescent="0.2">
      <c r="A1659" s="4" t="s">
        <v>3108</v>
      </c>
      <c r="B1659" s="4" t="s">
        <v>3109</v>
      </c>
      <c r="C1659" s="4" t="s">
        <v>2096</v>
      </c>
      <c r="D1659" s="4" t="s">
        <v>2236</v>
      </c>
      <c r="E1659" s="4" t="s">
        <v>3724</v>
      </c>
      <c r="F1659" s="4" t="s">
        <v>3681</v>
      </c>
      <c r="G1659" s="4" t="s">
        <v>3108</v>
      </c>
      <c r="H1659" s="4" t="s">
        <v>2183</v>
      </c>
      <c r="I1659" s="4" t="s">
        <v>2100</v>
      </c>
      <c r="J1659" s="4" t="s">
        <v>2111</v>
      </c>
      <c r="K1659">
        <v>21</v>
      </c>
      <c r="L1659">
        <v>6.4008000000000003</v>
      </c>
      <c r="M1659">
        <v>25.4</v>
      </c>
      <c r="N1659">
        <v>139.69999999999999</v>
      </c>
      <c r="O1659">
        <v>252.00000000000003</v>
      </c>
      <c r="P1659">
        <v>1</v>
      </c>
      <c r="Q1659">
        <v>5.5</v>
      </c>
      <c r="R1659">
        <v>924.60199999999998</v>
      </c>
      <c r="S1659">
        <v>2.2712470703999999E-2</v>
      </c>
      <c r="T1659" s="4" t="s">
        <v>3682</v>
      </c>
    </row>
    <row r="1660" spans="1:20" x14ac:dyDescent="0.2">
      <c r="A1660" s="4" t="s">
        <v>3108</v>
      </c>
      <c r="B1660" s="4" t="s">
        <v>3109</v>
      </c>
      <c r="C1660" s="4" t="s">
        <v>2096</v>
      </c>
      <c r="D1660" s="4" t="s">
        <v>2236</v>
      </c>
      <c r="E1660" s="4" t="s">
        <v>3725</v>
      </c>
      <c r="F1660" s="4" t="s">
        <v>3683</v>
      </c>
      <c r="G1660" s="4" t="s">
        <v>3108</v>
      </c>
      <c r="H1660" s="4" t="s">
        <v>2133</v>
      </c>
      <c r="I1660" s="4" t="s">
        <v>2100</v>
      </c>
      <c r="J1660" s="4" t="s">
        <v>2111</v>
      </c>
      <c r="K1660">
        <v>21</v>
      </c>
      <c r="L1660">
        <v>6.4008000000000003</v>
      </c>
      <c r="M1660">
        <v>25.4</v>
      </c>
      <c r="N1660">
        <v>139.69999999999999</v>
      </c>
      <c r="O1660">
        <v>252.00000000000003</v>
      </c>
      <c r="P1660">
        <v>1</v>
      </c>
      <c r="Q1660">
        <v>5.5</v>
      </c>
      <c r="R1660">
        <v>924.60199999999998</v>
      </c>
      <c r="S1660">
        <v>2.2712470703999999E-2</v>
      </c>
      <c r="T1660" s="4" t="s">
        <v>3684</v>
      </c>
    </row>
    <row r="1661" spans="1:20" x14ac:dyDescent="0.2">
      <c r="A1661" s="4" t="s">
        <v>3108</v>
      </c>
      <c r="B1661" s="4" t="s">
        <v>3109</v>
      </c>
      <c r="C1661" s="4" t="s">
        <v>2096</v>
      </c>
      <c r="D1661" s="4" t="s">
        <v>2236</v>
      </c>
      <c r="E1661" s="4" t="s">
        <v>3726</v>
      </c>
      <c r="F1661" s="4" t="s">
        <v>3686</v>
      </c>
      <c r="G1661" s="4" t="s">
        <v>3108</v>
      </c>
      <c r="H1661" s="4" t="s">
        <v>3687</v>
      </c>
      <c r="I1661" s="4" t="s">
        <v>2100</v>
      </c>
      <c r="J1661" s="4" t="s">
        <v>2111</v>
      </c>
      <c r="K1661">
        <v>21</v>
      </c>
      <c r="L1661">
        <v>6.4008000000000003</v>
      </c>
      <c r="M1661">
        <v>25.4</v>
      </c>
      <c r="N1661">
        <v>139.69999999999999</v>
      </c>
      <c r="O1661">
        <v>252.00000000000003</v>
      </c>
      <c r="P1661">
        <v>1</v>
      </c>
      <c r="Q1661">
        <v>5.5</v>
      </c>
      <c r="R1661">
        <v>924.60199999999998</v>
      </c>
      <c r="S1661">
        <v>2.2712470703999999E-2</v>
      </c>
      <c r="T1661" s="4" t="s">
        <v>3688</v>
      </c>
    </row>
    <row r="1662" spans="1:20" x14ac:dyDescent="0.2">
      <c r="A1662" s="4" t="s">
        <v>3108</v>
      </c>
      <c r="B1662" s="4" t="s">
        <v>3689</v>
      </c>
      <c r="C1662" s="4" t="s">
        <v>2096</v>
      </c>
      <c r="D1662" s="4" t="s">
        <v>2236</v>
      </c>
      <c r="E1662" s="4" t="s">
        <v>3727</v>
      </c>
      <c r="F1662" s="4" t="s">
        <v>3690</v>
      </c>
      <c r="G1662" s="4" t="s">
        <v>3108</v>
      </c>
      <c r="H1662" s="4" t="s">
        <v>3691</v>
      </c>
      <c r="I1662" s="4" t="s">
        <v>2100</v>
      </c>
      <c r="J1662" s="4" t="s">
        <v>3692</v>
      </c>
      <c r="K1662">
        <v>21</v>
      </c>
      <c r="L1662">
        <v>6.4008000000000003</v>
      </c>
      <c r="M1662">
        <v>23</v>
      </c>
      <c r="N1662">
        <v>139.69999999999999</v>
      </c>
      <c r="O1662">
        <v>252.00000000000003</v>
      </c>
      <c r="P1662">
        <v>0.9055118110236221</v>
      </c>
      <c r="Q1662">
        <v>5.5</v>
      </c>
      <c r="R1662">
        <v>1021.082</v>
      </c>
      <c r="S1662">
        <v>2.0566410479999998E-2</v>
      </c>
      <c r="T1662" s="4" t="s">
        <v>3693</v>
      </c>
    </row>
    <row r="1663" spans="1:20" x14ac:dyDescent="0.2">
      <c r="A1663" s="4" t="s">
        <v>3108</v>
      </c>
      <c r="B1663" s="4" t="s">
        <v>3109</v>
      </c>
      <c r="C1663" s="4" t="s">
        <v>2096</v>
      </c>
      <c r="D1663" s="4" t="s">
        <v>2236</v>
      </c>
      <c r="E1663" s="4" t="s">
        <v>3728</v>
      </c>
      <c r="F1663" s="4" t="s">
        <v>3681</v>
      </c>
      <c r="G1663" s="4" t="s">
        <v>3108</v>
      </c>
      <c r="H1663" s="4" t="s">
        <v>2183</v>
      </c>
      <c r="I1663" s="4" t="s">
        <v>2100</v>
      </c>
      <c r="J1663" s="4" t="s">
        <v>2111</v>
      </c>
      <c r="K1663">
        <v>22</v>
      </c>
      <c r="L1663">
        <v>6.7055999999999996</v>
      </c>
      <c r="M1663">
        <v>25.4</v>
      </c>
      <c r="N1663">
        <v>139.69999999999999</v>
      </c>
      <c r="O1663">
        <v>264</v>
      </c>
      <c r="P1663">
        <v>1</v>
      </c>
      <c r="Q1663">
        <v>5.5</v>
      </c>
      <c r="R1663">
        <v>924.60199999999998</v>
      </c>
      <c r="S1663">
        <v>2.3794016927999991E-2</v>
      </c>
      <c r="T1663" s="4" t="s">
        <v>3682</v>
      </c>
    </row>
    <row r="1664" spans="1:20" x14ac:dyDescent="0.2">
      <c r="A1664" s="4" t="s">
        <v>3108</v>
      </c>
      <c r="B1664" s="4" t="s">
        <v>3109</v>
      </c>
      <c r="C1664" s="4" t="s">
        <v>2096</v>
      </c>
      <c r="D1664" s="4" t="s">
        <v>2236</v>
      </c>
      <c r="E1664" s="4" t="s">
        <v>3729</v>
      </c>
      <c r="F1664" s="4" t="s">
        <v>3683</v>
      </c>
      <c r="G1664" s="4" t="s">
        <v>3108</v>
      </c>
      <c r="H1664" s="4" t="s">
        <v>2133</v>
      </c>
      <c r="I1664" s="4" t="s">
        <v>2100</v>
      </c>
      <c r="J1664" s="4" t="s">
        <v>2111</v>
      </c>
      <c r="K1664">
        <v>22</v>
      </c>
      <c r="L1664">
        <v>6.7055999999999996</v>
      </c>
      <c r="M1664">
        <v>25.4</v>
      </c>
      <c r="N1664">
        <v>139.69999999999999</v>
      </c>
      <c r="O1664">
        <v>264</v>
      </c>
      <c r="P1664">
        <v>1</v>
      </c>
      <c r="Q1664">
        <v>5.5</v>
      </c>
      <c r="R1664">
        <v>924.60199999999998</v>
      </c>
      <c r="S1664">
        <v>2.3794016927999991E-2</v>
      </c>
      <c r="T1664" s="4" t="s">
        <v>3684</v>
      </c>
    </row>
    <row r="1665" spans="1:20" x14ac:dyDescent="0.2">
      <c r="A1665" s="4" t="s">
        <v>3108</v>
      </c>
      <c r="B1665" s="4" t="s">
        <v>3109</v>
      </c>
      <c r="C1665" s="4" t="s">
        <v>2096</v>
      </c>
      <c r="D1665" s="4" t="s">
        <v>2236</v>
      </c>
      <c r="E1665" s="4" t="s">
        <v>3730</v>
      </c>
      <c r="F1665" s="4" t="s">
        <v>3686</v>
      </c>
      <c r="G1665" s="4" t="s">
        <v>3108</v>
      </c>
      <c r="H1665" s="4" t="s">
        <v>3687</v>
      </c>
      <c r="I1665" s="4" t="s">
        <v>2100</v>
      </c>
      <c r="J1665" s="4" t="s">
        <v>2111</v>
      </c>
      <c r="K1665">
        <v>22</v>
      </c>
      <c r="L1665">
        <v>6.7055999999999996</v>
      </c>
      <c r="M1665">
        <v>25.4</v>
      </c>
      <c r="N1665">
        <v>139.69999999999999</v>
      </c>
      <c r="O1665">
        <v>264</v>
      </c>
      <c r="P1665">
        <v>1</v>
      </c>
      <c r="Q1665">
        <v>5.5</v>
      </c>
      <c r="R1665">
        <v>924.60199999999998</v>
      </c>
      <c r="S1665">
        <v>2.3794016927999991E-2</v>
      </c>
      <c r="T1665" s="4" t="s">
        <v>3688</v>
      </c>
    </row>
    <row r="1666" spans="1:20" x14ac:dyDescent="0.2">
      <c r="A1666" s="4" t="s">
        <v>3108</v>
      </c>
      <c r="B1666" s="4" t="s">
        <v>3689</v>
      </c>
      <c r="C1666" s="4" t="s">
        <v>2096</v>
      </c>
      <c r="D1666" s="4" t="s">
        <v>2236</v>
      </c>
      <c r="E1666" s="4" t="s">
        <v>3731</v>
      </c>
      <c r="F1666" s="4" t="s">
        <v>3690</v>
      </c>
      <c r="G1666" s="4" t="s">
        <v>3108</v>
      </c>
      <c r="H1666" s="4" t="s">
        <v>3691</v>
      </c>
      <c r="I1666" s="4" t="s">
        <v>2100</v>
      </c>
      <c r="J1666" s="4" t="s">
        <v>3692</v>
      </c>
      <c r="K1666">
        <v>22</v>
      </c>
      <c r="L1666">
        <v>6.7055999999999996</v>
      </c>
      <c r="M1666">
        <v>23</v>
      </c>
      <c r="N1666">
        <v>139.69999999999999</v>
      </c>
      <c r="O1666">
        <v>264</v>
      </c>
      <c r="P1666">
        <v>0.9055118110236221</v>
      </c>
      <c r="Q1666">
        <v>5.5</v>
      </c>
      <c r="R1666">
        <v>1021.082</v>
      </c>
      <c r="S1666">
        <v>2.1545763359999994E-2</v>
      </c>
      <c r="T1666" s="4" t="s">
        <v>3693</v>
      </c>
    </row>
    <row r="1667" spans="1:20" x14ac:dyDescent="0.2">
      <c r="A1667" s="4" t="s">
        <v>3108</v>
      </c>
      <c r="B1667" s="4" t="s">
        <v>3109</v>
      </c>
      <c r="C1667" s="4" t="s">
        <v>2286</v>
      </c>
      <c r="D1667" s="4" t="s">
        <v>2236</v>
      </c>
      <c r="E1667" s="4" t="s">
        <v>3732</v>
      </c>
      <c r="F1667" s="4" t="s">
        <v>3681</v>
      </c>
      <c r="G1667" s="4" t="s">
        <v>3108</v>
      </c>
      <c r="H1667" s="4" t="s">
        <v>2183</v>
      </c>
      <c r="I1667" s="4" t="s">
        <v>2100</v>
      </c>
      <c r="J1667" s="4" t="s">
        <v>2111</v>
      </c>
      <c r="K1667">
        <v>3</v>
      </c>
      <c r="L1667">
        <v>0.91439999999999999</v>
      </c>
      <c r="M1667">
        <v>25.4</v>
      </c>
      <c r="N1667">
        <v>139.69999999999999</v>
      </c>
      <c r="O1667">
        <v>36</v>
      </c>
      <c r="P1667">
        <v>1</v>
      </c>
      <c r="Q1667">
        <v>5.5</v>
      </c>
      <c r="R1667">
        <v>924.60199999999998</v>
      </c>
      <c r="S1667">
        <v>3.2446386719999993E-3</v>
      </c>
      <c r="T1667" s="4" t="s">
        <v>3733</v>
      </c>
    </row>
    <row r="1668" spans="1:20" x14ac:dyDescent="0.2">
      <c r="A1668" s="4" t="s">
        <v>3108</v>
      </c>
      <c r="B1668" s="4" t="s">
        <v>3109</v>
      </c>
      <c r="C1668" s="4" t="s">
        <v>2286</v>
      </c>
      <c r="D1668" s="4" t="s">
        <v>2236</v>
      </c>
      <c r="E1668" s="4" t="s">
        <v>3734</v>
      </c>
      <c r="F1668" s="4" t="s">
        <v>3683</v>
      </c>
      <c r="G1668" s="4" t="s">
        <v>3108</v>
      </c>
      <c r="H1668" s="4" t="s">
        <v>2133</v>
      </c>
      <c r="I1668" s="4" t="s">
        <v>2100</v>
      </c>
      <c r="J1668" s="4" t="s">
        <v>2111</v>
      </c>
      <c r="K1668">
        <v>3</v>
      </c>
      <c r="L1668">
        <v>0.91439999999999999</v>
      </c>
      <c r="M1668">
        <v>25.4</v>
      </c>
      <c r="N1668">
        <v>139.69999999999999</v>
      </c>
      <c r="O1668">
        <v>36</v>
      </c>
      <c r="P1668">
        <v>1</v>
      </c>
      <c r="Q1668">
        <v>5.5</v>
      </c>
      <c r="R1668">
        <v>924.60199999999998</v>
      </c>
      <c r="S1668">
        <v>3.2446386719999993E-3</v>
      </c>
      <c r="T1668" s="4" t="s">
        <v>3735</v>
      </c>
    </row>
    <row r="1669" spans="1:20" x14ac:dyDescent="0.2">
      <c r="A1669" s="4" t="s">
        <v>3108</v>
      </c>
      <c r="B1669" s="4" t="s">
        <v>3109</v>
      </c>
      <c r="C1669" s="4" t="s">
        <v>2286</v>
      </c>
      <c r="D1669" s="4" t="s">
        <v>2236</v>
      </c>
      <c r="E1669" s="4" t="s">
        <v>3736</v>
      </c>
      <c r="F1669" s="4" t="s">
        <v>3686</v>
      </c>
      <c r="G1669" s="4" t="s">
        <v>3108</v>
      </c>
      <c r="H1669" s="4" t="s">
        <v>3687</v>
      </c>
      <c r="I1669" s="4" t="s">
        <v>2100</v>
      </c>
      <c r="J1669" s="4" t="s">
        <v>2111</v>
      </c>
      <c r="K1669">
        <v>3</v>
      </c>
      <c r="L1669">
        <v>0.91439999999999999</v>
      </c>
      <c r="M1669">
        <v>25.4</v>
      </c>
      <c r="N1669">
        <v>139.69999999999999</v>
      </c>
      <c r="O1669">
        <v>36</v>
      </c>
      <c r="P1669">
        <v>1</v>
      </c>
      <c r="Q1669">
        <v>5.5</v>
      </c>
      <c r="R1669">
        <v>924.60199999999998</v>
      </c>
      <c r="S1669">
        <v>3.2446386719999993E-3</v>
      </c>
      <c r="T1669" s="4" t="s">
        <v>3737</v>
      </c>
    </row>
    <row r="1670" spans="1:20" x14ac:dyDescent="0.2">
      <c r="A1670" s="4" t="s">
        <v>3108</v>
      </c>
      <c r="B1670" s="4" t="s">
        <v>3689</v>
      </c>
      <c r="C1670" s="4" t="s">
        <v>2286</v>
      </c>
      <c r="D1670" s="4" t="s">
        <v>2236</v>
      </c>
      <c r="E1670" s="4" t="s">
        <v>3738</v>
      </c>
      <c r="F1670" s="4" t="s">
        <v>3690</v>
      </c>
      <c r="G1670" s="4" t="s">
        <v>3108</v>
      </c>
      <c r="H1670" s="4" t="s">
        <v>3691</v>
      </c>
      <c r="I1670" s="4" t="s">
        <v>2100</v>
      </c>
      <c r="J1670" s="4" t="s">
        <v>3692</v>
      </c>
      <c r="K1670">
        <v>3</v>
      </c>
      <c r="L1670">
        <v>0.91439999999999999</v>
      </c>
      <c r="M1670">
        <v>23</v>
      </c>
      <c r="N1670">
        <v>139.69999999999999</v>
      </c>
      <c r="O1670">
        <v>36</v>
      </c>
      <c r="P1670">
        <v>0.9055118110236221</v>
      </c>
      <c r="Q1670">
        <v>5.5</v>
      </c>
      <c r="R1670">
        <v>1021.082</v>
      </c>
      <c r="S1670">
        <v>2.9380586399999999E-3</v>
      </c>
      <c r="T1670" s="4" t="s">
        <v>3739</v>
      </c>
    </row>
    <row r="1671" spans="1:20" x14ac:dyDescent="0.2">
      <c r="A1671" s="4" t="s">
        <v>3108</v>
      </c>
      <c r="B1671" s="4" t="s">
        <v>3109</v>
      </c>
      <c r="C1671" s="4" t="s">
        <v>2286</v>
      </c>
      <c r="D1671" s="4" t="s">
        <v>2236</v>
      </c>
      <c r="E1671" s="4" t="s">
        <v>943</v>
      </c>
      <c r="F1671" s="4" t="s">
        <v>3681</v>
      </c>
      <c r="G1671" s="4" t="s">
        <v>3108</v>
      </c>
      <c r="H1671" s="4" t="s">
        <v>2183</v>
      </c>
      <c r="I1671" s="4" t="s">
        <v>2100</v>
      </c>
      <c r="J1671" s="4" t="s">
        <v>2111</v>
      </c>
      <c r="K1671">
        <v>4</v>
      </c>
      <c r="L1671">
        <v>1.2192000000000001</v>
      </c>
      <c r="M1671">
        <v>25.4</v>
      </c>
      <c r="N1671">
        <v>139.69999999999999</v>
      </c>
      <c r="O1671">
        <v>48.000000000000007</v>
      </c>
      <c r="P1671">
        <v>1</v>
      </c>
      <c r="Q1671">
        <v>5.5</v>
      </c>
      <c r="R1671">
        <v>924.60199999999998</v>
      </c>
      <c r="S1671">
        <v>4.3261848960000002E-3</v>
      </c>
      <c r="T1671" s="4" t="s">
        <v>3733</v>
      </c>
    </row>
    <row r="1672" spans="1:20" x14ac:dyDescent="0.2">
      <c r="A1672" s="4" t="s">
        <v>3108</v>
      </c>
      <c r="B1672" s="4" t="s">
        <v>3109</v>
      </c>
      <c r="C1672" s="4" t="s">
        <v>2286</v>
      </c>
      <c r="D1672" s="4" t="s">
        <v>2236</v>
      </c>
      <c r="E1672" s="4" t="s">
        <v>941</v>
      </c>
      <c r="F1672" s="4" t="s">
        <v>3683</v>
      </c>
      <c r="G1672" s="4" t="s">
        <v>3108</v>
      </c>
      <c r="H1672" s="4" t="s">
        <v>2133</v>
      </c>
      <c r="I1672" s="4" t="s">
        <v>2100</v>
      </c>
      <c r="J1672" s="4" t="s">
        <v>2111</v>
      </c>
      <c r="K1672">
        <v>4</v>
      </c>
      <c r="L1672">
        <v>1.2192000000000001</v>
      </c>
      <c r="M1672">
        <v>25.4</v>
      </c>
      <c r="N1672">
        <v>139.69999999999999</v>
      </c>
      <c r="O1672">
        <v>48.000000000000007</v>
      </c>
      <c r="P1672">
        <v>1</v>
      </c>
      <c r="Q1672">
        <v>5.5</v>
      </c>
      <c r="R1672">
        <v>924.60199999999998</v>
      </c>
      <c r="S1672">
        <v>4.3261848960000002E-3</v>
      </c>
      <c r="T1672" s="4" t="s">
        <v>3735</v>
      </c>
    </row>
    <row r="1673" spans="1:20" x14ac:dyDescent="0.2">
      <c r="A1673" s="4" t="s">
        <v>3108</v>
      </c>
      <c r="B1673" s="4" t="s">
        <v>3109</v>
      </c>
      <c r="C1673" s="4" t="s">
        <v>2286</v>
      </c>
      <c r="D1673" s="4" t="s">
        <v>2236</v>
      </c>
      <c r="E1673" s="4" t="s">
        <v>3740</v>
      </c>
      <c r="F1673" s="4" t="s">
        <v>3686</v>
      </c>
      <c r="G1673" s="4" t="s">
        <v>3108</v>
      </c>
      <c r="H1673" s="4" t="s">
        <v>3687</v>
      </c>
      <c r="I1673" s="4" t="s">
        <v>2100</v>
      </c>
      <c r="J1673" s="4" t="s">
        <v>2111</v>
      </c>
      <c r="K1673">
        <v>4</v>
      </c>
      <c r="L1673">
        <v>1.2192000000000001</v>
      </c>
      <c r="M1673">
        <v>25.4</v>
      </c>
      <c r="N1673">
        <v>139.69999999999999</v>
      </c>
      <c r="O1673">
        <v>48.000000000000007</v>
      </c>
      <c r="P1673">
        <v>1</v>
      </c>
      <c r="Q1673">
        <v>5.5</v>
      </c>
      <c r="R1673">
        <v>924.60199999999998</v>
      </c>
      <c r="S1673">
        <v>4.3261848960000002E-3</v>
      </c>
      <c r="T1673" s="4" t="s">
        <v>3737</v>
      </c>
    </row>
    <row r="1674" spans="1:20" x14ac:dyDescent="0.2">
      <c r="A1674" s="4" t="s">
        <v>3108</v>
      </c>
      <c r="B1674" s="4" t="s">
        <v>3689</v>
      </c>
      <c r="C1674" s="4" t="s">
        <v>2286</v>
      </c>
      <c r="D1674" s="4" t="s">
        <v>2236</v>
      </c>
      <c r="E1674" s="4" t="s">
        <v>3741</v>
      </c>
      <c r="F1674" s="4" t="s">
        <v>3690</v>
      </c>
      <c r="G1674" s="4" t="s">
        <v>3108</v>
      </c>
      <c r="H1674" s="4" t="s">
        <v>3691</v>
      </c>
      <c r="I1674" s="4" t="s">
        <v>2100</v>
      </c>
      <c r="J1674" s="4" t="s">
        <v>3692</v>
      </c>
      <c r="K1674">
        <v>4</v>
      </c>
      <c r="L1674">
        <v>1.2192000000000001</v>
      </c>
      <c r="M1674">
        <v>23</v>
      </c>
      <c r="N1674">
        <v>139.69999999999999</v>
      </c>
      <c r="O1674">
        <v>48.000000000000007</v>
      </c>
      <c r="P1674">
        <v>0.9055118110236221</v>
      </c>
      <c r="Q1674">
        <v>5.5</v>
      </c>
      <c r="R1674">
        <v>1021.082</v>
      </c>
      <c r="S1674">
        <v>3.9174115199999996E-3</v>
      </c>
      <c r="T1674" s="4" t="s">
        <v>3739</v>
      </c>
    </row>
    <row r="1675" spans="1:20" x14ac:dyDescent="0.2">
      <c r="A1675" s="4" t="s">
        <v>3108</v>
      </c>
      <c r="B1675" s="4" t="s">
        <v>3109</v>
      </c>
      <c r="C1675" s="4" t="s">
        <v>2286</v>
      </c>
      <c r="D1675" s="4" t="s">
        <v>2236</v>
      </c>
      <c r="E1675" s="4" t="s">
        <v>947</v>
      </c>
      <c r="F1675" s="4" t="s">
        <v>3681</v>
      </c>
      <c r="G1675" s="4" t="s">
        <v>3108</v>
      </c>
      <c r="H1675" s="4" t="s">
        <v>2183</v>
      </c>
      <c r="I1675" s="4" t="s">
        <v>2100</v>
      </c>
      <c r="J1675" s="4" t="s">
        <v>2111</v>
      </c>
      <c r="K1675">
        <v>5</v>
      </c>
      <c r="L1675">
        <v>1.524</v>
      </c>
      <c r="M1675">
        <v>25.4</v>
      </c>
      <c r="N1675">
        <v>139.69999999999999</v>
      </c>
      <c r="O1675">
        <v>60</v>
      </c>
      <c r="P1675">
        <v>1</v>
      </c>
      <c r="Q1675">
        <v>5.5</v>
      </c>
      <c r="R1675">
        <v>924.60199999999998</v>
      </c>
      <c r="S1675">
        <v>5.4077311200000002E-3</v>
      </c>
      <c r="T1675" s="4" t="s">
        <v>3733</v>
      </c>
    </row>
    <row r="1676" spans="1:20" x14ac:dyDescent="0.2">
      <c r="A1676" s="4" t="s">
        <v>3108</v>
      </c>
      <c r="B1676" s="4" t="s">
        <v>3109</v>
      </c>
      <c r="C1676" s="4" t="s">
        <v>2286</v>
      </c>
      <c r="D1676" s="4" t="s">
        <v>2236</v>
      </c>
      <c r="E1676" s="4" t="s">
        <v>945</v>
      </c>
      <c r="F1676" s="4" t="s">
        <v>3683</v>
      </c>
      <c r="G1676" s="4" t="s">
        <v>3108</v>
      </c>
      <c r="H1676" s="4" t="s">
        <v>2133</v>
      </c>
      <c r="I1676" s="4" t="s">
        <v>2100</v>
      </c>
      <c r="J1676" s="4" t="s">
        <v>2111</v>
      </c>
      <c r="K1676">
        <v>5</v>
      </c>
      <c r="L1676">
        <v>1.524</v>
      </c>
      <c r="M1676">
        <v>25.4</v>
      </c>
      <c r="N1676">
        <v>139.69999999999999</v>
      </c>
      <c r="O1676">
        <v>60</v>
      </c>
      <c r="P1676">
        <v>1</v>
      </c>
      <c r="Q1676">
        <v>5.5</v>
      </c>
      <c r="R1676">
        <v>924.60199999999998</v>
      </c>
      <c r="S1676">
        <v>5.4077311200000002E-3</v>
      </c>
      <c r="T1676" s="4" t="s">
        <v>3735</v>
      </c>
    </row>
    <row r="1677" spans="1:20" x14ac:dyDescent="0.2">
      <c r="A1677" s="4" t="s">
        <v>3108</v>
      </c>
      <c r="B1677" s="4" t="s">
        <v>3109</v>
      </c>
      <c r="C1677" s="4" t="s">
        <v>2286</v>
      </c>
      <c r="D1677" s="4" t="s">
        <v>2236</v>
      </c>
      <c r="E1677" s="4" t="s">
        <v>3742</v>
      </c>
      <c r="F1677" s="4" t="s">
        <v>3686</v>
      </c>
      <c r="G1677" s="4" t="s">
        <v>3108</v>
      </c>
      <c r="H1677" s="4" t="s">
        <v>3687</v>
      </c>
      <c r="I1677" s="4" t="s">
        <v>2100</v>
      </c>
      <c r="J1677" s="4" t="s">
        <v>2111</v>
      </c>
      <c r="K1677">
        <v>5</v>
      </c>
      <c r="L1677">
        <v>1.524</v>
      </c>
      <c r="M1677">
        <v>25.4</v>
      </c>
      <c r="N1677">
        <v>139.69999999999999</v>
      </c>
      <c r="O1677">
        <v>60</v>
      </c>
      <c r="P1677">
        <v>1</v>
      </c>
      <c r="Q1677">
        <v>5.5</v>
      </c>
      <c r="R1677">
        <v>924.60199999999998</v>
      </c>
      <c r="S1677">
        <v>5.4077311200000002E-3</v>
      </c>
      <c r="T1677" s="4" t="s">
        <v>3737</v>
      </c>
    </row>
    <row r="1678" spans="1:20" x14ac:dyDescent="0.2">
      <c r="A1678" s="4" t="s">
        <v>3108</v>
      </c>
      <c r="B1678" s="4" t="s">
        <v>3689</v>
      </c>
      <c r="C1678" s="4" t="s">
        <v>2286</v>
      </c>
      <c r="D1678" s="4" t="s">
        <v>2236</v>
      </c>
      <c r="E1678" s="4" t="s">
        <v>3743</v>
      </c>
      <c r="F1678" s="4" t="s">
        <v>3690</v>
      </c>
      <c r="G1678" s="4" t="s">
        <v>3108</v>
      </c>
      <c r="H1678" s="4" t="s">
        <v>3691</v>
      </c>
      <c r="I1678" s="4" t="s">
        <v>2100</v>
      </c>
      <c r="J1678" s="4" t="s">
        <v>3692</v>
      </c>
      <c r="K1678">
        <v>5</v>
      </c>
      <c r="L1678">
        <v>1.524</v>
      </c>
      <c r="M1678">
        <v>23</v>
      </c>
      <c r="N1678">
        <v>139.69999999999999</v>
      </c>
      <c r="O1678">
        <v>60</v>
      </c>
      <c r="P1678">
        <v>0.9055118110236221</v>
      </c>
      <c r="Q1678">
        <v>5.5</v>
      </c>
      <c r="R1678">
        <v>1021.082</v>
      </c>
      <c r="S1678">
        <v>4.8967643999999998E-3</v>
      </c>
      <c r="T1678" s="4" t="s">
        <v>3739</v>
      </c>
    </row>
    <row r="1679" spans="1:20" x14ac:dyDescent="0.2">
      <c r="A1679" s="4" t="s">
        <v>3108</v>
      </c>
      <c r="B1679" s="4" t="s">
        <v>3109</v>
      </c>
      <c r="C1679" s="4" t="s">
        <v>2286</v>
      </c>
      <c r="D1679" s="4" t="s">
        <v>2236</v>
      </c>
      <c r="E1679" s="4" t="s">
        <v>951</v>
      </c>
      <c r="F1679" s="4" t="s">
        <v>3681</v>
      </c>
      <c r="G1679" s="4" t="s">
        <v>3108</v>
      </c>
      <c r="H1679" s="4" t="s">
        <v>2183</v>
      </c>
      <c r="I1679" s="4" t="s">
        <v>2100</v>
      </c>
      <c r="J1679" s="4" t="s">
        <v>2111</v>
      </c>
      <c r="K1679">
        <v>6</v>
      </c>
      <c r="L1679">
        <v>1.8288</v>
      </c>
      <c r="M1679">
        <v>25.4</v>
      </c>
      <c r="N1679">
        <v>139.69999999999999</v>
      </c>
      <c r="O1679">
        <v>72</v>
      </c>
      <c r="P1679">
        <v>1</v>
      </c>
      <c r="Q1679">
        <v>5.5</v>
      </c>
      <c r="R1679">
        <v>924.60199999999998</v>
      </c>
      <c r="S1679">
        <v>6.4892773439999985E-3</v>
      </c>
      <c r="T1679" s="4" t="s">
        <v>3733</v>
      </c>
    </row>
    <row r="1680" spans="1:20" x14ac:dyDescent="0.2">
      <c r="A1680" s="4" t="s">
        <v>3108</v>
      </c>
      <c r="B1680" s="4" t="s">
        <v>3109</v>
      </c>
      <c r="C1680" s="4" t="s">
        <v>2286</v>
      </c>
      <c r="D1680" s="4" t="s">
        <v>2236</v>
      </c>
      <c r="E1680" s="4" t="s">
        <v>949</v>
      </c>
      <c r="F1680" s="4" t="s">
        <v>3683</v>
      </c>
      <c r="G1680" s="4" t="s">
        <v>3108</v>
      </c>
      <c r="H1680" s="4" t="s">
        <v>2133</v>
      </c>
      <c r="I1680" s="4" t="s">
        <v>2100</v>
      </c>
      <c r="J1680" s="4" t="s">
        <v>2111</v>
      </c>
      <c r="K1680">
        <v>6</v>
      </c>
      <c r="L1680">
        <v>1.8288</v>
      </c>
      <c r="M1680">
        <v>25.4</v>
      </c>
      <c r="N1680">
        <v>139.69999999999999</v>
      </c>
      <c r="O1680">
        <v>72</v>
      </c>
      <c r="P1680">
        <v>1</v>
      </c>
      <c r="Q1680">
        <v>5.5</v>
      </c>
      <c r="R1680">
        <v>924.60199999999998</v>
      </c>
      <c r="S1680">
        <v>6.4892773439999985E-3</v>
      </c>
      <c r="T1680" s="4" t="s">
        <v>3735</v>
      </c>
    </row>
    <row r="1681" spans="1:20" x14ac:dyDescent="0.2">
      <c r="A1681" s="4" t="s">
        <v>3108</v>
      </c>
      <c r="B1681" s="4" t="s">
        <v>3109</v>
      </c>
      <c r="C1681" s="4" t="s">
        <v>2286</v>
      </c>
      <c r="D1681" s="4" t="s">
        <v>2236</v>
      </c>
      <c r="E1681" s="4" t="s">
        <v>3744</v>
      </c>
      <c r="F1681" s="4" t="s">
        <v>3686</v>
      </c>
      <c r="G1681" s="4" t="s">
        <v>3108</v>
      </c>
      <c r="H1681" s="4" t="s">
        <v>3687</v>
      </c>
      <c r="I1681" s="4" t="s">
        <v>2100</v>
      </c>
      <c r="J1681" s="4" t="s">
        <v>2111</v>
      </c>
      <c r="K1681">
        <v>6</v>
      </c>
      <c r="L1681">
        <v>1.8288</v>
      </c>
      <c r="M1681">
        <v>25.4</v>
      </c>
      <c r="N1681">
        <v>139.69999999999999</v>
      </c>
      <c r="O1681">
        <v>72</v>
      </c>
      <c r="P1681">
        <v>1</v>
      </c>
      <c r="Q1681">
        <v>5.5</v>
      </c>
      <c r="R1681">
        <v>924.60199999999998</v>
      </c>
      <c r="S1681">
        <v>6.4892773439999985E-3</v>
      </c>
      <c r="T1681" s="4" t="s">
        <v>3737</v>
      </c>
    </row>
    <row r="1682" spans="1:20" x14ac:dyDescent="0.2">
      <c r="A1682" s="4" t="s">
        <v>3108</v>
      </c>
      <c r="B1682" s="4" t="s">
        <v>3689</v>
      </c>
      <c r="C1682" s="4" t="s">
        <v>2286</v>
      </c>
      <c r="D1682" s="4" t="s">
        <v>2236</v>
      </c>
      <c r="E1682" s="4" t="s">
        <v>3745</v>
      </c>
      <c r="F1682" s="4" t="s">
        <v>3690</v>
      </c>
      <c r="G1682" s="4" t="s">
        <v>3108</v>
      </c>
      <c r="H1682" s="4" t="s">
        <v>3691</v>
      </c>
      <c r="I1682" s="4" t="s">
        <v>2100</v>
      </c>
      <c r="J1682" s="4" t="s">
        <v>3692</v>
      </c>
      <c r="K1682">
        <v>6</v>
      </c>
      <c r="L1682">
        <v>1.8288</v>
      </c>
      <c r="M1682">
        <v>23</v>
      </c>
      <c r="N1682">
        <v>139.69999999999999</v>
      </c>
      <c r="O1682">
        <v>72</v>
      </c>
      <c r="P1682">
        <v>0.9055118110236221</v>
      </c>
      <c r="Q1682">
        <v>5.5</v>
      </c>
      <c r="R1682">
        <v>1021.082</v>
      </c>
      <c r="S1682">
        <v>5.8761172799999999E-3</v>
      </c>
      <c r="T1682" s="4" t="s">
        <v>3739</v>
      </c>
    </row>
    <row r="1683" spans="1:20" x14ac:dyDescent="0.2">
      <c r="A1683" s="4" t="s">
        <v>3108</v>
      </c>
      <c r="B1683" s="4" t="s">
        <v>3109</v>
      </c>
      <c r="C1683" s="4" t="s">
        <v>2286</v>
      </c>
      <c r="D1683" s="4" t="s">
        <v>2236</v>
      </c>
      <c r="E1683" s="4" t="s">
        <v>955</v>
      </c>
      <c r="F1683" s="4" t="s">
        <v>3681</v>
      </c>
      <c r="G1683" s="4" t="s">
        <v>3108</v>
      </c>
      <c r="H1683" s="4" t="s">
        <v>2183</v>
      </c>
      <c r="I1683" s="4" t="s">
        <v>2100</v>
      </c>
      <c r="J1683" s="4" t="s">
        <v>2111</v>
      </c>
      <c r="K1683">
        <v>7</v>
      </c>
      <c r="L1683">
        <v>2.1335999999999999</v>
      </c>
      <c r="M1683">
        <v>25.4</v>
      </c>
      <c r="N1683">
        <v>139.69999999999999</v>
      </c>
      <c r="O1683">
        <v>84</v>
      </c>
      <c r="P1683">
        <v>1</v>
      </c>
      <c r="Q1683">
        <v>5.5</v>
      </c>
      <c r="R1683">
        <v>924.60199999999998</v>
      </c>
      <c r="S1683">
        <v>7.5708235679999986E-3</v>
      </c>
      <c r="T1683" s="4" t="s">
        <v>3733</v>
      </c>
    </row>
    <row r="1684" spans="1:20" x14ac:dyDescent="0.2">
      <c r="A1684" s="4" t="s">
        <v>3108</v>
      </c>
      <c r="B1684" s="4" t="s">
        <v>3109</v>
      </c>
      <c r="C1684" s="4" t="s">
        <v>2286</v>
      </c>
      <c r="D1684" s="4" t="s">
        <v>2236</v>
      </c>
      <c r="E1684" s="4" t="s">
        <v>953</v>
      </c>
      <c r="F1684" s="4" t="s">
        <v>3683</v>
      </c>
      <c r="G1684" s="4" t="s">
        <v>3108</v>
      </c>
      <c r="H1684" s="4" t="s">
        <v>2133</v>
      </c>
      <c r="I1684" s="4" t="s">
        <v>2100</v>
      </c>
      <c r="J1684" s="4" t="s">
        <v>2111</v>
      </c>
      <c r="K1684">
        <v>7</v>
      </c>
      <c r="L1684">
        <v>2.1335999999999999</v>
      </c>
      <c r="M1684">
        <v>25.4</v>
      </c>
      <c r="N1684">
        <v>139.69999999999999</v>
      </c>
      <c r="O1684">
        <v>84</v>
      </c>
      <c r="P1684">
        <v>1</v>
      </c>
      <c r="Q1684">
        <v>5.5</v>
      </c>
      <c r="R1684">
        <v>924.60199999999998</v>
      </c>
      <c r="S1684">
        <v>7.5708235679999986E-3</v>
      </c>
      <c r="T1684" s="4" t="s">
        <v>3735</v>
      </c>
    </row>
    <row r="1685" spans="1:20" x14ac:dyDescent="0.2">
      <c r="A1685" s="4" t="s">
        <v>3108</v>
      </c>
      <c r="B1685" s="4" t="s">
        <v>3109</v>
      </c>
      <c r="C1685" s="4" t="s">
        <v>2286</v>
      </c>
      <c r="D1685" s="4" t="s">
        <v>2236</v>
      </c>
      <c r="E1685" s="4" t="s">
        <v>3746</v>
      </c>
      <c r="F1685" s="4" t="s">
        <v>3686</v>
      </c>
      <c r="G1685" s="4" t="s">
        <v>3108</v>
      </c>
      <c r="H1685" s="4" t="s">
        <v>3687</v>
      </c>
      <c r="I1685" s="4" t="s">
        <v>2100</v>
      </c>
      <c r="J1685" s="4" t="s">
        <v>2111</v>
      </c>
      <c r="K1685">
        <v>7</v>
      </c>
      <c r="L1685">
        <v>2.1335999999999999</v>
      </c>
      <c r="M1685">
        <v>25.4</v>
      </c>
      <c r="N1685">
        <v>139.69999999999999</v>
      </c>
      <c r="O1685">
        <v>84</v>
      </c>
      <c r="P1685">
        <v>1</v>
      </c>
      <c r="Q1685">
        <v>5.5</v>
      </c>
      <c r="R1685">
        <v>924.60199999999998</v>
      </c>
      <c r="S1685">
        <v>7.5708235679999986E-3</v>
      </c>
      <c r="T1685" s="4" t="s">
        <v>3737</v>
      </c>
    </row>
    <row r="1686" spans="1:20" x14ac:dyDescent="0.2">
      <c r="A1686" s="4" t="s">
        <v>3108</v>
      </c>
      <c r="B1686" s="4" t="s">
        <v>3689</v>
      </c>
      <c r="C1686" s="4" t="s">
        <v>2286</v>
      </c>
      <c r="D1686" s="4" t="s">
        <v>2236</v>
      </c>
      <c r="E1686" s="4" t="s">
        <v>3747</v>
      </c>
      <c r="F1686" s="4" t="s">
        <v>3690</v>
      </c>
      <c r="G1686" s="4" t="s">
        <v>3108</v>
      </c>
      <c r="H1686" s="4" t="s">
        <v>3691</v>
      </c>
      <c r="I1686" s="4" t="s">
        <v>2100</v>
      </c>
      <c r="J1686" s="4" t="s">
        <v>3692</v>
      </c>
      <c r="K1686">
        <v>7</v>
      </c>
      <c r="L1686">
        <v>2.1335999999999999</v>
      </c>
      <c r="M1686">
        <v>23</v>
      </c>
      <c r="N1686">
        <v>139.69999999999999</v>
      </c>
      <c r="O1686">
        <v>84</v>
      </c>
      <c r="P1686">
        <v>0.9055118110236221</v>
      </c>
      <c r="Q1686">
        <v>5.5</v>
      </c>
      <c r="R1686">
        <v>1021.082</v>
      </c>
      <c r="S1686">
        <v>6.8554701599999992E-3</v>
      </c>
      <c r="T1686" s="4" t="s">
        <v>3739</v>
      </c>
    </row>
    <row r="1687" spans="1:20" x14ac:dyDescent="0.2">
      <c r="A1687" s="4" t="s">
        <v>3108</v>
      </c>
      <c r="B1687" s="4" t="s">
        <v>3109</v>
      </c>
      <c r="C1687" s="4" t="s">
        <v>2096</v>
      </c>
      <c r="D1687" s="4" t="s">
        <v>2236</v>
      </c>
      <c r="E1687" s="4" t="s">
        <v>959</v>
      </c>
      <c r="F1687" s="4" t="s">
        <v>3681</v>
      </c>
      <c r="G1687" s="4" t="s">
        <v>3108</v>
      </c>
      <c r="H1687" s="4" t="s">
        <v>2183</v>
      </c>
      <c r="I1687" s="4" t="s">
        <v>2100</v>
      </c>
      <c r="J1687" s="4" t="s">
        <v>2111</v>
      </c>
      <c r="K1687">
        <v>8</v>
      </c>
      <c r="L1687">
        <v>2.4384000000000001</v>
      </c>
      <c r="M1687">
        <v>25.4</v>
      </c>
      <c r="N1687">
        <v>139.69999999999999</v>
      </c>
      <c r="O1687">
        <v>96.000000000000014</v>
      </c>
      <c r="P1687">
        <v>1</v>
      </c>
      <c r="Q1687">
        <v>5.5</v>
      </c>
      <c r="R1687">
        <v>924.60199999999998</v>
      </c>
      <c r="S1687">
        <v>8.6523697920000003E-3</v>
      </c>
      <c r="T1687" s="4" t="s">
        <v>3682</v>
      </c>
    </row>
    <row r="1688" spans="1:20" x14ac:dyDescent="0.2">
      <c r="A1688" s="4" t="s">
        <v>3108</v>
      </c>
      <c r="B1688" s="4" t="s">
        <v>3109</v>
      </c>
      <c r="C1688" s="4" t="s">
        <v>2096</v>
      </c>
      <c r="D1688" s="4" t="s">
        <v>2236</v>
      </c>
      <c r="E1688" s="4" t="s">
        <v>957</v>
      </c>
      <c r="F1688" s="4" t="s">
        <v>3683</v>
      </c>
      <c r="G1688" s="4" t="s">
        <v>3108</v>
      </c>
      <c r="H1688" s="4" t="s">
        <v>2133</v>
      </c>
      <c r="I1688" s="4" t="s">
        <v>2100</v>
      </c>
      <c r="J1688" s="4" t="s">
        <v>2111</v>
      </c>
      <c r="K1688">
        <v>8</v>
      </c>
      <c r="L1688">
        <v>2.4384000000000001</v>
      </c>
      <c r="M1688">
        <v>25.4</v>
      </c>
      <c r="N1688">
        <v>139.69999999999999</v>
      </c>
      <c r="O1688">
        <v>96.000000000000014</v>
      </c>
      <c r="P1688">
        <v>1</v>
      </c>
      <c r="Q1688">
        <v>5.5</v>
      </c>
      <c r="R1688">
        <v>924.60199999999998</v>
      </c>
      <c r="S1688">
        <v>8.6523697920000003E-3</v>
      </c>
      <c r="T1688" s="4" t="s">
        <v>3684</v>
      </c>
    </row>
    <row r="1689" spans="1:20" x14ac:dyDescent="0.2">
      <c r="A1689" s="4" t="s">
        <v>3108</v>
      </c>
      <c r="B1689" s="4" t="s">
        <v>3109</v>
      </c>
      <c r="C1689" s="4" t="s">
        <v>2096</v>
      </c>
      <c r="D1689" s="4" t="s">
        <v>2236</v>
      </c>
      <c r="E1689" s="4" t="s">
        <v>3748</v>
      </c>
      <c r="F1689" s="4" t="s">
        <v>3686</v>
      </c>
      <c r="G1689" s="4" t="s">
        <v>3108</v>
      </c>
      <c r="H1689" s="4" t="s">
        <v>3687</v>
      </c>
      <c r="I1689" s="4" t="s">
        <v>2100</v>
      </c>
      <c r="J1689" s="4" t="s">
        <v>2111</v>
      </c>
      <c r="K1689">
        <v>8</v>
      </c>
      <c r="L1689">
        <v>2.4384000000000001</v>
      </c>
      <c r="M1689">
        <v>25.4</v>
      </c>
      <c r="N1689">
        <v>139.69999999999999</v>
      </c>
      <c r="O1689">
        <v>96.000000000000014</v>
      </c>
      <c r="P1689">
        <v>1</v>
      </c>
      <c r="Q1689">
        <v>5.5</v>
      </c>
      <c r="R1689">
        <v>924.60199999999998</v>
      </c>
      <c r="S1689">
        <v>8.6523697920000003E-3</v>
      </c>
      <c r="T1689" s="4" t="s">
        <v>3688</v>
      </c>
    </row>
    <row r="1690" spans="1:20" x14ac:dyDescent="0.2">
      <c r="A1690" s="4" t="s">
        <v>3108</v>
      </c>
      <c r="B1690" s="4" t="s">
        <v>3689</v>
      </c>
      <c r="C1690" s="4" t="s">
        <v>2096</v>
      </c>
      <c r="D1690" s="4" t="s">
        <v>2236</v>
      </c>
      <c r="E1690" s="4" t="s">
        <v>961</v>
      </c>
      <c r="F1690" s="4" t="s">
        <v>3690</v>
      </c>
      <c r="G1690" s="4" t="s">
        <v>3108</v>
      </c>
      <c r="H1690" s="4" t="s">
        <v>3691</v>
      </c>
      <c r="I1690" s="4" t="s">
        <v>2100</v>
      </c>
      <c r="J1690" s="4" t="s">
        <v>3692</v>
      </c>
      <c r="K1690">
        <v>8</v>
      </c>
      <c r="L1690">
        <v>2.4384000000000001</v>
      </c>
      <c r="M1690">
        <v>23</v>
      </c>
      <c r="N1690">
        <v>139.69999999999999</v>
      </c>
      <c r="O1690">
        <v>96.000000000000014</v>
      </c>
      <c r="P1690">
        <v>0.9055118110236221</v>
      </c>
      <c r="Q1690">
        <v>5.5</v>
      </c>
      <c r="R1690">
        <v>1021.082</v>
      </c>
      <c r="S1690">
        <v>7.8348230399999993E-3</v>
      </c>
      <c r="T1690" s="4" t="s">
        <v>3693</v>
      </c>
    </row>
    <row r="1691" spans="1:20" x14ac:dyDescent="0.2">
      <c r="A1691" s="4" t="s">
        <v>3108</v>
      </c>
      <c r="B1691" s="4" t="s">
        <v>3109</v>
      </c>
      <c r="C1691" s="4" t="s">
        <v>2096</v>
      </c>
      <c r="D1691" s="4" t="s">
        <v>2236</v>
      </c>
      <c r="E1691" s="4" t="s">
        <v>3749</v>
      </c>
      <c r="F1691" s="4" t="s">
        <v>3681</v>
      </c>
      <c r="G1691" s="4" t="s">
        <v>3108</v>
      </c>
      <c r="H1691" s="4" t="s">
        <v>2183</v>
      </c>
      <c r="I1691" s="4" t="s">
        <v>2100</v>
      </c>
      <c r="J1691" s="4" t="s">
        <v>2111</v>
      </c>
      <c r="K1691">
        <v>9</v>
      </c>
      <c r="L1691">
        <v>2.7431999999999999</v>
      </c>
      <c r="M1691">
        <v>25.4</v>
      </c>
      <c r="N1691">
        <v>139.69999999999999</v>
      </c>
      <c r="O1691">
        <v>108</v>
      </c>
      <c r="P1691">
        <v>1</v>
      </c>
      <c r="Q1691">
        <v>5.5</v>
      </c>
      <c r="R1691">
        <v>924.60199999999998</v>
      </c>
      <c r="S1691">
        <v>9.7339160159999986E-3</v>
      </c>
      <c r="T1691" s="4" t="s">
        <v>3682</v>
      </c>
    </row>
    <row r="1692" spans="1:20" x14ac:dyDescent="0.2">
      <c r="A1692" s="4" t="s">
        <v>3108</v>
      </c>
      <c r="B1692" s="4" t="s">
        <v>3109</v>
      </c>
      <c r="C1692" s="4" t="s">
        <v>2096</v>
      </c>
      <c r="D1692" s="4" t="s">
        <v>2236</v>
      </c>
      <c r="E1692" s="4" t="s">
        <v>3750</v>
      </c>
      <c r="F1692" s="4" t="s">
        <v>3683</v>
      </c>
      <c r="G1692" s="4" t="s">
        <v>3108</v>
      </c>
      <c r="H1692" s="4" t="s">
        <v>2133</v>
      </c>
      <c r="I1692" s="4" t="s">
        <v>2100</v>
      </c>
      <c r="J1692" s="4" t="s">
        <v>2111</v>
      </c>
      <c r="K1692">
        <v>9</v>
      </c>
      <c r="L1692">
        <v>2.7431999999999999</v>
      </c>
      <c r="M1692">
        <v>25.4</v>
      </c>
      <c r="N1692">
        <v>139.69999999999999</v>
      </c>
      <c r="O1692">
        <v>108</v>
      </c>
      <c r="P1692">
        <v>1</v>
      </c>
      <c r="Q1692">
        <v>5.5</v>
      </c>
      <c r="R1692">
        <v>924.60199999999998</v>
      </c>
      <c r="S1692">
        <v>9.7339160159999986E-3</v>
      </c>
      <c r="T1692" s="4" t="s">
        <v>3684</v>
      </c>
    </row>
    <row r="1693" spans="1:20" x14ac:dyDescent="0.2">
      <c r="A1693" s="4" t="s">
        <v>3108</v>
      </c>
      <c r="B1693" s="4" t="s">
        <v>3109</v>
      </c>
      <c r="C1693" s="4" t="s">
        <v>2096</v>
      </c>
      <c r="D1693" s="4" t="s">
        <v>2236</v>
      </c>
      <c r="E1693" s="4" t="s">
        <v>3751</v>
      </c>
      <c r="F1693" s="4" t="s">
        <v>3686</v>
      </c>
      <c r="G1693" s="4" t="s">
        <v>3108</v>
      </c>
      <c r="H1693" s="4" t="s">
        <v>3687</v>
      </c>
      <c r="I1693" s="4" t="s">
        <v>2100</v>
      </c>
      <c r="J1693" s="4" t="s">
        <v>2111</v>
      </c>
      <c r="K1693">
        <v>9</v>
      </c>
      <c r="L1693">
        <v>2.7431999999999999</v>
      </c>
      <c r="M1693">
        <v>25.4</v>
      </c>
      <c r="N1693">
        <v>139.69999999999999</v>
      </c>
      <c r="O1693">
        <v>108</v>
      </c>
      <c r="P1693">
        <v>1</v>
      </c>
      <c r="Q1693">
        <v>5.5</v>
      </c>
      <c r="R1693">
        <v>924.60199999999998</v>
      </c>
      <c r="S1693">
        <v>9.7339160159999986E-3</v>
      </c>
      <c r="T1693" s="4" t="s">
        <v>3688</v>
      </c>
    </row>
    <row r="1694" spans="1:20" x14ac:dyDescent="0.2">
      <c r="A1694" s="4" t="s">
        <v>3108</v>
      </c>
      <c r="B1694" s="4" t="s">
        <v>3689</v>
      </c>
      <c r="C1694" s="4" t="s">
        <v>2096</v>
      </c>
      <c r="D1694" s="4" t="s">
        <v>2236</v>
      </c>
      <c r="E1694" s="4" t="s">
        <v>3752</v>
      </c>
      <c r="F1694" s="4" t="s">
        <v>3690</v>
      </c>
      <c r="G1694" s="4" t="s">
        <v>3108</v>
      </c>
      <c r="H1694" s="4" t="s">
        <v>3691</v>
      </c>
      <c r="I1694" s="4" t="s">
        <v>2100</v>
      </c>
      <c r="J1694" s="4" t="s">
        <v>3692</v>
      </c>
      <c r="K1694">
        <v>9</v>
      </c>
      <c r="L1694">
        <v>2.7431999999999999</v>
      </c>
      <c r="M1694">
        <v>23</v>
      </c>
      <c r="N1694">
        <v>139.69999999999999</v>
      </c>
      <c r="O1694">
        <v>108</v>
      </c>
      <c r="P1694">
        <v>0.9055118110236221</v>
      </c>
      <c r="Q1694">
        <v>5.5</v>
      </c>
      <c r="R1694">
        <v>1021.082</v>
      </c>
      <c r="S1694">
        <v>8.8141759199999985E-3</v>
      </c>
      <c r="T1694" s="4" t="s">
        <v>3693</v>
      </c>
    </row>
    <row r="1695" spans="1:20" x14ac:dyDescent="0.2">
      <c r="A1695" s="4" t="s">
        <v>3108</v>
      </c>
      <c r="B1695" s="4" t="s">
        <v>3753</v>
      </c>
      <c r="C1695" s="4" t="s">
        <v>2096</v>
      </c>
      <c r="D1695" s="4" t="s">
        <v>2236</v>
      </c>
      <c r="E1695" s="4" t="s">
        <v>3754</v>
      </c>
      <c r="F1695" s="4" t="s">
        <v>3755</v>
      </c>
      <c r="G1695" s="4" t="s">
        <v>3108</v>
      </c>
      <c r="H1695" s="4" t="s">
        <v>2183</v>
      </c>
      <c r="I1695" s="4" t="s">
        <v>2100</v>
      </c>
      <c r="J1695" s="4" t="s">
        <v>2894</v>
      </c>
      <c r="K1695">
        <v>10</v>
      </c>
      <c r="L1695">
        <v>3.048</v>
      </c>
      <c r="M1695">
        <v>25.4</v>
      </c>
      <c r="N1695">
        <v>184.15</v>
      </c>
      <c r="O1695">
        <v>120</v>
      </c>
      <c r="P1695">
        <v>1</v>
      </c>
      <c r="Q1695">
        <v>7.2500000000000009</v>
      </c>
      <c r="R1695">
        <v>701.42200000000003</v>
      </c>
      <c r="S1695">
        <v>1.4256745680000002E-2</v>
      </c>
      <c r="T1695" s="4" t="s">
        <v>3756</v>
      </c>
    </row>
    <row r="1696" spans="1:20" x14ac:dyDescent="0.2">
      <c r="A1696" s="4" t="s">
        <v>3108</v>
      </c>
      <c r="B1696" s="4" t="s">
        <v>3753</v>
      </c>
      <c r="C1696" s="4" t="s">
        <v>2096</v>
      </c>
      <c r="D1696" s="4" t="s">
        <v>2236</v>
      </c>
      <c r="E1696" s="4" t="s">
        <v>3757</v>
      </c>
      <c r="F1696" s="4" t="s">
        <v>3755</v>
      </c>
      <c r="G1696" s="4" t="s">
        <v>3108</v>
      </c>
      <c r="H1696" s="4" t="s">
        <v>2183</v>
      </c>
      <c r="I1696" s="4" t="s">
        <v>2100</v>
      </c>
      <c r="J1696" s="4" t="s">
        <v>2894</v>
      </c>
      <c r="K1696">
        <v>11</v>
      </c>
      <c r="L1696">
        <v>3.3527999999999998</v>
      </c>
      <c r="M1696">
        <v>25.4</v>
      </c>
      <c r="N1696">
        <v>184.15</v>
      </c>
      <c r="O1696">
        <v>132</v>
      </c>
      <c r="P1696">
        <v>1</v>
      </c>
      <c r="Q1696">
        <v>7.2500000000000009</v>
      </c>
      <c r="R1696">
        <v>701.42200000000003</v>
      </c>
      <c r="S1696">
        <v>1.5682420247999995E-2</v>
      </c>
      <c r="T1696" s="4" t="s">
        <v>3756</v>
      </c>
    </row>
    <row r="1697" spans="1:20" x14ac:dyDescent="0.2">
      <c r="A1697" s="4" t="s">
        <v>3108</v>
      </c>
      <c r="B1697" s="4" t="s">
        <v>3753</v>
      </c>
      <c r="C1697" s="4" t="s">
        <v>2096</v>
      </c>
      <c r="D1697" s="4" t="s">
        <v>2236</v>
      </c>
      <c r="E1697" s="4" t="s">
        <v>3758</v>
      </c>
      <c r="F1697" s="4" t="s">
        <v>3755</v>
      </c>
      <c r="G1697" s="4" t="s">
        <v>3108</v>
      </c>
      <c r="H1697" s="4" t="s">
        <v>2183</v>
      </c>
      <c r="I1697" s="4" t="s">
        <v>2100</v>
      </c>
      <c r="J1697" s="4" t="s">
        <v>2894</v>
      </c>
      <c r="K1697">
        <v>12</v>
      </c>
      <c r="L1697">
        <v>3.6576</v>
      </c>
      <c r="M1697">
        <v>25.4</v>
      </c>
      <c r="N1697">
        <v>184.15</v>
      </c>
      <c r="O1697">
        <v>144</v>
      </c>
      <c r="P1697">
        <v>1</v>
      </c>
      <c r="Q1697">
        <v>7.2500000000000009</v>
      </c>
      <c r="R1697">
        <v>701.42200000000003</v>
      </c>
      <c r="S1697">
        <v>1.7108094815999998E-2</v>
      </c>
      <c r="T1697" s="4" t="s">
        <v>3756</v>
      </c>
    </row>
    <row r="1698" spans="1:20" x14ac:dyDescent="0.2">
      <c r="A1698" s="4" t="s">
        <v>3108</v>
      </c>
      <c r="B1698" s="4" t="s">
        <v>3753</v>
      </c>
      <c r="C1698" s="4" t="s">
        <v>2096</v>
      </c>
      <c r="D1698" s="4" t="s">
        <v>2236</v>
      </c>
      <c r="E1698" s="4" t="s">
        <v>3759</v>
      </c>
      <c r="F1698" s="4" t="s">
        <v>3755</v>
      </c>
      <c r="G1698" s="4" t="s">
        <v>3108</v>
      </c>
      <c r="H1698" s="4" t="s">
        <v>2183</v>
      </c>
      <c r="I1698" s="4" t="s">
        <v>2100</v>
      </c>
      <c r="J1698" s="4" t="s">
        <v>2894</v>
      </c>
      <c r="K1698">
        <v>13</v>
      </c>
      <c r="L1698">
        <v>3.9624000000000001</v>
      </c>
      <c r="M1698">
        <v>25.4</v>
      </c>
      <c r="N1698">
        <v>184.15</v>
      </c>
      <c r="O1698">
        <v>156</v>
      </c>
      <c r="P1698">
        <v>1</v>
      </c>
      <c r="Q1698">
        <v>7.2500000000000009</v>
      </c>
      <c r="R1698">
        <v>701.42200000000003</v>
      </c>
      <c r="S1698">
        <v>1.8533769384E-2</v>
      </c>
      <c r="T1698" s="4" t="s">
        <v>3756</v>
      </c>
    </row>
    <row r="1699" spans="1:20" x14ac:dyDescent="0.2">
      <c r="A1699" s="4" t="s">
        <v>3108</v>
      </c>
      <c r="B1699" s="4" t="s">
        <v>3753</v>
      </c>
      <c r="C1699" s="4" t="s">
        <v>2096</v>
      </c>
      <c r="D1699" s="4" t="s">
        <v>2236</v>
      </c>
      <c r="E1699" s="4" t="s">
        <v>3760</v>
      </c>
      <c r="F1699" s="4" t="s">
        <v>3755</v>
      </c>
      <c r="G1699" s="4" t="s">
        <v>3108</v>
      </c>
      <c r="H1699" s="4" t="s">
        <v>2183</v>
      </c>
      <c r="I1699" s="4" t="s">
        <v>2100</v>
      </c>
      <c r="J1699" s="4" t="s">
        <v>2894</v>
      </c>
      <c r="K1699">
        <v>14</v>
      </c>
      <c r="L1699">
        <v>4.2671999999999999</v>
      </c>
      <c r="M1699">
        <v>25.4</v>
      </c>
      <c r="N1699">
        <v>184.15</v>
      </c>
      <c r="O1699">
        <v>168</v>
      </c>
      <c r="P1699">
        <v>1</v>
      </c>
      <c r="Q1699">
        <v>7.2500000000000009</v>
      </c>
      <c r="R1699">
        <v>701.42200000000003</v>
      </c>
      <c r="S1699">
        <v>1.9959443951999997E-2</v>
      </c>
      <c r="T1699" s="4" t="s">
        <v>3756</v>
      </c>
    </row>
    <row r="1700" spans="1:20" x14ac:dyDescent="0.2">
      <c r="A1700" s="4" t="s">
        <v>3108</v>
      </c>
      <c r="B1700" s="4" t="s">
        <v>3753</v>
      </c>
      <c r="C1700" s="4" t="s">
        <v>2096</v>
      </c>
      <c r="D1700" s="4" t="s">
        <v>2236</v>
      </c>
      <c r="E1700" s="4" t="s">
        <v>3761</v>
      </c>
      <c r="F1700" s="4" t="s">
        <v>3755</v>
      </c>
      <c r="G1700" s="4" t="s">
        <v>3108</v>
      </c>
      <c r="H1700" s="4" t="s">
        <v>2183</v>
      </c>
      <c r="I1700" s="4" t="s">
        <v>2100</v>
      </c>
      <c r="J1700" s="4" t="s">
        <v>2894</v>
      </c>
      <c r="K1700">
        <v>15</v>
      </c>
      <c r="L1700">
        <v>4.5720000000000001</v>
      </c>
      <c r="M1700">
        <v>25.4</v>
      </c>
      <c r="N1700">
        <v>184.15</v>
      </c>
      <c r="O1700">
        <v>180</v>
      </c>
      <c r="P1700">
        <v>1</v>
      </c>
      <c r="Q1700">
        <v>7.2500000000000009</v>
      </c>
      <c r="R1700">
        <v>701.42200000000003</v>
      </c>
      <c r="S1700">
        <v>2.1385118520000003E-2</v>
      </c>
      <c r="T1700" s="4" t="s">
        <v>3756</v>
      </c>
    </row>
    <row r="1701" spans="1:20" x14ac:dyDescent="0.2">
      <c r="A1701" s="4" t="s">
        <v>3108</v>
      </c>
      <c r="B1701" s="4" t="s">
        <v>3753</v>
      </c>
      <c r="C1701" s="4" t="s">
        <v>2096</v>
      </c>
      <c r="D1701" s="4" t="s">
        <v>2236</v>
      </c>
      <c r="E1701" s="4" t="s">
        <v>3762</v>
      </c>
      <c r="F1701" s="4" t="s">
        <v>3755</v>
      </c>
      <c r="G1701" s="4" t="s">
        <v>3108</v>
      </c>
      <c r="H1701" s="4" t="s">
        <v>2183</v>
      </c>
      <c r="I1701" s="4" t="s">
        <v>2100</v>
      </c>
      <c r="J1701" s="4" t="s">
        <v>2894</v>
      </c>
      <c r="K1701">
        <v>16</v>
      </c>
      <c r="L1701">
        <v>4.8768000000000002</v>
      </c>
      <c r="M1701">
        <v>25.4</v>
      </c>
      <c r="N1701">
        <v>184.15</v>
      </c>
      <c r="O1701">
        <v>192.00000000000003</v>
      </c>
      <c r="P1701">
        <v>1</v>
      </c>
      <c r="Q1701">
        <v>7.2500000000000009</v>
      </c>
      <c r="R1701">
        <v>701.42200000000003</v>
      </c>
      <c r="S1701">
        <v>2.2810793087999999E-2</v>
      </c>
      <c r="T1701" s="4" t="s">
        <v>3756</v>
      </c>
    </row>
    <row r="1702" spans="1:20" x14ac:dyDescent="0.2">
      <c r="A1702" s="4" t="s">
        <v>3108</v>
      </c>
      <c r="B1702" s="4" t="s">
        <v>3753</v>
      </c>
      <c r="C1702" s="4" t="s">
        <v>2096</v>
      </c>
      <c r="D1702" s="4" t="s">
        <v>2236</v>
      </c>
      <c r="E1702" s="4" t="s">
        <v>3763</v>
      </c>
      <c r="F1702" s="4" t="s">
        <v>3755</v>
      </c>
      <c r="G1702" s="4" t="s">
        <v>3108</v>
      </c>
      <c r="H1702" s="4" t="s">
        <v>2183</v>
      </c>
      <c r="I1702" s="4" t="s">
        <v>2100</v>
      </c>
      <c r="J1702" s="4" t="s">
        <v>2894</v>
      </c>
      <c r="K1702">
        <v>17</v>
      </c>
      <c r="L1702">
        <v>5.1816000000000004</v>
      </c>
      <c r="M1702">
        <v>25.4</v>
      </c>
      <c r="N1702">
        <v>184.15</v>
      </c>
      <c r="O1702">
        <v>204.00000000000003</v>
      </c>
      <c r="P1702">
        <v>1</v>
      </c>
      <c r="Q1702">
        <v>7.2500000000000009</v>
      </c>
      <c r="R1702">
        <v>701.42200000000003</v>
      </c>
      <c r="S1702">
        <v>2.4236467656000002E-2</v>
      </c>
      <c r="T1702" s="4" t="s">
        <v>3756</v>
      </c>
    </row>
    <row r="1703" spans="1:20" x14ac:dyDescent="0.2">
      <c r="A1703" s="4" t="s">
        <v>3108</v>
      </c>
      <c r="B1703" s="4" t="s">
        <v>3753</v>
      </c>
      <c r="C1703" s="4" t="s">
        <v>2096</v>
      </c>
      <c r="D1703" s="4" t="s">
        <v>2236</v>
      </c>
      <c r="E1703" s="4" t="s">
        <v>3764</v>
      </c>
      <c r="F1703" s="4" t="s">
        <v>3755</v>
      </c>
      <c r="G1703" s="4" t="s">
        <v>3108</v>
      </c>
      <c r="H1703" s="4" t="s">
        <v>2183</v>
      </c>
      <c r="I1703" s="4" t="s">
        <v>2100</v>
      </c>
      <c r="J1703" s="4" t="s">
        <v>2894</v>
      </c>
      <c r="K1703">
        <v>18</v>
      </c>
      <c r="L1703">
        <v>5.4863999999999997</v>
      </c>
      <c r="M1703">
        <v>25.4</v>
      </c>
      <c r="N1703">
        <v>184.15</v>
      </c>
      <c r="O1703">
        <v>216</v>
      </c>
      <c r="P1703">
        <v>1</v>
      </c>
      <c r="Q1703">
        <v>7.2500000000000009</v>
      </c>
      <c r="R1703">
        <v>701.42200000000003</v>
      </c>
      <c r="S1703">
        <v>2.5662142224000001E-2</v>
      </c>
      <c r="T1703" s="4" t="s">
        <v>3756</v>
      </c>
    </row>
    <row r="1704" spans="1:20" x14ac:dyDescent="0.2">
      <c r="A1704" s="4" t="s">
        <v>3108</v>
      </c>
      <c r="B1704" s="4" t="s">
        <v>3753</v>
      </c>
      <c r="C1704" s="4" t="s">
        <v>2096</v>
      </c>
      <c r="D1704" s="4" t="s">
        <v>2236</v>
      </c>
      <c r="E1704" s="4" t="s">
        <v>3765</v>
      </c>
      <c r="F1704" s="4" t="s">
        <v>3755</v>
      </c>
      <c r="G1704" s="4" t="s">
        <v>3108</v>
      </c>
      <c r="H1704" s="4" t="s">
        <v>2183</v>
      </c>
      <c r="I1704" s="4" t="s">
        <v>2100</v>
      </c>
      <c r="J1704" s="4" t="s">
        <v>2894</v>
      </c>
      <c r="K1704">
        <v>19</v>
      </c>
      <c r="L1704">
        <v>5.7911999999999999</v>
      </c>
      <c r="M1704">
        <v>25.4</v>
      </c>
      <c r="N1704">
        <v>184.15</v>
      </c>
      <c r="O1704">
        <v>228</v>
      </c>
      <c r="P1704">
        <v>1</v>
      </c>
      <c r="Q1704">
        <v>7.2500000000000009</v>
      </c>
      <c r="R1704">
        <v>701.42200000000003</v>
      </c>
      <c r="S1704">
        <v>2.7087816791999994E-2</v>
      </c>
      <c r="T1704" s="4" t="s">
        <v>3756</v>
      </c>
    </row>
    <row r="1705" spans="1:20" x14ac:dyDescent="0.2">
      <c r="A1705" s="4" t="s">
        <v>3108</v>
      </c>
      <c r="B1705" s="4" t="s">
        <v>3753</v>
      </c>
      <c r="C1705" s="4" t="s">
        <v>2096</v>
      </c>
      <c r="D1705" s="4" t="s">
        <v>2236</v>
      </c>
      <c r="E1705" s="4" t="s">
        <v>3766</v>
      </c>
      <c r="F1705" s="4" t="s">
        <v>3755</v>
      </c>
      <c r="G1705" s="4" t="s">
        <v>3108</v>
      </c>
      <c r="H1705" s="4" t="s">
        <v>2183</v>
      </c>
      <c r="I1705" s="4" t="s">
        <v>2100</v>
      </c>
      <c r="J1705" s="4" t="s">
        <v>2894</v>
      </c>
      <c r="K1705">
        <v>20</v>
      </c>
      <c r="L1705">
        <v>6.0960000000000001</v>
      </c>
      <c r="M1705">
        <v>25.4</v>
      </c>
      <c r="N1705">
        <v>184.15</v>
      </c>
      <c r="O1705">
        <v>240</v>
      </c>
      <c r="P1705">
        <v>1</v>
      </c>
      <c r="Q1705">
        <v>7.2500000000000009</v>
      </c>
      <c r="R1705">
        <v>701.42200000000003</v>
      </c>
      <c r="S1705">
        <v>2.8513491360000004E-2</v>
      </c>
      <c r="T1705" s="4" t="s">
        <v>3756</v>
      </c>
    </row>
    <row r="1706" spans="1:20" x14ac:dyDescent="0.2">
      <c r="A1706" s="4" t="s">
        <v>3108</v>
      </c>
      <c r="B1706" s="4" t="s">
        <v>3753</v>
      </c>
      <c r="C1706" s="4" t="s">
        <v>2096</v>
      </c>
      <c r="D1706" s="4" t="s">
        <v>2236</v>
      </c>
      <c r="E1706" s="4" t="s">
        <v>3767</v>
      </c>
      <c r="F1706" s="4" t="s">
        <v>3755</v>
      </c>
      <c r="G1706" s="4" t="s">
        <v>3108</v>
      </c>
      <c r="H1706" s="4" t="s">
        <v>2183</v>
      </c>
      <c r="I1706" s="4" t="s">
        <v>2100</v>
      </c>
      <c r="J1706" s="4" t="s">
        <v>2894</v>
      </c>
      <c r="K1706">
        <v>21</v>
      </c>
      <c r="L1706">
        <v>6.4008000000000003</v>
      </c>
      <c r="M1706">
        <v>25.4</v>
      </c>
      <c r="N1706">
        <v>184.15</v>
      </c>
      <c r="O1706">
        <v>252.00000000000003</v>
      </c>
      <c r="P1706">
        <v>1</v>
      </c>
      <c r="Q1706">
        <v>7.2500000000000009</v>
      </c>
      <c r="R1706">
        <v>701.42200000000003</v>
      </c>
      <c r="S1706">
        <v>2.9939165928E-2</v>
      </c>
      <c r="T1706" s="4" t="s">
        <v>3756</v>
      </c>
    </row>
    <row r="1707" spans="1:20" x14ac:dyDescent="0.2">
      <c r="A1707" s="4" t="s">
        <v>3108</v>
      </c>
      <c r="B1707" s="4" t="s">
        <v>3753</v>
      </c>
      <c r="C1707" s="4" t="s">
        <v>2096</v>
      </c>
      <c r="D1707" s="4" t="s">
        <v>2236</v>
      </c>
      <c r="E1707" s="4" t="s">
        <v>3768</v>
      </c>
      <c r="F1707" s="4" t="s">
        <v>3755</v>
      </c>
      <c r="G1707" s="4" t="s">
        <v>3108</v>
      </c>
      <c r="H1707" s="4" t="s">
        <v>2183</v>
      </c>
      <c r="I1707" s="4" t="s">
        <v>2100</v>
      </c>
      <c r="J1707" s="4" t="s">
        <v>2894</v>
      </c>
      <c r="K1707">
        <v>22</v>
      </c>
      <c r="L1707">
        <v>6.7055999999999996</v>
      </c>
      <c r="M1707">
        <v>25.4</v>
      </c>
      <c r="N1707">
        <v>184.15</v>
      </c>
      <c r="O1707">
        <v>264</v>
      </c>
      <c r="P1707">
        <v>1</v>
      </c>
      <c r="Q1707">
        <v>7.2500000000000009</v>
      </c>
      <c r="R1707">
        <v>701.42200000000003</v>
      </c>
      <c r="S1707">
        <v>3.1364840495999989E-2</v>
      </c>
      <c r="T1707" s="4" t="s">
        <v>3756</v>
      </c>
    </row>
    <row r="1708" spans="1:20" x14ac:dyDescent="0.2">
      <c r="A1708" s="4" t="s">
        <v>3108</v>
      </c>
      <c r="B1708" s="4" t="s">
        <v>3753</v>
      </c>
      <c r="C1708" s="4" t="s">
        <v>2096</v>
      </c>
      <c r="D1708" s="4" t="s">
        <v>2236</v>
      </c>
      <c r="E1708" s="4" t="s">
        <v>3769</v>
      </c>
      <c r="F1708" s="4" t="s">
        <v>3755</v>
      </c>
      <c r="G1708" s="4" t="s">
        <v>3108</v>
      </c>
      <c r="H1708" s="4" t="s">
        <v>2183</v>
      </c>
      <c r="I1708" s="4" t="s">
        <v>2100</v>
      </c>
      <c r="J1708" s="4" t="s">
        <v>2894</v>
      </c>
      <c r="K1708">
        <v>23</v>
      </c>
      <c r="L1708">
        <v>7.0103999999999997</v>
      </c>
      <c r="M1708">
        <v>25.4</v>
      </c>
      <c r="N1708">
        <v>184.15</v>
      </c>
      <c r="O1708">
        <v>276</v>
      </c>
      <c r="P1708">
        <v>1</v>
      </c>
      <c r="Q1708">
        <v>7.2500000000000009</v>
      </c>
      <c r="R1708">
        <v>701.42200000000003</v>
      </c>
      <c r="S1708">
        <v>3.2790515063999999E-2</v>
      </c>
      <c r="T1708" s="4" t="s">
        <v>3756</v>
      </c>
    </row>
    <row r="1709" spans="1:20" x14ac:dyDescent="0.2">
      <c r="A1709" s="4" t="s">
        <v>3108</v>
      </c>
      <c r="B1709" s="4" t="s">
        <v>3753</v>
      </c>
      <c r="C1709" s="4" t="s">
        <v>2096</v>
      </c>
      <c r="D1709" s="4" t="s">
        <v>2236</v>
      </c>
      <c r="E1709" s="4" t="s">
        <v>3770</v>
      </c>
      <c r="F1709" s="4" t="s">
        <v>3755</v>
      </c>
      <c r="G1709" s="4" t="s">
        <v>3108</v>
      </c>
      <c r="H1709" s="4" t="s">
        <v>2183</v>
      </c>
      <c r="I1709" s="4" t="s">
        <v>2100</v>
      </c>
      <c r="J1709" s="4" t="s">
        <v>2894</v>
      </c>
      <c r="K1709">
        <v>24</v>
      </c>
      <c r="L1709">
        <v>7.3152000000000008</v>
      </c>
      <c r="M1709">
        <v>25.4</v>
      </c>
      <c r="N1709">
        <v>184.15</v>
      </c>
      <c r="O1709">
        <v>288.00000000000006</v>
      </c>
      <c r="P1709">
        <v>1</v>
      </c>
      <c r="Q1709">
        <v>7.2500000000000009</v>
      </c>
      <c r="R1709">
        <v>701.42200000000003</v>
      </c>
      <c r="S1709">
        <v>3.4216189632000002E-2</v>
      </c>
      <c r="T1709" s="4" t="s">
        <v>3756</v>
      </c>
    </row>
    <row r="1710" spans="1:20" x14ac:dyDescent="0.2">
      <c r="A1710" s="4" t="s">
        <v>3108</v>
      </c>
      <c r="B1710" s="4" t="s">
        <v>3753</v>
      </c>
      <c r="C1710" s="4" t="s">
        <v>2286</v>
      </c>
      <c r="D1710" s="4" t="s">
        <v>2236</v>
      </c>
      <c r="E1710" s="4" t="s">
        <v>3771</v>
      </c>
      <c r="F1710" s="4" t="s">
        <v>3755</v>
      </c>
      <c r="G1710" s="4" t="s">
        <v>3108</v>
      </c>
      <c r="H1710" s="4" t="s">
        <v>2183</v>
      </c>
      <c r="I1710" s="4" t="s">
        <v>2100</v>
      </c>
      <c r="J1710" s="4" t="s">
        <v>2894</v>
      </c>
      <c r="K1710">
        <v>3</v>
      </c>
      <c r="L1710">
        <v>0.91439999999999999</v>
      </c>
      <c r="M1710">
        <v>25.4</v>
      </c>
      <c r="N1710">
        <v>184.15</v>
      </c>
      <c r="O1710">
        <v>36</v>
      </c>
      <c r="P1710">
        <v>1</v>
      </c>
      <c r="Q1710">
        <v>7.2500000000000009</v>
      </c>
      <c r="R1710">
        <v>701.42200000000003</v>
      </c>
      <c r="S1710">
        <v>4.2770237039999994E-3</v>
      </c>
      <c r="T1710" s="4" t="s">
        <v>3772</v>
      </c>
    </row>
    <row r="1711" spans="1:20" x14ac:dyDescent="0.2">
      <c r="A1711" s="4" t="s">
        <v>3108</v>
      </c>
      <c r="B1711" s="4" t="s">
        <v>3753</v>
      </c>
      <c r="C1711" s="4" t="s">
        <v>2286</v>
      </c>
      <c r="D1711" s="4" t="s">
        <v>2236</v>
      </c>
      <c r="E1711" s="4" t="s">
        <v>3773</v>
      </c>
      <c r="F1711" s="4" t="s">
        <v>3755</v>
      </c>
      <c r="G1711" s="4" t="s">
        <v>3108</v>
      </c>
      <c r="H1711" s="4" t="s">
        <v>2183</v>
      </c>
      <c r="I1711" s="4" t="s">
        <v>2100</v>
      </c>
      <c r="J1711" s="4" t="s">
        <v>2894</v>
      </c>
      <c r="K1711">
        <v>4</v>
      </c>
      <c r="L1711">
        <v>1.2192000000000001</v>
      </c>
      <c r="M1711">
        <v>25.4</v>
      </c>
      <c r="N1711">
        <v>184.15</v>
      </c>
      <c r="O1711">
        <v>48.000000000000007</v>
      </c>
      <c r="P1711">
        <v>1</v>
      </c>
      <c r="Q1711">
        <v>7.2500000000000009</v>
      </c>
      <c r="R1711">
        <v>701.42200000000003</v>
      </c>
      <c r="S1711">
        <v>5.7026982719999997E-3</v>
      </c>
      <c r="T1711" s="4" t="s">
        <v>3772</v>
      </c>
    </row>
    <row r="1712" spans="1:20" x14ac:dyDescent="0.2">
      <c r="A1712" s="4" t="s">
        <v>3108</v>
      </c>
      <c r="B1712" s="4" t="s">
        <v>3753</v>
      </c>
      <c r="C1712" s="4" t="s">
        <v>2286</v>
      </c>
      <c r="D1712" s="4" t="s">
        <v>2236</v>
      </c>
      <c r="E1712" s="4" t="s">
        <v>3774</v>
      </c>
      <c r="F1712" s="4" t="s">
        <v>3755</v>
      </c>
      <c r="G1712" s="4" t="s">
        <v>3108</v>
      </c>
      <c r="H1712" s="4" t="s">
        <v>2183</v>
      </c>
      <c r="I1712" s="4" t="s">
        <v>2100</v>
      </c>
      <c r="J1712" s="4" t="s">
        <v>2894</v>
      </c>
      <c r="K1712">
        <v>5</v>
      </c>
      <c r="L1712">
        <v>1.524</v>
      </c>
      <c r="M1712">
        <v>25.4</v>
      </c>
      <c r="N1712">
        <v>184.15</v>
      </c>
      <c r="O1712">
        <v>60</v>
      </c>
      <c r="P1712">
        <v>1</v>
      </c>
      <c r="Q1712">
        <v>7.2500000000000009</v>
      </c>
      <c r="R1712">
        <v>701.42200000000003</v>
      </c>
      <c r="S1712">
        <v>7.128372840000001E-3</v>
      </c>
      <c r="T1712" s="4" t="s">
        <v>3772</v>
      </c>
    </row>
    <row r="1713" spans="1:20" x14ac:dyDescent="0.2">
      <c r="A1713" s="4" t="s">
        <v>3108</v>
      </c>
      <c r="B1713" s="4" t="s">
        <v>3753</v>
      </c>
      <c r="C1713" s="4" t="s">
        <v>2286</v>
      </c>
      <c r="D1713" s="4" t="s">
        <v>2236</v>
      </c>
      <c r="E1713" s="4" t="s">
        <v>3775</v>
      </c>
      <c r="F1713" s="4" t="s">
        <v>3755</v>
      </c>
      <c r="G1713" s="4" t="s">
        <v>3108</v>
      </c>
      <c r="H1713" s="4" t="s">
        <v>2183</v>
      </c>
      <c r="I1713" s="4" t="s">
        <v>2100</v>
      </c>
      <c r="J1713" s="4" t="s">
        <v>2894</v>
      </c>
      <c r="K1713">
        <v>6</v>
      </c>
      <c r="L1713">
        <v>1.8288</v>
      </c>
      <c r="M1713">
        <v>25.4</v>
      </c>
      <c r="N1713">
        <v>184.15</v>
      </c>
      <c r="O1713">
        <v>72</v>
      </c>
      <c r="P1713">
        <v>1</v>
      </c>
      <c r="Q1713">
        <v>7.2500000000000009</v>
      </c>
      <c r="R1713">
        <v>701.42200000000003</v>
      </c>
      <c r="S1713">
        <v>8.5540474079999988E-3</v>
      </c>
      <c r="T1713" s="4" t="s">
        <v>3772</v>
      </c>
    </row>
    <row r="1714" spans="1:20" x14ac:dyDescent="0.2">
      <c r="A1714" s="4" t="s">
        <v>3108</v>
      </c>
      <c r="B1714" s="4" t="s">
        <v>3753</v>
      </c>
      <c r="C1714" s="4" t="s">
        <v>2286</v>
      </c>
      <c r="D1714" s="4" t="s">
        <v>2236</v>
      </c>
      <c r="E1714" s="4" t="s">
        <v>3776</v>
      </c>
      <c r="F1714" s="4" t="s">
        <v>3755</v>
      </c>
      <c r="G1714" s="4" t="s">
        <v>3108</v>
      </c>
      <c r="H1714" s="4" t="s">
        <v>2183</v>
      </c>
      <c r="I1714" s="4" t="s">
        <v>2100</v>
      </c>
      <c r="J1714" s="4" t="s">
        <v>2894</v>
      </c>
      <c r="K1714">
        <v>7</v>
      </c>
      <c r="L1714">
        <v>2.1335999999999999</v>
      </c>
      <c r="M1714">
        <v>25.4</v>
      </c>
      <c r="N1714">
        <v>184.15</v>
      </c>
      <c r="O1714">
        <v>84</v>
      </c>
      <c r="P1714">
        <v>1</v>
      </c>
      <c r="Q1714">
        <v>7.2500000000000009</v>
      </c>
      <c r="R1714">
        <v>701.42200000000003</v>
      </c>
      <c r="S1714">
        <v>9.9797219759999983E-3</v>
      </c>
      <c r="T1714" s="4" t="s">
        <v>3772</v>
      </c>
    </row>
    <row r="1715" spans="1:20" x14ac:dyDescent="0.2">
      <c r="A1715" s="4" t="s">
        <v>3108</v>
      </c>
      <c r="B1715" s="4" t="s">
        <v>3753</v>
      </c>
      <c r="C1715" s="4" t="s">
        <v>2096</v>
      </c>
      <c r="D1715" s="4" t="s">
        <v>2236</v>
      </c>
      <c r="E1715" s="4" t="s">
        <v>3777</v>
      </c>
      <c r="F1715" s="4" t="s">
        <v>3755</v>
      </c>
      <c r="G1715" s="4" t="s">
        <v>3108</v>
      </c>
      <c r="H1715" s="4" t="s">
        <v>2183</v>
      </c>
      <c r="I1715" s="4" t="s">
        <v>2100</v>
      </c>
      <c r="J1715" s="4" t="s">
        <v>2894</v>
      </c>
      <c r="K1715">
        <v>8</v>
      </c>
      <c r="L1715">
        <v>2.4384000000000001</v>
      </c>
      <c r="M1715">
        <v>25.4</v>
      </c>
      <c r="N1715">
        <v>184.15</v>
      </c>
      <c r="O1715">
        <v>96.000000000000014</v>
      </c>
      <c r="P1715">
        <v>1</v>
      </c>
      <c r="Q1715">
        <v>7.2500000000000009</v>
      </c>
      <c r="R1715">
        <v>701.42200000000003</v>
      </c>
      <c r="S1715">
        <v>1.1405396543999999E-2</v>
      </c>
      <c r="T1715" s="4" t="s">
        <v>3756</v>
      </c>
    </row>
    <row r="1716" spans="1:20" x14ac:dyDescent="0.2">
      <c r="A1716" s="4" t="s">
        <v>3108</v>
      </c>
      <c r="B1716" s="4" t="s">
        <v>3753</v>
      </c>
      <c r="C1716" s="4" t="s">
        <v>2096</v>
      </c>
      <c r="D1716" s="4" t="s">
        <v>2236</v>
      </c>
      <c r="E1716" s="4" t="s">
        <v>3778</v>
      </c>
      <c r="F1716" s="4" t="s">
        <v>3755</v>
      </c>
      <c r="G1716" s="4" t="s">
        <v>3108</v>
      </c>
      <c r="H1716" s="4" t="s">
        <v>2183</v>
      </c>
      <c r="I1716" s="4" t="s">
        <v>2100</v>
      </c>
      <c r="J1716" s="4" t="s">
        <v>2894</v>
      </c>
      <c r="K1716">
        <v>9</v>
      </c>
      <c r="L1716">
        <v>2.7431999999999999</v>
      </c>
      <c r="M1716">
        <v>25.4</v>
      </c>
      <c r="N1716">
        <v>184.15</v>
      </c>
      <c r="O1716">
        <v>108</v>
      </c>
      <c r="P1716">
        <v>1</v>
      </c>
      <c r="Q1716">
        <v>7.2500000000000009</v>
      </c>
      <c r="R1716">
        <v>701.42200000000003</v>
      </c>
      <c r="S1716">
        <v>1.2831071112000001E-2</v>
      </c>
      <c r="T1716" s="4" t="s">
        <v>3756</v>
      </c>
    </row>
    <row r="1717" spans="1:20" x14ac:dyDescent="0.2">
      <c r="A1717" s="4" t="s">
        <v>3108</v>
      </c>
      <c r="B1717" s="4" t="s">
        <v>3779</v>
      </c>
      <c r="C1717" s="4" t="s">
        <v>2096</v>
      </c>
      <c r="D1717" s="4" t="s">
        <v>2236</v>
      </c>
      <c r="E1717" s="4" t="s">
        <v>3780</v>
      </c>
      <c r="F1717" s="4" t="s">
        <v>3781</v>
      </c>
      <c r="G1717" s="4" t="s">
        <v>3108</v>
      </c>
      <c r="H1717" s="4" t="s">
        <v>2183</v>
      </c>
      <c r="I1717" s="4" t="s">
        <v>2100</v>
      </c>
      <c r="J1717" s="4" t="s">
        <v>2919</v>
      </c>
      <c r="K1717">
        <v>10</v>
      </c>
      <c r="L1717">
        <v>3.048</v>
      </c>
      <c r="M1717">
        <v>139.69999999999999</v>
      </c>
      <c r="N1717">
        <v>285.75</v>
      </c>
      <c r="O1717">
        <v>120</v>
      </c>
      <c r="P1717">
        <v>5.5</v>
      </c>
      <c r="Q1717">
        <v>11.25</v>
      </c>
      <c r="R1717">
        <v>82.186999999999998</v>
      </c>
      <c r="S1717">
        <v>0.12167395019999998</v>
      </c>
      <c r="T1717" s="4" t="s">
        <v>3782</v>
      </c>
    </row>
    <row r="1718" spans="1:20" x14ac:dyDescent="0.2">
      <c r="A1718" s="4" t="s">
        <v>3108</v>
      </c>
      <c r="B1718" s="4" t="s">
        <v>3779</v>
      </c>
      <c r="C1718" s="4" t="s">
        <v>2096</v>
      </c>
      <c r="D1718" s="4" t="s">
        <v>2236</v>
      </c>
      <c r="E1718" s="4" t="s">
        <v>3783</v>
      </c>
      <c r="F1718" s="4" t="s">
        <v>3781</v>
      </c>
      <c r="G1718" s="4" t="s">
        <v>3108</v>
      </c>
      <c r="H1718" s="4" t="s">
        <v>2183</v>
      </c>
      <c r="I1718" s="4" t="s">
        <v>2100</v>
      </c>
      <c r="J1718" s="4" t="s">
        <v>2919</v>
      </c>
      <c r="K1718">
        <v>11</v>
      </c>
      <c r="L1718">
        <v>3.3527999999999998</v>
      </c>
      <c r="M1718">
        <v>139.69999999999999</v>
      </c>
      <c r="N1718">
        <v>285.75</v>
      </c>
      <c r="O1718">
        <v>132</v>
      </c>
      <c r="P1718">
        <v>5.5</v>
      </c>
      <c r="Q1718">
        <v>11.25</v>
      </c>
      <c r="R1718">
        <v>82.186999999999998</v>
      </c>
      <c r="S1718">
        <v>0.13384134521999996</v>
      </c>
      <c r="T1718" s="4" t="s">
        <v>3782</v>
      </c>
    </row>
    <row r="1719" spans="1:20" x14ac:dyDescent="0.2">
      <c r="A1719" s="4" t="s">
        <v>3108</v>
      </c>
      <c r="B1719" s="4" t="s">
        <v>3779</v>
      </c>
      <c r="C1719" s="4" t="s">
        <v>2096</v>
      </c>
      <c r="D1719" s="4" t="s">
        <v>2236</v>
      </c>
      <c r="E1719" s="4" t="s">
        <v>3784</v>
      </c>
      <c r="F1719" s="4" t="s">
        <v>3781</v>
      </c>
      <c r="G1719" s="4" t="s">
        <v>3108</v>
      </c>
      <c r="H1719" s="4" t="s">
        <v>2183</v>
      </c>
      <c r="I1719" s="4" t="s">
        <v>2100</v>
      </c>
      <c r="J1719" s="4" t="s">
        <v>2919</v>
      </c>
      <c r="K1719">
        <v>12</v>
      </c>
      <c r="L1719">
        <v>3.6576</v>
      </c>
      <c r="M1719">
        <v>139.69999999999999</v>
      </c>
      <c r="N1719">
        <v>285.75</v>
      </c>
      <c r="O1719">
        <v>144</v>
      </c>
      <c r="P1719">
        <v>5.5</v>
      </c>
      <c r="Q1719">
        <v>11.25</v>
      </c>
      <c r="R1719">
        <v>82.186999999999998</v>
      </c>
      <c r="S1719">
        <v>0.14600874024000002</v>
      </c>
      <c r="T1719" s="4" t="s">
        <v>3782</v>
      </c>
    </row>
    <row r="1720" spans="1:20" x14ac:dyDescent="0.2">
      <c r="A1720" s="4" t="s">
        <v>3108</v>
      </c>
      <c r="B1720" s="4" t="s">
        <v>3779</v>
      </c>
      <c r="C1720" s="4" t="s">
        <v>2096</v>
      </c>
      <c r="D1720" s="4" t="s">
        <v>2236</v>
      </c>
      <c r="E1720" s="4" t="s">
        <v>3785</v>
      </c>
      <c r="F1720" s="4" t="s">
        <v>3781</v>
      </c>
      <c r="G1720" s="4" t="s">
        <v>3108</v>
      </c>
      <c r="H1720" s="4" t="s">
        <v>2183</v>
      </c>
      <c r="I1720" s="4" t="s">
        <v>2100</v>
      </c>
      <c r="J1720" s="4" t="s">
        <v>2919</v>
      </c>
      <c r="K1720">
        <v>13</v>
      </c>
      <c r="L1720">
        <v>3.9624000000000001</v>
      </c>
      <c r="M1720">
        <v>139.69999999999999</v>
      </c>
      <c r="N1720">
        <v>285.75</v>
      </c>
      <c r="O1720">
        <v>156</v>
      </c>
      <c r="P1720">
        <v>5.5</v>
      </c>
      <c r="Q1720">
        <v>11.25</v>
      </c>
      <c r="R1720">
        <v>82.186999999999998</v>
      </c>
      <c r="S1720">
        <v>0.15817613525999999</v>
      </c>
      <c r="T1720" s="4" t="s">
        <v>3782</v>
      </c>
    </row>
    <row r="1721" spans="1:20" x14ac:dyDescent="0.2">
      <c r="A1721" s="4" t="s">
        <v>3108</v>
      </c>
      <c r="B1721" s="4" t="s">
        <v>3779</v>
      </c>
      <c r="C1721" s="4" t="s">
        <v>2096</v>
      </c>
      <c r="D1721" s="4" t="s">
        <v>2236</v>
      </c>
      <c r="E1721" s="4" t="s">
        <v>3786</v>
      </c>
      <c r="F1721" s="4" t="s">
        <v>3781</v>
      </c>
      <c r="G1721" s="4" t="s">
        <v>3108</v>
      </c>
      <c r="H1721" s="4" t="s">
        <v>2183</v>
      </c>
      <c r="I1721" s="4" t="s">
        <v>2100</v>
      </c>
      <c r="J1721" s="4" t="s">
        <v>2919</v>
      </c>
      <c r="K1721">
        <v>14</v>
      </c>
      <c r="L1721">
        <v>4.2671999999999999</v>
      </c>
      <c r="M1721">
        <v>139.69999999999999</v>
      </c>
      <c r="N1721">
        <v>285.75</v>
      </c>
      <c r="O1721">
        <v>168</v>
      </c>
      <c r="P1721">
        <v>5.5</v>
      </c>
      <c r="Q1721">
        <v>11.25</v>
      </c>
      <c r="R1721">
        <v>82.186999999999998</v>
      </c>
      <c r="S1721">
        <v>0.17034353027999996</v>
      </c>
      <c r="T1721" s="4" t="s">
        <v>3782</v>
      </c>
    </row>
    <row r="1722" spans="1:20" x14ac:dyDescent="0.2">
      <c r="A1722" s="4" t="s">
        <v>3108</v>
      </c>
      <c r="B1722" s="4" t="s">
        <v>3779</v>
      </c>
      <c r="C1722" s="4" t="s">
        <v>2096</v>
      </c>
      <c r="D1722" s="4" t="s">
        <v>2236</v>
      </c>
      <c r="E1722" s="4" t="s">
        <v>3787</v>
      </c>
      <c r="F1722" s="4" t="s">
        <v>3781</v>
      </c>
      <c r="G1722" s="4" t="s">
        <v>3108</v>
      </c>
      <c r="H1722" s="4" t="s">
        <v>2183</v>
      </c>
      <c r="I1722" s="4" t="s">
        <v>2100</v>
      </c>
      <c r="J1722" s="4" t="s">
        <v>2919</v>
      </c>
      <c r="K1722">
        <v>15</v>
      </c>
      <c r="L1722">
        <v>4.5720000000000001</v>
      </c>
      <c r="M1722">
        <v>139.69999999999999</v>
      </c>
      <c r="N1722">
        <v>285.75</v>
      </c>
      <c r="O1722">
        <v>180</v>
      </c>
      <c r="P1722">
        <v>5.5</v>
      </c>
      <c r="Q1722">
        <v>11.25</v>
      </c>
      <c r="R1722">
        <v>82.186999999999998</v>
      </c>
      <c r="S1722">
        <v>0.18251092529999999</v>
      </c>
      <c r="T1722" s="4" t="s">
        <v>3782</v>
      </c>
    </row>
    <row r="1723" spans="1:20" x14ac:dyDescent="0.2">
      <c r="A1723" s="4" t="s">
        <v>3108</v>
      </c>
      <c r="B1723" s="4" t="s">
        <v>3779</v>
      </c>
      <c r="C1723" s="4" t="s">
        <v>2096</v>
      </c>
      <c r="D1723" s="4" t="s">
        <v>2236</v>
      </c>
      <c r="E1723" s="4" t="s">
        <v>3788</v>
      </c>
      <c r="F1723" s="4" t="s">
        <v>3781</v>
      </c>
      <c r="G1723" s="4" t="s">
        <v>3108</v>
      </c>
      <c r="H1723" s="4" t="s">
        <v>2183</v>
      </c>
      <c r="I1723" s="4" t="s">
        <v>2100</v>
      </c>
      <c r="J1723" s="4" t="s">
        <v>2919</v>
      </c>
      <c r="K1723">
        <v>16</v>
      </c>
      <c r="L1723">
        <v>4.8768000000000002</v>
      </c>
      <c r="M1723">
        <v>139.69999999999999</v>
      </c>
      <c r="N1723">
        <v>285.75</v>
      </c>
      <c r="O1723">
        <v>192.00000000000003</v>
      </c>
      <c r="P1723">
        <v>5.5</v>
      </c>
      <c r="Q1723">
        <v>11.25</v>
      </c>
      <c r="R1723">
        <v>82.186999999999998</v>
      </c>
      <c r="S1723">
        <v>0.19467832031999999</v>
      </c>
      <c r="T1723" s="4" t="s">
        <v>3782</v>
      </c>
    </row>
    <row r="1724" spans="1:20" x14ac:dyDescent="0.2">
      <c r="A1724" s="4" t="s">
        <v>3108</v>
      </c>
      <c r="B1724" s="4" t="s">
        <v>3779</v>
      </c>
      <c r="C1724" s="4" t="s">
        <v>2096</v>
      </c>
      <c r="D1724" s="4" t="s">
        <v>2236</v>
      </c>
      <c r="E1724" s="4" t="s">
        <v>3789</v>
      </c>
      <c r="F1724" s="4" t="s">
        <v>3781</v>
      </c>
      <c r="G1724" s="4" t="s">
        <v>3108</v>
      </c>
      <c r="H1724" s="4" t="s">
        <v>2183</v>
      </c>
      <c r="I1724" s="4" t="s">
        <v>2100</v>
      </c>
      <c r="J1724" s="4" t="s">
        <v>2919</v>
      </c>
      <c r="K1724">
        <v>17</v>
      </c>
      <c r="L1724">
        <v>5.1816000000000004</v>
      </c>
      <c r="M1724">
        <v>139.69999999999999</v>
      </c>
      <c r="N1724">
        <v>285.75</v>
      </c>
      <c r="O1724">
        <v>204.00000000000003</v>
      </c>
      <c r="P1724">
        <v>5.5</v>
      </c>
      <c r="Q1724">
        <v>11.25</v>
      </c>
      <c r="R1724">
        <v>82.186999999999998</v>
      </c>
      <c r="S1724">
        <v>0.20684571533999996</v>
      </c>
      <c r="T1724" s="4" t="s">
        <v>3782</v>
      </c>
    </row>
    <row r="1725" spans="1:20" x14ac:dyDescent="0.2">
      <c r="A1725" s="4" t="s">
        <v>3108</v>
      </c>
      <c r="B1725" s="4" t="s">
        <v>3779</v>
      </c>
      <c r="C1725" s="4" t="s">
        <v>2096</v>
      </c>
      <c r="D1725" s="4" t="s">
        <v>2236</v>
      </c>
      <c r="E1725" s="4" t="s">
        <v>772</v>
      </c>
      <c r="F1725" s="4" t="s">
        <v>3781</v>
      </c>
      <c r="G1725" s="4" t="s">
        <v>3108</v>
      </c>
      <c r="H1725" s="4" t="s">
        <v>2183</v>
      </c>
      <c r="I1725" s="4" t="s">
        <v>2100</v>
      </c>
      <c r="J1725" s="4" t="s">
        <v>2919</v>
      </c>
      <c r="K1725">
        <v>18</v>
      </c>
      <c r="L1725">
        <v>5.4863999999999997</v>
      </c>
      <c r="M1725">
        <v>139.69999999999999</v>
      </c>
      <c r="N1725">
        <v>285.75</v>
      </c>
      <c r="O1725">
        <v>216</v>
      </c>
      <c r="P1725">
        <v>5.5</v>
      </c>
      <c r="Q1725">
        <v>11.25</v>
      </c>
      <c r="R1725">
        <v>82.186999999999998</v>
      </c>
      <c r="S1725">
        <v>0.21901311035999996</v>
      </c>
      <c r="T1725" s="4" t="s">
        <v>3782</v>
      </c>
    </row>
    <row r="1726" spans="1:20" x14ac:dyDescent="0.2">
      <c r="A1726" s="4" t="s">
        <v>3108</v>
      </c>
      <c r="B1726" s="4" t="s">
        <v>3779</v>
      </c>
      <c r="C1726" s="4" t="s">
        <v>2096</v>
      </c>
      <c r="D1726" s="4" t="s">
        <v>2236</v>
      </c>
      <c r="E1726" s="4" t="s">
        <v>3790</v>
      </c>
      <c r="F1726" s="4" t="s">
        <v>3781</v>
      </c>
      <c r="G1726" s="4" t="s">
        <v>3108</v>
      </c>
      <c r="H1726" s="4" t="s">
        <v>2183</v>
      </c>
      <c r="I1726" s="4" t="s">
        <v>2100</v>
      </c>
      <c r="J1726" s="4" t="s">
        <v>2919</v>
      </c>
      <c r="K1726">
        <v>19</v>
      </c>
      <c r="L1726">
        <v>5.7911999999999999</v>
      </c>
      <c r="M1726">
        <v>139.69999999999999</v>
      </c>
      <c r="N1726">
        <v>285.75</v>
      </c>
      <c r="O1726">
        <v>228</v>
      </c>
      <c r="P1726">
        <v>5.5</v>
      </c>
      <c r="Q1726">
        <v>11.25</v>
      </c>
      <c r="R1726">
        <v>82.186999999999998</v>
      </c>
      <c r="S1726">
        <v>0.23118050537999998</v>
      </c>
      <c r="T1726" s="4" t="s">
        <v>3782</v>
      </c>
    </row>
    <row r="1727" spans="1:20" x14ac:dyDescent="0.2">
      <c r="A1727" s="4" t="s">
        <v>3108</v>
      </c>
      <c r="B1727" s="4" t="s">
        <v>3779</v>
      </c>
      <c r="C1727" s="4" t="s">
        <v>2096</v>
      </c>
      <c r="D1727" s="4" t="s">
        <v>2236</v>
      </c>
      <c r="E1727" s="4" t="s">
        <v>774</v>
      </c>
      <c r="F1727" s="4" t="s">
        <v>3781</v>
      </c>
      <c r="G1727" s="4" t="s">
        <v>3108</v>
      </c>
      <c r="H1727" s="4" t="s">
        <v>2183</v>
      </c>
      <c r="I1727" s="4" t="s">
        <v>2100</v>
      </c>
      <c r="J1727" s="4" t="s">
        <v>2919</v>
      </c>
      <c r="K1727">
        <v>20</v>
      </c>
      <c r="L1727">
        <v>6.0960000000000001</v>
      </c>
      <c r="M1727">
        <v>139.69999999999999</v>
      </c>
      <c r="N1727">
        <v>285.75</v>
      </c>
      <c r="O1727">
        <v>240</v>
      </c>
      <c r="P1727">
        <v>5.5</v>
      </c>
      <c r="Q1727">
        <v>11.25</v>
      </c>
      <c r="R1727">
        <v>82.186999999999998</v>
      </c>
      <c r="S1727">
        <v>0.24334790039999996</v>
      </c>
      <c r="T1727" s="4" t="s">
        <v>3782</v>
      </c>
    </row>
    <row r="1728" spans="1:20" x14ac:dyDescent="0.2">
      <c r="A1728" s="4" t="s">
        <v>3108</v>
      </c>
      <c r="B1728" s="4" t="s">
        <v>3779</v>
      </c>
      <c r="C1728" s="4" t="s">
        <v>2096</v>
      </c>
      <c r="D1728" s="4" t="s">
        <v>2236</v>
      </c>
      <c r="E1728" s="4" t="s">
        <v>3791</v>
      </c>
      <c r="F1728" s="4" t="s">
        <v>3781</v>
      </c>
      <c r="G1728" s="4" t="s">
        <v>3108</v>
      </c>
      <c r="H1728" s="4" t="s">
        <v>2183</v>
      </c>
      <c r="I1728" s="4" t="s">
        <v>2100</v>
      </c>
      <c r="J1728" s="4" t="s">
        <v>2919</v>
      </c>
      <c r="K1728">
        <v>21</v>
      </c>
      <c r="L1728">
        <v>6.4008000000000003</v>
      </c>
      <c r="M1728">
        <v>139.69999999999999</v>
      </c>
      <c r="N1728">
        <v>285.75</v>
      </c>
      <c r="O1728">
        <v>252.00000000000003</v>
      </c>
      <c r="P1728">
        <v>5.5</v>
      </c>
      <c r="Q1728">
        <v>11.25</v>
      </c>
      <c r="R1728">
        <v>82.186999999999998</v>
      </c>
      <c r="S1728">
        <v>0.25551529541999995</v>
      </c>
      <c r="T1728" s="4" t="s">
        <v>3782</v>
      </c>
    </row>
    <row r="1729" spans="1:20" x14ac:dyDescent="0.2">
      <c r="A1729" s="4" t="s">
        <v>3108</v>
      </c>
      <c r="B1729" s="4" t="s">
        <v>3779</v>
      </c>
      <c r="C1729" s="4" t="s">
        <v>2096</v>
      </c>
      <c r="D1729" s="4" t="s">
        <v>2236</v>
      </c>
      <c r="E1729" s="4" t="s">
        <v>1949</v>
      </c>
      <c r="F1729" s="4" t="s">
        <v>3781</v>
      </c>
      <c r="G1729" s="4" t="s">
        <v>3108</v>
      </c>
      <c r="H1729" s="4" t="s">
        <v>2183</v>
      </c>
      <c r="I1729" s="4" t="s">
        <v>2100</v>
      </c>
      <c r="J1729" s="4" t="s">
        <v>2919</v>
      </c>
      <c r="K1729">
        <v>22</v>
      </c>
      <c r="L1729">
        <v>6.7055999999999996</v>
      </c>
      <c r="M1729">
        <v>139.69999999999999</v>
      </c>
      <c r="N1729">
        <v>285.75</v>
      </c>
      <c r="O1729">
        <v>264</v>
      </c>
      <c r="P1729">
        <v>5.5</v>
      </c>
      <c r="Q1729">
        <v>11.25</v>
      </c>
      <c r="R1729">
        <v>82.186999999999998</v>
      </c>
      <c r="S1729">
        <v>0.26768269043999993</v>
      </c>
      <c r="T1729" s="4" t="s">
        <v>3782</v>
      </c>
    </row>
    <row r="1730" spans="1:20" x14ac:dyDescent="0.2">
      <c r="A1730" s="4" t="s">
        <v>3108</v>
      </c>
      <c r="B1730" s="4" t="s">
        <v>3779</v>
      </c>
      <c r="C1730" s="4" t="s">
        <v>2286</v>
      </c>
      <c r="D1730" s="4" t="s">
        <v>2236</v>
      </c>
      <c r="E1730" s="4" t="s">
        <v>3792</v>
      </c>
      <c r="F1730" s="4" t="s">
        <v>3781</v>
      </c>
      <c r="G1730" s="4" t="s">
        <v>3108</v>
      </c>
      <c r="H1730" s="4" t="s">
        <v>2183</v>
      </c>
      <c r="I1730" s="4" t="s">
        <v>2100</v>
      </c>
      <c r="J1730" s="4" t="s">
        <v>2919</v>
      </c>
      <c r="K1730">
        <v>3</v>
      </c>
      <c r="L1730">
        <v>0.91439999999999999</v>
      </c>
      <c r="M1730">
        <v>139.69999999999999</v>
      </c>
      <c r="N1730">
        <v>285.75</v>
      </c>
      <c r="O1730">
        <v>36</v>
      </c>
      <c r="P1730">
        <v>5.5</v>
      </c>
      <c r="Q1730">
        <v>11.25</v>
      </c>
      <c r="R1730">
        <v>82.186999999999998</v>
      </c>
      <c r="S1730">
        <v>3.6502185060000004E-2</v>
      </c>
      <c r="T1730" s="4" t="s">
        <v>3793</v>
      </c>
    </row>
    <row r="1731" spans="1:20" x14ac:dyDescent="0.2">
      <c r="A1731" s="4" t="s">
        <v>3108</v>
      </c>
      <c r="B1731" s="4" t="s">
        <v>3779</v>
      </c>
      <c r="C1731" s="4" t="s">
        <v>2286</v>
      </c>
      <c r="D1731" s="4" t="s">
        <v>2236</v>
      </c>
      <c r="E1731" s="4" t="s">
        <v>3794</v>
      </c>
      <c r="F1731" s="4" t="s">
        <v>3781</v>
      </c>
      <c r="G1731" s="4" t="s">
        <v>3108</v>
      </c>
      <c r="H1731" s="4" t="s">
        <v>2183</v>
      </c>
      <c r="I1731" s="4" t="s">
        <v>2100</v>
      </c>
      <c r="J1731" s="4" t="s">
        <v>2919</v>
      </c>
      <c r="K1731">
        <v>4</v>
      </c>
      <c r="L1731">
        <v>1.2192000000000001</v>
      </c>
      <c r="M1731">
        <v>139.69999999999999</v>
      </c>
      <c r="N1731">
        <v>285.75</v>
      </c>
      <c r="O1731">
        <v>48.000000000000007</v>
      </c>
      <c r="P1731">
        <v>5.5</v>
      </c>
      <c r="Q1731">
        <v>11.25</v>
      </c>
      <c r="R1731">
        <v>82.186999999999998</v>
      </c>
      <c r="S1731">
        <v>4.8669580079999997E-2</v>
      </c>
      <c r="T1731" s="4" t="s">
        <v>3793</v>
      </c>
    </row>
    <row r="1732" spans="1:20" x14ac:dyDescent="0.2">
      <c r="A1732" s="4" t="s">
        <v>3108</v>
      </c>
      <c r="B1732" s="4" t="s">
        <v>3779</v>
      </c>
      <c r="C1732" s="4" t="s">
        <v>2286</v>
      </c>
      <c r="D1732" s="4" t="s">
        <v>2236</v>
      </c>
      <c r="E1732" s="4" t="s">
        <v>3795</v>
      </c>
      <c r="F1732" s="4" t="s">
        <v>3781</v>
      </c>
      <c r="G1732" s="4" t="s">
        <v>3108</v>
      </c>
      <c r="H1732" s="4" t="s">
        <v>2183</v>
      </c>
      <c r="I1732" s="4" t="s">
        <v>2100</v>
      </c>
      <c r="J1732" s="4" t="s">
        <v>2919</v>
      </c>
      <c r="K1732">
        <v>5</v>
      </c>
      <c r="L1732">
        <v>1.524</v>
      </c>
      <c r="M1732">
        <v>139.69999999999999</v>
      </c>
      <c r="N1732">
        <v>285.75</v>
      </c>
      <c r="O1732">
        <v>60</v>
      </c>
      <c r="P1732">
        <v>5.5</v>
      </c>
      <c r="Q1732">
        <v>11.25</v>
      </c>
      <c r="R1732">
        <v>82.186999999999998</v>
      </c>
      <c r="S1732">
        <v>6.0836975099999989E-2</v>
      </c>
      <c r="T1732" s="4" t="s">
        <v>3793</v>
      </c>
    </row>
    <row r="1733" spans="1:20" x14ac:dyDescent="0.2">
      <c r="A1733" s="4" t="s">
        <v>3108</v>
      </c>
      <c r="B1733" s="4" t="s">
        <v>3779</v>
      </c>
      <c r="C1733" s="4" t="s">
        <v>2286</v>
      </c>
      <c r="D1733" s="4" t="s">
        <v>2236</v>
      </c>
      <c r="E1733" s="4" t="s">
        <v>3796</v>
      </c>
      <c r="F1733" s="4" t="s">
        <v>3781</v>
      </c>
      <c r="G1733" s="4" t="s">
        <v>3108</v>
      </c>
      <c r="H1733" s="4" t="s">
        <v>2183</v>
      </c>
      <c r="I1733" s="4" t="s">
        <v>2100</v>
      </c>
      <c r="J1733" s="4" t="s">
        <v>2919</v>
      </c>
      <c r="K1733">
        <v>6</v>
      </c>
      <c r="L1733">
        <v>1.8288</v>
      </c>
      <c r="M1733">
        <v>139.69999999999999</v>
      </c>
      <c r="N1733">
        <v>285.75</v>
      </c>
      <c r="O1733">
        <v>72</v>
      </c>
      <c r="P1733">
        <v>5.5</v>
      </c>
      <c r="Q1733">
        <v>11.25</v>
      </c>
      <c r="R1733">
        <v>82.186999999999998</v>
      </c>
      <c r="S1733">
        <v>7.3004370120000009E-2</v>
      </c>
      <c r="T1733" s="4" t="s">
        <v>3793</v>
      </c>
    </row>
    <row r="1734" spans="1:20" x14ac:dyDescent="0.2">
      <c r="A1734" s="4" t="s">
        <v>3108</v>
      </c>
      <c r="B1734" s="4" t="s">
        <v>3779</v>
      </c>
      <c r="C1734" s="4" t="s">
        <v>2286</v>
      </c>
      <c r="D1734" s="4" t="s">
        <v>2236</v>
      </c>
      <c r="E1734" s="4" t="s">
        <v>3797</v>
      </c>
      <c r="F1734" s="4" t="s">
        <v>3781</v>
      </c>
      <c r="G1734" s="4" t="s">
        <v>3108</v>
      </c>
      <c r="H1734" s="4" t="s">
        <v>2183</v>
      </c>
      <c r="I1734" s="4" t="s">
        <v>2100</v>
      </c>
      <c r="J1734" s="4" t="s">
        <v>2919</v>
      </c>
      <c r="K1734">
        <v>7</v>
      </c>
      <c r="L1734">
        <v>2.1335999999999999</v>
      </c>
      <c r="M1734">
        <v>139.69999999999999</v>
      </c>
      <c r="N1734">
        <v>285.75</v>
      </c>
      <c r="O1734">
        <v>84</v>
      </c>
      <c r="P1734">
        <v>5.5</v>
      </c>
      <c r="Q1734">
        <v>11.25</v>
      </c>
      <c r="R1734">
        <v>82.186999999999998</v>
      </c>
      <c r="S1734">
        <v>8.517176513999998E-2</v>
      </c>
      <c r="T1734" s="4" t="s">
        <v>3793</v>
      </c>
    </row>
    <row r="1735" spans="1:20" x14ac:dyDescent="0.2">
      <c r="A1735" s="4" t="s">
        <v>3108</v>
      </c>
      <c r="B1735" s="4" t="s">
        <v>3779</v>
      </c>
      <c r="C1735" s="4" t="s">
        <v>2096</v>
      </c>
      <c r="D1735" s="4" t="s">
        <v>2236</v>
      </c>
      <c r="E1735" s="4" t="s">
        <v>3798</v>
      </c>
      <c r="F1735" s="4" t="s">
        <v>3781</v>
      </c>
      <c r="G1735" s="4" t="s">
        <v>3108</v>
      </c>
      <c r="H1735" s="4" t="s">
        <v>2183</v>
      </c>
      <c r="I1735" s="4" t="s">
        <v>2100</v>
      </c>
      <c r="J1735" s="4" t="s">
        <v>2919</v>
      </c>
      <c r="K1735">
        <v>8</v>
      </c>
      <c r="L1735">
        <v>2.4384000000000001</v>
      </c>
      <c r="M1735">
        <v>139.69999999999999</v>
      </c>
      <c r="N1735">
        <v>285.75</v>
      </c>
      <c r="O1735">
        <v>96.000000000000014</v>
      </c>
      <c r="P1735">
        <v>5.5</v>
      </c>
      <c r="Q1735">
        <v>11.25</v>
      </c>
      <c r="R1735">
        <v>82.186999999999998</v>
      </c>
      <c r="S1735">
        <v>9.7339160159999993E-2</v>
      </c>
      <c r="T1735" s="4" t="s">
        <v>3782</v>
      </c>
    </row>
    <row r="1736" spans="1:20" x14ac:dyDescent="0.2">
      <c r="A1736" s="4" t="s">
        <v>3108</v>
      </c>
      <c r="B1736" s="4" t="s">
        <v>3779</v>
      </c>
      <c r="C1736" s="4" t="s">
        <v>2096</v>
      </c>
      <c r="D1736" s="4" t="s">
        <v>2236</v>
      </c>
      <c r="E1736" s="4" t="s">
        <v>3799</v>
      </c>
      <c r="F1736" s="4" t="s">
        <v>3781</v>
      </c>
      <c r="G1736" s="4" t="s">
        <v>3108</v>
      </c>
      <c r="H1736" s="4" t="s">
        <v>2183</v>
      </c>
      <c r="I1736" s="4" t="s">
        <v>2100</v>
      </c>
      <c r="J1736" s="4" t="s">
        <v>2919</v>
      </c>
      <c r="K1736">
        <v>9</v>
      </c>
      <c r="L1736">
        <v>2.7431999999999999</v>
      </c>
      <c r="M1736">
        <v>139.69999999999999</v>
      </c>
      <c r="N1736">
        <v>285.75</v>
      </c>
      <c r="O1736">
        <v>108</v>
      </c>
      <c r="P1736">
        <v>5.5</v>
      </c>
      <c r="Q1736">
        <v>11.25</v>
      </c>
      <c r="R1736">
        <v>82.186999999999998</v>
      </c>
      <c r="S1736">
        <v>0.10950655517999998</v>
      </c>
      <c r="T1736" s="4" t="s">
        <v>3782</v>
      </c>
    </row>
    <row r="1737" spans="1:20" x14ac:dyDescent="0.2">
      <c r="A1737" s="4" t="s">
        <v>3108</v>
      </c>
      <c r="B1737" s="4" t="s">
        <v>3800</v>
      </c>
      <c r="C1737" s="4" t="s">
        <v>2096</v>
      </c>
      <c r="D1737" s="4" t="s">
        <v>2236</v>
      </c>
      <c r="E1737" s="4" t="s">
        <v>776</v>
      </c>
      <c r="F1737" s="4" t="s">
        <v>3801</v>
      </c>
      <c r="G1737" s="4" t="s">
        <v>3108</v>
      </c>
      <c r="H1737" s="4" t="s">
        <v>2183</v>
      </c>
      <c r="I1737" s="4" t="s">
        <v>2100</v>
      </c>
      <c r="J1737" s="4" t="s">
        <v>2944</v>
      </c>
      <c r="K1737">
        <v>10</v>
      </c>
      <c r="L1737">
        <v>3.048</v>
      </c>
      <c r="M1737">
        <v>139.69999999999999</v>
      </c>
      <c r="N1737">
        <v>139.69999999999999</v>
      </c>
      <c r="O1737">
        <v>120</v>
      </c>
      <c r="P1737">
        <v>5.5</v>
      </c>
      <c r="Q1737">
        <v>5.5</v>
      </c>
      <c r="R1737">
        <v>168.10900000000001</v>
      </c>
      <c r="S1737">
        <v>5.9485042319999994E-2</v>
      </c>
      <c r="T1737" s="4" t="s">
        <v>3802</v>
      </c>
    </row>
    <row r="1738" spans="1:20" x14ac:dyDescent="0.2">
      <c r="A1738" s="4" t="s">
        <v>3108</v>
      </c>
      <c r="B1738" s="4" t="s">
        <v>3800</v>
      </c>
      <c r="C1738" s="4" t="s">
        <v>2096</v>
      </c>
      <c r="D1738" s="4" t="s">
        <v>2236</v>
      </c>
      <c r="E1738" s="4" t="s">
        <v>3803</v>
      </c>
      <c r="F1738" s="4" t="s">
        <v>3801</v>
      </c>
      <c r="G1738" s="4" t="s">
        <v>3108</v>
      </c>
      <c r="H1738" s="4" t="s">
        <v>2183</v>
      </c>
      <c r="I1738" s="4" t="s">
        <v>2100</v>
      </c>
      <c r="J1738" s="4" t="s">
        <v>2944</v>
      </c>
      <c r="K1738">
        <v>11</v>
      </c>
      <c r="L1738">
        <v>3.3527999999999998</v>
      </c>
      <c r="M1738">
        <v>139.69999999999999</v>
      </c>
      <c r="N1738">
        <v>139.69999999999999</v>
      </c>
      <c r="O1738">
        <v>132</v>
      </c>
      <c r="P1738">
        <v>5.5</v>
      </c>
      <c r="Q1738">
        <v>5.5</v>
      </c>
      <c r="R1738">
        <v>168.10900000000001</v>
      </c>
      <c r="S1738">
        <v>6.5433546551999983E-2</v>
      </c>
      <c r="T1738" s="4" t="s">
        <v>3802</v>
      </c>
    </row>
    <row r="1739" spans="1:20" x14ac:dyDescent="0.2">
      <c r="A1739" s="4" t="s">
        <v>3108</v>
      </c>
      <c r="B1739" s="4" t="s">
        <v>3800</v>
      </c>
      <c r="C1739" s="4" t="s">
        <v>2096</v>
      </c>
      <c r="D1739" s="4" t="s">
        <v>2236</v>
      </c>
      <c r="E1739" s="4" t="s">
        <v>778</v>
      </c>
      <c r="F1739" s="4" t="s">
        <v>3801</v>
      </c>
      <c r="G1739" s="4" t="s">
        <v>3108</v>
      </c>
      <c r="H1739" s="4" t="s">
        <v>2183</v>
      </c>
      <c r="I1739" s="4" t="s">
        <v>2100</v>
      </c>
      <c r="J1739" s="4" t="s">
        <v>2944</v>
      </c>
      <c r="K1739">
        <v>12</v>
      </c>
      <c r="L1739">
        <v>3.6576</v>
      </c>
      <c r="M1739">
        <v>139.69999999999999</v>
      </c>
      <c r="N1739">
        <v>139.69999999999999</v>
      </c>
      <c r="O1739">
        <v>144</v>
      </c>
      <c r="P1739">
        <v>5.5</v>
      </c>
      <c r="Q1739">
        <v>5.5</v>
      </c>
      <c r="R1739">
        <v>168.10900000000001</v>
      </c>
      <c r="S1739">
        <v>7.1382050783999992E-2</v>
      </c>
      <c r="T1739" s="4" t="s">
        <v>3802</v>
      </c>
    </row>
    <row r="1740" spans="1:20" x14ac:dyDescent="0.2">
      <c r="A1740" s="4" t="s">
        <v>3108</v>
      </c>
      <c r="B1740" s="4" t="s">
        <v>3800</v>
      </c>
      <c r="C1740" s="4" t="s">
        <v>2096</v>
      </c>
      <c r="D1740" s="4" t="s">
        <v>2236</v>
      </c>
      <c r="E1740" s="4" t="s">
        <v>3804</v>
      </c>
      <c r="F1740" s="4" t="s">
        <v>3801</v>
      </c>
      <c r="G1740" s="4" t="s">
        <v>3108</v>
      </c>
      <c r="H1740" s="4" t="s">
        <v>2183</v>
      </c>
      <c r="I1740" s="4" t="s">
        <v>2100</v>
      </c>
      <c r="J1740" s="4" t="s">
        <v>2944</v>
      </c>
      <c r="K1740">
        <v>13</v>
      </c>
      <c r="L1740">
        <v>3.9624000000000001</v>
      </c>
      <c r="M1740">
        <v>139.69999999999999</v>
      </c>
      <c r="N1740">
        <v>139.69999999999999</v>
      </c>
      <c r="O1740">
        <v>156</v>
      </c>
      <c r="P1740">
        <v>5.5</v>
      </c>
      <c r="Q1740">
        <v>5.5</v>
      </c>
      <c r="R1740">
        <v>168.10900000000001</v>
      </c>
      <c r="S1740">
        <v>7.7330555015999988E-2</v>
      </c>
      <c r="T1740" s="4" t="s">
        <v>3802</v>
      </c>
    </row>
    <row r="1741" spans="1:20" x14ac:dyDescent="0.2">
      <c r="A1741" s="4" t="s">
        <v>3108</v>
      </c>
      <c r="B1741" s="4" t="s">
        <v>3800</v>
      </c>
      <c r="C1741" s="4" t="s">
        <v>2096</v>
      </c>
      <c r="D1741" s="4" t="s">
        <v>2236</v>
      </c>
      <c r="E1741" s="4" t="s">
        <v>780</v>
      </c>
      <c r="F1741" s="4" t="s">
        <v>3801</v>
      </c>
      <c r="G1741" s="4" t="s">
        <v>3108</v>
      </c>
      <c r="H1741" s="4" t="s">
        <v>2183</v>
      </c>
      <c r="I1741" s="4" t="s">
        <v>2100</v>
      </c>
      <c r="J1741" s="4" t="s">
        <v>2944</v>
      </c>
      <c r="K1741">
        <v>14</v>
      </c>
      <c r="L1741">
        <v>4.2671999999999999</v>
      </c>
      <c r="M1741">
        <v>139.69999999999999</v>
      </c>
      <c r="N1741">
        <v>139.69999999999999</v>
      </c>
      <c r="O1741">
        <v>168</v>
      </c>
      <c r="P1741">
        <v>5.5</v>
      </c>
      <c r="Q1741">
        <v>5.5</v>
      </c>
      <c r="R1741">
        <v>168.10900000000001</v>
      </c>
      <c r="S1741">
        <v>8.327905924799997E-2</v>
      </c>
      <c r="T1741" s="4" t="s">
        <v>3802</v>
      </c>
    </row>
    <row r="1742" spans="1:20" x14ac:dyDescent="0.2">
      <c r="A1742" s="4" t="s">
        <v>3108</v>
      </c>
      <c r="B1742" s="4" t="s">
        <v>3800</v>
      </c>
      <c r="C1742" s="4" t="s">
        <v>2096</v>
      </c>
      <c r="D1742" s="4" t="s">
        <v>2236</v>
      </c>
      <c r="E1742" s="4" t="s">
        <v>3805</v>
      </c>
      <c r="F1742" s="4" t="s">
        <v>3801</v>
      </c>
      <c r="G1742" s="4" t="s">
        <v>3108</v>
      </c>
      <c r="H1742" s="4" t="s">
        <v>2183</v>
      </c>
      <c r="I1742" s="4" t="s">
        <v>2100</v>
      </c>
      <c r="J1742" s="4" t="s">
        <v>2944</v>
      </c>
      <c r="K1742">
        <v>15</v>
      </c>
      <c r="L1742">
        <v>4.5720000000000001</v>
      </c>
      <c r="M1742">
        <v>139.69999999999999</v>
      </c>
      <c r="N1742">
        <v>139.69999999999999</v>
      </c>
      <c r="O1742">
        <v>180</v>
      </c>
      <c r="P1742">
        <v>5.5</v>
      </c>
      <c r="Q1742">
        <v>5.5</v>
      </c>
      <c r="R1742">
        <v>168.10900000000001</v>
      </c>
      <c r="S1742">
        <v>8.922756347999998E-2</v>
      </c>
      <c r="T1742" s="4" t="s">
        <v>3802</v>
      </c>
    </row>
    <row r="1743" spans="1:20" x14ac:dyDescent="0.2">
      <c r="A1743" s="4" t="s">
        <v>3108</v>
      </c>
      <c r="B1743" s="4" t="s">
        <v>3800</v>
      </c>
      <c r="C1743" s="4" t="s">
        <v>2096</v>
      </c>
      <c r="D1743" s="4" t="s">
        <v>2236</v>
      </c>
      <c r="E1743" s="4" t="s">
        <v>782</v>
      </c>
      <c r="F1743" s="4" t="s">
        <v>3801</v>
      </c>
      <c r="G1743" s="4" t="s">
        <v>3108</v>
      </c>
      <c r="H1743" s="4" t="s">
        <v>2183</v>
      </c>
      <c r="I1743" s="4" t="s">
        <v>2100</v>
      </c>
      <c r="J1743" s="4" t="s">
        <v>2944</v>
      </c>
      <c r="K1743">
        <v>16</v>
      </c>
      <c r="L1743">
        <v>4.8768000000000002</v>
      </c>
      <c r="M1743">
        <v>139.69999999999999</v>
      </c>
      <c r="N1743">
        <v>139.69999999999999</v>
      </c>
      <c r="O1743">
        <v>192.00000000000003</v>
      </c>
      <c r="P1743">
        <v>5.5</v>
      </c>
      <c r="Q1743">
        <v>5.5</v>
      </c>
      <c r="R1743">
        <v>168.10900000000001</v>
      </c>
      <c r="S1743">
        <v>9.517606771199999E-2</v>
      </c>
      <c r="T1743" s="4" t="s">
        <v>3802</v>
      </c>
    </row>
    <row r="1744" spans="1:20" x14ac:dyDescent="0.2">
      <c r="A1744" s="4" t="s">
        <v>3108</v>
      </c>
      <c r="B1744" s="4" t="s">
        <v>3800</v>
      </c>
      <c r="C1744" s="4" t="s">
        <v>2096</v>
      </c>
      <c r="D1744" s="4" t="s">
        <v>2236</v>
      </c>
      <c r="E1744" s="4" t="s">
        <v>3806</v>
      </c>
      <c r="F1744" s="4" t="s">
        <v>3801</v>
      </c>
      <c r="G1744" s="4" t="s">
        <v>3108</v>
      </c>
      <c r="H1744" s="4" t="s">
        <v>2183</v>
      </c>
      <c r="I1744" s="4" t="s">
        <v>2100</v>
      </c>
      <c r="J1744" s="4" t="s">
        <v>2944</v>
      </c>
      <c r="K1744">
        <v>17</v>
      </c>
      <c r="L1744">
        <v>5.1816000000000004</v>
      </c>
      <c r="M1744">
        <v>139.69999999999999</v>
      </c>
      <c r="N1744">
        <v>139.69999999999999</v>
      </c>
      <c r="O1744">
        <v>204.00000000000003</v>
      </c>
      <c r="P1744">
        <v>5.5</v>
      </c>
      <c r="Q1744">
        <v>5.5</v>
      </c>
      <c r="R1744">
        <v>168.10900000000001</v>
      </c>
      <c r="S1744">
        <v>0.10112457194399999</v>
      </c>
      <c r="T1744" s="4" t="s">
        <v>3802</v>
      </c>
    </row>
    <row r="1745" spans="1:20" x14ac:dyDescent="0.2">
      <c r="A1745" s="4" t="s">
        <v>3108</v>
      </c>
      <c r="B1745" s="4" t="s">
        <v>3800</v>
      </c>
      <c r="C1745" s="4" t="s">
        <v>2096</v>
      </c>
      <c r="D1745" s="4" t="s">
        <v>2236</v>
      </c>
      <c r="E1745" s="4" t="s">
        <v>784</v>
      </c>
      <c r="F1745" s="4" t="s">
        <v>3801</v>
      </c>
      <c r="G1745" s="4" t="s">
        <v>3108</v>
      </c>
      <c r="H1745" s="4" t="s">
        <v>2183</v>
      </c>
      <c r="I1745" s="4" t="s">
        <v>2100</v>
      </c>
      <c r="J1745" s="4" t="s">
        <v>2944</v>
      </c>
      <c r="K1745">
        <v>18</v>
      </c>
      <c r="L1745">
        <v>5.4863999999999997</v>
      </c>
      <c r="M1745">
        <v>139.69999999999999</v>
      </c>
      <c r="N1745">
        <v>139.69999999999999</v>
      </c>
      <c r="O1745">
        <v>216</v>
      </c>
      <c r="P1745">
        <v>5.5</v>
      </c>
      <c r="Q1745">
        <v>5.5</v>
      </c>
      <c r="R1745">
        <v>168.10900000000001</v>
      </c>
      <c r="S1745">
        <v>0.10707307617599995</v>
      </c>
      <c r="T1745" s="4" t="s">
        <v>3802</v>
      </c>
    </row>
    <row r="1746" spans="1:20" x14ac:dyDescent="0.2">
      <c r="A1746" s="4" t="s">
        <v>3108</v>
      </c>
      <c r="B1746" s="4" t="s">
        <v>3800</v>
      </c>
      <c r="C1746" s="4" t="s">
        <v>2096</v>
      </c>
      <c r="D1746" s="4" t="s">
        <v>2236</v>
      </c>
      <c r="E1746" s="4" t="s">
        <v>3807</v>
      </c>
      <c r="F1746" s="4" t="s">
        <v>3801</v>
      </c>
      <c r="G1746" s="4" t="s">
        <v>3108</v>
      </c>
      <c r="H1746" s="4" t="s">
        <v>2183</v>
      </c>
      <c r="I1746" s="4" t="s">
        <v>2100</v>
      </c>
      <c r="J1746" s="4" t="s">
        <v>2944</v>
      </c>
      <c r="K1746">
        <v>19</v>
      </c>
      <c r="L1746">
        <v>5.7911999999999999</v>
      </c>
      <c r="M1746">
        <v>139.69999999999999</v>
      </c>
      <c r="N1746">
        <v>139.69999999999999</v>
      </c>
      <c r="O1746">
        <v>228</v>
      </c>
      <c r="P1746">
        <v>5.5</v>
      </c>
      <c r="Q1746">
        <v>5.5</v>
      </c>
      <c r="R1746">
        <v>168.10900000000001</v>
      </c>
      <c r="S1746">
        <v>0.11302158040799998</v>
      </c>
      <c r="T1746" s="4" t="s">
        <v>3802</v>
      </c>
    </row>
    <row r="1747" spans="1:20" x14ac:dyDescent="0.2">
      <c r="A1747" s="4" t="s">
        <v>3108</v>
      </c>
      <c r="B1747" s="4" t="s">
        <v>3800</v>
      </c>
      <c r="C1747" s="4" t="s">
        <v>2096</v>
      </c>
      <c r="D1747" s="4" t="s">
        <v>2236</v>
      </c>
      <c r="E1747" s="4" t="s">
        <v>786</v>
      </c>
      <c r="F1747" s="4" t="s">
        <v>3801</v>
      </c>
      <c r="G1747" s="4" t="s">
        <v>3108</v>
      </c>
      <c r="H1747" s="4" t="s">
        <v>2183</v>
      </c>
      <c r="I1747" s="4" t="s">
        <v>2100</v>
      </c>
      <c r="J1747" s="4" t="s">
        <v>2944</v>
      </c>
      <c r="K1747">
        <v>20</v>
      </c>
      <c r="L1747">
        <v>6.0960000000000001</v>
      </c>
      <c r="M1747">
        <v>139.69999999999999</v>
      </c>
      <c r="N1747">
        <v>139.69999999999999</v>
      </c>
      <c r="O1747">
        <v>240</v>
      </c>
      <c r="P1747">
        <v>5.5</v>
      </c>
      <c r="Q1747">
        <v>5.5</v>
      </c>
      <c r="R1747">
        <v>168.10900000000001</v>
      </c>
      <c r="S1747">
        <v>0.11897008463999999</v>
      </c>
      <c r="T1747" s="4" t="s">
        <v>3802</v>
      </c>
    </row>
    <row r="1748" spans="1:20" x14ac:dyDescent="0.2">
      <c r="A1748" s="4" t="s">
        <v>3108</v>
      </c>
      <c r="B1748" s="4" t="s">
        <v>3800</v>
      </c>
      <c r="C1748" s="4" t="s">
        <v>2096</v>
      </c>
      <c r="D1748" s="4" t="s">
        <v>2236</v>
      </c>
      <c r="E1748" s="4" t="s">
        <v>3808</v>
      </c>
      <c r="F1748" s="4" t="s">
        <v>3801</v>
      </c>
      <c r="G1748" s="4" t="s">
        <v>3108</v>
      </c>
      <c r="H1748" s="4" t="s">
        <v>2183</v>
      </c>
      <c r="I1748" s="4" t="s">
        <v>2100</v>
      </c>
      <c r="J1748" s="4" t="s">
        <v>2944</v>
      </c>
      <c r="K1748">
        <v>21</v>
      </c>
      <c r="L1748">
        <v>6.4008000000000003</v>
      </c>
      <c r="M1748">
        <v>139.69999999999999</v>
      </c>
      <c r="N1748">
        <v>139.69999999999999</v>
      </c>
      <c r="O1748">
        <v>252.00000000000003</v>
      </c>
      <c r="P1748">
        <v>5.5</v>
      </c>
      <c r="Q1748">
        <v>5.5</v>
      </c>
      <c r="R1748">
        <v>168.10900000000001</v>
      </c>
      <c r="S1748">
        <v>0.12491858887199997</v>
      </c>
      <c r="T1748" s="4" t="s">
        <v>3802</v>
      </c>
    </row>
    <row r="1749" spans="1:20" x14ac:dyDescent="0.2">
      <c r="A1749" s="4" t="s">
        <v>3108</v>
      </c>
      <c r="B1749" s="4" t="s">
        <v>3800</v>
      </c>
      <c r="C1749" s="4" t="s">
        <v>2096</v>
      </c>
      <c r="D1749" s="4" t="s">
        <v>2236</v>
      </c>
      <c r="E1749" s="4" t="s">
        <v>788</v>
      </c>
      <c r="F1749" s="4" t="s">
        <v>3801</v>
      </c>
      <c r="G1749" s="4" t="s">
        <v>3108</v>
      </c>
      <c r="H1749" s="4" t="s">
        <v>2183</v>
      </c>
      <c r="I1749" s="4" t="s">
        <v>2100</v>
      </c>
      <c r="J1749" s="4" t="s">
        <v>2944</v>
      </c>
      <c r="K1749">
        <v>22</v>
      </c>
      <c r="L1749">
        <v>6.7055999999999996</v>
      </c>
      <c r="M1749">
        <v>139.69999999999999</v>
      </c>
      <c r="N1749">
        <v>139.69999999999999</v>
      </c>
      <c r="O1749">
        <v>264</v>
      </c>
      <c r="P1749">
        <v>5.5</v>
      </c>
      <c r="Q1749">
        <v>5.5</v>
      </c>
      <c r="R1749">
        <v>168.10900000000001</v>
      </c>
      <c r="S1749">
        <v>0.13086709310399997</v>
      </c>
      <c r="T1749" s="4" t="s">
        <v>3802</v>
      </c>
    </row>
    <row r="1750" spans="1:20" x14ac:dyDescent="0.2">
      <c r="A1750" s="4" t="s">
        <v>3108</v>
      </c>
      <c r="B1750" s="4" t="s">
        <v>3800</v>
      </c>
      <c r="C1750" s="4" t="s">
        <v>2286</v>
      </c>
      <c r="D1750" s="4" t="s">
        <v>2236</v>
      </c>
      <c r="E1750" s="4" t="s">
        <v>3809</v>
      </c>
      <c r="F1750" s="4" t="s">
        <v>3801</v>
      </c>
      <c r="G1750" s="4" t="s">
        <v>3108</v>
      </c>
      <c r="H1750" s="4" t="s">
        <v>2183</v>
      </c>
      <c r="I1750" s="4" t="s">
        <v>2100</v>
      </c>
      <c r="J1750" s="4" t="s">
        <v>2944</v>
      </c>
      <c r="K1750">
        <v>3</v>
      </c>
      <c r="L1750">
        <v>0.91439999999999999</v>
      </c>
      <c r="M1750">
        <v>139.69999999999999</v>
      </c>
      <c r="N1750">
        <v>139.69999999999999</v>
      </c>
      <c r="O1750">
        <v>36</v>
      </c>
      <c r="P1750">
        <v>5.5</v>
      </c>
      <c r="Q1750">
        <v>5.5</v>
      </c>
      <c r="R1750">
        <v>168.10900000000001</v>
      </c>
      <c r="S1750">
        <v>1.7845512695999998E-2</v>
      </c>
      <c r="T1750" s="4" t="s">
        <v>3810</v>
      </c>
    </row>
    <row r="1751" spans="1:20" x14ac:dyDescent="0.2">
      <c r="A1751" s="4" t="s">
        <v>3108</v>
      </c>
      <c r="B1751" s="4" t="s">
        <v>3800</v>
      </c>
      <c r="C1751" s="4" t="s">
        <v>2286</v>
      </c>
      <c r="D1751" s="4" t="s">
        <v>2236</v>
      </c>
      <c r="E1751" s="4" t="s">
        <v>3811</v>
      </c>
      <c r="F1751" s="4" t="s">
        <v>3801</v>
      </c>
      <c r="G1751" s="4" t="s">
        <v>3108</v>
      </c>
      <c r="H1751" s="4" t="s">
        <v>2183</v>
      </c>
      <c r="I1751" s="4" t="s">
        <v>2100</v>
      </c>
      <c r="J1751" s="4" t="s">
        <v>2944</v>
      </c>
      <c r="K1751">
        <v>4</v>
      </c>
      <c r="L1751">
        <v>1.2192000000000001</v>
      </c>
      <c r="M1751">
        <v>139.69999999999999</v>
      </c>
      <c r="N1751">
        <v>139.69999999999999</v>
      </c>
      <c r="O1751">
        <v>48.000000000000007</v>
      </c>
      <c r="P1751">
        <v>5.5</v>
      </c>
      <c r="Q1751">
        <v>5.5</v>
      </c>
      <c r="R1751">
        <v>168.10900000000001</v>
      </c>
      <c r="S1751">
        <v>2.3794016927999997E-2</v>
      </c>
      <c r="T1751" s="4" t="s">
        <v>3810</v>
      </c>
    </row>
    <row r="1752" spans="1:20" x14ac:dyDescent="0.2">
      <c r="A1752" s="4" t="s">
        <v>3108</v>
      </c>
      <c r="B1752" s="4" t="s">
        <v>3800</v>
      </c>
      <c r="C1752" s="4" t="s">
        <v>2286</v>
      </c>
      <c r="D1752" s="4" t="s">
        <v>2236</v>
      </c>
      <c r="E1752" s="4" t="s">
        <v>3812</v>
      </c>
      <c r="F1752" s="4" t="s">
        <v>3801</v>
      </c>
      <c r="G1752" s="4" t="s">
        <v>3108</v>
      </c>
      <c r="H1752" s="4" t="s">
        <v>2183</v>
      </c>
      <c r="I1752" s="4" t="s">
        <v>2100</v>
      </c>
      <c r="J1752" s="4" t="s">
        <v>2944</v>
      </c>
      <c r="K1752">
        <v>5</v>
      </c>
      <c r="L1752">
        <v>1.524</v>
      </c>
      <c r="M1752">
        <v>139.69999999999999</v>
      </c>
      <c r="N1752">
        <v>139.69999999999999</v>
      </c>
      <c r="O1752">
        <v>60</v>
      </c>
      <c r="P1752">
        <v>5.5</v>
      </c>
      <c r="Q1752">
        <v>5.5</v>
      </c>
      <c r="R1752">
        <v>168.10900000000001</v>
      </c>
      <c r="S1752">
        <v>2.9742521159999997E-2</v>
      </c>
      <c r="T1752" s="4" t="s">
        <v>3810</v>
      </c>
    </row>
    <row r="1753" spans="1:20" x14ac:dyDescent="0.2">
      <c r="A1753" s="4" t="s">
        <v>3108</v>
      </c>
      <c r="B1753" s="4" t="s">
        <v>3800</v>
      </c>
      <c r="C1753" s="4" t="s">
        <v>2286</v>
      </c>
      <c r="D1753" s="4" t="s">
        <v>2236</v>
      </c>
      <c r="E1753" s="4" t="s">
        <v>3813</v>
      </c>
      <c r="F1753" s="4" t="s">
        <v>3801</v>
      </c>
      <c r="G1753" s="4" t="s">
        <v>3108</v>
      </c>
      <c r="H1753" s="4" t="s">
        <v>2183</v>
      </c>
      <c r="I1753" s="4" t="s">
        <v>2100</v>
      </c>
      <c r="J1753" s="4" t="s">
        <v>2944</v>
      </c>
      <c r="K1753">
        <v>6</v>
      </c>
      <c r="L1753">
        <v>1.8288</v>
      </c>
      <c r="M1753">
        <v>139.69999999999999</v>
      </c>
      <c r="N1753">
        <v>139.69999999999999</v>
      </c>
      <c r="O1753">
        <v>72</v>
      </c>
      <c r="P1753">
        <v>5.5</v>
      </c>
      <c r="Q1753">
        <v>5.5</v>
      </c>
      <c r="R1753">
        <v>168.10900000000001</v>
      </c>
      <c r="S1753">
        <v>3.5691025391999996E-2</v>
      </c>
      <c r="T1753" s="4" t="s">
        <v>3810</v>
      </c>
    </row>
    <row r="1754" spans="1:20" x14ac:dyDescent="0.2">
      <c r="A1754" s="4" t="s">
        <v>3108</v>
      </c>
      <c r="B1754" s="4" t="s">
        <v>3800</v>
      </c>
      <c r="C1754" s="4" t="s">
        <v>2286</v>
      </c>
      <c r="D1754" s="4" t="s">
        <v>2236</v>
      </c>
      <c r="E1754" s="4" t="s">
        <v>3814</v>
      </c>
      <c r="F1754" s="4" t="s">
        <v>3801</v>
      </c>
      <c r="G1754" s="4" t="s">
        <v>3108</v>
      </c>
      <c r="H1754" s="4" t="s">
        <v>2183</v>
      </c>
      <c r="I1754" s="4" t="s">
        <v>2100</v>
      </c>
      <c r="J1754" s="4" t="s">
        <v>2944</v>
      </c>
      <c r="K1754">
        <v>7</v>
      </c>
      <c r="L1754">
        <v>2.1335999999999999</v>
      </c>
      <c r="M1754">
        <v>139.69999999999999</v>
      </c>
      <c r="N1754">
        <v>139.69999999999999</v>
      </c>
      <c r="O1754">
        <v>84</v>
      </c>
      <c r="P1754">
        <v>5.5</v>
      </c>
      <c r="Q1754">
        <v>5.5</v>
      </c>
      <c r="R1754">
        <v>168.10900000000001</v>
      </c>
      <c r="S1754">
        <v>4.1639529623999985E-2</v>
      </c>
      <c r="T1754" s="4" t="s">
        <v>3810</v>
      </c>
    </row>
    <row r="1755" spans="1:20" x14ac:dyDescent="0.2">
      <c r="A1755" s="4" t="s">
        <v>3108</v>
      </c>
      <c r="B1755" s="4" t="s">
        <v>3800</v>
      </c>
      <c r="C1755" s="4" t="s">
        <v>2096</v>
      </c>
      <c r="D1755" s="4" t="s">
        <v>2236</v>
      </c>
      <c r="E1755" s="4" t="s">
        <v>790</v>
      </c>
      <c r="F1755" s="4" t="s">
        <v>3801</v>
      </c>
      <c r="G1755" s="4" t="s">
        <v>3108</v>
      </c>
      <c r="H1755" s="4" t="s">
        <v>2183</v>
      </c>
      <c r="I1755" s="4" t="s">
        <v>2100</v>
      </c>
      <c r="J1755" s="4" t="s">
        <v>2944</v>
      </c>
      <c r="K1755">
        <v>8</v>
      </c>
      <c r="L1755">
        <v>2.4384000000000001</v>
      </c>
      <c r="M1755">
        <v>139.69999999999999</v>
      </c>
      <c r="N1755">
        <v>139.69999999999999</v>
      </c>
      <c r="O1755">
        <v>96.000000000000014</v>
      </c>
      <c r="P1755">
        <v>5.5</v>
      </c>
      <c r="Q1755">
        <v>5.5</v>
      </c>
      <c r="R1755">
        <v>168.10900000000001</v>
      </c>
      <c r="S1755">
        <v>4.7588033855999995E-2</v>
      </c>
      <c r="T1755" s="4" t="s">
        <v>3802</v>
      </c>
    </row>
    <row r="1756" spans="1:20" x14ac:dyDescent="0.2">
      <c r="A1756" s="4" t="s">
        <v>3108</v>
      </c>
      <c r="B1756" s="4" t="s">
        <v>3800</v>
      </c>
      <c r="C1756" s="4" t="s">
        <v>2096</v>
      </c>
      <c r="D1756" s="4" t="s">
        <v>2236</v>
      </c>
      <c r="E1756" s="4" t="s">
        <v>3815</v>
      </c>
      <c r="F1756" s="4" t="s">
        <v>3801</v>
      </c>
      <c r="G1756" s="4" t="s">
        <v>3108</v>
      </c>
      <c r="H1756" s="4" t="s">
        <v>2183</v>
      </c>
      <c r="I1756" s="4" t="s">
        <v>2100</v>
      </c>
      <c r="J1756" s="4" t="s">
        <v>2944</v>
      </c>
      <c r="K1756">
        <v>9</v>
      </c>
      <c r="L1756">
        <v>2.7431999999999999</v>
      </c>
      <c r="M1756">
        <v>139.69999999999999</v>
      </c>
      <c r="N1756">
        <v>139.69999999999999</v>
      </c>
      <c r="O1756">
        <v>108</v>
      </c>
      <c r="P1756">
        <v>5.5</v>
      </c>
      <c r="Q1756">
        <v>5.5</v>
      </c>
      <c r="R1756">
        <v>168.10900000000001</v>
      </c>
      <c r="S1756">
        <v>5.3536538087999977E-2</v>
      </c>
      <c r="T1756" s="4" t="s">
        <v>3802</v>
      </c>
    </row>
    <row r="1757" spans="1:20" x14ac:dyDescent="0.2">
      <c r="A1757" s="4" t="s">
        <v>3108</v>
      </c>
      <c r="B1757" s="4" t="s">
        <v>3816</v>
      </c>
      <c r="C1757" s="4" t="s">
        <v>2096</v>
      </c>
      <c r="D1757" s="4" t="s">
        <v>2236</v>
      </c>
      <c r="E1757" s="4" t="s">
        <v>3817</v>
      </c>
      <c r="F1757" s="4" t="s">
        <v>3818</v>
      </c>
      <c r="G1757" s="4" t="s">
        <v>3108</v>
      </c>
      <c r="H1757" s="4" t="s">
        <v>2183</v>
      </c>
      <c r="I1757" s="4" t="s">
        <v>2100</v>
      </c>
      <c r="J1757" s="4" t="s">
        <v>2966</v>
      </c>
      <c r="K1757">
        <v>10</v>
      </c>
      <c r="L1757">
        <v>3.048</v>
      </c>
      <c r="M1757">
        <v>139.69999999999999</v>
      </c>
      <c r="N1757">
        <v>184.15</v>
      </c>
      <c r="O1757">
        <v>120</v>
      </c>
      <c r="P1757">
        <v>5.5</v>
      </c>
      <c r="Q1757">
        <v>7.2500000000000009</v>
      </c>
      <c r="R1757">
        <v>127.53100000000001</v>
      </c>
      <c r="S1757">
        <v>7.8412101240000004E-2</v>
      </c>
      <c r="T1757" s="4" t="s">
        <v>3819</v>
      </c>
    </row>
    <row r="1758" spans="1:20" x14ac:dyDescent="0.2">
      <c r="A1758" s="4" t="s">
        <v>3108</v>
      </c>
      <c r="B1758" s="4" t="s">
        <v>3816</v>
      </c>
      <c r="C1758" s="4" t="s">
        <v>2096</v>
      </c>
      <c r="D1758" s="4" t="s">
        <v>2236</v>
      </c>
      <c r="E1758" s="4" t="s">
        <v>3820</v>
      </c>
      <c r="F1758" s="4" t="s">
        <v>3818</v>
      </c>
      <c r="G1758" s="4" t="s">
        <v>3108</v>
      </c>
      <c r="H1758" s="4" t="s">
        <v>2183</v>
      </c>
      <c r="I1758" s="4" t="s">
        <v>2100</v>
      </c>
      <c r="J1758" s="4" t="s">
        <v>2966</v>
      </c>
      <c r="K1758">
        <v>11</v>
      </c>
      <c r="L1758">
        <v>3.3527999999999998</v>
      </c>
      <c r="M1758">
        <v>139.69999999999999</v>
      </c>
      <c r="N1758">
        <v>184.15</v>
      </c>
      <c r="O1758">
        <v>132</v>
      </c>
      <c r="P1758">
        <v>5.5</v>
      </c>
      <c r="Q1758">
        <v>7.2500000000000009</v>
      </c>
      <c r="R1758">
        <v>127.53100000000001</v>
      </c>
      <c r="S1758">
        <v>8.6253311363999982E-2</v>
      </c>
      <c r="T1758" s="4" t="s">
        <v>3819</v>
      </c>
    </row>
    <row r="1759" spans="1:20" x14ac:dyDescent="0.2">
      <c r="A1759" s="4" t="s">
        <v>3108</v>
      </c>
      <c r="B1759" s="4" t="s">
        <v>3816</v>
      </c>
      <c r="C1759" s="4" t="s">
        <v>2096</v>
      </c>
      <c r="D1759" s="4" t="s">
        <v>2236</v>
      </c>
      <c r="E1759" s="4" t="s">
        <v>1951</v>
      </c>
      <c r="F1759" s="4" t="s">
        <v>3818</v>
      </c>
      <c r="G1759" s="4" t="s">
        <v>3108</v>
      </c>
      <c r="H1759" s="4" t="s">
        <v>2183</v>
      </c>
      <c r="I1759" s="4" t="s">
        <v>2100</v>
      </c>
      <c r="J1759" s="4" t="s">
        <v>2966</v>
      </c>
      <c r="K1759">
        <v>12</v>
      </c>
      <c r="L1759">
        <v>3.6576</v>
      </c>
      <c r="M1759">
        <v>139.69999999999999</v>
      </c>
      <c r="N1759">
        <v>184.15</v>
      </c>
      <c r="O1759">
        <v>144</v>
      </c>
      <c r="P1759">
        <v>5.5</v>
      </c>
      <c r="Q1759">
        <v>7.2500000000000009</v>
      </c>
      <c r="R1759">
        <v>127.53100000000001</v>
      </c>
      <c r="S1759">
        <v>9.4094521488000002E-2</v>
      </c>
      <c r="T1759" s="4" t="s">
        <v>3819</v>
      </c>
    </row>
    <row r="1760" spans="1:20" x14ac:dyDescent="0.2">
      <c r="A1760" s="4" t="s">
        <v>3108</v>
      </c>
      <c r="B1760" s="4" t="s">
        <v>3816</v>
      </c>
      <c r="C1760" s="4" t="s">
        <v>2096</v>
      </c>
      <c r="D1760" s="4" t="s">
        <v>2236</v>
      </c>
      <c r="E1760" s="4" t="s">
        <v>3821</v>
      </c>
      <c r="F1760" s="4" t="s">
        <v>3818</v>
      </c>
      <c r="G1760" s="4" t="s">
        <v>3108</v>
      </c>
      <c r="H1760" s="4" t="s">
        <v>2183</v>
      </c>
      <c r="I1760" s="4" t="s">
        <v>2100</v>
      </c>
      <c r="J1760" s="4" t="s">
        <v>2966</v>
      </c>
      <c r="K1760">
        <v>13</v>
      </c>
      <c r="L1760">
        <v>3.9624000000000001</v>
      </c>
      <c r="M1760">
        <v>139.69999999999999</v>
      </c>
      <c r="N1760">
        <v>184.15</v>
      </c>
      <c r="O1760">
        <v>156</v>
      </c>
      <c r="P1760">
        <v>5.5</v>
      </c>
      <c r="Q1760">
        <v>7.2500000000000009</v>
      </c>
      <c r="R1760">
        <v>127.53100000000001</v>
      </c>
      <c r="S1760">
        <v>0.10193573161199999</v>
      </c>
      <c r="T1760" s="4" t="s">
        <v>3819</v>
      </c>
    </row>
    <row r="1761" spans="1:20" x14ac:dyDescent="0.2">
      <c r="A1761" s="4" t="s">
        <v>3108</v>
      </c>
      <c r="B1761" s="4" t="s">
        <v>3816</v>
      </c>
      <c r="C1761" s="4" t="s">
        <v>2096</v>
      </c>
      <c r="D1761" s="4" t="s">
        <v>2236</v>
      </c>
      <c r="E1761" s="4" t="s">
        <v>791</v>
      </c>
      <c r="F1761" s="4" t="s">
        <v>3818</v>
      </c>
      <c r="G1761" s="4" t="s">
        <v>3108</v>
      </c>
      <c r="H1761" s="4" t="s">
        <v>2183</v>
      </c>
      <c r="I1761" s="4" t="s">
        <v>2100</v>
      </c>
      <c r="J1761" s="4" t="s">
        <v>2966</v>
      </c>
      <c r="K1761">
        <v>14</v>
      </c>
      <c r="L1761">
        <v>4.2671999999999999</v>
      </c>
      <c r="M1761">
        <v>139.69999999999999</v>
      </c>
      <c r="N1761">
        <v>184.15</v>
      </c>
      <c r="O1761">
        <v>168</v>
      </c>
      <c r="P1761">
        <v>5.5</v>
      </c>
      <c r="Q1761">
        <v>7.2500000000000009</v>
      </c>
      <c r="R1761">
        <v>127.53100000000001</v>
      </c>
      <c r="S1761">
        <v>0.10977694173599997</v>
      </c>
      <c r="T1761" s="4" t="s">
        <v>3819</v>
      </c>
    </row>
    <row r="1762" spans="1:20" x14ac:dyDescent="0.2">
      <c r="A1762" s="4" t="s">
        <v>3108</v>
      </c>
      <c r="B1762" s="4" t="s">
        <v>3816</v>
      </c>
      <c r="C1762" s="4" t="s">
        <v>2096</v>
      </c>
      <c r="D1762" s="4" t="s">
        <v>2236</v>
      </c>
      <c r="E1762" s="4" t="s">
        <v>3822</v>
      </c>
      <c r="F1762" s="4" t="s">
        <v>3818</v>
      </c>
      <c r="G1762" s="4" t="s">
        <v>3108</v>
      </c>
      <c r="H1762" s="4" t="s">
        <v>2183</v>
      </c>
      <c r="I1762" s="4" t="s">
        <v>2100</v>
      </c>
      <c r="J1762" s="4" t="s">
        <v>2966</v>
      </c>
      <c r="K1762">
        <v>15</v>
      </c>
      <c r="L1762">
        <v>4.5720000000000001</v>
      </c>
      <c r="M1762">
        <v>139.69999999999999</v>
      </c>
      <c r="N1762">
        <v>184.15</v>
      </c>
      <c r="O1762">
        <v>180</v>
      </c>
      <c r="P1762">
        <v>5.5</v>
      </c>
      <c r="Q1762">
        <v>7.2500000000000009</v>
      </c>
      <c r="R1762">
        <v>127.53100000000001</v>
      </c>
      <c r="S1762">
        <v>0.11761815185999999</v>
      </c>
      <c r="T1762" s="4" t="s">
        <v>3819</v>
      </c>
    </row>
    <row r="1763" spans="1:20" x14ac:dyDescent="0.2">
      <c r="A1763" s="4" t="s">
        <v>3108</v>
      </c>
      <c r="B1763" s="4" t="s">
        <v>3816</v>
      </c>
      <c r="C1763" s="4" t="s">
        <v>2096</v>
      </c>
      <c r="D1763" s="4" t="s">
        <v>2236</v>
      </c>
      <c r="E1763" s="4" t="s">
        <v>3823</v>
      </c>
      <c r="F1763" s="4" t="s">
        <v>3818</v>
      </c>
      <c r="G1763" s="4" t="s">
        <v>3108</v>
      </c>
      <c r="H1763" s="4" t="s">
        <v>2183</v>
      </c>
      <c r="I1763" s="4" t="s">
        <v>2100</v>
      </c>
      <c r="J1763" s="4" t="s">
        <v>2966</v>
      </c>
      <c r="K1763">
        <v>16</v>
      </c>
      <c r="L1763">
        <v>4.8768000000000002</v>
      </c>
      <c r="M1763">
        <v>139.69999999999999</v>
      </c>
      <c r="N1763">
        <v>184.15</v>
      </c>
      <c r="O1763">
        <v>192.00000000000003</v>
      </c>
      <c r="P1763">
        <v>5.5</v>
      </c>
      <c r="Q1763">
        <v>7.2500000000000009</v>
      </c>
      <c r="R1763">
        <v>127.53100000000001</v>
      </c>
      <c r="S1763">
        <v>0.12545936198399998</v>
      </c>
      <c r="T1763" s="4" t="s">
        <v>3819</v>
      </c>
    </row>
    <row r="1764" spans="1:20" x14ac:dyDescent="0.2">
      <c r="A1764" s="4" t="s">
        <v>3108</v>
      </c>
      <c r="B1764" s="4" t="s">
        <v>3816</v>
      </c>
      <c r="C1764" s="4" t="s">
        <v>2096</v>
      </c>
      <c r="D1764" s="4" t="s">
        <v>2236</v>
      </c>
      <c r="E1764" s="4" t="s">
        <v>3824</v>
      </c>
      <c r="F1764" s="4" t="s">
        <v>3818</v>
      </c>
      <c r="G1764" s="4" t="s">
        <v>3108</v>
      </c>
      <c r="H1764" s="4" t="s">
        <v>2183</v>
      </c>
      <c r="I1764" s="4" t="s">
        <v>2100</v>
      </c>
      <c r="J1764" s="4" t="s">
        <v>2966</v>
      </c>
      <c r="K1764">
        <v>17</v>
      </c>
      <c r="L1764">
        <v>5.1816000000000004</v>
      </c>
      <c r="M1764">
        <v>139.69999999999999</v>
      </c>
      <c r="N1764">
        <v>184.15</v>
      </c>
      <c r="O1764">
        <v>204.00000000000003</v>
      </c>
      <c r="P1764">
        <v>5.5</v>
      </c>
      <c r="Q1764">
        <v>7.2500000000000009</v>
      </c>
      <c r="R1764">
        <v>127.53100000000001</v>
      </c>
      <c r="S1764">
        <v>0.13330057210799998</v>
      </c>
      <c r="T1764" s="4" t="s">
        <v>3819</v>
      </c>
    </row>
    <row r="1765" spans="1:20" x14ac:dyDescent="0.2">
      <c r="A1765" s="4" t="s">
        <v>3108</v>
      </c>
      <c r="B1765" s="4" t="s">
        <v>3816</v>
      </c>
      <c r="C1765" s="4" t="s">
        <v>2096</v>
      </c>
      <c r="D1765" s="4" t="s">
        <v>2236</v>
      </c>
      <c r="E1765" s="4" t="s">
        <v>793</v>
      </c>
      <c r="F1765" s="4" t="s">
        <v>3818</v>
      </c>
      <c r="G1765" s="4" t="s">
        <v>3108</v>
      </c>
      <c r="H1765" s="4" t="s">
        <v>2183</v>
      </c>
      <c r="I1765" s="4" t="s">
        <v>2100</v>
      </c>
      <c r="J1765" s="4" t="s">
        <v>2966</v>
      </c>
      <c r="K1765">
        <v>18</v>
      </c>
      <c r="L1765">
        <v>5.4863999999999997</v>
      </c>
      <c r="M1765">
        <v>139.69999999999999</v>
      </c>
      <c r="N1765">
        <v>184.15</v>
      </c>
      <c r="O1765">
        <v>216</v>
      </c>
      <c r="P1765">
        <v>5.5</v>
      </c>
      <c r="Q1765">
        <v>7.2500000000000009</v>
      </c>
      <c r="R1765">
        <v>127.53100000000001</v>
      </c>
      <c r="S1765">
        <v>0.14114178223199997</v>
      </c>
      <c r="T1765" s="4" t="s">
        <v>3819</v>
      </c>
    </row>
    <row r="1766" spans="1:20" x14ac:dyDescent="0.2">
      <c r="A1766" s="4" t="s">
        <v>3108</v>
      </c>
      <c r="B1766" s="4" t="s">
        <v>3816</v>
      </c>
      <c r="C1766" s="4" t="s">
        <v>2096</v>
      </c>
      <c r="D1766" s="4" t="s">
        <v>2236</v>
      </c>
      <c r="E1766" s="4" t="s">
        <v>3825</v>
      </c>
      <c r="F1766" s="4" t="s">
        <v>3818</v>
      </c>
      <c r="G1766" s="4" t="s">
        <v>3108</v>
      </c>
      <c r="H1766" s="4" t="s">
        <v>2183</v>
      </c>
      <c r="I1766" s="4" t="s">
        <v>2100</v>
      </c>
      <c r="J1766" s="4" t="s">
        <v>2966</v>
      </c>
      <c r="K1766">
        <v>19</v>
      </c>
      <c r="L1766">
        <v>5.7911999999999999</v>
      </c>
      <c r="M1766">
        <v>139.69999999999999</v>
      </c>
      <c r="N1766">
        <v>184.15</v>
      </c>
      <c r="O1766">
        <v>228</v>
      </c>
      <c r="P1766">
        <v>5.5</v>
      </c>
      <c r="Q1766">
        <v>7.2500000000000009</v>
      </c>
      <c r="R1766">
        <v>127.53100000000001</v>
      </c>
      <c r="S1766">
        <v>0.14898299235599999</v>
      </c>
      <c r="T1766" s="4" t="s">
        <v>3819</v>
      </c>
    </row>
    <row r="1767" spans="1:20" x14ac:dyDescent="0.2">
      <c r="A1767" s="4" t="s">
        <v>3108</v>
      </c>
      <c r="B1767" s="4" t="s">
        <v>3816</v>
      </c>
      <c r="C1767" s="4" t="s">
        <v>2096</v>
      </c>
      <c r="D1767" s="4" t="s">
        <v>2236</v>
      </c>
      <c r="E1767" s="4" t="s">
        <v>795</v>
      </c>
      <c r="F1767" s="4" t="s">
        <v>3818</v>
      </c>
      <c r="G1767" s="4" t="s">
        <v>3108</v>
      </c>
      <c r="H1767" s="4" t="s">
        <v>2183</v>
      </c>
      <c r="I1767" s="4" t="s">
        <v>2100</v>
      </c>
      <c r="J1767" s="4" t="s">
        <v>2966</v>
      </c>
      <c r="K1767">
        <v>20</v>
      </c>
      <c r="L1767">
        <v>6.0960000000000001</v>
      </c>
      <c r="M1767">
        <v>139.69999999999999</v>
      </c>
      <c r="N1767">
        <v>184.15</v>
      </c>
      <c r="O1767">
        <v>240</v>
      </c>
      <c r="P1767">
        <v>5.5</v>
      </c>
      <c r="Q1767">
        <v>7.2500000000000009</v>
      </c>
      <c r="R1767">
        <v>127.53100000000001</v>
      </c>
      <c r="S1767">
        <v>0.15682420248000001</v>
      </c>
      <c r="T1767" s="4" t="s">
        <v>3819</v>
      </c>
    </row>
    <row r="1768" spans="1:20" x14ac:dyDescent="0.2">
      <c r="A1768" s="4" t="s">
        <v>3108</v>
      </c>
      <c r="B1768" s="4" t="s">
        <v>3816</v>
      </c>
      <c r="C1768" s="4" t="s">
        <v>2096</v>
      </c>
      <c r="D1768" s="4" t="s">
        <v>2236</v>
      </c>
      <c r="E1768" s="4" t="s">
        <v>3826</v>
      </c>
      <c r="F1768" s="4" t="s">
        <v>3818</v>
      </c>
      <c r="G1768" s="4" t="s">
        <v>3108</v>
      </c>
      <c r="H1768" s="4" t="s">
        <v>2183</v>
      </c>
      <c r="I1768" s="4" t="s">
        <v>2100</v>
      </c>
      <c r="J1768" s="4" t="s">
        <v>2966</v>
      </c>
      <c r="K1768">
        <v>21</v>
      </c>
      <c r="L1768">
        <v>6.4008000000000003</v>
      </c>
      <c r="M1768">
        <v>139.69999999999999</v>
      </c>
      <c r="N1768">
        <v>184.15</v>
      </c>
      <c r="O1768">
        <v>252.00000000000003</v>
      </c>
      <c r="P1768">
        <v>5.5</v>
      </c>
      <c r="Q1768">
        <v>7.2500000000000009</v>
      </c>
      <c r="R1768">
        <v>127.53100000000001</v>
      </c>
      <c r="S1768">
        <v>0.16466541260399997</v>
      </c>
      <c r="T1768" s="4" t="s">
        <v>3819</v>
      </c>
    </row>
    <row r="1769" spans="1:20" x14ac:dyDescent="0.2">
      <c r="A1769" s="4" t="s">
        <v>3108</v>
      </c>
      <c r="B1769" s="4" t="s">
        <v>3816</v>
      </c>
      <c r="C1769" s="4" t="s">
        <v>2096</v>
      </c>
      <c r="D1769" s="4" t="s">
        <v>2236</v>
      </c>
      <c r="E1769" s="4" t="s">
        <v>797</v>
      </c>
      <c r="F1769" s="4" t="s">
        <v>3818</v>
      </c>
      <c r="G1769" s="4" t="s">
        <v>3108</v>
      </c>
      <c r="H1769" s="4" t="s">
        <v>2183</v>
      </c>
      <c r="I1769" s="4" t="s">
        <v>2100</v>
      </c>
      <c r="J1769" s="4" t="s">
        <v>2966</v>
      </c>
      <c r="K1769">
        <v>22</v>
      </c>
      <c r="L1769">
        <v>6.7055999999999996</v>
      </c>
      <c r="M1769">
        <v>139.69999999999999</v>
      </c>
      <c r="N1769">
        <v>184.15</v>
      </c>
      <c r="O1769">
        <v>264</v>
      </c>
      <c r="P1769">
        <v>5.5</v>
      </c>
      <c r="Q1769">
        <v>7.2500000000000009</v>
      </c>
      <c r="R1769">
        <v>127.53100000000001</v>
      </c>
      <c r="S1769">
        <v>0.17250662272799996</v>
      </c>
      <c r="T1769" s="4" t="s">
        <v>3819</v>
      </c>
    </row>
    <row r="1770" spans="1:20" x14ac:dyDescent="0.2">
      <c r="A1770" s="4" t="s">
        <v>3108</v>
      </c>
      <c r="B1770" s="4" t="s">
        <v>3816</v>
      </c>
      <c r="C1770" s="4" t="s">
        <v>2286</v>
      </c>
      <c r="D1770" s="4" t="s">
        <v>2236</v>
      </c>
      <c r="E1770" s="4" t="s">
        <v>3827</v>
      </c>
      <c r="F1770" s="4" t="s">
        <v>3818</v>
      </c>
      <c r="G1770" s="4" t="s">
        <v>3108</v>
      </c>
      <c r="H1770" s="4" t="s">
        <v>2183</v>
      </c>
      <c r="I1770" s="4" t="s">
        <v>2100</v>
      </c>
      <c r="J1770" s="4" t="s">
        <v>2966</v>
      </c>
      <c r="K1770">
        <v>3</v>
      </c>
      <c r="L1770">
        <v>0.91439999999999999</v>
      </c>
      <c r="M1770">
        <v>139.69999999999999</v>
      </c>
      <c r="N1770">
        <v>184.15</v>
      </c>
      <c r="O1770">
        <v>36</v>
      </c>
      <c r="P1770">
        <v>5.5</v>
      </c>
      <c r="Q1770">
        <v>7.2500000000000009</v>
      </c>
      <c r="R1770">
        <v>127.53100000000001</v>
      </c>
      <c r="S1770">
        <v>2.3523630372E-2</v>
      </c>
      <c r="T1770" s="4" t="s">
        <v>3828</v>
      </c>
    </row>
    <row r="1771" spans="1:20" x14ac:dyDescent="0.2">
      <c r="A1771" s="4" t="s">
        <v>3108</v>
      </c>
      <c r="B1771" s="4" t="s">
        <v>3816</v>
      </c>
      <c r="C1771" s="4" t="s">
        <v>2286</v>
      </c>
      <c r="D1771" s="4" t="s">
        <v>2236</v>
      </c>
      <c r="E1771" s="4" t="s">
        <v>3829</v>
      </c>
      <c r="F1771" s="4" t="s">
        <v>3818</v>
      </c>
      <c r="G1771" s="4" t="s">
        <v>3108</v>
      </c>
      <c r="H1771" s="4" t="s">
        <v>2183</v>
      </c>
      <c r="I1771" s="4" t="s">
        <v>2100</v>
      </c>
      <c r="J1771" s="4" t="s">
        <v>2966</v>
      </c>
      <c r="K1771">
        <v>4</v>
      </c>
      <c r="L1771">
        <v>1.2192000000000001</v>
      </c>
      <c r="M1771">
        <v>139.69999999999999</v>
      </c>
      <c r="N1771">
        <v>184.15</v>
      </c>
      <c r="O1771">
        <v>48.000000000000007</v>
      </c>
      <c r="P1771">
        <v>5.5</v>
      </c>
      <c r="Q1771">
        <v>7.2500000000000009</v>
      </c>
      <c r="R1771">
        <v>127.53100000000001</v>
      </c>
      <c r="S1771">
        <v>3.1364840495999996E-2</v>
      </c>
      <c r="T1771" s="4" t="s">
        <v>3828</v>
      </c>
    </row>
    <row r="1772" spans="1:20" x14ac:dyDescent="0.2">
      <c r="A1772" s="4" t="s">
        <v>3108</v>
      </c>
      <c r="B1772" s="4" t="s">
        <v>3816</v>
      </c>
      <c r="C1772" s="4" t="s">
        <v>2286</v>
      </c>
      <c r="D1772" s="4" t="s">
        <v>2236</v>
      </c>
      <c r="E1772" s="4" t="s">
        <v>3830</v>
      </c>
      <c r="F1772" s="4" t="s">
        <v>3818</v>
      </c>
      <c r="G1772" s="4" t="s">
        <v>3108</v>
      </c>
      <c r="H1772" s="4" t="s">
        <v>2183</v>
      </c>
      <c r="I1772" s="4" t="s">
        <v>2100</v>
      </c>
      <c r="J1772" s="4" t="s">
        <v>2966</v>
      </c>
      <c r="K1772">
        <v>5</v>
      </c>
      <c r="L1772">
        <v>1.524</v>
      </c>
      <c r="M1772">
        <v>139.69999999999999</v>
      </c>
      <c r="N1772">
        <v>184.15</v>
      </c>
      <c r="O1772">
        <v>60</v>
      </c>
      <c r="P1772">
        <v>5.5</v>
      </c>
      <c r="Q1772">
        <v>7.2500000000000009</v>
      </c>
      <c r="R1772">
        <v>127.53100000000001</v>
      </c>
      <c r="S1772">
        <v>3.9206050620000002E-2</v>
      </c>
      <c r="T1772" s="4" t="s">
        <v>3828</v>
      </c>
    </row>
    <row r="1773" spans="1:20" x14ac:dyDescent="0.2">
      <c r="A1773" s="4" t="s">
        <v>3108</v>
      </c>
      <c r="B1773" s="4" t="s">
        <v>3816</v>
      </c>
      <c r="C1773" s="4" t="s">
        <v>2286</v>
      </c>
      <c r="D1773" s="4" t="s">
        <v>2236</v>
      </c>
      <c r="E1773" s="4" t="s">
        <v>3831</v>
      </c>
      <c r="F1773" s="4" t="s">
        <v>3818</v>
      </c>
      <c r="G1773" s="4" t="s">
        <v>3108</v>
      </c>
      <c r="H1773" s="4" t="s">
        <v>2183</v>
      </c>
      <c r="I1773" s="4" t="s">
        <v>2100</v>
      </c>
      <c r="J1773" s="4" t="s">
        <v>2966</v>
      </c>
      <c r="K1773">
        <v>6</v>
      </c>
      <c r="L1773">
        <v>1.8288</v>
      </c>
      <c r="M1773">
        <v>139.69999999999999</v>
      </c>
      <c r="N1773">
        <v>184.15</v>
      </c>
      <c r="O1773">
        <v>72</v>
      </c>
      <c r="P1773">
        <v>5.5</v>
      </c>
      <c r="Q1773">
        <v>7.2500000000000009</v>
      </c>
      <c r="R1773">
        <v>127.53100000000001</v>
      </c>
      <c r="S1773">
        <v>4.7047260744000001E-2</v>
      </c>
      <c r="T1773" s="4" t="s">
        <v>3828</v>
      </c>
    </row>
    <row r="1774" spans="1:20" x14ac:dyDescent="0.2">
      <c r="A1774" s="4" t="s">
        <v>3108</v>
      </c>
      <c r="B1774" s="4" t="s">
        <v>3816</v>
      </c>
      <c r="C1774" s="4" t="s">
        <v>2286</v>
      </c>
      <c r="D1774" s="4" t="s">
        <v>2236</v>
      </c>
      <c r="E1774" s="4" t="s">
        <v>3832</v>
      </c>
      <c r="F1774" s="4" t="s">
        <v>3818</v>
      </c>
      <c r="G1774" s="4" t="s">
        <v>3108</v>
      </c>
      <c r="H1774" s="4" t="s">
        <v>2183</v>
      </c>
      <c r="I1774" s="4" t="s">
        <v>2100</v>
      </c>
      <c r="J1774" s="4" t="s">
        <v>2966</v>
      </c>
      <c r="K1774">
        <v>7</v>
      </c>
      <c r="L1774">
        <v>2.1335999999999999</v>
      </c>
      <c r="M1774">
        <v>139.69999999999999</v>
      </c>
      <c r="N1774">
        <v>184.15</v>
      </c>
      <c r="O1774">
        <v>84</v>
      </c>
      <c r="P1774">
        <v>5.5</v>
      </c>
      <c r="Q1774">
        <v>7.2500000000000009</v>
      </c>
      <c r="R1774">
        <v>127.53100000000001</v>
      </c>
      <c r="S1774">
        <v>5.4888470867999986E-2</v>
      </c>
      <c r="T1774" s="4" t="s">
        <v>3828</v>
      </c>
    </row>
    <row r="1775" spans="1:20" x14ac:dyDescent="0.2">
      <c r="A1775" s="4" t="s">
        <v>3108</v>
      </c>
      <c r="B1775" s="4" t="s">
        <v>3816</v>
      </c>
      <c r="C1775" s="4" t="s">
        <v>2096</v>
      </c>
      <c r="D1775" s="4" t="s">
        <v>2236</v>
      </c>
      <c r="E1775" s="4" t="s">
        <v>3833</v>
      </c>
      <c r="F1775" s="4" t="s">
        <v>3818</v>
      </c>
      <c r="G1775" s="4" t="s">
        <v>3108</v>
      </c>
      <c r="H1775" s="4" t="s">
        <v>2183</v>
      </c>
      <c r="I1775" s="4" t="s">
        <v>2100</v>
      </c>
      <c r="J1775" s="4" t="s">
        <v>2966</v>
      </c>
      <c r="K1775">
        <v>8</v>
      </c>
      <c r="L1775">
        <v>2.4384000000000001</v>
      </c>
      <c r="M1775">
        <v>139.69999999999999</v>
      </c>
      <c r="N1775">
        <v>184.15</v>
      </c>
      <c r="O1775">
        <v>96.000000000000014</v>
      </c>
      <c r="P1775">
        <v>5.5</v>
      </c>
      <c r="Q1775">
        <v>7.2500000000000009</v>
      </c>
      <c r="R1775">
        <v>127.53100000000001</v>
      </c>
      <c r="S1775">
        <v>6.2729680991999992E-2</v>
      </c>
      <c r="T1775" s="4" t="s">
        <v>3819</v>
      </c>
    </row>
    <row r="1776" spans="1:20" x14ac:dyDescent="0.2">
      <c r="A1776" s="4" t="s">
        <v>3108</v>
      </c>
      <c r="B1776" s="4" t="s">
        <v>3816</v>
      </c>
      <c r="C1776" s="4" t="s">
        <v>2096</v>
      </c>
      <c r="D1776" s="4" t="s">
        <v>2236</v>
      </c>
      <c r="E1776" s="4" t="s">
        <v>3834</v>
      </c>
      <c r="F1776" s="4" t="s">
        <v>3818</v>
      </c>
      <c r="G1776" s="4" t="s">
        <v>3108</v>
      </c>
      <c r="H1776" s="4" t="s">
        <v>2183</v>
      </c>
      <c r="I1776" s="4" t="s">
        <v>2100</v>
      </c>
      <c r="J1776" s="4" t="s">
        <v>2966</v>
      </c>
      <c r="K1776">
        <v>9</v>
      </c>
      <c r="L1776">
        <v>2.7431999999999999</v>
      </c>
      <c r="M1776">
        <v>139.69999999999999</v>
      </c>
      <c r="N1776">
        <v>184.15</v>
      </c>
      <c r="O1776">
        <v>108</v>
      </c>
      <c r="P1776">
        <v>5.5</v>
      </c>
      <c r="Q1776">
        <v>7.2500000000000009</v>
      </c>
      <c r="R1776">
        <v>127.53100000000001</v>
      </c>
      <c r="S1776">
        <v>7.0570891115999984E-2</v>
      </c>
      <c r="T1776" s="4" t="s">
        <v>3819</v>
      </c>
    </row>
    <row r="1777" spans="1:20" x14ac:dyDescent="0.2">
      <c r="A1777" s="4" t="s">
        <v>3108</v>
      </c>
      <c r="B1777" s="4" t="s">
        <v>3835</v>
      </c>
      <c r="C1777" s="4" t="s">
        <v>2096</v>
      </c>
      <c r="D1777" s="4" t="s">
        <v>2236</v>
      </c>
      <c r="E1777" s="4" t="s">
        <v>799</v>
      </c>
      <c r="F1777" s="4" t="s">
        <v>3836</v>
      </c>
      <c r="G1777" s="4" t="s">
        <v>3108</v>
      </c>
      <c r="H1777" s="4" t="s">
        <v>2183</v>
      </c>
      <c r="I1777" s="4" t="s">
        <v>2100</v>
      </c>
      <c r="J1777" s="4" t="s">
        <v>2990</v>
      </c>
      <c r="K1777">
        <v>10</v>
      </c>
      <c r="L1777">
        <v>3.048</v>
      </c>
      <c r="M1777">
        <v>184.15</v>
      </c>
      <c r="N1777">
        <v>184.15</v>
      </c>
      <c r="O1777">
        <v>120</v>
      </c>
      <c r="P1777">
        <v>7.2500000000000009</v>
      </c>
      <c r="Q1777">
        <v>7.2500000000000009</v>
      </c>
      <c r="R1777">
        <v>96.748000000000005</v>
      </c>
      <c r="S1777">
        <v>0.10336140618000002</v>
      </c>
      <c r="T1777" s="4" t="s">
        <v>3837</v>
      </c>
    </row>
    <row r="1778" spans="1:20" x14ac:dyDescent="0.2">
      <c r="A1778" s="4" t="s">
        <v>3108</v>
      </c>
      <c r="B1778" s="4" t="s">
        <v>3835</v>
      </c>
      <c r="C1778" s="4" t="s">
        <v>2096</v>
      </c>
      <c r="D1778" s="4" t="s">
        <v>2236</v>
      </c>
      <c r="E1778" s="4" t="s">
        <v>3838</v>
      </c>
      <c r="F1778" s="4" t="s">
        <v>3836</v>
      </c>
      <c r="G1778" s="4" t="s">
        <v>3108</v>
      </c>
      <c r="H1778" s="4" t="s">
        <v>2183</v>
      </c>
      <c r="I1778" s="4" t="s">
        <v>2100</v>
      </c>
      <c r="J1778" s="4" t="s">
        <v>2990</v>
      </c>
      <c r="K1778">
        <v>11</v>
      </c>
      <c r="L1778">
        <v>3.3527999999999998</v>
      </c>
      <c r="M1778">
        <v>184.15</v>
      </c>
      <c r="N1778">
        <v>184.15</v>
      </c>
      <c r="O1778">
        <v>132</v>
      </c>
      <c r="P1778">
        <v>7.2500000000000009</v>
      </c>
      <c r="Q1778">
        <v>7.2500000000000009</v>
      </c>
      <c r="R1778">
        <v>96.748000000000005</v>
      </c>
      <c r="S1778">
        <v>0.113697546798</v>
      </c>
      <c r="T1778" s="4" t="s">
        <v>3837</v>
      </c>
    </row>
    <row r="1779" spans="1:20" x14ac:dyDescent="0.2">
      <c r="A1779" s="4" t="s">
        <v>3108</v>
      </c>
      <c r="B1779" s="4" t="s">
        <v>3835</v>
      </c>
      <c r="C1779" s="4" t="s">
        <v>2096</v>
      </c>
      <c r="D1779" s="4" t="s">
        <v>2236</v>
      </c>
      <c r="E1779" s="4" t="s">
        <v>801</v>
      </c>
      <c r="F1779" s="4" t="s">
        <v>3836</v>
      </c>
      <c r="G1779" s="4" t="s">
        <v>3108</v>
      </c>
      <c r="H1779" s="4" t="s">
        <v>2183</v>
      </c>
      <c r="I1779" s="4" t="s">
        <v>2100</v>
      </c>
      <c r="J1779" s="4" t="s">
        <v>2990</v>
      </c>
      <c r="K1779">
        <v>12</v>
      </c>
      <c r="L1779">
        <v>3.6576</v>
      </c>
      <c r="M1779">
        <v>184.15</v>
      </c>
      <c r="N1779">
        <v>184.15</v>
      </c>
      <c r="O1779">
        <v>144</v>
      </c>
      <c r="P1779">
        <v>7.2500000000000009</v>
      </c>
      <c r="Q1779">
        <v>7.2500000000000009</v>
      </c>
      <c r="R1779">
        <v>96.748000000000005</v>
      </c>
      <c r="S1779">
        <v>0.124033687416</v>
      </c>
      <c r="T1779" s="4" t="s">
        <v>3837</v>
      </c>
    </row>
    <row r="1780" spans="1:20" x14ac:dyDescent="0.2">
      <c r="A1780" s="4" t="s">
        <v>3108</v>
      </c>
      <c r="B1780" s="4" t="s">
        <v>3835</v>
      </c>
      <c r="C1780" s="4" t="s">
        <v>2096</v>
      </c>
      <c r="D1780" s="4" t="s">
        <v>2236</v>
      </c>
      <c r="E1780" s="4" t="s">
        <v>3839</v>
      </c>
      <c r="F1780" s="4" t="s">
        <v>3836</v>
      </c>
      <c r="G1780" s="4" t="s">
        <v>3108</v>
      </c>
      <c r="H1780" s="4" t="s">
        <v>2183</v>
      </c>
      <c r="I1780" s="4" t="s">
        <v>2100</v>
      </c>
      <c r="J1780" s="4" t="s">
        <v>2990</v>
      </c>
      <c r="K1780">
        <v>13</v>
      </c>
      <c r="L1780">
        <v>3.9624000000000001</v>
      </c>
      <c r="M1780">
        <v>184.15</v>
      </c>
      <c r="N1780">
        <v>184.15</v>
      </c>
      <c r="O1780">
        <v>156</v>
      </c>
      <c r="P1780">
        <v>7.2500000000000009</v>
      </c>
      <c r="Q1780">
        <v>7.2500000000000009</v>
      </c>
      <c r="R1780">
        <v>96.748000000000005</v>
      </c>
      <c r="S1780">
        <v>0.13436982803399999</v>
      </c>
      <c r="T1780" s="4" t="s">
        <v>3837</v>
      </c>
    </row>
    <row r="1781" spans="1:20" x14ac:dyDescent="0.2">
      <c r="A1781" s="4" t="s">
        <v>3108</v>
      </c>
      <c r="B1781" s="4" t="s">
        <v>3835</v>
      </c>
      <c r="C1781" s="4" t="s">
        <v>2096</v>
      </c>
      <c r="D1781" s="4" t="s">
        <v>2236</v>
      </c>
      <c r="E1781" s="4" t="s">
        <v>803</v>
      </c>
      <c r="F1781" s="4" t="s">
        <v>3836</v>
      </c>
      <c r="G1781" s="4" t="s">
        <v>3108</v>
      </c>
      <c r="H1781" s="4" t="s">
        <v>2183</v>
      </c>
      <c r="I1781" s="4" t="s">
        <v>2100</v>
      </c>
      <c r="J1781" s="4" t="s">
        <v>2990</v>
      </c>
      <c r="K1781">
        <v>14</v>
      </c>
      <c r="L1781">
        <v>4.2671999999999999</v>
      </c>
      <c r="M1781">
        <v>184.15</v>
      </c>
      <c r="N1781">
        <v>184.15</v>
      </c>
      <c r="O1781">
        <v>168</v>
      </c>
      <c r="P1781">
        <v>7.2500000000000009</v>
      </c>
      <c r="Q1781">
        <v>7.2500000000000009</v>
      </c>
      <c r="R1781">
        <v>96.748000000000005</v>
      </c>
      <c r="S1781">
        <v>0.14470596865200003</v>
      </c>
      <c r="T1781" s="4" t="s">
        <v>3837</v>
      </c>
    </row>
    <row r="1782" spans="1:20" x14ac:dyDescent="0.2">
      <c r="A1782" s="4" t="s">
        <v>3108</v>
      </c>
      <c r="B1782" s="4" t="s">
        <v>3835</v>
      </c>
      <c r="C1782" s="4" t="s">
        <v>2096</v>
      </c>
      <c r="D1782" s="4" t="s">
        <v>2236</v>
      </c>
      <c r="E1782" s="4" t="s">
        <v>3840</v>
      </c>
      <c r="F1782" s="4" t="s">
        <v>3836</v>
      </c>
      <c r="G1782" s="4" t="s">
        <v>3108</v>
      </c>
      <c r="H1782" s="4" t="s">
        <v>2183</v>
      </c>
      <c r="I1782" s="4" t="s">
        <v>2100</v>
      </c>
      <c r="J1782" s="4" t="s">
        <v>2990</v>
      </c>
      <c r="K1782">
        <v>15</v>
      </c>
      <c r="L1782">
        <v>4.5720000000000001</v>
      </c>
      <c r="M1782">
        <v>184.15</v>
      </c>
      <c r="N1782">
        <v>184.15</v>
      </c>
      <c r="O1782">
        <v>180</v>
      </c>
      <c r="P1782">
        <v>7.2500000000000009</v>
      </c>
      <c r="Q1782">
        <v>7.2500000000000009</v>
      </c>
      <c r="R1782">
        <v>96.748000000000005</v>
      </c>
      <c r="S1782">
        <v>0.15504210927000003</v>
      </c>
      <c r="T1782" s="4" t="s">
        <v>3837</v>
      </c>
    </row>
    <row r="1783" spans="1:20" x14ac:dyDescent="0.2">
      <c r="A1783" s="4" t="s">
        <v>3108</v>
      </c>
      <c r="B1783" s="4" t="s">
        <v>3835</v>
      </c>
      <c r="C1783" s="4" t="s">
        <v>2096</v>
      </c>
      <c r="D1783" s="4" t="s">
        <v>2236</v>
      </c>
      <c r="E1783" s="4" t="s">
        <v>3841</v>
      </c>
      <c r="F1783" s="4" t="s">
        <v>3836</v>
      </c>
      <c r="G1783" s="4" t="s">
        <v>3108</v>
      </c>
      <c r="H1783" s="4" t="s">
        <v>2183</v>
      </c>
      <c r="I1783" s="4" t="s">
        <v>2100</v>
      </c>
      <c r="J1783" s="4" t="s">
        <v>2990</v>
      </c>
      <c r="K1783">
        <v>16</v>
      </c>
      <c r="L1783">
        <v>4.8768000000000002</v>
      </c>
      <c r="M1783">
        <v>184.15</v>
      </c>
      <c r="N1783">
        <v>184.15</v>
      </c>
      <c r="O1783">
        <v>192.00000000000003</v>
      </c>
      <c r="P1783">
        <v>7.2500000000000009</v>
      </c>
      <c r="Q1783">
        <v>7.2500000000000009</v>
      </c>
      <c r="R1783">
        <v>96.748000000000005</v>
      </c>
      <c r="S1783">
        <v>0.16537824988800004</v>
      </c>
      <c r="T1783" s="4" t="s">
        <v>3837</v>
      </c>
    </row>
    <row r="1784" spans="1:20" x14ac:dyDescent="0.2">
      <c r="A1784" s="4" t="s">
        <v>3108</v>
      </c>
      <c r="B1784" s="4" t="s">
        <v>3835</v>
      </c>
      <c r="C1784" s="4" t="s">
        <v>2096</v>
      </c>
      <c r="D1784" s="4" t="s">
        <v>2236</v>
      </c>
      <c r="E1784" s="4" t="s">
        <v>3842</v>
      </c>
      <c r="F1784" s="4" t="s">
        <v>3836</v>
      </c>
      <c r="G1784" s="4" t="s">
        <v>3108</v>
      </c>
      <c r="H1784" s="4" t="s">
        <v>2183</v>
      </c>
      <c r="I1784" s="4" t="s">
        <v>2100</v>
      </c>
      <c r="J1784" s="4" t="s">
        <v>2990</v>
      </c>
      <c r="K1784">
        <v>17</v>
      </c>
      <c r="L1784">
        <v>5.1816000000000004</v>
      </c>
      <c r="M1784">
        <v>184.15</v>
      </c>
      <c r="N1784">
        <v>184.15</v>
      </c>
      <c r="O1784">
        <v>204.00000000000003</v>
      </c>
      <c r="P1784">
        <v>7.2500000000000009</v>
      </c>
      <c r="Q1784">
        <v>7.2500000000000009</v>
      </c>
      <c r="R1784">
        <v>96.748000000000005</v>
      </c>
      <c r="S1784">
        <v>0.17571439050600002</v>
      </c>
      <c r="T1784" s="4" t="s">
        <v>3837</v>
      </c>
    </row>
    <row r="1785" spans="1:20" x14ac:dyDescent="0.2">
      <c r="A1785" s="4" t="s">
        <v>3108</v>
      </c>
      <c r="B1785" s="4" t="s">
        <v>3835</v>
      </c>
      <c r="C1785" s="4" t="s">
        <v>2096</v>
      </c>
      <c r="D1785" s="4" t="s">
        <v>2236</v>
      </c>
      <c r="E1785" s="4" t="s">
        <v>1953</v>
      </c>
      <c r="F1785" s="4" t="s">
        <v>3836</v>
      </c>
      <c r="G1785" s="4" t="s">
        <v>3108</v>
      </c>
      <c r="H1785" s="4" t="s">
        <v>2183</v>
      </c>
      <c r="I1785" s="4" t="s">
        <v>2100</v>
      </c>
      <c r="J1785" s="4" t="s">
        <v>2990</v>
      </c>
      <c r="K1785">
        <v>18</v>
      </c>
      <c r="L1785">
        <v>5.4863999999999997</v>
      </c>
      <c r="M1785">
        <v>184.15</v>
      </c>
      <c r="N1785">
        <v>184.15</v>
      </c>
      <c r="O1785">
        <v>216</v>
      </c>
      <c r="P1785">
        <v>7.2500000000000009</v>
      </c>
      <c r="Q1785">
        <v>7.2500000000000009</v>
      </c>
      <c r="R1785">
        <v>96.748000000000005</v>
      </c>
      <c r="S1785">
        <v>0.186050531124</v>
      </c>
      <c r="T1785" s="4" t="s">
        <v>3837</v>
      </c>
    </row>
    <row r="1786" spans="1:20" x14ac:dyDescent="0.2">
      <c r="A1786" s="4" t="s">
        <v>3108</v>
      </c>
      <c r="B1786" s="4" t="s">
        <v>3835</v>
      </c>
      <c r="C1786" s="4" t="s">
        <v>2096</v>
      </c>
      <c r="D1786" s="4" t="s">
        <v>2236</v>
      </c>
      <c r="E1786" s="4" t="s">
        <v>3843</v>
      </c>
      <c r="F1786" s="4" t="s">
        <v>3836</v>
      </c>
      <c r="G1786" s="4" t="s">
        <v>3108</v>
      </c>
      <c r="H1786" s="4" t="s">
        <v>2183</v>
      </c>
      <c r="I1786" s="4" t="s">
        <v>2100</v>
      </c>
      <c r="J1786" s="4" t="s">
        <v>2990</v>
      </c>
      <c r="K1786">
        <v>19</v>
      </c>
      <c r="L1786">
        <v>5.7911999999999999</v>
      </c>
      <c r="M1786">
        <v>184.15</v>
      </c>
      <c r="N1786">
        <v>184.15</v>
      </c>
      <c r="O1786">
        <v>228</v>
      </c>
      <c r="P1786">
        <v>7.2500000000000009</v>
      </c>
      <c r="Q1786">
        <v>7.2500000000000009</v>
      </c>
      <c r="R1786">
        <v>96.748000000000005</v>
      </c>
      <c r="S1786">
        <v>0.196386671742</v>
      </c>
      <c r="T1786" s="4" t="s">
        <v>3837</v>
      </c>
    </row>
    <row r="1787" spans="1:20" x14ac:dyDescent="0.2">
      <c r="A1787" s="4" t="s">
        <v>3108</v>
      </c>
      <c r="B1787" s="4" t="s">
        <v>3835</v>
      </c>
      <c r="C1787" s="4" t="s">
        <v>2096</v>
      </c>
      <c r="D1787" s="4" t="s">
        <v>2236</v>
      </c>
      <c r="E1787" s="4" t="s">
        <v>805</v>
      </c>
      <c r="F1787" s="4" t="s">
        <v>3836</v>
      </c>
      <c r="G1787" s="4" t="s">
        <v>3108</v>
      </c>
      <c r="H1787" s="4" t="s">
        <v>2183</v>
      </c>
      <c r="I1787" s="4" t="s">
        <v>2100</v>
      </c>
      <c r="J1787" s="4" t="s">
        <v>2990</v>
      </c>
      <c r="K1787">
        <v>20</v>
      </c>
      <c r="L1787">
        <v>6.0960000000000001</v>
      </c>
      <c r="M1787">
        <v>184.15</v>
      </c>
      <c r="N1787">
        <v>184.15</v>
      </c>
      <c r="O1787">
        <v>240</v>
      </c>
      <c r="P1787">
        <v>7.2500000000000009</v>
      </c>
      <c r="Q1787">
        <v>7.2500000000000009</v>
      </c>
      <c r="R1787">
        <v>96.748000000000005</v>
      </c>
      <c r="S1787">
        <v>0.20672281236000004</v>
      </c>
      <c r="T1787" s="4" t="s">
        <v>3837</v>
      </c>
    </row>
    <row r="1788" spans="1:20" x14ac:dyDescent="0.2">
      <c r="A1788" s="4" t="s">
        <v>3108</v>
      </c>
      <c r="B1788" s="4" t="s">
        <v>3835</v>
      </c>
      <c r="C1788" s="4" t="s">
        <v>2096</v>
      </c>
      <c r="D1788" s="4" t="s">
        <v>2236</v>
      </c>
      <c r="E1788" s="4" t="s">
        <v>3844</v>
      </c>
      <c r="F1788" s="4" t="s">
        <v>3836</v>
      </c>
      <c r="G1788" s="4" t="s">
        <v>3108</v>
      </c>
      <c r="H1788" s="4" t="s">
        <v>2183</v>
      </c>
      <c r="I1788" s="4" t="s">
        <v>2100</v>
      </c>
      <c r="J1788" s="4" t="s">
        <v>2990</v>
      </c>
      <c r="K1788">
        <v>21</v>
      </c>
      <c r="L1788">
        <v>6.4008000000000003</v>
      </c>
      <c r="M1788">
        <v>184.15</v>
      </c>
      <c r="N1788">
        <v>184.15</v>
      </c>
      <c r="O1788">
        <v>252.00000000000003</v>
      </c>
      <c r="P1788">
        <v>7.2500000000000009</v>
      </c>
      <c r="Q1788">
        <v>7.2500000000000009</v>
      </c>
      <c r="R1788">
        <v>96.748000000000005</v>
      </c>
      <c r="S1788">
        <v>0.21705895297800001</v>
      </c>
      <c r="T1788" s="4" t="s">
        <v>3837</v>
      </c>
    </row>
    <row r="1789" spans="1:20" x14ac:dyDescent="0.2">
      <c r="A1789" s="4" t="s">
        <v>3108</v>
      </c>
      <c r="B1789" s="4" t="s">
        <v>3835</v>
      </c>
      <c r="C1789" s="4" t="s">
        <v>2096</v>
      </c>
      <c r="D1789" s="4" t="s">
        <v>2236</v>
      </c>
      <c r="E1789" s="4" t="s">
        <v>1955</v>
      </c>
      <c r="F1789" s="4" t="s">
        <v>3836</v>
      </c>
      <c r="G1789" s="4" t="s">
        <v>3108</v>
      </c>
      <c r="H1789" s="4" t="s">
        <v>2183</v>
      </c>
      <c r="I1789" s="4" t="s">
        <v>2100</v>
      </c>
      <c r="J1789" s="4" t="s">
        <v>2990</v>
      </c>
      <c r="K1789">
        <v>22</v>
      </c>
      <c r="L1789">
        <v>6.7055999999999996</v>
      </c>
      <c r="M1789">
        <v>184.15</v>
      </c>
      <c r="N1789">
        <v>184.15</v>
      </c>
      <c r="O1789">
        <v>264</v>
      </c>
      <c r="P1789">
        <v>7.2500000000000009</v>
      </c>
      <c r="Q1789">
        <v>7.2500000000000009</v>
      </c>
      <c r="R1789">
        <v>96.748000000000005</v>
      </c>
      <c r="S1789">
        <v>0.22739509359599999</v>
      </c>
      <c r="T1789" s="4" t="s">
        <v>3837</v>
      </c>
    </row>
    <row r="1790" spans="1:20" x14ac:dyDescent="0.2">
      <c r="A1790" s="4" t="s">
        <v>3108</v>
      </c>
      <c r="B1790" s="4" t="s">
        <v>3835</v>
      </c>
      <c r="C1790" s="4" t="s">
        <v>2286</v>
      </c>
      <c r="D1790" s="4" t="s">
        <v>2236</v>
      </c>
      <c r="E1790" s="4" t="s">
        <v>3845</v>
      </c>
      <c r="F1790" s="4" t="s">
        <v>3836</v>
      </c>
      <c r="G1790" s="4" t="s">
        <v>3108</v>
      </c>
      <c r="H1790" s="4" t="s">
        <v>2183</v>
      </c>
      <c r="I1790" s="4" t="s">
        <v>2100</v>
      </c>
      <c r="J1790" s="4" t="s">
        <v>2990</v>
      </c>
      <c r="K1790">
        <v>3</v>
      </c>
      <c r="L1790">
        <v>0.91439999999999999</v>
      </c>
      <c r="M1790">
        <v>184.15</v>
      </c>
      <c r="N1790">
        <v>184.15</v>
      </c>
      <c r="O1790">
        <v>36</v>
      </c>
      <c r="P1790">
        <v>7.2500000000000009</v>
      </c>
      <c r="Q1790">
        <v>7.2500000000000009</v>
      </c>
      <c r="R1790">
        <v>96.748000000000005</v>
      </c>
      <c r="S1790">
        <v>3.1008421854E-2</v>
      </c>
      <c r="T1790" s="4" t="s">
        <v>3846</v>
      </c>
    </row>
    <row r="1791" spans="1:20" x14ac:dyDescent="0.2">
      <c r="A1791" s="4" t="s">
        <v>3108</v>
      </c>
      <c r="B1791" s="4" t="s">
        <v>3835</v>
      </c>
      <c r="C1791" s="4" t="s">
        <v>2286</v>
      </c>
      <c r="D1791" s="4" t="s">
        <v>2236</v>
      </c>
      <c r="E1791" s="4" t="s">
        <v>3847</v>
      </c>
      <c r="F1791" s="4" t="s">
        <v>3836</v>
      </c>
      <c r="G1791" s="4" t="s">
        <v>3108</v>
      </c>
      <c r="H1791" s="4" t="s">
        <v>2183</v>
      </c>
      <c r="I1791" s="4" t="s">
        <v>2100</v>
      </c>
      <c r="J1791" s="4" t="s">
        <v>2990</v>
      </c>
      <c r="K1791">
        <v>4</v>
      </c>
      <c r="L1791">
        <v>1.2192000000000001</v>
      </c>
      <c r="M1791">
        <v>184.15</v>
      </c>
      <c r="N1791">
        <v>184.15</v>
      </c>
      <c r="O1791">
        <v>48.000000000000007</v>
      </c>
      <c r="P1791">
        <v>7.2500000000000009</v>
      </c>
      <c r="Q1791">
        <v>7.2500000000000009</v>
      </c>
      <c r="R1791">
        <v>96.748000000000005</v>
      </c>
      <c r="S1791">
        <v>4.134456247200001E-2</v>
      </c>
      <c r="T1791" s="4" t="s">
        <v>3846</v>
      </c>
    </row>
    <row r="1792" spans="1:20" x14ac:dyDescent="0.2">
      <c r="A1792" s="4" t="s">
        <v>3108</v>
      </c>
      <c r="B1792" s="4" t="s">
        <v>3835</v>
      </c>
      <c r="C1792" s="4" t="s">
        <v>2286</v>
      </c>
      <c r="D1792" s="4" t="s">
        <v>2236</v>
      </c>
      <c r="E1792" s="4" t="s">
        <v>3848</v>
      </c>
      <c r="F1792" s="4" t="s">
        <v>3836</v>
      </c>
      <c r="G1792" s="4" t="s">
        <v>3108</v>
      </c>
      <c r="H1792" s="4" t="s">
        <v>2183</v>
      </c>
      <c r="I1792" s="4" t="s">
        <v>2100</v>
      </c>
      <c r="J1792" s="4" t="s">
        <v>2990</v>
      </c>
      <c r="K1792">
        <v>5</v>
      </c>
      <c r="L1792">
        <v>1.524</v>
      </c>
      <c r="M1792">
        <v>184.15</v>
      </c>
      <c r="N1792">
        <v>184.15</v>
      </c>
      <c r="O1792">
        <v>60</v>
      </c>
      <c r="P1792">
        <v>7.2500000000000009</v>
      </c>
      <c r="Q1792">
        <v>7.2500000000000009</v>
      </c>
      <c r="R1792">
        <v>96.748000000000005</v>
      </c>
      <c r="S1792">
        <v>5.1680703090000009E-2</v>
      </c>
      <c r="T1792" s="4" t="s">
        <v>3846</v>
      </c>
    </row>
    <row r="1793" spans="1:20" x14ac:dyDescent="0.2">
      <c r="A1793" s="4" t="s">
        <v>3108</v>
      </c>
      <c r="B1793" s="4" t="s">
        <v>3835</v>
      </c>
      <c r="C1793" s="4" t="s">
        <v>2286</v>
      </c>
      <c r="D1793" s="4" t="s">
        <v>2236</v>
      </c>
      <c r="E1793" s="4" t="s">
        <v>3849</v>
      </c>
      <c r="F1793" s="4" t="s">
        <v>3836</v>
      </c>
      <c r="G1793" s="4" t="s">
        <v>3108</v>
      </c>
      <c r="H1793" s="4" t="s">
        <v>2183</v>
      </c>
      <c r="I1793" s="4" t="s">
        <v>2100</v>
      </c>
      <c r="J1793" s="4" t="s">
        <v>2990</v>
      </c>
      <c r="K1793">
        <v>6</v>
      </c>
      <c r="L1793">
        <v>1.8288</v>
      </c>
      <c r="M1793">
        <v>184.15</v>
      </c>
      <c r="N1793">
        <v>184.15</v>
      </c>
      <c r="O1793">
        <v>72</v>
      </c>
      <c r="P1793">
        <v>7.2500000000000009</v>
      </c>
      <c r="Q1793">
        <v>7.2500000000000009</v>
      </c>
      <c r="R1793">
        <v>96.748000000000005</v>
      </c>
      <c r="S1793">
        <v>6.2016843708000001E-2</v>
      </c>
      <c r="T1793" s="4" t="s">
        <v>3846</v>
      </c>
    </row>
    <row r="1794" spans="1:20" x14ac:dyDescent="0.2">
      <c r="A1794" s="4" t="s">
        <v>3108</v>
      </c>
      <c r="B1794" s="4" t="s">
        <v>3835</v>
      </c>
      <c r="C1794" s="4" t="s">
        <v>2286</v>
      </c>
      <c r="D1794" s="4" t="s">
        <v>2236</v>
      </c>
      <c r="E1794" s="4" t="s">
        <v>3850</v>
      </c>
      <c r="F1794" s="4" t="s">
        <v>3836</v>
      </c>
      <c r="G1794" s="4" t="s">
        <v>3108</v>
      </c>
      <c r="H1794" s="4" t="s">
        <v>2183</v>
      </c>
      <c r="I1794" s="4" t="s">
        <v>2100</v>
      </c>
      <c r="J1794" s="4" t="s">
        <v>2990</v>
      </c>
      <c r="K1794">
        <v>7</v>
      </c>
      <c r="L1794">
        <v>2.1335999999999999</v>
      </c>
      <c r="M1794">
        <v>184.15</v>
      </c>
      <c r="N1794">
        <v>184.15</v>
      </c>
      <c r="O1794">
        <v>84</v>
      </c>
      <c r="P1794">
        <v>7.2500000000000009</v>
      </c>
      <c r="Q1794">
        <v>7.2500000000000009</v>
      </c>
      <c r="R1794">
        <v>96.748000000000005</v>
      </c>
      <c r="S1794">
        <v>7.2352984326000014E-2</v>
      </c>
      <c r="T1794" s="4" t="s">
        <v>3846</v>
      </c>
    </row>
    <row r="1795" spans="1:20" x14ac:dyDescent="0.2">
      <c r="A1795" s="4" t="s">
        <v>3108</v>
      </c>
      <c r="B1795" s="4" t="s">
        <v>3835</v>
      </c>
      <c r="C1795" s="4" t="s">
        <v>2096</v>
      </c>
      <c r="D1795" s="4" t="s">
        <v>2236</v>
      </c>
      <c r="E1795" s="4" t="s">
        <v>3851</v>
      </c>
      <c r="F1795" s="4" t="s">
        <v>3836</v>
      </c>
      <c r="G1795" s="4" t="s">
        <v>3108</v>
      </c>
      <c r="H1795" s="4" t="s">
        <v>2183</v>
      </c>
      <c r="I1795" s="4" t="s">
        <v>2100</v>
      </c>
      <c r="J1795" s="4" t="s">
        <v>2990</v>
      </c>
      <c r="K1795">
        <v>8</v>
      </c>
      <c r="L1795">
        <v>2.4384000000000001</v>
      </c>
      <c r="M1795">
        <v>184.15</v>
      </c>
      <c r="N1795">
        <v>184.15</v>
      </c>
      <c r="O1795">
        <v>96.000000000000014</v>
      </c>
      <c r="P1795">
        <v>7.2500000000000009</v>
      </c>
      <c r="Q1795">
        <v>7.2500000000000009</v>
      </c>
      <c r="R1795">
        <v>96.748000000000005</v>
      </c>
      <c r="S1795">
        <v>8.268912494400002E-2</v>
      </c>
      <c r="T1795" s="4" t="s">
        <v>3837</v>
      </c>
    </row>
    <row r="1796" spans="1:20" x14ac:dyDescent="0.2">
      <c r="A1796" s="4" t="s">
        <v>3108</v>
      </c>
      <c r="B1796" s="4" t="s">
        <v>3835</v>
      </c>
      <c r="C1796" s="4" t="s">
        <v>2096</v>
      </c>
      <c r="D1796" s="4" t="s">
        <v>2236</v>
      </c>
      <c r="E1796" s="4" t="s">
        <v>3852</v>
      </c>
      <c r="F1796" s="4" t="s">
        <v>3836</v>
      </c>
      <c r="G1796" s="4" t="s">
        <v>3108</v>
      </c>
      <c r="H1796" s="4" t="s">
        <v>2183</v>
      </c>
      <c r="I1796" s="4" t="s">
        <v>2100</v>
      </c>
      <c r="J1796" s="4" t="s">
        <v>2990</v>
      </c>
      <c r="K1796">
        <v>9</v>
      </c>
      <c r="L1796">
        <v>2.7431999999999999</v>
      </c>
      <c r="M1796">
        <v>184.15</v>
      </c>
      <c r="N1796">
        <v>184.15</v>
      </c>
      <c r="O1796">
        <v>108</v>
      </c>
      <c r="P1796">
        <v>7.2500000000000009</v>
      </c>
      <c r="Q1796">
        <v>7.2500000000000009</v>
      </c>
      <c r="R1796">
        <v>96.748000000000005</v>
      </c>
      <c r="S1796">
        <v>9.3025265561999998E-2</v>
      </c>
      <c r="T1796" s="4" t="s">
        <v>3837</v>
      </c>
    </row>
    <row r="1797" spans="1:20" x14ac:dyDescent="0.2">
      <c r="A1797" s="4" t="s">
        <v>3108</v>
      </c>
      <c r="B1797" s="4" t="s">
        <v>3239</v>
      </c>
      <c r="C1797" s="4" t="s">
        <v>3110</v>
      </c>
      <c r="D1797" s="4" t="s">
        <v>2236</v>
      </c>
      <c r="E1797" s="4" t="s">
        <v>3853</v>
      </c>
      <c r="F1797" s="4" t="s">
        <v>3854</v>
      </c>
      <c r="G1797" s="4" t="s">
        <v>3108</v>
      </c>
      <c r="H1797" s="4" t="s">
        <v>2183</v>
      </c>
      <c r="I1797" s="4" t="s">
        <v>3110</v>
      </c>
      <c r="J1797" s="4" t="s">
        <v>2153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 s="4" t="s">
        <v>3855</v>
      </c>
    </row>
    <row r="1798" spans="1:20" x14ac:dyDescent="0.2">
      <c r="A1798" s="4" t="s">
        <v>3108</v>
      </c>
      <c r="B1798" s="4" t="s">
        <v>3194</v>
      </c>
      <c r="C1798" s="4" t="s">
        <v>3110</v>
      </c>
      <c r="D1798" s="4" t="s">
        <v>2236</v>
      </c>
      <c r="E1798" s="4" t="s">
        <v>3856</v>
      </c>
      <c r="F1798" s="4" t="s">
        <v>3857</v>
      </c>
      <c r="G1798" s="4" t="s">
        <v>3108</v>
      </c>
      <c r="H1798" s="4" t="s">
        <v>3010</v>
      </c>
      <c r="I1798" s="4" t="s">
        <v>3110</v>
      </c>
      <c r="J1798" s="4" t="s">
        <v>2384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 s="4" t="s">
        <v>3858</v>
      </c>
    </row>
    <row r="1799" spans="1:20" x14ac:dyDescent="0.2">
      <c r="A1799" s="4" t="s">
        <v>3108</v>
      </c>
      <c r="B1799" s="4" t="s">
        <v>3859</v>
      </c>
      <c r="C1799" s="4" t="s">
        <v>3018</v>
      </c>
      <c r="D1799" s="4" t="s">
        <v>2236</v>
      </c>
      <c r="E1799" s="4" t="s">
        <v>3860</v>
      </c>
      <c r="F1799" s="4" t="s">
        <v>3861</v>
      </c>
      <c r="G1799" s="4" t="s">
        <v>3108</v>
      </c>
      <c r="H1799" s="4" t="s">
        <v>3018</v>
      </c>
      <c r="I1799" s="4" t="s">
        <v>2100</v>
      </c>
      <c r="J1799" s="4" t="s">
        <v>3862</v>
      </c>
      <c r="K1799">
        <v>12</v>
      </c>
      <c r="L1799">
        <v>0.3</v>
      </c>
      <c r="M1799">
        <v>12</v>
      </c>
      <c r="N1799">
        <v>73</v>
      </c>
      <c r="O1799">
        <v>11.811023622047244</v>
      </c>
      <c r="P1799">
        <v>0.47244094488188981</v>
      </c>
      <c r="Q1799">
        <v>2.8740157480314963</v>
      </c>
      <c r="R1799">
        <v>3745.2510000000002</v>
      </c>
      <c r="S1799">
        <v>0</v>
      </c>
      <c r="T1799" s="4" t="s">
        <v>3863</v>
      </c>
    </row>
    <row r="1800" spans="1:20" x14ac:dyDescent="0.2">
      <c r="A1800" s="4" t="s">
        <v>3108</v>
      </c>
      <c r="B1800" s="4" t="s">
        <v>3864</v>
      </c>
      <c r="C1800" s="4" t="s">
        <v>3018</v>
      </c>
      <c r="D1800" s="4" t="s">
        <v>2236</v>
      </c>
      <c r="E1800" s="4" t="s">
        <v>963</v>
      </c>
      <c r="F1800" s="4" t="s">
        <v>3865</v>
      </c>
      <c r="G1800" s="4" t="s">
        <v>3108</v>
      </c>
      <c r="H1800" s="4" t="s">
        <v>3018</v>
      </c>
      <c r="I1800" s="4" t="s">
        <v>2100</v>
      </c>
      <c r="J1800" s="4" t="s">
        <v>3020</v>
      </c>
      <c r="K1800">
        <v>24</v>
      </c>
      <c r="L1800">
        <v>0.60640000000000005</v>
      </c>
      <c r="M1800">
        <v>19</v>
      </c>
      <c r="N1800">
        <v>71</v>
      </c>
      <c r="O1800">
        <v>23.8740157480315</v>
      </c>
      <c r="P1800">
        <v>0.74803149606299213</v>
      </c>
      <c r="Q1800">
        <v>2.7952755905511815</v>
      </c>
      <c r="R1800">
        <v>2432.0529999999999</v>
      </c>
      <c r="S1800">
        <v>8.1803360000000012E-4</v>
      </c>
      <c r="T1800" s="4" t="s">
        <v>3866</v>
      </c>
    </row>
    <row r="1801" spans="1:20" x14ac:dyDescent="0.2">
      <c r="A1801" s="4" t="s">
        <v>3108</v>
      </c>
      <c r="B1801" s="4" t="s">
        <v>3867</v>
      </c>
      <c r="C1801" s="4" t="s">
        <v>3018</v>
      </c>
      <c r="D1801" s="4" t="s">
        <v>2236</v>
      </c>
      <c r="E1801" s="4" t="s">
        <v>3868</v>
      </c>
      <c r="F1801" s="4" t="s">
        <v>3869</v>
      </c>
      <c r="G1801" s="4" t="s">
        <v>3108</v>
      </c>
      <c r="H1801" s="4" t="s">
        <v>3018</v>
      </c>
      <c r="I1801" s="4" t="s">
        <v>2100</v>
      </c>
      <c r="J1801" s="4" t="s">
        <v>3024</v>
      </c>
      <c r="K1801">
        <v>48</v>
      </c>
      <c r="L1801">
        <v>1.2192000000000001</v>
      </c>
      <c r="M1801">
        <v>19</v>
      </c>
      <c r="N1801">
        <v>71</v>
      </c>
      <c r="O1801">
        <v>48.000000000000007</v>
      </c>
      <c r="P1801">
        <v>0.74803149606299213</v>
      </c>
      <c r="Q1801">
        <v>2.7952755905511815</v>
      </c>
      <c r="R1801">
        <v>2432.0529999999999</v>
      </c>
      <c r="S1801">
        <v>1.6447007999999999E-3</v>
      </c>
      <c r="T1801" s="4" t="s">
        <v>3870</v>
      </c>
    </row>
    <row r="1802" spans="1:20" x14ac:dyDescent="0.2">
      <c r="A1802" s="4" t="s">
        <v>3108</v>
      </c>
      <c r="B1802" s="4" t="s">
        <v>3871</v>
      </c>
      <c r="C1802" s="4" t="s">
        <v>3018</v>
      </c>
      <c r="D1802" s="4" t="s">
        <v>2236</v>
      </c>
      <c r="E1802" s="4" t="s">
        <v>3872</v>
      </c>
      <c r="F1802" s="4" t="s">
        <v>3873</v>
      </c>
      <c r="G1802" s="4" t="s">
        <v>3108</v>
      </c>
      <c r="H1802" s="4" t="s">
        <v>3018</v>
      </c>
      <c r="I1802" s="4" t="s">
        <v>2100</v>
      </c>
      <c r="J1802" s="4" t="s">
        <v>3874</v>
      </c>
      <c r="K1802">
        <v>72</v>
      </c>
      <c r="L1802">
        <v>1.8288</v>
      </c>
      <c r="M1802">
        <v>19</v>
      </c>
      <c r="N1802">
        <v>71</v>
      </c>
      <c r="O1802">
        <v>72</v>
      </c>
      <c r="P1802">
        <v>0.74803149606299213</v>
      </c>
      <c r="Q1802">
        <v>2.7952755905511815</v>
      </c>
      <c r="R1802">
        <v>2432.0529999999999</v>
      </c>
      <c r="S1802">
        <v>2.4670511999999997E-3</v>
      </c>
      <c r="T1802" s="4" t="s">
        <v>3875</v>
      </c>
    </row>
    <row r="1803" spans="1:20" x14ac:dyDescent="0.2">
      <c r="A1803" s="4" t="s">
        <v>3108</v>
      </c>
      <c r="B1803" s="4" t="s">
        <v>3876</v>
      </c>
      <c r="C1803" s="4" t="s">
        <v>3018</v>
      </c>
      <c r="D1803" s="4" t="s">
        <v>2236</v>
      </c>
      <c r="E1803" s="4" t="s">
        <v>965</v>
      </c>
      <c r="F1803" s="4" t="s">
        <v>3877</v>
      </c>
      <c r="G1803" s="4" t="s">
        <v>3108</v>
      </c>
      <c r="H1803" s="4" t="s">
        <v>3018</v>
      </c>
      <c r="I1803" s="4" t="s">
        <v>2100</v>
      </c>
      <c r="J1803" s="4" t="s">
        <v>3878</v>
      </c>
      <c r="K1803">
        <v>96</v>
      </c>
      <c r="L1803">
        <v>2.4384000000000001</v>
      </c>
      <c r="M1803">
        <v>19</v>
      </c>
      <c r="N1803">
        <v>71</v>
      </c>
      <c r="O1803">
        <v>96.000000000000014</v>
      </c>
      <c r="P1803">
        <v>0.74803149606299213</v>
      </c>
      <c r="Q1803">
        <v>2.7952755905511815</v>
      </c>
      <c r="R1803">
        <v>2432.0529999999999</v>
      </c>
      <c r="S1803">
        <v>3.2894015999999997E-3</v>
      </c>
      <c r="T1803" s="4" t="s">
        <v>3879</v>
      </c>
    </row>
    <row r="1804" spans="1:20" x14ac:dyDescent="0.2">
      <c r="A1804" s="4" t="s">
        <v>3880</v>
      </c>
      <c r="B1804" s="4" t="s">
        <v>3881</v>
      </c>
      <c r="C1804" s="4" t="s">
        <v>3018</v>
      </c>
      <c r="D1804" s="4" t="s">
        <v>2236</v>
      </c>
      <c r="E1804" s="4" t="s">
        <v>1957</v>
      </c>
      <c r="F1804" s="4" t="s">
        <v>3882</v>
      </c>
      <c r="G1804" s="4" t="s">
        <v>3880</v>
      </c>
      <c r="H1804" s="4" t="s">
        <v>3018</v>
      </c>
      <c r="I1804" s="4" t="s">
        <v>2100</v>
      </c>
      <c r="J1804" s="4" t="s">
        <v>3020</v>
      </c>
      <c r="K1804">
        <v>24</v>
      </c>
      <c r="L1804">
        <v>0.60640000000000005</v>
      </c>
      <c r="M1804">
        <v>19</v>
      </c>
      <c r="N1804">
        <v>71</v>
      </c>
      <c r="O1804">
        <v>23.8740157480315</v>
      </c>
      <c r="P1804">
        <v>0.74803149606299213</v>
      </c>
      <c r="Q1804">
        <v>2.7952755905511815</v>
      </c>
      <c r="R1804">
        <v>2432.0529999999999</v>
      </c>
      <c r="S1804">
        <v>8.1803360000000012E-4</v>
      </c>
      <c r="T1804" s="4" t="s">
        <v>3883</v>
      </c>
    </row>
    <row r="1805" spans="1:20" x14ac:dyDescent="0.2">
      <c r="A1805" s="4" t="s">
        <v>3884</v>
      </c>
      <c r="B1805" s="4" t="s">
        <v>3885</v>
      </c>
      <c r="C1805" s="4" t="s">
        <v>2096</v>
      </c>
      <c r="D1805" s="4" t="s">
        <v>2236</v>
      </c>
      <c r="E1805" s="4" t="s">
        <v>3886</v>
      </c>
      <c r="F1805" s="4" t="s">
        <v>3887</v>
      </c>
      <c r="G1805" s="4" t="s">
        <v>3884</v>
      </c>
      <c r="H1805" s="4" t="s">
        <v>2183</v>
      </c>
      <c r="I1805" s="4" t="s">
        <v>2100</v>
      </c>
      <c r="J1805" s="4" t="s">
        <v>2153</v>
      </c>
      <c r="K1805">
        <v>10</v>
      </c>
      <c r="L1805">
        <v>3.048</v>
      </c>
      <c r="M1805">
        <v>19.05</v>
      </c>
      <c r="N1805">
        <v>139.69999999999999</v>
      </c>
      <c r="O1805">
        <v>120</v>
      </c>
      <c r="P1805">
        <v>0.75000000000000011</v>
      </c>
      <c r="Q1805">
        <v>5.5</v>
      </c>
      <c r="R1805">
        <v>1232.8030000000001</v>
      </c>
      <c r="S1805">
        <v>8.1115966799999994E-3</v>
      </c>
      <c r="T1805" s="4" t="s">
        <v>3888</v>
      </c>
    </row>
    <row r="1806" spans="1:20" x14ac:dyDescent="0.2">
      <c r="A1806" s="4" t="s">
        <v>3884</v>
      </c>
      <c r="B1806" s="4" t="s">
        <v>3885</v>
      </c>
      <c r="C1806" s="4" t="s">
        <v>2096</v>
      </c>
      <c r="D1806" s="4" t="s">
        <v>2236</v>
      </c>
      <c r="E1806" s="4" t="s">
        <v>3889</v>
      </c>
      <c r="F1806" s="4" t="s">
        <v>3887</v>
      </c>
      <c r="G1806" s="4" t="s">
        <v>3884</v>
      </c>
      <c r="H1806" s="4" t="s">
        <v>2183</v>
      </c>
      <c r="I1806" s="4" t="s">
        <v>2100</v>
      </c>
      <c r="J1806" s="4" t="s">
        <v>2153</v>
      </c>
      <c r="K1806">
        <v>12</v>
      </c>
      <c r="L1806">
        <v>3.6576000000000004</v>
      </c>
      <c r="M1806">
        <v>19.05</v>
      </c>
      <c r="N1806">
        <v>139.69999999999999</v>
      </c>
      <c r="O1806">
        <v>144.00000000000003</v>
      </c>
      <c r="P1806">
        <v>0.75000000000000011</v>
      </c>
      <c r="Q1806">
        <v>5.5</v>
      </c>
      <c r="R1806">
        <v>1232.8030000000001</v>
      </c>
      <c r="S1806">
        <v>9.7339160160000004E-3</v>
      </c>
      <c r="T1806" s="4" t="s">
        <v>3888</v>
      </c>
    </row>
    <row r="1807" spans="1:20" x14ac:dyDescent="0.2">
      <c r="A1807" s="4" t="s">
        <v>3884</v>
      </c>
      <c r="B1807" s="4" t="s">
        <v>3885</v>
      </c>
      <c r="C1807" s="4" t="s">
        <v>2096</v>
      </c>
      <c r="D1807" s="4" t="s">
        <v>2236</v>
      </c>
      <c r="E1807" s="4" t="s">
        <v>3890</v>
      </c>
      <c r="F1807" s="4" t="s">
        <v>3887</v>
      </c>
      <c r="G1807" s="4" t="s">
        <v>3884</v>
      </c>
      <c r="H1807" s="4" t="s">
        <v>2183</v>
      </c>
      <c r="I1807" s="4" t="s">
        <v>2100</v>
      </c>
      <c r="J1807" s="4" t="s">
        <v>2153</v>
      </c>
      <c r="K1807">
        <v>14</v>
      </c>
      <c r="L1807">
        <v>4.2671999999999999</v>
      </c>
      <c r="M1807">
        <v>19.05</v>
      </c>
      <c r="N1807">
        <v>139.69999999999999</v>
      </c>
      <c r="O1807">
        <v>168</v>
      </c>
      <c r="P1807">
        <v>0.75000000000000011</v>
      </c>
      <c r="Q1807">
        <v>5.5</v>
      </c>
      <c r="R1807">
        <v>1232.8030000000001</v>
      </c>
      <c r="S1807">
        <v>1.1356235352E-2</v>
      </c>
      <c r="T1807" s="4" t="s">
        <v>3888</v>
      </c>
    </row>
    <row r="1808" spans="1:20" x14ac:dyDescent="0.2">
      <c r="A1808" s="4" t="s">
        <v>3884</v>
      </c>
      <c r="B1808" s="4" t="s">
        <v>3885</v>
      </c>
      <c r="C1808" s="4" t="s">
        <v>2096</v>
      </c>
      <c r="D1808" s="4" t="s">
        <v>2236</v>
      </c>
      <c r="E1808" s="4" t="s">
        <v>3891</v>
      </c>
      <c r="F1808" s="4" t="s">
        <v>3887</v>
      </c>
      <c r="G1808" s="4" t="s">
        <v>3884</v>
      </c>
      <c r="H1808" s="4" t="s">
        <v>2183</v>
      </c>
      <c r="I1808" s="4" t="s">
        <v>2100</v>
      </c>
      <c r="J1808" s="4" t="s">
        <v>2153</v>
      </c>
      <c r="K1808">
        <v>16</v>
      </c>
      <c r="L1808">
        <v>4.8768000000000002</v>
      </c>
      <c r="M1808">
        <v>19.05</v>
      </c>
      <c r="N1808">
        <v>139.69999999999999</v>
      </c>
      <c r="O1808">
        <v>192.00000000000003</v>
      </c>
      <c r="P1808">
        <v>0.75000000000000011</v>
      </c>
      <c r="Q1808">
        <v>5.5</v>
      </c>
      <c r="R1808">
        <v>1232.8030000000001</v>
      </c>
      <c r="S1808">
        <v>1.2978554687999999E-2</v>
      </c>
      <c r="T1808" s="4" t="s">
        <v>3888</v>
      </c>
    </row>
    <row r="1809" spans="1:20" x14ac:dyDescent="0.2">
      <c r="A1809" s="4" t="s">
        <v>3884</v>
      </c>
      <c r="B1809" s="4" t="s">
        <v>3885</v>
      </c>
      <c r="C1809" s="4" t="s">
        <v>2096</v>
      </c>
      <c r="D1809" s="4" t="s">
        <v>2236</v>
      </c>
      <c r="E1809" s="4" t="s">
        <v>3892</v>
      </c>
      <c r="F1809" s="4" t="s">
        <v>3887</v>
      </c>
      <c r="G1809" s="4" t="s">
        <v>3884</v>
      </c>
      <c r="H1809" s="4" t="s">
        <v>2183</v>
      </c>
      <c r="I1809" s="4" t="s">
        <v>2100</v>
      </c>
      <c r="J1809" s="4" t="s">
        <v>2153</v>
      </c>
      <c r="K1809">
        <v>18</v>
      </c>
      <c r="L1809">
        <v>5.4864000000000006</v>
      </c>
      <c r="M1809">
        <v>19.05</v>
      </c>
      <c r="N1809">
        <v>139.69999999999999</v>
      </c>
      <c r="O1809">
        <v>216.00000000000003</v>
      </c>
      <c r="P1809">
        <v>0.75000000000000011</v>
      </c>
      <c r="Q1809">
        <v>5.5</v>
      </c>
      <c r="R1809">
        <v>1232.8030000000001</v>
      </c>
      <c r="S1809">
        <v>1.4600874024000003E-2</v>
      </c>
      <c r="T1809" s="4" t="s">
        <v>3888</v>
      </c>
    </row>
    <row r="1810" spans="1:20" x14ac:dyDescent="0.2">
      <c r="A1810" s="4" t="s">
        <v>3884</v>
      </c>
      <c r="B1810" s="4" t="s">
        <v>3885</v>
      </c>
      <c r="C1810" s="4" t="s">
        <v>2096</v>
      </c>
      <c r="D1810" s="4" t="s">
        <v>2236</v>
      </c>
      <c r="E1810" s="4" t="s">
        <v>3893</v>
      </c>
      <c r="F1810" s="4" t="s">
        <v>3887</v>
      </c>
      <c r="G1810" s="4" t="s">
        <v>3884</v>
      </c>
      <c r="H1810" s="4" t="s">
        <v>2183</v>
      </c>
      <c r="I1810" s="4" t="s">
        <v>2100</v>
      </c>
      <c r="J1810" s="4" t="s">
        <v>2153</v>
      </c>
      <c r="K1810">
        <v>20</v>
      </c>
      <c r="L1810">
        <v>6.0960000000000001</v>
      </c>
      <c r="M1810">
        <v>19.05</v>
      </c>
      <c r="N1810">
        <v>139.69999999999999</v>
      </c>
      <c r="O1810">
        <v>240</v>
      </c>
      <c r="P1810">
        <v>0.75000000000000011</v>
      </c>
      <c r="Q1810">
        <v>5.5</v>
      </c>
      <c r="R1810">
        <v>1232.8030000000001</v>
      </c>
      <c r="S1810">
        <v>1.6223193359999999E-2</v>
      </c>
      <c r="T1810" s="4" t="s">
        <v>3888</v>
      </c>
    </row>
    <row r="1811" spans="1:20" x14ac:dyDescent="0.2">
      <c r="A1811" s="4" t="s">
        <v>3884</v>
      </c>
      <c r="B1811" s="4" t="s">
        <v>3885</v>
      </c>
      <c r="C1811" s="4" t="s">
        <v>2096</v>
      </c>
      <c r="D1811" s="4" t="s">
        <v>2236</v>
      </c>
      <c r="E1811" s="4" t="s">
        <v>3894</v>
      </c>
      <c r="F1811" s="4" t="s">
        <v>3887</v>
      </c>
      <c r="G1811" s="4" t="s">
        <v>3884</v>
      </c>
      <c r="H1811" s="4" t="s">
        <v>2183</v>
      </c>
      <c r="I1811" s="4" t="s">
        <v>2100</v>
      </c>
      <c r="J1811" s="4" t="s">
        <v>2153</v>
      </c>
      <c r="K1811">
        <v>22</v>
      </c>
      <c r="L1811">
        <v>6.7056000000000004</v>
      </c>
      <c r="M1811">
        <v>19.05</v>
      </c>
      <c r="N1811">
        <v>139.69999999999999</v>
      </c>
      <c r="O1811">
        <v>264</v>
      </c>
      <c r="P1811">
        <v>0.75000000000000011</v>
      </c>
      <c r="Q1811">
        <v>5.5</v>
      </c>
      <c r="R1811">
        <v>1232.8030000000001</v>
      </c>
      <c r="S1811">
        <v>1.7845512696000005E-2</v>
      </c>
      <c r="T1811" s="4" t="s">
        <v>3888</v>
      </c>
    </row>
    <row r="1812" spans="1:20" x14ac:dyDescent="0.2">
      <c r="A1812" s="4" t="s">
        <v>3884</v>
      </c>
      <c r="B1812" s="4" t="s">
        <v>3885</v>
      </c>
      <c r="C1812" s="4" t="s">
        <v>2096</v>
      </c>
      <c r="D1812" s="4" t="s">
        <v>2236</v>
      </c>
      <c r="E1812" s="4" t="s">
        <v>3895</v>
      </c>
      <c r="F1812" s="4" t="s">
        <v>3887</v>
      </c>
      <c r="G1812" s="4" t="s">
        <v>3884</v>
      </c>
      <c r="H1812" s="4" t="s">
        <v>2183</v>
      </c>
      <c r="I1812" s="4" t="s">
        <v>2100</v>
      </c>
      <c r="J1812" s="4" t="s">
        <v>2153</v>
      </c>
      <c r="K1812">
        <v>8</v>
      </c>
      <c r="L1812">
        <v>2.4384000000000001</v>
      </c>
      <c r="M1812">
        <v>19.05</v>
      </c>
      <c r="N1812">
        <v>139.69999999999999</v>
      </c>
      <c r="O1812">
        <v>96.000000000000014</v>
      </c>
      <c r="P1812">
        <v>0.75000000000000011</v>
      </c>
      <c r="Q1812">
        <v>5.5</v>
      </c>
      <c r="R1812">
        <v>1232.8030000000001</v>
      </c>
      <c r="S1812">
        <v>6.4892773439999994E-3</v>
      </c>
      <c r="T1812" s="4" t="s">
        <v>3888</v>
      </c>
    </row>
    <row r="1813" spans="1:20" x14ac:dyDescent="0.2">
      <c r="A1813" s="4" t="s">
        <v>3884</v>
      </c>
      <c r="B1813" s="4" t="s">
        <v>3896</v>
      </c>
      <c r="C1813" s="4" t="s">
        <v>2096</v>
      </c>
      <c r="D1813" s="4" t="s">
        <v>2236</v>
      </c>
      <c r="E1813" s="4" t="s">
        <v>3897</v>
      </c>
      <c r="F1813" s="4" t="s">
        <v>3898</v>
      </c>
      <c r="G1813" s="4" t="s">
        <v>3884</v>
      </c>
      <c r="H1813" s="4" t="s">
        <v>2183</v>
      </c>
      <c r="I1813" s="4" t="s">
        <v>2100</v>
      </c>
      <c r="J1813" s="4" t="s">
        <v>2432</v>
      </c>
      <c r="K1813">
        <v>10</v>
      </c>
      <c r="L1813">
        <v>3.048</v>
      </c>
      <c r="M1813">
        <v>19.05</v>
      </c>
      <c r="N1813">
        <v>184.15</v>
      </c>
      <c r="O1813">
        <v>120</v>
      </c>
      <c r="P1813">
        <v>0.75000000000000011</v>
      </c>
      <c r="Q1813">
        <v>7.2500000000000009</v>
      </c>
      <c r="R1813">
        <v>935.23</v>
      </c>
      <c r="S1813">
        <v>1.0692559260000001E-2</v>
      </c>
      <c r="T1813" s="4" t="s">
        <v>3899</v>
      </c>
    </row>
    <row r="1814" spans="1:20" x14ac:dyDescent="0.2">
      <c r="A1814" s="4" t="s">
        <v>3884</v>
      </c>
      <c r="B1814" s="4" t="s">
        <v>3896</v>
      </c>
      <c r="C1814" s="4" t="s">
        <v>2096</v>
      </c>
      <c r="D1814" s="4" t="s">
        <v>2236</v>
      </c>
      <c r="E1814" s="4" t="s">
        <v>3900</v>
      </c>
      <c r="F1814" s="4" t="s">
        <v>3898</v>
      </c>
      <c r="G1814" s="4" t="s">
        <v>3884</v>
      </c>
      <c r="H1814" s="4" t="s">
        <v>2183</v>
      </c>
      <c r="I1814" s="4" t="s">
        <v>2100</v>
      </c>
      <c r="J1814" s="4" t="s">
        <v>2432</v>
      </c>
      <c r="K1814">
        <v>12</v>
      </c>
      <c r="L1814">
        <v>3.6576000000000004</v>
      </c>
      <c r="M1814">
        <v>19.05</v>
      </c>
      <c r="N1814">
        <v>184.15</v>
      </c>
      <c r="O1814">
        <v>144.00000000000003</v>
      </c>
      <c r="P1814">
        <v>0.75000000000000011</v>
      </c>
      <c r="Q1814">
        <v>7.2500000000000009</v>
      </c>
      <c r="R1814">
        <v>935.23</v>
      </c>
      <c r="S1814">
        <v>1.2831071112000002E-2</v>
      </c>
      <c r="T1814" s="4" t="s">
        <v>3899</v>
      </c>
    </row>
    <row r="1815" spans="1:20" x14ac:dyDescent="0.2">
      <c r="A1815" s="4" t="s">
        <v>3884</v>
      </c>
      <c r="B1815" s="4" t="s">
        <v>3896</v>
      </c>
      <c r="C1815" s="4" t="s">
        <v>2096</v>
      </c>
      <c r="D1815" s="4" t="s">
        <v>2236</v>
      </c>
      <c r="E1815" s="4" t="s">
        <v>3901</v>
      </c>
      <c r="F1815" s="4" t="s">
        <v>3898</v>
      </c>
      <c r="G1815" s="4" t="s">
        <v>3884</v>
      </c>
      <c r="H1815" s="4" t="s">
        <v>2183</v>
      </c>
      <c r="I1815" s="4" t="s">
        <v>2100</v>
      </c>
      <c r="J1815" s="4" t="s">
        <v>2432</v>
      </c>
      <c r="K1815">
        <v>14</v>
      </c>
      <c r="L1815">
        <v>4.2671999999999999</v>
      </c>
      <c r="M1815">
        <v>19.05</v>
      </c>
      <c r="N1815">
        <v>184.15</v>
      </c>
      <c r="O1815">
        <v>168</v>
      </c>
      <c r="P1815">
        <v>0.75000000000000011</v>
      </c>
      <c r="Q1815">
        <v>7.2500000000000009</v>
      </c>
      <c r="R1815">
        <v>935.23</v>
      </c>
      <c r="S1815">
        <v>1.4969582964E-2</v>
      </c>
      <c r="T1815" s="4" t="s">
        <v>3899</v>
      </c>
    </row>
    <row r="1816" spans="1:20" x14ac:dyDescent="0.2">
      <c r="A1816" s="4" t="s">
        <v>3884</v>
      </c>
      <c r="B1816" s="4" t="s">
        <v>3896</v>
      </c>
      <c r="C1816" s="4" t="s">
        <v>2096</v>
      </c>
      <c r="D1816" s="4" t="s">
        <v>2236</v>
      </c>
      <c r="E1816" s="4" t="s">
        <v>3902</v>
      </c>
      <c r="F1816" s="4" t="s">
        <v>3898</v>
      </c>
      <c r="G1816" s="4" t="s">
        <v>3884</v>
      </c>
      <c r="H1816" s="4" t="s">
        <v>2183</v>
      </c>
      <c r="I1816" s="4" t="s">
        <v>2100</v>
      </c>
      <c r="J1816" s="4" t="s">
        <v>2432</v>
      </c>
      <c r="K1816">
        <v>16</v>
      </c>
      <c r="L1816">
        <v>4.8768000000000002</v>
      </c>
      <c r="M1816">
        <v>19.05</v>
      </c>
      <c r="N1816">
        <v>184.15</v>
      </c>
      <c r="O1816">
        <v>192.00000000000003</v>
      </c>
      <c r="P1816">
        <v>0.75000000000000011</v>
      </c>
      <c r="Q1816">
        <v>7.2500000000000009</v>
      </c>
      <c r="R1816">
        <v>935.23</v>
      </c>
      <c r="S1816">
        <v>1.7108094816000001E-2</v>
      </c>
      <c r="T1816" s="4" t="s">
        <v>3899</v>
      </c>
    </row>
    <row r="1817" spans="1:20" x14ac:dyDescent="0.2">
      <c r="A1817" s="4" t="s">
        <v>3884</v>
      </c>
      <c r="B1817" s="4" t="s">
        <v>3896</v>
      </c>
      <c r="C1817" s="4" t="s">
        <v>2096</v>
      </c>
      <c r="D1817" s="4" t="s">
        <v>2236</v>
      </c>
      <c r="E1817" s="4" t="s">
        <v>3903</v>
      </c>
      <c r="F1817" s="4" t="s">
        <v>3898</v>
      </c>
      <c r="G1817" s="4" t="s">
        <v>3884</v>
      </c>
      <c r="H1817" s="4" t="s">
        <v>2183</v>
      </c>
      <c r="I1817" s="4" t="s">
        <v>2100</v>
      </c>
      <c r="J1817" s="4" t="s">
        <v>2432</v>
      </c>
      <c r="K1817">
        <v>18</v>
      </c>
      <c r="L1817">
        <v>5.4864000000000006</v>
      </c>
      <c r="M1817">
        <v>19.05</v>
      </c>
      <c r="N1817">
        <v>184.15</v>
      </c>
      <c r="O1817">
        <v>216.00000000000003</v>
      </c>
      <c r="P1817">
        <v>0.75000000000000011</v>
      </c>
      <c r="Q1817">
        <v>7.2500000000000009</v>
      </c>
      <c r="R1817">
        <v>935.23</v>
      </c>
      <c r="S1817">
        <v>1.9246606668000005E-2</v>
      </c>
      <c r="T1817" s="4" t="s">
        <v>3899</v>
      </c>
    </row>
    <row r="1818" spans="1:20" x14ac:dyDescent="0.2">
      <c r="A1818" s="4" t="s">
        <v>3884</v>
      </c>
      <c r="B1818" s="4" t="s">
        <v>3896</v>
      </c>
      <c r="C1818" s="4" t="s">
        <v>2096</v>
      </c>
      <c r="D1818" s="4" t="s">
        <v>2236</v>
      </c>
      <c r="E1818" s="4" t="s">
        <v>3904</v>
      </c>
      <c r="F1818" s="4" t="s">
        <v>3898</v>
      </c>
      <c r="G1818" s="4" t="s">
        <v>3884</v>
      </c>
      <c r="H1818" s="4" t="s">
        <v>2183</v>
      </c>
      <c r="I1818" s="4" t="s">
        <v>2100</v>
      </c>
      <c r="J1818" s="4" t="s">
        <v>2432</v>
      </c>
      <c r="K1818">
        <v>20</v>
      </c>
      <c r="L1818">
        <v>6.0960000000000001</v>
      </c>
      <c r="M1818">
        <v>19.05</v>
      </c>
      <c r="N1818">
        <v>184.15</v>
      </c>
      <c r="O1818">
        <v>240</v>
      </c>
      <c r="P1818">
        <v>0.75000000000000011</v>
      </c>
      <c r="Q1818">
        <v>7.2500000000000009</v>
      </c>
      <c r="R1818">
        <v>935.23</v>
      </c>
      <c r="S1818">
        <v>2.1385118520000003E-2</v>
      </c>
      <c r="T1818" s="4" t="s">
        <v>3899</v>
      </c>
    </row>
    <row r="1819" spans="1:20" x14ac:dyDescent="0.2">
      <c r="A1819" s="4" t="s">
        <v>3884</v>
      </c>
      <c r="B1819" s="4" t="s">
        <v>3896</v>
      </c>
      <c r="C1819" s="4" t="s">
        <v>2096</v>
      </c>
      <c r="D1819" s="4" t="s">
        <v>2236</v>
      </c>
      <c r="E1819" s="4" t="s">
        <v>3905</v>
      </c>
      <c r="F1819" s="4" t="s">
        <v>3898</v>
      </c>
      <c r="G1819" s="4" t="s">
        <v>3884</v>
      </c>
      <c r="H1819" s="4" t="s">
        <v>2183</v>
      </c>
      <c r="I1819" s="4" t="s">
        <v>2100</v>
      </c>
      <c r="J1819" s="4" t="s">
        <v>2432</v>
      </c>
      <c r="K1819">
        <v>22</v>
      </c>
      <c r="L1819">
        <v>6.7056000000000004</v>
      </c>
      <c r="M1819">
        <v>19.05</v>
      </c>
      <c r="N1819">
        <v>184.15</v>
      </c>
      <c r="O1819">
        <v>264</v>
      </c>
      <c r="P1819">
        <v>0.75000000000000011</v>
      </c>
      <c r="Q1819">
        <v>7.2500000000000009</v>
      </c>
      <c r="R1819">
        <v>935.23</v>
      </c>
      <c r="S1819">
        <v>2.3523630372000007E-2</v>
      </c>
      <c r="T1819" s="4" t="s">
        <v>3899</v>
      </c>
    </row>
    <row r="1820" spans="1:20" x14ac:dyDescent="0.2">
      <c r="A1820" s="4" t="s">
        <v>3884</v>
      </c>
      <c r="B1820" s="4" t="s">
        <v>3896</v>
      </c>
      <c r="C1820" s="4" t="s">
        <v>2096</v>
      </c>
      <c r="D1820" s="4" t="s">
        <v>2236</v>
      </c>
      <c r="E1820" s="4" t="s">
        <v>3906</v>
      </c>
      <c r="F1820" s="4" t="s">
        <v>3898</v>
      </c>
      <c r="G1820" s="4" t="s">
        <v>3884</v>
      </c>
      <c r="H1820" s="4" t="s">
        <v>2183</v>
      </c>
      <c r="I1820" s="4" t="s">
        <v>2100</v>
      </c>
      <c r="J1820" s="4" t="s">
        <v>2432</v>
      </c>
      <c r="K1820">
        <v>8</v>
      </c>
      <c r="L1820">
        <v>2.4384000000000001</v>
      </c>
      <c r="M1820">
        <v>19.05</v>
      </c>
      <c r="N1820">
        <v>184.15</v>
      </c>
      <c r="O1820">
        <v>96.000000000000014</v>
      </c>
      <c r="P1820">
        <v>0.75000000000000011</v>
      </c>
      <c r="Q1820">
        <v>7.2500000000000009</v>
      </c>
      <c r="R1820">
        <v>935.23</v>
      </c>
      <c r="S1820">
        <v>8.5540474080000005E-3</v>
      </c>
      <c r="T1820" s="4" t="s">
        <v>3899</v>
      </c>
    </row>
    <row r="1821" spans="1:20" x14ac:dyDescent="0.2">
      <c r="A1821" s="4" t="s">
        <v>3884</v>
      </c>
      <c r="B1821" s="4" t="s">
        <v>3907</v>
      </c>
      <c r="C1821" s="4" t="s">
        <v>2096</v>
      </c>
      <c r="D1821" s="4" t="s">
        <v>2236</v>
      </c>
      <c r="E1821" s="4" t="s">
        <v>3908</v>
      </c>
      <c r="F1821" s="4" t="s">
        <v>3909</v>
      </c>
      <c r="G1821" s="4" t="s">
        <v>3884</v>
      </c>
      <c r="H1821" s="4" t="s">
        <v>2183</v>
      </c>
      <c r="I1821" s="4" t="s">
        <v>2100</v>
      </c>
      <c r="J1821" s="4" t="s">
        <v>2458</v>
      </c>
      <c r="K1821">
        <v>10</v>
      </c>
      <c r="L1821">
        <v>3.048</v>
      </c>
      <c r="M1821">
        <v>21</v>
      </c>
      <c r="N1821">
        <v>145</v>
      </c>
      <c r="O1821">
        <v>120</v>
      </c>
      <c r="P1821">
        <v>0.82677165354330717</v>
      </c>
      <c r="Q1821">
        <v>5.7086614173228352</v>
      </c>
      <c r="R1821">
        <v>1077.452</v>
      </c>
      <c r="S1821">
        <v>9.2811600000000001E-3</v>
      </c>
      <c r="T1821" s="4" t="s">
        <v>3910</v>
      </c>
    </row>
    <row r="1822" spans="1:20" x14ac:dyDescent="0.2">
      <c r="A1822" s="4" t="s">
        <v>3884</v>
      </c>
      <c r="B1822" s="4" t="s">
        <v>3907</v>
      </c>
      <c r="C1822" s="4" t="s">
        <v>2096</v>
      </c>
      <c r="D1822" s="4" t="s">
        <v>2236</v>
      </c>
      <c r="E1822" s="4" t="s">
        <v>3911</v>
      </c>
      <c r="F1822" s="4" t="s">
        <v>3909</v>
      </c>
      <c r="G1822" s="4" t="s">
        <v>3884</v>
      </c>
      <c r="H1822" s="4" t="s">
        <v>2183</v>
      </c>
      <c r="I1822" s="4" t="s">
        <v>2100</v>
      </c>
      <c r="J1822" s="4" t="s">
        <v>2458</v>
      </c>
      <c r="K1822">
        <v>11</v>
      </c>
      <c r="L1822">
        <v>3.3528000000000002</v>
      </c>
      <c r="M1822">
        <v>21</v>
      </c>
      <c r="N1822">
        <v>145</v>
      </c>
      <c r="O1822">
        <v>132</v>
      </c>
      <c r="P1822">
        <v>0.82677165354330717</v>
      </c>
      <c r="Q1822">
        <v>5.7086614173228352</v>
      </c>
      <c r="R1822">
        <v>1077.452</v>
      </c>
      <c r="S1822">
        <v>1.0209276E-2</v>
      </c>
      <c r="T1822" s="4" t="s">
        <v>3910</v>
      </c>
    </row>
    <row r="1823" spans="1:20" x14ac:dyDescent="0.2">
      <c r="A1823" s="4" t="s">
        <v>3884</v>
      </c>
      <c r="B1823" s="4" t="s">
        <v>3907</v>
      </c>
      <c r="C1823" s="4" t="s">
        <v>2096</v>
      </c>
      <c r="D1823" s="4" t="s">
        <v>2236</v>
      </c>
      <c r="E1823" s="4" t="s">
        <v>3912</v>
      </c>
      <c r="F1823" s="4" t="s">
        <v>3909</v>
      </c>
      <c r="G1823" s="4" t="s">
        <v>3884</v>
      </c>
      <c r="H1823" s="4" t="s">
        <v>2183</v>
      </c>
      <c r="I1823" s="4" t="s">
        <v>2100</v>
      </c>
      <c r="J1823" s="4" t="s">
        <v>2458</v>
      </c>
      <c r="K1823">
        <v>12</v>
      </c>
      <c r="L1823">
        <v>3.6576000000000004</v>
      </c>
      <c r="M1823">
        <v>21</v>
      </c>
      <c r="N1823">
        <v>145</v>
      </c>
      <c r="O1823">
        <v>144.00000000000003</v>
      </c>
      <c r="P1823">
        <v>0.82677165354330717</v>
      </c>
      <c r="Q1823">
        <v>5.7086614173228352</v>
      </c>
      <c r="R1823">
        <v>1077.452</v>
      </c>
      <c r="S1823">
        <v>1.1137391999999999E-2</v>
      </c>
      <c r="T1823" s="4" t="s">
        <v>3910</v>
      </c>
    </row>
    <row r="1824" spans="1:20" x14ac:dyDescent="0.2">
      <c r="A1824" s="4" t="s">
        <v>3884</v>
      </c>
      <c r="B1824" s="4" t="s">
        <v>3907</v>
      </c>
      <c r="C1824" s="4" t="s">
        <v>2096</v>
      </c>
      <c r="D1824" s="4" t="s">
        <v>2236</v>
      </c>
      <c r="E1824" s="4" t="s">
        <v>3913</v>
      </c>
      <c r="F1824" s="4" t="s">
        <v>3909</v>
      </c>
      <c r="G1824" s="4" t="s">
        <v>3884</v>
      </c>
      <c r="H1824" s="4" t="s">
        <v>2183</v>
      </c>
      <c r="I1824" s="4" t="s">
        <v>2100</v>
      </c>
      <c r="J1824" s="4" t="s">
        <v>2458</v>
      </c>
      <c r="K1824">
        <v>13</v>
      </c>
      <c r="L1824">
        <v>3.9624000000000001</v>
      </c>
      <c r="M1824">
        <v>21</v>
      </c>
      <c r="N1824">
        <v>145</v>
      </c>
      <c r="O1824">
        <v>156</v>
      </c>
      <c r="P1824">
        <v>0.82677165354330717</v>
      </c>
      <c r="Q1824">
        <v>5.7086614173228352</v>
      </c>
      <c r="R1824">
        <v>1077.452</v>
      </c>
      <c r="S1824">
        <v>1.2065508000000001E-2</v>
      </c>
      <c r="T1824" s="4" t="s">
        <v>3910</v>
      </c>
    </row>
    <row r="1825" spans="1:20" x14ac:dyDescent="0.2">
      <c r="A1825" s="4" t="s">
        <v>3884</v>
      </c>
      <c r="B1825" s="4" t="s">
        <v>3907</v>
      </c>
      <c r="C1825" s="4" t="s">
        <v>2096</v>
      </c>
      <c r="D1825" s="4" t="s">
        <v>2236</v>
      </c>
      <c r="E1825" s="4" t="s">
        <v>3914</v>
      </c>
      <c r="F1825" s="4" t="s">
        <v>3909</v>
      </c>
      <c r="G1825" s="4" t="s">
        <v>3884</v>
      </c>
      <c r="H1825" s="4" t="s">
        <v>2183</v>
      </c>
      <c r="I1825" s="4" t="s">
        <v>2100</v>
      </c>
      <c r="J1825" s="4" t="s">
        <v>2458</v>
      </c>
      <c r="K1825">
        <v>14</v>
      </c>
      <c r="L1825">
        <v>4.2671999999999999</v>
      </c>
      <c r="M1825">
        <v>21</v>
      </c>
      <c r="N1825">
        <v>145</v>
      </c>
      <c r="O1825">
        <v>168</v>
      </c>
      <c r="P1825">
        <v>0.82677165354330717</v>
      </c>
      <c r="Q1825">
        <v>5.7086614173228352</v>
      </c>
      <c r="R1825">
        <v>1077.452</v>
      </c>
      <c r="S1825">
        <v>1.2993624E-2</v>
      </c>
      <c r="T1825" s="4" t="s">
        <v>3910</v>
      </c>
    </row>
    <row r="1826" spans="1:20" x14ac:dyDescent="0.2">
      <c r="A1826" s="4" t="s">
        <v>3884</v>
      </c>
      <c r="B1826" s="4" t="s">
        <v>3907</v>
      </c>
      <c r="C1826" s="4" t="s">
        <v>2096</v>
      </c>
      <c r="D1826" s="4" t="s">
        <v>2236</v>
      </c>
      <c r="E1826" s="4" t="s">
        <v>3915</v>
      </c>
      <c r="F1826" s="4" t="s">
        <v>3909</v>
      </c>
      <c r="G1826" s="4" t="s">
        <v>3884</v>
      </c>
      <c r="H1826" s="4" t="s">
        <v>2183</v>
      </c>
      <c r="I1826" s="4" t="s">
        <v>2100</v>
      </c>
      <c r="J1826" s="4" t="s">
        <v>2458</v>
      </c>
      <c r="K1826">
        <v>15</v>
      </c>
      <c r="L1826">
        <v>4.5720000000000001</v>
      </c>
      <c r="M1826">
        <v>21</v>
      </c>
      <c r="N1826">
        <v>145</v>
      </c>
      <c r="O1826">
        <v>180</v>
      </c>
      <c r="P1826">
        <v>0.82677165354330717</v>
      </c>
      <c r="Q1826">
        <v>5.7086614173228352</v>
      </c>
      <c r="R1826">
        <v>1077.452</v>
      </c>
      <c r="S1826">
        <v>1.392174E-2</v>
      </c>
      <c r="T1826" s="4" t="s">
        <v>3910</v>
      </c>
    </row>
    <row r="1827" spans="1:20" x14ac:dyDescent="0.2">
      <c r="A1827" s="4" t="s">
        <v>3884</v>
      </c>
      <c r="B1827" s="4" t="s">
        <v>3907</v>
      </c>
      <c r="C1827" s="4" t="s">
        <v>2096</v>
      </c>
      <c r="D1827" s="4" t="s">
        <v>2236</v>
      </c>
      <c r="E1827" s="4" t="s">
        <v>3916</v>
      </c>
      <c r="F1827" s="4" t="s">
        <v>3909</v>
      </c>
      <c r="G1827" s="4" t="s">
        <v>3884</v>
      </c>
      <c r="H1827" s="4" t="s">
        <v>2183</v>
      </c>
      <c r="I1827" s="4" t="s">
        <v>2100</v>
      </c>
      <c r="J1827" s="4" t="s">
        <v>2458</v>
      </c>
      <c r="K1827">
        <v>16</v>
      </c>
      <c r="L1827">
        <v>4.8768000000000002</v>
      </c>
      <c r="M1827">
        <v>21</v>
      </c>
      <c r="N1827">
        <v>145</v>
      </c>
      <c r="O1827">
        <v>192.00000000000003</v>
      </c>
      <c r="P1827">
        <v>0.82677165354330717</v>
      </c>
      <c r="Q1827">
        <v>5.7086614173228352</v>
      </c>
      <c r="R1827">
        <v>1077.452</v>
      </c>
      <c r="S1827">
        <v>1.4849856E-2</v>
      </c>
      <c r="T1827" s="4" t="s">
        <v>3910</v>
      </c>
    </row>
    <row r="1828" spans="1:20" x14ac:dyDescent="0.2">
      <c r="A1828" s="4" t="s">
        <v>3884</v>
      </c>
      <c r="B1828" s="4" t="s">
        <v>3907</v>
      </c>
      <c r="C1828" s="4" t="s">
        <v>2096</v>
      </c>
      <c r="D1828" s="4" t="s">
        <v>2236</v>
      </c>
      <c r="E1828" s="4" t="s">
        <v>3917</v>
      </c>
      <c r="F1828" s="4" t="s">
        <v>3909</v>
      </c>
      <c r="G1828" s="4" t="s">
        <v>3884</v>
      </c>
      <c r="H1828" s="4" t="s">
        <v>2183</v>
      </c>
      <c r="I1828" s="4" t="s">
        <v>2100</v>
      </c>
      <c r="J1828" s="4" t="s">
        <v>2458</v>
      </c>
      <c r="K1828">
        <v>17</v>
      </c>
      <c r="L1828">
        <v>5.1816000000000004</v>
      </c>
      <c r="M1828">
        <v>21</v>
      </c>
      <c r="N1828">
        <v>145</v>
      </c>
      <c r="O1828">
        <v>204.00000000000003</v>
      </c>
      <c r="P1828">
        <v>0.82677165354330717</v>
      </c>
      <c r="Q1828">
        <v>5.7086614173228352</v>
      </c>
      <c r="R1828">
        <v>1077.452</v>
      </c>
      <c r="S1828">
        <v>1.5777972000000001E-2</v>
      </c>
      <c r="T1828" s="4" t="s">
        <v>3910</v>
      </c>
    </row>
    <row r="1829" spans="1:20" x14ac:dyDescent="0.2">
      <c r="A1829" s="4" t="s">
        <v>3884</v>
      </c>
      <c r="B1829" s="4" t="s">
        <v>3907</v>
      </c>
      <c r="C1829" s="4" t="s">
        <v>2096</v>
      </c>
      <c r="D1829" s="4" t="s">
        <v>2236</v>
      </c>
      <c r="E1829" s="4" t="s">
        <v>3918</v>
      </c>
      <c r="F1829" s="4" t="s">
        <v>3909</v>
      </c>
      <c r="G1829" s="4" t="s">
        <v>3884</v>
      </c>
      <c r="H1829" s="4" t="s">
        <v>2183</v>
      </c>
      <c r="I1829" s="4" t="s">
        <v>2100</v>
      </c>
      <c r="J1829" s="4" t="s">
        <v>2458</v>
      </c>
      <c r="K1829">
        <v>18</v>
      </c>
      <c r="L1829">
        <v>5.4864000000000006</v>
      </c>
      <c r="M1829">
        <v>21</v>
      </c>
      <c r="N1829">
        <v>145</v>
      </c>
      <c r="O1829">
        <v>216.00000000000003</v>
      </c>
      <c r="P1829">
        <v>0.82677165354330717</v>
      </c>
      <c r="Q1829">
        <v>5.7086614173228352</v>
      </c>
      <c r="R1829">
        <v>1077.452</v>
      </c>
      <c r="S1829">
        <v>1.6706088000000001E-2</v>
      </c>
      <c r="T1829" s="4" t="s">
        <v>3910</v>
      </c>
    </row>
    <row r="1830" spans="1:20" x14ac:dyDescent="0.2">
      <c r="A1830" s="4" t="s">
        <v>3884</v>
      </c>
      <c r="B1830" s="4" t="s">
        <v>3907</v>
      </c>
      <c r="C1830" s="4" t="s">
        <v>2096</v>
      </c>
      <c r="D1830" s="4" t="s">
        <v>2236</v>
      </c>
      <c r="E1830" s="4" t="s">
        <v>3919</v>
      </c>
      <c r="F1830" s="4" t="s">
        <v>3909</v>
      </c>
      <c r="G1830" s="4" t="s">
        <v>3884</v>
      </c>
      <c r="H1830" s="4" t="s">
        <v>2183</v>
      </c>
      <c r="I1830" s="4" t="s">
        <v>2100</v>
      </c>
      <c r="J1830" s="4" t="s">
        <v>2458</v>
      </c>
      <c r="K1830">
        <v>19</v>
      </c>
      <c r="L1830">
        <v>5.7911999999999999</v>
      </c>
      <c r="M1830">
        <v>21</v>
      </c>
      <c r="N1830">
        <v>145</v>
      </c>
      <c r="O1830">
        <v>228</v>
      </c>
      <c r="P1830">
        <v>0.82677165354330717</v>
      </c>
      <c r="Q1830">
        <v>5.7086614173228352</v>
      </c>
      <c r="R1830">
        <v>1077.452</v>
      </c>
      <c r="S1830">
        <v>1.7634204000000001E-2</v>
      </c>
      <c r="T1830" s="4" t="s">
        <v>3910</v>
      </c>
    </row>
    <row r="1831" spans="1:20" x14ac:dyDescent="0.2">
      <c r="A1831" s="4" t="s">
        <v>3884</v>
      </c>
      <c r="B1831" s="4" t="s">
        <v>3907</v>
      </c>
      <c r="C1831" s="4" t="s">
        <v>2096</v>
      </c>
      <c r="D1831" s="4" t="s">
        <v>2236</v>
      </c>
      <c r="E1831" s="4" t="s">
        <v>3920</v>
      </c>
      <c r="F1831" s="4" t="s">
        <v>3909</v>
      </c>
      <c r="G1831" s="4" t="s">
        <v>3884</v>
      </c>
      <c r="H1831" s="4" t="s">
        <v>2183</v>
      </c>
      <c r="I1831" s="4" t="s">
        <v>2100</v>
      </c>
      <c r="J1831" s="4" t="s">
        <v>2458</v>
      </c>
      <c r="K1831">
        <v>20</v>
      </c>
      <c r="L1831">
        <v>6.0960000000000001</v>
      </c>
      <c r="M1831">
        <v>21</v>
      </c>
      <c r="N1831">
        <v>145</v>
      </c>
      <c r="O1831">
        <v>240</v>
      </c>
      <c r="P1831">
        <v>0.82677165354330717</v>
      </c>
      <c r="Q1831">
        <v>5.7086614173228352</v>
      </c>
      <c r="R1831">
        <v>1077.452</v>
      </c>
      <c r="S1831">
        <v>1.856232E-2</v>
      </c>
      <c r="T1831" s="4" t="s">
        <v>3910</v>
      </c>
    </row>
    <row r="1832" spans="1:20" x14ac:dyDescent="0.2">
      <c r="A1832" s="4" t="s">
        <v>3884</v>
      </c>
      <c r="B1832" s="4" t="s">
        <v>3907</v>
      </c>
      <c r="C1832" s="4" t="s">
        <v>2286</v>
      </c>
      <c r="D1832" s="4" t="s">
        <v>2236</v>
      </c>
      <c r="E1832" s="4" t="s">
        <v>3921</v>
      </c>
      <c r="F1832" s="4" t="s">
        <v>3909</v>
      </c>
      <c r="G1832" s="4" t="s">
        <v>3884</v>
      </c>
      <c r="H1832" s="4" t="s">
        <v>2183</v>
      </c>
      <c r="I1832" s="4" t="s">
        <v>2100</v>
      </c>
      <c r="J1832" s="4" t="s">
        <v>2458</v>
      </c>
      <c r="K1832">
        <v>6</v>
      </c>
      <c r="L1832">
        <v>1.8288000000000002</v>
      </c>
      <c r="M1832">
        <v>21</v>
      </c>
      <c r="N1832">
        <v>145</v>
      </c>
      <c r="O1832">
        <v>72.000000000000014</v>
      </c>
      <c r="P1832">
        <v>0.82677165354330717</v>
      </c>
      <c r="Q1832">
        <v>5.7086614173228352</v>
      </c>
      <c r="R1832">
        <v>1077.452</v>
      </c>
      <c r="S1832">
        <v>5.5686959999999997E-3</v>
      </c>
      <c r="T1832" s="4" t="s">
        <v>3922</v>
      </c>
    </row>
    <row r="1833" spans="1:20" x14ac:dyDescent="0.2">
      <c r="A1833" s="4" t="s">
        <v>3884</v>
      </c>
      <c r="B1833" s="4" t="s">
        <v>3907</v>
      </c>
      <c r="C1833" s="4" t="s">
        <v>2286</v>
      </c>
      <c r="D1833" s="4" t="s">
        <v>2236</v>
      </c>
      <c r="E1833" s="4" t="s">
        <v>3923</v>
      </c>
      <c r="F1833" s="4" t="s">
        <v>3909</v>
      </c>
      <c r="G1833" s="4" t="s">
        <v>3884</v>
      </c>
      <c r="H1833" s="4" t="s">
        <v>2183</v>
      </c>
      <c r="I1833" s="4" t="s">
        <v>2100</v>
      </c>
      <c r="J1833" s="4" t="s">
        <v>2458</v>
      </c>
      <c r="K1833">
        <v>7</v>
      </c>
      <c r="L1833">
        <v>2.1335999999999999</v>
      </c>
      <c r="M1833">
        <v>21</v>
      </c>
      <c r="N1833">
        <v>145</v>
      </c>
      <c r="O1833">
        <v>84</v>
      </c>
      <c r="P1833">
        <v>0.82677165354330717</v>
      </c>
      <c r="Q1833">
        <v>5.7086614173228352</v>
      </c>
      <c r="R1833">
        <v>1077.452</v>
      </c>
      <c r="S1833">
        <v>6.4968120000000002E-3</v>
      </c>
      <c r="T1833" s="4" t="s">
        <v>3922</v>
      </c>
    </row>
    <row r="1834" spans="1:20" x14ac:dyDescent="0.2">
      <c r="A1834" s="4" t="s">
        <v>3884</v>
      </c>
      <c r="B1834" s="4" t="s">
        <v>3907</v>
      </c>
      <c r="C1834" s="4" t="s">
        <v>2096</v>
      </c>
      <c r="D1834" s="4" t="s">
        <v>2236</v>
      </c>
      <c r="E1834" s="4" t="s">
        <v>3924</v>
      </c>
      <c r="F1834" s="4" t="s">
        <v>3909</v>
      </c>
      <c r="G1834" s="4" t="s">
        <v>3884</v>
      </c>
      <c r="H1834" s="4" t="s">
        <v>2183</v>
      </c>
      <c r="I1834" s="4" t="s">
        <v>2100</v>
      </c>
      <c r="J1834" s="4" t="s">
        <v>2458</v>
      </c>
      <c r="K1834">
        <v>8</v>
      </c>
      <c r="L1834">
        <v>2.4384000000000001</v>
      </c>
      <c r="M1834">
        <v>21</v>
      </c>
      <c r="N1834">
        <v>145</v>
      </c>
      <c r="O1834">
        <v>96.000000000000014</v>
      </c>
      <c r="P1834">
        <v>0.82677165354330717</v>
      </c>
      <c r="Q1834">
        <v>5.7086614173228352</v>
      </c>
      <c r="R1834">
        <v>1077.452</v>
      </c>
      <c r="S1834">
        <v>7.4249279999999999E-3</v>
      </c>
      <c r="T1834" s="4" t="s">
        <v>3910</v>
      </c>
    </row>
    <row r="1835" spans="1:20" x14ac:dyDescent="0.2">
      <c r="A1835" s="4" t="s">
        <v>3884</v>
      </c>
      <c r="B1835" s="4" t="s">
        <v>3907</v>
      </c>
      <c r="C1835" s="4" t="s">
        <v>2096</v>
      </c>
      <c r="D1835" s="4" t="s">
        <v>2236</v>
      </c>
      <c r="E1835" s="4" t="s">
        <v>3925</v>
      </c>
      <c r="F1835" s="4" t="s">
        <v>3909</v>
      </c>
      <c r="G1835" s="4" t="s">
        <v>3884</v>
      </c>
      <c r="H1835" s="4" t="s">
        <v>2183</v>
      </c>
      <c r="I1835" s="4" t="s">
        <v>2100</v>
      </c>
      <c r="J1835" s="4" t="s">
        <v>2458</v>
      </c>
      <c r="K1835">
        <v>9</v>
      </c>
      <c r="L1835">
        <v>2.7432000000000003</v>
      </c>
      <c r="M1835">
        <v>21</v>
      </c>
      <c r="N1835">
        <v>145</v>
      </c>
      <c r="O1835">
        <v>108.00000000000001</v>
      </c>
      <c r="P1835">
        <v>0.82677165354330717</v>
      </c>
      <c r="Q1835">
        <v>5.7086614173228352</v>
      </c>
      <c r="R1835">
        <v>1077.452</v>
      </c>
      <c r="S1835">
        <v>8.3530440000000004E-3</v>
      </c>
      <c r="T1835" s="4" t="s">
        <v>3910</v>
      </c>
    </row>
    <row r="1836" spans="1:20" x14ac:dyDescent="0.2">
      <c r="A1836" s="4" t="s">
        <v>3884</v>
      </c>
      <c r="B1836" s="4" t="s">
        <v>3926</v>
      </c>
      <c r="C1836" s="4" t="s">
        <v>3110</v>
      </c>
      <c r="D1836" s="4" t="s">
        <v>2236</v>
      </c>
      <c r="E1836" s="4" t="s">
        <v>3927</v>
      </c>
      <c r="F1836" s="4" t="s">
        <v>3928</v>
      </c>
      <c r="G1836" s="4" t="s">
        <v>3884</v>
      </c>
      <c r="H1836" s="4" t="s">
        <v>2183</v>
      </c>
      <c r="I1836" s="4" t="s">
        <v>3110</v>
      </c>
      <c r="J1836" s="4" t="s">
        <v>3929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 s="4" t="s">
        <v>3930</v>
      </c>
    </row>
    <row r="1837" spans="1:20" x14ac:dyDescent="0.2">
      <c r="A1837" s="4" t="s">
        <v>3884</v>
      </c>
      <c r="B1837" s="4" t="s">
        <v>3931</v>
      </c>
      <c r="C1837" s="4" t="s">
        <v>3110</v>
      </c>
      <c r="D1837" s="4" t="s">
        <v>2236</v>
      </c>
      <c r="E1837" s="4" t="s">
        <v>3932</v>
      </c>
      <c r="F1837" s="4" t="s">
        <v>3933</v>
      </c>
      <c r="G1837" s="4" t="s">
        <v>3884</v>
      </c>
      <c r="H1837" s="4" t="s">
        <v>2183</v>
      </c>
      <c r="I1837" s="4" t="s">
        <v>3110</v>
      </c>
      <c r="J1837" s="4" t="s">
        <v>3934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4" t="s">
        <v>3935</v>
      </c>
    </row>
    <row r="1838" spans="1:20" x14ac:dyDescent="0.2">
      <c r="A1838" s="4" t="s">
        <v>3884</v>
      </c>
      <c r="B1838" s="4" t="s">
        <v>3936</v>
      </c>
      <c r="C1838" s="4" t="s">
        <v>3018</v>
      </c>
      <c r="D1838" s="4" t="s">
        <v>2236</v>
      </c>
      <c r="E1838" s="4" t="s">
        <v>3937</v>
      </c>
      <c r="F1838" s="4" t="s">
        <v>3938</v>
      </c>
      <c r="G1838" s="4" t="s">
        <v>3884</v>
      </c>
      <c r="H1838" s="4" t="s">
        <v>3018</v>
      </c>
      <c r="I1838" s="4" t="s">
        <v>2100</v>
      </c>
      <c r="J1838" s="4" t="s">
        <v>3020</v>
      </c>
      <c r="K1838">
        <v>24</v>
      </c>
      <c r="L1838">
        <v>0.60640000000000005</v>
      </c>
      <c r="M1838">
        <v>19</v>
      </c>
      <c r="N1838">
        <v>71</v>
      </c>
      <c r="O1838">
        <v>23.8740157480315</v>
      </c>
      <c r="P1838">
        <v>0.74803149606299213</v>
      </c>
      <c r="Q1838">
        <v>2.7952755905511815</v>
      </c>
      <c r="R1838">
        <v>2432.0529999999999</v>
      </c>
      <c r="S1838">
        <v>8.1803360000000012E-4</v>
      </c>
      <c r="T1838" s="4" t="s">
        <v>3939</v>
      </c>
    </row>
    <row r="1839" spans="1:20" x14ac:dyDescent="0.2">
      <c r="A1839" s="4" t="s">
        <v>3940</v>
      </c>
      <c r="B1839" s="4" t="s">
        <v>3941</v>
      </c>
      <c r="C1839" s="4" t="s">
        <v>2096</v>
      </c>
      <c r="D1839" s="4" t="s">
        <v>2236</v>
      </c>
      <c r="E1839" s="4" t="s">
        <v>152</v>
      </c>
      <c r="F1839" s="4" t="s">
        <v>3942</v>
      </c>
      <c r="G1839" s="4" t="s">
        <v>3943</v>
      </c>
      <c r="H1839" s="4" t="s">
        <v>2183</v>
      </c>
      <c r="I1839" s="4" t="s">
        <v>2100</v>
      </c>
      <c r="J1839" s="4" t="s">
        <v>3117</v>
      </c>
      <c r="K1839">
        <v>10</v>
      </c>
      <c r="L1839">
        <v>3.048</v>
      </c>
      <c r="M1839">
        <v>19.05</v>
      </c>
      <c r="N1839">
        <v>234.95</v>
      </c>
      <c r="O1839">
        <v>120</v>
      </c>
      <c r="P1839">
        <v>0.75000000000000011</v>
      </c>
      <c r="Q1839">
        <v>9.25</v>
      </c>
      <c r="R1839">
        <v>733.01800000000003</v>
      </c>
      <c r="S1839">
        <v>1.3642230780000002E-2</v>
      </c>
      <c r="T1839" s="4" t="s">
        <v>3944</v>
      </c>
    </row>
    <row r="1840" spans="1:20" x14ac:dyDescent="0.2">
      <c r="A1840" s="4" t="s">
        <v>3940</v>
      </c>
      <c r="B1840" s="4" t="s">
        <v>3941</v>
      </c>
      <c r="C1840" s="4" t="s">
        <v>2096</v>
      </c>
      <c r="D1840" s="4" t="s">
        <v>2236</v>
      </c>
      <c r="E1840" s="4" t="s">
        <v>3945</v>
      </c>
      <c r="F1840" s="4" t="s">
        <v>3942</v>
      </c>
      <c r="G1840" s="4" t="s">
        <v>3943</v>
      </c>
      <c r="H1840" s="4" t="s">
        <v>2183</v>
      </c>
      <c r="I1840" s="4" t="s">
        <v>2100</v>
      </c>
      <c r="J1840" s="4" t="s">
        <v>3117</v>
      </c>
      <c r="K1840">
        <v>11</v>
      </c>
      <c r="L1840">
        <v>3.3527999999999998</v>
      </c>
      <c r="M1840">
        <v>19.05</v>
      </c>
      <c r="N1840">
        <v>234.95</v>
      </c>
      <c r="O1840">
        <v>132</v>
      </c>
      <c r="P1840">
        <v>0.75000000000000011</v>
      </c>
      <c r="Q1840">
        <v>9.25</v>
      </c>
      <c r="R1840">
        <v>733.01800000000003</v>
      </c>
      <c r="S1840">
        <v>1.5006453857999999E-2</v>
      </c>
      <c r="T1840" s="4" t="s">
        <v>3944</v>
      </c>
    </row>
    <row r="1841" spans="1:20" x14ac:dyDescent="0.2">
      <c r="A1841" s="4" t="s">
        <v>3940</v>
      </c>
      <c r="B1841" s="4" t="s">
        <v>3941</v>
      </c>
      <c r="C1841" s="4" t="s">
        <v>2096</v>
      </c>
      <c r="D1841" s="4" t="s">
        <v>2236</v>
      </c>
      <c r="E1841" s="4" t="s">
        <v>3946</v>
      </c>
      <c r="F1841" s="4" t="s">
        <v>3942</v>
      </c>
      <c r="G1841" s="4" t="s">
        <v>3943</v>
      </c>
      <c r="H1841" s="4" t="s">
        <v>2183</v>
      </c>
      <c r="I1841" s="4" t="s">
        <v>2100</v>
      </c>
      <c r="J1841" s="4" t="s">
        <v>3117</v>
      </c>
      <c r="K1841">
        <v>12</v>
      </c>
      <c r="L1841">
        <v>3.6576</v>
      </c>
      <c r="M1841">
        <v>19.05</v>
      </c>
      <c r="N1841">
        <v>234.95</v>
      </c>
      <c r="O1841">
        <v>144</v>
      </c>
      <c r="P1841">
        <v>0.75000000000000011</v>
      </c>
      <c r="Q1841">
        <v>9.25</v>
      </c>
      <c r="R1841">
        <v>733.01800000000003</v>
      </c>
      <c r="S1841">
        <v>1.6370676936E-2</v>
      </c>
      <c r="T1841" s="4" t="s">
        <v>3944</v>
      </c>
    </row>
    <row r="1842" spans="1:20" x14ac:dyDescent="0.2">
      <c r="A1842" s="4" t="s">
        <v>3940</v>
      </c>
      <c r="B1842" s="4" t="s">
        <v>3941</v>
      </c>
      <c r="C1842" s="4" t="s">
        <v>2096</v>
      </c>
      <c r="D1842" s="4" t="s">
        <v>2236</v>
      </c>
      <c r="E1842" s="4" t="s">
        <v>3947</v>
      </c>
      <c r="F1842" s="4" t="s">
        <v>3942</v>
      </c>
      <c r="G1842" s="4" t="s">
        <v>3943</v>
      </c>
      <c r="H1842" s="4" t="s">
        <v>2183</v>
      </c>
      <c r="I1842" s="4" t="s">
        <v>2100</v>
      </c>
      <c r="J1842" s="4" t="s">
        <v>3117</v>
      </c>
      <c r="K1842">
        <v>13</v>
      </c>
      <c r="L1842">
        <v>3.9624000000000001</v>
      </c>
      <c r="M1842">
        <v>19.05</v>
      </c>
      <c r="N1842">
        <v>234.95</v>
      </c>
      <c r="O1842">
        <v>156</v>
      </c>
      <c r="P1842">
        <v>0.75000000000000011</v>
      </c>
      <c r="Q1842">
        <v>9.25</v>
      </c>
      <c r="R1842">
        <v>733.01800000000003</v>
      </c>
      <c r="S1842">
        <v>1.7734900014E-2</v>
      </c>
      <c r="T1842" s="4" t="s">
        <v>3944</v>
      </c>
    </row>
    <row r="1843" spans="1:20" x14ac:dyDescent="0.2">
      <c r="A1843" s="4" t="s">
        <v>3940</v>
      </c>
      <c r="B1843" s="4" t="s">
        <v>3941</v>
      </c>
      <c r="C1843" s="4" t="s">
        <v>2096</v>
      </c>
      <c r="D1843" s="4" t="s">
        <v>2236</v>
      </c>
      <c r="E1843" s="4" t="s">
        <v>3948</v>
      </c>
      <c r="F1843" s="4" t="s">
        <v>3942</v>
      </c>
      <c r="G1843" s="4" t="s">
        <v>3943</v>
      </c>
      <c r="H1843" s="4" t="s">
        <v>2183</v>
      </c>
      <c r="I1843" s="4" t="s">
        <v>2100</v>
      </c>
      <c r="J1843" s="4" t="s">
        <v>3117</v>
      </c>
      <c r="K1843">
        <v>14</v>
      </c>
      <c r="L1843">
        <v>4.2671999999999999</v>
      </c>
      <c r="M1843">
        <v>19.05</v>
      </c>
      <c r="N1843">
        <v>234.95</v>
      </c>
      <c r="O1843">
        <v>168</v>
      </c>
      <c r="P1843">
        <v>0.75000000000000011</v>
      </c>
      <c r="Q1843">
        <v>9.25</v>
      </c>
      <c r="R1843">
        <v>733.01800000000003</v>
      </c>
      <c r="S1843">
        <v>1.9099123092E-2</v>
      </c>
      <c r="T1843" s="4" t="s">
        <v>3944</v>
      </c>
    </row>
    <row r="1844" spans="1:20" x14ac:dyDescent="0.2">
      <c r="A1844" s="4" t="s">
        <v>3940</v>
      </c>
      <c r="B1844" s="4" t="s">
        <v>3941</v>
      </c>
      <c r="C1844" s="4" t="s">
        <v>2096</v>
      </c>
      <c r="D1844" s="4" t="s">
        <v>2236</v>
      </c>
      <c r="E1844" s="4" t="s">
        <v>3949</v>
      </c>
      <c r="F1844" s="4" t="s">
        <v>3942</v>
      </c>
      <c r="G1844" s="4" t="s">
        <v>3943</v>
      </c>
      <c r="H1844" s="4" t="s">
        <v>2183</v>
      </c>
      <c r="I1844" s="4" t="s">
        <v>2100</v>
      </c>
      <c r="J1844" s="4" t="s">
        <v>3117</v>
      </c>
      <c r="K1844">
        <v>15</v>
      </c>
      <c r="L1844">
        <v>4.5720000000000001</v>
      </c>
      <c r="M1844">
        <v>19.05</v>
      </c>
      <c r="N1844">
        <v>234.95</v>
      </c>
      <c r="O1844">
        <v>180</v>
      </c>
      <c r="P1844">
        <v>0.75000000000000011</v>
      </c>
      <c r="Q1844">
        <v>9.25</v>
      </c>
      <c r="R1844">
        <v>733.01800000000003</v>
      </c>
      <c r="S1844">
        <v>2.0463346170000001E-2</v>
      </c>
      <c r="T1844" s="4" t="s">
        <v>3944</v>
      </c>
    </row>
    <row r="1845" spans="1:20" x14ac:dyDescent="0.2">
      <c r="A1845" s="4" t="s">
        <v>3940</v>
      </c>
      <c r="B1845" s="4" t="s">
        <v>3941</v>
      </c>
      <c r="C1845" s="4" t="s">
        <v>2096</v>
      </c>
      <c r="D1845" s="4" t="s">
        <v>2236</v>
      </c>
      <c r="E1845" s="4" t="s">
        <v>3950</v>
      </c>
      <c r="F1845" s="4" t="s">
        <v>3942</v>
      </c>
      <c r="G1845" s="4" t="s">
        <v>3943</v>
      </c>
      <c r="H1845" s="4" t="s">
        <v>2183</v>
      </c>
      <c r="I1845" s="4" t="s">
        <v>2100</v>
      </c>
      <c r="J1845" s="4" t="s">
        <v>3117</v>
      </c>
      <c r="K1845">
        <v>16</v>
      </c>
      <c r="L1845">
        <v>4.8768000000000002</v>
      </c>
      <c r="M1845">
        <v>19.05</v>
      </c>
      <c r="N1845">
        <v>234.95</v>
      </c>
      <c r="O1845">
        <v>192.00000000000003</v>
      </c>
      <c r="P1845">
        <v>0.75000000000000011</v>
      </c>
      <c r="Q1845">
        <v>9.25</v>
      </c>
      <c r="R1845">
        <v>733.01800000000003</v>
      </c>
      <c r="S1845">
        <v>2.1827569248000001E-2</v>
      </c>
      <c r="T1845" s="4" t="s">
        <v>3944</v>
      </c>
    </row>
    <row r="1846" spans="1:20" x14ac:dyDescent="0.2">
      <c r="A1846" s="4" t="s">
        <v>3940</v>
      </c>
      <c r="B1846" s="4" t="s">
        <v>3941</v>
      </c>
      <c r="C1846" s="4" t="s">
        <v>2096</v>
      </c>
      <c r="D1846" s="4" t="s">
        <v>2236</v>
      </c>
      <c r="E1846" s="4" t="s">
        <v>3951</v>
      </c>
      <c r="F1846" s="4" t="s">
        <v>3942</v>
      </c>
      <c r="G1846" s="4" t="s">
        <v>3943</v>
      </c>
      <c r="H1846" s="4" t="s">
        <v>2183</v>
      </c>
      <c r="I1846" s="4" t="s">
        <v>2100</v>
      </c>
      <c r="J1846" s="4" t="s">
        <v>3117</v>
      </c>
      <c r="K1846">
        <v>17</v>
      </c>
      <c r="L1846">
        <v>5.1816000000000004</v>
      </c>
      <c r="M1846">
        <v>19.05</v>
      </c>
      <c r="N1846">
        <v>234.95</v>
      </c>
      <c r="O1846">
        <v>204.00000000000003</v>
      </c>
      <c r="P1846">
        <v>0.75000000000000011</v>
      </c>
      <c r="Q1846">
        <v>9.25</v>
      </c>
      <c r="R1846">
        <v>733.01800000000003</v>
      </c>
      <c r="S1846">
        <v>2.3191792326000001E-2</v>
      </c>
      <c r="T1846" s="4" t="s">
        <v>3944</v>
      </c>
    </row>
    <row r="1847" spans="1:20" x14ac:dyDescent="0.2">
      <c r="A1847" s="4" t="s">
        <v>3940</v>
      </c>
      <c r="B1847" s="4" t="s">
        <v>3941</v>
      </c>
      <c r="C1847" s="4" t="s">
        <v>2096</v>
      </c>
      <c r="D1847" s="4" t="s">
        <v>2236</v>
      </c>
      <c r="E1847" s="4" t="s">
        <v>3952</v>
      </c>
      <c r="F1847" s="4" t="s">
        <v>3942</v>
      </c>
      <c r="G1847" s="4" t="s">
        <v>3943</v>
      </c>
      <c r="H1847" s="4" t="s">
        <v>2183</v>
      </c>
      <c r="I1847" s="4" t="s">
        <v>2100</v>
      </c>
      <c r="J1847" s="4" t="s">
        <v>3117</v>
      </c>
      <c r="K1847">
        <v>18</v>
      </c>
      <c r="L1847">
        <v>5.4863999999999997</v>
      </c>
      <c r="M1847">
        <v>19.05</v>
      </c>
      <c r="N1847">
        <v>234.95</v>
      </c>
      <c r="O1847">
        <v>216</v>
      </c>
      <c r="P1847">
        <v>0.75000000000000011</v>
      </c>
      <c r="Q1847">
        <v>9.25</v>
      </c>
      <c r="R1847">
        <v>733.01800000000003</v>
      </c>
      <c r="S1847">
        <v>2.4556015404000001E-2</v>
      </c>
      <c r="T1847" s="4" t="s">
        <v>3944</v>
      </c>
    </row>
    <row r="1848" spans="1:20" x14ac:dyDescent="0.2">
      <c r="A1848" s="4" t="s">
        <v>3940</v>
      </c>
      <c r="B1848" s="4" t="s">
        <v>3941</v>
      </c>
      <c r="C1848" s="4" t="s">
        <v>2096</v>
      </c>
      <c r="D1848" s="4" t="s">
        <v>2236</v>
      </c>
      <c r="E1848" s="4" t="s">
        <v>3953</v>
      </c>
      <c r="F1848" s="4" t="s">
        <v>3942</v>
      </c>
      <c r="G1848" s="4" t="s">
        <v>3943</v>
      </c>
      <c r="H1848" s="4" t="s">
        <v>2183</v>
      </c>
      <c r="I1848" s="4" t="s">
        <v>2100</v>
      </c>
      <c r="J1848" s="4" t="s">
        <v>3117</v>
      </c>
      <c r="K1848">
        <v>19</v>
      </c>
      <c r="L1848">
        <v>5.7911999999999999</v>
      </c>
      <c r="M1848">
        <v>19.05</v>
      </c>
      <c r="N1848">
        <v>234.95</v>
      </c>
      <c r="O1848">
        <v>228</v>
      </c>
      <c r="P1848">
        <v>0.75000000000000011</v>
      </c>
      <c r="Q1848">
        <v>9.25</v>
      </c>
      <c r="R1848">
        <v>733.01800000000003</v>
      </c>
      <c r="S1848">
        <v>2.5920238482000001E-2</v>
      </c>
      <c r="T1848" s="4" t="s">
        <v>3944</v>
      </c>
    </row>
    <row r="1849" spans="1:20" x14ac:dyDescent="0.2">
      <c r="A1849" s="4" t="s">
        <v>3940</v>
      </c>
      <c r="B1849" s="4" t="s">
        <v>3941</v>
      </c>
      <c r="C1849" s="4" t="s">
        <v>2096</v>
      </c>
      <c r="D1849" s="4" t="s">
        <v>2236</v>
      </c>
      <c r="E1849" s="4" t="s">
        <v>3954</v>
      </c>
      <c r="F1849" s="4" t="s">
        <v>3942</v>
      </c>
      <c r="G1849" s="4" t="s">
        <v>3943</v>
      </c>
      <c r="H1849" s="4" t="s">
        <v>2183</v>
      </c>
      <c r="I1849" s="4" t="s">
        <v>2100</v>
      </c>
      <c r="J1849" s="4" t="s">
        <v>3117</v>
      </c>
      <c r="K1849">
        <v>20</v>
      </c>
      <c r="L1849">
        <v>6.0960000000000001</v>
      </c>
      <c r="M1849">
        <v>19.05</v>
      </c>
      <c r="N1849">
        <v>234.95</v>
      </c>
      <c r="O1849">
        <v>240</v>
      </c>
      <c r="P1849">
        <v>0.75000000000000011</v>
      </c>
      <c r="Q1849">
        <v>9.25</v>
      </c>
      <c r="R1849">
        <v>733.01800000000003</v>
      </c>
      <c r="S1849">
        <v>2.7284461560000004E-2</v>
      </c>
      <c r="T1849" s="4" t="s">
        <v>3944</v>
      </c>
    </row>
    <row r="1850" spans="1:20" x14ac:dyDescent="0.2">
      <c r="A1850" s="4" t="s">
        <v>3940</v>
      </c>
      <c r="B1850" s="4" t="s">
        <v>3941</v>
      </c>
      <c r="C1850" s="4" t="s">
        <v>2096</v>
      </c>
      <c r="D1850" s="4" t="s">
        <v>2236</v>
      </c>
      <c r="E1850" s="4" t="s">
        <v>3955</v>
      </c>
      <c r="F1850" s="4" t="s">
        <v>3942</v>
      </c>
      <c r="G1850" s="4" t="s">
        <v>3943</v>
      </c>
      <c r="H1850" s="4" t="s">
        <v>2183</v>
      </c>
      <c r="I1850" s="4" t="s">
        <v>2100</v>
      </c>
      <c r="J1850" s="4" t="s">
        <v>3117</v>
      </c>
      <c r="K1850">
        <v>21</v>
      </c>
      <c r="L1850">
        <v>6.4008000000000003</v>
      </c>
      <c r="M1850">
        <v>19.05</v>
      </c>
      <c r="N1850">
        <v>234.95</v>
      </c>
      <c r="O1850">
        <v>252.00000000000003</v>
      </c>
      <c r="P1850">
        <v>0.75000000000000011</v>
      </c>
      <c r="Q1850">
        <v>9.25</v>
      </c>
      <c r="R1850">
        <v>733.01800000000003</v>
      </c>
      <c r="S1850">
        <v>2.8648684638000001E-2</v>
      </c>
      <c r="T1850" s="4" t="s">
        <v>3944</v>
      </c>
    </row>
    <row r="1851" spans="1:20" x14ac:dyDescent="0.2">
      <c r="A1851" s="4" t="s">
        <v>3940</v>
      </c>
      <c r="B1851" s="4" t="s">
        <v>3941</v>
      </c>
      <c r="C1851" s="4" t="s">
        <v>2096</v>
      </c>
      <c r="D1851" s="4" t="s">
        <v>2236</v>
      </c>
      <c r="E1851" s="4" t="s">
        <v>3956</v>
      </c>
      <c r="F1851" s="4" t="s">
        <v>3942</v>
      </c>
      <c r="G1851" s="4" t="s">
        <v>3943</v>
      </c>
      <c r="H1851" s="4" t="s">
        <v>2183</v>
      </c>
      <c r="I1851" s="4" t="s">
        <v>2100</v>
      </c>
      <c r="J1851" s="4" t="s">
        <v>3117</v>
      </c>
      <c r="K1851">
        <v>22</v>
      </c>
      <c r="L1851">
        <v>6.7055999999999996</v>
      </c>
      <c r="M1851">
        <v>19.05</v>
      </c>
      <c r="N1851">
        <v>234.95</v>
      </c>
      <c r="O1851">
        <v>264</v>
      </c>
      <c r="P1851">
        <v>0.75000000000000011</v>
      </c>
      <c r="Q1851">
        <v>9.25</v>
      </c>
      <c r="R1851">
        <v>733.01800000000003</v>
      </c>
      <c r="S1851">
        <v>3.0012907715999997E-2</v>
      </c>
      <c r="T1851" s="4" t="s">
        <v>3944</v>
      </c>
    </row>
    <row r="1852" spans="1:20" x14ac:dyDescent="0.2">
      <c r="A1852" s="4" t="s">
        <v>3940</v>
      </c>
      <c r="B1852" s="4" t="s">
        <v>3941</v>
      </c>
      <c r="C1852" s="4" t="s">
        <v>2096</v>
      </c>
      <c r="D1852" s="4" t="s">
        <v>2236</v>
      </c>
      <c r="E1852" s="4" t="s">
        <v>154</v>
      </c>
      <c r="F1852" s="4" t="s">
        <v>3942</v>
      </c>
      <c r="G1852" s="4" t="s">
        <v>3943</v>
      </c>
      <c r="H1852" s="4" t="s">
        <v>2183</v>
      </c>
      <c r="I1852" s="4" t="s">
        <v>2100</v>
      </c>
      <c r="J1852" s="4" t="s">
        <v>3117</v>
      </c>
      <c r="K1852">
        <v>8</v>
      </c>
      <c r="L1852">
        <v>2.4384000000000001</v>
      </c>
      <c r="M1852">
        <v>19.05</v>
      </c>
      <c r="N1852">
        <v>234.95</v>
      </c>
      <c r="O1852">
        <v>96.000000000000014</v>
      </c>
      <c r="P1852">
        <v>0.75000000000000011</v>
      </c>
      <c r="Q1852">
        <v>9.25</v>
      </c>
      <c r="R1852">
        <v>733.01800000000003</v>
      </c>
      <c r="S1852">
        <v>1.0913784624E-2</v>
      </c>
      <c r="T1852" s="4" t="s">
        <v>3944</v>
      </c>
    </row>
    <row r="1853" spans="1:20" x14ac:dyDescent="0.2">
      <c r="A1853" s="4" t="s">
        <v>3940</v>
      </c>
      <c r="B1853" s="4" t="s">
        <v>3941</v>
      </c>
      <c r="C1853" s="4" t="s">
        <v>2096</v>
      </c>
      <c r="D1853" s="4" t="s">
        <v>2236</v>
      </c>
      <c r="E1853" s="4" t="s">
        <v>3957</v>
      </c>
      <c r="F1853" s="4" t="s">
        <v>3942</v>
      </c>
      <c r="G1853" s="4" t="s">
        <v>3943</v>
      </c>
      <c r="H1853" s="4" t="s">
        <v>2183</v>
      </c>
      <c r="I1853" s="4" t="s">
        <v>2100</v>
      </c>
      <c r="J1853" s="4" t="s">
        <v>3117</v>
      </c>
      <c r="K1853">
        <v>9</v>
      </c>
      <c r="L1853">
        <v>2.7431999999999999</v>
      </c>
      <c r="M1853">
        <v>19.05</v>
      </c>
      <c r="N1853">
        <v>234.95</v>
      </c>
      <c r="O1853">
        <v>108</v>
      </c>
      <c r="P1853">
        <v>0.75000000000000011</v>
      </c>
      <c r="Q1853">
        <v>9.25</v>
      </c>
      <c r="R1853">
        <v>733.01800000000003</v>
      </c>
      <c r="S1853">
        <v>1.2278007702E-2</v>
      </c>
      <c r="T1853" s="4" t="s">
        <v>3944</v>
      </c>
    </row>
    <row r="1854" spans="1:20" x14ac:dyDescent="0.2">
      <c r="A1854" s="4" t="s">
        <v>3940</v>
      </c>
      <c r="B1854" s="4" t="s">
        <v>3958</v>
      </c>
      <c r="C1854" s="4" t="s">
        <v>2096</v>
      </c>
      <c r="D1854" s="4" t="s">
        <v>2236</v>
      </c>
      <c r="E1854" s="4" t="s">
        <v>3959</v>
      </c>
      <c r="F1854" s="4" t="s">
        <v>3960</v>
      </c>
      <c r="G1854" s="4" t="s">
        <v>3943</v>
      </c>
      <c r="H1854" s="4" t="s">
        <v>2183</v>
      </c>
      <c r="I1854" s="4" t="s">
        <v>2100</v>
      </c>
      <c r="J1854" s="4" t="s">
        <v>3142</v>
      </c>
      <c r="K1854">
        <v>10</v>
      </c>
      <c r="L1854">
        <v>3.048</v>
      </c>
      <c r="M1854">
        <v>19.05</v>
      </c>
      <c r="N1854">
        <v>285.75</v>
      </c>
      <c r="O1854">
        <v>120</v>
      </c>
      <c r="P1854">
        <v>0.75000000000000011</v>
      </c>
      <c r="Q1854">
        <v>11.25</v>
      </c>
      <c r="R1854">
        <v>602.70399999999995</v>
      </c>
      <c r="S1854">
        <v>1.6591902300000003E-2</v>
      </c>
      <c r="T1854" s="4" t="s">
        <v>3961</v>
      </c>
    </row>
    <row r="1855" spans="1:20" x14ac:dyDescent="0.2">
      <c r="A1855" s="4" t="s">
        <v>3940</v>
      </c>
      <c r="B1855" s="4" t="s">
        <v>3958</v>
      </c>
      <c r="C1855" s="4" t="s">
        <v>2096</v>
      </c>
      <c r="D1855" s="4" t="s">
        <v>2236</v>
      </c>
      <c r="E1855" s="4" t="s">
        <v>3962</v>
      </c>
      <c r="F1855" s="4" t="s">
        <v>3960</v>
      </c>
      <c r="G1855" s="4" t="s">
        <v>3943</v>
      </c>
      <c r="H1855" s="4" t="s">
        <v>2183</v>
      </c>
      <c r="I1855" s="4" t="s">
        <v>2100</v>
      </c>
      <c r="J1855" s="4" t="s">
        <v>3142</v>
      </c>
      <c r="K1855">
        <v>11</v>
      </c>
      <c r="L1855">
        <v>3.3527999999999998</v>
      </c>
      <c r="M1855">
        <v>19.05</v>
      </c>
      <c r="N1855">
        <v>285.75</v>
      </c>
      <c r="O1855">
        <v>132</v>
      </c>
      <c r="P1855">
        <v>0.75000000000000011</v>
      </c>
      <c r="Q1855">
        <v>11.25</v>
      </c>
      <c r="R1855">
        <v>602.70399999999995</v>
      </c>
      <c r="S1855">
        <v>1.8251092530000002E-2</v>
      </c>
      <c r="T1855" s="4" t="s">
        <v>3961</v>
      </c>
    </row>
    <row r="1856" spans="1:20" x14ac:dyDescent="0.2">
      <c r="A1856" s="4" t="s">
        <v>3940</v>
      </c>
      <c r="B1856" s="4" t="s">
        <v>3958</v>
      </c>
      <c r="C1856" s="4" t="s">
        <v>2096</v>
      </c>
      <c r="D1856" s="4" t="s">
        <v>2236</v>
      </c>
      <c r="E1856" s="4" t="s">
        <v>156</v>
      </c>
      <c r="F1856" s="4" t="s">
        <v>3960</v>
      </c>
      <c r="G1856" s="4" t="s">
        <v>3943</v>
      </c>
      <c r="H1856" s="4" t="s">
        <v>2183</v>
      </c>
      <c r="I1856" s="4" t="s">
        <v>2100</v>
      </c>
      <c r="J1856" s="4" t="s">
        <v>3142</v>
      </c>
      <c r="K1856">
        <v>12</v>
      </c>
      <c r="L1856">
        <v>3.6576</v>
      </c>
      <c r="M1856">
        <v>19.05</v>
      </c>
      <c r="N1856">
        <v>285.75</v>
      </c>
      <c r="O1856">
        <v>144</v>
      </c>
      <c r="P1856">
        <v>0.75000000000000011</v>
      </c>
      <c r="Q1856">
        <v>11.25</v>
      </c>
      <c r="R1856">
        <v>602.70399999999995</v>
      </c>
      <c r="S1856">
        <v>1.9910282759999998E-2</v>
      </c>
      <c r="T1856" s="4" t="s">
        <v>3961</v>
      </c>
    </row>
    <row r="1857" spans="1:20" x14ac:dyDescent="0.2">
      <c r="A1857" s="4" t="s">
        <v>3940</v>
      </c>
      <c r="B1857" s="4" t="s">
        <v>3958</v>
      </c>
      <c r="C1857" s="4" t="s">
        <v>2096</v>
      </c>
      <c r="D1857" s="4" t="s">
        <v>2236</v>
      </c>
      <c r="E1857" s="4" t="s">
        <v>3963</v>
      </c>
      <c r="F1857" s="4" t="s">
        <v>3960</v>
      </c>
      <c r="G1857" s="4" t="s">
        <v>3943</v>
      </c>
      <c r="H1857" s="4" t="s">
        <v>2183</v>
      </c>
      <c r="I1857" s="4" t="s">
        <v>2100</v>
      </c>
      <c r="J1857" s="4" t="s">
        <v>3142</v>
      </c>
      <c r="K1857">
        <v>13</v>
      </c>
      <c r="L1857">
        <v>3.9624000000000001</v>
      </c>
      <c r="M1857">
        <v>19.05</v>
      </c>
      <c r="N1857">
        <v>285.75</v>
      </c>
      <c r="O1857">
        <v>156</v>
      </c>
      <c r="P1857">
        <v>0.75000000000000011</v>
      </c>
      <c r="Q1857">
        <v>11.25</v>
      </c>
      <c r="R1857">
        <v>602.70399999999995</v>
      </c>
      <c r="S1857">
        <v>2.1569472990000001E-2</v>
      </c>
      <c r="T1857" s="4" t="s">
        <v>3961</v>
      </c>
    </row>
    <row r="1858" spans="1:20" x14ac:dyDescent="0.2">
      <c r="A1858" s="4" t="s">
        <v>3940</v>
      </c>
      <c r="B1858" s="4" t="s">
        <v>3958</v>
      </c>
      <c r="C1858" s="4" t="s">
        <v>2096</v>
      </c>
      <c r="D1858" s="4" t="s">
        <v>2236</v>
      </c>
      <c r="E1858" s="4" t="s">
        <v>158</v>
      </c>
      <c r="F1858" s="4" t="s">
        <v>3960</v>
      </c>
      <c r="G1858" s="4" t="s">
        <v>3943</v>
      </c>
      <c r="H1858" s="4" t="s">
        <v>2183</v>
      </c>
      <c r="I1858" s="4" t="s">
        <v>2100</v>
      </c>
      <c r="J1858" s="4" t="s">
        <v>3142</v>
      </c>
      <c r="K1858">
        <v>14</v>
      </c>
      <c r="L1858">
        <v>4.2671999999999999</v>
      </c>
      <c r="M1858">
        <v>19.05</v>
      </c>
      <c r="N1858">
        <v>285.75</v>
      </c>
      <c r="O1858">
        <v>168</v>
      </c>
      <c r="P1858">
        <v>0.75000000000000011</v>
      </c>
      <c r="Q1858">
        <v>11.25</v>
      </c>
      <c r="R1858">
        <v>602.70399999999995</v>
      </c>
      <c r="S1858">
        <v>2.3228663220000001E-2</v>
      </c>
      <c r="T1858" s="4" t="s">
        <v>3961</v>
      </c>
    </row>
    <row r="1859" spans="1:20" x14ac:dyDescent="0.2">
      <c r="A1859" s="4" t="s">
        <v>3940</v>
      </c>
      <c r="B1859" s="4" t="s">
        <v>3958</v>
      </c>
      <c r="C1859" s="4" t="s">
        <v>2096</v>
      </c>
      <c r="D1859" s="4" t="s">
        <v>2236</v>
      </c>
      <c r="E1859" s="4" t="s">
        <v>3964</v>
      </c>
      <c r="F1859" s="4" t="s">
        <v>3960</v>
      </c>
      <c r="G1859" s="4" t="s">
        <v>3943</v>
      </c>
      <c r="H1859" s="4" t="s">
        <v>2183</v>
      </c>
      <c r="I1859" s="4" t="s">
        <v>2100</v>
      </c>
      <c r="J1859" s="4" t="s">
        <v>3142</v>
      </c>
      <c r="K1859">
        <v>15</v>
      </c>
      <c r="L1859">
        <v>4.5720000000000001</v>
      </c>
      <c r="M1859">
        <v>19.05</v>
      </c>
      <c r="N1859">
        <v>285.75</v>
      </c>
      <c r="O1859">
        <v>180</v>
      </c>
      <c r="P1859">
        <v>0.75000000000000011</v>
      </c>
      <c r="Q1859">
        <v>11.25</v>
      </c>
      <c r="R1859">
        <v>602.70399999999995</v>
      </c>
      <c r="S1859">
        <v>2.4887853450000001E-2</v>
      </c>
      <c r="T1859" s="4" t="s">
        <v>3961</v>
      </c>
    </row>
    <row r="1860" spans="1:20" x14ac:dyDescent="0.2">
      <c r="A1860" s="4" t="s">
        <v>3940</v>
      </c>
      <c r="B1860" s="4" t="s">
        <v>3958</v>
      </c>
      <c r="C1860" s="4" t="s">
        <v>2096</v>
      </c>
      <c r="D1860" s="4" t="s">
        <v>2236</v>
      </c>
      <c r="E1860" s="4" t="s">
        <v>3965</v>
      </c>
      <c r="F1860" s="4" t="s">
        <v>3960</v>
      </c>
      <c r="G1860" s="4" t="s">
        <v>3943</v>
      </c>
      <c r="H1860" s="4" t="s">
        <v>2183</v>
      </c>
      <c r="I1860" s="4" t="s">
        <v>2100</v>
      </c>
      <c r="J1860" s="4" t="s">
        <v>3142</v>
      </c>
      <c r="K1860">
        <v>16</v>
      </c>
      <c r="L1860">
        <v>4.8768000000000002</v>
      </c>
      <c r="M1860">
        <v>19.05</v>
      </c>
      <c r="N1860">
        <v>285.75</v>
      </c>
      <c r="O1860">
        <v>192.00000000000003</v>
      </c>
      <c r="P1860">
        <v>0.75000000000000011</v>
      </c>
      <c r="Q1860">
        <v>11.25</v>
      </c>
      <c r="R1860">
        <v>602.70399999999995</v>
      </c>
      <c r="S1860">
        <v>2.654704368E-2</v>
      </c>
      <c r="T1860" s="4" t="s">
        <v>3961</v>
      </c>
    </row>
    <row r="1861" spans="1:20" x14ac:dyDescent="0.2">
      <c r="A1861" s="4" t="s">
        <v>3940</v>
      </c>
      <c r="B1861" s="4" t="s">
        <v>3958</v>
      </c>
      <c r="C1861" s="4" t="s">
        <v>2096</v>
      </c>
      <c r="D1861" s="4" t="s">
        <v>2236</v>
      </c>
      <c r="E1861" s="4" t="s">
        <v>3966</v>
      </c>
      <c r="F1861" s="4" t="s">
        <v>3960</v>
      </c>
      <c r="G1861" s="4" t="s">
        <v>3943</v>
      </c>
      <c r="H1861" s="4" t="s">
        <v>2183</v>
      </c>
      <c r="I1861" s="4" t="s">
        <v>2100</v>
      </c>
      <c r="J1861" s="4" t="s">
        <v>3142</v>
      </c>
      <c r="K1861">
        <v>17</v>
      </c>
      <c r="L1861">
        <v>5.1816000000000004</v>
      </c>
      <c r="M1861">
        <v>19.05</v>
      </c>
      <c r="N1861">
        <v>285.75</v>
      </c>
      <c r="O1861">
        <v>204.00000000000003</v>
      </c>
      <c r="P1861">
        <v>0.75000000000000011</v>
      </c>
      <c r="Q1861">
        <v>11.25</v>
      </c>
      <c r="R1861">
        <v>602.70399999999995</v>
      </c>
      <c r="S1861">
        <v>2.8206233910000007E-2</v>
      </c>
      <c r="T1861" s="4" t="s">
        <v>3961</v>
      </c>
    </row>
    <row r="1862" spans="1:20" x14ac:dyDescent="0.2">
      <c r="A1862" s="4" t="s">
        <v>3940</v>
      </c>
      <c r="B1862" s="4" t="s">
        <v>3958</v>
      </c>
      <c r="C1862" s="4" t="s">
        <v>2096</v>
      </c>
      <c r="D1862" s="4" t="s">
        <v>2236</v>
      </c>
      <c r="E1862" s="4" t="s">
        <v>3967</v>
      </c>
      <c r="F1862" s="4" t="s">
        <v>3960</v>
      </c>
      <c r="G1862" s="4" t="s">
        <v>3943</v>
      </c>
      <c r="H1862" s="4" t="s">
        <v>2183</v>
      </c>
      <c r="I1862" s="4" t="s">
        <v>2100</v>
      </c>
      <c r="J1862" s="4" t="s">
        <v>3142</v>
      </c>
      <c r="K1862">
        <v>18</v>
      </c>
      <c r="L1862">
        <v>5.4863999999999997</v>
      </c>
      <c r="M1862">
        <v>19.05</v>
      </c>
      <c r="N1862">
        <v>285.75</v>
      </c>
      <c r="O1862">
        <v>216</v>
      </c>
      <c r="P1862">
        <v>0.75000000000000011</v>
      </c>
      <c r="Q1862">
        <v>11.25</v>
      </c>
      <c r="R1862">
        <v>602.70399999999995</v>
      </c>
      <c r="S1862">
        <v>2.9865424139999999E-2</v>
      </c>
      <c r="T1862" s="4" t="s">
        <v>3961</v>
      </c>
    </row>
    <row r="1863" spans="1:20" x14ac:dyDescent="0.2">
      <c r="A1863" s="4" t="s">
        <v>3940</v>
      </c>
      <c r="B1863" s="4" t="s">
        <v>3958</v>
      </c>
      <c r="C1863" s="4" t="s">
        <v>2096</v>
      </c>
      <c r="D1863" s="4" t="s">
        <v>2236</v>
      </c>
      <c r="E1863" s="4" t="s">
        <v>3968</v>
      </c>
      <c r="F1863" s="4" t="s">
        <v>3960</v>
      </c>
      <c r="G1863" s="4" t="s">
        <v>3943</v>
      </c>
      <c r="H1863" s="4" t="s">
        <v>2183</v>
      </c>
      <c r="I1863" s="4" t="s">
        <v>2100</v>
      </c>
      <c r="J1863" s="4" t="s">
        <v>3142</v>
      </c>
      <c r="K1863">
        <v>19</v>
      </c>
      <c r="L1863">
        <v>5.7911999999999999</v>
      </c>
      <c r="M1863">
        <v>19.05</v>
      </c>
      <c r="N1863">
        <v>285.75</v>
      </c>
      <c r="O1863">
        <v>228</v>
      </c>
      <c r="P1863">
        <v>0.75000000000000011</v>
      </c>
      <c r="Q1863">
        <v>11.25</v>
      </c>
      <c r="R1863">
        <v>602.70399999999995</v>
      </c>
      <c r="S1863">
        <v>3.1524614370000002E-2</v>
      </c>
      <c r="T1863" s="4" t="s">
        <v>3961</v>
      </c>
    </row>
    <row r="1864" spans="1:20" x14ac:dyDescent="0.2">
      <c r="A1864" s="4" t="s">
        <v>3940</v>
      </c>
      <c r="B1864" s="4" t="s">
        <v>3958</v>
      </c>
      <c r="C1864" s="4" t="s">
        <v>2096</v>
      </c>
      <c r="D1864" s="4" t="s">
        <v>2236</v>
      </c>
      <c r="E1864" s="4" t="s">
        <v>3969</v>
      </c>
      <c r="F1864" s="4" t="s">
        <v>3960</v>
      </c>
      <c r="G1864" s="4" t="s">
        <v>3943</v>
      </c>
      <c r="H1864" s="4" t="s">
        <v>2183</v>
      </c>
      <c r="I1864" s="4" t="s">
        <v>2100</v>
      </c>
      <c r="J1864" s="4" t="s">
        <v>3142</v>
      </c>
      <c r="K1864">
        <v>20</v>
      </c>
      <c r="L1864">
        <v>6.0960000000000001</v>
      </c>
      <c r="M1864">
        <v>19.05</v>
      </c>
      <c r="N1864">
        <v>285.75</v>
      </c>
      <c r="O1864">
        <v>240</v>
      </c>
      <c r="P1864">
        <v>0.75000000000000011</v>
      </c>
      <c r="Q1864">
        <v>11.25</v>
      </c>
      <c r="R1864">
        <v>602.70399999999995</v>
      </c>
      <c r="S1864">
        <v>3.3183804600000005E-2</v>
      </c>
      <c r="T1864" s="4" t="s">
        <v>3961</v>
      </c>
    </row>
    <row r="1865" spans="1:20" x14ac:dyDescent="0.2">
      <c r="A1865" s="4" t="s">
        <v>3940</v>
      </c>
      <c r="B1865" s="4" t="s">
        <v>3958</v>
      </c>
      <c r="C1865" s="4" t="s">
        <v>2096</v>
      </c>
      <c r="D1865" s="4" t="s">
        <v>2236</v>
      </c>
      <c r="E1865" s="4" t="s">
        <v>3970</v>
      </c>
      <c r="F1865" s="4" t="s">
        <v>3960</v>
      </c>
      <c r="G1865" s="4" t="s">
        <v>3943</v>
      </c>
      <c r="H1865" s="4" t="s">
        <v>2183</v>
      </c>
      <c r="I1865" s="4" t="s">
        <v>2100</v>
      </c>
      <c r="J1865" s="4" t="s">
        <v>3142</v>
      </c>
      <c r="K1865">
        <v>21</v>
      </c>
      <c r="L1865">
        <v>6.4008000000000003</v>
      </c>
      <c r="M1865">
        <v>19.05</v>
      </c>
      <c r="N1865">
        <v>285.75</v>
      </c>
      <c r="O1865">
        <v>252.00000000000003</v>
      </c>
      <c r="P1865">
        <v>0.75000000000000011</v>
      </c>
      <c r="Q1865">
        <v>11.25</v>
      </c>
      <c r="R1865">
        <v>602.70399999999995</v>
      </c>
      <c r="S1865">
        <v>3.4842994830000001E-2</v>
      </c>
      <c r="T1865" s="4" t="s">
        <v>3961</v>
      </c>
    </row>
    <row r="1866" spans="1:20" x14ac:dyDescent="0.2">
      <c r="A1866" s="4" t="s">
        <v>3940</v>
      </c>
      <c r="B1866" s="4" t="s">
        <v>3958</v>
      </c>
      <c r="C1866" s="4" t="s">
        <v>2096</v>
      </c>
      <c r="D1866" s="4" t="s">
        <v>2236</v>
      </c>
      <c r="E1866" s="4" t="s">
        <v>3971</v>
      </c>
      <c r="F1866" s="4" t="s">
        <v>3960</v>
      </c>
      <c r="G1866" s="4" t="s">
        <v>3943</v>
      </c>
      <c r="H1866" s="4" t="s">
        <v>2183</v>
      </c>
      <c r="I1866" s="4" t="s">
        <v>2100</v>
      </c>
      <c r="J1866" s="4" t="s">
        <v>3142</v>
      </c>
      <c r="K1866">
        <v>22</v>
      </c>
      <c r="L1866">
        <v>6.7055999999999996</v>
      </c>
      <c r="M1866">
        <v>19.05</v>
      </c>
      <c r="N1866">
        <v>285.75</v>
      </c>
      <c r="O1866">
        <v>264</v>
      </c>
      <c r="P1866">
        <v>0.75000000000000011</v>
      </c>
      <c r="Q1866">
        <v>11.25</v>
      </c>
      <c r="R1866">
        <v>602.70399999999995</v>
      </c>
      <c r="S1866">
        <v>3.6502185060000004E-2</v>
      </c>
      <c r="T1866" s="4" t="s">
        <v>3961</v>
      </c>
    </row>
    <row r="1867" spans="1:20" x14ac:dyDescent="0.2">
      <c r="A1867" s="4" t="s">
        <v>3940</v>
      </c>
      <c r="B1867" s="4" t="s">
        <v>3958</v>
      </c>
      <c r="C1867" s="4" t="s">
        <v>2096</v>
      </c>
      <c r="D1867" s="4" t="s">
        <v>2236</v>
      </c>
      <c r="E1867" s="4" t="s">
        <v>3972</v>
      </c>
      <c r="F1867" s="4" t="s">
        <v>3960</v>
      </c>
      <c r="G1867" s="4" t="s">
        <v>3943</v>
      </c>
      <c r="H1867" s="4" t="s">
        <v>2183</v>
      </c>
      <c r="I1867" s="4" t="s">
        <v>2100</v>
      </c>
      <c r="J1867" s="4" t="s">
        <v>3142</v>
      </c>
      <c r="K1867">
        <v>8</v>
      </c>
      <c r="L1867">
        <v>2.4384000000000001</v>
      </c>
      <c r="M1867">
        <v>19.05</v>
      </c>
      <c r="N1867">
        <v>285.75</v>
      </c>
      <c r="O1867">
        <v>96.000000000000014</v>
      </c>
      <c r="P1867">
        <v>0.75000000000000011</v>
      </c>
      <c r="Q1867">
        <v>11.25</v>
      </c>
      <c r="R1867">
        <v>602.70399999999995</v>
      </c>
      <c r="S1867">
        <v>1.327352184E-2</v>
      </c>
      <c r="T1867" s="4" t="s">
        <v>3961</v>
      </c>
    </row>
    <row r="1868" spans="1:20" x14ac:dyDescent="0.2">
      <c r="A1868" s="4" t="s">
        <v>3940</v>
      </c>
      <c r="B1868" s="4" t="s">
        <v>3958</v>
      </c>
      <c r="C1868" s="4" t="s">
        <v>2096</v>
      </c>
      <c r="D1868" s="4" t="s">
        <v>2236</v>
      </c>
      <c r="E1868" s="4" t="s">
        <v>3973</v>
      </c>
      <c r="F1868" s="4" t="s">
        <v>3960</v>
      </c>
      <c r="G1868" s="4" t="s">
        <v>3943</v>
      </c>
      <c r="H1868" s="4" t="s">
        <v>2183</v>
      </c>
      <c r="I1868" s="4" t="s">
        <v>2100</v>
      </c>
      <c r="J1868" s="4" t="s">
        <v>3142</v>
      </c>
      <c r="K1868">
        <v>9</v>
      </c>
      <c r="L1868">
        <v>2.7431999999999999</v>
      </c>
      <c r="M1868">
        <v>19.05</v>
      </c>
      <c r="N1868">
        <v>285.75</v>
      </c>
      <c r="O1868">
        <v>108</v>
      </c>
      <c r="P1868">
        <v>0.75000000000000011</v>
      </c>
      <c r="Q1868">
        <v>11.25</v>
      </c>
      <c r="R1868">
        <v>602.70399999999995</v>
      </c>
      <c r="S1868">
        <v>1.493271207E-2</v>
      </c>
      <c r="T1868" s="4" t="s">
        <v>3961</v>
      </c>
    </row>
    <row r="1869" spans="1:20" x14ac:dyDescent="0.2">
      <c r="A1869" s="4" t="s">
        <v>3940</v>
      </c>
      <c r="B1869" s="4" t="s">
        <v>3974</v>
      </c>
      <c r="C1869" s="4" t="s">
        <v>2096</v>
      </c>
      <c r="D1869" s="4" t="s">
        <v>2236</v>
      </c>
      <c r="E1869" s="4" t="s">
        <v>160</v>
      </c>
      <c r="F1869" s="4" t="s">
        <v>3975</v>
      </c>
      <c r="G1869" s="4" t="s">
        <v>3943</v>
      </c>
      <c r="H1869" s="4" t="s">
        <v>2183</v>
      </c>
      <c r="I1869" s="4" t="s">
        <v>2100</v>
      </c>
      <c r="J1869" s="4" t="s">
        <v>2384</v>
      </c>
      <c r="K1869">
        <v>10</v>
      </c>
      <c r="L1869">
        <v>3.048</v>
      </c>
      <c r="M1869">
        <v>19.05</v>
      </c>
      <c r="N1869">
        <v>88.9</v>
      </c>
      <c r="O1869">
        <v>120</v>
      </c>
      <c r="P1869">
        <v>0.75000000000000011</v>
      </c>
      <c r="Q1869">
        <v>3.5000000000000004</v>
      </c>
      <c r="R1869">
        <v>1937.2619999999999</v>
      </c>
      <c r="S1869">
        <v>5.1619251600000006E-3</v>
      </c>
      <c r="T1869" s="4" t="s">
        <v>3976</v>
      </c>
    </row>
    <row r="1870" spans="1:20" x14ac:dyDescent="0.2">
      <c r="A1870" s="4" t="s">
        <v>3940</v>
      </c>
      <c r="B1870" s="4" t="s">
        <v>3974</v>
      </c>
      <c r="C1870" s="4" t="s">
        <v>2096</v>
      </c>
      <c r="D1870" s="4" t="s">
        <v>2236</v>
      </c>
      <c r="E1870" s="4" t="s">
        <v>162</v>
      </c>
      <c r="F1870" s="4" t="s">
        <v>3975</v>
      </c>
      <c r="G1870" s="4" t="s">
        <v>3943</v>
      </c>
      <c r="H1870" s="4" t="s">
        <v>2183</v>
      </c>
      <c r="I1870" s="4" t="s">
        <v>2100</v>
      </c>
      <c r="J1870" s="4" t="s">
        <v>2384</v>
      </c>
      <c r="K1870">
        <v>11</v>
      </c>
      <c r="L1870">
        <v>3.3527999999999998</v>
      </c>
      <c r="M1870">
        <v>19.05</v>
      </c>
      <c r="N1870">
        <v>88.9</v>
      </c>
      <c r="O1870">
        <v>132</v>
      </c>
      <c r="P1870">
        <v>0.75000000000000011</v>
      </c>
      <c r="Q1870">
        <v>3.5000000000000004</v>
      </c>
      <c r="R1870">
        <v>1937.2619999999999</v>
      </c>
      <c r="S1870">
        <v>5.6781176760000007E-3</v>
      </c>
      <c r="T1870" s="4" t="s">
        <v>3976</v>
      </c>
    </row>
    <row r="1871" spans="1:20" x14ac:dyDescent="0.2">
      <c r="A1871" s="4" t="s">
        <v>3940</v>
      </c>
      <c r="B1871" s="4" t="s">
        <v>3974</v>
      </c>
      <c r="C1871" s="4" t="s">
        <v>2096</v>
      </c>
      <c r="D1871" s="4" t="s">
        <v>2236</v>
      </c>
      <c r="E1871" s="4" t="s">
        <v>164</v>
      </c>
      <c r="F1871" s="4" t="s">
        <v>3975</v>
      </c>
      <c r="G1871" s="4" t="s">
        <v>3943</v>
      </c>
      <c r="H1871" s="4" t="s">
        <v>2183</v>
      </c>
      <c r="I1871" s="4" t="s">
        <v>2100</v>
      </c>
      <c r="J1871" s="4" t="s">
        <v>2384</v>
      </c>
      <c r="K1871">
        <v>12</v>
      </c>
      <c r="L1871">
        <v>3.6576</v>
      </c>
      <c r="M1871">
        <v>19.05</v>
      </c>
      <c r="N1871">
        <v>88.9</v>
      </c>
      <c r="O1871">
        <v>144</v>
      </c>
      <c r="P1871">
        <v>0.75000000000000011</v>
      </c>
      <c r="Q1871">
        <v>3.5000000000000004</v>
      </c>
      <c r="R1871">
        <v>1937.2619999999999</v>
      </c>
      <c r="S1871">
        <v>6.1943101919999998E-3</v>
      </c>
      <c r="T1871" s="4" t="s">
        <v>3976</v>
      </c>
    </row>
    <row r="1872" spans="1:20" x14ac:dyDescent="0.2">
      <c r="A1872" s="4" t="s">
        <v>3940</v>
      </c>
      <c r="B1872" s="4" t="s">
        <v>3974</v>
      </c>
      <c r="C1872" s="4" t="s">
        <v>2096</v>
      </c>
      <c r="D1872" s="4" t="s">
        <v>2236</v>
      </c>
      <c r="E1872" s="4" t="s">
        <v>166</v>
      </c>
      <c r="F1872" s="4" t="s">
        <v>3975</v>
      </c>
      <c r="G1872" s="4" t="s">
        <v>3943</v>
      </c>
      <c r="H1872" s="4" t="s">
        <v>2183</v>
      </c>
      <c r="I1872" s="4" t="s">
        <v>2100</v>
      </c>
      <c r="J1872" s="4" t="s">
        <v>2384</v>
      </c>
      <c r="K1872">
        <v>13</v>
      </c>
      <c r="L1872">
        <v>3.9624000000000001</v>
      </c>
      <c r="M1872">
        <v>19.05</v>
      </c>
      <c r="N1872">
        <v>88.9</v>
      </c>
      <c r="O1872">
        <v>156</v>
      </c>
      <c r="P1872">
        <v>0.75000000000000011</v>
      </c>
      <c r="Q1872">
        <v>3.5000000000000004</v>
      </c>
      <c r="R1872">
        <v>1937.2619999999999</v>
      </c>
      <c r="S1872">
        <v>6.7105027080000008E-3</v>
      </c>
      <c r="T1872" s="4" t="s">
        <v>3976</v>
      </c>
    </row>
    <row r="1873" spans="1:20" x14ac:dyDescent="0.2">
      <c r="A1873" s="4" t="s">
        <v>3940</v>
      </c>
      <c r="B1873" s="4" t="s">
        <v>3974</v>
      </c>
      <c r="C1873" s="4" t="s">
        <v>2096</v>
      </c>
      <c r="D1873" s="4" t="s">
        <v>2236</v>
      </c>
      <c r="E1873" s="4" t="s">
        <v>168</v>
      </c>
      <c r="F1873" s="4" t="s">
        <v>3975</v>
      </c>
      <c r="G1873" s="4" t="s">
        <v>3943</v>
      </c>
      <c r="H1873" s="4" t="s">
        <v>2183</v>
      </c>
      <c r="I1873" s="4" t="s">
        <v>2100</v>
      </c>
      <c r="J1873" s="4" t="s">
        <v>2384</v>
      </c>
      <c r="K1873">
        <v>14</v>
      </c>
      <c r="L1873">
        <v>4.2671999999999999</v>
      </c>
      <c r="M1873">
        <v>19.05</v>
      </c>
      <c r="N1873">
        <v>88.9</v>
      </c>
      <c r="O1873">
        <v>168</v>
      </c>
      <c r="P1873">
        <v>0.75000000000000011</v>
      </c>
      <c r="Q1873">
        <v>3.5000000000000004</v>
      </c>
      <c r="R1873">
        <v>1937.2619999999999</v>
      </c>
      <c r="S1873">
        <v>7.226695224E-3</v>
      </c>
      <c r="T1873" s="4" t="s">
        <v>3976</v>
      </c>
    </row>
    <row r="1874" spans="1:20" x14ac:dyDescent="0.2">
      <c r="A1874" s="4" t="s">
        <v>3940</v>
      </c>
      <c r="B1874" s="4" t="s">
        <v>3974</v>
      </c>
      <c r="C1874" s="4" t="s">
        <v>2096</v>
      </c>
      <c r="D1874" s="4" t="s">
        <v>2236</v>
      </c>
      <c r="E1874" s="4" t="s">
        <v>170</v>
      </c>
      <c r="F1874" s="4" t="s">
        <v>3975</v>
      </c>
      <c r="G1874" s="4" t="s">
        <v>3943</v>
      </c>
      <c r="H1874" s="4" t="s">
        <v>2183</v>
      </c>
      <c r="I1874" s="4" t="s">
        <v>2100</v>
      </c>
      <c r="J1874" s="4" t="s">
        <v>2384</v>
      </c>
      <c r="K1874">
        <v>15</v>
      </c>
      <c r="L1874">
        <v>4.5720000000000001</v>
      </c>
      <c r="M1874">
        <v>19.05</v>
      </c>
      <c r="N1874">
        <v>88.9</v>
      </c>
      <c r="O1874">
        <v>180</v>
      </c>
      <c r="P1874">
        <v>0.75000000000000011</v>
      </c>
      <c r="Q1874">
        <v>3.5000000000000004</v>
      </c>
      <c r="R1874">
        <v>1937.2619999999999</v>
      </c>
      <c r="S1874">
        <v>7.7428877400000018E-3</v>
      </c>
      <c r="T1874" s="4" t="s">
        <v>3976</v>
      </c>
    </row>
    <row r="1875" spans="1:20" x14ac:dyDescent="0.2">
      <c r="A1875" s="4" t="s">
        <v>3940</v>
      </c>
      <c r="B1875" s="4" t="s">
        <v>3974</v>
      </c>
      <c r="C1875" s="4" t="s">
        <v>2096</v>
      </c>
      <c r="D1875" s="4" t="s">
        <v>2236</v>
      </c>
      <c r="E1875" s="4" t="s">
        <v>3977</v>
      </c>
      <c r="F1875" s="4" t="s">
        <v>3975</v>
      </c>
      <c r="G1875" s="4" t="s">
        <v>3943</v>
      </c>
      <c r="H1875" s="4" t="s">
        <v>2183</v>
      </c>
      <c r="I1875" s="4" t="s">
        <v>2100</v>
      </c>
      <c r="J1875" s="4" t="s">
        <v>2384</v>
      </c>
      <c r="K1875">
        <v>16</v>
      </c>
      <c r="L1875">
        <v>4.8768000000000002</v>
      </c>
      <c r="M1875">
        <v>19.05</v>
      </c>
      <c r="N1875">
        <v>88.9</v>
      </c>
      <c r="O1875">
        <v>192.00000000000003</v>
      </c>
      <c r="P1875">
        <v>0.75000000000000011</v>
      </c>
      <c r="Q1875">
        <v>3.5000000000000004</v>
      </c>
      <c r="R1875">
        <v>1937.2619999999999</v>
      </c>
      <c r="S1875">
        <v>8.259080256000001E-3</v>
      </c>
      <c r="T1875" s="4" t="s">
        <v>3976</v>
      </c>
    </row>
    <row r="1876" spans="1:20" x14ac:dyDescent="0.2">
      <c r="A1876" s="4" t="s">
        <v>3940</v>
      </c>
      <c r="B1876" s="4" t="s">
        <v>3974</v>
      </c>
      <c r="C1876" s="4" t="s">
        <v>2096</v>
      </c>
      <c r="D1876" s="4" t="s">
        <v>2236</v>
      </c>
      <c r="E1876" s="4" t="s">
        <v>172</v>
      </c>
      <c r="F1876" s="4" t="s">
        <v>3975</v>
      </c>
      <c r="G1876" s="4" t="s">
        <v>3943</v>
      </c>
      <c r="H1876" s="4" t="s">
        <v>2183</v>
      </c>
      <c r="I1876" s="4" t="s">
        <v>2100</v>
      </c>
      <c r="J1876" s="4" t="s">
        <v>2384</v>
      </c>
      <c r="K1876">
        <v>17</v>
      </c>
      <c r="L1876">
        <v>5.1816000000000004</v>
      </c>
      <c r="M1876">
        <v>19.05</v>
      </c>
      <c r="N1876">
        <v>88.9</v>
      </c>
      <c r="O1876">
        <v>204.00000000000003</v>
      </c>
      <c r="P1876">
        <v>0.75000000000000011</v>
      </c>
      <c r="Q1876">
        <v>3.5000000000000004</v>
      </c>
      <c r="R1876">
        <v>1937.2619999999999</v>
      </c>
      <c r="S1876">
        <v>8.7752727720000027E-3</v>
      </c>
      <c r="T1876" s="4" t="s">
        <v>3976</v>
      </c>
    </row>
    <row r="1877" spans="1:20" x14ac:dyDescent="0.2">
      <c r="A1877" s="4" t="s">
        <v>3940</v>
      </c>
      <c r="B1877" s="4" t="s">
        <v>3974</v>
      </c>
      <c r="C1877" s="4" t="s">
        <v>2096</v>
      </c>
      <c r="D1877" s="4" t="s">
        <v>2236</v>
      </c>
      <c r="E1877" s="4" t="s">
        <v>3978</v>
      </c>
      <c r="F1877" s="4" t="s">
        <v>3975</v>
      </c>
      <c r="G1877" s="4" t="s">
        <v>3943</v>
      </c>
      <c r="H1877" s="4" t="s">
        <v>2183</v>
      </c>
      <c r="I1877" s="4" t="s">
        <v>2100</v>
      </c>
      <c r="J1877" s="4" t="s">
        <v>2384</v>
      </c>
      <c r="K1877">
        <v>18</v>
      </c>
      <c r="L1877">
        <v>5.4863999999999997</v>
      </c>
      <c r="M1877">
        <v>19.05</v>
      </c>
      <c r="N1877">
        <v>88.9</v>
      </c>
      <c r="O1877">
        <v>216</v>
      </c>
      <c r="P1877">
        <v>0.75000000000000011</v>
      </c>
      <c r="Q1877">
        <v>3.5000000000000004</v>
      </c>
      <c r="R1877">
        <v>1937.2619999999999</v>
      </c>
      <c r="S1877">
        <v>9.2914652880000011E-3</v>
      </c>
      <c r="T1877" s="4" t="s">
        <v>3976</v>
      </c>
    </row>
    <row r="1878" spans="1:20" x14ac:dyDescent="0.2">
      <c r="A1878" s="4" t="s">
        <v>3940</v>
      </c>
      <c r="B1878" s="4" t="s">
        <v>3974</v>
      </c>
      <c r="C1878" s="4" t="s">
        <v>2096</v>
      </c>
      <c r="D1878" s="4" t="s">
        <v>2236</v>
      </c>
      <c r="E1878" s="4" t="s">
        <v>174</v>
      </c>
      <c r="F1878" s="4" t="s">
        <v>3975</v>
      </c>
      <c r="G1878" s="4" t="s">
        <v>3943</v>
      </c>
      <c r="H1878" s="4" t="s">
        <v>2183</v>
      </c>
      <c r="I1878" s="4" t="s">
        <v>2100</v>
      </c>
      <c r="J1878" s="4" t="s">
        <v>2384</v>
      </c>
      <c r="K1878">
        <v>19</v>
      </c>
      <c r="L1878">
        <v>5.7911999999999999</v>
      </c>
      <c r="M1878">
        <v>19.05</v>
      </c>
      <c r="N1878">
        <v>88.9</v>
      </c>
      <c r="O1878">
        <v>228</v>
      </c>
      <c r="P1878">
        <v>0.75000000000000011</v>
      </c>
      <c r="Q1878">
        <v>3.5000000000000004</v>
      </c>
      <c r="R1878">
        <v>1937.2619999999999</v>
      </c>
      <c r="S1878">
        <v>9.8076578040000011E-3</v>
      </c>
      <c r="T1878" s="4" t="s">
        <v>3976</v>
      </c>
    </row>
    <row r="1879" spans="1:20" x14ac:dyDescent="0.2">
      <c r="A1879" s="4" t="s">
        <v>3940</v>
      </c>
      <c r="B1879" s="4" t="s">
        <v>3974</v>
      </c>
      <c r="C1879" s="4" t="s">
        <v>2096</v>
      </c>
      <c r="D1879" s="4" t="s">
        <v>2236</v>
      </c>
      <c r="E1879" s="4" t="s">
        <v>176</v>
      </c>
      <c r="F1879" s="4" t="s">
        <v>3975</v>
      </c>
      <c r="G1879" s="4" t="s">
        <v>3943</v>
      </c>
      <c r="H1879" s="4" t="s">
        <v>2183</v>
      </c>
      <c r="I1879" s="4" t="s">
        <v>2100</v>
      </c>
      <c r="J1879" s="4" t="s">
        <v>2384</v>
      </c>
      <c r="K1879">
        <v>20</v>
      </c>
      <c r="L1879">
        <v>6.0960000000000001</v>
      </c>
      <c r="M1879">
        <v>19.05</v>
      </c>
      <c r="N1879">
        <v>88.9</v>
      </c>
      <c r="O1879">
        <v>240</v>
      </c>
      <c r="P1879">
        <v>0.75000000000000011</v>
      </c>
      <c r="Q1879">
        <v>3.5000000000000004</v>
      </c>
      <c r="R1879">
        <v>1937.2619999999999</v>
      </c>
      <c r="S1879">
        <v>1.0323850320000001E-2</v>
      </c>
      <c r="T1879" s="4" t="s">
        <v>3976</v>
      </c>
    </row>
    <row r="1880" spans="1:20" x14ac:dyDescent="0.2">
      <c r="A1880" s="4" t="s">
        <v>3940</v>
      </c>
      <c r="B1880" s="4" t="s">
        <v>3974</v>
      </c>
      <c r="C1880" s="4" t="s">
        <v>2096</v>
      </c>
      <c r="D1880" s="4" t="s">
        <v>2236</v>
      </c>
      <c r="E1880" s="4" t="s">
        <v>178</v>
      </c>
      <c r="F1880" s="4" t="s">
        <v>3975</v>
      </c>
      <c r="G1880" s="4" t="s">
        <v>3943</v>
      </c>
      <c r="H1880" s="4" t="s">
        <v>2183</v>
      </c>
      <c r="I1880" s="4" t="s">
        <v>2100</v>
      </c>
      <c r="J1880" s="4" t="s">
        <v>2384</v>
      </c>
      <c r="K1880">
        <v>22</v>
      </c>
      <c r="L1880">
        <v>6.7055999999999996</v>
      </c>
      <c r="M1880">
        <v>19.05</v>
      </c>
      <c r="N1880">
        <v>88.9</v>
      </c>
      <c r="O1880">
        <v>264</v>
      </c>
      <c r="P1880">
        <v>0.75000000000000011</v>
      </c>
      <c r="Q1880">
        <v>3.5000000000000004</v>
      </c>
      <c r="R1880">
        <v>1937.2619999999999</v>
      </c>
      <c r="S1880">
        <v>1.1356235352000001E-2</v>
      </c>
      <c r="T1880" s="4" t="s">
        <v>3976</v>
      </c>
    </row>
    <row r="1881" spans="1:20" x14ac:dyDescent="0.2">
      <c r="A1881" s="4" t="s">
        <v>3940</v>
      </c>
      <c r="B1881" s="4" t="s">
        <v>3974</v>
      </c>
      <c r="C1881" s="4" t="s">
        <v>2096</v>
      </c>
      <c r="D1881" s="4" t="s">
        <v>2236</v>
      </c>
      <c r="E1881" s="4" t="s">
        <v>180</v>
      </c>
      <c r="F1881" s="4" t="s">
        <v>3975</v>
      </c>
      <c r="G1881" s="4" t="s">
        <v>3943</v>
      </c>
      <c r="H1881" s="4" t="s">
        <v>2183</v>
      </c>
      <c r="I1881" s="4" t="s">
        <v>2100</v>
      </c>
      <c r="J1881" s="4" t="s">
        <v>2384</v>
      </c>
      <c r="K1881">
        <v>8</v>
      </c>
      <c r="L1881">
        <v>2.4384000000000001</v>
      </c>
      <c r="M1881">
        <v>19.05</v>
      </c>
      <c r="N1881">
        <v>88.9</v>
      </c>
      <c r="O1881">
        <v>96.000000000000014</v>
      </c>
      <c r="P1881">
        <v>0.75000000000000011</v>
      </c>
      <c r="Q1881">
        <v>3.5000000000000004</v>
      </c>
      <c r="R1881">
        <v>1937.2619999999999</v>
      </c>
      <c r="S1881">
        <v>4.1295401280000005E-3</v>
      </c>
      <c r="T1881" s="4" t="s">
        <v>3976</v>
      </c>
    </row>
    <row r="1882" spans="1:20" x14ac:dyDescent="0.2">
      <c r="A1882" s="4" t="s">
        <v>3940</v>
      </c>
      <c r="B1882" s="4" t="s">
        <v>3974</v>
      </c>
      <c r="C1882" s="4" t="s">
        <v>2096</v>
      </c>
      <c r="D1882" s="4" t="s">
        <v>2236</v>
      </c>
      <c r="E1882" s="4" t="s">
        <v>182</v>
      </c>
      <c r="F1882" s="4" t="s">
        <v>3975</v>
      </c>
      <c r="G1882" s="4" t="s">
        <v>3943</v>
      </c>
      <c r="H1882" s="4" t="s">
        <v>2183</v>
      </c>
      <c r="I1882" s="4" t="s">
        <v>2100</v>
      </c>
      <c r="J1882" s="4" t="s">
        <v>2384</v>
      </c>
      <c r="K1882">
        <v>9</v>
      </c>
      <c r="L1882">
        <v>2.7431999999999999</v>
      </c>
      <c r="M1882">
        <v>19.05</v>
      </c>
      <c r="N1882">
        <v>88.9</v>
      </c>
      <c r="O1882">
        <v>108</v>
      </c>
      <c r="P1882">
        <v>0.75000000000000011</v>
      </c>
      <c r="Q1882">
        <v>3.5000000000000004</v>
      </c>
      <c r="R1882">
        <v>1937.2619999999999</v>
      </c>
      <c r="S1882">
        <v>4.6457326440000005E-3</v>
      </c>
      <c r="T1882" s="4" t="s">
        <v>3976</v>
      </c>
    </row>
    <row r="1883" spans="1:20" x14ac:dyDescent="0.2">
      <c r="A1883" s="4" t="s">
        <v>3940</v>
      </c>
      <c r="B1883" s="4" t="s">
        <v>3979</v>
      </c>
      <c r="C1883" s="4" t="s">
        <v>2096</v>
      </c>
      <c r="D1883" s="4" t="s">
        <v>2236</v>
      </c>
      <c r="E1883" s="4" t="s">
        <v>3980</v>
      </c>
      <c r="F1883" s="4" t="s">
        <v>3981</v>
      </c>
      <c r="G1883" s="4" t="s">
        <v>3943</v>
      </c>
      <c r="H1883" s="4" t="s">
        <v>2183</v>
      </c>
      <c r="I1883" s="4" t="s">
        <v>2100</v>
      </c>
      <c r="J1883" s="4" t="s">
        <v>2153</v>
      </c>
      <c r="K1883">
        <v>10</v>
      </c>
      <c r="L1883">
        <v>3.048</v>
      </c>
      <c r="M1883">
        <v>19.05</v>
      </c>
      <c r="N1883">
        <v>139.69999999999999</v>
      </c>
      <c r="O1883">
        <v>120</v>
      </c>
      <c r="P1883">
        <v>0.75000000000000011</v>
      </c>
      <c r="Q1883">
        <v>5.5</v>
      </c>
      <c r="R1883">
        <v>1232.8030000000001</v>
      </c>
      <c r="S1883">
        <v>8.1115966799999994E-3</v>
      </c>
      <c r="T1883" s="4" t="s">
        <v>3982</v>
      </c>
    </row>
    <row r="1884" spans="1:20" x14ac:dyDescent="0.2">
      <c r="A1884" s="4" t="s">
        <v>3940</v>
      </c>
      <c r="B1884" s="4" t="s">
        <v>3979</v>
      </c>
      <c r="C1884" s="4" t="s">
        <v>2096</v>
      </c>
      <c r="D1884" s="4" t="s">
        <v>2236</v>
      </c>
      <c r="E1884" s="4" t="s">
        <v>3983</v>
      </c>
      <c r="F1884" s="4" t="s">
        <v>3981</v>
      </c>
      <c r="G1884" s="4" t="s">
        <v>3943</v>
      </c>
      <c r="H1884" s="4" t="s">
        <v>2183</v>
      </c>
      <c r="I1884" s="4" t="s">
        <v>2100</v>
      </c>
      <c r="J1884" s="4" t="s">
        <v>2153</v>
      </c>
      <c r="K1884">
        <v>11</v>
      </c>
      <c r="L1884">
        <v>3.3528000000000002</v>
      </c>
      <c r="M1884">
        <v>19.05</v>
      </c>
      <c r="N1884">
        <v>139.69999999999999</v>
      </c>
      <c r="O1884">
        <v>132</v>
      </c>
      <c r="P1884">
        <v>0.75000000000000011</v>
      </c>
      <c r="Q1884">
        <v>5.5</v>
      </c>
      <c r="R1884">
        <v>1232.8030000000001</v>
      </c>
      <c r="S1884">
        <v>8.9227563480000025E-3</v>
      </c>
      <c r="T1884" s="4" t="s">
        <v>3982</v>
      </c>
    </row>
    <row r="1885" spans="1:20" x14ac:dyDescent="0.2">
      <c r="A1885" s="4" t="s">
        <v>3940</v>
      </c>
      <c r="B1885" s="4" t="s">
        <v>3979</v>
      </c>
      <c r="C1885" s="4" t="s">
        <v>2096</v>
      </c>
      <c r="D1885" s="4" t="s">
        <v>2236</v>
      </c>
      <c r="E1885" s="4" t="s">
        <v>3984</v>
      </c>
      <c r="F1885" s="4" t="s">
        <v>3981</v>
      </c>
      <c r="G1885" s="4" t="s">
        <v>3943</v>
      </c>
      <c r="H1885" s="4" t="s">
        <v>2183</v>
      </c>
      <c r="I1885" s="4" t="s">
        <v>2100</v>
      </c>
      <c r="J1885" s="4" t="s">
        <v>2153</v>
      </c>
      <c r="K1885">
        <v>12</v>
      </c>
      <c r="L1885">
        <v>3.6576000000000004</v>
      </c>
      <c r="M1885">
        <v>19.05</v>
      </c>
      <c r="N1885">
        <v>139.69999999999999</v>
      </c>
      <c r="O1885">
        <v>144.00000000000003</v>
      </c>
      <c r="P1885">
        <v>0.75000000000000011</v>
      </c>
      <c r="Q1885">
        <v>5.5</v>
      </c>
      <c r="R1885">
        <v>1232.8030000000001</v>
      </c>
      <c r="S1885">
        <v>9.7339160160000004E-3</v>
      </c>
      <c r="T1885" s="4" t="s">
        <v>3982</v>
      </c>
    </row>
    <row r="1886" spans="1:20" x14ac:dyDescent="0.2">
      <c r="A1886" s="4" t="s">
        <v>3940</v>
      </c>
      <c r="B1886" s="4" t="s">
        <v>3979</v>
      </c>
      <c r="C1886" s="4" t="s">
        <v>2096</v>
      </c>
      <c r="D1886" s="4" t="s">
        <v>2236</v>
      </c>
      <c r="E1886" s="4" t="s">
        <v>3985</v>
      </c>
      <c r="F1886" s="4" t="s">
        <v>3981</v>
      </c>
      <c r="G1886" s="4" t="s">
        <v>3943</v>
      </c>
      <c r="H1886" s="4" t="s">
        <v>2183</v>
      </c>
      <c r="I1886" s="4" t="s">
        <v>2100</v>
      </c>
      <c r="J1886" s="4" t="s">
        <v>2153</v>
      </c>
      <c r="K1886">
        <v>13</v>
      </c>
      <c r="L1886">
        <v>3.9624000000000001</v>
      </c>
      <c r="M1886">
        <v>19.05</v>
      </c>
      <c r="N1886">
        <v>139.69999999999999</v>
      </c>
      <c r="O1886">
        <v>156</v>
      </c>
      <c r="P1886">
        <v>0.75000000000000011</v>
      </c>
      <c r="Q1886">
        <v>5.5</v>
      </c>
      <c r="R1886">
        <v>1232.8030000000001</v>
      </c>
      <c r="S1886">
        <v>1.0545075684E-2</v>
      </c>
      <c r="T1886" s="4" t="s">
        <v>3982</v>
      </c>
    </row>
    <row r="1887" spans="1:20" x14ac:dyDescent="0.2">
      <c r="A1887" s="4" t="s">
        <v>3940</v>
      </c>
      <c r="B1887" s="4" t="s">
        <v>3979</v>
      </c>
      <c r="C1887" s="4" t="s">
        <v>2096</v>
      </c>
      <c r="D1887" s="4" t="s">
        <v>2236</v>
      </c>
      <c r="E1887" s="4" t="s">
        <v>3986</v>
      </c>
      <c r="F1887" s="4" t="s">
        <v>3981</v>
      </c>
      <c r="G1887" s="4" t="s">
        <v>3943</v>
      </c>
      <c r="H1887" s="4" t="s">
        <v>2183</v>
      </c>
      <c r="I1887" s="4" t="s">
        <v>2100</v>
      </c>
      <c r="J1887" s="4" t="s">
        <v>2153</v>
      </c>
      <c r="K1887">
        <v>14</v>
      </c>
      <c r="L1887">
        <v>4.2671999999999999</v>
      </c>
      <c r="M1887">
        <v>19.05</v>
      </c>
      <c r="N1887">
        <v>139.69999999999999</v>
      </c>
      <c r="O1887">
        <v>168</v>
      </c>
      <c r="P1887">
        <v>0.75000000000000011</v>
      </c>
      <c r="Q1887">
        <v>5.5</v>
      </c>
      <c r="R1887">
        <v>1232.8030000000001</v>
      </c>
      <c r="S1887">
        <v>1.1356235352E-2</v>
      </c>
      <c r="T1887" s="4" t="s">
        <v>3982</v>
      </c>
    </row>
    <row r="1888" spans="1:20" x14ac:dyDescent="0.2">
      <c r="A1888" s="4" t="s">
        <v>3940</v>
      </c>
      <c r="B1888" s="4" t="s">
        <v>3979</v>
      </c>
      <c r="C1888" s="4" t="s">
        <v>2096</v>
      </c>
      <c r="D1888" s="4" t="s">
        <v>2236</v>
      </c>
      <c r="E1888" s="4" t="s">
        <v>3987</v>
      </c>
      <c r="F1888" s="4" t="s">
        <v>3981</v>
      </c>
      <c r="G1888" s="4" t="s">
        <v>3943</v>
      </c>
      <c r="H1888" s="4" t="s">
        <v>2183</v>
      </c>
      <c r="I1888" s="4" t="s">
        <v>2100</v>
      </c>
      <c r="J1888" s="4" t="s">
        <v>2153</v>
      </c>
      <c r="K1888">
        <v>15</v>
      </c>
      <c r="L1888">
        <v>4.5720000000000001</v>
      </c>
      <c r="M1888">
        <v>19.05</v>
      </c>
      <c r="N1888">
        <v>139.69999999999999</v>
      </c>
      <c r="O1888">
        <v>180</v>
      </c>
      <c r="P1888">
        <v>0.75000000000000011</v>
      </c>
      <c r="Q1888">
        <v>5.5</v>
      </c>
      <c r="R1888">
        <v>1232.8030000000001</v>
      </c>
      <c r="S1888">
        <v>1.2167395020000001E-2</v>
      </c>
      <c r="T1888" s="4" t="s">
        <v>3982</v>
      </c>
    </row>
    <row r="1889" spans="1:20" x14ac:dyDescent="0.2">
      <c r="A1889" s="4" t="s">
        <v>3940</v>
      </c>
      <c r="B1889" s="4" t="s">
        <v>3979</v>
      </c>
      <c r="C1889" s="4" t="s">
        <v>2096</v>
      </c>
      <c r="D1889" s="4" t="s">
        <v>2236</v>
      </c>
      <c r="E1889" s="4" t="s">
        <v>3988</v>
      </c>
      <c r="F1889" s="4" t="s">
        <v>3981</v>
      </c>
      <c r="G1889" s="4" t="s">
        <v>3943</v>
      </c>
      <c r="H1889" s="4" t="s">
        <v>2183</v>
      </c>
      <c r="I1889" s="4" t="s">
        <v>2100</v>
      </c>
      <c r="J1889" s="4" t="s">
        <v>2153</v>
      </c>
      <c r="K1889">
        <v>16</v>
      </c>
      <c r="L1889">
        <v>4.8768000000000002</v>
      </c>
      <c r="M1889">
        <v>19.05</v>
      </c>
      <c r="N1889">
        <v>139.69999999999999</v>
      </c>
      <c r="O1889">
        <v>192.00000000000003</v>
      </c>
      <c r="P1889">
        <v>0.75000000000000011</v>
      </c>
      <c r="Q1889">
        <v>5.5</v>
      </c>
      <c r="R1889">
        <v>1232.8030000000001</v>
      </c>
      <c r="S1889">
        <v>1.2978554687999999E-2</v>
      </c>
      <c r="T1889" s="4" t="s">
        <v>3982</v>
      </c>
    </row>
    <row r="1890" spans="1:20" x14ac:dyDescent="0.2">
      <c r="A1890" s="4" t="s">
        <v>3940</v>
      </c>
      <c r="B1890" s="4" t="s">
        <v>3979</v>
      </c>
      <c r="C1890" s="4" t="s">
        <v>2096</v>
      </c>
      <c r="D1890" s="4" t="s">
        <v>2236</v>
      </c>
      <c r="E1890" s="4" t="s">
        <v>3989</v>
      </c>
      <c r="F1890" s="4" t="s">
        <v>3981</v>
      </c>
      <c r="G1890" s="4" t="s">
        <v>3943</v>
      </c>
      <c r="H1890" s="4" t="s">
        <v>2183</v>
      </c>
      <c r="I1890" s="4" t="s">
        <v>2100</v>
      </c>
      <c r="J1890" s="4" t="s">
        <v>2153</v>
      </c>
      <c r="K1890">
        <v>17</v>
      </c>
      <c r="L1890">
        <v>5.1816000000000004</v>
      </c>
      <c r="M1890">
        <v>19.05</v>
      </c>
      <c r="N1890">
        <v>139.69999999999999</v>
      </c>
      <c r="O1890">
        <v>204.00000000000003</v>
      </c>
      <c r="P1890">
        <v>0.75000000000000011</v>
      </c>
      <c r="Q1890">
        <v>5.5</v>
      </c>
      <c r="R1890">
        <v>1232.8030000000001</v>
      </c>
      <c r="S1890">
        <v>1.3789714356000002E-2</v>
      </c>
      <c r="T1890" s="4" t="s">
        <v>3982</v>
      </c>
    </row>
    <row r="1891" spans="1:20" x14ac:dyDescent="0.2">
      <c r="A1891" s="4" t="s">
        <v>3940</v>
      </c>
      <c r="B1891" s="4" t="s">
        <v>3979</v>
      </c>
      <c r="C1891" s="4" t="s">
        <v>2096</v>
      </c>
      <c r="D1891" s="4" t="s">
        <v>2236</v>
      </c>
      <c r="E1891" s="4" t="s">
        <v>3990</v>
      </c>
      <c r="F1891" s="4" t="s">
        <v>3981</v>
      </c>
      <c r="G1891" s="4" t="s">
        <v>3943</v>
      </c>
      <c r="H1891" s="4" t="s">
        <v>2183</v>
      </c>
      <c r="I1891" s="4" t="s">
        <v>2100</v>
      </c>
      <c r="J1891" s="4" t="s">
        <v>2153</v>
      </c>
      <c r="K1891">
        <v>18</v>
      </c>
      <c r="L1891">
        <v>5.4863999999999997</v>
      </c>
      <c r="M1891">
        <v>19.05</v>
      </c>
      <c r="N1891">
        <v>139.69999999999999</v>
      </c>
      <c r="O1891">
        <v>216</v>
      </c>
      <c r="P1891">
        <v>0.75000000000000011</v>
      </c>
      <c r="Q1891">
        <v>5.5</v>
      </c>
      <c r="R1891">
        <v>1232.8030000000001</v>
      </c>
      <c r="S1891">
        <v>1.4600874024E-2</v>
      </c>
      <c r="T1891" s="4" t="s">
        <v>3982</v>
      </c>
    </row>
    <row r="1892" spans="1:20" x14ac:dyDescent="0.2">
      <c r="A1892" s="4" t="s">
        <v>3940</v>
      </c>
      <c r="B1892" s="4" t="s">
        <v>3979</v>
      </c>
      <c r="C1892" s="4" t="s">
        <v>2096</v>
      </c>
      <c r="D1892" s="4" t="s">
        <v>2236</v>
      </c>
      <c r="E1892" s="4" t="s">
        <v>3991</v>
      </c>
      <c r="F1892" s="4" t="s">
        <v>3981</v>
      </c>
      <c r="G1892" s="4" t="s">
        <v>3943</v>
      </c>
      <c r="H1892" s="4" t="s">
        <v>2183</v>
      </c>
      <c r="I1892" s="4" t="s">
        <v>2100</v>
      </c>
      <c r="J1892" s="4" t="s">
        <v>2153</v>
      </c>
      <c r="K1892">
        <v>19</v>
      </c>
      <c r="L1892">
        <v>5.7911999999999999</v>
      </c>
      <c r="M1892">
        <v>19.05</v>
      </c>
      <c r="N1892">
        <v>139.69999999999999</v>
      </c>
      <c r="O1892">
        <v>228</v>
      </c>
      <c r="P1892">
        <v>0.75000000000000011</v>
      </c>
      <c r="Q1892">
        <v>5.5</v>
      </c>
      <c r="R1892">
        <v>1232.8030000000001</v>
      </c>
      <c r="S1892">
        <v>1.5412033691999999E-2</v>
      </c>
      <c r="T1892" s="4" t="s">
        <v>3982</v>
      </c>
    </row>
    <row r="1893" spans="1:20" x14ac:dyDescent="0.2">
      <c r="A1893" s="4" t="s">
        <v>3940</v>
      </c>
      <c r="B1893" s="4" t="s">
        <v>3979</v>
      </c>
      <c r="C1893" s="4" t="s">
        <v>2096</v>
      </c>
      <c r="D1893" s="4" t="s">
        <v>2236</v>
      </c>
      <c r="E1893" s="4" t="s">
        <v>3992</v>
      </c>
      <c r="F1893" s="4" t="s">
        <v>3981</v>
      </c>
      <c r="G1893" s="4" t="s">
        <v>3943</v>
      </c>
      <c r="H1893" s="4" t="s">
        <v>2183</v>
      </c>
      <c r="I1893" s="4" t="s">
        <v>2100</v>
      </c>
      <c r="J1893" s="4" t="s">
        <v>2153</v>
      </c>
      <c r="K1893">
        <v>20</v>
      </c>
      <c r="L1893">
        <v>6.0960000000000001</v>
      </c>
      <c r="M1893">
        <v>19.05</v>
      </c>
      <c r="N1893">
        <v>139.69999999999999</v>
      </c>
      <c r="O1893">
        <v>240</v>
      </c>
      <c r="P1893">
        <v>0.75000000000000011</v>
      </c>
      <c r="Q1893">
        <v>5.5</v>
      </c>
      <c r="R1893">
        <v>1232.8030000000001</v>
      </c>
      <c r="S1893">
        <v>1.6223193359999999E-2</v>
      </c>
      <c r="T1893" s="4" t="s">
        <v>3982</v>
      </c>
    </row>
    <row r="1894" spans="1:20" x14ac:dyDescent="0.2">
      <c r="A1894" s="4" t="s">
        <v>3940</v>
      </c>
      <c r="B1894" s="4" t="s">
        <v>3979</v>
      </c>
      <c r="C1894" s="4" t="s">
        <v>2096</v>
      </c>
      <c r="D1894" s="4" t="s">
        <v>2236</v>
      </c>
      <c r="E1894" s="4" t="s">
        <v>3993</v>
      </c>
      <c r="F1894" s="4" t="s">
        <v>3981</v>
      </c>
      <c r="G1894" s="4" t="s">
        <v>3943</v>
      </c>
      <c r="H1894" s="4" t="s">
        <v>2183</v>
      </c>
      <c r="I1894" s="4" t="s">
        <v>2100</v>
      </c>
      <c r="J1894" s="4" t="s">
        <v>2153</v>
      </c>
      <c r="K1894">
        <v>21</v>
      </c>
      <c r="L1894">
        <v>6.4008000000000003</v>
      </c>
      <c r="M1894">
        <v>19.05</v>
      </c>
      <c r="N1894">
        <v>139.69999999999999</v>
      </c>
      <c r="O1894">
        <v>252.00000000000003</v>
      </c>
      <c r="P1894">
        <v>0.75000000000000011</v>
      </c>
      <c r="Q1894">
        <v>5.5</v>
      </c>
      <c r="R1894">
        <v>1232.8030000000001</v>
      </c>
      <c r="S1894">
        <v>1.7034353028E-2</v>
      </c>
      <c r="T1894" s="4" t="s">
        <v>3982</v>
      </c>
    </row>
    <row r="1895" spans="1:20" x14ac:dyDescent="0.2">
      <c r="A1895" s="4" t="s">
        <v>3940</v>
      </c>
      <c r="B1895" s="4" t="s">
        <v>3979</v>
      </c>
      <c r="C1895" s="4" t="s">
        <v>2096</v>
      </c>
      <c r="D1895" s="4" t="s">
        <v>2236</v>
      </c>
      <c r="E1895" s="4" t="s">
        <v>3994</v>
      </c>
      <c r="F1895" s="4" t="s">
        <v>3981</v>
      </c>
      <c r="G1895" s="4" t="s">
        <v>3943</v>
      </c>
      <c r="H1895" s="4" t="s">
        <v>2183</v>
      </c>
      <c r="I1895" s="4" t="s">
        <v>2100</v>
      </c>
      <c r="J1895" s="4" t="s">
        <v>2153</v>
      </c>
      <c r="K1895">
        <v>22</v>
      </c>
      <c r="L1895">
        <v>6.7055999999999996</v>
      </c>
      <c r="M1895">
        <v>19.05</v>
      </c>
      <c r="N1895">
        <v>139.69999999999999</v>
      </c>
      <c r="O1895">
        <v>264</v>
      </c>
      <c r="P1895">
        <v>0.75000000000000011</v>
      </c>
      <c r="Q1895">
        <v>5.5</v>
      </c>
      <c r="R1895">
        <v>1232.8030000000001</v>
      </c>
      <c r="S1895">
        <v>1.7845512695999998E-2</v>
      </c>
      <c r="T1895" s="4" t="s">
        <v>3982</v>
      </c>
    </row>
    <row r="1896" spans="1:20" x14ac:dyDescent="0.2">
      <c r="A1896" s="4" t="s">
        <v>3940</v>
      </c>
      <c r="B1896" s="4" t="s">
        <v>3979</v>
      </c>
      <c r="C1896" s="4" t="s">
        <v>2286</v>
      </c>
      <c r="D1896" s="4" t="s">
        <v>2236</v>
      </c>
      <c r="E1896" s="4" t="s">
        <v>3995</v>
      </c>
      <c r="F1896" s="4" t="s">
        <v>3981</v>
      </c>
      <c r="G1896" s="4" t="s">
        <v>3943</v>
      </c>
      <c r="H1896" s="4" t="s">
        <v>2183</v>
      </c>
      <c r="I1896" s="4" t="s">
        <v>2100</v>
      </c>
      <c r="J1896" s="4" t="s">
        <v>2153</v>
      </c>
      <c r="K1896">
        <v>3</v>
      </c>
      <c r="L1896">
        <v>0.9144000000000001</v>
      </c>
      <c r="M1896">
        <v>19.05</v>
      </c>
      <c r="N1896">
        <v>139.69999999999999</v>
      </c>
      <c r="O1896">
        <v>36.000000000000007</v>
      </c>
      <c r="P1896">
        <v>0.75000000000000011</v>
      </c>
      <c r="Q1896">
        <v>5.5</v>
      </c>
      <c r="R1896">
        <v>1232.8030000000001</v>
      </c>
      <c r="S1896">
        <v>2.4334790040000001E-3</v>
      </c>
      <c r="T1896" s="4" t="s">
        <v>3996</v>
      </c>
    </row>
    <row r="1897" spans="1:20" x14ac:dyDescent="0.2">
      <c r="A1897" s="4" t="s">
        <v>3940</v>
      </c>
      <c r="B1897" s="4" t="s">
        <v>3979</v>
      </c>
      <c r="C1897" s="4" t="s">
        <v>2286</v>
      </c>
      <c r="D1897" s="4" t="s">
        <v>2236</v>
      </c>
      <c r="E1897" s="4" t="s">
        <v>3997</v>
      </c>
      <c r="F1897" s="4" t="s">
        <v>3981</v>
      </c>
      <c r="G1897" s="4" t="s">
        <v>3943</v>
      </c>
      <c r="H1897" s="4" t="s">
        <v>2183</v>
      </c>
      <c r="I1897" s="4" t="s">
        <v>2100</v>
      </c>
      <c r="J1897" s="4" t="s">
        <v>2153</v>
      </c>
      <c r="K1897">
        <v>4</v>
      </c>
      <c r="L1897">
        <v>1.2192000000000001</v>
      </c>
      <c r="M1897">
        <v>19.05</v>
      </c>
      <c r="N1897">
        <v>139.69999999999999</v>
      </c>
      <c r="O1897">
        <v>48.000000000000007</v>
      </c>
      <c r="P1897">
        <v>0.75000000000000011</v>
      </c>
      <c r="Q1897">
        <v>5.5</v>
      </c>
      <c r="R1897">
        <v>1232.8030000000001</v>
      </c>
      <c r="S1897">
        <v>3.2446386719999997E-3</v>
      </c>
      <c r="T1897" s="4" t="s">
        <v>3996</v>
      </c>
    </row>
    <row r="1898" spans="1:20" x14ac:dyDescent="0.2">
      <c r="A1898" s="4" t="s">
        <v>3940</v>
      </c>
      <c r="B1898" s="4" t="s">
        <v>3979</v>
      </c>
      <c r="C1898" s="4" t="s">
        <v>2286</v>
      </c>
      <c r="D1898" s="4" t="s">
        <v>2236</v>
      </c>
      <c r="E1898" s="4" t="s">
        <v>3998</v>
      </c>
      <c r="F1898" s="4" t="s">
        <v>3981</v>
      </c>
      <c r="G1898" s="4" t="s">
        <v>3943</v>
      </c>
      <c r="H1898" s="4" t="s">
        <v>2183</v>
      </c>
      <c r="I1898" s="4" t="s">
        <v>2100</v>
      </c>
      <c r="J1898" s="4" t="s">
        <v>2153</v>
      </c>
      <c r="K1898">
        <v>5</v>
      </c>
      <c r="L1898">
        <v>1.524</v>
      </c>
      <c r="M1898">
        <v>19.05</v>
      </c>
      <c r="N1898">
        <v>139.69999999999999</v>
      </c>
      <c r="O1898">
        <v>60</v>
      </c>
      <c r="P1898">
        <v>0.75000000000000011</v>
      </c>
      <c r="Q1898">
        <v>5.5</v>
      </c>
      <c r="R1898">
        <v>1232.8030000000001</v>
      </c>
      <c r="S1898">
        <v>4.0557983399999997E-3</v>
      </c>
      <c r="T1898" s="4" t="s">
        <v>3996</v>
      </c>
    </row>
    <row r="1899" spans="1:20" x14ac:dyDescent="0.2">
      <c r="A1899" s="4" t="s">
        <v>3940</v>
      </c>
      <c r="B1899" s="4" t="s">
        <v>3979</v>
      </c>
      <c r="C1899" s="4" t="s">
        <v>2286</v>
      </c>
      <c r="D1899" s="4" t="s">
        <v>2236</v>
      </c>
      <c r="E1899" s="4" t="s">
        <v>3999</v>
      </c>
      <c r="F1899" s="4" t="s">
        <v>3981</v>
      </c>
      <c r="G1899" s="4" t="s">
        <v>3943</v>
      </c>
      <c r="H1899" s="4" t="s">
        <v>2183</v>
      </c>
      <c r="I1899" s="4" t="s">
        <v>2100</v>
      </c>
      <c r="J1899" s="4" t="s">
        <v>2153</v>
      </c>
      <c r="K1899">
        <v>6</v>
      </c>
      <c r="L1899">
        <v>1.8288000000000002</v>
      </c>
      <c r="M1899">
        <v>19.05</v>
      </c>
      <c r="N1899">
        <v>139.69999999999999</v>
      </c>
      <c r="O1899">
        <v>72.000000000000014</v>
      </c>
      <c r="P1899">
        <v>0.75000000000000011</v>
      </c>
      <c r="Q1899">
        <v>5.5</v>
      </c>
      <c r="R1899">
        <v>1232.8030000000001</v>
      </c>
      <c r="S1899">
        <v>4.8669580080000002E-3</v>
      </c>
      <c r="T1899" s="4" t="s">
        <v>3996</v>
      </c>
    </row>
    <row r="1900" spans="1:20" x14ac:dyDescent="0.2">
      <c r="A1900" s="4" t="s">
        <v>3940</v>
      </c>
      <c r="B1900" s="4" t="s">
        <v>3979</v>
      </c>
      <c r="C1900" s="4" t="s">
        <v>2286</v>
      </c>
      <c r="D1900" s="4" t="s">
        <v>2236</v>
      </c>
      <c r="E1900" s="4" t="s">
        <v>4000</v>
      </c>
      <c r="F1900" s="4" t="s">
        <v>3981</v>
      </c>
      <c r="G1900" s="4" t="s">
        <v>3943</v>
      </c>
      <c r="H1900" s="4" t="s">
        <v>2183</v>
      </c>
      <c r="I1900" s="4" t="s">
        <v>2100</v>
      </c>
      <c r="J1900" s="4" t="s">
        <v>2153</v>
      </c>
      <c r="K1900">
        <v>7</v>
      </c>
      <c r="L1900">
        <v>2.1335999999999999</v>
      </c>
      <c r="M1900">
        <v>19.05</v>
      </c>
      <c r="N1900">
        <v>139.69999999999999</v>
      </c>
      <c r="O1900">
        <v>84</v>
      </c>
      <c r="P1900">
        <v>0.75000000000000011</v>
      </c>
      <c r="Q1900">
        <v>5.5</v>
      </c>
      <c r="R1900">
        <v>1232.8030000000001</v>
      </c>
      <c r="S1900">
        <v>5.6781176759999998E-3</v>
      </c>
      <c r="T1900" s="4" t="s">
        <v>3996</v>
      </c>
    </row>
    <row r="1901" spans="1:20" x14ac:dyDescent="0.2">
      <c r="A1901" s="4" t="s">
        <v>3940</v>
      </c>
      <c r="B1901" s="4" t="s">
        <v>3979</v>
      </c>
      <c r="C1901" s="4" t="s">
        <v>2096</v>
      </c>
      <c r="D1901" s="4" t="s">
        <v>2236</v>
      </c>
      <c r="E1901" s="4" t="s">
        <v>4001</v>
      </c>
      <c r="F1901" s="4" t="s">
        <v>3981</v>
      </c>
      <c r="G1901" s="4" t="s">
        <v>3943</v>
      </c>
      <c r="H1901" s="4" t="s">
        <v>2183</v>
      </c>
      <c r="I1901" s="4" t="s">
        <v>2100</v>
      </c>
      <c r="J1901" s="4" t="s">
        <v>2153</v>
      </c>
      <c r="K1901">
        <v>8</v>
      </c>
      <c r="L1901">
        <v>2.4384000000000001</v>
      </c>
      <c r="M1901">
        <v>19.05</v>
      </c>
      <c r="N1901">
        <v>139.69999999999999</v>
      </c>
      <c r="O1901">
        <v>96.000000000000014</v>
      </c>
      <c r="P1901">
        <v>0.75000000000000011</v>
      </c>
      <c r="Q1901">
        <v>5.5</v>
      </c>
      <c r="R1901">
        <v>1232.8030000000001</v>
      </c>
      <c r="S1901">
        <v>6.4892773439999994E-3</v>
      </c>
      <c r="T1901" s="4" t="s">
        <v>3982</v>
      </c>
    </row>
    <row r="1902" spans="1:20" x14ac:dyDescent="0.2">
      <c r="A1902" s="4" t="s">
        <v>3940</v>
      </c>
      <c r="B1902" s="4" t="s">
        <v>3979</v>
      </c>
      <c r="C1902" s="4" t="s">
        <v>2096</v>
      </c>
      <c r="D1902" s="4" t="s">
        <v>2236</v>
      </c>
      <c r="E1902" s="4" t="s">
        <v>4002</v>
      </c>
      <c r="F1902" s="4" t="s">
        <v>3981</v>
      </c>
      <c r="G1902" s="4" t="s">
        <v>3943</v>
      </c>
      <c r="H1902" s="4" t="s">
        <v>2183</v>
      </c>
      <c r="I1902" s="4" t="s">
        <v>2100</v>
      </c>
      <c r="J1902" s="4" t="s">
        <v>2153</v>
      </c>
      <c r="K1902">
        <v>9</v>
      </c>
      <c r="L1902">
        <v>2.7432000000000003</v>
      </c>
      <c r="M1902">
        <v>19.05</v>
      </c>
      <c r="N1902">
        <v>139.69999999999999</v>
      </c>
      <c r="O1902">
        <v>108.00000000000001</v>
      </c>
      <c r="P1902">
        <v>0.75000000000000011</v>
      </c>
      <c r="Q1902">
        <v>5.5</v>
      </c>
      <c r="R1902">
        <v>1232.8030000000001</v>
      </c>
      <c r="S1902">
        <v>7.3004370120000016E-3</v>
      </c>
      <c r="T1902" s="4" t="s">
        <v>3982</v>
      </c>
    </row>
    <row r="1903" spans="1:20" x14ac:dyDescent="0.2">
      <c r="A1903" s="4" t="s">
        <v>3940</v>
      </c>
      <c r="B1903" s="4" t="s">
        <v>4003</v>
      </c>
      <c r="C1903" s="4" t="s">
        <v>2096</v>
      </c>
      <c r="D1903" s="4" t="s">
        <v>2236</v>
      </c>
      <c r="E1903" s="4" t="s">
        <v>4004</v>
      </c>
      <c r="F1903" s="4" t="s">
        <v>4005</v>
      </c>
      <c r="G1903" s="4" t="s">
        <v>3943</v>
      </c>
      <c r="H1903" s="4" t="s">
        <v>2183</v>
      </c>
      <c r="I1903" s="4" t="s">
        <v>2100</v>
      </c>
      <c r="J1903" s="4" t="s">
        <v>2432</v>
      </c>
      <c r="K1903">
        <v>10</v>
      </c>
      <c r="L1903">
        <v>3.048</v>
      </c>
      <c r="M1903">
        <v>19.05</v>
      </c>
      <c r="N1903">
        <v>184.15</v>
      </c>
      <c r="O1903">
        <v>120</v>
      </c>
      <c r="P1903">
        <v>0.75000000000000011</v>
      </c>
      <c r="Q1903">
        <v>7.2500000000000009</v>
      </c>
      <c r="R1903">
        <v>935.23</v>
      </c>
      <c r="S1903">
        <v>1.0692559260000001E-2</v>
      </c>
      <c r="T1903" s="4" t="s">
        <v>4006</v>
      </c>
    </row>
    <row r="1904" spans="1:20" x14ac:dyDescent="0.2">
      <c r="A1904" s="4" t="s">
        <v>3940</v>
      </c>
      <c r="B1904" s="4" t="s">
        <v>4003</v>
      </c>
      <c r="C1904" s="4" t="s">
        <v>2096</v>
      </c>
      <c r="D1904" s="4" t="s">
        <v>2236</v>
      </c>
      <c r="E1904" s="4" t="s">
        <v>4007</v>
      </c>
      <c r="F1904" s="4" t="s">
        <v>4005</v>
      </c>
      <c r="G1904" s="4" t="s">
        <v>3943</v>
      </c>
      <c r="H1904" s="4" t="s">
        <v>2183</v>
      </c>
      <c r="I1904" s="4" t="s">
        <v>2100</v>
      </c>
      <c r="J1904" s="4" t="s">
        <v>2432</v>
      </c>
      <c r="K1904">
        <v>11</v>
      </c>
      <c r="L1904">
        <v>3.3528000000000002</v>
      </c>
      <c r="M1904">
        <v>19.05</v>
      </c>
      <c r="N1904">
        <v>184.15</v>
      </c>
      <c r="O1904">
        <v>132</v>
      </c>
      <c r="P1904">
        <v>0.75000000000000011</v>
      </c>
      <c r="Q1904">
        <v>7.2500000000000009</v>
      </c>
      <c r="R1904">
        <v>935.23</v>
      </c>
      <c r="S1904">
        <v>1.1761815186000004E-2</v>
      </c>
      <c r="T1904" s="4" t="s">
        <v>4006</v>
      </c>
    </row>
    <row r="1905" spans="1:20" x14ac:dyDescent="0.2">
      <c r="A1905" s="4" t="s">
        <v>3940</v>
      </c>
      <c r="B1905" s="4" t="s">
        <v>4003</v>
      </c>
      <c r="C1905" s="4" t="s">
        <v>2096</v>
      </c>
      <c r="D1905" s="4" t="s">
        <v>2236</v>
      </c>
      <c r="E1905" s="4" t="s">
        <v>184</v>
      </c>
      <c r="F1905" s="4" t="s">
        <v>4005</v>
      </c>
      <c r="G1905" s="4" t="s">
        <v>3943</v>
      </c>
      <c r="H1905" s="4" t="s">
        <v>2183</v>
      </c>
      <c r="I1905" s="4" t="s">
        <v>2100</v>
      </c>
      <c r="J1905" s="4" t="s">
        <v>2432</v>
      </c>
      <c r="K1905">
        <v>12</v>
      </c>
      <c r="L1905">
        <v>3.6576</v>
      </c>
      <c r="M1905">
        <v>19.05</v>
      </c>
      <c r="N1905">
        <v>184.15</v>
      </c>
      <c r="O1905">
        <v>144</v>
      </c>
      <c r="P1905">
        <v>0.75000000000000011</v>
      </c>
      <c r="Q1905">
        <v>7.2500000000000009</v>
      </c>
      <c r="R1905">
        <v>935.23</v>
      </c>
      <c r="S1905">
        <v>1.2831071112000001E-2</v>
      </c>
      <c r="T1905" s="4" t="s">
        <v>4006</v>
      </c>
    </row>
    <row r="1906" spans="1:20" x14ac:dyDescent="0.2">
      <c r="A1906" s="4" t="s">
        <v>3940</v>
      </c>
      <c r="B1906" s="4" t="s">
        <v>4003</v>
      </c>
      <c r="C1906" s="4" t="s">
        <v>2096</v>
      </c>
      <c r="D1906" s="4" t="s">
        <v>2236</v>
      </c>
      <c r="E1906" s="4" t="s">
        <v>4008</v>
      </c>
      <c r="F1906" s="4" t="s">
        <v>4005</v>
      </c>
      <c r="G1906" s="4" t="s">
        <v>3943</v>
      </c>
      <c r="H1906" s="4" t="s">
        <v>2183</v>
      </c>
      <c r="I1906" s="4" t="s">
        <v>2100</v>
      </c>
      <c r="J1906" s="4" t="s">
        <v>2432</v>
      </c>
      <c r="K1906">
        <v>13</v>
      </c>
      <c r="L1906">
        <v>3.9624000000000001</v>
      </c>
      <c r="M1906">
        <v>19.05</v>
      </c>
      <c r="N1906">
        <v>184.15</v>
      </c>
      <c r="O1906">
        <v>156</v>
      </c>
      <c r="P1906">
        <v>0.75000000000000011</v>
      </c>
      <c r="Q1906">
        <v>7.2500000000000009</v>
      </c>
      <c r="R1906">
        <v>935.23</v>
      </c>
      <c r="S1906">
        <v>1.3900327037999999E-2</v>
      </c>
      <c r="T1906" s="4" t="s">
        <v>4006</v>
      </c>
    </row>
    <row r="1907" spans="1:20" x14ac:dyDescent="0.2">
      <c r="A1907" s="4" t="s">
        <v>3940</v>
      </c>
      <c r="B1907" s="4" t="s">
        <v>4003</v>
      </c>
      <c r="C1907" s="4" t="s">
        <v>2096</v>
      </c>
      <c r="D1907" s="4" t="s">
        <v>2236</v>
      </c>
      <c r="E1907" s="4" t="s">
        <v>186</v>
      </c>
      <c r="F1907" s="4" t="s">
        <v>4005</v>
      </c>
      <c r="G1907" s="4" t="s">
        <v>3943</v>
      </c>
      <c r="H1907" s="4" t="s">
        <v>2183</v>
      </c>
      <c r="I1907" s="4" t="s">
        <v>2100</v>
      </c>
      <c r="J1907" s="4" t="s">
        <v>2432</v>
      </c>
      <c r="K1907">
        <v>14</v>
      </c>
      <c r="L1907">
        <v>4.2671999999999999</v>
      </c>
      <c r="M1907">
        <v>19.05</v>
      </c>
      <c r="N1907">
        <v>184.15</v>
      </c>
      <c r="O1907">
        <v>168</v>
      </c>
      <c r="P1907">
        <v>0.75000000000000011</v>
      </c>
      <c r="Q1907">
        <v>7.2500000000000009</v>
      </c>
      <c r="R1907">
        <v>935.23</v>
      </c>
      <c r="S1907">
        <v>1.4969582964E-2</v>
      </c>
      <c r="T1907" s="4" t="s">
        <v>4006</v>
      </c>
    </row>
    <row r="1908" spans="1:20" x14ac:dyDescent="0.2">
      <c r="A1908" s="4" t="s">
        <v>3940</v>
      </c>
      <c r="B1908" s="4" t="s">
        <v>4003</v>
      </c>
      <c r="C1908" s="4" t="s">
        <v>2096</v>
      </c>
      <c r="D1908" s="4" t="s">
        <v>2236</v>
      </c>
      <c r="E1908" s="4" t="s">
        <v>4009</v>
      </c>
      <c r="F1908" s="4" t="s">
        <v>4005</v>
      </c>
      <c r="G1908" s="4" t="s">
        <v>3943</v>
      </c>
      <c r="H1908" s="4" t="s">
        <v>2183</v>
      </c>
      <c r="I1908" s="4" t="s">
        <v>2100</v>
      </c>
      <c r="J1908" s="4" t="s">
        <v>2432</v>
      </c>
      <c r="K1908">
        <v>15</v>
      </c>
      <c r="L1908">
        <v>4.5720000000000001</v>
      </c>
      <c r="M1908">
        <v>19.05</v>
      </c>
      <c r="N1908">
        <v>184.15</v>
      </c>
      <c r="O1908">
        <v>180</v>
      </c>
      <c r="P1908">
        <v>0.75000000000000011</v>
      </c>
      <c r="Q1908">
        <v>7.2500000000000009</v>
      </c>
      <c r="R1908">
        <v>935.23</v>
      </c>
      <c r="S1908">
        <v>1.603883889E-2</v>
      </c>
      <c r="T1908" s="4" t="s">
        <v>4006</v>
      </c>
    </row>
    <row r="1909" spans="1:20" x14ac:dyDescent="0.2">
      <c r="A1909" s="4" t="s">
        <v>3940</v>
      </c>
      <c r="B1909" s="4" t="s">
        <v>4003</v>
      </c>
      <c r="C1909" s="4" t="s">
        <v>2096</v>
      </c>
      <c r="D1909" s="4" t="s">
        <v>2236</v>
      </c>
      <c r="E1909" s="4" t="s">
        <v>4010</v>
      </c>
      <c r="F1909" s="4" t="s">
        <v>4005</v>
      </c>
      <c r="G1909" s="4" t="s">
        <v>3943</v>
      </c>
      <c r="H1909" s="4" t="s">
        <v>2183</v>
      </c>
      <c r="I1909" s="4" t="s">
        <v>2100</v>
      </c>
      <c r="J1909" s="4" t="s">
        <v>2432</v>
      </c>
      <c r="K1909">
        <v>16</v>
      </c>
      <c r="L1909">
        <v>4.8768000000000002</v>
      </c>
      <c r="M1909">
        <v>19.05</v>
      </c>
      <c r="N1909">
        <v>184.15</v>
      </c>
      <c r="O1909">
        <v>192.00000000000003</v>
      </c>
      <c r="P1909">
        <v>0.75000000000000011</v>
      </c>
      <c r="Q1909">
        <v>7.2500000000000009</v>
      </c>
      <c r="R1909">
        <v>935.23</v>
      </c>
      <c r="S1909">
        <v>1.7108094816000001E-2</v>
      </c>
      <c r="T1909" s="4" t="s">
        <v>4006</v>
      </c>
    </row>
    <row r="1910" spans="1:20" x14ac:dyDescent="0.2">
      <c r="A1910" s="4" t="s">
        <v>3940</v>
      </c>
      <c r="B1910" s="4" t="s">
        <v>4003</v>
      </c>
      <c r="C1910" s="4" t="s">
        <v>2096</v>
      </c>
      <c r="D1910" s="4" t="s">
        <v>2236</v>
      </c>
      <c r="E1910" s="4" t="s">
        <v>4011</v>
      </c>
      <c r="F1910" s="4" t="s">
        <v>4005</v>
      </c>
      <c r="G1910" s="4" t="s">
        <v>3943</v>
      </c>
      <c r="H1910" s="4" t="s">
        <v>2183</v>
      </c>
      <c r="I1910" s="4" t="s">
        <v>2100</v>
      </c>
      <c r="J1910" s="4" t="s">
        <v>2432</v>
      </c>
      <c r="K1910">
        <v>17</v>
      </c>
      <c r="L1910">
        <v>5.1816000000000004</v>
      </c>
      <c r="M1910">
        <v>19.05</v>
      </c>
      <c r="N1910">
        <v>184.15</v>
      </c>
      <c r="O1910">
        <v>204.00000000000003</v>
      </c>
      <c r="P1910">
        <v>0.75000000000000011</v>
      </c>
      <c r="Q1910">
        <v>7.2500000000000009</v>
      </c>
      <c r="R1910">
        <v>935.23</v>
      </c>
      <c r="S1910">
        <v>1.8177350742000005E-2</v>
      </c>
      <c r="T1910" s="4" t="s">
        <v>4006</v>
      </c>
    </row>
    <row r="1911" spans="1:20" x14ac:dyDescent="0.2">
      <c r="A1911" s="4" t="s">
        <v>3940</v>
      </c>
      <c r="B1911" s="4" t="s">
        <v>4003</v>
      </c>
      <c r="C1911" s="4" t="s">
        <v>2096</v>
      </c>
      <c r="D1911" s="4" t="s">
        <v>2236</v>
      </c>
      <c r="E1911" s="4" t="s">
        <v>4012</v>
      </c>
      <c r="F1911" s="4" t="s">
        <v>4005</v>
      </c>
      <c r="G1911" s="4" t="s">
        <v>3943</v>
      </c>
      <c r="H1911" s="4" t="s">
        <v>2183</v>
      </c>
      <c r="I1911" s="4" t="s">
        <v>2100</v>
      </c>
      <c r="J1911" s="4" t="s">
        <v>2432</v>
      </c>
      <c r="K1911">
        <v>18</v>
      </c>
      <c r="L1911">
        <v>5.4863999999999997</v>
      </c>
      <c r="M1911">
        <v>19.05</v>
      </c>
      <c r="N1911">
        <v>184.15</v>
      </c>
      <c r="O1911">
        <v>216</v>
      </c>
      <c r="P1911">
        <v>0.75000000000000011</v>
      </c>
      <c r="Q1911">
        <v>7.2500000000000009</v>
      </c>
      <c r="R1911">
        <v>935.23</v>
      </c>
      <c r="S1911">
        <v>1.9246606668000002E-2</v>
      </c>
      <c r="T1911" s="4" t="s">
        <v>4006</v>
      </c>
    </row>
    <row r="1912" spans="1:20" x14ac:dyDescent="0.2">
      <c r="A1912" s="4" t="s">
        <v>3940</v>
      </c>
      <c r="B1912" s="4" t="s">
        <v>4003</v>
      </c>
      <c r="C1912" s="4" t="s">
        <v>2096</v>
      </c>
      <c r="D1912" s="4" t="s">
        <v>2236</v>
      </c>
      <c r="E1912" s="4" t="s">
        <v>4013</v>
      </c>
      <c r="F1912" s="4" t="s">
        <v>4005</v>
      </c>
      <c r="G1912" s="4" t="s">
        <v>3943</v>
      </c>
      <c r="H1912" s="4" t="s">
        <v>2183</v>
      </c>
      <c r="I1912" s="4" t="s">
        <v>2100</v>
      </c>
      <c r="J1912" s="4" t="s">
        <v>2432</v>
      </c>
      <c r="K1912">
        <v>19</v>
      </c>
      <c r="L1912">
        <v>5.7911999999999999</v>
      </c>
      <c r="M1912">
        <v>19.05</v>
      </c>
      <c r="N1912">
        <v>184.15</v>
      </c>
      <c r="O1912">
        <v>228</v>
      </c>
      <c r="P1912">
        <v>0.75000000000000011</v>
      </c>
      <c r="Q1912">
        <v>7.2500000000000009</v>
      </c>
      <c r="R1912">
        <v>935.23</v>
      </c>
      <c r="S1912">
        <v>2.0315862594000002E-2</v>
      </c>
      <c r="T1912" s="4" t="s">
        <v>4006</v>
      </c>
    </row>
    <row r="1913" spans="1:20" x14ac:dyDescent="0.2">
      <c r="A1913" s="4" t="s">
        <v>3940</v>
      </c>
      <c r="B1913" s="4" t="s">
        <v>4003</v>
      </c>
      <c r="C1913" s="4" t="s">
        <v>2096</v>
      </c>
      <c r="D1913" s="4" t="s">
        <v>2236</v>
      </c>
      <c r="E1913" s="4" t="s">
        <v>4014</v>
      </c>
      <c r="F1913" s="4" t="s">
        <v>4005</v>
      </c>
      <c r="G1913" s="4" t="s">
        <v>3943</v>
      </c>
      <c r="H1913" s="4" t="s">
        <v>2183</v>
      </c>
      <c r="I1913" s="4" t="s">
        <v>2100</v>
      </c>
      <c r="J1913" s="4" t="s">
        <v>2432</v>
      </c>
      <c r="K1913">
        <v>20</v>
      </c>
      <c r="L1913">
        <v>6.0960000000000001</v>
      </c>
      <c r="M1913">
        <v>19.05</v>
      </c>
      <c r="N1913">
        <v>184.15</v>
      </c>
      <c r="O1913">
        <v>240</v>
      </c>
      <c r="P1913">
        <v>0.75000000000000011</v>
      </c>
      <c r="Q1913">
        <v>7.2500000000000009</v>
      </c>
      <c r="R1913">
        <v>935.23</v>
      </c>
      <c r="S1913">
        <v>2.1385118520000003E-2</v>
      </c>
      <c r="T1913" s="4" t="s">
        <v>4006</v>
      </c>
    </row>
    <row r="1914" spans="1:20" x14ac:dyDescent="0.2">
      <c r="A1914" s="4" t="s">
        <v>3940</v>
      </c>
      <c r="B1914" s="4" t="s">
        <v>4003</v>
      </c>
      <c r="C1914" s="4" t="s">
        <v>2096</v>
      </c>
      <c r="D1914" s="4" t="s">
        <v>2236</v>
      </c>
      <c r="E1914" s="4" t="s">
        <v>4015</v>
      </c>
      <c r="F1914" s="4" t="s">
        <v>4005</v>
      </c>
      <c r="G1914" s="4" t="s">
        <v>3943</v>
      </c>
      <c r="H1914" s="4" t="s">
        <v>2183</v>
      </c>
      <c r="I1914" s="4" t="s">
        <v>2100</v>
      </c>
      <c r="J1914" s="4" t="s">
        <v>2432</v>
      </c>
      <c r="K1914">
        <v>21</v>
      </c>
      <c r="L1914">
        <v>6.4008000000000003</v>
      </c>
      <c r="M1914">
        <v>19.05</v>
      </c>
      <c r="N1914">
        <v>184.15</v>
      </c>
      <c r="O1914">
        <v>252.00000000000003</v>
      </c>
      <c r="P1914">
        <v>0.75000000000000011</v>
      </c>
      <c r="Q1914">
        <v>7.2500000000000009</v>
      </c>
      <c r="R1914">
        <v>935.23</v>
      </c>
      <c r="S1914">
        <v>2.2454374446000003E-2</v>
      </c>
      <c r="T1914" s="4" t="s">
        <v>4006</v>
      </c>
    </row>
    <row r="1915" spans="1:20" x14ac:dyDescent="0.2">
      <c r="A1915" s="4" t="s">
        <v>3940</v>
      </c>
      <c r="B1915" s="4" t="s">
        <v>4003</v>
      </c>
      <c r="C1915" s="4" t="s">
        <v>2096</v>
      </c>
      <c r="D1915" s="4" t="s">
        <v>2236</v>
      </c>
      <c r="E1915" s="4" t="s">
        <v>4016</v>
      </c>
      <c r="F1915" s="4" t="s">
        <v>4005</v>
      </c>
      <c r="G1915" s="4" t="s">
        <v>3943</v>
      </c>
      <c r="H1915" s="4" t="s">
        <v>2183</v>
      </c>
      <c r="I1915" s="4" t="s">
        <v>2100</v>
      </c>
      <c r="J1915" s="4" t="s">
        <v>2432</v>
      </c>
      <c r="K1915">
        <v>22</v>
      </c>
      <c r="L1915">
        <v>6.7055999999999996</v>
      </c>
      <c r="M1915">
        <v>19.05</v>
      </c>
      <c r="N1915">
        <v>184.15</v>
      </c>
      <c r="O1915">
        <v>264</v>
      </c>
      <c r="P1915">
        <v>0.75000000000000011</v>
      </c>
      <c r="Q1915">
        <v>7.2500000000000009</v>
      </c>
      <c r="R1915">
        <v>935.23</v>
      </c>
      <c r="S1915">
        <v>2.3523630372E-2</v>
      </c>
      <c r="T1915" s="4" t="s">
        <v>4006</v>
      </c>
    </row>
    <row r="1916" spans="1:20" x14ac:dyDescent="0.2">
      <c r="A1916" s="4" t="s">
        <v>3940</v>
      </c>
      <c r="B1916" s="4" t="s">
        <v>4003</v>
      </c>
      <c r="C1916" s="4" t="s">
        <v>2096</v>
      </c>
      <c r="D1916" s="4" t="s">
        <v>2236</v>
      </c>
      <c r="E1916" s="4" t="s">
        <v>4017</v>
      </c>
      <c r="F1916" s="4" t="s">
        <v>4005</v>
      </c>
      <c r="G1916" s="4" t="s">
        <v>3943</v>
      </c>
      <c r="H1916" s="4" t="s">
        <v>2183</v>
      </c>
      <c r="I1916" s="4" t="s">
        <v>2100</v>
      </c>
      <c r="J1916" s="4" t="s">
        <v>2432</v>
      </c>
      <c r="K1916">
        <v>8</v>
      </c>
      <c r="L1916">
        <v>2.4384000000000001</v>
      </c>
      <c r="M1916">
        <v>19.05</v>
      </c>
      <c r="N1916">
        <v>184.15</v>
      </c>
      <c r="O1916">
        <v>96.000000000000014</v>
      </c>
      <c r="P1916">
        <v>0.75000000000000011</v>
      </c>
      <c r="Q1916">
        <v>7.2500000000000009</v>
      </c>
      <c r="R1916">
        <v>935.23</v>
      </c>
      <c r="S1916">
        <v>8.5540474080000005E-3</v>
      </c>
      <c r="T1916" s="4" t="s">
        <v>4006</v>
      </c>
    </row>
    <row r="1917" spans="1:20" x14ac:dyDescent="0.2">
      <c r="A1917" s="4" t="s">
        <v>3940</v>
      </c>
      <c r="B1917" s="4" t="s">
        <v>4003</v>
      </c>
      <c r="C1917" s="4" t="s">
        <v>2096</v>
      </c>
      <c r="D1917" s="4" t="s">
        <v>2236</v>
      </c>
      <c r="E1917" s="4" t="s">
        <v>4018</v>
      </c>
      <c r="F1917" s="4" t="s">
        <v>4005</v>
      </c>
      <c r="G1917" s="4" t="s">
        <v>3943</v>
      </c>
      <c r="H1917" s="4" t="s">
        <v>2183</v>
      </c>
      <c r="I1917" s="4" t="s">
        <v>2100</v>
      </c>
      <c r="J1917" s="4" t="s">
        <v>2432</v>
      </c>
      <c r="K1917">
        <v>9</v>
      </c>
      <c r="L1917">
        <v>2.7431999999999999</v>
      </c>
      <c r="M1917">
        <v>19.05</v>
      </c>
      <c r="N1917">
        <v>184.15</v>
      </c>
      <c r="O1917">
        <v>108</v>
      </c>
      <c r="P1917">
        <v>0.75000000000000011</v>
      </c>
      <c r="Q1917">
        <v>7.2500000000000009</v>
      </c>
      <c r="R1917">
        <v>935.23</v>
      </c>
      <c r="S1917">
        <v>9.623303334000001E-3</v>
      </c>
      <c r="T1917" s="4" t="s">
        <v>4006</v>
      </c>
    </row>
    <row r="1918" spans="1:20" x14ac:dyDescent="0.2">
      <c r="A1918" s="4" t="s">
        <v>3940</v>
      </c>
      <c r="B1918" s="4" t="s">
        <v>4019</v>
      </c>
      <c r="C1918" s="4" t="s">
        <v>2096</v>
      </c>
      <c r="D1918" s="4" t="s">
        <v>2236</v>
      </c>
      <c r="E1918" s="4" t="s">
        <v>4020</v>
      </c>
      <c r="F1918" s="4" t="s">
        <v>4021</v>
      </c>
      <c r="G1918" s="4" t="s">
        <v>3943</v>
      </c>
      <c r="H1918" s="4" t="s">
        <v>2183</v>
      </c>
      <c r="I1918" s="4" t="s">
        <v>2100</v>
      </c>
      <c r="J1918" s="4" t="s">
        <v>2518</v>
      </c>
      <c r="K1918">
        <v>10</v>
      </c>
      <c r="L1918">
        <v>3.048</v>
      </c>
      <c r="M1918">
        <v>38.1</v>
      </c>
      <c r="N1918">
        <v>38.1</v>
      </c>
      <c r="O1918">
        <v>120</v>
      </c>
      <c r="P1918">
        <v>1.5000000000000002</v>
      </c>
      <c r="Q1918">
        <v>1.5000000000000002</v>
      </c>
      <c r="R1918">
        <v>2260.1390000000001</v>
      </c>
      <c r="S1918">
        <v>4.4245072800000009E-3</v>
      </c>
      <c r="T1918" s="4" t="s">
        <v>4022</v>
      </c>
    </row>
    <row r="1919" spans="1:20" x14ac:dyDescent="0.2">
      <c r="A1919" s="4" t="s">
        <v>3940</v>
      </c>
      <c r="B1919" s="4" t="s">
        <v>4019</v>
      </c>
      <c r="C1919" s="4" t="s">
        <v>2096</v>
      </c>
      <c r="D1919" s="4" t="s">
        <v>2236</v>
      </c>
      <c r="E1919" s="4" t="s">
        <v>4023</v>
      </c>
      <c r="F1919" s="4" t="s">
        <v>4021</v>
      </c>
      <c r="G1919" s="4" t="s">
        <v>3943</v>
      </c>
      <c r="H1919" s="4" t="s">
        <v>2183</v>
      </c>
      <c r="I1919" s="4" t="s">
        <v>2100</v>
      </c>
      <c r="J1919" s="4" t="s">
        <v>2518</v>
      </c>
      <c r="K1919">
        <v>11</v>
      </c>
      <c r="L1919">
        <v>3.3527999999999998</v>
      </c>
      <c r="M1919">
        <v>38.1</v>
      </c>
      <c r="N1919">
        <v>38.1</v>
      </c>
      <c r="O1919">
        <v>132</v>
      </c>
      <c r="P1919">
        <v>1.5000000000000002</v>
      </c>
      <c r="Q1919">
        <v>1.5000000000000002</v>
      </c>
      <c r="R1919">
        <v>2260.1390000000001</v>
      </c>
      <c r="S1919">
        <v>4.8669580080000002E-3</v>
      </c>
      <c r="T1919" s="4" t="s">
        <v>4022</v>
      </c>
    </row>
    <row r="1920" spans="1:20" x14ac:dyDescent="0.2">
      <c r="A1920" s="4" t="s">
        <v>3940</v>
      </c>
      <c r="B1920" s="4" t="s">
        <v>4019</v>
      </c>
      <c r="C1920" s="4" t="s">
        <v>2096</v>
      </c>
      <c r="D1920" s="4" t="s">
        <v>2236</v>
      </c>
      <c r="E1920" s="4" t="s">
        <v>4024</v>
      </c>
      <c r="F1920" s="4" t="s">
        <v>4021</v>
      </c>
      <c r="G1920" s="4" t="s">
        <v>3943</v>
      </c>
      <c r="H1920" s="4" t="s">
        <v>2183</v>
      </c>
      <c r="I1920" s="4" t="s">
        <v>2100</v>
      </c>
      <c r="J1920" s="4" t="s">
        <v>2518</v>
      </c>
      <c r="K1920">
        <v>12</v>
      </c>
      <c r="L1920">
        <v>3.6576</v>
      </c>
      <c r="M1920">
        <v>38.1</v>
      </c>
      <c r="N1920">
        <v>38.1</v>
      </c>
      <c r="O1920">
        <v>144</v>
      </c>
      <c r="P1920">
        <v>1.5000000000000002</v>
      </c>
      <c r="Q1920">
        <v>1.5000000000000002</v>
      </c>
      <c r="R1920">
        <v>2260.1390000000001</v>
      </c>
      <c r="S1920">
        <v>5.3094087360000004E-3</v>
      </c>
      <c r="T1920" s="4" t="s">
        <v>4022</v>
      </c>
    </row>
    <row r="1921" spans="1:20" x14ac:dyDescent="0.2">
      <c r="A1921" s="4" t="s">
        <v>3940</v>
      </c>
      <c r="B1921" s="4" t="s">
        <v>4019</v>
      </c>
      <c r="C1921" s="4" t="s">
        <v>2096</v>
      </c>
      <c r="D1921" s="4" t="s">
        <v>2236</v>
      </c>
      <c r="E1921" s="4" t="s">
        <v>4025</v>
      </c>
      <c r="F1921" s="4" t="s">
        <v>4021</v>
      </c>
      <c r="G1921" s="4" t="s">
        <v>3943</v>
      </c>
      <c r="H1921" s="4" t="s">
        <v>2183</v>
      </c>
      <c r="I1921" s="4" t="s">
        <v>2100</v>
      </c>
      <c r="J1921" s="4" t="s">
        <v>2518</v>
      </c>
      <c r="K1921">
        <v>13</v>
      </c>
      <c r="L1921">
        <v>3.9624000000000001</v>
      </c>
      <c r="M1921">
        <v>38.1</v>
      </c>
      <c r="N1921">
        <v>38.1</v>
      </c>
      <c r="O1921">
        <v>156</v>
      </c>
      <c r="P1921">
        <v>1.5000000000000002</v>
      </c>
      <c r="Q1921">
        <v>1.5000000000000002</v>
      </c>
      <c r="R1921">
        <v>2260.1390000000001</v>
      </c>
      <c r="S1921">
        <v>5.7518594640000005E-3</v>
      </c>
      <c r="T1921" s="4" t="s">
        <v>4022</v>
      </c>
    </row>
    <row r="1922" spans="1:20" x14ac:dyDescent="0.2">
      <c r="A1922" s="4" t="s">
        <v>3940</v>
      </c>
      <c r="B1922" s="4" t="s">
        <v>4019</v>
      </c>
      <c r="C1922" s="4" t="s">
        <v>2096</v>
      </c>
      <c r="D1922" s="4" t="s">
        <v>2236</v>
      </c>
      <c r="E1922" s="4" t="s">
        <v>4026</v>
      </c>
      <c r="F1922" s="4" t="s">
        <v>4021</v>
      </c>
      <c r="G1922" s="4" t="s">
        <v>3943</v>
      </c>
      <c r="H1922" s="4" t="s">
        <v>2183</v>
      </c>
      <c r="I1922" s="4" t="s">
        <v>2100</v>
      </c>
      <c r="J1922" s="4" t="s">
        <v>2518</v>
      </c>
      <c r="K1922">
        <v>14</v>
      </c>
      <c r="L1922">
        <v>4.2671999999999999</v>
      </c>
      <c r="M1922">
        <v>38.1</v>
      </c>
      <c r="N1922">
        <v>38.1</v>
      </c>
      <c r="O1922">
        <v>168</v>
      </c>
      <c r="P1922">
        <v>1.5000000000000002</v>
      </c>
      <c r="Q1922">
        <v>1.5000000000000002</v>
      </c>
      <c r="R1922">
        <v>2260.1390000000001</v>
      </c>
      <c r="S1922">
        <v>6.1943101920000007E-3</v>
      </c>
      <c r="T1922" s="4" t="s">
        <v>4022</v>
      </c>
    </row>
    <row r="1923" spans="1:20" x14ac:dyDescent="0.2">
      <c r="A1923" s="4" t="s">
        <v>3940</v>
      </c>
      <c r="B1923" s="4" t="s">
        <v>4019</v>
      </c>
      <c r="C1923" s="4" t="s">
        <v>2096</v>
      </c>
      <c r="D1923" s="4" t="s">
        <v>2236</v>
      </c>
      <c r="E1923" s="4" t="s">
        <v>4027</v>
      </c>
      <c r="F1923" s="4" t="s">
        <v>4021</v>
      </c>
      <c r="G1923" s="4" t="s">
        <v>3943</v>
      </c>
      <c r="H1923" s="4" t="s">
        <v>2183</v>
      </c>
      <c r="I1923" s="4" t="s">
        <v>2100</v>
      </c>
      <c r="J1923" s="4" t="s">
        <v>2518</v>
      </c>
      <c r="K1923">
        <v>15</v>
      </c>
      <c r="L1923">
        <v>4.5720000000000001</v>
      </c>
      <c r="M1923">
        <v>38.1</v>
      </c>
      <c r="N1923">
        <v>38.1</v>
      </c>
      <c r="O1923">
        <v>180</v>
      </c>
      <c r="P1923">
        <v>1.5000000000000002</v>
      </c>
      <c r="Q1923">
        <v>1.5000000000000002</v>
      </c>
      <c r="R1923">
        <v>2260.1390000000001</v>
      </c>
      <c r="S1923">
        <v>6.6367609200000009E-3</v>
      </c>
      <c r="T1923" s="4" t="s">
        <v>4022</v>
      </c>
    </row>
    <row r="1924" spans="1:20" x14ac:dyDescent="0.2">
      <c r="A1924" s="4" t="s">
        <v>3940</v>
      </c>
      <c r="B1924" s="4" t="s">
        <v>4019</v>
      </c>
      <c r="C1924" s="4" t="s">
        <v>2096</v>
      </c>
      <c r="D1924" s="4" t="s">
        <v>2236</v>
      </c>
      <c r="E1924" s="4" t="s">
        <v>4028</v>
      </c>
      <c r="F1924" s="4" t="s">
        <v>4021</v>
      </c>
      <c r="G1924" s="4" t="s">
        <v>3943</v>
      </c>
      <c r="H1924" s="4" t="s">
        <v>2183</v>
      </c>
      <c r="I1924" s="4" t="s">
        <v>2100</v>
      </c>
      <c r="J1924" s="4" t="s">
        <v>2518</v>
      </c>
      <c r="K1924">
        <v>16</v>
      </c>
      <c r="L1924">
        <v>4.8768000000000002</v>
      </c>
      <c r="M1924">
        <v>38.1</v>
      </c>
      <c r="N1924">
        <v>38.1</v>
      </c>
      <c r="O1924">
        <v>192.00000000000003</v>
      </c>
      <c r="P1924">
        <v>1.5000000000000002</v>
      </c>
      <c r="Q1924">
        <v>1.5000000000000002</v>
      </c>
      <c r="R1924">
        <v>2260.1390000000001</v>
      </c>
      <c r="S1924">
        <v>7.0792116480000011E-3</v>
      </c>
      <c r="T1924" s="4" t="s">
        <v>4022</v>
      </c>
    </row>
    <row r="1925" spans="1:20" x14ac:dyDescent="0.2">
      <c r="A1925" s="4" t="s">
        <v>3940</v>
      </c>
      <c r="B1925" s="4" t="s">
        <v>4019</v>
      </c>
      <c r="C1925" s="4" t="s">
        <v>2096</v>
      </c>
      <c r="D1925" s="4" t="s">
        <v>2236</v>
      </c>
      <c r="E1925" s="4" t="s">
        <v>4029</v>
      </c>
      <c r="F1925" s="4" t="s">
        <v>4021</v>
      </c>
      <c r="G1925" s="4" t="s">
        <v>3943</v>
      </c>
      <c r="H1925" s="4" t="s">
        <v>2183</v>
      </c>
      <c r="I1925" s="4" t="s">
        <v>2100</v>
      </c>
      <c r="J1925" s="4" t="s">
        <v>2518</v>
      </c>
      <c r="K1925">
        <v>17</v>
      </c>
      <c r="L1925">
        <v>5.1816000000000004</v>
      </c>
      <c r="M1925">
        <v>38.1</v>
      </c>
      <c r="N1925">
        <v>38.1</v>
      </c>
      <c r="O1925">
        <v>204.00000000000003</v>
      </c>
      <c r="P1925">
        <v>1.5000000000000002</v>
      </c>
      <c r="Q1925">
        <v>1.5000000000000002</v>
      </c>
      <c r="R1925">
        <v>2260.1390000000001</v>
      </c>
      <c r="S1925">
        <v>7.5216623760000021E-3</v>
      </c>
      <c r="T1925" s="4" t="s">
        <v>4022</v>
      </c>
    </row>
    <row r="1926" spans="1:20" x14ac:dyDescent="0.2">
      <c r="A1926" s="4" t="s">
        <v>3940</v>
      </c>
      <c r="B1926" s="4" t="s">
        <v>4019</v>
      </c>
      <c r="C1926" s="4" t="s">
        <v>2096</v>
      </c>
      <c r="D1926" s="4" t="s">
        <v>2236</v>
      </c>
      <c r="E1926" s="4" t="s">
        <v>4030</v>
      </c>
      <c r="F1926" s="4" t="s">
        <v>4021</v>
      </c>
      <c r="G1926" s="4" t="s">
        <v>3943</v>
      </c>
      <c r="H1926" s="4" t="s">
        <v>2183</v>
      </c>
      <c r="I1926" s="4" t="s">
        <v>2100</v>
      </c>
      <c r="J1926" s="4" t="s">
        <v>2518</v>
      </c>
      <c r="K1926">
        <v>18</v>
      </c>
      <c r="L1926">
        <v>5.4863999999999997</v>
      </c>
      <c r="M1926">
        <v>38.1</v>
      </c>
      <c r="N1926">
        <v>38.1</v>
      </c>
      <c r="O1926">
        <v>216</v>
      </c>
      <c r="P1926">
        <v>1.5000000000000002</v>
      </c>
      <c r="Q1926">
        <v>1.5000000000000002</v>
      </c>
      <c r="R1926">
        <v>2260.1390000000001</v>
      </c>
      <c r="S1926">
        <v>7.9641131039999997E-3</v>
      </c>
      <c r="T1926" s="4" t="s">
        <v>4022</v>
      </c>
    </row>
    <row r="1927" spans="1:20" x14ac:dyDescent="0.2">
      <c r="A1927" s="4" t="s">
        <v>3940</v>
      </c>
      <c r="B1927" s="4" t="s">
        <v>4019</v>
      </c>
      <c r="C1927" s="4" t="s">
        <v>2096</v>
      </c>
      <c r="D1927" s="4" t="s">
        <v>2236</v>
      </c>
      <c r="E1927" s="4" t="s">
        <v>4031</v>
      </c>
      <c r="F1927" s="4" t="s">
        <v>4021</v>
      </c>
      <c r="G1927" s="4" t="s">
        <v>3943</v>
      </c>
      <c r="H1927" s="4" t="s">
        <v>2183</v>
      </c>
      <c r="I1927" s="4" t="s">
        <v>2100</v>
      </c>
      <c r="J1927" s="4" t="s">
        <v>2518</v>
      </c>
      <c r="K1927">
        <v>19</v>
      </c>
      <c r="L1927">
        <v>5.7911999999999999</v>
      </c>
      <c r="M1927">
        <v>38.1</v>
      </c>
      <c r="N1927">
        <v>38.1</v>
      </c>
      <c r="O1927">
        <v>228</v>
      </c>
      <c r="P1927">
        <v>1.5000000000000002</v>
      </c>
      <c r="Q1927">
        <v>1.5000000000000002</v>
      </c>
      <c r="R1927">
        <v>2260.1390000000001</v>
      </c>
      <c r="S1927">
        <v>8.4065638320000007E-3</v>
      </c>
      <c r="T1927" s="4" t="s">
        <v>4022</v>
      </c>
    </row>
    <row r="1928" spans="1:20" x14ac:dyDescent="0.2">
      <c r="A1928" s="4" t="s">
        <v>3940</v>
      </c>
      <c r="B1928" s="4" t="s">
        <v>4019</v>
      </c>
      <c r="C1928" s="4" t="s">
        <v>2096</v>
      </c>
      <c r="D1928" s="4" t="s">
        <v>2236</v>
      </c>
      <c r="E1928" s="4" t="s">
        <v>4032</v>
      </c>
      <c r="F1928" s="4" t="s">
        <v>4021</v>
      </c>
      <c r="G1928" s="4" t="s">
        <v>3943</v>
      </c>
      <c r="H1928" s="4" t="s">
        <v>2183</v>
      </c>
      <c r="I1928" s="4" t="s">
        <v>2100</v>
      </c>
      <c r="J1928" s="4" t="s">
        <v>2518</v>
      </c>
      <c r="K1928">
        <v>20</v>
      </c>
      <c r="L1928">
        <v>6.0960000000000001</v>
      </c>
      <c r="M1928">
        <v>38.1</v>
      </c>
      <c r="N1928">
        <v>38.1</v>
      </c>
      <c r="O1928">
        <v>240</v>
      </c>
      <c r="P1928">
        <v>1.5000000000000002</v>
      </c>
      <c r="Q1928">
        <v>1.5000000000000002</v>
      </c>
      <c r="R1928">
        <v>2260.1390000000001</v>
      </c>
      <c r="S1928">
        <v>8.8490145600000018E-3</v>
      </c>
      <c r="T1928" s="4" t="s">
        <v>4022</v>
      </c>
    </row>
    <row r="1929" spans="1:20" x14ac:dyDescent="0.2">
      <c r="A1929" s="4" t="s">
        <v>3940</v>
      </c>
      <c r="B1929" s="4" t="s">
        <v>4019</v>
      </c>
      <c r="C1929" s="4" t="s">
        <v>2096</v>
      </c>
      <c r="D1929" s="4" t="s">
        <v>2236</v>
      </c>
      <c r="E1929" s="4" t="s">
        <v>4033</v>
      </c>
      <c r="F1929" s="4" t="s">
        <v>4021</v>
      </c>
      <c r="G1929" s="4" t="s">
        <v>3943</v>
      </c>
      <c r="H1929" s="4" t="s">
        <v>2183</v>
      </c>
      <c r="I1929" s="4" t="s">
        <v>2100</v>
      </c>
      <c r="J1929" s="4" t="s">
        <v>2518</v>
      </c>
      <c r="K1929">
        <v>21</v>
      </c>
      <c r="L1929">
        <v>6.4008000000000003</v>
      </c>
      <c r="M1929">
        <v>38.1</v>
      </c>
      <c r="N1929">
        <v>38.1</v>
      </c>
      <c r="O1929">
        <v>252.00000000000003</v>
      </c>
      <c r="P1929">
        <v>1.5000000000000002</v>
      </c>
      <c r="Q1929">
        <v>1.5000000000000002</v>
      </c>
      <c r="R1929">
        <v>2260.1390000000001</v>
      </c>
      <c r="S1929">
        <v>9.2914652880000011E-3</v>
      </c>
      <c r="T1929" s="4" t="s">
        <v>4022</v>
      </c>
    </row>
    <row r="1930" spans="1:20" x14ac:dyDescent="0.2">
      <c r="A1930" s="4" t="s">
        <v>3940</v>
      </c>
      <c r="B1930" s="4" t="s">
        <v>4019</v>
      </c>
      <c r="C1930" s="4" t="s">
        <v>2096</v>
      </c>
      <c r="D1930" s="4" t="s">
        <v>2236</v>
      </c>
      <c r="E1930" s="4" t="s">
        <v>4034</v>
      </c>
      <c r="F1930" s="4" t="s">
        <v>4021</v>
      </c>
      <c r="G1930" s="4" t="s">
        <v>3943</v>
      </c>
      <c r="H1930" s="4" t="s">
        <v>2183</v>
      </c>
      <c r="I1930" s="4" t="s">
        <v>2100</v>
      </c>
      <c r="J1930" s="4" t="s">
        <v>2518</v>
      </c>
      <c r="K1930">
        <v>22</v>
      </c>
      <c r="L1930">
        <v>6.7055999999999996</v>
      </c>
      <c r="M1930">
        <v>38.1</v>
      </c>
      <c r="N1930">
        <v>38.1</v>
      </c>
      <c r="O1930">
        <v>264</v>
      </c>
      <c r="P1930">
        <v>1.5000000000000002</v>
      </c>
      <c r="Q1930">
        <v>1.5000000000000002</v>
      </c>
      <c r="R1930">
        <v>2260.1390000000001</v>
      </c>
      <c r="S1930">
        <v>9.7339160160000004E-3</v>
      </c>
      <c r="T1930" s="4" t="s">
        <v>4022</v>
      </c>
    </row>
    <row r="1931" spans="1:20" x14ac:dyDescent="0.2">
      <c r="A1931" s="4" t="s">
        <v>3940</v>
      </c>
      <c r="B1931" s="4" t="s">
        <v>4019</v>
      </c>
      <c r="C1931" s="4" t="s">
        <v>2286</v>
      </c>
      <c r="D1931" s="4" t="s">
        <v>2236</v>
      </c>
      <c r="E1931" s="4" t="s">
        <v>4035</v>
      </c>
      <c r="F1931" s="4" t="s">
        <v>4021</v>
      </c>
      <c r="G1931" s="4" t="s">
        <v>3943</v>
      </c>
      <c r="H1931" s="4" t="s">
        <v>2183</v>
      </c>
      <c r="I1931" s="4" t="s">
        <v>2100</v>
      </c>
      <c r="J1931" s="4" t="s">
        <v>2518</v>
      </c>
      <c r="K1931">
        <v>3</v>
      </c>
      <c r="L1931">
        <v>0.91439999999999999</v>
      </c>
      <c r="M1931">
        <v>38.1</v>
      </c>
      <c r="N1931">
        <v>38.1</v>
      </c>
      <c r="O1931">
        <v>36</v>
      </c>
      <c r="P1931">
        <v>1.5000000000000002</v>
      </c>
      <c r="Q1931">
        <v>1.5000000000000002</v>
      </c>
      <c r="R1931">
        <v>2260.1390000000001</v>
      </c>
      <c r="S1931">
        <v>1.3273521840000001E-3</v>
      </c>
      <c r="T1931" s="4" t="s">
        <v>4036</v>
      </c>
    </row>
    <row r="1932" spans="1:20" x14ac:dyDescent="0.2">
      <c r="A1932" s="4" t="s">
        <v>3940</v>
      </c>
      <c r="B1932" s="4" t="s">
        <v>4019</v>
      </c>
      <c r="C1932" s="4" t="s">
        <v>2286</v>
      </c>
      <c r="D1932" s="4" t="s">
        <v>2236</v>
      </c>
      <c r="E1932" s="4" t="s">
        <v>4037</v>
      </c>
      <c r="F1932" s="4" t="s">
        <v>4021</v>
      </c>
      <c r="G1932" s="4" t="s">
        <v>3943</v>
      </c>
      <c r="H1932" s="4" t="s">
        <v>2183</v>
      </c>
      <c r="I1932" s="4" t="s">
        <v>2100</v>
      </c>
      <c r="J1932" s="4" t="s">
        <v>2518</v>
      </c>
      <c r="K1932">
        <v>4</v>
      </c>
      <c r="L1932">
        <v>1.2192000000000001</v>
      </c>
      <c r="M1932">
        <v>38.1</v>
      </c>
      <c r="N1932">
        <v>38.1</v>
      </c>
      <c r="O1932">
        <v>48.000000000000007</v>
      </c>
      <c r="P1932">
        <v>1.5000000000000002</v>
      </c>
      <c r="Q1932">
        <v>1.5000000000000002</v>
      </c>
      <c r="R1932">
        <v>2260.1390000000001</v>
      </c>
      <c r="S1932">
        <v>1.7698029120000003E-3</v>
      </c>
      <c r="T1932" s="4" t="s">
        <v>4036</v>
      </c>
    </row>
    <row r="1933" spans="1:20" x14ac:dyDescent="0.2">
      <c r="A1933" s="4" t="s">
        <v>3940</v>
      </c>
      <c r="B1933" s="4" t="s">
        <v>4019</v>
      </c>
      <c r="C1933" s="4" t="s">
        <v>2286</v>
      </c>
      <c r="D1933" s="4" t="s">
        <v>2236</v>
      </c>
      <c r="E1933" s="4" t="s">
        <v>4038</v>
      </c>
      <c r="F1933" s="4" t="s">
        <v>4021</v>
      </c>
      <c r="G1933" s="4" t="s">
        <v>3943</v>
      </c>
      <c r="H1933" s="4" t="s">
        <v>2183</v>
      </c>
      <c r="I1933" s="4" t="s">
        <v>2100</v>
      </c>
      <c r="J1933" s="4" t="s">
        <v>2518</v>
      </c>
      <c r="K1933">
        <v>5</v>
      </c>
      <c r="L1933">
        <v>1.524</v>
      </c>
      <c r="M1933">
        <v>38.1</v>
      </c>
      <c r="N1933">
        <v>38.1</v>
      </c>
      <c r="O1933">
        <v>60</v>
      </c>
      <c r="P1933">
        <v>1.5000000000000002</v>
      </c>
      <c r="Q1933">
        <v>1.5000000000000002</v>
      </c>
      <c r="R1933">
        <v>2260.1390000000001</v>
      </c>
      <c r="S1933">
        <v>2.2122536400000004E-3</v>
      </c>
      <c r="T1933" s="4" t="s">
        <v>4036</v>
      </c>
    </row>
    <row r="1934" spans="1:20" x14ac:dyDescent="0.2">
      <c r="A1934" s="4" t="s">
        <v>3940</v>
      </c>
      <c r="B1934" s="4" t="s">
        <v>4019</v>
      </c>
      <c r="C1934" s="4" t="s">
        <v>2286</v>
      </c>
      <c r="D1934" s="4" t="s">
        <v>2236</v>
      </c>
      <c r="E1934" s="4" t="s">
        <v>4039</v>
      </c>
      <c r="F1934" s="4" t="s">
        <v>4021</v>
      </c>
      <c r="G1934" s="4" t="s">
        <v>3943</v>
      </c>
      <c r="H1934" s="4" t="s">
        <v>2183</v>
      </c>
      <c r="I1934" s="4" t="s">
        <v>2100</v>
      </c>
      <c r="J1934" s="4" t="s">
        <v>2518</v>
      </c>
      <c r="K1934">
        <v>6</v>
      </c>
      <c r="L1934">
        <v>1.8288</v>
      </c>
      <c r="M1934">
        <v>38.1</v>
      </c>
      <c r="N1934">
        <v>38.1</v>
      </c>
      <c r="O1934">
        <v>72</v>
      </c>
      <c r="P1934">
        <v>1.5000000000000002</v>
      </c>
      <c r="Q1934">
        <v>1.5000000000000002</v>
      </c>
      <c r="R1934">
        <v>2260.1390000000001</v>
      </c>
      <c r="S1934">
        <v>2.6547043680000002E-3</v>
      </c>
      <c r="T1934" s="4" t="s">
        <v>4036</v>
      </c>
    </row>
    <row r="1935" spans="1:20" x14ac:dyDescent="0.2">
      <c r="A1935" s="4" t="s">
        <v>3940</v>
      </c>
      <c r="B1935" s="4" t="s">
        <v>4019</v>
      </c>
      <c r="C1935" s="4" t="s">
        <v>2286</v>
      </c>
      <c r="D1935" s="4" t="s">
        <v>2236</v>
      </c>
      <c r="E1935" s="4" t="s">
        <v>4040</v>
      </c>
      <c r="F1935" s="4" t="s">
        <v>4021</v>
      </c>
      <c r="G1935" s="4" t="s">
        <v>3943</v>
      </c>
      <c r="H1935" s="4" t="s">
        <v>2183</v>
      </c>
      <c r="I1935" s="4" t="s">
        <v>2100</v>
      </c>
      <c r="J1935" s="4" t="s">
        <v>2518</v>
      </c>
      <c r="K1935">
        <v>7</v>
      </c>
      <c r="L1935">
        <v>2.1335999999999999</v>
      </c>
      <c r="M1935">
        <v>38.1</v>
      </c>
      <c r="N1935">
        <v>38.1</v>
      </c>
      <c r="O1935">
        <v>84</v>
      </c>
      <c r="P1935">
        <v>1.5000000000000002</v>
      </c>
      <c r="Q1935">
        <v>1.5000000000000002</v>
      </c>
      <c r="R1935">
        <v>2260.1390000000001</v>
      </c>
      <c r="S1935">
        <v>3.0971550960000004E-3</v>
      </c>
      <c r="T1935" s="4" t="s">
        <v>4036</v>
      </c>
    </row>
    <row r="1936" spans="1:20" x14ac:dyDescent="0.2">
      <c r="A1936" s="4" t="s">
        <v>3940</v>
      </c>
      <c r="B1936" s="4" t="s">
        <v>4019</v>
      </c>
      <c r="C1936" s="4" t="s">
        <v>2096</v>
      </c>
      <c r="D1936" s="4" t="s">
        <v>2236</v>
      </c>
      <c r="E1936" s="4" t="s">
        <v>188</v>
      </c>
      <c r="F1936" s="4" t="s">
        <v>4021</v>
      </c>
      <c r="G1936" s="4" t="s">
        <v>3943</v>
      </c>
      <c r="H1936" s="4" t="s">
        <v>2183</v>
      </c>
      <c r="I1936" s="4" t="s">
        <v>2100</v>
      </c>
      <c r="J1936" s="4" t="s">
        <v>2518</v>
      </c>
      <c r="K1936">
        <v>8</v>
      </c>
      <c r="L1936">
        <v>2.4384000000000001</v>
      </c>
      <c r="M1936">
        <v>38.1</v>
      </c>
      <c r="N1936">
        <v>38.1</v>
      </c>
      <c r="O1936">
        <v>96.000000000000014</v>
      </c>
      <c r="P1936">
        <v>1.5000000000000002</v>
      </c>
      <c r="Q1936">
        <v>1.5000000000000002</v>
      </c>
      <c r="R1936">
        <v>2260.1390000000001</v>
      </c>
      <c r="S1936">
        <v>3.5396058240000005E-3</v>
      </c>
      <c r="T1936" s="4" t="s">
        <v>4022</v>
      </c>
    </row>
    <row r="1937" spans="1:20" x14ac:dyDescent="0.2">
      <c r="A1937" s="4" t="s">
        <v>3940</v>
      </c>
      <c r="B1937" s="4" t="s">
        <v>4019</v>
      </c>
      <c r="C1937" s="4" t="s">
        <v>2096</v>
      </c>
      <c r="D1937" s="4" t="s">
        <v>2236</v>
      </c>
      <c r="E1937" s="4" t="s">
        <v>190</v>
      </c>
      <c r="F1937" s="4" t="s">
        <v>4021</v>
      </c>
      <c r="G1937" s="4" t="s">
        <v>3943</v>
      </c>
      <c r="H1937" s="4" t="s">
        <v>2183</v>
      </c>
      <c r="I1937" s="4" t="s">
        <v>2100</v>
      </c>
      <c r="J1937" s="4" t="s">
        <v>2518</v>
      </c>
      <c r="K1937">
        <v>9</v>
      </c>
      <c r="L1937">
        <v>2.7431999999999999</v>
      </c>
      <c r="M1937">
        <v>38.1</v>
      </c>
      <c r="N1937">
        <v>38.1</v>
      </c>
      <c r="O1937">
        <v>108</v>
      </c>
      <c r="P1937">
        <v>1.5000000000000002</v>
      </c>
      <c r="Q1937">
        <v>1.5000000000000002</v>
      </c>
      <c r="R1937">
        <v>2260.1390000000001</v>
      </c>
      <c r="S1937">
        <v>3.9820565519999998E-3</v>
      </c>
      <c r="T1937" s="4" t="s">
        <v>4022</v>
      </c>
    </row>
    <row r="1938" spans="1:20" x14ac:dyDescent="0.2">
      <c r="A1938" s="4" t="s">
        <v>3940</v>
      </c>
      <c r="B1938" s="4" t="s">
        <v>4041</v>
      </c>
      <c r="C1938" s="4" t="s">
        <v>2096</v>
      </c>
      <c r="D1938" s="4" t="s">
        <v>2236</v>
      </c>
      <c r="E1938" s="4" t="s">
        <v>4042</v>
      </c>
      <c r="F1938" s="4" t="s">
        <v>4043</v>
      </c>
      <c r="G1938" s="4" t="s">
        <v>3943</v>
      </c>
      <c r="H1938" s="4" t="s">
        <v>2183</v>
      </c>
      <c r="I1938" s="4" t="s">
        <v>2100</v>
      </c>
      <c r="J1938" s="4" t="s">
        <v>2549</v>
      </c>
      <c r="K1938">
        <v>10</v>
      </c>
      <c r="L1938">
        <v>3.048</v>
      </c>
      <c r="M1938">
        <v>38.1</v>
      </c>
      <c r="N1938">
        <v>88.9</v>
      </c>
      <c r="O1938">
        <v>120</v>
      </c>
      <c r="P1938">
        <v>1.5000000000000002</v>
      </c>
      <c r="Q1938">
        <v>3.5000000000000004</v>
      </c>
      <c r="R1938">
        <v>968.63099999999997</v>
      </c>
      <c r="S1938">
        <v>1.0323850320000001E-2</v>
      </c>
      <c r="T1938" s="4" t="s">
        <v>4044</v>
      </c>
    </row>
    <row r="1939" spans="1:20" x14ac:dyDescent="0.2">
      <c r="A1939" s="4" t="s">
        <v>3940</v>
      </c>
      <c r="B1939" s="4" t="s">
        <v>4041</v>
      </c>
      <c r="C1939" s="4" t="s">
        <v>2096</v>
      </c>
      <c r="D1939" s="4" t="s">
        <v>2236</v>
      </c>
      <c r="E1939" s="4" t="s">
        <v>4045</v>
      </c>
      <c r="F1939" s="4" t="s">
        <v>4043</v>
      </c>
      <c r="G1939" s="4" t="s">
        <v>3943</v>
      </c>
      <c r="H1939" s="4" t="s">
        <v>2183</v>
      </c>
      <c r="I1939" s="4" t="s">
        <v>2100</v>
      </c>
      <c r="J1939" s="4" t="s">
        <v>2549</v>
      </c>
      <c r="K1939">
        <v>11</v>
      </c>
      <c r="L1939">
        <v>3.3527999999999998</v>
      </c>
      <c r="M1939">
        <v>38.1</v>
      </c>
      <c r="N1939">
        <v>88.9</v>
      </c>
      <c r="O1939">
        <v>132</v>
      </c>
      <c r="P1939">
        <v>1.5000000000000002</v>
      </c>
      <c r="Q1939">
        <v>3.5000000000000004</v>
      </c>
      <c r="R1939">
        <v>968.63099999999997</v>
      </c>
      <c r="S1939">
        <v>1.1356235352000001E-2</v>
      </c>
      <c r="T1939" s="4" t="s">
        <v>4044</v>
      </c>
    </row>
    <row r="1940" spans="1:20" x14ac:dyDescent="0.2">
      <c r="A1940" s="4" t="s">
        <v>3940</v>
      </c>
      <c r="B1940" s="4" t="s">
        <v>4041</v>
      </c>
      <c r="C1940" s="4" t="s">
        <v>2096</v>
      </c>
      <c r="D1940" s="4" t="s">
        <v>2236</v>
      </c>
      <c r="E1940" s="4" t="s">
        <v>4046</v>
      </c>
      <c r="F1940" s="4" t="s">
        <v>4043</v>
      </c>
      <c r="G1940" s="4" t="s">
        <v>3943</v>
      </c>
      <c r="H1940" s="4" t="s">
        <v>2183</v>
      </c>
      <c r="I1940" s="4" t="s">
        <v>2100</v>
      </c>
      <c r="J1940" s="4" t="s">
        <v>2549</v>
      </c>
      <c r="K1940">
        <v>12</v>
      </c>
      <c r="L1940">
        <v>3.6576</v>
      </c>
      <c r="M1940">
        <v>38.1</v>
      </c>
      <c r="N1940">
        <v>88.9</v>
      </c>
      <c r="O1940">
        <v>144</v>
      </c>
      <c r="P1940">
        <v>1.5000000000000002</v>
      </c>
      <c r="Q1940">
        <v>3.5000000000000004</v>
      </c>
      <c r="R1940">
        <v>968.63099999999997</v>
      </c>
      <c r="S1940">
        <v>1.2388620384E-2</v>
      </c>
      <c r="T1940" s="4" t="s">
        <v>4044</v>
      </c>
    </row>
    <row r="1941" spans="1:20" x14ac:dyDescent="0.2">
      <c r="A1941" s="4" t="s">
        <v>3940</v>
      </c>
      <c r="B1941" s="4" t="s">
        <v>4041</v>
      </c>
      <c r="C1941" s="4" t="s">
        <v>2096</v>
      </c>
      <c r="D1941" s="4" t="s">
        <v>2236</v>
      </c>
      <c r="E1941" s="4" t="s">
        <v>4047</v>
      </c>
      <c r="F1941" s="4" t="s">
        <v>4043</v>
      </c>
      <c r="G1941" s="4" t="s">
        <v>3943</v>
      </c>
      <c r="H1941" s="4" t="s">
        <v>2183</v>
      </c>
      <c r="I1941" s="4" t="s">
        <v>2100</v>
      </c>
      <c r="J1941" s="4" t="s">
        <v>2549</v>
      </c>
      <c r="K1941">
        <v>13</v>
      </c>
      <c r="L1941">
        <v>3.9624000000000001</v>
      </c>
      <c r="M1941">
        <v>38.1</v>
      </c>
      <c r="N1941">
        <v>88.9</v>
      </c>
      <c r="O1941">
        <v>156</v>
      </c>
      <c r="P1941">
        <v>1.5000000000000002</v>
      </c>
      <c r="Q1941">
        <v>3.5000000000000004</v>
      </c>
      <c r="R1941">
        <v>968.63099999999997</v>
      </c>
      <c r="S1941">
        <v>1.3421005416000002E-2</v>
      </c>
      <c r="T1941" s="4" t="s">
        <v>4044</v>
      </c>
    </row>
    <row r="1942" spans="1:20" x14ac:dyDescent="0.2">
      <c r="A1942" s="4" t="s">
        <v>3940</v>
      </c>
      <c r="B1942" s="4" t="s">
        <v>4041</v>
      </c>
      <c r="C1942" s="4" t="s">
        <v>2096</v>
      </c>
      <c r="D1942" s="4" t="s">
        <v>2236</v>
      </c>
      <c r="E1942" s="4" t="s">
        <v>4048</v>
      </c>
      <c r="F1942" s="4" t="s">
        <v>4043</v>
      </c>
      <c r="G1942" s="4" t="s">
        <v>3943</v>
      </c>
      <c r="H1942" s="4" t="s">
        <v>2183</v>
      </c>
      <c r="I1942" s="4" t="s">
        <v>2100</v>
      </c>
      <c r="J1942" s="4" t="s">
        <v>2549</v>
      </c>
      <c r="K1942">
        <v>14</v>
      </c>
      <c r="L1942">
        <v>4.2671999999999999</v>
      </c>
      <c r="M1942">
        <v>38.1</v>
      </c>
      <c r="N1942">
        <v>88.9</v>
      </c>
      <c r="O1942">
        <v>168</v>
      </c>
      <c r="P1942">
        <v>1.5000000000000002</v>
      </c>
      <c r="Q1942">
        <v>3.5000000000000004</v>
      </c>
      <c r="R1942">
        <v>968.63099999999997</v>
      </c>
      <c r="S1942">
        <v>1.4453390448E-2</v>
      </c>
      <c r="T1942" s="4" t="s">
        <v>4044</v>
      </c>
    </row>
    <row r="1943" spans="1:20" x14ac:dyDescent="0.2">
      <c r="A1943" s="4" t="s">
        <v>3940</v>
      </c>
      <c r="B1943" s="4" t="s">
        <v>4041</v>
      </c>
      <c r="C1943" s="4" t="s">
        <v>2096</v>
      </c>
      <c r="D1943" s="4" t="s">
        <v>2236</v>
      </c>
      <c r="E1943" s="4" t="s">
        <v>4049</v>
      </c>
      <c r="F1943" s="4" t="s">
        <v>4043</v>
      </c>
      <c r="G1943" s="4" t="s">
        <v>3943</v>
      </c>
      <c r="H1943" s="4" t="s">
        <v>2183</v>
      </c>
      <c r="I1943" s="4" t="s">
        <v>2100</v>
      </c>
      <c r="J1943" s="4" t="s">
        <v>2549</v>
      </c>
      <c r="K1943">
        <v>15</v>
      </c>
      <c r="L1943">
        <v>4.5720000000000001</v>
      </c>
      <c r="M1943">
        <v>38.1</v>
      </c>
      <c r="N1943">
        <v>88.9</v>
      </c>
      <c r="O1943">
        <v>180</v>
      </c>
      <c r="P1943">
        <v>1.5000000000000002</v>
      </c>
      <c r="Q1943">
        <v>3.5000000000000004</v>
      </c>
      <c r="R1943">
        <v>968.63099999999997</v>
      </c>
      <c r="S1943">
        <v>1.5485775480000004E-2</v>
      </c>
      <c r="T1943" s="4" t="s">
        <v>4044</v>
      </c>
    </row>
    <row r="1944" spans="1:20" x14ac:dyDescent="0.2">
      <c r="A1944" s="4" t="s">
        <v>3940</v>
      </c>
      <c r="B1944" s="4" t="s">
        <v>4041</v>
      </c>
      <c r="C1944" s="4" t="s">
        <v>2096</v>
      </c>
      <c r="D1944" s="4" t="s">
        <v>2236</v>
      </c>
      <c r="E1944" s="4" t="s">
        <v>4050</v>
      </c>
      <c r="F1944" s="4" t="s">
        <v>4043</v>
      </c>
      <c r="G1944" s="4" t="s">
        <v>3943</v>
      </c>
      <c r="H1944" s="4" t="s">
        <v>2183</v>
      </c>
      <c r="I1944" s="4" t="s">
        <v>2100</v>
      </c>
      <c r="J1944" s="4" t="s">
        <v>2549</v>
      </c>
      <c r="K1944">
        <v>16</v>
      </c>
      <c r="L1944">
        <v>4.8768000000000002</v>
      </c>
      <c r="M1944">
        <v>38.1</v>
      </c>
      <c r="N1944">
        <v>88.9</v>
      </c>
      <c r="O1944">
        <v>192.00000000000003</v>
      </c>
      <c r="P1944">
        <v>1.5000000000000002</v>
      </c>
      <c r="Q1944">
        <v>3.5000000000000004</v>
      </c>
      <c r="R1944">
        <v>968.63099999999997</v>
      </c>
      <c r="S1944">
        <v>1.6518160512000002E-2</v>
      </c>
      <c r="T1944" s="4" t="s">
        <v>4044</v>
      </c>
    </row>
    <row r="1945" spans="1:20" x14ac:dyDescent="0.2">
      <c r="A1945" s="4" t="s">
        <v>3940</v>
      </c>
      <c r="B1945" s="4" t="s">
        <v>4041</v>
      </c>
      <c r="C1945" s="4" t="s">
        <v>2096</v>
      </c>
      <c r="D1945" s="4" t="s">
        <v>2236</v>
      </c>
      <c r="E1945" s="4" t="s">
        <v>4051</v>
      </c>
      <c r="F1945" s="4" t="s">
        <v>4043</v>
      </c>
      <c r="G1945" s="4" t="s">
        <v>3943</v>
      </c>
      <c r="H1945" s="4" t="s">
        <v>2183</v>
      </c>
      <c r="I1945" s="4" t="s">
        <v>2100</v>
      </c>
      <c r="J1945" s="4" t="s">
        <v>2549</v>
      </c>
      <c r="K1945">
        <v>17</v>
      </c>
      <c r="L1945">
        <v>5.1816000000000004</v>
      </c>
      <c r="M1945">
        <v>38.1</v>
      </c>
      <c r="N1945">
        <v>88.9</v>
      </c>
      <c r="O1945">
        <v>204.00000000000003</v>
      </c>
      <c r="P1945">
        <v>1.5000000000000002</v>
      </c>
      <c r="Q1945">
        <v>3.5000000000000004</v>
      </c>
      <c r="R1945">
        <v>968.63099999999997</v>
      </c>
      <c r="S1945">
        <v>1.7550545544000005E-2</v>
      </c>
      <c r="T1945" s="4" t="s">
        <v>4044</v>
      </c>
    </row>
    <row r="1946" spans="1:20" x14ac:dyDescent="0.2">
      <c r="A1946" s="4" t="s">
        <v>3940</v>
      </c>
      <c r="B1946" s="4" t="s">
        <v>4041</v>
      </c>
      <c r="C1946" s="4" t="s">
        <v>2096</v>
      </c>
      <c r="D1946" s="4" t="s">
        <v>2236</v>
      </c>
      <c r="E1946" s="4" t="s">
        <v>4052</v>
      </c>
      <c r="F1946" s="4" t="s">
        <v>4043</v>
      </c>
      <c r="G1946" s="4" t="s">
        <v>3943</v>
      </c>
      <c r="H1946" s="4" t="s">
        <v>2183</v>
      </c>
      <c r="I1946" s="4" t="s">
        <v>2100</v>
      </c>
      <c r="J1946" s="4" t="s">
        <v>2549</v>
      </c>
      <c r="K1946">
        <v>18</v>
      </c>
      <c r="L1946">
        <v>5.4863999999999997</v>
      </c>
      <c r="M1946">
        <v>38.1</v>
      </c>
      <c r="N1946">
        <v>88.9</v>
      </c>
      <c r="O1946">
        <v>216</v>
      </c>
      <c r="P1946">
        <v>1.5000000000000002</v>
      </c>
      <c r="Q1946">
        <v>3.5000000000000004</v>
      </c>
      <c r="R1946">
        <v>968.63099999999997</v>
      </c>
      <c r="S1946">
        <v>1.8582930576000002E-2</v>
      </c>
      <c r="T1946" s="4" t="s">
        <v>4044</v>
      </c>
    </row>
    <row r="1947" spans="1:20" x14ac:dyDescent="0.2">
      <c r="A1947" s="4" t="s">
        <v>3940</v>
      </c>
      <c r="B1947" s="4" t="s">
        <v>4041</v>
      </c>
      <c r="C1947" s="4" t="s">
        <v>2096</v>
      </c>
      <c r="D1947" s="4" t="s">
        <v>2236</v>
      </c>
      <c r="E1947" s="4" t="s">
        <v>4053</v>
      </c>
      <c r="F1947" s="4" t="s">
        <v>4043</v>
      </c>
      <c r="G1947" s="4" t="s">
        <v>3943</v>
      </c>
      <c r="H1947" s="4" t="s">
        <v>2183</v>
      </c>
      <c r="I1947" s="4" t="s">
        <v>2100</v>
      </c>
      <c r="J1947" s="4" t="s">
        <v>2549</v>
      </c>
      <c r="K1947">
        <v>19</v>
      </c>
      <c r="L1947">
        <v>5.7911999999999999</v>
      </c>
      <c r="M1947">
        <v>38.1</v>
      </c>
      <c r="N1947">
        <v>88.9</v>
      </c>
      <c r="O1947">
        <v>228</v>
      </c>
      <c r="P1947">
        <v>1.5000000000000002</v>
      </c>
      <c r="Q1947">
        <v>3.5000000000000004</v>
      </c>
      <c r="R1947">
        <v>968.63099999999997</v>
      </c>
      <c r="S1947">
        <v>1.9615315608000002E-2</v>
      </c>
      <c r="T1947" s="4" t="s">
        <v>4044</v>
      </c>
    </row>
    <row r="1948" spans="1:20" x14ac:dyDescent="0.2">
      <c r="A1948" s="4" t="s">
        <v>3940</v>
      </c>
      <c r="B1948" s="4" t="s">
        <v>4041</v>
      </c>
      <c r="C1948" s="4" t="s">
        <v>2096</v>
      </c>
      <c r="D1948" s="4" t="s">
        <v>2236</v>
      </c>
      <c r="E1948" s="4" t="s">
        <v>4054</v>
      </c>
      <c r="F1948" s="4" t="s">
        <v>4043</v>
      </c>
      <c r="G1948" s="4" t="s">
        <v>3943</v>
      </c>
      <c r="H1948" s="4" t="s">
        <v>2183</v>
      </c>
      <c r="I1948" s="4" t="s">
        <v>2100</v>
      </c>
      <c r="J1948" s="4" t="s">
        <v>2549</v>
      </c>
      <c r="K1948">
        <v>20</v>
      </c>
      <c r="L1948">
        <v>6.0960000000000001</v>
      </c>
      <c r="M1948">
        <v>38.1</v>
      </c>
      <c r="N1948">
        <v>88.9</v>
      </c>
      <c r="O1948">
        <v>240</v>
      </c>
      <c r="P1948">
        <v>1.5000000000000002</v>
      </c>
      <c r="Q1948">
        <v>3.5000000000000004</v>
      </c>
      <c r="R1948">
        <v>968.63099999999997</v>
      </c>
      <c r="S1948">
        <v>2.0647700640000002E-2</v>
      </c>
      <c r="T1948" s="4" t="s">
        <v>4044</v>
      </c>
    </row>
    <row r="1949" spans="1:20" x14ac:dyDescent="0.2">
      <c r="A1949" s="4" t="s">
        <v>3940</v>
      </c>
      <c r="B1949" s="4" t="s">
        <v>4041</v>
      </c>
      <c r="C1949" s="4" t="s">
        <v>2096</v>
      </c>
      <c r="D1949" s="4" t="s">
        <v>2236</v>
      </c>
      <c r="E1949" s="4" t="s">
        <v>4055</v>
      </c>
      <c r="F1949" s="4" t="s">
        <v>4043</v>
      </c>
      <c r="G1949" s="4" t="s">
        <v>3943</v>
      </c>
      <c r="H1949" s="4" t="s">
        <v>2183</v>
      </c>
      <c r="I1949" s="4" t="s">
        <v>2100</v>
      </c>
      <c r="J1949" s="4" t="s">
        <v>2549</v>
      </c>
      <c r="K1949">
        <v>21</v>
      </c>
      <c r="L1949">
        <v>6.4008000000000003</v>
      </c>
      <c r="M1949">
        <v>38.1</v>
      </c>
      <c r="N1949">
        <v>88.9</v>
      </c>
      <c r="O1949">
        <v>252.00000000000003</v>
      </c>
      <c r="P1949">
        <v>1.5000000000000002</v>
      </c>
      <c r="Q1949">
        <v>3.5000000000000004</v>
      </c>
      <c r="R1949">
        <v>968.63099999999997</v>
      </c>
      <c r="S1949">
        <v>2.1680085672000003E-2</v>
      </c>
      <c r="T1949" s="4" t="s">
        <v>4044</v>
      </c>
    </row>
    <row r="1950" spans="1:20" x14ac:dyDescent="0.2">
      <c r="A1950" s="4" t="s">
        <v>3940</v>
      </c>
      <c r="B1950" s="4" t="s">
        <v>4041</v>
      </c>
      <c r="C1950" s="4" t="s">
        <v>2096</v>
      </c>
      <c r="D1950" s="4" t="s">
        <v>2236</v>
      </c>
      <c r="E1950" s="4" t="s">
        <v>4056</v>
      </c>
      <c r="F1950" s="4" t="s">
        <v>4043</v>
      </c>
      <c r="G1950" s="4" t="s">
        <v>3943</v>
      </c>
      <c r="H1950" s="4" t="s">
        <v>2183</v>
      </c>
      <c r="I1950" s="4" t="s">
        <v>2100</v>
      </c>
      <c r="J1950" s="4" t="s">
        <v>2549</v>
      </c>
      <c r="K1950">
        <v>22</v>
      </c>
      <c r="L1950">
        <v>6.7055999999999996</v>
      </c>
      <c r="M1950">
        <v>38.1</v>
      </c>
      <c r="N1950">
        <v>88.9</v>
      </c>
      <c r="O1950">
        <v>264</v>
      </c>
      <c r="P1950">
        <v>1.5000000000000002</v>
      </c>
      <c r="Q1950">
        <v>3.5000000000000004</v>
      </c>
      <c r="R1950">
        <v>968.63099999999997</v>
      </c>
      <c r="S1950">
        <v>2.2712470704000003E-2</v>
      </c>
      <c r="T1950" s="4" t="s">
        <v>4044</v>
      </c>
    </row>
    <row r="1951" spans="1:20" x14ac:dyDescent="0.2">
      <c r="A1951" s="4" t="s">
        <v>3940</v>
      </c>
      <c r="B1951" s="4" t="s">
        <v>4041</v>
      </c>
      <c r="C1951" s="4" t="s">
        <v>2286</v>
      </c>
      <c r="D1951" s="4" t="s">
        <v>2236</v>
      </c>
      <c r="E1951" s="4" t="s">
        <v>4057</v>
      </c>
      <c r="F1951" s="4" t="s">
        <v>4043</v>
      </c>
      <c r="G1951" s="4" t="s">
        <v>3943</v>
      </c>
      <c r="H1951" s="4" t="s">
        <v>2183</v>
      </c>
      <c r="I1951" s="4" t="s">
        <v>2100</v>
      </c>
      <c r="J1951" s="4" t="s">
        <v>2549</v>
      </c>
      <c r="K1951">
        <v>3</v>
      </c>
      <c r="L1951">
        <v>0.91439999999999999</v>
      </c>
      <c r="M1951">
        <v>38.1</v>
      </c>
      <c r="N1951">
        <v>88.9</v>
      </c>
      <c r="O1951">
        <v>36</v>
      </c>
      <c r="P1951">
        <v>1.5000000000000002</v>
      </c>
      <c r="Q1951">
        <v>3.5000000000000004</v>
      </c>
      <c r="R1951">
        <v>968.63099999999997</v>
      </c>
      <c r="S1951">
        <v>3.0971550959999999E-3</v>
      </c>
      <c r="T1951" s="4" t="s">
        <v>4058</v>
      </c>
    </row>
    <row r="1952" spans="1:20" x14ac:dyDescent="0.2">
      <c r="A1952" s="4" t="s">
        <v>3940</v>
      </c>
      <c r="B1952" s="4" t="s">
        <v>4041</v>
      </c>
      <c r="C1952" s="4" t="s">
        <v>2286</v>
      </c>
      <c r="D1952" s="4" t="s">
        <v>2236</v>
      </c>
      <c r="E1952" s="4" t="s">
        <v>4059</v>
      </c>
      <c r="F1952" s="4" t="s">
        <v>4043</v>
      </c>
      <c r="G1952" s="4" t="s">
        <v>3943</v>
      </c>
      <c r="H1952" s="4" t="s">
        <v>2183</v>
      </c>
      <c r="I1952" s="4" t="s">
        <v>2100</v>
      </c>
      <c r="J1952" s="4" t="s">
        <v>2549</v>
      </c>
      <c r="K1952">
        <v>4</v>
      </c>
      <c r="L1952">
        <v>1.2192000000000001</v>
      </c>
      <c r="M1952">
        <v>38.1</v>
      </c>
      <c r="N1952">
        <v>88.9</v>
      </c>
      <c r="O1952">
        <v>48.000000000000007</v>
      </c>
      <c r="P1952">
        <v>1.5000000000000002</v>
      </c>
      <c r="Q1952">
        <v>3.5000000000000004</v>
      </c>
      <c r="R1952">
        <v>968.63099999999997</v>
      </c>
      <c r="S1952">
        <v>4.1295401280000005E-3</v>
      </c>
      <c r="T1952" s="4" t="s">
        <v>4058</v>
      </c>
    </row>
    <row r="1953" spans="1:20" x14ac:dyDescent="0.2">
      <c r="A1953" s="4" t="s">
        <v>3940</v>
      </c>
      <c r="B1953" s="4" t="s">
        <v>4041</v>
      </c>
      <c r="C1953" s="4" t="s">
        <v>2286</v>
      </c>
      <c r="D1953" s="4" t="s">
        <v>2236</v>
      </c>
      <c r="E1953" s="4" t="s">
        <v>4060</v>
      </c>
      <c r="F1953" s="4" t="s">
        <v>4043</v>
      </c>
      <c r="G1953" s="4" t="s">
        <v>3943</v>
      </c>
      <c r="H1953" s="4" t="s">
        <v>2183</v>
      </c>
      <c r="I1953" s="4" t="s">
        <v>2100</v>
      </c>
      <c r="J1953" s="4" t="s">
        <v>2549</v>
      </c>
      <c r="K1953">
        <v>5</v>
      </c>
      <c r="L1953">
        <v>1.524</v>
      </c>
      <c r="M1953">
        <v>38.1</v>
      </c>
      <c r="N1953">
        <v>88.9</v>
      </c>
      <c r="O1953">
        <v>60</v>
      </c>
      <c r="P1953">
        <v>1.5000000000000002</v>
      </c>
      <c r="Q1953">
        <v>3.5000000000000004</v>
      </c>
      <c r="R1953">
        <v>968.63099999999997</v>
      </c>
      <c r="S1953">
        <v>5.1619251600000006E-3</v>
      </c>
      <c r="T1953" s="4" t="s">
        <v>4058</v>
      </c>
    </row>
    <row r="1954" spans="1:20" x14ac:dyDescent="0.2">
      <c r="A1954" s="4" t="s">
        <v>3940</v>
      </c>
      <c r="B1954" s="4" t="s">
        <v>4041</v>
      </c>
      <c r="C1954" s="4" t="s">
        <v>2286</v>
      </c>
      <c r="D1954" s="4" t="s">
        <v>2236</v>
      </c>
      <c r="E1954" s="4" t="s">
        <v>4061</v>
      </c>
      <c r="F1954" s="4" t="s">
        <v>4043</v>
      </c>
      <c r="G1954" s="4" t="s">
        <v>3943</v>
      </c>
      <c r="H1954" s="4" t="s">
        <v>2183</v>
      </c>
      <c r="I1954" s="4" t="s">
        <v>2100</v>
      </c>
      <c r="J1954" s="4" t="s">
        <v>2549</v>
      </c>
      <c r="K1954">
        <v>6</v>
      </c>
      <c r="L1954">
        <v>1.8288</v>
      </c>
      <c r="M1954">
        <v>38.1</v>
      </c>
      <c r="N1954">
        <v>88.9</v>
      </c>
      <c r="O1954">
        <v>72</v>
      </c>
      <c r="P1954">
        <v>1.5000000000000002</v>
      </c>
      <c r="Q1954">
        <v>3.5000000000000004</v>
      </c>
      <c r="R1954">
        <v>968.63099999999997</v>
      </c>
      <c r="S1954">
        <v>6.1943101919999998E-3</v>
      </c>
      <c r="T1954" s="4" t="s">
        <v>4058</v>
      </c>
    </row>
    <row r="1955" spans="1:20" x14ac:dyDescent="0.2">
      <c r="A1955" s="4" t="s">
        <v>3940</v>
      </c>
      <c r="B1955" s="4" t="s">
        <v>4041</v>
      </c>
      <c r="C1955" s="4" t="s">
        <v>2286</v>
      </c>
      <c r="D1955" s="4" t="s">
        <v>2236</v>
      </c>
      <c r="E1955" s="4" t="s">
        <v>4062</v>
      </c>
      <c r="F1955" s="4" t="s">
        <v>4043</v>
      </c>
      <c r="G1955" s="4" t="s">
        <v>3943</v>
      </c>
      <c r="H1955" s="4" t="s">
        <v>2183</v>
      </c>
      <c r="I1955" s="4" t="s">
        <v>2100</v>
      </c>
      <c r="J1955" s="4" t="s">
        <v>2549</v>
      </c>
      <c r="K1955">
        <v>7</v>
      </c>
      <c r="L1955">
        <v>2.1335999999999999</v>
      </c>
      <c r="M1955">
        <v>38.1</v>
      </c>
      <c r="N1955">
        <v>88.9</v>
      </c>
      <c r="O1955">
        <v>84</v>
      </c>
      <c r="P1955">
        <v>1.5000000000000002</v>
      </c>
      <c r="Q1955">
        <v>3.5000000000000004</v>
      </c>
      <c r="R1955">
        <v>968.63099999999997</v>
      </c>
      <c r="S1955">
        <v>7.226695224E-3</v>
      </c>
      <c r="T1955" s="4" t="s">
        <v>4058</v>
      </c>
    </row>
    <row r="1956" spans="1:20" x14ac:dyDescent="0.2">
      <c r="A1956" s="4" t="s">
        <v>3940</v>
      </c>
      <c r="B1956" s="4" t="s">
        <v>4041</v>
      </c>
      <c r="C1956" s="4" t="s">
        <v>2096</v>
      </c>
      <c r="D1956" s="4" t="s">
        <v>2236</v>
      </c>
      <c r="E1956" s="4" t="s">
        <v>4063</v>
      </c>
      <c r="F1956" s="4" t="s">
        <v>4043</v>
      </c>
      <c r="G1956" s="4" t="s">
        <v>3943</v>
      </c>
      <c r="H1956" s="4" t="s">
        <v>2183</v>
      </c>
      <c r="I1956" s="4" t="s">
        <v>2100</v>
      </c>
      <c r="J1956" s="4" t="s">
        <v>2549</v>
      </c>
      <c r="K1956">
        <v>8</v>
      </c>
      <c r="L1956">
        <v>2.4384000000000001</v>
      </c>
      <c r="M1956">
        <v>38.1</v>
      </c>
      <c r="N1956">
        <v>88.9</v>
      </c>
      <c r="O1956">
        <v>96.000000000000014</v>
      </c>
      <c r="P1956">
        <v>1.5000000000000002</v>
      </c>
      <c r="Q1956">
        <v>3.5000000000000004</v>
      </c>
      <c r="R1956">
        <v>968.63099999999997</v>
      </c>
      <c r="S1956">
        <v>8.259080256000001E-3</v>
      </c>
      <c r="T1956" s="4" t="s">
        <v>4044</v>
      </c>
    </row>
    <row r="1957" spans="1:20" x14ac:dyDescent="0.2">
      <c r="A1957" s="4" t="s">
        <v>3940</v>
      </c>
      <c r="B1957" s="4" t="s">
        <v>4041</v>
      </c>
      <c r="C1957" s="4" t="s">
        <v>2096</v>
      </c>
      <c r="D1957" s="4" t="s">
        <v>2236</v>
      </c>
      <c r="E1957" s="4" t="s">
        <v>4064</v>
      </c>
      <c r="F1957" s="4" t="s">
        <v>4043</v>
      </c>
      <c r="G1957" s="4" t="s">
        <v>3943</v>
      </c>
      <c r="H1957" s="4" t="s">
        <v>2183</v>
      </c>
      <c r="I1957" s="4" t="s">
        <v>2100</v>
      </c>
      <c r="J1957" s="4" t="s">
        <v>2549</v>
      </c>
      <c r="K1957">
        <v>9</v>
      </c>
      <c r="L1957">
        <v>2.7431999999999999</v>
      </c>
      <c r="M1957">
        <v>38.1</v>
      </c>
      <c r="N1957">
        <v>88.9</v>
      </c>
      <c r="O1957">
        <v>108</v>
      </c>
      <c r="P1957">
        <v>1.5000000000000002</v>
      </c>
      <c r="Q1957">
        <v>3.5000000000000004</v>
      </c>
      <c r="R1957">
        <v>968.63099999999997</v>
      </c>
      <c r="S1957">
        <v>9.2914652880000011E-3</v>
      </c>
      <c r="T1957" s="4" t="s">
        <v>4044</v>
      </c>
    </row>
    <row r="1958" spans="1:20" x14ac:dyDescent="0.2">
      <c r="A1958" s="4" t="s">
        <v>3940</v>
      </c>
      <c r="B1958" s="4" t="s">
        <v>4065</v>
      </c>
      <c r="C1958" s="4" t="s">
        <v>2096</v>
      </c>
      <c r="D1958" s="4" t="s">
        <v>2236</v>
      </c>
      <c r="E1958" s="4" t="s">
        <v>119</v>
      </c>
      <c r="F1958" s="4" t="s">
        <v>4066</v>
      </c>
      <c r="G1958" s="4" t="s">
        <v>3943</v>
      </c>
      <c r="H1958" s="4" t="s">
        <v>2183</v>
      </c>
      <c r="I1958" s="4" t="s">
        <v>2100</v>
      </c>
      <c r="J1958" s="4" t="s">
        <v>2570</v>
      </c>
      <c r="K1958">
        <v>10</v>
      </c>
      <c r="L1958">
        <v>3.048</v>
      </c>
      <c r="M1958">
        <v>38.1</v>
      </c>
      <c r="N1958">
        <v>139.69999999999999</v>
      </c>
      <c r="O1958">
        <v>120</v>
      </c>
      <c r="P1958">
        <v>1.5000000000000002</v>
      </c>
      <c r="Q1958">
        <v>5.5</v>
      </c>
      <c r="R1958">
        <v>616.40099999999995</v>
      </c>
      <c r="S1958">
        <v>1.6223193359999999E-2</v>
      </c>
      <c r="T1958" s="4" t="s">
        <v>4067</v>
      </c>
    </row>
    <row r="1959" spans="1:20" x14ac:dyDescent="0.2">
      <c r="A1959" s="4" t="s">
        <v>3940</v>
      </c>
      <c r="B1959" s="4" t="s">
        <v>4065</v>
      </c>
      <c r="C1959" s="4" t="s">
        <v>2096</v>
      </c>
      <c r="D1959" s="4" t="s">
        <v>2236</v>
      </c>
      <c r="E1959" s="4" t="s">
        <v>4068</v>
      </c>
      <c r="F1959" s="4" t="s">
        <v>4066</v>
      </c>
      <c r="G1959" s="4" t="s">
        <v>3943</v>
      </c>
      <c r="H1959" s="4" t="s">
        <v>2183</v>
      </c>
      <c r="I1959" s="4" t="s">
        <v>2100</v>
      </c>
      <c r="J1959" s="4" t="s">
        <v>2570</v>
      </c>
      <c r="K1959">
        <v>11</v>
      </c>
      <c r="L1959">
        <v>3.3527999999999998</v>
      </c>
      <c r="M1959">
        <v>38.1</v>
      </c>
      <c r="N1959">
        <v>139.69999999999999</v>
      </c>
      <c r="O1959">
        <v>132</v>
      </c>
      <c r="P1959">
        <v>1.5000000000000002</v>
      </c>
      <c r="Q1959">
        <v>5.5</v>
      </c>
      <c r="R1959">
        <v>616.40099999999995</v>
      </c>
      <c r="S1959">
        <v>1.7845512695999998E-2</v>
      </c>
      <c r="T1959" s="4" t="s">
        <v>4067</v>
      </c>
    </row>
    <row r="1960" spans="1:20" x14ac:dyDescent="0.2">
      <c r="A1960" s="4" t="s">
        <v>3940</v>
      </c>
      <c r="B1960" s="4" t="s">
        <v>4065</v>
      </c>
      <c r="C1960" s="4" t="s">
        <v>2096</v>
      </c>
      <c r="D1960" s="4" t="s">
        <v>2236</v>
      </c>
      <c r="E1960" s="4" t="s">
        <v>4069</v>
      </c>
      <c r="F1960" s="4" t="s">
        <v>4066</v>
      </c>
      <c r="G1960" s="4" t="s">
        <v>3943</v>
      </c>
      <c r="H1960" s="4" t="s">
        <v>2183</v>
      </c>
      <c r="I1960" s="4" t="s">
        <v>2100</v>
      </c>
      <c r="J1960" s="4" t="s">
        <v>2570</v>
      </c>
      <c r="K1960">
        <v>12</v>
      </c>
      <c r="L1960">
        <v>3.6576</v>
      </c>
      <c r="M1960">
        <v>38.1</v>
      </c>
      <c r="N1960">
        <v>139.69999999999999</v>
      </c>
      <c r="O1960">
        <v>144</v>
      </c>
      <c r="P1960">
        <v>1.5000000000000002</v>
      </c>
      <c r="Q1960">
        <v>5.5</v>
      </c>
      <c r="R1960">
        <v>616.40099999999995</v>
      </c>
      <c r="S1960">
        <v>1.9467832031999997E-2</v>
      </c>
      <c r="T1960" s="4" t="s">
        <v>4067</v>
      </c>
    </row>
    <row r="1961" spans="1:20" x14ac:dyDescent="0.2">
      <c r="A1961" s="4" t="s">
        <v>3940</v>
      </c>
      <c r="B1961" s="4" t="s">
        <v>4065</v>
      </c>
      <c r="C1961" s="4" t="s">
        <v>2096</v>
      </c>
      <c r="D1961" s="4" t="s">
        <v>2236</v>
      </c>
      <c r="E1961" s="4" t="s">
        <v>4070</v>
      </c>
      <c r="F1961" s="4" t="s">
        <v>4066</v>
      </c>
      <c r="G1961" s="4" t="s">
        <v>3943</v>
      </c>
      <c r="H1961" s="4" t="s">
        <v>2183</v>
      </c>
      <c r="I1961" s="4" t="s">
        <v>2100</v>
      </c>
      <c r="J1961" s="4" t="s">
        <v>2570</v>
      </c>
      <c r="K1961">
        <v>13</v>
      </c>
      <c r="L1961">
        <v>3.9624000000000001</v>
      </c>
      <c r="M1961">
        <v>38.1</v>
      </c>
      <c r="N1961">
        <v>139.69999999999999</v>
      </c>
      <c r="O1961">
        <v>156</v>
      </c>
      <c r="P1961">
        <v>1.5000000000000002</v>
      </c>
      <c r="Q1961">
        <v>5.5</v>
      </c>
      <c r="R1961">
        <v>616.40099999999995</v>
      </c>
      <c r="S1961">
        <v>2.1090151368E-2</v>
      </c>
      <c r="T1961" s="4" t="s">
        <v>4067</v>
      </c>
    </row>
    <row r="1962" spans="1:20" x14ac:dyDescent="0.2">
      <c r="A1962" s="4" t="s">
        <v>3940</v>
      </c>
      <c r="B1962" s="4" t="s">
        <v>4065</v>
      </c>
      <c r="C1962" s="4" t="s">
        <v>2096</v>
      </c>
      <c r="D1962" s="4" t="s">
        <v>2236</v>
      </c>
      <c r="E1962" s="4" t="s">
        <v>4071</v>
      </c>
      <c r="F1962" s="4" t="s">
        <v>4066</v>
      </c>
      <c r="G1962" s="4" t="s">
        <v>3943</v>
      </c>
      <c r="H1962" s="4" t="s">
        <v>2183</v>
      </c>
      <c r="I1962" s="4" t="s">
        <v>2100</v>
      </c>
      <c r="J1962" s="4" t="s">
        <v>2570</v>
      </c>
      <c r="K1962">
        <v>14</v>
      </c>
      <c r="L1962">
        <v>4.2671999999999999</v>
      </c>
      <c r="M1962">
        <v>38.1</v>
      </c>
      <c r="N1962">
        <v>139.69999999999999</v>
      </c>
      <c r="O1962">
        <v>168</v>
      </c>
      <c r="P1962">
        <v>1.5000000000000002</v>
      </c>
      <c r="Q1962">
        <v>5.5</v>
      </c>
      <c r="R1962">
        <v>616.40099999999995</v>
      </c>
      <c r="S1962">
        <v>2.2712470703999999E-2</v>
      </c>
      <c r="T1962" s="4" t="s">
        <v>4067</v>
      </c>
    </row>
    <row r="1963" spans="1:20" x14ac:dyDescent="0.2">
      <c r="A1963" s="4" t="s">
        <v>3940</v>
      </c>
      <c r="B1963" s="4" t="s">
        <v>4065</v>
      </c>
      <c r="C1963" s="4" t="s">
        <v>2096</v>
      </c>
      <c r="D1963" s="4" t="s">
        <v>2236</v>
      </c>
      <c r="E1963" s="4" t="s">
        <v>4072</v>
      </c>
      <c r="F1963" s="4" t="s">
        <v>4066</v>
      </c>
      <c r="G1963" s="4" t="s">
        <v>3943</v>
      </c>
      <c r="H1963" s="4" t="s">
        <v>2183</v>
      </c>
      <c r="I1963" s="4" t="s">
        <v>2100</v>
      </c>
      <c r="J1963" s="4" t="s">
        <v>2570</v>
      </c>
      <c r="K1963">
        <v>15</v>
      </c>
      <c r="L1963">
        <v>4.5720000000000001</v>
      </c>
      <c r="M1963">
        <v>38.1</v>
      </c>
      <c r="N1963">
        <v>139.69999999999999</v>
      </c>
      <c r="O1963">
        <v>180</v>
      </c>
      <c r="P1963">
        <v>1.5000000000000002</v>
      </c>
      <c r="Q1963">
        <v>5.5</v>
      </c>
      <c r="R1963">
        <v>616.40099999999995</v>
      </c>
      <c r="S1963">
        <v>2.4334790040000002E-2</v>
      </c>
      <c r="T1963" s="4" t="s">
        <v>4067</v>
      </c>
    </row>
    <row r="1964" spans="1:20" x14ac:dyDescent="0.2">
      <c r="A1964" s="4" t="s">
        <v>3940</v>
      </c>
      <c r="B1964" s="4" t="s">
        <v>4065</v>
      </c>
      <c r="C1964" s="4" t="s">
        <v>2096</v>
      </c>
      <c r="D1964" s="4" t="s">
        <v>2236</v>
      </c>
      <c r="E1964" s="4" t="s">
        <v>4073</v>
      </c>
      <c r="F1964" s="4" t="s">
        <v>4066</v>
      </c>
      <c r="G1964" s="4" t="s">
        <v>3943</v>
      </c>
      <c r="H1964" s="4" t="s">
        <v>2183</v>
      </c>
      <c r="I1964" s="4" t="s">
        <v>2100</v>
      </c>
      <c r="J1964" s="4" t="s">
        <v>2570</v>
      </c>
      <c r="K1964">
        <v>16</v>
      </c>
      <c r="L1964">
        <v>4.8768000000000002</v>
      </c>
      <c r="M1964">
        <v>38.1</v>
      </c>
      <c r="N1964">
        <v>139.69999999999999</v>
      </c>
      <c r="O1964">
        <v>192.00000000000003</v>
      </c>
      <c r="P1964">
        <v>1.5000000000000002</v>
      </c>
      <c r="Q1964">
        <v>5.5</v>
      </c>
      <c r="R1964">
        <v>616.40099999999995</v>
      </c>
      <c r="S1964">
        <v>2.5957109375999998E-2</v>
      </c>
      <c r="T1964" s="4" t="s">
        <v>4067</v>
      </c>
    </row>
    <row r="1965" spans="1:20" x14ac:dyDescent="0.2">
      <c r="A1965" s="4" t="s">
        <v>3940</v>
      </c>
      <c r="B1965" s="4" t="s">
        <v>4065</v>
      </c>
      <c r="C1965" s="4" t="s">
        <v>2096</v>
      </c>
      <c r="D1965" s="4" t="s">
        <v>2236</v>
      </c>
      <c r="E1965" s="4" t="s">
        <v>4074</v>
      </c>
      <c r="F1965" s="4" t="s">
        <v>4066</v>
      </c>
      <c r="G1965" s="4" t="s">
        <v>3943</v>
      </c>
      <c r="H1965" s="4" t="s">
        <v>2183</v>
      </c>
      <c r="I1965" s="4" t="s">
        <v>2100</v>
      </c>
      <c r="J1965" s="4" t="s">
        <v>2570</v>
      </c>
      <c r="K1965">
        <v>17</v>
      </c>
      <c r="L1965">
        <v>5.1816000000000004</v>
      </c>
      <c r="M1965">
        <v>38.1</v>
      </c>
      <c r="N1965">
        <v>139.69999999999999</v>
      </c>
      <c r="O1965">
        <v>204.00000000000003</v>
      </c>
      <c r="P1965">
        <v>1.5000000000000002</v>
      </c>
      <c r="Q1965">
        <v>5.5</v>
      </c>
      <c r="R1965">
        <v>616.40099999999995</v>
      </c>
      <c r="S1965">
        <v>2.7579428712000004E-2</v>
      </c>
      <c r="T1965" s="4" t="s">
        <v>4067</v>
      </c>
    </row>
    <row r="1966" spans="1:20" x14ac:dyDescent="0.2">
      <c r="A1966" s="4" t="s">
        <v>3940</v>
      </c>
      <c r="B1966" s="4" t="s">
        <v>4065</v>
      </c>
      <c r="C1966" s="4" t="s">
        <v>2096</v>
      </c>
      <c r="D1966" s="4" t="s">
        <v>2236</v>
      </c>
      <c r="E1966" s="4" t="s">
        <v>4075</v>
      </c>
      <c r="F1966" s="4" t="s">
        <v>4066</v>
      </c>
      <c r="G1966" s="4" t="s">
        <v>3943</v>
      </c>
      <c r="H1966" s="4" t="s">
        <v>2183</v>
      </c>
      <c r="I1966" s="4" t="s">
        <v>2100</v>
      </c>
      <c r="J1966" s="4" t="s">
        <v>2570</v>
      </c>
      <c r="K1966">
        <v>18</v>
      </c>
      <c r="L1966">
        <v>5.4863999999999997</v>
      </c>
      <c r="M1966">
        <v>38.1</v>
      </c>
      <c r="N1966">
        <v>139.69999999999999</v>
      </c>
      <c r="O1966">
        <v>216</v>
      </c>
      <c r="P1966">
        <v>1.5000000000000002</v>
      </c>
      <c r="Q1966">
        <v>5.5</v>
      </c>
      <c r="R1966">
        <v>616.40099999999995</v>
      </c>
      <c r="S1966">
        <v>2.9201748047999999E-2</v>
      </c>
      <c r="T1966" s="4" t="s">
        <v>4067</v>
      </c>
    </row>
    <row r="1967" spans="1:20" x14ac:dyDescent="0.2">
      <c r="A1967" s="4" t="s">
        <v>3940</v>
      </c>
      <c r="B1967" s="4" t="s">
        <v>4065</v>
      </c>
      <c r="C1967" s="4" t="s">
        <v>2096</v>
      </c>
      <c r="D1967" s="4" t="s">
        <v>2236</v>
      </c>
      <c r="E1967" s="4" t="s">
        <v>4076</v>
      </c>
      <c r="F1967" s="4" t="s">
        <v>4066</v>
      </c>
      <c r="G1967" s="4" t="s">
        <v>3943</v>
      </c>
      <c r="H1967" s="4" t="s">
        <v>2183</v>
      </c>
      <c r="I1967" s="4" t="s">
        <v>2100</v>
      </c>
      <c r="J1967" s="4" t="s">
        <v>2570</v>
      </c>
      <c r="K1967">
        <v>19</v>
      </c>
      <c r="L1967">
        <v>5.7911999999999999</v>
      </c>
      <c r="M1967">
        <v>38.1</v>
      </c>
      <c r="N1967">
        <v>139.69999999999999</v>
      </c>
      <c r="O1967">
        <v>228</v>
      </c>
      <c r="P1967">
        <v>1.5000000000000002</v>
      </c>
      <c r="Q1967">
        <v>5.5</v>
      </c>
      <c r="R1967">
        <v>616.40099999999995</v>
      </c>
      <c r="S1967">
        <v>3.0824067383999999E-2</v>
      </c>
      <c r="T1967" s="4" t="s">
        <v>4067</v>
      </c>
    </row>
    <row r="1968" spans="1:20" x14ac:dyDescent="0.2">
      <c r="A1968" s="4" t="s">
        <v>3940</v>
      </c>
      <c r="B1968" s="4" t="s">
        <v>4065</v>
      </c>
      <c r="C1968" s="4" t="s">
        <v>2096</v>
      </c>
      <c r="D1968" s="4" t="s">
        <v>2236</v>
      </c>
      <c r="E1968" s="4" t="s">
        <v>4077</v>
      </c>
      <c r="F1968" s="4" t="s">
        <v>4066</v>
      </c>
      <c r="G1968" s="4" t="s">
        <v>3943</v>
      </c>
      <c r="H1968" s="4" t="s">
        <v>2183</v>
      </c>
      <c r="I1968" s="4" t="s">
        <v>2100</v>
      </c>
      <c r="J1968" s="4" t="s">
        <v>2570</v>
      </c>
      <c r="K1968">
        <v>20</v>
      </c>
      <c r="L1968">
        <v>6.0960000000000001</v>
      </c>
      <c r="M1968">
        <v>38.1</v>
      </c>
      <c r="N1968">
        <v>139.69999999999999</v>
      </c>
      <c r="O1968">
        <v>240</v>
      </c>
      <c r="P1968">
        <v>1.5000000000000002</v>
      </c>
      <c r="Q1968">
        <v>5.5</v>
      </c>
      <c r="R1968">
        <v>616.40099999999995</v>
      </c>
      <c r="S1968">
        <v>3.2446386719999998E-2</v>
      </c>
      <c r="T1968" s="4" t="s">
        <v>4067</v>
      </c>
    </row>
    <row r="1969" spans="1:20" x14ac:dyDescent="0.2">
      <c r="A1969" s="4" t="s">
        <v>3940</v>
      </c>
      <c r="B1969" s="4" t="s">
        <v>4065</v>
      </c>
      <c r="C1969" s="4" t="s">
        <v>2096</v>
      </c>
      <c r="D1969" s="4" t="s">
        <v>2236</v>
      </c>
      <c r="E1969" s="4" t="s">
        <v>4078</v>
      </c>
      <c r="F1969" s="4" t="s">
        <v>4066</v>
      </c>
      <c r="G1969" s="4" t="s">
        <v>3943</v>
      </c>
      <c r="H1969" s="4" t="s">
        <v>2183</v>
      </c>
      <c r="I1969" s="4" t="s">
        <v>2100</v>
      </c>
      <c r="J1969" s="4" t="s">
        <v>2570</v>
      </c>
      <c r="K1969">
        <v>21</v>
      </c>
      <c r="L1969">
        <v>6.4008000000000003</v>
      </c>
      <c r="M1969">
        <v>38.1</v>
      </c>
      <c r="N1969">
        <v>139.69999999999999</v>
      </c>
      <c r="O1969">
        <v>252.00000000000003</v>
      </c>
      <c r="P1969">
        <v>1.5000000000000002</v>
      </c>
      <c r="Q1969">
        <v>5.5</v>
      </c>
      <c r="R1969">
        <v>616.40099999999995</v>
      </c>
      <c r="S1969">
        <v>3.4068706056E-2</v>
      </c>
      <c r="T1969" s="4" t="s">
        <v>4067</v>
      </c>
    </row>
    <row r="1970" spans="1:20" x14ac:dyDescent="0.2">
      <c r="A1970" s="4" t="s">
        <v>3940</v>
      </c>
      <c r="B1970" s="4" t="s">
        <v>4065</v>
      </c>
      <c r="C1970" s="4" t="s">
        <v>2096</v>
      </c>
      <c r="D1970" s="4" t="s">
        <v>2236</v>
      </c>
      <c r="E1970" s="4" t="s">
        <v>4079</v>
      </c>
      <c r="F1970" s="4" t="s">
        <v>4066</v>
      </c>
      <c r="G1970" s="4" t="s">
        <v>3943</v>
      </c>
      <c r="H1970" s="4" t="s">
        <v>2183</v>
      </c>
      <c r="I1970" s="4" t="s">
        <v>2100</v>
      </c>
      <c r="J1970" s="4" t="s">
        <v>2570</v>
      </c>
      <c r="K1970">
        <v>22</v>
      </c>
      <c r="L1970">
        <v>6.7055999999999996</v>
      </c>
      <c r="M1970">
        <v>38.1</v>
      </c>
      <c r="N1970">
        <v>139.69999999999999</v>
      </c>
      <c r="O1970">
        <v>264</v>
      </c>
      <c r="P1970">
        <v>1.5000000000000002</v>
      </c>
      <c r="Q1970">
        <v>5.5</v>
      </c>
      <c r="R1970">
        <v>616.40099999999995</v>
      </c>
      <c r="S1970">
        <v>3.5691025391999996E-2</v>
      </c>
      <c r="T1970" s="4" t="s">
        <v>4067</v>
      </c>
    </row>
    <row r="1971" spans="1:20" x14ac:dyDescent="0.2">
      <c r="A1971" s="4" t="s">
        <v>3940</v>
      </c>
      <c r="B1971" s="4" t="s">
        <v>4065</v>
      </c>
      <c r="C1971" s="4" t="s">
        <v>2286</v>
      </c>
      <c r="D1971" s="4" t="s">
        <v>2236</v>
      </c>
      <c r="E1971" s="4" t="s">
        <v>4080</v>
      </c>
      <c r="F1971" s="4" t="s">
        <v>4066</v>
      </c>
      <c r="G1971" s="4" t="s">
        <v>3943</v>
      </c>
      <c r="H1971" s="4" t="s">
        <v>2183</v>
      </c>
      <c r="I1971" s="4" t="s">
        <v>2100</v>
      </c>
      <c r="J1971" s="4" t="s">
        <v>2570</v>
      </c>
      <c r="K1971">
        <v>3</v>
      </c>
      <c r="L1971">
        <v>0.91439999999999999</v>
      </c>
      <c r="M1971">
        <v>38.1</v>
      </c>
      <c r="N1971">
        <v>139.69999999999999</v>
      </c>
      <c r="O1971">
        <v>36</v>
      </c>
      <c r="P1971">
        <v>1.5000000000000002</v>
      </c>
      <c r="Q1971">
        <v>5.5</v>
      </c>
      <c r="R1971">
        <v>616.40099999999995</v>
      </c>
      <c r="S1971">
        <v>4.8669580079999993E-3</v>
      </c>
      <c r="T1971" s="4" t="s">
        <v>4081</v>
      </c>
    </row>
    <row r="1972" spans="1:20" x14ac:dyDescent="0.2">
      <c r="A1972" s="4" t="s">
        <v>3940</v>
      </c>
      <c r="B1972" s="4" t="s">
        <v>4065</v>
      </c>
      <c r="C1972" s="4" t="s">
        <v>2286</v>
      </c>
      <c r="D1972" s="4" t="s">
        <v>2236</v>
      </c>
      <c r="E1972" s="4" t="s">
        <v>4082</v>
      </c>
      <c r="F1972" s="4" t="s">
        <v>4066</v>
      </c>
      <c r="G1972" s="4" t="s">
        <v>3943</v>
      </c>
      <c r="H1972" s="4" t="s">
        <v>2183</v>
      </c>
      <c r="I1972" s="4" t="s">
        <v>2100</v>
      </c>
      <c r="J1972" s="4" t="s">
        <v>2570</v>
      </c>
      <c r="K1972">
        <v>4</v>
      </c>
      <c r="L1972">
        <v>1.2192000000000001</v>
      </c>
      <c r="M1972">
        <v>38.1</v>
      </c>
      <c r="N1972">
        <v>139.69999999999999</v>
      </c>
      <c r="O1972">
        <v>48.000000000000007</v>
      </c>
      <c r="P1972">
        <v>1.5000000000000002</v>
      </c>
      <c r="Q1972">
        <v>5.5</v>
      </c>
      <c r="R1972">
        <v>616.40099999999995</v>
      </c>
      <c r="S1972">
        <v>6.4892773439999994E-3</v>
      </c>
      <c r="T1972" s="4" t="s">
        <v>4081</v>
      </c>
    </row>
    <row r="1973" spans="1:20" x14ac:dyDescent="0.2">
      <c r="A1973" s="4" t="s">
        <v>3940</v>
      </c>
      <c r="B1973" s="4" t="s">
        <v>4065</v>
      </c>
      <c r="C1973" s="4" t="s">
        <v>2286</v>
      </c>
      <c r="D1973" s="4" t="s">
        <v>2236</v>
      </c>
      <c r="E1973" s="4" t="s">
        <v>4083</v>
      </c>
      <c r="F1973" s="4" t="s">
        <v>4066</v>
      </c>
      <c r="G1973" s="4" t="s">
        <v>3943</v>
      </c>
      <c r="H1973" s="4" t="s">
        <v>2183</v>
      </c>
      <c r="I1973" s="4" t="s">
        <v>2100</v>
      </c>
      <c r="J1973" s="4" t="s">
        <v>2570</v>
      </c>
      <c r="K1973">
        <v>5</v>
      </c>
      <c r="L1973">
        <v>1.524</v>
      </c>
      <c r="M1973">
        <v>38.1</v>
      </c>
      <c r="N1973">
        <v>139.69999999999999</v>
      </c>
      <c r="O1973">
        <v>60</v>
      </c>
      <c r="P1973">
        <v>1.5000000000000002</v>
      </c>
      <c r="Q1973">
        <v>5.5</v>
      </c>
      <c r="R1973">
        <v>616.40099999999995</v>
      </c>
      <c r="S1973">
        <v>8.1115966799999994E-3</v>
      </c>
      <c r="T1973" s="4" t="s">
        <v>4081</v>
      </c>
    </row>
    <row r="1974" spans="1:20" x14ac:dyDescent="0.2">
      <c r="A1974" s="4" t="s">
        <v>3940</v>
      </c>
      <c r="B1974" s="4" t="s">
        <v>4065</v>
      </c>
      <c r="C1974" s="4" t="s">
        <v>2286</v>
      </c>
      <c r="D1974" s="4" t="s">
        <v>2236</v>
      </c>
      <c r="E1974" s="4" t="s">
        <v>4084</v>
      </c>
      <c r="F1974" s="4" t="s">
        <v>4066</v>
      </c>
      <c r="G1974" s="4" t="s">
        <v>3943</v>
      </c>
      <c r="H1974" s="4" t="s">
        <v>2183</v>
      </c>
      <c r="I1974" s="4" t="s">
        <v>2100</v>
      </c>
      <c r="J1974" s="4" t="s">
        <v>2570</v>
      </c>
      <c r="K1974">
        <v>6</v>
      </c>
      <c r="L1974">
        <v>1.8288</v>
      </c>
      <c r="M1974">
        <v>38.1</v>
      </c>
      <c r="N1974">
        <v>139.69999999999999</v>
      </c>
      <c r="O1974">
        <v>72</v>
      </c>
      <c r="P1974">
        <v>1.5000000000000002</v>
      </c>
      <c r="Q1974">
        <v>5.5</v>
      </c>
      <c r="R1974">
        <v>616.40099999999995</v>
      </c>
      <c r="S1974">
        <v>9.7339160159999986E-3</v>
      </c>
      <c r="T1974" s="4" t="s">
        <v>4081</v>
      </c>
    </row>
    <row r="1975" spans="1:20" x14ac:dyDescent="0.2">
      <c r="A1975" s="4" t="s">
        <v>3940</v>
      </c>
      <c r="B1975" s="4" t="s">
        <v>4065</v>
      </c>
      <c r="C1975" s="4" t="s">
        <v>2286</v>
      </c>
      <c r="D1975" s="4" t="s">
        <v>2236</v>
      </c>
      <c r="E1975" s="4" t="s">
        <v>4085</v>
      </c>
      <c r="F1975" s="4" t="s">
        <v>4066</v>
      </c>
      <c r="G1975" s="4" t="s">
        <v>3943</v>
      </c>
      <c r="H1975" s="4" t="s">
        <v>2183</v>
      </c>
      <c r="I1975" s="4" t="s">
        <v>2100</v>
      </c>
      <c r="J1975" s="4" t="s">
        <v>2570</v>
      </c>
      <c r="K1975">
        <v>7</v>
      </c>
      <c r="L1975">
        <v>2.1335999999999999</v>
      </c>
      <c r="M1975">
        <v>38.1</v>
      </c>
      <c r="N1975">
        <v>139.69999999999999</v>
      </c>
      <c r="O1975">
        <v>84</v>
      </c>
      <c r="P1975">
        <v>1.5000000000000002</v>
      </c>
      <c r="Q1975">
        <v>5.5</v>
      </c>
      <c r="R1975">
        <v>616.40099999999995</v>
      </c>
      <c r="S1975">
        <v>1.1356235352E-2</v>
      </c>
      <c r="T1975" s="4" t="s">
        <v>4081</v>
      </c>
    </row>
    <row r="1976" spans="1:20" x14ac:dyDescent="0.2">
      <c r="A1976" s="4" t="s">
        <v>3940</v>
      </c>
      <c r="B1976" s="4" t="s">
        <v>4065</v>
      </c>
      <c r="C1976" s="4" t="s">
        <v>2096</v>
      </c>
      <c r="D1976" s="4" t="s">
        <v>2236</v>
      </c>
      <c r="E1976" s="4" t="s">
        <v>4086</v>
      </c>
      <c r="F1976" s="4" t="s">
        <v>4066</v>
      </c>
      <c r="G1976" s="4" t="s">
        <v>3943</v>
      </c>
      <c r="H1976" s="4" t="s">
        <v>2183</v>
      </c>
      <c r="I1976" s="4" t="s">
        <v>2100</v>
      </c>
      <c r="J1976" s="4" t="s">
        <v>2570</v>
      </c>
      <c r="K1976">
        <v>8</v>
      </c>
      <c r="L1976">
        <v>2.4384000000000001</v>
      </c>
      <c r="M1976">
        <v>38.1</v>
      </c>
      <c r="N1976">
        <v>139.69999999999999</v>
      </c>
      <c r="O1976">
        <v>96.000000000000014</v>
      </c>
      <c r="P1976">
        <v>1.5000000000000002</v>
      </c>
      <c r="Q1976">
        <v>5.5</v>
      </c>
      <c r="R1976">
        <v>616.40099999999995</v>
      </c>
      <c r="S1976">
        <v>1.2978554687999999E-2</v>
      </c>
      <c r="T1976" s="4" t="s">
        <v>4067</v>
      </c>
    </row>
    <row r="1977" spans="1:20" x14ac:dyDescent="0.2">
      <c r="A1977" s="4" t="s">
        <v>3940</v>
      </c>
      <c r="B1977" s="4" t="s">
        <v>4065</v>
      </c>
      <c r="C1977" s="4" t="s">
        <v>2096</v>
      </c>
      <c r="D1977" s="4" t="s">
        <v>2236</v>
      </c>
      <c r="E1977" s="4" t="s">
        <v>4087</v>
      </c>
      <c r="F1977" s="4" t="s">
        <v>4066</v>
      </c>
      <c r="G1977" s="4" t="s">
        <v>3943</v>
      </c>
      <c r="H1977" s="4" t="s">
        <v>2183</v>
      </c>
      <c r="I1977" s="4" t="s">
        <v>2100</v>
      </c>
      <c r="J1977" s="4" t="s">
        <v>2570</v>
      </c>
      <c r="K1977">
        <v>9</v>
      </c>
      <c r="L1977">
        <v>2.7431999999999999</v>
      </c>
      <c r="M1977">
        <v>38.1</v>
      </c>
      <c r="N1977">
        <v>139.69999999999999</v>
      </c>
      <c r="O1977">
        <v>108</v>
      </c>
      <c r="P1977">
        <v>1.5000000000000002</v>
      </c>
      <c r="Q1977">
        <v>5.5</v>
      </c>
      <c r="R1977">
        <v>616.40099999999995</v>
      </c>
      <c r="S1977">
        <v>1.4600874024E-2</v>
      </c>
      <c r="T1977" s="4" t="s">
        <v>4067</v>
      </c>
    </row>
    <row r="1978" spans="1:20" x14ac:dyDescent="0.2">
      <c r="A1978" s="4" t="s">
        <v>3940</v>
      </c>
      <c r="B1978" s="4" t="s">
        <v>4088</v>
      </c>
      <c r="C1978" s="4" t="s">
        <v>2096</v>
      </c>
      <c r="D1978" s="4" t="s">
        <v>2236</v>
      </c>
      <c r="E1978" s="4" t="s">
        <v>4089</v>
      </c>
      <c r="F1978" s="4" t="s">
        <v>4090</v>
      </c>
      <c r="G1978" s="4" t="s">
        <v>3943</v>
      </c>
      <c r="H1978" s="4" t="s">
        <v>2183</v>
      </c>
      <c r="I1978" s="4" t="s">
        <v>2100</v>
      </c>
      <c r="J1978" s="4" t="s">
        <v>2783</v>
      </c>
      <c r="K1978">
        <v>10</v>
      </c>
      <c r="L1978">
        <v>3.048</v>
      </c>
      <c r="M1978">
        <v>88.9</v>
      </c>
      <c r="N1978">
        <v>88.9</v>
      </c>
      <c r="O1978">
        <v>120</v>
      </c>
      <c r="P1978">
        <v>3.5000000000000004</v>
      </c>
      <c r="Q1978">
        <v>3.5000000000000004</v>
      </c>
      <c r="R1978">
        <v>415.12799999999999</v>
      </c>
      <c r="S1978">
        <v>2.4088984080000007E-2</v>
      </c>
      <c r="T1978" s="4" t="s">
        <v>4091</v>
      </c>
    </row>
    <row r="1979" spans="1:20" x14ac:dyDescent="0.2">
      <c r="A1979" s="4" t="s">
        <v>3940</v>
      </c>
      <c r="B1979" s="4" t="s">
        <v>4088</v>
      </c>
      <c r="C1979" s="4" t="s">
        <v>2096</v>
      </c>
      <c r="D1979" s="4" t="s">
        <v>2236</v>
      </c>
      <c r="E1979" s="4" t="s">
        <v>121</v>
      </c>
      <c r="F1979" s="4" t="s">
        <v>4090</v>
      </c>
      <c r="G1979" s="4" t="s">
        <v>3943</v>
      </c>
      <c r="H1979" s="4" t="s">
        <v>2183</v>
      </c>
      <c r="I1979" s="4" t="s">
        <v>2100</v>
      </c>
      <c r="J1979" s="4" t="s">
        <v>2783</v>
      </c>
      <c r="K1979">
        <v>12</v>
      </c>
      <c r="L1979">
        <v>3.6576</v>
      </c>
      <c r="M1979">
        <v>88.9</v>
      </c>
      <c r="N1979">
        <v>88.9</v>
      </c>
      <c r="O1979">
        <v>144</v>
      </c>
      <c r="P1979">
        <v>3.5000000000000004</v>
      </c>
      <c r="Q1979">
        <v>3.5000000000000004</v>
      </c>
      <c r="R1979">
        <v>415.12799999999999</v>
      </c>
      <c r="S1979">
        <v>2.8906780896E-2</v>
      </c>
      <c r="T1979" s="4" t="s">
        <v>4091</v>
      </c>
    </row>
    <row r="1980" spans="1:20" x14ac:dyDescent="0.2">
      <c r="A1980" s="4" t="s">
        <v>3940</v>
      </c>
      <c r="B1980" s="4" t="s">
        <v>4088</v>
      </c>
      <c r="C1980" s="4" t="s">
        <v>2096</v>
      </c>
      <c r="D1980" s="4" t="s">
        <v>2236</v>
      </c>
      <c r="E1980" s="4" t="s">
        <v>123</v>
      </c>
      <c r="F1980" s="4" t="s">
        <v>4090</v>
      </c>
      <c r="G1980" s="4" t="s">
        <v>3943</v>
      </c>
      <c r="H1980" s="4" t="s">
        <v>2183</v>
      </c>
      <c r="I1980" s="4" t="s">
        <v>2100</v>
      </c>
      <c r="J1980" s="4" t="s">
        <v>2783</v>
      </c>
      <c r="K1980">
        <v>14</v>
      </c>
      <c r="L1980">
        <v>4.2671999999999999</v>
      </c>
      <c r="M1980">
        <v>88.9</v>
      </c>
      <c r="N1980">
        <v>88.9</v>
      </c>
      <c r="O1980">
        <v>168</v>
      </c>
      <c r="P1980">
        <v>3.5000000000000004</v>
      </c>
      <c r="Q1980">
        <v>3.5000000000000004</v>
      </c>
      <c r="R1980">
        <v>415.12799999999999</v>
      </c>
      <c r="S1980">
        <v>3.3724577712000006E-2</v>
      </c>
      <c r="T1980" s="4" t="s">
        <v>4091</v>
      </c>
    </row>
    <row r="1981" spans="1:20" x14ac:dyDescent="0.2">
      <c r="A1981" s="4" t="s">
        <v>3940</v>
      </c>
      <c r="B1981" s="4" t="s">
        <v>4088</v>
      </c>
      <c r="C1981" s="4" t="s">
        <v>2096</v>
      </c>
      <c r="D1981" s="4" t="s">
        <v>2236</v>
      </c>
      <c r="E1981" s="4" t="s">
        <v>128</v>
      </c>
      <c r="F1981" s="4" t="s">
        <v>4090</v>
      </c>
      <c r="G1981" s="4" t="s">
        <v>3943</v>
      </c>
      <c r="H1981" s="4" t="s">
        <v>2183</v>
      </c>
      <c r="I1981" s="4" t="s">
        <v>2100</v>
      </c>
      <c r="J1981" s="4" t="s">
        <v>2783</v>
      </c>
      <c r="K1981">
        <v>16</v>
      </c>
      <c r="L1981">
        <v>4.8768000000000002</v>
      </c>
      <c r="M1981">
        <v>88.9</v>
      </c>
      <c r="N1981">
        <v>88.9</v>
      </c>
      <c r="O1981">
        <v>192.00000000000003</v>
      </c>
      <c r="P1981">
        <v>3.5000000000000004</v>
      </c>
      <c r="Q1981">
        <v>3.5000000000000004</v>
      </c>
      <c r="R1981">
        <v>415.12799999999999</v>
      </c>
      <c r="S1981">
        <v>3.8542374528000009E-2</v>
      </c>
      <c r="T1981" s="4" t="s">
        <v>4091</v>
      </c>
    </row>
    <row r="1982" spans="1:20" x14ac:dyDescent="0.2">
      <c r="A1982" s="4" t="s">
        <v>3940</v>
      </c>
      <c r="B1982" s="4" t="s">
        <v>4088</v>
      </c>
      <c r="C1982" s="4" t="s">
        <v>2096</v>
      </c>
      <c r="D1982" s="4" t="s">
        <v>2236</v>
      </c>
      <c r="E1982" s="4" t="s">
        <v>130</v>
      </c>
      <c r="F1982" s="4" t="s">
        <v>4090</v>
      </c>
      <c r="G1982" s="4" t="s">
        <v>3943</v>
      </c>
      <c r="H1982" s="4" t="s">
        <v>2183</v>
      </c>
      <c r="I1982" s="4" t="s">
        <v>2100</v>
      </c>
      <c r="J1982" s="4" t="s">
        <v>2783</v>
      </c>
      <c r="K1982">
        <v>18</v>
      </c>
      <c r="L1982">
        <v>5.4863999999999997</v>
      </c>
      <c r="M1982">
        <v>88.9</v>
      </c>
      <c r="N1982">
        <v>88.9</v>
      </c>
      <c r="O1982">
        <v>216</v>
      </c>
      <c r="P1982">
        <v>3.5000000000000004</v>
      </c>
      <c r="Q1982">
        <v>3.5000000000000004</v>
      </c>
      <c r="R1982">
        <v>415.12799999999999</v>
      </c>
      <c r="S1982">
        <v>4.3360171344000005E-2</v>
      </c>
      <c r="T1982" s="4" t="s">
        <v>4091</v>
      </c>
    </row>
    <row r="1983" spans="1:20" x14ac:dyDescent="0.2">
      <c r="A1983" s="4" t="s">
        <v>3940</v>
      </c>
      <c r="B1983" s="4" t="s">
        <v>4088</v>
      </c>
      <c r="C1983" s="4" t="s">
        <v>2096</v>
      </c>
      <c r="D1983" s="4" t="s">
        <v>2236</v>
      </c>
      <c r="E1983" s="4" t="s">
        <v>132</v>
      </c>
      <c r="F1983" s="4" t="s">
        <v>4090</v>
      </c>
      <c r="G1983" s="4" t="s">
        <v>3943</v>
      </c>
      <c r="H1983" s="4" t="s">
        <v>2183</v>
      </c>
      <c r="I1983" s="4" t="s">
        <v>2100</v>
      </c>
      <c r="J1983" s="4" t="s">
        <v>2783</v>
      </c>
      <c r="K1983">
        <v>20</v>
      </c>
      <c r="L1983">
        <v>6.0960000000000001</v>
      </c>
      <c r="M1983">
        <v>88.9</v>
      </c>
      <c r="N1983">
        <v>88.9</v>
      </c>
      <c r="O1983">
        <v>240</v>
      </c>
      <c r="P1983">
        <v>3.5000000000000004</v>
      </c>
      <c r="Q1983">
        <v>3.5000000000000004</v>
      </c>
      <c r="R1983">
        <v>415.12799999999999</v>
      </c>
      <c r="S1983">
        <v>4.8177968160000015E-2</v>
      </c>
      <c r="T1983" s="4" t="s">
        <v>4091</v>
      </c>
    </row>
    <row r="1984" spans="1:20" x14ac:dyDescent="0.2">
      <c r="A1984" s="4" t="s">
        <v>3940</v>
      </c>
      <c r="B1984" s="4" t="s">
        <v>4088</v>
      </c>
      <c r="C1984" s="4" t="s">
        <v>2096</v>
      </c>
      <c r="D1984" s="4" t="s">
        <v>2236</v>
      </c>
      <c r="E1984" s="4" t="s">
        <v>134</v>
      </c>
      <c r="F1984" s="4" t="s">
        <v>4090</v>
      </c>
      <c r="G1984" s="4" t="s">
        <v>3943</v>
      </c>
      <c r="H1984" s="4" t="s">
        <v>2183</v>
      </c>
      <c r="I1984" s="4" t="s">
        <v>2100</v>
      </c>
      <c r="J1984" s="4" t="s">
        <v>2783</v>
      </c>
      <c r="K1984">
        <v>22</v>
      </c>
      <c r="L1984">
        <v>6.7055999999999996</v>
      </c>
      <c r="M1984">
        <v>88.9</v>
      </c>
      <c r="N1984">
        <v>88.9</v>
      </c>
      <c r="O1984">
        <v>264</v>
      </c>
      <c r="P1984">
        <v>3.5000000000000004</v>
      </c>
      <c r="Q1984">
        <v>3.5000000000000004</v>
      </c>
      <c r="R1984">
        <v>415.12799999999999</v>
      </c>
      <c r="S1984">
        <v>5.2995764975999997E-2</v>
      </c>
      <c r="T1984" s="4" t="s">
        <v>4091</v>
      </c>
    </row>
    <row r="1985" spans="1:20" x14ac:dyDescent="0.2">
      <c r="A1985" s="4" t="s">
        <v>3940</v>
      </c>
      <c r="B1985" s="4" t="s">
        <v>4088</v>
      </c>
      <c r="C1985" s="4" t="s">
        <v>2096</v>
      </c>
      <c r="D1985" s="4" t="s">
        <v>2236</v>
      </c>
      <c r="E1985" s="4" t="s">
        <v>136</v>
      </c>
      <c r="F1985" s="4" t="s">
        <v>4090</v>
      </c>
      <c r="G1985" s="4" t="s">
        <v>3943</v>
      </c>
      <c r="H1985" s="4" t="s">
        <v>2183</v>
      </c>
      <c r="I1985" s="4" t="s">
        <v>2100</v>
      </c>
      <c r="J1985" s="4" t="s">
        <v>2783</v>
      </c>
      <c r="K1985">
        <v>8</v>
      </c>
      <c r="L1985">
        <v>2.4384000000000001</v>
      </c>
      <c r="M1985">
        <v>88.9</v>
      </c>
      <c r="N1985">
        <v>88.9</v>
      </c>
      <c r="O1985">
        <v>96.000000000000014</v>
      </c>
      <c r="P1985">
        <v>3.5000000000000004</v>
      </c>
      <c r="Q1985">
        <v>3.5000000000000004</v>
      </c>
      <c r="R1985">
        <v>415.12799999999999</v>
      </c>
      <c r="S1985">
        <v>1.9271187264000005E-2</v>
      </c>
      <c r="T1985" s="4" t="s">
        <v>4091</v>
      </c>
    </row>
    <row r="1986" spans="1:20" x14ac:dyDescent="0.2">
      <c r="A1986" s="4" t="s">
        <v>3940</v>
      </c>
      <c r="B1986" s="4" t="s">
        <v>4092</v>
      </c>
      <c r="C1986" s="4" t="s">
        <v>2096</v>
      </c>
      <c r="D1986" s="4" t="s">
        <v>2236</v>
      </c>
      <c r="E1986" s="4" t="s">
        <v>192</v>
      </c>
      <c r="F1986" s="4" t="s">
        <v>4093</v>
      </c>
      <c r="G1986" s="4" t="s">
        <v>3943</v>
      </c>
      <c r="H1986" s="4" t="s">
        <v>2183</v>
      </c>
      <c r="I1986" s="4" t="s">
        <v>2100</v>
      </c>
      <c r="J1986" s="4" t="s">
        <v>3644</v>
      </c>
      <c r="K1986">
        <v>10</v>
      </c>
      <c r="L1986">
        <v>3.048</v>
      </c>
      <c r="M1986">
        <v>25.4</v>
      </c>
      <c r="N1986">
        <v>88.9</v>
      </c>
      <c r="O1986">
        <v>120</v>
      </c>
      <c r="P1986">
        <v>1</v>
      </c>
      <c r="Q1986">
        <v>3.5000000000000004</v>
      </c>
      <c r="R1986">
        <v>1452.9459999999999</v>
      </c>
      <c r="S1986">
        <v>6.8825668800000014E-3</v>
      </c>
      <c r="T1986" s="4" t="s">
        <v>4094</v>
      </c>
    </row>
    <row r="1987" spans="1:20" x14ac:dyDescent="0.2">
      <c r="A1987" s="4" t="s">
        <v>3940</v>
      </c>
      <c r="B1987" s="4" t="s">
        <v>4092</v>
      </c>
      <c r="C1987" s="4" t="s">
        <v>2096</v>
      </c>
      <c r="D1987" s="4" t="s">
        <v>2236</v>
      </c>
      <c r="E1987" s="4" t="s">
        <v>194</v>
      </c>
      <c r="F1987" s="4" t="s">
        <v>4093</v>
      </c>
      <c r="G1987" s="4" t="s">
        <v>3943</v>
      </c>
      <c r="H1987" s="4" t="s">
        <v>2183</v>
      </c>
      <c r="I1987" s="4" t="s">
        <v>2100</v>
      </c>
      <c r="J1987" s="4" t="s">
        <v>3644</v>
      </c>
      <c r="K1987">
        <v>12</v>
      </c>
      <c r="L1987">
        <v>3.6576</v>
      </c>
      <c r="M1987">
        <v>25.4</v>
      </c>
      <c r="N1987">
        <v>88.9</v>
      </c>
      <c r="O1987">
        <v>144</v>
      </c>
      <c r="P1987">
        <v>1</v>
      </c>
      <c r="Q1987">
        <v>3.5000000000000004</v>
      </c>
      <c r="R1987">
        <v>1452.9459999999999</v>
      </c>
      <c r="S1987">
        <v>8.259080256000001E-3</v>
      </c>
      <c r="T1987" s="4" t="s">
        <v>4094</v>
      </c>
    </row>
    <row r="1988" spans="1:20" x14ac:dyDescent="0.2">
      <c r="A1988" s="4" t="s">
        <v>3940</v>
      </c>
      <c r="B1988" s="4" t="s">
        <v>4092</v>
      </c>
      <c r="C1988" s="4" t="s">
        <v>2096</v>
      </c>
      <c r="D1988" s="4" t="s">
        <v>2236</v>
      </c>
      <c r="E1988" s="4" t="s">
        <v>196</v>
      </c>
      <c r="F1988" s="4" t="s">
        <v>4093</v>
      </c>
      <c r="G1988" s="4" t="s">
        <v>3943</v>
      </c>
      <c r="H1988" s="4" t="s">
        <v>2183</v>
      </c>
      <c r="I1988" s="4" t="s">
        <v>2100</v>
      </c>
      <c r="J1988" s="4" t="s">
        <v>3644</v>
      </c>
      <c r="K1988">
        <v>14</v>
      </c>
      <c r="L1988">
        <v>4.2671999999999999</v>
      </c>
      <c r="M1988">
        <v>25.4</v>
      </c>
      <c r="N1988">
        <v>88.9</v>
      </c>
      <c r="O1988">
        <v>168</v>
      </c>
      <c r="P1988">
        <v>1</v>
      </c>
      <c r="Q1988">
        <v>3.5000000000000004</v>
      </c>
      <c r="R1988">
        <v>1452.9459999999999</v>
      </c>
      <c r="S1988">
        <v>9.6355936319999988E-3</v>
      </c>
      <c r="T1988" s="4" t="s">
        <v>4094</v>
      </c>
    </row>
    <row r="1989" spans="1:20" x14ac:dyDescent="0.2">
      <c r="A1989" s="4" t="s">
        <v>3940</v>
      </c>
      <c r="B1989" s="4" t="s">
        <v>4092</v>
      </c>
      <c r="C1989" s="4" t="s">
        <v>2096</v>
      </c>
      <c r="D1989" s="4" t="s">
        <v>2236</v>
      </c>
      <c r="E1989" s="4" t="s">
        <v>198</v>
      </c>
      <c r="F1989" s="4" t="s">
        <v>4093</v>
      </c>
      <c r="G1989" s="4" t="s">
        <v>3943</v>
      </c>
      <c r="H1989" s="4" t="s">
        <v>2183</v>
      </c>
      <c r="I1989" s="4" t="s">
        <v>2100</v>
      </c>
      <c r="J1989" s="4" t="s">
        <v>3644</v>
      </c>
      <c r="K1989">
        <v>16</v>
      </c>
      <c r="L1989">
        <v>4.8768000000000002</v>
      </c>
      <c r="M1989">
        <v>25.4</v>
      </c>
      <c r="N1989">
        <v>88.9</v>
      </c>
      <c r="O1989">
        <v>192.00000000000003</v>
      </c>
      <c r="P1989">
        <v>1</v>
      </c>
      <c r="Q1989">
        <v>3.5000000000000004</v>
      </c>
      <c r="R1989">
        <v>1452.9459999999999</v>
      </c>
      <c r="S1989">
        <v>1.1012107008E-2</v>
      </c>
      <c r="T1989" s="4" t="s">
        <v>4094</v>
      </c>
    </row>
    <row r="1990" spans="1:20" x14ac:dyDescent="0.2">
      <c r="A1990" s="4" t="s">
        <v>3940</v>
      </c>
      <c r="B1990" s="4" t="s">
        <v>4092</v>
      </c>
      <c r="C1990" s="4" t="s">
        <v>2096</v>
      </c>
      <c r="D1990" s="4" t="s">
        <v>2236</v>
      </c>
      <c r="E1990" s="4" t="s">
        <v>200</v>
      </c>
      <c r="F1990" s="4" t="s">
        <v>4093</v>
      </c>
      <c r="G1990" s="4" t="s">
        <v>3943</v>
      </c>
      <c r="H1990" s="4" t="s">
        <v>2183</v>
      </c>
      <c r="I1990" s="4" t="s">
        <v>2100</v>
      </c>
      <c r="J1990" s="4" t="s">
        <v>3644</v>
      </c>
      <c r="K1990">
        <v>18</v>
      </c>
      <c r="L1990">
        <v>5.4863999999999997</v>
      </c>
      <c r="M1990">
        <v>25.4</v>
      </c>
      <c r="N1990">
        <v>88.9</v>
      </c>
      <c r="O1990">
        <v>216</v>
      </c>
      <c r="P1990">
        <v>1</v>
      </c>
      <c r="Q1990">
        <v>3.5000000000000004</v>
      </c>
      <c r="R1990">
        <v>1452.9459999999999</v>
      </c>
      <c r="S1990">
        <v>1.2388620384E-2</v>
      </c>
      <c r="T1990" s="4" t="s">
        <v>4094</v>
      </c>
    </row>
    <row r="1991" spans="1:20" x14ac:dyDescent="0.2">
      <c r="A1991" s="4" t="s">
        <v>3940</v>
      </c>
      <c r="B1991" s="4" t="s">
        <v>4092</v>
      </c>
      <c r="C1991" s="4" t="s">
        <v>2096</v>
      </c>
      <c r="D1991" s="4" t="s">
        <v>2236</v>
      </c>
      <c r="E1991" s="4" t="s">
        <v>202</v>
      </c>
      <c r="F1991" s="4" t="s">
        <v>4093</v>
      </c>
      <c r="G1991" s="4" t="s">
        <v>3943</v>
      </c>
      <c r="H1991" s="4" t="s">
        <v>2183</v>
      </c>
      <c r="I1991" s="4" t="s">
        <v>2100</v>
      </c>
      <c r="J1991" s="4" t="s">
        <v>3644</v>
      </c>
      <c r="K1991">
        <v>20</v>
      </c>
      <c r="L1991">
        <v>6.0960000000000001</v>
      </c>
      <c r="M1991">
        <v>25.4</v>
      </c>
      <c r="N1991">
        <v>88.9</v>
      </c>
      <c r="O1991">
        <v>240</v>
      </c>
      <c r="P1991">
        <v>1</v>
      </c>
      <c r="Q1991">
        <v>3.5000000000000004</v>
      </c>
      <c r="R1991">
        <v>1452.9459999999999</v>
      </c>
      <c r="S1991">
        <v>1.3765133760000003E-2</v>
      </c>
      <c r="T1991" s="4" t="s">
        <v>4094</v>
      </c>
    </row>
    <row r="1992" spans="1:20" x14ac:dyDescent="0.2">
      <c r="A1992" s="4" t="s">
        <v>3940</v>
      </c>
      <c r="B1992" s="4" t="s">
        <v>4092</v>
      </c>
      <c r="C1992" s="4" t="s">
        <v>2096</v>
      </c>
      <c r="D1992" s="4" t="s">
        <v>2236</v>
      </c>
      <c r="E1992" s="4" t="s">
        <v>204</v>
      </c>
      <c r="F1992" s="4" t="s">
        <v>4093</v>
      </c>
      <c r="G1992" s="4" t="s">
        <v>3943</v>
      </c>
      <c r="H1992" s="4" t="s">
        <v>2183</v>
      </c>
      <c r="I1992" s="4" t="s">
        <v>2100</v>
      </c>
      <c r="J1992" s="4" t="s">
        <v>3644</v>
      </c>
      <c r="K1992">
        <v>22</v>
      </c>
      <c r="L1992">
        <v>6.7055999999999996</v>
      </c>
      <c r="M1992">
        <v>25.4</v>
      </c>
      <c r="N1992">
        <v>88.9</v>
      </c>
      <c r="O1992">
        <v>264</v>
      </c>
      <c r="P1992">
        <v>1</v>
      </c>
      <c r="Q1992">
        <v>3.5000000000000004</v>
      </c>
      <c r="R1992">
        <v>1452.9459999999999</v>
      </c>
      <c r="S1992">
        <v>1.5141647135999997E-2</v>
      </c>
      <c r="T1992" s="4" t="s">
        <v>4094</v>
      </c>
    </row>
    <row r="1993" spans="1:20" x14ac:dyDescent="0.2">
      <c r="A1993" s="4" t="s">
        <v>3940</v>
      </c>
      <c r="B1993" s="4" t="s">
        <v>4092</v>
      </c>
      <c r="C1993" s="4" t="s">
        <v>2096</v>
      </c>
      <c r="D1993" s="4" t="s">
        <v>2236</v>
      </c>
      <c r="E1993" s="4" t="s">
        <v>206</v>
      </c>
      <c r="F1993" s="4" t="s">
        <v>4093</v>
      </c>
      <c r="G1993" s="4" t="s">
        <v>3943</v>
      </c>
      <c r="H1993" s="4" t="s">
        <v>2183</v>
      </c>
      <c r="I1993" s="4" t="s">
        <v>2100</v>
      </c>
      <c r="J1993" s="4" t="s">
        <v>3644</v>
      </c>
      <c r="K1993">
        <v>8</v>
      </c>
      <c r="L1993">
        <v>2.4384000000000001</v>
      </c>
      <c r="M1993">
        <v>25.4</v>
      </c>
      <c r="N1993">
        <v>88.9</v>
      </c>
      <c r="O1993">
        <v>96.000000000000014</v>
      </c>
      <c r="P1993">
        <v>1</v>
      </c>
      <c r="Q1993">
        <v>3.5000000000000004</v>
      </c>
      <c r="R1993">
        <v>1452.9459999999999</v>
      </c>
      <c r="S1993">
        <v>5.5060535040000001E-3</v>
      </c>
      <c r="T1993" s="4" t="s">
        <v>4094</v>
      </c>
    </row>
    <row r="1994" spans="1:20" x14ac:dyDescent="0.2">
      <c r="A1994" s="4" t="s">
        <v>3940</v>
      </c>
      <c r="B1994" s="4" t="s">
        <v>4095</v>
      </c>
      <c r="C1994" s="4" t="s">
        <v>2096</v>
      </c>
      <c r="D1994" s="4" t="s">
        <v>2236</v>
      </c>
      <c r="E1994" s="4" t="s">
        <v>4096</v>
      </c>
      <c r="F1994" s="4" t="s">
        <v>4097</v>
      </c>
      <c r="G1994" s="4" t="s">
        <v>3943</v>
      </c>
      <c r="H1994" s="4" t="s">
        <v>2183</v>
      </c>
      <c r="I1994" s="4" t="s">
        <v>2100</v>
      </c>
      <c r="J1994" s="4" t="s">
        <v>2111</v>
      </c>
      <c r="K1994">
        <v>10</v>
      </c>
      <c r="L1994">
        <v>3.048</v>
      </c>
      <c r="M1994">
        <v>25.4</v>
      </c>
      <c r="N1994">
        <v>139.69999999999999</v>
      </c>
      <c r="O1994">
        <v>120</v>
      </c>
      <c r="P1994">
        <v>1</v>
      </c>
      <c r="Q1994">
        <v>5.5</v>
      </c>
      <c r="R1994">
        <v>924.60199999999998</v>
      </c>
      <c r="S1994">
        <v>1.081546224E-2</v>
      </c>
      <c r="T1994" s="4" t="s">
        <v>4098</v>
      </c>
    </row>
    <row r="1995" spans="1:20" x14ac:dyDescent="0.2">
      <c r="A1995" s="4" t="s">
        <v>3940</v>
      </c>
      <c r="B1995" s="4" t="s">
        <v>4095</v>
      </c>
      <c r="C1995" s="4" t="s">
        <v>2096</v>
      </c>
      <c r="D1995" s="4" t="s">
        <v>2236</v>
      </c>
      <c r="E1995" s="4" t="s">
        <v>4099</v>
      </c>
      <c r="F1995" s="4" t="s">
        <v>4097</v>
      </c>
      <c r="G1995" s="4" t="s">
        <v>3943</v>
      </c>
      <c r="H1995" s="4" t="s">
        <v>2183</v>
      </c>
      <c r="I1995" s="4" t="s">
        <v>2100</v>
      </c>
      <c r="J1995" s="4" t="s">
        <v>2111</v>
      </c>
      <c r="K1995">
        <v>11</v>
      </c>
      <c r="L1995">
        <v>3.3528000000000002</v>
      </c>
      <c r="M1995">
        <v>25.4</v>
      </c>
      <c r="N1995">
        <v>139.69999999999999</v>
      </c>
      <c r="O1995">
        <v>132</v>
      </c>
      <c r="P1995">
        <v>1</v>
      </c>
      <c r="Q1995">
        <v>5.5</v>
      </c>
      <c r="R1995">
        <v>924.60199999999998</v>
      </c>
      <c r="S1995">
        <v>1.1897008463999999E-2</v>
      </c>
      <c r="T1995" s="4" t="s">
        <v>4098</v>
      </c>
    </row>
    <row r="1996" spans="1:20" x14ac:dyDescent="0.2">
      <c r="A1996" s="4" t="s">
        <v>3940</v>
      </c>
      <c r="B1996" s="4" t="s">
        <v>4095</v>
      </c>
      <c r="C1996" s="4" t="s">
        <v>2096</v>
      </c>
      <c r="D1996" s="4" t="s">
        <v>2236</v>
      </c>
      <c r="E1996" s="4" t="s">
        <v>4100</v>
      </c>
      <c r="F1996" s="4" t="s">
        <v>4097</v>
      </c>
      <c r="G1996" s="4" t="s">
        <v>3943</v>
      </c>
      <c r="H1996" s="4" t="s">
        <v>2183</v>
      </c>
      <c r="I1996" s="4" t="s">
        <v>2100</v>
      </c>
      <c r="J1996" s="4" t="s">
        <v>2111</v>
      </c>
      <c r="K1996">
        <v>12</v>
      </c>
      <c r="L1996">
        <v>3.6576000000000004</v>
      </c>
      <c r="M1996">
        <v>25.4</v>
      </c>
      <c r="N1996">
        <v>139.69999999999999</v>
      </c>
      <c r="O1996">
        <v>144.00000000000003</v>
      </c>
      <c r="P1996">
        <v>1</v>
      </c>
      <c r="Q1996">
        <v>5.5</v>
      </c>
      <c r="R1996">
        <v>924.60199999999998</v>
      </c>
      <c r="S1996">
        <v>1.2978554687999999E-2</v>
      </c>
      <c r="T1996" s="4" t="s">
        <v>4098</v>
      </c>
    </row>
    <row r="1997" spans="1:20" x14ac:dyDescent="0.2">
      <c r="A1997" s="4" t="s">
        <v>3940</v>
      </c>
      <c r="B1997" s="4" t="s">
        <v>4095</v>
      </c>
      <c r="C1997" s="4" t="s">
        <v>2096</v>
      </c>
      <c r="D1997" s="4" t="s">
        <v>2236</v>
      </c>
      <c r="E1997" s="4" t="s">
        <v>4101</v>
      </c>
      <c r="F1997" s="4" t="s">
        <v>4097</v>
      </c>
      <c r="G1997" s="4" t="s">
        <v>3943</v>
      </c>
      <c r="H1997" s="4" t="s">
        <v>2183</v>
      </c>
      <c r="I1997" s="4" t="s">
        <v>2100</v>
      </c>
      <c r="J1997" s="4" t="s">
        <v>2111</v>
      </c>
      <c r="K1997">
        <v>13</v>
      </c>
      <c r="L1997">
        <v>3.9624000000000001</v>
      </c>
      <c r="M1997">
        <v>25.4</v>
      </c>
      <c r="N1997">
        <v>139.69999999999999</v>
      </c>
      <c r="O1997">
        <v>156</v>
      </c>
      <c r="P1997">
        <v>1</v>
      </c>
      <c r="Q1997">
        <v>5.5</v>
      </c>
      <c r="R1997">
        <v>924.60199999999998</v>
      </c>
      <c r="S1997">
        <v>1.4060100911999997E-2</v>
      </c>
      <c r="T1997" s="4" t="s">
        <v>4098</v>
      </c>
    </row>
    <row r="1998" spans="1:20" x14ac:dyDescent="0.2">
      <c r="A1998" s="4" t="s">
        <v>3940</v>
      </c>
      <c r="B1998" s="4" t="s">
        <v>4095</v>
      </c>
      <c r="C1998" s="4" t="s">
        <v>2096</v>
      </c>
      <c r="D1998" s="4" t="s">
        <v>2236</v>
      </c>
      <c r="E1998" s="4" t="s">
        <v>208</v>
      </c>
      <c r="F1998" s="4" t="s">
        <v>4097</v>
      </c>
      <c r="G1998" s="4" t="s">
        <v>3943</v>
      </c>
      <c r="H1998" s="4" t="s">
        <v>2183</v>
      </c>
      <c r="I1998" s="4" t="s">
        <v>2100</v>
      </c>
      <c r="J1998" s="4" t="s">
        <v>2111</v>
      </c>
      <c r="K1998">
        <v>14</v>
      </c>
      <c r="L1998">
        <v>4.2671999999999999</v>
      </c>
      <c r="M1998">
        <v>25.4</v>
      </c>
      <c r="N1998">
        <v>139.69999999999999</v>
      </c>
      <c r="O1998">
        <v>168</v>
      </c>
      <c r="P1998">
        <v>1</v>
      </c>
      <c r="Q1998">
        <v>5.5</v>
      </c>
      <c r="R1998">
        <v>924.60199999999998</v>
      </c>
      <c r="S1998">
        <v>1.5141647135999997E-2</v>
      </c>
      <c r="T1998" s="4" t="s">
        <v>4098</v>
      </c>
    </row>
    <row r="1999" spans="1:20" x14ac:dyDescent="0.2">
      <c r="A1999" s="4" t="s">
        <v>3940</v>
      </c>
      <c r="B1999" s="4" t="s">
        <v>4095</v>
      </c>
      <c r="C1999" s="4" t="s">
        <v>2096</v>
      </c>
      <c r="D1999" s="4" t="s">
        <v>2236</v>
      </c>
      <c r="E1999" s="4" t="s">
        <v>4102</v>
      </c>
      <c r="F1999" s="4" t="s">
        <v>4097</v>
      </c>
      <c r="G1999" s="4" t="s">
        <v>3943</v>
      </c>
      <c r="H1999" s="4" t="s">
        <v>2183</v>
      </c>
      <c r="I1999" s="4" t="s">
        <v>2100</v>
      </c>
      <c r="J1999" s="4" t="s">
        <v>2111</v>
      </c>
      <c r="K1999">
        <v>15</v>
      </c>
      <c r="L1999">
        <v>4.5720000000000001</v>
      </c>
      <c r="M1999">
        <v>25.4</v>
      </c>
      <c r="N1999">
        <v>139.69999999999999</v>
      </c>
      <c r="O1999">
        <v>180</v>
      </c>
      <c r="P1999">
        <v>1</v>
      </c>
      <c r="Q1999">
        <v>5.5</v>
      </c>
      <c r="R1999">
        <v>924.60199999999998</v>
      </c>
      <c r="S1999">
        <v>1.6223193359999999E-2</v>
      </c>
      <c r="T1999" s="4" t="s">
        <v>4098</v>
      </c>
    </row>
    <row r="2000" spans="1:20" x14ac:dyDescent="0.2">
      <c r="A2000" s="4" t="s">
        <v>3940</v>
      </c>
      <c r="B2000" s="4" t="s">
        <v>4095</v>
      </c>
      <c r="C2000" s="4" t="s">
        <v>2096</v>
      </c>
      <c r="D2000" s="4" t="s">
        <v>2236</v>
      </c>
      <c r="E2000" s="4" t="s">
        <v>4103</v>
      </c>
      <c r="F2000" s="4" t="s">
        <v>4097</v>
      </c>
      <c r="G2000" s="4" t="s">
        <v>3943</v>
      </c>
      <c r="H2000" s="4" t="s">
        <v>2183</v>
      </c>
      <c r="I2000" s="4" t="s">
        <v>2100</v>
      </c>
      <c r="J2000" s="4" t="s">
        <v>2111</v>
      </c>
      <c r="K2000">
        <v>16</v>
      </c>
      <c r="L2000">
        <v>4.8768000000000002</v>
      </c>
      <c r="M2000">
        <v>25.4</v>
      </c>
      <c r="N2000">
        <v>139.69999999999999</v>
      </c>
      <c r="O2000">
        <v>192.00000000000003</v>
      </c>
      <c r="P2000">
        <v>1</v>
      </c>
      <c r="Q2000">
        <v>5.5</v>
      </c>
      <c r="R2000">
        <v>924.60199999999998</v>
      </c>
      <c r="S2000">
        <v>1.7304739584000001E-2</v>
      </c>
      <c r="T2000" s="4" t="s">
        <v>4098</v>
      </c>
    </row>
    <row r="2001" spans="1:20" x14ac:dyDescent="0.2">
      <c r="A2001" s="4" t="s">
        <v>3940</v>
      </c>
      <c r="B2001" s="4" t="s">
        <v>4095</v>
      </c>
      <c r="C2001" s="4" t="s">
        <v>2096</v>
      </c>
      <c r="D2001" s="4" t="s">
        <v>2236</v>
      </c>
      <c r="E2001" s="4" t="s">
        <v>4104</v>
      </c>
      <c r="F2001" s="4" t="s">
        <v>4097</v>
      </c>
      <c r="G2001" s="4" t="s">
        <v>3943</v>
      </c>
      <c r="H2001" s="4" t="s">
        <v>2183</v>
      </c>
      <c r="I2001" s="4" t="s">
        <v>2100</v>
      </c>
      <c r="J2001" s="4" t="s">
        <v>2111</v>
      </c>
      <c r="K2001">
        <v>17</v>
      </c>
      <c r="L2001">
        <v>5.1816000000000004</v>
      </c>
      <c r="M2001">
        <v>25.4</v>
      </c>
      <c r="N2001">
        <v>139.69999999999999</v>
      </c>
      <c r="O2001">
        <v>204.00000000000003</v>
      </c>
      <c r="P2001">
        <v>1</v>
      </c>
      <c r="Q2001">
        <v>5.5</v>
      </c>
      <c r="R2001">
        <v>924.60199999999998</v>
      </c>
      <c r="S2001">
        <v>1.8386285807999999E-2</v>
      </c>
      <c r="T2001" s="4" t="s">
        <v>4098</v>
      </c>
    </row>
    <row r="2002" spans="1:20" x14ac:dyDescent="0.2">
      <c r="A2002" s="4" t="s">
        <v>3940</v>
      </c>
      <c r="B2002" s="4" t="s">
        <v>4095</v>
      </c>
      <c r="C2002" s="4" t="s">
        <v>2096</v>
      </c>
      <c r="D2002" s="4" t="s">
        <v>2236</v>
      </c>
      <c r="E2002" s="4" t="s">
        <v>210</v>
      </c>
      <c r="F2002" s="4" t="s">
        <v>4097</v>
      </c>
      <c r="G2002" s="4" t="s">
        <v>3943</v>
      </c>
      <c r="H2002" s="4" t="s">
        <v>2183</v>
      </c>
      <c r="I2002" s="4" t="s">
        <v>2100</v>
      </c>
      <c r="J2002" s="4" t="s">
        <v>2111</v>
      </c>
      <c r="K2002">
        <v>18</v>
      </c>
      <c r="L2002">
        <v>5.4863999999999997</v>
      </c>
      <c r="M2002">
        <v>25.4</v>
      </c>
      <c r="N2002">
        <v>139.69999999999999</v>
      </c>
      <c r="O2002">
        <v>216</v>
      </c>
      <c r="P2002">
        <v>1</v>
      </c>
      <c r="Q2002">
        <v>5.5</v>
      </c>
      <c r="R2002">
        <v>924.60199999999998</v>
      </c>
      <c r="S2002">
        <v>1.9467832031999997E-2</v>
      </c>
      <c r="T2002" s="4" t="s">
        <v>4098</v>
      </c>
    </row>
    <row r="2003" spans="1:20" x14ac:dyDescent="0.2">
      <c r="A2003" s="4" t="s">
        <v>3940</v>
      </c>
      <c r="B2003" s="4" t="s">
        <v>4095</v>
      </c>
      <c r="C2003" s="4" t="s">
        <v>2096</v>
      </c>
      <c r="D2003" s="4" t="s">
        <v>2236</v>
      </c>
      <c r="E2003" s="4" t="s">
        <v>4105</v>
      </c>
      <c r="F2003" s="4" t="s">
        <v>4097</v>
      </c>
      <c r="G2003" s="4" t="s">
        <v>3943</v>
      </c>
      <c r="H2003" s="4" t="s">
        <v>2183</v>
      </c>
      <c r="I2003" s="4" t="s">
        <v>2100</v>
      </c>
      <c r="J2003" s="4" t="s">
        <v>2111</v>
      </c>
      <c r="K2003">
        <v>19</v>
      </c>
      <c r="L2003">
        <v>5.7911999999999999</v>
      </c>
      <c r="M2003">
        <v>25.4</v>
      </c>
      <c r="N2003">
        <v>139.69999999999999</v>
      </c>
      <c r="O2003">
        <v>228</v>
      </c>
      <c r="P2003">
        <v>1</v>
      </c>
      <c r="Q2003">
        <v>5.5</v>
      </c>
      <c r="R2003">
        <v>924.60199999999998</v>
      </c>
      <c r="S2003">
        <v>2.0549378255999992E-2</v>
      </c>
      <c r="T2003" s="4" t="s">
        <v>4098</v>
      </c>
    </row>
    <row r="2004" spans="1:20" x14ac:dyDescent="0.2">
      <c r="A2004" s="4" t="s">
        <v>3940</v>
      </c>
      <c r="B2004" s="4" t="s">
        <v>4095</v>
      </c>
      <c r="C2004" s="4" t="s">
        <v>2096</v>
      </c>
      <c r="D2004" s="4" t="s">
        <v>2236</v>
      </c>
      <c r="E2004" s="4" t="s">
        <v>4106</v>
      </c>
      <c r="F2004" s="4" t="s">
        <v>4097</v>
      </c>
      <c r="G2004" s="4" t="s">
        <v>3943</v>
      </c>
      <c r="H2004" s="4" t="s">
        <v>2183</v>
      </c>
      <c r="I2004" s="4" t="s">
        <v>2100</v>
      </c>
      <c r="J2004" s="4" t="s">
        <v>2111</v>
      </c>
      <c r="K2004">
        <v>20</v>
      </c>
      <c r="L2004">
        <v>6.0960000000000001</v>
      </c>
      <c r="M2004">
        <v>25.4</v>
      </c>
      <c r="N2004">
        <v>139.69999999999999</v>
      </c>
      <c r="O2004">
        <v>240</v>
      </c>
      <c r="P2004">
        <v>1</v>
      </c>
      <c r="Q2004">
        <v>5.5</v>
      </c>
      <c r="R2004">
        <v>924.60199999999998</v>
      </c>
      <c r="S2004">
        <v>2.1630924480000001E-2</v>
      </c>
      <c r="T2004" s="4" t="s">
        <v>4098</v>
      </c>
    </row>
    <row r="2005" spans="1:20" x14ac:dyDescent="0.2">
      <c r="A2005" s="4" t="s">
        <v>3940</v>
      </c>
      <c r="B2005" s="4" t="s">
        <v>4095</v>
      </c>
      <c r="C2005" s="4" t="s">
        <v>2096</v>
      </c>
      <c r="D2005" s="4" t="s">
        <v>2236</v>
      </c>
      <c r="E2005" s="4" t="s">
        <v>4107</v>
      </c>
      <c r="F2005" s="4" t="s">
        <v>4097</v>
      </c>
      <c r="G2005" s="4" t="s">
        <v>3943</v>
      </c>
      <c r="H2005" s="4" t="s">
        <v>2183</v>
      </c>
      <c r="I2005" s="4" t="s">
        <v>2100</v>
      </c>
      <c r="J2005" s="4" t="s">
        <v>2111</v>
      </c>
      <c r="K2005">
        <v>21</v>
      </c>
      <c r="L2005">
        <v>6.4008000000000003</v>
      </c>
      <c r="M2005">
        <v>25.4</v>
      </c>
      <c r="N2005">
        <v>139.69999999999999</v>
      </c>
      <c r="O2005">
        <v>252.00000000000003</v>
      </c>
      <c r="P2005">
        <v>1</v>
      </c>
      <c r="Q2005">
        <v>5.5</v>
      </c>
      <c r="R2005">
        <v>924.60199999999998</v>
      </c>
      <c r="S2005">
        <v>2.2712470703999999E-2</v>
      </c>
      <c r="T2005" s="4" t="s">
        <v>4098</v>
      </c>
    </row>
    <row r="2006" spans="1:20" x14ac:dyDescent="0.2">
      <c r="A2006" s="4" t="s">
        <v>3940</v>
      </c>
      <c r="B2006" s="4" t="s">
        <v>4095</v>
      </c>
      <c r="C2006" s="4" t="s">
        <v>2096</v>
      </c>
      <c r="D2006" s="4" t="s">
        <v>2236</v>
      </c>
      <c r="E2006" s="4" t="s">
        <v>212</v>
      </c>
      <c r="F2006" s="4" t="s">
        <v>4097</v>
      </c>
      <c r="G2006" s="4" t="s">
        <v>3943</v>
      </c>
      <c r="H2006" s="4" t="s">
        <v>2183</v>
      </c>
      <c r="I2006" s="4" t="s">
        <v>2100</v>
      </c>
      <c r="J2006" s="4" t="s">
        <v>2111</v>
      </c>
      <c r="K2006">
        <v>22</v>
      </c>
      <c r="L2006">
        <v>6.7055999999999996</v>
      </c>
      <c r="M2006">
        <v>25.4</v>
      </c>
      <c r="N2006">
        <v>139.69999999999999</v>
      </c>
      <c r="O2006">
        <v>264</v>
      </c>
      <c r="P2006">
        <v>1</v>
      </c>
      <c r="Q2006">
        <v>5.5</v>
      </c>
      <c r="R2006">
        <v>924.60199999999998</v>
      </c>
      <c r="S2006">
        <v>2.3794016927999991E-2</v>
      </c>
      <c r="T2006" s="4" t="s">
        <v>4098</v>
      </c>
    </row>
    <row r="2007" spans="1:20" x14ac:dyDescent="0.2">
      <c r="A2007" s="4" t="s">
        <v>3940</v>
      </c>
      <c r="B2007" s="4" t="s">
        <v>4095</v>
      </c>
      <c r="C2007" s="4" t="s">
        <v>2286</v>
      </c>
      <c r="D2007" s="4" t="s">
        <v>2236</v>
      </c>
      <c r="E2007" s="4" t="s">
        <v>4108</v>
      </c>
      <c r="F2007" s="4" t="s">
        <v>4097</v>
      </c>
      <c r="G2007" s="4" t="s">
        <v>3943</v>
      </c>
      <c r="H2007" s="4" t="s">
        <v>2183</v>
      </c>
      <c r="I2007" s="4" t="s">
        <v>2100</v>
      </c>
      <c r="J2007" s="4" t="s">
        <v>2111</v>
      </c>
      <c r="K2007">
        <v>3</v>
      </c>
      <c r="L2007">
        <v>0.9144000000000001</v>
      </c>
      <c r="M2007">
        <v>25.4</v>
      </c>
      <c r="N2007">
        <v>139.69999999999999</v>
      </c>
      <c r="O2007">
        <v>36.000000000000007</v>
      </c>
      <c r="P2007">
        <v>1</v>
      </c>
      <c r="Q2007">
        <v>5.5</v>
      </c>
      <c r="R2007">
        <v>924.60199999999998</v>
      </c>
      <c r="S2007">
        <v>3.2446386719999997E-3</v>
      </c>
      <c r="T2007" s="4" t="s">
        <v>4109</v>
      </c>
    </row>
    <row r="2008" spans="1:20" x14ac:dyDescent="0.2">
      <c r="A2008" s="4" t="s">
        <v>3940</v>
      </c>
      <c r="B2008" s="4" t="s">
        <v>4095</v>
      </c>
      <c r="C2008" s="4" t="s">
        <v>2286</v>
      </c>
      <c r="D2008" s="4" t="s">
        <v>2236</v>
      </c>
      <c r="E2008" s="4" t="s">
        <v>4110</v>
      </c>
      <c r="F2008" s="4" t="s">
        <v>4097</v>
      </c>
      <c r="G2008" s="4" t="s">
        <v>3943</v>
      </c>
      <c r="H2008" s="4" t="s">
        <v>2183</v>
      </c>
      <c r="I2008" s="4" t="s">
        <v>2100</v>
      </c>
      <c r="J2008" s="4" t="s">
        <v>2111</v>
      </c>
      <c r="K2008">
        <v>4</v>
      </c>
      <c r="L2008">
        <v>1.2192000000000001</v>
      </c>
      <c r="M2008">
        <v>25.4</v>
      </c>
      <c r="N2008">
        <v>139.69999999999999</v>
      </c>
      <c r="O2008">
        <v>48.000000000000007</v>
      </c>
      <c r="P2008">
        <v>1</v>
      </c>
      <c r="Q2008">
        <v>5.5</v>
      </c>
      <c r="R2008">
        <v>924.60199999999998</v>
      </c>
      <c r="S2008">
        <v>4.3261848960000002E-3</v>
      </c>
      <c r="T2008" s="4" t="s">
        <v>4109</v>
      </c>
    </row>
    <row r="2009" spans="1:20" x14ac:dyDescent="0.2">
      <c r="A2009" s="4" t="s">
        <v>3940</v>
      </c>
      <c r="B2009" s="4" t="s">
        <v>4095</v>
      </c>
      <c r="C2009" s="4" t="s">
        <v>2286</v>
      </c>
      <c r="D2009" s="4" t="s">
        <v>2236</v>
      </c>
      <c r="E2009" s="4" t="s">
        <v>4111</v>
      </c>
      <c r="F2009" s="4" t="s">
        <v>4097</v>
      </c>
      <c r="G2009" s="4" t="s">
        <v>3943</v>
      </c>
      <c r="H2009" s="4" t="s">
        <v>2183</v>
      </c>
      <c r="I2009" s="4" t="s">
        <v>2100</v>
      </c>
      <c r="J2009" s="4" t="s">
        <v>2111</v>
      </c>
      <c r="K2009">
        <v>5</v>
      </c>
      <c r="L2009">
        <v>1.524</v>
      </c>
      <c r="M2009">
        <v>25.4</v>
      </c>
      <c r="N2009">
        <v>139.69999999999999</v>
      </c>
      <c r="O2009">
        <v>60</v>
      </c>
      <c r="P2009">
        <v>1</v>
      </c>
      <c r="Q2009">
        <v>5.5</v>
      </c>
      <c r="R2009">
        <v>924.60199999999998</v>
      </c>
      <c r="S2009">
        <v>5.4077311200000002E-3</v>
      </c>
      <c r="T2009" s="4" t="s">
        <v>4109</v>
      </c>
    </row>
    <row r="2010" spans="1:20" x14ac:dyDescent="0.2">
      <c r="A2010" s="4" t="s">
        <v>3940</v>
      </c>
      <c r="B2010" s="4" t="s">
        <v>4095</v>
      </c>
      <c r="C2010" s="4" t="s">
        <v>2286</v>
      </c>
      <c r="D2010" s="4" t="s">
        <v>2236</v>
      </c>
      <c r="E2010" s="4" t="s">
        <v>4112</v>
      </c>
      <c r="F2010" s="4" t="s">
        <v>4097</v>
      </c>
      <c r="G2010" s="4" t="s">
        <v>3943</v>
      </c>
      <c r="H2010" s="4" t="s">
        <v>2183</v>
      </c>
      <c r="I2010" s="4" t="s">
        <v>2100</v>
      </c>
      <c r="J2010" s="4" t="s">
        <v>2111</v>
      </c>
      <c r="K2010">
        <v>6</v>
      </c>
      <c r="L2010">
        <v>1.8288000000000002</v>
      </c>
      <c r="M2010">
        <v>25.4</v>
      </c>
      <c r="N2010">
        <v>139.69999999999999</v>
      </c>
      <c r="O2010">
        <v>72.000000000000014</v>
      </c>
      <c r="P2010">
        <v>1</v>
      </c>
      <c r="Q2010">
        <v>5.5</v>
      </c>
      <c r="R2010">
        <v>924.60199999999998</v>
      </c>
      <c r="S2010">
        <v>6.4892773439999994E-3</v>
      </c>
      <c r="T2010" s="4" t="s">
        <v>4109</v>
      </c>
    </row>
    <row r="2011" spans="1:20" x14ac:dyDescent="0.2">
      <c r="A2011" s="4" t="s">
        <v>3940</v>
      </c>
      <c r="B2011" s="4" t="s">
        <v>4095</v>
      </c>
      <c r="C2011" s="4" t="s">
        <v>2286</v>
      </c>
      <c r="D2011" s="4" t="s">
        <v>2236</v>
      </c>
      <c r="E2011" s="4" t="s">
        <v>4113</v>
      </c>
      <c r="F2011" s="4" t="s">
        <v>4097</v>
      </c>
      <c r="G2011" s="4" t="s">
        <v>3943</v>
      </c>
      <c r="H2011" s="4" t="s">
        <v>2183</v>
      </c>
      <c r="I2011" s="4" t="s">
        <v>2100</v>
      </c>
      <c r="J2011" s="4" t="s">
        <v>2111</v>
      </c>
      <c r="K2011">
        <v>7</v>
      </c>
      <c r="L2011">
        <v>2.1335999999999999</v>
      </c>
      <c r="M2011">
        <v>25.4</v>
      </c>
      <c r="N2011">
        <v>139.69999999999999</v>
      </c>
      <c r="O2011">
        <v>84</v>
      </c>
      <c r="P2011">
        <v>1</v>
      </c>
      <c r="Q2011">
        <v>5.5</v>
      </c>
      <c r="R2011">
        <v>924.60199999999998</v>
      </c>
      <c r="S2011">
        <v>7.5708235679999986E-3</v>
      </c>
      <c r="T2011" s="4" t="s">
        <v>4109</v>
      </c>
    </row>
    <row r="2012" spans="1:20" x14ac:dyDescent="0.2">
      <c r="A2012" s="4" t="s">
        <v>3940</v>
      </c>
      <c r="B2012" s="4" t="s">
        <v>4095</v>
      </c>
      <c r="C2012" s="4" t="s">
        <v>2096</v>
      </c>
      <c r="D2012" s="4" t="s">
        <v>2236</v>
      </c>
      <c r="E2012" s="4" t="s">
        <v>4114</v>
      </c>
      <c r="F2012" s="4" t="s">
        <v>4097</v>
      </c>
      <c r="G2012" s="4" t="s">
        <v>3943</v>
      </c>
      <c r="H2012" s="4" t="s">
        <v>2183</v>
      </c>
      <c r="I2012" s="4" t="s">
        <v>2100</v>
      </c>
      <c r="J2012" s="4" t="s">
        <v>2111</v>
      </c>
      <c r="K2012">
        <v>8</v>
      </c>
      <c r="L2012">
        <v>2.4384000000000001</v>
      </c>
      <c r="M2012">
        <v>25.4</v>
      </c>
      <c r="N2012">
        <v>139.69999999999999</v>
      </c>
      <c r="O2012">
        <v>96.000000000000014</v>
      </c>
      <c r="P2012">
        <v>1</v>
      </c>
      <c r="Q2012">
        <v>5.5</v>
      </c>
      <c r="R2012">
        <v>924.60199999999998</v>
      </c>
      <c r="S2012">
        <v>8.6523697920000003E-3</v>
      </c>
      <c r="T2012" s="4" t="s">
        <v>4098</v>
      </c>
    </row>
    <row r="2013" spans="1:20" x14ac:dyDescent="0.2">
      <c r="A2013" s="4" t="s">
        <v>3940</v>
      </c>
      <c r="B2013" s="4" t="s">
        <v>4095</v>
      </c>
      <c r="C2013" s="4" t="s">
        <v>2096</v>
      </c>
      <c r="D2013" s="4" t="s">
        <v>2236</v>
      </c>
      <c r="E2013" s="4" t="s">
        <v>4115</v>
      </c>
      <c r="F2013" s="4" t="s">
        <v>4097</v>
      </c>
      <c r="G2013" s="4" t="s">
        <v>3943</v>
      </c>
      <c r="H2013" s="4" t="s">
        <v>2183</v>
      </c>
      <c r="I2013" s="4" t="s">
        <v>2100</v>
      </c>
      <c r="J2013" s="4" t="s">
        <v>2111</v>
      </c>
      <c r="K2013">
        <v>9</v>
      </c>
      <c r="L2013">
        <v>2.7432000000000003</v>
      </c>
      <c r="M2013">
        <v>25.4</v>
      </c>
      <c r="N2013">
        <v>139.69999999999999</v>
      </c>
      <c r="O2013">
        <v>108.00000000000001</v>
      </c>
      <c r="P2013">
        <v>1</v>
      </c>
      <c r="Q2013">
        <v>5.5</v>
      </c>
      <c r="R2013">
        <v>924.60199999999998</v>
      </c>
      <c r="S2013">
        <v>9.7339160160000004E-3</v>
      </c>
      <c r="T2013" s="4" t="s">
        <v>4098</v>
      </c>
    </row>
    <row r="2014" spans="1:20" x14ac:dyDescent="0.2">
      <c r="A2014" s="4" t="s">
        <v>3940</v>
      </c>
      <c r="B2014" s="4" t="s">
        <v>4116</v>
      </c>
      <c r="C2014" s="4" t="s">
        <v>2096</v>
      </c>
      <c r="D2014" s="4" t="s">
        <v>2236</v>
      </c>
      <c r="E2014" s="4" t="s">
        <v>138</v>
      </c>
      <c r="F2014" s="4" t="s">
        <v>4117</v>
      </c>
      <c r="G2014" s="4" t="s">
        <v>3943</v>
      </c>
      <c r="H2014" s="4" t="s">
        <v>2183</v>
      </c>
      <c r="I2014" s="4" t="s">
        <v>2100</v>
      </c>
      <c r="J2014" s="4" t="s">
        <v>2944</v>
      </c>
      <c r="K2014">
        <v>10</v>
      </c>
      <c r="L2014">
        <v>3.048</v>
      </c>
      <c r="M2014">
        <v>139.69999999999999</v>
      </c>
      <c r="N2014">
        <v>139.69999999999999</v>
      </c>
      <c r="O2014">
        <v>120</v>
      </c>
      <c r="P2014">
        <v>5.5</v>
      </c>
      <c r="Q2014">
        <v>5.5</v>
      </c>
      <c r="R2014">
        <v>168.10900000000001</v>
      </c>
      <c r="S2014">
        <v>5.9485042319999994E-2</v>
      </c>
      <c r="T2014" s="4" t="s">
        <v>4118</v>
      </c>
    </row>
    <row r="2015" spans="1:20" x14ac:dyDescent="0.2">
      <c r="A2015" s="4" t="s">
        <v>3940</v>
      </c>
      <c r="B2015" s="4" t="s">
        <v>4116</v>
      </c>
      <c r="C2015" s="4" t="s">
        <v>2096</v>
      </c>
      <c r="D2015" s="4" t="s">
        <v>2236</v>
      </c>
      <c r="E2015" s="4" t="s">
        <v>4119</v>
      </c>
      <c r="F2015" s="4" t="s">
        <v>4117</v>
      </c>
      <c r="G2015" s="4" t="s">
        <v>3943</v>
      </c>
      <c r="H2015" s="4" t="s">
        <v>2183</v>
      </c>
      <c r="I2015" s="4" t="s">
        <v>2100</v>
      </c>
      <c r="J2015" s="4" t="s">
        <v>2944</v>
      </c>
      <c r="K2015">
        <v>11</v>
      </c>
      <c r="L2015">
        <v>3.3528000000000002</v>
      </c>
      <c r="M2015">
        <v>139.69999999999999</v>
      </c>
      <c r="N2015">
        <v>139.69999999999999</v>
      </c>
      <c r="O2015">
        <v>132</v>
      </c>
      <c r="P2015">
        <v>5.5</v>
      </c>
      <c r="Q2015">
        <v>5.5</v>
      </c>
      <c r="R2015">
        <v>168.10900000000001</v>
      </c>
      <c r="S2015">
        <v>6.5433546551999996E-2</v>
      </c>
      <c r="T2015" s="4" t="s">
        <v>4118</v>
      </c>
    </row>
    <row r="2016" spans="1:20" x14ac:dyDescent="0.2">
      <c r="A2016" s="4" t="s">
        <v>3940</v>
      </c>
      <c r="B2016" s="4" t="s">
        <v>4116</v>
      </c>
      <c r="C2016" s="4" t="s">
        <v>2096</v>
      </c>
      <c r="D2016" s="4" t="s">
        <v>2236</v>
      </c>
      <c r="E2016" s="4" t="s">
        <v>140</v>
      </c>
      <c r="F2016" s="4" t="s">
        <v>4117</v>
      </c>
      <c r="G2016" s="4" t="s">
        <v>3943</v>
      </c>
      <c r="H2016" s="4" t="s">
        <v>2183</v>
      </c>
      <c r="I2016" s="4" t="s">
        <v>2100</v>
      </c>
      <c r="J2016" s="4" t="s">
        <v>2944</v>
      </c>
      <c r="K2016">
        <v>12</v>
      </c>
      <c r="L2016">
        <v>3.6576</v>
      </c>
      <c r="M2016">
        <v>139.69999999999999</v>
      </c>
      <c r="N2016">
        <v>139.69999999999999</v>
      </c>
      <c r="O2016">
        <v>144</v>
      </c>
      <c r="P2016">
        <v>5.5</v>
      </c>
      <c r="Q2016">
        <v>5.5</v>
      </c>
      <c r="R2016">
        <v>168.10900000000001</v>
      </c>
      <c r="S2016">
        <v>7.1382050783999992E-2</v>
      </c>
      <c r="T2016" s="4" t="s">
        <v>4118</v>
      </c>
    </row>
    <row r="2017" spans="1:20" x14ac:dyDescent="0.2">
      <c r="A2017" s="4" t="s">
        <v>3940</v>
      </c>
      <c r="B2017" s="4" t="s">
        <v>4116</v>
      </c>
      <c r="C2017" s="4" t="s">
        <v>2096</v>
      </c>
      <c r="D2017" s="4" t="s">
        <v>2236</v>
      </c>
      <c r="E2017" s="4" t="s">
        <v>4120</v>
      </c>
      <c r="F2017" s="4" t="s">
        <v>4117</v>
      </c>
      <c r="G2017" s="4" t="s">
        <v>3943</v>
      </c>
      <c r="H2017" s="4" t="s">
        <v>2183</v>
      </c>
      <c r="I2017" s="4" t="s">
        <v>2100</v>
      </c>
      <c r="J2017" s="4" t="s">
        <v>2944</v>
      </c>
      <c r="K2017">
        <v>13</v>
      </c>
      <c r="L2017">
        <v>3.9624000000000001</v>
      </c>
      <c r="M2017">
        <v>139.69999999999999</v>
      </c>
      <c r="N2017">
        <v>139.69999999999999</v>
      </c>
      <c r="O2017">
        <v>156</v>
      </c>
      <c r="P2017">
        <v>5.5</v>
      </c>
      <c r="Q2017">
        <v>5.5</v>
      </c>
      <c r="R2017">
        <v>168.10900000000001</v>
      </c>
      <c r="S2017">
        <v>7.7330555015999988E-2</v>
      </c>
      <c r="T2017" s="4" t="s">
        <v>4118</v>
      </c>
    </row>
    <row r="2018" spans="1:20" x14ac:dyDescent="0.2">
      <c r="A2018" s="4" t="s">
        <v>3940</v>
      </c>
      <c r="B2018" s="4" t="s">
        <v>4116</v>
      </c>
      <c r="C2018" s="4" t="s">
        <v>2096</v>
      </c>
      <c r="D2018" s="4" t="s">
        <v>2236</v>
      </c>
      <c r="E2018" s="4" t="s">
        <v>142</v>
      </c>
      <c r="F2018" s="4" t="s">
        <v>4117</v>
      </c>
      <c r="G2018" s="4" t="s">
        <v>3943</v>
      </c>
      <c r="H2018" s="4" t="s">
        <v>2183</v>
      </c>
      <c r="I2018" s="4" t="s">
        <v>2100</v>
      </c>
      <c r="J2018" s="4" t="s">
        <v>2944</v>
      </c>
      <c r="K2018">
        <v>14</v>
      </c>
      <c r="L2018">
        <v>4.2671999999999999</v>
      </c>
      <c r="M2018">
        <v>139.69999999999999</v>
      </c>
      <c r="N2018">
        <v>139.69999999999999</v>
      </c>
      <c r="O2018">
        <v>168</v>
      </c>
      <c r="P2018">
        <v>5.5</v>
      </c>
      <c r="Q2018">
        <v>5.5</v>
      </c>
      <c r="R2018">
        <v>168.10900000000001</v>
      </c>
      <c r="S2018">
        <v>8.327905924799997E-2</v>
      </c>
      <c r="T2018" s="4" t="s">
        <v>4118</v>
      </c>
    </row>
    <row r="2019" spans="1:20" x14ac:dyDescent="0.2">
      <c r="A2019" s="4" t="s">
        <v>3940</v>
      </c>
      <c r="B2019" s="4" t="s">
        <v>4116</v>
      </c>
      <c r="C2019" s="4" t="s">
        <v>2096</v>
      </c>
      <c r="D2019" s="4" t="s">
        <v>2236</v>
      </c>
      <c r="E2019" s="4" t="s">
        <v>4121</v>
      </c>
      <c r="F2019" s="4" t="s">
        <v>4117</v>
      </c>
      <c r="G2019" s="4" t="s">
        <v>3943</v>
      </c>
      <c r="H2019" s="4" t="s">
        <v>2183</v>
      </c>
      <c r="I2019" s="4" t="s">
        <v>2100</v>
      </c>
      <c r="J2019" s="4" t="s">
        <v>2944</v>
      </c>
      <c r="K2019">
        <v>15</v>
      </c>
      <c r="L2019">
        <v>4.5720000000000001</v>
      </c>
      <c r="M2019">
        <v>139.69999999999999</v>
      </c>
      <c r="N2019">
        <v>139.69999999999999</v>
      </c>
      <c r="O2019">
        <v>180</v>
      </c>
      <c r="P2019">
        <v>5.5</v>
      </c>
      <c r="Q2019">
        <v>5.5</v>
      </c>
      <c r="R2019">
        <v>168.10900000000001</v>
      </c>
      <c r="S2019">
        <v>8.922756347999998E-2</v>
      </c>
      <c r="T2019" s="4" t="s">
        <v>4118</v>
      </c>
    </row>
    <row r="2020" spans="1:20" x14ac:dyDescent="0.2">
      <c r="A2020" s="4" t="s">
        <v>3940</v>
      </c>
      <c r="B2020" s="4" t="s">
        <v>4116</v>
      </c>
      <c r="C2020" s="4" t="s">
        <v>2096</v>
      </c>
      <c r="D2020" s="4" t="s">
        <v>2236</v>
      </c>
      <c r="E2020" s="4" t="s">
        <v>144</v>
      </c>
      <c r="F2020" s="4" t="s">
        <v>4117</v>
      </c>
      <c r="G2020" s="4" t="s">
        <v>3943</v>
      </c>
      <c r="H2020" s="4" t="s">
        <v>2183</v>
      </c>
      <c r="I2020" s="4" t="s">
        <v>2100</v>
      </c>
      <c r="J2020" s="4" t="s">
        <v>2944</v>
      </c>
      <c r="K2020">
        <v>16</v>
      </c>
      <c r="L2020">
        <v>4.8768000000000002</v>
      </c>
      <c r="M2020">
        <v>139.69999999999999</v>
      </c>
      <c r="N2020">
        <v>139.69999999999999</v>
      </c>
      <c r="O2020">
        <v>192.00000000000003</v>
      </c>
      <c r="P2020">
        <v>5.5</v>
      </c>
      <c r="Q2020">
        <v>5.5</v>
      </c>
      <c r="R2020">
        <v>168.10900000000001</v>
      </c>
      <c r="S2020">
        <v>9.517606771199999E-2</v>
      </c>
      <c r="T2020" s="4" t="s">
        <v>4118</v>
      </c>
    </row>
    <row r="2021" spans="1:20" x14ac:dyDescent="0.2">
      <c r="A2021" s="4" t="s">
        <v>3940</v>
      </c>
      <c r="B2021" s="4" t="s">
        <v>4116</v>
      </c>
      <c r="C2021" s="4" t="s">
        <v>2096</v>
      </c>
      <c r="D2021" s="4" t="s">
        <v>2236</v>
      </c>
      <c r="E2021" s="4" t="s">
        <v>4122</v>
      </c>
      <c r="F2021" s="4" t="s">
        <v>4117</v>
      </c>
      <c r="G2021" s="4" t="s">
        <v>3943</v>
      </c>
      <c r="H2021" s="4" t="s">
        <v>2183</v>
      </c>
      <c r="I2021" s="4" t="s">
        <v>2100</v>
      </c>
      <c r="J2021" s="4" t="s">
        <v>2944</v>
      </c>
      <c r="K2021">
        <v>17</v>
      </c>
      <c r="L2021">
        <v>5.1816000000000004</v>
      </c>
      <c r="M2021">
        <v>139.69999999999999</v>
      </c>
      <c r="N2021">
        <v>139.69999999999999</v>
      </c>
      <c r="O2021">
        <v>204.00000000000003</v>
      </c>
      <c r="P2021">
        <v>5.5</v>
      </c>
      <c r="Q2021">
        <v>5.5</v>
      </c>
      <c r="R2021">
        <v>168.10900000000001</v>
      </c>
      <c r="S2021">
        <v>0.10112457194399999</v>
      </c>
      <c r="T2021" s="4" t="s">
        <v>4118</v>
      </c>
    </row>
    <row r="2022" spans="1:20" x14ac:dyDescent="0.2">
      <c r="A2022" s="4" t="s">
        <v>3940</v>
      </c>
      <c r="B2022" s="4" t="s">
        <v>4116</v>
      </c>
      <c r="C2022" s="4" t="s">
        <v>2096</v>
      </c>
      <c r="D2022" s="4" t="s">
        <v>2236</v>
      </c>
      <c r="E2022" s="4" t="s">
        <v>146</v>
      </c>
      <c r="F2022" s="4" t="s">
        <v>4117</v>
      </c>
      <c r="G2022" s="4" t="s">
        <v>3943</v>
      </c>
      <c r="H2022" s="4" t="s">
        <v>2183</v>
      </c>
      <c r="I2022" s="4" t="s">
        <v>2100</v>
      </c>
      <c r="J2022" s="4" t="s">
        <v>2944</v>
      </c>
      <c r="K2022">
        <v>18</v>
      </c>
      <c r="L2022">
        <v>5.4863999999999997</v>
      </c>
      <c r="M2022">
        <v>139.69999999999999</v>
      </c>
      <c r="N2022">
        <v>139.69999999999999</v>
      </c>
      <c r="O2022">
        <v>216</v>
      </c>
      <c r="P2022">
        <v>5.5</v>
      </c>
      <c r="Q2022">
        <v>5.5</v>
      </c>
      <c r="R2022">
        <v>168.10900000000001</v>
      </c>
      <c r="S2022">
        <v>0.10707307617599995</v>
      </c>
      <c r="T2022" s="4" t="s">
        <v>4118</v>
      </c>
    </row>
    <row r="2023" spans="1:20" x14ac:dyDescent="0.2">
      <c r="A2023" s="4" t="s">
        <v>3940</v>
      </c>
      <c r="B2023" s="4" t="s">
        <v>4116</v>
      </c>
      <c r="C2023" s="4" t="s">
        <v>2096</v>
      </c>
      <c r="D2023" s="4" t="s">
        <v>2236</v>
      </c>
      <c r="E2023" s="4" t="s">
        <v>4123</v>
      </c>
      <c r="F2023" s="4" t="s">
        <v>4117</v>
      </c>
      <c r="G2023" s="4" t="s">
        <v>3943</v>
      </c>
      <c r="H2023" s="4" t="s">
        <v>2183</v>
      </c>
      <c r="I2023" s="4" t="s">
        <v>2100</v>
      </c>
      <c r="J2023" s="4" t="s">
        <v>2944</v>
      </c>
      <c r="K2023">
        <v>19</v>
      </c>
      <c r="L2023">
        <v>5.7911999999999999</v>
      </c>
      <c r="M2023">
        <v>139.69999999999999</v>
      </c>
      <c r="N2023">
        <v>139.69999999999999</v>
      </c>
      <c r="O2023">
        <v>228</v>
      </c>
      <c r="P2023">
        <v>5.5</v>
      </c>
      <c r="Q2023">
        <v>5.5</v>
      </c>
      <c r="R2023">
        <v>168.10900000000001</v>
      </c>
      <c r="S2023">
        <v>0.11302158040799998</v>
      </c>
      <c r="T2023" s="4" t="s">
        <v>4118</v>
      </c>
    </row>
    <row r="2024" spans="1:20" x14ac:dyDescent="0.2">
      <c r="A2024" s="4" t="s">
        <v>3940</v>
      </c>
      <c r="B2024" s="4" t="s">
        <v>4116</v>
      </c>
      <c r="C2024" s="4" t="s">
        <v>2096</v>
      </c>
      <c r="D2024" s="4" t="s">
        <v>2236</v>
      </c>
      <c r="E2024" s="4" t="s">
        <v>148</v>
      </c>
      <c r="F2024" s="4" t="s">
        <v>4117</v>
      </c>
      <c r="G2024" s="4" t="s">
        <v>3943</v>
      </c>
      <c r="H2024" s="4" t="s">
        <v>2183</v>
      </c>
      <c r="I2024" s="4" t="s">
        <v>2100</v>
      </c>
      <c r="J2024" s="4" t="s">
        <v>2944</v>
      </c>
      <c r="K2024">
        <v>20</v>
      </c>
      <c r="L2024">
        <v>6.0960000000000001</v>
      </c>
      <c r="M2024">
        <v>139.69999999999999</v>
      </c>
      <c r="N2024">
        <v>139.69999999999999</v>
      </c>
      <c r="O2024">
        <v>240</v>
      </c>
      <c r="P2024">
        <v>5.5</v>
      </c>
      <c r="Q2024">
        <v>5.5</v>
      </c>
      <c r="R2024">
        <v>168.10900000000001</v>
      </c>
      <c r="S2024">
        <v>0.11897008463999999</v>
      </c>
      <c r="T2024" s="4" t="s">
        <v>4118</v>
      </c>
    </row>
    <row r="2025" spans="1:20" x14ac:dyDescent="0.2">
      <c r="A2025" s="4" t="s">
        <v>3940</v>
      </c>
      <c r="B2025" s="4" t="s">
        <v>4116</v>
      </c>
      <c r="C2025" s="4" t="s">
        <v>2096</v>
      </c>
      <c r="D2025" s="4" t="s">
        <v>2236</v>
      </c>
      <c r="E2025" s="4" t="s">
        <v>4124</v>
      </c>
      <c r="F2025" s="4" t="s">
        <v>4117</v>
      </c>
      <c r="G2025" s="4" t="s">
        <v>3943</v>
      </c>
      <c r="H2025" s="4" t="s">
        <v>2183</v>
      </c>
      <c r="I2025" s="4" t="s">
        <v>2100</v>
      </c>
      <c r="J2025" s="4" t="s">
        <v>2944</v>
      </c>
      <c r="K2025">
        <v>21</v>
      </c>
      <c r="L2025">
        <v>6.4008000000000003</v>
      </c>
      <c r="M2025">
        <v>139.69999999999999</v>
      </c>
      <c r="N2025">
        <v>139.69999999999999</v>
      </c>
      <c r="O2025">
        <v>252.00000000000003</v>
      </c>
      <c r="P2025">
        <v>5.5</v>
      </c>
      <c r="Q2025">
        <v>5.5</v>
      </c>
      <c r="R2025">
        <v>168.10900000000001</v>
      </c>
      <c r="S2025">
        <v>0.12491858887199997</v>
      </c>
      <c r="T2025" s="4" t="s">
        <v>4118</v>
      </c>
    </row>
    <row r="2026" spans="1:20" x14ac:dyDescent="0.2">
      <c r="A2026" s="4" t="s">
        <v>3940</v>
      </c>
      <c r="B2026" s="4" t="s">
        <v>4116</v>
      </c>
      <c r="C2026" s="4" t="s">
        <v>2096</v>
      </c>
      <c r="D2026" s="4" t="s">
        <v>2236</v>
      </c>
      <c r="E2026" s="4" t="s">
        <v>4125</v>
      </c>
      <c r="F2026" s="4" t="s">
        <v>4117</v>
      </c>
      <c r="G2026" s="4" t="s">
        <v>3943</v>
      </c>
      <c r="H2026" s="4" t="s">
        <v>2183</v>
      </c>
      <c r="I2026" s="4" t="s">
        <v>2100</v>
      </c>
      <c r="J2026" s="4" t="s">
        <v>2944</v>
      </c>
      <c r="K2026">
        <v>22</v>
      </c>
      <c r="L2026">
        <v>6.7055999999999996</v>
      </c>
      <c r="M2026">
        <v>139.69999999999999</v>
      </c>
      <c r="N2026">
        <v>139.69999999999999</v>
      </c>
      <c r="O2026">
        <v>264</v>
      </c>
      <c r="P2026">
        <v>5.5</v>
      </c>
      <c r="Q2026">
        <v>5.5</v>
      </c>
      <c r="R2026">
        <v>168.10900000000001</v>
      </c>
      <c r="S2026">
        <v>0.13086709310399997</v>
      </c>
      <c r="T2026" s="4" t="s">
        <v>4118</v>
      </c>
    </row>
    <row r="2027" spans="1:20" x14ac:dyDescent="0.2">
      <c r="A2027" s="4" t="s">
        <v>3940</v>
      </c>
      <c r="B2027" s="4" t="s">
        <v>4116</v>
      </c>
      <c r="C2027" s="4" t="s">
        <v>2096</v>
      </c>
      <c r="D2027" s="4" t="s">
        <v>2236</v>
      </c>
      <c r="E2027" s="4" t="s">
        <v>4126</v>
      </c>
      <c r="F2027" s="4" t="s">
        <v>4117</v>
      </c>
      <c r="G2027" s="4" t="s">
        <v>3943</v>
      </c>
      <c r="H2027" s="4" t="s">
        <v>2183</v>
      </c>
      <c r="I2027" s="4" t="s">
        <v>2100</v>
      </c>
      <c r="J2027" s="4" t="s">
        <v>2944</v>
      </c>
      <c r="K2027">
        <v>3</v>
      </c>
      <c r="L2027">
        <v>0.9144000000000001</v>
      </c>
      <c r="M2027">
        <v>139.69999999999999</v>
      </c>
      <c r="N2027">
        <v>139.69999999999999</v>
      </c>
      <c r="O2027">
        <v>36.000000000000007</v>
      </c>
      <c r="P2027">
        <v>5.5</v>
      </c>
      <c r="Q2027">
        <v>5.5</v>
      </c>
      <c r="R2027">
        <v>168.10900000000001</v>
      </c>
      <c r="S2027">
        <v>1.7845512695999998E-2</v>
      </c>
      <c r="T2027" s="4" t="s">
        <v>4118</v>
      </c>
    </row>
    <row r="2028" spans="1:20" x14ac:dyDescent="0.2">
      <c r="A2028" s="4" t="s">
        <v>3940</v>
      </c>
      <c r="B2028" s="4" t="s">
        <v>4116</v>
      </c>
      <c r="C2028" s="4" t="s">
        <v>2096</v>
      </c>
      <c r="D2028" s="4" t="s">
        <v>2236</v>
      </c>
      <c r="E2028" s="4" t="s">
        <v>4127</v>
      </c>
      <c r="F2028" s="4" t="s">
        <v>4117</v>
      </c>
      <c r="G2028" s="4" t="s">
        <v>3943</v>
      </c>
      <c r="H2028" s="4" t="s">
        <v>2183</v>
      </c>
      <c r="I2028" s="4" t="s">
        <v>2100</v>
      </c>
      <c r="J2028" s="4" t="s">
        <v>2944</v>
      </c>
      <c r="K2028">
        <v>4</v>
      </c>
      <c r="L2028">
        <v>1.2192000000000001</v>
      </c>
      <c r="M2028">
        <v>139.69999999999999</v>
      </c>
      <c r="N2028">
        <v>139.69999999999999</v>
      </c>
      <c r="O2028">
        <v>48.000000000000007</v>
      </c>
      <c r="P2028">
        <v>5.5</v>
      </c>
      <c r="Q2028">
        <v>5.5</v>
      </c>
      <c r="R2028">
        <v>168.10900000000001</v>
      </c>
      <c r="S2028">
        <v>2.3794016927999997E-2</v>
      </c>
      <c r="T2028" s="4" t="s">
        <v>4118</v>
      </c>
    </row>
    <row r="2029" spans="1:20" x14ac:dyDescent="0.2">
      <c r="A2029" s="4" t="s">
        <v>3940</v>
      </c>
      <c r="B2029" s="4" t="s">
        <v>4116</v>
      </c>
      <c r="C2029" s="4" t="s">
        <v>2096</v>
      </c>
      <c r="D2029" s="4" t="s">
        <v>2236</v>
      </c>
      <c r="E2029" s="4" t="s">
        <v>4128</v>
      </c>
      <c r="F2029" s="4" t="s">
        <v>4117</v>
      </c>
      <c r="G2029" s="4" t="s">
        <v>3943</v>
      </c>
      <c r="H2029" s="4" t="s">
        <v>2183</v>
      </c>
      <c r="I2029" s="4" t="s">
        <v>2100</v>
      </c>
      <c r="J2029" s="4" t="s">
        <v>2944</v>
      </c>
      <c r="K2029">
        <v>5</v>
      </c>
      <c r="L2029">
        <v>1.524</v>
      </c>
      <c r="M2029">
        <v>139.69999999999999</v>
      </c>
      <c r="N2029">
        <v>139.69999999999999</v>
      </c>
      <c r="O2029">
        <v>60</v>
      </c>
      <c r="P2029">
        <v>5.5</v>
      </c>
      <c r="Q2029">
        <v>5.5</v>
      </c>
      <c r="R2029">
        <v>168.10900000000001</v>
      </c>
      <c r="S2029">
        <v>2.9742521159999997E-2</v>
      </c>
      <c r="T2029" s="4" t="s">
        <v>4118</v>
      </c>
    </row>
    <row r="2030" spans="1:20" x14ac:dyDescent="0.2">
      <c r="A2030" s="4" t="s">
        <v>3940</v>
      </c>
      <c r="B2030" s="4" t="s">
        <v>4116</v>
      </c>
      <c r="C2030" s="4" t="s">
        <v>2096</v>
      </c>
      <c r="D2030" s="4" t="s">
        <v>2236</v>
      </c>
      <c r="E2030" s="4" t="s">
        <v>4129</v>
      </c>
      <c r="F2030" s="4" t="s">
        <v>4117</v>
      </c>
      <c r="G2030" s="4" t="s">
        <v>3943</v>
      </c>
      <c r="H2030" s="4" t="s">
        <v>2183</v>
      </c>
      <c r="I2030" s="4" t="s">
        <v>2100</v>
      </c>
      <c r="J2030" s="4" t="s">
        <v>2944</v>
      </c>
      <c r="K2030">
        <v>6</v>
      </c>
      <c r="L2030">
        <v>1.8288</v>
      </c>
      <c r="M2030">
        <v>139.69999999999999</v>
      </c>
      <c r="N2030">
        <v>139.69999999999999</v>
      </c>
      <c r="O2030">
        <v>72</v>
      </c>
      <c r="P2030">
        <v>5.5</v>
      </c>
      <c r="Q2030">
        <v>5.5</v>
      </c>
      <c r="R2030">
        <v>168.10900000000001</v>
      </c>
      <c r="S2030">
        <v>3.5691025391999996E-2</v>
      </c>
      <c r="T2030" s="4" t="s">
        <v>4118</v>
      </c>
    </row>
    <row r="2031" spans="1:20" x14ac:dyDescent="0.2">
      <c r="A2031" s="4" t="s">
        <v>3940</v>
      </c>
      <c r="B2031" s="4" t="s">
        <v>4116</v>
      </c>
      <c r="C2031" s="4" t="s">
        <v>2096</v>
      </c>
      <c r="D2031" s="4" t="s">
        <v>2236</v>
      </c>
      <c r="E2031" s="4" t="s">
        <v>4130</v>
      </c>
      <c r="F2031" s="4" t="s">
        <v>4117</v>
      </c>
      <c r="G2031" s="4" t="s">
        <v>3943</v>
      </c>
      <c r="H2031" s="4" t="s">
        <v>2183</v>
      </c>
      <c r="I2031" s="4" t="s">
        <v>2100</v>
      </c>
      <c r="J2031" s="4" t="s">
        <v>2944</v>
      </c>
      <c r="K2031">
        <v>7</v>
      </c>
      <c r="L2031">
        <v>2.1335999999999999</v>
      </c>
      <c r="M2031">
        <v>139.69999999999999</v>
      </c>
      <c r="N2031">
        <v>139.69999999999999</v>
      </c>
      <c r="O2031">
        <v>84</v>
      </c>
      <c r="P2031">
        <v>5.5</v>
      </c>
      <c r="Q2031">
        <v>5.5</v>
      </c>
      <c r="R2031">
        <v>168.10900000000001</v>
      </c>
      <c r="S2031">
        <v>4.1639529623999985E-2</v>
      </c>
      <c r="T2031" s="4" t="s">
        <v>4118</v>
      </c>
    </row>
    <row r="2032" spans="1:20" x14ac:dyDescent="0.2">
      <c r="A2032" s="4" t="s">
        <v>3940</v>
      </c>
      <c r="B2032" s="4" t="s">
        <v>4116</v>
      </c>
      <c r="C2032" s="4" t="s">
        <v>2096</v>
      </c>
      <c r="D2032" s="4" t="s">
        <v>2236</v>
      </c>
      <c r="E2032" s="4" t="s">
        <v>150</v>
      </c>
      <c r="F2032" s="4" t="s">
        <v>4117</v>
      </c>
      <c r="G2032" s="4" t="s">
        <v>3943</v>
      </c>
      <c r="H2032" s="4" t="s">
        <v>2183</v>
      </c>
      <c r="I2032" s="4" t="s">
        <v>2100</v>
      </c>
      <c r="J2032" s="4" t="s">
        <v>2944</v>
      </c>
      <c r="K2032">
        <v>8</v>
      </c>
      <c r="L2032">
        <v>2.4384000000000001</v>
      </c>
      <c r="M2032">
        <v>139.69999999999999</v>
      </c>
      <c r="N2032">
        <v>139.69999999999999</v>
      </c>
      <c r="O2032">
        <v>96.000000000000014</v>
      </c>
      <c r="P2032">
        <v>5.5</v>
      </c>
      <c r="Q2032">
        <v>5.5</v>
      </c>
      <c r="R2032">
        <v>168.10900000000001</v>
      </c>
      <c r="S2032">
        <v>4.7588033855999995E-2</v>
      </c>
      <c r="T2032" s="4" t="s">
        <v>4118</v>
      </c>
    </row>
    <row r="2033" spans="1:20" x14ac:dyDescent="0.2">
      <c r="A2033" s="4" t="s">
        <v>3940</v>
      </c>
      <c r="B2033" s="4" t="s">
        <v>4116</v>
      </c>
      <c r="C2033" s="4" t="s">
        <v>2096</v>
      </c>
      <c r="D2033" s="4" t="s">
        <v>2236</v>
      </c>
      <c r="E2033" s="4" t="s">
        <v>4131</v>
      </c>
      <c r="F2033" s="4" t="s">
        <v>4117</v>
      </c>
      <c r="G2033" s="4" t="s">
        <v>3943</v>
      </c>
      <c r="H2033" s="4" t="s">
        <v>2183</v>
      </c>
      <c r="I2033" s="4" t="s">
        <v>2100</v>
      </c>
      <c r="J2033" s="4" t="s">
        <v>2944</v>
      </c>
      <c r="K2033">
        <v>9</v>
      </c>
      <c r="L2033">
        <v>2.7431999999999999</v>
      </c>
      <c r="M2033">
        <v>139.69999999999999</v>
      </c>
      <c r="N2033">
        <v>139.69999999999999</v>
      </c>
      <c r="O2033">
        <v>108</v>
      </c>
      <c r="P2033">
        <v>5.5</v>
      </c>
      <c r="Q2033">
        <v>5.5</v>
      </c>
      <c r="R2033">
        <v>168.10900000000001</v>
      </c>
      <c r="S2033">
        <v>5.3536538087999977E-2</v>
      </c>
      <c r="T2033" s="4" t="s">
        <v>4118</v>
      </c>
    </row>
    <row r="2034" spans="1:20" x14ac:dyDescent="0.2">
      <c r="A2034" s="4" t="s">
        <v>3940</v>
      </c>
      <c r="B2034" s="4" t="s">
        <v>4132</v>
      </c>
      <c r="C2034" s="4" t="s">
        <v>3110</v>
      </c>
      <c r="D2034" s="4" t="s">
        <v>2236</v>
      </c>
      <c r="E2034" s="4" t="s">
        <v>4133</v>
      </c>
      <c r="F2034" s="4" t="s">
        <v>4134</v>
      </c>
      <c r="G2034" s="4" t="s">
        <v>3940</v>
      </c>
      <c r="H2034" s="4" t="s">
        <v>2183</v>
      </c>
      <c r="I2034" s="4" t="s">
        <v>3110</v>
      </c>
      <c r="J2034" s="4" t="s">
        <v>4135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 s="4" t="s">
        <v>4136</v>
      </c>
    </row>
    <row r="2035" spans="1:20" x14ac:dyDescent="0.2">
      <c r="A2035" s="4" t="s">
        <v>3940</v>
      </c>
      <c r="B2035" s="4" t="s">
        <v>4137</v>
      </c>
      <c r="C2035" s="4" t="s">
        <v>3110</v>
      </c>
      <c r="D2035" s="4" t="s">
        <v>2236</v>
      </c>
      <c r="E2035" s="4" t="s">
        <v>4138</v>
      </c>
      <c r="F2035" s="4" t="s">
        <v>4139</v>
      </c>
      <c r="G2035" s="4" t="s">
        <v>3940</v>
      </c>
      <c r="H2035" s="4" t="s">
        <v>2183</v>
      </c>
      <c r="I2035" s="4" t="s">
        <v>3110</v>
      </c>
      <c r="J2035" s="4" t="s">
        <v>3934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s="4" t="s">
        <v>4140</v>
      </c>
    </row>
    <row r="2036" spans="1:20" x14ac:dyDescent="0.2">
      <c r="A2036" s="4" t="s">
        <v>3940</v>
      </c>
      <c r="B2036" s="4" t="s">
        <v>4141</v>
      </c>
      <c r="C2036" s="4" t="s">
        <v>3110</v>
      </c>
      <c r="D2036" s="4" t="s">
        <v>2236</v>
      </c>
      <c r="E2036" s="4" t="s">
        <v>4142</v>
      </c>
      <c r="F2036" s="4" t="s">
        <v>4143</v>
      </c>
      <c r="G2036" s="4" t="s">
        <v>3940</v>
      </c>
      <c r="H2036" s="4" t="s">
        <v>2183</v>
      </c>
      <c r="I2036" s="4" t="s">
        <v>3110</v>
      </c>
      <c r="J2036" s="4" t="s">
        <v>4144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 s="4" t="s">
        <v>4145</v>
      </c>
    </row>
    <row r="2037" spans="1:20" x14ac:dyDescent="0.2">
      <c r="A2037" s="4" t="s">
        <v>3940</v>
      </c>
      <c r="B2037" s="4" t="s">
        <v>4146</v>
      </c>
      <c r="C2037" s="4" t="s">
        <v>3110</v>
      </c>
      <c r="D2037" s="4" t="s">
        <v>2236</v>
      </c>
      <c r="E2037" s="4" t="s">
        <v>4147</v>
      </c>
      <c r="F2037" s="4" t="s">
        <v>4148</v>
      </c>
      <c r="G2037" s="4" t="s">
        <v>3940</v>
      </c>
      <c r="H2037" s="4" t="s">
        <v>2183</v>
      </c>
      <c r="I2037" s="4" t="s">
        <v>3110</v>
      </c>
      <c r="J2037" s="4" t="s">
        <v>4149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 s="4" t="s">
        <v>4150</v>
      </c>
    </row>
    <row r="2038" spans="1:20" x14ac:dyDescent="0.2">
      <c r="A2038" s="4" t="s">
        <v>4151</v>
      </c>
      <c r="B2038" s="4" t="s">
        <v>4152</v>
      </c>
      <c r="C2038" s="4" t="s">
        <v>3110</v>
      </c>
      <c r="D2038" s="4" t="s">
        <v>2236</v>
      </c>
      <c r="E2038" s="4" t="s">
        <v>4153</v>
      </c>
      <c r="F2038" s="4" t="s">
        <v>4154</v>
      </c>
      <c r="G2038" s="4" t="s">
        <v>4151</v>
      </c>
      <c r="H2038" s="4" t="s">
        <v>2183</v>
      </c>
      <c r="I2038" s="4" t="s">
        <v>3110</v>
      </c>
      <c r="J2038" s="4" t="s">
        <v>2111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 s="4" t="s">
        <v>4155</v>
      </c>
    </row>
    <row r="2039" spans="1:20" x14ac:dyDescent="0.2">
      <c r="A2039" s="4" t="s">
        <v>4156</v>
      </c>
      <c r="B2039" s="4" t="s">
        <v>4157</v>
      </c>
      <c r="C2039" s="4" t="s">
        <v>2096</v>
      </c>
      <c r="D2039" s="4" t="s">
        <v>2236</v>
      </c>
      <c r="E2039" s="4" t="s">
        <v>1766</v>
      </c>
      <c r="F2039" s="4" t="s">
        <v>4158</v>
      </c>
      <c r="G2039" s="4" t="s">
        <v>4156</v>
      </c>
      <c r="H2039" s="4" t="s">
        <v>2183</v>
      </c>
      <c r="I2039" s="4" t="s">
        <v>2100</v>
      </c>
      <c r="J2039" s="4" t="s">
        <v>2384</v>
      </c>
      <c r="K2039">
        <v>10</v>
      </c>
      <c r="L2039">
        <v>3.048</v>
      </c>
      <c r="M2039">
        <v>19.05</v>
      </c>
      <c r="N2039">
        <v>88.9</v>
      </c>
      <c r="O2039">
        <v>120</v>
      </c>
      <c r="P2039">
        <v>0.75000000000000011</v>
      </c>
      <c r="Q2039">
        <v>3.5000000000000004</v>
      </c>
      <c r="R2039">
        <v>1937.2619999999999</v>
      </c>
      <c r="S2039">
        <v>5.1619251600000006E-3</v>
      </c>
      <c r="T2039" s="4" t="s">
        <v>4159</v>
      </c>
    </row>
    <row r="2040" spans="1:20" x14ac:dyDescent="0.2">
      <c r="A2040" s="4" t="s">
        <v>4156</v>
      </c>
      <c r="B2040" s="4" t="s">
        <v>4157</v>
      </c>
      <c r="C2040" s="4" t="s">
        <v>2096</v>
      </c>
      <c r="D2040" s="4" t="s">
        <v>2236</v>
      </c>
      <c r="E2040" s="4" t="s">
        <v>1768</v>
      </c>
      <c r="F2040" s="4" t="s">
        <v>4158</v>
      </c>
      <c r="G2040" s="4" t="s">
        <v>4156</v>
      </c>
      <c r="H2040" s="4" t="s">
        <v>2183</v>
      </c>
      <c r="I2040" s="4" t="s">
        <v>2100</v>
      </c>
      <c r="J2040" s="4" t="s">
        <v>2384</v>
      </c>
      <c r="K2040">
        <v>12</v>
      </c>
      <c r="L2040">
        <v>3.6576</v>
      </c>
      <c r="M2040">
        <v>19.05</v>
      </c>
      <c r="N2040">
        <v>88.9</v>
      </c>
      <c r="O2040">
        <v>144</v>
      </c>
      <c r="P2040">
        <v>0.75000000000000011</v>
      </c>
      <c r="Q2040">
        <v>3.5000000000000004</v>
      </c>
      <c r="R2040">
        <v>1937.2619999999999</v>
      </c>
      <c r="S2040">
        <v>6.1943101919999998E-3</v>
      </c>
      <c r="T2040" s="4" t="s">
        <v>4159</v>
      </c>
    </row>
    <row r="2041" spans="1:20" x14ac:dyDescent="0.2">
      <c r="A2041" s="4" t="s">
        <v>4156</v>
      </c>
      <c r="B2041" s="4" t="s">
        <v>4157</v>
      </c>
      <c r="C2041" s="4" t="s">
        <v>2096</v>
      </c>
      <c r="D2041" s="4" t="s">
        <v>2236</v>
      </c>
      <c r="E2041" s="4" t="s">
        <v>1770</v>
      </c>
      <c r="F2041" s="4" t="s">
        <v>4158</v>
      </c>
      <c r="G2041" s="4" t="s">
        <v>4156</v>
      </c>
      <c r="H2041" s="4" t="s">
        <v>2183</v>
      </c>
      <c r="I2041" s="4" t="s">
        <v>2100</v>
      </c>
      <c r="J2041" s="4" t="s">
        <v>2384</v>
      </c>
      <c r="K2041">
        <v>14</v>
      </c>
      <c r="L2041">
        <v>4.2671999999999999</v>
      </c>
      <c r="M2041">
        <v>19.05</v>
      </c>
      <c r="N2041">
        <v>88.9</v>
      </c>
      <c r="O2041">
        <v>168</v>
      </c>
      <c r="P2041">
        <v>0.75000000000000011</v>
      </c>
      <c r="Q2041">
        <v>3.5000000000000004</v>
      </c>
      <c r="R2041">
        <v>1937.2619999999999</v>
      </c>
      <c r="S2041">
        <v>7.226695224E-3</v>
      </c>
      <c r="T2041" s="4" t="s">
        <v>4159</v>
      </c>
    </row>
    <row r="2042" spans="1:20" x14ac:dyDescent="0.2">
      <c r="A2042" s="4" t="s">
        <v>4156</v>
      </c>
      <c r="B2042" s="4" t="s">
        <v>4157</v>
      </c>
      <c r="C2042" s="4" t="s">
        <v>2096</v>
      </c>
      <c r="D2042" s="4" t="s">
        <v>2236</v>
      </c>
      <c r="E2042" s="4" t="s">
        <v>1772</v>
      </c>
      <c r="F2042" s="4" t="s">
        <v>4158</v>
      </c>
      <c r="G2042" s="4" t="s">
        <v>4156</v>
      </c>
      <c r="H2042" s="4" t="s">
        <v>2183</v>
      </c>
      <c r="I2042" s="4" t="s">
        <v>2100</v>
      </c>
      <c r="J2042" s="4" t="s">
        <v>2384</v>
      </c>
      <c r="K2042">
        <v>16</v>
      </c>
      <c r="L2042">
        <v>4.8768000000000002</v>
      </c>
      <c r="M2042">
        <v>19.05</v>
      </c>
      <c r="N2042">
        <v>88.9</v>
      </c>
      <c r="O2042">
        <v>192.00000000000003</v>
      </c>
      <c r="P2042">
        <v>0.75000000000000011</v>
      </c>
      <c r="Q2042">
        <v>3.5000000000000004</v>
      </c>
      <c r="R2042">
        <v>1937.2619999999999</v>
      </c>
      <c r="S2042">
        <v>8.259080256000001E-3</v>
      </c>
      <c r="T2042" s="4" t="s">
        <v>4159</v>
      </c>
    </row>
    <row r="2043" spans="1:20" x14ac:dyDescent="0.2">
      <c r="A2043" s="4" t="s">
        <v>4156</v>
      </c>
      <c r="B2043" s="4" t="s">
        <v>4157</v>
      </c>
      <c r="C2043" s="4" t="s">
        <v>2096</v>
      </c>
      <c r="D2043" s="4" t="s">
        <v>2236</v>
      </c>
      <c r="E2043" s="4" t="s">
        <v>1774</v>
      </c>
      <c r="F2043" s="4" t="s">
        <v>4158</v>
      </c>
      <c r="G2043" s="4" t="s">
        <v>4156</v>
      </c>
      <c r="H2043" s="4" t="s">
        <v>2183</v>
      </c>
      <c r="I2043" s="4" t="s">
        <v>2100</v>
      </c>
      <c r="J2043" s="4" t="s">
        <v>2384</v>
      </c>
      <c r="K2043">
        <v>18</v>
      </c>
      <c r="L2043">
        <v>5.4863999999999997</v>
      </c>
      <c r="M2043">
        <v>19.05</v>
      </c>
      <c r="N2043">
        <v>88.9</v>
      </c>
      <c r="O2043">
        <v>216</v>
      </c>
      <c r="P2043">
        <v>0.75000000000000011</v>
      </c>
      <c r="Q2043">
        <v>3.5000000000000004</v>
      </c>
      <c r="R2043">
        <v>1937.2619999999999</v>
      </c>
      <c r="S2043">
        <v>9.2914652880000011E-3</v>
      </c>
      <c r="T2043" s="4" t="s">
        <v>4159</v>
      </c>
    </row>
    <row r="2044" spans="1:20" x14ac:dyDescent="0.2">
      <c r="A2044" s="4" t="s">
        <v>4156</v>
      </c>
      <c r="B2044" s="4" t="s">
        <v>4157</v>
      </c>
      <c r="C2044" s="4" t="s">
        <v>2096</v>
      </c>
      <c r="D2044" s="4" t="s">
        <v>2236</v>
      </c>
      <c r="E2044" s="4" t="s">
        <v>1776</v>
      </c>
      <c r="F2044" s="4" t="s">
        <v>4158</v>
      </c>
      <c r="G2044" s="4" t="s">
        <v>4156</v>
      </c>
      <c r="H2044" s="4" t="s">
        <v>2183</v>
      </c>
      <c r="I2044" s="4" t="s">
        <v>2100</v>
      </c>
      <c r="J2044" s="4" t="s">
        <v>2384</v>
      </c>
      <c r="K2044">
        <v>20</v>
      </c>
      <c r="L2044">
        <v>6.0960000000000001</v>
      </c>
      <c r="M2044">
        <v>19.05</v>
      </c>
      <c r="N2044">
        <v>88.9</v>
      </c>
      <c r="O2044">
        <v>240</v>
      </c>
      <c r="P2044">
        <v>0.75000000000000011</v>
      </c>
      <c r="Q2044">
        <v>3.5000000000000004</v>
      </c>
      <c r="R2044">
        <v>1937.2619999999999</v>
      </c>
      <c r="S2044">
        <v>1.0323850320000001E-2</v>
      </c>
      <c r="T2044" s="4" t="s">
        <v>4159</v>
      </c>
    </row>
    <row r="2045" spans="1:20" x14ac:dyDescent="0.2">
      <c r="A2045" s="4" t="s">
        <v>4156</v>
      </c>
      <c r="B2045" s="4" t="s">
        <v>4157</v>
      </c>
      <c r="C2045" s="4" t="s">
        <v>2096</v>
      </c>
      <c r="D2045" s="4" t="s">
        <v>2236</v>
      </c>
      <c r="E2045" s="4" t="s">
        <v>1778</v>
      </c>
      <c r="F2045" s="4" t="s">
        <v>4158</v>
      </c>
      <c r="G2045" s="4" t="s">
        <v>4156</v>
      </c>
      <c r="H2045" s="4" t="s">
        <v>2183</v>
      </c>
      <c r="I2045" s="4" t="s">
        <v>2100</v>
      </c>
      <c r="J2045" s="4" t="s">
        <v>2384</v>
      </c>
      <c r="K2045">
        <v>22</v>
      </c>
      <c r="L2045">
        <v>6.7055999999999996</v>
      </c>
      <c r="M2045">
        <v>19.05</v>
      </c>
      <c r="N2045">
        <v>88.9</v>
      </c>
      <c r="O2045">
        <v>264</v>
      </c>
      <c r="P2045">
        <v>0.75000000000000011</v>
      </c>
      <c r="Q2045">
        <v>3.5000000000000004</v>
      </c>
      <c r="R2045">
        <v>1937.2619999999999</v>
      </c>
      <c r="S2045">
        <v>1.1356235352000001E-2</v>
      </c>
      <c r="T2045" s="4" t="s">
        <v>4159</v>
      </c>
    </row>
    <row r="2046" spans="1:20" x14ac:dyDescent="0.2">
      <c r="A2046" s="4" t="s">
        <v>4156</v>
      </c>
      <c r="B2046" s="4" t="s">
        <v>4157</v>
      </c>
      <c r="C2046" s="4" t="s">
        <v>2286</v>
      </c>
      <c r="D2046" s="4" t="s">
        <v>2236</v>
      </c>
      <c r="E2046" s="4" t="s">
        <v>1780</v>
      </c>
      <c r="F2046" s="4" t="s">
        <v>4158</v>
      </c>
      <c r="G2046" s="4" t="s">
        <v>4156</v>
      </c>
      <c r="H2046" s="4" t="s">
        <v>2183</v>
      </c>
      <c r="I2046" s="4" t="s">
        <v>2100</v>
      </c>
      <c r="J2046" s="4" t="s">
        <v>2384</v>
      </c>
      <c r="K2046">
        <v>4</v>
      </c>
      <c r="L2046">
        <v>1.2192000000000001</v>
      </c>
      <c r="M2046">
        <v>19.05</v>
      </c>
      <c r="N2046">
        <v>88.9</v>
      </c>
      <c r="O2046">
        <v>48.000000000000007</v>
      </c>
      <c r="P2046">
        <v>0.75000000000000011</v>
      </c>
      <c r="Q2046">
        <v>3.5000000000000004</v>
      </c>
      <c r="R2046">
        <v>1937.2619999999999</v>
      </c>
      <c r="S2046">
        <v>2.0647700640000002E-3</v>
      </c>
      <c r="T2046" s="4" t="s">
        <v>4160</v>
      </c>
    </row>
    <row r="2047" spans="1:20" x14ac:dyDescent="0.2">
      <c r="A2047" s="4" t="s">
        <v>4156</v>
      </c>
      <c r="B2047" s="4" t="s">
        <v>4157</v>
      </c>
      <c r="C2047" s="4" t="s">
        <v>2286</v>
      </c>
      <c r="D2047" s="4" t="s">
        <v>2236</v>
      </c>
      <c r="E2047" s="4" t="s">
        <v>1782</v>
      </c>
      <c r="F2047" s="4" t="s">
        <v>4158</v>
      </c>
      <c r="G2047" s="4" t="s">
        <v>4156</v>
      </c>
      <c r="H2047" s="4" t="s">
        <v>2183</v>
      </c>
      <c r="I2047" s="4" t="s">
        <v>2100</v>
      </c>
      <c r="J2047" s="4" t="s">
        <v>2384</v>
      </c>
      <c r="K2047">
        <v>5</v>
      </c>
      <c r="L2047">
        <v>1.524</v>
      </c>
      <c r="M2047">
        <v>19.05</v>
      </c>
      <c r="N2047">
        <v>88.9</v>
      </c>
      <c r="O2047">
        <v>60</v>
      </c>
      <c r="P2047">
        <v>0.75000000000000011</v>
      </c>
      <c r="Q2047">
        <v>3.5000000000000004</v>
      </c>
      <c r="R2047">
        <v>1937.2619999999999</v>
      </c>
      <c r="S2047">
        <v>2.5809625800000003E-3</v>
      </c>
      <c r="T2047" s="4" t="s">
        <v>4160</v>
      </c>
    </row>
    <row r="2048" spans="1:20" x14ac:dyDescent="0.2">
      <c r="A2048" s="4" t="s">
        <v>4156</v>
      </c>
      <c r="B2048" s="4" t="s">
        <v>4157</v>
      </c>
      <c r="C2048" s="4" t="s">
        <v>2286</v>
      </c>
      <c r="D2048" s="4" t="s">
        <v>2236</v>
      </c>
      <c r="E2048" s="4" t="s">
        <v>1784</v>
      </c>
      <c r="F2048" s="4" t="s">
        <v>4158</v>
      </c>
      <c r="G2048" s="4" t="s">
        <v>4156</v>
      </c>
      <c r="H2048" s="4" t="s">
        <v>2183</v>
      </c>
      <c r="I2048" s="4" t="s">
        <v>2100</v>
      </c>
      <c r="J2048" s="4" t="s">
        <v>2384</v>
      </c>
      <c r="K2048">
        <v>6</v>
      </c>
      <c r="L2048">
        <v>1.8288</v>
      </c>
      <c r="M2048">
        <v>19.05</v>
      </c>
      <c r="N2048">
        <v>88.9</v>
      </c>
      <c r="O2048">
        <v>72</v>
      </c>
      <c r="P2048">
        <v>0.75000000000000011</v>
      </c>
      <c r="Q2048">
        <v>3.5000000000000004</v>
      </c>
      <c r="R2048">
        <v>1937.2619999999999</v>
      </c>
      <c r="S2048">
        <v>3.0971550959999999E-3</v>
      </c>
      <c r="T2048" s="4" t="s">
        <v>4160</v>
      </c>
    </row>
    <row r="2049" spans="1:20" x14ac:dyDescent="0.2">
      <c r="A2049" s="4" t="s">
        <v>4156</v>
      </c>
      <c r="B2049" s="4" t="s">
        <v>4157</v>
      </c>
      <c r="C2049" s="4" t="s">
        <v>2286</v>
      </c>
      <c r="D2049" s="4" t="s">
        <v>2236</v>
      </c>
      <c r="E2049" s="4" t="s">
        <v>1786</v>
      </c>
      <c r="F2049" s="4" t="s">
        <v>4158</v>
      </c>
      <c r="G2049" s="4" t="s">
        <v>4156</v>
      </c>
      <c r="H2049" s="4" t="s">
        <v>2183</v>
      </c>
      <c r="I2049" s="4" t="s">
        <v>2100</v>
      </c>
      <c r="J2049" s="4" t="s">
        <v>2384</v>
      </c>
      <c r="K2049">
        <v>7</v>
      </c>
      <c r="L2049">
        <v>2.1335999999999999</v>
      </c>
      <c r="M2049">
        <v>19.05</v>
      </c>
      <c r="N2049">
        <v>88.9</v>
      </c>
      <c r="O2049">
        <v>84</v>
      </c>
      <c r="P2049">
        <v>0.75000000000000011</v>
      </c>
      <c r="Q2049">
        <v>3.5000000000000004</v>
      </c>
      <c r="R2049">
        <v>1937.2619999999999</v>
      </c>
      <c r="S2049">
        <v>3.613347612E-3</v>
      </c>
      <c r="T2049" s="4" t="s">
        <v>4160</v>
      </c>
    </row>
    <row r="2050" spans="1:20" x14ac:dyDescent="0.2">
      <c r="A2050" s="4" t="s">
        <v>4156</v>
      </c>
      <c r="B2050" s="4" t="s">
        <v>4157</v>
      </c>
      <c r="C2050" s="4" t="s">
        <v>2096</v>
      </c>
      <c r="D2050" s="4" t="s">
        <v>2236</v>
      </c>
      <c r="E2050" s="4" t="s">
        <v>1788</v>
      </c>
      <c r="F2050" s="4" t="s">
        <v>4158</v>
      </c>
      <c r="G2050" s="4" t="s">
        <v>4156</v>
      </c>
      <c r="H2050" s="4" t="s">
        <v>2183</v>
      </c>
      <c r="I2050" s="4" t="s">
        <v>2100</v>
      </c>
      <c r="J2050" s="4" t="s">
        <v>2384</v>
      </c>
      <c r="K2050">
        <v>8</v>
      </c>
      <c r="L2050">
        <v>2.4384000000000001</v>
      </c>
      <c r="M2050">
        <v>19.05</v>
      </c>
      <c r="N2050">
        <v>88.9</v>
      </c>
      <c r="O2050">
        <v>96.000000000000014</v>
      </c>
      <c r="P2050">
        <v>0.75000000000000011</v>
      </c>
      <c r="Q2050">
        <v>3.5000000000000004</v>
      </c>
      <c r="R2050">
        <v>1937.2619999999999</v>
      </c>
      <c r="S2050">
        <v>4.1295401280000005E-3</v>
      </c>
      <c r="T2050" s="4" t="s">
        <v>4159</v>
      </c>
    </row>
    <row r="2051" spans="1:20" x14ac:dyDescent="0.2">
      <c r="A2051" s="4" t="s">
        <v>4156</v>
      </c>
      <c r="B2051" s="4" t="s">
        <v>4161</v>
      </c>
      <c r="C2051" s="4" t="s">
        <v>2096</v>
      </c>
      <c r="D2051" s="4" t="s">
        <v>2236</v>
      </c>
      <c r="E2051" s="4" t="s">
        <v>4162</v>
      </c>
      <c r="F2051" s="4" t="s">
        <v>4163</v>
      </c>
      <c r="G2051" s="4" t="s">
        <v>4156</v>
      </c>
      <c r="H2051" s="4" t="s">
        <v>2183</v>
      </c>
      <c r="I2051" s="4" t="s">
        <v>2100</v>
      </c>
      <c r="J2051" s="4" t="s">
        <v>2153</v>
      </c>
      <c r="K2051">
        <v>10</v>
      </c>
      <c r="L2051">
        <v>3.048</v>
      </c>
      <c r="M2051">
        <v>19.05</v>
      </c>
      <c r="N2051">
        <v>139.69999999999999</v>
      </c>
      <c r="O2051">
        <v>120</v>
      </c>
      <c r="P2051">
        <v>0.75000000000000011</v>
      </c>
      <c r="Q2051">
        <v>5.5</v>
      </c>
      <c r="R2051">
        <v>1232.8030000000001</v>
      </c>
      <c r="S2051">
        <v>8.1115966799999994E-3</v>
      </c>
      <c r="T2051" s="4" t="s">
        <v>4164</v>
      </c>
    </row>
    <row r="2052" spans="1:20" x14ac:dyDescent="0.2">
      <c r="A2052" s="4" t="s">
        <v>4156</v>
      </c>
      <c r="B2052" s="4" t="s">
        <v>4161</v>
      </c>
      <c r="C2052" s="4" t="s">
        <v>2096</v>
      </c>
      <c r="D2052" s="4" t="s">
        <v>2236</v>
      </c>
      <c r="E2052" s="4" t="s">
        <v>1790</v>
      </c>
      <c r="F2052" s="4" t="s">
        <v>4163</v>
      </c>
      <c r="G2052" s="4" t="s">
        <v>4156</v>
      </c>
      <c r="H2052" s="4" t="s">
        <v>2183</v>
      </c>
      <c r="I2052" s="4" t="s">
        <v>2100</v>
      </c>
      <c r="J2052" s="4" t="s">
        <v>2153</v>
      </c>
      <c r="K2052">
        <v>12</v>
      </c>
      <c r="L2052">
        <v>3.6576</v>
      </c>
      <c r="M2052">
        <v>19.05</v>
      </c>
      <c r="N2052">
        <v>139.69999999999999</v>
      </c>
      <c r="O2052">
        <v>144</v>
      </c>
      <c r="P2052">
        <v>0.75000000000000011</v>
      </c>
      <c r="Q2052">
        <v>5.5</v>
      </c>
      <c r="R2052">
        <v>1232.8030000000001</v>
      </c>
      <c r="S2052">
        <v>9.7339160159999986E-3</v>
      </c>
      <c r="T2052" s="4" t="s">
        <v>4164</v>
      </c>
    </row>
    <row r="2053" spans="1:20" x14ac:dyDescent="0.2">
      <c r="A2053" s="4" t="s">
        <v>4156</v>
      </c>
      <c r="B2053" s="4" t="s">
        <v>4161</v>
      </c>
      <c r="C2053" s="4" t="s">
        <v>2096</v>
      </c>
      <c r="D2053" s="4" t="s">
        <v>2236</v>
      </c>
      <c r="E2053" s="4" t="s">
        <v>4165</v>
      </c>
      <c r="F2053" s="4" t="s">
        <v>4163</v>
      </c>
      <c r="G2053" s="4" t="s">
        <v>4156</v>
      </c>
      <c r="H2053" s="4" t="s">
        <v>2183</v>
      </c>
      <c r="I2053" s="4" t="s">
        <v>2100</v>
      </c>
      <c r="J2053" s="4" t="s">
        <v>2153</v>
      </c>
      <c r="K2053">
        <v>14</v>
      </c>
      <c r="L2053">
        <v>4.2671999999999999</v>
      </c>
      <c r="M2053">
        <v>19.05</v>
      </c>
      <c r="N2053">
        <v>139.69999999999999</v>
      </c>
      <c r="O2053">
        <v>168</v>
      </c>
      <c r="P2053">
        <v>0.75000000000000011</v>
      </c>
      <c r="Q2053">
        <v>5.5</v>
      </c>
      <c r="R2053">
        <v>1232.8030000000001</v>
      </c>
      <c r="S2053">
        <v>1.1356235352E-2</v>
      </c>
      <c r="T2053" s="4" t="s">
        <v>4164</v>
      </c>
    </row>
    <row r="2054" spans="1:20" x14ac:dyDescent="0.2">
      <c r="A2054" s="4" t="s">
        <v>4156</v>
      </c>
      <c r="B2054" s="4" t="s">
        <v>4161</v>
      </c>
      <c r="C2054" s="4" t="s">
        <v>2096</v>
      </c>
      <c r="D2054" s="4" t="s">
        <v>2236</v>
      </c>
      <c r="E2054" s="4" t="s">
        <v>1792</v>
      </c>
      <c r="F2054" s="4" t="s">
        <v>4163</v>
      </c>
      <c r="G2054" s="4" t="s">
        <v>4156</v>
      </c>
      <c r="H2054" s="4" t="s">
        <v>2183</v>
      </c>
      <c r="I2054" s="4" t="s">
        <v>2100</v>
      </c>
      <c r="J2054" s="4" t="s">
        <v>2153</v>
      </c>
      <c r="K2054">
        <v>16</v>
      </c>
      <c r="L2054">
        <v>4.8768000000000002</v>
      </c>
      <c r="M2054">
        <v>19.05</v>
      </c>
      <c r="N2054">
        <v>139.69999999999999</v>
      </c>
      <c r="O2054">
        <v>192.00000000000003</v>
      </c>
      <c r="P2054">
        <v>0.75000000000000011</v>
      </c>
      <c r="Q2054">
        <v>5.5</v>
      </c>
      <c r="R2054">
        <v>1232.8030000000001</v>
      </c>
      <c r="S2054">
        <v>1.2978554687999999E-2</v>
      </c>
      <c r="T2054" s="4" t="s">
        <v>4164</v>
      </c>
    </row>
    <row r="2055" spans="1:20" x14ac:dyDescent="0.2">
      <c r="A2055" s="4" t="s">
        <v>4156</v>
      </c>
      <c r="B2055" s="4" t="s">
        <v>4161</v>
      </c>
      <c r="C2055" s="4" t="s">
        <v>2096</v>
      </c>
      <c r="D2055" s="4" t="s">
        <v>2236</v>
      </c>
      <c r="E2055" s="4" t="s">
        <v>4166</v>
      </c>
      <c r="F2055" s="4" t="s">
        <v>4163</v>
      </c>
      <c r="G2055" s="4" t="s">
        <v>4156</v>
      </c>
      <c r="H2055" s="4" t="s">
        <v>2183</v>
      </c>
      <c r="I2055" s="4" t="s">
        <v>2100</v>
      </c>
      <c r="J2055" s="4" t="s">
        <v>2153</v>
      </c>
      <c r="K2055">
        <v>18</v>
      </c>
      <c r="L2055">
        <v>5.4863999999999997</v>
      </c>
      <c r="M2055">
        <v>19.05</v>
      </c>
      <c r="N2055">
        <v>139.69999999999999</v>
      </c>
      <c r="O2055">
        <v>216</v>
      </c>
      <c r="P2055">
        <v>0.75000000000000011</v>
      </c>
      <c r="Q2055">
        <v>5.5</v>
      </c>
      <c r="R2055">
        <v>1232.8030000000001</v>
      </c>
      <c r="S2055">
        <v>1.4600874024E-2</v>
      </c>
      <c r="T2055" s="4" t="s">
        <v>4164</v>
      </c>
    </row>
    <row r="2056" spans="1:20" x14ac:dyDescent="0.2">
      <c r="A2056" s="4" t="s">
        <v>4156</v>
      </c>
      <c r="B2056" s="4" t="s">
        <v>4161</v>
      </c>
      <c r="C2056" s="4" t="s">
        <v>2096</v>
      </c>
      <c r="D2056" s="4" t="s">
        <v>2236</v>
      </c>
      <c r="E2056" s="4" t="s">
        <v>4167</v>
      </c>
      <c r="F2056" s="4" t="s">
        <v>4163</v>
      </c>
      <c r="G2056" s="4" t="s">
        <v>4156</v>
      </c>
      <c r="H2056" s="4" t="s">
        <v>2183</v>
      </c>
      <c r="I2056" s="4" t="s">
        <v>2100</v>
      </c>
      <c r="J2056" s="4" t="s">
        <v>2153</v>
      </c>
      <c r="K2056">
        <v>20</v>
      </c>
      <c r="L2056">
        <v>6.0960000000000001</v>
      </c>
      <c r="M2056">
        <v>19.05</v>
      </c>
      <c r="N2056">
        <v>139.69999999999999</v>
      </c>
      <c r="O2056">
        <v>240</v>
      </c>
      <c r="P2056">
        <v>0.75000000000000011</v>
      </c>
      <c r="Q2056">
        <v>5.5</v>
      </c>
      <c r="R2056">
        <v>1232.8030000000001</v>
      </c>
      <c r="S2056">
        <v>1.6223193359999999E-2</v>
      </c>
      <c r="T2056" s="4" t="s">
        <v>4164</v>
      </c>
    </row>
    <row r="2057" spans="1:20" x14ac:dyDescent="0.2">
      <c r="A2057" s="4" t="s">
        <v>4156</v>
      </c>
      <c r="B2057" s="4" t="s">
        <v>4161</v>
      </c>
      <c r="C2057" s="4" t="s">
        <v>2096</v>
      </c>
      <c r="D2057" s="4" t="s">
        <v>2236</v>
      </c>
      <c r="E2057" s="4" t="s">
        <v>4168</v>
      </c>
      <c r="F2057" s="4" t="s">
        <v>4163</v>
      </c>
      <c r="G2057" s="4" t="s">
        <v>4156</v>
      </c>
      <c r="H2057" s="4" t="s">
        <v>2183</v>
      </c>
      <c r="I2057" s="4" t="s">
        <v>2100</v>
      </c>
      <c r="J2057" s="4" t="s">
        <v>2153</v>
      </c>
      <c r="K2057">
        <v>22</v>
      </c>
      <c r="L2057">
        <v>6.7055999999999996</v>
      </c>
      <c r="M2057">
        <v>19.05</v>
      </c>
      <c r="N2057">
        <v>139.69999999999999</v>
      </c>
      <c r="O2057">
        <v>264</v>
      </c>
      <c r="P2057">
        <v>0.75000000000000011</v>
      </c>
      <c r="Q2057">
        <v>5.5</v>
      </c>
      <c r="R2057">
        <v>1232.8030000000001</v>
      </c>
      <c r="S2057">
        <v>1.7845512695999998E-2</v>
      </c>
      <c r="T2057" s="4" t="s">
        <v>4164</v>
      </c>
    </row>
    <row r="2058" spans="1:20" x14ac:dyDescent="0.2">
      <c r="A2058" s="4" t="s">
        <v>4156</v>
      </c>
      <c r="B2058" s="4" t="s">
        <v>4161</v>
      </c>
      <c r="C2058" s="4" t="s">
        <v>2286</v>
      </c>
      <c r="D2058" s="4" t="s">
        <v>2236</v>
      </c>
      <c r="E2058" s="4" t="s">
        <v>1794</v>
      </c>
      <c r="F2058" s="4" t="s">
        <v>4163</v>
      </c>
      <c r="G2058" s="4" t="s">
        <v>4156</v>
      </c>
      <c r="H2058" s="4" t="s">
        <v>2183</v>
      </c>
      <c r="I2058" s="4" t="s">
        <v>2100</v>
      </c>
      <c r="J2058" s="4" t="s">
        <v>2153</v>
      </c>
      <c r="K2058">
        <v>4</v>
      </c>
      <c r="L2058">
        <v>1.2192000000000001</v>
      </c>
      <c r="M2058">
        <v>19.05</v>
      </c>
      <c r="N2058">
        <v>139.69999999999999</v>
      </c>
      <c r="O2058">
        <v>48.000000000000007</v>
      </c>
      <c r="P2058">
        <v>0.75000000000000011</v>
      </c>
      <c r="Q2058">
        <v>5.5</v>
      </c>
      <c r="R2058">
        <v>1232.8030000000001</v>
      </c>
      <c r="S2058">
        <v>3.2446386719999997E-3</v>
      </c>
      <c r="T2058" s="4" t="s">
        <v>4169</v>
      </c>
    </row>
    <row r="2059" spans="1:20" x14ac:dyDescent="0.2">
      <c r="A2059" s="4" t="s">
        <v>4156</v>
      </c>
      <c r="B2059" s="4" t="s">
        <v>4161</v>
      </c>
      <c r="C2059" s="4" t="s">
        <v>2286</v>
      </c>
      <c r="D2059" s="4" t="s">
        <v>2236</v>
      </c>
      <c r="E2059" s="4" t="s">
        <v>1796</v>
      </c>
      <c r="F2059" s="4" t="s">
        <v>4163</v>
      </c>
      <c r="G2059" s="4" t="s">
        <v>4156</v>
      </c>
      <c r="H2059" s="4" t="s">
        <v>2183</v>
      </c>
      <c r="I2059" s="4" t="s">
        <v>2100</v>
      </c>
      <c r="J2059" s="4" t="s">
        <v>2153</v>
      </c>
      <c r="K2059">
        <v>5</v>
      </c>
      <c r="L2059">
        <v>1.524</v>
      </c>
      <c r="M2059">
        <v>19.05</v>
      </c>
      <c r="N2059">
        <v>139.69999999999999</v>
      </c>
      <c r="O2059">
        <v>60</v>
      </c>
      <c r="P2059">
        <v>0.75000000000000011</v>
      </c>
      <c r="Q2059">
        <v>5.5</v>
      </c>
      <c r="R2059">
        <v>1232.8030000000001</v>
      </c>
      <c r="S2059">
        <v>4.0557983399999997E-3</v>
      </c>
      <c r="T2059" s="4" t="s">
        <v>4169</v>
      </c>
    </row>
    <row r="2060" spans="1:20" x14ac:dyDescent="0.2">
      <c r="A2060" s="4" t="s">
        <v>4156</v>
      </c>
      <c r="B2060" s="4" t="s">
        <v>4161</v>
      </c>
      <c r="C2060" s="4" t="s">
        <v>2286</v>
      </c>
      <c r="D2060" s="4" t="s">
        <v>2236</v>
      </c>
      <c r="E2060" s="4" t="s">
        <v>1798</v>
      </c>
      <c r="F2060" s="4" t="s">
        <v>4163</v>
      </c>
      <c r="G2060" s="4" t="s">
        <v>4156</v>
      </c>
      <c r="H2060" s="4" t="s">
        <v>2183</v>
      </c>
      <c r="I2060" s="4" t="s">
        <v>2100</v>
      </c>
      <c r="J2060" s="4" t="s">
        <v>2153</v>
      </c>
      <c r="K2060">
        <v>6</v>
      </c>
      <c r="L2060">
        <v>1.8288</v>
      </c>
      <c r="M2060">
        <v>19.05</v>
      </c>
      <c r="N2060">
        <v>139.69999999999999</v>
      </c>
      <c r="O2060">
        <v>72</v>
      </c>
      <c r="P2060">
        <v>0.75000000000000011</v>
      </c>
      <c r="Q2060">
        <v>5.5</v>
      </c>
      <c r="R2060">
        <v>1232.8030000000001</v>
      </c>
      <c r="S2060">
        <v>4.8669580079999993E-3</v>
      </c>
      <c r="T2060" s="4" t="s">
        <v>4169</v>
      </c>
    </row>
    <row r="2061" spans="1:20" x14ac:dyDescent="0.2">
      <c r="A2061" s="4" t="s">
        <v>4156</v>
      </c>
      <c r="B2061" s="4" t="s">
        <v>4161</v>
      </c>
      <c r="C2061" s="4" t="s">
        <v>2096</v>
      </c>
      <c r="D2061" s="4" t="s">
        <v>2236</v>
      </c>
      <c r="E2061" s="4" t="s">
        <v>1800</v>
      </c>
      <c r="F2061" s="4" t="s">
        <v>4163</v>
      </c>
      <c r="G2061" s="4" t="s">
        <v>4156</v>
      </c>
      <c r="H2061" s="4" t="s">
        <v>2183</v>
      </c>
      <c r="I2061" s="4" t="s">
        <v>2100</v>
      </c>
      <c r="J2061" s="4" t="s">
        <v>2153</v>
      </c>
      <c r="K2061">
        <v>8</v>
      </c>
      <c r="L2061">
        <v>2.4384000000000001</v>
      </c>
      <c r="M2061">
        <v>19.05</v>
      </c>
      <c r="N2061">
        <v>139.69999999999999</v>
      </c>
      <c r="O2061">
        <v>96.000000000000014</v>
      </c>
      <c r="P2061">
        <v>0.75000000000000011</v>
      </c>
      <c r="Q2061">
        <v>5.5</v>
      </c>
      <c r="R2061">
        <v>1232.8030000000001</v>
      </c>
      <c r="S2061">
        <v>6.4892773439999994E-3</v>
      </c>
      <c r="T2061" s="4" t="s">
        <v>4164</v>
      </c>
    </row>
    <row r="2062" spans="1:20" x14ac:dyDescent="0.2">
      <c r="A2062" s="4" t="s">
        <v>4170</v>
      </c>
      <c r="B2062" s="4" t="s">
        <v>4171</v>
      </c>
      <c r="C2062" s="4" t="s">
        <v>2096</v>
      </c>
      <c r="D2062" s="4" t="s">
        <v>4172</v>
      </c>
      <c r="E2062" s="4" t="s">
        <v>969</v>
      </c>
      <c r="F2062" s="4" t="s">
        <v>4173</v>
      </c>
      <c r="G2062" s="4" t="s">
        <v>4174</v>
      </c>
      <c r="H2062" s="4" t="s">
        <v>2082</v>
      </c>
      <c r="I2062" s="4" t="s">
        <v>2100</v>
      </c>
      <c r="J2062" s="4" t="s">
        <v>2432</v>
      </c>
      <c r="K2062">
        <v>16</v>
      </c>
      <c r="L2062">
        <v>4.88</v>
      </c>
      <c r="M2062">
        <v>26</v>
      </c>
      <c r="N2062">
        <v>219</v>
      </c>
      <c r="O2062">
        <v>0</v>
      </c>
      <c r="P2062">
        <v>0</v>
      </c>
      <c r="Q2062">
        <v>0</v>
      </c>
      <c r="R2062">
        <v>0</v>
      </c>
      <c r="S2062">
        <v>0</v>
      </c>
      <c r="T2062" s="4" t="s">
        <v>4175</v>
      </c>
    </row>
    <row r="2063" spans="1:20" x14ac:dyDescent="0.2">
      <c r="A2063" s="4" t="s">
        <v>4170</v>
      </c>
      <c r="B2063" s="4" t="s">
        <v>4176</v>
      </c>
      <c r="C2063" s="4" t="s">
        <v>2096</v>
      </c>
      <c r="D2063" s="4" t="s">
        <v>4172</v>
      </c>
      <c r="E2063" s="4" t="s">
        <v>971</v>
      </c>
      <c r="F2063" s="4" t="s">
        <v>4177</v>
      </c>
      <c r="G2063" s="4" t="s">
        <v>4178</v>
      </c>
      <c r="H2063" s="4" t="s">
        <v>2082</v>
      </c>
      <c r="I2063" s="4" t="s">
        <v>2100</v>
      </c>
      <c r="J2063" s="4" t="s">
        <v>2153</v>
      </c>
      <c r="K2063">
        <v>16</v>
      </c>
      <c r="L2063">
        <v>4.88</v>
      </c>
      <c r="M2063">
        <v>21</v>
      </c>
      <c r="N2063">
        <v>156</v>
      </c>
      <c r="O2063">
        <v>0</v>
      </c>
      <c r="P2063">
        <v>0</v>
      </c>
      <c r="Q2063">
        <v>0</v>
      </c>
      <c r="R2063">
        <v>0</v>
      </c>
      <c r="S2063">
        <v>0</v>
      </c>
      <c r="T2063" s="4" t="s">
        <v>4179</v>
      </c>
    </row>
    <row r="2064" spans="1:20" x14ac:dyDescent="0.2">
      <c r="A2064" s="4" t="s">
        <v>4170</v>
      </c>
      <c r="B2064" s="4" t="s">
        <v>4180</v>
      </c>
      <c r="C2064" s="4" t="s">
        <v>2096</v>
      </c>
      <c r="D2064" s="4" t="s">
        <v>4172</v>
      </c>
      <c r="E2064" s="4" t="s">
        <v>4181</v>
      </c>
      <c r="F2064" s="4" t="s">
        <v>4177</v>
      </c>
      <c r="G2064" s="4" t="s">
        <v>4178</v>
      </c>
      <c r="H2064" s="4" t="s">
        <v>2082</v>
      </c>
      <c r="I2064" s="4" t="s">
        <v>2100</v>
      </c>
      <c r="J2064" s="4" t="s">
        <v>2153</v>
      </c>
      <c r="K2064">
        <v>8</v>
      </c>
      <c r="L2064">
        <v>2.44</v>
      </c>
      <c r="M2064">
        <v>21</v>
      </c>
      <c r="N2064">
        <v>156</v>
      </c>
      <c r="O2064">
        <v>0</v>
      </c>
      <c r="P2064">
        <v>0</v>
      </c>
      <c r="Q2064">
        <v>0</v>
      </c>
      <c r="R2064">
        <v>0</v>
      </c>
      <c r="S2064">
        <v>0</v>
      </c>
      <c r="T2064" s="4" t="s">
        <v>4179</v>
      </c>
    </row>
    <row r="2065" spans="1:20" x14ac:dyDescent="0.2">
      <c r="A2065" s="4" t="s">
        <v>4170</v>
      </c>
      <c r="B2065" s="4" t="s">
        <v>4182</v>
      </c>
      <c r="C2065" s="4" t="s">
        <v>2096</v>
      </c>
      <c r="D2065" s="4" t="s">
        <v>4172</v>
      </c>
      <c r="E2065" s="4" t="s">
        <v>1033</v>
      </c>
      <c r="F2065" s="4" t="s">
        <v>4183</v>
      </c>
      <c r="G2065" s="4" t="s">
        <v>4184</v>
      </c>
      <c r="H2065" s="4" t="s">
        <v>4185</v>
      </c>
      <c r="I2065" s="4" t="s">
        <v>2100</v>
      </c>
      <c r="J2065" s="4" t="s">
        <v>2518</v>
      </c>
      <c r="K2065">
        <v>16</v>
      </c>
      <c r="L2065">
        <v>4.88</v>
      </c>
      <c r="M2065">
        <v>50</v>
      </c>
      <c r="N2065">
        <v>50</v>
      </c>
      <c r="O2065">
        <v>0</v>
      </c>
      <c r="P2065">
        <v>0</v>
      </c>
      <c r="Q2065">
        <v>0</v>
      </c>
      <c r="R2065">
        <v>0</v>
      </c>
      <c r="S2065">
        <v>0</v>
      </c>
      <c r="T2065" s="4" t="s">
        <v>4186</v>
      </c>
    </row>
    <row r="2066" spans="1:20" x14ac:dyDescent="0.2">
      <c r="A2066" s="4" t="s">
        <v>4170</v>
      </c>
      <c r="B2066" s="4" t="s">
        <v>4171</v>
      </c>
      <c r="C2066" s="4" t="s">
        <v>2096</v>
      </c>
      <c r="D2066" s="4" t="s">
        <v>4172</v>
      </c>
      <c r="E2066" s="4" t="s">
        <v>981</v>
      </c>
      <c r="F2066" s="4" t="s">
        <v>4187</v>
      </c>
      <c r="G2066" s="4" t="s">
        <v>4184</v>
      </c>
      <c r="H2066" s="4" t="s">
        <v>4188</v>
      </c>
      <c r="I2066" s="4" t="s">
        <v>2100</v>
      </c>
      <c r="J2066" s="4" t="s">
        <v>4189</v>
      </c>
      <c r="K2066">
        <v>16</v>
      </c>
      <c r="L2066">
        <v>4.88</v>
      </c>
      <c r="M2066">
        <v>49</v>
      </c>
      <c r="N2066">
        <v>99</v>
      </c>
      <c r="O2066">
        <v>0</v>
      </c>
      <c r="P2066">
        <v>0</v>
      </c>
      <c r="Q2066">
        <v>0</v>
      </c>
      <c r="R2066">
        <v>0</v>
      </c>
      <c r="S2066">
        <v>0</v>
      </c>
      <c r="T2066" s="4" t="s">
        <v>4190</v>
      </c>
    </row>
    <row r="2067" spans="1:20" x14ac:dyDescent="0.2">
      <c r="A2067" s="4" t="s">
        <v>4170</v>
      </c>
      <c r="B2067" s="4" t="s">
        <v>4191</v>
      </c>
      <c r="C2067" s="4" t="s">
        <v>2096</v>
      </c>
      <c r="D2067" s="4" t="s">
        <v>4172</v>
      </c>
      <c r="E2067" s="4" t="s">
        <v>993</v>
      </c>
      <c r="F2067" s="4" t="s">
        <v>4192</v>
      </c>
      <c r="G2067" s="4" t="s">
        <v>4184</v>
      </c>
      <c r="H2067" s="4" t="s">
        <v>4188</v>
      </c>
      <c r="I2067" s="4" t="s">
        <v>2100</v>
      </c>
      <c r="J2067" s="4" t="s">
        <v>4193</v>
      </c>
      <c r="K2067">
        <v>16</v>
      </c>
      <c r="L2067">
        <v>4.88</v>
      </c>
      <c r="M2067">
        <v>38</v>
      </c>
      <c r="N2067">
        <v>78</v>
      </c>
      <c r="O2067">
        <v>0</v>
      </c>
      <c r="P2067">
        <v>0</v>
      </c>
      <c r="Q2067">
        <v>0</v>
      </c>
      <c r="R2067">
        <v>0</v>
      </c>
      <c r="S2067">
        <v>0</v>
      </c>
      <c r="T2067" s="4" t="s">
        <v>4194</v>
      </c>
    </row>
    <row r="2068" spans="1:20" x14ac:dyDescent="0.2">
      <c r="A2068" s="4" t="s">
        <v>4170</v>
      </c>
      <c r="B2068" s="4" t="s">
        <v>4191</v>
      </c>
      <c r="C2068" s="4" t="s">
        <v>2096</v>
      </c>
      <c r="D2068" s="4" t="s">
        <v>4172</v>
      </c>
      <c r="E2068" s="4" t="s">
        <v>973</v>
      </c>
      <c r="F2068" s="4" t="s">
        <v>4195</v>
      </c>
      <c r="G2068" s="4" t="s">
        <v>4196</v>
      </c>
      <c r="H2068" s="4" t="s">
        <v>2082</v>
      </c>
      <c r="I2068" s="4" t="s">
        <v>2100</v>
      </c>
      <c r="J2068" s="4" t="s">
        <v>4197</v>
      </c>
      <c r="K2068">
        <v>16</v>
      </c>
      <c r="L2068">
        <v>4.88</v>
      </c>
      <c r="M2068">
        <v>26</v>
      </c>
      <c r="N2068">
        <v>176</v>
      </c>
      <c r="O2068">
        <v>0</v>
      </c>
      <c r="P2068">
        <v>0</v>
      </c>
      <c r="Q2068">
        <v>0</v>
      </c>
      <c r="R2068">
        <v>0</v>
      </c>
      <c r="S2068">
        <v>0</v>
      </c>
      <c r="T2068" s="4" t="s">
        <v>4198</v>
      </c>
    </row>
    <row r="2069" spans="1:20" x14ac:dyDescent="0.2">
      <c r="A2069" s="4" t="s">
        <v>4199</v>
      </c>
      <c r="B2069" s="4" t="s">
        <v>4200</v>
      </c>
      <c r="C2069" s="4" t="s">
        <v>2096</v>
      </c>
      <c r="D2069" s="4" t="s">
        <v>4172</v>
      </c>
      <c r="E2069" s="4" t="s">
        <v>4201</v>
      </c>
      <c r="F2069" s="4" t="s">
        <v>4202</v>
      </c>
      <c r="G2069" s="4" t="s">
        <v>4203</v>
      </c>
      <c r="H2069" s="4" t="s">
        <v>2133</v>
      </c>
      <c r="I2069" s="4" t="s">
        <v>2100</v>
      </c>
      <c r="J2069" s="4" t="s">
        <v>2153</v>
      </c>
      <c r="K2069">
        <v>12</v>
      </c>
      <c r="L2069">
        <v>3.66</v>
      </c>
      <c r="M2069">
        <v>23</v>
      </c>
      <c r="N2069">
        <v>140</v>
      </c>
      <c r="O2069">
        <v>0</v>
      </c>
      <c r="P2069">
        <v>0</v>
      </c>
      <c r="Q2069">
        <v>0</v>
      </c>
      <c r="R2069">
        <v>0</v>
      </c>
      <c r="S2069">
        <v>0</v>
      </c>
      <c r="T2069" s="4" t="s">
        <v>4204</v>
      </c>
    </row>
    <row r="2070" spans="1:20" x14ac:dyDescent="0.2">
      <c r="A2070" s="4" t="s">
        <v>4199</v>
      </c>
      <c r="B2070" s="4" t="s">
        <v>4200</v>
      </c>
      <c r="C2070" s="4" t="s">
        <v>2096</v>
      </c>
      <c r="D2070" s="4" t="s">
        <v>4172</v>
      </c>
      <c r="E2070" s="4" t="s">
        <v>4205</v>
      </c>
      <c r="F2070" s="4" t="s">
        <v>4202</v>
      </c>
      <c r="G2070" s="4" t="s">
        <v>4203</v>
      </c>
      <c r="H2070" s="4" t="s">
        <v>2133</v>
      </c>
      <c r="I2070" s="4" t="s">
        <v>2100</v>
      </c>
      <c r="J2070" s="4" t="s">
        <v>2153</v>
      </c>
      <c r="K2070">
        <v>16</v>
      </c>
      <c r="L2070">
        <v>4.88</v>
      </c>
      <c r="M2070">
        <v>23</v>
      </c>
      <c r="N2070">
        <v>140</v>
      </c>
      <c r="O2070">
        <v>0</v>
      </c>
      <c r="P2070">
        <v>0</v>
      </c>
      <c r="Q2070">
        <v>0</v>
      </c>
      <c r="R2070">
        <v>0</v>
      </c>
      <c r="S2070">
        <v>0</v>
      </c>
      <c r="T2070" s="4" t="s">
        <v>4204</v>
      </c>
    </row>
    <row r="2071" spans="1:20" x14ac:dyDescent="0.2">
      <c r="A2071" s="4" t="s">
        <v>4199</v>
      </c>
      <c r="B2071" s="4" t="s">
        <v>4200</v>
      </c>
      <c r="C2071" s="4" t="s">
        <v>2096</v>
      </c>
      <c r="D2071" s="4" t="s">
        <v>4172</v>
      </c>
      <c r="E2071" s="4" t="s">
        <v>4206</v>
      </c>
      <c r="F2071" s="4" t="s">
        <v>4202</v>
      </c>
      <c r="G2071" s="4" t="s">
        <v>4203</v>
      </c>
      <c r="H2071" s="4" t="s">
        <v>2133</v>
      </c>
      <c r="I2071" s="4" t="s">
        <v>2100</v>
      </c>
      <c r="J2071" s="4" t="s">
        <v>2153</v>
      </c>
      <c r="K2071">
        <v>20</v>
      </c>
      <c r="L2071">
        <v>7.1</v>
      </c>
      <c r="M2071">
        <v>23</v>
      </c>
      <c r="N2071">
        <v>140</v>
      </c>
      <c r="O2071">
        <v>0</v>
      </c>
      <c r="P2071">
        <v>0</v>
      </c>
      <c r="Q2071">
        <v>0</v>
      </c>
      <c r="R2071">
        <v>0</v>
      </c>
      <c r="S2071">
        <v>0</v>
      </c>
      <c r="T2071" s="4" t="s">
        <v>4204</v>
      </c>
    </row>
    <row r="2072" spans="1:20" x14ac:dyDescent="0.2">
      <c r="A2072" s="4" t="s">
        <v>4199</v>
      </c>
      <c r="B2072" s="4" t="s">
        <v>4200</v>
      </c>
      <c r="C2072" s="4" t="s">
        <v>2096</v>
      </c>
      <c r="D2072" s="4" t="s">
        <v>4172</v>
      </c>
      <c r="E2072" s="4" t="s">
        <v>4207</v>
      </c>
      <c r="F2072" s="4" t="s">
        <v>4208</v>
      </c>
      <c r="G2072" s="4" t="s">
        <v>4203</v>
      </c>
      <c r="H2072" s="4" t="s">
        <v>4209</v>
      </c>
      <c r="I2072" s="4" t="s">
        <v>2100</v>
      </c>
      <c r="J2072" s="4" t="s">
        <v>2153</v>
      </c>
      <c r="K2072">
        <v>12</v>
      </c>
      <c r="L2072">
        <v>3.66</v>
      </c>
      <c r="M2072">
        <v>23</v>
      </c>
      <c r="N2072">
        <v>140</v>
      </c>
      <c r="O2072">
        <v>0</v>
      </c>
      <c r="P2072">
        <v>0</v>
      </c>
      <c r="Q2072">
        <v>0</v>
      </c>
      <c r="R2072">
        <v>0</v>
      </c>
      <c r="S2072">
        <v>0</v>
      </c>
      <c r="T2072" s="4" t="s">
        <v>4210</v>
      </c>
    </row>
    <row r="2073" spans="1:20" x14ac:dyDescent="0.2">
      <c r="A2073" s="4" t="s">
        <v>4199</v>
      </c>
      <c r="B2073" s="4" t="s">
        <v>4200</v>
      </c>
      <c r="C2073" s="4" t="s">
        <v>2096</v>
      </c>
      <c r="D2073" s="4" t="s">
        <v>4172</v>
      </c>
      <c r="E2073" s="4" t="s">
        <v>4211</v>
      </c>
      <c r="F2073" s="4" t="s">
        <v>4208</v>
      </c>
      <c r="G2073" s="4" t="s">
        <v>4203</v>
      </c>
      <c r="H2073" s="4" t="s">
        <v>4209</v>
      </c>
      <c r="I2073" s="4" t="s">
        <v>2100</v>
      </c>
      <c r="J2073" s="4" t="s">
        <v>2153</v>
      </c>
      <c r="K2073">
        <v>16</v>
      </c>
      <c r="L2073">
        <v>4.88</v>
      </c>
      <c r="M2073">
        <v>23</v>
      </c>
      <c r="N2073">
        <v>140</v>
      </c>
      <c r="O2073">
        <v>0</v>
      </c>
      <c r="P2073">
        <v>0</v>
      </c>
      <c r="Q2073">
        <v>0</v>
      </c>
      <c r="R2073">
        <v>0</v>
      </c>
      <c r="S2073">
        <v>0</v>
      </c>
      <c r="T2073" s="4" t="s">
        <v>4210</v>
      </c>
    </row>
    <row r="2074" spans="1:20" x14ac:dyDescent="0.2">
      <c r="A2074" s="4" t="s">
        <v>4199</v>
      </c>
      <c r="B2074" s="4" t="s">
        <v>4200</v>
      </c>
      <c r="C2074" s="4" t="s">
        <v>2096</v>
      </c>
      <c r="D2074" s="4" t="s">
        <v>4172</v>
      </c>
      <c r="E2074" s="4" t="s">
        <v>4212</v>
      </c>
      <c r="F2074" s="4" t="s">
        <v>4208</v>
      </c>
      <c r="G2074" s="4" t="s">
        <v>4203</v>
      </c>
      <c r="H2074" s="4" t="s">
        <v>4209</v>
      </c>
      <c r="I2074" s="4" t="s">
        <v>2100</v>
      </c>
      <c r="J2074" s="4" t="s">
        <v>2153</v>
      </c>
      <c r="K2074">
        <v>20</v>
      </c>
      <c r="L2074">
        <v>7.1</v>
      </c>
      <c r="M2074">
        <v>23</v>
      </c>
      <c r="N2074">
        <v>140</v>
      </c>
      <c r="O2074">
        <v>0</v>
      </c>
      <c r="P2074">
        <v>0</v>
      </c>
      <c r="Q2074">
        <v>0</v>
      </c>
      <c r="R2074">
        <v>0</v>
      </c>
      <c r="S2074">
        <v>0</v>
      </c>
      <c r="T2074" s="4" t="s">
        <v>4210</v>
      </c>
    </row>
    <row r="2075" spans="1:20" x14ac:dyDescent="0.2">
      <c r="A2075" s="4" t="s">
        <v>4170</v>
      </c>
      <c r="B2075" s="4" t="s">
        <v>4182</v>
      </c>
      <c r="C2075" s="4" t="s">
        <v>2096</v>
      </c>
      <c r="D2075" s="4" t="s">
        <v>4172</v>
      </c>
      <c r="E2075" s="4" t="s">
        <v>1035</v>
      </c>
      <c r="F2075" s="4" t="s">
        <v>4213</v>
      </c>
      <c r="G2075" s="4" t="s">
        <v>4214</v>
      </c>
      <c r="H2075" s="4" t="s">
        <v>4185</v>
      </c>
      <c r="I2075" s="4" t="s">
        <v>2100</v>
      </c>
      <c r="J2075" s="4" t="s">
        <v>2518</v>
      </c>
      <c r="K2075">
        <v>16</v>
      </c>
      <c r="L2075">
        <v>4.88</v>
      </c>
      <c r="M2075">
        <v>50</v>
      </c>
      <c r="N2075">
        <v>50</v>
      </c>
      <c r="O2075">
        <v>0</v>
      </c>
      <c r="P2075">
        <v>0</v>
      </c>
      <c r="Q2075">
        <v>0</v>
      </c>
      <c r="R2075">
        <v>0</v>
      </c>
      <c r="S2075">
        <v>0</v>
      </c>
      <c r="T2075" s="4" t="s">
        <v>4215</v>
      </c>
    </row>
    <row r="2076" spans="1:20" x14ac:dyDescent="0.2">
      <c r="A2076" s="4" t="s">
        <v>4170</v>
      </c>
      <c r="B2076" s="4" t="s">
        <v>4171</v>
      </c>
      <c r="C2076" s="4" t="s">
        <v>2096</v>
      </c>
      <c r="D2076" s="4" t="s">
        <v>4172</v>
      </c>
      <c r="E2076" s="4" t="s">
        <v>989</v>
      </c>
      <c r="F2076" s="4" t="s">
        <v>4216</v>
      </c>
      <c r="G2076" s="4" t="s">
        <v>4214</v>
      </c>
      <c r="H2076" s="4" t="s">
        <v>4188</v>
      </c>
      <c r="I2076" s="4" t="s">
        <v>2100</v>
      </c>
      <c r="J2076" s="4" t="s">
        <v>4189</v>
      </c>
      <c r="K2076">
        <v>16</v>
      </c>
      <c r="L2076">
        <v>4.88</v>
      </c>
      <c r="M2076">
        <v>49</v>
      </c>
      <c r="N2076">
        <v>99</v>
      </c>
      <c r="O2076">
        <v>0</v>
      </c>
      <c r="P2076">
        <v>0</v>
      </c>
      <c r="Q2076">
        <v>0</v>
      </c>
      <c r="R2076">
        <v>0</v>
      </c>
      <c r="S2076">
        <v>0</v>
      </c>
      <c r="T2076" s="4" t="s">
        <v>4217</v>
      </c>
    </row>
    <row r="2077" spans="1:20" x14ac:dyDescent="0.2">
      <c r="A2077" s="4" t="s">
        <v>4170</v>
      </c>
      <c r="B2077" s="4" t="s">
        <v>4180</v>
      </c>
      <c r="C2077" s="4" t="s">
        <v>2096</v>
      </c>
      <c r="D2077" s="4" t="s">
        <v>4172</v>
      </c>
      <c r="E2077" s="4" t="s">
        <v>987</v>
      </c>
      <c r="F2077" s="4" t="s">
        <v>4218</v>
      </c>
      <c r="G2077" s="4" t="s">
        <v>4214</v>
      </c>
      <c r="H2077" s="4" t="s">
        <v>4188</v>
      </c>
      <c r="I2077" s="4" t="s">
        <v>2100</v>
      </c>
      <c r="J2077" s="4" t="s">
        <v>4219</v>
      </c>
      <c r="K2077">
        <v>16</v>
      </c>
      <c r="L2077">
        <v>4.88</v>
      </c>
      <c r="M2077">
        <v>22.2</v>
      </c>
      <c r="N2077">
        <v>22.2</v>
      </c>
      <c r="O2077">
        <v>0</v>
      </c>
      <c r="P2077">
        <v>0</v>
      </c>
      <c r="Q2077">
        <v>0</v>
      </c>
      <c r="R2077">
        <v>0</v>
      </c>
      <c r="S2077">
        <v>0</v>
      </c>
      <c r="T2077" s="4" t="s">
        <v>4220</v>
      </c>
    </row>
    <row r="2078" spans="1:20" x14ac:dyDescent="0.2">
      <c r="A2078" s="4" t="s">
        <v>4170</v>
      </c>
      <c r="B2078" s="4" t="s">
        <v>4191</v>
      </c>
      <c r="C2078" s="4" t="s">
        <v>2096</v>
      </c>
      <c r="D2078" s="4" t="s">
        <v>4172</v>
      </c>
      <c r="E2078" s="4" t="s">
        <v>997</v>
      </c>
      <c r="F2078" s="4" t="s">
        <v>4221</v>
      </c>
      <c r="G2078" s="4" t="s">
        <v>4214</v>
      </c>
      <c r="H2078" s="4" t="s">
        <v>4188</v>
      </c>
      <c r="I2078" s="4" t="s">
        <v>2100</v>
      </c>
      <c r="J2078" s="4" t="s">
        <v>4193</v>
      </c>
      <c r="K2078">
        <v>16</v>
      </c>
      <c r="L2078">
        <v>4.88</v>
      </c>
      <c r="M2078">
        <v>38</v>
      </c>
      <c r="N2078">
        <v>78</v>
      </c>
      <c r="O2078">
        <v>0</v>
      </c>
      <c r="P2078">
        <v>0</v>
      </c>
      <c r="Q2078">
        <v>0</v>
      </c>
      <c r="R2078">
        <v>0</v>
      </c>
      <c r="S2078">
        <v>0</v>
      </c>
      <c r="T2078" s="4" t="s">
        <v>4222</v>
      </c>
    </row>
    <row r="2079" spans="1:20" x14ac:dyDescent="0.2">
      <c r="A2079" s="4" t="s">
        <v>4223</v>
      </c>
      <c r="B2079" s="4" t="s">
        <v>4224</v>
      </c>
      <c r="C2079" s="4" t="s">
        <v>2096</v>
      </c>
      <c r="D2079" s="4" t="s">
        <v>4172</v>
      </c>
      <c r="E2079" s="4" t="s">
        <v>4225</v>
      </c>
      <c r="F2079" s="4" t="s">
        <v>4226</v>
      </c>
      <c r="G2079" s="4" t="s">
        <v>4227</v>
      </c>
      <c r="H2079" s="4" t="s">
        <v>4228</v>
      </c>
      <c r="I2079" s="4" t="s">
        <v>2100</v>
      </c>
      <c r="J2079" s="4" t="s">
        <v>4229</v>
      </c>
      <c r="K2079">
        <v>16</v>
      </c>
      <c r="L2079">
        <v>4.88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 s="4" t="s">
        <v>4230</v>
      </c>
    </row>
    <row r="2080" spans="1:20" x14ac:dyDescent="0.2">
      <c r="A2080" s="4" t="s">
        <v>4223</v>
      </c>
      <c r="B2080" s="4" t="s">
        <v>4224</v>
      </c>
      <c r="C2080" s="4" t="s">
        <v>2096</v>
      </c>
      <c r="D2080" s="4" t="s">
        <v>4172</v>
      </c>
      <c r="E2080" s="4" t="s">
        <v>4231</v>
      </c>
      <c r="F2080" s="4" t="s">
        <v>4232</v>
      </c>
      <c r="G2080" s="4" t="s">
        <v>4227</v>
      </c>
      <c r="H2080" s="4" t="s">
        <v>4228</v>
      </c>
      <c r="I2080" s="4" t="s">
        <v>2100</v>
      </c>
      <c r="J2080" s="4" t="s">
        <v>4233</v>
      </c>
      <c r="K2080">
        <v>12</v>
      </c>
      <c r="L2080">
        <v>3.66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 s="4" t="s">
        <v>4234</v>
      </c>
    </row>
    <row r="2081" spans="1:20" x14ac:dyDescent="0.2">
      <c r="A2081" s="4" t="s">
        <v>4223</v>
      </c>
      <c r="B2081" s="4" t="s">
        <v>4224</v>
      </c>
      <c r="C2081" s="4" t="s">
        <v>2096</v>
      </c>
      <c r="D2081" s="4" t="s">
        <v>4172</v>
      </c>
      <c r="E2081" s="4" t="s">
        <v>4235</v>
      </c>
      <c r="F2081" s="4" t="s">
        <v>4232</v>
      </c>
      <c r="G2081" s="4" t="s">
        <v>4227</v>
      </c>
      <c r="H2081" s="4" t="s">
        <v>4228</v>
      </c>
      <c r="I2081" s="4" t="s">
        <v>2100</v>
      </c>
      <c r="J2081" s="4" t="s">
        <v>4233</v>
      </c>
      <c r="K2081">
        <v>16</v>
      </c>
      <c r="L2081">
        <v>4.88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 s="4" t="s">
        <v>4234</v>
      </c>
    </row>
    <row r="2082" spans="1:20" x14ac:dyDescent="0.2">
      <c r="A2082" s="4" t="s">
        <v>4223</v>
      </c>
      <c r="B2082" s="4" t="s">
        <v>4224</v>
      </c>
      <c r="C2082" s="4" t="s">
        <v>2096</v>
      </c>
      <c r="D2082" s="4" t="s">
        <v>4172</v>
      </c>
      <c r="E2082" s="4" t="s">
        <v>4236</v>
      </c>
      <c r="F2082" s="4" t="s">
        <v>4237</v>
      </c>
      <c r="G2082" s="4" t="s">
        <v>4238</v>
      </c>
      <c r="H2082" s="4" t="s">
        <v>4228</v>
      </c>
      <c r="I2082" s="4" t="s">
        <v>2100</v>
      </c>
      <c r="J2082" s="4" t="s">
        <v>4233</v>
      </c>
      <c r="K2082">
        <v>12</v>
      </c>
      <c r="L2082">
        <v>3.66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 s="4" t="s">
        <v>4239</v>
      </c>
    </row>
    <row r="2083" spans="1:20" x14ac:dyDescent="0.2">
      <c r="A2083" s="4" t="s">
        <v>4223</v>
      </c>
      <c r="B2083" s="4" t="s">
        <v>4224</v>
      </c>
      <c r="C2083" s="4" t="s">
        <v>2096</v>
      </c>
      <c r="D2083" s="4" t="s">
        <v>4172</v>
      </c>
      <c r="E2083" s="4" t="s">
        <v>487</v>
      </c>
      <c r="F2083" s="4" t="s">
        <v>4237</v>
      </c>
      <c r="G2083" s="4" t="s">
        <v>4238</v>
      </c>
      <c r="H2083" s="4" t="s">
        <v>4228</v>
      </c>
      <c r="I2083" s="4" t="s">
        <v>2100</v>
      </c>
      <c r="J2083" s="4" t="s">
        <v>4233</v>
      </c>
      <c r="K2083">
        <v>16</v>
      </c>
      <c r="L2083">
        <v>4.88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 s="4" t="s">
        <v>4239</v>
      </c>
    </row>
    <row r="2084" spans="1:20" x14ac:dyDescent="0.2">
      <c r="A2084" s="4" t="s">
        <v>4240</v>
      </c>
      <c r="B2084" s="4" t="s">
        <v>4241</v>
      </c>
      <c r="C2084" s="4" t="s">
        <v>2096</v>
      </c>
      <c r="D2084" s="4" t="s">
        <v>4172</v>
      </c>
      <c r="E2084" s="4" t="s">
        <v>1055</v>
      </c>
      <c r="F2084" s="4" t="s">
        <v>4242</v>
      </c>
      <c r="G2084" s="4" t="s">
        <v>4243</v>
      </c>
      <c r="H2084" s="4" t="s">
        <v>4188</v>
      </c>
      <c r="I2084" s="4" t="s">
        <v>2100</v>
      </c>
      <c r="J2084" s="4" t="s">
        <v>4193</v>
      </c>
      <c r="K2084">
        <v>16</v>
      </c>
      <c r="L2084">
        <v>4.88</v>
      </c>
      <c r="M2084">
        <v>38</v>
      </c>
      <c r="N2084">
        <v>78</v>
      </c>
      <c r="O2084">
        <v>0</v>
      </c>
      <c r="P2084">
        <v>0</v>
      </c>
      <c r="Q2084">
        <v>0</v>
      </c>
      <c r="R2084">
        <v>0</v>
      </c>
      <c r="S2084">
        <v>0</v>
      </c>
      <c r="T2084" s="4" t="s">
        <v>4244</v>
      </c>
    </row>
    <row r="2085" spans="1:20" x14ac:dyDescent="0.2">
      <c r="A2085" s="4" t="s">
        <v>4245</v>
      </c>
      <c r="B2085" s="4" t="s">
        <v>4241</v>
      </c>
      <c r="C2085" s="4" t="s">
        <v>2096</v>
      </c>
      <c r="D2085" s="4" t="s">
        <v>4172</v>
      </c>
      <c r="E2085" s="4" t="s">
        <v>4246</v>
      </c>
      <c r="F2085" s="4" t="s">
        <v>4242</v>
      </c>
      <c r="G2085" s="4" t="s">
        <v>4243</v>
      </c>
      <c r="H2085" s="4" t="s">
        <v>4188</v>
      </c>
      <c r="I2085" s="4" t="s">
        <v>2100</v>
      </c>
      <c r="J2085" s="4" t="s">
        <v>4193</v>
      </c>
      <c r="K2085">
        <v>16</v>
      </c>
      <c r="L2085">
        <v>4.88</v>
      </c>
      <c r="M2085">
        <v>38</v>
      </c>
      <c r="N2085">
        <v>78</v>
      </c>
      <c r="O2085">
        <v>0</v>
      </c>
      <c r="P2085">
        <v>0</v>
      </c>
      <c r="Q2085">
        <v>0</v>
      </c>
      <c r="R2085">
        <v>0</v>
      </c>
      <c r="S2085">
        <v>0</v>
      </c>
      <c r="T2085" s="4" t="s">
        <v>4244</v>
      </c>
    </row>
    <row r="2086" spans="1:20" x14ac:dyDescent="0.2">
      <c r="A2086" s="4" t="s">
        <v>4240</v>
      </c>
      <c r="B2086" s="4" t="s">
        <v>4247</v>
      </c>
      <c r="C2086" s="4" t="s">
        <v>2096</v>
      </c>
      <c r="D2086" s="4" t="s">
        <v>4172</v>
      </c>
      <c r="E2086" s="4" t="s">
        <v>4248</v>
      </c>
      <c r="F2086" s="4" t="s">
        <v>4249</v>
      </c>
      <c r="G2086" s="4" t="s">
        <v>4243</v>
      </c>
      <c r="H2086" s="4" t="s">
        <v>4188</v>
      </c>
      <c r="I2086" s="4" t="s">
        <v>2100</v>
      </c>
      <c r="J2086" s="4" t="s">
        <v>4189</v>
      </c>
      <c r="K2086">
        <v>16</v>
      </c>
      <c r="L2086">
        <v>4.88</v>
      </c>
      <c r="M2086">
        <v>49</v>
      </c>
      <c r="N2086">
        <v>99</v>
      </c>
      <c r="O2086">
        <v>0</v>
      </c>
      <c r="P2086">
        <v>0</v>
      </c>
      <c r="Q2086">
        <v>0</v>
      </c>
      <c r="R2086">
        <v>0</v>
      </c>
      <c r="S2086">
        <v>0</v>
      </c>
      <c r="T2086" s="4" t="s">
        <v>4250</v>
      </c>
    </row>
    <row r="2087" spans="1:20" x14ac:dyDescent="0.2">
      <c r="A2087" s="4" t="s">
        <v>4245</v>
      </c>
      <c r="B2087" s="4" t="s">
        <v>4247</v>
      </c>
      <c r="C2087" s="4" t="s">
        <v>2096</v>
      </c>
      <c r="D2087" s="4" t="s">
        <v>4172</v>
      </c>
      <c r="E2087" s="4" t="s">
        <v>4251</v>
      </c>
      <c r="F2087" s="4" t="s">
        <v>4249</v>
      </c>
      <c r="G2087" s="4" t="s">
        <v>4243</v>
      </c>
      <c r="H2087" s="4" t="s">
        <v>4188</v>
      </c>
      <c r="I2087" s="4" t="s">
        <v>2100</v>
      </c>
      <c r="J2087" s="4" t="s">
        <v>4189</v>
      </c>
      <c r="K2087">
        <v>16</v>
      </c>
      <c r="L2087">
        <v>4.88</v>
      </c>
      <c r="M2087">
        <v>49</v>
      </c>
      <c r="N2087">
        <v>99</v>
      </c>
      <c r="O2087">
        <v>0</v>
      </c>
      <c r="P2087">
        <v>0</v>
      </c>
      <c r="Q2087">
        <v>0</v>
      </c>
      <c r="R2087">
        <v>0</v>
      </c>
      <c r="S2087">
        <v>0</v>
      </c>
      <c r="T2087" s="4" t="s">
        <v>4250</v>
      </c>
    </row>
    <row r="2088" spans="1:20" x14ac:dyDescent="0.2">
      <c r="A2088" s="4" t="s">
        <v>4240</v>
      </c>
      <c r="B2088" s="4" t="s">
        <v>4182</v>
      </c>
      <c r="C2088" s="4" t="s">
        <v>2096</v>
      </c>
      <c r="D2088" s="4" t="s">
        <v>4172</v>
      </c>
      <c r="E2088" s="4" t="s">
        <v>1065</v>
      </c>
      <c r="F2088" s="4" t="s">
        <v>4252</v>
      </c>
      <c r="G2088" s="4" t="s">
        <v>4243</v>
      </c>
      <c r="H2088" s="4" t="s">
        <v>4185</v>
      </c>
      <c r="I2088" s="4" t="s">
        <v>2100</v>
      </c>
      <c r="J2088" s="4" t="s">
        <v>2518</v>
      </c>
      <c r="K2088">
        <v>16</v>
      </c>
      <c r="L2088">
        <v>4.88</v>
      </c>
      <c r="M2088">
        <v>50</v>
      </c>
      <c r="N2088">
        <v>50</v>
      </c>
      <c r="O2088">
        <v>0</v>
      </c>
      <c r="P2088">
        <v>0</v>
      </c>
      <c r="Q2088">
        <v>0</v>
      </c>
      <c r="R2088">
        <v>0</v>
      </c>
      <c r="S2088">
        <v>0</v>
      </c>
      <c r="T2088" s="4" t="s">
        <v>4253</v>
      </c>
    </row>
    <row r="2089" spans="1:20" x14ac:dyDescent="0.2">
      <c r="A2089" s="4" t="s">
        <v>4245</v>
      </c>
      <c r="B2089" s="4" t="s">
        <v>4182</v>
      </c>
      <c r="C2089" s="4" t="s">
        <v>2096</v>
      </c>
      <c r="D2089" s="4" t="s">
        <v>4172</v>
      </c>
      <c r="E2089" s="4" t="s">
        <v>4254</v>
      </c>
      <c r="F2089" s="4" t="s">
        <v>4252</v>
      </c>
      <c r="G2089" s="4" t="s">
        <v>4243</v>
      </c>
      <c r="H2089" s="4" t="s">
        <v>4185</v>
      </c>
      <c r="I2089" s="4" t="s">
        <v>2100</v>
      </c>
      <c r="J2089" s="4" t="s">
        <v>2518</v>
      </c>
      <c r="K2089">
        <v>16</v>
      </c>
      <c r="L2089">
        <v>4.88</v>
      </c>
      <c r="M2089">
        <v>50</v>
      </c>
      <c r="N2089">
        <v>50</v>
      </c>
      <c r="O2089">
        <v>0</v>
      </c>
      <c r="P2089">
        <v>0</v>
      </c>
      <c r="Q2089">
        <v>0</v>
      </c>
      <c r="R2089">
        <v>0</v>
      </c>
      <c r="S2089">
        <v>0</v>
      </c>
      <c r="T2089" s="4" t="s">
        <v>4253</v>
      </c>
    </row>
    <row r="2090" spans="1:20" x14ac:dyDescent="0.2">
      <c r="A2090" s="4" t="s">
        <v>4240</v>
      </c>
      <c r="B2090" s="4" t="s">
        <v>4200</v>
      </c>
      <c r="C2090" s="4" t="s">
        <v>2096</v>
      </c>
      <c r="D2090" s="4" t="s">
        <v>4172</v>
      </c>
      <c r="E2090" s="4" t="s">
        <v>4255</v>
      </c>
      <c r="F2090" s="4" t="s">
        <v>4256</v>
      </c>
      <c r="G2090" s="4" t="s">
        <v>4243</v>
      </c>
      <c r="H2090" s="4" t="s">
        <v>2082</v>
      </c>
      <c r="I2090" s="4" t="s">
        <v>2100</v>
      </c>
      <c r="J2090" s="4" t="s">
        <v>2153</v>
      </c>
      <c r="K2090">
        <v>16</v>
      </c>
      <c r="L2090">
        <v>4.88</v>
      </c>
      <c r="M2090">
        <v>25</v>
      </c>
      <c r="N2090">
        <v>142</v>
      </c>
      <c r="O2090">
        <v>0</v>
      </c>
      <c r="P2090">
        <v>0</v>
      </c>
      <c r="Q2090">
        <v>0</v>
      </c>
      <c r="R2090">
        <v>0</v>
      </c>
      <c r="S2090">
        <v>0</v>
      </c>
      <c r="T2090" s="4" t="s">
        <v>4257</v>
      </c>
    </row>
    <row r="2091" spans="1:20" x14ac:dyDescent="0.2">
      <c r="A2091" s="4" t="s">
        <v>4245</v>
      </c>
      <c r="B2091" s="4" t="s">
        <v>4258</v>
      </c>
      <c r="C2091" s="4" t="s">
        <v>2096</v>
      </c>
      <c r="D2091" s="4" t="s">
        <v>4172</v>
      </c>
      <c r="E2091" s="4" t="s">
        <v>4259</v>
      </c>
      <c r="F2091" s="4" t="s">
        <v>4260</v>
      </c>
      <c r="G2091" s="4" t="s">
        <v>4243</v>
      </c>
      <c r="H2091" s="4" t="s">
        <v>2082</v>
      </c>
      <c r="I2091" s="4" t="s">
        <v>2100</v>
      </c>
      <c r="J2091" s="4" t="s">
        <v>4197</v>
      </c>
      <c r="K2091">
        <v>16</v>
      </c>
      <c r="L2091">
        <v>4.88</v>
      </c>
      <c r="M2091">
        <v>26</v>
      </c>
      <c r="N2091">
        <v>176</v>
      </c>
      <c r="O2091">
        <v>0</v>
      </c>
      <c r="P2091">
        <v>0</v>
      </c>
      <c r="Q2091">
        <v>0</v>
      </c>
      <c r="R2091">
        <v>0</v>
      </c>
      <c r="S2091">
        <v>0</v>
      </c>
      <c r="T2091" s="4" t="s">
        <v>4261</v>
      </c>
    </row>
    <row r="2092" spans="1:20" x14ac:dyDescent="0.2">
      <c r="A2092" s="4" t="s">
        <v>4240</v>
      </c>
      <c r="B2092" s="4" t="s">
        <v>4262</v>
      </c>
      <c r="C2092" s="4" t="s">
        <v>2096</v>
      </c>
      <c r="D2092" s="4" t="s">
        <v>4172</v>
      </c>
      <c r="E2092" s="4" t="s">
        <v>1045</v>
      </c>
      <c r="F2092" s="4" t="s">
        <v>4263</v>
      </c>
      <c r="G2092" s="4" t="s">
        <v>4243</v>
      </c>
      <c r="H2092" s="4" t="s">
        <v>2082</v>
      </c>
      <c r="I2092" s="4" t="s">
        <v>2100</v>
      </c>
      <c r="J2092" s="4" t="s">
        <v>2432</v>
      </c>
      <c r="K2092">
        <v>16</v>
      </c>
      <c r="L2092">
        <v>4.88</v>
      </c>
      <c r="M2092">
        <v>25</v>
      </c>
      <c r="N2092">
        <v>222</v>
      </c>
      <c r="O2092">
        <v>0</v>
      </c>
      <c r="P2092">
        <v>0</v>
      </c>
      <c r="Q2092">
        <v>0</v>
      </c>
      <c r="R2092">
        <v>0</v>
      </c>
      <c r="S2092">
        <v>0</v>
      </c>
      <c r="T2092" s="4" t="s">
        <v>4264</v>
      </c>
    </row>
    <row r="2093" spans="1:20" x14ac:dyDescent="0.2">
      <c r="A2093" s="4" t="s">
        <v>4245</v>
      </c>
      <c r="B2093" s="4" t="s">
        <v>4262</v>
      </c>
      <c r="C2093" s="4" t="s">
        <v>2096</v>
      </c>
      <c r="D2093" s="4" t="s">
        <v>4172</v>
      </c>
      <c r="E2093" s="4" t="s">
        <v>4265</v>
      </c>
      <c r="F2093" s="4" t="s">
        <v>4263</v>
      </c>
      <c r="G2093" s="4" t="s">
        <v>4243</v>
      </c>
      <c r="H2093" s="4" t="s">
        <v>2082</v>
      </c>
      <c r="I2093" s="4" t="s">
        <v>2100</v>
      </c>
      <c r="J2093" s="4" t="s">
        <v>2432</v>
      </c>
      <c r="K2093">
        <v>16</v>
      </c>
      <c r="L2093">
        <v>4.88</v>
      </c>
      <c r="M2093">
        <v>26</v>
      </c>
      <c r="N2093">
        <v>219</v>
      </c>
      <c r="O2093">
        <v>0</v>
      </c>
      <c r="P2093">
        <v>0</v>
      </c>
      <c r="Q2093">
        <v>0</v>
      </c>
      <c r="R2093">
        <v>0</v>
      </c>
      <c r="S2093">
        <v>0</v>
      </c>
      <c r="T2093" s="4" t="s">
        <v>4264</v>
      </c>
    </row>
    <row r="2094" spans="1:20" x14ac:dyDescent="0.2">
      <c r="A2094" s="4" t="s">
        <v>4245</v>
      </c>
      <c r="B2094" s="4" t="s">
        <v>4262</v>
      </c>
      <c r="C2094" s="4" t="s">
        <v>2096</v>
      </c>
      <c r="D2094" s="4" t="s">
        <v>4172</v>
      </c>
      <c r="E2094" s="4" t="s">
        <v>4266</v>
      </c>
      <c r="F2094" s="4" t="s">
        <v>4263</v>
      </c>
      <c r="G2094" s="4" t="s">
        <v>4243</v>
      </c>
      <c r="H2094" s="4" t="s">
        <v>2082</v>
      </c>
      <c r="I2094" s="4" t="s">
        <v>2100</v>
      </c>
      <c r="J2094" s="4" t="s">
        <v>2432</v>
      </c>
      <c r="K2094">
        <v>7</v>
      </c>
      <c r="L2094">
        <v>2.13</v>
      </c>
      <c r="M2094">
        <v>26</v>
      </c>
      <c r="N2094">
        <v>219</v>
      </c>
      <c r="O2094">
        <v>0</v>
      </c>
      <c r="P2094">
        <v>0</v>
      </c>
      <c r="Q2094">
        <v>0</v>
      </c>
      <c r="R2094">
        <v>0</v>
      </c>
      <c r="S2094">
        <v>0</v>
      </c>
      <c r="T2094" s="4" t="s">
        <v>4264</v>
      </c>
    </row>
    <row r="2095" spans="1:20" x14ac:dyDescent="0.2">
      <c r="A2095" s="4" t="s">
        <v>4267</v>
      </c>
      <c r="B2095" s="4" t="s">
        <v>4268</v>
      </c>
      <c r="C2095" s="4" t="s">
        <v>2096</v>
      </c>
      <c r="D2095" s="4" t="s">
        <v>4172</v>
      </c>
      <c r="E2095" s="4" t="s">
        <v>4269</v>
      </c>
      <c r="F2095" s="4" t="s">
        <v>4270</v>
      </c>
      <c r="G2095" s="4" t="s">
        <v>4271</v>
      </c>
      <c r="H2095" s="4" t="s">
        <v>4267</v>
      </c>
      <c r="I2095" s="4" t="s">
        <v>2100</v>
      </c>
      <c r="J2095" s="4" t="s">
        <v>4272</v>
      </c>
      <c r="K2095">
        <v>8</v>
      </c>
      <c r="L2095">
        <v>2.44</v>
      </c>
      <c r="M2095">
        <v>19.05</v>
      </c>
      <c r="N2095">
        <v>1219.2</v>
      </c>
      <c r="O2095">
        <v>0</v>
      </c>
      <c r="P2095">
        <v>0</v>
      </c>
      <c r="Q2095">
        <v>0</v>
      </c>
      <c r="R2095">
        <v>0</v>
      </c>
      <c r="S2095">
        <v>0</v>
      </c>
      <c r="T2095" s="4" t="s">
        <v>4273</v>
      </c>
    </row>
    <row r="2096" spans="1:20" x14ac:dyDescent="0.2">
      <c r="A2096" s="4" t="s">
        <v>4267</v>
      </c>
      <c r="B2096" s="4" t="s">
        <v>4268</v>
      </c>
      <c r="C2096" s="4" t="s">
        <v>2096</v>
      </c>
      <c r="D2096" s="4" t="s">
        <v>4172</v>
      </c>
      <c r="E2096" s="4" t="s">
        <v>4274</v>
      </c>
      <c r="F2096" s="4" t="s">
        <v>4275</v>
      </c>
      <c r="G2096" s="4" t="s">
        <v>4271</v>
      </c>
      <c r="H2096" s="4" t="s">
        <v>4267</v>
      </c>
      <c r="I2096" s="4" t="s">
        <v>2100</v>
      </c>
      <c r="J2096" s="4" t="s">
        <v>3644</v>
      </c>
      <c r="K2096">
        <v>8</v>
      </c>
      <c r="L2096">
        <v>2.44</v>
      </c>
      <c r="M2096">
        <v>15.88</v>
      </c>
      <c r="N2096">
        <v>1219.2</v>
      </c>
      <c r="O2096">
        <v>0</v>
      </c>
      <c r="P2096">
        <v>0</v>
      </c>
      <c r="Q2096">
        <v>0</v>
      </c>
      <c r="R2096">
        <v>0</v>
      </c>
      <c r="S2096">
        <v>0</v>
      </c>
      <c r="T2096" s="4" t="s">
        <v>4276</v>
      </c>
    </row>
    <row r="2097" spans="1:20" x14ac:dyDescent="0.2">
      <c r="A2097" s="4" t="s">
        <v>4170</v>
      </c>
      <c r="B2097" s="4" t="s">
        <v>4180</v>
      </c>
      <c r="C2097" s="4" t="s">
        <v>2096</v>
      </c>
      <c r="D2097" s="4" t="s">
        <v>4172</v>
      </c>
      <c r="E2097" s="4" t="s">
        <v>1003</v>
      </c>
      <c r="F2097" s="4" t="s">
        <v>4277</v>
      </c>
      <c r="G2097" s="4" t="s">
        <v>4278</v>
      </c>
      <c r="H2097" s="4" t="s">
        <v>2082</v>
      </c>
      <c r="I2097" s="4" t="s">
        <v>2100</v>
      </c>
      <c r="J2097" s="4" t="s">
        <v>2153</v>
      </c>
      <c r="K2097">
        <v>16</v>
      </c>
      <c r="L2097">
        <v>4.88</v>
      </c>
      <c r="M2097">
        <v>21</v>
      </c>
      <c r="N2097">
        <v>156</v>
      </c>
      <c r="O2097">
        <v>0</v>
      </c>
      <c r="P2097">
        <v>0</v>
      </c>
      <c r="Q2097">
        <v>0</v>
      </c>
      <c r="R2097">
        <v>0</v>
      </c>
      <c r="S2097">
        <v>0</v>
      </c>
      <c r="T2097" s="4" t="s">
        <v>4279</v>
      </c>
    </row>
    <row r="2098" spans="1:20" x14ac:dyDescent="0.2">
      <c r="A2098" s="4" t="s">
        <v>4170</v>
      </c>
      <c r="B2098" s="4" t="s">
        <v>4180</v>
      </c>
      <c r="C2098" s="4" t="s">
        <v>2096</v>
      </c>
      <c r="D2098" s="4" t="s">
        <v>4172</v>
      </c>
      <c r="E2098" s="4" t="s">
        <v>4280</v>
      </c>
      <c r="F2098" s="4" t="s">
        <v>4277</v>
      </c>
      <c r="G2098" s="4" t="s">
        <v>4278</v>
      </c>
      <c r="H2098" s="4" t="s">
        <v>2082</v>
      </c>
      <c r="I2098" s="4" t="s">
        <v>2100</v>
      </c>
      <c r="J2098" s="4" t="s">
        <v>2153</v>
      </c>
      <c r="K2098">
        <v>8</v>
      </c>
      <c r="L2098">
        <v>2.44</v>
      </c>
      <c r="M2098">
        <v>21</v>
      </c>
      <c r="N2098">
        <v>156</v>
      </c>
      <c r="O2098">
        <v>0</v>
      </c>
      <c r="P2098">
        <v>0</v>
      </c>
      <c r="Q2098">
        <v>0</v>
      </c>
      <c r="R2098">
        <v>0</v>
      </c>
      <c r="S2098">
        <v>0</v>
      </c>
      <c r="T2098" s="4" t="s">
        <v>4279</v>
      </c>
    </row>
    <row r="2099" spans="1:20" x14ac:dyDescent="0.2">
      <c r="A2099" s="4" t="s">
        <v>4170</v>
      </c>
      <c r="B2099" s="4" t="s">
        <v>4281</v>
      </c>
      <c r="C2099" s="4" t="s">
        <v>2096</v>
      </c>
      <c r="D2099" s="4" t="s">
        <v>4172</v>
      </c>
      <c r="E2099" s="4" t="s">
        <v>1005</v>
      </c>
      <c r="F2099" s="4" t="s">
        <v>4282</v>
      </c>
      <c r="G2099" s="4" t="s">
        <v>4283</v>
      </c>
      <c r="H2099" s="4" t="s">
        <v>2082</v>
      </c>
      <c r="I2099" s="4" t="s">
        <v>2100</v>
      </c>
      <c r="J2099" s="4" t="s">
        <v>2153</v>
      </c>
      <c r="K2099">
        <v>16</v>
      </c>
      <c r="L2099">
        <v>4.88</v>
      </c>
      <c r="M2099">
        <v>11.5</v>
      </c>
      <c r="N2099">
        <v>140</v>
      </c>
      <c r="O2099">
        <v>0</v>
      </c>
      <c r="P2099">
        <v>0</v>
      </c>
      <c r="Q2099">
        <v>0</v>
      </c>
      <c r="R2099">
        <v>0</v>
      </c>
      <c r="S2099">
        <v>0</v>
      </c>
      <c r="T2099" s="4" t="s">
        <v>4284</v>
      </c>
    </row>
    <row r="2100" spans="1:20" x14ac:dyDescent="0.2">
      <c r="A2100" s="4" t="s">
        <v>4170</v>
      </c>
      <c r="B2100" s="4" t="s">
        <v>4281</v>
      </c>
      <c r="C2100" s="4" t="s">
        <v>2096</v>
      </c>
      <c r="D2100" s="4" t="s">
        <v>4172</v>
      </c>
      <c r="E2100" s="4" t="s">
        <v>1007</v>
      </c>
      <c r="F2100" s="4" t="s">
        <v>4285</v>
      </c>
      <c r="G2100" s="4" t="s">
        <v>4286</v>
      </c>
      <c r="H2100" s="4" t="s">
        <v>2082</v>
      </c>
      <c r="I2100" s="4" t="s">
        <v>2100</v>
      </c>
      <c r="J2100" s="4" t="s">
        <v>2153</v>
      </c>
      <c r="K2100">
        <v>16</v>
      </c>
      <c r="L2100">
        <v>4.88</v>
      </c>
      <c r="M2100">
        <v>11.5</v>
      </c>
      <c r="N2100">
        <v>140</v>
      </c>
      <c r="O2100">
        <v>0</v>
      </c>
      <c r="P2100">
        <v>0</v>
      </c>
      <c r="Q2100">
        <v>0</v>
      </c>
      <c r="R2100">
        <v>0</v>
      </c>
      <c r="S2100">
        <v>0</v>
      </c>
      <c r="T2100" s="4" t="s">
        <v>4287</v>
      </c>
    </row>
    <row r="2101" spans="1:20" x14ac:dyDescent="0.2">
      <c r="A2101" s="4" t="s">
        <v>4170</v>
      </c>
      <c r="B2101" s="4" t="s">
        <v>4281</v>
      </c>
      <c r="C2101" s="4" t="s">
        <v>2096</v>
      </c>
      <c r="D2101" s="4" t="s">
        <v>4172</v>
      </c>
      <c r="E2101" s="4" t="s">
        <v>1009</v>
      </c>
      <c r="F2101" s="4" t="s">
        <v>4288</v>
      </c>
      <c r="G2101" s="4" t="s">
        <v>4289</v>
      </c>
      <c r="H2101" s="4" t="s">
        <v>2082</v>
      </c>
      <c r="I2101" s="4" t="s">
        <v>2100</v>
      </c>
      <c r="J2101" s="4" t="s">
        <v>2153</v>
      </c>
      <c r="K2101">
        <v>16</v>
      </c>
      <c r="L2101">
        <v>4.88</v>
      </c>
      <c r="M2101">
        <v>11.5</v>
      </c>
      <c r="N2101">
        <v>140</v>
      </c>
      <c r="O2101">
        <v>0</v>
      </c>
      <c r="P2101">
        <v>0</v>
      </c>
      <c r="Q2101">
        <v>0</v>
      </c>
      <c r="R2101">
        <v>0</v>
      </c>
      <c r="S2101">
        <v>0</v>
      </c>
      <c r="T2101" s="4" t="s">
        <v>4290</v>
      </c>
    </row>
    <row r="2102" spans="1:20" x14ac:dyDescent="0.2">
      <c r="A2102" s="4" t="s">
        <v>4170</v>
      </c>
      <c r="B2102" s="4" t="s">
        <v>4281</v>
      </c>
      <c r="C2102" s="4" t="s">
        <v>2096</v>
      </c>
      <c r="D2102" s="4" t="s">
        <v>4172</v>
      </c>
      <c r="E2102" s="4" t="s">
        <v>1011</v>
      </c>
      <c r="F2102" s="4" t="s">
        <v>4291</v>
      </c>
      <c r="G2102" s="4" t="s">
        <v>4292</v>
      </c>
      <c r="H2102" s="4" t="s">
        <v>2082</v>
      </c>
      <c r="I2102" s="4" t="s">
        <v>2100</v>
      </c>
      <c r="J2102" s="4" t="s">
        <v>2153</v>
      </c>
      <c r="K2102">
        <v>16</v>
      </c>
      <c r="L2102">
        <v>4.88</v>
      </c>
      <c r="M2102">
        <v>11.5</v>
      </c>
      <c r="N2102">
        <v>140</v>
      </c>
      <c r="O2102">
        <v>0</v>
      </c>
      <c r="P2102">
        <v>0</v>
      </c>
      <c r="Q2102">
        <v>0</v>
      </c>
      <c r="R2102">
        <v>0</v>
      </c>
      <c r="S2102">
        <v>0</v>
      </c>
      <c r="T2102" s="4" t="s">
        <v>4293</v>
      </c>
    </row>
    <row r="2103" spans="1:20" x14ac:dyDescent="0.2">
      <c r="A2103" s="4" t="s">
        <v>4170</v>
      </c>
      <c r="B2103" s="4" t="s">
        <v>4182</v>
      </c>
      <c r="C2103" s="4" t="s">
        <v>2096</v>
      </c>
      <c r="D2103" s="4" t="s">
        <v>4172</v>
      </c>
      <c r="E2103" s="4" t="s">
        <v>1037</v>
      </c>
      <c r="F2103" s="4" t="s">
        <v>4294</v>
      </c>
      <c r="G2103" s="4" t="s">
        <v>4295</v>
      </c>
      <c r="H2103" s="4" t="s">
        <v>4185</v>
      </c>
      <c r="I2103" s="4" t="s">
        <v>2100</v>
      </c>
      <c r="J2103" s="4" t="s">
        <v>2518</v>
      </c>
      <c r="K2103">
        <v>16</v>
      </c>
      <c r="L2103">
        <v>4.88</v>
      </c>
      <c r="M2103">
        <v>50</v>
      </c>
      <c r="N2103">
        <v>50</v>
      </c>
      <c r="O2103">
        <v>0</v>
      </c>
      <c r="P2103">
        <v>0</v>
      </c>
      <c r="Q2103">
        <v>0</v>
      </c>
      <c r="R2103">
        <v>0</v>
      </c>
      <c r="S2103">
        <v>0</v>
      </c>
      <c r="T2103" s="4" t="s">
        <v>4296</v>
      </c>
    </row>
    <row r="2104" spans="1:20" x14ac:dyDescent="0.2">
      <c r="A2104" s="4" t="s">
        <v>4223</v>
      </c>
      <c r="B2104" s="4" t="s">
        <v>4224</v>
      </c>
      <c r="C2104" s="4" t="s">
        <v>2096</v>
      </c>
      <c r="D2104" s="4" t="s">
        <v>4172</v>
      </c>
      <c r="E2104" s="4" t="s">
        <v>494</v>
      </c>
      <c r="F2104" s="4" t="s">
        <v>4297</v>
      </c>
      <c r="G2104" s="4" t="s">
        <v>4295</v>
      </c>
      <c r="H2104" s="4" t="s">
        <v>4298</v>
      </c>
      <c r="I2104" s="4" t="s">
        <v>2100</v>
      </c>
      <c r="J2104" s="4" t="s">
        <v>2944</v>
      </c>
      <c r="K2104">
        <v>6</v>
      </c>
      <c r="L2104">
        <v>1.83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 s="4" t="s">
        <v>4299</v>
      </c>
    </row>
    <row r="2105" spans="1:20" x14ac:dyDescent="0.2">
      <c r="A2105" s="4" t="s">
        <v>4223</v>
      </c>
      <c r="B2105" s="4" t="s">
        <v>4224</v>
      </c>
      <c r="C2105" s="4" t="s">
        <v>2096</v>
      </c>
      <c r="D2105" s="4" t="s">
        <v>4172</v>
      </c>
      <c r="E2105" s="4" t="s">
        <v>492</v>
      </c>
      <c r="F2105" s="4" t="s">
        <v>4297</v>
      </c>
      <c r="G2105" s="4" t="s">
        <v>4295</v>
      </c>
      <c r="H2105" s="4" t="s">
        <v>4298</v>
      </c>
      <c r="I2105" s="4" t="s">
        <v>2100</v>
      </c>
      <c r="J2105" s="4" t="s">
        <v>2944</v>
      </c>
      <c r="K2105">
        <v>6</v>
      </c>
      <c r="L2105">
        <v>1.83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 s="4" t="s">
        <v>4299</v>
      </c>
    </row>
    <row r="2106" spans="1:20" x14ac:dyDescent="0.2">
      <c r="A2106" s="4" t="s">
        <v>4170</v>
      </c>
      <c r="B2106" s="4" t="s">
        <v>4171</v>
      </c>
      <c r="C2106" s="4" t="s">
        <v>2096</v>
      </c>
      <c r="D2106" s="4" t="s">
        <v>4172</v>
      </c>
      <c r="E2106" s="4" t="s">
        <v>995</v>
      </c>
      <c r="F2106" s="4" t="s">
        <v>4300</v>
      </c>
      <c r="G2106" s="4" t="s">
        <v>4295</v>
      </c>
      <c r="H2106" s="4" t="s">
        <v>4188</v>
      </c>
      <c r="I2106" s="4" t="s">
        <v>2100</v>
      </c>
      <c r="J2106" s="4" t="s">
        <v>4189</v>
      </c>
      <c r="K2106">
        <v>16</v>
      </c>
      <c r="L2106">
        <v>4.88</v>
      </c>
      <c r="M2106">
        <v>49</v>
      </c>
      <c r="N2106">
        <v>99</v>
      </c>
      <c r="O2106">
        <v>0</v>
      </c>
      <c r="P2106">
        <v>0</v>
      </c>
      <c r="Q2106">
        <v>0</v>
      </c>
      <c r="R2106">
        <v>0</v>
      </c>
      <c r="S2106">
        <v>0</v>
      </c>
      <c r="T2106" s="4" t="s">
        <v>4301</v>
      </c>
    </row>
    <row r="2107" spans="1:20" x14ac:dyDescent="0.2">
      <c r="A2107" s="4" t="s">
        <v>4170</v>
      </c>
      <c r="B2107" s="4" t="s">
        <v>4180</v>
      </c>
      <c r="C2107" s="4" t="s">
        <v>2096</v>
      </c>
      <c r="D2107" s="4" t="s">
        <v>4172</v>
      </c>
      <c r="E2107" s="4" t="s">
        <v>999</v>
      </c>
      <c r="F2107" s="4" t="s">
        <v>4302</v>
      </c>
      <c r="G2107" s="4" t="s">
        <v>4295</v>
      </c>
      <c r="H2107" s="4" t="s">
        <v>4188</v>
      </c>
      <c r="I2107" s="4" t="s">
        <v>2100</v>
      </c>
      <c r="J2107" s="4" t="s">
        <v>4219</v>
      </c>
      <c r="K2107">
        <v>16</v>
      </c>
      <c r="L2107">
        <v>4.88</v>
      </c>
      <c r="M2107">
        <v>22.2</v>
      </c>
      <c r="N2107">
        <v>22.2</v>
      </c>
      <c r="O2107">
        <v>0</v>
      </c>
      <c r="P2107">
        <v>0</v>
      </c>
      <c r="Q2107">
        <v>0</v>
      </c>
      <c r="R2107">
        <v>0</v>
      </c>
      <c r="S2107">
        <v>0</v>
      </c>
      <c r="T2107" s="4" t="s">
        <v>4303</v>
      </c>
    </row>
    <row r="2108" spans="1:20" x14ac:dyDescent="0.2">
      <c r="A2108" s="4" t="s">
        <v>4170</v>
      </c>
      <c r="B2108" s="4" t="s">
        <v>4191</v>
      </c>
      <c r="C2108" s="4" t="s">
        <v>2096</v>
      </c>
      <c r="D2108" s="4" t="s">
        <v>4172</v>
      </c>
      <c r="E2108" s="4" t="s">
        <v>1001</v>
      </c>
      <c r="F2108" s="4" t="s">
        <v>4304</v>
      </c>
      <c r="G2108" s="4" t="s">
        <v>4295</v>
      </c>
      <c r="H2108" s="4" t="s">
        <v>4188</v>
      </c>
      <c r="I2108" s="4" t="s">
        <v>2100</v>
      </c>
      <c r="J2108" s="4" t="s">
        <v>4193</v>
      </c>
      <c r="K2108">
        <v>16</v>
      </c>
      <c r="L2108">
        <v>4.88</v>
      </c>
      <c r="M2108">
        <v>38</v>
      </c>
      <c r="N2108">
        <v>78</v>
      </c>
      <c r="O2108">
        <v>0</v>
      </c>
      <c r="P2108">
        <v>0</v>
      </c>
      <c r="Q2108">
        <v>0</v>
      </c>
      <c r="R2108">
        <v>0</v>
      </c>
      <c r="S2108">
        <v>0</v>
      </c>
      <c r="T2108" s="4" t="s">
        <v>4305</v>
      </c>
    </row>
    <row r="2109" spans="1:20" x14ac:dyDescent="0.2">
      <c r="A2109" s="4" t="s">
        <v>4240</v>
      </c>
      <c r="B2109" s="4" t="s">
        <v>4241</v>
      </c>
      <c r="C2109" s="4" t="s">
        <v>2096</v>
      </c>
      <c r="D2109" s="4" t="s">
        <v>4172</v>
      </c>
      <c r="E2109" s="4" t="s">
        <v>4306</v>
      </c>
      <c r="F2109" s="4" t="s">
        <v>4307</v>
      </c>
      <c r="G2109" s="4" t="s">
        <v>4308</v>
      </c>
      <c r="H2109" s="4" t="s">
        <v>4188</v>
      </c>
      <c r="I2109" s="4" t="s">
        <v>2100</v>
      </c>
      <c r="J2109" s="4" t="s">
        <v>4193</v>
      </c>
      <c r="K2109">
        <v>16</v>
      </c>
      <c r="L2109">
        <v>4.88</v>
      </c>
      <c r="M2109">
        <v>38</v>
      </c>
      <c r="N2109">
        <v>78</v>
      </c>
      <c r="O2109">
        <v>0</v>
      </c>
      <c r="P2109">
        <v>0</v>
      </c>
      <c r="Q2109">
        <v>0</v>
      </c>
      <c r="R2109">
        <v>0</v>
      </c>
      <c r="S2109">
        <v>0</v>
      </c>
      <c r="T2109" s="4" t="s">
        <v>4309</v>
      </c>
    </row>
    <row r="2110" spans="1:20" x14ac:dyDescent="0.2">
      <c r="A2110" s="4" t="s">
        <v>4245</v>
      </c>
      <c r="B2110" s="4" t="s">
        <v>4241</v>
      </c>
      <c r="C2110" s="4" t="s">
        <v>2096</v>
      </c>
      <c r="D2110" s="4" t="s">
        <v>4172</v>
      </c>
      <c r="E2110" s="4" t="s">
        <v>4310</v>
      </c>
      <c r="F2110" s="4" t="s">
        <v>4307</v>
      </c>
      <c r="G2110" s="4" t="s">
        <v>4308</v>
      </c>
      <c r="H2110" s="4" t="s">
        <v>4188</v>
      </c>
      <c r="I2110" s="4" t="s">
        <v>2100</v>
      </c>
      <c r="J2110" s="4" t="s">
        <v>4193</v>
      </c>
      <c r="K2110">
        <v>16</v>
      </c>
      <c r="L2110">
        <v>4.88</v>
      </c>
      <c r="M2110">
        <v>38</v>
      </c>
      <c r="N2110">
        <v>78</v>
      </c>
      <c r="O2110">
        <v>0</v>
      </c>
      <c r="P2110">
        <v>0</v>
      </c>
      <c r="Q2110">
        <v>0</v>
      </c>
      <c r="R2110">
        <v>0</v>
      </c>
      <c r="S2110">
        <v>0</v>
      </c>
      <c r="T2110" s="4" t="s">
        <v>4309</v>
      </c>
    </row>
    <row r="2111" spans="1:20" x14ac:dyDescent="0.2">
      <c r="A2111" s="4" t="s">
        <v>4240</v>
      </c>
      <c r="B2111" s="4" t="s">
        <v>4247</v>
      </c>
      <c r="C2111" s="4" t="s">
        <v>2096</v>
      </c>
      <c r="D2111" s="4" t="s">
        <v>4172</v>
      </c>
      <c r="E2111" s="4" t="s">
        <v>4311</v>
      </c>
      <c r="F2111" s="4" t="s">
        <v>4312</v>
      </c>
      <c r="G2111" s="4" t="s">
        <v>4308</v>
      </c>
      <c r="H2111" s="4" t="s">
        <v>4188</v>
      </c>
      <c r="I2111" s="4" t="s">
        <v>2100</v>
      </c>
      <c r="J2111" s="4" t="s">
        <v>4189</v>
      </c>
      <c r="K2111">
        <v>16</v>
      </c>
      <c r="L2111">
        <v>4.88</v>
      </c>
      <c r="M2111">
        <v>49</v>
      </c>
      <c r="N2111">
        <v>99</v>
      </c>
      <c r="O2111">
        <v>0</v>
      </c>
      <c r="P2111">
        <v>0</v>
      </c>
      <c r="Q2111">
        <v>0</v>
      </c>
      <c r="R2111">
        <v>0</v>
      </c>
      <c r="S2111">
        <v>0</v>
      </c>
      <c r="T2111" s="4" t="s">
        <v>4313</v>
      </c>
    </row>
    <row r="2112" spans="1:20" x14ac:dyDescent="0.2">
      <c r="A2112" s="4" t="s">
        <v>4245</v>
      </c>
      <c r="B2112" s="4" t="s">
        <v>4247</v>
      </c>
      <c r="C2112" s="4" t="s">
        <v>2096</v>
      </c>
      <c r="D2112" s="4" t="s">
        <v>4172</v>
      </c>
      <c r="E2112" s="4" t="s">
        <v>4314</v>
      </c>
      <c r="F2112" s="4" t="s">
        <v>4312</v>
      </c>
      <c r="G2112" s="4" t="s">
        <v>4308</v>
      </c>
      <c r="H2112" s="4" t="s">
        <v>4188</v>
      </c>
      <c r="I2112" s="4" t="s">
        <v>2100</v>
      </c>
      <c r="J2112" s="4" t="s">
        <v>4189</v>
      </c>
      <c r="K2112">
        <v>16</v>
      </c>
      <c r="L2112">
        <v>4.88</v>
      </c>
      <c r="M2112">
        <v>49</v>
      </c>
      <c r="N2112">
        <v>99</v>
      </c>
      <c r="O2112">
        <v>0</v>
      </c>
      <c r="P2112">
        <v>0</v>
      </c>
      <c r="Q2112">
        <v>0</v>
      </c>
      <c r="R2112">
        <v>0</v>
      </c>
      <c r="S2112">
        <v>0</v>
      </c>
      <c r="T2112" s="4" t="s">
        <v>4313</v>
      </c>
    </row>
    <row r="2113" spans="1:20" x14ac:dyDescent="0.2">
      <c r="A2113" s="4" t="s">
        <v>4240</v>
      </c>
      <c r="B2113" s="4" t="s">
        <v>4182</v>
      </c>
      <c r="C2113" s="4" t="s">
        <v>2096</v>
      </c>
      <c r="D2113" s="4" t="s">
        <v>4172</v>
      </c>
      <c r="E2113" s="4" t="s">
        <v>4315</v>
      </c>
      <c r="F2113" s="4" t="s">
        <v>4316</v>
      </c>
      <c r="G2113" s="4" t="s">
        <v>4308</v>
      </c>
      <c r="H2113" s="4" t="s">
        <v>4185</v>
      </c>
      <c r="I2113" s="4" t="s">
        <v>2100</v>
      </c>
      <c r="J2113" s="4" t="s">
        <v>2518</v>
      </c>
      <c r="K2113">
        <v>16</v>
      </c>
      <c r="L2113">
        <v>4.88</v>
      </c>
      <c r="M2113">
        <v>50</v>
      </c>
      <c r="N2113">
        <v>50</v>
      </c>
      <c r="O2113">
        <v>0</v>
      </c>
      <c r="P2113">
        <v>0</v>
      </c>
      <c r="Q2113">
        <v>0</v>
      </c>
      <c r="R2113">
        <v>0</v>
      </c>
      <c r="S2113">
        <v>0</v>
      </c>
      <c r="T2113" s="4" t="s">
        <v>4317</v>
      </c>
    </row>
    <row r="2114" spans="1:20" x14ac:dyDescent="0.2">
      <c r="A2114" s="4" t="s">
        <v>4245</v>
      </c>
      <c r="B2114" s="4" t="s">
        <v>4182</v>
      </c>
      <c r="C2114" s="4" t="s">
        <v>2096</v>
      </c>
      <c r="D2114" s="4" t="s">
        <v>4172</v>
      </c>
      <c r="E2114" s="4" t="s">
        <v>4318</v>
      </c>
      <c r="F2114" s="4" t="s">
        <v>4316</v>
      </c>
      <c r="G2114" s="4" t="s">
        <v>4308</v>
      </c>
      <c r="H2114" s="4" t="s">
        <v>4185</v>
      </c>
      <c r="I2114" s="4" t="s">
        <v>2100</v>
      </c>
      <c r="J2114" s="4" t="s">
        <v>2518</v>
      </c>
      <c r="K2114">
        <v>16</v>
      </c>
      <c r="L2114">
        <v>4.88</v>
      </c>
      <c r="M2114">
        <v>50</v>
      </c>
      <c r="N2114">
        <v>50</v>
      </c>
      <c r="O2114">
        <v>0</v>
      </c>
      <c r="P2114">
        <v>0</v>
      </c>
      <c r="Q2114">
        <v>0</v>
      </c>
      <c r="R2114">
        <v>0</v>
      </c>
      <c r="S2114">
        <v>0</v>
      </c>
      <c r="T2114" s="4" t="s">
        <v>4317</v>
      </c>
    </row>
    <row r="2115" spans="1:20" x14ac:dyDescent="0.2">
      <c r="A2115" s="4" t="s">
        <v>4240</v>
      </c>
      <c r="B2115" s="4" t="s">
        <v>4200</v>
      </c>
      <c r="C2115" s="4" t="s">
        <v>2096</v>
      </c>
      <c r="D2115" s="4" t="s">
        <v>4172</v>
      </c>
      <c r="E2115" s="4" t="s">
        <v>4319</v>
      </c>
      <c r="F2115" s="4" t="s">
        <v>4320</v>
      </c>
      <c r="G2115" s="4" t="s">
        <v>4308</v>
      </c>
      <c r="H2115" s="4" t="s">
        <v>2082</v>
      </c>
      <c r="I2115" s="4" t="s">
        <v>2100</v>
      </c>
      <c r="J2115" s="4" t="s">
        <v>2153</v>
      </c>
      <c r="K2115">
        <v>16</v>
      </c>
      <c r="L2115">
        <v>4.88</v>
      </c>
      <c r="M2115">
        <v>25</v>
      </c>
      <c r="N2115">
        <v>142</v>
      </c>
      <c r="O2115">
        <v>0</v>
      </c>
      <c r="P2115">
        <v>0</v>
      </c>
      <c r="Q2115">
        <v>0</v>
      </c>
      <c r="R2115">
        <v>0</v>
      </c>
      <c r="S2115">
        <v>0</v>
      </c>
      <c r="T2115" s="4" t="s">
        <v>4321</v>
      </c>
    </row>
    <row r="2116" spans="1:20" x14ac:dyDescent="0.2">
      <c r="A2116" s="4" t="s">
        <v>4245</v>
      </c>
      <c r="B2116" s="4" t="s">
        <v>4258</v>
      </c>
      <c r="C2116" s="4" t="s">
        <v>2096</v>
      </c>
      <c r="D2116" s="4" t="s">
        <v>4172</v>
      </c>
      <c r="E2116" s="4" t="s">
        <v>4322</v>
      </c>
      <c r="F2116" s="4" t="s">
        <v>4323</v>
      </c>
      <c r="G2116" s="4" t="s">
        <v>4308</v>
      </c>
      <c r="H2116" s="4" t="s">
        <v>2082</v>
      </c>
      <c r="I2116" s="4" t="s">
        <v>2100</v>
      </c>
      <c r="J2116" s="4" t="s">
        <v>4197</v>
      </c>
      <c r="K2116">
        <v>16</v>
      </c>
      <c r="L2116">
        <v>4.88</v>
      </c>
      <c r="M2116">
        <v>26</v>
      </c>
      <c r="N2116">
        <v>176</v>
      </c>
      <c r="O2116">
        <v>0</v>
      </c>
      <c r="P2116">
        <v>0</v>
      </c>
      <c r="Q2116">
        <v>0</v>
      </c>
      <c r="R2116">
        <v>0</v>
      </c>
      <c r="S2116">
        <v>0</v>
      </c>
      <c r="T2116" s="4" t="s">
        <v>4324</v>
      </c>
    </row>
    <row r="2117" spans="1:20" x14ac:dyDescent="0.2">
      <c r="A2117" s="4" t="s">
        <v>4240</v>
      </c>
      <c r="B2117" s="4" t="s">
        <v>4262</v>
      </c>
      <c r="C2117" s="4" t="s">
        <v>2096</v>
      </c>
      <c r="D2117" s="4" t="s">
        <v>4172</v>
      </c>
      <c r="E2117" s="4" t="s">
        <v>4325</v>
      </c>
      <c r="F2117" s="4" t="s">
        <v>4326</v>
      </c>
      <c r="G2117" s="4" t="s">
        <v>4308</v>
      </c>
      <c r="H2117" s="4" t="s">
        <v>2082</v>
      </c>
      <c r="I2117" s="4" t="s">
        <v>2100</v>
      </c>
      <c r="J2117" s="4" t="s">
        <v>2432</v>
      </c>
      <c r="K2117">
        <v>16</v>
      </c>
      <c r="L2117">
        <v>4.88</v>
      </c>
      <c r="M2117">
        <v>25</v>
      </c>
      <c r="N2117">
        <v>222</v>
      </c>
      <c r="O2117">
        <v>0</v>
      </c>
      <c r="P2117">
        <v>0</v>
      </c>
      <c r="Q2117">
        <v>0</v>
      </c>
      <c r="R2117">
        <v>0</v>
      </c>
      <c r="S2117">
        <v>0</v>
      </c>
      <c r="T2117" s="4" t="s">
        <v>4327</v>
      </c>
    </row>
    <row r="2118" spans="1:20" x14ac:dyDescent="0.2">
      <c r="A2118" s="4" t="s">
        <v>4245</v>
      </c>
      <c r="B2118" s="4" t="s">
        <v>4262</v>
      </c>
      <c r="C2118" s="4" t="s">
        <v>2096</v>
      </c>
      <c r="D2118" s="4" t="s">
        <v>4172</v>
      </c>
      <c r="E2118" s="4" t="s">
        <v>4328</v>
      </c>
      <c r="F2118" s="4" t="s">
        <v>4326</v>
      </c>
      <c r="G2118" s="4" t="s">
        <v>4308</v>
      </c>
      <c r="H2118" s="4" t="s">
        <v>2082</v>
      </c>
      <c r="I2118" s="4" t="s">
        <v>2100</v>
      </c>
      <c r="J2118" s="4" t="s">
        <v>2432</v>
      </c>
      <c r="K2118">
        <v>16</v>
      </c>
      <c r="L2118">
        <v>4.88</v>
      </c>
      <c r="M2118">
        <v>26</v>
      </c>
      <c r="N2118">
        <v>219</v>
      </c>
      <c r="O2118">
        <v>0</v>
      </c>
      <c r="P2118">
        <v>0</v>
      </c>
      <c r="Q2118">
        <v>0</v>
      </c>
      <c r="R2118">
        <v>0</v>
      </c>
      <c r="S2118">
        <v>0</v>
      </c>
      <c r="T2118" s="4" t="s">
        <v>4327</v>
      </c>
    </row>
    <row r="2119" spans="1:20" x14ac:dyDescent="0.2">
      <c r="A2119" s="4" t="s">
        <v>4170</v>
      </c>
      <c r="B2119" s="4" t="s">
        <v>4176</v>
      </c>
      <c r="C2119" s="4" t="s">
        <v>2096</v>
      </c>
      <c r="D2119" s="4" t="s">
        <v>4172</v>
      </c>
      <c r="E2119" s="4" t="s">
        <v>4329</v>
      </c>
      <c r="F2119" s="4" t="s">
        <v>4330</v>
      </c>
      <c r="G2119" s="4" t="s">
        <v>4331</v>
      </c>
      <c r="H2119" s="4" t="s">
        <v>2082</v>
      </c>
      <c r="I2119" s="4" t="s">
        <v>2100</v>
      </c>
      <c r="J2119" s="4" t="s">
        <v>2153</v>
      </c>
      <c r="K2119">
        <v>16</v>
      </c>
      <c r="L2119">
        <v>4.88</v>
      </c>
      <c r="M2119">
        <v>12</v>
      </c>
      <c r="N2119">
        <v>140</v>
      </c>
      <c r="O2119">
        <v>0</v>
      </c>
      <c r="P2119">
        <v>0</v>
      </c>
      <c r="Q2119">
        <v>0</v>
      </c>
      <c r="R2119">
        <v>0</v>
      </c>
      <c r="S2119">
        <v>0</v>
      </c>
      <c r="T2119" s="4" t="s">
        <v>4332</v>
      </c>
    </row>
    <row r="2120" spans="1:20" x14ac:dyDescent="0.2">
      <c r="A2120" s="4" t="s">
        <v>4170</v>
      </c>
      <c r="B2120" s="4" t="s">
        <v>4171</v>
      </c>
      <c r="C2120" s="4" t="s">
        <v>2096</v>
      </c>
      <c r="D2120" s="4" t="s">
        <v>4172</v>
      </c>
      <c r="E2120" s="4" t="s">
        <v>1013</v>
      </c>
      <c r="F2120" s="4" t="s">
        <v>4333</v>
      </c>
      <c r="G2120" s="4" t="s">
        <v>4334</v>
      </c>
      <c r="H2120" s="4" t="s">
        <v>2082</v>
      </c>
      <c r="I2120" s="4" t="s">
        <v>2100</v>
      </c>
      <c r="J2120" s="4" t="s">
        <v>2432</v>
      </c>
      <c r="K2120">
        <v>16</v>
      </c>
      <c r="L2120">
        <v>4.88</v>
      </c>
      <c r="M2120">
        <v>26</v>
      </c>
      <c r="N2120">
        <v>219</v>
      </c>
      <c r="O2120">
        <v>0</v>
      </c>
      <c r="P2120">
        <v>0</v>
      </c>
      <c r="Q2120">
        <v>0</v>
      </c>
      <c r="R2120">
        <v>0</v>
      </c>
      <c r="S2120">
        <v>0</v>
      </c>
      <c r="T2120" s="4" t="s">
        <v>4335</v>
      </c>
    </row>
    <row r="2121" spans="1:20" x14ac:dyDescent="0.2">
      <c r="A2121" s="4" t="s">
        <v>4199</v>
      </c>
      <c r="B2121" s="4" t="s">
        <v>4200</v>
      </c>
      <c r="C2121" s="4" t="s">
        <v>2096</v>
      </c>
      <c r="D2121" s="4" t="s">
        <v>4172</v>
      </c>
      <c r="E2121" s="4" t="s">
        <v>4336</v>
      </c>
      <c r="F2121" s="4" t="s">
        <v>4337</v>
      </c>
      <c r="G2121" s="4" t="s">
        <v>4338</v>
      </c>
      <c r="H2121" s="4" t="s">
        <v>2133</v>
      </c>
      <c r="I2121" s="4" t="s">
        <v>2100</v>
      </c>
      <c r="J2121" s="4" t="s">
        <v>2153</v>
      </c>
      <c r="K2121">
        <v>12</v>
      </c>
      <c r="L2121">
        <v>3.66</v>
      </c>
      <c r="M2121">
        <v>23</v>
      </c>
      <c r="N2121">
        <v>140</v>
      </c>
      <c r="O2121">
        <v>0</v>
      </c>
      <c r="P2121">
        <v>0</v>
      </c>
      <c r="Q2121">
        <v>0</v>
      </c>
      <c r="R2121">
        <v>0</v>
      </c>
      <c r="S2121">
        <v>0</v>
      </c>
      <c r="T2121" s="4" t="s">
        <v>4339</v>
      </c>
    </row>
    <row r="2122" spans="1:20" x14ac:dyDescent="0.2">
      <c r="A2122" s="4" t="s">
        <v>4199</v>
      </c>
      <c r="B2122" s="4" t="s">
        <v>4200</v>
      </c>
      <c r="C2122" s="4" t="s">
        <v>2096</v>
      </c>
      <c r="D2122" s="4" t="s">
        <v>4172</v>
      </c>
      <c r="E2122" s="4" t="s">
        <v>4340</v>
      </c>
      <c r="F2122" s="4" t="s">
        <v>4337</v>
      </c>
      <c r="G2122" s="4" t="s">
        <v>4338</v>
      </c>
      <c r="H2122" s="4" t="s">
        <v>2133</v>
      </c>
      <c r="I2122" s="4" t="s">
        <v>2100</v>
      </c>
      <c r="J2122" s="4" t="s">
        <v>2153</v>
      </c>
      <c r="K2122">
        <v>16</v>
      </c>
      <c r="L2122">
        <v>4.88</v>
      </c>
      <c r="M2122">
        <v>23</v>
      </c>
      <c r="N2122">
        <v>140</v>
      </c>
      <c r="O2122">
        <v>0</v>
      </c>
      <c r="P2122">
        <v>0</v>
      </c>
      <c r="Q2122">
        <v>0</v>
      </c>
      <c r="R2122">
        <v>0</v>
      </c>
      <c r="S2122">
        <v>0</v>
      </c>
      <c r="T2122" s="4" t="s">
        <v>4339</v>
      </c>
    </row>
    <row r="2123" spans="1:20" x14ac:dyDescent="0.2">
      <c r="A2123" s="4" t="s">
        <v>4199</v>
      </c>
      <c r="B2123" s="4" t="s">
        <v>4200</v>
      </c>
      <c r="C2123" s="4" t="s">
        <v>2096</v>
      </c>
      <c r="D2123" s="4" t="s">
        <v>4172</v>
      </c>
      <c r="E2123" s="4" t="s">
        <v>4341</v>
      </c>
      <c r="F2123" s="4" t="s">
        <v>4337</v>
      </c>
      <c r="G2123" s="4" t="s">
        <v>4338</v>
      </c>
      <c r="H2123" s="4" t="s">
        <v>2133</v>
      </c>
      <c r="I2123" s="4" t="s">
        <v>2100</v>
      </c>
      <c r="J2123" s="4" t="s">
        <v>2153</v>
      </c>
      <c r="K2123">
        <v>20</v>
      </c>
      <c r="L2123">
        <v>7.1</v>
      </c>
      <c r="M2123">
        <v>23</v>
      </c>
      <c r="N2123">
        <v>140</v>
      </c>
      <c r="O2123">
        <v>0</v>
      </c>
      <c r="P2123">
        <v>0</v>
      </c>
      <c r="Q2123">
        <v>0</v>
      </c>
      <c r="R2123">
        <v>0</v>
      </c>
      <c r="S2123">
        <v>0</v>
      </c>
      <c r="T2123" s="4" t="s">
        <v>4339</v>
      </c>
    </row>
    <row r="2124" spans="1:20" x14ac:dyDescent="0.2">
      <c r="A2124" s="4" t="s">
        <v>4199</v>
      </c>
      <c r="B2124" s="4" t="s">
        <v>4200</v>
      </c>
      <c r="C2124" s="4" t="s">
        <v>2096</v>
      </c>
      <c r="D2124" s="4" t="s">
        <v>4172</v>
      </c>
      <c r="E2124" s="4" t="s">
        <v>4342</v>
      </c>
      <c r="F2124" s="4" t="s">
        <v>4343</v>
      </c>
      <c r="G2124" s="4" t="s">
        <v>4338</v>
      </c>
      <c r="H2124" s="4" t="s">
        <v>4209</v>
      </c>
      <c r="I2124" s="4" t="s">
        <v>2100</v>
      </c>
      <c r="J2124" s="4" t="s">
        <v>2153</v>
      </c>
      <c r="K2124">
        <v>12</v>
      </c>
      <c r="L2124">
        <v>3.66</v>
      </c>
      <c r="M2124">
        <v>23</v>
      </c>
      <c r="N2124">
        <v>140</v>
      </c>
      <c r="O2124">
        <v>0</v>
      </c>
      <c r="P2124">
        <v>0</v>
      </c>
      <c r="Q2124">
        <v>0</v>
      </c>
      <c r="R2124">
        <v>0</v>
      </c>
      <c r="S2124">
        <v>0</v>
      </c>
      <c r="T2124" s="4" t="s">
        <v>4344</v>
      </c>
    </row>
    <row r="2125" spans="1:20" x14ac:dyDescent="0.2">
      <c r="A2125" s="4" t="s">
        <v>4199</v>
      </c>
      <c r="B2125" s="4" t="s">
        <v>4200</v>
      </c>
      <c r="C2125" s="4" t="s">
        <v>2096</v>
      </c>
      <c r="D2125" s="4" t="s">
        <v>4172</v>
      </c>
      <c r="E2125" s="4" t="s">
        <v>4345</v>
      </c>
      <c r="F2125" s="4" t="s">
        <v>4343</v>
      </c>
      <c r="G2125" s="4" t="s">
        <v>4338</v>
      </c>
      <c r="H2125" s="4" t="s">
        <v>4209</v>
      </c>
      <c r="I2125" s="4" t="s">
        <v>2100</v>
      </c>
      <c r="J2125" s="4" t="s">
        <v>2153</v>
      </c>
      <c r="K2125">
        <v>16</v>
      </c>
      <c r="L2125">
        <v>4.88</v>
      </c>
      <c r="M2125">
        <v>23</v>
      </c>
      <c r="N2125">
        <v>140</v>
      </c>
      <c r="O2125">
        <v>0</v>
      </c>
      <c r="P2125">
        <v>0</v>
      </c>
      <c r="Q2125">
        <v>0</v>
      </c>
      <c r="R2125">
        <v>0</v>
      </c>
      <c r="S2125">
        <v>0</v>
      </c>
      <c r="T2125" s="4" t="s">
        <v>4344</v>
      </c>
    </row>
    <row r="2126" spans="1:20" x14ac:dyDescent="0.2">
      <c r="A2126" s="4" t="s">
        <v>4199</v>
      </c>
      <c r="B2126" s="4" t="s">
        <v>4200</v>
      </c>
      <c r="C2126" s="4" t="s">
        <v>2096</v>
      </c>
      <c r="D2126" s="4" t="s">
        <v>4172</v>
      </c>
      <c r="E2126" s="4" t="s">
        <v>4346</v>
      </c>
      <c r="F2126" s="4" t="s">
        <v>4343</v>
      </c>
      <c r="G2126" s="4" t="s">
        <v>4338</v>
      </c>
      <c r="H2126" s="4" t="s">
        <v>4209</v>
      </c>
      <c r="I2126" s="4" t="s">
        <v>2100</v>
      </c>
      <c r="J2126" s="4" t="s">
        <v>2153</v>
      </c>
      <c r="K2126">
        <v>20</v>
      </c>
      <c r="L2126">
        <v>7.1</v>
      </c>
      <c r="M2126">
        <v>23</v>
      </c>
      <c r="N2126">
        <v>140</v>
      </c>
      <c r="O2126">
        <v>0</v>
      </c>
      <c r="P2126">
        <v>0</v>
      </c>
      <c r="Q2126">
        <v>0</v>
      </c>
      <c r="R2126">
        <v>0</v>
      </c>
      <c r="S2126">
        <v>0</v>
      </c>
      <c r="T2126" s="4" t="s">
        <v>4344</v>
      </c>
    </row>
    <row r="2127" spans="1:20" x14ac:dyDescent="0.2">
      <c r="A2127" s="4" t="s">
        <v>4223</v>
      </c>
      <c r="B2127" s="4" t="s">
        <v>4224</v>
      </c>
      <c r="C2127" s="4" t="s">
        <v>2096</v>
      </c>
      <c r="D2127" s="4" t="s">
        <v>4172</v>
      </c>
      <c r="E2127" s="4" t="s">
        <v>4347</v>
      </c>
      <c r="F2127" s="4" t="s">
        <v>4348</v>
      </c>
      <c r="G2127" s="4" t="s">
        <v>3108</v>
      </c>
      <c r="H2127" s="4" t="s">
        <v>4349</v>
      </c>
      <c r="I2127" s="4" t="s">
        <v>2100</v>
      </c>
      <c r="J2127" s="4" t="s">
        <v>4229</v>
      </c>
      <c r="K2127">
        <v>16</v>
      </c>
      <c r="L2127">
        <v>4.88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 s="4" t="s">
        <v>4350</v>
      </c>
    </row>
    <row r="2128" spans="1:20" x14ac:dyDescent="0.2">
      <c r="A2128" s="4" t="s">
        <v>4223</v>
      </c>
      <c r="B2128" s="4" t="s">
        <v>4224</v>
      </c>
      <c r="C2128" s="4" t="s">
        <v>2096</v>
      </c>
      <c r="D2128" s="4" t="s">
        <v>4172</v>
      </c>
      <c r="E2128" s="4" t="s">
        <v>496</v>
      </c>
      <c r="F2128" s="4" t="s">
        <v>4348</v>
      </c>
      <c r="G2128" s="4" t="s">
        <v>3108</v>
      </c>
      <c r="H2128" s="4" t="s">
        <v>4349</v>
      </c>
      <c r="I2128" s="4" t="s">
        <v>2100</v>
      </c>
      <c r="J2128" s="4" t="s">
        <v>4229</v>
      </c>
      <c r="K2128">
        <v>16</v>
      </c>
      <c r="L2128">
        <v>4.88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 s="4" t="s">
        <v>4350</v>
      </c>
    </row>
    <row r="2129" spans="1:20" x14ac:dyDescent="0.2">
      <c r="A2129" s="4" t="s">
        <v>4223</v>
      </c>
      <c r="B2129" s="4" t="s">
        <v>4224</v>
      </c>
      <c r="C2129" s="4" t="s">
        <v>2096</v>
      </c>
      <c r="D2129" s="4" t="s">
        <v>4172</v>
      </c>
      <c r="E2129" s="4" t="s">
        <v>4351</v>
      </c>
      <c r="F2129" s="4" t="s">
        <v>4352</v>
      </c>
      <c r="G2129" s="4" t="s">
        <v>3108</v>
      </c>
      <c r="H2129" s="4" t="s">
        <v>4353</v>
      </c>
      <c r="I2129" s="4" t="s">
        <v>2100</v>
      </c>
      <c r="J2129" s="4" t="s">
        <v>4354</v>
      </c>
      <c r="K2129">
        <v>8</v>
      </c>
      <c r="L2129">
        <v>2.44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 s="4" t="s">
        <v>4355</v>
      </c>
    </row>
    <row r="2130" spans="1:20" x14ac:dyDescent="0.2">
      <c r="A2130" s="4" t="s">
        <v>4223</v>
      </c>
      <c r="B2130" s="4" t="s">
        <v>4224</v>
      </c>
      <c r="C2130" s="4" t="s">
        <v>2096</v>
      </c>
      <c r="D2130" s="4" t="s">
        <v>4172</v>
      </c>
      <c r="E2130" s="4" t="s">
        <v>4356</v>
      </c>
      <c r="F2130" s="4" t="s">
        <v>4357</v>
      </c>
      <c r="G2130" s="4" t="s">
        <v>3108</v>
      </c>
      <c r="H2130" s="4" t="s">
        <v>4358</v>
      </c>
      <c r="I2130" s="4" t="s">
        <v>2100</v>
      </c>
      <c r="J2130" s="4" t="s">
        <v>4354</v>
      </c>
      <c r="K2130">
        <v>8</v>
      </c>
      <c r="L2130">
        <v>2.44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4" t="s">
        <v>4359</v>
      </c>
    </row>
    <row r="2131" spans="1:20" x14ac:dyDescent="0.2">
      <c r="A2131" s="4" t="s">
        <v>4223</v>
      </c>
      <c r="B2131" s="4" t="s">
        <v>4224</v>
      </c>
      <c r="C2131" s="4" t="s">
        <v>2096</v>
      </c>
      <c r="D2131" s="4" t="s">
        <v>4172</v>
      </c>
      <c r="E2131" s="4" t="s">
        <v>4360</v>
      </c>
      <c r="F2131" s="4" t="s">
        <v>4361</v>
      </c>
      <c r="G2131" s="4" t="s">
        <v>3108</v>
      </c>
      <c r="H2131" s="4" t="s">
        <v>4362</v>
      </c>
      <c r="I2131" s="4" t="s">
        <v>2100</v>
      </c>
      <c r="J2131" s="4" t="s">
        <v>4363</v>
      </c>
      <c r="K2131">
        <v>6</v>
      </c>
      <c r="L2131">
        <v>1.83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 s="4" t="s">
        <v>4364</v>
      </c>
    </row>
    <row r="2132" spans="1:20" x14ac:dyDescent="0.2">
      <c r="A2132" s="4" t="s">
        <v>4223</v>
      </c>
      <c r="B2132" s="4" t="s">
        <v>4224</v>
      </c>
      <c r="C2132" s="4" t="s">
        <v>2096</v>
      </c>
      <c r="D2132" s="4" t="s">
        <v>4172</v>
      </c>
      <c r="E2132" s="4" t="s">
        <v>4365</v>
      </c>
      <c r="F2132" s="4" t="s">
        <v>4366</v>
      </c>
      <c r="G2132" s="4" t="s">
        <v>3108</v>
      </c>
      <c r="H2132" s="4" t="s">
        <v>4367</v>
      </c>
      <c r="I2132" s="4" t="s">
        <v>2100</v>
      </c>
      <c r="J2132" s="4" t="s">
        <v>4368</v>
      </c>
      <c r="K2132">
        <v>6</v>
      </c>
      <c r="L2132">
        <v>1.83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 s="4" t="s">
        <v>4369</v>
      </c>
    </row>
    <row r="2133" spans="1:20" x14ac:dyDescent="0.2">
      <c r="A2133" s="4" t="s">
        <v>4223</v>
      </c>
      <c r="B2133" s="4" t="s">
        <v>4224</v>
      </c>
      <c r="C2133" s="4" t="s">
        <v>2096</v>
      </c>
      <c r="D2133" s="4" t="s">
        <v>4172</v>
      </c>
      <c r="E2133" s="4" t="s">
        <v>4370</v>
      </c>
      <c r="F2133" s="4" t="s">
        <v>4371</v>
      </c>
      <c r="G2133" s="4" t="s">
        <v>3108</v>
      </c>
      <c r="H2133" s="4" t="s">
        <v>4372</v>
      </c>
      <c r="I2133" s="4" t="s">
        <v>2100</v>
      </c>
      <c r="J2133" s="4" t="s">
        <v>4373</v>
      </c>
      <c r="K2133">
        <v>5</v>
      </c>
      <c r="L2133">
        <v>1.52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 s="4" t="s">
        <v>4374</v>
      </c>
    </row>
    <row r="2134" spans="1:20" x14ac:dyDescent="0.2">
      <c r="A2134" s="4" t="s">
        <v>4240</v>
      </c>
      <c r="B2134" s="4" t="s">
        <v>4241</v>
      </c>
      <c r="C2134" s="4" t="s">
        <v>2096</v>
      </c>
      <c r="D2134" s="4" t="s">
        <v>4172</v>
      </c>
      <c r="E2134" s="4" t="s">
        <v>4375</v>
      </c>
      <c r="F2134" s="4" t="s">
        <v>4376</v>
      </c>
      <c r="G2134" s="4" t="s">
        <v>3108</v>
      </c>
      <c r="H2134" s="4" t="s">
        <v>4188</v>
      </c>
      <c r="I2134" s="4" t="s">
        <v>2100</v>
      </c>
      <c r="J2134" s="4" t="s">
        <v>4193</v>
      </c>
      <c r="K2134">
        <v>16</v>
      </c>
      <c r="L2134">
        <v>4.88</v>
      </c>
      <c r="M2134">
        <v>38</v>
      </c>
      <c r="N2134">
        <v>78</v>
      </c>
      <c r="O2134">
        <v>0</v>
      </c>
      <c r="P2134">
        <v>0</v>
      </c>
      <c r="Q2134">
        <v>0</v>
      </c>
      <c r="R2134">
        <v>0</v>
      </c>
      <c r="S2134">
        <v>0</v>
      </c>
      <c r="T2134" s="4" t="s">
        <v>4377</v>
      </c>
    </row>
    <row r="2135" spans="1:20" x14ac:dyDescent="0.2">
      <c r="A2135" s="4" t="s">
        <v>4245</v>
      </c>
      <c r="B2135" s="4" t="s">
        <v>4241</v>
      </c>
      <c r="C2135" s="4" t="s">
        <v>2096</v>
      </c>
      <c r="D2135" s="4" t="s">
        <v>4172</v>
      </c>
      <c r="E2135" s="4" t="s">
        <v>4378</v>
      </c>
      <c r="F2135" s="4" t="s">
        <v>4376</v>
      </c>
      <c r="G2135" s="4" t="s">
        <v>3108</v>
      </c>
      <c r="H2135" s="4" t="s">
        <v>4188</v>
      </c>
      <c r="I2135" s="4" t="s">
        <v>2100</v>
      </c>
      <c r="J2135" s="4" t="s">
        <v>4193</v>
      </c>
      <c r="K2135">
        <v>16</v>
      </c>
      <c r="L2135">
        <v>4.88</v>
      </c>
      <c r="M2135">
        <v>38</v>
      </c>
      <c r="N2135">
        <v>78</v>
      </c>
      <c r="O2135">
        <v>0</v>
      </c>
      <c r="P2135">
        <v>0</v>
      </c>
      <c r="Q2135">
        <v>0</v>
      </c>
      <c r="R2135">
        <v>0</v>
      </c>
      <c r="S2135">
        <v>0</v>
      </c>
      <c r="T2135" s="4" t="s">
        <v>4377</v>
      </c>
    </row>
    <row r="2136" spans="1:20" x14ac:dyDescent="0.2">
      <c r="A2136" s="4" t="s">
        <v>4240</v>
      </c>
      <c r="B2136" s="4" t="s">
        <v>4247</v>
      </c>
      <c r="C2136" s="4" t="s">
        <v>2096</v>
      </c>
      <c r="D2136" s="4" t="s">
        <v>4172</v>
      </c>
      <c r="E2136" s="4" t="s">
        <v>4379</v>
      </c>
      <c r="F2136" s="4" t="s">
        <v>4380</v>
      </c>
      <c r="G2136" s="4" t="s">
        <v>3108</v>
      </c>
      <c r="H2136" s="4" t="s">
        <v>4188</v>
      </c>
      <c r="I2136" s="4" t="s">
        <v>2100</v>
      </c>
      <c r="J2136" s="4" t="s">
        <v>4189</v>
      </c>
      <c r="K2136">
        <v>16</v>
      </c>
      <c r="L2136">
        <v>4.88</v>
      </c>
      <c r="M2136">
        <v>49</v>
      </c>
      <c r="N2136">
        <v>99</v>
      </c>
      <c r="O2136">
        <v>0</v>
      </c>
      <c r="P2136">
        <v>0</v>
      </c>
      <c r="Q2136">
        <v>0</v>
      </c>
      <c r="R2136">
        <v>0</v>
      </c>
      <c r="S2136">
        <v>0</v>
      </c>
      <c r="T2136" s="4" t="s">
        <v>4381</v>
      </c>
    </row>
    <row r="2137" spans="1:20" x14ac:dyDescent="0.2">
      <c r="A2137" s="4" t="s">
        <v>4245</v>
      </c>
      <c r="B2137" s="4" t="s">
        <v>4247</v>
      </c>
      <c r="C2137" s="4" t="s">
        <v>2096</v>
      </c>
      <c r="D2137" s="4" t="s">
        <v>4172</v>
      </c>
      <c r="E2137" s="4" t="s">
        <v>4382</v>
      </c>
      <c r="F2137" s="4" t="s">
        <v>4380</v>
      </c>
      <c r="G2137" s="4" t="s">
        <v>3108</v>
      </c>
      <c r="H2137" s="4" t="s">
        <v>4188</v>
      </c>
      <c r="I2137" s="4" t="s">
        <v>2100</v>
      </c>
      <c r="J2137" s="4" t="s">
        <v>4189</v>
      </c>
      <c r="K2137">
        <v>16</v>
      </c>
      <c r="L2137">
        <v>4.88</v>
      </c>
      <c r="M2137">
        <v>49</v>
      </c>
      <c r="N2137">
        <v>99</v>
      </c>
      <c r="O2137">
        <v>0</v>
      </c>
      <c r="P2137">
        <v>0</v>
      </c>
      <c r="Q2137">
        <v>0</v>
      </c>
      <c r="R2137">
        <v>0</v>
      </c>
      <c r="S2137">
        <v>0</v>
      </c>
      <c r="T2137" s="4" t="s">
        <v>4381</v>
      </c>
    </row>
    <row r="2138" spans="1:20" x14ac:dyDescent="0.2">
      <c r="A2138" s="4" t="s">
        <v>4240</v>
      </c>
      <c r="B2138" s="4" t="s">
        <v>4247</v>
      </c>
      <c r="C2138" s="4" t="s">
        <v>2096</v>
      </c>
      <c r="D2138" s="4" t="s">
        <v>4172</v>
      </c>
      <c r="E2138" s="4" t="s">
        <v>1059</v>
      </c>
      <c r="F2138" s="4" t="s">
        <v>4380</v>
      </c>
      <c r="G2138" s="4" t="s">
        <v>3108</v>
      </c>
      <c r="H2138" s="4" t="s">
        <v>4188</v>
      </c>
      <c r="I2138" s="4" t="s">
        <v>2100</v>
      </c>
      <c r="J2138" s="4" t="s">
        <v>4189</v>
      </c>
      <c r="K2138">
        <v>16</v>
      </c>
      <c r="L2138">
        <v>4.88</v>
      </c>
      <c r="M2138">
        <v>49</v>
      </c>
      <c r="N2138">
        <v>99</v>
      </c>
      <c r="O2138">
        <v>0</v>
      </c>
      <c r="P2138">
        <v>0</v>
      </c>
      <c r="Q2138">
        <v>0</v>
      </c>
      <c r="R2138">
        <v>0</v>
      </c>
      <c r="S2138">
        <v>0</v>
      </c>
      <c r="T2138" s="4" t="s">
        <v>4381</v>
      </c>
    </row>
    <row r="2139" spans="1:20" x14ac:dyDescent="0.2">
      <c r="A2139" s="4" t="s">
        <v>4240</v>
      </c>
      <c r="B2139" s="4" t="s">
        <v>4383</v>
      </c>
      <c r="C2139" s="4" t="s">
        <v>2096</v>
      </c>
      <c r="D2139" s="4" t="s">
        <v>4172</v>
      </c>
      <c r="E2139" s="4" t="s">
        <v>1057</v>
      </c>
      <c r="F2139" s="4" t="s">
        <v>4384</v>
      </c>
      <c r="G2139" s="4" t="s">
        <v>3108</v>
      </c>
      <c r="H2139" s="4" t="s">
        <v>4188</v>
      </c>
      <c r="I2139" s="4" t="s">
        <v>2100</v>
      </c>
      <c r="J2139" s="4" t="s">
        <v>3432</v>
      </c>
      <c r="K2139">
        <v>16</v>
      </c>
      <c r="L2139">
        <v>4.88</v>
      </c>
      <c r="M2139">
        <v>58</v>
      </c>
      <c r="N2139">
        <v>58</v>
      </c>
      <c r="O2139">
        <v>0</v>
      </c>
      <c r="P2139">
        <v>0</v>
      </c>
      <c r="Q2139">
        <v>0</v>
      </c>
      <c r="R2139">
        <v>0</v>
      </c>
      <c r="S2139">
        <v>0</v>
      </c>
      <c r="T2139" s="4" t="s">
        <v>4385</v>
      </c>
    </row>
    <row r="2140" spans="1:20" x14ac:dyDescent="0.2">
      <c r="A2140" s="4" t="s">
        <v>4240</v>
      </c>
      <c r="B2140" s="4" t="s">
        <v>4383</v>
      </c>
      <c r="C2140" s="4" t="s">
        <v>2096</v>
      </c>
      <c r="D2140" s="4" t="s">
        <v>4172</v>
      </c>
      <c r="E2140" s="4" t="s">
        <v>4386</v>
      </c>
      <c r="F2140" s="4" t="s">
        <v>4384</v>
      </c>
      <c r="G2140" s="4" t="s">
        <v>4387</v>
      </c>
      <c r="H2140" s="4" t="s">
        <v>4188</v>
      </c>
      <c r="I2140" s="4" t="s">
        <v>2100</v>
      </c>
      <c r="J2140" s="4" t="s">
        <v>3432</v>
      </c>
      <c r="K2140">
        <v>16</v>
      </c>
      <c r="L2140">
        <v>4.88</v>
      </c>
      <c r="M2140">
        <v>58</v>
      </c>
      <c r="N2140">
        <v>58</v>
      </c>
      <c r="O2140">
        <v>0</v>
      </c>
      <c r="P2140">
        <v>0</v>
      </c>
      <c r="Q2140">
        <v>0</v>
      </c>
      <c r="R2140">
        <v>0</v>
      </c>
      <c r="S2140">
        <v>0</v>
      </c>
      <c r="T2140" s="4" t="s">
        <v>4385</v>
      </c>
    </row>
    <row r="2141" spans="1:20" x14ac:dyDescent="0.2">
      <c r="A2141" s="4" t="s">
        <v>4240</v>
      </c>
      <c r="B2141" s="4" t="s">
        <v>4383</v>
      </c>
      <c r="C2141" s="4" t="s">
        <v>2096</v>
      </c>
      <c r="D2141" s="4" t="s">
        <v>4172</v>
      </c>
      <c r="E2141" s="4" t="s">
        <v>4388</v>
      </c>
      <c r="F2141" s="4" t="s">
        <v>4384</v>
      </c>
      <c r="G2141" s="4" t="s">
        <v>4387</v>
      </c>
      <c r="H2141" s="4" t="s">
        <v>4188</v>
      </c>
      <c r="I2141" s="4" t="s">
        <v>2100</v>
      </c>
      <c r="J2141" s="4" t="s">
        <v>3432</v>
      </c>
      <c r="K2141">
        <v>16</v>
      </c>
      <c r="L2141">
        <v>4.88</v>
      </c>
      <c r="M2141">
        <v>58</v>
      </c>
      <c r="N2141">
        <v>58</v>
      </c>
      <c r="O2141">
        <v>0</v>
      </c>
      <c r="P2141">
        <v>0</v>
      </c>
      <c r="Q2141">
        <v>0</v>
      </c>
      <c r="R2141">
        <v>0</v>
      </c>
      <c r="S2141">
        <v>0</v>
      </c>
      <c r="T2141" s="4" t="s">
        <v>4385</v>
      </c>
    </row>
    <row r="2142" spans="1:20" x14ac:dyDescent="0.2">
      <c r="A2142" s="4" t="s">
        <v>4240</v>
      </c>
      <c r="B2142" s="4" t="s">
        <v>4182</v>
      </c>
      <c r="C2142" s="4" t="s">
        <v>2096</v>
      </c>
      <c r="D2142" s="4" t="s">
        <v>4172</v>
      </c>
      <c r="E2142" s="4" t="s">
        <v>1067</v>
      </c>
      <c r="F2142" s="4" t="s">
        <v>4389</v>
      </c>
      <c r="G2142" s="4" t="s">
        <v>3108</v>
      </c>
      <c r="H2142" s="4" t="s">
        <v>4185</v>
      </c>
      <c r="I2142" s="4" t="s">
        <v>2100</v>
      </c>
      <c r="J2142" s="4" t="s">
        <v>2518</v>
      </c>
      <c r="K2142">
        <v>16</v>
      </c>
      <c r="L2142">
        <v>4.88</v>
      </c>
      <c r="M2142">
        <v>50</v>
      </c>
      <c r="N2142">
        <v>50</v>
      </c>
      <c r="O2142">
        <v>0</v>
      </c>
      <c r="P2142">
        <v>0</v>
      </c>
      <c r="Q2142">
        <v>0</v>
      </c>
      <c r="R2142">
        <v>0</v>
      </c>
      <c r="S2142">
        <v>0</v>
      </c>
      <c r="T2142" s="4" t="s">
        <v>4390</v>
      </c>
    </row>
    <row r="2143" spans="1:20" x14ac:dyDescent="0.2">
      <c r="A2143" s="4" t="s">
        <v>4245</v>
      </c>
      <c r="B2143" s="4" t="s">
        <v>4182</v>
      </c>
      <c r="C2143" s="4" t="s">
        <v>2096</v>
      </c>
      <c r="D2143" s="4" t="s">
        <v>4172</v>
      </c>
      <c r="E2143" s="4" t="s">
        <v>4391</v>
      </c>
      <c r="F2143" s="4" t="s">
        <v>4389</v>
      </c>
      <c r="G2143" s="4" t="s">
        <v>3108</v>
      </c>
      <c r="H2143" s="4" t="s">
        <v>4185</v>
      </c>
      <c r="I2143" s="4" t="s">
        <v>2100</v>
      </c>
      <c r="J2143" s="4" t="s">
        <v>2518</v>
      </c>
      <c r="K2143">
        <v>16</v>
      </c>
      <c r="L2143">
        <v>4.88</v>
      </c>
      <c r="M2143">
        <v>50</v>
      </c>
      <c r="N2143">
        <v>50</v>
      </c>
      <c r="O2143">
        <v>0</v>
      </c>
      <c r="P2143">
        <v>0</v>
      </c>
      <c r="Q2143">
        <v>0</v>
      </c>
      <c r="R2143">
        <v>0</v>
      </c>
      <c r="S2143">
        <v>0</v>
      </c>
      <c r="T2143" s="4" t="s">
        <v>4390</v>
      </c>
    </row>
    <row r="2144" spans="1:20" x14ac:dyDescent="0.2">
      <c r="A2144" s="4" t="s">
        <v>4240</v>
      </c>
      <c r="B2144" s="4" t="s">
        <v>4200</v>
      </c>
      <c r="C2144" s="4" t="s">
        <v>2096</v>
      </c>
      <c r="D2144" s="4" t="s">
        <v>4172</v>
      </c>
      <c r="E2144" s="4" t="s">
        <v>1047</v>
      </c>
      <c r="F2144" s="4" t="s">
        <v>4392</v>
      </c>
      <c r="G2144" s="4" t="s">
        <v>3108</v>
      </c>
      <c r="H2144" s="4" t="s">
        <v>2082</v>
      </c>
      <c r="I2144" s="4" t="s">
        <v>2100</v>
      </c>
      <c r="J2144" s="4" t="s">
        <v>2153</v>
      </c>
      <c r="K2144">
        <v>16</v>
      </c>
      <c r="L2144">
        <v>4.88</v>
      </c>
      <c r="M2144">
        <v>25</v>
      </c>
      <c r="N2144">
        <v>142</v>
      </c>
      <c r="O2144">
        <v>0</v>
      </c>
      <c r="P2144">
        <v>0</v>
      </c>
      <c r="Q2144">
        <v>0</v>
      </c>
      <c r="R2144">
        <v>0</v>
      </c>
      <c r="S2144">
        <v>0</v>
      </c>
      <c r="T2144" s="4" t="s">
        <v>4393</v>
      </c>
    </row>
    <row r="2145" spans="1:20" x14ac:dyDescent="0.2">
      <c r="A2145" s="4" t="s">
        <v>4245</v>
      </c>
      <c r="B2145" s="4" t="s">
        <v>4258</v>
      </c>
      <c r="C2145" s="4" t="s">
        <v>2096</v>
      </c>
      <c r="D2145" s="4" t="s">
        <v>4172</v>
      </c>
      <c r="E2145" s="4" t="s">
        <v>4394</v>
      </c>
      <c r="F2145" s="4" t="s">
        <v>4395</v>
      </c>
      <c r="G2145" s="4" t="s">
        <v>3108</v>
      </c>
      <c r="H2145" s="4" t="s">
        <v>2082</v>
      </c>
      <c r="I2145" s="4" t="s">
        <v>2100</v>
      </c>
      <c r="J2145" s="4" t="s">
        <v>4197</v>
      </c>
      <c r="K2145">
        <v>16</v>
      </c>
      <c r="L2145">
        <v>4.88</v>
      </c>
      <c r="M2145">
        <v>26</v>
      </c>
      <c r="N2145">
        <v>176</v>
      </c>
      <c r="O2145">
        <v>0</v>
      </c>
      <c r="P2145">
        <v>0</v>
      </c>
      <c r="Q2145">
        <v>0</v>
      </c>
      <c r="R2145">
        <v>0</v>
      </c>
      <c r="S2145">
        <v>0</v>
      </c>
      <c r="T2145" s="4" t="s">
        <v>4396</v>
      </c>
    </row>
    <row r="2146" spans="1:20" x14ac:dyDescent="0.2">
      <c r="A2146" s="4" t="s">
        <v>4240</v>
      </c>
      <c r="B2146" s="4" t="s">
        <v>4262</v>
      </c>
      <c r="C2146" s="4" t="s">
        <v>2096</v>
      </c>
      <c r="D2146" s="4" t="s">
        <v>4172</v>
      </c>
      <c r="E2146" s="4" t="s">
        <v>1049</v>
      </c>
      <c r="F2146" s="4" t="s">
        <v>4397</v>
      </c>
      <c r="G2146" s="4" t="s">
        <v>3108</v>
      </c>
      <c r="H2146" s="4" t="s">
        <v>2082</v>
      </c>
      <c r="I2146" s="4" t="s">
        <v>2100</v>
      </c>
      <c r="J2146" s="4" t="s">
        <v>2432</v>
      </c>
      <c r="K2146">
        <v>16</v>
      </c>
      <c r="L2146">
        <v>4.88</v>
      </c>
      <c r="M2146">
        <v>25</v>
      </c>
      <c r="N2146">
        <v>222</v>
      </c>
      <c r="O2146">
        <v>0</v>
      </c>
      <c r="P2146">
        <v>0</v>
      </c>
      <c r="Q2146">
        <v>0</v>
      </c>
      <c r="R2146">
        <v>0</v>
      </c>
      <c r="S2146">
        <v>0</v>
      </c>
      <c r="T2146" s="4" t="s">
        <v>4398</v>
      </c>
    </row>
    <row r="2147" spans="1:20" x14ac:dyDescent="0.2">
      <c r="A2147" s="4" t="s">
        <v>4245</v>
      </c>
      <c r="B2147" s="4" t="s">
        <v>4262</v>
      </c>
      <c r="C2147" s="4" t="s">
        <v>2096</v>
      </c>
      <c r="D2147" s="4" t="s">
        <v>4172</v>
      </c>
      <c r="E2147" s="4" t="s">
        <v>4399</v>
      </c>
      <c r="F2147" s="4" t="s">
        <v>4397</v>
      </c>
      <c r="G2147" s="4" t="s">
        <v>3108</v>
      </c>
      <c r="H2147" s="4" t="s">
        <v>2082</v>
      </c>
      <c r="I2147" s="4" t="s">
        <v>2100</v>
      </c>
      <c r="J2147" s="4" t="s">
        <v>2432</v>
      </c>
      <c r="K2147">
        <v>16</v>
      </c>
      <c r="L2147">
        <v>4.88</v>
      </c>
      <c r="M2147">
        <v>26</v>
      </c>
      <c r="N2147">
        <v>219</v>
      </c>
      <c r="O2147">
        <v>0</v>
      </c>
      <c r="P2147">
        <v>0</v>
      </c>
      <c r="Q2147">
        <v>0</v>
      </c>
      <c r="R2147">
        <v>0</v>
      </c>
      <c r="S2147">
        <v>0</v>
      </c>
      <c r="T2147" s="4" t="s">
        <v>4398</v>
      </c>
    </row>
    <row r="2148" spans="1:20" x14ac:dyDescent="0.2">
      <c r="A2148" s="4" t="s">
        <v>4199</v>
      </c>
      <c r="B2148" s="4" t="s">
        <v>4200</v>
      </c>
      <c r="C2148" s="4" t="s">
        <v>2096</v>
      </c>
      <c r="D2148" s="4" t="s">
        <v>4172</v>
      </c>
      <c r="E2148" s="4" t="s">
        <v>4400</v>
      </c>
      <c r="F2148" s="4" t="s">
        <v>4401</v>
      </c>
      <c r="G2148" s="4" t="s">
        <v>4402</v>
      </c>
      <c r="H2148" s="4" t="s">
        <v>2133</v>
      </c>
      <c r="I2148" s="4" t="s">
        <v>2100</v>
      </c>
      <c r="J2148" s="4" t="s">
        <v>2153</v>
      </c>
      <c r="K2148">
        <v>12</v>
      </c>
      <c r="L2148">
        <v>3.66</v>
      </c>
      <c r="M2148">
        <v>23</v>
      </c>
      <c r="N2148">
        <v>140</v>
      </c>
      <c r="O2148">
        <v>0</v>
      </c>
      <c r="P2148">
        <v>0</v>
      </c>
      <c r="Q2148">
        <v>0</v>
      </c>
      <c r="R2148">
        <v>0</v>
      </c>
      <c r="S2148">
        <v>0</v>
      </c>
      <c r="T2148" s="4" t="s">
        <v>4403</v>
      </c>
    </row>
    <row r="2149" spans="1:20" x14ac:dyDescent="0.2">
      <c r="A2149" s="4" t="s">
        <v>4199</v>
      </c>
      <c r="B2149" s="4" t="s">
        <v>4200</v>
      </c>
      <c r="C2149" s="4" t="s">
        <v>2096</v>
      </c>
      <c r="D2149" s="4" t="s">
        <v>4172</v>
      </c>
      <c r="E2149" s="4" t="s">
        <v>4404</v>
      </c>
      <c r="F2149" s="4" t="s">
        <v>4401</v>
      </c>
      <c r="G2149" s="4" t="s">
        <v>4402</v>
      </c>
      <c r="H2149" s="4" t="s">
        <v>2133</v>
      </c>
      <c r="I2149" s="4" t="s">
        <v>2100</v>
      </c>
      <c r="J2149" s="4" t="s">
        <v>2153</v>
      </c>
      <c r="K2149">
        <v>16</v>
      </c>
      <c r="L2149">
        <v>4.88</v>
      </c>
      <c r="M2149">
        <v>23</v>
      </c>
      <c r="N2149">
        <v>140</v>
      </c>
      <c r="O2149">
        <v>0</v>
      </c>
      <c r="P2149">
        <v>0</v>
      </c>
      <c r="Q2149">
        <v>0</v>
      </c>
      <c r="R2149">
        <v>0</v>
      </c>
      <c r="S2149">
        <v>0</v>
      </c>
      <c r="T2149" s="4" t="s">
        <v>4403</v>
      </c>
    </row>
    <row r="2150" spans="1:20" x14ac:dyDescent="0.2">
      <c r="A2150" s="4" t="s">
        <v>4199</v>
      </c>
      <c r="B2150" s="4" t="s">
        <v>4200</v>
      </c>
      <c r="C2150" s="4" t="s">
        <v>2096</v>
      </c>
      <c r="D2150" s="4" t="s">
        <v>4172</v>
      </c>
      <c r="E2150" s="4" t="s">
        <v>4405</v>
      </c>
      <c r="F2150" s="4" t="s">
        <v>4401</v>
      </c>
      <c r="G2150" s="4" t="s">
        <v>4402</v>
      </c>
      <c r="H2150" s="4" t="s">
        <v>2133</v>
      </c>
      <c r="I2150" s="4" t="s">
        <v>2100</v>
      </c>
      <c r="J2150" s="4" t="s">
        <v>2153</v>
      </c>
      <c r="K2150">
        <v>20</v>
      </c>
      <c r="L2150">
        <v>7.1</v>
      </c>
      <c r="M2150">
        <v>23</v>
      </c>
      <c r="N2150">
        <v>140</v>
      </c>
      <c r="O2150">
        <v>0</v>
      </c>
      <c r="P2150">
        <v>0</v>
      </c>
      <c r="Q2150">
        <v>0</v>
      </c>
      <c r="R2150">
        <v>0</v>
      </c>
      <c r="S2150">
        <v>0</v>
      </c>
      <c r="T2150" s="4" t="s">
        <v>4403</v>
      </c>
    </row>
    <row r="2151" spans="1:20" x14ac:dyDescent="0.2">
      <c r="A2151" s="4" t="s">
        <v>4199</v>
      </c>
      <c r="B2151" s="4" t="s">
        <v>4262</v>
      </c>
      <c r="C2151" s="4" t="s">
        <v>2096</v>
      </c>
      <c r="D2151" s="4" t="s">
        <v>4172</v>
      </c>
      <c r="E2151" s="4" t="s">
        <v>4406</v>
      </c>
      <c r="F2151" s="4" t="s">
        <v>4407</v>
      </c>
      <c r="G2151" s="4" t="s">
        <v>4402</v>
      </c>
      <c r="H2151" s="4" t="s">
        <v>4408</v>
      </c>
      <c r="I2151" s="4" t="s">
        <v>2100</v>
      </c>
      <c r="J2151" s="4" t="s">
        <v>2432</v>
      </c>
      <c r="K2151">
        <v>12</v>
      </c>
      <c r="L2151">
        <v>3.66</v>
      </c>
      <c r="M2151">
        <v>14</v>
      </c>
      <c r="N2151">
        <v>185</v>
      </c>
      <c r="O2151">
        <v>0</v>
      </c>
      <c r="P2151">
        <v>0</v>
      </c>
      <c r="Q2151">
        <v>0</v>
      </c>
      <c r="R2151">
        <v>0</v>
      </c>
      <c r="S2151">
        <v>0</v>
      </c>
      <c r="T2151" s="4" t="s">
        <v>4409</v>
      </c>
    </row>
    <row r="2152" spans="1:20" x14ac:dyDescent="0.2">
      <c r="A2152" s="4" t="s">
        <v>4199</v>
      </c>
      <c r="B2152" s="4" t="s">
        <v>4200</v>
      </c>
      <c r="C2152" s="4" t="s">
        <v>2096</v>
      </c>
      <c r="D2152" s="4" t="s">
        <v>4172</v>
      </c>
      <c r="E2152" s="4" t="s">
        <v>4410</v>
      </c>
      <c r="F2152" s="4" t="s">
        <v>4411</v>
      </c>
      <c r="G2152" s="4" t="s">
        <v>4402</v>
      </c>
      <c r="H2152" s="4" t="s">
        <v>4209</v>
      </c>
      <c r="I2152" s="4" t="s">
        <v>2100</v>
      </c>
      <c r="J2152" s="4" t="s">
        <v>2153</v>
      </c>
      <c r="K2152">
        <v>16</v>
      </c>
      <c r="L2152">
        <v>4.88</v>
      </c>
      <c r="M2152">
        <v>23</v>
      </c>
      <c r="N2152">
        <v>140</v>
      </c>
      <c r="O2152">
        <v>0</v>
      </c>
      <c r="P2152">
        <v>0</v>
      </c>
      <c r="Q2152">
        <v>0</v>
      </c>
      <c r="R2152">
        <v>0</v>
      </c>
      <c r="S2152">
        <v>0</v>
      </c>
      <c r="T2152" s="4" t="s">
        <v>4412</v>
      </c>
    </row>
    <row r="2153" spans="1:20" x14ac:dyDescent="0.2">
      <c r="A2153" s="4" t="s">
        <v>4170</v>
      </c>
      <c r="B2153" s="4" t="s">
        <v>4182</v>
      </c>
      <c r="C2153" s="4" t="s">
        <v>2096</v>
      </c>
      <c r="D2153" s="4" t="s">
        <v>4172</v>
      </c>
      <c r="E2153" s="4" t="s">
        <v>1039</v>
      </c>
      <c r="F2153" s="4" t="s">
        <v>4413</v>
      </c>
      <c r="G2153" s="4" t="s">
        <v>4414</v>
      </c>
      <c r="H2153" s="4" t="s">
        <v>4185</v>
      </c>
      <c r="I2153" s="4" t="s">
        <v>2100</v>
      </c>
      <c r="J2153" s="4" t="s">
        <v>2518</v>
      </c>
      <c r="K2153">
        <v>16</v>
      </c>
      <c r="L2153">
        <v>4.88</v>
      </c>
      <c r="M2153">
        <v>50</v>
      </c>
      <c r="N2153">
        <v>50</v>
      </c>
      <c r="O2153">
        <v>0</v>
      </c>
      <c r="P2153">
        <v>0</v>
      </c>
      <c r="Q2153">
        <v>0</v>
      </c>
      <c r="R2153">
        <v>0</v>
      </c>
      <c r="S2153">
        <v>0</v>
      </c>
      <c r="T2153" s="4" t="s">
        <v>4415</v>
      </c>
    </row>
    <row r="2154" spans="1:20" x14ac:dyDescent="0.2">
      <c r="A2154" s="4" t="s">
        <v>4170</v>
      </c>
      <c r="B2154" s="4" t="s">
        <v>4182</v>
      </c>
      <c r="C2154" s="4" t="s">
        <v>2096</v>
      </c>
      <c r="D2154" s="4" t="s">
        <v>4172</v>
      </c>
      <c r="E2154" s="4" t="s">
        <v>1043</v>
      </c>
      <c r="F2154" s="4" t="s">
        <v>4413</v>
      </c>
      <c r="G2154" s="4" t="s">
        <v>4414</v>
      </c>
      <c r="H2154" s="4" t="s">
        <v>4185</v>
      </c>
      <c r="I2154" s="4" t="s">
        <v>2100</v>
      </c>
      <c r="J2154" s="4" t="s">
        <v>2518</v>
      </c>
      <c r="K2154">
        <v>16</v>
      </c>
      <c r="L2154">
        <v>4.88</v>
      </c>
      <c r="M2154">
        <v>50</v>
      </c>
      <c r="N2154">
        <v>50</v>
      </c>
      <c r="O2154">
        <v>0</v>
      </c>
      <c r="P2154">
        <v>0</v>
      </c>
      <c r="Q2154">
        <v>0</v>
      </c>
      <c r="R2154">
        <v>0</v>
      </c>
      <c r="S2154">
        <v>0</v>
      </c>
      <c r="T2154" s="4" t="s">
        <v>4415</v>
      </c>
    </row>
    <row r="2155" spans="1:20" x14ac:dyDescent="0.2">
      <c r="A2155" s="4" t="s">
        <v>4170</v>
      </c>
      <c r="B2155" s="4" t="s">
        <v>4171</v>
      </c>
      <c r="C2155" s="4" t="s">
        <v>2096</v>
      </c>
      <c r="D2155" s="4" t="s">
        <v>4172</v>
      </c>
      <c r="E2155" s="4" t="s">
        <v>991</v>
      </c>
      <c r="F2155" s="4" t="s">
        <v>4416</v>
      </c>
      <c r="G2155" s="4" t="s">
        <v>4414</v>
      </c>
      <c r="H2155" s="4" t="s">
        <v>4188</v>
      </c>
      <c r="I2155" s="4" t="s">
        <v>2100</v>
      </c>
      <c r="J2155" s="4" t="s">
        <v>4189</v>
      </c>
      <c r="K2155">
        <v>16</v>
      </c>
      <c r="L2155">
        <v>4.88</v>
      </c>
      <c r="M2155">
        <v>49</v>
      </c>
      <c r="N2155">
        <v>99</v>
      </c>
      <c r="O2155">
        <v>0</v>
      </c>
      <c r="P2155">
        <v>0</v>
      </c>
      <c r="Q2155">
        <v>0</v>
      </c>
      <c r="R2155">
        <v>0</v>
      </c>
      <c r="S2155">
        <v>0</v>
      </c>
      <c r="T2155" s="4" t="s">
        <v>4417</v>
      </c>
    </row>
    <row r="2156" spans="1:20" x14ac:dyDescent="0.2">
      <c r="A2156" s="4" t="s">
        <v>4170</v>
      </c>
      <c r="B2156" s="4" t="s">
        <v>4180</v>
      </c>
      <c r="C2156" s="4" t="s">
        <v>2096</v>
      </c>
      <c r="D2156" s="4" t="s">
        <v>4172</v>
      </c>
      <c r="E2156" s="4" t="s">
        <v>983</v>
      </c>
      <c r="F2156" s="4" t="s">
        <v>4418</v>
      </c>
      <c r="G2156" s="4" t="s">
        <v>4414</v>
      </c>
      <c r="H2156" s="4" t="s">
        <v>4188</v>
      </c>
      <c r="I2156" s="4" t="s">
        <v>2100</v>
      </c>
      <c r="J2156" s="4" t="s">
        <v>4219</v>
      </c>
      <c r="K2156">
        <v>16</v>
      </c>
      <c r="L2156">
        <v>4.88</v>
      </c>
      <c r="M2156">
        <v>22.2</v>
      </c>
      <c r="N2156">
        <v>22.2</v>
      </c>
      <c r="O2156">
        <v>0</v>
      </c>
      <c r="P2156">
        <v>0</v>
      </c>
      <c r="Q2156">
        <v>0</v>
      </c>
      <c r="R2156">
        <v>0</v>
      </c>
      <c r="S2156">
        <v>0</v>
      </c>
      <c r="T2156" s="4" t="s">
        <v>4419</v>
      </c>
    </row>
    <row r="2157" spans="1:20" x14ac:dyDescent="0.2">
      <c r="A2157" s="4" t="s">
        <v>4170</v>
      </c>
      <c r="B2157" s="4" t="s">
        <v>4191</v>
      </c>
      <c r="C2157" s="4" t="s">
        <v>2096</v>
      </c>
      <c r="D2157" s="4" t="s">
        <v>4172</v>
      </c>
      <c r="E2157" s="4" t="s">
        <v>985</v>
      </c>
      <c r="F2157" s="4" t="s">
        <v>4420</v>
      </c>
      <c r="G2157" s="4" t="s">
        <v>4414</v>
      </c>
      <c r="H2157" s="4" t="s">
        <v>4188</v>
      </c>
      <c r="I2157" s="4" t="s">
        <v>2100</v>
      </c>
      <c r="J2157" s="4" t="s">
        <v>4193</v>
      </c>
      <c r="K2157">
        <v>16</v>
      </c>
      <c r="L2157">
        <v>4.88</v>
      </c>
      <c r="M2157">
        <v>38</v>
      </c>
      <c r="N2157">
        <v>78</v>
      </c>
      <c r="O2157">
        <v>0</v>
      </c>
      <c r="P2157">
        <v>0</v>
      </c>
      <c r="Q2157">
        <v>0</v>
      </c>
      <c r="R2157">
        <v>0</v>
      </c>
      <c r="S2157">
        <v>0</v>
      </c>
      <c r="T2157" s="4" t="s">
        <v>4421</v>
      </c>
    </row>
    <row r="2158" spans="1:20" x14ac:dyDescent="0.2">
      <c r="A2158" s="4" t="s">
        <v>4170</v>
      </c>
      <c r="B2158" s="4" t="s">
        <v>4171</v>
      </c>
      <c r="C2158" s="4" t="s">
        <v>2096</v>
      </c>
      <c r="D2158" s="4" t="s">
        <v>4172</v>
      </c>
      <c r="E2158" s="4" t="s">
        <v>1015</v>
      </c>
      <c r="F2158" s="4" t="s">
        <v>4422</v>
      </c>
      <c r="G2158" s="4" t="s">
        <v>4423</v>
      </c>
      <c r="H2158" s="4" t="s">
        <v>2082</v>
      </c>
      <c r="I2158" s="4" t="s">
        <v>2100</v>
      </c>
      <c r="J2158" s="4" t="s">
        <v>2432</v>
      </c>
      <c r="K2158">
        <v>16</v>
      </c>
      <c r="L2158">
        <v>4.88</v>
      </c>
      <c r="M2158">
        <v>26</v>
      </c>
      <c r="N2158">
        <v>219</v>
      </c>
      <c r="O2158">
        <v>0</v>
      </c>
      <c r="P2158">
        <v>0</v>
      </c>
      <c r="Q2158">
        <v>0</v>
      </c>
      <c r="R2158">
        <v>0</v>
      </c>
      <c r="S2158">
        <v>0</v>
      </c>
      <c r="T2158" s="4" t="s">
        <v>4424</v>
      </c>
    </row>
    <row r="2159" spans="1:20" x14ac:dyDescent="0.2">
      <c r="A2159" s="4" t="s">
        <v>4170</v>
      </c>
      <c r="B2159" s="4" t="s">
        <v>4191</v>
      </c>
      <c r="C2159" s="4" t="s">
        <v>2096</v>
      </c>
      <c r="D2159" s="4" t="s">
        <v>4172</v>
      </c>
      <c r="E2159" s="4" t="s">
        <v>1017</v>
      </c>
      <c r="F2159" s="4" t="s">
        <v>4425</v>
      </c>
      <c r="G2159" s="4" t="s">
        <v>4426</v>
      </c>
      <c r="H2159" s="4" t="s">
        <v>2082</v>
      </c>
      <c r="I2159" s="4" t="s">
        <v>2100</v>
      </c>
      <c r="J2159" s="4" t="s">
        <v>4197</v>
      </c>
      <c r="K2159">
        <v>16</v>
      </c>
      <c r="L2159">
        <v>4.88</v>
      </c>
      <c r="M2159">
        <v>26</v>
      </c>
      <c r="N2159">
        <v>176</v>
      </c>
      <c r="O2159">
        <v>0</v>
      </c>
      <c r="P2159">
        <v>0</v>
      </c>
      <c r="Q2159">
        <v>0</v>
      </c>
      <c r="R2159">
        <v>0</v>
      </c>
      <c r="S2159">
        <v>0</v>
      </c>
      <c r="T2159" s="4" t="s">
        <v>4427</v>
      </c>
    </row>
    <row r="2160" spans="1:20" x14ac:dyDescent="0.2">
      <c r="A2160" s="4" t="s">
        <v>4223</v>
      </c>
      <c r="B2160" s="4" t="s">
        <v>4224</v>
      </c>
      <c r="C2160" s="4" t="s">
        <v>2096</v>
      </c>
      <c r="D2160" s="4" t="s">
        <v>4172</v>
      </c>
      <c r="E2160" s="4" t="s">
        <v>4428</v>
      </c>
      <c r="F2160" s="4" t="s">
        <v>4429</v>
      </c>
      <c r="G2160" s="4" t="s">
        <v>4430</v>
      </c>
      <c r="H2160" s="4" t="s">
        <v>4431</v>
      </c>
      <c r="I2160" s="4" t="s">
        <v>2100</v>
      </c>
      <c r="J2160" s="4" t="s">
        <v>4229</v>
      </c>
      <c r="K2160">
        <v>8</v>
      </c>
      <c r="L2160">
        <v>2.44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 s="4" t="s">
        <v>4432</v>
      </c>
    </row>
    <row r="2161" spans="1:20" x14ac:dyDescent="0.2">
      <c r="A2161" s="4" t="s">
        <v>4223</v>
      </c>
      <c r="B2161" s="4" t="s">
        <v>4224</v>
      </c>
      <c r="C2161" s="4" t="s">
        <v>2096</v>
      </c>
      <c r="D2161" s="4" t="s">
        <v>4172</v>
      </c>
      <c r="E2161" s="4" t="s">
        <v>4433</v>
      </c>
      <c r="F2161" s="4" t="s">
        <v>4434</v>
      </c>
      <c r="G2161" s="4" t="s">
        <v>4430</v>
      </c>
      <c r="H2161" s="4" t="s">
        <v>4353</v>
      </c>
      <c r="I2161" s="4" t="s">
        <v>2100</v>
      </c>
      <c r="J2161" s="4" t="s">
        <v>4354</v>
      </c>
      <c r="K2161">
        <v>8</v>
      </c>
      <c r="L2161">
        <v>2.44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s="4" t="s">
        <v>4435</v>
      </c>
    </row>
    <row r="2162" spans="1:20" x14ac:dyDescent="0.2">
      <c r="A2162" s="4" t="s">
        <v>4223</v>
      </c>
      <c r="B2162" s="4" t="s">
        <v>4224</v>
      </c>
      <c r="C2162" s="4" t="s">
        <v>2096</v>
      </c>
      <c r="D2162" s="4" t="s">
        <v>4172</v>
      </c>
      <c r="E2162" s="4" t="s">
        <v>4436</v>
      </c>
      <c r="F2162" s="4" t="s">
        <v>4437</v>
      </c>
      <c r="G2162" s="4" t="s">
        <v>4430</v>
      </c>
      <c r="H2162" s="4" t="s">
        <v>4298</v>
      </c>
      <c r="I2162" s="4" t="s">
        <v>2100</v>
      </c>
      <c r="J2162" s="4" t="s">
        <v>2944</v>
      </c>
      <c r="K2162">
        <v>6</v>
      </c>
      <c r="L2162">
        <v>1.83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 s="4" t="s">
        <v>4438</v>
      </c>
    </row>
    <row r="2163" spans="1:20" x14ac:dyDescent="0.2">
      <c r="A2163" s="4" t="s">
        <v>4223</v>
      </c>
      <c r="B2163" s="4" t="s">
        <v>4224</v>
      </c>
      <c r="C2163" s="4" t="s">
        <v>2096</v>
      </c>
      <c r="D2163" s="4" t="s">
        <v>4172</v>
      </c>
      <c r="E2163" s="4" t="s">
        <v>4439</v>
      </c>
      <c r="F2163" s="4" t="s">
        <v>4440</v>
      </c>
      <c r="G2163" s="4" t="s">
        <v>4430</v>
      </c>
      <c r="H2163" s="4" t="s">
        <v>4362</v>
      </c>
      <c r="I2163" s="4" t="s">
        <v>2100</v>
      </c>
      <c r="J2163" s="4" t="s">
        <v>4363</v>
      </c>
      <c r="K2163">
        <v>6</v>
      </c>
      <c r="L2163">
        <v>1.83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 s="4" t="s">
        <v>4441</v>
      </c>
    </row>
    <row r="2164" spans="1:20" x14ac:dyDescent="0.2">
      <c r="A2164" s="4" t="s">
        <v>4223</v>
      </c>
      <c r="B2164" s="4" t="s">
        <v>4224</v>
      </c>
      <c r="C2164" s="4" t="s">
        <v>2096</v>
      </c>
      <c r="D2164" s="4" t="s">
        <v>4172</v>
      </c>
      <c r="E2164" s="4" t="s">
        <v>4442</v>
      </c>
      <c r="F2164" s="4" t="s">
        <v>4443</v>
      </c>
      <c r="G2164" s="4" t="s">
        <v>4430</v>
      </c>
      <c r="H2164" s="4" t="s">
        <v>4367</v>
      </c>
      <c r="I2164" s="4" t="s">
        <v>2100</v>
      </c>
      <c r="J2164" s="4" t="s">
        <v>4368</v>
      </c>
      <c r="K2164">
        <v>6</v>
      </c>
      <c r="L2164">
        <v>1.83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 s="4" t="s">
        <v>4444</v>
      </c>
    </row>
    <row r="2165" spans="1:20" x14ac:dyDescent="0.2">
      <c r="A2165" s="4" t="s">
        <v>4223</v>
      </c>
      <c r="B2165" s="4" t="s">
        <v>4224</v>
      </c>
      <c r="C2165" s="4" t="s">
        <v>2096</v>
      </c>
      <c r="D2165" s="4" t="s">
        <v>4172</v>
      </c>
      <c r="E2165" s="4" t="s">
        <v>4445</v>
      </c>
      <c r="F2165" s="4" t="s">
        <v>4446</v>
      </c>
      <c r="G2165" s="4" t="s">
        <v>4430</v>
      </c>
      <c r="H2165" s="4" t="s">
        <v>4372</v>
      </c>
      <c r="I2165" s="4" t="s">
        <v>2100</v>
      </c>
      <c r="J2165" s="4" t="s">
        <v>4373</v>
      </c>
      <c r="K2165">
        <v>5</v>
      </c>
      <c r="L2165">
        <v>1.52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 s="4" t="s">
        <v>4447</v>
      </c>
    </row>
    <row r="2166" spans="1:20" x14ac:dyDescent="0.2">
      <c r="A2166" s="4" t="s">
        <v>4170</v>
      </c>
      <c r="B2166" s="4" t="s">
        <v>4171</v>
      </c>
      <c r="C2166" s="4" t="s">
        <v>2096</v>
      </c>
      <c r="D2166" s="4" t="s">
        <v>4172</v>
      </c>
      <c r="E2166" s="4" t="s">
        <v>1027</v>
      </c>
      <c r="F2166" s="4" t="s">
        <v>4448</v>
      </c>
      <c r="G2166" s="4" t="s">
        <v>4449</v>
      </c>
      <c r="H2166" s="4" t="s">
        <v>2082</v>
      </c>
      <c r="I2166" s="4" t="s">
        <v>2100</v>
      </c>
      <c r="J2166" s="4" t="s">
        <v>2432</v>
      </c>
      <c r="K2166">
        <v>16</v>
      </c>
      <c r="L2166">
        <v>4.88</v>
      </c>
      <c r="M2166">
        <v>26</v>
      </c>
      <c r="N2166">
        <v>219</v>
      </c>
      <c r="O2166">
        <v>0</v>
      </c>
      <c r="P2166">
        <v>0</v>
      </c>
      <c r="Q2166">
        <v>0</v>
      </c>
      <c r="R2166">
        <v>0</v>
      </c>
      <c r="S2166">
        <v>0</v>
      </c>
      <c r="T2166" s="4" t="s">
        <v>4450</v>
      </c>
    </row>
    <row r="2167" spans="1:20" x14ac:dyDescent="0.2">
      <c r="A2167" s="4" t="s">
        <v>4170</v>
      </c>
      <c r="B2167" s="4" t="s">
        <v>4191</v>
      </c>
      <c r="C2167" s="4" t="s">
        <v>2096</v>
      </c>
      <c r="D2167" s="4" t="s">
        <v>4172</v>
      </c>
      <c r="E2167" s="4" t="s">
        <v>1029</v>
      </c>
      <c r="F2167" s="4" t="s">
        <v>4451</v>
      </c>
      <c r="G2167" s="4" t="s">
        <v>4452</v>
      </c>
      <c r="H2167" s="4" t="s">
        <v>2082</v>
      </c>
      <c r="I2167" s="4" t="s">
        <v>2100</v>
      </c>
      <c r="J2167" s="4" t="s">
        <v>4197</v>
      </c>
      <c r="K2167">
        <v>16</v>
      </c>
      <c r="L2167">
        <v>4.88</v>
      </c>
      <c r="M2167">
        <v>26</v>
      </c>
      <c r="N2167">
        <v>176</v>
      </c>
      <c r="O2167">
        <v>0</v>
      </c>
      <c r="P2167">
        <v>0</v>
      </c>
      <c r="Q2167">
        <v>0</v>
      </c>
      <c r="R2167">
        <v>0</v>
      </c>
      <c r="S2167">
        <v>0</v>
      </c>
      <c r="T2167" s="4" t="s">
        <v>4453</v>
      </c>
    </row>
    <row r="2168" spans="1:20" x14ac:dyDescent="0.2">
      <c r="A2168" s="4" t="s">
        <v>4170</v>
      </c>
      <c r="B2168" s="4" t="s">
        <v>4180</v>
      </c>
      <c r="C2168" s="4" t="s">
        <v>2096</v>
      </c>
      <c r="D2168" s="4" t="s">
        <v>4172</v>
      </c>
      <c r="E2168" s="4" t="s">
        <v>1031</v>
      </c>
      <c r="F2168" s="4" t="s">
        <v>4454</v>
      </c>
      <c r="G2168" s="4" t="s">
        <v>4455</v>
      </c>
      <c r="H2168" s="4" t="s">
        <v>2082</v>
      </c>
      <c r="I2168" s="4" t="s">
        <v>2100</v>
      </c>
      <c r="J2168" s="4" t="s">
        <v>2153</v>
      </c>
      <c r="K2168">
        <v>16</v>
      </c>
      <c r="L2168">
        <v>4.88</v>
      </c>
      <c r="M2168">
        <v>21</v>
      </c>
      <c r="N2168">
        <v>156</v>
      </c>
      <c r="O2168">
        <v>0</v>
      </c>
      <c r="P2168">
        <v>0</v>
      </c>
      <c r="Q2168">
        <v>0</v>
      </c>
      <c r="R2168">
        <v>0</v>
      </c>
      <c r="S2168">
        <v>0</v>
      </c>
      <c r="T2168" s="4" t="s">
        <v>4456</v>
      </c>
    </row>
    <row r="2169" spans="1:20" x14ac:dyDescent="0.2">
      <c r="A2169" s="4" t="s">
        <v>4170</v>
      </c>
      <c r="B2169" s="4" t="s">
        <v>4176</v>
      </c>
      <c r="C2169" s="4" t="s">
        <v>2096</v>
      </c>
      <c r="D2169" s="4" t="s">
        <v>4172</v>
      </c>
      <c r="E2169" s="4" t="s">
        <v>4457</v>
      </c>
      <c r="F2169" s="4" t="s">
        <v>4458</v>
      </c>
      <c r="G2169" s="4" t="s">
        <v>4459</v>
      </c>
      <c r="H2169" s="4" t="s">
        <v>2082</v>
      </c>
      <c r="I2169" s="4" t="s">
        <v>2100</v>
      </c>
      <c r="J2169" s="4" t="s">
        <v>2153</v>
      </c>
      <c r="K2169">
        <v>16</v>
      </c>
      <c r="L2169">
        <v>4.88</v>
      </c>
      <c r="M2169">
        <v>12</v>
      </c>
      <c r="N2169">
        <v>140</v>
      </c>
      <c r="O2169">
        <v>0</v>
      </c>
      <c r="P2169">
        <v>0</v>
      </c>
      <c r="Q2169">
        <v>0</v>
      </c>
      <c r="R2169">
        <v>0</v>
      </c>
      <c r="S2169">
        <v>0</v>
      </c>
      <c r="T2169" s="4" t="s">
        <v>4460</v>
      </c>
    </row>
    <row r="2170" spans="1:20" x14ac:dyDescent="0.2">
      <c r="A2170" s="4" t="s">
        <v>4170</v>
      </c>
      <c r="B2170" s="4" t="s">
        <v>4180</v>
      </c>
      <c r="C2170" s="4" t="s">
        <v>4461</v>
      </c>
      <c r="D2170" s="4" t="s">
        <v>4172</v>
      </c>
      <c r="E2170" s="4" t="s">
        <v>979</v>
      </c>
      <c r="F2170" s="4" t="s">
        <v>4462</v>
      </c>
      <c r="G2170" s="4" t="s">
        <v>4463</v>
      </c>
      <c r="H2170" s="4" t="s">
        <v>4464</v>
      </c>
      <c r="I2170" s="4" t="s">
        <v>2100</v>
      </c>
      <c r="J2170" s="4" t="s">
        <v>4464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 s="4" t="s">
        <v>4465</v>
      </c>
    </row>
    <row r="2171" spans="1:20" x14ac:dyDescent="0.2">
      <c r="A2171" s="4" t="s">
        <v>4170</v>
      </c>
      <c r="B2171" s="4" t="s">
        <v>4180</v>
      </c>
      <c r="C2171" s="4" t="s">
        <v>4461</v>
      </c>
      <c r="D2171" s="4" t="s">
        <v>4172</v>
      </c>
      <c r="E2171" s="4" t="s">
        <v>4466</v>
      </c>
      <c r="F2171" s="4" t="s">
        <v>4462</v>
      </c>
      <c r="G2171" s="4" t="s">
        <v>4463</v>
      </c>
      <c r="H2171" s="4" t="s">
        <v>4464</v>
      </c>
      <c r="I2171" s="4" t="s">
        <v>2100</v>
      </c>
      <c r="J2171" s="4" t="s">
        <v>4464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 s="4" t="s">
        <v>4465</v>
      </c>
    </row>
    <row r="2172" spans="1:20" x14ac:dyDescent="0.2">
      <c r="A2172" s="4" t="s">
        <v>4170</v>
      </c>
      <c r="B2172" s="4" t="s">
        <v>4180</v>
      </c>
      <c r="C2172" s="4" t="s">
        <v>4461</v>
      </c>
      <c r="D2172" s="4" t="s">
        <v>4172</v>
      </c>
      <c r="E2172" s="4" t="s">
        <v>1019</v>
      </c>
      <c r="F2172" s="4" t="s">
        <v>4462</v>
      </c>
      <c r="G2172" s="4" t="s">
        <v>4463</v>
      </c>
      <c r="H2172" s="4" t="s">
        <v>4464</v>
      </c>
      <c r="I2172" s="4" t="s">
        <v>2100</v>
      </c>
      <c r="J2172" s="4" t="s">
        <v>4464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 s="4" t="s">
        <v>4465</v>
      </c>
    </row>
    <row r="2173" spans="1:20" x14ac:dyDescent="0.2">
      <c r="A2173" s="4" t="s">
        <v>4170</v>
      </c>
      <c r="B2173" s="4" t="s">
        <v>4180</v>
      </c>
      <c r="C2173" s="4" t="s">
        <v>4461</v>
      </c>
      <c r="D2173" s="4" t="s">
        <v>4172</v>
      </c>
      <c r="E2173" s="4" t="s">
        <v>975</v>
      </c>
      <c r="F2173" s="4" t="s">
        <v>4462</v>
      </c>
      <c r="G2173" s="4" t="s">
        <v>4463</v>
      </c>
      <c r="H2173" s="4" t="s">
        <v>4464</v>
      </c>
      <c r="I2173" s="4" t="s">
        <v>2100</v>
      </c>
      <c r="J2173" s="4" t="s">
        <v>4464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 s="4" t="s">
        <v>4465</v>
      </c>
    </row>
    <row r="2174" spans="1:20" x14ac:dyDescent="0.2">
      <c r="A2174" s="4" t="s">
        <v>4170</v>
      </c>
      <c r="B2174" s="4" t="s">
        <v>4180</v>
      </c>
      <c r="C2174" s="4" t="s">
        <v>4461</v>
      </c>
      <c r="D2174" s="4" t="s">
        <v>4172</v>
      </c>
      <c r="E2174" s="4" t="s">
        <v>977</v>
      </c>
      <c r="F2174" s="4" t="s">
        <v>4462</v>
      </c>
      <c r="G2174" s="4" t="s">
        <v>4463</v>
      </c>
      <c r="H2174" s="4" t="s">
        <v>4464</v>
      </c>
      <c r="I2174" s="4" t="s">
        <v>2100</v>
      </c>
      <c r="J2174" s="4" t="s">
        <v>4464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 s="4" t="s">
        <v>4465</v>
      </c>
    </row>
    <row r="2175" spans="1:20" x14ac:dyDescent="0.2">
      <c r="A2175" s="4" t="s">
        <v>4170</v>
      </c>
      <c r="B2175" s="4" t="s">
        <v>4176</v>
      </c>
      <c r="C2175" s="4" t="s">
        <v>4461</v>
      </c>
      <c r="D2175" s="4" t="s">
        <v>4172</v>
      </c>
      <c r="E2175" s="4" t="s">
        <v>4467</v>
      </c>
      <c r="F2175" s="4" t="s">
        <v>4468</v>
      </c>
      <c r="G2175" s="4" t="s">
        <v>4469</v>
      </c>
      <c r="H2175" s="4" t="s">
        <v>4464</v>
      </c>
      <c r="I2175" s="4" t="s">
        <v>2100</v>
      </c>
      <c r="J2175" s="4" t="s">
        <v>4464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 s="4" t="s">
        <v>4470</v>
      </c>
    </row>
    <row r="2176" spans="1:20" x14ac:dyDescent="0.2">
      <c r="A2176" s="4" t="s">
        <v>4170</v>
      </c>
      <c r="B2176" s="4" t="s">
        <v>4180</v>
      </c>
      <c r="C2176" s="4" t="s">
        <v>4461</v>
      </c>
      <c r="D2176" s="4" t="s">
        <v>4172</v>
      </c>
      <c r="E2176" s="4" t="s">
        <v>1025</v>
      </c>
      <c r="F2176" s="4" t="s">
        <v>4468</v>
      </c>
      <c r="G2176" s="4" t="s">
        <v>4469</v>
      </c>
      <c r="H2176" s="4" t="s">
        <v>4464</v>
      </c>
      <c r="I2176" s="4" t="s">
        <v>2100</v>
      </c>
      <c r="J2176" s="4" t="s">
        <v>4464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 s="4" t="s">
        <v>4470</v>
      </c>
    </row>
    <row r="2177" spans="1:20" x14ac:dyDescent="0.2">
      <c r="A2177" s="4" t="s">
        <v>4170</v>
      </c>
      <c r="B2177" s="4" t="s">
        <v>4180</v>
      </c>
      <c r="C2177" s="4" t="s">
        <v>4461</v>
      </c>
      <c r="D2177" s="4" t="s">
        <v>4172</v>
      </c>
      <c r="E2177" s="4" t="s">
        <v>1073</v>
      </c>
      <c r="F2177" s="4" t="s">
        <v>4468</v>
      </c>
      <c r="G2177" s="4" t="s">
        <v>4469</v>
      </c>
      <c r="H2177" s="4" t="s">
        <v>4464</v>
      </c>
      <c r="I2177" s="4" t="s">
        <v>2100</v>
      </c>
      <c r="J2177" s="4" t="s">
        <v>4464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 s="4" t="s">
        <v>4470</v>
      </c>
    </row>
    <row r="2178" spans="1:20" x14ac:dyDescent="0.2">
      <c r="A2178" s="4" t="s">
        <v>4170</v>
      </c>
      <c r="B2178" s="4" t="s">
        <v>4180</v>
      </c>
      <c r="C2178" s="4" t="s">
        <v>4461</v>
      </c>
      <c r="D2178" s="4" t="s">
        <v>4172</v>
      </c>
      <c r="E2178" s="4" t="s">
        <v>1021</v>
      </c>
      <c r="F2178" s="4" t="s">
        <v>4468</v>
      </c>
      <c r="G2178" s="4" t="s">
        <v>4469</v>
      </c>
      <c r="H2178" s="4" t="s">
        <v>4464</v>
      </c>
      <c r="I2178" s="4" t="s">
        <v>2100</v>
      </c>
      <c r="J2178" s="4" t="s">
        <v>4464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 s="4" t="s">
        <v>4470</v>
      </c>
    </row>
    <row r="2179" spans="1:20" x14ac:dyDescent="0.2">
      <c r="A2179" s="4" t="s">
        <v>4170</v>
      </c>
      <c r="B2179" s="4" t="s">
        <v>4180</v>
      </c>
      <c r="C2179" s="4" t="s">
        <v>4461</v>
      </c>
      <c r="D2179" s="4" t="s">
        <v>4172</v>
      </c>
      <c r="E2179" s="4" t="s">
        <v>1023</v>
      </c>
      <c r="F2179" s="4" t="s">
        <v>4468</v>
      </c>
      <c r="G2179" s="4" t="s">
        <v>4469</v>
      </c>
      <c r="H2179" s="4" t="s">
        <v>4464</v>
      </c>
      <c r="I2179" s="4" t="s">
        <v>2100</v>
      </c>
      <c r="J2179" s="4" t="s">
        <v>4464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 s="4" t="s">
        <v>4470</v>
      </c>
    </row>
    <row r="2180" spans="1:20" x14ac:dyDescent="0.2">
      <c r="A2180" s="4" t="s">
        <v>4240</v>
      </c>
      <c r="B2180" s="4" t="s">
        <v>4241</v>
      </c>
      <c r="C2180" s="4" t="s">
        <v>2096</v>
      </c>
      <c r="D2180" s="4" t="s">
        <v>4172</v>
      </c>
      <c r="E2180" s="4" t="s">
        <v>1061</v>
      </c>
      <c r="F2180" s="4" t="s">
        <v>4471</v>
      </c>
      <c r="G2180" s="4" t="s">
        <v>4472</v>
      </c>
      <c r="H2180" s="4" t="s">
        <v>4188</v>
      </c>
      <c r="I2180" s="4" t="s">
        <v>2100</v>
      </c>
      <c r="J2180" s="4" t="s">
        <v>4193</v>
      </c>
      <c r="K2180">
        <v>16</v>
      </c>
      <c r="L2180">
        <v>4.88</v>
      </c>
      <c r="M2180">
        <v>38</v>
      </c>
      <c r="N2180">
        <v>78</v>
      </c>
      <c r="O2180">
        <v>0</v>
      </c>
      <c r="P2180">
        <v>0</v>
      </c>
      <c r="Q2180">
        <v>0</v>
      </c>
      <c r="R2180">
        <v>0</v>
      </c>
      <c r="S2180">
        <v>0</v>
      </c>
      <c r="T2180" s="4" t="s">
        <v>4473</v>
      </c>
    </row>
    <row r="2181" spans="1:20" x14ac:dyDescent="0.2">
      <c r="A2181" s="4" t="s">
        <v>4245</v>
      </c>
      <c r="B2181" s="4" t="s">
        <v>4241</v>
      </c>
      <c r="C2181" s="4" t="s">
        <v>2096</v>
      </c>
      <c r="D2181" s="4" t="s">
        <v>4172</v>
      </c>
      <c r="E2181" s="4" t="s">
        <v>4474</v>
      </c>
      <c r="F2181" s="4" t="s">
        <v>4471</v>
      </c>
      <c r="G2181" s="4" t="s">
        <v>4472</v>
      </c>
      <c r="H2181" s="4" t="s">
        <v>4188</v>
      </c>
      <c r="I2181" s="4" t="s">
        <v>2100</v>
      </c>
      <c r="J2181" s="4" t="s">
        <v>4193</v>
      </c>
      <c r="K2181">
        <v>16</v>
      </c>
      <c r="L2181">
        <v>4.88</v>
      </c>
      <c r="M2181">
        <v>38</v>
      </c>
      <c r="N2181">
        <v>78</v>
      </c>
      <c r="O2181">
        <v>0</v>
      </c>
      <c r="P2181">
        <v>0</v>
      </c>
      <c r="Q2181">
        <v>0</v>
      </c>
      <c r="R2181">
        <v>0</v>
      </c>
      <c r="S2181">
        <v>0</v>
      </c>
      <c r="T2181" s="4" t="s">
        <v>4473</v>
      </c>
    </row>
    <row r="2182" spans="1:20" x14ac:dyDescent="0.2">
      <c r="A2182" s="4" t="s">
        <v>4240</v>
      </c>
      <c r="B2182" s="4" t="s">
        <v>4247</v>
      </c>
      <c r="C2182" s="4" t="s">
        <v>2096</v>
      </c>
      <c r="D2182" s="4" t="s">
        <v>4172</v>
      </c>
      <c r="E2182" s="4" t="s">
        <v>4475</v>
      </c>
      <c r="F2182" s="4" t="s">
        <v>4476</v>
      </c>
      <c r="G2182" s="4" t="s">
        <v>4472</v>
      </c>
      <c r="H2182" s="4" t="s">
        <v>4188</v>
      </c>
      <c r="I2182" s="4" t="s">
        <v>2100</v>
      </c>
      <c r="J2182" s="4" t="s">
        <v>4189</v>
      </c>
      <c r="K2182">
        <v>16</v>
      </c>
      <c r="L2182">
        <v>4.88</v>
      </c>
      <c r="M2182">
        <v>49</v>
      </c>
      <c r="N2182">
        <v>99</v>
      </c>
      <c r="O2182">
        <v>0</v>
      </c>
      <c r="P2182">
        <v>0</v>
      </c>
      <c r="Q2182">
        <v>0</v>
      </c>
      <c r="R2182">
        <v>0</v>
      </c>
      <c r="S2182">
        <v>0</v>
      </c>
      <c r="T2182" s="4" t="s">
        <v>4477</v>
      </c>
    </row>
    <row r="2183" spans="1:20" x14ac:dyDescent="0.2">
      <c r="A2183" s="4" t="s">
        <v>4245</v>
      </c>
      <c r="B2183" s="4" t="s">
        <v>4247</v>
      </c>
      <c r="C2183" s="4" t="s">
        <v>2096</v>
      </c>
      <c r="D2183" s="4" t="s">
        <v>4172</v>
      </c>
      <c r="E2183" s="4" t="s">
        <v>4478</v>
      </c>
      <c r="F2183" s="4" t="s">
        <v>4476</v>
      </c>
      <c r="G2183" s="4" t="s">
        <v>4472</v>
      </c>
      <c r="H2183" s="4" t="s">
        <v>4188</v>
      </c>
      <c r="I2183" s="4" t="s">
        <v>2100</v>
      </c>
      <c r="J2183" s="4" t="s">
        <v>4189</v>
      </c>
      <c r="K2183">
        <v>16</v>
      </c>
      <c r="L2183">
        <v>4.88</v>
      </c>
      <c r="M2183">
        <v>49</v>
      </c>
      <c r="N2183">
        <v>99</v>
      </c>
      <c r="O2183">
        <v>0</v>
      </c>
      <c r="P2183">
        <v>0</v>
      </c>
      <c r="Q2183">
        <v>0</v>
      </c>
      <c r="R2183">
        <v>0</v>
      </c>
      <c r="S2183">
        <v>0</v>
      </c>
      <c r="T2183" s="4" t="s">
        <v>4477</v>
      </c>
    </row>
    <row r="2184" spans="1:20" x14ac:dyDescent="0.2">
      <c r="A2184" s="4" t="s">
        <v>4240</v>
      </c>
      <c r="B2184" s="4" t="s">
        <v>4182</v>
      </c>
      <c r="C2184" s="4" t="s">
        <v>2096</v>
      </c>
      <c r="D2184" s="4" t="s">
        <v>4172</v>
      </c>
      <c r="E2184" s="4" t="s">
        <v>1069</v>
      </c>
      <c r="F2184" s="4" t="s">
        <v>4479</v>
      </c>
      <c r="G2184" s="4" t="s">
        <v>4472</v>
      </c>
      <c r="H2184" s="4" t="s">
        <v>4185</v>
      </c>
      <c r="I2184" s="4" t="s">
        <v>2100</v>
      </c>
      <c r="J2184" s="4" t="s">
        <v>2518</v>
      </c>
      <c r="K2184">
        <v>16</v>
      </c>
      <c r="L2184">
        <v>4.88</v>
      </c>
      <c r="M2184">
        <v>50</v>
      </c>
      <c r="N2184">
        <v>50</v>
      </c>
      <c r="O2184">
        <v>0</v>
      </c>
      <c r="P2184">
        <v>0</v>
      </c>
      <c r="Q2184">
        <v>0</v>
      </c>
      <c r="R2184">
        <v>0</v>
      </c>
      <c r="S2184">
        <v>0</v>
      </c>
      <c r="T2184" s="4" t="s">
        <v>4480</v>
      </c>
    </row>
    <row r="2185" spans="1:20" x14ac:dyDescent="0.2">
      <c r="A2185" s="4" t="s">
        <v>4245</v>
      </c>
      <c r="B2185" s="4" t="s">
        <v>4182</v>
      </c>
      <c r="C2185" s="4" t="s">
        <v>2096</v>
      </c>
      <c r="D2185" s="4" t="s">
        <v>4172</v>
      </c>
      <c r="E2185" s="4" t="s">
        <v>4481</v>
      </c>
      <c r="F2185" s="4" t="s">
        <v>4479</v>
      </c>
      <c r="G2185" s="4" t="s">
        <v>4472</v>
      </c>
      <c r="H2185" s="4" t="s">
        <v>4185</v>
      </c>
      <c r="I2185" s="4" t="s">
        <v>2100</v>
      </c>
      <c r="J2185" s="4" t="s">
        <v>2518</v>
      </c>
      <c r="K2185">
        <v>16</v>
      </c>
      <c r="L2185">
        <v>4.88</v>
      </c>
      <c r="M2185">
        <v>50</v>
      </c>
      <c r="N2185">
        <v>50</v>
      </c>
      <c r="O2185">
        <v>0</v>
      </c>
      <c r="P2185">
        <v>0</v>
      </c>
      <c r="Q2185">
        <v>0</v>
      </c>
      <c r="R2185">
        <v>0</v>
      </c>
      <c r="S2185">
        <v>0</v>
      </c>
      <c r="T2185" s="4" t="s">
        <v>4480</v>
      </c>
    </row>
    <row r="2186" spans="1:20" x14ac:dyDescent="0.2">
      <c r="A2186" s="4" t="s">
        <v>4240</v>
      </c>
      <c r="B2186" s="4" t="s">
        <v>4200</v>
      </c>
      <c r="C2186" s="4" t="s">
        <v>2096</v>
      </c>
      <c r="D2186" s="4" t="s">
        <v>4172</v>
      </c>
      <c r="E2186" s="4" t="s">
        <v>1051</v>
      </c>
      <c r="F2186" s="4" t="s">
        <v>4482</v>
      </c>
      <c r="G2186" s="4" t="s">
        <v>4472</v>
      </c>
      <c r="H2186" s="4" t="s">
        <v>2082</v>
      </c>
      <c r="I2186" s="4" t="s">
        <v>2100</v>
      </c>
      <c r="J2186" s="4" t="s">
        <v>2153</v>
      </c>
      <c r="K2186">
        <v>16</v>
      </c>
      <c r="L2186">
        <v>4.88</v>
      </c>
      <c r="M2186">
        <v>25</v>
      </c>
      <c r="N2186">
        <v>142</v>
      </c>
      <c r="O2186">
        <v>0</v>
      </c>
      <c r="P2186">
        <v>0</v>
      </c>
      <c r="Q2186">
        <v>0</v>
      </c>
      <c r="R2186">
        <v>0</v>
      </c>
      <c r="S2186">
        <v>0</v>
      </c>
      <c r="T2186" s="4" t="s">
        <v>4483</v>
      </c>
    </row>
    <row r="2187" spans="1:20" x14ac:dyDescent="0.2">
      <c r="A2187" s="4" t="s">
        <v>4240</v>
      </c>
      <c r="B2187" s="4" t="s">
        <v>4258</v>
      </c>
      <c r="C2187" s="4" t="s">
        <v>2096</v>
      </c>
      <c r="D2187" s="4" t="s">
        <v>4172</v>
      </c>
      <c r="E2187" s="4" t="s">
        <v>4484</v>
      </c>
      <c r="F2187" s="4" t="s">
        <v>4485</v>
      </c>
      <c r="G2187" s="4" t="s">
        <v>4472</v>
      </c>
      <c r="H2187" s="4" t="s">
        <v>2082</v>
      </c>
      <c r="I2187" s="4" t="s">
        <v>2100</v>
      </c>
      <c r="J2187" s="4" t="s">
        <v>4197</v>
      </c>
      <c r="K2187">
        <v>16</v>
      </c>
      <c r="L2187">
        <v>4.88</v>
      </c>
      <c r="M2187">
        <v>26</v>
      </c>
      <c r="N2187">
        <v>176</v>
      </c>
      <c r="O2187">
        <v>0</v>
      </c>
      <c r="P2187">
        <v>0</v>
      </c>
      <c r="Q2187">
        <v>0</v>
      </c>
      <c r="R2187">
        <v>0</v>
      </c>
      <c r="S2187">
        <v>0</v>
      </c>
      <c r="T2187" s="4" t="s">
        <v>4486</v>
      </c>
    </row>
    <row r="2188" spans="1:20" x14ac:dyDescent="0.2">
      <c r="A2188" s="4" t="s">
        <v>4245</v>
      </c>
      <c r="B2188" s="4" t="s">
        <v>4258</v>
      </c>
      <c r="C2188" s="4" t="s">
        <v>2096</v>
      </c>
      <c r="D2188" s="4" t="s">
        <v>4172</v>
      </c>
      <c r="E2188" s="4" t="s">
        <v>4487</v>
      </c>
      <c r="F2188" s="4" t="s">
        <v>4485</v>
      </c>
      <c r="G2188" s="4" t="s">
        <v>4472</v>
      </c>
      <c r="H2188" s="4" t="s">
        <v>2082</v>
      </c>
      <c r="I2188" s="4" t="s">
        <v>2100</v>
      </c>
      <c r="J2188" s="4" t="s">
        <v>4197</v>
      </c>
      <c r="K2188">
        <v>16</v>
      </c>
      <c r="L2188">
        <v>4.88</v>
      </c>
      <c r="M2188">
        <v>26</v>
      </c>
      <c r="N2188">
        <v>176</v>
      </c>
      <c r="O2188">
        <v>0</v>
      </c>
      <c r="P2188">
        <v>0</v>
      </c>
      <c r="Q2188">
        <v>0</v>
      </c>
      <c r="R2188">
        <v>0</v>
      </c>
      <c r="S2188">
        <v>0</v>
      </c>
      <c r="T2188" s="4" t="s">
        <v>4486</v>
      </c>
    </row>
    <row r="2189" spans="1:20" x14ac:dyDescent="0.2">
      <c r="A2189" s="4" t="s">
        <v>4240</v>
      </c>
      <c r="B2189" s="4" t="s">
        <v>4262</v>
      </c>
      <c r="C2189" s="4" t="s">
        <v>2096</v>
      </c>
      <c r="D2189" s="4" t="s">
        <v>4172</v>
      </c>
      <c r="E2189" s="4" t="s">
        <v>4488</v>
      </c>
      <c r="F2189" s="4" t="s">
        <v>4489</v>
      </c>
      <c r="G2189" s="4" t="s">
        <v>4472</v>
      </c>
      <c r="H2189" s="4" t="s">
        <v>2082</v>
      </c>
      <c r="I2189" s="4" t="s">
        <v>2100</v>
      </c>
      <c r="J2189" s="4" t="s">
        <v>2432</v>
      </c>
      <c r="K2189">
        <v>16</v>
      </c>
      <c r="L2189">
        <v>4.88</v>
      </c>
      <c r="M2189">
        <v>25</v>
      </c>
      <c r="N2189">
        <v>222</v>
      </c>
      <c r="O2189">
        <v>0</v>
      </c>
      <c r="P2189">
        <v>0</v>
      </c>
      <c r="Q2189">
        <v>0</v>
      </c>
      <c r="R2189">
        <v>0</v>
      </c>
      <c r="S2189">
        <v>0</v>
      </c>
      <c r="T2189" s="4" t="s">
        <v>4490</v>
      </c>
    </row>
    <row r="2190" spans="1:20" x14ac:dyDescent="0.2">
      <c r="A2190" s="4" t="s">
        <v>4245</v>
      </c>
      <c r="B2190" s="4" t="s">
        <v>4262</v>
      </c>
      <c r="C2190" s="4" t="s">
        <v>2096</v>
      </c>
      <c r="D2190" s="4" t="s">
        <v>4172</v>
      </c>
      <c r="E2190" s="4" t="s">
        <v>4491</v>
      </c>
      <c r="F2190" s="4" t="s">
        <v>4489</v>
      </c>
      <c r="G2190" s="4" t="s">
        <v>4472</v>
      </c>
      <c r="H2190" s="4" t="s">
        <v>2082</v>
      </c>
      <c r="I2190" s="4" t="s">
        <v>2100</v>
      </c>
      <c r="J2190" s="4" t="s">
        <v>2432</v>
      </c>
      <c r="K2190">
        <v>16</v>
      </c>
      <c r="L2190">
        <v>4.88</v>
      </c>
      <c r="M2190">
        <v>26</v>
      </c>
      <c r="N2190">
        <v>219</v>
      </c>
      <c r="O2190">
        <v>0</v>
      </c>
      <c r="P2190">
        <v>0</v>
      </c>
      <c r="Q2190">
        <v>0</v>
      </c>
      <c r="R2190">
        <v>0</v>
      </c>
      <c r="S2190">
        <v>0</v>
      </c>
      <c r="T2190" s="4" t="s">
        <v>4490</v>
      </c>
    </row>
    <row r="2191" spans="1:20" x14ac:dyDescent="0.2">
      <c r="A2191" s="4" t="s">
        <v>4240</v>
      </c>
      <c r="B2191" s="4" t="s">
        <v>4241</v>
      </c>
      <c r="C2191" s="4" t="s">
        <v>2096</v>
      </c>
      <c r="D2191" s="4" t="s">
        <v>4172</v>
      </c>
      <c r="E2191" s="4" t="s">
        <v>1063</v>
      </c>
      <c r="F2191" s="4" t="s">
        <v>4492</v>
      </c>
      <c r="G2191" s="4" t="s">
        <v>4156</v>
      </c>
      <c r="H2191" s="4" t="s">
        <v>4188</v>
      </c>
      <c r="I2191" s="4" t="s">
        <v>2100</v>
      </c>
      <c r="J2191" s="4" t="s">
        <v>4193</v>
      </c>
      <c r="K2191">
        <v>16</v>
      </c>
      <c r="L2191">
        <v>4.88</v>
      </c>
      <c r="M2191">
        <v>38</v>
      </c>
      <c r="N2191">
        <v>78</v>
      </c>
      <c r="O2191">
        <v>0</v>
      </c>
      <c r="P2191">
        <v>0</v>
      </c>
      <c r="Q2191">
        <v>0</v>
      </c>
      <c r="R2191">
        <v>0</v>
      </c>
      <c r="S2191">
        <v>0</v>
      </c>
      <c r="T2191" s="4" t="s">
        <v>4493</v>
      </c>
    </row>
    <row r="2192" spans="1:20" x14ac:dyDescent="0.2">
      <c r="A2192" s="4" t="s">
        <v>4245</v>
      </c>
      <c r="B2192" s="4" t="s">
        <v>4241</v>
      </c>
      <c r="C2192" s="4" t="s">
        <v>2096</v>
      </c>
      <c r="D2192" s="4" t="s">
        <v>4172</v>
      </c>
      <c r="E2192" s="4" t="s">
        <v>4494</v>
      </c>
      <c r="F2192" s="4" t="s">
        <v>4492</v>
      </c>
      <c r="G2192" s="4" t="s">
        <v>4156</v>
      </c>
      <c r="H2192" s="4" t="s">
        <v>4188</v>
      </c>
      <c r="I2192" s="4" t="s">
        <v>2100</v>
      </c>
      <c r="J2192" s="4" t="s">
        <v>4193</v>
      </c>
      <c r="K2192">
        <v>16</v>
      </c>
      <c r="L2192">
        <v>4.88</v>
      </c>
      <c r="M2192">
        <v>38</v>
      </c>
      <c r="N2192">
        <v>78</v>
      </c>
      <c r="O2192">
        <v>0</v>
      </c>
      <c r="P2192">
        <v>0</v>
      </c>
      <c r="Q2192">
        <v>0</v>
      </c>
      <c r="R2192">
        <v>0</v>
      </c>
      <c r="S2192">
        <v>0</v>
      </c>
      <c r="T2192" s="4" t="s">
        <v>4493</v>
      </c>
    </row>
    <row r="2193" spans="1:20" x14ac:dyDescent="0.2">
      <c r="A2193" s="4" t="s">
        <v>4240</v>
      </c>
      <c r="B2193" s="4" t="s">
        <v>4247</v>
      </c>
      <c r="C2193" s="4" t="s">
        <v>2096</v>
      </c>
      <c r="D2193" s="4" t="s">
        <v>4172</v>
      </c>
      <c r="E2193" s="4" t="s">
        <v>4495</v>
      </c>
      <c r="F2193" s="4" t="s">
        <v>4496</v>
      </c>
      <c r="G2193" s="4" t="s">
        <v>4156</v>
      </c>
      <c r="H2193" s="4" t="s">
        <v>4188</v>
      </c>
      <c r="I2193" s="4" t="s">
        <v>2100</v>
      </c>
      <c r="J2193" s="4" t="s">
        <v>4189</v>
      </c>
      <c r="K2193">
        <v>16</v>
      </c>
      <c r="L2193">
        <v>4.88</v>
      </c>
      <c r="M2193">
        <v>49</v>
      </c>
      <c r="N2193">
        <v>99</v>
      </c>
      <c r="O2193">
        <v>0</v>
      </c>
      <c r="P2193">
        <v>0</v>
      </c>
      <c r="Q2193">
        <v>0</v>
      </c>
      <c r="R2193">
        <v>0</v>
      </c>
      <c r="S2193">
        <v>0</v>
      </c>
      <c r="T2193" s="4" t="s">
        <v>4497</v>
      </c>
    </row>
    <row r="2194" spans="1:20" x14ac:dyDescent="0.2">
      <c r="A2194" s="4" t="s">
        <v>4245</v>
      </c>
      <c r="B2194" s="4" t="s">
        <v>4247</v>
      </c>
      <c r="C2194" s="4" t="s">
        <v>2096</v>
      </c>
      <c r="D2194" s="4" t="s">
        <v>4172</v>
      </c>
      <c r="E2194" s="4" t="s">
        <v>4498</v>
      </c>
      <c r="F2194" s="4" t="s">
        <v>4496</v>
      </c>
      <c r="G2194" s="4" t="s">
        <v>4156</v>
      </c>
      <c r="H2194" s="4" t="s">
        <v>4188</v>
      </c>
      <c r="I2194" s="4" t="s">
        <v>2100</v>
      </c>
      <c r="J2194" s="4" t="s">
        <v>4189</v>
      </c>
      <c r="K2194">
        <v>16</v>
      </c>
      <c r="L2194">
        <v>4.88</v>
      </c>
      <c r="M2194">
        <v>49</v>
      </c>
      <c r="N2194">
        <v>99</v>
      </c>
      <c r="O2194">
        <v>0</v>
      </c>
      <c r="P2194">
        <v>0</v>
      </c>
      <c r="Q2194">
        <v>0</v>
      </c>
      <c r="R2194">
        <v>0</v>
      </c>
      <c r="S2194">
        <v>0</v>
      </c>
      <c r="T2194" s="4" t="s">
        <v>4497</v>
      </c>
    </row>
    <row r="2195" spans="1:20" x14ac:dyDescent="0.2">
      <c r="A2195" s="4" t="s">
        <v>4240</v>
      </c>
      <c r="B2195" s="4" t="s">
        <v>4182</v>
      </c>
      <c r="C2195" s="4" t="s">
        <v>2096</v>
      </c>
      <c r="D2195" s="4" t="s">
        <v>4172</v>
      </c>
      <c r="E2195" s="4" t="s">
        <v>1071</v>
      </c>
      <c r="F2195" s="4" t="s">
        <v>4499</v>
      </c>
      <c r="G2195" s="4" t="s">
        <v>4156</v>
      </c>
      <c r="H2195" s="4" t="s">
        <v>4185</v>
      </c>
      <c r="I2195" s="4" t="s">
        <v>2100</v>
      </c>
      <c r="J2195" s="4" t="s">
        <v>2518</v>
      </c>
      <c r="K2195">
        <v>16</v>
      </c>
      <c r="L2195">
        <v>4.88</v>
      </c>
      <c r="M2195">
        <v>50</v>
      </c>
      <c r="N2195">
        <v>50</v>
      </c>
      <c r="O2195">
        <v>0</v>
      </c>
      <c r="P2195">
        <v>0</v>
      </c>
      <c r="Q2195">
        <v>0</v>
      </c>
      <c r="R2195">
        <v>0</v>
      </c>
      <c r="S2195">
        <v>0</v>
      </c>
      <c r="T2195" s="4" t="s">
        <v>4500</v>
      </c>
    </row>
    <row r="2196" spans="1:20" x14ac:dyDescent="0.2">
      <c r="A2196" s="4" t="s">
        <v>4245</v>
      </c>
      <c r="B2196" s="4" t="s">
        <v>4182</v>
      </c>
      <c r="C2196" s="4" t="s">
        <v>2096</v>
      </c>
      <c r="D2196" s="4" t="s">
        <v>4172</v>
      </c>
      <c r="E2196" s="4" t="s">
        <v>4501</v>
      </c>
      <c r="F2196" s="4" t="s">
        <v>4499</v>
      </c>
      <c r="G2196" s="4" t="s">
        <v>4156</v>
      </c>
      <c r="H2196" s="4" t="s">
        <v>4185</v>
      </c>
      <c r="I2196" s="4" t="s">
        <v>2100</v>
      </c>
      <c r="J2196" s="4" t="s">
        <v>2518</v>
      </c>
      <c r="K2196">
        <v>16</v>
      </c>
      <c r="L2196">
        <v>4.88</v>
      </c>
      <c r="M2196">
        <v>50</v>
      </c>
      <c r="N2196">
        <v>50</v>
      </c>
      <c r="O2196">
        <v>0</v>
      </c>
      <c r="P2196">
        <v>0</v>
      </c>
      <c r="Q2196">
        <v>0</v>
      </c>
      <c r="R2196">
        <v>0</v>
      </c>
      <c r="S2196">
        <v>0</v>
      </c>
      <c r="T2196" s="4" t="s">
        <v>4500</v>
      </c>
    </row>
    <row r="2197" spans="1:20" x14ac:dyDescent="0.2">
      <c r="A2197" s="4" t="s">
        <v>4240</v>
      </c>
      <c r="B2197" s="4" t="s">
        <v>4200</v>
      </c>
      <c r="C2197" s="4" t="s">
        <v>2096</v>
      </c>
      <c r="D2197" s="4" t="s">
        <v>4172</v>
      </c>
      <c r="E2197" s="4" t="s">
        <v>4502</v>
      </c>
      <c r="F2197" s="4" t="s">
        <v>4503</v>
      </c>
      <c r="G2197" s="4" t="s">
        <v>4156</v>
      </c>
      <c r="H2197" s="4" t="s">
        <v>2082</v>
      </c>
      <c r="I2197" s="4" t="s">
        <v>2100</v>
      </c>
      <c r="J2197" s="4" t="s">
        <v>2153</v>
      </c>
      <c r="K2197">
        <v>16</v>
      </c>
      <c r="L2197">
        <v>4.88</v>
      </c>
      <c r="M2197">
        <v>25</v>
      </c>
      <c r="N2197">
        <v>142</v>
      </c>
      <c r="O2197">
        <v>0</v>
      </c>
      <c r="P2197">
        <v>0</v>
      </c>
      <c r="Q2197">
        <v>0</v>
      </c>
      <c r="R2197">
        <v>0</v>
      </c>
      <c r="S2197">
        <v>0</v>
      </c>
      <c r="T2197" s="4" t="s">
        <v>4504</v>
      </c>
    </row>
    <row r="2198" spans="1:20" x14ac:dyDescent="0.2">
      <c r="A2198" s="4" t="s">
        <v>4240</v>
      </c>
      <c r="B2198" s="4" t="s">
        <v>4258</v>
      </c>
      <c r="C2198" s="4" t="s">
        <v>2096</v>
      </c>
      <c r="D2198" s="4" t="s">
        <v>4172</v>
      </c>
      <c r="E2198" s="4" t="s">
        <v>4505</v>
      </c>
      <c r="F2198" s="4" t="s">
        <v>4506</v>
      </c>
      <c r="G2198" s="4" t="s">
        <v>4156</v>
      </c>
      <c r="H2198" s="4" t="s">
        <v>2082</v>
      </c>
      <c r="I2198" s="4" t="s">
        <v>2100</v>
      </c>
      <c r="J2198" s="4" t="s">
        <v>4197</v>
      </c>
      <c r="K2198">
        <v>16</v>
      </c>
      <c r="L2198">
        <v>4.88</v>
      </c>
      <c r="M2198">
        <v>26</v>
      </c>
      <c r="N2198">
        <v>176</v>
      </c>
      <c r="O2198">
        <v>0</v>
      </c>
      <c r="P2198">
        <v>0</v>
      </c>
      <c r="Q2198">
        <v>0</v>
      </c>
      <c r="R2198">
        <v>0</v>
      </c>
      <c r="S2198">
        <v>0</v>
      </c>
      <c r="T2198" s="4" t="s">
        <v>4507</v>
      </c>
    </row>
    <row r="2199" spans="1:20" x14ac:dyDescent="0.2">
      <c r="A2199" s="4" t="s">
        <v>4245</v>
      </c>
      <c r="B2199" s="4" t="s">
        <v>4258</v>
      </c>
      <c r="C2199" s="4" t="s">
        <v>2096</v>
      </c>
      <c r="D2199" s="4" t="s">
        <v>4172</v>
      </c>
      <c r="E2199" s="4" t="s">
        <v>4508</v>
      </c>
      <c r="F2199" s="4" t="s">
        <v>4506</v>
      </c>
      <c r="G2199" s="4" t="s">
        <v>4156</v>
      </c>
      <c r="H2199" s="4" t="s">
        <v>2082</v>
      </c>
      <c r="I2199" s="4" t="s">
        <v>2100</v>
      </c>
      <c r="J2199" s="4" t="s">
        <v>4197</v>
      </c>
      <c r="K2199">
        <v>16</v>
      </c>
      <c r="L2199">
        <v>4.88</v>
      </c>
      <c r="M2199">
        <v>26</v>
      </c>
      <c r="N2199">
        <v>176</v>
      </c>
      <c r="O2199">
        <v>0</v>
      </c>
      <c r="P2199">
        <v>0</v>
      </c>
      <c r="Q2199">
        <v>0</v>
      </c>
      <c r="R2199">
        <v>0</v>
      </c>
      <c r="S2199">
        <v>0</v>
      </c>
      <c r="T2199" s="4" t="s">
        <v>4507</v>
      </c>
    </row>
    <row r="2200" spans="1:20" x14ac:dyDescent="0.2">
      <c r="A2200" s="4" t="s">
        <v>4240</v>
      </c>
      <c r="B2200" s="4" t="s">
        <v>4262</v>
      </c>
      <c r="C2200" s="4" t="s">
        <v>2096</v>
      </c>
      <c r="D2200" s="4" t="s">
        <v>4172</v>
      </c>
      <c r="E2200" s="4" t="s">
        <v>1053</v>
      </c>
      <c r="F2200" s="4" t="s">
        <v>4509</v>
      </c>
      <c r="G2200" s="4" t="s">
        <v>4156</v>
      </c>
      <c r="H2200" s="4" t="s">
        <v>2082</v>
      </c>
      <c r="I2200" s="4" t="s">
        <v>2100</v>
      </c>
      <c r="J2200" s="4" t="s">
        <v>2432</v>
      </c>
      <c r="K2200">
        <v>16</v>
      </c>
      <c r="L2200">
        <v>4.88</v>
      </c>
      <c r="M2200">
        <v>25</v>
      </c>
      <c r="N2200">
        <v>222</v>
      </c>
      <c r="O2200">
        <v>0</v>
      </c>
      <c r="P2200">
        <v>0</v>
      </c>
      <c r="Q2200">
        <v>0</v>
      </c>
      <c r="R2200">
        <v>0</v>
      </c>
      <c r="S2200">
        <v>0</v>
      </c>
      <c r="T2200" s="4" t="s">
        <v>4510</v>
      </c>
    </row>
    <row r="2201" spans="1:20" x14ac:dyDescent="0.2">
      <c r="A2201" s="4" t="s">
        <v>4245</v>
      </c>
      <c r="B2201" s="4" t="s">
        <v>4262</v>
      </c>
      <c r="C2201" s="4" t="s">
        <v>2096</v>
      </c>
      <c r="D2201" s="4" t="s">
        <v>4172</v>
      </c>
      <c r="E2201" s="4" t="s">
        <v>4511</v>
      </c>
      <c r="F2201" s="4" t="s">
        <v>4509</v>
      </c>
      <c r="G2201" s="4" t="s">
        <v>4156</v>
      </c>
      <c r="H2201" s="4" t="s">
        <v>2082</v>
      </c>
      <c r="I2201" s="4" t="s">
        <v>2100</v>
      </c>
      <c r="J2201" s="4" t="s">
        <v>2432</v>
      </c>
      <c r="K2201">
        <v>16</v>
      </c>
      <c r="L2201">
        <v>4.88</v>
      </c>
      <c r="M2201">
        <v>26</v>
      </c>
      <c r="N2201">
        <v>219</v>
      </c>
      <c r="O2201">
        <v>0</v>
      </c>
      <c r="P2201">
        <v>0</v>
      </c>
      <c r="Q2201">
        <v>0</v>
      </c>
      <c r="R2201">
        <v>0</v>
      </c>
      <c r="S2201">
        <v>0</v>
      </c>
      <c r="T2201" s="4" t="s">
        <v>4510</v>
      </c>
    </row>
    <row r="2202" spans="1:20" x14ac:dyDescent="0.2">
      <c r="A2202" s="4" t="s">
        <v>4170</v>
      </c>
      <c r="B2202" s="4" t="s">
        <v>4191</v>
      </c>
      <c r="C2202" s="4" t="s">
        <v>2096</v>
      </c>
      <c r="D2202" s="4" t="s">
        <v>4172</v>
      </c>
      <c r="E2202" s="4" t="s">
        <v>1041</v>
      </c>
      <c r="F2202" s="4" t="s">
        <v>4512</v>
      </c>
      <c r="G2202" s="4" t="s">
        <v>4513</v>
      </c>
      <c r="H2202" s="4" t="s">
        <v>2082</v>
      </c>
      <c r="I2202" s="4" t="s">
        <v>2100</v>
      </c>
      <c r="J2202" s="4" t="s">
        <v>4197</v>
      </c>
      <c r="K2202">
        <v>16</v>
      </c>
      <c r="L2202">
        <v>4.88</v>
      </c>
      <c r="M2202">
        <v>26</v>
      </c>
      <c r="N2202">
        <v>176</v>
      </c>
      <c r="O2202">
        <v>0</v>
      </c>
      <c r="P2202">
        <v>0</v>
      </c>
      <c r="Q2202">
        <v>0</v>
      </c>
      <c r="R2202">
        <v>0</v>
      </c>
      <c r="S2202">
        <v>0</v>
      </c>
      <c r="T2202" s="4" t="s">
        <v>4514</v>
      </c>
    </row>
    <row r="2203" spans="1:20" x14ac:dyDescent="0.2">
      <c r="A2203" s="4" t="s">
        <v>4223</v>
      </c>
      <c r="B2203" s="4" t="s">
        <v>4515</v>
      </c>
      <c r="C2203" s="4" t="s">
        <v>2096</v>
      </c>
      <c r="D2203" s="4" t="s">
        <v>4172</v>
      </c>
      <c r="E2203" s="4" t="s">
        <v>4516</v>
      </c>
      <c r="F2203" s="4" t="s">
        <v>4517</v>
      </c>
      <c r="G2203" s="4" t="s">
        <v>4518</v>
      </c>
      <c r="H2203" s="4" t="s">
        <v>4408</v>
      </c>
      <c r="I2203" s="4" t="s">
        <v>2100</v>
      </c>
      <c r="J2203" s="4" t="s">
        <v>2432</v>
      </c>
      <c r="K2203">
        <v>12</v>
      </c>
      <c r="L2203">
        <v>3.66</v>
      </c>
      <c r="M2203">
        <v>14</v>
      </c>
      <c r="N2203">
        <v>185</v>
      </c>
      <c r="O2203">
        <v>0</v>
      </c>
      <c r="P2203">
        <v>0</v>
      </c>
      <c r="Q2203">
        <v>0</v>
      </c>
      <c r="R2203">
        <v>0</v>
      </c>
      <c r="S2203">
        <v>0</v>
      </c>
      <c r="T2203" s="4" t="s">
        <v>4519</v>
      </c>
    </row>
    <row r="2204" spans="1:20" x14ac:dyDescent="0.2">
      <c r="A2204" s="4" t="s">
        <v>4170</v>
      </c>
      <c r="B2204" s="4" t="s">
        <v>4176</v>
      </c>
      <c r="C2204" s="4" t="s">
        <v>2096</v>
      </c>
      <c r="D2204" s="4" t="s">
        <v>4172</v>
      </c>
      <c r="E2204" s="4" t="s">
        <v>4520</v>
      </c>
      <c r="F2204" s="4" t="s">
        <v>4521</v>
      </c>
      <c r="G2204" s="4" t="s">
        <v>4522</v>
      </c>
      <c r="H2204" s="4" t="s">
        <v>2082</v>
      </c>
      <c r="I2204" s="4" t="s">
        <v>2100</v>
      </c>
      <c r="J2204" s="4" t="s">
        <v>2153</v>
      </c>
      <c r="K2204">
        <v>16</v>
      </c>
      <c r="L2204">
        <v>4.88</v>
      </c>
      <c r="M2204">
        <v>12</v>
      </c>
      <c r="N2204">
        <v>140</v>
      </c>
      <c r="O2204">
        <v>0</v>
      </c>
      <c r="P2204">
        <v>0</v>
      </c>
      <c r="Q2204">
        <v>0</v>
      </c>
      <c r="R2204">
        <v>0</v>
      </c>
      <c r="S2204">
        <v>0</v>
      </c>
      <c r="T2204" s="4" t="s">
        <v>4523</v>
      </c>
    </row>
    <row r="2205" spans="1:20" x14ac:dyDescent="0.2">
      <c r="A2205" s="4" t="s">
        <v>4240</v>
      </c>
      <c r="B2205" s="4" t="s">
        <v>4524</v>
      </c>
      <c r="C2205" s="4" t="s">
        <v>2096</v>
      </c>
      <c r="D2205" s="4" t="s">
        <v>4172</v>
      </c>
      <c r="E2205" s="4" t="s">
        <v>1075</v>
      </c>
      <c r="F2205" s="4" t="s">
        <v>4525</v>
      </c>
      <c r="G2205" s="4" t="s">
        <v>4526</v>
      </c>
      <c r="H2205" s="4" t="s">
        <v>2082</v>
      </c>
      <c r="I2205" s="4" t="s">
        <v>2100</v>
      </c>
      <c r="J2205" s="4" t="s">
        <v>4527</v>
      </c>
      <c r="K2205">
        <v>16</v>
      </c>
      <c r="L2205">
        <v>4.88</v>
      </c>
      <c r="M2205">
        <v>23</v>
      </c>
      <c r="N2205">
        <v>140</v>
      </c>
      <c r="O2205">
        <v>0</v>
      </c>
      <c r="P2205">
        <v>0</v>
      </c>
      <c r="Q2205">
        <v>0</v>
      </c>
      <c r="R2205">
        <v>0</v>
      </c>
      <c r="S2205">
        <v>0</v>
      </c>
      <c r="T2205" s="4" t="s">
        <v>4528</v>
      </c>
    </row>
    <row r="2206" spans="1:20" x14ac:dyDescent="0.2">
      <c r="A2206" s="4" t="s">
        <v>4529</v>
      </c>
      <c r="B2206" s="4" t="s">
        <v>1984</v>
      </c>
      <c r="C2206" s="4" t="s">
        <v>4529</v>
      </c>
      <c r="D2206" s="4" t="s">
        <v>4530</v>
      </c>
      <c r="E2206" s="4" t="s">
        <v>4531</v>
      </c>
      <c r="F2206" s="4" t="s">
        <v>1984</v>
      </c>
      <c r="G2206" s="4" t="s">
        <v>1984</v>
      </c>
      <c r="H2206" s="4" t="s">
        <v>2100</v>
      </c>
      <c r="I2206" s="4" t="s">
        <v>2100</v>
      </c>
      <c r="J2206" s="4" t="s">
        <v>4532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 s="4" t="s">
        <v>4533</v>
      </c>
    </row>
    <row r="2207" spans="1:20" x14ac:dyDescent="0.2">
      <c r="A2207" s="4" t="s">
        <v>4529</v>
      </c>
      <c r="B2207" s="4" t="s">
        <v>1984</v>
      </c>
      <c r="C2207" s="4" t="s">
        <v>4529</v>
      </c>
      <c r="D2207" s="4" t="s">
        <v>4530</v>
      </c>
      <c r="E2207" s="4" t="s">
        <v>4534</v>
      </c>
      <c r="F2207" s="4" t="s">
        <v>1984</v>
      </c>
      <c r="G2207" s="4" t="s">
        <v>1984</v>
      </c>
      <c r="H2207" s="4" t="s">
        <v>2100</v>
      </c>
      <c r="I2207" s="4" t="s">
        <v>2100</v>
      </c>
      <c r="J2207" s="4" t="s">
        <v>4532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 s="4" t="s">
        <v>4533</v>
      </c>
    </row>
    <row r="2208" spans="1:20" x14ac:dyDescent="0.2">
      <c r="A2208" s="4" t="s">
        <v>4529</v>
      </c>
      <c r="B2208" s="4" t="s">
        <v>1984</v>
      </c>
      <c r="C2208" s="4" t="s">
        <v>4529</v>
      </c>
      <c r="D2208" s="4" t="s">
        <v>4530</v>
      </c>
      <c r="E2208" s="4" t="s">
        <v>2015</v>
      </c>
      <c r="F2208" s="4" t="s">
        <v>1984</v>
      </c>
      <c r="G2208" s="4" t="s">
        <v>1984</v>
      </c>
      <c r="H2208" s="4" t="s">
        <v>2100</v>
      </c>
      <c r="I2208" s="4" t="s">
        <v>2100</v>
      </c>
      <c r="J2208" s="4" t="s">
        <v>4532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 s="4" t="s">
        <v>4533</v>
      </c>
    </row>
    <row r="2209" spans="1:20" x14ac:dyDescent="0.2">
      <c r="A2209" s="4" t="s">
        <v>4529</v>
      </c>
      <c r="B2209" s="4" t="s">
        <v>1984</v>
      </c>
      <c r="C2209" s="4" t="s">
        <v>4529</v>
      </c>
      <c r="D2209" s="4" t="s">
        <v>4530</v>
      </c>
      <c r="E2209" s="4" t="s">
        <v>1095</v>
      </c>
      <c r="F2209" s="4" t="s">
        <v>1984</v>
      </c>
      <c r="G2209" s="4" t="s">
        <v>1984</v>
      </c>
      <c r="H2209" s="4" t="s">
        <v>2100</v>
      </c>
      <c r="I2209" s="4" t="s">
        <v>2100</v>
      </c>
      <c r="J2209" s="4" t="s">
        <v>4532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 s="4" t="s">
        <v>4533</v>
      </c>
    </row>
    <row r="2210" spans="1:20" x14ac:dyDescent="0.2">
      <c r="A2210" s="4" t="s">
        <v>4529</v>
      </c>
      <c r="B2210" s="4" t="s">
        <v>1984</v>
      </c>
      <c r="C2210" s="4" t="s">
        <v>4529</v>
      </c>
      <c r="D2210" s="4" t="s">
        <v>4530</v>
      </c>
      <c r="E2210" s="4" t="s">
        <v>1097</v>
      </c>
      <c r="F2210" s="4" t="s">
        <v>1984</v>
      </c>
      <c r="G2210" s="4" t="s">
        <v>1984</v>
      </c>
      <c r="H2210" s="4" t="s">
        <v>2100</v>
      </c>
      <c r="I2210" s="4" t="s">
        <v>2100</v>
      </c>
      <c r="J2210" s="4" t="s">
        <v>4532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 s="4" t="s">
        <v>4533</v>
      </c>
    </row>
    <row r="2211" spans="1:20" x14ac:dyDescent="0.2">
      <c r="A2211" s="4" t="s">
        <v>4529</v>
      </c>
      <c r="B2211" s="4" t="s">
        <v>1984</v>
      </c>
      <c r="C2211" s="4" t="s">
        <v>4529</v>
      </c>
      <c r="D2211" s="4" t="s">
        <v>4530</v>
      </c>
      <c r="E2211" s="4" t="s">
        <v>1904</v>
      </c>
      <c r="F2211" s="4" t="s">
        <v>1984</v>
      </c>
      <c r="G2211" s="4" t="s">
        <v>1984</v>
      </c>
      <c r="H2211" s="4" t="s">
        <v>2100</v>
      </c>
      <c r="I2211" s="4" t="s">
        <v>2100</v>
      </c>
      <c r="J2211" s="4" t="s">
        <v>4532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 s="4" t="s">
        <v>4533</v>
      </c>
    </row>
    <row r="2212" spans="1:20" x14ac:dyDescent="0.2">
      <c r="A2212" s="4" t="s">
        <v>4529</v>
      </c>
      <c r="B2212" s="4" t="s">
        <v>1984</v>
      </c>
      <c r="C2212" s="4" t="s">
        <v>4529</v>
      </c>
      <c r="D2212" s="4" t="s">
        <v>4530</v>
      </c>
      <c r="E2212" s="4" t="s">
        <v>2037</v>
      </c>
      <c r="F2212" s="4" t="s">
        <v>1984</v>
      </c>
      <c r="G2212" s="4" t="s">
        <v>1984</v>
      </c>
      <c r="H2212" s="4" t="s">
        <v>2100</v>
      </c>
      <c r="I2212" s="4" t="s">
        <v>2100</v>
      </c>
      <c r="J2212" s="4" t="s">
        <v>4532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 s="4" t="s">
        <v>4533</v>
      </c>
    </row>
    <row r="2213" spans="1:20" x14ac:dyDescent="0.2">
      <c r="A2213" s="4" t="s">
        <v>4529</v>
      </c>
      <c r="B2213" s="4" t="s">
        <v>1984</v>
      </c>
      <c r="C2213" s="4" t="s">
        <v>4529</v>
      </c>
      <c r="D2213" s="4" t="s">
        <v>4530</v>
      </c>
      <c r="E2213" s="4" t="s">
        <v>2069</v>
      </c>
      <c r="F2213" s="4" t="s">
        <v>1984</v>
      </c>
      <c r="G2213" s="4" t="s">
        <v>1984</v>
      </c>
      <c r="H2213" s="4" t="s">
        <v>2100</v>
      </c>
      <c r="I2213" s="4" t="s">
        <v>2100</v>
      </c>
      <c r="J2213" s="4" t="s">
        <v>4532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 s="4" t="s">
        <v>4533</v>
      </c>
    </row>
    <row r="2214" spans="1:20" x14ac:dyDescent="0.2">
      <c r="A2214" s="4" t="s">
        <v>4529</v>
      </c>
      <c r="B2214" s="4" t="s">
        <v>1984</v>
      </c>
      <c r="C2214" s="4" t="s">
        <v>4529</v>
      </c>
      <c r="D2214" s="4" t="s">
        <v>4530</v>
      </c>
      <c r="E2214" s="4" t="s">
        <v>2042</v>
      </c>
      <c r="F2214" s="4" t="s">
        <v>1984</v>
      </c>
      <c r="G2214" s="4" t="s">
        <v>1984</v>
      </c>
      <c r="H2214" s="4" t="s">
        <v>2100</v>
      </c>
      <c r="I2214" s="4" t="s">
        <v>2100</v>
      </c>
      <c r="J2214" s="4" t="s">
        <v>4532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 s="4" t="s">
        <v>4533</v>
      </c>
    </row>
    <row r="2215" spans="1:20" x14ac:dyDescent="0.2">
      <c r="A2215" s="4" t="s">
        <v>4529</v>
      </c>
      <c r="B2215" s="4" t="s">
        <v>4535</v>
      </c>
      <c r="C2215" s="4" t="s">
        <v>4529</v>
      </c>
      <c r="D2215" s="4" t="s">
        <v>4530</v>
      </c>
      <c r="E2215" s="4" t="s">
        <v>4536</v>
      </c>
      <c r="F2215" s="4" t="s">
        <v>4537</v>
      </c>
      <c r="G2215" s="4" t="s">
        <v>4537</v>
      </c>
      <c r="H2215" s="4" t="s">
        <v>2100</v>
      </c>
      <c r="I2215" s="4" t="s">
        <v>2100</v>
      </c>
      <c r="J2215" s="4" t="s">
        <v>4532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 s="4" t="s">
        <v>4538</v>
      </c>
    </row>
    <row r="2216" spans="1:20" x14ac:dyDescent="0.2">
      <c r="A2216" s="4" t="s">
        <v>4529</v>
      </c>
      <c r="B2216" s="4" t="s">
        <v>4535</v>
      </c>
      <c r="C2216" s="4" t="s">
        <v>4529</v>
      </c>
      <c r="D2216" s="4" t="s">
        <v>4530</v>
      </c>
      <c r="E2216" s="4" t="s">
        <v>4539</v>
      </c>
      <c r="F2216" s="4" t="s">
        <v>4537</v>
      </c>
      <c r="G2216" s="4" t="s">
        <v>4537</v>
      </c>
      <c r="H2216" s="4" t="s">
        <v>2100</v>
      </c>
      <c r="I2216" s="4" t="s">
        <v>2100</v>
      </c>
      <c r="J2216" s="4" t="s">
        <v>4532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 s="4" t="s">
        <v>4538</v>
      </c>
    </row>
    <row r="2217" spans="1:20" x14ac:dyDescent="0.2">
      <c r="A2217" s="4" t="s">
        <v>4529</v>
      </c>
      <c r="B2217" s="4" t="s">
        <v>4535</v>
      </c>
      <c r="C2217" s="4" t="s">
        <v>4529</v>
      </c>
      <c r="D2217" s="4" t="s">
        <v>4530</v>
      </c>
      <c r="E2217" s="4" t="s">
        <v>4540</v>
      </c>
      <c r="F2217" s="4" t="s">
        <v>4537</v>
      </c>
      <c r="G2217" s="4" t="s">
        <v>4537</v>
      </c>
      <c r="H2217" s="4" t="s">
        <v>2100</v>
      </c>
      <c r="I2217" s="4" t="s">
        <v>2100</v>
      </c>
      <c r="J2217" s="4" t="s">
        <v>4532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 s="4" t="s">
        <v>4538</v>
      </c>
    </row>
    <row r="2218" spans="1:20" x14ac:dyDescent="0.2">
      <c r="A2218" s="4" t="s">
        <v>4529</v>
      </c>
      <c r="B2218" s="4" t="s">
        <v>4541</v>
      </c>
      <c r="C2218" s="4" t="s">
        <v>4529</v>
      </c>
      <c r="D2218" s="4" t="s">
        <v>4530</v>
      </c>
      <c r="E2218" s="4" t="s">
        <v>4542</v>
      </c>
      <c r="F2218" s="4" t="s">
        <v>4543</v>
      </c>
      <c r="G2218" s="4" t="s">
        <v>4543</v>
      </c>
      <c r="H2218" s="4" t="s">
        <v>2100</v>
      </c>
      <c r="I2218" s="4" t="s">
        <v>2100</v>
      </c>
      <c r="J2218" s="4" t="s">
        <v>4532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 s="4" t="s">
        <v>4544</v>
      </c>
    </row>
    <row r="2219" spans="1:20" x14ac:dyDescent="0.2">
      <c r="A2219" s="4" t="s">
        <v>4529</v>
      </c>
      <c r="B2219" s="4" t="s">
        <v>4541</v>
      </c>
      <c r="C2219" s="4" t="s">
        <v>4529</v>
      </c>
      <c r="D2219" s="4" t="s">
        <v>4530</v>
      </c>
      <c r="E2219" s="4" t="s">
        <v>4545</v>
      </c>
      <c r="F2219" s="4" t="s">
        <v>4543</v>
      </c>
      <c r="G2219" s="4" t="s">
        <v>4543</v>
      </c>
      <c r="H2219" s="4" t="s">
        <v>2100</v>
      </c>
      <c r="I2219" s="4" t="s">
        <v>2100</v>
      </c>
      <c r="J2219" s="4" t="s">
        <v>4532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 s="4" t="s">
        <v>4544</v>
      </c>
    </row>
    <row r="2220" spans="1:20" x14ac:dyDescent="0.2">
      <c r="A2220" s="4" t="s">
        <v>4529</v>
      </c>
      <c r="B2220" s="4" t="s">
        <v>4541</v>
      </c>
      <c r="C2220" s="4" t="s">
        <v>4529</v>
      </c>
      <c r="D2220" s="4" t="s">
        <v>4530</v>
      </c>
      <c r="E2220" s="4" t="s">
        <v>4546</v>
      </c>
      <c r="F2220" s="4" t="s">
        <v>4543</v>
      </c>
      <c r="G2220" s="4" t="s">
        <v>4543</v>
      </c>
      <c r="H2220" s="4" t="s">
        <v>2100</v>
      </c>
      <c r="I2220" s="4" t="s">
        <v>2100</v>
      </c>
      <c r="J2220" s="4" t="s">
        <v>4532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 s="4" t="s">
        <v>4544</v>
      </c>
    </row>
    <row r="2221" spans="1:20" x14ac:dyDescent="0.2">
      <c r="A2221" s="4" t="s">
        <v>4529</v>
      </c>
      <c r="B2221" s="4" t="s">
        <v>4541</v>
      </c>
      <c r="C2221" s="4" t="s">
        <v>4529</v>
      </c>
      <c r="D2221" s="4" t="s">
        <v>4530</v>
      </c>
      <c r="E2221" s="4" t="s">
        <v>4547</v>
      </c>
      <c r="F2221" s="4" t="s">
        <v>4543</v>
      </c>
      <c r="G2221" s="4" t="s">
        <v>4543</v>
      </c>
      <c r="H2221" s="4" t="s">
        <v>2100</v>
      </c>
      <c r="I2221" s="4" t="s">
        <v>2100</v>
      </c>
      <c r="J2221" s="4" t="s">
        <v>4532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 s="4" t="s">
        <v>4544</v>
      </c>
    </row>
    <row r="2222" spans="1:20" x14ac:dyDescent="0.2">
      <c r="A2222" s="4" t="s">
        <v>4529</v>
      </c>
      <c r="B2222" s="4" t="s">
        <v>4541</v>
      </c>
      <c r="C2222" s="4" t="s">
        <v>4529</v>
      </c>
      <c r="D2222" s="4" t="s">
        <v>4530</v>
      </c>
      <c r="E2222" s="4" t="s">
        <v>4548</v>
      </c>
      <c r="F2222" s="4" t="s">
        <v>4543</v>
      </c>
      <c r="G2222" s="4" t="s">
        <v>4543</v>
      </c>
      <c r="H2222" s="4" t="s">
        <v>2100</v>
      </c>
      <c r="I2222" s="4" t="s">
        <v>2100</v>
      </c>
      <c r="J2222" s="4" t="s">
        <v>4532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 s="4" t="s">
        <v>4544</v>
      </c>
    </row>
    <row r="2223" spans="1:20" x14ac:dyDescent="0.2">
      <c r="A2223" s="4" t="s">
        <v>4529</v>
      </c>
      <c r="B2223" s="4" t="s">
        <v>4541</v>
      </c>
      <c r="C2223" s="4" t="s">
        <v>4529</v>
      </c>
      <c r="D2223" s="4" t="s">
        <v>4530</v>
      </c>
      <c r="E2223" s="4" t="s">
        <v>4549</v>
      </c>
      <c r="F2223" s="4" t="s">
        <v>4543</v>
      </c>
      <c r="G2223" s="4" t="s">
        <v>4543</v>
      </c>
      <c r="H2223" s="4" t="s">
        <v>2100</v>
      </c>
      <c r="I2223" s="4" t="s">
        <v>2100</v>
      </c>
      <c r="J2223" s="4" t="s">
        <v>4532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 s="4" t="s">
        <v>4544</v>
      </c>
    </row>
    <row r="2224" spans="1:20" x14ac:dyDescent="0.2">
      <c r="A2224" s="4" t="s">
        <v>4529</v>
      </c>
      <c r="B2224" s="4" t="s">
        <v>4541</v>
      </c>
      <c r="C2224" s="4" t="s">
        <v>4529</v>
      </c>
      <c r="D2224" s="4" t="s">
        <v>4530</v>
      </c>
      <c r="E2224" s="4" t="s">
        <v>4550</v>
      </c>
      <c r="F2224" s="4" t="s">
        <v>4543</v>
      </c>
      <c r="G2224" s="4" t="s">
        <v>4543</v>
      </c>
      <c r="H2224" s="4" t="s">
        <v>2100</v>
      </c>
      <c r="I2224" s="4" t="s">
        <v>2100</v>
      </c>
      <c r="J2224" s="4" t="s">
        <v>4532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s="4" t="s">
        <v>4544</v>
      </c>
    </row>
    <row r="2225" spans="1:20" x14ac:dyDescent="0.2">
      <c r="A2225" s="4" t="s">
        <v>4529</v>
      </c>
      <c r="B2225" s="4" t="s">
        <v>4541</v>
      </c>
      <c r="C2225" s="4" t="s">
        <v>4529</v>
      </c>
      <c r="D2225" s="4" t="s">
        <v>4530</v>
      </c>
      <c r="E2225" s="4" t="s">
        <v>4551</v>
      </c>
      <c r="F2225" s="4" t="s">
        <v>4543</v>
      </c>
      <c r="G2225" s="4" t="s">
        <v>4543</v>
      </c>
      <c r="H2225" s="4" t="s">
        <v>2100</v>
      </c>
      <c r="I2225" s="4" t="s">
        <v>2100</v>
      </c>
      <c r="J2225" s="4" t="s">
        <v>4532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 s="4" t="s">
        <v>4544</v>
      </c>
    </row>
    <row r="2226" spans="1:20" x14ac:dyDescent="0.2">
      <c r="A2226" s="4" t="s">
        <v>4529</v>
      </c>
      <c r="B2226" s="4" t="s">
        <v>4541</v>
      </c>
      <c r="C2226" s="4" t="s">
        <v>4529</v>
      </c>
      <c r="D2226" s="4" t="s">
        <v>4530</v>
      </c>
      <c r="E2226" s="4" t="s">
        <v>4552</v>
      </c>
      <c r="F2226" s="4" t="s">
        <v>4543</v>
      </c>
      <c r="G2226" s="4" t="s">
        <v>4543</v>
      </c>
      <c r="H2226" s="4" t="s">
        <v>2100</v>
      </c>
      <c r="I2226" s="4" t="s">
        <v>2100</v>
      </c>
      <c r="J2226" s="4" t="s">
        <v>4532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 s="4" t="s">
        <v>4544</v>
      </c>
    </row>
    <row r="2227" spans="1:20" x14ac:dyDescent="0.2">
      <c r="A2227" s="4" t="s">
        <v>4529</v>
      </c>
      <c r="B2227" s="4" t="s">
        <v>4541</v>
      </c>
      <c r="C2227" s="4" t="s">
        <v>4529</v>
      </c>
      <c r="D2227" s="4" t="s">
        <v>4530</v>
      </c>
      <c r="E2227" s="4" t="s">
        <v>4553</v>
      </c>
      <c r="F2227" s="4" t="s">
        <v>4543</v>
      </c>
      <c r="G2227" s="4" t="s">
        <v>4543</v>
      </c>
      <c r="H2227" s="4" t="s">
        <v>2100</v>
      </c>
      <c r="I2227" s="4" t="s">
        <v>2100</v>
      </c>
      <c r="J2227" s="4" t="s">
        <v>4532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 s="4" t="s">
        <v>4544</v>
      </c>
    </row>
    <row r="2228" spans="1:20" x14ac:dyDescent="0.2">
      <c r="A2228" s="4" t="s">
        <v>4529</v>
      </c>
      <c r="B2228" s="4" t="s">
        <v>4541</v>
      </c>
      <c r="C2228" s="4" t="s">
        <v>4529</v>
      </c>
      <c r="D2228" s="4" t="s">
        <v>4530</v>
      </c>
      <c r="E2228" s="4" t="s">
        <v>4554</v>
      </c>
      <c r="F2228" s="4" t="s">
        <v>4543</v>
      </c>
      <c r="G2228" s="4" t="s">
        <v>4543</v>
      </c>
      <c r="H2228" s="4" t="s">
        <v>2100</v>
      </c>
      <c r="I2228" s="4" t="s">
        <v>2100</v>
      </c>
      <c r="J2228" s="4" t="s">
        <v>4532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 s="4" t="s">
        <v>4544</v>
      </c>
    </row>
    <row r="2229" spans="1:20" x14ac:dyDescent="0.2">
      <c r="A2229" s="4" t="s">
        <v>4529</v>
      </c>
      <c r="B2229" s="4" t="s">
        <v>4541</v>
      </c>
      <c r="C2229" s="4" t="s">
        <v>4529</v>
      </c>
      <c r="D2229" s="4" t="s">
        <v>4530</v>
      </c>
      <c r="E2229" s="4" t="s">
        <v>4555</v>
      </c>
      <c r="F2229" s="4" t="s">
        <v>4543</v>
      </c>
      <c r="G2229" s="4" t="s">
        <v>4543</v>
      </c>
      <c r="H2229" s="4" t="s">
        <v>2100</v>
      </c>
      <c r="I2229" s="4" t="s">
        <v>2100</v>
      </c>
      <c r="J2229" s="4" t="s">
        <v>4532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 s="4" t="s">
        <v>4544</v>
      </c>
    </row>
    <row r="2230" spans="1:20" x14ac:dyDescent="0.2">
      <c r="A2230" s="4" t="s">
        <v>4529</v>
      </c>
      <c r="B2230" s="4" t="s">
        <v>4541</v>
      </c>
      <c r="C2230" s="4" t="s">
        <v>4529</v>
      </c>
      <c r="D2230" s="4" t="s">
        <v>4530</v>
      </c>
      <c r="E2230" s="4" t="s">
        <v>4556</v>
      </c>
      <c r="F2230" s="4" t="s">
        <v>4543</v>
      </c>
      <c r="G2230" s="4" t="s">
        <v>4543</v>
      </c>
      <c r="H2230" s="4" t="s">
        <v>2100</v>
      </c>
      <c r="I2230" s="4" t="s">
        <v>2100</v>
      </c>
      <c r="J2230" s="4" t="s">
        <v>4532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 s="4" t="s">
        <v>4544</v>
      </c>
    </row>
    <row r="2231" spans="1:20" x14ac:dyDescent="0.2">
      <c r="A2231" s="4" t="s">
        <v>4529</v>
      </c>
      <c r="B2231" s="4" t="s">
        <v>4541</v>
      </c>
      <c r="C2231" s="4" t="s">
        <v>4529</v>
      </c>
      <c r="D2231" s="4" t="s">
        <v>4530</v>
      </c>
      <c r="E2231" s="4" t="s">
        <v>4557</v>
      </c>
      <c r="F2231" s="4" t="s">
        <v>4543</v>
      </c>
      <c r="G2231" s="4" t="s">
        <v>4543</v>
      </c>
      <c r="H2231" s="4" t="s">
        <v>2100</v>
      </c>
      <c r="I2231" s="4" t="s">
        <v>2100</v>
      </c>
      <c r="J2231" s="4" t="s">
        <v>4532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 s="4" t="s">
        <v>4544</v>
      </c>
    </row>
    <row r="2232" spans="1:20" x14ac:dyDescent="0.2">
      <c r="A2232" s="4" t="s">
        <v>4529</v>
      </c>
      <c r="B2232" s="4" t="s">
        <v>4541</v>
      </c>
      <c r="C2232" s="4" t="s">
        <v>4529</v>
      </c>
      <c r="D2232" s="4" t="s">
        <v>4530</v>
      </c>
      <c r="E2232" s="4" t="s">
        <v>1091</v>
      </c>
      <c r="F2232" s="4" t="s">
        <v>4543</v>
      </c>
      <c r="G2232" s="4" t="s">
        <v>4543</v>
      </c>
      <c r="H2232" s="4" t="s">
        <v>2100</v>
      </c>
      <c r="I2232" s="4" t="s">
        <v>2100</v>
      </c>
      <c r="J2232" s="4" t="s">
        <v>4532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 s="4" t="s">
        <v>4544</v>
      </c>
    </row>
    <row r="2233" spans="1:20" x14ac:dyDescent="0.2">
      <c r="A2233" s="4" t="s">
        <v>4529</v>
      </c>
      <c r="B2233" s="4" t="s">
        <v>4541</v>
      </c>
      <c r="C2233" s="4" t="s">
        <v>4529</v>
      </c>
      <c r="D2233" s="4" t="s">
        <v>4530</v>
      </c>
      <c r="E2233" s="4" t="s">
        <v>1092</v>
      </c>
      <c r="F2233" s="4" t="s">
        <v>4543</v>
      </c>
      <c r="G2233" s="4" t="s">
        <v>4543</v>
      </c>
      <c r="H2233" s="4" t="s">
        <v>2100</v>
      </c>
      <c r="I2233" s="4" t="s">
        <v>2100</v>
      </c>
      <c r="J2233" s="4" t="s">
        <v>4532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 s="4" t="s">
        <v>4544</v>
      </c>
    </row>
    <row r="2234" spans="1:20" x14ac:dyDescent="0.2">
      <c r="A2234" s="4" t="s">
        <v>4529</v>
      </c>
      <c r="B2234" s="4" t="s">
        <v>4541</v>
      </c>
      <c r="C2234" s="4" t="s">
        <v>4529</v>
      </c>
      <c r="D2234" s="4" t="s">
        <v>4530</v>
      </c>
      <c r="E2234" s="4" t="s">
        <v>1093</v>
      </c>
      <c r="F2234" s="4" t="s">
        <v>4543</v>
      </c>
      <c r="G2234" s="4" t="s">
        <v>4543</v>
      </c>
      <c r="H2234" s="4" t="s">
        <v>2100</v>
      </c>
      <c r="I2234" s="4" t="s">
        <v>2100</v>
      </c>
      <c r="J2234" s="4" t="s">
        <v>4532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 s="4" t="s">
        <v>4544</v>
      </c>
    </row>
    <row r="2235" spans="1:20" x14ac:dyDescent="0.2">
      <c r="A2235" s="4" t="s">
        <v>4529</v>
      </c>
      <c r="B2235" s="4" t="s">
        <v>4541</v>
      </c>
      <c r="C2235" s="4" t="s">
        <v>4529</v>
      </c>
      <c r="D2235" s="4" t="s">
        <v>4530</v>
      </c>
      <c r="E2235" s="4" t="s">
        <v>1094</v>
      </c>
      <c r="F2235" s="4" t="s">
        <v>4543</v>
      </c>
      <c r="G2235" s="4" t="s">
        <v>4543</v>
      </c>
      <c r="H2235" s="4" t="s">
        <v>2100</v>
      </c>
      <c r="I2235" s="4" t="s">
        <v>2100</v>
      </c>
      <c r="J2235" s="4" t="s">
        <v>4532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 s="4" t="s">
        <v>4544</v>
      </c>
    </row>
    <row r="2236" spans="1:20" x14ac:dyDescent="0.2">
      <c r="A2236" s="4" t="s">
        <v>4529</v>
      </c>
      <c r="B2236" s="4" t="s">
        <v>4541</v>
      </c>
      <c r="C2236" s="4" t="s">
        <v>4529</v>
      </c>
      <c r="D2236" s="4" t="s">
        <v>4530</v>
      </c>
      <c r="E2236" s="4" t="s">
        <v>1958</v>
      </c>
      <c r="F2236" s="4" t="s">
        <v>4543</v>
      </c>
      <c r="G2236" s="4" t="s">
        <v>4543</v>
      </c>
      <c r="H2236" s="4" t="s">
        <v>2100</v>
      </c>
      <c r="I2236" s="4" t="s">
        <v>2100</v>
      </c>
      <c r="J2236" s="4" t="s">
        <v>4532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 s="4" t="s">
        <v>4544</v>
      </c>
    </row>
    <row r="2237" spans="1:20" x14ac:dyDescent="0.2">
      <c r="A2237" s="4" t="s">
        <v>4529</v>
      </c>
      <c r="B2237" s="4" t="s">
        <v>4541</v>
      </c>
      <c r="C2237" s="4" t="s">
        <v>4529</v>
      </c>
      <c r="D2237" s="4" t="s">
        <v>4530</v>
      </c>
      <c r="E2237" s="4" t="s">
        <v>4558</v>
      </c>
      <c r="F2237" s="4" t="s">
        <v>4543</v>
      </c>
      <c r="G2237" s="4" t="s">
        <v>4543</v>
      </c>
      <c r="H2237" s="4" t="s">
        <v>2100</v>
      </c>
      <c r="I2237" s="4" t="s">
        <v>2100</v>
      </c>
      <c r="J2237" s="4" t="s">
        <v>4532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 s="4" t="s">
        <v>4544</v>
      </c>
    </row>
    <row r="2238" spans="1:20" x14ac:dyDescent="0.2">
      <c r="A2238" s="4" t="s">
        <v>4529</v>
      </c>
      <c r="B2238" s="4" t="s">
        <v>4541</v>
      </c>
      <c r="C2238" s="4" t="s">
        <v>4529</v>
      </c>
      <c r="D2238" s="4" t="s">
        <v>4530</v>
      </c>
      <c r="E2238" s="4" t="s">
        <v>4559</v>
      </c>
      <c r="F2238" s="4" t="s">
        <v>4543</v>
      </c>
      <c r="G2238" s="4" t="s">
        <v>4543</v>
      </c>
      <c r="H2238" s="4" t="s">
        <v>2100</v>
      </c>
      <c r="I2238" s="4" t="s">
        <v>2100</v>
      </c>
      <c r="J2238" s="4" t="s">
        <v>4532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 s="4" t="s">
        <v>4544</v>
      </c>
    </row>
    <row r="2239" spans="1:20" x14ac:dyDescent="0.2">
      <c r="A2239" s="4" t="s">
        <v>4529</v>
      </c>
      <c r="B2239" s="4" t="s">
        <v>4541</v>
      </c>
      <c r="C2239" s="4" t="s">
        <v>4529</v>
      </c>
      <c r="D2239" s="4" t="s">
        <v>4530</v>
      </c>
      <c r="E2239" s="4" t="s">
        <v>4560</v>
      </c>
      <c r="F2239" s="4" t="s">
        <v>4543</v>
      </c>
      <c r="G2239" s="4" t="s">
        <v>4543</v>
      </c>
      <c r="H2239" s="4" t="s">
        <v>2100</v>
      </c>
      <c r="I2239" s="4" t="s">
        <v>2100</v>
      </c>
      <c r="J2239" s="4" t="s">
        <v>4532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 s="4" t="s">
        <v>4544</v>
      </c>
    </row>
    <row r="2240" spans="1:20" x14ac:dyDescent="0.2">
      <c r="A2240" s="4" t="s">
        <v>4529</v>
      </c>
      <c r="B2240" s="4" t="s">
        <v>4541</v>
      </c>
      <c r="C2240" s="4" t="s">
        <v>4529</v>
      </c>
      <c r="D2240" s="4" t="s">
        <v>4530</v>
      </c>
      <c r="E2240" s="4" t="s">
        <v>2016</v>
      </c>
      <c r="F2240" s="4" t="s">
        <v>4543</v>
      </c>
      <c r="G2240" s="4" t="s">
        <v>4543</v>
      </c>
      <c r="H2240" s="4" t="s">
        <v>2100</v>
      </c>
      <c r="I2240" s="4" t="s">
        <v>2100</v>
      </c>
      <c r="J2240" s="4" t="s">
        <v>4532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 s="4" t="s">
        <v>4544</v>
      </c>
    </row>
    <row r="2241" spans="1:20" x14ac:dyDescent="0.2">
      <c r="A2241" s="4" t="s">
        <v>4529</v>
      </c>
      <c r="B2241" s="4" t="s">
        <v>4561</v>
      </c>
      <c r="C2241" s="4" t="s">
        <v>4529</v>
      </c>
      <c r="D2241" s="4" t="s">
        <v>4530</v>
      </c>
      <c r="E2241" s="4" t="s">
        <v>4562</v>
      </c>
      <c r="F2241" s="4" t="s">
        <v>4561</v>
      </c>
      <c r="G2241" s="4" t="s">
        <v>2100</v>
      </c>
      <c r="H2241" s="4" t="s">
        <v>2100</v>
      </c>
      <c r="I2241" s="4" t="s">
        <v>2100</v>
      </c>
      <c r="J2241" s="4" t="s">
        <v>4532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 s="4" t="s">
        <v>4563</v>
      </c>
    </row>
    <row r="2242" spans="1:20" x14ac:dyDescent="0.2">
      <c r="A2242" s="4" t="s">
        <v>4529</v>
      </c>
      <c r="B2242" s="4" t="s">
        <v>4561</v>
      </c>
      <c r="C2242" s="4" t="s">
        <v>4529</v>
      </c>
      <c r="D2242" s="4" t="s">
        <v>4530</v>
      </c>
      <c r="E2242" s="4" t="s">
        <v>4564</v>
      </c>
      <c r="F2242" s="4" t="s">
        <v>4561</v>
      </c>
      <c r="G2242" s="4" t="s">
        <v>2100</v>
      </c>
      <c r="H2242" s="4" t="s">
        <v>2100</v>
      </c>
      <c r="I2242" s="4" t="s">
        <v>2100</v>
      </c>
      <c r="J2242" s="4" t="s">
        <v>4532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 s="4" t="s">
        <v>4563</v>
      </c>
    </row>
    <row r="2243" spans="1:20" x14ac:dyDescent="0.2">
      <c r="A2243" s="4" t="s">
        <v>4529</v>
      </c>
      <c r="B2243" s="4" t="s">
        <v>4561</v>
      </c>
      <c r="C2243" s="4" t="s">
        <v>4529</v>
      </c>
      <c r="D2243" s="4" t="s">
        <v>4530</v>
      </c>
      <c r="E2243" s="4" t="s">
        <v>4565</v>
      </c>
      <c r="F2243" s="4" t="s">
        <v>4561</v>
      </c>
      <c r="G2243" s="4" t="s">
        <v>2100</v>
      </c>
      <c r="H2243" s="4" t="s">
        <v>2100</v>
      </c>
      <c r="I2243" s="4" t="s">
        <v>2100</v>
      </c>
      <c r="J2243" s="4" t="s">
        <v>4532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 s="4" t="s">
        <v>4563</v>
      </c>
    </row>
    <row r="2244" spans="1:20" x14ac:dyDescent="0.2">
      <c r="A2244" s="4" t="s">
        <v>4529</v>
      </c>
      <c r="B2244" s="4" t="s">
        <v>4561</v>
      </c>
      <c r="C2244" s="4" t="s">
        <v>4529</v>
      </c>
      <c r="D2244" s="4" t="s">
        <v>4530</v>
      </c>
      <c r="E2244" s="4" t="s">
        <v>4566</v>
      </c>
      <c r="F2244" s="4" t="s">
        <v>4561</v>
      </c>
      <c r="G2244" s="4" t="s">
        <v>2100</v>
      </c>
      <c r="H2244" s="4" t="s">
        <v>2100</v>
      </c>
      <c r="I2244" s="4" t="s">
        <v>2100</v>
      </c>
      <c r="J2244" s="4" t="s">
        <v>4532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 s="4" t="s">
        <v>4563</v>
      </c>
    </row>
    <row r="2245" spans="1:20" x14ac:dyDescent="0.2">
      <c r="A2245" s="4" t="s">
        <v>4529</v>
      </c>
      <c r="B2245" s="4" t="s">
        <v>4567</v>
      </c>
      <c r="C2245" s="4" t="s">
        <v>4529</v>
      </c>
      <c r="D2245" s="4" t="s">
        <v>4530</v>
      </c>
      <c r="E2245" s="4" t="s">
        <v>4568</v>
      </c>
      <c r="F2245" s="4" t="s">
        <v>4567</v>
      </c>
      <c r="G2245" s="4" t="s">
        <v>2100</v>
      </c>
      <c r="H2245" s="4" t="s">
        <v>2100</v>
      </c>
      <c r="I2245" s="4" t="s">
        <v>2100</v>
      </c>
      <c r="J2245" s="4" t="s">
        <v>4532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s="4" t="s">
        <v>4569</v>
      </c>
    </row>
    <row r="2246" spans="1:20" x14ac:dyDescent="0.2">
      <c r="A2246" s="4" t="s">
        <v>4529</v>
      </c>
      <c r="B2246" s="4" t="s">
        <v>4567</v>
      </c>
      <c r="C2246" s="4" t="s">
        <v>4529</v>
      </c>
      <c r="D2246" s="4" t="s">
        <v>4530</v>
      </c>
      <c r="E2246" s="4" t="s">
        <v>4570</v>
      </c>
      <c r="F2246" s="4" t="s">
        <v>4567</v>
      </c>
      <c r="G2246" s="4" t="s">
        <v>2100</v>
      </c>
      <c r="H2246" s="4" t="s">
        <v>2100</v>
      </c>
      <c r="I2246" s="4" t="s">
        <v>2100</v>
      </c>
      <c r="J2246" s="4" t="s">
        <v>4532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 s="4" t="s">
        <v>4569</v>
      </c>
    </row>
    <row r="2247" spans="1:20" x14ac:dyDescent="0.2">
      <c r="A2247" s="4" t="s">
        <v>4529</v>
      </c>
      <c r="B2247" s="4" t="s">
        <v>4571</v>
      </c>
      <c r="C2247" s="4" t="s">
        <v>4529</v>
      </c>
      <c r="D2247" s="4" t="s">
        <v>4530</v>
      </c>
      <c r="E2247" s="4" t="s">
        <v>4572</v>
      </c>
      <c r="F2247" s="4" t="s">
        <v>4573</v>
      </c>
      <c r="G2247" s="4" t="s">
        <v>4573</v>
      </c>
      <c r="H2247" s="4" t="s">
        <v>2100</v>
      </c>
      <c r="I2247" s="4" t="s">
        <v>2100</v>
      </c>
      <c r="J2247" s="4" t="s">
        <v>4532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 s="4" t="s">
        <v>4574</v>
      </c>
    </row>
    <row r="2248" spans="1:20" x14ac:dyDescent="0.2">
      <c r="A2248" s="4" t="s">
        <v>4529</v>
      </c>
      <c r="B2248" s="4" t="s">
        <v>4571</v>
      </c>
      <c r="C2248" s="4" t="s">
        <v>4529</v>
      </c>
      <c r="D2248" s="4" t="s">
        <v>4530</v>
      </c>
      <c r="E2248" s="4" t="s">
        <v>4575</v>
      </c>
      <c r="F2248" s="4" t="s">
        <v>4573</v>
      </c>
      <c r="G2248" s="4" t="s">
        <v>4573</v>
      </c>
      <c r="H2248" s="4" t="s">
        <v>2100</v>
      </c>
      <c r="I2248" s="4" t="s">
        <v>2100</v>
      </c>
      <c r="J2248" s="4" t="s">
        <v>4532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 s="4" t="s">
        <v>4574</v>
      </c>
    </row>
    <row r="2249" spans="1:20" x14ac:dyDescent="0.2">
      <c r="A2249" s="4" t="s">
        <v>4529</v>
      </c>
      <c r="B2249" s="4" t="s">
        <v>4571</v>
      </c>
      <c r="C2249" s="4" t="s">
        <v>4529</v>
      </c>
      <c r="D2249" s="4" t="s">
        <v>4530</v>
      </c>
      <c r="E2249" s="4" t="s">
        <v>4576</v>
      </c>
      <c r="F2249" s="4" t="s">
        <v>4573</v>
      </c>
      <c r="G2249" s="4" t="s">
        <v>4573</v>
      </c>
      <c r="H2249" s="4" t="s">
        <v>2100</v>
      </c>
      <c r="I2249" s="4" t="s">
        <v>2100</v>
      </c>
      <c r="J2249" s="4" t="s">
        <v>4532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 s="4" t="s">
        <v>4574</v>
      </c>
    </row>
    <row r="2250" spans="1:20" x14ac:dyDescent="0.2">
      <c r="A2250" s="4" t="s">
        <v>4529</v>
      </c>
      <c r="B2250" s="4" t="s">
        <v>4571</v>
      </c>
      <c r="C2250" s="4" t="s">
        <v>4529</v>
      </c>
      <c r="D2250" s="4" t="s">
        <v>4530</v>
      </c>
      <c r="E2250" s="4" t="s">
        <v>4577</v>
      </c>
      <c r="F2250" s="4" t="s">
        <v>4573</v>
      </c>
      <c r="G2250" s="4" t="s">
        <v>4573</v>
      </c>
      <c r="H2250" s="4" t="s">
        <v>2100</v>
      </c>
      <c r="I2250" s="4" t="s">
        <v>2100</v>
      </c>
      <c r="J2250" s="4" t="s">
        <v>4532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 s="4" t="s">
        <v>4574</v>
      </c>
    </row>
    <row r="2251" spans="1:20" x14ac:dyDescent="0.2">
      <c r="A2251" s="4" t="s">
        <v>4578</v>
      </c>
      <c r="B2251" s="4" t="s">
        <v>4578</v>
      </c>
      <c r="C2251" s="4" t="s">
        <v>4578</v>
      </c>
      <c r="D2251" s="4" t="s">
        <v>4530</v>
      </c>
      <c r="E2251" s="4" t="s">
        <v>4579</v>
      </c>
      <c r="F2251" s="4" t="s">
        <v>4578</v>
      </c>
      <c r="G2251" s="4" t="s">
        <v>4578</v>
      </c>
      <c r="H2251" s="4" t="s">
        <v>2100</v>
      </c>
      <c r="I2251" s="4" t="s">
        <v>2100</v>
      </c>
      <c r="J2251" s="4" t="s">
        <v>4532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 s="4" t="s">
        <v>4580</v>
      </c>
    </row>
    <row r="2252" spans="1:20" x14ac:dyDescent="0.2">
      <c r="A2252" s="4" t="s">
        <v>4529</v>
      </c>
      <c r="B2252" s="4" t="s">
        <v>4581</v>
      </c>
      <c r="C2252" s="4" t="s">
        <v>4529</v>
      </c>
      <c r="D2252" s="4" t="s">
        <v>4530</v>
      </c>
      <c r="E2252" s="4" t="s">
        <v>4582</v>
      </c>
      <c r="F2252" s="4" t="s">
        <v>4581</v>
      </c>
      <c r="G2252" s="4" t="s">
        <v>2100</v>
      </c>
      <c r="H2252" s="4" t="s">
        <v>2100</v>
      </c>
      <c r="I2252" s="4" t="s">
        <v>2100</v>
      </c>
      <c r="J2252" s="4" t="s">
        <v>4532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 s="4" t="s">
        <v>4583</v>
      </c>
    </row>
    <row r="2253" spans="1:20" x14ac:dyDescent="0.2">
      <c r="A2253" s="4" t="s">
        <v>4584</v>
      </c>
      <c r="B2253" s="4" t="s">
        <v>4585</v>
      </c>
      <c r="C2253" s="4" t="s">
        <v>4586</v>
      </c>
      <c r="D2253" s="4" t="s">
        <v>4584</v>
      </c>
      <c r="E2253" s="4" t="s">
        <v>4587</v>
      </c>
      <c r="F2253" s="4" t="s">
        <v>4588</v>
      </c>
      <c r="G2253" s="4" t="s">
        <v>4589</v>
      </c>
      <c r="H2253" s="4" t="s">
        <v>4590</v>
      </c>
      <c r="I2253" s="4" t="s">
        <v>4591</v>
      </c>
      <c r="J2253" s="4" t="s">
        <v>4592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 s="4" t="s">
        <v>4593</v>
      </c>
    </row>
    <row r="2254" spans="1:20" x14ac:dyDescent="0.2">
      <c r="A2254" s="4" t="s">
        <v>4584</v>
      </c>
      <c r="B2254" s="4" t="s">
        <v>4594</v>
      </c>
      <c r="C2254" s="4" t="s">
        <v>4586</v>
      </c>
      <c r="D2254" s="4" t="s">
        <v>4584</v>
      </c>
      <c r="E2254" s="4" t="s">
        <v>4595</v>
      </c>
      <c r="F2254" s="4" t="s">
        <v>4588</v>
      </c>
      <c r="G2254" s="4" t="s">
        <v>4589</v>
      </c>
      <c r="H2254" s="4" t="s">
        <v>4590</v>
      </c>
      <c r="I2254" s="4" t="s">
        <v>4591</v>
      </c>
      <c r="J2254" s="4" t="s">
        <v>4596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 s="4" t="s">
        <v>4593</v>
      </c>
    </row>
    <row r="2255" spans="1:20" x14ac:dyDescent="0.2">
      <c r="A2255" s="4" t="s">
        <v>4584</v>
      </c>
      <c r="B2255" s="4" t="s">
        <v>4597</v>
      </c>
      <c r="C2255" s="4" t="s">
        <v>4586</v>
      </c>
      <c r="D2255" s="4" t="s">
        <v>4584</v>
      </c>
      <c r="E2255" s="4" t="s">
        <v>4598</v>
      </c>
      <c r="F2255" s="4" t="s">
        <v>4588</v>
      </c>
      <c r="G2255" s="4" t="s">
        <v>4589</v>
      </c>
      <c r="H2255" s="4" t="s">
        <v>4590</v>
      </c>
      <c r="I2255" s="4" t="s">
        <v>4591</v>
      </c>
      <c r="J2255" s="4" t="s">
        <v>4599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 s="4" t="s">
        <v>4593</v>
      </c>
    </row>
    <row r="2256" spans="1:20" x14ac:dyDescent="0.2">
      <c r="A2256" s="4" t="s">
        <v>4584</v>
      </c>
      <c r="B2256" s="4" t="s">
        <v>4600</v>
      </c>
      <c r="C2256" s="4" t="s">
        <v>4586</v>
      </c>
      <c r="D2256" s="4" t="s">
        <v>4584</v>
      </c>
      <c r="E2256" s="4" t="s">
        <v>4601</v>
      </c>
      <c r="F2256" s="4" t="s">
        <v>4588</v>
      </c>
      <c r="G2256" s="4" t="s">
        <v>4589</v>
      </c>
      <c r="H2256" s="4" t="s">
        <v>4590</v>
      </c>
      <c r="I2256" s="4" t="s">
        <v>4591</v>
      </c>
      <c r="J2256" s="4" t="s">
        <v>4602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 s="4" t="s">
        <v>4593</v>
      </c>
    </row>
    <row r="2257" spans="1:20" x14ac:dyDescent="0.2">
      <c r="A2257" s="4" t="s">
        <v>4584</v>
      </c>
      <c r="B2257" s="4" t="s">
        <v>4594</v>
      </c>
      <c r="C2257" s="4" t="s">
        <v>4586</v>
      </c>
      <c r="D2257" s="4" t="s">
        <v>4584</v>
      </c>
      <c r="E2257" s="4" t="s">
        <v>4603</v>
      </c>
      <c r="F2257" s="4" t="s">
        <v>4604</v>
      </c>
      <c r="G2257" s="4" t="s">
        <v>4605</v>
      </c>
      <c r="H2257" s="4" t="s">
        <v>4590</v>
      </c>
      <c r="I2257" s="4" t="s">
        <v>4591</v>
      </c>
      <c r="J2257" s="4" t="s">
        <v>4596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 s="4" t="s">
        <v>4606</v>
      </c>
    </row>
    <row r="2258" spans="1:20" x14ac:dyDescent="0.2">
      <c r="A2258" s="4" t="s">
        <v>4584</v>
      </c>
      <c r="B2258" s="4" t="s">
        <v>4597</v>
      </c>
      <c r="C2258" s="4" t="s">
        <v>4586</v>
      </c>
      <c r="D2258" s="4" t="s">
        <v>4584</v>
      </c>
      <c r="E2258" s="4" t="s">
        <v>4607</v>
      </c>
      <c r="F2258" s="4" t="s">
        <v>4604</v>
      </c>
      <c r="G2258" s="4" t="s">
        <v>4605</v>
      </c>
      <c r="H2258" s="4" t="s">
        <v>4590</v>
      </c>
      <c r="I2258" s="4" t="s">
        <v>4591</v>
      </c>
      <c r="J2258" s="4" t="s">
        <v>4599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 s="4" t="s">
        <v>4606</v>
      </c>
    </row>
    <row r="2259" spans="1:20" x14ac:dyDescent="0.2">
      <c r="A2259" s="4" t="s">
        <v>4584</v>
      </c>
      <c r="B2259" s="4" t="s">
        <v>4585</v>
      </c>
      <c r="C2259" s="4" t="s">
        <v>4586</v>
      </c>
      <c r="D2259" s="4" t="s">
        <v>4584</v>
      </c>
      <c r="E2259" s="4" t="s">
        <v>4608</v>
      </c>
      <c r="F2259" s="4" t="s">
        <v>4604</v>
      </c>
      <c r="G2259" s="4" t="s">
        <v>4605</v>
      </c>
      <c r="H2259" s="4" t="s">
        <v>4590</v>
      </c>
      <c r="I2259" s="4" t="s">
        <v>4591</v>
      </c>
      <c r="J2259" s="4" t="s">
        <v>4592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 s="4" t="s">
        <v>4606</v>
      </c>
    </row>
    <row r="2260" spans="1:20" x14ac:dyDescent="0.2">
      <c r="A2260" s="4" t="s">
        <v>4584</v>
      </c>
      <c r="B2260" s="4" t="s">
        <v>4600</v>
      </c>
      <c r="C2260" s="4" t="s">
        <v>4586</v>
      </c>
      <c r="D2260" s="4" t="s">
        <v>4584</v>
      </c>
      <c r="E2260" s="4" t="s">
        <v>4609</v>
      </c>
      <c r="F2260" s="4" t="s">
        <v>4604</v>
      </c>
      <c r="G2260" s="4" t="s">
        <v>4605</v>
      </c>
      <c r="H2260" s="4" t="s">
        <v>4590</v>
      </c>
      <c r="I2260" s="4" t="s">
        <v>4591</v>
      </c>
      <c r="J2260" s="4" t="s">
        <v>4602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 s="4" t="s">
        <v>4606</v>
      </c>
    </row>
    <row r="2261" spans="1:20" x14ac:dyDescent="0.2">
      <c r="A2261" s="4" t="s">
        <v>4584</v>
      </c>
      <c r="B2261" s="4" t="s">
        <v>4585</v>
      </c>
      <c r="C2261" s="4" t="s">
        <v>4586</v>
      </c>
      <c r="D2261" s="4" t="s">
        <v>4584</v>
      </c>
      <c r="E2261" s="4" t="s">
        <v>4610</v>
      </c>
      <c r="F2261" s="4" t="s">
        <v>4611</v>
      </c>
      <c r="G2261" s="4" t="s">
        <v>4612</v>
      </c>
      <c r="H2261" s="4" t="s">
        <v>4590</v>
      </c>
      <c r="I2261" s="4" t="s">
        <v>4591</v>
      </c>
      <c r="J2261" s="4" t="s">
        <v>4592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 s="4" t="s">
        <v>4613</v>
      </c>
    </row>
    <row r="2262" spans="1:20" x14ac:dyDescent="0.2">
      <c r="A2262" s="4" t="s">
        <v>4584</v>
      </c>
      <c r="B2262" s="4" t="s">
        <v>4600</v>
      </c>
      <c r="C2262" s="4" t="s">
        <v>4586</v>
      </c>
      <c r="D2262" s="4" t="s">
        <v>4584</v>
      </c>
      <c r="E2262" s="4" t="s">
        <v>4614</v>
      </c>
      <c r="F2262" s="4" t="s">
        <v>4611</v>
      </c>
      <c r="G2262" s="4" t="s">
        <v>4612</v>
      </c>
      <c r="H2262" s="4" t="s">
        <v>4590</v>
      </c>
      <c r="I2262" s="4" t="s">
        <v>4591</v>
      </c>
      <c r="J2262" s="4" t="s">
        <v>4602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 s="4" t="s">
        <v>4613</v>
      </c>
    </row>
    <row r="2263" spans="1:20" x14ac:dyDescent="0.2">
      <c r="A2263" s="4" t="s">
        <v>4584</v>
      </c>
      <c r="B2263" s="4" t="s">
        <v>4597</v>
      </c>
      <c r="C2263" s="4" t="s">
        <v>4586</v>
      </c>
      <c r="D2263" s="4" t="s">
        <v>4584</v>
      </c>
      <c r="E2263" s="4" t="s">
        <v>4615</v>
      </c>
      <c r="F2263" s="4" t="s">
        <v>4611</v>
      </c>
      <c r="G2263" s="4" t="s">
        <v>4612</v>
      </c>
      <c r="H2263" s="4" t="s">
        <v>4590</v>
      </c>
      <c r="I2263" s="4" t="s">
        <v>4591</v>
      </c>
      <c r="J2263" s="4" t="s">
        <v>4599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 s="4" t="s">
        <v>4613</v>
      </c>
    </row>
    <row r="2264" spans="1:20" x14ac:dyDescent="0.2">
      <c r="A2264" s="4" t="s">
        <v>4584</v>
      </c>
      <c r="B2264" s="4" t="s">
        <v>4594</v>
      </c>
      <c r="C2264" s="4" t="s">
        <v>4586</v>
      </c>
      <c r="D2264" s="4" t="s">
        <v>4584</v>
      </c>
      <c r="E2264" s="4" t="s">
        <v>4616</v>
      </c>
      <c r="F2264" s="4" t="s">
        <v>4611</v>
      </c>
      <c r="G2264" s="4" t="s">
        <v>4612</v>
      </c>
      <c r="H2264" s="4" t="s">
        <v>4590</v>
      </c>
      <c r="I2264" s="4" t="s">
        <v>4591</v>
      </c>
      <c r="J2264" s="4" t="s">
        <v>4596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 s="4" t="s">
        <v>4613</v>
      </c>
    </row>
    <row r="2265" spans="1:20" x14ac:dyDescent="0.2">
      <c r="A2265" s="4" t="s">
        <v>4584</v>
      </c>
      <c r="B2265" s="4" t="s">
        <v>4594</v>
      </c>
      <c r="C2265" s="4" t="s">
        <v>4586</v>
      </c>
      <c r="D2265" s="4" t="s">
        <v>4584</v>
      </c>
      <c r="E2265" s="4" t="s">
        <v>4617</v>
      </c>
      <c r="F2265" s="4" t="s">
        <v>4618</v>
      </c>
      <c r="G2265" s="4" t="s">
        <v>4612</v>
      </c>
      <c r="H2265" s="4" t="s">
        <v>4619</v>
      </c>
      <c r="I2265" s="4" t="s">
        <v>2100</v>
      </c>
      <c r="J2265" s="4" t="s">
        <v>4596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 s="4" t="s">
        <v>4620</v>
      </c>
    </row>
    <row r="2266" spans="1:20" x14ac:dyDescent="0.2">
      <c r="A2266" s="4" t="s">
        <v>4584</v>
      </c>
      <c r="B2266" s="4" t="s">
        <v>4597</v>
      </c>
      <c r="C2266" s="4" t="s">
        <v>4586</v>
      </c>
      <c r="D2266" s="4" t="s">
        <v>4584</v>
      </c>
      <c r="E2266" s="4" t="s">
        <v>4621</v>
      </c>
      <c r="F2266" s="4" t="s">
        <v>4618</v>
      </c>
      <c r="G2266" s="4" t="s">
        <v>4612</v>
      </c>
      <c r="H2266" s="4" t="s">
        <v>4619</v>
      </c>
      <c r="I2266" s="4" t="s">
        <v>2100</v>
      </c>
      <c r="J2266" s="4" t="s">
        <v>4599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s="4" t="s">
        <v>4620</v>
      </c>
    </row>
    <row r="2267" spans="1:20" x14ac:dyDescent="0.2">
      <c r="A2267" s="4" t="s">
        <v>4584</v>
      </c>
      <c r="B2267" s="4" t="s">
        <v>4585</v>
      </c>
      <c r="C2267" s="4" t="s">
        <v>4586</v>
      </c>
      <c r="D2267" s="4" t="s">
        <v>4584</v>
      </c>
      <c r="E2267" s="4" t="s">
        <v>4622</v>
      </c>
      <c r="F2267" s="4" t="s">
        <v>4618</v>
      </c>
      <c r="G2267" s="4" t="s">
        <v>4612</v>
      </c>
      <c r="H2267" s="4" t="s">
        <v>4619</v>
      </c>
      <c r="I2267" s="4" t="s">
        <v>2100</v>
      </c>
      <c r="J2267" s="4" t="s">
        <v>4592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 s="4" t="s">
        <v>4620</v>
      </c>
    </row>
    <row r="2268" spans="1:20" x14ac:dyDescent="0.2">
      <c r="A2268" s="4" t="s">
        <v>4584</v>
      </c>
      <c r="B2268" s="4" t="s">
        <v>4600</v>
      </c>
      <c r="C2268" s="4" t="s">
        <v>4586</v>
      </c>
      <c r="D2268" s="4" t="s">
        <v>4584</v>
      </c>
      <c r="E2268" s="4" t="s">
        <v>4623</v>
      </c>
      <c r="F2268" s="4" t="s">
        <v>4618</v>
      </c>
      <c r="G2268" s="4" t="s">
        <v>4612</v>
      </c>
      <c r="H2268" s="4" t="s">
        <v>4619</v>
      </c>
      <c r="I2268" s="4" t="s">
        <v>2100</v>
      </c>
      <c r="J2268" s="4" t="s">
        <v>4602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 s="4" t="s">
        <v>4620</v>
      </c>
    </row>
    <row r="2269" spans="1:20" x14ac:dyDescent="0.2">
      <c r="A2269" s="4" t="s">
        <v>4584</v>
      </c>
      <c r="B2269" s="4" t="s">
        <v>4585</v>
      </c>
      <c r="C2269" s="4" t="s">
        <v>4586</v>
      </c>
      <c r="D2269" s="4" t="s">
        <v>4584</v>
      </c>
      <c r="E2269" s="4" t="s">
        <v>4624</v>
      </c>
      <c r="F2269" s="4" t="s">
        <v>4625</v>
      </c>
      <c r="G2269" s="4" t="s">
        <v>4626</v>
      </c>
      <c r="H2269" s="4" t="s">
        <v>4590</v>
      </c>
      <c r="I2269" s="4" t="s">
        <v>4591</v>
      </c>
      <c r="J2269" s="4" t="s">
        <v>4592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 s="4" t="s">
        <v>4627</v>
      </c>
    </row>
    <row r="2270" spans="1:20" x14ac:dyDescent="0.2">
      <c r="A2270" s="4" t="s">
        <v>4584</v>
      </c>
      <c r="B2270" s="4" t="s">
        <v>4600</v>
      </c>
      <c r="C2270" s="4" t="s">
        <v>4586</v>
      </c>
      <c r="D2270" s="4" t="s">
        <v>4584</v>
      </c>
      <c r="E2270" s="4" t="s">
        <v>4628</v>
      </c>
      <c r="F2270" s="4" t="s">
        <v>4625</v>
      </c>
      <c r="G2270" s="4" t="s">
        <v>4626</v>
      </c>
      <c r="H2270" s="4" t="s">
        <v>4590</v>
      </c>
      <c r="I2270" s="4" t="s">
        <v>4591</v>
      </c>
      <c r="J2270" s="4" t="s">
        <v>4602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 s="4" t="s">
        <v>4627</v>
      </c>
    </row>
    <row r="2271" spans="1:20" x14ac:dyDescent="0.2">
      <c r="A2271" s="4" t="s">
        <v>4584</v>
      </c>
      <c r="B2271" s="4" t="s">
        <v>4594</v>
      </c>
      <c r="C2271" s="4" t="s">
        <v>4586</v>
      </c>
      <c r="D2271" s="4" t="s">
        <v>4584</v>
      </c>
      <c r="E2271" s="4" t="s">
        <v>4629</v>
      </c>
      <c r="F2271" s="4" t="s">
        <v>4625</v>
      </c>
      <c r="G2271" s="4" t="s">
        <v>4626</v>
      </c>
      <c r="H2271" s="4" t="s">
        <v>4590</v>
      </c>
      <c r="I2271" s="4" t="s">
        <v>4591</v>
      </c>
      <c r="J2271" s="4" t="s">
        <v>4596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 s="4" t="s">
        <v>4627</v>
      </c>
    </row>
    <row r="2272" spans="1:20" x14ac:dyDescent="0.2">
      <c r="A2272" s="4" t="s">
        <v>4584</v>
      </c>
      <c r="B2272" s="4" t="s">
        <v>4597</v>
      </c>
      <c r="C2272" s="4" t="s">
        <v>4586</v>
      </c>
      <c r="D2272" s="4" t="s">
        <v>4584</v>
      </c>
      <c r="E2272" s="4" t="s">
        <v>4630</v>
      </c>
      <c r="F2272" s="4" t="s">
        <v>4625</v>
      </c>
      <c r="G2272" s="4" t="s">
        <v>4626</v>
      </c>
      <c r="H2272" s="4" t="s">
        <v>4590</v>
      </c>
      <c r="I2272" s="4" t="s">
        <v>4591</v>
      </c>
      <c r="J2272" s="4" t="s">
        <v>4599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 s="4" t="s">
        <v>4627</v>
      </c>
    </row>
    <row r="2273" spans="1:20" x14ac:dyDescent="0.2">
      <c r="A2273" s="4" t="s">
        <v>4584</v>
      </c>
      <c r="B2273" s="4" t="s">
        <v>4594</v>
      </c>
      <c r="C2273" s="4" t="s">
        <v>4586</v>
      </c>
      <c r="D2273" s="4" t="s">
        <v>4584</v>
      </c>
      <c r="E2273" s="4" t="s">
        <v>4631</v>
      </c>
      <c r="F2273" s="4" t="s">
        <v>4632</v>
      </c>
      <c r="G2273" s="4" t="s">
        <v>4626</v>
      </c>
      <c r="H2273" s="4" t="s">
        <v>4619</v>
      </c>
      <c r="I2273" s="4" t="s">
        <v>2100</v>
      </c>
      <c r="J2273" s="4" t="s">
        <v>4596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 s="4" t="s">
        <v>4633</v>
      </c>
    </row>
    <row r="2274" spans="1:20" x14ac:dyDescent="0.2">
      <c r="A2274" s="4" t="s">
        <v>4584</v>
      </c>
      <c r="B2274" s="4" t="s">
        <v>4597</v>
      </c>
      <c r="C2274" s="4" t="s">
        <v>4586</v>
      </c>
      <c r="D2274" s="4" t="s">
        <v>4584</v>
      </c>
      <c r="E2274" s="4" t="s">
        <v>4634</v>
      </c>
      <c r="F2274" s="4" t="s">
        <v>4632</v>
      </c>
      <c r="G2274" s="4" t="s">
        <v>4626</v>
      </c>
      <c r="H2274" s="4" t="s">
        <v>4619</v>
      </c>
      <c r="I2274" s="4" t="s">
        <v>2100</v>
      </c>
      <c r="J2274" s="4" t="s">
        <v>4599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 s="4" t="s">
        <v>4633</v>
      </c>
    </row>
    <row r="2275" spans="1:20" x14ac:dyDescent="0.2">
      <c r="A2275" s="4" t="s">
        <v>4584</v>
      </c>
      <c r="B2275" s="4" t="s">
        <v>4585</v>
      </c>
      <c r="C2275" s="4" t="s">
        <v>4586</v>
      </c>
      <c r="D2275" s="4" t="s">
        <v>4584</v>
      </c>
      <c r="E2275" s="4" t="s">
        <v>4635</v>
      </c>
      <c r="F2275" s="4" t="s">
        <v>4632</v>
      </c>
      <c r="G2275" s="4" t="s">
        <v>4626</v>
      </c>
      <c r="H2275" s="4" t="s">
        <v>4619</v>
      </c>
      <c r="I2275" s="4" t="s">
        <v>2100</v>
      </c>
      <c r="J2275" s="4" t="s">
        <v>4592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 s="4" t="s">
        <v>4633</v>
      </c>
    </row>
    <row r="2276" spans="1:20" x14ac:dyDescent="0.2">
      <c r="A2276" s="4" t="s">
        <v>4584</v>
      </c>
      <c r="B2276" s="4" t="s">
        <v>4600</v>
      </c>
      <c r="C2276" s="4" t="s">
        <v>4586</v>
      </c>
      <c r="D2276" s="4" t="s">
        <v>4584</v>
      </c>
      <c r="E2276" s="4" t="s">
        <v>4636</v>
      </c>
      <c r="F2276" s="4" t="s">
        <v>4632</v>
      </c>
      <c r="G2276" s="4" t="s">
        <v>4626</v>
      </c>
      <c r="H2276" s="4" t="s">
        <v>4619</v>
      </c>
      <c r="I2276" s="4" t="s">
        <v>2100</v>
      </c>
      <c r="J2276" s="4" t="s">
        <v>4602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 s="4" t="s">
        <v>4633</v>
      </c>
    </row>
    <row r="2277" spans="1:20" x14ac:dyDescent="0.2">
      <c r="A2277" s="4" t="s">
        <v>4584</v>
      </c>
      <c r="B2277" s="4" t="s">
        <v>4594</v>
      </c>
      <c r="C2277" s="4" t="s">
        <v>4586</v>
      </c>
      <c r="D2277" s="4" t="s">
        <v>4584</v>
      </c>
      <c r="E2277" s="4" t="s">
        <v>4637</v>
      </c>
      <c r="F2277" s="4" t="s">
        <v>4632</v>
      </c>
      <c r="G2277" s="4" t="s">
        <v>4626</v>
      </c>
      <c r="H2277" s="4" t="s">
        <v>4619</v>
      </c>
      <c r="I2277" s="4" t="s">
        <v>2100</v>
      </c>
      <c r="J2277" s="4" t="s">
        <v>4596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 s="4" t="s">
        <v>4633</v>
      </c>
    </row>
    <row r="2278" spans="1:20" x14ac:dyDescent="0.2">
      <c r="A2278" s="4" t="s">
        <v>4584</v>
      </c>
      <c r="B2278" s="4" t="s">
        <v>4597</v>
      </c>
      <c r="C2278" s="4" t="s">
        <v>4586</v>
      </c>
      <c r="D2278" s="4" t="s">
        <v>4584</v>
      </c>
      <c r="E2278" s="4" t="s">
        <v>4638</v>
      </c>
      <c r="F2278" s="4" t="s">
        <v>4632</v>
      </c>
      <c r="G2278" s="4" t="s">
        <v>4626</v>
      </c>
      <c r="H2278" s="4" t="s">
        <v>4619</v>
      </c>
      <c r="I2278" s="4" t="s">
        <v>2100</v>
      </c>
      <c r="J2278" s="4" t="s">
        <v>4599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 s="4" t="s">
        <v>4633</v>
      </c>
    </row>
    <row r="2279" spans="1:20" x14ac:dyDescent="0.2">
      <c r="A2279" s="4" t="s">
        <v>4584</v>
      </c>
      <c r="B2279" s="4" t="s">
        <v>4585</v>
      </c>
      <c r="C2279" s="4" t="s">
        <v>4586</v>
      </c>
      <c r="D2279" s="4" t="s">
        <v>4584</v>
      </c>
      <c r="E2279" s="4" t="s">
        <v>4639</v>
      </c>
      <c r="F2279" s="4" t="s">
        <v>4640</v>
      </c>
      <c r="G2279" s="4" t="s">
        <v>4641</v>
      </c>
      <c r="H2279" s="4" t="s">
        <v>4590</v>
      </c>
      <c r="I2279" s="4" t="s">
        <v>4642</v>
      </c>
      <c r="J2279" s="4" t="s">
        <v>4592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 s="4" t="s">
        <v>4643</v>
      </c>
    </row>
    <row r="2280" spans="1:20" x14ac:dyDescent="0.2">
      <c r="A2280" s="4" t="s">
        <v>4584</v>
      </c>
      <c r="B2280" s="4" t="s">
        <v>4600</v>
      </c>
      <c r="C2280" s="4" t="s">
        <v>4586</v>
      </c>
      <c r="D2280" s="4" t="s">
        <v>4584</v>
      </c>
      <c r="E2280" s="4" t="s">
        <v>4644</v>
      </c>
      <c r="F2280" s="4" t="s">
        <v>4640</v>
      </c>
      <c r="G2280" s="4" t="s">
        <v>4641</v>
      </c>
      <c r="H2280" s="4" t="s">
        <v>4590</v>
      </c>
      <c r="I2280" s="4" t="s">
        <v>4642</v>
      </c>
      <c r="J2280" s="4" t="s">
        <v>4602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 s="4" t="s">
        <v>4643</v>
      </c>
    </row>
    <row r="2281" spans="1:20" x14ac:dyDescent="0.2">
      <c r="A2281" s="4" t="s">
        <v>4584</v>
      </c>
      <c r="B2281" s="4" t="s">
        <v>4597</v>
      </c>
      <c r="C2281" s="4" t="s">
        <v>4586</v>
      </c>
      <c r="D2281" s="4" t="s">
        <v>4584</v>
      </c>
      <c r="E2281" s="4" t="s">
        <v>4645</v>
      </c>
      <c r="F2281" s="4" t="s">
        <v>4640</v>
      </c>
      <c r="G2281" s="4" t="s">
        <v>4641</v>
      </c>
      <c r="H2281" s="4" t="s">
        <v>4590</v>
      </c>
      <c r="I2281" s="4" t="s">
        <v>4642</v>
      </c>
      <c r="J2281" s="4" t="s">
        <v>4599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 s="4" t="s">
        <v>4643</v>
      </c>
    </row>
    <row r="2282" spans="1:20" x14ac:dyDescent="0.2">
      <c r="A2282" s="4" t="s">
        <v>4584</v>
      </c>
      <c r="B2282" s="4" t="s">
        <v>4594</v>
      </c>
      <c r="C2282" s="4" t="s">
        <v>4586</v>
      </c>
      <c r="D2282" s="4" t="s">
        <v>4584</v>
      </c>
      <c r="E2282" s="4" t="s">
        <v>4646</v>
      </c>
      <c r="F2282" s="4" t="s">
        <v>4640</v>
      </c>
      <c r="G2282" s="4" t="s">
        <v>4641</v>
      </c>
      <c r="H2282" s="4" t="s">
        <v>4590</v>
      </c>
      <c r="I2282" s="4" t="s">
        <v>4642</v>
      </c>
      <c r="J2282" s="4" t="s">
        <v>4596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 s="4" t="s">
        <v>4643</v>
      </c>
    </row>
    <row r="2283" spans="1:20" x14ac:dyDescent="0.2">
      <c r="A2283" s="4" t="s">
        <v>4584</v>
      </c>
      <c r="B2283" s="4" t="s">
        <v>4585</v>
      </c>
      <c r="C2283" s="4" t="s">
        <v>4586</v>
      </c>
      <c r="D2283" s="4" t="s">
        <v>4584</v>
      </c>
      <c r="E2283" s="4" t="s">
        <v>4647</v>
      </c>
      <c r="F2283" s="4" t="s">
        <v>4648</v>
      </c>
      <c r="G2283" s="4" t="s">
        <v>4243</v>
      </c>
      <c r="H2283" s="4" t="s">
        <v>4590</v>
      </c>
      <c r="I2283" s="4" t="s">
        <v>4591</v>
      </c>
      <c r="J2283" s="4" t="s">
        <v>4592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 s="4" t="s">
        <v>4649</v>
      </c>
    </row>
    <row r="2284" spans="1:20" x14ac:dyDescent="0.2">
      <c r="A2284" s="4" t="s">
        <v>4584</v>
      </c>
      <c r="B2284" s="4" t="s">
        <v>4600</v>
      </c>
      <c r="C2284" s="4" t="s">
        <v>4586</v>
      </c>
      <c r="D2284" s="4" t="s">
        <v>4584</v>
      </c>
      <c r="E2284" s="4" t="s">
        <v>4650</v>
      </c>
      <c r="F2284" s="4" t="s">
        <v>4648</v>
      </c>
      <c r="G2284" s="4" t="s">
        <v>4243</v>
      </c>
      <c r="H2284" s="4" t="s">
        <v>4590</v>
      </c>
      <c r="I2284" s="4" t="s">
        <v>4591</v>
      </c>
      <c r="J2284" s="4" t="s">
        <v>4602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 s="4" t="s">
        <v>4649</v>
      </c>
    </row>
    <row r="2285" spans="1:20" x14ac:dyDescent="0.2">
      <c r="A2285" s="4" t="s">
        <v>4584</v>
      </c>
      <c r="B2285" s="4" t="s">
        <v>4594</v>
      </c>
      <c r="C2285" s="4" t="s">
        <v>4586</v>
      </c>
      <c r="D2285" s="4" t="s">
        <v>4584</v>
      </c>
      <c r="E2285" s="4" t="s">
        <v>4651</v>
      </c>
      <c r="F2285" s="4" t="s">
        <v>4648</v>
      </c>
      <c r="G2285" s="4" t="s">
        <v>4243</v>
      </c>
      <c r="H2285" s="4" t="s">
        <v>4590</v>
      </c>
      <c r="I2285" s="4" t="s">
        <v>4591</v>
      </c>
      <c r="J2285" s="4" t="s">
        <v>4596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 s="4" t="s">
        <v>4649</v>
      </c>
    </row>
    <row r="2286" spans="1:20" x14ac:dyDescent="0.2">
      <c r="A2286" s="4" t="s">
        <v>4584</v>
      </c>
      <c r="B2286" s="4" t="s">
        <v>4597</v>
      </c>
      <c r="C2286" s="4" t="s">
        <v>4586</v>
      </c>
      <c r="D2286" s="4" t="s">
        <v>4584</v>
      </c>
      <c r="E2286" s="4" t="s">
        <v>4652</v>
      </c>
      <c r="F2286" s="4" t="s">
        <v>4648</v>
      </c>
      <c r="G2286" s="4" t="s">
        <v>4243</v>
      </c>
      <c r="H2286" s="4" t="s">
        <v>4590</v>
      </c>
      <c r="I2286" s="4" t="s">
        <v>4591</v>
      </c>
      <c r="J2286" s="4" t="s">
        <v>4599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 s="4" t="s">
        <v>4649</v>
      </c>
    </row>
    <row r="2287" spans="1:20" x14ac:dyDescent="0.2">
      <c r="A2287" s="4" t="s">
        <v>4584</v>
      </c>
      <c r="B2287" s="4" t="s">
        <v>4653</v>
      </c>
      <c r="C2287" s="4" t="s">
        <v>4654</v>
      </c>
      <c r="D2287" s="4" t="s">
        <v>4584</v>
      </c>
      <c r="E2287" s="4" t="s">
        <v>4655</v>
      </c>
      <c r="F2287" s="4" t="s">
        <v>4656</v>
      </c>
      <c r="G2287" s="4" t="s">
        <v>4657</v>
      </c>
      <c r="H2287" s="4" t="s">
        <v>4658</v>
      </c>
      <c r="I2287" s="4" t="s">
        <v>4659</v>
      </c>
      <c r="J2287" s="4" t="s">
        <v>4660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s="4" t="s">
        <v>4661</v>
      </c>
    </row>
    <row r="2288" spans="1:20" x14ac:dyDescent="0.2">
      <c r="A2288" s="4" t="s">
        <v>4584</v>
      </c>
      <c r="B2288" s="4" t="s">
        <v>4662</v>
      </c>
      <c r="C2288" s="4" t="s">
        <v>4654</v>
      </c>
      <c r="D2288" s="4" t="s">
        <v>4584</v>
      </c>
      <c r="E2288" s="4" t="s">
        <v>4663</v>
      </c>
      <c r="F2288" s="4" t="s">
        <v>4664</v>
      </c>
      <c r="G2288" s="4" t="s">
        <v>4657</v>
      </c>
      <c r="H2288" s="4" t="s">
        <v>4665</v>
      </c>
      <c r="I2288" s="4" t="s">
        <v>4659</v>
      </c>
      <c r="J2288" s="4" t="s">
        <v>4666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 s="4" t="s">
        <v>4667</v>
      </c>
    </row>
    <row r="2289" spans="1:20" x14ac:dyDescent="0.2">
      <c r="A2289" s="4" t="s">
        <v>4584</v>
      </c>
      <c r="B2289" s="4" t="s">
        <v>4585</v>
      </c>
      <c r="C2289" s="4" t="s">
        <v>4586</v>
      </c>
      <c r="D2289" s="4" t="s">
        <v>4584</v>
      </c>
      <c r="E2289" s="4" t="s">
        <v>4668</v>
      </c>
      <c r="F2289" s="4" t="s">
        <v>4669</v>
      </c>
      <c r="G2289" s="4" t="s">
        <v>4430</v>
      </c>
      <c r="H2289" s="4" t="s">
        <v>4590</v>
      </c>
      <c r="I2289" s="4" t="s">
        <v>4591</v>
      </c>
      <c r="J2289" s="4" t="s">
        <v>4592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 s="4" t="s">
        <v>4670</v>
      </c>
    </row>
    <row r="2290" spans="1:20" x14ac:dyDescent="0.2">
      <c r="A2290" s="4" t="s">
        <v>4584</v>
      </c>
      <c r="B2290" s="4" t="s">
        <v>4600</v>
      </c>
      <c r="C2290" s="4" t="s">
        <v>4586</v>
      </c>
      <c r="D2290" s="4" t="s">
        <v>4584</v>
      </c>
      <c r="E2290" s="4" t="s">
        <v>4671</v>
      </c>
      <c r="F2290" s="4" t="s">
        <v>4669</v>
      </c>
      <c r="G2290" s="4" t="s">
        <v>4430</v>
      </c>
      <c r="H2290" s="4" t="s">
        <v>4590</v>
      </c>
      <c r="I2290" s="4" t="s">
        <v>4591</v>
      </c>
      <c r="J2290" s="4" t="s">
        <v>4602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 s="4" t="s">
        <v>4670</v>
      </c>
    </row>
    <row r="2291" spans="1:20" x14ac:dyDescent="0.2">
      <c r="A2291" s="4" t="s">
        <v>4584</v>
      </c>
      <c r="B2291" s="4" t="s">
        <v>4594</v>
      </c>
      <c r="C2291" s="4" t="s">
        <v>4586</v>
      </c>
      <c r="D2291" s="4" t="s">
        <v>4584</v>
      </c>
      <c r="E2291" s="4" t="s">
        <v>4672</v>
      </c>
      <c r="F2291" s="4" t="s">
        <v>4669</v>
      </c>
      <c r="G2291" s="4" t="s">
        <v>4430</v>
      </c>
      <c r="H2291" s="4" t="s">
        <v>4590</v>
      </c>
      <c r="I2291" s="4" t="s">
        <v>4591</v>
      </c>
      <c r="J2291" s="4" t="s">
        <v>4596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 s="4" t="s">
        <v>4670</v>
      </c>
    </row>
    <row r="2292" spans="1:20" x14ac:dyDescent="0.2">
      <c r="A2292" s="4" t="s">
        <v>4584</v>
      </c>
      <c r="B2292" s="4" t="s">
        <v>4597</v>
      </c>
      <c r="C2292" s="4" t="s">
        <v>4586</v>
      </c>
      <c r="D2292" s="4" t="s">
        <v>4584</v>
      </c>
      <c r="E2292" s="4" t="s">
        <v>4673</v>
      </c>
      <c r="F2292" s="4" t="s">
        <v>4669</v>
      </c>
      <c r="G2292" s="4" t="s">
        <v>4430</v>
      </c>
      <c r="H2292" s="4" t="s">
        <v>4590</v>
      </c>
      <c r="I2292" s="4" t="s">
        <v>4591</v>
      </c>
      <c r="J2292" s="4" t="s">
        <v>4599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 s="4" t="s">
        <v>4670</v>
      </c>
    </row>
    <row r="2293" spans="1:20" x14ac:dyDescent="0.2">
      <c r="A2293" s="4" t="s">
        <v>4584</v>
      </c>
      <c r="B2293" s="4" t="s">
        <v>4597</v>
      </c>
      <c r="C2293" s="4" t="s">
        <v>4586</v>
      </c>
      <c r="D2293" s="4" t="s">
        <v>4584</v>
      </c>
      <c r="E2293" s="4" t="s">
        <v>4674</v>
      </c>
      <c r="F2293" s="4" t="s">
        <v>4675</v>
      </c>
      <c r="G2293" s="4" t="s">
        <v>4676</v>
      </c>
      <c r="H2293" s="4" t="s">
        <v>4590</v>
      </c>
      <c r="I2293" s="4" t="s">
        <v>4591</v>
      </c>
      <c r="J2293" s="4" t="s">
        <v>4599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 s="4" t="s">
        <v>4677</v>
      </c>
    </row>
    <row r="2294" spans="1:20" x14ac:dyDescent="0.2">
      <c r="A2294" s="4" t="s">
        <v>4584</v>
      </c>
      <c r="B2294" s="4" t="s">
        <v>4594</v>
      </c>
      <c r="C2294" s="4" t="s">
        <v>4586</v>
      </c>
      <c r="D2294" s="4" t="s">
        <v>4584</v>
      </c>
      <c r="E2294" s="4" t="s">
        <v>4678</v>
      </c>
      <c r="F2294" s="4" t="s">
        <v>4675</v>
      </c>
      <c r="G2294" s="4" t="s">
        <v>4676</v>
      </c>
      <c r="H2294" s="4" t="s">
        <v>4590</v>
      </c>
      <c r="I2294" s="4" t="s">
        <v>4591</v>
      </c>
      <c r="J2294" s="4" t="s">
        <v>4596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 s="4" t="s">
        <v>4677</v>
      </c>
    </row>
    <row r="2295" spans="1:20" x14ac:dyDescent="0.2">
      <c r="A2295" s="4" t="s">
        <v>4584</v>
      </c>
      <c r="B2295" s="4" t="s">
        <v>4585</v>
      </c>
      <c r="C2295" s="4" t="s">
        <v>4586</v>
      </c>
      <c r="D2295" s="4" t="s">
        <v>4584</v>
      </c>
      <c r="E2295" s="4" t="s">
        <v>4679</v>
      </c>
      <c r="F2295" s="4" t="s">
        <v>4675</v>
      </c>
      <c r="G2295" s="4" t="s">
        <v>4676</v>
      </c>
      <c r="H2295" s="4" t="s">
        <v>4590</v>
      </c>
      <c r="I2295" s="4" t="s">
        <v>4591</v>
      </c>
      <c r="J2295" s="4" t="s">
        <v>4592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 s="4" t="s">
        <v>4677</v>
      </c>
    </row>
    <row r="2296" spans="1:20" x14ac:dyDescent="0.2">
      <c r="A2296" s="4" t="s">
        <v>4584</v>
      </c>
      <c r="B2296" s="4" t="s">
        <v>4600</v>
      </c>
      <c r="C2296" s="4" t="s">
        <v>4586</v>
      </c>
      <c r="D2296" s="4" t="s">
        <v>4584</v>
      </c>
      <c r="E2296" s="4" t="s">
        <v>4680</v>
      </c>
      <c r="F2296" s="4" t="s">
        <v>4675</v>
      </c>
      <c r="G2296" s="4" t="s">
        <v>4676</v>
      </c>
      <c r="H2296" s="4" t="s">
        <v>4590</v>
      </c>
      <c r="I2296" s="4" t="s">
        <v>4591</v>
      </c>
      <c r="J2296" s="4" t="s">
        <v>4602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 s="4" t="s">
        <v>4677</v>
      </c>
    </row>
    <row r="2297" spans="1:20" x14ac:dyDescent="0.2">
      <c r="A2297" s="4" t="s">
        <v>4584</v>
      </c>
      <c r="B2297" s="4" t="s">
        <v>4594</v>
      </c>
      <c r="C2297" s="4" t="s">
        <v>4586</v>
      </c>
      <c r="D2297" s="4" t="s">
        <v>4584</v>
      </c>
      <c r="E2297" s="4" t="s">
        <v>4681</v>
      </c>
      <c r="F2297" s="4" t="s">
        <v>4682</v>
      </c>
      <c r="G2297" s="4" t="s">
        <v>4683</v>
      </c>
      <c r="H2297" s="4" t="s">
        <v>4590</v>
      </c>
      <c r="I2297" s="4" t="s">
        <v>4591</v>
      </c>
      <c r="J2297" s="4" t="s">
        <v>4596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 s="4" t="s">
        <v>4684</v>
      </c>
    </row>
    <row r="2298" spans="1:20" x14ac:dyDescent="0.2">
      <c r="A2298" s="4" t="s">
        <v>4584</v>
      </c>
      <c r="B2298" s="4" t="s">
        <v>4597</v>
      </c>
      <c r="C2298" s="4" t="s">
        <v>4586</v>
      </c>
      <c r="D2298" s="4" t="s">
        <v>4584</v>
      </c>
      <c r="E2298" s="4" t="s">
        <v>4685</v>
      </c>
      <c r="F2298" s="4" t="s">
        <v>4682</v>
      </c>
      <c r="G2298" s="4" t="s">
        <v>4683</v>
      </c>
      <c r="H2298" s="4" t="s">
        <v>4590</v>
      </c>
      <c r="I2298" s="4" t="s">
        <v>4591</v>
      </c>
      <c r="J2298" s="4" t="s">
        <v>4599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 s="4" t="s">
        <v>4684</v>
      </c>
    </row>
    <row r="2299" spans="1:20" x14ac:dyDescent="0.2">
      <c r="A2299" s="4" t="s">
        <v>4584</v>
      </c>
      <c r="B2299" s="4" t="s">
        <v>4585</v>
      </c>
      <c r="C2299" s="4" t="s">
        <v>4586</v>
      </c>
      <c r="D2299" s="4" t="s">
        <v>4584</v>
      </c>
      <c r="E2299" s="4" t="s">
        <v>4686</v>
      </c>
      <c r="F2299" s="4" t="s">
        <v>4682</v>
      </c>
      <c r="G2299" s="4" t="s">
        <v>4683</v>
      </c>
      <c r="H2299" s="4" t="s">
        <v>4590</v>
      </c>
      <c r="I2299" s="4" t="s">
        <v>4591</v>
      </c>
      <c r="J2299" s="4" t="s">
        <v>4592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 s="4" t="s">
        <v>4684</v>
      </c>
    </row>
    <row r="2300" spans="1:20" x14ac:dyDescent="0.2">
      <c r="A2300" s="4" t="s">
        <v>4584</v>
      </c>
      <c r="B2300" s="4" t="s">
        <v>4600</v>
      </c>
      <c r="C2300" s="4" t="s">
        <v>4586</v>
      </c>
      <c r="D2300" s="4" t="s">
        <v>4584</v>
      </c>
      <c r="E2300" s="4" t="s">
        <v>4687</v>
      </c>
      <c r="F2300" s="4" t="s">
        <v>4682</v>
      </c>
      <c r="G2300" s="4" t="s">
        <v>4683</v>
      </c>
      <c r="H2300" s="4" t="s">
        <v>4590</v>
      </c>
      <c r="I2300" s="4" t="s">
        <v>4591</v>
      </c>
      <c r="J2300" s="4" t="s">
        <v>4602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 s="4" t="s">
        <v>4684</v>
      </c>
    </row>
    <row r="2301" spans="1:20" x14ac:dyDescent="0.2">
      <c r="A2301" s="4" t="s">
        <v>4584</v>
      </c>
      <c r="B2301" s="4" t="s">
        <v>4585</v>
      </c>
      <c r="C2301" s="4" t="s">
        <v>4586</v>
      </c>
      <c r="D2301" s="4" t="s">
        <v>4584</v>
      </c>
      <c r="E2301" s="4" t="s">
        <v>4688</v>
      </c>
      <c r="F2301" s="4" t="s">
        <v>4689</v>
      </c>
      <c r="G2301" s="4" t="s">
        <v>4690</v>
      </c>
      <c r="H2301" s="4" t="s">
        <v>4590</v>
      </c>
      <c r="I2301" s="4" t="s">
        <v>4591</v>
      </c>
      <c r="J2301" s="4" t="s">
        <v>4592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 s="4" t="s">
        <v>4691</v>
      </c>
    </row>
    <row r="2302" spans="1:20" x14ac:dyDescent="0.2">
      <c r="A2302" s="4" t="s">
        <v>4584</v>
      </c>
      <c r="B2302" s="4" t="s">
        <v>4594</v>
      </c>
      <c r="C2302" s="4" t="s">
        <v>4586</v>
      </c>
      <c r="D2302" s="4" t="s">
        <v>4584</v>
      </c>
      <c r="E2302" s="4" t="s">
        <v>4692</v>
      </c>
      <c r="F2302" s="4" t="s">
        <v>4689</v>
      </c>
      <c r="G2302" s="4" t="s">
        <v>4690</v>
      </c>
      <c r="H2302" s="4" t="s">
        <v>4590</v>
      </c>
      <c r="I2302" s="4" t="s">
        <v>4591</v>
      </c>
      <c r="J2302" s="4" t="s">
        <v>4596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 s="4" t="s">
        <v>4691</v>
      </c>
    </row>
    <row r="2303" spans="1:20" x14ac:dyDescent="0.2">
      <c r="A2303" s="4" t="s">
        <v>4584</v>
      </c>
      <c r="B2303" s="4" t="s">
        <v>4597</v>
      </c>
      <c r="C2303" s="4" t="s">
        <v>4586</v>
      </c>
      <c r="D2303" s="4" t="s">
        <v>4584</v>
      </c>
      <c r="E2303" s="4" t="s">
        <v>4693</v>
      </c>
      <c r="F2303" s="4" t="s">
        <v>4689</v>
      </c>
      <c r="G2303" s="4" t="s">
        <v>4690</v>
      </c>
      <c r="H2303" s="4" t="s">
        <v>4590</v>
      </c>
      <c r="I2303" s="4" t="s">
        <v>4591</v>
      </c>
      <c r="J2303" s="4" t="s">
        <v>4599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 s="4" t="s">
        <v>4691</v>
      </c>
    </row>
    <row r="2304" spans="1:20" x14ac:dyDescent="0.2">
      <c r="A2304" s="4" t="s">
        <v>4584</v>
      </c>
      <c r="B2304" s="4" t="s">
        <v>4600</v>
      </c>
      <c r="C2304" s="4" t="s">
        <v>4586</v>
      </c>
      <c r="D2304" s="4" t="s">
        <v>4584</v>
      </c>
      <c r="E2304" s="4" t="s">
        <v>4694</v>
      </c>
      <c r="F2304" s="4" t="s">
        <v>4689</v>
      </c>
      <c r="G2304" s="4" t="s">
        <v>4690</v>
      </c>
      <c r="H2304" s="4" t="s">
        <v>4590</v>
      </c>
      <c r="I2304" s="4" t="s">
        <v>4591</v>
      </c>
      <c r="J2304" s="4" t="s">
        <v>4602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 s="4" t="s">
        <v>4691</v>
      </c>
    </row>
    <row r="2305" spans="1:20" x14ac:dyDescent="0.2">
      <c r="A2305" s="4" t="s">
        <v>4584</v>
      </c>
      <c r="B2305" s="4" t="s">
        <v>4695</v>
      </c>
      <c r="C2305" s="4" t="s">
        <v>4696</v>
      </c>
      <c r="D2305" s="4" t="s">
        <v>4584</v>
      </c>
      <c r="E2305" s="4" t="s">
        <v>1077</v>
      </c>
      <c r="F2305" s="4" t="s">
        <v>4697</v>
      </c>
      <c r="G2305" s="4" t="s">
        <v>4696</v>
      </c>
      <c r="H2305" s="4" t="s">
        <v>4698</v>
      </c>
      <c r="I2305" s="4" t="s">
        <v>2100</v>
      </c>
      <c r="J2305" s="4" t="s">
        <v>4699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 s="4" t="s">
        <v>4700</v>
      </c>
    </row>
    <row r="2306" spans="1:20" x14ac:dyDescent="0.2">
      <c r="A2306" s="4" t="s">
        <v>4584</v>
      </c>
      <c r="B2306" s="4" t="s">
        <v>4701</v>
      </c>
      <c r="C2306" s="4" t="s">
        <v>4696</v>
      </c>
      <c r="D2306" s="4" t="s">
        <v>4584</v>
      </c>
      <c r="E2306" s="4" t="s">
        <v>1085</v>
      </c>
      <c r="F2306" s="4" t="s">
        <v>4702</v>
      </c>
      <c r="G2306" s="4" t="s">
        <v>4696</v>
      </c>
      <c r="H2306" s="4" t="s">
        <v>4698</v>
      </c>
      <c r="I2306" s="4" t="s">
        <v>2100</v>
      </c>
      <c r="J2306" s="4" t="s">
        <v>4703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 s="4" t="s">
        <v>4704</v>
      </c>
    </row>
    <row r="2307" spans="1:20" x14ac:dyDescent="0.2">
      <c r="A2307" s="4" t="s">
        <v>4584</v>
      </c>
      <c r="B2307" s="4" t="s">
        <v>4705</v>
      </c>
      <c r="C2307" s="4" t="s">
        <v>4696</v>
      </c>
      <c r="D2307" s="4" t="s">
        <v>4584</v>
      </c>
      <c r="E2307" s="4" t="s">
        <v>1087</v>
      </c>
      <c r="F2307" s="4" t="s">
        <v>4706</v>
      </c>
      <c r="G2307" s="4" t="s">
        <v>4696</v>
      </c>
      <c r="H2307" s="4" t="s">
        <v>4698</v>
      </c>
      <c r="I2307" s="4" t="s">
        <v>2100</v>
      </c>
      <c r="J2307" s="4" t="s">
        <v>4707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 s="4" t="s">
        <v>4708</v>
      </c>
    </row>
    <row r="2308" spans="1:20" x14ac:dyDescent="0.2">
      <c r="A2308" s="4" t="s">
        <v>4584</v>
      </c>
      <c r="B2308" s="4" t="s">
        <v>4709</v>
      </c>
      <c r="C2308" s="4" t="s">
        <v>4696</v>
      </c>
      <c r="D2308" s="4" t="s">
        <v>4584</v>
      </c>
      <c r="E2308" s="4" t="s">
        <v>1079</v>
      </c>
      <c r="F2308" s="4" t="s">
        <v>4710</v>
      </c>
      <c r="G2308" s="4" t="s">
        <v>4696</v>
      </c>
      <c r="H2308" s="4" t="s">
        <v>4698</v>
      </c>
      <c r="I2308" s="4" t="s">
        <v>2100</v>
      </c>
      <c r="J2308" s="4" t="s">
        <v>4711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s="4" t="s">
        <v>4712</v>
      </c>
    </row>
    <row r="2309" spans="1:20" x14ac:dyDescent="0.2">
      <c r="A2309" s="4" t="s">
        <v>4584</v>
      </c>
      <c r="B2309" s="4" t="s">
        <v>4713</v>
      </c>
      <c r="C2309" s="4" t="s">
        <v>4696</v>
      </c>
      <c r="D2309" s="4" t="s">
        <v>4584</v>
      </c>
      <c r="E2309" s="4" t="s">
        <v>1081</v>
      </c>
      <c r="F2309" s="4" t="s">
        <v>4714</v>
      </c>
      <c r="G2309" s="4" t="s">
        <v>4696</v>
      </c>
      <c r="H2309" s="4" t="s">
        <v>4698</v>
      </c>
      <c r="I2309" s="4" t="s">
        <v>2100</v>
      </c>
      <c r="J2309" s="4" t="s">
        <v>4715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 s="4" t="s">
        <v>4716</v>
      </c>
    </row>
    <row r="2310" spans="1:20" x14ac:dyDescent="0.2">
      <c r="A2310" s="4" t="s">
        <v>4584</v>
      </c>
      <c r="B2310" s="4" t="s">
        <v>4717</v>
      </c>
      <c r="C2310" s="4" t="s">
        <v>4696</v>
      </c>
      <c r="D2310" s="4" t="s">
        <v>4584</v>
      </c>
      <c r="E2310" s="4" t="s">
        <v>1083</v>
      </c>
      <c r="F2310" s="4" t="s">
        <v>4718</v>
      </c>
      <c r="G2310" s="4" t="s">
        <v>4696</v>
      </c>
      <c r="H2310" s="4" t="s">
        <v>4698</v>
      </c>
      <c r="I2310" s="4" t="s">
        <v>2100</v>
      </c>
      <c r="J2310" s="4" t="s">
        <v>4719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 s="4" t="s">
        <v>4720</v>
      </c>
    </row>
    <row r="2311" spans="1:20" x14ac:dyDescent="0.2">
      <c r="A2311" s="4" t="s">
        <v>4584</v>
      </c>
      <c r="B2311" s="4" t="s">
        <v>4585</v>
      </c>
      <c r="C2311" s="4" t="s">
        <v>4586</v>
      </c>
      <c r="D2311" s="4" t="s">
        <v>4584</v>
      </c>
      <c r="E2311" s="4" t="s">
        <v>4721</v>
      </c>
      <c r="F2311" s="4" t="s">
        <v>4722</v>
      </c>
      <c r="G2311" s="4" t="s">
        <v>4723</v>
      </c>
      <c r="H2311" s="4" t="s">
        <v>4724</v>
      </c>
      <c r="I2311" s="4" t="s">
        <v>2100</v>
      </c>
      <c r="J2311" s="4" t="s">
        <v>4592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 s="4" t="s">
        <v>4725</v>
      </c>
    </row>
    <row r="2312" spans="1:20" x14ac:dyDescent="0.2">
      <c r="A2312" s="4" t="s">
        <v>4584</v>
      </c>
      <c r="B2312" s="4" t="s">
        <v>4600</v>
      </c>
      <c r="C2312" s="4" t="s">
        <v>4586</v>
      </c>
      <c r="D2312" s="4" t="s">
        <v>4584</v>
      </c>
      <c r="E2312" s="4" t="s">
        <v>4726</v>
      </c>
      <c r="F2312" s="4" t="s">
        <v>4722</v>
      </c>
      <c r="G2312" s="4" t="s">
        <v>4723</v>
      </c>
      <c r="H2312" s="4" t="s">
        <v>4724</v>
      </c>
      <c r="I2312" s="4" t="s">
        <v>2100</v>
      </c>
      <c r="J2312" s="4" t="s">
        <v>4602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 s="4" t="s">
        <v>4725</v>
      </c>
    </row>
    <row r="2313" spans="1:20" x14ac:dyDescent="0.2">
      <c r="A2313" s="4" t="s">
        <v>4584</v>
      </c>
      <c r="B2313" s="4" t="s">
        <v>4594</v>
      </c>
      <c r="C2313" s="4" t="s">
        <v>4586</v>
      </c>
      <c r="D2313" s="4" t="s">
        <v>4584</v>
      </c>
      <c r="E2313" s="4" t="s">
        <v>4727</v>
      </c>
      <c r="F2313" s="4" t="s">
        <v>4722</v>
      </c>
      <c r="G2313" s="4" t="s">
        <v>4723</v>
      </c>
      <c r="H2313" s="4" t="s">
        <v>4724</v>
      </c>
      <c r="I2313" s="4" t="s">
        <v>2100</v>
      </c>
      <c r="J2313" s="4" t="s">
        <v>4596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 s="4" t="s">
        <v>4725</v>
      </c>
    </row>
    <row r="2314" spans="1:20" x14ac:dyDescent="0.2">
      <c r="A2314" s="4" t="s">
        <v>4584</v>
      </c>
      <c r="B2314" s="4" t="s">
        <v>4597</v>
      </c>
      <c r="C2314" s="4" t="s">
        <v>4586</v>
      </c>
      <c r="D2314" s="4" t="s">
        <v>4584</v>
      </c>
      <c r="E2314" s="4" t="s">
        <v>4728</v>
      </c>
      <c r="F2314" s="4" t="s">
        <v>4722</v>
      </c>
      <c r="G2314" s="4" t="s">
        <v>4723</v>
      </c>
      <c r="H2314" s="4" t="s">
        <v>4724</v>
      </c>
      <c r="I2314" s="4" t="s">
        <v>2100</v>
      </c>
      <c r="J2314" s="4" t="s">
        <v>4599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 s="4" t="s">
        <v>4725</v>
      </c>
    </row>
    <row r="2315" spans="1:20" x14ac:dyDescent="0.2">
      <c r="A2315" s="4" t="s">
        <v>4584</v>
      </c>
      <c r="B2315" s="4" t="s">
        <v>4597</v>
      </c>
      <c r="C2315" s="4" t="s">
        <v>4586</v>
      </c>
      <c r="D2315" s="4" t="s">
        <v>4584</v>
      </c>
      <c r="E2315" s="4" t="s">
        <v>4729</v>
      </c>
      <c r="F2315" s="4" t="s">
        <v>4730</v>
      </c>
      <c r="G2315" s="4" t="s">
        <v>4731</v>
      </c>
      <c r="H2315" s="4" t="s">
        <v>4590</v>
      </c>
      <c r="I2315" s="4" t="s">
        <v>4591</v>
      </c>
      <c r="J2315" s="4" t="s">
        <v>4599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 s="4" t="s">
        <v>4732</v>
      </c>
    </row>
    <row r="2316" spans="1:20" x14ac:dyDescent="0.2">
      <c r="A2316" s="4" t="s">
        <v>4584</v>
      </c>
      <c r="B2316" s="4" t="s">
        <v>4594</v>
      </c>
      <c r="C2316" s="4" t="s">
        <v>4586</v>
      </c>
      <c r="D2316" s="4" t="s">
        <v>4584</v>
      </c>
      <c r="E2316" s="4" t="s">
        <v>4733</v>
      </c>
      <c r="F2316" s="4" t="s">
        <v>4730</v>
      </c>
      <c r="G2316" s="4" t="s">
        <v>4731</v>
      </c>
      <c r="H2316" s="4" t="s">
        <v>4590</v>
      </c>
      <c r="I2316" s="4" t="s">
        <v>4591</v>
      </c>
      <c r="J2316" s="4" t="s">
        <v>4596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 s="4" t="s">
        <v>4732</v>
      </c>
    </row>
    <row r="2317" spans="1:20" x14ac:dyDescent="0.2">
      <c r="A2317" s="4" t="s">
        <v>4584</v>
      </c>
      <c r="B2317" s="4" t="s">
        <v>4585</v>
      </c>
      <c r="C2317" s="4" t="s">
        <v>4586</v>
      </c>
      <c r="D2317" s="4" t="s">
        <v>4584</v>
      </c>
      <c r="E2317" s="4" t="s">
        <v>4734</v>
      </c>
      <c r="F2317" s="4" t="s">
        <v>4730</v>
      </c>
      <c r="G2317" s="4" t="s">
        <v>4731</v>
      </c>
      <c r="H2317" s="4" t="s">
        <v>4590</v>
      </c>
      <c r="I2317" s="4" t="s">
        <v>4591</v>
      </c>
      <c r="J2317" s="4" t="s">
        <v>4592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 s="4" t="s">
        <v>4732</v>
      </c>
    </row>
    <row r="2318" spans="1:20" x14ac:dyDescent="0.2">
      <c r="A2318" s="4" t="s">
        <v>4584</v>
      </c>
      <c r="B2318" s="4" t="s">
        <v>4600</v>
      </c>
      <c r="C2318" s="4" t="s">
        <v>4586</v>
      </c>
      <c r="D2318" s="4" t="s">
        <v>4584</v>
      </c>
      <c r="E2318" s="4" t="s">
        <v>4735</v>
      </c>
      <c r="F2318" s="4" t="s">
        <v>4730</v>
      </c>
      <c r="G2318" s="4" t="s">
        <v>4731</v>
      </c>
      <c r="H2318" s="4" t="s">
        <v>4590</v>
      </c>
      <c r="I2318" s="4" t="s">
        <v>4591</v>
      </c>
      <c r="J2318" s="4" t="s">
        <v>4602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 s="4" t="s">
        <v>4732</v>
      </c>
    </row>
    <row r="2319" spans="1:20" x14ac:dyDescent="0.2">
      <c r="A2319" s="4" t="s">
        <v>4584</v>
      </c>
      <c r="B2319" s="4" t="s">
        <v>4585</v>
      </c>
      <c r="C2319" s="4" t="s">
        <v>4586</v>
      </c>
      <c r="D2319" s="4" t="s">
        <v>4584</v>
      </c>
      <c r="E2319" s="4" t="s">
        <v>4736</v>
      </c>
      <c r="F2319" s="4" t="s">
        <v>4737</v>
      </c>
      <c r="G2319" s="4" t="s">
        <v>4738</v>
      </c>
      <c r="H2319" s="4" t="s">
        <v>4739</v>
      </c>
      <c r="I2319" s="4" t="s">
        <v>2100</v>
      </c>
      <c r="J2319" s="4" t="s">
        <v>4592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 s="4" t="s">
        <v>4740</v>
      </c>
    </row>
    <row r="2320" spans="1:20" x14ac:dyDescent="0.2">
      <c r="A2320" s="4" t="s">
        <v>4584</v>
      </c>
      <c r="B2320" s="4" t="s">
        <v>4600</v>
      </c>
      <c r="C2320" s="4" t="s">
        <v>4586</v>
      </c>
      <c r="D2320" s="4" t="s">
        <v>4584</v>
      </c>
      <c r="E2320" s="4" t="s">
        <v>4741</v>
      </c>
      <c r="F2320" s="4" t="s">
        <v>4737</v>
      </c>
      <c r="G2320" s="4" t="s">
        <v>4738</v>
      </c>
      <c r="H2320" s="4" t="s">
        <v>4739</v>
      </c>
      <c r="I2320" s="4" t="s">
        <v>2100</v>
      </c>
      <c r="J2320" s="4" t="s">
        <v>4602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 s="4" t="s">
        <v>4740</v>
      </c>
    </row>
    <row r="2321" spans="1:20" x14ac:dyDescent="0.2">
      <c r="A2321" s="4" t="s">
        <v>4584</v>
      </c>
      <c r="B2321" s="4" t="s">
        <v>4594</v>
      </c>
      <c r="C2321" s="4" t="s">
        <v>4586</v>
      </c>
      <c r="D2321" s="4" t="s">
        <v>4584</v>
      </c>
      <c r="E2321" s="4" t="s">
        <v>4742</v>
      </c>
      <c r="F2321" s="4" t="s">
        <v>4737</v>
      </c>
      <c r="G2321" s="4" t="s">
        <v>4738</v>
      </c>
      <c r="H2321" s="4" t="s">
        <v>4739</v>
      </c>
      <c r="I2321" s="4" t="s">
        <v>2100</v>
      </c>
      <c r="J2321" s="4" t="s">
        <v>4596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 s="4" t="s">
        <v>4740</v>
      </c>
    </row>
    <row r="2322" spans="1:20" x14ac:dyDescent="0.2">
      <c r="A2322" s="4" t="s">
        <v>4584</v>
      </c>
      <c r="B2322" s="4" t="s">
        <v>4597</v>
      </c>
      <c r="C2322" s="4" t="s">
        <v>4586</v>
      </c>
      <c r="D2322" s="4" t="s">
        <v>4584</v>
      </c>
      <c r="E2322" s="4" t="s">
        <v>4743</v>
      </c>
      <c r="F2322" s="4" t="s">
        <v>4737</v>
      </c>
      <c r="G2322" s="4" t="s">
        <v>4738</v>
      </c>
      <c r="H2322" s="4" t="s">
        <v>4739</v>
      </c>
      <c r="I2322" s="4" t="s">
        <v>2100</v>
      </c>
      <c r="J2322" s="4" t="s">
        <v>4599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 s="4" t="s">
        <v>4740</v>
      </c>
    </row>
    <row r="2323" spans="1:20" x14ac:dyDescent="0.2">
      <c r="A2323" s="4" t="s">
        <v>4584</v>
      </c>
      <c r="B2323" s="4" t="s">
        <v>4585</v>
      </c>
      <c r="C2323" s="4" t="s">
        <v>4586</v>
      </c>
      <c r="D2323" s="4" t="s">
        <v>4584</v>
      </c>
      <c r="E2323" s="4" t="s">
        <v>4744</v>
      </c>
      <c r="F2323" s="4" t="s">
        <v>4745</v>
      </c>
      <c r="G2323" s="4" t="s">
        <v>4746</v>
      </c>
      <c r="H2323" s="4" t="s">
        <v>4619</v>
      </c>
      <c r="I2323" s="4" t="s">
        <v>2100</v>
      </c>
      <c r="J2323" s="4" t="s">
        <v>4592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 s="4" t="s">
        <v>4747</v>
      </c>
    </row>
    <row r="2324" spans="1:20" x14ac:dyDescent="0.2">
      <c r="A2324" s="4" t="s">
        <v>4584</v>
      </c>
      <c r="B2324" s="4" t="s">
        <v>4600</v>
      </c>
      <c r="C2324" s="4" t="s">
        <v>4586</v>
      </c>
      <c r="D2324" s="4" t="s">
        <v>4584</v>
      </c>
      <c r="E2324" s="4" t="s">
        <v>4748</v>
      </c>
      <c r="F2324" s="4" t="s">
        <v>4745</v>
      </c>
      <c r="G2324" s="4" t="s">
        <v>4746</v>
      </c>
      <c r="H2324" s="4" t="s">
        <v>4619</v>
      </c>
      <c r="I2324" s="4" t="s">
        <v>2100</v>
      </c>
      <c r="J2324" s="4" t="s">
        <v>4602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 s="4" t="s">
        <v>4747</v>
      </c>
    </row>
    <row r="2325" spans="1:20" x14ac:dyDescent="0.2">
      <c r="A2325" s="4" t="s">
        <v>4584</v>
      </c>
      <c r="B2325" s="4" t="s">
        <v>4597</v>
      </c>
      <c r="C2325" s="4" t="s">
        <v>4586</v>
      </c>
      <c r="D2325" s="4" t="s">
        <v>4584</v>
      </c>
      <c r="E2325" s="4" t="s">
        <v>4749</v>
      </c>
      <c r="F2325" s="4" t="s">
        <v>4745</v>
      </c>
      <c r="G2325" s="4" t="s">
        <v>4746</v>
      </c>
      <c r="H2325" s="4" t="s">
        <v>4619</v>
      </c>
      <c r="I2325" s="4" t="s">
        <v>2100</v>
      </c>
      <c r="J2325" s="4" t="s">
        <v>4599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 s="4" t="s">
        <v>4747</v>
      </c>
    </row>
    <row r="2326" spans="1:20" x14ac:dyDescent="0.2">
      <c r="A2326" s="4" t="s">
        <v>4584</v>
      </c>
      <c r="B2326" s="4" t="s">
        <v>4585</v>
      </c>
      <c r="C2326" s="4" t="s">
        <v>4586</v>
      </c>
      <c r="D2326" s="4" t="s">
        <v>4584</v>
      </c>
      <c r="E2326" s="4" t="s">
        <v>4750</v>
      </c>
      <c r="F2326" s="4" t="s">
        <v>4751</v>
      </c>
      <c r="G2326" s="4" t="s">
        <v>4472</v>
      </c>
      <c r="H2326" s="4" t="s">
        <v>4590</v>
      </c>
      <c r="I2326" s="4" t="s">
        <v>4591</v>
      </c>
      <c r="J2326" s="4" t="s">
        <v>4592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 s="4" t="s">
        <v>4752</v>
      </c>
    </row>
    <row r="2327" spans="1:20" x14ac:dyDescent="0.2">
      <c r="A2327" s="4" t="s">
        <v>4584</v>
      </c>
      <c r="B2327" s="4" t="s">
        <v>4600</v>
      </c>
      <c r="C2327" s="4" t="s">
        <v>4586</v>
      </c>
      <c r="D2327" s="4" t="s">
        <v>4584</v>
      </c>
      <c r="E2327" s="4" t="s">
        <v>4753</v>
      </c>
      <c r="F2327" s="4" t="s">
        <v>4751</v>
      </c>
      <c r="G2327" s="4" t="s">
        <v>4472</v>
      </c>
      <c r="H2327" s="4" t="s">
        <v>4590</v>
      </c>
      <c r="I2327" s="4" t="s">
        <v>4591</v>
      </c>
      <c r="J2327" s="4" t="s">
        <v>4602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 s="4" t="s">
        <v>4752</v>
      </c>
    </row>
    <row r="2328" spans="1:20" x14ac:dyDescent="0.2">
      <c r="A2328" s="4" t="s">
        <v>4584</v>
      </c>
      <c r="B2328" s="4" t="s">
        <v>4594</v>
      </c>
      <c r="C2328" s="4" t="s">
        <v>4586</v>
      </c>
      <c r="D2328" s="4" t="s">
        <v>4584</v>
      </c>
      <c r="E2328" s="4" t="s">
        <v>4754</v>
      </c>
      <c r="F2328" s="4" t="s">
        <v>4751</v>
      </c>
      <c r="G2328" s="4" t="s">
        <v>4472</v>
      </c>
      <c r="H2328" s="4" t="s">
        <v>4590</v>
      </c>
      <c r="I2328" s="4" t="s">
        <v>4591</v>
      </c>
      <c r="J2328" s="4" t="s">
        <v>4596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 s="4" t="s">
        <v>4752</v>
      </c>
    </row>
    <row r="2329" spans="1:20" x14ac:dyDescent="0.2">
      <c r="A2329" s="4" t="s">
        <v>4584</v>
      </c>
      <c r="B2329" s="4" t="s">
        <v>4597</v>
      </c>
      <c r="C2329" s="4" t="s">
        <v>4586</v>
      </c>
      <c r="D2329" s="4" t="s">
        <v>4584</v>
      </c>
      <c r="E2329" s="4" t="s">
        <v>4755</v>
      </c>
      <c r="F2329" s="4" t="s">
        <v>4751</v>
      </c>
      <c r="G2329" s="4" t="s">
        <v>4472</v>
      </c>
      <c r="H2329" s="4" t="s">
        <v>4590</v>
      </c>
      <c r="I2329" s="4" t="s">
        <v>4591</v>
      </c>
      <c r="J2329" s="4" t="s">
        <v>4599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s="4" t="s">
        <v>4752</v>
      </c>
    </row>
    <row r="2330" spans="1:20" x14ac:dyDescent="0.2">
      <c r="A2330" s="4" t="s">
        <v>4584</v>
      </c>
      <c r="B2330" s="4" t="s">
        <v>4585</v>
      </c>
      <c r="C2330" s="4" t="s">
        <v>4586</v>
      </c>
      <c r="D2330" s="4" t="s">
        <v>4584</v>
      </c>
      <c r="E2330" s="4" t="s">
        <v>4756</v>
      </c>
      <c r="F2330" s="4" t="s">
        <v>4757</v>
      </c>
      <c r="G2330" s="4" t="s">
        <v>4472</v>
      </c>
      <c r="H2330" s="4" t="s">
        <v>4619</v>
      </c>
      <c r="I2330" s="4" t="s">
        <v>2100</v>
      </c>
      <c r="J2330" s="4" t="s">
        <v>4592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 s="4" t="s">
        <v>4758</v>
      </c>
    </row>
    <row r="2331" spans="1:20" x14ac:dyDescent="0.2">
      <c r="A2331" s="4" t="s">
        <v>4584</v>
      </c>
      <c r="B2331" s="4" t="s">
        <v>4600</v>
      </c>
      <c r="C2331" s="4" t="s">
        <v>4586</v>
      </c>
      <c r="D2331" s="4" t="s">
        <v>4584</v>
      </c>
      <c r="E2331" s="4" t="s">
        <v>4759</v>
      </c>
      <c r="F2331" s="4" t="s">
        <v>4757</v>
      </c>
      <c r="G2331" s="4" t="s">
        <v>4472</v>
      </c>
      <c r="H2331" s="4" t="s">
        <v>4619</v>
      </c>
      <c r="I2331" s="4" t="s">
        <v>2100</v>
      </c>
      <c r="J2331" s="4" t="s">
        <v>4602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 s="4" t="s">
        <v>4758</v>
      </c>
    </row>
    <row r="2332" spans="1:20" x14ac:dyDescent="0.2">
      <c r="A2332" s="4" t="s">
        <v>4584</v>
      </c>
      <c r="B2332" s="4" t="s">
        <v>4594</v>
      </c>
      <c r="C2332" s="4" t="s">
        <v>4586</v>
      </c>
      <c r="D2332" s="4" t="s">
        <v>4584</v>
      </c>
      <c r="E2332" s="4" t="s">
        <v>4760</v>
      </c>
      <c r="F2332" s="4" t="s">
        <v>4757</v>
      </c>
      <c r="G2332" s="4" t="s">
        <v>4472</v>
      </c>
      <c r="H2332" s="4" t="s">
        <v>4619</v>
      </c>
      <c r="I2332" s="4" t="s">
        <v>2100</v>
      </c>
      <c r="J2332" s="4" t="s">
        <v>4596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 s="4" t="s">
        <v>4758</v>
      </c>
    </row>
    <row r="2333" spans="1:20" x14ac:dyDescent="0.2">
      <c r="A2333" s="4" t="s">
        <v>4584</v>
      </c>
      <c r="B2333" s="4" t="s">
        <v>4597</v>
      </c>
      <c r="C2333" s="4" t="s">
        <v>4586</v>
      </c>
      <c r="D2333" s="4" t="s">
        <v>4584</v>
      </c>
      <c r="E2333" s="4" t="s">
        <v>4761</v>
      </c>
      <c r="F2333" s="4" t="s">
        <v>4757</v>
      </c>
      <c r="G2333" s="4" t="s">
        <v>4472</v>
      </c>
      <c r="H2333" s="4" t="s">
        <v>4619</v>
      </c>
      <c r="I2333" s="4" t="s">
        <v>2100</v>
      </c>
      <c r="J2333" s="4" t="s">
        <v>4599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 s="4" t="s">
        <v>4758</v>
      </c>
    </row>
    <row r="2334" spans="1:20" x14ac:dyDescent="0.2">
      <c r="A2334" s="4" t="s">
        <v>4584</v>
      </c>
      <c r="B2334" s="4" t="s">
        <v>4594</v>
      </c>
      <c r="C2334" s="4" t="s">
        <v>4586</v>
      </c>
      <c r="D2334" s="4" t="s">
        <v>4584</v>
      </c>
      <c r="E2334" s="4" t="s">
        <v>4762</v>
      </c>
      <c r="F2334" s="4" t="s">
        <v>4763</v>
      </c>
      <c r="G2334" s="4" t="s">
        <v>4764</v>
      </c>
      <c r="H2334" s="4" t="s">
        <v>4619</v>
      </c>
      <c r="I2334" s="4" t="s">
        <v>2100</v>
      </c>
      <c r="J2334" s="4" t="s">
        <v>4596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 s="4" t="s">
        <v>4765</v>
      </c>
    </row>
    <row r="2335" spans="1:20" x14ac:dyDescent="0.2">
      <c r="A2335" s="4" t="s">
        <v>4584</v>
      </c>
      <c r="B2335" s="4" t="s">
        <v>4585</v>
      </c>
      <c r="C2335" s="4" t="s">
        <v>4586</v>
      </c>
      <c r="D2335" s="4" t="s">
        <v>4584</v>
      </c>
      <c r="E2335" s="4" t="s">
        <v>4766</v>
      </c>
      <c r="F2335" s="4" t="s">
        <v>4767</v>
      </c>
      <c r="G2335" s="4" t="s">
        <v>4768</v>
      </c>
      <c r="H2335" s="4" t="s">
        <v>4590</v>
      </c>
      <c r="I2335" s="4" t="s">
        <v>4591</v>
      </c>
      <c r="J2335" s="4" t="s">
        <v>4592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 s="4" t="s">
        <v>4769</v>
      </c>
    </row>
    <row r="2336" spans="1:20" x14ac:dyDescent="0.2">
      <c r="A2336" s="4" t="s">
        <v>4584</v>
      </c>
      <c r="B2336" s="4" t="s">
        <v>4600</v>
      </c>
      <c r="C2336" s="4" t="s">
        <v>4586</v>
      </c>
      <c r="D2336" s="4" t="s">
        <v>4584</v>
      </c>
      <c r="E2336" s="4" t="s">
        <v>4770</v>
      </c>
      <c r="F2336" s="4" t="s">
        <v>4767</v>
      </c>
      <c r="G2336" s="4" t="s">
        <v>4768</v>
      </c>
      <c r="H2336" s="4" t="s">
        <v>4590</v>
      </c>
      <c r="I2336" s="4" t="s">
        <v>4591</v>
      </c>
      <c r="J2336" s="4" t="s">
        <v>4602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 s="4" t="s">
        <v>4769</v>
      </c>
    </row>
    <row r="2337" spans="1:20" x14ac:dyDescent="0.2">
      <c r="A2337" s="4" t="s">
        <v>4584</v>
      </c>
      <c r="B2337" s="4" t="s">
        <v>4594</v>
      </c>
      <c r="C2337" s="4" t="s">
        <v>4586</v>
      </c>
      <c r="D2337" s="4" t="s">
        <v>4584</v>
      </c>
      <c r="E2337" s="4" t="s">
        <v>4771</v>
      </c>
      <c r="F2337" s="4" t="s">
        <v>4767</v>
      </c>
      <c r="G2337" s="4" t="s">
        <v>4768</v>
      </c>
      <c r="H2337" s="4" t="s">
        <v>4590</v>
      </c>
      <c r="I2337" s="4" t="s">
        <v>4591</v>
      </c>
      <c r="J2337" s="4" t="s">
        <v>4596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 s="4" t="s">
        <v>4769</v>
      </c>
    </row>
    <row r="2338" spans="1:20" x14ac:dyDescent="0.2">
      <c r="A2338" s="4" t="s">
        <v>4584</v>
      </c>
      <c r="B2338" s="4" t="s">
        <v>4597</v>
      </c>
      <c r="C2338" s="4" t="s">
        <v>4586</v>
      </c>
      <c r="D2338" s="4" t="s">
        <v>4584</v>
      </c>
      <c r="E2338" s="4" t="s">
        <v>4772</v>
      </c>
      <c r="F2338" s="4" t="s">
        <v>4767</v>
      </c>
      <c r="G2338" s="4" t="s">
        <v>4768</v>
      </c>
      <c r="H2338" s="4" t="s">
        <v>4590</v>
      </c>
      <c r="I2338" s="4" t="s">
        <v>4591</v>
      </c>
      <c r="J2338" s="4" t="s">
        <v>4599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 s="4" t="s">
        <v>4769</v>
      </c>
    </row>
    <row r="2339" spans="1:20" x14ac:dyDescent="0.2">
      <c r="A2339" s="4" t="s">
        <v>4584</v>
      </c>
      <c r="B2339" s="4" t="s">
        <v>4585</v>
      </c>
      <c r="C2339" s="4" t="s">
        <v>4586</v>
      </c>
      <c r="D2339" s="4" t="s">
        <v>4584</v>
      </c>
      <c r="E2339" s="4" t="s">
        <v>4773</v>
      </c>
      <c r="F2339" s="4" t="s">
        <v>4774</v>
      </c>
      <c r="G2339" s="4" t="s">
        <v>4775</v>
      </c>
      <c r="H2339" s="4" t="s">
        <v>4590</v>
      </c>
      <c r="I2339" s="4" t="s">
        <v>4591</v>
      </c>
      <c r="J2339" s="4" t="s">
        <v>4592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 s="4" t="s">
        <v>4776</v>
      </c>
    </row>
    <row r="2340" spans="1:20" x14ac:dyDescent="0.2">
      <c r="A2340" s="4" t="s">
        <v>4584</v>
      </c>
      <c r="B2340" s="4" t="s">
        <v>4600</v>
      </c>
      <c r="C2340" s="4" t="s">
        <v>4586</v>
      </c>
      <c r="D2340" s="4" t="s">
        <v>4584</v>
      </c>
      <c r="E2340" s="4" t="s">
        <v>4777</v>
      </c>
      <c r="F2340" s="4" t="s">
        <v>4774</v>
      </c>
      <c r="G2340" s="4" t="s">
        <v>4775</v>
      </c>
      <c r="H2340" s="4" t="s">
        <v>4590</v>
      </c>
      <c r="I2340" s="4" t="s">
        <v>4591</v>
      </c>
      <c r="J2340" s="4" t="s">
        <v>4602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 s="4" t="s">
        <v>4776</v>
      </c>
    </row>
    <row r="2341" spans="1:20" x14ac:dyDescent="0.2">
      <c r="A2341" s="4" t="s">
        <v>4584</v>
      </c>
      <c r="B2341" s="4" t="s">
        <v>4594</v>
      </c>
      <c r="C2341" s="4" t="s">
        <v>4586</v>
      </c>
      <c r="D2341" s="4" t="s">
        <v>4584</v>
      </c>
      <c r="E2341" s="4" t="s">
        <v>4778</v>
      </c>
      <c r="F2341" s="4" t="s">
        <v>4774</v>
      </c>
      <c r="G2341" s="4" t="s">
        <v>4775</v>
      </c>
      <c r="H2341" s="4" t="s">
        <v>4590</v>
      </c>
      <c r="I2341" s="4" t="s">
        <v>4591</v>
      </c>
      <c r="J2341" s="4" t="s">
        <v>4596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 s="4" t="s">
        <v>4776</v>
      </c>
    </row>
    <row r="2342" spans="1:20" x14ac:dyDescent="0.2">
      <c r="A2342" s="4" t="s">
        <v>4584</v>
      </c>
      <c r="B2342" s="4" t="s">
        <v>4597</v>
      </c>
      <c r="C2342" s="4" t="s">
        <v>4586</v>
      </c>
      <c r="D2342" s="4" t="s">
        <v>4584</v>
      </c>
      <c r="E2342" s="4" t="s">
        <v>4779</v>
      </c>
      <c r="F2342" s="4" t="s">
        <v>4774</v>
      </c>
      <c r="G2342" s="4" t="s">
        <v>4775</v>
      </c>
      <c r="H2342" s="4" t="s">
        <v>4590</v>
      </c>
      <c r="I2342" s="4" t="s">
        <v>4591</v>
      </c>
      <c r="J2342" s="4" t="s">
        <v>4599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 s="4" t="s">
        <v>4776</v>
      </c>
    </row>
    <row r="2343" spans="1:20" x14ac:dyDescent="0.2">
      <c r="A2343" s="4" t="s">
        <v>4584</v>
      </c>
      <c r="B2343" s="4" t="s">
        <v>4585</v>
      </c>
      <c r="C2343" s="4" t="s">
        <v>4586</v>
      </c>
      <c r="D2343" s="4" t="s">
        <v>4584</v>
      </c>
      <c r="E2343" s="4" t="s">
        <v>4780</v>
      </c>
      <c r="F2343" s="4" t="s">
        <v>4781</v>
      </c>
      <c r="G2343" s="4" t="s">
        <v>4782</v>
      </c>
      <c r="H2343" s="4" t="s">
        <v>4590</v>
      </c>
      <c r="I2343" s="4" t="s">
        <v>4591</v>
      </c>
      <c r="J2343" s="4" t="s">
        <v>4592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 s="4" t="s">
        <v>4783</v>
      </c>
    </row>
    <row r="2344" spans="1:20" x14ac:dyDescent="0.2">
      <c r="A2344" s="4" t="s">
        <v>4584</v>
      </c>
      <c r="B2344" s="4" t="s">
        <v>4600</v>
      </c>
      <c r="C2344" s="4" t="s">
        <v>4586</v>
      </c>
      <c r="D2344" s="4" t="s">
        <v>4584</v>
      </c>
      <c r="E2344" s="4" t="s">
        <v>4784</v>
      </c>
      <c r="F2344" s="4" t="s">
        <v>4781</v>
      </c>
      <c r="G2344" s="4" t="s">
        <v>4782</v>
      </c>
      <c r="H2344" s="4" t="s">
        <v>4590</v>
      </c>
      <c r="I2344" s="4" t="s">
        <v>4591</v>
      </c>
      <c r="J2344" s="4" t="s">
        <v>4602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 s="4" t="s">
        <v>4783</v>
      </c>
    </row>
    <row r="2345" spans="1:20" x14ac:dyDescent="0.2">
      <c r="A2345" s="4" t="s">
        <v>4584</v>
      </c>
      <c r="B2345" s="4" t="s">
        <v>4594</v>
      </c>
      <c r="C2345" s="4" t="s">
        <v>4586</v>
      </c>
      <c r="D2345" s="4" t="s">
        <v>4584</v>
      </c>
      <c r="E2345" s="4" t="s">
        <v>4785</v>
      </c>
      <c r="F2345" s="4" t="s">
        <v>4781</v>
      </c>
      <c r="G2345" s="4" t="s">
        <v>4782</v>
      </c>
      <c r="H2345" s="4" t="s">
        <v>4590</v>
      </c>
      <c r="I2345" s="4" t="s">
        <v>4591</v>
      </c>
      <c r="J2345" s="4" t="s">
        <v>4596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 s="4" t="s">
        <v>4783</v>
      </c>
    </row>
    <row r="2346" spans="1:20" x14ac:dyDescent="0.2">
      <c r="A2346" s="4" t="s">
        <v>4584</v>
      </c>
      <c r="B2346" s="4" t="s">
        <v>4597</v>
      </c>
      <c r="C2346" s="4" t="s">
        <v>4586</v>
      </c>
      <c r="D2346" s="4" t="s">
        <v>4584</v>
      </c>
      <c r="E2346" s="4" t="s">
        <v>4786</v>
      </c>
      <c r="F2346" s="4" t="s">
        <v>4781</v>
      </c>
      <c r="G2346" s="4" t="s">
        <v>4782</v>
      </c>
      <c r="H2346" s="4" t="s">
        <v>4590</v>
      </c>
      <c r="I2346" s="4" t="s">
        <v>4591</v>
      </c>
      <c r="J2346" s="4" t="s">
        <v>4599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 s="4" t="s">
        <v>4783</v>
      </c>
    </row>
    <row r="2347" spans="1:20" x14ac:dyDescent="0.2">
      <c r="A2347" s="4" t="s">
        <v>4787</v>
      </c>
      <c r="B2347" s="4" t="s">
        <v>4788</v>
      </c>
      <c r="C2347" s="4" t="s">
        <v>3110</v>
      </c>
      <c r="D2347" s="4" t="s">
        <v>4764</v>
      </c>
      <c r="E2347" s="4" t="s">
        <v>4789</v>
      </c>
      <c r="F2347" s="4" t="s">
        <v>6156</v>
      </c>
      <c r="G2347" s="4" t="s">
        <v>4824</v>
      </c>
      <c r="H2347" s="4" t="s">
        <v>4790</v>
      </c>
      <c r="I2347" s="4" t="s">
        <v>3110</v>
      </c>
      <c r="J2347" s="4" t="s">
        <v>2410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 s="4" t="s">
        <v>6157</v>
      </c>
    </row>
    <row r="2348" spans="1:20" x14ac:dyDescent="0.2">
      <c r="A2348" s="4" t="s">
        <v>4787</v>
      </c>
      <c r="B2348" s="4" t="s">
        <v>4788</v>
      </c>
      <c r="C2348" s="4" t="s">
        <v>3110</v>
      </c>
      <c r="D2348" s="4" t="s">
        <v>4764</v>
      </c>
      <c r="E2348" s="4" t="s">
        <v>4791</v>
      </c>
      <c r="F2348" s="4" t="s">
        <v>6158</v>
      </c>
      <c r="G2348" s="4" t="s">
        <v>4824</v>
      </c>
      <c r="H2348" s="4" t="s">
        <v>4792</v>
      </c>
      <c r="I2348" s="4" t="s">
        <v>3110</v>
      </c>
      <c r="J2348" s="4" t="s">
        <v>2410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 s="4" t="s">
        <v>6159</v>
      </c>
    </row>
    <row r="2349" spans="1:20" x14ac:dyDescent="0.2">
      <c r="A2349" s="4" t="s">
        <v>4793</v>
      </c>
      <c r="B2349" s="4" t="s">
        <v>4794</v>
      </c>
      <c r="C2349" s="4" t="s">
        <v>3110</v>
      </c>
      <c r="D2349" s="4" t="s">
        <v>4764</v>
      </c>
      <c r="E2349" s="4" t="s">
        <v>4795</v>
      </c>
      <c r="F2349" s="4" t="s">
        <v>6160</v>
      </c>
      <c r="G2349" s="4" t="s">
        <v>4981</v>
      </c>
      <c r="H2349" s="4" t="s">
        <v>4796</v>
      </c>
      <c r="I2349" s="4" t="s">
        <v>3110</v>
      </c>
      <c r="J2349" s="4" t="s">
        <v>2570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4" t="s">
        <v>6161</v>
      </c>
    </row>
    <row r="2350" spans="1:20" x14ac:dyDescent="0.2">
      <c r="A2350" s="4" t="s">
        <v>4793</v>
      </c>
      <c r="B2350" s="4" t="s">
        <v>4794</v>
      </c>
      <c r="C2350" s="4" t="s">
        <v>3110</v>
      </c>
      <c r="D2350" s="4" t="s">
        <v>4764</v>
      </c>
      <c r="E2350" s="4" t="s">
        <v>4797</v>
      </c>
      <c r="F2350" s="4" t="s">
        <v>6160</v>
      </c>
      <c r="G2350" s="4" t="s">
        <v>4981</v>
      </c>
      <c r="H2350" s="4" t="s">
        <v>4796</v>
      </c>
      <c r="I2350" s="4" t="s">
        <v>3110</v>
      </c>
      <c r="J2350" s="4" t="s">
        <v>2570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s="4" t="s">
        <v>6161</v>
      </c>
    </row>
    <row r="2351" spans="1:20" x14ac:dyDescent="0.2">
      <c r="A2351" s="4" t="s">
        <v>4793</v>
      </c>
      <c r="B2351" s="4" t="s">
        <v>4798</v>
      </c>
      <c r="C2351" s="4" t="s">
        <v>3110</v>
      </c>
      <c r="D2351" s="4" t="s">
        <v>4764</v>
      </c>
      <c r="E2351" s="4" t="s">
        <v>4799</v>
      </c>
      <c r="F2351" s="4" t="s">
        <v>6162</v>
      </c>
      <c r="G2351" s="4" t="s">
        <v>4981</v>
      </c>
      <c r="H2351" s="4" t="s">
        <v>4792</v>
      </c>
      <c r="I2351" s="4" t="s">
        <v>3110</v>
      </c>
      <c r="J2351" s="4" t="s">
        <v>2153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 s="4" t="s">
        <v>6163</v>
      </c>
    </row>
    <row r="2352" spans="1:20" x14ac:dyDescent="0.2">
      <c r="A2352" s="4" t="s">
        <v>4800</v>
      </c>
      <c r="B2352" s="4" t="s">
        <v>4801</v>
      </c>
      <c r="C2352" s="4" t="s">
        <v>2096</v>
      </c>
      <c r="D2352" s="4" t="s">
        <v>4764</v>
      </c>
      <c r="E2352" s="4" t="s">
        <v>4802</v>
      </c>
      <c r="F2352" s="4" t="s">
        <v>4803</v>
      </c>
      <c r="G2352" s="4" t="s">
        <v>4800</v>
      </c>
      <c r="H2352" s="4" t="s">
        <v>2183</v>
      </c>
      <c r="I2352" s="4" t="s">
        <v>2100</v>
      </c>
      <c r="J2352" s="4" t="s">
        <v>2153</v>
      </c>
      <c r="K2352">
        <v>10</v>
      </c>
      <c r="L2352">
        <v>3.048</v>
      </c>
      <c r="M2352">
        <v>19.049999999999997</v>
      </c>
      <c r="N2352">
        <v>139.69999999999999</v>
      </c>
      <c r="O2352">
        <v>120</v>
      </c>
      <c r="P2352">
        <v>0.74999999999999989</v>
      </c>
      <c r="Q2352">
        <v>5.5</v>
      </c>
      <c r="R2352">
        <v>1232.8030000000001</v>
      </c>
      <c r="S2352">
        <v>8.1115966799999977E-3</v>
      </c>
      <c r="T2352" s="4" t="s">
        <v>4804</v>
      </c>
    </row>
    <row r="2353" spans="1:20" x14ac:dyDescent="0.2">
      <c r="A2353" s="4" t="s">
        <v>4800</v>
      </c>
      <c r="B2353" s="4" t="s">
        <v>4801</v>
      </c>
      <c r="C2353" s="4" t="s">
        <v>2096</v>
      </c>
      <c r="D2353" s="4" t="s">
        <v>4764</v>
      </c>
      <c r="E2353" s="4" t="s">
        <v>4805</v>
      </c>
      <c r="F2353" s="4" t="s">
        <v>4803</v>
      </c>
      <c r="G2353" s="4" t="s">
        <v>4800</v>
      </c>
      <c r="H2353" s="4" t="s">
        <v>2183</v>
      </c>
      <c r="I2353" s="4" t="s">
        <v>2100</v>
      </c>
      <c r="J2353" s="4" t="s">
        <v>2153</v>
      </c>
      <c r="K2353">
        <v>11</v>
      </c>
      <c r="L2353">
        <v>3.3527999999999998</v>
      </c>
      <c r="M2353">
        <v>19.049999999999997</v>
      </c>
      <c r="N2353">
        <v>139.69999999999999</v>
      </c>
      <c r="O2353">
        <v>132</v>
      </c>
      <c r="P2353">
        <v>0.74999999999999989</v>
      </c>
      <c r="Q2353">
        <v>5.5</v>
      </c>
      <c r="R2353">
        <v>1232.8030000000001</v>
      </c>
      <c r="S2353">
        <v>8.9227563479999973E-3</v>
      </c>
      <c r="T2353" s="4" t="s">
        <v>4804</v>
      </c>
    </row>
    <row r="2354" spans="1:20" x14ac:dyDescent="0.2">
      <c r="A2354" s="4" t="s">
        <v>4800</v>
      </c>
      <c r="B2354" s="4" t="s">
        <v>4801</v>
      </c>
      <c r="C2354" s="4" t="s">
        <v>2096</v>
      </c>
      <c r="D2354" s="4" t="s">
        <v>4764</v>
      </c>
      <c r="E2354" s="4" t="s">
        <v>4806</v>
      </c>
      <c r="F2354" s="4" t="s">
        <v>4803</v>
      </c>
      <c r="G2354" s="4" t="s">
        <v>4800</v>
      </c>
      <c r="H2354" s="4" t="s">
        <v>2183</v>
      </c>
      <c r="I2354" s="4" t="s">
        <v>2100</v>
      </c>
      <c r="J2354" s="4" t="s">
        <v>2153</v>
      </c>
      <c r="K2354">
        <v>12</v>
      </c>
      <c r="L2354">
        <v>3.6576</v>
      </c>
      <c r="M2354">
        <v>19.049999999999997</v>
      </c>
      <c r="N2354">
        <v>139.69999999999999</v>
      </c>
      <c r="O2354">
        <v>144</v>
      </c>
      <c r="P2354">
        <v>0.74999999999999989</v>
      </c>
      <c r="Q2354">
        <v>5.5</v>
      </c>
      <c r="R2354">
        <v>1232.8030000000001</v>
      </c>
      <c r="S2354">
        <v>9.7339160159999969E-3</v>
      </c>
      <c r="T2354" s="4" t="s">
        <v>4804</v>
      </c>
    </row>
    <row r="2355" spans="1:20" x14ac:dyDescent="0.2">
      <c r="A2355" s="4" t="s">
        <v>4800</v>
      </c>
      <c r="B2355" s="4" t="s">
        <v>4801</v>
      </c>
      <c r="C2355" s="4" t="s">
        <v>2096</v>
      </c>
      <c r="D2355" s="4" t="s">
        <v>4764</v>
      </c>
      <c r="E2355" s="4" t="s">
        <v>967</v>
      </c>
      <c r="F2355" s="4" t="s">
        <v>4803</v>
      </c>
      <c r="G2355" s="4" t="s">
        <v>4800</v>
      </c>
      <c r="H2355" s="4" t="s">
        <v>2183</v>
      </c>
      <c r="I2355" s="4" t="s">
        <v>2100</v>
      </c>
      <c r="J2355" s="4" t="s">
        <v>2153</v>
      </c>
      <c r="K2355">
        <v>13</v>
      </c>
      <c r="L2355">
        <v>3.9624000000000001</v>
      </c>
      <c r="M2355">
        <v>19.049999999999997</v>
      </c>
      <c r="N2355">
        <v>139.69999999999999</v>
      </c>
      <c r="O2355">
        <v>156</v>
      </c>
      <c r="P2355">
        <v>0.74999999999999989</v>
      </c>
      <c r="Q2355">
        <v>5.5</v>
      </c>
      <c r="R2355">
        <v>1232.8030000000001</v>
      </c>
      <c r="S2355">
        <v>1.0545075683999998E-2</v>
      </c>
      <c r="T2355" s="4" t="s">
        <v>4804</v>
      </c>
    </row>
    <row r="2356" spans="1:20" x14ac:dyDescent="0.2">
      <c r="A2356" s="4" t="s">
        <v>4800</v>
      </c>
      <c r="B2356" s="4" t="s">
        <v>4801</v>
      </c>
      <c r="C2356" s="4" t="s">
        <v>2096</v>
      </c>
      <c r="D2356" s="4" t="s">
        <v>4764</v>
      </c>
      <c r="E2356" s="4" t="s">
        <v>4807</v>
      </c>
      <c r="F2356" s="4" t="s">
        <v>4803</v>
      </c>
      <c r="G2356" s="4" t="s">
        <v>4800</v>
      </c>
      <c r="H2356" s="4" t="s">
        <v>2183</v>
      </c>
      <c r="I2356" s="4" t="s">
        <v>2100</v>
      </c>
      <c r="J2356" s="4" t="s">
        <v>2153</v>
      </c>
      <c r="K2356">
        <v>14</v>
      </c>
      <c r="L2356">
        <v>4.2671999999999999</v>
      </c>
      <c r="M2356">
        <v>19.049999999999997</v>
      </c>
      <c r="N2356">
        <v>139.69999999999999</v>
      </c>
      <c r="O2356">
        <v>168</v>
      </c>
      <c r="P2356">
        <v>0.74999999999999989</v>
      </c>
      <c r="Q2356">
        <v>5.5</v>
      </c>
      <c r="R2356">
        <v>1232.8030000000001</v>
      </c>
      <c r="S2356">
        <v>1.1356235351999998E-2</v>
      </c>
      <c r="T2356" s="4" t="s">
        <v>4804</v>
      </c>
    </row>
    <row r="2357" spans="1:20" x14ac:dyDescent="0.2">
      <c r="A2357" s="4" t="s">
        <v>4800</v>
      </c>
      <c r="B2357" s="4" t="s">
        <v>4801</v>
      </c>
      <c r="C2357" s="4" t="s">
        <v>2096</v>
      </c>
      <c r="D2357" s="4" t="s">
        <v>4764</v>
      </c>
      <c r="E2357" s="4" t="s">
        <v>4808</v>
      </c>
      <c r="F2357" s="4" t="s">
        <v>4803</v>
      </c>
      <c r="G2357" s="4" t="s">
        <v>4800</v>
      </c>
      <c r="H2357" s="4" t="s">
        <v>2183</v>
      </c>
      <c r="I2357" s="4" t="s">
        <v>2100</v>
      </c>
      <c r="J2357" s="4" t="s">
        <v>2153</v>
      </c>
      <c r="K2357">
        <v>15</v>
      </c>
      <c r="L2357">
        <v>4.5720000000000001</v>
      </c>
      <c r="M2357">
        <v>19.049999999999997</v>
      </c>
      <c r="N2357">
        <v>139.69999999999999</v>
      </c>
      <c r="O2357">
        <v>180</v>
      </c>
      <c r="P2357">
        <v>0.74999999999999989</v>
      </c>
      <c r="Q2357">
        <v>5.5</v>
      </c>
      <c r="R2357">
        <v>1232.8030000000001</v>
      </c>
      <c r="S2357">
        <v>1.2167395019999999E-2</v>
      </c>
      <c r="T2357" s="4" t="s">
        <v>4804</v>
      </c>
    </row>
    <row r="2358" spans="1:20" x14ac:dyDescent="0.2">
      <c r="A2358" s="4" t="s">
        <v>4800</v>
      </c>
      <c r="B2358" s="4" t="s">
        <v>4801</v>
      </c>
      <c r="C2358" s="4" t="s">
        <v>2096</v>
      </c>
      <c r="D2358" s="4" t="s">
        <v>4764</v>
      </c>
      <c r="E2358" s="4" t="s">
        <v>4809</v>
      </c>
      <c r="F2358" s="4" t="s">
        <v>4803</v>
      </c>
      <c r="G2358" s="4" t="s">
        <v>4800</v>
      </c>
      <c r="H2358" s="4" t="s">
        <v>2183</v>
      </c>
      <c r="I2358" s="4" t="s">
        <v>2100</v>
      </c>
      <c r="J2358" s="4" t="s">
        <v>2153</v>
      </c>
      <c r="K2358">
        <v>16</v>
      </c>
      <c r="L2358">
        <v>4.8768000000000002</v>
      </c>
      <c r="M2358">
        <v>19.049999999999997</v>
      </c>
      <c r="N2358">
        <v>139.69999999999999</v>
      </c>
      <c r="O2358">
        <v>192.00000000000003</v>
      </c>
      <c r="P2358">
        <v>0.74999999999999989</v>
      </c>
      <c r="Q2358">
        <v>5.5</v>
      </c>
      <c r="R2358">
        <v>1232.8030000000001</v>
      </c>
      <c r="S2358">
        <v>1.2978554687999997E-2</v>
      </c>
      <c r="T2358" s="4" t="s">
        <v>4804</v>
      </c>
    </row>
    <row r="2359" spans="1:20" x14ac:dyDescent="0.2">
      <c r="A2359" s="4" t="s">
        <v>4800</v>
      </c>
      <c r="B2359" s="4" t="s">
        <v>4801</v>
      </c>
      <c r="C2359" s="4" t="s">
        <v>2096</v>
      </c>
      <c r="D2359" s="4" t="s">
        <v>4764</v>
      </c>
      <c r="E2359" s="4" t="s">
        <v>4810</v>
      </c>
      <c r="F2359" s="4" t="s">
        <v>4803</v>
      </c>
      <c r="G2359" s="4" t="s">
        <v>4800</v>
      </c>
      <c r="H2359" s="4" t="s">
        <v>2183</v>
      </c>
      <c r="I2359" s="4" t="s">
        <v>2100</v>
      </c>
      <c r="J2359" s="4" t="s">
        <v>2153</v>
      </c>
      <c r="K2359">
        <v>17</v>
      </c>
      <c r="L2359">
        <v>5.1816000000000004</v>
      </c>
      <c r="M2359">
        <v>19.049999999999997</v>
      </c>
      <c r="N2359">
        <v>139.69999999999999</v>
      </c>
      <c r="O2359">
        <v>204.00000000000003</v>
      </c>
      <c r="P2359">
        <v>0.74999999999999989</v>
      </c>
      <c r="Q2359">
        <v>5.5</v>
      </c>
      <c r="R2359">
        <v>1232.8030000000001</v>
      </c>
      <c r="S2359">
        <v>1.3789714356E-2</v>
      </c>
      <c r="T2359" s="4" t="s">
        <v>4804</v>
      </c>
    </row>
    <row r="2360" spans="1:20" x14ac:dyDescent="0.2">
      <c r="A2360" s="4" t="s">
        <v>4800</v>
      </c>
      <c r="B2360" s="4" t="s">
        <v>4801</v>
      </c>
      <c r="C2360" s="4" t="s">
        <v>2096</v>
      </c>
      <c r="D2360" s="4" t="s">
        <v>4764</v>
      </c>
      <c r="E2360" s="4" t="s">
        <v>4811</v>
      </c>
      <c r="F2360" s="4" t="s">
        <v>4803</v>
      </c>
      <c r="G2360" s="4" t="s">
        <v>4800</v>
      </c>
      <c r="H2360" s="4" t="s">
        <v>2183</v>
      </c>
      <c r="I2360" s="4" t="s">
        <v>2100</v>
      </c>
      <c r="J2360" s="4" t="s">
        <v>2153</v>
      </c>
      <c r="K2360">
        <v>18</v>
      </c>
      <c r="L2360">
        <v>5.4863999999999997</v>
      </c>
      <c r="M2360">
        <v>19.049999999999997</v>
      </c>
      <c r="N2360">
        <v>139.69999999999999</v>
      </c>
      <c r="O2360">
        <v>216</v>
      </c>
      <c r="P2360">
        <v>0.74999999999999989</v>
      </c>
      <c r="Q2360">
        <v>5.5</v>
      </c>
      <c r="R2360">
        <v>1232.8030000000001</v>
      </c>
      <c r="S2360">
        <v>1.4600874023999996E-2</v>
      </c>
      <c r="T2360" s="4" t="s">
        <v>4804</v>
      </c>
    </row>
    <row r="2361" spans="1:20" x14ac:dyDescent="0.2">
      <c r="A2361" s="4" t="s">
        <v>4800</v>
      </c>
      <c r="B2361" s="4" t="s">
        <v>4801</v>
      </c>
      <c r="C2361" s="4" t="s">
        <v>2096</v>
      </c>
      <c r="D2361" s="4" t="s">
        <v>4764</v>
      </c>
      <c r="E2361" s="4" t="s">
        <v>4812</v>
      </c>
      <c r="F2361" s="4" t="s">
        <v>4803</v>
      </c>
      <c r="G2361" s="4" t="s">
        <v>4800</v>
      </c>
      <c r="H2361" s="4" t="s">
        <v>2183</v>
      </c>
      <c r="I2361" s="4" t="s">
        <v>2100</v>
      </c>
      <c r="J2361" s="4" t="s">
        <v>2153</v>
      </c>
      <c r="K2361">
        <v>19</v>
      </c>
      <c r="L2361">
        <v>5.7911999999999999</v>
      </c>
      <c r="M2361">
        <v>19.049999999999997</v>
      </c>
      <c r="N2361">
        <v>139.69999999999999</v>
      </c>
      <c r="O2361">
        <v>228</v>
      </c>
      <c r="P2361">
        <v>0.74999999999999989</v>
      </c>
      <c r="Q2361">
        <v>5.5</v>
      </c>
      <c r="R2361">
        <v>1232.8030000000001</v>
      </c>
      <c r="S2361">
        <v>1.5412033691999996E-2</v>
      </c>
      <c r="T2361" s="4" t="s">
        <v>4804</v>
      </c>
    </row>
    <row r="2362" spans="1:20" x14ac:dyDescent="0.2">
      <c r="A2362" s="4" t="s">
        <v>4800</v>
      </c>
      <c r="B2362" s="4" t="s">
        <v>4801</v>
      </c>
      <c r="C2362" s="4" t="s">
        <v>2096</v>
      </c>
      <c r="D2362" s="4" t="s">
        <v>4764</v>
      </c>
      <c r="E2362" s="4" t="s">
        <v>4813</v>
      </c>
      <c r="F2362" s="4" t="s">
        <v>4803</v>
      </c>
      <c r="G2362" s="4" t="s">
        <v>4800</v>
      </c>
      <c r="H2362" s="4" t="s">
        <v>2183</v>
      </c>
      <c r="I2362" s="4" t="s">
        <v>2100</v>
      </c>
      <c r="J2362" s="4" t="s">
        <v>2153</v>
      </c>
      <c r="K2362">
        <v>20</v>
      </c>
      <c r="L2362">
        <v>6.0960000000000001</v>
      </c>
      <c r="M2362">
        <v>19.049999999999997</v>
      </c>
      <c r="N2362">
        <v>139.69999999999999</v>
      </c>
      <c r="O2362">
        <v>240</v>
      </c>
      <c r="P2362">
        <v>0.74999999999999989</v>
      </c>
      <c r="Q2362">
        <v>5.5</v>
      </c>
      <c r="R2362">
        <v>1232.8030000000001</v>
      </c>
      <c r="S2362">
        <v>1.6223193359999995E-2</v>
      </c>
      <c r="T2362" s="4" t="s">
        <v>4804</v>
      </c>
    </row>
    <row r="2363" spans="1:20" x14ac:dyDescent="0.2">
      <c r="A2363" s="4" t="s">
        <v>4800</v>
      </c>
      <c r="B2363" s="4" t="s">
        <v>4801</v>
      </c>
      <c r="C2363" s="4" t="s">
        <v>2286</v>
      </c>
      <c r="D2363" s="4" t="s">
        <v>4764</v>
      </c>
      <c r="E2363" s="4" t="s">
        <v>4814</v>
      </c>
      <c r="F2363" s="4" t="s">
        <v>4803</v>
      </c>
      <c r="G2363" s="4" t="s">
        <v>4800</v>
      </c>
      <c r="H2363" s="4" t="s">
        <v>2183</v>
      </c>
      <c r="I2363" s="4" t="s">
        <v>2100</v>
      </c>
      <c r="J2363" s="4" t="s">
        <v>2153</v>
      </c>
      <c r="K2363">
        <v>4</v>
      </c>
      <c r="L2363">
        <v>1.2192000000000001</v>
      </c>
      <c r="M2363">
        <v>19.049999999999997</v>
      </c>
      <c r="N2363">
        <v>139.69999999999999</v>
      </c>
      <c r="O2363">
        <v>48.000000000000007</v>
      </c>
      <c r="P2363">
        <v>0.74999999999999989</v>
      </c>
      <c r="Q2363">
        <v>5.5</v>
      </c>
      <c r="R2363">
        <v>1232.8030000000001</v>
      </c>
      <c r="S2363">
        <v>3.2446386719999993E-3</v>
      </c>
      <c r="T2363" s="4" t="s">
        <v>4815</v>
      </c>
    </row>
    <row r="2364" spans="1:20" x14ac:dyDescent="0.2">
      <c r="A2364" s="4" t="s">
        <v>4800</v>
      </c>
      <c r="B2364" s="4" t="s">
        <v>4801</v>
      </c>
      <c r="C2364" s="4" t="s">
        <v>2286</v>
      </c>
      <c r="D2364" s="4" t="s">
        <v>4764</v>
      </c>
      <c r="E2364" s="4" t="s">
        <v>4816</v>
      </c>
      <c r="F2364" s="4" t="s">
        <v>4803</v>
      </c>
      <c r="G2364" s="4" t="s">
        <v>4800</v>
      </c>
      <c r="H2364" s="4" t="s">
        <v>2183</v>
      </c>
      <c r="I2364" s="4" t="s">
        <v>2100</v>
      </c>
      <c r="J2364" s="4" t="s">
        <v>2153</v>
      </c>
      <c r="K2364">
        <v>5</v>
      </c>
      <c r="L2364">
        <v>1.524</v>
      </c>
      <c r="M2364">
        <v>19.049999999999997</v>
      </c>
      <c r="N2364">
        <v>139.69999999999999</v>
      </c>
      <c r="O2364">
        <v>60</v>
      </c>
      <c r="P2364">
        <v>0.74999999999999989</v>
      </c>
      <c r="Q2364">
        <v>5.5</v>
      </c>
      <c r="R2364">
        <v>1232.8030000000001</v>
      </c>
      <c r="S2364">
        <v>4.0557983399999989E-3</v>
      </c>
      <c r="T2364" s="4" t="s">
        <v>4815</v>
      </c>
    </row>
    <row r="2365" spans="1:20" x14ac:dyDescent="0.2">
      <c r="A2365" s="4" t="s">
        <v>4800</v>
      </c>
      <c r="B2365" s="4" t="s">
        <v>4801</v>
      </c>
      <c r="C2365" s="4" t="s">
        <v>2286</v>
      </c>
      <c r="D2365" s="4" t="s">
        <v>4764</v>
      </c>
      <c r="E2365" s="4" t="s">
        <v>4817</v>
      </c>
      <c r="F2365" s="4" t="s">
        <v>4803</v>
      </c>
      <c r="G2365" s="4" t="s">
        <v>4800</v>
      </c>
      <c r="H2365" s="4" t="s">
        <v>2183</v>
      </c>
      <c r="I2365" s="4" t="s">
        <v>2100</v>
      </c>
      <c r="J2365" s="4" t="s">
        <v>2153</v>
      </c>
      <c r="K2365">
        <v>6</v>
      </c>
      <c r="L2365">
        <v>1.8288</v>
      </c>
      <c r="M2365">
        <v>19.049999999999997</v>
      </c>
      <c r="N2365">
        <v>139.69999999999999</v>
      </c>
      <c r="O2365">
        <v>72</v>
      </c>
      <c r="P2365">
        <v>0.74999999999999989</v>
      </c>
      <c r="Q2365">
        <v>5.5</v>
      </c>
      <c r="R2365">
        <v>1232.8030000000001</v>
      </c>
      <c r="S2365">
        <v>4.8669580079999985E-3</v>
      </c>
      <c r="T2365" s="4" t="s">
        <v>4815</v>
      </c>
    </row>
    <row r="2366" spans="1:20" x14ac:dyDescent="0.2">
      <c r="A2366" s="4" t="s">
        <v>4800</v>
      </c>
      <c r="B2366" s="4" t="s">
        <v>4801</v>
      </c>
      <c r="C2366" s="4" t="s">
        <v>2286</v>
      </c>
      <c r="D2366" s="4" t="s">
        <v>4764</v>
      </c>
      <c r="E2366" s="4" t="s">
        <v>4818</v>
      </c>
      <c r="F2366" s="4" t="s">
        <v>4803</v>
      </c>
      <c r="G2366" s="4" t="s">
        <v>4800</v>
      </c>
      <c r="H2366" s="4" t="s">
        <v>2183</v>
      </c>
      <c r="I2366" s="4" t="s">
        <v>2100</v>
      </c>
      <c r="J2366" s="4" t="s">
        <v>2153</v>
      </c>
      <c r="K2366">
        <v>7</v>
      </c>
      <c r="L2366">
        <v>2.1335999999999999</v>
      </c>
      <c r="M2366">
        <v>19.049999999999997</v>
      </c>
      <c r="N2366">
        <v>139.69999999999999</v>
      </c>
      <c r="O2366">
        <v>84</v>
      </c>
      <c r="P2366">
        <v>0.74999999999999989</v>
      </c>
      <c r="Q2366">
        <v>5.5</v>
      </c>
      <c r="R2366">
        <v>1232.8030000000001</v>
      </c>
      <c r="S2366">
        <v>5.6781176759999989E-3</v>
      </c>
      <c r="T2366" s="4" t="s">
        <v>4815</v>
      </c>
    </row>
    <row r="2367" spans="1:20" x14ac:dyDescent="0.2">
      <c r="A2367" s="4" t="s">
        <v>4800</v>
      </c>
      <c r="B2367" s="4" t="s">
        <v>4801</v>
      </c>
      <c r="C2367" s="4" t="s">
        <v>2096</v>
      </c>
      <c r="D2367" s="4" t="s">
        <v>4764</v>
      </c>
      <c r="E2367" s="4" t="s">
        <v>4819</v>
      </c>
      <c r="F2367" s="4" t="s">
        <v>4803</v>
      </c>
      <c r="G2367" s="4" t="s">
        <v>4800</v>
      </c>
      <c r="H2367" s="4" t="s">
        <v>2183</v>
      </c>
      <c r="I2367" s="4" t="s">
        <v>2100</v>
      </c>
      <c r="J2367" s="4" t="s">
        <v>2153</v>
      </c>
      <c r="K2367">
        <v>8</v>
      </c>
      <c r="L2367">
        <v>2.4384000000000001</v>
      </c>
      <c r="M2367">
        <v>19.049999999999997</v>
      </c>
      <c r="N2367">
        <v>139.69999999999999</v>
      </c>
      <c r="O2367">
        <v>96.000000000000014</v>
      </c>
      <c r="P2367">
        <v>0.74999999999999989</v>
      </c>
      <c r="Q2367">
        <v>5.5</v>
      </c>
      <c r="R2367">
        <v>1232.8030000000001</v>
      </c>
      <c r="S2367">
        <v>6.4892773439999985E-3</v>
      </c>
      <c r="T2367" s="4" t="s">
        <v>4804</v>
      </c>
    </row>
    <row r="2368" spans="1:20" x14ac:dyDescent="0.2">
      <c r="A2368" s="4" t="s">
        <v>4800</v>
      </c>
      <c r="B2368" s="4" t="s">
        <v>4801</v>
      </c>
      <c r="C2368" s="4" t="s">
        <v>2096</v>
      </c>
      <c r="D2368" s="4" t="s">
        <v>4764</v>
      </c>
      <c r="E2368" s="4" t="s">
        <v>4820</v>
      </c>
      <c r="F2368" s="4" t="s">
        <v>4803</v>
      </c>
      <c r="G2368" s="4" t="s">
        <v>4800</v>
      </c>
      <c r="H2368" s="4" t="s">
        <v>2183</v>
      </c>
      <c r="I2368" s="4" t="s">
        <v>2100</v>
      </c>
      <c r="J2368" s="4" t="s">
        <v>2153</v>
      </c>
      <c r="K2368">
        <v>9</v>
      </c>
      <c r="L2368">
        <v>2.7431999999999999</v>
      </c>
      <c r="M2368">
        <v>19.049999999999997</v>
      </c>
      <c r="N2368">
        <v>139.69999999999999</v>
      </c>
      <c r="O2368">
        <v>108</v>
      </c>
      <c r="P2368">
        <v>0.74999999999999989</v>
      </c>
      <c r="Q2368">
        <v>5.5</v>
      </c>
      <c r="R2368">
        <v>1232.8030000000001</v>
      </c>
      <c r="S2368">
        <v>7.3004370119999981E-3</v>
      </c>
      <c r="T2368" s="4" t="s">
        <v>4804</v>
      </c>
    </row>
    <row r="2369" spans="1:20" x14ac:dyDescent="0.2">
      <c r="A2369" s="4" t="s">
        <v>4787</v>
      </c>
      <c r="B2369" s="4" t="s">
        <v>4821</v>
      </c>
      <c r="C2369" s="4" t="s">
        <v>2096</v>
      </c>
      <c r="D2369" s="4" t="s">
        <v>4764</v>
      </c>
      <c r="E2369" s="4" t="s">
        <v>4822</v>
      </c>
      <c r="F2369" s="4" t="s">
        <v>4823</v>
      </c>
      <c r="G2369" s="4" t="s">
        <v>4824</v>
      </c>
      <c r="H2369" s="4" t="s">
        <v>2183</v>
      </c>
      <c r="I2369" s="4" t="s">
        <v>4825</v>
      </c>
      <c r="J2369" s="4" t="s">
        <v>4826</v>
      </c>
      <c r="K2369">
        <v>10</v>
      </c>
      <c r="L2369">
        <v>3</v>
      </c>
      <c r="M2369">
        <v>21</v>
      </c>
      <c r="N2369">
        <v>130</v>
      </c>
      <c r="O2369">
        <v>118.11023622047244</v>
      </c>
      <c r="P2369">
        <v>0.82677165354330717</v>
      </c>
      <c r="Q2369">
        <v>5.1181102362204731</v>
      </c>
      <c r="R2369">
        <v>1201.7729999999999</v>
      </c>
      <c r="S2369">
        <v>8.1899999999999994E-3</v>
      </c>
      <c r="T2369" s="4" t="s">
        <v>4827</v>
      </c>
    </row>
    <row r="2370" spans="1:20" x14ac:dyDescent="0.2">
      <c r="A2370" s="4" t="s">
        <v>4787</v>
      </c>
      <c r="B2370" s="4" t="s">
        <v>4821</v>
      </c>
      <c r="C2370" s="4" t="s">
        <v>2096</v>
      </c>
      <c r="D2370" s="4" t="s">
        <v>4764</v>
      </c>
      <c r="E2370" s="4" t="s">
        <v>4828</v>
      </c>
      <c r="F2370" s="4" t="s">
        <v>4823</v>
      </c>
      <c r="G2370" s="4" t="s">
        <v>4824</v>
      </c>
      <c r="H2370" s="4" t="s">
        <v>2183</v>
      </c>
      <c r="I2370" s="4" t="s">
        <v>4825</v>
      </c>
      <c r="J2370" s="4" t="s">
        <v>4826</v>
      </c>
      <c r="K2370">
        <v>11</v>
      </c>
      <c r="L2370">
        <v>3.3</v>
      </c>
      <c r="M2370">
        <v>21</v>
      </c>
      <c r="N2370">
        <v>130</v>
      </c>
      <c r="O2370">
        <v>129.92125984251967</v>
      </c>
      <c r="P2370">
        <v>0.82677165354330717</v>
      </c>
      <c r="Q2370">
        <v>5.1181102362204731</v>
      </c>
      <c r="R2370">
        <v>1201.7729999999999</v>
      </c>
      <c r="S2370">
        <v>9.0089999999999996E-3</v>
      </c>
      <c r="T2370" s="4" t="s">
        <v>4827</v>
      </c>
    </row>
    <row r="2371" spans="1:20" x14ac:dyDescent="0.2">
      <c r="A2371" s="4" t="s">
        <v>4787</v>
      </c>
      <c r="B2371" s="4" t="s">
        <v>4821</v>
      </c>
      <c r="C2371" s="4" t="s">
        <v>2096</v>
      </c>
      <c r="D2371" s="4" t="s">
        <v>4764</v>
      </c>
      <c r="E2371" s="4" t="s">
        <v>4829</v>
      </c>
      <c r="F2371" s="4" t="s">
        <v>4823</v>
      </c>
      <c r="G2371" s="4" t="s">
        <v>4824</v>
      </c>
      <c r="H2371" s="4" t="s">
        <v>2183</v>
      </c>
      <c r="I2371" s="4" t="s">
        <v>4825</v>
      </c>
      <c r="J2371" s="4" t="s">
        <v>4826</v>
      </c>
      <c r="K2371">
        <v>12</v>
      </c>
      <c r="L2371">
        <v>3.6</v>
      </c>
      <c r="M2371">
        <v>21</v>
      </c>
      <c r="N2371">
        <v>130</v>
      </c>
      <c r="O2371">
        <v>141.73228346456693</v>
      </c>
      <c r="P2371">
        <v>0.82677165354330717</v>
      </c>
      <c r="Q2371">
        <v>5.1181102362204731</v>
      </c>
      <c r="R2371">
        <v>1201.7729999999999</v>
      </c>
      <c r="S2371">
        <v>9.8280000000000017E-3</v>
      </c>
      <c r="T2371" s="4" t="s">
        <v>4827</v>
      </c>
    </row>
    <row r="2372" spans="1:20" x14ac:dyDescent="0.2">
      <c r="A2372" s="4" t="s">
        <v>4787</v>
      </c>
      <c r="B2372" s="4" t="s">
        <v>4821</v>
      </c>
      <c r="C2372" s="4" t="s">
        <v>2096</v>
      </c>
      <c r="D2372" s="4" t="s">
        <v>4764</v>
      </c>
      <c r="E2372" s="4" t="s">
        <v>4830</v>
      </c>
      <c r="F2372" s="4" t="s">
        <v>4823</v>
      </c>
      <c r="G2372" s="4" t="s">
        <v>4824</v>
      </c>
      <c r="H2372" s="4" t="s">
        <v>2183</v>
      </c>
      <c r="I2372" s="4" t="s">
        <v>4825</v>
      </c>
      <c r="J2372" s="4" t="s">
        <v>4826</v>
      </c>
      <c r="K2372">
        <v>13</v>
      </c>
      <c r="L2372">
        <v>3.9</v>
      </c>
      <c r="M2372">
        <v>21</v>
      </c>
      <c r="N2372">
        <v>130</v>
      </c>
      <c r="O2372">
        <v>153.54330708661416</v>
      </c>
      <c r="P2372">
        <v>0.82677165354330717</v>
      </c>
      <c r="Q2372">
        <v>5.1181102362204731</v>
      </c>
      <c r="R2372">
        <v>1201.7729999999999</v>
      </c>
      <c r="S2372">
        <v>1.0646999999999998E-2</v>
      </c>
      <c r="T2372" s="4" t="s">
        <v>4827</v>
      </c>
    </row>
    <row r="2373" spans="1:20" x14ac:dyDescent="0.2">
      <c r="A2373" s="4" t="s">
        <v>4787</v>
      </c>
      <c r="B2373" s="4" t="s">
        <v>4821</v>
      </c>
      <c r="C2373" s="4" t="s">
        <v>2096</v>
      </c>
      <c r="D2373" s="4" t="s">
        <v>4764</v>
      </c>
      <c r="E2373" s="4" t="s">
        <v>4831</v>
      </c>
      <c r="F2373" s="4" t="s">
        <v>4823</v>
      </c>
      <c r="G2373" s="4" t="s">
        <v>4824</v>
      </c>
      <c r="H2373" s="4" t="s">
        <v>2183</v>
      </c>
      <c r="I2373" s="4" t="s">
        <v>4825</v>
      </c>
      <c r="J2373" s="4" t="s">
        <v>4826</v>
      </c>
      <c r="K2373">
        <v>14</v>
      </c>
      <c r="L2373">
        <v>4.2</v>
      </c>
      <c r="M2373">
        <v>21</v>
      </c>
      <c r="N2373">
        <v>130</v>
      </c>
      <c r="O2373">
        <v>165.35433070866142</v>
      </c>
      <c r="P2373">
        <v>0.82677165354330717</v>
      </c>
      <c r="Q2373">
        <v>5.1181102362204731</v>
      </c>
      <c r="R2373">
        <v>1201.7729999999999</v>
      </c>
      <c r="S2373">
        <v>1.1465999999999999E-2</v>
      </c>
      <c r="T2373" s="4" t="s">
        <v>4827</v>
      </c>
    </row>
    <row r="2374" spans="1:20" x14ac:dyDescent="0.2">
      <c r="A2374" s="4" t="s">
        <v>4787</v>
      </c>
      <c r="B2374" s="4" t="s">
        <v>4821</v>
      </c>
      <c r="C2374" s="4" t="s">
        <v>2096</v>
      </c>
      <c r="D2374" s="4" t="s">
        <v>4764</v>
      </c>
      <c r="E2374" s="4" t="s">
        <v>4832</v>
      </c>
      <c r="F2374" s="4" t="s">
        <v>4823</v>
      </c>
      <c r="G2374" s="4" t="s">
        <v>4824</v>
      </c>
      <c r="H2374" s="4" t="s">
        <v>2183</v>
      </c>
      <c r="I2374" s="4" t="s">
        <v>4825</v>
      </c>
      <c r="J2374" s="4" t="s">
        <v>4826</v>
      </c>
      <c r="K2374">
        <v>15</v>
      </c>
      <c r="L2374">
        <v>4.5</v>
      </c>
      <c r="M2374">
        <v>21</v>
      </c>
      <c r="N2374">
        <v>130</v>
      </c>
      <c r="O2374">
        <v>177.16535433070868</v>
      </c>
      <c r="P2374">
        <v>0.82677165354330717</v>
      </c>
      <c r="Q2374">
        <v>5.1181102362204731</v>
      </c>
      <c r="R2374">
        <v>1201.7729999999999</v>
      </c>
      <c r="S2374">
        <v>1.2285000000000001E-2</v>
      </c>
      <c r="T2374" s="4" t="s">
        <v>4827</v>
      </c>
    </row>
    <row r="2375" spans="1:20" x14ac:dyDescent="0.2">
      <c r="A2375" s="4" t="s">
        <v>4787</v>
      </c>
      <c r="B2375" s="4" t="s">
        <v>4821</v>
      </c>
      <c r="C2375" s="4" t="s">
        <v>2096</v>
      </c>
      <c r="D2375" s="4" t="s">
        <v>4764</v>
      </c>
      <c r="E2375" s="4" t="s">
        <v>4833</v>
      </c>
      <c r="F2375" s="4" t="s">
        <v>4823</v>
      </c>
      <c r="G2375" s="4" t="s">
        <v>4824</v>
      </c>
      <c r="H2375" s="4" t="s">
        <v>2183</v>
      </c>
      <c r="I2375" s="4" t="s">
        <v>4825</v>
      </c>
      <c r="J2375" s="4" t="s">
        <v>4826</v>
      </c>
      <c r="K2375">
        <v>16</v>
      </c>
      <c r="L2375">
        <v>4.8</v>
      </c>
      <c r="M2375">
        <v>21</v>
      </c>
      <c r="N2375">
        <v>130</v>
      </c>
      <c r="O2375">
        <v>188.97637795275591</v>
      </c>
      <c r="P2375">
        <v>0.82677165354330717</v>
      </c>
      <c r="Q2375">
        <v>5.1181102362204731</v>
      </c>
      <c r="R2375">
        <v>1201.7729999999999</v>
      </c>
      <c r="S2375">
        <v>1.3103999999999999E-2</v>
      </c>
      <c r="T2375" s="4" t="s">
        <v>4827</v>
      </c>
    </row>
    <row r="2376" spans="1:20" x14ac:dyDescent="0.2">
      <c r="A2376" s="4" t="s">
        <v>4787</v>
      </c>
      <c r="B2376" s="4" t="s">
        <v>4821</v>
      </c>
      <c r="C2376" s="4" t="s">
        <v>2096</v>
      </c>
      <c r="D2376" s="4" t="s">
        <v>4764</v>
      </c>
      <c r="E2376" s="4" t="s">
        <v>4834</v>
      </c>
      <c r="F2376" s="4" t="s">
        <v>4823</v>
      </c>
      <c r="G2376" s="4" t="s">
        <v>4824</v>
      </c>
      <c r="H2376" s="4" t="s">
        <v>2183</v>
      </c>
      <c r="I2376" s="4" t="s">
        <v>4825</v>
      </c>
      <c r="J2376" s="4" t="s">
        <v>4826</v>
      </c>
      <c r="K2376">
        <v>17</v>
      </c>
      <c r="L2376">
        <v>5.0999999999999996</v>
      </c>
      <c r="M2376">
        <v>21</v>
      </c>
      <c r="N2376">
        <v>130</v>
      </c>
      <c r="O2376">
        <v>200.78740157480314</v>
      </c>
      <c r="P2376">
        <v>0.82677165354330717</v>
      </c>
      <c r="Q2376">
        <v>5.1181102362204731</v>
      </c>
      <c r="R2376">
        <v>1201.7729999999999</v>
      </c>
      <c r="S2376">
        <v>1.3923E-2</v>
      </c>
      <c r="T2376" s="4" t="s">
        <v>4827</v>
      </c>
    </row>
    <row r="2377" spans="1:20" x14ac:dyDescent="0.2">
      <c r="A2377" s="4" t="s">
        <v>4787</v>
      </c>
      <c r="B2377" s="4" t="s">
        <v>4821</v>
      </c>
      <c r="C2377" s="4" t="s">
        <v>2096</v>
      </c>
      <c r="D2377" s="4" t="s">
        <v>4764</v>
      </c>
      <c r="E2377" s="4" t="s">
        <v>4835</v>
      </c>
      <c r="F2377" s="4" t="s">
        <v>4823</v>
      </c>
      <c r="G2377" s="4" t="s">
        <v>4824</v>
      </c>
      <c r="H2377" s="4" t="s">
        <v>2183</v>
      </c>
      <c r="I2377" s="4" t="s">
        <v>4825</v>
      </c>
      <c r="J2377" s="4" t="s">
        <v>4826</v>
      </c>
      <c r="K2377">
        <v>18</v>
      </c>
      <c r="L2377">
        <v>5.4</v>
      </c>
      <c r="M2377">
        <v>21</v>
      </c>
      <c r="N2377">
        <v>130</v>
      </c>
      <c r="O2377">
        <v>212.59842519685043</v>
      </c>
      <c r="P2377">
        <v>0.82677165354330717</v>
      </c>
      <c r="Q2377">
        <v>5.1181102362204731</v>
      </c>
      <c r="R2377">
        <v>1201.7729999999999</v>
      </c>
      <c r="S2377">
        <v>1.4742000000000002E-2</v>
      </c>
      <c r="T2377" s="4" t="s">
        <v>4827</v>
      </c>
    </row>
    <row r="2378" spans="1:20" x14ac:dyDescent="0.2">
      <c r="A2378" s="4" t="s">
        <v>4787</v>
      </c>
      <c r="B2378" s="4" t="s">
        <v>4821</v>
      </c>
      <c r="C2378" s="4" t="s">
        <v>2286</v>
      </c>
      <c r="D2378" s="4" t="s">
        <v>4764</v>
      </c>
      <c r="E2378" s="4" t="s">
        <v>4836</v>
      </c>
      <c r="F2378" s="4" t="s">
        <v>4823</v>
      </c>
      <c r="G2378" s="4" t="s">
        <v>4824</v>
      </c>
      <c r="H2378" s="4" t="s">
        <v>2183</v>
      </c>
      <c r="I2378" s="4" t="s">
        <v>4825</v>
      </c>
      <c r="J2378" s="4" t="s">
        <v>4826</v>
      </c>
      <c r="K2378">
        <v>4</v>
      </c>
      <c r="L2378">
        <v>1.2</v>
      </c>
      <c r="M2378">
        <v>21</v>
      </c>
      <c r="N2378">
        <v>130</v>
      </c>
      <c r="O2378">
        <v>47.244094488188978</v>
      </c>
      <c r="P2378">
        <v>0.82677165354330717</v>
      </c>
      <c r="Q2378">
        <v>5.1181102362204731</v>
      </c>
      <c r="R2378">
        <v>1201.7729999999999</v>
      </c>
      <c r="S2378">
        <v>3.2759999999999998E-3</v>
      </c>
      <c r="T2378" s="4" t="s">
        <v>4837</v>
      </c>
    </row>
    <row r="2379" spans="1:20" x14ac:dyDescent="0.2">
      <c r="A2379" s="4" t="s">
        <v>4787</v>
      </c>
      <c r="B2379" s="4" t="s">
        <v>4821</v>
      </c>
      <c r="C2379" s="4" t="s">
        <v>2286</v>
      </c>
      <c r="D2379" s="4" t="s">
        <v>4764</v>
      </c>
      <c r="E2379" s="4" t="s">
        <v>4838</v>
      </c>
      <c r="F2379" s="4" t="s">
        <v>4823</v>
      </c>
      <c r="G2379" s="4" t="s">
        <v>4824</v>
      </c>
      <c r="H2379" s="4" t="s">
        <v>2183</v>
      </c>
      <c r="I2379" s="4" t="s">
        <v>4825</v>
      </c>
      <c r="J2379" s="4" t="s">
        <v>4826</v>
      </c>
      <c r="K2379">
        <v>5</v>
      </c>
      <c r="L2379">
        <v>1.5</v>
      </c>
      <c r="M2379">
        <v>21</v>
      </c>
      <c r="N2379">
        <v>130</v>
      </c>
      <c r="O2379">
        <v>59.055118110236222</v>
      </c>
      <c r="P2379">
        <v>0.82677165354330717</v>
      </c>
      <c r="Q2379">
        <v>5.1181102362204731</v>
      </c>
      <c r="R2379">
        <v>1201.7729999999999</v>
      </c>
      <c r="S2379">
        <v>4.0949999999999997E-3</v>
      </c>
      <c r="T2379" s="4" t="s">
        <v>4837</v>
      </c>
    </row>
    <row r="2380" spans="1:20" x14ac:dyDescent="0.2">
      <c r="A2380" s="4" t="s">
        <v>4787</v>
      </c>
      <c r="B2380" s="4" t="s">
        <v>4821</v>
      </c>
      <c r="C2380" s="4" t="s">
        <v>2286</v>
      </c>
      <c r="D2380" s="4" t="s">
        <v>4764</v>
      </c>
      <c r="E2380" s="4" t="s">
        <v>1120</v>
      </c>
      <c r="F2380" s="4" t="s">
        <v>4823</v>
      </c>
      <c r="G2380" s="4" t="s">
        <v>4824</v>
      </c>
      <c r="H2380" s="4" t="s">
        <v>2183</v>
      </c>
      <c r="I2380" s="4" t="s">
        <v>4825</v>
      </c>
      <c r="J2380" s="4" t="s">
        <v>4826</v>
      </c>
      <c r="K2380">
        <v>6</v>
      </c>
      <c r="L2380">
        <v>1.8</v>
      </c>
      <c r="M2380">
        <v>21</v>
      </c>
      <c r="N2380">
        <v>130</v>
      </c>
      <c r="O2380">
        <v>70.866141732283467</v>
      </c>
      <c r="P2380">
        <v>0.82677165354330717</v>
      </c>
      <c r="Q2380">
        <v>5.1181102362204731</v>
      </c>
      <c r="R2380">
        <v>1201.7729999999999</v>
      </c>
      <c r="S2380">
        <v>4.9140000000000008E-3</v>
      </c>
      <c r="T2380" s="4" t="s">
        <v>4837</v>
      </c>
    </row>
    <row r="2381" spans="1:20" x14ac:dyDescent="0.2">
      <c r="A2381" s="4" t="s">
        <v>4787</v>
      </c>
      <c r="B2381" s="4" t="s">
        <v>4821</v>
      </c>
      <c r="C2381" s="4" t="s">
        <v>2286</v>
      </c>
      <c r="D2381" s="4" t="s">
        <v>4764</v>
      </c>
      <c r="E2381" s="4" t="s">
        <v>1122</v>
      </c>
      <c r="F2381" s="4" t="s">
        <v>4823</v>
      </c>
      <c r="G2381" s="4" t="s">
        <v>4824</v>
      </c>
      <c r="H2381" s="4" t="s">
        <v>2183</v>
      </c>
      <c r="I2381" s="4" t="s">
        <v>4825</v>
      </c>
      <c r="J2381" s="4" t="s">
        <v>4826</v>
      </c>
      <c r="K2381">
        <v>7</v>
      </c>
      <c r="L2381">
        <v>2.1</v>
      </c>
      <c r="M2381">
        <v>21</v>
      </c>
      <c r="N2381">
        <v>130</v>
      </c>
      <c r="O2381">
        <v>82.677165354330711</v>
      </c>
      <c r="P2381">
        <v>0.82677165354330717</v>
      </c>
      <c r="Q2381">
        <v>5.1181102362204731</v>
      </c>
      <c r="R2381">
        <v>1201.7729999999999</v>
      </c>
      <c r="S2381">
        <v>5.7329999999999994E-3</v>
      </c>
      <c r="T2381" s="4" t="s">
        <v>4837</v>
      </c>
    </row>
    <row r="2382" spans="1:20" x14ac:dyDescent="0.2">
      <c r="A2382" s="4" t="s">
        <v>4787</v>
      </c>
      <c r="B2382" s="4" t="s">
        <v>4821</v>
      </c>
      <c r="C2382" s="4" t="s">
        <v>2096</v>
      </c>
      <c r="D2382" s="4" t="s">
        <v>4764</v>
      </c>
      <c r="E2382" s="4" t="s">
        <v>4839</v>
      </c>
      <c r="F2382" s="4" t="s">
        <v>4823</v>
      </c>
      <c r="G2382" s="4" t="s">
        <v>4824</v>
      </c>
      <c r="H2382" s="4" t="s">
        <v>2183</v>
      </c>
      <c r="I2382" s="4" t="s">
        <v>4825</v>
      </c>
      <c r="J2382" s="4" t="s">
        <v>4826</v>
      </c>
      <c r="K2382">
        <v>8</v>
      </c>
      <c r="L2382">
        <v>2.4</v>
      </c>
      <c r="M2382">
        <v>21</v>
      </c>
      <c r="N2382">
        <v>130</v>
      </c>
      <c r="O2382">
        <v>94.488188976377955</v>
      </c>
      <c r="P2382">
        <v>0.82677165354330717</v>
      </c>
      <c r="Q2382">
        <v>5.1181102362204731</v>
      </c>
      <c r="R2382">
        <v>1201.7729999999999</v>
      </c>
      <c r="S2382">
        <v>6.5519999999999997E-3</v>
      </c>
      <c r="T2382" s="4" t="s">
        <v>4827</v>
      </c>
    </row>
    <row r="2383" spans="1:20" x14ac:dyDescent="0.2">
      <c r="A2383" s="4" t="s">
        <v>4787</v>
      </c>
      <c r="B2383" s="4" t="s">
        <v>4821</v>
      </c>
      <c r="C2383" s="4" t="s">
        <v>2096</v>
      </c>
      <c r="D2383" s="4" t="s">
        <v>4764</v>
      </c>
      <c r="E2383" s="4" t="s">
        <v>4840</v>
      </c>
      <c r="F2383" s="4" t="s">
        <v>4823</v>
      </c>
      <c r="G2383" s="4" t="s">
        <v>4824</v>
      </c>
      <c r="H2383" s="4" t="s">
        <v>2183</v>
      </c>
      <c r="I2383" s="4" t="s">
        <v>4825</v>
      </c>
      <c r="J2383" s="4" t="s">
        <v>4826</v>
      </c>
      <c r="K2383">
        <v>9</v>
      </c>
      <c r="L2383">
        <v>2.7</v>
      </c>
      <c r="M2383">
        <v>21</v>
      </c>
      <c r="N2383">
        <v>130</v>
      </c>
      <c r="O2383">
        <v>106.29921259842521</v>
      </c>
      <c r="P2383">
        <v>0.82677165354330717</v>
      </c>
      <c r="Q2383">
        <v>5.1181102362204731</v>
      </c>
      <c r="R2383">
        <v>1201.7729999999999</v>
      </c>
      <c r="S2383">
        <v>7.3710000000000008E-3</v>
      </c>
      <c r="T2383" s="4" t="s">
        <v>4827</v>
      </c>
    </row>
    <row r="2384" spans="1:20" x14ac:dyDescent="0.2">
      <c r="A2384" s="4" t="s">
        <v>4787</v>
      </c>
      <c r="B2384" s="4" t="s">
        <v>4788</v>
      </c>
      <c r="C2384" s="4" t="s">
        <v>2096</v>
      </c>
      <c r="D2384" s="4" t="s">
        <v>4764</v>
      </c>
      <c r="E2384" s="4" t="s">
        <v>1124</v>
      </c>
      <c r="F2384" s="4" t="s">
        <v>4841</v>
      </c>
      <c r="G2384" s="4" t="s">
        <v>4824</v>
      </c>
      <c r="H2384" s="4" t="s">
        <v>2183</v>
      </c>
      <c r="I2384" s="4" t="s">
        <v>4825</v>
      </c>
      <c r="J2384" s="4" t="s">
        <v>2410</v>
      </c>
      <c r="K2384">
        <v>10</v>
      </c>
      <c r="L2384">
        <v>3</v>
      </c>
      <c r="M2384">
        <v>21</v>
      </c>
      <c r="N2384">
        <v>140</v>
      </c>
      <c r="O2384">
        <v>118.11023622047244</v>
      </c>
      <c r="P2384">
        <v>0.82677165354330717</v>
      </c>
      <c r="Q2384">
        <v>5.5118110236220472</v>
      </c>
      <c r="R2384">
        <v>1115.932</v>
      </c>
      <c r="S2384">
        <v>8.8199999999999997E-3</v>
      </c>
      <c r="T2384" s="4" t="s">
        <v>4842</v>
      </c>
    </row>
    <row r="2385" spans="1:20" x14ac:dyDescent="0.2">
      <c r="A2385" s="4" t="s">
        <v>4787</v>
      </c>
      <c r="B2385" s="4" t="s">
        <v>4788</v>
      </c>
      <c r="C2385" s="4" t="s">
        <v>2096</v>
      </c>
      <c r="D2385" s="4" t="s">
        <v>4764</v>
      </c>
      <c r="E2385" s="4" t="s">
        <v>1126</v>
      </c>
      <c r="F2385" s="4" t="s">
        <v>4841</v>
      </c>
      <c r="G2385" s="4" t="s">
        <v>4824</v>
      </c>
      <c r="H2385" s="4" t="s">
        <v>2183</v>
      </c>
      <c r="I2385" s="4" t="s">
        <v>4825</v>
      </c>
      <c r="J2385" s="4" t="s">
        <v>2410</v>
      </c>
      <c r="K2385">
        <v>11</v>
      </c>
      <c r="L2385">
        <v>3.3</v>
      </c>
      <c r="M2385">
        <v>21</v>
      </c>
      <c r="N2385">
        <v>140</v>
      </c>
      <c r="O2385">
        <v>129.92125984251967</v>
      </c>
      <c r="P2385">
        <v>0.82677165354330717</v>
      </c>
      <c r="Q2385">
        <v>5.5118110236220472</v>
      </c>
      <c r="R2385">
        <v>1115.932</v>
      </c>
      <c r="S2385">
        <v>9.7020000000000006E-3</v>
      </c>
      <c r="T2385" s="4" t="s">
        <v>4842</v>
      </c>
    </row>
    <row r="2386" spans="1:20" x14ac:dyDescent="0.2">
      <c r="A2386" s="4" t="s">
        <v>4787</v>
      </c>
      <c r="B2386" s="4" t="s">
        <v>4788</v>
      </c>
      <c r="C2386" s="4" t="s">
        <v>2096</v>
      </c>
      <c r="D2386" s="4" t="s">
        <v>4764</v>
      </c>
      <c r="E2386" s="4" t="s">
        <v>1128</v>
      </c>
      <c r="F2386" s="4" t="s">
        <v>4841</v>
      </c>
      <c r="G2386" s="4" t="s">
        <v>4824</v>
      </c>
      <c r="H2386" s="4" t="s">
        <v>2183</v>
      </c>
      <c r="I2386" s="4" t="s">
        <v>4825</v>
      </c>
      <c r="J2386" s="4" t="s">
        <v>2410</v>
      </c>
      <c r="K2386">
        <v>12</v>
      </c>
      <c r="L2386">
        <v>3.6</v>
      </c>
      <c r="M2386">
        <v>21</v>
      </c>
      <c r="N2386">
        <v>140</v>
      </c>
      <c r="O2386">
        <v>141.73228346456693</v>
      </c>
      <c r="P2386">
        <v>0.82677165354330717</v>
      </c>
      <c r="Q2386">
        <v>5.5118110236220472</v>
      </c>
      <c r="R2386">
        <v>1115.932</v>
      </c>
      <c r="S2386">
        <v>1.0584000000000001E-2</v>
      </c>
      <c r="T2386" s="4" t="s">
        <v>4842</v>
      </c>
    </row>
    <row r="2387" spans="1:20" x14ac:dyDescent="0.2">
      <c r="A2387" s="4" t="s">
        <v>4787</v>
      </c>
      <c r="B2387" s="4" t="s">
        <v>4788</v>
      </c>
      <c r="C2387" s="4" t="s">
        <v>2096</v>
      </c>
      <c r="D2387" s="4" t="s">
        <v>4764</v>
      </c>
      <c r="E2387" s="4" t="s">
        <v>1130</v>
      </c>
      <c r="F2387" s="4" t="s">
        <v>4841</v>
      </c>
      <c r="G2387" s="4" t="s">
        <v>4824</v>
      </c>
      <c r="H2387" s="4" t="s">
        <v>2183</v>
      </c>
      <c r="I2387" s="4" t="s">
        <v>4825</v>
      </c>
      <c r="J2387" s="4" t="s">
        <v>2410</v>
      </c>
      <c r="K2387">
        <v>13</v>
      </c>
      <c r="L2387">
        <v>3.9</v>
      </c>
      <c r="M2387">
        <v>21</v>
      </c>
      <c r="N2387">
        <v>140</v>
      </c>
      <c r="O2387">
        <v>153.54330708661416</v>
      </c>
      <c r="P2387">
        <v>0.82677165354330717</v>
      </c>
      <c r="Q2387">
        <v>5.5118110236220472</v>
      </c>
      <c r="R2387">
        <v>1115.932</v>
      </c>
      <c r="S2387">
        <v>1.1465999999999997E-2</v>
      </c>
      <c r="T2387" s="4" t="s">
        <v>4842</v>
      </c>
    </row>
    <row r="2388" spans="1:20" x14ac:dyDescent="0.2">
      <c r="A2388" s="4" t="s">
        <v>4787</v>
      </c>
      <c r="B2388" s="4" t="s">
        <v>4788</v>
      </c>
      <c r="C2388" s="4" t="s">
        <v>2096</v>
      </c>
      <c r="D2388" s="4" t="s">
        <v>4764</v>
      </c>
      <c r="E2388" s="4" t="s">
        <v>1132</v>
      </c>
      <c r="F2388" s="4" t="s">
        <v>4841</v>
      </c>
      <c r="G2388" s="4" t="s">
        <v>4824</v>
      </c>
      <c r="H2388" s="4" t="s">
        <v>2183</v>
      </c>
      <c r="I2388" s="4" t="s">
        <v>4825</v>
      </c>
      <c r="J2388" s="4" t="s">
        <v>2410</v>
      </c>
      <c r="K2388">
        <v>14</v>
      </c>
      <c r="L2388">
        <v>4.2</v>
      </c>
      <c r="M2388">
        <v>21</v>
      </c>
      <c r="N2388">
        <v>140</v>
      </c>
      <c r="O2388">
        <v>165.35433070866142</v>
      </c>
      <c r="P2388">
        <v>0.82677165354330717</v>
      </c>
      <c r="Q2388">
        <v>5.5118110236220472</v>
      </c>
      <c r="R2388">
        <v>1115.932</v>
      </c>
      <c r="S2388">
        <v>1.2348000000000001E-2</v>
      </c>
      <c r="T2388" s="4" t="s">
        <v>4842</v>
      </c>
    </row>
    <row r="2389" spans="1:20" x14ac:dyDescent="0.2">
      <c r="A2389" s="4" t="s">
        <v>4787</v>
      </c>
      <c r="B2389" s="4" t="s">
        <v>4788</v>
      </c>
      <c r="C2389" s="4" t="s">
        <v>2096</v>
      </c>
      <c r="D2389" s="4" t="s">
        <v>4764</v>
      </c>
      <c r="E2389" s="4" t="s">
        <v>4843</v>
      </c>
      <c r="F2389" s="4" t="s">
        <v>4841</v>
      </c>
      <c r="G2389" s="4" t="s">
        <v>4824</v>
      </c>
      <c r="H2389" s="4" t="s">
        <v>2183</v>
      </c>
      <c r="I2389" s="4" t="s">
        <v>4825</v>
      </c>
      <c r="J2389" s="4" t="s">
        <v>2410</v>
      </c>
      <c r="K2389">
        <v>15</v>
      </c>
      <c r="L2389">
        <v>4.5</v>
      </c>
      <c r="M2389">
        <v>21</v>
      </c>
      <c r="N2389">
        <v>140</v>
      </c>
      <c r="O2389">
        <v>177.16535433070868</v>
      </c>
      <c r="P2389">
        <v>0.82677165354330717</v>
      </c>
      <c r="Q2389">
        <v>5.5118110236220472</v>
      </c>
      <c r="R2389">
        <v>1115.932</v>
      </c>
      <c r="S2389">
        <v>1.323E-2</v>
      </c>
      <c r="T2389" s="4" t="s">
        <v>4842</v>
      </c>
    </row>
    <row r="2390" spans="1:20" x14ac:dyDescent="0.2">
      <c r="A2390" s="4" t="s">
        <v>4787</v>
      </c>
      <c r="B2390" s="4" t="s">
        <v>4788</v>
      </c>
      <c r="C2390" s="4" t="s">
        <v>2096</v>
      </c>
      <c r="D2390" s="4" t="s">
        <v>4764</v>
      </c>
      <c r="E2390" s="4" t="s">
        <v>1134</v>
      </c>
      <c r="F2390" s="4" t="s">
        <v>4841</v>
      </c>
      <c r="G2390" s="4" t="s">
        <v>4824</v>
      </c>
      <c r="H2390" s="4" t="s">
        <v>2183</v>
      </c>
      <c r="I2390" s="4" t="s">
        <v>4825</v>
      </c>
      <c r="J2390" s="4" t="s">
        <v>2410</v>
      </c>
      <c r="K2390">
        <v>16</v>
      </c>
      <c r="L2390">
        <v>4.8</v>
      </c>
      <c r="M2390">
        <v>21</v>
      </c>
      <c r="N2390">
        <v>140</v>
      </c>
      <c r="O2390">
        <v>188.97637795275591</v>
      </c>
      <c r="P2390">
        <v>0.82677165354330717</v>
      </c>
      <c r="Q2390">
        <v>5.5118110236220472</v>
      </c>
      <c r="R2390">
        <v>1115.932</v>
      </c>
      <c r="S2390">
        <v>1.4112E-2</v>
      </c>
      <c r="T2390" s="4" t="s">
        <v>4842</v>
      </c>
    </row>
    <row r="2391" spans="1:20" x14ac:dyDescent="0.2">
      <c r="A2391" s="4" t="s">
        <v>4787</v>
      </c>
      <c r="B2391" s="4" t="s">
        <v>4788</v>
      </c>
      <c r="C2391" s="4" t="s">
        <v>2096</v>
      </c>
      <c r="D2391" s="4" t="s">
        <v>4764</v>
      </c>
      <c r="E2391" s="4" t="s">
        <v>4844</v>
      </c>
      <c r="F2391" s="4" t="s">
        <v>4841</v>
      </c>
      <c r="G2391" s="4" t="s">
        <v>4824</v>
      </c>
      <c r="H2391" s="4" t="s">
        <v>2183</v>
      </c>
      <c r="I2391" s="4" t="s">
        <v>4825</v>
      </c>
      <c r="J2391" s="4" t="s">
        <v>2410</v>
      </c>
      <c r="K2391">
        <v>17</v>
      </c>
      <c r="L2391">
        <v>5.0999999999999996</v>
      </c>
      <c r="M2391">
        <v>21</v>
      </c>
      <c r="N2391">
        <v>140</v>
      </c>
      <c r="O2391">
        <v>200.78740157480314</v>
      </c>
      <c r="P2391">
        <v>0.82677165354330717</v>
      </c>
      <c r="Q2391">
        <v>5.5118110236220472</v>
      </c>
      <c r="R2391">
        <v>1115.932</v>
      </c>
      <c r="S2391">
        <v>1.4994E-2</v>
      </c>
      <c r="T2391" s="4" t="s">
        <v>4842</v>
      </c>
    </row>
    <row r="2392" spans="1:20" x14ac:dyDescent="0.2">
      <c r="A2392" s="4" t="s">
        <v>4787</v>
      </c>
      <c r="B2392" s="4" t="s">
        <v>4788</v>
      </c>
      <c r="C2392" s="4" t="s">
        <v>2096</v>
      </c>
      <c r="D2392" s="4" t="s">
        <v>4764</v>
      </c>
      <c r="E2392" s="4" t="s">
        <v>4845</v>
      </c>
      <c r="F2392" s="4" t="s">
        <v>4841</v>
      </c>
      <c r="G2392" s="4" t="s">
        <v>4824</v>
      </c>
      <c r="H2392" s="4" t="s">
        <v>2183</v>
      </c>
      <c r="I2392" s="4" t="s">
        <v>4825</v>
      </c>
      <c r="J2392" s="4" t="s">
        <v>2410</v>
      </c>
      <c r="K2392">
        <v>18</v>
      </c>
      <c r="L2392">
        <v>5.4</v>
      </c>
      <c r="M2392">
        <v>21</v>
      </c>
      <c r="N2392">
        <v>140</v>
      </c>
      <c r="O2392">
        <v>212.59842519685043</v>
      </c>
      <c r="P2392">
        <v>0.82677165354330717</v>
      </c>
      <c r="Q2392">
        <v>5.5118110236220472</v>
      </c>
      <c r="R2392">
        <v>1115.932</v>
      </c>
      <c r="S2392">
        <v>1.5875999999999998E-2</v>
      </c>
      <c r="T2392" s="4" t="s">
        <v>4842</v>
      </c>
    </row>
    <row r="2393" spans="1:20" x14ac:dyDescent="0.2">
      <c r="A2393" s="4" t="s">
        <v>4787</v>
      </c>
      <c r="B2393" s="4" t="s">
        <v>4788</v>
      </c>
      <c r="C2393" s="4" t="s">
        <v>2286</v>
      </c>
      <c r="D2393" s="4" t="s">
        <v>4764</v>
      </c>
      <c r="E2393" s="4" t="s">
        <v>4846</v>
      </c>
      <c r="F2393" s="4" t="s">
        <v>4841</v>
      </c>
      <c r="G2393" s="4" t="s">
        <v>4824</v>
      </c>
      <c r="H2393" s="4" t="s">
        <v>2183</v>
      </c>
      <c r="I2393" s="4" t="s">
        <v>4825</v>
      </c>
      <c r="J2393" s="4" t="s">
        <v>2410</v>
      </c>
      <c r="K2393">
        <v>4</v>
      </c>
      <c r="L2393">
        <v>1.2</v>
      </c>
      <c r="M2393">
        <v>21</v>
      </c>
      <c r="N2393">
        <v>140</v>
      </c>
      <c r="O2393">
        <v>47.244094488188978</v>
      </c>
      <c r="P2393">
        <v>0.82677165354330717</v>
      </c>
      <c r="Q2393">
        <v>5.5118110236220472</v>
      </c>
      <c r="R2393">
        <v>1115.932</v>
      </c>
      <c r="S2393">
        <v>3.5279999999999999E-3</v>
      </c>
      <c r="T2393" s="4" t="s">
        <v>4847</v>
      </c>
    </row>
    <row r="2394" spans="1:20" x14ac:dyDescent="0.2">
      <c r="A2394" s="4" t="s">
        <v>4787</v>
      </c>
      <c r="B2394" s="4" t="s">
        <v>4788</v>
      </c>
      <c r="C2394" s="4" t="s">
        <v>2286</v>
      </c>
      <c r="D2394" s="4" t="s">
        <v>4764</v>
      </c>
      <c r="E2394" s="4" t="s">
        <v>4848</v>
      </c>
      <c r="F2394" s="4" t="s">
        <v>4841</v>
      </c>
      <c r="G2394" s="4" t="s">
        <v>4824</v>
      </c>
      <c r="H2394" s="4" t="s">
        <v>2183</v>
      </c>
      <c r="I2394" s="4" t="s">
        <v>4825</v>
      </c>
      <c r="J2394" s="4" t="s">
        <v>2410</v>
      </c>
      <c r="K2394">
        <v>5</v>
      </c>
      <c r="L2394">
        <v>1.5</v>
      </c>
      <c r="M2394">
        <v>21</v>
      </c>
      <c r="N2394">
        <v>140</v>
      </c>
      <c r="O2394">
        <v>59.055118110236222</v>
      </c>
      <c r="P2394">
        <v>0.82677165354330717</v>
      </c>
      <c r="Q2394">
        <v>5.5118110236220472</v>
      </c>
      <c r="R2394">
        <v>1115.932</v>
      </c>
      <c r="S2394">
        <v>4.4099999999999999E-3</v>
      </c>
      <c r="T2394" s="4" t="s">
        <v>4847</v>
      </c>
    </row>
    <row r="2395" spans="1:20" x14ac:dyDescent="0.2">
      <c r="A2395" s="4" t="s">
        <v>4787</v>
      </c>
      <c r="B2395" s="4" t="s">
        <v>4788</v>
      </c>
      <c r="C2395" s="4" t="s">
        <v>2286</v>
      </c>
      <c r="D2395" s="4" t="s">
        <v>4764</v>
      </c>
      <c r="E2395" s="4" t="s">
        <v>1136</v>
      </c>
      <c r="F2395" s="4" t="s">
        <v>4841</v>
      </c>
      <c r="G2395" s="4" t="s">
        <v>4824</v>
      </c>
      <c r="H2395" s="4" t="s">
        <v>2183</v>
      </c>
      <c r="I2395" s="4" t="s">
        <v>4825</v>
      </c>
      <c r="J2395" s="4" t="s">
        <v>2410</v>
      </c>
      <c r="K2395">
        <v>6</v>
      </c>
      <c r="L2395">
        <v>1.8</v>
      </c>
      <c r="M2395">
        <v>21</v>
      </c>
      <c r="N2395">
        <v>140</v>
      </c>
      <c r="O2395">
        <v>70.866141732283467</v>
      </c>
      <c r="P2395">
        <v>0.82677165354330717</v>
      </c>
      <c r="Q2395">
        <v>5.5118110236220472</v>
      </c>
      <c r="R2395">
        <v>1115.932</v>
      </c>
      <c r="S2395">
        <v>5.2920000000000007E-3</v>
      </c>
      <c r="T2395" s="4" t="s">
        <v>4847</v>
      </c>
    </row>
    <row r="2396" spans="1:20" x14ac:dyDescent="0.2">
      <c r="A2396" s="4" t="s">
        <v>4787</v>
      </c>
      <c r="B2396" s="4" t="s">
        <v>4788</v>
      </c>
      <c r="C2396" s="4" t="s">
        <v>2286</v>
      </c>
      <c r="D2396" s="4" t="s">
        <v>4764</v>
      </c>
      <c r="E2396" s="4" t="s">
        <v>1138</v>
      </c>
      <c r="F2396" s="4" t="s">
        <v>4841</v>
      </c>
      <c r="G2396" s="4" t="s">
        <v>4824</v>
      </c>
      <c r="H2396" s="4" t="s">
        <v>2183</v>
      </c>
      <c r="I2396" s="4" t="s">
        <v>4825</v>
      </c>
      <c r="J2396" s="4" t="s">
        <v>2410</v>
      </c>
      <c r="K2396">
        <v>7</v>
      </c>
      <c r="L2396">
        <v>2.1</v>
      </c>
      <c r="M2396">
        <v>21</v>
      </c>
      <c r="N2396">
        <v>140</v>
      </c>
      <c r="O2396">
        <v>82.677165354330711</v>
      </c>
      <c r="P2396">
        <v>0.82677165354330717</v>
      </c>
      <c r="Q2396">
        <v>5.5118110236220472</v>
      </c>
      <c r="R2396">
        <v>1115.932</v>
      </c>
      <c r="S2396">
        <v>6.1740000000000007E-3</v>
      </c>
      <c r="T2396" s="4" t="s">
        <v>4847</v>
      </c>
    </row>
    <row r="2397" spans="1:20" x14ac:dyDescent="0.2">
      <c r="A2397" s="4" t="s">
        <v>4787</v>
      </c>
      <c r="B2397" s="4" t="s">
        <v>4788</v>
      </c>
      <c r="C2397" s="4" t="s">
        <v>2096</v>
      </c>
      <c r="D2397" s="4" t="s">
        <v>4764</v>
      </c>
      <c r="E2397" s="4" t="s">
        <v>1140</v>
      </c>
      <c r="F2397" s="4" t="s">
        <v>4841</v>
      </c>
      <c r="G2397" s="4" t="s">
        <v>4824</v>
      </c>
      <c r="H2397" s="4" t="s">
        <v>2183</v>
      </c>
      <c r="I2397" s="4" t="s">
        <v>4825</v>
      </c>
      <c r="J2397" s="4" t="s">
        <v>2410</v>
      </c>
      <c r="K2397">
        <v>8</v>
      </c>
      <c r="L2397">
        <v>2.4</v>
      </c>
      <c r="M2397">
        <v>21</v>
      </c>
      <c r="N2397">
        <v>140</v>
      </c>
      <c r="O2397">
        <v>94.488188976377955</v>
      </c>
      <c r="P2397">
        <v>0.82677165354330717</v>
      </c>
      <c r="Q2397">
        <v>5.5118110236220472</v>
      </c>
      <c r="R2397">
        <v>1115.932</v>
      </c>
      <c r="S2397">
        <v>7.0559999999999998E-3</v>
      </c>
      <c r="T2397" s="4" t="s">
        <v>4842</v>
      </c>
    </row>
    <row r="2398" spans="1:20" x14ac:dyDescent="0.2">
      <c r="A2398" s="4" t="s">
        <v>4787</v>
      </c>
      <c r="B2398" s="4" t="s">
        <v>4788</v>
      </c>
      <c r="C2398" s="4" t="s">
        <v>2096</v>
      </c>
      <c r="D2398" s="4" t="s">
        <v>4764</v>
      </c>
      <c r="E2398" s="4" t="s">
        <v>1142</v>
      </c>
      <c r="F2398" s="4" t="s">
        <v>4841</v>
      </c>
      <c r="G2398" s="4" t="s">
        <v>4824</v>
      </c>
      <c r="H2398" s="4" t="s">
        <v>2183</v>
      </c>
      <c r="I2398" s="4" t="s">
        <v>4825</v>
      </c>
      <c r="J2398" s="4" t="s">
        <v>2410</v>
      </c>
      <c r="K2398">
        <v>9</v>
      </c>
      <c r="L2398">
        <v>2.7</v>
      </c>
      <c r="M2398">
        <v>21</v>
      </c>
      <c r="N2398">
        <v>140</v>
      </c>
      <c r="O2398">
        <v>106.29921259842521</v>
      </c>
      <c r="P2398">
        <v>0.82677165354330717</v>
      </c>
      <c r="Q2398">
        <v>5.5118110236220472</v>
      </c>
      <c r="R2398">
        <v>1115.932</v>
      </c>
      <c r="S2398">
        <v>7.9379999999999989E-3</v>
      </c>
      <c r="T2398" s="4" t="s">
        <v>4842</v>
      </c>
    </row>
    <row r="2399" spans="1:20" x14ac:dyDescent="0.2">
      <c r="A2399" s="4" t="s">
        <v>4787</v>
      </c>
      <c r="B2399" s="4" t="s">
        <v>4849</v>
      </c>
      <c r="C2399" s="4" t="s">
        <v>2096</v>
      </c>
      <c r="D2399" s="4" t="s">
        <v>4764</v>
      </c>
      <c r="E2399" s="4" t="s">
        <v>1182</v>
      </c>
      <c r="F2399" s="4" t="s">
        <v>4850</v>
      </c>
      <c r="G2399" s="4" t="s">
        <v>4824</v>
      </c>
      <c r="H2399" s="4" t="s">
        <v>2183</v>
      </c>
      <c r="I2399" s="4" t="s">
        <v>4825</v>
      </c>
      <c r="J2399" s="4" t="s">
        <v>4851</v>
      </c>
      <c r="K2399">
        <v>10</v>
      </c>
      <c r="L2399">
        <v>3</v>
      </c>
      <c r="M2399">
        <v>25</v>
      </c>
      <c r="N2399">
        <v>130</v>
      </c>
      <c r="O2399">
        <v>118.11023622047244</v>
      </c>
      <c r="P2399">
        <v>0.98425196850393704</v>
      </c>
      <c r="Q2399">
        <v>5.1181102362204731</v>
      </c>
      <c r="R2399">
        <v>1009.489</v>
      </c>
      <c r="S2399">
        <v>9.75E-3</v>
      </c>
      <c r="T2399" s="4" t="s">
        <v>4852</v>
      </c>
    </row>
    <row r="2400" spans="1:20" x14ac:dyDescent="0.2">
      <c r="A2400" s="4" t="s">
        <v>4787</v>
      </c>
      <c r="B2400" s="4" t="s">
        <v>4849</v>
      </c>
      <c r="C2400" s="4" t="s">
        <v>2096</v>
      </c>
      <c r="D2400" s="4" t="s">
        <v>4764</v>
      </c>
      <c r="E2400" s="4" t="s">
        <v>4853</v>
      </c>
      <c r="F2400" s="4" t="s">
        <v>4850</v>
      </c>
      <c r="G2400" s="4" t="s">
        <v>4824</v>
      </c>
      <c r="H2400" s="4" t="s">
        <v>2183</v>
      </c>
      <c r="I2400" s="4" t="s">
        <v>4825</v>
      </c>
      <c r="J2400" s="4" t="s">
        <v>4851</v>
      </c>
      <c r="K2400">
        <v>11</v>
      </c>
      <c r="L2400">
        <v>3.3</v>
      </c>
      <c r="M2400">
        <v>25</v>
      </c>
      <c r="N2400">
        <v>130</v>
      </c>
      <c r="O2400">
        <v>129.92125984251967</v>
      </c>
      <c r="P2400">
        <v>0.98425196850393704</v>
      </c>
      <c r="Q2400">
        <v>5.1181102362204731</v>
      </c>
      <c r="R2400">
        <v>1009.489</v>
      </c>
      <c r="S2400">
        <v>1.0725E-2</v>
      </c>
      <c r="T2400" s="4" t="s">
        <v>4852</v>
      </c>
    </row>
    <row r="2401" spans="1:20" x14ac:dyDescent="0.2">
      <c r="A2401" s="4" t="s">
        <v>4787</v>
      </c>
      <c r="B2401" s="4" t="s">
        <v>4849</v>
      </c>
      <c r="C2401" s="4" t="s">
        <v>2096</v>
      </c>
      <c r="D2401" s="4" t="s">
        <v>4764</v>
      </c>
      <c r="E2401" s="4" t="s">
        <v>4854</v>
      </c>
      <c r="F2401" s="4" t="s">
        <v>4850</v>
      </c>
      <c r="G2401" s="4" t="s">
        <v>4824</v>
      </c>
      <c r="H2401" s="4" t="s">
        <v>2183</v>
      </c>
      <c r="I2401" s="4" t="s">
        <v>4825</v>
      </c>
      <c r="J2401" s="4" t="s">
        <v>4851</v>
      </c>
      <c r="K2401">
        <v>12</v>
      </c>
      <c r="L2401">
        <v>3.6</v>
      </c>
      <c r="M2401">
        <v>25</v>
      </c>
      <c r="N2401">
        <v>130</v>
      </c>
      <c r="O2401">
        <v>141.73228346456693</v>
      </c>
      <c r="P2401">
        <v>0.98425196850393704</v>
      </c>
      <c r="Q2401">
        <v>5.1181102362204731</v>
      </c>
      <c r="R2401">
        <v>1009.489</v>
      </c>
      <c r="S2401">
        <v>1.1699999999999999E-2</v>
      </c>
      <c r="T2401" s="4" t="s">
        <v>4852</v>
      </c>
    </row>
    <row r="2402" spans="1:20" x14ac:dyDescent="0.2">
      <c r="A2402" s="4" t="s">
        <v>4787</v>
      </c>
      <c r="B2402" s="4" t="s">
        <v>4849</v>
      </c>
      <c r="C2402" s="4" t="s">
        <v>2096</v>
      </c>
      <c r="D2402" s="4" t="s">
        <v>4764</v>
      </c>
      <c r="E2402" s="4" t="s">
        <v>4855</v>
      </c>
      <c r="F2402" s="4" t="s">
        <v>4850</v>
      </c>
      <c r="G2402" s="4" t="s">
        <v>4824</v>
      </c>
      <c r="H2402" s="4" t="s">
        <v>2183</v>
      </c>
      <c r="I2402" s="4" t="s">
        <v>4825</v>
      </c>
      <c r="J2402" s="4" t="s">
        <v>4851</v>
      </c>
      <c r="K2402">
        <v>13</v>
      </c>
      <c r="L2402">
        <v>3.9</v>
      </c>
      <c r="M2402">
        <v>25</v>
      </c>
      <c r="N2402">
        <v>130</v>
      </c>
      <c r="O2402">
        <v>153.54330708661416</v>
      </c>
      <c r="P2402">
        <v>0.98425196850393704</v>
      </c>
      <c r="Q2402">
        <v>5.1181102362204731</v>
      </c>
      <c r="R2402">
        <v>1009.489</v>
      </c>
      <c r="S2402">
        <v>1.2675000000000001E-2</v>
      </c>
      <c r="T2402" s="4" t="s">
        <v>4852</v>
      </c>
    </row>
    <row r="2403" spans="1:20" x14ac:dyDescent="0.2">
      <c r="A2403" s="4" t="s">
        <v>4787</v>
      </c>
      <c r="B2403" s="4" t="s">
        <v>4849</v>
      </c>
      <c r="C2403" s="4" t="s">
        <v>2096</v>
      </c>
      <c r="D2403" s="4" t="s">
        <v>4764</v>
      </c>
      <c r="E2403" s="4" t="s">
        <v>4856</v>
      </c>
      <c r="F2403" s="4" t="s">
        <v>4850</v>
      </c>
      <c r="G2403" s="4" t="s">
        <v>4824</v>
      </c>
      <c r="H2403" s="4" t="s">
        <v>2183</v>
      </c>
      <c r="I2403" s="4" t="s">
        <v>4825</v>
      </c>
      <c r="J2403" s="4" t="s">
        <v>4851</v>
      </c>
      <c r="K2403">
        <v>14</v>
      </c>
      <c r="L2403">
        <v>4.2</v>
      </c>
      <c r="M2403">
        <v>25</v>
      </c>
      <c r="N2403">
        <v>130</v>
      </c>
      <c r="O2403">
        <v>165.35433070866142</v>
      </c>
      <c r="P2403">
        <v>0.98425196850393704</v>
      </c>
      <c r="Q2403">
        <v>5.1181102362204731</v>
      </c>
      <c r="R2403">
        <v>1009.489</v>
      </c>
      <c r="S2403">
        <v>1.3650000000000001E-2</v>
      </c>
      <c r="T2403" s="4" t="s">
        <v>4852</v>
      </c>
    </row>
    <row r="2404" spans="1:20" x14ac:dyDescent="0.2">
      <c r="A2404" s="4" t="s">
        <v>4787</v>
      </c>
      <c r="B2404" s="4" t="s">
        <v>4849</v>
      </c>
      <c r="C2404" s="4" t="s">
        <v>2096</v>
      </c>
      <c r="D2404" s="4" t="s">
        <v>4764</v>
      </c>
      <c r="E2404" s="4" t="s">
        <v>4857</v>
      </c>
      <c r="F2404" s="4" t="s">
        <v>4850</v>
      </c>
      <c r="G2404" s="4" t="s">
        <v>4824</v>
      </c>
      <c r="H2404" s="4" t="s">
        <v>2183</v>
      </c>
      <c r="I2404" s="4" t="s">
        <v>4825</v>
      </c>
      <c r="J2404" s="4" t="s">
        <v>4851</v>
      </c>
      <c r="K2404">
        <v>15</v>
      </c>
      <c r="L2404">
        <v>4.5</v>
      </c>
      <c r="M2404">
        <v>25</v>
      </c>
      <c r="N2404">
        <v>130</v>
      </c>
      <c r="O2404">
        <v>177.16535433070868</v>
      </c>
      <c r="P2404">
        <v>0.98425196850393704</v>
      </c>
      <c r="Q2404">
        <v>5.1181102362204731</v>
      </c>
      <c r="R2404">
        <v>1009.489</v>
      </c>
      <c r="S2404">
        <v>1.4625000000000001E-2</v>
      </c>
      <c r="T2404" s="4" t="s">
        <v>4852</v>
      </c>
    </row>
    <row r="2405" spans="1:20" x14ac:dyDescent="0.2">
      <c r="A2405" s="4" t="s">
        <v>4787</v>
      </c>
      <c r="B2405" s="4" t="s">
        <v>4849</v>
      </c>
      <c r="C2405" s="4" t="s">
        <v>2096</v>
      </c>
      <c r="D2405" s="4" t="s">
        <v>4764</v>
      </c>
      <c r="E2405" s="4" t="s">
        <v>4858</v>
      </c>
      <c r="F2405" s="4" t="s">
        <v>4850</v>
      </c>
      <c r="G2405" s="4" t="s">
        <v>4824</v>
      </c>
      <c r="H2405" s="4" t="s">
        <v>2183</v>
      </c>
      <c r="I2405" s="4" t="s">
        <v>4825</v>
      </c>
      <c r="J2405" s="4" t="s">
        <v>4851</v>
      </c>
      <c r="K2405">
        <v>16</v>
      </c>
      <c r="L2405">
        <v>4.8</v>
      </c>
      <c r="M2405">
        <v>25</v>
      </c>
      <c r="N2405">
        <v>130</v>
      </c>
      <c r="O2405">
        <v>188.97637795275591</v>
      </c>
      <c r="P2405">
        <v>0.98425196850393704</v>
      </c>
      <c r="Q2405">
        <v>5.1181102362204731</v>
      </c>
      <c r="R2405">
        <v>1009.489</v>
      </c>
      <c r="S2405">
        <v>1.5599999999999999E-2</v>
      </c>
      <c r="T2405" s="4" t="s">
        <v>4852</v>
      </c>
    </row>
    <row r="2406" spans="1:20" x14ac:dyDescent="0.2">
      <c r="A2406" s="4" t="s">
        <v>4787</v>
      </c>
      <c r="B2406" s="4" t="s">
        <v>4849</v>
      </c>
      <c r="C2406" s="4" t="s">
        <v>2096</v>
      </c>
      <c r="D2406" s="4" t="s">
        <v>4764</v>
      </c>
      <c r="E2406" s="4" t="s">
        <v>4859</v>
      </c>
      <c r="F2406" s="4" t="s">
        <v>4850</v>
      </c>
      <c r="G2406" s="4" t="s">
        <v>4824</v>
      </c>
      <c r="H2406" s="4" t="s">
        <v>2183</v>
      </c>
      <c r="I2406" s="4" t="s">
        <v>4825</v>
      </c>
      <c r="J2406" s="4" t="s">
        <v>4851</v>
      </c>
      <c r="K2406">
        <v>17</v>
      </c>
      <c r="L2406">
        <v>5.0999999999999996</v>
      </c>
      <c r="M2406">
        <v>25</v>
      </c>
      <c r="N2406">
        <v>130</v>
      </c>
      <c r="O2406">
        <v>200.78740157480314</v>
      </c>
      <c r="P2406">
        <v>0.98425196850393704</v>
      </c>
      <c r="Q2406">
        <v>5.1181102362204731</v>
      </c>
      <c r="R2406">
        <v>1009.489</v>
      </c>
      <c r="S2406">
        <v>1.6574999999999996E-2</v>
      </c>
      <c r="T2406" s="4" t="s">
        <v>4852</v>
      </c>
    </row>
    <row r="2407" spans="1:20" x14ac:dyDescent="0.2">
      <c r="A2407" s="4" t="s">
        <v>4787</v>
      </c>
      <c r="B2407" s="4" t="s">
        <v>4849</v>
      </c>
      <c r="C2407" s="4" t="s">
        <v>2096</v>
      </c>
      <c r="D2407" s="4" t="s">
        <v>4764</v>
      </c>
      <c r="E2407" s="4" t="s">
        <v>4860</v>
      </c>
      <c r="F2407" s="4" t="s">
        <v>4850</v>
      </c>
      <c r="G2407" s="4" t="s">
        <v>4824</v>
      </c>
      <c r="H2407" s="4" t="s">
        <v>2183</v>
      </c>
      <c r="I2407" s="4" t="s">
        <v>4825</v>
      </c>
      <c r="J2407" s="4" t="s">
        <v>4851</v>
      </c>
      <c r="K2407">
        <v>18</v>
      </c>
      <c r="L2407">
        <v>5.4</v>
      </c>
      <c r="M2407">
        <v>25</v>
      </c>
      <c r="N2407">
        <v>130</v>
      </c>
      <c r="O2407">
        <v>212.59842519685043</v>
      </c>
      <c r="P2407">
        <v>0.98425196850393704</v>
      </c>
      <c r="Q2407">
        <v>5.1181102362204731</v>
      </c>
      <c r="R2407">
        <v>1009.489</v>
      </c>
      <c r="S2407">
        <v>1.755E-2</v>
      </c>
      <c r="T2407" s="4" t="s">
        <v>4852</v>
      </c>
    </row>
    <row r="2408" spans="1:20" x14ac:dyDescent="0.2">
      <c r="A2408" s="4" t="s">
        <v>4787</v>
      </c>
      <c r="B2408" s="4" t="s">
        <v>4849</v>
      </c>
      <c r="C2408" s="4" t="s">
        <v>2286</v>
      </c>
      <c r="D2408" s="4" t="s">
        <v>4764</v>
      </c>
      <c r="E2408" s="4" t="s">
        <v>4861</v>
      </c>
      <c r="F2408" s="4" t="s">
        <v>4850</v>
      </c>
      <c r="G2408" s="4" t="s">
        <v>4824</v>
      </c>
      <c r="H2408" s="4" t="s">
        <v>2183</v>
      </c>
      <c r="I2408" s="4" t="s">
        <v>4825</v>
      </c>
      <c r="J2408" s="4" t="s">
        <v>4851</v>
      </c>
      <c r="K2408">
        <v>4</v>
      </c>
      <c r="L2408">
        <v>1.2</v>
      </c>
      <c r="M2408">
        <v>25</v>
      </c>
      <c r="N2408">
        <v>130</v>
      </c>
      <c r="O2408">
        <v>47.244094488188978</v>
      </c>
      <c r="P2408">
        <v>0.98425196850393704</v>
      </c>
      <c r="Q2408">
        <v>5.1181102362204731</v>
      </c>
      <c r="R2408">
        <v>1009.489</v>
      </c>
      <c r="S2408">
        <v>3.8999999999999998E-3</v>
      </c>
      <c r="T2408" s="4" t="s">
        <v>4862</v>
      </c>
    </row>
    <row r="2409" spans="1:20" x14ac:dyDescent="0.2">
      <c r="A2409" s="4" t="s">
        <v>4787</v>
      </c>
      <c r="B2409" s="4" t="s">
        <v>4849</v>
      </c>
      <c r="C2409" s="4" t="s">
        <v>2286</v>
      </c>
      <c r="D2409" s="4" t="s">
        <v>4764</v>
      </c>
      <c r="E2409" s="4" t="s">
        <v>4863</v>
      </c>
      <c r="F2409" s="4" t="s">
        <v>4850</v>
      </c>
      <c r="G2409" s="4" t="s">
        <v>4824</v>
      </c>
      <c r="H2409" s="4" t="s">
        <v>2183</v>
      </c>
      <c r="I2409" s="4" t="s">
        <v>4825</v>
      </c>
      <c r="J2409" s="4" t="s">
        <v>4851</v>
      </c>
      <c r="K2409">
        <v>5</v>
      </c>
      <c r="L2409">
        <v>1.5</v>
      </c>
      <c r="M2409">
        <v>25</v>
      </c>
      <c r="N2409">
        <v>130</v>
      </c>
      <c r="O2409">
        <v>59.055118110236222</v>
      </c>
      <c r="P2409">
        <v>0.98425196850393704</v>
      </c>
      <c r="Q2409">
        <v>5.1181102362204731</v>
      </c>
      <c r="R2409">
        <v>1009.489</v>
      </c>
      <c r="S2409">
        <v>4.875E-3</v>
      </c>
      <c r="T2409" s="4" t="s">
        <v>4862</v>
      </c>
    </row>
    <row r="2410" spans="1:20" x14ac:dyDescent="0.2">
      <c r="A2410" s="4" t="s">
        <v>4787</v>
      </c>
      <c r="B2410" s="4" t="s">
        <v>4849</v>
      </c>
      <c r="C2410" s="4" t="s">
        <v>2286</v>
      </c>
      <c r="D2410" s="4" t="s">
        <v>4764</v>
      </c>
      <c r="E2410" s="4" t="s">
        <v>1184</v>
      </c>
      <c r="F2410" s="4" t="s">
        <v>4850</v>
      </c>
      <c r="G2410" s="4" t="s">
        <v>4824</v>
      </c>
      <c r="H2410" s="4" t="s">
        <v>2183</v>
      </c>
      <c r="I2410" s="4" t="s">
        <v>4825</v>
      </c>
      <c r="J2410" s="4" t="s">
        <v>4851</v>
      </c>
      <c r="K2410">
        <v>6</v>
      </c>
      <c r="L2410">
        <v>1.8</v>
      </c>
      <c r="M2410">
        <v>25</v>
      </c>
      <c r="N2410">
        <v>130</v>
      </c>
      <c r="O2410">
        <v>70.866141732283467</v>
      </c>
      <c r="P2410">
        <v>0.98425196850393704</v>
      </c>
      <c r="Q2410">
        <v>5.1181102362204731</v>
      </c>
      <c r="R2410">
        <v>1009.489</v>
      </c>
      <c r="S2410">
        <v>5.8499999999999993E-3</v>
      </c>
      <c r="T2410" s="4" t="s">
        <v>4862</v>
      </c>
    </row>
    <row r="2411" spans="1:20" x14ac:dyDescent="0.2">
      <c r="A2411" s="4" t="s">
        <v>4787</v>
      </c>
      <c r="B2411" s="4" t="s">
        <v>4849</v>
      </c>
      <c r="C2411" s="4" t="s">
        <v>2286</v>
      </c>
      <c r="D2411" s="4" t="s">
        <v>4764</v>
      </c>
      <c r="E2411" s="4" t="s">
        <v>4864</v>
      </c>
      <c r="F2411" s="4" t="s">
        <v>4850</v>
      </c>
      <c r="G2411" s="4" t="s">
        <v>4824</v>
      </c>
      <c r="H2411" s="4" t="s">
        <v>2183</v>
      </c>
      <c r="I2411" s="4" t="s">
        <v>4825</v>
      </c>
      <c r="J2411" s="4" t="s">
        <v>4851</v>
      </c>
      <c r="K2411">
        <v>7</v>
      </c>
      <c r="L2411">
        <v>2.1</v>
      </c>
      <c r="M2411">
        <v>25</v>
      </c>
      <c r="N2411">
        <v>130</v>
      </c>
      <c r="O2411">
        <v>82.677165354330711</v>
      </c>
      <c r="P2411">
        <v>0.98425196850393704</v>
      </c>
      <c r="Q2411">
        <v>5.1181102362204731</v>
      </c>
      <c r="R2411">
        <v>1009.489</v>
      </c>
      <c r="S2411">
        <v>6.8250000000000003E-3</v>
      </c>
      <c r="T2411" s="4" t="s">
        <v>4862</v>
      </c>
    </row>
    <row r="2412" spans="1:20" x14ac:dyDescent="0.2">
      <c r="A2412" s="4" t="s">
        <v>4787</v>
      </c>
      <c r="B2412" s="4" t="s">
        <v>4849</v>
      </c>
      <c r="C2412" s="4" t="s">
        <v>2096</v>
      </c>
      <c r="D2412" s="4" t="s">
        <v>4764</v>
      </c>
      <c r="E2412" s="4" t="s">
        <v>1186</v>
      </c>
      <c r="F2412" s="4" t="s">
        <v>4850</v>
      </c>
      <c r="G2412" s="4" t="s">
        <v>4824</v>
      </c>
      <c r="H2412" s="4" t="s">
        <v>2183</v>
      </c>
      <c r="I2412" s="4" t="s">
        <v>4825</v>
      </c>
      <c r="J2412" s="4" t="s">
        <v>4851</v>
      </c>
      <c r="K2412">
        <v>8</v>
      </c>
      <c r="L2412">
        <v>2.4</v>
      </c>
      <c r="M2412">
        <v>25</v>
      </c>
      <c r="N2412">
        <v>130</v>
      </c>
      <c r="O2412">
        <v>94.488188976377955</v>
      </c>
      <c r="P2412">
        <v>0.98425196850393704</v>
      </c>
      <c r="Q2412">
        <v>5.1181102362204731</v>
      </c>
      <c r="R2412">
        <v>1009.489</v>
      </c>
      <c r="S2412">
        <v>7.7999999999999996E-3</v>
      </c>
      <c r="T2412" s="4" t="s">
        <v>4852</v>
      </c>
    </row>
    <row r="2413" spans="1:20" x14ac:dyDescent="0.2">
      <c r="A2413" s="4" t="s">
        <v>4787</v>
      </c>
      <c r="B2413" s="4" t="s">
        <v>4849</v>
      </c>
      <c r="C2413" s="4" t="s">
        <v>2096</v>
      </c>
      <c r="D2413" s="4" t="s">
        <v>4764</v>
      </c>
      <c r="E2413" s="4" t="s">
        <v>1188</v>
      </c>
      <c r="F2413" s="4" t="s">
        <v>4850</v>
      </c>
      <c r="G2413" s="4" t="s">
        <v>4824</v>
      </c>
      <c r="H2413" s="4" t="s">
        <v>2183</v>
      </c>
      <c r="I2413" s="4" t="s">
        <v>4825</v>
      </c>
      <c r="J2413" s="4" t="s">
        <v>4851</v>
      </c>
      <c r="K2413">
        <v>9</v>
      </c>
      <c r="L2413">
        <v>2.7</v>
      </c>
      <c r="M2413">
        <v>25</v>
      </c>
      <c r="N2413">
        <v>130</v>
      </c>
      <c r="O2413">
        <v>106.29921259842521</v>
      </c>
      <c r="P2413">
        <v>0.98425196850393704</v>
      </c>
      <c r="Q2413">
        <v>5.1181102362204731</v>
      </c>
      <c r="R2413">
        <v>1009.489</v>
      </c>
      <c r="S2413">
        <v>8.7749999999999998E-3</v>
      </c>
      <c r="T2413" s="4" t="s">
        <v>4852</v>
      </c>
    </row>
    <row r="2414" spans="1:20" x14ac:dyDescent="0.2">
      <c r="A2414" s="4" t="s">
        <v>4787</v>
      </c>
      <c r="B2414" s="4" t="s">
        <v>4865</v>
      </c>
      <c r="C2414" s="4" t="s">
        <v>2096</v>
      </c>
      <c r="D2414" s="4" t="s">
        <v>4764</v>
      </c>
      <c r="E2414" s="4" t="s">
        <v>1190</v>
      </c>
      <c r="F2414" s="4" t="s">
        <v>4866</v>
      </c>
      <c r="G2414" s="4" t="s">
        <v>4824</v>
      </c>
      <c r="H2414" s="4" t="s">
        <v>2183</v>
      </c>
      <c r="I2414" s="4" t="s">
        <v>4825</v>
      </c>
      <c r="J2414" s="4" t="s">
        <v>2111</v>
      </c>
      <c r="K2414">
        <v>10</v>
      </c>
      <c r="L2414">
        <v>3</v>
      </c>
      <c r="M2414">
        <v>25</v>
      </c>
      <c r="N2414">
        <v>140</v>
      </c>
      <c r="O2414">
        <v>118.11023622047244</v>
      </c>
      <c r="P2414">
        <v>0.98425196850393704</v>
      </c>
      <c r="Q2414">
        <v>5.5118110236220472</v>
      </c>
      <c r="R2414">
        <v>937.38300000000004</v>
      </c>
      <c r="S2414">
        <v>1.0500000000000001E-2</v>
      </c>
      <c r="T2414" s="4" t="s">
        <v>4867</v>
      </c>
    </row>
    <row r="2415" spans="1:20" x14ac:dyDescent="0.2">
      <c r="A2415" s="4" t="s">
        <v>4787</v>
      </c>
      <c r="B2415" s="4" t="s">
        <v>4865</v>
      </c>
      <c r="C2415" s="4" t="s">
        <v>2096</v>
      </c>
      <c r="D2415" s="4" t="s">
        <v>4764</v>
      </c>
      <c r="E2415" s="4" t="s">
        <v>1192</v>
      </c>
      <c r="F2415" s="4" t="s">
        <v>4866</v>
      </c>
      <c r="G2415" s="4" t="s">
        <v>4824</v>
      </c>
      <c r="H2415" s="4" t="s">
        <v>2183</v>
      </c>
      <c r="I2415" s="4" t="s">
        <v>4825</v>
      </c>
      <c r="J2415" s="4" t="s">
        <v>2111</v>
      </c>
      <c r="K2415">
        <v>11</v>
      </c>
      <c r="L2415">
        <v>3.3</v>
      </c>
      <c r="M2415">
        <v>25</v>
      </c>
      <c r="N2415">
        <v>140</v>
      </c>
      <c r="O2415">
        <v>129.92125984251967</v>
      </c>
      <c r="P2415">
        <v>0.98425196850393704</v>
      </c>
      <c r="Q2415">
        <v>5.5118110236220472</v>
      </c>
      <c r="R2415">
        <v>937.38300000000004</v>
      </c>
      <c r="S2415">
        <v>1.1550000000000001E-2</v>
      </c>
      <c r="T2415" s="4" t="s">
        <v>4867</v>
      </c>
    </row>
    <row r="2416" spans="1:20" x14ac:dyDescent="0.2">
      <c r="A2416" s="4" t="s">
        <v>4787</v>
      </c>
      <c r="B2416" s="4" t="s">
        <v>4865</v>
      </c>
      <c r="C2416" s="4" t="s">
        <v>2096</v>
      </c>
      <c r="D2416" s="4" t="s">
        <v>4764</v>
      </c>
      <c r="E2416" s="4" t="s">
        <v>1193</v>
      </c>
      <c r="F2416" s="4" t="s">
        <v>4866</v>
      </c>
      <c r="G2416" s="4" t="s">
        <v>4824</v>
      </c>
      <c r="H2416" s="4" t="s">
        <v>2183</v>
      </c>
      <c r="I2416" s="4" t="s">
        <v>4825</v>
      </c>
      <c r="J2416" s="4" t="s">
        <v>2111</v>
      </c>
      <c r="K2416">
        <v>12</v>
      </c>
      <c r="L2416">
        <v>3.6</v>
      </c>
      <c r="M2416">
        <v>25</v>
      </c>
      <c r="N2416">
        <v>140</v>
      </c>
      <c r="O2416">
        <v>141.73228346456693</v>
      </c>
      <c r="P2416">
        <v>0.98425196850393704</v>
      </c>
      <c r="Q2416">
        <v>5.5118110236220472</v>
      </c>
      <c r="R2416">
        <v>937.38300000000004</v>
      </c>
      <c r="S2416">
        <v>1.26E-2</v>
      </c>
      <c r="T2416" s="4" t="s">
        <v>4867</v>
      </c>
    </row>
    <row r="2417" spans="1:20" x14ac:dyDescent="0.2">
      <c r="A2417" s="4" t="s">
        <v>4787</v>
      </c>
      <c r="B2417" s="4" t="s">
        <v>4865</v>
      </c>
      <c r="C2417" s="4" t="s">
        <v>2096</v>
      </c>
      <c r="D2417" s="4" t="s">
        <v>4764</v>
      </c>
      <c r="E2417" s="4" t="s">
        <v>4868</v>
      </c>
      <c r="F2417" s="4" t="s">
        <v>4866</v>
      </c>
      <c r="G2417" s="4" t="s">
        <v>4824</v>
      </c>
      <c r="H2417" s="4" t="s">
        <v>2183</v>
      </c>
      <c r="I2417" s="4" t="s">
        <v>4825</v>
      </c>
      <c r="J2417" s="4" t="s">
        <v>2111</v>
      </c>
      <c r="K2417">
        <v>13</v>
      </c>
      <c r="L2417">
        <v>3.9</v>
      </c>
      <c r="M2417">
        <v>25</v>
      </c>
      <c r="N2417">
        <v>140</v>
      </c>
      <c r="O2417">
        <v>153.54330708661416</v>
      </c>
      <c r="P2417">
        <v>0.98425196850393704</v>
      </c>
      <c r="Q2417">
        <v>5.5118110236220472</v>
      </c>
      <c r="R2417">
        <v>937.38300000000004</v>
      </c>
      <c r="S2417">
        <v>1.3650000000000001E-2</v>
      </c>
      <c r="T2417" s="4" t="s">
        <v>4867</v>
      </c>
    </row>
    <row r="2418" spans="1:20" x14ac:dyDescent="0.2">
      <c r="A2418" s="4" t="s">
        <v>4787</v>
      </c>
      <c r="B2418" s="4" t="s">
        <v>4865</v>
      </c>
      <c r="C2418" s="4" t="s">
        <v>2096</v>
      </c>
      <c r="D2418" s="4" t="s">
        <v>4764</v>
      </c>
      <c r="E2418" s="4" t="s">
        <v>4869</v>
      </c>
      <c r="F2418" s="4" t="s">
        <v>4866</v>
      </c>
      <c r="G2418" s="4" t="s">
        <v>4824</v>
      </c>
      <c r="H2418" s="4" t="s">
        <v>2183</v>
      </c>
      <c r="I2418" s="4" t="s">
        <v>4825</v>
      </c>
      <c r="J2418" s="4" t="s">
        <v>2111</v>
      </c>
      <c r="K2418">
        <v>14</v>
      </c>
      <c r="L2418">
        <v>4.2</v>
      </c>
      <c r="M2418">
        <v>25</v>
      </c>
      <c r="N2418">
        <v>140</v>
      </c>
      <c r="O2418">
        <v>165.35433070866142</v>
      </c>
      <c r="P2418">
        <v>0.98425196850393704</v>
      </c>
      <c r="Q2418">
        <v>5.5118110236220472</v>
      </c>
      <c r="R2418">
        <v>937.38300000000004</v>
      </c>
      <c r="S2418">
        <v>1.47E-2</v>
      </c>
      <c r="T2418" s="4" t="s">
        <v>4867</v>
      </c>
    </row>
    <row r="2419" spans="1:20" x14ac:dyDescent="0.2">
      <c r="A2419" s="4" t="s">
        <v>4787</v>
      </c>
      <c r="B2419" s="4" t="s">
        <v>4865</v>
      </c>
      <c r="C2419" s="4" t="s">
        <v>2096</v>
      </c>
      <c r="D2419" s="4" t="s">
        <v>4764</v>
      </c>
      <c r="E2419" s="4" t="s">
        <v>4870</v>
      </c>
      <c r="F2419" s="4" t="s">
        <v>4866</v>
      </c>
      <c r="G2419" s="4" t="s">
        <v>4824</v>
      </c>
      <c r="H2419" s="4" t="s">
        <v>2183</v>
      </c>
      <c r="I2419" s="4" t="s">
        <v>4825</v>
      </c>
      <c r="J2419" s="4" t="s">
        <v>2111</v>
      </c>
      <c r="K2419">
        <v>15</v>
      </c>
      <c r="L2419">
        <v>4.5</v>
      </c>
      <c r="M2419">
        <v>25</v>
      </c>
      <c r="N2419">
        <v>140</v>
      </c>
      <c r="O2419">
        <v>177.16535433070868</v>
      </c>
      <c r="P2419">
        <v>0.98425196850393704</v>
      </c>
      <c r="Q2419">
        <v>5.5118110236220472</v>
      </c>
      <c r="R2419">
        <v>937.38300000000004</v>
      </c>
      <c r="S2419">
        <v>1.575E-2</v>
      </c>
      <c r="T2419" s="4" t="s">
        <v>4867</v>
      </c>
    </row>
    <row r="2420" spans="1:20" x14ac:dyDescent="0.2">
      <c r="A2420" s="4" t="s">
        <v>4787</v>
      </c>
      <c r="B2420" s="4" t="s">
        <v>4865</v>
      </c>
      <c r="C2420" s="4" t="s">
        <v>2096</v>
      </c>
      <c r="D2420" s="4" t="s">
        <v>4764</v>
      </c>
      <c r="E2420" s="4" t="s">
        <v>4871</v>
      </c>
      <c r="F2420" s="4" t="s">
        <v>4866</v>
      </c>
      <c r="G2420" s="4" t="s">
        <v>4824</v>
      </c>
      <c r="H2420" s="4" t="s">
        <v>2183</v>
      </c>
      <c r="I2420" s="4" t="s">
        <v>4825</v>
      </c>
      <c r="J2420" s="4" t="s">
        <v>2111</v>
      </c>
      <c r="K2420">
        <v>16</v>
      </c>
      <c r="L2420">
        <v>4.8</v>
      </c>
      <c r="M2420">
        <v>25</v>
      </c>
      <c r="N2420">
        <v>140</v>
      </c>
      <c r="O2420">
        <v>188.97637795275591</v>
      </c>
      <c r="P2420">
        <v>0.98425196850393704</v>
      </c>
      <c r="Q2420">
        <v>5.5118110236220472</v>
      </c>
      <c r="R2420">
        <v>937.38300000000004</v>
      </c>
      <c r="S2420">
        <v>1.6800000000000002E-2</v>
      </c>
      <c r="T2420" s="4" t="s">
        <v>4867</v>
      </c>
    </row>
    <row r="2421" spans="1:20" x14ac:dyDescent="0.2">
      <c r="A2421" s="4" t="s">
        <v>4787</v>
      </c>
      <c r="B2421" s="4" t="s">
        <v>4865</v>
      </c>
      <c r="C2421" s="4" t="s">
        <v>2096</v>
      </c>
      <c r="D2421" s="4" t="s">
        <v>4764</v>
      </c>
      <c r="E2421" s="4" t="s">
        <v>4872</v>
      </c>
      <c r="F2421" s="4" t="s">
        <v>4866</v>
      </c>
      <c r="G2421" s="4" t="s">
        <v>4824</v>
      </c>
      <c r="H2421" s="4" t="s">
        <v>2183</v>
      </c>
      <c r="I2421" s="4" t="s">
        <v>4825</v>
      </c>
      <c r="J2421" s="4" t="s">
        <v>2111</v>
      </c>
      <c r="K2421">
        <v>17</v>
      </c>
      <c r="L2421">
        <v>5.0999999999999996</v>
      </c>
      <c r="M2421">
        <v>25</v>
      </c>
      <c r="N2421">
        <v>140</v>
      </c>
      <c r="O2421">
        <v>200.78740157480314</v>
      </c>
      <c r="P2421">
        <v>0.98425196850393704</v>
      </c>
      <c r="Q2421">
        <v>5.5118110236220472</v>
      </c>
      <c r="R2421">
        <v>937.38300000000004</v>
      </c>
      <c r="S2421">
        <v>1.7849999999999998E-2</v>
      </c>
      <c r="T2421" s="4" t="s">
        <v>4867</v>
      </c>
    </row>
    <row r="2422" spans="1:20" x14ac:dyDescent="0.2">
      <c r="A2422" s="4" t="s">
        <v>4787</v>
      </c>
      <c r="B2422" s="4" t="s">
        <v>4865</v>
      </c>
      <c r="C2422" s="4" t="s">
        <v>2096</v>
      </c>
      <c r="D2422" s="4" t="s">
        <v>4764</v>
      </c>
      <c r="E2422" s="4" t="s">
        <v>4873</v>
      </c>
      <c r="F2422" s="4" t="s">
        <v>4866</v>
      </c>
      <c r="G2422" s="4" t="s">
        <v>4824</v>
      </c>
      <c r="H2422" s="4" t="s">
        <v>2183</v>
      </c>
      <c r="I2422" s="4" t="s">
        <v>4825</v>
      </c>
      <c r="J2422" s="4" t="s">
        <v>2111</v>
      </c>
      <c r="K2422">
        <v>18</v>
      </c>
      <c r="L2422">
        <v>5.4</v>
      </c>
      <c r="M2422">
        <v>25</v>
      </c>
      <c r="N2422">
        <v>140</v>
      </c>
      <c r="O2422">
        <v>212.59842519685043</v>
      </c>
      <c r="P2422">
        <v>0.98425196850393704</v>
      </c>
      <c r="Q2422">
        <v>5.5118110236220472</v>
      </c>
      <c r="R2422">
        <v>937.38300000000004</v>
      </c>
      <c r="S2422">
        <v>1.8900000000000004E-2</v>
      </c>
      <c r="T2422" s="4" t="s">
        <v>4867</v>
      </c>
    </row>
    <row r="2423" spans="1:20" x14ac:dyDescent="0.2">
      <c r="A2423" s="4" t="s">
        <v>4787</v>
      </c>
      <c r="B2423" s="4" t="s">
        <v>4865</v>
      </c>
      <c r="C2423" s="4" t="s">
        <v>2286</v>
      </c>
      <c r="D2423" s="4" t="s">
        <v>4764</v>
      </c>
      <c r="E2423" s="4" t="s">
        <v>4874</v>
      </c>
      <c r="F2423" s="4" t="s">
        <v>4866</v>
      </c>
      <c r="G2423" s="4" t="s">
        <v>4824</v>
      </c>
      <c r="H2423" s="4" t="s">
        <v>2183</v>
      </c>
      <c r="I2423" s="4" t="s">
        <v>4825</v>
      </c>
      <c r="J2423" s="4" t="s">
        <v>2111</v>
      </c>
      <c r="K2423">
        <v>4</v>
      </c>
      <c r="L2423">
        <v>1.2</v>
      </c>
      <c r="M2423">
        <v>25</v>
      </c>
      <c r="N2423">
        <v>140</v>
      </c>
      <c r="O2423">
        <v>47.244094488188978</v>
      </c>
      <c r="P2423">
        <v>0.98425196850393704</v>
      </c>
      <c r="Q2423">
        <v>5.5118110236220472</v>
      </c>
      <c r="R2423">
        <v>937.38300000000004</v>
      </c>
      <c r="S2423">
        <v>4.2000000000000006E-3</v>
      </c>
      <c r="T2423" s="4" t="s">
        <v>4875</v>
      </c>
    </row>
    <row r="2424" spans="1:20" x14ac:dyDescent="0.2">
      <c r="A2424" s="4" t="s">
        <v>4787</v>
      </c>
      <c r="B2424" s="4" t="s">
        <v>4865</v>
      </c>
      <c r="C2424" s="4" t="s">
        <v>2286</v>
      </c>
      <c r="D2424" s="4" t="s">
        <v>4764</v>
      </c>
      <c r="E2424" s="4" t="s">
        <v>4876</v>
      </c>
      <c r="F2424" s="4" t="s">
        <v>4866</v>
      </c>
      <c r="G2424" s="4" t="s">
        <v>4824</v>
      </c>
      <c r="H2424" s="4" t="s">
        <v>2183</v>
      </c>
      <c r="I2424" s="4" t="s">
        <v>4825</v>
      </c>
      <c r="J2424" s="4" t="s">
        <v>2111</v>
      </c>
      <c r="K2424">
        <v>5</v>
      </c>
      <c r="L2424">
        <v>1.5</v>
      </c>
      <c r="M2424">
        <v>25</v>
      </c>
      <c r="N2424">
        <v>140</v>
      </c>
      <c r="O2424">
        <v>59.055118110236222</v>
      </c>
      <c r="P2424">
        <v>0.98425196850393704</v>
      </c>
      <c r="Q2424">
        <v>5.5118110236220472</v>
      </c>
      <c r="R2424">
        <v>937.38300000000004</v>
      </c>
      <c r="S2424">
        <v>5.2500000000000003E-3</v>
      </c>
      <c r="T2424" s="4" t="s">
        <v>4875</v>
      </c>
    </row>
    <row r="2425" spans="1:20" x14ac:dyDescent="0.2">
      <c r="A2425" s="4" t="s">
        <v>4787</v>
      </c>
      <c r="B2425" s="4" t="s">
        <v>4865</v>
      </c>
      <c r="C2425" s="4" t="s">
        <v>2286</v>
      </c>
      <c r="D2425" s="4" t="s">
        <v>4764</v>
      </c>
      <c r="E2425" s="4" t="s">
        <v>1194</v>
      </c>
      <c r="F2425" s="4" t="s">
        <v>4866</v>
      </c>
      <c r="G2425" s="4" t="s">
        <v>4824</v>
      </c>
      <c r="H2425" s="4" t="s">
        <v>2183</v>
      </c>
      <c r="I2425" s="4" t="s">
        <v>4825</v>
      </c>
      <c r="J2425" s="4" t="s">
        <v>2111</v>
      </c>
      <c r="K2425">
        <v>6</v>
      </c>
      <c r="L2425">
        <v>1.8</v>
      </c>
      <c r="M2425">
        <v>25</v>
      </c>
      <c r="N2425">
        <v>140</v>
      </c>
      <c r="O2425">
        <v>70.866141732283467</v>
      </c>
      <c r="P2425">
        <v>0.98425196850393704</v>
      </c>
      <c r="Q2425">
        <v>5.5118110236220472</v>
      </c>
      <c r="R2425">
        <v>937.38300000000004</v>
      </c>
      <c r="S2425">
        <v>6.3E-3</v>
      </c>
      <c r="T2425" s="4" t="s">
        <v>4875</v>
      </c>
    </row>
    <row r="2426" spans="1:20" x14ac:dyDescent="0.2">
      <c r="A2426" s="4" t="s">
        <v>4787</v>
      </c>
      <c r="B2426" s="4" t="s">
        <v>4865</v>
      </c>
      <c r="C2426" s="4" t="s">
        <v>2286</v>
      </c>
      <c r="D2426" s="4" t="s">
        <v>4764</v>
      </c>
      <c r="E2426" s="4" t="s">
        <v>1196</v>
      </c>
      <c r="F2426" s="4" t="s">
        <v>4866</v>
      </c>
      <c r="G2426" s="4" t="s">
        <v>4824</v>
      </c>
      <c r="H2426" s="4" t="s">
        <v>2183</v>
      </c>
      <c r="I2426" s="4" t="s">
        <v>4825</v>
      </c>
      <c r="J2426" s="4" t="s">
        <v>2111</v>
      </c>
      <c r="K2426">
        <v>7</v>
      </c>
      <c r="L2426">
        <v>2.1</v>
      </c>
      <c r="M2426">
        <v>25</v>
      </c>
      <c r="N2426">
        <v>140</v>
      </c>
      <c r="O2426">
        <v>82.677165354330711</v>
      </c>
      <c r="P2426">
        <v>0.98425196850393704</v>
      </c>
      <c r="Q2426">
        <v>5.5118110236220472</v>
      </c>
      <c r="R2426">
        <v>937.38300000000004</v>
      </c>
      <c r="S2426">
        <v>7.3499999999999998E-3</v>
      </c>
      <c r="T2426" s="4" t="s">
        <v>4875</v>
      </c>
    </row>
    <row r="2427" spans="1:20" x14ac:dyDescent="0.2">
      <c r="A2427" s="4" t="s">
        <v>4787</v>
      </c>
      <c r="B2427" s="4" t="s">
        <v>4865</v>
      </c>
      <c r="C2427" s="4" t="s">
        <v>2096</v>
      </c>
      <c r="D2427" s="4" t="s">
        <v>4764</v>
      </c>
      <c r="E2427" s="4" t="s">
        <v>1198</v>
      </c>
      <c r="F2427" s="4" t="s">
        <v>4866</v>
      </c>
      <c r="G2427" s="4" t="s">
        <v>4824</v>
      </c>
      <c r="H2427" s="4" t="s">
        <v>2183</v>
      </c>
      <c r="I2427" s="4" t="s">
        <v>4825</v>
      </c>
      <c r="J2427" s="4" t="s">
        <v>2111</v>
      </c>
      <c r="K2427">
        <v>8</v>
      </c>
      <c r="L2427">
        <v>2.4</v>
      </c>
      <c r="M2427">
        <v>25</v>
      </c>
      <c r="N2427">
        <v>140</v>
      </c>
      <c r="O2427">
        <v>94.488188976377955</v>
      </c>
      <c r="P2427">
        <v>0.98425196850393704</v>
      </c>
      <c r="Q2427">
        <v>5.5118110236220472</v>
      </c>
      <c r="R2427">
        <v>937.38300000000004</v>
      </c>
      <c r="S2427">
        <v>8.4000000000000012E-3</v>
      </c>
      <c r="T2427" s="4" t="s">
        <v>4867</v>
      </c>
    </row>
    <row r="2428" spans="1:20" x14ac:dyDescent="0.2">
      <c r="A2428" s="4" t="s">
        <v>4787</v>
      </c>
      <c r="B2428" s="4" t="s">
        <v>4865</v>
      </c>
      <c r="C2428" s="4" t="s">
        <v>2096</v>
      </c>
      <c r="D2428" s="4" t="s">
        <v>4764</v>
      </c>
      <c r="E2428" s="4" t="s">
        <v>1200</v>
      </c>
      <c r="F2428" s="4" t="s">
        <v>4866</v>
      </c>
      <c r="G2428" s="4" t="s">
        <v>4824</v>
      </c>
      <c r="H2428" s="4" t="s">
        <v>2183</v>
      </c>
      <c r="I2428" s="4" t="s">
        <v>4825</v>
      </c>
      <c r="J2428" s="4" t="s">
        <v>2111</v>
      </c>
      <c r="K2428">
        <v>9</v>
      </c>
      <c r="L2428">
        <v>2.7</v>
      </c>
      <c r="M2428">
        <v>25</v>
      </c>
      <c r="N2428">
        <v>140</v>
      </c>
      <c r="O2428">
        <v>106.29921259842521</v>
      </c>
      <c r="P2428">
        <v>0.98425196850393704</v>
      </c>
      <c r="Q2428">
        <v>5.5118110236220472</v>
      </c>
      <c r="R2428">
        <v>937.38300000000004</v>
      </c>
      <c r="S2428">
        <v>9.4500000000000018E-3</v>
      </c>
      <c r="T2428" s="4" t="s">
        <v>4867</v>
      </c>
    </row>
    <row r="2429" spans="1:20" x14ac:dyDescent="0.2">
      <c r="A2429" s="4" t="s">
        <v>4787</v>
      </c>
      <c r="B2429" s="4" t="s">
        <v>4877</v>
      </c>
      <c r="C2429" s="4" t="s">
        <v>2096</v>
      </c>
      <c r="D2429" s="4" t="s">
        <v>4764</v>
      </c>
      <c r="E2429" s="4" t="s">
        <v>1098</v>
      </c>
      <c r="F2429" s="4" t="s">
        <v>4878</v>
      </c>
      <c r="G2429" s="4" t="s">
        <v>4824</v>
      </c>
      <c r="H2429" s="4" t="s">
        <v>2183</v>
      </c>
      <c r="I2429" s="4" t="s">
        <v>2100</v>
      </c>
      <c r="J2429" s="4" t="s">
        <v>3117</v>
      </c>
      <c r="K2429">
        <v>10</v>
      </c>
      <c r="L2429">
        <v>3</v>
      </c>
      <c r="M2429">
        <v>20</v>
      </c>
      <c r="N2429">
        <v>250</v>
      </c>
      <c r="O2429">
        <v>118.11023622047244</v>
      </c>
      <c r="P2429">
        <v>0.78740157480314965</v>
      </c>
      <c r="Q2429">
        <v>9.8425196850393704</v>
      </c>
      <c r="R2429">
        <v>656.16800000000001</v>
      </c>
      <c r="S2429">
        <v>1.4999999999999999E-2</v>
      </c>
      <c r="T2429" s="4" t="s">
        <v>4879</v>
      </c>
    </row>
    <row r="2430" spans="1:20" x14ac:dyDescent="0.2">
      <c r="A2430" s="4" t="s">
        <v>4787</v>
      </c>
      <c r="B2430" s="4" t="s">
        <v>4877</v>
      </c>
      <c r="C2430" s="4" t="s">
        <v>2096</v>
      </c>
      <c r="D2430" s="4" t="s">
        <v>4764</v>
      </c>
      <c r="E2430" s="4" t="s">
        <v>1100</v>
      </c>
      <c r="F2430" s="4" t="s">
        <v>4878</v>
      </c>
      <c r="G2430" s="4" t="s">
        <v>4824</v>
      </c>
      <c r="H2430" s="4" t="s">
        <v>2183</v>
      </c>
      <c r="I2430" s="4" t="s">
        <v>2100</v>
      </c>
      <c r="J2430" s="4" t="s">
        <v>3117</v>
      </c>
      <c r="K2430">
        <v>11</v>
      </c>
      <c r="L2430">
        <v>3.3</v>
      </c>
      <c r="M2430">
        <v>20</v>
      </c>
      <c r="N2430">
        <v>250</v>
      </c>
      <c r="O2430">
        <v>129.92125984251967</v>
      </c>
      <c r="P2430">
        <v>0.78740157480314965</v>
      </c>
      <c r="Q2430">
        <v>9.8425196850393704</v>
      </c>
      <c r="R2430">
        <v>656.16800000000001</v>
      </c>
      <c r="S2430">
        <v>1.6500000000000001E-2</v>
      </c>
      <c r="T2430" s="4" t="s">
        <v>4879</v>
      </c>
    </row>
    <row r="2431" spans="1:20" x14ac:dyDescent="0.2">
      <c r="A2431" s="4" t="s">
        <v>4787</v>
      </c>
      <c r="B2431" s="4" t="s">
        <v>4877</v>
      </c>
      <c r="C2431" s="4" t="s">
        <v>2096</v>
      </c>
      <c r="D2431" s="4" t="s">
        <v>4764</v>
      </c>
      <c r="E2431" s="4" t="s">
        <v>1102</v>
      </c>
      <c r="F2431" s="4" t="s">
        <v>4878</v>
      </c>
      <c r="G2431" s="4" t="s">
        <v>4824</v>
      </c>
      <c r="H2431" s="4" t="s">
        <v>2183</v>
      </c>
      <c r="I2431" s="4" t="s">
        <v>2100</v>
      </c>
      <c r="J2431" s="4" t="s">
        <v>3117</v>
      </c>
      <c r="K2431">
        <v>12</v>
      </c>
      <c r="L2431">
        <v>3.6</v>
      </c>
      <c r="M2431">
        <v>20</v>
      </c>
      <c r="N2431">
        <v>250</v>
      </c>
      <c r="O2431">
        <v>141.73228346456693</v>
      </c>
      <c r="P2431">
        <v>0.78740157480314965</v>
      </c>
      <c r="Q2431">
        <v>9.8425196850393704</v>
      </c>
      <c r="R2431">
        <v>656.16800000000001</v>
      </c>
      <c r="S2431">
        <v>1.7999999999999999E-2</v>
      </c>
      <c r="T2431" s="4" t="s">
        <v>4879</v>
      </c>
    </row>
    <row r="2432" spans="1:20" x14ac:dyDescent="0.2">
      <c r="A2432" s="4" t="s">
        <v>4787</v>
      </c>
      <c r="B2432" s="4" t="s">
        <v>4877</v>
      </c>
      <c r="C2432" s="4" t="s">
        <v>2096</v>
      </c>
      <c r="D2432" s="4" t="s">
        <v>4764</v>
      </c>
      <c r="E2432" s="4" t="s">
        <v>1104</v>
      </c>
      <c r="F2432" s="4" t="s">
        <v>4878</v>
      </c>
      <c r="G2432" s="4" t="s">
        <v>4824</v>
      </c>
      <c r="H2432" s="4" t="s">
        <v>2183</v>
      </c>
      <c r="I2432" s="4" t="s">
        <v>2100</v>
      </c>
      <c r="J2432" s="4" t="s">
        <v>3117</v>
      </c>
      <c r="K2432">
        <v>13</v>
      </c>
      <c r="L2432">
        <v>3.9</v>
      </c>
      <c r="M2432">
        <v>20</v>
      </c>
      <c r="N2432">
        <v>250</v>
      </c>
      <c r="O2432">
        <v>153.54330708661416</v>
      </c>
      <c r="P2432">
        <v>0.78740157480314965</v>
      </c>
      <c r="Q2432">
        <v>9.8425196850393704</v>
      </c>
      <c r="R2432">
        <v>656.16800000000001</v>
      </c>
      <c r="S2432">
        <v>1.95E-2</v>
      </c>
      <c r="T2432" s="4" t="s">
        <v>4879</v>
      </c>
    </row>
    <row r="2433" spans="1:20" x14ac:dyDescent="0.2">
      <c r="A2433" s="4" t="s">
        <v>4787</v>
      </c>
      <c r="B2433" s="4" t="s">
        <v>4877</v>
      </c>
      <c r="C2433" s="4" t="s">
        <v>2096</v>
      </c>
      <c r="D2433" s="4" t="s">
        <v>4764</v>
      </c>
      <c r="E2433" s="4" t="s">
        <v>1106</v>
      </c>
      <c r="F2433" s="4" t="s">
        <v>4878</v>
      </c>
      <c r="G2433" s="4" t="s">
        <v>4824</v>
      </c>
      <c r="H2433" s="4" t="s">
        <v>2183</v>
      </c>
      <c r="I2433" s="4" t="s">
        <v>2100</v>
      </c>
      <c r="J2433" s="4" t="s">
        <v>3117</v>
      </c>
      <c r="K2433">
        <v>14</v>
      </c>
      <c r="L2433">
        <v>4.2</v>
      </c>
      <c r="M2433">
        <v>20</v>
      </c>
      <c r="N2433">
        <v>250</v>
      </c>
      <c r="O2433">
        <v>165.35433070866142</v>
      </c>
      <c r="P2433">
        <v>0.78740157480314965</v>
      </c>
      <c r="Q2433">
        <v>9.8425196850393704</v>
      </c>
      <c r="R2433">
        <v>656.16800000000001</v>
      </c>
      <c r="S2433">
        <v>2.1000000000000001E-2</v>
      </c>
      <c r="T2433" s="4" t="s">
        <v>4879</v>
      </c>
    </row>
    <row r="2434" spans="1:20" x14ac:dyDescent="0.2">
      <c r="A2434" s="4" t="s">
        <v>4787</v>
      </c>
      <c r="B2434" s="4" t="s">
        <v>4877</v>
      </c>
      <c r="C2434" s="4" t="s">
        <v>2096</v>
      </c>
      <c r="D2434" s="4" t="s">
        <v>4764</v>
      </c>
      <c r="E2434" s="4" t="s">
        <v>4880</v>
      </c>
      <c r="F2434" s="4" t="s">
        <v>4878</v>
      </c>
      <c r="G2434" s="4" t="s">
        <v>4824</v>
      </c>
      <c r="H2434" s="4" t="s">
        <v>2183</v>
      </c>
      <c r="I2434" s="4" t="s">
        <v>2100</v>
      </c>
      <c r="J2434" s="4" t="s">
        <v>3117</v>
      </c>
      <c r="K2434">
        <v>15</v>
      </c>
      <c r="L2434">
        <v>4.5</v>
      </c>
      <c r="M2434">
        <v>20</v>
      </c>
      <c r="N2434">
        <v>250</v>
      </c>
      <c r="O2434">
        <v>177.16535433070868</v>
      </c>
      <c r="P2434">
        <v>0.78740157480314965</v>
      </c>
      <c r="Q2434">
        <v>9.8425196850393704</v>
      </c>
      <c r="R2434">
        <v>656.16800000000001</v>
      </c>
      <c r="S2434">
        <v>2.2499999999999999E-2</v>
      </c>
      <c r="T2434" s="4" t="s">
        <v>4879</v>
      </c>
    </row>
    <row r="2435" spans="1:20" x14ac:dyDescent="0.2">
      <c r="A2435" s="4" t="s">
        <v>4787</v>
      </c>
      <c r="B2435" s="4" t="s">
        <v>4877</v>
      </c>
      <c r="C2435" s="4" t="s">
        <v>2096</v>
      </c>
      <c r="D2435" s="4" t="s">
        <v>4764</v>
      </c>
      <c r="E2435" s="4" t="s">
        <v>4881</v>
      </c>
      <c r="F2435" s="4" t="s">
        <v>4878</v>
      </c>
      <c r="G2435" s="4" t="s">
        <v>4824</v>
      </c>
      <c r="H2435" s="4" t="s">
        <v>2183</v>
      </c>
      <c r="I2435" s="4" t="s">
        <v>2100</v>
      </c>
      <c r="J2435" s="4" t="s">
        <v>3117</v>
      </c>
      <c r="K2435">
        <v>16</v>
      </c>
      <c r="L2435">
        <v>4.8</v>
      </c>
      <c r="M2435">
        <v>20</v>
      </c>
      <c r="N2435">
        <v>250</v>
      </c>
      <c r="O2435">
        <v>188.97637795275591</v>
      </c>
      <c r="P2435">
        <v>0.78740157480314965</v>
      </c>
      <c r="Q2435">
        <v>9.8425196850393704</v>
      </c>
      <c r="R2435">
        <v>656.16800000000001</v>
      </c>
      <c r="S2435">
        <v>2.4E-2</v>
      </c>
      <c r="T2435" s="4" t="s">
        <v>4879</v>
      </c>
    </row>
    <row r="2436" spans="1:20" x14ac:dyDescent="0.2">
      <c r="A2436" s="4" t="s">
        <v>4787</v>
      </c>
      <c r="B2436" s="4" t="s">
        <v>4877</v>
      </c>
      <c r="C2436" s="4" t="s">
        <v>2096</v>
      </c>
      <c r="D2436" s="4" t="s">
        <v>4764</v>
      </c>
      <c r="E2436" s="4" t="s">
        <v>4882</v>
      </c>
      <c r="F2436" s="4" t="s">
        <v>4878</v>
      </c>
      <c r="G2436" s="4" t="s">
        <v>4824</v>
      </c>
      <c r="H2436" s="4" t="s">
        <v>2183</v>
      </c>
      <c r="I2436" s="4" t="s">
        <v>2100</v>
      </c>
      <c r="J2436" s="4" t="s">
        <v>3117</v>
      </c>
      <c r="K2436">
        <v>17</v>
      </c>
      <c r="L2436">
        <v>5.0999999999999996</v>
      </c>
      <c r="M2436">
        <v>20</v>
      </c>
      <c r="N2436">
        <v>250</v>
      </c>
      <c r="O2436">
        <v>200.78740157480314</v>
      </c>
      <c r="P2436">
        <v>0.78740157480314965</v>
      </c>
      <c r="Q2436">
        <v>9.8425196850393704</v>
      </c>
      <c r="R2436">
        <v>656.16800000000001</v>
      </c>
      <c r="S2436">
        <v>2.5499999999999998E-2</v>
      </c>
      <c r="T2436" s="4" t="s">
        <v>4879</v>
      </c>
    </row>
    <row r="2437" spans="1:20" x14ac:dyDescent="0.2">
      <c r="A2437" s="4" t="s">
        <v>4787</v>
      </c>
      <c r="B2437" s="4" t="s">
        <v>4877</v>
      </c>
      <c r="C2437" s="4" t="s">
        <v>2096</v>
      </c>
      <c r="D2437" s="4" t="s">
        <v>4764</v>
      </c>
      <c r="E2437" s="4" t="s">
        <v>4883</v>
      </c>
      <c r="F2437" s="4" t="s">
        <v>4878</v>
      </c>
      <c r="G2437" s="4" t="s">
        <v>4824</v>
      </c>
      <c r="H2437" s="4" t="s">
        <v>2183</v>
      </c>
      <c r="I2437" s="4" t="s">
        <v>2100</v>
      </c>
      <c r="J2437" s="4" t="s">
        <v>3117</v>
      </c>
      <c r="K2437">
        <v>18</v>
      </c>
      <c r="L2437">
        <v>5.4</v>
      </c>
      <c r="M2437">
        <v>20</v>
      </c>
      <c r="N2437">
        <v>250</v>
      </c>
      <c r="O2437">
        <v>212.59842519685043</v>
      </c>
      <c r="P2437">
        <v>0.78740157480314965</v>
      </c>
      <c r="Q2437">
        <v>9.8425196850393704</v>
      </c>
      <c r="R2437">
        <v>656.16800000000001</v>
      </c>
      <c r="S2437">
        <v>2.7E-2</v>
      </c>
      <c r="T2437" s="4" t="s">
        <v>4879</v>
      </c>
    </row>
    <row r="2438" spans="1:20" x14ac:dyDescent="0.2">
      <c r="A2438" s="4" t="s">
        <v>4787</v>
      </c>
      <c r="B2438" s="4" t="s">
        <v>4877</v>
      </c>
      <c r="C2438" s="4" t="s">
        <v>2286</v>
      </c>
      <c r="D2438" s="4" t="s">
        <v>4764</v>
      </c>
      <c r="E2438" s="4" t="s">
        <v>1108</v>
      </c>
      <c r="F2438" s="4" t="s">
        <v>4878</v>
      </c>
      <c r="G2438" s="4" t="s">
        <v>4824</v>
      </c>
      <c r="H2438" s="4" t="s">
        <v>2183</v>
      </c>
      <c r="I2438" s="4" t="s">
        <v>2100</v>
      </c>
      <c r="J2438" s="4" t="s">
        <v>3117</v>
      </c>
      <c r="K2438">
        <v>4</v>
      </c>
      <c r="L2438">
        <v>1.2</v>
      </c>
      <c r="M2438">
        <v>20</v>
      </c>
      <c r="N2438">
        <v>250</v>
      </c>
      <c r="O2438">
        <v>47.244094488188978</v>
      </c>
      <c r="P2438">
        <v>0.78740157480314965</v>
      </c>
      <c r="Q2438">
        <v>9.8425196850393704</v>
      </c>
      <c r="R2438">
        <v>656.16800000000001</v>
      </c>
      <c r="S2438">
        <v>6.0000000000000001E-3</v>
      </c>
      <c r="T2438" s="4" t="s">
        <v>4884</v>
      </c>
    </row>
    <row r="2439" spans="1:20" x14ac:dyDescent="0.2">
      <c r="A2439" s="4" t="s">
        <v>4787</v>
      </c>
      <c r="B2439" s="4" t="s">
        <v>4877</v>
      </c>
      <c r="C2439" s="4" t="s">
        <v>2286</v>
      </c>
      <c r="D2439" s="4" t="s">
        <v>4764</v>
      </c>
      <c r="E2439" s="4" t="s">
        <v>1110</v>
      </c>
      <c r="F2439" s="4" t="s">
        <v>4878</v>
      </c>
      <c r="G2439" s="4" t="s">
        <v>4824</v>
      </c>
      <c r="H2439" s="4" t="s">
        <v>2183</v>
      </c>
      <c r="I2439" s="4" t="s">
        <v>2100</v>
      </c>
      <c r="J2439" s="4" t="s">
        <v>3117</v>
      </c>
      <c r="K2439">
        <v>5</v>
      </c>
      <c r="L2439">
        <v>1.5</v>
      </c>
      <c r="M2439">
        <v>20</v>
      </c>
      <c r="N2439">
        <v>250</v>
      </c>
      <c r="O2439">
        <v>59.055118110236222</v>
      </c>
      <c r="P2439">
        <v>0.78740157480314965</v>
      </c>
      <c r="Q2439">
        <v>9.8425196850393704</v>
      </c>
      <c r="R2439">
        <v>656.16800000000001</v>
      </c>
      <c r="S2439">
        <v>7.4999999999999997E-3</v>
      </c>
      <c r="T2439" s="4" t="s">
        <v>4884</v>
      </c>
    </row>
    <row r="2440" spans="1:20" x14ac:dyDescent="0.2">
      <c r="A2440" s="4" t="s">
        <v>4787</v>
      </c>
      <c r="B2440" s="4" t="s">
        <v>4877</v>
      </c>
      <c r="C2440" s="4" t="s">
        <v>2286</v>
      </c>
      <c r="D2440" s="4" t="s">
        <v>4764</v>
      </c>
      <c r="E2440" s="4" t="s">
        <v>1112</v>
      </c>
      <c r="F2440" s="4" t="s">
        <v>4878</v>
      </c>
      <c r="G2440" s="4" t="s">
        <v>4824</v>
      </c>
      <c r="H2440" s="4" t="s">
        <v>2183</v>
      </c>
      <c r="I2440" s="4" t="s">
        <v>2100</v>
      </c>
      <c r="J2440" s="4" t="s">
        <v>3117</v>
      </c>
      <c r="K2440">
        <v>6</v>
      </c>
      <c r="L2440">
        <v>1.8</v>
      </c>
      <c r="M2440">
        <v>20</v>
      </c>
      <c r="N2440">
        <v>250</v>
      </c>
      <c r="O2440">
        <v>70.866141732283467</v>
      </c>
      <c r="P2440">
        <v>0.78740157480314965</v>
      </c>
      <c r="Q2440">
        <v>9.8425196850393704</v>
      </c>
      <c r="R2440">
        <v>656.16800000000001</v>
      </c>
      <c r="S2440">
        <v>8.9999999999999993E-3</v>
      </c>
      <c r="T2440" s="4" t="s">
        <v>4884</v>
      </c>
    </row>
    <row r="2441" spans="1:20" x14ac:dyDescent="0.2">
      <c r="A2441" s="4" t="s">
        <v>4787</v>
      </c>
      <c r="B2441" s="4" t="s">
        <v>4877</v>
      </c>
      <c r="C2441" s="4" t="s">
        <v>2286</v>
      </c>
      <c r="D2441" s="4" t="s">
        <v>4764</v>
      </c>
      <c r="E2441" s="4" t="s">
        <v>1114</v>
      </c>
      <c r="F2441" s="4" t="s">
        <v>4878</v>
      </c>
      <c r="G2441" s="4" t="s">
        <v>4824</v>
      </c>
      <c r="H2441" s="4" t="s">
        <v>2183</v>
      </c>
      <c r="I2441" s="4" t="s">
        <v>2100</v>
      </c>
      <c r="J2441" s="4" t="s">
        <v>3117</v>
      </c>
      <c r="K2441">
        <v>7</v>
      </c>
      <c r="L2441">
        <v>2.1</v>
      </c>
      <c r="M2441">
        <v>20</v>
      </c>
      <c r="N2441">
        <v>250</v>
      </c>
      <c r="O2441">
        <v>82.677165354330711</v>
      </c>
      <c r="P2441">
        <v>0.78740157480314965</v>
      </c>
      <c r="Q2441">
        <v>9.8425196850393704</v>
      </c>
      <c r="R2441">
        <v>656.16800000000001</v>
      </c>
      <c r="S2441">
        <v>1.0500000000000001E-2</v>
      </c>
      <c r="T2441" s="4" t="s">
        <v>4884</v>
      </c>
    </row>
    <row r="2442" spans="1:20" x14ac:dyDescent="0.2">
      <c r="A2442" s="4" t="s">
        <v>4787</v>
      </c>
      <c r="B2442" s="4" t="s">
        <v>4877</v>
      </c>
      <c r="C2442" s="4" t="s">
        <v>2096</v>
      </c>
      <c r="D2442" s="4" t="s">
        <v>4764</v>
      </c>
      <c r="E2442" s="4" t="s">
        <v>1116</v>
      </c>
      <c r="F2442" s="4" t="s">
        <v>4878</v>
      </c>
      <c r="G2442" s="4" t="s">
        <v>4824</v>
      </c>
      <c r="H2442" s="4" t="s">
        <v>2183</v>
      </c>
      <c r="I2442" s="4" t="s">
        <v>2100</v>
      </c>
      <c r="J2442" s="4" t="s">
        <v>3117</v>
      </c>
      <c r="K2442">
        <v>8</v>
      </c>
      <c r="L2442">
        <v>2.4</v>
      </c>
      <c r="M2442">
        <v>20</v>
      </c>
      <c r="N2442">
        <v>250</v>
      </c>
      <c r="O2442">
        <v>94.488188976377955</v>
      </c>
      <c r="P2442">
        <v>0.78740157480314965</v>
      </c>
      <c r="Q2442">
        <v>9.8425196850393704</v>
      </c>
      <c r="R2442">
        <v>656.16800000000001</v>
      </c>
      <c r="S2442">
        <v>1.2E-2</v>
      </c>
      <c r="T2442" s="4" t="s">
        <v>4879</v>
      </c>
    </row>
    <row r="2443" spans="1:20" x14ac:dyDescent="0.2">
      <c r="A2443" s="4" t="s">
        <v>4787</v>
      </c>
      <c r="B2443" s="4" t="s">
        <v>4877</v>
      </c>
      <c r="C2443" s="4" t="s">
        <v>2096</v>
      </c>
      <c r="D2443" s="4" t="s">
        <v>4764</v>
      </c>
      <c r="E2443" s="4" t="s">
        <v>1118</v>
      </c>
      <c r="F2443" s="4" t="s">
        <v>4878</v>
      </c>
      <c r="G2443" s="4" t="s">
        <v>4824</v>
      </c>
      <c r="H2443" s="4" t="s">
        <v>2183</v>
      </c>
      <c r="I2443" s="4" t="s">
        <v>2100</v>
      </c>
      <c r="J2443" s="4" t="s">
        <v>3117</v>
      </c>
      <c r="K2443">
        <v>9</v>
      </c>
      <c r="L2443">
        <v>2.7</v>
      </c>
      <c r="M2443">
        <v>20</v>
      </c>
      <c r="N2443">
        <v>250</v>
      </c>
      <c r="O2443">
        <v>106.29921259842521</v>
      </c>
      <c r="P2443">
        <v>0.78740157480314965</v>
      </c>
      <c r="Q2443">
        <v>9.8425196850393704</v>
      </c>
      <c r="R2443">
        <v>656.16800000000001</v>
      </c>
      <c r="S2443">
        <v>1.35E-2</v>
      </c>
      <c r="T2443" s="4" t="s">
        <v>4879</v>
      </c>
    </row>
    <row r="2444" spans="1:20" x14ac:dyDescent="0.2">
      <c r="A2444" s="4" t="s">
        <v>4787</v>
      </c>
      <c r="B2444" s="4" t="s">
        <v>4885</v>
      </c>
      <c r="C2444" s="4" t="s">
        <v>2096</v>
      </c>
      <c r="D2444" s="4" t="s">
        <v>4764</v>
      </c>
      <c r="E2444" s="4" t="s">
        <v>4886</v>
      </c>
      <c r="F2444" s="4" t="s">
        <v>4887</v>
      </c>
      <c r="G2444" s="4" t="s">
        <v>4824</v>
      </c>
      <c r="H2444" s="4" t="s">
        <v>2183</v>
      </c>
      <c r="I2444" s="4" t="s">
        <v>2100</v>
      </c>
      <c r="J2444" s="4" t="s">
        <v>2153</v>
      </c>
      <c r="K2444">
        <v>10</v>
      </c>
      <c r="L2444">
        <v>3</v>
      </c>
      <c r="M2444">
        <v>21</v>
      </c>
      <c r="N2444">
        <v>140</v>
      </c>
      <c r="O2444">
        <v>118.11023622047244</v>
      </c>
      <c r="P2444">
        <v>0.82677165354330717</v>
      </c>
      <c r="Q2444">
        <v>5.5118110236220472</v>
      </c>
      <c r="R2444">
        <v>1115.932</v>
      </c>
      <c r="S2444">
        <v>8.8199999999999997E-3</v>
      </c>
      <c r="T2444" s="4" t="s">
        <v>4888</v>
      </c>
    </row>
    <row r="2445" spans="1:20" x14ac:dyDescent="0.2">
      <c r="A2445" s="4" t="s">
        <v>4787</v>
      </c>
      <c r="B2445" s="4" t="s">
        <v>4885</v>
      </c>
      <c r="C2445" s="4" t="s">
        <v>2096</v>
      </c>
      <c r="D2445" s="4" t="s">
        <v>4764</v>
      </c>
      <c r="E2445" s="4" t="s">
        <v>4889</v>
      </c>
      <c r="F2445" s="4" t="s">
        <v>4887</v>
      </c>
      <c r="G2445" s="4" t="s">
        <v>4824</v>
      </c>
      <c r="H2445" s="4" t="s">
        <v>2183</v>
      </c>
      <c r="I2445" s="4" t="s">
        <v>2100</v>
      </c>
      <c r="J2445" s="4" t="s">
        <v>2153</v>
      </c>
      <c r="K2445">
        <v>11</v>
      </c>
      <c r="L2445">
        <v>3.3</v>
      </c>
      <c r="M2445">
        <v>21</v>
      </c>
      <c r="N2445">
        <v>140</v>
      </c>
      <c r="O2445">
        <v>129.92125984251967</v>
      </c>
      <c r="P2445">
        <v>0.82677165354330717</v>
      </c>
      <c r="Q2445">
        <v>5.5118110236220472</v>
      </c>
      <c r="R2445">
        <v>1115.932</v>
      </c>
      <c r="S2445">
        <v>9.7020000000000006E-3</v>
      </c>
      <c r="T2445" s="4" t="s">
        <v>4888</v>
      </c>
    </row>
    <row r="2446" spans="1:20" x14ac:dyDescent="0.2">
      <c r="A2446" s="4" t="s">
        <v>4787</v>
      </c>
      <c r="B2446" s="4" t="s">
        <v>4885</v>
      </c>
      <c r="C2446" s="4" t="s">
        <v>2096</v>
      </c>
      <c r="D2446" s="4" t="s">
        <v>4764</v>
      </c>
      <c r="E2446" s="4" t="s">
        <v>4890</v>
      </c>
      <c r="F2446" s="4" t="s">
        <v>4887</v>
      </c>
      <c r="G2446" s="4" t="s">
        <v>4824</v>
      </c>
      <c r="H2446" s="4" t="s">
        <v>2183</v>
      </c>
      <c r="I2446" s="4" t="s">
        <v>2100</v>
      </c>
      <c r="J2446" s="4" t="s">
        <v>2153</v>
      </c>
      <c r="K2446">
        <v>12</v>
      </c>
      <c r="L2446">
        <v>3.6</v>
      </c>
      <c r="M2446">
        <v>21</v>
      </c>
      <c r="N2446">
        <v>140</v>
      </c>
      <c r="O2446">
        <v>141.73228346456693</v>
      </c>
      <c r="P2446">
        <v>0.82677165354330717</v>
      </c>
      <c r="Q2446">
        <v>5.5118110236220472</v>
      </c>
      <c r="R2446">
        <v>1115.932</v>
      </c>
      <c r="S2446">
        <v>1.0584000000000001E-2</v>
      </c>
      <c r="T2446" s="4" t="s">
        <v>4888</v>
      </c>
    </row>
    <row r="2447" spans="1:20" x14ac:dyDescent="0.2">
      <c r="A2447" s="4" t="s">
        <v>4787</v>
      </c>
      <c r="B2447" s="4" t="s">
        <v>4885</v>
      </c>
      <c r="C2447" s="4" t="s">
        <v>2096</v>
      </c>
      <c r="D2447" s="4" t="s">
        <v>4764</v>
      </c>
      <c r="E2447" s="4" t="s">
        <v>4891</v>
      </c>
      <c r="F2447" s="4" t="s">
        <v>4887</v>
      </c>
      <c r="G2447" s="4" t="s">
        <v>4824</v>
      </c>
      <c r="H2447" s="4" t="s">
        <v>2183</v>
      </c>
      <c r="I2447" s="4" t="s">
        <v>2100</v>
      </c>
      <c r="J2447" s="4" t="s">
        <v>2153</v>
      </c>
      <c r="K2447">
        <v>13</v>
      </c>
      <c r="L2447">
        <v>3.9</v>
      </c>
      <c r="M2447">
        <v>21</v>
      </c>
      <c r="N2447">
        <v>140</v>
      </c>
      <c r="O2447">
        <v>153.54330708661416</v>
      </c>
      <c r="P2447">
        <v>0.82677165354330717</v>
      </c>
      <c r="Q2447">
        <v>5.5118110236220472</v>
      </c>
      <c r="R2447">
        <v>1115.932</v>
      </c>
      <c r="S2447">
        <v>1.1465999999999997E-2</v>
      </c>
      <c r="T2447" s="4" t="s">
        <v>4888</v>
      </c>
    </row>
    <row r="2448" spans="1:20" x14ac:dyDescent="0.2">
      <c r="A2448" s="4" t="s">
        <v>4787</v>
      </c>
      <c r="B2448" s="4" t="s">
        <v>4885</v>
      </c>
      <c r="C2448" s="4" t="s">
        <v>2096</v>
      </c>
      <c r="D2448" s="4" t="s">
        <v>4764</v>
      </c>
      <c r="E2448" s="4" t="s">
        <v>4892</v>
      </c>
      <c r="F2448" s="4" t="s">
        <v>4887</v>
      </c>
      <c r="G2448" s="4" t="s">
        <v>4824</v>
      </c>
      <c r="H2448" s="4" t="s">
        <v>2183</v>
      </c>
      <c r="I2448" s="4" t="s">
        <v>2100</v>
      </c>
      <c r="J2448" s="4" t="s">
        <v>2153</v>
      </c>
      <c r="K2448">
        <v>14</v>
      </c>
      <c r="L2448">
        <v>4.2</v>
      </c>
      <c r="M2448">
        <v>21</v>
      </c>
      <c r="N2448">
        <v>140</v>
      </c>
      <c r="O2448">
        <v>165.35433070866142</v>
      </c>
      <c r="P2448">
        <v>0.82677165354330717</v>
      </c>
      <c r="Q2448">
        <v>5.5118110236220472</v>
      </c>
      <c r="R2448">
        <v>1115.932</v>
      </c>
      <c r="S2448">
        <v>1.2348000000000001E-2</v>
      </c>
      <c r="T2448" s="4" t="s">
        <v>4888</v>
      </c>
    </row>
    <row r="2449" spans="1:20" x14ac:dyDescent="0.2">
      <c r="A2449" s="4" t="s">
        <v>4787</v>
      </c>
      <c r="B2449" s="4" t="s">
        <v>4885</v>
      </c>
      <c r="C2449" s="4" t="s">
        <v>2096</v>
      </c>
      <c r="D2449" s="4" t="s">
        <v>4764</v>
      </c>
      <c r="E2449" s="4" t="s">
        <v>4893</v>
      </c>
      <c r="F2449" s="4" t="s">
        <v>4887</v>
      </c>
      <c r="G2449" s="4" t="s">
        <v>4824</v>
      </c>
      <c r="H2449" s="4" t="s">
        <v>2183</v>
      </c>
      <c r="I2449" s="4" t="s">
        <v>2100</v>
      </c>
      <c r="J2449" s="4" t="s">
        <v>2153</v>
      </c>
      <c r="K2449">
        <v>15</v>
      </c>
      <c r="L2449">
        <v>4.5</v>
      </c>
      <c r="M2449">
        <v>21</v>
      </c>
      <c r="N2449">
        <v>140</v>
      </c>
      <c r="O2449">
        <v>177.16535433070868</v>
      </c>
      <c r="P2449">
        <v>0.82677165354330717</v>
      </c>
      <c r="Q2449">
        <v>5.5118110236220472</v>
      </c>
      <c r="R2449">
        <v>1115.932</v>
      </c>
      <c r="S2449">
        <v>1.323E-2</v>
      </c>
      <c r="T2449" s="4" t="s">
        <v>4888</v>
      </c>
    </row>
    <row r="2450" spans="1:20" x14ac:dyDescent="0.2">
      <c r="A2450" s="4" t="s">
        <v>4787</v>
      </c>
      <c r="B2450" s="4" t="s">
        <v>4885</v>
      </c>
      <c r="C2450" s="4" t="s">
        <v>2096</v>
      </c>
      <c r="D2450" s="4" t="s">
        <v>4764</v>
      </c>
      <c r="E2450" s="4" t="s">
        <v>4894</v>
      </c>
      <c r="F2450" s="4" t="s">
        <v>4887</v>
      </c>
      <c r="G2450" s="4" t="s">
        <v>4824</v>
      </c>
      <c r="H2450" s="4" t="s">
        <v>2183</v>
      </c>
      <c r="I2450" s="4" t="s">
        <v>2100</v>
      </c>
      <c r="J2450" s="4" t="s">
        <v>2153</v>
      </c>
      <c r="K2450">
        <v>16</v>
      </c>
      <c r="L2450">
        <v>4.8</v>
      </c>
      <c r="M2450">
        <v>21</v>
      </c>
      <c r="N2450">
        <v>140</v>
      </c>
      <c r="O2450">
        <v>188.97637795275591</v>
      </c>
      <c r="P2450">
        <v>0.82677165354330717</v>
      </c>
      <c r="Q2450">
        <v>5.5118110236220472</v>
      </c>
      <c r="R2450">
        <v>1115.932</v>
      </c>
      <c r="S2450">
        <v>1.4112E-2</v>
      </c>
      <c r="T2450" s="4" t="s">
        <v>4888</v>
      </c>
    </row>
    <row r="2451" spans="1:20" x14ac:dyDescent="0.2">
      <c r="A2451" s="4" t="s">
        <v>4787</v>
      </c>
      <c r="B2451" s="4" t="s">
        <v>4885</v>
      </c>
      <c r="C2451" s="4" t="s">
        <v>2096</v>
      </c>
      <c r="D2451" s="4" t="s">
        <v>4764</v>
      </c>
      <c r="E2451" s="4" t="s">
        <v>4895</v>
      </c>
      <c r="F2451" s="4" t="s">
        <v>4887</v>
      </c>
      <c r="G2451" s="4" t="s">
        <v>4824</v>
      </c>
      <c r="H2451" s="4" t="s">
        <v>2183</v>
      </c>
      <c r="I2451" s="4" t="s">
        <v>2100</v>
      </c>
      <c r="J2451" s="4" t="s">
        <v>2153</v>
      </c>
      <c r="K2451">
        <v>17</v>
      </c>
      <c r="L2451">
        <v>5.0999999999999996</v>
      </c>
      <c r="M2451">
        <v>21</v>
      </c>
      <c r="N2451">
        <v>140</v>
      </c>
      <c r="O2451">
        <v>200.78740157480314</v>
      </c>
      <c r="P2451">
        <v>0.82677165354330717</v>
      </c>
      <c r="Q2451">
        <v>5.5118110236220472</v>
      </c>
      <c r="R2451">
        <v>1115.932</v>
      </c>
      <c r="S2451">
        <v>1.4994E-2</v>
      </c>
      <c r="T2451" s="4" t="s">
        <v>4888</v>
      </c>
    </row>
    <row r="2452" spans="1:20" x14ac:dyDescent="0.2">
      <c r="A2452" s="4" t="s">
        <v>4787</v>
      </c>
      <c r="B2452" s="4" t="s">
        <v>4885</v>
      </c>
      <c r="C2452" s="4" t="s">
        <v>2096</v>
      </c>
      <c r="D2452" s="4" t="s">
        <v>4764</v>
      </c>
      <c r="E2452" s="4" t="s">
        <v>4896</v>
      </c>
      <c r="F2452" s="4" t="s">
        <v>4887</v>
      </c>
      <c r="G2452" s="4" t="s">
        <v>4824</v>
      </c>
      <c r="H2452" s="4" t="s">
        <v>2183</v>
      </c>
      <c r="I2452" s="4" t="s">
        <v>2100</v>
      </c>
      <c r="J2452" s="4" t="s">
        <v>2153</v>
      </c>
      <c r="K2452">
        <v>18</v>
      </c>
      <c r="L2452">
        <v>5.4</v>
      </c>
      <c r="M2452">
        <v>21</v>
      </c>
      <c r="N2452">
        <v>140</v>
      </c>
      <c r="O2452">
        <v>212.59842519685043</v>
      </c>
      <c r="P2452">
        <v>0.82677165354330717</v>
      </c>
      <c r="Q2452">
        <v>5.5118110236220472</v>
      </c>
      <c r="R2452">
        <v>1115.932</v>
      </c>
      <c r="S2452">
        <v>1.5875999999999998E-2</v>
      </c>
      <c r="T2452" s="4" t="s">
        <v>4888</v>
      </c>
    </row>
    <row r="2453" spans="1:20" x14ac:dyDescent="0.2">
      <c r="A2453" s="4" t="s">
        <v>4787</v>
      </c>
      <c r="B2453" s="4" t="s">
        <v>4885</v>
      </c>
      <c r="C2453" s="4" t="s">
        <v>2286</v>
      </c>
      <c r="D2453" s="4" t="s">
        <v>4764</v>
      </c>
      <c r="E2453" s="4" t="s">
        <v>4897</v>
      </c>
      <c r="F2453" s="4" t="s">
        <v>4887</v>
      </c>
      <c r="G2453" s="4" t="s">
        <v>4824</v>
      </c>
      <c r="H2453" s="4" t="s">
        <v>2183</v>
      </c>
      <c r="I2453" s="4" t="s">
        <v>2100</v>
      </c>
      <c r="J2453" s="4" t="s">
        <v>2153</v>
      </c>
      <c r="K2453">
        <v>4</v>
      </c>
      <c r="L2453">
        <v>1.2</v>
      </c>
      <c r="M2453">
        <v>21</v>
      </c>
      <c r="N2453">
        <v>140</v>
      </c>
      <c r="O2453">
        <v>47.244094488188978</v>
      </c>
      <c r="P2453">
        <v>0.82677165354330717</v>
      </c>
      <c r="Q2453">
        <v>5.5118110236220472</v>
      </c>
      <c r="R2453">
        <v>1115.932</v>
      </c>
      <c r="S2453">
        <v>3.5279999999999999E-3</v>
      </c>
      <c r="T2453" s="4" t="s">
        <v>4898</v>
      </c>
    </row>
    <row r="2454" spans="1:20" x14ac:dyDescent="0.2">
      <c r="A2454" s="4" t="s">
        <v>4787</v>
      </c>
      <c r="B2454" s="4" t="s">
        <v>4885</v>
      </c>
      <c r="C2454" s="4" t="s">
        <v>2286</v>
      </c>
      <c r="D2454" s="4" t="s">
        <v>4764</v>
      </c>
      <c r="E2454" s="4" t="s">
        <v>4899</v>
      </c>
      <c r="F2454" s="4" t="s">
        <v>4887</v>
      </c>
      <c r="G2454" s="4" t="s">
        <v>4824</v>
      </c>
      <c r="H2454" s="4" t="s">
        <v>2183</v>
      </c>
      <c r="I2454" s="4" t="s">
        <v>2100</v>
      </c>
      <c r="J2454" s="4" t="s">
        <v>2153</v>
      </c>
      <c r="K2454">
        <v>5</v>
      </c>
      <c r="L2454">
        <v>1.5</v>
      </c>
      <c r="M2454">
        <v>21</v>
      </c>
      <c r="N2454">
        <v>140</v>
      </c>
      <c r="O2454">
        <v>59.055118110236222</v>
      </c>
      <c r="P2454">
        <v>0.82677165354330717</v>
      </c>
      <c r="Q2454">
        <v>5.5118110236220472</v>
      </c>
      <c r="R2454">
        <v>1115.932</v>
      </c>
      <c r="S2454">
        <v>4.4099999999999999E-3</v>
      </c>
      <c r="T2454" s="4" t="s">
        <v>4898</v>
      </c>
    </row>
    <row r="2455" spans="1:20" x14ac:dyDescent="0.2">
      <c r="A2455" s="4" t="s">
        <v>4787</v>
      </c>
      <c r="B2455" s="4" t="s">
        <v>4885</v>
      </c>
      <c r="C2455" s="4" t="s">
        <v>2286</v>
      </c>
      <c r="D2455" s="4" t="s">
        <v>4764</v>
      </c>
      <c r="E2455" s="4" t="s">
        <v>4900</v>
      </c>
      <c r="F2455" s="4" t="s">
        <v>4887</v>
      </c>
      <c r="G2455" s="4" t="s">
        <v>4824</v>
      </c>
      <c r="H2455" s="4" t="s">
        <v>2183</v>
      </c>
      <c r="I2455" s="4" t="s">
        <v>2100</v>
      </c>
      <c r="J2455" s="4" t="s">
        <v>2153</v>
      </c>
      <c r="K2455">
        <v>6</v>
      </c>
      <c r="L2455">
        <v>1.8</v>
      </c>
      <c r="M2455">
        <v>21</v>
      </c>
      <c r="N2455">
        <v>140</v>
      </c>
      <c r="O2455">
        <v>70.866141732283467</v>
      </c>
      <c r="P2455">
        <v>0.82677165354330717</v>
      </c>
      <c r="Q2455">
        <v>5.5118110236220472</v>
      </c>
      <c r="R2455">
        <v>1115.932</v>
      </c>
      <c r="S2455">
        <v>5.2920000000000007E-3</v>
      </c>
      <c r="T2455" s="4" t="s">
        <v>4898</v>
      </c>
    </row>
    <row r="2456" spans="1:20" x14ac:dyDescent="0.2">
      <c r="A2456" s="4" t="s">
        <v>4787</v>
      </c>
      <c r="B2456" s="4" t="s">
        <v>4885</v>
      </c>
      <c r="C2456" s="4" t="s">
        <v>2286</v>
      </c>
      <c r="D2456" s="4" t="s">
        <v>4764</v>
      </c>
      <c r="E2456" s="4" t="s">
        <v>4901</v>
      </c>
      <c r="F2456" s="4" t="s">
        <v>4887</v>
      </c>
      <c r="G2456" s="4" t="s">
        <v>4824</v>
      </c>
      <c r="H2456" s="4" t="s">
        <v>2183</v>
      </c>
      <c r="I2456" s="4" t="s">
        <v>2100</v>
      </c>
      <c r="J2456" s="4" t="s">
        <v>2153</v>
      </c>
      <c r="K2456">
        <v>7</v>
      </c>
      <c r="L2456">
        <v>2.1</v>
      </c>
      <c r="M2456">
        <v>21</v>
      </c>
      <c r="N2456">
        <v>140</v>
      </c>
      <c r="O2456">
        <v>82.677165354330711</v>
      </c>
      <c r="P2456">
        <v>0.82677165354330717</v>
      </c>
      <c r="Q2456">
        <v>5.5118110236220472</v>
      </c>
      <c r="R2456">
        <v>1115.932</v>
      </c>
      <c r="S2456">
        <v>6.1740000000000007E-3</v>
      </c>
      <c r="T2456" s="4" t="s">
        <v>4898</v>
      </c>
    </row>
    <row r="2457" spans="1:20" x14ac:dyDescent="0.2">
      <c r="A2457" s="4" t="s">
        <v>4787</v>
      </c>
      <c r="B2457" s="4" t="s">
        <v>4885</v>
      </c>
      <c r="C2457" s="4" t="s">
        <v>2096</v>
      </c>
      <c r="D2457" s="4" t="s">
        <v>4764</v>
      </c>
      <c r="E2457" s="4" t="s">
        <v>4902</v>
      </c>
      <c r="F2457" s="4" t="s">
        <v>4887</v>
      </c>
      <c r="G2457" s="4" t="s">
        <v>4824</v>
      </c>
      <c r="H2457" s="4" t="s">
        <v>2183</v>
      </c>
      <c r="I2457" s="4" t="s">
        <v>2100</v>
      </c>
      <c r="J2457" s="4" t="s">
        <v>2153</v>
      </c>
      <c r="K2457">
        <v>8</v>
      </c>
      <c r="L2457">
        <v>2.4</v>
      </c>
      <c r="M2457">
        <v>21</v>
      </c>
      <c r="N2457">
        <v>140</v>
      </c>
      <c r="O2457">
        <v>94.488188976377955</v>
      </c>
      <c r="P2457">
        <v>0.82677165354330717</v>
      </c>
      <c r="Q2457">
        <v>5.5118110236220472</v>
      </c>
      <c r="R2457">
        <v>1115.932</v>
      </c>
      <c r="S2457">
        <v>7.0559999999999998E-3</v>
      </c>
      <c r="T2457" s="4" t="s">
        <v>4888</v>
      </c>
    </row>
    <row r="2458" spans="1:20" x14ac:dyDescent="0.2">
      <c r="A2458" s="4" t="s">
        <v>4787</v>
      </c>
      <c r="B2458" s="4" t="s">
        <v>4885</v>
      </c>
      <c r="C2458" s="4" t="s">
        <v>2096</v>
      </c>
      <c r="D2458" s="4" t="s">
        <v>4764</v>
      </c>
      <c r="E2458" s="4" t="s">
        <v>4903</v>
      </c>
      <c r="F2458" s="4" t="s">
        <v>4887</v>
      </c>
      <c r="G2458" s="4" t="s">
        <v>4824</v>
      </c>
      <c r="H2458" s="4" t="s">
        <v>2183</v>
      </c>
      <c r="I2458" s="4" t="s">
        <v>2100</v>
      </c>
      <c r="J2458" s="4" t="s">
        <v>2153</v>
      </c>
      <c r="K2458">
        <v>9</v>
      </c>
      <c r="L2458">
        <v>2.7</v>
      </c>
      <c r="M2458">
        <v>21</v>
      </c>
      <c r="N2458">
        <v>140</v>
      </c>
      <c r="O2458">
        <v>106.29921259842521</v>
      </c>
      <c r="P2458">
        <v>0.82677165354330717</v>
      </c>
      <c r="Q2458">
        <v>5.5118110236220472</v>
      </c>
      <c r="R2458">
        <v>1115.932</v>
      </c>
      <c r="S2458">
        <v>7.9379999999999989E-3</v>
      </c>
      <c r="T2458" s="4" t="s">
        <v>4888</v>
      </c>
    </row>
    <row r="2459" spans="1:20" x14ac:dyDescent="0.2">
      <c r="A2459" s="4" t="s">
        <v>4787</v>
      </c>
      <c r="B2459" s="4" t="s">
        <v>4904</v>
      </c>
      <c r="C2459" s="4" t="s">
        <v>2096</v>
      </c>
      <c r="D2459" s="4" t="s">
        <v>4764</v>
      </c>
      <c r="E2459" s="4" t="s">
        <v>4905</v>
      </c>
      <c r="F2459" s="4" t="s">
        <v>4906</v>
      </c>
      <c r="G2459" s="4" t="s">
        <v>4824</v>
      </c>
      <c r="H2459" s="4" t="s">
        <v>2183</v>
      </c>
      <c r="I2459" s="4" t="s">
        <v>2100</v>
      </c>
      <c r="J2459" s="4" t="s">
        <v>2432</v>
      </c>
      <c r="K2459">
        <v>10</v>
      </c>
      <c r="L2459">
        <v>3</v>
      </c>
      <c r="M2459">
        <v>20</v>
      </c>
      <c r="N2459">
        <v>180</v>
      </c>
      <c r="O2459">
        <v>118.11023622047244</v>
      </c>
      <c r="P2459">
        <v>0.78740157480314965</v>
      </c>
      <c r="Q2459">
        <v>7.0866141732283472</v>
      </c>
      <c r="R2459">
        <v>911.34400000000005</v>
      </c>
      <c r="S2459">
        <v>1.0799999999999999E-2</v>
      </c>
      <c r="T2459" s="4" t="s">
        <v>4907</v>
      </c>
    </row>
    <row r="2460" spans="1:20" x14ac:dyDescent="0.2">
      <c r="A2460" s="4" t="s">
        <v>4787</v>
      </c>
      <c r="B2460" s="4" t="s">
        <v>4904</v>
      </c>
      <c r="C2460" s="4" t="s">
        <v>2096</v>
      </c>
      <c r="D2460" s="4" t="s">
        <v>4764</v>
      </c>
      <c r="E2460" s="4" t="s">
        <v>4908</v>
      </c>
      <c r="F2460" s="4" t="s">
        <v>4906</v>
      </c>
      <c r="G2460" s="4" t="s">
        <v>4824</v>
      </c>
      <c r="H2460" s="4" t="s">
        <v>2183</v>
      </c>
      <c r="I2460" s="4" t="s">
        <v>2100</v>
      </c>
      <c r="J2460" s="4" t="s">
        <v>2432</v>
      </c>
      <c r="K2460">
        <v>11</v>
      </c>
      <c r="L2460">
        <v>3.3</v>
      </c>
      <c r="M2460">
        <v>20</v>
      </c>
      <c r="N2460">
        <v>180</v>
      </c>
      <c r="O2460">
        <v>129.92125984251967</v>
      </c>
      <c r="P2460">
        <v>0.78740157480314965</v>
      </c>
      <c r="Q2460">
        <v>7.0866141732283472</v>
      </c>
      <c r="R2460">
        <v>911.34400000000005</v>
      </c>
      <c r="S2460">
        <v>1.188E-2</v>
      </c>
      <c r="T2460" s="4" t="s">
        <v>4907</v>
      </c>
    </row>
    <row r="2461" spans="1:20" x14ac:dyDescent="0.2">
      <c r="A2461" s="4" t="s">
        <v>4787</v>
      </c>
      <c r="B2461" s="4" t="s">
        <v>4904</v>
      </c>
      <c r="C2461" s="4" t="s">
        <v>2096</v>
      </c>
      <c r="D2461" s="4" t="s">
        <v>4764</v>
      </c>
      <c r="E2461" s="4" t="s">
        <v>4909</v>
      </c>
      <c r="F2461" s="4" t="s">
        <v>4906</v>
      </c>
      <c r="G2461" s="4" t="s">
        <v>4824</v>
      </c>
      <c r="H2461" s="4" t="s">
        <v>2183</v>
      </c>
      <c r="I2461" s="4" t="s">
        <v>2100</v>
      </c>
      <c r="J2461" s="4" t="s">
        <v>2432</v>
      </c>
      <c r="K2461">
        <v>12</v>
      </c>
      <c r="L2461">
        <v>3.6</v>
      </c>
      <c r="M2461">
        <v>20</v>
      </c>
      <c r="N2461">
        <v>180</v>
      </c>
      <c r="O2461">
        <v>141.73228346456693</v>
      </c>
      <c r="P2461">
        <v>0.78740157480314965</v>
      </c>
      <c r="Q2461">
        <v>7.0866141732283472</v>
      </c>
      <c r="R2461">
        <v>911.34400000000005</v>
      </c>
      <c r="S2461">
        <v>1.2959999999999999E-2</v>
      </c>
      <c r="T2461" s="4" t="s">
        <v>4907</v>
      </c>
    </row>
    <row r="2462" spans="1:20" x14ac:dyDescent="0.2">
      <c r="A2462" s="4" t="s">
        <v>4787</v>
      </c>
      <c r="B2462" s="4" t="s">
        <v>4904</v>
      </c>
      <c r="C2462" s="4" t="s">
        <v>2096</v>
      </c>
      <c r="D2462" s="4" t="s">
        <v>4764</v>
      </c>
      <c r="E2462" s="4" t="s">
        <v>4910</v>
      </c>
      <c r="F2462" s="4" t="s">
        <v>4906</v>
      </c>
      <c r="G2462" s="4" t="s">
        <v>4824</v>
      </c>
      <c r="H2462" s="4" t="s">
        <v>2183</v>
      </c>
      <c r="I2462" s="4" t="s">
        <v>2100</v>
      </c>
      <c r="J2462" s="4" t="s">
        <v>2432</v>
      </c>
      <c r="K2462">
        <v>13</v>
      </c>
      <c r="L2462">
        <v>3.9</v>
      </c>
      <c r="M2462">
        <v>20</v>
      </c>
      <c r="N2462">
        <v>180</v>
      </c>
      <c r="O2462">
        <v>153.54330708661416</v>
      </c>
      <c r="P2462">
        <v>0.78740157480314965</v>
      </c>
      <c r="Q2462">
        <v>7.0866141732283472</v>
      </c>
      <c r="R2462">
        <v>911.34400000000005</v>
      </c>
      <c r="S2462">
        <v>1.4039999999999999E-2</v>
      </c>
      <c r="T2462" s="4" t="s">
        <v>4907</v>
      </c>
    </row>
    <row r="2463" spans="1:20" x14ac:dyDescent="0.2">
      <c r="A2463" s="4" t="s">
        <v>4787</v>
      </c>
      <c r="B2463" s="4" t="s">
        <v>4904</v>
      </c>
      <c r="C2463" s="4" t="s">
        <v>2096</v>
      </c>
      <c r="D2463" s="4" t="s">
        <v>4764</v>
      </c>
      <c r="E2463" s="4" t="s">
        <v>4911</v>
      </c>
      <c r="F2463" s="4" t="s">
        <v>4906</v>
      </c>
      <c r="G2463" s="4" t="s">
        <v>4824</v>
      </c>
      <c r="H2463" s="4" t="s">
        <v>2183</v>
      </c>
      <c r="I2463" s="4" t="s">
        <v>2100</v>
      </c>
      <c r="J2463" s="4" t="s">
        <v>2432</v>
      </c>
      <c r="K2463">
        <v>14</v>
      </c>
      <c r="L2463">
        <v>4.2</v>
      </c>
      <c r="M2463">
        <v>20</v>
      </c>
      <c r="N2463">
        <v>180</v>
      </c>
      <c r="O2463">
        <v>165.35433070866142</v>
      </c>
      <c r="P2463">
        <v>0.78740157480314965</v>
      </c>
      <c r="Q2463">
        <v>7.0866141732283472</v>
      </c>
      <c r="R2463">
        <v>911.34400000000005</v>
      </c>
      <c r="S2463">
        <v>1.5120000000000001E-2</v>
      </c>
      <c r="T2463" s="4" t="s">
        <v>4907</v>
      </c>
    </row>
    <row r="2464" spans="1:20" x14ac:dyDescent="0.2">
      <c r="A2464" s="4" t="s">
        <v>4787</v>
      </c>
      <c r="B2464" s="4" t="s">
        <v>4904</v>
      </c>
      <c r="C2464" s="4" t="s">
        <v>2096</v>
      </c>
      <c r="D2464" s="4" t="s">
        <v>4764</v>
      </c>
      <c r="E2464" s="4" t="s">
        <v>4912</v>
      </c>
      <c r="F2464" s="4" t="s">
        <v>4906</v>
      </c>
      <c r="G2464" s="4" t="s">
        <v>4824</v>
      </c>
      <c r="H2464" s="4" t="s">
        <v>2183</v>
      </c>
      <c r="I2464" s="4" t="s">
        <v>2100</v>
      </c>
      <c r="J2464" s="4" t="s">
        <v>2432</v>
      </c>
      <c r="K2464">
        <v>15</v>
      </c>
      <c r="L2464">
        <v>4.5</v>
      </c>
      <c r="M2464">
        <v>20</v>
      </c>
      <c r="N2464">
        <v>180</v>
      </c>
      <c r="O2464">
        <v>177.16535433070868</v>
      </c>
      <c r="P2464">
        <v>0.78740157480314965</v>
      </c>
      <c r="Q2464">
        <v>7.0866141732283472</v>
      </c>
      <c r="R2464">
        <v>911.34400000000005</v>
      </c>
      <c r="S2464">
        <v>1.6199999999999999E-2</v>
      </c>
      <c r="T2464" s="4" t="s">
        <v>4907</v>
      </c>
    </row>
    <row r="2465" spans="1:20" x14ac:dyDescent="0.2">
      <c r="A2465" s="4" t="s">
        <v>4787</v>
      </c>
      <c r="B2465" s="4" t="s">
        <v>4904</v>
      </c>
      <c r="C2465" s="4" t="s">
        <v>2096</v>
      </c>
      <c r="D2465" s="4" t="s">
        <v>4764</v>
      </c>
      <c r="E2465" s="4" t="s">
        <v>4913</v>
      </c>
      <c r="F2465" s="4" t="s">
        <v>4906</v>
      </c>
      <c r="G2465" s="4" t="s">
        <v>4824</v>
      </c>
      <c r="H2465" s="4" t="s">
        <v>2183</v>
      </c>
      <c r="I2465" s="4" t="s">
        <v>2100</v>
      </c>
      <c r="J2465" s="4" t="s">
        <v>2432</v>
      </c>
      <c r="K2465">
        <v>16</v>
      </c>
      <c r="L2465">
        <v>4.8</v>
      </c>
      <c r="M2465">
        <v>20</v>
      </c>
      <c r="N2465">
        <v>180</v>
      </c>
      <c r="O2465">
        <v>188.97637795275591</v>
      </c>
      <c r="P2465">
        <v>0.78740157480314965</v>
      </c>
      <c r="Q2465">
        <v>7.0866141732283472</v>
      </c>
      <c r="R2465">
        <v>911.34400000000005</v>
      </c>
      <c r="S2465">
        <v>1.728E-2</v>
      </c>
      <c r="T2465" s="4" t="s">
        <v>4907</v>
      </c>
    </row>
    <row r="2466" spans="1:20" x14ac:dyDescent="0.2">
      <c r="A2466" s="4" t="s">
        <v>4787</v>
      </c>
      <c r="B2466" s="4" t="s">
        <v>4904</v>
      </c>
      <c r="C2466" s="4" t="s">
        <v>2096</v>
      </c>
      <c r="D2466" s="4" t="s">
        <v>4764</v>
      </c>
      <c r="E2466" s="4" t="s">
        <v>4914</v>
      </c>
      <c r="F2466" s="4" t="s">
        <v>4906</v>
      </c>
      <c r="G2466" s="4" t="s">
        <v>4824</v>
      </c>
      <c r="H2466" s="4" t="s">
        <v>2183</v>
      </c>
      <c r="I2466" s="4" t="s">
        <v>2100</v>
      </c>
      <c r="J2466" s="4" t="s">
        <v>2432</v>
      </c>
      <c r="K2466">
        <v>17</v>
      </c>
      <c r="L2466">
        <v>5.0999999999999996</v>
      </c>
      <c r="M2466">
        <v>20</v>
      </c>
      <c r="N2466">
        <v>180</v>
      </c>
      <c r="O2466">
        <v>200.78740157480314</v>
      </c>
      <c r="P2466">
        <v>0.78740157480314965</v>
      </c>
      <c r="Q2466">
        <v>7.0866141732283472</v>
      </c>
      <c r="R2466">
        <v>911.34400000000005</v>
      </c>
      <c r="S2466">
        <v>1.8359999999999998E-2</v>
      </c>
      <c r="T2466" s="4" t="s">
        <v>4907</v>
      </c>
    </row>
    <row r="2467" spans="1:20" x14ac:dyDescent="0.2">
      <c r="A2467" s="4" t="s">
        <v>4787</v>
      </c>
      <c r="B2467" s="4" t="s">
        <v>4904</v>
      </c>
      <c r="C2467" s="4" t="s">
        <v>2096</v>
      </c>
      <c r="D2467" s="4" t="s">
        <v>4764</v>
      </c>
      <c r="E2467" s="4" t="s">
        <v>4915</v>
      </c>
      <c r="F2467" s="4" t="s">
        <v>4906</v>
      </c>
      <c r="G2467" s="4" t="s">
        <v>4824</v>
      </c>
      <c r="H2467" s="4" t="s">
        <v>2183</v>
      </c>
      <c r="I2467" s="4" t="s">
        <v>2100</v>
      </c>
      <c r="J2467" s="4" t="s">
        <v>2432</v>
      </c>
      <c r="K2467">
        <v>18</v>
      </c>
      <c r="L2467">
        <v>5.4</v>
      </c>
      <c r="M2467">
        <v>20</v>
      </c>
      <c r="N2467">
        <v>180</v>
      </c>
      <c r="O2467">
        <v>212.59842519685043</v>
      </c>
      <c r="P2467">
        <v>0.78740157480314965</v>
      </c>
      <c r="Q2467">
        <v>7.0866141732283472</v>
      </c>
      <c r="R2467">
        <v>911.34400000000005</v>
      </c>
      <c r="S2467">
        <v>1.9440000000000002E-2</v>
      </c>
      <c r="T2467" s="4" t="s">
        <v>4907</v>
      </c>
    </row>
    <row r="2468" spans="1:20" x14ac:dyDescent="0.2">
      <c r="A2468" s="4" t="s">
        <v>4787</v>
      </c>
      <c r="B2468" s="4" t="s">
        <v>4904</v>
      </c>
      <c r="C2468" s="4" t="s">
        <v>2286</v>
      </c>
      <c r="D2468" s="4" t="s">
        <v>4764</v>
      </c>
      <c r="E2468" s="4" t="s">
        <v>1144</v>
      </c>
      <c r="F2468" s="4" t="s">
        <v>4906</v>
      </c>
      <c r="G2468" s="4" t="s">
        <v>4824</v>
      </c>
      <c r="H2468" s="4" t="s">
        <v>2183</v>
      </c>
      <c r="I2468" s="4" t="s">
        <v>2100</v>
      </c>
      <c r="J2468" s="4" t="s">
        <v>2432</v>
      </c>
      <c r="K2468">
        <v>4</v>
      </c>
      <c r="L2468">
        <v>1.2</v>
      </c>
      <c r="M2468">
        <v>20</v>
      </c>
      <c r="N2468">
        <v>180</v>
      </c>
      <c r="O2468">
        <v>47.244094488188978</v>
      </c>
      <c r="P2468">
        <v>0.78740157480314965</v>
      </c>
      <c r="Q2468">
        <v>7.0866141732283472</v>
      </c>
      <c r="R2468">
        <v>911.34400000000005</v>
      </c>
      <c r="S2468">
        <v>4.3200000000000001E-3</v>
      </c>
      <c r="T2468" s="4" t="s">
        <v>4916</v>
      </c>
    </row>
    <row r="2469" spans="1:20" x14ac:dyDescent="0.2">
      <c r="A2469" s="4" t="s">
        <v>4787</v>
      </c>
      <c r="B2469" s="4" t="s">
        <v>4904</v>
      </c>
      <c r="C2469" s="4" t="s">
        <v>2286</v>
      </c>
      <c r="D2469" s="4" t="s">
        <v>4764</v>
      </c>
      <c r="E2469" s="4" t="s">
        <v>1146</v>
      </c>
      <c r="F2469" s="4" t="s">
        <v>4906</v>
      </c>
      <c r="G2469" s="4" t="s">
        <v>4824</v>
      </c>
      <c r="H2469" s="4" t="s">
        <v>2183</v>
      </c>
      <c r="I2469" s="4" t="s">
        <v>2100</v>
      </c>
      <c r="J2469" s="4" t="s">
        <v>2432</v>
      </c>
      <c r="K2469">
        <v>5</v>
      </c>
      <c r="L2469">
        <v>1.5</v>
      </c>
      <c r="M2469">
        <v>20</v>
      </c>
      <c r="N2469">
        <v>180</v>
      </c>
      <c r="O2469">
        <v>59.055118110236222</v>
      </c>
      <c r="P2469">
        <v>0.78740157480314965</v>
      </c>
      <c r="Q2469">
        <v>7.0866141732283472</v>
      </c>
      <c r="R2469">
        <v>911.34400000000005</v>
      </c>
      <c r="S2469">
        <v>5.3999999999999994E-3</v>
      </c>
      <c r="T2469" s="4" t="s">
        <v>4916</v>
      </c>
    </row>
    <row r="2470" spans="1:20" x14ac:dyDescent="0.2">
      <c r="A2470" s="4" t="s">
        <v>4787</v>
      </c>
      <c r="B2470" s="4" t="s">
        <v>4904</v>
      </c>
      <c r="C2470" s="4" t="s">
        <v>2286</v>
      </c>
      <c r="D2470" s="4" t="s">
        <v>4764</v>
      </c>
      <c r="E2470" s="4" t="s">
        <v>1148</v>
      </c>
      <c r="F2470" s="4" t="s">
        <v>4906</v>
      </c>
      <c r="G2470" s="4" t="s">
        <v>4824</v>
      </c>
      <c r="H2470" s="4" t="s">
        <v>2183</v>
      </c>
      <c r="I2470" s="4" t="s">
        <v>2100</v>
      </c>
      <c r="J2470" s="4" t="s">
        <v>2432</v>
      </c>
      <c r="K2470">
        <v>6</v>
      </c>
      <c r="L2470">
        <v>1.8</v>
      </c>
      <c r="M2470">
        <v>20</v>
      </c>
      <c r="N2470">
        <v>180</v>
      </c>
      <c r="O2470">
        <v>70.866141732283467</v>
      </c>
      <c r="P2470">
        <v>0.78740157480314965</v>
      </c>
      <c r="Q2470">
        <v>7.0866141732283472</v>
      </c>
      <c r="R2470">
        <v>911.34400000000005</v>
      </c>
      <c r="S2470">
        <v>6.4799999999999996E-3</v>
      </c>
      <c r="T2470" s="4" t="s">
        <v>4916</v>
      </c>
    </row>
    <row r="2471" spans="1:20" x14ac:dyDescent="0.2">
      <c r="A2471" s="4" t="s">
        <v>4787</v>
      </c>
      <c r="B2471" s="4" t="s">
        <v>4904</v>
      </c>
      <c r="C2471" s="4" t="s">
        <v>2286</v>
      </c>
      <c r="D2471" s="4" t="s">
        <v>4764</v>
      </c>
      <c r="E2471" s="4" t="s">
        <v>1150</v>
      </c>
      <c r="F2471" s="4" t="s">
        <v>4906</v>
      </c>
      <c r="G2471" s="4" t="s">
        <v>4824</v>
      </c>
      <c r="H2471" s="4" t="s">
        <v>2183</v>
      </c>
      <c r="I2471" s="4" t="s">
        <v>2100</v>
      </c>
      <c r="J2471" s="4" t="s">
        <v>2432</v>
      </c>
      <c r="K2471">
        <v>7</v>
      </c>
      <c r="L2471">
        <v>2.1</v>
      </c>
      <c r="M2471">
        <v>20</v>
      </c>
      <c r="N2471">
        <v>180</v>
      </c>
      <c r="O2471">
        <v>82.677165354330711</v>
      </c>
      <c r="P2471">
        <v>0.78740157480314965</v>
      </c>
      <c r="Q2471">
        <v>7.0866141732283472</v>
      </c>
      <c r="R2471">
        <v>911.34400000000005</v>
      </c>
      <c r="S2471">
        <v>7.5600000000000007E-3</v>
      </c>
      <c r="T2471" s="4" t="s">
        <v>4916</v>
      </c>
    </row>
    <row r="2472" spans="1:20" x14ac:dyDescent="0.2">
      <c r="A2472" s="4" t="s">
        <v>4787</v>
      </c>
      <c r="B2472" s="4" t="s">
        <v>4904</v>
      </c>
      <c r="C2472" s="4" t="s">
        <v>2096</v>
      </c>
      <c r="D2472" s="4" t="s">
        <v>4764</v>
      </c>
      <c r="E2472" s="4" t="s">
        <v>1152</v>
      </c>
      <c r="F2472" s="4" t="s">
        <v>4906</v>
      </c>
      <c r="G2472" s="4" t="s">
        <v>4824</v>
      </c>
      <c r="H2472" s="4" t="s">
        <v>2183</v>
      </c>
      <c r="I2472" s="4" t="s">
        <v>2100</v>
      </c>
      <c r="J2472" s="4" t="s">
        <v>2432</v>
      </c>
      <c r="K2472">
        <v>8</v>
      </c>
      <c r="L2472">
        <v>2.4</v>
      </c>
      <c r="M2472">
        <v>20</v>
      </c>
      <c r="N2472">
        <v>180</v>
      </c>
      <c r="O2472">
        <v>94.488188976377955</v>
      </c>
      <c r="P2472">
        <v>0.78740157480314965</v>
      </c>
      <c r="Q2472">
        <v>7.0866141732283472</v>
      </c>
      <c r="R2472">
        <v>911.34400000000005</v>
      </c>
      <c r="S2472">
        <v>8.6400000000000001E-3</v>
      </c>
      <c r="T2472" s="4" t="s">
        <v>4907</v>
      </c>
    </row>
    <row r="2473" spans="1:20" x14ac:dyDescent="0.2">
      <c r="A2473" s="4" t="s">
        <v>4787</v>
      </c>
      <c r="B2473" s="4" t="s">
        <v>4904</v>
      </c>
      <c r="C2473" s="4" t="s">
        <v>2096</v>
      </c>
      <c r="D2473" s="4" t="s">
        <v>4764</v>
      </c>
      <c r="E2473" s="4" t="s">
        <v>4917</v>
      </c>
      <c r="F2473" s="4" t="s">
        <v>4906</v>
      </c>
      <c r="G2473" s="4" t="s">
        <v>4824</v>
      </c>
      <c r="H2473" s="4" t="s">
        <v>2183</v>
      </c>
      <c r="I2473" s="4" t="s">
        <v>2100</v>
      </c>
      <c r="J2473" s="4" t="s">
        <v>2432</v>
      </c>
      <c r="K2473">
        <v>9</v>
      </c>
      <c r="L2473">
        <v>2.7</v>
      </c>
      <c r="M2473">
        <v>20</v>
      </c>
      <c r="N2473">
        <v>180</v>
      </c>
      <c r="O2473">
        <v>106.29921259842521</v>
      </c>
      <c r="P2473">
        <v>0.78740157480314965</v>
      </c>
      <c r="Q2473">
        <v>7.0866141732283472</v>
      </c>
      <c r="R2473">
        <v>911.34400000000005</v>
      </c>
      <c r="S2473">
        <v>9.7200000000000012E-3</v>
      </c>
      <c r="T2473" s="4" t="s">
        <v>4907</v>
      </c>
    </row>
    <row r="2474" spans="1:20" x14ac:dyDescent="0.2">
      <c r="A2474" s="4" t="s">
        <v>4787</v>
      </c>
      <c r="B2474" s="4" t="s">
        <v>4918</v>
      </c>
      <c r="C2474" s="4" t="s">
        <v>2096</v>
      </c>
      <c r="D2474" s="4" t="s">
        <v>4764</v>
      </c>
      <c r="E2474" s="4" t="s">
        <v>4919</v>
      </c>
      <c r="F2474" s="4" t="s">
        <v>4920</v>
      </c>
      <c r="G2474" s="4" t="s">
        <v>4824</v>
      </c>
      <c r="H2474" s="4" t="s">
        <v>2183</v>
      </c>
      <c r="I2474" s="4" t="s">
        <v>2100</v>
      </c>
      <c r="J2474" s="4" t="s">
        <v>2518</v>
      </c>
      <c r="K2474">
        <v>10</v>
      </c>
      <c r="L2474">
        <v>3</v>
      </c>
      <c r="M2474">
        <v>40</v>
      </c>
      <c r="N2474">
        <v>40</v>
      </c>
      <c r="O2474">
        <v>118.11023622047244</v>
      </c>
      <c r="P2474">
        <v>1.5748031496062993</v>
      </c>
      <c r="Q2474">
        <v>1.5748031496062993</v>
      </c>
      <c r="R2474">
        <v>2050.5250000000001</v>
      </c>
      <c r="S2474">
        <v>4.7999999999999996E-3</v>
      </c>
      <c r="T2474" s="4" t="s">
        <v>4921</v>
      </c>
    </row>
    <row r="2475" spans="1:20" x14ac:dyDescent="0.2">
      <c r="A2475" s="4" t="s">
        <v>4787</v>
      </c>
      <c r="B2475" s="4" t="s">
        <v>4918</v>
      </c>
      <c r="C2475" s="4" t="s">
        <v>2096</v>
      </c>
      <c r="D2475" s="4" t="s">
        <v>4764</v>
      </c>
      <c r="E2475" s="4" t="s">
        <v>4922</v>
      </c>
      <c r="F2475" s="4" t="s">
        <v>4920</v>
      </c>
      <c r="G2475" s="4" t="s">
        <v>4824</v>
      </c>
      <c r="H2475" s="4" t="s">
        <v>2183</v>
      </c>
      <c r="I2475" s="4" t="s">
        <v>2100</v>
      </c>
      <c r="J2475" s="4" t="s">
        <v>2518</v>
      </c>
      <c r="K2475">
        <v>11</v>
      </c>
      <c r="L2475">
        <v>3.3</v>
      </c>
      <c r="M2475">
        <v>40</v>
      </c>
      <c r="N2475">
        <v>40</v>
      </c>
      <c r="O2475">
        <v>129.92125984251967</v>
      </c>
      <c r="P2475">
        <v>1.5748031496062993</v>
      </c>
      <c r="Q2475">
        <v>1.5748031496062993</v>
      </c>
      <c r="R2475">
        <v>2050.5250000000001</v>
      </c>
      <c r="S2475">
        <v>5.28E-3</v>
      </c>
      <c r="T2475" s="4" t="s">
        <v>4921</v>
      </c>
    </row>
    <row r="2476" spans="1:20" x14ac:dyDescent="0.2">
      <c r="A2476" s="4" t="s">
        <v>4787</v>
      </c>
      <c r="B2476" s="4" t="s">
        <v>4918</v>
      </c>
      <c r="C2476" s="4" t="s">
        <v>2096</v>
      </c>
      <c r="D2476" s="4" t="s">
        <v>4764</v>
      </c>
      <c r="E2476" s="4" t="s">
        <v>4923</v>
      </c>
      <c r="F2476" s="4" t="s">
        <v>4920</v>
      </c>
      <c r="G2476" s="4" t="s">
        <v>4824</v>
      </c>
      <c r="H2476" s="4" t="s">
        <v>2183</v>
      </c>
      <c r="I2476" s="4" t="s">
        <v>2100</v>
      </c>
      <c r="J2476" s="4" t="s">
        <v>2518</v>
      </c>
      <c r="K2476">
        <v>12</v>
      </c>
      <c r="L2476">
        <v>3.6</v>
      </c>
      <c r="M2476">
        <v>40</v>
      </c>
      <c r="N2476">
        <v>40</v>
      </c>
      <c r="O2476">
        <v>141.73228346456693</v>
      </c>
      <c r="P2476">
        <v>1.5748031496062993</v>
      </c>
      <c r="Q2476">
        <v>1.5748031496062993</v>
      </c>
      <c r="R2476">
        <v>2050.5250000000001</v>
      </c>
      <c r="S2476">
        <v>5.7599999999999995E-3</v>
      </c>
      <c r="T2476" s="4" t="s">
        <v>4921</v>
      </c>
    </row>
    <row r="2477" spans="1:20" x14ac:dyDescent="0.2">
      <c r="A2477" s="4" t="s">
        <v>4787</v>
      </c>
      <c r="B2477" s="4" t="s">
        <v>4918</v>
      </c>
      <c r="C2477" s="4" t="s">
        <v>2096</v>
      </c>
      <c r="D2477" s="4" t="s">
        <v>4764</v>
      </c>
      <c r="E2477" s="4" t="s">
        <v>4924</v>
      </c>
      <c r="F2477" s="4" t="s">
        <v>4920</v>
      </c>
      <c r="G2477" s="4" t="s">
        <v>4824</v>
      </c>
      <c r="H2477" s="4" t="s">
        <v>2183</v>
      </c>
      <c r="I2477" s="4" t="s">
        <v>2100</v>
      </c>
      <c r="J2477" s="4" t="s">
        <v>2518</v>
      </c>
      <c r="K2477">
        <v>13</v>
      </c>
      <c r="L2477">
        <v>3.9</v>
      </c>
      <c r="M2477">
        <v>40</v>
      </c>
      <c r="N2477">
        <v>40</v>
      </c>
      <c r="O2477">
        <v>153.54330708661416</v>
      </c>
      <c r="P2477">
        <v>1.5748031496062993</v>
      </c>
      <c r="Q2477">
        <v>1.5748031496062993</v>
      </c>
      <c r="R2477">
        <v>2050.5250000000001</v>
      </c>
      <c r="S2477">
        <v>6.2399999999999999E-3</v>
      </c>
      <c r="T2477" s="4" t="s">
        <v>4921</v>
      </c>
    </row>
    <row r="2478" spans="1:20" x14ac:dyDescent="0.2">
      <c r="A2478" s="4" t="s">
        <v>4787</v>
      </c>
      <c r="B2478" s="4" t="s">
        <v>4918</v>
      </c>
      <c r="C2478" s="4" t="s">
        <v>2096</v>
      </c>
      <c r="D2478" s="4" t="s">
        <v>4764</v>
      </c>
      <c r="E2478" s="4" t="s">
        <v>4925</v>
      </c>
      <c r="F2478" s="4" t="s">
        <v>4920</v>
      </c>
      <c r="G2478" s="4" t="s">
        <v>4824</v>
      </c>
      <c r="H2478" s="4" t="s">
        <v>2183</v>
      </c>
      <c r="I2478" s="4" t="s">
        <v>2100</v>
      </c>
      <c r="J2478" s="4" t="s">
        <v>2518</v>
      </c>
      <c r="K2478">
        <v>14</v>
      </c>
      <c r="L2478">
        <v>4.2</v>
      </c>
      <c r="M2478">
        <v>40</v>
      </c>
      <c r="N2478">
        <v>40</v>
      </c>
      <c r="O2478">
        <v>165.35433070866142</v>
      </c>
      <c r="P2478">
        <v>1.5748031496062993</v>
      </c>
      <c r="Q2478">
        <v>1.5748031496062993</v>
      </c>
      <c r="R2478">
        <v>2050.5250000000001</v>
      </c>
      <c r="S2478">
        <v>6.7200000000000003E-3</v>
      </c>
      <c r="T2478" s="4" t="s">
        <v>4921</v>
      </c>
    </row>
    <row r="2479" spans="1:20" x14ac:dyDescent="0.2">
      <c r="A2479" s="4" t="s">
        <v>4787</v>
      </c>
      <c r="B2479" s="4" t="s">
        <v>4918</v>
      </c>
      <c r="C2479" s="4" t="s">
        <v>2096</v>
      </c>
      <c r="D2479" s="4" t="s">
        <v>4764</v>
      </c>
      <c r="E2479" s="4" t="s">
        <v>4926</v>
      </c>
      <c r="F2479" s="4" t="s">
        <v>4920</v>
      </c>
      <c r="G2479" s="4" t="s">
        <v>4824</v>
      </c>
      <c r="H2479" s="4" t="s">
        <v>2183</v>
      </c>
      <c r="I2479" s="4" t="s">
        <v>2100</v>
      </c>
      <c r="J2479" s="4" t="s">
        <v>2518</v>
      </c>
      <c r="K2479">
        <v>15</v>
      </c>
      <c r="L2479">
        <v>4.5</v>
      </c>
      <c r="M2479">
        <v>40</v>
      </c>
      <c r="N2479">
        <v>40</v>
      </c>
      <c r="O2479">
        <v>177.16535433070868</v>
      </c>
      <c r="P2479">
        <v>1.5748031496062993</v>
      </c>
      <c r="Q2479">
        <v>1.5748031496062993</v>
      </c>
      <c r="R2479">
        <v>2050.5250000000001</v>
      </c>
      <c r="S2479">
        <v>7.1999999999999989E-3</v>
      </c>
      <c r="T2479" s="4" t="s">
        <v>4921</v>
      </c>
    </row>
    <row r="2480" spans="1:20" x14ac:dyDescent="0.2">
      <c r="A2480" s="4" t="s">
        <v>4787</v>
      </c>
      <c r="B2480" s="4" t="s">
        <v>4918</v>
      </c>
      <c r="C2480" s="4" t="s">
        <v>2096</v>
      </c>
      <c r="D2480" s="4" t="s">
        <v>4764</v>
      </c>
      <c r="E2480" s="4" t="s">
        <v>4927</v>
      </c>
      <c r="F2480" s="4" t="s">
        <v>4920</v>
      </c>
      <c r="G2480" s="4" t="s">
        <v>4824</v>
      </c>
      <c r="H2480" s="4" t="s">
        <v>2183</v>
      </c>
      <c r="I2480" s="4" t="s">
        <v>2100</v>
      </c>
      <c r="J2480" s="4" t="s">
        <v>2518</v>
      </c>
      <c r="K2480">
        <v>16</v>
      </c>
      <c r="L2480">
        <v>4.8</v>
      </c>
      <c r="M2480">
        <v>40</v>
      </c>
      <c r="N2480">
        <v>40</v>
      </c>
      <c r="O2480">
        <v>188.97637795275591</v>
      </c>
      <c r="P2480">
        <v>1.5748031496062993</v>
      </c>
      <c r="Q2480">
        <v>1.5748031496062993</v>
      </c>
      <c r="R2480">
        <v>2050.5250000000001</v>
      </c>
      <c r="S2480">
        <v>7.6799999999999993E-3</v>
      </c>
      <c r="T2480" s="4" t="s">
        <v>4921</v>
      </c>
    </row>
    <row r="2481" spans="1:20" x14ac:dyDescent="0.2">
      <c r="A2481" s="4" t="s">
        <v>4787</v>
      </c>
      <c r="B2481" s="4" t="s">
        <v>4918</v>
      </c>
      <c r="C2481" s="4" t="s">
        <v>2096</v>
      </c>
      <c r="D2481" s="4" t="s">
        <v>4764</v>
      </c>
      <c r="E2481" s="4" t="s">
        <v>4928</v>
      </c>
      <c r="F2481" s="4" t="s">
        <v>4920</v>
      </c>
      <c r="G2481" s="4" t="s">
        <v>4824</v>
      </c>
      <c r="H2481" s="4" t="s">
        <v>2183</v>
      </c>
      <c r="I2481" s="4" t="s">
        <v>2100</v>
      </c>
      <c r="J2481" s="4" t="s">
        <v>2518</v>
      </c>
      <c r="K2481">
        <v>17</v>
      </c>
      <c r="L2481">
        <v>5.0999999999999996</v>
      </c>
      <c r="M2481">
        <v>40</v>
      </c>
      <c r="N2481">
        <v>40</v>
      </c>
      <c r="O2481">
        <v>200.78740157480314</v>
      </c>
      <c r="P2481">
        <v>1.5748031496062993</v>
      </c>
      <c r="Q2481">
        <v>1.5748031496062993</v>
      </c>
      <c r="R2481">
        <v>2050.5250000000001</v>
      </c>
      <c r="S2481">
        <v>8.1600000000000006E-3</v>
      </c>
      <c r="T2481" s="4" t="s">
        <v>4921</v>
      </c>
    </row>
    <row r="2482" spans="1:20" x14ac:dyDescent="0.2">
      <c r="A2482" s="4" t="s">
        <v>4787</v>
      </c>
      <c r="B2482" s="4" t="s">
        <v>4918</v>
      </c>
      <c r="C2482" s="4" t="s">
        <v>2096</v>
      </c>
      <c r="D2482" s="4" t="s">
        <v>4764</v>
      </c>
      <c r="E2482" s="4" t="s">
        <v>4929</v>
      </c>
      <c r="F2482" s="4" t="s">
        <v>4920</v>
      </c>
      <c r="G2482" s="4" t="s">
        <v>4824</v>
      </c>
      <c r="H2482" s="4" t="s">
        <v>2183</v>
      </c>
      <c r="I2482" s="4" t="s">
        <v>2100</v>
      </c>
      <c r="J2482" s="4" t="s">
        <v>2518</v>
      </c>
      <c r="K2482">
        <v>18</v>
      </c>
      <c r="L2482">
        <v>5.4</v>
      </c>
      <c r="M2482">
        <v>40</v>
      </c>
      <c r="N2482">
        <v>40</v>
      </c>
      <c r="O2482">
        <v>212.59842519685043</v>
      </c>
      <c r="P2482">
        <v>1.5748031496062993</v>
      </c>
      <c r="Q2482">
        <v>1.5748031496062993</v>
      </c>
      <c r="R2482">
        <v>2050.5250000000001</v>
      </c>
      <c r="S2482">
        <v>8.6400000000000001E-3</v>
      </c>
      <c r="T2482" s="4" t="s">
        <v>4921</v>
      </c>
    </row>
    <row r="2483" spans="1:20" x14ac:dyDescent="0.2">
      <c r="A2483" s="4" t="s">
        <v>4787</v>
      </c>
      <c r="B2483" s="4" t="s">
        <v>4918</v>
      </c>
      <c r="C2483" s="4" t="s">
        <v>2286</v>
      </c>
      <c r="D2483" s="4" t="s">
        <v>4764</v>
      </c>
      <c r="E2483" s="4" t="s">
        <v>4930</v>
      </c>
      <c r="F2483" s="4" t="s">
        <v>4920</v>
      </c>
      <c r="G2483" s="4" t="s">
        <v>4824</v>
      </c>
      <c r="H2483" s="4" t="s">
        <v>2183</v>
      </c>
      <c r="I2483" s="4" t="s">
        <v>2100</v>
      </c>
      <c r="J2483" s="4" t="s">
        <v>2518</v>
      </c>
      <c r="K2483">
        <v>3</v>
      </c>
      <c r="L2483">
        <v>0.9</v>
      </c>
      <c r="M2483">
        <v>40</v>
      </c>
      <c r="N2483">
        <v>40</v>
      </c>
      <c r="O2483">
        <v>35.433070866141733</v>
      </c>
      <c r="P2483">
        <v>1.5748031496062993</v>
      </c>
      <c r="Q2483">
        <v>1.5748031496062993</v>
      </c>
      <c r="R2483">
        <v>2050.5250000000001</v>
      </c>
      <c r="S2483">
        <v>1.4399999999999999E-3</v>
      </c>
      <c r="T2483" s="4" t="s">
        <v>4931</v>
      </c>
    </row>
    <row r="2484" spans="1:20" x14ac:dyDescent="0.2">
      <c r="A2484" s="4" t="s">
        <v>4787</v>
      </c>
      <c r="B2484" s="4" t="s">
        <v>4918</v>
      </c>
      <c r="C2484" s="4" t="s">
        <v>2286</v>
      </c>
      <c r="D2484" s="4" t="s">
        <v>4764</v>
      </c>
      <c r="E2484" s="4" t="s">
        <v>4932</v>
      </c>
      <c r="F2484" s="4" t="s">
        <v>4920</v>
      </c>
      <c r="G2484" s="4" t="s">
        <v>4824</v>
      </c>
      <c r="H2484" s="4" t="s">
        <v>2183</v>
      </c>
      <c r="I2484" s="4" t="s">
        <v>2100</v>
      </c>
      <c r="J2484" s="4" t="s">
        <v>2518</v>
      </c>
      <c r="K2484">
        <v>4</v>
      </c>
      <c r="L2484">
        <v>1.2</v>
      </c>
      <c r="M2484">
        <v>40</v>
      </c>
      <c r="N2484">
        <v>40</v>
      </c>
      <c r="O2484">
        <v>47.244094488188978</v>
      </c>
      <c r="P2484">
        <v>1.5748031496062993</v>
      </c>
      <c r="Q2484">
        <v>1.5748031496062993</v>
      </c>
      <c r="R2484">
        <v>2050.5250000000001</v>
      </c>
      <c r="S2484">
        <v>1.9199999999999998E-3</v>
      </c>
      <c r="T2484" s="4" t="s">
        <v>4931</v>
      </c>
    </row>
    <row r="2485" spans="1:20" x14ac:dyDescent="0.2">
      <c r="A2485" s="4" t="s">
        <v>4787</v>
      </c>
      <c r="B2485" s="4" t="s">
        <v>4918</v>
      </c>
      <c r="C2485" s="4" t="s">
        <v>2286</v>
      </c>
      <c r="D2485" s="4" t="s">
        <v>4764</v>
      </c>
      <c r="E2485" s="4" t="s">
        <v>4933</v>
      </c>
      <c r="F2485" s="4" t="s">
        <v>4920</v>
      </c>
      <c r="G2485" s="4" t="s">
        <v>4824</v>
      </c>
      <c r="H2485" s="4" t="s">
        <v>2183</v>
      </c>
      <c r="I2485" s="4" t="s">
        <v>2100</v>
      </c>
      <c r="J2485" s="4" t="s">
        <v>2518</v>
      </c>
      <c r="K2485">
        <v>5</v>
      </c>
      <c r="L2485">
        <v>1.5</v>
      </c>
      <c r="M2485">
        <v>40</v>
      </c>
      <c r="N2485">
        <v>40</v>
      </c>
      <c r="O2485">
        <v>59.055118110236222</v>
      </c>
      <c r="P2485">
        <v>1.5748031496062993</v>
      </c>
      <c r="Q2485">
        <v>1.5748031496062993</v>
      </c>
      <c r="R2485">
        <v>2050.5250000000001</v>
      </c>
      <c r="S2485">
        <v>2.3999999999999998E-3</v>
      </c>
      <c r="T2485" s="4" t="s">
        <v>4931</v>
      </c>
    </row>
    <row r="2486" spans="1:20" x14ac:dyDescent="0.2">
      <c r="A2486" s="4" t="s">
        <v>4787</v>
      </c>
      <c r="B2486" s="4" t="s">
        <v>4918</v>
      </c>
      <c r="C2486" s="4" t="s">
        <v>2286</v>
      </c>
      <c r="D2486" s="4" t="s">
        <v>4764</v>
      </c>
      <c r="E2486" s="4" t="s">
        <v>4934</v>
      </c>
      <c r="F2486" s="4" t="s">
        <v>4920</v>
      </c>
      <c r="G2486" s="4" t="s">
        <v>4824</v>
      </c>
      <c r="H2486" s="4" t="s">
        <v>2183</v>
      </c>
      <c r="I2486" s="4" t="s">
        <v>2100</v>
      </c>
      <c r="J2486" s="4" t="s">
        <v>2518</v>
      </c>
      <c r="K2486">
        <v>6</v>
      </c>
      <c r="L2486">
        <v>1.8</v>
      </c>
      <c r="M2486">
        <v>40</v>
      </c>
      <c r="N2486">
        <v>40</v>
      </c>
      <c r="O2486">
        <v>70.866141732283467</v>
      </c>
      <c r="P2486">
        <v>1.5748031496062993</v>
      </c>
      <c r="Q2486">
        <v>1.5748031496062993</v>
      </c>
      <c r="R2486">
        <v>2050.5250000000001</v>
      </c>
      <c r="S2486">
        <v>2.8799999999999997E-3</v>
      </c>
      <c r="T2486" s="4" t="s">
        <v>4931</v>
      </c>
    </row>
    <row r="2487" spans="1:20" x14ac:dyDescent="0.2">
      <c r="A2487" s="4" t="s">
        <v>4787</v>
      </c>
      <c r="B2487" s="4" t="s">
        <v>4918</v>
      </c>
      <c r="C2487" s="4" t="s">
        <v>2286</v>
      </c>
      <c r="D2487" s="4" t="s">
        <v>4764</v>
      </c>
      <c r="E2487" s="4" t="s">
        <v>4935</v>
      </c>
      <c r="F2487" s="4" t="s">
        <v>4920</v>
      </c>
      <c r="G2487" s="4" t="s">
        <v>4824</v>
      </c>
      <c r="H2487" s="4" t="s">
        <v>2183</v>
      </c>
      <c r="I2487" s="4" t="s">
        <v>2100</v>
      </c>
      <c r="J2487" s="4" t="s">
        <v>2518</v>
      </c>
      <c r="K2487">
        <v>7</v>
      </c>
      <c r="L2487">
        <v>2.1</v>
      </c>
      <c r="M2487">
        <v>40</v>
      </c>
      <c r="N2487">
        <v>40</v>
      </c>
      <c r="O2487">
        <v>82.677165354330711</v>
      </c>
      <c r="P2487">
        <v>1.5748031496062993</v>
      </c>
      <c r="Q2487">
        <v>1.5748031496062993</v>
      </c>
      <c r="R2487">
        <v>2050.5250000000001</v>
      </c>
      <c r="S2487">
        <v>3.3600000000000001E-3</v>
      </c>
      <c r="T2487" s="4" t="s">
        <v>4931</v>
      </c>
    </row>
    <row r="2488" spans="1:20" x14ac:dyDescent="0.2">
      <c r="A2488" s="4" t="s">
        <v>4787</v>
      </c>
      <c r="B2488" s="4" t="s">
        <v>4918</v>
      </c>
      <c r="C2488" s="4" t="s">
        <v>2096</v>
      </c>
      <c r="D2488" s="4" t="s">
        <v>4764</v>
      </c>
      <c r="E2488" s="4" t="s">
        <v>4936</v>
      </c>
      <c r="F2488" s="4" t="s">
        <v>4920</v>
      </c>
      <c r="G2488" s="4" t="s">
        <v>4824</v>
      </c>
      <c r="H2488" s="4" t="s">
        <v>2183</v>
      </c>
      <c r="I2488" s="4" t="s">
        <v>2100</v>
      </c>
      <c r="J2488" s="4" t="s">
        <v>2518</v>
      </c>
      <c r="K2488">
        <v>8</v>
      </c>
      <c r="L2488">
        <v>2.4</v>
      </c>
      <c r="M2488">
        <v>40</v>
      </c>
      <c r="N2488">
        <v>40</v>
      </c>
      <c r="O2488">
        <v>94.488188976377955</v>
      </c>
      <c r="P2488">
        <v>1.5748031496062993</v>
      </c>
      <c r="Q2488">
        <v>1.5748031496062993</v>
      </c>
      <c r="R2488">
        <v>2050.5250000000001</v>
      </c>
      <c r="S2488">
        <v>3.8399999999999997E-3</v>
      </c>
      <c r="T2488" s="4" t="s">
        <v>4921</v>
      </c>
    </row>
    <row r="2489" spans="1:20" x14ac:dyDescent="0.2">
      <c r="A2489" s="4" t="s">
        <v>4787</v>
      </c>
      <c r="B2489" s="4" t="s">
        <v>4918</v>
      </c>
      <c r="C2489" s="4" t="s">
        <v>2096</v>
      </c>
      <c r="D2489" s="4" t="s">
        <v>4764</v>
      </c>
      <c r="E2489" s="4" t="s">
        <v>4937</v>
      </c>
      <c r="F2489" s="4" t="s">
        <v>4920</v>
      </c>
      <c r="G2489" s="4" t="s">
        <v>4824</v>
      </c>
      <c r="H2489" s="4" t="s">
        <v>2183</v>
      </c>
      <c r="I2489" s="4" t="s">
        <v>2100</v>
      </c>
      <c r="J2489" s="4" t="s">
        <v>2518</v>
      </c>
      <c r="K2489">
        <v>9</v>
      </c>
      <c r="L2489">
        <v>2.7</v>
      </c>
      <c r="M2489">
        <v>40</v>
      </c>
      <c r="N2489">
        <v>40</v>
      </c>
      <c r="O2489">
        <v>106.29921259842521</v>
      </c>
      <c r="P2489">
        <v>1.5748031496062993</v>
      </c>
      <c r="Q2489">
        <v>1.5748031496062993</v>
      </c>
      <c r="R2489">
        <v>2050.5250000000001</v>
      </c>
      <c r="S2489">
        <v>4.3200000000000001E-3</v>
      </c>
      <c r="T2489" s="4" t="s">
        <v>4921</v>
      </c>
    </row>
    <row r="2490" spans="1:20" x14ac:dyDescent="0.2">
      <c r="A2490" s="4" t="s">
        <v>4787</v>
      </c>
      <c r="B2490" s="4" t="s">
        <v>4938</v>
      </c>
      <c r="C2490" s="4" t="s">
        <v>2096</v>
      </c>
      <c r="D2490" s="4" t="s">
        <v>4764</v>
      </c>
      <c r="E2490" s="4" t="s">
        <v>1154</v>
      </c>
      <c r="F2490" s="4" t="s">
        <v>4939</v>
      </c>
      <c r="G2490" s="4" t="s">
        <v>4824</v>
      </c>
      <c r="H2490" s="4" t="s">
        <v>2183</v>
      </c>
      <c r="I2490" s="4" t="s">
        <v>2100</v>
      </c>
      <c r="J2490" s="4" t="s">
        <v>2549</v>
      </c>
      <c r="K2490">
        <v>10</v>
      </c>
      <c r="L2490">
        <v>3</v>
      </c>
      <c r="M2490">
        <v>40</v>
      </c>
      <c r="N2490">
        <v>90</v>
      </c>
      <c r="O2490">
        <v>118.11023622047244</v>
      </c>
      <c r="P2490">
        <v>1.5748031496062993</v>
      </c>
      <c r="Q2490">
        <v>3.5433070866141736</v>
      </c>
      <c r="R2490">
        <v>911.34400000000005</v>
      </c>
      <c r="S2490">
        <v>1.0799999999999999E-2</v>
      </c>
      <c r="T2490" s="4" t="s">
        <v>4940</v>
      </c>
    </row>
    <row r="2491" spans="1:20" x14ac:dyDescent="0.2">
      <c r="A2491" s="4" t="s">
        <v>4787</v>
      </c>
      <c r="B2491" s="4" t="s">
        <v>4938</v>
      </c>
      <c r="C2491" s="4" t="s">
        <v>2096</v>
      </c>
      <c r="D2491" s="4" t="s">
        <v>4764</v>
      </c>
      <c r="E2491" s="4" t="s">
        <v>1156</v>
      </c>
      <c r="F2491" s="4" t="s">
        <v>4939</v>
      </c>
      <c r="G2491" s="4" t="s">
        <v>4824</v>
      </c>
      <c r="H2491" s="4" t="s">
        <v>2183</v>
      </c>
      <c r="I2491" s="4" t="s">
        <v>2100</v>
      </c>
      <c r="J2491" s="4" t="s">
        <v>2549</v>
      </c>
      <c r="K2491">
        <v>11</v>
      </c>
      <c r="L2491">
        <v>3.3</v>
      </c>
      <c r="M2491">
        <v>40</v>
      </c>
      <c r="N2491">
        <v>90</v>
      </c>
      <c r="O2491">
        <v>129.92125984251967</v>
      </c>
      <c r="P2491">
        <v>1.5748031496062993</v>
      </c>
      <c r="Q2491">
        <v>3.5433070866141736</v>
      </c>
      <c r="R2491">
        <v>911.34400000000005</v>
      </c>
      <c r="S2491">
        <v>1.188E-2</v>
      </c>
      <c r="T2491" s="4" t="s">
        <v>4940</v>
      </c>
    </row>
    <row r="2492" spans="1:20" x14ac:dyDescent="0.2">
      <c r="A2492" s="4" t="s">
        <v>4787</v>
      </c>
      <c r="B2492" s="4" t="s">
        <v>4938</v>
      </c>
      <c r="C2492" s="4" t="s">
        <v>2096</v>
      </c>
      <c r="D2492" s="4" t="s">
        <v>4764</v>
      </c>
      <c r="E2492" s="4" t="s">
        <v>1158</v>
      </c>
      <c r="F2492" s="4" t="s">
        <v>4939</v>
      </c>
      <c r="G2492" s="4" t="s">
        <v>4824</v>
      </c>
      <c r="H2492" s="4" t="s">
        <v>2183</v>
      </c>
      <c r="I2492" s="4" t="s">
        <v>2100</v>
      </c>
      <c r="J2492" s="4" t="s">
        <v>2549</v>
      </c>
      <c r="K2492">
        <v>12</v>
      </c>
      <c r="L2492">
        <v>3.6</v>
      </c>
      <c r="M2492">
        <v>40</v>
      </c>
      <c r="N2492">
        <v>90</v>
      </c>
      <c r="O2492">
        <v>141.73228346456693</v>
      </c>
      <c r="P2492">
        <v>1.5748031496062993</v>
      </c>
      <c r="Q2492">
        <v>3.5433070866141736</v>
      </c>
      <c r="R2492">
        <v>911.34400000000005</v>
      </c>
      <c r="S2492">
        <v>1.2959999999999999E-2</v>
      </c>
      <c r="T2492" s="4" t="s">
        <v>4940</v>
      </c>
    </row>
    <row r="2493" spans="1:20" x14ac:dyDescent="0.2">
      <c r="A2493" s="4" t="s">
        <v>4787</v>
      </c>
      <c r="B2493" s="4" t="s">
        <v>4938</v>
      </c>
      <c r="C2493" s="4" t="s">
        <v>2096</v>
      </c>
      <c r="D2493" s="4" t="s">
        <v>4764</v>
      </c>
      <c r="E2493" s="4" t="s">
        <v>1160</v>
      </c>
      <c r="F2493" s="4" t="s">
        <v>4939</v>
      </c>
      <c r="G2493" s="4" t="s">
        <v>4824</v>
      </c>
      <c r="H2493" s="4" t="s">
        <v>2183</v>
      </c>
      <c r="I2493" s="4" t="s">
        <v>2100</v>
      </c>
      <c r="J2493" s="4" t="s">
        <v>2549</v>
      </c>
      <c r="K2493">
        <v>13</v>
      </c>
      <c r="L2493">
        <v>3.9</v>
      </c>
      <c r="M2493">
        <v>40</v>
      </c>
      <c r="N2493">
        <v>90</v>
      </c>
      <c r="O2493">
        <v>153.54330708661416</v>
      </c>
      <c r="P2493">
        <v>1.5748031496062993</v>
      </c>
      <c r="Q2493">
        <v>3.5433070866141736</v>
      </c>
      <c r="R2493">
        <v>911.34400000000005</v>
      </c>
      <c r="S2493">
        <v>1.4039999999999999E-2</v>
      </c>
      <c r="T2493" s="4" t="s">
        <v>4940</v>
      </c>
    </row>
    <row r="2494" spans="1:20" x14ac:dyDescent="0.2">
      <c r="A2494" s="4" t="s">
        <v>4787</v>
      </c>
      <c r="B2494" s="4" t="s">
        <v>4938</v>
      </c>
      <c r="C2494" s="4" t="s">
        <v>2096</v>
      </c>
      <c r="D2494" s="4" t="s">
        <v>4764</v>
      </c>
      <c r="E2494" s="4" t="s">
        <v>1162</v>
      </c>
      <c r="F2494" s="4" t="s">
        <v>4939</v>
      </c>
      <c r="G2494" s="4" t="s">
        <v>4824</v>
      </c>
      <c r="H2494" s="4" t="s">
        <v>2183</v>
      </c>
      <c r="I2494" s="4" t="s">
        <v>2100</v>
      </c>
      <c r="J2494" s="4" t="s">
        <v>2549</v>
      </c>
      <c r="K2494">
        <v>14</v>
      </c>
      <c r="L2494">
        <v>4.2</v>
      </c>
      <c r="M2494">
        <v>40</v>
      </c>
      <c r="N2494">
        <v>90</v>
      </c>
      <c r="O2494">
        <v>165.35433070866142</v>
      </c>
      <c r="P2494">
        <v>1.5748031496062993</v>
      </c>
      <c r="Q2494">
        <v>3.5433070866141736</v>
      </c>
      <c r="R2494">
        <v>911.34400000000005</v>
      </c>
      <c r="S2494">
        <v>1.5120000000000001E-2</v>
      </c>
      <c r="T2494" s="4" t="s">
        <v>4940</v>
      </c>
    </row>
    <row r="2495" spans="1:20" x14ac:dyDescent="0.2">
      <c r="A2495" s="4" t="s">
        <v>4787</v>
      </c>
      <c r="B2495" s="4" t="s">
        <v>4938</v>
      </c>
      <c r="C2495" s="4" t="s">
        <v>2096</v>
      </c>
      <c r="D2495" s="4" t="s">
        <v>4764</v>
      </c>
      <c r="E2495" s="4" t="s">
        <v>4941</v>
      </c>
      <c r="F2495" s="4" t="s">
        <v>4939</v>
      </c>
      <c r="G2495" s="4" t="s">
        <v>4824</v>
      </c>
      <c r="H2495" s="4" t="s">
        <v>2183</v>
      </c>
      <c r="I2495" s="4" t="s">
        <v>2100</v>
      </c>
      <c r="J2495" s="4" t="s">
        <v>2549</v>
      </c>
      <c r="K2495">
        <v>15</v>
      </c>
      <c r="L2495">
        <v>4.5</v>
      </c>
      <c r="M2495">
        <v>40</v>
      </c>
      <c r="N2495">
        <v>90</v>
      </c>
      <c r="O2495">
        <v>177.16535433070868</v>
      </c>
      <c r="P2495">
        <v>1.5748031496062993</v>
      </c>
      <c r="Q2495">
        <v>3.5433070866141736</v>
      </c>
      <c r="R2495">
        <v>911.34400000000005</v>
      </c>
      <c r="S2495">
        <v>1.6199999999999999E-2</v>
      </c>
      <c r="T2495" s="4" t="s">
        <v>4940</v>
      </c>
    </row>
    <row r="2496" spans="1:20" x14ac:dyDescent="0.2">
      <c r="A2496" s="4" t="s">
        <v>4787</v>
      </c>
      <c r="B2496" s="4" t="s">
        <v>4938</v>
      </c>
      <c r="C2496" s="4" t="s">
        <v>2096</v>
      </c>
      <c r="D2496" s="4" t="s">
        <v>4764</v>
      </c>
      <c r="E2496" s="4" t="s">
        <v>4942</v>
      </c>
      <c r="F2496" s="4" t="s">
        <v>4939</v>
      </c>
      <c r="G2496" s="4" t="s">
        <v>4824</v>
      </c>
      <c r="H2496" s="4" t="s">
        <v>2183</v>
      </c>
      <c r="I2496" s="4" t="s">
        <v>2100</v>
      </c>
      <c r="J2496" s="4" t="s">
        <v>2549</v>
      </c>
      <c r="K2496">
        <v>16</v>
      </c>
      <c r="L2496">
        <v>4.8</v>
      </c>
      <c r="M2496">
        <v>40</v>
      </c>
      <c r="N2496">
        <v>90</v>
      </c>
      <c r="O2496">
        <v>188.97637795275591</v>
      </c>
      <c r="P2496">
        <v>1.5748031496062993</v>
      </c>
      <c r="Q2496">
        <v>3.5433070866141736</v>
      </c>
      <c r="R2496">
        <v>911.34400000000005</v>
      </c>
      <c r="S2496">
        <v>1.728E-2</v>
      </c>
      <c r="T2496" s="4" t="s">
        <v>4940</v>
      </c>
    </row>
    <row r="2497" spans="1:20" x14ac:dyDescent="0.2">
      <c r="A2497" s="4" t="s">
        <v>4787</v>
      </c>
      <c r="B2497" s="4" t="s">
        <v>4938</v>
      </c>
      <c r="C2497" s="4" t="s">
        <v>2096</v>
      </c>
      <c r="D2497" s="4" t="s">
        <v>4764</v>
      </c>
      <c r="E2497" s="4" t="s">
        <v>4943</v>
      </c>
      <c r="F2497" s="4" t="s">
        <v>4939</v>
      </c>
      <c r="G2497" s="4" t="s">
        <v>4824</v>
      </c>
      <c r="H2497" s="4" t="s">
        <v>2183</v>
      </c>
      <c r="I2497" s="4" t="s">
        <v>2100</v>
      </c>
      <c r="J2497" s="4" t="s">
        <v>2549</v>
      </c>
      <c r="K2497">
        <v>17</v>
      </c>
      <c r="L2497">
        <v>5.0999999999999996</v>
      </c>
      <c r="M2497">
        <v>40</v>
      </c>
      <c r="N2497">
        <v>90</v>
      </c>
      <c r="O2497">
        <v>200.78740157480314</v>
      </c>
      <c r="P2497">
        <v>1.5748031496062993</v>
      </c>
      <c r="Q2497">
        <v>3.5433070866141736</v>
      </c>
      <c r="R2497">
        <v>911.34400000000005</v>
      </c>
      <c r="S2497">
        <v>1.8359999999999998E-2</v>
      </c>
      <c r="T2497" s="4" t="s">
        <v>4940</v>
      </c>
    </row>
    <row r="2498" spans="1:20" x14ac:dyDescent="0.2">
      <c r="A2498" s="4" t="s">
        <v>4787</v>
      </c>
      <c r="B2498" s="4" t="s">
        <v>4938</v>
      </c>
      <c r="C2498" s="4" t="s">
        <v>2096</v>
      </c>
      <c r="D2498" s="4" t="s">
        <v>4764</v>
      </c>
      <c r="E2498" s="4" t="s">
        <v>4944</v>
      </c>
      <c r="F2498" s="4" t="s">
        <v>4939</v>
      </c>
      <c r="G2498" s="4" t="s">
        <v>4824</v>
      </c>
      <c r="H2498" s="4" t="s">
        <v>2183</v>
      </c>
      <c r="I2498" s="4" t="s">
        <v>2100</v>
      </c>
      <c r="J2498" s="4" t="s">
        <v>2549</v>
      </c>
      <c r="K2498">
        <v>18</v>
      </c>
      <c r="L2498">
        <v>5.4</v>
      </c>
      <c r="M2498">
        <v>40</v>
      </c>
      <c r="N2498">
        <v>90</v>
      </c>
      <c r="O2498">
        <v>212.59842519685043</v>
      </c>
      <c r="P2498">
        <v>1.5748031496062993</v>
      </c>
      <c r="Q2498">
        <v>3.5433070866141736</v>
      </c>
      <c r="R2498">
        <v>911.34400000000005</v>
      </c>
      <c r="S2498">
        <v>1.9440000000000002E-2</v>
      </c>
      <c r="T2498" s="4" t="s">
        <v>4940</v>
      </c>
    </row>
    <row r="2499" spans="1:20" x14ac:dyDescent="0.2">
      <c r="A2499" s="4" t="s">
        <v>4787</v>
      </c>
      <c r="B2499" s="4" t="s">
        <v>4938</v>
      </c>
      <c r="C2499" s="4" t="s">
        <v>2286</v>
      </c>
      <c r="D2499" s="4" t="s">
        <v>4764</v>
      </c>
      <c r="E2499" s="4" t="s">
        <v>1164</v>
      </c>
      <c r="F2499" s="4" t="s">
        <v>4939</v>
      </c>
      <c r="G2499" s="4" t="s">
        <v>4824</v>
      </c>
      <c r="H2499" s="4" t="s">
        <v>2183</v>
      </c>
      <c r="I2499" s="4" t="s">
        <v>2100</v>
      </c>
      <c r="J2499" s="4" t="s">
        <v>2549</v>
      </c>
      <c r="K2499">
        <v>4</v>
      </c>
      <c r="L2499">
        <v>1.2</v>
      </c>
      <c r="M2499">
        <v>40</v>
      </c>
      <c r="N2499">
        <v>90</v>
      </c>
      <c r="O2499">
        <v>47.244094488188978</v>
      </c>
      <c r="P2499">
        <v>1.5748031496062993</v>
      </c>
      <c r="Q2499">
        <v>3.5433070866141736</v>
      </c>
      <c r="R2499">
        <v>911.34400000000005</v>
      </c>
      <c r="S2499">
        <v>4.3200000000000001E-3</v>
      </c>
      <c r="T2499" s="4" t="s">
        <v>4945</v>
      </c>
    </row>
    <row r="2500" spans="1:20" x14ac:dyDescent="0.2">
      <c r="A2500" s="4" t="s">
        <v>4787</v>
      </c>
      <c r="B2500" s="4" t="s">
        <v>4938</v>
      </c>
      <c r="C2500" s="4" t="s">
        <v>2286</v>
      </c>
      <c r="D2500" s="4" t="s">
        <v>4764</v>
      </c>
      <c r="E2500" s="4" t="s">
        <v>1166</v>
      </c>
      <c r="F2500" s="4" t="s">
        <v>4939</v>
      </c>
      <c r="G2500" s="4" t="s">
        <v>4824</v>
      </c>
      <c r="H2500" s="4" t="s">
        <v>2183</v>
      </c>
      <c r="I2500" s="4" t="s">
        <v>2100</v>
      </c>
      <c r="J2500" s="4" t="s">
        <v>2549</v>
      </c>
      <c r="K2500">
        <v>5</v>
      </c>
      <c r="L2500">
        <v>1.5</v>
      </c>
      <c r="M2500">
        <v>40</v>
      </c>
      <c r="N2500">
        <v>90</v>
      </c>
      <c r="O2500">
        <v>59.055118110236222</v>
      </c>
      <c r="P2500">
        <v>1.5748031496062993</v>
      </c>
      <c r="Q2500">
        <v>3.5433070866141736</v>
      </c>
      <c r="R2500">
        <v>911.34400000000005</v>
      </c>
      <c r="S2500">
        <v>5.3999999999999994E-3</v>
      </c>
      <c r="T2500" s="4" t="s">
        <v>4945</v>
      </c>
    </row>
    <row r="2501" spans="1:20" x14ac:dyDescent="0.2">
      <c r="A2501" s="4" t="s">
        <v>4787</v>
      </c>
      <c r="B2501" s="4" t="s">
        <v>4938</v>
      </c>
      <c r="C2501" s="4" t="s">
        <v>2286</v>
      </c>
      <c r="D2501" s="4" t="s">
        <v>4764</v>
      </c>
      <c r="E2501" s="4" t="s">
        <v>1168</v>
      </c>
      <c r="F2501" s="4" t="s">
        <v>4939</v>
      </c>
      <c r="G2501" s="4" t="s">
        <v>4824</v>
      </c>
      <c r="H2501" s="4" t="s">
        <v>2183</v>
      </c>
      <c r="I2501" s="4" t="s">
        <v>2100</v>
      </c>
      <c r="J2501" s="4" t="s">
        <v>2549</v>
      </c>
      <c r="K2501">
        <v>6</v>
      </c>
      <c r="L2501">
        <v>1.8</v>
      </c>
      <c r="M2501">
        <v>40</v>
      </c>
      <c r="N2501">
        <v>90</v>
      </c>
      <c r="O2501">
        <v>70.866141732283467</v>
      </c>
      <c r="P2501">
        <v>1.5748031496062993</v>
      </c>
      <c r="Q2501">
        <v>3.5433070866141736</v>
      </c>
      <c r="R2501">
        <v>911.34400000000005</v>
      </c>
      <c r="S2501">
        <v>6.4799999999999996E-3</v>
      </c>
      <c r="T2501" s="4" t="s">
        <v>4945</v>
      </c>
    </row>
    <row r="2502" spans="1:20" x14ac:dyDescent="0.2">
      <c r="A2502" s="4" t="s">
        <v>4787</v>
      </c>
      <c r="B2502" s="4" t="s">
        <v>4938</v>
      </c>
      <c r="C2502" s="4" t="s">
        <v>2286</v>
      </c>
      <c r="D2502" s="4" t="s">
        <v>4764</v>
      </c>
      <c r="E2502" s="4" t="s">
        <v>1170</v>
      </c>
      <c r="F2502" s="4" t="s">
        <v>4939</v>
      </c>
      <c r="G2502" s="4" t="s">
        <v>4824</v>
      </c>
      <c r="H2502" s="4" t="s">
        <v>2183</v>
      </c>
      <c r="I2502" s="4" t="s">
        <v>2100</v>
      </c>
      <c r="J2502" s="4" t="s">
        <v>2549</v>
      </c>
      <c r="K2502">
        <v>7</v>
      </c>
      <c r="L2502">
        <v>2.1</v>
      </c>
      <c r="M2502">
        <v>40</v>
      </c>
      <c r="N2502">
        <v>90</v>
      </c>
      <c r="O2502">
        <v>82.677165354330711</v>
      </c>
      <c r="P2502">
        <v>1.5748031496062993</v>
      </c>
      <c r="Q2502">
        <v>3.5433070866141736</v>
      </c>
      <c r="R2502">
        <v>911.34400000000005</v>
      </c>
      <c r="S2502">
        <v>7.5600000000000007E-3</v>
      </c>
      <c r="T2502" s="4" t="s">
        <v>4945</v>
      </c>
    </row>
    <row r="2503" spans="1:20" x14ac:dyDescent="0.2">
      <c r="A2503" s="4" t="s">
        <v>4787</v>
      </c>
      <c r="B2503" s="4" t="s">
        <v>4938</v>
      </c>
      <c r="C2503" s="4" t="s">
        <v>2096</v>
      </c>
      <c r="D2503" s="4" t="s">
        <v>4764</v>
      </c>
      <c r="E2503" s="4" t="s">
        <v>1172</v>
      </c>
      <c r="F2503" s="4" t="s">
        <v>4939</v>
      </c>
      <c r="G2503" s="4" t="s">
        <v>4824</v>
      </c>
      <c r="H2503" s="4" t="s">
        <v>2183</v>
      </c>
      <c r="I2503" s="4" t="s">
        <v>2100</v>
      </c>
      <c r="J2503" s="4" t="s">
        <v>2549</v>
      </c>
      <c r="K2503">
        <v>8</v>
      </c>
      <c r="L2503">
        <v>2.4</v>
      </c>
      <c r="M2503">
        <v>40</v>
      </c>
      <c r="N2503">
        <v>90</v>
      </c>
      <c r="O2503">
        <v>94.488188976377955</v>
      </c>
      <c r="P2503">
        <v>1.5748031496062993</v>
      </c>
      <c r="Q2503">
        <v>3.5433070866141736</v>
      </c>
      <c r="R2503">
        <v>911.34400000000005</v>
      </c>
      <c r="S2503">
        <v>8.6400000000000001E-3</v>
      </c>
      <c r="T2503" s="4" t="s">
        <v>4940</v>
      </c>
    </row>
    <row r="2504" spans="1:20" x14ac:dyDescent="0.2">
      <c r="A2504" s="4" t="s">
        <v>4787</v>
      </c>
      <c r="B2504" s="4" t="s">
        <v>4938</v>
      </c>
      <c r="C2504" s="4" t="s">
        <v>2096</v>
      </c>
      <c r="D2504" s="4" t="s">
        <v>4764</v>
      </c>
      <c r="E2504" s="4" t="s">
        <v>1174</v>
      </c>
      <c r="F2504" s="4" t="s">
        <v>4939</v>
      </c>
      <c r="G2504" s="4" t="s">
        <v>4824</v>
      </c>
      <c r="H2504" s="4" t="s">
        <v>2183</v>
      </c>
      <c r="I2504" s="4" t="s">
        <v>2100</v>
      </c>
      <c r="J2504" s="4" t="s">
        <v>2549</v>
      </c>
      <c r="K2504">
        <v>9</v>
      </c>
      <c r="L2504">
        <v>2.7</v>
      </c>
      <c r="M2504">
        <v>40</v>
      </c>
      <c r="N2504">
        <v>90</v>
      </c>
      <c r="O2504">
        <v>106.29921259842521</v>
      </c>
      <c r="P2504">
        <v>1.5748031496062993</v>
      </c>
      <c r="Q2504">
        <v>3.5433070866141736</v>
      </c>
      <c r="R2504">
        <v>911.34400000000005</v>
      </c>
      <c r="S2504">
        <v>9.7200000000000012E-3</v>
      </c>
      <c r="T2504" s="4" t="s">
        <v>4940</v>
      </c>
    </row>
    <row r="2505" spans="1:20" x14ac:dyDescent="0.2">
      <c r="A2505" s="4" t="s">
        <v>4787</v>
      </c>
      <c r="B2505" s="4" t="s">
        <v>4946</v>
      </c>
      <c r="C2505" s="4" t="s">
        <v>2096</v>
      </c>
      <c r="D2505" s="4" t="s">
        <v>4764</v>
      </c>
      <c r="E2505" s="4" t="s">
        <v>1176</v>
      </c>
      <c r="F2505" s="4" t="s">
        <v>4947</v>
      </c>
      <c r="G2505" s="4" t="s">
        <v>4824</v>
      </c>
      <c r="H2505" s="4" t="s">
        <v>2183</v>
      </c>
      <c r="I2505" s="4" t="s">
        <v>2100</v>
      </c>
      <c r="J2505" s="4" t="s">
        <v>4948</v>
      </c>
      <c r="K2505">
        <v>10</v>
      </c>
      <c r="L2505">
        <v>3</v>
      </c>
      <c r="M2505">
        <v>40</v>
      </c>
      <c r="N2505">
        <v>130</v>
      </c>
      <c r="O2505">
        <v>118.11023622047244</v>
      </c>
      <c r="P2505">
        <v>1.5748031496062993</v>
      </c>
      <c r="Q2505">
        <v>5.1181102362204731</v>
      </c>
      <c r="R2505">
        <v>630.93100000000004</v>
      </c>
      <c r="S2505">
        <v>1.5599999999999999E-2</v>
      </c>
      <c r="T2505" s="4" t="s">
        <v>4949</v>
      </c>
    </row>
    <row r="2506" spans="1:20" x14ac:dyDescent="0.2">
      <c r="A2506" s="4" t="s">
        <v>4787</v>
      </c>
      <c r="B2506" s="4" t="s">
        <v>4946</v>
      </c>
      <c r="C2506" s="4" t="s">
        <v>2096</v>
      </c>
      <c r="D2506" s="4" t="s">
        <v>4764</v>
      </c>
      <c r="E2506" s="4" t="s">
        <v>4950</v>
      </c>
      <c r="F2506" s="4" t="s">
        <v>4947</v>
      </c>
      <c r="G2506" s="4" t="s">
        <v>4824</v>
      </c>
      <c r="H2506" s="4" t="s">
        <v>2183</v>
      </c>
      <c r="I2506" s="4" t="s">
        <v>2100</v>
      </c>
      <c r="J2506" s="4" t="s">
        <v>4948</v>
      </c>
      <c r="K2506">
        <v>11</v>
      </c>
      <c r="L2506">
        <v>3.3</v>
      </c>
      <c r="M2506">
        <v>40</v>
      </c>
      <c r="N2506">
        <v>130</v>
      </c>
      <c r="O2506">
        <v>129.92125984251967</v>
      </c>
      <c r="P2506">
        <v>1.5748031496062993</v>
      </c>
      <c r="Q2506">
        <v>5.1181102362204731</v>
      </c>
      <c r="R2506">
        <v>630.93100000000004</v>
      </c>
      <c r="S2506">
        <v>1.7160000000000002E-2</v>
      </c>
      <c r="T2506" s="4" t="s">
        <v>4949</v>
      </c>
    </row>
    <row r="2507" spans="1:20" x14ac:dyDescent="0.2">
      <c r="A2507" s="4" t="s">
        <v>4787</v>
      </c>
      <c r="B2507" s="4" t="s">
        <v>4946</v>
      </c>
      <c r="C2507" s="4" t="s">
        <v>2096</v>
      </c>
      <c r="D2507" s="4" t="s">
        <v>4764</v>
      </c>
      <c r="E2507" s="4" t="s">
        <v>4951</v>
      </c>
      <c r="F2507" s="4" t="s">
        <v>4947</v>
      </c>
      <c r="G2507" s="4" t="s">
        <v>4824</v>
      </c>
      <c r="H2507" s="4" t="s">
        <v>2183</v>
      </c>
      <c r="I2507" s="4" t="s">
        <v>2100</v>
      </c>
      <c r="J2507" s="4" t="s">
        <v>4948</v>
      </c>
      <c r="K2507">
        <v>12</v>
      </c>
      <c r="L2507">
        <v>3.6</v>
      </c>
      <c r="M2507">
        <v>40</v>
      </c>
      <c r="N2507">
        <v>130</v>
      </c>
      <c r="O2507">
        <v>141.73228346456693</v>
      </c>
      <c r="P2507">
        <v>1.5748031496062993</v>
      </c>
      <c r="Q2507">
        <v>5.1181102362204731</v>
      </c>
      <c r="R2507">
        <v>630.93100000000004</v>
      </c>
      <c r="S2507">
        <v>1.8720000000000001E-2</v>
      </c>
      <c r="T2507" s="4" t="s">
        <v>4949</v>
      </c>
    </row>
    <row r="2508" spans="1:20" x14ac:dyDescent="0.2">
      <c r="A2508" s="4" t="s">
        <v>4787</v>
      </c>
      <c r="B2508" s="4" t="s">
        <v>4946</v>
      </c>
      <c r="C2508" s="4" t="s">
        <v>2096</v>
      </c>
      <c r="D2508" s="4" t="s">
        <v>4764</v>
      </c>
      <c r="E2508" s="4" t="s">
        <v>4952</v>
      </c>
      <c r="F2508" s="4" t="s">
        <v>4947</v>
      </c>
      <c r="G2508" s="4" t="s">
        <v>4824</v>
      </c>
      <c r="H2508" s="4" t="s">
        <v>2183</v>
      </c>
      <c r="I2508" s="4" t="s">
        <v>2100</v>
      </c>
      <c r="J2508" s="4" t="s">
        <v>4948</v>
      </c>
      <c r="K2508">
        <v>13</v>
      </c>
      <c r="L2508">
        <v>3.9</v>
      </c>
      <c r="M2508">
        <v>40</v>
      </c>
      <c r="N2508">
        <v>130</v>
      </c>
      <c r="O2508">
        <v>153.54330708661416</v>
      </c>
      <c r="P2508">
        <v>1.5748031496062993</v>
      </c>
      <c r="Q2508">
        <v>5.1181102362204731</v>
      </c>
      <c r="R2508">
        <v>630.93100000000004</v>
      </c>
      <c r="S2508">
        <v>2.0279999999999999E-2</v>
      </c>
      <c r="T2508" s="4" t="s">
        <v>4949</v>
      </c>
    </row>
    <row r="2509" spans="1:20" x14ac:dyDescent="0.2">
      <c r="A2509" s="4" t="s">
        <v>4787</v>
      </c>
      <c r="B2509" s="4" t="s">
        <v>4946</v>
      </c>
      <c r="C2509" s="4" t="s">
        <v>2096</v>
      </c>
      <c r="D2509" s="4" t="s">
        <v>4764</v>
      </c>
      <c r="E2509" s="4" t="s">
        <v>4953</v>
      </c>
      <c r="F2509" s="4" t="s">
        <v>4947</v>
      </c>
      <c r="G2509" s="4" t="s">
        <v>4824</v>
      </c>
      <c r="H2509" s="4" t="s">
        <v>2183</v>
      </c>
      <c r="I2509" s="4" t="s">
        <v>2100</v>
      </c>
      <c r="J2509" s="4" t="s">
        <v>4948</v>
      </c>
      <c r="K2509">
        <v>14</v>
      </c>
      <c r="L2509">
        <v>4.2</v>
      </c>
      <c r="M2509">
        <v>40</v>
      </c>
      <c r="N2509">
        <v>130</v>
      </c>
      <c r="O2509">
        <v>165.35433070866142</v>
      </c>
      <c r="P2509">
        <v>1.5748031496062993</v>
      </c>
      <c r="Q2509">
        <v>5.1181102362204731</v>
      </c>
      <c r="R2509">
        <v>630.93100000000004</v>
      </c>
      <c r="S2509">
        <v>2.1839999999999998E-2</v>
      </c>
      <c r="T2509" s="4" t="s">
        <v>4949</v>
      </c>
    </row>
    <row r="2510" spans="1:20" x14ac:dyDescent="0.2">
      <c r="A2510" s="4" t="s">
        <v>4787</v>
      </c>
      <c r="B2510" s="4" t="s">
        <v>4946</v>
      </c>
      <c r="C2510" s="4" t="s">
        <v>2096</v>
      </c>
      <c r="D2510" s="4" t="s">
        <v>4764</v>
      </c>
      <c r="E2510" s="4" t="s">
        <v>4954</v>
      </c>
      <c r="F2510" s="4" t="s">
        <v>4947</v>
      </c>
      <c r="G2510" s="4" t="s">
        <v>4824</v>
      </c>
      <c r="H2510" s="4" t="s">
        <v>2183</v>
      </c>
      <c r="I2510" s="4" t="s">
        <v>2100</v>
      </c>
      <c r="J2510" s="4" t="s">
        <v>4948</v>
      </c>
      <c r="K2510">
        <v>15</v>
      </c>
      <c r="L2510">
        <v>4.5</v>
      </c>
      <c r="M2510">
        <v>40</v>
      </c>
      <c r="N2510">
        <v>130</v>
      </c>
      <c r="O2510">
        <v>177.16535433070868</v>
      </c>
      <c r="P2510">
        <v>1.5748031496062993</v>
      </c>
      <c r="Q2510">
        <v>5.1181102362204731</v>
      </c>
      <c r="R2510">
        <v>630.93100000000004</v>
      </c>
      <c r="S2510">
        <v>2.3399999999999997E-2</v>
      </c>
      <c r="T2510" s="4" t="s">
        <v>4949</v>
      </c>
    </row>
    <row r="2511" spans="1:20" x14ac:dyDescent="0.2">
      <c r="A2511" s="4" t="s">
        <v>4787</v>
      </c>
      <c r="B2511" s="4" t="s">
        <v>4946</v>
      </c>
      <c r="C2511" s="4" t="s">
        <v>2096</v>
      </c>
      <c r="D2511" s="4" t="s">
        <v>4764</v>
      </c>
      <c r="E2511" s="4" t="s">
        <v>4955</v>
      </c>
      <c r="F2511" s="4" t="s">
        <v>4947</v>
      </c>
      <c r="G2511" s="4" t="s">
        <v>4824</v>
      </c>
      <c r="H2511" s="4" t="s">
        <v>2183</v>
      </c>
      <c r="I2511" s="4" t="s">
        <v>2100</v>
      </c>
      <c r="J2511" s="4" t="s">
        <v>4948</v>
      </c>
      <c r="K2511">
        <v>16</v>
      </c>
      <c r="L2511">
        <v>4.8</v>
      </c>
      <c r="M2511">
        <v>40</v>
      </c>
      <c r="N2511">
        <v>130</v>
      </c>
      <c r="O2511">
        <v>188.97637795275591</v>
      </c>
      <c r="P2511">
        <v>1.5748031496062993</v>
      </c>
      <c r="Q2511">
        <v>5.1181102362204731</v>
      </c>
      <c r="R2511">
        <v>630.93100000000004</v>
      </c>
      <c r="S2511">
        <v>2.496E-2</v>
      </c>
      <c r="T2511" s="4" t="s">
        <v>4949</v>
      </c>
    </row>
    <row r="2512" spans="1:20" x14ac:dyDescent="0.2">
      <c r="A2512" s="4" t="s">
        <v>4787</v>
      </c>
      <c r="B2512" s="4" t="s">
        <v>4946</v>
      </c>
      <c r="C2512" s="4" t="s">
        <v>2096</v>
      </c>
      <c r="D2512" s="4" t="s">
        <v>4764</v>
      </c>
      <c r="E2512" s="4" t="s">
        <v>4956</v>
      </c>
      <c r="F2512" s="4" t="s">
        <v>4947</v>
      </c>
      <c r="G2512" s="4" t="s">
        <v>4824</v>
      </c>
      <c r="H2512" s="4" t="s">
        <v>2183</v>
      </c>
      <c r="I2512" s="4" t="s">
        <v>2100</v>
      </c>
      <c r="J2512" s="4" t="s">
        <v>4948</v>
      </c>
      <c r="K2512">
        <v>17</v>
      </c>
      <c r="L2512">
        <v>5.0999999999999996</v>
      </c>
      <c r="M2512">
        <v>40</v>
      </c>
      <c r="N2512">
        <v>130</v>
      </c>
      <c r="O2512">
        <v>200.78740157480314</v>
      </c>
      <c r="P2512">
        <v>1.5748031496062993</v>
      </c>
      <c r="Q2512">
        <v>5.1181102362204731</v>
      </c>
      <c r="R2512">
        <v>630.93100000000004</v>
      </c>
      <c r="S2512">
        <v>2.6519999999999998E-2</v>
      </c>
      <c r="T2512" s="4" t="s">
        <v>4949</v>
      </c>
    </row>
    <row r="2513" spans="1:20" x14ac:dyDescent="0.2">
      <c r="A2513" s="4" t="s">
        <v>4787</v>
      </c>
      <c r="B2513" s="4" t="s">
        <v>4946</v>
      </c>
      <c r="C2513" s="4" t="s">
        <v>2096</v>
      </c>
      <c r="D2513" s="4" t="s">
        <v>4764</v>
      </c>
      <c r="E2513" s="4" t="s">
        <v>4957</v>
      </c>
      <c r="F2513" s="4" t="s">
        <v>4947</v>
      </c>
      <c r="G2513" s="4" t="s">
        <v>4824</v>
      </c>
      <c r="H2513" s="4" t="s">
        <v>2183</v>
      </c>
      <c r="I2513" s="4" t="s">
        <v>2100</v>
      </c>
      <c r="J2513" s="4" t="s">
        <v>4948</v>
      </c>
      <c r="K2513">
        <v>18</v>
      </c>
      <c r="L2513">
        <v>5.4</v>
      </c>
      <c r="M2513">
        <v>40</v>
      </c>
      <c r="N2513">
        <v>130</v>
      </c>
      <c r="O2513">
        <v>212.59842519685043</v>
      </c>
      <c r="P2513">
        <v>1.5748031496062993</v>
      </c>
      <c r="Q2513">
        <v>5.1181102362204731</v>
      </c>
      <c r="R2513">
        <v>630.93100000000004</v>
      </c>
      <c r="S2513">
        <v>2.8079999999999997E-2</v>
      </c>
      <c r="T2513" s="4" t="s">
        <v>4949</v>
      </c>
    </row>
    <row r="2514" spans="1:20" x14ac:dyDescent="0.2">
      <c r="A2514" s="4" t="s">
        <v>4787</v>
      </c>
      <c r="B2514" s="4" t="s">
        <v>4946</v>
      </c>
      <c r="C2514" s="4" t="s">
        <v>2286</v>
      </c>
      <c r="D2514" s="4" t="s">
        <v>4764</v>
      </c>
      <c r="E2514" s="4" t="s">
        <v>1177</v>
      </c>
      <c r="F2514" s="4" t="s">
        <v>4947</v>
      </c>
      <c r="G2514" s="4" t="s">
        <v>4824</v>
      </c>
      <c r="H2514" s="4" t="s">
        <v>2183</v>
      </c>
      <c r="I2514" s="4" t="s">
        <v>2100</v>
      </c>
      <c r="J2514" s="4" t="s">
        <v>4948</v>
      </c>
      <c r="K2514">
        <v>4</v>
      </c>
      <c r="L2514">
        <v>1.2</v>
      </c>
      <c r="M2514">
        <v>40</v>
      </c>
      <c r="N2514">
        <v>130</v>
      </c>
      <c r="O2514">
        <v>47.244094488188978</v>
      </c>
      <c r="P2514">
        <v>1.5748031496062993</v>
      </c>
      <c r="Q2514">
        <v>5.1181102362204731</v>
      </c>
      <c r="R2514">
        <v>630.93100000000004</v>
      </c>
      <c r="S2514">
        <v>6.2399999999999999E-3</v>
      </c>
      <c r="T2514" s="4" t="s">
        <v>4958</v>
      </c>
    </row>
    <row r="2515" spans="1:20" x14ac:dyDescent="0.2">
      <c r="A2515" s="4" t="s">
        <v>4787</v>
      </c>
      <c r="B2515" s="4" t="s">
        <v>4946</v>
      </c>
      <c r="C2515" s="4" t="s">
        <v>2286</v>
      </c>
      <c r="D2515" s="4" t="s">
        <v>4764</v>
      </c>
      <c r="E2515" s="4" t="s">
        <v>1178</v>
      </c>
      <c r="F2515" s="4" t="s">
        <v>4947</v>
      </c>
      <c r="G2515" s="4" t="s">
        <v>4824</v>
      </c>
      <c r="H2515" s="4" t="s">
        <v>2183</v>
      </c>
      <c r="I2515" s="4" t="s">
        <v>2100</v>
      </c>
      <c r="J2515" s="4" t="s">
        <v>4948</v>
      </c>
      <c r="K2515">
        <v>5</v>
      </c>
      <c r="L2515">
        <v>1.5</v>
      </c>
      <c r="M2515">
        <v>40</v>
      </c>
      <c r="N2515">
        <v>130</v>
      </c>
      <c r="O2515">
        <v>59.055118110236222</v>
      </c>
      <c r="P2515">
        <v>1.5748031496062993</v>
      </c>
      <c r="Q2515">
        <v>5.1181102362204731</v>
      </c>
      <c r="R2515">
        <v>630.93100000000004</v>
      </c>
      <c r="S2515">
        <v>7.7999999999999996E-3</v>
      </c>
      <c r="T2515" s="4" t="s">
        <v>4958</v>
      </c>
    </row>
    <row r="2516" spans="1:20" x14ac:dyDescent="0.2">
      <c r="A2516" s="4" t="s">
        <v>4787</v>
      </c>
      <c r="B2516" s="4" t="s">
        <v>4946</v>
      </c>
      <c r="C2516" s="4" t="s">
        <v>2286</v>
      </c>
      <c r="D2516" s="4" t="s">
        <v>4764</v>
      </c>
      <c r="E2516" s="4" t="s">
        <v>1179</v>
      </c>
      <c r="F2516" s="4" t="s">
        <v>4947</v>
      </c>
      <c r="G2516" s="4" t="s">
        <v>4824</v>
      </c>
      <c r="H2516" s="4" t="s">
        <v>2183</v>
      </c>
      <c r="I2516" s="4" t="s">
        <v>2100</v>
      </c>
      <c r="J2516" s="4" t="s">
        <v>4948</v>
      </c>
      <c r="K2516">
        <v>6</v>
      </c>
      <c r="L2516">
        <v>1.8</v>
      </c>
      <c r="M2516">
        <v>40</v>
      </c>
      <c r="N2516">
        <v>130</v>
      </c>
      <c r="O2516">
        <v>70.866141732283467</v>
      </c>
      <c r="P2516">
        <v>1.5748031496062993</v>
      </c>
      <c r="Q2516">
        <v>5.1181102362204731</v>
      </c>
      <c r="R2516">
        <v>630.93100000000004</v>
      </c>
      <c r="S2516">
        <v>9.3600000000000003E-3</v>
      </c>
      <c r="T2516" s="4" t="s">
        <v>4958</v>
      </c>
    </row>
    <row r="2517" spans="1:20" x14ac:dyDescent="0.2">
      <c r="A2517" s="4" t="s">
        <v>4787</v>
      </c>
      <c r="B2517" s="4" t="s">
        <v>4946</v>
      </c>
      <c r="C2517" s="4" t="s">
        <v>2286</v>
      </c>
      <c r="D2517" s="4" t="s">
        <v>4764</v>
      </c>
      <c r="E2517" s="4" t="s">
        <v>1180</v>
      </c>
      <c r="F2517" s="4" t="s">
        <v>4947</v>
      </c>
      <c r="G2517" s="4" t="s">
        <v>4824</v>
      </c>
      <c r="H2517" s="4" t="s">
        <v>2183</v>
      </c>
      <c r="I2517" s="4" t="s">
        <v>2100</v>
      </c>
      <c r="J2517" s="4" t="s">
        <v>4948</v>
      </c>
      <c r="K2517">
        <v>7</v>
      </c>
      <c r="L2517">
        <v>2.1</v>
      </c>
      <c r="M2517">
        <v>40</v>
      </c>
      <c r="N2517">
        <v>130</v>
      </c>
      <c r="O2517">
        <v>82.677165354330711</v>
      </c>
      <c r="P2517">
        <v>1.5748031496062993</v>
      </c>
      <c r="Q2517">
        <v>5.1181102362204731</v>
      </c>
      <c r="R2517">
        <v>630.93100000000004</v>
      </c>
      <c r="S2517">
        <v>1.0919999999999999E-2</v>
      </c>
      <c r="T2517" s="4" t="s">
        <v>4958</v>
      </c>
    </row>
    <row r="2518" spans="1:20" x14ac:dyDescent="0.2">
      <c r="A2518" s="4" t="s">
        <v>4787</v>
      </c>
      <c r="B2518" s="4" t="s">
        <v>4946</v>
      </c>
      <c r="C2518" s="4" t="s">
        <v>2096</v>
      </c>
      <c r="D2518" s="4" t="s">
        <v>4764</v>
      </c>
      <c r="E2518" s="4" t="s">
        <v>4959</v>
      </c>
      <c r="F2518" s="4" t="s">
        <v>4947</v>
      </c>
      <c r="G2518" s="4" t="s">
        <v>4824</v>
      </c>
      <c r="H2518" s="4" t="s">
        <v>2183</v>
      </c>
      <c r="I2518" s="4" t="s">
        <v>2100</v>
      </c>
      <c r="J2518" s="4" t="s">
        <v>4948</v>
      </c>
      <c r="K2518">
        <v>8</v>
      </c>
      <c r="L2518">
        <v>2.4</v>
      </c>
      <c r="M2518">
        <v>40</v>
      </c>
      <c r="N2518">
        <v>130</v>
      </c>
      <c r="O2518">
        <v>94.488188976377955</v>
      </c>
      <c r="P2518">
        <v>1.5748031496062993</v>
      </c>
      <c r="Q2518">
        <v>5.1181102362204731</v>
      </c>
      <c r="R2518">
        <v>630.93100000000004</v>
      </c>
      <c r="S2518">
        <v>1.248E-2</v>
      </c>
      <c r="T2518" s="4" t="s">
        <v>4949</v>
      </c>
    </row>
    <row r="2519" spans="1:20" x14ac:dyDescent="0.2">
      <c r="A2519" s="4" t="s">
        <v>4787</v>
      </c>
      <c r="B2519" s="4" t="s">
        <v>4946</v>
      </c>
      <c r="C2519" s="4" t="s">
        <v>2096</v>
      </c>
      <c r="D2519" s="4" t="s">
        <v>4764</v>
      </c>
      <c r="E2519" s="4" t="s">
        <v>1181</v>
      </c>
      <c r="F2519" s="4" t="s">
        <v>4947</v>
      </c>
      <c r="G2519" s="4" t="s">
        <v>4824</v>
      </c>
      <c r="H2519" s="4" t="s">
        <v>2183</v>
      </c>
      <c r="I2519" s="4" t="s">
        <v>2100</v>
      </c>
      <c r="J2519" s="4" t="s">
        <v>4948</v>
      </c>
      <c r="K2519">
        <v>9</v>
      </c>
      <c r="L2519">
        <v>2.7</v>
      </c>
      <c r="M2519">
        <v>40</v>
      </c>
      <c r="N2519">
        <v>130</v>
      </c>
      <c r="O2519">
        <v>106.29921259842521</v>
      </c>
      <c r="P2519">
        <v>1.5748031496062993</v>
      </c>
      <c r="Q2519">
        <v>5.1181102362204731</v>
      </c>
      <c r="R2519">
        <v>630.93100000000004</v>
      </c>
      <c r="S2519">
        <v>1.4039999999999999E-2</v>
      </c>
      <c r="T2519" s="4" t="s">
        <v>4949</v>
      </c>
    </row>
    <row r="2520" spans="1:20" x14ac:dyDescent="0.2">
      <c r="A2520" s="4" t="s">
        <v>4787</v>
      </c>
      <c r="B2520" s="4" t="s">
        <v>4960</v>
      </c>
      <c r="C2520" s="4" t="s">
        <v>2096</v>
      </c>
      <c r="D2520" s="4" t="s">
        <v>4764</v>
      </c>
      <c r="E2520" s="4" t="s">
        <v>4961</v>
      </c>
      <c r="F2520" s="4" t="s">
        <v>4962</v>
      </c>
      <c r="G2520" s="4" t="s">
        <v>4824</v>
      </c>
      <c r="H2520" s="4" t="s">
        <v>2183</v>
      </c>
      <c r="I2520" s="4" t="s">
        <v>2100</v>
      </c>
      <c r="J2520" s="4" t="s">
        <v>2570</v>
      </c>
      <c r="K2520">
        <v>10</v>
      </c>
      <c r="L2520">
        <v>3</v>
      </c>
      <c r="M2520">
        <v>40</v>
      </c>
      <c r="N2520">
        <v>140</v>
      </c>
      <c r="O2520">
        <v>118.11023622047244</v>
      </c>
      <c r="P2520">
        <v>1.5748031496062993</v>
      </c>
      <c r="Q2520">
        <v>5.5118110236220472</v>
      </c>
      <c r="R2520">
        <v>585.86400000000003</v>
      </c>
      <c r="S2520">
        <v>1.6800000000000002E-2</v>
      </c>
      <c r="T2520" s="4" t="s">
        <v>4963</v>
      </c>
    </row>
    <row r="2521" spans="1:20" x14ac:dyDescent="0.2">
      <c r="A2521" s="4" t="s">
        <v>4787</v>
      </c>
      <c r="B2521" s="4" t="s">
        <v>4960</v>
      </c>
      <c r="C2521" s="4" t="s">
        <v>2096</v>
      </c>
      <c r="D2521" s="4" t="s">
        <v>4764</v>
      </c>
      <c r="E2521" s="4" t="s">
        <v>4964</v>
      </c>
      <c r="F2521" s="4" t="s">
        <v>4962</v>
      </c>
      <c r="G2521" s="4" t="s">
        <v>4824</v>
      </c>
      <c r="H2521" s="4" t="s">
        <v>2183</v>
      </c>
      <c r="I2521" s="4" t="s">
        <v>2100</v>
      </c>
      <c r="J2521" s="4" t="s">
        <v>2570</v>
      </c>
      <c r="K2521">
        <v>11</v>
      </c>
      <c r="L2521">
        <v>3.3</v>
      </c>
      <c r="M2521">
        <v>40</v>
      </c>
      <c r="N2521">
        <v>140</v>
      </c>
      <c r="O2521">
        <v>129.92125984251967</v>
      </c>
      <c r="P2521">
        <v>1.5748031496062993</v>
      </c>
      <c r="Q2521">
        <v>5.5118110236220472</v>
      </c>
      <c r="R2521">
        <v>585.86400000000003</v>
      </c>
      <c r="S2521">
        <v>1.848E-2</v>
      </c>
      <c r="T2521" s="4" t="s">
        <v>4963</v>
      </c>
    </row>
    <row r="2522" spans="1:20" x14ac:dyDescent="0.2">
      <c r="A2522" s="4" t="s">
        <v>4787</v>
      </c>
      <c r="B2522" s="4" t="s">
        <v>4960</v>
      </c>
      <c r="C2522" s="4" t="s">
        <v>2096</v>
      </c>
      <c r="D2522" s="4" t="s">
        <v>4764</v>
      </c>
      <c r="E2522" s="4" t="s">
        <v>4965</v>
      </c>
      <c r="F2522" s="4" t="s">
        <v>4962</v>
      </c>
      <c r="G2522" s="4" t="s">
        <v>4824</v>
      </c>
      <c r="H2522" s="4" t="s">
        <v>2183</v>
      </c>
      <c r="I2522" s="4" t="s">
        <v>2100</v>
      </c>
      <c r="J2522" s="4" t="s">
        <v>2570</v>
      </c>
      <c r="K2522">
        <v>12</v>
      </c>
      <c r="L2522">
        <v>3.6</v>
      </c>
      <c r="M2522">
        <v>40</v>
      </c>
      <c r="N2522">
        <v>140</v>
      </c>
      <c r="O2522">
        <v>141.73228346456693</v>
      </c>
      <c r="P2522">
        <v>1.5748031496062993</v>
      </c>
      <c r="Q2522">
        <v>5.5118110236220472</v>
      </c>
      <c r="R2522">
        <v>585.86400000000003</v>
      </c>
      <c r="S2522">
        <v>2.0160000000000001E-2</v>
      </c>
      <c r="T2522" s="4" t="s">
        <v>4963</v>
      </c>
    </row>
    <row r="2523" spans="1:20" x14ac:dyDescent="0.2">
      <c r="A2523" s="4" t="s">
        <v>4787</v>
      </c>
      <c r="B2523" s="4" t="s">
        <v>4960</v>
      </c>
      <c r="C2523" s="4" t="s">
        <v>2096</v>
      </c>
      <c r="D2523" s="4" t="s">
        <v>4764</v>
      </c>
      <c r="E2523" s="4" t="s">
        <v>4966</v>
      </c>
      <c r="F2523" s="4" t="s">
        <v>4962</v>
      </c>
      <c r="G2523" s="4" t="s">
        <v>4824</v>
      </c>
      <c r="H2523" s="4" t="s">
        <v>2183</v>
      </c>
      <c r="I2523" s="4" t="s">
        <v>2100</v>
      </c>
      <c r="J2523" s="4" t="s">
        <v>2570</v>
      </c>
      <c r="K2523">
        <v>13</v>
      </c>
      <c r="L2523">
        <v>3.9</v>
      </c>
      <c r="M2523">
        <v>40</v>
      </c>
      <c r="N2523">
        <v>140</v>
      </c>
      <c r="O2523">
        <v>153.54330708661416</v>
      </c>
      <c r="P2523">
        <v>1.5748031496062993</v>
      </c>
      <c r="Q2523">
        <v>5.5118110236220472</v>
      </c>
      <c r="R2523">
        <v>585.86400000000003</v>
      </c>
      <c r="S2523">
        <v>2.1839999999999998E-2</v>
      </c>
      <c r="T2523" s="4" t="s">
        <v>4963</v>
      </c>
    </row>
    <row r="2524" spans="1:20" x14ac:dyDescent="0.2">
      <c r="A2524" s="4" t="s">
        <v>4787</v>
      </c>
      <c r="B2524" s="4" t="s">
        <v>4960</v>
      </c>
      <c r="C2524" s="4" t="s">
        <v>2096</v>
      </c>
      <c r="D2524" s="4" t="s">
        <v>4764</v>
      </c>
      <c r="E2524" s="4" t="s">
        <v>4967</v>
      </c>
      <c r="F2524" s="4" t="s">
        <v>4962</v>
      </c>
      <c r="G2524" s="4" t="s">
        <v>4824</v>
      </c>
      <c r="H2524" s="4" t="s">
        <v>2183</v>
      </c>
      <c r="I2524" s="4" t="s">
        <v>2100</v>
      </c>
      <c r="J2524" s="4" t="s">
        <v>2570</v>
      </c>
      <c r="K2524">
        <v>14</v>
      </c>
      <c r="L2524">
        <v>4.2</v>
      </c>
      <c r="M2524">
        <v>40</v>
      </c>
      <c r="N2524">
        <v>140</v>
      </c>
      <c r="O2524">
        <v>165.35433070866142</v>
      </c>
      <c r="P2524">
        <v>1.5748031496062993</v>
      </c>
      <c r="Q2524">
        <v>5.5118110236220472</v>
      </c>
      <c r="R2524">
        <v>585.86400000000003</v>
      </c>
      <c r="S2524">
        <v>2.3520000000000003E-2</v>
      </c>
      <c r="T2524" s="4" t="s">
        <v>4963</v>
      </c>
    </row>
    <row r="2525" spans="1:20" x14ac:dyDescent="0.2">
      <c r="A2525" s="4" t="s">
        <v>4787</v>
      </c>
      <c r="B2525" s="4" t="s">
        <v>4960</v>
      </c>
      <c r="C2525" s="4" t="s">
        <v>2096</v>
      </c>
      <c r="D2525" s="4" t="s">
        <v>4764</v>
      </c>
      <c r="E2525" s="4" t="s">
        <v>4968</v>
      </c>
      <c r="F2525" s="4" t="s">
        <v>4962</v>
      </c>
      <c r="G2525" s="4" t="s">
        <v>4824</v>
      </c>
      <c r="H2525" s="4" t="s">
        <v>2183</v>
      </c>
      <c r="I2525" s="4" t="s">
        <v>2100</v>
      </c>
      <c r="J2525" s="4" t="s">
        <v>2570</v>
      </c>
      <c r="K2525">
        <v>15</v>
      </c>
      <c r="L2525">
        <v>4.5</v>
      </c>
      <c r="M2525">
        <v>40</v>
      </c>
      <c r="N2525">
        <v>140</v>
      </c>
      <c r="O2525">
        <v>177.16535433070868</v>
      </c>
      <c r="P2525">
        <v>1.5748031496062993</v>
      </c>
      <c r="Q2525">
        <v>5.5118110236220472</v>
      </c>
      <c r="R2525">
        <v>585.86400000000003</v>
      </c>
      <c r="S2525">
        <v>2.52E-2</v>
      </c>
      <c r="T2525" s="4" t="s">
        <v>4963</v>
      </c>
    </row>
    <row r="2526" spans="1:20" x14ac:dyDescent="0.2">
      <c r="A2526" s="4" t="s">
        <v>4787</v>
      </c>
      <c r="B2526" s="4" t="s">
        <v>4960</v>
      </c>
      <c r="C2526" s="4" t="s">
        <v>2096</v>
      </c>
      <c r="D2526" s="4" t="s">
        <v>4764</v>
      </c>
      <c r="E2526" s="4" t="s">
        <v>4969</v>
      </c>
      <c r="F2526" s="4" t="s">
        <v>4962</v>
      </c>
      <c r="G2526" s="4" t="s">
        <v>4824</v>
      </c>
      <c r="H2526" s="4" t="s">
        <v>2183</v>
      </c>
      <c r="I2526" s="4" t="s">
        <v>2100</v>
      </c>
      <c r="J2526" s="4" t="s">
        <v>2570</v>
      </c>
      <c r="K2526">
        <v>16</v>
      </c>
      <c r="L2526">
        <v>4.8</v>
      </c>
      <c r="M2526">
        <v>40</v>
      </c>
      <c r="N2526">
        <v>140</v>
      </c>
      <c r="O2526">
        <v>188.97637795275591</v>
      </c>
      <c r="P2526">
        <v>1.5748031496062993</v>
      </c>
      <c r="Q2526">
        <v>5.5118110236220472</v>
      </c>
      <c r="R2526">
        <v>585.86400000000003</v>
      </c>
      <c r="S2526">
        <v>2.6879999999999998E-2</v>
      </c>
      <c r="T2526" s="4" t="s">
        <v>4963</v>
      </c>
    </row>
    <row r="2527" spans="1:20" x14ac:dyDescent="0.2">
      <c r="A2527" s="4" t="s">
        <v>4787</v>
      </c>
      <c r="B2527" s="4" t="s">
        <v>4960</v>
      </c>
      <c r="C2527" s="4" t="s">
        <v>2096</v>
      </c>
      <c r="D2527" s="4" t="s">
        <v>4764</v>
      </c>
      <c r="E2527" s="4" t="s">
        <v>4970</v>
      </c>
      <c r="F2527" s="4" t="s">
        <v>4962</v>
      </c>
      <c r="G2527" s="4" t="s">
        <v>4824</v>
      </c>
      <c r="H2527" s="4" t="s">
        <v>2183</v>
      </c>
      <c r="I2527" s="4" t="s">
        <v>2100</v>
      </c>
      <c r="J2527" s="4" t="s">
        <v>2570</v>
      </c>
      <c r="K2527">
        <v>17</v>
      </c>
      <c r="L2527">
        <v>5.0999999999999996</v>
      </c>
      <c r="M2527">
        <v>40</v>
      </c>
      <c r="N2527">
        <v>140</v>
      </c>
      <c r="O2527">
        <v>200.78740157480314</v>
      </c>
      <c r="P2527">
        <v>1.5748031496062993</v>
      </c>
      <c r="Q2527">
        <v>5.5118110236220472</v>
      </c>
      <c r="R2527">
        <v>585.86400000000003</v>
      </c>
      <c r="S2527">
        <v>2.8559999999999999E-2</v>
      </c>
      <c r="T2527" s="4" t="s">
        <v>4963</v>
      </c>
    </row>
    <row r="2528" spans="1:20" x14ac:dyDescent="0.2">
      <c r="A2528" s="4" t="s">
        <v>4787</v>
      </c>
      <c r="B2528" s="4" t="s">
        <v>4960</v>
      </c>
      <c r="C2528" s="4" t="s">
        <v>2096</v>
      </c>
      <c r="D2528" s="4" t="s">
        <v>4764</v>
      </c>
      <c r="E2528" s="4" t="s">
        <v>4971</v>
      </c>
      <c r="F2528" s="4" t="s">
        <v>4962</v>
      </c>
      <c r="G2528" s="4" t="s">
        <v>4824</v>
      </c>
      <c r="H2528" s="4" t="s">
        <v>2183</v>
      </c>
      <c r="I2528" s="4" t="s">
        <v>2100</v>
      </c>
      <c r="J2528" s="4" t="s">
        <v>2570</v>
      </c>
      <c r="K2528">
        <v>18</v>
      </c>
      <c r="L2528">
        <v>5.4</v>
      </c>
      <c r="M2528">
        <v>40</v>
      </c>
      <c r="N2528">
        <v>140</v>
      </c>
      <c r="O2528">
        <v>212.59842519685043</v>
      </c>
      <c r="P2528">
        <v>1.5748031496062993</v>
      </c>
      <c r="Q2528">
        <v>5.5118110236220472</v>
      </c>
      <c r="R2528">
        <v>585.86400000000003</v>
      </c>
      <c r="S2528">
        <v>3.024E-2</v>
      </c>
      <c r="T2528" s="4" t="s">
        <v>4963</v>
      </c>
    </row>
    <row r="2529" spans="1:20" x14ac:dyDescent="0.2">
      <c r="A2529" s="4" t="s">
        <v>4787</v>
      </c>
      <c r="B2529" s="4" t="s">
        <v>4960</v>
      </c>
      <c r="C2529" s="4" t="s">
        <v>2286</v>
      </c>
      <c r="D2529" s="4" t="s">
        <v>4764</v>
      </c>
      <c r="E2529" s="4" t="s">
        <v>4972</v>
      </c>
      <c r="F2529" s="4" t="s">
        <v>4962</v>
      </c>
      <c r="G2529" s="4" t="s">
        <v>4824</v>
      </c>
      <c r="H2529" s="4" t="s">
        <v>2183</v>
      </c>
      <c r="I2529" s="4" t="s">
        <v>2100</v>
      </c>
      <c r="J2529" s="4" t="s">
        <v>2570</v>
      </c>
      <c r="K2529">
        <v>4</v>
      </c>
      <c r="L2529">
        <v>1.2</v>
      </c>
      <c r="M2529">
        <v>40</v>
      </c>
      <c r="N2529">
        <v>140</v>
      </c>
      <c r="O2529">
        <v>47.244094488188978</v>
      </c>
      <c r="P2529">
        <v>1.5748031496062993</v>
      </c>
      <c r="Q2529">
        <v>5.5118110236220472</v>
      </c>
      <c r="R2529">
        <v>585.86400000000003</v>
      </c>
      <c r="S2529">
        <v>6.7199999999999994E-3</v>
      </c>
      <c r="T2529" s="4" t="s">
        <v>4973</v>
      </c>
    </row>
    <row r="2530" spans="1:20" x14ac:dyDescent="0.2">
      <c r="A2530" s="4" t="s">
        <v>4787</v>
      </c>
      <c r="B2530" s="4" t="s">
        <v>4960</v>
      </c>
      <c r="C2530" s="4" t="s">
        <v>2286</v>
      </c>
      <c r="D2530" s="4" t="s">
        <v>4764</v>
      </c>
      <c r="E2530" s="4" t="s">
        <v>4974</v>
      </c>
      <c r="F2530" s="4" t="s">
        <v>4962</v>
      </c>
      <c r="G2530" s="4" t="s">
        <v>4824</v>
      </c>
      <c r="H2530" s="4" t="s">
        <v>2183</v>
      </c>
      <c r="I2530" s="4" t="s">
        <v>2100</v>
      </c>
      <c r="J2530" s="4" t="s">
        <v>2570</v>
      </c>
      <c r="K2530">
        <v>5</v>
      </c>
      <c r="L2530">
        <v>1.5</v>
      </c>
      <c r="M2530">
        <v>40</v>
      </c>
      <c r="N2530">
        <v>140</v>
      </c>
      <c r="O2530">
        <v>59.055118110236222</v>
      </c>
      <c r="P2530">
        <v>1.5748031496062993</v>
      </c>
      <c r="Q2530">
        <v>5.5118110236220472</v>
      </c>
      <c r="R2530">
        <v>585.86400000000003</v>
      </c>
      <c r="S2530">
        <v>8.4000000000000012E-3</v>
      </c>
      <c r="T2530" s="4" t="s">
        <v>4973</v>
      </c>
    </row>
    <row r="2531" spans="1:20" x14ac:dyDescent="0.2">
      <c r="A2531" s="4" t="s">
        <v>4787</v>
      </c>
      <c r="B2531" s="4" t="s">
        <v>4960</v>
      </c>
      <c r="C2531" s="4" t="s">
        <v>2286</v>
      </c>
      <c r="D2531" s="4" t="s">
        <v>4764</v>
      </c>
      <c r="E2531" s="4" t="s">
        <v>4975</v>
      </c>
      <c r="F2531" s="4" t="s">
        <v>4962</v>
      </c>
      <c r="G2531" s="4" t="s">
        <v>4824</v>
      </c>
      <c r="H2531" s="4" t="s">
        <v>2183</v>
      </c>
      <c r="I2531" s="4" t="s">
        <v>2100</v>
      </c>
      <c r="J2531" s="4" t="s">
        <v>2570</v>
      </c>
      <c r="K2531">
        <v>6</v>
      </c>
      <c r="L2531">
        <v>1.8</v>
      </c>
      <c r="M2531">
        <v>40</v>
      </c>
      <c r="N2531">
        <v>140</v>
      </c>
      <c r="O2531">
        <v>70.866141732283467</v>
      </c>
      <c r="P2531">
        <v>1.5748031496062993</v>
      </c>
      <c r="Q2531">
        <v>5.5118110236220472</v>
      </c>
      <c r="R2531">
        <v>585.86400000000003</v>
      </c>
      <c r="S2531">
        <v>1.008E-2</v>
      </c>
      <c r="T2531" s="4" t="s">
        <v>4973</v>
      </c>
    </row>
    <row r="2532" spans="1:20" x14ac:dyDescent="0.2">
      <c r="A2532" s="4" t="s">
        <v>4787</v>
      </c>
      <c r="B2532" s="4" t="s">
        <v>4960</v>
      </c>
      <c r="C2532" s="4" t="s">
        <v>2286</v>
      </c>
      <c r="D2532" s="4" t="s">
        <v>4764</v>
      </c>
      <c r="E2532" s="4" t="s">
        <v>4976</v>
      </c>
      <c r="F2532" s="4" t="s">
        <v>4962</v>
      </c>
      <c r="G2532" s="4" t="s">
        <v>4824</v>
      </c>
      <c r="H2532" s="4" t="s">
        <v>2183</v>
      </c>
      <c r="I2532" s="4" t="s">
        <v>2100</v>
      </c>
      <c r="J2532" s="4" t="s">
        <v>2570</v>
      </c>
      <c r="K2532">
        <v>7</v>
      </c>
      <c r="L2532">
        <v>2.1</v>
      </c>
      <c r="M2532">
        <v>40</v>
      </c>
      <c r="N2532">
        <v>140</v>
      </c>
      <c r="O2532">
        <v>82.677165354330711</v>
      </c>
      <c r="P2532">
        <v>1.5748031496062993</v>
      </c>
      <c r="Q2532">
        <v>5.5118110236220472</v>
      </c>
      <c r="R2532">
        <v>585.86400000000003</v>
      </c>
      <c r="S2532">
        <v>1.1760000000000001E-2</v>
      </c>
      <c r="T2532" s="4" t="s">
        <v>4973</v>
      </c>
    </row>
    <row r="2533" spans="1:20" x14ac:dyDescent="0.2">
      <c r="A2533" s="4" t="s">
        <v>4787</v>
      </c>
      <c r="B2533" s="4" t="s">
        <v>4960</v>
      </c>
      <c r="C2533" s="4" t="s">
        <v>2096</v>
      </c>
      <c r="D2533" s="4" t="s">
        <v>4764</v>
      </c>
      <c r="E2533" s="4" t="s">
        <v>4977</v>
      </c>
      <c r="F2533" s="4" t="s">
        <v>4962</v>
      </c>
      <c r="G2533" s="4" t="s">
        <v>4824</v>
      </c>
      <c r="H2533" s="4" t="s">
        <v>2183</v>
      </c>
      <c r="I2533" s="4" t="s">
        <v>2100</v>
      </c>
      <c r="J2533" s="4" t="s">
        <v>2570</v>
      </c>
      <c r="K2533">
        <v>8</v>
      </c>
      <c r="L2533">
        <v>2.4</v>
      </c>
      <c r="M2533">
        <v>40</v>
      </c>
      <c r="N2533">
        <v>140</v>
      </c>
      <c r="O2533">
        <v>94.488188976377955</v>
      </c>
      <c r="P2533">
        <v>1.5748031496062993</v>
      </c>
      <c r="Q2533">
        <v>5.5118110236220472</v>
      </c>
      <c r="R2533">
        <v>585.86400000000003</v>
      </c>
      <c r="S2533">
        <v>1.3439999999999999E-2</v>
      </c>
      <c r="T2533" s="4" t="s">
        <v>4963</v>
      </c>
    </row>
    <row r="2534" spans="1:20" x14ac:dyDescent="0.2">
      <c r="A2534" s="4" t="s">
        <v>4787</v>
      </c>
      <c r="B2534" s="4" t="s">
        <v>4960</v>
      </c>
      <c r="C2534" s="4" t="s">
        <v>2096</v>
      </c>
      <c r="D2534" s="4" t="s">
        <v>4764</v>
      </c>
      <c r="E2534" s="4" t="s">
        <v>4978</v>
      </c>
      <c r="F2534" s="4" t="s">
        <v>4962</v>
      </c>
      <c r="G2534" s="4" t="s">
        <v>4824</v>
      </c>
      <c r="H2534" s="4" t="s">
        <v>2183</v>
      </c>
      <c r="I2534" s="4" t="s">
        <v>2100</v>
      </c>
      <c r="J2534" s="4" t="s">
        <v>2570</v>
      </c>
      <c r="K2534">
        <v>9</v>
      </c>
      <c r="L2534">
        <v>2.7</v>
      </c>
      <c r="M2534">
        <v>40</v>
      </c>
      <c r="N2534">
        <v>140</v>
      </c>
      <c r="O2534">
        <v>106.29921259842521</v>
      </c>
      <c r="P2534">
        <v>1.5748031496062993</v>
      </c>
      <c r="Q2534">
        <v>5.5118110236220472</v>
      </c>
      <c r="R2534">
        <v>585.86400000000003</v>
      </c>
      <c r="S2534">
        <v>1.512E-2</v>
      </c>
      <c r="T2534" s="4" t="s">
        <v>4963</v>
      </c>
    </row>
    <row r="2535" spans="1:20" x14ac:dyDescent="0.2">
      <c r="A2535" s="4" t="s">
        <v>4793</v>
      </c>
      <c r="B2535" s="4" t="s">
        <v>4798</v>
      </c>
      <c r="C2535" s="4" t="s">
        <v>2096</v>
      </c>
      <c r="D2535" s="4" t="s">
        <v>4764</v>
      </c>
      <c r="E2535" s="4" t="s">
        <v>4979</v>
      </c>
      <c r="F2535" s="4" t="s">
        <v>4980</v>
      </c>
      <c r="G2535" s="4" t="s">
        <v>4981</v>
      </c>
      <c r="H2535" s="4" t="s">
        <v>4982</v>
      </c>
      <c r="I2535" s="4" t="s">
        <v>4983</v>
      </c>
      <c r="J2535" s="4" t="s">
        <v>2153</v>
      </c>
      <c r="K2535">
        <v>10</v>
      </c>
      <c r="L2535">
        <v>3</v>
      </c>
      <c r="M2535">
        <v>19</v>
      </c>
      <c r="N2535">
        <v>140</v>
      </c>
      <c r="O2535">
        <v>118.11023622047244</v>
      </c>
      <c r="P2535">
        <v>0.74803149606299213</v>
      </c>
      <c r="Q2535">
        <v>5.5118110236220472</v>
      </c>
      <c r="R2535">
        <v>1233.3979999999999</v>
      </c>
      <c r="S2535">
        <v>7.980000000000001E-3</v>
      </c>
      <c r="T2535" s="4" t="s">
        <v>4984</v>
      </c>
    </row>
    <row r="2536" spans="1:20" x14ac:dyDescent="0.2">
      <c r="A2536" s="4" t="s">
        <v>4793</v>
      </c>
      <c r="B2536" s="4" t="s">
        <v>4798</v>
      </c>
      <c r="C2536" s="4" t="s">
        <v>2096</v>
      </c>
      <c r="D2536" s="4" t="s">
        <v>4764</v>
      </c>
      <c r="E2536" s="4" t="s">
        <v>4985</v>
      </c>
      <c r="F2536" s="4" t="s">
        <v>4980</v>
      </c>
      <c r="G2536" s="4" t="s">
        <v>4981</v>
      </c>
      <c r="H2536" s="4" t="s">
        <v>4982</v>
      </c>
      <c r="I2536" s="4" t="s">
        <v>4983</v>
      </c>
      <c r="J2536" s="4" t="s">
        <v>2153</v>
      </c>
      <c r="K2536">
        <v>12</v>
      </c>
      <c r="L2536">
        <v>3.6</v>
      </c>
      <c r="M2536">
        <v>19</v>
      </c>
      <c r="N2536">
        <v>140</v>
      </c>
      <c r="O2536">
        <v>141.73228346456693</v>
      </c>
      <c r="P2536">
        <v>0.74803149606299213</v>
      </c>
      <c r="Q2536">
        <v>5.5118110236220472</v>
      </c>
      <c r="R2536">
        <v>1233.3979999999999</v>
      </c>
      <c r="S2536">
        <v>9.5760000000000012E-3</v>
      </c>
      <c r="T2536" s="4" t="s">
        <v>4984</v>
      </c>
    </row>
    <row r="2537" spans="1:20" x14ac:dyDescent="0.2">
      <c r="A2537" s="4" t="s">
        <v>4793</v>
      </c>
      <c r="B2537" s="4" t="s">
        <v>4798</v>
      </c>
      <c r="C2537" s="4" t="s">
        <v>2096</v>
      </c>
      <c r="D2537" s="4" t="s">
        <v>4764</v>
      </c>
      <c r="E2537" s="4" t="s">
        <v>1927</v>
      </c>
      <c r="F2537" s="4" t="s">
        <v>4980</v>
      </c>
      <c r="G2537" s="4" t="s">
        <v>4981</v>
      </c>
      <c r="H2537" s="4" t="s">
        <v>4982</v>
      </c>
      <c r="I2537" s="4" t="s">
        <v>4983</v>
      </c>
      <c r="J2537" s="4" t="s">
        <v>2153</v>
      </c>
      <c r="K2537">
        <v>14</v>
      </c>
      <c r="L2537">
        <v>4.2</v>
      </c>
      <c r="M2537">
        <v>19</v>
      </c>
      <c r="N2537">
        <v>140</v>
      </c>
      <c r="O2537">
        <v>165.35433070866142</v>
      </c>
      <c r="P2537">
        <v>0.74803149606299213</v>
      </c>
      <c r="Q2537">
        <v>5.5118110236220472</v>
      </c>
      <c r="R2537">
        <v>1233.3979999999999</v>
      </c>
      <c r="S2537">
        <v>1.1172E-2</v>
      </c>
      <c r="T2537" s="4" t="s">
        <v>4984</v>
      </c>
    </row>
    <row r="2538" spans="1:20" x14ac:dyDescent="0.2">
      <c r="A2538" s="4" t="s">
        <v>4793</v>
      </c>
      <c r="B2538" s="4" t="s">
        <v>4798</v>
      </c>
      <c r="C2538" s="4" t="s">
        <v>2096</v>
      </c>
      <c r="D2538" s="4" t="s">
        <v>4764</v>
      </c>
      <c r="E2538" s="4" t="s">
        <v>1929</v>
      </c>
      <c r="F2538" s="4" t="s">
        <v>4980</v>
      </c>
      <c r="G2538" s="4" t="s">
        <v>4981</v>
      </c>
      <c r="H2538" s="4" t="s">
        <v>4982</v>
      </c>
      <c r="I2538" s="4" t="s">
        <v>4983</v>
      </c>
      <c r="J2538" s="4" t="s">
        <v>2153</v>
      </c>
      <c r="K2538">
        <v>16</v>
      </c>
      <c r="L2538">
        <v>4.8</v>
      </c>
      <c r="M2538">
        <v>19</v>
      </c>
      <c r="N2538">
        <v>140</v>
      </c>
      <c r="O2538">
        <v>188.97637795275591</v>
      </c>
      <c r="P2538">
        <v>0.74803149606299213</v>
      </c>
      <c r="Q2538">
        <v>5.5118110236220472</v>
      </c>
      <c r="R2538">
        <v>1233.3979999999999</v>
      </c>
      <c r="S2538">
        <v>1.2768E-2</v>
      </c>
      <c r="T2538" s="4" t="s">
        <v>4984</v>
      </c>
    </row>
    <row r="2539" spans="1:20" x14ac:dyDescent="0.2">
      <c r="A2539" s="4" t="s">
        <v>4793</v>
      </c>
      <c r="B2539" s="4" t="s">
        <v>4798</v>
      </c>
      <c r="C2539" s="4" t="s">
        <v>2096</v>
      </c>
      <c r="D2539" s="4" t="s">
        <v>4764</v>
      </c>
      <c r="E2539" s="4" t="s">
        <v>4986</v>
      </c>
      <c r="F2539" s="4" t="s">
        <v>4980</v>
      </c>
      <c r="G2539" s="4" t="s">
        <v>4981</v>
      </c>
      <c r="H2539" s="4" t="s">
        <v>4982</v>
      </c>
      <c r="I2539" s="4" t="s">
        <v>4983</v>
      </c>
      <c r="J2539" s="4" t="s">
        <v>2153</v>
      </c>
      <c r="K2539">
        <v>18</v>
      </c>
      <c r="L2539">
        <v>5.4</v>
      </c>
      <c r="M2539">
        <v>19</v>
      </c>
      <c r="N2539">
        <v>140</v>
      </c>
      <c r="O2539">
        <v>212.59842519685043</v>
      </c>
      <c r="P2539">
        <v>0.74803149606299213</v>
      </c>
      <c r="Q2539">
        <v>5.5118110236220472</v>
      </c>
      <c r="R2539">
        <v>1233.3979999999999</v>
      </c>
      <c r="S2539">
        <v>1.4364E-2</v>
      </c>
      <c r="T2539" s="4" t="s">
        <v>4984</v>
      </c>
    </row>
    <row r="2540" spans="1:20" x14ac:dyDescent="0.2">
      <c r="A2540" s="4" t="s">
        <v>4793</v>
      </c>
      <c r="B2540" s="4" t="s">
        <v>4798</v>
      </c>
      <c r="C2540" s="4" t="s">
        <v>2096</v>
      </c>
      <c r="D2540" s="4" t="s">
        <v>4764</v>
      </c>
      <c r="E2540" s="4" t="s">
        <v>4987</v>
      </c>
      <c r="F2540" s="4" t="s">
        <v>4980</v>
      </c>
      <c r="G2540" s="4" t="s">
        <v>4981</v>
      </c>
      <c r="H2540" s="4" t="s">
        <v>4982</v>
      </c>
      <c r="I2540" s="4" t="s">
        <v>4983</v>
      </c>
      <c r="J2540" s="4" t="s">
        <v>2153</v>
      </c>
      <c r="K2540">
        <v>8</v>
      </c>
      <c r="L2540">
        <v>2.4</v>
      </c>
      <c r="M2540">
        <v>19</v>
      </c>
      <c r="N2540">
        <v>140</v>
      </c>
      <c r="O2540">
        <v>94.488188976377955</v>
      </c>
      <c r="P2540">
        <v>0.74803149606299213</v>
      </c>
      <c r="Q2540">
        <v>5.5118110236220472</v>
      </c>
      <c r="R2540">
        <v>1233.3979999999999</v>
      </c>
      <c r="S2540">
        <v>6.3839999999999999E-3</v>
      </c>
      <c r="T2540" s="4" t="s">
        <v>4984</v>
      </c>
    </row>
    <row r="2541" spans="1:20" x14ac:dyDescent="0.2">
      <c r="A2541" s="4" t="s">
        <v>4988</v>
      </c>
      <c r="B2541" s="4" t="s">
        <v>4989</v>
      </c>
      <c r="C2541" s="4" t="s">
        <v>2096</v>
      </c>
      <c r="D2541" s="4" t="s">
        <v>4764</v>
      </c>
      <c r="E2541" s="4" t="s">
        <v>4990</v>
      </c>
      <c r="F2541" s="4" t="s">
        <v>4991</v>
      </c>
      <c r="G2541" s="4" t="s">
        <v>4992</v>
      </c>
      <c r="H2541" s="4" t="s">
        <v>2183</v>
      </c>
      <c r="I2541" s="4" t="s">
        <v>2100</v>
      </c>
      <c r="J2541" s="4" t="s">
        <v>4993</v>
      </c>
      <c r="K2541">
        <v>10</v>
      </c>
      <c r="L2541">
        <v>3</v>
      </c>
      <c r="M2541">
        <v>20</v>
      </c>
      <c r="N2541">
        <v>250</v>
      </c>
      <c r="O2541">
        <v>118.11023622047244</v>
      </c>
      <c r="P2541">
        <v>0.78740157480314965</v>
      </c>
      <c r="Q2541">
        <v>9.8425196850393704</v>
      </c>
      <c r="R2541">
        <v>656.16800000000001</v>
      </c>
      <c r="S2541">
        <v>1.4999999999999999E-2</v>
      </c>
      <c r="T2541" s="4" t="s">
        <v>4994</v>
      </c>
    </row>
    <row r="2542" spans="1:20" x14ac:dyDescent="0.2">
      <c r="A2542" s="4" t="s">
        <v>4988</v>
      </c>
      <c r="B2542" s="4" t="s">
        <v>4989</v>
      </c>
      <c r="C2542" s="4" t="s">
        <v>2096</v>
      </c>
      <c r="D2542" s="4" t="s">
        <v>4764</v>
      </c>
      <c r="E2542" s="4" t="s">
        <v>4995</v>
      </c>
      <c r="F2542" s="4" t="s">
        <v>4991</v>
      </c>
      <c r="G2542" s="4" t="s">
        <v>4992</v>
      </c>
      <c r="H2542" s="4" t="s">
        <v>2183</v>
      </c>
      <c r="I2542" s="4" t="s">
        <v>2100</v>
      </c>
      <c r="J2542" s="4" t="s">
        <v>4993</v>
      </c>
      <c r="K2542">
        <v>11</v>
      </c>
      <c r="L2542">
        <v>3.3</v>
      </c>
      <c r="M2542">
        <v>20</v>
      </c>
      <c r="N2542">
        <v>250</v>
      </c>
      <c r="O2542">
        <v>129.92125984251967</v>
      </c>
      <c r="P2542">
        <v>0.78740157480314965</v>
      </c>
      <c r="Q2542">
        <v>9.8425196850393704</v>
      </c>
      <c r="R2542">
        <v>656.16800000000001</v>
      </c>
      <c r="S2542">
        <v>1.6500000000000001E-2</v>
      </c>
      <c r="T2542" s="4" t="s">
        <v>4994</v>
      </c>
    </row>
    <row r="2543" spans="1:20" x14ac:dyDescent="0.2">
      <c r="A2543" s="4" t="s">
        <v>4988</v>
      </c>
      <c r="B2543" s="4" t="s">
        <v>4989</v>
      </c>
      <c r="C2543" s="4" t="s">
        <v>2096</v>
      </c>
      <c r="D2543" s="4" t="s">
        <v>4764</v>
      </c>
      <c r="E2543" s="4" t="s">
        <v>4996</v>
      </c>
      <c r="F2543" s="4" t="s">
        <v>4991</v>
      </c>
      <c r="G2543" s="4" t="s">
        <v>4992</v>
      </c>
      <c r="H2543" s="4" t="s">
        <v>2183</v>
      </c>
      <c r="I2543" s="4" t="s">
        <v>2100</v>
      </c>
      <c r="J2543" s="4" t="s">
        <v>4993</v>
      </c>
      <c r="K2543">
        <v>12</v>
      </c>
      <c r="L2543">
        <v>3.6</v>
      </c>
      <c r="M2543">
        <v>20</v>
      </c>
      <c r="N2543">
        <v>250</v>
      </c>
      <c r="O2543">
        <v>141.73228346456693</v>
      </c>
      <c r="P2543">
        <v>0.78740157480314965</v>
      </c>
      <c r="Q2543">
        <v>9.8425196850393704</v>
      </c>
      <c r="R2543">
        <v>656.16800000000001</v>
      </c>
      <c r="S2543">
        <v>1.7999999999999999E-2</v>
      </c>
      <c r="T2543" s="4" t="s">
        <v>4994</v>
      </c>
    </row>
    <row r="2544" spans="1:20" x14ac:dyDescent="0.2">
      <c r="A2544" s="4" t="s">
        <v>4988</v>
      </c>
      <c r="B2544" s="4" t="s">
        <v>4989</v>
      </c>
      <c r="C2544" s="4" t="s">
        <v>2096</v>
      </c>
      <c r="D2544" s="4" t="s">
        <v>4764</v>
      </c>
      <c r="E2544" s="4" t="s">
        <v>4997</v>
      </c>
      <c r="F2544" s="4" t="s">
        <v>4991</v>
      </c>
      <c r="G2544" s="4" t="s">
        <v>4992</v>
      </c>
      <c r="H2544" s="4" t="s">
        <v>2183</v>
      </c>
      <c r="I2544" s="4" t="s">
        <v>2100</v>
      </c>
      <c r="J2544" s="4" t="s">
        <v>4993</v>
      </c>
      <c r="K2544">
        <v>13</v>
      </c>
      <c r="L2544">
        <v>3.9</v>
      </c>
      <c r="M2544">
        <v>20</v>
      </c>
      <c r="N2544">
        <v>250</v>
      </c>
      <c r="O2544">
        <v>153.54330708661416</v>
      </c>
      <c r="P2544">
        <v>0.78740157480314965</v>
      </c>
      <c r="Q2544">
        <v>9.8425196850393704</v>
      </c>
      <c r="R2544">
        <v>656.16800000000001</v>
      </c>
      <c r="S2544">
        <v>1.95E-2</v>
      </c>
      <c r="T2544" s="4" t="s">
        <v>4994</v>
      </c>
    </row>
    <row r="2545" spans="1:20" x14ac:dyDescent="0.2">
      <c r="A2545" s="4" t="s">
        <v>4988</v>
      </c>
      <c r="B2545" s="4" t="s">
        <v>4989</v>
      </c>
      <c r="C2545" s="4" t="s">
        <v>2096</v>
      </c>
      <c r="D2545" s="4" t="s">
        <v>4764</v>
      </c>
      <c r="E2545" s="4" t="s">
        <v>4998</v>
      </c>
      <c r="F2545" s="4" t="s">
        <v>4991</v>
      </c>
      <c r="G2545" s="4" t="s">
        <v>4992</v>
      </c>
      <c r="H2545" s="4" t="s">
        <v>2183</v>
      </c>
      <c r="I2545" s="4" t="s">
        <v>2100</v>
      </c>
      <c r="J2545" s="4" t="s">
        <v>4993</v>
      </c>
      <c r="K2545">
        <v>14</v>
      </c>
      <c r="L2545">
        <v>4.2</v>
      </c>
      <c r="M2545">
        <v>20</v>
      </c>
      <c r="N2545">
        <v>250</v>
      </c>
      <c r="O2545">
        <v>165.35433070866142</v>
      </c>
      <c r="P2545">
        <v>0.78740157480314965</v>
      </c>
      <c r="Q2545">
        <v>9.8425196850393704</v>
      </c>
      <c r="R2545">
        <v>656.16800000000001</v>
      </c>
      <c r="S2545">
        <v>2.1000000000000001E-2</v>
      </c>
      <c r="T2545" s="4" t="s">
        <v>4994</v>
      </c>
    </row>
    <row r="2546" spans="1:20" x14ac:dyDescent="0.2">
      <c r="A2546" s="4" t="s">
        <v>4988</v>
      </c>
      <c r="B2546" s="4" t="s">
        <v>4989</v>
      </c>
      <c r="C2546" s="4" t="s">
        <v>2096</v>
      </c>
      <c r="D2546" s="4" t="s">
        <v>4764</v>
      </c>
      <c r="E2546" s="4" t="s">
        <v>4999</v>
      </c>
      <c r="F2546" s="4" t="s">
        <v>4991</v>
      </c>
      <c r="G2546" s="4" t="s">
        <v>4992</v>
      </c>
      <c r="H2546" s="4" t="s">
        <v>2183</v>
      </c>
      <c r="I2546" s="4" t="s">
        <v>2100</v>
      </c>
      <c r="J2546" s="4" t="s">
        <v>4993</v>
      </c>
      <c r="K2546">
        <v>15</v>
      </c>
      <c r="L2546">
        <v>4.5</v>
      </c>
      <c r="M2546">
        <v>20</v>
      </c>
      <c r="N2546">
        <v>250</v>
      </c>
      <c r="O2546">
        <v>177.16535433070868</v>
      </c>
      <c r="P2546">
        <v>0.78740157480314965</v>
      </c>
      <c r="Q2546">
        <v>9.8425196850393704</v>
      </c>
      <c r="R2546">
        <v>656.16800000000001</v>
      </c>
      <c r="S2546">
        <v>2.2499999999999999E-2</v>
      </c>
      <c r="T2546" s="4" t="s">
        <v>4994</v>
      </c>
    </row>
    <row r="2547" spans="1:20" x14ac:dyDescent="0.2">
      <c r="A2547" s="4" t="s">
        <v>4988</v>
      </c>
      <c r="B2547" s="4" t="s">
        <v>4989</v>
      </c>
      <c r="C2547" s="4" t="s">
        <v>2096</v>
      </c>
      <c r="D2547" s="4" t="s">
        <v>4764</v>
      </c>
      <c r="E2547" s="4" t="s">
        <v>5000</v>
      </c>
      <c r="F2547" s="4" t="s">
        <v>4991</v>
      </c>
      <c r="G2547" s="4" t="s">
        <v>4992</v>
      </c>
      <c r="H2547" s="4" t="s">
        <v>2183</v>
      </c>
      <c r="I2547" s="4" t="s">
        <v>2100</v>
      </c>
      <c r="J2547" s="4" t="s">
        <v>4993</v>
      </c>
      <c r="K2547">
        <v>16</v>
      </c>
      <c r="L2547">
        <v>4.8</v>
      </c>
      <c r="M2547">
        <v>20</v>
      </c>
      <c r="N2547">
        <v>250</v>
      </c>
      <c r="O2547">
        <v>188.97637795275591</v>
      </c>
      <c r="P2547">
        <v>0.78740157480314965</v>
      </c>
      <c r="Q2547">
        <v>9.8425196850393704</v>
      </c>
      <c r="R2547">
        <v>656.16800000000001</v>
      </c>
      <c r="S2547">
        <v>2.4E-2</v>
      </c>
      <c r="T2547" s="4" t="s">
        <v>4994</v>
      </c>
    </row>
    <row r="2548" spans="1:20" x14ac:dyDescent="0.2">
      <c r="A2548" s="4" t="s">
        <v>4988</v>
      </c>
      <c r="B2548" s="4" t="s">
        <v>4989</v>
      </c>
      <c r="C2548" s="4" t="s">
        <v>2096</v>
      </c>
      <c r="D2548" s="4" t="s">
        <v>4764</v>
      </c>
      <c r="E2548" s="4" t="s">
        <v>5001</v>
      </c>
      <c r="F2548" s="4" t="s">
        <v>4991</v>
      </c>
      <c r="G2548" s="4" t="s">
        <v>4992</v>
      </c>
      <c r="H2548" s="4" t="s">
        <v>2183</v>
      </c>
      <c r="I2548" s="4" t="s">
        <v>2100</v>
      </c>
      <c r="J2548" s="4" t="s">
        <v>4993</v>
      </c>
      <c r="K2548">
        <v>17</v>
      </c>
      <c r="L2548">
        <v>5.0999999999999996</v>
      </c>
      <c r="M2548">
        <v>20</v>
      </c>
      <c r="N2548">
        <v>250</v>
      </c>
      <c r="O2548">
        <v>200.78740157480314</v>
      </c>
      <c r="P2548">
        <v>0.78740157480314965</v>
      </c>
      <c r="Q2548">
        <v>9.8425196850393704</v>
      </c>
      <c r="R2548">
        <v>656.16800000000001</v>
      </c>
      <c r="S2548">
        <v>2.5499999999999998E-2</v>
      </c>
      <c r="T2548" s="4" t="s">
        <v>4994</v>
      </c>
    </row>
    <row r="2549" spans="1:20" x14ac:dyDescent="0.2">
      <c r="A2549" s="4" t="s">
        <v>4988</v>
      </c>
      <c r="B2549" s="4" t="s">
        <v>4989</v>
      </c>
      <c r="C2549" s="4" t="s">
        <v>2096</v>
      </c>
      <c r="D2549" s="4" t="s">
        <v>4764</v>
      </c>
      <c r="E2549" s="4" t="s">
        <v>5002</v>
      </c>
      <c r="F2549" s="4" t="s">
        <v>4991</v>
      </c>
      <c r="G2549" s="4" t="s">
        <v>4992</v>
      </c>
      <c r="H2549" s="4" t="s">
        <v>2183</v>
      </c>
      <c r="I2549" s="4" t="s">
        <v>2100</v>
      </c>
      <c r="J2549" s="4" t="s">
        <v>4993</v>
      </c>
      <c r="K2549">
        <v>18</v>
      </c>
      <c r="L2549">
        <v>5.4</v>
      </c>
      <c r="M2549">
        <v>20</v>
      </c>
      <c r="N2549">
        <v>250</v>
      </c>
      <c r="O2549">
        <v>212.59842519685043</v>
      </c>
      <c r="P2549">
        <v>0.78740157480314965</v>
      </c>
      <c r="Q2549">
        <v>9.8425196850393704</v>
      </c>
      <c r="R2549">
        <v>656.16800000000001</v>
      </c>
      <c r="S2549">
        <v>2.7E-2</v>
      </c>
      <c r="T2549" s="4" t="s">
        <v>4994</v>
      </c>
    </row>
    <row r="2550" spans="1:20" x14ac:dyDescent="0.2">
      <c r="A2550" s="4" t="s">
        <v>4988</v>
      </c>
      <c r="B2550" s="4" t="s">
        <v>4989</v>
      </c>
      <c r="C2550" s="4" t="s">
        <v>2286</v>
      </c>
      <c r="D2550" s="4" t="s">
        <v>4764</v>
      </c>
      <c r="E2550" s="4" t="s">
        <v>5003</v>
      </c>
      <c r="F2550" s="4" t="s">
        <v>4991</v>
      </c>
      <c r="G2550" s="4" t="s">
        <v>4992</v>
      </c>
      <c r="H2550" s="4" t="s">
        <v>2183</v>
      </c>
      <c r="I2550" s="4" t="s">
        <v>2100</v>
      </c>
      <c r="J2550" s="4" t="s">
        <v>4993</v>
      </c>
      <c r="K2550">
        <v>4</v>
      </c>
      <c r="L2550">
        <v>1.2</v>
      </c>
      <c r="M2550">
        <v>20</v>
      </c>
      <c r="N2550">
        <v>250</v>
      </c>
      <c r="O2550">
        <v>47.244094488188978</v>
      </c>
      <c r="P2550">
        <v>0.78740157480314965</v>
      </c>
      <c r="Q2550">
        <v>9.8425196850393704</v>
      </c>
      <c r="R2550">
        <v>656.16800000000001</v>
      </c>
      <c r="S2550">
        <v>6.0000000000000001E-3</v>
      </c>
      <c r="T2550" s="4" t="s">
        <v>5004</v>
      </c>
    </row>
    <row r="2551" spans="1:20" x14ac:dyDescent="0.2">
      <c r="A2551" s="4" t="s">
        <v>4988</v>
      </c>
      <c r="B2551" s="4" t="s">
        <v>4989</v>
      </c>
      <c r="C2551" s="4" t="s">
        <v>2286</v>
      </c>
      <c r="D2551" s="4" t="s">
        <v>4764</v>
      </c>
      <c r="E2551" s="4" t="s">
        <v>5005</v>
      </c>
      <c r="F2551" s="4" t="s">
        <v>4991</v>
      </c>
      <c r="G2551" s="4" t="s">
        <v>4992</v>
      </c>
      <c r="H2551" s="4" t="s">
        <v>2183</v>
      </c>
      <c r="I2551" s="4" t="s">
        <v>2100</v>
      </c>
      <c r="J2551" s="4" t="s">
        <v>4993</v>
      </c>
      <c r="K2551">
        <v>5</v>
      </c>
      <c r="L2551">
        <v>1.5</v>
      </c>
      <c r="M2551">
        <v>20</v>
      </c>
      <c r="N2551">
        <v>250</v>
      </c>
      <c r="O2551">
        <v>59.055118110236222</v>
      </c>
      <c r="P2551">
        <v>0.78740157480314965</v>
      </c>
      <c r="Q2551">
        <v>9.8425196850393704</v>
      </c>
      <c r="R2551">
        <v>656.16800000000001</v>
      </c>
      <c r="S2551">
        <v>7.4999999999999997E-3</v>
      </c>
      <c r="T2551" s="4" t="s">
        <v>5004</v>
      </c>
    </row>
    <row r="2552" spans="1:20" x14ac:dyDescent="0.2">
      <c r="A2552" s="4" t="s">
        <v>4988</v>
      </c>
      <c r="B2552" s="4" t="s">
        <v>4989</v>
      </c>
      <c r="C2552" s="4" t="s">
        <v>2286</v>
      </c>
      <c r="D2552" s="4" t="s">
        <v>4764</v>
      </c>
      <c r="E2552" s="4" t="s">
        <v>5006</v>
      </c>
      <c r="F2552" s="4" t="s">
        <v>4991</v>
      </c>
      <c r="G2552" s="4" t="s">
        <v>4992</v>
      </c>
      <c r="H2552" s="4" t="s">
        <v>2183</v>
      </c>
      <c r="I2552" s="4" t="s">
        <v>2100</v>
      </c>
      <c r="J2552" s="4" t="s">
        <v>4993</v>
      </c>
      <c r="K2552">
        <v>6</v>
      </c>
      <c r="L2552">
        <v>1.8</v>
      </c>
      <c r="M2552">
        <v>20</v>
      </c>
      <c r="N2552">
        <v>250</v>
      </c>
      <c r="O2552">
        <v>70.866141732283467</v>
      </c>
      <c r="P2552">
        <v>0.78740157480314965</v>
      </c>
      <c r="Q2552">
        <v>9.8425196850393704</v>
      </c>
      <c r="R2552">
        <v>656.16800000000001</v>
      </c>
      <c r="S2552">
        <v>8.9999999999999993E-3</v>
      </c>
      <c r="T2552" s="4" t="s">
        <v>5004</v>
      </c>
    </row>
    <row r="2553" spans="1:20" x14ac:dyDescent="0.2">
      <c r="A2553" s="4" t="s">
        <v>4988</v>
      </c>
      <c r="B2553" s="4" t="s">
        <v>4989</v>
      </c>
      <c r="C2553" s="4" t="s">
        <v>2286</v>
      </c>
      <c r="D2553" s="4" t="s">
        <v>4764</v>
      </c>
      <c r="E2553" s="4" t="s">
        <v>5007</v>
      </c>
      <c r="F2553" s="4" t="s">
        <v>4991</v>
      </c>
      <c r="G2553" s="4" t="s">
        <v>4992</v>
      </c>
      <c r="H2553" s="4" t="s">
        <v>2183</v>
      </c>
      <c r="I2553" s="4" t="s">
        <v>2100</v>
      </c>
      <c r="J2553" s="4" t="s">
        <v>4993</v>
      </c>
      <c r="K2553">
        <v>7</v>
      </c>
      <c r="L2553">
        <v>2.1</v>
      </c>
      <c r="M2553">
        <v>20</v>
      </c>
      <c r="N2553">
        <v>250</v>
      </c>
      <c r="O2553">
        <v>82.677165354330711</v>
      </c>
      <c r="P2553">
        <v>0.78740157480314965</v>
      </c>
      <c r="Q2553">
        <v>9.8425196850393704</v>
      </c>
      <c r="R2553">
        <v>656.16800000000001</v>
      </c>
      <c r="S2553">
        <v>1.0500000000000001E-2</v>
      </c>
      <c r="T2553" s="4" t="s">
        <v>5004</v>
      </c>
    </row>
    <row r="2554" spans="1:20" x14ac:dyDescent="0.2">
      <c r="A2554" s="4" t="s">
        <v>4988</v>
      </c>
      <c r="B2554" s="4" t="s">
        <v>4989</v>
      </c>
      <c r="C2554" s="4" t="s">
        <v>2096</v>
      </c>
      <c r="D2554" s="4" t="s">
        <v>4764</v>
      </c>
      <c r="E2554" s="4" t="s">
        <v>5008</v>
      </c>
      <c r="F2554" s="4" t="s">
        <v>4991</v>
      </c>
      <c r="G2554" s="4" t="s">
        <v>4992</v>
      </c>
      <c r="H2554" s="4" t="s">
        <v>2183</v>
      </c>
      <c r="I2554" s="4" t="s">
        <v>2100</v>
      </c>
      <c r="J2554" s="4" t="s">
        <v>4993</v>
      </c>
      <c r="K2554">
        <v>8</v>
      </c>
      <c r="L2554">
        <v>2.4</v>
      </c>
      <c r="M2554">
        <v>20</v>
      </c>
      <c r="N2554">
        <v>250</v>
      </c>
      <c r="O2554">
        <v>94.488188976377955</v>
      </c>
      <c r="P2554">
        <v>0.78740157480314965</v>
      </c>
      <c r="Q2554">
        <v>9.8425196850393704</v>
      </c>
      <c r="R2554">
        <v>656.16800000000001</v>
      </c>
      <c r="S2554">
        <v>1.2E-2</v>
      </c>
      <c r="T2554" s="4" t="s">
        <v>4994</v>
      </c>
    </row>
    <row r="2555" spans="1:20" x14ac:dyDescent="0.2">
      <c r="A2555" s="4" t="s">
        <v>4988</v>
      </c>
      <c r="B2555" s="4" t="s">
        <v>4989</v>
      </c>
      <c r="C2555" s="4" t="s">
        <v>2096</v>
      </c>
      <c r="D2555" s="4" t="s">
        <v>4764</v>
      </c>
      <c r="E2555" s="4" t="s">
        <v>5009</v>
      </c>
      <c r="F2555" s="4" t="s">
        <v>4991</v>
      </c>
      <c r="G2555" s="4" t="s">
        <v>4992</v>
      </c>
      <c r="H2555" s="4" t="s">
        <v>2183</v>
      </c>
      <c r="I2555" s="4" t="s">
        <v>2100</v>
      </c>
      <c r="J2555" s="4" t="s">
        <v>4993</v>
      </c>
      <c r="K2555">
        <v>9</v>
      </c>
      <c r="L2555">
        <v>2.7</v>
      </c>
      <c r="M2555">
        <v>20</v>
      </c>
      <c r="N2555">
        <v>250</v>
      </c>
      <c r="O2555">
        <v>106.29921259842521</v>
      </c>
      <c r="P2555">
        <v>0.78740157480314965</v>
      </c>
      <c r="Q2555">
        <v>9.8425196850393704</v>
      </c>
      <c r="R2555">
        <v>656.16800000000001</v>
      </c>
      <c r="S2555">
        <v>1.35E-2</v>
      </c>
      <c r="T2555" s="4" t="s">
        <v>4994</v>
      </c>
    </row>
    <row r="2556" spans="1:20" x14ac:dyDescent="0.2">
      <c r="A2556" s="4" t="s">
        <v>4988</v>
      </c>
      <c r="B2556" s="4" t="s">
        <v>5010</v>
      </c>
      <c r="C2556" s="4" t="s">
        <v>2096</v>
      </c>
      <c r="D2556" s="4" t="s">
        <v>4764</v>
      </c>
      <c r="E2556" s="4" t="s">
        <v>5011</v>
      </c>
      <c r="F2556" s="4" t="s">
        <v>5012</v>
      </c>
      <c r="G2556" s="4" t="s">
        <v>4992</v>
      </c>
      <c r="H2556" s="4" t="s">
        <v>2183</v>
      </c>
      <c r="I2556" s="4" t="s">
        <v>2100</v>
      </c>
      <c r="J2556" s="4" t="s">
        <v>2153</v>
      </c>
      <c r="K2556">
        <v>10</v>
      </c>
      <c r="L2556">
        <v>3</v>
      </c>
      <c r="M2556">
        <v>19</v>
      </c>
      <c r="N2556">
        <v>140</v>
      </c>
      <c r="O2556">
        <v>118.11023622047244</v>
      </c>
      <c r="P2556">
        <v>0.74803149606299213</v>
      </c>
      <c r="Q2556">
        <v>5.5118110236220472</v>
      </c>
      <c r="R2556">
        <v>1233.3979999999999</v>
      </c>
      <c r="S2556">
        <v>7.980000000000001E-3</v>
      </c>
      <c r="T2556" s="4" t="s">
        <v>5013</v>
      </c>
    </row>
    <row r="2557" spans="1:20" x14ac:dyDescent="0.2">
      <c r="A2557" s="4" t="s">
        <v>4988</v>
      </c>
      <c r="B2557" s="4" t="s">
        <v>5010</v>
      </c>
      <c r="C2557" s="4" t="s">
        <v>2096</v>
      </c>
      <c r="D2557" s="4" t="s">
        <v>4764</v>
      </c>
      <c r="E2557" s="4" t="s">
        <v>5014</v>
      </c>
      <c r="F2557" s="4" t="s">
        <v>5012</v>
      </c>
      <c r="G2557" s="4" t="s">
        <v>4992</v>
      </c>
      <c r="H2557" s="4" t="s">
        <v>2183</v>
      </c>
      <c r="I2557" s="4" t="s">
        <v>2100</v>
      </c>
      <c r="J2557" s="4" t="s">
        <v>2153</v>
      </c>
      <c r="K2557">
        <v>11</v>
      </c>
      <c r="L2557">
        <v>3.3</v>
      </c>
      <c r="M2557">
        <v>19</v>
      </c>
      <c r="N2557">
        <v>140</v>
      </c>
      <c r="O2557">
        <v>129.92125984251967</v>
      </c>
      <c r="P2557">
        <v>0.74803149606299213</v>
      </c>
      <c r="Q2557">
        <v>5.5118110236220472</v>
      </c>
      <c r="R2557">
        <v>1233.3979999999999</v>
      </c>
      <c r="S2557">
        <v>8.7779999999999993E-3</v>
      </c>
      <c r="T2557" s="4" t="s">
        <v>5013</v>
      </c>
    </row>
    <row r="2558" spans="1:20" x14ac:dyDescent="0.2">
      <c r="A2558" s="4" t="s">
        <v>4988</v>
      </c>
      <c r="B2558" s="4" t="s">
        <v>5010</v>
      </c>
      <c r="C2558" s="4" t="s">
        <v>2096</v>
      </c>
      <c r="D2558" s="4" t="s">
        <v>4764</v>
      </c>
      <c r="E2558" s="4" t="s">
        <v>5015</v>
      </c>
      <c r="F2558" s="4" t="s">
        <v>5012</v>
      </c>
      <c r="G2558" s="4" t="s">
        <v>4992</v>
      </c>
      <c r="H2558" s="4" t="s">
        <v>2183</v>
      </c>
      <c r="I2558" s="4" t="s">
        <v>2100</v>
      </c>
      <c r="J2558" s="4" t="s">
        <v>2153</v>
      </c>
      <c r="K2558">
        <v>12</v>
      </c>
      <c r="L2558">
        <v>3.6</v>
      </c>
      <c r="M2558">
        <v>19</v>
      </c>
      <c r="N2558">
        <v>140</v>
      </c>
      <c r="O2558">
        <v>141.73228346456693</v>
      </c>
      <c r="P2558">
        <v>0.74803149606299213</v>
      </c>
      <c r="Q2558">
        <v>5.5118110236220472</v>
      </c>
      <c r="R2558">
        <v>1233.3979999999999</v>
      </c>
      <c r="S2558">
        <v>9.5760000000000012E-3</v>
      </c>
      <c r="T2558" s="4" t="s">
        <v>5013</v>
      </c>
    </row>
    <row r="2559" spans="1:20" x14ac:dyDescent="0.2">
      <c r="A2559" s="4" t="s">
        <v>4988</v>
      </c>
      <c r="B2559" s="4" t="s">
        <v>5010</v>
      </c>
      <c r="C2559" s="4" t="s">
        <v>2096</v>
      </c>
      <c r="D2559" s="4" t="s">
        <v>4764</v>
      </c>
      <c r="E2559" s="4" t="s">
        <v>5016</v>
      </c>
      <c r="F2559" s="4" t="s">
        <v>5012</v>
      </c>
      <c r="G2559" s="4" t="s">
        <v>4992</v>
      </c>
      <c r="H2559" s="4" t="s">
        <v>2183</v>
      </c>
      <c r="I2559" s="4" t="s">
        <v>2100</v>
      </c>
      <c r="J2559" s="4" t="s">
        <v>2153</v>
      </c>
      <c r="K2559">
        <v>13</v>
      </c>
      <c r="L2559">
        <v>3.9</v>
      </c>
      <c r="M2559">
        <v>19</v>
      </c>
      <c r="N2559">
        <v>140</v>
      </c>
      <c r="O2559">
        <v>153.54330708661416</v>
      </c>
      <c r="P2559">
        <v>0.74803149606299213</v>
      </c>
      <c r="Q2559">
        <v>5.5118110236220472</v>
      </c>
      <c r="R2559">
        <v>1233.3979999999999</v>
      </c>
      <c r="S2559">
        <v>1.0374000000000001E-2</v>
      </c>
      <c r="T2559" s="4" t="s">
        <v>5013</v>
      </c>
    </row>
    <row r="2560" spans="1:20" x14ac:dyDescent="0.2">
      <c r="A2560" s="4" t="s">
        <v>4988</v>
      </c>
      <c r="B2560" s="4" t="s">
        <v>5010</v>
      </c>
      <c r="C2560" s="4" t="s">
        <v>2096</v>
      </c>
      <c r="D2560" s="4" t="s">
        <v>4764</v>
      </c>
      <c r="E2560" s="4" t="s">
        <v>5017</v>
      </c>
      <c r="F2560" s="4" t="s">
        <v>5012</v>
      </c>
      <c r="G2560" s="4" t="s">
        <v>4992</v>
      </c>
      <c r="H2560" s="4" t="s">
        <v>2183</v>
      </c>
      <c r="I2560" s="4" t="s">
        <v>2100</v>
      </c>
      <c r="J2560" s="4" t="s">
        <v>2153</v>
      </c>
      <c r="K2560">
        <v>14</v>
      </c>
      <c r="L2560">
        <v>4.2</v>
      </c>
      <c r="M2560">
        <v>19</v>
      </c>
      <c r="N2560">
        <v>140</v>
      </c>
      <c r="O2560">
        <v>165.35433070866142</v>
      </c>
      <c r="P2560">
        <v>0.74803149606299213</v>
      </c>
      <c r="Q2560">
        <v>5.5118110236220472</v>
      </c>
      <c r="R2560">
        <v>1233.3979999999999</v>
      </c>
      <c r="S2560">
        <v>1.1172E-2</v>
      </c>
      <c r="T2560" s="4" t="s">
        <v>5013</v>
      </c>
    </row>
    <row r="2561" spans="1:20" x14ac:dyDescent="0.2">
      <c r="A2561" s="4" t="s">
        <v>4988</v>
      </c>
      <c r="B2561" s="4" t="s">
        <v>5010</v>
      </c>
      <c r="C2561" s="4" t="s">
        <v>2096</v>
      </c>
      <c r="D2561" s="4" t="s">
        <v>4764</v>
      </c>
      <c r="E2561" s="4" t="s">
        <v>5018</v>
      </c>
      <c r="F2561" s="4" t="s">
        <v>5012</v>
      </c>
      <c r="G2561" s="4" t="s">
        <v>4992</v>
      </c>
      <c r="H2561" s="4" t="s">
        <v>2183</v>
      </c>
      <c r="I2561" s="4" t="s">
        <v>2100</v>
      </c>
      <c r="J2561" s="4" t="s">
        <v>2153</v>
      </c>
      <c r="K2561">
        <v>15</v>
      </c>
      <c r="L2561">
        <v>4.5</v>
      </c>
      <c r="M2561">
        <v>19</v>
      </c>
      <c r="N2561">
        <v>140</v>
      </c>
      <c r="O2561">
        <v>177.16535433070868</v>
      </c>
      <c r="P2561">
        <v>0.74803149606299213</v>
      </c>
      <c r="Q2561">
        <v>5.5118110236220472</v>
      </c>
      <c r="R2561">
        <v>1233.3979999999999</v>
      </c>
      <c r="S2561">
        <v>1.1970000000000001E-2</v>
      </c>
      <c r="T2561" s="4" t="s">
        <v>5013</v>
      </c>
    </row>
    <row r="2562" spans="1:20" x14ac:dyDescent="0.2">
      <c r="A2562" s="4" t="s">
        <v>4988</v>
      </c>
      <c r="B2562" s="4" t="s">
        <v>5010</v>
      </c>
      <c r="C2562" s="4" t="s">
        <v>2096</v>
      </c>
      <c r="D2562" s="4" t="s">
        <v>4764</v>
      </c>
      <c r="E2562" s="4" t="s">
        <v>5019</v>
      </c>
      <c r="F2562" s="4" t="s">
        <v>5012</v>
      </c>
      <c r="G2562" s="4" t="s">
        <v>4992</v>
      </c>
      <c r="H2562" s="4" t="s">
        <v>2183</v>
      </c>
      <c r="I2562" s="4" t="s">
        <v>2100</v>
      </c>
      <c r="J2562" s="4" t="s">
        <v>2153</v>
      </c>
      <c r="K2562">
        <v>16</v>
      </c>
      <c r="L2562">
        <v>4.8</v>
      </c>
      <c r="M2562">
        <v>19</v>
      </c>
      <c r="N2562">
        <v>140</v>
      </c>
      <c r="O2562">
        <v>188.97637795275591</v>
      </c>
      <c r="P2562">
        <v>0.74803149606299213</v>
      </c>
      <c r="Q2562">
        <v>5.5118110236220472</v>
      </c>
      <c r="R2562">
        <v>1233.3979999999999</v>
      </c>
      <c r="S2562">
        <v>1.2768E-2</v>
      </c>
      <c r="T2562" s="4" t="s">
        <v>5013</v>
      </c>
    </row>
    <row r="2563" spans="1:20" x14ac:dyDescent="0.2">
      <c r="A2563" s="4" t="s">
        <v>4988</v>
      </c>
      <c r="B2563" s="4" t="s">
        <v>5010</v>
      </c>
      <c r="C2563" s="4" t="s">
        <v>2096</v>
      </c>
      <c r="D2563" s="4" t="s">
        <v>4764</v>
      </c>
      <c r="E2563" s="4" t="s">
        <v>5020</v>
      </c>
      <c r="F2563" s="4" t="s">
        <v>5012</v>
      </c>
      <c r="G2563" s="4" t="s">
        <v>4992</v>
      </c>
      <c r="H2563" s="4" t="s">
        <v>2183</v>
      </c>
      <c r="I2563" s="4" t="s">
        <v>2100</v>
      </c>
      <c r="J2563" s="4" t="s">
        <v>2153</v>
      </c>
      <c r="K2563">
        <v>17</v>
      </c>
      <c r="L2563">
        <v>5.0999999999999996</v>
      </c>
      <c r="M2563">
        <v>19</v>
      </c>
      <c r="N2563">
        <v>140</v>
      </c>
      <c r="O2563">
        <v>200.78740157480314</v>
      </c>
      <c r="P2563">
        <v>0.74803149606299213</v>
      </c>
      <c r="Q2563">
        <v>5.5118110236220472</v>
      </c>
      <c r="R2563">
        <v>1233.3979999999999</v>
      </c>
      <c r="S2563">
        <v>1.3565999999999998E-2</v>
      </c>
      <c r="T2563" s="4" t="s">
        <v>5013</v>
      </c>
    </row>
    <row r="2564" spans="1:20" x14ac:dyDescent="0.2">
      <c r="A2564" s="4" t="s">
        <v>4988</v>
      </c>
      <c r="B2564" s="4" t="s">
        <v>5010</v>
      </c>
      <c r="C2564" s="4" t="s">
        <v>2096</v>
      </c>
      <c r="D2564" s="4" t="s">
        <v>4764</v>
      </c>
      <c r="E2564" s="4" t="s">
        <v>5021</v>
      </c>
      <c r="F2564" s="4" t="s">
        <v>5012</v>
      </c>
      <c r="G2564" s="4" t="s">
        <v>4992</v>
      </c>
      <c r="H2564" s="4" t="s">
        <v>2183</v>
      </c>
      <c r="I2564" s="4" t="s">
        <v>2100</v>
      </c>
      <c r="J2564" s="4" t="s">
        <v>2153</v>
      </c>
      <c r="K2564">
        <v>18</v>
      </c>
      <c r="L2564">
        <v>5.4</v>
      </c>
      <c r="M2564">
        <v>19</v>
      </c>
      <c r="N2564">
        <v>140</v>
      </c>
      <c r="O2564">
        <v>212.59842519685043</v>
      </c>
      <c r="P2564">
        <v>0.74803149606299213</v>
      </c>
      <c r="Q2564">
        <v>5.5118110236220472</v>
      </c>
      <c r="R2564">
        <v>1233.3979999999999</v>
      </c>
      <c r="S2564">
        <v>1.4364E-2</v>
      </c>
      <c r="T2564" s="4" t="s">
        <v>5013</v>
      </c>
    </row>
    <row r="2565" spans="1:20" x14ac:dyDescent="0.2">
      <c r="A2565" s="4" t="s">
        <v>4988</v>
      </c>
      <c r="B2565" s="4" t="s">
        <v>5010</v>
      </c>
      <c r="C2565" s="4" t="s">
        <v>2286</v>
      </c>
      <c r="D2565" s="4" t="s">
        <v>4764</v>
      </c>
      <c r="E2565" s="4" t="s">
        <v>5022</v>
      </c>
      <c r="F2565" s="4" t="s">
        <v>5012</v>
      </c>
      <c r="G2565" s="4" t="s">
        <v>4992</v>
      </c>
      <c r="H2565" s="4" t="s">
        <v>2183</v>
      </c>
      <c r="I2565" s="4" t="s">
        <v>2100</v>
      </c>
      <c r="J2565" s="4" t="s">
        <v>2153</v>
      </c>
      <c r="K2565">
        <v>4</v>
      </c>
      <c r="L2565">
        <v>1.2</v>
      </c>
      <c r="M2565">
        <v>19</v>
      </c>
      <c r="N2565">
        <v>140</v>
      </c>
      <c r="O2565">
        <v>47.244094488188978</v>
      </c>
      <c r="P2565">
        <v>0.74803149606299213</v>
      </c>
      <c r="Q2565">
        <v>5.5118110236220472</v>
      </c>
      <c r="R2565">
        <v>1233.3979999999999</v>
      </c>
      <c r="S2565">
        <v>3.192E-3</v>
      </c>
      <c r="T2565" s="4" t="s">
        <v>5023</v>
      </c>
    </row>
    <row r="2566" spans="1:20" x14ac:dyDescent="0.2">
      <c r="A2566" s="4" t="s">
        <v>4988</v>
      </c>
      <c r="B2566" s="4" t="s">
        <v>5010</v>
      </c>
      <c r="C2566" s="4" t="s">
        <v>2286</v>
      </c>
      <c r="D2566" s="4" t="s">
        <v>4764</v>
      </c>
      <c r="E2566" s="4" t="s">
        <v>5024</v>
      </c>
      <c r="F2566" s="4" t="s">
        <v>5012</v>
      </c>
      <c r="G2566" s="4" t="s">
        <v>4992</v>
      </c>
      <c r="H2566" s="4" t="s">
        <v>2183</v>
      </c>
      <c r="I2566" s="4" t="s">
        <v>2100</v>
      </c>
      <c r="J2566" s="4" t="s">
        <v>2153</v>
      </c>
      <c r="K2566">
        <v>5</v>
      </c>
      <c r="L2566">
        <v>1.5</v>
      </c>
      <c r="M2566">
        <v>19</v>
      </c>
      <c r="N2566">
        <v>140</v>
      </c>
      <c r="O2566">
        <v>59.055118110236222</v>
      </c>
      <c r="P2566">
        <v>0.74803149606299213</v>
      </c>
      <c r="Q2566">
        <v>5.5118110236220472</v>
      </c>
      <c r="R2566">
        <v>1233.3979999999999</v>
      </c>
      <c r="S2566">
        <v>3.9900000000000005E-3</v>
      </c>
      <c r="T2566" s="4" t="s">
        <v>5023</v>
      </c>
    </row>
    <row r="2567" spans="1:20" x14ac:dyDescent="0.2">
      <c r="A2567" s="4" t="s">
        <v>4988</v>
      </c>
      <c r="B2567" s="4" t="s">
        <v>5010</v>
      </c>
      <c r="C2567" s="4" t="s">
        <v>2286</v>
      </c>
      <c r="D2567" s="4" t="s">
        <v>4764</v>
      </c>
      <c r="E2567" s="4" t="s">
        <v>5025</v>
      </c>
      <c r="F2567" s="4" t="s">
        <v>5012</v>
      </c>
      <c r="G2567" s="4" t="s">
        <v>4992</v>
      </c>
      <c r="H2567" s="4" t="s">
        <v>2183</v>
      </c>
      <c r="I2567" s="4" t="s">
        <v>2100</v>
      </c>
      <c r="J2567" s="4" t="s">
        <v>2153</v>
      </c>
      <c r="K2567">
        <v>6</v>
      </c>
      <c r="L2567">
        <v>1.8</v>
      </c>
      <c r="M2567">
        <v>19</v>
      </c>
      <c r="N2567">
        <v>140</v>
      </c>
      <c r="O2567">
        <v>70.866141732283467</v>
      </c>
      <c r="P2567">
        <v>0.74803149606299213</v>
      </c>
      <c r="Q2567">
        <v>5.5118110236220472</v>
      </c>
      <c r="R2567">
        <v>1233.3979999999999</v>
      </c>
      <c r="S2567">
        <v>4.7880000000000006E-3</v>
      </c>
      <c r="T2567" s="4" t="s">
        <v>5023</v>
      </c>
    </row>
    <row r="2568" spans="1:20" x14ac:dyDescent="0.2">
      <c r="A2568" s="4" t="s">
        <v>4988</v>
      </c>
      <c r="B2568" s="4" t="s">
        <v>5010</v>
      </c>
      <c r="C2568" s="4" t="s">
        <v>2286</v>
      </c>
      <c r="D2568" s="4" t="s">
        <v>4764</v>
      </c>
      <c r="E2568" s="4" t="s">
        <v>5026</v>
      </c>
      <c r="F2568" s="4" t="s">
        <v>5012</v>
      </c>
      <c r="G2568" s="4" t="s">
        <v>4992</v>
      </c>
      <c r="H2568" s="4" t="s">
        <v>2183</v>
      </c>
      <c r="I2568" s="4" t="s">
        <v>2100</v>
      </c>
      <c r="J2568" s="4" t="s">
        <v>2153</v>
      </c>
      <c r="K2568">
        <v>7</v>
      </c>
      <c r="L2568">
        <v>2.1</v>
      </c>
      <c r="M2568">
        <v>19</v>
      </c>
      <c r="N2568">
        <v>140</v>
      </c>
      <c r="O2568">
        <v>82.677165354330711</v>
      </c>
      <c r="P2568">
        <v>0.74803149606299213</v>
      </c>
      <c r="Q2568">
        <v>5.5118110236220472</v>
      </c>
      <c r="R2568">
        <v>1233.3979999999999</v>
      </c>
      <c r="S2568">
        <v>5.5859999999999998E-3</v>
      </c>
      <c r="T2568" s="4" t="s">
        <v>5023</v>
      </c>
    </row>
    <row r="2569" spans="1:20" x14ac:dyDescent="0.2">
      <c r="A2569" s="4" t="s">
        <v>4988</v>
      </c>
      <c r="B2569" s="4" t="s">
        <v>5010</v>
      </c>
      <c r="C2569" s="4" t="s">
        <v>2096</v>
      </c>
      <c r="D2569" s="4" t="s">
        <v>4764</v>
      </c>
      <c r="E2569" s="4" t="s">
        <v>5027</v>
      </c>
      <c r="F2569" s="4" t="s">
        <v>5012</v>
      </c>
      <c r="G2569" s="4" t="s">
        <v>4992</v>
      </c>
      <c r="H2569" s="4" t="s">
        <v>2183</v>
      </c>
      <c r="I2569" s="4" t="s">
        <v>2100</v>
      </c>
      <c r="J2569" s="4" t="s">
        <v>2153</v>
      </c>
      <c r="K2569">
        <v>8</v>
      </c>
      <c r="L2569">
        <v>2.4</v>
      </c>
      <c r="M2569">
        <v>19</v>
      </c>
      <c r="N2569">
        <v>140</v>
      </c>
      <c r="O2569">
        <v>94.488188976377955</v>
      </c>
      <c r="P2569">
        <v>0.74803149606299213</v>
      </c>
      <c r="Q2569">
        <v>5.5118110236220472</v>
      </c>
      <c r="R2569">
        <v>1233.3979999999999</v>
      </c>
      <c r="S2569">
        <v>6.3839999999999999E-3</v>
      </c>
      <c r="T2569" s="4" t="s">
        <v>5013</v>
      </c>
    </row>
    <row r="2570" spans="1:20" x14ac:dyDescent="0.2">
      <c r="A2570" s="4" t="s">
        <v>4988</v>
      </c>
      <c r="B2570" s="4" t="s">
        <v>5010</v>
      </c>
      <c r="C2570" s="4" t="s">
        <v>2096</v>
      </c>
      <c r="D2570" s="4" t="s">
        <v>4764</v>
      </c>
      <c r="E2570" s="4" t="s">
        <v>5028</v>
      </c>
      <c r="F2570" s="4" t="s">
        <v>5012</v>
      </c>
      <c r="G2570" s="4" t="s">
        <v>4992</v>
      </c>
      <c r="H2570" s="4" t="s">
        <v>2183</v>
      </c>
      <c r="I2570" s="4" t="s">
        <v>2100</v>
      </c>
      <c r="J2570" s="4" t="s">
        <v>2153</v>
      </c>
      <c r="K2570">
        <v>9</v>
      </c>
      <c r="L2570">
        <v>2.7</v>
      </c>
      <c r="M2570">
        <v>19</v>
      </c>
      <c r="N2570">
        <v>140</v>
      </c>
      <c r="O2570">
        <v>106.29921259842521</v>
      </c>
      <c r="P2570">
        <v>0.74803149606299213</v>
      </c>
      <c r="Q2570">
        <v>5.5118110236220472</v>
      </c>
      <c r="R2570">
        <v>1233.3979999999999</v>
      </c>
      <c r="S2570">
        <v>7.182E-3</v>
      </c>
      <c r="T2570" s="4" t="s">
        <v>5013</v>
      </c>
    </row>
    <row r="2571" spans="1:20" x14ac:dyDescent="0.2">
      <c r="A2571" s="4" t="s">
        <v>4988</v>
      </c>
      <c r="B2571" s="4" t="s">
        <v>5029</v>
      </c>
      <c r="C2571" s="4" t="s">
        <v>2096</v>
      </c>
      <c r="D2571" s="4" t="s">
        <v>4764</v>
      </c>
      <c r="E2571" s="4" t="s">
        <v>5030</v>
      </c>
      <c r="F2571" s="4" t="s">
        <v>5031</v>
      </c>
      <c r="G2571" s="4" t="s">
        <v>4992</v>
      </c>
      <c r="H2571" s="4" t="s">
        <v>2183</v>
      </c>
      <c r="I2571" s="4" t="s">
        <v>2100</v>
      </c>
      <c r="J2571" s="4" t="s">
        <v>2432</v>
      </c>
      <c r="K2571">
        <v>10</v>
      </c>
      <c r="L2571">
        <v>3</v>
      </c>
      <c r="M2571">
        <v>20</v>
      </c>
      <c r="N2571">
        <v>180</v>
      </c>
      <c r="O2571">
        <v>118.11023622047244</v>
      </c>
      <c r="P2571">
        <v>0.78740157480314965</v>
      </c>
      <c r="Q2571">
        <v>7.0866141732283472</v>
      </c>
      <c r="R2571">
        <v>911.34400000000005</v>
      </c>
      <c r="S2571">
        <v>1.0799999999999999E-2</v>
      </c>
      <c r="T2571" s="4" t="s">
        <v>5032</v>
      </c>
    </row>
    <row r="2572" spans="1:20" x14ac:dyDescent="0.2">
      <c r="A2572" s="4" t="s">
        <v>4988</v>
      </c>
      <c r="B2572" s="4" t="s">
        <v>5029</v>
      </c>
      <c r="C2572" s="4" t="s">
        <v>2096</v>
      </c>
      <c r="D2572" s="4" t="s">
        <v>4764</v>
      </c>
      <c r="E2572" s="4" t="s">
        <v>5033</v>
      </c>
      <c r="F2572" s="4" t="s">
        <v>5031</v>
      </c>
      <c r="G2572" s="4" t="s">
        <v>4992</v>
      </c>
      <c r="H2572" s="4" t="s">
        <v>2183</v>
      </c>
      <c r="I2572" s="4" t="s">
        <v>2100</v>
      </c>
      <c r="J2572" s="4" t="s">
        <v>2432</v>
      </c>
      <c r="K2572">
        <v>11</v>
      </c>
      <c r="L2572">
        <v>3.3</v>
      </c>
      <c r="M2572">
        <v>20</v>
      </c>
      <c r="N2572">
        <v>180</v>
      </c>
      <c r="O2572">
        <v>129.92125984251967</v>
      </c>
      <c r="P2572">
        <v>0.78740157480314965</v>
      </c>
      <c r="Q2572">
        <v>7.0866141732283472</v>
      </c>
      <c r="R2572">
        <v>911.34400000000005</v>
      </c>
      <c r="S2572">
        <v>1.188E-2</v>
      </c>
      <c r="T2572" s="4" t="s">
        <v>5032</v>
      </c>
    </row>
    <row r="2573" spans="1:20" x14ac:dyDescent="0.2">
      <c r="A2573" s="4" t="s">
        <v>4988</v>
      </c>
      <c r="B2573" s="4" t="s">
        <v>5029</v>
      </c>
      <c r="C2573" s="4" t="s">
        <v>2096</v>
      </c>
      <c r="D2573" s="4" t="s">
        <v>4764</v>
      </c>
      <c r="E2573" s="4" t="s">
        <v>5034</v>
      </c>
      <c r="F2573" s="4" t="s">
        <v>5031</v>
      </c>
      <c r="G2573" s="4" t="s">
        <v>4992</v>
      </c>
      <c r="H2573" s="4" t="s">
        <v>2183</v>
      </c>
      <c r="I2573" s="4" t="s">
        <v>2100</v>
      </c>
      <c r="J2573" s="4" t="s">
        <v>2432</v>
      </c>
      <c r="K2573">
        <v>12</v>
      </c>
      <c r="L2573">
        <v>3.6</v>
      </c>
      <c r="M2573">
        <v>20</v>
      </c>
      <c r="N2573">
        <v>180</v>
      </c>
      <c r="O2573">
        <v>141.73228346456693</v>
      </c>
      <c r="P2573">
        <v>0.78740157480314965</v>
      </c>
      <c r="Q2573">
        <v>7.0866141732283472</v>
      </c>
      <c r="R2573">
        <v>911.34400000000005</v>
      </c>
      <c r="S2573">
        <v>1.2959999999999999E-2</v>
      </c>
      <c r="T2573" s="4" t="s">
        <v>5032</v>
      </c>
    </row>
    <row r="2574" spans="1:20" x14ac:dyDescent="0.2">
      <c r="A2574" s="4" t="s">
        <v>4988</v>
      </c>
      <c r="B2574" s="4" t="s">
        <v>5029</v>
      </c>
      <c r="C2574" s="4" t="s">
        <v>2096</v>
      </c>
      <c r="D2574" s="4" t="s">
        <v>4764</v>
      </c>
      <c r="E2574" s="4" t="s">
        <v>5035</v>
      </c>
      <c r="F2574" s="4" t="s">
        <v>5031</v>
      </c>
      <c r="G2574" s="4" t="s">
        <v>4992</v>
      </c>
      <c r="H2574" s="4" t="s">
        <v>2183</v>
      </c>
      <c r="I2574" s="4" t="s">
        <v>2100</v>
      </c>
      <c r="J2574" s="4" t="s">
        <v>2432</v>
      </c>
      <c r="K2574">
        <v>13</v>
      </c>
      <c r="L2574">
        <v>3.9</v>
      </c>
      <c r="M2574">
        <v>20</v>
      </c>
      <c r="N2574">
        <v>180</v>
      </c>
      <c r="O2574">
        <v>153.54330708661416</v>
      </c>
      <c r="P2574">
        <v>0.78740157480314965</v>
      </c>
      <c r="Q2574">
        <v>7.0866141732283472</v>
      </c>
      <c r="R2574">
        <v>911.34400000000005</v>
      </c>
      <c r="S2574">
        <v>1.4039999999999999E-2</v>
      </c>
      <c r="T2574" s="4" t="s">
        <v>5032</v>
      </c>
    </row>
    <row r="2575" spans="1:20" x14ac:dyDescent="0.2">
      <c r="A2575" s="4" t="s">
        <v>4988</v>
      </c>
      <c r="B2575" s="4" t="s">
        <v>5029</v>
      </c>
      <c r="C2575" s="4" t="s">
        <v>2096</v>
      </c>
      <c r="D2575" s="4" t="s">
        <v>4764</v>
      </c>
      <c r="E2575" s="4" t="s">
        <v>5036</v>
      </c>
      <c r="F2575" s="4" t="s">
        <v>5031</v>
      </c>
      <c r="G2575" s="4" t="s">
        <v>4992</v>
      </c>
      <c r="H2575" s="4" t="s">
        <v>2183</v>
      </c>
      <c r="I2575" s="4" t="s">
        <v>2100</v>
      </c>
      <c r="J2575" s="4" t="s">
        <v>2432</v>
      </c>
      <c r="K2575">
        <v>14</v>
      </c>
      <c r="L2575">
        <v>4.2</v>
      </c>
      <c r="M2575">
        <v>20</v>
      </c>
      <c r="N2575">
        <v>180</v>
      </c>
      <c r="O2575">
        <v>165.35433070866142</v>
      </c>
      <c r="P2575">
        <v>0.78740157480314965</v>
      </c>
      <c r="Q2575">
        <v>7.0866141732283472</v>
      </c>
      <c r="R2575">
        <v>911.34400000000005</v>
      </c>
      <c r="S2575">
        <v>1.5120000000000001E-2</v>
      </c>
      <c r="T2575" s="4" t="s">
        <v>5032</v>
      </c>
    </row>
    <row r="2576" spans="1:20" x14ac:dyDescent="0.2">
      <c r="A2576" s="4" t="s">
        <v>4988</v>
      </c>
      <c r="B2576" s="4" t="s">
        <v>5029</v>
      </c>
      <c r="C2576" s="4" t="s">
        <v>2096</v>
      </c>
      <c r="D2576" s="4" t="s">
        <v>4764</v>
      </c>
      <c r="E2576" s="4" t="s">
        <v>5037</v>
      </c>
      <c r="F2576" s="4" t="s">
        <v>5031</v>
      </c>
      <c r="G2576" s="4" t="s">
        <v>4992</v>
      </c>
      <c r="H2576" s="4" t="s">
        <v>2183</v>
      </c>
      <c r="I2576" s="4" t="s">
        <v>2100</v>
      </c>
      <c r="J2576" s="4" t="s">
        <v>2432</v>
      </c>
      <c r="K2576">
        <v>15</v>
      </c>
      <c r="L2576">
        <v>4.5</v>
      </c>
      <c r="M2576">
        <v>20</v>
      </c>
      <c r="N2576">
        <v>180</v>
      </c>
      <c r="O2576">
        <v>177.16535433070868</v>
      </c>
      <c r="P2576">
        <v>0.78740157480314965</v>
      </c>
      <c r="Q2576">
        <v>7.0866141732283472</v>
      </c>
      <c r="R2576">
        <v>911.34400000000005</v>
      </c>
      <c r="S2576">
        <v>1.6199999999999999E-2</v>
      </c>
      <c r="T2576" s="4" t="s">
        <v>5032</v>
      </c>
    </row>
    <row r="2577" spans="1:20" x14ac:dyDescent="0.2">
      <c r="A2577" s="4" t="s">
        <v>4988</v>
      </c>
      <c r="B2577" s="4" t="s">
        <v>5029</v>
      </c>
      <c r="C2577" s="4" t="s">
        <v>2096</v>
      </c>
      <c r="D2577" s="4" t="s">
        <v>4764</v>
      </c>
      <c r="E2577" s="4" t="s">
        <v>5038</v>
      </c>
      <c r="F2577" s="4" t="s">
        <v>5031</v>
      </c>
      <c r="G2577" s="4" t="s">
        <v>4992</v>
      </c>
      <c r="H2577" s="4" t="s">
        <v>2183</v>
      </c>
      <c r="I2577" s="4" t="s">
        <v>2100</v>
      </c>
      <c r="J2577" s="4" t="s">
        <v>2432</v>
      </c>
      <c r="K2577">
        <v>16</v>
      </c>
      <c r="L2577">
        <v>4.8</v>
      </c>
      <c r="M2577">
        <v>20</v>
      </c>
      <c r="N2577">
        <v>180</v>
      </c>
      <c r="O2577">
        <v>188.97637795275591</v>
      </c>
      <c r="P2577">
        <v>0.78740157480314965</v>
      </c>
      <c r="Q2577">
        <v>7.0866141732283472</v>
      </c>
      <c r="R2577">
        <v>911.34400000000005</v>
      </c>
      <c r="S2577">
        <v>1.728E-2</v>
      </c>
      <c r="T2577" s="4" t="s">
        <v>5032</v>
      </c>
    </row>
    <row r="2578" spans="1:20" x14ac:dyDescent="0.2">
      <c r="A2578" s="4" t="s">
        <v>4988</v>
      </c>
      <c r="B2578" s="4" t="s">
        <v>5029</v>
      </c>
      <c r="C2578" s="4" t="s">
        <v>2096</v>
      </c>
      <c r="D2578" s="4" t="s">
        <v>4764</v>
      </c>
      <c r="E2578" s="4" t="s">
        <v>5039</v>
      </c>
      <c r="F2578" s="4" t="s">
        <v>5031</v>
      </c>
      <c r="G2578" s="4" t="s">
        <v>4992</v>
      </c>
      <c r="H2578" s="4" t="s">
        <v>2183</v>
      </c>
      <c r="I2578" s="4" t="s">
        <v>2100</v>
      </c>
      <c r="J2578" s="4" t="s">
        <v>2432</v>
      </c>
      <c r="K2578">
        <v>17</v>
      </c>
      <c r="L2578">
        <v>5.0999999999999996</v>
      </c>
      <c r="M2578">
        <v>20</v>
      </c>
      <c r="N2578">
        <v>180</v>
      </c>
      <c r="O2578">
        <v>200.78740157480314</v>
      </c>
      <c r="P2578">
        <v>0.78740157480314965</v>
      </c>
      <c r="Q2578">
        <v>7.0866141732283472</v>
      </c>
      <c r="R2578">
        <v>911.34400000000005</v>
      </c>
      <c r="S2578">
        <v>1.8359999999999998E-2</v>
      </c>
      <c r="T2578" s="4" t="s">
        <v>5032</v>
      </c>
    </row>
    <row r="2579" spans="1:20" x14ac:dyDescent="0.2">
      <c r="A2579" s="4" t="s">
        <v>4988</v>
      </c>
      <c r="B2579" s="4" t="s">
        <v>5029</v>
      </c>
      <c r="C2579" s="4" t="s">
        <v>2096</v>
      </c>
      <c r="D2579" s="4" t="s">
        <v>4764</v>
      </c>
      <c r="E2579" s="4" t="s">
        <v>5040</v>
      </c>
      <c r="F2579" s="4" t="s">
        <v>5031</v>
      </c>
      <c r="G2579" s="4" t="s">
        <v>4992</v>
      </c>
      <c r="H2579" s="4" t="s">
        <v>2183</v>
      </c>
      <c r="I2579" s="4" t="s">
        <v>2100</v>
      </c>
      <c r="J2579" s="4" t="s">
        <v>2432</v>
      </c>
      <c r="K2579">
        <v>18</v>
      </c>
      <c r="L2579">
        <v>5.4</v>
      </c>
      <c r="M2579">
        <v>20</v>
      </c>
      <c r="N2579">
        <v>180</v>
      </c>
      <c r="O2579">
        <v>212.59842519685043</v>
      </c>
      <c r="P2579">
        <v>0.78740157480314965</v>
      </c>
      <c r="Q2579">
        <v>7.0866141732283472</v>
      </c>
      <c r="R2579">
        <v>911.34400000000005</v>
      </c>
      <c r="S2579">
        <v>1.9440000000000002E-2</v>
      </c>
      <c r="T2579" s="4" t="s">
        <v>5032</v>
      </c>
    </row>
    <row r="2580" spans="1:20" x14ac:dyDescent="0.2">
      <c r="A2580" s="4" t="s">
        <v>4988</v>
      </c>
      <c r="B2580" s="4" t="s">
        <v>5029</v>
      </c>
      <c r="C2580" s="4" t="s">
        <v>2286</v>
      </c>
      <c r="D2580" s="4" t="s">
        <v>4764</v>
      </c>
      <c r="E2580" s="4" t="s">
        <v>5041</v>
      </c>
      <c r="F2580" s="4" t="s">
        <v>5031</v>
      </c>
      <c r="G2580" s="4" t="s">
        <v>4992</v>
      </c>
      <c r="H2580" s="4" t="s">
        <v>2183</v>
      </c>
      <c r="I2580" s="4" t="s">
        <v>2100</v>
      </c>
      <c r="J2580" s="4" t="s">
        <v>2432</v>
      </c>
      <c r="K2580">
        <v>4</v>
      </c>
      <c r="L2580">
        <v>1.2</v>
      </c>
      <c r="M2580">
        <v>20</v>
      </c>
      <c r="N2580">
        <v>180</v>
      </c>
      <c r="O2580">
        <v>47.244094488188978</v>
      </c>
      <c r="P2580">
        <v>0.78740157480314965</v>
      </c>
      <c r="Q2580">
        <v>7.0866141732283472</v>
      </c>
      <c r="R2580">
        <v>911.34400000000005</v>
      </c>
      <c r="S2580">
        <v>4.3200000000000001E-3</v>
      </c>
      <c r="T2580" s="4" t="s">
        <v>5042</v>
      </c>
    </row>
    <row r="2581" spans="1:20" x14ac:dyDescent="0.2">
      <c r="A2581" s="4" t="s">
        <v>4988</v>
      </c>
      <c r="B2581" s="4" t="s">
        <v>5029</v>
      </c>
      <c r="C2581" s="4" t="s">
        <v>2286</v>
      </c>
      <c r="D2581" s="4" t="s">
        <v>4764</v>
      </c>
      <c r="E2581" s="4" t="s">
        <v>5043</v>
      </c>
      <c r="F2581" s="4" t="s">
        <v>5031</v>
      </c>
      <c r="G2581" s="4" t="s">
        <v>4992</v>
      </c>
      <c r="H2581" s="4" t="s">
        <v>2183</v>
      </c>
      <c r="I2581" s="4" t="s">
        <v>2100</v>
      </c>
      <c r="J2581" s="4" t="s">
        <v>2432</v>
      </c>
      <c r="K2581">
        <v>5</v>
      </c>
      <c r="L2581">
        <v>1.5</v>
      </c>
      <c r="M2581">
        <v>20</v>
      </c>
      <c r="N2581">
        <v>180</v>
      </c>
      <c r="O2581">
        <v>59.055118110236222</v>
      </c>
      <c r="P2581">
        <v>0.78740157480314965</v>
      </c>
      <c r="Q2581">
        <v>7.0866141732283472</v>
      </c>
      <c r="R2581">
        <v>911.34400000000005</v>
      </c>
      <c r="S2581">
        <v>5.3999999999999994E-3</v>
      </c>
      <c r="T2581" s="4" t="s">
        <v>5042</v>
      </c>
    </row>
    <row r="2582" spans="1:20" x14ac:dyDescent="0.2">
      <c r="A2582" s="4" t="s">
        <v>4988</v>
      </c>
      <c r="B2582" s="4" t="s">
        <v>5029</v>
      </c>
      <c r="C2582" s="4" t="s">
        <v>2286</v>
      </c>
      <c r="D2582" s="4" t="s">
        <v>4764</v>
      </c>
      <c r="E2582" s="4" t="s">
        <v>5044</v>
      </c>
      <c r="F2582" s="4" t="s">
        <v>5031</v>
      </c>
      <c r="G2582" s="4" t="s">
        <v>4992</v>
      </c>
      <c r="H2582" s="4" t="s">
        <v>2183</v>
      </c>
      <c r="I2582" s="4" t="s">
        <v>2100</v>
      </c>
      <c r="J2582" s="4" t="s">
        <v>2432</v>
      </c>
      <c r="K2582">
        <v>6</v>
      </c>
      <c r="L2582">
        <v>1.8</v>
      </c>
      <c r="M2582">
        <v>20</v>
      </c>
      <c r="N2582">
        <v>180</v>
      </c>
      <c r="O2582">
        <v>70.866141732283467</v>
      </c>
      <c r="P2582">
        <v>0.78740157480314965</v>
      </c>
      <c r="Q2582">
        <v>7.0866141732283472</v>
      </c>
      <c r="R2582">
        <v>911.34400000000005</v>
      </c>
      <c r="S2582">
        <v>6.4799999999999996E-3</v>
      </c>
      <c r="T2582" s="4" t="s">
        <v>5042</v>
      </c>
    </row>
    <row r="2583" spans="1:20" x14ac:dyDescent="0.2">
      <c r="A2583" s="4" t="s">
        <v>4988</v>
      </c>
      <c r="B2583" s="4" t="s">
        <v>5029</v>
      </c>
      <c r="C2583" s="4" t="s">
        <v>2286</v>
      </c>
      <c r="D2583" s="4" t="s">
        <v>4764</v>
      </c>
      <c r="E2583" s="4" t="s">
        <v>5045</v>
      </c>
      <c r="F2583" s="4" t="s">
        <v>5031</v>
      </c>
      <c r="G2583" s="4" t="s">
        <v>4992</v>
      </c>
      <c r="H2583" s="4" t="s">
        <v>2183</v>
      </c>
      <c r="I2583" s="4" t="s">
        <v>2100</v>
      </c>
      <c r="J2583" s="4" t="s">
        <v>2432</v>
      </c>
      <c r="K2583">
        <v>7</v>
      </c>
      <c r="L2583">
        <v>2.1</v>
      </c>
      <c r="M2583">
        <v>20</v>
      </c>
      <c r="N2583">
        <v>180</v>
      </c>
      <c r="O2583">
        <v>82.677165354330711</v>
      </c>
      <c r="P2583">
        <v>0.78740157480314965</v>
      </c>
      <c r="Q2583">
        <v>7.0866141732283472</v>
      </c>
      <c r="R2583">
        <v>911.34400000000005</v>
      </c>
      <c r="S2583">
        <v>7.5600000000000007E-3</v>
      </c>
      <c r="T2583" s="4" t="s">
        <v>5042</v>
      </c>
    </row>
    <row r="2584" spans="1:20" x14ac:dyDescent="0.2">
      <c r="A2584" s="4" t="s">
        <v>4988</v>
      </c>
      <c r="B2584" s="4" t="s">
        <v>5029</v>
      </c>
      <c r="C2584" s="4" t="s">
        <v>2096</v>
      </c>
      <c r="D2584" s="4" t="s">
        <v>4764</v>
      </c>
      <c r="E2584" s="4" t="s">
        <v>5046</v>
      </c>
      <c r="F2584" s="4" t="s">
        <v>5031</v>
      </c>
      <c r="G2584" s="4" t="s">
        <v>4992</v>
      </c>
      <c r="H2584" s="4" t="s">
        <v>2183</v>
      </c>
      <c r="I2584" s="4" t="s">
        <v>2100</v>
      </c>
      <c r="J2584" s="4" t="s">
        <v>2432</v>
      </c>
      <c r="K2584">
        <v>8</v>
      </c>
      <c r="L2584">
        <v>2.4</v>
      </c>
      <c r="M2584">
        <v>20</v>
      </c>
      <c r="N2584">
        <v>180</v>
      </c>
      <c r="O2584">
        <v>94.488188976377955</v>
      </c>
      <c r="P2584">
        <v>0.78740157480314965</v>
      </c>
      <c r="Q2584">
        <v>7.0866141732283472</v>
      </c>
      <c r="R2584">
        <v>911.34400000000005</v>
      </c>
      <c r="S2584">
        <v>8.6400000000000001E-3</v>
      </c>
      <c r="T2584" s="4" t="s">
        <v>5032</v>
      </c>
    </row>
    <row r="2585" spans="1:20" x14ac:dyDescent="0.2">
      <c r="A2585" s="4" t="s">
        <v>4988</v>
      </c>
      <c r="B2585" s="4" t="s">
        <v>5029</v>
      </c>
      <c r="C2585" s="4" t="s">
        <v>2096</v>
      </c>
      <c r="D2585" s="4" t="s">
        <v>4764</v>
      </c>
      <c r="E2585" s="4" t="s">
        <v>5047</v>
      </c>
      <c r="F2585" s="4" t="s">
        <v>5031</v>
      </c>
      <c r="G2585" s="4" t="s">
        <v>4992</v>
      </c>
      <c r="H2585" s="4" t="s">
        <v>2183</v>
      </c>
      <c r="I2585" s="4" t="s">
        <v>2100</v>
      </c>
      <c r="J2585" s="4" t="s">
        <v>2432</v>
      </c>
      <c r="K2585">
        <v>9</v>
      </c>
      <c r="L2585">
        <v>2.7</v>
      </c>
      <c r="M2585">
        <v>20</v>
      </c>
      <c r="N2585">
        <v>180</v>
      </c>
      <c r="O2585">
        <v>106.29921259842521</v>
      </c>
      <c r="P2585">
        <v>0.78740157480314965</v>
      </c>
      <c r="Q2585">
        <v>7.0866141732283472</v>
      </c>
      <c r="R2585">
        <v>911.34400000000005</v>
      </c>
      <c r="S2585">
        <v>9.7200000000000012E-3</v>
      </c>
      <c r="T2585" s="4" t="s">
        <v>5032</v>
      </c>
    </row>
    <row r="2586" spans="1:20" x14ac:dyDescent="0.2">
      <c r="A2586" s="4" t="s">
        <v>4988</v>
      </c>
      <c r="B2586" s="4" t="s">
        <v>5048</v>
      </c>
      <c r="C2586" s="4" t="s">
        <v>2096</v>
      </c>
      <c r="D2586" s="4" t="s">
        <v>4764</v>
      </c>
      <c r="E2586" s="4" t="s">
        <v>5049</v>
      </c>
      <c r="F2586" s="4" t="s">
        <v>5050</v>
      </c>
      <c r="G2586" s="4" t="s">
        <v>4992</v>
      </c>
      <c r="H2586" s="4" t="s">
        <v>2183</v>
      </c>
      <c r="I2586" s="4" t="s">
        <v>2100</v>
      </c>
      <c r="J2586" s="4" t="s">
        <v>2518</v>
      </c>
      <c r="K2586">
        <v>10</v>
      </c>
      <c r="L2586">
        <v>3</v>
      </c>
      <c r="M2586">
        <v>40</v>
      </c>
      <c r="N2586">
        <v>40</v>
      </c>
      <c r="O2586">
        <v>118.11023622047244</v>
      </c>
      <c r="P2586">
        <v>1.5748031496062993</v>
      </c>
      <c r="Q2586">
        <v>1.5748031496062993</v>
      </c>
      <c r="R2586">
        <v>2050.5250000000001</v>
      </c>
      <c r="S2586">
        <v>4.7999999999999996E-3</v>
      </c>
      <c r="T2586" s="4" t="s">
        <v>5051</v>
      </c>
    </row>
    <row r="2587" spans="1:20" x14ac:dyDescent="0.2">
      <c r="A2587" s="4" t="s">
        <v>4988</v>
      </c>
      <c r="B2587" s="4" t="s">
        <v>5048</v>
      </c>
      <c r="C2587" s="4" t="s">
        <v>2096</v>
      </c>
      <c r="D2587" s="4" t="s">
        <v>4764</v>
      </c>
      <c r="E2587" s="4" t="s">
        <v>5052</v>
      </c>
      <c r="F2587" s="4" t="s">
        <v>5050</v>
      </c>
      <c r="G2587" s="4" t="s">
        <v>4992</v>
      </c>
      <c r="H2587" s="4" t="s">
        <v>2183</v>
      </c>
      <c r="I2587" s="4" t="s">
        <v>2100</v>
      </c>
      <c r="J2587" s="4" t="s">
        <v>2518</v>
      </c>
      <c r="K2587">
        <v>11</v>
      </c>
      <c r="L2587">
        <v>3.3</v>
      </c>
      <c r="M2587">
        <v>40</v>
      </c>
      <c r="N2587">
        <v>40</v>
      </c>
      <c r="O2587">
        <v>129.92125984251967</v>
      </c>
      <c r="P2587">
        <v>1.5748031496062993</v>
      </c>
      <c r="Q2587">
        <v>1.5748031496062993</v>
      </c>
      <c r="R2587">
        <v>2050.5250000000001</v>
      </c>
      <c r="S2587">
        <v>5.28E-3</v>
      </c>
      <c r="T2587" s="4" t="s">
        <v>5051</v>
      </c>
    </row>
    <row r="2588" spans="1:20" x14ac:dyDescent="0.2">
      <c r="A2588" s="4" t="s">
        <v>4988</v>
      </c>
      <c r="B2588" s="4" t="s">
        <v>5048</v>
      </c>
      <c r="C2588" s="4" t="s">
        <v>2096</v>
      </c>
      <c r="D2588" s="4" t="s">
        <v>4764</v>
      </c>
      <c r="E2588" s="4" t="s">
        <v>5053</v>
      </c>
      <c r="F2588" s="4" t="s">
        <v>5050</v>
      </c>
      <c r="G2588" s="4" t="s">
        <v>4992</v>
      </c>
      <c r="H2588" s="4" t="s">
        <v>2183</v>
      </c>
      <c r="I2588" s="4" t="s">
        <v>2100</v>
      </c>
      <c r="J2588" s="4" t="s">
        <v>2518</v>
      </c>
      <c r="K2588">
        <v>12</v>
      </c>
      <c r="L2588">
        <v>3.6</v>
      </c>
      <c r="M2588">
        <v>40</v>
      </c>
      <c r="N2588">
        <v>40</v>
      </c>
      <c r="O2588">
        <v>141.73228346456693</v>
      </c>
      <c r="P2588">
        <v>1.5748031496062993</v>
      </c>
      <c r="Q2588">
        <v>1.5748031496062993</v>
      </c>
      <c r="R2588">
        <v>2050.5250000000001</v>
      </c>
      <c r="S2588">
        <v>5.7599999999999995E-3</v>
      </c>
      <c r="T2588" s="4" t="s">
        <v>5051</v>
      </c>
    </row>
    <row r="2589" spans="1:20" x14ac:dyDescent="0.2">
      <c r="A2589" s="4" t="s">
        <v>4988</v>
      </c>
      <c r="B2589" s="4" t="s">
        <v>5048</v>
      </c>
      <c r="C2589" s="4" t="s">
        <v>2096</v>
      </c>
      <c r="D2589" s="4" t="s">
        <v>4764</v>
      </c>
      <c r="E2589" s="4" t="s">
        <v>5054</v>
      </c>
      <c r="F2589" s="4" t="s">
        <v>5050</v>
      </c>
      <c r="G2589" s="4" t="s">
        <v>4992</v>
      </c>
      <c r="H2589" s="4" t="s">
        <v>2183</v>
      </c>
      <c r="I2589" s="4" t="s">
        <v>2100</v>
      </c>
      <c r="J2589" s="4" t="s">
        <v>2518</v>
      </c>
      <c r="K2589">
        <v>13</v>
      </c>
      <c r="L2589">
        <v>3.9</v>
      </c>
      <c r="M2589">
        <v>40</v>
      </c>
      <c r="N2589">
        <v>40</v>
      </c>
      <c r="O2589">
        <v>153.54330708661416</v>
      </c>
      <c r="P2589">
        <v>1.5748031496062993</v>
      </c>
      <c r="Q2589">
        <v>1.5748031496062993</v>
      </c>
      <c r="R2589">
        <v>2050.5250000000001</v>
      </c>
      <c r="S2589">
        <v>6.2399999999999999E-3</v>
      </c>
      <c r="T2589" s="4" t="s">
        <v>5051</v>
      </c>
    </row>
    <row r="2590" spans="1:20" x14ac:dyDescent="0.2">
      <c r="A2590" s="4" t="s">
        <v>4988</v>
      </c>
      <c r="B2590" s="4" t="s">
        <v>5048</v>
      </c>
      <c r="C2590" s="4" t="s">
        <v>2096</v>
      </c>
      <c r="D2590" s="4" t="s">
        <v>4764</v>
      </c>
      <c r="E2590" s="4" t="s">
        <v>5055</v>
      </c>
      <c r="F2590" s="4" t="s">
        <v>5050</v>
      </c>
      <c r="G2590" s="4" t="s">
        <v>4992</v>
      </c>
      <c r="H2590" s="4" t="s">
        <v>2183</v>
      </c>
      <c r="I2590" s="4" t="s">
        <v>2100</v>
      </c>
      <c r="J2590" s="4" t="s">
        <v>2518</v>
      </c>
      <c r="K2590">
        <v>14</v>
      </c>
      <c r="L2590">
        <v>4.2</v>
      </c>
      <c r="M2590">
        <v>40</v>
      </c>
      <c r="N2590">
        <v>40</v>
      </c>
      <c r="O2590">
        <v>165.35433070866142</v>
      </c>
      <c r="P2590">
        <v>1.5748031496062993</v>
      </c>
      <c r="Q2590">
        <v>1.5748031496062993</v>
      </c>
      <c r="R2590">
        <v>2050.5250000000001</v>
      </c>
      <c r="S2590">
        <v>6.7200000000000003E-3</v>
      </c>
      <c r="T2590" s="4" t="s">
        <v>5051</v>
      </c>
    </row>
    <row r="2591" spans="1:20" x14ac:dyDescent="0.2">
      <c r="A2591" s="4" t="s">
        <v>4988</v>
      </c>
      <c r="B2591" s="4" t="s">
        <v>5048</v>
      </c>
      <c r="C2591" s="4" t="s">
        <v>2096</v>
      </c>
      <c r="D2591" s="4" t="s">
        <v>4764</v>
      </c>
      <c r="E2591" s="4" t="s">
        <v>5056</v>
      </c>
      <c r="F2591" s="4" t="s">
        <v>5050</v>
      </c>
      <c r="G2591" s="4" t="s">
        <v>4992</v>
      </c>
      <c r="H2591" s="4" t="s">
        <v>2183</v>
      </c>
      <c r="I2591" s="4" t="s">
        <v>2100</v>
      </c>
      <c r="J2591" s="4" t="s">
        <v>2518</v>
      </c>
      <c r="K2591">
        <v>15</v>
      </c>
      <c r="L2591">
        <v>4.5</v>
      </c>
      <c r="M2591">
        <v>40</v>
      </c>
      <c r="N2591">
        <v>40</v>
      </c>
      <c r="O2591">
        <v>177.16535433070868</v>
      </c>
      <c r="P2591">
        <v>1.5748031496062993</v>
      </c>
      <c r="Q2591">
        <v>1.5748031496062993</v>
      </c>
      <c r="R2591">
        <v>2050.5250000000001</v>
      </c>
      <c r="S2591">
        <v>7.1999999999999989E-3</v>
      </c>
      <c r="T2591" s="4" t="s">
        <v>5051</v>
      </c>
    </row>
    <row r="2592" spans="1:20" x14ac:dyDescent="0.2">
      <c r="A2592" s="4" t="s">
        <v>4988</v>
      </c>
      <c r="B2592" s="4" t="s">
        <v>5048</v>
      </c>
      <c r="C2592" s="4" t="s">
        <v>2096</v>
      </c>
      <c r="D2592" s="4" t="s">
        <v>4764</v>
      </c>
      <c r="E2592" s="4" t="s">
        <v>5057</v>
      </c>
      <c r="F2592" s="4" t="s">
        <v>5050</v>
      </c>
      <c r="G2592" s="4" t="s">
        <v>4992</v>
      </c>
      <c r="H2592" s="4" t="s">
        <v>2183</v>
      </c>
      <c r="I2592" s="4" t="s">
        <v>2100</v>
      </c>
      <c r="J2592" s="4" t="s">
        <v>2518</v>
      </c>
      <c r="K2592">
        <v>16</v>
      </c>
      <c r="L2592">
        <v>4.8</v>
      </c>
      <c r="M2592">
        <v>40</v>
      </c>
      <c r="N2592">
        <v>40</v>
      </c>
      <c r="O2592">
        <v>188.97637795275591</v>
      </c>
      <c r="P2592">
        <v>1.5748031496062993</v>
      </c>
      <c r="Q2592">
        <v>1.5748031496062993</v>
      </c>
      <c r="R2592">
        <v>2050.5250000000001</v>
      </c>
      <c r="S2592">
        <v>7.6799999999999993E-3</v>
      </c>
      <c r="T2592" s="4" t="s">
        <v>5051</v>
      </c>
    </row>
    <row r="2593" spans="1:20" x14ac:dyDescent="0.2">
      <c r="A2593" s="4" t="s">
        <v>4988</v>
      </c>
      <c r="B2593" s="4" t="s">
        <v>5048</v>
      </c>
      <c r="C2593" s="4" t="s">
        <v>2096</v>
      </c>
      <c r="D2593" s="4" t="s">
        <v>4764</v>
      </c>
      <c r="E2593" s="4" t="s">
        <v>5058</v>
      </c>
      <c r="F2593" s="4" t="s">
        <v>5050</v>
      </c>
      <c r="G2593" s="4" t="s">
        <v>4992</v>
      </c>
      <c r="H2593" s="4" t="s">
        <v>2183</v>
      </c>
      <c r="I2593" s="4" t="s">
        <v>2100</v>
      </c>
      <c r="J2593" s="4" t="s">
        <v>2518</v>
      </c>
      <c r="K2593">
        <v>17</v>
      </c>
      <c r="L2593">
        <v>5.0999999999999996</v>
      </c>
      <c r="M2593">
        <v>40</v>
      </c>
      <c r="N2593">
        <v>40</v>
      </c>
      <c r="O2593">
        <v>200.78740157480314</v>
      </c>
      <c r="P2593">
        <v>1.5748031496062993</v>
      </c>
      <c r="Q2593">
        <v>1.5748031496062993</v>
      </c>
      <c r="R2593">
        <v>2050.5250000000001</v>
      </c>
      <c r="S2593">
        <v>8.1600000000000006E-3</v>
      </c>
      <c r="T2593" s="4" t="s">
        <v>5051</v>
      </c>
    </row>
    <row r="2594" spans="1:20" x14ac:dyDescent="0.2">
      <c r="A2594" s="4" t="s">
        <v>4988</v>
      </c>
      <c r="B2594" s="4" t="s">
        <v>5048</v>
      </c>
      <c r="C2594" s="4" t="s">
        <v>2096</v>
      </c>
      <c r="D2594" s="4" t="s">
        <v>4764</v>
      </c>
      <c r="E2594" s="4" t="s">
        <v>5059</v>
      </c>
      <c r="F2594" s="4" t="s">
        <v>5050</v>
      </c>
      <c r="G2594" s="4" t="s">
        <v>4992</v>
      </c>
      <c r="H2594" s="4" t="s">
        <v>2183</v>
      </c>
      <c r="I2594" s="4" t="s">
        <v>2100</v>
      </c>
      <c r="J2594" s="4" t="s">
        <v>2518</v>
      </c>
      <c r="K2594">
        <v>18</v>
      </c>
      <c r="L2594">
        <v>5.4</v>
      </c>
      <c r="M2594">
        <v>40</v>
      </c>
      <c r="N2594">
        <v>40</v>
      </c>
      <c r="O2594">
        <v>212.59842519685043</v>
      </c>
      <c r="P2594">
        <v>1.5748031496062993</v>
      </c>
      <c r="Q2594">
        <v>1.5748031496062993</v>
      </c>
      <c r="R2594">
        <v>2050.5250000000001</v>
      </c>
      <c r="S2594">
        <v>8.6400000000000001E-3</v>
      </c>
      <c r="T2594" s="4" t="s">
        <v>5051</v>
      </c>
    </row>
    <row r="2595" spans="1:20" x14ac:dyDescent="0.2">
      <c r="A2595" s="4" t="s">
        <v>4988</v>
      </c>
      <c r="B2595" s="4" t="s">
        <v>5048</v>
      </c>
      <c r="C2595" s="4" t="s">
        <v>2286</v>
      </c>
      <c r="D2595" s="4" t="s">
        <v>4764</v>
      </c>
      <c r="E2595" s="4" t="s">
        <v>5060</v>
      </c>
      <c r="F2595" s="4" t="s">
        <v>5050</v>
      </c>
      <c r="G2595" s="4" t="s">
        <v>4992</v>
      </c>
      <c r="H2595" s="4" t="s">
        <v>2183</v>
      </c>
      <c r="I2595" s="4" t="s">
        <v>2100</v>
      </c>
      <c r="J2595" s="4" t="s">
        <v>2518</v>
      </c>
      <c r="K2595">
        <v>4</v>
      </c>
      <c r="L2595">
        <v>1.2</v>
      </c>
      <c r="M2595">
        <v>40</v>
      </c>
      <c r="N2595">
        <v>40</v>
      </c>
      <c r="O2595">
        <v>47.244094488188978</v>
      </c>
      <c r="P2595">
        <v>1.5748031496062993</v>
      </c>
      <c r="Q2595">
        <v>1.5748031496062993</v>
      </c>
      <c r="R2595">
        <v>2050.5250000000001</v>
      </c>
      <c r="S2595">
        <v>1.9199999999999998E-3</v>
      </c>
      <c r="T2595" s="4" t="s">
        <v>5061</v>
      </c>
    </row>
    <row r="2596" spans="1:20" x14ac:dyDescent="0.2">
      <c r="A2596" s="4" t="s">
        <v>4988</v>
      </c>
      <c r="B2596" s="4" t="s">
        <v>5048</v>
      </c>
      <c r="C2596" s="4" t="s">
        <v>2286</v>
      </c>
      <c r="D2596" s="4" t="s">
        <v>4764</v>
      </c>
      <c r="E2596" s="4" t="s">
        <v>5062</v>
      </c>
      <c r="F2596" s="4" t="s">
        <v>5050</v>
      </c>
      <c r="G2596" s="4" t="s">
        <v>4992</v>
      </c>
      <c r="H2596" s="4" t="s">
        <v>2183</v>
      </c>
      <c r="I2596" s="4" t="s">
        <v>2100</v>
      </c>
      <c r="J2596" s="4" t="s">
        <v>2518</v>
      </c>
      <c r="K2596">
        <v>5</v>
      </c>
      <c r="L2596">
        <v>1.5</v>
      </c>
      <c r="M2596">
        <v>40</v>
      </c>
      <c r="N2596">
        <v>40</v>
      </c>
      <c r="O2596">
        <v>59.055118110236222</v>
      </c>
      <c r="P2596">
        <v>1.5748031496062993</v>
      </c>
      <c r="Q2596">
        <v>1.5748031496062993</v>
      </c>
      <c r="R2596">
        <v>2050.5250000000001</v>
      </c>
      <c r="S2596">
        <v>2.3999999999999998E-3</v>
      </c>
      <c r="T2596" s="4" t="s">
        <v>5061</v>
      </c>
    </row>
    <row r="2597" spans="1:20" x14ac:dyDescent="0.2">
      <c r="A2597" s="4" t="s">
        <v>4988</v>
      </c>
      <c r="B2597" s="4" t="s">
        <v>5048</v>
      </c>
      <c r="C2597" s="4" t="s">
        <v>2286</v>
      </c>
      <c r="D2597" s="4" t="s">
        <v>4764</v>
      </c>
      <c r="E2597" s="4" t="s">
        <v>5063</v>
      </c>
      <c r="F2597" s="4" t="s">
        <v>5050</v>
      </c>
      <c r="G2597" s="4" t="s">
        <v>4992</v>
      </c>
      <c r="H2597" s="4" t="s">
        <v>2183</v>
      </c>
      <c r="I2597" s="4" t="s">
        <v>2100</v>
      </c>
      <c r="J2597" s="4" t="s">
        <v>2518</v>
      </c>
      <c r="K2597">
        <v>6</v>
      </c>
      <c r="L2597">
        <v>1.8</v>
      </c>
      <c r="M2597">
        <v>40</v>
      </c>
      <c r="N2597">
        <v>40</v>
      </c>
      <c r="O2597">
        <v>70.866141732283467</v>
      </c>
      <c r="P2597">
        <v>1.5748031496062993</v>
      </c>
      <c r="Q2597">
        <v>1.5748031496062993</v>
      </c>
      <c r="R2597">
        <v>2050.5250000000001</v>
      </c>
      <c r="S2597">
        <v>2.8799999999999997E-3</v>
      </c>
      <c r="T2597" s="4" t="s">
        <v>5061</v>
      </c>
    </row>
    <row r="2598" spans="1:20" x14ac:dyDescent="0.2">
      <c r="A2598" s="4" t="s">
        <v>4988</v>
      </c>
      <c r="B2598" s="4" t="s">
        <v>5048</v>
      </c>
      <c r="C2598" s="4" t="s">
        <v>2286</v>
      </c>
      <c r="D2598" s="4" t="s">
        <v>4764</v>
      </c>
      <c r="E2598" s="4" t="s">
        <v>5064</v>
      </c>
      <c r="F2598" s="4" t="s">
        <v>5050</v>
      </c>
      <c r="G2598" s="4" t="s">
        <v>4992</v>
      </c>
      <c r="H2598" s="4" t="s">
        <v>2183</v>
      </c>
      <c r="I2598" s="4" t="s">
        <v>2100</v>
      </c>
      <c r="J2598" s="4" t="s">
        <v>2518</v>
      </c>
      <c r="K2598">
        <v>7</v>
      </c>
      <c r="L2598">
        <v>2.1</v>
      </c>
      <c r="M2598">
        <v>40</v>
      </c>
      <c r="N2598">
        <v>40</v>
      </c>
      <c r="O2598">
        <v>82.677165354330711</v>
      </c>
      <c r="P2598">
        <v>1.5748031496062993</v>
      </c>
      <c r="Q2598">
        <v>1.5748031496062993</v>
      </c>
      <c r="R2598">
        <v>2050.5250000000001</v>
      </c>
      <c r="S2598">
        <v>3.3600000000000001E-3</v>
      </c>
      <c r="T2598" s="4" t="s">
        <v>5061</v>
      </c>
    </row>
    <row r="2599" spans="1:20" x14ac:dyDescent="0.2">
      <c r="A2599" s="4" t="s">
        <v>4988</v>
      </c>
      <c r="B2599" s="4" t="s">
        <v>5048</v>
      </c>
      <c r="C2599" s="4" t="s">
        <v>2096</v>
      </c>
      <c r="D2599" s="4" t="s">
        <v>4764</v>
      </c>
      <c r="E2599" s="4" t="s">
        <v>5065</v>
      </c>
      <c r="F2599" s="4" t="s">
        <v>5050</v>
      </c>
      <c r="G2599" s="4" t="s">
        <v>4992</v>
      </c>
      <c r="H2599" s="4" t="s">
        <v>2183</v>
      </c>
      <c r="I2599" s="4" t="s">
        <v>2100</v>
      </c>
      <c r="J2599" s="4" t="s">
        <v>2518</v>
      </c>
      <c r="K2599">
        <v>8</v>
      </c>
      <c r="L2599">
        <v>2.4</v>
      </c>
      <c r="M2599">
        <v>40</v>
      </c>
      <c r="N2599">
        <v>40</v>
      </c>
      <c r="O2599">
        <v>94.488188976377955</v>
      </c>
      <c r="P2599">
        <v>1.5748031496062993</v>
      </c>
      <c r="Q2599">
        <v>1.5748031496062993</v>
      </c>
      <c r="R2599">
        <v>2050.5250000000001</v>
      </c>
      <c r="S2599">
        <v>3.8399999999999997E-3</v>
      </c>
      <c r="T2599" s="4" t="s">
        <v>5051</v>
      </c>
    </row>
    <row r="2600" spans="1:20" x14ac:dyDescent="0.2">
      <c r="A2600" s="4" t="s">
        <v>4988</v>
      </c>
      <c r="B2600" s="4" t="s">
        <v>5048</v>
      </c>
      <c r="C2600" s="4" t="s">
        <v>2096</v>
      </c>
      <c r="D2600" s="4" t="s">
        <v>4764</v>
      </c>
      <c r="E2600" s="4" t="s">
        <v>5066</v>
      </c>
      <c r="F2600" s="4" t="s">
        <v>5050</v>
      </c>
      <c r="G2600" s="4" t="s">
        <v>4992</v>
      </c>
      <c r="H2600" s="4" t="s">
        <v>2183</v>
      </c>
      <c r="I2600" s="4" t="s">
        <v>2100</v>
      </c>
      <c r="J2600" s="4" t="s">
        <v>2518</v>
      </c>
      <c r="K2600">
        <v>9</v>
      </c>
      <c r="L2600">
        <v>2.7</v>
      </c>
      <c r="M2600">
        <v>40</v>
      </c>
      <c r="N2600">
        <v>40</v>
      </c>
      <c r="O2600">
        <v>106.29921259842521</v>
      </c>
      <c r="P2600">
        <v>1.5748031496062993</v>
      </c>
      <c r="Q2600">
        <v>1.5748031496062993</v>
      </c>
      <c r="R2600">
        <v>2050.5250000000001</v>
      </c>
      <c r="S2600">
        <v>4.3200000000000001E-3</v>
      </c>
      <c r="T2600" s="4" t="s">
        <v>5051</v>
      </c>
    </row>
    <row r="2601" spans="1:20" x14ac:dyDescent="0.2">
      <c r="A2601" s="4" t="s">
        <v>4988</v>
      </c>
      <c r="B2601" s="4" t="s">
        <v>5067</v>
      </c>
      <c r="C2601" s="4" t="s">
        <v>2096</v>
      </c>
      <c r="D2601" s="4" t="s">
        <v>4764</v>
      </c>
      <c r="E2601" s="4" t="s">
        <v>5068</v>
      </c>
      <c r="F2601" s="4" t="s">
        <v>5069</v>
      </c>
      <c r="G2601" s="4" t="s">
        <v>4992</v>
      </c>
      <c r="H2601" s="4" t="s">
        <v>2183</v>
      </c>
      <c r="I2601" s="4" t="s">
        <v>2100</v>
      </c>
      <c r="J2601" s="4" t="s">
        <v>2549</v>
      </c>
      <c r="K2601">
        <v>10</v>
      </c>
      <c r="L2601">
        <v>3</v>
      </c>
      <c r="M2601">
        <v>40</v>
      </c>
      <c r="N2601">
        <v>90</v>
      </c>
      <c r="O2601">
        <v>118.11023622047244</v>
      </c>
      <c r="P2601">
        <v>1.5748031496062993</v>
      </c>
      <c r="Q2601">
        <v>3.5433070866141736</v>
      </c>
      <c r="R2601">
        <v>911.34400000000005</v>
      </c>
      <c r="S2601">
        <v>1.0799999999999999E-2</v>
      </c>
      <c r="T2601" s="4" t="s">
        <v>5070</v>
      </c>
    </row>
    <row r="2602" spans="1:20" x14ac:dyDescent="0.2">
      <c r="A2602" s="4" t="s">
        <v>4988</v>
      </c>
      <c r="B2602" s="4" t="s">
        <v>5067</v>
      </c>
      <c r="C2602" s="4" t="s">
        <v>2096</v>
      </c>
      <c r="D2602" s="4" t="s">
        <v>4764</v>
      </c>
      <c r="E2602" s="4" t="s">
        <v>5071</v>
      </c>
      <c r="F2602" s="4" t="s">
        <v>5069</v>
      </c>
      <c r="G2602" s="4" t="s">
        <v>4992</v>
      </c>
      <c r="H2602" s="4" t="s">
        <v>2183</v>
      </c>
      <c r="I2602" s="4" t="s">
        <v>2100</v>
      </c>
      <c r="J2602" s="4" t="s">
        <v>2549</v>
      </c>
      <c r="K2602">
        <v>11</v>
      </c>
      <c r="L2602">
        <v>3.3</v>
      </c>
      <c r="M2602">
        <v>40</v>
      </c>
      <c r="N2602">
        <v>90</v>
      </c>
      <c r="O2602">
        <v>129.92125984251967</v>
      </c>
      <c r="P2602">
        <v>1.5748031496062993</v>
      </c>
      <c r="Q2602">
        <v>3.5433070866141736</v>
      </c>
      <c r="R2602">
        <v>911.34400000000005</v>
      </c>
      <c r="S2602">
        <v>1.188E-2</v>
      </c>
      <c r="T2602" s="4" t="s">
        <v>5070</v>
      </c>
    </row>
    <row r="2603" spans="1:20" x14ac:dyDescent="0.2">
      <c r="A2603" s="4" t="s">
        <v>4988</v>
      </c>
      <c r="B2603" s="4" t="s">
        <v>5067</v>
      </c>
      <c r="C2603" s="4" t="s">
        <v>2096</v>
      </c>
      <c r="D2603" s="4" t="s">
        <v>4764</v>
      </c>
      <c r="E2603" s="4" t="s">
        <v>5072</v>
      </c>
      <c r="F2603" s="4" t="s">
        <v>5069</v>
      </c>
      <c r="G2603" s="4" t="s">
        <v>4992</v>
      </c>
      <c r="H2603" s="4" t="s">
        <v>2183</v>
      </c>
      <c r="I2603" s="4" t="s">
        <v>2100</v>
      </c>
      <c r="J2603" s="4" t="s">
        <v>2549</v>
      </c>
      <c r="K2603">
        <v>12</v>
      </c>
      <c r="L2603">
        <v>3.6</v>
      </c>
      <c r="M2603">
        <v>40</v>
      </c>
      <c r="N2603">
        <v>90</v>
      </c>
      <c r="O2603">
        <v>141.73228346456693</v>
      </c>
      <c r="P2603">
        <v>1.5748031496062993</v>
      </c>
      <c r="Q2603">
        <v>3.5433070866141736</v>
      </c>
      <c r="R2603">
        <v>911.34400000000005</v>
      </c>
      <c r="S2603">
        <v>1.2959999999999999E-2</v>
      </c>
      <c r="T2603" s="4" t="s">
        <v>5070</v>
      </c>
    </row>
    <row r="2604" spans="1:20" x14ac:dyDescent="0.2">
      <c r="A2604" s="4" t="s">
        <v>4988</v>
      </c>
      <c r="B2604" s="4" t="s">
        <v>5067</v>
      </c>
      <c r="C2604" s="4" t="s">
        <v>2096</v>
      </c>
      <c r="D2604" s="4" t="s">
        <v>4764</v>
      </c>
      <c r="E2604" s="4" t="s">
        <v>5073</v>
      </c>
      <c r="F2604" s="4" t="s">
        <v>5069</v>
      </c>
      <c r="G2604" s="4" t="s">
        <v>4992</v>
      </c>
      <c r="H2604" s="4" t="s">
        <v>2183</v>
      </c>
      <c r="I2604" s="4" t="s">
        <v>2100</v>
      </c>
      <c r="J2604" s="4" t="s">
        <v>2549</v>
      </c>
      <c r="K2604">
        <v>13</v>
      </c>
      <c r="L2604">
        <v>3.9</v>
      </c>
      <c r="M2604">
        <v>40</v>
      </c>
      <c r="N2604">
        <v>90</v>
      </c>
      <c r="O2604">
        <v>153.54330708661416</v>
      </c>
      <c r="P2604">
        <v>1.5748031496062993</v>
      </c>
      <c r="Q2604">
        <v>3.5433070866141736</v>
      </c>
      <c r="R2604">
        <v>911.34400000000005</v>
      </c>
      <c r="S2604">
        <v>1.4039999999999999E-2</v>
      </c>
      <c r="T2604" s="4" t="s">
        <v>5070</v>
      </c>
    </row>
    <row r="2605" spans="1:20" x14ac:dyDescent="0.2">
      <c r="A2605" s="4" t="s">
        <v>4988</v>
      </c>
      <c r="B2605" s="4" t="s">
        <v>5067</v>
      </c>
      <c r="C2605" s="4" t="s">
        <v>2096</v>
      </c>
      <c r="D2605" s="4" t="s">
        <v>4764</v>
      </c>
      <c r="E2605" s="4" t="s">
        <v>5074</v>
      </c>
      <c r="F2605" s="4" t="s">
        <v>5069</v>
      </c>
      <c r="G2605" s="4" t="s">
        <v>4992</v>
      </c>
      <c r="H2605" s="4" t="s">
        <v>2183</v>
      </c>
      <c r="I2605" s="4" t="s">
        <v>2100</v>
      </c>
      <c r="J2605" s="4" t="s">
        <v>2549</v>
      </c>
      <c r="K2605">
        <v>14</v>
      </c>
      <c r="L2605">
        <v>4.2</v>
      </c>
      <c r="M2605">
        <v>40</v>
      </c>
      <c r="N2605">
        <v>90</v>
      </c>
      <c r="O2605">
        <v>165.35433070866142</v>
      </c>
      <c r="P2605">
        <v>1.5748031496062993</v>
      </c>
      <c r="Q2605">
        <v>3.5433070866141736</v>
      </c>
      <c r="R2605">
        <v>911.34400000000005</v>
      </c>
      <c r="S2605">
        <v>1.5120000000000001E-2</v>
      </c>
      <c r="T2605" s="4" t="s">
        <v>5070</v>
      </c>
    </row>
    <row r="2606" spans="1:20" x14ac:dyDescent="0.2">
      <c r="A2606" s="4" t="s">
        <v>4988</v>
      </c>
      <c r="B2606" s="4" t="s">
        <v>5067</v>
      </c>
      <c r="C2606" s="4" t="s">
        <v>2096</v>
      </c>
      <c r="D2606" s="4" t="s">
        <v>4764</v>
      </c>
      <c r="E2606" s="4" t="s">
        <v>5075</v>
      </c>
      <c r="F2606" s="4" t="s">
        <v>5069</v>
      </c>
      <c r="G2606" s="4" t="s">
        <v>4992</v>
      </c>
      <c r="H2606" s="4" t="s">
        <v>2183</v>
      </c>
      <c r="I2606" s="4" t="s">
        <v>2100</v>
      </c>
      <c r="J2606" s="4" t="s">
        <v>2549</v>
      </c>
      <c r="K2606">
        <v>15</v>
      </c>
      <c r="L2606">
        <v>4.5</v>
      </c>
      <c r="M2606">
        <v>40</v>
      </c>
      <c r="N2606">
        <v>90</v>
      </c>
      <c r="O2606">
        <v>177.16535433070868</v>
      </c>
      <c r="P2606">
        <v>1.5748031496062993</v>
      </c>
      <c r="Q2606">
        <v>3.5433070866141736</v>
      </c>
      <c r="R2606">
        <v>911.34400000000005</v>
      </c>
      <c r="S2606">
        <v>1.6199999999999999E-2</v>
      </c>
      <c r="T2606" s="4" t="s">
        <v>5070</v>
      </c>
    </row>
    <row r="2607" spans="1:20" x14ac:dyDescent="0.2">
      <c r="A2607" s="4" t="s">
        <v>4988</v>
      </c>
      <c r="B2607" s="4" t="s">
        <v>5067</v>
      </c>
      <c r="C2607" s="4" t="s">
        <v>2096</v>
      </c>
      <c r="D2607" s="4" t="s">
        <v>4764</v>
      </c>
      <c r="E2607" s="4" t="s">
        <v>5076</v>
      </c>
      <c r="F2607" s="4" t="s">
        <v>5069</v>
      </c>
      <c r="G2607" s="4" t="s">
        <v>4992</v>
      </c>
      <c r="H2607" s="4" t="s">
        <v>2183</v>
      </c>
      <c r="I2607" s="4" t="s">
        <v>2100</v>
      </c>
      <c r="J2607" s="4" t="s">
        <v>2549</v>
      </c>
      <c r="K2607">
        <v>16</v>
      </c>
      <c r="L2607">
        <v>4.8</v>
      </c>
      <c r="M2607">
        <v>40</v>
      </c>
      <c r="N2607">
        <v>90</v>
      </c>
      <c r="O2607">
        <v>188.97637795275591</v>
      </c>
      <c r="P2607">
        <v>1.5748031496062993</v>
      </c>
      <c r="Q2607">
        <v>3.5433070866141736</v>
      </c>
      <c r="R2607">
        <v>911.34400000000005</v>
      </c>
      <c r="S2607">
        <v>1.728E-2</v>
      </c>
      <c r="T2607" s="4" t="s">
        <v>5070</v>
      </c>
    </row>
    <row r="2608" spans="1:20" x14ac:dyDescent="0.2">
      <c r="A2608" s="4" t="s">
        <v>4988</v>
      </c>
      <c r="B2608" s="4" t="s">
        <v>5067</v>
      </c>
      <c r="C2608" s="4" t="s">
        <v>2096</v>
      </c>
      <c r="D2608" s="4" t="s">
        <v>4764</v>
      </c>
      <c r="E2608" s="4" t="s">
        <v>5077</v>
      </c>
      <c r="F2608" s="4" t="s">
        <v>5069</v>
      </c>
      <c r="G2608" s="4" t="s">
        <v>4992</v>
      </c>
      <c r="H2608" s="4" t="s">
        <v>2183</v>
      </c>
      <c r="I2608" s="4" t="s">
        <v>2100</v>
      </c>
      <c r="J2608" s="4" t="s">
        <v>2549</v>
      </c>
      <c r="K2608">
        <v>17</v>
      </c>
      <c r="L2608">
        <v>5.0999999999999996</v>
      </c>
      <c r="M2608">
        <v>40</v>
      </c>
      <c r="N2608">
        <v>90</v>
      </c>
      <c r="O2608">
        <v>200.78740157480314</v>
      </c>
      <c r="P2608">
        <v>1.5748031496062993</v>
      </c>
      <c r="Q2608">
        <v>3.5433070866141736</v>
      </c>
      <c r="R2608">
        <v>911.34400000000005</v>
      </c>
      <c r="S2608">
        <v>1.8359999999999998E-2</v>
      </c>
      <c r="T2608" s="4" t="s">
        <v>5070</v>
      </c>
    </row>
    <row r="2609" spans="1:20" x14ac:dyDescent="0.2">
      <c r="A2609" s="4" t="s">
        <v>4988</v>
      </c>
      <c r="B2609" s="4" t="s">
        <v>5067</v>
      </c>
      <c r="C2609" s="4" t="s">
        <v>2096</v>
      </c>
      <c r="D2609" s="4" t="s">
        <v>4764</v>
      </c>
      <c r="E2609" s="4" t="s">
        <v>5078</v>
      </c>
      <c r="F2609" s="4" t="s">
        <v>5069</v>
      </c>
      <c r="G2609" s="4" t="s">
        <v>4992</v>
      </c>
      <c r="H2609" s="4" t="s">
        <v>2183</v>
      </c>
      <c r="I2609" s="4" t="s">
        <v>2100</v>
      </c>
      <c r="J2609" s="4" t="s">
        <v>2549</v>
      </c>
      <c r="K2609">
        <v>18</v>
      </c>
      <c r="L2609">
        <v>5.4</v>
      </c>
      <c r="M2609">
        <v>40</v>
      </c>
      <c r="N2609">
        <v>90</v>
      </c>
      <c r="O2609">
        <v>212.59842519685043</v>
      </c>
      <c r="P2609">
        <v>1.5748031496062993</v>
      </c>
      <c r="Q2609">
        <v>3.5433070866141736</v>
      </c>
      <c r="R2609">
        <v>911.34400000000005</v>
      </c>
      <c r="S2609">
        <v>1.9440000000000002E-2</v>
      </c>
      <c r="T2609" s="4" t="s">
        <v>5070</v>
      </c>
    </row>
    <row r="2610" spans="1:20" x14ac:dyDescent="0.2">
      <c r="A2610" s="4" t="s">
        <v>4988</v>
      </c>
      <c r="B2610" s="4" t="s">
        <v>5067</v>
      </c>
      <c r="C2610" s="4" t="s">
        <v>2286</v>
      </c>
      <c r="D2610" s="4" t="s">
        <v>4764</v>
      </c>
      <c r="E2610" s="4" t="s">
        <v>5079</v>
      </c>
      <c r="F2610" s="4" t="s">
        <v>5069</v>
      </c>
      <c r="G2610" s="4" t="s">
        <v>4992</v>
      </c>
      <c r="H2610" s="4" t="s">
        <v>2183</v>
      </c>
      <c r="I2610" s="4" t="s">
        <v>2100</v>
      </c>
      <c r="J2610" s="4" t="s">
        <v>2549</v>
      </c>
      <c r="K2610">
        <v>4</v>
      </c>
      <c r="L2610">
        <v>1.2</v>
      </c>
      <c r="M2610">
        <v>40</v>
      </c>
      <c r="N2610">
        <v>90</v>
      </c>
      <c r="O2610">
        <v>47.244094488188978</v>
      </c>
      <c r="P2610">
        <v>1.5748031496062993</v>
      </c>
      <c r="Q2610">
        <v>3.5433070866141736</v>
      </c>
      <c r="R2610">
        <v>911.34400000000005</v>
      </c>
      <c r="S2610">
        <v>4.3200000000000001E-3</v>
      </c>
      <c r="T2610" s="4" t="s">
        <v>5080</v>
      </c>
    </row>
    <row r="2611" spans="1:20" x14ac:dyDescent="0.2">
      <c r="A2611" s="4" t="s">
        <v>4988</v>
      </c>
      <c r="B2611" s="4" t="s">
        <v>5067</v>
      </c>
      <c r="C2611" s="4" t="s">
        <v>2286</v>
      </c>
      <c r="D2611" s="4" t="s">
        <v>4764</v>
      </c>
      <c r="E2611" s="4" t="s">
        <v>1263</v>
      </c>
      <c r="F2611" s="4" t="s">
        <v>5069</v>
      </c>
      <c r="G2611" s="4" t="s">
        <v>4992</v>
      </c>
      <c r="H2611" s="4" t="s">
        <v>2183</v>
      </c>
      <c r="I2611" s="4" t="s">
        <v>2100</v>
      </c>
      <c r="J2611" s="4" t="s">
        <v>2549</v>
      </c>
      <c r="K2611">
        <v>5</v>
      </c>
      <c r="L2611">
        <v>1.5</v>
      </c>
      <c r="M2611">
        <v>40</v>
      </c>
      <c r="N2611">
        <v>90</v>
      </c>
      <c r="O2611">
        <v>59.055118110236222</v>
      </c>
      <c r="P2611">
        <v>1.5748031496062993</v>
      </c>
      <c r="Q2611">
        <v>3.5433070866141736</v>
      </c>
      <c r="R2611">
        <v>911.34400000000005</v>
      </c>
      <c r="S2611">
        <v>5.3999999999999994E-3</v>
      </c>
      <c r="T2611" s="4" t="s">
        <v>5080</v>
      </c>
    </row>
    <row r="2612" spans="1:20" x14ac:dyDescent="0.2">
      <c r="A2612" s="4" t="s">
        <v>4988</v>
      </c>
      <c r="B2612" s="4" t="s">
        <v>5067</v>
      </c>
      <c r="C2612" s="4" t="s">
        <v>2286</v>
      </c>
      <c r="D2612" s="4" t="s">
        <v>4764</v>
      </c>
      <c r="E2612" s="4" t="s">
        <v>1265</v>
      </c>
      <c r="F2612" s="4" t="s">
        <v>5069</v>
      </c>
      <c r="G2612" s="4" t="s">
        <v>4992</v>
      </c>
      <c r="H2612" s="4" t="s">
        <v>2183</v>
      </c>
      <c r="I2612" s="4" t="s">
        <v>2100</v>
      </c>
      <c r="J2612" s="4" t="s">
        <v>2549</v>
      </c>
      <c r="K2612">
        <v>6</v>
      </c>
      <c r="L2612">
        <v>1.8</v>
      </c>
      <c r="M2612">
        <v>40</v>
      </c>
      <c r="N2612">
        <v>90</v>
      </c>
      <c r="O2612">
        <v>70.866141732283467</v>
      </c>
      <c r="P2612">
        <v>1.5748031496062993</v>
      </c>
      <c r="Q2612">
        <v>3.5433070866141736</v>
      </c>
      <c r="R2612">
        <v>911.34400000000005</v>
      </c>
      <c r="S2612">
        <v>6.4799999999999996E-3</v>
      </c>
      <c r="T2612" s="4" t="s">
        <v>5080</v>
      </c>
    </row>
    <row r="2613" spans="1:20" x14ac:dyDescent="0.2">
      <c r="A2613" s="4" t="s">
        <v>4988</v>
      </c>
      <c r="B2613" s="4" t="s">
        <v>5067</v>
      </c>
      <c r="C2613" s="4" t="s">
        <v>2286</v>
      </c>
      <c r="D2613" s="4" t="s">
        <v>4764</v>
      </c>
      <c r="E2613" s="4" t="s">
        <v>1267</v>
      </c>
      <c r="F2613" s="4" t="s">
        <v>5069</v>
      </c>
      <c r="G2613" s="4" t="s">
        <v>4992</v>
      </c>
      <c r="H2613" s="4" t="s">
        <v>2183</v>
      </c>
      <c r="I2613" s="4" t="s">
        <v>2100</v>
      </c>
      <c r="J2613" s="4" t="s">
        <v>2549</v>
      </c>
      <c r="K2613">
        <v>7</v>
      </c>
      <c r="L2613">
        <v>2.1</v>
      </c>
      <c r="M2613">
        <v>40</v>
      </c>
      <c r="N2613">
        <v>90</v>
      </c>
      <c r="O2613">
        <v>82.677165354330711</v>
      </c>
      <c r="P2613">
        <v>1.5748031496062993</v>
      </c>
      <c r="Q2613">
        <v>3.5433070866141736</v>
      </c>
      <c r="R2613">
        <v>911.34400000000005</v>
      </c>
      <c r="S2613">
        <v>7.5600000000000007E-3</v>
      </c>
      <c r="T2613" s="4" t="s">
        <v>5080</v>
      </c>
    </row>
    <row r="2614" spans="1:20" x14ac:dyDescent="0.2">
      <c r="A2614" s="4" t="s">
        <v>4988</v>
      </c>
      <c r="B2614" s="4" t="s">
        <v>5067</v>
      </c>
      <c r="C2614" s="4" t="s">
        <v>2096</v>
      </c>
      <c r="D2614" s="4" t="s">
        <v>4764</v>
      </c>
      <c r="E2614" s="4" t="s">
        <v>5081</v>
      </c>
      <c r="F2614" s="4" t="s">
        <v>5069</v>
      </c>
      <c r="G2614" s="4" t="s">
        <v>4992</v>
      </c>
      <c r="H2614" s="4" t="s">
        <v>2183</v>
      </c>
      <c r="I2614" s="4" t="s">
        <v>2100</v>
      </c>
      <c r="J2614" s="4" t="s">
        <v>2549</v>
      </c>
      <c r="K2614">
        <v>8</v>
      </c>
      <c r="L2614">
        <v>2.4</v>
      </c>
      <c r="M2614">
        <v>40</v>
      </c>
      <c r="N2614">
        <v>90</v>
      </c>
      <c r="O2614">
        <v>94.488188976377955</v>
      </c>
      <c r="P2614">
        <v>1.5748031496062993</v>
      </c>
      <c r="Q2614">
        <v>3.5433070866141736</v>
      </c>
      <c r="R2614">
        <v>911.34400000000005</v>
      </c>
      <c r="S2614">
        <v>8.6400000000000001E-3</v>
      </c>
      <c r="T2614" s="4" t="s">
        <v>5070</v>
      </c>
    </row>
    <row r="2615" spans="1:20" x14ac:dyDescent="0.2">
      <c r="A2615" s="4" t="s">
        <v>4988</v>
      </c>
      <c r="B2615" s="4" t="s">
        <v>5067</v>
      </c>
      <c r="C2615" s="4" t="s">
        <v>2096</v>
      </c>
      <c r="D2615" s="4" t="s">
        <v>4764</v>
      </c>
      <c r="E2615" s="4" t="s">
        <v>5082</v>
      </c>
      <c r="F2615" s="4" t="s">
        <v>5069</v>
      </c>
      <c r="G2615" s="4" t="s">
        <v>4992</v>
      </c>
      <c r="H2615" s="4" t="s">
        <v>2183</v>
      </c>
      <c r="I2615" s="4" t="s">
        <v>2100</v>
      </c>
      <c r="J2615" s="4" t="s">
        <v>2549</v>
      </c>
      <c r="K2615">
        <v>9</v>
      </c>
      <c r="L2615">
        <v>2.7</v>
      </c>
      <c r="M2615">
        <v>40</v>
      </c>
      <c r="N2615">
        <v>90</v>
      </c>
      <c r="O2615">
        <v>106.29921259842521</v>
      </c>
      <c r="P2615">
        <v>1.5748031496062993</v>
      </c>
      <c r="Q2615">
        <v>3.5433070866141736</v>
      </c>
      <c r="R2615">
        <v>911.34400000000005</v>
      </c>
      <c r="S2615">
        <v>9.7200000000000012E-3</v>
      </c>
      <c r="T2615" s="4" t="s">
        <v>5070</v>
      </c>
    </row>
    <row r="2616" spans="1:20" x14ac:dyDescent="0.2">
      <c r="A2616" s="4" t="s">
        <v>4988</v>
      </c>
      <c r="B2616" s="4" t="s">
        <v>5083</v>
      </c>
      <c r="C2616" s="4" t="s">
        <v>2096</v>
      </c>
      <c r="D2616" s="4" t="s">
        <v>4764</v>
      </c>
      <c r="E2616" s="4" t="s">
        <v>5084</v>
      </c>
      <c r="F2616" s="4" t="s">
        <v>5085</v>
      </c>
      <c r="G2616" s="4" t="s">
        <v>4992</v>
      </c>
      <c r="H2616" s="4" t="s">
        <v>2183</v>
      </c>
      <c r="I2616" s="4" t="s">
        <v>2100</v>
      </c>
      <c r="J2616" s="4" t="s">
        <v>2570</v>
      </c>
      <c r="K2616">
        <v>10</v>
      </c>
      <c r="L2616">
        <v>3</v>
      </c>
      <c r="M2616">
        <v>40</v>
      </c>
      <c r="N2616">
        <v>140</v>
      </c>
      <c r="O2616">
        <v>118.11023622047244</v>
      </c>
      <c r="P2616">
        <v>1.5748031496062993</v>
      </c>
      <c r="Q2616">
        <v>5.5118110236220472</v>
      </c>
      <c r="R2616">
        <v>585.86400000000003</v>
      </c>
      <c r="S2616">
        <v>1.6800000000000002E-2</v>
      </c>
      <c r="T2616" s="4" t="s">
        <v>5086</v>
      </c>
    </row>
    <row r="2617" spans="1:20" x14ac:dyDescent="0.2">
      <c r="A2617" s="4" t="s">
        <v>4988</v>
      </c>
      <c r="B2617" s="4" t="s">
        <v>5083</v>
      </c>
      <c r="C2617" s="4" t="s">
        <v>2096</v>
      </c>
      <c r="D2617" s="4" t="s">
        <v>4764</v>
      </c>
      <c r="E2617" s="4" t="s">
        <v>5087</v>
      </c>
      <c r="F2617" s="4" t="s">
        <v>5085</v>
      </c>
      <c r="G2617" s="4" t="s">
        <v>4992</v>
      </c>
      <c r="H2617" s="4" t="s">
        <v>2183</v>
      </c>
      <c r="I2617" s="4" t="s">
        <v>2100</v>
      </c>
      <c r="J2617" s="4" t="s">
        <v>2570</v>
      </c>
      <c r="K2617">
        <v>11</v>
      </c>
      <c r="L2617">
        <v>3.3</v>
      </c>
      <c r="M2617">
        <v>40</v>
      </c>
      <c r="N2617">
        <v>140</v>
      </c>
      <c r="O2617">
        <v>129.92125984251967</v>
      </c>
      <c r="P2617">
        <v>1.5748031496062993</v>
      </c>
      <c r="Q2617">
        <v>5.5118110236220472</v>
      </c>
      <c r="R2617">
        <v>585.86400000000003</v>
      </c>
      <c r="S2617">
        <v>1.848E-2</v>
      </c>
      <c r="T2617" s="4" t="s">
        <v>5086</v>
      </c>
    </row>
    <row r="2618" spans="1:20" x14ac:dyDescent="0.2">
      <c r="A2618" s="4" t="s">
        <v>4988</v>
      </c>
      <c r="B2618" s="4" t="s">
        <v>5083</v>
      </c>
      <c r="C2618" s="4" t="s">
        <v>2096</v>
      </c>
      <c r="D2618" s="4" t="s">
        <v>4764</v>
      </c>
      <c r="E2618" s="4" t="s">
        <v>5088</v>
      </c>
      <c r="F2618" s="4" t="s">
        <v>5085</v>
      </c>
      <c r="G2618" s="4" t="s">
        <v>4992</v>
      </c>
      <c r="H2618" s="4" t="s">
        <v>2183</v>
      </c>
      <c r="I2618" s="4" t="s">
        <v>2100</v>
      </c>
      <c r="J2618" s="4" t="s">
        <v>2570</v>
      </c>
      <c r="K2618">
        <v>12</v>
      </c>
      <c r="L2618">
        <v>3.6</v>
      </c>
      <c r="M2618">
        <v>40</v>
      </c>
      <c r="N2618">
        <v>140</v>
      </c>
      <c r="O2618">
        <v>141.73228346456693</v>
      </c>
      <c r="P2618">
        <v>1.5748031496062993</v>
      </c>
      <c r="Q2618">
        <v>5.5118110236220472</v>
      </c>
      <c r="R2618">
        <v>585.86400000000003</v>
      </c>
      <c r="S2618">
        <v>2.0160000000000001E-2</v>
      </c>
      <c r="T2618" s="4" t="s">
        <v>5086</v>
      </c>
    </row>
    <row r="2619" spans="1:20" x14ac:dyDescent="0.2">
      <c r="A2619" s="4" t="s">
        <v>4988</v>
      </c>
      <c r="B2619" s="4" t="s">
        <v>5083</v>
      </c>
      <c r="C2619" s="4" t="s">
        <v>2096</v>
      </c>
      <c r="D2619" s="4" t="s">
        <v>4764</v>
      </c>
      <c r="E2619" s="4" t="s">
        <v>5089</v>
      </c>
      <c r="F2619" s="4" t="s">
        <v>5085</v>
      </c>
      <c r="G2619" s="4" t="s">
        <v>4992</v>
      </c>
      <c r="H2619" s="4" t="s">
        <v>2183</v>
      </c>
      <c r="I2619" s="4" t="s">
        <v>2100</v>
      </c>
      <c r="J2619" s="4" t="s">
        <v>2570</v>
      </c>
      <c r="K2619">
        <v>13</v>
      </c>
      <c r="L2619">
        <v>3.9</v>
      </c>
      <c r="M2619">
        <v>40</v>
      </c>
      <c r="N2619">
        <v>140</v>
      </c>
      <c r="O2619">
        <v>153.54330708661416</v>
      </c>
      <c r="P2619">
        <v>1.5748031496062993</v>
      </c>
      <c r="Q2619">
        <v>5.5118110236220472</v>
      </c>
      <c r="R2619">
        <v>585.86400000000003</v>
      </c>
      <c r="S2619">
        <v>2.1839999999999998E-2</v>
      </c>
      <c r="T2619" s="4" t="s">
        <v>5086</v>
      </c>
    </row>
    <row r="2620" spans="1:20" x14ac:dyDescent="0.2">
      <c r="A2620" s="4" t="s">
        <v>4988</v>
      </c>
      <c r="B2620" s="4" t="s">
        <v>5083</v>
      </c>
      <c r="C2620" s="4" t="s">
        <v>2096</v>
      </c>
      <c r="D2620" s="4" t="s">
        <v>4764</v>
      </c>
      <c r="E2620" s="4" t="s">
        <v>5090</v>
      </c>
      <c r="F2620" s="4" t="s">
        <v>5085</v>
      </c>
      <c r="G2620" s="4" t="s">
        <v>4992</v>
      </c>
      <c r="H2620" s="4" t="s">
        <v>2183</v>
      </c>
      <c r="I2620" s="4" t="s">
        <v>2100</v>
      </c>
      <c r="J2620" s="4" t="s">
        <v>2570</v>
      </c>
      <c r="K2620">
        <v>14</v>
      </c>
      <c r="L2620">
        <v>4.2</v>
      </c>
      <c r="M2620">
        <v>40</v>
      </c>
      <c r="N2620">
        <v>140</v>
      </c>
      <c r="O2620">
        <v>165.35433070866142</v>
      </c>
      <c r="P2620">
        <v>1.5748031496062993</v>
      </c>
      <c r="Q2620">
        <v>5.5118110236220472</v>
      </c>
      <c r="R2620">
        <v>585.86400000000003</v>
      </c>
      <c r="S2620">
        <v>2.3520000000000003E-2</v>
      </c>
      <c r="T2620" s="4" t="s">
        <v>5086</v>
      </c>
    </row>
    <row r="2621" spans="1:20" x14ac:dyDescent="0.2">
      <c r="A2621" s="4" t="s">
        <v>4988</v>
      </c>
      <c r="B2621" s="4" t="s">
        <v>5083</v>
      </c>
      <c r="C2621" s="4" t="s">
        <v>2096</v>
      </c>
      <c r="D2621" s="4" t="s">
        <v>4764</v>
      </c>
      <c r="E2621" s="4" t="s">
        <v>5091</v>
      </c>
      <c r="F2621" s="4" t="s">
        <v>5085</v>
      </c>
      <c r="G2621" s="4" t="s">
        <v>4992</v>
      </c>
      <c r="H2621" s="4" t="s">
        <v>2183</v>
      </c>
      <c r="I2621" s="4" t="s">
        <v>2100</v>
      </c>
      <c r="J2621" s="4" t="s">
        <v>2570</v>
      </c>
      <c r="K2621">
        <v>15</v>
      </c>
      <c r="L2621">
        <v>4.5</v>
      </c>
      <c r="M2621">
        <v>40</v>
      </c>
      <c r="N2621">
        <v>140</v>
      </c>
      <c r="O2621">
        <v>177.16535433070868</v>
      </c>
      <c r="P2621">
        <v>1.5748031496062993</v>
      </c>
      <c r="Q2621">
        <v>5.5118110236220472</v>
      </c>
      <c r="R2621">
        <v>585.86400000000003</v>
      </c>
      <c r="S2621">
        <v>2.52E-2</v>
      </c>
      <c r="T2621" s="4" t="s">
        <v>5086</v>
      </c>
    </row>
    <row r="2622" spans="1:20" x14ac:dyDescent="0.2">
      <c r="A2622" s="4" t="s">
        <v>4988</v>
      </c>
      <c r="B2622" s="4" t="s">
        <v>5083</v>
      </c>
      <c r="C2622" s="4" t="s">
        <v>2096</v>
      </c>
      <c r="D2622" s="4" t="s">
        <v>4764</v>
      </c>
      <c r="E2622" s="4" t="s">
        <v>5092</v>
      </c>
      <c r="F2622" s="4" t="s">
        <v>5085</v>
      </c>
      <c r="G2622" s="4" t="s">
        <v>4992</v>
      </c>
      <c r="H2622" s="4" t="s">
        <v>2183</v>
      </c>
      <c r="I2622" s="4" t="s">
        <v>2100</v>
      </c>
      <c r="J2622" s="4" t="s">
        <v>2570</v>
      </c>
      <c r="K2622">
        <v>16</v>
      </c>
      <c r="L2622">
        <v>4.8</v>
      </c>
      <c r="M2622">
        <v>40</v>
      </c>
      <c r="N2622">
        <v>140</v>
      </c>
      <c r="O2622">
        <v>188.97637795275591</v>
      </c>
      <c r="P2622">
        <v>1.5748031496062993</v>
      </c>
      <c r="Q2622">
        <v>5.5118110236220472</v>
      </c>
      <c r="R2622">
        <v>585.86400000000003</v>
      </c>
      <c r="S2622">
        <v>2.6879999999999998E-2</v>
      </c>
      <c r="T2622" s="4" t="s">
        <v>5086</v>
      </c>
    </row>
    <row r="2623" spans="1:20" x14ac:dyDescent="0.2">
      <c r="A2623" s="4" t="s">
        <v>4988</v>
      </c>
      <c r="B2623" s="4" t="s">
        <v>5083</v>
      </c>
      <c r="C2623" s="4" t="s">
        <v>2096</v>
      </c>
      <c r="D2623" s="4" t="s">
        <v>4764</v>
      </c>
      <c r="E2623" s="4" t="s">
        <v>5093</v>
      </c>
      <c r="F2623" s="4" t="s">
        <v>5085</v>
      </c>
      <c r="G2623" s="4" t="s">
        <v>4992</v>
      </c>
      <c r="H2623" s="4" t="s">
        <v>2183</v>
      </c>
      <c r="I2623" s="4" t="s">
        <v>2100</v>
      </c>
      <c r="J2623" s="4" t="s">
        <v>2570</v>
      </c>
      <c r="K2623">
        <v>17</v>
      </c>
      <c r="L2623">
        <v>5.0999999999999996</v>
      </c>
      <c r="M2623">
        <v>40</v>
      </c>
      <c r="N2623">
        <v>140</v>
      </c>
      <c r="O2623">
        <v>200.78740157480314</v>
      </c>
      <c r="P2623">
        <v>1.5748031496062993</v>
      </c>
      <c r="Q2623">
        <v>5.5118110236220472</v>
      </c>
      <c r="R2623">
        <v>585.86400000000003</v>
      </c>
      <c r="S2623">
        <v>2.8559999999999999E-2</v>
      </c>
      <c r="T2623" s="4" t="s">
        <v>5086</v>
      </c>
    </row>
    <row r="2624" spans="1:20" x14ac:dyDescent="0.2">
      <c r="A2624" s="4" t="s">
        <v>4988</v>
      </c>
      <c r="B2624" s="4" t="s">
        <v>5083</v>
      </c>
      <c r="C2624" s="4" t="s">
        <v>2096</v>
      </c>
      <c r="D2624" s="4" t="s">
        <v>4764</v>
      </c>
      <c r="E2624" s="4" t="s">
        <v>5094</v>
      </c>
      <c r="F2624" s="4" t="s">
        <v>5085</v>
      </c>
      <c r="G2624" s="4" t="s">
        <v>4992</v>
      </c>
      <c r="H2624" s="4" t="s">
        <v>2183</v>
      </c>
      <c r="I2624" s="4" t="s">
        <v>2100</v>
      </c>
      <c r="J2624" s="4" t="s">
        <v>2570</v>
      </c>
      <c r="K2624">
        <v>18</v>
      </c>
      <c r="L2624">
        <v>5.4</v>
      </c>
      <c r="M2624">
        <v>40</v>
      </c>
      <c r="N2624">
        <v>140</v>
      </c>
      <c r="O2624">
        <v>212.59842519685043</v>
      </c>
      <c r="P2624">
        <v>1.5748031496062993</v>
      </c>
      <c r="Q2624">
        <v>5.5118110236220472</v>
      </c>
      <c r="R2624">
        <v>585.86400000000003</v>
      </c>
      <c r="S2624">
        <v>3.024E-2</v>
      </c>
      <c r="T2624" s="4" t="s">
        <v>5086</v>
      </c>
    </row>
    <row r="2625" spans="1:20" x14ac:dyDescent="0.2">
      <c r="A2625" s="4" t="s">
        <v>4988</v>
      </c>
      <c r="B2625" s="4" t="s">
        <v>5083</v>
      </c>
      <c r="C2625" s="4" t="s">
        <v>2286</v>
      </c>
      <c r="D2625" s="4" t="s">
        <v>4764</v>
      </c>
      <c r="E2625" s="4" t="s">
        <v>5095</v>
      </c>
      <c r="F2625" s="4" t="s">
        <v>5085</v>
      </c>
      <c r="G2625" s="4" t="s">
        <v>4992</v>
      </c>
      <c r="H2625" s="4" t="s">
        <v>2183</v>
      </c>
      <c r="I2625" s="4" t="s">
        <v>2100</v>
      </c>
      <c r="J2625" s="4" t="s">
        <v>2570</v>
      </c>
      <c r="K2625">
        <v>4</v>
      </c>
      <c r="L2625">
        <v>1.2</v>
      </c>
      <c r="M2625">
        <v>40</v>
      </c>
      <c r="N2625">
        <v>140</v>
      </c>
      <c r="O2625">
        <v>47.244094488188978</v>
      </c>
      <c r="P2625">
        <v>1.5748031496062993</v>
      </c>
      <c r="Q2625">
        <v>5.5118110236220472</v>
      </c>
      <c r="R2625">
        <v>585.86400000000003</v>
      </c>
      <c r="S2625">
        <v>6.7199999999999994E-3</v>
      </c>
      <c r="T2625" s="4" t="s">
        <v>5096</v>
      </c>
    </row>
    <row r="2626" spans="1:20" x14ac:dyDescent="0.2">
      <c r="A2626" s="4" t="s">
        <v>4988</v>
      </c>
      <c r="B2626" s="4" t="s">
        <v>5083</v>
      </c>
      <c r="C2626" s="4" t="s">
        <v>2286</v>
      </c>
      <c r="D2626" s="4" t="s">
        <v>4764</v>
      </c>
      <c r="E2626" s="4" t="s">
        <v>5097</v>
      </c>
      <c r="F2626" s="4" t="s">
        <v>5085</v>
      </c>
      <c r="G2626" s="4" t="s">
        <v>4992</v>
      </c>
      <c r="H2626" s="4" t="s">
        <v>2183</v>
      </c>
      <c r="I2626" s="4" t="s">
        <v>2100</v>
      </c>
      <c r="J2626" s="4" t="s">
        <v>2570</v>
      </c>
      <c r="K2626">
        <v>5</v>
      </c>
      <c r="L2626">
        <v>1.5</v>
      </c>
      <c r="M2626">
        <v>40</v>
      </c>
      <c r="N2626">
        <v>140</v>
      </c>
      <c r="O2626">
        <v>59.055118110236222</v>
      </c>
      <c r="P2626">
        <v>1.5748031496062993</v>
      </c>
      <c r="Q2626">
        <v>5.5118110236220472</v>
      </c>
      <c r="R2626">
        <v>585.86400000000003</v>
      </c>
      <c r="S2626">
        <v>8.4000000000000012E-3</v>
      </c>
      <c r="T2626" s="4" t="s">
        <v>5096</v>
      </c>
    </row>
    <row r="2627" spans="1:20" x14ac:dyDescent="0.2">
      <c r="A2627" s="4" t="s">
        <v>4988</v>
      </c>
      <c r="B2627" s="4" t="s">
        <v>5083</v>
      </c>
      <c r="C2627" s="4" t="s">
        <v>2286</v>
      </c>
      <c r="D2627" s="4" t="s">
        <v>4764</v>
      </c>
      <c r="E2627" s="4" t="s">
        <v>5098</v>
      </c>
      <c r="F2627" s="4" t="s">
        <v>5085</v>
      </c>
      <c r="G2627" s="4" t="s">
        <v>4992</v>
      </c>
      <c r="H2627" s="4" t="s">
        <v>2183</v>
      </c>
      <c r="I2627" s="4" t="s">
        <v>2100</v>
      </c>
      <c r="J2627" s="4" t="s">
        <v>2570</v>
      </c>
      <c r="K2627">
        <v>6</v>
      </c>
      <c r="L2627">
        <v>1.8</v>
      </c>
      <c r="M2627">
        <v>40</v>
      </c>
      <c r="N2627">
        <v>140</v>
      </c>
      <c r="O2627">
        <v>70.866141732283467</v>
      </c>
      <c r="P2627">
        <v>1.5748031496062993</v>
      </c>
      <c r="Q2627">
        <v>5.5118110236220472</v>
      </c>
      <c r="R2627">
        <v>585.86400000000003</v>
      </c>
      <c r="S2627">
        <v>1.008E-2</v>
      </c>
      <c r="T2627" s="4" t="s">
        <v>5096</v>
      </c>
    </row>
    <row r="2628" spans="1:20" x14ac:dyDescent="0.2">
      <c r="A2628" s="4" t="s">
        <v>4988</v>
      </c>
      <c r="B2628" s="4" t="s">
        <v>5083</v>
      </c>
      <c r="C2628" s="4" t="s">
        <v>2286</v>
      </c>
      <c r="D2628" s="4" t="s">
        <v>4764</v>
      </c>
      <c r="E2628" s="4" t="s">
        <v>5099</v>
      </c>
      <c r="F2628" s="4" t="s">
        <v>5085</v>
      </c>
      <c r="G2628" s="4" t="s">
        <v>4992</v>
      </c>
      <c r="H2628" s="4" t="s">
        <v>2183</v>
      </c>
      <c r="I2628" s="4" t="s">
        <v>2100</v>
      </c>
      <c r="J2628" s="4" t="s">
        <v>2570</v>
      </c>
      <c r="K2628">
        <v>7</v>
      </c>
      <c r="L2628">
        <v>2.1</v>
      </c>
      <c r="M2628">
        <v>40</v>
      </c>
      <c r="N2628">
        <v>140</v>
      </c>
      <c r="O2628">
        <v>82.677165354330711</v>
      </c>
      <c r="P2628">
        <v>1.5748031496062993</v>
      </c>
      <c r="Q2628">
        <v>5.5118110236220472</v>
      </c>
      <c r="R2628">
        <v>585.86400000000003</v>
      </c>
      <c r="S2628">
        <v>1.1760000000000001E-2</v>
      </c>
      <c r="T2628" s="4" t="s">
        <v>5096</v>
      </c>
    </row>
    <row r="2629" spans="1:20" x14ac:dyDescent="0.2">
      <c r="A2629" s="4" t="s">
        <v>4988</v>
      </c>
      <c r="B2629" s="4" t="s">
        <v>5083</v>
      </c>
      <c r="C2629" s="4" t="s">
        <v>2096</v>
      </c>
      <c r="D2629" s="4" t="s">
        <v>4764</v>
      </c>
      <c r="E2629" s="4" t="s">
        <v>5100</v>
      </c>
      <c r="F2629" s="4" t="s">
        <v>5085</v>
      </c>
      <c r="G2629" s="4" t="s">
        <v>4992</v>
      </c>
      <c r="H2629" s="4" t="s">
        <v>2183</v>
      </c>
      <c r="I2629" s="4" t="s">
        <v>2100</v>
      </c>
      <c r="J2629" s="4" t="s">
        <v>2570</v>
      </c>
      <c r="K2629">
        <v>8</v>
      </c>
      <c r="L2629">
        <v>2.4</v>
      </c>
      <c r="M2629">
        <v>40</v>
      </c>
      <c r="N2629">
        <v>140</v>
      </c>
      <c r="O2629">
        <v>94.488188976377955</v>
      </c>
      <c r="P2629">
        <v>1.5748031496062993</v>
      </c>
      <c r="Q2629">
        <v>5.5118110236220472</v>
      </c>
      <c r="R2629">
        <v>585.86400000000003</v>
      </c>
      <c r="S2629">
        <v>1.3439999999999999E-2</v>
      </c>
      <c r="T2629" s="4" t="s">
        <v>5086</v>
      </c>
    </row>
    <row r="2630" spans="1:20" x14ac:dyDescent="0.2">
      <c r="A2630" s="4" t="s">
        <v>4988</v>
      </c>
      <c r="B2630" s="4" t="s">
        <v>5083</v>
      </c>
      <c r="C2630" s="4" t="s">
        <v>2096</v>
      </c>
      <c r="D2630" s="4" t="s">
        <v>4764</v>
      </c>
      <c r="E2630" s="4" t="s">
        <v>5101</v>
      </c>
      <c r="F2630" s="4" t="s">
        <v>5085</v>
      </c>
      <c r="G2630" s="4" t="s">
        <v>4992</v>
      </c>
      <c r="H2630" s="4" t="s">
        <v>2183</v>
      </c>
      <c r="I2630" s="4" t="s">
        <v>2100</v>
      </c>
      <c r="J2630" s="4" t="s">
        <v>2570</v>
      </c>
      <c r="K2630">
        <v>9</v>
      </c>
      <c r="L2630">
        <v>2.7</v>
      </c>
      <c r="M2630">
        <v>40</v>
      </c>
      <c r="N2630">
        <v>140</v>
      </c>
      <c r="O2630">
        <v>106.29921259842521</v>
      </c>
      <c r="P2630">
        <v>1.5748031496062993</v>
      </c>
      <c r="Q2630">
        <v>5.5118110236220472</v>
      </c>
      <c r="R2630">
        <v>585.86400000000003</v>
      </c>
      <c r="S2630">
        <v>1.512E-2</v>
      </c>
      <c r="T2630" s="4" t="s">
        <v>5086</v>
      </c>
    </row>
    <row r="2631" spans="1:20" x14ac:dyDescent="0.2">
      <c r="A2631" s="4" t="s">
        <v>4988</v>
      </c>
      <c r="B2631" s="4" t="s">
        <v>5010</v>
      </c>
      <c r="C2631" s="4" t="s">
        <v>2096</v>
      </c>
      <c r="D2631" s="4" t="s">
        <v>4764</v>
      </c>
      <c r="E2631" s="4" t="s">
        <v>1269</v>
      </c>
      <c r="F2631" s="4" t="s">
        <v>5102</v>
      </c>
      <c r="G2631" s="4" t="s">
        <v>4992</v>
      </c>
      <c r="H2631" s="4" t="s">
        <v>5103</v>
      </c>
      <c r="I2631" s="4" t="s">
        <v>2100</v>
      </c>
      <c r="J2631" s="4" t="s">
        <v>2153</v>
      </c>
      <c r="K2631">
        <v>10</v>
      </c>
      <c r="L2631">
        <v>3</v>
      </c>
      <c r="M2631">
        <v>19</v>
      </c>
      <c r="N2631">
        <v>140</v>
      </c>
      <c r="O2631">
        <v>118.11023622047244</v>
      </c>
      <c r="P2631">
        <v>0.74803149606299213</v>
      </c>
      <c r="Q2631">
        <v>5.5118110236220472</v>
      </c>
      <c r="R2631">
        <v>1233.3979999999999</v>
      </c>
      <c r="S2631">
        <v>7.980000000000001E-3</v>
      </c>
      <c r="T2631" s="4" t="s">
        <v>5104</v>
      </c>
    </row>
    <row r="2632" spans="1:20" x14ac:dyDescent="0.2">
      <c r="A2632" s="4" t="s">
        <v>4988</v>
      </c>
      <c r="B2632" s="4" t="s">
        <v>5010</v>
      </c>
      <c r="C2632" s="4" t="s">
        <v>2096</v>
      </c>
      <c r="D2632" s="4" t="s">
        <v>4764</v>
      </c>
      <c r="E2632" s="4" t="s">
        <v>1271</v>
      </c>
      <c r="F2632" s="4" t="s">
        <v>5102</v>
      </c>
      <c r="G2632" s="4" t="s">
        <v>4992</v>
      </c>
      <c r="H2632" s="4" t="s">
        <v>5103</v>
      </c>
      <c r="I2632" s="4" t="s">
        <v>2100</v>
      </c>
      <c r="J2632" s="4" t="s">
        <v>2153</v>
      </c>
      <c r="K2632">
        <v>11</v>
      </c>
      <c r="L2632">
        <v>3.3</v>
      </c>
      <c r="M2632">
        <v>19</v>
      </c>
      <c r="N2632">
        <v>140</v>
      </c>
      <c r="O2632">
        <v>129.92125984251967</v>
      </c>
      <c r="P2632">
        <v>0.74803149606299213</v>
      </c>
      <c r="Q2632">
        <v>5.5118110236220472</v>
      </c>
      <c r="R2632">
        <v>1233.3979999999999</v>
      </c>
      <c r="S2632">
        <v>8.7779999999999993E-3</v>
      </c>
      <c r="T2632" s="4" t="s">
        <v>5104</v>
      </c>
    </row>
    <row r="2633" spans="1:20" x14ac:dyDescent="0.2">
      <c r="A2633" s="4" t="s">
        <v>4988</v>
      </c>
      <c r="B2633" s="4" t="s">
        <v>5010</v>
      </c>
      <c r="C2633" s="4" t="s">
        <v>2096</v>
      </c>
      <c r="D2633" s="4" t="s">
        <v>4764</v>
      </c>
      <c r="E2633" s="4" t="s">
        <v>1273</v>
      </c>
      <c r="F2633" s="4" t="s">
        <v>5102</v>
      </c>
      <c r="G2633" s="4" t="s">
        <v>4992</v>
      </c>
      <c r="H2633" s="4" t="s">
        <v>5103</v>
      </c>
      <c r="I2633" s="4" t="s">
        <v>2100</v>
      </c>
      <c r="J2633" s="4" t="s">
        <v>2153</v>
      </c>
      <c r="K2633">
        <v>12</v>
      </c>
      <c r="L2633">
        <v>3.6</v>
      </c>
      <c r="M2633">
        <v>19</v>
      </c>
      <c r="N2633">
        <v>140</v>
      </c>
      <c r="O2633">
        <v>141.73228346456693</v>
      </c>
      <c r="P2633">
        <v>0.74803149606299213</v>
      </c>
      <c r="Q2633">
        <v>5.5118110236220472</v>
      </c>
      <c r="R2633">
        <v>1233.3979999999999</v>
      </c>
      <c r="S2633">
        <v>9.5760000000000012E-3</v>
      </c>
      <c r="T2633" s="4" t="s">
        <v>5104</v>
      </c>
    </row>
    <row r="2634" spans="1:20" x14ac:dyDescent="0.2">
      <c r="A2634" s="4" t="s">
        <v>4988</v>
      </c>
      <c r="B2634" s="4" t="s">
        <v>5010</v>
      </c>
      <c r="C2634" s="4" t="s">
        <v>2096</v>
      </c>
      <c r="D2634" s="4" t="s">
        <v>4764</v>
      </c>
      <c r="E2634" s="4" t="s">
        <v>1275</v>
      </c>
      <c r="F2634" s="4" t="s">
        <v>5102</v>
      </c>
      <c r="G2634" s="4" t="s">
        <v>4992</v>
      </c>
      <c r="H2634" s="4" t="s">
        <v>5103</v>
      </c>
      <c r="I2634" s="4" t="s">
        <v>2100</v>
      </c>
      <c r="J2634" s="4" t="s">
        <v>2153</v>
      </c>
      <c r="K2634">
        <v>13</v>
      </c>
      <c r="L2634">
        <v>3.9</v>
      </c>
      <c r="M2634">
        <v>19</v>
      </c>
      <c r="N2634">
        <v>140</v>
      </c>
      <c r="O2634">
        <v>153.54330708661416</v>
      </c>
      <c r="P2634">
        <v>0.74803149606299213</v>
      </c>
      <c r="Q2634">
        <v>5.5118110236220472</v>
      </c>
      <c r="R2634">
        <v>1233.3979999999999</v>
      </c>
      <c r="S2634">
        <v>1.0374000000000001E-2</v>
      </c>
      <c r="T2634" s="4" t="s">
        <v>5104</v>
      </c>
    </row>
    <row r="2635" spans="1:20" x14ac:dyDescent="0.2">
      <c r="A2635" s="4" t="s">
        <v>4988</v>
      </c>
      <c r="B2635" s="4" t="s">
        <v>5010</v>
      </c>
      <c r="C2635" s="4" t="s">
        <v>2096</v>
      </c>
      <c r="D2635" s="4" t="s">
        <v>4764</v>
      </c>
      <c r="E2635" s="4" t="s">
        <v>1277</v>
      </c>
      <c r="F2635" s="4" t="s">
        <v>5102</v>
      </c>
      <c r="G2635" s="4" t="s">
        <v>4992</v>
      </c>
      <c r="H2635" s="4" t="s">
        <v>5103</v>
      </c>
      <c r="I2635" s="4" t="s">
        <v>2100</v>
      </c>
      <c r="J2635" s="4" t="s">
        <v>2153</v>
      </c>
      <c r="K2635">
        <v>14</v>
      </c>
      <c r="L2635">
        <v>4.2</v>
      </c>
      <c r="M2635">
        <v>19</v>
      </c>
      <c r="N2635">
        <v>140</v>
      </c>
      <c r="O2635">
        <v>165.35433070866142</v>
      </c>
      <c r="P2635">
        <v>0.74803149606299213</v>
      </c>
      <c r="Q2635">
        <v>5.5118110236220472</v>
      </c>
      <c r="R2635">
        <v>1233.3979999999999</v>
      </c>
      <c r="S2635">
        <v>1.1172E-2</v>
      </c>
      <c r="T2635" s="4" t="s">
        <v>5104</v>
      </c>
    </row>
    <row r="2636" spans="1:20" x14ac:dyDescent="0.2">
      <c r="A2636" s="4" t="s">
        <v>4988</v>
      </c>
      <c r="B2636" s="4" t="s">
        <v>5010</v>
      </c>
      <c r="C2636" s="4" t="s">
        <v>2096</v>
      </c>
      <c r="D2636" s="4" t="s">
        <v>4764</v>
      </c>
      <c r="E2636" s="4" t="s">
        <v>1279</v>
      </c>
      <c r="F2636" s="4" t="s">
        <v>5102</v>
      </c>
      <c r="G2636" s="4" t="s">
        <v>4992</v>
      </c>
      <c r="H2636" s="4" t="s">
        <v>5103</v>
      </c>
      <c r="I2636" s="4" t="s">
        <v>2100</v>
      </c>
      <c r="J2636" s="4" t="s">
        <v>2153</v>
      </c>
      <c r="K2636">
        <v>15</v>
      </c>
      <c r="L2636">
        <v>4.5</v>
      </c>
      <c r="M2636">
        <v>19</v>
      </c>
      <c r="N2636">
        <v>140</v>
      </c>
      <c r="O2636">
        <v>177.16535433070868</v>
      </c>
      <c r="P2636">
        <v>0.74803149606299213</v>
      </c>
      <c r="Q2636">
        <v>5.5118110236220472</v>
      </c>
      <c r="R2636">
        <v>1233.3979999999999</v>
      </c>
      <c r="S2636">
        <v>1.1970000000000001E-2</v>
      </c>
      <c r="T2636" s="4" t="s">
        <v>5104</v>
      </c>
    </row>
    <row r="2637" spans="1:20" x14ac:dyDescent="0.2">
      <c r="A2637" s="4" t="s">
        <v>4988</v>
      </c>
      <c r="B2637" s="4" t="s">
        <v>5010</v>
      </c>
      <c r="C2637" s="4" t="s">
        <v>2096</v>
      </c>
      <c r="D2637" s="4" t="s">
        <v>4764</v>
      </c>
      <c r="E2637" s="4" t="s">
        <v>5105</v>
      </c>
      <c r="F2637" s="4" t="s">
        <v>5102</v>
      </c>
      <c r="G2637" s="4" t="s">
        <v>4992</v>
      </c>
      <c r="H2637" s="4" t="s">
        <v>5103</v>
      </c>
      <c r="I2637" s="4" t="s">
        <v>2100</v>
      </c>
      <c r="J2637" s="4" t="s">
        <v>2153</v>
      </c>
      <c r="K2637">
        <v>16</v>
      </c>
      <c r="L2637">
        <v>4.8</v>
      </c>
      <c r="M2637">
        <v>19</v>
      </c>
      <c r="N2637">
        <v>140</v>
      </c>
      <c r="O2637">
        <v>188.97637795275591</v>
      </c>
      <c r="P2637">
        <v>0.74803149606299213</v>
      </c>
      <c r="Q2637">
        <v>5.5118110236220472</v>
      </c>
      <c r="R2637">
        <v>1233.3979999999999</v>
      </c>
      <c r="S2637">
        <v>1.2768E-2</v>
      </c>
      <c r="T2637" s="4" t="s">
        <v>5104</v>
      </c>
    </row>
    <row r="2638" spans="1:20" x14ac:dyDescent="0.2">
      <c r="A2638" s="4" t="s">
        <v>4988</v>
      </c>
      <c r="B2638" s="4" t="s">
        <v>5010</v>
      </c>
      <c r="C2638" s="4" t="s">
        <v>2096</v>
      </c>
      <c r="D2638" s="4" t="s">
        <v>4764</v>
      </c>
      <c r="E2638" s="4" t="s">
        <v>1281</v>
      </c>
      <c r="F2638" s="4" t="s">
        <v>5102</v>
      </c>
      <c r="G2638" s="4" t="s">
        <v>4992</v>
      </c>
      <c r="H2638" s="4" t="s">
        <v>5103</v>
      </c>
      <c r="I2638" s="4" t="s">
        <v>2100</v>
      </c>
      <c r="J2638" s="4" t="s">
        <v>2153</v>
      </c>
      <c r="K2638">
        <v>17</v>
      </c>
      <c r="L2638">
        <v>5.0999999999999996</v>
      </c>
      <c r="M2638">
        <v>19</v>
      </c>
      <c r="N2638">
        <v>140</v>
      </c>
      <c r="O2638">
        <v>200.78740157480314</v>
      </c>
      <c r="P2638">
        <v>0.74803149606299213</v>
      </c>
      <c r="Q2638">
        <v>5.5118110236220472</v>
      </c>
      <c r="R2638">
        <v>1233.3979999999999</v>
      </c>
      <c r="S2638">
        <v>1.3565999999999998E-2</v>
      </c>
      <c r="T2638" s="4" t="s">
        <v>5104</v>
      </c>
    </row>
    <row r="2639" spans="1:20" x14ac:dyDescent="0.2">
      <c r="A2639" s="4" t="s">
        <v>4988</v>
      </c>
      <c r="B2639" s="4" t="s">
        <v>5010</v>
      </c>
      <c r="C2639" s="4" t="s">
        <v>2096</v>
      </c>
      <c r="D2639" s="4" t="s">
        <v>4764</v>
      </c>
      <c r="E2639" s="4" t="s">
        <v>5106</v>
      </c>
      <c r="F2639" s="4" t="s">
        <v>5102</v>
      </c>
      <c r="G2639" s="4" t="s">
        <v>4992</v>
      </c>
      <c r="H2639" s="4" t="s">
        <v>5103</v>
      </c>
      <c r="I2639" s="4" t="s">
        <v>2100</v>
      </c>
      <c r="J2639" s="4" t="s">
        <v>2153</v>
      </c>
      <c r="K2639">
        <v>18</v>
      </c>
      <c r="L2639">
        <v>5.4</v>
      </c>
      <c r="M2639">
        <v>19</v>
      </c>
      <c r="N2639">
        <v>140</v>
      </c>
      <c r="O2639">
        <v>212.59842519685043</v>
      </c>
      <c r="P2639">
        <v>0.74803149606299213</v>
      </c>
      <c r="Q2639">
        <v>5.5118110236220472</v>
      </c>
      <c r="R2639">
        <v>1233.3979999999999</v>
      </c>
      <c r="S2639">
        <v>1.4364E-2</v>
      </c>
      <c r="T2639" s="4" t="s">
        <v>5104</v>
      </c>
    </row>
    <row r="2640" spans="1:20" x14ac:dyDescent="0.2">
      <c r="A2640" s="4" t="s">
        <v>4988</v>
      </c>
      <c r="B2640" s="4" t="s">
        <v>5010</v>
      </c>
      <c r="C2640" s="4" t="s">
        <v>2286</v>
      </c>
      <c r="D2640" s="4" t="s">
        <v>4764</v>
      </c>
      <c r="E2640" s="4" t="s">
        <v>5107</v>
      </c>
      <c r="F2640" s="4" t="s">
        <v>5102</v>
      </c>
      <c r="G2640" s="4" t="s">
        <v>4992</v>
      </c>
      <c r="H2640" s="4" t="s">
        <v>5103</v>
      </c>
      <c r="I2640" s="4" t="s">
        <v>2100</v>
      </c>
      <c r="J2640" s="4" t="s">
        <v>2153</v>
      </c>
      <c r="K2640">
        <v>4</v>
      </c>
      <c r="L2640">
        <v>1.2</v>
      </c>
      <c r="M2640">
        <v>19</v>
      </c>
      <c r="N2640">
        <v>140</v>
      </c>
      <c r="O2640">
        <v>47.244094488188978</v>
      </c>
      <c r="P2640">
        <v>0.74803149606299213</v>
      </c>
      <c r="Q2640">
        <v>5.5118110236220472</v>
      </c>
      <c r="R2640">
        <v>1233.3979999999999</v>
      </c>
      <c r="S2640">
        <v>3.192E-3</v>
      </c>
      <c r="T2640" s="4" t="s">
        <v>5108</v>
      </c>
    </row>
    <row r="2641" spans="1:20" x14ac:dyDescent="0.2">
      <c r="A2641" s="4" t="s">
        <v>4988</v>
      </c>
      <c r="B2641" s="4" t="s">
        <v>5010</v>
      </c>
      <c r="C2641" s="4" t="s">
        <v>2286</v>
      </c>
      <c r="D2641" s="4" t="s">
        <v>4764</v>
      </c>
      <c r="E2641" s="4" t="s">
        <v>5109</v>
      </c>
      <c r="F2641" s="4" t="s">
        <v>5102</v>
      </c>
      <c r="G2641" s="4" t="s">
        <v>4992</v>
      </c>
      <c r="H2641" s="4" t="s">
        <v>5103</v>
      </c>
      <c r="I2641" s="4" t="s">
        <v>2100</v>
      </c>
      <c r="J2641" s="4" t="s">
        <v>2153</v>
      </c>
      <c r="K2641">
        <v>5</v>
      </c>
      <c r="L2641">
        <v>1.5</v>
      </c>
      <c r="M2641">
        <v>19</v>
      </c>
      <c r="N2641">
        <v>140</v>
      </c>
      <c r="O2641">
        <v>59.055118110236222</v>
      </c>
      <c r="P2641">
        <v>0.74803149606299213</v>
      </c>
      <c r="Q2641">
        <v>5.5118110236220472</v>
      </c>
      <c r="R2641">
        <v>1233.3979999999999</v>
      </c>
      <c r="S2641">
        <v>3.9900000000000005E-3</v>
      </c>
      <c r="T2641" s="4" t="s">
        <v>5108</v>
      </c>
    </row>
    <row r="2642" spans="1:20" x14ac:dyDescent="0.2">
      <c r="A2642" s="4" t="s">
        <v>4988</v>
      </c>
      <c r="B2642" s="4" t="s">
        <v>5010</v>
      </c>
      <c r="C2642" s="4" t="s">
        <v>2286</v>
      </c>
      <c r="D2642" s="4" t="s">
        <v>4764</v>
      </c>
      <c r="E2642" s="4" t="s">
        <v>1283</v>
      </c>
      <c r="F2642" s="4" t="s">
        <v>5102</v>
      </c>
      <c r="G2642" s="4" t="s">
        <v>4992</v>
      </c>
      <c r="H2642" s="4" t="s">
        <v>5103</v>
      </c>
      <c r="I2642" s="4" t="s">
        <v>2100</v>
      </c>
      <c r="J2642" s="4" t="s">
        <v>2153</v>
      </c>
      <c r="K2642">
        <v>6</v>
      </c>
      <c r="L2642">
        <v>1.8</v>
      </c>
      <c r="M2642">
        <v>19</v>
      </c>
      <c r="N2642">
        <v>140</v>
      </c>
      <c r="O2642">
        <v>70.866141732283467</v>
      </c>
      <c r="P2642">
        <v>0.74803149606299213</v>
      </c>
      <c r="Q2642">
        <v>5.5118110236220472</v>
      </c>
      <c r="R2642">
        <v>1233.3979999999999</v>
      </c>
      <c r="S2642">
        <v>4.7880000000000006E-3</v>
      </c>
      <c r="T2642" s="4" t="s">
        <v>5108</v>
      </c>
    </row>
    <row r="2643" spans="1:20" x14ac:dyDescent="0.2">
      <c r="A2643" s="4" t="s">
        <v>4988</v>
      </c>
      <c r="B2643" s="4" t="s">
        <v>5010</v>
      </c>
      <c r="C2643" s="4" t="s">
        <v>2286</v>
      </c>
      <c r="D2643" s="4" t="s">
        <v>4764</v>
      </c>
      <c r="E2643" s="4" t="s">
        <v>1285</v>
      </c>
      <c r="F2643" s="4" t="s">
        <v>5102</v>
      </c>
      <c r="G2643" s="4" t="s">
        <v>4992</v>
      </c>
      <c r="H2643" s="4" t="s">
        <v>5103</v>
      </c>
      <c r="I2643" s="4" t="s">
        <v>2100</v>
      </c>
      <c r="J2643" s="4" t="s">
        <v>2153</v>
      </c>
      <c r="K2643">
        <v>7</v>
      </c>
      <c r="L2643">
        <v>2.1</v>
      </c>
      <c r="M2643">
        <v>19</v>
      </c>
      <c r="N2643">
        <v>140</v>
      </c>
      <c r="O2643">
        <v>82.677165354330711</v>
      </c>
      <c r="P2643">
        <v>0.74803149606299213</v>
      </c>
      <c r="Q2643">
        <v>5.5118110236220472</v>
      </c>
      <c r="R2643">
        <v>1233.3979999999999</v>
      </c>
      <c r="S2643">
        <v>5.5859999999999998E-3</v>
      </c>
      <c r="T2643" s="4" t="s">
        <v>5108</v>
      </c>
    </row>
    <row r="2644" spans="1:20" x14ac:dyDescent="0.2">
      <c r="A2644" s="4" t="s">
        <v>4988</v>
      </c>
      <c r="B2644" s="4" t="s">
        <v>5010</v>
      </c>
      <c r="C2644" s="4" t="s">
        <v>2096</v>
      </c>
      <c r="D2644" s="4" t="s">
        <v>4764</v>
      </c>
      <c r="E2644" s="4" t="s">
        <v>1287</v>
      </c>
      <c r="F2644" s="4" t="s">
        <v>5102</v>
      </c>
      <c r="G2644" s="4" t="s">
        <v>4992</v>
      </c>
      <c r="H2644" s="4" t="s">
        <v>5103</v>
      </c>
      <c r="I2644" s="4" t="s">
        <v>2100</v>
      </c>
      <c r="J2644" s="4" t="s">
        <v>2153</v>
      </c>
      <c r="K2644">
        <v>8</v>
      </c>
      <c r="L2644">
        <v>2.4</v>
      </c>
      <c r="M2644">
        <v>19</v>
      </c>
      <c r="N2644">
        <v>140</v>
      </c>
      <c r="O2644">
        <v>94.488188976377955</v>
      </c>
      <c r="P2644">
        <v>0.74803149606299213</v>
      </c>
      <c r="Q2644">
        <v>5.5118110236220472</v>
      </c>
      <c r="R2644">
        <v>1233.3979999999999</v>
      </c>
      <c r="S2644">
        <v>6.3839999999999999E-3</v>
      </c>
      <c r="T2644" s="4" t="s">
        <v>5104</v>
      </c>
    </row>
    <row r="2645" spans="1:20" x14ac:dyDescent="0.2">
      <c r="A2645" s="4" t="s">
        <v>4988</v>
      </c>
      <c r="B2645" s="4" t="s">
        <v>5010</v>
      </c>
      <c r="C2645" s="4" t="s">
        <v>2096</v>
      </c>
      <c r="D2645" s="4" t="s">
        <v>4764</v>
      </c>
      <c r="E2645" s="4" t="s">
        <v>1289</v>
      </c>
      <c r="F2645" s="4" t="s">
        <v>5102</v>
      </c>
      <c r="G2645" s="4" t="s">
        <v>4992</v>
      </c>
      <c r="H2645" s="4" t="s">
        <v>5103</v>
      </c>
      <c r="I2645" s="4" t="s">
        <v>2100</v>
      </c>
      <c r="J2645" s="4" t="s">
        <v>2153</v>
      </c>
      <c r="K2645">
        <v>9</v>
      </c>
      <c r="L2645">
        <v>2.7</v>
      </c>
      <c r="M2645">
        <v>19</v>
      </c>
      <c r="N2645">
        <v>140</v>
      </c>
      <c r="O2645">
        <v>106.29921259842521</v>
      </c>
      <c r="P2645">
        <v>0.74803149606299213</v>
      </c>
      <c r="Q2645">
        <v>5.5118110236220472</v>
      </c>
      <c r="R2645">
        <v>1233.3979999999999</v>
      </c>
      <c r="S2645">
        <v>7.182E-3</v>
      </c>
      <c r="T2645" s="4" t="s">
        <v>5104</v>
      </c>
    </row>
    <row r="2646" spans="1:20" x14ac:dyDescent="0.2">
      <c r="A2646" s="4" t="s">
        <v>4793</v>
      </c>
      <c r="B2646" s="4" t="s">
        <v>4798</v>
      </c>
      <c r="C2646" s="4" t="s">
        <v>2096</v>
      </c>
      <c r="D2646" s="4" t="s">
        <v>4764</v>
      </c>
      <c r="E2646" s="4" t="s">
        <v>1531</v>
      </c>
      <c r="F2646" s="4" t="s">
        <v>5110</v>
      </c>
      <c r="G2646" s="4" t="s">
        <v>4981</v>
      </c>
      <c r="H2646" s="4" t="s">
        <v>5111</v>
      </c>
      <c r="I2646" s="4" t="s">
        <v>2100</v>
      </c>
      <c r="J2646" s="4" t="s">
        <v>2153</v>
      </c>
      <c r="K2646">
        <v>10</v>
      </c>
      <c r="L2646">
        <v>3</v>
      </c>
      <c r="M2646">
        <v>19</v>
      </c>
      <c r="N2646">
        <v>140</v>
      </c>
      <c r="O2646">
        <v>118.11023622047244</v>
      </c>
      <c r="P2646">
        <v>0.74803149606299213</v>
      </c>
      <c r="Q2646">
        <v>5.5118110236220472</v>
      </c>
      <c r="R2646">
        <v>1233.3979999999999</v>
      </c>
      <c r="S2646">
        <v>7.980000000000001E-3</v>
      </c>
      <c r="T2646" s="4" t="s">
        <v>5112</v>
      </c>
    </row>
    <row r="2647" spans="1:20" x14ac:dyDescent="0.2">
      <c r="A2647" s="4" t="s">
        <v>4793</v>
      </c>
      <c r="B2647" s="4" t="s">
        <v>4798</v>
      </c>
      <c r="C2647" s="4" t="s">
        <v>2096</v>
      </c>
      <c r="D2647" s="4" t="s">
        <v>4764</v>
      </c>
      <c r="E2647" s="4" t="s">
        <v>1533</v>
      </c>
      <c r="F2647" s="4" t="s">
        <v>5110</v>
      </c>
      <c r="G2647" s="4" t="s">
        <v>4981</v>
      </c>
      <c r="H2647" s="4" t="s">
        <v>5111</v>
      </c>
      <c r="I2647" s="4" t="s">
        <v>2100</v>
      </c>
      <c r="J2647" s="4" t="s">
        <v>2153</v>
      </c>
      <c r="K2647">
        <v>11</v>
      </c>
      <c r="L2647">
        <v>3.3</v>
      </c>
      <c r="M2647">
        <v>19</v>
      </c>
      <c r="N2647">
        <v>140</v>
      </c>
      <c r="O2647">
        <v>129.92125984251967</v>
      </c>
      <c r="P2647">
        <v>0.74803149606299213</v>
      </c>
      <c r="Q2647">
        <v>5.5118110236220472</v>
      </c>
      <c r="R2647">
        <v>1233.3979999999999</v>
      </c>
      <c r="S2647">
        <v>8.7779999999999993E-3</v>
      </c>
      <c r="T2647" s="4" t="s">
        <v>5112</v>
      </c>
    </row>
    <row r="2648" spans="1:20" x14ac:dyDescent="0.2">
      <c r="A2648" s="4" t="s">
        <v>4793</v>
      </c>
      <c r="B2648" s="4" t="s">
        <v>4798</v>
      </c>
      <c r="C2648" s="4" t="s">
        <v>2096</v>
      </c>
      <c r="D2648" s="4" t="s">
        <v>4764</v>
      </c>
      <c r="E2648" s="4" t="s">
        <v>1535</v>
      </c>
      <c r="F2648" s="4" t="s">
        <v>5110</v>
      </c>
      <c r="G2648" s="4" t="s">
        <v>4981</v>
      </c>
      <c r="H2648" s="4" t="s">
        <v>5111</v>
      </c>
      <c r="I2648" s="4" t="s">
        <v>2100</v>
      </c>
      <c r="J2648" s="4" t="s">
        <v>2153</v>
      </c>
      <c r="K2648">
        <v>12</v>
      </c>
      <c r="L2648">
        <v>3.6</v>
      </c>
      <c r="M2648">
        <v>19</v>
      </c>
      <c r="N2648">
        <v>140</v>
      </c>
      <c r="O2648">
        <v>141.73228346456693</v>
      </c>
      <c r="P2648">
        <v>0.74803149606299213</v>
      </c>
      <c r="Q2648">
        <v>5.5118110236220472</v>
      </c>
      <c r="R2648">
        <v>1233.3979999999999</v>
      </c>
      <c r="S2648">
        <v>9.5760000000000012E-3</v>
      </c>
      <c r="T2648" s="4" t="s">
        <v>5112</v>
      </c>
    </row>
    <row r="2649" spans="1:20" x14ac:dyDescent="0.2">
      <c r="A2649" s="4" t="s">
        <v>4793</v>
      </c>
      <c r="B2649" s="4" t="s">
        <v>4798</v>
      </c>
      <c r="C2649" s="4" t="s">
        <v>2096</v>
      </c>
      <c r="D2649" s="4" t="s">
        <v>4764</v>
      </c>
      <c r="E2649" s="4" t="s">
        <v>1537</v>
      </c>
      <c r="F2649" s="4" t="s">
        <v>5110</v>
      </c>
      <c r="G2649" s="4" t="s">
        <v>4981</v>
      </c>
      <c r="H2649" s="4" t="s">
        <v>5111</v>
      </c>
      <c r="I2649" s="4" t="s">
        <v>2100</v>
      </c>
      <c r="J2649" s="4" t="s">
        <v>2153</v>
      </c>
      <c r="K2649">
        <v>13</v>
      </c>
      <c r="L2649">
        <v>3.9</v>
      </c>
      <c r="M2649">
        <v>19</v>
      </c>
      <c r="N2649">
        <v>140</v>
      </c>
      <c r="O2649">
        <v>153.54330708661416</v>
      </c>
      <c r="P2649">
        <v>0.74803149606299213</v>
      </c>
      <c r="Q2649">
        <v>5.5118110236220472</v>
      </c>
      <c r="R2649">
        <v>1233.3979999999999</v>
      </c>
      <c r="S2649">
        <v>1.0374000000000001E-2</v>
      </c>
      <c r="T2649" s="4" t="s">
        <v>5112</v>
      </c>
    </row>
    <row r="2650" spans="1:20" x14ac:dyDescent="0.2">
      <c r="A2650" s="4" t="s">
        <v>4793</v>
      </c>
      <c r="B2650" s="4" t="s">
        <v>4798</v>
      </c>
      <c r="C2650" s="4" t="s">
        <v>2096</v>
      </c>
      <c r="D2650" s="4" t="s">
        <v>4764</v>
      </c>
      <c r="E2650" s="4" t="s">
        <v>1539</v>
      </c>
      <c r="F2650" s="4" t="s">
        <v>5110</v>
      </c>
      <c r="G2650" s="4" t="s">
        <v>4981</v>
      </c>
      <c r="H2650" s="4" t="s">
        <v>5111</v>
      </c>
      <c r="I2650" s="4" t="s">
        <v>2100</v>
      </c>
      <c r="J2650" s="4" t="s">
        <v>2153</v>
      </c>
      <c r="K2650">
        <v>14</v>
      </c>
      <c r="L2650">
        <v>4.2</v>
      </c>
      <c r="M2650">
        <v>19</v>
      </c>
      <c r="N2650">
        <v>140</v>
      </c>
      <c r="O2650">
        <v>165.35433070866142</v>
      </c>
      <c r="P2650">
        <v>0.74803149606299213</v>
      </c>
      <c r="Q2650">
        <v>5.5118110236220472</v>
      </c>
      <c r="R2650">
        <v>1233.3979999999999</v>
      </c>
      <c r="S2650">
        <v>1.1172E-2</v>
      </c>
      <c r="T2650" s="4" t="s">
        <v>5112</v>
      </c>
    </row>
    <row r="2651" spans="1:20" x14ac:dyDescent="0.2">
      <c r="A2651" s="4" t="s">
        <v>4793</v>
      </c>
      <c r="B2651" s="4" t="s">
        <v>4798</v>
      </c>
      <c r="C2651" s="4" t="s">
        <v>2096</v>
      </c>
      <c r="D2651" s="4" t="s">
        <v>4764</v>
      </c>
      <c r="E2651" s="4" t="s">
        <v>1541</v>
      </c>
      <c r="F2651" s="4" t="s">
        <v>5110</v>
      </c>
      <c r="G2651" s="4" t="s">
        <v>4981</v>
      </c>
      <c r="H2651" s="4" t="s">
        <v>5111</v>
      </c>
      <c r="I2651" s="4" t="s">
        <v>2100</v>
      </c>
      <c r="J2651" s="4" t="s">
        <v>2153</v>
      </c>
      <c r="K2651">
        <v>15</v>
      </c>
      <c r="L2651">
        <v>4.5</v>
      </c>
      <c r="M2651">
        <v>19</v>
      </c>
      <c r="N2651">
        <v>140</v>
      </c>
      <c r="O2651">
        <v>177.16535433070868</v>
      </c>
      <c r="P2651">
        <v>0.74803149606299213</v>
      </c>
      <c r="Q2651">
        <v>5.5118110236220472</v>
      </c>
      <c r="R2651">
        <v>1233.3979999999999</v>
      </c>
      <c r="S2651">
        <v>1.1970000000000001E-2</v>
      </c>
      <c r="T2651" s="4" t="s">
        <v>5112</v>
      </c>
    </row>
    <row r="2652" spans="1:20" x14ac:dyDescent="0.2">
      <c r="A2652" s="4" t="s">
        <v>4793</v>
      </c>
      <c r="B2652" s="4" t="s">
        <v>4798</v>
      </c>
      <c r="C2652" s="4" t="s">
        <v>2096</v>
      </c>
      <c r="D2652" s="4" t="s">
        <v>4764</v>
      </c>
      <c r="E2652" s="4" t="s">
        <v>1543</v>
      </c>
      <c r="F2652" s="4" t="s">
        <v>5110</v>
      </c>
      <c r="G2652" s="4" t="s">
        <v>4981</v>
      </c>
      <c r="H2652" s="4" t="s">
        <v>5111</v>
      </c>
      <c r="I2652" s="4" t="s">
        <v>2100</v>
      </c>
      <c r="J2652" s="4" t="s">
        <v>2153</v>
      </c>
      <c r="K2652">
        <v>16</v>
      </c>
      <c r="L2652">
        <v>4.8</v>
      </c>
      <c r="M2652">
        <v>19</v>
      </c>
      <c r="N2652">
        <v>140</v>
      </c>
      <c r="O2652">
        <v>188.97637795275591</v>
      </c>
      <c r="P2652">
        <v>0.74803149606299213</v>
      </c>
      <c r="Q2652">
        <v>5.5118110236220472</v>
      </c>
      <c r="R2652">
        <v>1233.3979999999999</v>
      </c>
      <c r="S2652">
        <v>1.2768E-2</v>
      </c>
      <c r="T2652" s="4" t="s">
        <v>5112</v>
      </c>
    </row>
    <row r="2653" spans="1:20" x14ac:dyDescent="0.2">
      <c r="A2653" s="4" t="s">
        <v>4793</v>
      </c>
      <c r="B2653" s="4" t="s">
        <v>4798</v>
      </c>
      <c r="C2653" s="4" t="s">
        <v>2096</v>
      </c>
      <c r="D2653" s="4" t="s">
        <v>4764</v>
      </c>
      <c r="E2653" s="4" t="s">
        <v>5113</v>
      </c>
      <c r="F2653" s="4" t="s">
        <v>5110</v>
      </c>
      <c r="G2653" s="4" t="s">
        <v>4981</v>
      </c>
      <c r="H2653" s="4" t="s">
        <v>5111</v>
      </c>
      <c r="I2653" s="4" t="s">
        <v>2100</v>
      </c>
      <c r="J2653" s="4" t="s">
        <v>2153</v>
      </c>
      <c r="K2653">
        <v>17</v>
      </c>
      <c r="L2653">
        <v>5.0999999999999996</v>
      </c>
      <c r="M2653">
        <v>19</v>
      </c>
      <c r="N2653">
        <v>140</v>
      </c>
      <c r="O2653">
        <v>200.78740157480314</v>
      </c>
      <c r="P2653">
        <v>0.74803149606299213</v>
      </c>
      <c r="Q2653">
        <v>5.5118110236220472</v>
      </c>
      <c r="R2653">
        <v>1233.3979999999999</v>
      </c>
      <c r="S2653">
        <v>1.3565999999999998E-2</v>
      </c>
      <c r="T2653" s="4" t="s">
        <v>5112</v>
      </c>
    </row>
    <row r="2654" spans="1:20" x14ac:dyDescent="0.2">
      <c r="A2654" s="4" t="s">
        <v>4793</v>
      </c>
      <c r="B2654" s="4" t="s">
        <v>4798</v>
      </c>
      <c r="C2654" s="4" t="s">
        <v>2096</v>
      </c>
      <c r="D2654" s="4" t="s">
        <v>4764</v>
      </c>
      <c r="E2654" s="4" t="s">
        <v>5114</v>
      </c>
      <c r="F2654" s="4" t="s">
        <v>5110</v>
      </c>
      <c r="G2654" s="4" t="s">
        <v>4981</v>
      </c>
      <c r="H2654" s="4" t="s">
        <v>5111</v>
      </c>
      <c r="I2654" s="4" t="s">
        <v>2100</v>
      </c>
      <c r="J2654" s="4" t="s">
        <v>2153</v>
      </c>
      <c r="K2654">
        <v>18</v>
      </c>
      <c r="L2654">
        <v>5.4</v>
      </c>
      <c r="M2654">
        <v>19</v>
      </c>
      <c r="N2654">
        <v>140</v>
      </c>
      <c r="O2654">
        <v>212.59842519685043</v>
      </c>
      <c r="P2654">
        <v>0.74803149606299213</v>
      </c>
      <c r="Q2654">
        <v>5.5118110236220472</v>
      </c>
      <c r="R2654">
        <v>1233.3979999999999</v>
      </c>
      <c r="S2654">
        <v>1.4364E-2</v>
      </c>
      <c r="T2654" s="4" t="s">
        <v>5112</v>
      </c>
    </row>
    <row r="2655" spans="1:20" x14ac:dyDescent="0.2">
      <c r="A2655" s="4" t="s">
        <v>4793</v>
      </c>
      <c r="B2655" s="4" t="s">
        <v>4798</v>
      </c>
      <c r="C2655" s="4" t="s">
        <v>2286</v>
      </c>
      <c r="D2655" s="4" t="s">
        <v>4764</v>
      </c>
      <c r="E2655" s="4" t="s">
        <v>5115</v>
      </c>
      <c r="F2655" s="4" t="s">
        <v>5110</v>
      </c>
      <c r="G2655" s="4" t="s">
        <v>4981</v>
      </c>
      <c r="H2655" s="4" t="s">
        <v>5111</v>
      </c>
      <c r="I2655" s="4" t="s">
        <v>2100</v>
      </c>
      <c r="J2655" s="4" t="s">
        <v>2153</v>
      </c>
      <c r="K2655">
        <v>4</v>
      </c>
      <c r="L2655">
        <v>1.2</v>
      </c>
      <c r="M2655">
        <v>19</v>
      </c>
      <c r="N2655">
        <v>140</v>
      </c>
      <c r="O2655">
        <v>47.244094488188978</v>
      </c>
      <c r="P2655">
        <v>0.74803149606299213</v>
      </c>
      <c r="Q2655">
        <v>5.5118110236220472</v>
      </c>
      <c r="R2655">
        <v>1233.3979999999999</v>
      </c>
      <c r="S2655">
        <v>3.192E-3</v>
      </c>
      <c r="T2655" s="4" t="s">
        <v>5116</v>
      </c>
    </row>
    <row r="2656" spans="1:20" x14ac:dyDescent="0.2">
      <c r="A2656" s="4" t="s">
        <v>4793</v>
      </c>
      <c r="B2656" s="4" t="s">
        <v>4798</v>
      </c>
      <c r="C2656" s="4" t="s">
        <v>2286</v>
      </c>
      <c r="D2656" s="4" t="s">
        <v>4764</v>
      </c>
      <c r="E2656" s="4" t="s">
        <v>5117</v>
      </c>
      <c r="F2656" s="4" t="s">
        <v>5110</v>
      </c>
      <c r="G2656" s="4" t="s">
        <v>4981</v>
      </c>
      <c r="H2656" s="4" t="s">
        <v>5111</v>
      </c>
      <c r="I2656" s="4" t="s">
        <v>2100</v>
      </c>
      <c r="J2656" s="4" t="s">
        <v>2153</v>
      </c>
      <c r="K2656">
        <v>5</v>
      </c>
      <c r="L2656">
        <v>1.5</v>
      </c>
      <c r="M2656">
        <v>19</v>
      </c>
      <c r="N2656">
        <v>140</v>
      </c>
      <c r="O2656">
        <v>59.055118110236222</v>
      </c>
      <c r="P2656">
        <v>0.74803149606299213</v>
      </c>
      <c r="Q2656">
        <v>5.5118110236220472</v>
      </c>
      <c r="R2656">
        <v>1233.3979999999999</v>
      </c>
      <c r="S2656">
        <v>3.9900000000000005E-3</v>
      </c>
      <c r="T2656" s="4" t="s">
        <v>5116</v>
      </c>
    </row>
    <row r="2657" spans="1:20" x14ac:dyDescent="0.2">
      <c r="A2657" s="4" t="s">
        <v>4793</v>
      </c>
      <c r="B2657" s="4" t="s">
        <v>4798</v>
      </c>
      <c r="C2657" s="4" t="s">
        <v>2286</v>
      </c>
      <c r="D2657" s="4" t="s">
        <v>4764</v>
      </c>
      <c r="E2657" s="4" t="s">
        <v>1545</v>
      </c>
      <c r="F2657" s="4" t="s">
        <v>5110</v>
      </c>
      <c r="G2657" s="4" t="s">
        <v>4981</v>
      </c>
      <c r="H2657" s="4" t="s">
        <v>5111</v>
      </c>
      <c r="I2657" s="4" t="s">
        <v>2100</v>
      </c>
      <c r="J2657" s="4" t="s">
        <v>2153</v>
      </c>
      <c r="K2657">
        <v>6</v>
      </c>
      <c r="L2657">
        <v>1.8</v>
      </c>
      <c r="M2657">
        <v>19</v>
      </c>
      <c r="N2657">
        <v>140</v>
      </c>
      <c r="O2657">
        <v>70.866141732283467</v>
      </c>
      <c r="P2657">
        <v>0.74803149606299213</v>
      </c>
      <c r="Q2657">
        <v>5.5118110236220472</v>
      </c>
      <c r="R2657">
        <v>1233.3979999999999</v>
      </c>
      <c r="S2657">
        <v>4.7880000000000006E-3</v>
      </c>
      <c r="T2657" s="4" t="s">
        <v>5116</v>
      </c>
    </row>
    <row r="2658" spans="1:20" x14ac:dyDescent="0.2">
      <c r="A2658" s="4" t="s">
        <v>4793</v>
      </c>
      <c r="B2658" s="4" t="s">
        <v>4798</v>
      </c>
      <c r="C2658" s="4" t="s">
        <v>2286</v>
      </c>
      <c r="D2658" s="4" t="s">
        <v>4764</v>
      </c>
      <c r="E2658" s="4" t="s">
        <v>1547</v>
      </c>
      <c r="F2658" s="4" t="s">
        <v>5110</v>
      </c>
      <c r="G2658" s="4" t="s">
        <v>4981</v>
      </c>
      <c r="H2658" s="4" t="s">
        <v>5111</v>
      </c>
      <c r="I2658" s="4" t="s">
        <v>2100</v>
      </c>
      <c r="J2658" s="4" t="s">
        <v>2153</v>
      </c>
      <c r="K2658">
        <v>7</v>
      </c>
      <c r="L2658">
        <v>2.1</v>
      </c>
      <c r="M2658">
        <v>19</v>
      </c>
      <c r="N2658">
        <v>140</v>
      </c>
      <c r="O2658">
        <v>82.677165354330711</v>
      </c>
      <c r="P2658">
        <v>0.74803149606299213</v>
      </c>
      <c r="Q2658">
        <v>5.5118110236220472</v>
      </c>
      <c r="R2658">
        <v>1233.3979999999999</v>
      </c>
      <c r="S2658">
        <v>5.5859999999999998E-3</v>
      </c>
      <c r="T2658" s="4" t="s">
        <v>5116</v>
      </c>
    </row>
    <row r="2659" spans="1:20" x14ac:dyDescent="0.2">
      <c r="A2659" s="4" t="s">
        <v>4793</v>
      </c>
      <c r="B2659" s="4" t="s">
        <v>4798</v>
      </c>
      <c r="C2659" s="4" t="s">
        <v>2096</v>
      </c>
      <c r="D2659" s="4" t="s">
        <v>4764</v>
      </c>
      <c r="E2659" s="4" t="s">
        <v>1549</v>
      </c>
      <c r="F2659" s="4" t="s">
        <v>5110</v>
      </c>
      <c r="G2659" s="4" t="s">
        <v>4981</v>
      </c>
      <c r="H2659" s="4" t="s">
        <v>5111</v>
      </c>
      <c r="I2659" s="4" t="s">
        <v>2100</v>
      </c>
      <c r="J2659" s="4" t="s">
        <v>2153</v>
      </c>
      <c r="K2659">
        <v>8</v>
      </c>
      <c r="L2659">
        <v>2.4</v>
      </c>
      <c r="M2659">
        <v>19</v>
      </c>
      <c r="N2659">
        <v>140</v>
      </c>
      <c r="O2659">
        <v>94.488188976377955</v>
      </c>
      <c r="P2659">
        <v>0.74803149606299213</v>
      </c>
      <c r="Q2659">
        <v>5.5118110236220472</v>
      </c>
      <c r="R2659">
        <v>1233.3979999999999</v>
      </c>
      <c r="S2659">
        <v>6.3839999999999999E-3</v>
      </c>
      <c r="T2659" s="4" t="s">
        <v>5112</v>
      </c>
    </row>
    <row r="2660" spans="1:20" x14ac:dyDescent="0.2">
      <c r="A2660" s="4" t="s">
        <v>4793</v>
      </c>
      <c r="B2660" s="4" t="s">
        <v>4798</v>
      </c>
      <c r="C2660" s="4" t="s">
        <v>2096</v>
      </c>
      <c r="D2660" s="4" t="s">
        <v>4764</v>
      </c>
      <c r="E2660" s="4" t="s">
        <v>1551</v>
      </c>
      <c r="F2660" s="4" t="s">
        <v>5110</v>
      </c>
      <c r="G2660" s="4" t="s">
        <v>4981</v>
      </c>
      <c r="H2660" s="4" t="s">
        <v>5111</v>
      </c>
      <c r="I2660" s="4" t="s">
        <v>2100</v>
      </c>
      <c r="J2660" s="4" t="s">
        <v>2153</v>
      </c>
      <c r="K2660">
        <v>9</v>
      </c>
      <c r="L2660">
        <v>2.7</v>
      </c>
      <c r="M2660">
        <v>19</v>
      </c>
      <c r="N2660">
        <v>140</v>
      </c>
      <c r="O2660">
        <v>106.29921259842521</v>
      </c>
      <c r="P2660">
        <v>0.74803149606299213</v>
      </c>
      <c r="Q2660">
        <v>5.5118110236220472</v>
      </c>
      <c r="R2660">
        <v>1233.3979999999999</v>
      </c>
      <c r="S2660">
        <v>7.182E-3</v>
      </c>
      <c r="T2660" s="4" t="s">
        <v>5112</v>
      </c>
    </row>
    <row r="2661" spans="1:20" x14ac:dyDescent="0.2">
      <c r="A2661" s="4" t="s">
        <v>5118</v>
      </c>
      <c r="B2661" s="4" t="s">
        <v>5119</v>
      </c>
      <c r="C2661" s="4" t="s">
        <v>2096</v>
      </c>
      <c r="D2661" s="4" t="s">
        <v>4764</v>
      </c>
      <c r="E2661" s="4" t="s">
        <v>5120</v>
      </c>
      <c r="F2661" s="4" t="s">
        <v>5121</v>
      </c>
      <c r="G2661" s="4" t="s">
        <v>5122</v>
      </c>
      <c r="H2661" s="4" t="s">
        <v>5111</v>
      </c>
      <c r="I2661" s="4" t="s">
        <v>2100</v>
      </c>
      <c r="J2661" s="4" t="s">
        <v>2153</v>
      </c>
      <c r="K2661">
        <v>10</v>
      </c>
      <c r="L2661">
        <v>3.05</v>
      </c>
      <c r="M2661">
        <v>19.049999999999997</v>
      </c>
      <c r="N2661">
        <v>139.69999999999999</v>
      </c>
      <c r="O2661">
        <v>120.07874015748031</v>
      </c>
      <c r="P2661">
        <v>0.74999999999999989</v>
      </c>
      <c r="Q2661">
        <v>5.5</v>
      </c>
      <c r="R2661">
        <v>1232.8030000000001</v>
      </c>
      <c r="S2661">
        <v>8.1169192499999966E-3</v>
      </c>
      <c r="T2661" s="4" t="s">
        <v>5123</v>
      </c>
    </row>
    <row r="2662" spans="1:20" x14ac:dyDescent="0.2">
      <c r="A2662" s="4" t="s">
        <v>5118</v>
      </c>
      <c r="B2662" s="4" t="s">
        <v>5119</v>
      </c>
      <c r="C2662" s="4" t="s">
        <v>2096</v>
      </c>
      <c r="D2662" s="4" t="s">
        <v>4764</v>
      </c>
      <c r="E2662" s="4" t="s">
        <v>5124</v>
      </c>
      <c r="F2662" s="4" t="s">
        <v>5121</v>
      </c>
      <c r="G2662" s="4" t="s">
        <v>5122</v>
      </c>
      <c r="H2662" s="4" t="s">
        <v>5111</v>
      </c>
      <c r="I2662" s="4" t="s">
        <v>2100</v>
      </c>
      <c r="J2662" s="4" t="s">
        <v>2153</v>
      </c>
      <c r="K2662">
        <v>11</v>
      </c>
      <c r="L2662">
        <v>3.35</v>
      </c>
      <c r="M2662">
        <v>19.049999999999997</v>
      </c>
      <c r="N2662">
        <v>139.69999999999999</v>
      </c>
      <c r="O2662">
        <v>131.88976377952756</v>
      </c>
      <c r="P2662">
        <v>0.74999999999999989</v>
      </c>
      <c r="Q2662">
        <v>5.5</v>
      </c>
      <c r="R2662">
        <v>1232.8030000000001</v>
      </c>
      <c r="S2662">
        <v>8.9153047499999985E-3</v>
      </c>
      <c r="T2662" s="4" t="s">
        <v>5123</v>
      </c>
    </row>
    <row r="2663" spans="1:20" x14ac:dyDescent="0.2">
      <c r="A2663" s="4" t="s">
        <v>5118</v>
      </c>
      <c r="B2663" s="4" t="s">
        <v>5119</v>
      </c>
      <c r="C2663" s="4" t="s">
        <v>2096</v>
      </c>
      <c r="D2663" s="4" t="s">
        <v>4764</v>
      </c>
      <c r="E2663" s="4" t="s">
        <v>5125</v>
      </c>
      <c r="F2663" s="4" t="s">
        <v>5121</v>
      </c>
      <c r="G2663" s="4" t="s">
        <v>5122</v>
      </c>
      <c r="H2663" s="4" t="s">
        <v>5111</v>
      </c>
      <c r="I2663" s="4" t="s">
        <v>2100</v>
      </c>
      <c r="J2663" s="4" t="s">
        <v>2153</v>
      </c>
      <c r="K2663">
        <v>12</v>
      </c>
      <c r="L2663">
        <v>3.66</v>
      </c>
      <c r="M2663">
        <v>19.049999999999997</v>
      </c>
      <c r="N2663">
        <v>139.69999999999999</v>
      </c>
      <c r="O2663">
        <v>144.09448818897638</v>
      </c>
      <c r="P2663">
        <v>0.74999999999999989</v>
      </c>
      <c r="Q2663">
        <v>5.5</v>
      </c>
      <c r="R2663">
        <v>1232.8030000000001</v>
      </c>
      <c r="S2663">
        <v>9.7403030999999984E-3</v>
      </c>
      <c r="T2663" s="4" t="s">
        <v>5123</v>
      </c>
    </row>
    <row r="2664" spans="1:20" x14ac:dyDescent="0.2">
      <c r="A2664" s="4" t="s">
        <v>5118</v>
      </c>
      <c r="B2664" s="4" t="s">
        <v>5119</v>
      </c>
      <c r="C2664" s="4" t="s">
        <v>2096</v>
      </c>
      <c r="D2664" s="4" t="s">
        <v>4764</v>
      </c>
      <c r="E2664" s="4" t="s">
        <v>5126</v>
      </c>
      <c r="F2664" s="4" t="s">
        <v>5121</v>
      </c>
      <c r="G2664" s="4" t="s">
        <v>5122</v>
      </c>
      <c r="H2664" s="4" t="s">
        <v>5111</v>
      </c>
      <c r="I2664" s="4" t="s">
        <v>2100</v>
      </c>
      <c r="J2664" s="4" t="s">
        <v>2153</v>
      </c>
      <c r="K2664">
        <v>13</v>
      </c>
      <c r="L2664">
        <v>3.96</v>
      </c>
      <c r="M2664">
        <v>19.049999999999997</v>
      </c>
      <c r="N2664">
        <v>139.69999999999999</v>
      </c>
      <c r="O2664">
        <v>155.90551181102362</v>
      </c>
      <c r="P2664">
        <v>0.74999999999999989</v>
      </c>
      <c r="Q2664">
        <v>5.5</v>
      </c>
      <c r="R2664">
        <v>1232.8030000000001</v>
      </c>
      <c r="S2664">
        <v>1.0538688599999999E-2</v>
      </c>
      <c r="T2664" s="4" t="s">
        <v>5123</v>
      </c>
    </row>
    <row r="2665" spans="1:20" x14ac:dyDescent="0.2">
      <c r="A2665" s="4" t="s">
        <v>5118</v>
      </c>
      <c r="B2665" s="4" t="s">
        <v>5119</v>
      </c>
      <c r="C2665" s="4" t="s">
        <v>2096</v>
      </c>
      <c r="D2665" s="4" t="s">
        <v>4764</v>
      </c>
      <c r="E2665" s="4" t="s">
        <v>5127</v>
      </c>
      <c r="F2665" s="4" t="s">
        <v>5121</v>
      </c>
      <c r="G2665" s="4" t="s">
        <v>5122</v>
      </c>
      <c r="H2665" s="4" t="s">
        <v>5111</v>
      </c>
      <c r="I2665" s="4" t="s">
        <v>2100</v>
      </c>
      <c r="J2665" s="4" t="s">
        <v>2153</v>
      </c>
      <c r="K2665">
        <v>14</v>
      </c>
      <c r="L2665">
        <v>4.2699999999999996</v>
      </c>
      <c r="M2665">
        <v>19.049999999999997</v>
      </c>
      <c r="N2665">
        <v>139.69999999999999</v>
      </c>
      <c r="O2665">
        <v>168.11023622047244</v>
      </c>
      <c r="P2665">
        <v>0.74999999999999989</v>
      </c>
      <c r="Q2665">
        <v>5.5</v>
      </c>
      <c r="R2665">
        <v>1232.8030000000001</v>
      </c>
      <c r="S2665">
        <v>1.1363686949999995E-2</v>
      </c>
      <c r="T2665" s="4" t="s">
        <v>5123</v>
      </c>
    </row>
    <row r="2666" spans="1:20" x14ac:dyDescent="0.2">
      <c r="A2666" s="4" t="s">
        <v>5118</v>
      </c>
      <c r="B2666" s="4" t="s">
        <v>5119</v>
      </c>
      <c r="C2666" s="4" t="s">
        <v>2096</v>
      </c>
      <c r="D2666" s="4" t="s">
        <v>4764</v>
      </c>
      <c r="E2666" s="4" t="s">
        <v>5128</v>
      </c>
      <c r="F2666" s="4" t="s">
        <v>5121</v>
      </c>
      <c r="G2666" s="4" t="s">
        <v>5122</v>
      </c>
      <c r="H2666" s="4" t="s">
        <v>5111</v>
      </c>
      <c r="I2666" s="4" t="s">
        <v>2100</v>
      </c>
      <c r="J2666" s="4" t="s">
        <v>2153</v>
      </c>
      <c r="K2666">
        <v>15</v>
      </c>
      <c r="L2666">
        <v>4.57</v>
      </c>
      <c r="M2666">
        <v>19.049999999999997</v>
      </c>
      <c r="N2666">
        <v>139.69999999999999</v>
      </c>
      <c r="O2666">
        <v>179.9212598425197</v>
      </c>
      <c r="P2666">
        <v>0.74999999999999989</v>
      </c>
      <c r="Q2666">
        <v>5.5</v>
      </c>
      <c r="R2666">
        <v>1232.8030000000001</v>
      </c>
      <c r="S2666">
        <v>1.2162072449999999E-2</v>
      </c>
      <c r="T2666" s="4" t="s">
        <v>5123</v>
      </c>
    </row>
    <row r="2667" spans="1:20" x14ac:dyDescent="0.2">
      <c r="A2667" s="4" t="s">
        <v>5118</v>
      </c>
      <c r="B2667" s="4" t="s">
        <v>5119</v>
      </c>
      <c r="C2667" s="4" t="s">
        <v>2096</v>
      </c>
      <c r="D2667" s="4" t="s">
        <v>4764</v>
      </c>
      <c r="E2667" s="4" t="s">
        <v>5129</v>
      </c>
      <c r="F2667" s="4" t="s">
        <v>5121</v>
      </c>
      <c r="G2667" s="4" t="s">
        <v>5122</v>
      </c>
      <c r="H2667" s="4" t="s">
        <v>5111</v>
      </c>
      <c r="I2667" s="4" t="s">
        <v>2100</v>
      </c>
      <c r="J2667" s="4" t="s">
        <v>2153</v>
      </c>
      <c r="K2667">
        <v>16</v>
      </c>
      <c r="L2667">
        <v>4.88</v>
      </c>
      <c r="M2667">
        <v>19.049999999999997</v>
      </c>
      <c r="N2667">
        <v>139.69999999999999</v>
      </c>
      <c r="O2667">
        <v>192.1259842519685</v>
      </c>
      <c r="P2667">
        <v>0.74999999999999989</v>
      </c>
      <c r="Q2667">
        <v>5.5</v>
      </c>
      <c r="R2667">
        <v>1232.8030000000001</v>
      </c>
      <c r="S2667">
        <v>1.2987070799999998E-2</v>
      </c>
      <c r="T2667" s="4" t="s">
        <v>5123</v>
      </c>
    </row>
    <row r="2668" spans="1:20" x14ac:dyDescent="0.2">
      <c r="A2668" s="4" t="s">
        <v>5118</v>
      </c>
      <c r="B2668" s="4" t="s">
        <v>5119</v>
      </c>
      <c r="C2668" s="4" t="s">
        <v>2096</v>
      </c>
      <c r="D2668" s="4" t="s">
        <v>4764</v>
      </c>
      <c r="E2668" s="4" t="s">
        <v>5130</v>
      </c>
      <c r="F2668" s="4" t="s">
        <v>5121</v>
      </c>
      <c r="G2668" s="4" t="s">
        <v>5122</v>
      </c>
      <c r="H2668" s="4" t="s">
        <v>5111</v>
      </c>
      <c r="I2668" s="4" t="s">
        <v>2100</v>
      </c>
      <c r="J2668" s="4" t="s">
        <v>2153</v>
      </c>
      <c r="K2668">
        <v>17</v>
      </c>
      <c r="L2668">
        <v>5.18</v>
      </c>
      <c r="M2668">
        <v>19.049999999999997</v>
      </c>
      <c r="N2668">
        <v>139.69999999999999</v>
      </c>
      <c r="O2668">
        <v>203.93700787401573</v>
      </c>
      <c r="P2668">
        <v>0.74999999999999989</v>
      </c>
      <c r="Q2668">
        <v>5.5</v>
      </c>
      <c r="R2668">
        <v>1232.8030000000001</v>
      </c>
      <c r="S2668">
        <v>1.3785456299999995E-2</v>
      </c>
      <c r="T2668" s="4" t="s">
        <v>5123</v>
      </c>
    </row>
    <row r="2669" spans="1:20" x14ac:dyDescent="0.2">
      <c r="A2669" s="4" t="s">
        <v>5118</v>
      </c>
      <c r="B2669" s="4" t="s">
        <v>5119</v>
      </c>
      <c r="C2669" s="4" t="s">
        <v>2096</v>
      </c>
      <c r="D2669" s="4" t="s">
        <v>4764</v>
      </c>
      <c r="E2669" s="4" t="s">
        <v>5131</v>
      </c>
      <c r="F2669" s="4" t="s">
        <v>5121</v>
      </c>
      <c r="G2669" s="4" t="s">
        <v>5122</v>
      </c>
      <c r="H2669" s="4" t="s">
        <v>5111</v>
      </c>
      <c r="I2669" s="4" t="s">
        <v>2100</v>
      </c>
      <c r="J2669" s="4" t="s">
        <v>2153</v>
      </c>
      <c r="K2669">
        <v>18</v>
      </c>
      <c r="L2669">
        <v>5.49</v>
      </c>
      <c r="M2669">
        <v>19.049999999999997</v>
      </c>
      <c r="N2669">
        <v>139.69999999999999</v>
      </c>
      <c r="O2669">
        <v>216.14173228346459</v>
      </c>
      <c r="P2669">
        <v>0.74999999999999989</v>
      </c>
      <c r="Q2669">
        <v>5.5</v>
      </c>
      <c r="R2669">
        <v>1232.8030000000001</v>
      </c>
      <c r="S2669">
        <v>1.4610454649999998E-2</v>
      </c>
      <c r="T2669" s="4" t="s">
        <v>5123</v>
      </c>
    </row>
    <row r="2670" spans="1:20" x14ac:dyDescent="0.2">
      <c r="A2670" s="4" t="s">
        <v>5118</v>
      </c>
      <c r="B2670" s="4" t="s">
        <v>5119</v>
      </c>
      <c r="C2670" s="4" t="s">
        <v>2286</v>
      </c>
      <c r="D2670" s="4" t="s">
        <v>4764</v>
      </c>
      <c r="E2670" s="4" t="s">
        <v>5132</v>
      </c>
      <c r="F2670" s="4" t="s">
        <v>5121</v>
      </c>
      <c r="G2670" s="4" t="s">
        <v>5122</v>
      </c>
      <c r="H2670" s="4" t="s">
        <v>5111</v>
      </c>
      <c r="I2670" s="4" t="s">
        <v>2100</v>
      </c>
      <c r="J2670" s="4" t="s">
        <v>2153</v>
      </c>
      <c r="K2670">
        <v>4</v>
      </c>
      <c r="L2670">
        <v>1.22</v>
      </c>
      <c r="M2670">
        <v>19.049999999999997</v>
      </c>
      <c r="N2670">
        <v>139.69999999999999</v>
      </c>
      <c r="O2670">
        <v>48.031496062992126</v>
      </c>
      <c r="P2670">
        <v>0.74999999999999989</v>
      </c>
      <c r="Q2670">
        <v>5.5</v>
      </c>
      <c r="R2670">
        <v>1232.8030000000001</v>
      </c>
      <c r="S2670">
        <v>3.2467676999999996E-3</v>
      </c>
      <c r="T2670" s="4" t="s">
        <v>5133</v>
      </c>
    </row>
    <row r="2671" spans="1:20" x14ac:dyDescent="0.2">
      <c r="A2671" s="4" t="s">
        <v>5118</v>
      </c>
      <c r="B2671" s="4" t="s">
        <v>5119</v>
      </c>
      <c r="C2671" s="4" t="s">
        <v>2286</v>
      </c>
      <c r="D2671" s="4" t="s">
        <v>4764</v>
      </c>
      <c r="E2671" s="4" t="s">
        <v>5134</v>
      </c>
      <c r="F2671" s="4" t="s">
        <v>5121</v>
      </c>
      <c r="G2671" s="4" t="s">
        <v>5122</v>
      </c>
      <c r="H2671" s="4" t="s">
        <v>5111</v>
      </c>
      <c r="I2671" s="4" t="s">
        <v>2100</v>
      </c>
      <c r="J2671" s="4" t="s">
        <v>2153</v>
      </c>
      <c r="K2671">
        <v>5</v>
      </c>
      <c r="L2671">
        <v>1.52</v>
      </c>
      <c r="M2671">
        <v>19.049999999999997</v>
      </c>
      <c r="N2671">
        <v>139.69999999999999</v>
      </c>
      <c r="O2671">
        <v>59.84251968503937</v>
      </c>
      <c r="P2671">
        <v>0.74999999999999989</v>
      </c>
      <c r="Q2671">
        <v>5.5</v>
      </c>
      <c r="R2671">
        <v>1232.8030000000001</v>
      </c>
      <c r="S2671">
        <v>4.0451531999999985E-3</v>
      </c>
      <c r="T2671" s="4" t="s">
        <v>5133</v>
      </c>
    </row>
    <row r="2672" spans="1:20" x14ac:dyDescent="0.2">
      <c r="A2672" s="4" t="s">
        <v>5118</v>
      </c>
      <c r="B2672" s="4" t="s">
        <v>5119</v>
      </c>
      <c r="C2672" s="4" t="s">
        <v>2286</v>
      </c>
      <c r="D2672" s="4" t="s">
        <v>4764</v>
      </c>
      <c r="E2672" s="4" t="s">
        <v>5135</v>
      </c>
      <c r="F2672" s="4" t="s">
        <v>5121</v>
      </c>
      <c r="G2672" s="4" t="s">
        <v>5122</v>
      </c>
      <c r="H2672" s="4" t="s">
        <v>5111</v>
      </c>
      <c r="I2672" s="4" t="s">
        <v>2100</v>
      </c>
      <c r="J2672" s="4" t="s">
        <v>2153</v>
      </c>
      <c r="K2672">
        <v>6</v>
      </c>
      <c r="L2672">
        <v>1.83</v>
      </c>
      <c r="M2672">
        <v>19.049999999999997</v>
      </c>
      <c r="N2672">
        <v>139.69999999999999</v>
      </c>
      <c r="O2672">
        <v>72.047244094488192</v>
      </c>
      <c r="P2672">
        <v>0.74999999999999989</v>
      </c>
      <c r="Q2672">
        <v>5.5</v>
      </c>
      <c r="R2672">
        <v>1232.8030000000001</v>
      </c>
      <c r="S2672">
        <v>4.8701515499999992E-3</v>
      </c>
      <c r="T2672" s="4" t="s">
        <v>5133</v>
      </c>
    </row>
    <row r="2673" spans="1:20" x14ac:dyDescent="0.2">
      <c r="A2673" s="4" t="s">
        <v>5118</v>
      </c>
      <c r="B2673" s="4" t="s">
        <v>5119</v>
      </c>
      <c r="C2673" s="4" t="s">
        <v>2286</v>
      </c>
      <c r="D2673" s="4" t="s">
        <v>4764</v>
      </c>
      <c r="E2673" s="4" t="s">
        <v>5136</v>
      </c>
      <c r="F2673" s="4" t="s">
        <v>5121</v>
      </c>
      <c r="G2673" s="4" t="s">
        <v>5122</v>
      </c>
      <c r="H2673" s="4" t="s">
        <v>5111</v>
      </c>
      <c r="I2673" s="4" t="s">
        <v>2100</v>
      </c>
      <c r="J2673" s="4" t="s">
        <v>2153</v>
      </c>
      <c r="K2673">
        <v>7</v>
      </c>
      <c r="L2673">
        <v>2.13</v>
      </c>
      <c r="M2673">
        <v>19.049999999999997</v>
      </c>
      <c r="N2673">
        <v>139.69999999999999</v>
      </c>
      <c r="O2673">
        <v>83.858267716535437</v>
      </c>
      <c r="P2673">
        <v>0.74999999999999989</v>
      </c>
      <c r="Q2673">
        <v>5.5</v>
      </c>
      <c r="R2673">
        <v>1232.8030000000001</v>
      </c>
      <c r="S2673">
        <v>5.6685370499999976E-3</v>
      </c>
      <c r="T2673" s="4" t="s">
        <v>5133</v>
      </c>
    </row>
    <row r="2674" spans="1:20" x14ac:dyDescent="0.2">
      <c r="A2674" s="4" t="s">
        <v>5118</v>
      </c>
      <c r="B2674" s="4" t="s">
        <v>5119</v>
      </c>
      <c r="C2674" s="4" t="s">
        <v>2096</v>
      </c>
      <c r="D2674" s="4" t="s">
        <v>4764</v>
      </c>
      <c r="E2674" s="4" t="s">
        <v>5137</v>
      </c>
      <c r="F2674" s="4" t="s">
        <v>5121</v>
      </c>
      <c r="G2674" s="4" t="s">
        <v>5122</v>
      </c>
      <c r="H2674" s="4" t="s">
        <v>5111</v>
      </c>
      <c r="I2674" s="4" t="s">
        <v>2100</v>
      </c>
      <c r="J2674" s="4" t="s">
        <v>2153</v>
      </c>
      <c r="K2674">
        <v>8</v>
      </c>
      <c r="L2674">
        <v>2.44</v>
      </c>
      <c r="M2674">
        <v>19.049999999999997</v>
      </c>
      <c r="N2674">
        <v>139.69999999999999</v>
      </c>
      <c r="O2674">
        <v>96.062992125984252</v>
      </c>
      <c r="P2674">
        <v>0.74999999999999989</v>
      </c>
      <c r="Q2674">
        <v>5.5</v>
      </c>
      <c r="R2674">
        <v>1232.8030000000001</v>
      </c>
      <c r="S2674">
        <v>6.4935353999999992E-3</v>
      </c>
      <c r="T2674" s="4" t="s">
        <v>5123</v>
      </c>
    </row>
    <row r="2675" spans="1:20" x14ac:dyDescent="0.2">
      <c r="A2675" s="4" t="s">
        <v>5118</v>
      </c>
      <c r="B2675" s="4" t="s">
        <v>5119</v>
      </c>
      <c r="C2675" s="4" t="s">
        <v>2096</v>
      </c>
      <c r="D2675" s="4" t="s">
        <v>4764</v>
      </c>
      <c r="E2675" s="4" t="s">
        <v>5138</v>
      </c>
      <c r="F2675" s="4" t="s">
        <v>5121</v>
      </c>
      <c r="G2675" s="4" t="s">
        <v>5122</v>
      </c>
      <c r="H2675" s="4" t="s">
        <v>5111</v>
      </c>
      <c r="I2675" s="4" t="s">
        <v>2100</v>
      </c>
      <c r="J2675" s="4" t="s">
        <v>2153</v>
      </c>
      <c r="K2675">
        <v>9</v>
      </c>
      <c r="L2675">
        <v>2.74</v>
      </c>
      <c r="M2675">
        <v>19.049999999999997</v>
      </c>
      <c r="N2675">
        <v>139.69999999999999</v>
      </c>
      <c r="O2675">
        <v>107.87401574803151</v>
      </c>
      <c r="P2675">
        <v>0.74999999999999989</v>
      </c>
      <c r="Q2675">
        <v>5.5</v>
      </c>
      <c r="R2675">
        <v>1232.8030000000001</v>
      </c>
      <c r="S2675">
        <v>7.2919208999999985E-3</v>
      </c>
      <c r="T2675" s="4" t="s">
        <v>5123</v>
      </c>
    </row>
    <row r="2676" spans="1:20" x14ac:dyDescent="0.2">
      <c r="A2676" s="4" t="s">
        <v>5118</v>
      </c>
      <c r="B2676" s="4" t="s">
        <v>5139</v>
      </c>
      <c r="C2676" s="4" t="s">
        <v>2096</v>
      </c>
      <c r="D2676" s="4" t="s">
        <v>4764</v>
      </c>
      <c r="E2676" s="4" t="s">
        <v>2019</v>
      </c>
      <c r="F2676" s="4" t="s">
        <v>5140</v>
      </c>
      <c r="G2676" s="4" t="s">
        <v>5122</v>
      </c>
      <c r="H2676" s="4" t="s">
        <v>2183</v>
      </c>
      <c r="I2676" s="4" t="s">
        <v>2100</v>
      </c>
      <c r="J2676" s="4" t="s">
        <v>3117</v>
      </c>
      <c r="K2676">
        <v>10</v>
      </c>
      <c r="L2676">
        <v>3.05</v>
      </c>
      <c r="M2676">
        <v>19.049999999999997</v>
      </c>
      <c r="N2676">
        <v>260.35000000000002</v>
      </c>
      <c r="O2676">
        <v>120.07874015748031</v>
      </c>
      <c r="P2676">
        <v>0.74999999999999989</v>
      </c>
      <c r="Q2676">
        <v>10.250000000000002</v>
      </c>
      <c r="R2676">
        <v>661.50400000000002</v>
      </c>
      <c r="S2676">
        <v>1.5126985874999997E-2</v>
      </c>
      <c r="T2676" s="4" t="s">
        <v>5141</v>
      </c>
    </row>
    <row r="2677" spans="1:20" x14ac:dyDescent="0.2">
      <c r="A2677" s="4" t="s">
        <v>5118</v>
      </c>
      <c r="B2677" s="4" t="s">
        <v>5139</v>
      </c>
      <c r="C2677" s="4" t="s">
        <v>2096</v>
      </c>
      <c r="D2677" s="4" t="s">
        <v>4764</v>
      </c>
      <c r="E2677" s="4" t="s">
        <v>2021</v>
      </c>
      <c r="F2677" s="4" t="s">
        <v>5140</v>
      </c>
      <c r="G2677" s="4" t="s">
        <v>5122</v>
      </c>
      <c r="H2677" s="4" t="s">
        <v>2183</v>
      </c>
      <c r="I2677" s="4" t="s">
        <v>2100</v>
      </c>
      <c r="J2677" s="4" t="s">
        <v>3117</v>
      </c>
      <c r="K2677">
        <v>11</v>
      </c>
      <c r="L2677">
        <v>3.35</v>
      </c>
      <c r="M2677">
        <v>19.049999999999997</v>
      </c>
      <c r="N2677">
        <v>260.35000000000002</v>
      </c>
      <c r="O2677">
        <v>131.88976377952756</v>
      </c>
      <c r="P2677">
        <v>0.74999999999999989</v>
      </c>
      <c r="Q2677">
        <v>10.250000000000002</v>
      </c>
      <c r="R2677">
        <v>661.50400000000002</v>
      </c>
      <c r="S2677">
        <v>1.6614886125000002E-2</v>
      </c>
      <c r="T2677" s="4" t="s">
        <v>5141</v>
      </c>
    </row>
    <row r="2678" spans="1:20" x14ac:dyDescent="0.2">
      <c r="A2678" s="4" t="s">
        <v>5118</v>
      </c>
      <c r="B2678" s="4" t="s">
        <v>5139</v>
      </c>
      <c r="C2678" s="4" t="s">
        <v>2096</v>
      </c>
      <c r="D2678" s="4" t="s">
        <v>4764</v>
      </c>
      <c r="E2678" s="4" t="s">
        <v>5142</v>
      </c>
      <c r="F2678" s="4" t="s">
        <v>5140</v>
      </c>
      <c r="G2678" s="4" t="s">
        <v>5122</v>
      </c>
      <c r="H2678" s="4" t="s">
        <v>2183</v>
      </c>
      <c r="I2678" s="4" t="s">
        <v>2100</v>
      </c>
      <c r="J2678" s="4" t="s">
        <v>3117</v>
      </c>
      <c r="K2678">
        <v>12</v>
      </c>
      <c r="L2678">
        <v>3.66</v>
      </c>
      <c r="M2678">
        <v>19.049999999999997</v>
      </c>
      <c r="N2678">
        <v>260.35000000000002</v>
      </c>
      <c r="O2678">
        <v>144.09448818897638</v>
      </c>
      <c r="P2678">
        <v>0.74999999999999989</v>
      </c>
      <c r="Q2678">
        <v>10.250000000000002</v>
      </c>
      <c r="R2678">
        <v>661.50400000000002</v>
      </c>
      <c r="S2678">
        <v>1.8152383050000002E-2</v>
      </c>
      <c r="T2678" s="4" t="s">
        <v>5141</v>
      </c>
    </row>
    <row r="2679" spans="1:20" x14ac:dyDescent="0.2">
      <c r="A2679" s="4" t="s">
        <v>5118</v>
      </c>
      <c r="B2679" s="4" t="s">
        <v>5139</v>
      </c>
      <c r="C2679" s="4" t="s">
        <v>2096</v>
      </c>
      <c r="D2679" s="4" t="s">
        <v>4764</v>
      </c>
      <c r="E2679" s="4" t="s">
        <v>2023</v>
      </c>
      <c r="F2679" s="4" t="s">
        <v>5140</v>
      </c>
      <c r="G2679" s="4" t="s">
        <v>5122</v>
      </c>
      <c r="H2679" s="4" t="s">
        <v>2183</v>
      </c>
      <c r="I2679" s="4" t="s">
        <v>2100</v>
      </c>
      <c r="J2679" s="4" t="s">
        <v>3117</v>
      </c>
      <c r="K2679">
        <v>13</v>
      </c>
      <c r="L2679">
        <v>3.96</v>
      </c>
      <c r="M2679">
        <v>19.049999999999997</v>
      </c>
      <c r="N2679">
        <v>260.35000000000002</v>
      </c>
      <c r="O2679">
        <v>155.90551181102362</v>
      </c>
      <c r="P2679">
        <v>0.74999999999999989</v>
      </c>
      <c r="Q2679">
        <v>10.250000000000002</v>
      </c>
      <c r="R2679">
        <v>661.50400000000002</v>
      </c>
      <c r="S2679">
        <v>1.9640283299999999E-2</v>
      </c>
      <c r="T2679" s="4" t="s">
        <v>5141</v>
      </c>
    </row>
    <row r="2680" spans="1:20" x14ac:dyDescent="0.2">
      <c r="A2680" s="4" t="s">
        <v>5118</v>
      </c>
      <c r="B2680" s="4" t="s">
        <v>5139</v>
      </c>
      <c r="C2680" s="4" t="s">
        <v>2096</v>
      </c>
      <c r="D2680" s="4" t="s">
        <v>4764</v>
      </c>
      <c r="E2680" s="4" t="s">
        <v>2025</v>
      </c>
      <c r="F2680" s="4" t="s">
        <v>5140</v>
      </c>
      <c r="G2680" s="4" t="s">
        <v>5122</v>
      </c>
      <c r="H2680" s="4" t="s">
        <v>2183</v>
      </c>
      <c r="I2680" s="4" t="s">
        <v>2100</v>
      </c>
      <c r="J2680" s="4" t="s">
        <v>3117</v>
      </c>
      <c r="K2680">
        <v>14</v>
      </c>
      <c r="L2680">
        <v>4.2699999999999996</v>
      </c>
      <c r="M2680">
        <v>19.049999999999997</v>
      </c>
      <c r="N2680">
        <v>260.35000000000002</v>
      </c>
      <c r="O2680">
        <v>168.11023622047244</v>
      </c>
      <c r="P2680">
        <v>0.74999999999999989</v>
      </c>
      <c r="Q2680">
        <v>10.250000000000002</v>
      </c>
      <c r="R2680">
        <v>661.50400000000002</v>
      </c>
      <c r="S2680">
        <v>2.1177780224999995E-2</v>
      </c>
      <c r="T2680" s="4" t="s">
        <v>5141</v>
      </c>
    </row>
    <row r="2681" spans="1:20" x14ac:dyDescent="0.2">
      <c r="A2681" s="4" t="s">
        <v>5118</v>
      </c>
      <c r="B2681" s="4" t="s">
        <v>5139</v>
      </c>
      <c r="C2681" s="4" t="s">
        <v>2096</v>
      </c>
      <c r="D2681" s="4" t="s">
        <v>4764</v>
      </c>
      <c r="E2681" s="4" t="s">
        <v>5143</v>
      </c>
      <c r="F2681" s="4" t="s">
        <v>5140</v>
      </c>
      <c r="G2681" s="4" t="s">
        <v>5122</v>
      </c>
      <c r="H2681" s="4" t="s">
        <v>2183</v>
      </c>
      <c r="I2681" s="4" t="s">
        <v>2100</v>
      </c>
      <c r="J2681" s="4" t="s">
        <v>3117</v>
      </c>
      <c r="K2681">
        <v>15</v>
      </c>
      <c r="L2681">
        <v>4.57</v>
      </c>
      <c r="M2681">
        <v>19.049999999999997</v>
      </c>
      <c r="N2681">
        <v>260.35000000000002</v>
      </c>
      <c r="O2681">
        <v>179.9212598425197</v>
      </c>
      <c r="P2681">
        <v>0.74999999999999989</v>
      </c>
      <c r="Q2681">
        <v>10.250000000000002</v>
      </c>
      <c r="R2681">
        <v>661.50400000000002</v>
      </c>
      <c r="S2681">
        <v>2.2665680475000002E-2</v>
      </c>
      <c r="T2681" s="4" t="s">
        <v>5141</v>
      </c>
    </row>
    <row r="2682" spans="1:20" x14ac:dyDescent="0.2">
      <c r="A2682" s="4" t="s">
        <v>5118</v>
      </c>
      <c r="B2682" s="4" t="s">
        <v>5139</v>
      </c>
      <c r="C2682" s="4" t="s">
        <v>2096</v>
      </c>
      <c r="D2682" s="4" t="s">
        <v>4764</v>
      </c>
      <c r="E2682" s="4" t="s">
        <v>2027</v>
      </c>
      <c r="F2682" s="4" t="s">
        <v>5140</v>
      </c>
      <c r="G2682" s="4" t="s">
        <v>5122</v>
      </c>
      <c r="H2682" s="4" t="s">
        <v>2183</v>
      </c>
      <c r="I2682" s="4" t="s">
        <v>2100</v>
      </c>
      <c r="J2682" s="4" t="s">
        <v>3117</v>
      </c>
      <c r="K2682">
        <v>16</v>
      </c>
      <c r="L2682">
        <v>4.88</v>
      </c>
      <c r="M2682">
        <v>19.049999999999997</v>
      </c>
      <c r="N2682">
        <v>260.35000000000002</v>
      </c>
      <c r="O2682">
        <v>192.1259842519685</v>
      </c>
      <c r="P2682">
        <v>0.74999999999999989</v>
      </c>
      <c r="Q2682">
        <v>10.250000000000002</v>
      </c>
      <c r="R2682">
        <v>661.50400000000002</v>
      </c>
      <c r="S2682">
        <v>2.4203177400000001E-2</v>
      </c>
      <c r="T2682" s="4" t="s">
        <v>5141</v>
      </c>
    </row>
    <row r="2683" spans="1:20" x14ac:dyDescent="0.2">
      <c r="A2683" s="4" t="s">
        <v>5118</v>
      </c>
      <c r="B2683" s="4" t="s">
        <v>5139</v>
      </c>
      <c r="C2683" s="4" t="s">
        <v>2096</v>
      </c>
      <c r="D2683" s="4" t="s">
        <v>4764</v>
      </c>
      <c r="E2683" s="4" t="s">
        <v>2029</v>
      </c>
      <c r="F2683" s="4" t="s">
        <v>5140</v>
      </c>
      <c r="G2683" s="4" t="s">
        <v>5122</v>
      </c>
      <c r="H2683" s="4" t="s">
        <v>2183</v>
      </c>
      <c r="I2683" s="4" t="s">
        <v>2100</v>
      </c>
      <c r="J2683" s="4" t="s">
        <v>3117</v>
      </c>
      <c r="K2683">
        <v>17</v>
      </c>
      <c r="L2683">
        <v>5.18</v>
      </c>
      <c r="M2683">
        <v>19.049999999999997</v>
      </c>
      <c r="N2683">
        <v>260.35000000000002</v>
      </c>
      <c r="O2683">
        <v>203.93700787401573</v>
      </c>
      <c r="P2683">
        <v>0.74999999999999989</v>
      </c>
      <c r="Q2683">
        <v>10.250000000000002</v>
      </c>
      <c r="R2683">
        <v>661.50400000000002</v>
      </c>
      <c r="S2683">
        <v>2.5691077649999998E-2</v>
      </c>
      <c r="T2683" s="4" t="s">
        <v>5141</v>
      </c>
    </row>
    <row r="2684" spans="1:20" x14ac:dyDescent="0.2">
      <c r="A2684" s="4" t="s">
        <v>5118</v>
      </c>
      <c r="B2684" s="4" t="s">
        <v>5139</v>
      </c>
      <c r="C2684" s="4" t="s">
        <v>2096</v>
      </c>
      <c r="D2684" s="4" t="s">
        <v>4764</v>
      </c>
      <c r="E2684" s="4" t="s">
        <v>2031</v>
      </c>
      <c r="F2684" s="4" t="s">
        <v>5140</v>
      </c>
      <c r="G2684" s="4" t="s">
        <v>5122</v>
      </c>
      <c r="H2684" s="4" t="s">
        <v>2183</v>
      </c>
      <c r="I2684" s="4" t="s">
        <v>2100</v>
      </c>
      <c r="J2684" s="4" t="s">
        <v>3117</v>
      </c>
      <c r="K2684">
        <v>18</v>
      </c>
      <c r="L2684">
        <v>5.49</v>
      </c>
      <c r="M2684">
        <v>19.049999999999997</v>
      </c>
      <c r="N2684">
        <v>260.35000000000002</v>
      </c>
      <c r="O2684">
        <v>216.14173228346459</v>
      </c>
      <c r="P2684">
        <v>0.74999999999999989</v>
      </c>
      <c r="Q2684">
        <v>10.250000000000002</v>
      </c>
      <c r="R2684">
        <v>661.50400000000002</v>
      </c>
      <c r="S2684">
        <v>2.7228574575000004E-2</v>
      </c>
      <c r="T2684" s="4" t="s">
        <v>5141</v>
      </c>
    </row>
    <row r="2685" spans="1:20" x14ac:dyDescent="0.2">
      <c r="A2685" s="4" t="s">
        <v>5118</v>
      </c>
      <c r="B2685" s="4" t="s">
        <v>5139</v>
      </c>
      <c r="C2685" s="4" t="s">
        <v>2096</v>
      </c>
      <c r="D2685" s="4" t="s">
        <v>4764</v>
      </c>
      <c r="E2685" s="4" t="s">
        <v>2033</v>
      </c>
      <c r="F2685" s="4" t="s">
        <v>5140</v>
      </c>
      <c r="G2685" s="4" t="s">
        <v>5122</v>
      </c>
      <c r="H2685" s="4" t="s">
        <v>2183</v>
      </c>
      <c r="I2685" s="4" t="s">
        <v>2100</v>
      </c>
      <c r="J2685" s="4" t="s">
        <v>3117</v>
      </c>
      <c r="K2685">
        <v>19</v>
      </c>
      <c r="L2685">
        <v>5.79</v>
      </c>
      <c r="M2685">
        <v>19.049999999999997</v>
      </c>
      <c r="N2685">
        <v>260.35000000000002</v>
      </c>
      <c r="O2685">
        <v>227.95275590551182</v>
      </c>
      <c r="P2685">
        <v>0.74999999999999989</v>
      </c>
      <c r="Q2685">
        <v>10.250000000000002</v>
      </c>
      <c r="R2685">
        <v>661.50400000000002</v>
      </c>
      <c r="S2685">
        <v>2.8716474824999998E-2</v>
      </c>
      <c r="T2685" s="4" t="s">
        <v>5141</v>
      </c>
    </row>
    <row r="2686" spans="1:20" x14ac:dyDescent="0.2">
      <c r="A2686" s="4" t="s">
        <v>5118</v>
      </c>
      <c r="B2686" s="4" t="s">
        <v>5139</v>
      </c>
      <c r="C2686" s="4" t="s">
        <v>2096</v>
      </c>
      <c r="D2686" s="4" t="s">
        <v>4764</v>
      </c>
      <c r="E2686" s="4" t="s">
        <v>2063</v>
      </c>
      <c r="F2686" s="4" t="s">
        <v>5140</v>
      </c>
      <c r="G2686" s="4" t="s">
        <v>5122</v>
      </c>
      <c r="H2686" s="4" t="s">
        <v>2183</v>
      </c>
      <c r="I2686" s="4" t="s">
        <v>2100</v>
      </c>
      <c r="J2686" s="4" t="s">
        <v>3117</v>
      </c>
      <c r="K2686">
        <v>20</v>
      </c>
      <c r="L2686">
        <v>6.09</v>
      </c>
      <c r="M2686">
        <v>19.049999999999997</v>
      </c>
      <c r="N2686">
        <v>260.35000000000002</v>
      </c>
      <c r="O2686">
        <v>239.76377952755905</v>
      </c>
      <c r="P2686">
        <v>0.74999999999999989</v>
      </c>
      <c r="Q2686">
        <v>10.250000000000002</v>
      </c>
      <c r="R2686">
        <v>661.50400000000002</v>
      </c>
      <c r="S2686">
        <v>3.0204375074999998E-2</v>
      </c>
      <c r="T2686" s="4" t="s">
        <v>5141</v>
      </c>
    </row>
    <row r="2687" spans="1:20" x14ac:dyDescent="0.2">
      <c r="A2687" s="4" t="s">
        <v>5118</v>
      </c>
      <c r="B2687" s="4" t="s">
        <v>5139</v>
      </c>
      <c r="C2687" s="4" t="s">
        <v>2286</v>
      </c>
      <c r="D2687" s="4" t="s">
        <v>4764</v>
      </c>
      <c r="E2687" s="4" t="s">
        <v>5144</v>
      </c>
      <c r="F2687" s="4" t="s">
        <v>5140</v>
      </c>
      <c r="G2687" s="4" t="s">
        <v>5122</v>
      </c>
      <c r="H2687" s="4" t="s">
        <v>2183</v>
      </c>
      <c r="I2687" s="4" t="s">
        <v>2100</v>
      </c>
      <c r="J2687" s="4" t="s">
        <v>3117</v>
      </c>
      <c r="K2687">
        <v>4</v>
      </c>
      <c r="L2687">
        <v>1.22</v>
      </c>
      <c r="M2687">
        <v>19.049999999999997</v>
      </c>
      <c r="N2687">
        <v>260.35000000000002</v>
      </c>
      <c r="O2687">
        <v>48.031496062992126</v>
      </c>
      <c r="P2687">
        <v>0.74999999999999989</v>
      </c>
      <c r="Q2687">
        <v>10.250000000000002</v>
      </c>
      <c r="R2687">
        <v>661.50400000000002</v>
      </c>
      <c r="S2687">
        <v>6.0507943500000003E-3</v>
      </c>
      <c r="T2687" s="4" t="s">
        <v>5145</v>
      </c>
    </row>
    <row r="2688" spans="1:20" x14ac:dyDescent="0.2">
      <c r="A2688" s="4" t="s">
        <v>5118</v>
      </c>
      <c r="B2688" s="4" t="s">
        <v>5139</v>
      </c>
      <c r="C2688" s="4" t="s">
        <v>2286</v>
      </c>
      <c r="D2688" s="4" t="s">
        <v>4764</v>
      </c>
      <c r="E2688" s="4" t="s">
        <v>5146</v>
      </c>
      <c r="F2688" s="4" t="s">
        <v>5140</v>
      </c>
      <c r="G2688" s="4" t="s">
        <v>5122</v>
      </c>
      <c r="H2688" s="4" t="s">
        <v>2183</v>
      </c>
      <c r="I2688" s="4" t="s">
        <v>2100</v>
      </c>
      <c r="J2688" s="4" t="s">
        <v>3117</v>
      </c>
      <c r="K2688">
        <v>5</v>
      </c>
      <c r="L2688">
        <v>1.52</v>
      </c>
      <c r="M2688">
        <v>19.049999999999997</v>
      </c>
      <c r="N2688">
        <v>260.35000000000002</v>
      </c>
      <c r="O2688">
        <v>59.84251968503937</v>
      </c>
      <c r="P2688">
        <v>0.74999999999999989</v>
      </c>
      <c r="Q2688">
        <v>10.250000000000002</v>
      </c>
      <c r="R2688">
        <v>661.50400000000002</v>
      </c>
      <c r="S2688">
        <v>7.5386945999999996E-3</v>
      </c>
      <c r="T2688" s="4" t="s">
        <v>5145</v>
      </c>
    </row>
    <row r="2689" spans="1:20" x14ac:dyDescent="0.2">
      <c r="A2689" s="4" t="s">
        <v>5118</v>
      </c>
      <c r="B2689" s="4" t="s">
        <v>5139</v>
      </c>
      <c r="C2689" s="4" t="s">
        <v>2286</v>
      </c>
      <c r="D2689" s="4" t="s">
        <v>4764</v>
      </c>
      <c r="E2689" s="4" t="s">
        <v>5147</v>
      </c>
      <c r="F2689" s="4" t="s">
        <v>5140</v>
      </c>
      <c r="G2689" s="4" t="s">
        <v>5122</v>
      </c>
      <c r="H2689" s="4" t="s">
        <v>2183</v>
      </c>
      <c r="I2689" s="4" t="s">
        <v>2100</v>
      </c>
      <c r="J2689" s="4" t="s">
        <v>3117</v>
      </c>
      <c r="K2689">
        <v>6</v>
      </c>
      <c r="L2689">
        <v>1.83</v>
      </c>
      <c r="M2689">
        <v>19.049999999999997</v>
      </c>
      <c r="N2689">
        <v>260.35000000000002</v>
      </c>
      <c r="O2689">
        <v>72.047244094488192</v>
      </c>
      <c r="P2689">
        <v>0.74999999999999989</v>
      </c>
      <c r="Q2689">
        <v>10.250000000000002</v>
      </c>
      <c r="R2689">
        <v>661.50400000000002</v>
      </c>
      <c r="S2689">
        <v>9.0761915250000009E-3</v>
      </c>
      <c r="T2689" s="4" t="s">
        <v>5145</v>
      </c>
    </row>
    <row r="2690" spans="1:20" x14ac:dyDescent="0.2">
      <c r="A2690" s="4" t="s">
        <v>5118</v>
      </c>
      <c r="B2690" s="4" t="s">
        <v>5139</v>
      </c>
      <c r="C2690" s="4" t="s">
        <v>2286</v>
      </c>
      <c r="D2690" s="4" t="s">
        <v>4764</v>
      </c>
      <c r="E2690" s="4" t="s">
        <v>5148</v>
      </c>
      <c r="F2690" s="4" t="s">
        <v>5140</v>
      </c>
      <c r="G2690" s="4" t="s">
        <v>5122</v>
      </c>
      <c r="H2690" s="4" t="s">
        <v>2183</v>
      </c>
      <c r="I2690" s="4" t="s">
        <v>2100</v>
      </c>
      <c r="J2690" s="4" t="s">
        <v>3117</v>
      </c>
      <c r="K2690">
        <v>7</v>
      </c>
      <c r="L2690">
        <v>2.13</v>
      </c>
      <c r="M2690">
        <v>19.049999999999997</v>
      </c>
      <c r="N2690">
        <v>260.35000000000002</v>
      </c>
      <c r="O2690">
        <v>83.858267716535437</v>
      </c>
      <c r="P2690">
        <v>0.74999999999999989</v>
      </c>
      <c r="Q2690">
        <v>10.250000000000002</v>
      </c>
      <c r="R2690">
        <v>661.50400000000002</v>
      </c>
      <c r="S2690">
        <v>1.0564091774999998E-2</v>
      </c>
      <c r="T2690" s="4" t="s">
        <v>5145</v>
      </c>
    </row>
    <row r="2691" spans="1:20" x14ac:dyDescent="0.2">
      <c r="A2691" s="4" t="s">
        <v>5118</v>
      </c>
      <c r="B2691" s="4" t="s">
        <v>5139</v>
      </c>
      <c r="C2691" s="4" t="s">
        <v>2096</v>
      </c>
      <c r="D2691" s="4" t="s">
        <v>4764</v>
      </c>
      <c r="E2691" s="4" t="s">
        <v>5149</v>
      </c>
      <c r="F2691" s="4" t="s">
        <v>5140</v>
      </c>
      <c r="G2691" s="4" t="s">
        <v>5122</v>
      </c>
      <c r="H2691" s="4" t="s">
        <v>2183</v>
      </c>
      <c r="I2691" s="4" t="s">
        <v>2100</v>
      </c>
      <c r="J2691" s="4" t="s">
        <v>3117</v>
      </c>
      <c r="K2691">
        <v>8</v>
      </c>
      <c r="L2691">
        <v>2.44</v>
      </c>
      <c r="M2691">
        <v>19.049999999999997</v>
      </c>
      <c r="N2691">
        <v>260.35000000000002</v>
      </c>
      <c r="O2691">
        <v>96.062992125984252</v>
      </c>
      <c r="P2691">
        <v>0.74999999999999989</v>
      </c>
      <c r="Q2691">
        <v>10.250000000000002</v>
      </c>
      <c r="R2691">
        <v>661.50400000000002</v>
      </c>
      <c r="S2691">
        <v>1.2101588700000001E-2</v>
      </c>
      <c r="T2691" s="4" t="s">
        <v>5141</v>
      </c>
    </row>
    <row r="2692" spans="1:20" x14ac:dyDescent="0.2">
      <c r="A2692" s="4" t="s">
        <v>5118</v>
      </c>
      <c r="B2692" s="4" t="s">
        <v>5139</v>
      </c>
      <c r="C2692" s="4" t="s">
        <v>2096</v>
      </c>
      <c r="D2692" s="4" t="s">
        <v>4764</v>
      </c>
      <c r="E2692" s="4" t="s">
        <v>2017</v>
      </c>
      <c r="F2692" s="4" t="s">
        <v>5140</v>
      </c>
      <c r="G2692" s="4" t="s">
        <v>5122</v>
      </c>
      <c r="H2692" s="4" t="s">
        <v>2183</v>
      </c>
      <c r="I2692" s="4" t="s">
        <v>2100</v>
      </c>
      <c r="J2692" s="4" t="s">
        <v>3117</v>
      </c>
      <c r="K2692">
        <v>9</v>
      </c>
      <c r="L2692">
        <v>2.74</v>
      </c>
      <c r="M2692">
        <v>19.049999999999997</v>
      </c>
      <c r="N2692">
        <v>260.35000000000002</v>
      </c>
      <c r="O2692">
        <v>107.87401574803151</v>
      </c>
      <c r="P2692">
        <v>0.74999999999999989</v>
      </c>
      <c r="Q2692">
        <v>10.250000000000002</v>
      </c>
      <c r="R2692">
        <v>661.50400000000002</v>
      </c>
      <c r="S2692">
        <v>1.3589488949999999E-2</v>
      </c>
      <c r="T2692" s="4" t="s">
        <v>5141</v>
      </c>
    </row>
    <row r="2693" spans="1:20" x14ac:dyDescent="0.2">
      <c r="A2693" s="4" t="s">
        <v>5118</v>
      </c>
      <c r="B2693" s="4" t="s">
        <v>5150</v>
      </c>
      <c r="C2693" s="4" t="s">
        <v>2096</v>
      </c>
      <c r="D2693" s="4" t="s">
        <v>4764</v>
      </c>
      <c r="E2693" s="4" t="s">
        <v>5151</v>
      </c>
      <c r="F2693" s="4" t="s">
        <v>5152</v>
      </c>
      <c r="G2693" s="4" t="s">
        <v>5122</v>
      </c>
      <c r="H2693" s="4" t="s">
        <v>2183</v>
      </c>
      <c r="I2693" s="4" t="s">
        <v>2100</v>
      </c>
      <c r="J2693" s="4" t="s">
        <v>4993</v>
      </c>
      <c r="K2693">
        <v>10</v>
      </c>
      <c r="L2693">
        <v>3.05</v>
      </c>
      <c r="M2693">
        <v>19.049999999999997</v>
      </c>
      <c r="N2693">
        <v>260.35000000000002</v>
      </c>
      <c r="O2693">
        <v>120.07874015748031</v>
      </c>
      <c r="P2693">
        <v>0.74999999999999989</v>
      </c>
      <c r="Q2693">
        <v>10.250000000000002</v>
      </c>
      <c r="R2693">
        <v>661.50400000000002</v>
      </c>
      <c r="S2693">
        <v>1.5126985874999997E-2</v>
      </c>
      <c r="T2693" s="4" t="s">
        <v>5153</v>
      </c>
    </row>
    <row r="2694" spans="1:20" x14ac:dyDescent="0.2">
      <c r="A2694" s="4" t="s">
        <v>5118</v>
      </c>
      <c r="B2694" s="4" t="s">
        <v>5150</v>
      </c>
      <c r="C2694" s="4" t="s">
        <v>2096</v>
      </c>
      <c r="D2694" s="4" t="s">
        <v>4764</v>
      </c>
      <c r="E2694" s="4" t="s">
        <v>5154</v>
      </c>
      <c r="F2694" s="4" t="s">
        <v>5152</v>
      </c>
      <c r="G2694" s="4" t="s">
        <v>5122</v>
      </c>
      <c r="H2694" s="4" t="s">
        <v>2183</v>
      </c>
      <c r="I2694" s="4" t="s">
        <v>2100</v>
      </c>
      <c r="J2694" s="4" t="s">
        <v>4993</v>
      </c>
      <c r="K2694">
        <v>11</v>
      </c>
      <c r="L2694">
        <v>3.35</v>
      </c>
      <c r="M2694">
        <v>19.049999999999997</v>
      </c>
      <c r="N2694">
        <v>260.35000000000002</v>
      </c>
      <c r="O2694">
        <v>131.88976377952756</v>
      </c>
      <c r="P2694">
        <v>0.74999999999999989</v>
      </c>
      <c r="Q2694">
        <v>10.250000000000002</v>
      </c>
      <c r="R2694">
        <v>661.50400000000002</v>
      </c>
      <c r="S2694">
        <v>1.6614886125000002E-2</v>
      </c>
      <c r="T2694" s="4" t="s">
        <v>5153</v>
      </c>
    </row>
    <row r="2695" spans="1:20" x14ac:dyDescent="0.2">
      <c r="A2695" s="4" t="s">
        <v>5118</v>
      </c>
      <c r="B2695" s="4" t="s">
        <v>5150</v>
      </c>
      <c r="C2695" s="4" t="s">
        <v>2096</v>
      </c>
      <c r="D2695" s="4" t="s">
        <v>4764</v>
      </c>
      <c r="E2695" s="4" t="s">
        <v>5155</v>
      </c>
      <c r="F2695" s="4" t="s">
        <v>5152</v>
      </c>
      <c r="G2695" s="4" t="s">
        <v>5122</v>
      </c>
      <c r="H2695" s="4" t="s">
        <v>2183</v>
      </c>
      <c r="I2695" s="4" t="s">
        <v>2100</v>
      </c>
      <c r="J2695" s="4" t="s">
        <v>4993</v>
      </c>
      <c r="K2695">
        <v>12</v>
      </c>
      <c r="L2695">
        <v>3.66</v>
      </c>
      <c r="M2695">
        <v>19.049999999999997</v>
      </c>
      <c r="N2695">
        <v>260.35000000000002</v>
      </c>
      <c r="O2695">
        <v>144.09448818897638</v>
      </c>
      <c r="P2695">
        <v>0.74999999999999989</v>
      </c>
      <c r="Q2695">
        <v>10.250000000000002</v>
      </c>
      <c r="R2695">
        <v>661.50400000000002</v>
      </c>
      <c r="S2695">
        <v>1.8152383050000002E-2</v>
      </c>
      <c r="T2695" s="4" t="s">
        <v>5153</v>
      </c>
    </row>
    <row r="2696" spans="1:20" x14ac:dyDescent="0.2">
      <c r="A2696" s="4" t="s">
        <v>5118</v>
      </c>
      <c r="B2696" s="4" t="s">
        <v>5150</v>
      </c>
      <c r="C2696" s="4" t="s">
        <v>2096</v>
      </c>
      <c r="D2696" s="4" t="s">
        <v>4764</v>
      </c>
      <c r="E2696" s="4" t="s">
        <v>5156</v>
      </c>
      <c r="F2696" s="4" t="s">
        <v>5152</v>
      </c>
      <c r="G2696" s="4" t="s">
        <v>5122</v>
      </c>
      <c r="H2696" s="4" t="s">
        <v>2183</v>
      </c>
      <c r="I2696" s="4" t="s">
        <v>2100</v>
      </c>
      <c r="J2696" s="4" t="s">
        <v>4993</v>
      </c>
      <c r="K2696">
        <v>13</v>
      </c>
      <c r="L2696">
        <v>3.96</v>
      </c>
      <c r="M2696">
        <v>19.049999999999997</v>
      </c>
      <c r="N2696">
        <v>260.35000000000002</v>
      </c>
      <c r="O2696">
        <v>155.90551181102362</v>
      </c>
      <c r="P2696">
        <v>0.74999999999999989</v>
      </c>
      <c r="Q2696">
        <v>10.250000000000002</v>
      </c>
      <c r="R2696">
        <v>661.50400000000002</v>
      </c>
      <c r="S2696">
        <v>1.9640283299999999E-2</v>
      </c>
      <c r="T2696" s="4" t="s">
        <v>5153</v>
      </c>
    </row>
    <row r="2697" spans="1:20" x14ac:dyDescent="0.2">
      <c r="A2697" s="4" t="s">
        <v>5118</v>
      </c>
      <c r="B2697" s="4" t="s">
        <v>5150</v>
      </c>
      <c r="C2697" s="4" t="s">
        <v>2096</v>
      </c>
      <c r="D2697" s="4" t="s">
        <v>4764</v>
      </c>
      <c r="E2697" s="4" t="s">
        <v>5157</v>
      </c>
      <c r="F2697" s="4" t="s">
        <v>5152</v>
      </c>
      <c r="G2697" s="4" t="s">
        <v>5122</v>
      </c>
      <c r="H2697" s="4" t="s">
        <v>2183</v>
      </c>
      <c r="I2697" s="4" t="s">
        <v>2100</v>
      </c>
      <c r="J2697" s="4" t="s">
        <v>4993</v>
      </c>
      <c r="K2697">
        <v>14</v>
      </c>
      <c r="L2697">
        <v>4.2699999999999996</v>
      </c>
      <c r="M2697">
        <v>19.049999999999997</v>
      </c>
      <c r="N2697">
        <v>260.35000000000002</v>
      </c>
      <c r="O2697">
        <v>168.11023622047244</v>
      </c>
      <c r="P2697">
        <v>0.74999999999999989</v>
      </c>
      <c r="Q2697">
        <v>10.250000000000002</v>
      </c>
      <c r="R2697">
        <v>661.50400000000002</v>
      </c>
      <c r="S2697">
        <v>2.1177780224999995E-2</v>
      </c>
      <c r="T2697" s="4" t="s">
        <v>5153</v>
      </c>
    </row>
    <row r="2698" spans="1:20" x14ac:dyDescent="0.2">
      <c r="A2698" s="4" t="s">
        <v>5118</v>
      </c>
      <c r="B2698" s="4" t="s">
        <v>5150</v>
      </c>
      <c r="C2698" s="4" t="s">
        <v>2096</v>
      </c>
      <c r="D2698" s="4" t="s">
        <v>4764</v>
      </c>
      <c r="E2698" s="4" t="s">
        <v>5158</v>
      </c>
      <c r="F2698" s="4" t="s">
        <v>5152</v>
      </c>
      <c r="G2698" s="4" t="s">
        <v>5122</v>
      </c>
      <c r="H2698" s="4" t="s">
        <v>2183</v>
      </c>
      <c r="I2698" s="4" t="s">
        <v>2100</v>
      </c>
      <c r="J2698" s="4" t="s">
        <v>4993</v>
      </c>
      <c r="K2698">
        <v>15</v>
      </c>
      <c r="L2698">
        <v>4.57</v>
      </c>
      <c r="M2698">
        <v>19.049999999999997</v>
      </c>
      <c r="N2698">
        <v>260.35000000000002</v>
      </c>
      <c r="O2698">
        <v>179.9212598425197</v>
      </c>
      <c r="P2698">
        <v>0.74999999999999989</v>
      </c>
      <c r="Q2698">
        <v>10.250000000000002</v>
      </c>
      <c r="R2698">
        <v>661.50400000000002</v>
      </c>
      <c r="S2698">
        <v>2.2665680475000002E-2</v>
      </c>
      <c r="T2698" s="4" t="s">
        <v>5153</v>
      </c>
    </row>
    <row r="2699" spans="1:20" x14ac:dyDescent="0.2">
      <c r="A2699" s="4" t="s">
        <v>5118</v>
      </c>
      <c r="B2699" s="4" t="s">
        <v>5150</v>
      </c>
      <c r="C2699" s="4" t="s">
        <v>2096</v>
      </c>
      <c r="D2699" s="4" t="s">
        <v>4764</v>
      </c>
      <c r="E2699" s="4" t="s">
        <v>5159</v>
      </c>
      <c r="F2699" s="4" t="s">
        <v>5152</v>
      </c>
      <c r="G2699" s="4" t="s">
        <v>5122</v>
      </c>
      <c r="H2699" s="4" t="s">
        <v>2183</v>
      </c>
      <c r="I2699" s="4" t="s">
        <v>2100</v>
      </c>
      <c r="J2699" s="4" t="s">
        <v>4993</v>
      </c>
      <c r="K2699">
        <v>16</v>
      </c>
      <c r="L2699">
        <v>4.88</v>
      </c>
      <c r="M2699">
        <v>19.049999999999997</v>
      </c>
      <c r="N2699">
        <v>260.35000000000002</v>
      </c>
      <c r="O2699">
        <v>192.1259842519685</v>
      </c>
      <c r="P2699">
        <v>0.74999999999999989</v>
      </c>
      <c r="Q2699">
        <v>10.250000000000002</v>
      </c>
      <c r="R2699">
        <v>661.50400000000002</v>
      </c>
      <c r="S2699">
        <v>2.4203177400000001E-2</v>
      </c>
      <c r="T2699" s="4" t="s">
        <v>5153</v>
      </c>
    </row>
    <row r="2700" spans="1:20" x14ac:dyDescent="0.2">
      <c r="A2700" s="4" t="s">
        <v>5118</v>
      </c>
      <c r="B2700" s="4" t="s">
        <v>5150</v>
      </c>
      <c r="C2700" s="4" t="s">
        <v>2096</v>
      </c>
      <c r="D2700" s="4" t="s">
        <v>4764</v>
      </c>
      <c r="E2700" s="4" t="s">
        <v>5160</v>
      </c>
      <c r="F2700" s="4" t="s">
        <v>5152</v>
      </c>
      <c r="G2700" s="4" t="s">
        <v>5122</v>
      </c>
      <c r="H2700" s="4" t="s">
        <v>2183</v>
      </c>
      <c r="I2700" s="4" t="s">
        <v>2100</v>
      </c>
      <c r="J2700" s="4" t="s">
        <v>4993</v>
      </c>
      <c r="K2700">
        <v>17</v>
      </c>
      <c r="L2700">
        <v>5.18</v>
      </c>
      <c r="M2700">
        <v>19.049999999999997</v>
      </c>
      <c r="N2700">
        <v>260.35000000000002</v>
      </c>
      <c r="O2700">
        <v>203.93700787401573</v>
      </c>
      <c r="P2700">
        <v>0.74999999999999989</v>
      </c>
      <c r="Q2700">
        <v>10.250000000000002</v>
      </c>
      <c r="R2700">
        <v>661.50400000000002</v>
      </c>
      <c r="S2700">
        <v>2.5691077649999998E-2</v>
      </c>
      <c r="T2700" s="4" t="s">
        <v>5153</v>
      </c>
    </row>
    <row r="2701" spans="1:20" x14ac:dyDescent="0.2">
      <c r="A2701" s="4" t="s">
        <v>5118</v>
      </c>
      <c r="B2701" s="4" t="s">
        <v>5150</v>
      </c>
      <c r="C2701" s="4" t="s">
        <v>2096</v>
      </c>
      <c r="D2701" s="4" t="s">
        <v>4764</v>
      </c>
      <c r="E2701" s="4" t="s">
        <v>5161</v>
      </c>
      <c r="F2701" s="4" t="s">
        <v>5152</v>
      </c>
      <c r="G2701" s="4" t="s">
        <v>5122</v>
      </c>
      <c r="H2701" s="4" t="s">
        <v>2183</v>
      </c>
      <c r="I2701" s="4" t="s">
        <v>2100</v>
      </c>
      <c r="J2701" s="4" t="s">
        <v>4993</v>
      </c>
      <c r="K2701">
        <v>18</v>
      </c>
      <c r="L2701">
        <v>5.49</v>
      </c>
      <c r="M2701">
        <v>19.049999999999997</v>
      </c>
      <c r="N2701">
        <v>260.35000000000002</v>
      </c>
      <c r="O2701">
        <v>216.14173228346459</v>
      </c>
      <c r="P2701">
        <v>0.74999999999999989</v>
      </c>
      <c r="Q2701">
        <v>10.250000000000002</v>
      </c>
      <c r="R2701">
        <v>661.50400000000002</v>
      </c>
      <c r="S2701">
        <v>2.7228574575000004E-2</v>
      </c>
      <c r="T2701" s="4" t="s">
        <v>5153</v>
      </c>
    </row>
    <row r="2702" spans="1:20" x14ac:dyDescent="0.2">
      <c r="A2702" s="4" t="s">
        <v>5118</v>
      </c>
      <c r="B2702" s="4" t="s">
        <v>5150</v>
      </c>
      <c r="C2702" s="4" t="s">
        <v>2286</v>
      </c>
      <c r="D2702" s="4" t="s">
        <v>4764</v>
      </c>
      <c r="E2702" s="4" t="s">
        <v>5162</v>
      </c>
      <c r="F2702" s="4" t="s">
        <v>5152</v>
      </c>
      <c r="G2702" s="4" t="s">
        <v>5122</v>
      </c>
      <c r="H2702" s="4" t="s">
        <v>2183</v>
      </c>
      <c r="I2702" s="4" t="s">
        <v>2100</v>
      </c>
      <c r="J2702" s="4" t="s">
        <v>4993</v>
      </c>
      <c r="K2702">
        <v>4</v>
      </c>
      <c r="L2702">
        <v>1.22</v>
      </c>
      <c r="M2702">
        <v>19.049999999999997</v>
      </c>
      <c r="N2702">
        <v>260.35000000000002</v>
      </c>
      <c r="O2702">
        <v>48.031496062992126</v>
      </c>
      <c r="P2702">
        <v>0.74999999999999989</v>
      </c>
      <c r="Q2702">
        <v>10.250000000000002</v>
      </c>
      <c r="R2702">
        <v>661.50400000000002</v>
      </c>
      <c r="S2702">
        <v>6.0507943500000003E-3</v>
      </c>
      <c r="T2702" s="4" t="s">
        <v>5163</v>
      </c>
    </row>
    <row r="2703" spans="1:20" x14ac:dyDescent="0.2">
      <c r="A2703" s="4" t="s">
        <v>5118</v>
      </c>
      <c r="B2703" s="4" t="s">
        <v>5150</v>
      </c>
      <c r="C2703" s="4" t="s">
        <v>2286</v>
      </c>
      <c r="D2703" s="4" t="s">
        <v>4764</v>
      </c>
      <c r="E2703" s="4" t="s">
        <v>5164</v>
      </c>
      <c r="F2703" s="4" t="s">
        <v>5152</v>
      </c>
      <c r="G2703" s="4" t="s">
        <v>5122</v>
      </c>
      <c r="H2703" s="4" t="s">
        <v>2183</v>
      </c>
      <c r="I2703" s="4" t="s">
        <v>2100</v>
      </c>
      <c r="J2703" s="4" t="s">
        <v>4993</v>
      </c>
      <c r="K2703">
        <v>5</v>
      </c>
      <c r="L2703">
        <v>1.52</v>
      </c>
      <c r="M2703">
        <v>19.049999999999997</v>
      </c>
      <c r="N2703">
        <v>260.35000000000002</v>
      </c>
      <c r="O2703">
        <v>59.84251968503937</v>
      </c>
      <c r="P2703">
        <v>0.74999999999999989</v>
      </c>
      <c r="Q2703">
        <v>10.250000000000002</v>
      </c>
      <c r="R2703">
        <v>661.50400000000002</v>
      </c>
      <c r="S2703">
        <v>7.5386945999999996E-3</v>
      </c>
      <c r="T2703" s="4" t="s">
        <v>5163</v>
      </c>
    </row>
    <row r="2704" spans="1:20" x14ac:dyDescent="0.2">
      <c r="A2704" s="4" t="s">
        <v>5118</v>
      </c>
      <c r="B2704" s="4" t="s">
        <v>5150</v>
      </c>
      <c r="C2704" s="4" t="s">
        <v>2286</v>
      </c>
      <c r="D2704" s="4" t="s">
        <v>4764</v>
      </c>
      <c r="E2704" s="4" t="s">
        <v>5165</v>
      </c>
      <c r="F2704" s="4" t="s">
        <v>5152</v>
      </c>
      <c r="G2704" s="4" t="s">
        <v>5122</v>
      </c>
      <c r="H2704" s="4" t="s">
        <v>2183</v>
      </c>
      <c r="I2704" s="4" t="s">
        <v>2100</v>
      </c>
      <c r="J2704" s="4" t="s">
        <v>4993</v>
      </c>
      <c r="K2704">
        <v>6</v>
      </c>
      <c r="L2704">
        <v>1.83</v>
      </c>
      <c r="M2704">
        <v>19.049999999999997</v>
      </c>
      <c r="N2704">
        <v>260.35000000000002</v>
      </c>
      <c r="O2704">
        <v>72.047244094488192</v>
      </c>
      <c r="P2704">
        <v>0.74999999999999989</v>
      </c>
      <c r="Q2704">
        <v>10.250000000000002</v>
      </c>
      <c r="R2704">
        <v>661.50400000000002</v>
      </c>
      <c r="S2704">
        <v>9.0761915250000009E-3</v>
      </c>
      <c r="T2704" s="4" t="s">
        <v>5163</v>
      </c>
    </row>
    <row r="2705" spans="1:20" x14ac:dyDescent="0.2">
      <c r="A2705" s="4" t="s">
        <v>5118</v>
      </c>
      <c r="B2705" s="4" t="s">
        <v>5150</v>
      </c>
      <c r="C2705" s="4" t="s">
        <v>2286</v>
      </c>
      <c r="D2705" s="4" t="s">
        <v>4764</v>
      </c>
      <c r="E2705" s="4" t="s">
        <v>5166</v>
      </c>
      <c r="F2705" s="4" t="s">
        <v>5152</v>
      </c>
      <c r="G2705" s="4" t="s">
        <v>5122</v>
      </c>
      <c r="H2705" s="4" t="s">
        <v>2183</v>
      </c>
      <c r="I2705" s="4" t="s">
        <v>2100</v>
      </c>
      <c r="J2705" s="4" t="s">
        <v>4993</v>
      </c>
      <c r="K2705">
        <v>7</v>
      </c>
      <c r="L2705">
        <v>2.13</v>
      </c>
      <c r="M2705">
        <v>19.049999999999997</v>
      </c>
      <c r="N2705">
        <v>260.35000000000002</v>
      </c>
      <c r="O2705">
        <v>83.858267716535437</v>
      </c>
      <c r="P2705">
        <v>0.74999999999999989</v>
      </c>
      <c r="Q2705">
        <v>10.250000000000002</v>
      </c>
      <c r="R2705">
        <v>661.50400000000002</v>
      </c>
      <c r="S2705">
        <v>1.0564091774999998E-2</v>
      </c>
      <c r="T2705" s="4" t="s">
        <v>5163</v>
      </c>
    </row>
    <row r="2706" spans="1:20" x14ac:dyDescent="0.2">
      <c r="A2706" s="4" t="s">
        <v>5118</v>
      </c>
      <c r="B2706" s="4" t="s">
        <v>5150</v>
      </c>
      <c r="C2706" s="4" t="s">
        <v>2096</v>
      </c>
      <c r="D2706" s="4" t="s">
        <v>4764</v>
      </c>
      <c r="E2706" s="4" t="s">
        <v>5167</v>
      </c>
      <c r="F2706" s="4" t="s">
        <v>5152</v>
      </c>
      <c r="G2706" s="4" t="s">
        <v>5122</v>
      </c>
      <c r="H2706" s="4" t="s">
        <v>2183</v>
      </c>
      <c r="I2706" s="4" t="s">
        <v>2100</v>
      </c>
      <c r="J2706" s="4" t="s">
        <v>4993</v>
      </c>
      <c r="K2706">
        <v>8</v>
      </c>
      <c r="L2706">
        <v>2.44</v>
      </c>
      <c r="M2706">
        <v>19.049999999999997</v>
      </c>
      <c r="N2706">
        <v>260.35000000000002</v>
      </c>
      <c r="O2706">
        <v>96.062992125984252</v>
      </c>
      <c r="P2706">
        <v>0.74999999999999989</v>
      </c>
      <c r="Q2706">
        <v>10.250000000000002</v>
      </c>
      <c r="R2706">
        <v>661.50400000000002</v>
      </c>
      <c r="S2706">
        <v>1.2101588700000001E-2</v>
      </c>
      <c r="T2706" s="4" t="s">
        <v>5153</v>
      </c>
    </row>
    <row r="2707" spans="1:20" x14ac:dyDescent="0.2">
      <c r="A2707" s="4" t="s">
        <v>5118</v>
      </c>
      <c r="B2707" s="4" t="s">
        <v>5150</v>
      </c>
      <c r="C2707" s="4" t="s">
        <v>2096</v>
      </c>
      <c r="D2707" s="4" t="s">
        <v>4764</v>
      </c>
      <c r="E2707" s="4" t="s">
        <v>5168</v>
      </c>
      <c r="F2707" s="4" t="s">
        <v>5152</v>
      </c>
      <c r="G2707" s="4" t="s">
        <v>5122</v>
      </c>
      <c r="H2707" s="4" t="s">
        <v>2183</v>
      </c>
      <c r="I2707" s="4" t="s">
        <v>2100</v>
      </c>
      <c r="J2707" s="4" t="s">
        <v>4993</v>
      </c>
      <c r="K2707">
        <v>9</v>
      </c>
      <c r="L2707">
        <v>2.74</v>
      </c>
      <c r="M2707">
        <v>19.049999999999997</v>
      </c>
      <c r="N2707">
        <v>260.35000000000002</v>
      </c>
      <c r="O2707">
        <v>107.87401574803151</v>
      </c>
      <c r="P2707">
        <v>0.74999999999999989</v>
      </c>
      <c r="Q2707">
        <v>10.250000000000002</v>
      </c>
      <c r="R2707">
        <v>661.50400000000002</v>
      </c>
      <c r="S2707">
        <v>1.3589488949999999E-2</v>
      </c>
      <c r="T2707" s="4" t="s">
        <v>5153</v>
      </c>
    </row>
    <row r="2708" spans="1:20" x14ac:dyDescent="0.2">
      <c r="A2708" s="4" t="s">
        <v>5118</v>
      </c>
      <c r="B2708" s="4" t="s">
        <v>5169</v>
      </c>
      <c r="C2708" s="4" t="s">
        <v>2096</v>
      </c>
      <c r="D2708" s="4" t="s">
        <v>4764</v>
      </c>
      <c r="E2708" s="4" t="s">
        <v>1969</v>
      </c>
      <c r="F2708" s="4" t="s">
        <v>5170</v>
      </c>
      <c r="G2708" s="4" t="s">
        <v>5122</v>
      </c>
      <c r="H2708" s="4" t="s">
        <v>2183</v>
      </c>
      <c r="I2708" s="4" t="s">
        <v>2100</v>
      </c>
      <c r="J2708" s="4" t="s">
        <v>3142</v>
      </c>
      <c r="K2708">
        <v>10</v>
      </c>
      <c r="L2708">
        <v>3.05</v>
      </c>
      <c r="M2708">
        <v>19.049999999999997</v>
      </c>
      <c r="N2708">
        <v>285.75</v>
      </c>
      <c r="O2708">
        <v>120.07874015748031</v>
      </c>
      <c r="P2708">
        <v>0.74999999999999989</v>
      </c>
      <c r="Q2708">
        <v>11.25</v>
      </c>
      <c r="R2708">
        <v>602.70399999999995</v>
      </c>
      <c r="S2708">
        <v>1.6602789374999996E-2</v>
      </c>
      <c r="T2708" s="4" t="s">
        <v>5171</v>
      </c>
    </row>
    <row r="2709" spans="1:20" x14ac:dyDescent="0.2">
      <c r="A2709" s="4" t="s">
        <v>5118</v>
      </c>
      <c r="B2709" s="4" t="s">
        <v>5169</v>
      </c>
      <c r="C2709" s="4" t="s">
        <v>2096</v>
      </c>
      <c r="D2709" s="4" t="s">
        <v>4764</v>
      </c>
      <c r="E2709" s="4" t="s">
        <v>5172</v>
      </c>
      <c r="F2709" s="4" t="s">
        <v>5170</v>
      </c>
      <c r="G2709" s="4" t="s">
        <v>5122</v>
      </c>
      <c r="H2709" s="4" t="s">
        <v>2183</v>
      </c>
      <c r="I2709" s="4" t="s">
        <v>2100</v>
      </c>
      <c r="J2709" s="4" t="s">
        <v>3142</v>
      </c>
      <c r="K2709">
        <v>11</v>
      </c>
      <c r="L2709">
        <v>3.35</v>
      </c>
      <c r="M2709">
        <v>19.049999999999997</v>
      </c>
      <c r="N2709">
        <v>285.75</v>
      </c>
      <c r="O2709">
        <v>131.88976377952756</v>
      </c>
      <c r="P2709">
        <v>0.74999999999999989</v>
      </c>
      <c r="Q2709">
        <v>11.25</v>
      </c>
      <c r="R2709">
        <v>602.70399999999995</v>
      </c>
      <c r="S2709">
        <v>1.8235850625000001E-2</v>
      </c>
      <c r="T2709" s="4" t="s">
        <v>5171</v>
      </c>
    </row>
    <row r="2710" spans="1:20" x14ac:dyDescent="0.2">
      <c r="A2710" s="4" t="s">
        <v>5118</v>
      </c>
      <c r="B2710" s="4" t="s">
        <v>5169</v>
      </c>
      <c r="C2710" s="4" t="s">
        <v>2096</v>
      </c>
      <c r="D2710" s="4" t="s">
        <v>4764</v>
      </c>
      <c r="E2710" s="4" t="s">
        <v>1971</v>
      </c>
      <c r="F2710" s="4" t="s">
        <v>5170</v>
      </c>
      <c r="G2710" s="4" t="s">
        <v>5122</v>
      </c>
      <c r="H2710" s="4" t="s">
        <v>2183</v>
      </c>
      <c r="I2710" s="4" t="s">
        <v>2100</v>
      </c>
      <c r="J2710" s="4" t="s">
        <v>3142</v>
      </c>
      <c r="K2710">
        <v>12</v>
      </c>
      <c r="L2710">
        <v>3.66</v>
      </c>
      <c r="M2710">
        <v>19.049999999999997</v>
      </c>
      <c r="N2710">
        <v>285.75</v>
      </c>
      <c r="O2710">
        <v>144.09448818897638</v>
      </c>
      <c r="P2710">
        <v>0.74999999999999989</v>
      </c>
      <c r="Q2710">
        <v>11.25</v>
      </c>
      <c r="R2710">
        <v>602.70399999999995</v>
      </c>
      <c r="S2710">
        <v>1.9923347249999997E-2</v>
      </c>
      <c r="T2710" s="4" t="s">
        <v>5171</v>
      </c>
    </row>
    <row r="2711" spans="1:20" x14ac:dyDescent="0.2">
      <c r="A2711" s="4" t="s">
        <v>5118</v>
      </c>
      <c r="B2711" s="4" t="s">
        <v>5169</v>
      </c>
      <c r="C2711" s="4" t="s">
        <v>2096</v>
      </c>
      <c r="D2711" s="4" t="s">
        <v>4764</v>
      </c>
      <c r="E2711" s="4" t="s">
        <v>1973</v>
      </c>
      <c r="F2711" s="4" t="s">
        <v>5170</v>
      </c>
      <c r="G2711" s="4" t="s">
        <v>5122</v>
      </c>
      <c r="H2711" s="4" t="s">
        <v>2183</v>
      </c>
      <c r="I2711" s="4" t="s">
        <v>2100</v>
      </c>
      <c r="J2711" s="4" t="s">
        <v>3142</v>
      </c>
      <c r="K2711">
        <v>13</v>
      </c>
      <c r="L2711">
        <v>3.96</v>
      </c>
      <c r="M2711">
        <v>19.049999999999997</v>
      </c>
      <c r="N2711">
        <v>285.75</v>
      </c>
      <c r="O2711">
        <v>155.90551181102362</v>
      </c>
      <c r="P2711">
        <v>0.74999999999999989</v>
      </c>
      <c r="Q2711">
        <v>11.25</v>
      </c>
      <c r="R2711">
        <v>602.70399999999995</v>
      </c>
      <c r="S2711">
        <v>2.1556408499999995E-2</v>
      </c>
      <c r="T2711" s="4" t="s">
        <v>5171</v>
      </c>
    </row>
    <row r="2712" spans="1:20" x14ac:dyDescent="0.2">
      <c r="A2712" s="4" t="s">
        <v>5118</v>
      </c>
      <c r="B2712" s="4" t="s">
        <v>5169</v>
      </c>
      <c r="C2712" s="4" t="s">
        <v>2096</v>
      </c>
      <c r="D2712" s="4" t="s">
        <v>4764</v>
      </c>
      <c r="E2712" s="4" t="s">
        <v>5173</v>
      </c>
      <c r="F2712" s="4" t="s">
        <v>5170</v>
      </c>
      <c r="G2712" s="4" t="s">
        <v>5122</v>
      </c>
      <c r="H2712" s="4" t="s">
        <v>2183</v>
      </c>
      <c r="I2712" s="4" t="s">
        <v>2100</v>
      </c>
      <c r="J2712" s="4" t="s">
        <v>3142</v>
      </c>
      <c r="K2712">
        <v>14</v>
      </c>
      <c r="L2712">
        <v>4.2699999999999996</v>
      </c>
      <c r="M2712">
        <v>19.049999999999997</v>
      </c>
      <c r="N2712">
        <v>285.75</v>
      </c>
      <c r="O2712">
        <v>168.11023622047244</v>
      </c>
      <c r="P2712">
        <v>0.74999999999999989</v>
      </c>
      <c r="Q2712">
        <v>11.25</v>
      </c>
      <c r="R2712">
        <v>602.70399999999995</v>
      </c>
      <c r="S2712">
        <v>2.3243905124999992E-2</v>
      </c>
      <c r="T2712" s="4" t="s">
        <v>5171</v>
      </c>
    </row>
    <row r="2713" spans="1:20" x14ac:dyDescent="0.2">
      <c r="A2713" s="4" t="s">
        <v>5118</v>
      </c>
      <c r="B2713" s="4" t="s">
        <v>5169</v>
      </c>
      <c r="C2713" s="4" t="s">
        <v>2096</v>
      </c>
      <c r="D2713" s="4" t="s">
        <v>4764</v>
      </c>
      <c r="E2713" s="4" t="s">
        <v>5174</v>
      </c>
      <c r="F2713" s="4" t="s">
        <v>5170</v>
      </c>
      <c r="G2713" s="4" t="s">
        <v>5122</v>
      </c>
      <c r="H2713" s="4" t="s">
        <v>2183</v>
      </c>
      <c r="I2713" s="4" t="s">
        <v>2100</v>
      </c>
      <c r="J2713" s="4" t="s">
        <v>3142</v>
      </c>
      <c r="K2713">
        <v>15</v>
      </c>
      <c r="L2713">
        <v>4.57</v>
      </c>
      <c r="M2713">
        <v>19.049999999999997</v>
      </c>
      <c r="N2713">
        <v>285.75</v>
      </c>
      <c r="O2713">
        <v>179.9212598425197</v>
      </c>
      <c r="P2713">
        <v>0.74999999999999989</v>
      </c>
      <c r="Q2713">
        <v>11.25</v>
      </c>
      <c r="R2713">
        <v>602.70399999999995</v>
      </c>
      <c r="S2713">
        <v>2.4876966375E-2</v>
      </c>
      <c r="T2713" s="4" t="s">
        <v>5171</v>
      </c>
    </row>
    <row r="2714" spans="1:20" x14ac:dyDescent="0.2">
      <c r="A2714" s="4" t="s">
        <v>5118</v>
      </c>
      <c r="B2714" s="4" t="s">
        <v>5169</v>
      </c>
      <c r="C2714" s="4" t="s">
        <v>2096</v>
      </c>
      <c r="D2714" s="4" t="s">
        <v>4764</v>
      </c>
      <c r="E2714" s="4" t="s">
        <v>1975</v>
      </c>
      <c r="F2714" s="4" t="s">
        <v>5170</v>
      </c>
      <c r="G2714" s="4" t="s">
        <v>5122</v>
      </c>
      <c r="H2714" s="4" t="s">
        <v>2183</v>
      </c>
      <c r="I2714" s="4" t="s">
        <v>2100</v>
      </c>
      <c r="J2714" s="4" t="s">
        <v>3142</v>
      </c>
      <c r="K2714">
        <v>16</v>
      </c>
      <c r="L2714">
        <v>4.88</v>
      </c>
      <c r="M2714">
        <v>19.049999999999997</v>
      </c>
      <c r="N2714">
        <v>285.75</v>
      </c>
      <c r="O2714">
        <v>192.1259842519685</v>
      </c>
      <c r="P2714">
        <v>0.74999999999999989</v>
      </c>
      <c r="Q2714">
        <v>11.25</v>
      </c>
      <c r="R2714">
        <v>602.70399999999995</v>
      </c>
      <c r="S2714">
        <v>2.6564462999999996E-2</v>
      </c>
      <c r="T2714" s="4" t="s">
        <v>5171</v>
      </c>
    </row>
    <row r="2715" spans="1:20" x14ac:dyDescent="0.2">
      <c r="A2715" s="4" t="s">
        <v>5118</v>
      </c>
      <c r="B2715" s="4" t="s">
        <v>5169</v>
      </c>
      <c r="C2715" s="4" t="s">
        <v>2096</v>
      </c>
      <c r="D2715" s="4" t="s">
        <v>4764</v>
      </c>
      <c r="E2715" s="4" t="s">
        <v>1977</v>
      </c>
      <c r="F2715" s="4" t="s">
        <v>5170</v>
      </c>
      <c r="G2715" s="4" t="s">
        <v>5122</v>
      </c>
      <c r="H2715" s="4" t="s">
        <v>2183</v>
      </c>
      <c r="I2715" s="4" t="s">
        <v>2100</v>
      </c>
      <c r="J2715" s="4" t="s">
        <v>3142</v>
      </c>
      <c r="K2715">
        <v>17</v>
      </c>
      <c r="L2715">
        <v>5.18</v>
      </c>
      <c r="M2715">
        <v>19.049999999999997</v>
      </c>
      <c r="N2715">
        <v>285.75</v>
      </c>
      <c r="O2715">
        <v>203.93700787401573</v>
      </c>
      <c r="P2715">
        <v>0.74999999999999989</v>
      </c>
      <c r="Q2715">
        <v>11.25</v>
      </c>
      <c r="R2715">
        <v>602.70399999999995</v>
      </c>
      <c r="S2715">
        <v>2.8197524249999995E-2</v>
      </c>
      <c r="T2715" s="4" t="s">
        <v>5171</v>
      </c>
    </row>
    <row r="2716" spans="1:20" x14ac:dyDescent="0.2">
      <c r="A2716" s="4" t="s">
        <v>5118</v>
      </c>
      <c r="B2716" s="4" t="s">
        <v>5169</v>
      </c>
      <c r="C2716" s="4" t="s">
        <v>2096</v>
      </c>
      <c r="D2716" s="4" t="s">
        <v>4764</v>
      </c>
      <c r="E2716" s="4" t="s">
        <v>1979</v>
      </c>
      <c r="F2716" s="4" t="s">
        <v>5170</v>
      </c>
      <c r="G2716" s="4" t="s">
        <v>5122</v>
      </c>
      <c r="H2716" s="4" t="s">
        <v>2183</v>
      </c>
      <c r="I2716" s="4" t="s">
        <v>2100</v>
      </c>
      <c r="J2716" s="4" t="s">
        <v>3142</v>
      </c>
      <c r="K2716">
        <v>18</v>
      </c>
      <c r="L2716">
        <v>5.49</v>
      </c>
      <c r="M2716">
        <v>19.049999999999997</v>
      </c>
      <c r="N2716">
        <v>285.75</v>
      </c>
      <c r="O2716">
        <v>216.14173228346459</v>
      </c>
      <c r="P2716">
        <v>0.74999999999999989</v>
      </c>
      <c r="Q2716">
        <v>11.25</v>
      </c>
      <c r="R2716">
        <v>602.70399999999995</v>
      </c>
      <c r="S2716">
        <v>2.9885020874999998E-2</v>
      </c>
      <c r="T2716" s="4" t="s">
        <v>5171</v>
      </c>
    </row>
    <row r="2717" spans="1:20" x14ac:dyDescent="0.2">
      <c r="A2717" s="4" t="s">
        <v>5118</v>
      </c>
      <c r="B2717" s="4" t="s">
        <v>5169</v>
      </c>
      <c r="C2717" s="4" t="s">
        <v>2096</v>
      </c>
      <c r="D2717" s="4" t="s">
        <v>4764</v>
      </c>
      <c r="E2717" s="4" t="s">
        <v>1981</v>
      </c>
      <c r="F2717" s="4" t="s">
        <v>5170</v>
      </c>
      <c r="G2717" s="4" t="s">
        <v>5122</v>
      </c>
      <c r="H2717" s="4" t="s">
        <v>2183</v>
      </c>
      <c r="I2717" s="4" t="s">
        <v>2100</v>
      </c>
      <c r="J2717" s="4" t="s">
        <v>3142</v>
      </c>
      <c r="K2717">
        <v>19</v>
      </c>
      <c r="L2717">
        <v>5.79</v>
      </c>
      <c r="M2717">
        <v>19.049999999999997</v>
      </c>
      <c r="N2717">
        <v>285.75</v>
      </c>
      <c r="O2717">
        <v>227.95275590551182</v>
      </c>
      <c r="P2717">
        <v>0.74999999999999989</v>
      </c>
      <c r="Q2717">
        <v>11.25</v>
      </c>
      <c r="R2717">
        <v>602.70399999999995</v>
      </c>
      <c r="S2717">
        <v>3.1518082124999999E-2</v>
      </c>
      <c r="T2717" s="4" t="s">
        <v>5171</v>
      </c>
    </row>
    <row r="2718" spans="1:20" x14ac:dyDescent="0.2">
      <c r="A2718" s="4" t="s">
        <v>5118</v>
      </c>
      <c r="B2718" s="4" t="s">
        <v>5169</v>
      </c>
      <c r="C2718" s="4" t="s">
        <v>2096</v>
      </c>
      <c r="D2718" s="4" t="s">
        <v>4764</v>
      </c>
      <c r="E2718" s="4" t="s">
        <v>2065</v>
      </c>
      <c r="F2718" s="4" t="s">
        <v>5170</v>
      </c>
      <c r="G2718" s="4" t="s">
        <v>5122</v>
      </c>
      <c r="H2718" s="4" t="s">
        <v>2183</v>
      </c>
      <c r="I2718" s="4" t="s">
        <v>2100</v>
      </c>
      <c r="J2718" s="4" t="s">
        <v>3142</v>
      </c>
      <c r="K2718">
        <v>20</v>
      </c>
      <c r="L2718">
        <v>6.09</v>
      </c>
      <c r="M2718">
        <v>19.049999999999997</v>
      </c>
      <c r="N2718">
        <v>285.75</v>
      </c>
      <c r="O2718">
        <v>239.76377952755905</v>
      </c>
      <c r="P2718">
        <v>0.74999999999999989</v>
      </c>
      <c r="Q2718">
        <v>11.25</v>
      </c>
      <c r="R2718">
        <v>602.70399999999995</v>
      </c>
      <c r="S2718">
        <v>3.3151143374999997E-2</v>
      </c>
      <c r="T2718" s="4" t="s">
        <v>5171</v>
      </c>
    </row>
    <row r="2719" spans="1:20" x14ac:dyDescent="0.2">
      <c r="A2719" s="4" t="s">
        <v>5118</v>
      </c>
      <c r="B2719" s="4" t="s">
        <v>5169</v>
      </c>
      <c r="C2719" s="4" t="s">
        <v>2286</v>
      </c>
      <c r="D2719" s="4" t="s">
        <v>4764</v>
      </c>
      <c r="E2719" s="4" t="s">
        <v>5175</v>
      </c>
      <c r="F2719" s="4" t="s">
        <v>5170</v>
      </c>
      <c r="G2719" s="4" t="s">
        <v>5122</v>
      </c>
      <c r="H2719" s="4" t="s">
        <v>2183</v>
      </c>
      <c r="I2719" s="4" t="s">
        <v>2100</v>
      </c>
      <c r="J2719" s="4" t="s">
        <v>3142</v>
      </c>
      <c r="K2719">
        <v>4</v>
      </c>
      <c r="L2719">
        <v>1.22</v>
      </c>
      <c r="M2719">
        <v>19.049999999999997</v>
      </c>
      <c r="N2719">
        <v>285.75</v>
      </c>
      <c r="O2719">
        <v>48.031496062992126</v>
      </c>
      <c r="P2719">
        <v>0.74999999999999989</v>
      </c>
      <c r="Q2719">
        <v>11.25</v>
      </c>
      <c r="R2719">
        <v>602.70399999999995</v>
      </c>
      <c r="S2719">
        <v>6.6411157499999991E-3</v>
      </c>
      <c r="T2719" s="4" t="s">
        <v>5176</v>
      </c>
    </row>
    <row r="2720" spans="1:20" x14ac:dyDescent="0.2">
      <c r="A2720" s="4" t="s">
        <v>5118</v>
      </c>
      <c r="B2720" s="4" t="s">
        <v>5169</v>
      </c>
      <c r="C2720" s="4" t="s">
        <v>2286</v>
      </c>
      <c r="D2720" s="4" t="s">
        <v>4764</v>
      </c>
      <c r="E2720" s="4" t="s">
        <v>5177</v>
      </c>
      <c r="F2720" s="4" t="s">
        <v>5170</v>
      </c>
      <c r="G2720" s="4" t="s">
        <v>5122</v>
      </c>
      <c r="H2720" s="4" t="s">
        <v>2183</v>
      </c>
      <c r="I2720" s="4" t="s">
        <v>2100</v>
      </c>
      <c r="J2720" s="4" t="s">
        <v>3142</v>
      </c>
      <c r="K2720">
        <v>5</v>
      </c>
      <c r="L2720">
        <v>1.52</v>
      </c>
      <c r="M2720">
        <v>19.049999999999997</v>
      </c>
      <c r="N2720">
        <v>285.75</v>
      </c>
      <c r="O2720">
        <v>59.84251968503937</v>
      </c>
      <c r="P2720">
        <v>0.74999999999999989</v>
      </c>
      <c r="Q2720">
        <v>11.25</v>
      </c>
      <c r="R2720">
        <v>602.70399999999995</v>
      </c>
      <c r="S2720">
        <v>8.2741769999999989E-3</v>
      </c>
      <c r="T2720" s="4" t="s">
        <v>5176</v>
      </c>
    </row>
    <row r="2721" spans="1:20" x14ac:dyDescent="0.2">
      <c r="A2721" s="4" t="s">
        <v>5118</v>
      </c>
      <c r="B2721" s="4" t="s">
        <v>5169</v>
      </c>
      <c r="C2721" s="4" t="s">
        <v>2286</v>
      </c>
      <c r="D2721" s="4" t="s">
        <v>4764</v>
      </c>
      <c r="E2721" s="4" t="s">
        <v>5178</v>
      </c>
      <c r="F2721" s="4" t="s">
        <v>5170</v>
      </c>
      <c r="G2721" s="4" t="s">
        <v>5122</v>
      </c>
      <c r="H2721" s="4" t="s">
        <v>2183</v>
      </c>
      <c r="I2721" s="4" t="s">
        <v>2100</v>
      </c>
      <c r="J2721" s="4" t="s">
        <v>3142</v>
      </c>
      <c r="K2721">
        <v>6</v>
      </c>
      <c r="L2721">
        <v>1.83</v>
      </c>
      <c r="M2721">
        <v>19.049999999999997</v>
      </c>
      <c r="N2721">
        <v>285.75</v>
      </c>
      <c r="O2721">
        <v>72.047244094488192</v>
      </c>
      <c r="P2721">
        <v>0.74999999999999989</v>
      </c>
      <c r="Q2721">
        <v>11.25</v>
      </c>
      <c r="R2721">
        <v>602.70399999999995</v>
      </c>
      <c r="S2721">
        <v>9.9616736249999987E-3</v>
      </c>
      <c r="T2721" s="4" t="s">
        <v>5176</v>
      </c>
    </row>
    <row r="2722" spans="1:20" x14ac:dyDescent="0.2">
      <c r="A2722" s="4" t="s">
        <v>5118</v>
      </c>
      <c r="B2722" s="4" t="s">
        <v>5169</v>
      </c>
      <c r="C2722" s="4" t="s">
        <v>2286</v>
      </c>
      <c r="D2722" s="4" t="s">
        <v>4764</v>
      </c>
      <c r="E2722" s="4" t="s">
        <v>1963</v>
      </c>
      <c r="F2722" s="4" t="s">
        <v>5170</v>
      </c>
      <c r="G2722" s="4" t="s">
        <v>5122</v>
      </c>
      <c r="H2722" s="4" t="s">
        <v>2183</v>
      </c>
      <c r="I2722" s="4" t="s">
        <v>2100</v>
      </c>
      <c r="J2722" s="4" t="s">
        <v>3142</v>
      </c>
      <c r="K2722">
        <v>7</v>
      </c>
      <c r="L2722">
        <v>2.13</v>
      </c>
      <c r="M2722">
        <v>19.049999999999997</v>
      </c>
      <c r="N2722">
        <v>285.75</v>
      </c>
      <c r="O2722">
        <v>83.858267716535437</v>
      </c>
      <c r="P2722">
        <v>0.74999999999999989</v>
      </c>
      <c r="Q2722">
        <v>11.25</v>
      </c>
      <c r="R2722">
        <v>602.70399999999995</v>
      </c>
      <c r="S2722">
        <v>1.1594734874999997E-2</v>
      </c>
      <c r="T2722" s="4" t="s">
        <v>5176</v>
      </c>
    </row>
    <row r="2723" spans="1:20" x14ac:dyDescent="0.2">
      <c r="A2723" s="4" t="s">
        <v>5118</v>
      </c>
      <c r="B2723" s="4" t="s">
        <v>5169</v>
      </c>
      <c r="C2723" s="4" t="s">
        <v>2096</v>
      </c>
      <c r="D2723" s="4" t="s">
        <v>4764</v>
      </c>
      <c r="E2723" s="4" t="s">
        <v>1965</v>
      </c>
      <c r="F2723" s="4" t="s">
        <v>5170</v>
      </c>
      <c r="G2723" s="4" t="s">
        <v>5122</v>
      </c>
      <c r="H2723" s="4" t="s">
        <v>2183</v>
      </c>
      <c r="I2723" s="4" t="s">
        <v>2100</v>
      </c>
      <c r="J2723" s="4" t="s">
        <v>3142</v>
      </c>
      <c r="K2723">
        <v>8</v>
      </c>
      <c r="L2723">
        <v>2.44</v>
      </c>
      <c r="M2723">
        <v>19.049999999999997</v>
      </c>
      <c r="N2723">
        <v>285.75</v>
      </c>
      <c r="O2723">
        <v>96.062992125984252</v>
      </c>
      <c r="P2723">
        <v>0.74999999999999989</v>
      </c>
      <c r="Q2723">
        <v>11.25</v>
      </c>
      <c r="R2723">
        <v>602.70399999999995</v>
      </c>
      <c r="S2723">
        <v>1.3282231499999998E-2</v>
      </c>
      <c r="T2723" s="4" t="s">
        <v>5171</v>
      </c>
    </row>
    <row r="2724" spans="1:20" x14ac:dyDescent="0.2">
      <c r="A2724" s="4" t="s">
        <v>5118</v>
      </c>
      <c r="B2724" s="4" t="s">
        <v>5169</v>
      </c>
      <c r="C2724" s="4" t="s">
        <v>2096</v>
      </c>
      <c r="D2724" s="4" t="s">
        <v>4764</v>
      </c>
      <c r="E2724" s="4" t="s">
        <v>1967</v>
      </c>
      <c r="F2724" s="4" t="s">
        <v>5170</v>
      </c>
      <c r="G2724" s="4" t="s">
        <v>5122</v>
      </c>
      <c r="H2724" s="4" t="s">
        <v>2183</v>
      </c>
      <c r="I2724" s="4" t="s">
        <v>2100</v>
      </c>
      <c r="J2724" s="4" t="s">
        <v>3142</v>
      </c>
      <c r="K2724">
        <v>9</v>
      </c>
      <c r="L2724">
        <v>2.74</v>
      </c>
      <c r="M2724">
        <v>19.049999999999997</v>
      </c>
      <c r="N2724">
        <v>285.75</v>
      </c>
      <c r="O2724">
        <v>107.87401574803151</v>
      </c>
      <c r="P2724">
        <v>0.74999999999999989</v>
      </c>
      <c r="Q2724">
        <v>11.25</v>
      </c>
      <c r="R2724">
        <v>602.70399999999995</v>
      </c>
      <c r="S2724">
        <v>1.491529275E-2</v>
      </c>
      <c r="T2724" s="4" t="s">
        <v>5171</v>
      </c>
    </row>
    <row r="2725" spans="1:20" x14ac:dyDescent="0.2">
      <c r="A2725" s="4" t="s">
        <v>5118</v>
      </c>
      <c r="B2725" s="4" t="s">
        <v>5179</v>
      </c>
      <c r="C2725" s="4" t="s">
        <v>2096</v>
      </c>
      <c r="D2725" s="4" t="s">
        <v>4764</v>
      </c>
      <c r="E2725" s="4" t="s">
        <v>5180</v>
      </c>
      <c r="F2725" s="4" t="s">
        <v>5181</v>
      </c>
      <c r="G2725" s="4" t="s">
        <v>5122</v>
      </c>
      <c r="H2725" s="4" t="s">
        <v>2183</v>
      </c>
      <c r="I2725" s="4" t="s">
        <v>2100</v>
      </c>
      <c r="J2725" s="4" t="s">
        <v>2384</v>
      </c>
      <c r="K2725">
        <v>10</v>
      </c>
      <c r="L2725">
        <v>3.05</v>
      </c>
      <c r="M2725">
        <v>19.049999999999997</v>
      </c>
      <c r="N2725">
        <v>88.899999999999991</v>
      </c>
      <c r="O2725">
        <v>120.07874015748031</v>
      </c>
      <c r="P2725">
        <v>0.74999999999999989</v>
      </c>
      <c r="Q2725">
        <v>3.5</v>
      </c>
      <c r="R2725">
        <v>1937.2619999999999</v>
      </c>
      <c r="S2725">
        <v>5.165312249999999E-3</v>
      </c>
      <c r="T2725" s="4" t="s">
        <v>5182</v>
      </c>
    </row>
    <row r="2726" spans="1:20" x14ac:dyDescent="0.2">
      <c r="A2726" s="4" t="s">
        <v>5118</v>
      </c>
      <c r="B2726" s="4" t="s">
        <v>5179</v>
      </c>
      <c r="C2726" s="4" t="s">
        <v>2096</v>
      </c>
      <c r="D2726" s="4" t="s">
        <v>4764</v>
      </c>
      <c r="E2726" s="4" t="s">
        <v>5183</v>
      </c>
      <c r="F2726" s="4" t="s">
        <v>5181</v>
      </c>
      <c r="G2726" s="4" t="s">
        <v>5122</v>
      </c>
      <c r="H2726" s="4" t="s">
        <v>2183</v>
      </c>
      <c r="I2726" s="4" t="s">
        <v>2100</v>
      </c>
      <c r="J2726" s="4" t="s">
        <v>2384</v>
      </c>
      <c r="K2726">
        <v>11</v>
      </c>
      <c r="L2726">
        <v>3.35</v>
      </c>
      <c r="M2726">
        <v>19.049999999999997</v>
      </c>
      <c r="N2726">
        <v>88.899999999999991</v>
      </c>
      <c r="O2726">
        <v>131.88976377952756</v>
      </c>
      <c r="P2726">
        <v>0.74999999999999989</v>
      </c>
      <c r="Q2726">
        <v>3.5</v>
      </c>
      <c r="R2726">
        <v>1937.2619999999999</v>
      </c>
      <c r="S2726">
        <v>5.6733757499999992E-3</v>
      </c>
      <c r="T2726" s="4" t="s">
        <v>5182</v>
      </c>
    </row>
    <row r="2727" spans="1:20" x14ac:dyDescent="0.2">
      <c r="A2727" s="4" t="s">
        <v>5118</v>
      </c>
      <c r="B2727" s="4" t="s">
        <v>5179</v>
      </c>
      <c r="C2727" s="4" t="s">
        <v>2096</v>
      </c>
      <c r="D2727" s="4" t="s">
        <v>4764</v>
      </c>
      <c r="E2727" s="4" t="s">
        <v>5184</v>
      </c>
      <c r="F2727" s="4" t="s">
        <v>5181</v>
      </c>
      <c r="G2727" s="4" t="s">
        <v>5122</v>
      </c>
      <c r="H2727" s="4" t="s">
        <v>2183</v>
      </c>
      <c r="I2727" s="4" t="s">
        <v>2100</v>
      </c>
      <c r="J2727" s="4" t="s">
        <v>2384</v>
      </c>
      <c r="K2727">
        <v>12</v>
      </c>
      <c r="L2727">
        <v>3.66</v>
      </c>
      <c r="M2727">
        <v>19.049999999999997</v>
      </c>
      <c r="N2727">
        <v>88.899999999999991</v>
      </c>
      <c r="O2727">
        <v>144.09448818897638</v>
      </c>
      <c r="P2727">
        <v>0.74999999999999989</v>
      </c>
      <c r="Q2727">
        <v>3.5</v>
      </c>
      <c r="R2727">
        <v>1937.2619999999999</v>
      </c>
      <c r="S2727">
        <v>6.1983746999999985E-3</v>
      </c>
      <c r="T2727" s="4" t="s">
        <v>5182</v>
      </c>
    </row>
    <row r="2728" spans="1:20" x14ac:dyDescent="0.2">
      <c r="A2728" s="4" t="s">
        <v>5118</v>
      </c>
      <c r="B2728" s="4" t="s">
        <v>5179</v>
      </c>
      <c r="C2728" s="4" t="s">
        <v>2096</v>
      </c>
      <c r="D2728" s="4" t="s">
        <v>4764</v>
      </c>
      <c r="E2728" s="4" t="s">
        <v>5185</v>
      </c>
      <c r="F2728" s="4" t="s">
        <v>5181</v>
      </c>
      <c r="G2728" s="4" t="s">
        <v>5122</v>
      </c>
      <c r="H2728" s="4" t="s">
        <v>2183</v>
      </c>
      <c r="I2728" s="4" t="s">
        <v>2100</v>
      </c>
      <c r="J2728" s="4" t="s">
        <v>2384</v>
      </c>
      <c r="K2728">
        <v>13</v>
      </c>
      <c r="L2728">
        <v>3.96</v>
      </c>
      <c r="M2728">
        <v>19.049999999999997</v>
      </c>
      <c r="N2728">
        <v>88.899999999999991</v>
      </c>
      <c r="O2728">
        <v>155.90551181102362</v>
      </c>
      <c r="P2728">
        <v>0.74999999999999989</v>
      </c>
      <c r="Q2728">
        <v>3.5</v>
      </c>
      <c r="R2728">
        <v>1937.2619999999999</v>
      </c>
      <c r="S2728">
        <v>6.7064381999999987E-3</v>
      </c>
      <c r="T2728" s="4" t="s">
        <v>5182</v>
      </c>
    </row>
    <row r="2729" spans="1:20" x14ac:dyDescent="0.2">
      <c r="A2729" s="4" t="s">
        <v>5118</v>
      </c>
      <c r="B2729" s="4" t="s">
        <v>5179</v>
      </c>
      <c r="C2729" s="4" t="s">
        <v>2096</v>
      </c>
      <c r="D2729" s="4" t="s">
        <v>4764</v>
      </c>
      <c r="E2729" s="4" t="s">
        <v>5186</v>
      </c>
      <c r="F2729" s="4" t="s">
        <v>5181</v>
      </c>
      <c r="G2729" s="4" t="s">
        <v>5122</v>
      </c>
      <c r="H2729" s="4" t="s">
        <v>2183</v>
      </c>
      <c r="I2729" s="4" t="s">
        <v>2100</v>
      </c>
      <c r="J2729" s="4" t="s">
        <v>2384</v>
      </c>
      <c r="K2729">
        <v>14</v>
      </c>
      <c r="L2729">
        <v>4.2699999999999996</v>
      </c>
      <c r="M2729">
        <v>19.049999999999997</v>
      </c>
      <c r="N2729">
        <v>88.899999999999991</v>
      </c>
      <c r="O2729">
        <v>168.11023622047244</v>
      </c>
      <c r="P2729">
        <v>0.74999999999999989</v>
      </c>
      <c r="Q2729">
        <v>3.5</v>
      </c>
      <c r="R2729">
        <v>1937.2619999999999</v>
      </c>
      <c r="S2729">
        <v>7.2314371499999971E-3</v>
      </c>
      <c r="T2729" s="4" t="s">
        <v>5182</v>
      </c>
    </row>
    <row r="2730" spans="1:20" x14ac:dyDescent="0.2">
      <c r="A2730" s="4" t="s">
        <v>5118</v>
      </c>
      <c r="B2730" s="4" t="s">
        <v>5179</v>
      </c>
      <c r="C2730" s="4" t="s">
        <v>2096</v>
      </c>
      <c r="D2730" s="4" t="s">
        <v>4764</v>
      </c>
      <c r="E2730" s="4" t="s">
        <v>5187</v>
      </c>
      <c r="F2730" s="4" t="s">
        <v>5181</v>
      </c>
      <c r="G2730" s="4" t="s">
        <v>5122</v>
      </c>
      <c r="H2730" s="4" t="s">
        <v>2183</v>
      </c>
      <c r="I2730" s="4" t="s">
        <v>2100</v>
      </c>
      <c r="J2730" s="4" t="s">
        <v>2384</v>
      </c>
      <c r="K2730">
        <v>15</v>
      </c>
      <c r="L2730">
        <v>4.57</v>
      </c>
      <c r="M2730">
        <v>19.049999999999997</v>
      </c>
      <c r="N2730">
        <v>88.899999999999991</v>
      </c>
      <c r="O2730">
        <v>179.9212598425197</v>
      </c>
      <c r="P2730">
        <v>0.74999999999999989</v>
      </c>
      <c r="Q2730">
        <v>3.5</v>
      </c>
      <c r="R2730">
        <v>1937.2619999999999</v>
      </c>
      <c r="S2730">
        <v>7.739500649999999E-3</v>
      </c>
      <c r="T2730" s="4" t="s">
        <v>5182</v>
      </c>
    </row>
    <row r="2731" spans="1:20" x14ac:dyDescent="0.2">
      <c r="A2731" s="4" t="s">
        <v>5118</v>
      </c>
      <c r="B2731" s="4" t="s">
        <v>5179</v>
      </c>
      <c r="C2731" s="4" t="s">
        <v>2096</v>
      </c>
      <c r="D2731" s="4" t="s">
        <v>4764</v>
      </c>
      <c r="E2731" s="4" t="s">
        <v>5188</v>
      </c>
      <c r="F2731" s="4" t="s">
        <v>5181</v>
      </c>
      <c r="G2731" s="4" t="s">
        <v>5122</v>
      </c>
      <c r="H2731" s="4" t="s">
        <v>2183</v>
      </c>
      <c r="I2731" s="4" t="s">
        <v>2100</v>
      </c>
      <c r="J2731" s="4" t="s">
        <v>2384</v>
      </c>
      <c r="K2731">
        <v>16</v>
      </c>
      <c r="L2731">
        <v>4.88</v>
      </c>
      <c r="M2731">
        <v>19.049999999999997</v>
      </c>
      <c r="N2731">
        <v>88.899999999999991</v>
      </c>
      <c r="O2731">
        <v>192.1259842519685</v>
      </c>
      <c r="P2731">
        <v>0.74999999999999989</v>
      </c>
      <c r="Q2731">
        <v>3.5</v>
      </c>
      <c r="R2731">
        <v>1937.2619999999999</v>
      </c>
      <c r="S2731">
        <v>8.2644995999999991E-3</v>
      </c>
      <c r="T2731" s="4" t="s">
        <v>5182</v>
      </c>
    </row>
    <row r="2732" spans="1:20" x14ac:dyDescent="0.2">
      <c r="A2732" s="4" t="s">
        <v>5118</v>
      </c>
      <c r="B2732" s="4" t="s">
        <v>5179</v>
      </c>
      <c r="C2732" s="4" t="s">
        <v>2096</v>
      </c>
      <c r="D2732" s="4" t="s">
        <v>4764</v>
      </c>
      <c r="E2732" s="4" t="s">
        <v>5189</v>
      </c>
      <c r="F2732" s="4" t="s">
        <v>5181</v>
      </c>
      <c r="G2732" s="4" t="s">
        <v>5122</v>
      </c>
      <c r="H2732" s="4" t="s">
        <v>2183</v>
      </c>
      <c r="I2732" s="4" t="s">
        <v>2100</v>
      </c>
      <c r="J2732" s="4" t="s">
        <v>2384</v>
      </c>
      <c r="K2732">
        <v>17</v>
      </c>
      <c r="L2732">
        <v>5.18</v>
      </c>
      <c r="M2732">
        <v>19.049999999999997</v>
      </c>
      <c r="N2732">
        <v>88.899999999999991</v>
      </c>
      <c r="O2732">
        <v>203.93700787401573</v>
      </c>
      <c r="P2732">
        <v>0.74999999999999989</v>
      </c>
      <c r="Q2732">
        <v>3.5</v>
      </c>
      <c r="R2732">
        <v>1937.2619999999999</v>
      </c>
      <c r="S2732">
        <v>8.7725630999999967E-3</v>
      </c>
      <c r="T2732" s="4" t="s">
        <v>5182</v>
      </c>
    </row>
    <row r="2733" spans="1:20" x14ac:dyDescent="0.2">
      <c r="A2733" s="4" t="s">
        <v>5118</v>
      </c>
      <c r="B2733" s="4" t="s">
        <v>5179</v>
      </c>
      <c r="C2733" s="4" t="s">
        <v>2096</v>
      </c>
      <c r="D2733" s="4" t="s">
        <v>4764</v>
      </c>
      <c r="E2733" s="4" t="s">
        <v>5190</v>
      </c>
      <c r="F2733" s="4" t="s">
        <v>5181</v>
      </c>
      <c r="G2733" s="4" t="s">
        <v>5122</v>
      </c>
      <c r="H2733" s="4" t="s">
        <v>2183</v>
      </c>
      <c r="I2733" s="4" t="s">
        <v>2100</v>
      </c>
      <c r="J2733" s="4" t="s">
        <v>2384</v>
      </c>
      <c r="K2733">
        <v>18</v>
      </c>
      <c r="L2733">
        <v>5.49</v>
      </c>
      <c r="M2733">
        <v>19.049999999999997</v>
      </c>
      <c r="N2733">
        <v>88.899999999999991</v>
      </c>
      <c r="O2733">
        <v>216.14173228346459</v>
      </c>
      <c r="P2733">
        <v>0.74999999999999989</v>
      </c>
      <c r="Q2733">
        <v>3.5</v>
      </c>
      <c r="R2733">
        <v>1937.2619999999999</v>
      </c>
      <c r="S2733">
        <v>9.2975620499999977E-3</v>
      </c>
      <c r="T2733" s="4" t="s">
        <v>5182</v>
      </c>
    </row>
    <row r="2734" spans="1:20" x14ac:dyDescent="0.2">
      <c r="A2734" s="4" t="s">
        <v>5118</v>
      </c>
      <c r="B2734" s="4" t="s">
        <v>5179</v>
      </c>
      <c r="C2734" s="4" t="s">
        <v>2286</v>
      </c>
      <c r="D2734" s="4" t="s">
        <v>4764</v>
      </c>
      <c r="E2734" s="4" t="s">
        <v>5191</v>
      </c>
      <c r="F2734" s="4" t="s">
        <v>5181</v>
      </c>
      <c r="G2734" s="4" t="s">
        <v>5122</v>
      </c>
      <c r="H2734" s="4" t="s">
        <v>2183</v>
      </c>
      <c r="I2734" s="4" t="s">
        <v>2100</v>
      </c>
      <c r="J2734" s="4" t="s">
        <v>2384</v>
      </c>
      <c r="K2734">
        <v>4</v>
      </c>
      <c r="L2734">
        <v>1.22</v>
      </c>
      <c r="M2734">
        <v>19.049999999999997</v>
      </c>
      <c r="N2734">
        <v>88.899999999999991</v>
      </c>
      <c r="O2734">
        <v>48.031496062992126</v>
      </c>
      <c r="P2734">
        <v>0.74999999999999989</v>
      </c>
      <c r="Q2734">
        <v>3.5</v>
      </c>
      <c r="R2734">
        <v>1937.2619999999999</v>
      </c>
      <c r="S2734">
        <v>2.0661248999999998E-3</v>
      </c>
      <c r="T2734" s="4" t="s">
        <v>5192</v>
      </c>
    </row>
    <row r="2735" spans="1:20" x14ac:dyDescent="0.2">
      <c r="A2735" s="4" t="s">
        <v>5118</v>
      </c>
      <c r="B2735" s="4" t="s">
        <v>5179</v>
      </c>
      <c r="C2735" s="4" t="s">
        <v>2286</v>
      </c>
      <c r="D2735" s="4" t="s">
        <v>4764</v>
      </c>
      <c r="E2735" s="4" t="s">
        <v>5193</v>
      </c>
      <c r="F2735" s="4" t="s">
        <v>5181</v>
      </c>
      <c r="G2735" s="4" t="s">
        <v>5122</v>
      </c>
      <c r="H2735" s="4" t="s">
        <v>2183</v>
      </c>
      <c r="I2735" s="4" t="s">
        <v>2100</v>
      </c>
      <c r="J2735" s="4" t="s">
        <v>2384</v>
      </c>
      <c r="K2735">
        <v>5</v>
      </c>
      <c r="L2735">
        <v>1.52</v>
      </c>
      <c r="M2735">
        <v>19.049999999999997</v>
      </c>
      <c r="N2735">
        <v>88.899999999999991</v>
      </c>
      <c r="O2735">
        <v>59.84251968503937</v>
      </c>
      <c r="P2735">
        <v>0.74999999999999989</v>
      </c>
      <c r="Q2735">
        <v>3.5</v>
      </c>
      <c r="R2735">
        <v>1937.2619999999999</v>
      </c>
      <c r="S2735">
        <v>2.5741883999999991E-3</v>
      </c>
      <c r="T2735" s="4" t="s">
        <v>5192</v>
      </c>
    </row>
    <row r="2736" spans="1:20" x14ac:dyDescent="0.2">
      <c r="A2736" s="4" t="s">
        <v>5118</v>
      </c>
      <c r="B2736" s="4" t="s">
        <v>5179</v>
      </c>
      <c r="C2736" s="4" t="s">
        <v>2286</v>
      </c>
      <c r="D2736" s="4" t="s">
        <v>4764</v>
      </c>
      <c r="E2736" s="4" t="s">
        <v>5194</v>
      </c>
      <c r="F2736" s="4" t="s">
        <v>5181</v>
      </c>
      <c r="G2736" s="4" t="s">
        <v>5122</v>
      </c>
      <c r="H2736" s="4" t="s">
        <v>2183</v>
      </c>
      <c r="I2736" s="4" t="s">
        <v>2100</v>
      </c>
      <c r="J2736" s="4" t="s">
        <v>2384</v>
      </c>
      <c r="K2736">
        <v>6</v>
      </c>
      <c r="L2736">
        <v>1.83</v>
      </c>
      <c r="M2736">
        <v>19.049999999999997</v>
      </c>
      <c r="N2736">
        <v>88.899999999999991</v>
      </c>
      <c r="O2736">
        <v>72.047244094488192</v>
      </c>
      <c r="P2736">
        <v>0.74999999999999989</v>
      </c>
      <c r="Q2736">
        <v>3.5</v>
      </c>
      <c r="R2736">
        <v>1937.2619999999999</v>
      </c>
      <c r="S2736">
        <v>3.0991873499999992E-3</v>
      </c>
      <c r="T2736" s="4" t="s">
        <v>5192</v>
      </c>
    </row>
    <row r="2737" spans="1:20" x14ac:dyDescent="0.2">
      <c r="A2737" s="4" t="s">
        <v>5118</v>
      </c>
      <c r="B2737" s="4" t="s">
        <v>5179</v>
      </c>
      <c r="C2737" s="4" t="s">
        <v>2286</v>
      </c>
      <c r="D2737" s="4" t="s">
        <v>4764</v>
      </c>
      <c r="E2737" s="4" t="s">
        <v>5195</v>
      </c>
      <c r="F2737" s="4" t="s">
        <v>5181</v>
      </c>
      <c r="G2737" s="4" t="s">
        <v>5122</v>
      </c>
      <c r="H2737" s="4" t="s">
        <v>2183</v>
      </c>
      <c r="I2737" s="4" t="s">
        <v>2100</v>
      </c>
      <c r="J2737" s="4" t="s">
        <v>2384</v>
      </c>
      <c r="K2737">
        <v>7</v>
      </c>
      <c r="L2737">
        <v>2.13</v>
      </c>
      <c r="M2737">
        <v>19.049999999999997</v>
      </c>
      <c r="N2737">
        <v>88.899999999999991</v>
      </c>
      <c r="O2737">
        <v>83.858267716535437</v>
      </c>
      <c r="P2737">
        <v>0.74999999999999989</v>
      </c>
      <c r="Q2737">
        <v>3.5</v>
      </c>
      <c r="R2737">
        <v>1937.2619999999999</v>
      </c>
      <c r="S2737">
        <v>3.6072508499999986E-3</v>
      </c>
      <c r="T2737" s="4" t="s">
        <v>5192</v>
      </c>
    </row>
    <row r="2738" spans="1:20" x14ac:dyDescent="0.2">
      <c r="A2738" s="4" t="s">
        <v>5118</v>
      </c>
      <c r="B2738" s="4" t="s">
        <v>5179</v>
      </c>
      <c r="C2738" s="4" t="s">
        <v>2096</v>
      </c>
      <c r="D2738" s="4" t="s">
        <v>4764</v>
      </c>
      <c r="E2738" s="4" t="s">
        <v>5196</v>
      </c>
      <c r="F2738" s="4" t="s">
        <v>5181</v>
      </c>
      <c r="G2738" s="4" t="s">
        <v>5122</v>
      </c>
      <c r="H2738" s="4" t="s">
        <v>2183</v>
      </c>
      <c r="I2738" s="4" t="s">
        <v>2100</v>
      </c>
      <c r="J2738" s="4" t="s">
        <v>2384</v>
      </c>
      <c r="K2738">
        <v>8</v>
      </c>
      <c r="L2738">
        <v>2.44</v>
      </c>
      <c r="M2738">
        <v>19.049999999999997</v>
      </c>
      <c r="N2738">
        <v>88.899999999999991</v>
      </c>
      <c r="O2738">
        <v>96.062992125984252</v>
      </c>
      <c r="P2738">
        <v>0.74999999999999989</v>
      </c>
      <c r="Q2738">
        <v>3.5</v>
      </c>
      <c r="R2738">
        <v>1937.2619999999999</v>
      </c>
      <c r="S2738">
        <v>4.1322497999999996E-3</v>
      </c>
      <c r="T2738" s="4" t="s">
        <v>5182</v>
      </c>
    </row>
    <row r="2739" spans="1:20" x14ac:dyDescent="0.2">
      <c r="A2739" s="4" t="s">
        <v>5118</v>
      </c>
      <c r="B2739" s="4" t="s">
        <v>5179</v>
      </c>
      <c r="C2739" s="4" t="s">
        <v>2096</v>
      </c>
      <c r="D2739" s="4" t="s">
        <v>4764</v>
      </c>
      <c r="E2739" s="4" t="s">
        <v>5197</v>
      </c>
      <c r="F2739" s="4" t="s">
        <v>5181</v>
      </c>
      <c r="G2739" s="4" t="s">
        <v>5122</v>
      </c>
      <c r="H2739" s="4" t="s">
        <v>2183</v>
      </c>
      <c r="I2739" s="4" t="s">
        <v>2100</v>
      </c>
      <c r="J2739" s="4" t="s">
        <v>2384</v>
      </c>
      <c r="K2739">
        <v>9</v>
      </c>
      <c r="L2739">
        <v>2.74</v>
      </c>
      <c r="M2739">
        <v>19.049999999999997</v>
      </c>
      <c r="N2739">
        <v>88.899999999999991</v>
      </c>
      <c r="O2739">
        <v>107.87401574803151</v>
      </c>
      <c r="P2739">
        <v>0.74999999999999989</v>
      </c>
      <c r="Q2739">
        <v>3.5</v>
      </c>
      <c r="R2739">
        <v>1937.2619999999999</v>
      </c>
      <c r="S2739">
        <v>4.6403132999999989E-3</v>
      </c>
      <c r="T2739" s="4" t="s">
        <v>5182</v>
      </c>
    </row>
    <row r="2740" spans="1:20" x14ac:dyDescent="0.2">
      <c r="A2740" s="4" t="s">
        <v>5118</v>
      </c>
      <c r="B2740" s="4" t="s">
        <v>5119</v>
      </c>
      <c r="C2740" s="4" t="s">
        <v>2096</v>
      </c>
      <c r="D2740" s="4" t="s">
        <v>4764</v>
      </c>
      <c r="E2740" s="4" t="s">
        <v>5198</v>
      </c>
      <c r="F2740" s="4" t="s">
        <v>5199</v>
      </c>
      <c r="G2740" s="4" t="s">
        <v>5122</v>
      </c>
      <c r="H2740" s="4" t="s">
        <v>2183</v>
      </c>
      <c r="I2740" s="4" t="s">
        <v>2100</v>
      </c>
      <c r="J2740" s="4" t="s">
        <v>2153</v>
      </c>
      <c r="K2740">
        <v>10</v>
      </c>
      <c r="L2740">
        <v>3.05</v>
      </c>
      <c r="M2740">
        <v>19.049999999999997</v>
      </c>
      <c r="N2740">
        <v>139.69999999999999</v>
      </c>
      <c r="O2740">
        <v>120.07874015748031</v>
      </c>
      <c r="P2740">
        <v>0.74999999999999989</v>
      </c>
      <c r="Q2740">
        <v>5.5</v>
      </c>
      <c r="R2740">
        <v>1232.8030000000001</v>
      </c>
      <c r="S2740">
        <v>8.1169192499999966E-3</v>
      </c>
      <c r="T2740" s="4" t="s">
        <v>5200</v>
      </c>
    </row>
    <row r="2741" spans="1:20" x14ac:dyDescent="0.2">
      <c r="A2741" s="4" t="s">
        <v>5118</v>
      </c>
      <c r="B2741" s="4" t="s">
        <v>5119</v>
      </c>
      <c r="C2741" s="4" t="s">
        <v>2096</v>
      </c>
      <c r="D2741" s="4" t="s">
        <v>4764</v>
      </c>
      <c r="E2741" s="4" t="s">
        <v>5201</v>
      </c>
      <c r="F2741" s="4" t="s">
        <v>5199</v>
      </c>
      <c r="G2741" s="4" t="s">
        <v>5122</v>
      </c>
      <c r="H2741" s="4" t="s">
        <v>2183</v>
      </c>
      <c r="I2741" s="4" t="s">
        <v>2100</v>
      </c>
      <c r="J2741" s="4" t="s">
        <v>2153</v>
      </c>
      <c r="K2741">
        <v>11</v>
      </c>
      <c r="L2741">
        <v>3.35</v>
      </c>
      <c r="M2741">
        <v>19.049999999999997</v>
      </c>
      <c r="N2741">
        <v>139.69999999999999</v>
      </c>
      <c r="O2741">
        <v>131.88976377952756</v>
      </c>
      <c r="P2741">
        <v>0.74999999999999989</v>
      </c>
      <c r="Q2741">
        <v>5.5</v>
      </c>
      <c r="R2741">
        <v>1232.8030000000001</v>
      </c>
      <c r="S2741">
        <v>8.9153047499999985E-3</v>
      </c>
      <c r="T2741" s="4" t="s">
        <v>5200</v>
      </c>
    </row>
    <row r="2742" spans="1:20" x14ac:dyDescent="0.2">
      <c r="A2742" s="4" t="s">
        <v>5118</v>
      </c>
      <c r="B2742" s="4" t="s">
        <v>5119</v>
      </c>
      <c r="C2742" s="4" t="s">
        <v>2096</v>
      </c>
      <c r="D2742" s="4" t="s">
        <v>4764</v>
      </c>
      <c r="E2742" s="4" t="s">
        <v>5202</v>
      </c>
      <c r="F2742" s="4" t="s">
        <v>5199</v>
      </c>
      <c r="G2742" s="4" t="s">
        <v>5122</v>
      </c>
      <c r="H2742" s="4" t="s">
        <v>2183</v>
      </c>
      <c r="I2742" s="4" t="s">
        <v>2100</v>
      </c>
      <c r="J2742" s="4" t="s">
        <v>2153</v>
      </c>
      <c r="K2742">
        <v>12</v>
      </c>
      <c r="L2742">
        <v>3.66</v>
      </c>
      <c r="M2742">
        <v>19.049999999999997</v>
      </c>
      <c r="N2742">
        <v>139.69999999999999</v>
      </c>
      <c r="O2742">
        <v>144.09448818897638</v>
      </c>
      <c r="P2742">
        <v>0.74999999999999989</v>
      </c>
      <c r="Q2742">
        <v>5.5</v>
      </c>
      <c r="R2742">
        <v>1232.8030000000001</v>
      </c>
      <c r="S2742">
        <v>9.7403030999999984E-3</v>
      </c>
      <c r="T2742" s="4" t="s">
        <v>5200</v>
      </c>
    </row>
    <row r="2743" spans="1:20" x14ac:dyDescent="0.2">
      <c r="A2743" s="4" t="s">
        <v>5118</v>
      </c>
      <c r="B2743" s="4" t="s">
        <v>5119</v>
      </c>
      <c r="C2743" s="4" t="s">
        <v>2096</v>
      </c>
      <c r="D2743" s="4" t="s">
        <v>4764</v>
      </c>
      <c r="E2743" s="4" t="s">
        <v>5203</v>
      </c>
      <c r="F2743" s="4" t="s">
        <v>5199</v>
      </c>
      <c r="G2743" s="4" t="s">
        <v>5122</v>
      </c>
      <c r="H2743" s="4" t="s">
        <v>2183</v>
      </c>
      <c r="I2743" s="4" t="s">
        <v>2100</v>
      </c>
      <c r="J2743" s="4" t="s">
        <v>2153</v>
      </c>
      <c r="K2743">
        <v>13</v>
      </c>
      <c r="L2743">
        <v>3.96</v>
      </c>
      <c r="M2743">
        <v>19.049999999999997</v>
      </c>
      <c r="N2743">
        <v>139.69999999999999</v>
      </c>
      <c r="O2743">
        <v>155.90551181102362</v>
      </c>
      <c r="P2743">
        <v>0.74999999999999989</v>
      </c>
      <c r="Q2743">
        <v>5.5</v>
      </c>
      <c r="R2743">
        <v>1232.8030000000001</v>
      </c>
      <c r="S2743">
        <v>1.0538688599999999E-2</v>
      </c>
      <c r="T2743" s="4" t="s">
        <v>5200</v>
      </c>
    </row>
    <row r="2744" spans="1:20" x14ac:dyDescent="0.2">
      <c r="A2744" s="4" t="s">
        <v>5118</v>
      </c>
      <c r="B2744" s="4" t="s">
        <v>5119</v>
      </c>
      <c r="C2744" s="4" t="s">
        <v>2096</v>
      </c>
      <c r="D2744" s="4" t="s">
        <v>4764</v>
      </c>
      <c r="E2744" s="4" t="s">
        <v>5204</v>
      </c>
      <c r="F2744" s="4" t="s">
        <v>5199</v>
      </c>
      <c r="G2744" s="4" t="s">
        <v>5122</v>
      </c>
      <c r="H2744" s="4" t="s">
        <v>2183</v>
      </c>
      <c r="I2744" s="4" t="s">
        <v>2100</v>
      </c>
      <c r="J2744" s="4" t="s">
        <v>2153</v>
      </c>
      <c r="K2744">
        <v>14</v>
      </c>
      <c r="L2744">
        <v>4.2699999999999996</v>
      </c>
      <c r="M2744">
        <v>19.049999999999997</v>
      </c>
      <c r="N2744">
        <v>139.69999999999999</v>
      </c>
      <c r="O2744">
        <v>168.11023622047244</v>
      </c>
      <c r="P2744">
        <v>0.74999999999999989</v>
      </c>
      <c r="Q2744">
        <v>5.5</v>
      </c>
      <c r="R2744">
        <v>1232.8030000000001</v>
      </c>
      <c r="S2744">
        <v>1.1363686949999995E-2</v>
      </c>
      <c r="T2744" s="4" t="s">
        <v>5200</v>
      </c>
    </row>
    <row r="2745" spans="1:20" x14ac:dyDescent="0.2">
      <c r="A2745" s="4" t="s">
        <v>5118</v>
      </c>
      <c r="B2745" s="4" t="s">
        <v>5119</v>
      </c>
      <c r="C2745" s="4" t="s">
        <v>2096</v>
      </c>
      <c r="D2745" s="4" t="s">
        <v>4764</v>
      </c>
      <c r="E2745" s="4" t="s">
        <v>5205</v>
      </c>
      <c r="F2745" s="4" t="s">
        <v>5199</v>
      </c>
      <c r="G2745" s="4" t="s">
        <v>5122</v>
      </c>
      <c r="H2745" s="4" t="s">
        <v>2183</v>
      </c>
      <c r="I2745" s="4" t="s">
        <v>2100</v>
      </c>
      <c r="J2745" s="4" t="s">
        <v>2153</v>
      </c>
      <c r="K2745">
        <v>15</v>
      </c>
      <c r="L2745">
        <v>4.57</v>
      </c>
      <c r="M2745">
        <v>19.049999999999997</v>
      </c>
      <c r="N2745">
        <v>139.69999999999999</v>
      </c>
      <c r="O2745">
        <v>179.9212598425197</v>
      </c>
      <c r="P2745">
        <v>0.74999999999999989</v>
      </c>
      <c r="Q2745">
        <v>5.5</v>
      </c>
      <c r="R2745">
        <v>1232.8030000000001</v>
      </c>
      <c r="S2745">
        <v>1.2162072449999999E-2</v>
      </c>
      <c r="T2745" s="4" t="s">
        <v>5200</v>
      </c>
    </row>
    <row r="2746" spans="1:20" x14ac:dyDescent="0.2">
      <c r="A2746" s="4" t="s">
        <v>5118</v>
      </c>
      <c r="B2746" s="4" t="s">
        <v>5119</v>
      </c>
      <c r="C2746" s="4" t="s">
        <v>2096</v>
      </c>
      <c r="D2746" s="4" t="s">
        <v>4764</v>
      </c>
      <c r="E2746" s="4" t="s">
        <v>5206</v>
      </c>
      <c r="F2746" s="4" t="s">
        <v>5199</v>
      </c>
      <c r="G2746" s="4" t="s">
        <v>5122</v>
      </c>
      <c r="H2746" s="4" t="s">
        <v>2183</v>
      </c>
      <c r="I2746" s="4" t="s">
        <v>2100</v>
      </c>
      <c r="J2746" s="4" t="s">
        <v>2153</v>
      </c>
      <c r="K2746">
        <v>16</v>
      </c>
      <c r="L2746">
        <v>4.88</v>
      </c>
      <c r="M2746">
        <v>19.049999999999997</v>
      </c>
      <c r="N2746">
        <v>139.69999999999999</v>
      </c>
      <c r="O2746">
        <v>192.1259842519685</v>
      </c>
      <c r="P2746">
        <v>0.74999999999999989</v>
      </c>
      <c r="Q2746">
        <v>5.5</v>
      </c>
      <c r="R2746">
        <v>1232.8030000000001</v>
      </c>
      <c r="S2746">
        <v>1.2987070799999998E-2</v>
      </c>
      <c r="T2746" s="4" t="s">
        <v>5200</v>
      </c>
    </row>
    <row r="2747" spans="1:20" x14ac:dyDescent="0.2">
      <c r="A2747" s="4" t="s">
        <v>5118</v>
      </c>
      <c r="B2747" s="4" t="s">
        <v>5119</v>
      </c>
      <c r="C2747" s="4" t="s">
        <v>2096</v>
      </c>
      <c r="D2747" s="4" t="s">
        <v>4764</v>
      </c>
      <c r="E2747" s="4" t="s">
        <v>5207</v>
      </c>
      <c r="F2747" s="4" t="s">
        <v>5199</v>
      </c>
      <c r="G2747" s="4" t="s">
        <v>5122</v>
      </c>
      <c r="H2747" s="4" t="s">
        <v>2183</v>
      </c>
      <c r="I2747" s="4" t="s">
        <v>2100</v>
      </c>
      <c r="J2747" s="4" t="s">
        <v>2153</v>
      </c>
      <c r="K2747">
        <v>17</v>
      </c>
      <c r="L2747">
        <v>5.18</v>
      </c>
      <c r="M2747">
        <v>19.049999999999997</v>
      </c>
      <c r="N2747">
        <v>139.69999999999999</v>
      </c>
      <c r="O2747">
        <v>203.93700787401573</v>
      </c>
      <c r="P2747">
        <v>0.74999999999999989</v>
      </c>
      <c r="Q2747">
        <v>5.5</v>
      </c>
      <c r="R2747">
        <v>1232.8030000000001</v>
      </c>
      <c r="S2747">
        <v>1.3785456299999995E-2</v>
      </c>
      <c r="T2747" s="4" t="s">
        <v>5200</v>
      </c>
    </row>
    <row r="2748" spans="1:20" x14ac:dyDescent="0.2">
      <c r="A2748" s="4" t="s">
        <v>5118</v>
      </c>
      <c r="B2748" s="4" t="s">
        <v>5119</v>
      </c>
      <c r="C2748" s="4" t="s">
        <v>2096</v>
      </c>
      <c r="D2748" s="4" t="s">
        <v>4764</v>
      </c>
      <c r="E2748" s="4" t="s">
        <v>5208</v>
      </c>
      <c r="F2748" s="4" t="s">
        <v>5199</v>
      </c>
      <c r="G2748" s="4" t="s">
        <v>5122</v>
      </c>
      <c r="H2748" s="4" t="s">
        <v>2183</v>
      </c>
      <c r="I2748" s="4" t="s">
        <v>2100</v>
      </c>
      <c r="J2748" s="4" t="s">
        <v>2153</v>
      </c>
      <c r="K2748">
        <v>18</v>
      </c>
      <c r="L2748">
        <v>5.49</v>
      </c>
      <c r="M2748">
        <v>19.049999999999997</v>
      </c>
      <c r="N2748">
        <v>139.69999999999999</v>
      </c>
      <c r="O2748">
        <v>216.14173228346459</v>
      </c>
      <c r="P2748">
        <v>0.74999999999999989</v>
      </c>
      <c r="Q2748">
        <v>5.5</v>
      </c>
      <c r="R2748">
        <v>1232.8030000000001</v>
      </c>
      <c r="S2748">
        <v>1.4610454649999998E-2</v>
      </c>
      <c r="T2748" s="4" t="s">
        <v>5200</v>
      </c>
    </row>
    <row r="2749" spans="1:20" x14ac:dyDescent="0.2">
      <c r="A2749" s="4" t="s">
        <v>5118</v>
      </c>
      <c r="B2749" s="4" t="s">
        <v>5119</v>
      </c>
      <c r="C2749" s="4" t="s">
        <v>2286</v>
      </c>
      <c r="D2749" s="4" t="s">
        <v>4764</v>
      </c>
      <c r="E2749" s="4" t="s">
        <v>5209</v>
      </c>
      <c r="F2749" s="4" t="s">
        <v>5199</v>
      </c>
      <c r="G2749" s="4" t="s">
        <v>5122</v>
      </c>
      <c r="H2749" s="4" t="s">
        <v>2183</v>
      </c>
      <c r="I2749" s="4" t="s">
        <v>2100</v>
      </c>
      <c r="J2749" s="4" t="s">
        <v>2153</v>
      </c>
      <c r="K2749">
        <v>4</v>
      </c>
      <c r="L2749">
        <v>1.22</v>
      </c>
      <c r="M2749">
        <v>19.049999999999997</v>
      </c>
      <c r="N2749">
        <v>139.69999999999999</v>
      </c>
      <c r="O2749">
        <v>48.031496062992126</v>
      </c>
      <c r="P2749">
        <v>0.74999999999999989</v>
      </c>
      <c r="Q2749">
        <v>5.5</v>
      </c>
      <c r="R2749">
        <v>1232.8030000000001</v>
      </c>
      <c r="S2749">
        <v>3.2467676999999996E-3</v>
      </c>
      <c r="T2749" s="4" t="s">
        <v>5210</v>
      </c>
    </row>
    <row r="2750" spans="1:20" x14ac:dyDescent="0.2">
      <c r="A2750" s="4" t="s">
        <v>5118</v>
      </c>
      <c r="B2750" s="4" t="s">
        <v>5119</v>
      </c>
      <c r="C2750" s="4" t="s">
        <v>2286</v>
      </c>
      <c r="D2750" s="4" t="s">
        <v>4764</v>
      </c>
      <c r="E2750" s="4" t="s">
        <v>5211</v>
      </c>
      <c r="F2750" s="4" t="s">
        <v>5199</v>
      </c>
      <c r="G2750" s="4" t="s">
        <v>5122</v>
      </c>
      <c r="H2750" s="4" t="s">
        <v>2183</v>
      </c>
      <c r="I2750" s="4" t="s">
        <v>2100</v>
      </c>
      <c r="J2750" s="4" t="s">
        <v>2153</v>
      </c>
      <c r="K2750">
        <v>5</v>
      </c>
      <c r="L2750">
        <v>1.52</v>
      </c>
      <c r="M2750">
        <v>19.049999999999997</v>
      </c>
      <c r="N2750">
        <v>139.69999999999999</v>
      </c>
      <c r="O2750">
        <v>59.84251968503937</v>
      </c>
      <c r="P2750">
        <v>0.74999999999999989</v>
      </c>
      <c r="Q2750">
        <v>5.5</v>
      </c>
      <c r="R2750">
        <v>1232.8030000000001</v>
      </c>
      <c r="S2750">
        <v>4.0451531999999985E-3</v>
      </c>
      <c r="T2750" s="4" t="s">
        <v>5210</v>
      </c>
    </row>
    <row r="2751" spans="1:20" x14ac:dyDescent="0.2">
      <c r="A2751" s="4" t="s">
        <v>5118</v>
      </c>
      <c r="B2751" s="4" t="s">
        <v>5119</v>
      </c>
      <c r="C2751" s="4" t="s">
        <v>2286</v>
      </c>
      <c r="D2751" s="4" t="s">
        <v>4764</v>
      </c>
      <c r="E2751" s="4" t="s">
        <v>5212</v>
      </c>
      <c r="F2751" s="4" t="s">
        <v>5199</v>
      </c>
      <c r="G2751" s="4" t="s">
        <v>5122</v>
      </c>
      <c r="H2751" s="4" t="s">
        <v>2183</v>
      </c>
      <c r="I2751" s="4" t="s">
        <v>2100</v>
      </c>
      <c r="J2751" s="4" t="s">
        <v>2153</v>
      </c>
      <c r="K2751">
        <v>6</v>
      </c>
      <c r="L2751">
        <v>1.83</v>
      </c>
      <c r="M2751">
        <v>19.049999999999997</v>
      </c>
      <c r="N2751">
        <v>139.69999999999999</v>
      </c>
      <c r="O2751">
        <v>72.047244094488192</v>
      </c>
      <c r="P2751">
        <v>0.74999999999999989</v>
      </c>
      <c r="Q2751">
        <v>5.5</v>
      </c>
      <c r="R2751">
        <v>1232.8030000000001</v>
      </c>
      <c r="S2751">
        <v>4.8701515499999992E-3</v>
      </c>
      <c r="T2751" s="4" t="s">
        <v>5210</v>
      </c>
    </row>
    <row r="2752" spans="1:20" x14ac:dyDescent="0.2">
      <c r="A2752" s="4" t="s">
        <v>5118</v>
      </c>
      <c r="B2752" s="4" t="s">
        <v>5119</v>
      </c>
      <c r="C2752" s="4" t="s">
        <v>2286</v>
      </c>
      <c r="D2752" s="4" t="s">
        <v>4764</v>
      </c>
      <c r="E2752" s="4" t="s">
        <v>5213</v>
      </c>
      <c r="F2752" s="4" t="s">
        <v>5199</v>
      </c>
      <c r="G2752" s="4" t="s">
        <v>5122</v>
      </c>
      <c r="H2752" s="4" t="s">
        <v>2183</v>
      </c>
      <c r="I2752" s="4" t="s">
        <v>2100</v>
      </c>
      <c r="J2752" s="4" t="s">
        <v>2153</v>
      </c>
      <c r="K2752">
        <v>7</v>
      </c>
      <c r="L2752">
        <v>2.13</v>
      </c>
      <c r="M2752">
        <v>19.049999999999997</v>
      </c>
      <c r="N2752">
        <v>139.69999999999999</v>
      </c>
      <c r="O2752">
        <v>83.858267716535437</v>
      </c>
      <c r="P2752">
        <v>0.74999999999999989</v>
      </c>
      <c r="Q2752">
        <v>5.5</v>
      </c>
      <c r="R2752">
        <v>1232.8030000000001</v>
      </c>
      <c r="S2752">
        <v>5.6685370499999976E-3</v>
      </c>
      <c r="T2752" s="4" t="s">
        <v>5210</v>
      </c>
    </row>
    <row r="2753" spans="1:20" x14ac:dyDescent="0.2">
      <c r="A2753" s="4" t="s">
        <v>5118</v>
      </c>
      <c r="B2753" s="4" t="s">
        <v>5119</v>
      </c>
      <c r="C2753" s="4" t="s">
        <v>2096</v>
      </c>
      <c r="D2753" s="4" t="s">
        <v>4764</v>
      </c>
      <c r="E2753" s="4" t="s">
        <v>5214</v>
      </c>
      <c r="F2753" s="4" t="s">
        <v>5199</v>
      </c>
      <c r="G2753" s="4" t="s">
        <v>5122</v>
      </c>
      <c r="H2753" s="4" t="s">
        <v>2183</v>
      </c>
      <c r="I2753" s="4" t="s">
        <v>2100</v>
      </c>
      <c r="J2753" s="4" t="s">
        <v>2153</v>
      </c>
      <c r="K2753">
        <v>8</v>
      </c>
      <c r="L2753">
        <v>2.44</v>
      </c>
      <c r="M2753">
        <v>19.049999999999997</v>
      </c>
      <c r="N2753">
        <v>139.69999999999999</v>
      </c>
      <c r="O2753">
        <v>96.062992125984252</v>
      </c>
      <c r="P2753">
        <v>0.74999999999999989</v>
      </c>
      <c r="Q2753">
        <v>5.5</v>
      </c>
      <c r="R2753">
        <v>1232.8030000000001</v>
      </c>
      <c r="S2753">
        <v>6.4935353999999992E-3</v>
      </c>
      <c r="T2753" s="4" t="s">
        <v>5200</v>
      </c>
    </row>
    <row r="2754" spans="1:20" x14ac:dyDescent="0.2">
      <c r="A2754" s="4" t="s">
        <v>5118</v>
      </c>
      <c r="B2754" s="4" t="s">
        <v>5119</v>
      </c>
      <c r="C2754" s="4" t="s">
        <v>2096</v>
      </c>
      <c r="D2754" s="4" t="s">
        <v>4764</v>
      </c>
      <c r="E2754" s="4" t="s">
        <v>5215</v>
      </c>
      <c r="F2754" s="4" t="s">
        <v>5199</v>
      </c>
      <c r="G2754" s="4" t="s">
        <v>5122</v>
      </c>
      <c r="H2754" s="4" t="s">
        <v>2183</v>
      </c>
      <c r="I2754" s="4" t="s">
        <v>2100</v>
      </c>
      <c r="J2754" s="4" t="s">
        <v>2153</v>
      </c>
      <c r="K2754">
        <v>9</v>
      </c>
      <c r="L2754">
        <v>2.74</v>
      </c>
      <c r="M2754">
        <v>19.049999999999997</v>
      </c>
      <c r="N2754">
        <v>139.69999999999999</v>
      </c>
      <c r="O2754">
        <v>107.87401574803151</v>
      </c>
      <c r="P2754">
        <v>0.74999999999999989</v>
      </c>
      <c r="Q2754">
        <v>5.5</v>
      </c>
      <c r="R2754">
        <v>1232.8030000000001</v>
      </c>
      <c r="S2754">
        <v>7.2919208999999985E-3</v>
      </c>
      <c r="T2754" s="4" t="s">
        <v>5200</v>
      </c>
    </row>
    <row r="2755" spans="1:20" x14ac:dyDescent="0.2">
      <c r="A2755" s="4" t="s">
        <v>5118</v>
      </c>
      <c r="B2755" s="4" t="s">
        <v>5216</v>
      </c>
      <c r="C2755" s="4" t="s">
        <v>2096</v>
      </c>
      <c r="D2755" s="4" t="s">
        <v>4764</v>
      </c>
      <c r="E2755" s="4" t="s">
        <v>1291</v>
      </c>
      <c r="F2755" s="4" t="s">
        <v>5217</v>
      </c>
      <c r="G2755" s="4" t="s">
        <v>5122</v>
      </c>
      <c r="H2755" s="4" t="s">
        <v>2183</v>
      </c>
      <c r="I2755" s="4" t="s">
        <v>2100</v>
      </c>
      <c r="J2755" s="4" t="s">
        <v>2432</v>
      </c>
      <c r="K2755">
        <v>10</v>
      </c>
      <c r="L2755">
        <v>3.05</v>
      </c>
      <c r="M2755">
        <v>19.049999999999997</v>
      </c>
      <c r="N2755">
        <v>184.14999999999998</v>
      </c>
      <c r="O2755">
        <v>120.07874015748031</v>
      </c>
      <c r="P2755">
        <v>0.74999999999999989</v>
      </c>
      <c r="Q2755">
        <v>7.2499999999999991</v>
      </c>
      <c r="R2755">
        <v>935.23</v>
      </c>
      <c r="S2755">
        <v>1.0699575374999997E-2</v>
      </c>
      <c r="T2755" s="4" t="s">
        <v>5218</v>
      </c>
    </row>
    <row r="2756" spans="1:20" x14ac:dyDescent="0.2">
      <c r="A2756" s="4" t="s">
        <v>5118</v>
      </c>
      <c r="B2756" s="4" t="s">
        <v>5216</v>
      </c>
      <c r="C2756" s="4" t="s">
        <v>2096</v>
      </c>
      <c r="D2756" s="4" t="s">
        <v>4764</v>
      </c>
      <c r="E2756" s="4" t="s">
        <v>1293</v>
      </c>
      <c r="F2756" s="4" t="s">
        <v>5217</v>
      </c>
      <c r="G2756" s="4" t="s">
        <v>5122</v>
      </c>
      <c r="H2756" s="4" t="s">
        <v>2183</v>
      </c>
      <c r="I2756" s="4" t="s">
        <v>2100</v>
      </c>
      <c r="J2756" s="4" t="s">
        <v>2432</v>
      </c>
      <c r="K2756">
        <v>11</v>
      </c>
      <c r="L2756">
        <v>3.35</v>
      </c>
      <c r="M2756">
        <v>19.049999999999997</v>
      </c>
      <c r="N2756">
        <v>184.14999999999998</v>
      </c>
      <c r="O2756">
        <v>131.88976377952756</v>
      </c>
      <c r="P2756">
        <v>0.74999999999999989</v>
      </c>
      <c r="Q2756">
        <v>7.2499999999999991</v>
      </c>
      <c r="R2756">
        <v>935.23</v>
      </c>
      <c r="S2756">
        <v>1.1751992624999997E-2</v>
      </c>
      <c r="T2756" s="4" t="s">
        <v>5218</v>
      </c>
    </row>
    <row r="2757" spans="1:20" x14ac:dyDescent="0.2">
      <c r="A2757" s="4" t="s">
        <v>5118</v>
      </c>
      <c r="B2757" s="4" t="s">
        <v>5216</v>
      </c>
      <c r="C2757" s="4" t="s">
        <v>2096</v>
      </c>
      <c r="D2757" s="4" t="s">
        <v>4764</v>
      </c>
      <c r="E2757" s="4" t="s">
        <v>1295</v>
      </c>
      <c r="F2757" s="4" t="s">
        <v>5217</v>
      </c>
      <c r="G2757" s="4" t="s">
        <v>5122</v>
      </c>
      <c r="H2757" s="4" t="s">
        <v>2183</v>
      </c>
      <c r="I2757" s="4" t="s">
        <v>2100</v>
      </c>
      <c r="J2757" s="4" t="s">
        <v>2432</v>
      </c>
      <c r="K2757">
        <v>12</v>
      </c>
      <c r="L2757">
        <v>3.66</v>
      </c>
      <c r="M2757">
        <v>19.049999999999997</v>
      </c>
      <c r="N2757">
        <v>184.14999999999998</v>
      </c>
      <c r="O2757">
        <v>144.09448818897638</v>
      </c>
      <c r="P2757">
        <v>0.74999999999999989</v>
      </c>
      <c r="Q2757">
        <v>7.2499999999999991</v>
      </c>
      <c r="R2757">
        <v>935.23</v>
      </c>
      <c r="S2757">
        <v>1.2839490449999998E-2</v>
      </c>
      <c r="T2757" s="4" t="s">
        <v>5218</v>
      </c>
    </row>
    <row r="2758" spans="1:20" x14ac:dyDescent="0.2">
      <c r="A2758" s="4" t="s">
        <v>5118</v>
      </c>
      <c r="B2758" s="4" t="s">
        <v>5216</v>
      </c>
      <c r="C2758" s="4" t="s">
        <v>2096</v>
      </c>
      <c r="D2758" s="4" t="s">
        <v>4764</v>
      </c>
      <c r="E2758" s="4" t="s">
        <v>5219</v>
      </c>
      <c r="F2758" s="4" t="s">
        <v>5217</v>
      </c>
      <c r="G2758" s="4" t="s">
        <v>5122</v>
      </c>
      <c r="H2758" s="4" t="s">
        <v>2183</v>
      </c>
      <c r="I2758" s="4" t="s">
        <v>2100</v>
      </c>
      <c r="J2758" s="4" t="s">
        <v>2432</v>
      </c>
      <c r="K2758">
        <v>13</v>
      </c>
      <c r="L2758">
        <v>3.96</v>
      </c>
      <c r="M2758">
        <v>19.049999999999997</v>
      </c>
      <c r="N2758">
        <v>184.14999999999998</v>
      </c>
      <c r="O2758">
        <v>155.90551181102362</v>
      </c>
      <c r="P2758">
        <v>0.74999999999999989</v>
      </c>
      <c r="Q2758">
        <v>7.2499999999999991</v>
      </c>
      <c r="R2758">
        <v>935.23</v>
      </c>
      <c r="S2758">
        <v>1.3891907699999997E-2</v>
      </c>
      <c r="T2758" s="4" t="s">
        <v>5218</v>
      </c>
    </row>
    <row r="2759" spans="1:20" x14ac:dyDescent="0.2">
      <c r="A2759" s="4" t="s">
        <v>5118</v>
      </c>
      <c r="B2759" s="4" t="s">
        <v>5216</v>
      </c>
      <c r="C2759" s="4" t="s">
        <v>2096</v>
      </c>
      <c r="D2759" s="4" t="s">
        <v>4764</v>
      </c>
      <c r="E2759" s="4" t="s">
        <v>1297</v>
      </c>
      <c r="F2759" s="4" t="s">
        <v>5217</v>
      </c>
      <c r="G2759" s="4" t="s">
        <v>5122</v>
      </c>
      <c r="H2759" s="4" t="s">
        <v>2183</v>
      </c>
      <c r="I2759" s="4" t="s">
        <v>2100</v>
      </c>
      <c r="J2759" s="4" t="s">
        <v>2432</v>
      </c>
      <c r="K2759">
        <v>14</v>
      </c>
      <c r="L2759">
        <v>4.2699999999999996</v>
      </c>
      <c r="M2759">
        <v>19.049999999999997</v>
      </c>
      <c r="N2759">
        <v>184.14999999999998</v>
      </c>
      <c r="O2759">
        <v>168.11023622047244</v>
      </c>
      <c r="P2759">
        <v>0.74999999999999989</v>
      </c>
      <c r="Q2759">
        <v>7.2499999999999991</v>
      </c>
      <c r="R2759">
        <v>935.23</v>
      </c>
      <c r="S2759">
        <v>1.4979405524999994E-2</v>
      </c>
      <c r="T2759" s="4" t="s">
        <v>5218</v>
      </c>
    </row>
    <row r="2760" spans="1:20" x14ac:dyDescent="0.2">
      <c r="A2760" s="4" t="s">
        <v>5118</v>
      </c>
      <c r="B2760" s="4" t="s">
        <v>5216</v>
      </c>
      <c r="C2760" s="4" t="s">
        <v>2096</v>
      </c>
      <c r="D2760" s="4" t="s">
        <v>4764</v>
      </c>
      <c r="E2760" s="4" t="s">
        <v>5220</v>
      </c>
      <c r="F2760" s="4" t="s">
        <v>5217</v>
      </c>
      <c r="G2760" s="4" t="s">
        <v>5122</v>
      </c>
      <c r="H2760" s="4" t="s">
        <v>2183</v>
      </c>
      <c r="I2760" s="4" t="s">
        <v>2100</v>
      </c>
      <c r="J2760" s="4" t="s">
        <v>2432</v>
      </c>
      <c r="K2760">
        <v>15</v>
      </c>
      <c r="L2760">
        <v>4.57</v>
      </c>
      <c r="M2760">
        <v>19.049999999999997</v>
      </c>
      <c r="N2760">
        <v>184.14999999999998</v>
      </c>
      <c r="O2760">
        <v>179.9212598425197</v>
      </c>
      <c r="P2760">
        <v>0.74999999999999989</v>
      </c>
      <c r="Q2760">
        <v>7.2499999999999991</v>
      </c>
      <c r="R2760">
        <v>935.23</v>
      </c>
      <c r="S2760">
        <v>1.6031822774999999E-2</v>
      </c>
      <c r="T2760" s="4" t="s">
        <v>5218</v>
      </c>
    </row>
    <row r="2761" spans="1:20" x14ac:dyDescent="0.2">
      <c r="A2761" s="4" t="s">
        <v>5118</v>
      </c>
      <c r="B2761" s="4" t="s">
        <v>5216</v>
      </c>
      <c r="C2761" s="4" t="s">
        <v>2096</v>
      </c>
      <c r="D2761" s="4" t="s">
        <v>4764</v>
      </c>
      <c r="E2761" s="4" t="s">
        <v>1299</v>
      </c>
      <c r="F2761" s="4" t="s">
        <v>5217</v>
      </c>
      <c r="G2761" s="4" t="s">
        <v>5122</v>
      </c>
      <c r="H2761" s="4" t="s">
        <v>2183</v>
      </c>
      <c r="I2761" s="4" t="s">
        <v>2100</v>
      </c>
      <c r="J2761" s="4" t="s">
        <v>2432</v>
      </c>
      <c r="K2761">
        <v>16</v>
      </c>
      <c r="L2761">
        <v>4.88</v>
      </c>
      <c r="M2761">
        <v>19.049999999999997</v>
      </c>
      <c r="N2761">
        <v>184.14999999999998</v>
      </c>
      <c r="O2761">
        <v>192.1259842519685</v>
      </c>
      <c r="P2761">
        <v>0.74999999999999989</v>
      </c>
      <c r="Q2761">
        <v>7.2499999999999991</v>
      </c>
      <c r="R2761">
        <v>935.23</v>
      </c>
      <c r="S2761">
        <v>1.7119320599999995E-2</v>
      </c>
      <c r="T2761" s="4" t="s">
        <v>5218</v>
      </c>
    </row>
    <row r="2762" spans="1:20" x14ac:dyDescent="0.2">
      <c r="A2762" s="4" t="s">
        <v>5118</v>
      </c>
      <c r="B2762" s="4" t="s">
        <v>5216</v>
      </c>
      <c r="C2762" s="4" t="s">
        <v>2096</v>
      </c>
      <c r="D2762" s="4" t="s">
        <v>4764</v>
      </c>
      <c r="E2762" s="4" t="s">
        <v>1301</v>
      </c>
      <c r="F2762" s="4" t="s">
        <v>5217</v>
      </c>
      <c r="G2762" s="4" t="s">
        <v>5122</v>
      </c>
      <c r="H2762" s="4" t="s">
        <v>2183</v>
      </c>
      <c r="I2762" s="4" t="s">
        <v>2100</v>
      </c>
      <c r="J2762" s="4" t="s">
        <v>2432</v>
      </c>
      <c r="K2762">
        <v>17</v>
      </c>
      <c r="L2762">
        <v>5.18</v>
      </c>
      <c r="M2762">
        <v>19.049999999999997</v>
      </c>
      <c r="N2762">
        <v>184.14999999999998</v>
      </c>
      <c r="O2762">
        <v>203.93700787401573</v>
      </c>
      <c r="P2762">
        <v>0.74999999999999989</v>
      </c>
      <c r="Q2762">
        <v>7.2499999999999991</v>
      </c>
      <c r="R2762">
        <v>935.23</v>
      </c>
      <c r="S2762">
        <v>1.8171737849999991E-2</v>
      </c>
      <c r="T2762" s="4" t="s">
        <v>5218</v>
      </c>
    </row>
    <row r="2763" spans="1:20" x14ac:dyDescent="0.2">
      <c r="A2763" s="4" t="s">
        <v>5118</v>
      </c>
      <c r="B2763" s="4" t="s">
        <v>5216</v>
      </c>
      <c r="C2763" s="4" t="s">
        <v>2096</v>
      </c>
      <c r="D2763" s="4" t="s">
        <v>4764</v>
      </c>
      <c r="E2763" s="4" t="s">
        <v>5221</v>
      </c>
      <c r="F2763" s="4" t="s">
        <v>5217</v>
      </c>
      <c r="G2763" s="4" t="s">
        <v>5122</v>
      </c>
      <c r="H2763" s="4" t="s">
        <v>2183</v>
      </c>
      <c r="I2763" s="4" t="s">
        <v>2100</v>
      </c>
      <c r="J2763" s="4" t="s">
        <v>2432</v>
      </c>
      <c r="K2763">
        <v>18</v>
      </c>
      <c r="L2763">
        <v>5.49</v>
      </c>
      <c r="M2763">
        <v>19.049999999999997</v>
      </c>
      <c r="N2763">
        <v>184.14999999999998</v>
      </c>
      <c r="O2763">
        <v>216.14173228346459</v>
      </c>
      <c r="P2763">
        <v>0.74999999999999989</v>
      </c>
      <c r="Q2763">
        <v>7.2499999999999991</v>
      </c>
      <c r="R2763">
        <v>935.23</v>
      </c>
      <c r="S2763">
        <v>1.9259235674999996E-2</v>
      </c>
      <c r="T2763" s="4" t="s">
        <v>5218</v>
      </c>
    </row>
    <row r="2764" spans="1:20" x14ac:dyDescent="0.2">
      <c r="A2764" s="4" t="s">
        <v>5118</v>
      </c>
      <c r="B2764" s="4" t="s">
        <v>5216</v>
      </c>
      <c r="C2764" s="4" t="s">
        <v>2096</v>
      </c>
      <c r="D2764" s="4" t="s">
        <v>4764</v>
      </c>
      <c r="E2764" s="4" t="s">
        <v>1961</v>
      </c>
      <c r="F2764" s="4" t="s">
        <v>5217</v>
      </c>
      <c r="G2764" s="4" t="s">
        <v>5122</v>
      </c>
      <c r="H2764" s="4" t="s">
        <v>2183</v>
      </c>
      <c r="I2764" s="4" t="s">
        <v>2100</v>
      </c>
      <c r="J2764" s="4" t="s">
        <v>2432</v>
      </c>
      <c r="K2764">
        <v>19</v>
      </c>
      <c r="L2764">
        <v>5.79</v>
      </c>
      <c r="M2764">
        <v>19.049999999999997</v>
      </c>
      <c r="N2764">
        <v>184.14999999999998</v>
      </c>
      <c r="O2764">
        <v>227.95275590551182</v>
      </c>
      <c r="P2764">
        <v>0.74999999999999989</v>
      </c>
      <c r="Q2764">
        <v>7.2499999999999991</v>
      </c>
      <c r="R2764">
        <v>935.23</v>
      </c>
      <c r="S2764">
        <v>2.0311652924999993E-2</v>
      </c>
      <c r="T2764" s="4" t="s">
        <v>5218</v>
      </c>
    </row>
    <row r="2765" spans="1:20" x14ac:dyDescent="0.2">
      <c r="A2765" s="4" t="s">
        <v>5118</v>
      </c>
      <c r="B2765" s="4" t="s">
        <v>5216</v>
      </c>
      <c r="C2765" s="4" t="s">
        <v>2286</v>
      </c>
      <c r="D2765" s="4" t="s">
        <v>4764</v>
      </c>
      <c r="E2765" s="4" t="s">
        <v>5222</v>
      </c>
      <c r="F2765" s="4" t="s">
        <v>5217</v>
      </c>
      <c r="G2765" s="4" t="s">
        <v>5122</v>
      </c>
      <c r="H2765" s="4" t="s">
        <v>2183</v>
      </c>
      <c r="I2765" s="4" t="s">
        <v>2100</v>
      </c>
      <c r="J2765" s="4" t="s">
        <v>2432</v>
      </c>
      <c r="K2765">
        <v>4</v>
      </c>
      <c r="L2765">
        <v>1.22</v>
      </c>
      <c r="M2765">
        <v>19.049999999999997</v>
      </c>
      <c r="N2765">
        <v>184.14999999999998</v>
      </c>
      <c r="O2765">
        <v>48.031496062992126</v>
      </c>
      <c r="P2765">
        <v>0.74999999999999989</v>
      </c>
      <c r="Q2765">
        <v>7.2499999999999991</v>
      </c>
      <c r="R2765">
        <v>935.23</v>
      </c>
      <c r="S2765">
        <v>4.2798301499999986E-3</v>
      </c>
      <c r="T2765" s="4" t="s">
        <v>5223</v>
      </c>
    </row>
    <row r="2766" spans="1:20" x14ac:dyDescent="0.2">
      <c r="A2766" s="4" t="s">
        <v>5118</v>
      </c>
      <c r="B2766" s="4" t="s">
        <v>5216</v>
      </c>
      <c r="C2766" s="4" t="s">
        <v>2286</v>
      </c>
      <c r="D2766" s="4" t="s">
        <v>4764</v>
      </c>
      <c r="E2766" s="4" t="s">
        <v>5224</v>
      </c>
      <c r="F2766" s="4" t="s">
        <v>5217</v>
      </c>
      <c r="G2766" s="4" t="s">
        <v>5122</v>
      </c>
      <c r="H2766" s="4" t="s">
        <v>2183</v>
      </c>
      <c r="I2766" s="4" t="s">
        <v>2100</v>
      </c>
      <c r="J2766" s="4" t="s">
        <v>2432</v>
      </c>
      <c r="K2766">
        <v>5</v>
      </c>
      <c r="L2766">
        <v>1.52</v>
      </c>
      <c r="M2766">
        <v>19.049999999999997</v>
      </c>
      <c r="N2766">
        <v>184.14999999999998</v>
      </c>
      <c r="O2766">
        <v>59.84251968503937</v>
      </c>
      <c r="P2766">
        <v>0.74999999999999989</v>
      </c>
      <c r="Q2766">
        <v>7.2499999999999991</v>
      </c>
      <c r="R2766">
        <v>935.23</v>
      </c>
      <c r="S2766">
        <v>5.3322473999999984E-3</v>
      </c>
      <c r="T2766" s="4" t="s">
        <v>5223</v>
      </c>
    </row>
    <row r="2767" spans="1:20" x14ac:dyDescent="0.2">
      <c r="A2767" s="4" t="s">
        <v>5118</v>
      </c>
      <c r="B2767" s="4" t="s">
        <v>5216</v>
      </c>
      <c r="C2767" s="4" t="s">
        <v>2286</v>
      </c>
      <c r="D2767" s="4" t="s">
        <v>4764</v>
      </c>
      <c r="E2767" s="4" t="s">
        <v>5225</v>
      </c>
      <c r="F2767" s="4" t="s">
        <v>5217</v>
      </c>
      <c r="G2767" s="4" t="s">
        <v>5122</v>
      </c>
      <c r="H2767" s="4" t="s">
        <v>2183</v>
      </c>
      <c r="I2767" s="4" t="s">
        <v>2100</v>
      </c>
      <c r="J2767" s="4" t="s">
        <v>2432</v>
      </c>
      <c r="K2767">
        <v>6</v>
      </c>
      <c r="L2767">
        <v>1.83</v>
      </c>
      <c r="M2767">
        <v>19.049999999999997</v>
      </c>
      <c r="N2767">
        <v>184.14999999999998</v>
      </c>
      <c r="O2767">
        <v>72.047244094488192</v>
      </c>
      <c r="P2767">
        <v>0.74999999999999989</v>
      </c>
      <c r="Q2767">
        <v>7.2499999999999991</v>
      </c>
      <c r="R2767">
        <v>935.23</v>
      </c>
      <c r="S2767">
        <v>6.4197452249999988E-3</v>
      </c>
      <c r="T2767" s="4" t="s">
        <v>5223</v>
      </c>
    </row>
    <row r="2768" spans="1:20" x14ac:dyDescent="0.2">
      <c r="A2768" s="4" t="s">
        <v>5118</v>
      </c>
      <c r="B2768" s="4" t="s">
        <v>5216</v>
      </c>
      <c r="C2768" s="4" t="s">
        <v>2286</v>
      </c>
      <c r="D2768" s="4" t="s">
        <v>4764</v>
      </c>
      <c r="E2768" s="4" t="s">
        <v>5226</v>
      </c>
      <c r="F2768" s="4" t="s">
        <v>5217</v>
      </c>
      <c r="G2768" s="4" t="s">
        <v>5122</v>
      </c>
      <c r="H2768" s="4" t="s">
        <v>2183</v>
      </c>
      <c r="I2768" s="4" t="s">
        <v>2100</v>
      </c>
      <c r="J2768" s="4" t="s">
        <v>2432</v>
      </c>
      <c r="K2768">
        <v>7</v>
      </c>
      <c r="L2768">
        <v>2.13</v>
      </c>
      <c r="M2768">
        <v>19.049999999999997</v>
      </c>
      <c r="N2768">
        <v>184.14999999999998</v>
      </c>
      <c r="O2768">
        <v>83.858267716535437</v>
      </c>
      <c r="P2768">
        <v>0.74999999999999989</v>
      </c>
      <c r="Q2768">
        <v>7.2499999999999991</v>
      </c>
      <c r="R2768">
        <v>935.23</v>
      </c>
      <c r="S2768">
        <v>7.4721624749999969E-3</v>
      </c>
      <c r="T2768" s="4" t="s">
        <v>5223</v>
      </c>
    </row>
    <row r="2769" spans="1:20" x14ac:dyDescent="0.2">
      <c r="A2769" s="4" t="s">
        <v>5118</v>
      </c>
      <c r="B2769" s="4" t="s">
        <v>5216</v>
      </c>
      <c r="C2769" s="4" t="s">
        <v>2096</v>
      </c>
      <c r="D2769" s="4" t="s">
        <v>4764</v>
      </c>
      <c r="E2769" s="4" t="s">
        <v>1303</v>
      </c>
      <c r="F2769" s="4" t="s">
        <v>5217</v>
      </c>
      <c r="G2769" s="4" t="s">
        <v>5122</v>
      </c>
      <c r="H2769" s="4" t="s">
        <v>2183</v>
      </c>
      <c r="I2769" s="4" t="s">
        <v>2100</v>
      </c>
      <c r="J2769" s="4" t="s">
        <v>2432</v>
      </c>
      <c r="K2769">
        <v>8</v>
      </c>
      <c r="L2769">
        <v>2.44</v>
      </c>
      <c r="M2769">
        <v>19.049999999999997</v>
      </c>
      <c r="N2769">
        <v>184.14999999999998</v>
      </c>
      <c r="O2769">
        <v>96.062992125984252</v>
      </c>
      <c r="P2769">
        <v>0.74999999999999989</v>
      </c>
      <c r="Q2769">
        <v>7.2499999999999991</v>
      </c>
      <c r="R2769">
        <v>935.23</v>
      </c>
      <c r="S2769">
        <v>8.5596602999999973E-3</v>
      </c>
      <c r="T2769" s="4" t="s">
        <v>5218</v>
      </c>
    </row>
    <row r="2770" spans="1:20" x14ac:dyDescent="0.2">
      <c r="A2770" s="4" t="s">
        <v>5118</v>
      </c>
      <c r="B2770" s="4" t="s">
        <v>5216</v>
      </c>
      <c r="C2770" s="4" t="s">
        <v>2096</v>
      </c>
      <c r="D2770" s="4" t="s">
        <v>4764</v>
      </c>
      <c r="E2770" s="4" t="s">
        <v>1305</v>
      </c>
      <c r="F2770" s="4" t="s">
        <v>5217</v>
      </c>
      <c r="G2770" s="4" t="s">
        <v>5122</v>
      </c>
      <c r="H2770" s="4" t="s">
        <v>2183</v>
      </c>
      <c r="I2770" s="4" t="s">
        <v>2100</v>
      </c>
      <c r="J2770" s="4" t="s">
        <v>2432</v>
      </c>
      <c r="K2770">
        <v>9</v>
      </c>
      <c r="L2770">
        <v>2.74</v>
      </c>
      <c r="M2770">
        <v>19.049999999999997</v>
      </c>
      <c r="N2770">
        <v>184.14999999999998</v>
      </c>
      <c r="O2770">
        <v>107.87401574803151</v>
      </c>
      <c r="P2770">
        <v>0.74999999999999989</v>
      </c>
      <c r="Q2770">
        <v>7.2499999999999991</v>
      </c>
      <c r="R2770">
        <v>935.23</v>
      </c>
      <c r="S2770">
        <v>9.6120775499999971E-3</v>
      </c>
      <c r="T2770" s="4" t="s">
        <v>5218</v>
      </c>
    </row>
    <row r="2771" spans="1:20" x14ac:dyDescent="0.2">
      <c r="A2771" s="4" t="s">
        <v>5118</v>
      </c>
      <c r="B2771" s="4" t="s">
        <v>5227</v>
      </c>
      <c r="C2771" s="4" t="s">
        <v>2096</v>
      </c>
      <c r="D2771" s="4" t="s">
        <v>4764</v>
      </c>
      <c r="E2771" s="4" t="s">
        <v>1307</v>
      </c>
      <c r="F2771" s="4" t="s">
        <v>5228</v>
      </c>
      <c r="G2771" s="4" t="s">
        <v>5122</v>
      </c>
      <c r="H2771" s="4" t="s">
        <v>2183</v>
      </c>
      <c r="I2771" s="4" t="s">
        <v>2100</v>
      </c>
      <c r="J2771" s="4" t="s">
        <v>2518</v>
      </c>
      <c r="K2771">
        <v>10</v>
      </c>
      <c r="L2771">
        <v>3.05</v>
      </c>
      <c r="M2771">
        <v>38.099999999999994</v>
      </c>
      <c r="N2771">
        <v>38.099999999999994</v>
      </c>
      <c r="O2771">
        <v>120.07874015748031</v>
      </c>
      <c r="P2771">
        <v>1.4999999999999998</v>
      </c>
      <c r="Q2771">
        <v>1.4999999999999998</v>
      </c>
      <c r="R2771">
        <v>2260.1390000000001</v>
      </c>
      <c r="S2771">
        <v>4.4274104999999985E-3</v>
      </c>
      <c r="T2771" s="4" t="s">
        <v>5229</v>
      </c>
    </row>
    <row r="2772" spans="1:20" x14ac:dyDescent="0.2">
      <c r="A2772" s="4" t="s">
        <v>5118</v>
      </c>
      <c r="B2772" s="4" t="s">
        <v>5227</v>
      </c>
      <c r="C2772" s="4" t="s">
        <v>2096</v>
      </c>
      <c r="D2772" s="4" t="s">
        <v>4764</v>
      </c>
      <c r="E2772" s="4" t="s">
        <v>1309</v>
      </c>
      <c r="F2772" s="4" t="s">
        <v>5228</v>
      </c>
      <c r="G2772" s="4" t="s">
        <v>5122</v>
      </c>
      <c r="H2772" s="4" t="s">
        <v>2183</v>
      </c>
      <c r="I2772" s="4" t="s">
        <v>2100</v>
      </c>
      <c r="J2772" s="4" t="s">
        <v>2518</v>
      </c>
      <c r="K2772">
        <v>11</v>
      </c>
      <c r="L2772">
        <v>3.35</v>
      </c>
      <c r="M2772">
        <v>38.099999999999994</v>
      </c>
      <c r="N2772">
        <v>38.099999999999994</v>
      </c>
      <c r="O2772">
        <v>131.88976377952756</v>
      </c>
      <c r="P2772">
        <v>1.4999999999999998</v>
      </c>
      <c r="Q2772">
        <v>1.4999999999999998</v>
      </c>
      <c r="R2772">
        <v>2260.1390000000001</v>
      </c>
      <c r="S2772">
        <v>4.8628934999999989E-3</v>
      </c>
      <c r="T2772" s="4" t="s">
        <v>5229</v>
      </c>
    </row>
    <row r="2773" spans="1:20" x14ac:dyDescent="0.2">
      <c r="A2773" s="4" t="s">
        <v>5118</v>
      </c>
      <c r="B2773" s="4" t="s">
        <v>5227</v>
      </c>
      <c r="C2773" s="4" t="s">
        <v>2096</v>
      </c>
      <c r="D2773" s="4" t="s">
        <v>4764</v>
      </c>
      <c r="E2773" s="4" t="s">
        <v>1311</v>
      </c>
      <c r="F2773" s="4" t="s">
        <v>5228</v>
      </c>
      <c r="G2773" s="4" t="s">
        <v>5122</v>
      </c>
      <c r="H2773" s="4" t="s">
        <v>2183</v>
      </c>
      <c r="I2773" s="4" t="s">
        <v>2100</v>
      </c>
      <c r="J2773" s="4" t="s">
        <v>2518</v>
      </c>
      <c r="K2773">
        <v>12</v>
      </c>
      <c r="L2773">
        <v>3.66</v>
      </c>
      <c r="M2773">
        <v>38.099999999999994</v>
      </c>
      <c r="N2773">
        <v>38.099999999999994</v>
      </c>
      <c r="O2773">
        <v>144.09448818897638</v>
      </c>
      <c r="P2773">
        <v>1.4999999999999998</v>
      </c>
      <c r="Q2773">
        <v>1.4999999999999998</v>
      </c>
      <c r="R2773">
        <v>2260.1390000000001</v>
      </c>
      <c r="S2773">
        <v>5.312892599999999E-3</v>
      </c>
      <c r="T2773" s="4" t="s">
        <v>5229</v>
      </c>
    </row>
    <row r="2774" spans="1:20" x14ac:dyDescent="0.2">
      <c r="A2774" s="4" t="s">
        <v>5118</v>
      </c>
      <c r="B2774" s="4" t="s">
        <v>5227</v>
      </c>
      <c r="C2774" s="4" t="s">
        <v>2096</v>
      </c>
      <c r="D2774" s="4" t="s">
        <v>4764</v>
      </c>
      <c r="E2774" s="4" t="s">
        <v>1313</v>
      </c>
      <c r="F2774" s="4" t="s">
        <v>5228</v>
      </c>
      <c r="G2774" s="4" t="s">
        <v>5122</v>
      </c>
      <c r="H2774" s="4" t="s">
        <v>2183</v>
      </c>
      <c r="I2774" s="4" t="s">
        <v>2100</v>
      </c>
      <c r="J2774" s="4" t="s">
        <v>2518</v>
      </c>
      <c r="K2774">
        <v>13</v>
      </c>
      <c r="L2774">
        <v>3.96</v>
      </c>
      <c r="M2774">
        <v>38.099999999999994</v>
      </c>
      <c r="N2774">
        <v>38.099999999999994</v>
      </c>
      <c r="O2774">
        <v>155.90551181102362</v>
      </c>
      <c r="P2774">
        <v>1.4999999999999998</v>
      </c>
      <c r="Q2774">
        <v>1.4999999999999998</v>
      </c>
      <c r="R2774">
        <v>2260.1390000000001</v>
      </c>
      <c r="S2774">
        <v>5.7483755999999985E-3</v>
      </c>
      <c r="T2774" s="4" t="s">
        <v>5229</v>
      </c>
    </row>
    <row r="2775" spans="1:20" x14ac:dyDescent="0.2">
      <c r="A2775" s="4" t="s">
        <v>5118</v>
      </c>
      <c r="B2775" s="4" t="s">
        <v>5227</v>
      </c>
      <c r="C2775" s="4" t="s">
        <v>2096</v>
      </c>
      <c r="D2775" s="4" t="s">
        <v>4764</v>
      </c>
      <c r="E2775" s="4" t="s">
        <v>1315</v>
      </c>
      <c r="F2775" s="4" t="s">
        <v>5228</v>
      </c>
      <c r="G2775" s="4" t="s">
        <v>5122</v>
      </c>
      <c r="H2775" s="4" t="s">
        <v>2183</v>
      </c>
      <c r="I2775" s="4" t="s">
        <v>2100</v>
      </c>
      <c r="J2775" s="4" t="s">
        <v>2518</v>
      </c>
      <c r="K2775">
        <v>14</v>
      </c>
      <c r="L2775">
        <v>4.2699999999999996</v>
      </c>
      <c r="M2775">
        <v>38.099999999999994</v>
      </c>
      <c r="N2775">
        <v>38.099999999999994</v>
      </c>
      <c r="O2775">
        <v>168.11023622047244</v>
      </c>
      <c r="P2775">
        <v>1.4999999999999998</v>
      </c>
      <c r="Q2775">
        <v>1.4999999999999998</v>
      </c>
      <c r="R2775">
        <v>2260.1390000000001</v>
      </c>
      <c r="S2775">
        <v>6.1983746999999968E-3</v>
      </c>
      <c r="T2775" s="4" t="s">
        <v>5229</v>
      </c>
    </row>
    <row r="2776" spans="1:20" x14ac:dyDescent="0.2">
      <c r="A2776" s="4" t="s">
        <v>5118</v>
      </c>
      <c r="B2776" s="4" t="s">
        <v>5227</v>
      </c>
      <c r="C2776" s="4" t="s">
        <v>2096</v>
      </c>
      <c r="D2776" s="4" t="s">
        <v>4764</v>
      </c>
      <c r="E2776" s="4" t="s">
        <v>5230</v>
      </c>
      <c r="F2776" s="4" t="s">
        <v>5228</v>
      </c>
      <c r="G2776" s="4" t="s">
        <v>5122</v>
      </c>
      <c r="H2776" s="4" t="s">
        <v>2183</v>
      </c>
      <c r="I2776" s="4" t="s">
        <v>2100</v>
      </c>
      <c r="J2776" s="4" t="s">
        <v>2518</v>
      </c>
      <c r="K2776">
        <v>15</v>
      </c>
      <c r="L2776">
        <v>4.57</v>
      </c>
      <c r="M2776">
        <v>38.099999999999994</v>
      </c>
      <c r="N2776">
        <v>38.099999999999994</v>
      </c>
      <c r="O2776">
        <v>179.9212598425197</v>
      </c>
      <c r="P2776">
        <v>1.4999999999999998</v>
      </c>
      <c r="Q2776">
        <v>1.4999999999999998</v>
      </c>
      <c r="R2776">
        <v>2260.1390000000001</v>
      </c>
      <c r="S2776">
        <v>6.6338576999999989E-3</v>
      </c>
      <c r="T2776" s="4" t="s">
        <v>5229</v>
      </c>
    </row>
    <row r="2777" spans="1:20" x14ac:dyDescent="0.2">
      <c r="A2777" s="4" t="s">
        <v>5118</v>
      </c>
      <c r="B2777" s="4" t="s">
        <v>5227</v>
      </c>
      <c r="C2777" s="4" t="s">
        <v>2096</v>
      </c>
      <c r="D2777" s="4" t="s">
        <v>4764</v>
      </c>
      <c r="E2777" s="4" t="s">
        <v>1317</v>
      </c>
      <c r="F2777" s="4" t="s">
        <v>5228</v>
      </c>
      <c r="G2777" s="4" t="s">
        <v>5122</v>
      </c>
      <c r="H2777" s="4" t="s">
        <v>2183</v>
      </c>
      <c r="I2777" s="4" t="s">
        <v>2100</v>
      </c>
      <c r="J2777" s="4" t="s">
        <v>2518</v>
      </c>
      <c r="K2777">
        <v>16</v>
      </c>
      <c r="L2777">
        <v>4.88</v>
      </c>
      <c r="M2777">
        <v>38.099999999999994</v>
      </c>
      <c r="N2777">
        <v>38.099999999999994</v>
      </c>
      <c r="O2777">
        <v>192.1259842519685</v>
      </c>
      <c r="P2777">
        <v>1.4999999999999998</v>
      </c>
      <c r="Q2777">
        <v>1.4999999999999998</v>
      </c>
      <c r="R2777">
        <v>2260.1390000000001</v>
      </c>
      <c r="S2777">
        <v>7.0838567999999989E-3</v>
      </c>
      <c r="T2777" s="4" t="s">
        <v>5229</v>
      </c>
    </row>
    <row r="2778" spans="1:20" x14ac:dyDescent="0.2">
      <c r="A2778" s="4" t="s">
        <v>5118</v>
      </c>
      <c r="B2778" s="4" t="s">
        <v>5227</v>
      </c>
      <c r="C2778" s="4" t="s">
        <v>2096</v>
      </c>
      <c r="D2778" s="4" t="s">
        <v>4764</v>
      </c>
      <c r="E2778" s="4" t="s">
        <v>1319</v>
      </c>
      <c r="F2778" s="4" t="s">
        <v>5228</v>
      </c>
      <c r="G2778" s="4" t="s">
        <v>5122</v>
      </c>
      <c r="H2778" s="4" t="s">
        <v>2183</v>
      </c>
      <c r="I2778" s="4" t="s">
        <v>2100</v>
      </c>
      <c r="J2778" s="4" t="s">
        <v>2518</v>
      </c>
      <c r="K2778">
        <v>17</v>
      </c>
      <c r="L2778">
        <v>5.18</v>
      </c>
      <c r="M2778">
        <v>38.099999999999994</v>
      </c>
      <c r="N2778">
        <v>38.099999999999994</v>
      </c>
      <c r="O2778">
        <v>203.93700787401573</v>
      </c>
      <c r="P2778">
        <v>1.4999999999999998</v>
      </c>
      <c r="Q2778">
        <v>1.4999999999999998</v>
      </c>
      <c r="R2778">
        <v>2260.1390000000001</v>
      </c>
      <c r="S2778">
        <v>7.5193397999999976E-3</v>
      </c>
      <c r="T2778" s="4" t="s">
        <v>5229</v>
      </c>
    </row>
    <row r="2779" spans="1:20" x14ac:dyDescent="0.2">
      <c r="A2779" s="4" t="s">
        <v>5118</v>
      </c>
      <c r="B2779" s="4" t="s">
        <v>5227</v>
      </c>
      <c r="C2779" s="4" t="s">
        <v>2096</v>
      </c>
      <c r="D2779" s="4" t="s">
        <v>4764</v>
      </c>
      <c r="E2779" s="4" t="s">
        <v>5231</v>
      </c>
      <c r="F2779" s="4" t="s">
        <v>5228</v>
      </c>
      <c r="G2779" s="4" t="s">
        <v>5122</v>
      </c>
      <c r="H2779" s="4" t="s">
        <v>2183</v>
      </c>
      <c r="I2779" s="4" t="s">
        <v>2100</v>
      </c>
      <c r="J2779" s="4" t="s">
        <v>2518</v>
      </c>
      <c r="K2779">
        <v>18</v>
      </c>
      <c r="L2779">
        <v>5.49</v>
      </c>
      <c r="M2779">
        <v>38.099999999999994</v>
      </c>
      <c r="N2779">
        <v>38.099999999999994</v>
      </c>
      <c r="O2779">
        <v>216.14173228346459</v>
      </c>
      <c r="P2779">
        <v>1.4999999999999998</v>
      </c>
      <c r="Q2779">
        <v>1.4999999999999998</v>
      </c>
      <c r="R2779">
        <v>2260.1390000000001</v>
      </c>
      <c r="S2779">
        <v>7.9693388999999993E-3</v>
      </c>
      <c r="T2779" s="4" t="s">
        <v>5229</v>
      </c>
    </row>
    <row r="2780" spans="1:20" x14ac:dyDescent="0.2">
      <c r="A2780" s="4" t="s">
        <v>5118</v>
      </c>
      <c r="B2780" s="4" t="s">
        <v>5227</v>
      </c>
      <c r="C2780" s="4" t="s">
        <v>2286</v>
      </c>
      <c r="D2780" s="4" t="s">
        <v>4764</v>
      </c>
      <c r="E2780" s="4" t="s">
        <v>5232</v>
      </c>
      <c r="F2780" s="4" t="s">
        <v>5228</v>
      </c>
      <c r="G2780" s="4" t="s">
        <v>5122</v>
      </c>
      <c r="H2780" s="4" t="s">
        <v>2183</v>
      </c>
      <c r="I2780" s="4" t="s">
        <v>2100</v>
      </c>
      <c r="J2780" s="4" t="s">
        <v>2518</v>
      </c>
      <c r="K2780">
        <v>4</v>
      </c>
      <c r="L2780">
        <v>1.22</v>
      </c>
      <c r="M2780">
        <v>38.099999999999994</v>
      </c>
      <c r="N2780">
        <v>38.099999999999994</v>
      </c>
      <c r="O2780">
        <v>48.031496062992126</v>
      </c>
      <c r="P2780">
        <v>1.4999999999999998</v>
      </c>
      <c r="Q2780">
        <v>1.4999999999999998</v>
      </c>
      <c r="R2780">
        <v>2260.1390000000001</v>
      </c>
      <c r="S2780">
        <v>1.7709641999999997E-3</v>
      </c>
      <c r="T2780" s="4" t="s">
        <v>5233</v>
      </c>
    </row>
    <row r="2781" spans="1:20" x14ac:dyDescent="0.2">
      <c r="A2781" s="4" t="s">
        <v>5118</v>
      </c>
      <c r="B2781" s="4" t="s">
        <v>5227</v>
      </c>
      <c r="C2781" s="4" t="s">
        <v>2286</v>
      </c>
      <c r="D2781" s="4" t="s">
        <v>4764</v>
      </c>
      <c r="E2781" s="4" t="s">
        <v>5234</v>
      </c>
      <c r="F2781" s="4" t="s">
        <v>5228</v>
      </c>
      <c r="G2781" s="4" t="s">
        <v>5122</v>
      </c>
      <c r="H2781" s="4" t="s">
        <v>2183</v>
      </c>
      <c r="I2781" s="4" t="s">
        <v>2100</v>
      </c>
      <c r="J2781" s="4" t="s">
        <v>2518</v>
      </c>
      <c r="K2781">
        <v>6</v>
      </c>
      <c r="L2781">
        <v>1.83</v>
      </c>
      <c r="M2781">
        <v>38.099999999999994</v>
      </c>
      <c r="N2781">
        <v>38.099999999999994</v>
      </c>
      <c r="O2781">
        <v>72.047244094488192</v>
      </c>
      <c r="P2781">
        <v>1.4999999999999998</v>
      </c>
      <c r="Q2781">
        <v>1.4999999999999998</v>
      </c>
      <c r="R2781">
        <v>2260.1390000000001</v>
      </c>
      <c r="S2781">
        <v>2.6564462999999995E-3</v>
      </c>
      <c r="T2781" s="4" t="s">
        <v>5233</v>
      </c>
    </row>
    <row r="2782" spans="1:20" x14ac:dyDescent="0.2">
      <c r="A2782" s="4" t="s">
        <v>5118</v>
      </c>
      <c r="B2782" s="4" t="s">
        <v>5227</v>
      </c>
      <c r="C2782" s="4" t="s">
        <v>2286</v>
      </c>
      <c r="D2782" s="4" t="s">
        <v>4764</v>
      </c>
      <c r="E2782" s="4" t="s">
        <v>5235</v>
      </c>
      <c r="F2782" s="4" t="s">
        <v>5228</v>
      </c>
      <c r="G2782" s="4" t="s">
        <v>5122</v>
      </c>
      <c r="H2782" s="4" t="s">
        <v>2183</v>
      </c>
      <c r="I2782" s="4" t="s">
        <v>2100</v>
      </c>
      <c r="J2782" s="4" t="s">
        <v>2518</v>
      </c>
      <c r="K2782">
        <v>7</v>
      </c>
      <c r="L2782">
        <v>2.13</v>
      </c>
      <c r="M2782">
        <v>38.099999999999994</v>
      </c>
      <c r="N2782">
        <v>38.099999999999994</v>
      </c>
      <c r="O2782">
        <v>83.858267716535437</v>
      </c>
      <c r="P2782">
        <v>1.4999999999999998</v>
      </c>
      <c r="Q2782">
        <v>1.4999999999999998</v>
      </c>
      <c r="R2782">
        <v>2260.1390000000001</v>
      </c>
      <c r="S2782">
        <v>3.0919292999999986E-3</v>
      </c>
      <c r="T2782" s="4" t="s">
        <v>5233</v>
      </c>
    </row>
    <row r="2783" spans="1:20" x14ac:dyDescent="0.2">
      <c r="A2783" s="4" t="s">
        <v>5118</v>
      </c>
      <c r="B2783" s="4" t="s">
        <v>5227</v>
      </c>
      <c r="C2783" s="4" t="s">
        <v>2096</v>
      </c>
      <c r="D2783" s="4" t="s">
        <v>4764</v>
      </c>
      <c r="E2783" s="4" t="s">
        <v>1321</v>
      </c>
      <c r="F2783" s="4" t="s">
        <v>5228</v>
      </c>
      <c r="G2783" s="4" t="s">
        <v>5122</v>
      </c>
      <c r="H2783" s="4" t="s">
        <v>2183</v>
      </c>
      <c r="I2783" s="4" t="s">
        <v>2100</v>
      </c>
      <c r="J2783" s="4" t="s">
        <v>2518</v>
      </c>
      <c r="K2783">
        <v>8</v>
      </c>
      <c r="L2783">
        <v>2.44</v>
      </c>
      <c r="M2783">
        <v>38.099999999999994</v>
      </c>
      <c r="N2783">
        <v>38.099999999999994</v>
      </c>
      <c r="O2783">
        <v>96.062992125984252</v>
      </c>
      <c r="P2783">
        <v>1.4999999999999998</v>
      </c>
      <c r="Q2783">
        <v>1.4999999999999998</v>
      </c>
      <c r="R2783">
        <v>2260.1390000000001</v>
      </c>
      <c r="S2783">
        <v>3.5419283999999994E-3</v>
      </c>
      <c r="T2783" s="4" t="s">
        <v>5229</v>
      </c>
    </row>
    <row r="2784" spans="1:20" x14ac:dyDescent="0.2">
      <c r="A2784" s="4" t="s">
        <v>5118</v>
      </c>
      <c r="B2784" s="4" t="s">
        <v>5227</v>
      </c>
      <c r="C2784" s="4" t="s">
        <v>2096</v>
      </c>
      <c r="D2784" s="4" t="s">
        <v>4764</v>
      </c>
      <c r="E2784" s="4" t="s">
        <v>1323</v>
      </c>
      <c r="F2784" s="4" t="s">
        <v>5228</v>
      </c>
      <c r="G2784" s="4" t="s">
        <v>5122</v>
      </c>
      <c r="H2784" s="4" t="s">
        <v>2183</v>
      </c>
      <c r="I2784" s="4" t="s">
        <v>2100</v>
      </c>
      <c r="J2784" s="4" t="s">
        <v>2518</v>
      </c>
      <c r="K2784">
        <v>9</v>
      </c>
      <c r="L2784">
        <v>2.74</v>
      </c>
      <c r="M2784">
        <v>38.099999999999994</v>
      </c>
      <c r="N2784">
        <v>38.099999999999994</v>
      </c>
      <c r="O2784">
        <v>107.87401574803151</v>
      </c>
      <c r="P2784">
        <v>1.4999999999999998</v>
      </c>
      <c r="Q2784">
        <v>1.4999999999999998</v>
      </c>
      <c r="R2784">
        <v>2260.1390000000001</v>
      </c>
      <c r="S2784">
        <v>3.9774113999999985E-3</v>
      </c>
      <c r="T2784" s="4" t="s">
        <v>5229</v>
      </c>
    </row>
    <row r="2785" spans="1:20" x14ac:dyDescent="0.2">
      <c r="A2785" s="4" t="s">
        <v>5118</v>
      </c>
      <c r="B2785" s="4" t="s">
        <v>5236</v>
      </c>
      <c r="C2785" s="4" t="s">
        <v>2096</v>
      </c>
      <c r="D2785" s="4" t="s">
        <v>4764</v>
      </c>
      <c r="E2785" s="4" t="s">
        <v>5237</v>
      </c>
      <c r="F2785" s="4" t="s">
        <v>5238</v>
      </c>
      <c r="G2785" s="4" t="s">
        <v>5122</v>
      </c>
      <c r="H2785" s="4" t="s">
        <v>2183</v>
      </c>
      <c r="I2785" s="4" t="s">
        <v>2100</v>
      </c>
      <c r="J2785" s="4" t="s">
        <v>2544</v>
      </c>
      <c r="K2785">
        <v>10</v>
      </c>
      <c r="L2785">
        <v>3.05</v>
      </c>
      <c r="M2785">
        <v>38.1</v>
      </c>
      <c r="N2785">
        <v>63.5</v>
      </c>
      <c r="O2785">
        <v>120.07874015748031</v>
      </c>
      <c r="P2785">
        <v>1.5000000000000002</v>
      </c>
      <c r="Q2785">
        <v>2.5</v>
      </c>
      <c r="R2785">
        <v>1356.0830000000001</v>
      </c>
      <c r="S2785">
        <v>7.3790174999999996E-3</v>
      </c>
      <c r="T2785" s="4" t="s">
        <v>5239</v>
      </c>
    </row>
    <row r="2786" spans="1:20" x14ac:dyDescent="0.2">
      <c r="A2786" s="4" t="s">
        <v>5118</v>
      </c>
      <c r="B2786" s="4" t="s">
        <v>5236</v>
      </c>
      <c r="C2786" s="4" t="s">
        <v>2096</v>
      </c>
      <c r="D2786" s="4" t="s">
        <v>4764</v>
      </c>
      <c r="E2786" s="4" t="s">
        <v>5240</v>
      </c>
      <c r="F2786" s="4" t="s">
        <v>5238</v>
      </c>
      <c r="G2786" s="4" t="s">
        <v>5122</v>
      </c>
      <c r="H2786" s="4" t="s">
        <v>2183</v>
      </c>
      <c r="I2786" s="4" t="s">
        <v>2100</v>
      </c>
      <c r="J2786" s="4" t="s">
        <v>2544</v>
      </c>
      <c r="K2786">
        <v>11</v>
      </c>
      <c r="L2786">
        <v>3.35</v>
      </c>
      <c r="M2786">
        <v>38.1</v>
      </c>
      <c r="N2786">
        <v>63.5</v>
      </c>
      <c r="O2786">
        <v>131.88976377952756</v>
      </c>
      <c r="P2786">
        <v>1.5000000000000002</v>
      </c>
      <c r="Q2786">
        <v>2.5</v>
      </c>
      <c r="R2786">
        <v>1356.0830000000001</v>
      </c>
      <c r="S2786">
        <v>8.1048224999999991E-3</v>
      </c>
      <c r="T2786" s="4" t="s">
        <v>5239</v>
      </c>
    </row>
    <row r="2787" spans="1:20" x14ac:dyDescent="0.2">
      <c r="A2787" s="4" t="s">
        <v>5118</v>
      </c>
      <c r="B2787" s="4" t="s">
        <v>5236</v>
      </c>
      <c r="C2787" s="4" t="s">
        <v>2096</v>
      </c>
      <c r="D2787" s="4" t="s">
        <v>4764</v>
      </c>
      <c r="E2787" s="4" t="s">
        <v>5241</v>
      </c>
      <c r="F2787" s="4" t="s">
        <v>5238</v>
      </c>
      <c r="G2787" s="4" t="s">
        <v>5122</v>
      </c>
      <c r="H2787" s="4" t="s">
        <v>2183</v>
      </c>
      <c r="I2787" s="4" t="s">
        <v>2100</v>
      </c>
      <c r="J2787" s="4" t="s">
        <v>2544</v>
      </c>
      <c r="K2787">
        <v>12</v>
      </c>
      <c r="L2787">
        <v>3.66</v>
      </c>
      <c r="M2787">
        <v>38.1</v>
      </c>
      <c r="N2787">
        <v>63.5</v>
      </c>
      <c r="O2787">
        <v>144.09448818897638</v>
      </c>
      <c r="P2787">
        <v>1.5000000000000002</v>
      </c>
      <c r="Q2787">
        <v>2.5</v>
      </c>
      <c r="R2787">
        <v>1356.0830000000001</v>
      </c>
      <c r="S2787">
        <v>8.8548209999999988E-3</v>
      </c>
      <c r="T2787" s="4" t="s">
        <v>5239</v>
      </c>
    </row>
    <row r="2788" spans="1:20" x14ac:dyDescent="0.2">
      <c r="A2788" s="4" t="s">
        <v>5118</v>
      </c>
      <c r="B2788" s="4" t="s">
        <v>5236</v>
      </c>
      <c r="C2788" s="4" t="s">
        <v>2096</v>
      </c>
      <c r="D2788" s="4" t="s">
        <v>4764</v>
      </c>
      <c r="E2788" s="4" t="s">
        <v>5242</v>
      </c>
      <c r="F2788" s="4" t="s">
        <v>5238</v>
      </c>
      <c r="G2788" s="4" t="s">
        <v>5122</v>
      </c>
      <c r="H2788" s="4" t="s">
        <v>2183</v>
      </c>
      <c r="I2788" s="4" t="s">
        <v>2100</v>
      </c>
      <c r="J2788" s="4" t="s">
        <v>2544</v>
      </c>
      <c r="K2788">
        <v>13</v>
      </c>
      <c r="L2788">
        <v>3.96</v>
      </c>
      <c r="M2788">
        <v>38.1</v>
      </c>
      <c r="N2788">
        <v>63.5</v>
      </c>
      <c r="O2788">
        <v>155.90551181102362</v>
      </c>
      <c r="P2788">
        <v>1.5000000000000002</v>
      </c>
      <c r="Q2788">
        <v>2.5</v>
      </c>
      <c r="R2788">
        <v>1356.0830000000001</v>
      </c>
      <c r="S2788">
        <v>9.5806260000000001E-3</v>
      </c>
      <c r="T2788" s="4" t="s">
        <v>5239</v>
      </c>
    </row>
    <row r="2789" spans="1:20" x14ac:dyDescent="0.2">
      <c r="A2789" s="4" t="s">
        <v>5118</v>
      </c>
      <c r="B2789" s="4" t="s">
        <v>5236</v>
      </c>
      <c r="C2789" s="4" t="s">
        <v>2096</v>
      </c>
      <c r="D2789" s="4" t="s">
        <v>4764</v>
      </c>
      <c r="E2789" s="4" t="s">
        <v>5243</v>
      </c>
      <c r="F2789" s="4" t="s">
        <v>5238</v>
      </c>
      <c r="G2789" s="4" t="s">
        <v>5122</v>
      </c>
      <c r="H2789" s="4" t="s">
        <v>2183</v>
      </c>
      <c r="I2789" s="4" t="s">
        <v>2100</v>
      </c>
      <c r="J2789" s="4" t="s">
        <v>2544</v>
      </c>
      <c r="K2789">
        <v>14</v>
      </c>
      <c r="L2789">
        <v>4.2699999999999996</v>
      </c>
      <c r="M2789">
        <v>38.1</v>
      </c>
      <c r="N2789">
        <v>63.5</v>
      </c>
      <c r="O2789">
        <v>168.11023622047244</v>
      </c>
      <c r="P2789">
        <v>1.5000000000000002</v>
      </c>
      <c r="Q2789">
        <v>2.5</v>
      </c>
      <c r="R2789">
        <v>1356.0830000000001</v>
      </c>
      <c r="S2789">
        <v>1.03306245E-2</v>
      </c>
      <c r="T2789" s="4" t="s">
        <v>5239</v>
      </c>
    </row>
    <row r="2790" spans="1:20" x14ac:dyDescent="0.2">
      <c r="A2790" s="4" t="s">
        <v>5118</v>
      </c>
      <c r="B2790" s="4" t="s">
        <v>5236</v>
      </c>
      <c r="C2790" s="4" t="s">
        <v>2096</v>
      </c>
      <c r="D2790" s="4" t="s">
        <v>4764</v>
      </c>
      <c r="E2790" s="4" t="s">
        <v>5244</v>
      </c>
      <c r="F2790" s="4" t="s">
        <v>5238</v>
      </c>
      <c r="G2790" s="4" t="s">
        <v>5122</v>
      </c>
      <c r="H2790" s="4" t="s">
        <v>2183</v>
      </c>
      <c r="I2790" s="4" t="s">
        <v>2100</v>
      </c>
      <c r="J2790" s="4" t="s">
        <v>2544</v>
      </c>
      <c r="K2790">
        <v>15</v>
      </c>
      <c r="L2790">
        <v>4.57</v>
      </c>
      <c r="M2790">
        <v>38.1</v>
      </c>
      <c r="N2790">
        <v>63.5</v>
      </c>
      <c r="O2790">
        <v>179.9212598425197</v>
      </c>
      <c r="P2790">
        <v>1.5000000000000002</v>
      </c>
      <c r="Q2790">
        <v>2.5</v>
      </c>
      <c r="R2790">
        <v>1356.0830000000001</v>
      </c>
      <c r="S2790">
        <v>1.1056429500000003E-2</v>
      </c>
      <c r="T2790" s="4" t="s">
        <v>5239</v>
      </c>
    </row>
    <row r="2791" spans="1:20" x14ac:dyDescent="0.2">
      <c r="A2791" s="4" t="s">
        <v>5118</v>
      </c>
      <c r="B2791" s="4" t="s">
        <v>5236</v>
      </c>
      <c r="C2791" s="4" t="s">
        <v>2096</v>
      </c>
      <c r="D2791" s="4" t="s">
        <v>4764</v>
      </c>
      <c r="E2791" s="4" t="s">
        <v>5245</v>
      </c>
      <c r="F2791" s="4" t="s">
        <v>5238</v>
      </c>
      <c r="G2791" s="4" t="s">
        <v>5122</v>
      </c>
      <c r="H2791" s="4" t="s">
        <v>2183</v>
      </c>
      <c r="I2791" s="4" t="s">
        <v>2100</v>
      </c>
      <c r="J2791" s="4" t="s">
        <v>2544</v>
      </c>
      <c r="K2791">
        <v>16</v>
      </c>
      <c r="L2791">
        <v>4.88</v>
      </c>
      <c r="M2791">
        <v>38.1</v>
      </c>
      <c r="N2791">
        <v>63.5</v>
      </c>
      <c r="O2791">
        <v>192.1259842519685</v>
      </c>
      <c r="P2791">
        <v>1.5000000000000002</v>
      </c>
      <c r="Q2791">
        <v>2.5</v>
      </c>
      <c r="R2791">
        <v>1356.0830000000001</v>
      </c>
      <c r="S2791">
        <v>1.1806428000000001E-2</v>
      </c>
      <c r="T2791" s="4" t="s">
        <v>5239</v>
      </c>
    </row>
    <row r="2792" spans="1:20" x14ac:dyDescent="0.2">
      <c r="A2792" s="4" t="s">
        <v>5118</v>
      </c>
      <c r="B2792" s="4" t="s">
        <v>5236</v>
      </c>
      <c r="C2792" s="4" t="s">
        <v>2096</v>
      </c>
      <c r="D2792" s="4" t="s">
        <v>4764</v>
      </c>
      <c r="E2792" s="4" t="s">
        <v>5246</v>
      </c>
      <c r="F2792" s="4" t="s">
        <v>5238</v>
      </c>
      <c r="G2792" s="4" t="s">
        <v>5122</v>
      </c>
      <c r="H2792" s="4" t="s">
        <v>2183</v>
      </c>
      <c r="I2792" s="4" t="s">
        <v>2100</v>
      </c>
      <c r="J2792" s="4" t="s">
        <v>2544</v>
      </c>
      <c r="K2792">
        <v>17</v>
      </c>
      <c r="L2792">
        <v>5.18</v>
      </c>
      <c r="M2792">
        <v>38.1</v>
      </c>
      <c r="N2792">
        <v>63.5</v>
      </c>
      <c r="O2792">
        <v>203.93700787401573</v>
      </c>
      <c r="P2792">
        <v>1.5000000000000002</v>
      </c>
      <c r="Q2792">
        <v>2.5</v>
      </c>
      <c r="R2792">
        <v>1356.0830000000001</v>
      </c>
      <c r="S2792">
        <v>1.2532233E-2</v>
      </c>
      <c r="T2792" s="4" t="s">
        <v>5239</v>
      </c>
    </row>
    <row r="2793" spans="1:20" x14ac:dyDescent="0.2">
      <c r="A2793" s="4" t="s">
        <v>5118</v>
      </c>
      <c r="B2793" s="4" t="s">
        <v>5236</v>
      </c>
      <c r="C2793" s="4" t="s">
        <v>2096</v>
      </c>
      <c r="D2793" s="4" t="s">
        <v>4764</v>
      </c>
      <c r="E2793" s="4" t="s">
        <v>5247</v>
      </c>
      <c r="F2793" s="4" t="s">
        <v>5238</v>
      </c>
      <c r="G2793" s="4" t="s">
        <v>5122</v>
      </c>
      <c r="H2793" s="4" t="s">
        <v>2183</v>
      </c>
      <c r="I2793" s="4" t="s">
        <v>2100</v>
      </c>
      <c r="J2793" s="4" t="s">
        <v>2544</v>
      </c>
      <c r="K2793">
        <v>18</v>
      </c>
      <c r="L2793">
        <v>5.49</v>
      </c>
      <c r="M2793">
        <v>38.1</v>
      </c>
      <c r="N2793">
        <v>63.5</v>
      </c>
      <c r="O2793">
        <v>216.14173228346459</v>
      </c>
      <c r="P2793">
        <v>1.5000000000000002</v>
      </c>
      <c r="Q2793">
        <v>2.5</v>
      </c>
      <c r="R2793">
        <v>1356.0830000000001</v>
      </c>
      <c r="S2793">
        <v>1.3282231500000002E-2</v>
      </c>
      <c r="T2793" s="4" t="s">
        <v>5239</v>
      </c>
    </row>
    <row r="2794" spans="1:20" x14ac:dyDescent="0.2">
      <c r="A2794" s="4" t="s">
        <v>5118</v>
      </c>
      <c r="B2794" s="4" t="s">
        <v>5236</v>
      </c>
      <c r="C2794" s="4" t="s">
        <v>2286</v>
      </c>
      <c r="D2794" s="4" t="s">
        <v>4764</v>
      </c>
      <c r="E2794" s="4" t="s">
        <v>5248</v>
      </c>
      <c r="F2794" s="4" t="s">
        <v>5238</v>
      </c>
      <c r="G2794" s="4" t="s">
        <v>5122</v>
      </c>
      <c r="H2794" s="4" t="s">
        <v>2183</v>
      </c>
      <c r="I2794" s="4" t="s">
        <v>2100</v>
      </c>
      <c r="J2794" s="4" t="s">
        <v>2544</v>
      </c>
      <c r="K2794">
        <v>4</v>
      </c>
      <c r="L2794">
        <v>1.22</v>
      </c>
      <c r="M2794">
        <v>38.1</v>
      </c>
      <c r="N2794">
        <v>63.5</v>
      </c>
      <c r="O2794">
        <v>48.031496062992126</v>
      </c>
      <c r="P2794">
        <v>1.5000000000000002</v>
      </c>
      <c r="Q2794">
        <v>2.5</v>
      </c>
      <c r="R2794">
        <v>1356.0830000000001</v>
      </c>
      <c r="S2794">
        <v>2.9516070000000002E-3</v>
      </c>
      <c r="T2794" s="4" t="s">
        <v>5249</v>
      </c>
    </row>
    <row r="2795" spans="1:20" x14ac:dyDescent="0.2">
      <c r="A2795" s="4" t="s">
        <v>5118</v>
      </c>
      <c r="B2795" s="4" t="s">
        <v>5236</v>
      </c>
      <c r="C2795" s="4" t="s">
        <v>2286</v>
      </c>
      <c r="D2795" s="4" t="s">
        <v>4764</v>
      </c>
      <c r="E2795" s="4" t="s">
        <v>5250</v>
      </c>
      <c r="F2795" s="4" t="s">
        <v>5238</v>
      </c>
      <c r="G2795" s="4" t="s">
        <v>5122</v>
      </c>
      <c r="H2795" s="4" t="s">
        <v>2183</v>
      </c>
      <c r="I2795" s="4" t="s">
        <v>2100</v>
      </c>
      <c r="J2795" s="4" t="s">
        <v>2544</v>
      </c>
      <c r="K2795">
        <v>5</v>
      </c>
      <c r="L2795">
        <v>1.52</v>
      </c>
      <c r="M2795">
        <v>38.1</v>
      </c>
      <c r="N2795">
        <v>63.5</v>
      </c>
      <c r="O2795">
        <v>59.84251968503937</v>
      </c>
      <c r="P2795">
        <v>1.5000000000000002</v>
      </c>
      <c r="Q2795">
        <v>2.5</v>
      </c>
      <c r="R2795">
        <v>1356.0830000000001</v>
      </c>
      <c r="S2795">
        <v>3.6774120000000006E-3</v>
      </c>
      <c r="T2795" s="4" t="s">
        <v>5249</v>
      </c>
    </row>
    <row r="2796" spans="1:20" x14ac:dyDescent="0.2">
      <c r="A2796" s="4" t="s">
        <v>5118</v>
      </c>
      <c r="B2796" s="4" t="s">
        <v>5236</v>
      </c>
      <c r="C2796" s="4" t="s">
        <v>2286</v>
      </c>
      <c r="D2796" s="4" t="s">
        <v>4764</v>
      </c>
      <c r="E2796" s="4" t="s">
        <v>5251</v>
      </c>
      <c r="F2796" s="4" t="s">
        <v>5238</v>
      </c>
      <c r="G2796" s="4" t="s">
        <v>5122</v>
      </c>
      <c r="H2796" s="4" t="s">
        <v>2183</v>
      </c>
      <c r="I2796" s="4" t="s">
        <v>2100</v>
      </c>
      <c r="J2796" s="4" t="s">
        <v>2544</v>
      </c>
      <c r="K2796">
        <v>6</v>
      </c>
      <c r="L2796">
        <v>1.83</v>
      </c>
      <c r="M2796">
        <v>38.1</v>
      </c>
      <c r="N2796">
        <v>63.5</v>
      </c>
      <c r="O2796">
        <v>72.047244094488192</v>
      </c>
      <c r="P2796">
        <v>1.5000000000000002</v>
      </c>
      <c r="Q2796">
        <v>2.5</v>
      </c>
      <c r="R2796">
        <v>1356.0830000000001</v>
      </c>
      <c r="S2796">
        <v>4.4274104999999994E-3</v>
      </c>
      <c r="T2796" s="4" t="s">
        <v>5249</v>
      </c>
    </row>
    <row r="2797" spans="1:20" x14ac:dyDescent="0.2">
      <c r="A2797" s="4" t="s">
        <v>5118</v>
      </c>
      <c r="B2797" s="4" t="s">
        <v>5236</v>
      </c>
      <c r="C2797" s="4" t="s">
        <v>2286</v>
      </c>
      <c r="D2797" s="4" t="s">
        <v>4764</v>
      </c>
      <c r="E2797" s="4" t="s">
        <v>5252</v>
      </c>
      <c r="F2797" s="4" t="s">
        <v>5238</v>
      </c>
      <c r="G2797" s="4" t="s">
        <v>5122</v>
      </c>
      <c r="H2797" s="4" t="s">
        <v>2183</v>
      </c>
      <c r="I2797" s="4" t="s">
        <v>2100</v>
      </c>
      <c r="J2797" s="4" t="s">
        <v>2544</v>
      </c>
      <c r="K2797">
        <v>7</v>
      </c>
      <c r="L2797">
        <v>2.13</v>
      </c>
      <c r="M2797">
        <v>38.1</v>
      </c>
      <c r="N2797">
        <v>63.5</v>
      </c>
      <c r="O2797">
        <v>83.858267716535437</v>
      </c>
      <c r="P2797">
        <v>1.5000000000000002</v>
      </c>
      <c r="Q2797">
        <v>2.5</v>
      </c>
      <c r="R2797">
        <v>1356.0830000000001</v>
      </c>
      <c r="S2797">
        <v>5.1532154999999998E-3</v>
      </c>
      <c r="T2797" s="4" t="s">
        <v>5249</v>
      </c>
    </row>
    <row r="2798" spans="1:20" x14ac:dyDescent="0.2">
      <c r="A2798" s="4" t="s">
        <v>5118</v>
      </c>
      <c r="B2798" s="4" t="s">
        <v>5236</v>
      </c>
      <c r="C2798" s="4" t="s">
        <v>2096</v>
      </c>
      <c r="D2798" s="4" t="s">
        <v>4764</v>
      </c>
      <c r="E2798" s="4" t="s">
        <v>5253</v>
      </c>
      <c r="F2798" s="4" t="s">
        <v>5238</v>
      </c>
      <c r="G2798" s="4" t="s">
        <v>5122</v>
      </c>
      <c r="H2798" s="4" t="s">
        <v>2183</v>
      </c>
      <c r="I2798" s="4" t="s">
        <v>2100</v>
      </c>
      <c r="J2798" s="4" t="s">
        <v>2544</v>
      </c>
      <c r="K2798">
        <v>8</v>
      </c>
      <c r="L2798">
        <v>2.44</v>
      </c>
      <c r="M2798">
        <v>38.1</v>
      </c>
      <c r="N2798">
        <v>63.5</v>
      </c>
      <c r="O2798">
        <v>96.062992125984252</v>
      </c>
      <c r="P2798">
        <v>1.5000000000000002</v>
      </c>
      <c r="Q2798">
        <v>2.5</v>
      </c>
      <c r="R2798">
        <v>1356.0830000000001</v>
      </c>
      <c r="S2798">
        <v>5.9032140000000004E-3</v>
      </c>
      <c r="T2798" s="4" t="s">
        <v>5239</v>
      </c>
    </row>
    <row r="2799" spans="1:20" x14ac:dyDescent="0.2">
      <c r="A2799" s="4" t="s">
        <v>5118</v>
      </c>
      <c r="B2799" s="4" t="s">
        <v>5236</v>
      </c>
      <c r="C2799" s="4" t="s">
        <v>2096</v>
      </c>
      <c r="D2799" s="4" t="s">
        <v>4764</v>
      </c>
      <c r="E2799" s="4" t="s">
        <v>5254</v>
      </c>
      <c r="F2799" s="4" t="s">
        <v>5238</v>
      </c>
      <c r="G2799" s="4" t="s">
        <v>5122</v>
      </c>
      <c r="H2799" s="4" t="s">
        <v>2183</v>
      </c>
      <c r="I2799" s="4" t="s">
        <v>2100</v>
      </c>
      <c r="J2799" s="4" t="s">
        <v>2544</v>
      </c>
      <c r="K2799">
        <v>9</v>
      </c>
      <c r="L2799">
        <v>2.74</v>
      </c>
      <c r="M2799">
        <v>38.1</v>
      </c>
      <c r="N2799">
        <v>63.5</v>
      </c>
      <c r="O2799">
        <v>107.87401574803151</v>
      </c>
      <c r="P2799">
        <v>1.5000000000000002</v>
      </c>
      <c r="Q2799">
        <v>2.5</v>
      </c>
      <c r="R2799">
        <v>1356.0830000000001</v>
      </c>
      <c r="S2799">
        <v>6.6290190000000008E-3</v>
      </c>
      <c r="T2799" s="4" t="s">
        <v>5239</v>
      </c>
    </row>
    <row r="2800" spans="1:20" x14ac:dyDescent="0.2">
      <c r="A2800" s="4" t="s">
        <v>5118</v>
      </c>
      <c r="B2800" s="4" t="s">
        <v>5255</v>
      </c>
      <c r="C2800" s="4" t="s">
        <v>2096</v>
      </c>
      <c r="D2800" s="4" t="s">
        <v>4764</v>
      </c>
      <c r="E2800" s="4" t="s">
        <v>1325</v>
      </c>
      <c r="F2800" s="4" t="s">
        <v>5256</v>
      </c>
      <c r="G2800" s="4" t="s">
        <v>5122</v>
      </c>
      <c r="H2800" s="4" t="s">
        <v>2183</v>
      </c>
      <c r="I2800" s="4" t="s">
        <v>2100</v>
      </c>
      <c r="J2800" s="4" t="s">
        <v>2549</v>
      </c>
      <c r="K2800">
        <v>10</v>
      </c>
      <c r="L2800">
        <v>3.05</v>
      </c>
      <c r="M2800">
        <v>38.099999999999994</v>
      </c>
      <c r="N2800">
        <v>88.899999999999991</v>
      </c>
      <c r="O2800">
        <v>120.07874015748031</v>
      </c>
      <c r="P2800">
        <v>1.4999999999999998</v>
      </c>
      <c r="Q2800">
        <v>3.5</v>
      </c>
      <c r="R2800">
        <v>968.63099999999997</v>
      </c>
      <c r="S2800">
        <v>1.0330624499999998E-2</v>
      </c>
      <c r="T2800" s="4" t="s">
        <v>5257</v>
      </c>
    </row>
    <row r="2801" spans="1:20" x14ac:dyDescent="0.2">
      <c r="A2801" s="4" t="s">
        <v>5118</v>
      </c>
      <c r="B2801" s="4" t="s">
        <v>5255</v>
      </c>
      <c r="C2801" s="4" t="s">
        <v>2096</v>
      </c>
      <c r="D2801" s="4" t="s">
        <v>4764</v>
      </c>
      <c r="E2801" s="4" t="s">
        <v>1327</v>
      </c>
      <c r="F2801" s="4" t="s">
        <v>5256</v>
      </c>
      <c r="G2801" s="4" t="s">
        <v>5122</v>
      </c>
      <c r="H2801" s="4" t="s">
        <v>2183</v>
      </c>
      <c r="I2801" s="4" t="s">
        <v>2100</v>
      </c>
      <c r="J2801" s="4" t="s">
        <v>2549</v>
      </c>
      <c r="K2801">
        <v>11</v>
      </c>
      <c r="L2801">
        <v>3.35</v>
      </c>
      <c r="M2801">
        <v>38.099999999999994</v>
      </c>
      <c r="N2801">
        <v>88.899999999999991</v>
      </c>
      <c r="O2801">
        <v>131.88976377952756</v>
      </c>
      <c r="P2801">
        <v>1.4999999999999998</v>
      </c>
      <c r="Q2801">
        <v>3.5</v>
      </c>
      <c r="R2801">
        <v>968.63099999999997</v>
      </c>
      <c r="S2801">
        <v>1.1346751499999998E-2</v>
      </c>
      <c r="T2801" s="4" t="s">
        <v>5257</v>
      </c>
    </row>
    <row r="2802" spans="1:20" x14ac:dyDescent="0.2">
      <c r="A2802" s="4" t="s">
        <v>5118</v>
      </c>
      <c r="B2802" s="4" t="s">
        <v>5255</v>
      </c>
      <c r="C2802" s="4" t="s">
        <v>2096</v>
      </c>
      <c r="D2802" s="4" t="s">
        <v>4764</v>
      </c>
      <c r="E2802" s="4" t="s">
        <v>1329</v>
      </c>
      <c r="F2802" s="4" t="s">
        <v>5256</v>
      </c>
      <c r="G2802" s="4" t="s">
        <v>5122</v>
      </c>
      <c r="H2802" s="4" t="s">
        <v>2183</v>
      </c>
      <c r="I2802" s="4" t="s">
        <v>2100</v>
      </c>
      <c r="J2802" s="4" t="s">
        <v>2549</v>
      </c>
      <c r="K2802">
        <v>12</v>
      </c>
      <c r="L2802">
        <v>3.66</v>
      </c>
      <c r="M2802">
        <v>38.099999999999994</v>
      </c>
      <c r="N2802">
        <v>88.899999999999991</v>
      </c>
      <c r="O2802">
        <v>144.09448818897638</v>
      </c>
      <c r="P2802">
        <v>1.4999999999999998</v>
      </c>
      <c r="Q2802">
        <v>3.5</v>
      </c>
      <c r="R2802">
        <v>968.63099999999997</v>
      </c>
      <c r="S2802">
        <v>1.2396749399999997E-2</v>
      </c>
      <c r="T2802" s="4" t="s">
        <v>5257</v>
      </c>
    </row>
    <row r="2803" spans="1:20" x14ac:dyDescent="0.2">
      <c r="A2803" s="4" t="s">
        <v>5118</v>
      </c>
      <c r="B2803" s="4" t="s">
        <v>5255</v>
      </c>
      <c r="C2803" s="4" t="s">
        <v>2096</v>
      </c>
      <c r="D2803" s="4" t="s">
        <v>4764</v>
      </c>
      <c r="E2803" s="4" t="s">
        <v>1331</v>
      </c>
      <c r="F2803" s="4" t="s">
        <v>5256</v>
      </c>
      <c r="G2803" s="4" t="s">
        <v>5122</v>
      </c>
      <c r="H2803" s="4" t="s">
        <v>2183</v>
      </c>
      <c r="I2803" s="4" t="s">
        <v>2100</v>
      </c>
      <c r="J2803" s="4" t="s">
        <v>2549</v>
      </c>
      <c r="K2803">
        <v>13</v>
      </c>
      <c r="L2803">
        <v>3.96</v>
      </c>
      <c r="M2803">
        <v>38.099999999999994</v>
      </c>
      <c r="N2803">
        <v>88.899999999999991</v>
      </c>
      <c r="O2803">
        <v>155.90551181102362</v>
      </c>
      <c r="P2803">
        <v>1.4999999999999998</v>
      </c>
      <c r="Q2803">
        <v>3.5</v>
      </c>
      <c r="R2803">
        <v>968.63099999999997</v>
      </c>
      <c r="S2803">
        <v>1.3412876399999997E-2</v>
      </c>
      <c r="T2803" s="4" t="s">
        <v>5257</v>
      </c>
    </row>
    <row r="2804" spans="1:20" x14ac:dyDescent="0.2">
      <c r="A2804" s="4" t="s">
        <v>5118</v>
      </c>
      <c r="B2804" s="4" t="s">
        <v>5255</v>
      </c>
      <c r="C2804" s="4" t="s">
        <v>2096</v>
      </c>
      <c r="D2804" s="4" t="s">
        <v>4764</v>
      </c>
      <c r="E2804" s="4" t="s">
        <v>1333</v>
      </c>
      <c r="F2804" s="4" t="s">
        <v>5256</v>
      </c>
      <c r="G2804" s="4" t="s">
        <v>5122</v>
      </c>
      <c r="H2804" s="4" t="s">
        <v>2183</v>
      </c>
      <c r="I2804" s="4" t="s">
        <v>2100</v>
      </c>
      <c r="J2804" s="4" t="s">
        <v>2549</v>
      </c>
      <c r="K2804">
        <v>14</v>
      </c>
      <c r="L2804">
        <v>4.2699999999999996</v>
      </c>
      <c r="M2804">
        <v>38.099999999999994</v>
      </c>
      <c r="N2804">
        <v>88.899999999999991</v>
      </c>
      <c r="O2804">
        <v>168.11023622047244</v>
      </c>
      <c r="P2804">
        <v>1.4999999999999998</v>
      </c>
      <c r="Q2804">
        <v>3.5</v>
      </c>
      <c r="R2804">
        <v>968.63099999999997</v>
      </c>
      <c r="S2804">
        <v>1.4462874299999994E-2</v>
      </c>
      <c r="T2804" s="4" t="s">
        <v>5257</v>
      </c>
    </row>
    <row r="2805" spans="1:20" x14ac:dyDescent="0.2">
      <c r="A2805" s="4" t="s">
        <v>5118</v>
      </c>
      <c r="B2805" s="4" t="s">
        <v>5255</v>
      </c>
      <c r="C2805" s="4" t="s">
        <v>2096</v>
      </c>
      <c r="D2805" s="4" t="s">
        <v>4764</v>
      </c>
      <c r="E2805" s="4" t="s">
        <v>5258</v>
      </c>
      <c r="F2805" s="4" t="s">
        <v>5256</v>
      </c>
      <c r="G2805" s="4" t="s">
        <v>5122</v>
      </c>
      <c r="H2805" s="4" t="s">
        <v>2183</v>
      </c>
      <c r="I2805" s="4" t="s">
        <v>2100</v>
      </c>
      <c r="J2805" s="4" t="s">
        <v>2549</v>
      </c>
      <c r="K2805">
        <v>15</v>
      </c>
      <c r="L2805">
        <v>4.57</v>
      </c>
      <c r="M2805">
        <v>38.099999999999994</v>
      </c>
      <c r="N2805">
        <v>88.899999999999991</v>
      </c>
      <c r="O2805">
        <v>179.9212598425197</v>
      </c>
      <c r="P2805">
        <v>1.4999999999999998</v>
      </c>
      <c r="Q2805">
        <v>3.5</v>
      </c>
      <c r="R2805">
        <v>968.63099999999997</v>
      </c>
      <c r="S2805">
        <v>1.5479001299999998E-2</v>
      </c>
      <c r="T2805" s="4" t="s">
        <v>5257</v>
      </c>
    </row>
    <row r="2806" spans="1:20" x14ac:dyDescent="0.2">
      <c r="A2806" s="4" t="s">
        <v>5118</v>
      </c>
      <c r="B2806" s="4" t="s">
        <v>5255</v>
      </c>
      <c r="C2806" s="4" t="s">
        <v>2096</v>
      </c>
      <c r="D2806" s="4" t="s">
        <v>4764</v>
      </c>
      <c r="E2806" s="4" t="s">
        <v>5259</v>
      </c>
      <c r="F2806" s="4" t="s">
        <v>5256</v>
      </c>
      <c r="G2806" s="4" t="s">
        <v>5122</v>
      </c>
      <c r="H2806" s="4" t="s">
        <v>2183</v>
      </c>
      <c r="I2806" s="4" t="s">
        <v>2100</v>
      </c>
      <c r="J2806" s="4" t="s">
        <v>2549</v>
      </c>
      <c r="K2806">
        <v>16</v>
      </c>
      <c r="L2806">
        <v>4.88</v>
      </c>
      <c r="M2806">
        <v>38.099999999999994</v>
      </c>
      <c r="N2806">
        <v>88.899999999999991</v>
      </c>
      <c r="O2806">
        <v>192.1259842519685</v>
      </c>
      <c r="P2806">
        <v>1.4999999999999998</v>
      </c>
      <c r="Q2806">
        <v>3.5</v>
      </c>
      <c r="R2806">
        <v>968.63099999999997</v>
      </c>
      <c r="S2806">
        <v>1.6528999199999998E-2</v>
      </c>
      <c r="T2806" s="4" t="s">
        <v>5257</v>
      </c>
    </row>
    <row r="2807" spans="1:20" x14ac:dyDescent="0.2">
      <c r="A2807" s="4" t="s">
        <v>5118</v>
      </c>
      <c r="B2807" s="4" t="s">
        <v>5255</v>
      </c>
      <c r="C2807" s="4" t="s">
        <v>2096</v>
      </c>
      <c r="D2807" s="4" t="s">
        <v>4764</v>
      </c>
      <c r="E2807" s="4" t="s">
        <v>1335</v>
      </c>
      <c r="F2807" s="4" t="s">
        <v>5256</v>
      </c>
      <c r="G2807" s="4" t="s">
        <v>5122</v>
      </c>
      <c r="H2807" s="4" t="s">
        <v>2183</v>
      </c>
      <c r="I2807" s="4" t="s">
        <v>2100</v>
      </c>
      <c r="J2807" s="4" t="s">
        <v>2549</v>
      </c>
      <c r="K2807">
        <v>17</v>
      </c>
      <c r="L2807">
        <v>5.18</v>
      </c>
      <c r="M2807">
        <v>38.099999999999994</v>
      </c>
      <c r="N2807">
        <v>88.899999999999991</v>
      </c>
      <c r="O2807">
        <v>203.93700787401573</v>
      </c>
      <c r="P2807">
        <v>1.4999999999999998</v>
      </c>
      <c r="Q2807">
        <v>3.5</v>
      </c>
      <c r="R2807">
        <v>968.63099999999997</v>
      </c>
      <c r="S2807">
        <v>1.7545126199999993E-2</v>
      </c>
      <c r="T2807" s="4" t="s">
        <v>5257</v>
      </c>
    </row>
    <row r="2808" spans="1:20" x14ac:dyDescent="0.2">
      <c r="A2808" s="4" t="s">
        <v>5118</v>
      </c>
      <c r="B2808" s="4" t="s">
        <v>5255</v>
      </c>
      <c r="C2808" s="4" t="s">
        <v>2096</v>
      </c>
      <c r="D2808" s="4" t="s">
        <v>4764</v>
      </c>
      <c r="E2808" s="4" t="s">
        <v>5260</v>
      </c>
      <c r="F2808" s="4" t="s">
        <v>5256</v>
      </c>
      <c r="G2808" s="4" t="s">
        <v>5122</v>
      </c>
      <c r="H2808" s="4" t="s">
        <v>2183</v>
      </c>
      <c r="I2808" s="4" t="s">
        <v>2100</v>
      </c>
      <c r="J2808" s="4" t="s">
        <v>2549</v>
      </c>
      <c r="K2808">
        <v>18</v>
      </c>
      <c r="L2808">
        <v>5.49</v>
      </c>
      <c r="M2808">
        <v>38.099999999999994</v>
      </c>
      <c r="N2808">
        <v>88.899999999999991</v>
      </c>
      <c r="O2808">
        <v>216.14173228346459</v>
      </c>
      <c r="P2808">
        <v>1.4999999999999998</v>
      </c>
      <c r="Q2808">
        <v>3.5</v>
      </c>
      <c r="R2808">
        <v>968.63099999999997</v>
      </c>
      <c r="S2808">
        <v>1.8595124099999995E-2</v>
      </c>
      <c r="T2808" s="4" t="s">
        <v>5257</v>
      </c>
    </row>
    <row r="2809" spans="1:20" x14ac:dyDescent="0.2">
      <c r="A2809" s="4" t="s">
        <v>5118</v>
      </c>
      <c r="B2809" s="4" t="s">
        <v>5255</v>
      </c>
      <c r="C2809" s="4" t="s">
        <v>2286</v>
      </c>
      <c r="D2809" s="4" t="s">
        <v>4764</v>
      </c>
      <c r="E2809" s="4" t="s">
        <v>5261</v>
      </c>
      <c r="F2809" s="4" t="s">
        <v>5256</v>
      </c>
      <c r="G2809" s="4" t="s">
        <v>5122</v>
      </c>
      <c r="H2809" s="4" t="s">
        <v>2183</v>
      </c>
      <c r="I2809" s="4" t="s">
        <v>2100</v>
      </c>
      <c r="J2809" s="4" t="s">
        <v>2549</v>
      </c>
      <c r="K2809">
        <v>4</v>
      </c>
      <c r="L2809">
        <v>1.22</v>
      </c>
      <c r="M2809">
        <v>38.099999999999994</v>
      </c>
      <c r="N2809">
        <v>88.899999999999991</v>
      </c>
      <c r="O2809">
        <v>48.031496062992126</v>
      </c>
      <c r="P2809">
        <v>1.4999999999999998</v>
      </c>
      <c r="Q2809">
        <v>3.5</v>
      </c>
      <c r="R2809">
        <v>968.63099999999997</v>
      </c>
      <c r="S2809">
        <v>4.1322497999999996E-3</v>
      </c>
      <c r="T2809" s="4" t="s">
        <v>5262</v>
      </c>
    </row>
    <row r="2810" spans="1:20" x14ac:dyDescent="0.2">
      <c r="A2810" s="4" t="s">
        <v>5118</v>
      </c>
      <c r="B2810" s="4" t="s">
        <v>5255</v>
      </c>
      <c r="C2810" s="4" t="s">
        <v>2286</v>
      </c>
      <c r="D2810" s="4" t="s">
        <v>4764</v>
      </c>
      <c r="E2810" s="4" t="s">
        <v>5263</v>
      </c>
      <c r="F2810" s="4" t="s">
        <v>5256</v>
      </c>
      <c r="G2810" s="4" t="s">
        <v>5122</v>
      </c>
      <c r="H2810" s="4" t="s">
        <v>2183</v>
      </c>
      <c r="I2810" s="4" t="s">
        <v>2100</v>
      </c>
      <c r="J2810" s="4" t="s">
        <v>2549</v>
      </c>
      <c r="K2810">
        <v>5</v>
      </c>
      <c r="L2810">
        <v>1.52</v>
      </c>
      <c r="M2810">
        <v>38.099999999999994</v>
      </c>
      <c r="N2810">
        <v>88.899999999999991</v>
      </c>
      <c r="O2810">
        <v>59.84251968503937</v>
      </c>
      <c r="P2810">
        <v>1.4999999999999998</v>
      </c>
      <c r="Q2810">
        <v>3.5</v>
      </c>
      <c r="R2810">
        <v>968.63099999999997</v>
      </c>
      <c r="S2810">
        <v>5.1483767999999982E-3</v>
      </c>
      <c r="T2810" s="4" t="s">
        <v>5262</v>
      </c>
    </row>
    <row r="2811" spans="1:20" x14ac:dyDescent="0.2">
      <c r="A2811" s="4" t="s">
        <v>5118</v>
      </c>
      <c r="B2811" s="4" t="s">
        <v>5255</v>
      </c>
      <c r="C2811" s="4" t="s">
        <v>2286</v>
      </c>
      <c r="D2811" s="4" t="s">
        <v>4764</v>
      </c>
      <c r="E2811" s="4" t="s">
        <v>5264</v>
      </c>
      <c r="F2811" s="4" t="s">
        <v>5256</v>
      </c>
      <c r="G2811" s="4" t="s">
        <v>5122</v>
      </c>
      <c r="H2811" s="4" t="s">
        <v>2183</v>
      </c>
      <c r="I2811" s="4" t="s">
        <v>2100</v>
      </c>
      <c r="J2811" s="4" t="s">
        <v>2549</v>
      </c>
      <c r="K2811">
        <v>6</v>
      </c>
      <c r="L2811">
        <v>1.83</v>
      </c>
      <c r="M2811">
        <v>38.099999999999994</v>
      </c>
      <c r="N2811">
        <v>88.899999999999991</v>
      </c>
      <c r="O2811">
        <v>72.047244094488192</v>
      </c>
      <c r="P2811">
        <v>1.4999999999999998</v>
      </c>
      <c r="Q2811">
        <v>3.5</v>
      </c>
      <c r="R2811">
        <v>968.63099999999997</v>
      </c>
      <c r="S2811">
        <v>6.1983746999999985E-3</v>
      </c>
      <c r="T2811" s="4" t="s">
        <v>5262</v>
      </c>
    </row>
    <row r="2812" spans="1:20" x14ac:dyDescent="0.2">
      <c r="A2812" s="4" t="s">
        <v>5118</v>
      </c>
      <c r="B2812" s="4" t="s">
        <v>5255</v>
      </c>
      <c r="C2812" s="4" t="s">
        <v>2286</v>
      </c>
      <c r="D2812" s="4" t="s">
        <v>4764</v>
      </c>
      <c r="E2812" s="4" t="s">
        <v>5265</v>
      </c>
      <c r="F2812" s="4" t="s">
        <v>5256</v>
      </c>
      <c r="G2812" s="4" t="s">
        <v>5122</v>
      </c>
      <c r="H2812" s="4" t="s">
        <v>2183</v>
      </c>
      <c r="I2812" s="4" t="s">
        <v>2100</v>
      </c>
      <c r="J2812" s="4" t="s">
        <v>2549</v>
      </c>
      <c r="K2812">
        <v>7</v>
      </c>
      <c r="L2812">
        <v>2.13</v>
      </c>
      <c r="M2812">
        <v>38.099999999999994</v>
      </c>
      <c r="N2812">
        <v>88.899999999999991</v>
      </c>
      <c r="O2812">
        <v>83.858267716535437</v>
      </c>
      <c r="P2812">
        <v>1.4999999999999998</v>
      </c>
      <c r="Q2812">
        <v>3.5</v>
      </c>
      <c r="R2812">
        <v>968.63099999999997</v>
      </c>
      <c r="S2812">
        <v>7.2145016999999971E-3</v>
      </c>
      <c r="T2812" s="4" t="s">
        <v>5262</v>
      </c>
    </row>
    <row r="2813" spans="1:20" x14ac:dyDescent="0.2">
      <c r="A2813" s="4" t="s">
        <v>5118</v>
      </c>
      <c r="B2813" s="4" t="s">
        <v>5255</v>
      </c>
      <c r="C2813" s="4" t="s">
        <v>2096</v>
      </c>
      <c r="D2813" s="4" t="s">
        <v>4764</v>
      </c>
      <c r="E2813" s="4" t="s">
        <v>1337</v>
      </c>
      <c r="F2813" s="4" t="s">
        <v>5256</v>
      </c>
      <c r="G2813" s="4" t="s">
        <v>5122</v>
      </c>
      <c r="H2813" s="4" t="s">
        <v>2183</v>
      </c>
      <c r="I2813" s="4" t="s">
        <v>2100</v>
      </c>
      <c r="J2813" s="4" t="s">
        <v>2549</v>
      </c>
      <c r="K2813">
        <v>8</v>
      </c>
      <c r="L2813">
        <v>2.44</v>
      </c>
      <c r="M2813">
        <v>38.099999999999994</v>
      </c>
      <c r="N2813">
        <v>88.899999999999991</v>
      </c>
      <c r="O2813">
        <v>96.062992125984252</v>
      </c>
      <c r="P2813">
        <v>1.4999999999999998</v>
      </c>
      <c r="Q2813">
        <v>3.5</v>
      </c>
      <c r="R2813">
        <v>968.63099999999997</v>
      </c>
      <c r="S2813">
        <v>8.2644995999999991E-3</v>
      </c>
      <c r="T2813" s="4" t="s">
        <v>5257</v>
      </c>
    </row>
    <row r="2814" spans="1:20" x14ac:dyDescent="0.2">
      <c r="A2814" s="4" t="s">
        <v>5118</v>
      </c>
      <c r="B2814" s="4" t="s">
        <v>5255</v>
      </c>
      <c r="C2814" s="4" t="s">
        <v>2096</v>
      </c>
      <c r="D2814" s="4" t="s">
        <v>4764</v>
      </c>
      <c r="E2814" s="4" t="s">
        <v>1339</v>
      </c>
      <c r="F2814" s="4" t="s">
        <v>5256</v>
      </c>
      <c r="G2814" s="4" t="s">
        <v>5122</v>
      </c>
      <c r="H2814" s="4" t="s">
        <v>2183</v>
      </c>
      <c r="I2814" s="4" t="s">
        <v>2100</v>
      </c>
      <c r="J2814" s="4" t="s">
        <v>2549</v>
      </c>
      <c r="K2814">
        <v>9</v>
      </c>
      <c r="L2814">
        <v>2.74</v>
      </c>
      <c r="M2814">
        <v>38.099999999999994</v>
      </c>
      <c r="N2814">
        <v>88.899999999999991</v>
      </c>
      <c r="O2814">
        <v>107.87401574803151</v>
      </c>
      <c r="P2814">
        <v>1.4999999999999998</v>
      </c>
      <c r="Q2814">
        <v>3.5</v>
      </c>
      <c r="R2814">
        <v>968.63099999999997</v>
      </c>
      <c r="S2814">
        <v>9.2806265999999978E-3</v>
      </c>
      <c r="T2814" s="4" t="s">
        <v>5257</v>
      </c>
    </row>
    <row r="2815" spans="1:20" x14ac:dyDescent="0.2">
      <c r="A2815" s="4" t="s">
        <v>5118</v>
      </c>
      <c r="B2815" s="4" t="s">
        <v>5266</v>
      </c>
      <c r="C2815" s="4" t="s">
        <v>2096</v>
      </c>
      <c r="D2815" s="4" t="s">
        <v>4764</v>
      </c>
      <c r="E2815" s="4" t="s">
        <v>1341</v>
      </c>
      <c r="F2815" s="4" t="s">
        <v>5267</v>
      </c>
      <c r="G2815" s="4" t="s">
        <v>5122</v>
      </c>
      <c r="H2815" s="4" t="s">
        <v>2183</v>
      </c>
      <c r="I2815" s="4" t="s">
        <v>2100</v>
      </c>
      <c r="J2815" s="4" t="s">
        <v>2570</v>
      </c>
      <c r="K2815">
        <v>10</v>
      </c>
      <c r="L2815">
        <v>3.05</v>
      </c>
      <c r="M2815">
        <v>38.099999999999994</v>
      </c>
      <c r="N2815">
        <v>139.69999999999999</v>
      </c>
      <c r="O2815">
        <v>120.07874015748031</v>
      </c>
      <c r="P2815">
        <v>1.4999999999999998</v>
      </c>
      <c r="Q2815">
        <v>5.5</v>
      </c>
      <c r="R2815">
        <v>616.40099999999995</v>
      </c>
      <c r="S2815">
        <v>1.6233838499999993E-2</v>
      </c>
      <c r="T2815" s="4" t="s">
        <v>5268</v>
      </c>
    </row>
    <row r="2816" spans="1:20" x14ac:dyDescent="0.2">
      <c r="A2816" s="4" t="s">
        <v>5118</v>
      </c>
      <c r="B2816" s="4" t="s">
        <v>5266</v>
      </c>
      <c r="C2816" s="4" t="s">
        <v>2096</v>
      </c>
      <c r="D2816" s="4" t="s">
        <v>4764</v>
      </c>
      <c r="E2816" s="4" t="s">
        <v>1343</v>
      </c>
      <c r="F2816" s="4" t="s">
        <v>5267</v>
      </c>
      <c r="G2816" s="4" t="s">
        <v>5122</v>
      </c>
      <c r="H2816" s="4" t="s">
        <v>2183</v>
      </c>
      <c r="I2816" s="4" t="s">
        <v>2100</v>
      </c>
      <c r="J2816" s="4" t="s">
        <v>2570</v>
      </c>
      <c r="K2816">
        <v>11</v>
      </c>
      <c r="L2816">
        <v>3.35</v>
      </c>
      <c r="M2816">
        <v>38.099999999999994</v>
      </c>
      <c r="N2816">
        <v>139.69999999999999</v>
      </c>
      <c r="O2816">
        <v>131.88976377952756</v>
      </c>
      <c r="P2816">
        <v>1.4999999999999998</v>
      </c>
      <c r="Q2816">
        <v>5.5</v>
      </c>
      <c r="R2816">
        <v>616.40099999999995</v>
      </c>
      <c r="S2816">
        <v>1.7830609499999997E-2</v>
      </c>
      <c r="T2816" s="4" t="s">
        <v>5268</v>
      </c>
    </row>
    <row r="2817" spans="1:20" x14ac:dyDescent="0.2">
      <c r="A2817" s="4" t="s">
        <v>5118</v>
      </c>
      <c r="B2817" s="4" t="s">
        <v>5266</v>
      </c>
      <c r="C2817" s="4" t="s">
        <v>2096</v>
      </c>
      <c r="D2817" s="4" t="s">
        <v>4764</v>
      </c>
      <c r="E2817" s="4" t="s">
        <v>1345</v>
      </c>
      <c r="F2817" s="4" t="s">
        <v>5267</v>
      </c>
      <c r="G2817" s="4" t="s">
        <v>5122</v>
      </c>
      <c r="H2817" s="4" t="s">
        <v>2183</v>
      </c>
      <c r="I2817" s="4" t="s">
        <v>2100</v>
      </c>
      <c r="J2817" s="4" t="s">
        <v>2570</v>
      </c>
      <c r="K2817">
        <v>12</v>
      </c>
      <c r="L2817">
        <v>3.66</v>
      </c>
      <c r="M2817">
        <v>38.099999999999994</v>
      </c>
      <c r="N2817">
        <v>139.69999999999999</v>
      </c>
      <c r="O2817">
        <v>144.09448818897638</v>
      </c>
      <c r="P2817">
        <v>1.4999999999999998</v>
      </c>
      <c r="Q2817">
        <v>5.5</v>
      </c>
      <c r="R2817">
        <v>616.40099999999995</v>
      </c>
      <c r="S2817">
        <v>1.9480606199999997E-2</v>
      </c>
      <c r="T2817" s="4" t="s">
        <v>5268</v>
      </c>
    </row>
    <row r="2818" spans="1:20" x14ac:dyDescent="0.2">
      <c r="A2818" s="4" t="s">
        <v>5118</v>
      </c>
      <c r="B2818" s="4" t="s">
        <v>5266</v>
      </c>
      <c r="C2818" s="4" t="s">
        <v>2096</v>
      </c>
      <c r="D2818" s="4" t="s">
        <v>4764</v>
      </c>
      <c r="E2818" s="4" t="s">
        <v>1347</v>
      </c>
      <c r="F2818" s="4" t="s">
        <v>5267</v>
      </c>
      <c r="G2818" s="4" t="s">
        <v>5122</v>
      </c>
      <c r="H2818" s="4" t="s">
        <v>2183</v>
      </c>
      <c r="I2818" s="4" t="s">
        <v>2100</v>
      </c>
      <c r="J2818" s="4" t="s">
        <v>2570</v>
      </c>
      <c r="K2818">
        <v>13</v>
      </c>
      <c r="L2818">
        <v>3.96</v>
      </c>
      <c r="M2818">
        <v>38.099999999999994</v>
      </c>
      <c r="N2818">
        <v>139.69999999999999</v>
      </c>
      <c r="O2818">
        <v>155.90551181102362</v>
      </c>
      <c r="P2818">
        <v>1.4999999999999998</v>
      </c>
      <c r="Q2818">
        <v>5.5</v>
      </c>
      <c r="R2818">
        <v>616.40099999999995</v>
      </c>
      <c r="S2818">
        <v>2.1077377199999997E-2</v>
      </c>
      <c r="T2818" s="4" t="s">
        <v>5268</v>
      </c>
    </row>
    <row r="2819" spans="1:20" x14ac:dyDescent="0.2">
      <c r="A2819" s="4" t="s">
        <v>5118</v>
      </c>
      <c r="B2819" s="4" t="s">
        <v>5266</v>
      </c>
      <c r="C2819" s="4" t="s">
        <v>2096</v>
      </c>
      <c r="D2819" s="4" t="s">
        <v>4764</v>
      </c>
      <c r="E2819" s="4" t="s">
        <v>1349</v>
      </c>
      <c r="F2819" s="4" t="s">
        <v>5267</v>
      </c>
      <c r="G2819" s="4" t="s">
        <v>5122</v>
      </c>
      <c r="H2819" s="4" t="s">
        <v>2183</v>
      </c>
      <c r="I2819" s="4" t="s">
        <v>2100</v>
      </c>
      <c r="J2819" s="4" t="s">
        <v>2570</v>
      </c>
      <c r="K2819">
        <v>14</v>
      </c>
      <c r="L2819">
        <v>4.2699999999999996</v>
      </c>
      <c r="M2819">
        <v>38.099999999999994</v>
      </c>
      <c r="N2819">
        <v>139.69999999999999</v>
      </c>
      <c r="O2819">
        <v>168.11023622047244</v>
      </c>
      <c r="P2819">
        <v>1.4999999999999998</v>
      </c>
      <c r="Q2819">
        <v>5.5</v>
      </c>
      <c r="R2819">
        <v>616.40099999999995</v>
      </c>
      <c r="S2819">
        <v>2.272737389999999E-2</v>
      </c>
      <c r="T2819" s="4" t="s">
        <v>5268</v>
      </c>
    </row>
    <row r="2820" spans="1:20" x14ac:dyDescent="0.2">
      <c r="A2820" s="4" t="s">
        <v>5118</v>
      </c>
      <c r="B2820" s="4" t="s">
        <v>5266</v>
      </c>
      <c r="C2820" s="4" t="s">
        <v>2096</v>
      </c>
      <c r="D2820" s="4" t="s">
        <v>4764</v>
      </c>
      <c r="E2820" s="4" t="s">
        <v>1351</v>
      </c>
      <c r="F2820" s="4" t="s">
        <v>5267</v>
      </c>
      <c r="G2820" s="4" t="s">
        <v>5122</v>
      </c>
      <c r="H2820" s="4" t="s">
        <v>2183</v>
      </c>
      <c r="I2820" s="4" t="s">
        <v>2100</v>
      </c>
      <c r="J2820" s="4" t="s">
        <v>2570</v>
      </c>
      <c r="K2820">
        <v>15</v>
      </c>
      <c r="L2820">
        <v>4.57</v>
      </c>
      <c r="M2820">
        <v>38.099999999999994</v>
      </c>
      <c r="N2820">
        <v>139.69999999999999</v>
      </c>
      <c r="O2820">
        <v>179.9212598425197</v>
      </c>
      <c r="P2820">
        <v>1.4999999999999998</v>
      </c>
      <c r="Q2820">
        <v>5.5</v>
      </c>
      <c r="R2820">
        <v>616.40099999999995</v>
      </c>
      <c r="S2820">
        <v>2.4324144899999997E-2</v>
      </c>
      <c r="T2820" s="4" t="s">
        <v>5268</v>
      </c>
    </row>
    <row r="2821" spans="1:20" x14ac:dyDescent="0.2">
      <c r="A2821" s="4" t="s">
        <v>5118</v>
      </c>
      <c r="B2821" s="4" t="s">
        <v>5266</v>
      </c>
      <c r="C2821" s="4" t="s">
        <v>2096</v>
      </c>
      <c r="D2821" s="4" t="s">
        <v>4764</v>
      </c>
      <c r="E2821" s="4" t="s">
        <v>1353</v>
      </c>
      <c r="F2821" s="4" t="s">
        <v>5267</v>
      </c>
      <c r="G2821" s="4" t="s">
        <v>5122</v>
      </c>
      <c r="H2821" s="4" t="s">
        <v>2183</v>
      </c>
      <c r="I2821" s="4" t="s">
        <v>2100</v>
      </c>
      <c r="J2821" s="4" t="s">
        <v>2570</v>
      </c>
      <c r="K2821">
        <v>16</v>
      </c>
      <c r="L2821">
        <v>4.88</v>
      </c>
      <c r="M2821">
        <v>38.099999999999994</v>
      </c>
      <c r="N2821">
        <v>139.69999999999999</v>
      </c>
      <c r="O2821">
        <v>192.1259842519685</v>
      </c>
      <c r="P2821">
        <v>1.4999999999999998</v>
      </c>
      <c r="Q2821">
        <v>5.5</v>
      </c>
      <c r="R2821">
        <v>616.40099999999995</v>
      </c>
      <c r="S2821">
        <v>2.5974141599999997E-2</v>
      </c>
      <c r="T2821" s="4" t="s">
        <v>5268</v>
      </c>
    </row>
    <row r="2822" spans="1:20" x14ac:dyDescent="0.2">
      <c r="A2822" s="4" t="s">
        <v>5118</v>
      </c>
      <c r="B2822" s="4" t="s">
        <v>5266</v>
      </c>
      <c r="C2822" s="4" t="s">
        <v>2096</v>
      </c>
      <c r="D2822" s="4" t="s">
        <v>4764</v>
      </c>
      <c r="E2822" s="4" t="s">
        <v>1355</v>
      </c>
      <c r="F2822" s="4" t="s">
        <v>5267</v>
      </c>
      <c r="G2822" s="4" t="s">
        <v>5122</v>
      </c>
      <c r="H2822" s="4" t="s">
        <v>2183</v>
      </c>
      <c r="I2822" s="4" t="s">
        <v>2100</v>
      </c>
      <c r="J2822" s="4" t="s">
        <v>2570</v>
      </c>
      <c r="K2822">
        <v>17</v>
      </c>
      <c r="L2822">
        <v>5.18</v>
      </c>
      <c r="M2822">
        <v>38.099999999999994</v>
      </c>
      <c r="N2822">
        <v>139.69999999999999</v>
      </c>
      <c r="O2822">
        <v>203.93700787401573</v>
      </c>
      <c r="P2822">
        <v>1.4999999999999998</v>
      </c>
      <c r="Q2822">
        <v>5.5</v>
      </c>
      <c r="R2822">
        <v>616.40099999999995</v>
      </c>
      <c r="S2822">
        <v>2.757091259999999E-2</v>
      </c>
      <c r="T2822" s="4" t="s">
        <v>5268</v>
      </c>
    </row>
    <row r="2823" spans="1:20" x14ac:dyDescent="0.2">
      <c r="A2823" s="4" t="s">
        <v>5118</v>
      </c>
      <c r="B2823" s="4" t="s">
        <v>5266</v>
      </c>
      <c r="C2823" s="4" t="s">
        <v>2096</v>
      </c>
      <c r="D2823" s="4" t="s">
        <v>4764</v>
      </c>
      <c r="E2823" s="4" t="s">
        <v>5269</v>
      </c>
      <c r="F2823" s="4" t="s">
        <v>5267</v>
      </c>
      <c r="G2823" s="4" t="s">
        <v>5122</v>
      </c>
      <c r="H2823" s="4" t="s">
        <v>2183</v>
      </c>
      <c r="I2823" s="4" t="s">
        <v>2100</v>
      </c>
      <c r="J2823" s="4" t="s">
        <v>2570</v>
      </c>
      <c r="K2823">
        <v>18</v>
      </c>
      <c r="L2823">
        <v>5.49</v>
      </c>
      <c r="M2823">
        <v>38.099999999999994</v>
      </c>
      <c r="N2823">
        <v>139.69999999999999</v>
      </c>
      <c r="O2823">
        <v>216.14173228346459</v>
      </c>
      <c r="P2823">
        <v>1.4999999999999998</v>
      </c>
      <c r="Q2823">
        <v>5.5</v>
      </c>
      <c r="R2823">
        <v>616.40099999999995</v>
      </c>
      <c r="S2823">
        <v>2.9220909299999997E-2</v>
      </c>
      <c r="T2823" s="4" t="s">
        <v>5268</v>
      </c>
    </row>
    <row r="2824" spans="1:20" x14ac:dyDescent="0.2">
      <c r="A2824" s="4" t="s">
        <v>5118</v>
      </c>
      <c r="B2824" s="4" t="s">
        <v>5266</v>
      </c>
      <c r="C2824" s="4" t="s">
        <v>2096</v>
      </c>
      <c r="D2824" s="4" t="s">
        <v>4764</v>
      </c>
      <c r="E2824" s="4" t="s">
        <v>1907</v>
      </c>
      <c r="F2824" s="4" t="s">
        <v>5267</v>
      </c>
      <c r="G2824" s="4" t="s">
        <v>5122</v>
      </c>
      <c r="H2824" s="4" t="s">
        <v>2183</v>
      </c>
      <c r="I2824" s="4" t="s">
        <v>2100</v>
      </c>
      <c r="J2824" s="4" t="s">
        <v>2570</v>
      </c>
      <c r="K2824">
        <v>19</v>
      </c>
      <c r="L2824">
        <v>5.79</v>
      </c>
      <c r="M2824">
        <v>38.099999999999994</v>
      </c>
      <c r="N2824">
        <v>139.69999999999999</v>
      </c>
      <c r="O2824">
        <v>227.95275590551182</v>
      </c>
      <c r="P2824">
        <v>1.4999999999999998</v>
      </c>
      <c r="Q2824">
        <v>5.5</v>
      </c>
      <c r="R2824">
        <v>616.40099999999995</v>
      </c>
      <c r="S2824">
        <v>3.0817680299999994E-2</v>
      </c>
      <c r="T2824" s="4" t="s">
        <v>5268</v>
      </c>
    </row>
    <row r="2825" spans="1:20" x14ac:dyDescent="0.2">
      <c r="A2825" s="4" t="s">
        <v>5118</v>
      </c>
      <c r="B2825" s="4" t="s">
        <v>5266</v>
      </c>
      <c r="C2825" s="4" t="s">
        <v>2286</v>
      </c>
      <c r="D2825" s="4" t="s">
        <v>4764</v>
      </c>
      <c r="E2825" s="4" t="s">
        <v>5270</v>
      </c>
      <c r="F2825" s="4" t="s">
        <v>5267</v>
      </c>
      <c r="G2825" s="4" t="s">
        <v>5122</v>
      </c>
      <c r="H2825" s="4" t="s">
        <v>2183</v>
      </c>
      <c r="I2825" s="4" t="s">
        <v>2100</v>
      </c>
      <c r="J2825" s="4" t="s">
        <v>2570</v>
      </c>
      <c r="K2825">
        <v>4</v>
      </c>
      <c r="L2825">
        <v>1.22</v>
      </c>
      <c r="M2825">
        <v>38.099999999999994</v>
      </c>
      <c r="N2825">
        <v>139.69999999999999</v>
      </c>
      <c r="O2825">
        <v>48.031496062992126</v>
      </c>
      <c r="P2825">
        <v>1.4999999999999998</v>
      </c>
      <c r="Q2825">
        <v>5.5</v>
      </c>
      <c r="R2825">
        <v>616.40099999999995</v>
      </c>
      <c r="S2825">
        <v>6.4935353999999992E-3</v>
      </c>
      <c r="T2825" s="4" t="s">
        <v>5271</v>
      </c>
    </row>
    <row r="2826" spans="1:20" x14ac:dyDescent="0.2">
      <c r="A2826" s="4" t="s">
        <v>5118</v>
      </c>
      <c r="B2826" s="4" t="s">
        <v>5266</v>
      </c>
      <c r="C2826" s="4" t="s">
        <v>2286</v>
      </c>
      <c r="D2826" s="4" t="s">
        <v>4764</v>
      </c>
      <c r="E2826" s="4" t="s">
        <v>5272</v>
      </c>
      <c r="F2826" s="4" t="s">
        <v>5267</v>
      </c>
      <c r="G2826" s="4" t="s">
        <v>5122</v>
      </c>
      <c r="H2826" s="4" t="s">
        <v>2183</v>
      </c>
      <c r="I2826" s="4" t="s">
        <v>2100</v>
      </c>
      <c r="J2826" s="4" t="s">
        <v>2570</v>
      </c>
      <c r="K2826">
        <v>5</v>
      </c>
      <c r="L2826">
        <v>1.52</v>
      </c>
      <c r="M2826">
        <v>38.099999999999994</v>
      </c>
      <c r="N2826">
        <v>139.69999999999999</v>
      </c>
      <c r="O2826">
        <v>59.84251968503937</v>
      </c>
      <c r="P2826">
        <v>1.4999999999999998</v>
      </c>
      <c r="Q2826">
        <v>5.5</v>
      </c>
      <c r="R2826">
        <v>616.40099999999995</v>
      </c>
      <c r="S2826">
        <v>8.0903063999999969E-3</v>
      </c>
      <c r="T2826" s="4" t="s">
        <v>5271</v>
      </c>
    </row>
    <row r="2827" spans="1:20" x14ac:dyDescent="0.2">
      <c r="A2827" s="4" t="s">
        <v>5118</v>
      </c>
      <c r="B2827" s="4" t="s">
        <v>5266</v>
      </c>
      <c r="C2827" s="4" t="s">
        <v>2286</v>
      </c>
      <c r="D2827" s="4" t="s">
        <v>4764</v>
      </c>
      <c r="E2827" s="4" t="s">
        <v>5273</v>
      </c>
      <c r="F2827" s="4" t="s">
        <v>5267</v>
      </c>
      <c r="G2827" s="4" t="s">
        <v>5122</v>
      </c>
      <c r="H2827" s="4" t="s">
        <v>2183</v>
      </c>
      <c r="I2827" s="4" t="s">
        <v>2100</v>
      </c>
      <c r="J2827" s="4" t="s">
        <v>2570</v>
      </c>
      <c r="K2827">
        <v>6</v>
      </c>
      <c r="L2827">
        <v>1.83</v>
      </c>
      <c r="M2827">
        <v>38.099999999999994</v>
      </c>
      <c r="N2827">
        <v>139.69999999999999</v>
      </c>
      <c r="O2827">
        <v>72.047244094488192</v>
      </c>
      <c r="P2827">
        <v>1.4999999999999998</v>
      </c>
      <c r="Q2827">
        <v>5.5</v>
      </c>
      <c r="R2827">
        <v>616.40099999999995</v>
      </c>
      <c r="S2827">
        <v>9.7403030999999984E-3</v>
      </c>
      <c r="T2827" s="4" t="s">
        <v>5271</v>
      </c>
    </row>
    <row r="2828" spans="1:20" x14ac:dyDescent="0.2">
      <c r="A2828" s="4" t="s">
        <v>5118</v>
      </c>
      <c r="B2828" s="4" t="s">
        <v>5266</v>
      </c>
      <c r="C2828" s="4" t="s">
        <v>2286</v>
      </c>
      <c r="D2828" s="4" t="s">
        <v>4764</v>
      </c>
      <c r="E2828" s="4" t="s">
        <v>5274</v>
      </c>
      <c r="F2828" s="4" t="s">
        <v>5267</v>
      </c>
      <c r="G2828" s="4" t="s">
        <v>5122</v>
      </c>
      <c r="H2828" s="4" t="s">
        <v>2183</v>
      </c>
      <c r="I2828" s="4" t="s">
        <v>2100</v>
      </c>
      <c r="J2828" s="4" t="s">
        <v>2570</v>
      </c>
      <c r="K2828">
        <v>7</v>
      </c>
      <c r="L2828">
        <v>2.13</v>
      </c>
      <c r="M2828">
        <v>38.099999999999994</v>
      </c>
      <c r="N2828">
        <v>139.69999999999999</v>
      </c>
      <c r="O2828">
        <v>83.858267716535437</v>
      </c>
      <c r="P2828">
        <v>1.4999999999999998</v>
      </c>
      <c r="Q2828">
        <v>5.5</v>
      </c>
      <c r="R2828">
        <v>616.40099999999995</v>
      </c>
      <c r="S2828">
        <v>1.1337074099999995E-2</v>
      </c>
      <c r="T2828" s="4" t="s">
        <v>5271</v>
      </c>
    </row>
    <row r="2829" spans="1:20" x14ac:dyDescent="0.2">
      <c r="A2829" s="4" t="s">
        <v>5118</v>
      </c>
      <c r="B2829" s="4" t="s">
        <v>5266</v>
      </c>
      <c r="C2829" s="4" t="s">
        <v>2096</v>
      </c>
      <c r="D2829" s="4" t="s">
        <v>4764</v>
      </c>
      <c r="E2829" s="4" t="s">
        <v>1357</v>
      </c>
      <c r="F2829" s="4" t="s">
        <v>5267</v>
      </c>
      <c r="G2829" s="4" t="s">
        <v>5122</v>
      </c>
      <c r="H2829" s="4" t="s">
        <v>2183</v>
      </c>
      <c r="I2829" s="4" t="s">
        <v>2100</v>
      </c>
      <c r="J2829" s="4" t="s">
        <v>2570</v>
      </c>
      <c r="K2829">
        <v>8</v>
      </c>
      <c r="L2829">
        <v>2.44</v>
      </c>
      <c r="M2829">
        <v>38.099999999999994</v>
      </c>
      <c r="N2829">
        <v>139.69999999999999</v>
      </c>
      <c r="O2829">
        <v>96.062992125984252</v>
      </c>
      <c r="P2829">
        <v>1.4999999999999998</v>
      </c>
      <c r="Q2829">
        <v>5.5</v>
      </c>
      <c r="R2829">
        <v>616.40099999999995</v>
      </c>
      <c r="S2829">
        <v>1.2987070799999998E-2</v>
      </c>
      <c r="T2829" s="4" t="s">
        <v>5268</v>
      </c>
    </row>
    <row r="2830" spans="1:20" x14ac:dyDescent="0.2">
      <c r="A2830" s="4" t="s">
        <v>5118</v>
      </c>
      <c r="B2830" s="4" t="s">
        <v>5266</v>
      </c>
      <c r="C2830" s="4" t="s">
        <v>2096</v>
      </c>
      <c r="D2830" s="4" t="s">
        <v>4764</v>
      </c>
      <c r="E2830" s="4" t="s">
        <v>1359</v>
      </c>
      <c r="F2830" s="4" t="s">
        <v>5267</v>
      </c>
      <c r="G2830" s="4" t="s">
        <v>5122</v>
      </c>
      <c r="H2830" s="4" t="s">
        <v>2183</v>
      </c>
      <c r="I2830" s="4" t="s">
        <v>2100</v>
      </c>
      <c r="J2830" s="4" t="s">
        <v>2570</v>
      </c>
      <c r="K2830">
        <v>9</v>
      </c>
      <c r="L2830">
        <v>2.74</v>
      </c>
      <c r="M2830">
        <v>38.099999999999994</v>
      </c>
      <c r="N2830">
        <v>139.69999999999999</v>
      </c>
      <c r="O2830">
        <v>107.87401574803151</v>
      </c>
      <c r="P2830">
        <v>1.4999999999999998</v>
      </c>
      <c r="Q2830">
        <v>5.5</v>
      </c>
      <c r="R2830">
        <v>616.40099999999995</v>
      </c>
      <c r="S2830">
        <v>1.4583841799999997E-2</v>
      </c>
      <c r="T2830" s="4" t="s">
        <v>5268</v>
      </c>
    </row>
    <row r="2831" spans="1:20" x14ac:dyDescent="0.2">
      <c r="A2831" s="4" t="s">
        <v>5118</v>
      </c>
      <c r="B2831" s="4" t="s">
        <v>5275</v>
      </c>
      <c r="C2831" s="4" t="s">
        <v>2096</v>
      </c>
      <c r="D2831" s="4" t="s">
        <v>4764</v>
      </c>
      <c r="E2831" s="4" t="s">
        <v>5276</v>
      </c>
      <c r="F2831" s="4" t="s">
        <v>5277</v>
      </c>
      <c r="G2831" s="4" t="s">
        <v>5122</v>
      </c>
      <c r="H2831" s="4" t="s">
        <v>2183</v>
      </c>
      <c r="I2831" s="4" t="s">
        <v>2100</v>
      </c>
      <c r="J2831" s="4" t="s">
        <v>3644</v>
      </c>
      <c r="K2831">
        <v>10</v>
      </c>
      <c r="L2831">
        <v>3.05</v>
      </c>
      <c r="M2831">
        <v>25.4</v>
      </c>
      <c r="N2831">
        <v>88.899999999999991</v>
      </c>
      <c r="O2831">
        <v>120.07874015748031</v>
      </c>
      <c r="P2831">
        <v>1</v>
      </c>
      <c r="Q2831">
        <v>3.5</v>
      </c>
      <c r="R2831">
        <v>1452.9459999999999</v>
      </c>
      <c r="S2831">
        <v>6.8870829999999978E-3</v>
      </c>
      <c r="T2831" s="4" t="s">
        <v>5278</v>
      </c>
    </row>
    <row r="2832" spans="1:20" x14ac:dyDescent="0.2">
      <c r="A2832" s="4" t="s">
        <v>5118</v>
      </c>
      <c r="B2832" s="4" t="s">
        <v>5275</v>
      </c>
      <c r="C2832" s="4" t="s">
        <v>2096</v>
      </c>
      <c r="D2832" s="4" t="s">
        <v>4764</v>
      </c>
      <c r="E2832" s="4" t="s">
        <v>5279</v>
      </c>
      <c r="F2832" s="4" t="s">
        <v>5277</v>
      </c>
      <c r="G2832" s="4" t="s">
        <v>5122</v>
      </c>
      <c r="H2832" s="4" t="s">
        <v>2183</v>
      </c>
      <c r="I2832" s="4" t="s">
        <v>2100</v>
      </c>
      <c r="J2832" s="4" t="s">
        <v>3644</v>
      </c>
      <c r="K2832">
        <v>11</v>
      </c>
      <c r="L2832">
        <v>3.35</v>
      </c>
      <c r="M2832">
        <v>25.4</v>
      </c>
      <c r="N2832">
        <v>88.899999999999991</v>
      </c>
      <c r="O2832">
        <v>131.88976377952756</v>
      </c>
      <c r="P2832">
        <v>1</v>
      </c>
      <c r="Q2832">
        <v>3.5</v>
      </c>
      <c r="R2832">
        <v>1452.9459999999999</v>
      </c>
      <c r="S2832">
        <v>7.5645009999999986E-3</v>
      </c>
      <c r="T2832" s="4" t="s">
        <v>5278</v>
      </c>
    </row>
    <row r="2833" spans="1:20" x14ac:dyDescent="0.2">
      <c r="A2833" s="4" t="s">
        <v>5118</v>
      </c>
      <c r="B2833" s="4" t="s">
        <v>5275</v>
      </c>
      <c r="C2833" s="4" t="s">
        <v>2096</v>
      </c>
      <c r="D2833" s="4" t="s">
        <v>4764</v>
      </c>
      <c r="E2833" s="4" t="s">
        <v>5280</v>
      </c>
      <c r="F2833" s="4" t="s">
        <v>5277</v>
      </c>
      <c r="G2833" s="4" t="s">
        <v>5122</v>
      </c>
      <c r="H2833" s="4" t="s">
        <v>2183</v>
      </c>
      <c r="I2833" s="4" t="s">
        <v>2100</v>
      </c>
      <c r="J2833" s="4" t="s">
        <v>3644</v>
      </c>
      <c r="K2833">
        <v>12</v>
      </c>
      <c r="L2833">
        <v>3.66</v>
      </c>
      <c r="M2833">
        <v>25.4</v>
      </c>
      <c r="N2833">
        <v>88.899999999999991</v>
      </c>
      <c r="O2833">
        <v>144.09448818897638</v>
      </c>
      <c r="P2833">
        <v>1</v>
      </c>
      <c r="Q2833">
        <v>3.5</v>
      </c>
      <c r="R2833">
        <v>1452.9459999999999</v>
      </c>
      <c r="S2833">
        <v>8.2644995999999991E-3</v>
      </c>
      <c r="T2833" s="4" t="s">
        <v>5278</v>
      </c>
    </row>
    <row r="2834" spans="1:20" x14ac:dyDescent="0.2">
      <c r="A2834" s="4" t="s">
        <v>5118</v>
      </c>
      <c r="B2834" s="4" t="s">
        <v>5275</v>
      </c>
      <c r="C2834" s="4" t="s">
        <v>2096</v>
      </c>
      <c r="D2834" s="4" t="s">
        <v>4764</v>
      </c>
      <c r="E2834" s="4" t="s">
        <v>5281</v>
      </c>
      <c r="F2834" s="4" t="s">
        <v>5277</v>
      </c>
      <c r="G2834" s="4" t="s">
        <v>5122</v>
      </c>
      <c r="H2834" s="4" t="s">
        <v>2183</v>
      </c>
      <c r="I2834" s="4" t="s">
        <v>2100</v>
      </c>
      <c r="J2834" s="4" t="s">
        <v>3644</v>
      </c>
      <c r="K2834">
        <v>13</v>
      </c>
      <c r="L2834">
        <v>3.96</v>
      </c>
      <c r="M2834">
        <v>25.4</v>
      </c>
      <c r="N2834">
        <v>88.899999999999991</v>
      </c>
      <c r="O2834">
        <v>155.90551181102362</v>
      </c>
      <c r="P2834">
        <v>1</v>
      </c>
      <c r="Q2834">
        <v>3.5</v>
      </c>
      <c r="R2834">
        <v>1452.9459999999999</v>
      </c>
      <c r="S2834">
        <v>8.9419175999999982E-3</v>
      </c>
      <c r="T2834" s="4" t="s">
        <v>5278</v>
      </c>
    </row>
    <row r="2835" spans="1:20" x14ac:dyDescent="0.2">
      <c r="A2835" s="4" t="s">
        <v>5118</v>
      </c>
      <c r="B2835" s="4" t="s">
        <v>5275</v>
      </c>
      <c r="C2835" s="4" t="s">
        <v>2096</v>
      </c>
      <c r="D2835" s="4" t="s">
        <v>4764</v>
      </c>
      <c r="E2835" s="4" t="s">
        <v>5282</v>
      </c>
      <c r="F2835" s="4" t="s">
        <v>5277</v>
      </c>
      <c r="G2835" s="4" t="s">
        <v>5122</v>
      </c>
      <c r="H2835" s="4" t="s">
        <v>2183</v>
      </c>
      <c r="I2835" s="4" t="s">
        <v>2100</v>
      </c>
      <c r="J2835" s="4" t="s">
        <v>3644</v>
      </c>
      <c r="K2835">
        <v>14</v>
      </c>
      <c r="L2835">
        <v>4.2699999999999996</v>
      </c>
      <c r="M2835">
        <v>25.4</v>
      </c>
      <c r="N2835">
        <v>88.899999999999991</v>
      </c>
      <c r="O2835">
        <v>168.11023622047244</v>
      </c>
      <c r="P2835">
        <v>1</v>
      </c>
      <c r="Q2835">
        <v>3.5</v>
      </c>
      <c r="R2835">
        <v>1452.9459999999999</v>
      </c>
      <c r="S2835">
        <v>9.6419161999999978E-3</v>
      </c>
      <c r="T2835" s="4" t="s">
        <v>5278</v>
      </c>
    </row>
    <row r="2836" spans="1:20" x14ac:dyDescent="0.2">
      <c r="A2836" s="4" t="s">
        <v>5118</v>
      </c>
      <c r="B2836" s="4" t="s">
        <v>5275</v>
      </c>
      <c r="C2836" s="4" t="s">
        <v>2096</v>
      </c>
      <c r="D2836" s="4" t="s">
        <v>4764</v>
      </c>
      <c r="E2836" s="4" t="s">
        <v>5283</v>
      </c>
      <c r="F2836" s="4" t="s">
        <v>5277</v>
      </c>
      <c r="G2836" s="4" t="s">
        <v>5122</v>
      </c>
      <c r="H2836" s="4" t="s">
        <v>2183</v>
      </c>
      <c r="I2836" s="4" t="s">
        <v>2100</v>
      </c>
      <c r="J2836" s="4" t="s">
        <v>3644</v>
      </c>
      <c r="K2836">
        <v>15</v>
      </c>
      <c r="L2836">
        <v>4.57</v>
      </c>
      <c r="M2836">
        <v>25.4</v>
      </c>
      <c r="N2836">
        <v>88.899999999999991</v>
      </c>
      <c r="O2836">
        <v>179.9212598425197</v>
      </c>
      <c r="P2836">
        <v>1</v>
      </c>
      <c r="Q2836">
        <v>3.5</v>
      </c>
      <c r="R2836">
        <v>1452.9459999999999</v>
      </c>
      <c r="S2836">
        <v>1.0319334199999999E-2</v>
      </c>
      <c r="T2836" s="4" t="s">
        <v>5278</v>
      </c>
    </row>
    <row r="2837" spans="1:20" x14ac:dyDescent="0.2">
      <c r="A2837" s="4" t="s">
        <v>5118</v>
      </c>
      <c r="B2837" s="4" t="s">
        <v>5275</v>
      </c>
      <c r="C2837" s="4" t="s">
        <v>2096</v>
      </c>
      <c r="D2837" s="4" t="s">
        <v>4764</v>
      </c>
      <c r="E2837" s="4" t="s">
        <v>5284</v>
      </c>
      <c r="F2837" s="4" t="s">
        <v>5277</v>
      </c>
      <c r="G2837" s="4" t="s">
        <v>5122</v>
      </c>
      <c r="H2837" s="4" t="s">
        <v>2183</v>
      </c>
      <c r="I2837" s="4" t="s">
        <v>2100</v>
      </c>
      <c r="J2837" s="4" t="s">
        <v>3644</v>
      </c>
      <c r="K2837">
        <v>16</v>
      </c>
      <c r="L2837">
        <v>4.88</v>
      </c>
      <c r="M2837">
        <v>25.4</v>
      </c>
      <c r="N2837">
        <v>88.899999999999991</v>
      </c>
      <c r="O2837">
        <v>192.1259842519685</v>
      </c>
      <c r="P2837">
        <v>1</v>
      </c>
      <c r="Q2837">
        <v>3.5</v>
      </c>
      <c r="R2837">
        <v>1452.9459999999999</v>
      </c>
      <c r="S2837">
        <v>1.1019332799999997E-2</v>
      </c>
      <c r="T2837" s="4" t="s">
        <v>5278</v>
      </c>
    </row>
    <row r="2838" spans="1:20" x14ac:dyDescent="0.2">
      <c r="A2838" s="4" t="s">
        <v>5118</v>
      </c>
      <c r="B2838" s="4" t="s">
        <v>5275</v>
      </c>
      <c r="C2838" s="4" t="s">
        <v>2096</v>
      </c>
      <c r="D2838" s="4" t="s">
        <v>4764</v>
      </c>
      <c r="E2838" s="4" t="s">
        <v>5285</v>
      </c>
      <c r="F2838" s="4" t="s">
        <v>5277</v>
      </c>
      <c r="G2838" s="4" t="s">
        <v>5122</v>
      </c>
      <c r="H2838" s="4" t="s">
        <v>2183</v>
      </c>
      <c r="I2838" s="4" t="s">
        <v>2100</v>
      </c>
      <c r="J2838" s="4" t="s">
        <v>3644</v>
      </c>
      <c r="K2838">
        <v>17</v>
      </c>
      <c r="L2838">
        <v>5.18</v>
      </c>
      <c r="M2838">
        <v>25.4</v>
      </c>
      <c r="N2838">
        <v>88.899999999999991</v>
      </c>
      <c r="O2838">
        <v>203.93700787401573</v>
      </c>
      <c r="P2838">
        <v>1</v>
      </c>
      <c r="Q2838">
        <v>3.5</v>
      </c>
      <c r="R2838">
        <v>1452.9459999999999</v>
      </c>
      <c r="S2838">
        <v>1.1696750799999997E-2</v>
      </c>
      <c r="T2838" s="4" t="s">
        <v>5278</v>
      </c>
    </row>
    <row r="2839" spans="1:20" x14ac:dyDescent="0.2">
      <c r="A2839" s="4" t="s">
        <v>5118</v>
      </c>
      <c r="B2839" s="4" t="s">
        <v>5275</v>
      </c>
      <c r="C2839" s="4" t="s">
        <v>2096</v>
      </c>
      <c r="D2839" s="4" t="s">
        <v>4764</v>
      </c>
      <c r="E2839" s="4" t="s">
        <v>5286</v>
      </c>
      <c r="F2839" s="4" t="s">
        <v>5277</v>
      </c>
      <c r="G2839" s="4" t="s">
        <v>5122</v>
      </c>
      <c r="H2839" s="4" t="s">
        <v>2183</v>
      </c>
      <c r="I2839" s="4" t="s">
        <v>2100</v>
      </c>
      <c r="J2839" s="4" t="s">
        <v>3644</v>
      </c>
      <c r="K2839">
        <v>18</v>
      </c>
      <c r="L2839">
        <v>5.49</v>
      </c>
      <c r="M2839">
        <v>25.4</v>
      </c>
      <c r="N2839">
        <v>88.899999999999991</v>
      </c>
      <c r="O2839">
        <v>216.14173228346459</v>
      </c>
      <c r="P2839">
        <v>1</v>
      </c>
      <c r="Q2839">
        <v>3.5</v>
      </c>
      <c r="R2839">
        <v>1452.9459999999999</v>
      </c>
      <c r="S2839">
        <v>1.2396749399999997E-2</v>
      </c>
      <c r="T2839" s="4" t="s">
        <v>5278</v>
      </c>
    </row>
    <row r="2840" spans="1:20" x14ac:dyDescent="0.2">
      <c r="A2840" s="4" t="s">
        <v>5118</v>
      </c>
      <c r="B2840" s="4" t="s">
        <v>5275</v>
      </c>
      <c r="C2840" s="4" t="s">
        <v>2286</v>
      </c>
      <c r="D2840" s="4" t="s">
        <v>4764</v>
      </c>
      <c r="E2840" s="4" t="s">
        <v>5287</v>
      </c>
      <c r="F2840" s="4" t="s">
        <v>5277</v>
      </c>
      <c r="G2840" s="4" t="s">
        <v>5122</v>
      </c>
      <c r="H2840" s="4" t="s">
        <v>2183</v>
      </c>
      <c r="I2840" s="4" t="s">
        <v>2100</v>
      </c>
      <c r="J2840" s="4" t="s">
        <v>3644</v>
      </c>
      <c r="K2840">
        <v>4</v>
      </c>
      <c r="L2840">
        <v>1.22</v>
      </c>
      <c r="M2840">
        <v>25.4</v>
      </c>
      <c r="N2840">
        <v>88.899999999999991</v>
      </c>
      <c r="O2840">
        <v>48.031496062992126</v>
      </c>
      <c r="P2840">
        <v>1</v>
      </c>
      <c r="Q2840">
        <v>3.5</v>
      </c>
      <c r="R2840">
        <v>1452.9459999999999</v>
      </c>
      <c r="S2840">
        <v>2.7548331999999991E-3</v>
      </c>
      <c r="T2840" s="4" t="s">
        <v>5288</v>
      </c>
    </row>
    <row r="2841" spans="1:20" x14ac:dyDescent="0.2">
      <c r="A2841" s="4" t="s">
        <v>5118</v>
      </c>
      <c r="B2841" s="4" t="s">
        <v>5275</v>
      </c>
      <c r="C2841" s="4" t="s">
        <v>2286</v>
      </c>
      <c r="D2841" s="4" t="s">
        <v>4764</v>
      </c>
      <c r="E2841" s="4" t="s">
        <v>5289</v>
      </c>
      <c r="F2841" s="4" t="s">
        <v>5277</v>
      </c>
      <c r="G2841" s="4" t="s">
        <v>5122</v>
      </c>
      <c r="H2841" s="4" t="s">
        <v>2183</v>
      </c>
      <c r="I2841" s="4" t="s">
        <v>2100</v>
      </c>
      <c r="J2841" s="4" t="s">
        <v>3644</v>
      </c>
      <c r="K2841">
        <v>5</v>
      </c>
      <c r="L2841">
        <v>1.52</v>
      </c>
      <c r="M2841">
        <v>25.4</v>
      </c>
      <c r="N2841">
        <v>88.899999999999991</v>
      </c>
      <c r="O2841">
        <v>59.84251968503937</v>
      </c>
      <c r="P2841">
        <v>1</v>
      </c>
      <c r="Q2841">
        <v>3.5</v>
      </c>
      <c r="R2841">
        <v>1452.9459999999999</v>
      </c>
      <c r="S2841">
        <v>3.4322511999999991E-3</v>
      </c>
      <c r="T2841" s="4" t="s">
        <v>5288</v>
      </c>
    </row>
    <row r="2842" spans="1:20" x14ac:dyDescent="0.2">
      <c r="A2842" s="4" t="s">
        <v>5118</v>
      </c>
      <c r="B2842" s="4" t="s">
        <v>5275</v>
      </c>
      <c r="C2842" s="4" t="s">
        <v>2286</v>
      </c>
      <c r="D2842" s="4" t="s">
        <v>4764</v>
      </c>
      <c r="E2842" s="4" t="s">
        <v>5290</v>
      </c>
      <c r="F2842" s="4" t="s">
        <v>5277</v>
      </c>
      <c r="G2842" s="4" t="s">
        <v>5122</v>
      </c>
      <c r="H2842" s="4" t="s">
        <v>2183</v>
      </c>
      <c r="I2842" s="4" t="s">
        <v>2100</v>
      </c>
      <c r="J2842" s="4" t="s">
        <v>3644</v>
      </c>
      <c r="K2842">
        <v>6</v>
      </c>
      <c r="L2842">
        <v>1.83</v>
      </c>
      <c r="M2842">
        <v>25.4</v>
      </c>
      <c r="N2842">
        <v>88.899999999999991</v>
      </c>
      <c r="O2842">
        <v>72.047244094488192</v>
      </c>
      <c r="P2842">
        <v>1</v>
      </c>
      <c r="Q2842">
        <v>3.5</v>
      </c>
      <c r="R2842">
        <v>1452.9459999999999</v>
      </c>
      <c r="S2842">
        <v>4.1322497999999996E-3</v>
      </c>
      <c r="T2842" s="4" t="s">
        <v>5288</v>
      </c>
    </row>
    <row r="2843" spans="1:20" x14ac:dyDescent="0.2">
      <c r="A2843" s="4" t="s">
        <v>5118</v>
      </c>
      <c r="B2843" s="4" t="s">
        <v>5275</v>
      </c>
      <c r="C2843" s="4" t="s">
        <v>2286</v>
      </c>
      <c r="D2843" s="4" t="s">
        <v>4764</v>
      </c>
      <c r="E2843" s="4" t="s">
        <v>5291</v>
      </c>
      <c r="F2843" s="4" t="s">
        <v>5277</v>
      </c>
      <c r="G2843" s="4" t="s">
        <v>5122</v>
      </c>
      <c r="H2843" s="4" t="s">
        <v>2183</v>
      </c>
      <c r="I2843" s="4" t="s">
        <v>2100</v>
      </c>
      <c r="J2843" s="4" t="s">
        <v>3644</v>
      </c>
      <c r="K2843">
        <v>7</v>
      </c>
      <c r="L2843">
        <v>2.13</v>
      </c>
      <c r="M2843">
        <v>25.4</v>
      </c>
      <c r="N2843">
        <v>88.899999999999991</v>
      </c>
      <c r="O2843">
        <v>83.858267716535437</v>
      </c>
      <c r="P2843">
        <v>1</v>
      </c>
      <c r="Q2843">
        <v>3.5</v>
      </c>
      <c r="R2843">
        <v>1452.9459999999999</v>
      </c>
      <c r="S2843">
        <v>4.8096677999999995E-3</v>
      </c>
      <c r="T2843" s="4" t="s">
        <v>5288</v>
      </c>
    </row>
    <row r="2844" spans="1:20" x14ac:dyDescent="0.2">
      <c r="A2844" s="4" t="s">
        <v>5118</v>
      </c>
      <c r="B2844" s="4" t="s">
        <v>5275</v>
      </c>
      <c r="C2844" s="4" t="s">
        <v>2096</v>
      </c>
      <c r="D2844" s="4" t="s">
        <v>4764</v>
      </c>
      <c r="E2844" s="4" t="s">
        <v>5292</v>
      </c>
      <c r="F2844" s="4" t="s">
        <v>5277</v>
      </c>
      <c r="G2844" s="4" t="s">
        <v>5122</v>
      </c>
      <c r="H2844" s="4" t="s">
        <v>2183</v>
      </c>
      <c r="I2844" s="4" t="s">
        <v>2100</v>
      </c>
      <c r="J2844" s="4" t="s">
        <v>3644</v>
      </c>
      <c r="K2844">
        <v>8</v>
      </c>
      <c r="L2844">
        <v>2.44</v>
      </c>
      <c r="M2844">
        <v>25.4</v>
      </c>
      <c r="N2844">
        <v>88.899999999999991</v>
      </c>
      <c r="O2844">
        <v>96.062992125984252</v>
      </c>
      <c r="P2844">
        <v>1</v>
      </c>
      <c r="Q2844">
        <v>3.5</v>
      </c>
      <c r="R2844">
        <v>1452.9459999999999</v>
      </c>
      <c r="S2844">
        <v>5.5096663999999983E-3</v>
      </c>
      <c r="T2844" s="4" t="s">
        <v>5278</v>
      </c>
    </row>
    <row r="2845" spans="1:20" x14ac:dyDescent="0.2">
      <c r="A2845" s="4" t="s">
        <v>5118</v>
      </c>
      <c r="B2845" s="4" t="s">
        <v>5275</v>
      </c>
      <c r="C2845" s="4" t="s">
        <v>2096</v>
      </c>
      <c r="D2845" s="4" t="s">
        <v>4764</v>
      </c>
      <c r="E2845" s="4" t="s">
        <v>5293</v>
      </c>
      <c r="F2845" s="4" t="s">
        <v>5277</v>
      </c>
      <c r="G2845" s="4" t="s">
        <v>5122</v>
      </c>
      <c r="H2845" s="4" t="s">
        <v>2183</v>
      </c>
      <c r="I2845" s="4" t="s">
        <v>2100</v>
      </c>
      <c r="J2845" s="4" t="s">
        <v>3644</v>
      </c>
      <c r="K2845">
        <v>9</v>
      </c>
      <c r="L2845">
        <v>2.74</v>
      </c>
      <c r="M2845">
        <v>25.4</v>
      </c>
      <c r="N2845">
        <v>88.899999999999991</v>
      </c>
      <c r="O2845">
        <v>107.87401574803151</v>
      </c>
      <c r="P2845">
        <v>1</v>
      </c>
      <c r="Q2845">
        <v>3.5</v>
      </c>
      <c r="R2845">
        <v>1452.9459999999999</v>
      </c>
      <c r="S2845">
        <v>6.1870843999999999E-3</v>
      </c>
      <c r="T2845" s="4" t="s">
        <v>5278</v>
      </c>
    </row>
    <row r="2846" spans="1:20" x14ac:dyDescent="0.2">
      <c r="A2846" s="4" t="s">
        <v>5118</v>
      </c>
      <c r="B2846" s="4" t="s">
        <v>5294</v>
      </c>
      <c r="C2846" s="4" t="s">
        <v>2096</v>
      </c>
      <c r="D2846" s="4" t="s">
        <v>4764</v>
      </c>
      <c r="E2846" s="4" t="s">
        <v>5295</v>
      </c>
      <c r="F2846" s="4" t="s">
        <v>5296</v>
      </c>
      <c r="G2846" s="4" t="s">
        <v>5122</v>
      </c>
      <c r="H2846" s="4" t="s">
        <v>2183</v>
      </c>
      <c r="I2846" s="4" t="s">
        <v>2100</v>
      </c>
      <c r="J2846" s="4" t="s">
        <v>2111</v>
      </c>
      <c r="K2846">
        <v>10</v>
      </c>
      <c r="L2846">
        <v>3.05</v>
      </c>
      <c r="M2846">
        <v>25.4</v>
      </c>
      <c r="N2846">
        <v>139.69999999999999</v>
      </c>
      <c r="O2846">
        <v>120.07874015748031</v>
      </c>
      <c r="P2846">
        <v>1</v>
      </c>
      <c r="Q2846">
        <v>5.5</v>
      </c>
      <c r="R2846">
        <v>924.60199999999998</v>
      </c>
      <c r="S2846">
        <v>1.0822558999999997E-2</v>
      </c>
      <c r="T2846" s="4" t="s">
        <v>5297</v>
      </c>
    </row>
    <row r="2847" spans="1:20" x14ac:dyDescent="0.2">
      <c r="A2847" s="4" t="s">
        <v>5118</v>
      </c>
      <c r="B2847" s="4" t="s">
        <v>5294</v>
      </c>
      <c r="C2847" s="4" t="s">
        <v>2096</v>
      </c>
      <c r="D2847" s="4" t="s">
        <v>4764</v>
      </c>
      <c r="E2847" s="4" t="s">
        <v>5298</v>
      </c>
      <c r="F2847" s="4" t="s">
        <v>5296</v>
      </c>
      <c r="G2847" s="4" t="s">
        <v>5122</v>
      </c>
      <c r="H2847" s="4" t="s">
        <v>2183</v>
      </c>
      <c r="I2847" s="4" t="s">
        <v>2100</v>
      </c>
      <c r="J2847" s="4" t="s">
        <v>2111</v>
      </c>
      <c r="K2847">
        <v>11</v>
      </c>
      <c r="L2847">
        <v>3.35</v>
      </c>
      <c r="M2847">
        <v>25.4</v>
      </c>
      <c r="N2847">
        <v>139.69999999999999</v>
      </c>
      <c r="O2847">
        <v>131.88976377952756</v>
      </c>
      <c r="P2847">
        <v>1</v>
      </c>
      <c r="Q2847">
        <v>5.5</v>
      </c>
      <c r="R2847">
        <v>924.60199999999998</v>
      </c>
      <c r="S2847">
        <v>1.1887073E-2</v>
      </c>
      <c r="T2847" s="4" t="s">
        <v>5297</v>
      </c>
    </row>
    <row r="2848" spans="1:20" x14ac:dyDescent="0.2">
      <c r="A2848" s="4" t="s">
        <v>5118</v>
      </c>
      <c r="B2848" s="4" t="s">
        <v>5294</v>
      </c>
      <c r="C2848" s="4" t="s">
        <v>2096</v>
      </c>
      <c r="D2848" s="4" t="s">
        <v>4764</v>
      </c>
      <c r="E2848" s="4" t="s">
        <v>5299</v>
      </c>
      <c r="F2848" s="4" t="s">
        <v>5296</v>
      </c>
      <c r="G2848" s="4" t="s">
        <v>5122</v>
      </c>
      <c r="H2848" s="4" t="s">
        <v>2183</v>
      </c>
      <c r="I2848" s="4" t="s">
        <v>2100</v>
      </c>
      <c r="J2848" s="4" t="s">
        <v>2111</v>
      </c>
      <c r="K2848">
        <v>12</v>
      </c>
      <c r="L2848">
        <v>3.66</v>
      </c>
      <c r="M2848">
        <v>25.4</v>
      </c>
      <c r="N2848">
        <v>139.69999999999999</v>
      </c>
      <c r="O2848">
        <v>144.09448818897638</v>
      </c>
      <c r="P2848">
        <v>1</v>
      </c>
      <c r="Q2848">
        <v>5.5</v>
      </c>
      <c r="R2848">
        <v>924.60199999999998</v>
      </c>
      <c r="S2848">
        <v>1.29870708E-2</v>
      </c>
      <c r="T2848" s="4" t="s">
        <v>5297</v>
      </c>
    </row>
    <row r="2849" spans="1:20" x14ac:dyDescent="0.2">
      <c r="A2849" s="4" t="s">
        <v>5118</v>
      </c>
      <c r="B2849" s="4" t="s">
        <v>5294</v>
      </c>
      <c r="C2849" s="4" t="s">
        <v>2096</v>
      </c>
      <c r="D2849" s="4" t="s">
        <v>4764</v>
      </c>
      <c r="E2849" s="4" t="s">
        <v>5300</v>
      </c>
      <c r="F2849" s="4" t="s">
        <v>5296</v>
      </c>
      <c r="G2849" s="4" t="s">
        <v>5122</v>
      </c>
      <c r="H2849" s="4" t="s">
        <v>2183</v>
      </c>
      <c r="I2849" s="4" t="s">
        <v>2100</v>
      </c>
      <c r="J2849" s="4" t="s">
        <v>2111</v>
      </c>
      <c r="K2849">
        <v>13</v>
      </c>
      <c r="L2849">
        <v>3.96</v>
      </c>
      <c r="M2849">
        <v>25.4</v>
      </c>
      <c r="N2849">
        <v>139.69999999999999</v>
      </c>
      <c r="O2849">
        <v>155.90551181102362</v>
      </c>
      <c r="P2849">
        <v>1</v>
      </c>
      <c r="Q2849">
        <v>5.5</v>
      </c>
      <c r="R2849">
        <v>924.60199999999998</v>
      </c>
      <c r="S2849">
        <v>1.4051584799999997E-2</v>
      </c>
      <c r="T2849" s="4" t="s">
        <v>5297</v>
      </c>
    </row>
    <row r="2850" spans="1:20" x14ac:dyDescent="0.2">
      <c r="A2850" s="4" t="s">
        <v>5118</v>
      </c>
      <c r="B2850" s="4" t="s">
        <v>5294</v>
      </c>
      <c r="C2850" s="4" t="s">
        <v>2096</v>
      </c>
      <c r="D2850" s="4" t="s">
        <v>4764</v>
      </c>
      <c r="E2850" s="4" t="s">
        <v>5301</v>
      </c>
      <c r="F2850" s="4" t="s">
        <v>5296</v>
      </c>
      <c r="G2850" s="4" t="s">
        <v>5122</v>
      </c>
      <c r="H2850" s="4" t="s">
        <v>2183</v>
      </c>
      <c r="I2850" s="4" t="s">
        <v>2100</v>
      </c>
      <c r="J2850" s="4" t="s">
        <v>2111</v>
      </c>
      <c r="K2850">
        <v>14</v>
      </c>
      <c r="L2850">
        <v>4.2699999999999996</v>
      </c>
      <c r="M2850">
        <v>25.4</v>
      </c>
      <c r="N2850">
        <v>139.69999999999999</v>
      </c>
      <c r="O2850">
        <v>168.11023622047244</v>
      </c>
      <c r="P2850">
        <v>1</v>
      </c>
      <c r="Q2850">
        <v>5.5</v>
      </c>
      <c r="R2850">
        <v>924.60199999999998</v>
      </c>
      <c r="S2850">
        <v>1.5151582599999996E-2</v>
      </c>
      <c r="T2850" s="4" t="s">
        <v>5297</v>
      </c>
    </row>
    <row r="2851" spans="1:20" x14ac:dyDescent="0.2">
      <c r="A2851" s="4" t="s">
        <v>5118</v>
      </c>
      <c r="B2851" s="4" t="s">
        <v>5294</v>
      </c>
      <c r="C2851" s="4" t="s">
        <v>2096</v>
      </c>
      <c r="D2851" s="4" t="s">
        <v>4764</v>
      </c>
      <c r="E2851" s="4" t="s">
        <v>5302</v>
      </c>
      <c r="F2851" s="4" t="s">
        <v>5296</v>
      </c>
      <c r="G2851" s="4" t="s">
        <v>5122</v>
      </c>
      <c r="H2851" s="4" t="s">
        <v>2183</v>
      </c>
      <c r="I2851" s="4" t="s">
        <v>2100</v>
      </c>
      <c r="J2851" s="4" t="s">
        <v>2111</v>
      </c>
      <c r="K2851">
        <v>15</v>
      </c>
      <c r="L2851">
        <v>4.57</v>
      </c>
      <c r="M2851">
        <v>25.4</v>
      </c>
      <c r="N2851">
        <v>139.69999999999999</v>
      </c>
      <c r="O2851">
        <v>179.9212598425197</v>
      </c>
      <c r="P2851">
        <v>1</v>
      </c>
      <c r="Q2851">
        <v>5.5</v>
      </c>
      <c r="R2851">
        <v>924.60199999999998</v>
      </c>
      <c r="S2851">
        <v>1.62160966E-2</v>
      </c>
      <c r="T2851" s="4" t="s">
        <v>5297</v>
      </c>
    </row>
    <row r="2852" spans="1:20" x14ac:dyDescent="0.2">
      <c r="A2852" s="4" t="s">
        <v>5118</v>
      </c>
      <c r="B2852" s="4" t="s">
        <v>5294</v>
      </c>
      <c r="C2852" s="4" t="s">
        <v>2096</v>
      </c>
      <c r="D2852" s="4" t="s">
        <v>4764</v>
      </c>
      <c r="E2852" s="4" t="s">
        <v>5303</v>
      </c>
      <c r="F2852" s="4" t="s">
        <v>5296</v>
      </c>
      <c r="G2852" s="4" t="s">
        <v>5122</v>
      </c>
      <c r="H2852" s="4" t="s">
        <v>2183</v>
      </c>
      <c r="I2852" s="4" t="s">
        <v>2100</v>
      </c>
      <c r="J2852" s="4" t="s">
        <v>2111</v>
      </c>
      <c r="K2852">
        <v>16</v>
      </c>
      <c r="L2852">
        <v>4.88</v>
      </c>
      <c r="M2852">
        <v>25.4</v>
      </c>
      <c r="N2852">
        <v>139.69999999999999</v>
      </c>
      <c r="O2852">
        <v>192.1259842519685</v>
      </c>
      <c r="P2852">
        <v>1</v>
      </c>
      <c r="Q2852">
        <v>5.5</v>
      </c>
      <c r="R2852">
        <v>924.60199999999998</v>
      </c>
      <c r="S2852">
        <v>1.7316094399999996E-2</v>
      </c>
      <c r="T2852" s="4" t="s">
        <v>5297</v>
      </c>
    </row>
    <row r="2853" spans="1:20" x14ac:dyDescent="0.2">
      <c r="A2853" s="4" t="s">
        <v>5118</v>
      </c>
      <c r="B2853" s="4" t="s">
        <v>5294</v>
      </c>
      <c r="C2853" s="4" t="s">
        <v>2096</v>
      </c>
      <c r="D2853" s="4" t="s">
        <v>4764</v>
      </c>
      <c r="E2853" s="4" t="s">
        <v>5304</v>
      </c>
      <c r="F2853" s="4" t="s">
        <v>5296</v>
      </c>
      <c r="G2853" s="4" t="s">
        <v>5122</v>
      </c>
      <c r="H2853" s="4" t="s">
        <v>2183</v>
      </c>
      <c r="I2853" s="4" t="s">
        <v>2100</v>
      </c>
      <c r="J2853" s="4" t="s">
        <v>2111</v>
      </c>
      <c r="K2853">
        <v>17</v>
      </c>
      <c r="L2853">
        <v>5.18</v>
      </c>
      <c r="M2853">
        <v>25.4</v>
      </c>
      <c r="N2853">
        <v>139.69999999999999</v>
      </c>
      <c r="O2853">
        <v>203.93700787401573</v>
      </c>
      <c r="P2853">
        <v>1</v>
      </c>
      <c r="Q2853">
        <v>5.5</v>
      </c>
      <c r="R2853">
        <v>924.60199999999998</v>
      </c>
      <c r="S2853">
        <v>1.8380608399999991E-2</v>
      </c>
      <c r="T2853" s="4" t="s">
        <v>5297</v>
      </c>
    </row>
    <row r="2854" spans="1:20" x14ac:dyDescent="0.2">
      <c r="A2854" s="4" t="s">
        <v>5118</v>
      </c>
      <c r="B2854" s="4" t="s">
        <v>5294</v>
      </c>
      <c r="C2854" s="4" t="s">
        <v>2096</v>
      </c>
      <c r="D2854" s="4" t="s">
        <v>4764</v>
      </c>
      <c r="E2854" s="4" t="s">
        <v>5305</v>
      </c>
      <c r="F2854" s="4" t="s">
        <v>5296</v>
      </c>
      <c r="G2854" s="4" t="s">
        <v>5122</v>
      </c>
      <c r="H2854" s="4" t="s">
        <v>2183</v>
      </c>
      <c r="I2854" s="4" t="s">
        <v>2100</v>
      </c>
      <c r="J2854" s="4" t="s">
        <v>2111</v>
      </c>
      <c r="K2854">
        <v>18</v>
      </c>
      <c r="L2854">
        <v>5.49</v>
      </c>
      <c r="M2854">
        <v>25.4</v>
      </c>
      <c r="N2854">
        <v>139.69999999999999</v>
      </c>
      <c r="O2854">
        <v>216.14173228346459</v>
      </c>
      <c r="P2854">
        <v>1</v>
      </c>
      <c r="Q2854">
        <v>5.5</v>
      </c>
      <c r="R2854">
        <v>924.60199999999998</v>
      </c>
      <c r="S2854">
        <v>1.9480606199999997E-2</v>
      </c>
      <c r="T2854" s="4" t="s">
        <v>5297</v>
      </c>
    </row>
    <row r="2855" spans="1:20" x14ac:dyDescent="0.2">
      <c r="A2855" s="4" t="s">
        <v>5118</v>
      </c>
      <c r="B2855" s="4" t="s">
        <v>5294</v>
      </c>
      <c r="C2855" s="4" t="s">
        <v>2286</v>
      </c>
      <c r="D2855" s="4" t="s">
        <v>4764</v>
      </c>
      <c r="E2855" s="4" t="s">
        <v>5306</v>
      </c>
      <c r="F2855" s="4" t="s">
        <v>5296</v>
      </c>
      <c r="G2855" s="4" t="s">
        <v>5122</v>
      </c>
      <c r="H2855" s="4" t="s">
        <v>2183</v>
      </c>
      <c r="I2855" s="4" t="s">
        <v>2100</v>
      </c>
      <c r="J2855" s="4" t="s">
        <v>2111</v>
      </c>
      <c r="K2855">
        <v>4</v>
      </c>
      <c r="L2855">
        <v>1.22</v>
      </c>
      <c r="M2855">
        <v>25.4</v>
      </c>
      <c r="N2855">
        <v>139.69999999999999</v>
      </c>
      <c r="O2855">
        <v>48.031496062992126</v>
      </c>
      <c r="P2855">
        <v>1</v>
      </c>
      <c r="Q2855">
        <v>5.5</v>
      </c>
      <c r="R2855">
        <v>924.60199999999998</v>
      </c>
      <c r="S2855">
        <v>4.3290235999999989E-3</v>
      </c>
      <c r="T2855" s="4" t="s">
        <v>5307</v>
      </c>
    </row>
    <row r="2856" spans="1:20" x14ac:dyDescent="0.2">
      <c r="A2856" s="4" t="s">
        <v>5118</v>
      </c>
      <c r="B2856" s="4" t="s">
        <v>5294</v>
      </c>
      <c r="C2856" s="4" t="s">
        <v>2286</v>
      </c>
      <c r="D2856" s="4" t="s">
        <v>4764</v>
      </c>
      <c r="E2856" s="4" t="s">
        <v>5308</v>
      </c>
      <c r="F2856" s="4" t="s">
        <v>5296</v>
      </c>
      <c r="G2856" s="4" t="s">
        <v>5122</v>
      </c>
      <c r="H2856" s="4" t="s">
        <v>2183</v>
      </c>
      <c r="I2856" s="4" t="s">
        <v>2100</v>
      </c>
      <c r="J2856" s="4" t="s">
        <v>2111</v>
      </c>
      <c r="K2856">
        <v>5</v>
      </c>
      <c r="L2856">
        <v>1.52</v>
      </c>
      <c r="M2856">
        <v>25.4</v>
      </c>
      <c r="N2856">
        <v>139.69999999999999</v>
      </c>
      <c r="O2856">
        <v>59.84251968503937</v>
      </c>
      <c r="P2856">
        <v>1</v>
      </c>
      <c r="Q2856">
        <v>5.5</v>
      </c>
      <c r="R2856">
        <v>924.60199999999998</v>
      </c>
      <c r="S2856">
        <v>5.3935375999999997E-3</v>
      </c>
      <c r="T2856" s="4" t="s">
        <v>5307</v>
      </c>
    </row>
    <row r="2857" spans="1:20" x14ac:dyDescent="0.2">
      <c r="A2857" s="4" t="s">
        <v>5118</v>
      </c>
      <c r="B2857" s="4" t="s">
        <v>5294</v>
      </c>
      <c r="C2857" s="4" t="s">
        <v>2286</v>
      </c>
      <c r="D2857" s="4" t="s">
        <v>4764</v>
      </c>
      <c r="E2857" s="4" t="s">
        <v>5309</v>
      </c>
      <c r="F2857" s="4" t="s">
        <v>5296</v>
      </c>
      <c r="G2857" s="4" t="s">
        <v>5122</v>
      </c>
      <c r="H2857" s="4" t="s">
        <v>2183</v>
      </c>
      <c r="I2857" s="4" t="s">
        <v>2100</v>
      </c>
      <c r="J2857" s="4" t="s">
        <v>2111</v>
      </c>
      <c r="K2857">
        <v>6</v>
      </c>
      <c r="L2857">
        <v>1.83</v>
      </c>
      <c r="M2857">
        <v>25.4</v>
      </c>
      <c r="N2857">
        <v>139.69999999999999</v>
      </c>
      <c r="O2857">
        <v>72.047244094488192</v>
      </c>
      <c r="P2857">
        <v>1</v>
      </c>
      <c r="Q2857">
        <v>5.5</v>
      </c>
      <c r="R2857">
        <v>924.60199999999998</v>
      </c>
      <c r="S2857">
        <v>6.4935354000000001E-3</v>
      </c>
      <c r="T2857" s="4" t="s">
        <v>5307</v>
      </c>
    </row>
    <row r="2858" spans="1:20" x14ac:dyDescent="0.2">
      <c r="A2858" s="4" t="s">
        <v>5118</v>
      </c>
      <c r="B2858" s="4" t="s">
        <v>5294</v>
      </c>
      <c r="C2858" s="4" t="s">
        <v>2286</v>
      </c>
      <c r="D2858" s="4" t="s">
        <v>4764</v>
      </c>
      <c r="E2858" s="4" t="s">
        <v>5310</v>
      </c>
      <c r="F2858" s="4" t="s">
        <v>5296</v>
      </c>
      <c r="G2858" s="4" t="s">
        <v>5122</v>
      </c>
      <c r="H2858" s="4" t="s">
        <v>2183</v>
      </c>
      <c r="I2858" s="4" t="s">
        <v>2100</v>
      </c>
      <c r="J2858" s="4" t="s">
        <v>2111</v>
      </c>
      <c r="K2858">
        <v>7</v>
      </c>
      <c r="L2858">
        <v>2.13</v>
      </c>
      <c r="M2858">
        <v>25.4</v>
      </c>
      <c r="N2858">
        <v>139.69999999999999</v>
      </c>
      <c r="O2858">
        <v>83.858267716535437</v>
      </c>
      <c r="P2858">
        <v>1</v>
      </c>
      <c r="Q2858">
        <v>5.5</v>
      </c>
      <c r="R2858">
        <v>924.60199999999998</v>
      </c>
      <c r="S2858">
        <v>7.5580493999999991E-3</v>
      </c>
      <c r="T2858" s="4" t="s">
        <v>5307</v>
      </c>
    </row>
    <row r="2859" spans="1:20" x14ac:dyDescent="0.2">
      <c r="A2859" s="4" t="s">
        <v>5118</v>
      </c>
      <c r="B2859" s="4" t="s">
        <v>5294</v>
      </c>
      <c r="C2859" s="4" t="s">
        <v>2096</v>
      </c>
      <c r="D2859" s="4" t="s">
        <v>4764</v>
      </c>
      <c r="E2859" s="4" t="s">
        <v>5311</v>
      </c>
      <c r="F2859" s="4" t="s">
        <v>5296</v>
      </c>
      <c r="G2859" s="4" t="s">
        <v>5122</v>
      </c>
      <c r="H2859" s="4" t="s">
        <v>2183</v>
      </c>
      <c r="I2859" s="4" t="s">
        <v>2100</v>
      </c>
      <c r="J2859" s="4" t="s">
        <v>2111</v>
      </c>
      <c r="K2859">
        <v>8</v>
      </c>
      <c r="L2859">
        <v>2.44</v>
      </c>
      <c r="M2859">
        <v>25.4</v>
      </c>
      <c r="N2859">
        <v>139.69999999999999</v>
      </c>
      <c r="O2859">
        <v>96.062992125984252</v>
      </c>
      <c r="P2859">
        <v>1</v>
      </c>
      <c r="Q2859">
        <v>5.5</v>
      </c>
      <c r="R2859">
        <v>924.60199999999998</v>
      </c>
      <c r="S2859">
        <v>8.6580471999999978E-3</v>
      </c>
      <c r="T2859" s="4" t="s">
        <v>5297</v>
      </c>
    </row>
    <row r="2860" spans="1:20" x14ac:dyDescent="0.2">
      <c r="A2860" s="4" t="s">
        <v>5118</v>
      </c>
      <c r="B2860" s="4" t="s">
        <v>5294</v>
      </c>
      <c r="C2860" s="4" t="s">
        <v>2096</v>
      </c>
      <c r="D2860" s="4" t="s">
        <v>4764</v>
      </c>
      <c r="E2860" s="4" t="s">
        <v>5312</v>
      </c>
      <c r="F2860" s="4" t="s">
        <v>5296</v>
      </c>
      <c r="G2860" s="4" t="s">
        <v>5122</v>
      </c>
      <c r="H2860" s="4" t="s">
        <v>2183</v>
      </c>
      <c r="I2860" s="4" t="s">
        <v>2100</v>
      </c>
      <c r="J2860" s="4" t="s">
        <v>2111</v>
      </c>
      <c r="K2860">
        <v>9</v>
      </c>
      <c r="L2860">
        <v>2.74</v>
      </c>
      <c r="M2860">
        <v>25.4</v>
      </c>
      <c r="N2860">
        <v>139.69999999999999</v>
      </c>
      <c r="O2860">
        <v>107.87401574803151</v>
      </c>
      <c r="P2860">
        <v>1</v>
      </c>
      <c r="Q2860">
        <v>5.5</v>
      </c>
      <c r="R2860">
        <v>924.60199999999998</v>
      </c>
      <c r="S2860">
        <v>9.7225612000000003E-3</v>
      </c>
      <c r="T2860" s="4" t="s">
        <v>5297</v>
      </c>
    </row>
    <row r="2861" spans="1:20" x14ac:dyDescent="0.2">
      <c r="A2861" s="4" t="s">
        <v>5118</v>
      </c>
      <c r="B2861" s="4" t="s">
        <v>5119</v>
      </c>
      <c r="C2861" s="4" t="s">
        <v>2096</v>
      </c>
      <c r="D2861" s="4" t="s">
        <v>4764</v>
      </c>
      <c r="E2861" s="4" t="s">
        <v>1387</v>
      </c>
      <c r="F2861" s="4" t="s">
        <v>5313</v>
      </c>
      <c r="G2861" s="4" t="s">
        <v>5122</v>
      </c>
      <c r="H2861" s="4" t="s">
        <v>5314</v>
      </c>
      <c r="I2861" s="4" t="s">
        <v>2100</v>
      </c>
      <c r="J2861" s="4" t="s">
        <v>2153</v>
      </c>
      <c r="K2861">
        <v>10</v>
      </c>
      <c r="L2861">
        <v>3.05</v>
      </c>
      <c r="M2861">
        <v>19.049999999999997</v>
      </c>
      <c r="N2861">
        <v>139.69999999999999</v>
      </c>
      <c r="O2861">
        <v>120.07874015748031</v>
      </c>
      <c r="P2861">
        <v>0.74999999999999989</v>
      </c>
      <c r="Q2861">
        <v>5.5</v>
      </c>
      <c r="R2861">
        <v>1232.8030000000001</v>
      </c>
      <c r="S2861">
        <v>8.1169192499999966E-3</v>
      </c>
      <c r="T2861" s="4" t="s">
        <v>5315</v>
      </c>
    </row>
    <row r="2862" spans="1:20" x14ac:dyDescent="0.2">
      <c r="A2862" s="4" t="s">
        <v>5118</v>
      </c>
      <c r="B2862" s="4" t="s">
        <v>5119</v>
      </c>
      <c r="C2862" s="4" t="s">
        <v>2096</v>
      </c>
      <c r="D2862" s="4" t="s">
        <v>4764</v>
      </c>
      <c r="E2862" s="4" t="s">
        <v>5316</v>
      </c>
      <c r="F2862" s="4" t="s">
        <v>5313</v>
      </c>
      <c r="G2862" s="4" t="s">
        <v>5122</v>
      </c>
      <c r="H2862" s="4" t="s">
        <v>5314</v>
      </c>
      <c r="I2862" s="4" t="s">
        <v>2100</v>
      </c>
      <c r="J2862" s="4" t="s">
        <v>2153</v>
      </c>
      <c r="K2862">
        <v>11</v>
      </c>
      <c r="L2862">
        <v>3.35</v>
      </c>
      <c r="M2862">
        <v>19.049999999999997</v>
      </c>
      <c r="N2862">
        <v>139.69999999999999</v>
      </c>
      <c r="O2862">
        <v>131.88976377952756</v>
      </c>
      <c r="P2862">
        <v>0.74999999999999989</v>
      </c>
      <c r="Q2862">
        <v>5.5</v>
      </c>
      <c r="R2862">
        <v>1232.8030000000001</v>
      </c>
      <c r="S2862">
        <v>8.9153047499999985E-3</v>
      </c>
      <c r="T2862" s="4" t="s">
        <v>5315</v>
      </c>
    </row>
    <row r="2863" spans="1:20" x14ac:dyDescent="0.2">
      <c r="A2863" s="4" t="s">
        <v>5118</v>
      </c>
      <c r="B2863" s="4" t="s">
        <v>5119</v>
      </c>
      <c r="C2863" s="4" t="s">
        <v>2096</v>
      </c>
      <c r="D2863" s="4" t="s">
        <v>4764</v>
      </c>
      <c r="E2863" s="4" t="s">
        <v>5317</v>
      </c>
      <c r="F2863" s="4" t="s">
        <v>5313</v>
      </c>
      <c r="G2863" s="4" t="s">
        <v>5122</v>
      </c>
      <c r="H2863" s="4" t="s">
        <v>5314</v>
      </c>
      <c r="I2863" s="4" t="s">
        <v>2100</v>
      </c>
      <c r="J2863" s="4" t="s">
        <v>2153</v>
      </c>
      <c r="K2863">
        <v>12</v>
      </c>
      <c r="L2863">
        <v>3.66</v>
      </c>
      <c r="M2863">
        <v>19.049999999999997</v>
      </c>
      <c r="N2863">
        <v>139.69999999999999</v>
      </c>
      <c r="O2863">
        <v>144.09448818897638</v>
      </c>
      <c r="P2863">
        <v>0.74999999999999989</v>
      </c>
      <c r="Q2863">
        <v>5.5</v>
      </c>
      <c r="R2863">
        <v>1232.8030000000001</v>
      </c>
      <c r="S2863">
        <v>9.7403030999999984E-3</v>
      </c>
      <c r="T2863" s="4" t="s">
        <v>5315</v>
      </c>
    </row>
    <row r="2864" spans="1:20" x14ac:dyDescent="0.2">
      <c r="A2864" s="4" t="s">
        <v>5118</v>
      </c>
      <c r="B2864" s="4" t="s">
        <v>5119</v>
      </c>
      <c r="C2864" s="4" t="s">
        <v>2096</v>
      </c>
      <c r="D2864" s="4" t="s">
        <v>4764</v>
      </c>
      <c r="E2864" s="4" t="s">
        <v>1389</v>
      </c>
      <c r="F2864" s="4" t="s">
        <v>5313</v>
      </c>
      <c r="G2864" s="4" t="s">
        <v>5122</v>
      </c>
      <c r="H2864" s="4" t="s">
        <v>5314</v>
      </c>
      <c r="I2864" s="4" t="s">
        <v>2100</v>
      </c>
      <c r="J2864" s="4" t="s">
        <v>2153</v>
      </c>
      <c r="K2864">
        <v>13</v>
      </c>
      <c r="L2864">
        <v>3.96</v>
      </c>
      <c r="M2864">
        <v>19.049999999999997</v>
      </c>
      <c r="N2864">
        <v>139.69999999999999</v>
      </c>
      <c r="O2864">
        <v>155.90551181102362</v>
      </c>
      <c r="P2864">
        <v>0.74999999999999989</v>
      </c>
      <c r="Q2864">
        <v>5.5</v>
      </c>
      <c r="R2864">
        <v>1232.8030000000001</v>
      </c>
      <c r="S2864">
        <v>1.0538688599999999E-2</v>
      </c>
      <c r="T2864" s="4" t="s">
        <v>5315</v>
      </c>
    </row>
    <row r="2865" spans="1:20" x14ac:dyDescent="0.2">
      <c r="A2865" s="4" t="s">
        <v>5118</v>
      </c>
      <c r="B2865" s="4" t="s">
        <v>5119</v>
      </c>
      <c r="C2865" s="4" t="s">
        <v>2096</v>
      </c>
      <c r="D2865" s="4" t="s">
        <v>4764</v>
      </c>
      <c r="E2865" s="4" t="s">
        <v>1391</v>
      </c>
      <c r="F2865" s="4" t="s">
        <v>5313</v>
      </c>
      <c r="G2865" s="4" t="s">
        <v>5122</v>
      </c>
      <c r="H2865" s="4" t="s">
        <v>5314</v>
      </c>
      <c r="I2865" s="4" t="s">
        <v>2100</v>
      </c>
      <c r="J2865" s="4" t="s">
        <v>2153</v>
      </c>
      <c r="K2865">
        <v>14</v>
      </c>
      <c r="L2865">
        <v>4.2699999999999996</v>
      </c>
      <c r="M2865">
        <v>19.049999999999997</v>
      </c>
      <c r="N2865">
        <v>139.69999999999999</v>
      </c>
      <c r="O2865">
        <v>168.11023622047244</v>
      </c>
      <c r="P2865">
        <v>0.74999999999999989</v>
      </c>
      <c r="Q2865">
        <v>5.5</v>
      </c>
      <c r="R2865">
        <v>1232.8030000000001</v>
      </c>
      <c r="S2865">
        <v>1.1363686949999995E-2</v>
      </c>
      <c r="T2865" s="4" t="s">
        <v>5315</v>
      </c>
    </row>
    <row r="2866" spans="1:20" x14ac:dyDescent="0.2">
      <c r="A2866" s="4" t="s">
        <v>5118</v>
      </c>
      <c r="B2866" s="4" t="s">
        <v>5119</v>
      </c>
      <c r="C2866" s="4" t="s">
        <v>2096</v>
      </c>
      <c r="D2866" s="4" t="s">
        <v>4764</v>
      </c>
      <c r="E2866" s="4" t="s">
        <v>5318</v>
      </c>
      <c r="F2866" s="4" t="s">
        <v>5313</v>
      </c>
      <c r="G2866" s="4" t="s">
        <v>5122</v>
      </c>
      <c r="H2866" s="4" t="s">
        <v>5314</v>
      </c>
      <c r="I2866" s="4" t="s">
        <v>2100</v>
      </c>
      <c r="J2866" s="4" t="s">
        <v>2153</v>
      </c>
      <c r="K2866">
        <v>15</v>
      </c>
      <c r="L2866">
        <v>4.57</v>
      </c>
      <c r="M2866">
        <v>19.049999999999997</v>
      </c>
      <c r="N2866">
        <v>139.69999999999999</v>
      </c>
      <c r="O2866">
        <v>179.9212598425197</v>
      </c>
      <c r="P2866">
        <v>0.74999999999999989</v>
      </c>
      <c r="Q2866">
        <v>5.5</v>
      </c>
      <c r="R2866">
        <v>1232.8030000000001</v>
      </c>
      <c r="S2866">
        <v>1.2162072449999999E-2</v>
      </c>
      <c r="T2866" s="4" t="s">
        <v>5315</v>
      </c>
    </row>
    <row r="2867" spans="1:20" x14ac:dyDescent="0.2">
      <c r="A2867" s="4" t="s">
        <v>5118</v>
      </c>
      <c r="B2867" s="4" t="s">
        <v>5119</v>
      </c>
      <c r="C2867" s="4" t="s">
        <v>2096</v>
      </c>
      <c r="D2867" s="4" t="s">
        <v>4764</v>
      </c>
      <c r="E2867" s="4" t="s">
        <v>5319</v>
      </c>
      <c r="F2867" s="4" t="s">
        <v>5313</v>
      </c>
      <c r="G2867" s="4" t="s">
        <v>5122</v>
      </c>
      <c r="H2867" s="4" t="s">
        <v>5314</v>
      </c>
      <c r="I2867" s="4" t="s">
        <v>2100</v>
      </c>
      <c r="J2867" s="4" t="s">
        <v>2153</v>
      </c>
      <c r="K2867">
        <v>16</v>
      </c>
      <c r="L2867">
        <v>4.88</v>
      </c>
      <c r="M2867">
        <v>19.049999999999997</v>
      </c>
      <c r="N2867">
        <v>139.69999999999999</v>
      </c>
      <c r="O2867">
        <v>192.1259842519685</v>
      </c>
      <c r="P2867">
        <v>0.74999999999999989</v>
      </c>
      <c r="Q2867">
        <v>5.5</v>
      </c>
      <c r="R2867">
        <v>1232.8030000000001</v>
      </c>
      <c r="S2867">
        <v>1.2987070799999998E-2</v>
      </c>
      <c r="T2867" s="4" t="s">
        <v>5315</v>
      </c>
    </row>
    <row r="2868" spans="1:20" x14ac:dyDescent="0.2">
      <c r="A2868" s="4" t="s">
        <v>5118</v>
      </c>
      <c r="B2868" s="4" t="s">
        <v>5119</v>
      </c>
      <c r="C2868" s="4" t="s">
        <v>2096</v>
      </c>
      <c r="D2868" s="4" t="s">
        <v>4764</v>
      </c>
      <c r="E2868" s="4" t="s">
        <v>1393</v>
      </c>
      <c r="F2868" s="4" t="s">
        <v>5313</v>
      </c>
      <c r="G2868" s="4" t="s">
        <v>5122</v>
      </c>
      <c r="H2868" s="4" t="s">
        <v>5314</v>
      </c>
      <c r="I2868" s="4" t="s">
        <v>2100</v>
      </c>
      <c r="J2868" s="4" t="s">
        <v>2153</v>
      </c>
      <c r="K2868">
        <v>17</v>
      </c>
      <c r="L2868">
        <v>5.18</v>
      </c>
      <c r="M2868">
        <v>19.049999999999997</v>
      </c>
      <c r="N2868">
        <v>139.69999999999999</v>
      </c>
      <c r="O2868">
        <v>203.93700787401573</v>
      </c>
      <c r="P2868">
        <v>0.74999999999999989</v>
      </c>
      <c r="Q2868">
        <v>5.5</v>
      </c>
      <c r="R2868">
        <v>1232.8030000000001</v>
      </c>
      <c r="S2868">
        <v>1.3785456299999995E-2</v>
      </c>
      <c r="T2868" s="4" t="s">
        <v>5315</v>
      </c>
    </row>
    <row r="2869" spans="1:20" x14ac:dyDescent="0.2">
      <c r="A2869" s="4" t="s">
        <v>5118</v>
      </c>
      <c r="B2869" s="4" t="s">
        <v>5119</v>
      </c>
      <c r="C2869" s="4" t="s">
        <v>2096</v>
      </c>
      <c r="D2869" s="4" t="s">
        <v>4764</v>
      </c>
      <c r="E2869" s="4" t="s">
        <v>5320</v>
      </c>
      <c r="F2869" s="4" t="s">
        <v>5313</v>
      </c>
      <c r="G2869" s="4" t="s">
        <v>5122</v>
      </c>
      <c r="H2869" s="4" t="s">
        <v>5314</v>
      </c>
      <c r="I2869" s="4" t="s">
        <v>2100</v>
      </c>
      <c r="J2869" s="4" t="s">
        <v>2153</v>
      </c>
      <c r="K2869">
        <v>18</v>
      </c>
      <c r="L2869">
        <v>5.49</v>
      </c>
      <c r="M2869">
        <v>19.049999999999997</v>
      </c>
      <c r="N2869">
        <v>139.69999999999999</v>
      </c>
      <c r="O2869">
        <v>216.14173228346459</v>
      </c>
      <c r="P2869">
        <v>0.74999999999999989</v>
      </c>
      <c r="Q2869">
        <v>5.5</v>
      </c>
      <c r="R2869">
        <v>1232.8030000000001</v>
      </c>
      <c r="S2869">
        <v>1.4610454649999998E-2</v>
      </c>
      <c r="T2869" s="4" t="s">
        <v>5315</v>
      </c>
    </row>
    <row r="2870" spans="1:20" x14ac:dyDescent="0.2">
      <c r="A2870" s="4" t="s">
        <v>5118</v>
      </c>
      <c r="B2870" s="4" t="s">
        <v>5119</v>
      </c>
      <c r="C2870" s="4" t="s">
        <v>2096</v>
      </c>
      <c r="D2870" s="4" t="s">
        <v>4764</v>
      </c>
      <c r="E2870" s="4" t="s">
        <v>1959</v>
      </c>
      <c r="F2870" s="4" t="s">
        <v>5313</v>
      </c>
      <c r="G2870" s="4" t="s">
        <v>5122</v>
      </c>
      <c r="H2870" s="4" t="s">
        <v>5314</v>
      </c>
      <c r="I2870" s="4" t="s">
        <v>2100</v>
      </c>
      <c r="J2870" s="4" t="s">
        <v>2153</v>
      </c>
      <c r="K2870">
        <v>19</v>
      </c>
      <c r="L2870">
        <v>5.79</v>
      </c>
      <c r="M2870">
        <v>19.049999999999997</v>
      </c>
      <c r="N2870">
        <v>139.69999999999999</v>
      </c>
      <c r="O2870">
        <v>227.95275590551182</v>
      </c>
      <c r="P2870">
        <v>0.74999999999999989</v>
      </c>
      <c r="Q2870">
        <v>5.5</v>
      </c>
      <c r="R2870">
        <v>1232.8030000000001</v>
      </c>
      <c r="S2870">
        <v>1.5408840149999997E-2</v>
      </c>
      <c r="T2870" s="4" t="s">
        <v>5315</v>
      </c>
    </row>
    <row r="2871" spans="1:20" x14ac:dyDescent="0.2">
      <c r="A2871" s="4" t="s">
        <v>5118</v>
      </c>
      <c r="B2871" s="4" t="s">
        <v>5119</v>
      </c>
      <c r="C2871" s="4" t="s">
        <v>2096</v>
      </c>
      <c r="D2871" s="4" t="s">
        <v>4764</v>
      </c>
      <c r="E2871" s="4" t="s">
        <v>5321</v>
      </c>
      <c r="F2871" s="4" t="s">
        <v>5313</v>
      </c>
      <c r="G2871" s="4" t="s">
        <v>5122</v>
      </c>
      <c r="H2871" s="4" t="s">
        <v>5314</v>
      </c>
      <c r="I2871" s="4" t="s">
        <v>2100</v>
      </c>
      <c r="J2871" s="4" t="s">
        <v>2153</v>
      </c>
      <c r="K2871">
        <v>4</v>
      </c>
      <c r="L2871">
        <v>1.22</v>
      </c>
      <c r="M2871">
        <v>19.049999999999997</v>
      </c>
      <c r="N2871">
        <v>139.69999999999999</v>
      </c>
      <c r="O2871">
        <v>48.031496062992126</v>
      </c>
      <c r="P2871">
        <v>0.74999999999999989</v>
      </c>
      <c r="Q2871">
        <v>5.5</v>
      </c>
      <c r="R2871">
        <v>1232.8030000000001</v>
      </c>
      <c r="S2871">
        <v>3.2467676999999996E-3</v>
      </c>
      <c r="T2871" s="4" t="s">
        <v>5315</v>
      </c>
    </row>
    <row r="2872" spans="1:20" x14ac:dyDescent="0.2">
      <c r="A2872" s="4" t="s">
        <v>5118</v>
      </c>
      <c r="B2872" s="4" t="s">
        <v>5119</v>
      </c>
      <c r="C2872" s="4" t="s">
        <v>2096</v>
      </c>
      <c r="D2872" s="4" t="s">
        <v>4764</v>
      </c>
      <c r="E2872" s="4" t="s">
        <v>5322</v>
      </c>
      <c r="F2872" s="4" t="s">
        <v>5313</v>
      </c>
      <c r="G2872" s="4" t="s">
        <v>5122</v>
      </c>
      <c r="H2872" s="4" t="s">
        <v>5314</v>
      </c>
      <c r="I2872" s="4" t="s">
        <v>2100</v>
      </c>
      <c r="J2872" s="4" t="s">
        <v>2153</v>
      </c>
      <c r="K2872">
        <v>5</v>
      </c>
      <c r="L2872">
        <v>1.52</v>
      </c>
      <c r="M2872">
        <v>19.049999999999997</v>
      </c>
      <c r="N2872">
        <v>139.69999999999999</v>
      </c>
      <c r="O2872">
        <v>59.84251968503937</v>
      </c>
      <c r="P2872">
        <v>0.74999999999999989</v>
      </c>
      <c r="Q2872">
        <v>5.5</v>
      </c>
      <c r="R2872">
        <v>1232.8030000000001</v>
      </c>
      <c r="S2872">
        <v>4.0451531999999985E-3</v>
      </c>
      <c r="T2872" s="4" t="s">
        <v>5315</v>
      </c>
    </row>
    <row r="2873" spans="1:20" x14ac:dyDescent="0.2">
      <c r="A2873" s="4" t="s">
        <v>5118</v>
      </c>
      <c r="B2873" s="4" t="s">
        <v>5119</v>
      </c>
      <c r="C2873" s="4" t="s">
        <v>2096</v>
      </c>
      <c r="D2873" s="4" t="s">
        <v>4764</v>
      </c>
      <c r="E2873" s="4" t="s">
        <v>5323</v>
      </c>
      <c r="F2873" s="4" t="s">
        <v>5313</v>
      </c>
      <c r="G2873" s="4" t="s">
        <v>5122</v>
      </c>
      <c r="H2873" s="4" t="s">
        <v>5314</v>
      </c>
      <c r="I2873" s="4" t="s">
        <v>2100</v>
      </c>
      <c r="J2873" s="4" t="s">
        <v>2153</v>
      </c>
      <c r="K2873">
        <v>6</v>
      </c>
      <c r="L2873">
        <v>1.83</v>
      </c>
      <c r="M2873">
        <v>19.049999999999997</v>
      </c>
      <c r="N2873">
        <v>139.69999999999999</v>
      </c>
      <c r="O2873">
        <v>72.047244094488192</v>
      </c>
      <c r="P2873">
        <v>0.74999999999999989</v>
      </c>
      <c r="Q2873">
        <v>5.5</v>
      </c>
      <c r="R2873">
        <v>1232.8030000000001</v>
      </c>
      <c r="S2873">
        <v>4.8701515499999992E-3</v>
      </c>
      <c r="T2873" s="4" t="s">
        <v>5315</v>
      </c>
    </row>
    <row r="2874" spans="1:20" x14ac:dyDescent="0.2">
      <c r="A2874" s="4" t="s">
        <v>5118</v>
      </c>
      <c r="B2874" s="4" t="s">
        <v>5119</v>
      </c>
      <c r="C2874" s="4" t="s">
        <v>2096</v>
      </c>
      <c r="D2874" s="4" t="s">
        <v>4764</v>
      </c>
      <c r="E2874" s="4" t="s">
        <v>5324</v>
      </c>
      <c r="F2874" s="4" t="s">
        <v>5313</v>
      </c>
      <c r="G2874" s="4" t="s">
        <v>5122</v>
      </c>
      <c r="H2874" s="4" t="s">
        <v>5314</v>
      </c>
      <c r="I2874" s="4" t="s">
        <v>2100</v>
      </c>
      <c r="J2874" s="4" t="s">
        <v>2153</v>
      </c>
      <c r="K2874">
        <v>7</v>
      </c>
      <c r="L2874">
        <v>2.13</v>
      </c>
      <c r="M2874">
        <v>19.049999999999997</v>
      </c>
      <c r="N2874">
        <v>139.69999999999999</v>
      </c>
      <c r="O2874">
        <v>83.858267716535437</v>
      </c>
      <c r="P2874">
        <v>0.74999999999999989</v>
      </c>
      <c r="Q2874">
        <v>5.5</v>
      </c>
      <c r="R2874">
        <v>1232.8030000000001</v>
      </c>
      <c r="S2874">
        <v>5.6685370499999976E-3</v>
      </c>
      <c r="T2874" s="4" t="s">
        <v>5315</v>
      </c>
    </row>
    <row r="2875" spans="1:20" x14ac:dyDescent="0.2">
      <c r="A2875" s="4" t="s">
        <v>5118</v>
      </c>
      <c r="B2875" s="4" t="s">
        <v>5119</v>
      </c>
      <c r="C2875" s="4" t="s">
        <v>2096</v>
      </c>
      <c r="D2875" s="4" t="s">
        <v>4764</v>
      </c>
      <c r="E2875" s="4" t="s">
        <v>1395</v>
      </c>
      <c r="F2875" s="4" t="s">
        <v>5313</v>
      </c>
      <c r="G2875" s="4" t="s">
        <v>5122</v>
      </c>
      <c r="H2875" s="4" t="s">
        <v>5314</v>
      </c>
      <c r="I2875" s="4" t="s">
        <v>2100</v>
      </c>
      <c r="J2875" s="4" t="s">
        <v>2153</v>
      </c>
      <c r="K2875">
        <v>8</v>
      </c>
      <c r="L2875">
        <v>2.44</v>
      </c>
      <c r="M2875">
        <v>19.049999999999997</v>
      </c>
      <c r="N2875">
        <v>139.69999999999999</v>
      </c>
      <c r="O2875">
        <v>96.062992125984252</v>
      </c>
      <c r="P2875">
        <v>0.74999999999999989</v>
      </c>
      <c r="Q2875">
        <v>5.5</v>
      </c>
      <c r="R2875">
        <v>1232.8030000000001</v>
      </c>
      <c r="S2875">
        <v>6.4935353999999992E-3</v>
      </c>
      <c r="T2875" s="4" t="s">
        <v>5315</v>
      </c>
    </row>
    <row r="2876" spans="1:20" x14ac:dyDescent="0.2">
      <c r="A2876" s="4" t="s">
        <v>5118</v>
      </c>
      <c r="B2876" s="4" t="s">
        <v>5119</v>
      </c>
      <c r="C2876" s="4" t="s">
        <v>2096</v>
      </c>
      <c r="D2876" s="4" t="s">
        <v>4764</v>
      </c>
      <c r="E2876" s="4" t="s">
        <v>5325</v>
      </c>
      <c r="F2876" s="4" t="s">
        <v>5313</v>
      </c>
      <c r="G2876" s="4" t="s">
        <v>5122</v>
      </c>
      <c r="H2876" s="4" t="s">
        <v>5314</v>
      </c>
      <c r="I2876" s="4" t="s">
        <v>2100</v>
      </c>
      <c r="J2876" s="4" t="s">
        <v>2153</v>
      </c>
      <c r="K2876">
        <v>9</v>
      </c>
      <c r="L2876">
        <v>2.74</v>
      </c>
      <c r="M2876">
        <v>19.049999999999997</v>
      </c>
      <c r="N2876">
        <v>139.69999999999999</v>
      </c>
      <c r="O2876">
        <v>107.87401574803151</v>
      </c>
      <c r="P2876">
        <v>0.74999999999999989</v>
      </c>
      <c r="Q2876">
        <v>5.5</v>
      </c>
      <c r="R2876">
        <v>1232.8030000000001</v>
      </c>
      <c r="S2876">
        <v>7.2919208999999985E-3</v>
      </c>
      <c r="T2876" s="4" t="s">
        <v>5315</v>
      </c>
    </row>
    <row r="2877" spans="1:20" x14ac:dyDescent="0.2">
      <c r="A2877" s="4" t="s">
        <v>5118</v>
      </c>
      <c r="B2877" s="4" t="s">
        <v>5119</v>
      </c>
      <c r="C2877" s="4" t="s">
        <v>2096</v>
      </c>
      <c r="D2877" s="4" t="s">
        <v>4764</v>
      </c>
      <c r="E2877" s="4" t="s">
        <v>1375</v>
      </c>
      <c r="F2877" s="4" t="s">
        <v>5326</v>
      </c>
      <c r="G2877" s="4" t="s">
        <v>5122</v>
      </c>
      <c r="H2877" s="4" t="s">
        <v>5103</v>
      </c>
      <c r="I2877" s="4" t="s">
        <v>2100</v>
      </c>
      <c r="J2877" s="4" t="s">
        <v>2153</v>
      </c>
      <c r="K2877">
        <v>10</v>
      </c>
      <c r="L2877">
        <v>3.05</v>
      </c>
      <c r="M2877">
        <v>19.049999999999997</v>
      </c>
      <c r="N2877">
        <v>139.69999999999999</v>
      </c>
      <c r="O2877">
        <v>120.07874015748031</v>
      </c>
      <c r="P2877">
        <v>0.74999999999999989</v>
      </c>
      <c r="Q2877">
        <v>5.5</v>
      </c>
      <c r="R2877">
        <v>1232.8030000000001</v>
      </c>
      <c r="S2877">
        <v>8.1169192499999966E-3</v>
      </c>
      <c r="T2877" s="4" t="s">
        <v>5327</v>
      </c>
    </row>
    <row r="2878" spans="1:20" x14ac:dyDescent="0.2">
      <c r="A2878" s="4" t="s">
        <v>5118</v>
      </c>
      <c r="B2878" s="4" t="s">
        <v>5119</v>
      </c>
      <c r="C2878" s="4" t="s">
        <v>2096</v>
      </c>
      <c r="D2878" s="4" t="s">
        <v>4764</v>
      </c>
      <c r="E2878" s="4" t="s">
        <v>5328</v>
      </c>
      <c r="F2878" s="4" t="s">
        <v>5326</v>
      </c>
      <c r="G2878" s="4" t="s">
        <v>5122</v>
      </c>
      <c r="H2878" s="4" t="s">
        <v>5103</v>
      </c>
      <c r="I2878" s="4" t="s">
        <v>2100</v>
      </c>
      <c r="J2878" s="4" t="s">
        <v>2153</v>
      </c>
      <c r="K2878">
        <v>11</v>
      </c>
      <c r="L2878">
        <v>3.35</v>
      </c>
      <c r="M2878">
        <v>19.049999999999997</v>
      </c>
      <c r="N2878">
        <v>139.69999999999999</v>
      </c>
      <c r="O2878">
        <v>131.88976377952756</v>
      </c>
      <c r="P2878">
        <v>0.74999999999999989</v>
      </c>
      <c r="Q2878">
        <v>5.5</v>
      </c>
      <c r="R2878">
        <v>1232.8030000000001</v>
      </c>
      <c r="S2878">
        <v>8.9153047499999985E-3</v>
      </c>
      <c r="T2878" s="4" t="s">
        <v>5327</v>
      </c>
    </row>
    <row r="2879" spans="1:20" x14ac:dyDescent="0.2">
      <c r="A2879" s="4" t="s">
        <v>5118</v>
      </c>
      <c r="B2879" s="4" t="s">
        <v>5119</v>
      </c>
      <c r="C2879" s="4" t="s">
        <v>2096</v>
      </c>
      <c r="D2879" s="4" t="s">
        <v>4764</v>
      </c>
      <c r="E2879" s="4" t="s">
        <v>1377</v>
      </c>
      <c r="F2879" s="4" t="s">
        <v>5326</v>
      </c>
      <c r="G2879" s="4" t="s">
        <v>5122</v>
      </c>
      <c r="H2879" s="4" t="s">
        <v>5103</v>
      </c>
      <c r="I2879" s="4" t="s">
        <v>2100</v>
      </c>
      <c r="J2879" s="4" t="s">
        <v>2153</v>
      </c>
      <c r="K2879">
        <v>12</v>
      </c>
      <c r="L2879">
        <v>3.66</v>
      </c>
      <c r="M2879">
        <v>19.049999999999997</v>
      </c>
      <c r="N2879">
        <v>139.69999999999999</v>
      </c>
      <c r="O2879">
        <v>144.09448818897638</v>
      </c>
      <c r="P2879">
        <v>0.74999999999999989</v>
      </c>
      <c r="Q2879">
        <v>5.5</v>
      </c>
      <c r="R2879">
        <v>1232.8030000000001</v>
      </c>
      <c r="S2879">
        <v>9.7403030999999984E-3</v>
      </c>
      <c r="T2879" s="4" t="s">
        <v>5327</v>
      </c>
    </row>
    <row r="2880" spans="1:20" x14ac:dyDescent="0.2">
      <c r="A2880" s="4" t="s">
        <v>5118</v>
      </c>
      <c r="B2880" s="4" t="s">
        <v>5119</v>
      </c>
      <c r="C2880" s="4" t="s">
        <v>2096</v>
      </c>
      <c r="D2880" s="4" t="s">
        <v>4764</v>
      </c>
      <c r="E2880" s="4" t="s">
        <v>5329</v>
      </c>
      <c r="F2880" s="4" t="s">
        <v>5326</v>
      </c>
      <c r="G2880" s="4" t="s">
        <v>5122</v>
      </c>
      <c r="H2880" s="4" t="s">
        <v>5103</v>
      </c>
      <c r="I2880" s="4" t="s">
        <v>2100</v>
      </c>
      <c r="J2880" s="4" t="s">
        <v>2153</v>
      </c>
      <c r="K2880">
        <v>13</v>
      </c>
      <c r="L2880">
        <v>3.96</v>
      </c>
      <c r="M2880">
        <v>19.049999999999997</v>
      </c>
      <c r="N2880">
        <v>139.69999999999999</v>
      </c>
      <c r="O2880">
        <v>155.90551181102362</v>
      </c>
      <c r="P2880">
        <v>0.74999999999999989</v>
      </c>
      <c r="Q2880">
        <v>5.5</v>
      </c>
      <c r="R2880">
        <v>1232.8030000000001</v>
      </c>
      <c r="S2880">
        <v>1.0538688599999999E-2</v>
      </c>
      <c r="T2880" s="4" t="s">
        <v>5327</v>
      </c>
    </row>
    <row r="2881" spans="1:20" x14ac:dyDescent="0.2">
      <c r="A2881" s="4" t="s">
        <v>5118</v>
      </c>
      <c r="B2881" s="4" t="s">
        <v>5119</v>
      </c>
      <c r="C2881" s="4" t="s">
        <v>2096</v>
      </c>
      <c r="D2881" s="4" t="s">
        <v>4764</v>
      </c>
      <c r="E2881" s="4" t="s">
        <v>5330</v>
      </c>
      <c r="F2881" s="4" t="s">
        <v>5326</v>
      </c>
      <c r="G2881" s="4" t="s">
        <v>5122</v>
      </c>
      <c r="H2881" s="4" t="s">
        <v>5103</v>
      </c>
      <c r="I2881" s="4" t="s">
        <v>2100</v>
      </c>
      <c r="J2881" s="4" t="s">
        <v>2153</v>
      </c>
      <c r="K2881">
        <v>14</v>
      </c>
      <c r="L2881">
        <v>4.2699999999999996</v>
      </c>
      <c r="M2881">
        <v>19.049999999999997</v>
      </c>
      <c r="N2881">
        <v>139.69999999999999</v>
      </c>
      <c r="O2881">
        <v>168.11023622047244</v>
      </c>
      <c r="P2881">
        <v>0.74999999999999989</v>
      </c>
      <c r="Q2881">
        <v>5.5</v>
      </c>
      <c r="R2881">
        <v>1232.8030000000001</v>
      </c>
      <c r="S2881">
        <v>1.1363686949999995E-2</v>
      </c>
      <c r="T2881" s="4" t="s">
        <v>5327</v>
      </c>
    </row>
    <row r="2882" spans="1:20" x14ac:dyDescent="0.2">
      <c r="A2882" s="4" t="s">
        <v>5118</v>
      </c>
      <c r="B2882" s="4" t="s">
        <v>5119</v>
      </c>
      <c r="C2882" s="4" t="s">
        <v>2096</v>
      </c>
      <c r="D2882" s="4" t="s">
        <v>4764</v>
      </c>
      <c r="E2882" s="4" t="s">
        <v>1379</v>
      </c>
      <c r="F2882" s="4" t="s">
        <v>5326</v>
      </c>
      <c r="G2882" s="4" t="s">
        <v>5122</v>
      </c>
      <c r="H2882" s="4" t="s">
        <v>5103</v>
      </c>
      <c r="I2882" s="4" t="s">
        <v>2100</v>
      </c>
      <c r="J2882" s="4" t="s">
        <v>2153</v>
      </c>
      <c r="K2882">
        <v>15</v>
      </c>
      <c r="L2882">
        <v>4.57</v>
      </c>
      <c r="M2882">
        <v>19.049999999999997</v>
      </c>
      <c r="N2882">
        <v>139.69999999999999</v>
      </c>
      <c r="O2882">
        <v>179.9212598425197</v>
      </c>
      <c r="P2882">
        <v>0.74999999999999989</v>
      </c>
      <c r="Q2882">
        <v>5.5</v>
      </c>
      <c r="R2882">
        <v>1232.8030000000001</v>
      </c>
      <c r="S2882">
        <v>1.2162072449999999E-2</v>
      </c>
      <c r="T2882" s="4" t="s">
        <v>5327</v>
      </c>
    </row>
    <row r="2883" spans="1:20" x14ac:dyDescent="0.2">
      <c r="A2883" s="4" t="s">
        <v>5118</v>
      </c>
      <c r="B2883" s="4" t="s">
        <v>5119</v>
      </c>
      <c r="C2883" s="4" t="s">
        <v>2096</v>
      </c>
      <c r="D2883" s="4" t="s">
        <v>4764</v>
      </c>
      <c r="E2883" s="4" t="s">
        <v>5331</v>
      </c>
      <c r="F2883" s="4" t="s">
        <v>5326</v>
      </c>
      <c r="G2883" s="4" t="s">
        <v>5122</v>
      </c>
      <c r="H2883" s="4" t="s">
        <v>5103</v>
      </c>
      <c r="I2883" s="4" t="s">
        <v>2100</v>
      </c>
      <c r="J2883" s="4" t="s">
        <v>2153</v>
      </c>
      <c r="K2883">
        <v>16</v>
      </c>
      <c r="L2883">
        <v>4.88</v>
      </c>
      <c r="M2883">
        <v>19.049999999999997</v>
      </c>
      <c r="N2883">
        <v>139.69999999999999</v>
      </c>
      <c r="O2883">
        <v>192.1259842519685</v>
      </c>
      <c r="P2883">
        <v>0.74999999999999989</v>
      </c>
      <c r="Q2883">
        <v>5.5</v>
      </c>
      <c r="R2883">
        <v>1232.8030000000001</v>
      </c>
      <c r="S2883">
        <v>1.2987070799999998E-2</v>
      </c>
      <c r="T2883" s="4" t="s">
        <v>5327</v>
      </c>
    </row>
    <row r="2884" spans="1:20" x14ac:dyDescent="0.2">
      <c r="A2884" s="4" t="s">
        <v>5118</v>
      </c>
      <c r="B2884" s="4" t="s">
        <v>5119</v>
      </c>
      <c r="C2884" s="4" t="s">
        <v>2096</v>
      </c>
      <c r="D2884" s="4" t="s">
        <v>4764</v>
      </c>
      <c r="E2884" s="4" t="s">
        <v>5332</v>
      </c>
      <c r="F2884" s="4" t="s">
        <v>5326</v>
      </c>
      <c r="G2884" s="4" t="s">
        <v>5122</v>
      </c>
      <c r="H2884" s="4" t="s">
        <v>5103</v>
      </c>
      <c r="I2884" s="4" t="s">
        <v>2100</v>
      </c>
      <c r="J2884" s="4" t="s">
        <v>2153</v>
      </c>
      <c r="K2884">
        <v>17</v>
      </c>
      <c r="L2884">
        <v>5.18</v>
      </c>
      <c r="M2884">
        <v>19.049999999999997</v>
      </c>
      <c r="N2884">
        <v>139.69999999999999</v>
      </c>
      <c r="O2884">
        <v>203.93700787401573</v>
      </c>
      <c r="P2884">
        <v>0.74999999999999989</v>
      </c>
      <c r="Q2884">
        <v>5.5</v>
      </c>
      <c r="R2884">
        <v>1232.8030000000001</v>
      </c>
      <c r="S2884">
        <v>1.3785456299999995E-2</v>
      </c>
      <c r="T2884" s="4" t="s">
        <v>5327</v>
      </c>
    </row>
    <row r="2885" spans="1:20" x14ac:dyDescent="0.2">
      <c r="A2885" s="4" t="s">
        <v>5118</v>
      </c>
      <c r="B2885" s="4" t="s">
        <v>5119</v>
      </c>
      <c r="C2885" s="4" t="s">
        <v>2096</v>
      </c>
      <c r="D2885" s="4" t="s">
        <v>4764</v>
      </c>
      <c r="E2885" s="4" t="s">
        <v>5333</v>
      </c>
      <c r="F2885" s="4" t="s">
        <v>5326</v>
      </c>
      <c r="G2885" s="4" t="s">
        <v>5122</v>
      </c>
      <c r="H2885" s="4" t="s">
        <v>5103</v>
      </c>
      <c r="I2885" s="4" t="s">
        <v>2100</v>
      </c>
      <c r="J2885" s="4" t="s">
        <v>2153</v>
      </c>
      <c r="K2885">
        <v>18</v>
      </c>
      <c r="L2885">
        <v>5.49</v>
      </c>
      <c r="M2885">
        <v>19.049999999999997</v>
      </c>
      <c r="N2885">
        <v>139.69999999999999</v>
      </c>
      <c r="O2885">
        <v>216.14173228346459</v>
      </c>
      <c r="P2885">
        <v>0.74999999999999989</v>
      </c>
      <c r="Q2885">
        <v>5.5</v>
      </c>
      <c r="R2885">
        <v>1232.8030000000001</v>
      </c>
      <c r="S2885">
        <v>1.4610454649999998E-2</v>
      </c>
      <c r="T2885" s="4" t="s">
        <v>5327</v>
      </c>
    </row>
    <row r="2886" spans="1:20" x14ac:dyDescent="0.2">
      <c r="A2886" s="4" t="s">
        <v>5118</v>
      </c>
      <c r="B2886" s="4" t="s">
        <v>5119</v>
      </c>
      <c r="C2886" s="4" t="s">
        <v>2096</v>
      </c>
      <c r="D2886" s="4" t="s">
        <v>4764</v>
      </c>
      <c r="E2886" s="4" t="s">
        <v>5334</v>
      </c>
      <c r="F2886" s="4" t="s">
        <v>5326</v>
      </c>
      <c r="G2886" s="4" t="s">
        <v>5122</v>
      </c>
      <c r="H2886" s="4" t="s">
        <v>5103</v>
      </c>
      <c r="I2886" s="4" t="s">
        <v>2100</v>
      </c>
      <c r="J2886" s="4" t="s">
        <v>2153</v>
      </c>
      <c r="K2886">
        <v>19</v>
      </c>
      <c r="L2886">
        <v>5.79</v>
      </c>
      <c r="M2886">
        <v>19.049999999999997</v>
      </c>
      <c r="N2886">
        <v>139.69999999999999</v>
      </c>
      <c r="O2886">
        <v>227.95275590551182</v>
      </c>
      <c r="P2886">
        <v>0.74999999999999989</v>
      </c>
      <c r="Q2886">
        <v>5.5</v>
      </c>
      <c r="R2886">
        <v>1232.8030000000001</v>
      </c>
      <c r="S2886">
        <v>1.5408840149999997E-2</v>
      </c>
      <c r="T2886" s="4" t="s">
        <v>5327</v>
      </c>
    </row>
    <row r="2887" spans="1:20" x14ac:dyDescent="0.2">
      <c r="A2887" s="4" t="s">
        <v>5118</v>
      </c>
      <c r="B2887" s="4" t="s">
        <v>5119</v>
      </c>
      <c r="C2887" s="4" t="s">
        <v>2286</v>
      </c>
      <c r="D2887" s="4" t="s">
        <v>4764</v>
      </c>
      <c r="E2887" s="4" t="s">
        <v>5335</v>
      </c>
      <c r="F2887" s="4" t="s">
        <v>5326</v>
      </c>
      <c r="G2887" s="4" t="s">
        <v>5122</v>
      </c>
      <c r="H2887" s="4" t="s">
        <v>5103</v>
      </c>
      <c r="I2887" s="4" t="s">
        <v>2100</v>
      </c>
      <c r="J2887" s="4" t="s">
        <v>2153</v>
      </c>
      <c r="K2887">
        <v>4</v>
      </c>
      <c r="L2887">
        <v>1.22</v>
      </c>
      <c r="M2887">
        <v>19.049999999999997</v>
      </c>
      <c r="N2887">
        <v>139.69999999999999</v>
      </c>
      <c r="O2887">
        <v>48.031496062992126</v>
      </c>
      <c r="P2887">
        <v>0.74999999999999989</v>
      </c>
      <c r="Q2887">
        <v>5.5</v>
      </c>
      <c r="R2887">
        <v>1232.8030000000001</v>
      </c>
      <c r="S2887">
        <v>3.2467676999999996E-3</v>
      </c>
      <c r="T2887" s="4" t="s">
        <v>5336</v>
      </c>
    </row>
    <row r="2888" spans="1:20" x14ac:dyDescent="0.2">
      <c r="A2888" s="4" t="s">
        <v>5118</v>
      </c>
      <c r="B2888" s="4" t="s">
        <v>5119</v>
      </c>
      <c r="C2888" s="4" t="s">
        <v>2286</v>
      </c>
      <c r="D2888" s="4" t="s">
        <v>4764</v>
      </c>
      <c r="E2888" s="4" t="s">
        <v>5337</v>
      </c>
      <c r="F2888" s="4" t="s">
        <v>5326</v>
      </c>
      <c r="G2888" s="4" t="s">
        <v>5122</v>
      </c>
      <c r="H2888" s="4" t="s">
        <v>5103</v>
      </c>
      <c r="I2888" s="4" t="s">
        <v>2100</v>
      </c>
      <c r="J2888" s="4" t="s">
        <v>2153</v>
      </c>
      <c r="K2888">
        <v>5</v>
      </c>
      <c r="L2888">
        <v>1.52</v>
      </c>
      <c r="M2888">
        <v>19.049999999999997</v>
      </c>
      <c r="N2888">
        <v>139.69999999999999</v>
      </c>
      <c r="O2888">
        <v>59.84251968503937</v>
      </c>
      <c r="P2888">
        <v>0.74999999999999989</v>
      </c>
      <c r="Q2888">
        <v>5.5</v>
      </c>
      <c r="R2888">
        <v>1232.8030000000001</v>
      </c>
      <c r="S2888">
        <v>4.0451531999999985E-3</v>
      </c>
      <c r="T2888" s="4" t="s">
        <v>5336</v>
      </c>
    </row>
    <row r="2889" spans="1:20" x14ac:dyDescent="0.2">
      <c r="A2889" s="4" t="s">
        <v>5118</v>
      </c>
      <c r="B2889" s="4" t="s">
        <v>5119</v>
      </c>
      <c r="C2889" s="4" t="s">
        <v>2286</v>
      </c>
      <c r="D2889" s="4" t="s">
        <v>4764</v>
      </c>
      <c r="E2889" s="4" t="s">
        <v>1381</v>
      </c>
      <c r="F2889" s="4" t="s">
        <v>5326</v>
      </c>
      <c r="G2889" s="4" t="s">
        <v>5122</v>
      </c>
      <c r="H2889" s="4" t="s">
        <v>5103</v>
      </c>
      <c r="I2889" s="4" t="s">
        <v>2100</v>
      </c>
      <c r="J2889" s="4" t="s">
        <v>2153</v>
      </c>
      <c r="K2889">
        <v>6</v>
      </c>
      <c r="L2889">
        <v>1.83</v>
      </c>
      <c r="M2889">
        <v>19.049999999999997</v>
      </c>
      <c r="N2889">
        <v>139.69999999999999</v>
      </c>
      <c r="O2889">
        <v>72.047244094488192</v>
      </c>
      <c r="P2889">
        <v>0.74999999999999989</v>
      </c>
      <c r="Q2889">
        <v>5.5</v>
      </c>
      <c r="R2889">
        <v>1232.8030000000001</v>
      </c>
      <c r="S2889">
        <v>4.8701515499999992E-3</v>
      </c>
      <c r="T2889" s="4" t="s">
        <v>5336</v>
      </c>
    </row>
    <row r="2890" spans="1:20" x14ac:dyDescent="0.2">
      <c r="A2890" s="4" t="s">
        <v>5118</v>
      </c>
      <c r="B2890" s="4" t="s">
        <v>5119</v>
      </c>
      <c r="C2890" s="4" t="s">
        <v>2286</v>
      </c>
      <c r="D2890" s="4" t="s">
        <v>4764</v>
      </c>
      <c r="E2890" s="4" t="s">
        <v>1383</v>
      </c>
      <c r="F2890" s="4" t="s">
        <v>5326</v>
      </c>
      <c r="G2890" s="4" t="s">
        <v>5122</v>
      </c>
      <c r="H2890" s="4" t="s">
        <v>5103</v>
      </c>
      <c r="I2890" s="4" t="s">
        <v>2100</v>
      </c>
      <c r="J2890" s="4" t="s">
        <v>2153</v>
      </c>
      <c r="K2890">
        <v>7</v>
      </c>
      <c r="L2890">
        <v>2.13</v>
      </c>
      <c r="M2890">
        <v>19.049999999999997</v>
      </c>
      <c r="N2890">
        <v>139.69999999999999</v>
      </c>
      <c r="O2890">
        <v>83.858267716535437</v>
      </c>
      <c r="P2890">
        <v>0.74999999999999989</v>
      </c>
      <c r="Q2890">
        <v>5.5</v>
      </c>
      <c r="R2890">
        <v>1232.8030000000001</v>
      </c>
      <c r="S2890">
        <v>5.6685370499999976E-3</v>
      </c>
      <c r="T2890" s="4" t="s">
        <v>5336</v>
      </c>
    </row>
    <row r="2891" spans="1:20" x14ac:dyDescent="0.2">
      <c r="A2891" s="4" t="s">
        <v>5118</v>
      </c>
      <c r="B2891" s="4" t="s">
        <v>5119</v>
      </c>
      <c r="C2891" s="4" t="s">
        <v>2096</v>
      </c>
      <c r="D2891" s="4" t="s">
        <v>4764</v>
      </c>
      <c r="E2891" s="4" t="s">
        <v>1385</v>
      </c>
      <c r="F2891" s="4" t="s">
        <v>5326</v>
      </c>
      <c r="G2891" s="4" t="s">
        <v>5122</v>
      </c>
      <c r="H2891" s="4" t="s">
        <v>5103</v>
      </c>
      <c r="I2891" s="4" t="s">
        <v>2100</v>
      </c>
      <c r="J2891" s="4" t="s">
        <v>2153</v>
      </c>
      <c r="K2891">
        <v>8</v>
      </c>
      <c r="L2891">
        <v>2.44</v>
      </c>
      <c r="M2891">
        <v>19.049999999999997</v>
      </c>
      <c r="N2891">
        <v>139.69999999999999</v>
      </c>
      <c r="O2891">
        <v>96.062992125984252</v>
      </c>
      <c r="P2891">
        <v>0.74999999999999989</v>
      </c>
      <c r="Q2891">
        <v>5.5</v>
      </c>
      <c r="R2891">
        <v>1232.8030000000001</v>
      </c>
      <c r="S2891">
        <v>6.4935353999999992E-3</v>
      </c>
      <c r="T2891" s="4" t="s">
        <v>5327</v>
      </c>
    </row>
    <row r="2892" spans="1:20" x14ac:dyDescent="0.2">
      <c r="A2892" s="4" t="s">
        <v>5118</v>
      </c>
      <c r="B2892" s="4" t="s">
        <v>5119</v>
      </c>
      <c r="C2892" s="4" t="s">
        <v>2096</v>
      </c>
      <c r="D2892" s="4" t="s">
        <v>4764</v>
      </c>
      <c r="E2892" s="4" t="s">
        <v>5338</v>
      </c>
      <c r="F2892" s="4" t="s">
        <v>5326</v>
      </c>
      <c r="G2892" s="4" t="s">
        <v>5122</v>
      </c>
      <c r="H2892" s="4" t="s">
        <v>5103</v>
      </c>
      <c r="I2892" s="4" t="s">
        <v>2100</v>
      </c>
      <c r="J2892" s="4" t="s">
        <v>2153</v>
      </c>
      <c r="K2892">
        <v>9</v>
      </c>
      <c r="L2892">
        <v>2.74</v>
      </c>
      <c r="M2892">
        <v>19.049999999999997</v>
      </c>
      <c r="N2892">
        <v>139.69999999999999</v>
      </c>
      <c r="O2892">
        <v>107.87401574803151</v>
      </c>
      <c r="P2892">
        <v>0.74999999999999989</v>
      </c>
      <c r="Q2892">
        <v>5.5</v>
      </c>
      <c r="R2892">
        <v>1232.8030000000001</v>
      </c>
      <c r="S2892">
        <v>7.2919208999999985E-3</v>
      </c>
      <c r="T2892" s="4" t="s">
        <v>5327</v>
      </c>
    </row>
    <row r="2893" spans="1:20" x14ac:dyDescent="0.2">
      <c r="A2893" s="4" t="s">
        <v>4793</v>
      </c>
      <c r="B2893" s="4" t="s">
        <v>5339</v>
      </c>
      <c r="C2893" s="4" t="s">
        <v>2096</v>
      </c>
      <c r="D2893" s="4" t="s">
        <v>4764</v>
      </c>
      <c r="E2893" s="4" t="s">
        <v>1517</v>
      </c>
      <c r="F2893" s="4" t="s">
        <v>5340</v>
      </c>
      <c r="G2893" s="4" t="s">
        <v>4981</v>
      </c>
      <c r="H2893" s="4" t="s">
        <v>2099</v>
      </c>
      <c r="I2893" s="4" t="s">
        <v>2100</v>
      </c>
      <c r="J2893" s="4" t="s">
        <v>2111</v>
      </c>
      <c r="K2893">
        <v>10</v>
      </c>
      <c r="L2893">
        <v>3</v>
      </c>
      <c r="M2893">
        <v>25</v>
      </c>
      <c r="N2893">
        <v>150</v>
      </c>
      <c r="O2893">
        <v>118.11023622047244</v>
      </c>
      <c r="P2893">
        <v>0.98425196850393704</v>
      </c>
      <c r="Q2893">
        <v>5.9055118110236222</v>
      </c>
      <c r="R2893">
        <v>874.89099999999996</v>
      </c>
      <c r="S2893">
        <v>1.125E-2</v>
      </c>
      <c r="T2893" s="4" t="s">
        <v>5341</v>
      </c>
    </row>
    <row r="2894" spans="1:20" x14ac:dyDescent="0.2">
      <c r="A2894" s="4" t="s">
        <v>4793</v>
      </c>
      <c r="B2894" s="4" t="s">
        <v>5339</v>
      </c>
      <c r="C2894" s="4" t="s">
        <v>2096</v>
      </c>
      <c r="D2894" s="4" t="s">
        <v>4764</v>
      </c>
      <c r="E2894" s="4" t="s">
        <v>5342</v>
      </c>
      <c r="F2894" s="4" t="s">
        <v>5340</v>
      </c>
      <c r="G2894" s="4" t="s">
        <v>4981</v>
      </c>
      <c r="H2894" s="4" t="s">
        <v>2099</v>
      </c>
      <c r="I2894" s="4" t="s">
        <v>2100</v>
      </c>
      <c r="J2894" s="4" t="s">
        <v>2111</v>
      </c>
      <c r="K2894">
        <v>11</v>
      </c>
      <c r="L2894">
        <v>3.3</v>
      </c>
      <c r="M2894">
        <v>25</v>
      </c>
      <c r="N2894">
        <v>150</v>
      </c>
      <c r="O2894">
        <v>129.92125984251967</v>
      </c>
      <c r="P2894">
        <v>0.98425196850393704</v>
      </c>
      <c r="Q2894">
        <v>5.9055118110236222</v>
      </c>
      <c r="R2894">
        <v>874.89099999999996</v>
      </c>
      <c r="S2894">
        <v>1.2375000000000001E-2</v>
      </c>
      <c r="T2894" s="4" t="s">
        <v>5341</v>
      </c>
    </row>
    <row r="2895" spans="1:20" x14ac:dyDescent="0.2">
      <c r="A2895" s="4" t="s">
        <v>4793</v>
      </c>
      <c r="B2895" s="4" t="s">
        <v>5339</v>
      </c>
      <c r="C2895" s="4" t="s">
        <v>2096</v>
      </c>
      <c r="D2895" s="4" t="s">
        <v>4764</v>
      </c>
      <c r="E2895" s="4" t="s">
        <v>1519</v>
      </c>
      <c r="F2895" s="4" t="s">
        <v>5340</v>
      </c>
      <c r="G2895" s="4" t="s">
        <v>4981</v>
      </c>
      <c r="H2895" s="4" t="s">
        <v>2099</v>
      </c>
      <c r="I2895" s="4" t="s">
        <v>2100</v>
      </c>
      <c r="J2895" s="4" t="s">
        <v>2111</v>
      </c>
      <c r="K2895">
        <v>12</v>
      </c>
      <c r="L2895">
        <v>3.6</v>
      </c>
      <c r="M2895">
        <v>25</v>
      </c>
      <c r="N2895">
        <v>150</v>
      </c>
      <c r="O2895">
        <v>141.73228346456693</v>
      </c>
      <c r="P2895">
        <v>0.98425196850393704</v>
      </c>
      <c r="Q2895">
        <v>5.9055118110236222</v>
      </c>
      <c r="R2895">
        <v>874.89099999999996</v>
      </c>
      <c r="S2895">
        <v>1.35E-2</v>
      </c>
      <c r="T2895" s="4" t="s">
        <v>5341</v>
      </c>
    </row>
    <row r="2896" spans="1:20" x14ac:dyDescent="0.2">
      <c r="A2896" s="4" t="s">
        <v>4793</v>
      </c>
      <c r="B2896" s="4" t="s">
        <v>5339</v>
      </c>
      <c r="C2896" s="4" t="s">
        <v>2096</v>
      </c>
      <c r="D2896" s="4" t="s">
        <v>4764</v>
      </c>
      <c r="E2896" s="4" t="s">
        <v>1521</v>
      </c>
      <c r="F2896" s="4" t="s">
        <v>5340</v>
      </c>
      <c r="G2896" s="4" t="s">
        <v>4981</v>
      </c>
      <c r="H2896" s="4" t="s">
        <v>2099</v>
      </c>
      <c r="I2896" s="4" t="s">
        <v>2100</v>
      </c>
      <c r="J2896" s="4" t="s">
        <v>2111</v>
      </c>
      <c r="K2896">
        <v>13</v>
      </c>
      <c r="L2896">
        <v>3.9</v>
      </c>
      <c r="M2896">
        <v>25</v>
      </c>
      <c r="N2896">
        <v>150</v>
      </c>
      <c r="O2896">
        <v>153.54330708661416</v>
      </c>
      <c r="P2896">
        <v>0.98425196850393704</v>
      </c>
      <c r="Q2896">
        <v>5.9055118110236222</v>
      </c>
      <c r="R2896">
        <v>874.89099999999996</v>
      </c>
      <c r="S2896">
        <v>1.4625000000000001E-2</v>
      </c>
      <c r="T2896" s="4" t="s">
        <v>5341</v>
      </c>
    </row>
    <row r="2897" spans="1:20" x14ac:dyDescent="0.2">
      <c r="A2897" s="4" t="s">
        <v>4793</v>
      </c>
      <c r="B2897" s="4" t="s">
        <v>5339</v>
      </c>
      <c r="C2897" s="4" t="s">
        <v>2096</v>
      </c>
      <c r="D2897" s="4" t="s">
        <v>4764</v>
      </c>
      <c r="E2897" s="4" t="s">
        <v>5343</v>
      </c>
      <c r="F2897" s="4" t="s">
        <v>5340</v>
      </c>
      <c r="G2897" s="4" t="s">
        <v>4981</v>
      </c>
      <c r="H2897" s="4" t="s">
        <v>2099</v>
      </c>
      <c r="I2897" s="4" t="s">
        <v>2100</v>
      </c>
      <c r="J2897" s="4" t="s">
        <v>2111</v>
      </c>
      <c r="K2897">
        <v>14</v>
      </c>
      <c r="L2897">
        <v>4.2</v>
      </c>
      <c r="M2897">
        <v>25</v>
      </c>
      <c r="N2897">
        <v>150</v>
      </c>
      <c r="O2897">
        <v>165.35433070866142</v>
      </c>
      <c r="P2897">
        <v>0.98425196850393704</v>
      </c>
      <c r="Q2897">
        <v>5.9055118110236222</v>
      </c>
      <c r="R2897">
        <v>874.89099999999996</v>
      </c>
      <c r="S2897">
        <v>1.575E-2</v>
      </c>
      <c r="T2897" s="4" t="s">
        <v>5341</v>
      </c>
    </row>
    <row r="2898" spans="1:20" x14ac:dyDescent="0.2">
      <c r="A2898" s="4" t="s">
        <v>4793</v>
      </c>
      <c r="B2898" s="4" t="s">
        <v>5339</v>
      </c>
      <c r="C2898" s="4" t="s">
        <v>2096</v>
      </c>
      <c r="D2898" s="4" t="s">
        <v>4764</v>
      </c>
      <c r="E2898" s="4" t="s">
        <v>1523</v>
      </c>
      <c r="F2898" s="4" t="s">
        <v>5340</v>
      </c>
      <c r="G2898" s="4" t="s">
        <v>4981</v>
      </c>
      <c r="H2898" s="4" t="s">
        <v>2099</v>
      </c>
      <c r="I2898" s="4" t="s">
        <v>2100</v>
      </c>
      <c r="J2898" s="4" t="s">
        <v>2111</v>
      </c>
      <c r="K2898">
        <v>15</v>
      </c>
      <c r="L2898">
        <v>4.5</v>
      </c>
      <c r="M2898">
        <v>25</v>
      </c>
      <c r="N2898">
        <v>150</v>
      </c>
      <c r="O2898">
        <v>177.16535433070868</v>
      </c>
      <c r="P2898">
        <v>0.98425196850393704</v>
      </c>
      <c r="Q2898">
        <v>5.9055118110236222</v>
      </c>
      <c r="R2898">
        <v>874.89099999999996</v>
      </c>
      <c r="S2898">
        <v>1.6875000000000001E-2</v>
      </c>
      <c r="T2898" s="4" t="s">
        <v>5341</v>
      </c>
    </row>
    <row r="2899" spans="1:20" x14ac:dyDescent="0.2">
      <c r="A2899" s="4" t="s">
        <v>4793</v>
      </c>
      <c r="B2899" s="4" t="s">
        <v>5339</v>
      </c>
      <c r="C2899" s="4" t="s">
        <v>2096</v>
      </c>
      <c r="D2899" s="4" t="s">
        <v>4764</v>
      </c>
      <c r="E2899" s="4" t="s">
        <v>1525</v>
      </c>
      <c r="F2899" s="4" t="s">
        <v>5340</v>
      </c>
      <c r="G2899" s="4" t="s">
        <v>4981</v>
      </c>
      <c r="H2899" s="4" t="s">
        <v>2099</v>
      </c>
      <c r="I2899" s="4" t="s">
        <v>2100</v>
      </c>
      <c r="J2899" s="4" t="s">
        <v>2111</v>
      </c>
      <c r="K2899">
        <v>16</v>
      </c>
      <c r="L2899">
        <v>4.8</v>
      </c>
      <c r="M2899">
        <v>25</v>
      </c>
      <c r="N2899">
        <v>150</v>
      </c>
      <c r="O2899">
        <v>188.97637795275591</v>
      </c>
      <c r="P2899">
        <v>0.98425196850393704</v>
      </c>
      <c r="Q2899">
        <v>5.9055118110236222</v>
      </c>
      <c r="R2899">
        <v>874.89099999999996</v>
      </c>
      <c r="S2899">
        <v>1.7999999999999999E-2</v>
      </c>
      <c r="T2899" s="4" t="s">
        <v>5341</v>
      </c>
    </row>
    <row r="2900" spans="1:20" x14ac:dyDescent="0.2">
      <c r="A2900" s="4" t="s">
        <v>4793</v>
      </c>
      <c r="B2900" s="4" t="s">
        <v>5339</v>
      </c>
      <c r="C2900" s="4" t="s">
        <v>2096</v>
      </c>
      <c r="D2900" s="4" t="s">
        <v>4764</v>
      </c>
      <c r="E2900" s="4" t="s">
        <v>5344</v>
      </c>
      <c r="F2900" s="4" t="s">
        <v>5340</v>
      </c>
      <c r="G2900" s="4" t="s">
        <v>4981</v>
      </c>
      <c r="H2900" s="4" t="s">
        <v>2099</v>
      </c>
      <c r="I2900" s="4" t="s">
        <v>2100</v>
      </c>
      <c r="J2900" s="4" t="s">
        <v>2111</v>
      </c>
      <c r="K2900">
        <v>17</v>
      </c>
      <c r="L2900">
        <v>5.0999999999999996</v>
      </c>
      <c r="M2900">
        <v>25</v>
      </c>
      <c r="N2900">
        <v>150</v>
      </c>
      <c r="O2900">
        <v>200.78740157480314</v>
      </c>
      <c r="P2900">
        <v>0.98425196850393704</v>
      </c>
      <c r="Q2900">
        <v>5.9055118110236222</v>
      </c>
      <c r="R2900">
        <v>874.89099999999996</v>
      </c>
      <c r="S2900">
        <v>1.9124999999999996E-2</v>
      </c>
      <c r="T2900" s="4" t="s">
        <v>5341</v>
      </c>
    </row>
    <row r="2901" spans="1:20" x14ac:dyDescent="0.2">
      <c r="A2901" s="4" t="s">
        <v>4793</v>
      </c>
      <c r="B2901" s="4" t="s">
        <v>5339</v>
      </c>
      <c r="C2901" s="4" t="s">
        <v>2096</v>
      </c>
      <c r="D2901" s="4" t="s">
        <v>4764</v>
      </c>
      <c r="E2901" s="4" t="s">
        <v>5345</v>
      </c>
      <c r="F2901" s="4" t="s">
        <v>5340</v>
      </c>
      <c r="G2901" s="4" t="s">
        <v>4981</v>
      </c>
      <c r="H2901" s="4" t="s">
        <v>2099</v>
      </c>
      <c r="I2901" s="4" t="s">
        <v>2100</v>
      </c>
      <c r="J2901" s="4" t="s">
        <v>2111</v>
      </c>
      <c r="K2901">
        <v>18</v>
      </c>
      <c r="L2901">
        <v>5.4</v>
      </c>
      <c r="M2901">
        <v>25</v>
      </c>
      <c r="N2901">
        <v>150</v>
      </c>
      <c r="O2901">
        <v>212.59842519685043</v>
      </c>
      <c r="P2901">
        <v>0.98425196850393704</v>
      </c>
      <c r="Q2901">
        <v>5.9055118110236222</v>
      </c>
      <c r="R2901">
        <v>874.89099999999996</v>
      </c>
      <c r="S2901">
        <v>2.0250000000000001E-2</v>
      </c>
      <c r="T2901" s="4" t="s">
        <v>5341</v>
      </c>
    </row>
    <row r="2902" spans="1:20" x14ac:dyDescent="0.2">
      <c r="A2902" s="4" t="s">
        <v>4793</v>
      </c>
      <c r="B2902" s="4" t="s">
        <v>5339</v>
      </c>
      <c r="C2902" s="4" t="s">
        <v>2286</v>
      </c>
      <c r="D2902" s="4" t="s">
        <v>4764</v>
      </c>
      <c r="E2902" s="4" t="s">
        <v>5346</v>
      </c>
      <c r="F2902" s="4" t="s">
        <v>5340</v>
      </c>
      <c r="G2902" s="4" t="s">
        <v>4981</v>
      </c>
      <c r="H2902" s="4" t="s">
        <v>2099</v>
      </c>
      <c r="I2902" s="4" t="s">
        <v>2100</v>
      </c>
      <c r="J2902" s="4" t="s">
        <v>2111</v>
      </c>
      <c r="K2902">
        <v>4</v>
      </c>
      <c r="L2902">
        <v>1.2</v>
      </c>
      <c r="M2902">
        <v>25</v>
      </c>
      <c r="N2902">
        <v>150</v>
      </c>
      <c r="O2902">
        <v>47.244094488188978</v>
      </c>
      <c r="P2902">
        <v>0.98425196850393704</v>
      </c>
      <c r="Q2902">
        <v>5.9055118110236222</v>
      </c>
      <c r="R2902">
        <v>874.89099999999996</v>
      </c>
      <c r="S2902">
        <v>4.4999999999999997E-3</v>
      </c>
      <c r="T2902" s="4" t="s">
        <v>5347</v>
      </c>
    </row>
    <row r="2903" spans="1:20" x14ac:dyDescent="0.2">
      <c r="A2903" s="4" t="s">
        <v>4793</v>
      </c>
      <c r="B2903" s="4" t="s">
        <v>5339</v>
      </c>
      <c r="C2903" s="4" t="s">
        <v>2286</v>
      </c>
      <c r="D2903" s="4" t="s">
        <v>4764</v>
      </c>
      <c r="E2903" s="4" t="s">
        <v>5348</v>
      </c>
      <c r="F2903" s="4" t="s">
        <v>5340</v>
      </c>
      <c r="G2903" s="4" t="s">
        <v>4981</v>
      </c>
      <c r="H2903" s="4" t="s">
        <v>2099</v>
      </c>
      <c r="I2903" s="4" t="s">
        <v>2100</v>
      </c>
      <c r="J2903" s="4" t="s">
        <v>2111</v>
      </c>
      <c r="K2903">
        <v>5</v>
      </c>
      <c r="L2903">
        <v>1.5</v>
      </c>
      <c r="M2903">
        <v>25</v>
      </c>
      <c r="N2903">
        <v>150</v>
      </c>
      <c r="O2903">
        <v>59.055118110236222</v>
      </c>
      <c r="P2903">
        <v>0.98425196850393704</v>
      </c>
      <c r="Q2903">
        <v>5.9055118110236222</v>
      </c>
      <c r="R2903">
        <v>874.89099999999996</v>
      </c>
      <c r="S2903">
        <v>5.6249999999999998E-3</v>
      </c>
      <c r="T2903" s="4" t="s">
        <v>5347</v>
      </c>
    </row>
    <row r="2904" spans="1:20" x14ac:dyDescent="0.2">
      <c r="A2904" s="4" t="s">
        <v>4793</v>
      </c>
      <c r="B2904" s="4" t="s">
        <v>5339</v>
      </c>
      <c r="C2904" s="4" t="s">
        <v>2286</v>
      </c>
      <c r="D2904" s="4" t="s">
        <v>4764</v>
      </c>
      <c r="E2904" s="4" t="s">
        <v>5349</v>
      </c>
      <c r="F2904" s="4" t="s">
        <v>5340</v>
      </c>
      <c r="G2904" s="4" t="s">
        <v>4981</v>
      </c>
      <c r="H2904" s="4" t="s">
        <v>2099</v>
      </c>
      <c r="I2904" s="4" t="s">
        <v>2100</v>
      </c>
      <c r="J2904" s="4" t="s">
        <v>2111</v>
      </c>
      <c r="K2904">
        <v>6</v>
      </c>
      <c r="L2904">
        <v>1.8</v>
      </c>
      <c r="M2904">
        <v>25</v>
      </c>
      <c r="N2904">
        <v>150</v>
      </c>
      <c r="O2904">
        <v>70.866141732283467</v>
      </c>
      <c r="P2904">
        <v>0.98425196850393704</v>
      </c>
      <c r="Q2904">
        <v>5.9055118110236222</v>
      </c>
      <c r="R2904">
        <v>874.89099999999996</v>
      </c>
      <c r="S2904">
        <v>6.7499999999999999E-3</v>
      </c>
      <c r="T2904" s="4" t="s">
        <v>5347</v>
      </c>
    </row>
    <row r="2905" spans="1:20" x14ac:dyDescent="0.2">
      <c r="A2905" s="4" t="s">
        <v>4793</v>
      </c>
      <c r="B2905" s="4" t="s">
        <v>5339</v>
      </c>
      <c r="C2905" s="4" t="s">
        <v>2286</v>
      </c>
      <c r="D2905" s="4" t="s">
        <v>4764</v>
      </c>
      <c r="E2905" s="4" t="s">
        <v>1527</v>
      </c>
      <c r="F2905" s="4" t="s">
        <v>5340</v>
      </c>
      <c r="G2905" s="4" t="s">
        <v>4981</v>
      </c>
      <c r="H2905" s="4" t="s">
        <v>2099</v>
      </c>
      <c r="I2905" s="4" t="s">
        <v>2100</v>
      </c>
      <c r="J2905" s="4" t="s">
        <v>2111</v>
      </c>
      <c r="K2905">
        <v>7</v>
      </c>
      <c r="L2905">
        <v>2.1</v>
      </c>
      <c r="M2905">
        <v>25</v>
      </c>
      <c r="N2905">
        <v>150</v>
      </c>
      <c r="O2905">
        <v>82.677165354330711</v>
      </c>
      <c r="P2905">
        <v>0.98425196850393704</v>
      </c>
      <c r="Q2905">
        <v>5.9055118110236222</v>
      </c>
      <c r="R2905">
        <v>874.89099999999996</v>
      </c>
      <c r="S2905">
        <v>7.8750000000000001E-3</v>
      </c>
      <c r="T2905" s="4" t="s">
        <v>5347</v>
      </c>
    </row>
    <row r="2906" spans="1:20" x14ac:dyDescent="0.2">
      <c r="A2906" s="4" t="s">
        <v>4793</v>
      </c>
      <c r="B2906" s="4" t="s">
        <v>5339</v>
      </c>
      <c r="C2906" s="4" t="s">
        <v>2096</v>
      </c>
      <c r="D2906" s="4" t="s">
        <v>4764</v>
      </c>
      <c r="E2906" s="4" t="s">
        <v>1529</v>
      </c>
      <c r="F2906" s="4" t="s">
        <v>5340</v>
      </c>
      <c r="G2906" s="4" t="s">
        <v>4981</v>
      </c>
      <c r="H2906" s="4" t="s">
        <v>2099</v>
      </c>
      <c r="I2906" s="4" t="s">
        <v>2100</v>
      </c>
      <c r="J2906" s="4" t="s">
        <v>2111</v>
      </c>
      <c r="K2906">
        <v>8</v>
      </c>
      <c r="L2906">
        <v>2.4</v>
      </c>
      <c r="M2906">
        <v>25</v>
      </c>
      <c r="N2906">
        <v>150</v>
      </c>
      <c r="O2906">
        <v>94.488188976377955</v>
      </c>
      <c r="P2906">
        <v>0.98425196850393704</v>
      </c>
      <c r="Q2906">
        <v>5.9055118110236222</v>
      </c>
      <c r="R2906">
        <v>874.89099999999996</v>
      </c>
      <c r="S2906">
        <v>8.9999999999999993E-3</v>
      </c>
      <c r="T2906" s="4" t="s">
        <v>5341</v>
      </c>
    </row>
    <row r="2907" spans="1:20" x14ac:dyDescent="0.2">
      <c r="A2907" s="4" t="s">
        <v>4793</v>
      </c>
      <c r="B2907" s="4" t="s">
        <v>5339</v>
      </c>
      <c r="C2907" s="4" t="s">
        <v>2096</v>
      </c>
      <c r="D2907" s="4" t="s">
        <v>4764</v>
      </c>
      <c r="E2907" s="4" t="s">
        <v>5350</v>
      </c>
      <c r="F2907" s="4" t="s">
        <v>5340</v>
      </c>
      <c r="G2907" s="4" t="s">
        <v>4981</v>
      </c>
      <c r="H2907" s="4" t="s">
        <v>2099</v>
      </c>
      <c r="I2907" s="4" t="s">
        <v>2100</v>
      </c>
      <c r="J2907" s="4" t="s">
        <v>2111</v>
      </c>
      <c r="K2907">
        <v>9</v>
      </c>
      <c r="L2907">
        <v>2.7</v>
      </c>
      <c r="M2907">
        <v>25</v>
      </c>
      <c r="N2907">
        <v>150</v>
      </c>
      <c r="O2907">
        <v>106.29921259842521</v>
      </c>
      <c r="P2907">
        <v>0.98425196850393704</v>
      </c>
      <c r="Q2907">
        <v>5.9055118110236222</v>
      </c>
      <c r="R2907">
        <v>874.89099999999996</v>
      </c>
      <c r="S2907">
        <v>1.0125E-2</v>
      </c>
      <c r="T2907" s="4" t="s">
        <v>5341</v>
      </c>
    </row>
    <row r="2908" spans="1:20" x14ac:dyDescent="0.2">
      <c r="A2908" s="4" t="s">
        <v>4793</v>
      </c>
      <c r="B2908" s="4" t="s">
        <v>5351</v>
      </c>
      <c r="C2908" s="4" t="s">
        <v>2096</v>
      </c>
      <c r="D2908" s="4" t="s">
        <v>4764</v>
      </c>
      <c r="E2908" s="4" t="s">
        <v>1397</v>
      </c>
      <c r="F2908" s="4" t="s">
        <v>5352</v>
      </c>
      <c r="G2908" s="4" t="s">
        <v>4981</v>
      </c>
      <c r="H2908" s="4" t="s">
        <v>2183</v>
      </c>
      <c r="I2908" s="4" t="s">
        <v>2100</v>
      </c>
      <c r="J2908" s="4" t="s">
        <v>3117</v>
      </c>
      <c r="K2908">
        <v>10</v>
      </c>
      <c r="L2908">
        <v>3</v>
      </c>
      <c r="M2908">
        <v>20</v>
      </c>
      <c r="N2908">
        <v>250</v>
      </c>
      <c r="O2908">
        <v>118.11023622047244</v>
      </c>
      <c r="P2908">
        <v>0.78740157480314965</v>
      </c>
      <c r="Q2908">
        <v>9.8425196850393704</v>
      </c>
      <c r="R2908">
        <v>656.16800000000001</v>
      </c>
      <c r="S2908">
        <v>1.4999999999999999E-2</v>
      </c>
      <c r="T2908" s="4" t="s">
        <v>5353</v>
      </c>
    </row>
    <row r="2909" spans="1:20" x14ac:dyDescent="0.2">
      <c r="A2909" s="4" t="s">
        <v>4793</v>
      </c>
      <c r="B2909" s="4" t="s">
        <v>5351</v>
      </c>
      <c r="C2909" s="4" t="s">
        <v>2096</v>
      </c>
      <c r="D2909" s="4" t="s">
        <v>4764</v>
      </c>
      <c r="E2909" s="4" t="s">
        <v>1399</v>
      </c>
      <c r="F2909" s="4" t="s">
        <v>5352</v>
      </c>
      <c r="G2909" s="4" t="s">
        <v>4981</v>
      </c>
      <c r="H2909" s="4" t="s">
        <v>2183</v>
      </c>
      <c r="I2909" s="4" t="s">
        <v>2100</v>
      </c>
      <c r="J2909" s="4" t="s">
        <v>3117</v>
      </c>
      <c r="K2909">
        <v>11</v>
      </c>
      <c r="L2909">
        <v>3.3</v>
      </c>
      <c r="M2909">
        <v>20</v>
      </c>
      <c r="N2909">
        <v>250</v>
      </c>
      <c r="O2909">
        <v>129.92125984251967</v>
      </c>
      <c r="P2909">
        <v>0.78740157480314965</v>
      </c>
      <c r="Q2909">
        <v>9.8425196850393704</v>
      </c>
      <c r="R2909">
        <v>656.16800000000001</v>
      </c>
      <c r="S2909">
        <v>1.6500000000000001E-2</v>
      </c>
      <c r="T2909" s="4" t="s">
        <v>5353</v>
      </c>
    </row>
    <row r="2910" spans="1:20" x14ac:dyDescent="0.2">
      <c r="A2910" s="4" t="s">
        <v>4793</v>
      </c>
      <c r="B2910" s="4" t="s">
        <v>5351</v>
      </c>
      <c r="C2910" s="4" t="s">
        <v>2096</v>
      </c>
      <c r="D2910" s="4" t="s">
        <v>4764</v>
      </c>
      <c r="E2910" s="4" t="s">
        <v>5354</v>
      </c>
      <c r="F2910" s="4" t="s">
        <v>5352</v>
      </c>
      <c r="G2910" s="4" t="s">
        <v>4981</v>
      </c>
      <c r="H2910" s="4" t="s">
        <v>2183</v>
      </c>
      <c r="I2910" s="4" t="s">
        <v>2100</v>
      </c>
      <c r="J2910" s="4" t="s">
        <v>3117</v>
      </c>
      <c r="K2910">
        <v>12</v>
      </c>
      <c r="L2910">
        <v>3.6</v>
      </c>
      <c r="M2910">
        <v>20</v>
      </c>
      <c r="N2910">
        <v>250</v>
      </c>
      <c r="O2910">
        <v>141.73228346456693</v>
      </c>
      <c r="P2910">
        <v>0.78740157480314965</v>
      </c>
      <c r="Q2910">
        <v>9.8425196850393704</v>
      </c>
      <c r="R2910">
        <v>656.16800000000001</v>
      </c>
      <c r="S2910">
        <v>1.7999999999999999E-2</v>
      </c>
      <c r="T2910" s="4" t="s">
        <v>5353</v>
      </c>
    </row>
    <row r="2911" spans="1:20" x14ac:dyDescent="0.2">
      <c r="A2911" s="4" t="s">
        <v>4793</v>
      </c>
      <c r="B2911" s="4" t="s">
        <v>5351</v>
      </c>
      <c r="C2911" s="4" t="s">
        <v>2096</v>
      </c>
      <c r="D2911" s="4" t="s">
        <v>4764</v>
      </c>
      <c r="E2911" s="4" t="s">
        <v>1401</v>
      </c>
      <c r="F2911" s="4" t="s">
        <v>5352</v>
      </c>
      <c r="G2911" s="4" t="s">
        <v>4981</v>
      </c>
      <c r="H2911" s="4" t="s">
        <v>2183</v>
      </c>
      <c r="I2911" s="4" t="s">
        <v>2100</v>
      </c>
      <c r="J2911" s="4" t="s">
        <v>3117</v>
      </c>
      <c r="K2911">
        <v>13</v>
      </c>
      <c r="L2911">
        <v>3.9</v>
      </c>
      <c r="M2911">
        <v>20</v>
      </c>
      <c r="N2911">
        <v>250</v>
      </c>
      <c r="O2911">
        <v>153.54330708661416</v>
      </c>
      <c r="P2911">
        <v>0.78740157480314965</v>
      </c>
      <c r="Q2911">
        <v>9.8425196850393704</v>
      </c>
      <c r="R2911">
        <v>656.16800000000001</v>
      </c>
      <c r="S2911">
        <v>1.95E-2</v>
      </c>
      <c r="T2911" s="4" t="s">
        <v>5353</v>
      </c>
    </row>
    <row r="2912" spans="1:20" x14ac:dyDescent="0.2">
      <c r="A2912" s="4" t="s">
        <v>4793</v>
      </c>
      <c r="B2912" s="4" t="s">
        <v>5351</v>
      </c>
      <c r="C2912" s="4" t="s">
        <v>2096</v>
      </c>
      <c r="D2912" s="4" t="s">
        <v>4764</v>
      </c>
      <c r="E2912" s="4" t="s">
        <v>1403</v>
      </c>
      <c r="F2912" s="4" t="s">
        <v>5352</v>
      </c>
      <c r="G2912" s="4" t="s">
        <v>4981</v>
      </c>
      <c r="H2912" s="4" t="s">
        <v>2183</v>
      </c>
      <c r="I2912" s="4" t="s">
        <v>2100</v>
      </c>
      <c r="J2912" s="4" t="s">
        <v>3117</v>
      </c>
      <c r="K2912">
        <v>14</v>
      </c>
      <c r="L2912">
        <v>4.2</v>
      </c>
      <c r="M2912">
        <v>20</v>
      </c>
      <c r="N2912">
        <v>250</v>
      </c>
      <c r="O2912">
        <v>165.35433070866142</v>
      </c>
      <c r="P2912">
        <v>0.78740157480314965</v>
      </c>
      <c r="Q2912">
        <v>9.8425196850393704</v>
      </c>
      <c r="R2912">
        <v>656.16800000000001</v>
      </c>
      <c r="S2912">
        <v>2.1000000000000001E-2</v>
      </c>
      <c r="T2912" s="4" t="s">
        <v>5353</v>
      </c>
    </row>
    <row r="2913" spans="1:20" x14ac:dyDescent="0.2">
      <c r="A2913" s="4" t="s">
        <v>4793</v>
      </c>
      <c r="B2913" s="4" t="s">
        <v>5351</v>
      </c>
      <c r="C2913" s="4" t="s">
        <v>2096</v>
      </c>
      <c r="D2913" s="4" t="s">
        <v>4764</v>
      </c>
      <c r="E2913" s="4" t="s">
        <v>5355</v>
      </c>
      <c r="F2913" s="4" t="s">
        <v>5352</v>
      </c>
      <c r="G2913" s="4" t="s">
        <v>4981</v>
      </c>
      <c r="H2913" s="4" t="s">
        <v>2183</v>
      </c>
      <c r="I2913" s="4" t="s">
        <v>2100</v>
      </c>
      <c r="J2913" s="4" t="s">
        <v>3117</v>
      </c>
      <c r="K2913">
        <v>15</v>
      </c>
      <c r="L2913">
        <v>4.5</v>
      </c>
      <c r="M2913">
        <v>20</v>
      </c>
      <c r="N2913">
        <v>250</v>
      </c>
      <c r="O2913">
        <v>177.16535433070868</v>
      </c>
      <c r="P2913">
        <v>0.78740157480314965</v>
      </c>
      <c r="Q2913">
        <v>9.8425196850393704</v>
      </c>
      <c r="R2913">
        <v>656.16800000000001</v>
      </c>
      <c r="S2913">
        <v>2.2499999999999999E-2</v>
      </c>
      <c r="T2913" s="4" t="s">
        <v>5353</v>
      </c>
    </row>
    <row r="2914" spans="1:20" x14ac:dyDescent="0.2">
      <c r="A2914" s="4" t="s">
        <v>4793</v>
      </c>
      <c r="B2914" s="4" t="s">
        <v>5351</v>
      </c>
      <c r="C2914" s="4" t="s">
        <v>2096</v>
      </c>
      <c r="D2914" s="4" t="s">
        <v>4764</v>
      </c>
      <c r="E2914" s="4" t="s">
        <v>5356</v>
      </c>
      <c r="F2914" s="4" t="s">
        <v>5352</v>
      </c>
      <c r="G2914" s="4" t="s">
        <v>4981</v>
      </c>
      <c r="H2914" s="4" t="s">
        <v>2183</v>
      </c>
      <c r="I2914" s="4" t="s">
        <v>2100</v>
      </c>
      <c r="J2914" s="4" t="s">
        <v>3117</v>
      </c>
      <c r="K2914">
        <v>16</v>
      </c>
      <c r="L2914">
        <v>4.8</v>
      </c>
      <c r="M2914">
        <v>20</v>
      </c>
      <c r="N2914">
        <v>250</v>
      </c>
      <c r="O2914">
        <v>188.97637795275591</v>
      </c>
      <c r="P2914">
        <v>0.78740157480314965</v>
      </c>
      <c r="Q2914">
        <v>9.8425196850393704</v>
      </c>
      <c r="R2914">
        <v>656.16800000000001</v>
      </c>
      <c r="S2914">
        <v>2.4E-2</v>
      </c>
      <c r="T2914" s="4" t="s">
        <v>5353</v>
      </c>
    </row>
    <row r="2915" spans="1:20" x14ac:dyDescent="0.2">
      <c r="A2915" s="4" t="s">
        <v>4793</v>
      </c>
      <c r="B2915" s="4" t="s">
        <v>5351</v>
      </c>
      <c r="C2915" s="4" t="s">
        <v>2096</v>
      </c>
      <c r="D2915" s="4" t="s">
        <v>4764</v>
      </c>
      <c r="E2915" s="4" t="s">
        <v>5357</v>
      </c>
      <c r="F2915" s="4" t="s">
        <v>5352</v>
      </c>
      <c r="G2915" s="4" t="s">
        <v>4981</v>
      </c>
      <c r="H2915" s="4" t="s">
        <v>2183</v>
      </c>
      <c r="I2915" s="4" t="s">
        <v>2100</v>
      </c>
      <c r="J2915" s="4" t="s">
        <v>3117</v>
      </c>
      <c r="K2915">
        <v>17</v>
      </c>
      <c r="L2915">
        <v>5.0999999999999996</v>
      </c>
      <c r="M2915">
        <v>20</v>
      </c>
      <c r="N2915">
        <v>250</v>
      </c>
      <c r="O2915">
        <v>200.78740157480314</v>
      </c>
      <c r="P2915">
        <v>0.78740157480314965</v>
      </c>
      <c r="Q2915">
        <v>9.8425196850393704</v>
      </c>
      <c r="R2915">
        <v>656.16800000000001</v>
      </c>
      <c r="S2915">
        <v>2.5499999999999998E-2</v>
      </c>
      <c r="T2915" s="4" t="s">
        <v>5353</v>
      </c>
    </row>
    <row r="2916" spans="1:20" x14ac:dyDescent="0.2">
      <c r="A2916" s="4" t="s">
        <v>4793</v>
      </c>
      <c r="B2916" s="4" t="s">
        <v>5351</v>
      </c>
      <c r="C2916" s="4" t="s">
        <v>2096</v>
      </c>
      <c r="D2916" s="4" t="s">
        <v>4764</v>
      </c>
      <c r="E2916" s="4" t="s">
        <v>5358</v>
      </c>
      <c r="F2916" s="4" t="s">
        <v>5352</v>
      </c>
      <c r="G2916" s="4" t="s">
        <v>4981</v>
      </c>
      <c r="H2916" s="4" t="s">
        <v>2183</v>
      </c>
      <c r="I2916" s="4" t="s">
        <v>2100</v>
      </c>
      <c r="J2916" s="4" t="s">
        <v>3117</v>
      </c>
      <c r="K2916">
        <v>18</v>
      </c>
      <c r="L2916">
        <v>5.4</v>
      </c>
      <c r="M2916">
        <v>20</v>
      </c>
      <c r="N2916">
        <v>250</v>
      </c>
      <c r="O2916">
        <v>212.59842519685043</v>
      </c>
      <c r="P2916">
        <v>0.78740157480314965</v>
      </c>
      <c r="Q2916">
        <v>9.8425196850393704</v>
      </c>
      <c r="R2916">
        <v>656.16800000000001</v>
      </c>
      <c r="S2916">
        <v>2.7E-2</v>
      </c>
      <c r="T2916" s="4" t="s">
        <v>5353</v>
      </c>
    </row>
    <row r="2917" spans="1:20" x14ac:dyDescent="0.2">
      <c r="A2917" s="4" t="s">
        <v>4793</v>
      </c>
      <c r="B2917" s="4" t="s">
        <v>5351</v>
      </c>
      <c r="C2917" s="4" t="s">
        <v>2286</v>
      </c>
      <c r="D2917" s="4" t="s">
        <v>4764</v>
      </c>
      <c r="E2917" s="4" t="s">
        <v>1405</v>
      </c>
      <c r="F2917" s="4" t="s">
        <v>5352</v>
      </c>
      <c r="G2917" s="4" t="s">
        <v>4981</v>
      </c>
      <c r="H2917" s="4" t="s">
        <v>2183</v>
      </c>
      <c r="I2917" s="4" t="s">
        <v>2100</v>
      </c>
      <c r="J2917" s="4" t="s">
        <v>3117</v>
      </c>
      <c r="K2917">
        <v>4</v>
      </c>
      <c r="L2917">
        <v>1.2</v>
      </c>
      <c r="M2917">
        <v>20</v>
      </c>
      <c r="N2917">
        <v>250</v>
      </c>
      <c r="O2917">
        <v>47.244094488188978</v>
      </c>
      <c r="P2917">
        <v>0.78740157480314965</v>
      </c>
      <c r="Q2917">
        <v>9.8425196850393704</v>
      </c>
      <c r="R2917">
        <v>656.16800000000001</v>
      </c>
      <c r="S2917">
        <v>6.0000000000000001E-3</v>
      </c>
      <c r="T2917" s="4" t="s">
        <v>5359</v>
      </c>
    </row>
    <row r="2918" spans="1:20" x14ac:dyDescent="0.2">
      <c r="A2918" s="4" t="s">
        <v>4793</v>
      </c>
      <c r="B2918" s="4" t="s">
        <v>5351</v>
      </c>
      <c r="C2918" s="4" t="s">
        <v>2286</v>
      </c>
      <c r="D2918" s="4" t="s">
        <v>4764</v>
      </c>
      <c r="E2918" s="4" t="s">
        <v>1407</v>
      </c>
      <c r="F2918" s="4" t="s">
        <v>5352</v>
      </c>
      <c r="G2918" s="4" t="s">
        <v>4981</v>
      </c>
      <c r="H2918" s="4" t="s">
        <v>2183</v>
      </c>
      <c r="I2918" s="4" t="s">
        <v>2100</v>
      </c>
      <c r="J2918" s="4" t="s">
        <v>3117</v>
      </c>
      <c r="K2918">
        <v>5</v>
      </c>
      <c r="L2918">
        <v>1.5</v>
      </c>
      <c r="M2918">
        <v>20</v>
      </c>
      <c r="N2918">
        <v>250</v>
      </c>
      <c r="O2918">
        <v>59.055118110236222</v>
      </c>
      <c r="P2918">
        <v>0.78740157480314965</v>
      </c>
      <c r="Q2918">
        <v>9.8425196850393704</v>
      </c>
      <c r="R2918">
        <v>656.16800000000001</v>
      </c>
      <c r="S2918">
        <v>7.4999999999999997E-3</v>
      </c>
      <c r="T2918" s="4" t="s">
        <v>5359</v>
      </c>
    </row>
    <row r="2919" spans="1:20" x14ac:dyDescent="0.2">
      <c r="A2919" s="4" t="s">
        <v>4793</v>
      </c>
      <c r="B2919" s="4" t="s">
        <v>5351</v>
      </c>
      <c r="C2919" s="4" t="s">
        <v>2286</v>
      </c>
      <c r="D2919" s="4" t="s">
        <v>4764</v>
      </c>
      <c r="E2919" s="4" t="s">
        <v>1409</v>
      </c>
      <c r="F2919" s="4" t="s">
        <v>5352</v>
      </c>
      <c r="G2919" s="4" t="s">
        <v>4981</v>
      </c>
      <c r="H2919" s="4" t="s">
        <v>2183</v>
      </c>
      <c r="I2919" s="4" t="s">
        <v>2100</v>
      </c>
      <c r="J2919" s="4" t="s">
        <v>3117</v>
      </c>
      <c r="K2919">
        <v>6</v>
      </c>
      <c r="L2919">
        <v>1.8</v>
      </c>
      <c r="M2919">
        <v>20</v>
      </c>
      <c r="N2919">
        <v>250</v>
      </c>
      <c r="O2919">
        <v>70.866141732283467</v>
      </c>
      <c r="P2919">
        <v>0.78740157480314965</v>
      </c>
      <c r="Q2919">
        <v>9.8425196850393704</v>
      </c>
      <c r="R2919">
        <v>656.16800000000001</v>
      </c>
      <c r="S2919">
        <v>8.9999999999999993E-3</v>
      </c>
      <c r="T2919" s="4" t="s">
        <v>5359</v>
      </c>
    </row>
    <row r="2920" spans="1:20" x14ac:dyDescent="0.2">
      <c r="A2920" s="4" t="s">
        <v>4793</v>
      </c>
      <c r="B2920" s="4" t="s">
        <v>5351</v>
      </c>
      <c r="C2920" s="4" t="s">
        <v>2286</v>
      </c>
      <c r="D2920" s="4" t="s">
        <v>4764</v>
      </c>
      <c r="E2920" s="4" t="s">
        <v>1411</v>
      </c>
      <c r="F2920" s="4" t="s">
        <v>5352</v>
      </c>
      <c r="G2920" s="4" t="s">
        <v>4981</v>
      </c>
      <c r="H2920" s="4" t="s">
        <v>2183</v>
      </c>
      <c r="I2920" s="4" t="s">
        <v>2100</v>
      </c>
      <c r="J2920" s="4" t="s">
        <v>3117</v>
      </c>
      <c r="K2920">
        <v>7</v>
      </c>
      <c r="L2920">
        <v>2.1</v>
      </c>
      <c r="M2920">
        <v>20</v>
      </c>
      <c r="N2920">
        <v>250</v>
      </c>
      <c r="O2920">
        <v>82.677165354330711</v>
      </c>
      <c r="P2920">
        <v>0.78740157480314965</v>
      </c>
      <c r="Q2920">
        <v>9.8425196850393704</v>
      </c>
      <c r="R2920">
        <v>656.16800000000001</v>
      </c>
      <c r="S2920">
        <v>1.0500000000000001E-2</v>
      </c>
      <c r="T2920" s="4" t="s">
        <v>5359</v>
      </c>
    </row>
    <row r="2921" spans="1:20" x14ac:dyDescent="0.2">
      <c r="A2921" s="4" t="s">
        <v>4793</v>
      </c>
      <c r="B2921" s="4" t="s">
        <v>5351</v>
      </c>
      <c r="C2921" s="4" t="s">
        <v>2096</v>
      </c>
      <c r="D2921" s="4" t="s">
        <v>4764</v>
      </c>
      <c r="E2921" s="4" t="s">
        <v>1413</v>
      </c>
      <c r="F2921" s="4" t="s">
        <v>5352</v>
      </c>
      <c r="G2921" s="4" t="s">
        <v>4981</v>
      </c>
      <c r="H2921" s="4" t="s">
        <v>2183</v>
      </c>
      <c r="I2921" s="4" t="s">
        <v>2100</v>
      </c>
      <c r="J2921" s="4" t="s">
        <v>3117</v>
      </c>
      <c r="K2921">
        <v>8</v>
      </c>
      <c r="L2921">
        <v>2.4</v>
      </c>
      <c r="M2921">
        <v>20</v>
      </c>
      <c r="N2921">
        <v>250</v>
      </c>
      <c r="O2921">
        <v>94.488188976377955</v>
      </c>
      <c r="P2921">
        <v>0.78740157480314965</v>
      </c>
      <c r="Q2921">
        <v>9.8425196850393704</v>
      </c>
      <c r="R2921">
        <v>656.16800000000001</v>
      </c>
      <c r="S2921">
        <v>1.2E-2</v>
      </c>
      <c r="T2921" s="4" t="s">
        <v>5353</v>
      </c>
    </row>
    <row r="2922" spans="1:20" x14ac:dyDescent="0.2">
      <c r="A2922" s="4" t="s">
        <v>4793</v>
      </c>
      <c r="B2922" s="4" t="s">
        <v>5351</v>
      </c>
      <c r="C2922" s="4" t="s">
        <v>2096</v>
      </c>
      <c r="D2922" s="4" t="s">
        <v>4764</v>
      </c>
      <c r="E2922" s="4" t="s">
        <v>1415</v>
      </c>
      <c r="F2922" s="4" t="s">
        <v>5352</v>
      </c>
      <c r="G2922" s="4" t="s">
        <v>4981</v>
      </c>
      <c r="H2922" s="4" t="s">
        <v>2183</v>
      </c>
      <c r="I2922" s="4" t="s">
        <v>2100</v>
      </c>
      <c r="J2922" s="4" t="s">
        <v>3117</v>
      </c>
      <c r="K2922">
        <v>9</v>
      </c>
      <c r="L2922">
        <v>2.7</v>
      </c>
      <c r="M2922">
        <v>20</v>
      </c>
      <c r="N2922">
        <v>250</v>
      </c>
      <c r="O2922">
        <v>106.29921259842521</v>
      </c>
      <c r="P2922">
        <v>0.78740157480314965</v>
      </c>
      <c r="Q2922">
        <v>9.8425196850393704</v>
      </c>
      <c r="R2922">
        <v>656.16800000000001</v>
      </c>
      <c r="S2922">
        <v>1.35E-2</v>
      </c>
      <c r="T2922" s="4" t="s">
        <v>5353</v>
      </c>
    </row>
    <row r="2923" spans="1:20" x14ac:dyDescent="0.2">
      <c r="A2923" s="4" t="s">
        <v>4793</v>
      </c>
      <c r="B2923" s="4" t="s">
        <v>5360</v>
      </c>
      <c r="C2923" s="4" t="s">
        <v>2096</v>
      </c>
      <c r="D2923" s="4" t="s">
        <v>4764</v>
      </c>
      <c r="E2923" s="4" t="s">
        <v>5361</v>
      </c>
      <c r="F2923" s="4" t="s">
        <v>5362</v>
      </c>
      <c r="G2923" s="4" t="s">
        <v>4981</v>
      </c>
      <c r="H2923" s="4" t="s">
        <v>2183</v>
      </c>
      <c r="I2923" s="4" t="s">
        <v>2100</v>
      </c>
      <c r="J2923" s="4" t="s">
        <v>4993</v>
      </c>
      <c r="K2923">
        <v>10</v>
      </c>
      <c r="L2923">
        <v>3</v>
      </c>
      <c r="M2923">
        <v>20</v>
      </c>
      <c r="N2923">
        <v>250</v>
      </c>
      <c r="O2923">
        <v>118.11023622047244</v>
      </c>
      <c r="P2923">
        <v>0.78740157480314965</v>
      </c>
      <c r="Q2923">
        <v>9.8425196850393704</v>
      </c>
      <c r="R2923">
        <v>656.16800000000001</v>
      </c>
      <c r="S2923">
        <v>1.4999999999999999E-2</v>
      </c>
      <c r="T2923" s="4" t="s">
        <v>5363</v>
      </c>
    </row>
    <row r="2924" spans="1:20" x14ac:dyDescent="0.2">
      <c r="A2924" s="4" t="s">
        <v>4793</v>
      </c>
      <c r="B2924" s="4" t="s">
        <v>5360</v>
      </c>
      <c r="C2924" s="4" t="s">
        <v>2096</v>
      </c>
      <c r="D2924" s="4" t="s">
        <v>4764</v>
      </c>
      <c r="E2924" s="4" t="s">
        <v>5364</v>
      </c>
      <c r="F2924" s="4" t="s">
        <v>5362</v>
      </c>
      <c r="G2924" s="4" t="s">
        <v>4981</v>
      </c>
      <c r="H2924" s="4" t="s">
        <v>2183</v>
      </c>
      <c r="I2924" s="4" t="s">
        <v>2100</v>
      </c>
      <c r="J2924" s="4" t="s">
        <v>4993</v>
      </c>
      <c r="K2924">
        <v>11</v>
      </c>
      <c r="L2924">
        <v>3.3</v>
      </c>
      <c r="M2924">
        <v>20</v>
      </c>
      <c r="N2924">
        <v>250</v>
      </c>
      <c r="O2924">
        <v>129.92125984251967</v>
      </c>
      <c r="P2924">
        <v>0.78740157480314965</v>
      </c>
      <c r="Q2924">
        <v>9.8425196850393704</v>
      </c>
      <c r="R2924">
        <v>656.16800000000001</v>
      </c>
      <c r="S2924">
        <v>1.6500000000000001E-2</v>
      </c>
      <c r="T2924" s="4" t="s">
        <v>5363</v>
      </c>
    </row>
    <row r="2925" spans="1:20" x14ac:dyDescent="0.2">
      <c r="A2925" s="4" t="s">
        <v>4793</v>
      </c>
      <c r="B2925" s="4" t="s">
        <v>5360</v>
      </c>
      <c r="C2925" s="4" t="s">
        <v>2096</v>
      </c>
      <c r="D2925" s="4" t="s">
        <v>4764</v>
      </c>
      <c r="E2925" s="4" t="s">
        <v>5365</v>
      </c>
      <c r="F2925" s="4" t="s">
        <v>5362</v>
      </c>
      <c r="G2925" s="4" t="s">
        <v>4981</v>
      </c>
      <c r="H2925" s="4" t="s">
        <v>2183</v>
      </c>
      <c r="I2925" s="4" t="s">
        <v>2100</v>
      </c>
      <c r="J2925" s="4" t="s">
        <v>4993</v>
      </c>
      <c r="K2925">
        <v>12</v>
      </c>
      <c r="L2925">
        <v>3.6</v>
      </c>
      <c r="M2925">
        <v>20</v>
      </c>
      <c r="N2925">
        <v>250</v>
      </c>
      <c r="O2925">
        <v>141.73228346456693</v>
      </c>
      <c r="P2925">
        <v>0.78740157480314965</v>
      </c>
      <c r="Q2925">
        <v>9.8425196850393704</v>
      </c>
      <c r="R2925">
        <v>656.16800000000001</v>
      </c>
      <c r="S2925">
        <v>1.7999999999999999E-2</v>
      </c>
      <c r="T2925" s="4" t="s">
        <v>5363</v>
      </c>
    </row>
    <row r="2926" spans="1:20" x14ac:dyDescent="0.2">
      <c r="A2926" s="4" t="s">
        <v>4793</v>
      </c>
      <c r="B2926" s="4" t="s">
        <v>5360</v>
      </c>
      <c r="C2926" s="4" t="s">
        <v>2096</v>
      </c>
      <c r="D2926" s="4" t="s">
        <v>4764</v>
      </c>
      <c r="E2926" s="4" t="s">
        <v>5366</v>
      </c>
      <c r="F2926" s="4" t="s">
        <v>5362</v>
      </c>
      <c r="G2926" s="4" t="s">
        <v>4981</v>
      </c>
      <c r="H2926" s="4" t="s">
        <v>2183</v>
      </c>
      <c r="I2926" s="4" t="s">
        <v>2100</v>
      </c>
      <c r="J2926" s="4" t="s">
        <v>4993</v>
      </c>
      <c r="K2926">
        <v>13</v>
      </c>
      <c r="L2926">
        <v>3.9</v>
      </c>
      <c r="M2926">
        <v>20</v>
      </c>
      <c r="N2926">
        <v>250</v>
      </c>
      <c r="O2926">
        <v>153.54330708661416</v>
      </c>
      <c r="P2926">
        <v>0.78740157480314965</v>
      </c>
      <c r="Q2926">
        <v>9.8425196850393704</v>
      </c>
      <c r="R2926">
        <v>656.16800000000001</v>
      </c>
      <c r="S2926">
        <v>1.95E-2</v>
      </c>
      <c r="T2926" s="4" t="s">
        <v>5363</v>
      </c>
    </row>
    <row r="2927" spans="1:20" x14ac:dyDescent="0.2">
      <c r="A2927" s="4" t="s">
        <v>4793</v>
      </c>
      <c r="B2927" s="4" t="s">
        <v>5360</v>
      </c>
      <c r="C2927" s="4" t="s">
        <v>2096</v>
      </c>
      <c r="D2927" s="4" t="s">
        <v>4764</v>
      </c>
      <c r="E2927" s="4" t="s">
        <v>5367</v>
      </c>
      <c r="F2927" s="4" t="s">
        <v>5362</v>
      </c>
      <c r="G2927" s="4" t="s">
        <v>4981</v>
      </c>
      <c r="H2927" s="4" t="s">
        <v>2183</v>
      </c>
      <c r="I2927" s="4" t="s">
        <v>2100</v>
      </c>
      <c r="J2927" s="4" t="s">
        <v>4993</v>
      </c>
      <c r="K2927">
        <v>14</v>
      </c>
      <c r="L2927">
        <v>4.2</v>
      </c>
      <c r="M2927">
        <v>20</v>
      </c>
      <c r="N2927">
        <v>250</v>
      </c>
      <c r="O2927">
        <v>165.35433070866142</v>
      </c>
      <c r="P2927">
        <v>0.78740157480314965</v>
      </c>
      <c r="Q2927">
        <v>9.8425196850393704</v>
      </c>
      <c r="R2927">
        <v>656.16800000000001</v>
      </c>
      <c r="S2927">
        <v>2.1000000000000001E-2</v>
      </c>
      <c r="T2927" s="4" t="s">
        <v>5363</v>
      </c>
    </row>
    <row r="2928" spans="1:20" x14ac:dyDescent="0.2">
      <c r="A2928" s="4" t="s">
        <v>4793</v>
      </c>
      <c r="B2928" s="4" t="s">
        <v>5360</v>
      </c>
      <c r="C2928" s="4" t="s">
        <v>2096</v>
      </c>
      <c r="D2928" s="4" t="s">
        <v>4764</v>
      </c>
      <c r="E2928" s="4" t="s">
        <v>5368</v>
      </c>
      <c r="F2928" s="4" t="s">
        <v>5362</v>
      </c>
      <c r="G2928" s="4" t="s">
        <v>4981</v>
      </c>
      <c r="H2928" s="4" t="s">
        <v>2183</v>
      </c>
      <c r="I2928" s="4" t="s">
        <v>2100</v>
      </c>
      <c r="J2928" s="4" t="s">
        <v>4993</v>
      </c>
      <c r="K2928">
        <v>15</v>
      </c>
      <c r="L2928">
        <v>4.5</v>
      </c>
      <c r="M2928">
        <v>20</v>
      </c>
      <c r="N2928">
        <v>250</v>
      </c>
      <c r="O2928">
        <v>177.16535433070868</v>
      </c>
      <c r="P2928">
        <v>0.78740157480314965</v>
      </c>
      <c r="Q2928">
        <v>9.8425196850393704</v>
      </c>
      <c r="R2928">
        <v>656.16800000000001</v>
      </c>
      <c r="S2928">
        <v>2.2499999999999999E-2</v>
      </c>
      <c r="T2928" s="4" t="s">
        <v>5363</v>
      </c>
    </row>
    <row r="2929" spans="1:20" x14ac:dyDescent="0.2">
      <c r="A2929" s="4" t="s">
        <v>4793</v>
      </c>
      <c r="B2929" s="4" t="s">
        <v>5360</v>
      </c>
      <c r="C2929" s="4" t="s">
        <v>2096</v>
      </c>
      <c r="D2929" s="4" t="s">
        <v>4764</v>
      </c>
      <c r="E2929" s="4" t="s">
        <v>5369</v>
      </c>
      <c r="F2929" s="4" t="s">
        <v>5362</v>
      </c>
      <c r="G2929" s="4" t="s">
        <v>4981</v>
      </c>
      <c r="H2929" s="4" t="s">
        <v>2183</v>
      </c>
      <c r="I2929" s="4" t="s">
        <v>2100</v>
      </c>
      <c r="J2929" s="4" t="s">
        <v>4993</v>
      </c>
      <c r="K2929">
        <v>16</v>
      </c>
      <c r="L2929">
        <v>4.8</v>
      </c>
      <c r="M2929">
        <v>20</v>
      </c>
      <c r="N2929">
        <v>250</v>
      </c>
      <c r="O2929">
        <v>188.97637795275591</v>
      </c>
      <c r="P2929">
        <v>0.78740157480314965</v>
      </c>
      <c r="Q2929">
        <v>9.8425196850393704</v>
      </c>
      <c r="R2929">
        <v>656.16800000000001</v>
      </c>
      <c r="S2929">
        <v>2.4E-2</v>
      </c>
      <c r="T2929" s="4" t="s">
        <v>5363</v>
      </c>
    </row>
    <row r="2930" spans="1:20" x14ac:dyDescent="0.2">
      <c r="A2930" s="4" t="s">
        <v>4793</v>
      </c>
      <c r="B2930" s="4" t="s">
        <v>5360</v>
      </c>
      <c r="C2930" s="4" t="s">
        <v>2096</v>
      </c>
      <c r="D2930" s="4" t="s">
        <v>4764</v>
      </c>
      <c r="E2930" s="4" t="s">
        <v>5370</v>
      </c>
      <c r="F2930" s="4" t="s">
        <v>5362</v>
      </c>
      <c r="G2930" s="4" t="s">
        <v>4981</v>
      </c>
      <c r="H2930" s="4" t="s">
        <v>2183</v>
      </c>
      <c r="I2930" s="4" t="s">
        <v>2100</v>
      </c>
      <c r="J2930" s="4" t="s">
        <v>4993</v>
      </c>
      <c r="K2930">
        <v>17</v>
      </c>
      <c r="L2930">
        <v>5.0999999999999996</v>
      </c>
      <c r="M2930">
        <v>20</v>
      </c>
      <c r="N2930">
        <v>250</v>
      </c>
      <c r="O2930">
        <v>200.78740157480314</v>
      </c>
      <c r="P2930">
        <v>0.78740157480314965</v>
      </c>
      <c r="Q2930">
        <v>9.8425196850393704</v>
      </c>
      <c r="R2930">
        <v>656.16800000000001</v>
      </c>
      <c r="S2930">
        <v>2.5499999999999998E-2</v>
      </c>
      <c r="T2930" s="4" t="s">
        <v>5363</v>
      </c>
    </row>
    <row r="2931" spans="1:20" x14ac:dyDescent="0.2">
      <c r="A2931" s="4" t="s">
        <v>4793</v>
      </c>
      <c r="B2931" s="4" t="s">
        <v>5360</v>
      </c>
      <c r="C2931" s="4" t="s">
        <v>2096</v>
      </c>
      <c r="D2931" s="4" t="s">
        <v>4764</v>
      </c>
      <c r="E2931" s="4" t="s">
        <v>5371</v>
      </c>
      <c r="F2931" s="4" t="s">
        <v>5362</v>
      </c>
      <c r="G2931" s="4" t="s">
        <v>4981</v>
      </c>
      <c r="H2931" s="4" t="s">
        <v>2183</v>
      </c>
      <c r="I2931" s="4" t="s">
        <v>2100</v>
      </c>
      <c r="J2931" s="4" t="s">
        <v>4993</v>
      </c>
      <c r="K2931">
        <v>18</v>
      </c>
      <c r="L2931">
        <v>5.4</v>
      </c>
      <c r="M2931">
        <v>20</v>
      </c>
      <c r="N2931">
        <v>250</v>
      </c>
      <c r="O2931">
        <v>212.59842519685043</v>
      </c>
      <c r="P2931">
        <v>0.78740157480314965</v>
      </c>
      <c r="Q2931">
        <v>9.8425196850393704</v>
      </c>
      <c r="R2931">
        <v>656.16800000000001</v>
      </c>
      <c r="S2931">
        <v>2.7E-2</v>
      </c>
      <c r="T2931" s="4" t="s">
        <v>5363</v>
      </c>
    </row>
    <row r="2932" spans="1:20" x14ac:dyDescent="0.2">
      <c r="A2932" s="4" t="s">
        <v>4793</v>
      </c>
      <c r="B2932" s="4" t="s">
        <v>5360</v>
      </c>
      <c r="C2932" s="4" t="s">
        <v>2286</v>
      </c>
      <c r="D2932" s="4" t="s">
        <v>4764</v>
      </c>
      <c r="E2932" s="4" t="s">
        <v>5372</v>
      </c>
      <c r="F2932" s="4" t="s">
        <v>5362</v>
      </c>
      <c r="G2932" s="4" t="s">
        <v>4981</v>
      </c>
      <c r="H2932" s="4" t="s">
        <v>2183</v>
      </c>
      <c r="I2932" s="4" t="s">
        <v>2100</v>
      </c>
      <c r="J2932" s="4" t="s">
        <v>4993</v>
      </c>
      <c r="K2932">
        <v>4</v>
      </c>
      <c r="L2932">
        <v>1.2</v>
      </c>
      <c r="M2932">
        <v>20</v>
      </c>
      <c r="N2932">
        <v>250</v>
      </c>
      <c r="O2932">
        <v>47.244094488188978</v>
      </c>
      <c r="P2932">
        <v>0.78740157480314965</v>
      </c>
      <c r="Q2932">
        <v>9.8425196850393704</v>
      </c>
      <c r="R2932">
        <v>656.16800000000001</v>
      </c>
      <c r="S2932">
        <v>6.0000000000000001E-3</v>
      </c>
      <c r="T2932" s="4" t="s">
        <v>5373</v>
      </c>
    </row>
    <row r="2933" spans="1:20" x14ac:dyDescent="0.2">
      <c r="A2933" s="4" t="s">
        <v>4793</v>
      </c>
      <c r="B2933" s="4" t="s">
        <v>5360</v>
      </c>
      <c r="C2933" s="4" t="s">
        <v>2286</v>
      </c>
      <c r="D2933" s="4" t="s">
        <v>4764</v>
      </c>
      <c r="E2933" s="4" t="s">
        <v>5374</v>
      </c>
      <c r="F2933" s="4" t="s">
        <v>5362</v>
      </c>
      <c r="G2933" s="4" t="s">
        <v>4981</v>
      </c>
      <c r="H2933" s="4" t="s">
        <v>2183</v>
      </c>
      <c r="I2933" s="4" t="s">
        <v>2100</v>
      </c>
      <c r="J2933" s="4" t="s">
        <v>4993</v>
      </c>
      <c r="K2933">
        <v>5</v>
      </c>
      <c r="L2933">
        <v>1.5</v>
      </c>
      <c r="M2933">
        <v>20</v>
      </c>
      <c r="N2933">
        <v>250</v>
      </c>
      <c r="O2933">
        <v>59.055118110236222</v>
      </c>
      <c r="P2933">
        <v>0.78740157480314965</v>
      </c>
      <c r="Q2933">
        <v>9.8425196850393704</v>
      </c>
      <c r="R2933">
        <v>656.16800000000001</v>
      </c>
      <c r="S2933">
        <v>7.4999999999999997E-3</v>
      </c>
      <c r="T2933" s="4" t="s">
        <v>5373</v>
      </c>
    </row>
    <row r="2934" spans="1:20" x14ac:dyDescent="0.2">
      <c r="A2934" s="4" t="s">
        <v>4793</v>
      </c>
      <c r="B2934" s="4" t="s">
        <v>5360</v>
      </c>
      <c r="C2934" s="4" t="s">
        <v>2286</v>
      </c>
      <c r="D2934" s="4" t="s">
        <v>4764</v>
      </c>
      <c r="E2934" s="4" t="s">
        <v>5375</v>
      </c>
      <c r="F2934" s="4" t="s">
        <v>5362</v>
      </c>
      <c r="G2934" s="4" t="s">
        <v>4981</v>
      </c>
      <c r="H2934" s="4" t="s">
        <v>2183</v>
      </c>
      <c r="I2934" s="4" t="s">
        <v>2100</v>
      </c>
      <c r="J2934" s="4" t="s">
        <v>4993</v>
      </c>
      <c r="K2934">
        <v>6</v>
      </c>
      <c r="L2934">
        <v>1.8</v>
      </c>
      <c r="M2934">
        <v>20</v>
      </c>
      <c r="N2934">
        <v>250</v>
      </c>
      <c r="O2934">
        <v>70.866141732283467</v>
      </c>
      <c r="P2934">
        <v>0.78740157480314965</v>
      </c>
      <c r="Q2934">
        <v>9.8425196850393704</v>
      </c>
      <c r="R2934">
        <v>656.16800000000001</v>
      </c>
      <c r="S2934">
        <v>8.9999999999999993E-3</v>
      </c>
      <c r="T2934" s="4" t="s">
        <v>5373</v>
      </c>
    </row>
    <row r="2935" spans="1:20" x14ac:dyDescent="0.2">
      <c r="A2935" s="4" t="s">
        <v>4793</v>
      </c>
      <c r="B2935" s="4" t="s">
        <v>5360</v>
      </c>
      <c r="C2935" s="4" t="s">
        <v>2286</v>
      </c>
      <c r="D2935" s="4" t="s">
        <v>4764</v>
      </c>
      <c r="E2935" s="4" t="s">
        <v>1417</v>
      </c>
      <c r="F2935" s="4" t="s">
        <v>5362</v>
      </c>
      <c r="G2935" s="4" t="s">
        <v>4981</v>
      </c>
      <c r="H2935" s="4" t="s">
        <v>2183</v>
      </c>
      <c r="I2935" s="4" t="s">
        <v>2100</v>
      </c>
      <c r="J2935" s="4" t="s">
        <v>4993</v>
      </c>
      <c r="K2935">
        <v>7</v>
      </c>
      <c r="L2935">
        <v>2.1</v>
      </c>
      <c r="M2935">
        <v>20</v>
      </c>
      <c r="N2935">
        <v>250</v>
      </c>
      <c r="O2935">
        <v>82.677165354330711</v>
      </c>
      <c r="P2935">
        <v>0.78740157480314965</v>
      </c>
      <c r="Q2935">
        <v>9.8425196850393704</v>
      </c>
      <c r="R2935">
        <v>656.16800000000001</v>
      </c>
      <c r="S2935">
        <v>1.0500000000000001E-2</v>
      </c>
      <c r="T2935" s="4" t="s">
        <v>5373</v>
      </c>
    </row>
    <row r="2936" spans="1:20" x14ac:dyDescent="0.2">
      <c r="A2936" s="4" t="s">
        <v>4793</v>
      </c>
      <c r="B2936" s="4" t="s">
        <v>5360</v>
      </c>
      <c r="C2936" s="4" t="s">
        <v>2096</v>
      </c>
      <c r="D2936" s="4" t="s">
        <v>4764</v>
      </c>
      <c r="E2936" s="4" t="s">
        <v>1419</v>
      </c>
      <c r="F2936" s="4" t="s">
        <v>5362</v>
      </c>
      <c r="G2936" s="4" t="s">
        <v>4981</v>
      </c>
      <c r="H2936" s="4" t="s">
        <v>2183</v>
      </c>
      <c r="I2936" s="4" t="s">
        <v>2100</v>
      </c>
      <c r="J2936" s="4" t="s">
        <v>4993</v>
      </c>
      <c r="K2936">
        <v>8</v>
      </c>
      <c r="L2936">
        <v>2.4</v>
      </c>
      <c r="M2936">
        <v>20</v>
      </c>
      <c r="N2936">
        <v>250</v>
      </c>
      <c r="O2936">
        <v>94.488188976377955</v>
      </c>
      <c r="P2936">
        <v>0.78740157480314965</v>
      </c>
      <c r="Q2936">
        <v>9.8425196850393704</v>
      </c>
      <c r="R2936">
        <v>656.16800000000001</v>
      </c>
      <c r="S2936">
        <v>1.2E-2</v>
      </c>
      <c r="T2936" s="4" t="s">
        <v>5363</v>
      </c>
    </row>
    <row r="2937" spans="1:20" x14ac:dyDescent="0.2">
      <c r="A2937" s="4" t="s">
        <v>4793</v>
      </c>
      <c r="B2937" s="4" t="s">
        <v>5360</v>
      </c>
      <c r="C2937" s="4" t="s">
        <v>2096</v>
      </c>
      <c r="D2937" s="4" t="s">
        <v>4764</v>
      </c>
      <c r="E2937" s="4" t="s">
        <v>5376</v>
      </c>
      <c r="F2937" s="4" t="s">
        <v>5362</v>
      </c>
      <c r="G2937" s="4" t="s">
        <v>4981</v>
      </c>
      <c r="H2937" s="4" t="s">
        <v>2183</v>
      </c>
      <c r="I2937" s="4" t="s">
        <v>2100</v>
      </c>
      <c r="J2937" s="4" t="s">
        <v>4993</v>
      </c>
      <c r="K2937">
        <v>9</v>
      </c>
      <c r="L2937">
        <v>2.7</v>
      </c>
      <c r="M2937">
        <v>20</v>
      </c>
      <c r="N2937">
        <v>250</v>
      </c>
      <c r="O2937">
        <v>106.29921259842521</v>
      </c>
      <c r="P2937">
        <v>0.78740157480314965</v>
      </c>
      <c r="Q2937">
        <v>9.8425196850393704</v>
      </c>
      <c r="R2937">
        <v>656.16800000000001</v>
      </c>
      <c r="S2937">
        <v>1.35E-2</v>
      </c>
      <c r="T2937" s="4" t="s">
        <v>5363</v>
      </c>
    </row>
    <row r="2938" spans="1:20" x14ac:dyDescent="0.2">
      <c r="A2938" s="4" t="s">
        <v>4793</v>
      </c>
      <c r="B2938" s="4" t="s">
        <v>5377</v>
      </c>
      <c r="C2938" s="4" t="s">
        <v>2096</v>
      </c>
      <c r="D2938" s="4" t="s">
        <v>4764</v>
      </c>
      <c r="E2938" s="4" t="s">
        <v>5378</v>
      </c>
      <c r="F2938" s="4" t="s">
        <v>5379</v>
      </c>
      <c r="G2938" s="4" t="s">
        <v>4981</v>
      </c>
      <c r="H2938" s="4" t="s">
        <v>2183</v>
      </c>
      <c r="I2938" s="4" t="s">
        <v>2100</v>
      </c>
      <c r="J2938" s="4" t="s">
        <v>2384</v>
      </c>
      <c r="K2938">
        <v>10</v>
      </c>
      <c r="L2938">
        <v>3</v>
      </c>
      <c r="M2938">
        <v>19</v>
      </c>
      <c r="N2938">
        <v>92</v>
      </c>
      <c r="O2938">
        <v>118.11023622047244</v>
      </c>
      <c r="P2938">
        <v>0.74803149606299213</v>
      </c>
      <c r="Q2938">
        <v>3.6220472440944884</v>
      </c>
      <c r="R2938">
        <v>1876.9110000000001</v>
      </c>
      <c r="S2938">
        <v>5.2439999999999995E-3</v>
      </c>
      <c r="T2938" s="4" t="s">
        <v>5380</v>
      </c>
    </row>
    <row r="2939" spans="1:20" x14ac:dyDescent="0.2">
      <c r="A2939" s="4" t="s">
        <v>4793</v>
      </c>
      <c r="B2939" s="4" t="s">
        <v>5377</v>
      </c>
      <c r="C2939" s="4" t="s">
        <v>2096</v>
      </c>
      <c r="D2939" s="4" t="s">
        <v>4764</v>
      </c>
      <c r="E2939" s="4" t="s">
        <v>5381</v>
      </c>
      <c r="F2939" s="4" t="s">
        <v>5379</v>
      </c>
      <c r="G2939" s="4" t="s">
        <v>4981</v>
      </c>
      <c r="H2939" s="4" t="s">
        <v>2183</v>
      </c>
      <c r="I2939" s="4" t="s">
        <v>2100</v>
      </c>
      <c r="J2939" s="4" t="s">
        <v>2384</v>
      </c>
      <c r="K2939">
        <v>11</v>
      </c>
      <c r="L2939">
        <v>3.3</v>
      </c>
      <c r="M2939">
        <v>19</v>
      </c>
      <c r="N2939">
        <v>92</v>
      </c>
      <c r="O2939">
        <v>129.92125984251967</v>
      </c>
      <c r="P2939">
        <v>0.74803149606299213</v>
      </c>
      <c r="Q2939">
        <v>3.6220472440944884</v>
      </c>
      <c r="R2939">
        <v>1876.9110000000001</v>
      </c>
      <c r="S2939">
        <v>5.768399999999999E-3</v>
      </c>
      <c r="T2939" s="4" t="s">
        <v>5380</v>
      </c>
    </row>
    <row r="2940" spans="1:20" x14ac:dyDescent="0.2">
      <c r="A2940" s="4" t="s">
        <v>4793</v>
      </c>
      <c r="B2940" s="4" t="s">
        <v>5377</v>
      </c>
      <c r="C2940" s="4" t="s">
        <v>2096</v>
      </c>
      <c r="D2940" s="4" t="s">
        <v>4764</v>
      </c>
      <c r="E2940" s="4" t="s">
        <v>5382</v>
      </c>
      <c r="F2940" s="4" t="s">
        <v>5379</v>
      </c>
      <c r="G2940" s="4" t="s">
        <v>4981</v>
      </c>
      <c r="H2940" s="4" t="s">
        <v>2183</v>
      </c>
      <c r="I2940" s="4" t="s">
        <v>2100</v>
      </c>
      <c r="J2940" s="4" t="s">
        <v>2384</v>
      </c>
      <c r="K2940">
        <v>12</v>
      </c>
      <c r="L2940">
        <v>3.6</v>
      </c>
      <c r="M2940">
        <v>19</v>
      </c>
      <c r="N2940">
        <v>92</v>
      </c>
      <c r="O2940">
        <v>141.73228346456693</v>
      </c>
      <c r="P2940">
        <v>0.74803149606299213</v>
      </c>
      <c r="Q2940">
        <v>3.6220472440944884</v>
      </c>
      <c r="R2940">
        <v>1876.9110000000001</v>
      </c>
      <c r="S2940">
        <v>6.2928000000000003E-3</v>
      </c>
      <c r="T2940" s="4" t="s">
        <v>5380</v>
      </c>
    </row>
    <row r="2941" spans="1:20" x14ac:dyDescent="0.2">
      <c r="A2941" s="4" t="s">
        <v>4793</v>
      </c>
      <c r="B2941" s="4" t="s">
        <v>5377</v>
      </c>
      <c r="C2941" s="4" t="s">
        <v>2096</v>
      </c>
      <c r="D2941" s="4" t="s">
        <v>4764</v>
      </c>
      <c r="E2941" s="4" t="s">
        <v>5383</v>
      </c>
      <c r="F2941" s="4" t="s">
        <v>5379</v>
      </c>
      <c r="G2941" s="4" t="s">
        <v>4981</v>
      </c>
      <c r="H2941" s="4" t="s">
        <v>2183</v>
      </c>
      <c r="I2941" s="4" t="s">
        <v>2100</v>
      </c>
      <c r="J2941" s="4" t="s">
        <v>2384</v>
      </c>
      <c r="K2941">
        <v>13</v>
      </c>
      <c r="L2941">
        <v>3.9</v>
      </c>
      <c r="M2941">
        <v>19</v>
      </c>
      <c r="N2941">
        <v>92</v>
      </c>
      <c r="O2941">
        <v>153.54330708661416</v>
      </c>
      <c r="P2941">
        <v>0.74803149606299213</v>
      </c>
      <c r="Q2941">
        <v>3.6220472440944884</v>
      </c>
      <c r="R2941">
        <v>1876.9110000000001</v>
      </c>
      <c r="S2941">
        <v>6.8171999999999998E-3</v>
      </c>
      <c r="T2941" s="4" t="s">
        <v>5380</v>
      </c>
    </row>
    <row r="2942" spans="1:20" x14ac:dyDescent="0.2">
      <c r="A2942" s="4" t="s">
        <v>4793</v>
      </c>
      <c r="B2942" s="4" t="s">
        <v>5377</v>
      </c>
      <c r="C2942" s="4" t="s">
        <v>2096</v>
      </c>
      <c r="D2942" s="4" t="s">
        <v>4764</v>
      </c>
      <c r="E2942" s="4" t="s">
        <v>1202</v>
      </c>
      <c r="F2942" s="4" t="s">
        <v>5379</v>
      </c>
      <c r="G2942" s="4" t="s">
        <v>4981</v>
      </c>
      <c r="H2942" s="4" t="s">
        <v>2183</v>
      </c>
      <c r="I2942" s="4" t="s">
        <v>2100</v>
      </c>
      <c r="J2942" s="4" t="s">
        <v>2384</v>
      </c>
      <c r="K2942">
        <v>14</v>
      </c>
      <c r="L2942">
        <v>4.2</v>
      </c>
      <c r="M2942">
        <v>19</v>
      </c>
      <c r="N2942">
        <v>92</v>
      </c>
      <c r="O2942">
        <v>165.35433070866142</v>
      </c>
      <c r="P2942">
        <v>0.74803149606299213</v>
      </c>
      <c r="Q2942">
        <v>3.6220472440944884</v>
      </c>
      <c r="R2942">
        <v>1876.9110000000001</v>
      </c>
      <c r="S2942">
        <v>7.3415999999999993E-3</v>
      </c>
      <c r="T2942" s="4" t="s">
        <v>5380</v>
      </c>
    </row>
    <row r="2943" spans="1:20" x14ac:dyDescent="0.2">
      <c r="A2943" s="4" t="s">
        <v>4793</v>
      </c>
      <c r="B2943" s="4" t="s">
        <v>5377</v>
      </c>
      <c r="C2943" s="4" t="s">
        <v>2096</v>
      </c>
      <c r="D2943" s="4" t="s">
        <v>4764</v>
      </c>
      <c r="E2943" s="4" t="s">
        <v>5384</v>
      </c>
      <c r="F2943" s="4" t="s">
        <v>5379</v>
      </c>
      <c r="G2943" s="4" t="s">
        <v>4981</v>
      </c>
      <c r="H2943" s="4" t="s">
        <v>2183</v>
      </c>
      <c r="I2943" s="4" t="s">
        <v>2100</v>
      </c>
      <c r="J2943" s="4" t="s">
        <v>2384</v>
      </c>
      <c r="K2943">
        <v>15</v>
      </c>
      <c r="L2943">
        <v>4.5</v>
      </c>
      <c r="M2943">
        <v>19</v>
      </c>
      <c r="N2943">
        <v>92</v>
      </c>
      <c r="O2943">
        <v>177.16535433070868</v>
      </c>
      <c r="P2943">
        <v>0.74803149606299213</v>
      </c>
      <c r="Q2943">
        <v>3.6220472440944884</v>
      </c>
      <c r="R2943">
        <v>1876.9110000000001</v>
      </c>
      <c r="S2943">
        <v>7.8659999999999997E-3</v>
      </c>
      <c r="T2943" s="4" t="s">
        <v>5380</v>
      </c>
    </row>
    <row r="2944" spans="1:20" x14ac:dyDescent="0.2">
      <c r="A2944" s="4" t="s">
        <v>4793</v>
      </c>
      <c r="B2944" s="4" t="s">
        <v>5377</v>
      </c>
      <c r="C2944" s="4" t="s">
        <v>2096</v>
      </c>
      <c r="D2944" s="4" t="s">
        <v>4764</v>
      </c>
      <c r="E2944" s="4" t="s">
        <v>5385</v>
      </c>
      <c r="F2944" s="4" t="s">
        <v>5379</v>
      </c>
      <c r="G2944" s="4" t="s">
        <v>4981</v>
      </c>
      <c r="H2944" s="4" t="s">
        <v>2183</v>
      </c>
      <c r="I2944" s="4" t="s">
        <v>2100</v>
      </c>
      <c r="J2944" s="4" t="s">
        <v>2384</v>
      </c>
      <c r="K2944">
        <v>16</v>
      </c>
      <c r="L2944">
        <v>4.8</v>
      </c>
      <c r="M2944">
        <v>19</v>
      </c>
      <c r="N2944">
        <v>92</v>
      </c>
      <c r="O2944">
        <v>188.97637795275591</v>
      </c>
      <c r="P2944">
        <v>0.74803149606299213</v>
      </c>
      <c r="Q2944">
        <v>3.6220472440944884</v>
      </c>
      <c r="R2944">
        <v>1876.9110000000001</v>
      </c>
      <c r="S2944">
        <v>8.3903999999999992E-3</v>
      </c>
      <c r="T2944" s="4" t="s">
        <v>5380</v>
      </c>
    </row>
    <row r="2945" spans="1:20" x14ac:dyDescent="0.2">
      <c r="A2945" s="4" t="s">
        <v>4793</v>
      </c>
      <c r="B2945" s="4" t="s">
        <v>5377</v>
      </c>
      <c r="C2945" s="4" t="s">
        <v>2096</v>
      </c>
      <c r="D2945" s="4" t="s">
        <v>4764</v>
      </c>
      <c r="E2945" s="4" t="s">
        <v>5386</v>
      </c>
      <c r="F2945" s="4" t="s">
        <v>5379</v>
      </c>
      <c r="G2945" s="4" t="s">
        <v>4981</v>
      </c>
      <c r="H2945" s="4" t="s">
        <v>2183</v>
      </c>
      <c r="I2945" s="4" t="s">
        <v>2100</v>
      </c>
      <c r="J2945" s="4" t="s">
        <v>2384</v>
      </c>
      <c r="K2945">
        <v>17</v>
      </c>
      <c r="L2945">
        <v>5.0999999999999996</v>
      </c>
      <c r="M2945">
        <v>19</v>
      </c>
      <c r="N2945">
        <v>92</v>
      </c>
      <c r="O2945">
        <v>200.78740157480314</v>
      </c>
      <c r="P2945">
        <v>0.74803149606299213</v>
      </c>
      <c r="Q2945">
        <v>3.6220472440944884</v>
      </c>
      <c r="R2945">
        <v>1876.9110000000001</v>
      </c>
      <c r="S2945">
        <v>8.9147999999999988E-3</v>
      </c>
      <c r="T2945" s="4" t="s">
        <v>5380</v>
      </c>
    </row>
    <row r="2946" spans="1:20" x14ac:dyDescent="0.2">
      <c r="A2946" s="4" t="s">
        <v>4793</v>
      </c>
      <c r="B2946" s="4" t="s">
        <v>5377</v>
      </c>
      <c r="C2946" s="4" t="s">
        <v>2096</v>
      </c>
      <c r="D2946" s="4" t="s">
        <v>4764</v>
      </c>
      <c r="E2946" s="4" t="s">
        <v>5387</v>
      </c>
      <c r="F2946" s="4" t="s">
        <v>5379</v>
      </c>
      <c r="G2946" s="4" t="s">
        <v>4981</v>
      </c>
      <c r="H2946" s="4" t="s">
        <v>2183</v>
      </c>
      <c r="I2946" s="4" t="s">
        <v>2100</v>
      </c>
      <c r="J2946" s="4" t="s">
        <v>2384</v>
      </c>
      <c r="K2946">
        <v>18</v>
      </c>
      <c r="L2946">
        <v>5.4</v>
      </c>
      <c r="M2946">
        <v>19</v>
      </c>
      <c r="N2946">
        <v>92</v>
      </c>
      <c r="O2946">
        <v>212.59842519685043</v>
      </c>
      <c r="P2946">
        <v>0.74803149606299213</v>
      </c>
      <c r="Q2946">
        <v>3.6220472440944884</v>
      </c>
      <c r="R2946">
        <v>1876.9110000000001</v>
      </c>
      <c r="S2946">
        <v>9.4392000000000018E-3</v>
      </c>
      <c r="T2946" s="4" t="s">
        <v>5380</v>
      </c>
    </row>
    <row r="2947" spans="1:20" x14ac:dyDescent="0.2">
      <c r="A2947" s="4" t="s">
        <v>4793</v>
      </c>
      <c r="B2947" s="4" t="s">
        <v>5377</v>
      </c>
      <c r="C2947" s="4" t="s">
        <v>2286</v>
      </c>
      <c r="D2947" s="4" t="s">
        <v>4764</v>
      </c>
      <c r="E2947" s="4" t="s">
        <v>5388</v>
      </c>
      <c r="F2947" s="4" t="s">
        <v>5379</v>
      </c>
      <c r="G2947" s="4" t="s">
        <v>4981</v>
      </c>
      <c r="H2947" s="4" t="s">
        <v>2183</v>
      </c>
      <c r="I2947" s="4" t="s">
        <v>2100</v>
      </c>
      <c r="J2947" s="4" t="s">
        <v>2384</v>
      </c>
      <c r="K2947">
        <v>4</v>
      </c>
      <c r="L2947">
        <v>1.2</v>
      </c>
      <c r="M2947">
        <v>19</v>
      </c>
      <c r="N2947">
        <v>92</v>
      </c>
      <c r="O2947">
        <v>47.244094488188978</v>
      </c>
      <c r="P2947">
        <v>0.74803149606299213</v>
      </c>
      <c r="Q2947">
        <v>3.6220472440944884</v>
      </c>
      <c r="R2947">
        <v>1876.9110000000001</v>
      </c>
      <c r="S2947">
        <v>2.0975999999999998E-3</v>
      </c>
      <c r="T2947" s="4" t="s">
        <v>5389</v>
      </c>
    </row>
    <row r="2948" spans="1:20" x14ac:dyDescent="0.2">
      <c r="A2948" s="4" t="s">
        <v>4793</v>
      </c>
      <c r="B2948" s="4" t="s">
        <v>5377</v>
      </c>
      <c r="C2948" s="4" t="s">
        <v>2286</v>
      </c>
      <c r="D2948" s="4" t="s">
        <v>4764</v>
      </c>
      <c r="E2948" s="4" t="s">
        <v>5390</v>
      </c>
      <c r="F2948" s="4" t="s">
        <v>5379</v>
      </c>
      <c r="G2948" s="4" t="s">
        <v>4981</v>
      </c>
      <c r="H2948" s="4" t="s">
        <v>2183</v>
      </c>
      <c r="I2948" s="4" t="s">
        <v>2100</v>
      </c>
      <c r="J2948" s="4" t="s">
        <v>2384</v>
      </c>
      <c r="K2948">
        <v>5</v>
      </c>
      <c r="L2948">
        <v>1.5</v>
      </c>
      <c r="M2948">
        <v>19</v>
      </c>
      <c r="N2948">
        <v>92</v>
      </c>
      <c r="O2948">
        <v>59.055118110236222</v>
      </c>
      <c r="P2948">
        <v>0.74803149606299213</v>
      </c>
      <c r="Q2948">
        <v>3.6220472440944884</v>
      </c>
      <c r="R2948">
        <v>1876.9110000000001</v>
      </c>
      <c r="S2948">
        <v>2.6219999999999998E-3</v>
      </c>
      <c r="T2948" s="4" t="s">
        <v>5389</v>
      </c>
    </row>
    <row r="2949" spans="1:20" x14ac:dyDescent="0.2">
      <c r="A2949" s="4" t="s">
        <v>4793</v>
      </c>
      <c r="B2949" s="4" t="s">
        <v>5377</v>
      </c>
      <c r="C2949" s="4" t="s">
        <v>2286</v>
      </c>
      <c r="D2949" s="4" t="s">
        <v>4764</v>
      </c>
      <c r="E2949" s="4" t="s">
        <v>1203</v>
      </c>
      <c r="F2949" s="4" t="s">
        <v>5379</v>
      </c>
      <c r="G2949" s="4" t="s">
        <v>4981</v>
      </c>
      <c r="H2949" s="4" t="s">
        <v>2183</v>
      </c>
      <c r="I2949" s="4" t="s">
        <v>2100</v>
      </c>
      <c r="J2949" s="4" t="s">
        <v>2384</v>
      </c>
      <c r="K2949">
        <v>6</v>
      </c>
      <c r="L2949">
        <v>1.8</v>
      </c>
      <c r="M2949">
        <v>19</v>
      </c>
      <c r="N2949">
        <v>92</v>
      </c>
      <c r="O2949">
        <v>70.866141732283467</v>
      </c>
      <c r="P2949">
        <v>0.74803149606299213</v>
      </c>
      <c r="Q2949">
        <v>3.6220472440944884</v>
      </c>
      <c r="R2949">
        <v>1876.9110000000001</v>
      </c>
      <c r="S2949">
        <v>3.1464000000000002E-3</v>
      </c>
      <c r="T2949" s="4" t="s">
        <v>5389</v>
      </c>
    </row>
    <row r="2950" spans="1:20" x14ac:dyDescent="0.2">
      <c r="A2950" s="4" t="s">
        <v>4793</v>
      </c>
      <c r="B2950" s="4" t="s">
        <v>5377</v>
      </c>
      <c r="C2950" s="4" t="s">
        <v>2286</v>
      </c>
      <c r="D2950" s="4" t="s">
        <v>4764</v>
      </c>
      <c r="E2950" s="4" t="s">
        <v>1204</v>
      </c>
      <c r="F2950" s="4" t="s">
        <v>5379</v>
      </c>
      <c r="G2950" s="4" t="s">
        <v>4981</v>
      </c>
      <c r="H2950" s="4" t="s">
        <v>2183</v>
      </c>
      <c r="I2950" s="4" t="s">
        <v>2100</v>
      </c>
      <c r="J2950" s="4" t="s">
        <v>2384</v>
      </c>
      <c r="K2950">
        <v>7</v>
      </c>
      <c r="L2950">
        <v>2.1</v>
      </c>
      <c r="M2950">
        <v>19</v>
      </c>
      <c r="N2950">
        <v>92</v>
      </c>
      <c r="O2950">
        <v>82.677165354330711</v>
      </c>
      <c r="P2950">
        <v>0.74803149606299213</v>
      </c>
      <c r="Q2950">
        <v>3.6220472440944884</v>
      </c>
      <c r="R2950">
        <v>1876.9110000000001</v>
      </c>
      <c r="S2950">
        <v>3.6707999999999997E-3</v>
      </c>
      <c r="T2950" s="4" t="s">
        <v>5389</v>
      </c>
    </row>
    <row r="2951" spans="1:20" x14ac:dyDescent="0.2">
      <c r="A2951" s="4" t="s">
        <v>4793</v>
      </c>
      <c r="B2951" s="4" t="s">
        <v>5377</v>
      </c>
      <c r="C2951" s="4" t="s">
        <v>2096</v>
      </c>
      <c r="D2951" s="4" t="s">
        <v>4764</v>
      </c>
      <c r="E2951" s="4" t="s">
        <v>1205</v>
      </c>
      <c r="F2951" s="4" t="s">
        <v>5379</v>
      </c>
      <c r="G2951" s="4" t="s">
        <v>4981</v>
      </c>
      <c r="H2951" s="4" t="s">
        <v>2183</v>
      </c>
      <c r="I2951" s="4" t="s">
        <v>2100</v>
      </c>
      <c r="J2951" s="4" t="s">
        <v>2384</v>
      </c>
      <c r="K2951">
        <v>8</v>
      </c>
      <c r="L2951">
        <v>2.4</v>
      </c>
      <c r="M2951">
        <v>19</v>
      </c>
      <c r="N2951">
        <v>92</v>
      </c>
      <c r="O2951">
        <v>94.488188976377955</v>
      </c>
      <c r="P2951">
        <v>0.74803149606299213</v>
      </c>
      <c r="Q2951">
        <v>3.6220472440944884</v>
      </c>
      <c r="R2951">
        <v>1876.9110000000001</v>
      </c>
      <c r="S2951">
        <v>4.1951999999999996E-3</v>
      </c>
      <c r="T2951" s="4" t="s">
        <v>5380</v>
      </c>
    </row>
    <row r="2952" spans="1:20" x14ac:dyDescent="0.2">
      <c r="A2952" s="4" t="s">
        <v>4793</v>
      </c>
      <c r="B2952" s="4" t="s">
        <v>5377</v>
      </c>
      <c r="C2952" s="4" t="s">
        <v>2096</v>
      </c>
      <c r="D2952" s="4" t="s">
        <v>4764</v>
      </c>
      <c r="E2952" s="4" t="s">
        <v>1206</v>
      </c>
      <c r="F2952" s="4" t="s">
        <v>5379</v>
      </c>
      <c r="G2952" s="4" t="s">
        <v>4981</v>
      </c>
      <c r="H2952" s="4" t="s">
        <v>2183</v>
      </c>
      <c r="I2952" s="4" t="s">
        <v>2100</v>
      </c>
      <c r="J2952" s="4" t="s">
        <v>2384</v>
      </c>
      <c r="K2952">
        <v>9</v>
      </c>
      <c r="L2952">
        <v>2.7</v>
      </c>
      <c r="M2952">
        <v>19</v>
      </c>
      <c r="N2952">
        <v>92</v>
      </c>
      <c r="O2952">
        <v>106.29921259842521</v>
      </c>
      <c r="P2952">
        <v>0.74803149606299213</v>
      </c>
      <c r="Q2952">
        <v>3.6220472440944884</v>
      </c>
      <c r="R2952">
        <v>1876.9110000000001</v>
      </c>
      <c r="S2952">
        <v>4.7196000000000009E-3</v>
      </c>
      <c r="T2952" s="4" t="s">
        <v>5380</v>
      </c>
    </row>
    <row r="2953" spans="1:20" x14ac:dyDescent="0.2">
      <c r="A2953" s="4" t="s">
        <v>4793</v>
      </c>
      <c r="B2953" s="4" t="s">
        <v>4798</v>
      </c>
      <c r="C2953" s="4" t="s">
        <v>2096</v>
      </c>
      <c r="D2953" s="4" t="s">
        <v>4764</v>
      </c>
      <c r="E2953" s="4" t="s">
        <v>1421</v>
      </c>
      <c r="F2953" s="4" t="s">
        <v>5391</v>
      </c>
      <c r="G2953" s="4" t="s">
        <v>4981</v>
      </c>
      <c r="H2953" s="4" t="s">
        <v>2183</v>
      </c>
      <c r="I2953" s="4" t="s">
        <v>2100</v>
      </c>
      <c r="J2953" s="4" t="s">
        <v>2153</v>
      </c>
      <c r="K2953">
        <v>10</v>
      </c>
      <c r="L2953">
        <v>3</v>
      </c>
      <c r="M2953">
        <v>19</v>
      </c>
      <c r="N2953">
        <v>140</v>
      </c>
      <c r="O2953">
        <v>118.11023622047244</v>
      </c>
      <c r="P2953">
        <v>0.74803149606299213</v>
      </c>
      <c r="Q2953">
        <v>5.5118110236220472</v>
      </c>
      <c r="R2953">
        <v>1233.3979999999999</v>
      </c>
      <c r="S2953">
        <v>7.980000000000001E-3</v>
      </c>
      <c r="T2953" s="4" t="s">
        <v>5392</v>
      </c>
    </row>
    <row r="2954" spans="1:20" x14ac:dyDescent="0.2">
      <c r="A2954" s="4" t="s">
        <v>4793</v>
      </c>
      <c r="B2954" s="4" t="s">
        <v>4798</v>
      </c>
      <c r="C2954" s="4" t="s">
        <v>2096</v>
      </c>
      <c r="D2954" s="4" t="s">
        <v>4764</v>
      </c>
      <c r="E2954" s="4" t="s">
        <v>1423</v>
      </c>
      <c r="F2954" s="4" t="s">
        <v>5391</v>
      </c>
      <c r="G2954" s="4" t="s">
        <v>4981</v>
      </c>
      <c r="H2954" s="4" t="s">
        <v>2183</v>
      </c>
      <c r="I2954" s="4" t="s">
        <v>2100</v>
      </c>
      <c r="J2954" s="4" t="s">
        <v>2153</v>
      </c>
      <c r="K2954">
        <v>11</v>
      </c>
      <c r="L2954">
        <v>3.3</v>
      </c>
      <c r="M2954">
        <v>19</v>
      </c>
      <c r="N2954">
        <v>140</v>
      </c>
      <c r="O2954">
        <v>129.92125984251967</v>
      </c>
      <c r="P2954">
        <v>0.74803149606299213</v>
      </c>
      <c r="Q2954">
        <v>5.5118110236220472</v>
      </c>
      <c r="R2954">
        <v>1233.3979999999999</v>
      </c>
      <c r="S2954">
        <v>8.7779999999999993E-3</v>
      </c>
      <c r="T2954" s="4" t="s">
        <v>5392</v>
      </c>
    </row>
    <row r="2955" spans="1:20" x14ac:dyDescent="0.2">
      <c r="A2955" s="4" t="s">
        <v>4793</v>
      </c>
      <c r="B2955" s="4" t="s">
        <v>4798</v>
      </c>
      <c r="C2955" s="4" t="s">
        <v>2096</v>
      </c>
      <c r="D2955" s="4" t="s">
        <v>4764</v>
      </c>
      <c r="E2955" s="4" t="s">
        <v>1425</v>
      </c>
      <c r="F2955" s="4" t="s">
        <v>5391</v>
      </c>
      <c r="G2955" s="4" t="s">
        <v>4981</v>
      </c>
      <c r="H2955" s="4" t="s">
        <v>2183</v>
      </c>
      <c r="I2955" s="4" t="s">
        <v>2100</v>
      </c>
      <c r="J2955" s="4" t="s">
        <v>2153</v>
      </c>
      <c r="K2955">
        <v>12</v>
      </c>
      <c r="L2955">
        <v>3.6</v>
      </c>
      <c r="M2955">
        <v>19</v>
      </c>
      <c r="N2955">
        <v>140</v>
      </c>
      <c r="O2955">
        <v>141.73228346456693</v>
      </c>
      <c r="P2955">
        <v>0.74803149606299213</v>
      </c>
      <c r="Q2955">
        <v>5.5118110236220472</v>
      </c>
      <c r="R2955">
        <v>1233.3979999999999</v>
      </c>
      <c r="S2955">
        <v>9.5760000000000012E-3</v>
      </c>
      <c r="T2955" s="4" t="s">
        <v>5392</v>
      </c>
    </row>
    <row r="2956" spans="1:20" x14ac:dyDescent="0.2">
      <c r="A2956" s="4" t="s">
        <v>4793</v>
      </c>
      <c r="B2956" s="4" t="s">
        <v>4798</v>
      </c>
      <c r="C2956" s="4" t="s">
        <v>2096</v>
      </c>
      <c r="D2956" s="4" t="s">
        <v>4764</v>
      </c>
      <c r="E2956" s="4" t="s">
        <v>1427</v>
      </c>
      <c r="F2956" s="4" t="s">
        <v>5391</v>
      </c>
      <c r="G2956" s="4" t="s">
        <v>4981</v>
      </c>
      <c r="H2956" s="4" t="s">
        <v>2183</v>
      </c>
      <c r="I2956" s="4" t="s">
        <v>2100</v>
      </c>
      <c r="J2956" s="4" t="s">
        <v>2153</v>
      </c>
      <c r="K2956">
        <v>13</v>
      </c>
      <c r="L2956">
        <v>3.9</v>
      </c>
      <c r="M2956">
        <v>19</v>
      </c>
      <c r="N2956">
        <v>140</v>
      </c>
      <c r="O2956">
        <v>153.54330708661416</v>
      </c>
      <c r="P2956">
        <v>0.74803149606299213</v>
      </c>
      <c r="Q2956">
        <v>5.5118110236220472</v>
      </c>
      <c r="R2956">
        <v>1233.3979999999999</v>
      </c>
      <c r="S2956">
        <v>1.0374000000000001E-2</v>
      </c>
      <c r="T2956" s="4" t="s">
        <v>5392</v>
      </c>
    </row>
    <row r="2957" spans="1:20" x14ac:dyDescent="0.2">
      <c r="A2957" s="4" t="s">
        <v>4793</v>
      </c>
      <c r="B2957" s="4" t="s">
        <v>4798</v>
      </c>
      <c r="C2957" s="4" t="s">
        <v>2096</v>
      </c>
      <c r="D2957" s="4" t="s">
        <v>4764</v>
      </c>
      <c r="E2957" s="4" t="s">
        <v>1429</v>
      </c>
      <c r="F2957" s="4" t="s">
        <v>5391</v>
      </c>
      <c r="G2957" s="4" t="s">
        <v>4981</v>
      </c>
      <c r="H2957" s="4" t="s">
        <v>2183</v>
      </c>
      <c r="I2957" s="4" t="s">
        <v>2100</v>
      </c>
      <c r="J2957" s="4" t="s">
        <v>2153</v>
      </c>
      <c r="K2957">
        <v>14</v>
      </c>
      <c r="L2957">
        <v>4.2</v>
      </c>
      <c r="M2957">
        <v>19</v>
      </c>
      <c r="N2957">
        <v>140</v>
      </c>
      <c r="O2957">
        <v>165.35433070866142</v>
      </c>
      <c r="P2957">
        <v>0.74803149606299213</v>
      </c>
      <c r="Q2957">
        <v>5.5118110236220472</v>
      </c>
      <c r="R2957">
        <v>1233.3979999999999</v>
      </c>
      <c r="S2957">
        <v>1.1172E-2</v>
      </c>
      <c r="T2957" s="4" t="s">
        <v>5392</v>
      </c>
    </row>
    <row r="2958" spans="1:20" x14ac:dyDescent="0.2">
      <c r="A2958" s="4" t="s">
        <v>4793</v>
      </c>
      <c r="B2958" s="4" t="s">
        <v>4798</v>
      </c>
      <c r="C2958" s="4" t="s">
        <v>2096</v>
      </c>
      <c r="D2958" s="4" t="s">
        <v>4764</v>
      </c>
      <c r="E2958" s="4" t="s">
        <v>1431</v>
      </c>
      <c r="F2958" s="4" t="s">
        <v>5391</v>
      </c>
      <c r="G2958" s="4" t="s">
        <v>4981</v>
      </c>
      <c r="H2958" s="4" t="s">
        <v>2183</v>
      </c>
      <c r="I2958" s="4" t="s">
        <v>2100</v>
      </c>
      <c r="J2958" s="4" t="s">
        <v>2153</v>
      </c>
      <c r="K2958">
        <v>15</v>
      </c>
      <c r="L2958">
        <v>4.5</v>
      </c>
      <c r="M2958">
        <v>19</v>
      </c>
      <c r="N2958">
        <v>140</v>
      </c>
      <c r="O2958">
        <v>177.16535433070868</v>
      </c>
      <c r="P2958">
        <v>0.74803149606299213</v>
      </c>
      <c r="Q2958">
        <v>5.5118110236220472</v>
      </c>
      <c r="R2958">
        <v>1233.3979999999999</v>
      </c>
      <c r="S2958">
        <v>1.1970000000000001E-2</v>
      </c>
      <c r="T2958" s="4" t="s">
        <v>5392</v>
      </c>
    </row>
    <row r="2959" spans="1:20" x14ac:dyDescent="0.2">
      <c r="A2959" s="4" t="s">
        <v>4793</v>
      </c>
      <c r="B2959" s="4" t="s">
        <v>4798</v>
      </c>
      <c r="C2959" s="4" t="s">
        <v>2096</v>
      </c>
      <c r="D2959" s="4" t="s">
        <v>4764</v>
      </c>
      <c r="E2959" s="4" t="s">
        <v>1433</v>
      </c>
      <c r="F2959" s="4" t="s">
        <v>5391</v>
      </c>
      <c r="G2959" s="4" t="s">
        <v>4981</v>
      </c>
      <c r="H2959" s="4" t="s">
        <v>2183</v>
      </c>
      <c r="I2959" s="4" t="s">
        <v>2100</v>
      </c>
      <c r="J2959" s="4" t="s">
        <v>2153</v>
      </c>
      <c r="K2959">
        <v>16</v>
      </c>
      <c r="L2959">
        <v>4.8</v>
      </c>
      <c r="M2959">
        <v>19</v>
      </c>
      <c r="N2959">
        <v>140</v>
      </c>
      <c r="O2959">
        <v>188.97637795275591</v>
      </c>
      <c r="P2959">
        <v>0.74803149606299213</v>
      </c>
      <c r="Q2959">
        <v>5.5118110236220472</v>
      </c>
      <c r="R2959">
        <v>1233.3979999999999</v>
      </c>
      <c r="S2959">
        <v>1.2768E-2</v>
      </c>
      <c r="T2959" s="4" t="s">
        <v>5392</v>
      </c>
    </row>
    <row r="2960" spans="1:20" x14ac:dyDescent="0.2">
      <c r="A2960" s="4" t="s">
        <v>4793</v>
      </c>
      <c r="B2960" s="4" t="s">
        <v>4798</v>
      </c>
      <c r="C2960" s="4" t="s">
        <v>2096</v>
      </c>
      <c r="D2960" s="4" t="s">
        <v>4764</v>
      </c>
      <c r="E2960" s="4" t="s">
        <v>5393</v>
      </c>
      <c r="F2960" s="4" t="s">
        <v>5391</v>
      </c>
      <c r="G2960" s="4" t="s">
        <v>4981</v>
      </c>
      <c r="H2960" s="4" t="s">
        <v>2183</v>
      </c>
      <c r="I2960" s="4" t="s">
        <v>2100</v>
      </c>
      <c r="J2960" s="4" t="s">
        <v>2153</v>
      </c>
      <c r="K2960">
        <v>17</v>
      </c>
      <c r="L2960">
        <v>5.0999999999999996</v>
      </c>
      <c r="M2960">
        <v>19</v>
      </c>
      <c r="N2960">
        <v>140</v>
      </c>
      <c r="O2960">
        <v>200.78740157480314</v>
      </c>
      <c r="P2960">
        <v>0.74803149606299213</v>
      </c>
      <c r="Q2960">
        <v>5.5118110236220472</v>
      </c>
      <c r="R2960">
        <v>1233.3979999999999</v>
      </c>
      <c r="S2960">
        <v>1.3565999999999998E-2</v>
      </c>
      <c r="T2960" s="4" t="s">
        <v>5392</v>
      </c>
    </row>
    <row r="2961" spans="1:20" x14ac:dyDescent="0.2">
      <c r="A2961" s="4" t="s">
        <v>4793</v>
      </c>
      <c r="B2961" s="4" t="s">
        <v>4798</v>
      </c>
      <c r="C2961" s="4" t="s">
        <v>2096</v>
      </c>
      <c r="D2961" s="4" t="s">
        <v>4764</v>
      </c>
      <c r="E2961" s="4" t="s">
        <v>5394</v>
      </c>
      <c r="F2961" s="4" t="s">
        <v>5391</v>
      </c>
      <c r="G2961" s="4" t="s">
        <v>4981</v>
      </c>
      <c r="H2961" s="4" t="s">
        <v>2183</v>
      </c>
      <c r="I2961" s="4" t="s">
        <v>2100</v>
      </c>
      <c r="J2961" s="4" t="s">
        <v>2153</v>
      </c>
      <c r="K2961">
        <v>18</v>
      </c>
      <c r="L2961">
        <v>5.4</v>
      </c>
      <c r="M2961">
        <v>19</v>
      </c>
      <c r="N2961">
        <v>140</v>
      </c>
      <c r="O2961">
        <v>212.59842519685043</v>
      </c>
      <c r="P2961">
        <v>0.74803149606299213</v>
      </c>
      <c r="Q2961">
        <v>5.5118110236220472</v>
      </c>
      <c r="R2961">
        <v>1233.3979999999999</v>
      </c>
      <c r="S2961">
        <v>1.4364E-2</v>
      </c>
      <c r="T2961" s="4" t="s">
        <v>5392</v>
      </c>
    </row>
    <row r="2962" spans="1:20" x14ac:dyDescent="0.2">
      <c r="A2962" s="4" t="s">
        <v>4793</v>
      </c>
      <c r="B2962" s="4" t="s">
        <v>4798</v>
      </c>
      <c r="C2962" s="4" t="s">
        <v>2286</v>
      </c>
      <c r="D2962" s="4" t="s">
        <v>4764</v>
      </c>
      <c r="E2962" s="4" t="s">
        <v>1435</v>
      </c>
      <c r="F2962" s="4" t="s">
        <v>5391</v>
      </c>
      <c r="G2962" s="4" t="s">
        <v>4981</v>
      </c>
      <c r="H2962" s="4" t="s">
        <v>2183</v>
      </c>
      <c r="I2962" s="4" t="s">
        <v>2100</v>
      </c>
      <c r="J2962" s="4" t="s">
        <v>2153</v>
      </c>
      <c r="K2962">
        <v>4</v>
      </c>
      <c r="L2962">
        <v>1.2</v>
      </c>
      <c r="M2962">
        <v>19</v>
      </c>
      <c r="N2962">
        <v>140</v>
      </c>
      <c r="O2962">
        <v>47.244094488188978</v>
      </c>
      <c r="P2962">
        <v>0.74803149606299213</v>
      </c>
      <c r="Q2962">
        <v>5.5118110236220472</v>
      </c>
      <c r="R2962">
        <v>1233.3979999999999</v>
      </c>
      <c r="S2962">
        <v>3.192E-3</v>
      </c>
      <c r="T2962" s="4" t="s">
        <v>5395</v>
      </c>
    </row>
    <row r="2963" spans="1:20" x14ac:dyDescent="0.2">
      <c r="A2963" s="4" t="s">
        <v>4793</v>
      </c>
      <c r="B2963" s="4" t="s">
        <v>4798</v>
      </c>
      <c r="C2963" s="4" t="s">
        <v>2286</v>
      </c>
      <c r="D2963" s="4" t="s">
        <v>4764</v>
      </c>
      <c r="E2963" s="4" t="s">
        <v>1437</v>
      </c>
      <c r="F2963" s="4" t="s">
        <v>5391</v>
      </c>
      <c r="G2963" s="4" t="s">
        <v>4981</v>
      </c>
      <c r="H2963" s="4" t="s">
        <v>2183</v>
      </c>
      <c r="I2963" s="4" t="s">
        <v>2100</v>
      </c>
      <c r="J2963" s="4" t="s">
        <v>2153</v>
      </c>
      <c r="K2963">
        <v>5</v>
      </c>
      <c r="L2963">
        <v>1.5</v>
      </c>
      <c r="M2963">
        <v>19</v>
      </c>
      <c r="N2963">
        <v>140</v>
      </c>
      <c r="O2963">
        <v>59.055118110236222</v>
      </c>
      <c r="P2963">
        <v>0.74803149606299213</v>
      </c>
      <c r="Q2963">
        <v>5.5118110236220472</v>
      </c>
      <c r="R2963">
        <v>1233.3979999999999</v>
      </c>
      <c r="S2963">
        <v>3.9900000000000005E-3</v>
      </c>
      <c r="T2963" s="4" t="s">
        <v>5395</v>
      </c>
    </row>
    <row r="2964" spans="1:20" x14ac:dyDescent="0.2">
      <c r="A2964" s="4" t="s">
        <v>4793</v>
      </c>
      <c r="B2964" s="4" t="s">
        <v>4798</v>
      </c>
      <c r="C2964" s="4" t="s">
        <v>2286</v>
      </c>
      <c r="D2964" s="4" t="s">
        <v>4764</v>
      </c>
      <c r="E2964" s="4" t="s">
        <v>1439</v>
      </c>
      <c r="F2964" s="4" t="s">
        <v>5391</v>
      </c>
      <c r="G2964" s="4" t="s">
        <v>4981</v>
      </c>
      <c r="H2964" s="4" t="s">
        <v>2183</v>
      </c>
      <c r="I2964" s="4" t="s">
        <v>2100</v>
      </c>
      <c r="J2964" s="4" t="s">
        <v>2153</v>
      </c>
      <c r="K2964">
        <v>6</v>
      </c>
      <c r="L2964">
        <v>1.8</v>
      </c>
      <c r="M2964">
        <v>19</v>
      </c>
      <c r="N2964">
        <v>140</v>
      </c>
      <c r="O2964">
        <v>70.866141732283467</v>
      </c>
      <c r="P2964">
        <v>0.74803149606299213</v>
      </c>
      <c r="Q2964">
        <v>5.5118110236220472</v>
      </c>
      <c r="R2964">
        <v>1233.3979999999999</v>
      </c>
      <c r="S2964">
        <v>4.7880000000000006E-3</v>
      </c>
      <c r="T2964" s="4" t="s">
        <v>5395</v>
      </c>
    </row>
    <row r="2965" spans="1:20" x14ac:dyDescent="0.2">
      <c r="A2965" s="4" t="s">
        <v>4793</v>
      </c>
      <c r="B2965" s="4" t="s">
        <v>4798</v>
      </c>
      <c r="C2965" s="4" t="s">
        <v>2286</v>
      </c>
      <c r="D2965" s="4" t="s">
        <v>4764</v>
      </c>
      <c r="E2965" s="4" t="s">
        <v>1441</v>
      </c>
      <c r="F2965" s="4" t="s">
        <v>5391</v>
      </c>
      <c r="G2965" s="4" t="s">
        <v>4981</v>
      </c>
      <c r="H2965" s="4" t="s">
        <v>2183</v>
      </c>
      <c r="I2965" s="4" t="s">
        <v>2100</v>
      </c>
      <c r="J2965" s="4" t="s">
        <v>2153</v>
      </c>
      <c r="K2965">
        <v>7</v>
      </c>
      <c r="L2965">
        <v>2.1</v>
      </c>
      <c r="M2965">
        <v>19</v>
      </c>
      <c r="N2965">
        <v>140</v>
      </c>
      <c r="O2965">
        <v>82.677165354330711</v>
      </c>
      <c r="P2965">
        <v>0.74803149606299213</v>
      </c>
      <c r="Q2965">
        <v>5.5118110236220472</v>
      </c>
      <c r="R2965">
        <v>1233.3979999999999</v>
      </c>
      <c r="S2965">
        <v>5.5859999999999998E-3</v>
      </c>
      <c r="T2965" s="4" t="s">
        <v>5395</v>
      </c>
    </row>
    <row r="2966" spans="1:20" x14ac:dyDescent="0.2">
      <c r="A2966" s="4" t="s">
        <v>4793</v>
      </c>
      <c r="B2966" s="4" t="s">
        <v>4798</v>
      </c>
      <c r="C2966" s="4" t="s">
        <v>2096</v>
      </c>
      <c r="D2966" s="4" t="s">
        <v>4764</v>
      </c>
      <c r="E2966" s="4" t="s">
        <v>1443</v>
      </c>
      <c r="F2966" s="4" t="s">
        <v>5391</v>
      </c>
      <c r="G2966" s="4" t="s">
        <v>4981</v>
      </c>
      <c r="H2966" s="4" t="s">
        <v>2183</v>
      </c>
      <c r="I2966" s="4" t="s">
        <v>2100</v>
      </c>
      <c r="J2966" s="4" t="s">
        <v>2153</v>
      </c>
      <c r="K2966">
        <v>8</v>
      </c>
      <c r="L2966">
        <v>2.4</v>
      </c>
      <c r="M2966">
        <v>19</v>
      </c>
      <c r="N2966">
        <v>140</v>
      </c>
      <c r="O2966">
        <v>94.488188976377955</v>
      </c>
      <c r="P2966">
        <v>0.74803149606299213</v>
      </c>
      <c r="Q2966">
        <v>5.5118110236220472</v>
      </c>
      <c r="R2966">
        <v>1233.3979999999999</v>
      </c>
      <c r="S2966">
        <v>6.3839999999999999E-3</v>
      </c>
      <c r="T2966" s="4" t="s">
        <v>5392</v>
      </c>
    </row>
    <row r="2967" spans="1:20" x14ac:dyDescent="0.2">
      <c r="A2967" s="4" t="s">
        <v>4793</v>
      </c>
      <c r="B2967" s="4" t="s">
        <v>4798</v>
      </c>
      <c r="C2967" s="4" t="s">
        <v>2096</v>
      </c>
      <c r="D2967" s="4" t="s">
        <v>4764</v>
      </c>
      <c r="E2967" s="4" t="s">
        <v>1445</v>
      </c>
      <c r="F2967" s="4" t="s">
        <v>5391</v>
      </c>
      <c r="G2967" s="4" t="s">
        <v>4981</v>
      </c>
      <c r="H2967" s="4" t="s">
        <v>2183</v>
      </c>
      <c r="I2967" s="4" t="s">
        <v>2100</v>
      </c>
      <c r="J2967" s="4" t="s">
        <v>2153</v>
      </c>
      <c r="K2967">
        <v>9</v>
      </c>
      <c r="L2967">
        <v>2.7</v>
      </c>
      <c r="M2967">
        <v>19</v>
      </c>
      <c r="N2967">
        <v>140</v>
      </c>
      <c r="O2967">
        <v>106.29921259842521</v>
      </c>
      <c r="P2967">
        <v>0.74803149606299213</v>
      </c>
      <c r="Q2967">
        <v>5.5118110236220472</v>
      </c>
      <c r="R2967">
        <v>1233.3979999999999</v>
      </c>
      <c r="S2967">
        <v>7.182E-3</v>
      </c>
      <c r="T2967" s="4" t="s">
        <v>5392</v>
      </c>
    </row>
    <row r="2968" spans="1:20" x14ac:dyDescent="0.2">
      <c r="A2968" s="4" t="s">
        <v>4793</v>
      </c>
      <c r="B2968" s="4" t="s">
        <v>5396</v>
      </c>
      <c r="C2968" s="4" t="s">
        <v>2096</v>
      </c>
      <c r="D2968" s="4" t="s">
        <v>4764</v>
      </c>
      <c r="E2968" s="4" t="s">
        <v>1447</v>
      </c>
      <c r="F2968" s="4" t="s">
        <v>5397</v>
      </c>
      <c r="G2968" s="4" t="s">
        <v>4981</v>
      </c>
      <c r="H2968" s="4" t="s">
        <v>2183</v>
      </c>
      <c r="I2968" s="4" t="s">
        <v>2100</v>
      </c>
      <c r="J2968" s="4" t="s">
        <v>2432</v>
      </c>
      <c r="K2968">
        <v>10</v>
      </c>
      <c r="L2968">
        <v>3</v>
      </c>
      <c r="M2968">
        <v>20</v>
      </c>
      <c r="N2968">
        <v>180</v>
      </c>
      <c r="O2968">
        <v>118.11023622047244</v>
      </c>
      <c r="P2968">
        <v>0.78740157480314965</v>
      </c>
      <c r="Q2968">
        <v>7.0866141732283472</v>
      </c>
      <c r="R2968">
        <v>911.34400000000005</v>
      </c>
      <c r="S2968">
        <v>1.0799999999999999E-2</v>
      </c>
      <c r="T2968" s="4" t="s">
        <v>5398</v>
      </c>
    </row>
    <row r="2969" spans="1:20" x14ac:dyDescent="0.2">
      <c r="A2969" s="4" t="s">
        <v>4793</v>
      </c>
      <c r="B2969" s="4" t="s">
        <v>5396</v>
      </c>
      <c r="C2969" s="4" t="s">
        <v>2096</v>
      </c>
      <c r="D2969" s="4" t="s">
        <v>4764</v>
      </c>
      <c r="E2969" s="4" t="s">
        <v>1449</v>
      </c>
      <c r="F2969" s="4" t="s">
        <v>5397</v>
      </c>
      <c r="G2969" s="4" t="s">
        <v>4981</v>
      </c>
      <c r="H2969" s="4" t="s">
        <v>2183</v>
      </c>
      <c r="I2969" s="4" t="s">
        <v>2100</v>
      </c>
      <c r="J2969" s="4" t="s">
        <v>2432</v>
      </c>
      <c r="K2969">
        <v>11</v>
      </c>
      <c r="L2969">
        <v>3.3</v>
      </c>
      <c r="M2969">
        <v>20</v>
      </c>
      <c r="N2969">
        <v>180</v>
      </c>
      <c r="O2969">
        <v>129.92125984251967</v>
      </c>
      <c r="P2969">
        <v>0.78740157480314965</v>
      </c>
      <c r="Q2969">
        <v>7.0866141732283472</v>
      </c>
      <c r="R2969">
        <v>911.34400000000005</v>
      </c>
      <c r="S2969">
        <v>1.188E-2</v>
      </c>
      <c r="T2969" s="4" t="s">
        <v>5398</v>
      </c>
    </row>
    <row r="2970" spans="1:20" x14ac:dyDescent="0.2">
      <c r="A2970" s="4" t="s">
        <v>4793</v>
      </c>
      <c r="B2970" s="4" t="s">
        <v>5396</v>
      </c>
      <c r="C2970" s="4" t="s">
        <v>2096</v>
      </c>
      <c r="D2970" s="4" t="s">
        <v>4764</v>
      </c>
      <c r="E2970" s="4" t="s">
        <v>5399</v>
      </c>
      <c r="F2970" s="4" t="s">
        <v>5397</v>
      </c>
      <c r="G2970" s="4" t="s">
        <v>4981</v>
      </c>
      <c r="H2970" s="4" t="s">
        <v>2183</v>
      </c>
      <c r="I2970" s="4" t="s">
        <v>2100</v>
      </c>
      <c r="J2970" s="4" t="s">
        <v>2432</v>
      </c>
      <c r="K2970">
        <v>12</v>
      </c>
      <c r="L2970">
        <v>3.6</v>
      </c>
      <c r="M2970">
        <v>20</v>
      </c>
      <c r="N2970">
        <v>180</v>
      </c>
      <c r="O2970">
        <v>141.73228346456693</v>
      </c>
      <c r="P2970">
        <v>0.78740157480314965</v>
      </c>
      <c r="Q2970">
        <v>7.0866141732283472</v>
      </c>
      <c r="R2970">
        <v>911.34400000000005</v>
      </c>
      <c r="S2970">
        <v>1.2959999999999999E-2</v>
      </c>
      <c r="T2970" s="4" t="s">
        <v>5398</v>
      </c>
    </row>
    <row r="2971" spans="1:20" x14ac:dyDescent="0.2">
      <c r="A2971" s="4" t="s">
        <v>4793</v>
      </c>
      <c r="B2971" s="4" t="s">
        <v>5396</v>
      </c>
      <c r="C2971" s="4" t="s">
        <v>2096</v>
      </c>
      <c r="D2971" s="4" t="s">
        <v>4764</v>
      </c>
      <c r="E2971" s="4" t="s">
        <v>1451</v>
      </c>
      <c r="F2971" s="4" t="s">
        <v>5397</v>
      </c>
      <c r="G2971" s="4" t="s">
        <v>4981</v>
      </c>
      <c r="H2971" s="4" t="s">
        <v>2183</v>
      </c>
      <c r="I2971" s="4" t="s">
        <v>2100</v>
      </c>
      <c r="J2971" s="4" t="s">
        <v>2432</v>
      </c>
      <c r="K2971">
        <v>13</v>
      </c>
      <c r="L2971">
        <v>3.9</v>
      </c>
      <c r="M2971">
        <v>20</v>
      </c>
      <c r="N2971">
        <v>180</v>
      </c>
      <c r="O2971">
        <v>153.54330708661416</v>
      </c>
      <c r="P2971">
        <v>0.78740157480314965</v>
      </c>
      <c r="Q2971">
        <v>7.0866141732283472</v>
      </c>
      <c r="R2971">
        <v>911.34400000000005</v>
      </c>
      <c r="S2971">
        <v>1.4039999999999999E-2</v>
      </c>
      <c r="T2971" s="4" t="s">
        <v>5398</v>
      </c>
    </row>
    <row r="2972" spans="1:20" x14ac:dyDescent="0.2">
      <c r="A2972" s="4" t="s">
        <v>4793</v>
      </c>
      <c r="B2972" s="4" t="s">
        <v>5396</v>
      </c>
      <c r="C2972" s="4" t="s">
        <v>2096</v>
      </c>
      <c r="D2972" s="4" t="s">
        <v>4764</v>
      </c>
      <c r="E2972" s="4" t="s">
        <v>5400</v>
      </c>
      <c r="F2972" s="4" t="s">
        <v>5397</v>
      </c>
      <c r="G2972" s="4" t="s">
        <v>4981</v>
      </c>
      <c r="H2972" s="4" t="s">
        <v>2183</v>
      </c>
      <c r="I2972" s="4" t="s">
        <v>2100</v>
      </c>
      <c r="J2972" s="4" t="s">
        <v>2432</v>
      </c>
      <c r="K2972">
        <v>14</v>
      </c>
      <c r="L2972">
        <v>4.2</v>
      </c>
      <c r="M2972">
        <v>20</v>
      </c>
      <c r="N2972">
        <v>180</v>
      </c>
      <c r="O2972">
        <v>165.35433070866142</v>
      </c>
      <c r="P2972">
        <v>0.78740157480314965</v>
      </c>
      <c r="Q2972">
        <v>7.0866141732283472</v>
      </c>
      <c r="R2972">
        <v>911.34400000000005</v>
      </c>
      <c r="S2972">
        <v>1.5120000000000001E-2</v>
      </c>
      <c r="T2972" s="4" t="s">
        <v>5398</v>
      </c>
    </row>
    <row r="2973" spans="1:20" x14ac:dyDescent="0.2">
      <c r="A2973" s="4" t="s">
        <v>4793</v>
      </c>
      <c r="B2973" s="4" t="s">
        <v>5396</v>
      </c>
      <c r="C2973" s="4" t="s">
        <v>2096</v>
      </c>
      <c r="D2973" s="4" t="s">
        <v>4764</v>
      </c>
      <c r="E2973" s="4" t="s">
        <v>5401</v>
      </c>
      <c r="F2973" s="4" t="s">
        <v>5397</v>
      </c>
      <c r="G2973" s="4" t="s">
        <v>4981</v>
      </c>
      <c r="H2973" s="4" t="s">
        <v>2183</v>
      </c>
      <c r="I2973" s="4" t="s">
        <v>2100</v>
      </c>
      <c r="J2973" s="4" t="s">
        <v>2432</v>
      </c>
      <c r="K2973">
        <v>15</v>
      </c>
      <c r="L2973">
        <v>4.5</v>
      </c>
      <c r="M2973">
        <v>20</v>
      </c>
      <c r="N2973">
        <v>180</v>
      </c>
      <c r="O2973">
        <v>177.16535433070868</v>
      </c>
      <c r="P2973">
        <v>0.78740157480314965</v>
      </c>
      <c r="Q2973">
        <v>7.0866141732283472</v>
      </c>
      <c r="R2973">
        <v>911.34400000000005</v>
      </c>
      <c r="S2973">
        <v>1.6199999999999999E-2</v>
      </c>
      <c r="T2973" s="4" t="s">
        <v>5398</v>
      </c>
    </row>
    <row r="2974" spans="1:20" x14ac:dyDescent="0.2">
      <c r="A2974" s="4" t="s">
        <v>4793</v>
      </c>
      <c r="B2974" s="4" t="s">
        <v>5396</v>
      </c>
      <c r="C2974" s="4" t="s">
        <v>2096</v>
      </c>
      <c r="D2974" s="4" t="s">
        <v>4764</v>
      </c>
      <c r="E2974" s="4" t="s">
        <v>5402</v>
      </c>
      <c r="F2974" s="4" t="s">
        <v>5397</v>
      </c>
      <c r="G2974" s="4" t="s">
        <v>4981</v>
      </c>
      <c r="H2974" s="4" t="s">
        <v>2183</v>
      </c>
      <c r="I2974" s="4" t="s">
        <v>2100</v>
      </c>
      <c r="J2974" s="4" t="s">
        <v>2432</v>
      </c>
      <c r="K2974">
        <v>16</v>
      </c>
      <c r="L2974">
        <v>4.8</v>
      </c>
      <c r="M2974">
        <v>20</v>
      </c>
      <c r="N2974">
        <v>180</v>
      </c>
      <c r="O2974">
        <v>188.97637795275591</v>
      </c>
      <c r="P2974">
        <v>0.78740157480314965</v>
      </c>
      <c r="Q2974">
        <v>7.0866141732283472</v>
      </c>
      <c r="R2974">
        <v>911.34400000000005</v>
      </c>
      <c r="S2974">
        <v>1.728E-2</v>
      </c>
      <c r="T2974" s="4" t="s">
        <v>5398</v>
      </c>
    </row>
    <row r="2975" spans="1:20" x14ac:dyDescent="0.2">
      <c r="A2975" s="4" t="s">
        <v>4793</v>
      </c>
      <c r="B2975" s="4" t="s">
        <v>5396</v>
      </c>
      <c r="C2975" s="4" t="s">
        <v>2096</v>
      </c>
      <c r="D2975" s="4" t="s">
        <v>4764</v>
      </c>
      <c r="E2975" s="4" t="s">
        <v>5403</v>
      </c>
      <c r="F2975" s="4" t="s">
        <v>5397</v>
      </c>
      <c r="G2975" s="4" t="s">
        <v>4981</v>
      </c>
      <c r="H2975" s="4" t="s">
        <v>2183</v>
      </c>
      <c r="I2975" s="4" t="s">
        <v>2100</v>
      </c>
      <c r="J2975" s="4" t="s">
        <v>2432</v>
      </c>
      <c r="K2975">
        <v>17</v>
      </c>
      <c r="L2975">
        <v>5.0999999999999996</v>
      </c>
      <c r="M2975">
        <v>20</v>
      </c>
      <c r="N2975">
        <v>180</v>
      </c>
      <c r="O2975">
        <v>200.78740157480314</v>
      </c>
      <c r="P2975">
        <v>0.78740157480314965</v>
      </c>
      <c r="Q2975">
        <v>7.0866141732283472</v>
      </c>
      <c r="R2975">
        <v>911.34400000000005</v>
      </c>
      <c r="S2975">
        <v>1.8359999999999998E-2</v>
      </c>
      <c r="T2975" s="4" t="s">
        <v>5398</v>
      </c>
    </row>
    <row r="2976" spans="1:20" x14ac:dyDescent="0.2">
      <c r="A2976" s="4" t="s">
        <v>4793</v>
      </c>
      <c r="B2976" s="4" t="s">
        <v>5396</v>
      </c>
      <c r="C2976" s="4" t="s">
        <v>2096</v>
      </c>
      <c r="D2976" s="4" t="s">
        <v>4764</v>
      </c>
      <c r="E2976" s="4" t="s">
        <v>5404</v>
      </c>
      <c r="F2976" s="4" t="s">
        <v>5397</v>
      </c>
      <c r="G2976" s="4" t="s">
        <v>4981</v>
      </c>
      <c r="H2976" s="4" t="s">
        <v>2183</v>
      </c>
      <c r="I2976" s="4" t="s">
        <v>2100</v>
      </c>
      <c r="J2976" s="4" t="s">
        <v>2432</v>
      </c>
      <c r="K2976">
        <v>18</v>
      </c>
      <c r="L2976">
        <v>5.4</v>
      </c>
      <c r="M2976">
        <v>20</v>
      </c>
      <c r="N2976">
        <v>180</v>
      </c>
      <c r="O2976">
        <v>212.59842519685043</v>
      </c>
      <c r="P2976">
        <v>0.78740157480314965</v>
      </c>
      <c r="Q2976">
        <v>7.0866141732283472</v>
      </c>
      <c r="R2976">
        <v>911.34400000000005</v>
      </c>
      <c r="S2976">
        <v>1.9440000000000002E-2</v>
      </c>
      <c r="T2976" s="4" t="s">
        <v>5398</v>
      </c>
    </row>
    <row r="2977" spans="1:20" x14ac:dyDescent="0.2">
      <c r="A2977" s="4" t="s">
        <v>4793</v>
      </c>
      <c r="B2977" s="4" t="s">
        <v>5396</v>
      </c>
      <c r="C2977" s="4" t="s">
        <v>2286</v>
      </c>
      <c r="D2977" s="4" t="s">
        <v>4764</v>
      </c>
      <c r="E2977" s="4" t="s">
        <v>1453</v>
      </c>
      <c r="F2977" s="4" t="s">
        <v>5397</v>
      </c>
      <c r="G2977" s="4" t="s">
        <v>4981</v>
      </c>
      <c r="H2977" s="4" t="s">
        <v>2183</v>
      </c>
      <c r="I2977" s="4" t="s">
        <v>2100</v>
      </c>
      <c r="J2977" s="4" t="s">
        <v>2432</v>
      </c>
      <c r="K2977">
        <v>4</v>
      </c>
      <c r="L2977">
        <v>1.2</v>
      </c>
      <c r="M2977">
        <v>20</v>
      </c>
      <c r="N2977">
        <v>180</v>
      </c>
      <c r="O2977">
        <v>47.244094488188978</v>
      </c>
      <c r="P2977">
        <v>0.78740157480314965</v>
      </c>
      <c r="Q2977">
        <v>7.0866141732283472</v>
      </c>
      <c r="R2977">
        <v>911.34400000000005</v>
      </c>
      <c r="S2977">
        <v>4.3200000000000001E-3</v>
      </c>
      <c r="T2977" s="4" t="s">
        <v>5405</v>
      </c>
    </row>
    <row r="2978" spans="1:20" x14ac:dyDescent="0.2">
      <c r="A2978" s="4" t="s">
        <v>4793</v>
      </c>
      <c r="B2978" s="4" t="s">
        <v>5396</v>
      </c>
      <c r="C2978" s="4" t="s">
        <v>2286</v>
      </c>
      <c r="D2978" s="4" t="s">
        <v>4764</v>
      </c>
      <c r="E2978" s="4" t="s">
        <v>1455</v>
      </c>
      <c r="F2978" s="4" t="s">
        <v>5397</v>
      </c>
      <c r="G2978" s="4" t="s">
        <v>4981</v>
      </c>
      <c r="H2978" s="4" t="s">
        <v>2183</v>
      </c>
      <c r="I2978" s="4" t="s">
        <v>2100</v>
      </c>
      <c r="J2978" s="4" t="s">
        <v>2432</v>
      </c>
      <c r="K2978">
        <v>5</v>
      </c>
      <c r="L2978">
        <v>1.5</v>
      </c>
      <c r="M2978">
        <v>20</v>
      </c>
      <c r="N2978">
        <v>180</v>
      </c>
      <c r="O2978">
        <v>59.055118110236222</v>
      </c>
      <c r="P2978">
        <v>0.78740157480314965</v>
      </c>
      <c r="Q2978">
        <v>7.0866141732283472</v>
      </c>
      <c r="R2978">
        <v>911.34400000000005</v>
      </c>
      <c r="S2978">
        <v>5.3999999999999994E-3</v>
      </c>
      <c r="T2978" s="4" t="s">
        <v>5405</v>
      </c>
    </row>
    <row r="2979" spans="1:20" x14ac:dyDescent="0.2">
      <c r="A2979" s="4" t="s">
        <v>4793</v>
      </c>
      <c r="B2979" s="4" t="s">
        <v>5396</v>
      </c>
      <c r="C2979" s="4" t="s">
        <v>2286</v>
      </c>
      <c r="D2979" s="4" t="s">
        <v>4764</v>
      </c>
      <c r="E2979" s="4" t="s">
        <v>1457</v>
      </c>
      <c r="F2979" s="4" t="s">
        <v>5397</v>
      </c>
      <c r="G2979" s="4" t="s">
        <v>4981</v>
      </c>
      <c r="H2979" s="4" t="s">
        <v>2183</v>
      </c>
      <c r="I2979" s="4" t="s">
        <v>2100</v>
      </c>
      <c r="J2979" s="4" t="s">
        <v>2432</v>
      </c>
      <c r="K2979">
        <v>6</v>
      </c>
      <c r="L2979">
        <v>1.8</v>
      </c>
      <c r="M2979">
        <v>20</v>
      </c>
      <c r="N2979">
        <v>180</v>
      </c>
      <c r="O2979">
        <v>70.866141732283467</v>
      </c>
      <c r="P2979">
        <v>0.78740157480314965</v>
      </c>
      <c r="Q2979">
        <v>7.0866141732283472</v>
      </c>
      <c r="R2979">
        <v>911.34400000000005</v>
      </c>
      <c r="S2979">
        <v>6.4799999999999996E-3</v>
      </c>
      <c r="T2979" s="4" t="s">
        <v>5405</v>
      </c>
    </row>
    <row r="2980" spans="1:20" x14ac:dyDescent="0.2">
      <c r="A2980" s="4" t="s">
        <v>4793</v>
      </c>
      <c r="B2980" s="4" t="s">
        <v>5396</v>
      </c>
      <c r="C2980" s="4" t="s">
        <v>2286</v>
      </c>
      <c r="D2980" s="4" t="s">
        <v>4764</v>
      </c>
      <c r="E2980" s="4" t="s">
        <v>1459</v>
      </c>
      <c r="F2980" s="4" t="s">
        <v>5397</v>
      </c>
      <c r="G2980" s="4" t="s">
        <v>4981</v>
      </c>
      <c r="H2980" s="4" t="s">
        <v>2183</v>
      </c>
      <c r="I2980" s="4" t="s">
        <v>2100</v>
      </c>
      <c r="J2980" s="4" t="s">
        <v>2432</v>
      </c>
      <c r="K2980">
        <v>7</v>
      </c>
      <c r="L2980">
        <v>2.1</v>
      </c>
      <c r="M2980">
        <v>20</v>
      </c>
      <c r="N2980">
        <v>180</v>
      </c>
      <c r="O2980">
        <v>82.677165354330711</v>
      </c>
      <c r="P2980">
        <v>0.78740157480314965</v>
      </c>
      <c r="Q2980">
        <v>7.0866141732283472</v>
      </c>
      <c r="R2980">
        <v>911.34400000000005</v>
      </c>
      <c r="S2980">
        <v>7.5600000000000007E-3</v>
      </c>
      <c r="T2980" s="4" t="s">
        <v>5405</v>
      </c>
    </row>
    <row r="2981" spans="1:20" x14ac:dyDescent="0.2">
      <c r="A2981" s="4" t="s">
        <v>4793</v>
      </c>
      <c r="B2981" s="4" t="s">
        <v>5396</v>
      </c>
      <c r="C2981" s="4" t="s">
        <v>2096</v>
      </c>
      <c r="D2981" s="4" t="s">
        <v>4764</v>
      </c>
      <c r="E2981" s="4" t="s">
        <v>1461</v>
      </c>
      <c r="F2981" s="4" t="s">
        <v>5397</v>
      </c>
      <c r="G2981" s="4" t="s">
        <v>4981</v>
      </c>
      <c r="H2981" s="4" t="s">
        <v>2183</v>
      </c>
      <c r="I2981" s="4" t="s">
        <v>2100</v>
      </c>
      <c r="J2981" s="4" t="s">
        <v>2432</v>
      </c>
      <c r="K2981">
        <v>8</v>
      </c>
      <c r="L2981">
        <v>2.4</v>
      </c>
      <c r="M2981">
        <v>20</v>
      </c>
      <c r="N2981">
        <v>180</v>
      </c>
      <c r="O2981">
        <v>94.488188976377955</v>
      </c>
      <c r="P2981">
        <v>0.78740157480314965</v>
      </c>
      <c r="Q2981">
        <v>7.0866141732283472</v>
      </c>
      <c r="R2981">
        <v>911.34400000000005</v>
      </c>
      <c r="S2981">
        <v>8.6400000000000001E-3</v>
      </c>
      <c r="T2981" s="4" t="s">
        <v>5398</v>
      </c>
    </row>
    <row r="2982" spans="1:20" x14ac:dyDescent="0.2">
      <c r="A2982" s="4" t="s">
        <v>4793</v>
      </c>
      <c r="B2982" s="4" t="s">
        <v>5396</v>
      </c>
      <c r="C2982" s="4" t="s">
        <v>2096</v>
      </c>
      <c r="D2982" s="4" t="s">
        <v>4764</v>
      </c>
      <c r="E2982" s="4" t="s">
        <v>1463</v>
      </c>
      <c r="F2982" s="4" t="s">
        <v>5397</v>
      </c>
      <c r="G2982" s="4" t="s">
        <v>4981</v>
      </c>
      <c r="H2982" s="4" t="s">
        <v>2183</v>
      </c>
      <c r="I2982" s="4" t="s">
        <v>2100</v>
      </c>
      <c r="J2982" s="4" t="s">
        <v>2432</v>
      </c>
      <c r="K2982">
        <v>9</v>
      </c>
      <c r="L2982">
        <v>2.7</v>
      </c>
      <c r="M2982">
        <v>20</v>
      </c>
      <c r="N2982">
        <v>180</v>
      </c>
      <c r="O2982">
        <v>106.29921259842521</v>
      </c>
      <c r="P2982">
        <v>0.78740157480314965</v>
      </c>
      <c r="Q2982">
        <v>7.0866141732283472</v>
      </c>
      <c r="R2982">
        <v>911.34400000000005</v>
      </c>
      <c r="S2982">
        <v>9.7200000000000012E-3</v>
      </c>
      <c r="T2982" s="4" t="s">
        <v>5398</v>
      </c>
    </row>
    <row r="2983" spans="1:20" x14ac:dyDescent="0.2">
      <c r="A2983" s="4" t="s">
        <v>4793</v>
      </c>
      <c r="B2983" s="4" t="s">
        <v>5406</v>
      </c>
      <c r="C2983" s="4" t="s">
        <v>2096</v>
      </c>
      <c r="D2983" s="4" t="s">
        <v>4764</v>
      </c>
      <c r="E2983" s="4" t="s">
        <v>5407</v>
      </c>
      <c r="F2983" s="4" t="s">
        <v>5408</v>
      </c>
      <c r="G2983" s="4" t="s">
        <v>4981</v>
      </c>
      <c r="H2983" s="4" t="s">
        <v>2183</v>
      </c>
      <c r="I2983" s="4" t="s">
        <v>2100</v>
      </c>
      <c r="J2983" s="4" t="s">
        <v>2518</v>
      </c>
      <c r="K2983">
        <v>10</v>
      </c>
      <c r="L2983">
        <v>3</v>
      </c>
      <c r="M2983">
        <v>40</v>
      </c>
      <c r="N2983">
        <v>40</v>
      </c>
      <c r="O2983">
        <v>118.11023622047244</v>
      </c>
      <c r="P2983">
        <v>1.5748031496062993</v>
      </c>
      <c r="Q2983">
        <v>1.5748031496062993</v>
      </c>
      <c r="R2983">
        <v>2050.5250000000001</v>
      </c>
      <c r="S2983">
        <v>4.7999999999999996E-3</v>
      </c>
      <c r="T2983" s="4" t="s">
        <v>5409</v>
      </c>
    </row>
    <row r="2984" spans="1:20" x14ac:dyDescent="0.2">
      <c r="A2984" s="4" t="s">
        <v>4793</v>
      </c>
      <c r="B2984" s="4" t="s">
        <v>5406</v>
      </c>
      <c r="C2984" s="4" t="s">
        <v>2096</v>
      </c>
      <c r="D2984" s="4" t="s">
        <v>4764</v>
      </c>
      <c r="E2984" s="4" t="s">
        <v>5410</v>
      </c>
      <c r="F2984" s="4" t="s">
        <v>5408</v>
      </c>
      <c r="G2984" s="4" t="s">
        <v>4981</v>
      </c>
      <c r="H2984" s="4" t="s">
        <v>2183</v>
      </c>
      <c r="I2984" s="4" t="s">
        <v>2100</v>
      </c>
      <c r="J2984" s="4" t="s">
        <v>2518</v>
      </c>
      <c r="K2984">
        <v>11</v>
      </c>
      <c r="L2984">
        <v>3.3</v>
      </c>
      <c r="M2984">
        <v>40</v>
      </c>
      <c r="N2984">
        <v>40</v>
      </c>
      <c r="O2984">
        <v>129.92125984251967</v>
      </c>
      <c r="P2984">
        <v>1.5748031496062993</v>
      </c>
      <c r="Q2984">
        <v>1.5748031496062993</v>
      </c>
      <c r="R2984">
        <v>2050.5250000000001</v>
      </c>
      <c r="S2984">
        <v>5.28E-3</v>
      </c>
      <c r="T2984" s="4" t="s">
        <v>5409</v>
      </c>
    </row>
    <row r="2985" spans="1:20" x14ac:dyDescent="0.2">
      <c r="A2985" s="4" t="s">
        <v>4793</v>
      </c>
      <c r="B2985" s="4" t="s">
        <v>5406</v>
      </c>
      <c r="C2985" s="4" t="s">
        <v>2096</v>
      </c>
      <c r="D2985" s="4" t="s">
        <v>4764</v>
      </c>
      <c r="E2985" s="4" t="s">
        <v>5411</v>
      </c>
      <c r="F2985" s="4" t="s">
        <v>5408</v>
      </c>
      <c r="G2985" s="4" t="s">
        <v>4981</v>
      </c>
      <c r="H2985" s="4" t="s">
        <v>2183</v>
      </c>
      <c r="I2985" s="4" t="s">
        <v>2100</v>
      </c>
      <c r="J2985" s="4" t="s">
        <v>2518</v>
      </c>
      <c r="K2985">
        <v>12</v>
      </c>
      <c r="L2985">
        <v>3.6</v>
      </c>
      <c r="M2985">
        <v>40</v>
      </c>
      <c r="N2985">
        <v>40</v>
      </c>
      <c r="O2985">
        <v>141.73228346456693</v>
      </c>
      <c r="P2985">
        <v>1.5748031496062993</v>
      </c>
      <c r="Q2985">
        <v>1.5748031496062993</v>
      </c>
      <c r="R2985">
        <v>2050.5250000000001</v>
      </c>
      <c r="S2985">
        <v>5.7599999999999995E-3</v>
      </c>
      <c r="T2985" s="4" t="s">
        <v>5409</v>
      </c>
    </row>
    <row r="2986" spans="1:20" x14ac:dyDescent="0.2">
      <c r="A2986" s="4" t="s">
        <v>4793</v>
      </c>
      <c r="B2986" s="4" t="s">
        <v>5406</v>
      </c>
      <c r="C2986" s="4" t="s">
        <v>2096</v>
      </c>
      <c r="D2986" s="4" t="s">
        <v>4764</v>
      </c>
      <c r="E2986" s="4" t="s">
        <v>5412</v>
      </c>
      <c r="F2986" s="4" t="s">
        <v>5408</v>
      </c>
      <c r="G2986" s="4" t="s">
        <v>4981</v>
      </c>
      <c r="H2986" s="4" t="s">
        <v>2183</v>
      </c>
      <c r="I2986" s="4" t="s">
        <v>2100</v>
      </c>
      <c r="J2986" s="4" t="s">
        <v>2518</v>
      </c>
      <c r="K2986">
        <v>13</v>
      </c>
      <c r="L2986">
        <v>3.9</v>
      </c>
      <c r="M2986">
        <v>40</v>
      </c>
      <c r="N2986">
        <v>40</v>
      </c>
      <c r="O2986">
        <v>153.54330708661416</v>
      </c>
      <c r="P2986">
        <v>1.5748031496062993</v>
      </c>
      <c r="Q2986">
        <v>1.5748031496062993</v>
      </c>
      <c r="R2986">
        <v>2050.5250000000001</v>
      </c>
      <c r="S2986">
        <v>6.2399999999999999E-3</v>
      </c>
      <c r="T2986" s="4" t="s">
        <v>5409</v>
      </c>
    </row>
    <row r="2987" spans="1:20" x14ac:dyDescent="0.2">
      <c r="A2987" s="4" t="s">
        <v>4793</v>
      </c>
      <c r="B2987" s="4" t="s">
        <v>5406</v>
      </c>
      <c r="C2987" s="4" t="s">
        <v>2096</v>
      </c>
      <c r="D2987" s="4" t="s">
        <v>4764</v>
      </c>
      <c r="E2987" s="4" t="s">
        <v>5413</v>
      </c>
      <c r="F2987" s="4" t="s">
        <v>5408</v>
      </c>
      <c r="G2987" s="4" t="s">
        <v>4981</v>
      </c>
      <c r="H2987" s="4" t="s">
        <v>2183</v>
      </c>
      <c r="I2987" s="4" t="s">
        <v>2100</v>
      </c>
      <c r="J2987" s="4" t="s">
        <v>2518</v>
      </c>
      <c r="K2987">
        <v>14</v>
      </c>
      <c r="L2987">
        <v>4.2</v>
      </c>
      <c r="M2987">
        <v>40</v>
      </c>
      <c r="N2987">
        <v>40</v>
      </c>
      <c r="O2987">
        <v>165.35433070866142</v>
      </c>
      <c r="P2987">
        <v>1.5748031496062993</v>
      </c>
      <c r="Q2987">
        <v>1.5748031496062993</v>
      </c>
      <c r="R2987">
        <v>2050.5250000000001</v>
      </c>
      <c r="S2987">
        <v>6.7200000000000003E-3</v>
      </c>
      <c r="T2987" s="4" t="s">
        <v>5409</v>
      </c>
    </row>
    <row r="2988" spans="1:20" x14ac:dyDescent="0.2">
      <c r="A2988" s="4" t="s">
        <v>4793</v>
      </c>
      <c r="B2988" s="4" t="s">
        <v>5406</v>
      </c>
      <c r="C2988" s="4" t="s">
        <v>2096</v>
      </c>
      <c r="D2988" s="4" t="s">
        <v>4764</v>
      </c>
      <c r="E2988" s="4" t="s">
        <v>5414</v>
      </c>
      <c r="F2988" s="4" t="s">
        <v>5408</v>
      </c>
      <c r="G2988" s="4" t="s">
        <v>4981</v>
      </c>
      <c r="H2988" s="4" t="s">
        <v>2183</v>
      </c>
      <c r="I2988" s="4" t="s">
        <v>2100</v>
      </c>
      <c r="J2988" s="4" t="s">
        <v>2518</v>
      </c>
      <c r="K2988">
        <v>15</v>
      </c>
      <c r="L2988">
        <v>4.5</v>
      </c>
      <c r="M2988">
        <v>40</v>
      </c>
      <c r="N2988">
        <v>40</v>
      </c>
      <c r="O2988">
        <v>177.16535433070868</v>
      </c>
      <c r="P2988">
        <v>1.5748031496062993</v>
      </c>
      <c r="Q2988">
        <v>1.5748031496062993</v>
      </c>
      <c r="R2988">
        <v>2050.5250000000001</v>
      </c>
      <c r="S2988">
        <v>7.1999999999999989E-3</v>
      </c>
      <c r="T2988" s="4" t="s">
        <v>5409</v>
      </c>
    </row>
    <row r="2989" spans="1:20" x14ac:dyDescent="0.2">
      <c r="A2989" s="4" t="s">
        <v>4793</v>
      </c>
      <c r="B2989" s="4" t="s">
        <v>5406</v>
      </c>
      <c r="C2989" s="4" t="s">
        <v>2096</v>
      </c>
      <c r="D2989" s="4" t="s">
        <v>4764</v>
      </c>
      <c r="E2989" s="4" t="s">
        <v>5415</v>
      </c>
      <c r="F2989" s="4" t="s">
        <v>5408</v>
      </c>
      <c r="G2989" s="4" t="s">
        <v>4981</v>
      </c>
      <c r="H2989" s="4" t="s">
        <v>2183</v>
      </c>
      <c r="I2989" s="4" t="s">
        <v>2100</v>
      </c>
      <c r="J2989" s="4" t="s">
        <v>2518</v>
      </c>
      <c r="K2989">
        <v>16</v>
      </c>
      <c r="L2989">
        <v>4.8</v>
      </c>
      <c r="M2989">
        <v>40</v>
      </c>
      <c r="N2989">
        <v>40</v>
      </c>
      <c r="O2989">
        <v>188.97637795275591</v>
      </c>
      <c r="P2989">
        <v>1.5748031496062993</v>
      </c>
      <c r="Q2989">
        <v>1.5748031496062993</v>
      </c>
      <c r="R2989">
        <v>2050.5250000000001</v>
      </c>
      <c r="S2989">
        <v>7.6799999999999993E-3</v>
      </c>
      <c r="T2989" s="4" t="s">
        <v>5409</v>
      </c>
    </row>
    <row r="2990" spans="1:20" x14ac:dyDescent="0.2">
      <c r="A2990" s="4" t="s">
        <v>4793</v>
      </c>
      <c r="B2990" s="4" t="s">
        <v>5406</v>
      </c>
      <c r="C2990" s="4" t="s">
        <v>2096</v>
      </c>
      <c r="D2990" s="4" t="s">
        <v>4764</v>
      </c>
      <c r="E2990" s="4" t="s">
        <v>5416</v>
      </c>
      <c r="F2990" s="4" t="s">
        <v>5408</v>
      </c>
      <c r="G2990" s="4" t="s">
        <v>4981</v>
      </c>
      <c r="H2990" s="4" t="s">
        <v>2183</v>
      </c>
      <c r="I2990" s="4" t="s">
        <v>2100</v>
      </c>
      <c r="J2990" s="4" t="s">
        <v>2518</v>
      </c>
      <c r="K2990">
        <v>17</v>
      </c>
      <c r="L2990">
        <v>5.0999999999999996</v>
      </c>
      <c r="M2990">
        <v>40</v>
      </c>
      <c r="N2990">
        <v>40</v>
      </c>
      <c r="O2990">
        <v>200.78740157480314</v>
      </c>
      <c r="P2990">
        <v>1.5748031496062993</v>
      </c>
      <c r="Q2990">
        <v>1.5748031496062993</v>
      </c>
      <c r="R2990">
        <v>2050.5250000000001</v>
      </c>
      <c r="S2990">
        <v>8.1600000000000006E-3</v>
      </c>
      <c r="T2990" s="4" t="s">
        <v>5409</v>
      </c>
    </row>
    <row r="2991" spans="1:20" x14ac:dyDescent="0.2">
      <c r="A2991" s="4" t="s">
        <v>4793</v>
      </c>
      <c r="B2991" s="4" t="s">
        <v>5406</v>
      </c>
      <c r="C2991" s="4" t="s">
        <v>2096</v>
      </c>
      <c r="D2991" s="4" t="s">
        <v>4764</v>
      </c>
      <c r="E2991" s="4" t="s">
        <v>5417</v>
      </c>
      <c r="F2991" s="4" t="s">
        <v>5408</v>
      </c>
      <c r="G2991" s="4" t="s">
        <v>4981</v>
      </c>
      <c r="H2991" s="4" t="s">
        <v>2183</v>
      </c>
      <c r="I2991" s="4" t="s">
        <v>2100</v>
      </c>
      <c r="J2991" s="4" t="s">
        <v>2518</v>
      </c>
      <c r="K2991">
        <v>18</v>
      </c>
      <c r="L2991">
        <v>5.4</v>
      </c>
      <c r="M2991">
        <v>40</v>
      </c>
      <c r="N2991">
        <v>40</v>
      </c>
      <c r="O2991">
        <v>212.59842519685043</v>
      </c>
      <c r="P2991">
        <v>1.5748031496062993</v>
      </c>
      <c r="Q2991">
        <v>1.5748031496062993</v>
      </c>
      <c r="R2991">
        <v>2050.5250000000001</v>
      </c>
      <c r="S2991">
        <v>8.6400000000000001E-3</v>
      </c>
      <c r="T2991" s="4" t="s">
        <v>5409</v>
      </c>
    </row>
    <row r="2992" spans="1:20" x14ac:dyDescent="0.2">
      <c r="A2992" s="4" t="s">
        <v>4793</v>
      </c>
      <c r="B2992" s="4" t="s">
        <v>5406</v>
      </c>
      <c r="C2992" s="4" t="s">
        <v>2286</v>
      </c>
      <c r="D2992" s="4" t="s">
        <v>4764</v>
      </c>
      <c r="E2992" s="4" t="s">
        <v>5418</v>
      </c>
      <c r="F2992" s="4" t="s">
        <v>5408</v>
      </c>
      <c r="G2992" s="4" t="s">
        <v>4981</v>
      </c>
      <c r="H2992" s="4" t="s">
        <v>2183</v>
      </c>
      <c r="I2992" s="4" t="s">
        <v>2100</v>
      </c>
      <c r="J2992" s="4" t="s">
        <v>2518</v>
      </c>
      <c r="K2992">
        <v>4</v>
      </c>
      <c r="L2992">
        <v>1.2</v>
      </c>
      <c r="M2992">
        <v>40</v>
      </c>
      <c r="N2992">
        <v>40</v>
      </c>
      <c r="O2992">
        <v>47.244094488188978</v>
      </c>
      <c r="P2992">
        <v>1.5748031496062993</v>
      </c>
      <c r="Q2992">
        <v>1.5748031496062993</v>
      </c>
      <c r="R2992">
        <v>2050.5250000000001</v>
      </c>
      <c r="S2992">
        <v>1.9199999999999998E-3</v>
      </c>
      <c r="T2992" s="4" t="s">
        <v>5419</v>
      </c>
    </row>
    <row r="2993" spans="1:20" x14ac:dyDescent="0.2">
      <c r="A2993" s="4" t="s">
        <v>4793</v>
      </c>
      <c r="B2993" s="4" t="s">
        <v>5406</v>
      </c>
      <c r="C2993" s="4" t="s">
        <v>2286</v>
      </c>
      <c r="D2993" s="4" t="s">
        <v>4764</v>
      </c>
      <c r="E2993" s="4" t="s">
        <v>5420</v>
      </c>
      <c r="F2993" s="4" t="s">
        <v>5408</v>
      </c>
      <c r="G2993" s="4" t="s">
        <v>4981</v>
      </c>
      <c r="H2993" s="4" t="s">
        <v>2183</v>
      </c>
      <c r="I2993" s="4" t="s">
        <v>2100</v>
      </c>
      <c r="J2993" s="4" t="s">
        <v>2518</v>
      </c>
      <c r="K2993">
        <v>5</v>
      </c>
      <c r="L2993">
        <v>1.5</v>
      </c>
      <c r="M2993">
        <v>40</v>
      </c>
      <c r="N2993">
        <v>40</v>
      </c>
      <c r="O2993">
        <v>59.055118110236222</v>
      </c>
      <c r="P2993">
        <v>1.5748031496062993</v>
      </c>
      <c r="Q2993">
        <v>1.5748031496062993</v>
      </c>
      <c r="R2993">
        <v>2050.5250000000001</v>
      </c>
      <c r="S2993">
        <v>2.3999999999999998E-3</v>
      </c>
      <c r="T2993" s="4" t="s">
        <v>5419</v>
      </c>
    </row>
    <row r="2994" spans="1:20" x14ac:dyDescent="0.2">
      <c r="A2994" s="4" t="s">
        <v>5118</v>
      </c>
      <c r="B2994" s="4" t="s">
        <v>5227</v>
      </c>
      <c r="C2994" s="4" t="s">
        <v>2286</v>
      </c>
      <c r="D2994" s="4" t="s">
        <v>4764</v>
      </c>
      <c r="E2994" s="4" t="s">
        <v>5421</v>
      </c>
      <c r="F2994" s="4" t="s">
        <v>5228</v>
      </c>
      <c r="G2994" s="4" t="s">
        <v>5122</v>
      </c>
      <c r="H2994" s="4" t="s">
        <v>2183</v>
      </c>
      <c r="I2994" s="4" t="s">
        <v>2100</v>
      </c>
      <c r="J2994" s="4" t="s">
        <v>2518</v>
      </c>
      <c r="K2994">
        <v>5</v>
      </c>
      <c r="L2994">
        <v>1.52</v>
      </c>
      <c r="M2994">
        <v>38.099999999999994</v>
      </c>
      <c r="N2994">
        <v>38.099999999999994</v>
      </c>
      <c r="O2994">
        <v>59.84251968503937</v>
      </c>
      <c r="P2994">
        <v>1.4999999999999998</v>
      </c>
      <c r="Q2994">
        <v>1.4999999999999998</v>
      </c>
      <c r="R2994">
        <v>2260.1390000000001</v>
      </c>
      <c r="S2994">
        <v>2.2064471999999995E-3</v>
      </c>
      <c r="T2994" s="4" t="s">
        <v>5233</v>
      </c>
    </row>
    <row r="2995" spans="1:20" x14ac:dyDescent="0.2">
      <c r="A2995" s="4" t="s">
        <v>4793</v>
      </c>
      <c r="B2995" s="4" t="s">
        <v>5406</v>
      </c>
      <c r="C2995" s="4" t="s">
        <v>2286</v>
      </c>
      <c r="D2995" s="4" t="s">
        <v>4764</v>
      </c>
      <c r="E2995" s="4" t="s">
        <v>5422</v>
      </c>
      <c r="F2995" s="4" t="s">
        <v>5408</v>
      </c>
      <c r="G2995" s="4" t="s">
        <v>4981</v>
      </c>
      <c r="H2995" s="4" t="s">
        <v>2183</v>
      </c>
      <c r="I2995" s="4" t="s">
        <v>2100</v>
      </c>
      <c r="J2995" s="4" t="s">
        <v>2518</v>
      </c>
      <c r="K2995">
        <v>6</v>
      </c>
      <c r="L2995">
        <v>1.8</v>
      </c>
      <c r="M2995">
        <v>40</v>
      </c>
      <c r="N2995">
        <v>40</v>
      </c>
      <c r="O2995">
        <v>70.866141732283467</v>
      </c>
      <c r="P2995">
        <v>1.5748031496062993</v>
      </c>
      <c r="Q2995">
        <v>1.5748031496062993</v>
      </c>
      <c r="R2995">
        <v>2050.5250000000001</v>
      </c>
      <c r="S2995">
        <v>2.8799999999999997E-3</v>
      </c>
      <c r="T2995" s="4" t="s">
        <v>5419</v>
      </c>
    </row>
    <row r="2996" spans="1:20" x14ac:dyDescent="0.2">
      <c r="A2996" s="4" t="s">
        <v>4793</v>
      </c>
      <c r="B2996" s="4" t="s">
        <v>5406</v>
      </c>
      <c r="C2996" s="4" t="s">
        <v>2286</v>
      </c>
      <c r="D2996" s="4" t="s">
        <v>4764</v>
      </c>
      <c r="E2996" s="4" t="s">
        <v>1465</v>
      </c>
      <c r="F2996" s="4" t="s">
        <v>5408</v>
      </c>
      <c r="G2996" s="4" t="s">
        <v>4981</v>
      </c>
      <c r="H2996" s="4" t="s">
        <v>2183</v>
      </c>
      <c r="I2996" s="4" t="s">
        <v>2100</v>
      </c>
      <c r="J2996" s="4" t="s">
        <v>2518</v>
      </c>
      <c r="K2996">
        <v>7</v>
      </c>
      <c r="L2996">
        <v>2.1</v>
      </c>
      <c r="M2996">
        <v>40</v>
      </c>
      <c r="N2996">
        <v>40</v>
      </c>
      <c r="O2996">
        <v>82.677165354330711</v>
      </c>
      <c r="P2996">
        <v>1.5748031496062993</v>
      </c>
      <c r="Q2996">
        <v>1.5748031496062993</v>
      </c>
      <c r="R2996">
        <v>2050.5250000000001</v>
      </c>
      <c r="S2996">
        <v>3.3600000000000001E-3</v>
      </c>
      <c r="T2996" s="4" t="s">
        <v>5419</v>
      </c>
    </row>
    <row r="2997" spans="1:20" x14ac:dyDescent="0.2">
      <c r="A2997" s="4" t="s">
        <v>4793</v>
      </c>
      <c r="B2997" s="4" t="s">
        <v>5406</v>
      </c>
      <c r="C2997" s="4" t="s">
        <v>2096</v>
      </c>
      <c r="D2997" s="4" t="s">
        <v>4764</v>
      </c>
      <c r="E2997" s="4" t="s">
        <v>5423</v>
      </c>
      <c r="F2997" s="4" t="s">
        <v>5408</v>
      </c>
      <c r="G2997" s="4" t="s">
        <v>4981</v>
      </c>
      <c r="H2997" s="4" t="s">
        <v>2183</v>
      </c>
      <c r="I2997" s="4" t="s">
        <v>2100</v>
      </c>
      <c r="J2997" s="4" t="s">
        <v>2518</v>
      </c>
      <c r="K2997">
        <v>8</v>
      </c>
      <c r="L2997">
        <v>2.4</v>
      </c>
      <c r="M2997">
        <v>40</v>
      </c>
      <c r="N2997">
        <v>40</v>
      </c>
      <c r="O2997">
        <v>94.488188976377955</v>
      </c>
      <c r="P2997">
        <v>1.5748031496062993</v>
      </c>
      <c r="Q2997">
        <v>1.5748031496062993</v>
      </c>
      <c r="R2997">
        <v>2050.5250000000001</v>
      </c>
      <c r="S2997">
        <v>3.8399999999999997E-3</v>
      </c>
      <c r="T2997" s="4" t="s">
        <v>5409</v>
      </c>
    </row>
    <row r="2998" spans="1:20" x14ac:dyDescent="0.2">
      <c r="A2998" s="4" t="s">
        <v>4793</v>
      </c>
      <c r="B2998" s="4" t="s">
        <v>5406</v>
      </c>
      <c r="C2998" s="4" t="s">
        <v>2096</v>
      </c>
      <c r="D2998" s="4" t="s">
        <v>4764</v>
      </c>
      <c r="E2998" s="4" t="s">
        <v>5424</v>
      </c>
      <c r="F2998" s="4" t="s">
        <v>5408</v>
      </c>
      <c r="G2998" s="4" t="s">
        <v>4981</v>
      </c>
      <c r="H2998" s="4" t="s">
        <v>2183</v>
      </c>
      <c r="I2998" s="4" t="s">
        <v>2100</v>
      </c>
      <c r="J2998" s="4" t="s">
        <v>2518</v>
      </c>
      <c r="K2998">
        <v>9</v>
      </c>
      <c r="L2998">
        <v>2.7</v>
      </c>
      <c r="M2998">
        <v>40</v>
      </c>
      <c r="N2998">
        <v>40</v>
      </c>
      <c r="O2998">
        <v>106.29921259842521</v>
      </c>
      <c r="P2998">
        <v>1.5748031496062993</v>
      </c>
      <c r="Q2998">
        <v>1.5748031496062993</v>
      </c>
      <c r="R2998">
        <v>2050.5250000000001</v>
      </c>
      <c r="S2998">
        <v>4.3200000000000001E-3</v>
      </c>
      <c r="T2998" s="4" t="s">
        <v>5409</v>
      </c>
    </row>
    <row r="2999" spans="1:20" x14ac:dyDescent="0.2">
      <c r="A2999" s="4" t="s">
        <v>4793</v>
      </c>
      <c r="B2999" s="4" t="s">
        <v>5425</v>
      </c>
      <c r="C2999" s="4" t="s">
        <v>2096</v>
      </c>
      <c r="D2999" s="4" t="s">
        <v>4764</v>
      </c>
      <c r="E2999" s="4" t="s">
        <v>5426</v>
      </c>
      <c r="F2999" s="4" t="s">
        <v>5427</v>
      </c>
      <c r="G2999" s="4" t="s">
        <v>4981</v>
      </c>
      <c r="H2999" s="4" t="s">
        <v>2183</v>
      </c>
      <c r="I2999" s="4" t="s">
        <v>2100</v>
      </c>
      <c r="J2999" s="4" t="s">
        <v>2544</v>
      </c>
      <c r="K2999">
        <v>10</v>
      </c>
      <c r="L2999">
        <v>3</v>
      </c>
      <c r="M2999">
        <v>40</v>
      </c>
      <c r="N2999">
        <v>65</v>
      </c>
      <c r="O2999">
        <v>118.11023622047244</v>
      </c>
      <c r="P2999">
        <v>1.5748031496062993</v>
      </c>
      <c r="Q2999">
        <v>2.5590551181102366</v>
      </c>
      <c r="R2999">
        <v>1261.8610000000001</v>
      </c>
      <c r="S2999">
        <v>7.7999999999999996E-3</v>
      </c>
      <c r="T2999" s="4" t="s">
        <v>5428</v>
      </c>
    </row>
    <row r="3000" spans="1:20" x14ac:dyDescent="0.2">
      <c r="A3000" s="4" t="s">
        <v>4793</v>
      </c>
      <c r="B3000" s="4" t="s">
        <v>5425</v>
      </c>
      <c r="C3000" s="4" t="s">
        <v>2096</v>
      </c>
      <c r="D3000" s="4" t="s">
        <v>4764</v>
      </c>
      <c r="E3000" s="4" t="s">
        <v>1207</v>
      </c>
      <c r="F3000" s="4" t="s">
        <v>5427</v>
      </c>
      <c r="G3000" s="4" t="s">
        <v>4981</v>
      </c>
      <c r="H3000" s="4" t="s">
        <v>2183</v>
      </c>
      <c r="I3000" s="4" t="s">
        <v>2100</v>
      </c>
      <c r="J3000" s="4" t="s">
        <v>2544</v>
      </c>
      <c r="K3000">
        <v>11</v>
      </c>
      <c r="L3000">
        <v>3.3</v>
      </c>
      <c r="M3000">
        <v>40</v>
      </c>
      <c r="N3000">
        <v>65</v>
      </c>
      <c r="O3000">
        <v>129.92125984251967</v>
      </c>
      <c r="P3000">
        <v>1.5748031496062993</v>
      </c>
      <c r="Q3000">
        <v>2.5590551181102366</v>
      </c>
      <c r="R3000">
        <v>1261.8610000000001</v>
      </c>
      <c r="S3000">
        <v>8.5800000000000008E-3</v>
      </c>
      <c r="T3000" s="4" t="s">
        <v>5428</v>
      </c>
    </row>
    <row r="3001" spans="1:20" x14ac:dyDescent="0.2">
      <c r="A3001" s="4" t="s">
        <v>4793</v>
      </c>
      <c r="B3001" s="4" t="s">
        <v>5425</v>
      </c>
      <c r="C3001" s="4" t="s">
        <v>2096</v>
      </c>
      <c r="D3001" s="4" t="s">
        <v>4764</v>
      </c>
      <c r="E3001" s="4" t="s">
        <v>5429</v>
      </c>
      <c r="F3001" s="4" t="s">
        <v>5427</v>
      </c>
      <c r="G3001" s="4" t="s">
        <v>4981</v>
      </c>
      <c r="H3001" s="4" t="s">
        <v>2183</v>
      </c>
      <c r="I3001" s="4" t="s">
        <v>2100</v>
      </c>
      <c r="J3001" s="4" t="s">
        <v>2544</v>
      </c>
      <c r="K3001">
        <v>12</v>
      </c>
      <c r="L3001">
        <v>3.6</v>
      </c>
      <c r="M3001">
        <v>40</v>
      </c>
      <c r="N3001">
        <v>65</v>
      </c>
      <c r="O3001">
        <v>141.73228346456693</v>
      </c>
      <c r="P3001">
        <v>1.5748031496062993</v>
      </c>
      <c r="Q3001">
        <v>2.5590551181102366</v>
      </c>
      <c r="R3001">
        <v>1261.8610000000001</v>
      </c>
      <c r="S3001">
        <v>9.3600000000000003E-3</v>
      </c>
      <c r="T3001" s="4" t="s">
        <v>5428</v>
      </c>
    </row>
    <row r="3002" spans="1:20" x14ac:dyDescent="0.2">
      <c r="A3002" s="4" t="s">
        <v>4793</v>
      </c>
      <c r="B3002" s="4" t="s">
        <v>5425</v>
      </c>
      <c r="C3002" s="4" t="s">
        <v>2096</v>
      </c>
      <c r="D3002" s="4" t="s">
        <v>4764</v>
      </c>
      <c r="E3002" s="4" t="s">
        <v>5430</v>
      </c>
      <c r="F3002" s="4" t="s">
        <v>5427</v>
      </c>
      <c r="G3002" s="4" t="s">
        <v>4981</v>
      </c>
      <c r="H3002" s="4" t="s">
        <v>2183</v>
      </c>
      <c r="I3002" s="4" t="s">
        <v>2100</v>
      </c>
      <c r="J3002" s="4" t="s">
        <v>2544</v>
      </c>
      <c r="K3002">
        <v>13</v>
      </c>
      <c r="L3002">
        <v>3.9</v>
      </c>
      <c r="M3002">
        <v>40</v>
      </c>
      <c r="N3002">
        <v>65</v>
      </c>
      <c r="O3002">
        <v>153.54330708661416</v>
      </c>
      <c r="P3002">
        <v>1.5748031496062993</v>
      </c>
      <c r="Q3002">
        <v>2.5590551181102366</v>
      </c>
      <c r="R3002">
        <v>1261.8610000000001</v>
      </c>
      <c r="S3002">
        <v>1.014E-2</v>
      </c>
      <c r="T3002" s="4" t="s">
        <v>5428</v>
      </c>
    </row>
    <row r="3003" spans="1:20" x14ac:dyDescent="0.2">
      <c r="A3003" s="4" t="s">
        <v>4793</v>
      </c>
      <c r="B3003" s="4" t="s">
        <v>5425</v>
      </c>
      <c r="C3003" s="4" t="s">
        <v>2096</v>
      </c>
      <c r="D3003" s="4" t="s">
        <v>4764</v>
      </c>
      <c r="E3003" s="4" t="s">
        <v>5431</v>
      </c>
      <c r="F3003" s="4" t="s">
        <v>5427</v>
      </c>
      <c r="G3003" s="4" t="s">
        <v>4981</v>
      </c>
      <c r="H3003" s="4" t="s">
        <v>2183</v>
      </c>
      <c r="I3003" s="4" t="s">
        <v>2100</v>
      </c>
      <c r="J3003" s="4" t="s">
        <v>2544</v>
      </c>
      <c r="K3003">
        <v>14</v>
      </c>
      <c r="L3003">
        <v>4.2</v>
      </c>
      <c r="M3003">
        <v>40</v>
      </c>
      <c r="N3003">
        <v>65</v>
      </c>
      <c r="O3003">
        <v>165.35433070866142</v>
      </c>
      <c r="P3003">
        <v>1.5748031496062993</v>
      </c>
      <c r="Q3003">
        <v>2.5590551181102366</v>
      </c>
      <c r="R3003">
        <v>1261.8610000000001</v>
      </c>
      <c r="S3003">
        <v>1.0919999999999999E-2</v>
      </c>
      <c r="T3003" s="4" t="s">
        <v>5428</v>
      </c>
    </row>
    <row r="3004" spans="1:20" x14ac:dyDescent="0.2">
      <c r="A3004" s="4" t="s">
        <v>4793</v>
      </c>
      <c r="B3004" s="4" t="s">
        <v>5425</v>
      </c>
      <c r="C3004" s="4" t="s">
        <v>2096</v>
      </c>
      <c r="D3004" s="4" t="s">
        <v>4764</v>
      </c>
      <c r="E3004" s="4" t="s">
        <v>5432</v>
      </c>
      <c r="F3004" s="4" t="s">
        <v>5427</v>
      </c>
      <c r="G3004" s="4" t="s">
        <v>4981</v>
      </c>
      <c r="H3004" s="4" t="s">
        <v>2183</v>
      </c>
      <c r="I3004" s="4" t="s">
        <v>2100</v>
      </c>
      <c r="J3004" s="4" t="s">
        <v>2544</v>
      </c>
      <c r="K3004">
        <v>15</v>
      </c>
      <c r="L3004">
        <v>4.5</v>
      </c>
      <c r="M3004">
        <v>40</v>
      </c>
      <c r="N3004">
        <v>65</v>
      </c>
      <c r="O3004">
        <v>177.16535433070868</v>
      </c>
      <c r="P3004">
        <v>1.5748031496062993</v>
      </c>
      <c r="Q3004">
        <v>2.5590551181102366</v>
      </c>
      <c r="R3004">
        <v>1261.8610000000001</v>
      </c>
      <c r="S3004">
        <v>1.1699999999999999E-2</v>
      </c>
      <c r="T3004" s="4" t="s">
        <v>5428</v>
      </c>
    </row>
    <row r="3005" spans="1:20" x14ac:dyDescent="0.2">
      <c r="A3005" s="4" t="s">
        <v>4793</v>
      </c>
      <c r="B3005" s="4" t="s">
        <v>5425</v>
      </c>
      <c r="C3005" s="4" t="s">
        <v>2096</v>
      </c>
      <c r="D3005" s="4" t="s">
        <v>4764</v>
      </c>
      <c r="E3005" s="4" t="s">
        <v>5433</v>
      </c>
      <c r="F3005" s="4" t="s">
        <v>5427</v>
      </c>
      <c r="G3005" s="4" t="s">
        <v>4981</v>
      </c>
      <c r="H3005" s="4" t="s">
        <v>2183</v>
      </c>
      <c r="I3005" s="4" t="s">
        <v>2100</v>
      </c>
      <c r="J3005" s="4" t="s">
        <v>2544</v>
      </c>
      <c r="K3005">
        <v>16</v>
      </c>
      <c r="L3005">
        <v>4.8</v>
      </c>
      <c r="M3005">
        <v>40</v>
      </c>
      <c r="N3005">
        <v>65</v>
      </c>
      <c r="O3005">
        <v>188.97637795275591</v>
      </c>
      <c r="P3005">
        <v>1.5748031496062993</v>
      </c>
      <c r="Q3005">
        <v>2.5590551181102366</v>
      </c>
      <c r="R3005">
        <v>1261.8610000000001</v>
      </c>
      <c r="S3005">
        <v>1.248E-2</v>
      </c>
      <c r="T3005" s="4" t="s">
        <v>5428</v>
      </c>
    </row>
    <row r="3006" spans="1:20" x14ac:dyDescent="0.2">
      <c r="A3006" s="4" t="s">
        <v>4793</v>
      </c>
      <c r="B3006" s="4" t="s">
        <v>5425</v>
      </c>
      <c r="C3006" s="4" t="s">
        <v>2096</v>
      </c>
      <c r="D3006" s="4" t="s">
        <v>4764</v>
      </c>
      <c r="E3006" s="4" t="s">
        <v>5434</v>
      </c>
      <c r="F3006" s="4" t="s">
        <v>5427</v>
      </c>
      <c r="G3006" s="4" t="s">
        <v>4981</v>
      </c>
      <c r="H3006" s="4" t="s">
        <v>2183</v>
      </c>
      <c r="I3006" s="4" t="s">
        <v>2100</v>
      </c>
      <c r="J3006" s="4" t="s">
        <v>2544</v>
      </c>
      <c r="K3006">
        <v>17</v>
      </c>
      <c r="L3006">
        <v>5.0999999999999996</v>
      </c>
      <c r="M3006">
        <v>40</v>
      </c>
      <c r="N3006">
        <v>65</v>
      </c>
      <c r="O3006">
        <v>200.78740157480314</v>
      </c>
      <c r="P3006">
        <v>1.5748031496062993</v>
      </c>
      <c r="Q3006">
        <v>2.5590551181102366</v>
      </c>
      <c r="R3006">
        <v>1261.8610000000001</v>
      </c>
      <c r="S3006">
        <v>1.3259999999999999E-2</v>
      </c>
      <c r="T3006" s="4" t="s">
        <v>5428</v>
      </c>
    </row>
    <row r="3007" spans="1:20" x14ac:dyDescent="0.2">
      <c r="A3007" s="4" t="s">
        <v>4793</v>
      </c>
      <c r="B3007" s="4" t="s">
        <v>5425</v>
      </c>
      <c r="C3007" s="4" t="s">
        <v>2096</v>
      </c>
      <c r="D3007" s="4" t="s">
        <v>4764</v>
      </c>
      <c r="E3007" s="4" t="s">
        <v>5435</v>
      </c>
      <c r="F3007" s="4" t="s">
        <v>5427</v>
      </c>
      <c r="G3007" s="4" t="s">
        <v>4981</v>
      </c>
      <c r="H3007" s="4" t="s">
        <v>2183</v>
      </c>
      <c r="I3007" s="4" t="s">
        <v>2100</v>
      </c>
      <c r="J3007" s="4" t="s">
        <v>2544</v>
      </c>
      <c r="K3007">
        <v>18</v>
      </c>
      <c r="L3007">
        <v>5.4</v>
      </c>
      <c r="M3007">
        <v>40</v>
      </c>
      <c r="N3007">
        <v>65</v>
      </c>
      <c r="O3007">
        <v>212.59842519685043</v>
      </c>
      <c r="P3007">
        <v>1.5748031496062993</v>
      </c>
      <c r="Q3007">
        <v>2.5590551181102366</v>
      </c>
      <c r="R3007">
        <v>1261.8610000000001</v>
      </c>
      <c r="S3007">
        <v>1.4039999999999999E-2</v>
      </c>
      <c r="T3007" s="4" t="s">
        <v>5428</v>
      </c>
    </row>
    <row r="3008" spans="1:20" x14ac:dyDescent="0.2">
      <c r="A3008" s="4" t="s">
        <v>4793</v>
      </c>
      <c r="B3008" s="4" t="s">
        <v>5425</v>
      </c>
      <c r="C3008" s="4" t="s">
        <v>2286</v>
      </c>
      <c r="D3008" s="4" t="s">
        <v>4764</v>
      </c>
      <c r="E3008" s="4" t="s">
        <v>5436</v>
      </c>
      <c r="F3008" s="4" t="s">
        <v>5427</v>
      </c>
      <c r="G3008" s="4" t="s">
        <v>4981</v>
      </c>
      <c r="H3008" s="4" t="s">
        <v>2183</v>
      </c>
      <c r="I3008" s="4" t="s">
        <v>2100</v>
      </c>
      <c r="J3008" s="4" t="s">
        <v>2544</v>
      </c>
      <c r="K3008">
        <v>4</v>
      </c>
      <c r="L3008">
        <v>1.2</v>
      </c>
      <c r="M3008">
        <v>40</v>
      </c>
      <c r="N3008">
        <v>65</v>
      </c>
      <c r="O3008">
        <v>47.244094488188978</v>
      </c>
      <c r="P3008">
        <v>1.5748031496062993</v>
      </c>
      <c r="Q3008">
        <v>2.5590551181102366</v>
      </c>
      <c r="R3008">
        <v>1261.8610000000001</v>
      </c>
      <c r="S3008">
        <v>3.1199999999999999E-3</v>
      </c>
      <c r="T3008" s="4" t="s">
        <v>5437</v>
      </c>
    </row>
    <row r="3009" spans="1:20" x14ac:dyDescent="0.2">
      <c r="A3009" s="4" t="s">
        <v>4793</v>
      </c>
      <c r="B3009" s="4" t="s">
        <v>5425</v>
      </c>
      <c r="C3009" s="4" t="s">
        <v>2286</v>
      </c>
      <c r="D3009" s="4" t="s">
        <v>4764</v>
      </c>
      <c r="E3009" s="4" t="s">
        <v>5438</v>
      </c>
      <c r="F3009" s="4" t="s">
        <v>5427</v>
      </c>
      <c r="G3009" s="4" t="s">
        <v>4981</v>
      </c>
      <c r="H3009" s="4" t="s">
        <v>2183</v>
      </c>
      <c r="I3009" s="4" t="s">
        <v>2100</v>
      </c>
      <c r="J3009" s="4" t="s">
        <v>2544</v>
      </c>
      <c r="K3009">
        <v>5</v>
      </c>
      <c r="L3009">
        <v>1.5</v>
      </c>
      <c r="M3009">
        <v>40</v>
      </c>
      <c r="N3009">
        <v>65</v>
      </c>
      <c r="O3009">
        <v>59.055118110236222</v>
      </c>
      <c r="P3009">
        <v>1.5748031496062993</v>
      </c>
      <c r="Q3009">
        <v>2.5590551181102366</v>
      </c>
      <c r="R3009">
        <v>1261.8610000000001</v>
      </c>
      <c r="S3009">
        <v>3.8999999999999998E-3</v>
      </c>
      <c r="T3009" s="4" t="s">
        <v>5437</v>
      </c>
    </row>
    <row r="3010" spans="1:20" x14ac:dyDescent="0.2">
      <c r="A3010" s="4" t="s">
        <v>4793</v>
      </c>
      <c r="B3010" s="4" t="s">
        <v>5425</v>
      </c>
      <c r="C3010" s="4" t="s">
        <v>2286</v>
      </c>
      <c r="D3010" s="4" t="s">
        <v>4764</v>
      </c>
      <c r="E3010" s="4" t="s">
        <v>5439</v>
      </c>
      <c r="F3010" s="4" t="s">
        <v>5427</v>
      </c>
      <c r="G3010" s="4" t="s">
        <v>4981</v>
      </c>
      <c r="H3010" s="4" t="s">
        <v>2183</v>
      </c>
      <c r="I3010" s="4" t="s">
        <v>2100</v>
      </c>
      <c r="J3010" s="4" t="s">
        <v>2544</v>
      </c>
      <c r="K3010">
        <v>6</v>
      </c>
      <c r="L3010">
        <v>1.8</v>
      </c>
      <c r="M3010">
        <v>40</v>
      </c>
      <c r="N3010">
        <v>65</v>
      </c>
      <c r="O3010">
        <v>70.866141732283467</v>
      </c>
      <c r="P3010">
        <v>1.5748031496062993</v>
      </c>
      <c r="Q3010">
        <v>2.5590551181102366</v>
      </c>
      <c r="R3010">
        <v>1261.8610000000001</v>
      </c>
      <c r="S3010">
        <v>4.6800000000000001E-3</v>
      </c>
      <c r="T3010" s="4" t="s">
        <v>5437</v>
      </c>
    </row>
    <row r="3011" spans="1:20" x14ac:dyDescent="0.2">
      <c r="A3011" s="4" t="s">
        <v>4793</v>
      </c>
      <c r="B3011" s="4" t="s">
        <v>5425</v>
      </c>
      <c r="C3011" s="4" t="s">
        <v>2286</v>
      </c>
      <c r="D3011" s="4" t="s">
        <v>4764</v>
      </c>
      <c r="E3011" s="4" t="s">
        <v>5440</v>
      </c>
      <c r="F3011" s="4" t="s">
        <v>5427</v>
      </c>
      <c r="G3011" s="4" t="s">
        <v>4981</v>
      </c>
      <c r="H3011" s="4" t="s">
        <v>2183</v>
      </c>
      <c r="I3011" s="4" t="s">
        <v>2100</v>
      </c>
      <c r="J3011" s="4" t="s">
        <v>2544</v>
      </c>
      <c r="K3011">
        <v>7</v>
      </c>
      <c r="L3011">
        <v>2.1</v>
      </c>
      <c r="M3011">
        <v>40</v>
      </c>
      <c r="N3011">
        <v>65</v>
      </c>
      <c r="O3011">
        <v>82.677165354330711</v>
      </c>
      <c r="P3011">
        <v>1.5748031496062993</v>
      </c>
      <c r="Q3011">
        <v>2.5590551181102366</v>
      </c>
      <c r="R3011">
        <v>1261.8610000000001</v>
      </c>
      <c r="S3011">
        <v>5.4599999999999996E-3</v>
      </c>
      <c r="T3011" s="4" t="s">
        <v>5437</v>
      </c>
    </row>
    <row r="3012" spans="1:20" x14ac:dyDescent="0.2">
      <c r="A3012" s="4" t="s">
        <v>4793</v>
      </c>
      <c r="B3012" s="4" t="s">
        <v>5425</v>
      </c>
      <c r="C3012" s="4" t="s">
        <v>2096</v>
      </c>
      <c r="D3012" s="4" t="s">
        <v>4764</v>
      </c>
      <c r="E3012" s="4" t="s">
        <v>1209</v>
      </c>
      <c r="F3012" s="4" t="s">
        <v>5427</v>
      </c>
      <c r="G3012" s="4" t="s">
        <v>4981</v>
      </c>
      <c r="H3012" s="4" t="s">
        <v>2183</v>
      </c>
      <c r="I3012" s="4" t="s">
        <v>2100</v>
      </c>
      <c r="J3012" s="4" t="s">
        <v>2544</v>
      </c>
      <c r="K3012">
        <v>8</v>
      </c>
      <c r="L3012">
        <v>2.4</v>
      </c>
      <c r="M3012">
        <v>40</v>
      </c>
      <c r="N3012">
        <v>65</v>
      </c>
      <c r="O3012">
        <v>94.488188976377955</v>
      </c>
      <c r="P3012">
        <v>1.5748031496062993</v>
      </c>
      <c r="Q3012">
        <v>2.5590551181102366</v>
      </c>
      <c r="R3012">
        <v>1261.8610000000001</v>
      </c>
      <c r="S3012">
        <v>6.2399999999999999E-3</v>
      </c>
      <c r="T3012" s="4" t="s">
        <v>5428</v>
      </c>
    </row>
    <row r="3013" spans="1:20" x14ac:dyDescent="0.2">
      <c r="A3013" s="4" t="s">
        <v>4793</v>
      </c>
      <c r="B3013" s="4" t="s">
        <v>5425</v>
      </c>
      <c r="C3013" s="4" t="s">
        <v>2096</v>
      </c>
      <c r="D3013" s="4" t="s">
        <v>4764</v>
      </c>
      <c r="E3013" s="4" t="s">
        <v>1211</v>
      </c>
      <c r="F3013" s="4" t="s">
        <v>5427</v>
      </c>
      <c r="G3013" s="4" t="s">
        <v>4981</v>
      </c>
      <c r="H3013" s="4" t="s">
        <v>2183</v>
      </c>
      <c r="I3013" s="4" t="s">
        <v>2100</v>
      </c>
      <c r="J3013" s="4" t="s">
        <v>2544</v>
      </c>
      <c r="K3013">
        <v>9</v>
      </c>
      <c r="L3013">
        <v>2.7</v>
      </c>
      <c r="M3013">
        <v>40</v>
      </c>
      <c r="N3013">
        <v>65</v>
      </c>
      <c r="O3013">
        <v>106.29921259842521</v>
      </c>
      <c r="P3013">
        <v>1.5748031496062993</v>
      </c>
      <c r="Q3013">
        <v>2.5590551181102366</v>
      </c>
      <c r="R3013">
        <v>1261.8610000000001</v>
      </c>
      <c r="S3013">
        <v>7.0199999999999993E-3</v>
      </c>
      <c r="T3013" s="4" t="s">
        <v>5428</v>
      </c>
    </row>
    <row r="3014" spans="1:20" x14ac:dyDescent="0.2">
      <c r="A3014" s="4" t="s">
        <v>4793</v>
      </c>
      <c r="B3014" s="4" t="s">
        <v>5441</v>
      </c>
      <c r="C3014" s="4" t="s">
        <v>2096</v>
      </c>
      <c r="D3014" s="4" t="s">
        <v>4764</v>
      </c>
      <c r="E3014" s="4" t="s">
        <v>1467</v>
      </c>
      <c r="F3014" s="4" t="s">
        <v>5442</v>
      </c>
      <c r="G3014" s="4" t="s">
        <v>4981</v>
      </c>
      <c r="H3014" s="4" t="s">
        <v>2183</v>
      </c>
      <c r="I3014" s="4" t="s">
        <v>2100</v>
      </c>
      <c r="J3014" s="4" t="s">
        <v>2549</v>
      </c>
      <c r="K3014">
        <v>10</v>
      </c>
      <c r="L3014">
        <v>3</v>
      </c>
      <c r="M3014">
        <v>40</v>
      </c>
      <c r="N3014">
        <v>90</v>
      </c>
      <c r="O3014">
        <v>118.11023622047244</v>
      </c>
      <c r="P3014">
        <v>1.5748031496062993</v>
      </c>
      <c r="Q3014">
        <v>3.5433070866141736</v>
      </c>
      <c r="R3014">
        <v>911.34400000000005</v>
      </c>
      <c r="S3014">
        <v>1.0799999999999999E-2</v>
      </c>
      <c r="T3014" s="4" t="s">
        <v>5443</v>
      </c>
    </row>
    <row r="3015" spans="1:20" x14ac:dyDescent="0.2">
      <c r="A3015" s="4" t="s">
        <v>4793</v>
      </c>
      <c r="B3015" s="4" t="s">
        <v>5441</v>
      </c>
      <c r="C3015" s="4" t="s">
        <v>2096</v>
      </c>
      <c r="D3015" s="4" t="s">
        <v>4764</v>
      </c>
      <c r="E3015" s="4" t="s">
        <v>5444</v>
      </c>
      <c r="F3015" s="4" t="s">
        <v>5442</v>
      </c>
      <c r="G3015" s="4" t="s">
        <v>4981</v>
      </c>
      <c r="H3015" s="4" t="s">
        <v>2183</v>
      </c>
      <c r="I3015" s="4" t="s">
        <v>2100</v>
      </c>
      <c r="J3015" s="4" t="s">
        <v>2549</v>
      </c>
      <c r="K3015">
        <v>11</v>
      </c>
      <c r="L3015">
        <v>3.3</v>
      </c>
      <c r="M3015">
        <v>40</v>
      </c>
      <c r="N3015">
        <v>90</v>
      </c>
      <c r="O3015">
        <v>129.92125984251967</v>
      </c>
      <c r="P3015">
        <v>1.5748031496062993</v>
      </c>
      <c r="Q3015">
        <v>3.5433070866141736</v>
      </c>
      <c r="R3015">
        <v>911.34400000000005</v>
      </c>
      <c r="S3015">
        <v>1.188E-2</v>
      </c>
      <c r="T3015" s="4" t="s">
        <v>5443</v>
      </c>
    </row>
    <row r="3016" spans="1:20" x14ac:dyDescent="0.2">
      <c r="A3016" s="4" t="s">
        <v>4793</v>
      </c>
      <c r="B3016" s="4" t="s">
        <v>5441</v>
      </c>
      <c r="C3016" s="4" t="s">
        <v>2096</v>
      </c>
      <c r="D3016" s="4" t="s">
        <v>4764</v>
      </c>
      <c r="E3016" s="4" t="s">
        <v>1469</v>
      </c>
      <c r="F3016" s="4" t="s">
        <v>5442</v>
      </c>
      <c r="G3016" s="4" t="s">
        <v>4981</v>
      </c>
      <c r="H3016" s="4" t="s">
        <v>2183</v>
      </c>
      <c r="I3016" s="4" t="s">
        <v>2100</v>
      </c>
      <c r="J3016" s="4" t="s">
        <v>2549</v>
      </c>
      <c r="K3016">
        <v>12</v>
      </c>
      <c r="L3016">
        <v>3.6</v>
      </c>
      <c r="M3016">
        <v>40</v>
      </c>
      <c r="N3016">
        <v>90</v>
      </c>
      <c r="O3016">
        <v>141.73228346456693</v>
      </c>
      <c r="P3016">
        <v>1.5748031496062993</v>
      </c>
      <c r="Q3016">
        <v>3.5433070866141736</v>
      </c>
      <c r="R3016">
        <v>911.34400000000005</v>
      </c>
      <c r="S3016">
        <v>1.2959999999999999E-2</v>
      </c>
      <c r="T3016" s="4" t="s">
        <v>5443</v>
      </c>
    </row>
    <row r="3017" spans="1:20" x14ac:dyDescent="0.2">
      <c r="A3017" s="4" t="s">
        <v>4793</v>
      </c>
      <c r="B3017" s="4" t="s">
        <v>5441</v>
      </c>
      <c r="C3017" s="4" t="s">
        <v>2096</v>
      </c>
      <c r="D3017" s="4" t="s">
        <v>4764</v>
      </c>
      <c r="E3017" s="4" t="s">
        <v>5445</v>
      </c>
      <c r="F3017" s="4" t="s">
        <v>5442</v>
      </c>
      <c r="G3017" s="4" t="s">
        <v>4981</v>
      </c>
      <c r="H3017" s="4" t="s">
        <v>2183</v>
      </c>
      <c r="I3017" s="4" t="s">
        <v>2100</v>
      </c>
      <c r="J3017" s="4" t="s">
        <v>2549</v>
      </c>
      <c r="K3017">
        <v>13</v>
      </c>
      <c r="L3017">
        <v>3.9</v>
      </c>
      <c r="M3017">
        <v>40</v>
      </c>
      <c r="N3017">
        <v>90</v>
      </c>
      <c r="O3017">
        <v>153.54330708661416</v>
      </c>
      <c r="P3017">
        <v>1.5748031496062993</v>
      </c>
      <c r="Q3017">
        <v>3.5433070866141736</v>
      </c>
      <c r="R3017">
        <v>911.34400000000005</v>
      </c>
      <c r="S3017">
        <v>1.4039999999999999E-2</v>
      </c>
      <c r="T3017" s="4" t="s">
        <v>5443</v>
      </c>
    </row>
    <row r="3018" spans="1:20" x14ac:dyDescent="0.2">
      <c r="A3018" s="4" t="s">
        <v>4793</v>
      </c>
      <c r="B3018" s="4" t="s">
        <v>5441</v>
      </c>
      <c r="C3018" s="4" t="s">
        <v>2096</v>
      </c>
      <c r="D3018" s="4" t="s">
        <v>4764</v>
      </c>
      <c r="E3018" s="4" t="s">
        <v>5446</v>
      </c>
      <c r="F3018" s="4" t="s">
        <v>5442</v>
      </c>
      <c r="G3018" s="4" t="s">
        <v>4981</v>
      </c>
      <c r="H3018" s="4" t="s">
        <v>2183</v>
      </c>
      <c r="I3018" s="4" t="s">
        <v>2100</v>
      </c>
      <c r="J3018" s="4" t="s">
        <v>2549</v>
      </c>
      <c r="K3018">
        <v>14</v>
      </c>
      <c r="L3018">
        <v>4.2</v>
      </c>
      <c r="M3018">
        <v>40</v>
      </c>
      <c r="N3018">
        <v>90</v>
      </c>
      <c r="O3018">
        <v>165.35433070866142</v>
      </c>
      <c r="P3018">
        <v>1.5748031496062993</v>
      </c>
      <c r="Q3018">
        <v>3.5433070866141736</v>
      </c>
      <c r="R3018">
        <v>911.34400000000005</v>
      </c>
      <c r="S3018">
        <v>1.5120000000000001E-2</v>
      </c>
      <c r="T3018" s="4" t="s">
        <v>5443</v>
      </c>
    </row>
    <row r="3019" spans="1:20" x14ac:dyDescent="0.2">
      <c r="A3019" s="4" t="s">
        <v>4793</v>
      </c>
      <c r="B3019" s="4" t="s">
        <v>5441</v>
      </c>
      <c r="C3019" s="4" t="s">
        <v>2096</v>
      </c>
      <c r="D3019" s="4" t="s">
        <v>4764</v>
      </c>
      <c r="E3019" s="4" t="s">
        <v>5447</v>
      </c>
      <c r="F3019" s="4" t="s">
        <v>5442</v>
      </c>
      <c r="G3019" s="4" t="s">
        <v>4981</v>
      </c>
      <c r="H3019" s="4" t="s">
        <v>2183</v>
      </c>
      <c r="I3019" s="4" t="s">
        <v>2100</v>
      </c>
      <c r="J3019" s="4" t="s">
        <v>2549</v>
      </c>
      <c r="K3019">
        <v>15</v>
      </c>
      <c r="L3019">
        <v>4.5</v>
      </c>
      <c r="M3019">
        <v>40</v>
      </c>
      <c r="N3019">
        <v>90</v>
      </c>
      <c r="O3019">
        <v>177.16535433070868</v>
      </c>
      <c r="P3019">
        <v>1.5748031496062993</v>
      </c>
      <c r="Q3019">
        <v>3.5433070866141736</v>
      </c>
      <c r="R3019">
        <v>911.34400000000005</v>
      </c>
      <c r="S3019">
        <v>1.6199999999999999E-2</v>
      </c>
      <c r="T3019" s="4" t="s">
        <v>5443</v>
      </c>
    </row>
    <row r="3020" spans="1:20" x14ac:dyDescent="0.2">
      <c r="A3020" s="4" t="s">
        <v>4793</v>
      </c>
      <c r="B3020" s="4" t="s">
        <v>5441</v>
      </c>
      <c r="C3020" s="4" t="s">
        <v>2096</v>
      </c>
      <c r="D3020" s="4" t="s">
        <v>4764</v>
      </c>
      <c r="E3020" s="4" t="s">
        <v>5448</v>
      </c>
      <c r="F3020" s="4" t="s">
        <v>5442</v>
      </c>
      <c r="G3020" s="4" t="s">
        <v>4981</v>
      </c>
      <c r="H3020" s="4" t="s">
        <v>2183</v>
      </c>
      <c r="I3020" s="4" t="s">
        <v>2100</v>
      </c>
      <c r="J3020" s="4" t="s">
        <v>2549</v>
      </c>
      <c r="K3020">
        <v>16</v>
      </c>
      <c r="L3020">
        <v>4.8</v>
      </c>
      <c r="M3020">
        <v>40</v>
      </c>
      <c r="N3020">
        <v>90</v>
      </c>
      <c r="O3020">
        <v>188.97637795275591</v>
      </c>
      <c r="P3020">
        <v>1.5748031496062993</v>
      </c>
      <c r="Q3020">
        <v>3.5433070866141736</v>
      </c>
      <c r="R3020">
        <v>911.34400000000005</v>
      </c>
      <c r="S3020">
        <v>1.728E-2</v>
      </c>
      <c r="T3020" s="4" t="s">
        <v>5443</v>
      </c>
    </row>
    <row r="3021" spans="1:20" x14ac:dyDescent="0.2">
      <c r="A3021" s="4" t="s">
        <v>4793</v>
      </c>
      <c r="B3021" s="4" t="s">
        <v>5441</v>
      </c>
      <c r="C3021" s="4" t="s">
        <v>2096</v>
      </c>
      <c r="D3021" s="4" t="s">
        <v>4764</v>
      </c>
      <c r="E3021" s="4" t="s">
        <v>5449</v>
      </c>
      <c r="F3021" s="4" t="s">
        <v>5442</v>
      </c>
      <c r="G3021" s="4" t="s">
        <v>4981</v>
      </c>
      <c r="H3021" s="4" t="s">
        <v>2183</v>
      </c>
      <c r="I3021" s="4" t="s">
        <v>2100</v>
      </c>
      <c r="J3021" s="4" t="s">
        <v>2549</v>
      </c>
      <c r="K3021">
        <v>17</v>
      </c>
      <c r="L3021">
        <v>5.0999999999999996</v>
      </c>
      <c r="M3021">
        <v>40</v>
      </c>
      <c r="N3021">
        <v>90</v>
      </c>
      <c r="O3021">
        <v>200.78740157480314</v>
      </c>
      <c r="P3021">
        <v>1.5748031496062993</v>
      </c>
      <c r="Q3021">
        <v>3.5433070866141736</v>
      </c>
      <c r="R3021">
        <v>911.34400000000005</v>
      </c>
      <c r="S3021">
        <v>1.8359999999999998E-2</v>
      </c>
      <c r="T3021" s="4" t="s">
        <v>5443</v>
      </c>
    </row>
    <row r="3022" spans="1:20" x14ac:dyDescent="0.2">
      <c r="A3022" s="4" t="s">
        <v>4793</v>
      </c>
      <c r="B3022" s="4" t="s">
        <v>5441</v>
      </c>
      <c r="C3022" s="4" t="s">
        <v>2096</v>
      </c>
      <c r="D3022" s="4" t="s">
        <v>4764</v>
      </c>
      <c r="E3022" s="4" t="s">
        <v>5450</v>
      </c>
      <c r="F3022" s="4" t="s">
        <v>5442</v>
      </c>
      <c r="G3022" s="4" t="s">
        <v>4981</v>
      </c>
      <c r="H3022" s="4" t="s">
        <v>2183</v>
      </c>
      <c r="I3022" s="4" t="s">
        <v>2100</v>
      </c>
      <c r="J3022" s="4" t="s">
        <v>2549</v>
      </c>
      <c r="K3022">
        <v>18</v>
      </c>
      <c r="L3022">
        <v>5.4</v>
      </c>
      <c r="M3022">
        <v>40</v>
      </c>
      <c r="N3022">
        <v>90</v>
      </c>
      <c r="O3022">
        <v>212.59842519685043</v>
      </c>
      <c r="P3022">
        <v>1.5748031496062993</v>
      </c>
      <c r="Q3022">
        <v>3.5433070866141736</v>
      </c>
      <c r="R3022">
        <v>911.34400000000005</v>
      </c>
      <c r="S3022">
        <v>1.9440000000000002E-2</v>
      </c>
      <c r="T3022" s="4" t="s">
        <v>5443</v>
      </c>
    </row>
    <row r="3023" spans="1:20" x14ac:dyDescent="0.2">
      <c r="A3023" s="4" t="s">
        <v>4793</v>
      </c>
      <c r="B3023" s="4" t="s">
        <v>5441</v>
      </c>
      <c r="C3023" s="4" t="s">
        <v>2286</v>
      </c>
      <c r="D3023" s="4" t="s">
        <v>4764</v>
      </c>
      <c r="E3023" s="4" t="s">
        <v>5451</v>
      </c>
      <c r="F3023" s="4" t="s">
        <v>5442</v>
      </c>
      <c r="G3023" s="4" t="s">
        <v>4981</v>
      </c>
      <c r="H3023" s="4" t="s">
        <v>2183</v>
      </c>
      <c r="I3023" s="4" t="s">
        <v>2100</v>
      </c>
      <c r="J3023" s="4" t="s">
        <v>2549</v>
      </c>
      <c r="K3023">
        <v>4</v>
      </c>
      <c r="L3023">
        <v>1.2</v>
      </c>
      <c r="M3023">
        <v>40</v>
      </c>
      <c r="N3023">
        <v>90</v>
      </c>
      <c r="O3023">
        <v>47.244094488188978</v>
      </c>
      <c r="P3023">
        <v>1.5748031496062993</v>
      </c>
      <c r="Q3023">
        <v>3.5433070866141736</v>
      </c>
      <c r="R3023">
        <v>911.34400000000005</v>
      </c>
      <c r="S3023">
        <v>4.3200000000000001E-3</v>
      </c>
      <c r="T3023" s="4" t="s">
        <v>5452</v>
      </c>
    </row>
    <row r="3024" spans="1:20" x14ac:dyDescent="0.2">
      <c r="A3024" s="4" t="s">
        <v>4793</v>
      </c>
      <c r="B3024" s="4" t="s">
        <v>5441</v>
      </c>
      <c r="C3024" s="4" t="s">
        <v>2286</v>
      </c>
      <c r="D3024" s="4" t="s">
        <v>4764</v>
      </c>
      <c r="E3024" s="4" t="s">
        <v>5453</v>
      </c>
      <c r="F3024" s="4" t="s">
        <v>5442</v>
      </c>
      <c r="G3024" s="4" t="s">
        <v>4981</v>
      </c>
      <c r="H3024" s="4" t="s">
        <v>2183</v>
      </c>
      <c r="I3024" s="4" t="s">
        <v>2100</v>
      </c>
      <c r="J3024" s="4" t="s">
        <v>2549</v>
      </c>
      <c r="K3024">
        <v>5</v>
      </c>
      <c r="L3024">
        <v>1.5</v>
      </c>
      <c r="M3024">
        <v>40</v>
      </c>
      <c r="N3024">
        <v>90</v>
      </c>
      <c r="O3024">
        <v>59.055118110236222</v>
      </c>
      <c r="P3024">
        <v>1.5748031496062993</v>
      </c>
      <c r="Q3024">
        <v>3.5433070866141736</v>
      </c>
      <c r="R3024">
        <v>911.34400000000005</v>
      </c>
      <c r="S3024">
        <v>5.3999999999999994E-3</v>
      </c>
      <c r="T3024" s="4" t="s">
        <v>5452</v>
      </c>
    </row>
    <row r="3025" spans="1:20" x14ac:dyDescent="0.2">
      <c r="A3025" s="4" t="s">
        <v>4793</v>
      </c>
      <c r="B3025" s="4" t="s">
        <v>5441</v>
      </c>
      <c r="C3025" s="4" t="s">
        <v>2286</v>
      </c>
      <c r="D3025" s="4" t="s">
        <v>4764</v>
      </c>
      <c r="E3025" s="4" t="s">
        <v>5454</v>
      </c>
      <c r="F3025" s="4" t="s">
        <v>5442</v>
      </c>
      <c r="G3025" s="4" t="s">
        <v>4981</v>
      </c>
      <c r="H3025" s="4" t="s">
        <v>2183</v>
      </c>
      <c r="I3025" s="4" t="s">
        <v>2100</v>
      </c>
      <c r="J3025" s="4" t="s">
        <v>2549</v>
      </c>
      <c r="K3025">
        <v>6</v>
      </c>
      <c r="L3025">
        <v>1.8</v>
      </c>
      <c r="M3025">
        <v>40</v>
      </c>
      <c r="N3025">
        <v>90</v>
      </c>
      <c r="O3025">
        <v>70.866141732283467</v>
      </c>
      <c r="P3025">
        <v>1.5748031496062993</v>
      </c>
      <c r="Q3025">
        <v>3.5433070866141736</v>
      </c>
      <c r="R3025">
        <v>911.34400000000005</v>
      </c>
      <c r="S3025">
        <v>6.4799999999999996E-3</v>
      </c>
      <c r="T3025" s="4" t="s">
        <v>5452</v>
      </c>
    </row>
    <row r="3026" spans="1:20" x14ac:dyDescent="0.2">
      <c r="A3026" s="4" t="s">
        <v>4793</v>
      </c>
      <c r="B3026" s="4" t="s">
        <v>5441</v>
      </c>
      <c r="C3026" s="4" t="s">
        <v>2286</v>
      </c>
      <c r="D3026" s="4" t="s">
        <v>4764</v>
      </c>
      <c r="E3026" s="4" t="s">
        <v>1471</v>
      </c>
      <c r="F3026" s="4" t="s">
        <v>5442</v>
      </c>
      <c r="G3026" s="4" t="s">
        <v>4981</v>
      </c>
      <c r="H3026" s="4" t="s">
        <v>2183</v>
      </c>
      <c r="I3026" s="4" t="s">
        <v>2100</v>
      </c>
      <c r="J3026" s="4" t="s">
        <v>2549</v>
      </c>
      <c r="K3026">
        <v>7</v>
      </c>
      <c r="L3026">
        <v>2.1</v>
      </c>
      <c r="M3026">
        <v>40</v>
      </c>
      <c r="N3026">
        <v>90</v>
      </c>
      <c r="O3026">
        <v>82.677165354330711</v>
      </c>
      <c r="P3026">
        <v>1.5748031496062993</v>
      </c>
      <c r="Q3026">
        <v>3.5433070866141736</v>
      </c>
      <c r="R3026">
        <v>911.34400000000005</v>
      </c>
      <c r="S3026">
        <v>7.5600000000000007E-3</v>
      </c>
      <c r="T3026" s="4" t="s">
        <v>5452</v>
      </c>
    </row>
    <row r="3027" spans="1:20" x14ac:dyDescent="0.2">
      <c r="A3027" s="4" t="s">
        <v>4793</v>
      </c>
      <c r="B3027" s="4" t="s">
        <v>5441</v>
      </c>
      <c r="C3027" s="4" t="s">
        <v>2096</v>
      </c>
      <c r="D3027" s="4" t="s">
        <v>4764</v>
      </c>
      <c r="E3027" s="4" t="s">
        <v>1473</v>
      </c>
      <c r="F3027" s="4" t="s">
        <v>5442</v>
      </c>
      <c r="G3027" s="4" t="s">
        <v>4981</v>
      </c>
      <c r="H3027" s="4" t="s">
        <v>2183</v>
      </c>
      <c r="I3027" s="4" t="s">
        <v>2100</v>
      </c>
      <c r="J3027" s="4" t="s">
        <v>2549</v>
      </c>
      <c r="K3027">
        <v>8</v>
      </c>
      <c r="L3027">
        <v>2.4</v>
      </c>
      <c r="M3027">
        <v>40</v>
      </c>
      <c r="N3027">
        <v>90</v>
      </c>
      <c r="O3027">
        <v>94.488188976377955</v>
      </c>
      <c r="P3027">
        <v>1.5748031496062993</v>
      </c>
      <c r="Q3027">
        <v>3.5433070866141736</v>
      </c>
      <c r="R3027">
        <v>911.34400000000005</v>
      </c>
      <c r="S3027">
        <v>8.6400000000000001E-3</v>
      </c>
      <c r="T3027" s="4" t="s">
        <v>5443</v>
      </c>
    </row>
    <row r="3028" spans="1:20" x14ac:dyDescent="0.2">
      <c r="A3028" s="4" t="s">
        <v>4793</v>
      </c>
      <c r="B3028" s="4" t="s">
        <v>5441</v>
      </c>
      <c r="C3028" s="4" t="s">
        <v>2096</v>
      </c>
      <c r="D3028" s="4" t="s">
        <v>4764</v>
      </c>
      <c r="E3028" s="4" t="s">
        <v>1475</v>
      </c>
      <c r="F3028" s="4" t="s">
        <v>5442</v>
      </c>
      <c r="G3028" s="4" t="s">
        <v>4981</v>
      </c>
      <c r="H3028" s="4" t="s">
        <v>2183</v>
      </c>
      <c r="I3028" s="4" t="s">
        <v>2100</v>
      </c>
      <c r="J3028" s="4" t="s">
        <v>2549</v>
      </c>
      <c r="K3028">
        <v>9</v>
      </c>
      <c r="L3028">
        <v>2.7</v>
      </c>
      <c r="M3028">
        <v>40</v>
      </c>
      <c r="N3028">
        <v>90</v>
      </c>
      <c r="O3028">
        <v>106.29921259842521</v>
      </c>
      <c r="P3028">
        <v>1.5748031496062993</v>
      </c>
      <c r="Q3028">
        <v>3.5433070866141736</v>
      </c>
      <c r="R3028">
        <v>911.34400000000005</v>
      </c>
      <c r="S3028">
        <v>9.7200000000000012E-3</v>
      </c>
      <c r="T3028" s="4" t="s">
        <v>5443</v>
      </c>
    </row>
    <row r="3029" spans="1:20" x14ac:dyDescent="0.2">
      <c r="A3029" s="4" t="s">
        <v>4793</v>
      </c>
      <c r="B3029" s="4" t="s">
        <v>4794</v>
      </c>
      <c r="C3029" s="4" t="s">
        <v>2096</v>
      </c>
      <c r="D3029" s="4" t="s">
        <v>4764</v>
      </c>
      <c r="E3029" s="4" t="s">
        <v>1477</v>
      </c>
      <c r="F3029" s="4" t="s">
        <v>5455</v>
      </c>
      <c r="G3029" s="4" t="s">
        <v>4981</v>
      </c>
      <c r="H3029" s="4" t="s">
        <v>2183</v>
      </c>
      <c r="I3029" s="4" t="s">
        <v>2100</v>
      </c>
      <c r="J3029" s="4" t="s">
        <v>2570</v>
      </c>
      <c r="K3029">
        <v>10</v>
      </c>
      <c r="L3029">
        <v>3</v>
      </c>
      <c r="M3029">
        <v>40</v>
      </c>
      <c r="N3029">
        <v>140</v>
      </c>
      <c r="O3029">
        <v>118.11023622047244</v>
      </c>
      <c r="P3029">
        <v>1.5748031496062993</v>
      </c>
      <c r="Q3029">
        <v>5.5118110236220472</v>
      </c>
      <c r="R3029">
        <v>585.86400000000003</v>
      </c>
      <c r="S3029">
        <v>1.6800000000000002E-2</v>
      </c>
      <c r="T3029" s="4" t="s">
        <v>5456</v>
      </c>
    </row>
    <row r="3030" spans="1:20" x14ac:dyDescent="0.2">
      <c r="A3030" s="4" t="s">
        <v>4793</v>
      </c>
      <c r="B3030" s="4" t="s">
        <v>4794</v>
      </c>
      <c r="C3030" s="4" t="s">
        <v>2096</v>
      </c>
      <c r="D3030" s="4" t="s">
        <v>4764</v>
      </c>
      <c r="E3030" s="4" t="s">
        <v>1479</v>
      </c>
      <c r="F3030" s="4" t="s">
        <v>5455</v>
      </c>
      <c r="G3030" s="4" t="s">
        <v>4981</v>
      </c>
      <c r="H3030" s="4" t="s">
        <v>2183</v>
      </c>
      <c r="I3030" s="4" t="s">
        <v>2100</v>
      </c>
      <c r="J3030" s="4" t="s">
        <v>2570</v>
      </c>
      <c r="K3030">
        <v>11</v>
      </c>
      <c r="L3030">
        <v>3.3</v>
      </c>
      <c r="M3030">
        <v>40</v>
      </c>
      <c r="N3030">
        <v>140</v>
      </c>
      <c r="O3030">
        <v>129.92125984251967</v>
      </c>
      <c r="P3030">
        <v>1.5748031496062993</v>
      </c>
      <c r="Q3030">
        <v>5.5118110236220472</v>
      </c>
      <c r="R3030">
        <v>585.86400000000003</v>
      </c>
      <c r="S3030">
        <v>1.848E-2</v>
      </c>
      <c r="T3030" s="4" t="s">
        <v>5456</v>
      </c>
    </row>
    <row r="3031" spans="1:20" x14ac:dyDescent="0.2">
      <c r="A3031" s="4" t="s">
        <v>4793</v>
      </c>
      <c r="B3031" s="4" t="s">
        <v>4794</v>
      </c>
      <c r="C3031" s="4" t="s">
        <v>2096</v>
      </c>
      <c r="D3031" s="4" t="s">
        <v>4764</v>
      </c>
      <c r="E3031" s="4" t="s">
        <v>5457</v>
      </c>
      <c r="F3031" s="4" t="s">
        <v>5455</v>
      </c>
      <c r="G3031" s="4" t="s">
        <v>4981</v>
      </c>
      <c r="H3031" s="4" t="s">
        <v>2183</v>
      </c>
      <c r="I3031" s="4" t="s">
        <v>2100</v>
      </c>
      <c r="J3031" s="4" t="s">
        <v>2570</v>
      </c>
      <c r="K3031">
        <v>12</v>
      </c>
      <c r="L3031">
        <v>3.6</v>
      </c>
      <c r="M3031">
        <v>40</v>
      </c>
      <c r="N3031">
        <v>140</v>
      </c>
      <c r="O3031">
        <v>141.73228346456693</v>
      </c>
      <c r="P3031">
        <v>1.5748031496062993</v>
      </c>
      <c r="Q3031">
        <v>5.5118110236220472</v>
      </c>
      <c r="R3031">
        <v>585.86400000000003</v>
      </c>
      <c r="S3031">
        <v>2.0160000000000001E-2</v>
      </c>
      <c r="T3031" s="4" t="s">
        <v>5456</v>
      </c>
    </row>
    <row r="3032" spans="1:20" x14ac:dyDescent="0.2">
      <c r="A3032" s="4" t="s">
        <v>4793</v>
      </c>
      <c r="B3032" s="4" t="s">
        <v>4794</v>
      </c>
      <c r="C3032" s="4" t="s">
        <v>2096</v>
      </c>
      <c r="D3032" s="4" t="s">
        <v>4764</v>
      </c>
      <c r="E3032" s="4" t="s">
        <v>5458</v>
      </c>
      <c r="F3032" s="4" t="s">
        <v>5455</v>
      </c>
      <c r="G3032" s="4" t="s">
        <v>4981</v>
      </c>
      <c r="H3032" s="4" t="s">
        <v>2183</v>
      </c>
      <c r="I3032" s="4" t="s">
        <v>2100</v>
      </c>
      <c r="J3032" s="4" t="s">
        <v>2570</v>
      </c>
      <c r="K3032">
        <v>13</v>
      </c>
      <c r="L3032">
        <v>3.9</v>
      </c>
      <c r="M3032">
        <v>40</v>
      </c>
      <c r="N3032">
        <v>140</v>
      </c>
      <c r="O3032">
        <v>153.54330708661416</v>
      </c>
      <c r="P3032">
        <v>1.5748031496062993</v>
      </c>
      <c r="Q3032">
        <v>5.5118110236220472</v>
      </c>
      <c r="R3032">
        <v>585.86400000000003</v>
      </c>
      <c r="S3032">
        <v>2.1839999999999998E-2</v>
      </c>
      <c r="T3032" s="4" t="s">
        <v>5456</v>
      </c>
    </row>
    <row r="3033" spans="1:20" x14ac:dyDescent="0.2">
      <c r="A3033" s="4" t="s">
        <v>4793</v>
      </c>
      <c r="B3033" s="4" t="s">
        <v>4794</v>
      </c>
      <c r="C3033" s="4" t="s">
        <v>2096</v>
      </c>
      <c r="D3033" s="4" t="s">
        <v>4764</v>
      </c>
      <c r="E3033" s="4" t="s">
        <v>5459</v>
      </c>
      <c r="F3033" s="4" t="s">
        <v>5455</v>
      </c>
      <c r="G3033" s="4" t="s">
        <v>4981</v>
      </c>
      <c r="H3033" s="4" t="s">
        <v>2183</v>
      </c>
      <c r="I3033" s="4" t="s">
        <v>2100</v>
      </c>
      <c r="J3033" s="4" t="s">
        <v>2570</v>
      </c>
      <c r="K3033">
        <v>14</v>
      </c>
      <c r="L3033">
        <v>4.2</v>
      </c>
      <c r="M3033">
        <v>40</v>
      </c>
      <c r="N3033">
        <v>140</v>
      </c>
      <c r="O3033">
        <v>165.35433070866142</v>
      </c>
      <c r="P3033">
        <v>1.5748031496062993</v>
      </c>
      <c r="Q3033">
        <v>5.5118110236220472</v>
      </c>
      <c r="R3033">
        <v>585.86400000000003</v>
      </c>
      <c r="S3033">
        <v>2.3520000000000003E-2</v>
      </c>
      <c r="T3033" s="4" t="s">
        <v>5456</v>
      </c>
    </row>
    <row r="3034" spans="1:20" x14ac:dyDescent="0.2">
      <c r="A3034" s="4" t="s">
        <v>4793</v>
      </c>
      <c r="B3034" s="4" t="s">
        <v>4794</v>
      </c>
      <c r="C3034" s="4" t="s">
        <v>2096</v>
      </c>
      <c r="D3034" s="4" t="s">
        <v>4764</v>
      </c>
      <c r="E3034" s="4" t="s">
        <v>5460</v>
      </c>
      <c r="F3034" s="4" t="s">
        <v>5455</v>
      </c>
      <c r="G3034" s="4" t="s">
        <v>4981</v>
      </c>
      <c r="H3034" s="4" t="s">
        <v>2183</v>
      </c>
      <c r="I3034" s="4" t="s">
        <v>2100</v>
      </c>
      <c r="J3034" s="4" t="s">
        <v>2570</v>
      </c>
      <c r="K3034">
        <v>15</v>
      </c>
      <c r="L3034">
        <v>4.5</v>
      </c>
      <c r="M3034">
        <v>40</v>
      </c>
      <c r="N3034">
        <v>140</v>
      </c>
      <c r="O3034">
        <v>177.16535433070868</v>
      </c>
      <c r="P3034">
        <v>1.5748031496062993</v>
      </c>
      <c r="Q3034">
        <v>5.5118110236220472</v>
      </c>
      <c r="R3034">
        <v>585.86400000000003</v>
      </c>
      <c r="S3034">
        <v>2.52E-2</v>
      </c>
      <c r="T3034" s="4" t="s">
        <v>5456</v>
      </c>
    </row>
    <row r="3035" spans="1:20" x14ac:dyDescent="0.2">
      <c r="A3035" s="4" t="s">
        <v>4793</v>
      </c>
      <c r="B3035" s="4" t="s">
        <v>4794</v>
      </c>
      <c r="C3035" s="4" t="s">
        <v>2096</v>
      </c>
      <c r="D3035" s="4" t="s">
        <v>4764</v>
      </c>
      <c r="E3035" s="4" t="s">
        <v>5461</v>
      </c>
      <c r="F3035" s="4" t="s">
        <v>5455</v>
      </c>
      <c r="G3035" s="4" t="s">
        <v>4981</v>
      </c>
      <c r="H3035" s="4" t="s">
        <v>2183</v>
      </c>
      <c r="I3035" s="4" t="s">
        <v>2100</v>
      </c>
      <c r="J3035" s="4" t="s">
        <v>2570</v>
      </c>
      <c r="K3035">
        <v>16</v>
      </c>
      <c r="L3035">
        <v>4.8</v>
      </c>
      <c r="M3035">
        <v>40</v>
      </c>
      <c r="N3035">
        <v>140</v>
      </c>
      <c r="O3035">
        <v>188.97637795275591</v>
      </c>
      <c r="P3035">
        <v>1.5748031496062993</v>
      </c>
      <c r="Q3035">
        <v>5.5118110236220472</v>
      </c>
      <c r="R3035">
        <v>585.86400000000003</v>
      </c>
      <c r="S3035">
        <v>2.6879999999999998E-2</v>
      </c>
      <c r="T3035" s="4" t="s">
        <v>5456</v>
      </c>
    </row>
    <row r="3036" spans="1:20" x14ac:dyDescent="0.2">
      <c r="A3036" s="4" t="s">
        <v>4793</v>
      </c>
      <c r="B3036" s="4" t="s">
        <v>4794</v>
      </c>
      <c r="C3036" s="4" t="s">
        <v>2096</v>
      </c>
      <c r="D3036" s="4" t="s">
        <v>4764</v>
      </c>
      <c r="E3036" s="4" t="s">
        <v>5462</v>
      </c>
      <c r="F3036" s="4" t="s">
        <v>5455</v>
      </c>
      <c r="G3036" s="4" t="s">
        <v>4981</v>
      </c>
      <c r="H3036" s="4" t="s">
        <v>2183</v>
      </c>
      <c r="I3036" s="4" t="s">
        <v>2100</v>
      </c>
      <c r="J3036" s="4" t="s">
        <v>2570</v>
      </c>
      <c r="K3036">
        <v>17</v>
      </c>
      <c r="L3036">
        <v>5.0999999999999996</v>
      </c>
      <c r="M3036">
        <v>40</v>
      </c>
      <c r="N3036">
        <v>140</v>
      </c>
      <c r="O3036">
        <v>200.78740157480314</v>
      </c>
      <c r="P3036">
        <v>1.5748031496062993</v>
      </c>
      <c r="Q3036">
        <v>5.5118110236220472</v>
      </c>
      <c r="R3036">
        <v>585.86400000000003</v>
      </c>
      <c r="S3036">
        <v>2.8559999999999999E-2</v>
      </c>
      <c r="T3036" s="4" t="s">
        <v>5456</v>
      </c>
    </row>
    <row r="3037" spans="1:20" x14ac:dyDescent="0.2">
      <c r="A3037" s="4" t="s">
        <v>4793</v>
      </c>
      <c r="B3037" s="4" t="s">
        <v>4794</v>
      </c>
      <c r="C3037" s="4" t="s">
        <v>2096</v>
      </c>
      <c r="D3037" s="4" t="s">
        <v>4764</v>
      </c>
      <c r="E3037" s="4" t="s">
        <v>5463</v>
      </c>
      <c r="F3037" s="4" t="s">
        <v>5455</v>
      </c>
      <c r="G3037" s="4" t="s">
        <v>4981</v>
      </c>
      <c r="H3037" s="4" t="s">
        <v>2183</v>
      </c>
      <c r="I3037" s="4" t="s">
        <v>2100</v>
      </c>
      <c r="J3037" s="4" t="s">
        <v>2570</v>
      </c>
      <c r="K3037">
        <v>18</v>
      </c>
      <c r="L3037">
        <v>5.4</v>
      </c>
      <c r="M3037">
        <v>40</v>
      </c>
      <c r="N3037">
        <v>140</v>
      </c>
      <c r="O3037">
        <v>212.59842519685043</v>
      </c>
      <c r="P3037">
        <v>1.5748031496062993</v>
      </c>
      <c r="Q3037">
        <v>5.5118110236220472</v>
      </c>
      <c r="R3037">
        <v>585.86400000000003</v>
      </c>
      <c r="S3037">
        <v>3.024E-2</v>
      </c>
      <c r="T3037" s="4" t="s">
        <v>5456</v>
      </c>
    </row>
    <row r="3038" spans="1:20" x14ac:dyDescent="0.2">
      <c r="A3038" s="4" t="s">
        <v>4793</v>
      </c>
      <c r="B3038" s="4" t="s">
        <v>4794</v>
      </c>
      <c r="C3038" s="4" t="s">
        <v>2286</v>
      </c>
      <c r="D3038" s="4" t="s">
        <v>4764</v>
      </c>
      <c r="E3038" s="4" t="s">
        <v>5464</v>
      </c>
      <c r="F3038" s="4" t="s">
        <v>5455</v>
      </c>
      <c r="G3038" s="4" t="s">
        <v>4981</v>
      </c>
      <c r="H3038" s="4" t="s">
        <v>2183</v>
      </c>
      <c r="I3038" s="4" t="s">
        <v>2100</v>
      </c>
      <c r="J3038" s="4" t="s">
        <v>2570</v>
      </c>
      <c r="K3038">
        <v>4</v>
      </c>
      <c r="L3038">
        <v>1.2</v>
      </c>
      <c r="M3038">
        <v>40</v>
      </c>
      <c r="N3038">
        <v>140</v>
      </c>
      <c r="O3038">
        <v>47.244094488188978</v>
      </c>
      <c r="P3038">
        <v>1.5748031496062993</v>
      </c>
      <c r="Q3038">
        <v>5.5118110236220472</v>
      </c>
      <c r="R3038">
        <v>585.86400000000003</v>
      </c>
      <c r="S3038">
        <v>6.7199999999999994E-3</v>
      </c>
      <c r="T3038" s="4" t="s">
        <v>5465</v>
      </c>
    </row>
    <row r="3039" spans="1:20" x14ac:dyDescent="0.2">
      <c r="A3039" s="4" t="s">
        <v>4793</v>
      </c>
      <c r="B3039" s="4" t="s">
        <v>4794</v>
      </c>
      <c r="C3039" s="4" t="s">
        <v>2286</v>
      </c>
      <c r="D3039" s="4" t="s">
        <v>4764</v>
      </c>
      <c r="E3039" s="4" t="s">
        <v>1481</v>
      </c>
      <c r="F3039" s="4" t="s">
        <v>5455</v>
      </c>
      <c r="G3039" s="4" t="s">
        <v>4981</v>
      </c>
      <c r="H3039" s="4" t="s">
        <v>2183</v>
      </c>
      <c r="I3039" s="4" t="s">
        <v>2100</v>
      </c>
      <c r="J3039" s="4" t="s">
        <v>2570</v>
      </c>
      <c r="K3039">
        <v>5</v>
      </c>
      <c r="L3039">
        <v>1.5</v>
      </c>
      <c r="M3039">
        <v>40</v>
      </c>
      <c r="N3039">
        <v>140</v>
      </c>
      <c r="O3039">
        <v>59.055118110236222</v>
      </c>
      <c r="P3039">
        <v>1.5748031496062993</v>
      </c>
      <c r="Q3039">
        <v>5.5118110236220472</v>
      </c>
      <c r="R3039">
        <v>585.86400000000003</v>
      </c>
      <c r="S3039">
        <v>8.4000000000000012E-3</v>
      </c>
      <c r="T3039" s="4" t="s">
        <v>5465</v>
      </c>
    </row>
    <row r="3040" spans="1:20" x14ac:dyDescent="0.2">
      <c r="A3040" s="4" t="s">
        <v>4793</v>
      </c>
      <c r="B3040" s="4" t="s">
        <v>4794</v>
      </c>
      <c r="C3040" s="4" t="s">
        <v>2286</v>
      </c>
      <c r="D3040" s="4" t="s">
        <v>4764</v>
      </c>
      <c r="E3040" s="4" t="s">
        <v>1483</v>
      </c>
      <c r="F3040" s="4" t="s">
        <v>5455</v>
      </c>
      <c r="G3040" s="4" t="s">
        <v>4981</v>
      </c>
      <c r="H3040" s="4" t="s">
        <v>2183</v>
      </c>
      <c r="I3040" s="4" t="s">
        <v>2100</v>
      </c>
      <c r="J3040" s="4" t="s">
        <v>2570</v>
      </c>
      <c r="K3040">
        <v>6</v>
      </c>
      <c r="L3040">
        <v>1.8</v>
      </c>
      <c r="M3040">
        <v>40</v>
      </c>
      <c r="N3040">
        <v>140</v>
      </c>
      <c r="O3040">
        <v>70.866141732283467</v>
      </c>
      <c r="P3040">
        <v>1.5748031496062993</v>
      </c>
      <c r="Q3040">
        <v>5.5118110236220472</v>
      </c>
      <c r="R3040">
        <v>585.86400000000003</v>
      </c>
      <c r="S3040">
        <v>1.008E-2</v>
      </c>
      <c r="T3040" s="4" t="s">
        <v>5465</v>
      </c>
    </row>
    <row r="3041" spans="1:20" x14ac:dyDescent="0.2">
      <c r="A3041" s="4" t="s">
        <v>4793</v>
      </c>
      <c r="B3041" s="4" t="s">
        <v>4794</v>
      </c>
      <c r="C3041" s="4" t="s">
        <v>2286</v>
      </c>
      <c r="D3041" s="4" t="s">
        <v>4764</v>
      </c>
      <c r="E3041" s="4" t="s">
        <v>1485</v>
      </c>
      <c r="F3041" s="4" t="s">
        <v>5455</v>
      </c>
      <c r="G3041" s="4" t="s">
        <v>4981</v>
      </c>
      <c r="H3041" s="4" t="s">
        <v>2183</v>
      </c>
      <c r="I3041" s="4" t="s">
        <v>2100</v>
      </c>
      <c r="J3041" s="4" t="s">
        <v>2570</v>
      </c>
      <c r="K3041">
        <v>7</v>
      </c>
      <c r="L3041">
        <v>2.1</v>
      </c>
      <c r="M3041">
        <v>40</v>
      </c>
      <c r="N3041">
        <v>140</v>
      </c>
      <c r="O3041">
        <v>82.677165354330711</v>
      </c>
      <c r="P3041">
        <v>1.5748031496062993</v>
      </c>
      <c r="Q3041">
        <v>5.5118110236220472</v>
      </c>
      <c r="R3041">
        <v>585.86400000000003</v>
      </c>
      <c r="S3041">
        <v>1.1760000000000001E-2</v>
      </c>
      <c r="T3041" s="4" t="s">
        <v>5465</v>
      </c>
    </row>
    <row r="3042" spans="1:20" x14ac:dyDescent="0.2">
      <c r="A3042" s="4" t="s">
        <v>4793</v>
      </c>
      <c r="B3042" s="4" t="s">
        <v>4794</v>
      </c>
      <c r="C3042" s="4" t="s">
        <v>2096</v>
      </c>
      <c r="D3042" s="4" t="s">
        <v>4764</v>
      </c>
      <c r="E3042" s="4" t="s">
        <v>1487</v>
      </c>
      <c r="F3042" s="4" t="s">
        <v>5455</v>
      </c>
      <c r="G3042" s="4" t="s">
        <v>4981</v>
      </c>
      <c r="H3042" s="4" t="s">
        <v>2183</v>
      </c>
      <c r="I3042" s="4" t="s">
        <v>2100</v>
      </c>
      <c r="J3042" s="4" t="s">
        <v>2570</v>
      </c>
      <c r="K3042">
        <v>8</v>
      </c>
      <c r="L3042">
        <v>2.4</v>
      </c>
      <c r="M3042">
        <v>40</v>
      </c>
      <c r="N3042">
        <v>140</v>
      </c>
      <c r="O3042">
        <v>94.488188976377955</v>
      </c>
      <c r="P3042">
        <v>1.5748031496062993</v>
      </c>
      <c r="Q3042">
        <v>5.5118110236220472</v>
      </c>
      <c r="R3042">
        <v>585.86400000000003</v>
      </c>
      <c r="S3042">
        <v>1.3439999999999999E-2</v>
      </c>
      <c r="T3042" s="4" t="s">
        <v>5456</v>
      </c>
    </row>
    <row r="3043" spans="1:20" x14ac:dyDescent="0.2">
      <c r="A3043" s="4" t="s">
        <v>4793</v>
      </c>
      <c r="B3043" s="4" t="s">
        <v>4794</v>
      </c>
      <c r="C3043" s="4" t="s">
        <v>2096</v>
      </c>
      <c r="D3043" s="4" t="s">
        <v>4764</v>
      </c>
      <c r="E3043" s="4" t="s">
        <v>1489</v>
      </c>
      <c r="F3043" s="4" t="s">
        <v>5455</v>
      </c>
      <c r="G3043" s="4" t="s">
        <v>4981</v>
      </c>
      <c r="H3043" s="4" t="s">
        <v>2183</v>
      </c>
      <c r="I3043" s="4" t="s">
        <v>2100</v>
      </c>
      <c r="J3043" s="4" t="s">
        <v>2570</v>
      </c>
      <c r="K3043">
        <v>9</v>
      </c>
      <c r="L3043">
        <v>2.7</v>
      </c>
      <c r="M3043">
        <v>40</v>
      </c>
      <c r="N3043">
        <v>140</v>
      </c>
      <c r="O3043">
        <v>106.29921259842521</v>
      </c>
      <c r="P3043">
        <v>1.5748031496062993</v>
      </c>
      <c r="Q3043">
        <v>5.5118110236220472</v>
      </c>
      <c r="R3043">
        <v>585.86400000000003</v>
      </c>
      <c r="S3043">
        <v>1.512E-2</v>
      </c>
      <c r="T3043" s="4" t="s">
        <v>5456</v>
      </c>
    </row>
    <row r="3044" spans="1:20" x14ac:dyDescent="0.2">
      <c r="A3044" s="4" t="s">
        <v>4793</v>
      </c>
      <c r="B3044" s="4" t="s">
        <v>5466</v>
      </c>
      <c r="C3044" s="4" t="s">
        <v>2096</v>
      </c>
      <c r="D3044" s="4" t="s">
        <v>4764</v>
      </c>
      <c r="E3044" s="4" t="s">
        <v>1213</v>
      </c>
      <c r="F3044" s="4" t="s">
        <v>5467</v>
      </c>
      <c r="G3044" s="4" t="s">
        <v>4981</v>
      </c>
      <c r="H3044" s="4" t="s">
        <v>2183</v>
      </c>
      <c r="I3044" s="4" t="s">
        <v>2100</v>
      </c>
      <c r="J3044" s="4" t="s">
        <v>3644</v>
      </c>
      <c r="K3044">
        <v>10</v>
      </c>
      <c r="L3044">
        <v>3</v>
      </c>
      <c r="M3044">
        <v>25</v>
      </c>
      <c r="N3044">
        <v>90</v>
      </c>
      <c r="O3044">
        <v>118.11023622047244</v>
      </c>
      <c r="P3044">
        <v>0.98425196850393704</v>
      </c>
      <c r="Q3044">
        <v>3.5433070866141736</v>
      </c>
      <c r="R3044">
        <v>1458.1510000000001</v>
      </c>
      <c r="S3044">
        <v>6.7499999999999999E-3</v>
      </c>
      <c r="T3044" s="4" t="s">
        <v>5468</v>
      </c>
    </row>
    <row r="3045" spans="1:20" x14ac:dyDescent="0.2">
      <c r="A3045" s="4" t="s">
        <v>4793</v>
      </c>
      <c r="B3045" s="4" t="s">
        <v>5466</v>
      </c>
      <c r="C3045" s="4" t="s">
        <v>2096</v>
      </c>
      <c r="D3045" s="4" t="s">
        <v>4764</v>
      </c>
      <c r="E3045" s="4" t="s">
        <v>1215</v>
      </c>
      <c r="F3045" s="4" t="s">
        <v>5467</v>
      </c>
      <c r="G3045" s="4" t="s">
        <v>4981</v>
      </c>
      <c r="H3045" s="4" t="s">
        <v>2183</v>
      </c>
      <c r="I3045" s="4" t="s">
        <v>2100</v>
      </c>
      <c r="J3045" s="4" t="s">
        <v>3644</v>
      </c>
      <c r="K3045">
        <v>11</v>
      </c>
      <c r="L3045">
        <v>3.3</v>
      </c>
      <c r="M3045">
        <v>25</v>
      </c>
      <c r="N3045">
        <v>90</v>
      </c>
      <c r="O3045">
        <v>129.92125984251967</v>
      </c>
      <c r="P3045">
        <v>0.98425196850393704</v>
      </c>
      <c r="Q3045">
        <v>3.5433070866141736</v>
      </c>
      <c r="R3045">
        <v>1458.1510000000001</v>
      </c>
      <c r="S3045">
        <v>7.425000000000001E-3</v>
      </c>
      <c r="T3045" s="4" t="s">
        <v>5468</v>
      </c>
    </row>
    <row r="3046" spans="1:20" x14ac:dyDescent="0.2">
      <c r="A3046" s="4" t="s">
        <v>4793</v>
      </c>
      <c r="B3046" s="4" t="s">
        <v>5466</v>
      </c>
      <c r="C3046" s="4" t="s">
        <v>2096</v>
      </c>
      <c r="D3046" s="4" t="s">
        <v>4764</v>
      </c>
      <c r="E3046" s="4" t="s">
        <v>5469</v>
      </c>
      <c r="F3046" s="4" t="s">
        <v>5467</v>
      </c>
      <c r="G3046" s="4" t="s">
        <v>4981</v>
      </c>
      <c r="H3046" s="4" t="s">
        <v>2183</v>
      </c>
      <c r="I3046" s="4" t="s">
        <v>2100</v>
      </c>
      <c r="J3046" s="4" t="s">
        <v>3644</v>
      </c>
      <c r="K3046">
        <v>12</v>
      </c>
      <c r="L3046">
        <v>3.6</v>
      </c>
      <c r="M3046">
        <v>25</v>
      </c>
      <c r="N3046">
        <v>90</v>
      </c>
      <c r="O3046">
        <v>141.73228346456693</v>
      </c>
      <c r="P3046">
        <v>0.98425196850393704</v>
      </c>
      <c r="Q3046">
        <v>3.5433070866141736</v>
      </c>
      <c r="R3046">
        <v>1458.1510000000001</v>
      </c>
      <c r="S3046">
        <v>8.0999999999999996E-3</v>
      </c>
      <c r="T3046" s="4" t="s">
        <v>5468</v>
      </c>
    </row>
    <row r="3047" spans="1:20" x14ac:dyDescent="0.2">
      <c r="A3047" s="4" t="s">
        <v>4793</v>
      </c>
      <c r="B3047" s="4" t="s">
        <v>5466</v>
      </c>
      <c r="C3047" s="4" t="s">
        <v>2096</v>
      </c>
      <c r="D3047" s="4" t="s">
        <v>4764</v>
      </c>
      <c r="E3047" s="4" t="s">
        <v>5470</v>
      </c>
      <c r="F3047" s="4" t="s">
        <v>5467</v>
      </c>
      <c r="G3047" s="4" t="s">
        <v>4981</v>
      </c>
      <c r="H3047" s="4" t="s">
        <v>2183</v>
      </c>
      <c r="I3047" s="4" t="s">
        <v>2100</v>
      </c>
      <c r="J3047" s="4" t="s">
        <v>3644</v>
      </c>
      <c r="K3047">
        <v>13</v>
      </c>
      <c r="L3047">
        <v>3.9</v>
      </c>
      <c r="M3047">
        <v>25</v>
      </c>
      <c r="N3047">
        <v>90</v>
      </c>
      <c r="O3047">
        <v>153.54330708661416</v>
      </c>
      <c r="P3047">
        <v>0.98425196850393704</v>
      </c>
      <c r="Q3047">
        <v>3.5433070866141736</v>
      </c>
      <c r="R3047">
        <v>1458.1510000000001</v>
      </c>
      <c r="S3047">
        <v>8.7749999999999998E-3</v>
      </c>
      <c r="T3047" s="4" t="s">
        <v>5468</v>
      </c>
    </row>
    <row r="3048" spans="1:20" x14ac:dyDescent="0.2">
      <c r="A3048" s="4" t="s">
        <v>4793</v>
      </c>
      <c r="B3048" s="4" t="s">
        <v>5466</v>
      </c>
      <c r="C3048" s="4" t="s">
        <v>2096</v>
      </c>
      <c r="D3048" s="4" t="s">
        <v>4764</v>
      </c>
      <c r="E3048" s="4" t="s">
        <v>5471</v>
      </c>
      <c r="F3048" s="4" t="s">
        <v>5467</v>
      </c>
      <c r="G3048" s="4" t="s">
        <v>4981</v>
      </c>
      <c r="H3048" s="4" t="s">
        <v>2183</v>
      </c>
      <c r="I3048" s="4" t="s">
        <v>2100</v>
      </c>
      <c r="J3048" s="4" t="s">
        <v>3644</v>
      </c>
      <c r="K3048">
        <v>14</v>
      </c>
      <c r="L3048">
        <v>4.2</v>
      </c>
      <c r="M3048">
        <v>25</v>
      </c>
      <c r="N3048">
        <v>90</v>
      </c>
      <c r="O3048">
        <v>165.35433070866142</v>
      </c>
      <c r="P3048">
        <v>0.98425196850393704</v>
      </c>
      <c r="Q3048">
        <v>3.5433070866141736</v>
      </c>
      <c r="R3048">
        <v>1458.1510000000001</v>
      </c>
      <c r="S3048">
        <v>9.4500000000000001E-3</v>
      </c>
      <c r="T3048" s="4" t="s">
        <v>5468</v>
      </c>
    </row>
    <row r="3049" spans="1:20" x14ac:dyDescent="0.2">
      <c r="A3049" s="4" t="s">
        <v>4793</v>
      </c>
      <c r="B3049" s="4" t="s">
        <v>5466</v>
      </c>
      <c r="C3049" s="4" t="s">
        <v>2096</v>
      </c>
      <c r="D3049" s="4" t="s">
        <v>4764</v>
      </c>
      <c r="E3049" s="4" t="s">
        <v>5472</v>
      </c>
      <c r="F3049" s="4" t="s">
        <v>5467</v>
      </c>
      <c r="G3049" s="4" t="s">
        <v>4981</v>
      </c>
      <c r="H3049" s="4" t="s">
        <v>2183</v>
      </c>
      <c r="I3049" s="4" t="s">
        <v>2100</v>
      </c>
      <c r="J3049" s="4" t="s">
        <v>3644</v>
      </c>
      <c r="K3049">
        <v>15</v>
      </c>
      <c r="L3049">
        <v>4.5</v>
      </c>
      <c r="M3049">
        <v>25</v>
      </c>
      <c r="N3049">
        <v>90</v>
      </c>
      <c r="O3049">
        <v>177.16535433070868</v>
      </c>
      <c r="P3049">
        <v>0.98425196850393704</v>
      </c>
      <c r="Q3049">
        <v>3.5433070866141736</v>
      </c>
      <c r="R3049">
        <v>1458.1510000000001</v>
      </c>
      <c r="S3049">
        <v>1.0125E-2</v>
      </c>
      <c r="T3049" s="4" t="s">
        <v>5468</v>
      </c>
    </row>
    <row r="3050" spans="1:20" x14ac:dyDescent="0.2">
      <c r="A3050" s="4" t="s">
        <v>4793</v>
      </c>
      <c r="B3050" s="4" t="s">
        <v>5466</v>
      </c>
      <c r="C3050" s="4" t="s">
        <v>2096</v>
      </c>
      <c r="D3050" s="4" t="s">
        <v>4764</v>
      </c>
      <c r="E3050" s="4" t="s">
        <v>5473</v>
      </c>
      <c r="F3050" s="4" t="s">
        <v>5467</v>
      </c>
      <c r="G3050" s="4" t="s">
        <v>4981</v>
      </c>
      <c r="H3050" s="4" t="s">
        <v>2183</v>
      </c>
      <c r="I3050" s="4" t="s">
        <v>2100</v>
      </c>
      <c r="J3050" s="4" t="s">
        <v>3644</v>
      </c>
      <c r="K3050">
        <v>16</v>
      </c>
      <c r="L3050">
        <v>4.8</v>
      </c>
      <c r="M3050">
        <v>25</v>
      </c>
      <c r="N3050">
        <v>90</v>
      </c>
      <c r="O3050">
        <v>188.97637795275591</v>
      </c>
      <c r="P3050">
        <v>0.98425196850393704</v>
      </c>
      <c r="Q3050">
        <v>3.5433070866141736</v>
      </c>
      <c r="R3050">
        <v>1458.1510000000001</v>
      </c>
      <c r="S3050">
        <v>1.0799999999999999E-2</v>
      </c>
      <c r="T3050" s="4" t="s">
        <v>5468</v>
      </c>
    </row>
    <row r="3051" spans="1:20" x14ac:dyDescent="0.2">
      <c r="A3051" s="4" t="s">
        <v>4793</v>
      </c>
      <c r="B3051" s="4" t="s">
        <v>5466</v>
      </c>
      <c r="C3051" s="4" t="s">
        <v>2096</v>
      </c>
      <c r="D3051" s="4" t="s">
        <v>4764</v>
      </c>
      <c r="E3051" s="4" t="s">
        <v>5474</v>
      </c>
      <c r="F3051" s="4" t="s">
        <v>5467</v>
      </c>
      <c r="G3051" s="4" t="s">
        <v>4981</v>
      </c>
      <c r="H3051" s="4" t="s">
        <v>2183</v>
      </c>
      <c r="I3051" s="4" t="s">
        <v>2100</v>
      </c>
      <c r="J3051" s="4" t="s">
        <v>3644</v>
      </c>
      <c r="K3051">
        <v>17</v>
      </c>
      <c r="L3051">
        <v>5.0999999999999996</v>
      </c>
      <c r="M3051">
        <v>25</v>
      </c>
      <c r="N3051">
        <v>90</v>
      </c>
      <c r="O3051">
        <v>200.78740157480314</v>
      </c>
      <c r="P3051">
        <v>0.98425196850393704</v>
      </c>
      <c r="Q3051">
        <v>3.5433070866141736</v>
      </c>
      <c r="R3051">
        <v>1458.1510000000001</v>
      </c>
      <c r="S3051">
        <v>1.1474999999999997E-2</v>
      </c>
      <c r="T3051" s="4" t="s">
        <v>5468</v>
      </c>
    </row>
    <row r="3052" spans="1:20" x14ac:dyDescent="0.2">
      <c r="A3052" s="4" t="s">
        <v>4793</v>
      </c>
      <c r="B3052" s="4" t="s">
        <v>5466</v>
      </c>
      <c r="C3052" s="4" t="s">
        <v>2096</v>
      </c>
      <c r="D3052" s="4" t="s">
        <v>4764</v>
      </c>
      <c r="E3052" s="4" t="s">
        <v>5475</v>
      </c>
      <c r="F3052" s="4" t="s">
        <v>5467</v>
      </c>
      <c r="G3052" s="4" t="s">
        <v>4981</v>
      </c>
      <c r="H3052" s="4" t="s">
        <v>2183</v>
      </c>
      <c r="I3052" s="4" t="s">
        <v>2100</v>
      </c>
      <c r="J3052" s="4" t="s">
        <v>3644</v>
      </c>
      <c r="K3052">
        <v>18</v>
      </c>
      <c r="L3052">
        <v>5.4</v>
      </c>
      <c r="M3052">
        <v>25</v>
      </c>
      <c r="N3052">
        <v>90</v>
      </c>
      <c r="O3052">
        <v>212.59842519685043</v>
      </c>
      <c r="P3052">
        <v>0.98425196850393704</v>
      </c>
      <c r="Q3052">
        <v>3.5433070866141736</v>
      </c>
      <c r="R3052">
        <v>1458.1510000000001</v>
      </c>
      <c r="S3052">
        <v>1.2150000000000001E-2</v>
      </c>
      <c r="T3052" s="4" t="s">
        <v>5468</v>
      </c>
    </row>
    <row r="3053" spans="1:20" x14ac:dyDescent="0.2">
      <c r="A3053" s="4" t="s">
        <v>4793</v>
      </c>
      <c r="B3053" s="4" t="s">
        <v>5466</v>
      </c>
      <c r="C3053" s="4" t="s">
        <v>2286</v>
      </c>
      <c r="D3053" s="4" t="s">
        <v>4764</v>
      </c>
      <c r="E3053" s="4" t="s">
        <v>5476</v>
      </c>
      <c r="F3053" s="4" t="s">
        <v>5467</v>
      </c>
      <c r="G3053" s="4" t="s">
        <v>4981</v>
      </c>
      <c r="H3053" s="4" t="s">
        <v>2183</v>
      </c>
      <c r="I3053" s="4" t="s">
        <v>2100</v>
      </c>
      <c r="J3053" s="4" t="s">
        <v>3644</v>
      </c>
      <c r="K3053">
        <v>4</v>
      </c>
      <c r="L3053">
        <v>1.2</v>
      </c>
      <c r="M3053">
        <v>25</v>
      </c>
      <c r="N3053">
        <v>90</v>
      </c>
      <c r="O3053">
        <v>47.244094488188978</v>
      </c>
      <c r="P3053">
        <v>0.98425196850393704</v>
      </c>
      <c r="Q3053">
        <v>3.5433070866141736</v>
      </c>
      <c r="R3053">
        <v>1458.1510000000001</v>
      </c>
      <c r="S3053">
        <v>2.6999999999999997E-3</v>
      </c>
      <c r="T3053" s="4" t="s">
        <v>5477</v>
      </c>
    </row>
    <row r="3054" spans="1:20" x14ac:dyDescent="0.2">
      <c r="A3054" s="4" t="s">
        <v>4793</v>
      </c>
      <c r="B3054" s="4" t="s">
        <v>5466</v>
      </c>
      <c r="C3054" s="4" t="s">
        <v>2286</v>
      </c>
      <c r="D3054" s="4" t="s">
        <v>4764</v>
      </c>
      <c r="E3054" s="4" t="s">
        <v>5478</v>
      </c>
      <c r="F3054" s="4" t="s">
        <v>5467</v>
      </c>
      <c r="G3054" s="4" t="s">
        <v>4981</v>
      </c>
      <c r="H3054" s="4" t="s">
        <v>2183</v>
      </c>
      <c r="I3054" s="4" t="s">
        <v>2100</v>
      </c>
      <c r="J3054" s="4" t="s">
        <v>3644</v>
      </c>
      <c r="K3054">
        <v>5</v>
      </c>
      <c r="L3054">
        <v>1.5</v>
      </c>
      <c r="M3054">
        <v>25</v>
      </c>
      <c r="N3054">
        <v>90</v>
      </c>
      <c r="O3054">
        <v>59.055118110236222</v>
      </c>
      <c r="P3054">
        <v>0.98425196850393704</v>
      </c>
      <c r="Q3054">
        <v>3.5433070866141736</v>
      </c>
      <c r="R3054">
        <v>1458.1510000000001</v>
      </c>
      <c r="S3054">
        <v>3.375E-3</v>
      </c>
      <c r="T3054" s="4" t="s">
        <v>5477</v>
      </c>
    </row>
    <row r="3055" spans="1:20" x14ac:dyDescent="0.2">
      <c r="A3055" s="4" t="s">
        <v>4793</v>
      </c>
      <c r="B3055" s="4" t="s">
        <v>5466</v>
      </c>
      <c r="C3055" s="4" t="s">
        <v>2286</v>
      </c>
      <c r="D3055" s="4" t="s">
        <v>4764</v>
      </c>
      <c r="E3055" s="4" t="s">
        <v>1217</v>
      </c>
      <c r="F3055" s="4" t="s">
        <v>5467</v>
      </c>
      <c r="G3055" s="4" t="s">
        <v>4981</v>
      </c>
      <c r="H3055" s="4" t="s">
        <v>2183</v>
      </c>
      <c r="I3055" s="4" t="s">
        <v>2100</v>
      </c>
      <c r="J3055" s="4" t="s">
        <v>3644</v>
      </c>
      <c r="K3055">
        <v>6</v>
      </c>
      <c r="L3055">
        <v>1.8</v>
      </c>
      <c r="M3055">
        <v>25</v>
      </c>
      <c r="N3055">
        <v>90</v>
      </c>
      <c r="O3055">
        <v>70.866141732283467</v>
      </c>
      <c r="P3055">
        <v>0.98425196850393704</v>
      </c>
      <c r="Q3055">
        <v>3.5433070866141736</v>
      </c>
      <c r="R3055">
        <v>1458.1510000000001</v>
      </c>
      <c r="S3055">
        <v>4.0499999999999998E-3</v>
      </c>
      <c r="T3055" s="4" t="s">
        <v>5477</v>
      </c>
    </row>
    <row r="3056" spans="1:20" x14ac:dyDescent="0.2">
      <c r="A3056" s="4" t="s">
        <v>4793</v>
      </c>
      <c r="B3056" s="4" t="s">
        <v>5466</v>
      </c>
      <c r="C3056" s="4" t="s">
        <v>2286</v>
      </c>
      <c r="D3056" s="4" t="s">
        <v>4764</v>
      </c>
      <c r="E3056" s="4" t="s">
        <v>1219</v>
      </c>
      <c r="F3056" s="4" t="s">
        <v>5467</v>
      </c>
      <c r="G3056" s="4" t="s">
        <v>4981</v>
      </c>
      <c r="H3056" s="4" t="s">
        <v>2183</v>
      </c>
      <c r="I3056" s="4" t="s">
        <v>2100</v>
      </c>
      <c r="J3056" s="4" t="s">
        <v>3644</v>
      </c>
      <c r="K3056">
        <v>7</v>
      </c>
      <c r="L3056">
        <v>2.1</v>
      </c>
      <c r="M3056">
        <v>25</v>
      </c>
      <c r="N3056">
        <v>90</v>
      </c>
      <c r="O3056">
        <v>82.677165354330711</v>
      </c>
      <c r="P3056">
        <v>0.98425196850393704</v>
      </c>
      <c r="Q3056">
        <v>3.5433070866141736</v>
      </c>
      <c r="R3056">
        <v>1458.1510000000001</v>
      </c>
      <c r="S3056">
        <v>4.725E-3</v>
      </c>
      <c r="T3056" s="4" t="s">
        <v>5477</v>
      </c>
    </row>
    <row r="3057" spans="1:20" x14ac:dyDescent="0.2">
      <c r="A3057" s="4" t="s">
        <v>4793</v>
      </c>
      <c r="B3057" s="4" t="s">
        <v>5466</v>
      </c>
      <c r="C3057" s="4" t="s">
        <v>2096</v>
      </c>
      <c r="D3057" s="4" t="s">
        <v>4764</v>
      </c>
      <c r="E3057" s="4" t="s">
        <v>1221</v>
      </c>
      <c r="F3057" s="4" t="s">
        <v>5467</v>
      </c>
      <c r="G3057" s="4" t="s">
        <v>4981</v>
      </c>
      <c r="H3057" s="4" t="s">
        <v>2183</v>
      </c>
      <c r="I3057" s="4" t="s">
        <v>2100</v>
      </c>
      <c r="J3057" s="4" t="s">
        <v>3644</v>
      </c>
      <c r="K3057">
        <v>8</v>
      </c>
      <c r="L3057">
        <v>2.4</v>
      </c>
      <c r="M3057">
        <v>25</v>
      </c>
      <c r="N3057">
        <v>90</v>
      </c>
      <c r="O3057">
        <v>94.488188976377955</v>
      </c>
      <c r="P3057">
        <v>0.98425196850393704</v>
      </c>
      <c r="Q3057">
        <v>3.5433070866141736</v>
      </c>
      <c r="R3057">
        <v>1458.1510000000001</v>
      </c>
      <c r="S3057">
        <v>5.3999999999999994E-3</v>
      </c>
      <c r="T3057" s="4" t="s">
        <v>5468</v>
      </c>
    </row>
    <row r="3058" spans="1:20" x14ac:dyDescent="0.2">
      <c r="A3058" s="4" t="s">
        <v>4793</v>
      </c>
      <c r="B3058" s="4" t="s">
        <v>5466</v>
      </c>
      <c r="C3058" s="4" t="s">
        <v>2096</v>
      </c>
      <c r="D3058" s="4" t="s">
        <v>4764</v>
      </c>
      <c r="E3058" s="4" t="s">
        <v>1223</v>
      </c>
      <c r="F3058" s="4" t="s">
        <v>5467</v>
      </c>
      <c r="G3058" s="4" t="s">
        <v>4981</v>
      </c>
      <c r="H3058" s="4" t="s">
        <v>2183</v>
      </c>
      <c r="I3058" s="4" t="s">
        <v>2100</v>
      </c>
      <c r="J3058" s="4" t="s">
        <v>3644</v>
      </c>
      <c r="K3058">
        <v>9</v>
      </c>
      <c r="L3058">
        <v>2.7</v>
      </c>
      <c r="M3058">
        <v>25</v>
      </c>
      <c r="N3058">
        <v>90</v>
      </c>
      <c r="O3058">
        <v>106.29921259842521</v>
      </c>
      <c r="P3058">
        <v>0.98425196850393704</v>
      </c>
      <c r="Q3058">
        <v>3.5433070866141736</v>
      </c>
      <c r="R3058">
        <v>1458.1510000000001</v>
      </c>
      <c r="S3058">
        <v>6.0750000000000005E-3</v>
      </c>
      <c r="T3058" s="4" t="s">
        <v>5468</v>
      </c>
    </row>
    <row r="3059" spans="1:20" x14ac:dyDescent="0.2">
      <c r="A3059" s="4" t="s">
        <v>4793</v>
      </c>
      <c r="B3059" s="4" t="s">
        <v>5339</v>
      </c>
      <c r="C3059" s="4" t="s">
        <v>2096</v>
      </c>
      <c r="D3059" s="4" t="s">
        <v>4764</v>
      </c>
      <c r="E3059" s="4" t="s">
        <v>1225</v>
      </c>
      <c r="F3059" s="4" t="s">
        <v>5479</v>
      </c>
      <c r="G3059" s="4" t="s">
        <v>4981</v>
      </c>
      <c r="H3059" s="4" t="s">
        <v>2183</v>
      </c>
      <c r="I3059" s="4" t="s">
        <v>2100</v>
      </c>
      <c r="J3059" s="4" t="s">
        <v>2111</v>
      </c>
      <c r="K3059">
        <v>10</v>
      </c>
      <c r="L3059">
        <v>3</v>
      </c>
      <c r="M3059">
        <v>25</v>
      </c>
      <c r="N3059">
        <v>140</v>
      </c>
      <c r="O3059">
        <v>118.11023622047244</v>
      </c>
      <c r="P3059">
        <v>0.98425196850393704</v>
      </c>
      <c r="Q3059">
        <v>5.5118110236220472</v>
      </c>
      <c r="R3059">
        <v>937.38300000000004</v>
      </c>
      <c r="S3059">
        <v>1.0500000000000001E-2</v>
      </c>
      <c r="T3059" s="4" t="s">
        <v>5480</v>
      </c>
    </row>
    <row r="3060" spans="1:20" x14ac:dyDescent="0.2">
      <c r="A3060" s="4" t="s">
        <v>4793</v>
      </c>
      <c r="B3060" s="4" t="s">
        <v>5339</v>
      </c>
      <c r="C3060" s="4" t="s">
        <v>2096</v>
      </c>
      <c r="D3060" s="4" t="s">
        <v>4764</v>
      </c>
      <c r="E3060" s="4" t="s">
        <v>1227</v>
      </c>
      <c r="F3060" s="4" t="s">
        <v>5479</v>
      </c>
      <c r="G3060" s="4" t="s">
        <v>4981</v>
      </c>
      <c r="H3060" s="4" t="s">
        <v>2183</v>
      </c>
      <c r="I3060" s="4" t="s">
        <v>2100</v>
      </c>
      <c r="J3060" s="4" t="s">
        <v>2111</v>
      </c>
      <c r="K3060">
        <v>11</v>
      </c>
      <c r="L3060">
        <v>3.3</v>
      </c>
      <c r="M3060">
        <v>25</v>
      </c>
      <c r="N3060">
        <v>140</v>
      </c>
      <c r="O3060">
        <v>129.92125984251967</v>
      </c>
      <c r="P3060">
        <v>0.98425196850393704</v>
      </c>
      <c r="Q3060">
        <v>5.5118110236220472</v>
      </c>
      <c r="R3060">
        <v>937.38300000000004</v>
      </c>
      <c r="S3060">
        <v>1.1550000000000001E-2</v>
      </c>
      <c r="T3060" s="4" t="s">
        <v>5480</v>
      </c>
    </row>
    <row r="3061" spans="1:20" x14ac:dyDescent="0.2">
      <c r="A3061" s="4" t="s">
        <v>4793</v>
      </c>
      <c r="B3061" s="4" t="s">
        <v>5339</v>
      </c>
      <c r="C3061" s="4" t="s">
        <v>2096</v>
      </c>
      <c r="D3061" s="4" t="s">
        <v>4764</v>
      </c>
      <c r="E3061" s="4" t="s">
        <v>5481</v>
      </c>
      <c r="F3061" s="4" t="s">
        <v>5479</v>
      </c>
      <c r="G3061" s="4" t="s">
        <v>4981</v>
      </c>
      <c r="H3061" s="4" t="s">
        <v>2183</v>
      </c>
      <c r="I3061" s="4" t="s">
        <v>2100</v>
      </c>
      <c r="J3061" s="4" t="s">
        <v>2111</v>
      </c>
      <c r="K3061">
        <v>12</v>
      </c>
      <c r="L3061">
        <v>3.6</v>
      </c>
      <c r="M3061">
        <v>25</v>
      </c>
      <c r="N3061">
        <v>140</v>
      </c>
      <c r="O3061">
        <v>141.73228346456693</v>
      </c>
      <c r="P3061">
        <v>0.98425196850393704</v>
      </c>
      <c r="Q3061">
        <v>5.5118110236220472</v>
      </c>
      <c r="R3061">
        <v>937.38300000000004</v>
      </c>
      <c r="S3061">
        <v>1.26E-2</v>
      </c>
      <c r="T3061" s="4" t="s">
        <v>5480</v>
      </c>
    </row>
    <row r="3062" spans="1:20" x14ac:dyDescent="0.2">
      <c r="A3062" s="4" t="s">
        <v>4793</v>
      </c>
      <c r="B3062" s="4" t="s">
        <v>5339</v>
      </c>
      <c r="C3062" s="4" t="s">
        <v>2096</v>
      </c>
      <c r="D3062" s="4" t="s">
        <v>4764</v>
      </c>
      <c r="E3062" s="4" t="s">
        <v>5482</v>
      </c>
      <c r="F3062" s="4" t="s">
        <v>5479</v>
      </c>
      <c r="G3062" s="4" t="s">
        <v>4981</v>
      </c>
      <c r="H3062" s="4" t="s">
        <v>2183</v>
      </c>
      <c r="I3062" s="4" t="s">
        <v>2100</v>
      </c>
      <c r="J3062" s="4" t="s">
        <v>2111</v>
      </c>
      <c r="K3062">
        <v>13</v>
      </c>
      <c r="L3062">
        <v>3.9</v>
      </c>
      <c r="M3062">
        <v>25</v>
      </c>
      <c r="N3062">
        <v>140</v>
      </c>
      <c r="O3062">
        <v>153.54330708661416</v>
      </c>
      <c r="P3062">
        <v>0.98425196850393704</v>
      </c>
      <c r="Q3062">
        <v>5.5118110236220472</v>
      </c>
      <c r="R3062">
        <v>937.38300000000004</v>
      </c>
      <c r="S3062">
        <v>1.3650000000000001E-2</v>
      </c>
      <c r="T3062" s="4" t="s">
        <v>5480</v>
      </c>
    </row>
    <row r="3063" spans="1:20" x14ac:dyDescent="0.2">
      <c r="A3063" s="4" t="s">
        <v>4793</v>
      </c>
      <c r="B3063" s="4" t="s">
        <v>5339</v>
      </c>
      <c r="C3063" s="4" t="s">
        <v>2096</v>
      </c>
      <c r="D3063" s="4" t="s">
        <v>4764</v>
      </c>
      <c r="E3063" s="4" t="s">
        <v>1229</v>
      </c>
      <c r="F3063" s="4" t="s">
        <v>5479</v>
      </c>
      <c r="G3063" s="4" t="s">
        <v>4981</v>
      </c>
      <c r="H3063" s="4" t="s">
        <v>2183</v>
      </c>
      <c r="I3063" s="4" t="s">
        <v>2100</v>
      </c>
      <c r="J3063" s="4" t="s">
        <v>2111</v>
      </c>
      <c r="K3063">
        <v>14</v>
      </c>
      <c r="L3063">
        <v>4.2</v>
      </c>
      <c r="M3063">
        <v>25</v>
      </c>
      <c r="N3063">
        <v>140</v>
      </c>
      <c r="O3063">
        <v>165.35433070866142</v>
      </c>
      <c r="P3063">
        <v>0.98425196850393704</v>
      </c>
      <c r="Q3063">
        <v>5.5118110236220472</v>
      </c>
      <c r="R3063">
        <v>937.38300000000004</v>
      </c>
      <c r="S3063">
        <v>1.47E-2</v>
      </c>
      <c r="T3063" s="4" t="s">
        <v>5480</v>
      </c>
    </row>
    <row r="3064" spans="1:20" x14ac:dyDescent="0.2">
      <c r="A3064" s="4" t="s">
        <v>4793</v>
      </c>
      <c r="B3064" s="4" t="s">
        <v>5339</v>
      </c>
      <c r="C3064" s="4" t="s">
        <v>2096</v>
      </c>
      <c r="D3064" s="4" t="s">
        <v>4764</v>
      </c>
      <c r="E3064" s="4" t="s">
        <v>5483</v>
      </c>
      <c r="F3064" s="4" t="s">
        <v>5479</v>
      </c>
      <c r="G3064" s="4" t="s">
        <v>4981</v>
      </c>
      <c r="H3064" s="4" t="s">
        <v>2183</v>
      </c>
      <c r="I3064" s="4" t="s">
        <v>2100</v>
      </c>
      <c r="J3064" s="4" t="s">
        <v>2111</v>
      </c>
      <c r="K3064">
        <v>15</v>
      </c>
      <c r="L3064">
        <v>4.5</v>
      </c>
      <c r="M3064">
        <v>25</v>
      </c>
      <c r="N3064">
        <v>140</v>
      </c>
      <c r="O3064">
        <v>177.16535433070868</v>
      </c>
      <c r="P3064">
        <v>0.98425196850393704</v>
      </c>
      <c r="Q3064">
        <v>5.5118110236220472</v>
      </c>
      <c r="R3064">
        <v>937.38300000000004</v>
      </c>
      <c r="S3064">
        <v>1.575E-2</v>
      </c>
      <c r="T3064" s="4" t="s">
        <v>5480</v>
      </c>
    </row>
    <row r="3065" spans="1:20" x14ac:dyDescent="0.2">
      <c r="A3065" s="4" t="s">
        <v>4793</v>
      </c>
      <c r="B3065" s="4" t="s">
        <v>5339</v>
      </c>
      <c r="C3065" s="4" t="s">
        <v>2096</v>
      </c>
      <c r="D3065" s="4" t="s">
        <v>4764</v>
      </c>
      <c r="E3065" s="4" t="s">
        <v>1231</v>
      </c>
      <c r="F3065" s="4" t="s">
        <v>5479</v>
      </c>
      <c r="G3065" s="4" t="s">
        <v>4981</v>
      </c>
      <c r="H3065" s="4" t="s">
        <v>2183</v>
      </c>
      <c r="I3065" s="4" t="s">
        <v>2100</v>
      </c>
      <c r="J3065" s="4" t="s">
        <v>2111</v>
      </c>
      <c r="K3065">
        <v>16</v>
      </c>
      <c r="L3065">
        <v>4.8</v>
      </c>
      <c r="M3065">
        <v>25</v>
      </c>
      <c r="N3065">
        <v>140</v>
      </c>
      <c r="O3065">
        <v>188.97637795275591</v>
      </c>
      <c r="P3065">
        <v>0.98425196850393704</v>
      </c>
      <c r="Q3065">
        <v>5.5118110236220472</v>
      </c>
      <c r="R3065">
        <v>937.38300000000004</v>
      </c>
      <c r="S3065">
        <v>1.6800000000000002E-2</v>
      </c>
      <c r="T3065" s="4" t="s">
        <v>5480</v>
      </c>
    </row>
    <row r="3066" spans="1:20" x14ac:dyDescent="0.2">
      <c r="A3066" s="4" t="s">
        <v>4793</v>
      </c>
      <c r="B3066" s="4" t="s">
        <v>5339</v>
      </c>
      <c r="C3066" s="4" t="s">
        <v>2096</v>
      </c>
      <c r="D3066" s="4" t="s">
        <v>4764</v>
      </c>
      <c r="E3066" s="4" t="s">
        <v>1233</v>
      </c>
      <c r="F3066" s="4" t="s">
        <v>5479</v>
      </c>
      <c r="G3066" s="4" t="s">
        <v>4981</v>
      </c>
      <c r="H3066" s="4" t="s">
        <v>2183</v>
      </c>
      <c r="I3066" s="4" t="s">
        <v>2100</v>
      </c>
      <c r="J3066" s="4" t="s">
        <v>2111</v>
      </c>
      <c r="K3066">
        <v>17</v>
      </c>
      <c r="L3066">
        <v>5.0999999999999996</v>
      </c>
      <c r="M3066">
        <v>25</v>
      </c>
      <c r="N3066">
        <v>140</v>
      </c>
      <c r="O3066">
        <v>200.78740157480314</v>
      </c>
      <c r="P3066">
        <v>0.98425196850393704</v>
      </c>
      <c r="Q3066">
        <v>5.5118110236220472</v>
      </c>
      <c r="R3066">
        <v>937.38300000000004</v>
      </c>
      <c r="S3066">
        <v>1.7849999999999998E-2</v>
      </c>
      <c r="T3066" s="4" t="s">
        <v>5480</v>
      </c>
    </row>
    <row r="3067" spans="1:20" x14ac:dyDescent="0.2">
      <c r="A3067" s="4" t="s">
        <v>4793</v>
      </c>
      <c r="B3067" s="4" t="s">
        <v>5339</v>
      </c>
      <c r="C3067" s="4" t="s">
        <v>2096</v>
      </c>
      <c r="D3067" s="4" t="s">
        <v>4764</v>
      </c>
      <c r="E3067" s="4" t="s">
        <v>5484</v>
      </c>
      <c r="F3067" s="4" t="s">
        <v>5479</v>
      </c>
      <c r="G3067" s="4" t="s">
        <v>4981</v>
      </c>
      <c r="H3067" s="4" t="s">
        <v>2183</v>
      </c>
      <c r="I3067" s="4" t="s">
        <v>2100</v>
      </c>
      <c r="J3067" s="4" t="s">
        <v>2111</v>
      </c>
      <c r="K3067">
        <v>18</v>
      </c>
      <c r="L3067">
        <v>5.4</v>
      </c>
      <c r="M3067">
        <v>25</v>
      </c>
      <c r="N3067">
        <v>140</v>
      </c>
      <c r="O3067">
        <v>212.59842519685043</v>
      </c>
      <c r="P3067">
        <v>0.98425196850393704</v>
      </c>
      <c r="Q3067">
        <v>5.5118110236220472</v>
      </c>
      <c r="R3067">
        <v>937.38300000000004</v>
      </c>
      <c r="S3067">
        <v>1.8900000000000004E-2</v>
      </c>
      <c r="T3067" s="4" t="s">
        <v>5480</v>
      </c>
    </row>
    <row r="3068" spans="1:20" x14ac:dyDescent="0.2">
      <c r="A3068" s="4" t="s">
        <v>4793</v>
      </c>
      <c r="B3068" s="4" t="s">
        <v>5339</v>
      </c>
      <c r="C3068" s="4" t="s">
        <v>2286</v>
      </c>
      <c r="D3068" s="4" t="s">
        <v>4764</v>
      </c>
      <c r="E3068" s="4" t="s">
        <v>5485</v>
      </c>
      <c r="F3068" s="4" t="s">
        <v>5479</v>
      </c>
      <c r="G3068" s="4" t="s">
        <v>4981</v>
      </c>
      <c r="H3068" s="4" t="s">
        <v>2183</v>
      </c>
      <c r="I3068" s="4" t="s">
        <v>2100</v>
      </c>
      <c r="J3068" s="4" t="s">
        <v>2111</v>
      </c>
      <c r="K3068">
        <v>4</v>
      </c>
      <c r="L3068">
        <v>1.2</v>
      </c>
      <c r="M3068">
        <v>25</v>
      </c>
      <c r="N3068">
        <v>140</v>
      </c>
      <c r="O3068">
        <v>47.244094488188978</v>
      </c>
      <c r="P3068">
        <v>0.98425196850393704</v>
      </c>
      <c r="Q3068">
        <v>5.5118110236220472</v>
      </c>
      <c r="R3068">
        <v>937.38300000000004</v>
      </c>
      <c r="S3068">
        <v>4.2000000000000006E-3</v>
      </c>
      <c r="T3068" s="4" t="s">
        <v>5486</v>
      </c>
    </row>
    <row r="3069" spans="1:20" x14ac:dyDescent="0.2">
      <c r="A3069" s="4" t="s">
        <v>4793</v>
      </c>
      <c r="B3069" s="4" t="s">
        <v>5339</v>
      </c>
      <c r="C3069" s="4" t="s">
        <v>2286</v>
      </c>
      <c r="D3069" s="4" t="s">
        <v>4764</v>
      </c>
      <c r="E3069" s="4" t="s">
        <v>5487</v>
      </c>
      <c r="F3069" s="4" t="s">
        <v>5479</v>
      </c>
      <c r="G3069" s="4" t="s">
        <v>4981</v>
      </c>
      <c r="H3069" s="4" t="s">
        <v>2183</v>
      </c>
      <c r="I3069" s="4" t="s">
        <v>2100</v>
      </c>
      <c r="J3069" s="4" t="s">
        <v>2111</v>
      </c>
      <c r="K3069">
        <v>5</v>
      </c>
      <c r="L3069">
        <v>1.5</v>
      </c>
      <c r="M3069">
        <v>25</v>
      </c>
      <c r="N3069">
        <v>140</v>
      </c>
      <c r="O3069">
        <v>59.055118110236222</v>
      </c>
      <c r="P3069">
        <v>0.98425196850393704</v>
      </c>
      <c r="Q3069">
        <v>5.5118110236220472</v>
      </c>
      <c r="R3069">
        <v>937.38300000000004</v>
      </c>
      <c r="S3069">
        <v>5.2500000000000003E-3</v>
      </c>
      <c r="T3069" s="4" t="s">
        <v>5486</v>
      </c>
    </row>
    <row r="3070" spans="1:20" x14ac:dyDescent="0.2">
      <c r="A3070" s="4" t="s">
        <v>4793</v>
      </c>
      <c r="B3070" s="4" t="s">
        <v>5339</v>
      </c>
      <c r="C3070" s="4" t="s">
        <v>2286</v>
      </c>
      <c r="D3070" s="4" t="s">
        <v>4764</v>
      </c>
      <c r="E3070" s="4" t="s">
        <v>5488</v>
      </c>
      <c r="F3070" s="4" t="s">
        <v>5479</v>
      </c>
      <c r="G3070" s="4" t="s">
        <v>4981</v>
      </c>
      <c r="H3070" s="4" t="s">
        <v>2183</v>
      </c>
      <c r="I3070" s="4" t="s">
        <v>2100</v>
      </c>
      <c r="J3070" s="4" t="s">
        <v>2111</v>
      </c>
      <c r="K3070">
        <v>6</v>
      </c>
      <c r="L3070">
        <v>1.8</v>
      </c>
      <c r="M3070">
        <v>25</v>
      </c>
      <c r="N3070">
        <v>140</v>
      </c>
      <c r="O3070">
        <v>70.866141732283467</v>
      </c>
      <c r="P3070">
        <v>0.98425196850393704</v>
      </c>
      <c r="Q3070">
        <v>5.5118110236220472</v>
      </c>
      <c r="R3070">
        <v>937.38300000000004</v>
      </c>
      <c r="S3070">
        <v>6.3E-3</v>
      </c>
      <c r="T3070" s="4" t="s">
        <v>5486</v>
      </c>
    </row>
    <row r="3071" spans="1:20" x14ac:dyDescent="0.2">
      <c r="A3071" s="4" t="s">
        <v>4793</v>
      </c>
      <c r="B3071" s="4" t="s">
        <v>5339</v>
      </c>
      <c r="C3071" s="4" t="s">
        <v>2286</v>
      </c>
      <c r="D3071" s="4" t="s">
        <v>4764</v>
      </c>
      <c r="E3071" s="4" t="s">
        <v>5489</v>
      </c>
      <c r="F3071" s="4" t="s">
        <v>5479</v>
      </c>
      <c r="G3071" s="4" t="s">
        <v>4981</v>
      </c>
      <c r="H3071" s="4" t="s">
        <v>2183</v>
      </c>
      <c r="I3071" s="4" t="s">
        <v>2100</v>
      </c>
      <c r="J3071" s="4" t="s">
        <v>2111</v>
      </c>
      <c r="K3071">
        <v>7</v>
      </c>
      <c r="L3071">
        <v>2.1</v>
      </c>
      <c r="M3071">
        <v>25</v>
      </c>
      <c r="N3071">
        <v>140</v>
      </c>
      <c r="O3071">
        <v>82.677165354330711</v>
      </c>
      <c r="P3071">
        <v>0.98425196850393704</v>
      </c>
      <c r="Q3071">
        <v>5.5118110236220472</v>
      </c>
      <c r="R3071">
        <v>937.38300000000004</v>
      </c>
      <c r="S3071">
        <v>7.3499999999999998E-3</v>
      </c>
      <c r="T3071" s="4" t="s">
        <v>5486</v>
      </c>
    </row>
    <row r="3072" spans="1:20" x14ac:dyDescent="0.2">
      <c r="A3072" s="4" t="s">
        <v>4793</v>
      </c>
      <c r="B3072" s="4" t="s">
        <v>5339</v>
      </c>
      <c r="C3072" s="4" t="s">
        <v>2096</v>
      </c>
      <c r="D3072" s="4" t="s">
        <v>4764</v>
      </c>
      <c r="E3072" s="4" t="s">
        <v>5490</v>
      </c>
      <c r="F3072" s="4" t="s">
        <v>5479</v>
      </c>
      <c r="G3072" s="4" t="s">
        <v>4981</v>
      </c>
      <c r="H3072" s="4" t="s">
        <v>2183</v>
      </c>
      <c r="I3072" s="4" t="s">
        <v>2100</v>
      </c>
      <c r="J3072" s="4" t="s">
        <v>2111</v>
      </c>
      <c r="K3072">
        <v>8</v>
      </c>
      <c r="L3072">
        <v>2.4</v>
      </c>
      <c r="M3072">
        <v>25</v>
      </c>
      <c r="N3072">
        <v>140</v>
      </c>
      <c r="O3072">
        <v>94.488188976377955</v>
      </c>
      <c r="P3072">
        <v>0.98425196850393704</v>
      </c>
      <c r="Q3072">
        <v>5.5118110236220472</v>
      </c>
      <c r="R3072">
        <v>937.38300000000004</v>
      </c>
      <c r="S3072">
        <v>8.4000000000000012E-3</v>
      </c>
      <c r="T3072" s="4" t="s">
        <v>5480</v>
      </c>
    </row>
    <row r="3073" spans="1:20" x14ac:dyDescent="0.2">
      <c r="A3073" s="4" t="s">
        <v>4793</v>
      </c>
      <c r="B3073" s="4" t="s">
        <v>5339</v>
      </c>
      <c r="C3073" s="4" t="s">
        <v>2096</v>
      </c>
      <c r="D3073" s="4" t="s">
        <v>4764</v>
      </c>
      <c r="E3073" s="4" t="s">
        <v>1235</v>
      </c>
      <c r="F3073" s="4" t="s">
        <v>5479</v>
      </c>
      <c r="G3073" s="4" t="s">
        <v>4981</v>
      </c>
      <c r="H3073" s="4" t="s">
        <v>2183</v>
      </c>
      <c r="I3073" s="4" t="s">
        <v>2100</v>
      </c>
      <c r="J3073" s="4" t="s">
        <v>2111</v>
      </c>
      <c r="K3073">
        <v>9</v>
      </c>
      <c r="L3073">
        <v>2.7</v>
      </c>
      <c r="M3073">
        <v>25</v>
      </c>
      <c r="N3073">
        <v>140</v>
      </c>
      <c r="O3073">
        <v>106.29921259842521</v>
      </c>
      <c r="P3073">
        <v>0.98425196850393704</v>
      </c>
      <c r="Q3073">
        <v>5.5118110236220472</v>
      </c>
      <c r="R3073">
        <v>937.38300000000004</v>
      </c>
      <c r="S3073">
        <v>9.4500000000000018E-3</v>
      </c>
      <c r="T3073" s="4" t="s">
        <v>5480</v>
      </c>
    </row>
    <row r="3074" spans="1:20" x14ac:dyDescent="0.2">
      <c r="A3074" s="4" t="s">
        <v>4793</v>
      </c>
      <c r="B3074" s="4" t="s">
        <v>4798</v>
      </c>
      <c r="C3074" s="4" t="s">
        <v>2096</v>
      </c>
      <c r="D3074" s="4" t="s">
        <v>4764</v>
      </c>
      <c r="E3074" s="4" t="s">
        <v>5491</v>
      </c>
      <c r="F3074" s="4" t="s">
        <v>5492</v>
      </c>
      <c r="G3074" s="4" t="s">
        <v>4981</v>
      </c>
      <c r="H3074" s="4" t="s">
        <v>5314</v>
      </c>
      <c r="I3074" s="4" t="s">
        <v>5493</v>
      </c>
      <c r="J3074" s="4" t="s">
        <v>2153</v>
      </c>
      <c r="K3074">
        <v>10</v>
      </c>
      <c r="L3074">
        <v>3</v>
      </c>
      <c r="M3074">
        <v>19</v>
      </c>
      <c r="N3074">
        <v>140</v>
      </c>
      <c r="O3074">
        <v>118.11023622047244</v>
      </c>
      <c r="P3074">
        <v>0.74803149606299213</v>
      </c>
      <c r="Q3074">
        <v>5.5118110236220472</v>
      </c>
      <c r="R3074">
        <v>1233.3979999999999</v>
      </c>
      <c r="S3074">
        <v>7.980000000000001E-3</v>
      </c>
      <c r="T3074" s="4" t="s">
        <v>5494</v>
      </c>
    </row>
    <row r="3075" spans="1:20" x14ac:dyDescent="0.2">
      <c r="A3075" s="4" t="s">
        <v>4793</v>
      </c>
      <c r="B3075" s="4" t="s">
        <v>4798</v>
      </c>
      <c r="C3075" s="4" t="s">
        <v>2096</v>
      </c>
      <c r="D3075" s="4" t="s">
        <v>4764</v>
      </c>
      <c r="E3075" s="4" t="s">
        <v>5495</v>
      </c>
      <c r="F3075" s="4" t="s">
        <v>5492</v>
      </c>
      <c r="G3075" s="4" t="s">
        <v>4981</v>
      </c>
      <c r="H3075" s="4" t="s">
        <v>5314</v>
      </c>
      <c r="I3075" s="4" t="s">
        <v>5493</v>
      </c>
      <c r="J3075" s="4" t="s">
        <v>2153</v>
      </c>
      <c r="K3075">
        <v>11</v>
      </c>
      <c r="L3075">
        <v>3.3</v>
      </c>
      <c r="M3075">
        <v>19</v>
      </c>
      <c r="N3075">
        <v>140</v>
      </c>
      <c r="O3075">
        <v>129.92125984251967</v>
      </c>
      <c r="P3075">
        <v>0.74803149606299213</v>
      </c>
      <c r="Q3075">
        <v>5.5118110236220472</v>
      </c>
      <c r="R3075">
        <v>1233.3979999999999</v>
      </c>
      <c r="S3075">
        <v>8.7779999999999993E-3</v>
      </c>
      <c r="T3075" s="4" t="s">
        <v>5494</v>
      </c>
    </row>
    <row r="3076" spans="1:20" x14ac:dyDescent="0.2">
      <c r="A3076" s="4" t="s">
        <v>4793</v>
      </c>
      <c r="B3076" s="4" t="s">
        <v>4798</v>
      </c>
      <c r="C3076" s="4" t="s">
        <v>2096</v>
      </c>
      <c r="D3076" s="4" t="s">
        <v>4764</v>
      </c>
      <c r="E3076" s="4" t="s">
        <v>5496</v>
      </c>
      <c r="F3076" s="4" t="s">
        <v>5492</v>
      </c>
      <c r="G3076" s="4" t="s">
        <v>4981</v>
      </c>
      <c r="H3076" s="4" t="s">
        <v>5314</v>
      </c>
      <c r="I3076" s="4" t="s">
        <v>5493</v>
      </c>
      <c r="J3076" s="4" t="s">
        <v>2153</v>
      </c>
      <c r="K3076">
        <v>12</v>
      </c>
      <c r="L3076">
        <v>3.6</v>
      </c>
      <c r="M3076">
        <v>19</v>
      </c>
      <c r="N3076">
        <v>140</v>
      </c>
      <c r="O3076">
        <v>141.73228346456693</v>
      </c>
      <c r="P3076">
        <v>0.74803149606299213</v>
      </c>
      <c r="Q3076">
        <v>5.5118110236220472</v>
      </c>
      <c r="R3076">
        <v>1233.3979999999999</v>
      </c>
      <c r="S3076">
        <v>9.5760000000000012E-3</v>
      </c>
      <c r="T3076" s="4" t="s">
        <v>5494</v>
      </c>
    </row>
    <row r="3077" spans="1:20" x14ac:dyDescent="0.2">
      <c r="A3077" s="4" t="s">
        <v>4793</v>
      </c>
      <c r="B3077" s="4" t="s">
        <v>4798</v>
      </c>
      <c r="C3077" s="4" t="s">
        <v>2096</v>
      </c>
      <c r="D3077" s="4" t="s">
        <v>4764</v>
      </c>
      <c r="E3077" s="4" t="s">
        <v>5497</v>
      </c>
      <c r="F3077" s="4" t="s">
        <v>5492</v>
      </c>
      <c r="G3077" s="4" t="s">
        <v>4981</v>
      </c>
      <c r="H3077" s="4" t="s">
        <v>5314</v>
      </c>
      <c r="I3077" s="4" t="s">
        <v>5493</v>
      </c>
      <c r="J3077" s="4" t="s">
        <v>2153</v>
      </c>
      <c r="K3077">
        <v>13</v>
      </c>
      <c r="L3077">
        <v>3.9</v>
      </c>
      <c r="M3077">
        <v>19</v>
      </c>
      <c r="N3077">
        <v>140</v>
      </c>
      <c r="O3077">
        <v>153.54330708661416</v>
      </c>
      <c r="P3077">
        <v>0.74803149606299213</v>
      </c>
      <c r="Q3077">
        <v>5.5118110236220472</v>
      </c>
      <c r="R3077">
        <v>1233.3979999999999</v>
      </c>
      <c r="S3077">
        <v>1.0374000000000001E-2</v>
      </c>
      <c r="T3077" s="4" t="s">
        <v>5494</v>
      </c>
    </row>
    <row r="3078" spans="1:20" x14ac:dyDescent="0.2">
      <c r="A3078" s="4" t="s">
        <v>4793</v>
      </c>
      <c r="B3078" s="4" t="s">
        <v>4798</v>
      </c>
      <c r="C3078" s="4" t="s">
        <v>2096</v>
      </c>
      <c r="D3078" s="4" t="s">
        <v>4764</v>
      </c>
      <c r="E3078" s="4" t="s">
        <v>5498</v>
      </c>
      <c r="F3078" s="4" t="s">
        <v>5492</v>
      </c>
      <c r="G3078" s="4" t="s">
        <v>4981</v>
      </c>
      <c r="H3078" s="4" t="s">
        <v>5314</v>
      </c>
      <c r="I3078" s="4" t="s">
        <v>5493</v>
      </c>
      <c r="J3078" s="4" t="s">
        <v>2153</v>
      </c>
      <c r="K3078">
        <v>14</v>
      </c>
      <c r="L3078">
        <v>4.2</v>
      </c>
      <c r="M3078">
        <v>19</v>
      </c>
      <c r="N3078">
        <v>140</v>
      </c>
      <c r="O3078">
        <v>165.35433070866142</v>
      </c>
      <c r="P3078">
        <v>0.74803149606299213</v>
      </c>
      <c r="Q3078">
        <v>5.5118110236220472</v>
      </c>
      <c r="R3078">
        <v>1233.3979999999999</v>
      </c>
      <c r="S3078">
        <v>1.1172E-2</v>
      </c>
      <c r="T3078" s="4" t="s">
        <v>5494</v>
      </c>
    </row>
    <row r="3079" spans="1:20" x14ac:dyDescent="0.2">
      <c r="A3079" s="4" t="s">
        <v>4793</v>
      </c>
      <c r="B3079" s="4" t="s">
        <v>4798</v>
      </c>
      <c r="C3079" s="4" t="s">
        <v>2096</v>
      </c>
      <c r="D3079" s="4" t="s">
        <v>4764</v>
      </c>
      <c r="E3079" s="4" t="s">
        <v>5499</v>
      </c>
      <c r="F3079" s="4" t="s">
        <v>5492</v>
      </c>
      <c r="G3079" s="4" t="s">
        <v>4981</v>
      </c>
      <c r="H3079" s="4" t="s">
        <v>5314</v>
      </c>
      <c r="I3079" s="4" t="s">
        <v>5493</v>
      </c>
      <c r="J3079" s="4" t="s">
        <v>2153</v>
      </c>
      <c r="K3079">
        <v>15</v>
      </c>
      <c r="L3079">
        <v>4.5</v>
      </c>
      <c r="M3079">
        <v>19</v>
      </c>
      <c r="N3079">
        <v>140</v>
      </c>
      <c r="O3079">
        <v>177.16535433070868</v>
      </c>
      <c r="P3079">
        <v>0.74803149606299213</v>
      </c>
      <c r="Q3079">
        <v>5.5118110236220472</v>
      </c>
      <c r="R3079">
        <v>1233.3979999999999</v>
      </c>
      <c r="S3079">
        <v>1.1970000000000001E-2</v>
      </c>
      <c r="T3079" s="4" t="s">
        <v>5494</v>
      </c>
    </row>
    <row r="3080" spans="1:20" x14ac:dyDescent="0.2">
      <c r="A3080" s="4" t="s">
        <v>4793</v>
      </c>
      <c r="B3080" s="4" t="s">
        <v>4798</v>
      </c>
      <c r="C3080" s="4" t="s">
        <v>2096</v>
      </c>
      <c r="D3080" s="4" t="s">
        <v>4764</v>
      </c>
      <c r="E3080" s="4" t="s">
        <v>5500</v>
      </c>
      <c r="F3080" s="4" t="s">
        <v>5492</v>
      </c>
      <c r="G3080" s="4" t="s">
        <v>4981</v>
      </c>
      <c r="H3080" s="4" t="s">
        <v>5314</v>
      </c>
      <c r="I3080" s="4" t="s">
        <v>5493</v>
      </c>
      <c r="J3080" s="4" t="s">
        <v>2153</v>
      </c>
      <c r="K3080">
        <v>16</v>
      </c>
      <c r="L3080">
        <v>4.8</v>
      </c>
      <c r="M3080">
        <v>19</v>
      </c>
      <c r="N3080">
        <v>140</v>
      </c>
      <c r="O3080">
        <v>188.97637795275591</v>
      </c>
      <c r="P3080">
        <v>0.74803149606299213</v>
      </c>
      <c r="Q3080">
        <v>5.5118110236220472</v>
      </c>
      <c r="R3080">
        <v>1233.3979999999999</v>
      </c>
      <c r="S3080">
        <v>1.2768E-2</v>
      </c>
      <c r="T3080" s="4" t="s">
        <v>5494</v>
      </c>
    </row>
    <row r="3081" spans="1:20" x14ac:dyDescent="0.2">
      <c r="A3081" s="4" t="s">
        <v>4793</v>
      </c>
      <c r="B3081" s="4" t="s">
        <v>4798</v>
      </c>
      <c r="C3081" s="4" t="s">
        <v>2096</v>
      </c>
      <c r="D3081" s="4" t="s">
        <v>4764</v>
      </c>
      <c r="E3081" s="4" t="s">
        <v>5501</v>
      </c>
      <c r="F3081" s="4" t="s">
        <v>5492</v>
      </c>
      <c r="G3081" s="4" t="s">
        <v>4981</v>
      </c>
      <c r="H3081" s="4" t="s">
        <v>5314</v>
      </c>
      <c r="I3081" s="4" t="s">
        <v>5493</v>
      </c>
      <c r="J3081" s="4" t="s">
        <v>2153</v>
      </c>
      <c r="K3081">
        <v>17</v>
      </c>
      <c r="L3081">
        <v>5.0999999999999996</v>
      </c>
      <c r="M3081">
        <v>19</v>
      </c>
      <c r="N3081">
        <v>140</v>
      </c>
      <c r="O3081">
        <v>200.78740157480314</v>
      </c>
      <c r="P3081">
        <v>0.74803149606299213</v>
      </c>
      <c r="Q3081">
        <v>5.5118110236220472</v>
      </c>
      <c r="R3081">
        <v>1233.3979999999999</v>
      </c>
      <c r="S3081">
        <v>1.3565999999999998E-2</v>
      </c>
      <c r="T3081" s="4" t="s">
        <v>5494</v>
      </c>
    </row>
    <row r="3082" spans="1:20" x14ac:dyDescent="0.2">
      <c r="A3082" s="4" t="s">
        <v>4793</v>
      </c>
      <c r="B3082" s="4" t="s">
        <v>4798</v>
      </c>
      <c r="C3082" s="4" t="s">
        <v>2096</v>
      </c>
      <c r="D3082" s="4" t="s">
        <v>4764</v>
      </c>
      <c r="E3082" s="4" t="s">
        <v>5502</v>
      </c>
      <c r="F3082" s="4" t="s">
        <v>5492</v>
      </c>
      <c r="G3082" s="4" t="s">
        <v>4981</v>
      </c>
      <c r="H3082" s="4" t="s">
        <v>5314</v>
      </c>
      <c r="I3082" s="4" t="s">
        <v>5493</v>
      </c>
      <c r="J3082" s="4" t="s">
        <v>2153</v>
      </c>
      <c r="K3082">
        <v>18</v>
      </c>
      <c r="L3082">
        <v>5.4</v>
      </c>
      <c r="M3082">
        <v>19</v>
      </c>
      <c r="N3082">
        <v>140</v>
      </c>
      <c r="O3082">
        <v>212.59842519685043</v>
      </c>
      <c r="P3082">
        <v>0.74803149606299213</v>
      </c>
      <c r="Q3082">
        <v>5.5118110236220472</v>
      </c>
      <c r="R3082">
        <v>1233.3979999999999</v>
      </c>
      <c r="S3082">
        <v>1.4364E-2</v>
      </c>
      <c r="T3082" s="4" t="s">
        <v>5494</v>
      </c>
    </row>
    <row r="3083" spans="1:20" x14ac:dyDescent="0.2">
      <c r="A3083" s="4" t="s">
        <v>4793</v>
      </c>
      <c r="B3083" s="4" t="s">
        <v>4798</v>
      </c>
      <c r="C3083" s="4" t="s">
        <v>2286</v>
      </c>
      <c r="D3083" s="4" t="s">
        <v>4764</v>
      </c>
      <c r="E3083" s="4" t="s">
        <v>5503</v>
      </c>
      <c r="F3083" s="4" t="s">
        <v>5492</v>
      </c>
      <c r="G3083" s="4" t="s">
        <v>4981</v>
      </c>
      <c r="H3083" s="4" t="s">
        <v>5314</v>
      </c>
      <c r="I3083" s="4" t="s">
        <v>5493</v>
      </c>
      <c r="J3083" s="4" t="s">
        <v>2153</v>
      </c>
      <c r="K3083">
        <v>4</v>
      </c>
      <c r="L3083">
        <v>1.2</v>
      </c>
      <c r="M3083">
        <v>19</v>
      </c>
      <c r="N3083">
        <v>140</v>
      </c>
      <c r="O3083">
        <v>47.244094488188978</v>
      </c>
      <c r="P3083">
        <v>0.74803149606299213</v>
      </c>
      <c r="Q3083">
        <v>5.5118110236220472</v>
      </c>
      <c r="R3083">
        <v>1233.3979999999999</v>
      </c>
      <c r="S3083">
        <v>3.192E-3</v>
      </c>
      <c r="T3083" s="4" t="s">
        <v>5504</v>
      </c>
    </row>
    <row r="3084" spans="1:20" x14ac:dyDescent="0.2">
      <c r="A3084" s="4" t="s">
        <v>4793</v>
      </c>
      <c r="B3084" s="4" t="s">
        <v>4798</v>
      </c>
      <c r="C3084" s="4" t="s">
        <v>2286</v>
      </c>
      <c r="D3084" s="4" t="s">
        <v>4764</v>
      </c>
      <c r="E3084" s="4" t="s">
        <v>5505</v>
      </c>
      <c r="F3084" s="4" t="s">
        <v>5492</v>
      </c>
      <c r="G3084" s="4" t="s">
        <v>4981</v>
      </c>
      <c r="H3084" s="4" t="s">
        <v>5314</v>
      </c>
      <c r="I3084" s="4" t="s">
        <v>5493</v>
      </c>
      <c r="J3084" s="4" t="s">
        <v>2153</v>
      </c>
      <c r="K3084">
        <v>5</v>
      </c>
      <c r="L3084">
        <v>1.5</v>
      </c>
      <c r="M3084">
        <v>19</v>
      </c>
      <c r="N3084">
        <v>140</v>
      </c>
      <c r="O3084">
        <v>59.055118110236222</v>
      </c>
      <c r="P3084">
        <v>0.74803149606299213</v>
      </c>
      <c r="Q3084">
        <v>5.5118110236220472</v>
      </c>
      <c r="R3084">
        <v>1233.3979999999999</v>
      </c>
      <c r="S3084">
        <v>3.9900000000000005E-3</v>
      </c>
      <c r="T3084" s="4" t="s">
        <v>5504</v>
      </c>
    </row>
    <row r="3085" spans="1:20" x14ac:dyDescent="0.2">
      <c r="A3085" s="4" t="s">
        <v>4793</v>
      </c>
      <c r="B3085" s="4" t="s">
        <v>4798</v>
      </c>
      <c r="C3085" s="4" t="s">
        <v>2286</v>
      </c>
      <c r="D3085" s="4" t="s">
        <v>4764</v>
      </c>
      <c r="E3085" s="4" t="s">
        <v>5506</v>
      </c>
      <c r="F3085" s="4" t="s">
        <v>5492</v>
      </c>
      <c r="G3085" s="4" t="s">
        <v>4981</v>
      </c>
      <c r="H3085" s="4" t="s">
        <v>5314</v>
      </c>
      <c r="I3085" s="4" t="s">
        <v>5493</v>
      </c>
      <c r="J3085" s="4" t="s">
        <v>2153</v>
      </c>
      <c r="K3085">
        <v>6</v>
      </c>
      <c r="L3085">
        <v>1.8</v>
      </c>
      <c r="M3085">
        <v>19</v>
      </c>
      <c r="N3085">
        <v>140</v>
      </c>
      <c r="O3085">
        <v>70.866141732283467</v>
      </c>
      <c r="P3085">
        <v>0.74803149606299213</v>
      </c>
      <c r="Q3085">
        <v>5.5118110236220472</v>
      </c>
      <c r="R3085">
        <v>1233.3979999999999</v>
      </c>
      <c r="S3085">
        <v>4.7880000000000006E-3</v>
      </c>
      <c r="T3085" s="4" t="s">
        <v>5504</v>
      </c>
    </row>
    <row r="3086" spans="1:20" x14ac:dyDescent="0.2">
      <c r="A3086" s="4" t="s">
        <v>4793</v>
      </c>
      <c r="B3086" s="4" t="s">
        <v>4798</v>
      </c>
      <c r="C3086" s="4" t="s">
        <v>2286</v>
      </c>
      <c r="D3086" s="4" t="s">
        <v>4764</v>
      </c>
      <c r="E3086" s="4" t="s">
        <v>5507</v>
      </c>
      <c r="F3086" s="4" t="s">
        <v>5492</v>
      </c>
      <c r="G3086" s="4" t="s">
        <v>4981</v>
      </c>
      <c r="H3086" s="4" t="s">
        <v>5314</v>
      </c>
      <c r="I3086" s="4" t="s">
        <v>5493</v>
      </c>
      <c r="J3086" s="4" t="s">
        <v>2153</v>
      </c>
      <c r="K3086">
        <v>7</v>
      </c>
      <c r="L3086">
        <v>2.1</v>
      </c>
      <c r="M3086">
        <v>19</v>
      </c>
      <c r="N3086">
        <v>140</v>
      </c>
      <c r="O3086">
        <v>82.677165354330711</v>
      </c>
      <c r="P3086">
        <v>0.74803149606299213</v>
      </c>
      <c r="Q3086">
        <v>5.5118110236220472</v>
      </c>
      <c r="R3086">
        <v>1233.3979999999999</v>
      </c>
      <c r="S3086">
        <v>5.5859999999999998E-3</v>
      </c>
      <c r="T3086" s="4" t="s">
        <v>5504</v>
      </c>
    </row>
    <row r="3087" spans="1:20" x14ac:dyDescent="0.2">
      <c r="A3087" s="4" t="s">
        <v>4793</v>
      </c>
      <c r="B3087" s="4" t="s">
        <v>4798</v>
      </c>
      <c r="C3087" s="4" t="s">
        <v>2096</v>
      </c>
      <c r="D3087" s="4" t="s">
        <v>4764</v>
      </c>
      <c r="E3087" s="4" t="s">
        <v>5508</v>
      </c>
      <c r="F3087" s="4" t="s">
        <v>5492</v>
      </c>
      <c r="G3087" s="4" t="s">
        <v>4981</v>
      </c>
      <c r="H3087" s="4" t="s">
        <v>5314</v>
      </c>
      <c r="I3087" s="4" t="s">
        <v>5493</v>
      </c>
      <c r="J3087" s="4" t="s">
        <v>2153</v>
      </c>
      <c r="K3087">
        <v>8</v>
      </c>
      <c r="L3087">
        <v>2.4</v>
      </c>
      <c r="M3087">
        <v>19</v>
      </c>
      <c r="N3087">
        <v>140</v>
      </c>
      <c r="O3087">
        <v>94.488188976377955</v>
      </c>
      <c r="P3087">
        <v>0.74803149606299213</v>
      </c>
      <c r="Q3087">
        <v>5.5118110236220472</v>
      </c>
      <c r="R3087">
        <v>1233.3979999999999</v>
      </c>
      <c r="S3087">
        <v>6.3839999999999999E-3</v>
      </c>
      <c r="T3087" s="4" t="s">
        <v>5494</v>
      </c>
    </row>
    <row r="3088" spans="1:20" x14ac:dyDescent="0.2">
      <c r="A3088" s="4" t="s">
        <v>4793</v>
      </c>
      <c r="B3088" s="4" t="s">
        <v>4798</v>
      </c>
      <c r="C3088" s="4" t="s">
        <v>2096</v>
      </c>
      <c r="D3088" s="4" t="s">
        <v>4764</v>
      </c>
      <c r="E3088" s="4" t="s">
        <v>5509</v>
      </c>
      <c r="F3088" s="4" t="s">
        <v>5492</v>
      </c>
      <c r="G3088" s="4" t="s">
        <v>4981</v>
      </c>
      <c r="H3088" s="4" t="s">
        <v>5314</v>
      </c>
      <c r="I3088" s="4" t="s">
        <v>5493</v>
      </c>
      <c r="J3088" s="4" t="s">
        <v>2153</v>
      </c>
      <c r="K3088">
        <v>9</v>
      </c>
      <c r="L3088">
        <v>2.7</v>
      </c>
      <c r="M3088">
        <v>19</v>
      </c>
      <c r="N3088">
        <v>140</v>
      </c>
      <c r="O3088">
        <v>106.29921259842521</v>
      </c>
      <c r="P3088">
        <v>0.74803149606299213</v>
      </c>
      <c r="Q3088">
        <v>5.5118110236220472</v>
      </c>
      <c r="R3088">
        <v>1233.3979999999999</v>
      </c>
      <c r="S3088">
        <v>7.182E-3</v>
      </c>
      <c r="T3088" s="4" t="s">
        <v>5494</v>
      </c>
    </row>
    <row r="3089" spans="1:20" x14ac:dyDescent="0.2">
      <c r="A3089" s="4" t="s">
        <v>4793</v>
      </c>
      <c r="B3089" s="4" t="s">
        <v>4798</v>
      </c>
      <c r="C3089" s="4" t="s">
        <v>2096</v>
      </c>
      <c r="D3089" s="4" t="s">
        <v>4764</v>
      </c>
      <c r="E3089" s="4" t="s">
        <v>5510</v>
      </c>
      <c r="F3089" s="4" t="s">
        <v>5511</v>
      </c>
      <c r="G3089" s="4" t="s">
        <v>4981</v>
      </c>
      <c r="H3089" s="4" t="s">
        <v>5314</v>
      </c>
      <c r="I3089" s="4" t="s">
        <v>5512</v>
      </c>
      <c r="J3089" s="4" t="s">
        <v>2153</v>
      </c>
      <c r="K3089">
        <v>10</v>
      </c>
      <c r="L3089">
        <v>3</v>
      </c>
      <c r="M3089">
        <v>19</v>
      </c>
      <c r="N3089">
        <v>140</v>
      </c>
      <c r="O3089">
        <v>118.11023622047244</v>
      </c>
      <c r="P3089">
        <v>0.74803149606299213</v>
      </c>
      <c r="Q3089">
        <v>5.5118110236220472</v>
      </c>
      <c r="R3089">
        <v>1233.3979999999999</v>
      </c>
      <c r="S3089">
        <v>7.980000000000001E-3</v>
      </c>
      <c r="T3089" s="4" t="s">
        <v>5513</v>
      </c>
    </row>
    <row r="3090" spans="1:20" x14ac:dyDescent="0.2">
      <c r="A3090" s="4" t="s">
        <v>4793</v>
      </c>
      <c r="B3090" s="4" t="s">
        <v>4798</v>
      </c>
      <c r="C3090" s="4" t="s">
        <v>2096</v>
      </c>
      <c r="D3090" s="4" t="s">
        <v>4764</v>
      </c>
      <c r="E3090" s="4" t="s">
        <v>5514</v>
      </c>
      <c r="F3090" s="4" t="s">
        <v>5511</v>
      </c>
      <c r="G3090" s="4" t="s">
        <v>4981</v>
      </c>
      <c r="H3090" s="4" t="s">
        <v>5314</v>
      </c>
      <c r="I3090" s="4" t="s">
        <v>5512</v>
      </c>
      <c r="J3090" s="4" t="s">
        <v>2153</v>
      </c>
      <c r="K3090">
        <v>11</v>
      </c>
      <c r="L3090">
        <v>3.3</v>
      </c>
      <c r="M3090">
        <v>19</v>
      </c>
      <c r="N3090">
        <v>140</v>
      </c>
      <c r="O3090">
        <v>129.92125984251967</v>
      </c>
      <c r="P3090">
        <v>0.74803149606299213</v>
      </c>
      <c r="Q3090">
        <v>5.5118110236220472</v>
      </c>
      <c r="R3090">
        <v>1233.3979999999999</v>
      </c>
      <c r="S3090">
        <v>8.7779999999999993E-3</v>
      </c>
      <c r="T3090" s="4" t="s">
        <v>5513</v>
      </c>
    </row>
    <row r="3091" spans="1:20" x14ac:dyDescent="0.2">
      <c r="A3091" s="4" t="s">
        <v>4793</v>
      </c>
      <c r="B3091" s="4" t="s">
        <v>4798</v>
      </c>
      <c r="C3091" s="4" t="s">
        <v>2096</v>
      </c>
      <c r="D3091" s="4" t="s">
        <v>4764</v>
      </c>
      <c r="E3091" s="4" t="s">
        <v>5515</v>
      </c>
      <c r="F3091" s="4" t="s">
        <v>5511</v>
      </c>
      <c r="G3091" s="4" t="s">
        <v>4981</v>
      </c>
      <c r="H3091" s="4" t="s">
        <v>5314</v>
      </c>
      <c r="I3091" s="4" t="s">
        <v>5512</v>
      </c>
      <c r="J3091" s="4" t="s">
        <v>2153</v>
      </c>
      <c r="K3091">
        <v>12</v>
      </c>
      <c r="L3091">
        <v>3.6</v>
      </c>
      <c r="M3091">
        <v>19</v>
      </c>
      <c r="N3091">
        <v>140</v>
      </c>
      <c r="O3091">
        <v>141.73228346456693</v>
      </c>
      <c r="P3091">
        <v>0.74803149606299213</v>
      </c>
      <c r="Q3091">
        <v>5.5118110236220472</v>
      </c>
      <c r="R3091">
        <v>1233.3979999999999</v>
      </c>
      <c r="S3091">
        <v>9.5760000000000012E-3</v>
      </c>
      <c r="T3091" s="4" t="s">
        <v>5513</v>
      </c>
    </row>
    <row r="3092" spans="1:20" x14ac:dyDescent="0.2">
      <c r="A3092" s="4" t="s">
        <v>4793</v>
      </c>
      <c r="B3092" s="4" t="s">
        <v>4798</v>
      </c>
      <c r="C3092" s="4" t="s">
        <v>2096</v>
      </c>
      <c r="D3092" s="4" t="s">
        <v>4764</v>
      </c>
      <c r="E3092" s="4" t="s">
        <v>5516</v>
      </c>
      <c r="F3092" s="4" t="s">
        <v>5511</v>
      </c>
      <c r="G3092" s="4" t="s">
        <v>4981</v>
      </c>
      <c r="H3092" s="4" t="s">
        <v>5314</v>
      </c>
      <c r="I3092" s="4" t="s">
        <v>5512</v>
      </c>
      <c r="J3092" s="4" t="s">
        <v>2153</v>
      </c>
      <c r="K3092">
        <v>13</v>
      </c>
      <c r="L3092">
        <v>3.9</v>
      </c>
      <c r="M3092">
        <v>19</v>
      </c>
      <c r="N3092">
        <v>140</v>
      </c>
      <c r="O3092">
        <v>153.54330708661416</v>
      </c>
      <c r="P3092">
        <v>0.74803149606299213</v>
      </c>
      <c r="Q3092">
        <v>5.5118110236220472</v>
      </c>
      <c r="R3092">
        <v>1233.3979999999999</v>
      </c>
      <c r="S3092">
        <v>1.0374000000000001E-2</v>
      </c>
      <c r="T3092" s="4" t="s">
        <v>5513</v>
      </c>
    </row>
    <row r="3093" spans="1:20" x14ac:dyDescent="0.2">
      <c r="A3093" s="4" t="s">
        <v>4793</v>
      </c>
      <c r="B3093" s="4" t="s">
        <v>4798</v>
      </c>
      <c r="C3093" s="4" t="s">
        <v>2096</v>
      </c>
      <c r="D3093" s="4" t="s">
        <v>4764</v>
      </c>
      <c r="E3093" s="4" t="s">
        <v>5517</v>
      </c>
      <c r="F3093" s="4" t="s">
        <v>5511</v>
      </c>
      <c r="G3093" s="4" t="s">
        <v>4981</v>
      </c>
      <c r="H3093" s="4" t="s">
        <v>5314</v>
      </c>
      <c r="I3093" s="4" t="s">
        <v>5512</v>
      </c>
      <c r="J3093" s="4" t="s">
        <v>2153</v>
      </c>
      <c r="K3093">
        <v>14</v>
      </c>
      <c r="L3093">
        <v>4.2</v>
      </c>
      <c r="M3093">
        <v>19</v>
      </c>
      <c r="N3093">
        <v>140</v>
      </c>
      <c r="O3093">
        <v>165.35433070866142</v>
      </c>
      <c r="P3093">
        <v>0.74803149606299213</v>
      </c>
      <c r="Q3093">
        <v>5.5118110236220472</v>
      </c>
      <c r="R3093">
        <v>1233.3979999999999</v>
      </c>
      <c r="S3093">
        <v>1.1172E-2</v>
      </c>
      <c r="T3093" s="4" t="s">
        <v>5513</v>
      </c>
    </row>
    <row r="3094" spans="1:20" x14ac:dyDescent="0.2">
      <c r="A3094" s="4" t="s">
        <v>4793</v>
      </c>
      <c r="B3094" s="4" t="s">
        <v>4798</v>
      </c>
      <c r="C3094" s="4" t="s">
        <v>2096</v>
      </c>
      <c r="D3094" s="4" t="s">
        <v>4764</v>
      </c>
      <c r="E3094" s="4" t="s">
        <v>5518</v>
      </c>
      <c r="F3094" s="4" t="s">
        <v>5511</v>
      </c>
      <c r="G3094" s="4" t="s">
        <v>4981</v>
      </c>
      <c r="H3094" s="4" t="s">
        <v>5314</v>
      </c>
      <c r="I3094" s="4" t="s">
        <v>5512</v>
      </c>
      <c r="J3094" s="4" t="s">
        <v>2153</v>
      </c>
      <c r="K3094">
        <v>15</v>
      </c>
      <c r="L3094">
        <v>4.5</v>
      </c>
      <c r="M3094">
        <v>19</v>
      </c>
      <c r="N3094">
        <v>140</v>
      </c>
      <c r="O3094">
        <v>177.16535433070868</v>
      </c>
      <c r="P3094">
        <v>0.74803149606299213</v>
      </c>
      <c r="Q3094">
        <v>5.5118110236220472</v>
      </c>
      <c r="R3094">
        <v>1233.3979999999999</v>
      </c>
      <c r="S3094">
        <v>1.1970000000000001E-2</v>
      </c>
      <c r="T3094" s="4" t="s">
        <v>5513</v>
      </c>
    </row>
    <row r="3095" spans="1:20" x14ac:dyDescent="0.2">
      <c r="A3095" s="4" t="s">
        <v>4793</v>
      </c>
      <c r="B3095" s="4" t="s">
        <v>4798</v>
      </c>
      <c r="C3095" s="4" t="s">
        <v>2096</v>
      </c>
      <c r="D3095" s="4" t="s">
        <v>4764</v>
      </c>
      <c r="E3095" s="4" t="s">
        <v>5519</v>
      </c>
      <c r="F3095" s="4" t="s">
        <v>5511</v>
      </c>
      <c r="G3095" s="4" t="s">
        <v>4981</v>
      </c>
      <c r="H3095" s="4" t="s">
        <v>5314</v>
      </c>
      <c r="I3095" s="4" t="s">
        <v>5512</v>
      </c>
      <c r="J3095" s="4" t="s">
        <v>2153</v>
      </c>
      <c r="K3095">
        <v>16</v>
      </c>
      <c r="L3095">
        <v>4.8</v>
      </c>
      <c r="M3095">
        <v>19</v>
      </c>
      <c r="N3095">
        <v>140</v>
      </c>
      <c r="O3095">
        <v>188.97637795275591</v>
      </c>
      <c r="P3095">
        <v>0.74803149606299213</v>
      </c>
      <c r="Q3095">
        <v>5.5118110236220472</v>
      </c>
      <c r="R3095">
        <v>1233.3979999999999</v>
      </c>
      <c r="S3095">
        <v>1.2768E-2</v>
      </c>
      <c r="T3095" s="4" t="s">
        <v>5513</v>
      </c>
    </row>
    <row r="3096" spans="1:20" x14ac:dyDescent="0.2">
      <c r="A3096" s="4" t="s">
        <v>4793</v>
      </c>
      <c r="B3096" s="4" t="s">
        <v>4798</v>
      </c>
      <c r="C3096" s="4" t="s">
        <v>2096</v>
      </c>
      <c r="D3096" s="4" t="s">
        <v>4764</v>
      </c>
      <c r="E3096" s="4" t="s">
        <v>5520</v>
      </c>
      <c r="F3096" s="4" t="s">
        <v>5511</v>
      </c>
      <c r="G3096" s="4" t="s">
        <v>4981</v>
      </c>
      <c r="H3096" s="4" t="s">
        <v>5314</v>
      </c>
      <c r="I3096" s="4" t="s">
        <v>5512</v>
      </c>
      <c r="J3096" s="4" t="s">
        <v>2153</v>
      </c>
      <c r="K3096">
        <v>17</v>
      </c>
      <c r="L3096">
        <v>5.0999999999999996</v>
      </c>
      <c r="M3096">
        <v>19</v>
      </c>
      <c r="N3096">
        <v>140</v>
      </c>
      <c r="O3096">
        <v>200.78740157480314</v>
      </c>
      <c r="P3096">
        <v>0.74803149606299213</v>
      </c>
      <c r="Q3096">
        <v>5.5118110236220472</v>
      </c>
      <c r="R3096">
        <v>1233.3979999999999</v>
      </c>
      <c r="S3096">
        <v>1.3565999999999998E-2</v>
      </c>
      <c r="T3096" s="4" t="s">
        <v>5513</v>
      </c>
    </row>
    <row r="3097" spans="1:20" x14ac:dyDescent="0.2">
      <c r="A3097" s="4" t="s">
        <v>4793</v>
      </c>
      <c r="B3097" s="4" t="s">
        <v>4798</v>
      </c>
      <c r="C3097" s="4" t="s">
        <v>2096</v>
      </c>
      <c r="D3097" s="4" t="s">
        <v>4764</v>
      </c>
      <c r="E3097" s="4" t="s">
        <v>5521</v>
      </c>
      <c r="F3097" s="4" t="s">
        <v>5511</v>
      </c>
      <c r="G3097" s="4" t="s">
        <v>4981</v>
      </c>
      <c r="H3097" s="4" t="s">
        <v>5314</v>
      </c>
      <c r="I3097" s="4" t="s">
        <v>5512</v>
      </c>
      <c r="J3097" s="4" t="s">
        <v>2153</v>
      </c>
      <c r="K3097">
        <v>18</v>
      </c>
      <c r="L3097">
        <v>5.4</v>
      </c>
      <c r="M3097">
        <v>19</v>
      </c>
      <c r="N3097">
        <v>140</v>
      </c>
      <c r="O3097">
        <v>212.59842519685043</v>
      </c>
      <c r="P3097">
        <v>0.74803149606299213</v>
      </c>
      <c r="Q3097">
        <v>5.5118110236220472</v>
      </c>
      <c r="R3097">
        <v>1233.3979999999999</v>
      </c>
      <c r="S3097">
        <v>1.4364E-2</v>
      </c>
      <c r="T3097" s="4" t="s">
        <v>5513</v>
      </c>
    </row>
    <row r="3098" spans="1:20" x14ac:dyDescent="0.2">
      <c r="A3098" s="4" t="s">
        <v>4793</v>
      </c>
      <c r="B3098" s="4" t="s">
        <v>4798</v>
      </c>
      <c r="C3098" s="4" t="s">
        <v>2286</v>
      </c>
      <c r="D3098" s="4" t="s">
        <v>4764</v>
      </c>
      <c r="E3098" s="4" t="s">
        <v>5522</v>
      </c>
      <c r="F3098" s="4" t="s">
        <v>5511</v>
      </c>
      <c r="G3098" s="4" t="s">
        <v>4981</v>
      </c>
      <c r="H3098" s="4" t="s">
        <v>5314</v>
      </c>
      <c r="I3098" s="4" t="s">
        <v>5512</v>
      </c>
      <c r="J3098" s="4" t="s">
        <v>2153</v>
      </c>
      <c r="K3098">
        <v>4</v>
      </c>
      <c r="L3098">
        <v>1.2</v>
      </c>
      <c r="M3098">
        <v>19</v>
      </c>
      <c r="N3098">
        <v>140</v>
      </c>
      <c r="O3098">
        <v>47.244094488188978</v>
      </c>
      <c r="P3098">
        <v>0.74803149606299213</v>
      </c>
      <c r="Q3098">
        <v>5.5118110236220472</v>
      </c>
      <c r="R3098">
        <v>1233.3979999999999</v>
      </c>
      <c r="S3098">
        <v>3.192E-3</v>
      </c>
      <c r="T3098" s="4" t="s">
        <v>5523</v>
      </c>
    </row>
    <row r="3099" spans="1:20" x14ac:dyDescent="0.2">
      <c r="A3099" s="4" t="s">
        <v>4793</v>
      </c>
      <c r="B3099" s="4" t="s">
        <v>4798</v>
      </c>
      <c r="C3099" s="4" t="s">
        <v>2286</v>
      </c>
      <c r="D3099" s="4" t="s">
        <v>4764</v>
      </c>
      <c r="E3099" s="4" t="s">
        <v>5524</v>
      </c>
      <c r="F3099" s="4" t="s">
        <v>5511</v>
      </c>
      <c r="G3099" s="4" t="s">
        <v>4981</v>
      </c>
      <c r="H3099" s="4" t="s">
        <v>5314</v>
      </c>
      <c r="I3099" s="4" t="s">
        <v>5512</v>
      </c>
      <c r="J3099" s="4" t="s">
        <v>2153</v>
      </c>
      <c r="K3099">
        <v>5</v>
      </c>
      <c r="L3099">
        <v>1.5</v>
      </c>
      <c r="M3099">
        <v>19</v>
      </c>
      <c r="N3099">
        <v>140</v>
      </c>
      <c r="O3099">
        <v>59.055118110236222</v>
      </c>
      <c r="P3099">
        <v>0.74803149606299213</v>
      </c>
      <c r="Q3099">
        <v>5.5118110236220472</v>
      </c>
      <c r="R3099">
        <v>1233.3979999999999</v>
      </c>
      <c r="S3099">
        <v>3.9900000000000005E-3</v>
      </c>
      <c r="T3099" s="4" t="s">
        <v>5523</v>
      </c>
    </row>
    <row r="3100" spans="1:20" x14ac:dyDescent="0.2">
      <c r="A3100" s="4" t="s">
        <v>4793</v>
      </c>
      <c r="B3100" s="4" t="s">
        <v>4798</v>
      </c>
      <c r="C3100" s="4" t="s">
        <v>2286</v>
      </c>
      <c r="D3100" s="4" t="s">
        <v>4764</v>
      </c>
      <c r="E3100" s="4" t="s">
        <v>5525</v>
      </c>
      <c r="F3100" s="4" t="s">
        <v>5511</v>
      </c>
      <c r="G3100" s="4" t="s">
        <v>4981</v>
      </c>
      <c r="H3100" s="4" t="s">
        <v>5314</v>
      </c>
      <c r="I3100" s="4" t="s">
        <v>5512</v>
      </c>
      <c r="J3100" s="4" t="s">
        <v>2153</v>
      </c>
      <c r="K3100">
        <v>6</v>
      </c>
      <c r="L3100">
        <v>1.8</v>
      </c>
      <c r="M3100">
        <v>19</v>
      </c>
      <c r="N3100">
        <v>140</v>
      </c>
      <c r="O3100">
        <v>70.866141732283467</v>
      </c>
      <c r="P3100">
        <v>0.74803149606299213</v>
      </c>
      <c r="Q3100">
        <v>5.5118110236220472</v>
      </c>
      <c r="R3100">
        <v>1233.3979999999999</v>
      </c>
      <c r="S3100">
        <v>4.7880000000000006E-3</v>
      </c>
      <c r="T3100" s="4" t="s">
        <v>5523</v>
      </c>
    </row>
    <row r="3101" spans="1:20" x14ac:dyDescent="0.2">
      <c r="A3101" s="4" t="s">
        <v>4793</v>
      </c>
      <c r="B3101" s="4" t="s">
        <v>4798</v>
      </c>
      <c r="C3101" s="4" t="s">
        <v>2286</v>
      </c>
      <c r="D3101" s="4" t="s">
        <v>4764</v>
      </c>
      <c r="E3101" s="4" t="s">
        <v>5526</v>
      </c>
      <c r="F3101" s="4" t="s">
        <v>5511</v>
      </c>
      <c r="G3101" s="4" t="s">
        <v>4981</v>
      </c>
      <c r="H3101" s="4" t="s">
        <v>5314</v>
      </c>
      <c r="I3101" s="4" t="s">
        <v>5512</v>
      </c>
      <c r="J3101" s="4" t="s">
        <v>2153</v>
      </c>
      <c r="K3101">
        <v>7</v>
      </c>
      <c r="L3101">
        <v>2.1</v>
      </c>
      <c r="M3101">
        <v>19</v>
      </c>
      <c r="N3101">
        <v>140</v>
      </c>
      <c r="O3101">
        <v>82.677165354330711</v>
      </c>
      <c r="P3101">
        <v>0.74803149606299213</v>
      </c>
      <c r="Q3101">
        <v>5.5118110236220472</v>
      </c>
      <c r="R3101">
        <v>1233.3979999999999</v>
      </c>
      <c r="S3101">
        <v>5.5859999999999998E-3</v>
      </c>
      <c r="T3101" s="4" t="s">
        <v>5523</v>
      </c>
    </row>
    <row r="3102" spans="1:20" x14ac:dyDescent="0.2">
      <c r="A3102" s="4" t="s">
        <v>4793</v>
      </c>
      <c r="B3102" s="4" t="s">
        <v>4798</v>
      </c>
      <c r="C3102" s="4" t="s">
        <v>2096</v>
      </c>
      <c r="D3102" s="4" t="s">
        <v>4764</v>
      </c>
      <c r="E3102" s="4" t="s">
        <v>5527</v>
      </c>
      <c r="F3102" s="4" t="s">
        <v>5511</v>
      </c>
      <c r="G3102" s="4" t="s">
        <v>4981</v>
      </c>
      <c r="H3102" s="4" t="s">
        <v>5314</v>
      </c>
      <c r="I3102" s="4" t="s">
        <v>5512</v>
      </c>
      <c r="J3102" s="4" t="s">
        <v>2153</v>
      </c>
      <c r="K3102">
        <v>8</v>
      </c>
      <c r="L3102">
        <v>2.4</v>
      </c>
      <c r="M3102">
        <v>19</v>
      </c>
      <c r="N3102">
        <v>140</v>
      </c>
      <c r="O3102">
        <v>94.488188976377955</v>
      </c>
      <c r="P3102">
        <v>0.74803149606299213</v>
      </c>
      <c r="Q3102">
        <v>5.5118110236220472</v>
      </c>
      <c r="R3102">
        <v>1233.3979999999999</v>
      </c>
      <c r="S3102">
        <v>6.3839999999999999E-3</v>
      </c>
      <c r="T3102" s="4" t="s">
        <v>5513</v>
      </c>
    </row>
    <row r="3103" spans="1:20" x14ac:dyDescent="0.2">
      <c r="A3103" s="4" t="s">
        <v>4793</v>
      </c>
      <c r="B3103" s="4" t="s">
        <v>4798</v>
      </c>
      <c r="C3103" s="4" t="s">
        <v>2096</v>
      </c>
      <c r="D3103" s="4" t="s">
        <v>4764</v>
      </c>
      <c r="E3103" s="4" t="s">
        <v>5528</v>
      </c>
      <c r="F3103" s="4" t="s">
        <v>5511</v>
      </c>
      <c r="G3103" s="4" t="s">
        <v>4981</v>
      </c>
      <c r="H3103" s="4" t="s">
        <v>5314</v>
      </c>
      <c r="I3103" s="4" t="s">
        <v>5512</v>
      </c>
      <c r="J3103" s="4" t="s">
        <v>2153</v>
      </c>
      <c r="K3103">
        <v>9</v>
      </c>
      <c r="L3103">
        <v>2.7</v>
      </c>
      <c r="M3103">
        <v>19</v>
      </c>
      <c r="N3103">
        <v>140</v>
      </c>
      <c r="O3103">
        <v>106.29921259842521</v>
      </c>
      <c r="P3103">
        <v>0.74803149606299213</v>
      </c>
      <c r="Q3103">
        <v>5.5118110236220472</v>
      </c>
      <c r="R3103">
        <v>1233.3979999999999</v>
      </c>
      <c r="S3103">
        <v>7.182E-3</v>
      </c>
      <c r="T3103" s="4" t="s">
        <v>5513</v>
      </c>
    </row>
    <row r="3104" spans="1:20" x14ac:dyDescent="0.2">
      <c r="A3104" s="4" t="s">
        <v>4793</v>
      </c>
      <c r="B3104" s="4" t="s">
        <v>4798</v>
      </c>
      <c r="C3104" s="4" t="s">
        <v>2096</v>
      </c>
      <c r="D3104" s="4" t="s">
        <v>4764</v>
      </c>
      <c r="E3104" s="4" t="s">
        <v>1237</v>
      </c>
      <c r="F3104" s="4" t="s">
        <v>5529</v>
      </c>
      <c r="G3104" s="4" t="s">
        <v>4981</v>
      </c>
      <c r="H3104" s="4" t="s">
        <v>5314</v>
      </c>
      <c r="I3104" s="4" t="s">
        <v>5530</v>
      </c>
      <c r="J3104" s="4" t="s">
        <v>2153</v>
      </c>
      <c r="K3104">
        <v>10</v>
      </c>
      <c r="L3104">
        <v>3</v>
      </c>
      <c r="M3104">
        <v>19</v>
      </c>
      <c r="N3104">
        <v>140</v>
      </c>
      <c r="O3104">
        <v>118.11023622047244</v>
      </c>
      <c r="P3104">
        <v>0.74803149606299213</v>
      </c>
      <c r="Q3104">
        <v>5.5118110236220472</v>
      </c>
      <c r="R3104">
        <v>1233.3979999999999</v>
      </c>
      <c r="S3104">
        <v>7.980000000000001E-3</v>
      </c>
      <c r="T3104" s="4" t="s">
        <v>5531</v>
      </c>
    </row>
    <row r="3105" spans="1:20" x14ac:dyDescent="0.2">
      <c r="A3105" s="4" t="s">
        <v>4793</v>
      </c>
      <c r="B3105" s="4" t="s">
        <v>4798</v>
      </c>
      <c r="C3105" s="4" t="s">
        <v>2096</v>
      </c>
      <c r="D3105" s="4" t="s">
        <v>4764</v>
      </c>
      <c r="E3105" s="4" t="s">
        <v>1239</v>
      </c>
      <c r="F3105" s="4" t="s">
        <v>5529</v>
      </c>
      <c r="G3105" s="4" t="s">
        <v>4981</v>
      </c>
      <c r="H3105" s="4" t="s">
        <v>5314</v>
      </c>
      <c r="I3105" s="4" t="s">
        <v>5530</v>
      </c>
      <c r="J3105" s="4" t="s">
        <v>2153</v>
      </c>
      <c r="K3105">
        <v>11</v>
      </c>
      <c r="L3105">
        <v>3.3</v>
      </c>
      <c r="M3105">
        <v>19</v>
      </c>
      <c r="N3105">
        <v>140</v>
      </c>
      <c r="O3105">
        <v>129.92125984251967</v>
      </c>
      <c r="P3105">
        <v>0.74803149606299213</v>
      </c>
      <c r="Q3105">
        <v>5.5118110236220472</v>
      </c>
      <c r="R3105">
        <v>1233.3979999999999</v>
      </c>
      <c r="S3105">
        <v>8.7779999999999993E-3</v>
      </c>
      <c r="T3105" s="4" t="s">
        <v>5531</v>
      </c>
    </row>
    <row r="3106" spans="1:20" x14ac:dyDescent="0.2">
      <c r="A3106" s="4" t="s">
        <v>4793</v>
      </c>
      <c r="B3106" s="4" t="s">
        <v>4798</v>
      </c>
      <c r="C3106" s="4" t="s">
        <v>2096</v>
      </c>
      <c r="D3106" s="4" t="s">
        <v>4764</v>
      </c>
      <c r="E3106" s="4" t="s">
        <v>1241</v>
      </c>
      <c r="F3106" s="4" t="s">
        <v>5529</v>
      </c>
      <c r="G3106" s="4" t="s">
        <v>4981</v>
      </c>
      <c r="H3106" s="4" t="s">
        <v>5314</v>
      </c>
      <c r="I3106" s="4" t="s">
        <v>5530</v>
      </c>
      <c r="J3106" s="4" t="s">
        <v>2153</v>
      </c>
      <c r="K3106">
        <v>12</v>
      </c>
      <c r="L3106">
        <v>3.6</v>
      </c>
      <c r="M3106">
        <v>19</v>
      </c>
      <c r="N3106">
        <v>140</v>
      </c>
      <c r="O3106">
        <v>141.73228346456693</v>
      </c>
      <c r="P3106">
        <v>0.74803149606299213</v>
      </c>
      <c r="Q3106">
        <v>5.5118110236220472</v>
      </c>
      <c r="R3106">
        <v>1233.3979999999999</v>
      </c>
      <c r="S3106">
        <v>9.5760000000000012E-3</v>
      </c>
      <c r="T3106" s="4" t="s">
        <v>5531</v>
      </c>
    </row>
    <row r="3107" spans="1:20" x14ac:dyDescent="0.2">
      <c r="A3107" s="4" t="s">
        <v>4793</v>
      </c>
      <c r="B3107" s="4" t="s">
        <v>4798</v>
      </c>
      <c r="C3107" s="4" t="s">
        <v>2096</v>
      </c>
      <c r="D3107" s="4" t="s">
        <v>4764</v>
      </c>
      <c r="E3107" s="4" t="s">
        <v>1243</v>
      </c>
      <c r="F3107" s="4" t="s">
        <v>5529</v>
      </c>
      <c r="G3107" s="4" t="s">
        <v>4981</v>
      </c>
      <c r="H3107" s="4" t="s">
        <v>5314</v>
      </c>
      <c r="I3107" s="4" t="s">
        <v>5530</v>
      </c>
      <c r="J3107" s="4" t="s">
        <v>2153</v>
      </c>
      <c r="K3107">
        <v>13</v>
      </c>
      <c r="L3107">
        <v>3.9</v>
      </c>
      <c r="M3107">
        <v>19</v>
      </c>
      <c r="N3107">
        <v>140</v>
      </c>
      <c r="O3107">
        <v>153.54330708661416</v>
      </c>
      <c r="P3107">
        <v>0.74803149606299213</v>
      </c>
      <c r="Q3107">
        <v>5.5118110236220472</v>
      </c>
      <c r="R3107">
        <v>1233.3979999999999</v>
      </c>
      <c r="S3107">
        <v>1.0374000000000001E-2</v>
      </c>
      <c r="T3107" s="4" t="s">
        <v>5531</v>
      </c>
    </row>
    <row r="3108" spans="1:20" x14ac:dyDescent="0.2">
      <c r="A3108" s="4" t="s">
        <v>4793</v>
      </c>
      <c r="B3108" s="4" t="s">
        <v>4798</v>
      </c>
      <c r="C3108" s="4" t="s">
        <v>2096</v>
      </c>
      <c r="D3108" s="4" t="s">
        <v>4764</v>
      </c>
      <c r="E3108" s="4" t="s">
        <v>1245</v>
      </c>
      <c r="F3108" s="4" t="s">
        <v>5529</v>
      </c>
      <c r="G3108" s="4" t="s">
        <v>4981</v>
      </c>
      <c r="H3108" s="4" t="s">
        <v>5314</v>
      </c>
      <c r="I3108" s="4" t="s">
        <v>5530</v>
      </c>
      <c r="J3108" s="4" t="s">
        <v>2153</v>
      </c>
      <c r="K3108">
        <v>14</v>
      </c>
      <c r="L3108">
        <v>4.2</v>
      </c>
      <c r="M3108">
        <v>19</v>
      </c>
      <c r="N3108">
        <v>140</v>
      </c>
      <c r="O3108">
        <v>165.35433070866142</v>
      </c>
      <c r="P3108">
        <v>0.74803149606299213</v>
      </c>
      <c r="Q3108">
        <v>5.5118110236220472</v>
      </c>
      <c r="R3108">
        <v>1233.3979999999999</v>
      </c>
      <c r="S3108">
        <v>1.1172E-2</v>
      </c>
      <c r="T3108" s="4" t="s">
        <v>5531</v>
      </c>
    </row>
    <row r="3109" spans="1:20" x14ac:dyDescent="0.2">
      <c r="A3109" s="4" t="s">
        <v>4793</v>
      </c>
      <c r="B3109" s="4" t="s">
        <v>4798</v>
      </c>
      <c r="C3109" s="4" t="s">
        <v>2096</v>
      </c>
      <c r="D3109" s="4" t="s">
        <v>4764</v>
      </c>
      <c r="E3109" s="4" t="s">
        <v>1247</v>
      </c>
      <c r="F3109" s="4" t="s">
        <v>5529</v>
      </c>
      <c r="G3109" s="4" t="s">
        <v>4981</v>
      </c>
      <c r="H3109" s="4" t="s">
        <v>5314</v>
      </c>
      <c r="I3109" s="4" t="s">
        <v>5530</v>
      </c>
      <c r="J3109" s="4" t="s">
        <v>2153</v>
      </c>
      <c r="K3109">
        <v>15</v>
      </c>
      <c r="L3109">
        <v>4.5</v>
      </c>
      <c r="M3109">
        <v>19</v>
      </c>
      <c r="N3109">
        <v>140</v>
      </c>
      <c r="O3109">
        <v>177.16535433070868</v>
      </c>
      <c r="P3109">
        <v>0.74803149606299213</v>
      </c>
      <c r="Q3109">
        <v>5.5118110236220472</v>
      </c>
      <c r="R3109">
        <v>1233.3979999999999</v>
      </c>
      <c r="S3109">
        <v>1.1970000000000001E-2</v>
      </c>
      <c r="T3109" s="4" t="s">
        <v>5531</v>
      </c>
    </row>
    <row r="3110" spans="1:20" x14ac:dyDescent="0.2">
      <c r="A3110" s="4" t="s">
        <v>4793</v>
      </c>
      <c r="B3110" s="4" t="s">
        <v>4798</v>
      </c>
      <c r="C3110" s="4" t="s">
        <v>2096</v>
      </c>
      <c r="D3110" s="4" t="s">
        <v>4764</v>
      </c>
      <c r="E3110" s="4" t="s">
        <v>1249</v>
      </c>
      <c r="F3110" s="4" t="s">
        <v>5529</v>
      </c>
      <c r="G3110" s="4" t="s">
        <v>4981</v>
      </c>
      <c r="H3110" s="4" t="s">
        <v>5314</v>
      </c>
      <c r="I3110" s="4" t="s">
        <v>5530</v>
      </c>
      <c r="J3110" s="4" t="s">
        <v>2153</v>
      </c>
      <c r="K3110">
        <v>16</v>
      </c>
      <c r="L3110">
        <v>4.8</v>
      </c>
      <c r="M3110">
        <v>19</v>
      </c>
      <c r="N3110">
        <v>140</v>
      </c>
      <c r="O3110">
        <v>188.97637795275591</v>
      </c>
      <c r="P3110">
        <v>0.74803149606299213</v>
      </c>
      <c r="Q3110">
        <v>5.5118110236220472</v>
      </c>
      <c r="R3110">
        <v>1233.3979999999999</v>
      </c>
      <c r="S3110">
        <v>1.2768E-2</v>
      </c>
      <c r="T3110" s="4" t="s">
        <v>5531</v>
      </c>
    </row>
    <row r="3111" spans="1:20" x14ac:dyDescent="0.2">
      <c r="A3111" s="4" t="s">
        <v>4793</v>
      </c>
      <c r="B3111" s="4" t="s">
        <v>4798</v>
      </c>
      <c r="C3111" s="4" t="s">
        <v>2096</v>
      </c>
      <c r="D3111" s="4" t="s">
        <v>4764</v>
      </c>
      <c r="E3111" s="4" t="s">
        <v>5532</v>
      </c>
      <c r="F3111" s="4" t="s">
        <v>5529</v>
      </c>
      <c r="G3111" s="4" t="s">
        <v>4981</v>
      </c>
      <c r="H3111" s="4" t="s">
        <v>5314</v>
      </c>
      <c r="I3111" s="4" t="s">
        <v>5530</v>
      </c>
      <c r="J3111" s="4" t="s">
        <v>2153</v>
      </c>
      <c r="K3111">
        <v>17</v>
      </c>
      <c r="L3111">
        <v>5.0999999999999996</v>
      </c>
      <c r="M3111">
        <v>19</v>
      </c>
      <c r="N3111">
        <v>140</v>
      </c>
      <c r="O3111">
        <v>200.78740157480314</v>
      </c>
      <c r="P3111">
        <v>0.74803149606299213</v>
      </c>
      <c r="Q3111">
        <v>5.5118110236220472</v>
      </c>
      <c r="R3111">
        <v>1233.3979999999999</v>
      </c>
      <c r="S3111">
        <v>1.3565999999999998E-2</v>
      </c>
      <c r="T3111" s="4" t="s">
        <v>5531</v>
      </c>
    </row>
    <row r="3112" spans="1:20" x14ac:dyDescent="0.2">
      <c r="A3112" s="4" t="s">
        <v>4793</v>
      </c>
      <c r="B3112" s="4" t="s">
        <v>4798</v>
      </c>
      <c r="C3112" s="4" t="s">
        <v>2096</v>
      </c>
      <c r="D3112" s="4" t="s">
        <v>4764</v>
      </c>
      <c r="E3112" s="4" t="s">
        <v>5533</v>
      </c>
      <c r="F3112" s="4" t="s">
        <v>5529</v>
      </c>
      <c r="G3112" s="4" t="s">
        <v>4981</v>
      </c>
      <c r="H3112" s="4" t="s">
        <v>5314</v>
      </c>
      <c r="I3112" s="4" t="s">
        <v>5530</v>
      </c>
      <c r="J3112" s="4" t="s">
        <v>2153</v>
      </c>
      <c r="K3112">
        <v>18</v>
      </c>
      <c r="L3112">
        <v>5.4</v>
      </c>
      <c r="M3112">
        <v>19</v>
      </c>
      <c r="N3112">
        <v>140</v>
      </c>
      <c r="O3112">
        <v>212.59842519685043</v>
      </c>
      <c r="P3112">
        <v>0.74803149606299213</v>
      </c>
      <c r="Q3112">
        <v>5.5118110236220472</v>
      </c>
      <c r="R3112">
        <v>1233.3979999999999</v>
      </c>
      <c r="S3112">
        <v>1.4364E-2</v>
      </c>
      <c r="T3112" s="4" t="s">
        <v>5531</v>
      </c>
    </row>
    <row r="3113" spans="1:20" x14ac:dyDescent="0.2">
      <c r="A3113" s="4" t="s">
        <v>4793</v>
      </c>
      <c r="B3113" s="4" t="s">
        <v>4798</v>
      </c>
      <c r="C3113" s="4" t="s">
        <v>2286</v>
      </c>
      <c r="D3113" s="4" t="s">
        <v>4764</v>
      </c>
      <c r="E3113" s="4" t="s">
        <v>1251</v>
      </c>
      <c r="F3113" s="4" t="s">
        <v>5529</v>
      </c>
      <c r="G3113" s="4" t="s">
        <v>4981</v>
      </c>
      <c r="H3113" s="4" t="s">
        <v>5314</v>
      </c>
      <c r="I3113" s="4" t="s">
        <v>5530</v>
      </c>
      <c r="J3113" s="4" t="s">
        <v>2153</v>
      </c>
      <c r="K3113">
        <v>4</v>
      </c>
      <c r="L3113">
        <v>1.2</v>
      </c>
      <c r="M3113">
        <v>19</v>
      </c>
      <c r="N3113">
        <v>140</v>
      </c>
      <c r="O3113">
        <v>47.244094488188978</v>
      </c>
      <c r="P3113">
        <v>0.74803149606299213</v>
      </c>
      <c r="Q3113">
        <v>5.5118110236220472</v>
      </c>
      <c r="R3113">
        <v>1233.3979999999999</v>
      </c>
      <c r="S3113">
        <v>3.192E-3</v>
      </c>
      <c r="T3113" s="4" t="s">
        <v>5534</v>
      </c>
    </row>
    <row r="3114" spans="1:20" x14ac:dyDescent="0.2">
      <c r="A3114" s="4" t="s">
        <v>4793</v>
      </c>
      <c r="B3114" s="4" t="s">
        <v>4798</v>
      </c>
      <c r="C3114" s="4" t="s">
        <v>2286</v>
      </c>
      <c r="D3114" s="4" t="s">
        <v>4764</v>
      </c>
      <c r="E3114" s="4" t="s">
        <v>1253</v>
      </c>
      <c r="F3114" s="4" t="s">
        <v>5529</v>
      </c>
      <c r="G3114" s="4" t="s">
        <v>4981</v>
      </c>
      <c r="H3114" s="4" t="s">
        <v>5314</v>
      </c>
      <c r="I3114" s="4" t="s">
        <v>5530</v>
      </c>
      <c r="J3114" s="4" t="s">
        <v>2153</v>
      </c>
      <c r="K3114">
        <v>5</v>
      </c>
      <c r="L3114">
        <v>1.5</v>
      </c>
      <c r="M3114">
        <v>19</v>
      </c>
      <c r="N3114">
        <v>140</v>
      </c>
      <c r="O3114">
        <v>59.055118110236222</v>
      </c>
      <c r="P3114">
        <v>0.74803149606299213</v>
      </c>
      <c r="Q3114">
        <v>5.5118110236220472</v>
      </c>
      <c r="R3114">
        <v>1233.3979999999999</v>
      </c>
      <c r="S3114">
        <v>3.9900000000000005E-3</v>
      </c>
      <c r="T3114" s="4" t="s">
        <v>5534</v>
      </c>
    </row>
    <row r="3115" spans="1:20" x14ac:dyDescent="0.2">
      <c r="A3115" s="4" t="s">
        <v>4793</v>
      </c>
      <c r="B3115" s="4" t="s">
        <v>4798</v>
      </c>
      <c r="C3115" s="4" t="s">
        <v>2286</v>
      </c>
      <c r="D3115" s="4" t="s">
        <v>4764</v>
      </c>
      <c r="E3115" s="4" t="s">
        <v>1255</v>
      </c>
      <c r="F3115" s="4" t="s">
        <v>5529</v>
      </c>
      <c r="G3115" s="4" t="s">
        <v>4981</v>
      </c>
      <c r="H3115" s="4" t="s">
        <v>5314</v>
      </c>
      <c r="I3115" s="4" t="s">
        <v>5530</v>
      </c>
      <c r="J3115" s="4" t="s">
        <v>2153</v>
      </c>
      <c r="K3115">
        <v>6</v>
      </c>
      <c r="L3115">
        <v>1.8</v>
      </c>
      <c r="M3115">
        <v>19</v>
      </c>
      <c r="N3115">
        <v>140</v>
      </c>
      <c r="O3115">
        <v>70.866141732283467</v>
      </c>
      <c r="P3115">
        <v>0.74803149606299213</v>
      </c>
      <c r="Q3115">
        <v>5.5118110236220472</v>
      </c>
      <c r="R3115">
        <v>1233.3979999999999</v>
      </c>
      <c r="S3115">
        <v>4.7880000000000006E-3</v>
      </c>
      <c r="T3115" s="4" t="s">
        <v>5534</v>
      </c>
    </row>
    <row r="3116" spans="1:20" x14ac:dyDescent="0.2">
      <c r="A3116" s="4" t="s">
        <v>4793</v>
      </c>
      <c r="B3116" s="4" t="s">
        <v>4798</v>
      </c>
      <c r="C3116" s="4" t="s">
        <v>2286</v>
      </c>
      <c r="D3116" s="4" t="s">
        <v>4764</v>
      </c>
      <c r="E3116" s="4" t="s">
        <v>1257</v>
      </c>
      <c r="F3116" s="4" t="s">
        <v>5529</v>
      </c>
      <c r="G3116" s="4" t="s">
        <v>4981</v>
      </c>
      <c r="H3116" s="4" t="s">
        <v>5314</v>
      </c>
      <c r="I3116" s="4" t="s">
        <v>5530</v>
      </c>
      <c r="J3116" s="4" t="s">
        <v>2153</v>
      </c>
      <c r="K3116">
        <v>7</v>
      </c>
      <c r="L3116">
        <v>2.1</v>
      </c>
      <c r="M3116">
        <v>19</v>
      </c>
      <c r="N3116">
        <v>140</v>
      </c>
      <c r="O3116">
        <v>82.677165354330711</v>
      </c>
      <c r="P3116">
        <v>0.74803149606299213</v>
      </c>
      <c r="Q3116">
        <v>5.5118110236220472</v>
      </c>
      <c r="R3116">
        <v>1233.3979999999999</v>
      </c>
      <c r="S3116">
        <v>5.5859999999999998E-3</v>
      </c>
      <c r="T3116" s="4" t="s">
        <v>5534</v>
      </c>
    </row>
    <row r="3117" spans="1:20" x14ac:dyDescent="0.2">
      <c r="A3117" s="4" t="s">
        <v>4793</v>
      </c>
      <c r="B3117" s="4" t="s">
        <v>4798</v>
      </c>
      <c r="C3117" s="4" t="s">
        <v>2096</v>
      </c>
      <c r="D3117" s="4" t="s">
        <v>4764</v>
      </c>
      <c r="E3117" s="4" t="s">
        <v>1259</v>
      </c>
      <c r="F3117" s="4" t="s">
        <v>5529</v>
      </c>
      <c r="G3117" s="4" t="s">
        <v>4981</v>
      </c>
      <c r="H3117" s="4" t="s">
        <v>5314</v>
      </c>
      <c r="I3117" s="4" t="s">
        <v>5530</v>
      </c>
      <c r="J3117" s="4" t="s">
        <v>2153</v>
      </c>
      <c r="K3117">
        <v>8</v>
      </c>
      <c r="L3117">
        <v>2.4</v>
      </c>
      <c r="M3117">
        <v>19</v>
      </c>
      <c r="N3117">
        <v>140</v>
      </c>
      <c r="O3117">
        <v>94.488188976377955</v>
      </c>
      <c r="P3117">
        <v>0.74803149606299213</v>
      </c>
      <c r="Q3117">
        <v>5.5118110236220472</v>
      </c>
      <c r="R3117">
        <v>1233.3979999999999</v>
      </c>
      <c r="S3117">
        <v>6.3839999999999999E-3</v>
      </c>
      <c r="T3117" s="4" t="s">
        <v>5531</v>
      </c>
    </row>
    <row r="3118" spans="1:20" x14ac:dyDescent="0.2">
      <c r="A3118" s="4" t="s">
        <v>4793</v>
      </c>
      <c r="B3118" s="4" t="s">
        <v>4798</v>
      </c>
      <c r="C3118" s="4" t="s">
        <v>2096</v>
      </c>
      <c r="D3118" s="4" t="s">
        <v>4764</v>
      </c>
      <c r="E3118" s="4" t="s">
        <v>1261</v>
      </c>
      <c r="F3118" s="4" t="s">
        <v>5529</v>
      </c>
      <c r="G3118" s="4" t="s">
        <v>4981</v>
      </c>
      <c r="H3118" s="4" t="s">
        <v>5314</v>
      </c>
      <c r="I3118" s="4" t="s">
        <v>5530</v>
      </c>
      <c r="J3118" s="4" t="s">
        <v>2153</v>
      </c>
      <c r="K3118">
        <v>9</v>
      </c>
      <c r="L3118">
        <v>2.7</v>
      </c>
      <c r="M3118">
        <v>19</v>
      </c>
      <c r="N3118">
        <v>140</v>
      </c>
      <c r="O3118">
        <v>106.29921259842521</v>
      </c>
      <c r="P3118">
        <v>0.74803149606299213</v>
      </c>
      <c r="Q3118">
        <v>5.5118110236220472</v>
      </c>
      <c r="R3118">
        <v>1233.3979999999999</v>
      </c>
      <c r="S3118">
        <v>7.182E-3</v>
      </c>
      <c r="T3118" s="4" t="s">
        <v>5531</v>
      </c>
    </row>
    <row r="3119" spans="1:20" x14ac:dyDescent="0.2">
      <c r="A3119" s="4" t="s">
        <v>4793</v>
      </c>
      <c r="B3119" s="4" t="s">
        <v>4798</v>
      </c>
      <c r="C3119" s="4" t="s">
        <v>2096</v>
      </c>
      <c r="D3119" s="4" t="s">
        <v>4764</v>
      </c>
      <c r="E3119" s="4" t="s">
        <v>1491</v>
      </c>
      <c r="F3119" s="4" t="s">
        <v>5535</v>
      </c>
      <c r="G3119" s="4" t="s">
        <v>4981</v>
      </c>
      <c r="H3119" s="4" t="s">
        <v>5314</v>
      </c>
      <c r="I3119" s="4" t="s">
        <v>2100</v>
      </c>
      <c r="J3119" s="4" t="s">
        <v>2153</v>
      </c>
      <c r="K3119">
        <v>10</v>
      </c>
      <c r="L3119">
        <v>3</v>
      </c>
      <c r="M3119">
        <v>19</v>
      </c>
      <c r="N3119">
        <v>140</v>
      </c>
      <c r="O3119">
        <v>118.11023622047244</v>
      </c>
      <c r="P3119">
        <v>0.74803149606299213</v>
      </c>
      <c r="Q3119">
        <v>5.5118110236220472</v>
      </c>
      <c r="R3119">
        <v>1233.3979999999999</v>
      </c>
      <c r="S3119">
        <v>7.980000000000001E-3</v>
      </c>
      <c r="T3119" s="4" t="s">
        <v>5536</v>
      </c>
    </row>
    <row r="3120" spans="1:20" x14ac:dyDescent="0.2">
      <c r="A3120" s="4" t="s">
        <v>4793</v>
      </c>
      <c r="B3120" s="4" t="s">
        <v>4798</v>
      </c>
      <c r="C3120" s="4" t="s">
        <v>2096</v>
      </c>
      <c r="D3120" s="4" t="s">
        <v>4764</v>
      </c>
      <c r="E3120" s="4" t="s">
        <v>1493</v>
      </c>
      <c r="F3120" s="4" t="s">
        <v>5535</v>
      </c>
      <c r="G3120" s="4" t="s">
        <v>4981</v>
      </c>
      <c r="H3120" s="4" t="s">
        <v>5314</v>
      </c>
      <c r="I3120" s="4" t="s">
        <v>2100</v>
      </c>
      <c r="J3120" s="4" t="s">
        <v>2153</v>
      </c>
      <c r="K3120">
        <v>11</v>
      </c>
      <c r="L3120">
        <v>3.3</v>
      </c>
      <c r="M3120">
        <v>19</v>
      </c>
      <c r="N3120">
        <v>140</v>
      </c>
      <c r="O3120">
        <v>129.92125984251967</v>
      </c>
      <c r="P3120">
        <v>0.74803149606299213</v>
      </c>
      <c r="Q3120">
        <v>5.5118110236220472</v>
      </c>
      <c r="R3120">
        <v>1233.3979999999999</v>
      </c>
      <c r="S3120">
        <v>8.7779999999999993E-3</v>
      </c>
      <c r="T3120" s="4" t="s">
        <v>5536</v>
      </c>
    </row>
    <row r="3121" spans="1:20" x14ac:dyDescent="0.2">
      <c r="A3121" s="4" t="s">
        <v>4793</v>
      </c>
      <c r="B3121" s="4" t="s">
        <v>4798</v>
      </c>
      <c r="C3121" s="4" t="s">
        <v>2096</v>
      </c>
      <c r="D3121" s="4" t="s">
        <v>4764</v>
      </c>
      <c r="E3121" s="4" t="s">
        <v>1495</v>
      </c>
      <c r="F3121" s="4" t="s">
        <v>5535</v>
      </c>
      <c r="G3121" s="4" t="s">
        <v>4981</v>
      </c>
      <c r="H3121" s="4" t="s">
        <v>5314</v>
      </c>
      <c r="I3121" s="4" t="s">
        <v>2100</v>
      </c>
      <c r="J3121" s="4" t="s">
        <v>2153</v>
      </c>
      <c r="K3121">
        <v>12</v>
      </c>
      <c r="L3121">
        <v>3.6</v>
      </c>
      <c r="M3121">
        <v>19</v>
      </c>
      <c r="N3121">
        <v>140</v>
      </c>
      <c r="O3121">
        <v>141.73228346456693</v>
      </c>
      <c r="P3121">
        <v>0.74803149606299213</v>
      </c>
      <c r="Q3121">
        <v>5.5118110236220472</v>
      </c>
      <c r="R3121">
        <v>1233.3979999999999</v>
      </c>
      <c r="S3121">
        <v>9.5760000000000012E-3</v>
      </c>
      <c r="T3121" s="4" t="s">
        <v>5536</v>
      </c>
    </row>
    <row r="3122" spans="1:20" x14ac:dyDescent="0.2">
      <c r="A3122" s="4" t="s">
        <v>4793</v>
      </c>
      <c r="B3122" s="4" t="s">
        <v>4798</v>
      </c>
      <c r="C3122" s="4" t="s">
        <v>2096</v>
      </c>
      <c r="D3122" s="4" t="s">
        <v>4764</v>
      </c>
      <c r="E3122" s="4" t="s">
        <v>1497</v>
      </c>
      <c r="F3122" s="4" t="s">
        <v>5535</v>
      </c>
      <c r="G3122" s="4" t="s">
        <v>4981</v>
      </c>
      <c r="H3122" s="4" t="s">
        <v>5314</v>
      </c>
      <c r="I3122" s="4" t="s">
        <v>2100</v>
      </c>
      <c r="J3122" s="4" t="s">
        <v>2153</v>
      </c>
      <c r="K3122">
        <v>13</v>
      </c>
      <c r="L3122">
        <v>3.9</v>
      </c>
      <c r="M3122">
        <v>19</v>
      </c>
      <c r="N3122">
        <v>140</v>
      </c>
      <c r="O3122">
        <v>153.54330708661416</v>
      </c>
      <c r="P3122">
        <v>0.74803149606299213</v>
      </c>
      <c r="Q3122">
        <v>5.5118110236220472</v>
      </c>
      <c r="R3122">
        <v>1233.3979999999999</v>
      </c>
      <c r="S3122">
        <v>1.0374000000000001E-2</v>
      </c>
      <c r="T3122" s="4" t="s">
        <v>5536</v>
      </c>
    </row>
    <row r="3123" spans="1:20" x14ac:dyDescent="0.2">
      <c r="A3123" s="4" t="s">
        <v>4793</v>
      </c>
      <c r="B3123" s="4" t="s">
        <v>4798</v>
      </c>
      <c r="C3123" s="4" t="s">
        <v>2096</v>
      </c>
      <c r="D3123" s="4" t="s">
        <v>4764</v>
      </c>
      <c r="E3123" s="4" t="s">
        <v>1499</v>
      </c>
      <c r="F3123" s="4" t="s">
        <v>5535</v>
      </c>
      <c r="G3123" s="4" t="s">
        <v>4981</v>
      </c>
      <c r="H3123" s="4" t="s">
        <v>5314</v>
      </c>
      <c r="I3123" s="4" t="s">
        <v>2100</v>
      </c>
      <c r="J3123" s="4" t="s">
        <v>2153</v>
      </c>
      <c r="K3123">
        <v>14</v>
      </c>
      <c r="L3123">
        <v>4.2</v>
      </c>
      <c r="M3123">
        <v>19</v>
      </c>
      <c r="N3123">
        <v>140</v>
      </c>
      <c r="O3123">
        <v>165.35433070866142</v>
      </c>
      <c r="P3123">
        <v>0.74803149606299213</v>
      </c>
      <c r="Q3123">
        <v>5.5118110236220472</v>
      </c>
      <c r="R3123">
        <v>1233.3979999999999</v>
      </c>
      <c r="S3123">
        <v>1.1172E-2</v>
      </c>
      <c r="T3123" s="4" t="s">
        <v>5536</v>
      </c>
    </row>
    <row r="3124" spans="1:20" x14ac:dyDescent="0.2">
      <c r="A3124" s="4" t="s">
        <v>4793</v>
      </c>
      <c r="B3124" s="4" t="s">
        <v>4798</v>
      </c>
      <c r="C3124" s="4" t="s">
        <v>2096</v>
      </c>
      <c r="D3124" s="4" t="s">
        <v>4764</v>
      </c>
      <c r="E3124" s="4" t="s">
        <v>1501</v>
      </c>
      <c r="F3124" s="4" t="s">
        <v>5535</v>
      </c>
      <c r="G3124" s="4" t="s">
        <v>4981</v>
      </c>
      <c r="H3124" s="4" t="s">
        <v>5314</v>
      </c>
      <c r="I3124" s="4" t="s">
        <v>2100</v>
      </c>
      <c r="J3124" s="4" t="s">
        <v>2153</v>
      </c>
      <c r="K3124">
        <v>15</v>
      </c>
      <c r="L3124">
        <v>4.5</v>
      </c>
      <c r="M3124">
        <v>19</v>
      </c>
      <c r="N3124">
        <v>140</v>
      </c>
      <c r="O3124">
        <v>177.16535433070868</v>
      </c>
      <c r="P3124">
        <v>0.74803149606299213</v>
      </c>
      <c r="Q3124">
        <v>5.5118110236220472</v>
      </c>
      <c r="R3124">
        <v>1233.3979999999999</v>
      </c>
      <c r="S3124">
        <v>1.1970000000000001E-2</v>
      </c>
      <c r="T3124" s="4" t="s">
        <v>5536</v>
      </c>
    </row>
    <row r="3125" spans="1:20" x14ac:dyDescent="0.2">
      <c r="A3125" s="4" t="s">
        <v>4793</v>
      </c>
      <c r="B3125" s="4" t="s">
        <v>4798</v>
      </c>
      <c r="C3125" s="4" t="s">
        <v>2096</v>
      </c>
      <c r="D3125" s="4" t="s">
        <v>4764</v>
      </c>
      <c r="E3125" s="4" t="s">
        <v>1503</v>
      </c>
      <c r="F3125" s="4" t="s">
        <v>5535</v>
      </c>
      <c r="G3125" s="4" t="s">
        <v>4981</v>
      </c>
      <c r="H3125" s="4" t="s">
        <v>5314</v>
      </c>
      <c r="I3125" s="4" t="s">
        <v>2100</v>
      </c>
      <c r="J3125" s="4" t="s">
        <v>2153</v>
      </c>
      <c r="K3125">
        <v>16</v>
      </c>
      <c r="L3125">
        <v>4.8</v>
      </c>
      <c r="M3125">
        <v>19</v>
      </c>
      <c r="N3125">
        <v>140</v>
      </c>
      <c r="O3125">
        <v>188.97637795275591</v>
      </c>
      <c r="P3125">
        <v>0.74803149606299213</v>
      </c>
      <c r="Q3125">
        <v>5.5118110236220472</v>
      </c>
      <c r="R3125">
        <v>1233.3979999999999</v>
      </c>
      <c r="S3125">
        <v>1.2768E-2</v>
      </c>
      <c r="T3125" s="4" t="s">
        <v>5536</v>
      </c>
    </row>
    <row r="3126" spans="1:20" x14ac:dyDescent="0.2">
      <c r="A3126" s="4" t="s">
        <v>4793</v>
      </c>
      <c r="B3126" s="4" t="s">
        <v>4798</v>
      </c>
      <c r="C3126" s="4" t="s">
        <v>2096</v>
      </c>
      <c r="D3126" s="4" t="s">
        <v>4764</v>
      </c>
      <c r="E3126" s="4" t="s">
        <v>5537</v>
      </c>
      <c r="F3126" s="4" t="s">
        <v>5535</v>
      </c>
      <c r="G3126" s="4" t="s">
        <v>4981</v>
      </c>
      <c r="H3126" s="4" t="s">
        <v>5314</v>
      </c>
      <c r="I3126" s="4" t="s">
        <v>2100</v>
      </c>
      <c r="J3126" s="4" t="s">
        <v>2153</v>
      </c>
      <c r="K3126">
        <v>17</v>
      </c>
      <c r="L3126">
        <v>5.0999999999999996</v>
      </c>
      <c r="M3126">
        <v>19</v>
      </c>
      <c r="N3126">
        <v>140</v>
      </c>
      <c r="O3126">
        <v>200.78740157480314</v>
      </c>
      <c r="P3126">
        <v>0.74803149606299213</v>
      </c>
      <c r="Q3126">
        <v>5.5118110236220472</v>
      </c>
      <c r="R3126">
        <v>1233.3979999999999</v>
      </c>
      <c r="S3126">
        <v>1.3565999999999998E-2</v>
      </c>
      <c r="T3126" s="4" t="s">
        <v>5536</v>
      </c>
    </row>
    <row r="3127" spans="1:20" x14ac:dyDescent="0.2">
      <c r="A3127" s="4" t="s">
        <v>4793</v>
      </c>
      <c r="B3127" s="4" t="s">
        <v>4798</v>
      </c>
      <c r="C3127" s="4" t="s">
        <v>2096</v>
      </c>
      <c r="D3127" s="4" t="s">
        <v>4764</v>
      </c>
      <c r="E3127" s="4" t="s">
        <v>5538</v>
      </c>
      <c r="F3127" s="4" t="s">
        <v>5535</v>
      </c>
      <c r="G3127" s="4" t="s">
        <v>4981</v>
      </c>
      <c r="H3127" s="4" t="s">
        <v>5314</v>
      </c>
      <c r="I3127" s="4" t="s">
        <v>2100</v>
      </c>
      <c r="J3127" s="4" t="s">
        <v>2153</v>
      </c>
      <c r="K3127">
        <v>18</v>
      </c>
      <c r="L3127">
        <v>5.4</v>
      </c>
      <c r="M3127">
        <v>19</v>
      </c>
      <c r="N3127">
        <v>140</v>
      </c>
      <c r="O3127">
        <v>212.59842519685043</v>
      </c>
      <c r="P3127">
        <v>0.74803149606299213</v>
      </c>
      <c r="Q3127">
        <v>5.5118110236220472</v>
      </c>
      <c r="R3127">
        <v>1233.3979999999999</v>
      </c>
      <c r="S3127">
        <v>1.4364E-2</v>
      </c>
      <c r="T3127" s="4" t="s">
        <v>5536</v>
      </c>
    </row>
    <row r="3128" spans="1:20" x14ac:dyDescent="0.2">
      <c r="A3128" s="4" t="s">
        <v>4793</v>
      </c>
      <c r="B3128" s="4" t="s">
        <v>4798</v>
      </c>
      <c r="C3128" s="4" t="s">
        <v>2286</v>
      </c>
      <c r="D3128" s="4" t="s">
        <v>4764</v>
      </c>
      <c r="E3128" s="4" t="s">
        <v>1505</v>
      </c>
      <c r="F3128" s="4" t="s">
        <v>5535</v>
      </c>
      <c r="G3128" s="4" t="s">
        <v>4981</v>
      </c>
      <c r="H3128" s="4" t="s">
        <v>5314</v>
      </c>
      <c r="I3128" s="4" t="s">
        <v>2100</v>
      </c>
      <c r="J3128" s="4" t="s">
        <v>2153</v>
      </c>
      <c r="K3128">
        <v>4</v>
      </c>
      <c r="L3128">
        <v>1.2</v>
      </c>
      <c r="M3128">
        <v>19</v>
      </c>
      <c r="N3128">
        <v>140</v>
      </c>
      <c r="O3128">
        <v>47.244094488188978</v>
      </c>
      <c r="P3128">
        <v>0.74803149606299213</v>
      </c>
      <c r="Q3128">
        <v>5.5118110236220472</v>
      </c>
      <c r="R3128">
        <v>1233.3979999999999</v>
      </c>
      <c r="S3128">
        <v>3.192E-3</v>
      </c>
      <c r="T3128" s="4" t="s">
        <v>5539</v>
      </c>
    </row>
    <row r="3129" spans="1:20" x14ac:dyDescent="0.2">
      <c r="A3129" s="4" t="s">
        <v>4793</v>
      </c>
      <c r="B3129" s="4" t="s">
        <v>4798</v>
      </c>
      <c r="C3129" s="4" t="s">
        <v>2286</v>
      </c>
      <c r="D3129" s="4" t="s">
        <v>4764</v>
      </c>
      <c r="E3129" s="4" t="s">
        <v>1507</v>
      </c>
      <c r="F3129" s="4" t="s">
        <v>5535</v>
      </c>
      <c r="G3129" s="4" t="s">
        <v>4981</v>
      </c>
      <c r="H3129" s="4" t="s">
        <v>5314</v>
      </c>
      <c r="I3129" s="4" t="s">
        <v>2100</v>
      </c>
      <c r="J3129" s="4" t="s">
        <v>2153</v>
      </c>
      <c r="K3129">
        <v>5</v>
      </c>
      <c r="L3129">
        <v>1.5</v>
      </c>
      <c r="M3129">
        <v>19</v>
      </c>
      <c r="N3129">
        <v>140</v>
      </c>
      <c r="O3129">
        <v>59.055118110236222</v>
      </c>
      <c r="P3129">
        <v>0.74803149606299213</v>
      </c>
      <c r="Q3129">
        <v>5.5118110236220472</v>
      </c>
      <c r="R3129">
        <v>1233.3979999999999</v>
      </c>
      <c r="S3129">
        <v>3.9900000000000005E-3</v>
      </c>
      <c r="T3129" s="4" t="s">
        <v>5539</v>
      </c>
    </row>
    <row r="3130" spans="1:20" x14ac:dyDescent="0.2">
      <c r="A3130" s="4" t="s">
        <v>4793</v>
      </c>
      <c r="B3130" s="4" t="s">
        <v>4798</v>
      </c>
      <c r="C3130" s="4" t="s">
        <v>2286</v>
      </c>
      <c r="D3130" s="4" t="s">
        <v>4764</v>
      </c>
      <c r="E3130" s="4" t="s">
        <v>1509</v>
      </c>
      <c r="F3130" s="4" t="s">
        <v>5535</v>
      </c>
      <c r="G3130" s="4" t="s">
        <v>4981</v>
      </c>
      <c r="H3130" s="4" t="s">
        <v>5314</v>
      </c>
      <c r="I3130" s="4" t="s">
        <v>2100</v>
      </c>
      <c r="J3130" s="4" t="s">
        <v>2153</v>
      </c>
      <c r="K3130">
        <v>6</v>
      </c>
      <c r="L3130">
        <v>1.8</v>
      </c>
      <c r="M3130">
        <v>19</v>
      </c>
      <c r="N3130">
        <v>140</v>
      </c>
      <c r="O3130">
        <v>70.866141732283467</v>
      </c>
      <c r="P3130">
        <v>0.74803149606299213</v>
      </c>
      <c r="Q3130">
        <v>5.5118110236220472</v>
      </c>
      <c r="R3130">
        <v>1233.3979999999999</v>
      </c>
      <c r="S3130">
        <v>4.7880000000000006E-3</v>
      </c>
      <c r="T3130" s="4" t="s">
        <v>5539</v>
      </c>
    </row>
    <row r="3131" spans="1:20" x14ac:dyDescent="0.2">
      <c r="A3131" s="4" t="s">
        <v>4793</v>
      </c>
      <c r="B3131" s="4" t="s">
        <v>4798</v>
      </c>
      <c r="C3131" s="4" t="s">
        <v>2286</v>
      </c>
      <c r="D3131" s="4" t="s">
        <v>4764</v>
      </c>
      <c r="E3131" s="4" t="s">
        <v>1511</v>
      </c>
      <c r="F3131" s="4" t="s">
        <v>5535</v>
      </c>
      <c r="G3131" s="4" t="s">
        <v>4981</v>
      </c>
      <c r="H3131" s="4" t="s">
        <v>5314</v>
      </c>
      <c r="I3131" s="4" t="s">
        <v>2100</v>
      </c>
      <c r="J3131" s="4" t="s">
        <v>2153</v>
      </c>
      <c r="K3131">
        <v>7</v>
      </c>
      <c r="L3131">
        <v>2.1</v>
      </c>
      <c r="M3131">
        <v>19</v>
      </c>
      <c r="N3131">
        <v>140</v>
      </c>
      <c r="O3131">
        <v>82.677165354330711</v>
      </c>
      <c r="P3131">
        <v>0.74803149606299213</v>
      </c>
      <c r="Q3131">
        <v>5.5118110236220472</v>
      </c>
      <c r="R3131">
        <v>1233.3979999999999</v>
      </c>
      <c r="S3131">
        <v>5.5859999999999998E-3</v>
      </c>
      <c r="T3131" s="4" t="s">
        <v>5539</v>
      </c>
    </row>
    <row r="3132" spans="1:20" x14ac:dyDescent="0.2">
      <c r="A3132" s="4" t="s">
        <v>4793</v>
      </c>
      <c r="B3132" s="4" t="s">
        <v>4798</v>
      </c>
      <c r="C3132" s="4" t="s">
        <v>2096</v>
      </c>
      <c r="D3132" s="4" t="s">
        <v>4764</v>
      </c>
      <c r="E3132" s="4" t="s">
        <v>1513</v>
      </c>
      <c r="F3132" s="4" t="s">
        <v>5535</v>
      </c>
      <c r="G3132" s="4" t="s">
        <v>4981</v>
      </c>
      <c r="H3132" s="4" t="s">
        <v>5314</v>
      </c>
      <c r="I3132" s="4" t="s">
        <v>2100</v>
      </c>
      <c r="J3132" s="4" t="s">
        <v>2153</v>
      </c>
      <c r="K3132">
        <v>8</v>
      </c>
      <c r="L3132">
        <v>2.4</v>
      </c>
      <c r="M3132">
        <v>19</v>
      </c>
      <c r="N3132">
        <v>140</v>
      </c>
      <c r="O3132">
        <v>94.488188976377955</v>
      </c>
      <c r="P3132">
        <v>0.74803149606299213</v>
      </c>
      <c r="Q3132">
        <v>5.5118110236220472</v>
      </c>
      <c r="R3132">
        <v>1233.3979999999999</v>
      </c>
      <c r="S3132">
        <v>6.3839999999999999E-3</v>
      </c>
      <c r="T3132" s="4" t="s">
        <v>5536</v>
      </c>
    </row>
    <row r="3133" spans="1:20" x14ac:dyDescent="0.2">
      <c r="A3133" s="4" t="s">
        <v>4793</v>
      </c>
      <c r="B3133" s="4" t="s">
        <v>4798</v>
      </c>
      <c r="C3133" s="4" t="s">
        <v>2096</v>
      </c>
      <c r="D3133" s="4" t="s">
        <v>4764</v>
      </c>
      <c r="E3133" s="4" t="s">
        <v>1515</v>
      </c>
      <c r="F3133" s="4" t="s">
        <v>5535</v>
      </c>
      <c r="G3133" s="4" t="s">
        <v>4981</v>
      </c>
      <c r="H3133" s="4" t="s">
        <v>5314</v>
      </c>
      <c r="I3133" s="4" t="s">
        <v>2100</v>
      </c>
      <c r="J3133" s="4" t="s">
        <v>2153</v>
      </c>
      <c r="K3133">
        <v>9</v>
      </c>
      <c r="L3133">
        <v>2.7</v>
      </c>
      <c r="M3133">
        <v>19</v>
      </c>
      <c r="N3133">
        <v>140</v>
      </c>
      <c r="O3133">
        <v>106.29921259842521</v>
      </c>
      <c r="P3133">
        <v>0.74803149606299213</v>
      </c>
      <c r="Q3133">
        <v>5.5118110236220472</v>
      </c>
      <c r="R3133">
        <v>1233.3979999999999</v>
      </c>
      <c r="S3133">
        <v>7.182E-3</v>
      </c>
      <c r="T3133" s="4" t="s">
        <v>5536</v>
      </c>
    </row>
    <row r="3134" spans="1:20" x14ac:dyDescent="0.2">
      <c r="A3134" s="4" t="s">
        <v>4793</v>
      </c>
      <c r="B3134" s="4" t="s">
        <v>5377</v>
      </c>
      <c r="C3134" s="4" t="s">
        <v>2096</v>
      </c>
      <c r="D3134" s="4" t="s">
        <v>4764</v>
      </c>
      <c r="E3134" s="4" t="s">
        <v>1581</v>
      </c>
      <c r="F3134" s="4" t="s">
        <v>5540</v>
      </c>
      <c r="G3134" s="4" t="s">
        <v>4981</v>
      </c>
      <c r="H3134" s="4" t="s">
        <v>5103</v>
      </c>
      <c r="I3134" s="4" t="s">
        <v>2100</v>
      </c>
      <c r="J3134" s="4" t="s">
        <v>2384</v>
      </c>
      <c r="K3134">
        <v>10</v>
      </c>
      <c r="L3134">
        <v>3</v>
      </c>
      <c r="M3134">
        <v>19</v>
      </c>
      <c r="N3134">
        <v>92</v>
      </c>
      <c r="O3134">
        <v>118.11023622047244</v>
      </c>
      <c r="P3134">
        <v>0.74803149606299213</v>
      </c>
      <c r="Q3134">
        <v>3.6220472440944884</v>
      </c>
      <c r="R3134">
        <v>1876.9110000000001</v>
      </c>
      <c r="S3134">
        <v>5.2439999999999995E-3</v>
      </c>
      <c r="T3134" s="4" t="s">
        <v>5541</v>
      </c>
    </row>
    <row r="3135" spans="1:20" x14ac:dyDescent="0.2">
      <c r="A3135" s="4" t="s">
        <v>4793</v>
      </c>
      <c r="B3135" s="4" t="s">
        <v>5377</v>
      </c>
      <c r="C3135" s="4" t="s">
        <v>2096</v>
      </c>
      <c r="D3135" s="4" t="s">
        <v>4764</v>
      </c>
      <c r="E3135" s="4" t="s">
        <v>5542</v>
      </c>
      <c r="F3135" s="4" t="s">
        <v>5543</v>
      </c>
      <c r="G3135" s="4" t="s">
        <v>4981</v>
      </c>
      <c r="H3135" s="4" t="s">
        <v>5314</v>
      </c>
      <c r="I3135" s="4" t="s">
        <v>2100</v>
      </c>
      <c r="J3135" s="4" t="s">
        <v>2384</v>
      </c>
      <c r="K3135">
        <v>10</v>
      </c>
      <c r="L3135">
        <v>3</v>
      </c>
      <c r="M3135">
        <v>19</v>
      </c>
      <c r="N3135">
        <v>92</v>
      </c>
      <c r="O3135">
        <v>118.11023622047244</v>
      </c>
      <c r="P3135">
        <v>0.74803149606299213</v>
      </c>
      <c r="Q3135">
        <v>3.6220472440944884</v>
      </c>
      <c r="R3135">
        <v>1876.9110000000001</v>
      </c>
      <c r="S3135">
        <v>5.2439999999999995E-3</v>
      </c>
      <c r="T3135" s="4" t="s">
        <v>5544</v>
      </c>
    </row>
    <row r="3136" spans="1:20" x14ac:dyDescent="0.2">
      <c r="A3136" s="4" t="s">
        <v>4793</v>
      </c>
      <c r="B3136" s="4" t="s">
        <v>5377</v>
      </c>
      <c r="C3136" s="4" t="s">
        <v>2096</v>
      </c>
      <c r="D3136" s="4" t="s">
        <v>4764</v>
      </c>
      <c r="E3136" s="4" t="s">
        <v>1583</v>
      </c>
      <c r="F3136" s="4" t="s">
        <v>5540</v>
      </c>
      <c r="G3136" s="4" t="s">
        <v>4981</v>
      </c>
      <c r="H3136" s="4" t="s">
        <v>5103</v>
      </c>
      <c r="I3136" s="4" t="s">
        <v>2100</v>
      </c>
      <c r="J3136" s="4" t="s">
        <v>2384</v>
      </c>
      <c r="K3136">
        <v>11</v>
      </c>
      <c r="L3136">
        <v>3.3</v>
      </c>
      <c r="M3136">
        <v>19</v>
      </c>
      <c r="N3136">
        <v>92</v>
      </c>
      <c r="O3136">
        <v>129.92125984251967</v>
      </c>
      <c r="P3136">
        <v>0.74803149606299213</v>
      </c>
      <c r="Q3136">
        <v>3.6220472440944884</v>
      </c>
      <c r="R3136">
        <v>1876.9110000000001</v>
      </c>
      <c r="S3136">
        <v>5.768399999999999E-3</v>
      </c>
      <c r="T3136" s="4" t="s">
        <v>5541</v>
      </c>
    </row>
    <row r="3137" spans="1:20" x14ac:dyDescent="0.2">
      <c r="A3137" s="4" t="s">
        <v>4793</v>
      </c>
      <c r="B3137" s="4" t="s">
        <v>5377</v>
      </c>
      <c r="C3137" s="4" t="s">
        <v>2096</v>
      </c>
      <c r="D3137" s="4" t="s">
        <v>4764</v>
      </c>
      <c r="E3137" s="4" t="s">
        <v>5545</v>
      </c>
      <c r="F3137" s="4" t="s">
        <v>5543</v>
      </c>
      <c r="G3137" s="4" t="s">
        <v>4981</v>
      </c>
      <c r="H3137" s="4" t="s">
        <v>5314</v>
      </c>
      <c r="I3137" s="4" t="s">
        <v>2100</v>
      </c>
      <c r="J3137" s="4" t="s">
        <v>2384</v>
      </c>
      <c r="K3137">
        <v>11</v>
      </c>
      <c r="L3137">
        <v>3.3</v>
      </c>
      <c r="M3137">
        <v>19</v>
      </c>
      <c r="N3137">
        <v>92</v>
      </c>
      <c r="O3137">
        <v>129.92125984251967</v>
      </c>
      <c r="P3137">
        <v>0.74803149606299213</v>
      </c>
      <c r="Q3137">
        <v>3.6220472440944884</v>
      </c>
      <c r="R3137">
        <v>1876.9110000000001</v>
      </c>
      <c r="S3137">
        <v>5.768399999999999E-3</v>
      </c>
      <c r="T3137" s="4" t="s">
        <v>5544</v>
      </c>
    </row>
    <row r="3138" spans="1:20" x14ac:dyDescent="0.2">
      <c r="A3138" s="4" t="s">
        <v>4793</v>
      </c>
      <c r="B3138" s="4" t="s">
        <v>5377</v>
      </c>
      <c r="C3138" s="4" t="s">
        <v>2096</v>
      </c>
      <c r="D3138" s="4" t="s">
        <v>4764</v>
      </c>
      <c r="E3138" s="4" t="s">
        <v>1585</v>
      </c>
      <c r="F3138" s="4" t="s">
        <v>5540</v>
      </c>
      <c r="G3138" s="4" t="s">
        <v>4981</v>
      </c>
      <c r="H3138" s="4" t="s">
        <v>5103</v>
      </c>
      <c r="I3138" s="4" t="s">
        <v>2100</v>
      </c>
      <c r="J3138" s="4" t="s">
        <v>2384</v>
      </c>
      <c r="K3138">
        <v>12</v>
      </c>
      <c r="L3138">
        <v>3.6</v>
      </c>
      <c r="M3138">
        <v>19</v>
      </c>
      <c r="N3138">
        <v>92</v>
      </c>
      <c r="O3138">
        <v>141.73228346456693</v>
      </c>
      <c r="P3138">
        <v>0.74803149606299213</v>
      </c>
      <c r="Q3138">
        <v>3.6220472440944884</v>
      </c>
      <c r="R3138">
        <v>1876.9110000000001</v>
      </c>
      <c r="S3138">
        <v>6.2928000000000003E-3</v>
      </c>
      <c r="T3138" s="4" t="s">
        <v>5541</v>
      </c>
    </row>
    <row r="3139" spans="1:20" x14ac:dyDescent="0.2">
      <c r="A3139" s="4" t="s">
        <v>4793</v>
      </c>
      <c r="B3139" s="4" t="s">
        <v>5377</v>
      </c>
      <c r="C3139" s="4" t="s">
        <v>2096</v>
      </c>
      <c r="D3139" s="4" t="s">
        <v>4764</v>
      </c>
      <c r="E3139" s="4" t="s">
        <v>5546</v>
      </c>
      <c r="F3139" s="4" t="s">
        <v>5543</v>
      </c>
      <c r="G3139" s="4" t="s">
        <v>4981</v>
      </c>
      <c r="H3139" s="4" t="s">
        <v>5314</v>
      </c>
      <c r="I3139" s="4" t="s">
        <v>2100</v>
      </c>
      <c r="J3139" s="4" t="s">
        <v>2384</v>
      </c>
      <c r="K3139">
        <v>12</v>
      </c>
      <c r="L3139">
        <v>3.6</v>
      </c>
      <c r="M3139">
        <v>19</v>
      </c>
      <c r="N3139">
        <v>92</v>
      </c>
      <c r="O3139">
        <v>141.73228346456693</v>
      </c>
      <c r="P3139">
        <v>0.74803149606299213</v>
      </c>
      <c r="Q3139">
        <v>3.6220472440944884</v>
      </c>
      <c r="R3139">
        <v>1876.9110000000001</v>
      </c>
      <c r="S3139">
        <v>6.2928000000000003E-3</v>
      </c>
      <c r="T3139" s="4" t="s">
        <v>5544</v>
      </c>
    </row>
    <row r="3140" spans="1:20" x14ac:dyDescent="0.2">
      <c r="A3140" s="4" t="s">
        <v>4793</v>
      </c>
      <c r="B3140" s="4" t="s">
        <v>5377</v>
      </c>
      <c r="C3140" s="4" t="s">
        <v>2096</v>
      </c>
      <c r="D3140" s="4" t="s">
        <v>4764</v>
      </c>
      <c r="E3140" s="4" t="s">
        <v>1587</v>
      </c>
      <c r="F3140" s="4" t="s">
        <v>5540</v>
      </c>
      <c r="G3140" s="4" t="s">
        <v>4981</v>
      </c>
      <c r="H3140" s="4" t="s">
        <v>5103</v>
      </c>
      <c r="I3140" s="4" t="s">
        <v>2100</v>
      </c>
      <c r="J3140" s="4" t="s">
        <v>2384</v>
      </c>
      <c r="K3140">
        <v>13</v>
      </c>
      <c r="L3140">
        <v>3.9</v>
      </c>
      <c r="M3140">
        <v>19</v>
      </c>
      <c r="N3140">
        <v>92</v>
      </c>
      <c r="O3140">
        <v>153.54330708661416</v>
      </c>
      <c r="P3140">
        <v>0.74803149606299213</v>
      </c>
      <c r="Q3140">
        <v>3.6220472440944884</v>
      </c>
      <c r="R3140">
        <v>1876.9110000000001</v>
      </c>
      <c r="S3140">
        <v>6.8171999999999998E-3</v>
      </c>
      <c r="T3140" s="4" t="s">
        <v>5541</v>
      </c>
    </row>
    <row r="3141" spans="1:20" x14ac:dyDescent="0.2">
      <c r="A3141" s="4" t="s">
        <v>4793</v>
      </c>
      <c r="B3141" s="4" t="s">
        <v>5377</v>
      </c>
      <c r="C3141" s="4" t="s">
        <v>2096</v>
      </c>
      <c r="D3141" s="4" t="s">
        <v>4764</v>
      </c>
      <c r="E3141" s="4" t="s">
        <v>5547</v>
      </c>
      <c r="F3141" s="4" t="s">
        <v>5543</v>
      </c>
      <c r="G3141" s="4" t="s">
        <v>4981</v>
      </c>
      <c r="H3141" s="4" t="s">
        <v>5314</v>
      </c>
      <c r="I3141" s="4" t="s">
        <v>2100</v>
      </c>
      <c r="J3141" s="4" t="s">
        <v>2384</v>
      </c>
      <c r="K3141">
        <v>13</v>
      </c>
      <c r="L3141">
        <v>3.9</v>
      </c>
      <c r="M3141">
        <v>19</v>
      </c>
      <c r="N3141">
        <v>92</v>
      </c>
      <c r="O3141">
        <v>153.54330708661416</v>
      </c>
      <c r="P3141">
        <v>0.74803149606299213</v>
      </c>
      <c r="Q3141">
        <v>3.6220472440944884</v>
      </c>
      <c r="R3141">
        <v>1876.9110000000001</v>
      </c>
      <c r="S3141">
        <v>6.8171999999999998E-3</v>
      </c>
      <c r="T3141" s="4" t="s">
        <v>5544</v>
      </c>
    </row>
    <row r="3142" spans="1:20" x14ac:dyDescent="0.2">
      <c r="A3142" s="4" t="s">
        <v>4793</v>
      </c>
      <c r="B3142" s="4" t="s">
        <v>5377</v>
      </c>
      <c r="C3142" s="4" t="s">
        <v>2096</v>
      </c>
      <c r="D3142" s="4" t="s">
        <v>4764</v>
      </c>
      <c r="E3142" s="4" t="s">
        <v>1589</v>
      </c>
      <c r="F3142" s="4" t="s">
        <v>5540</v>
      </c>
      <c r="G3142" s="4" t="s">
        <v>4981</v>
      </c>
      <c r="H3142" s="4" t="s">
        <v>5103</v>
      </c>
      <c r="I3142" s="4" t="s">
        <v>2100</v>
      </c>
      <c r="J3142" s="4" t="s">
        <v>2384</v>
      </c>
      <c r="K3142">
        <v>14</v>
      </c>
      <c r="L3142">
        <v>4.2</v>
      </c>
      <c r="M3142">
        <v>19</v>
      </c>
      <c r="N3142">
        <v>92</v>
      </c>
      <c r="O3142">
        <v>165.35433070866142</v>
      </c>
      <c r="P3142">
        <v>0.74803149606299213</v>
      </c>
      <c r="Q3142">
        <v>3.6220472440944884</v>
      </c>
      <c r="R3142">
        <v>1876.9110000000001</v>
      </c>
      <c r="S3142">
        <v>7.3415999999999993E-3</v>
      </c>
      <c r="T3142" s="4" t="s">
        <v>5541</v>
      </c>
    </row>
    <row r="3143" spans="1:20" x14ac:dyDescent="0.2">
      <c r="A3143" s="4" t="s">
        <v>4793</v>
      </c>
      <c r="B3143" s="4" t="s">
        <v>5377</v>
      </c>
      <c r="C3143" s="4" t="s">
        <v>2096</v>
      </c>
      <c r="D3143" s="4" t="s">
        <v>4764</v>
      </c>
      <c r="E3143" s="4" t="s">
        <v>5548</v>
      </c>
      <c r="F3143" s="4" t="s">
        <v>5543</v>
      </c>
      <c r="G3143" s="4" t="s">
        <v>4981</v>
      </c>
      <c r="H3143" s="4" t="s">
        <v>5314</v>
      </c>
      <c r="I3143" s="4" t="s">
        <v>2100</v>
      </c>
      <c r="J3143" s="4" t="s">
        <v>2384</v>
      </c>
      <c r="K3143">
        <v>14</v>
      </c>
      <c r="L3143">
        <v>4.2</v>
      </c>
      <c r="M3143">
        <v>19</v>
      </c>
      <c r="N3143">
        <v>92</v>
      </c>
      <c r="O3143">
        <v>165.35433070866142</v>
      </c>
      <c r="P3143">
        <v>0.74803149606299213</v>
      </c>
      <c r="Q3143">
        <v>3.6220472440944884</v>
      </c>
      <c r="R3143">
        <v>1876.9110000000001</v>
      </c>
      <c r="S3143">
        <v>7.3415999999999993E-3</v>
      </c>
      <c r="T3143" s="4" t="s">
        <v>5544</v>
      </c>
    </row>
    <row r="3144" spans="1:20" x14ac:dyDescent="0.2">
      <c r="A3144" s="4" t="s">
        <v>4793</v>
      </c>
      <c r="B3144" s="4" t="s">
        <v>5377</v>
      </c>
      <c r="C3144" s="4" t="s">
        <v>2096</v>
      </c>
      <c r="D3144" s="4" t="s">
        <v>4764</v>
      </c>
      <c r="E3144" s="4" t="s">
        <v>1591</v>
      </c>
      <c r="F3144" s="4" t="s">
        <v>5540</v>
      </c>
      <c r="G3144" s="4" t="s">
        <v>4981</v>
      </c>
      <c r="H3144" s="4" t="s">
        <v>5103</v>
      </c>
      <c r="I3144" s="4" t="s">
        <v>2100</v>
      </c>
      <c r="J3144" s="4" t="s">
        <v>2384</v>
      </c>
      <c r="K3144">
        <v>15</v>
      </c>
      <c r="L3144">
        <v>4.5</v>
      </c>
      <c r="M3144">
        <v>19</v>
      </c>
      <c r="N3144">
        <v>92</v>
      </c>
      <c r="O3144">
        <v>177.16535433070868</v>
      </c>
      <c r="P3144">
        <v>0.74803149606299213</v>
      </c>
      <c r="Q3144">
        <v>3.6220472440944884</v>
      </c>
      <c r="R3144">
        <v>1876.9110000000001</v>
      </c>
      <c r="S3144">
        <v>7.8659999999999997E-3</v>
      </c>
      <c r="T3144" s="4" t="s">
        <v>5541</v>
      </c>
    </row>
    <row r="3145" spans="1:20" x14ac:dyDescent="0.2">
      <c r="A3145" s="4" t="s">
        <v>4793</v>
      </c>
      <c r="B3145" s="4" t="s">
        <v>5377</v>
      </c>
      <c r="C3145" s="4" t="s">
        <v>2096</v>
      </c>
      <c r="D3145" s="4" t="s">
        <v>4764</v>
      </c>
      <c r="E3145" s="4" t="s">
        <v>5549</v>
      </c>
      <c r="F3145" s="4" t="s">
        <v>5543</v>
      </c>
      <c r="G3145" s="4" t="s">
        <v>4981</v>
      </c>
      <c r="H3145" s="4" t="s">
        <v>5314</v>
      </c>
      <c r="I3145" s="4" t="s">
        <v>2100</v>
      </c>
      <c r="J3145" s="4" t="s">
        <v>2384</v>
      </c>
      <c r="K3145">
        <v>15</v>
      </c>
      <c r="L3145">
        <v>4.5</v>
      </c>
      <c r="M3145">
        <v>19</v>
      </c>
      <c r="N3145">
        <v>92</v>
      </c>
      <c r="O3145">
        <v>177.16535433070868</v>
      </c>
      <c r="P3145">
        <v>0.74803149606299213</v>
      </c>
      <c r="Q3145">
        <v>3.6220472440944884</v>
      </c>
      <c r="R3145">
        <v>1876.9110000000001</v>
      </c>
      <c r="S3145">
        <v>7.8659999999999997E-3</v>
      </c>
      <c r="T3145" s="4" t="s">
        <v>5544</v>
      </c>
    </row>
    <row r="3146" spans="1:20" x14ac:dyDescent="0.2">
      <c r="A3146" s="4" t="s">
        <v>4793</v>
      </c>
      <c r="B3146" s="4" t="s">
        <v>5377</v>
      </c>
      <c r="C3146" s="4" t="s">
        <v>2096</v>
      </c>
      <c r="D3146" s="4" t="s">
        <v>4764</v>
      </c>
      <c r="E3146" s="4" t="s">
        <v>1593</v>
      </c>
      <c r="F3146" s="4" t="s">
        <v>5540</v>
      </c>
      <c r="G3146" s="4" t="s">
        <v>4981</v>
      </c>
      <c r="H3146" s="4" t="s">
        <v>5103</v>
      </c>
      <c r="I3146" s="4" t="s">
        <v>2100</v>
      </c>
      <c r="J3146" s="4" t="s">
        <v>2384</v>
      </c>
      <c r="K3146">
        <v>16</v>
      </c>
      <c r="L3146">
        <v>4.8</v>
      </c>
      <c r="M3146">
        <v>19</v>
      </c>
      <c r="N3146">
        <v>92</v>
      </c>
      <c r="O3146">
        <v>188.97637795275591</v>
      </c>
      <c r="P3146">
        <v>0.74803149606299213</v>
      </c>
      <c r="Q3146">
        <v>3.6220472440944884</v>
      </c>
      <c r="R3146">
        <v>1876.9110000000001</v>
      </c>
      <c r="S3146">
        <v>8.3903999999999992E-3</v>
      </c>
      <c r="T3146" s="4" t="s">
        <v>5541</v>
      </c>
    </row>
    <row r="3147" spans="1:20" x14ac:dyDescent="0.2">
      <c r="A3147" s="4" t="s">
        <v>4793</v>
      </c>
      <c r="B3147" s="4" t="s">
        <v>5377</v>
      </c>
      <c r="C3147" s="4" t="s">
        <v>2096</v>
      </c>
      <c r="D3147" s="4" t="s">
        <v>4764</v>
      </c>
      <c r="E3147" s="4" t="s">
        <v>5550</v>
      </c>
      <c r="F3147" s="4" t="s">
        <v>5543</v>
      </c>
      <c r="G3147" s="4" t="s">
        <v>4981</v>
      </c>
      <c r="H3147" s="4" t="s">
        <v>5314</v>
      </c>
      <c r="I3147" s="4" t="s">
        <v>2100</v>
      </c>
      <c r="J3147" s="4" t="s">
        <v>2384</v>
      </c>
      <c r="K3147">
        <v>16</v>
      </c>
      <c r="L3147">
        <v>4.8</v>
      </c>
      <c r="M3147">
        <v>19</v>
      </c>
      <c r="N3147">
        <v>92</v>
      </c>
      <c r="O3147">
        <v>188.97637795275591</v>
      </c>
      <c r="P3147">
        <v>0.74803149606299213</v>
      </c>
      <c r="Q3147">
        <v>3.6220472440944884</v>
      </c>
      <c r="R3147">
        <v>1876.9110000000001</v>
      </c>
      <c r="S3147">
        <v>8.3903999999999992E-3</v>
      </c>
      <c r="T3147" s="4" t="s">
        <v>5544</v>
      </c>
    </row>
    <row r="3148" spans="1:20" x14ac:dyDescent="0.2">
      <c r="A3148" s="4" t="s">
        <v>4793</v>
      </c>
      <c r="B3148" s="4" t="s">
        <v>5377</v>
      </c>
      <c r="C3148" s="4" t="s">
        <v>2096</v>
      </c>
      <c r="D3148" s="4" t="s">
        <v>4764</v>
      </c>
      <c r="E3148" s="4" t="s">
        <v>1595</v>
      </c>
      <c r="F3148" s="4" t="s">
        <v>5540</v>
      </c>
      <c r="G3148" s="4" t="s">
        <v>4981</v>
      </c>
      <c r="H3148" s="4" t="s">
        <v>5103</v>
      </c>
      <c r="I3148" s="4" t="s">
        <v>2100</v>
      </c>
      <c r="J3148" s="4" t="s">
        <v>2384</v>
      </c>
      <c r="K3148">
        <v>17</v>
      </c>
      <c r="L3148">
        <v>5.0999999999999996</v>
      </c>
      <c r="M3148">
        <v>19</v>
      </c>
      <c r="N3148">
        <v>92</v>
      </c>
      <c r="O3148">
        <v>200.78740157480314</v>
      </c>
      <c r="P3148">
        <v>0.74803149606299213</v>
      </c>
      <c r="Q3148">
        <v>3.6220472440944884</v>
      </c>
      <c r="R3148">
        <v>1876.9110000000001</v>
      </c>
      <c r="S3148">
        <v>8.9147999999999988E-3</v>
      </c>
      <c r="T3148" s="4" t="s">
        <v>5541</v>
      </c>
    </row>
    <row r="3149" spans="1:20" x14ac:dyDescent="0.2">
      <c r="A3149" s="4" t="s">
        <v>4793</v>
      </c>
      <c r="B3149" s="4" t="s">
        <v>5377</v>
      </c>
      <c r="C3149" s="4" t="s">
        <v>2096</v>
      </c>
      <c r="D3149" s="4" t="s">
        <v>4764</v>
      </c>
      <c r="E3149" s="4" t="s">
        <v>5551</v>
      </c>
      <c r="F3149" s="4" t="s">
        <v>5543</v>
      </c>
      <c r="G3149" s="4" t="s">
        <v>4981</v>
      </c>
      <c r="H3149" s="4" t="s">
        <v>5314</v>
      </c>
      <c r="I3149" s="4" t="s">
        <v>2100</v>
      </c>
      <c r="J3149" s="4" t="s">
        <v>2384</v>
      </c>
      <c r="K3149">
        <v>17</v>
      </c>
      <c r="L3149">
        <v>5.0999999999999996</v>
      </c>
      <c r="M3149">
        <v>19</v>
      </c>
      <c r="N3149">
        <v>92</v>
      </c>
      <c r="O3149">
        <v>200.78740157480314</v>
      </c>
      <c r="P3149">
        <v>0.74803149606299213</v>
      </c>
      <c r="Q3149">
        <v>3.6220472440944884</v>
      </c>
      <c r="R3149">
        <v>1876.9110000000001</v>
      </c>
      <c r="S3149">
        <v>8.9147999999999988E-3</v>
      </c>
      <c r="T3149" s="4" t="s">
        <v>5544</v>
      </c>
    </row>
    <row r="3150" spans="1:20" x14ac:dyDescent="0.2">
      <c r="A3150" s="4" t="s">
        <v>4793</v>
      </c>
      <c r="B3150" s="4" t="s">
        <v>5377</v>
      </c>
      <c r="C3150" s="4" t="s">
        <v>2096</v>
      </c>
      <c r="D3150" s="4" t="s">
        <v>4764</v>
      </c>
      <c r="E3150" s="4" t="s">
        <v>5552</v>
      </c>
      <c r="F3150" s="4" t="s">
        <v>5540</v>
      </c>
      <c r="G3150" s="4" t="s">
        <v>4981</v>
      </c>
      <c r="H3150" s="4" t="s">
        <v>5103</v>
      </c>
      <c r="I3150" s="4" t="s">
        <v>2100</v>
      </c>
      <c r="J3150" s="4" t="s">
        <v>2384</v>
      </c>
      <c r="K3150">
        <v>18</v>
      </c>
      <c r="L3150">
        <v>5.4</v>
      </c>
      <c r="M3150">
        <v>19</v>
      </c>
      <c r="N3150">
        <v>92</v>
      </c>
      <c r="O3150">
        <v>212.59842519685043</v>
      </c>
      <c r="P3150">
        <v>0.74803149606299213</v>
      </c>
      <c r="Q3150">
        <v>3.6220472440944884</v>
      </c>
      <c r="R3150">
        <v>1876.9110000000001</v>
      </c>
      <c r="S3150">
        <v>9.4392000000000018E-3</v>
      </c>
      <c r="T3150" s="4" t="s">
        <v>5541</v>
      </c>
    </row>
    <row r="3151" spans="1:20" x14ac:dyDescent="0.2">
      <c r="A3151" s="4" t="s">
        <v>4793</v>
      </c>
      <c r="B3151" s="4" t="s">
        <v>5377</v>
      </c>
      <c r="C3151" s="4" t="s">
        <v>2096</v>
      </c>
      <c r="D3151" s="4" t="s">
        <v>4764</v>
      </c>
      <c r="E3151" s="4" t="s">
        <v>5553</v>
      </c>
      <c r="F3151" s="4" t="s">
        <v>5543</v>
      </c>
      <c r="G3151" s="4" t="s">
        <v>4981</v>
      </c>
      <c r="H3151" s="4" t="s">
        <v>5314</v>
      </c>
      <c r="I3151" s="4" t="s">
        <v>2100</v>
      </c>
      <c r="J3151" s="4" t="s">
        <v>2384</v>
      </c>
      <c r="K3151">
        <v>18</v>
      </c>
      <c r="L3151">
        <v>5.4</v>
      </c>
      <c r="M3151">
        <v>19</v>
      </c>
      <c r="N3151">
        <v>92</v>
      </c>
      <c r="O3151">
        <v>212.59842519685043</v>
      </c>
      <c r="P3151">
        <v>0.74803149606299213</v>
      </c>
      <c r="Q3151">
        <v>3.6220472440944884</v>
      </c>
      <c r="R3151">
        <v>1876.9110000000001</v>
      </c>
      <c r="S3151">
        <v>9.4392000000000018E-3</v>
      </c>
      <c r="T3151" s="4" t="s">
        <v>5544</v>
      </c>
    </row>
    <row r="3152" spans="1:20" x14ac:dyDescent="0.2">
      <c r="A3152" s="4" t="s">
        <v>4793</v>
      </c>
      <c r="B3152" s="4" t="s">
        <v>5377</v>
      </c>
      <c r="C3152" s="4" t="s">
        <v>2286</v>
      </c>
      <c r="D3152" s="4" t="s">
        <v>4764</v>
      </c>
      <c r="E3152" s="4" t="s">
        <v>5554</v>
      </c>
      <c r="F3152" s="4" t="s">
        <v>5540</v>
      </c>
      <c r="G3152" s="4" t="s">
        <v>4981</v>
      </c>
      <c r="H3152" s="4" t="s">
        <v>5103</v>
      </c>
      <c r="I3152" s="4" t="s">
        <v>2100</v>
      </c>
      <c r="J3152" s="4" t="s">
        <v>2384</v>
      </c>
      <c r="K3152">
        <v>4</v>
      </c>
      <c r="L3152">
        <v>1.2</v>
      </c>
      <c r="M3152">
        <v>19</v>
      </c>
      <c r="N3152">
        <v>92</v>
      </c>
      <c r="O3152">
        <v>47.244094488188978</v>
      </c>
      <c r="P3152">
        <v>0.74803149606299213</v>
      </c>
      <c r="Q3152">
        <v>3.6220472440944884</v>
      </c>
      <c r="R3152">
        <v>1876.9110000000001</v>
      </c>
      <c r="S3152">
        <v>2.0975999999999998E-3</v>
      </c>
      <c r="T3152" s="4" t="s">
        <v>5555</v>
      </c>
    </row>
    <row r="3153" spans="1:20" x14ac:dyDescent="0.2">
      <c r="A3153" s="4" t="s">
        <v>4793</v>
      </c>
      <c r="B3153" s="4" t="s">
        <v>5377</v>
      </c>
      <c r="C3153" s="4" t="s">
        <v>2286</v>
      </c>
      <c r="D3153" s="4" t="s">
        <v>4764</v>
      </c>
      <c r="E3153" s="4" t="s">
        <v>5556</v>
      </c>
      <c r="F3153" s="4" t="s">
        <v>5543</v>
      </c>
      <c r="G3153" s="4" t="s">
        <v>4981</v>
      </c>
      <c r="H3153" s="4" t="s">
        <v>5314</v>
      </c>
      <c r="I3153" s="4" t="s">
        <v>2100</v>
      </c>
      <c r="J3153" s="4" t="s">
        <v>2384</v>
      </c>
      <c r="K3153">
        <v>4</v>
      </c>
      <c r="L3153">
        <v>1.2</v>
      </c>
      <c r="M3153">
        <v>19</v>
      </c>
      <c r="N3153">
        <v>92</v>
      </c>
      <c r="O3153">
        <v>47.244094488188978</v>
      </c>
      <c r="P3153">
        <v>0.74803149606299213</v>
      </c>
      <c r="Q3153">
        <v>3.6220472440944884</v>
      </c>
      <c r="R3153">
        <v>1876.9110000000001</v>
      </c>
      <c r="S3153">
        <v>2.0975999999999998E-3</v>
      </c>
      <c r="T3153" s="4" t="s">
        <v>5557</v>
      </c>
    </row>
    <row r="3154" spans="1:20" x14ac:dyDescent="0.2">
      <c r="A3154" s="4" t="s">
        <v>4793</v>
      </c>
      <c r="B3154" s="4" t="s">
        <v>5377</v>
      </c>
      <c r="C3154" s="4" t="s">
        <v>2286</v>
      </c>
      <c r="D3154" s="4" t="s">
        <v>4764</v>
      </c>
      <c r="E3154" s="4" t="s">
        <v>5558</v>
      </c>
      <c r="F3154" s="4" t="s">
        <v>5540</v>
      </c>
      <c r="G3154" s="4" t="s">
        <v>4981</v>
      </c>
      <c r="H3154" s="4" t="s">
        <v>5103</v>
      </c>
      <c r="I3154" s="4" t="s">
        <v>2100</v>
      </c>
      <c r="J3154" s="4" t="s">
        <v>2384</v>
      </c>
      <c r="K3154">
        <v>5</v>
      </c>
      <c r="L3154">
        <v>1.5</v>
      </c>
      <c r="M3154">
        <v>19</v>
      </c>
      <c r="N3154">
        <v>92</v>
      </c>
      <c r="O3154">
        <v>59.055118110236222</v>
      </c>
      <c r="P3154">
        <v>0.74803149606299213</v>
      </c>
      <c r="Q3154">
        <v>3.6220472440944884</v>
      </c>
      <c r="R3154">
        <v>1876.9110000000001</v>
      </c>
      <c r="S3154">
        <v>2.6219999999999998E-3</v>
      </c>
      <c r="T3154" s="4" t="s">
        <v>5555</v>
      </c>
    </row>
    <row r="3155" spans="1:20" x14ac:dyDescent="0.2">
      <c r="A3155" s="4" t="s">
        <v>4793</v>
      </c>
      <c r="B3155" s="4" t="s">
        <v>5377</v>
      </c>
      <c r="C3155" s="4" t="s">
        <v>2286</v>
      </c>
      <c r="D3155" s="4" t="s">
        <v>4764</v>
      </c>
      <c r="E3155" s="4" t="s">
        <v>5559</v>
      </c>
      <c r="F3155" s="4" t="s">
        <v>5543</v>
      </c>
      <c r="G3155" s="4" t="s">
        <v>4981</v>
      </c>
      <c r="H3155" s="4" t="s">
        <v>5314</v>
      </c>
      <c r="I3155" s="4" t="s">
        <v>2100</v>
      </c>
      <c r="J3155" s="4" t="s">
        <v>2384</v>
      </c>
      <c r="K3155">
        <v>5</v>
      </c>
      <c r="L3155">
        <v>1.5</v>
      </c>
      <c r="M3155">
        <v>19</v>
      </c>
      <c r="N3155">
        <v>92</v>
      </c>
      <c r="O3155">
        <v>59.055118110236222</v>
      </c>
      <c r="P3155">
        <v>0.74803149606299213</v>
      </c>
      <c r="Q3155">
        <v>3.6220472440944884</v>
      </c>
      <c r="R3155">
        <v>1876.9110000000001</v>
      </c>
      <c r="S3155">
        <v>2.6219999999999998E-3</v>
      </c>
      <c r="T3155" s="4" t="s">
        <v>5557</v>
      </c>
    </row>
    <row r="3156" spans="1:20" x14ac:dyDescent="0.2">
      <c r="A3156" s="4" t="s">
        <v>4793</v>
      </c>
      <c r="B3156" s="4" t="s">
        <v>5377</v>
      </c>
      <c r="C3156" s="4" t="s">
        <v>2286</v>
      </c>
      <c r="D3156" s="4" t="s">
        <v>4764</v>
      </c>
      <c r="E3156" s="4" t="s">
        <v>1597</v>
      </c>
      <c r="F3156" s="4" t="s">
        <v>5540</v>
      </c>
      <c r="G3156" s="4" t="s">
        <v>4981</v>
      </c>
      <c r="H3156" s="4" t="s">
        <v>5103</v>
      </c>
      <c r="I3156" s="4" t="s">
        <v>2100</v>
      </c>
      <c r="J3156" s="4" t="s">
        <v>2384</v>
      </c>
      <c r="K3156">
        <v>6</v>
      </c>
      <c r="L3156">
        <v>1.8</v>
      </c>
      <c r="M3156">
        <v>19</v>
      </c>
      <c r="N3156">
        <v>92</v>
      </c>
      <c r="O3156">
        <v>70.866141732283467</v>
      </c>
      <c r="P3156">
        <v>0.74803149606299213</v>
      </c>
      <c r="Q3156">
        <v>3.6220472440944884</v>
      </c>
      <c r="R3156">
        <v>1876.9110000000001</v>
      </c>
      <c r="S3156">
        <v>3.1464000000000002E-3</v>
      </c>
      <c r="T3156" s="4" t="s">
        <v>5555</v>
      </c>
    </row>
    <row r="3157" spans="1:20" x14ac:dyDescent="0.2">
      <c r="A3157" s="4" t="s">
        <v>4793</v>
      </c>
      <c r="B3157" s="4" t="s">
        <v>5377</v>
      </c>
      <c r="C3157" s="4" t="s">
        <v>2286</v>
      </c>
      <c r="D3157" s="4" t="s">
        <v>4764</v>
      </c>
      <c r="E3157" s="4" t="s">
        <v>5560</v>
      </c>
      <c r="F3157" s="4" t="s">
        <v>5543</v>
      </c>
      <c r="G3157" s="4" t="s">
        <v>4981</v>
      </c>
      <c r="H3157" s="4" t="s">
        <v>5314</v>
      </c>
      <c r="I3157" s="4" t="s">
        <v>2100</v>
      </c>
      <c r="J3157" s="4" t="s">
        <v>2384</v>
      </c>
      <c r="K3157">
        <v>6</v>
      </c>
      <c r="L3157">
        <v>1.8</v>
      </c>
      <c r="M3157">
        <v>19</v>
      </c>
      <c r="N3157">
        <v>92</v>
      </c>
      <c r="O3157">
        <v>70.866141732283467</v>
      </c>
      <c r="P3157">
        <v>0.74803149606299213</v>
      </c>
      <c r="Q3157">
        <v>3.6220472440944884</v>
      </c>
      <c r="R3157">
        <v>1876.9110000000001</v>
      </c>
      <c r="S3157">
        <v>3.1464000000000002E-3</v>
      </c>
      <c r="T3157" s="4" t="s">
        <v>5557</v>
      </c>
    </row>
    <row r="3158" spans="1:20" x14ac:dyDescent="0.2">
      <c r="A3158" s="4" t="s">
        <v>4793</v>
      </c>
      <c r="B3158" s="4" t="s">
        <v>5377</v>
      </c>
      <c r="C3158" s="4" t="s">
        <v>2286</v>
      </c>
      <c r="D3158" s="4" t="s">
        <v>4764</v>
      </c>
      <c r="E3158" s="4" t="s">
        <v>1599</v>
      </c>
      <c r="F3158" s="4" t="s">
        <v>5540</v>
      </c>
      <c r="G3158" s="4" t="s">
        <v>4981</v>
      </c>
      <c r="H3158" s="4" t="s">
        <v>5103</v>
      </c>
      <c r="I3158" s="4" t="s">
        <v>2100</v>
      </c>
      <c r="J3158" s="4" t="s">
        <v>2384</v>
      </c>
      <c r="K3158">
        <v>7</v>
      </c>
      <c r="L3158">
        <v>2.1</v>
      </c>
      <c r="M3158">
        <v>19</v>
      </c>
      <c r="N3158">
        <v>92</v>
      </c>
      <c r="O3158">
        <v>82.677165354330711</v>
      </c>
      <c r="P3158">
        <v>0.74803149606299213</v>
      </c>
      <c r="Q3158">
        <v>3.6220472440944884</v>
      </c>
      <c r="R3158">
        <v>1876.9110000000001</v>
      </c>
      <c r="S3158">
        <v>3.6707999999999997E-3</v>
      </c>
      <c r="T3158" s="4" t="s">
        <v>5555</v>
      </c>
    </row>
    <row r="3159" spans="1:20" x14ac:dyDescent="0.2">
      <c r="A3159" s="4" t="s">
        <v>4793</v>
      </c>
      <c r="B3159" s="4" t="s">
        <v>5377</v>
      </c>
      <c r="C3159" s="4" t="s">
        <v>2286</v>
      </c>
      <c r="D3159" s="4" t="s">
        <v>4764</v>
      </c>
      <c r="E3159" s="4" t="s">
        <v>5561</v>
      </c>
      <c r="F3159" s="4" t="s">
        <v>5543</v>
      </c>
      <c r="G3159" s="4" t="s">
        <v>4981</v>
      </c>
      <c r="H3159" s="4" t="s">
        <v>5314</v>
      </c>
      <c r="I3159" s="4" t="s">
        <v>2100</v>
      </c>
      <c r="J3159" s="4" t="s">
        <v>2384</v>
      </c>
      <c r="K3159">
        <v>7</v>
      </c>
      <c r="L3159">
        <v>2.1</v>
      </c>
      <c r="M3159">
        <v>19</v>
      </c>
      <c r="N3159">
        <v>92</v>
      </c>
      <c r="O3159">
        <v>82.677165354330711</v>
      </c>
      <c r="P3159">
        <v>0.74803149606299213</v>
      </c>
      <c r="Q3159">
        <v>3.6220472440944884</v>
      </c>
      <c r="R3159">
        <v>1876.9110000000001</v>
      </c>
      <c r="S3159">
        <v>3.6707999999999997E-3</v>
      </c>
      <c r="T3159" s="4" t="s">
        <v>5557</v>
      </c>
    </row>
    <row r="3160" spans="1:20" x14ac:dyDescent="0.2">
      <c r="A3160" s="4" t="s">
        <v>4793</v>
      </c>
      <c r="B3160" s="4" t="s">
        <v>5377</v>
      </c>
      <c r="C3160" s="4" t="s">
        <v>2096</v>
      </c>
      <c r="D3160" s="4" t="s">
        <v>4764</v>
      </c>
      <c r="E3160" s="4" t="s">
        <v>1601</v>
      </c>
      <c r="F3160" s="4" t="s">
        <v>5540</v>
      </c>
      <c r="G3160" s="4" t="s">
        <v>4981</v>
      </c>
      <c r="H3160" s="4" t="s">
        <v>5103</v>
      </c>
      <c r="I3160" s="4" t="s">
        <v>2100</v>
      </c>
      <c r="J3160" s="4" t="s">
        <v>2384</v>
      </c>
      <c r="K3160">
        <v>8</v>
      </c>
      <c r="L3160">
        <v>2.4</v>
      </c>
      <c r="M3160">
        <v>19</v>
      </c>
      <c r="N3160">
        <v>92</v>
      </c>
      <c r="O3160">
        <v>94.488188976377955</v>
      </c>
      <c r="P3160">
        <v>0.74803149606299213</v>
      </c>
      <c r="Q3160">
        <v>3.6220472440944884</v>
      </c>
      <c r="R3160">
        <v>1876.9110000000001</v>
      </c>
      <c r="S3160">
        <v>4.1951999999999996E-3</v>
      </c>
      <c r="T3160" s="4" t="s">
        <v>5541</v>
      </c>
    </row>
    <row r="3161" spans="1:20" x14ac:dyDescent="0.2">
      <c r="A3161" s="4" t="s">
        <v>4793</v>
      </c>
      <c r="B3161" s="4" t="s">
        <v>5377</v>
      </c>
      <c r="C3161" s="4" t="s">
        <v>2096</v>
      </c>
      <c r="D3161" s="4" t="s">
        <v>4764</v>
      </c>
      <c r="E3161" s="4" t="s">
        <v>5562</v>
      </c>
      <c r="F3161" s="4" t="s">
        <v>5543</v>
      </c>
      <c r="G3161" s="4" t="s">
        <v>4981</v>
      </c>
      <c r="H3161" s="4" t="s">
        <v>5314</v>
      </c>
      <c r="I3161" s="4" t="s">
        <v>2100</v>
      </c>
      <c r="J3161" s="4" t="s">
        <v>2384</v>
      </c>
      <c r="K3161">
        <v>8</v>
      </c>
      <c r="L3161">
        <v>2.4</v>
      </c>
      <c r="M3161">
        <v>19</v>
      </c>
      <c r="N3161">
        <v>92</v>
      </c>
      <c r="O3161">
        <v>94.488188976377955</v>
      </c>
      <c r="P3161">
        <v>0.74803149606299213</v>
      </c>
      <c r="Q3161">
        <v>3.6220472440944884</v>
      </c>
      <c r="R3161">
        <v>1876.9110000000001</v>
      </c>
      <c r="S3161">
        <v>4.1951999999999996E-3</v>
      </c>
      <c r="T3161" s="4" t="s">
        <v>5544</v>
      </c>
    </row>
    <row r="3162" spans="1:20" x14ac:dyDescent="0.2">
      <c r="A3162" s="4" t="s">
        <v>4793</v>
      </c>
      <c r="B3162" s="4" t="s">
        <v>5377</v>
      </c>
      <c r="C3162" s="4" t="s">
        <v>2096</v>
      </c>
      <c r="D3162" s="4" t="s">
        <v>4764</v>
      </c>
      <c r="E3162" s="4" t="s">
        <v>1602</v>
      </c>
      <c r="F3162" s="4" t="s">
        <v>5540</v>
      </c>
      <c r="G3162" s="4" t="s">
        <v>4981</v>
      </c>
      <c r="H3162" s="4" t="s">
        <v>5103</v>
      </c>
      <c r="I3162" s="4" t="s">
        <v>2100</v>
      </c>
      <c r="J3162" s="4" t="s">
        <v>2384</v>
      </c>
      <c r="K3162">
        <v>9</v>
      </c>
      <c r="L3162">
        <v>2.7</v>
      </c>
      <c r="M3162">
        <v>19</v>
      </c>
      <c r="N3162">
        <v>92</v>
      </c>
      <c r="O3162">
        <v>106.29921259842521</v>
      </c>
      <c r="P3162">
        <v>0.74803149606299213</v>
      </c>
      <c r="Q3162">
        <v>3.6220472440944884</v>
      </c>
      <c r="R3162">
        <v>1876.9110000000001</v>
      </c>
      <c r="S3162">
        <v>4.7196000000000009E-3</v>
      </c>
      <c r="T3162" s="4" t="s">
        <v>5541</v>
      </c>
    </row>
    <row r="3163" spans="1:20" x14ac:dyDescent="0.2">
      <c r="A3163" s="4" t="s">
        <v>4793</v>
      </c>
      <c r="B3163" s="4" t="s">
        <v>5377</v>
      </c>
      <c r="C3163" s="4" t="s">
        <v>2096</v>
      </c>
      <c r="D3163" s="4" t="s">
        <v>4764</v>
      </c>
      <c r="E3163" s="4" t="s">
        <v>5563</v>
      </c>
      <c r="F3163" s="4" t="s">
        <v>5543</v>
      </c>
      <c r="G3163" s="4" t="s">
        <v>4981</v>
      </c>
      <c r="H3163" s="4" t="s">
        <v>5314</v>
      </c>
      <c r="I3163" s="4" t="s">
        <v>2100</v>
      </c>
      <c r="J3163" s="4" t="s">
        <v>2384</v>
      </c>
      <c r="K3163">
        <v>9</v>
      </c>
      <c r="L3163">
        <v>2.7</v>
      </c>
      <c r="M3163">
        <v>19</v>
      </c>
      <c r="N3163">
        <v>92</v>
      </c>
      <c r="O3163">
        <v>106.29921259842521</v>
      </c>
      <c r="P3163">
        <v>0.74803149606299213</v>
      </c>
      <c r="Q3163">
        <v>3.6220472440944884</v>
      </c>
      <c r="R3163">
        <v>1876.9110000000001</v>
      </c>
      <c r="S3163">
        <v>4.7196000000000009E-3</v>
      </c>
      <c r="T3163" s="4" t="s">
        <v>5544</v>
      </c>
    </row>
    <row r="3164" spans="1:20" x14ac:dyDescent="0.2">
      <c r="A3164" s="4" t="s">
        <v>4793</v>
      </c>
      <c r="B3164" s="4" t="s">
        <v>4798</v>
      </c>
      <c r="C3164" s="4" t="s">
        <v>2096</v>
      </c>
      <c r="D3164" s="4" t="s">
        <v>4764</v>
      </c>
      <c r="E3164" s="4" t="s">
        <v>1553</v>
      </c>
      <c r="F3164" s="4" t="s">
        <v>5564</v>
      </c>
      <c r="G3164" s="4" t="s">
        <v>4981</v>
      </c>
      <c r="H3164" s="4" t="s">
        <v>5103</v>
      </c>
      <c r="I3164" s="4" t="s">
        <v>2100</v>
      </c>
      <c r="J3164" s="4" t="s">
        <v>2153</v>
      </c>
      <c r="K3164">
        <v>10</v>
      </c>
      <c r="L3164">
        <v>3</v>
      </c>
      <c r="M3164">
        <v>19</v>
      </c>
      <c r="N3164">
        <v>140</v>
      </c>
      <c r="O3164">
        <v>118.11023622047244</v>
      </c>
      <c r="P3164">
        <v>0.74803149606299213</v>
      </c>
      <c r="Q3164">
        <v>5.5118110236220472</v>
      </c>
      <c r="R3164">
        <v>1233.3979999999999</v>
      </c>
      <c r="S3164">
        <v>7.980000000000001E-3</v>
      </c>
      <c r="T3164" s="4" t="s">
        <v>5565</v>
      </c>
    </row>
    <row r="3165" spans="1:20" x14ac:dyDescent="0.2">
      <c r="A3165" s="4" t="s">
        <v>4793</v>
      </c>
      <c r="B3165" s="4" t="s">
        <v>4798</v>
      </c>
      <c r="C3165" s="4" t="s">
        <v>2096</v>
      </c>
      <c r="D3165" s="4" t="s">
        <v>4764</v>
      </c>
      <c r="E3165" s="4" t="s">
        <v>1555</v>
      </c>
      <c r="F3165" s="4" t="s">
        <v>5564</v>
      </c>
      <c r="G3165" s="4" t="s">
        <v>4981</v>
      </c>
      <c r="H3165" s="4" t="s">
        <v>5103</v>
      </c>
      <c r="I3165" s="4" t="s">
        <v>2100</v>
      </c>
      <c r="J3165" s="4" t="s">
        <v>2153</v>
      </c>
      <c r="K3165">
        <v>11</v>
      </c>
      <c r="L3165">
        <v>3.3</v>
      </c>
      <c r="M3165">
        <v>19</v>
      </c>
      <c r="N3165">
        <v>140</v>
      </c>
      <c r="O3165">
        <v>129.92125984251967</v>
      </c>
      <c r="P3165">
        <v>0.74803149606299213</v>
      </c>
      <c r="Q3165">
        <v>5.5118110236220472</v>
      </c>
      <c r="R3165">
        <v>1233.3979999999999</v>
      </c>
      <c r="S3165">
        <v>8.7779999999999993E-3</v>
      </c>
      <c r="T3165" s="4" t="s">
        <v>5565</v>
      </c>
    </row>
    <row r="3166" spans="1:20" x14ac:dyDescent="0.2">
      <c r="A3166" s="4" t="s">
        <v>4793</v>
      </c>
      <c r="B3166" s="4" t="s">
        <v>4798</v>
      </c>
      <c r="C3166" s="4" t="s">
        <v>2096</v>
      </c>
      <c r="D3166" s="4" t="s">
        <v>4764</v>
      </c>
      <c r="E3166" s="4" t="s">
        <v>1557</v>
      </c>
      <c r="F3166" s="4" t="s">
        <v>5564</v>
      </c>
      <c r="G3166" s="4" t="s">
        <v>4981</v>
      </c>
      <c r="H3166" s="4" t="s">
        <v>5103</v>
      </c>
      <c r="I3166" s="4" t="s">
        <v>2100</v>
      </c>
      <c r="J3166" s="4" t="s">
        <v>2153</v>
      </c>
      <c r="K3166">
        <v>12</v>
      </c>
      <c r="L3166">
        <v>3.6</v>
      </c>
      <c r="M3166">
        <v>19</v>
      </c>
      <c r="N3166">
        <v>140</v>
      </c>
      <c r="O3166">
        <v>141.73228346456693</v>
      </c>
      <c r="P3166">
        <v>0.74803149606299213</v>
      </c>
      <c r="Q3166">
        <v>5.5118110236220472</v>
      </c>
      <c r="R3166">
        <v>1233.3979999999999</v>
      </c>
      <c r="S3166">
        <v>9.5760000000000012E-3</v>
      </c>
      <c r="T3166" s="4" t="s">
        <v>5565</v>
      </c>
    </row>
    <row r="3167" spans="1:20" x14ac:dyDescent="0.2">
      <c r="A3167" s="4" t="s">
        <v>4793</v>
      </c>
      <c r="B3167" s="4" t="s">
        <v>4798</v>
      </c>
      <c r="C3167" s="4" t="s">
        <v>2096</v>
      </c>
      <c r="D3167" s="4" t="s">
        <v>4764</v>
      </c>
      <c r="E3167" s="4" t="s">
        <v>1559</v>
      </c>
      <c r="F3167" s="4" t="s">
        <v>5564</v>
      </c>
      <c r="G3167" s="4" t="s">
        <v>4981</v>
      </c>
      <c r="H3167" s="4" t="s">
        <v>5103</v>
      </c>
      <c r="I3167" s="4" t="s">
        <v>2100</v>
      </c>
      <c r="J3167" s="4" t="s">
        <v>2153</v>
      </c>
      <c r="K3167">
        <v>13</v>
      </c>
      <c r="L3167">
        <v>3.9</v>
      </c>
      <c r="M3167">
        <v>19</v>
      </c>
      <c r="N3167">
        <v>140</v>
      </c>
      <c r="O3167">
        <v>153.54330708661416</v>
      </c>
      <c r="P3167">
        <v>0.74803149606299213</v>
      </c>
      <c r="Q3167">
        <v>5.5118110236220472</v>
      </c>
      <c r="R3167">
        <v>1233.3979999999999</v>
      </c>
      <c r="S3167">
        <v>1.0374000000000001E-2</v>
      </c>
      <c r="T3167" s="4" t="s">
        <v>5565</v>
      </c>
    </row>
    <row r="3168" spans="1:20" x14ac:dyDescent="0.2">
      <c r="A3168" s="4" t="s">
        <v>4793</v>
      </c>
      <c r="B3168" s="4" t="s">
        <v>4798</v>
      </c>
      <c r="C3168" s="4" t="s">
        <v>2096</v>
      </c>
      <c r="D3168" s="4" t="s">
        <v>4764</v>
      </c>
      <c r="E3168" s="4" t="s">
        <v>1561</v>
      </c>
      <c r="F3168" s="4" t="s">
        <v>5564</v>
      </c>
      <c r="G3168" s="4" t="s">
        <v>4981</v>
      </c>
      <c r="H3168" s="4" t="s">
        <v>5103</v>
      </c>
      <c r="I3168" s="4" t="s">
        <v>2100</v>
      </c>
      <c r="J3168" s="4" t="s">
        <v>2153</v>
      </c>
      <c r="K3168">
        <v>14</v>
      </c>
      <c r="L3168">
        <v>4.2</v>
      </c>
      <c r="M3168">
        <v>19</v>
      </c>
      <c r="N3168">
        <v>140</v>
      </c>
      <c r="O3168">
        <v>165.35433070866142</v>
      </c>
      <c r="P3168">
        <v>0.74803149606299213</v>
      </c>
      <c r="Q3168">
        <v>5.5118110236220472</v>
      </c>
      <c r="R3168">
        <v>1233.3979999999999</v>
      </c>
      <c r="S3168">
        <v>1.1172E-2</v>
      </c>
      <c r="T3168" s="4" t="s">
        <v>5565</v>
      </c>
    </row>
    <row r="3169" spans="1:20" x14ac:dyDescent="0.2">
      <c r="A3169" s="4" t="s">
        <v>4793</v>
      </c>
      <c r="B3169" s="4" t="s">
        <v>4798</v>
      </c>
      <c r="C3169" s="4" t="s">
        <v>2096</v>
      </c>
      <c r="D3169" s="4" t="s">
        <v>4764</v>
      </c>
      <c r="E3169" s="4" t="s">
        <v>1563</v>
      </c>
      <c r="F3169" s="4" t="s">
        <v>5564</v>
      </c>
      <c r="G3169" s="4" t="s">
        <v>4981</v>
      </c>
      <c r="H3169" s="4" t="s">
        <v>5103</v>
      </c>
      <c r="I3169" s="4" t="s">
        <v>2100</v>
      </c>
      <c r="J3169" s="4" t="s">
        <v>2153</v>
      </c>
      <c r="K3169">
        <v>15</v>
      </c>
      <c r="L3169">
        <v>4.5</v>
      </c>
      <c r="M3169">
        <v>19</v>
      </c>
      <c r="N3169">
        <v>140</v>
      </c>
      <c r="O3169">
        <v>177.16535433070868</v>
      </c>
      <c r="P3169">
        <v>0.74803149606299213</v>
      </c>
      <c r="Q3169">
        <v>5.5118110236220472</v>
      </c>
      <c r="R3169">
        <v>1233.3979999999999</v>
      </c>
      <c r="S3169">
        <v>1.1970000000000001E-2</v>
      </c>
      <c r="T3169" s="4" t="s">
        <v>5565</v>
      </c>
    </row>
    <row r="3170" spans="1:20" x14ac:dyDescent="0.2">
      <c r="A3170" s="4" t="s">
        <v>4793</v>
      </c>
      <c r="B3170" s="4" t="s">
        <v>4798</v>
      </c>
      <c r="C3170" s="4" t="s">
        <v>2096</v>
      </c>
      <c r="D3170" s="4" t="s">
        <v>4764</v>
      </c>
      <c r="E3170" s="4" t="s">
        <v>1565</v>
      </c>
      <c r="F3170" s="4" t="s">
        <v>5564</v>
      </c>
      <c r="G3170" s="4" t="s">
        <v>4981</v>
      </c>
      <c r="H3170" s="4" t="s">
        <v>5103</v>
      </c>
      <c r="I3170" s="4" t="s">
        <v>2100</v>
      </c>
      <c r="J3170" s="4" t="s">
        <v>2153</v>
      </c>
      <c r="K3170">
        <v>16</v>
      </c>
      <c r="L3170">
        <v>4.8</v>
      </c>
      <c r="M3170">
        <v>19</v>
      </c>
      <c r="N3170">
        <v>140</v>
      </c>
      <c r="O3170">
        <v>188.97637795275591</v>
      </c>
      <c r="P3170">
        <v>0.74803149606299213</v>
      </c>
      <c r="Q3170">
        <v>5.5118110236220472</v>
      </c>
      <c r="R3170">
        <v>1233.3979999999999</v>
      </c>
      <c r="S3170">
        <v>1.2768E-2</v>
      </c>
      <c r="T3170" s="4" t="s">
        <v>5565</v>
      </c>
    </row>
    <row r="3171" spans="1:20" x14ac:dyDescent="0.2">
      <c r="A3171" s="4" t="s">
        <v>4793</v>
      </c>
      <c r="B3171" s="4" t="s">
        <v>4798</v>
      </c>
      <c r="C3171" s="4" t="s">
        <v>2096</v>
      </c>
      <c r="D3171" s="4" t="s">
        <v>4764</v>
      </c>
      <c r="E3171" s="4" t="s">
        <v>1567</v>
      </c>
      <c r="F3171" s="4" t="s">
        <v>5564</v>
      </c>
      <c r="G3171" s="4" t="s">
        <v>4981</v>
      </c>
      <c r="H3171" s="4" t="s">
        <v>5103</v>
      </c>
      <c r="I3171" s="4" t="s">
        <v>2100</v>
      </c>
      <c r="J3171" s="4" t="s">
        <v>2153</v>
      </c>
      <c r="K3171">
        <v>17</v>
      </c>
      <c r="L3171">
        <v>5.0999999999999996</v>
      </c>
      <c r="M3171">
        <v>19</v>
      </c>
      <c r="N3171">
        <v>140</v>
      </c>
      <c r="O3171">
        <v>200.78740157480314</v>
      </c>
      <c r="P3171">
        <v>0.74803149606299213</v>
      </c>
      <c r="Q3171">
        <v>5.5118110236220472</v>
      </c>
      <c r="R3171">
        <v>1233.3979999999999</v>
      </c>
      <c r="S3171">
        <v>1.3565999999999998E-2</v>
      </c>
      <c r="T3171" s="4" t="s">
        <v>5565</v>
      </c>
    </row>
    <row r="3172" spans="1:20" x14ac:dyDescent="0.2">
      <c r="A3172" s="4" t="s">
        <v>4793</v>
      </c>
      <c r="B3172" s="4" t="s">
        <v>4798</v>
      </c>
      <c r="C3172" s="4" t="s">
        <v>2096</v>
      </c>
      <c r="D3172" s="4" t="s">
        <v>4764</v>
      </c>
      <c r="E3172" s="4" t="s">
        <v>1569</v>
      </c>
      <c r="F3172" s="4" t="s">
        <v>5564</v>
      </c>
      <c r="G3172" s="4" t="s">
        <v>4981</v>
      </c>
      <c r="H3172" s="4" t="s">
        <v>5103</v>
      </c>
      <c r="I3172" s="4" t="s">
        <v>2100</v>
      </c>
      <c r="J3172" s="4" t="s">
        <v>2153</v>
      </c>
      <c r="K3172">
        <v>18</v>
      </c>
      <c r="L3172">
        <v>5.4</v>
      </c>
      <c r="M3172">
        <v>19</v>
      </c>
      <c r="N3172">
        <v>140</v>
      </c>
      <c r="O3172">
        <v>212.59842519685043</v>
      </c>
      <c r="P3172">
        <v>0.74803149606299213</v>
      </c>
      <c r="Q3172">
        <v>5.5118110236220472</v>
      </c>
      <c r="R3172">
        <v>1233.3979999999999</v>
      </c>
      <c r="S3172">
        <v>1.4364E-2</v>
      </c>
      <c r="T3172" s="4" t="s">
        <v>5565</v>
      </c>
    </row>
    <row r="3173" spans="1:20" x14ac:dyDescent="0.2">
      <c r="A3173" s="4" t="s">
        <v>4793</v>
      </c>
      <c r="B3173" s="4" t="s">
        <v>4798</v>
      </c>
      <c r="C3173" s="4" t="s">
        <v>2286</v>
      </c>
      <c r="D3173" s="4" t="s">
        <v>4764</v>
      </c>
      <c r="E3173" s="4" t="s">
        <v>1571</v>
      </c>
      <c r="F3173" s="4" t="s">
        <v>5564</v>
      </c>
      <c r="G3173" s="4" t="s">
        <v>4981</v>
      </c>
      <c r="H3173" s="4" t="s">
        <v>5103</v>
      </c>
      <c r="I3173" s="4" t="s">
        <v>2100</v>
      </c>
      <c r="J3173" s="4" t="s">
        <v>2153</v>
      </c>
      <c r="K3173">
        <v>4</v>
      </c>
      <c r="L3173">
        <v>1.2</v>
      </c>
      <c r="M3173">
        <v>19</v>
      </c>
      <c r="N3173">
        <v>140</v>
      </c>
      <c r="O3173">
        <v>47.244094488188978</v>
      </c>
      <c r="P3173">
        <v>0.74803149606299213</v>
      </c>
      <c r="Q3173">
        <v>5.5118110236220472</v>
      </c>
      <c r="R3173">
        <v>1233.3979999999999</v>
      </c>
      <c r="S3173">
        <v>3.192E-3</v>
      </c>
      <c r="T3173" s="4" t="s">
        <v>5566</v>
      </c>
    </row>
    <row r="3174" spans="1:20" x14ac:dyDescent="0.2">
      <c r="A3174" s="4" t="s">
        <v>4793</v>
      </c>
      <c r="B3174" s="4" t="s">
        <v>4798</v>
      </c>
      <c r="C3174" s="4" t="s">
        <v>2286</v>
      </c>
      <c r="D3174" s="4" t="s">
        <v>4764</v>
      </c>
      <c r="E3174" s="4" t="s">
        <v>5567</v>
      </c>
      <c r="F3174" s="4" t="s">
        <v>5564</v>
      </c>
      <c r="G3174" s="4" t="s">
        <v>4981</v>
      </c>
      <c r="H3174" s="4" t="s">
        <v>5103</v>
      </c>
      <c r="I3174" s="4" t="s">
        <v>2100</v>
      </c>
      <c r="J3174" s="4" t="s">
        <v>2153</v>
      </c>
      <c r="K3174">
        <v>5</v>
      </c>
      <c r="L3174">
        <v>1.5</v>
      </c>
      <c r="M3174">
        <v>19</v>
      </c>
      <c r="N3174">
        <v>140</v>
      </c>
      <c r="O3174">
        <v>59.055118110236222</v>
      </c>
      <c r="P3174">
        <v>0.74803149606299213</v>
      </c>
      <c r="Q3174">
        <v>5.5118110236220472</v>
      </c>
      <c r="R3174">
        <v>1233.3979999999999</v>
      </c>
      <c r="S3174">
        <v>3.9900000000000005E-3</v>
      </c>
      <c r="T3174" s="4" t="s">
        <v>5566</v>
      </c>
    </row>
    <row r="3175" spans="1:20" x14ac:dyDescent="0.2">
      <c r="A3175" s="4" t="s">
        <v>4793</v>
      </c>
      <c r="B3175" s="4" t="s">
        <v>4798</v>
      </c>
      <c r="C3175" s="4" t="s">
        <v>2286</v>
      </c>
      <c r="D3175" s="4" t="s">
        <v>4764</v>
      </c>
      <c r="E3175" s="4" t="s">
        <v>1573</v>
      </c>
      <c r="F3175" s="4" t="s">
        <v>5564</v>
      </c>
      <c r="G3175" s="4" t="s">
        <v>4981</v>
      </c>
      <c r="H3175" s="4" t="s">
        <v>5103</v>
      </c>
      <c r="I3175" s="4" t="s">
        <v>2100</v>
      </c>
      <c r="J3175" s="4" t="s">
        <v>2153</v>
      </c>
      <c r="K3175">
        <v>6</v>
      </c>
      <c r="L3175">
        <v>1.8</v>
      </c>
      <c r="M3175">
        <v>19</v>
      </c>
      <c r="N3175">
        <v>140</v>
      </c>
      <c r="O3175">
        <v>70.866141732283467</v>
      </c>
      <c r="P3175">
        <v>0.74803149606299213</v>
      </c>
      <c r="Q3175">
        <v>5.5118110236220472</v>
      </c>
      <c r="R3175">
        <v>1233.3979999999999</v>
      </c>
      <c r="S3175">
        <v>4.7880000000000006E-3</v>
      </c>
      <c r="T3175" s="4" t="s">
        <v>5566</v>
      </c>
    </row>
    <row r="3176" spans="1:20" x14ac:dyDescent="0.2">
      <c r="A3176" s="4" t="s">
        <v>4793</v>
      </c>
      <c r="B3176" s="4" t="s">
        <v>4798</v>
      </c>
      <c r="C3176" s="4" t="s">
        <v>2286</v>
      </c>
      <c r="D3176" s="4" t="s">
        <v>4764</v>
      </c>
      <c r="E3176" s="4" t="s">
        <v>1575</v>
      </c>
      <c r="F3176" s="4" t="s">
        <v>5564</v>
      </c>
      <c r="G3176" s="4" t="s">
        <v>4981</v>
      </c>
      <c r="H3176" s="4" t="s">
        <v>5103</v>
      </c>
      <c r="I3176" s="4" t="s">
        <v>2100</v>
      </c>
      <c r="J3176" s="4" t="s">
        <v>2153</v>
      </c>
      <c r="K3176">
        <v>7</v>
      </c>
      <c r="L3176">
        <v>2.1</v>
      </c>
      <c r="M3176">
        <v>19</v>
      </c>
      <c r="N3176">
        <v>140</v>
      </c>
      <c r="O3176">
        <v>82.677165354330711</v>
      </c>
      <c r="P3176">
        <v>0.74803149606299213</v>
      </c>
      <c r="Q3176">
        <v>5.5118110236220472</v>
      </c>
      <c r="R3176">
        <v>1233.3979999999999</v>
      </c>
      <c r="S3176">
        <v>5.5859999999999998E-3</v>
      </c>
      <c r="T3176" s="4" t="s">
        <v>5566</v>
      </c>
    </row>
    <row r="3177" spans="1:20" x14ac:dyDescent="0.2">
      <c r="A3177" s="4" t="s">
        <v>4793</v>
      </c>
      <c r="B3177" s="4" t="s">
        <v>4798</v>
      </c>
      <c r="C3177" s="4" t="s">
        <v>2096</v>
      </c>
      <c r="D3177" s="4" t="s">
        <v>4764</v>
      </c>
      <c r="E3177" s="4" t="s">
        <v>1577</v>
      </c>
      <c r="F3177" s="4" t="s">
        <v>5564</v>
      </c>
      <c r="G3177" s="4" t="s">
        <v>4981</v>
      </c>
      <c r="H3177" s="4" t="s">
        <v>5103</v>
      </c>
      <c r="I3177" s="4" t="s">
        <v>2100</v>
      </c>
      <c r="J3177" s="4" t="s">
        <v>2153</v>
      </c>
      <c r="K3177">
        <v>8</v>
      </c>
      <c r="L3177">
        <v>2.4</v>
      </c>
      <c r="M3177">
        <v>19</v>
      </c>
      <c r="N3177">
        <v>140</v>
      </c>
      <c r="O3177">
        <v>94.488188976377955</v>
      </c>
      <c r="P3177">
        <v>0.74803149606299213</v>
      </c>
      <c r="Q3177">
        <v>5.5118110236220472</v>
      </c>
      <c r="R3177">
        <v>1233.3979999999999</v>
      </c>
      <c r="S3177">
        <v>6.3839999999999999E-3</v>
      </c>
      <c r="T3177" s="4" t="s">
        <v>5565</v>
      </c>
    </row>
    <row r="3178" spans="1:20" x14ac:dyDescent="0.2">
      <c r="A3178" s="4" t="s">
        <v>4793</v>
      </c>
      <c r="B3178" s="4" t="s">
        <v>4798</v>
      </c>
      <c r="C3178" s="4" t="s">
        <v>2096</v>
      </c>
      <c r="D3178" s="4" t="s">
        <v>4764</v>
      </c>
      <c r="E3178" s="4" t="s">
        <v>1579</v>
      </c>
      <c r="F3178" s="4" t="s">
        <v>5564</v>
      </c>
      <c r="G3178" s="4" t="s">
        <v>4981</v>
      </c>
      <c r="H3178" s="4" t="s">
        <v>5103</v>
      </c>
      <c r="I3178" s="4" t="s">
        <v>2100</v>
      </c>
      <c r="J3178" s="4" t="s">
        <v>2153</v>
      </c>
      <c r="K3178">
        <v>9</v>
      </c>
      <c r="L3178">
        <v>2.7</v>
      </c>
      <c r="M3178">
        <v>19</v>
      </c>
      <c r="N3178">
        <v>140</v>
      </c>
      <c r="O3178">
        <v>106.29921259842521</v>
      </c>
      <c r="P3178">
        <v>0.74803149606299213</v>
      </c>
      <c r="Q3178">
        <v>5.5118110236220472</v>
      </c>
      <c r="R3178">
        <v>1233.3979999999999</v>
      </c>
      <c r="S3178">
        <v>7.182E-3</v>
      </c>
      <c r="T3178" s="4" t="s">
        <v>5565</v>
      </c>
    </row>
    <row r="3179" spans="1:20" x14ac:dyDescent="0.2">
      <c r="A3179" s="4" t="s">
        <v>4793</v>
      </c>
      <c r="B3179" s="4" t="s">
        <v>5396</v>
      </c>
      <c r="C3179" s="4" t="s">
        <v>2096</v>
      </c>
      <c r="D3179" s="4" t="s">
        <v>4764</v>
      </c>
      <c r="E3179" s="4" t="s">
        <v>5568</v>
      </c>
      <c r="F3179" s="4" t="s">
        <v>5569</v>
      </c>
      <c r="G3179" s="4" t="s">
        <v>4981</v>
      </c>
      <c r="H3179" s="4" t="s">
        <v>5103</v>
      </c>
      <c r="I3179" s="4" t="s">
        <v>2100</v>
      </c>
      <c r="J3179" s="4" t="s">
        <v>2432</v>
      </c>
      <c r="K3179">
        <v>10</v>
      </c>
      <c r="L3179">
        <v>3</v>
      </c>
      <c r="M3179">
        <v>20</v>
      </c>
      <c r="N3179">
        <v>180</v>
      </c>
      <c r="O3179">
        <v>118.11023622047244</v>
      </c>
      <c r="P3179">
        <v>0.78740157480314965</v>
      </c>
      <c r="Q3179">
        <v>7.0866141732283472</v>
      </c>
      <c r="R3179">
        <v>911.34400000000005</v>
      </c>
      <c r="S3179">
        <v>1.0799999999999999E-2</v>
      </c>
      <c r="T3179" s="4" t="s">
        <v>5570</v>
      </c>
    </row>
    <row r="3180" spans="1:20" x14ac:dyDescent="0.2">
      <c r="A3180" s="4" t="s">
        <v>4793</v>
      </c>
      <c r="B3180" s="4" t="s">
        <v>5396</v>
      </c>
      <c r="C3180" s="4" t="s">
        <v>2096</v>
      </c>
      <c r="D3180" s="4" t="s">
        <v>4764</v>
      </c>
      <c r="E3180" s="4" t="s">
        <v>5571</v>
      </c>
      <c r="F3180" s="4" t="s">
        <v>5569</v>
      </c>
      <c r="G3180" s="4" t="s">
        <v>4981</v>
      </c>
      <c r="H3180" s="4" t="s">
        <v>5103</v>
      </c>
      <c r="I3180" s="4" t="s">
        <v>2100</v>
      </c>
      <c r="J3180" s="4" t="s">
        <v>2432</v>
      </c>
      <c r="K3180">
        <v>11</v>
      </c>
      <c r="L3180">
        <v>3.3</v>
      </c>
      <c r="M3180">
        <v>20</v>
      </c>
      <c r="N3180">
        <v>180</v>
      </c>
      <c r="O3180">
        <v>129.92125984251967</v>
      </c>
      <c r="P3180">
        <v>0.78740157480314965</v>
      </c>
      <c r="Q3180">
        <v>7.0866141732283472</v>
      </c>
      <c r="R3180">
        <v>911.34400000000005</v>
      </c>
      <c r="S3180">
        <v>1.188E-2</v>
      </c>
      <c r="T3180" s="4" t="s">
        <v>5570</v>
      </c>
    </row>
    <row r="3181" spans="1:20" x14ac:dyDescent="0.2">
      <c r="A3181" s="4" t="s">
        <v>4793</v>
      </c>
      <c r="B3181" s="4" t="s">
        <v>4798</v>
      </c>
      <c r="C3181" s="4" t="s">
        <v>2096</v>
      </c>
      <c r="D3181" s="4" t="s">
        <v>4764</v>
      </c>
      <c r="E3181" s="4" t="s">
        <v>5572</v>
      </c>
      <c r="F3181" s="4" t="s">
        <v>5573</v>
      </c>
      <c r="G3181" s="4" t="s">
        <v>4981</v>
      </c>
      <c r="H3181" s="4" t="s">
        <v>5103</v>
      </c>
      <c r="I3181" s="4" t="s">
        <v>5574</v>
      </c>
      <c r="J3181" s="4" t="s">
        <v>2153</v>
      </c>
      <c r="K3181">
        <v>10</v>
      </c>
      <c r="L3181">
        <v>3</v>
      </c>
      <c r="M3181">
        <v>19</v>
      </c>
      <c r="N3181">
        <v>140</v>
      </c>
      <c r="O3181">
        <v>118.11023622047244</v>
      </c>
      <c r="P3181">
        <v>0.74803149606299213</v>
      </c>
      <c r="Q3181">
        <v>5.5118110236220472</v>
      </c>
      <c r="R3181">
        <v>1233.3979999999999</v>
      </c>
      <c r="S3181">
        <v>7.980000000000001E-3</v>
      </c>
      <c r="T3181" s="4" t="s">
        <v>5575</v>
      </c>
    </row>
    <row r="3182" spans="1:20" x14ac:dyDescent="0.2">
      <c r="A3182" s="4" t="s">
        <v>4793</v>
      </c>
      <c r="B3182" s="4" t="s">
        <v>4798</v>
      </c>
      <c r="C3182" s="4" t="s">
        <v>2096</v>
      </c>
      <c r="D3182" s="4" t="s">
        <v>4764</v>
      </c>
      <c r="E3182" s="4" t="s">
        <v>5576</v>
      </c>
      <c r="F3182" s="4" t="s">
        <v>5573</v>
      </c>
      <c r="G3182" s="4" t="s">
        <v>4981</v>
      </c>
      <c r="H3182" s="4" t="s">
        <v>5103</v>
      </c>
      <c r="I3182" s="4" t="s">
        <v>5574</v>
      </c>
      <c r="J3182" s="4" t="s">
        <v>2153</v>
      </c>
      <c r="K3182">
        <v>11</v>
      </c>
      <c r="L3182">
        <v>3.3</v>
      </c>
      <c r="M3182">
        <v>19</v>
      </c>
      <c r="N3182">
        <v>140</v>
      </c>
      <c r="O3182">
        <v>129.92125984251967</v>
      </c>
      <c r="P3182">
        <v>0.74803149606299213</v>
      </c>
      <c r="Q3182">
        <v>5.5118110236220472</v>
      </c>
      <c r="R3182">
        <v>1233.3979999999999</v>
      </c>
      <c r="S3182">
        <v>8.7779999999999993E-3</v>
      </c>
      <c r="T3182" s="4" t="s">
        <v>5575</v>
      </c>
    </row>
    <row r="3183" spans="1:20" x14ac:dyDescent="0.2">
      <c r="A3183" s="4" t="s">
        <v>4793</v>
      </c>
      <c r="B3183" s="4" t="s">
        <v>4798</v>
      </c>
      <c r="C3183" s="4" t="s">
        <v>2096</v>
      </c>
      <c r="D3183" s="4" t="s">
        <v>4764</v>
      </c>
      <c r="E3183" s="4" t="s">
        <v>5577</v>
      </c>
      <c r="F3183" s="4" t="s">
        <v>5573</v>
      </c>
      <c r="G3183" s="4" t="s">
        <v>4981</v>
      </c>
      <c r="H3183" s="4" t="s">
        <v>5103</v>
      </c>
      <c r="I3183" s="4" t="s">
        <v>5574</v>
      </c>
      <c r="J3183" s="4" t="s">
        <v>2153</v>
      </c>
      <c r="K3183">
        <v>12</v>
      </c>
      <c r="L3183">
        <v>3.6</v>
      </c>
      <c r="M3183">
        <v>19</v>
      </c>
      <c r="N3183">
        <v>140</v>
      </c>
      <c r="O3183">
        <v>141.73228346456693</v>
      </c>
      <c r="P3183">
        <v>0.74803149606299213</v>
      </c>
      <c r="Q3183">
        <v>5.5118110236220472</v>
      </c>
      <c r="R3183">
        <v>1233.3979999999999</v>
      </c>
      <c r="S3183">
        <v>9.5760000000000012E-3</v>
      </c>
      <c r="T3183" s="4" t="s">
        <v>5575</v>
      </c>
    </row>
    <row r="3184" spans="1:20" x14ac:dyDescent="0.2">
      <c r="A3184" s="4" t="s">
        <v>4793</v>
      </c>
      <c r="B3184" s="4" t="s">
        <v>4798</v>
      </c>
      <c r="C3184" s="4" t="s">
        <v>2096</v>
      </c>
      <c r="D3184" s="4" t="s">
        <v>4764</v>
      </c>
      <c r="E3184" s="4" t="s">
        <v>5578</v>
      </c>
      <c r="F3184" s="4" t="s">
        <v>5573</v>
      </c>
      <c r="G3184" s="4" t="s">
        <v>4981</v>
      </c>
      <c r="H3184" s="4" t="s">
        <v>5103</v>
      </c>
      <c r="I3184" s="4" t="s">
        <v>5574</v>
      </c>
      <c r="J3184" s="4" t="s">
        <v>2153</v>
      </c>
      <c r="K3184">
        <v>13</v>
      </c>
      <c r="L3184">
        <v>3.9</v>
      </c>
      <c r="M3184">
        <v>19</v>
      </c>
      <c r="N3184">
        <v>140</v>
      </c>
      <c r="O3184">
        <v>153.54330708661416</v>
      </c>
      <c r="P3184">
        <v>0.74803149606299213</v>
      </c>
      <c r="Q3184">
        <v>5.5118110236220472</v>
      </c>
      <c r="R3184">
        <v>1233.3979999999999</v>
      </c>
      <c r="S3184">
        <v>1.0374000000000001E-2</v>
      </c>
      <c r="T3184" s="4" t="s">
        <v>5575</v>
      </c>
    </row>
    <row r="3185" spans="1:20" x14ac:dyDescent="0.2">
      <c r="A3185" s="4" t="s">
        <v>4793</v>
      </c>
      <c r="B3185" s="4" t="s">
        <v>4798</v>
      </c>
      <c r="C3185" s="4" t="s">
        <v>2096</v>
      </c>
      <c r="D3185" s="4" t="s">
        <v>4764</v>
      </c>
      <c r="E3185" s="4" t="s">
        <v>5579</v>
      </c>
      <c r="F3185" s="4" t="s">
        <v>5573</v>
      </c>
      <c r="G3185" s="4" t="s">
        <v>4981</v>
      </c>
      <c r="H3185" s="4" t="s">
        <v>5103</v>
      </c>
      <c r="I3185" s="4" t="s">
        <v>5574</v>
      </c>
      <c r="J3185" s="4" t="s">
        <v>2153</v>
      </c>
      <c r="K3185">
        <v>14</v>
      </c>
      <c r="L3185">
        <v>4.2</v>
      </c>
      <c r="M3185">
        <v>19</v>
      </c>
      <c r="N3185">
        <v>140</v>
      </c>
      <c r="O3185">
        <v>165.35433070866142</v>
      </c>
      <c r="P3185">
        <v>0.74803149606299213</v>
      </c>
      <c r="Q3185">
        <v>5.5118110236220472</v>
      </c>
      <c r="R3185">
        <v>1233.3979999999999</v>
      </c>
      <c r="S3185">
        <v>1.1172E-2</v>
      </c>
      <c r="T3185" s="4" t="s">
        <v>5575</v>
      </c>
    </row>
    <row r="3186" spans="1:20" x14ac:dyDescent="0.2">
      <c r="A3186" s="4" t="s">
        <v>4793</v>
      </c>
      <c r="B3186" s="4" t="s">
        <v>4798</v>
      </c>
      <c r="C3186" s="4" t="s">
        <v>2096</v>
      </c>
      <c r="D3186" s="4" t="s">
        <v>4764</v>
      </c>
      <c r="E3186" s="4" t="s">
        <v>5580</v>
      </c>
      <c r="F3186" s="4" t="s">
        <v>5573</v>
      </c>
      <c r="G3186" s="4" t="s">
        <v>4981</v>
      </c>
      <c r="H3186" s="4" t="s">
        <v>5103</v>
      </c>
      <c r="I3186" s="4" t="s">
        <v>5574</v>
      </c>
      <c r="J3186" s="4" t="s">
        <v>2153</v>
      </c>
      <c r="K3186">
        <v>15</v>
      </c>
      <c r="L3186">
        <v>4.5</v>
      </c>
      <c r="M3186">
        <v>19</v>
      </c>
      <c r="N3186">
        <v>140</v>
      </c>
      <c r="O3186">
        <v>177.16535433070868</v>
      </c>
      <c r="P3186">
        <v>0.74803149606299213</v>
      </c>
      <c r="Q3186">
        <v>5.5118110236220472</v>
      </c>
      <c r="R3186">
        <v>1233.3979999999999</v>
      </c>
      <c r="S3186">
        <v>1.1970000000000001E-2</v>
      </c>
      <c r="T3186" s="4" t="s">
        <v>5575</v>
      </c>
    </row>
    <row r="3187" spans="1:20" x14ac:dyDescent="0.2">
      <c r="A3187" s="4" t="s">
        <v>4793</v>
      </c>
      <c r="B3187" s="4" t="s">
        <v>4798</v>
      </c>
      <c r="C3187" s="4" t="s">
        <v>2096</v>
      </c>
      <c r="D3187" s="4" t="s">
        <v>4764</v>
      </c>
      <c r="E3187" s="4" t="s">
        <v>5581</v>
      </c>
      <c r="F3187" s="4" t="s">
        <v>5573</v>
      </c>
      <c r="G3187" s="4" t="s">
        <v>4981</v>
      </c>
      <c r="H3187" s="4" t="s">
        <v>5103</v>
      </c>
      <c r="I3187" s="4" t="s">
        <v>5574</v>
      </c>
      <c r="J3187" s="4" t="s">
        <v>2153</v>
      </c>
      <c r="K3187">
        <v>16</v>
      </c>
      <c r="L3187">
        <v>4.8</v>
      </c>
      <c r="M3187">
        <v>19</v>
      </c>
      <c r="N3187">
        <v>140</v>
      </c>
      <c r="O3187">
        <v>188.97637795275591</v>
      </c>
      <c r="P3187">
        <v>0.74803149606299213</v>
      </c>
      <c r="Q3187">
        <v>5.5118110236220472</v>
      </c>
      <c r="R3187">
        <v>1233.3979999999999</v>
      </c>
      <c r="S3187">
        <v>1.2768E-2</v>
      </c>
      <c r="T3187" s="4" t="s">
        <v>5575</v>
      </c>
    </row>
    <row r="3188" spans="1:20" x14ac:dyDescent="0.2">
      <c r="A3188" s="4" t="s">
        <v>4793</v>
      </c>
      <c r="B3188" s="4" t="s">
        <v>4798</v>
      </c>
      <c r="C3188" s="4" t="s">
        <v>2096</v>
      </c>
      <c r="D3188" s="4" t="s">
        <v>4764</v>
      </c>
      <c r="E3188" s="4" t="s">
        <v>5582</v>
      </c>
      <c r="F3188" s="4" t="s">
        <v>5573</v>
      </c>
      <c r="G3188" s="4" t="s">
        <v>4981</v>
      </c>
      <c r="H3188" s="4" t="s">
        <v>5103</v>
      </c>
      <c r="I3188" s="4" t="s">
        <v>5574</v>
      </c>
      <c r="J3188" s="4" t="s">
        <v>2153</v>
      </c>
      <c r="K3188">
        <v>17</v>
      </c>
      <c r="L3188">
        <v>5.0999999999999996</v>
      </c>
      <c r="M3188">
        <v>19</v>
      </c>
      <c r="N3188">
        <v>140</v>
      </c>
      <c r="O3188">
        <v>200.78740157480314</v>
      </c>
      <c r="P3188">
        <v>0.74803149606299213</v>
      </c>
      <c r="Q3188">
        <v>5.5118110236220472</v>
      </c>
      <c r="R3188">
        <v>1233.3979999999999</v>
      </c>
      <c r="S3188">
        <v>1.3565999999999998E-2</v>
      </c>
      <c r="T3188" s="4" t="s">
        <v>5575</v>
      </c>
    </row>
    <row r="3189" spans="1:20" x14ac:dyDescent="0.2">
      <c r="A3189" s="4" t="s">
        <v>4793</v>
      </c>
      <c r="B3189" s="4" t="s">
        <v>4798</v>
      </c>
      <c r="C3189" s="4" t="s">
        <v>2096</v>
      </c>
      <c r="D3189" s="4" t="s">
        <v>4764</v>
      </c>
      <c r="E3189" s="4" t="s">
        <v>5583</v>
      </c>
      <c r="F3189" s="4" t="s">
        <v>5573</v>
      </c>
      <c r="G3189" s="4" t="s">
        <v>4981</v>
      </c>
      <c r="H3189" s="4" t="s">
        <v>5103</v>
      </c>
      <c r="I3189" s="4" t="s">
        <v>5574</v>
      </c>
      <c r="J3189" s="4" t="s">
        <v>2153</v>
      </c>
      <c r="K3189">
        <v>18</v>
      </c>
      <c r="L3189">
        <v>5.4</v>
      </c>
      <c r="M3189">
        <v>19</v>
      </c>
      <c r="N3189">
        <v>140</v>
      </c>
      <c r="O3189">
        <v>212.59842519685043</v>
      </c>
      <c r="P3189">
        <v>0.74803149606299213</v>
      </c>
      <c r="Q3189">
        <v>5.5118110236220472</v>
      </c>
      <c r="R3189">
        <v>1233.3979999999999</v>
      </c>
      <c r="S3189">
        <v>1.4364E-2</v>
      </c>
      <c r="T3189" s="4" t="s">
        <v>5575</v>
      </c>
    </row>
    <row r="3190" spans="1:20" x14ac:dyDescent="0.2">
      <c r="A3190" s="4" t="s">
        <v>4793</v>
      </c>
      <c r="B3190" s="4" t="s">
        <v>4798</v>
      </c>
      <c r="C3190" s="4" t="s">
        <v>2286</v>
      </c>
      <c r="D3190" s="4" t="s">
        <v>4764</v>
      </c>
      <c r="E3190" s="4" t="s">
        <v>5584</v>
      </c>
      <c r="F3190" s="4" t="s">
        <v>5573</v>
      </c>
      <c r="G3190" s="4" t="s">
        <v>4981</v>
      </c>
      <c r="H3190" s="4" t="s">
        <v>5103</v>
      </c>
      <c r="I3190" s="4" t="s">
        <v>5574</v>
      </c>
      <c r="J3190" s="4" t="s">
        <v>2153</v>
      </c>
      <c r="K3190">
        <v>4</v>
      </c>
      <c r="L3190">
        <v>1.2</v>
      </c>
      <c r="M3190">
        <v>19</v>
      </c>
      <c r="N3190">
        <v>140</v>
      </c>
      <c r="O3190">
        <v>47.244094488188978</v>
      </c>
      <c r="P3190">
        <v>0.74803149606299213</v>
      </c>
      <c r="Q3190">
        <v>5.5118110236220472</v>
      </c>
      <c r="R3190">
        <v>1233.3979999999999</v>
      </c>
      <c r="S3190">
        <v>3.192E-3</v>
      </c>
      <c r="T3190" s="4" t="s">
        <v>5585</v>
      </c>
    </row>
    <row r="3191" spans="1:20" x14ac:dyDescent="0.2">
      <c r="A3191" s="4" t="s">
        <v>4793</v>
      </c>
      <c r="B3191" s="4" t="s">
        <v>4798</v>
      </c>
      <c r="C3191" s="4" t="s">
        <v>2286</v>
      </c>
      <c r="D3191" s="4" t="s">
        <v>4764</v>
      </c>
      <c r="E3191" s="4" t="s">
        <v>5586</v>
      </c>
      <c r="F3191" s="4" t="s">
        <v>5573</v>
      </c>
      <c r="G3191" s="4" t="s">
        <v>4981</v>
      </c>
      <c r="H3191" s="4" t="s">
        <v>5103</v>
      </c>
      <c r="I3191" s="4" t="s">
        <v>5574</v>
      </c>
      <c r="J3191" s="4" t="s">
        <v>2153</v>
      </c>
      <c r="K3191">
        <v>5</v>
      </c>
      <c r="L3191">
        <v>1.5</v>
      </c>
      <c r="M3191">
        <v>19</v>
      </c>
      <c r="N3191">
        <v>140</v>
      </c>
      <c r="O3191">
        <v>59.055118110236222</v>
      </c>
      <c r="P3191">
        <v>0.74803149606299213</v>
      </c>
      <c r="Q3191">
        <v>5.5118110236220472</v>
      </c>
      <c r="R3191">
        <v>1233.3979999999999</v>
      </c>
      <c r="S3191">
        <v>3.9900000000000005E-3</v>
      </c>
      <c r="T3191" s="4" t="s">
        <v>5585</v>
      </c>
    </row>
    <row r="3192" spans="1:20" x14ac:dyDescent="0.2">
      <c r="A3192" s="4" t="s">
        <v>4793</v>
      </c>
      <c r="B3192" s="4" t="s">
        <v>4798</v>
      </c>
      <c r="C3192" s="4" t="s">
        <v>2286</v>
      </c>
      <c r="D3192" s="4" t="s">
        <v>4764</v>
      </c>
      <c r="E3192" s="4" t="s">
        <v>5587</v>
      </c>
      <c r="F3192" s="4" t="s">
        <v>5573</v>
      </c>
      <c r="G3192" s="4" t="s">
        <v>4981</v>
      </c>
      <c r="H3192" s="4" t="s">
        <v>5103</v>
      </c>
      <c r="I3192" s="4" t="s">
        <v>5574</v>
      </c>
      <c r="J3192" s="4" t="s">
        <v>2153</v>
      </c>
      <c r="K3192">
        <v>6</v>
      </c>
      <c r="L3192">
        <v>1.8</v>
      </c>
      <c r="M3192">
        <v>19</v>
      </c>
      <c r="N3192">
        <v>140</v>
      </c>
      <c r="O3192">
        <v>70.866141732283467</v>
      </c>
      <c r="P3192">
        <v>0.74803149606299213</v>
      </c>
      <c r="Q3192">
        <v>5.5118110236220472</v>
      </c>
      <c r="R3192">
        <v>1233.3979999999999</v>
      </c>
      <c r="S3192">
        <v>4.7880000000000006E-3</v>
      </c>
      <c r="T3192" s="4" t="s">
        <v>5585</v>
      </c>
    </row>
    <row r="3193" spans="1:20" x14ac:dyDescent="0.2">
      <c r="A3193" s="4" t="s">
        <v>4793</v>
      </c>
      <c r="B3193" s="4" t="s">
        <v>4798</v>
      </c>
      <c r="C3193" s="4" t="s">
        <v>2286</v>
      </c>
      <c r="D3193" s="4" t="s">
        <v>4764</v>
      </c>
      <c r="E3193" s="4" t="s">
        <v>5588</v>
      </c>
      <c r="F3193" s="4" t="s">
        <v>5573</v>
      </c>
      <c r="G3193" s="4" t="s">
        <v>4981</v>
      </c>
      <c r="H3193" s="4" t="s">
        <v>5103</v>
      </c>
      <c r="I3193" s="4" t="s">
        <v>5574</v>
      </c>
      <c r="J3193" s="4" t="s">
        <v>2153</v>
      </c>
      <c r="K3193">
        <v>7</v>
      </c>
      <c r="L3193">
        <v>2.1</v>
      </c>
      <c r="M3193">
        <v>19</v>
      </c>
      <c r="N3193">
        <v>140</v>
      </c>
      <c r="O3193">
        <v>82.677165354330711</v>
      </c>
      <c r="P3193">
        <v>0.74803149606299213</v>
      </c>
      <c r="Q3193">
        <v>5.5118110236220472</v>
      </c>
      <c r="R3193">
        <v>1233.3979999999999</v>
      </c>
      <c r="S3193">
        <v>5.5859999999999998E-3</v>
      </c>
      <c r="T3193" s="4" t="s">
        <v>5585</v>
      </c>
    </row>
    <row r="3194" spans="1:20" x14ac:dyDescent="0.2">
      <c r="A3194" s="4" t="s">
        <v>4793</v>
      </c>
      <c r="B3194" s="4" t="s">
        <v>4798</v>
      </c>
      <c r="C3194" s="4" t="s">
        <v>2096</v>
      </c>
      <c r="D3194" s="4" t="s">
        <v>4764</v>
      </c>
      <c r="E3194" s="4" t="s">
        <v>5589</v>
      </c>
      <c r="F3194" s="4" t="s">
        <v>5573</v>
      </c>
      <c r="G3194" s="4" t="s">
        <v>4981</v>
      </c>
      <c r="H3194" s="4" t="s">
        <v>5103</v>
      </c>
      <c r="I3194" s="4" t="s">
        <v>5574</v>
      </c>
      <c r="J3194" s="4" t="s">
        <v>2153</v>
      </c>
      <c r="K3194">
        <v>8</v>
      </c>
      <c r="L3194">
        <v>2.4</v>
      </c>
      <c r="M3194">
        <v>19</v>
      </c>
      <c r="N3194">
        <v>140</v>
      </c>
      <c r="O3194">
        <v>94.488188976377955</v>
      </c>
      <c r="P3194">
        <v>0.74803149606299213</v>
      </c>
      <c r="Q3194">
        <v>5.5118110236220472</v>
      </c>
      <c r="R3194">
        <v>1233.3979999999999</v>
      </c>
      <c r="S3194">
        <v>6.3839999999999999E-3</v>
      </c>
      <c r="T3194" s="4" t="s">
        <v>5575</v>
      </c>
    </row>
    <row r="3195" spans="1:20" x14ac:dyDescent="0.2">
      <c r="A3195" s="4" t="s">
        <v>4793</v>
      </c>
      <c r="B3195" s="4" t="s">
        <v>4798</v>
      </c>
      <c r="C3195" s="4" t="s">
        <v>2096</v>
      </c>
      <c r="D3195" s="4" t="s">
        <v>4764</v>
      </c>
      <c r="E3195" s="4" t="s">
        <v>5590</v>
      </c>
      <c r="F3195" s="4" t="s">
        <v>5573</v>
      </c>
      <c r="G3195" s="4" t="s">
        <v>4981</v>
      </c>
      <c r="H3195" s="4" t="s">
        <v>5103</v>
      </c>
      <c r="I3195" s="4" t="s">
        <v>5574</v>
      </c>
      <c r="J3195" s="4" t="s">
        <v>2153</v>
      </c>
      <c r="K3195">
        <v>9</v>
      </c>
      <c r="L3195">
        <v>2.7</v>
      </c>
      <c r="M3195">
        <v>19</v>
      </c>
      <c r="N3195">
        <v>140</v>
      </c>
      <c r="O3195">
        <v>106.29921259842521</v>
      </c>
      <c r="P3195">
        <v>0.74803149606299213</v>
      </c>
      <c r="Q3195">
        <v>5.5118110236220472</v>
      </c>
      <c r="R3195">
        <v>1233.3979999999999</v>
      </c>
      <c r="S3195">
        <v>7.182E-3</v>
      </c>
      <c r="T3195" s="4" t="s">
        <v>5575</v>
      </c>
    </row>
    <row r="3196" spans="1:20" x14ac:dyDescent="0.2">
      <c r="A3196" s="4" t="s">
        <v>5591</v>
      </c>
      <c r="B3196" s="4" t="s">
        <v>5592</v>
      </c>
      <c r="C3196" s="4" t="s">
        <v>2096</v>
      </c>
      <c r="D3196" s="4" t="s">
        <v>4764</v>
      </c>
      <c r="E3196" s="4" t="s">
        <v>5593</v>
      </c>
      <c r="F3196" s="4" t="s">
        <v>5594</v>
      </c>
      <c r="G3196" s="4" t="s">
        <v>5595</v>
      </c>
      <c r="H3196" s="4" t="s">
        <v>5596</v>
      </c>
      <c r="I3196" s="4" t="s">
        <v>5597</v>
      </c>
      <c r="J3196" s="4" t="s">
        <v>5598</v>
      </c>
      <c r="K3196">
        <v>10</v>
      </c>
      <c r="L3196">
        <v>3</v>
      </c>
      <c r="M3196">
        <v>19</v>
      </c>
      <c r="N3196">
        <v>115</v>
      </c>
      <c r="O3196">
        <v>118.11023622047244</v>
      </c>
      <c r="P3196">
        <v>0.74803149606299213</v>
      </c>
      <c r="Q3196">
        <v>4.5275590551181102</v>
      </c>
      <c r="R3196">
        <v>1501.529</v>
      </c>
      <c r="S3196">
        <v>6.5550000000000009E-3</v>
      </c>
      <c r="T3196" s="4" t="s">
        <v>5599</v>
      </c>
    </row>
    <row r="3197" spans="1:20" x14ac:dyDescent="0.2">
      <c r="A3197" s="4" t="s">
        <v>5591</v>
      </c>
      <c r="B3197" s="4" t="s">
        <v>5592</v>
      </c>
      <c r="C3197" s="4" t="s">
        <v>2096</v>
      </c>
      <c r="D3197" s="4" t="s">
        <v>4764</v>
      </c>
      <c r="E3197" s="4" t="s">
        <v>5600</v>
      </c>
      <c r="F3197" s="4" t="s">
        <v>5594</v>
      </c>
      <c r="G3197" s="4" t="s">
        <v>5595</v>
      </c>
      <c r="H3197" s="4" t="s">
        <v>5596</v>
      </c>
      <c r="I3197" s="4" t="s">
        <v>5597</v>
      </c>
      <c r="J3197" s="4" t="s">
        <v>5598</v>
      </c>
      <c r="K3197">
        <v>11</v>
      </c>
      <c r="L3197">
        <v>3.3</v>
      </c>
      <c r="M3197">
        <v>19</v>
      </c>
      <c r="N3197">
        <v>115</v>
      </c>
      <c r="O3197">
        <v>129.92125984251967</v>
      </c>
      <c r="P3197">
        <v>0.74803149606299213</v>
      </c>
      <c r="Q3197">
        <v>4.5275590551181102</v>
      </c>
      <c r="R3197">
        <v>1501.529</v>
      </c>
      <c r="S3197">
        <v>7.210499999999999E-3</v>
      </c>
      <c r="T3197" s="4" t="s">
        <v>5599</v>
      </c>
    </row>
    <row r="3198" spans="1:20" x14ac:dyDescent="0.2">
      <c r="A3198" s="4" t="s">
        <v>5591</v>
      </c>
      <c r="B3198" s="4" t="s">
        <v>5592</v>
      </c>
      <c r="C3198" s="4" t="s">
        <v>2096</v>
      </c>
      <c r="D3198" s="4" t="s">
        <v>4764</v>
      </c>
      <c r="E3198" s="4" t="s">
        <v>5601</v>
      </c>
      <c r="F3198" s="4" t="s">
        <v>5594</v>
      </c>
      <c r="G3198" s="4" t="s">
        <v>5595</v>
      </c>
      <c r="H3198" s="4" t="s">
        <v>5596</v>
      </c>
      <c r="I3198" s="4" t="s">
        <v>5597</v>
      </c>
      <c r="J3198" s="4" t="s">
        <v>5598</v>
      </c>
      <c r="K3198">
        <v>12</v>
      </c>
      <c r="L3198">
        <v>3.6</v>
      </c>
      <c r="M3198">
        <v>19</v>
      </c>
      <c r="N3198">
        <v>115</v>
      </c>
      <c r="O3198">
        <v>141.73228346456693</v>
      </c>
      <c r="P3198">
        <v>0.74803149606299213</v>
      </c>
      <c r="Q3198">
        <v>4.5275590551181102</v>
      </c>
      <c r="R3198">
        <v>1501.529</v>
      </c>
      <c r="S3198">
        <v>7.8659999999999997E-3</v>
      </c>
      <c r="T3198" s="4" t="s">
        <v>5599</v>
      </c>
    </row>
    <row r="3199" spans="1:20" x14ac:dyDescent="0.2">
      <c r="A3199" s="4" t="s">
        <v>5591</v>
      </c>
      <c r="B3199" s="4" t="s">
        <v>5592</v>
      </c>
      <c r="C3199" s="4" t="s">
        <v>2096</v>
      </c>
      <c r="D3199" s="4" t="s">
        <v>4764</v>
      </c>
      <c r="E3199" s="4" t="s">
        <v>5602</v>
      </c>
      <c r="F3199" s="4" t="s">
        <v>5594</v>
      </c>
      <c r="G3199" s="4" t="s">
        <v>5595</v>
      </c>
      <c r="H3199" s="4" t="s">
        <v>5596</v>
      </c>
      <c r="I3199" s="4" t="s">
        <v>5597</v>
      </c>
      <c r="J3199" s="4" t="s">
        <v>5598</v>
      </c>
      <c r="K3199">
        <v>13</v>
      </c>
      <c r="L3199">
        <v>3.9</v>
      </c>
      <c r="M3199">
        <v>19</v>
      </c>
      <c r="N3199">
        <v>115</v>
      </c>
      <c r="O3199">
        <v>153.54330708661416</v>
      </c>
      <c r="P3199">
        <v>0.74803149606299213</v>
      </c>
      <c r="Q3199">
        <v>4.5275590551181102</v>
      </c>
      <c r="R3199">
        <v>1501.529</v>
      </c>
      <c r="S3199">
        <v>8.5214999999999996E-3</v>
      </c>
      <c r="T3199" s="4" t="s">
        <v>5599</v>
      </c>
    </row>
    <row r="3200" spans="1:20" x14ac:dyDescent="0.2">
      <c r="A3200" s="4" t="s">
        <v>5591</v>
      </c>
      <c r="B3200" s="4" t="s">
        <v>5592</v>
      </c>
      <c r="C3200" s="4" t="s">
        <v>2096</v>
      </c>
      <c r="D3200" s="4" t="s">
        <v>4764</v>
      </c>
      <c r="E3200" s="4" t="s">
        <v>5603</v>
      </c>
      <c r="F3200" s="4" t="s">
        <v>5594</v>
      </c>
      <c r="G3200" s="4" t="s">
        <v>5595</v>
      </c>
      <c r="H3200" s="4" t="s">
        <v>5596</v>
      </c>
      <c r="I3200" s="4" t="s">
        <v>5597</v>
      </c>
      <c r="J3200" s="4" t="s">
        <v>5598</v>
      </c>
      <c r="K3200">
        <v>14</v>
      </c>
      <c r="L3200">
        <v>4.2</v>
      </c>
      <c r="M3200">
        <v>19</v>
      </c>
      <c r="N3200">
        <v>115</v>
      </c>
      <c r="O3200">
        <v>165.35433070866142</v>
      </c>
      <c r="P3200">
        <v>0.74803149606299213</v>
      </c>
      <c r="Q3200">
        <v>4.5275590551181102</v>
      </c>
      <c r="R3200">
        <v>1501.529</v>
      </c>
      <c r="S3200">
        <v>9.1769999999999994E-3</v>
      </c>
      <c r="T3200" s="4" t="s">
        <v>5599</v>
      </c>
    </row>
    <row r="3201" spans="1:20" x14ac:dyDescent="0.2">
      <c r="A3201" s="4" t="s">
        <v>5591</v>
      </c>
      <c r="B3201" s="4" t="s">
        <v>5592</v>
      </c>
      <c r="C3201" s="4" t="s">
        <v>2096</v>
      </c>
      <c r="D3201" s="4" t="s">
        <v>4764</v>
      </c>
      <c r="E3201" s="4" t="s">
        <v>5604</v>
      </c>
      <c r="F3201" s="4" t="s">
        <v>5594</v>
      </c>
      <c r="G3201" s="4" t="s">
        <v>5595</v>
      </c>
      <c r="H3201" s="4" t="s">
        <v>5596</v>
      </c>
      <c r="I3201" s="4" t="s">
        <v>5597</v>
      </c>
      <c r="J3201" s="4" t="s">
        <v>5598</v>
      </c>
      <c r="K3201">
        <v>15</v>
      </c>
      <c r="L3201">
        <v>4.5</v>
      </c>
      <c r="M3201">
        <v>19</v>
      </c>
      <c r="N3201">
        <v>115</v>
      </c>
      <c r="O3201">
        <v>177.16535433070868</v>
      </c>
      <c r="P3201">
        <v>0.74803149606299213</v>
      </c>
      <c r="Q3201">
        <v>4.5275590551181102</v>
      </c>
      <c r="R3201">
        <v>1501.529</v>
      </c>
      <c r="S3201">
        <v>9.832500000000001E-3</v>
      </c>
      <c r="T3201" s="4" t="s">
        <v>5599</v>
      </c>
    </row>
    <row r="3202" spans="1:20" x14ac:dyDescent="0.2">
      <c r="A3202" s="4" t="s">
        <v>5591</v>
      </c>
      <c r="B3202" s="4" t="s">
        <v>5592</v>
      </c>
      <c r="C3202" s="4" t="s">
        <v>2096</v>
      </c>
      <c r="D3202" s="4" t="s">
        <v>4764</v>
      </c>
      <c r="E3202" s="4" t="s">
        <v>5605</v>
      </c>
      <c r="F3202" s="4" t="s">
        <v>5594</v>
      </c>
      <c r="G3202" s="4" t="s">
        <v>5595</v>
      </c>
      <c r="H3202" s="4" t="s">
        <v>5596</v>
      </c>
      <c r="I3202" s="4" t="s">
        <v>5597</v>
      </c>
      <c r="J3202" s="4" t="s">
        <v>5598</v>
      </c>
      <c r="K3202">
        <v>16</v>
      </c>
      <c r="L3202">
        <v>4.8</v>
      </c>
      <c r="M3202">
        <v>19</v>
      </c>
      <c r="N3202">
        <v>115</v>
      </c>
      <c r="O3202">
        <v>188.97637795275591</v>
      </c>
      <c r="P3202">
        <v>0.74803149606299213</v>
      </c>
      <c r="Q3202">
        <v>4.5275590551181102</v>
      </c>
      <c r="R3202">
        <v>1501.529</v>
      </c>
      <c r="S3202">
        <v>1.0487999999999999E-2</v>
      </c>
      <c r="T3202" s="4" t="s">
        <v>5599</v>
      </c>
    </row>
    <row r="3203" spans="1:20" x14ac:dyDescent="0.2">
      <c r="A3203" s="4" t="s">
        <v>5591</v>
      </c>
      <c r="B3203" s="4" t="s">
        <v>5592</v>
      </c>
      <c r="C3203" s="4" t="s">
        <v>2096</v>
      </c>
      <c r="D3203" s="4" t="s">
        <v>4764</v>
      </c>
      <c r="E3203" s="4" t="s">
        <v>5606</v>
      </c>
      <c r="F3203" s="4" t="s">
        <v>5594</v>
      </c>
      <c r="G3203" s="4" t="s">
        <v>5595</v>
      </c>
      <c r="H3203" s="4" t="s">
        <v>5596</v>
      </c>
      <c r="I3203" s="4" t="s">
        <v>5597</v>
      </c>
      <c r="J3203" s="4" t="s">
        <v>5598</v>
      </c>
      <c r="K3203">
        <v>17</v>
      </c>
      <c r="L3203">
        <v>5.0999999999999996</v>
      </c>
      <c r="M3203">
        <v>19</v>
      </c>
      <c r="N3203">
        <v>115</v>
      </c>
      <c r="O3203">
        <v>200.78740157480314</v>
      </c>
      <c r="P3203">
        <v>0.74803149606299213</v>
      </c>
      <c r="Q3203">
        <v>4.5275590551181102</v>
      </c>
      <c r="R3203">
        <v>1501.529</v>
      </c>
      <c r="S3203">
        <v>1.1143499999999997E-2</v>
      </c>
      <c r="T3203" s="4" t="s">
        <v>5599</v>
      </c>
    </row>
    <row r="3204" spans="1:20" x14ac:dyDescent="0.2">
      <c r="A3204" s="4" t="s">
        <v>5591</v>
      </c>
      <c r="B3204" s="4" t="s">
        <v>5592</v>
      </c>
      <c r="C3204" s="4" t="s">
        <v>2096</v>
      </c>
      <c r="D3204" s="4" t="s">
        <v>4764</v>
      </c>
      <c r="E3204" s="4" t="s">
        <v>5607</v>
      </c>
      <c r="F3204" s="4" t="s">
        <v>5594</v>
      </c>
      <c r="G3204" s="4" t="s">
        <v>5595</v>
      </c>
      <c r="H3204" s="4" t="s">
        <v>5596</v>
      </c>
      <c r="I3204" s="4" t="s">
        <v>5597</v>
      </c>
      <c r="J3204" s="4" t="s">
        <v>5598</v>
      </c>
      <c r="K3204">
        <v>18</v>
      </c>
      <c r="L3204">
        <v>5.4</v>
      </c>
      <c r="M3204">
        <v>19</v>
      </c>
      <c r="N3204">
        <v>115</v>
      </c>
      <c r="O3204">
        <v>212.59842519685043</v>
      </c>
      <c r="P3204">
        <v>0.74803149606299213</v>
      </c>
      <c r="Q3204">
        <v>4.5275590551181102</v>
      </c>
      <c r="R3204">
        <v>1501.529</v>
      </c>
      <c r="S3204">
        <v>1.1799E-2</v>
      </c>
      <c r="T3204" s="4" t="s">
        <v>5599</v>
      </c>
    </row>
    <row r="3205" spans="1:20" x14ac:dyDescent="0.2">
      <c r="A3205" s="4" t="s">
        <v>5591</v>
      </c>
      <c r="B3205" s="4" t="s">
        <v>5592</v>
      </c>
      <c r="C3205" s="4" t="s">
        <v>2286</v>
      </c>
      <c r="D3205" s="4" t="s">
        <v>4764</v>
      </c>
      <c r="E3205" s="4" t="s">
        <v>5608</v>
      </c>
      <c r="F3205" s="4" t="s">
        <v>5594</v>
      </c>
      <c r="G3205" s="4" t="s">
        <v>5595</v>
      </c>
      <c r="H3205" s="4" t="s">
        <v>5596</v>
      </c>
      <c r="I3205" s="4" t="s">
        <v>5597</v>
      </c>
      <c r="J3205" s="4" t="s">
        <v>5598</v>
      </c>
      <c r="K3205">
        <v>4</v>
      </c>
      <c r="L3205">
        <v>1.2</v>
      </c>
      <c r="M3205">
        <v>19</v>
      </c>
      <c r="N3205">
        <v>115</v>
      </c>
      <c r="O3205">
        <v>47.244094488188978</v>
      </c>
      <c r="P3205">
        <v>0.74803149606299213</v>
      </c>
      <c r="Q3205">
        <v>4.5275590551181102</v>
      </c>
      <c r="R3205">
        <v>1501.529</v>
      </c>
      <c r="S3205">
        <v>2.6219999999999998E-3</v>
      </c>
      <c r="T3205" s="4" t="s">
        <v>5609</v>
      </c>
    </row>
    <row r="3206" spans="1:20" x14ac:dyDescent="0.2">
      <c r="A3206" s="4" t="s">
        <v>5591</v>
      </c>
      <c r="B3206" s="4" t="s">
        <v>5592</v>
      </c>
      <c r="C3206" s="4" t="s">
        <v>2286</v>
      </c>
      <c r="D3206" s="4" t="s">
        <v>4764</v>
      </c>
      <c r="E3206" s="4" t="s">
        <v>5610</v>
      </c>
      <c r="F3206" s="4" t="s">
        <v>5594</v>
      </c>
      <c r="G3206" s="4" t="s">
        <v>5595</v>
      </c>
      <c r="H3206" s="4" t="s">
        <v>5596</v>
      </c>
      <c r="I3206" s="4" t="s">
        <v>5597</v>
      </c>
      <c r="J3206" s="4" t="s">
        <v>5598</v>
      </c>
      <c r="K3206">
        <v>5</v>
      </c>
      <c r="L3206">
        <v>1.5</v>
      </c>
      <c r="M3206">
        <v>19</v>
      </c>
      <c r="N3206">
        <v>115</v>
      </c>
      <c r="O3206">
        <v>59.055118110236222</v>
      </c>
      <c r="P3206">
        <v>0.74803149606299213</v>
      </c>
      <c r="Q3206">
        <v>4.5275590551181102</v>
      </c>
      <c r="R3206">
        <v>1501.529</v>
      </c>
      <c r="S3206">
        <v>3.2775000000000005E-3</v>
      </c>
      <c r="T3206" s="4" t="s">
        <v>5609</v>
      </c>
    </row>
    <row r="3207" spans="1:20" x14ac:dyDescent="0.2">
      <c r="A3207" s="4" t="s">
        <v>5591</v>
      </c>
      <c r="B3207" s="4" t="s">
        <v>5592</v>
      </c>
      <c r="C3207" s="4" t="s">
        <v>2286</v>
      </c>
      <c r="D3207" s="4" t="s">
        <v>4764</v>
      </c>
      <c r="E3207" s="4" t="s">
        <v>5611</v>
      </c>
      <c r="F3207" s="4" t="s">
        <v>5594</v>
      </c>
      <c r="G3207" s="4" t="s">
        <v>5595</v>
      </c>
      <c r="H3207" s="4" t="s">
        <v>5596</v>
      </c>
      <c r="I3207" s="4" t="s">
        <v>5597</v>
      </c>
      <c r="J3207" s="4" t="s">
        <v>5598</v>
      </c>
      <c r="K3207">
        <v>6</v>
      </c>
      <c r="L3207">
        <v>1.8</v>
      </c>
      <c r="M3207">
        <v>19</v>
      </c>
      <c r="N3207">
        <v>115</v>
      </c>
      <c r="O3207">
        <v>70.866141732283467</v>
      </c>
      <c r="P3207">
        <v>0.74803149606299213</v>
      </c>
      <c r="Q3207">
        <v>4.5275590551181102</v>
      </c>
      <c r="R3207">
        <v>1501.529</v>
      </c>
      <c r="S3207">
        <v>3.9329999999999999E-3</v>
      </c>
      <c r="T3207" s="4" t="s">
        <v>5609</v>
      </c>
    </row>
    <row r="3208" spans="1:20" x14ac:dyDescent="0.2">
      <c r="A3208" s="4" t="s">
        <v>5591</v>
      </c>
      <c r="B3208" s="4" t="s">
        <v>5592</v>
      </c>
      <c r="C3208" s="4" t="s">
        <v>2286</v>
      </c>
      <c r="D3208" s="4" t="s">
        <v>4764</v>
      </c>
      <c r="E3208" s="4" t="s">
        <v>5612</v>
      </c>
      <c r="F3208" s="4" t="s">
        <v>5594</v>
      </c>
      <c r="G3208" s="4" t="s">
        <v>5595</v>
      </c>
      <c r="H3208" s="4" t="s">
        <v>5596</v>
      </c>
      <c r="I3208" s="4" t="s">
        <v>5597</v>
      </c>
      <c r="J3208" s="4" t="s">
        <v>5598</v>
      </c>
      <c r="K3208">
        <v>7</v>
      </c>
      <c r="L3208">
        <v>2.1</v>
      </c>
      <c r="M3208">
        <v>19</v>
      </c>
      <c r="N3208">
        <v>115</v>
      </c>
      <c r="O3208">
        <v>82.677165354330711</v>
      </c>
      <c r="P3208">
        <v>0.74803149606299213</v>
      </c>
      <c r="Q3208">
        <v>4.5275590551181102</v>
      </c>
      <c r="R3208">
        <v>1501.529</v>
      </c>
      <c r="S3208">
        <v>4.5884999999999997E-3</v>
      </c>
      <c r="T3208" s="4" t="s">
        <v>5609</v>
      </c>
    </row>
    <row r="3209" spans="1:20" x14ac:dyDescent="0.2">
      <c r="A3209" s="4" t="s">
        <v>5591</v>
      </c>
      <c r="B3209" s="4" t="s">
        <v>5592</v>
      </c>
      <c r="C3209" s="4" t="s">
        <v>2096</v>
      </c>
      <c r="D3209" s="4" t="s">
        <v>4764</v>
      </c>
      <c r="E3209" s="4" t="s">
        <v>5613</v>
      </c>
      <c r="F3209" s="4" t="s">
        <v>5594</v>
      </c>
      <c r="G3209" s="4" t="s">
        <v>5595</v>
      </c>
      <c r="H3209" s="4" t="s">
        <v>5596</v>
      </c>
      <c r="I3209" s="4" t="s">
        <v>5597</v>
      </c>
      <c r="J3209" s="4" t="s">
        <v>5598</v>
      </c>
      <c r="K3209">
        <v>8</v>
      </c>
      <c r="L3209">
        <v>2.4</v>
      </c>
      <c r="M3209">
        <v>19</v>
      </c>
      <c r="N3209">
        <v>115</v>
      </c>
      <c r="O3209">
        <v>94.488188976377955</v>
      </c>
      <c r="P3209">
        <v>0.74803149606299213</v>
      </c>
      <c r="Q3209">
        <v>4.5275590551181102</v>
      </c>
      <c r="R3209">
        <v>1501.529</v>
      </c>
      <c r="S3209">
        <v>5.2439999999999995E-3</v>
      </c>
      <c r="T3209" s="4" t="s">
        <v>5599</v>
      </c>
    </row>
    <row r="3210" spans="1:20" x14ac:dyDescent="0.2">
      <c r="A3210" s="4" t="s">
        <v>5591</v>
      </c>
      <c r="B3210" s="4" t="s">
        <v>5592</v>
      </c>
      <c r="C3210" s="4" t="s">
        <v>2096</v>
      </c>
      <c r="D3210" s="4" t="s">
        <v>4764</v>
      </c>
      <c r="E3210" s="4" t="s">
        <v>5614</v>
      </c>
      <c r="F3210" s="4" t="s">
        <v>5594</v>
      </c>
      <c r="G3210" s="4" t="s">
        <v>5595</v>
      </c>
      <c r="H3210" s="4" t="s">
        <v>5596</v>
      </c>
      <c r="I3210" s="4" t="s">
        <v>5597</v>
      </c>
      <c r="J3210" s="4" t="s">
        <v>5598</v>
      </c>
      <c r="K3210">
        <v>9</v>
      </c>
      <c r="L3210">
        <v>2.7</v>
      </c>
      <c r="M3210">
        <v>19</v>
      </c>
      <c r="N3210">
        <v>115</v>
      </c>
      <c r="O3210">
        <v>106.29921259842521</v>
      </c>
      <c r="P3210">
        <v>0.74803149606299213</v>
      </c>
      <c r="Q3210">
        <v>4.5275590551181102</v>
      </c>
      <c r="R3210">
        <v>1501.529</v>
      </c>
      <c r="S3210">
        <v>5.8995000000000002E-3</v>
      </c>
      <c r="T3210" s="4" t="s">
        <v>5599</v>
      </c>
    </row>
    <row r="3211" spans="1:20" x14ac:dyDescent="0.2">
      <c r="A3211" s="4" t="s">
        <v>5591</v>
      </c>
      <c r="B3211" s="4" t="s">
        <v>5615</v>
      </c>
      <c r="C3211" s="4" t="s">
        <v>2096</v>
      </c>
      <c r="D3211" s="4" t="s">
        <v>4764</v>
      </c>
      <c r="E3211" s="4" t="s">
        <v>1636</v>
      </c>
      <c r="F3211" s="4" t="s">
        <v>5616</v>
      </c>
      <c r="G3211" s="4" t="s">
        <v>5595</v>
      </c>
      <c r="H3211" s="4" t="s">
        <v>5596</v>
      </c>
      <c r="I3211" s="4" t="s">
        <v>5597</v>
      </c>
      <c r="J3211" s="4" t="s">
        <v>2153</v>
      </c>
      <c r="K3211">
        <v>10</v>
      </c>
      <c r="L3211">
        <v>3</v>
      </c>
      <c r="M3211">
        <v>19</v>
      </c>
      <c r="N3211">
        <v>138</v>
      </c>
      <c r="O3211">
        <v>118.11023622047244</v>
      </c>
      <c r="P3211">
        <v>0.74803149606299213</v>
      </c>
      <c r="Q3211">
        <v>5.4330708661417324</v>
      </c>
      <c r="R3211">
        <v>1251.2739999999999</v>
      </c>
      <c r="S3211">
        <v>7.8659999999999997E-3</v>
      </c>
      <c r="T3211" s="4" t="s">
        <v>5617</v>
      </c>
    </row>
    <row r="3212" spans="1:20" x14ac:dyDescent="0.2">
      <c r="A3212" s="4" t="s">
        <v>5591</v>
      </c>
      <c r="B3212" s="4" t="s">
        <v>5615</v>
      </c>
      <c r="C3212" s="4" t="s">
        <v>2096</v>
      </c>
      <c r="D3212" s="4" t="s">
        <v>4764</v>
      </c>
      <c r="E3212" s="4" t="s">
        <v>1638</v>
      </c>
      <c r="F3212" s="4" t="s">
        <v>5616</v>
      </c>
      <c r="G3212" s="4" t="s">
        <v>5595</v>
      </c>
      <c r="H3212" s="4" t="s">
        <v>5596</v>
      </c>
      <c r="I3212" s="4" t="s">
        <v>5597</v>
      </c>
      <c r="J3212" s="4" t="s">
        <v>2153</v>
      </c>
      <c r="K3212">
        <v>11</v>
      </c>
      <c r="L3212">
        <v>3.3</v>
      </c>
      <c r="M3212">
        <v>19</v>
      </c>
      <c r="N3212">
        <v>138</v>
      </c>
      <c r="O3212">
        <v>129.92125984251967</v>
      </c>
      <c r="P3212">
        <v>0.74803149606299213</v>
      </c>
      <c r="Q3212">
        <v>5.4330708661417324</v>
      </c>
      <c r="R3212">
        <v>1251.2739999999999</v>
      </c>
      <c r="S3212">
        <v>8.6525999999999999E-3</v>
      </c>
      <c r="T3212" s="4" t="s">
        <v>5617</v>
      </c>
    </row>
    <row r="3213" spans="1:20" x14ac:dyDescent="0.2">
      <c r="A3213" s="4" t="s">
        <v>5591</v>
      </c>
      <c r="B3213" s="4" t="s">
        <v>5615</v>
      </c>
      <c r="C3213" s="4" t="s">
        <v>2096</v>
      </c>
      <c r="D3213" s="4" t="s">
        <v>4764</v>
      </c>
      <c r="E3213" s="4" t="s">
        <v>1640</v>
      </c>
      <c r="F3213" s="4" t="s">
        <v>5616</v>
      </c>
      <c r="G3213" s="4" t="s">
        <v>5595</v>
      </c>
      <c r="H3213" s="4" t="s">
        <v>5596</v>
      </c>
      <c r="I3213" s="4" t="s">
        <v>5597</v>
      </c>
      <c r="J3213" s="4" t="s">
        <v>2153</v>
      </c>
      <c r="K3213">
        <v>12</v>
      </c>
      <c r="L3213">
        <v>3.6</v>
      </c>
      <c r="M3213">
        <v>19</v>
      </c>
      <c r="N3213">
        <v>138</v>
      </c>
      <c r="O3213">
        <v>141.73228346456693</v>
      </c>
      <c r="P3213">
        <v>0.74803149606299213</v>
      </c>
      <c r="Q3213">
        <v>5.4330708661417324</v>
      </c>
      <c r="R3213">
        <v>1251.2739999999999</v>
      </c>
      <c r="S3213">
        <v>9.4392E-3</v>
      </c>
      <c r="T3213" s="4" t="s">
        <v>5617</v>
      </c>
    </row>
    <row r="3214" spans="1:20" x14ac:dyDescent="0.2">
      <c r="A3214" s="4" t="s">
        <v>5591</v>
      </c>
      <c r="B3214" s="4" t="s">
        <v>5615</v>
      </c>
      <c r="C3214" s="4" t="s">
        <v>2096</v>
      </c>
      <c r="D3214" s="4" t="s">
        <v>4764</v>
      </c>
      <c r="E3214" s="4" t="s">
        <v>1642</v>
      </c>
      <c r="F3214" s="4" t="s">
        <v>5616</v>
      </c>
      <c r="G3214" s="4" t="s">
        <v>5595</v>
      </c>
      <c r="H3214" s="4" t="s">
        <v>5596</v>
      </c>
      <c r="I3214" s="4" t="s">
        <v>5597</v>
      </c>
      <c r="J3214" s="4" t="s">
        <v>2153</v>
      </c>
      <c r="K3214">
        <v>13</v>
      </c>
      <c r="L3214">
        <v>3.9</v>
      </c>
      <c r="M3214">
        <v>19</v>
      </c>
      <c r="N3214">
        <v>138</v>
      </c>
      <c r="O3214">
        <v>153.54330708661416</v>
      </c>
      <c r="P3214">
        <v>0.74803149606299213</v>
      </c>
      <c r="Q3214">
        <v>5.4330708661417324</v>
      </c>
      <c r="R3214">
        <v>1251.2739999999999</v>
      </c>
      <c r="S3214">
        <v>1.02258E-2</v>
      </c>
      <c r="T3214" s="4" t="s">
        <v>5617</v>
      </c>
    </row>
    <row r="3215" spans="1:20" x14ac:dyDescent="0.2">
      <c r="A3215" s="4" t="s">
        <v>5591</v>
      </c>
      <c r="B3215" s="4" t="s">
        <v>5615</v>
      </c>
      <c r="C3215" s="4" t="s">
        <v>2096</v>
      </c>
      <c r="D3215" s="4" t="s">
        <v>4764</v>
      </c>
      <c r="E3215" s="4" t="s">
        <v>1644</v>
      </c>
      <c r="F3215" s="4" t="s">
        <v>5616</v>
      </c>
      <c r="G3215" s="4" t="s">
        <v>5595</v>
      </c>
      <c r="H3215" s="4" t="s">
        <v>5596</v>
      </c>
      <c r="I3215" s="4" t="s">
        <v>5597</v>
      </c>
      <c r="J3215" s="4" t="s">
        <v>2153</v>
      </c>
      <c r="K3215">
        <v>14</v>
      </c>
      <c r="L3215">
        <v>4.2</v>
      </c>
      <c r="M3215">
        <v>19</v>
      </c>
      <c r="N3215">
        <v>138</v>
      </c>
      <c r="O3215">
        <v>165.35433070866142</v>
      </c>
      <c r="P3215">
        <v>0.74803149606299213</v>
      </c>
      <c r="Q3215">
        <v>5.4330708661417324</v>
      </c>
      <c r="R3215">
        <v>1251.2739999999999</v>
      </c>
      <c r="S3215">
        <v>1.10124E-2</v>
      </c>
      <c r="T3215" s="4" t="s">
        <v>5617</v>
      </c>
    </row>
    <row r="3216" spans="1:20" x14ac:dyDescent="0.2">
      <c r="A3216" s="4" t="s">
        <v>5591</v>
      </c>
      <c r="B3216" s="4" t="s">
        <v>5615</v>
      </c>
      <c r="C3216" s="4" t="s">
        <v>2096</v>
      </c>
      <c r="D3216" s="4" t="s">
        <v>4764</v>
      </c>
      <c r="E3216" s="4" t="s">
        <v>5618</v>
      </c>
      <c r="F3216" s="4" t="s">
        <v>5616</v>
      </c>
      <c r="G3216" s="4" t="s">
        <v>5595</v>
      </c>
      <c r="H3216" s="4" t="s">
        <v>5596</v>
      </c>
      <c r="I3216" s="4" t="s">
        <v>5597</v>
      </c>
      <c r="J3216" s="4" t="s">
        <v>2153</v>
      </c>
      <c r="K3216">
        <v>15</v>
      </c>
      <c r="L3216">
        <v>4.5</v>
      </c>
      <c r="M3216">
        <v>19</v>
      </c>
      <c r="N3216">
        <v>138</v>
      </c>
      <c r="O3216">
        <v>177.16535433070868</v>
      </c>
      <c r="P3216">
        <v>0.74803149606299213</v>
      </c>
      <c r="Q3216">
        <v>5.4330708661417324</v>
      </c>
      <c r="R3216">
        <v>1251.2739999999999</v>
      </c>
      <c r="S3216">
        <v>1.1799E-2</v>
      </c>
      <c r="T3216" s="4" t="s">
        <v>5617</v>
      </c>
    </row>
    <row r="3217" spans="1:20" x14ac:dyDescent="0.2">
      <c r="A3217" s="4" t="s">
        <v>5591</v>
      </c>
      <c r="B3217" s="4" t="s">
        <v>5615</v>
      </c>
      <c r="C3217" s="4" t="s">
        <v>2096</v>
      </c>
      <c r="D3217" s="4" t="s">
        <v>4764</v>
      </c>
      <c r="E3217" s="4" t="s">
        <v>1646</v>
      </c>
      <c r="F3217" s="4" t="s">
        <v>5616</v>
      </c>
      <c r="G3217" s="4" t="s">
        <v>5595</v>
      </c>
      <c r="H3217" s="4" t="s">
        <v>5596</v>
      </c>
      <c r="I3217" s="4" t="s">
        <v>5597</v>
      </c>
      <c r="J3217" s="4" t="s">
        <v>2153</v>
      </c>
      <c r="K3217">
        <v>16</v>
      </c>
      <c r="L3217">
        <v>4.8</v>
      </c>
      <c r="M3217">
        <v>19</v>
      </c>
      <c r="N3217">
        <v>138</v>
      </c>
      <c r="O3217">
        <v>188.97637795275591</v>
      </c>
      <c r="P3217">
        <v>0.74803149606299213</v>
      </c>
      <c r="Q3217">
        <v>5.4330708661417324</v>
      </c>
      <c r="R3217">
        <v>1251.2739999999999</v>
      </c>
      <c r="S3217">
        <v>1.2585600000000001E-2</v>
      </c>
      <c r="T3217" s="4" t="s">
        <v>5617</v>
      </c>
    </row>
    <row r="3218" spans="1:20" x14ac:dyDescent="0.2">
      <c r="A3218" s="4" t="s">
        <v>5591</v>
      </c>
      <c r="B3218" s="4" t="s">
        <v>5615</v>
      </c>
      <c r="C3218" s="4" t="s">
        <v>2096</v>
      </c>
      <c r="D3218" s="4" t="s">
        <v>4764</v>
      </c>
      <c r="E3218" s="4" t="s">
        <v>5619</v>
      </c>
      <c r="F3218" s="4" t="s">
        <v>5616</v>
      </c>
      <c r="G3218" s="4" t="s">
        <v>5595</v>
      </c>
      <c r="H3218" s="4" t="s">
        <v>5596</v>
      </c>
      <c r="I3218" s="4" t="s">
        <v>5597</v>
      </c>
      <c r="J3218" s="4" t="s">
        <v>2153</v>
      </c>
      <c r="K3218">
        <v>17</v>
      </c>
      <c r="L3218">
        <v>5.0999999999999996</v>
      </c>
      <c r="M3218">
        <v>19</v>
      </c>
      <c r="N3218">
        <v>138</v>
      </c>
      <c r="O3218">
        <v>200.78740157480314</v>
      </c>
      <c r="P3218">
        <v>0.74803149606299213</v>
      </c>
      <c r="Q3218">
        <v>5.4330708661417324</v>
      </c>
      <c r="R3218">
        <v>1251.2739999999999</v>
      </c>
      <c r="S3218">
        <v>1.3372199999999997E-2</v>
      </c>
      <c r="T3218" s="4" t="s">
        <v>5617</v>
      </c>
    </row>
    <row r="3219" spans="1:20" x14ac:dyDescent="0.2">
      <c r="A3219" s="4" t="s">
        <v>5591</v>
      </c>
      <c r="B3219" s="4" t="s">
        <v>5615</v>
      </c>
      <c r="C3219" s="4" t="s">
        <v>2096</v>
      </c>
      <c r="D3219" s="4" t="s">
        <v>4764</v>
      </c>
      <c r="E3219" s="4" t="s">
        <v>1648</v>
      </c>
      <c r="F3219" s="4" t="s">
        <v>5616</v>
      </c>
      <c r="G3219" s="4" t="s">
        <v>5595</v>
      </c>
      <c r="H3219" s="4" t="s">
        <v>5596</v>
      </c>
      <c r="I3219" s="4" t="s">
        <v>5597</v>
      </c>
      <c r="J3219" s="4" t="s">
        <v>2153</v>
      </c>
      <c r="K3219">
        <v>18</v>
      </c>
      <c r="L3219">
        <v>5.4</v>
      </c>
      <c r="M3219">
        <v>19</v>
      </c>
      <c r="N3219">
        <v>138</v>
      </c>
      <c r="O3219">
        <v>212.59842519685043</v>
      </c>
      <c r="P3219">
        <v>0.74803149606299213</v>
      </c>
      <c r="Q3219">
        <v>5.4330708661417324</v>
      </c>
      <c r="R3219">
        <v>1251.2739999999999</v>
      </c>
      <c r="S3219">
        <v>1.4158800000000001E-2</v>
      </c>
      <c r="T3219" s="4" t="s">
        <v>5617</v>
      </c>
    </row>
    <row r="3220" spans="1:20" x14ac:dyDescent="0.2">
      <c r="A3220" s="4" t="s">
        <v>5591</v>
      </c>
      <c r="B3220" s="4" t="s">
        <v>5615</v>
      </c>
      <c r="C3220" s="4" t="s">
        <v>2286</v>
      </c>
      <c r="D3220" s="4" t="s">
        <v>4764</v>
      </c>
      <c r="E3220" s="4" t="s">
        <v>5620</v>
      </c>
      <c r="F3220" s="4" t="s">
        <v>5616</v>
      </c>
      <c r="G3220" s="4" t="s">
        <v>5595</v>
      </c>
      <c r="H3220" s="4" t="s">
        <v>5596</v>
      </c>
      <c r="I3220" s="4" t="s">
        <v>5597</v>
      </c>
      <c r="J3220" s="4" t="s">
        <v>2153</v>
      </c>
      <c r="K3220">
        <v>4</v>
      </c>
      <c r="L3220">
        <v>1.2</v>
      </c>
      <c r="M3220">
        <v>19</v>
      </c>
      <c r="N3220">
        <v>138</v>
      </c>
      <c r="O3220">
        <v>47.244094488188978</v>
      </c>
      <c r="P3220">
        <v>0.74803149606299213</v>
      </c>
      <c r="Q3220">
        <v>5.4330708661417324</v>
      </c>
      <c r="R3220">
        <v>1251.2739999999999</v>
      </c>
      <c r="S3220">
        <v>3.1464000000000002E-3</v>
      </c>
      <c r="T3220" s="4" t="s">
        <v>5621</v>
      </c>
    </row>
    <row r="3221" spans="1:20" x14ac:dyDescent="0.2">
      <c r="A3221" s="4" t="s">
        <v>5591</v>
      </c>
      <c r="B3221" s="4" t="s">
        <v>5615</v>
      </c>
      <c r="C3221" s="4" t="s">
        <v>2286</v>
      </c>
      <c r="D3221" s="4" t="s">
        <v>4764</v>
      </c>
      <c r="E3221" s="4" t="s">
        <v>5622</v>
      </c>
      <c r="F3221" s="4" t="s">
        <v>5616</v>
      </c>
      <c r="G3221" s="4" t="s">
        <v>5595</v>
      </c>
      <c r="H3221" s="4" t="s">
        <v>5596</v>
      </c>
      <c r="I3221" s="4" t="s">
        <v>5597</v>
      </c>
      <c r="J3221" s="4" t="s">
        <v>2153</v>
      </c>
      <c r="K3221">
        <v>5</v>
      </c>
      <c r="L3221">
        <v>1.5</v>
      </c>
      <c r="M3221">
        <v>19</v>
      </c>
      <c r="N3221">
        <v>138</v>
      </c>
      <c r="O3221">
        <v>59.055118110236222</v>
      </c>
      <c r="P3221">
        <v>0.74803149606299213</v>
      </c>
      <c r="Q3221">
        <v>5.4330708661417324</v>
      </c>
      <c r="R3221">
        <v>1251.2739999999999</v>
      </c>
      <c r="S3221">
        <v>3.9329999999999999E-3</v>
      </c>
      <c r="T3221" s="4" t="s">
        <v>5621</v>
      </c>
    </row>
    <row r="3222" spans="1:20" x14ac:dyDescent="0.2">
      <c r="A3222" s="4" t="s">
        <v>5591</v>
      </c>
      <c r="B3222" s="4" t="s">
        <v>5615</v>
      </c>
      <c r="C3222" s="4" t="s">
        <v>2286</v>
      </c>
      <c r="D3222" s="4" t="s">
        <v>4764</v>
      </c>
      <c r="E3222" s="4" t="s">
        <v>5623</v>
      </c>
      <c r="F3222" s="4" t="s">
        <v>5616</v>
      </c>
      <c r="G3222" s="4" t="s">
        <v>5595</v>
      </c>
      <c r="H3222" s="4" t="s">
        <v>5596</v>
      </c>
      <c r="I3222" s="4" t="s">
        <v>5597</v>
      </c>
      <c r="J3222" s="4" t="s">
        <v>2153</v>
      </c>
      <c r="K3222">
        <v>6</v>
      </c>
      <c r="L3222">
        <v>1.8</v>
      </c>
      <c r="M3222">
        <v>19</v>
      </c>
      <c r="N3222">
        <v>138</v>
      </c>
      <c r="O3222">
        <v>70.866141732283467</v>
      </c>
      <c r="P3222">
        <v>0.74803149606299213</v>
      </c>
      <c r="Q3222">
        <v>5.4330708661417324</v>
      </c>
      <c r="R3222">
        <v>1251.2739999999999</v>
      </c>
      <c r="S3222">
        <v>4.7196E-3</v>
      </c>
      <c r="T3222" s="4" t="s">
        <v>5621</v>
      </c>
    </row>
    <row r="3223" spans="1:20" x14ac:dyDescent="0.2">
      <c r="A3223" s="4" t="s">
        <v>5591</v>
      </c>
      <c r="B3223" s="4" t="s">
        <v>5615</v>
      </c>
      <c r="C3223" s="4" t="s">
        <v>2286</v>
      </c>
      <c r="D3223" s="4" t="s">
        <v>4764</v>
      </c>
      <c r="E3223" s="4" t="s">
        <v>1650</v>
      </c>
      <c r="F3223" s="4" t="s">
        <v>5616</v>
      </c>
      <c r="G3223" s="4" t="s">
        <v>5595</v>
      </c>
      <c r="H3223" s="4" t="s">
        <v>5596</v>
      </c>
      <c r="I3223" s="4" t="s">
        <v>5597</v>
      </c>
      <c r="J3223" s="4" t="s">
        <v>2153</v>
      </c>
      <c r="K3223">
        <v>7</v>
      </c>
      <c r="L3223">
        <v>2.1</v>
      </c>
      <c r="M3223">
        <v>19</v>
      </c>
      <c r="N3223">
        <v>138</v>
      </c>
      <c r="O3223">
        <v>82.677165354330711</v>
      </c>
      <c r="P3223">
        <v>0.74803149606299213</v>
      </c>
      <c r="Q3223">
        <v>5.4330708661417324</v>
      </c>
      <c r="R3223">
        <v>1251.2739999999999</v>
      </c>
      <c r="S3223">
        <v>5.5062000000000002E-3</v>
      </c>
      <c r="T3223" s="4" t="s">
        <v>5621</v>
      </c>
    </row>
    <row r="3224" spans="1:20" x14ac:dyDescent="0.2">
      <c r="A3224" s="4" t="s">
        <v>5591</v>
      </c>
      <c r="B3224" s="4" t="s">
        <v>5615</v>
      </c>
      <c r="C3224" s="4" t="s">
        <v>2096</v>
      </c>
      <c r="D3224" s="4" t="s">
        <v>4764</v>
      </c>
      <c r="E3224" s="4" t="s">
        <v>1652</v>
      </c>
      <c r="F3224" s="4" t="s">
        <v>5616</v>
      </c>
      <c r="G3224" s="4" t="s">
        <v>5595</v>
      </c>
      <c r="H3224" s="4" t="s">
        <v>5596</v>
      </c>
      <c r="I3224" s="4" t="s">
        <v>5597</v>
      </c>
      <c r="J3224" s="4" t="s">
        <v>2153</v>
      </c>
      <c r="K3224">
        <v>8</v>
      </c>
      <c r="L3224">
        <v>2.4</v>
      </c>
      <c r="M3224">
        <v>19</v>
      </c>
      <c r="N3224">
        <v>138</v>
      </c>
      <c r="O3224">
        <v>94.488188976377955</v>
      </c>
      <c r="P3224">
        <v>0.74803149606299213</v>
      </c>
      <c r="Q3224">
        <v>5.4330708661417324</v>
      </c>
      <c r="R3224">
        <v>1251.2739999999999</v>
      </c>
      <c r="S3224">
        <v>6.2928000000000003E-3</v>
      </c>
      <c r="T3224" s="4" t="s">
        <v>5617</v>
      </c>
    </row>
    <row r="3225" spans="1:20" x14ac:dyDescent="0.2">
      <c r="A3225" s="4" t="s">
        <v>5591</v>
      </c>
      <c r="B3225" s="4" t="s">
        <v>5615</v>
      </c>
      <c r="C3225" s="4" t="s">
        <v>2096</v>
      </c>
      <c r="D3225" s="4" t="s">
        <v>4764</v>
      </c>
      <c r="E3225" s="4" t="s">
        <v>5624</v>
      </c>
      <c r="F3225" s="4" t="s">
        <v>5616</v>
      </c>
      <c r="G3225" s="4" t="s">
        <v>5595</v>
      </c>
      <c r="H3225" s="4" t="s">
        <v>5596</v>
      </c>
      <c r="I3225" s="4" t="s">
        <v>5597</v>
      </c>
      <c r="J3225" s="4" t="s">
        <v>2153</v>
      </c>
      <c r="K3225">
        <v>9</v>
      </c>
      <c r="L3225">
        <v>2.7</v>
      </c>
      <c r="M3225">
        <v>19</v>
      </c>
      <c r="N3225">
        <v>138</v>
      </c>
      <c r="O3225">
        <v>106.29921259842521</v>
      </c>
      <c r="P3225">
        <v>0.74803149606299213</v>
      </c>
      <c r="Q3225">
        <v>5.4330708661417324</v>
      </c>
      <c r="R3225">
        <v>1251.2739999999999</v>
      </c>
      <c r="S3225">
        <v>7.0794000000000004E-3</v>
      </c>
      <c r="T3225" s="4" t="s">
        <v>5617</v>
      </c>
    </row>
    <row r="3226" spans="1:20" x14ac:dyDescent="0.2">
      <c r="A3226" s="4" t="s">
        <v>5591</v>
      </c>
      <c r="B3226" s="4" t="s">
        <v>5615</v>
      </c>
      <c r="C3226" s="4" t="s">
        <v>2096</v>
      </c>
      <c r="D3226" s="4" t="s">
        <v>4764</v>
      </c>
      <c r="E3226" s="4" t="s">
        <v>1604</v>
      </c>
      <c r="F3226" s="4" t="s">
        <v>5625</v>
      </c>
      <c r="G3226" s="4" t="s">
        <v>5595</v>
      </c>
      <c r="H3226" s="4" t="s">
        <v>5596</v>
      </c>
      <c r="I3226" s="4" t="s">
        <v>5626</v>
      </c>
      <c r="J3226" s="4" t="s">
        <v>2153</v>
      </c>
      <c r="K3226">
        <v>10</v>
      </c>
      <c r="L3226">
        <v>3</v>
      </c>
      <c r="M3226">
        <v>19</v>
      </c>
      <c r="N3226">
        <v>138</v>
      </c>
      <c r="O3226">
        <v>118.11023622047244</v>
      </c>
      <c r="P3226">
        <v>0.74803149606299213</v>
      </c>
      <c r="Q3226">
        <v>5.4330708661417324</v>
      </c>
      <c r="R3226">
        <v>1251.2739999999999</v>
      </c>
      <c r="S3226">
        <v>7.8659999999999997E-3</v>
      </c>
      <c r="T3226" s="4" t="s">
        <v>5627</v>
      </c>
    </row>
    <row r="3227" spans="1:20" x14ac:dyDescent="0.2">
      <c r="A3227" s="4" t="s">
        <v>5591</v>
      </c>
      <c r="B3227" s="4" t="s">
        <v>5615</v>
      </c>
      <c r="C3227" s="4" t="s">
        <v>2096</v>
      </c>
      <c r="D3227" s="4" t="s">
        <v>4764</v>
      </c>
      <c r="E3227" s="4" t="s">
        <v>1606</v>
      </c>
      <c r="F3227" s="4" t="s">
        <v>5625</v>
      </c>
      <c r="G3227" s="4" t="s">
        <v>5595</v>
      </c>
      <c r="H3227" s="4" t="s">
        <v>5596</v>
      </c>
      <c r="I3227" s="4" t="s">
        <v>5626</v>
      </c>
      <c r="J3227" s="4" t="s">
        <v>2153</v>
      </c>
      <c r="K3227">
        <v>11</v>
      </c>
      <c r="L3227">
        <v>3.3</v>
      </c>
      <c r="M3227">
        <v>19</v>
      </c>
      <c r="N3227">
        <v>138</v>
      </c>
      <c r="O3227">
        <v>129.92125984251967</v>
      </c>
      <c r="P3227">
        <v>0.74803149606299213</v>
      </c>
      <c r="Q3227">
        <v>5.4330708661417324</v>
      </c>
      <c r="R3227">
        <v>1251.2739999999999</v>
      </c>
      <c r="S3227">
        <v>8.6525999999999999E-3</v>
      </c>
      <c r="T3227" s="4" t="s">
        <v>5627</v>
      </c>
    </row>
    <row r="3228" spans="1:20" x14ac:dyDescent="0.2">
      <c r="A3228" s="4" t="s">
        <v>5591</v>
      </c>
      <c r="B3228" s="4" t="s">
        <v>5615</v>
      </c>
      <c r="C3228" s="4" t="s">
        <v>2096</v>
      </c>
      <c r="D3228" s="4" t="s">
        <v>4764</v>
      </c>
      <c r="E3228" s="4" t="s">
        <v>1608</v>
      </c>
      <c r="F3228" s="4" t="s">
        <v>5625</v>
      </c>
      <c r="G3228" s="4" t="s">
        <v>5595</v>
      </c>
      <c r="H3228" s="4" t="s">
        <v>5596</v>
      </c>
      <c r="I3228" s="4" t="s">
        <v>5626</v>
      </c>
      <c r="J3228" s="4" t="s">
        <v>2153</v>
      </c>
      <c r="K3228">
        <v>12</v>
      </c>
      <c r="L3228">
        <v>3.6</v>
      </c>
      <c r="M3228">
        <v>19</v>
      </c>
      <c r="N3228">
        <v>138</v>
      </c>
      <c r="O3228">
        <v>141.73228346456693</v>
      </c>
      <c r="P3228">
        <v>0.74803149606299213</v>
      </c>
      <c r="Q3228">
        <v>5.4330708661417324</v>
      </c>
      <c r="R3228">
        <v>1251.2739999999999</v>
      </c>
      <c r="S3228">
        <v>9.4392E-3</v>
      </c>
      <c r="T3228" s="4" t="s">
        <v>5627</v>
      </c>
    </row>
    <row r="3229" spans="1:20" x14ac:dyDescent="0.2">
      <c r="A3229" s="4" t="s">
        <v>5591</v>
      </c>
      <c r="B3229" s="4" t="s">
        <v>5615</v>
      </c>
      <c r="C3229" s="4" t="s">
        <v>2096</v>
      </c>
      <c r="D3229" s="4" t="s">
        <v>4764</v>
      </c>
      <c r="E3229" s="4" t="s">
        <v>1610</v>
      </c>
      <c r="F3229" s="4" t="s">
        <v>5625</v>
      </c>
      <c r="G3229" s="4" t="s">
        <v>5595</v>
      </c>
      <c r="H3229" s="4" t="s">
        <v>5596</v>
      </c>
      <c r="I3229" s="4" t="s">
        <v>5626</v>
      </c>
      <c r="J3229" s="4" t="s">
        <v>2153</v>
      </c>
      <c r="K3229">
        <v>13</v>
      </c>
      <c r="L3229">
        <v>3.9</v>
      </c>
      <c r="M3229">
        <v>19</v>
      </c>
      <c r="N3229">
        <v>138</v>
      </c>
      <c r="O3229">
        <v>153.54330708661416</v>
      </c>
      <c r="P3229">
        <v>0.74803149606299213</v>
      </c>
      <c r="Q3229">
        <v>5.4330708661417324</v>
      </c>
      <c r="R3229">
        <v>1251.2739999999999</v>
      </c>
      <c r="S3229">
        <v>1.02258E-2</v>
      </c>
      <c r="T3229" s="4" t="s">
        <v>5627</v>
      </c>
    </row>
    <row r="3230" spans="1:20" x14ac:dyDescent="0.2">
      <c r="A3230" s="4" t="s">
        <v>5591</v>
      </c>
      <c r="B3230" s="4" t="s">
        <v>5615</v>
      </c>
      <c r="C3230" s="4" t="s">
        <v>2096</v>
      </c>
      <c r="D3230" s="4" t="s">
        <v>4764</v>
      </c>
      <c r="E3230" s="4" t="s">
        <v>1612</v>
      </c>
      <c r="F3230" s="4" t="s">
        <v>5625</v>
      </c>
      <c r="G3230" s="4" t="s">
        <v>5595</v>
      </c>
      <c r="H3230" s="4" t="s">
        <v>5596</v>
      </c>
      <c r="I3230" s="4" t="s">
        <v>5626</v>
      </c>
      <c r="J3230" s="4" t="s">
        <v>2153</v>
      </c>
      <c r="K3230">
        <v>14</v>
      </c>
      <c r="L3230">
        <v>4.2</v>
      </c>
      <c r="M3230">
        <v>19</v>
      </c>
      <c r="N3230">
        <v>138</v>
      </c>
      <c r="O3230">
        <v>165.35433070866142</v>
      </c>
      <c r="P3230">
        <v>0.74803149606299213</v>
      </c>
      <c r="Q3230">
        <v>5.4330708661417324</v>
      </c>
      <c r="R3230">
        <v>1251.2739999999999</v>
      </c>
      <c r="S3230">
        <v>1.10124E-2</v>
      </c>
      <c r="T3230" s="4" t="s">
        <v>5627</v>
      </c>
    </row>
    <row r="3231" spans="1:20" x14ac:dyDescent="0.2">
      <c r="A3231" s="4" t="s">
        <v>5591</v>
      </c>
      <c r="B3231" s="4" t="s">
        <v>5615</v>
      </c>
      <c r="C3231" s="4" t="s">
        <v>2096</v>
      </c>
      <c r="D3231" s="4" t="s">
        <v>4764</v>
      </c>
      <c r="E3231" s="4" t="s">
        <v>1614</v>
      </c>
      <c r="F3231" s="4" t="s">
        <v>5625</v>
      </c>
      <c r="G3231" s="4" t="s">
        <v>5595</v>
      </c>
      <c r="H3231" s="4" t="s">
        <v>5596</v>
      </c>
      <c r="I3231" s="4" t="s">
        <v>5626</v>
      </c>
      <c r="J3231" s="4" t="s">
        <v>2153</v>
      </c>
      <c r="K3231">
        <v>15</v>
      </c>
      <c r="L3231">
        <v>4.5</v>
      </c>
      <c r="M3231">
        <v>19</v>
      </c>
      <c r="N3231">
        <v>138</v>
      </c>
      <c r="O3231">
        <v>177.16535433070868</v>
      </c>
      <c r="P3231">
        <v>0.74803149606299213</v>
      </c>
      <c r="Q3231">
        <v>5.4330708661417324</v>
      </c>
      <c r="R3231">
        <v>1251.2739999999999</v>
      </c>
      <c r="S3231">
        <v>1.1799E-2</v>
      </c>
      <c r="T3231" s="4" t="s">
        <v>5627</v>
      </c>
    </row>
    <row r="3232" spans="1:20" x14ac:dyDescent="0.2">
      <c r="A3232" s="4" t="s">
        <v>5591</v>
      </c>
      <c r="B3232" s="4" t="s">
        <v>5615</v>
      </c>
      <c r="C3232" s="4" t="s">
        <v>2096</v>
      </c>
      <c r="D3232" s="4" t="s">
        <v>4764</v>
      </c>
      <c r="E3232" s="4" t="s">
        <v>1616</v>
      </c>
      <c r="F3232" s="4" t="s">
        <v>5625</v>
      </c>
      <c r="G3232" s="4" t="s">
        <v>5595</v>
      </c>
      <c r="H3232" s="4" t="s">
        <v>5596</v>
      </c>
      <c r="I3232" s="4" t="s">
        <v>5626</v>
      </c>
      <c r="J3232" s="4" t="s">
        <v>2153</v>
      </c>
      <c r="K3232">
        <v>16</v>
      </c>
      <c r="L3232">
        <v>4.8</v>
      </c>
      <c r="M3232">
        <v>19</v>
      </c>
      <c r="N3232">
        <v>138</v>
      </c>
      <c r="O3232">
        <v>188.97637795275591</v>
      </c>
      <c r="P3232">
        <v>0.74803149606299213</v>
      </c>
      <c r="Q3232">
        <v>5.4330708661417324</v>
      </c>
      <c r="R3232">
        <v>1251.2739999999999</v>
      </c>
      <c r="S3232">
        <v>1.2585600000000001E-2</v>
      </c>
      <c r="T3232" s="4" t="s">
        <v>5627</v>
      </c>
    </row>
    <row r="3233" spans="1:20" x14ac:dyDescent="0.2">
      <c r="A3233" s="4" t="s">
        <v>5591</v>
      </c>
      <c r="B3233" s="4" t="s">
        <v>5615</v>
      </c>
      <c r="C3233" s="4" t="s">
        <v>2096</v>
      </c>
      <c r="D3233" s="4" t="s">
        <v>4764</v>
      </c>
      <c r="E3233" s="4" t="s">
        <v>1618</v>
      </c>
      <c r="F3233" s="4" t="s">
        <v>5625</v>
      </c>
      <c r="G3233" s="4" t="s">
        <v>5595</v>
      </c>
      <c r="H3233" s="4" t="s">
        <v>5596</v>
      </c>
      <c r="I3233" s="4" t="s">
        <v>5626</v>
      </c>
      <c r="J3233" s="4" t="s">
        <v>2153</v>
      </c>
      <c r="K3233">
        <v>17</v>
      </c>
      <c r="L3233">
        <v>5.0999999999999996</v>
      </c>
      <c r="M3233">
        <v>19</v>
      </c>
      <c r="N3233">
        <v>138</v>
      </c>
      <c r="O3233">
        <v>200.78740157480314</v>
      </c>
      <c r="P3233">
        <v>0.74803149606299213</v>
      </c>
      <c r="Q3233">
        <v>5.4330708661417324</v>
      </c>
      <c r="R3233">
        <v>1251.2739999999999</v>
      </c>
      <c r="S3233">
        <v>1.3372199999999997E-2</v>
      </c>
      <c r="T3233" s="4" t="s">
        <v>5627</v>
      </c>
    </row>
    <row r="3234" spans="1:20" x14ac:dyDescent="0.2">
      <c r="A3234" s="4" t="s">
        <v>5591</v>
      </c>
      <c r="B3234" s="4" t="s">
        <v>5615</v>
      </c>
      <c r="C3234" s="4" t="s">
        <v>2096</v>
      </c>
      <c r="D3234" s="4" t="s">
        <v>4764</v>
      </c>
      <c r="E3234" s="4" t="s">
        <v>1620</v>
      </c>
      <c r="F3234" s="4" t="s">
        <v>5625</v>
      </c>
      <c r="G3234" s="4" t="s">
        <v>5595</v>
      </c>
      <c r="H3234" s="4" t="s">
        <v>5596</v>
      </c>
      <c r="I3234" s="4" t="s">
        <v>5626</v>
      </c>
      <c r="J3234" s="4" t="s">
        <v>2153</v>
      </c>
      <c r="K3234">
        <v>18</v>
      </c>
      <c r="L3234">
        <v>5.4</v>
      </c>
      <c r="M3234">
        <v>19</v>
      </c>
      <c r="N3234">
        <v>138</v>
      </c>
      <c r="O3234">
        <v>212.59842519685043</v>
      </c>
      <c r="P3234">
        <v>0.74803149606299213</v>
      </c>
      <c r="Q3234">
        <v>5.4330708661417324</v>
      </c>
      <c r="R3234">
        <v>1251.2739999999999</v>
      </c>
      <c r="S3234">
        <v>1.4158800000000001E-2</v>
      </c>
      <c r="T3234" s="4" t="s">
        <v>5627</v>
      </c>
    </row>
    <row r="3235" spans="1:20" x14ac:dyDescent="0.2">
      <c r="A3235" s="4" t="s">
        <v>5591</v>
      </c>
      <c r="B3235" s="4" t="s">
        <v>5615</v>
      </c>
      <c r="C3235" s="4" t="s">
        <v>2286</v>
      </c>
      <c r="D3235" s="4" t="s">
        <v>4764</v>
      </c>
      <c r="E3235" s="4" t="s">
        <v>1622</v>
      </c>
      <c r="F3235" s="4" t="s">
        <v>5625</v>
      </c>
      <c r="G3235" s="4" t="s">
        <v>5595</v>
      </c>
      <c r="H3235" s="4" t="s">
        <v>5596</v>
      </c>
      <c r="I3235" s="4" t="s">
        <v>5626</v>
      </c>
      <c r="J3235" s="4" t="s">
        <v>2153</v>
      </c>
      <c r="K3235">
        <v>3</v>
      </c>
      <c r="L3235">
        <v>0.9</v>
      </c>
      <c r="M3235">
        <v>19</v>
      </c>
      <c r="N3235">
        <v>138</v>
      </c>
      <c r="O3235">
        <v>35.433070866141733</v>
      </c>
      <c r="P3235">
        <v>0.74803149606299213</v>
      </c>
      <c r="Q3235">
        <v>5.4330708661417324</v>
      </c>
      <c r="R3235">
        <v>1251.2739999999999</v>
      </c>
      <c r="S3235">
        <v>2.3598E-3</v>
      </c>
      <c r="T3235" s="4" t="s">
        <v>5628</v>
      </c>
    </row>
    <row r="3236" spans="1:20" x14ac:dyDescent="0.2">
      <c r="A3236" s="4" t="s">
        <v>5591</v>
      </c>
      <c r="B3236" s="4" t="s">
        <v>5615</v>
      </c>
      <c r="C3236" s="4" t="s">
        <v>2286</v>
      </c>
      <c r="D3236" s="4" t="s">
        <v>4764</v>
      </c>
      <c r="E3236" s="4" t="s">
        <v>1624</v>
      </c>
      <c r="F3236" s="4" t="s">
        <v>5625</v>
      </c>
      <c r="G3236" s="4" t="s">
        <v>5595</v>
      </c>
      <c r="H3236" s="4" t="s">
        <v>5596</v>
      </c>
      <c r="I3236" s="4" t="s">
        <v>5626</v>
      </c>
      <c r="J3236" s="4" t="s">
        <v>2153</v>
      </c>
      <c r="K3236">
        <v>4</v>
      </c>
      <c r="L3236">
        <v>1.2</v>
      </c>
      <c r="M3236">
        <v>19</v>
      </c>
      <c r="N3236">
        <v>138</v>
      </c>
      <c r="O3236">
        <v>47.244094488188978</v>
      </c>
      <c r="P3236">
        <v>0.74803149606299213</v>
      </c>
      <c r="Q3236">
        <v>5.4330708661417324</v>
      </c>
      <c r="R3236">
        <v>1251.2739999999999</v>
      </c>
      <c r="S3236">
        <v>3.1464000000000002E-3</v>
      </c>
      <c r="T3236" s="4" t="s">
        <v>5628</v>
      </c>
    </row>
    <row r="3237" spans="1:20" x14ac:dyDescent="0.2">
      <c r="A3237" s="4" t="s">
        <v>5591</v>
      </c>
      <c r="B3237" s="4" t="s">
        <v>5615</v>
      </c>
      <c r="C3237" s="4" t="s">
        <v>2286</v>
      </c>
      <c r="D3237" s="4" t="s">
        <v>4764</v>
      </c>
      <c r="E3237" s="4" t="s">
        <v>1626</v>
      </c>
      <c r="F3237" s="4" t="s">
        <v>5625</v>
      </c>
      <c r="G3237" s="4" t="s">
        <v>5595</v>
      </c>
      <c r="H3237" s="4" t="s">
        <v>5596</v>
      </c>
      <c r="I3237" s="4" t="s">
        <v>5626</v>
      </c>
      <c r="J3237" s="4" t="s">
        <v>2153</v>
      </c>
      <c r="K3237">
        <v>5</v>
      </c>
      <c r="L3237">
        <v>1.5</v>
      </c>
      <c r="M3237">
        <v>19</v>
      </c>
      <c r="N3237">
        <v>138</v>
      </c>
      <c r="O3237">
        <v>59.055118110236222</v>
      </c>
      <c r="P3237">
        <v>0.74803149606299213</v>
      </c>
      <c r="Q3237">
        <v>5.4330708661417324</v>
      </c>
      <c r="R3237">
        <v>1251.2739999999999</v>
      </c>
      <c r="S3237">
        <v>3.9329999999999999E-3</v>
      </c>
      <c r="T3237" s="4" t="s">
        <v>5628</v>
      </c>
    </row>
    <row r="3238" spans="1:20" x14ac:dyDescent="0.2">
      <c r="A3238" s="4" t="s">
        <v>5591</v>
      </c>
      <c r="B3238" s="4" t="s">
        <v>5615</v>
      </c>
      <c r="C3238" s="4" t="s">
        <v>2286</v>
      </c>
      <c r="D3238" s="4" t="s">
        <v>4764</v>
      </c>
      <c r="E3238" s="4" t="s">
        <v>1628</v>
      </c>
      <c r="F3238" s="4" t="s">
        <v>5625</v>
      </c>
      <c r="G3238" s="4" t="s">
        <v>5595</v>
      </c>
      <c r="H3238" s="4" t="s">
        <v>5596</v>
      </c>
      <c r="I3238" s="4" t="s">
        <v>5626</v>
      </c>
      <c r="J3238" s="4" t="s">
        <v>2153</v>
      </c>
      <c r="K3238">
        <v>6</v>
      </c>
      <c r="L3238">
        <v>1.8</v>
      </c>
      <c r="M3238">
        <v>19</v>
      </c>
      <c r="N3238">
        <v>138</v>
      </c>
      <c r="O3238">
        <v>70.866141732283467</v>
      </c>
      <c r="P3238">
        <v>0.74803149606299213</v>
      </c>
      <c r="Q3238">
        <v>5.4330708661417324</v>
      </c>
      <c r="R3238">
        <v>1251.2739999999999</v>
      </c>
      <c r="S3238">
        <v>4.7196E-3</v>
      </c>
      <c r="T3238" s="4" t="s">
        <v>5628</v>
      </c>
    </row>
    <row r="3239" spans="1:20" x14ac:dyDescent="0.2">
      <c r="A3239" s="4" t="s">
        <v>5591</v>
      </c>
      <c r="B3239" s="4" t="s">
        <v>5615</v>
      </c>
      <c r="C3239" s="4" t="s">
        <v>2286</v>
      </c>
      <c r="D3239" s="4" t="s">
        <v>4764</v>
      </c>
      <c r="E3239" s="4" t="s">
        <v>1630</v>
      </c>
      <c r="F3239" s="4" t="s">
        <v>5625</v>
      </c>
      <c r="G3239" s="4" t="s">
        <v>5595</v>
      </c>
      <c r="H3239" s="4" t="s">
        <v>5596</v>
      </c>
      <c r="I3239" s="4" t="s">
        <v>5626</v>
      </c>
      <c r="J3239" s="4" t="s">
        <v>2153</v>
      </c>
      <c r="K3239">
        <v>7</v>
      </c>
      <c r="L3239">
        <v>2.1</v>
      </c>
      <c r="M3239">
        <v>19</v>
      </c>
      <c r="N3239">
        <v>138</v>
      </c>
      <c r="O3239">
        <v>82.677165354330711</v>
      </c>
      <c r="P3239">
        <v>0.74803149606299213</v>
      </c>
      <c r="Q3239">
        <v>5.4330708661417324</v>
      </c>
      <c r="R3239">
        <v>1251.2739999999999</v>
      </c>
      <c r="S3239">
        <v>5.5062000000000002E-3</v>
      </c>
      <c r="T3239" s="4" t="s">
        <v>5628</v>
      </c>
    </row>
    <row r="3240" spans="1:20" x14ac:dyDescent="0.2">
      <c r="A3240" s="4" t="s">
        <v>5591</v>
      </c>
      <c r="B3240" s="4" t="s">
        <v>5615</v>
      </c>
      <c r="C3240" s="4" t="s">
        <v>2096</v>
      </c>
      <c r="D3240" s="4" t="s">
        <v>4764</v>
      </c>
      <c r="E3240" s="4" t="s">
        <v>1632</v>
      </c>
      <c r="F3240" s="4" t="s">
        <v>5625</v>
      </c>
      <c r="G3240" s="4" t="s">
        <v>5595</v>
      </c>
      <c r="H3240" s="4" t="s">
        <v>5596</v>
      </c>
      <c r="I3240" s="4" t="s">
        <v>5626</v>
      </c>
      <c r="J3240" s="4" t="s">
        <v>2153</v>
      </c>
      <c r="K3240">
        <v>8</v>
      </c>
      <c r="L3240">
        <v>2.4</v>
      </c>
      <c r="M3240">
        <v>19</v>
      </c>
      <c r="N3240">
        <v>138</v>
      </c>
      <c r="O3240">
        <v>94.488188976377955</v>
      </c>
      <c r="P3240">
        <v>0.74803149606299213</v>
      </c>
      <c r="Q3240">
        <v>5.4330708661417324</v>
      </c>
      <c r="R3240">
        <v>1251.2739999999999</v>
      </c>
      <c r="S3240">
        <v>6.2928000000000003E-3</v>
      </c>
      <c r="T3240" s="4" t="s">
        <v>5627</v>
      </c>
    </row>
    <row r="3241" spans="1:20" x14ac:dyDescent="0.2">
      <c r="A3241" s="4" t="s">
        <v>5591</v>
      </c>
      <c r="B3241" s="4" t="s">
        <v>5615</v>
      </c>
      <c r="C3241" s="4" t="s">
        <v>2096</v>
      </c>
      <c r="D3241" s="4" t="s">
        <v>4764</v>
      </c>
      <c r="E3241" s="4" t="s">
        <v>1634</v>
      </c>
      <c r="F3241" s="4" t="s">
        <v>5625</v>
      </c>
      <c r="G3241" s="4" t="s">
        <v>5595</v>
      </c>
      <c r="H3241" s="4" t="s">
        <v>5596</v>
      </c>
      <c r="I3241" s="4" t="s">
        <v>5626</v>
      </c>
      <c r="J3241" s="4" t="s">
        <v>2153</v>
      </c>
      <c r="K3241">
        <v>9</v>
      </c>
      <c r="L3241">
        <v>2.7</v>
      </c>
      <c r="M3241">
        <v>19</v>
      </c>
      <c r="N3241">
        <v>138</v>
      </c>
      <c r="O3241">
        <v>106.29921259842521</v>
      </c>
      <c r="P3241">
        <v>0.74803149606299213</v>
      </c>
      <c r="Q3241">
        <v>5.4330708661417324</v>
      </c>
      <c r="R3241">
        <v>1251.2739999999999</v>
      </c>
      <c r="S3241">
        <v>7.0794000000000004E-3</v>
      </c>
      <c r="T3241" s="4" t="s">
        <v>5627</v>
      </c>
    </row>
    <row r="3242" spans="1:20" x14ac:dyDescent="0.2">
      <c r="A3242" s="4" t="s">
        <v>5591</v>
      </c>
      <c r="B3242" s="4" t="s">
        <v>5615</v>
      </c>
      <c r="C3242" s="4" t="s">
        <v>2096</v>
      </c>
      <c r="D3242" s="4" t="s">
        <v>4764</v>
      </c>
      <c r="E3242" s="4" t="s">
        <v>1738</v>
      </c>
      <c r="F3242" s="4" t="s">
        <v>5629</v>
      </c>
      <c r="G3242" s="4" t="s">
        <v>5595</v>
      </c>
      <c r="H3242" s="4" t="s">
        <v>5596</v>
      </c>
      <c r="I3242" s="4" t="s">
        <v>5630</v>
      </c>
      <c r="J3242" s="4" t="s">
        <v>2153</v>
      </c>
      <c r="K3242">
        <v>10</v>
      </c>
      <c r="L3242">
        <v>3</v>
      </c>
      <c r="M3242">
        <v>19</v>
      </c>
      <c r="N3242">
        <v>138</v>
      </c>
      <c r="O3242">
        <v>118.11023622047244</v>
      </c>
      <c r="P3242">
        <v>0.74803149606299213</v>
      </c>
      <c r="Q3242">
        <v>5.4330708661417324</v>
      </c>
      <c r="R3242">
        <v>1251.2739999999999</v>
      </c>
      <c r="S3242">
        <v>7.8659999999999997E-3</v>
      </c>
      <c r="T3242" s="4" t="s">
        <v>5631</v>
      </c>
    </row>
    <row r="3243" spans="1:20" x14ac:dyDescent="0.2">
      <c r="A3243" s="4" t="s">
        <v>5591</v>
      </c>
      <c r="B3243" s="4" t="s">
        <v>5615</v>
      </c>
      <c r="C3243" s="4" t="s">
        <v>2096</v>
      </c>
      <c r="D3243" s="4" t="s">
        <v>4764</v>
      </c>
      <c r="E3243" s="4" t="s">
        <v>1740</v>
      </c>
      <c r="F3243" s="4" t="s">
        <v>5629</v>
      </c>
      <c r="G3243" s="4" t="s">
        <v>5595</v>
      </c>
      <c r="H3243" s="4" t="s">
        <v>5596</v>
      </c>
      <c r="I3243" s="4" t="s">
        <v>5630</v>
      </c>
      <c r="J3243" s="4" t="s">
        <v>2153</v>
      </c>
      <c r="K3243">
        <v>11</v>
      </c>
      <c r="L3243">
        <v>3.3</v>
      </c>
      <c r="M3243">
        <v>19</v>
      </c>
      <c r="N3243">
        <v>138</v>
      </c>
      <c r="O3243">
        <v>129.92125984251967</v>
      </c>
      <c r="P3243">
        <v>0.74803149606299213</v>
      </c>
      <c r="Q3243">
        <v>5.4330708661417324</v>
      </c>
      <c r="R3243">
        <v>1251.2739999999999</v>
      </c>
      <c r="S3243">
        <v>8.6525999999999999E-3</v>
      </c>
      <c r="T3243" s="4" t="s">
        <v>5631</v>
      </c>
    </row>
    <row r="3244" spans="1:20" x14ac:dyDescent="0.2">
      <c r="A3244" s="4" t="s">
        <v>5591</v>
      </c>
      <c r="B3244" s="4" t="s">
        <v>5615</v>
      </c>
      <c r="C3244" s="4" t="s">
        <v>2096</v>
      </c>
      <c r="D3244" s="4" t="s">
        <v>4764</v>
      </c>
      <c r="E3244" s="4" t="s">
        <v>1742</v>
      </c>
      <c r="F3244" s="4" t="s">
        <v>5629</v>
      </c>
      <c r="G3244" s="4" t="s">
        <v>5595</v>
      </c>
      <c r="H3244" s="4" t="s">
        <v>5596</v>
      </c>
      <c r="I3244" s="4" t="s">
        <v>5630</v>
      </c>
      <c r="J3244" s="4" t="s">
        <v>2153</v>
      </c>
      <c r="K3244">
        <v>12</v>
      </c>
      <c r="L3244">
        <v>3.6</v>
      </c>
      <c r="M3244">
        <v>19</v>
      </c>
      <c r="N3244">
        <v>138</v>
      </c>
      <c r="O3244">
        <v>141.73228346456693</v>
      </c>
      <c r="P3244">
        <v>0.74803149606299213</v>
      </c>
      <c r="Q3244">
        <v>5.4330708661417324</v>
      </c>
      <c r="R3244">
        <v>1251.2739999999999</v>
      </c>
      <c r="S3244">
        <v>9.4392E-3</v>
      </c>
      <c r="T3244" s="4" t="s">
        <v>5631</v>
      </c>
    </row>
    <row r="3245" spans="1:20" x14ac:dyDescent="0.2">
      <c r="A3245" s="4" t="s">
        <v>5591</v>
      </c>
      <c r="B3245" s="4" t="s">
        <v>5615</v>
      </c>
      <c r="C3245" s="4" t="s">
        <v>2096</v>
      </c>
      <c r="D3245" s="4" t="s">
        <v>4764</v>
      </c>
      <c r="E3245" s="4" t="s">
        <v>1744</v>
      </c>
      <c r="F3245" s="4" t="s">
        <v>5629</v>
      </c>
      <c r="G3245" s="4" t="s">
        <v>5595</v>
      </c>
      <c r="H3245" s="4" t="s">
        <v>5596</v>
      </c>
      <c r="I3245" s="4" t="s">
        <v>5630</v>
      </c>
      <c r="J3245" s="4" t="s">
        <v>2153</v>
      </c>
      <c r="K3245">
        <v>13</v>
      </c>
      <c r="L3245">
        <v>3.9</v>
      </c>
      <c r="M3245">
        <v>19</v>
      </c>
      <c r="N3245">
        <v>138</v>
      </c>
      <c r="O3245">
        <v>153.54330708661416</v>
      </c>
      <c r="P3245">
        <v>0.74803149606299213</v>
      </c>
      <c r="Q3245">
        <v>5.4330708661417324</v>
      </c>
      <c r="R3245">
        <v>1251.2739999999999</v>
      </c>
      <c r="S3245">
        <v>1.02258E-2</v>
      </c>
      <c r="T3245" s="4" t="s">
        <v>5631</v>
      </c>
    </row>
    <row r="3246" spans="1:20" x14ac:dyDescent="0.2">
      <c r="A3246" s="4" t="s">
        <v>5591</v>
      </c>
      <c r="B3246" s="4" t="s">
        <v>5615</v>
      </c>
      <c r="C3246" s="4" t="s">
        <v>2096</v>
      </c>
      <c r="D3246" s="4" t="s">
        <v>4764</v>
      </c>
      <c r="E3246" s="4" t="s">
        <v>1746</v>
      </c>
      <c r="F3246" s="4" t="s">
        <v>5629</v>
      </c>
      <c r="G3246" s="4" t="s">
        <v>5595</v>
      </c>
      <c r="H3246" s="4" t="s">
        <v>5596</v>
      </c>
      <c r="I3246" s="4" t="s">
        <v>5630</v>
      </c>
      <c r="J3246" s="4" t="s">
        <v>2153</v>
      </c>
      <c r="K3246">
        <v>14</v>
      </c>
      <c r="L3246">
        <v>4.2</v>
      </c>
      <c r="M3246">
        <v>19</v>
      </c>
      <c r="N3246">
        <v>138</v>
      </c>
      <c r="O3246">
        <v>165.35433070866142</v>
      </c>
      <c r="P3246">
        <v>0.74803149606299213</v>
      </c>
      <c r="Q3246">
        <v>5.4330708661417324</v>
      </c>
      <c r="R3246">
        <v>1251.2739999999999</v>
      </c>
      <c r="S3246">
        <v>1.10124E-2</v>
      </c>
      <c r="T3246" s="4" t="s">
        <v>5631</v>
      </c>
    </row>
    <row r="3247" spans="1:20" x14ac:dyDescent="0.2">
      <c r="A3247" s="4" t="s">
        <v>5591</v>
      </c>
      <c r="B3247" s="4" t="s">
        <v>5615</v>
      </c>
      <c r="C3247" s="4" t="s">
        <v>2096</v>
      </c>
      <c r="D3247" s="4" t="s">
        <v>4764</v>
      </c>
      <c r="E3247" s="4" t="s">
        <v>5632</v>
      </c>
      <c r="F3247" s="4" t="s">
        <v>5629</v>
      </c>
      <c r="G3247" s="4" t="s">
        <v>5595</v>
      </c>
      <c r="H3247" s="4" t="s">
        <v>5596</v>
      </c>
      <c r="I3247" s="4" t="s">
        <v>5630</v>
      </c>
      <c r="J3247" s="4" t="s">
        <v>2153</v>
      </c>
      <c r="K3247">
        <v>15</v>
      </c>
      <c r="L3247">
        <v>4.5</v>
      </c>
      <c r="M3247">
        <v>19</v>
      </c>
      <c r="N3247">
        <v>138</v>
      </c>
      <c r="O3247">
        <v>177.16535433070868</v>
      </c>
      <c r="P3247">
        <v>0.74803149606299213</v>
      </c>
      <c r="Q3247">
        <v>5.4330708661417324</v>
      </c>
      <c r="R3247">
        <v>1251.2739999999999</v>
      </c>
      <c r="S3247">
        <v>1.1799E-2</v>
      </c>
      <c r="T3247" s="4" t="s">
        <v>5631</v>
      </c>
    </row>
    <row r="3248" spans="1:20" x14ac:dyDescent="0.2">
      <c r="A3248" s="4" t="s">
        <v>5591</v>
      </c>
      <c r="B3248" s="4" t="s">
        <v>5615</v>
      </c>
      <c r="C3248" s="4" t="s">
        <v>2096</v>
      </c>
      <c r="D3248" s="4" t="s">
        <v>4764</v>
      </c>
      <c r="E3248" s="4" t="s">
        <v>1748</v>
      </c>
      <c r="F3248" s="4" t="s">
        <v>5629</v>
      </c>
      <c r="G3248" s="4" t="s">
        <v>5595</v>
      </c>
      <c r="H3248" s="4" t="s">
        <v>5596</v>
      </c>
      <c r="I3248" s="4" t="s">
        <v>5630</v>
      </c>
      <c r="J3248" s="4" t="s">
        <v>2153</v>
      </c>
      <c r="K3248">
        <v>16</v>
      </c>
      <c r="L3248">
        <v>4.8</v>
      </c>
      <c r="M3248">
        <v>19</v>
      </c>
      <c r="N3248">
        <v>138</v>
      </c>
      <c r="O3248">
        <v>188.97637795275591</v>
      </c>
      <c r="P3248">
        <v>0.74803149606299213</v>
      </c>
      <c r="Q3248">
        <v>5.4330708661417324</v>
      </c>
      <c r="R3248">
        <v>1251.2739999999999</v>
      </c>
      <c r="S3248">
        <v>1.2585600000000001E-2</v>
      </c>
      <c r="T3248" s="4" t="s">
        <v>5631</v>
      </c>
    </row>
    <row r="3249" spans="1:20" x14ac:dyDescent="0.2">
      <c r="A3249" s="4" t="s">
        <v>5591</v>
      </c>
      <c r="B3249" s="4" t="s">
        <v>5615</v>
      </c>
      <c r="C3249" s="4" t="s">
        <v>2096</v>
      </c>
      <c r="D3249" s="4" t="s">
        <v>4764</v>
      </c>
      <c r="E3249" s="4" t="s">
        <v>1750</v>
      </c>
      <c r="F3249" s="4" t="s">
        <v>5629</v>
      </c>
      <c r="G3249" s="4" t="s">
        <v>5595</v>
      </c>
      <c r="H3249" s="4" t="s">
        <v>5596</v>
      </c>
      <c r="I3249" s="4" t="s">
        <v>5630</v>
      </c>
      <c r="J3249" s="4" t="s">
        <v>2153</v>
      </c>
      <c r="K3249">
        <v>17</v>
      </c>
      <c r="L3249">
        <v>5.0999999999999996</v>
      </c>
      <c r="M3249">
        <v>19</v>
      </c>
      <c r="N3249">
        <v>138</v>
      </c>
      <c r="O3249">
        <v>200.78740157480314</v>
      </c>
      <c r="P3249">
        <v>0.74803149606299213</v>
      </c>
      <c r="Q3249">
        <v>5.4330708661417324</v>
      </c>
      <c r="R3249">
        <v>1251.2739999999999</v>
      </c>
      <c r="S3249">
        <v>1.3372199999999997E-2</v>
      </c>
      <c r="T3249" s="4" t="s">
        <v>5631</v>
      </c>
    </row>
    <row r="3250" spans="1:20" x14ac:dyDescent="0.2">
      <c r="A3250" s="4" t="s">
        <v>5591</v>
      </c>
      <c r="B3250" s="4" t="s">
        <v>5615</v>
      </c>
      <c r="C3250" s="4" t="s">
        <v>2096</v>
      </c>
      <c r="D3250" s="4" t="s">
        <v>4764</v>
      </c>
      <c r="E3250" s="4" t="s">
        <v>1752</v>
      </c>
      <c r="F3250" s="4" t="s">
        <v>5629</v>
      </c>
      <c r="G3250" s="4" t="s">
        <v>5595</v>
      </c>
      <c r="H3250" s="4" t="s">
        <v>5596</v>
      </c>
      <c r="I3250" s="4" t="s">
        <v>5630</v>
      </c>
      <c r="J3250" s="4" t="s">
        <v>2153</v>
      </c>
      <c r="K3250">
        <v>18</v>
      </c>
      <c r="L3250">
        <v>5.4</v>
      </c>
      <c r="M3250">
        <v>19</v>
      </c>
      <c r="N3250">
        <v>138</v>
      </c>
      <c r="O3250">
        <v>212.59842519685043</v>
      </c>
      <c r="P3250">
        <v>0.74803149606299213</v>
      </c>
      <c r="Q3250">
        <v>5.4330708661417324</v>
      </c>
      <c r="R3250">
        <v>1251.2739999999999</v>
      </c>
      <c r="S3250">
        <v>1.4158800000000001E-2</v>
      </c>
      <c r="T3250" s="4" t="s">
        <v>5631</v>
      </c>
    </row>
    <row r="3251" spans="1:20" x14ac:dyDescent="0.2">
      <c r="A3251" s="4" t="s">
        <v>5591</v>
      </c>
      <c r="B3251" s="4" t="s">
        <v>5615</v>
      </c>
      <c r="C3251" s="4" t="s">
        <v>2286</v>
      </c>
      <c r="D3251" s="4" t="s">
        <v>4764</v>
      </c>
      <c r="E3251" s="4" t="s">
        <v>1754</v>
      </c>
      <c r="F3251" s="4" t="s">
        <v>5629</v>
      </c>
      <c r="G3251" s="4" t="s">
        <v>5595</v>
      </c>
      <c r="H3251" s="4" t="s">
        <v>5596</v>
      </c>
      <c r="I3251" s="4" t="s">
        <v>5630</v>
      </c>
      <c r="J3251" s="4" t="s">
        <v>2153</v>
      </c>
      <c r="K3251">
        <v>4</v>
      </c>
      <c r="L3251">
        <v>1.2</v>
      </c>
      <c r="M3251">
        <v>19</v>
      </c>
      <c r="N3251">
        <v>138</v>
      </c>
      <c r="O3251">
        <v>47.244094488188978</v>
      </c>
      <c r="P3251">
        <v>0.74803149606299213</v>
      </c>
      <c r="Q3251">
        <v>5.4330708661417324</v>
      </c>
      <c r="R3251">
        <v>1251.2739999999999</v>
      </c>
      <c r="S3251">
        <v>3.1464000000000002E-3</v>
      </c>
      <c r="T3251" s="4" t="s">
        <v>5633</v>
      </c>
    </row>
    <row r="3252" spans="1:20" x14ac:dyDescent="0.2">
      <c r="A3252" s="4" t="s">
        <v>5591</v>
      </c>
      <c r="B3252" s="4" t="s">
        <v>5615</v>
      </c>
      <c r="C3252" s="4" t="s">
        <v>2286</v>
      </c>
      <c r="D3252" s="4" t="s">
        <v>4764</v>
      </c>
      <c r="E3252" s="4" t="s">
        <v>1756</v>
      </c>
      <c r="F3252" s="4" t="s">
        <v>5629</v>
      </c>
      <c r="G3252" s="4" t="s">
        <v>5595</v>
      </c>
      <c r="H3252" s="4" t="s">
        <v>5596</v>
      </c>
      <c r="I3252" s="4" t="s">
        <v>5630</v>
      </c>
      <c r="J3252" s="4" t="s">
        <v>2153</v>
      </c>
      <c r="K3252">
        <v>5</v>
      </c>
      <c r="L3252">
        <v>1.5</v>
      </c>
      <c r="M3252">
        <v>19</v>
      </c>
      <c r="N3252">
        <v>138</v>
      </c>
      <c r="O3252">
        <v>59.055118110236222</v>
      </c>
      <c r="P3252">
        <v>0.74803149606299213</v>
      </c>
      <c r="Q3252">
        <v>5.4330708661417324</v>
      </c>
      <c r="R3252">
        <v>1251.2739999999999</v>
      </c>
      <c r="S3252">
        <v>3.9329999999999999E-3</v>
      </c>
      <c r="T3252" s="4" t="s">
        <v>5633</v>
      </c>
    </row>
    <row r="3253" spans="1:20" x14ac:dyDescent="0.2">
      <c r="A3253" s="4" t="s">
        <v>5591</v>
      </c>
      <c r="B3253" s="4" t="s">
        <v>5615</v>
      </c>
      <c r="C3253" s="4" t="s">
        <v>2286</v>
      </c>
      <c r="D3253" s="4" t="s">
        <v>4764</v>
      </c>
      <c r="E3253" s="4" t="s">
        <v>1758</v>
      </c>
      <c r="F3253" s="4" t="s">
        <v>5629</v>
      </c>
      <c r="G3253" s="4" t="s">
        <v>5595</v>
      </c>
      <c r="H3253" s="4" t="s">
        <v>5596</v>
      </c>
      <c r="I3253" s="4" t="s">
        <v>5630</v>
      </c>
      <c r="J3253" s="4" t="s">
        <v>2153</v>
      </c>
      <c r="K3253">
        <v>6</v>
      </c>
      <c r="L3253">
        <v>1.8</v>
      </c>
      <c r="M3253">
        <v>19</v>
      </c>
      <c r="N3253">
        <v>138</v>
      </c>
      <c r="O3253">
        <v>70.866141732283467</v>
      </c>
      <c r="P3253">
        <v>0.74803149606299213</v>
      </c>
      <c r="Q3253">
        <v>5.4330708661417324</v>
      </c>
      <c r="R3253">
        <v>1251.2739999999999</v>
      </c>
      <c r="S3253">
        <v>4.7196E-3</v>
      </c>
      <c r="T3253" s="4" t="s">
        <v>5633</v>
      </c>
    </row>
    <row r="3254" spans="1:20" x14ac:dyDescent="0.2">
      <c r="A3254" s="4" t="s">
        <v>5591</v>
      </c>
      <c r="B3254" s="4" t="s">
        <v>5615</v>
      </c>
      <c r="C3254" s="4" t="s">
        <v>2286</v>
      </c>
      <c r="D3254" s="4" t="s">
        <v>4764</v>
      </c>
      <c r="E3254" s="4" t="s">
        <v>1760</v>
      </c>
      <c r="F3254" s="4" t="s">
        <v>5629</v>
      </c>
      <c r="G3254" s="4" t="s">
        <v>5595</v>
      </c>
      <c r="H3254" s="4" t="s">
        <v>5596</v>
      </c>
      <c r="I3254" s="4" t="s">
        <v>5630</v>
      </c>
      <c r="J3254" s="4" t="s">
        <v>2153</v>
      </c>
      <c r="K3254">
        <v>7</v>
      </c>
      <c r="L3254">
        <v>2.1</v>
      </c>
      <c r="M3254">
        <v>19</v>
      </c>
      <c r="N3254">
        <v>138</v>
      </c>
      <c r="O3254">
        <v>82.677165354330711</v>
      </c>
      <c r="P3254">
        <v>0.74803149606299213</v>
      </c>
      <c r="Q3254">
        <v>5.4330708661417324</v>
      </c>
      <c r="R3254">
        <v>1251.2739999999999</v>
      </c>
      <c r="S3254">
        <v>5.5062000000000002E-3</v>
      </c>
      <c r="T3254" s="4" t="s">
        <v>5633</v>
      </c>
    </row>
    <row r="3255" spans="1:20" x14ac:dyDescent="0.2">
      <c r="A3255" s="4" t="s">
        <v>5591</v>
      </c>
      <c r="B3255" s="4" t="s">
        <v>5615</v>
      </c>
      <c r="C3255" s="4" t="s">
        <v>2096</v>
      </c>
      <c r="D3255" s="4" t="s">
        <v>4764</v>
      </c>
      <c r="E3255" s="4" t="s">
        <v>1762</v>
      </c>
      <c r="F3255" s="4" t="s">
        <v>5629</v>
      </c>
      <c r="G3255" s="4" t="s">
        <v>5595</v>
      </c>
      <c r="H3255" s="4" t="s">
        <v>5596</v>
      </c>
      <c r="I3255" s="4" t="s">
        <v>5630</v>
      </c>
      <c r="J3255" s="4" t="s">
        <v>2153</v>
      </c>
      <c r="K3255">
        <v>8</v>
      </c>
      <c r="L3255">
        <v>2.4</v>
      </c>
      <c r="M3255">
        <v>19</v>
      </c>
      <c r="N3255">
        <v>138</v>
      </c>
      <c r="O3255">
        <v>94.488188976377955</v>
      </c>
      <c r="P3255">
        <v>0.74803149606299213</v>
      </c>
      <c r="Q3255">
        <v>5.4330708661417324</v>
      </c>
      <c r="R3255">
        <v>1251.2739999999999</v>
      </c>
      <c r="S3255">
        <v>6.2928000000000003E-3</v>
      </c>
      <c r="T3255" s="4" t="s">
        <v>5631</v>
      </c>
    </row>
    <row r="3256" spans="1:20" x14ac:dyDescent="0.2">
      <c r="A3256" s="4" t="s">
        <v>5591</v>
      </c>
      <c r="B3256" s="4" t="s">
        <v>5615</v>
      </c>
      <c r="C3256" s="4" t="s">
        <v>2096</v>
      </c>
      <c r="D3256" s="4" t="s">
        <v>4764</v>
      </c>
      <c r="E3256" s="4" t="s">
        <v>1764</v>
      </c>
      <c r="F3256" s="4" t="s">
        <v>5629</v>
      </c>
      <c r="G3256" s="4" t="s">
        <v>5595</v>
      </c>
      <c r="H3256" s="4" t="s">
        <v>5596</v>
      </c>
      <c r="I3256" s="4" t="s">
        <v>5630</v>
      </c>
      <c r="J3256" s="4" t="s">
        <v>2153</v>
      </c>
      <c r="K3256">
        <v>9</v>
      </c>
      <c r="L3256">
        <v>2.7</v>
      </c>
      <c r="M3256">
        <v>19</v>
      </c>
      <c r="N3256">
        <v>138</v>
      </c>
      <c r="O3256">
        <v>106.29921259842521</v>
      </c>
      <c r="P3256">
        <v>0.74803149606299213</v>
      </c>
      <c r="Q3256">
        <v>5.4330708661417324</v>
      </c>
      <c r="R3256">
        <v>1251.2739999999999</v>
      </c>
      <c r="S3256">
        <v>7.0794000000000004E-3</v>
      </c>
      <c r="T3256" s="4" t="s">
        <v>5631</v>
      </c>
    </row>
    <row r="3257" spans="1:20" x14ac:dyDescent="0.2">
      <c r="A3257" s="4" t="s">
        <v>5591</v>
      </c>
      <c r="B3257" s="4" t="s">
        <v>5592</v>
      </c>
      <c r="C3257" s="4" t="s">
        <v>2096</v>
      </c>
      <c r="D3257" s="4" t="s">
        <v>4764</v>
      </c>
      <c r="E3257" s="4" t="s">
        <v>1654</v>
      </c>
      <c r="F3257" s="4" t="s">
        <v>5634</v>
      </c>
      <c r="G3257" s="4" t="s">
        <v>5595</v>
      </c>
      <c r="H3257" s="4" t="s">
        <v>5596</v>
      </c>
      <c r="I3257" s="4" t="s">
        <v>5635</v>
      </c>
      <c r="J3257" s="4" t="s">
        <v>5598</v>
      </c>
      <c r="K3257">
        <v>10</v>
      </c>
      <c r="L3257">
        <v>3</v>
      </c>
      <c r="M3257">
        <v>19</v>
      </c>
      <c r="N3257">
        <v>115</v>
      </c>
      <c r="O3257">
        <v>118.11023622047244</v>
      </c>
      <c r="P3257">
        <v>0.74803149606299213</v>
      </c>
      <c r="Q3257">
        <v>4.5275590551181102</v>
      </c>
      <c r="R3257">
        <v>1501.529</v>
      </c>
      <c r="S3257">
        <v>6.5550000000000009E-3</v>
      </c>
      <c r="T3257" s="4" t="s">
        <v>5636</v>
      </c>
    </row>
    <row r="3258" spans="1:20" x14ac:dyDescent="0.2">
      <c r="A3258" s="4" t="s">
        <v>5591</v>
      </c>
      <c r="B3258" s="4" t="s">
        <v>5592</v>
      </c>
      <c r="C3258" s="4" t="s">
        <v>2096</v>
      </c>
      <c r="D3258" s="4" t="s">
        <v>4764</v>
      </c>
      <c r="E3258" s="4" t="s">
        <v>5637</v>
      </c>
      <c r="F3258" s="4" t="s">
        <v>5634</v>
      </c>
      <c r="G3258" s="4" t="s">
        <v>5595</v>
      </c>
      <c r="H3258" s="4" t="s">
        <v>5596</v>
      </c>
      <c r="I3258" s="4" t="s">
        <v>5635</v>
      </c>
      <c r="J3258" s="4" t="s">
        <v>5598</v>
      </c>
      <c r="K3258">
        <v>11</v>
      </c>
      <c r="L3258">
        <v>3.3</v>
      </c>
      <c r="M3258">
        <v>19</v>
      </c>
      <c r="N3258">
        <v>115</v>
      </c>
      <c r="O3258">
        <v>129.92125984251967</v>
      </c>
      <c r="P3258">
        <v>0.74803149606299213</v>
      </c>
      <c r="Q3258">
        <v>4.5275590551181102</v>
      </c>
      <c r="R3258">
        <v>1501.529</v>
      </c>
      <c r="S3258">
        <v>7.210499999999999E-3</v>
      </c>
      <c r="T3258" s="4" t="s">
        <v>5636</v>
      </c>
    </row>
    <row r="3259" spans="1:20" x14ac:dyDescent="0.2">
      <c r="A3259" s="4" t="s">
        <v>5591</v>
      </c>
      <c r="B3259" s="4" t="s">
        <v>5592</v>
      </c>
      <c r="C3259" s="4" t="s">
        <v>2096</v>
      </c>
      <c r="D3259" s="4" t="s">
        <v>4764</v>
      </c>
      <c r="E3259" s="4" t="s">
        <v>1656</v>
      </c>
      <c r="F3259" s="4" t="s">
        <v>5634</v>
      </c>
      <c r="G3259" s="4" t="s">
        <v>5595</v>
      </c>
      <c r="H3259" s="4" t="s">
        <v>5596</v>
      </c>
      <c r="I3259" s="4" t="s">
        <v>5635</v>
      </c>
      <c r="J3259" s="4" t="s">
        <v>5598</v>
      </c>
      <c r="K3259">
        <v>12</v>
      </c>
      <c r="L3259">
        <v>3.6</v>
      </c>
      <c r="M3259">
        <v>19</v>
      </c>
      <c r="N3259">
        <v>115</v>
      </c>
      <c r="O3259">
        <v>141.73228346456693</v>
      </c>
      <c r="P3259">
        <v>0.74803149606299213</v>
      </c>
      <c r="Q3259">
        <v>4.5275590551181102</v>
      </c>
      <c r="R3259">
        <v>1501.529</v>
      </c>
      <c r="S3259">
        <v>7.8659999999999997E-3</v>
      </c>
      <c r="T3259" s="4" t="s">
        <v>5636</v>
      </c>
    </row>
    <row r="3260" spans="1:20" x14ac:dyDescent="0.2">
      <c r="A3260" s="4" t="s">
        <v>5591</v>
      </c>
      <c r="B3260" s="4" t="s">
        <v>5592</v>
      </c>
      <c r="C3260" s="4" t="s">
        <v>2096</v>
      </c>
      <c r="D3260" s="4" t="s">
        <v>4764</v>
      </c>
      <c r="E3260" s="4" t="s">
        <v>5638</v>
      </c>
      <c r="F3260" s="4" t="s">
        <v>5634</v>
      </c>
      <c r="G3260" s="4" t="s">
        <v>5595</v>
      </c>
      <c r="H3260" s="4" t="s">
        <v>5596</v>
      </c>
      <c r="I3260" s="4" t="s">
        <v>5635</v>
      </c>
      <c r="J3260" s="4" t="s">
        <v>5598</v>
      </c>
      <c r="K3260">
        <v>13</v>
      </c>
      <c r="L3260">
        <v>3.9</v>
      </c>
      <c r="M3260">
        <v>19</v>
      </c>
      <c r="N3260">
        <v>115</v>
      </c>
      <c r="O3260">
        <v>153.54330708661416</v>
      </c>
      <c r="P3260">
        <v>0.74803149606299213</v>
      </c>
      <c r="Q3260">
        <v>4.5275590551181102</v>
      </c>
      <c r="R3260">
        <v>1501.529</v>
      </c>
      <c r="S3260">
        <v>8.5214999999999996E-3</v>
      </c>
      <c r="T3260" s="4" t="s">
        <v>5636</v>
      </c>
    </row>
    <row r="3261" spans="1:20" x14ac:dyDescent="0.2">
      <c r="A3261" s="4" t="s">
        <v>5591</v>
      </c>
      <c r="B3261" s="4" t="s">
        <v>5592</v>
      </c>
      <c r="C3261" s="4" t="s">
        <v>2096</v>
      </c>
      <c r="D3261" s="4" t="s">
        <v>4764</v>
      </c>
      <c r="E3261" s="4" t="s">
        <v>1658</v>
      </c>
      <c r="F3261" s="4" t="s">
        <v>5634</v>
      </c>
      <c r="G3261" s="4" t="s">
        <v>5595</v>
      </c>
      <c r="H3261" s="4" t="s">
        <v>5596</v>
      </c>
      <c r="I3261" s="4" t="s">
        <v>5635</v>
      </c>
      <c r="J3261" s="4" t="s">
        <v>5598</v>
      </c>
      <c r="K3261">
        <v>14</v>
      </c>
      <c r="L3261">
        <v>4.2</v>
      </c>
      <c r="M3261">
        <v>19</v>
      </c>
      <c r="N3261">
        <v>115</v>
      </c>
      <c r="O3261">
        <v>165.35433070866142</v>
      </c>
      <c r="P3261">
        <v>0.74803149606299213</v>
      </c>
      <c r="Q3261">
        <v>4.5275590551181102</v>
      </c>
      <c r="R3261">
        <v>1501.529</v>
      </c>
      <c r="S3261">
        <v>9.1769999999999994E-3</v>
      </c>
      <c r="T3261" s="4" t="s">
        <v>5636</v>
      </c>
    </row>
    <row r="3262" spans="1:20" x14ac:dyDescent="0.2">
      <c r="A3262" s="4" t="s">
        <v>5591</v>
      </c>
      <c r="B3262" s="4" t="s">
        <v>5592</v>
      </c>
      <c r="C3262" s="4" t="s">
        <v>2096</v>
      </c>
      <c r="D3262" s="4" t="s">
        <v>4764</v>
      </c>
      <c r="E3262" s="4" t="s">
        <v>5639</v>
      </c>
      <c r="F3262" s="4" t="s">
        <v>5634</v>
      </c>
      <c r="G3262" s="4" t="s">
        <v>5595</v>
      </c>
      <c r="H3262" s="4" t="s">
        <v>5596</v>
      </c>
      <c r="I3262" s="4" t="s">
        <v>5635</v>
      </c>
      <c r="J3262" s="4" t="s">
        <v>5598</v>
      </c>
      <c r="K3262">
        <v>15</v>
      </c>
      <c r="L3262">
        <v>4.5</v>
      </c>
      <c r="M3262">
        <v>19</v>
      </c>
      <c r="N3262">
        <v>115</v>
      </c>
      <c r="O3262">
        <v>177.16535433070868</v>
      </c>
      <c r="P3262">
        <v>0.74803149606299213</v>
      </c>
      <c r="Q3262">
        <v>4.5275590551181102</v>
      </c>
      <c r="R3262">
        <v>1501.529</v>
      </c>
      <c r="S3262">
        <v>9.832500000000001E-3</v>
      </c>
      <c r="T3262" s="4" t="s">
        <v>5636</v>
      </c>
    </row>
    <row r="3263" spans="1:20" x14ac:dyDescent="0.2">
      <c r="A3263" s="4" t="s">
        <v>5591</v>
      </c>
      <c r="B3263" s="4" t="s">
        <v>5592</v>
      </c>
      <c r="C3263" s="4" t="s">
        <v>2096</v>
      </c>
      <c r="D3263" s="4" t="s">
        <v>4764</v>
      </c>
      <c r="E3263" s="4" t="s">
        <v>1660</v>
      </c>
      <c r="F3263" s="4" t="s">
        <v>5634</v>
      </c>
      <c r="G3263" s="4" t="s">
        <v>5595</v>
      </c>
      <c r="H3263" s="4" t="s">
        <v>5596</v>
      </c>
      <c r="I3263" s="4" t="s">
        <v>5635</v>
      </c>
      <c r="J3263" s="4" t="s">
        <v>5598</v>
      </c>
      <c r="K3263">
        <v>16</v>
      </c>
      <c r="L3263">
        <v>4.8</v>
      </c>
      <c r="M3263">
        <v>19</v>
      </c>
      <c r="N3263">
        <v>115</v>
      </c>
      <c r="O3263">
        <v>188.97637795275591</v>
      </c>
      <c r="P3263">
        <v>0.74803149606299213</v>
      </c>
      <c r="Q3263">
        <v>4.5275590551181102</v>
      </c>
      <c r="R3263">
        <v>1501.529</v>
      </c>
      <c r="S3263">
        <v>1.0487999999999999E-2</v>
      </c>
      <c r="T3263" s="4" t="s">
        <v>5636</v>
      </c>
    </row>
    <row r="3264" spans="1:20" x14ac:dyDescent="0.2">
      <c r="A3264" s="4" t="s">
        <v>5591</v>
      </c>
      <c r="B3264" s="4" t="s">
        <v>5592</v>
      </c>
      <c r="C3264" s="4" t="s">
        <v>2096</v>
      </c>
      <c r="D3264" s="4" t="s">
        <v>4764</v>
      </c>
      <c r="E3264" s="4" t="s">
        <v>5640</v>
      </c>
      <c r="F3264" s="4" t="s">
        <v>5634</v>
      </c>
      <c r="G3264" s="4" t="s">
        <v>5595</v>
      </c>
      <c r="H3264" s="4" t="s">
        <v>5596</v>
      </c>
      <c r="I3264" s="4" t="s">
        <v>5635</v>
      </c>
      <c r="J3264" s="4" t="s">
        <v>5598</v>
      </c>
      <c r="K3264">
        <v>17</v>
      </c>
      <c r="L3264">
        <v>5.0999999999999996</v>
      </c>
      <c r="M3264">
        <v>19</v>
      </c>
      <c r="N3264">
        <v>115</v>
      </c>
      <c r="O3264">
        <v>200.78740157480314</v>
      </c>
      <c r="P3264">
        <v>0.74803149606299213</v>
      </c>
      <c r="Q3264">
        <v>4.5275590551181102</v>
      </c>
      <c r="R3264">
        <v>1501.529</v>
      </c>
      <c r="S3264">
        <v>1.1143499999999997E-2</v>
      </c>
      <c r="T3264" s="4" t="s">
        <v>5636</v>
      </c>
    </row>
    <row r="3265" spans="1:20" x14ac:dyDescent="0.2">
      <c r="A3265" s="4" t="s">
        <v>5591</v>
      </c>
      <c r="B3265" s="4" t="s">
        <v>5592</v>
      </c>
      <c r="C3265" s="4" t="s">
        <v>2096</v>
      </c>
      <c r="D3265" s="4" t="s">
        <v>4764</v>
      </c>
      <c r="E3265" s="4" t="s">
        <v>1662</v>
      </c>
      <c r="F3265" s="4" t="s">
        <v>5634</v>
      </c>
      <c r="G3265" s="4" t="s">
        <v>5595</v>
      </c>
      <c r="H3265" s="4" t="s">
        <v>5596</v>
      </c>
      <c r="I3265" s="4" t="s">
        <v>5635</v>
      </c>
      <c r="J3265" s="4" t="s">
        <v>5598</v>
      </c>
      <c r="K3265">
        <v>18</v>
      </c>
      <c r="L3265">
        <v>5.4</v>
      </c>
      <c r="M3265">
        <v>19</v>
      </c>
      <c r="N3265">
        <v>115</v>
      </c>
      <c r="O3265">
        <v>212.59842519685043</v>
      </c>
      <c r="P3265">
        <v>0.74803149606299213</v>
      </c>
      <c r="Q3265">
        <v>4.5275590551181102</v>
      </c>
      <c r="R3265">
        <v>1501.529</v>
      </c>
      <c r="S3265">
        <v>1.1799E-2</v>
      </c>
      <c r="T3265" s="4" t="s">
        <v>5636</v>
      </c>
    </row>
    <row r="3266" spans="1:20" x14ac:dyDescent="0.2">
      <c r="A3266" s="4" t="s">
        <v>5591</v>
      </c>
      <c r="B3266" s="4" t="s">
        <v>5592</v>
      </c>
      <c r="C3266" s="4" t="s">
        <v>2286</v>
      </c>
      <c r="D3266" s="4" t="s">
        <v>4764</v>
      </c>
      <c r="E3266" s="4" t="s">
        <v>1664</v>
      </c>
      <c r="F3266" s="4" t="s">
        <v>5634</v>
      </c>
      <c r="G3266" s="4" t="s">
        <v>5595</v>
      </c>
      <c r="H3266" s="4" t="s">
        <v>5596</v>
      </c>
      <c r="I3266" s="4" t="s">
        <v>5635</v>
      </c>
      <c r="J3266" s="4" t="s">
        <v>5598</v>
      </c>
      <c r="K3266">
        <v>4</v>
      </c>
      <c r="L3266">
        <v>1.2</v>
      </c>
      <c r="M3266">
        <v>19</v>
      </c>
      <c r="N3266">
        <v>115</v>
      </c>
      <c r="O3266">
        <v>47.244094488188978</v>
      </c>
      <c r="P3266">
        <v>0.74803149606299213</v>
      </c>
      <c r="Q3266">
        <v>4.5275590551181102</v>
      </c>
      <c r="R3266">
        <v>1501.529</v>
      </c>
      <c r="S3266">
        <v>2.6219999999999998E-3</v>
      </c>
      <c r="T3266" s="4" t="s">
        <v>5641</v>
      </c>
    </row>
    <row r="3267" spans="1:20" x14ac:dyDescent="0.2">
      <c r="A3267" s="4" t="s">
        <v>5591</v>
      </c>
      <c r="B3267" s="4" t="s">
        <v>5592</v>
      </c>
      <c r="C3267" s="4" t="s">
        <v>2286</v>
      </c>
      <c r="D3267" s="4" t="s">
        <v>4764</v>
      </c>
      <c r="E3267" s="4" t="s">
        <v>1666</v>
      </c>
      <c r="F3267" s="4" t="s">
        <v>5634</v>
      </c>
      <c r="G3267" s="4" t="s">
        <v>5595</v>
      </c>
      <c r="H3267" s="4" t="s">
        <v>5596</v>
      </c>
      <c r="I3267" s="4" t="s">
        <v>5635</v>
      </c>
      <c r="J3267" s="4" t="s">
        <v>5598</v>
      </c>
      <c r="K3267">
        <v>5</v>
      </c>
      <c r="L3267">
        <v>1.5</v>
      </c>
      <c r="M3267">
        <v>19</v>
      </c>
      <c r="N3267">
        <v>115</v>
      </c>
      <c r="O3267">
        <v>59.055118110236222</v>
      </c>
      <c r="P3267">
        <v>0.74803149606299213</v>
      </c>
      <c r="Q3267">
        <v>4.5275590551181102</v>
      </c>
      <c r="R3267">
        <v>1501.529</v>
      </c>
      <c r="S3267">
        <v>3.2775000000000005E-3</v>
      </c>
      <c r="T3267" s="4" t="s">
        <v>5641</v>
      </c>
    </row>
    <row r="3268" spans="1:20" x14ac:dyDescent="0.2">
      <c r="A3268" s="4" t="s">
        <v>5591</v>
      </c>
      <c r="B3268" s="4" t="s">
        <v>5592</v>
      </c>
      <c r="C3268" s="4" t="s">
        <v>2286</v>
      </c>
      <c r="D3268" s="4" t="s">
        <v>4764</v>
      </c>
      <c r="E3268" s="4" t="s">
        <v>1668</v>
      </c>
      <c r="F3268" s="4" t="s">
        <v>5634</v>
      </c>
      <c r="G3268" s="4" t="s">
        <v>5595</v>
      </c>
      <c r="H3268" s="4" t="s">
        <v>5596</v>
      </c>
      <c r="I3268" s="4" t="s">
        <v>5635</v>
      </c>
      <c r="J3268" s="4" t="s">
        <v>5598</v>
      </c>
      <c r="K3268">
        <v>6</v>
      </c>
      <c r="L3268">
        <v>1.8</v>
      </c>
      <c r="M3268">
        <v>19</v>
      </c>
      <c r="N3268">
        <v>115</v>
      </c>
      <c r="O3268">
        <v>70.866141732283467</v>
      </c>
      <c r="P3268">
        <v>0.74803149606299213</v>
      </c>
      <c r="Q3268">
        <v>4.5275590551181102</v>
      </c>
      <c r="R3268">
        <v>1501.529</v>
      </c>
      <c r="S3268">
        <v>3.9329999999999999E-3</v>
      </c>
      <c r="T3268" s="4" t="s">
        <v>5641</v>
      </c>
    </row>
    <row r="3269" spans="1:20" x14ac:dyDescent="0.2">
      <c r="A3269" s="4" t="s">
        <v>5591</v>
      </c>
      <c r="B3269" s="4" t="s">
        <v>5592</v>
      </c>
      <c r="C3269" s="4" t="s">
        <v>2286</v>
      </c>
      <c r="D3269" s="4" t="s">
        <v>4764</v>
      </c>
      <c r="E3269" s="4" t="s">
        <v>1670</v>
      </c>
      <c r="F3269" s="4" t="s">
        <v>5634</v>
      </c>
      <c r="G3269" s="4" t="s">
        <v>5595</v>
      </c>
      <c r="H3269" s="4" t="s">
        <v>5596</v>
      </c>
      <c r="I3269" s="4" t="s">
        <v>5635</v>
      </c>
      <c r="J3269" s="4" t="s">
        <v>5598</v>
      </c>
      <c r="K3269">
        <v>7</v>
      </c>
      <c r="L3269">
        <v>2.1</v>
      </c>
      <c r="M3269">
        <v>19</v>
      </c>
      <c r="N3269">
        <v>115</v>
      </c>
      <c r="O3269">
        <v>82.677165354330711</v>
      </c>
      <c r="P3269">
        <v>0.74803149606299213</v>
      </c>
      <c r="Q3269">
        <v>4.5275590551181102</v>
      </c>
      <c r="R3269">
        <v>1501.529</v>
      </c>
      <c r="S3269">
        <v>4.5884999999999997E-3</v>
      </c>
      <c r="T3269" s="4" t="s">
        <v>5641</v>
      </c>
    </row>
    <row r="3270" spans="1:20" x14ac:dyDescent="0.2">
      <c r="A3270" s="4" t="s">
        <v>5591</v>
      </c>
      <c r="B3270" s="4" t="s">
        <v>5592</v>
      </c>
      <c r="C3270" s="4" t="s">
        <v>2096</v>
      </c>
      <c r="D3270" s="4" t="s">
        <v>4764</v>
      </c>
      <c r="E3270" s="4" t="s">
        <v>1672</v>
      </c>
      <c r="F3270" s="4" t="s">
        <v>5634</v>
      </c>
      <c r="G3270" s="4" t="s">
        <v>5595</v>
      </c>
      <c r="H3270" s="4" t="s">
        <v>5596</v>
      </c>
      <c r="I3270" s="4" t="s">
        <v>5635</v>
      </c>
      <c r="J3270" s="4" t="s">
        <v>5598</v>
      </c>
      <c r="K3270">
        <v>8</v>
      </c>
      <c r="L3270">
        <v>2.4</v>
      </c>
      <c r="M3270">
        <v>19</v>
      </c>
      <c r="N3270">
        <v>115</v>
      </c>
      <c r="O3270">
        <v>94.488188976377955</v>
      </c>
      <c r="P3270">
        <v>0.74803149606299213</v>
      </c>
      <c r="Q3270">
        <v>4.5275590551181102</v>
      </c>
      <c r="R3270">
        <v>1501.529</v>
      </c>
      <c r="S3270">
        <v>5.2439999999999995E-3</v>
      </c>
      <c r="T3270" s="4" t="s">
        <v>5636</v>
      </c>
    </row>
    <row r="3271" spans="1:20" x14ac:dyDescent="0.2">
      <c r="A3271" s="4" t="s">
        <v>5591</v>
      </c>
      <c r="B3271" s="4" t="s">
        <v>5592</v>
      </c>
      <c r="C3271" s="4" t="s">
        <v>2096</v>
      </c>
      <c r="D3271" s="4" t="s">
        <v>4764</v>
      </c>
      <c r="E3271" s="4" t="s">
        <v>1674</v>
      </c>
      <c r="F3271" s="4" t="s">
        <v>5634</v>
      </c>
      <c r="G3271" s="4" t="s">
        <v>5595</v>
      </c>
      <c r="H3271" s="4" t="s">
        <v>5596</v>
      </c>
      <c r="I3271" s="4" t="s">
        <v>5635</v>
      </c>
      <c r="J3271" s="4" t="s">
        <v>5598</v>
      </c>
      <c r="K3271">
        <v>9</v>
      </c>
      <c r="L3271">
        <v>2.7</v>
      </c>
      <c r="M3271">
        <v>19</v>
      </c>
      <c r="N3271">
        <v>115</v>
      </c>
      <c r="O3271">
        <v>106.29921259842521</v>
      </c>
      <c r="P3271">
        <v>0.74803149606299213</v>
      </c>
      <c r="Q3271">
        <v>4.5275590551181102</v>
      </c>
      <c r="R3271">
        <v>1501.529</v>
      </c>
      <c r="S3271">
        <v>5.8995000000000002E-3</v>
      </c>
      <c r="T3271" s="4" t="s">
        <v>5636</v>
      </c>
    </row>
    <row r="3272" spans="1:20" x14ac:dyDescent="0.2">
      <c r="A3272" s="4" t="s">
        <v>5591</v>
      </c>
      <c r="B3272" s="4" t="s">
        <v>5642</v>
      </c>
      <c r="C3272" s="4" t="s">
        <v>2096</v>
      </c>
      <c r="D3272" s="4" t="s">
        <v>4764</v>
      </c>
      <c r="E3272" s="4" t="s">
        <v>5643</v>
      </c>
      <c r="F3272" s="4" t="s">
        <v>5644</v>
      </c>
      <c r="G3272" s="4" t="s">
        <v>5595</v>
      </c>
      <c r="H3272" s="4" t="s">
        <v>5596</v>
      </c>
      <c r="I3272" s="4" t="s">
        <v>2100</v>
      </c>
      <c r="J3272" s="4" t="s">
        <v>5645</v>
      </c>
      <c r="K3272">
        <v>10</v>
      </c>
      <c r="L3272">
        <v>3</v>
      </c>
      <c r="M3272">
        <v>10</v>
      </c>
      <c r="N3272">
        <v>90</v>
      </c>
      <c r="O3272">
        <v>118.11023622047244</v>
      </c>
      <c r="P3272">
        <v>0.39370078740157483</v>
      </c>
      <c r="Q3272">
        <v>3.5433070866141736</v>
      </c>
      <c r="R3272">
        <v>3645.3780000000002</v>
      </c>
      <c r="S3272">
        <v>2.6999999999999997E-3</v>
      </c>
      <c r="T3272" s="4" t="s">
        <v>5646</v>
      </c>
    </row>
    <row r="3273" spans="1:20" x14ac:dyDescent="0.2">
      <c r="A3273" s="4" t="s">
        <v>5591</v>
      </c>
      <c r="B3273" s="4" t="s">
        <v>5642</v>
      </c>
      <c r="C3273" s="4" t="s">
        <v>2096</v>
      </c>
      <c r="D3273" s="4" t="s">
        <v>4764</v>
      </c>
      <c r="E3273" s="4" t="s">
        <v>5647</v>
      </c>
      <c r="F3273" s="4" t="s">
        <v>5644</v>
      </c>
      <c r="G3273" s="4" t="s">
        <v>5595</v>
      </c>
      <c r="H3273" s="4" t="s">
        <v>5596</v>
      </c>
      <c r="I3273" s="4" t="s">
        <v>2100</v>
      </c>
      <c r="J3273" s="4" t="s">
        <v>5645</v>
      </c>
      <c r="K3273">
        <v>11</v>
      </c>
      <c r="L3273">
        <v>3.3</v>
      </c>
      <c r="M3273">
        <v>10</v>
      </c>
      <c r="N3273">
        <v>90</v>
      </c>
      <c r="O3273">
        <v>129.92125984251967</v>
      </c>
      <c r="P3273">
        <v>0.39370078740157483</v>
      </c>
      <c r="Q3273">
        <v>3.5433070866141736</v>
      </c>
      <c r="R3273">
        <v>3645.3780000000002</v>
      </c>
      <c r="S3273">
        <v>2.97E-3</v>
      </c>
      <c r="T3273" s="4" t="s">
        <v>5646</v>
      </c>
    </row>
    <row r="3274" spans="1:20" x14ac:dyDescent="0.2">
      <c r="A3274" s="4" t="s">
        <v>5591</v>
      </c>
      <c r="B3274" s="4" t="s">
        <v>5642</v>
      </c>
      <c r="C3274" s="4" t="s">
        <v>2096</v>
      </c>
      <c r="D3274" s="4" t="s">
        <v>4764</v>
      </c>
      <c r="E3274" s="4" t="s">
        <v>5648</v>
      </c>
      <c r="F3274" s="4" t="s">
        <v>5644</v>
      </c>
      <c r="G3274" s="4" t="s">
        <v>5595</v>
      </c>
      <c r="H3274" s="4" t="s">
        <v>5596</v>
      </c>
      <c r="I3274" s="4" t="s">
        <v>2100</v>
      </c>
      <c r="J3274" s="4" t="s">
        <v>5645</v>
      </c>
      <c r="K3274">
        <v>12</v>
      </c>
      <c r="L3274">
        <v>3.6</v>
      </c>
      <c r="M3274">
        <v>10</v>
      </c>
      <c r="N3274">
        <v>90</v>
      </c>
      <c r="O3274">
        <v>141.73228346456693</v>
      </c>
      <c r="P3274">
        <v>0.39370078740157483</v>
      </c>
      <c r="Q3274">
        <v>3.5433070866141736</v>
      </c>
      <c r="R3274">
        <v>3645.3780000000002</v>
      </c>
      <c r="S3274">
        <v>3.2399999999999998E-3</v>
      </c>
      <c r="T3274" s="4" t="s">
        <v>5646</v>
      </c>
    </row>
    <row r="3275" spans="1:20" x14ac:dyDescent="0.2">
      <c r="A3275" s="4" t="s">
        <v>5591</v>
      </c>
      <c r="B3275" s="4" t="s">
        <v>5642</v>
      </c>
      <c r="C3275" s="4" t="s">
        <v>2096</v>
      </c>
      <c r="D3275" s="4" t="s">
        <v>4764</v>
      </c>
      <c r="E3275" s="4" t="s">
        <v>5649</v>
      </c>
      <c r="F3275" s="4" t="s">
        <v>5644</v>
      </c>
      <c r="G3275" s="4" t="s">
        <v>5595</v>
      </c>
      <c r="H3275" s="4" t="s">
        <v>5596</v>
      </c>
      <c r="I3275" s="4" t="s">
        <v>2100</v>
      </c>
      <c r="J3275" s="4" t="s">
        <v>5645</v>
      </c>
      <c r="K3275">
        <v>13</v>
      </c>
      <c r="L3275">
        <v>3.9</v>
      </c>
      <c r="M3275">
        <v>10</v>
      </c>
      <c r="N3275">
        <v>90</v>
      </c>
      <c r="O3275">
        <v>153.54330708661416</v>
      </c>
      <c r="P3275">
        <v>0.39370078740157483</v>
      </c>
      <c r="Q3275">
        <v>3.5433070866141736</v>
      </c>
      <c r="R3275">
        <v>3645.3780000000002</v>
      </c>
      <c r="S3275">
        <v>3.5099999999999997E-3</v>
      </c>
      <c r="T3275" s="4" t="s">
        <v>5646</v>
      </c>
    </row>
    <row r="3276" spans="1:20" x14ac:dyDescent="0.2">
      <c r="A3276" s="4" t="s">
        <v>5591</v>
      </c>
      <c r="B3276" s="4" t="s">
        <v>5642</v>
      </c>
      <c r="C3276" s="4" t="s">
        <v>2096</v>
      </c>
      <c r="D3276" s="4" t="s">
        <v>4764</v>
      </c>
      <c r="E3276" s="4" t="s">
        <v>5650</v>
      </c>
      <c r="F3276" s="4" t="s">
        <v>5644</v>
      </c>
      <c r="G3276" s="4" t="s">
        <v>5595</v>
      </c>
      <c r="H3276" s="4" t="s">
        <v>5596</v>
      </c>
      <c r="I3276" s="4" t="s">
        <v>2100</v>
      </c>
      <c r="J3276" s="4" t="s">
        <v>5645</v>
      </c>
      <c r="K3276">
        <v>14</v>
      </c>
      <c r="L3276">
        <v>4.2</v>
      </c>
      <c r="M3276">
        <v>10</v>
      </c>
      <c r="N3276">
        <v>90</v>
      </c>
      <c r="O3276">
        <v>165.35433070866142</v>
      </c>
      <c r="P3276">
        <v>0.39370078740157483</v>
      </c>
      <c r="Q3276">
        <v>3.5433070866141736</v>
      </c>
      <c r="R3276">
        <v>3645.3780000000002</v>
      </c>
      <c r="S3276">
        <v>3.7800000000000004E-3</v>
      </c>
      <c r="T3276" s="4" t="s">
        <v>5646</v>
      </c>
    </row>
    <row r="3277" spans="1:20" x14ac:dyDescent="0.2">
      <c r="A3277" s="4" t="s">
        <v>5591</v>
      </c>
      <c r="B3277" s="4" t="s">
        <v>5642</v>
      </c>
      <c r="C3277" s="4" t="s">
        <v>2096</v>
      </c>
      <c r="D3277" s="4" t="s">
        <v>4764</v>
      </c>
      <c r="E3277" s="4" t="s">
        <v>5651</v>
      </c>
      <c r="F3277" s="4" t="s">
        <v>5644</v>
      </c>
      <c r="G3277" s="4" t="s">
        <v>5595</v>
      </c>
      <c r="H3277" s="4" t="s">
        <v>5596</v>
      </c>
      <c r="I3277" s="4" t="s">
        <v>2100</v>
      </c>
      <c r="J3277" s="4" t="s">
        <v>5645</v>
      </c>
      <c r="K3277">
        <v>15</v>
      </c>
      <c r="L3277">
        <v>4.5</v>
      </c>
      <c r="M3277">
        <v>10</v>
      </c>
      <c r="N3277">
        <v>90</v>
      </c>
      <c r="O3277">
        <v>177.16535433070868</v>
      </c>
      <c r="P3277">
        <v>0.39370078740157483</v>
      </c>
      <c r="Q3277">
        <v>3.5433070866141736</v>
      </c>
      <c r="R3277">
        <v>3645.3780000000002</v>
      </c>
      <c r="S3277">
        <v>4.0499999999999998E-3</v>
      </c>
      <c r="T3277" s="4" t="s">
        <v>5646</v>
      </c>
    </row>
    <row r="3278" spans="1:20" x14ac:dyDescent="0.2">
      <c r="A3278" s="4" t="s">
        <v>5591</v>
      </c>
      <c r="B3278" s="4" t="s">
        <v>5642</v>
      </c>
      <c r="C3278" s="4" t="s">
        <v>2096</v>
      </c>
      <c r="D3278" s="4" t="s">
        <v>4764</v>
      </c>
      <c r="E3278" s="4" t="s">
        <v>5652</v>
      </c>
      <c r="F3278" s="4" t="s">
        <v>5644</v>
      </c>
      <c r="G3278" s="4" t="s">
        <v>5595</v>
      </c>
      <c r="H3278" s="4" t="s">
        <v>5596</v>
      </c>
      <c r="I3278" s="4" t="s">
        <v>2100</v>
      </c>
      <c r="J3278" s="4" t="s">
        <v>5645</v>
      </c>
      <c r="K3278">
        <v>16</v>
      </c>
      <c r="L3278">
        <v>4.8</v>
      </c>
      <c r="M3278">
        <v>10</v>
      </c>
      <c r="N3278">
        <v>90</v>
      </c>
      <c r="O3278">
        <v>188.97637795275591</v>
      </c>
      <c r="P3278">
        <v>0.39370078740157483</v>
      </c>
      <c r="Q3278">
        <v>3.5433070866141736</v>
      </c>
      <c r="R3278">
        <v>3645.3780000000002</v>
      </c>
      <c r="S3278">
        <v>4.3200000000000001E-3</v>
      </c>
      <c r="T3278" s="4" t="s">
        <v>5646</v>
      </c>
    </row>
    <row r="3279" spans="1:20" x14ac:dyDescent="0.2">
      <c r="A3279" s="4" t="s">
        <v>5591</v>
      </c>
      <c r="B3279" s="4" t="s">
        <v>5642</v>
      </c>
      <c r="C3279" s="4" t="s">
        <v>2096</v>
      </c>
      <c r="D3279" s="4" t="s">
        <v>4764</v>
      </c>
      <c r="E3279" s="4" t="s">
        <v>5653</v>
      </c>
      <c r="F3279" s="4" t="s">
        <v>5644</v>
      </c>
      <c r="G3279" s="4" t="s">
        <v>5595</v>
      </c>
      <c r="H3279" s="4" t="s">
        <v>5596</v>
      </c>
      <c r="I3279" s="4" t="s">
        <v>2100</v>
      </c>
      <c r="J3279" s="4" t="s">
        <v>5645</v>
      </c>
      <c r="K3279">
        <v>17</v>
      </c>
      <c r="L3279">
        <v>5.0999999999999996</v>
      </c>
      <c r="M3279">
        <v>10</v>
      </c>
      <c r="N3279">
        <v>90</v>
      </c>
      <c r="O3279">
        <v>200.78740157480314</v>
      </c>
      <c r="P3279">
        <v>0.39370078740157483</v>
      </c>
      <c r="Q3279">
        <v>3.5433070866141736</v>
      </c>
      <c r="R3279">
        <v>3645.3780000000002</v>
      </c>
      <c r="S3279">
        <v>4.5899999999999995E-3</v>
      </c>
      <c r="T3279" s="4" t="s">
        <v>5646</v>
      </c>
    </row>
    <row r="3280" spans="1:20" x14ac:dyDescent="0.2">
      <c r="A3280" s="4" t="s">
        <v>5591</v>
      </c>
      <c r="B3280" s="4" t="s">
        <v>5642</v>
      </c>
      <c r="C3280" s="4" t="s">
        <v>2096</v>
      </c>
      <c r="D3280" s="4" t="s">
        <v>4764</v>
      </c>
      <c r="E3280" s="4" t="s">
        <v>5654</v>
      </c>
      <c r="F3280" s="4" t="s">
        <v>5644</v>
      </c>
      <c r="G3280" s="4" t="s">
        <v>5595</v>
      </c>
      <c r="H3280" s="4" t="s">
        <v>5596</v>
      </c>
      <c r="I3280" s="4" t="s">
        <v>2100</v>
      </c>
      <c r="J3280" s="4" t="s">
        <v>5645</v>
      </c>
      <c r="K3280">
        <v>18</v>
      </c>
      <c r="L3280">
        <v>5.4</v>
      </c>
      <c r="M3280">
        <v>10</v>
      </c>
      <c r="N3280">
        <v>90</v>
      </c>
      <c r="O3280">
        <v>212.59842519685043</v>
      </c>
      <c r="P3280">
        <v>0.39370078740157483</v>
      </c>
      <c r="Q3280">
        <v>3.5433070866141736</v>
      </c>
      <c r="R3280">
        <v>3645.3780000000002</v>
      </c>
      <c r="S3280">
        <v>4.8600000000000006E-3</v>
      </c>
      <c r="T3280" s="4" t="s">
        <v>5646</v>
      </c>
    </row>
    <row r="3281" spans="1:20" x14ac:dyDescent="0.2">
      <c r="A3281" s="4" t="s">
        <v>5591</v>
      </c>
      <c r="B3281" s="4" t="s">
        <v>5642</v>
      </c>
      <c r="C3281" s="4" t="s">
        <v>2286</v>
      </c>
      <c r="D3281" s="4" t="s">
        <v>4764</v>
      </c>
      <c r="E3281" s="4" t="s">
        <v>5655</v>
      </c>
      <c r="F3281" s="4" t="s">
        <v>5644</v>
      </c>
      <c r="G3281" s="4" t="s">
        <v>5595</v>
      </c>
      <c r="H3281" s="4" t="s">
        <v>5596</v>
      </c>
      <c r="I3281" s="4" t="s">
        <v>2100</v>
      </c>
      <c r="J3281" s="4" t="s">
        <v>5645</v>
      </c>
      <c r="K3281">
        <v>4</v>
      </c>
      <c r="L3281">
        <v>1.2</v>
      </c>
      <c r="M3281">
        <v>10</v>
      </c>
      <c r="N3281">
        <v>90</v>
      </c>
      <c r="O3281">
        <v>47.244094488188978</v>
      </c>
      <c r="P3281">
        <v>0.39370078740157483</v>
      </c>
      <c r="Q3281">
        <v>3.5433070866141736</v>
      </c>
      <c r="R3281">
        <v>3645.3780000000002</v>
      </c>
      <c r="S3281">
        <v>1.08E-3</v>
      </c>
      <c r="T3281" s="4" t="s">
        <v>5656</v>
      </c>
    </row>
    <row r="3282" spans="1:20" x14ac:dyDescent="0.2">
      <c r="A3282" s="4" t="s">
        <v>5591</v>
      </c>
      <c r="B3282" s="4" t="s">
        <v>5642</v>
      </c>
      <c r="C3282" s="4" t="s">
        <v>2286</v>
      </c>
      <c r="D3282" s="4" t="s">
        <v>4764</v>
      </c>
      <c r="E3282" s="4" t="s">
        <v>5657</v>
      </c>
      <c r="F3282" s="4" t="s">
        <v>5644</v>
      </c>
      <c r="G3282" s="4" t="s">
        <v>5595</v>
      </c>
      <c r="H3282" s="4" t="s">
        <v>5596</v>
      </c>
      <c r="I3282" s="4" t="s">
        <v>2100</v>
      </c>
      <c r="J3282" s="4" t="s">
        <v>5645</v>
      </c>
      <c r="K3282">
        <v>5</v>
      </c>
      <c r="L3282">
        <v>1.5</v>
      </c>
      <c r="M3282">
        <v>10</v>
      </c>
      <c r="N3282">
        <v>90</v>
      </c>
      <c r="O3282">
        <v>59.055118110236222</v>
      </c>
      <c r="P3282">
        <v>0.39370078740157483</v>
      </c>
      <c r="Q3282">
        <v>3.5433070866141736</v>
      </c>
      <c r="R3282">
        <v>3645.3780000000002</v>
      </c>
      <c r="S3282">
        <v>1.3499999999999999E-3</v>
      </c>
      <c r="T3282" s="4" t="s">
        <v>5656</v>
      </c>
    </row>
    <row r="3283" spans="1:20" x14ac:dyDescent="0.2">
      <c r="A3283" s="4" t="s">
        <v>5591</v>
      </c>
      <c r="B3283" s="4" t="s">
        <v>5642</v>
      </c>
      <c r="C3283" s="4" t="s">
        <v>2286</v>
      </c>
      <c r="D3283" s="4" t="s">
        <v>4764</v>
      </c>
      <c r="E3283" s="4" t="s">
        <v>5658</v>
      </c>
      <c r="F3283" s="4" t="s">
        <v>5644</v>
      </c>
      <c r="G3283" s="4" t="s">
        <v>5595</v>
      </c>
      <c r="H3283" s="4" t="s">
        <v>5596</v>
      </c>
      <c r="I3283" s="4" t="s">
        <v>2100</v>
      </c>
      <c r="J3283" s="4" t="s">
        <v>5645</v>
      </c>
      <c r="K3283">
        <v>6</v>
      </c>
      <c r="L3283">
        <v>1.8</v>
      </c>
      <c r="M3283">
        <v>10</v>
      </c>
      <c r="N3283">
        <v>90</v>
      </c>
      <c r="O3283">
        <v>70.866141732283467</v>
      </c>
      <c r="P3283">
        <v>0.39370078740157483</v>
      </c>
      <c r="Q3283">
        <v>3.5433070866141736</v>
      </c>
      <c r="R3283">
        <v>3645.3780000000002</v>
      </c>
      <c r="S3283">
        <v>1.6199999999999999E-3</v>
      </c>
      <c r="T3283" s="4" t="s">
        <v>5656</v>
      </c>
    </row>
    <row r="3284" spans="1:20" x14ac:dyDescent="0.2">
      <c r="A3284" s="4" t="s">
        <v>5591</v>
      </c>
      <c r="B3284" s="4" t="s">
        <v>5642</v>
      </c>
      <c r="C3284" s="4" t="s">
        <v>2286</v>
      </c>
      <c r="D3284" s="4" t="s">
        <v>4764</v>
      </c>
      <c r="E3284" s="4" t="s">
        <v>5659</v>
      </c>
      <c r="F3284" s="4" t="s">
        <v>5644</v>
      </c>
      <c r="G3284" s="4" t="s">
        <v>5595</v>
      </c>
      <c r="H3284" s="4" t="s">
        <v>5596</v>
      </c>
      <c r="I3284" s="4" t="s">
        <v>2100</v>
      </c>
      <c r="J3284" s="4" t="s">
        <v>5645</v>
      </c>
      <c r="K3284">
        <v>7</v>
      </c>
      <c r="L3284">
        <v>2.1</v>
      </c>
      <c r="M3284">
        <v>10</v>
      </c>
      <c r="N3284">
        <v>90</v>
      </c>
      <c r="O3284">
        <v>82.677165354330711</v>
      </c>
      <c r="P3284">
        <v>0.39370078740157483</v>
      </c>
      <c r="Q3284">
        <v>3.5433070866141736</v>
      </c>
      <c r="R3284">
        <v>3645.3780000000002</v>
      </c>
      <c r="S3284">
        <v>1.8900000000000002E-3</v>
      </c>
      <c r="T3284" s="4" t="s">
        <v>5656</v>
      </c>
    </row>
    <row r="3285" spans="1:20" x14ac:dyDescent="0.2">
      <c r="A3285" s="4" t="s">
        <v>5591</v>
      </c>
      <c r="B3285" s="4" t="s">
        <v>5642</v>
      </c>
      <c r="C3285" s="4" t="s">
        <v>2096</v>
      </c>
      <c r="D3285" s="4" t="s">
        <v>4764</v>
      </c>
      <c r="E3285" s="4" t="s">
        <v>5660</v>
      </c>
      <c r="F3285" s="4" t="s">
        <v>5644</v>
      </c>
      <c r="G3285" s="4" t="s">
        <v>5595</v>
      </c>
      <c r="H3285" s="4" t="s">
        <v>5596</v>
      </c>
      <c r="I3285" s="4" t="s">
        <v>2100</v>
      </c>
      <c r="J3285" s="4" t="s">
        <v>5645</v>
      </c>
      <c r="K3285">
        <v>8</v>
      </c>
      <c r="L3285">
        <v>2.4</v>
      </c>
      <c r="M3285">
        <v>10</v>
      </c>
      <c r="N3285">
        <v>90</v>
      </c>
      <c r="O3285">
        <v>94.488188976377955</v>
      </c>
      <c r="P3285">
        <v>0.39370078740157483</v>
      </c>
      <c r="Q3285">
        <v>3.5433070866141736</v>
      </c>
      <c r="R3285">
        <v>3645.3780000000002</v>
      </c>
      <c r="S3285">
        <v>2.16E-3</v>
      </c>
      <c r="T3285" s="4" t="s">
        <v>5646</v>
      </c>
    </row>
    <row r="3286" spans="1:20" x14ac:dyDescent="0.2">
      <c r="A3286" s="4" t="s">
        <v>5591</v>
      </c>
      <c r="B3286" s="4" t="s">
        <v>5642</v>
      </c>
      <c r="C3286" s="4" t="s">
        <v>2096</v>
      </c>
      <c r="D3286" s="4" t="s">
        <v>4764</v>
      </c>
      <c r="E3286" s="4" t="s">
        <v>5661</v>
      </c>
      <c r="F3286" s="4" t="s">
        <v>5644</v>
      </c>
      <c r="G3286" s="4" t="s">
        <v>5595</v>
      </c>
      <c r="H3286" s="4" t="s">
        <v>5596</v>
      </c>
      <c r="I3286" s="4" t="s">
        <v>2100</v>
      </c>
      <c r="J3286" s="4" t="s">
        <v>5645</v>
      </c>
      <c r="K3286">
        <v>9</v>
      </c>
      <c r="L3286">
        <v>2.7</v>
      </c>
      <c r="M3286">
        <v>10</v>
      </c>
      <c r="N3286">
        <v>90</v>
      </c>
      <c r="O3286">
        <v>106.29921259842521</v>
      </c>
      <c r="P3286">
        <v>0.39370078740157483</v>
      </c>
      <c r="Q3286">
        <v>3.5433070866141736</v>
      </c>
      <c r="R3286">
        <v>3645.3780000000002</v>
      </c>
      <c r="S3286">
        <v>2.4300000000000003E-3</v>
      </c>
      <c r="T3286" s="4" t="s">
        <v>5646</v>
      </c>
    </row>
    <row r="3287" spans="1:20" x14ac:dyDescent="0.2">
      <c r="A3287" s="4" t="s">
        <v>5591</v>
      </c>
      <c r="B3287" s="4" t="s">
        <v>5662</v>
      </c>
      <c r="C3287" s="4" t="s">
        <v>2096</v>
      </c>
      <c r="D3287" s="4" t="s">
        <v>4764</v>
      </c>
      <c r="E3287" s="4" t="s">
        <v>5663</v>
      </c>
      <c r="F3287" s="4" t="s">
        <v>5664</v>
      </c>
      <c r="G3287" s="4" t="s">
        <v>5595</v>
      </c>
      <c r="H3287" s="4" t="s">
        <v>5665</v>
      </c>
      <c r="I3287" s="4" t="s">
        <v>2100</v>
      </c>
      <c r="J3287" s="4" t="s">
        <v>3142</v>
      </c>
      <c r="K3287">
        <v>10</v>
      </c>
      <c r="L3287">
        <v>3</v>
      </c>
      <c r="M3287">
        <v>19</v>
      </c>
      <c r="N3287">
        <v>285</v>
      </c>
      <c r="O3287">
        <v>118.11023622047244</v>
      </c>
      <c r="P3287">
        <v>0.74803149606299213</v>
      </c>
      <c r="Q3287">
        <v>11.220472440944883</v>
      </c>
      <c r="R3287">
        <v>605.88</v>
      </c>
      <c r="S3287">
        <v>1.6245000000000002E-2</v>
      </c>
      <c r="T3287" s="4" t="s">
        <v>5666</v>
      </c>
    </row>
    <row r="3288" spans="1:20" x14ac:dyDescent="0.2">
      <c r="A3288" s="4" t="s">
        <v>5591</v>
      </c>
      <c r="B3288" s="4" t="s">
        <v>5662</v>
      </c>
      <c r="C3288" s="4" t="s">
        <v>2096</v>
      </c>
      <c r="D3288" s="4" t="s">
        <v>4764</v>
      </c>
      <c r="E3288" s="4" t="s">
        <v>5667</v>
      </c>
      <c r="F3288" s="4" t="s">
        <v>5664</v>
      </c>
      <c r="G3288" s="4" t="s">
        <v>5595</v>
      </c>
      <c r="H3288" s="4" t="s">
        <v>5665</v>
      </c>
      <c r="I3288" s="4" t="s">
        <v>2100</v>
      </c>
      <c r="J3288" s="4" t="s">
        <v>3142</v>
      </c>
      <c r="K3288">
        <v>11</v>
      </c>
      <c r="L3288">
        <v>3.3</v>
      </c>
      <c r="M3288">
        <v>19</v>
      </c>
      <c r="N3288">
        <v>285</v>
      </c>
      <c r="O3288">
        <v>129.92125984251967</v>
      </c>
      <c r="P3288">
        <v>0.74803149606299213</v>
      </c>
      <c r="Q3288">
        <v>11.220472440944883</v>
      </c>
      <c r="R3288">
        <v>605.88</v>
      </c>
      <c r="S3288">
        <v>1.78695E-2</v>
      </c>
      <c r="T3288" s="4" t="s">
        <v>5666</v>
      </c>
    </row>
    <row r="3289" spans="1:20" x14ac:dyDescent="0.2">
      <c r="A3289" s="4" t="s">
        <v>5591</v>
      </c>
      <c r="B3289" s="4" t="s">
        <v>5662</v>
      </c>
      <c r="C3289" s="4" t="s">
        <v>2096</v>
      </c>
      <c r="D3289" s="4" t="s">
        <v>4764</v>
      </c>
      <c r="E3289" s="4" t="s">
        <v>5668</v>
      </c>
      <c r="F3289" s="4" t="s">
        <v>5664</v>
      </c>
      <c r="G3289" s="4" t="s">
        <v>5595</v>
      </c>
      <c r="H3289" s="4" t="s">
        <v>5665</v>
      </c>
      <c r="I3289" s="4" t="s">
        <v>2100</v>
      </c>
      <c r="J3289" s="4" t="s">
        <v>3142</v>
      </c>
      <c r="K3289">
        <v>12</v>
      </c>
      <c r="L3289">
        <v>3.6</v>
      </c>
      <c r="M3289">
        <v>19</v>
      </c>
      <c r="N3289">
        <v>285</v>
      </c>
      <c r="O3289">
        <v>141.73228346456693</v>
      </c>
      <c r="P3289">
        <v>0.74803149606299213</v>
      </c>
      <c r="Q3289">
        <v>11.220472440944883</v>
      </c>
      <c r="R3289">
        <v>605.88</v>
      </c>
      <c r="S3289">
        <v>1.9494000000000001E-2</v>
      </c>
      <c r="T3289" s="4" t="s">
        <v>5666</v>
      </c>
    </row>
    <row r="3290" spans="1:20" x14ac:dyDescent="0.2">
      <c r="A3290" s="4" t="s">
        <v>5591</v>
      </c>
      <c r="B3290" s="4" t="s">
        <v>5662</v>
      </c>
      <c r="C3290" s="4" t="s">
        <v>2096</v>
      </c>
      <c r="D3290" s="4" t="s">
        <v>4764</v>
      </c>
      <c r="E3290" s="4" t="s">
        <v>1676</v>
      </c>
      <c r="F3290" s="4" t="s">
        <v>5664</v>
      </c>
      <c r="G3290" s="4" t="s">
        <v>5595</v>
      </c>
      <c r="H3290" s="4" t="s">
        <v>5665</v>
      </c>
      <c r="I3290" s="4" t="s">
        <v>2100</v>
      </c>
      <c r="J3290" s="4" t="s">
        <v>3142</v>
      </c>
      <c r="K3290">
        <v>13</v>
      </c>
      <c r="L3290">
        <v>3.9</v>
      </c>
      <c r="M3290">
        <v>19</v>
      </c>
      <c r="N3290">
        <v>285</v>
      </c>
      <c r="O3290">
        <v>153.54330708661416</v>
      </c>
      <c r="P3290">
        <v>0.74803149606299213</v>
      </c>
      <c r="Q3290">
        <v>11.220472440944883</v>
      </c>
      <c r="R3290">
        <v>605.88</v>
      </c>
      <c r="S3290">
        <v>2.1118500000000002E-2</v>
      </c>
      <c r="T3290" s="4" t="s">
        <v>5666</v>
      </c>
    </row>
    <row r="3291" spans="1:20" x14ac:dyDescent="0.2">
      <c r="A3291" s="4" t="s">
        <v>5591</v>
      </c>
      <c r="B3291" s="4" t="s">
        <v>5662</v>
      </c>
      <c r="C3291" s="4" t="s">
        <v>2096</v>
      </c>
      <c r="D3291" s="4" t="s">
        <v>4764</v>
      </c>
      <c r="E3291" s="4" t="s">
        <v>1678</v>
      </c>
      <c r="F3291" s="4" t="s">
        <v>5664</v>
      </c>
      <c r="G3291" s="4" t="s">
        <v>5595</v>
      </c>
      <c r="H3291" s="4" t="s">
        <v>5665</v>
      </c>
      <c r="I3291" s="4" t="s">
        <v>2100</v>
      </c>
      <c r="J3291" s="4" t="s">
        <v>3142</v>
      </c>
      <c r="K3291">
        <v>14</v>
      </c>
      <c r="L3291">
        <v>4.2</v>
      </c>
      <c r="M3291">
        <v>19</v>
      </c>
      <c r="N3291">
        <v>285</v>
      </c>
      <c r="O3291">
        <v>165.35433070866142</v>
      </c>
      <c r="P3291">
        <v>0.74803149606299213</v>
      </c>
      <c r="Q3291">
        <v>11.220472440944883</v>
      </c>
      <c r="R3291">
        <v>605.88</v>
      </c>
      <c r="S3291">
        <v>2.2742999999999999E-2</v>
      </c>
      <c r="T3291" s="4" t="s">
        <v>5666</v>
      </c>
    </row>
    <row r="3292" spans="1:20" x14ac:dyDescent="0.2">
      <c r="A3292" s="4" t="s">
        <v>5591</v>
      </c>
      <c r="B3292" s="4" t="s">
        <v>5662</v>
      </c>
      <c r="C3292" s="4" t="s">
        <v>2096</v>
      </c>
      <c r="D3292" s="4" t="s">
        <v>4764</v>
      </c>
      <c r="E3292" s="4" t="s">
        <v>1679</v>
      </c>
      <c r="F3292" s="4" t="s">
        <v>5664</v>
      </c>
      <c r="G3292" s="4" t="s">
        <v>5595</v>
      </c>
      <c r="H3292" s="4" t="s">
        <v>5665</v>
      </c>
      <c r="I3292" s="4" t="s">
        <v>2100</v>
      </c>
      <c r="J3292" s="4" t="s">
        <v>3142</v>
      </c>
      <c r="K3292">
        <v>15</v>
      </c>
      <c r="L3292">
        <v>4.5</v>
      </c>
      <c r="M3292">
        <v>19</v>
      </c>
      <c r="N3292">
        <v>285</v>
      </c>
      <c r="O3292">
        <v>177.16535433070868</v>
      </c>
      <c r="P3292">
        <v>0.74803149606299213</v>
      </c>
      <c r="Q3292">
        <v>11.220472440944883</v>
      </c>
      <c r="R3292">
        <v>605.88</v>
      </c>
      <c r="S3292">
        <v>2.4367500000000004E-2</v>
      </c>
      <c r="T3292" s="4" t="s">
        <v>5666</v>
      </c>
    </row>
    <row r="3293" spans="1:20" x14ac:dyDescent="0.2">
      <c r="A3293" s="4" t="s">
        <v>5591</v>
      </c>
      <c r="B3293" s="4" t="s">
        <v>5662</v>
      </c>
      <c r="C3293" s="4" t="s">
        <v>2096</v>
      </c>
      <c r="D3293" s="4" t="s">
        <v>4764</v>
      </c>
      <c r="E3293" s="4" t="s">
        <v>1680</v>
      </c>
      <c r="F3293" s="4" t="s">
        <v>5664</v>
      </c>
      <c r="G3293" s="4" t="s">
        <v>5595</v>
      </c>
      <c r="H3293" s="4" t="s">
        <v>5665</v>
      </c>
      <c r="I3293" s="4" t="s">
        <v>2100</v>
      </c>
      <c r="J3293" s="4" t="s">
        <v>3142</v>
      </c>
      <c r="K3293">
        <v>16</v>
      </c>
      <c r="L3293">
        <v>4.8</v>
      </c>
      <c r="M3293">
        <v>19</v>
      </c>
      <c r="N3293">
        <v>285</v>
      </c>
      <c r="O3293">
        <v>188.97637795275591</v>
      </c>
      <c r="P3293">
        <v>0.74803149606299213</v>
      </c>
      <c r="Q3293">
        <v>11.220472440944883</v>
      </c>
      <c r="R3293">
        <v>605.88</v>
      </c>
      <c r="S3293">
        <v>2.5992000000000001E-2</v>
      </c>
      <c r="T3293" s="4" t="s">
        <v>5666</v>
      </c>
    </row>
    <row r="3294" spans="1:20" x14ac:dyDescent="0.2">
      <c r="A3294" s="4" t="s">
        <v>5591</v>
      </c>
      <c r="B3294" s="4" t="s">
        <v>5662</v>
      </c>
      <c r="C3294" s="4" t="s">
        <v>2096</v>
      </c>
      <c r="D3294" s="4" t="s">
        <v>4764</v>
      </c>
      <c r="E3294" s="4" t="s">
        <v>5669</v>
      </c>
      <c r="F3294" s="4" t="s">
        <v>5664</v>
      </c>
      <c r="G3294" s="4" t="s">
        <v>5595</v>
      </c>
      <c r="H3294" s="4" t="s">
        <v>5665</v>
      </c>
      <c r="I3294" s="4" t="s">
        <v>2100</v>
      </c>
      <c r="J3294" s="4" t="s">
        <v>3142</v>
      </c>
      <c r="K3294">
        <v>17</v>
      </c>
      <c r="L3294">
        <v>5.0999999999999996</v>
      </c>
      <c r="M3294">
        <v>19</v>
      </c>
      <c r="N3294">
        <v>285</v>
      </c>
      <c r="O3294">
        <v>200.78740157480314</v>
      </c>
      <c r="P3294">
        <v>0.74803149606299213</v>
      </c>
      <c r="Q3294">
        <v>11.220472440944883</v>
      </c>
      <c r="R3294">
        <v>605.88</v>
      </c>
      <c r="S3294">
        <v>2.7616499999999995E-2</v>
      </c>
      <c r="T3294" s="4" t="s">
        <v>5666</v>
      </c>
    </row>
    <row r="3295" spans="1:20" x14ac:dyDescent="0.2">
      <c r="A3295" s="4" t="s">
        <v>5591</v>
      </c>
      <c r="B3295" s="4" t="s">
        <v>5662</v>
      </c>
      <c r="C3295" s="4" t="s">
        <v>2096</v>
      </c>
      <c r="D3295" s="4" t="s">
        <v>4764</v>
      </c>
      <c r="E3295" s="4" t="s">
        <v>5670</v>
      </c>
      <c r="F3295" s="4" t="s">
        <v>5664</v>
      </c>
      <c r="G3295" s="4" t="s">
        <v>5595</v>
      </c>
      <c r="H3295" s="4" t="s">
        <v>5665</v>
      </c>
      <c r="I3295" s="4" t="s">
        <v>2100</v>
      </c>
      <c r="J3295" s="4" t="s">
        <v>3142</v>
      </c>
      <c r="K3295">
        <v>18</v>
      </c>
      <c r="L3295">
        <v>5.4</v>
      </c>
      <c r="M3295">
        <v>19</v>
      </c>
      <c r="N3295">
        <v>285</v>
      </c>
      <c r="O3295">
        <v>212.59842519685043</v>
      </c>
      <c r="P3295">
        <v>0.74803149606299213</v>
      </c>
      <c r="Q3295">
        <v>11.220472440944883</v>
      </c>
      <c r="R3295">
        <v>605.88</v>
      </c>
      <c r="S3295">
        <v>2.9241000000000003E-2</v>
      </c>
      <c r="T3295" s="4" t="s">
        <v>5666</v>
      </c>
    </row>
    <row r="3296" spans="1:20" x14ac:dyDescent="0.2">
      <c r="A3296" s="4" t="s">
        <v>5591</v>
      </c>
      <c r="B3296" s="4" t="s">
        <v>5662</v>
      </c>
      <c r="C3296" s="4" t="s">
        <v>2286</v>
      </c>
      <c r="D3296" s="4" t="s">
        <v>4764</v>
      </c>
      <c r="E3296" s="4" t="s">
        <v>5671</v>
      </c>
      <c r="F3296" s="4" t="s">
        <v>5664</v>
      </c>
      <c r="G3296" s="4" t="s">
        <v>5595</v>
      </c>
      <c r="H3296" s="4" t="s">
        <v>5665</v>
      </c>
      <c r="I3296" s="4" t="s">
        <v>2100</v>
      </c>
      <c r="J3296" s="4" t="s">
        <v>3142</v>
      </c>
      <c r="K3296">
        <v>4</v>
      </c>
      <c r="L3296">
        <v>1.2</v>
      </c>
      <c r="M3296">
        <v>19</v>
      </c>
      <c r="N3296">
        <v>285</v>
      </c>
      <c r="O3296">
        <v>47.244094488188978</v>
      </c>
      <c r="P3296">
        <v>0.74803149606299213</v>
      </c>
      <c r="Q3296">
        <v>11.220472440944883</v>
      </c>
      <c r="R3296">
        <v>605.88</v>
      </c>
      <c r="S3296">
        <v>6.4980000000000003E-3</v>
      </c>
      <c r="T3296" s="4" t="s">
        <v>5672</v>
      </c>
    </row>
    <row r="3297" spans="1:20" x14ac:dyDescent="0.2">
      <c r="A3297" s="4" t="s">
        <v>5591</v>
      </c>
      <c r="B3297" s="4" t="s">
        <v>5662</v>
      </c>
      <c r="C3297" s="4" t="s">
        <v>2286</v>
      </c>
      <c r="D3297" s="4" t="s">
        <v>4764</v>
      </c>
      <c r="E3297" s="4" t="s">
        <v>5673</v>
      </c>
      <c r="F3297" s="4" t="s">
        <v>5664</v>
      </c>
      <c r="G3297" s="4" t="s">
        <v>5595</v>
      </c>
      <c r="H3297" s="4" t="s">
        <v>5665</v>
      </c>
      <c r="I3297" s="4" t="s">
        <v>2100</v>
      </c>
      <c r="J3297" s="4" t="s">
        <v>3142</v>
      </c>
      <c r="K3297">
        <v>5</v>
      </c>
      <c r="L3297">
        <v>1.5</v>
      </c>
      <c r="M3297">
        <v>19</v>
      </c>
      <c r="N3297">
        <v>285</v>
      </c>
      <c r="O3297">
        <v>59.055118110236222</v>
      </c>
      <c r="P3297">
        <v>0.74803149606299213</v>
      </c>
      <c r="Q3297">
        <v>11.220472440944883</v>
      </c>
      <c r="R3297">
        <v>605.88</v>
      </c>
      <c r="S3297">
        <v>8.1225000000000012E-3</v>
      </c>
      <c r="T3297" s="4" t="s">
        <v>5672</v>
      </c>
    </row>
    <row r="3298" spans="1:20" x14ac:dyDescent="0.2">
      <c r="A3298" s="4" t="s">
        <v>5591</v>
      </c>
      <c r="B3298" s="4" t="s">
        <v>5662</v>
      </c>
      <c r="C3298" s="4" t="s">
        <v>2286</v>
      </c>
      <c r="D3298" s="4" t="s">
        <v>4764</v>
      </c>
      <c r="E3298" s="4" t="s">
        <v>5674</v>
      </c>
      <c r="F3298" s="4" t="s">
        <v>5664</v>
      </c>
      <c r="G3298" s="4" t="s">
        <v>5595</v>
      </c>
      <c r="H3298" s="4" t="s">
        <v>5665</v>
      </c>
      <c r="I3298" s="4" t="s">
        <v>2100</v>
      </c>
      <c r="J3298" s="4" t="s">
        <v>3142</v>
      </c>
      <c r="K3298">
        <v>6</v>
      </c>
      <c r="L3298">
        <v>1.8</v>
      </c>
      <c r="M3298">
        <v>19</v>
      </c>
      <c r="N3298">
        <v>285</v>
      </c>
      <c r="O3298">
        <v>70.866141732283467</v>
      </c>
      <c r="P3298">
        <v>0.74803149606299213</v>
      </c>
      <c r="Q3298">
        <v>11.220472440944883</v>
      </c>
      <c r="R3298">
        <v>605.88</v>
      </c>
      <c r="S3298">
        <v>9.7470000000000005E-3</v>
      </c>
      <c r="T3298" s="4" t="s">
        <v>5672</v>
      </c>
    </row>
    <row r="3299" spans="1:20" x14ac:dyDescent="0.2">
      <c r="A3299" s="4" t="s">
        <v>5591</v>
      </c>
      <c r="B3299" s="4" t="s">
        <v>5662</v>
      </c>
      <c r="C3299" s="4" t="s">
        <v>2286</v>
      </c>
      <c r="D3299" s="4" t="s">
        <v>4764</v>
      </c>
      <c r="E3299" s="4" t="s">
        <v>5675</v>
      </c>
      <c r="F3299" s="4" t="s">
        <v>5664</v>
      </c>
      <c r="G3299" s="4" t="s">
        <v>5595</v>
      </c>
      <c r="H3299" s="4" t="s">
        <v>5665</v>
      </c>
      <c r="I3299" s="4" t="s">
        <v>2100</v>
      </c>
      <c r="J3299" s="4" t="s">
        <v>3142</v>
      </c>
      <c r="K3299">
        <v>7</v>
      </c>
      <c r="L3299">
        <v>2.1</v>
      </c>
      <c r="M3299">
        <v>19</v>
      </c>
      <c r="N3299">
        <v>285</v>
      </c>
      <c r="O3299">
        <v>82.677165354330711</v>
      </c>
      <c r="P3299">
        <v>0.74803149606299213</v>
      </c>
      <c r="Q3299">
        <v>11.220472440944883</v>
      </c>
      <c r="R3299">
        <v>605.88</v>
      </c>
      <c r="S3299">
        <v>1.13715E-2</v>
      </c>
      <c r="T3299" s="4" t="s">
        <v>5672</v>
      </c>
    </row>
    <row r="3300" spans="1:20" x14ac:dyDescent="0.2">
      <c r="A3300" s="4" t="s">
        <v>5591</v>
      </c>
      <c r="B3300" s="4" t="s">
        <v>5662</v>
      </c>
      <c r="C3300" s="4" t="s">
        <v>2096</v>
      </c>
      <c r="D3300" s="4" t="s">
        <v>4764</v>
      </c>
      <c r="E3300" s="4" t="s">
        <v>5676</v>
      </c>
      <c r="F3300" s="4" t="s">
        <v>5664</v>
      </c>
      <c r="G3300" s="4" t="s">
        <v>5595</v>
      </c>
      <c r="H3300" s="4" t="s">
        <v>5665</v>
      </c>
      <c r="I3300" s="4" t="s">
        <v>2100</v>
      </c>
      <c r="J3300" s="4" t="s">
        <v>3142</v>
      </c>
      <c r="K3300">
        <v>8</v>
      </c>
      <c r="L3300">
        <v>2.4</v>
      </c>
      <c r="M3300">
        <v>19</v>
      </c>
      <c r="N3300">
        <v>285</v>
      </c>
      <c r="O3300">
        <v>94.488188976377955</v>
      </c>
      <c r="P3300">
        <v>0.74803149606299213</v>
      </c>
      <c r="Q3300">
        <v>11.220472440944883</v>
      </c>
      <c r="R3300">
        <v>605.88</v>
      </c>
      <c r="S3300">
        <v>1.2996000000000001E-2</v>
      </c>
      <c r="T3300" s="4" t="s">
        <v>5666</v>
      </c>
    </row>
    <row r="3301" spans="1:20" x14ac:dyDescent="0.2">
      <c r="A3301" s="4" t="s">
        <v>5591</v>
      </c>
      <c r="B3301" s="4" t="s">
        <v>5662</v>
      </c>
      <c r="C3301" s="4" t="s">
        <v>2096</v>
      </c>
      <c r="D3301" s="4" t="s">
        <v>4764</v>
      </c>
      <c r="E3301" s="4" t="s">
        <v>5677</v>
      </c>
      <c r="F3301" s="4" t="s">
        <v>5664</v>
      </c>
      <c r="G3301" s="4" t="s">
        <v>5595</v>
      </c>
      <c r="H3301" s="4" t="s">
        <v>5665</v>
      </c>
      <c r="I3301" s="4" t="s">
        <v>2100</v>
      </c>
      <c r="J3301" s="4" t="s">
        <v>3142</v>
      </c>
      <c r="K3301">
        <v>9</v>
      </c>
      <c r="L3301">
        <v>2.7</v>
      </c>
      <c r="M3301">
        <v>19</v>
      </c>
      <c r="N3301">
        <v>285</v>
      </c>
      <c r="O3301">
        <v>106.29921259842521</v>
      </c>
      <c r="P3301">
        <v>0.74803149606299213</v>
      </c>
      <c r="Q3301">
        <v>11.220472440944883</v>
      </c>
      <c r="R3301">
        <v>605.88</v>
      </c>
      <c r="S3301">
        <v>1.4620500000000002E-2</v>
      </c>
      <c r="T3301" s="4" t="s">
        <v>5666</v>
      </c>
    </row>
    <row r="3302" spans="1:20" x14ac:dyDescent="0.2">
      <c r="A3302" s="4" t="s">
        <v>5591</v>
      </c>
      <c r="B3302" s="4" t="s">
        <v>5678</v>
      </c>
      <c r="C3302" s="4" t="s">
        <v>2096</v>
      </c>
      <c r="D3302" s="4" t="s">
        <v>4764</v>
      </c>
      <c r="E3302" s="4" t="s">
        <v>5679</v>
      </c>
      <c r="F3302" s="4" t="s">
        <v>5680</v>
      </c>
      <c r="G3302" s="4" t="s">
        <v>5595</v>
      </c>
      <c r="H3302" s="4" t="s">
        <v>5665</v>
      </c>
      <c r="I3302" s="4" t="s">
        <v>2100</v>
      </c>
      <c r="J3302" s="4" t="s">
        <v>2432</v>
      </c>
      <c r="K3302">
        <v>10</v>
      </c>
      <c r="L3302">
        <v>3</v>
      </c>
      <c r="M3302">
        <v>19</v>
      </c>
      <c r="N3302">
        <v>185</v>
      </c>
      <c r="O3302">
        <v>118.11023622047244</v>
      </c>
      <c r="P3302">
        <v>0.74803149606299213</v>
      </c>
      <c r="Q3302">
        <v>7.2834645669291342</v>
      </c>
      <c r="R3302">
        <v>933.38300000000004</v>
      </c>
      <c r="S3302">
        <v>1.0545000000000001E-2</v>
      </c>
      <c r="T3302" s="4" t="s">
        <v>5681</v>
      </c>
    </row>
    <row r="3303" spans="1:20" x14ac:dyDescent="0.2">
      <c r="A3303" s="4" t="s">
        <v>5591</v>
      </c>
      <c r="B3303" s="4" t="s">
        <v>5678</v>
      </c>
      <c r="C3303" s="4" t="s">
        <v>2096</v>
      </c>
      <c r="D3303" s="4" t="s">
        <v>4764</v>
      </c>
      <c r="E3303" s="4" t="s">
        <v>5682</v>
      </c>
      <c r="F3303" s="4" t="s">
        <v>5680</v>
      </c>
      <c r="G3303" s="4" t="s">
        <v>5595</v>
      </c>
      <c r="H3303" s="4" t="s">
        <v>5665</v>
      </c>
      <c r="I3303" s="4" t="s">
        <v>2100</v>
      </c>
      <c r="J3303" s="4" t="s">
        <v>2432</v>
      </c>
      <c r="K3303">
        <v>11</v>
      </c>
      <c r="L3303">
        <v>3.3</v>
      </c>
      <c r="M3303">
        <v>19</v>
      </c>
      <c r="N3303">
        <v>185</v>
      </c>
      <c r="O3303">
        <v>129.92125984251967</v>
      </c>
      <c r="P3303">
        <v>0.74803149606299213</v>
      </c>
      <c r="Q3303">
        <v>7.2834645669291342</v>
      </c>
      <c r="R3303">
        <v>933.38300000000004</v>
      </c>
      <c r="S3303">
        <v>1.1599499999999999E-2</v>
      </c>
      <c r="T3303" s="4" t="s">
        <v>5681</v>
      </c>
    </row>
    <row r="3304" spans="1:20" x14ac:dyDescent="0.2">
      <c r="A3304" s="4" t="s">
        <v>5591</v>
      </c>
      <c r="B3304" s="4" t="s">
        <v>5678</v>
      </c>
      <c r="C3304" s="4" t="s">
        <v>2096</v>
      </c>
      <c r="D3304" s="4" t="s">
        <v>4764</v>
      </c>
      <c r="E3304" s="4" t="s">
        <v>1682</v>
      </c>
      <c r="F3304" s="4" t="s">
        <v>5680</v>
      </c>
      <c r="G3304" s="4" t="s">
        <v>5595</v>
      </c>
      <c r="H3304" s="4" t="s">
        <v>5665</v>
      </c>
      <c r="I3304" s="4" t="s">
        <v>2100</v>
      </c>
      <c r="J3304" s="4" t="s">
        <v>2432</v>
      </c>
      <c r="K3304">
        <v>12</v>
      </c>
      <c r="L3304">
        <v>3.6</v>
      </c>
      <c r="M3304">
        <v>19</v>
      </c>
      <c r="N3304">
        <v>185</v>
      </c>
      <c r="O3304">
        <v>141.73228346456693</v>
      </c>
      <c r="P3304">
        <v>0.74803149606299213</v>
      </c>
      <c r="Q3304">
        <v>7.2834645669291342</v>
      </c>
      <c r="R3304">
        <v>933.38300000000004</v>
      </c>
      <c r="S3304">
        <v>1.2654E-2</v>
      </c>
      <c r="T3304" s="4" t="s">
        <v>5681</v>
      </c>
    </row>
    <row r="3305" spans="1:20" x14ac:dyDescent="0.2">
      <c r="A3305" s="4" t="s">
        <v>5591</v>
      </c>
      <c r="B3305" s="4" t="s">
        <v>5678</v>
      </c>
      <c r="C3305" s="4" t="s">
        <v>2096</v>
      </c>
      <c r="D3305" s="4" t="s">
        <v>4764</v>
      </c>
      <c r="E3305" s="4" t="s">
        <v>5683</v>
      </c>
      <c r="F3305" s="4" t="s">
        <v>5680</v>
      </c>
      <c r="G3305" s="4" t="s">
        <v>5595</v>
      </c>
      <c r="H3305" s="4" t="s">
        <v>5665</v>
      </c>
      <c r="I3305" s="4" t="s">
        <v>2100</v>
      </c>
      <c r="J3305" s="4" t="s">
        <v>2432</v>
      </c>
      <c r="K3305">
        <v>13</v>
      </c>
      <c r="L3305">
        <v>3.9</v>
      </c>
      <c r="M3305">
        <v>19</v>
      </c>
      <c r="N3305">
        <v>185</v>
      </c>
      <c r="O3305">
        <v>153.54330708661416</v>
      </c>
      <c r="P3305">
        <v>0.74803149606299213</v>
      </c>
      <c r="Q3305">
        <v>7.2834645669291342</v>
      </c>
      <c r="R3305">
        <v>933.38300000000004</v>
      </c>
      <c r="S3305">
        <v>1.3708499999999998E-2</v>
      </c>
      <c r="T3305" s="4" t="s">
        <v>5681</v>
      </c>
    </row>
    <row r="3306" spans="1:20" x14ac:dyDescent="0.2">
      <c r="A3306" s="4" t="s">
        <v>5591</v>
      </c>
      <c r="B3306" s="4" t="s">
        <v>5678</v>
      </c>
      <c r="C3306" s="4" t="s">
        <v>2096</v>
      </c>
      <c r="D3306" s="4" t="s">
        <v>4764</v>
      </c>
      <c r="E3306" s="4" t="s">
        <v>1684</v>
      </c>
      <c r="F3306" s="4" t="s">
        <v>5680</v>
      </c>
      <c r="G3306" s="4" t="s">
        <v>5595</v>
      </c>
      <c r="H3306" s="4" t="s">
        <v>5665</v>
      </c>
      <c r="I3306" s="4" t="s">
        <v>2100</v>
      </c>
      <c r="J3306" s="4" t="s">
        <v>2432</v>
      </c>
      <c r="K3306">
        <v>14</v>
      </c>
      <c r="L3306">
        <v>4.2</v>
      </c>
      <c r="M3306">
        <v>19</v>
      </c>
      <c r="N3306">
        <v>185</v>
      </c>
      <c r="O3306">
        <v>165.35433070866142</v>
      </c>
      <c r="P3306">
        <v>0.74803149606299213</v>
      </c>
      <c r="Q3306">
        <v>7.2834645669291342</v>
      </c>
      <c r="R3306">
        <v>933.38300000000004</v>
      </c>
      <c r="S3306">
        <v>1.4763E-2</v>
      </c>
      <c r="T3306" s="4" t="s">
        <v>5681</v>
      </c>
    </row>
    <row r="3307" spans="1:20" x14ac:dyDescent="0.2">
      <c r="A3307" s="4" t="s">
        <v>5591</v>
      </c>
      <c r="B3307" s="4" t="s">
        <v>5678</v>
      </c>
      <c r="C3307" s="4" t="s">
        <v>2096</v>
      </c>
      <c r="D3307" s="4" t="s">
        <v>4764</v>
      </c>
      <c r="E3307" s="4" t="s">
        <v>5684</v>
      </c>
      <c r="F3307" s="4" t="s">
        <v>5680</v>
      </c>
      <c r="G3307" s="4" t="s">
        <v>5595</v>
      </c>
      <c r="H3307" s="4" t="s">
        <v>5665</v>
      </c>
      <c r="I3307" s="4" t="s">
        <v>2100</v>
      </c>
      <c r="J3307" s="4" t="s">
        <v>2432</v>
      </c>
      <c r="K3307">
        <v>15</v>
      </c>
      <c r="L3307">
        <v>4.5</v>
      </c>
      <c r="M3307">
        <v>19</v>
      </c>
      <c r="N3307">
        <v>185</v>
      </c>
      <c r="O3307">
        <v>177.16535433070868</v>
      </c>
      <c r="P3307">
        <v>0.74803149606299213</v>
      </c>
      <c r="Q3307">
        <v>7.2834645669291342</v>
      </c>
      <c r="R3307">
        <v>933.38300000000004</v>
      </c>
      <c r="S3307">
        <v>1.5817500000000002E-2</v>
      </c>
      <c r="T3307" s="4" t="s">
        <v>5681</v>
      </c>
    </row>
    <row r="3308" spans="1:20" x14ac:dyDescent="0.2">
      <c r="A3308" s="4" t="s">
        <v>5591</v>
      </c>
      <c r="B3308" s="4" t="s">
        <v>5678</v>
      </c>
      <c r="C3308" s="4" t="s">
        <v>2096</v>
      </c>
      <c r="D3308" s="4" t="s">
        <v>4764</v>
      </c>
      <c r="E3308" s="4" t="s">
        <v>5685</v>
      </c>
      <c r="F3308" s="4" t="s">
        <v>5680</v>
      </c>
      <c r="G3308" s="4" t="s">
        <v>5595</v>
      </c>
      <c r="H3308" s="4" t="s">
        <v>5665</v>
      </c>
      <c r="I3308" s="4" t="s">
        <v>2100</v>
      </c>
      <c r="J3308" s="4" t="s">
        <v>2432</v>
      </c>
      <c r="K3308">
        <v>16</v>
      </c>
      <c r="L3308">
        <v>4.8</v>
      </c>
      <c r="M3308">
        <v>19</v>
      </c>
      <c r="N3308">
        <v>185</v>
      </c>
      <c r="O3308">
        <v>188.97637795275591</v>
      </c>
      <c r="P3308">
        <v>0.74803149606299213</v>
      </c>
      <c r="Q3308">
        <v>7.2834645669291342</v>
      </c>
      <c r="R3308">
        <v>933.38300000000004</v>
      </c>
      <c r="S3308">
        <v>1.6872000000000002E-2</v>
      </c>
      <c r="T3308" s="4" t="s">
        <v>5681</v>
      </c>
    </row>
    <row r="3309" spans="1:20" x14ac:dyDescent="0.2">
      <c r="A3309" s="4" t="s">
        <v>5591</v>
      </c>
      <c r="B3309" s="4" t="s">
        <v>5678</v>
      </c>
      <c r="C3309" s="4" t="s">
        <v>2096</v>
      </c>
      <c r="D3309" s="4" t="s">
        <v>4764</v>
      </c>
      <c r="E3309" s="4" t="s">
        <v>5686</v>
      </c>
      <c r="F3309" s="4" t="s">
        <v>5680</v>
      </c>
      <c r="G3309" s="4" t="s">
        <v>5595</v>
      </c>
      <c r="H3309" s="4" t="s">
        <v>5665</v>
      </c>
      <c r="I3309" s="4" t="s">
        <v>2100</v>
      </c>
      <c r="J3309" s="4" t="s">
        <v>2432</v>
      </c>
      <c r="K3309">
        <v>17</v>
      </c>
      <c r="L3309">
        <v>5.0999999999999996</v>
      </c>
      <c r="M3309">
        <v>19</v>
      </c>
      <c r="N3309">
        <v>185</v>
      </c>
      <c r="O3309">
        <v>200.78740157480314</v>
      </c>
      <c r="P3309">
        <v>0.74803149606299213</v>
      </c>
      <c r="Q3309">
        <v>7.2834645669291342</v>
      </c>
      <c r="R3309">
        <v>933.38300000000004</v>
      </c>
      <c r="S3309">
        <v>1.7926499999999998E-2</v>
      </c>
      <c r="T3309" s="4" t="s">
        <v>5681</v>
      </c>
    </row>
    <row r="3310" spans="1:20" x14ac:dyDescent="0.2">
      <c r="A3310" s="4" t="s">
        <v>5591</v>
      </c>
      <c r="B3310" s="4" t="s">
        <v>5678</v>
      </c>
      <c r="C3310" s="4" t="s">
        <v>2096</v>
      </c>
      <c r="D3310" s="4" t="s">
        <v>4764</v>
      </c>
      <c r="E3310" s="4" t="s">
        <v>5687</v>
      </c>
      <c r="F3310" s="4" t="s">
        <v>5680</v>
      </c>
      <c r="G3310" s="4" t="s">
        <v>5595</v>
      </c>
      <c r="H3310" s="4" t="s">
        <v>5665</v>
      </c>
      <c r="I3310" s="4" t="s">
        <v>2100</v>
      </c>
      <c r="J3310" s="4" t="s">
        <v>2432</v>
      </c>
      <c r="K3310">
        <v>18</v>
      </c>
      <c r="L3310">
        <v>5.4</v>
      </c>
      <c r="M3310">
        <v>19</v>
      </c>
      <c r="N3310">
        <v>185</v>
      </c>
      <c r="O3310">
        <v>212.59842519685043</v>
      </c>
      <c r="P3310">
        <v>0.74803149606299213</v>
      </c>
      <c r="Q3310">
        <v>7.2834645669291342</v>
      </c>
      <c r="R3310">
        <v>933.38300000000004</v>
      </c>
      <c r="S3310">
        <v>1.8981000000000001E-2</v>
      </c>
      <c r="T3310" s="4" t="s">
        <v>5681</v>
      </c>
    </row>
    <row r="3311" spans="1:20" x14ac:dyDescent="0.2">
      <c r="A3311" s="4" t="s">
        <v>5591</v>
      </c>
      <c r="B3311" s="4" t="s">
        <v>5678</v>
      </c>
      <c r="C3311" s="4" t="s">
        <v>2286</v>
      </c>
      <c r="D3311" s="4" t="s">
        <v>4764</v>
      </c>
      <c r="E3311" s="4" t="s">
        <v>5688</v>
      </c>
      <c r="F3311" s="4" t="s">
        <v>5680</v>
      </c>
      <c r="G3311" s="4" t="s">
        <v>5595</v>
      </c>
      <c r="H3311" s="4" t="s">
        <v>5665</v>
      </c>
      <c r="I3311" s="4" t="s">
        <v>2100</v>
      </c>
      <c r="J3311" s="4" t="s">
        <v>2432</v>
      </c>
      <c r="K3311">
        <v>4</v>
      </c>
      <c r="L3311">
        <v>1.2</v>
      </c>
      <c r="M3311">
        <v>19</v>
      </c>
      <c r="N3311">
        <v>185</v>
      </c>
      <c r="O3311">
        <v>47.244094488188978</v>
      </c>
      <c r="P3311">
        <v>0.74803149606299213</v>
      </c>
      <c r="Q3311">
        <v>7.2834645669291342</v>
      </c>
      <c r="R3311">
        <v>933.38300000000004</v>
      </c>
      <c r="S3311">
        <v>4.2180000000000004E-3</v>
      </c>
      <c r="T3311" s="4" t="s">
        <v>5689</v>
      </c>
    </row>
    <row r="3312" spans="1:20" x14ac:dyDescent="0.2">
      <c r="A3312" s="4" t="s">
        <v>5591</v>
      </c>
      <c r="B3312" s="4" t="s">
        <v>5678</v>
      </c>
      <c r="C3312" s="4" t="s">
        <v>2286</v>
      </c>
      <c r="D3312" s="4" t="s">
        <v>4764</v>
      </c>
      <c r="E3312" s="4" t="s">
        <v>5690</v>
      </c>
      <c r="F3312" s="4" t="s">
        <v>5680</v>
      </c>
      <c r="G3312" s="4" t="s">
        <v>5595</v>
      </c>
      <c r="H3312" s="4" t="s">
        <v>5665</v>
      </c>
      <c r="I3312" s="4" t="s">
        <v>2100</v>
      </c>
      <c r="J3312" s="4" t="s">
        <v>2432</v>
      </c>
      <c r="K3312">
        <v>5</v>
      </c>
      <c r="L3312">
        <v>1.5</v>
      </c>
      <c r="M3312">
        <v>19</v>
      </c>
      <c r="N3312">
        <v>185</v>
      </c>
      <c r="O3312">
        <v>59.055118110236222</v>
      </c>
      <c r="P3312">
        <v>0.74803149606299213</v>
      </c>
      <c r="Q3312">
        <v>7.2834645669291342</v>
      </c>
      <c r="R3312">
        <v>933.38300000000004</v>
      </c>
      <c r="S3312">
        <v>5.2725000000000003E-3</v>
      </c>
      <c r="T3312" s="4" t="s">
        <v>5689</v>
      </c>
    </row>
    <row r="3313" spans="1:20" x14ac:dyDescent="0.2">
      <c r="A3313" s="4" t="s">
        <v>5591</v>
      </c>
      <c r="B3313" s="4" t="s">
        <v>5678</v>
      </c>
      <c r="C3313" s="4" t="s">
        <v>2286</v>
      </c>
      <c r="D3313" s="4" t="s">
        <v>4764</v>
      </c>
      <c r="E3313" s="4" t="s">
        <v>5691</v>
      </c>
      <c r="F3313" s="4" t="s">
        <v>5680</v>
      </c>
      <c r="G3313" s="4" t="s">
        <v>5595</v>
      </c>
      <c r="H3313" s="4" t="s">
        <v>5665</v>
      </c>
      <c r="I3313" s="4" t="s">
        <v>2100</v>
      </c>
      <c r="J3313" s="4" t="s">
        <v>2432</v>
      </c>
      <c r="K3313">
        <v>6</v>
      </c>
      <c r="L3313">
        <v>1.8</v>
      </c>
      <c r="M3313">
        <v>19</v>
      </c>
      <c r="N3313">
        <v>185</v>
      </c>
      <c r="O3313">
        <v>70.866141732283467</v>
      </c>
      <c r="P3313">
        <v>0.74803149606299213</v>
      </c>
      <c r="Q3313">
        <v>7.2834645669291342</v>
      </c>
      <c r="R3313">
        <v>933.38300000000004</v>
      </c>
      <c r="S3313">
        <v>6.3270000000000002E-3</v>
      </c>
      <c r="T3313" s="4" t="s">
        <v>5689</v>
      </c>
    </row>
    <row r="3314" spans="1:20" x14ac:dyDescent="0.2">
      <c r="A3314" s="4" t="s">
        <v>5591</v>
      </c>
      <c r="B3314" s="4" t="s">
        <v>5678</v>
      </c>
      <c r="C3314" s="4" t="s">
        <v>2286</v>
      </c>
      <c r="D3314" s="4" t="s">
        <v>4764</v>
      </c>
      <c r="E3314" s="4" t="s">
        <v>5692</v>
      </c>
      <c r="F3314" s="4" t="s">
        <v>5680</v>
      </c>
      <c r="G3314" s="4" t="s">
        <v>5595</v>
      </c>
      <c r="H3314" s="4" t="s">
        <v>5665</v>
      </c>
      <c r="I3314" s="4" t="s">
        <v>2100</v>
      </c>
      <c r="J3314" s="4" t="s">
        <v>2432</v>
      </c>
      <c r="K3314">
        <v>7</v>
      </c>
      <c r="L3314">
        <v>2.1</v>
      </c>
      <c r="M3314">
        <v>19</v>
      </c>
      <c r="N3314">
        <v>185</v>
      </c>
      <c r="O3314">
        <v>82.677165354330711</v>
      </c>
      <c r="P3314">
        <v>0.74803149606299213</v>
      </c>
      <c r="Q3314">
        <v>7.2834645669291342</v>
      </c>
      <c r="R3314">
        <v>933.38300000000004</v>
      </c>
      <c r="S3314">
        <v>7.3815E-3</v>
      </c>
      <c r="T3314" s="4" t="s">
        <v>5689</v>
      </c>
    </row>
    <row r="3315" spans="1:20" x14ac:dyDescent="0.2">
      <c r="A3315" s="4" t="s">
        <v>5591</v>
      </c>
      <c r="B3315" s="4" t="s">
        <v>5678</v>
      </c>
      <c r="C3315" s="4" t="s">
        <v>2096</v>
      </c>
      <c r="D3315" s="4" t="s">
        <v>4764</v>
      </c>
      <c r="E3315" s="4" t="s">
        <v>5693</v>
      </c>
      <c r="F3315" s="4" t="s">
        <v>5680</v>
      </c>
      <c r="G3315" s="4" t="s">
        <v>5595</v>
      </c>
      <c r="H3315" s="4" t="s">
        <v>5665</v>
      </c>
      <c r="I3315" s="4" t="s">
        <v>2100</v>
      </c>
      <c r="J3315" s="4" t="s">
        <v>2432</v>
      </c>
      <c r="K3315">
        <v>8</v>
      </c>
      <c r="L3315">
        <v>2.4</v>
      </c>
      <c r="M3315">
        <v>19</v>
      </c>
      <c r="N3315">
        <v>185</v>
      </c>
      <c r="O3315">
        <v>94.488188976377955</v>
      </c>
      <c r="P3315">
        <v>0.74803149606299213</v>
      </c>
      <c r="Q3315">
        <v>7.2834645669291342</v>
      </c>
      <c r="R3315">
        <v>933.38300000000004</v>
      </c>
      <c r="S3315">
        <v>8.4360000000000008E-3</v>
      </c>
      <c r="T3315" s="4" t="s">
        <v>5681</v>
      </c>
    </row>
    <row r="3316" spans="1:20" x14ac:dyDescent="0.2">
      <c r="A3316" s="4" t="s">
        <v>5591</v>
      </c>
      <c r="B3316" s="4" t="s">
        <v>5678</v>
      </c>
      <c r="C3316" s="4" t="s">
        <v>2096</v>
      </c>
      <c r="D3316" s="4" t="s">
        <v>4764</v>
      </c>
      <c r="E3316" s="4" t="s">
        <v>5694</v>
      </c>
      <c r="F3316" s="4" t="s">
        <v>5680</v>
      </c>
      <c r="G3316" s="4" t="s">
        <v>5595</v>
      </c>
      <c r="H3316" s="4" t="s">
        <v>5665</v>
      </c>
      <c r="I3316" s="4" t="s">
        <v>2100</v>
      </c>
      <c r="J3316" s="4" t="s">
        <v>2432</v>
      </c>
      <c r="K3316">
        <v>9</v>
      </c>
      <c r="L3316">
        <v>2.7</v>
      </c>
      <c r="M3316">
        <v>19</v>
      </c>
      <c r="N3316">
        <v>185</v>
      </c>
      <c r="O3316">
        <v>106.29921259842521</v>
      </c>
      <c r="P3316">
        <v>0.74803149606299213</v>
      </c>
      <c r="Q3316">
        <v>7.2834645669291342</v>
      </c>
      <c r="R3316">
        <v>933.38300000000004</v>
      </c>
      <c r="S3316">
        <v>9.4905000000000007E-3</v>
      </c>
      <c r="T3316" s="4" t="s">
        <v>5681</v>
      </c>
    </row>
    <row r="3317" spans="1:20" x14ac:dyDescent="0.2">
      <c r="A3317" s="4" t="s">
        <v>5591</v>
      </c>
      <c r="B3317" s="4" t="s">
        <v>5615</v>
      </c>
      <c r="C3317" s="4" t="s">
        <v>2096</v>
      </c>
      <c r="D3317" s="4" t="s">
        <v>4764</v>
      </c>
      <c r="E3317" s="4" t="s">
        <v>1686</v>
      </c>
      <c r="F3317" s="4" t="s">
        <v>5695</v>
      </c>
      <c r="G3317" s="4" t="s">
        <v>5595</v>
      </c>
      <c r="H3317" s="4" t="s">
        <v>2183</v>
      </c>
      <c r="I3317" s="4" t="s">
        <v>5597</v>
      </c>
      <c r="J3317" s="4" t="s">
        <v>2153</v>
      </c>
      <c r="K3317">
        <v>10</v>
      </c>
      <c r="L3317">
        <v>3</v>
      </c>
      <c r="M3317">
        <v>19</v>
      </c>
      <c r="N3317">
        <v>138</v>
      </c>
      <c r="O3317">
        <v>118.11023622047244</v>
      </c>
      <c r="P3317">
        <v>0.74803149606299213</v>
      </c>
      <c r="Q3317">
        <v>5.4330708661417324</v>
      </c>
      <c r="R3317">
        <v>1251.2739999999999</v>
      </c>
      <c r="S3317">
        <v>7.8659999999999997E-3</v>
      </c>
      <c r="T3317" s="4" t="s">
        <v>5696</v>
      </c>
    </row>
    <row r="3318" spans="1:20" x14ac:dyDescent="0.2">
      <c r="A3318" s="4" t="s">
        <v>5591</v>
      </c>
      <c r="B3318" s="4" t="s">
        <v>5615</v>
      </c>
      <c r="C3318" s="4" t="s">
        <v>2096</v>
      </c>
      <c r="D3318" s="4" t="s">
        <v>4764</v>
      </c>
      <c r="E3318" s="4" t="s">
        <v>5697</v>
      </c>
      <c r="F3318" s="4" t="s">
        <v>5695</v>
      </c>
      <c r="G3318" s="4" t="s">
        <v>5595</v>
      </c>
      <c r="H3318" s="4" t="s">
        <v>2183</v>
      </c>
      <c r="I3318" s="4" t="s">
        <v>5597</v>
      </c>
      <c r="J3318" s="4" t="s">
        <v>2153</v>
      </c>
      <c r="K3318">
        <v>11</v>
      </c>
      <c r="L3318">
        <v>3.3</v>
      </c>
      <c r="M3318">
        <v>19</v>
      </c>
      <c r="N3318">
        <v>138</v>
      </c>
      <c r="O3318">
        <v>129.92125984251967</v>
      </c>
      <c r="P3318">
        <v>0.74803149606299213</v>
      </c>
      <c r="Q3318">
        <v>5.4330708661417324</v>
      </c>
      <c r="R3318">
        <v>1251.2739999999999</v>
      </c>
      <c r="S3318">
        <v>8.6525999999999999E-3</v>
      </c>
      <c r="T3318" s="4" t="s">
        <v>5696</v>
      </c>
    </row>
    <row r="3319" spans="1:20" x14ac:dyDescent="0.2">
      <c r="A3319" s="4" t="s">
        <v>5591</v>
      </c>
      <c r="B3319" s="4" t="s">
        <v>5615</v>
      </c>
      <c r="C3319" s="4" t="s">
        <v>2096</v>
      </c>
      <c r="D3319" s="4" t="s">
        <v>4764</v>
      </c>
      <c r="E3319" s="4" t="s">
        <v>1688</v>
      </c>
      <c r="F3319" s="4" t="s">
        <v>5695</v>
      </c>
      <c r="G3319" s="4" t="s">
        <v>5595</v>
      </c>
      <c r="H3319" s="4" t="s">
        <v>2183</v>
      </c>
      <c r="I3319" s="4" t="s">
        <v>5597</v>
      </c>
      <c r="J3319" s="4" t="s">
        <v>2153</v>
      </c>
      <c r="K3319">
        <v>12</v>
      </c>
      <c r="L3319">
        <v>3.6</v>
      </c>
      <c r="M3319">
        <v>19</v>
      </c>
      <c r="N3319">
        <v>138</v>
      </c>
      <c r="O3319">
        <v>141.73228346456693</v>
      </c>
      <c r="P3319">
        <v>0.74803149606299213</v>
      </c>
      <c r="Q3319">
        <v>5.4330708661417324</v>
      </c>
      <c r="R3319">
        <v>1251.2739999999999</v>
      </c>
      <c r="S3319">
        <v>9.4392E-3</v>
      </c>
      <c r="T3319" s="4" t="s">
        <v>5696</v>
      </c>
    </row>
    <row r="3320" spans="1:20" x14ac:dyDescent="0.2">
      <c r="A3320" s="4" t="s">
        <v>5591</v>
      </c>
      <c r="B3320" s="4" t="s">
        <v>5615</v>
      </c>
      <c r="C3320" s="4" t="s">
        <v>2096</v>
      </c>
      <c r="D3320" s="4" t="s">
        <v>4764</v>
      </c>
      <c r="E3320" s="4" t="s">
        <v>5698</v>
      </c>
      <c r="F3320" s="4" t="s">
        <v>5695</v>
      </c>
      <c r="G3320" s="4" t="s">
        <v>5595</v>
      </c>
      <c r="H3320" s="4" t="s">
        <v>2183</v>
      </c>
      <c r="I3320" s="4" t="s">
        <v>5597</v>
      </c>
      <c r="J3320" s="4" t="s">
        <v>2153</v>
      </c>
      <c r="K3320">
        <v>13</v>
      </c>
      <c r="L3320">
        <v>3.9</v>
      </c>
      <c r="M3320">
        <v>19</v>
      </c>
      <c r="N3320">
        <v>138</v>
      </c>
      <c r="O3320">
        <v>153.54330708661416</v>
      </c>
      <c r="P3320">
        <v>0.74803149606299213</v>
      </c>
      <c r="Q3320">
        <v>5.4330708661417324</v>
      </c>
      <c r="R3320">
        <v>1251.2739999999999</v>
      </c>
      <c r="S3320">
        <v>1.02258E-2</v>
      </c>
      <c r="T3320" s="4" t="s">
        <v>5696</v>
      </c>
    </row>
    <row r="3321" spans="1:20" x14ac:dyDescent="0.2">
      <c r="A3321" s="4" t="s">
        <v>5591</v>
      </c>
      <c r="B3321" s="4" t="s">
        <v>5615</v>
      </c>
      <c r="C3321" s="4" t="s">
        <v>2096</v>
      </c>
      <c r="D3321" s="4" t="s">
        <v>4764</v>
      </c>
      <c r="E3321" s="4" t="s">
        <v>1690</v>
      </c>
      <c r="F3321" s="4" t="s">
        <v>5695</v>
      </c>
      <c r="G3321" s="4" t="s">
        <v>5595</v>
      </c>
      <c r="H3321" s="4" t="s">
        <v>2183</v>
      </c>
      <c r="I3321" s="4" t="s">
        <v>5597</v>
      </c>
      <c r="J3321" s="4" t="s">
        <v>2153</v>
      </c>
      <c r="K3321">
        <v>14</v>
      </c>
      <c r="L3321">
        <v>4.2</v>
      </c>
      <c r="M3321">
        <v>19</v>
      </c>
      <c r="N3321">
        <v>138</v>
      </c>
      <c r="O3321">
        <v>165.35433070866142</v>
      </c>
      <c r="P3321">
        <v>0.74803149606299213</v>
      </c>
      <c r="Q3321">
        <v>5.4330708661417324</v>
      </c>
      <c r="R3321">
        <v>1251.2739999999999</v>
      </c>
      <c r="S3321">
        <v>1.10124E-2</v>
      </c>
      <c r="T3321" s="4" t="s">
        <v>5696</v>
      </c>
    </row>
    <row r="3322" spans="1:20" x14ac:dyDescent="0.2">
      <c r="A3322" s="4" t="s">
        <v>5591</v>
      </c>
      <c r="B3322" s="4" t="s">
        <v>5615</v>
      </c>
      <c r="C3322" s="4" t="s">
        <v>2096</v>
      </c>
      <c r="D3322" s="4" t="s">
        <v>4764</v>
      </c>
      <c r="E3322" s="4" t="s">
        <v>5699</v>
      </c>
      <c r="F3322" s="4" t="s">
        <v>5695</v>
      </c>
      <c r="G3322" s="4" t="s">
        <v>5595</v>
      </c>
      <c r="H3322" s="4" t="s">
        <v>2183</v>
      </c>
      <c r="I3322" s="4" t="s">
        <v>5597</v>
      </c>
      <c r="J3322" s="4" t="s">
        <v>2153</v>
      </c>
      <c r="K3322">
        <v>15</v>
      </c>
      <c r="L3322">
        <v>4.5</v>
      </c>
      <c r="M3322">
        <v>19</v>
      </c>
      <c r="N3322">
        <v>138</v>
      </c>
      <c r="O3322">
        <v>177.16535433070868</v>
      </c>
      <c r="P3322">
        <v>0.74803149606299213</v>
      </c>
      <c r="Q3322">
        <v>5.4330708661417324</v>
      </c>
      <c r="R3322">
        <v>1251.2739999999999</v>
      </c>
      <c r="S3322">
        <v>1.1799E-2</v>
      </c>
      <c r="T3322" s="4" t="s">
        <v>5696</v>
      </c>
    </row>
    <row r="3323" spans="1:20" x14ac:dyDescent="0.2">
      <c r="A3323" s="4" t="s">
        <v>5591</v>
      </c>
      <c r="B3323" s="4" t="s">
        <v>5615</v>
      </c>
      <c r="C3323" s="4" t="s">
        <v>2096</v>
      </c>
      <c r="D3323" s="4" t="s">
        <v>4764</v>
      </c>
      <c r="E3323" s="4" t="s">
        <v>1692</v>
      </c>
      <c r="F3323" s="4" t="s">
        <v>5695</v>
      </c>
      <c r="G3323" s="4" t="s">
        <v>5595</v>
      </c>
      <c r="H3323" s="4" t="s">
        <v>2183</v>
      </c>
      <c r="I3323" s="4" t="s">
        <v>5597</v>
      </c>
      <c r="J3323" s="4" t="s">
        <v>2153</v>
      </c>
      <c r="K3323">
        <v>16</v>
      </c>
      <c r="L3323">
        <v>4.8</v>
      </c>
      <c r="M3323">
        <v>19</v>
      </c>
      <c r="N3323">
        <v>138</v>
      </c>
      <c r="O3323">
        <v>188.97637795275591</v>
      </c>
      <c r="P3323">
        <v>0.74803149606299213</v>
      </c>
      <c r="Q3323">
        <v>5.4330708661417324</v>
      </c>
      <c r="R3323">
        <v>1251.2739999999999</v>
      </c>
      <c r="S3323">
        <v>1.2585600000000001E-2</v>
      </c>
      <c r="T3323" s="4" t="s">
        <v>5696</v>
      </c>
    </row>
    <row r="3324" spans="1:20" x14ac:dyDescent="0.2">
      <c r="A3324" s="4" t="s">
        <v>5591</v>
      </c>
      <c r="B3324" s="4" t="s">
        <v>5615</v>
      </c>
      <c r="C3324" s="4" t="s">
        <v>2096</v>
      </c>
      <c r="D3324" s="4" t="s">
        <v>4764</v>
      </c>
      <c r="E3324" s="4" t="s">
        <v>5700</v>
      </c>
      <c r="F3324" s="4" t="s">
        <v>5695</v>
      </c>
      <c r="G3324" s="4" t="s">
        <v>5595</v>
      </c>
      <c r="H3324" s="4" t="s">
        <v>2183</v>
      </c>
      <c r="I3324" s="4" t="s">
        <v>5597</v>
      </c>
      <c r="J3324" s="4" t="s">
        <v>2153</v>
      </c>
      <c r="K3324">
        <v>17</v>
      </c>
      <c r="L3324">
        <v>5.0999999999999996</v>
      </c>
      <c r="M3324">
        <v>19</v>
      </c>
      <c r="N3324">
        <v>138</v>
      </c>
      <c r="O3324">
        <v>200.78740157480314</v>
      </c>
      <c r="P3324">
        <v>0.74803149606299213</v>
      </c>
      <c r="Q3324">
        <v>5.4330708661417324</v>
      </c>
      <c r="R3324">
        <v>1251.2739999999999</v>
      </c>
      <c r="S3324">
        <v>1.3372199999999997E-2</v>
      </c>
      <c r="T3324" s="4" t="s">
        <v>5696</v>
      </c>
    </row>
    <row r="3325" spans="1:20" x14ac:dyDescent="0.2">
      <c r="A3325" s="4" t="s">
        <v>5591</v>
      </c>
      <c r="B3325" s="4" t="s">
        <v>5615</v>
      </c>
      <c r="C3325" s="4" t="s">
        <v>2096</v>
      </c>
      <c r="D3325" s="4" t="s">
        <v>4764</v>
      </c>
      <c r="E3325" s="4" t="s">
        <v>1694</v>
      </c>
      <c r="F3325" s="4" t="s">
        <v>5695</v>
      </c>
      <c r="G3325" s="4" t="s">
        <v>5595</v>
      </c>
      <c r="H3325" s="4" t="s">
        <v>2183</v>
      </c>
      <c r="I3325" s="4" t="s">
        <v>5597</v>
      </c>
      <c r="J3325" s="4" t="s">
        <v>2153</v>
      </c>
      <c r="K3325">
        <v>18</v>
      </c>
      <c r="L3325">
        <v>5.4</v>
      </c>
      <c r="M3325">
        <v>19</v>
      </c>
      <c r="N3325">
        <v>138</v>
      </c>
      <c r="O3325">
        <v>212.59842519685043</v>
      </c>
      <c r="P3325">
        <v>0.74803149606299213</v>
      </c>
      <c r="Q3325">
        <v>5.4330708661417324</v>
      </c>
      <c r="R3325">
        <v>1251.2739999999999</v>
      </c>
      <c r="S3325">
        <v>1.4158800000000001E-2</v>
      </c>
      <c r="T3325" s="4" t="s">
        <v>5696</v>
      </c>
    </row>
    <row r="3326" spans="1:20" x14ac:dyDescent="0.2">
      <c r="A3326" s="4" t="s">
        <v>5591</v>
      </c>
      <c r="B3326" s="4" t="s">
        <v>5615</v>
      </c>
      <c r="C3326" s="4" t="s">
        <v>2286</v>
      </c>
      <c r="D3326" s="4" t="s">
        <v>4764</v>
      </c>
      <c r="E3326" s="4" t="s">
        <v>5701</v>
      </c>
      <c r="F3326" s="4" t="s">
        <v>5695</v>
      </c>
      <c r="G3326" s="4" t="s">
        <v>5595</v>
      </c>
      <c r="H3326" s="4" t="s">
        <v>2183</v>
      </c>
      <c r="I3326" s="4" t="s">
        <v>5597</v>
      </c>
      <c r="J3326" s="4" t="s">
        <v>2153</v>
      </c>
      <c r="K3326">
        <v>4</v>
      </c>
      <c r="L3326">
        <v>1.2</v>
      </c>
      <c r="M3326">
        <v>19</v>
      </c>
      <c r="N3326">
        <v>138</v>
      </c>
      <c r="O3326">
        <v>47.244094488188978</v>
      </c>
      <c r="P3326">
        <v>0.74803149606299213</v>
      </c>
      <c r="Q3326">
        <v>5.4330708661417324</v>
      </c>
      <c r="R3326">
        <v>1251.2739999999999</v>
      </c>
      <c r="S3326">
        <v>3.1464000000000002E-3</v>
      </c>
      <c r="T3326" s="4" t="s">
        <v>5702</v>
      </c>
    </row>
    <row r="3327" spans="1:20" x14ac:dyDescent="0.2">
      <c r="A3327" s="4" t="s">
        <v>5591</v>
      </c>
      <c r="B3327" s="4" t="s">
        <v>5615</v>
      </c>
      <c r="C3327" s="4" t="s">
        <v>2286</v>
      </c>
      <c r="D3327" s="4" t="s">
        <v>4764</v>
      </c>
      <c r="E3327" s="4" t="s">
        <v>5703</v>
      </c>
      <c r="F3327" s="4" t="s">
        <v>5695</v>
      </c>
      <c r="G3327" s="4" t="s">
        <v>5595</v>
      </c>
      <c r="H3327" s="4" t="s">
        <v>2183</v>
      </c>
      <c r="I3327" s="4" t="s">
        <v>5597</v>
      </c>
      <c r="J3327" s="4" t="s">
        <v>2153</v>
      </c>
      <c r="K3327">
        <v>5</v>
      </c>
      <c r="L3327">
        <v>1.5</v>
      </c>
      <c r="M3327">
        <v>19</v>
      </c>
      <c r="N3327">
        <v>138</v>
      </c>
      <c r="O3327">
        <v>59.055118110236222</v>
      </c>
      <c r="P3327">
        <v>0.74803149606299213</v>
      </c>
      <c r="Q3327">
        <v>5.4330708661417324</v>
      </c>
      <c r="R3327">
        <v>1251.2739999999999</v>
      </c>
      <c r="S3327">
        <v>3.9329999999999999E-3</v>
      </c>
      <c r="T3327" s="4" t="s">
        <v>5702</v>
      </c>
    </row>
    <row r="3328" spans="1:20" x14ac:dyDescent="0.2">
      <c r="A3328" s="4" t="s">
        <v>5591</v>
      </c>
      <c r="B3328" s="4" t="s">
        <v>5615</v>
      </c>
      <c r="C3328" s="4" t="s">
        <v>2286</v>
      </c>
      <c r="D3328" s="4" t="s">
        <v>4764</v>
      </c>
      <c r="E3328" s="4" t="s">
        <v>5704</v>
      </c>
      <c r="F3328" s="4" t="s">
        <v>5695</v>
      </c>
      <c r="G3328" s="4" t="s">
        <v>5595</v>
      </c>
      <c r="H3328" s="4" t="s">
        <v>2183</v>
      </c>
      <c r="I3328" s="4" t="s">
        <v>5597</v>
      </c>
      <c r="J3328" s="4" t="s">
        <v>2153</v>
      </c>
      <c r="K3328">
        <v>6</v>
      </c>
      <c r="L3328">
        <v>1.8</v>
      </c>
      <c r="M3328">
        <v>19</v>
      </c>
      <c r="N3328">
        <v>138</v>
      </c>
      <c r="O3328">
        <v>70.866141732283467</v>
      </c>
      <c r="P3328">
        <v>0.74803149606299213</v>
      </c>
      <c r="Q3328">
        <v>5.4330708661417324</v>
      </c>
      <c r="R3328">
        <v>1251.2739999999999</v>
      </c>
      <c r="S3328">
        <v>4.7196E-3</v>
      </c>
      <c r="T3328" s="4" t="s">
        <v>5702</v>
      </c>
    </row>
    <row r="3329" spans="1:20" x14ac:dyDescent="0.2">
      <c r="A3329" s="4" t="s">
        <v>5591</v>
      </c>
      <c r="B3329" s="4" t="s">
        <v>5615</v>
      </c>
      <c r="C3329" s="4" t="s">
        <v>2286</v>
      </c>
      <c r="D3329" s="4" t="s">
        <v>4764</v>
      </c>
      <c r="E3329" s="4" t="s">
        <v>1696</v>
      </c>
      <c r="F3329" s="4" t="s">
        <v>5695</v>
      </c>
      <c r="G3329" s="4" t="s">
        <v>5595</v>
      </c>
      <c r="H3329" s="4" t="s">
        <v>2183</v>
      </c>
      <c r="I3329" s="4" t="s">
        <v>5597</v>
      </c>
      <c r="J3329" s="4" t="s">
        <v>2153</v>
      </c>
      <c r="K3329">
        <v>7</v>
      </c>
      <c r="L3329">
        <v>2.1</v>
      </c>
      <c r="M3329">
        <v>19</v>
      </c>
      <c r="N3329">
        <v>138</v>
      </c>
      <c r="O3329">
        <v>82.677165354330711</v>
      </c>
      <c r="P3329">
        <v>0.74803149606299213</v>
      </c>
      <c r="Q3329">
        <v>5.4330708661417324</v>
      </c>
      <c r="R3329">
        <v>1251.2739999999999</v>
      </c>
      <c r="S3329">
        <v>5.5062000000000002E-3</v>
      </c>
      <c r="T3329" s="4" t="s">
        <v>5702</v>
      </c>
    </row>
    <row r="3330" spans="1:20" x14ac:dyDescent="0.2">
      <c r="A3330" s="4" t="s">
        <v>5591</v>
      </c>
      <c r="B3330" s="4" t="s">
        <v>5615</v>
      </c>
      <c r="C3330" s="4" t="s">
        <v>2096</v>
      </c>
      <c r="D3330" s="4" t="s">
        <v>4764</v>
      </c>
      <c r="E3330" s="4" t="s">
        <v>5705</v>
      </c>
      <c r="F3330" s="4" t="s">
        <v>5695</v>
      </c>
      <c r="G3330" s="4" t="s">
        <v>5595</v>
      </c>
      <c r="H3330" s="4" t="s">
        <v>2183</v>
      </c>
      <c r="I3330" s="4" t="s">
        <v>5597</v>
      </c>
      <c r="J3330" s="4" t="s">
        <v>2153</v>
      </c>
      <c r="K3330">
        <v>8</v>
      </c>
      <c r="L3330">
        <v>2.4</v>
      </c>
      <c r="M3330">
        <v>19</v>
      </c>
      <c r="N3330">
        <v>138</v>
      </c>
      <c r="O3330">
        <v>94.488188976377955</v>
      </c>
      <c r="P3330">
        <v>0.74803149606299213</v>
      </c>
      <c r="Q3330">
        <v>5.4330708661417324</v>
      </c>
      <c r="R3330">
        <v>1251.2739999999999</v>
      </c>
      <c r="S3330">
        <v>6.2928000000000003E-3</v>
      </c>
      <c r="T3330" s="4" t="s">
        <v>5696</v>
      </c>
    </row>
    <row r="3331" spans="1:20" x14ac:dyDescent="0.2">
      <c r="A3331" s="4" t="s">
        <v>5591</v>
      </c>
      <c r="B3331" s="4" t="s">
        <v>5615</v>
      </c>
      <c r="C3331" s="4" t="s">
        <v>2096</v>
      </c>
      <c r="D3331" s="4" t="s">
        <v>4764</v>
      </c>
      <c r="E3331" s="4" t="s">
        <v>1698</v>
      </c>
      <c r="F3331" s="4" t="s">
        <v>5695</v>
      </c>
      <c r="G3331" s="4" t="s">
        <v>5595</v>
      </c>
      <c r="H3331" s="4" t="s">
        <v>2183</v>
      </c>
      <c r="I3331" s="4" t="s">
        <v>5597</v>
      </c>
      <c r="J3331" s="4" t="s">
        <v>2153</v>
      </c>
      <c r="K3331">
        <v>9</v>
      </c>
      <c r="L3331">
        <v>2.7</v>
      </c>
      <c r="M3331">
        <v>19</v>
      </c>
      <c r="N3331">
        <v>138</v>
      </c>
      <c r="O3331">
        <v>106.29921259842521</v>
      </c>
      <c r="P3331">
        <v>0.74803149606299213</v>
      </c>
      <c r="Q3331">
        <v>5.4330708661417324</v>
      </c>
      <c r="R3331">
        <v>1251.2739999999999</v>
      </c>
      <c r="S3331">
        <v>7.0794000000000004E-3</v>
      </c>
      <c r="T3331" s="4" t="s">
        <v>5696</v>
      </c>
    </row>
    <row r="3332" spans="1:20" x14ac:dyDescent="0.2">
      <c r="A3332" s="4" t="s">
        <v>5591</v>
      </c>
      <c r="B3332" s="4" t="s">
        <v>5706</v>
      </c>
      <c r="C3332" s="4" t="s">
        <v>2096</v>
      </c>
      <c r="D3332" s="4" t="s">
        <v>4764</v>
      </c>
      <c r="E3332" s="4" t="s">
        <v>5707</v>
      </c>
      <c r="F3332" s="4" t="s">
        <v>5708</v>
      </c>
      <c r="G3332" s="4" t="s">
        <v>5595</v>
      </c>
      <c r="H3332" s="4" t="s">
        <v>2183</v>
      </c>
      <c r="I3332" s="4" t="s">
        <v>5597</v>
      </c>
      <c r="J3332" s="4" t="s">
        <v>2570</v>
      </c>
      <c r="K3332">
        <v>10</v>
      </c>
      <c r="L3332">
        <v>3</v>
      </c>
      <c r="M3332">
        <v>38</v>
      </c>
      <c r="N3332">
        <v>138</v>
      </c>
      <c r="O3332">
        <v>118.11023622047244</v>
      </c>
      <c r="P3332">
        <v>1.4960629921259843</v>
      </c>
      <c r="Q3332">
        <v>5.4330708661417324</v>
      </c>
      <c r="R3332">
        <v>625.63699999999994</v>
      </c>
      <c r="S3332">
        <v>1.5731999999999999E-2</v>
      </c>
      <c r="T3332" s="4" t="s">
        <v>5709</v>
      </c>
    </row>
    <row r="3333" spans="1:20" x14ac:dyDescent="0.2">
      <c r="A3333" s="4" t="s">
        <v>5591</v>
      </c>
      <c r="B3333" s="4" t="s">
        <v>5706</v>
      </c>
      <c r="C3333" s="4" t="s">
        <v>2096</v>
      </c>
      <c r="D3333" s="4" t="s">
        <v>4764</v>
      </c>
      <c r="E3333" s="4" t="s">
        <v>5710</v>
      </c>
      <c r="F3333" s="4" t="s">
        <v>5708</v>
      </c>
      <c r="G3333" s="4" t="s">
        <v>5595</v>
      </c>
      <c r="H3333" s="4" t="s">
        <v>2183</v>
      </c>
      <c r="I3333" s="4" t="s">
        <v>5597</v>
      </c>
      <c r="J3333" s="4" t="s">
        <v>2570</v>
      </c>
      <c r="K3333">
        <v>11</v>
      </c>
      <c r="L3333">
        <v>3.3</v>
      </c>
      <c r="M3333">
        <v>38</v>
      </c>
      <c r="N3333">
        <v>138</v>
      </c>
      <c r="O3333">
        <v>129.92125984251967</v>
      </c>
      <c r="P3333">
        <v>1.4960629921259843</v>
      </c>
      <c r="Q3333">
        <v>5.4330708661417324</v>
      </c>
      <c r="R3333">
        <v>625.63699999999994</v>
      </c>
      <c r="S3333">
        <v>1.73052E-2</v>
      </c>
      <c r="T3333" s="4" t="s">
        <v>5709</v>
      </c>
    </row>
    <row r="3334" spans="1:20" x14ac:dyDescent="0.2">
      <c r="A3334" s="4" t="s">
        <v>5591</v>
      </c>
      <c r="B3334" s="4" t="s">
        <v>5706</v>
      </c>
      <c r="C3334" s="4" t="s">
        <v>2096</v>
      </c>
      <c r="D3334" s="4" t="s">
        <v>4764</v>
      </c>
      <c r="E3334" s="4" t="s">
        <v>5711</v>
      </c>
      <c r="F3334" s="4" t="s">
        <v>5708</v>
      </c>
      <c r="G3334" s="4" t="s">
        <v>5595</v>
      </c>
      <c r="H3334" s="4" t="s">
        <v>2183</v>
      </c>
      <c r="I3334" s="4" t="s">
        <v>5597</v>
      </c>
      <c r="J3334" s="4" t="s">
        <v>2570</v>
      </c>
      <c r="K3334">
        <v>12</v>
      </c>
      <c r="L3334">
        <v>3.6</v>
      </c>
      <c r="M3334">
        <v>38</v>
      </c>
      <c r="N3334">
        <v>138</v>
      </c>
      <c r="O3334">
        <v>141.73228346456693</v>
      </c>
      <c r="P3334">
        <v>1.4960629921259843</v>
      </c>
      <c r="Q3334">
        <v>5.4330708661417324</v>
      </c>
      <c r="R3334">
        <v>625.63699999999994</v>
      </c>
      <c r="S3334">
        <v>1.88784E-2</v>
      </c>
      <c r="T3334" s="4" t="s">
        <v>5709</v>
      </c>
    </row>
    <row r="3335" spans="1:20" x14ac:dyDescent="0.2">
      <c r="A3335" s="4" t="s">
        <v>5591</v>
      </c>
      <c r="B3335" s="4" t="s">
        <v>5706</v>
      </c>
      <c r="C3335" s="4" t="s">
        <v>2096</v>
      </c>
      <c r="D3335" s="4" t="s">
        <v>4764</v>
      </c>
      <c r="E3335" s="4" t="s">
        <v>5712</v>
      </c>
      <c r="F3335" s="4" t="s">
        <v>5708</v>
      </c>
      <c r="G3335" s="4" t="s">
        <v>5595</v>
      </c>
      <c r="H3335" s="4" t="s">
        <v>2183</v>
      </c>
      <c r="I3335" s="4" t="s">
        <v>5597</v>
      </c>
      <c r="J3335" s="4" t="s">
        <v>2570</v>
      </c>
      <c r="K3335">
        <v>13</v>
      </c>
      <c r="L3335">
        <v>3.9</v>
      </c>
      <c r="M3335">
        <v>38</v>
      </c>
      <c r="N3335">
        <v>138</v>
      </c>
      <c r="O3335">
        <v>153.54330708661416</v>
      </c>
      <c r="P3335">
        <v>1.4960629921259843</v>
      </c>
      <c r="Q3335">
        <v>5.4330708661417324</v>
      </c>
      <c r="R3335">
        <v>625.63699999999994</v>
      </c>
      <c r="S3335">
        <v>2.04516E-2</v>
      </c>
      <c r="T3335" s="4" t="s">
        <v>5709</v>
      </c>
    </row>
    <row r="3336" spans="1:20" x14ac:dyDescent="0.2">
      <c r="A3336" s="4" t="s">
        <v>5591</v>
      </c>
      <c r="B3336" s="4" t="s">
        <v>5706</v>
      </c>
      <c r="C3336" s="4" t="s">
        <v>2096</v>
      </c>
      <c r="D3336" s="4" t="s">
        <v>4764</v>
      </c>
      <c r="E3336" s="4" t="s">
        <v>5713</v>
      </c>
      <c r="F3336" s="4" t="s">
        <v>5708</v>
      </c>
      <c r="G3336" s="4" t="s">
        <v>5595</v>
      </c>
      <c r="H3336" s="4" t="s">
        <v>2183</v>
      </c>
      <c r="I3336" s="4" t="s">
        <v>5597</v>
      </c>
      <c r="J3336" s="4" t="s">
        <v>2570</v>
      </c>
      <c r="K3336">
        <v>14</v>
      </c>
      <c r="L3336">
        <v>4.2</v>
      </c>
      <c r="M3336">
        <v>38</v>
      </c>
      <c r="N3336">
        <v>138</v>
      </c>
      <c r="O3336">
        <v>165.35433070866142</v>
      </c>
      <c r="P3336">
        <v>1.4960629921259843</v>
      </c>
      <c r="Q3336">
        <v>5.4330708661417324</v>
      </c>
      <c r="R3336">
        <v>625.63699999999994</v>
      </c>
      <c r="S3336">
        <v>2.2024800000000001E-2</v>
      </c>
      <c r="T3336" s="4" t="s">
        <v>5709</v>
      </c>
    </row>
    <row r="3337" spans="1:20" x14ac:dyDescent="0.2">
      <c r="A3337" s="4" t="s">
        <v>5591</v>
      </c>
      <c r="B3337" s="4" t="s">
        <v>5706</v>
      </c>
      <c r="C3337" s="4" t="s">
        <v>2096</v>
      </c>
      <c r="D3337" s="4" t="s">
        <v>4764</v>
      </c>
      <c r="E3337" s="4" t="s">
        <v>1700</v>
      </c>
      <c r="F3337" s="4" t="s">
        <v>5708</v>
      </c>
      <c r="G3337" s="4" t="s">
        <v>5595</v>
      </c>
      <c r="H3337" s="4" t="s">
        <v>2183</v>
      </c>
      <c r="I3337" s="4" t="s">
        <v>5597</v>
      </c>
      <c r="J3337" s="4" t="s">
        <v>2570</v>
      </c>
      <c r="K3337">
        <v>15</v>
      </c>
      <c r="L3337">
        <v>4.5</v>
      </c>
      <c r="M3337">
        <v>38</v>
      </c>
      <c r="N3337">
        <v>138</v>
      </c>
      <c r="O3337">
        <v>177.16535433070868</v>
      </c>
      <c r="P3337">
        <v>1.4960629921259843</v>
      </c>
      <c r="Q3337">
        <v>5.4330708661417324</v>
      </c>
      <c r="R3337">
        <v>625.63699999999994</v>
      </c>
      <c r="S3337">
        <v>2.3598000000000001E-2</v>
      </c>
      <c r="T3337" s="4" t="s">
        <v>5709</v>
      </c>
    </row>
    <row r="3338" spans="1:20" x14ac:dyDescent="0.2">
      <c r="A3338" s="4" t="s">
        <v>5591</v>
      </c>
      <c r="B3338" s="4" t="s">
        <v>5706</v>
      </c>
      <c r="C3338" s="4" t="s">
        <v>2096</v>
      </c>
      <c r="D3338" s="4" t="s">
        <v>4764</v>
      </c>
      <c r="E3338" s="4" t="s">
        <v>1702</v>
      </c>
      <c r="F3338" s="4" t="s">
        <v>5708</v>
      </c>
      <c r="G3338" s="4" t="s">
        <v>5595</v>
      </c>
      <c r="H3338" s="4" t="s">
        <v>2183</v>
      </c>
      <c r="I3338" s="4" t="s">
        <v>5597</v>
      </c>
      <c r="J3338" s="4" t="s">
        <v>2570</v>
      </c>
      <c r="K3338">
        <v>16</v>
      </c>
      <c r="L3338">
        <v>4.8</v>
      </c>
      <c r="M3338">
        <v>38</v>
      </c>
      <c r="N3338">
        <v>138</v>
      </c>
      <c r="O3338">
        <v>188.97637795275591</v>
      </c>
      <c r="P3338">
        <v>1.4960629921259843</v>
      </c>
      <c r="Q3338">
        <v>5.4330708661417324</v>
      </c>
      <c r="R3338">
        <v>625.63699999999994</v>
      </c>
      <c r="S3338">
        <v>2.5171200000000001E-2</v>
      </c>
      <c r="T3338" s="4" t="s">
        <v>5709</v>
      </c>
    </row>
    <row r="3339" spans="1:20" x14ac:dyDescent="0.2">
      <c r="A3339" s="4" t="s">
        <v>5591</v>
      </c>
      <c r="B3339" s="4" t="s">
        <v>5706</v>
      </c>
      <c r="C3339" s="4" t="s">
        <v>2096</v>
      </c>
      <c r="D3339" s="4" t="s">
        <v>4764</v>
      </c>
      <c r="E3339" s="4" t="s">
        <v>5714</v>
      </c>
      <c r="F3339" s="4" t="s">
        <v>5708</v>
      </c>
      <c r="G3339" s="4" t="s">
        <v>5595</v>
      </c>
      <c r="H3339" s="4" t="s">
        <v>2183</v>
      </c>
      <c r="I3339" s="4" t="s">
        <v>5597</v>
      </c>
      <c r="J3339" s="4" t="s">
        <v>2570</v>
      </c>
      <c r="K3339">
        <v>17</v>
      </c>
      <c r="L3339">
        <v>5.0999999999999996</v>
      </c>
      <c r="M3339">
        <v>38</v>
      </c>
      <c r="N3339">
        <v>138</v>
      </c>
      <c r="O3339">
        <v>200.78740157480314</v>
      </c>
      <c r="P3339">
        <v>1.4960629921259843</v>
      </c>
      <c r="Q3339">
        <v>5.4330708661417324</v>
      </c>
      <c r="R3339">
        <v>625.63699999999994</v>
      </c>
      <c r="S3339">
        <v>2.6744399999999995E-2</v>
      </c>
      <c r="T3339" s="4" t="s">
        <v>5709</v>
      </c>
    </row>
    <row r="3340" spans="1:20" x14ac:dyDescent="0.2">
      <c r="A3340" s="4" t="s">
        <v>5591</v>
      </c>
      <c r="B3340" s="4" t="s">
        <v>5706</v>
      </c>
      <c r="C3340" s="4" t="s">
        <v>2096</v>
      </c>
      <c r="D3340" s="4" t="s">
        <v>4764</v>
      </c>
      <c r="E3340" s="4" t="s">
        <v>5715</v>
      </c>
      <c r="F3340" s="4" t="s">
        <v>5708</v>
      </c>
      <c r="G3340" s="4" t="s">
        <v>5595</v>
      </c>
      <c r="H3340" s="4" t="s">
        <v>2183</v>
      </c>
      <c r="I3340" s="4" t="s">
        <v>5597</v>
      </c>
      <c r="J3340" s="4" t="s">
        <v>2570</v>
      </c>
      <c r="K3340">
        <v>18</v>
      </c>
      <c r="L3340">
        <v>5.4</v>
      </c>
      <c r="M3340">
        <v>38</v>
      </c>
      <c r="N3340">
        <v>138</v>
      </c>
      <c r="O3340">
        <v>212.59842519685043</v>
      </c>
      <c r="P3340">
        <v>1.4960629921259843</v>
      </c>
      <c r="Q3340">
        <v>5.4330708661417324</v>
      </c>
      <c r="R3340">
        <v>625.63699999999994</v>
      </c>
      <c r="S3340">
        <v>2.8317600000000002E-2</v>
      </c>
      <c r="T3340" s="4" t="s">
        <v>5709</v>
      </c>
    </row>
    <row r="3341" spans="1:20" x14ac:dyDescent="0.2">
      <c r="A3341" s="4" t="s">
        <v>5591</v>
      </c>
      <c r="B3341" s="4" t="s">
        <v>5706</v>
      </c>
      <c r="C3341" s="4" t="s">
        <v>2286</v>
      </c>
      <c r="D3341" s="4" t="s">
        <v>4764</v>
      </c>
      <c r="E3341" s="4" t="s">
        <v>1704</v>
      </c>
      <c r="F3341" s="4" t="s">
        <v>5708</v>
      </c>
      <c r="G3341" s="4" t="s">
        <v>5595</v>
      </c>
      <c r="H3341" s="4" t="s">
        <v>2183</v>
      </c>
      <c r="I3341" s="4" t="s">
        <v>5597</v>
      </c>
      <c r="J3341" s="4" t="s">
        <v>2570</v>
      </c>
      <c r="K3341">
        <v>4</v>
      </c>
      <c r="L3341">
        <v>1.2</v>
      </c>
      <c r="M3341">
        <v>38</v>
      </c>
      <c r="N3341">
        <v>138</v>
      </c>
      <c r="O3341">
        <v>47.244094488188978</v>
      </c>
      <c r="P3341">
        <v>1.4960629921259843</v>
      </c>
      <c r="Q3341">
        <v>5.4330708661417324</v>
      </c>
      <c r="R3341">
        <v>625.63699999999994</v>
      </c>
      <c r="S3341">
        <v>6.2928000000000003E-3</v>
      </c>
      <c r="T3341" s="4" t="s">
        <v>5716</v>
      </c>
    </row>
    <row r="3342" spans="1:20" x14ac:dyDescent="0.2">
      <c r="A3342" s="4" t="s">
        <v>5591</v>
      </c>
      <c r="B3342" s="4" t="s">
        <v>5706</v>
      </c>
      <c r="C3342" s="4" t="s">
        <v>2286</v>
      </c>
      <c r="D3342" s="4" t="s">
        <v>4764</v>
      </c>
      <c r="E3342" s="4" t="s">
        <v>5717</v>
      </c>
      <c r="F3342" s="4" t="s">
        <v>5708</v>
      </c>
      <c r="G3342" s="4" t="s">
        <v>5595</v>
      </c>
      <c r="H3342" s="4" t="s">
        <v>2183</v>
      </c>
      <c r="I3342" s="4" t="s">
        <v>5597</v>
      </c>
      <c r="J3342" s="4" t="s">
        <v>2570</v>
      </c>
      <c r="K3342">
        <v>5</v>
      </c>
      <c r="L3342">
        <v>1.5</v>
      </c>
      <c r="M3342">
        <v>38</v>
      </c>
      <c r="N3342">
        <v>138</v>
      </c>
      <c r="O3342">
        <v>59.055118110236222</v>
      </c>
      <c r="P3342">
        <v>1.4960629921259843</v>
      </c>
      <c r="Q3342">
        <v>5.4330708661417324</v>
      </c>
      <c r="R3342">
        <v>625.63699999999994</v>
      </c>
      <c r="S3342">
        <v>7.8659999999999997E-3</v>
      </c>
      <c r="T3342" s="4" t="s">
        <v>5716</v>
      </c>
    </row>
    <row r="3343" spans="1:20" x14ac:dyDescent="0.2">
      <c r="A3343" s="4" t="s">
        <v>5591</v>
      </c>
      <c r="B3343" s="4" t="s">
        <v>5706</v>
      </c>
      <c r="C3343" s="4" t="s">
        <v>2286</v>
      </c>
      <c r="D3343" s="4" t="s">
        <v>4764</v>
      </c>
      <c r="E3343" s="4" t="s">
        <v>5718</v>
      </c>
      <c r="F3343" s="4" t="s">
        <v>5708</v>
      </c>
      <c r="G3343" s="4" t="s">
        <v>5595</v>
      </c>
      <c r="H3343" s="4" t="s">
        <v>2183</v>
      </c>
      <c r="I3343" s="4" t="s">
        <v>5597</v>
      </c>
      <c r="J3343" s="4" t="s">
        <v>2570</v>
      </c>
      <c r="K3343">
        <v>6</v>
      </c>
      <c r="L3343">
        <v>1.8</v>
      </c>
      <c r="M3343">
        <v>38</v>
      </c>
      <c r="N3343">
        <v>138</v>
      </c>
      <c r="O3343">
        <v>70.866141732283467</v>
      </c>
      <c r="P3343">
        <v>1.4960629921259843</v>
      </c>
      <c r="Q3343">
        <v>5.4330708661417324</v>
      </c>
      <c r="R3343">
        <v>625.63699999999994</v>
      </c>
      <c r="S3343">
        <v>9.4392E-3</v>
      </c>
      <c r="T3343" s="4" t="s">
        <v>5716</v>
      </c>
    </row>
    <row r="3344" spans="1:20" x14ac:dyDescent="0.2">
      <c r="A3344" s="4" t="s">
        <v>5591</v>
      </c>
      <c r="B3344" s="4" t="s">
        <v>5706</v>
      </c>
      <c r="C3344" s="4" t="s">
        <v>2286</v>
      </c>
      <c r="D3344" s="4" t="s">
        <v>4764</v>
      </c>
      <c r="E3344" s="4" t="s">
        <v>5719</v>
      </c>
      <c r="F3344" s="4" t="s">
        <v>5708</v>
      </c>
      <c r="G3344" s="4" t="s">
        <v>5595</v>
      </c>
      <c r="H3344" s="4" t="s">
        <v>2183</v>
      </c>
      <c r="I3344" s="4" t="s">
        <v>5597</v>
      </c>
      <c r="J3344" s="4" t="s">
        <v>2570</v>
      </c>
      <c r="K3344">
        <v>7</v>
      </c>
      <c r="L3344">
        <v>2.1</v>
      </c>
      <c r="M3344">
        <v>38</v>
      </c>
      <c r="N3344">
        <v>138</v>
      </c>
      <c r="O3344">
        <v>82.677165354330711</v>
      </c>
      <c r="P3344">
        <v>1.4960629921259843</v>
      </c>
      <c r="Q3344">
        <v>5.4330708661417324</v>
      </c>
      <c r="R3344">
        <v>625.63699999999994</v>
      </c>
      <c r="S3344">
        <v>1.10124E-2</v>
      </c>
      <c r="T3344" s="4" t="s">
        <v>5716</v>
      </c>
    </row>
    <row r="3345" spans="1:20" x14ac:dyDescent="0.2">
      <c r="A3345" s="4" t="s">
        <v>5591</v>
      </c>
      <c r="B3345" s="4" t="s">
        <v>5706</v>
      </c>
      <c r="C3345" s="4" t="s">
        <v>2096</v>
      </c>
      <c r="D3345" s="4" t="s">
        <v>4764</v>
      </c>
      <c r="E3345" s="4" t="s">
        <v>1706</v>
      </c>
      <c r="F3345" s="4" t="s">
        <v>5708</v>
      </c>
      <c r="G3345" s="4" t="s">
        <v>5595</v>
      </c>
      <c r="H3345" s="4" t="s">
        <v>2183</v>
      </c>
      <c r="I3345" s="4" t="s">
        <v>5597</v>
      </c>
      <c r="J3345" s="4" t="s">
        <v>2570</v>
      </c>
      <c r="K3345">
        <v>8</v>
      </c>
      <c r="L3345">
        <v>2.4</v>
      </c>
      <c r="M3345">
        <v>38</v>
      </c>
      <c r="N3345">
        <v>138</v>
      </c>
      <c r="O3345">
        <v>94.488188976377955</v>
      </c>
      <c r="P3345">
        <v>1.4960629921259843</v>
      </c>
      <c r="Q3345">
        <v>5.4330708661417324</v>
      </c>
      <c r="R3345">
        <v>625.63699999999994</v>
      </c>
      <c r="S3345">
        <v>1.2585600000000001E-2</v>
      </c>
      <c r="T3345" s="4" t="s">
        <v>5709</v>
      </c>
    </row>
    <row r="3346" spans="1:20" x14ac:dyDescent="0.2">
      <c r="A3346" s="4" t="s">
        <v>5591</v>
      </c>
      <c r="B3346" s="4" t="s">
        <v>5706</v>
      </c>
      <c r="C3346" s="4" t="s">
        <v>2096</v>
      </c>
      <c r="D3346" s="4" t="s">
        <v>4764</v>
      </c>
      <c r="E3346" s="4" t="s">
        <v>5720</v>
      </c>
      <c r="F3346" s="4" t="s">
        <v>5708</v>
      </c>
      <c r="G3346" s="4" t="s">
        <v>5595</v>
      </c>
      <c r="H3346" s="4" t="s">
        <v>2183</v>
      </c>
      <c r="I3346" s="4" t="s">
        <v>5597</v>
      </c>
      <c r="J3346" s="4" t="s">
        <v>2570</v>
      </c>
      <c r="K3346">
        <v>9</v>
      </c>
      <c r="L3346">
        <v>2.7</v>
      </c>
      <c r="M3346">
        <v>38</v>
      </c>
      <c r="N3346">
        <v>138</v>
      </c>
      <c r="O3346">
        <v>106.29921259842521</v>
      </c>
      <c r="P3346">
        <v>1.4960629921259843</v>
      </c>
      <c r="Q3346">
        <v>5.4330708661417324</v>
      </c>
      <c r="R3346">
        <v>625.63699999999994</v>
      </c>
      <c r="S3346">
        <v>1.4158800000000001E-2</v>
      </c>
      <c r="T3346" s="4" t="s">
        <v>5709</v>
      </c>
    </row>
    <row r="3347" spans="1:20" x14ac:dyDescent="0.2">
      <c r="A3347" s="4" t="s">
        <v>5591</v>
      </c>
      <c r="B3347" s="4" t="s">
        <v>5721</v>
      </c>
      <c r="C3347" s="4" t="s">
        <v>2096</v>
      </c>
      <c r="D3347" s="4" t="s">
        <v>4764</v>
      </c>
      <c r="E3347" s="4" t="s">
        <v>5722</v>
      </c>
      <c r="F3347" s="4" t="s">
        <v>5723</v>
      </c>
      <c r="G3347" s="4" t="s">
        <v>5595</v>
      </c>
      <c r="H3347" s="4" t="s">
        <v>2183</v>
      </c>
      <c r="I3347" s="4" t="s">
        <v>5597</v>
      </c>
      <c r="J3347" s="4" t="s">
        <v>2111</v>
      </c>
      <c r="K3347">
        <v>10</v>
      </c>
      <c r="L3347">
        <v>3</v>
      </c>
      <c r="M3347">
        <v>25</v>
      </c>
      <c r="N3347">
        <v>138</v>
      </c>
      <c r="O3347">
        <v>118.11023622047244</v>
      </c>
      <c r="P3347">
        <v>0.98425196850393704</v>
      </c>
      <c r="Q3347">
        <v>5.4330708661417324</v>
      </c>
      <c r="R3347">
        <v>950.96799999999996</v>
      </c>
      <c r="S3347">
        <v>1.035E-2</v>
      </c>
      <c r="T3347" s="4" t="s">
        <v>5724</v>
      </c>
    </row>
    <row r="3348" spans="1:20" x14ac:dyDescent="0.2">
      <c r="A3348" s="4" t="s">
        <v>5591</v>
      </c>
      <c r="B3348" s="4" t="s">
        <v>5721</v>
      </c>
      <c r="C3348" s="4" t="s">
        <v>2096</v>
      </c>
      <c r="D3348" s="4" t="s">
        <v>4764</v>
      </c>
      <c r="E3348" s="4" t="s">
        <v>5725</v>
      </c>
      <c r="F3348" s="4" t="s">
        <v>5723</v>
      </c>
      <c r="G3348" s="4" t="s">
        <v>5595</v>
      </c>
      <c r="H3348" s="4" t="s">
        <v>2183</v>
      </c>
      <c r="I3348" s="4" t="s">
        <v>5597</v>
      </c>
      <c r="J3348" s="4" t="s">
        <v>2111</v>
      </c>
      <c r="K3348">
        <v>11</v>
      </c>
      <c r="L3348">
        <v>3.3</v>
      </c>
      <c r="M3348">
        <v>25</v>
      </c>
      <c r="N3348">
        <v>138</v>
      </c>
      <c r="O3348">
        <v>129.92125984251967</v>
      </c>
      <c r="P3348">
        <v>0.98425196850393704</v>
      </c>
      <c r="Q3348">
        <v>5.4330708661417324</v>
      </c>
      <c r="R3348">
        <v>950.96799999999996</v>
      </c>
      <c r="S3348">
        <v>1.1384999999999999E-2</v>
      </c>
      <c r="T3348" s="4" t="s">
        <v>5724</v>
      </c>
    </row>
    <row r="3349" spans="1:20" x14ac:dyDescent="0.2">
      <c r="A3349" s="4" t="s">
        <v>5591</v>
      </c>
      <c r="B3349" s="4" t="s">
        <v>5721</v>
      </c>
      <c r="C3349" s="4" t="s">
        <v>2096</v>
      </c>
      <c r="D3349" s="4" t="s">
        <v>4764</v>
      </c>
      <c r="E3349" s="4" t="s">
        <v>1708</v>
      </c>
      <c r="F3349" s="4" t="s">
        <v>5723</v>
      </c>
      <c r="G3349" s="4" t="s">
        <v>5595</v>
      </c>
      <c r="H3349" s="4" t="s">
        <v>2183</v>
      </c>
      <c r="I3349" s="4" t="s">
        <v>5597</v>
      </c>
      <c r="J3349" s="4" t="s">
        <v>2111</v>
      </c>
      <c r="K3349">
        <v>12</v>
      </c>
      <c r="L3349">
        <v>3.6</v>
      </c>
      <c r="M3349">
        <v>25</v>
      </c>
      <c r="N3349">
        <v>138</v>
      </c>
      <c r="O3349">
        <v>141.73228346456693</v>
      </c>
      <c r="P3349">
        <v>0.98425196850393704</v>
      </c>
      <c r="Q3349">
        <v>5.4330708661417324</v>
      </c>
      <c r="R3349">
        <v>950.96799999999996</v>
      </c>
      <c r="S3349">
        <v>1.242E-2</v>
      </c>
      <c r="T3349" s="4" t="s">
        <v>5724</v>
      </c>
    </row>
    <row r="3350" spans="1:20" x14ac:dyDescent="0.2">
      <c r="A3350" s="4" t="s">
        <v>5591</v>
      </c>
      <c r="B3350" s="4" t="s">
        <v>5721</v>
      </c>
      <c r="C3350" s="4" t="s">
        <v>2096</v>
      </c>
      <c r="D3350" s="4" t="s">
        <v>4764</v>
      </c>
      <c r="E3350" s="4" t="s">
        <v>5726</v>
      </c>
      <c r="F3350" s="4" t="s">
        <v>5723</v>
      </c>
      <c r="G3350" s="4" t="s">
        <v>5595</v>
      </c>
      <c r="H3350" s="4" t="s">
        <v>2183</v>
      </c>
      <c r="I3350" s="4" t="s">
        <v>5597</v>
      </c>
      <c r="J3350" s="4" t="s">
        <v>2111</v>
      </c>
      <c r="K3350">
        <v>13</v>
      </c>
      <c r="L3350">
        <v>3.9</v>
      </c>
      <c r="M3350">
        <v>25</v>
      </c>
      <c r="N3350">
        <v>138</v>
      </c>
      <c r="O3350">
        <v>153.54330708661416</v>
      </c>
      <c r="P3350">
        <v>0.98425196850393704</v>
      </c>
      <c r="Q3350">
        <v>5.4330708661417324</v>
      </c>
      <c r="R3350">
        <v>950.96799999999996</v>
      </c>
      <c r="S3350">
        <v>1.3455E-2</v>
      </c>
      <c r="T3350" s="4" t="s">
        <v>5724</v>
      </c>
    </row>
    <row r="3351" spans="1:20" x14ac:dyDescent="0.2">
      <c r="A3351" s="4" t="s">
        <v>5591</v>
      </c>
      <c r="B3351" s="4" t="s">
        <v>5721</v>
      </c>
      <c r="C3351" s="4" t="s">
        <v>2096</v>
      </c>
      <c r="D3351" s="4" t="s">
        <v>4764</v>
      </c>
      <c r="E3351" s="4" t="s">
        <v>1710</v>
      </c>
      <c r="F3351" s="4" t="s">
        <v>5723</v>
      </c>
      <c r="G3351" s="4" t="s">
        <v>5595</v>
      </c>
      <c r="H3351" s="4" t="s">
        <v>2183</v>
      </c>
      <c r="I3351" s="4" t="s">
        <v>5597</v>
      </c>
      <c r="J3351" s="4" t="s">
        <v>2111</v>
      </c>
      <c r="K3351">
        <v>14</v>
      </c>
      <c r="L3351">
        <v>4.2</v>
      </c>
      <c r="M3351">
        <v>25</v>
      </c>
      <c r="N3351">
        <v>138</v>
      </c>
      <c r="O3351">
        <v>165.35433070866142</v>
      </c>
      <c r="P3351">
        <v>0.98425196850393704</v>
      </c>
      <c r="Q3351">
        <v>5.4330708661417324</v>
      </c>
      <c r="R3351">
        <v>950.96799999999996</v>
      </c>
      <c r="S3351">
        <v>1.4489999999999999E-2</v>
      </c>
      <c r="T3351" s="4" t="s">
        <v>5724</v>
      </c>
    </row>
    <row r="3352" spans="1:20" x14ac:dyDescent="0.2">
      <c r="A3352" s="4" t="s">
        <v>5591</v>
      </c>
      <c r="B3352" s="4" t="s">
        <v>5721</v>
      </c>
      <c r="C3352" s="4" t="s">
        <v>2096</v>
      </c>
      <c r="D3352" s="4" t="s">
        <v>4764</v>
      </c>
      <c r="E3352" s="4" t="s">
        <v>5727</v>
      </c>
      <c r="F3352" s="4" t="s">
        <v>5723</v>
      </c>
      <c r="G3352" s="4" t="s">
        <v>5595</v>
      </c>
      <c r="H3352" s="4" t="s">
        <v>2183</v>
      </c>
      <c r="I3352" s="4" t="s">
        <v>5597</v>
      </c>
      <c r="J3352" s="4" t="s">
        <v>2111</v>
      </c>
      <c r="K3352">
        <v>15</v>
      </c>
      <c r="L3352">
        <v>4.5</v>
      </c>
      <c r="M3352">
        <v>25</v>
      </c>
      <c r="N3352">
        <v>138</v>
      </c>
      <c r="O3352">
        <v>177.16535433070868</v>
      </c>
      <c r="P3352">
        <v>0.98425196850393704</v>
      </c>
      <c r="Q3352">
        <v>5.4330708661417324</v>
      </c>
      <c r="R3352">
        <v>950.96799999999996</v>
      </c>
      <c r="S3352">
        <v>1.5525000000000001E-2</v>
      </c>
      <c r="T3352" s="4" t="s">
        <v>5724</v>
      </c>
    </row>
    <row r="3353" spans="1:20" x14ac:dyDescent="0.2">
      <c r="A3353" s="4" t="s">
        <v>5591</v>
      </c>
      <c r="B3353" s="4" t="s">
        <v>5721</v>
      </c>
      <c r="C3353" s="4" t="s">
        <v>2096</v>
      </c>
      <c r="D3353" s="4" t="s">
        <v>4764</v>
      </c>
      <c r="E3353" s="4" t="s">
        <v>1712</v>
      </c>
      <c r="F3353" s="4" t="s">
        <v>5723</v>
      </c>
      <c r="G3353" s="4" t="s">
        <v>5595</v>
      </c>
      <c r="H3353" s="4" t="s">
        <v>2183</v>
      </c>
      <c r="I3353" s="4" t="s">
        <v>5597</v>
      </c>
      <c r="J3353" s="4" t="s">
        <v>2111</v>
      </c>
      <c r="K3353">
        <v>16</v>
      </c>
      <c r="L3353">
        <v>4.8</v>
      </c>
      <c r="M3353">
        <v>25</v>
      </c>
      <c r="N3353">
        <v>138</v>
      </c>
      <c r="O3353">
        <v>188.97637795275591</v>
      </c>
      <c r="P3353">
        <v>0.98425196850393704</v>
      </c>
      <c r="Q3353">
        <v>5.4330708661417324</v>
      </c>
      <c r="R3353">
        <v>950.96799999999996</v>
      </c>
      <c r="S3353">
        <v>1.6559999999999998E-2</v>
      </c>
      <c r="T3353" s="4" t="s">
        <v>5724</v>
      </c>
    </row>
    <row r="3354" spans="1:20" x14ac:dyDescent="0.2">
      <c r="A3354" s="4" t="s">
        <v>5591</v>
      </c>
      <c r="B3354" s="4" t="s">
        <v>5721</v>
      </c>
      <c r="C3354" s="4" t="s">
        <v>2096</v>
      </c>
      <c r="D3354" s="4" t="s">
        <v>4764</v>
      </c>
      <c r="E3354" s="4" t="s">
        <v>5728</v>
      </c>
      <c r="F3354" s="4" t="s">
        <v>5723</v>
      </c>
      <c r="G3354" s="4" t="s">
        <v>5595</v>
      </c>
      <c r="H3354" s="4" t="s">
        <v>2183</v>
      </c>
      <c r="I3354" s="4" t="s">
        <v>5597</v>
      </c>
      <c r="J3354" s="4" t="s">
        <v>2111</v>
      </c>
      <c r="K3354">
        <v>17</v>
      </c>
      <c r="L3354">
        <v>5.0999999999999996</v>
      </c>
      <c r="M3354">
        <v>25</v>
      </c>
      <c r="N3354">
        <v>138</v>
      </c>
      <c r="O3354">
        <v>200.78740157480314</v>
      </c>
      <c r="P3354">
        <v>0.98425196850393704</v>
      </c>
      <c r="Q3354">
        <v>5.4330708661417324</v>
      </c>
      <c r="R3354">
        <v>950.96799999999996</v>
      </c>
      <c r="S3354">
        <v>1.7594999999999996E-2</v>
      </c>
      <c r="T3354" s="4" t="s">
        <v>5724</v>
      </c>
    </row>
    <row r="3355" spans="1:20" x14ac:dyDescent="0.2">
      <c r="A3355" s="4" t="s">
        <v>5591</v>
      </c>
      <c r="B3355" s="4" t="s">
        <v>5721</v>
      </c>
      <c r="C3355" s="4" t="s">
        <v>2096</v>
      </c>
      <c r="D3355" s="4" t="s">
        <v>4764</v>
      </c>
      <c r="E3355" s="4" t="s">
        <v>5729</v>
      </c>
      <c r="F3355" s="4" t="s">
        <v>5723</v>
      </c>
      <c r="G3355" s="4" t="s">
        <v>5595</v>
      </c>
      <c r="H3355" s="4" t="s">
        <v>2183</v>
      </c>
      <c r="I3355" s="4" t="s">
        <v>5597</v>
      </c>
      <c r="J3355" s="4" t="s">
        <v>2111</v>
      </c>
      <c r="K3355">
        <v>18</v>
      </c>
      <c r="L3355">
        <v>5.4</v>
      </c>
      <c r="M3355">
        <v>25</v>
      </c>
      <c r="N3355">
        <v>138</v>
      </c>
      <c r="O3355">
        <v>212.59842519685043</v>
      </c>
      <c r="P3355">
        <v>0.98425196850393704</v>
      </c>
      <c r="Q3355">
        <v>5.4330708661417324</v>
      </c>
      <c r="R3355">
        <v>950.96799999999996</v>
      </c>
      <c r="S3355">
        <v>1.8630000000000004E-2</v>
      </c>
      <c r="T3355" s="4" t="s">
        <v>5724</v>
      </c>
    </row>
    <row r="3356" spans="1:20" x14ac:dyDescent="0.2">
      <c r="A3356" s="4" t="s">
        <v>5591</v>
      </c>
      <c r="B3356" s="4" t="s">
        <v>5721</v>
      </c>
      <c r="C3356" s="4" t="s">
        <v>2286</v>
      </c>
      <c r="D3356" s="4" t="s">
        <v>4764</v>
      </c>
      <c r="E3356" s="4" t="s">
        <v>5730</v>
      </c>
      <c r="F3356" s="4" t="s">
        <v>5723</v>
      </c>
      <c r="G3356" s="4" t="s">
        <v>5595</v>
      </c>
      <c r="H3356" s="4" t="s">
        <v>2183</v>
      </c>
      <c r="I3356" s="4" t="s">
        <v>5597</v>
      </c>
      <c r="J3356" s="4" t="s">
        <v>2111</v>
      </c>
      <c r="K3356">
        <v>4</v>
      </c>
      <c r="L3356">
        <v>1.2</v>
      </c>
      <c r="M3356">
        <v>25</v>
      </c>
      <c r="N3356">
        <v>138</v>
      </c>
      <c r="O3356">
        <v>47.244094488188978</v>
      </c>
      <c r="P3356">
        <v>0.98425196850393704</v>
      </c>
      <c r="Q3356">
        <v>5.4330708661417324</v>
      </c>
      <c r="R3356">
        <v>950.96799999999996</v>
      </c>
      <c r="S3356">
        <v>4.1399999999999996E-3</v>
      </c>
      <c r="T3356" s="4" t="s">
        <v>5731</v>
      </c>
    </row>
    <row r="3357" spans="1:20" x14ac:dyDescent="0.2">
      <c r="A3357" s="4" t="s">
        <v>5591</v>
      </c>
      <c r="B3357" s="4" t="s">
        <v>5721</v>
      </c>
      <c r="C3357" s="4" t="s">
        <v>2286</v>
      </c>
      <c r="D3357" s="4" t="s">
        <v>4764</v>
      </c>
      <c r="E3357" s="4" t="s">
        <v>5732</v>
      </c>
      <c r="F3357" s="4" t="s">
        <v>5723</v>
      </c>
      <c r="G3357" s="4" t="s">
        <v>5595</v>
      </c>
      <c r="H3357" s="4" t="s">
        <v>2183</v>
      </c>
      <c r="I3357" s="4" t="s">
        <v>5597</v>
      </c>
      <c r="J3357" s="4" t="s">
        <v>2111</v>
      </c>
      <c r="K3357">
        <v>5</v>
      </c>
      <c r="L3357">
        <v>1.5</v>
      </c>
      <c r="M3357">
        <v>25</v>
      </c>
      <c r="N3357">
        <v>138</v>
      </c>
      <c r="O3357">
        <v>59.055118110236222</v>
      </c>
      <c r="P3357">
        <v>0.98425196850393704</v>
      </c>
      <c r="Q3357">
        <v>5.4330708661417324</v>
      </c>
      <c r="R3357">
        <v>950.96799999999996</v>
      </c>
      <c r="S3357">
        <v>5.1749999999999999E-3</v>
      </c>
      <c r="T3357" s="4" t="s">
        <v>5731</v>
      </c>
    </row>
    <row r="3358" spans="1:20" x14ac:dyDescent="0.2">
      <c r="A3358" s="4" t="s">
        <v>5591</v>
      </c>
      <c r="B3358" s="4" t="s">
        <v>5721</v>
      </c>
      <c r="C3358" s="4" t="s">
        <v>2286</v>
      </c>
      <c r="D3358" s="4" t="s">
        <v>4764</v>
      </c>
      <c r="E3358" s="4" t="s">
        <v>5733</v>
      </c>
      <c r="F3358" s="4" t="s">
        <v>5723</v>
      </c>
      <c r="G3358" s="4" t="s">
        <v>5595</v>
      </c>
      <c r="H3358" s="4" t="s">
        <v>2183</v>
      </c>
      <c r="I3358" s="4" t="s">
        <v>5597</v>
      </c>
      <c r="J3358" s="4" t="s">
        <v>2111</v>
      </c>
      <c r="K3358">
        <v>6</v>
      </c>
      <c r="L3358">
        <v>1.8</v>
      </c>
      <c r="M3358">
        <v>25</v>
      </c>
      <c r="N3358">
        <v>138</v>
      </c>
      <c r="O3358">
        <v>70.866141732283467</v>
      </c>
      <c r="P3358">
        <v>0.98425196850393704</v>
      </c>
      <c r="Q3358">
        <v>5.4330708661417324</v>
      </c>
      <c r="R3358">
        <v>950.96799999999996</v>
      </c>
      <c r="S3358">
        <v>6.2100000000000002E-3</v>
      </c>
      <c r="T3358" s="4" t="s">
        <v>5731</v>
      </c>
    </row>
    <row r="3359" spans="1:20" x14ac:dyDescent="0.2">
      <c r="A3359" s="4" t="s">
        <v>5591</v>
      </c>
      <c r="B3359" s="4" t="s">
        <v>5721</v>
      </c>
      <c r="C3359" s="4" t="s">
        <v>2286</v>
      </c>
      <c r="D3359" s="4" t="s">
        <v>4764</v>
      </c>
      <c r="E3359" s="4" t="s">
        <v>5734</v>
      </c>
      <c r="F3359" s="4" t="s">
        <v>5723</v>
      </c>
      <c r="G3359" s="4" t="s">
        <v>5595</v>
      </c>
      <c r="H3359" s="4" t="s">
        <v>2183</v>
      </c>
      <c r="I3359" s="4" t="s">
        <v>5597</v>
      </c>
      <c r="J3359" s="4" t="s">
        <v>2111</v>
      </c>
      <c r="K3359">
        <v>7</v>
      </c>
      <c r="L3359">
        <v>2.1</v>
      </c>
      <c r="M3359">
        <v>25</v>
      </c>
      <c r="N3359">
        <v>138</v>
      </c>
      <c r="O3359">
        <v>82.677165354330711</v>
      </c>
      <c r="P3359">
        <v>0.98425196850393704</v>
      </c>
      <c r="Q3359">
        <v>5.4330708661417324</v>
      </c>
      <c r="R3359">
        <v>950.96799999999996</v>
      </c>
      <c r="S3359">
        <v>7.2449999999999997E-3</v>
      </c>
      <c r="T3359" s="4" t="s">
        <v>5731</v>
      </c>
    </row>
    <row r="3360" spans="1:20" x14ac:dyDescent="0.2">
      <c r="A3360" s="4" t="s">
        <v>5591</v>
      </c>
      <c r="B3360" s="4" t="s">
        <v>5721</v>
      </c>
      <c r="C3360" s="4" t="s">
        <v>2096</v>
      </c>
      <c r="D3360" s="4" t="s">
        <v>4764</v>
      </c>
      <c r="E3360" s="4" t="s">
        <v>5735</v>
      </c>
      <c r="F3360" s="4" t="s">
        <v>5723</v>
      </c>
      <c r="G3360" s="4" t="s">
        <v>5595</v>
      </c>
      <c r="H3360" s="4" t="s">
        <v>2183</v>
      </c>
      <c r="I3360" s="4" t="s">
        <v>5597</v>
      </c>
      <c r="J3360" s="4" t="s">
        <v>2111</v>
      </c>
      <c r="K3360">
        <v>8</v>
      </c>
      <c r="L3360">
        <v>2.4</v>
      </c>
      <c r="M3360">
        <v>25</v>
      </c>
      <c r="N3360">
        <v>138</v>
      </c>
      <c r="O3360">
        <v>94.488188976377955</v>
      </c>
      <c r="P3360">
        <v>0.98425196850393704</v>
      </c>
      <c r="Q3360">
        <v>5.4330708661417324</v>
      </c>
      <c r="R3360">
        <v>950.96799999999996</v>
      </c>
      <c r="S3360">
        <v>8.2799999999999992E-3</v>
      </c>
      <c r="T3360" s="4" t="s">
        <v>5724</v>
      </c>
    </row>
    <row r="3361" spans="1:20" x14ac:dyDescent="0.2">
      <c r="A3361" s="4" t="s">
        <v>5591</v>
      </c>
      <c r="B3361" s="4" t="s">
        <v>5721</v>
      </c>
      <c r="C3361" s="4" t="s">
        <v>2096</v>
      </c>
      <c r="D3361" s="4" t="s">
        <v>4764</v>
      </c>
      <c r="E3361" s="4" t="s">
        <v>5736</v>
      </c>
      <c r="F3361" s="4" t="s">
        <v>5723</v>
      </c>
      <c r="G3361" s="4" t="s">
        <v>5595</v>
      </c>
      <c r="H3361" s="4" t="s">
        <v>2183</v>
      </c>
      <c r="I3361" s="4" t="s">
        <v>5597</v>
      </c>
      <c r="J3361" s="4" t="s">
        <v>2111</v>
      </c>
      <c r="K3361">
        <v>9</v>
      </c>
      <c r="L3361">
        <v>2.7</v>
      </c>
      <c r="M3361">
        <v>25</v>
      </c>
      <c r="N3361">
        <v>138</v>
      </c>
      <c r="O3361">
        <v>106.29921259842521</v>
      </c>
      <c r="P3361">
        <v>0.98425196850393704</v>
      </c>
      <c r="Q3361">
        <v>5.4330708661417324</v>
      </c>
      <c r="R3361">
        <v>950.96799999999996</v>
      </c>
      <c r="S3361">
        <v>9.3150000000000021E-3</v>
      </c>
      <c r="T3361" s="4" t="s">
        <v>5724</v>
      </c>
    </row>
    <row r="3362" spans="1:20" x14ac:dyDescent="0.2">
      <c r="A3362" s="4" t="s">
        <v>5591</v>
      </c>
      <c r="B3362" s="4" t="s">
        <v>5615</v>
      </c>
      <c r="C3362" s="4" t="s">
        <v>2096</v>
      </c>
      <c r="D3362" s="4" t="s">
        <v>4764</v>
      </c>
      <c r="E3362" s="4" t="s">
        <v>5737</v>
      </c>
      <c r="F3362" s="4" t="s">
        <v>5738</v>
      </c>
      <c r="G3362" s="4" t="s">
        <v>5595</v>
      </c>
      <c r="H3362" s="4" t="s">
        <v>2183</v>
      </c>
      <c r="I3362" s="4" t="s">
        <v>2100</v>
      </c>
      <c r="J3362" s="4" t="s">
        <v>2153</v>
      </c>
      <c r="K3362">
        <v>10</v>
      </c>
      <c r="L3362">
        <v>3</v>
      </c>
      <c r="M3362">
        <v>19</v>
      </c>
      <c r="N3362">
        <v>138</v>
      </c>
      <c r="O3362">
        <v>118.11023622047244</v>
      </c>
      <c r="P3362">
        <v>0.74803149606299213</v>
      </c>
      <c r="Q3362">
        <v>5.4330708661417324</v>
      </c>
      <c r="R3362">
        <v>1251.2739999999999</v>
      </c>
      <c r="S3362">
        <v>7.8659999999999997E-3</v>
      </c>
      <c r="T3362" s="4" t="s">
        <v>5739</v>
      </c>
    </row>
    <row r="3363" spans="1:20" x14ac:dyDescent="0.2">
      <c r="A3363" s="4" t="s">
        <v>5591</v>
      </c>
      <c r="B3363" s="4" t="s">
        <v>5615</v>
      </c>
      <c r="C3363" s="4" t="s">
        <v>2096</v>
      </c>
      <c r="D3363" s="4" t="s">
        <v>4764</v>
      </c>
      <c r="E3363" s="4" t="s">
        <v>5740</v>
      </c>
      <c r="F3363" s="4" t="s">
        <v>5738</v>
      </c>
      <c r="G3363" s="4" t="s">
        <v>5595</v>
      </c>
      <c r="H3363" s="4" t="s">
        <v>2183</v>
      </c>
      <c r="I3363" s="4" t="s">
        <v>2100</v>
      </c>
      <c r="J3363" s="4" t="s">
        <v>2153</v>
      </c>
      <c r="K3363">
        <v>11</v>
      </c>
      <c r="L3363">
        <v>3.3</v>
      </c>
      <c r="M3363">
        <v>19</v>
      </c>
      <c r="N3363">
        <v>138</v>
      </c>
      <c r="O3363">
        <v>129.92125984251967</v>
      </c>
      <c r="P3363">
        <v>0.74803149606299213</v>
      </c>
      <c r="Q3363">
        <v>5.4330708661417324</v>
      </c>
      <c r="R3363">
        <v>1251.2739999999999</v>
      </c>
      <c r="S3363">
        <v>8.6525999999999999E-3</v>
      </c>
      <c r="T3363" s="4" t="s">
        <v>5739</v>
      </c>
    </row>
    <row r="3364" spans="1:20" x14ac:dyDescent="0.2">
      <c r="A3364" s="4" t="s">
        <v>5591</v>
      </c>
      <c r="B3364" s="4" t="s">
        <v>5615</v>
      </c>
      <c r="C3364" s="4" t="s">
        <v>2096</v>
      </c>
      <c r="D3364" s="4" t="s">
        <v>4764</v>
      </c>
      <c r="E3364" s="4" t="s">
        <v>5741</v>
      </c>
      <c r="F3364" s="4" t="s">
        <v>5738</v>
      </c>
      <c r="G3364" s="4" t="s">
        <v>5595</v>
      </c>
      <c r="H3364" s="4" t="s">
        <v>2183</v>
      </c>
      <c r="I3364" s="4" t="s">
        <v>2100</v>
      </c>
      <c r="J3364" s="4" t="s">
        <v>2153</v>
      </c>
      <c r="K3364">
        <v>12</v>
      </c>
      <c r="L3364">
        <v>3.6</v>
      </c>
      <c r="M3364">
        <v>19</v>
      </c>
      <c r="N3364">
        <v>138</v>
      </c>
      <c r="O3364">
        <v>141.73228346456693</v>
      </c>
      <c r="P3364">
        <v>0.74803149606299213</v>
      </c>
      <c r="Q3364">
        <v>5.4330708661417324</v>
      </c>
      <c r="R3364">
        <v>1251.2739999999999</v>
      </c>
      <c r="S3364">
        <v>9.4392E-3</v>
      </c>
      <c r="T3364" s="4" t="s">
        <v>5739</v>
      </c>
    </row>
    <row r="3365" spans="1:20" x14ac:dyDescent="0.2">
      <c r="A3365" s="4" t="s">
        <v>5591</v>
      </c>
      <c r="B3365" s="4" t="s">
        <v>5615</v>
      </c>
      <c r="C3365" s="4" t="s">
        <v>2096</v>
      </c>
      <c r="D3365" s="4" t="s">
        <v>4764</v>
      </c>
      <c r="E3365" s="4" t="s">
        <v>5742</v>
      </c>
      <c r="F3365" s="4" t="s">
        <v>5738</v>
      </c>
      <c r="G3365" s="4" t="s">
        <v>5595</v>
      </c>
      <c r="H3365" s="4" t="s">
        <v>2183</v>
      </c>
      <c r="I3365" s="4" t="s">
        <v>2100</v>
      </c>
      <c r="J3365" s="4" t="s">
        <v>2153</v>
      </c>
      <c r="K3365">
        <v>13</v>
      </c>
      <c r="L3365">
        <v>3.9</v>
      </c>
      <c r="M3365">
        <v>19</v>
      </c>
      <c r="N3365">
        <v>138</v>
      </c>
      <c r="O3365">
        <v>153.54330708661416</v>
      </c>
      <c r="P3365">
        <v>0.74803149606299213</v>
      </c>
      <c r="Q3365">
        <v>5.4330708661417324</v>
      </c>
      <c r="R3365">
        <v>1251.2739999999999</v>
      </c>
      <c r="S3365">
        <v>1.02258E-2</v>
      </c>
      <c r="T3365" s="4" t="s">
        <v>5739</v>
      </c>
    </row>
    <row r="3366" spans="1:20" x14ac:dyDescent="0.2">
      <c r="A3366" s="4" t="s">
        <v>5591</v>
      </c>
      <c r="B3366" s="4" t="s">
        <v>5615</v>
      </c>
      <c r="C3366" s="4" t="s">
        <v>2096</v>
      </c>
      <c r="D3366" s="4" t="s">
        <v>4764</v>
      </c>
      <c r="E3366" s="4" t="s">
        <v>5743</v>
      </c>
      <c r="F3366" s="4" t="s">
        <v>5738</v>
      </c>
      <c r="G3366" s="4" t="s">
        <v>5595</v>
      </c>
      <c r="H3366" s="4" t="s">
        <v>2183</v>
      </c>
      <c r="I3366" s="4" t="s">
        <v>2100</v>
      </c>
      <c r="J3366" s="4" t="s">
        <v>2153</v>
      </c>
      <c r="K3366">
        <v>14</v>
      </c>
      <c r="L3366">
        <v>4.2</v>
      </c>
      <c r="M3366">
        <v>19</v>
      </c>
      <c r="N3366">
        <v>138</v>
      </c>
      <c r="O3366">
        <v>165.35433070866142</v>
      </c>
      <c r="P3366">
        <v>0.74803149606299213</v>
      </c>
      <c r="Q3366">
        <v>5.4330708661417324</v>
      </c>
      <c r="R3366">
        <v>1251.2739999999999</v>
      </c>
      <c r="S3366">
        <v>1.10124E-2</v>
      </c>
      <c r="T3366" s="4" t="s">
        <v>5739</v>
      </c>
    </row>
    <row r="3367" spans="1:20" x14ac:dyDescent="0.2">
      <c r="A3367" s="4" t="s">
        <v>5591</v>
      </c>
      <c r="B3367" s="4" t="s">
        <v>5615</v>
      </c>
      <c r="C3367" s="4" t="s">
        <v>2096</v>
      </c>
      <c r="D3367" s="4" t="s">
        <v>4764</v>
      </c>
      <c r="E3367" s="4" t="s">
        <v>5744</v>
      </c>
      <c r="F3367" s="4" t="s">
        <v>5738</v>
      </c>
      <c r="G3367" s="4" t="s">
        <v>5595</v>
      </c>
      <c r="H3367" s="4" t="s">
        <v>2183</v>
      </c>
      <c r="I3367" s="4" t="s">
        <v>2100</v>
      </c>
      <c r="J3367" s="4" t="s">
        <v>2153</v>
      </c>
      <c r="K3367">
        <v>15</v>
      </c>
      <c r="L3367">
        <v>4.5</v>
      </c>
      <c r="M3367">
        <v>19</v>
      </c>
      <c r="N3367">
        <v>138</v>
      </c>
      <c r="O3367">
        <v>177.16535433070868</v>
      </c>
      <c r="P3367">
        <v>0.74803149606299213</v>
      </c>
      <c r="Q3367">
        <v>5.4330708661417324</v>
      </c>
      <c r="R3367">
        <v>1251.2739999999999</v>
      </c>
      <c r="S3367">
        <v>1.1799E-2</v>
      </c>
      <c r="T3367" s="4" t="s">
        <v>5739</v>
      </c>
    </row>
    <row r="3368" spans="1:20" x14ac:dyDescent="0.2">
      <c r="A3368" s="4" t="s">
        <v>5591</v>
      </c>
      <c r="B3368" s="4" t="s">
        <v>5615</v>
      </c>
      <c r="C3368" s="4" t="s">
        <v>2096</v>
      </c>
      <c r="D3368" s="4" t="s">
        <v>4764</v>
      </c>
      <c r="E3368" s="4" t="s">
        <v>5745</v>
      </c>
      <c r="F3368" s="4" t="s">
        <v>5738</v>
      </c>
      <c r="G3368" s="4" t="s">
        <v>5595</v>
      </c>
      <c r="H3368" s="4" t="s">
        <v>2183</v>
      </c>
      <c r="I3368" s="4" t="s">
        <v>2100</v>
      </c>
      <c r="J3368" s="4" t="s">
        <v>2153</v>
      </c>
      <c r="K3368">
        <v>16</v>
      </c>
      <c r="L3368">
        <v>4.8</v>
      </c>
      <c r="M3368">
        <v>19</v>
      </c>
      <c r="N3368">
        <v>138</v>
      </c>
      <c r="O3368">
        <v>188.97637795275591</v>
      </c>
      <c r="P3368">
        <v>0.74803149606299213</v>
      </c>
      <c r="Q3368">
        <v>5.4330708661417324</v>
      </c>
      <c r="R3368">
        <v>1251.2739999999999</v>
      </c>
      <c r="S3368">
        <v>1.2585600000000001E-2</v>
      </c>
      <c r="T3368" s="4" t="s">
        <v>5739</v>
      </c>
    </row>
    <row r="3369" spans="1:20" x14ac:dyDescent="0.2">
      <c r="A3369" s="4" t="s">
        <v>5591</v>
      </c>
      <c r="B3369" s="4" t="s">
        <v>5615</v>
      </c>
      <c r="C3369" s="4" t="s">
        <v>2096</v>
      </c>
      <c r="D3369" s="4" t="s">
        <v>4764</v>
      </c>
      <c r="E3369" s="4" t="s">
        <v>5746</v>
      </c>
      <c r="F3369" s="4" t="s">
        <v>5738</v>
      </c>
      <c r="G3369" s="4" t="s">
        <v>5595</v>
      </c>
      <c r="H3369" s="4" t="s">
        <v>2183</v>
      </c>
      <c r="I3369" s="4" t="s">
        <v>2100</v>
      </c>
      <c r="J3369" s="4" t="s">
        <v>2153</v>
      </c>
      <c r="K3369">
        <v>17</v>
      </c>
      <c r="L3369">
        <v>5.0999999999999996</v>
      </c>
      <c r="M3369">
        <v>19</v>
      </c>
      <c r="N3369">
        <v>138</v>
      </c>
      <c r="O3369">
        <v>200.78740157480314</v>
      </c>
      <c r="P3369">
        <v>0.74803149606299213</v>
      </c>
      <c r="Q3369">
        <v>5.4330708661417324</v>
      </c>
      <c r="R3369">
        <v>1251.2739999999999</v>
      </c>
      <c r="S3369">
        <v>1.3372199999999997E-2</v>
      </c>
      <c r="T3369" s="4" t="s">
        <v>5739</v>
      </c>
    </row>
    <row r="3370" spans="1:20" x14ac:dyDescent="0.2">
      <c r="A3370" s="4" t="s">
        <v>5591</v>
      </c>
      <c r="B3370" s="4" t="s">
        <v>5615</v>
      </c>
      <c r="C3370" s="4" t="s">
        <v>2096</v>
      </c>
      <c r="D3370" s="4" t="s">
        <v>4764</v>
      </c>
      <c r="E3370" s="4" t="s">
        <v>5747</v>
      </c>
      <c r="F3370" s="4" t="s">
        <v>5738</v>
      </c>
      <c r="G3370" s="4" t="s">
        <v>5595</v>
      </c>
      <c r="H3370" s="4" t="s">
        <v>2183</v>
      </c>
      <c r="I3370" s="4" t="s">
        <v>2100</v>
      </c>
      <c r="J3370" s="4" t="s">
        <v>2153</v>
      </c>
      <c r="K3370">
        <v>18</v>
      </c>
      <c r="L3370">
        <v>5.4</v>
      </c>
      <c r="M3370">
        <v>19</v>
      </c>
      <c r="N3370">
        <v>138</v>
      </c>
      <c r="O3370">
        <v>212.59842519685043</v>
      </c>
      <c r="P3370">
        <v>0.74803149606299213</v>
      </c>
      <c r="Q3370">
        <v>5.4330708661417324</v>
      </c>
      <c r="R3370">
        <v>1251.2739999999999</v>
      </c>
      <c r="S3370">
        <v>1.4158800000000001E-2</v>
      </c>
      <c r="T3370" s="4" t="s">
        <v>5739</v>
      </c>
    </row>
    <row r="3371" spans="1:20" x14ac:dyDescent="0.2">
      <c r="A3371" s="4" t="s">
        <v>5591</v>
      </c>
      <c r="B3371" s="4" t="s">
        <v>5615</v>
      </c>
      <c r="C3371" s="4" t="s">
        <v>2286</v>
      </c>
      <c r="D3371" s="4" t="s">
        <v>4764</v>
      </c>
      <c r="E3371" s="4" t="s">
        <v>5748</v>
      </c>
      <c r="F3371" s="4" t="s">
        <v>5738</v>
      </c>
      <c r="G3371" s="4" t="s">
        <v>5595</v>
      </c>
      <c r="H3371" s="4" t="s">
        <v>2183</v>
      </c>
      <c r="I3371" s="4" t="s">
        <v>2100</v>
      </c>
      <c r="J3371" s="4" t="s">
        <v>2153</v>
      </c>
      <c r="K3371">
        <v>4</v>
      </c>
      <c r="L3371">
        <v>1.2</v>
      </c>
      <c r="M3371">
        <v>19</v>
      </c>
      <c r="N3371">
        <v>138</v>
      </c>
      <c r="O3371">
        <v>47.244094488188978</v>
      </c>
      <c r="P3371">
        <v>0.74803149606299213</v>
      </c>
      <c r="Q3371">
        <v>5.4330708661417324</v>
      </c>
      <c r="R3371">
        <v>1251.2739999999999</v>
      </c>
      <c r="S3371">
        <v>3.1464000000000002E-3</v>
      </c>
      <c r="T3371" s="4" t="s">
        <v>5749</v>
      </c>
    </row>
    <row r="3372" spans="1:20" x14ac:dyDescent="0.2">
      <c r="A3372" s="4" t="s">
        <v>5591</v>
      </c>
      <c r="B3372" s="4" t="s">
        <v>5615</v>
      </c>
      <c r="C3372" s="4" t="s">
        <v>2286</v>
      </c>
      <c r="D3372" s="4" t="s">
        <v>4764</v>
      </c>
      <c r="E3372" s="4" t="s">
        <v>5750</v>
      </c>
      <c r="F3372" s="4" t="s">
        <v>5738</v>
      </c>
      <c r="G3372" s="4" t="s">
        <v>5595</v>
      </c>
      <c r="H3372" s="4" t="s">
        <v>2183</v>
      </c>
      <c r="I3372" s="4" t="s">
        <v>2100</v>
      </c>
      <c r="J3372" s="4" t="s">
        <v>2153</v>
      </c>
      <c r="K3372">
        <v>5</v>
      </c>
      <c r="L3372">
        <v>1.5</v>
      </c>
      <c r="M3372">
        <v>19</v>
      </c>
      <c r="N3372">
        <v>138</v>
      </c>
      <c r="O3372">
        <v>59.055118110236222</v>
      </c>
      <c r="P3372">
        <v>0.74803149606299213</v>
      </c>
      <c r="Q3372">
        <v>5.4330708661417324</v>
      </c>
      <c r="R3372">
        <v>1251.2739999999999</v>
      </c>
      <c r="S3372">
        <v>3.9329999999999999E-3</v>
      </c>
      <c r="T3372" s="4" t="s">
        <v>5749</v>
      </c>
    </row>
    <row r="3373" spans="1:20" x14ac:dyDescent="0.2">
      <c r="A3373" s="4" t="s">
        <v>5591</v>
      </c>
      <c r="B3373" s="4" t="s">
        <v>5615</v>
      </c>
      <c r="C3373" s="4" t="s">
        <v>2286</v>
      </c>
      <c r="D3373" s="4" t="s">
        <v>4764</v>
      </c>
      <c r="E3373" s="4" t="s">
        <v>5751</v>
      </c>
      <c r="F3373" s="4" t="s">
        <v>5738</v>
      </c>
      <c r="G3373" s="4" t="s">
        <v>5595</v>
      </c>
      <c r="H3373" s="4" t="s">
        <v>2183</v>
      </c>
      <c r="I3373" s="4" t="s">
        <v>2100</v>
      </c>
      <c r="J3373" s="4" t="s">
        <v>2153</v>
      </c>
      <c r="K3373">
        <v>6</v>
      </c>
      <c r="L3373">
        <v>1.8</v>
      </c>
      <c r="M3373">
        <v>19</v>
      </c>
      <c r="N3373">
        <v>138</v>
      </c>
      <c r="O3373">
        <v>70.866141732283467</v>
      </c>
      <c r="P3373">
        <v>0.74803149606299213</v>
      </c>
      <c r="Q3373">
        <v>5.4330708661417324</v>
      </c>
      <c r="R3373">
        <v>1251.2739999999999</v>
      </c>
      <c r="S3373">
        <v>4.7196E-3</v>
      </c>
      <c r="T3373" s="4" t="s">
        <v>5749</v>
      </c>
    </row>
    <row r="3374" spans="1:20" x14ac:dyDescent="0.2">
      <c r="A3374" s="4" t="s">
        <v>5591</v>
      </c>
      <c r="B3374" s="4" t="s">
        <v>5615</v>
      </c>
      <c r="C3374" s="4" t="s">
        <v>2286</v>
      </c>
      <c r="D3374" s="4" t="s">
        <v>4764</v>
      </c>
      <c r="E3374" s="4" t="s">
        <v>5752</v>
      </c>
      <c r="F3374" s="4" t="s">
        <v>5738</v>
      </c>
      <c r="G3374" s="4" t="s">
        <v>5595</v>
      </c>
      <c r="H3374" s="4" t="s">
        <v>2183</v>
      </c>
      <c r="I3374" s="4" t="s">
        <v>2100</v>
      </c>
      <c r="J3374" s="4" t="s">
        <v>2153</v>
      </c>
      <c r="K3374">
        <v>7</v>
      </c>
      <c r="L3374">
        <v>2.1</v>
      </c>
      <c r="M3374">
        <v>19</v>
      </c>
      <c r="N3374">
        <v>138</v>
      </c>
      <c r="O3374">
        <v>82.677165354330711</v>
      </c>
      <c r="P3374">
        <v>0.74803149606299213</v>
      </c>
      <c r="Q3374">
        <v>5.4330708661417324</v>
      </c>
      <c r="R3374">
        <v>1251.2739999999999</v>
      </c>
      <c r="S3374">
        <v>5.5062000000000002E-3</v>
      </c>
      <c r="T3374" s="4" t="s">
        <v>5749</v>
      </c>
    </row>
    <row r="3375" spans="1:20" x14ac:dyDescent="0.2">
      <c r="A3375" s="4" t="s">
        <v>5591</v>
      </c>
      <c r="B3375" s="4" t="s">
        <v>5615</v>
      </c>
      <c r="C3375" s="4" t="s">
        <v>2096</v>
      </c>
      <c r="D3375" s="4" t="s">
        <v>4764</v>
      </c>
      <c r="E3375" s="4" t="s">
        <v>5753</v>
      </c>
      <c r="F3375" s="4" t="s">
        <v>5738</v>
      </c>
      <c r="G3375" s="4" t="s">
        <v>5595</v>
      </c>
      <c r="H3375" s="4" t="s">
        <v>2183</v>
      </c>
      <c r="I3375" s="4" t="s">
        <v>2100</v>
      </c>
      <c r="J3375" s="4" t="s">
        <v>2153</v>
      </c>
      <c r="K3375">
        <v>8</v>
      </c>
      <c r="L3375">
        <v>2.4</v>
      </c>
      <c r="M3375">
        <v>19</v>
      </c>
      <c r="N3375">
        <v>138</v>
      </c>
      <c r="O3375">
        <v>94.488188976377955</v>
      </c>
      <c r="P3375">
        <v>0.74803149606299213</v>
      </c>
      <c r="Q3375">
        <v>5.4330708661417324</v>
      </c>
      <c r="R3375">
        <v>1251.2739999999999</v>
      </c>
      <c r="S3375">
        <v>6.2928000000000003E-3</v>
      </c>
      <c r="T3375" s="4" t="s">
        <v>5739</v>
      </c>
    </row>
    <row r="3376" spans="1:20" x14ac:dyDescent="0.2">
      <c r="A3376" s="4" t="s">
        <v>5591</v>
      </c>
      <c r="B3376" s="4" t="s">
        <v>5615</v>
      </c>
      <c r="C3376" s="4" t="s">
        <v>2096</v>
      </c>
      <c r="D3376" s="4" t="s">
        <v>4764</v>
      </c>
      <c r="E3376" s="4" t="s">
        <v>5754</v>
      </c>
      <c r="F3376" s="4" t="s">
        <v>5738</v>
      </c>
      <c r="G3376" s="4" t="s">
        <v>5595</v>
      </c>
      <c r="H3376" s="4" t="s">
        <v>2183</v>
      </c>
      <c r="I3376" s="4" t="s">
        <v>2100</v>
      </c>
      <c r="J3376" s="4" t="s">
        <v>2153</v>
      </c>
      <c r="K3376">
        <v>9</v>
      </c>
      <c r="L3376">
        <v>2.7</v>
      </c>
      <c r="M3376">
        <v>19</v>
      </c>
      <c r="N3376">
        <v>138</v>
      </c>
      <c r="O3376">
        <v>106.29921259842521</v>
      </c>
      <c r="P3376">
        <v>0.74803149606299213</v>
      </c>
      <c r="Q3376">
        <v>5.4330708661417324</v>
      </c>
      <c r="R3376">
        <v>1251.2739999999999</v>
      </c>
      <c r="S3376">
        <v>7.0794000000000004E-3</v>
      </c>
      <c r="T3376" s="4" t="s">
        <v>5739</v>
      </c>
    </row>
    <row r="3377" spans="1:20" x14ac:dyDescent="0.2">
      <c r="A3377" s="4" t="s">
        <v>5591</v>
      </c>
      <c r="B3377" s="4" t="s">
        <v>5642</v>
      </c>
      <c r="C3377" s="4" t="s">
        <v>2096</v>
      </c>
      <c r="D3377" s="4" t="s">
        <v>4764</v>
      </c>
      <c r="E3377" s="4" t="s">
        <v>1714</v>
      </c>
      <c r="F3377" s="4" t="s">
        <v>5755</v>
      </c>
      <c r="G3377" s="4" t="s">
        <v>5595</v>
      </c>
      <c r="H3377" s="4" t="s">
        <v>5103</v>
      </c>
      <c r="I3377" s="4" t="s">
        <v>2100</v>
      </c>
      <c r="J3377" s="4" t="s">
        <v>5645</v>
      </c>
      <c r="K3377">
        <v>10</v>
      </c>
      <c r="L3377">
        <v>3</v>
      </c>
      <c r="M3377">
        <v>10</v>
      </c>
      <c r="N3377">
        <v>90</v>
      </c>
      <c r="O3377">
        <v>118.11023622047244</v>
      </c>
      <c r="P3377">
        <v>0.39370078740157483</v>
      </c>
      <c r="Q3377">
        <v>3.5433070866141736</v>
      </c>
      <c r="R3377">
        <v>3645.3780000000002</v>
      </c>
      <c r="S3377">
        <v>2.6999999999999997E-3</v>
      </c>
      <c r="T3377" s="4" t="s">
        <v>5756</v>
      </c>
    </row>
    <row r="3378" spans="1:20" x14ac:dyDescent="0.2">
      <c r="A3378" s="4" t="s">
        <v>5591</v>
      </c>
      <c r="B3378" s="4" t="s">
        <v>5642</v>
      </c>
      <c r="C3378" s="4" t="s">
        <v>2096</v>
      </c>
      <c r="D3378" s="4" t="s">
        <v>4764</v>
      </c>
      <c r="E3378" s="4" t="s">
        <v>1716</v>
      </c>
      <c r="F3378" s="4" t="s">
        <v>5755</v>
      </c>
      <c r="G3378" s="4" t="s">
        <v>5595</v>
      </c>
      <c r="H3378" s="4" t="s">
        <v>5103</v>
      </c>
      <c r="I3378" s="4" t="s">
        <v>2100</v>
      </c>
      <c r="J3378" s="4" t="s">
        <v>5645</v>
      </c>
      <c r="K3378">
        <v>11</v>
      </c>
      <c r="L3378">
        <v>3.3</v>
      </c>
      <c r="M3378">
        <v>10</v>
      </c>
      <c r="N3378">
        <v>90</v>
      </c>
      <c r="O3378">
        <v>129.92125984251967</v>
      </c>
      <c r="P3378">
        <v>0.39370078740157483</v>
      </c>
      <c r="Q3378">
        <v>3.5433070866141736</v>
      </c>
      <c r="R3378">
        <v>3645.3780000000002</v>
      </c>
      <c r="S3378">
        <v>2.97E-3</v>
      </c>
      <c r="T3378" s="4" t="s">
        <v>5756</v>
      </c>
    </row>
    <row r="3379" spans="1:20" x14ac:dyDescent="0.2">
      <c r="A3379" s="4" t="s">
        <v>5591</v>
      </c>
      <c r="B3379" s="4" t="s">
        <v>5642</v>
      </c>
      <c r="C3379" s="4" t="s">
        <v>2096</v>
      </c>
      <c r="D3379" s="4" t="s">
        <v>4764</v>
      </c>
      <c r="E3379" s="4" t="s">
        <v>1718</v>
      </c>
      <c r="F3379" s="4" t="s">
        <v>5755</v>
      </c>
      <c r="G3379" s="4" t="s">
        <v>5595</v>
      </c>
      <c r="H3379" s="4" t="s">
        <v>5103</v>
      </c>
      <c r="I3379" s="4" t="s">
        <v>2100</v>
      </c>
      <c r="J3379" s="4" t="s">
        <v>5645</v>
      </c>
      <c r="K3379">
        <v>12</v>
      </c>
      <c r="L3379">
        <v>3.6</v>
      </c>
      <c r="M3379">
        <v>10</v>
      </c>
      <c r="N3379">
        <v>90</v>
      </c>
      <c r="O3379">
        <v>141.73228346456693</v>
      </c>
      <c r="P3379">
        <v>0.39370078740157483</v>
      </c>
      <c r="Q3379">
        <v>3.5433070866141736</v>
      </c>
      <c r="R3379">
        <v>3645.3780000000002</v>
      </c>
      <c r="S3379">
        <v>3.2399999999999998E-3</v>
      </c>
      <c r="T3379" s="4" t="s">
        <v>5756</v>
      </c>
    </row>
    <row r="3380" spans="1:20" x14ac:dyDescent="0.2">
      <c r="A3380" s="4" t="s">
        <v>5591</v>
      </c>
      <c r="B3380" s="4" t="s">
        <v>5642</v>
      </c>
      <c r="C3380" s="4" t="s">
        <v>2096</v>
      </c>
      <c r="D3380" s="4" t="s">
        <v>4764</v>
      </c>
      <c r="E3380" s="4" t="s">
        <v>1720</v>
      </c>
      <c r="F3380" s="4" t="s">
        <v>5755</v>
      </c>
      <c r="G3380" s="4" t="s">
        <v>5595</v>
      </c>
      <c r="H3380" s="4" t="s">
        <v>5103</v>
      </c>
      <c r="I3380" s="4" t="s">
        <v>2100</v>
      </c>
      <c r="J3380" s="4" t="s">
        <v>5645</v>
      </c>
      <c r="K3380">
        <v>13</v>
      </c>
      <c r="L3380">
        <v>3.9</v>
      </c>
      <c r="M3380">
        <v>10</v>
      </c>
      <c r="N3380">
        <v>90</v>
      </c>
      <c r="O3380">
        <v>153.54330708661416</v>
      </c>
      <c r="P3380">
        <v>0.39370078740157483</v>
      </c>
      <c r="Q3380">
        <v>3.5433070866141736</v>
      </c>
      <c r="R3380">
        <v>3645.3780000000002</v>
      </c>
      <c r="S3380">
        <v>3.5099999999999997E-3</v>
      </c>
      <c r="T3380" s="4" t="s">
        <v>5756</v>
      </c>
    </row>
    <row r="3381" spans="1:20" x14ac:dyDescent="0.2">
      <c r="A3381" s="4" t="s">
        <v>5591</v>
      </c>
      <c r="B3381" s="4" t="s">
        <v>5642</v>
      </c>
      <c r="C3381" s="4" t="s">
        <v>2096</v>
      </c>
      <c r="D3381" s="4" t="s">
        <v>4764</v>
      </c>
      <c r="E3381" s="4" t="s">
        <v>1722</v>
      </c>
      <c r="F3381" s="4" t="s">
        <v>5755</v>
      </c>
      <c r="G3381" s="4" t="s">
        <v>5595</v>
      </c>
      <c r="H3381" s="4" t="s">
        <v>5103</v>
      </c>
      <c r="I3381" s="4" t="s">
        <v>2100</v>
      </c>
      <c r="J3381" s="4" t="s">
        <v>5645</v>
      </c>
      <c r="K3381">
        <v>14</v>
      </c>
      <c r="L3381">
        <v>4.2</v>
      </c>
      <c r="M3381">
        <v>10</v>
      </c>
      <c r="N3381">
        <v>90</v>
      </c>
      <c r="O3381">
        <v>165.35433070866142</v>
      </c>
      <c r="P3381">
        <v>0.39370078740157483</v>
      </c>
      <c r="Q3381">
        <v>3.5433070866141736</v>
      </c>
      <c r="R3381">
        <v>3645.3780000000002</v>
      </c>
      <c r="S3381">
        <v>3.7800000000000004E-3</v>
      </c>
      <c r="T3381" s="4" t="s">
        <v>5756</v>
      </c>
    </row>
    <row r="3382" spans="1:20" x14ac:dyDescent="0.2">
      <c r="A3382" s="4" t="s">
        <v>5591</v>
      </c>
      <c r="B3382" s="4" t="s">
        <v>5642</v>
      </c>
      <c r="C3382" s="4" t="s">
        <v>2096</v>
      </c>
      <c r="D3382" s="4" t="s">
        <v>4764</v>
      </c>
      <c r="E3382" s="4" t="s">
        <v>5757</v>
      </c>
      <c r="F3382" s="4" t="s">
        <v>5755</v>
      </c>
      <c r="G3382" s="4" t="s">
        <v>5595</v>
      </c>
      <c r="H3382" s="4" t="s">
        <v>5103</v>
      </c>
      <c r="I3382" s="4" t="s">
        <v>2100</v>
      </c>
      <c r="J3382" s="4" t="s">
        <v>5645</v>
      </c>
      <c r="K3382">
        <v>15</v>
      </c>
      <c r="L3382">
        <v>4.5</v>
      </c>
      <c r="M3382">
        <v>10</v>
      </c>
      <c r="N3382">
        <v>90</v>
      </c>
      <c r="O3382">
        <v>177.16535433070868</v>
      </c>
      <c r="P3382">
        <v>0.39370078740157483</v>
      </c>
      <c r="Q3382">
        <v>3.5433070866141736</v>
      </c>
      <c r="R3382">
        <v>3645.3780000000002</v>
      </c>
      <c r="S3382">
        <v>4.0499999999999998E-3</v>
      </c>
      <c r="T3382" s="4" t="s">
        <v>5756</v>
      </c>
    </row>
    <row r="3383" spans="1:20" x14ac:dyDescent="0.2">
      <c r="A3383" s="4" t="s">
        <v>5591</v>
      </c>
      <c r="B3383" s="4" t="s">
        <v>5642</v>
      </c>
      <c r="C3383" s="4" t="s">
        <v>2096</v>
      </c>
      <c r="D3383" s="4" t="s">
        <v>4764</v>
      </c>
      <c r="E3383" s="4" t="s">
        <v>1724</v>
      </c>
      <c r="F3383" s="4" t="s">
        <v>5755</v>
      </c>
      <c r="G3383" s="4" t="s">
        <v>5595</v>
      </c>
      <c r="H3383" s="4" t="s">
        <v>5103</v>
      </c>
      <c r="I3383" s="4" t="s">
        <v>2100</v>
      </c>
      <c r="J3383" s="4" t="s">
        <v>5645</v>
      </c>
      <c r="K3383">
        <v>16</v>
      </c>
      <c r="L3383">
        <v>4.8</v>
      </c>
      <c r="M3383">
        <v>10</v>
      </c>
      <c r="N3383">
        <v>90</v>
      </c>
      <c r="O3383">
        <v>188.97637795275591</v>
      </c>
      <c r="P3383">
        <v>0.39370078740157483</v>
      </c>
      <c r="Q3383">
        <v>3.5433070866141736</v>
      </c>
      <c r="R3383">
        <v>3645.3780000000002</v>
      </c>
      <c r="S3383">
        <v>4.3200000000000001E-3</v>
      </c>
      <c r="T3383" s="4" t="s">
        <v>5756</v>
      </c>
    </row>
    <row r="3384" spans="1:20" x14ac:dyDescent="0.2">
      <c r="A3384" s="4" t="s">
        <v>5591</v>
      </c>
      <c r="B3384" s="4" t="s">
        <v>5642</v>
      </c>
      <c r="C3384" s="4" t="s">
        <v>2096</v>
      </c>
      <c r="D3384" s="4" t="s">
        <v>4764</v>
      </c>
      <c r="E3384" s="4" t="s">
        <v>5758</v>
      </c>
      <c r="F3384" s="4" t="s">
        <v>5755</v>
      </c>
      <c r="G3384" s="4" t="s">
        <v>5595</v>
      </c>
      <c r="H3384" s="4" t="s">
        <v>5103</v>
      </c>
      <c r="I3384" s="4" t="s">
        <v>2100</v>
      </c>
      <c r="J3384" s="4" t="s">
        <v>5645</v>
      </c>
      <c r="K3384">
        <v>17</v>
      </c>
      <c r="L3384">
        <v>5.0999999999999996</v>
      </c>
      <c r="M3384">
        <v>10</v>
      </c>
      <c r="N3384">
        <v>90</v>
      </c>
      <c r="O3384">
        <v>200.78740157480314</v>
      </c>
      <c r="P3384">
        <v>0.39370078740157483</v>
      </c>
      <c r="Q3384">
        <v>3.5433070866141736</v>
      </c>
      <c r="R3384">
        <v>3645.3780000000002</v>
      </c>
      <c r="S3384">
        <v>4.5899999999999995E-3</v>
      </c>
      <c r="T3384" s="4" t="s">
        <v>5756</v>
      </c>
    </row>
    <row r="3385" spans="1:20" x14ac:dyDescent="0.2">
      <c r="A3385" s="4" t="s">
        <v>5591</v>
      </c>
      <c r="B3385" s="4" t="s">
        <v>5642</v>
      </c>
      <c r="C3385" s="4" t="s">
        <v>2096</v>
      </c>
      <c r="D3385" s="4" t="s">
        <v>4764</v>
      </c>
      <c r="E3385" s="4" t="s">
        <v>5759</v>
      </c>
      <c r="F3385" s="4" t="s">
        <v>5755</v>
      </c>
      <c r="G3385" s="4" t="s">
        <v>5595</v>
      </c>
      <c r="H3385" s="4" t="s">
        <v>5103</v>
      </c>
      <c r="I3385" s="4" t="s">
        <v>2100</v>
      </c>
      <c r="J3385" s="4" t="s">
        <v>5645</v>
      </c>
      <c r="K3385">
        <v>18</v>
      </c>
      <c r="L3385">
        <v>5.4</v>
      </c>
      <c r="M3385">
        <v>10</v>
      </c>
      <c r="N3385">
        <v>90</v>
      </c>
      <c r="O3385">
        <v>212.59842519685043</v>
      </c>
      <c r="P3385">
        <v>0.39370078740157483</v>
      </c>
      <c r="Q3385">
        <v>3.5433070866141736</v>
      </c>
      <c r="R3385">
        <v>3645.3780000000002</v>
      </c>
      <c r="S3385">
        <v>4.8600000000000006E-3</v>
      </c>
      <c r="T3385" s="4" t="s">
        <v>5756</v>
      </c>
    </row>
    <row r="3386" spans="1:20" x14ac:dyDescent="0.2">
      <c r="A3386" s="4" t="s">
        <v>5591</v>
      </c>
      <c r="B3386" s="4" t="s">
        <v>5642</v>
      </c>
      <c r="C3386" s="4" t="s">
        <v>2286</v>
      </c>
      <c r="D3386" s="4" t="s">
        <v>4764</v>
      </c>
      <c r="E3386" s="4" t="s">
        <v>1726</v>
      </c>
      <c r="F3386" s="4" t="s">
        <v>5755</v>
      </c>
      <c r="G3386" s="4" t="s">
        <v>5595</v>
      </c>
      <c r="H3386" s="4" t="s">
        <v>5103</v>
      </c>
      <c r="I3386" s="4" t="s">
        <v>2100</v>
      </c>
      <c r="J3386" s="4" t="s">
        <v>5645</v>
      </c>
      <c r="K3386">
        <v>4</v>
      </c>
      <c r="L3386">
        <v>1.2</v>
      </c>
      <c r="M3386">
        <v>10</v>
      </c>
      <c r="N3386">
        <v>90</v>
      </c>
      <c r="O3386">
        <v>47.244094488188978</v>
      </c>
      <c r="P3386">
        <v>0.39370078740157483</v>
      </c>
      <c r="Q3386">
        <v>3.5433070866141736</v>
      </c>
      <c r="R3386">
        <v>3645.3780000000002</v>
      </c>
      <c r="S3386">
        <v>1.08E-3</v>
      </c>
      <c r="T3386" s="4" t="s">
        <v>5760</v>
      </c>
    </row>
    <row r="3387" spans="1:20" x14ac:dyDescent="0.2">
      <c r="A3387" s="4" t="s">
        <v>5591</v>
      </c>
      <c r="B3387" s="4" t="s">
        <v>5642</v>
      </c>
      <c r="C3387" s="4" t="s">
        <v>2286</v>
      </c>
      <c r="D3387" s="4" t="s">
        <v>4764</v>
      </c>
      <c r="E3387" s="4" t="s">
        <v>1728</v>
      </c>
      <c r="F3387" s="4" t="s">
        <v>5755</v>
      </c>
      <c r="G3387" s="4" t="s">
        <v>5595</v>
      </c>
      <c r="H3387" s="4" t="s">
        <v>5103</v>
      </c>
      <c r="I3387" s="4" t="s">
        <v>2100</v>
      </c>
      <c r="J3387" s="4" t="s">
        <v>5645</v>
      </c>
      <c r="K3387">
        <v>5</v>
      </c>
      <c r="L3387">
        <v>1.5</v>
      </c>
      <c r="M3387">
        <v>10</v>
      </c>
      <c r="N3387">
        <v>90</v>
      </c>
      <c r="O3387">
        <v>59.055118110236222</v>
      </c>
      <c r="P3387">
        <v>0.39370078740157483</v>
      </c>
      <c r="Q3387">
        <v>3.5433070866141736</v>
      </c>
      <c r="R3387">
        <v>3645.3780000000002</v>
      </c>
      <c r="S3387">
        <v>1.3499999999999999E-3</v>
      </c>
      <c r="T3387" s="4" t="s">
        <v>5760</v>
      </c>
    </row>
    <row r="3388" spans="1:20" x14ac:dyDescent="0.2">
      <c r="A3388" s="4" t="s">
        <v>5591</v>
      </c>
      <c r="B3388" s="4" t="s">
        <v>5642</v>
      </c>
      <c r="C3388" s="4" t="s">
        <v>2286</v>
      </c>
      <c r="D3388" s="4" t="s">
        <v>4764</v>
      </c>
      <c r="E3388" s="4" t="s">
        <v>1730</v>
      </c>
      <c r="F3388" s="4" t="s">
        <v>5755</v>
      </c>
      <c r="G3388" s="4" t="s">
        <v>5595</v>
      </c>
      <c r="H3388" s="4" t="s">
        <v>5103</v>
      </c>
      <c r="I3388" s="4" t="s">
        <v>2100</v>
      </c>
      <c r="J3388" s="4" t="s">
        <v>5645</v>
      </c>
      <c r="K3388">
        <v>6</v>
      </c>
      <c r="L3388">
        <v>1.8</v>
      </c>
      <c r="M3388">
        <v>10</v>
      </c>
      <c r="N3388">
        <v>90</v>
      </c>
      <c r="O3388">
        <v>70.866141732283467</v>
      </c>
      <c r="P3388">
        <v>0.39370078740157483</v>
      </c>
      <c r="Q3388">
        <v>3.5433070866141736</v>
      </c>
      <c r="R3388">
        <v>3645.3780000000002</v>
      </c>
      <c r="S3388">
        <v>1.6199999999999999E-3</v>
      </c>
      <c r="T3388" s="4" t="s">
        <v>5760</v>
      </c>
    </row>
    <row r="3389" spans="1:20" x14ac:dyDescent="0.2">
      <c r="A3389" s="4" t="s">
        <v>5591</v>
      </c>
      <c r="B3389" s="4" t="s">
        <v>5642</v>
      </c>
      <c r="C3389" s="4" t="s">
        <v>2286</v>
      </c>
      <c r="D3389" s="4" t="s">
        <v>4764</v>
      </c>
      <c r="E3389" s="4" t="s">
        <v>1732</v>
      </c>
      <c r="F3389" s="4" t="s">
        <v>5755</v>
      </c>
      <c r="G3389" s="4" t="s">
        <v>5595</v>
      </c>
      <c r="H3389" s="4" t="s">
        <v>5103</v>
      </c>
      <c r="I3389" s="4" t="s">
        <v>2100</v>
      </c>
      <c r="J3389" s="4" t="s">
        <v>5645</v>
      </c>
      <c r="K3389">
        <v>7</v>
      </c>
      <c r="L3389">
        <v>2.1</v>
      </c>
      <c r="M3389">
        <v>10</v>
      </c>
      <c r="N3389">
        <v>90</v>
      </c>
      <c r="O3389">
        <v>82.677165354330711</v>
      </c>
      <c r="P3389">
        <v>0.39370078740157483</v>
      </c>
      <c r="Q3389">
        <v>3.5433070866141736</v>
      </c>
      <c r="R3389">
        <v>3645.3780000000002</v>
      </c>
      <c r="S3389">
        <v>1.8900000000000002E-3</v>
      </c>
      <c r="T3389" s="4" t="s">
        <v>5760</v>
      </c>
    </row>
    <row r="3390" spans="1:20" x14ac:dyDescent="0.2">
      <c r="A3390" s="4" t="s">
        <v>5591</v>
      </c>
      <c r="B3390" s="4" t="s">
        <v>5642</v>
      </c>
      <c r="C3390" s="4" t="s">
        <v>2096</v>
      </c>
      <c r="D3390" s="4" t="s">
        <v>4764</v>
      </c>
      <c r="E3390" s="4" t="s">
        <v>1734</v>
      </c>
      <c r="F3390" s="4" t="s">
        <v>5755</v>
      </c>
      <c r="G3390" s="4" t="s">
        <v>5595</v>
      </c>
      <c r="H3390" s="4" t="s">
        <v>5103</v>
      </c>
      <c r="I3390" s="4" t="s">
        <v>2100</v>
      </c>
      <c r="J3390" s="4" t="s">
        <v>5645</v>
      </c>
      <c r="K3390">
        <v>8</v>
      </c>
      <c r="L3390">
        <v>2.4</v>
      </c>
      <c r="M3390">
        <v>10</v>
      </c>
      <c r="N3390">
        <v>90</v>
      </c>
      <c r="O3390">
        <v>94.488188976377955</v>
      </c>
      <c r="P3390">
        <v>0.39370078740157483</v>
      </c>
      <c r="Q3390">
        <v>3.5433070866141736</v>
      </c>
      <c r="R3390">
        <v>3645.3780000000002</v>
      </c>
      <c r="S3390">
        <v>2.16E-3</v>
      </c>
      <c r="T3390" s="4" t="s">
        <v>5756</v>
      </c>
    </row>
    <row r="3391" spans="1:20" x14ac:dyDescent="0.2">
      <c r="A3391" s="4" t="s">
        <v>5591</v>
      </c>
      <c r="B3391" s="4" t="s">
        <v>5642</v>
      </c>
      <c r="C3391" s="4" t="s">
        <v>2096</v>
      </c>
      <c r="D3391" s="4" t="s">
        <v>4764</v>
      </c>
      <c r="E3391" s="4" t="s">
        <v>1736</v>
      </c>
      <c r="F3391" s="4" t="s">
        <v>5755</v>
      </c>
      <c r="G3391" s="4" t="s">
        <v>5595</v>
      </c>
      <c r="H3391" s="4" t="s">
        <v>5103</v>
      </c>
      <c r="I3391" s="4" t="s">
        <v>2100</v>
      </c>
      <c r="J3391" s="4" t="s">
        <v>5645</v>
      </c>
      <c r="K3391">
        <v>9</v>
      </c>
      <c r="L3391">
        <v>2.7</v>
      </c>
      <c r="M3391">
        <v>10</v>
      </c>
      <c r="N3391">
        <v>90</v>
      </c>
      <c r="O3391">
        <v>106.29921259842521</v>
      </c>
      <c r="P3391">
        <v>0.39370078740157483</v>
      </c>
      <c r="Q3391">
        <v>3.5433070866141736</v>
      </c>
      <c r="R3391">
        <v>3645.3780000000002</v>
      </c>
      <c r="S3391">
        <v>2.4300000000000003E-3</v>
      </c>
      <c r="T3391" s="4" t="s">
        <v>5756</v>
      </c>
    </row>
    <row r="3392" spans="1:20" x14ac:dyDescent="0.2">
      <c r="A3392" s="4" t="s">
        <v>5761</v>
      </c>
      <c r="B3392" s="4" t="s">
        <v>5762</v>
      </c>
      <c r="C3392" s="4" t="s">
        <v>2096</v>
      </c>
      <c r="D3392" s="4" t="s">
        <v>4764</v>
      </c>
      <c r="E3392" s="4" t="s">
        <v>1839</v>
      </c>
      <c r="F3392" s="4" t="s">
        <v>5763</v>
      </c>
      <c r="G3392" s="4" t="s">
        <v>5764</v>
      </c>
      <c r="H3392" s="4" t="s">
        <v>5111</v>
      </c>
      <c r="I3392" s="4" t="s">
        <v>2100</v>
      </c>
      <c r="J3392" s="4" t="s">
        <v>2153</v>
      </c>
      <c r="K3392">
        <v>10</v>
      </c>
      <c r="L3392">
        <v>3</v>
      </c>
      <c r="M3392">
        <v>19</v>
      </c>
      <c r="N3392">
        <v>140</v>
      </c>
      <c r="O3392">
        <v>118.11023622047244</v>
      </c>
      <c r="P3392">
        <v>0.74803149606299213</v>
      </c>
      <c r="Q3392">
        <v>5.5118110236220472</v>
      </c>
      <c r="R3392">
        <v>1233.3979999999999</v>
      </c>
      <c r="S3392">
        <v>7.980000000000001E-3</v>
      </c>
      <c r="T3392" s="4" t="s">
        <v>5765</v>
      </c>
    </row>
    <row r="3393" spans="1:20" x14ac:dyDescent="0.2">
      <c r="A3393" s="4" t="s">
        <v>5761</v>
      </c>
      <c r="B3393" s="4" t="s">
        <v>5762</v>
      </c>
      <c r="C3393" s="4" t="s">
        <v>2096</v>
      </c>
      <c r="D3393" s="4" t="s">
        <v>4764</v>
      </c>
      <c r="E3393" s="4" t="s">
        <v>1841</v>
      </c>
      <c r="F3393" s="4" t="s">
        <v>5763</v>
      </c>
      <c r="G3393" s="4" t="s">
        <v>5764</v>
      </c>
      <c r="H3393" s="4" t="s">
        <v>5111</v>
      </c>
      <c r="I3393" s="4" t="s">
        <v>2100</v>
      </c>
      <c r="J3393" s="4" t="s">
        <v>2153</v>
      </c>
      <c r="K3393">
        <v>11</v>
      </c>
      <c r="L3393">
        <v>3.3</v>
      </c>
      <c r="M3393">
        <v>19</v>
      </c>
      <c r="N3393">
        <v>140</v>
      </c>
      <c r="O3393">
        <v>129.92125984251967</v>
      </c>
      <c r="P3393">
        <v>0.74803149606299213</v>
      </c>
      <c r="Q3393">
        <v>5.5118110236220472</v>
      </c>
      <c r="R3393">
        <v>1233.3979999999999</v>
      </c>
      <c r="S3393">
        <v>8.7779999999999993E-3</v>
      </c>
      <c r="T3393" s="4" t="s">
        <v>5765</v>
      </c>
    </row>
    <row r="3394" spans="1:20" x14ac:dyDescent="0.2">
      <c r="A3394" s="4" t="s">
        <v>5761</v>
      </c>
      <c r="B3394" s="4" t="s">
        <v>5762</v>
      </c>
      <c r="C3394" s="4" t="s">
        <v>2096</v>
      </c>
      <c r="D3394" s="4" t="s">
        <v>4764</v>
      </c>
      <c r="E3394" s="4" t="s">
        <v>1843</v>
      </c>
      <c r="F3394" s="4" t="s">
        <v>5763</v>
      </c>
      <c r="G3394" s="4" t="s">
        <v>5764</v>
      </c>
      <c r="H3394" s="4" t="s">
        <v>5111</v>
      </c>
      <c r="I3394" s="4" t="s">
        <v>2100</v>
      </c>
      <c r="J3394" s="4" t="s">
        <v>2153</v>
      </c>
      <c r="K3394">
        <v>12</v>
      </c>
      <c r="L3394">
        <v>3.6</v>
      </c>
      <c r="M3394">
        <v>19</v>
      </c>
      <c r="N3394">
        <v>140</v>
      </c>
      <c r="O3394">
        <v>141.73228346456693</v>
      </c>
      <c r="P3394">
        <v>0.74803149606299213</v>
      </c>
      <c r="Q3394">
        <v>5.5118110236220472</v>
      </c>
      <c r="R3394">
        <v>1233.3979999999999</v>
      </c>
      <c r="S3394">
        <v>9.5760000000000012E-3</v>
      </c>
      <c r="T3394" s="4" t="s">
        <v>5765</v>
      </c>
    </row>
    <row r="3395" spans="1:20" x14ac:dyDescent="0.2">
      <c r="A3395" s="4" t="s">
        <v>5761</v>
      </c>
      <c r="B3395" s="4" t="s">
        <v>5762</v>
      </c>
      <c r="C3395" s="4" t="s">
        <v>2096</v>
      </c>
      <c r="D3395" s="4" t="s">
        <v>4764</v>
      </c>
      <c r="E3395" s="4" t="s">
        <v>1845</v>
      </c>
      <c r="F3395" s="4" t="s">
        <v>5763</v>
      </c>
      <c r="G3395" s="4" t="s">
        <v>5764</v>
      </c>
      <c r="H3395" s="4" t="s">
        <v>5111</v>
      </c>
      <c r="I3395" s="4" t="s">
        <v>2100</v>
      </c>
      <c r="J3395" s="4" t="s">
        <v>2153</v>
      </c>
      <c r="K3395">
        <v>13</v>
      </c>
      <c r="L3395">
        <v>3.9</v>
      </c>
      <c r="M3395">
        <v>19</v>
      </c>
      <c r="N3395">
        <v>140</v>
      </c>
      <c r="O3395">
        <v>153.54330708661416</v>
      </c>
      <c r="P3395">
        <v>0.74803149606299213</v>
      </c>
      <c r="Q3395">
        <v>5.5118110236220472</v>
      </c>
      <c r="R3395">
        <v>1233.3979999999999</v>
      </c>
      <c r="S3395">
        <v>1.0374000000000001E-2</v>
      </c>
      <c r="T3395" s="4" t="s">
        <v>5765</v>
      </c>
    </row>
    <row r="3396" spans="1:20" x14ac:dyDescent="0.2">
      <c r="A3396" s="4" t="s">
        <v>5761</v>
      </c>
      <c r="B3396" s="4" t="s">
        <v>5762</v>
      </c>
      <c r="C3396" s="4" t="s">
        <v>2096</v>
      </c>
      <c r="D3396" s="4" t="s">
        <v>4764</v>
      </c>
      <c r="E3396" s="4" t="s">
        <v>5766</v>
      </c>
      <c r="F3396" s="4" t="s">
        <v>5763</v>
      </c>
      <c r="G3396" s="4" t="s">
        <v>5764</v>
      </c>
      <c r="H3396" s="4" t="s">
        <v>5111</v>
      </c>
      <c r="I3396" s="4" t="s">
        <v>2100</v>
      </c>
      <c r="J3396" s="4" t="s">
        <v>2153</v>
      </c>
      <c r="K3396">
        <v>14</v>
      </c>
      <c r="L3396">
        <v>4.2</v>
      </c>
      <c r="M3396">
        <v>19</v>
      </c>
      <c r="N3396">
        <v>140</v>
      </c>
      <c r="O3396">
        <v>165.35433070866142</v>
      </c>
      <c r="P3396">
        <v>0.74803149606299213</v>
      </c>
      <c r="Q3396">
        <v>5.5118110236220472</v>
      </c>
      <c r="R3396">
        <v>1233.3979999999999</v>
      </c>
      <c r="S3396">
        <v>1.1172E-2</v>
      </c>
      <c r="T3396" s="4" t="s">
        <v>5765</v>
      </c>
    </row>
    <row r="3397" spans="1:20" x14ac:dyDescent="0.2">
      <c r="A3397" s="4" t="s">
        <v>5761</v>
      </c>
      <c r="B3397" s="4" t="s">
        <v>5762</v>
      </c>
      <c r="C3397" s="4" t="s">
        <v>2096</v>
      </c>
      <c r="D3397" s="4" t="s">
        <v>4764</v>
      </c>
      <c r="E3397" s="4" t="s">
        <v>1847</v>
      </c>
      <c r="F3397" s="4" t="s">
        <v>5763</v>
      </c>
      <c r="G3397" s="4" t="s">
        <v>5764</v>
      </c>
      <c r="H3397" s="4" t="s">
        <v>5111</v>
      </c>
      <c r="I3397" s="4" t="s">
        <v>2100</v>
      </c>
      <c r="J3397" s="4" t="s">
        <v>2153</v>
      </c>
      <c r="K3397">
        <v>15</v>
      </c>
      <c r="L3397">
        <v>4.5</v>
      </c>
      <c r="M3397">
        <v>19</v>
      </c>
      <c r="N3397">
        <v>140</v>
      </c>
      <c r="O3397">
        <v>177.16535433070868</v>
      </c>
      <c r="P3397">
        <v>0.74803149606299213</v>
      </c>
      <c r="Q3397">
        <v>5.5118110236220472</v>
      </c>
      <c r="R3397">
        <v>1233.3979999999999</v>
      </c>
      <c r="S3397">
        <v>1.1970000000000001E-2</v>
      </c>
      <c r="T3397" s="4" t="s">
        <v>5765</v>
      </c>
    </row>
    <row r="3398" spans="1:20" x14ac:dyDescent="0.2">
      <c r="A3398" s="4" t="s">
        <v>5761</v>
      </c>
      <c r="B3398" s="4" t="s">
        <v>5762</v>
      </c>
      <c r="C3398" s="4" t="s">
        <v>2096</v>
      </c>
      <c r="D3398" s="4" t="s">
        <v>4764</v>
      </c>
      <c r="E3398" s="4" t="s">
        <v>1849</v>
      </c>
      <c r="F3398" s="4" t="s">
        <v>5763</v>
      </c>
      <c r="G3398" s="4" t="s">
        <v>5764</v>
      </c>
      <c r="H3398" s="4" t="s">
        <v>5111</v>
      </c>
      <c r="I3398" s="4" t="s">
        <v>2100</v>
      </c>
      <c r="J3398" s="4" t="s">
        <v>2153</v>
      </c>
      <c r="K3398">
        <v>16</v>
      </c>
      <c r="L3398">
        <v>4.8</v>
      </c>
      <c r="M3398">
        <v>19</v>
      </c>
      <c r="N3398">
        <v>140</v>
      </c>
      <c r="O3398">
        <v>188.97637795275591</v>
      </c>
      <c r="P3398">
        <v>0.74803149606299213</v>
      </c>
      <c r="Q3398">
        <v>5.5118110236220472</v>
      </c>
      <c r="R3398">
        <v>1233.3979999999999</v>
      </c>
      <c r="S3398">
        <v>1.2768E-2</v>
      </c>
      <c r="T3398" s="4" t="s">
        <v>5765</v>
      </c>
    </row>
    <row r="3399" spans="1:20" x14ac:dyDescent="0.2">
      <c r="A3399" s="4" t="s">
        <v>5761</v>
      </c>
      <c r="B3399" s="4" t="s">
        <v>5762</v>
      </c>
      <c r="C3399" s="4" t="s">
        <v>2096</v>
      </c>
      <c r="D3399" s="4" t="s">
        <v>4764</v>
      </c>
      <c r="E3399" s="4" t="s">
        <v>5767</v>
      </c>
      <c r="F3399" s="4" t="s">
        <v>5763</v>
      </c>
      <c r="G3399" s="4" t="s">
        <v>5764</v>
      </c>
      <c r="H3399" s="4" t="s">
        <v>5111</v>
      </c>
      <c r="I3399" s="4" t="s">
        <v>2100</v>
      </c>
      <c r="J3399" s="4" t="s">
        <v>2153</v>
      </c>
      <c r="K3399">
        <v>17</v>
      </c>
      <c r="L3399">
        <v>5.0999999999999996</v>
      </c>
      <c r="M3399">
        <v>19</v>
      </c>
      <c r="N3399">
        <v>140</v>
      </c>
      <c r="O3399">
        <v>200.78740157480314</v>
      </c>
      <c r="P3399">
        <v>0.74803149606299213</v>
      </c>
      <c r="Q3399">
        <v>5.5118110236220472</v>
      </c>
      <c r="R3399">
        <v>1233.3979999999999</v>
      </c>
      <c r="S3399">
        <v>1.3565999999999998E-2</v>
      </c>
      <c r="T3399" s="4" t="s">
        <v>5765</v>
      </c>
    </row>
    <row r="3400" spans="1:20" x14ac:dyDescent="0.2">
      <c r="A3400" s="4" t="s">
        <v>5761</v>
      </c>
      <c r="B3400" s="4" t="s">
        <v>5762</v>
      </c>
      <c r="C3400" s="4" t="s">
        <v>2096</v>
      </c>
      <c r="D3400" s="4" t="s">
        <v>4764</v>
      </c>
      <c r="E3400" s="4" t="s">
        <v>5768</v>
      </c>
      <c r="F3400" s="4" t="s">
        <v>5763</v>
      </c>
      <c r="G3400" s="4" t="s">
        <v>5764</v>
      </c>
      <c r="H3400" s="4" t="s">
        <v>5111</v>
      </c>
      <c r="I3400" s="4" t="s">
        <v>2100</v>
      </c>
      <c r="J3400" s="4" t="s">
        <v>2153</v>
      </c>
      <c r="K3400">
        <v>18</v>
      </c>
      <c r="L3400">
        <v>5.4</v>
      </c>
      <c r="M3400">
        <v>19</v>
      </c>
      <c r="N3400">
        <v>140</v>
      </c>
      <c r="O3400">
        <v>212.59842519685043</v>
      </c>
      <c r="P3400">
        <v>0.74803149606299213</v>
      </c>
      <c r="Q3400">
        <v>5.5118110236220472</v>
      </c>
      <c r="R3400">
        <v>1233.3979999999999</v>
      </c>
      <c r="S3400">
        <v>1.4364E-2</v>
      </c>
      <c r="T3400" s="4" t="s">
        <v>5765</v>
      </c>
    </row>
    <row r="3401" spans="1:20" x14ac:dyDescent="0.2">
      <c r="A3401" s="4" t="s">
        <v>5761</v>
      </c>
      <c r="B3401" s="4" t="s">
        <v>5762</v>
      </c>
      <c r="C3401" s="4" t="s">
        <v>2286</v>
      </c>
      <c r="D3401" s="4" t="s">
        <v>4764</v>
      </c>
      <c r="E3401" s="4" t="s">
        <v>5769</v>
      </c>
      <c r="F3401" s="4" t="s">
        <v>5763</v>
      </c>
      <c r="G3401" s="4" t="s">
        <v>5764</v>
      </c>
      <c r="H3401" s="4" t="s">
        <v>5111</v>
      </c>
      <c r="I3401" s="4" t="s">
        <v>2100</v>
      </c>
      <c r="J3401" s="4" t="s">
        <v>2153</v>
      </c>
      <c r="K3401">
        <v>4</v>
      </c>
      <c r="L3401">
        <v>1.2</v>
      </c>
      <c r="M3401">
        <v>19</v>
      </c>
      <c r="N3401">
        <v>140</v>
      </c>
      <c r="O3401">
        <v>47.244094488188978</v>
      </c>
      <c r="P3401">
        <v>0.74803149606299213</v>
      </c>
      <c r="Q3401">
        <v>5.5118110236220472</v>
      </c>
      <c r="R3401">
        <v>1233.3979999999999</v>
      </c>
      <c r="S3401">
        <v>3.192E-3</v>
      </c>
      <c r="T3401" s="4" t="s">
        <v>5770</v>
      </c>
    </row>
    <row r="3402" spans="1:20" x14ac:dyDescent="0.2">
      <c r="A3402" s="4" t="s">
        <v>5761</v>
      </c>
      <c r="B3402" s="4" t="s">
        <v>5762</v>
      </c>
      <c r="C3402" s="4" t="s">
        <v>2286</v>
      </c>
      <c r="D3402" s="4" t="s">
        <v>4764</v>
      </c>
      <c r="E3402" s="4" t="s">
        <v>5771</v>
      </c>
      <c r="F3402" s="4" t="s">
        <v>5763</v>
      </c>
      <c r="G3402" s="4" t="s">
        <v>5764</v>
      </c>
      <c r="H3402" s="4" t="s">
        <v>5111</v>
      </c>
      <c r="I3402" s="4" t="s">
        <v>2100</v>
      </c>
      <c r="J3402" s="4" t="s">
        <v>2153</v>
      </c>
      <c r="K3402">
        <v>5</v>
      </c>
      <c r="L3402">
        <v>1.5</v>
      </c>
      <c r="M3402">
        <v>19</v>
      </c>
      <c r="N3402">
        <v>140</v>
      </c>
      <c r="O3402">
        <v>59.055118110236222</v>
      </c>
      <c r="P3402">
        <v>0.74803149606299213</v>
      </c>
      <c r="Q3402">
        <v>5.5118110236220472</v>
      </c>
      <c r="R3402">
        <v>1233.3979999999999</v>
      </c>
      <c r="S3402">
        <v>3.9900000000000005E-3</v>
      </c>
      <c r="T3402" s="4" t="s">
        <v>5770</v>
      </c>
    </row>
    <row r="3403" spans="1:20" x14ac:dyDescent="0.2">
      <c r="A3403" s="4" t="s">
        <v>5761</v>
      </c>
      <c r="B3403" s="4" t="s">
        <v>5762</v>
      </c>
      <c r="C3403" s="4" t="s">
        <v>2286</v>
      </c>
      <c r="D3403" s="4" t="s">
        <v>4764</v>
      </c>
      <c r="E3403" s="4" t="s">
        <v>5772</v>
      </c>
      <c r="F3403" s="4" t="s">
        <v>5763</v>
      </c>
      <c r="G3403" s="4" t="s">
        <v>5764</v>
      </c>
      <c r="H3403" s="4" t="s">
        <v>5111</v>
      </c>
      <c r="I3403" s="4" t="s">
        <v>2100</v>
      </c>
      <c r="J3403" s="4" t="s">
        <v>2153</v>
      </c>
      <c r="K3403">
        <v>6</v>
      </c>
      <c r="L3403">
        <v>1.8</v>
      </c>
      <c r="M3403">
        <v>19</v>
      </c>
      <c r="N3403">
        <v>140</v>
      </c>
      <c r="O3403">
        <v>70.866141732283467</v>
      </c>
      <c r="P3403">
        <v>0.74803149606299213</v>
      </c>
      <c r="Q3403">
        <v>5.5118110236220472</v>
      </c>
      <c r="R3403">
        <v>1233.3979999999999</v>
      </c>
      <c r="S3403">
        <v>4.7880000000000006E-3</v>
      </c>
      <c r="T3403" s="4" t="s">
        <v>5770</v>
      </c>
    </row>
    <row r="3404" spans="1:20" x14ac:dyDescent="0.2">
      <c r="A3404" s="4" t="s">
        <v>5761</v>
      </c>
      <c r="B3404" s="4" t="s">
        <v>5762</v>
      </c>
      <c r="C3404" s="4" t="s">
        <v>2286</v>
      </c>
      <c r="D3404" s="4" t="s">
        <v>4764</v>
      </c>
      <c r="E3404" s="4" t="s">
        <v>5773</v>
      </c>
      <c r="F3404" s="4" t="s">
        <v>5763</v>
      </c>
      <c r="G3404" s="4" t="s">
        <v>5764</v>
      </c>
      <c r="H3404" s="4" t="s">
        <v>5111</v>
      </c>
      <c r="I3404" s="4" t="s">
        <v>2100</v>
      </c>
      <c r="J3404" s="4" t="s">
        <v>2153</v>
      </c>
      <c r="K3404">
        <v>7</v>
      </c>
      <c r="L3404">
        <v>2.1</v>
      </c>
      <c r="M3404">
        <v>19</v>
      </c>
      <c r="N3404">
        <v>140</v>
      </c>
      <c r="O3404">
        <v>82.677165354330711</v>
      </c>
      <c r="P3404">
        <v>0.74803149606299213</v>
      </c>
      <c r="Q3404">
        <v>5.5118110236220472</v>
      </c>
      <c r="R3404">
        <v>1233.3979999999999</v>
      </c>
      <c r="S3404">
        <v>5.5859999999999998E-3</v>
      </c>
      <c r="T3404" s="4" t="s">
        <v>5770</v>
      </c>
    </row>
    <row r="3405" spans="1:20" x14ac:dyDescent="0.2">
      <c r="A3405" s="4" t="s">
        <v>5761</v>
      </c>
      <c r="B3405" s="4" t="s">
        <v>5762</v>
      </c>
      <c r="C3405" s="4" t="s">
        <v>2096</v>
      </c>
      <c r="D3405" s="4" t="s">
        <v>4764</v>
      </c>
      <c r="E3405" s="4" t="s">
        <v>5774</v>
      </c>
      <c r="F3405" s="4" t="s">
        <v>5763</v>
      </c>
      <c r="G3405" s="4" t="s">
        <v>5764</v>
      </c>
      <c r="H3405" s="4" t="s">
        <v>5111</v>
      </c>
      <c r="I3405" s="4" t="s">
        <v>2100</v>
      </c>
      <c r="J3405" s="4" t="s">
        <v>2153</v>
      </c>
      <c r="K3405">
        <v>8</v>
      </c>
      <c r="L3405">
        <v>2.4</v>
      </c>
      <c r="M3405">
        <v>19</v>
      </c>
      <c r="N3405">
        <v>140</v>
      </c>
      <c r="O3405">
        <v>94.488188976377955</v>
      </c>
      <c r="P3405">
        <v>0.74803149606299213</v>
      </c>
      <c r="Q3405">
        <v>5.5118110236220472</v>
      </c>
      <c r="R3405">
        <v>1233.3979999999999</v>
      </c>
      <c r="S3405">
        <v>6.3839999999999999E-3</v>
      </c>
      <c r="T3405" s="4" t="s">
        <v>5765</v>
      </c>
    </row>
    <row r="3406" spans="1:20" x14ac:dyDescent="0.2">
      <c r="A3406" s="4" t="s">
        <v>5761</v>
      </c>
      <c r="B3406" s="4" t="s">
        <v>5762</v>
      </c>
      <c r="C3406" s="4" t="s">
        <v>2096</v>
      </c>
      <c r="D3406" s="4" t="s">
        <v>4764</v>
      </c>
      <c r="E3406" s="4" t="s">
        <v>1851</v>
      </c>
      <c r="F3406" s="4" t="s">
        <v>5763</v>
      </c>
      <c r="G3406" s="4" t="s">
        <v>5764</v>
      </c>
      <c r="H3406" s="4" t="s">
        <v>5111</v>
      </c>
      <c r="I3406" s="4" t="s">
        <v>2100</v>
      </c>
      <c r="J3406" s="4" t="s">
        <v>2153</v>
      </c>
      <c r="K3406">
        <v>9</v>
      </c>
      <c r="L3406">
        <v>2.7</v>
      </c>
      <c r="M3406">
        <v>19</v>
      </c>
      <c r="N3406">
        <v>140</v>
      </c>
      <c r="O3406">
        <v>106.29921259842521</v>
      </c>
      <c r="P3406">
        <v>0.74803149606299213</v>
      </c>
      <c r="Q3406">
        <v>5.5118110236220472</v>
      </c>
      <c r="R3406">
        <v>1233.3979999999999</v>
      </c>
      <c r="S3406">
        <v>7.182E-3</v>
      </c>
      <c r="T3406" s="4" t="s">
        <v>5765</v>
      </c>
    </row>
    <row r="3407" spans="1:20" x14ac:dyDescent="0.2">
      <c r="A3407" s="4" t="s">
        <v>5761</v>
      </c>
      <c r="B3407" s="4" t="s">
        <v>5775</v>
      </c>
      <c r="C3407" s="4" t="s">
        <v>2096</v>
      </c>
      <c r="D3407" s="4" t="s">
        <v>4764</v>
      </c>
      <c r="E3407" s="4" t="s">
        <v>5776</v>
      </c>
      <c r="F3407" s="4" t="s">
        <v>5777</v>
      </c>
      <c r="G3407" s="4" t="s">
        <v>5764</v>
      </c>
      <c r="H3407" s="4" t="s">
        <v>2183</v>
      </c>
      <c r="I3407" s="4" t="s">
        <v>2100</v>
      </c>
      <c r="J3407" s="4" t="s">
        <v>2549</v>
      </c>
      <c r="K3407">
        <v>10</v>
      </c>
      <c r="L3407">
        <v>3</v>
      </c>
      <c r="M3407">
        <v>40</v>
      </c>
      <c r="N3407">
        <v>92</v>
      </c>
      <c r="O3407">
        <v>118.11023622047244</v>
      </c>
      <c r="P3407">
        <v>1.5748031496062993</v>
      </c>
      <c r="Q3407">
        <v>3.6220472440944884</v>
      </c>
      <c r="R3407">
        <v>891.53300000000002</v>
      </c>
      <c r="S3407">
        <v>1.1039999999999999E-2</v>
      </c>
      <c r="T3407" s="4" t="s">
        <v>5778</v>
      </c>
    </row>
    <row r="3408" spans="1:20" x14ac:dyDescent="0.2">
      <c r="A3408" s="4" t="s">
        <v>5761</v>
      </c>
      <c r="B3408" s="4" t="s">
        <v>5775</v>
      </c>
      <c r="C3408" s="4" t="s">
        <v>2096</v>
      </c>
      <c r="D3408" s="4" t="s">
        <v>4764</v>
      </c>
      <c r="E3408" s="4" t="s">
        <v>5779</v>
      </c>
      <c r="F3408" s="4" t="s">
        <v>5777</v>
      </c>
      <c r="G3408" s="4" t="s">
        <v>5764</v>
      </c>
      <c r="H3408" s="4" t="s">
        <v>2183</v>
      </c>
      <c r="I3408" s="4" t="s">
        <v>2100</v>
      </c>
      <c r="J3408" s="4" t="s">
        <v>2549</v>
      </c>
      <c r="K3408">
        <v>11</v>
      </c>
      <c r="L3408">
        <v>3.3</v>
      </c>
      <c r="M3408">
        <v>40</v>
      </c>
      <c r="N3408">
        <v>92</v>
      </c>
      <c r="O3408">
        <v>129.92125984251967</v>
      </c>
      <c r="P3408">
        <v>1.5748031496062993</v>
      </c>
      <c r="Q3408">
        <v>3.6220472440944884</v>
      </c>
      <c r="R3408">
        <v>891.53300000000002</v>
      </c>
      <c r="S3408">
        <v>1.2144E-2</v>
      </c>
      <c r="T3408" s="4" t="s">
        <v>5778</v>
      </c>
    </row>
    <row r="3409" spans="1:20" x14ac:dyDescent="0.2">
      <c r="A3409" s="4" t="s">
        <v>5761</v>
      </c>
      <c r="B3409" s="4" t="s">
        <v>5775</v>
      </c>
      <c r="C3409" s="4" t="s">
        <v>2096</v>
      </c>
      <c r="D3409" s="4" t="s">
        <v>4764</v>
      </c>
      <c r="E3409" s="4" t="s">
        <v>1802</v>
      </c>
      <c r="F3409" s="4" t="s">
        <v>5777</v>
      </c>
      <c r="G3409" s="4" t="s">
        <v>5764</v>
      </c>
      <c r="H3409" s="4" t="s">
        <v>2183</v>
      </c>
      <c r="I3409" s="4" t="s">
        <v>2100</v>
      </c>
      <c r="J3409" s="4" t="s">
        <v>2549</v>
      </c>
      <c r="K3409">
        <v>12</v>
      </c>
      <c r="L3409">
        <v>3.6</v>
      </c>
      <c r="M3409">
        <v>40</v>
      </c>
      <c r="N3409">
        <v>92</v>
      </c>
      <c r="O3409">
        <v>141.73228346456693</v>
      </c>
      <c r="P3409">
        <v>1.5748031496062993</v>
      </c>
      <c r="Q3409">
        <v>3.6220472440944884</v>
      </c>
      <c r="R3409">
        <v>891.53300000000002</v>
      </c>
      <c r="S3409">
        <v>1.3247999999999999E-2</v>
      </c>
      <c r="T3409" s="4" t="s">
        <v>5778</v>
      </c>
    </row>
    <row r="3410" spans="1:20" x14ac:dyDescent="0.2">
      <c r="A3410" s="4" t="s">
        <v>5761</v>
      </c>
      <c r="B3410" s="4" t="s">
        <v>5775</v>
      </c>
      <c r="C3410" s="4" t="s">
        <v>2096</v>
      </c>
      <c r="D3410" s="4" t="s">
        <v>4764</v>
      </c>
      <c r="E3410" s="4" t="s">
        <v>1804</v>
      </c>
      <c r="F3410" s="4" t="s">
        <v>5777</v>
      </c>
      <c r="G3410" s="4" t="s">
        <v>5764</v>
      </c>
      <c r="H3410" s="4" t="s">
        <v>2183</v>
      </c>
      <c r="I3410" s="4" t="s">
        <v>2100</v>
      </c>
      <c r="J3410" s="4" t="s">
        <v>2549</v>
      </c>
      <c r="K3410">
        <v>13</v>
      </c>
      <c r="L3410">
        <v>3.9</v>
      </c>
      <c r="M3410">
        <v>40</v>
      </c>
      <c r="N3410">
        <v>92</v>
      </c>
      <c r="O3410">
        <v>153.54330708661416</v>
      </c>
      <c r="P3410">
        <v>1.5748031496062993</v>
      </c>
      <c r="Q3410">
        <v>3.6220472440944884</v>
      </c>
      <c r="R3410">
        <v>891.53300000000002</v>
      </c>
      <c r="S3410">
        <v>1.4352E-2</v>
      </c>
      <c r="T3410" s="4" t="s">
        <v>5778</v>
      </c>
    </row>
    <row r="3411" spans="1:20" x14ac:dyDescent="0.2">
      <c r="A3411" s="4" t="s">
        <v>5761</v>
      </c>
      <c r="B3411" s="4" t="s">
        <v>5775</v>
      </c>
      <c r="C3411" s="4" t="s">
        <v>2096</v>
      </c>
      <c r="D3411" s="4" t="s">
        <v>4764</v>
      </c>
      <c r="E3411" s="4" t="s">
        <v>5780</v>
      </c>
      <c r="F3411" s="4" t="s">
        <v>5777</v>
      </c>
      <c r="G3411" s="4" t="s">
        <v>5764</v>
      </c>
      <c r="H3411" s="4" t="s">
        <v>2183</v>
      </c>
      <c r="I3411" s="4" t="s">
        <v>2100</v>
      </c>
      <c r="J3411" s="4" t="s">
        <v>2549</v>
      </c>
      <c r="K3411">
        <v>14</v>
      </c>
      <c r="L3411">
        <v>4.2</v>
      </c>
      <c r="M3411">
        <v>40</v>
      </c>
      <c r="N3411">
        <v>92</v>
      </c>
      <c r="O3411">
        <v>165.35433070866142</v>
      </c>
      <c r="P3411">
        <v>1.5748031496062993</v>
      </c>
      <c r="Q3411">
        <v>3.6220472440944884</v>
      </c>
      <c r="R3411">
        <v>891.53300000000002</v>
      </c>
      <c r="S3411">
        <v>1.5456000000000001E-2</v>
      </c>
      <c r="T3411" s="4" t="s">
        <v>5778</v>
      </c>
    </row>
    <row r="3412" spans="1:20" x14ac:dyDescent="0.2">
      <c r="A3412" s="4" t="s">
        <v>5761</v>
      </c>
      <c r="B3412" s="4" t="s">
        <v>5775</v>
      </c>
      <c r="C3412" s="4" t="s">
        <v>2096</v>
      </c>
      <c r="D3412" s="4" t="s">
        <v>4764</v>
      </c>
      <c r="E3412" s="4" t="s">
        <v>5781</v>
      </c>
      <c r="F3412" s="4" t="s">
        <v>5777</v>
      </c>
      <c r="G3412" s="4" t="s">
        <v>5764</v>
      </c>
      <c r="H3412" s="4" t="s">
        <v>2183</v>
      </c>
      <c r="I3412" s="4" t="s">
        <v>2100</v>
      </c>
      <c r="J3412" s="4" t="s">
        <v>2549</v>
      </c>
      <c r="K3412">
        <v>15</v>
      </c>
      <c r="L3412">
        <v>4.5</v>
      </c>
      <c r="M3412">
        <v>40</v>
      </c>
      <c r="N3412">
        <v>92</v>
      </c>
      <c r="O3412">
        <v>177.16535433070868</v>
      </c>
      <c r="P3412">
        <v>1.5748031496062993</v>
      </c>
      <c r="Q3412">
        <v>3.6220472440944884</v>
      </c>
      <c r="R3412">
        <v>891.53300000000002</v>
      </c>
      <c r="S3412">
        <v>1.6559999999999998E-2</v>
      </c>
      <c r="T3412" s="4" t="s">
        <v>5778</v>
      </c>
    </row>
    <row r="3413" spans="1:20" x14ac:dyDescent="0.2">
      <c r="A3413" s="4" t="s">
        <v>5761</v>
      </c>
      <c r="B3413" s="4" t="s">
        <v>5775</v>
      </c>
      <c r="C3413" s="4" t="s">
        <v>2096</v>
      </c>
      <c r="D3413" s="4" t="s">
        <v>4764</v>
      </c>
      <c r="E3413" s="4" t="s">
        <v>5782</v>
      </c>
      <c r="F3413" s="4" t="s">
        <v>5777</v>
      </c>
      <c r="G3413" s="4" t="s">
        <v>5764</v>
      </c>
      <c r="H3413" s="4" t="s">
        <v>2183</v>
      </c>
      <c r="I3413" s="4" t="s">
        <v>2100</v>
      </c>
      <c r="J3413" s="4" t="s">
        <v>2549</v>
      </c>
      <c r="K3413">
        <v>16</v>
      </c>
      <c r="L3413">
        <v>4.8</v>
      </c>
      <c r="M3413">
        <v>40</v>
      </c>
      <c r="N3413">
        <v>92</v>
      </c>
      <c r="O3413">
        <v>188.97637795275591</v>
      </c>
      <c r="P3413">
        <v>1.5748031496062993</v>
      </c>
      <c r="Q3413">
        <v>3.6220472440944884</v>
      </c>
      <c r="R3413">
        <v>891.53300000000002</v>
      </c>
      <c r="S3413">
        <v>1.7664000000000003E-2</v>
      </c>
      <c r="T3413" s="4" t="s">
        <v>5778</v>
      </c>
    </row>
    <row r="3414" spans="1:20" x14ac:dyDescent="0.2">
      <c r="A3414" s="4" t="s">
        <v>5761</v>
      </c>
      <c r="B3414" s="4" t="s">
        <v>5775</v>
      </c>
      <c r="C3414" s="4" t="s">
        <v>2096</v>
      </c>
      <c r="D3414" s="4" t="s">
        <v>4764</v>
      </c>
      <c r="E3414" s="4" t="s">
        <v>1806</v>
      </c>
      <c r="F3414" s="4" t="s">
        <v>5777</v>
      </c>
      <c r="G3414" s="4" t="s">
        <v>5764</v>
      </c>
      <c r="H3414" s="4" t="s">
        <v>2183</v>
      </c>
      <c r="I3414" s="4" t="s">
        <v>2100</v>
      </c>
      <c r="J3414" s="4" t="s">
        <v>2549</v>
      </c>
      <c r="K3414">
        <v>17</v>
      </c>
      <c r="L3414">
        <v>5.0999999999999996</v>
      </c>
      <c r="M3414">
        <v>40</v>
      </c>
      <c r="N3414">
        <v>92</v>
      </c>
      <c r="O3414">
        <v>200.78740157480314</v>
      </c>
      <c r="P3414">
        <v>1.5748031496062993</v>
      </c>
      <c r="Q3414">
        <v>3.6220472440944884</v>
      </c>
      <c r="R3414">
        <v>891.53300000000002</v>
      </c>
      <c r="S3414">
        <v>1.8767999999999996E-2</v>
      </c>
      <c r="T3414" s="4" t="s">
        <v>5778</v>
      </c>
    </row>
    <row r="3415" spans="1:20" x14ac:dyDescent="0.2">
      <c r="A3415" s="4" t="s">
        <v>5761</v>
      </c>
      <c r="B3415" s="4" t="s">
        <v>5775</v>
      </c>
      <c r="C3415" s="4" t="s">
        <v>2096</v>
      </c>
      <c r="D3415" s="4" t="s">
        <v>4764</v>
      </c>
      <c r="E3415" s="4" t="s">
        <v>5783</v>
      </c>
      <c r="F3415" s="4" t="s">
        <v>5777</v>
      </c>
      <c r="G3415" s="4" t="s">
        <v>5764</v>
      </c>
      <c r="H3415" s="4" t="s">
        <v>2183</v>
      </c>
      <c r="I3415" s="4" t="s">
        <v>2100</v>
      </c>
      <c r="J3415" s="4" t="s">
        <v>2549</v>
      </c>
      <c r="K3415">
        <v>18</v>
      </c>
      <c r="L3415">
        <v>5.4</v>
      </c>
      <c r="M3415">
        <v>40</v>
      </c>
      <c r="N3415">
        <v>92</v>
      </c>
      <c r="O3415">
        <v>212.59842519685043</v>
      </c>
      <c r="P3415">
        <v>1.5748031496062993</v>
      </c>
      <c r="Q3415">
        <v>3.6220472440944884</v>
      </c>
      <c r="R3415">
        <v>891.53300000000002</v>
      </c>
      <c r="S3415">
        <v>1.9872000000000001E-2</v>
      </c>
      <c r="T3415" s="4" t="s">
        <v>5778</v>
      </c>
    </row>
    <row r="3416" spans="1:20" x14ac:dyDescent="0.2">
      <c r="A3416" s="4" t="s">
        <v>5761</v>
      </c>
      <c r="B3416" s="4" t="s">
        <v>5775</v>
      </c>
      <c r="C3416" s="4" t="s">
        <v>2096</v>
      </c>
      <c r="D3416" s="4" t="s">
        <v>4764</v>
      </c>
      <c r="E3416" s="4" t="s">
        <v>5784</v>
      </c>
      <c r="F3416" s="4" t="s">
        <v>5777</v>
      </c>
      <c r="G3416" s="4" t="s">
        <v>5764</v>
      </c>
      <c r="H3416" s="4" t="s">
        <v>2183</v>
      </c>
      <c r="I3416" s="4" t="s">
        <v>2100</v>
      </c>
      <c r="J3416" s="4" t="s">
        <v>2549</v>
      </c>
      <c r="K3416">
        <v>19</v>
      </c>
      <c r="L3416">
        <v>5.7</v>
      </c>
      <c r="M3416">
        <v>40</v>
      </c>
      <c r="N3416">
        <v>92</v>
      </c>
      <c r="O3416">
        <v>224.40944881889766</v>
      </c>
      <c r="P3416">
        <v>1.5748031496062993</v>
      </c>
      <c r="Q3416">
        <v>3.6220472440944884</v>
      </c>
      <c r="R3416">
        <v>891.53300000000002</v>
      </c>
      <c r="S3416">
        <v>2.0975999999999998E-2</v>
      </c>
      <c r="T3416" s="4" t="s">
        <v>5778</v>
      </c>
    </row>
    <row r="3417" spans="1:20" x14ac:dyDescent="0.2">
      <c r="A3417" s="4" t="s">
        <v>5761</v>
      </c>
      <c r="B3417" s="4" t="s">
        <v>5775</v>
      </c>
      <c r="C3417" s="4" t="s">
        <v>2286</v>
      </c>
      <c r="D3417" s="4" t="s">
        <v>4764</v>
      </c>
      <c r="E3417" s="4" t="s">
        <v>5785</v>
      </c>
      <c r="F3417" s="4" t="s">
        <v>5777</v>
      </c>
      <c r="G3417" s="4" t="s">
        <v>5764</v>
      </c>
      <c r="H3417" s="4" t="s">
        <v>2183</v>
      </c>
      <c r="I3417" s="4" t="s">
        <v>2100</v>
      </c>
      <c r="J3417" s="4" t="s">
        <v>2549</v>
      </c>
      <c r="K3417">
        <v>4</v>
      </c>
      <c r="L3417">
        <v>1.2</v>
      </c>
      <c r="M3417">
        <v>40</v>
      </c>
      <c r="N3417">
        <v>92</v>
      </c>
      <c r="O3417">
        <v>47.244094488188978</v>
      </c>
      <c r="P3417">
        <v>1.5748031496062993</v>
      </c>
      <c r="Q3417">
        <v>3.6220472440944884</v>
      </c>
      <c r="R3417">
        <v>891.53300000000002</v>
      </c>
      <c r="S3417">
        <v>4.4160000000000007E-3</v>
      </c>
      <c r="T3417" s="4" t="s">
        <v>5786</v>
      </c>
    </row>
    <row r="3418" spans="1:20" x14ac:dyDescent="0.2">
      <c r="A3418" s="4" t="s">
        <v>5761</v>
      </c>
      <c r="B3418" s="4" t="s">
        <v>5775</v>
      </c>
      <c r="C3418" s="4" t="s">
        <v>2286</v>
      </c>
      <c r="D3418" s="4" t="s">
        <v>4764</v>
      </c>
      <c r="E3418" s="4" t="s">
        <v>1808</v>
      </c>
      <c r="F3418" s="4" t="s">
        <v>5777</v>
      </c>
      <c r="G3418" s="4" t="s">
        <v>5764</v>
      </c>
      <c r="H3418" s="4" t="s">
        <v>2183</v>
      </c>
      <c r="I3418" s="4" t="s">
        <v>2100</v>
      </c>
      <c r="J3418" s="4" t="s">
        <v>2549</v>
      </c>
      <c r="K3418">
        <v>5</v>
      </c>
      <c r="L3418">
        <v>1.5</v>
      </c>
      <c r="M3418">
        <v>40</v>
      </c>
      <c r="N3418">
        <v>92</v>
      </c>
      <c r="O3418">
        <v>59.055118110236222</v>
      </c>
      <c r="P3418">
        <v>1.5748031496062993</v>
      </c>
      <c r="Q3418">
        <v>3.6220472440944884</v>
      </c>
      <c r="R3418">
        <v>891.53300000000002</v>
      </c>
      <c r="S3418">
        <v>5.5199999999999997E-3</v>
      </c>
      <c r="T3418" s="4" t="s">
        <v>5786</v>
      </c>
    </row>
    <row r="3419" spans="1:20" x14ac:dyDescent="0.2">
      <c r="A3419" s="4" t="s">
        <v>5761</v>
      </c>
      <c r="B3419" s="4" t="s">
        <v>5775</v>
      </c>
      <c r="C3419" s="4" t="s">
        <v>2286</v>
      </c>
      <c r="D3419" s="4" t="s">
        <v>4764</v>
      </c>
      <c r="E3419" s="4" t="s">
        <v>1810</v>
      </c>
      <c r="F3419" s="4" t="s">
        <v>5777</v>
      </c>
      <c r="G3419" s="4" t="s">
        <v>5764</v>
      </c>
      <c r="H3419" s="4" t="s">
        <v>2183</v>
      </c>
      <c r="I3419" s="4" t="s">
        <v>2100</v>
      </c>
      <c r="J3419" s="4" t="s">
        <v>2549</v>
      </c>
      <c r="K3419">
        <v>6</v>
      </c>
      <c r="L3419">
        <v>1.8</v>
      </c>
      <c r="M3419">
        <v>40</v>
      </c>
      <c r="N3419">
        <v>92</v>
      </c>
      <c r="O3419">
        <v>70.866141732283467</v>
      </c>
      <c r="P3419">
        <v>1.5748031496062993</v>
      </c>
      <c r="Q3419">
        <v>3.6220472440944884</v>
      </c>
      <c r="R3419">
        <v>891.53300000000002</v>
      </c>
      <c r="S3419">
        <v>6.6239999999999997E-3</v>
      </c>
      <c r="T3419" s="4" t="s">
        <v>5786</v>
      </c>
    </row>
    <row r="3420" spans="1:20" x14ac:dyDescent="0.2">
      <c r="A3420" s="4" t="s">
        <v>5761</v>
      </c>
      <c r="B3420" s="4" t="s">
        <v>5775</v>
      </c>
      <c r="C3420" s="4" t="s">
        <v>2286</v>
      </c>
      <c r="D3420" s="4" t="s">
        <v>4764</v>
      </c>
      <c r="E3420" s="4" t="s">
        <v>1812</v>
      </c>
      <c r="F3420" s="4" t="s">
        <v>5777</v>
      </c>
      <c r="G3420" s="4" t="s">
        <v>5764</v>
      </c>
      <c r="H3420" s="4" t="s">
        <v>2183</v>
      </c>
      <c r="I3420" s="4" t="s">
        <v>2100</v>
      </c>
      <c r="J3420" s="4" t="s">
        <v>2549</v>
      </c>
      <c r="K3420">
        <v>7</v>
      </c>
      <c r="L3420">
        <v>2.1</v>
      </c>
      <c r="M3420">
        <v>40</v>
      </c>
      <c r="N3420">
        <v>92</v>
      </c>
      <c r="O3420">
        <v>82.677165354330711</v>
      </c>
      <c r="P3420">
        <v>1.5748031496062993</v>
      </c>
      <c r="Q3420">
        <v>3.6220472440944884</v>
      </c>
      <c r="R3420">
        <v>891.53300000000002</v>
      </c>
      <c r="S3420">
        <v>7.7280000000000005E-3</v>
      </c>
      <c r="T3420" s="4" t="s">
        <v>5786</v>
      </c>
    </row>
    <row r="3421" spans="1:20" x14ac:dyDescent="0.2">
      <c r="A3421" s="4" t="s">
        <v>5761</v>
      </c>
      <c r="B3421" s="4" t="s">
        <v>5775</v>
      </c>
      <c r="C3421" s="4" t="s">
        <v>2096</v>
      </c>
      <c r="D3421" s="4" t="s">
        <v>4764</v>
      </c>
      <c r="E3421" s="4" t="s">
        <v>5787</v>
      </c>
      <c r="F3421" s="4" t="s">
        <v>5777</v>
      </c>
      <c r="G3421" s="4" t="s">
        <v>5764</v>
      </c>
      <c r="H3421" s="4" t="s">
        <v>2183</v>
      </c>
      <c r="I3421" s="4" t="s">
        <v>2100</v>
      </c>
      <c r="J3421" s="4" t="s">
        <v>2549</v>
      </c>
      <c r="K3421">
        <v>8</v>
      </c>
      <c r="L3421">
        <v>2.4</v>
      </c>
      <c r="M3421">
        <v>40</v>
      </c>
      <c r="N3421">
        <v>92</v>
      </c>
      <c r="O3421">
        <v>94.488188976377955</v>
      </c>
      <c r="P3421">
        <v>1.5748031496062993</v>
      </c>
      <c r="Q3421">
        <v>3.6220472440944884</v>
      </c>
      <c r="R3421">
        <v>891.53300000000002</v>
      </c>
      <c r="S3421">
        <v>8.8320000000000013E-3</v>
      </c>
      <c r="T3421" s="4" t="s">
        <v>5778</v>
      </c>
    </row>
    <row r="3422" spans="1:20" x14ac:dyDescent="0.2">
      <c r="A3422" s="4" t="s">
        <v>5761</v>
      </c>
      <c r="B3422" s="4" t="s">
        <v>5775</v>
      </c>
      <c r="C3422" s="4" t="s">
        <v>2096</v>
      </c>
      <c r="D3422" s="4" t="s">
        <v>4764</v>
      </c>
      <c r="E3422" s="4" t="s">
        <v>5788</v>
      </c>
      <c r="F3422" s="4" t="s">
        <v>5777</v>
      </c>
      <c r="G3422" s="4" t="s">
        <v>5764</v>
      </c>
      <c r="H3422" s="4" t="s">
        <v>2183</v>
      </c>
      <c r="I3422" s="4" t="s">
        <v>2100</v>
      </c>
      <c r="J3422" s="4" t="s">
        <v>2549</v>
      </c>
      <c r="K3422">
        <v>9</v>
      </c>
      <c r="L3422">
        <v>2.7</v>
      </c>
      <c r="M3422">
        <v>40</v>
      </c>
      <c r="N3422">
        <v>92</v>
      </c>
      <c r="O3422">
        <v>106.29921259842521</v>
      </c>
      <c r="P3422">
        <v>1.5748031496062993</v>
      </c>
      <c r="Q3422">
        <v>3.6220472440944884</v>
      </c>
      <c r="R3422">
        <v>891.53300000000002</v>
      </c>
      <c r="S3422">
        <v>9.9360000000000004E-3</v>
      </c>
      <c r="T3422" s="4" t="s">
        <v>5778</v>
      </c>
    </row>
    <row r="3423" spans="1:20" x14ac:dyDescent="0.2">
      <c r="A3423" s="4" t="s">
        <v>5761</v>
      </c>
      <c r="B3423" s="4" t="s">
        <v>5789</v>
      </c>
      <c r="C3423" s="4" t="s">
        <v>2096</v>
      </c>
      <c r="D3423" s="4" t="s">
        <v>4764</v>
      </c>
      <c r="E3423" s="4" t="s">
        <v>5790</v>
      </c>
      <c r="F3423" s="4" t="s">
        <v>5791</v>
      </c>
      <c r="G3423" s="4" t="s">
        <v>5764</v>
      </c>
      <c r="H3423" s="4" t="s">
        <v>2183</v>
      </c>
      <c r="I3423" s="4" t="s">
        <v>2100</v>
      </c>
      <c r="J3423" s="4" t="s">
        <v>2111</v>
      </c>
      <c r="K3423">
        <v>10</v>
      </c>
      <c r="L3423">
        <v>3</v>
      </c>
      <c r="M3423">
        <v>26</v>
      </c>
      <c r="N3423">
        <v>138</v>
      </c>
      <c r="O3423">
        <v>118.11023622047244</v>
      </c>
      <c r="P3423">
        <v>1.0236220472440944</v>
      </c>
      <c r="Q3423">
        <v>5.4330708661417324</v>
      </c>
      <c r="R3423">
        <v>914.39200000000005</v>
      </c>
      <c r="S3423">
        <v>1.0763999999999999E-2</v>
      </c>
      <c r="T3423" s="4" t="s">
        <v>5792</v>
      </c>
    </row>
    <row r="3424" spans="1:20" x14ac:dyDescent="0.2">
      <c r="A3424" s="4" t="s">
        <v>5761</v>
      </c>
      <c r="B3424" s="4" t="s">
        <v>5789</v>
      </c>
      <c r="C3424" s="4" t="s">
        <v>2096</v>
      </c>
      <c r="D3424" s="4" t="s">
        <v>4764</v>
      </c>
      <c r="E3424" s="4" t="s">
        <v>5793</v>
      </c>
      <c r="F3424" s="4" t="s">
        <v>5791</v>
      </c>
      <c r="G3424" s="4" t="s">
        <v>5764</v>
      </c>
      <c r="H3424" s="4" t="s">
        <v>2183</v>
      </c>
      <c r="I3424" s="4" t="s">
        <v>2100</v>
      </c>
      <c r="J3424" s="4" t="s">
        <v>2111</v>
      </c>
      <c r="K3424">
        <v>11</v>
      </c>
      <c r="L3424">
        <v>3.3</v>
      </c>
      <c r="M3424">
        <v>26</v>
      </c>
      <c r="N3424">
        <v>138</v>
      </c>
      <c r="O3424">
        <v>129.92125984251967</v>
      </c>
      <c r="P3424">
        <v>1.0236220472440944</v>
      </c>
      <c r="Q3424">
        <v>5.4330708661417324</v>
      </c>
      <c r="R3424">
        <v>914.39200000000005</v>
      </c>
      <c r="S3424">
        <v>1.1840400000000001E-2</v>
      </c>
      <c r="T3424" s="4" t="s">
        <v>5792</v>
      </c>
    </row>
    <row r="3425" spans="1:20" x14ac:dyDescent="0.2">
      <c r="A3425" s="4" t="s">
        <v>5761</v>
      </c>
      <c r="B3425" s="4" t="s">
        <v>5789</v>
      </c>
      <c r="C3425" s="4" t="s">
        <v>2096</v>
      </c>
      <c r="D3425" s="4" t="s">
        <v>4764</v>
      </c>
      <c r="E3425" s="4" t="s">
        <v>5794</v>
      </c>
      <c r="F3425" s="4" t="s">
        <v>5791</v>
      </c>
      <c r="G3425" s="4" t="s">
        <v>5764</v>
      </c>
      <c r="H3425" s="4" t="s">
        <v>2183</v>
      </c>
      <c r="I3425" s="4" t="s">
        <v>2100</v>
      </c>
      <c r="J3425" s="4" t="s">
        <v>2111</v>
      </c>
      <c r="K3425">
        <v>12</v>
      </c>
      <c r="L3425">
        <v>3.6</v>
      </c>
      <c r="M3425">
        <v>26</v>
      </c>
      <c r="N3425">
        <v>138</v>
      </c>
      <c r="O3425">
        <v>141.73228346456693</v>
      </c>
      <c r="P3425">
        <v>1.0236220472440944</v>
      </c>
      <c r="Q3425">
        <v>5.4330708661417324</v>
      </c>
      <c r="R3425">
        <v>914.39200000000005</v>
      </c>
      <c r="S3425">
        <v>1.2916800000000001E-2</v>
      </c>
      <c r="T3425" s="4" t="s">
        <v>5792</v>
      </c>
    </row>
    <row r="3426" spans="1:20" x14ac:dyDescent="0.2">
      <c r="A3426" s="4" t="s">
        <v>5761</v>
      </c>
      <c r="B3426" s="4" t="s">
        <v>5789</v>
      </c>
      <c r="C3426" s="4" t="s">
        <v>2096</v>
      </c>
      <c r="D3426" s="4" t="s">
        <v>4764</v>
      </c>
      <c r="E3426" s="4" t="s">
        <v>5795</v>
      </c>
      <c r="F3426" s="4" t="s">
        <v>5791</v>
      </c>
      <c r="G3426" s="4" t="s">
        <v>5764</v>
      </c>
      <c r="H3426" s="4" t="s">
        <v>2183</v>
      </c>
      <c r="I3426" s="4" t="s">
        <v>2100</v>
      </c>
      <c r="J3426" s="4" t="s">
        <v>2111</v>
      </c>
      <c r="K3426">
        <v>13</v>
      </c>
      <c r="L3426">
        <v>3.9</v>
      </c>
      <c r="M3426">
        <v>26</v>
      </c>
      <c r="N3426">
        <v>138</v>
      </c>
      <c r="O3426">
        <v>153.54330708661416</v>
      </c>
      <c r="P3426">
        <v>1.0236220472440944</v>
      </c>
      <c r="Q3426">
        <v>5.4330708661417324</v>
      </c>
      <c r="R3426">
        <v>914.39200000000005</v>
      </c>
      <c r="S3426">
        <v>1.3993199999999997E-2</v>
      </c>
      <c r="T3426" s="4" t="s">
        <v>5792</v>
      </c>
    </row>
    <row r="3427" spans="1:20" x14ac:dyDescent="0.2">
      <c r="A3427" s="4" t="s">
        <v>5761</v>
      </c>
      <c r="B3427" s="4" t="s">
        <v>5789</v>
      </c>
      <c r="C3427" s="4" t="s">
        <v>2096</v>
      </c>
      <c r="D3427" s="4" t="s">
        <v>4764</v>
      </c>
      <c r="E3427" s="4" t="s">
        <v>5796</v>
      </c>
      <c r="F3427" s="4" t="s">
        <v>5791</v>
      </c>
      <c r="G3427" s="4" t="s">
        <v>5764</v>
      </c>
      <c r="H3427" s="4" t="s">
        <v>2183</v>
      </c>
      <c r="I3427" s="4" t="s">
        <v>2100</v>
      </c>
      <c r="J3427" s="4" t="s">
        <v>2111</v>
      </c>
      <c r="K3427">
        <v>14</v>
      </c>
      <c r="L3427">
        <v>4.2</v>
      </c>
      <c r="M3427">
        <v>26</v>
      </c>
      <c r="N3427">
        <v>138</v>
      </c>
      <c r="O3427">
        <v>165.35433070866142</v>
      </c>
      <c r="P3427">
        <v>1.0236220472440944</v>
      </c>
      <c r="Q3427">
        <v>5.4330708661417324</v>
      </c>
      <c r="R3427">
        <v>914.39200000000005</v>
      </c>
      <c r="S3427">
        <v>1.5069600000000001E-2</v>
      </c>
      <c r="T3427" s="4" t="s">
        <v>5792</v>
      </c>
    </row>
    <row r="3428" spans="1:20" x14ac:dyDescent="0.2">
      <c r="A3428" s="4" t="s">
        <v>5761</v>
      </c>
      <c r="B3428" s="4" t="s">
        <v>5789</v>
      </c>
      <c r="C3428" s="4" t="s">
        <v>2096</v>
      </c>
      <c r="D3428" s="4" t="s">
        <v>4764</v>
      </c>
      <c r="E3428" s="4" t="s">
        <v>5797</v>
      </c>
      <c r="F3428" s="4" t="s">
        <v>5791</v>
      </c>
      <c r="G3428" s="4" t="s">
        <v>5764</v>
      </c>
      <c r="H3428" s="4" t="s">
        <v>2183</v>
      </c>
      <c r="I3428" s="4" t="s">
        <v>2100</v>
      </c>
      <c r="J3428" s="4" t="s">
        <v>2111</v>
      </c>
      <c r="K3428">
        <v>15</v>
      </c>
      <c r="L3428">
        <v>4.5</v>
      </c>
      <c r="M3428">
        <v>26</v>
      </c>
      <c r="N3428">
        <v>138</v>
      </c>
      <c r="O3428">
        <v>177.16535433070868</v>
      </c>
      <c r="P3428">
        <v>1.0236220472440944</v>
      </c>
      <c r="Q3428">
        <v>5.4330708661417324</v>
      </c>
      <c r="R3428">
        <v>914.39200000000005</v>
      </c>
      <c r="S3428">
        <v>1.6146000000000001E-2</v>
      </c>
      <c r="T3428" s="4" t="s">
        <v>5792</v>
      </c>
    </row>
    <row r="3429" spans="1:20" x14ac:dyDescent="0.2">
      <c r="A3429" s="4" t="s">
        <v>5761</v>
      </c>
      <c r="B3429" s="4" t="s">
        <v>5789</v>
      </c>
      <c r="C3429" s="4" t="s">
        <v>2096</v>
      </c>
      <c r="D3429" s="4" t="s">
        <v>4764</v>
      </c>
      <c r="E3429" s="4" t="s">
        <v>5798</v>
      </c>
      <c r="F3429" s="4" t="s">
        <v>5791</v>
      </c>
      <c r="G3429" s="4" t="s">
        <v>5764</v>
      </c>
      <c r="H3429" s="4" t="s">
        <v>2183</v>
      </c>
      <c r="I3429" s="4" t="s">
        <v>2100</v>
      </c>
      <c r="J3429" s="4" t="s">
        <v>2111</v>
      </c>
      <c r="K3429">
        <v>16</v>
      </c>
      <c r="L3429">
        <v>4.8</v>
      </c>
      <c r="M3429">
        <v>26</v>
      </c>
      <c r="N3429">
        <v>138</v>
      </c>
      <c r="O3429">
        <v>188.97637795275591</v>
      </c>
      <c r="P3429">
        <v>1.0236220472440944</v>
      </c>
      <c r="Q3429">
        <v>5.4330708661417324</v>
      </c>
      <c r="R3429">
        <v>914.39200000000005</v>
      </c>
      <c r="S3429">
        <v>1.7222399999999999E-2</v>
      </c>
      <c r="T3429" s="4" t="s">
        <v>5792</v>
      </c>
    </row>
    <row r="3430" spans="1:20" x14ac:dyDescent="0.2">
      <c r="A3430" s="4" t="s">
        <v>5761</v>
      </c>
      <c r="B3430" s="4" t="s">
        <v>5789</v>
      </c>
      <c r="C3430" s="4" t="s">
        <v>2096</v>
      </c>
      <c r="D3430" s="4" t="s">
        <v>4764</v>
      </c>
      <c r="E3430" s="4" t="s">
        <v>5799</v>
      </c>
      <c r="F3430" s="4" t="s">
        <v>5791</v>
      </c>
      <c r="G3430" s="4" t="s">
        <v>5764</v>
      </c>
      <c r="H3430" s="4" t="s">
        <v>2183</v>
      </c>
      <c r="I3430" s="4" t="s">
        <v>2100</v>
      </c>
      <c r="J3430" s="4" t="s">
        <v>2111</v>
      </c>
      <c r="K3430">
        <v>17</v>
      </c>
      <c r="L3430">
        <v>5.0999999999999996</v>
      </c>
      <c r="M3430">
        <v>26</v>
      </c>
      <c r="N3430">
        <v>138</v>
      </c>
      <c r="O3430">
        <v>200.78740157480314</v>
      </c>
      <c r="P3430">
        <v>1.0236220472440944</v>
      </c>
      <c r="Q3430">
        <v>5.4330708661417324</v>
      </c>
      <c r="R3430">
        <v>914.39200000000005</v>
      </c>
      <c r="S3430">
        <v>1.82988E-2</v>
      </c>
      <c r="T3430" s="4" t="s">
        <v>5792</v>
      </c>
    </row>
    <row r="3431" spans="1:20" x14ac:dyDescent="0.2">
      <c r="A3431" s="4" t="s">
        <v>5761</v>
      </c>
      <c r="B3431" s="4" t="s">
        <v>5789</v>
      </c>
      <c r="C3431" s="4" t="s">
        <v>2096</v>
      </c>
      <c r="D3431" s="4" t="s">
        <v>4764</v>
      </c>
      <c r="E3431" s="4" t="s">
        <v>5800</v>
      </c>
      <c r="F3431" s="4" t="s">
        <v>5791</v>
      </c>
      <c r="G3431" s="4" t="s">
        <v>5764</v>
      </c>
      <c r="H3431" s="4" t="s">
        <v>2183</v>
      </c>
      <c r="I3431" s="4" t="s">
        <v>2100</v>
      </c>
      <c r="J3431" s="4" t="s">
        <v>2111</v>
      </c>
      <c r="K3431">
        <v>18</v>
      </c>
      <c r="L3431">
        <v>5.4</v>
      </c>
      <c r="M3431">
        <v>26</v>
      </c>
      <c r="N3431">
        <v>138</v>
      </c>
      <c r="O3431">
        <v>212.59842519685043</v>
      </c>
      <c r="P3431">
        <v>1.0236220472440944</v>
      </c>
      <c r="Q3431">
        <v>5.4330708661417324</v>
      </c>
      <c r="R3431">
        <v>914.39200000000005</v>
      </c>
      <c r="S3431">
        <v>1.9375199999999999E-2</v>
      </c>
      <c r="T3431" s="4" t="s">
        <v>5792</v>
      </c>
    </row>
    <row r="3432" spans="1:20" x14ac:dyDescent="0.2">
      <c r="A3432" s="4" t="s">
        <v>5761</v>
      </c>
      <c r="B3432" s="4" t="s">
        <v>5789</v>
      </c>
      <c r="C3432" s="4" t="s">
        <v>2286</v>
      </c>
      <c r="D3432" s="4" t="s">
        <v>4764</v>
      </c>
      <c r="E3432" s="4" t="s">
        <v>5801</v>
      </c>
      <c r="F3432" s="4" t="s">
        <v>5791</v>
      </c>
      <c r="G3432" s="4" t="s">
        <v>5764</v>
      </c>
      <c r="H3432" s="4" t="s">
        <v>2183</v>
      </c>
      <c r="I3432" s="4" t="s">
        <v>2100</v>
      </c>
      <c r="J3432" s="4" t="s">
        <v>2111</v>
      </c>
      <c r="K3432">
        <v>4</v>
      </c>
      <c r="L3432">
        <v>1.2</v>
      </c>
      <c r="M3432">
        <v>26</v>
      </c>
      <c r="N3432">
        <v>138</v>
      </c>
      <c r="O3432">
        <v>47.244094488188978</v>
      </c>
      <c r="P3432">
        <v>1.0236220472440944</v>
      </c>
      <c r="Q3432">
        <v>5.4330708661417324</v>
      </c>
      <c r="R3432">
        <v>914.39200000000005</v>
      </c>
      <c r="S3432">
        <v>4.3055999999999997E-3</v>
      </c>
      <c r="T3432" s="4" t="s">
        <v>5802</v>
      </c>
    </row>
    <row r="3433" spans="1:20" x14ac:dyDescent="0.2">
      <c r="A3433" s="4" t="s">
        <v>5761</v>
      </c>
      <c r="B3433" s="4" t="s">
        <v>5789</v>
      </c>
      <c r="C3433" s="4" t="s">
        <v>2286</v>
      </c>
      <c r="D3433" s="4" t="s">
        <v>4764</v>
      </c>
      <c r="E3433" s="4" t="s">
        <v>5803</v>
      </c>
      <c r="F3433" s="4" t="s">
        <v>5791</v>
      </c>
      <c r="G3433" s="4" t="s">
        <v>5764</v>
      </c>
      <c r="H3433" s="4" t="s">
        <v>2183</v>
      </c>
      <c r="I3433" s="4" t="s">
        <v>2100</v>
      </c>
      <c r="J3433" s="4" t="s">
        <v>2111</v>
      </c>
      <c r="K3433">
        <v>5</v>
      </c>
      <c r="L3433">
        <v>1.5</v>
      </c>
      <c r="M3433">
        <v>26</v>
      </c>
      <c r="N3433">
        <v>138</v>
      </c>
      <c r="O3433">
        <v>59.055118110236222</v>
      </c>
      <c r="P3433">
        <v>1.0236220472440944</v>
      </c>
      <c r="Q3433">
        <v>5.4330708661417324</v>
      </c>
      <c r="R3433">
        <v>914.39200000000005</v>
      </c>
      <c r="S3433">
        <v>5.3819999999999996E-3</v>
      </c>
      <c r="T3433" s="4" t="s">
        <v>5802</v>
      </c>
    </row>
    <row r="3434" spans="1:20" x14ac:dyDescent="0.2">
      <c r="A3434" s="4" t="s">
        <v>5761</v>
      </c>
      <c r="B3434" s="4" t="s">
        <v>5789</v>
      </c>
      <c r="C3434" s="4" t="s">
        <v>2286</v>
      </c>
      <c r="D3434" s="4" t="s">
        <v>4764</v>
      </c>
      <c r="E3434" s="4" t="s">
        <v>5804</v>
      </c>
      <c r="F3434" s="4" t="s">
        <v>5791</v>
      </c>
      <c r="G3434" s="4" t="s">
        <v>5764</v>
      </c>
      <c r="H3434" s="4" t="s">
        <v>2183</v>
      </c>
      <c r="I3434" s="4" t="s">
        <v>2100</v>
      </c>
      <c r="J3434" s="4" t="s">
        <v>2111</v>
      </c>
      <c r="K3434">
        <v>6</v>
      </c>
      <c r="L3434">
        <v>1.8</v>
      </c>
      <c r="M3434">
        <v>26</v>
      </c>
      <c r="N3434">
        <v>138</v>
      </c>
      <c r="O3434">
        <v>70.866141732283467</v>
      </c>
      <c r="P3434">
        <v>1.0236220472440944</v>
      </c>
      <c r="Q3434">
        <v>5.4330708661417324</v>
      </c>
      <c r="R3434">
        <v>914.39200000000005</v>
      </c>
      <c r="S3434">
        <v>6.4584000000000004E-3</v>
      </c>
      <c r="T3434" s="4" t="s">
        <v>5802</v>
      </c>
    </row>
    <row r="3435" spans="1:20" x14ac:dyDescent="0.2">
      <c r="A3435" s="4" t="s">
        <v>5761</v>
      </c>
      <c r="B3435" s="4" t="s">
        <v>5789</v>
      </c>
      <c r="C3435" s="4" t="s">
        <v>2286</v>
      </c>
      <c r="D3435" s="4" t="s">
        <v>4764</v>
      </c>
      <c r="E3435" s="4" t="s">
        <v>5805</v>
      </c>
      <c r="F3435" s="4" t="s">
        <v>5791</v>
      </c>
      <c r="G3435" s="4" t="s">
        <v>5764</v>
      </c>
      <c r="H3435" s="4" t="s">
        <v>2183</v>
      </c>
      <c r="I3435" s="4" t="s">
        <v>2100</v>
      </c>
      <c r="J3435" s="4" t="s">
        <v>2111</v>
      </c>
      <c r="K3435">
        <v>7</v>
      </c>
      <c r="L3435">
        <v>2.1</v>
      </c>
      <c r="M3435">
        <v>26</v>
      </c>
      <c r="N3435">
        <v>138</v>
      </c>
      <c r="O3435">
        <v>82.677165354330711</v>
      </c>
      <c r="P3435">
        <v>1.0236220472440944</v>
      </c>
      <c r="Q3435">
        <v>5.4330708661417324</v>
      </c>
      <c r="R3435">
        <v>914.39200000000005</v>
      </c>
      <c r="S3435">
        <v>7.5348000000000004E-3</v>
      </c>
      <c r="T3435" s="4" t="s">
        <v>5802</v>
      </c>
    </row>
    <row r="3436" spans="1:20" x14ac:dyDescent="0.2">
      <c r="A3436" s="4" t="s">
        <v>5761</v>
      </c>
      <c r="B3436" s="4" t="s">
        <v>5789</v>
      </c>
      <c r="C3436" s="4" t="s">
        <v>2096</v>
      </c>
      <c r="D3436" s="4" t="s">
        <v>4764</v>
      </c>
      <c r="E3436" s="4" t="s">
        <v>5806</v>
      </c>
      <c r="F3436" s="4" t="s">
        <v>5791</v>
      </c>
      <c r="G3436" s="4" t="s">
        <v>5764</v>
      </c>
      <c r="H3436" s="4" t="s">
        <v>2183</v>
      </c>
      <c r="I3436" s="4" t="s">
        <v>2100</v>
      </c>
      <c r="J3436" s="4" t="s">
        <v>2111</v>
      </c>
      <c r="K3436">
        <v>8</v>
      </c>
      <c r="L3436">
        <v>2.4</v>
      </c>
      <c r="M3436">
        <v>26</v>
      </c>
      <c r="N3436">
        <v>138</v>
      </c>
      <c r="O3436">
        <v>94.488188976377955</v>
      </c>
      <c r="P3436">
        <v>1.0236220472440944</v>
      </c>
      <c r="Q3436">
        <v>5.4330708661417324</v>
      </c>
      <c r="R3436">
        <v>914.39200000000005</v>
      </c>
      <c r="S3436">
        <v>8.6111999999999994E-3</v>
      </c>
      <c r="T3436" s="4" t="s">
        <v>5792</v>
      </c>
    </row>
    <row r="3437" spans="1:20" x14ac:dyDescent="0.2">
      <c r="A3437" s="4" t="s">
        <v>5761</v>
      </c>
      <c r="B3437" s="4" t="s">
        <v>5789</v>
      </c>
      <c r="C3437" s="4" t="s">
        <v>2096</v>
      </c>
      <c r="D3437" s="4" t="s">
        <v>4764</v>
      </c>
      <c r="E3437" s="4" t="s">
        <v>5807</v>
      </c>
      <c r="F3437" s="4" t="s">
        <v>5791</v>
      </c>
      <c r="G3437" s="4" t="s">
        <v>5764</v>
      </c>
      <c r="H3437" s="4" t="s">
        <v>2183</v>
      </c>
      <c r="I3437" s="4" t="s">
        <v>2100</v>
      </c>
      <c r="J3437" s="4" t="s">
        <v>2111</v>
      </c>
      <c r="K3437">
        <v>9</v>
      </c>
      <c r="L3437">
        <v>2.7</v>
      </c>
      <c r="M3437">
        <v>26</v>
      </c>
      <c r="N3437">
        <v>138</v>
      </c>
      <c r="O3437">
        <v>106.29921259842521</v>
      </c>
      <c r="P3437">
        <v>1.0236220472440944</v>
      </c>
      <c r="Q3437">
        <v>5.4330708661417324</v>
      </c>
      <c r="R3437">
        <v>914.39200000000005</v>
      </c>
      <c r="S3437">
        <v>9.6875999999999993E-3</v>
      </c>
      <c r="T3437" s="4" t="s">
        <v>5792</v>
      </c>
    </row>
    <row r="3438" spans="1:20" x14ac:dyDescent="0.2">
      <c r="A3438" s="4" t="s">
        <v>5761</v>
      </c>
      <c r="B3438" s="4" t="s">
        <v>5762</v>
      </c>
      <c r="C3438" s="4" t="s">
        <v>2096</v>
      </c>
      <c r="D3438" s="4" t="s">
        <v>4764</v>
      </c>
      <c r="E3438" s="4" t="s">
        <v>1814</v>
      </c>
      <c r="F3438" s="4" t="s">
        <v>5808</v>
      </c>
      <c r="G3438" s="4" t="s">
        <v>5764</v>
      </c>
      <c r="H3438" s="4" t="s">
        <v>5314</v>
      </c>
      <c r="I3438" s="4" t="s">
        <v>2100</v>
      </c>
      <c r="J3438" s="4" t="s">
        <v>2153</v>
      </c>
      <c r="K3438">
        <v>10</v>
      </c>
      <c r="L3438">
        <v>3</v>
      </c>
      <c r="M3438">
        <v>19</v>
      </c>
      <c r="N3438">
        <v>140</v>
      </c>
      <c r="O3438">
        <v>118.11023622047244</v>
      </c>
      <c r="P3438">
        <v>0.74803149606299213</v>
      </c>
      <c r="Q3438">
        <v>5.5118110236220472</v>
      </c>
      <c r="R3438">
        <v>1233.3979999999999</v>
      </c>
      <c r="S3438">
        <v>7.980000000000001E-3</v>
      </c>
      <c r="T3438" s="4" t="s">
        <v>5809</v>
      </c>
    </row>
    <row r="3439" spans="1:20" x14ac:dyDescent="0.2">
      <c r="A3439" s="4" t="s">
        <v>5761</v>
      </c>
      <c r="B3439" s="4" t="s">
        <v>5762</v>
      </c>
      <c r="C3439" s="4" t="s">
        <v>2096</v>
      </c>
      <c r="D3439" s="4" t="s">
        <v>4764</v>
      </c>
      <c r="E3439" s="4" t="s">
        <v>1816</v>
      </c>
      <c r="F3439" s="4" t="s">
        <v>5808</v>
      </c>
      <c r="G3439" s="4" t="s">
        <v>5764</v>
      </c>
      <c r="H3439" s="4" t="s">
        <v>5314</v>
      </c>
      <c r="I3439" s="4" t="s">
        <v>2100</v>
      </c>
      <c r="J3439" s="4" t="s">
        <v>2153</v>
      </c>
      <c r="K3439">
        <v>11</v>
      </c>
      <c r="L3439">
        <v>3.3</v>
      </c>
      <c r="M3439">
        <v>19</v>
      </c>
      <c r="N3439">
        <v>140</v>
      </c>
      <c r="O3439">
        <v>129.92125984251967</v>
      </c>
      <c r="P3439">
        <v>0.74803149606299213</v>
      </c>
      <c r="Q3439">
        <v>5.5118110236220472</v>
      </c>
      <c r="R3439">
        <v>1233.3979999999999</v>
      </c>
      <c r="S3439">
        <v>8.7779999999999993E-3</v>
      </c>
      <c r="T3439" s="4" t="s">
        <v>5809</v>
      </c>
    </row>
    <row r="3440" spans="1:20" x14ac:dyDescent="0.2">
      <c r="A3440" s="4" t="s">
        <v>5761</v>
      </c>
      <c r="B3440" s="4" t="s">
        <v>5762</v>
      </c>
      <c r="C3440" s="4" t="s">
        <v>2096</v>
      </c>
      <c r="D3440" s="4" t="s">
        <v>4764</v>
      </c>
      <c r="E3440" s="4" t="s">
        <v>1818</v>
      </c>
      <c r="F3440" s="4" t="s">
        <v>5808</v>
      </c>
      <c r="G3440" s="4" t="s">
        <v>5764</v>
      </c>
      <c r="H3440" s="4" t="s">
        <v>5314</v>
      </c>
      <c r="I3440" s="4" t="s">
        <v>2100</v>
      </c>
      <c r="J3440" s="4" t="s">
        <v>2153</v>
      </c>
      <c r="K3440">
        <v>12</v>
      </c>
      <c r="L3440">
        <v>3.6</v>
      </c>
      <c r="M3440">
        <v>19</v>
      </c>
      <c r="N3440">
        <v>140</v>
      </c>
      <c r="O3440">
        <v>141.73228346456693</v>
      </c>
      <c r="P3440">
        <v>0.74803149606299213</v>
      </c>
      <c r="Q3440">
        <v>5.5118110236220472</v>
      </c>
      <c r="R3440">
        <v>1233.3979999999999</v>
      </c>
      <c r="S3440">
        <v>9.5760000000000012E-3</v>
      </c>
      <c r="T3440" s="4" t="s">
        <v>5809</v>
      </c>
    </row>
    <row r="3441" spans="1:20" x14ac:dyDescent="0.2">
      <c r="A3441" s="4" t="s">
        <v>5761</v>
      </c>
      <c r="B3441" s="4" t="s">
        <v>5762</v>
      </c>
      <c r="C3441" s="4" t="s">
        <v>2096</v>
      </c>
      <c r="D3441" s="4" t="s">
        <v>4764</v>
      </c>
      <c r="E3441" s="4" t="s">
        <v>1820</v>
      </c>
      <c r="F3441" s="4" t="s">
        <v>5808</v>
      </c>
      <c r="G3441" s="4" t="s">
        <v>5764</v>
      </c>
      <c r="H3441" s="4" t="s">
        <v>5314</v>
      </c>
      <c r="I3441" s="4" t="s">
        <v>2100</v>
      </c>
      <c r="J3441" s="4" t="s">
        <v>2153</v>
      </c>
      <c r="K3441">
        <v>13</v>
      </c>
      <c r="L3441">
        <v>3.9</v>
      </c>
      <c r="M3441">
        <v>19</v>
      </c>
      <c r="N3441">
        <v>140</v>
      </c>
      <c r="O3441">
        <v>153.54330708661416</v>
      </c>
      <c r="P3441">
        <v>0.74803149606299213</v>
      </c>
      <c r="Q3441">
        <v>5.5118110236220472</v>
      </c>
      <c r="R3441">
        <v>1233.3979999999999</v>
      </c>
      <c r="S3441">
        <v>1.0374000000000001E-2</v>
      </c>
      <c r="T3441" s="4" t="s">
        <v>5809</v>
      </c>
    </row>
    <row r="3442" spans="1:20" x14ac:dyDescent="0.2">
      <c r="A3442" s="4" t="s">
        <v>5761</v>
      </c>
      <c r="B3442" s="4" t="s">
        <v>5762</v>
      </c>
      <c r="C3442" s="4" t="s">
        <v>2096</v>
      </c>
      <c r="D3442" s="4" t="s">
        <v>4764</v>
      </c>
      <c r="E3442" s="4" t="s">
        <v>1822</v>
      </c>
      <c r="F3442" s="4" t="s">
        <v>5808</v>
      </c>
      <c r="G3442" s="4" t="s">
        <v>5764</v>
      </c>
      <c r="H3442" s="4" t="s">
        <v>5314</v>
      </c>
      <c r="I3442" s="4" t="s">
        <v>2100</v>
      </c>
      <c r="J3442" s="4" t="s">
        <v>2153</v>
      </c>
      <c r="K3442">
        <v>14</v>
      </c>
      <c r="L3442">
        <v>4.2</v>
      </c>
      <c r="M3442">
        <v>19</v>
      </c>
      <c r="N3442">
        <v>140</v>
      </c>
      <c r="O3442">
        <v>165.35433070866142</v>
      </c>
      <c r="P3442">
        <v>0.74803149606299213</v>
      </c>
      <c r="Q3442">
        <v>5.5118110236220472</v>
      </c>
      <c r="R3442">
        <v>1233.3979999999999</v>
      </c>
      <c r="S3442">
        <v>1.1172E-2</v>
      </c>
      <c r="T3442" s="4" t="s">
        <v>5809</v>
      </c>
    </row>
    <row r="3443" spans="1:20" x14ac:dyDescent="0.2">
      <c r="A3443" s="4" t="s">
        <v>5761</v>
      </c>
      <c r="B3443" s="4" t="s">
        <v>5762</v>
      </c>
      <c r="C3443" s="4" t="s">
        <v>2096</v>
      </c>
      <c r="D3443" s="4" t="s">
        <v>4764</v>
      </c>
      <c r="E3443" s="4" t="s">
        <v>1824</v>
      </c>
      <c r="F3443" s="4" t="s">
        <v>5808</v>
      </c>
      <c r="G3443" s="4" t="s">
        <v>5764</v>
      </c>
      <c r="H3443" s="4" t="s">
        <v>5314</v>
      </c>
      <c r="I3443" s="4" t="s">
        <v>2100</v>
      </c>
      <c r="J3443" s="4" t="s">
        <v>2153</v>
      </c>
      <c r="K3443">
        <v>15</v>
      </c>
      <c r="L3443">
        <v>4.5</v>
      </c>
      <c r="M3443">
        <v>19</v>
      </c>
      <c r="N3443">
        <v>140</v>
      </c>
      <c r="O3443">
        <v>177.16535433070868</v>
      </c>
      <c r="P3443">
        <v>0.74803149606299213</v>
      </c>
      <c r="Q3443">
        <v>5.5118110236220472</v>
      </c>
      <c r="R3443">
        <v>1233.3979999999999</v>
      </c>
      <c r="S3443">
        <v>1.1970000000000001E-2</v>
      </c>
      <c r="T3443" s="4" t="s">
        <v>5809</v>
      </c>
    </row>
    <row r="3444" spans="1:20" x14ac:dyDescent="0.2">
      <c r="A3444" s="4" t="s">
        <v>5761</v>
      </c>
      <c r="B3444" s="4" t="s">
        <v>5762</v>
      </c>
      <c r="C3444" s="4" t="s">
        <v>2096</v>
      </c>
      <c r="D3444" s="4" t="s">
        <v>4764</v>
      </c>
      <c r="E3444" s="4" t="s">
        <v>1826</v>
      </c>
      <c r="F3444" s="4" t="s">
        <v>5808</v>
      </c>
      <c r="G3444" s="4" t="s">
        <v>5764</v>
      </c>
      <c r="H3444" s="4" t="s">
        <v>5314</v>
      </c>
      <c r="I3444" s="4" t="s">
        <v>2100</v>
      </c>
      <c r="J3444" s="4" t="s">
        <v>2153</v>
      </c>
      <c r="K3444">
        <v>16</v>
      </c>
      <c r="L3444">
        <v>4.8</v>
      </c>
      <c r="M3444">
        <v>19</v>
      </c>
      <c r="N3444">
        <v>140</v>
      </c>
      <c r="O3444">
        <v>188.97637795275591</v>
      </c>
      <c r="P3444">
        <v>0.74803149606299213</v>
      </c>
      <c r="Q3444">
        <v>5.5118110236220472</v>
      </c>
      <c r="R3444">
        <v>1233.3979999999999</v>
      </c>
      <c r="S3444">
        <v>1.2768E-2</v>
      </c>
      <c r="T3444" s="4" t="s">
        <v>5809</v>
      </c>
    </row>
    <row r="3445" spans="1:20" x14ac:dyDescent="0.2">
      <c r="A3445" s="4" t="s">
        <v>5761</v>
      </c>
      <c r="B3445" s="4" t="s">
        <v>5762</v>
      </c>
      <c r="C3445" s="4" t="s">
        <v>2096</v>
      </c>
      <c r="D3445" s="4" t="s">
        <v>4764</v>
      </c>
      <c r="E3445" s="4" t="s">
        <v>1828</v>
      </c>
      <c r="F3445" s="4" t="s">
        <v>5808</v>
      </c>
      <c r="G3445" s="4" t="s">
        <v>5764</v>
      </c>
      <c r="H3445" s="4" t="s">
        <v>5314</v>
      </c>
      <c r="I3445" s="4" t="s">
        <v>2100</v>
      </c>
      <c r="J3445" s="4" t="s">
        <v>2153</v>
      </c>
      <c r="K3445">
        <v>17</v>
      </c>
      <c r="L3445">
        <v>5.0999999999999996</v>
      </c>
      <c r="M3445">
        <v>19</v>
      </c>
      <c r="N3445">
        <v>140</v>
      </c>
      <c r="O3445">
        <v>200.78740157480314</v>
      </c>
      <c r="P3445">
        <v>0.74803149606299213</v>
      </c>
      <c r="Q3445">
        <v>5.5118110236220472</v>
      </c>
      <c r="R3445">
        <v>1233.3979999999999</v>
      </c>
      <c r="S3445">
        <v>1.3565999999999998E-2</v>
      </c>
      <c r="T3445" s="4" t="s">
        <v>5809</v>
      </c>
    </row>
    <row r="3446" spans="1:20" x14ac:dyDescent="0.2">
      <c r="A3446" s="4" t="s">
        <v>5761</v>
      </c>
      <c r="B3446" s="4" t="s">
        <v>5762</v>
      </c>
      <c r="C3446" s="4" t="s">
        <v>2096</v>
      </c>
      <c r="D3446" s="4" t="s">
        <v>4764</v>
      </c>
      <c r="E3446" s="4" t="s">
        <v>1829</v>
      </c>
      <c r="F3446" s="4" t="s">
        <v>5808</v>
      </c>
      <c r="G3446" s="4" t="s">
        <v>5764</v>
      </c>
      <c r="H3446" s="4" t="s">
        <v>5314</v>
      </c>
      <c r="I3446" s="4" t="s">
        <v>2100</v>
      </c>
      <c r="J3446" s="4" t="s">
        <v>2153</v>
      </c>
      <c r="K3446">
        <v>18</v>
      </c>
      <c r="L3446">
        <v>5.4</v>
      </c>
      <c r="M3446">
        <v>19</v>
      </c>
      <c r="N3446">
        <v>140</v>
      </c>
      <c r="O3446">
        <v>212.59842519685043</v>
      </c>
      <c r="P3446">
        <v>0.74803149606299213</v>
      </c>
      <c r="Q3446">
        <v>5.5118110236220472</v>
      </c>
      <c r="R3446">
        <v>1233.3979999999999</v>
      </c>
      <c r="S3446">
        <v>1.4364E-2</v>
      </c>
      <c r="T3446" s="4" t="s">
        <v>5809</v>
      </c>
    </row>
    <row r="3447" spans="1:20" x14ac:dyDescent="0.2">
      <c r="A3447" s="4" t="s">
        <v>5761</v>
      </c>
      <c r="B3447" s="4" t="s">
        <v>5762</v>
      </c>
      <c r="C3447" s="4" t="s">
        <v>2286</v>
      </c>
      <c r="D3447" s="4" t="s">
        <v>4764</v>
      </c>
      <c r="E3447" s="4" t="s">
        <v>5810</v>
      </c>
      <c r="F3447" s="4" t="s">
        <v>5808</v>
      </c>
      <c r="G3447" s="4" t="s">
        <v>5764</v>
      </c>
      <c r="H3447" s="4" t="s">
        <v>5314</v>
      </c>
      <c r="I3447" s="4" t="s">
        <v>2100</v>
      </c>
      <c r="J3447" s="4" t="s">
        <v>2153</v>
      </c>
      <c r="K3447">
        <v>4</v>
      </c>
      <c r="L3447">
        <v>1.2</v>
      </c>
      <c r="M3447">
        <v>19</v>
      </c>
      <c r="N3447">
        <v>140</v>
      </c>
      <c r="O3447">
        <v>47.244094488188978</v>
      </c>
      <c r="P3447">
        <v>0.74803149606299213</v>
      </c>
      <c r="Q3447">
        <v>5.5118110236220472</v>
      </c>
      <c r="R3447">
        <v>1233.3979999999999</v>
      </c>
      <c r="S3447">
        <v>3.192E-3</v>
      </c>
      <c r="T3447" s="4" t="s">
        <v>5811</v>
      </c>
    </row>
    <row r="3448" spans="1:20" x14ac:dyDescent="0.2">
      <c r="A3448" s="4" t="s">
        <v>5761</v>
      </c>
      <c r="B3448" s="4" t="s">
        <v>5762</v>
      </c>
      <c r="C3448" s="4" t="s">
        <v>2286</v>
      </c>
      <c r="D3448" s="4" t="s">
        <v>4764</v>
      </c>
      <c r="E3448" s="4" t="s">
        <v>1831</v>
      </c>
      <c r="F3448" s="4" t="s">
        <v>5808</v>
      </c>
      <c r="G3448" s="4" t="s">
        <v>5764</v>
      </c>
      <c r="H3448" s="4" t="s">
        <v>5314</v>
      </c>
      <c r="I3448" s="4" t="s">
        <v>2100</v>
      </c>
      <c r="J3448" s="4" t="s">
        <v>2153</v>
      </c>
      <c r="K3448">
        <v>5</v>
      </c>
      <c r="L3448">
        <v>1.5</v>
      </c>
      <c r="M3448">
        <v>19</v>
      </c>
      <c r="N3448">
        <v>140</v>
      </c>
      <c r="O3448">
        <v>59.055118110236222</v>
      </c>
      <c r="P3448">
        <v>0.74803149606299213</v>
      </c>
      <c r="Q3448">
        <v>5.5118110236220472</v>
      </c>
      <c r="R3448">
        <v>1233.3979999999999</v>
      </c>
      <c r="S3448">
        <v>3.9900000000000005E-3</v>
      </c>
      <c r="T3448" s="4" t="s">
        <v>5811</v>
      </c>
    </row>
    <row r="3449" spans="1:20" x14ac:dyDescent="0.2">
      <c r="A3449" s="4" t="s">
        <v>5761</v>
      </c>
      <c r="B3449" s="4" t="s">
        <v>5762</v>
      </c>
      <c r="C3449" s="4" t="s">
        <v>2286</v>
      </c>
      <c r="D3449" s="4" t="s">
        <v>4764</v>
      </c>
      <c r="E3449" s="4" t="s">
        <v>5812</v>
      </c>
      <c r="F3449" s="4" t="s">
        <v>5808</v>
      </c>
      <c r="G3449" s="4" t="s">
        <v>5764</v>
      </c>
      <c r="H3449" s="4" t="s">
        <v>5314</v>
      </c>
      <c r="I3449" s="4" t="s">
        <v>2100</v>
      </c>
      <c r="J3449" s="4" t="s">
        <v>2153</v>
      </c>
      <c r="K3449">
        <v>6</v>
      </c>
      <c r="L3449">
        <v>1.8</v>
      </c>
      <c r="M3449">
        <v>19</v>
      </c>
      <c r="N3449">
        <v>140</v>
      </c>
      <c r="O3449">
        <v>70.866141732283467</v>
      </c>
      <c r="P3449">
        <v>0.74803149606299213</v>
      </c>
      <c r="Q3449">
        <v>5.5118110236220472</v>
      </c>
      <c r="R3449">
        <v>1233.3979999999999</v>
      </c>
      <c r="S3449">
        <v>4.7880000000000006E-3</v>
      </c>
      <c r="T3449" s="4" t="s">
        <v>5811</v>
      </c>
    </row>
    <row r="3450" spans="1:20" x14ac:dyDescent="0.2">
      <c r="A3450" s="4" t="s">
        <v>5761</v>
      </c>
      <c r="B3450" s="4" t="s">
        <v>5762</v>
      </c>
      <c r="C3450" s="4" t="s">
        <v>2286</v>
      </c>
      <c r="D3450" s="4" t="s">
        <v>4764</v>
      </c>
      <c r="E3450" s="4" t="s">
        <v>1833</v>
      </c>
      <c r="F3450" s="4" t="s">
        <v>5808</v>
      </c>
      <c r="G3450" s="4" t="s">
        <v>5764</v>
      </c>
      <c r="H3450" s="4" t="s">
        <v>5314</v>
      </c>
      <c r="I3450" s="4" t="s">
        <v>2100</v>
      </c>
      <c r="J3450" s="4" t="s">
        <v>2153</v>
      </c>
      <c r="K3450">
        <v>7</v>
      </c>
      <c r="L3450">
        <v>2.1</v>
      </c>
      <c r="M3450">
        <v>19</v>
      </c>
      <c r="N3450">
        <v>140</v>
      </c>
      <c r="O3450">
        <v>82.677165354330711</v>
      </c>
      <c r="P3450">
        <v>0.74803149606299213</v>
      </c>
      <c r="Q3450">
        <v>5.5118110236220472</v>
      </c>
      <c r="R3450">
        <v>1233.3979999999999</v>
      </c>
      <c r="S3450">
        <v>5.5859999999999998E-3</v>
      </c>
      <c r="T3450" s="4" t="s">
        <v>5811</v>
      </c>
    </row>
    <row r="3451" spans="1:20" x14ac:dyDescent="0.2">
      <c r="A3451" s="4" t="s">
        <v>5761</v>
      </c>
      <c r="B3451" s="4" t="s">
        <v>5762</v>
      </c>
      <c r="C3451" s="4" t="s">
        <v>2096</v>
      </c>
      <c r="D3451" s="4" t="s">
        <v>4764</v>
      </c>
      <c r="E3451" s="4" t="s">
        <v>1835</v>
      </c>
      <c r="F3451" s="4" t="s">
        <v>5808</v>
      </c>
      <c r="G3451" s="4" t="s">
        <v>5764</v>
      </c>
      <c r="H3451" s="4" t="s">
        <v>5314</v>
      </c>
      <c r="I3451" s="4" t="s">
        <v>2100</v>
      </c>
      <c r="J3451" s="4" t="s">
        <v>2153</v>
      </c>
      <c r="K3451">
        <v>8</v>
      </c>
      <c r="L3451">
        <v>2.4</v>
      </c>
      <c r="M3451">
        <v>19</v>
      </c>
      <c r="N3451">
        <v>140</v>
      </c>
      <c r="O3451">
        <v>94.488188976377955</v>
      </c>
      <c r="P3451">
        <v>0.74803149606299213</v>
      </c>
      <c r="Q3451">
        <v>5.5118110236220472</v>
      </c>
      <c r="R3451">
        <v>1233.3979999999999</v>
      </c>
      <c r="S3451">
        <v>6.3839999999999999E-3</v>
      </c>
      <c r="T3451" s="4" t="s">
        <v>5809</v>
      </c>
    </row>
    <row r="3452" spans="1:20" x14ac:dyDescent="0.2">
      <c r="A3452" s="4" t="s">
        <v>5761</v>
      </c>
      <c r="B3452" s="4" t="s">
        <v>5762</v>
      </c>
      <c r="C3452" s="4" t="s">
        <v>2096</v>
      </c>
      <c r="D3452" s="4" t="s">
        <v>4764</v>
      </c>
      <c r="E3452" s="4" t="s">
        <v>1837</v>
      </c>
      <c r="F3452" s="4" t="s">
        <v>5808</v>
      </c>
      <c r="G3452" s="4" t="s">
        <v>5764</v>
      </c>
      <c r="H3452" s="4" t="s">
        <v>5314</v>
      </c>
      <c r="I3452" s="4" t="s">
        <v>2100</v>
      </c>
      <c r="J3452" s="4" t="s">
        <v>2153</v>
      </c>
      <c r="K3452">
        <v>9</v>
      </c>
      <c r="L3452">
        <v>2.7</v>
      </c>
      <c r="M3452">
        <v>19</v>
      </c>
      <c r="N3452">
        <v>140</v>
      </c>
      <c r="O3452">
        <v>106.29921259842521</v>
      </c>
      <c r="P3452">
        <v>0.74803149606299213</v>
      </c>
      <c r="Q3452">
        <v>5.5118110236220472</v>
      </c>
      <c r="R3452">
        <v>1233.3979999999999</v>
      </c>
      <c r="S3452">
        <v>7.182E-3</v>
      </c>
      <c r="T3452" s="4" t="s">
        <v>5809</v>
      </c>
    </row>
    <row r="3453" spans="1:20" x14ac:dyDescent="0.2">
      <c r="A3453" s="4" t="s">
        <v>5761</v>
      </c>
      <c r="B3453" s="4" t="s">
        <v>5762</v>
      </c>
      <c r="C3453" s="4" t="s">
        <v>2096</v>
      </c>
      <c r="D3453" s="4" t="s">
        <v>4764</v>
      </c>
      <c r="E3453" s="4" t="s">
        <v>1853</v>
      </c>
      <c r="F3453" s="4" t="s">
        <v>5813</v>
      </c>
      <c r="G3453" s="4" t="s">
        <v>5764</v>
      </c>
      <c r="H3453" s="4" t="s">
        <v>5103</v>
      </c>
      <c r="I3453" s="4" t="s">
        <v>2100</v>
      </c>
      <c r="J3453" s="4" t="s">
        <v>2153</v>
      </c>
      <c r="K3453">
        <v>10</v>
      </c>
      <c r="L3453">
        <v>3</v>
      </c>
      <c r="M3453">
        <v>19</v>
      </c>
      <c r="N3453">
        <v>140</v>
      </c>
      <c r="O3453">
        <v>118.11023622047244</v>
      </c>
      <c r="P3453">
        <v>0.74803149606299213</v>
      </c>
      <c r="Q3453">
        <v>5.5118110236220472</v>
      </c>
      <c r="R3453">
        <v>1233.3979999999999</v>
      </c>
      <c r="S3453">
        <v>7.980000000000001E-3</v>
      </c>
      <c r="T3453" s="4" t="s">
        <v>5814</v>
      </c>
    </row>
    <row r="3454" spans="1:20" x14ac:dyDescent="0.2">
      <c r="A3454" s="4" t="s">
        <v>5761</v>
      </c>
      <c r="B3454" s="4" t="s">
        <v>5762</v>
      </c>
      <c r="C3454" s="4" t="s">
        <v>2096</v>
      </c>
      <c r="D3454" s="4" t="s">
        <v>4764</v>
      </c>
      <c r="E3454" s="4" t="s">
        <v>1855</v>
      </c>
      <c r="F3454" s="4" t="s">
        <v>5813</v>
      </c>
      <c r="G3454" s="4" t="s">
        <v>5764</v>
      </c>
      <c r="H3454" s="4" t="s">
        <v>5103</v>
      </c>
      <c r="I3454" s="4" t="s">
        <v>2100</v>
      </c>
      <c r="J3454" s="4" t="s">
        <v>2153</v>
      </c>
      <c r="K3454">
        <v>11</v>
      </c>
      <c r="L3454">
        <v>3.3</v>
      </c>
      <c r="M3454">
        <v>19</v>
      </c>
      <c r="N3454">
        <v>140</v>
      </c>
      <c r="O3454">
        <v>129.92125984251967</v>
      </c>
      <c r="P3454">
        <v>0.74803149606299213</v>
      </c>
      <c r="Q3454">
        <v>5.5118110236220472</v>
      </c>
      <c r="R3454">
        <v>1233.3979999999999</v>
      </c>
      <c r="S3454">
        <v>8.7779999999999993E-3</v>
      </c>
      <c r="T3454" s="4" t="s">
        <v>5814</v>
      </c>
    </row>
    <row r="3455" spans="1:20" x14ac:dyDescent="0.2">
      <c r="A3455" s="4" t="s">
        <v>5761</v>
      </c>
      <c r="B3455" s="4" t="s">
        <v>5762</v>
      </c>
      <c r="C3455" s="4" t="s">
        <v>2096</v>
      </c>
      <c r="D3455" s="4" t="s">
        <v>4764</v>
      </c>
      <c r="E3455" s="4" t="s">
        <v>1857</v>
      </c>
      <c r="F3455" s="4" t="s">
        <v>5813</v>
      </c>
      <c r="G3455" s="4" t="s">
        <v>5764</v>
      </c>
      <c r="H3455" s="4" t="s">
        <v>5103</v>
      </c>
      <c r="I3455" s="4" t="s">
        <v>2100</v>
      </c>
      <c r="J3455" s="4" t="s">
        <v>2153</v>
      </c>
      <c r="K3455">
        <v>12</v>
      </c>
      <c r="L3455">
        <v>3.6</v>
      </c>
      <c r="M3455">
        <v>19</v>
      </c>
      <c r="N3455">
        <v>140</v>
      </c>
      <c r="O3455">
        <v>141.73228346456693</v>
      </c>
      <c r="P3455">
        <v>0.74803149606299213</v>
      </c>
      <c r="Q3455">
        <v>5.5118110236220472</v>
      </c>
      <c r="R3455">
        <v>1233.3979999999999</v>
      </c>
      <c r="S3455">
        <v>9.5760000000000012E-3</v>
      </c>
      <c r="T3455" s="4" t="s">
        <v>5814</v>
      </c>
    </row>
    <row r="3456" spans="1:20" x14ac:dyDescent="0.2">
      <c r="A3456" s="4" t="s">
        <v>5761</v>
      </c>
      <c r="B3456" s="4" t="s">
        <v>5762</v>
      </c>
      <c r="C3456" s="4" t="s">
        <v>2096</v>
      </c>
      <c r="D3456" s="4" t="s">
        <v>4764</v>
      </c>
      <c r="E3456" s="4" t="s">
        <v>1859</v>
      </c>
      <c r="F3456" s="4" t="s">
        <v>5813</v>
      </c>
      <c r="G3456" s="4" t="s">
        <v>5764</v>
      </c>
      <c r="H3456" s="4" t="s">
        <v>5103</v>
      </c>
      <c r="I3456" s="4" t="s">
        <v>2100</v>
      </c>
      <c r="J3456" s="4" t="s">
        <v>2153</v>
      </c>
      <c r="K3456">
        <v>13</v>
      </c>
      <c r="L3456">
        <v>3.9</v>
      </c>
      <c r="M3456">
        <v>19</v>
      </c>
      <c r="N3456">
        <v>140</v>
      </c>
      <c r="O3456">
        <v>153.54330708661416</v>
      </c>
      <c r="P3456">
        <v>0.74803149606299213</v>
      </c>
      <c r="Q3456">
        <v>5.5118110236220472</v>
      </c>
      <c r="R3456">
        <v>1233.3979999999999</v>
      </c>
      <c r="S3456">
        <v>1.0374000000000001E-2</v>
      </c>
      <c r="T3456" s="4" t="s">
        <v>5814</v>
      </c>
    </row>
    <row r="3457" spans="1:20" x14ac:dyDescent="0.2">
      <c r="A3457" s="4" t="s">
        <v>5761</v>
      </c>
      <c r="B3457" s="4" t="s">
        <v>5762</v>
      </c>
      <c r="C3457" s="4" t="s">
        <v>2096</v>
      </c>
      <c r="D3457" s="4" t="s">
        <v>4764</v>
      </c>
      <c r="E3457" s="4" t="s">
        <v>1861</v>
      </c>
      <c r="F3457" s="4" t="s">
        <v>5813</v>
      </c>
      <c r="G3457" s="4" t="s">
        <v>5764</v>
      </c>
      <c r="H3457" s="4" t="s">
        <v>5103</v>
      </c>
      <c r="I3457" s="4" t="s">
        <v>2100</v>
      </c>
      <c r="J3457" s="4" t="s">
        <v>2153</v>
      </c>
      <c r="K3457">
        <v>14</v>
      </c>
      <c r="L3457">
        <v>4.2</v>
      </c>
      <c r="M3457">
        <v>19</v>
      </c>
      <c r="N3457">
        <v>140</v>
      </c>
      <c r="O3457">
        <v>165.35433070866142</v>
      </c>
      <c r="P3457">
        <v>0.74803149606299213</v>
      </c>
      <c r="Q3457">
        <v>5.5118110236220472</v>
      </c>
      <c r="R3457">
        <v>1233.3979999999999</v>
      </c>
      <c r="S3457">
        <v>1.1172E-2</v>
      </c>
      <c r="T3457" s="4" t="s">
        <v>5814</v>
      </c>
    </row>
    <row r="3458" spans="1:20" x14ac:dyDescent="0.2">
      <c r="A3458" s="4" t="s">
        <v>5761</v>
      </c>
      <c r="B3458" s="4" t="s">
        <v>5762</v>
      </c>
      <c r="C3458" s="4" t="s">
        <v>2096</v>
      </c>
      <c r="D3458" s="4" t="s">
        <v>4764</v>
      </c>
      <c r="E3458" s="4" t="s">
        <v>1863</v>
      </c>
      <c r="F3458" s="4" t="s">
        <v>5813</v>
      </c>
      <c r="G3458" s="4" t="s">
        <v>5764</v>
      </c>
      <c r="H3458" s="4" t="s">
        <v>5103</v>
      </c>
      <c r="I3458" s="4" t="s">
        <v>2100</v>
      </c>
      <c r="J3458" s="4" t="s">
        <v>2153</v>
      </c>
      <c r="K3458">
        <v>15</v>
      </c>
      <c r="L3458">
        <v>4.5</v>
      </c>
      <c r="M3458">
        <v>19</v>
      </c>
      <c r="N3458">
        <v>140</v>
      </c>
      <c r="O3458">
        <v>177.16535433070868</v>
      </c>
      <c r="P3458">
        <v>0.74803149606299213</v>
      </c>
      <c r="Q3458">
        <v>5.5118110236220472</v>
      </c>
      <c r="R3458">
        <v>1233.3979999999999</v>
      </c>
      <c r="S3458">
        <v>1.1970000000000001E-2</v>
      </c>
      <c r="T3458" s="4" t="s">
        <v>5814</v>
      </c>
    </row>
    <row r="3459" spans="1:20" x14ac:dyDescent="0.2">
      <c r="A3459" s="4" t="s">
        <v>5761</v>
      </c>
      <c r="B3459" s="4" t="s">
        <v>5762</v>
      </c>
      <c r="C3459" s="4" t="s">
        <v>2096</v>
      </c>
      <c r="D3459" s="4" t="s">
        <v>4764</v>
      </c>
      <c r="E3459" s="4" t="s">
        <v>5815</v>
      </c>
      <c r="F3459" s="4" t="s">
        <v>5813</v>
      </c>
      <c r="G3459" s="4" t="s">
        <v>5764</v>
      </c>
      <c r="H3459" s="4" t="s">
        <v>5103</v>
      </c>
      <c r="I3459" s="4" t="s">
        <v>2100</v>
      </c>
      <c r="J3459" s="4" t="s">
        <v>2153</v>
      </c>
      <c r="K3459">
        <v>16</v>
      </c>
      <c r="L3459">
        <v>4.8</v>
      </c>
      <c r="M3459">
        <v>19</v>
      </c>
      <c r="N3459">
        <v>140</v>
      </c>
      <c r="O3459">
        <v>188.97637795275591</v>
      </c>
      <c r="P3459">
        <v>0.74803149606299213</v>
      </c>
      <c r="Q3459">
        <v>5.5118110236220472</v>
      </c>
      <c r="R3459">
        <v>1233.3979999999999</v>
      </c>
      <c r="S3459">
        <v>1.2768E-2</v>
      </c>
      <c r="T3459" s="4" t="s">
        <v>5814</v>
      </c>
    </row>
    <row r="3460" spans="1:20" x14ac:dyDescent="0.2">
      <c r="A3460" s="4" t="s">
        <v>5761</v>
      </c>
      <c r="B3460" s="4" t="s">
        <v>5762</v>
      </c>
      <c r="C3460" s="4" t="s">
        <v>2096</v>
      </c>
      <c r="D3460" s="4" t="s">
        <v>4764</v>
      </c>
      <c r="E3460" s="4" t="s">
        <v>1865</v>
      </c>
      <c r="F3460" s="4" t="s">
        <v>5813</v>
      </c>
      <c r="G3460" s="4" t="s">
        <v>5764</v>
      </c>
      <c r="H3460" s="4" t="s">
        <v>5103</v>
      </c>
      <c r="I3460" s="4" t="s">
        <v>2100</v>
      </c>
      <c r="J3460" s="4" t="s">
        <v>2153</v>
      </c>
      <c r="K3460">
        <v>17</v>
      </c>
      <c r="L3460">
        <v>5.0999999999999996</v>
      </c>
      <c r="M3460">
        <v>19</v>
      </c>
      <c r="N3460">
        <v>140</v>
      </c>
      <c r="O3460">
        <v>200.78740157480314</v>
      </c>
      <c r="P3460">
        <v>0.74803149606299213</v>
      </c>
      <c r="Q3460">
        <v>5.5118110236220472</v>
      </c>
      <c r="R3460">
        <v>1233.3979999999999</v>
      </c>
      <c r="S3460">
        <v>1.3565999999999998E-2</v>
      </c>
      <c r="T3460" s="4" t="s">
        <v>5814</v>
      </c>
    </row>
    <row r="3461" spans="1:20" x14ac:dyDescent="0.2">
      <c r="A3461" s="4" t="s">
        <v>5761</v>
      </c>
      <c r="B3461" s="4" t="s">
        <v>5762</v>
      </c>
      <c r="C3461" s="4" t="s">
        <v>2096</v>
      </c>
      <c r="D3461" s="4" t="s">
        <v>4764</v>
      </c>
      <c r="E3461" s="4" t="s">
        <v>5816</v>
      </c>
      <c r="F3461" s="4" t="s">
        <v>5813</v>
      </c>
      <c r="G3461" s="4" t="s">
        <v>5764</v>
      </c>
      <c r="H3461" s="4" t="s">
        <v>5103</v>
      </c>
      <c r="I3461" s="4" t="s">
        <v>2100</v>
      </c>
      <c r="J3461" s="4" t="s">
        <v>2153</v>
      </c>
      <c r="K3461">
        <v>18</v>
      </c>
      <c r="L3461">
        <v>5.4</v>
      </c>
      <c r="M3461">
        <v>19</v>
      </c>
      <c r="N3461">
        <v>140</v>
      </c>
      <c r="O3461">
        <v>212.59842519685043</v>
      </c>
      <c r="P3461">
        <v>0.74803149606299213</v>
      </c>
      <c r="Q3461">
        <v>5.5118110236220472</v>
      </c>
      <c r="R3461">
        <v>1233.3979999999999</v>
      </c>
      <c r="S3461">
        <v>1.4364E-2</v>
      </c>
      <c r="T3461" s="4" t="s">
        <v>5814</v>
      </c>
    </row>
    <row r="3462" spans="1:20" x14ac:dyDescent="0.2">
      <c r="A3462" s="4" t="s">
        <v>5761</v>
      </c>
      <c r="B3462" s="4" t="s">
        <v>5762</v>
      </c>
      <c r="C3462" s="4" t="s">
        <v>2286</v>
      </c>
      <c r="D3462" s="4" t="s">
        <v>4764</v>
      </c>
      <c r="E3462" s="4" t="s">
        <v>5817</v>
      </c>
      <c r="F3462" s="4" t="s">
        <v>5813</v>
      </c>
      <c r="G3462" s="4" t="s">
        <v>5764</v>
      </c>
      <c r="H3462" s="4" t="s">
        <v>5103</v>
      </c>
      <c r="I3462" s="4" t="s">
        <v>2100</v>
      </c>
      <c r="J3462" s="4" t="s">
        <v>2153</v>
      </c>
      <c r="K3462">
        <v>4</v>
      </c>
      <c r="L3462">
        <v>1.2</v>
      </c>
      <c r="M3462">
        <v>19</v>
      </c>
      <c r="N3462">
        <v>140</v>
      </c>
      <c r="O3462">
        <v>47.244094488188978</v>
      </c>
      <c r="P3462">
        <v>0.74803149606299213</v>
      </c>
      <c r="Q3462">
        <v>5.5118110236220472</v>
      </c>
      <c r="R3462">
        <v>1233.3979999999999</v>
      </c>
      <c r="S3462">
        <v>3.192E-3</v>
      </c>
      <c r="T3462" s="4" t="s">
        <v>5818</v>
      </c>
    </row>
    <row r="3463" spans="1:20" x14ac:dyDescent="0.2">
      <c r="A3463" s="4" t="s">
        <v>5761</v>
      </c>
      <c r="B3463" s="4" t="s">
        <v>5762</v>
      </c>
      <c r="C3463" s="4" t="s">
        <v>2286</v>
      </c>
      <c r="D3463" s="4" t="s">
        <v>4764</v>
      </c>
      <c r="E3463" s="4" t="s">
        <v>1867</v>
      </c>
      <c r="F3463" s="4" t="s">
        <v>5813</v>
      </c>
      <c r="G3463" s="4" t="s">
        <v>5764</v>
      </c>
      <c r="H3463" s="4" t="s">
        <v>5103</v>
      </c>
      <c r="I3463" s="4" t="s">
        <v>2100</v>
      </c>
      <c r="J3463" s="4" t="s">
        <v>2153</v>
      </c>
      <c r="K3463">
        <v>5</v>
      </c>
      <c r="L3463">
        <v>1.5</v>
      </c>
      <c r="M3463">
        <v>19</v>
      </c>
      <c r="N3463">
        <v>140</v>
      </c>
      <c r="O3463">
        <v>59.055118110236222</v>
      </c>
      <c r="P3463">
        <v>0.74803149606299213</v>
      </c>
      <c r="Q3463">
        <v>5.5118110236220472</v>
      </c>
      <c r="R3463">
        <v>1233.3979999999999</v>
      </c>
      <c r="S3463">
        <v>3.9900000000000005E-3</v>
      </c>
      <c r="T3463" s="4" t="s">
        <v>5818</v>
      </c>
    </row>
    <row r="3464" spans="1:20" x14ac:dyDescent="0.2">
      <c r="A3464" s="4" t="s">
        <v>5761</v>
      </c>
      <c r="B3464" s="4" t="s">
        <v>5762</v>
      </c>
      <c r="C3464" s="4" t="s">
        <v>2286</v>
      </c>
      <c r="D3464" s="4" t="s">
        <v>4764</v>
      </c>
      <c r="E3464" s="4" t="s">
        <v>1869</v>
      </c>
      <c r="F3464" s="4" t="s">
        <v>5813</v>
      </c>
      <c r="G3464" s="4" t="s">
        <v>5764</v>
      </c>
      <c r="H3464" s="4" t="s">
        <v>5103</v>
      </c>
      <c r="I3464" s="4" t="s">
        <v>2100</v>
      </c>
      <c r="J3464" s="4" t="s">
        <v>2153</v>
      </c>
      <c r="K3464">
        <v>6</v>
      </c>
      <c r="L3464">
        <v>1.8</v>
      </c>
      <c r="M3464">
        <v>19</v>
      </c>
      <c r="N3464">
        <v>140</v>
      </c>
      <c r="O3464">
        <v>70.866141732283467</v>
      </c>
      <c r="P3464">
        <v>0.74803149606299213</v>
      </c>
      <c r="Q3464">
        <v>5.5118110236220472</v>
      </c>
      <c r="R3464">
        <v>1233.3979999999999</v>
      </c>
      <c r="S3464">
        <v>4.7880000000000006E-3</v>
      </c>
      <c r="T3464" s="4" t="s">
        <v>5818</v>
      </c>
    </row>
    <row r="3465" spans="1:20" x14ac:dyDescent="0.2">
      <c r="A3465" s="4" t="s">
        <v>5761</v>
      </c>
      <c r="B3465" s="4" t="s">
        <v>5762</v>
      </c>
      <c r="C3465" s="4" t="s">
        <v>2286</v>
      </c>
      <c r="D3465" s="4" t="s">
        <v>4764</v>
      </c>
      <c r="E3465" s="4" t="s">
        <v>1871</v>
      </c>
      <c r="F3465" s="4" t="s">
        <v>5813</v>
      </c>
      <c r="G3465" s="4" t="s">
        <v>5764</v>
      </c>
      <c r="H3465" s="4" t="s">
        <v>5103</v>
      </c>
      <c r="I3465" s="4" t="s">
        <v>2100</v>
      </c>
      <c r="J3465" s="4" t="s">
        <v>2153</v>
      </c>
      <c r="K3465">
        <v>7</v>
      </c>
      <c r="L3465">
        <v>2.1</v>
      </c>
      <c r="M3465">
        <v>19</v>
      </c>
      <c r="N3465">
        <v>140</v>
      </c>
      <c r="O3465">
        <v>82.677165354330711</v>
      </c>
      <c r="P3465">
        <v>0.74803149606299213</v>
      </c>
      <c r="Q3465">
        <v>5.5118110236220472</v>
      </c>
      <c r="R3465">
        <v>1233.3979999999999</v>
      </c>
      <c r="S3465">
        <v>5.5859999999999998E-3</v>
      </c>
      <c r="T3465" s="4" t="s">
        <v>5818</v>
      </c>
    </row>
    <row r="3466" spans="1:20" x14ac:dyDescent="0.2">
      <c r="A3466" s="4" t="s">
        <v>5761</v>
      </c>
      <c r="B3466" s="4" t="s">
        <v>5762</v>
      </c>
      <c r="C3466" s="4" t="s">
        <v>2096</v>
      </c>
      <c r="D3466" s="4" t="s">
        <v>4764</v>
      </c>
      <c r="E3466" s="4" t="s">
        <v>1873</v>
      </c>
      <c r="F3466" s="4" t="s">
        <v>5813</v>
      </c>
      <c r="G3466" s="4" t="s">
        <v>5764</v>
      </c>
      <c r="H3466" s="4" t="s">
        <v>5103</v>
      </c>
      <c r="I3466" s="4" t="s">
        <v>2100</v>
      </c>
      <c r="J3466" s="4" t="s">
        <v>2153</v>
      </c>
      <c r="K3466">
        <v>8</v>
      </c>
      <c r="L3466">
        <v>2.4</v>
      </c>
      <c r="M3466">
        <v>19</v>
      </c>
      <c r="N3466">
        <v>140</v>
      </c>
      <c r="O3466">
        <v>94.488188976377955</v>
      </c>
      <c r="P3466">
        <v>0.74803149606299213</v>
      </c>
      <c r="Q3466">
        <v>5.5118110236220472</v>
      </c>
      <c r="R3466">
        <v>1233.3979999999999</v>
      </c>
      <c r="S3466">
        <v>6.3839999999999999E-3</v>
      </c>
      <c r="T3466" s="4" t="s">
        <v>5814</v>
      </c>
    </row>
    <row r="3467" spans="1:20" x14ac:dyDescent="0.2">
      <c r="A3467" s="4" t="s">
        <v>5761</v>
      </c>
      <c r="B3467" s="4" t="s">
        <v>5762</v>
      </c>
      <c r="C3467" s="4" t="s">
        <v>2096</v>
      </c>
      <c r="D3467" s="4" t="s">
        <v>4764</v>
      </c>
      <c r="E3467" s="4" t="s">
        <v>1875</v>
      </c>
      <c r="F3467" s="4" t="s">
        <v>5813</v>
      </c>
      <c r="G3467" s="4" t="s">
        <v>5764</v>
      </c>
      <c r="H3467" s="4" t="s">
        <v>5103</v>
      </c>
      <c r="I3467" s="4" t="s">
        <v>2100</v>
      </c>
      <c r="J3467" s="4" t="s">
        <v>2153</v>
      </c>
      <c r="K3467">
        <v>9</v>
      </c>
      <c r="L3467">
        <v>2.7</v>
      </c>
      <c r="M3467">
        <v>19</v>
      </c>
      <c r="N3467">
        <v>140</v>
      </c>
      <c r="O3467">
        <v>106.29921259842521</v>
      </c>
      <c r="P3467">
        <v>0.74803149606299213</v>
      </c>
      <c r="Q3467">
        <v>5.5118110236220472</v>
      </c>
      <c r="R3467">
        <v>1233.3979999999999</v>
      </c>
      <c r="S3467">
        <v>7.182E-3</v>
      </c>
      <c r="T3467" s="4" t="s">
        <v>5814</v>
      </c>
    </row>
    <row r="3468" spans="1:20" x14ac:dyDescent="0.2">
      <c r="A3468" s="4" t="s">
        <v>5761</v>
      </c>
      <c r="B3468" s="4" t="s">
        <v>5819</v>
      </c>
      <c r="C3468" s="4" t="s">
        <v>2096</v>
      </c>
      <c r="D3468" s="4" t="s">
        <v>4764</v>
      </c>
      <c r="E3468" s="4" t="s">
        <v>5820</v>
      </c>
      <c r="F3468" s="4" t="s">
        <v>5821</v>
      </c>
      <c r="G3468" s="4" t="s">
        <v>5764</v>
      </c>
      <c r="H3468" s="4" t="s">
        <v>5103</v>
      </c>
      <c r="I3468" s="4" t="s">
        <v>2100</v>
      </c>
      <c r="J3468" s="4" t="s">
        <v>5822</v>
      </c>
      <c r="K3468">
        <v>10</v>
      </c>
      <c r="L3468">
        <v>3</v>
      </c>
      <c r="M3468">
        <v>15</v>
      </c>
      <c r="N3468">
        <v>92</v>
      </c>
      <c r="O3468">
        <v>118.11023622047244</v>
      </c>
      <c r="P3468">
        <v>0.59055118110236227</v>
      </c>
      <c r="Q3468">
        <v>3.6220472440944884</v>
      </c>
      <c r="R3468">
        <v>2377.42</v>
      </c>
      <c r="S3468">
        <v>4.1399999999999996E-3</v>
      </c>
      <c r="T3468" s="4" t="s">
        <v>5823</v>
      </c>
    </row>
    <row r="3469" spans="1:20" x14ac:dyDescent="0.2">
      <c r="A3469" s="4" t="s">
        <v>5761</v>
      </c>
      <c r="B3469" s="4" t="s">
        <v>5819</v>
      </c>
      <c r="C3469" s="4" t="s">
        <v>2096</v>
      </c>
      <c r="D3469" s="4" t="s">
        <v>4764</v>
      </c>
      <c r="E3469" s="4" t="s">
        <v>1877</v>
      </c>
      <c r="F3469" s="4" t="s">
        <v>5821</v>
      </c>
      <c r="G3469" s="4" t="s">
        <v>5764</v>
      </c>
      <c r="H3469" s="4" t="s">
        <v>5103</v>
      </c>
      <c r="I3469" s="4" t="s">
        <v>2100</v>
      </c>
      <c r="J3469" s="4" t="s">
        <v>5822</v>
      </c>
      <c r="K3469">
        <v>11</v>
      </c>
      <c r="L3469">
        <v>3.3</v>
      </c>
      <c r="M3469">
        <v>15</v>
      </c>
      <c r="N3469">
        <v>92</v>
      </c>
      <c r="O3469">
        <v>129.92125984251967</v>
      </c>
      <c r="P3469">
        <v>0.59055118110236227</v>
      </c>
      <c r="Q3469">
        <v>3.6220472440944884</v>
      </c>
      <c r="R3469">
        <v>2377.42</v>
      </c>
      <c r="S3469">
        <v>4.5539999999999999E-3</v>
      </c>
      <c r="T3469" s="4" t="s">
        <v>5823</v>
      </c>
    </row>
    <row r="3470" spans="1:20" x14ac:dyDescent="0.2">
      <c r="A3470" s="4" t="s">
        <v>5761</v>
      </c>
      <c r="B3470" s="4" t="s">
        <v>5819</v>
      </c>
      <c r="C3470" s="4" t="s">
        <v>2096</v>
      </c>
      <c r="D3470" s="4" t="s">
        <v>4764</v>
      </c>
      <c r="E3470" s="4" t="s">
        <v>1879</v>
      </c>
      <c r="F3470" s="4" t="s">
        <v>5821</v>
      </c>
      <c r="G3470" s="4" t="s">
        <v>5764</v>
      </c>
      <c r="H3470" s="4" t="s">
        <v>5103</v>
      </c>
      <c r="I3470" s="4" t="s">
        <v>2100</v>
      </c>
      <c r="J3470" s="4" t="s">
        <v>5822</v>
      </c>
      <c r="K3470">
        <v>12</v>
      </c>
      <c r="L3470">
        <v>3.6</v>
      </c>
      <c r="M3470">
        <v>15</v>
      </c>
      <c r="N3470">
        <v>92</v>
      </c>
      <c r="O3470">
        <v>141.73228346456693</v>
      </c>
      <c r="P3470">
        <v>0.59055118110236227</v>
      </c>
      <c r="Q3470">
        <v>3.6220472440944884</v>
      </c>
      <c r="R3470">
        <v>2377.42</v>
      </c>
      <c r="S3470">
        <v>4.9680000000000002E-3</v>
      </c>
      <c r="T3470" s="4" t="s">
        <v>5823</v>
      </c>
    </row>
    <row r="3471" spans="1:20" x14ac:dyDescent="0.2">
      <c r="A3471" s="4" t="s">
        <v>5761</v>
      </c>
      <c r="B3471" s="4" t="s">
        <v>5819</v>
      </c>
      <c r="C3471" s="4" t="s">
        <v>2096</v>
      </c>
      <c r="D3471" s="4" t="s">
        <v>4764</v>
      </c>
      <c r="E3471" s="4" t="s">
        <v>1881</v>
      </c>
      <c r="F3471" s="4" t="s">
        <v>5821</v>
      </c>
      <c r="G3471" s="4" t="s">
        <v>5764</v>
      </c>
      <c r="H3471" s="4" t="s">
        <v>5103</v>
      </c>
      <c r="I3471" s="4" t="s">
        <v>2100</v>
      </c>
      <c r="J3471" s="4" t="s">
        <v>5822</v>
      </c>
      <c r="K3471">
        <v>13</v>
      </c>
      <c r="L3471">
        <v>3.9</v>
      </c>
      <c r="M3471">
        <v>15</v>
      </c>
      <c r="N3471">
        <v>92</v>
      </c>
      <c r="O3471">
        <v>153.54330708661416</v>
      </c>
      <c r="P3471">
        <v>0.59055118110236227</v>
      </c>
      <c r="Q3471">
        <v>3.6220472440944884</v>
      </c>
      <c r="R3471">
        <v>2377.42</v>
      </c>
      <c r="S3471">
        <v>5.3820000000000005E-3</v>
      </c>
      <c r="T3471" s="4" t="s">
        <v>5823</v>
      </c>
    </row>
    <row r="3472" spans="1:20" x14ac:dyDescent="0.2">
      <c r="A3472" s="4" t="s">
        <v>5761</v>
      </c>
      <c r="B3472" s="4" t="s">
        <v>5819</v>
      </c>
      <c r="C3472" s="4" t="s">
        <v>2096</v>
      </c>
      <c r="D3472" s="4" t="s">
        <v>4764</v>
      </c>
      <c r="E3472" s="4" t="s">
        <v>1883</v>
      </c>
      <c r="F3472" s="4" t="s">
        <v>5821</v>
      </c>
      <c r="G3472" s="4" t="s">
        <v>5764</v>
      </c>
      <c r="H3472" s="4" t="s">
        <v>5103</v>
      </c>
      <c r="I3472" s="4" t="s">
        <v>2100</v>
      </c>
      <c r="J3472" s="4" t="s">
        <v>5822</v>
      </c>
      <c r="K3472">
        <v>14</v>
      </c>
      <c r="L3472">
        <v>4.2</v>
      </c>
      <c r="M3472">
        <v>15</v>
      </c>
      <c r="N3472">
        <v>92</v>
      </c>
      <c r="O3472">
        <v>165.35433070866142</v>
      </c>
      <c r="P3472">
        <v>0.59055118110236227</v>
      </c>
      <c r="Q3472">
        <v>3.6220472440944884</v>
      </c>
      <c r="R3472">
        <v>2377.42</v>
      </c>
      <c r="S3472">
        <v>5.7959999999999999E-3</v>
      </c>
      <c r="T3472" s="4" t="s">
        <v>5823</v>
      </c>
    </row>
    <row r="3473" spans="1:20" x14ac:dyDescent="0.2">
      <c r="A3473" s="4" t="s">
        <v>5761</v>
      </c>
      <c r="B3473" s="4" t="s">
        <v>5819</v>
      </c>
      <c r="C3473" s="4" t="s">
        <v>2096</v>
      </c>
      <c r="D3473" s="4" t="s">
        <v>4764</v>
      </c>
      <c r="E3473" s="4" t="s">
        <v>1885</v>
      </c>
      <c r="F3473" s="4" t="s">
        <v>5821</v>
      </c>
      <c r="G3473" s="4" t="s">
        <v>5764</v>
      </c>
      <c r="H3473" s="4" t="s">
        <v>5103</v>
      </c>
      <c r="I3473" s="4" t="s">
        <v>2100</v>
      </c>
      <c r="J3473" s="4" t="s">
        <v>5822</v>
      </c>
      <c r="K3473">
        <v>15</v>
      </c>
      <c r="L3473">
        <v>4.5</v>
      </c>
      <c r="M3473">
        <v>15</v>
      </c>
      <c r="N3473">
        <v>92</v>
      </c>
      <c r="O3473">
        <v>177.16535433070868</v>
      </c>
      <c r="P3473">
        <v>0.59055118110236227</v>
      </c>
      <c r="Q3473">
        <v>3.6220472440944884</v>
      </c>
      <c r="R3473">
        <v>2377.42</v>
      </c>
      <c r="S3473">
        <v>6.2100000000000011E-3</v>
      </c>
      <c r="T3473" s="4" t="s">
        <v>5823</v>
      </c>
    </row>
    <row r="3474" spans="1:20" x14ac:dyDescent="0.2">
      <c r="A3474" s="4" t="s">
        <v>5761</v>
      </c>
      <c r="B3474" s="4" t="s">
        <v>5819</v>
      </c>
      <c r="C3474" s="4" t="s">
        <v>2096</v>
      </c>
      <c r="D3474" s="4" t="s">
        <v>4764</v>
      </c>
      <c r="E3474" s="4" t="s">
        <v>1887</v>
      </c>
      <c r="F3474" s="4" t="s">
        <v>5821</v>
      </c>
      <c r="G3474" s="4" t="s">
        <v>5764</v>
      </c>
      <c r="H3474" s="4" t="s">
        <v>5103</v>
      </c>
      <c r="I3474" s="4" t="s">
        <v>2100</v>
      </c>
      <c r="J3474" s="4" t="s">
        <v>5822</v>
      </c>
      <c r="K3474">
        <v>16</v>
      </c>
      <c r="L3474">
        <v>4.8</v>
      </c>
      <c r="M3474">
        <v>15</v>
      </c>
      <c r="N3474">
        <v>92</v>
      </c>
      <c r="O3474">
        <v>188.97637795275591</v>
      </c>
      <c r="P3474">
        <v>0.59055118110236227</v>
      </c>
      <c r="Q3474">
        <v>3.6220472440944884</v>
      </c>
      <c r="R3474">
        <v>2377.42</v>
      </c>
      <c r="S3474">
        <v>6.6239999999999997E-3</v>
      </c>
      <c r="T3474" s="4" t="s">
        <v>5823</v>
      </c>
    </row>
    <row r="3475" spans="1:20" x14ac:dyDescent="0.2">
      <c r="A3475" s="4" t="s">
        <v>5761</v>
      </c>
      <c r="B3475" s="4" t="s">
        <v>5819</v>
      </c>
      <c r="C3475" s="4" t="s">
        <v>2096</v>
      </c>
      <c r="D3475" s="4" t="s">
        <v>4764</v>
      </c>
      <c r="E3475" s="4" t="s">
        <v>5824</v>
      </c>
      <c r="F3475" s="4" t="s">
        <v>5821</v>
      </c>
      <c r="G3475" s="4" t="s">
        <v>5764</v>
      </c>
      <c r="H3475" s="4" t="s">
        <v>5103</v>
      </c>
      <c r="I3475" s="4" t="s">
        <v>2100</v>
      </c>
      <c r="J3475" s="4" t="s">
        <v>5822</v>
      </c>
      <c r="K3475">
        <v>17</v>
      </c>
      <c r="L3475">
        <v>5.0999999999999996</v>
      </c>
      <c r="M3475">
        <v>15</v>
      </c>
      <c r="N3475">
        <v>92</v>
      </c>
      <c r="O3475">
        <v>200.78740157480314</v>
      </c>
      <c r="P3475">
        <v>0.59055118110236227</v>
      </c>
      <c r="Q3475">
        <v>3.6220472440944884</v>
      </c>
      <c r="R3475">
        <v>2377.42</v>
      </c>
      <c r="S3475">
        <v>7.038E-3</v>
      </c>
      <c r="T3475" s="4" t="s">
        <v>5823</v>
      </c>
    </row>
    <row r="3476" spans="1:20" x14ac:dyDescent="0.2">
      <c r="A3476" s="4" t="s">
        <v>5761</v>
      </c>
      <c r="B3476" s="4" t="s">
        <v>5819</v>
      </c>
      <c r="C3476" s="4" t="s">
        <v>2096</v>
      </c>
      <c r="D3476" s="4" t="s">
        <v>4764</v>
      </c>
      <c r="E3476" s="4" t="s">
        <v>5825</v>
      </c>
      <c r="F3476" s="4" t="s">
        <v>5821</v>
      </c>
      <c r="G3476" s="4" t="s">
        <v>5764</v>
      </c>
      <c r="H3476" s="4" t="s">
        <v>5103</v>
      </c>
      <c r="I3476" s="4" t="s">
        <v>2100</v>
      </c>
      <c r="J3476" s="4" t="s">
        <v>5822</v>
      </c>
      <c r="K3476">
        <v>18</v>
      </c>
      <c r="L3476">
        <v>5.4</v>
      </c>
      <c r="M3476">
        <v>15</v>
      </c>
      <c r="N3476">
        <v>92</v>
      </c>
      <c r="O3476">
        <v>212.59842519685043</v>
      </c>
      <c r="P3476">
        <v>0.59055118110236227</v>
      </c>
      <c r="Q3476">
        <v>3.6220472440944884</v>
      </c>
      <c r="R3476">
        <v>2377.42</v>
      </c>
      <c r="S3476">
        <v>7.4520000000000003E-3</v>
      </c>
      <c r="T3476" s="4" t="s">
        <v>5823</v>
      </c>
    </row>
    <row r="3477" spans="1:20" x14ac:dyDescent="0.2">
      <c r="A3477" s="4" t="s">
        <v>5761</v>
      </c>
      <c r="B3477" s="4" t="s">
        <v>5819</v>
      </c>
      <c r="C3477" s="4" t="s">
        <v>2286</v>
      </c>
      <c r="D3477" s="4" t="s">
        <v>4764</v>
      </c>
      <c r="E3477" s="4" t="s">
        <v>5826</v>
      </c>
      <c r="F3477" s="4" t="s">
        <v>5821</v>
      </c>
      <c r="G3477" s="4" t="s">
        <v>5764</v>
      </c>
      <c r="H3477" s="4" t="s">
        <v>5103</v>
      </c>
      <c r="I3477" s="4" t="s">
        <v>2100</v>
      </c>
      <c r="J3477" s="4" t="s">
        <v>5822</v>
      </c>
      <c r="K3477">
        <v>4</v>
      </c>
      <c r="L3477">
        <v>1.2</v>
      </c>
      <c r="M3477">
        <v>15</v>
      </c>
      <c r="N3477">
        <v>92</v>
      </c>
      <c r="O3477">
        <v>47.244094488188978</v>
      </c>
      <c r="P3477">
        <v>0.59055118110236227</v>
      </c>
      <c r="Q3477">
        <v>3.6220472440944884</v>
      </c>
      <c r="R3477">
        <v>2377.42</v>
      </c>
      <c r="S3477">
        <v>1.6559999999999999E-3</v>
      </c>
      <c r="T3477" s="4" t="s">
        <v>5827</v>
      </c>
    </row>
    <row r="3478" spans="1:20" x14ac:dyDescent="0.2">
      <c r="A3478" s="4" t="s">
        <v>5761</v>
      </c>
      <c r="B3478" s="4" t="s">
        <v>5819</v>
      </c>
      <c r="C3478" s="4" t="s">
        <v>2286</v>
      </c>
      <c r="D3478" s="4" t="s">
        <v>4764</v>
      </c>
      <c r="E3478" s="4" t="s">
        <v>5828</v>
      </c>
      <c r="F3478" s="4" t="s">
        <v>5821</v>
      </c>
      <c r="G3478" s="4" t="s">
        <v>5764</v>
      </c>
      <c r="H3478" s="4" t="s">
        <v>5103</v>
      </c>
      <c r="I3478" s="4" t="s">
        <v>2100</v>
      </c>
      <c r="J3478" s="4" t="s">
        <v>5822</v>
      </c>
      <c r="K3478">
        <v>5</v>
      </c>
      <c r="L3478">
        <v>1.5</v>
      </c>
      <c r="M3478">
        <v>15</v>
      </c>
      <c r="N3478">
        <v>92</v>
      </c>
      <c r="O3478">
        <v>59.055118110236222</v>
      </c>
      <c r="P3478">
        <v>0.59055118110236227</v>
      </c>
      <c r="Q3478">
        <v>3.6220472440944884</v>
      </c>
      <c r="R3478">
        <v>2377.42</v>
      </c>
      <c r="S3478">
        <v>2.0699999999999998E-3</v>
      </c>
      <c r="T3478" s="4" t="s">
        <v>5827</v>
      </c>
    </row>
    <row r="3479" spans="1:20" x14ac:dyDescent="0.2">
      <c r="A3479" s="4" t="s">
        <v>5761</v>
      </c>
      <c r="B3479" s="4" t="s">
        <v>5819</v>
      </c>
      <c r="C3479" s="4" t="s">
        <v>2286</v>
      </c>
      <c r="D3479" s="4" t="s">
        <v>4764</v>
      </c>
      <c r="E3479" s="4" t="s">
        <v>5829</v>
      </c>
      <c r="F3479" s="4" t="s">
        <v>5821</v>
      </c>
      <c r="G3479" s="4" t="s">
        <v>5764</v>
      </c>
      <c r="H3479" s="4" t="s">
        <v>5103</v>
      </c>
      <c r="I3479" s="4" t="s">
        <v>2100</v>
      </c>
      <c r="J3479" s="4" t="s">
        <v>5822</v>
      </c>
      <c r="K3479">
        <v>6</v>
      </c>
      <c r="L3479">
        <v>1.8</v>
      </c>
      <c r="M3479">
        <v>15</v>
      </c>
      <c r="N3479">
        <v>92</v>
      </c>
      <c r="O3479">
        <v>70.866141732283467</v>
      </c>
      <c r="P3479">
        <v>0.59055118110236227</v>
      </c>
      <c r="Q3479">
        <v>3.6220472440944884</v>
      </c>
      <c r="R3479">
        <v>2377.42</v>
      </c>
      <c r="S3479">
        <v>2.4840000000000001E-3</v>
      </c>
      <c r="T3479" s="4" t="s">
        <v>5827</v>
      </c>
    </row>
    <row r="3480" spans="1:20" x14ac:dyDescent="0.2">
      <c r="A3480" s="4" t="s">
        <v>5761</v>
      </c>
      <c r="B3480" s="4" t="s">
        <v>5819</v>
      </c>
      <c r="C3480" s="4" t="s">
        <v>2286</v>
      </c>
      <c r="D3480" s="4" t="s">
        <v>4764</v>
      </c>
      <c r="E3480" s="4" t="s">
        <v>5830</v>
      </c>
      <c r="F3480" s="4" t="s">
        <v>5821</v>
      </c>
      <c r="G3480" s="4" t="s">
        <v>5764</v>
      </c>
      <c r="H3480" s="4" t="s">
        <v>5103</v>
      </c>
      <c r="I3480" s="4" t="s">
        <v>2100</v>
      </c>
      <c r="J3480" s="4" t="s">
        <v>5822</v>
      </c>
      <c r="K3480">
        <v>7</v>
      </c>
      <c r="L3480">
        <v>2.1</v>
      </c>
      <c r="M3480">
        <v>15</v>
      </c>
      <c r="N3480">
        <v>92</v>
      </c>
      <c r="O3480">
        <v>82.677165354330711</v>
      </c>
      <c r="P3480">
        <v>0.59055118110236227</v>
      </c>
      <c r="Q3480">
        <v>3.6220472440944884</v>
      </c>
      <c r="R3480">
        <v>2377.42</v>
      </c>
      <c r="S3480">
        <v>2.898E-3</v>
      </c>
      <c r="T3480" s="4" t="s">
        <v>5827</v>
      </c>
    </row>
    <row r="3481" spans="1:20" x14ac:dyDescent="0.2">
      <c r="A3481" s="4" t="s">
        <v>5761</v>
      </c>
      <c r="B3481" s="4" t="s">
        <v>5819</v>
      </c>
      <c r="C3481" s="4" t="s">
        <v>2096</v>
      </c>
      <c r="D3481" s="4" t="s">
        <v>4764</v>
      </c>
      <c r="E3481" s="4" t="s">
        <v>1889</v>
      </c>
      <c r="F3481" s="4" t="s">
        <v>5821</v>
      </c>
      <c r="G3481" s="4" t="s">
        <v>5764</v>
      </c>
      <c r="H3481" s="4" t="s">
        <v>5103</v>
      </c>
      <c r="I3481" s="4" t="s">
        <v>2100</v>
      </c>
      <c r="J3481" s="4" t="s">
        <v>5822</v>
      </c>
      <c r="K3481">
        <v>8</v>
      </c>
      <c r="L3481">
        <v>2.4</v>
      </c>
      <c r="M3481">
        <v>15</v>
      </c>
      <c r="N3481">
        <v>92</v>
      </c>
      <c r="O3481">
        <v>94.488188976377955</v>
      </c>
      <c r="P3481">
        <v>0.59055118110236227</v>
      </c>
      <c r="Q3481">
        <v>3.6220472440944884</v>
      </c>
      <c r="R3481">
        <v>2377.42</v>
      </c>
      <c r="S3481">
        <v>3.3119999999999998E-3</v>
      </c>
      <c r="T3481" s="4" t="s">
        <v>5823</v>
      </c>
    </row>
    <row r="3482" spans="1:20" x14ac:dyDescent="0.2">
      <c r="A3482" s="4" t="s">
        <v>5761</v>
      </c>
      <c r="B3482" s="4" t="s">
        <v>5819</v>
      </c>
      <c r="C3482" s="4" t="s">
        <v>2096</v>
      </c>
      <c r="D3482" s="4" t="s">
        <v>4764</v>
      </c>
      <c r="E3482" s="4" t="s">
        <v>1891</v>
      </c>
      <c r="F3482" s="4" t="s">
        <v>5821</v>
      </c>
      <c r="G3482" s="4" t="s">
        <v>5764</v>
      </c>
      <c r="H3482" s="4" t="s">
        <v>5103</v>
      </c>
      <c r="I3482" s="4" t="s">
        <v>2100</v>
      </c>
      <c r="J3482" s="4" t="s">
        <v>5822</v>
      </c>
      <c r="K3482">
        <v>9</v>
      </c>
      <c r="L3482">
        <v>2.7</v>
      </c>
      <c r="M3482">
        <v>15</v>
      </c>
      <c r="N3482">
        <v>92</v>
      </c>
      <c r="O3482">
        <v>106.29921259842521</v>
      </c>
      <c r="P3482">
        <v>0.59055118110236227</v>
      </c>
      <c r="Q3482">
        <v>3.6220472440944884</v>
      </c>
      <c r="R3482">
        <v>2377.42</v>
      </c>
      <c r="S3482">
        <v>3.7260000000000001E-3</v>
      </c>
      <c r="T3482" s="4" t="s">
        <v>5823</v>
      </c>
    </row>
    <row r="3483" spans="1:20" x14ac:dyDescent="0.2">
      <c r="A3483" s="4" t="s">
        <v>4793</v>
      </c>
      <c r="B3483" s="4" t="s">
        <v>5831</v>
      </c>
      <c r="C3483" s="4" t="s">
        <v>2096</v>
      </c>
      <c r="D3483" s="4" t="s">
        <v>4764</v>
      </c>
      <c r="E3483" s="4" t="s">
        <v>2011</v>
      </c>
      <c r="F3483" s="4" t="s">
        <v>5832</v>
      </c>
      <c r="G3483" s="4" t="s">
        <v>4981</v>
      </c>
      <c r="H3483" s="4" t="s">
        <v>5314</v>
      </c>
      <c r="I3483" s="4" t="s">
        <v>2100</v>
      </c>
      <c r="J3483" s="4" t="s">
        <v>2410</v>
      </c>
      <c r="K3483">
        <v>12</v>
      </c>
      <c r="L3483">
        <v>3.6</v>
      </c>
      <c r="M3483">
        <v>19</v>
      </c>
      <c r="N3483">
        <v>150</v>
      </c>
      <c r="O3483">
        <v>141.73228346456693</v>
      </c>
      <c r="P3483">
        <v>0.74803149606299213</v>
      </c>
      <c r="Q3483">
        <v>5.9055118110236222</v>
      </c>
      <c r="R3483">
        <v>1151.172</v>
      </c>
      <c r="S3483">
        <v>1.026E-2</v>
      </c>
      <c r="T3483" s="4" t="s">
        <v>5833</v>
      </c>
    </row>
    <row r="3484" spans="1:20" x14ac:dyDescent="0.2">
      <c r="A3484" s="4" t="s">
        <v>4793</v>
      </c>
      <c r="B3484" s="4" t="s">
        <v>5831</v>
      </c>
      <c r="C3484" s="4" t="s">
        <v>2096</v>
      </c>
      <c r="D3484" s="4" t="s">
        <v>4764</v>
      </c>
      <c r="E3484" s="4" t="s">
        <v>2013</v>
      </c>
      <c r="F3484" s="4" t="s">
        <v>5832</v>
      </c>
      <c r="G3484" s="4" t="s">
        <v>4981</v>
      </c>
      <c r="H3484" s="4" t="s">
        <v>5314</v>
      </c>
      <c r="I3484" s="4" t="s">
        <v>2100</v>
      </c>
      <c r="J3484" s="4" t="s">
        <v>2410</v>
      </c>
      <c r="K3484">
        <v>13</v>
      </c>
      <c r="L3484">
        <v>3.9</v>
      </c>
      <c r="M3484">
        <v>19</v>
      </c>
      <c r="N3484">
        <v>150</v>
      </c>
      <c r="O3484">
        <v>153.54330708661416</v>
      </c>
      <c r="P3484">
        <v>0.74803149606299213</v>
      </c>
      <c r="Q3484">
        <v>5.9055118110236222</v>
      </c>
      <c r="R3484">
        <v>1151.172</v>
      </c>
      <c r="S3484">
        <v>1.1115E-2</v>
      </c>
      <c r="T3484" s="4" t="s">
        <v>5833</v>
      </c>
    </row>
    <row r="3485" spans="1:20" x14ac:dyDescent="0.2">
      <c r="A3485" s="4" t="s">
        <v>4793</v>
      </c>
      <c r="B3485" s="4" t="s">
        <v>5831</v>
      </c>
      <c r="C3485" s="4" t="s">
        <v>2096</v>
      </c>
      <c r="D3485" s="4" t="s">
        <v>4764</v>
      </c>
      <c r="E3485" s="4" t="s">
        <v>5834</v>
      </c>
      <c r="F3485" s="4" t="s">
        <v>5832</v>
      </c>
      <c r="G3485" s="4" t="s">
        <v>4981</v>
      </c>
      <c r="H3485" s="4" t="s">
        <v>5314</v>
      </c>
      <c r="I3485" s="4" t="s">
        <v>2100</v>
      </c>
      <c r="J3485" s="4" t="s">
        <v>2410</v>
      </c>
      <c r="K3485">
        <v>14</v>
      </c>
      <c r="L3485">
        <v>4.2</v>
      </c>
      <c r="M3485">
        <v>19</v>
      </c>
      <c r="N3485">
        <v>150</v>
      </c>
      <c r="O3485">
        <v>165.35433070866142</v>
      </c>
      <c r="P3485">
        <v>0.74803149606299213</v>
      </c>
      <c r="Q3485">
        <v>5.9055118110236222</v>
      </c>
      <c r="R3485">
        <v>1151.172</v>
      </c>
      <c r="S3485">
        <v>1.1969999999999998E-2</v>
      </c>
      <c r="T3485" s="4" t="s">
        <v>5833</v>
      </c>
    </row>
    <row r="3486" spans="1:20" x14ac:dyDescent="0.2">
      <c r="A3486" s="4" t="s">
        <v>4793</v>
      </c>
      <c r="B3486" s="4" t="s">
        <v>5831</v>
      </c>
      <c r="C3486" s="4" t="s">
        <v>2096</v>
      </c>
      <c r="D3486" s="4" t="s">
        <v>4764</v>
      </c>
      <c r="E3486" s="4" t="s">
        <v>5835</v>
      </c>
      <c r="F3486" s="4" t="s">
        <v>5832</v>
      </c>
      <c r="G3486" s="4" t="s">
        <v>4981</v>
      </c>
      <c r="H3486" s="4" t="s">
        <v>5314</v>
      </c>
      <c r="I3486" s="4" t="s">
        <v>2100</v>
      </c>
      <c r="J3486" s="4" t="s">
        <v>2410</v>
      </c>
      <c r="K3486">
        <v>15</v>
      </c>
      <c r="L3486">
        <v>4.5</v>
      </c>
      <c r="M3486">
        <v>19</v>
      </c>
      <c r="N3486">
        <v>150</v>
      </c>
      <c r="O3486">
        <v>177.16535433070868</v>
      </c>
      <c r="P3486">
        <v>0.74803149606299213</v>
      </c>
      <c r="Q3486">
        <v>5.9055118110236222</v>
      </c>
      <c r="R3486">
        <v>1151.172</v>
      </c>
      <c r="S3486">
        <v>1.2825000000000001E-2</v>
      </c>
      <c r="T3486" s="4" t="s">
        <v>5833</v>
      </c>
    </row>
    <row r="3487" spans="1:20" x14ac:dyDescent="0.2">
      <c r="A3487" s="4" t="s">
        <v>4793</v>
      </c>
      <c r="B3487" s="4" t="s">
        <v>5831</v>
      </c>
      <c r="C3487" s="4" t="s">
        <v>2096</v>
      </c>
      <c r="D3487" s="4" t="s">
        <v>4764</v>
      </c>
      <c r="E3487" s="4" t="s">
        <v>5836</v>
      </c>
      <c r="F3487" s="4" t="s">
        <v>5832</v>
      </c>
      <c r="G3487" s="4" t="s">
        <v>4981</v>
      </c>
      <c r="H3487" s="4" t="s">
        <v>5314</v>
      </c>
      <c r="I3487" s="4" t="s">
        <v>2100</v>
      </c>
      <c r="J3487" s="4" t="s">
        <v>2410</v>
      </c>
      <c r="K3487">
        <v>16</v>
      </c>
      <c r="L3487">
        <v>4.8</v>
      </c>
      <c r="M3487">
        <v>19</v>
      </c>
      <c r="N3487">
        <v>150</v>
      </c>
      <c r="O3487">
        <v>188.97637795275591</v>
      </c>
      <c r="P3487">
        <v>0.74803149606299213</v>
      </c>
      <c r="Q3487">
        <v>5.9055118110236222</v>
      </c>
      <c r="R3487">
        <v>1151.172</v>
      </c>
      <c r="S3487">
        <v>1.3679999999999999E-2</v>
      </c>
      <c r="T3487" s="4" t="s">
        <v>5833</v>
      </c>
    </row>
    <row r="3488" spans="1:20" x14ac:dyDescent="0.2">
      <c r="A3488" s="4" t="s">
        <v>4793</v>
      </c>
      <c r="B3488" s="4" t="s">
        <v>5831</v>
      </c>
      <c r="C3488" s="4" t="s">
        <v>2096</v>
      </c>
      <c r="D3488" s="4" t="s">
        <v>4764</v>
      </c>
      <c r="E3488" s="4" t="s">
        <v>5837</v>
      </c>
      <c r="F3488" s="4" t="s">
        <v>5832</v>
      </c>
      <c r="G3488" s="4" t="s">
        <v>4981</v>
      </c>
      <c r="H3488" s="4" t="s">
        <v>5314</v>
      </c>
      <c r="I3488" s="4" t="s">
        <v>2100</v>
      </c>
      <c r="J3488" s="4" t="s">
        <v>2410</v>
      </c>
      <c r="K3488">
        <v>17</v>
      </c>
      <c r="L3488">
        <v>5.0999999999999996</v>
      </c>
      <c r="M3488">
        <v>19</v>
      </c>
      <c r="N3488">
        <v>150</v>
      </c>
      <c r="O3488">
        <v>200.78740157480314</v>
      </c>
      <c r="P3488">
        <v>0.74803149606299213</v>
      </c>
      <c r="Q3488">
        <v>5.9055118110236222</v>
      </c>
      <c r="R3488">
        <v>1151.172</v>
      </c>
      <c r="S3488">
        <v>1.4534999999999998E-2</v>
      </c>
      <c r="T3488" s="4" t="s">
        <v>5833</v>
      </c>
    </row>
    <row r="3489" spans="1:20" x14ac:dyDescent="0.2">
      <c r="A3489" s="4" t="s">
        <v>4793</v>
      </c>
      <c r="B3489" s="4" t="s">
        <v>5831</v>
      </c>
      <c r="C3489" s="4" t="s">
        <v>2096</v>
      </c>
      <c r="D3489" s="4" t="s">
        <v>4764</v>
      </c>
      <c r="E3489" s="4" t="s">
        <v>5838</v>
      </c>
      <c r="F3489" s="4" t="s">
        <v>5832</v>
      </c>
      <c r="G3489" s="4" t="s">
        <v>4981</v>
      </c>
      <c r="H3489" s="4" t="s">
        <v>5314</v>
      </c>
      <c r="I3489" s="4" t="s">
        <v>2100</v>
      </c>
      <c r="J3489" s="4" t="s">
        <v>2410</v>
      </c>
      <c r="K3489">
        <v>18</v>
      </c>
      <c r="L3489">
        <v>5.4</v>
      </c>
      <c r="M3489">
        <v>19</v>
      </c>
      <c r="N3489">
        <v>150</v>
      </c>
      <c r="O3489">
        <v>212.59842519685043</v>
      </c>
      <c r="P3489">
        <v>0.74803149606299213</v>
      </c>
      <c r="Q3489">
        <v>5.9055118110236222</v>
      </c>
      <c r="R3489">
        <v>1151.172</v>
      </c>
      <c r="S3489">
        <v>1.5390000000000003E-2</v>
      </c>
      <c r="T3489" s="4" t="s">
        <v>5833</v>
      </c>
    </row>
    <row r="3490" spans="1:20" x14ac:dyDescent="0.2">
      <c r="A3490" s="4" t="s">
        <v>4793</v>
      </c>
      <c r="B3490" s="4" t="s">
        <v>5831</v>
      </c>
      <c r="C3490" s="4" t="s">
        <v>2286</v>
      </c>
      <c r="D3490" s="4" t="s">
        <v>4764</v>
      </c>
      <c r="E3490" s="4" t="s">
        <v>1997</v>
      </c>
      <c r="F3490" s="4" t="s">
        <v>5832</v>
      </c>
      <c r="G3490" s="4" t="s">
        <v>4981</v>
      </c>
      <c r="H3490" s="4" t="s">
        <v>5314</v>
      </c>
      <c r="I3490" s="4" t="s">
        <v>2100</v>
      </c>
      <c r="J3490" s="4" t="s">
        <v>2410</v>
      </c>
      <c r="K3490">
        <v>4</v>
      </c>
      <c r="L3490">
        <v>1.2</v>
      </c>
      <c r="M3490">
        <v>19</v>
      </c>
      <c r="N3490">
        <v>150</v>
      </c>
      <c r="O3490">
        <v>47.244094488188978</v>
      </c>
      <c r="P3490">
        <v>0.74803149606299213</v>
      </c>
      <c r="Q3490">
        <v>5.9055118110236222</v>
      </c>
      <c r="R3490">
        <v>1151.172</v>
      </c>
      <c r="S3490">
        <v>3.4199999999999999E-3</v>
      </c>
      <c r="T3490" s="4" t="s">
        <v>5839</v>
      </c>
    </row>
    <row r="3491" spans="1:20" x14ac:dyDescent="0.2">
      <c r="A3491" s="4" t="s">
        <v>4793</v>
      </c>
      <c r="B3491" s="4" t="s">
        <v>5831</v>
      </c>
      <c r="C3491" s="4" t="s">
        <v>2286</v>
      </c>
      <c r="D3491" s="4" t="s">
        <v>4764</v>
      </c>
      <c r="E3491" s="4" t="s">
        <v>1999</v>
      </c>
      <c r="F3491" s="4" t="s">
        <v>5832</v>
      </c>
      <c r="G3491" s="4" t="s">
        <v>4981</v>
      </c>
      <c r="H3491" s="4" t="s">
        <v>5314</v>
      </c>
      <c r="I3491" s="4" t="s">
        <v>2100</v>
      </c>
      <c r="J3491" s="4" t="s">
        <v>2410</v>
      </c>
      <c r="K3491">
        <v>5</v>
      </c>
      <c r="L3491">
        <v>1.5</v>
      </c>
      <c r="M3491">
        <v>19</v>
      </c>
      <c r="N3491">
        <v>150</v>
      </c>
      <c r="O3491">
        <v>59.055118110236222</v>
      </c>
      <c r="P3491">
        <v>0.74803149606299213</v>
      </c>
      <c r="Q3491">
        <v>5.9055118110236222</v>
      </c>
      <c r="R3491">
        <v>1151.172</v>
      </c>
      <c r="S3491">
        <v>4.2750000000000002E-3</v>
      </c>
      <c r="T3491" s="4" t="s">
        <v>5839</v>
      </c>
    </row>
    <row r="3492" spans="1:20" x14ac:dyDescent="0.2">
      <c r="A3492" s="4" t="s">
        <v>4793</v>
      </c>
      <c r="B3492" s="4" t="s">
        <v>5831</v>
      </c>
      <c r="C3492" s="4" t="s">
        <v>2286</v>
      </c>
      <c r="D3492" s="4" t="s">
        <v>4764</v>
      </c>
      <c r="E3492" s="4" t="s">
        <v>2001</v>
      </c>
      <c r="F3492" s="4" t="s">
        <v>5832</v>
      </c>
      <c r="G3492" s="4" t="s">
        <v>4981</v>
      </c>
      <c r="H3492" s="4" t="s">
        <v>5314</v>
      </c>
      <c r="I3492" s="4" t="s">
        <v>2100</v>
      </c>
      <c r="J3492" s="4" t="s">
        <v>2410</v>
      </c>
      <c r="K3492">
        <v>6</v>
      </c>
      <c r="L3492">
        <v>1.8</v>
      </c>
      <c r="M3492">
        <v>19</v>
      </c>
      <c r="N3492">
        <v>150</v>
      </c>
      <c r="O3492">
        <v>70.866141732283467</v>
      </c>
      <c r="P3492">
        <v>0.74803149606299213</v>
      </c>
      <c r="Q3492">
        <v>5.9055118110236222</v>
      </c>
      <c r="R3492">
        <v>1151.172</v>
      </c>
      <c r="S3492">
        <v>5.13E-3</v>
      </c>
      <c r="T3492" s="4" t="s">
        <v>5839</v>
      </c>
    </row>
    <row r="3493" spans="1:20" x14ac:dyDescent="0.2">
      <c r="A3493" s="4" t="s">
        <v>4793</v>
      </c>
      <c r="B3493" s="4" t="s">
        <v>5831</v>
      </c>
      <c r="C3493" s="4" t="s">
        <v>2286</v>
      </c>
      <c r="D3493" s="4" t="s">
        <v>4764</v>
      </c>
      <c r="E3493" s="4" t="s">
        <v>2003</v>
      </c>
      <c r="F3493" s="4" t="s">
        <v>5832</v>
      </c>
      <c r="G3493" s="4" t="s">
        <v>4981</v>
      </c>
      <c r="H3493" s="4" t="s">
        <v>5314</v>
      </c>
      <c r="I3493" s="4" t="s">
        <v>2100</v>
      </c>
      <c r="J3493" s="4" t="s">
        <v>2410</v>
      </c>
      <c r="K3493">
        <v>7</v>
      </c>
      <c r="L3493">
        <v>2.1</v>
      </c>
      <c r="M3493">
        <v>19</v>
      </c>
      <c r="N3493">
        <v>150</v>
      </c>
      <c r="O3493">
        <v>82.677165354330711</v>
      </c>
      <c r="P3493">
        <v>0.74803149606299213</v>
      </c>
      <c r="Q3493">
        <v>5.9055118110236222</v>
      </c>
      <c r="R3493">
        <v>1151.172</v>
      </c>
      <c r="S3493">
        <v>5.984999999999999E-3</v>
      </c>
      <c r="T3493" s="4" t="s">
        <v>5839</v>
      </c>
    </row>
    <row r="3494" spans="1:20" x14ac:dyDescent="0.2">
      <c r="A3494" s="4" t="s">
        <v>4793</v>
      </c>
      <c r="B3494" s="4" t="s">
        <v>5831</v>
      </c>
      <c r="C3494" s="4" t="s">
        <v>2096</v>
      </c>
      <c r="D3494" s="4" t="s">
        <v>4764</v>
      </c>
      <c r="E3494" s="4" t="s">
        <v>2009</v>
      </c>
      <c r="F3494" s="4" t="s">
        <v>5832</v>
      </c>
      <c r="G3494" s="4" t="s">
        <v>4981</v>
      </c>
      <c r="H3494" s="4" t="s">
        <v>5314</v>
      </c>
      <c r="I3494" s="4" t="s">
        <v>2100</v>
      </c>
      <c r="J3494" s="4" t="s">
        <v>2410</v>
      </c>
      <c r="K3494">
        <v>10</v>
      </c>
      <c r="L3494">
        <v>3</v>
      </c>
      <c r="M3494">
        <v>19</v>
      </c>
      <c r="N3494">
        <v>150</v>
      </c>
      <c r="O3494">
        <v>118.11023622047244</v>
      </c>
      <c r="P3494">
        <v>0.74803149606299213</v>
      </c>
      <c r="Q3494">
        <v>5.9055118110236222</v>
      </c>
      <c r="R3494">
        <v>1151.172</v>
      </c>
      <c r="S3494">
        <v>8.5500000000000003E-3</v>
      </c>
      <c r="T3494" s="4" t="s">
        <v>5833</v>
      </c>
    </row>
    <row r="3495" spans="1:20" x14ac:dyDescent="0.2">
      <c r="A3495" s="4" t="s">
        <v>4793</v>
      </c>
      <c r="B3495" s="4" t="s">
        <v>5831</v>
      </c>
      <c r="C3495" s="4" t="s">
        <v>2096</v>
      </c>
      <c r="D3495" s="4" t="s">
        <v>4764</v>
      </c>
      <c r="E3495" s="4" t="s">
        <v>2005</v>
      </c>
      <c r="F3495" s="4" t="s">
        <v>5832</v>
      </c>
      <c r="G3495" s="4" t="s">
        <v>4981</v>
      </c>
      <c r="H3495" s="4" t="s">
        <v>5314</v>
      </c>
      <c r="I3495" s="4" t="s">
        <v>2100</v>
      </c>
      <c r="J3495" s="4" t="s">
        <v>2410</v>
      </c>
      <c r="K3495">
        <v>8</v>
      </c>
      <c r="L3495">
        <v>2.4</v>
      </c>
      <c r="M3495">
        <v>19</v>
      </c>
      <c r="N3495">
        <v>150</v>
      </c>
      <c r="O3495">
        <v>94.488188976377955</v>
      </c>
      <c r="P3495">
        <v>0.74803149606299213</v>
      </c>
      <c r="Q3495">
        <v>5.9055118110236222</v>
      </c>
      <c r="R3495">
        <v>1151.172</v>
      </c>
      <c r="S3495">
        <v>6.8399999999999997E-3</v>
      </c>
      <c r="T3495" s="4" t="s">
        <v>5833</v>
      </c>
    </row>
    <row r="3496" spans="1:20" x14ac:dyDescent="0.2">
      <c r="A3496" s="4" t="s">
        <v>4793</v>
      </c>
      <c r="B3496" s="4" t="s">
        <v>5831</v>
      </c>
      <c r="C3496" s="4" t="s">
        <v>2096</v>
      </c>
      <c r="D3496" s="4" t="s">
        <v>4764</v>
      </c>
      <c r="E3496" s="4" t="s">
        <v>5840</v>
      </c>
      <c r="F3496" s="4" t="s">
        <v>5832</v>
      </c>
      <c r="G3496" s="4" t="s">
        <v>4981</v>
      </c>
      <c r="H3496" s="4" t="s">
        <v>5314</v>
      </c>
      <c r="I3496" s="4" t="s">
        <v>2100</v>
      </c>
      <c r="J3496" s="4" t="s">
        <v>2410</v>
      </c>
      <c r="K3496">
        <v>11</v>
      </c>
      <c r="L3496">
        <v>3.3</v>
      </c>
      <c r="M3496">
        <v>19</v>
      </c>
      <c r="N3496">
        <v>150</v>
      </c>
      <c r="O3496">
        <v>129.92125984251967</v>
      </c>
      <c r="P3496">
        <v>0.74803149606299213</v>
      </c>
      <c r="Q3496">
        <v>5.9055118110236222</v>
      </c>
      <c r="R3496">
        <v>1151.172</v>
      </c>
      <c r="S3496">
        <v>9.4050000000000002E-3</v>
      </c>
      <c r="T3496" s="4" t="s">
        <v>5833</v>
      </c>
    </row>
    <row r="3497" spans="1:20" x14ac:dyDescent="0.2">
      <c r="A3497" s="4" t="s">
        <v>4793</v>
      </c>
      <c r="B3497" s="4" t="s">
        <v>5831</v>
      </c>
      <c r="C3497" s="4" t="s">
        <v>2096</v>
      </c>
      <c r="D3497" s="4" t="s">
        <v>4764</v>
      </c>
      <c r="E3497" s="4" t="s">
        <v>2007</v>
      </c>
      <c r="F3497" s="4" t="s">
        <v>5832</v>
      </c>
      <c r="G3497" s="4" t="s">
        <v>4981</v>
      </c>
      <c r="H3497" s="4" t="s">
        <v>5314</v>
      </c>
      <c r="I3497" s="4" t="s">
        <v>2100</v>
      </c>
      <c r="J3497" s="4" t="s">
        <v>2410</v>
      </c>
      <c r="K3497">
        <v>9</v>
      </c>
      <c r="L3497">
        <v>2.7</v>
      </c>
      <c r="M3497">
        <v>19</v>
      </c>
      <c r="N3497">
        <v>150</v>
      </c>
      <c r="O3497">
        <v>106.29921259842521</v>
      </c>
      <c r="P3497">
        <v>0.74803149606299213</v>
      </c>
      <c r="Q3497">
        <v>5.9055118110236222</v>
      </c>
      <c r="R3497">
        <v>1151.172</v>
      </c>
      <c r="S3497">
        <v>7.6950000000000013E-3</v>
      </c>
      <c r="T3497" s="4" t="s">
        <v>5833</v>
      </c>
    </row>
    <row r="3498" spans="1:20" x14ac:dyDescent="0.2">
      <c r="A3498" s="4" t="s">
        <v>5841</v>
      </c>
      <c r="B3498" s="4" t="s">
        <v>5842</v>
      </c>
      <c r="C3498" s="4" t="s">
        <v>4586</v>
      </c>
      <c r="D3498" s="4" t="s">
        <v>4586</v>
      </c>
      <c r="E3498" s="4" t="s">
        <v>15</v>
      </c>
      <c r="F3498" s="4" t="s">
        <v>5843</v>
      </c>
      <c r="G3498" s="4" t="s">
        <v>5844</v>
      </c>
      <c r="H3498" s="4" t="s">
        <v>5845</v>
      </c>
      <c r="I3498" s="4" t="s">
        <v>2100</v>
      </c>
      <c r="J3498" s="4" t="s">
        <v>5846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 s="4" t="s">
        <v>5847</v>
      </c>
    </row>
    <row r="3499" spans="1:20" x14ac:dyDescent="0.2">
      <c r="A3499" s="4" t="s">
        <v>5848</v>
      </c>
      <c r="B3499" s="4" t="s">
        <v>5849</v>
      </c>
      <c r="C3499" s="4" t="s">
        <v>2096</v>
      </c>
      <c r="D3499" s="4" t="s">
        <v>4764</v>
      </c>
      <c r="E3499" s="4" t="s">
        <v>1893</v>
      </c>
      <c r="F3499" s="4" t="s">
        <v>5850</v>
      </c>
      <c r="G3499" s="4" t="s">
        <v>5848</v>
      </c>
      <c r="H3499" s="4" t="s">
        <v>5665</v>
      </c>
      <c r="I3499" s="4" t="s">
        <v>5851</v>
      </c>
      <c r="J3499" s="4" t="s">
        <v>2153</v>
      </c>
      <c r="K3499">
        <v>10</v>
      </c>
      <c r="L3499">
        <v>3</v>
      </c>
      <c r="M3499">
        <v>19.049999999999997</v>
      </c>
      <c r="N3499">
        <v>139.69999999999999</v>
      </c>
      <c r="O3499">
        <v>118.11023622047244</v>
      </c>
      <c r="P3499">
        <v>0.74999999999999989</v>
      </c>
      <c r="Q3499">
        <v>5.5</v>
      </c>
      <c r="R3499">
        <v>1232.8030000000001</v>
      </c>
      <c r="S3499">
        <v>7.983854999999998E-3</v>
      </c>
      <c r="T3499" s="4" t="s">
        <v>5852</v>
      </c>
    </row>
    <row r="3500" spans="1:20" x14ac:dyDescent="0.2">
      <c r="A3500" s="4" t="s">
        <v>5848</v>
      </c>
      <c r="B3500" s="4" t="s">
        <v>5849</v>
      </c>
      <c r="C3500" s="4" t="s">
        <v>2096</v>
      </c>
      <c r="D3500" s="4" t="s">
        <v>4764</v>
      </c>
      <c r="E3500" s="4" t="s">
        <v>5853</v>
      </c>
      <c r="F3500" s="4" t="s">
        <v>5850</v>
      </c>
      <c r="G3500" s="4" t="s">
        <v>5848</v>
      </c>
      <c r="H3500" s="4" t="s">
        <v>5665</v>
      </c>
      <c r="I3500" s="4" t="s">
        <v>5851</v>
      </c>
      <c r="J3500" s="4" t="s">
        <v>2153</v>
      </c>
      <c r="K3500">
        <v>11</v>
      </c>
      <c r="L3500">
        <v>3.3</v>
      </c>
      <c r="M3500">
        <v>19.049999999999997</v>
      </c>
      <c r="N3500">
        <v>139.69999999999999</v>
      </c>
      <c r="O3500">
        <v>129.92125984251967</v>
      </c>
      <c r="P3500">
        <v>0.74999999999999989</v>
      </c>
      <c r="Q3500">
        <v>5.5</v>
      </c>
      <c r="R3500">
        <v>1232.8030000000001</v>
      </c>
      <c r="S3500">
        <v>8.7822404999999982E-3</v>
      </c>
      <c r="T3500" s="4" t="s">
        <v>5852</v>
      </c>
    </row>
    <row r="3501" spans="1:20" x14ac:dyDescent="0.2">
      <c r="A3501" s="4" t="s">
        <v>5848</v>
      </c>
      <c r="B3501" s="4" t="s">
        <v>5849</v>
      </c>
      <c r="C3501" s="4" t="s">
        <v>2096</v>
      </c>
      <c r="D3501" s="4" t="s">
        <v>4764</v>
      </c>
      <c r="E3501" s="4" t="s">
        <v>1895</v>
      </c>
      <c r="F3501" s="4" t="s">
        <v>5850</v>
      </c>
      <c r="G3501" s="4" t="s">
        <v>5848</v>
      </c>
      <c r="H3501" s="4" t="s">
        <v>5665</v>
      </c>
      <c r="I3501" s="4" t="s">
        <v>5851</v>
      </c>
      <c r="J3501" s="4" t="s">
        <v>2153</v>
      </c>
      <c r="K3501">
        <v>12</v>
      </c>
      <c r="L3501">
        <v>3.6</v>
      </c>
      <c r="M3501">
        <v>19.049999999999997</v>
      </c>
      <c r="N3501">
        <v>139.69999999999999</v>
      </c>
      <c r="O3501">
        <v>141.73228346456693</v>
      </c>
      <c r="P3501">
        <v>0.74999999999999989</v>
      </c>
      <c r="Q3501">
        <v>5.5</v>
      </c>
      <c r="R3501">
        <v>1232.8030000000001</v>
      </c>
      <c r="S3501">
        <v>9.5806259999999983E-3</v>
      </c>
      <c r="T3501" s="4" t="s">
        <v>5852</v>
      </c>
    </row>
    <row r="3502" spans="1:20" x14ac:dyDescent="0.2">
      <c r="A3502" s="4" t="s">
        <v>5848</v>
      </c>
      <c r="B3502" s="4" t="s">
        <v>5849</v>
      </c>
      <c r="C3502" s="4" t="s">
        <v>2096</v>
      </c>
      <c r="D3502" s="4" t="s">
        <v>4764</v>
      </c>
      <c r="E3502" s="4" t="s">
        <v>5854</v>
      </c>
      <c r="F3502" s="4" t="s">
        <v>5850</v>
      </c>
      <c r="G3502" s="4" t="s">
        <v>5848</v>
      </c>
      <c r="H3502" s="4" t="s">
        <v>5665</v>
      </c>
      <c r="I3502" s="4" t="s">
        <v>5851</v>
      </c>
      <c r="J3502" s="4" t="s">
        <v>2153</v>
      </c>
      <c r="K3502">
        <v>13</v>
      </c>
      <c r="L3502">
        <v>3.9</v>
      </c>
      <c r="M3502">
        <v>19.049999999999997</v>
      </c>
      <c r="N3502">
        <v>139.69999999999999</v>
      </c>
      <c r="O3502">
        <v>153.54330708661416</v>
      </c>
      <c r="P3502">
        <v>0.74999999999999989</v>
      </c>
      <c r="Q3502">
        <v>5.5</v>
      </c>
      <c r="R3502">
        <v>1232.8030000000001</v>
      </c>
      <c r="S3502">
        <v>1.0379011499999997E-2</v>
      </c>
      <c r="T3502" s="4" t="s">
        <v>5852</v>
      </c>
    </row>
    <row r="3503" spans="1:20" x14ac:dyDescent="0.2">
      <c r="A3503" s="4" t="s">
        <v>5848</v>
      </c>
      <c r="B3503" s="4" t="s">
        <v>5849</v>
      </c>
      <c r="C3503" s="4" t="s">
        <v>2096</v>
      </c>
      <c r="D3503" s="4" t="s">
        <v>4764</v>
      </c>
      <c r="E3503" s="4" t="s">
        <v>5855</v>
      </c>
      <c r="F3503" s="4" t="s">
        <v>5850</v>
      </c>
      <c r="G3503" s="4" t="s">
        <v>5848</v>
      </c>
      <c r="H3503" s="4" t="s">
        <v>5665</v>
      </c>
      <c r="I3503" s="4" t="s">
        <v>5851</v>
      </c>
      <c r="J3503" s="4" t="s">
        <v>2153</v>
      </c>
      <c r="K3503">
        <v>14</v>
      </c>
      <c r="L3503">
        <v>4.2</v>
      </c>
      <c r="M3503">
        <v>19.049999999999997</v>
      </c>
      <c r="N3503">
        <v>139.69999999999999</v>
      </c>
      <c r="O3503">
        <v>165.35433070866142</v>
      </c>
      <c r="P3503">
        <v>0.74999999999999989</v>
      </c>
      <c r="Q3503">
        <v>5.5</v>
      </c>
      <c r="R3503">
        <v>1232.8030000000001</v>
      </c>
      <c r="S3503">
        <v>1.1177396999999999E-2</v>
      </c>
      <c r="T3503" s="4" t="s">
        <v>5852</v>
      </c>
    </row>
    <row r="3504" spans="1:20" x14ac:dyDescent="0.2">
      <c r="A3504" s="4" t="s">
        <v>5848</v>
      </c>
      <c r="B3504" s="4" t="s">
        <v>5849</v>
      </c>
      <c r="C3504" s="4" t="s">
        <v>2096</v>
      </c>
      <c r="D3504" s="4" t="s">
        <v>4764</v>
      </c>
      <c r="E3504" s="4" t="s">
        <v>5856</v>
      </c>
      <c r="F3504" s="4" t="s">
        <v>5850</v>
      </c>
      <c r="G3504" s="4" t="s">
        <v>5848</v>
      </c>
      <c r="H3504" s="4" t="s">
        <v>5665</v>
      </c>
      <c r="I3504" s="4" t="s">
        <v>5851</v>
      </c>
      <c r="J3504" s="4" t="s">
        <v>2153</v>
      </c>
      <c r="K3504">
        <v>15</v>
      </c>
      <c r="L3504">
        <v>4.5</v>
      </c>
      <c r="M3504">
        <v>19.049999999999997</v>
      </c>
      <c r="N3504">
        <v>139.69999999999999</v>
      </c>
      <c r="O3504">
        <v>177.16535433070868</v>
      </c>
      <c r="P3504">
        <v>0.74999999999999989</v>
      </c>
      <c r="Q3504">
        <v>5.5</v>
      </c>
      <c r="R3504">
        <v>1232.8030000000001</v>
      </c>
      <c r="S3504">
        <v>1.1975782499999997E-2</v>
      </c>
      <c r="T3504" s="4" t="s">
        <v>5852</v>
      </c>
    </row>
    <row r="3505" spans="1:20" x14ac:dyDescent="0.2">
      <c r="A3505" s="4" t="s">
        <v>5848</v>
      </c>
      <c r="B3505" s="4" t="s">
        <v>5849</v>
      </c>
      <c r="C3505" s="4" t="s">
        <v>2096</v>
      </c>
      <c r="D3505" s="4" t="s">
        <v>4764</v>
      </c>
      <c r="E3505" s="4" t="s">
        <v>5857</v>
      </c>
      <c r="F3505" s="4" t="s">
        <v>5850</v>
      </c>
      <c r="G3505" s="4" t="s">
        <v>5848</v>
      </c>
      <c r="H3505" s="4" t="s">
        <v>5665</v>
      </c>
      <c r="I3505" s="4" t="s">
        <v>5851</v>
      </c>
      <c r="J3505" s="4" t="s">
        <v>2153</v>
      </c>
      <c r="K3505">
        <v>16</v>
      </c>
      <c r="L3505">
        <v>4.8</v>
      </c>
      <c r="M3505">
        <v>19.049999999999997</v>
      </c>
      <c r="N3505">
        <v>139.69999999999999</v>
      </c>
      <c r="O3505">
        <v>188.97637795275591</v>
      </c>
      <c r="P3505">
        <v>0.74999999999999989</v>
      </c>
      <c r="Q3505">
        <v>5.5</v>
      </c>
      <c r="R3505">
        <v>1232.8030000000001</v>
      </c>
      <c r="S3505">
        <v>1.2774167999999995E-2</v>
      </c>
      <c r="T3505" s="4" t="s">
        <v>5852</v>
      </c>
    </row>
    <row r="3506" spans="1:20" x14ac:dyDescent="0.2">
      <c r="A3506" s="4" t="s">
        <v>5848</v>
      </c>
      <c r="B3506" s="4" t="s">
        <v>5849</v>
      </c>
      <c r="C3506" s="4" t="s">
        <v>2096</v>
      </c>
      <c r="D3506" s="4" t="s">
        <v>4764</v>
      </c>
      <c r="E3506" s="4" t="s">
        <v>5858</v>
      </c>
      <c r="F3506" s="4" t="s">
        <v>5850</v>
      </c>
      <c r="G3506" s="4" t="s">
        <v>5848</v>
      </c>
      <c r="H3506" s="4" t="s">
        <v>5665</v>
      </c>
      <c r="I3506" s="4" t="s">
        <v>5851</v>
      </c>
      <c r="J3506" s="4" t="s">
        <v>2153</v>
      </c>
      <c r="K3506">
        <v>17</v>
      </c>
      <c r="L3506">
        <v>5.0999999999999996</v>
      </c>
      <c r="M3506">
        <v>19.049999999999997</v>
      </c>
      <c r="N3506">
        <v>139.69999999999999</v>
      </c>
      <c r="O3506">
        <v>200.78740157480314</v>
      </c>
      <c r="P3506">
        <v>0.74999999999999989</v>
      </c>
      <c r="Q3506">
        <v>5.5</v>
      </c>
      <c r="R3506">
        <v>1232.8030000000001</v>
      </c>
      <c r="S3506">
        <v>1.3572553499999996E-2</v>
      </c>
      <c r="T3506" s="4" t="s">
        <v>5852</v>
      </c>
    </row>
    <row r="3507" spans="1:20" x14ac:dyDescent="0.2">
      <c r="A3507" s="4" t="s">
        <v>5848</v>
      </c>
      <c r="B3507" s="4" t="s">
        <v>5849</v>
      </c>
      <c r="C3507" s="4" t="s">
        <v>2096</v>
      </c>
      <c r="D3507" s="4" t="s">
        <v>4764</v>
      </c>
      <c r="E3507" s="4" t="s">
        <v>5859</v>
      </c>
      <c r="F3507" s="4" t="s">
        <v>5850</v>
      </c>
      <c r="G3507" s="4" t="s">
        <v>5848</v>
      </c>
      <c r="H3507" s="4" t="s">
        <v>5665</v>
      </c>
      <c r="I3507" s="4" t="s">
        <v>5851</v>
      </c>
      <c r="J3507" s="4" t="s">
        <v>2153</v>
      </c>
      <c r="K3507">
        <v>18</v>
      </c>
      <c r="L3507">
        <v>5.4</v>
      </c>
      <c r="M3507">
        <v>19.049999999999997</v>
      </c>
      <c r="N3507">
        <v>139.69999999999999</v>
      </c>
      <c r="O3507">
        <v>212.59842519685043</v>
      </c>
      <c r="P3507">
        <v>0.74999999999999989</v>
      </c>
      <c r="Q3507">
        <v>5.5</v>
      </c>
      <c r="R3507">
        <v>1232.8030000000001</v>
      </c>
      <c r="S3507">
        <v>1.4370938999999998E-2</v>
      </c>
      <c r="T3507" s="4" t="s">
        <v>5852</v>
      </c>
    </row>
    <row r="3508" spans="1:20" x14ac:dyDescent="0.2">
      <c r="A3508" s="4" t="s">
        <v>5848</v>
      </c>
      <c r="B3508" s="4" t="s">
        <v>5849</v>
      </c>
      <c r="C3508" s="4" t="s">
        <v>2286</v>
      </c>
      <c r="D3508" s="4" t="s">
        <v>4764</v>
      </c>
      <c r="E3508" s="4" t="s">
        <v>5860</v>
      </c>
      <c r="F3508" s="4" t="s">
        <v>5850</v>
      </c>
      <c r="G3508" s="4" t="s">
        <v>5848</v>
      </c>
      <c r="H3508" s="4" t="s">
        <v>5665</v>
      </c>
      <c r="I3508" s="4" t="s">
        <v>5851</v>
      </c>
      <c r="J3508" s="4" t="s">
        <v>2153</v>
      </c>
      <c r="K3508">
        <v>4</v>
      </c>
      <c r="L3508">
        <v>1.2</v>
      </c>
      <c r="M3508">
        <v>19.049999999999997</v>
      </c>
      <c r="N3508">
        <v>139.69999999999999</v>
      </c>
      <c r="O3508">
        <v>47.244094488188978</v>
      </c>
      <c r="P3508">
        <v>0.74999999999999989</v>
      </c>
      <c r="Q3508">
        <v>5.5</v>
      </c>
      <c r="R3508">
        <v>1232.8030000000001</v>
      </c>
      <c r="S3508">
        <v>3.1935419999999989E-3</v>
      </c>
      <c r="T3508" s="4" t="s">
        <v>5861</v>
      </c>
    </row>
    <row r="3509" spans="1:20" x14ac:dyDescent="0.2">
      <c r="A3509" s="4" t="s">
        <v>5848</v>
      </c>
      <c r="B3509" s="4" t="s">
        <v>5849</v>
      </c>
      <c r="C3509" s="4" t="s">
        <v>2286</v>
      </c>
      <c r="D3509" s="4" t="s">
        <v>4764</v>
      </c>
      <c r="E3509" s="4" t="s">
        <v>5862</v>
      </c>
      <c r="F3509" s="4" t="s">
        <v>5850</v>
      </c>
      <c r="G3509" s="4" t="s">
        <v>5848</v>
      </c>
      <c r="H3509" s="4" t="s">
        <v>5665</v>
      </c>
      <c r="I3509" s="4" t="s">
        <v>5851</v>
      </c>
      <c r="J3509" s="4" t="s">
        <v>2153</v>
      </c>
      <c r="K3509">
        <v>5</v>
      </c>
      <c r="L3509">
        <v>1.5</v>
      </c>
      <c r="M3509">
        <v>19.049999999999997</v>
      </c>
      <c r="N3509">
        <v>139.69999999999999</v>
      </c>
      <c r="O3509">
        <v>59.055118110236222</v>
      </c>
      <c r="P3509">
        <v>0.74999999999999989</v>
      </c>
      <c r="Q3509">
        <v>5.5</v>
      </c>
      <c r="R3509">
        <v>1232.8030000000001</v>
      </c>
      <c r="S3509">
        <v>3.991927499999999E-3</v>
      </c>
      <c r="T3509" s="4" t="s">
        <v>5861</v>
      </c>
    </row>
    <row r="3510" spans="1:20" x14ac:dyDescent="0.2">
      <c r="A3510" s="4" t="s">
        <v>5848</v>
      </c>
      <c r="B3510" s="4" t="s">
        <v>5849</v>
      </c>
      <c r="C3510" s="4" t="s">
        <v>2286</v>
      </c>
      <c r="D3510" s="4" t="s">
        <v>4764</v>
      </c>
      <c r="E3510" s="4" t="s">
        <v>5863</v>
      </c>
      <c r="F3510" s="4" t="s">
        <v>5850</v>
      </c>
      <c r="G3510" s="4" t="s">
        <v>5848</v>
      </c>
      <c r="H3510" s="4" t="s">
        <v>5665</v>
      </c>
      <c r="I3510" s="4" t="s">
        <v>5851</v>
      </c>
      <c r="J3510" s="4" t="s">
        <v>2153</v>
      </c>
      <c r="K3510">
        <v>6</v>
      </c>
      <c r="L3510">
        <v>1.8</v>
      </c>
      <c r="M3510">
        <v>19.049999999999997</v>
      </c>
      <c r="N3510">
        <v>139.69999999999999</v>
      </c>
      <c r="O3510">
        <v>70.866141732283467</v>
      </c>
      <c r="P3510">
        <v>0.74999999999999989</v>
      </c>
      <c r="Q3510">
        <v>5.5</v>
      </c>
      <c r="R3510">
        <v>1232.8030000000001</v>
      </c>
      <c r="S3510">
        <v>4.7903129999999992E-3</v>
      </c>
      <c r="T3510" s="4" t="s">
        <v>5861</v>
      </c>
    </row>
    <row r="3511" spans="1:20" x14ac:dyDescent="0.2">
      <c r="A3511" s="4" t="s">
        <v>5848</v>
      </c>
      <c r="B3511" s="4" t="s">
        <v>5849</v>
      </c>
      <c r="C3511" s="4" t="s">
        <v>2286</v>
      </c>
      <c r="D3511" s="4" t="s">
        <v>4764</v>
      </c>
      <c r="E3511" s="4" t="s">
        <v>1897</v>
      </c>
      <c r="F3511" s="4" t="s">
        <v>5850</v>
      </c>
      <c r="G3511" s="4" t="s">
        <v>5848</v>
      </c>
      <c r="H3511" s="4" t="s">
        <v>5665</v>
      </c>
      <c r="I3511" s="4" t="s">
        <v>5851</v>
      </c>
      <c r="J3511" s="4" t="s">
        <v>2153</v>
      </c>
      <c r="K3511">
        <v>7</v>
      </c>
      <c r="L3511">
        <v>2.1</v>
      </c>
      <c r="M3511">
        <v>19.049999999999997</v>
      </c>
      <c r="N3511">
        <v>139.69999999999999</v>
      </c>
      <c r="O3511">
        <v>82.677165354330711</v>
      </c>
      <c r="P3511">
        <v>0.74999999999999989</v>
      </c>
      <c r="Q3511">
        <v>5.5</v>
      </c>
      <c r="R3511">
        <v>1232.8030000000001</v>
      </c>
      <c r="S3511">
        <v>5.5886984999999993E-3</v>
      </c>
      <c r="T3511" s="4" t="s">
        <v>5861</v>
      </c>
    </row>
    <row r="3512" spans="1:20" x14ac:dyDescent="0.2">
      <c r="A3512" s="4" t="s">
        <v>5848</v>
      </c>
      <c r="B3512" s="4" t="s">
        <v>5849</v>
      </c>
      <c r="C3512" s="4" t="s">
        <v>2096</v>
      </c>
      <c r="D3512" s="4" t="s">
        <v>4764</v>
      </c>
      <c r="E3512" s="4" t="s">
        <v>1899</v>
      </c>
      <c r="F3512" s="4" t="s">
        <v>5850</v>
      </c>
      <c r="G3512" s="4" t="s">
        <v>5848</v>
      </c>
      <c r="H3512" s="4" t="s">
        <v>5665</v>
      </c>
      <c r="I3512" s="4" t="s">
        <v>5851</v>
      </c>
      <c r="J3512" s="4" t="s">
        <v>2153</v>
      </c>
      <c r="K3512">
        <v>8</v>
      </c>
      <c r="L3512">
        <v>2.4</v>
      </c>
      <c r="M3512">
        <v>19.049999999999997</v>
      </c>
      <c r="N3512">
        <v>139.69999999999999</v>
      </c>
      <c r="O3512">
        <v>94.488188976377955</v>
      </c>
      <c r="P3512">
        <v>0.74999999999999989</v>
      </c>
      <c r="Q3512">
        <v>5.5</v>
      </c>
      <c r="R3512">
        <v>1232.8030000000001</v>
      </c>
      <c r="S3512">
        <v>6.3870839999999977E-3</v>
      </c>
      <c r="T3512" s="4" t="s">
        <v>5852</v>
      </c>
    </row>
    <row r="3513" spans="1:20" x14ac:dyDescent="0.2">
      <c r="A3513" s="4" t="s">
        <v>5848</v>
      </c>
      <c r="B3513" s="4" t="s">
        <v>5849</v>
      </c>
      <c r="C3513" s="4" t="s">
        <v>2096</v>
      </c>
      <c r="D3513" s="4" t="s">
        <v>4764</v>
      </c>
      <c r="E3513" s="4" t="s">
        <v>1901</v>
      </c>
      <c r="F3513" s="4" t="s">
        <v>5850</v>
      </c>
      <c r="G3513" s="4" t="s">
        <v>5848</v>
      </c>
      <c r="H3513" s="4" t="s">
        <v>5665</v>
      </c>
      <c r="I3513" s="4" t="s">
        <v>5851</v>
      </c>
      <c r="J3513" s="4" t="s">
        <v>2153</v>
      </c>
      <c r="K3513">
        <v>9</v>
      </c>
      <c r="L3513">
        <v>2.7</v>
      </c>
      <c r="M3513">
        <v>19.049999999999997</v>
      </c>
      <c r="N3513">
        <v>139.69999999999999</v>
      </c>
      <c r="O3513">
        <v>106.29921259842521</v>
      </c>
      <c r="P3513">
        <v>0.74999999999999989</v>
      </c>
      <c r="Q3513">
        <v>5.5</v>
      </c>
      <c r="R3513">
        <v>1232.8030000000001</v>
      </c>
      <c r="S3513">
        <v>7.1854694999999988E-3</v>
      </c>
      <c r="T3513" s="4" t="s">
        <v>5852</v>
      </c>
    </row>
    <row r="3514" spans="1:20" x14ac:dyDescent="0.2">
      <c r="A3514" s="4" t="s">
        <v>5841</v>
      </c>
      <c r="B3514" s="4" t="s">
        <v>5842</v>
      </c>
      <c r="C3514" s="4" t="s">
        <v>4586</v>
      </c>
      <c r="D3514" s="4" t="s">
        <v>4586</v>
      </c>
      <c r="E3514" s="4" t="s">
        <v>20</v>
      </c>
      <c r="F3514" s="4" t="s">
        <v>5864</v>
      </c>
      <c r="G3514" s="4" t="s">
        <v>4526</v>
      </c>
      <c r="H3514" s="4" t="s">
        <v>5845</v>
      </c>
      <c r="I3514" s="4" t="s">
        <v>2100</v>
      </c>
      <c r="J3514" s="4" t="s">
        <v>5846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 s="4" t="s">
        <v>5865</v>
      </c>
    </row>
    <row r="3515" spans="1:20" x14ac:dyDescent="0.2">
      <c r="A3515" s="4" t="s">
        <v>5866</v>
      </c>
      <c r="B3515" s="4" t="s">
        <v>5867</v>
      </c>
      <c r="C3515" s="4" t="s">
        <v>4586</v>
      </c>
      <c r="D3515" s="4" t="s">
        <v>5866</v>
      </c>
      <c r="E3515" s="4" t="s">
        <v>5868</v>
      </c>
      <c r="F3515" s="4" t="s">
        <v>5869</v>
      </c>
      <c r="G3515" s="4" t="s">
        <v>4605</v>
      </c>
      <c r="H3515" s="4" t="s">
        <v>5870</v>
      </c>
      <c r="I3515" s="4" t="s">
        <v>4591</v>
      </c>
      <c r="J3515" s="4" t="s">
        <v>4599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 s="4" t="s">
        <v>5871</v>
      </c>
    </row>
    <row r="3516" spans="1:20" x14ac:dyDescent="0.2">
      <c r="A3516" s="4" t="s">
        <v>5866</v>
      </c>
      <c r="B3516" s="4" t="s">
        <v>5872</v>
      </c>
      <c r="C3516" s="4" t="s">
        <v>4586</v>
      </c>
      <c r="D3516" s="4" t="s">
        <v>5866</v>
      </c>
      <c r="E3516" s="4" t="s">
        <v>5873</v>
      </c>
      <c r="F3516" s="4" t="s">
        <v>5869</v>
      </c>
      <c r="G3516" s="4" t="s">
        <v>4605</v>
      </c>
      <c r="H3516" s="4" t="s">
        <v>5870</v>
      </c>
      <c r="I3516" s="4" t="s">
        <v>4591</v>
      </c>
      <c r="J3516" s="4" t="s">
        <v>4596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 s="4" t="s">
        <v>5871</v>
      </c>
    </row>
    <row r="3517" spans="1:20" x14ac:dyDescent="0.2">
      <c r="A3517" s="4" t="s">
        <v>5866</v>
      </c>
      <c r="B3517" s="4" t="s">
        <v>5874</v>
      </c>
      <c r="C3517" s="4" t="s">
        <v>4586</v>
      </c>
      <c r="D3517" s="4" t="s">
        <v>5866</v>
      </c>
      <c r="E3517" s="4" t="s">
        <v>5875</v>
      </c>
      <c r="F3517" s="4" t="s">
        <v>5869</v>
      </c>
      <c r="G3517" s="4" t="s">
        <v>4605</v>
      </c>
      <c r="H3517" s="4" t="s">
        <v>5870</v>
      </c>
      <c r="I3517" s="4" t="s">
        <v>4591</v>
      </c>
      <c r="J3517" s="4" t="s">
        <v>4602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 s="4" t="s">
        <v>5871</v>
      </c>
    </row>
    <row r="3518" spans="1:20" x14ac:dyDescent="0.2">
      <c r="A3518" s="4" t="s">
        <v>5866</v>
      </c>
      <c r="B3518" s="4" t="s">
        <v>5876</v>
      </c>
      <c r="C3518" s="4" t="s">
        <v>4586</v>
      </c>
      <c r="D3518" s="4" t="s">
        <v>5866</v>
      </c>
      <c r="E3518" s="4" t="s">
        <v>5877</v>
      </c>
      <c r="F3518" s="4" t="s">
        <v>5869</v>
      </c>
      <c r="G3518" s="4" t="s">
        <v>4605</v>
      </c>
      <c r="H3518" s="4" t="s">
        <v>5870</v>
      </c>
      <c r="I3518" s="4" t="s">
        <v>4591</v>
      </c>
      <c r="J3518" s="4" t="s">
        <v>4592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 s="4" t="s">
        <v>5871</v>
      </c>
    </row>
    <row r="3519" spans="1:20" x14ac:dyDescent="0.2">
      <c r="A3519" s="4" t="s">
        <v>5866</v>
      </c>
      <c r="B3519" s="4" t="s">
        <v>5867</v>
      </c>
      <c r="C3519" s="4" t="s">
        <v>4586</v>
      </c>
      <c r="D3519" s="4" t="s">
        <v>5866</v>
      </c>
      <c r="E3519" s="4" t="s">
        <v>5878</v>
      </c>
      <c r="F3519" s="4" t="s">
        <v>5879</v>
      </c>
      <c r="G3519" s="4" t="s">
        <v>4612</v>
      </c>
      <c r="H3519" s="4" t="s">
        <v>5870</v>
      </c>
      <c r="I3519" s="4" t="s">
        <v>4642</v>
      </c>
      <c r="J3519" s="4" t="s">
        <v>4599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 s="4" t="s">
        <v>5880</v>
      </c>
    </row>
    <row r="3520" spans="1:20" x14ac:dyDescent="0.2">
      <c r="A3520" s="4" t="s">
        <v>5866</v>
      </c>
      <c r="B3520" s="4" t="s">
        <v>5872</v>
      </c>
      <c r="C3520" s="4" t="s">
        <v>4586</v>
      </c>
      <c r="D3520" s="4" t="s">
        <v>5866</v>
      </c>
      <c r="E3520" s="4" t="s">
        <v>5881</v>
      </c>
      <c r="F3520" s="4" t="s">
        <v>5879</v>
      </c>
      <c r="G3520" s="4" t="s">
        <v>4612</v>
      </c>
      <c r="H3520" s="4" t="s">
        <v>5870</v>
      </c>
      <c r="I3520" s="4" t="s">
        <v>4642</v>
      </c>
      <c r="J3520" s="4" t="s">
        <v>4596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 s="4" t="s">
        <v>5880</v>
      </c>
    </row>
    <row r="3521" spans="1:20" x14ac:dyDescent="0.2">
      <c r="A3521" s="4" t="s">
        <v>5866</v>
      </c>
      <c r="B3521" s="4" t="s">
        <v>5874</v>
      </c>
      <c r="C3521" s="4" t="s">
        <v>4586</v>
      </c>
      <c r="D3521" s="4" t="s">
        <v>5866</v>
      </c>
      <c r="E3521" s="4" t="s">
        <v>5882</v>
      </c>
      <c r="F3521" s="4" t="s">
        <v>5879</v>
      </c>
      <c r="G3521" s="4" t="s">
        <v>4612</v>
      </c>
      <c r="H3521" s="4" t="s">
        <v>5870</v>
      </c>
      <c r="I3521" s="4" t="s">
        <v>4642</v>
      </c>
      <c r="J3521" s="4" t="s">
        <v>4602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 s="4" t="s">
        <v>5880</v>
      </c>
    </row>
    <row r="3522" spans="1:20" x14ac:dyDescent="0.2">
      <c r="A3522" s="4" t="s">
        <v>5866</v>
      </c>
      <c r="B3522" s="4" t="s">
        <v>5876</v>
      </c>
      <c r="C3522" s="4" t="s">
        <v>4586</v>
      </c>
      <c r="D3522" s="4" t="s">
        <v>5866</v>
      </c>
      <c r="E3522" s="4" t="s">
        <v>5883</v>
      </c>
      <c r="F3522" s="4" t="s">
        <v>5879</v>
      </c>
      <c r="G3522" s="4" t="s">
        <v>4612</v>
      </c>
      <c r="H3522" s="4" t="s">
        <v>5870</v>
      </c>
      <c r="I3522" s="4" t="s">
        <v>4642</v>
      </c>
      <c r="J3522" s="4" t="s">
        <v>4592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 s="4" t="s">
        <v>5880</v>
      </c>
    </row>
    <row r="3523" spans="1:20" x14ac:dyDescent="0.2">
      <c r="A3523" s="4" t="s">
        <v>5866</v>
      </c>
      <c r="B3523" s="4" t="s">
        <v>5867</v>
      </c>
      <c r="C3523" s="4" t="s">
        <v>4586</v>
      </c>
      <c r="D3523" s="4" t="s">
        <v>5866</v>
      </c>
      <c r="E3523" s="4" t="s">
        <v>5884</v>
      </c>
      <c r="F3523" s="4" t="s">
        <v>5885</v>
      </c>
      <c r="G3523" s="4" t="s">
        <v>4612</v>
      </c>
      <c r="H3523" s="4" t="s">
        <v>5870</v>
      </c>
      <c r="I3523" s="4" t="s">
        <v>4591</v>
      </c>
      <c r="J3523" s="4" t="s">
        <v>4599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 s="4" t="s">
        <v>5886</v>
      </c>
    </row>
    <row r="3524" spans="1:20" x14ac:dyDescent="0.2">
      <c r="A3524" s="4" t="s">
        <v>5866</v>
      </c>
      <c r="B3524" s="4" t="s">
        <v>5872</v>
      </c>
      <c r="C3524" s="4" t="s">
        <v>4586</v>
      </c>
      <c r="D3524" s="4" t="s">
        <v>5866</v>
      </c>
      <c r="E3524" s="4" t="s">
        <v>5887</v>
      </c>
      <c r="F3524" s="4" t="s">
        <v>5885</v>
      </c>
      <c r="G3524" s="4" t="s">
        <v>4612</v>
      </c>
      <c r="H3524" s="4" t="s">
        <v>5870</v>
      </c>
      <c r="I3524" s="4" t="s">
        <v>4591</v>
      </c>
      <c r="J3524" s="4" t="s">
        <v>4596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 s="4" t="s">
        <v>5886</v>
      </c>
    </row>
    <row r="3525" spans="1:20" x14ac:dyDescent="0.2">
      <c r="A3525" s="4" t="s">
        <v>5866</v>
      </c>
      <c r="B3525" s="4" t="s">
        <v>5874</v>
      </c>
      <c r="C3525" s="4" t="s">
        <v>4586</v>
      </c>
      <c r="D3525" s="4" t="s">
        <v>5866</v>
      </c>
      <c r="E3525" s="4" t="s">
        <v>5888</v>
      </c>
      <c r="F3525" s="4" t="s">
        <v>5885</v>
      </c>
      <c r="G3525" s="4" t="s">
        <v>4612</v>
      </c>
      <c r="H3525" s="4" t="s">
        <v>5870</v>
      </c>
      <c r="I3525" s="4" t="s">
        <v>4591</v>
      </c>
      <c r="J3525" s="4" t="s">
        <v>4602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 s="4" t="s">
        <v>5886</v>
      </c>
    </row>
    <row r="3526" spans="1:20" x14ac:dyDescent="0.2">
      <c r="A3526" s="4" t="s">
        <v>5866</v>
      </c>
      <c r="B3526" s="4" t="s">
        <v>5876</v>
      </c>
      <c r="C3526" s="4" t="s">
        <v>4586</v>
      </c>
      <c r="D3526" s="4" t="s">
        <v>5866</v>
      </c>
      <c r="E3526" s="4" t="s">
        <v>5889</v>
      </c>
      <c r="F3526" s="4" t="s">
        <v>5885</v>
      </c>
      <c r="G3526" s="4" t="s">
        <v>4612</v>
      </c>
      <c r="H3526" s="4" t="s">
        <v>5870</v>
      </c>
      <c r="I3526" s="4" t="s">
        <v>4591</v>
      </c>
      <c r="J3526" s="4" t="s">
        <v>4592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 s="4" t="s">
        <v>5886</v>
      </c>
    </row>
    <row r="3527" spans="1:20" x14ac:dyDescent="0.2">
      <c r="A3527" s="4" t="s">
        <v>5866</v>
      </c>
      <c r="B3527" s="4" t="s">
        <v>5867</v>
      </c>
      <c r="C3527" s="4" t="s">
        <v>4586</v>
      </c>
      <c r="D3527" s="4" t="s">
        <v>5866</v>
      </c>
      <c r="E3527" s="4" t="s">
        <v>5890</v>
      </c>
      <c r="F3527" s="4" t="s">
        <v>5891</v>
      </c>
      <c r="G3527" s="4" t="s">
        <v>4612</v>
      </c>
      <c r="H3527" s="4" t="s">
        <v>5892</v>
      </c>
      <c r="I3527" s="4" t="s">
        <v>2100</v>
      </c>
      <c r="J3527" s="4" t="s">
        <v>4599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 s="4" t="s">
        <v>5893</v>
      </c>
    </row>
    <row r="3528" spans="1:20" x14ac:dyDescent="0.2">
      <c r="A3528" s="4" t="s">
        <v>5866</v>
      </c>
      <c r="B3528" s="4" t="s">
        <v>5872</v>
      </c>
      <c r="C3528" s="4" t="s">
        <v>4586</v>
      </c>
      <c r="D3528" s="4" t="s">
        <v>5866</v>
      </c>
      <c r="E3528" s="4" t="s">
        <v>5894</v>
      </c>
      <c r="F3528" s="4" t="s">
        <v>5891</v>
      </c>
      <c r="G3528" s="4" t="s">
        <v>4612</v>
      </c>
      <c r="H3528" s="4" t="s">
        <v>5892</v>
      </c>
      <c r="I3528" s="4" t="s">
        <v>2100</v>
      </c>
      <c r="J3528" s="4" t="s">
        <v>4596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 s="4" t="s">
        <v>5893</v>
      </c>
    </row>
    <row r="3529" spans="1:20" x14ac:dyDescent="0.2">
      <c r="A3529" s="4" t="s">
        <v>5866</v>
      </c>
      <c r="B3529" s="4" t="s">
        <v>5874</v>
      </c>
      <c r="C3529" s="4" t="s">
        <v>4586</v>
      </c>
      <c r="D3529" s="4" t="s">
        <v>5866</v>
      </c>
      <c r="E3529" s="4" t="s">
        <v>5895</v>
      </c>
      <c r="F3529" s="4" t="s">
        <v>5891</v>
      </c>
      <c r="G3529" s="4" t="s">
        <v>4612</v>
      </c>
      <c r="H3529" s="4" t="s">
        <v>5892</v>
      </c>
      <c r="I3529" s="4" t="s">
        <v>2100</v>
      </c>
      <c r="J3529" s="4" t="s">
        <v>4602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 s="4" t="s">
        <v>5893</v>
      </c>
    </row>
    <row r="3530" spans="1:20" x14ac:dyDescent="0.2">
      <c r="A3530" s="4" t="s">
        <v>5866</v>
      </c>
      <c r="B3530" s="4" t="s">
        <v>5876</v>
      </c>
      <c r="C3530" s="4" t="s">
        <v>4586</v>
      </c>
      <c r="D3530" s="4" t="s">
        <v>5866</v>
      </c>
      <c r="E3530" s="4" t="s">
        <v>5896</v>
      </c>
      <c r="F3530" s="4" t="s">
        <v>5891</v>
      </c>
      <c r="G3530" s="4" t="s">
        <v>4612</v>
      </c>
      <c r="H3530" s="4" t="s">
        <v>5892</v>
      </c>
      <c r="I3530" s="4" t="s">
        <v>2100</v>
      </c>
      <c r="J3530" s="4" t="s">
        <v>4592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 s="4" t="s">
        <v>5893</v>
      </c>
    </row>
    <row r="3531" spans="1:20" x14ac:dyDescent="0.2">
      <c r="A3531" s="4" t="s">
        <v>5866</v>
      </c>
      <c r="B3531" s="4" t="s">
        <v>5867</v>
      </c>
      <c r="C3531" s="4" t="s">
        <v>4586</v>
      </c>
      <c r="D3531" s="4" t="s">
        <v>5866</v>
      </c>
      <c r="E3531" s="4" t="s">
        <v>2035</v>
      </c>
      <c r="F3531" s="4" t="s">
        <v>5897</v>
      </c>
      <c r="G3531" s="4" t="s">
        <v>4626</v>
      </c>
      <c r="H3531" s="4" t="s">
        <v>5870</v>
      </c>
      <c r="I3531" s="4" t="s">
        <v>4591</v>
      </c>
      <c r="J3531" s="4" t="s">
        <v>4599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 s="4" t="s">
        <v>5898</v>
      </c>
    </row>
    <row r="3532" spans="1:20" x14ac:dyDescent="0.2">
      <c r="A3532" s="4" t="s">
        <v>5866</v>
      </c>
      <c r="B3532" s="4" t="s">
        <v>5872</v>
      </c>
      <c r="C3532" s="4" t="s">
        <v>4586</v>
      </c>
      <c r="D3532" s="4" t="s">
        <v>5866</v>
      </c>
      <c r="E3532" s="4" t="s">
        <v>5899</v>
      </c>
      <c r="F3532" s="4" t="s">
        <v>5897</v>
      </c>
      <c r="G3532" s="4" t="s">
        <v>4626</v>
      </c>
      <c r="H3532" s="4" t="s">
        <v>5870</v>
      </c>
      <c r="I3532" s="4" t="s">
        <v>4591</v>
      </c>
      <c r="J3532" s="4" t="s">
        <v>4596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 s="4" t="s">
        <v>5898</v>
      </c>
    </row>
    <row r="3533" spans="1:20" x14ac:dyDescent="0.2">
      <c r="A3533" s="4" t="s">
        <v>5866</v>
      </c>
      <c r="B3533" s="4" t="s">
        <v>5874</v>
      </c>
      <c r="C3533" s="4" t="s">
        <v>4586</v>
      </c>
      <c r="D3533" s="4" t="s">
        <v>5866</v>
      </c>
      <c r="E3533" s="4" t="s">
        <v>5900</v>
      </c>
      <c r="F3533" s="4" t="s">
        <v>5897</v>
      </c>
      <c r="G3533" s="4" t="s">
        <v>4626</v>
      </c>
      <c r="H3533" s="4" t="s">
        <v>5870</v>
      </c>
      <c r="I3533" s="4" t="s">
        <v>4591</v>
      </c>
      <c r="J3533" s="4" t="s">
        <v>4602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 s="4" t="s">
        <v>5898</v>
      </c>
    </row>
    <row r="3534" spans="1:20" x14ac:dyDescent="0.2">
      <c r="A3534" s="4" t="s">
        <v>5866</v>
      </c>
      <c r="B3534" s="4" t="s">
        <v>5876</v>
      </c>
      <c r="C3534" s="4" t="s">
        <v>4586</v>
      </c>
      <c r="D3534" s="4" t="s">
        <v>5866</v>
      </c>
      <c r="E3534" s="4" t="s">
        <v>5901</v>
      </c>
      <c r="F3534" s="4" t="s">
        <v>5897</v>
      </c>
      <c r="G3534" s="4" t="s">
        <v>4626</v>
      </c>
      <c r="H3534" s="4" t="s">
        <v>5870</v>
      </c>
      <c r="I3534" s="4" t="s">
        <v>4591</v>
      </c>
      <c r="J3534" s="4" t="s">
        <v>4592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 s="4" t="s">
        <v>5898</v>
      </c>
    </row>
    <row r="3535" spans="1:20" x14ac:dyDescent="0.2">
      <c r="A3535" s="4" t="s">
        <v>5866</v>
      </c>
      <c r="B3535" s="4" t="s">
        <v>5867</v>
      </c>
      <c r="C3535" s="4" t="s">
        <v>4586</v>
      </c>
      <c r="D3535" s="4" t="s">
        <v>5866</v>
      </c>
      <c r="E3535" s="4" t="s">
        <v>5902</v>
      </c>
      <c r="F3535" s="4" t="s">
        <v>5903</v>
      </c>
      <c r="G3535" s="4" t="s">
        <v>4626</v>
      </c>
      <c r="H3535" s="4" t="s">
        <v>5892</v>
      </c>
      <c r="I3535" s="4" t="s">
        <v>2100</v>
      </c>
      <c r="J3535" s="4" t="s">
        <v>4599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 s="4" t="s">
        <v>5904</v>
      </c>
    </row>
    <row r="3536" spans="1:20" x14ac:dyDescent="0.2">
      <c r="A3536" s="4" t="s">
        <v>5866</v>
      </c>
      <c r="B3536" s="4" t="s">
        <v>5872</v>
      </c>
      <c r="C3536" s="4" t="s">
        <v>4586</v>
      </c>
      <c r="D3536" s="4" t="s">
        <v>5866</v>
      </c>
      <c r="E3536" s="4" t="s">
        <v>5905</v>
      </c>
      <c r="F3536" s="4" t="s">
        <v>5903</v>
      </c>
      <c r="G3536" s="4" t="s">
        <v>4626</v>
      </c>
      <c r="H3536" s="4" t="s">
        <v>5892</v>
      </c>
      <c r="I3536" s="4" t="s">
        <v>2100</v>
      </c>
      <c r="J3536" s="4" t="s">
        <v>4596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 s="4" t="s">
        <v>5904</v>
      </c>
    </row>
    <row r="3537" spans="1:20" x14ac:dyDescent="0.2">
      <c r="A3537" s="4" t="s">
        <v>5866</v>
      </c>
      <c r="B3537" s="4" t="s">
        <v>5874</v>
      </c>
      <c r="C3537" s="4" t="s">
        <v>4586</v>
      </c>
      <c r="D3537" s="4" t="s">
        <v>5866</v>
      </c>
      <c r="E3537" s="4" t="s">
        <v>5906</v>
      </c>
      <c r="F3537" s="4" t="s">
        <v>5903</v>
      </c>
      <c r="G3537" s="4" t="s">
        <v>4626</v>
      </c>
      <c r="H3537" s="4" t="s">
        <v>5892</v>
      </c>
      <c r="I3537" s="4" t="s">
        <v>2100</v>
      </c>
      <c r="J3537" s="4" t="s">
        <v>4602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 s="4" t="s">
        <v>5904</v>
      </c>
    </row>
    <row r="3538" spans="1:20" x14ac:dyDescent="0.2">
      <c r="A3538" s="4" t="s">
        <v>5866</v>
      </c>
      <c r="B3538" s="4" t="s">
        <v>5876</v>
      </c>
      <c r="C3538" s="4" t="s">
        <v>4586</v>
      </c>
      <c r="D3538" s="4" t="s">
        <v>5866</v>
      </c>
      <c r="E3538" s="4" t="s">
        <v>5907</v>
      </c>
      <c r="F3538" s="4" t="s">
        <v>5903</v>
      </c>
      <c r="G3538" s="4" t="s">
        <v>4626</v>
      </c>
      <c r="H3538" s="4" t="s">
        <v>5892</v>
      </c>
      <c r="I3538" s="4" t="s">
        <v>2100</v>
      </c>
      <c r="J3538" s="4" t="s">
        <v>4592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 s="4" t="s">
        <v>5904</v>
      </c>
    </row>
    <row r="3539" spans="1:20" x14ac:dyDescent="0.2">
      <c r="A3539" s="4" t="s">
        <v>5866</v>
      </c>
      <c r="B3539" s="4" t="s">
        <v>5867</v>
      </c>
      <c r="C3539" s="4" t="s">
        <v>4586</v>
      </c>
      <c r="D3539" s="4" t="s">
        <v>5866</v>
      </c>
      <c r="E3539" s="4" t="s">
        <v>5908</v>
      </c>
      <c r="F3539" s="4" t="s">
        <v>5909</v>
      </c>
      <c r="G3539" s="4" t="s">
        <v>4641</v>
      </c>
      <c r="H3539" s="4" t="s">
        <v>5870</v>
      </c>
      <c r="I3539" s="4" t="s">
        <v>4642</v>
      </c>
      <c r="J3539" s="4" t="s">
        <v>4599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 s="4" t="s">
        <v>5910</v>
      </c>
    </row>
    <row r="3540" spans="1:20" x14ac:dyDescent="0.2">
      <c r="A3540" s="4" t="s">
        <v>5866</v>
      </c>
      <c r="B3540" s="4" t="s">
        <v>5872</v>
      </c>
      <c r="C3540" s="4" t="s">
        <v>4586</v>
      </c>
      <c r="D3540" s="4" t="s">
        <v>5866</v>
      </c>
      <c r="E3540" s="4" t="s">
        <v>5911</v>
      </c>
      <c r="F3540" s="4" t="s">
        <v>5909</v>
      </c>
      <c r="G3540" s="4" t="s">
        <v>4641</v>
      </c>
      <c r="H3540" s="4" t="s">
        <v>5870</v>
      </c>
      <c r="I3540" s="4" t="s">
        <v>4642</v>
      </c>
      <c r="J3540" s="4" t="s">
        <v>4596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 s="4" t="s">
        <v>5910</v>
      </c>
    </row>
    <row r="3541" spans="1:20" x14ac:dyDescent="0.2">
      <c r="A3541" s="4" t="s">
        <v>5866</v>
      </c>
      <c r="B3541" s="4" t="s">
        <v>5874</v>
      </c>
      <c r="C3541" s="4" t="s">
        <v>4586</v>
      </c>
      <c r="D3541" s="4" t="s">
        <v>5866</v>
      </c>
      <c r="E3541" s="4" t="s">
        <v>5912</v>
      </c>
      <c r="F3541" s="4" t="s">
        <v>5909</v>
      </c>
      <c r="G3541" s="4" t="s">
        <v>4641</v>
      </c>
      <c r="H3541" s="4" t="s">
        <v>5870</v>
      </c>
      <c r="I3541" s="4" t="s">
        <v>4642</v>
      </c>
      <c r="J3541" s="4" t="s">
        <v>4602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 s="4" t="s">
        <v>5910</v>
      </c>
    </row>
    <row r="3542" spans="1:20" x14ac:dyDescent="0.2">
      <c r="A3542" s="4" t="s">
        <v>5866</v>
      </c>
      <c r="B3542" s="4" t="s">
        <v>5876</v>
      </c>
      <c r="C3542" s="4" t="s">
        <v>4586</v>
      </c>
      <c r="D3542" s="4" t="s">
        <v>5866</v>
      </c>
      <c r="E3542" s="4" t="s">
        <v>5913</v>
      </c>
      <c r="F3542" s="4" t="s">
        <v>5909</v>
      </c>
      <c r="G3542" s="4" t="s">
        <v>4641</v>
      </c>
      <c r="H3542" s="4" t="s">
        <v>5870</v>
      </c>
      <c r="I3542" s="4" t="s">
        <v>4642</v>
      </c>
      <c r="J3542" s="4" t="s">
        <v>4592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 s="4" t="s">
        <v>5910</v>
      </c>
    </row>
    <row r="3543" spans="1:20" x14ac:dyDescent="0.2">
      <c r="A3543" s="4" t="s">
        <v>5866</v>
      </c>
      <c r="B3543" s="4" t="s">
        <v>5867</v>
      </c>
      <c r="C3543" s="4" t="s">
        <v>4586</v>
      </c>
      <c r="D3543" s="4" t="s">
        <v>5866</v>
      </c>
      <c r="E3543" s="4" t="s">
        <v>5914</v>
      </c>
      <c r="F3543" s="4" t="s">
        <v>5915</v>
      </c>
      <c r="G3543" s="4" t="s">
        <v>4243</v>
      </c>
      <c r="H3543" s="4" t="s">
        <v>5870</v>
      </c>
      <c r="I3543" s="4" t="s">
        <v>4642</v>
      </c>
      <c r="J3543" s="4" t="s">
        <v>4599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 s="4" t="s">
        <v>5916</v>
      </c>
    </row>
    <row r="3544" spans="1:20" x14ac:dyDescent="0.2">
      <c r="A3544" s="4" t="s">
        <v>5866</v>
      </c>
      <c r="B3544" s="4" t="s">
        <v>5872</v>
      </c>
      <c r="C3544" s="4" t="s">
        <v>4586</v>
      </c>
      <c r="D3544" s="4" t="s">
        <v>5866</v>
      </c>
      <c r="E3544" s="4" t="s">
        <v>5917</v>
      </c>
      <c r="F3544" s="4" t="s">
        <v>5915</v>
      </c>
      <c r="G3544" s="4" t="s">
        <v>4243</v>
      </c>
      <c r="H3544" s="4" t="s">
        <v>5870</v>
      </c>
      <c r="I3544" s="4" t="s">
        <v>4642</v>
      </c>
      <c r="J3544" s="4" t="s">
        <v>4596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 s="4" t="s">
        <v>5916</v>
      </c>
    </row>
    <row r="3545" spans="1:20" x14ac:dyDescent="0.2">
      <c r="A3545" s="4" t="s">
        <v>5866</v>
      </c>
      <c r="B3545" s="4" t="s">
        <v>5874</v>
      </c>
      <c r="C3545" s="4" t="s">
        <v>4586</v>
      </c>
      <c r="D3545" s="4" t="s">
        <v>5866</v>
      </c>
      <c r="E3545" s="4" t="s">
        <v>5918</v>
      </c>
      <c r="F3545" s="4" t="s">
        <v>5915</v>
      </c>
      <c r="G3545" s="4" t="s">
        <v>4243</v>
      </c>
      <c r="H3545" s="4" t="s">
        <v>5870</v>
      </c>
      <c r="I3545" s="4" t="s">
        <v>4642</v>
      </c>
      <c r="J3545" s="4" t="s">
        <v>4602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 s="4" t="s">
        <v>5916</v>
      </c>
    </row>
    <row r="3546" spans="1:20" x14ac:dyDescent="0.2">
      <c r="A3546" s="4" t="s">
        <v>5866</v>
      </c>
      <c r="B3546" s="4" t="s">
        <v>5876</v>
      </c>
      <c r="C3546" s="4" t="s">
        <v>4586</v>
      </c>
      <c r="D3546" s="4" t="s">
        <v>5866</v>
      </c>
      <c r="E3546" s="4" t="s">
        <v>5919</v>
      </c>
      <c r="F3546" s="4" t="s">
        <v>5915</v>
      </c>
      <c r="G3546" s="4" t="s">
        <v>4243</v>
      </c>
      <c r="H3546" s="4" t="s">
        <v>5870</v>
      </c>
      <c r="I3546" s="4" t="s">
        <v>4642</v>
      </c>
      <c r="J3546" s="4" t="s">
        <v>4592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 s="4" t="s">
        <v>5916</v>
      </c>
    </row>
    <row r="3547" spans="1:20" x14ac:dyDescent="0.2">
      <c r="A3547" s="4" t="s">
        <v>5866</v>
      </c>
      <c r="B3547" s="4" t="s">
        <v>5867</v>
      </c>
      <c r="C3547" s="4" t="s">
        <v>4586</v>
      </c>
      <c r="D3547" s="4" t="s">
        <v>5866</v>
      </c>
      <c r="E3547" s="4" t="s">
        <v>5920</v>
      </c>
      <c r="F3547" s="4" t="s">
        <v>5921</v>
      </c>
      <c r="G3547" s="4" t="s">
        <v>4243</v>
      </c>
      <c r="H3547" s="4" t="s">
        <v>5870</v>
      </c>
      <c r="I3547" s="4" t="s">
        <v>4591</v>
      </c>
      <c r="J3547" s="4" t="s">
        <v>4599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 s="4" t="s">
        <v>5922</v>
      </c>
    </row>
    <row r="3548" spans="1:20" x14ac:dyDescent="0.2">
      <c r="A3548" s="4" t="s">
        <v>5866</v>
      </c>
      <c r="B3548" s="4" t="s">
        <v>5872</v>
      </c>
      <c r="C3548" s="4" t="s">
        <v>4586</v>
      </c>
      <c r="D3548" s="4" t="s">
        <v>5866</v>
      </c>
      <c r="E3548" s="4" t="s">
        <v>5923</v>
      </c>
      <c r="F3548" s="4" t="s">
        <v>5921</v>
      </c>
      <c r="G3548" s="4" t="s">
        <v>4243</v>
      </c>
      <c r="H3548" s="4" t="s">
        <v>5870</v>
      </c>
      <c r="I3548" s="4" t="s">
        <v>4591</v>
      </c>
      <c r="J3548" s="4" t="s">
        <v>4596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 s="4" t="s">
        <v>5922</v>
      </c>
    </row>
    <row r="3549" spans="1:20" x14ac:dyDescent="0.2">
      <c r="A3549" s="4" t="s">
        <v>5866</v>
      </c>
      <c r="B3549" s="4" t="s">
        <v>5874</v>
      </c>
      <c r="C3549" s="4" t="s">
        <v>4586</v>
      </c>
      <c r="D3549" s="4" t="s">
        <v>5866</v>
      </c>
      <c r="E3549" s="4" t="s">
        <v>5924</v>
      </c>
      <c r="F3549" s="4" t="s">
        <v>5921</v>
      </c>
      <c r="G3549" s="4" t="s">
        <v>4243</v>
      </c>
      <c r="H3549" s="4" t="s">
        <v>5870</v>
      </c>
      <c r="I3549" s="4" t="s">
        <v>4591</v>
      </c>
      <c r="J3549" s="4" t="s">
        <v>4602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 s="4" t="s">
        <v>5922</v>
      </c>
    </row>
    <row r="3550" spans="1:20" x14ac:dyDescent="0.2">
      <c r="A3550" s="4" t="s">
        <v>5866</v>
      </c>
      <c r="B3550" s="4" t="s">
        <v>5876</v>
      </c>
      <c r="C3550" s="4" t="s">
        <v>4586</v>
      </c>
      <c r="D3550" s="4" t="s">
        <v>5866</v>
      </c>
      <c r="E3550" s="4" t="s">
        <v>5925</v>
      </c>
      <c r="F3550" s="4" t="s">
        <v>5921</v>
      </c>
      <c r="G3550" s="4" t="s">
        <v>4243</v>
      </c>
      <c r="H3550" s="4" t="s">
        <v>5870</v>
      </c>
      <c r="I3550" s="4" t="s">
        <v>4591</v>
      </c>
      <c r="J3550" s="4" t="s">
        <v>4592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 s="4" t="s">
        <v>5922</v>
      </c>
    </row>
    <row r="3551" spans="1:20" x14ac:dyDescent="0.2">
      <c r="A3551" s="4" t="s">
        <v>5866</v>
      </c>
      <c r="B3551" s="4" t="s">
        <v>5867</v>
      </c>
      <c r="C3551" s="4" t="s">
        <v>4586</v>
      </c>
      <c r="D3551" s="4" t="s">
        <v>5866</v>
      </c>
      <c r="E3551" s="4" t="s">
        <v>5926</v>
      </c>
      <c r="F3551" s="4" t="s">
        <v>5927</v>
      </c>
      <c r="G3551" s="4" t="s">
        <v>4430</v>
      </c>
      <c r="H3551" s="4" t="s">
        <v>5870</v>
      </c>
      <c r="I3551" s="4" t="s">
        <v>4642</v>
      </c>
      <c r="J3551" s="4" t="s">
        <v>4599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 s="4" t="s">
        <v>5928</v>
      </c>
    </row>
    <row r="3552" spans="1:20" x14ac:dyDescent="0.2">
      <c r="A3552" s="4" t="s">
        <v>5866</v>
      </c>
      <c r="B3552" s="4" t="s">
        <v>5872</v>
      </c>
      <c r="C3552" s="4" t="s">
        <v>4586</v>
      </c>
      <c r="D3552" s="4" t="s">
        <v>5866</v>
      </c>
      <c r="E3552" s="4" t="s">
        <v>5929</v>
      </c>
      <c r="F3552" s="4" t="s">
        <v>5927</v>
      </c>
      <c r="G3552" s="4" t="s">
        <v>4430</v>
      </c>
      <c r="H3552" s="4" t="s">
        <v>5870</v>
      </c>
      <c r="I3552" s="4" t="s">
        <v>4642</v>
      </c>
      <c r="J3552" s="4" t="s">
        <v>4596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 s="4" t="s">
        <v>5928</v>
      </c>
    </row>
    <row r="3553" spans="1:20" x14ac:dyDescent="0.2">
      <c r="A3553" s="4" t="s">
        <v>5866</v>
      </c>
      <c r="B3553" s="4" t="s">
        <v>5874</v>
      </c>
      <c r="C3553" s="4" t="s">
        <v>4586</v>
      </c>
      <c r="D3553" s="4" t="s">
        <v>5866</v>
      </c>
      <c r="E3553" s="4" t="s">
        <v>5930</v>
      </c>
      <c r="F3553" s="4" t="s">
        <v>5927</v>
      </c>
      <c r="G3553" s="4" t="s">
        <v>4430</v>
      </c>
      <c r="H3553" s="4" t="s">
        <v>5870</v>
      </c>
      <c r="I3553" s="4" t="s">
        <v>4642</v>
      </c>
      <c r="J3553" s="4" t="s">
        <v>4602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 s="4" t="s">
        <v>5928</v>
      </c>
    </row>
    <row r="3554" spans="1:20" x14ac:dyDescent="0.2">
      <c r="A3554" s="4" t="s">
        <v>5866</v>
      </c>
      <c r="B3554" s="4" t="s">
        <v>5876</v>
      </c>
      <c r="C3554" s="4" t="s">
        <v>4586</v>
      </c>
      <c r="D3554" s="4" t="s">
        <v>5866</v>
      </c>
      <c r="E3554" s="4" t="s">
        <v>5931</v>
      </c>
      <c r="F3554" s="4" t="s">
        <v>5927</v>
      </c>
      <c r="G3554" s="4" t="s">
        <v>4430</v>
      </c>
      <c r="H3554" s="4" t="s">
        <v>5870</v>
      </c>
      <c r="I3554" s="4" t="s">
        <v>4642</v>
      </c>
      <c r="J3554" s="4" t="s">
        <v>4592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 s="4" t="s">
        <v>5928</v>
      </c>
    </row>
    <row r="3555" spans="1:20" x14ac:dyDescent="0.2">
      <c r="A3555" s="4" t="s">
        <v>5866</v>
      </c>
      <c r="B3555" s="4" t="s">
        <v>5867</v>
      </c>
      <c r="C3555" s="4" t="s">
        <v>4586</v>
      </c>
      <c r="D3555" s="4" t="s">
        <v>5866</v>
      </c>
      <c r="E3555" s="4" t="s">
        <v>5932</v>
      </c>
      <c r="F3555" s="4" t="s">
        <v>5933</v>
      </c>
      <c r="G3555" s="4" t="s">
        <v>4430</v>
      </c>
      <c r="H3555" s="4" t="s">
        <v>5870</v>
      </c>
      <c r="I3555" s="4" t="s">
        <v>4591</v>
      </c>
      <c r="J3555" s="4" t="s">
        <v>4599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 s="4" t="s">
        <v>5934</v>
      </c>
    </row>
    <row r="3556" spans="1:20" x14ac:dyDescent="0.2">
      <c r="A3556" s="4" t="s">
        <v>5866</v>
      </c>
      <c r="B3556" s="4" t="s">
        <v>5872</v>
      </c>
      <c r="C3556" s="4" t="s">
        <v>4586</v>
      </c>
      <c r="D3556" s="4" t="s">
        <v>5866</v>
      </c>
      <c r="E3556" s="4" t="s">
        <v>5935</v>
      </c>
      <c r="F3556" s="4" t="s">
        <v>5933</v>
      </c>
      <c r="G3556" s="4" t="s">
        <v>4430</v>
      </c>
      <c r="H3556" s="4" t="s">
        <v>5870</v>
      </c>
      <c r="I3556" s="4" t="s">
        <v>4591</v>
      </c>
      <c r="J3556" s="4" t="s">
        <v>4596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 s="4" t="s">
        <v>5934</v>
      </c>
    </row>
    <row r="3557" spans="1:20" x14ac:dyDescent="0.2">
      <c r="A3557" s="4" t="s">
        <v>5866</v>
      </c>
      <c r="B3557" s="4" t="s">
        <v>5874</v>
      </c>
      <c r="C3557" s="4" t="s">
        <v>4586</v>
      </c>
      <c r="D3557" s="4" t="s">
        <v>5866</v>
      </c>
      <c r="E3557" s="4" t="s">
        <v>5936</v>
      </c>
      <c r="F3557" s="4" t="s">
        <v>5933</v>
      </c>
      <c r="G3557" s="4" t="s">
        <v>4430</v>
      </c>
      <c r="H3557" s="4" t="s">
        <v>5870</v>
      </c>
      <c r="I3557" s="4" t="s">
        <v>4591</v>
      </c>
      <c r="J3557" s="4" t="s">
        <v>4602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 s="4" t="s">
        <v>5934</v>
      </c>
    </row>
    <row r="3558" spans="1:20" x14ac:dyDescent="0.2">
      <c r="A3558" s="4" t="s">
        <v>5866</v>
      </c>
      <c r="B3558" s="4" t="s">
        <v>5876</v>
      </c>
      <c r="C3558" s="4" t="s">
        <v>4586</v>
      </c>
      <c r="D3558" s="4" t="s">
        <v>5866</v>
      </c>
      <c r="E3558" s="4" t="s">
        <v>5937</v>
      </c>
      <c r="F3558" s="4" t="s">
        <v>5933</v>
      </c>
      <c r="G3558" s="4" t="s">
        <v>4430</v>
      </c>
      <c r="H3558" s="4" t="s">
        <v>5870</v>
      </c>
      <c r="I3558" s="4" t="s">
        <v>4591</v>
      </c>
      <c r="J3558" s="4" t="s">
        <v>4592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 s="4" t="s">
        <v>5934</v>
      </c>
    </row>
    <row r="3559" spans="1:20" x14ac:dyDescent="0.2">
      <c r="A3559" s="4" t="s">
        <v>5866</v>
      </c>
      <c r="B3559" s="4" t="s">
        <v>5872</v>
      </c>
      <c r="C3559" s="4" t="s">
        <v>4586</v>
      </c>
      <c r="D3559" s="4" t="s">
        <v>5866</v>
      </c>
      <c r="E3559" s="4" t="s">
        <v>5938</v>
      </c>
      <c r="F3559" s="4" t="s">
        <v>5939</v>
      </c>
      <c r="G3559" s="4" t="s">
        <v>4683</v>
      </c>
      <c r="H3559" s="4" t="s">
        <v>5870</v>
      </c>
      <c r="I3559" s="4" t="s">
        <v>4591</v>
      </c>
      <c r="J3559" s="4" t="s">
        <v>4596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 s="4" t="s">
        <v>5940</v>
      </c>
    </row>
    <row r="3560" spans="1:20" x14ac:dyDescent="0.2">
      <c r="A3560" s="4" t="s">
        <v>5866</v>
      </c>
      <c r="B3560" s="4" t="s">
        <v>5941</v>
      </c>
      <c r="C3560" s="4" t="s">
        <v>4461</v>
      </c>
      <c r="D3560" s="4" t="s">
        <v>5866</v>
      </c>
      <c r="E3560" s="4" t="s">
        <v>11</v>
      </c>
      <c r="F3560" s="4" t="s">
        <v>5942</v>
      </c>
      <c r="G3560" s="4" t="s">
        <v>5943</v>
      </c>
      <c r="H3560" s="4" t="s">
        <v>5944</v>
      </c>
      <c r="I3560" s="4" t="s">
        <v>2100</v>
      </c>
      <c r="J3560" s="4" t="s">
        <v>4532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 s="4" t="s">
        <v>5945</v>
      </c>
    </row>
    <row r="3561" spans="1:20" x14ac:dyDescent="0.2">
      <c r="A3561" s="4" t="s">
        <v>5866</v>
      </c>
      <c r="B3561" s="4" t="s">
        <v>5867</v>
      </c>
      <c r="C3561" s="4" t="s">
        <v>4586</v>
      </c>
      <c r="D3561" s="4" t="s">
        <v>5866</v>
      </c>
      <c r="E3561" s="4" t="s">
        <v>5946</v>
      </c>
      <c r="F3561" s="4" t="s">
        <v>5947</v>
      </c>
      <c r="G3561" s="4" t="s">
        <v>4746</v>
      </c>
      <c r="H3561" s="4" t="s">
        <v>5892</v>
      </c>
      <c r="I3561" s="4" t="s">
        <v>2100</v>
      </c>
      <c r="J3561" s="4" t="s">
        <v>4599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 s="4" t="s">
        <v>5948</v>
      </c>
    </row>
    <row r="3562" spans="1:20" x14ac:dyDescent="0.2">
      <c r="A3562" s="4" t="s">
        <v>5866</v>
      </c>
      <c r="B3562" s="4" t="s">
        <v>5874</v>
      </c>
      <c r="C3562" s="4" t="s">
        <v>4586</v>
      </c>
      <c r="D3562" s="4" t="s">
        <v>5866</v>
      </c>
      <c r="E3562" s="4" t="s">
        <v>5949</v>
      </c>
      <c r="F3562" s="4" t="s">
        <v>5947</v>
      </c>
      <c r="G3562" s="4" t="s">
        <v>4746</v>
      </c>
      <c r="H3562" s="4" t="s">
        <v>5892</v>
      </c>
      <c r="I3562" s="4" t="s">
        <v>2100</v>
      </c>
      <c r="J3562" s="4" t="s">
        <v>4602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 s="4" t="s">
        <v>5948</v>
      </c>
    </row>
    <row r="3563" spans="1:20" x14ac:dyDescent="0.2">
      <c r="A3563" s="4" t="s">
        <v>5866</v>
      </c>
      <c r="B3563" s="4" t="s">
        <v>5876</v>
      </c>
      <c r="C3563" s="4" t="s">
        <v>4586</v>
      </c>
      <c r="D3563" s="4" t="s">
        <v>5866</v>
      </c>
      <c r="E3563" s="4" t="s">
        <v>5950</v>
      </c>
      <c r="F3563" s="4" t="s">
        <v>5947</v>
      </c>
      <c r="G3563" s="4" t="s">
        <v>4746</v>
      </c>
      <c r="H3563" s="4" t="s">
        <v>5892</v>
      </c>
      <c r="I3563" s="4" t="s">
        <v>2100</v>
      </c>
      <c r="J3563" s="4" t="s">
        <v>4592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 s="4" t="s">
        <v>5948</v>
      </c>
    </row>
    <row r="3564" spans="1:20" x14ac:dyDescent="0.2">
      <c r="A3564" s="4" t="s">
        <v>5866</v>
      </c>
      <c r="B3564" s="4" t="s">
        <v>5867</v>
      </c>
      <c r="C3564" s="4" t="s">
        <v>4586</v>
      </c>
      <c r="D3564" s="4" t="s">
        <v>5866</v>
      </c>
      <c r="E3564" s="4" t="s">
        <v>5951</v>
      </c>
      <c r="F3564" s="4" t="s">
        <v>5952</v>
      </c>
      <c r="G3564" s="4" t="s">
        <v>4472</v>
      </c>
      <c r="H3564" s="4" t="s">
        <v>5870</v>
      </c>
      <c r="I3564" s="4" t="s">
        <v>4642</v>
      </c>
      <c r="J3564" s="4" t="s">
        <v>4599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 s="4" t="s">
        <v>5953</v>
      </c>
    </row>
    <row r="3565" spans="1:20" x14ac:dyDescent="0.2">
      <c r="A3565" s="4" t="s">
        <v>5866</v>
      </c>
      <c r="B3565" s="4" t="s">
        <v>5872</v>
      </c>
      <c r="C3565" s="4" t="s">
        <v>4586</v>
      </c>
      <c r="D3565" s="4" t="s">
        <v>5866</v>
      </c>
      <c r="E3565" s="4" t="s">
        <v>5954</v>
      </c>
      <c r="F3565" s="4" t="s">
        <v>5952</v>
      </c>
      <c r="G3565" s="4" t="s">
        <v>4472</v>
      </c>
      <c r="H3565" s="4" t="s">
        <v>5870</v>
      </c>
      <c r="I3565" s="4" t="s">
        <v>4642</v>
      </c>
      <c r="J3565" s="4" t="s">
        <v>4596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 s="4" t="s">
        <v>5953</v>
      </c>
    </row>
    <row r="3566" spans="1:20" x14ac:dyDescent="0.2">
      <c r="A3566" s="4" t="s">
        <v>5866</v>
      </c>
      <c r="B3566" s="4" t="s">
        <v>5874</v>
      </c>
      <c r="C3566" s="4" t="s">
        <v>4586</v>
      </c>
      <c r="D3566" s="4" t="s">
        <v>5866</v>
      </c>
      <c r="E3566" s="4" t="s">
        <v>5955</v>
      </c>
      <c r="F3566" s="4" t="s">
        <v>5952</v>
      </c>
      <c r="G3566" s="4" t="s">
        <v>4472</v>
      </c>
      <c r="H3566" s="4" t="s">
        <v>5870</v>
      </c>
      <c r="I3566" s="4" t="s">
        <v>4642</v>
      </c>
      <c r="J3566" s="4" t="s">
        <v>4602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 s="4" t="s">
        <v>5953</v>
      </c>
    </row>
    <row r="3567" spans="1:20" x14ac:dyDescent="0.2">
      <c r="A3567" s="4" t="s">
        <v>5866</v>
      </c>
      <c r="B3567" s="4" t="s">
        <v>5876</v>
      </c>
      <c r="C3567" s="4" t="s">
        <v>4586</v>
      </c>
      <c r="D3567" s="4" t="s">
        <v>5866</v>
      </c>
      <c r="E3567" s="4" t="s">
        <v>5956</v>
      </c>
      <c r="F3567" s="4" t="s">
        <v>5952</v>
      </c>
      <c r="G3567" s="4" t="s">
        <v>4472</v>
      </c>
      <c r="H3567" s="4" t="s">
        <v>5870</v>
      </c>
      <c r="I3567" s="4" t="s">
        <v>4642</v>
      </c>
      <c r="J3567" s="4" t="s">
        <v>4592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 s="4" t="s">
        <v>5953</v>
      </c>
    </row>
    <row r="3568" spans="1:20" x14ac:dyDescent="0.2">
      <c r="A3568" s="4" t="s">
        <v>5866</v>
      </c>
      <c r="B3568" s="4" t="s">
        <v>5867</v>
      </c>
      <c r="C3568" s="4" t="s">
        <v>4586</v>
      </c>
      <c r="D3568" s="4" t="s">
        <v>5866</v>
      </c>
      <c r="E3568" s="4" t="s">
        <v>5957</v>
      </c>
      <c r="F3568" s="4" t="s">
        <v>5958</v>
      </c>
      <c r="G3568" s="4" t="s">
        <v>4472</v>
      </c>
      <c r="H3568" s="4" t="s">
        <v>5870</v>
      </c>
      <c r="I3568" s="4" t="s">
        <v>4591</v>
      </c>
      <c r="J3568" s="4" t="s">
        <v>4599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 s="4" t="s">
        <v>5959</v>
      </c>
    </row>
    <row r="3569" spans="1:20" x14ac:dyDescent="0.2">
      <c r="A3569" s="4" t="s">
        <v>5866</v>
      </c>
      <c r="B3569" s="4" t="s">
        <v>5872</v>
      </c>
      <c r="C3569" s="4" t="s">
        <v>4586</v>
      </c>
      <c r="D3569" s="4" t="s">
        <v>5866</v>
      </c>
      <c r="E3569" s="4" t="s">
        <v>5960</v>
      </c>
      <c r="F3569" s="4" t="s">
        <v>5958</v>
      </c>
      <c r="G3569" s="4" t="s">
        <v>4472</v>
      </c>
      <c r="H3569" s="4" t="s">
        <v>5870</v>
      </c>
      <c r="I3569" s="4" t="s">
        <v>4591</v>
      </c>
      <c r="J3569" s="4" t="s">
        <v>4596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 s="4" t="s">
        <v>5959</v>
      </c>
    </row>
    <row r="3570" spans="1:20" x14ac:dyDescent="0.2">
      <c r="A3570" s="4" t="s">
        <v>5866</v>
      </c>
      <c r="B3570" s="4" t="s">
        <v>5874</v>
      </c>
      <c r="C3570" s="4" t="s">
        <v>4586</v>
      </c>
      <c r="D3570" s="4" t="s">
        <v>5866</v>
      </c>
      <c r="E3570" s="4" t="s">
        <v>5961</v>
      </c>
      <c r="F3570" s="4" t="s">
        <v>5958</v>
      </c>
      <c r="G3570" s="4" t="s">
        <v>4472</v>
      </c>
      <c r="H3570" s="4" t="s">
        <v>5870</v>
      </c>
      <c r="I3570" s="4" t="s">
        <v>4591</v>
      </c>
      <c r="J3570" s="4" t="s">
        <v>4602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 s="4" t="s">
        <v>5959</v>
      </c>
    </row>
    <row r="3571" spans="1:20" x14ac:dyDescent="0.2">
      <c r="A3571" s="4" t="s">
        <v>5866</v>
      </c>
      <c r="B3571" s="4" t="s">
        <v>5876</v>
      </c>
      <c r="C3571" s="4" t="s">
        <v>4586</v>
      </c>
      <c r="D3571" s="4" t="s">
        <v>5866</v>
      </c>
      <c r="E3571" s="4" t="s">
        <v>5962</v>
      </c>
      <c r="F3571" s="4" t="s">
        <v>5958</v>
      </c>
      <c r="G3571" s="4" t="s">
        <v>4472</v>
      </c>
      <c r="H3571" s="4" t="s">
        <v>5870</v>
      </c>
      <c r="I3571" s="4" t="s">
        <v>4591</v>
      </c>
      <c r="J3571" s="4" t="s">
        <v>4592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 s="4" t="s">
        <v>5959</v>
      </c>
    </row>
    <row r="3572" spans="1:20" x14ac:dyDescent="0.2">
      <c r="A3572" s="4" t="s">
        <v>5866</v>
      </c>
      <c r="B3572" s="4" t="s">
        <v>5867</v>
      </c>
      <c r="C3572" s="4" t="s">
        <v>4586</v>
      </c>
      <c r="D3572" s="4" t="s">
        <v>5866</v>
      </c>
      <c r="E3572" s="4" t="s">
        <v>5963</v>
      </c>
      <c r="F3572" s="4" t="s">
        <v>5964</v>
      </c>
      <c r="G3572" s="4" t="s">
        <v>4472</v>
      </c>
      <c r="H3572" s="4" t="s">
        <v>5892</v>
      </c>
      <c r="I3572" s="4" t="s">
        <v>2100</v>
      </c>
      <c r="J3572" s="4" t="s">
        <v>4599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 s="4" t="s">
        <v>5965</v>
      </c>
    </row>
    <row r="3573" spans="1:20" x14ac:dyDescent="0.2">
      <c r="A3573" s="4" t="s">
        <v>5866</v>
      </c>
      <c r="B3573" s="4" t="s">
        <v>5872</v>
      </c>
      <c r="C3573" s="4" t="s">
        <v>4586</v>
      </c>
      <c r="D3573" s="4" t="s">
        <v>5866</v>
      </c>
      <c r="E3573" s="4" t="s">
        <v>5966</v>
      </c>
      <c r="F3573" s="4" t="s">
        <v>5964</v>
      </c>
      <c r="G3573" s="4" t="s">
        <v>4472</v>
      </c>
      <c r="H3573" s="4" t="s">
        <v>5892</v>
      </c>
      <c r="I3573" s="4" t="s">
        <v>2100</v>
      </c>
      <c r="J3573" s="4" t="s">
        <v>4596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 s="4" t="s">
        <v>5965</v>
      </c>
    </row>
    <row r="3574" spans="1:20" x14ac:dyDescent="0.2">
      <c r="A3574" s="4" t="s">
        <v>5866</v>
      </c>
      <c r="B3574" s="4" t="s">
        <v>5874</v>
      </c>
      <c r="C3574" s="4" t="s">
        <v>4586</v>
      </c>
      <c r="D3574" s="4" t="s">
        <v>5866</v>
      </c>
      <c r="E3574" s="4" t="s">
        <v>5967</v>
      </c>
      <c r="F3574" s="4" t="s">
        <v>5964</v>
      </c>
      <c r="G3574" s="4" t="s">
        <v>4472</v>
      </c>
      <c r="H3574" s="4" t="s">
        <v>5892</v>
      </c>
      <c r="I3574" s="4" t="s">
        <v>2100</v>
      </c>
      <c r="J3574" s="4" t="s">
        <v>4602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 s="4" t="s">
        <v>5965</v>
      </c>
    </row>
    <row r="3575" spans="1:20" x14ac:dyDescent="0.2">
      <c r="A3575" s="4" t="s">
        <v>5866</v>
      </c>
      <c r="B3575" s="4" t="s">
        <v>5876</v>
      </c>
      <c r="C3575" s="4" t="s">
        <v>4586</v>
      </c>
      <c r="D3575" s="4" t="s">
        <v>5866</v>
      </c>
      <c r="E3575" s="4" t="s">
        <v>5968</v>
      </c>
      <c r="F3575" s="4" t="s">
        <v>5964</v>
      </c>
      <c r="G3575" s="4" t="s">
        <v>4472</v>
      </c>
      <c r="H3575" s="4" t="s">
        <v>5892</v>
      </c>
      <c r="I3575" s="4" t="s">
        <v>2100</v>
      </c>
      <c r="J3575" s="4" t="s">
        <v>4592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 s="4" t="s">
        <v>5965</v>
      </c>
    </row>
    <row r="3576" spans="1:20" x14ac:dyDescent="0.2">
      <c r="A3576" s="4" t="s">
        <v>5866</v>
      </c>
      <c r="B3576" s="4" t="s">
        <v>5872</v>
      </c>
      <c r="C3576" s="4" t="s">
        <v>4586</v>
      </c>
      <c r="D3576" s="4" t="s">
        <v>5866</v>
      </c>
      <c r="E3576" s="4" t="s">
        <v>5969</v>
      </c>
      <c r="F3576" s="4" t="s">
        <v>5970</v>
      </c>
      <c r="G3576" s="4" t="s">
        <v>4764</v>
      </c>
      <c r="H3576" s="4" t="s">
        <v>5892</v>
      </c>
      <c r="I3576" s="4" t="s">
        <v>2100</v>
      </c>
      <c r="J3576" s="4" t="s">
        <v>4596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 s="4" t="s">
        <v>5971</v>
      </c>
    </row>
    <row r="3577" spans="1:20" x14ac:dyDescent="0.2">
      <c r="A3577" s="4" t="s">
        <v>5866</v>
      </c>
      <c r="B3577" s="4" t="s">
        <v>5867</v>
      </c>
      <c r="C3577" s="4" t="s">
        <v>4586</v>
      </c>
      <c r="D3577" s="4" t="s">
        <v>5866</v>
      </c>
      <c r="E3577" s="4" t="s">
        <v>5972</v>
      </c>
      <c r="F3577" s="4" t="s">
        <v>5973</v>
      </c>
      <c r="G3577" s="4" t="s">
        <v>4768</v>
      </c>
      <c r="H3577" s="4" t="s">
        <v>5870</v>
      </c>
      <c r="I3577" s="4" t="s">
        <v>4642</v>
      </c>
      <c r="J3577" s="4" t="s">
        <v>4599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 s="4" t="s">
        <v>5974</v>
      </c>
    </row>
    <row r="3578" spans="1:20" x14ac:dyDescent="0.2">
      <c r="A3578" s="4" t="s">
        <v>5866</v>
      </c>
      <c r="B3578" s="4" t="s">
        <v>5872</v>
      </c>
      <c r="C3578" s="4" t="s">
        <v>4586</v>
      </c>
      <c r="D3578" s="4" t="s">
        <v>5866</v>
      </c>
      <c r="E3578" s="4" t="s">
        <v>5975</v>
      </c>
      <c r="F3578" s="4" t="s">
        <v>5973</v>
      </c>
      <c r="G3578" s="4" t="s">
        <v>4768</v>
      </c>
      <c r="H3578" s="4" t="s">
        <v>5870</v>
      </c>
      <c r="I3578" s="4" t="s">
        <v>4642</v>
      </c>
      <c r="J3578" s="4" t="s">
        <v>4596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 s="4" t="s">
        <v>5974</v>
      </c>
    </row>
    <row r="3579" spans="1:20" x14ac:dyDescent="0.2">
      <c r="A3579" s="4" t="s">
        <v>5866</v>
      </c>
      <c r="B3579" s="4" t="s">
        <v>5874</v>
      </c>
      <c r="C3579" s="4" t="s">
        <v>4586</v>
      </c>
      <c r="D3579" s="4" t="s">
        <v>5866</v>
      </c>
      <c r="E3579" s="4" t="s">
        <v>5976</v>
      </c>
      <c r="F3579" s="4" t="s">
        <v>5973</v>
      </c>
      <c r="G3579" s="4" t="s">
        <v>4768</v>
      </c>
      <c r="H3579" s="4" t="s">
        <v>5870</v>
      </c>
      <c r="I3579" s="4" t="s">
        <v>4642</v>
      </c>
      <c r="J3579" s="4" t="s">
        <v>4602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 s="4" t="s">
        <v>5974</v>
      </c>
    </row>
    <row r="3580" spans="1:20" x14ac:dyDescent="0.2">
      <c r="A3580" s="4" t="s">
        <v>5866</v>
      </c>
      <c r="B3580" s="4" t="s">
        <v>5876</v>
      </c>
      <c r="C3580" s="4" t="s">
        <v>4586</v>
      </c>
      <c r="D3580" s="4" t="s">
        <v>5866</v>
      </c>
      <c r="E3580" s="4" t="s">
        <v>5977</v>
      </c>
      <c r="F3580" s="4" t="s">
        <v>5973</v>
      </c>
      <c r="G3580" s="4" t="s">
        <v>4768</v>
      </c>
      <c r="H3580" s="4" t="s">
        <v>5870</v>
      </c>
      <c r="I3580" s="4" t="s">
        <v>4642</v>
      </c>
      <c r="J3580" s="4" t="s">
        <v>4592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 s="4" t="s">
        <v>5974</v>
      </c>
    </row>
    <row r="3581" spans="1:20" x14ac:dyDescent="0.2">
      <c r="A3581" s="4" t="s">
        <v>5866</v>
      </c>
      <c r="B3581" s="4" t="s">
        <v>5867</v>
      </c>
      <c r="C3581" s="4" t="s">
        <v>4586</v>
      </c>
      <c r="D3581" s="4" t="s">
        <v>5866</v>
      </c>
      <c r="E3581" s="4" t="s">
        <v>5978</v>
      </c>
      <c r="F3581" s="4" t="s">
        <v>5979</v>
      </c>
      <c r="G3581" s="4" t="s">
        <v>4768</v>
      </c>
      <c r="H3581" s="4" t="s">
        <v>5870</v>
      </c>
      <c r="I3581" s="4" t="s">
        <v>4591</v>
      </c>
      <c r="J3581" s="4" t="s">
        <v>4599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 s="4" t="s">
        <v>5980</v>
      </c>
    </row>
    <row r="3582" spans="1:20" x14ac:dyDescent="0.2">
      <c r="A3582" s="4" t="s">
        <v>5866</v>
      </c>
      <c r="B3582" s="4" t="s">
        <v>5872</v>
      </c>
      <c r="C3582" s="4" t="s">
        <v>4586</v>
      </c>
      <c r="D3582" s="4" t="s">
        <v>5866</v>
      </c>
      <c r="E3582" s="4" t="s">
        <v>5981</v>
      </c>
      <c r="F3582" s="4" t="s">
        <v>5979</v>
      </c>
      <c r="G3582" s="4" t="s">
        <v>4768</v>
      </c>
      <c r="H3582" s="4" t="s">
        <v>5870</v>
      </c>
      <c r="I3582" s="4" t="s">
        <v>4591</v>
      </c>
      <c r="J3582" s="4" t="s">
        <v>4596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 s="4" t="s">
        <v>5980</v>
      </c>
    </row>
    <row r="3583" spans="1:20" x14ac:dyDescent="0.2">
      <c r="A3583" s="4" t="s">
        <v>5866</v>
      </c>
      <c r="B3583" s="4" t="s">
        <v>5874</v>
      </c>
      <c r="C3583" s="4" t="s">
        <v>4586</v>
      </c>
      <c r="D3583" s="4" t="s">
        <v>5866</v>
      </c>
      <c r="E3583" s="4" t="s">
        <v>5982</v>
      </c>
      <c r="F3583" s="4" t="s">
        <v>5979</v>
      </c>
      <c r="G3583" s="4" t="s">
        <v>4768</v>
      </c>
      <c r="H3583" s="4" t="s">
        <v>5870</v>
      </c>
      <c r="I3583" s="4" t="s">
        <v>4591</v>
      </c>
      <c r="J3583" s="4" t="s">
        <v>4602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 s="4" t="s">
        <v>5980</v>
      </c>
    </row>
    <row r="3584" spans="1:20" x14ac:dyDescent="0.2">
      <c r="A3584" s="4" t="s">
        <v>5866</v>
      </c>
      <c r="B3584" s="4" t="s">
        <v>5876</v>
      </c>
      <c r="C3584" s="4" t="s">
        <v>4586</v>
      </c>
      <c r="D3584" s="4" t="s">
        <v>5866</v>
      </c>
      <c r="E3584" s="4" t="s">
        <v>5983</v>
      </c>
      <c r="F3584" s="4" t="s">
        <v>5979</v>
      </c>
      <c r="G3584" s="4" t="s">
        <v>4768</v>
      </c>
      <c r="H3584" s="4" t="s">
        <v>5870</v>
      </c>
      <c r="I3584" s="4" t="s">
        <v>4591</v>
      </c>
      <c r="J3584" s="4" t="s">
        <v>4592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 s="4" t="s">
        <v>5980</v>
      </c>
    </row>
    <row r="3585" spans="1:20" x14ac:dyDescent="0.2">
      <c r="A3585" s="4" t="s">
        <v>5866</v>
      </c>
      <c r="B3585" s="4" t="s">
        <v>5867</v>
      </c>
      <c r="C3585" s="4" t="s">
        <v>4586</v>
      </c>
      <c r="D3585" s="4" t="s">
        <v>5866</v>
      </c>
      <c r="E3585" s="4" t="s">
        <v>5984</v>
      </c>
      <c r="F3585" s="4" t="s">
        <v>5985</v>
      </c>
      <c r="G3585" s="4" t="s">
        <v>4775</v>
      </c>
      <c r="H3585" s="4" t="s">
        <v>5870</v>
      </c>
      <c r="I3585" s="4" t="s">
        <v>4642</v>
      </c>
      <c r="J3585" s="4" t="s">
        <v>4599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 s="4" t="s">
        <v>5986</v>
      </c>
    </row>
    <row r="3586" spans="1:20" x14ac:dyDescent="0.2">
      <c r="A3586" s="4" t="s">
        <v>5866</v>
      </c>
      <c r="B3586" s="4" t="s">
        <v>5872</v>
      </c>
      <c r="C3586" s="4" t="s">
        <v>4586</v>
      </c>
      <c r="D3586" s="4" t="s">
        <v>5866</v>
      </c>
      <c r="E3586" s="4" t="s">
        <v>5987</v>
      </c>
      <c r="F3586" s="4" t="s">
        <v>5985</v>
      </c>
      <c r="G3586" s="4" t="s">
        <v>4775</v>
      </c>
      <c r="H3586" s="4" t="s">
        <v>5870</v>
      </c>
      <c r="I3586" s="4" t="s">
        <v>4642</v>
      </c>
      <c r="J3586" s="4" t="s">
        <v>4596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 s="4" t="s">
        <v>5986</v>
      </c>
    </row>
    <row r="3587" spans="1:20" x14ac:dyDescent="0.2">
      <c r="A3587" s="4" t="s">
        <v>5866</v>
      </c>
      <c r="B3587" s="4" t="s">
        <v>5874</v>
      </c>
      <c r="C3587" s="4" t="s">
        <v>4586</v>
      </c>
      <c r="D3587" s="4" t="s">
        <v>5866</v>
      </c>
      <c r="E3587" s="4" t="s">
        <v>5988</v>
      </c>
      <c r="F3587" s="4" t="s">
        <v>5985</v>
      </c>
      <c r="G3587" s="4" t="s">
        <v>4775</v>
      </c>
      <c r="H3587" s="4" t="s">
        <v>5870</v>
      </c>
      <c r="I3587" s="4" t="s">
        <v>4642</v>
      </c>
      <c r="J3587" s="4" t="s">
        <v>4602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 s="4" t="s">
        <v>5986</v>
      </c>
    </row>
    <row r="3588" spans="1:20" x14ac:dyDescent="0.2">
      <c r="A3588" s="4" t="s">
        <v>5866</v>
      </c>
      <c r="B3588" s="4" t="s">
        <v>5876</v>
      </c>
      <c r="C3588" s="4" t="s">
        <v>4586</v>
      </c>
      <c r="D3588" s="4" t="s">
        <v>5866</v>
      </c>
      <c r="E3588" s="4" t="s">
        <v>5989</v>
      </c>
      <c r="F3588" s="4" t="s">
        <v>5985</v>
      </c>
      <c r="G3588" s="4" t="s">
        <v>4775</v>
      </c>
      <c r="H3588" s="4" t="s">
        <v>5870</v>
      </c>
      <c r="I3588" s="4" t="s">
        <v>4642</v>
      </c>
      <c r="J3588" s="4" t="s">
        <v>4592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 s="4" t="s">
        <v>5986</v>
      </c>
    </row>
    <row r="3589" spans="1:20" x14ac:dyDescent="0.2">
      <c r="A3589" s="4" t="s">
        <v>5866</v>
      </c>
      <c r="B3589" s="4" t="s">
        <v>5867</v>
      </c>
      <c r="C3589" s="4" t="s">
        <v>4586</v>
      </c>
      <c r="D3589" s="4" t="s">
        <v>5866</v>
      </c>
      <c r="E3589" s="4" t="s">
        <v>5990</v>
      </c>
      <c r="F3589" s="4" t="s">
        <v>5991</v>
      </c>
      <c r="G3589" s="4" t="s">
        <v>4775</v>
      </c>
      <c r="H3589" s="4" t="s">
        <v>5870</v>
      </c>
      <c r="I3589" s="4" t="s">
        <v>4591</v>
      </c>
      <c r="J3589" s="4" t="s">
        <v>4599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 s="4" t="s">
        <v>5992</v>
      </c>
    </row>
    <row r="3590" spans="1:20" x14ac:dyDescent="0.2">
      <c r="A3590" s="4" t="s">
        <v>5866</v>
      </c>
      <c r="B3590" s="4" t="s">
        <v>5872</v>
      </c>
      <c r="C3590" s="4" t="s">
        <v>4586</v>
      </c>
      <c r="D3590" s="4" t="s">
        <v>5866</v>
      </c>
      <c r="E3590" s="4" t="s">
        <v>5993</v>
      </c>
      <c r="F3590" s="4" t="s">
        <v>5991</v>
      </c>
      <c r="G3590" s="4" t="s">
        <v>4775</v>
      </c>
      <c r="H3590" s="4" t="s">
        <v>5870</v>
      </c>
      <c r="I3590" s="4" t="s">
        <v>4591</v>
      </c>
      <c r="J3590" s="4" t="s">
        <v>4596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 s="4" t="s">
        <v>5992</v>
      </c>
    </row>
    <row r="3591" spans="1:20" x14ac:dyDescent="0.2">
      <c r="A3591" s="4" t="s">
        <v>5866</v>
      </c>
      <c r="B3591" s="4" t="s">
        <v>5874</v>
      </c>
      <c r="C3591" s="4" t="s">
        <v>4586</v>
      </c>
      <c r="D3591" s="4" t="s">
        <v>5866</v>
      </c>
      <c r="E3591" s="4" t="s">
        <v>5994</v>
      </c>
      <c r="F3591" s="4" t="s">
        <v>5991</v>
      </c>
      <c r="G3591" s="4" t="s">
        <v>4775</v>
      </c>
      <c r="H3591" s="4" t="s">
        <v>5870</v>
      </c>
      <c r="I3591" s="4" t="s">
        <v>4591</v>
      </c>
      <c r="J3591" s="4" t="s">
        <v>4602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 s="4" t="s">
        <v>5992</v>
      </c>
    </row>
    <row r="3592" spans="1:20" x14ac:dyDescent="0.2">
      <c r="A3592" s="4" t="s">
        <v>5866</v>
      </c>
      <c r="B3592" s="4" t="s">
        <v>5876</v>
      </c>
      <c r="C3592" s="4" t="s">
        <v>4586</v>
      </c>
      <c r="D3592" s="4" t="s">
        <v>5866</v>
      </c>
      <c r="E3592" s="4" t="s">
        <v>5995</v>
      </c>
      <c r="F3592" s="4" t="s">
        <v>5991</v>
      </c>
      <c r="G3592" s="4" t="s">
        <v>4775</v>
      </c>
      <c r="H3592" s="4" t="s">
        <v>5870</v>
      </c>
      <c r="I3592" s="4" t="s">
        <v>4591</v>
      </c>
      <c r="J3592" s="4" t="s">
        <v>4592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 s="4" t="s">
        <v>5992</v>
      </c>
    </row>
    <row r="3593" spans="1:20" x14ac:dyDescent="0.2">
      <c r="A3593" s="4" t="s">
        <v>5996</v>
      </c>
      <c r="B3593" s="4" t="s">
        <v>5997</v>
      </c>
      <c r="C3593" s="4" t="s">
        <v>4586</v>
      </c>
      <c r="D3593" s="4" t="s">
        <v>5996</v>
      </c>
      <c r="E3593" s="4" t="s">
        <v>1903</v>
      </c>
      <c r="F3593" s="4" t="s">
        <v>5998</v>
      </c>
      <c r="G3593" s="4" t="s">
        <v>2134</v>
      </c>
      <c r="H3593" s="4" t="s">
        <v>5999</v>
      </c>
      <c r="I3593" s="4" t="s">
        <v>2100</v>
      </c>
      <c r="J3593" s="4" t="s">
        <v>6000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 s="4" t="s">
        <v>6001</v>
      </c>
    </row>
    <row r="3594" spans="1:20" x14ac:dyDescent="0.2">
      <c r="A3594" s="4" t="s">
        <v>5996</v>
      </c>
      <c r="B3594" s="4" t="s">
        <v>5997</v>
      </c>
      <c r="C3594" s="4" t="s">
        <v>4586</v>
      </c>
      <c r="D3594" s="4" t="s">
        <v>5996</v>
      </c>
      <c r="E3594" s="4" t="s">
        <v>1905</v>
      </c>
      <c r="F3594" s="4" t="s">
        <v>6002</v>
      </c>
      <c r="G3594" s="4" t="s">
        <v>6003</v>
      </c>
      <c r="H3594" s="4" t="s">
        <v>6004</v>
      </c>
      <c r="I3594" s="4" t="s">
        <v>2100</v>
      </c>
      <c r="J3594" s="4" t="s">
        <v>6000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 s="4" t="s">
        <v>6005</v>
      </c>
    </row>
    <row r="3595" spans="1:20" x14ac:dyDescent="0.2">
      <c r="A3595" s="4" t="s">
        <v>6006</v>
      </c>
      <c r="B3595" s="4" t="s">
        <v>6007</v>
      </c>
      <c r="C3595" s="4" t="s">
        <v>6008</v>
      </c>
      <c r="D3595" s="4" t="s">
        <v>6006</v>
      </c>
      <c r="E3595" s="4" t="s">
        <v>1987</v>
      </c>
      <c r="F3595" s="4" t="s">
        <v>1988</v>
      </c>
      <c r="G3595" s="4" t="s">
        <v>6007</v>
      </c>
      <c r="H3595" s="4" t="s">
        <v>6006</v>
      </c>
      <c r="I3595" s="4" t="s">
        <v>2100</v>
      </c>
      <c r="J3595" s="4" t="s">
        <v>4532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 s="4" t="s">
        <v>6009</v>
      </c>
    </row>
    <row r="3596" spans="1:20" x14ac:dyDescent="0.2">
      <c r="A3596" s="4" t="s">
        <v>6006</v>
      </c>
      <c r="B3596" s="4" t="s">
        <v>6007</v>
      </c>
      <c r="C3596" s="4" t="s">
        <v>6010</v>
      </c>
      <c r="D3596" s="4" t="s">
        <v>6006</v>
      </c>
      <c r="E3596" s="4" t="s">
        <v>1989</v>
      </c>
      <c r="F3596" s="4" t="s">
        <v>1990</v>
      </c>
      <c r="G3596" s="4" t="s">
        <v>6011</v>
      </c>
      <c r="H3596" s="4" t="s">
        <v>6006</v>
      </c>
      <c r="I3596" s="4" t="s">
        <v>2100</v>
      </c>
      <c r="J3596" s="4" t="s">
        <v>4532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 s="4" t="s">
        <v>6012</v>
      </c>
    </row>
    <row r="3597" spans="1:20" x14ac:dyDescent="0.2">
      <c r="A3597" s="4" t="s">
        <v>6006</v>
      </c>
      <c r="B3597" s="4" t="s">
        <v>6007</v>
      </c>
      <c r="C3597" s="4" t="s">
        <v>6010</v>
      </c>
      <c r="D3597" s="4" t="s">
        <v>6006</v>
      </c>
      <c r="E3597" s="4" t="s">
        <v>1991</v>
      </c>
      <c r="F3597" s="4" t="s">
        <v>6013</v>
      </c>
      <c r="G3597" s="4" t="s">
        <v>6011</v>
      </c>
      <c r="H3597" s="4" t="s">
        <v>6006</v>
      </c>
      <c r="I3597" s="4" t="s">
        <v>6014</v>
      </c>
      <c r="J3597" s="4" t="s">
        <v>4532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 s="4" t="s">
        <v>6015</v>
      </c>
    </row>
    <row r="3598" spans="1:20" x14ac:dyDescent="0.2">
      <c r="A3598" s="4" t="s">
        <v>6006</v>
      </c>
      <c r="B3598" s="4" t="s">
        <v>6016</v>
      </c>
      <c r="C3598" s="4" t="s">
        <v>6008</v>
      </c>
      <c r="D3598" s="4" t="s">
        <v>6006</v>
      </c>
      <c r="E3598" s="4" t="s">
        <v>1985</v>
      </c>
      <c r="F3598" s="4" t="s">
        <v>1986</v>
      </c>
      <c r="G3598" s="4" t="s">
        <v>6017</v>
      </c>
      <c r="H3598" s="4" t="s">
        <v>6018</v>
      </c>
      <c r="I3598" s="4" t="s">
        <v>2100</v>
      </c>
      <c r="J3598" s="4" t="s">
        <v>4532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 s="4" t="s">
        <v>6019</v>
      </c>
    </row>
    <row r="3599" spans="1:20" x14ac:dyDescent="0.2">
      <c r="A3599" s="4" t="s">
        <v>6006</v>
      </c>
      <c r="B3599" s="4" t="s">
        <v>6006</v>
      </c>
      <c r="C3599" s="4" t="s">
        <v>6008</v>
      </c>
      <c r="D3599" s="4" t="s">
        <v>6006</v>
      </c>
      <c r="E3599" s="4" t="s">
        <v>6020</v>
      </c>
      <c r="F3599" s="4" t="s">
        <v>6021</v>
      </c>
      <c r="G3599" s="4" t="s">
        <v>6022</v>
      </c>
      <c r="H3599" s="4" t="s">
        <v>6006</v>
      </c>
      <c r="I3599" s="4" t="s">
        <v>2100</v>
      </c>
      <c r="J3599" s="4" t="s">
        <v>4532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 s="4" t="s">
        <v>6023</v>
      </c>
    </row>
    <row r="3600" spans="1:20" x14ac:dyDescent="0.2">
      <c r="A3600" s="4" t="s">
        <v>6006</v>
      </c>
      <c r="B3600" s="4" t="s">
        <v>3097</v>
      </c>
      <c r="C3600" s="4" t="s">
        <v>6024</v>
      </c>
      <c r="D3600" s="4" t="s">
        <v>6006</v>
      </c>
      <c r="E3600" s="4" t="s">
        <v>6025</v>
      </c>
      <c r="F3600" s="4" t="s">
        <v>6026</v>
      </c>
      <c r="G3600" s="4" t="s">
        <v>6024</v>
      </c>
      <c r="H3600" s="4" t="s">
        <v>6027</v>
      </c>
      <c r="I3600" s="4" t="s">
        <v>2100</v>
      </c>
      <c r="J3600" s="4" t="s">
        <v>4532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 s="4" t="s">
        <v>6028</v>
      </c>
    </row>
    <row r="3601" spans="1:20" x14ac:dyDescent="0.2">
      <c r="A3601" s="4" t="s">
        <v>6006</v>
      </c>
      <c r="B3601" s="4" t="s">
        <v>3097</v>
      </c>
      <c r="C3601" s="4" t="s">
        <v>6024</v>
      </c>
      <c r="D3601" s="4" t="s">
        <v>6006</v>
      </c>
      <c r="E3601" s="4" t="s">
        <v>6029</v>
      </c>
      <c r="F3601" s="4" t="s">
        <v>6026</v>
      </c>
      <c r="G3601" s="4" t="s">
        <v>6024</v>
      </c>
      <c r="H3601" s="4" t="s">
        <v>6027</v>
      </c>
      <c r="I3601" s="4" t="s">
        <v>2100</v>
      </c>
      <c r="J3601" s="4" t="s">
        <v>4532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 s="4" t="s">
        <v>6028</v>
      </c>
    </row>
    <row r="3602" spans="1:20" x14ac:dyDescent="0.2">
      <c r="A3602" s="4" t="s">
        <v>6006</v>
      </c>
      <c r="B3602" s="4" t="s">
        <v>3097</v>
      </c>
      <c r="C3602" s="4" t="s">
        <v>6030</v>
      </c>
      <c r="D3602" s="4" t="s">
        <v>6006</v>
      </c>
      <c r="E3602" s="4" t="s">
        <v>6031</v>
      </c>
      <c r="F3602" s="4" t="s">
        <v>6032</v>
      </c>
      <c r="G3602" s="4" t="s">
        <v>6030</v>
      </c>
      <c r="H3602" s="4" t="s">
        <v>6027</v>
      </c>
      <c r="I3602" s="4" t="s">
        <v>2100</v>
      </c>
      <c r="J3602" s="4" t="s">
        <v>4532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 s="4" t="s">
        <v>6033</v>
      </c>
    </row>
    <row r="3603" spans="1:20" x14ac:dyDescent="0.2">
      <c r="A3603" s="4" t="s">
        <v>6006</v>
      </c>
      <c r="B3603" s="4" t="s">
        <v>6006</v>
      </c>
      <c r="C3603" s="4" t="s">
        <v>6008</v>
      </c>
      <c r="D3603" s="4" t="s">
        <v>6006</v>
      </c>
      <c r="E3603" s="4" t="s">
        <v>1993</v>
      </c>
      <c r="F3603" s="4" t="s">
        <v>1994</v>
      </c>
      <c r="G3603" s="4" t="s">
        <v>6006</v>
      </c>
      <c r="H3603" s="4" t="s">
        <v>6034</v>
      </c>
      <c r="I3603" s="4" t="s">
        <v>2100</v>
      </c>
      <c r="J3603" s="4" t="s">
        <v>4532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 s="4" t="s">
        <v>6035</v>
      </c>
    </row>
    <row r="3604" spans="1:20" x14ac:dyDescent="0.2">
      <c r="A3604" s="4" t="s">
        <v>6006</v>
      </c>
      <c r="B3604" s="4" t="s">
        <v>6006</v>
      </c>
      <c r="C3604" s="4" t="s">
        <v>6008</v>
      </c>
      <c r="D3604" s="4" t="s">
        <v>6006</v>
      </c>
      <c r="E3604" s="4" t="s">
        <v>1995</v>
      </c>
      <c r="F3604" s="4" t="s">
        <v>1996</v>
      </c>
      <c r="G3604" s="4" t="s">
        <v>6006</v>
      </c>
      <c r="H3604" s="4" t="s">
        <v>6036</v>
      </c>
      <c r="I3604" s="4" t="s">
        <v>2100</v>
      </c>
      <c r="J3604" s="4" t="s">
        <v>4532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 s="4" t="s">
        <v>6037</v>
      </c>
    </row>
    <row r="3605" spans="1:20" x14ac:dyDescent="0.2">
      <c r="A3605" s="4" t="s">
        <v>5761</v>
      </c>
      <c r="B3605" s="4" t="s">
        <v>5819</v>
      </c>
      <c r="C3605" s="4" t="s">
        <v>2096</v>
      </c>
      <c r="D3605" s="4" t="s">
        <v>4764</v>
      </c>
      <c r="E3605" s="4" t="s">
        <v>6038</v>
      </c>
      <c r="F3605" s="4" t="s">
        <v>6039</v>
      </c>
      <c r="G3605" s="4" t="s">
        <v>5764</v>
      </c>
      <c r="H3605" s="4" t="s">
        <v>5314</v>
      </c>
      <c r="I3605" s="4" t="s">
        <v>2100</v>
      </c>
      <c r="J3605" s="4" t="s">
        <v>5822</v>
      </c>
      <c r="K3605">
        <v>10</v>
      </c>
      <c r="L3605">
        <v>3</v>
      </c>
      <c r="M3605">
        <v>15</v>
      </c>
      <c r="N3605">
        <v>92</v>
      </c>
      <c r="O3605">
        <v>118.11023622047244</v>
      </c>
      <c r="P3605">
        <v>0.59055118110236227</v>
      </c>
      <c r="Q3605">
        <v>3.6220472440944884</v>
      </c>
      <c r="R3605">
        <v>2377.42</v>
      </c>
      <c r="S3605">
        <v>4.1399999999999996E-3</v>
      </c>
      <c r="T3605" s="4" t="s">
        <v>6040</v>
      </c>
    </row>
    <row r="3606" spans="1:20" x14ac:dyDescent="0.2">
      <c r="A3606" s="4" t="s">
        <v>5761</v>
      </c>
      <c r="B3606" s="4" t="s">
        <v>5819</v>
      </c>
      <c r="C3606" s="4" t="s">
        <v>2096</v>
      </c>
      <c r="D3606" s="4" t="s">
        <v>4764</v>
      </c>
      <c r="E3606" s="4" t="s">
        <v>2039</v>
      </c>
      <c r="F3606" s="4" t="s">
        <v>6039</v>
      </c>
      <c r="G3606" s="4" t="s">
        <v>5764</v>
      </c>
      <c r="H3606" s="4" t="s">
        <v>5314</v>
      </c>
      <c r="I3606" s="4" t="s">
        <v>2100</v>
      </c>
      <c r="J3606" s="4" t="s">
        <v>5822</v>
      </c>
      <c r="K3606">
        <v>11</v>
      </c>
      <c r="L3606">
        <v>3.3</v>
      </c>
      <c r="M3606">
        <v>15</v>
      </c>
      <c r="N3606">
        <v>92</v>
      </c>
      <c r="O3606">
        <v>129.92125984251967</v>
      </c>
      <c r="P3606">
        <v>0.59055118110236227</v>
      </c>
      <c r="Q3606">
        <v>3.6220472440944884</v>
      </c>
      <c r="R3606">
        <v>2377.42</v>
      </c>
      <c r="S3606">
        <v>4.5539999999999999E-3</v>
      </c>
      <c r="T3606" s="4" t="s">
        <v>6040</v>
      </c>
    </row>
    <row r="3607" spans="1:20" x14ac:dyDescent="0.2">
      <c r="A3607" s="4" t="s">
        <v>5761</v>
      </c>
      <c r="B3607" s="4" t="s">
        <v>5819</v>
      </c>
      <c r="C3607" s="4" t="s">
        <v>2096</v>
      </c>
      <c r="D3607" s="4" t="s">
        <v>4764</v>
      </c>
      <c r="E3607" s="4" t="s">
        <v>6041</v>
      </c>
      <c r="F3607" s="4" t="s">
        <v>6039</v>
      </c>
      <c r="G3607" s="4" t="s">
        <v>5764</v>
      </c>
      <c r="H3607" s="4" t="s">
        <v>5314</v>
      </c>
      <c r="I3607" s="4" t="s">
        <v>2100</v>
      </c>
      <c r="J3607" s="4" t="s">
        <v>5822</v>
      </c>
      <c r="K3607">
        <v>12</v>
      </c>
      <c r="L3607">
        <v>3.6</v>
      </c>
      <c r="M3607">
        <v>15</v>
      </c>
      <c r="N3607">
        <v>92</v>
      </c>
      <c r="O3607">
        <v>141.73228346456693</v>
      </c>
      <c r="P3607">
        <v>0.59055118110236227</v>
      </c>
      <c r="Q3607">
        <v>3.6220472440944884</v>
      </c>
      <c r="R3607">
        <v>2377.42</v>
      </c>
      <c r="S3607">
        <v>4.9680000000000002E-3</v>
      </c>
      <c r="T3607" s="4" t="s">
        <v>6040</v>
      </c>
    </row>
    <row r="3608" spans="1:20" x14ac:dyDescent="0.2">
      <c r="A3608" s="4" t="s">
        <v>5761</v>
      </c>
      <c r="B3608" s="4" t="s">
        <v>5819</v>
      </c>
      <c r="C3608" s="4" t="s">
        <v>2096</v>
      </c>
      <c r="D3608" s="4" t="s">
        <v>4764</v>
      </c>
      <c r="E3608" s="4" t="s">
        <v>6042</v>
      </c>
      <c r="F3608" s="4" t="s">
        <v>6039</v>
      </c>
      <c r="G3608" s="4" t="s">
        <v>5764</v>
      </c>
      <c r="H3608" s="4" t="s">
        <v>5314</v>
      </c>
      <c r="I3608" s="4" t="s">
        <v>2100</v>
      </c>
      <c r="J3608" s="4" t="s">
        <v>5822</v>
      </c>
      <c r="K3608">
        <v>13</v>
      </c>
      <c r="L3608">
        <v>3.9</v>
      </c>
      <c r="M3608">
        <v>15</v>
      </c>
      <c r="N3608">
        <v>92</v>
      </c>
      <c r="O3608">
        <v>153.54330708661416</v>
      </c>
      <c r="P3608">
        <v>0.59055118110236227</v>
      </c>
      <c r="Q3608">
        <v>3.6220472440944884</v>
      </c>
      <c r="R3608">
        <v>2377.42</v>
      </c>
      <c r="S3608">
        <v>5.3820000000000005E-3</v>
      </c>
      <c r="T3608" s="4" t="s">
        <v>6040</v>
      </c>
    </row>
    <row r="3609" spans="1:20" x14ac:dyDescent="0.2">
      <c r="A3609" s="4" t="s">
        <v>5761</v>
      </c>
      <c r="B3609" s="4" t="s">
        <v>5819</v>
      </c>
      <c r="C3609" s="4" t="s">
        <v>2096</v>
      </c>
      <c r="D3609" s="4" t="s">
        <v>4764</v>
      </c>
      <c r="E3609" s="4" t="s">
        <v>2040</v>
      </c>
      <c r="F3609" s="4" t="s">
        <v>6039</v>
      </c>
      <c r="G3609" s="4" t="s">
        <v>5764</v>
      </c>
      <c r="H3609" s="4" t="s">
        <v>5314</v>
      </c>
      <c r="I3609" s="4" t="s">
        <v>2100</v>
      </c>
      <c r="J3609" s="4" t="s">
        <v>5822</v>
      </c>
      <c r="K3609">
        <v>14</v>
      </c>
      <c r="L3609">
        <v>4.2</v>
      </c>
      <c r="M3609">
        <v>15</v>
      </c>
      <c r="N3609">
        <v>92</v>
      </c>
      <c r="O3609">
        <v>165.35433070866142</v>
      </c>
      <c r="P3609">
        <v>0.59055118110236227</v>
      </c>
      <c r="Q3609">
        <v>3.6220472440944884</v>
      </c>
      <c r="R3609">
        <v>2377.42</v>
      </c>
      <c r="S3609">
        <v>5.7959999999999999E-3</v>
      </c>
      <c r="T3609" s="4" t="s">
        <v>6040</v>
      </c>
    </row>
    <row r="3610" spans="1:20" x14ac:dyDescent="0.2">
      <c r="A3610" s="4" t="s">
        <v>5761</v>
      </c>
      <c r="B3610" s="4" t="s">
        <v>5819</v>
      </c>
      <c r="C3610" s="4" t="s">
        <v>2096</v>
      </c>
      <c r="D3610" s="4" t="s">
        <v>4764</v>
      </c>
      <c r="E3610" s="4" t="s">
        <v>6043</v>
      </c>
      <c r="F3610" s="4" t="s">
        <v>6039</v>
      </c>
      <c r="G3610" s="4" t="s">
        <v>5764</v>
      </c>
      <c r="H3610" s="4" t="s">
        <v>5314</v>
      </c>
      <c r="I3610" s="4" t="s">
        <v>2100</v>
      </c>
      <c r="J3610" s="4" t="s">
        <v>5822</v>
      </c>
      <c r="K3610">
        <v>15</v>
      </c>
      <c r="L3610">
        <v>4.5</v>
      </c>
      <c r="M3610">
        <v>15</v>
      </c>
      <c r="N3610">
        <v>92</v>
      </c>
      <c r="O3610">
        <v>177.16535433070868</v>
      </c>
      <c r="P3610">
        <v>0.59055118110236227</v>
      </c>
      <c r="Q3610">
        <v>3.6220472440944884</v>
      </c>
      <c r="R3610">
        <v>2377.42</v>
      </c>
      <c r="S3610">
        <v>6.2100000000000011E-3</v>
      </c>
      <c r="T3610" s="4" t="s">
        <v>6040</v>
      </c>
    </row>
    <row r="3611" spans="1:20" x14ac:dyDescent="0.2">
      <c r="A3611" s="4" t="s">
        <v>5761</v>
      </c>
      <c r="B3611" s="4" t="s">
        <v>5819</v>
      </c>
      <c r="C3611" s="4" t="s">
        <v>2096</v>
      </c>
      <c r="D3611" s="4" t="s">
        <v>4764</v>
      </c>
      <c r="E3611" s="4" t="s">
        <v>2041</v>
      </c>
      <c r="F3611" s="4" t="s">
        <v>6039</v>
      </c>
      <c r="G3611" s="4" t="s">
        <v>5764</v>
      </c>
      <c r="H3611" s="4" t="s">
        <v>5314</v>
      </c>
      <c r="I3611" s="4" t="s">
        <v>2100</v>
      </c>
      <c r="J3611" s="4" t="s">
        <v>5822</v>
      </c>
      <c r="K3611">
        <v>16</v>
      </c>
      <c r="L3611">
        <v>4.8</v>
      </c>
      <c r="M3611">
        <v>15</v>
      </c>
      <c r="N3611">
        <v>92</v>
      </c>
      <c r="O3611">
        <v>188.97637795275591</v>
      </c>
      <c r="P3611">
        <v>0.59055118110236227</v>
      </c>
      <c r="Q3611">
        <v>3.6220472440944884</v>
      </c>
      <c r="R3611">
        <v>2377.42</v>
      </c>
      <c r="S3611">
        <v>6.6239999999999997E-3</v>
      </c>
      <c r="T3611" s="4" t="s">
        <v>6040</v>
      </c>
    </row>
    <row r="3612" spans="1:20" x14ac:dyDescent="0.2">
      <c r="A3612" s="4" t="s">
        <v>5761</v>
      </c>
      <c r="B3612" s="4" t="s">
        <v>5819</v>
      </c>
      <c r="C3612" s="4" t="s">
        <v>2096</v>
      </c>
      <c r="D3612" s="4" t="s">
        <v>4764</v>
      </c>
      <c r="E3612" s="4" t="s">
        <v>6044</v>
      </c>
      <c r="F3612" s="4" t="s">
        <v>6039</v>
      </c>
      <c r="G3612" s="4" t="s">
        <v>5764</v>
      </c>
      <c r="H3612" s="4" t="s">
        <v>5314</v>
      </c>
      <c r="I3612" s="4" t="s">
        <v>2100</v>
      </c>
      <c r="J3612" s="4" t="s">
        <v>5822</v>
      </c>
      <c r="K3612">
        <v>17</v>
      </c>
      <c r="L3612">
        <v>5.0999999999999996</v>
      </c>
      <c r="M3612">
        <v>15</v>
      </c>
      <c r="N3612">
        <v>92</v>
      </c>
      <c r="O3612">
        <v>200.78740157480314</v>
      </c>
      <c r="P3612">
        <v>0.59055118110236227</v>
      </c>
      <c r="Q3612">
        <v>3.6220472440944884</v>
      </c>
      <c r="R3612">
        <v>2377.42</v>
      </c>
      <c r="S3612">
        <v>7.038E-3</v>
      </c>
      <c r="T3612" s="4" t="s">
        <v>6040</v>
      </c>
    </row>
    <row r="3613" spans="1:20" x14ac:dyDescent="0.2">
      <c r="A3613" s="4" t="s">
        <v>5761</v>
      </c>
      <c r="B3613" s="4" t="s">
        <v>5819</v>
      </c>
      <c r="C3613" s="4" t="s">
        <v>2096</v>
      </c>
      <c r="D3613" s="4" t="s">
        <v>4764</v>
      </c>
      <c r="E3613" s="4" t="s">
        <v>6045</v>
      </c>
      <c r="F3613" s="4" t="s">
        <v>6039</v>
      </c>
      <c r="G3613" s="4" t="s">
        <v>5764</v>
      </c>
      <c r="H3613" s="4" t="s">
        <v>5314</v>
      </c>
      <c r="I3613" s="4" t="s">
        <v>2100</v>
      </c>
      <c r="J3613" s="4" t="s">
        <v>5822</v>
      </c>
      <c r="K3613">
        <v>18</v>
      </c>
      <c r="L3613">
        <v>5.4</v>
      </c>
      <c r="M3613">
        <v>15</v>
      </c>
      <c r="N3613">
        <v>92</v>
      </c>
      <c r="O3613">
        <v>212.59842519685043</v>
      </c>
      <c r="P3613">
        <v>0.59055118110236227</v>
      </c>
      <c r="Q3613">
        <v>3.6220472440944884</v>
      </c>
      <c r="R3613">
        <v>2377.42</v>
      </c>
      <c r="S3613">
        <v>7.4520000000000003E-3</v>
      </c>
      <c r="T3613" s="4" t="s">
        <v>6040</v>
      </c>
    </row>
    <row r="3614" spans="1:20" x14ac:dyDescent="0.2">
      <c r="A3614" s="4" t="s">
        <v>5761</v>
      </c>
      <c r="B3614" s="4" t="s">
        <v>5819</v>
      </c>
      <c r="C3614" s="4" t="s">
        <v>2286</v>
      </c>
      <c r="D3614" s="4" t="s">
        <v>4764</v>
      </c>
      <c r="E3614" s="4" t="s">
        <v>6046</v>
      </c>
      <c r="F3614" s="4" t="s">
        <v>6039</v>
      </c>
      <c r="G3614" s="4" t="s">
        <v>5764</v>
      </c>
      <c r="H3614" s="4" t="s">
        <v>5314</v>
      </c>
      <c r="I3614" s="4" t="s">
        <v>2100</v>
      </c>
      <c r="J3614" s="4" t="s">
        <v>5822</v>
      </c>
      <c r="K3614">
        <v>4</v>
      </c>
      <c r="L3614">
        <v>1.2</v>
      </c>
      <c r="M3614">
        <v>15</v>
      </c>
      <c r="N3614">
        <v>92</v>
      </c>
      <c r="O3614">
        <v>47.244094488188978</v>
      </c>
      <c r="P3614">
        <v>0.59055118110236227</v>
      </c>
      <c r="Q3614">
        <v>3.6220472440944884</v>
      </c>
      <c r="R3614">
        <v>2377.42</v>
      </c>
      <c r="S3614">
        <v>1.6559999999999999E-3</v>
      </c>
      <c r="T3614" s="4" t="s">
        <v>6047</v>
      </c>
    </row>
    <row r="3615" spans="1:20" x14ac:dyDescent="0.2">
      <c r="A3615" s="4" t="s">
        <v>5761</v>
      </c>
      <c r="B3615" s="4" t="s">
        <v>5819</v>
      </c>
      <c r="C3615" s="4" t="s">
        <v>2286</v>
      </c>
      <c r="D3615" s="4" t="s">
        <v>4764</v>
      </c>
      <c r="E3615" s="4" t="s">
        <v>6048</v>
      </c>
      <c r="F3615" s="4" t="s">
        <v>6039</v>
      </c>
      <c r="G3615" s="4" t="s">
        <v>5764</v>
      </c>
      <c r="H3615" s="4" t="s">
        <v>5314</v>
      </c>
      <c r="I3615" s="4" t="s">
        <v>2100</v>
      </c>
      <c r="J3615" s="4" t="s">
        <v>5822</v>
      </c>
      <c r="K3615">
        <v>5</v>
      </c>
      <c r="L3615">
        <v>1.5</v>
      </c>
      <c r="M3615">
        <v>15</v>
      </c>
      <c r="N3615">
        <v>92</v>
      </c>
      <c r="O3615">
        <v>59.055118110236222</v>
      </c>
      <c r="P3615">
        <v>0.59055118110236227</v>
      </c>
      <c r="Q3615">
        <v>3.6220472440944884</v>
      </c>
      <c r="R3615">
        <v>2377.42</v>
      </c>
      <c r="S3615">
        <v>2.0699999999999998E-3</v>
      </c>
      <c r="T3615" s="4" t="s">
        <v>6047</v>
      </c>
    </row>
    <row r="3616" spans="1:20" x14ac:dyDescent="0.2">
      <c r="A3616" s="4" t="s">
        <v>5761</v>
      </c>
      <c r="B3616" s="4" t="s">
        <v>5819</v>
      </c>
      <c r="C3616" s="4" t="s">
        <v>2286</v>
      </c>
      <c r="D3616" s="4" t="s">
        <v>4764</v>
      </c>
      <c r="E3616" s="4" t="s">
        <v>6049</v>
      </c>
      <c r="F3616" s="4" t="s">
        <v>6039</v>
      </c>
      <c r="G3616" s="4" t="s">
        <v>5764</v>
      </c>
      <c r="H3616" s="4" t="s">
        <v>5314</v>
      </c>
      <c r="I3616" s="4" t="s">
        <v>2100</v>
      </c>
      <c r="J3616" s="4" t="s">
        <v>5822</v>
      </c>
      <c r="K3616">
        <v>6</v>
      </c>
      <c r="L3616">
        <v>1.8</v>
      </c>
      <c r="M3616">
        <v>15</v>
      </c>
      <c r="N3616">
        <v>92</v>
      </c>
      <c r="O3616">
        <v>70.866141732283467</v>
      </c>
      <c r="P3616">
        <v>0.59055118110236227</v>
      </c>
      <c r="Q3616">
        <v>3.6220472440944884</v>
      </c>
      <c r="R3616">
        <v>2377.42</v>
      </c>
      <c r="S3616">
        <v>2.4840000000000001E-3</v>
      </c>
      <c r="T3616" s="4" t="s">
        <v>6047</v>
      </c>
    </row>
    <row r="3617" spans="1:20" x14ac:dyDescent="0.2">
      <c r="A3617" s="4" t="s">
        <v>5761</v>
      </c>
      <c r="B3617" s="4" t="s">
        <v>5819</v>
      </c>
      <c r="C3617" s="4" t="s">
        <v>2286</v>
      </c>
      <c r="D3617" s="4" t="s">
        <v>4764</v>
      </c>
      <c r="E3617" s="4" t="s">
        <v>6050</v>
      </c>
      <c r="F3617" s="4" t="s">
        <v>6039</v>
      </c>
      <c r="G3617" s="4" t="s">
        <v>5764</v>
      </c>
      <c r="H3617" s="4" t="s">
        <v>5314</v>
      </c>
      <c r="I3617" s="4" t="s">
        <v>2100</v>
      </c>
      <c r="J3617" s="4" t="s">
        <v>5822</v>
      </c>
      <c r="K3617">
        <v>7</v>
      </c>
      <c r="L3617">
        <v>2.1</v>
      </c>
      <c r="M3617">
        <v>15</v>
      </c>
      <c r="N3617">
        <v>92</v>
      </c>
      <c r="O3617">
        <v>82.677165354330711</v>
      </c>
      <c r="P3617">
        <v>0.59055118110236227</v>
      </c>
      <c r="Q3617">
        <v>3.6220472440944884</v>
      </c>
      <c r="R3617">
        <v>2377.42</v>
      </c>
      <c r="S3617">
        <v>2.898E-3</v>
      </c>
      <c r="T3617" s="4" t="s">
        <v>6047</v>
      </c>
    </row>
    <row r="3618" spans="1:20" x14ac:dyDescent="0.2">
      <c r="A3618" s="4" t="s">
        <v>5761</v>
      </c>
      <c r="B3618" s="4" t="s">
        <v>5819</v>
      </c>
      <c r="C3618" s="4" t="s">
        <v>2096</v>
      </c>
      <c r="D3618" s="4" t="s">
        <v>4764</v>
      </c>
      <c r="E3618" s="4" t="s">
        <v>2038</v>
      </c>
      <c r="F3618" s="4" t="s">
        <v>6039</v>
      </c>
      <c r="G3618" s="4" t="s">
        <v>5764</v>
      </c>
      <c r="H3618" s="4" t="s">
        <v>5314</v>
      </c>
      <c r="I3618" s="4" t="s">
        <v>2100</v>
      </c>
      <c r="J3618" s="4" t="s">
        <v>5822</v>
      </c>
      <c r="K3618">
        <v>8</v>
      </c>
      <c r="L3618">
        <v>2.4</v>
      </c>
      <c r="M3618">
        <v>15</v>
      </c>
      <c r="N3618">
        <v>92</v>
      </c>
      <c r="O3618">
        <v>94.488188976377955</v>
      </c>
      <c r="P3618">
        <v>0.59055118110236227</v>
      </c>
      <c r="Q3618">
        <v>3.6220472440944884</v>
      </c>
      <c r="R3618">
        <v>2377.42</v>
      </c>
      <c r="S3618">
        <v>3.3119999999999998E-3</v>
      </c>
      <c r="T3618" s="4" t="s">
        <v>6040</v>
      </c>
    </row>
    <row r="3619" spans="1:20" x14ac:dyDescent="0.2">
      <c r="A3619" s="4" t="s">
        <v>5761</v>
      </c>
      <c r="B3619" s="4" t="s">
        <v>5819</v>
      </c>
      <c r="C3619" s="4" t="s">
        <v>2096</v>
      </c>
      <c r="D3619" s="4" t="s">
        <v>4764</v>
      </c>
      <c r="E3619" s="4" t="s">
        <v>6051</v>
      </c>
      <c r="F3619" s="4" t="s">
        <v>6039</v>
      </c>
      <c r="G3619" s="4" t="s">
        <v>5764</v>
      </c>
      <c r="H3619" s="4" t="s">
        <v>5314</v>
      </c>
      <c r="I3619" s="4" t="s">
        <v>2100</v>
      </c>
      <c r="J3619" s="4" t="s">
        <v>5822</v>
      </c>
      <c r="K3619">
        <v>9</v>
      </c>
      <c r="L3619">
        <v>2.7</v>
      </c>
      <c r="M3619">
        <v>15</v>
      </c>
      <c r="N3619">
        <v>92</v>
      </c>
      <c r="O3619">
        <v>106.29921259842521</v>
      </c>
      <c r="P3619">
        <v>0.59055118110236227</v>
      </c>
      <c r="Q3619">
        <v>3.6220472440944884</v>
      </c>
      <c r="R3619">
        <v>2377.42</v>
      </c>
      <c r="S3619">
        <v>3.7260000000000001E-3</v>
      </c>
      <c r="T3619" s="4" t="s">
        <v>6040</v>
      </c>
    </row>
    <row r="3620" spans="1:20" x14ac:dyDescent="0.2">
      <c r="A3620" s="4" t="s">
        <v>5118</v>
      </c>
      <c r="B3620" s="4" t="s">
        <v>5294</v>
      </c>
      <c r="C3620" s="4" t="s">
        <v>2096</v>
      </c>
      <c r="D3620" s="4" t="s">
        <v>4764</v>
      </c>
      <c r="E3620" s="4" t="s">
        <v>1361</v>
      </c>
      <c r="F3620" s="4" t="s">
        <v>6052</v>
      </c>
      <c r="G3620" s="4" t="s">
        <v>5122</v>
      </c>
      <c r="H3620" s="4" t="s">
        <v>2099</v>
      </c>
      <c r="I3620" s="4" t="s">
        <v>2100</v>
      </c>
      <c r="J3620" s="4" t="s">
        <v>2111</v>
      </c>
      <c r="K3620">
        <v>10</v>
      </c>
      <c r="L3620">
        <v>3.05</v>
      </c>
      <c r="M3620">
        <v>25</v>
      </c>
      <c r="N3620">
        <v>150</v>
      </c>
      <c r="O3620">
        <v>120.07874015748031</v>
      </c>
      <c r="P3620">
        <v>0.98425196850393704</v>
      </c>
      <c r="Q3620">
        <v>5.9055118110236222</v>
      </c>
      <c r="R3620">
        <v>874.89099999999996</v>
      </c>
      <c r="S3620">
        <v>1.14375E-2</v>
      </c>
      <c r="T3620" s="4" t="s">
        <v>6053</v>
      </c>
    </row>
    <row r="3621" spans="1:20" x14ac:dyDescent="0.2">
      <c r="A3621" s="4" t="s">
        <v>5118</v>
      </c>
      <c r="B3621" s="4" t="s">
        <v>5294</v>
      </c>
      <c r="C3621" s="4" t="s">
        <v>2096</v>
      </c>
      <c r="D3621" s="4" t="s">
        <v>4764</v>
      </c>
      <c r="E3621" s="4" t="s">
        <v>6054</v>
      </c>
      <c r="F3621" s="4" t="s">
        <v>6052</v>
      </c>
      <c r="G3621" s="4" t="s">
        <v>5122</v>
      </c>
      <c r="H3621" s="4" t="s">
        <v>2099</v>
      </c>
      <c r="I3621" s="4" t="s">
        <v>2100</v>
      </c>
      <c r="J3621" s="4" t="s">
        <v>2111</v>
      </c>
      <c r="K3621">
        <v>11</v>
      </c>
      <c r="L3621">
        <v>3.35</v>
      </c>
      <c r="M3621">
        <v>25</v>
      </c>
      <c r="N3621">
        <v>150</v>
      </c>
      <c r="O3621">
        <v>131.88976377952756</v>
      </c>
      <c r="P3621">
        <v>0.98425196850393704</v>
      </c>
      <c r="Q3621">
        <v>5.9055118110236222</v>
      </c>
      <c r="R3621">
        <v>874.89099999999996</v>
      </c>
      <c r="S3621">
        <v>1.2562500000000001E-2</v>
      </c>
      <c r="T3621" s="4" t="s">
        <v>6053</v>
      </c>
    </row>
    <row r="3622" spans="1:20" x14ac:dyDescent="0.2">
      <c r="A3622" s="4" t="s">
        <v>5118</v>
      </c>
      <c r="B3622" s="4" t="s">
        <v>5294</v>
      </c>
      <c r="C3622" s="4" t="s">
        <v>2096</v>
      </c>
      <c r="D3622" s="4" t="s">
        <v>4764</v>
      </c>
      <c r="E3622" s="4" t="s">
        <v>1363</v>
      </c>
      <c r="F3622" s="4" t="s">
        <v>6052</v>
      </c>
      <c r="G3622" s="4" t="s">
        <v>5122</v>
      </c>
      <c r="H3622" s="4" t="s">
        <v>2099</v>
      </c>
      <c r="I3622" s="4" t="s">
        <v>2100</v>
      </c>
      <c r="J3622" s="4" t="s">
        <v>2111</v>
      </c>
      <c r="K3622">
        <v>12</v>
      </c>
      <c r="L3622">
        <v>3.66</v>
      </c>
      <c r="M3622">
        <v>25</v>
      </c>
      <c r="N3622">
        <v>150</v>
      </c>
      <c r="O3622">
        <v>144.09448818897638</v>
      </c>
      <c r="P3622">
        <v>0.98425196850393704</v>
      </c>
      <c r="Q3622">
        <v>5.9055118110236222</v>
      </c>
      <c r="R3622">
        <v>874.89099999999996</v>
      </c>
      <c r="S3622">
        <v>1.3724999999999999E-2</v>
      </c>
      <c r="T3622" s="4" t="s">
        <v>6053</v>
      </c>
    </row>
    <row r="3623" spans="1:20" x14ac:dyDescent="0.2">
      <c r="A3623" s="4" t="s">
        <v>5118</v>
      </c>
      <c r="B3623" s="4" t="s">
        <v>5294</v>
      </c>
      <c r="C3623" s="4" t="s">
        <v>2096</v>
      </c>
      <c r="D3623" s="4" t="s">
        <v>4764</v>
      </c>
      <c r="E3623" s="4" t="s">
        <v>1365</v>
      </c>
      <c r="F3623" s="4" t="s">
        <v>6052</v>
      </c>
      <c r="G3623" s="4" t="s">
        <v>5122</v>
      </c>
      <c r="H3623" s="4" t="s">
        <v>2099</v>
      </c>
      <c r="I3623" s="4" t="s">
        <v>2100</v>
      </c>
      <c r="J3623" s="4" t="s">
        <v>2111</v>
      </c>
      <c r="K3623">
        <v>13</v>
      </c>
      <c r="L3623">
        <v>3.9649999999999999</v>
      </c>
      <c r="M3623">
        <v>25</v>
      </c>
      <c r="N3623">
        <v>150</v>
      </c>
      <c r="O3623">
        <v>156.10236220472441</v>
      </c>
      <c r="P3623">
        <v>0.98425196850393704</v>
      </c>
      <c r="Q3623">
        <v>5.9055118110236222</v>
      </c>
      <c r="R3623">
        <v>874.89099999999996</v>
      </c>
      <c r="S3623">
        <v>1.486875E-2</v>
      </c>
      <c r="T3623" s="4" t="s">
        <v>6053</v>
      </c>
    </row>
    <row r="3624" spans="1:20" x14ac:dyDescent="0.2">
      <c r="A3624" s="4" t="s">
        <v>5118</v>
      </c>
      <c r="B3624" s="4" t="s">
        <v>5294</v>
      </c>
      <c r="C3624" s="4" t="s">
        <v>2096</v>
      </c>
      <c r="D3624" s="4" t="s">
        <v>4764</v>
      </c>
      <c r="E3624" s="4" t="s">
        <v>6055</v>
      </c>
      <c r="F3624" s="4" t="s">
        <v>6052</v>
      </c>
      <c r="G3624" s="4" t="s">
        <v>5122</v>
      </c>
      <c r="H3624" s="4" t="s">
        <v>2099</v>
      </c>
      <c r="I3624" s="4" t="s">
        <v>2100</v>
      </c>
      <c r="J3624" s="4" t="s">
        <v>2111</v>
      </c>
      <c r="K3624">
        <v>14</v>
      </c>
      <c r="L3624">
        <v>4.2649999999999997</v>
      </c>
      <c r="M3624">
        <v>25</v>
      </c>
      <c r="N3624">
        <v>150</v>
      </c>
      <c r="O3624">
        <v>167.91338582677164</v>
      </c>
      <c r="P3624">
        <v>0.98425196850393704</v>
      </c>
      <c r="Q3624">
        <v>5.9055118110236222</v>
      </c>
      <c r="R3624">
        <v>874.89099999999996</v>
      </c>
      <c r="S3624">
        <v>1.5993749999999998E-2</v>
      </c>
      <c r="T3624" s="4" t="s">
        <v>6053</v>
      </c>
    </row>
    <row r="3625" spans="1:20" x14ac:dyDescent="0.2">
      <c r="A3625" s="4" t="s">
        <v>5118</v>
      </c>
      <c r="B3625" s="4" t="s">
        <v>5294</v>
      </c>
      <c r="C3625" s="4" t="s">
        <v>2096</v>
      </c>
      <c r="D3625" s="4" t="s">
        <v>4764</v>
      </c>
      <c r="E3625" s="4" t="s">
        <v>6056</v>
      </c>
      <c r="F3625" s="4" t="s">
        <v>6052</v>
      </c>
      <c r="G3625" s="4" t="s">
        <v>5122</v>
      </c>
      <c r="H3625" s="4" t="s">
        <v>2099</v>
      </c>
      <c r="I3625" s="4" t="s">
        <v>2100</v>
      </c>
      <c r="J3625" s="4" t="s">
        <v>2111</v>
      </c>
      <c r="K3625">
        <v>15</v>
      </c>
      <c r="L3625">
        <v>4.5650000000000004</v>
      </c>
      <c r="M3625">
        <v>25</v>
      </c>
      <c r="N3625">
        <v>150</v>
      </c>
      <c r="O3625">
        <v>179.72440944881893</v>
      </c>
      <c r="P3625">
        <v>0.98425196850393704</v>
      </c>
      <c r="Q3625">
        <v>5.9055118110236222</v>
      </c>
      <c r="R3625">
        <v>874.89099999999996</v>
      </c>
      <c r="S3625">
        <v>1.7118750000000002E-2</v>
      </c>
      <c r="T3625" s="4" t="s">
        <v>6053</v>
      </c>
    </row>
    <row r="3626" spans="1:20" x14ac:dyDescent="0.2">
      <c r="A3626" s="4" t="s">
        <v>5118</v>
      </c>
      <c r="B3626" s="4" t="s">
        <v>5294</v>
      </c>
      <c r="C3626" s="4" t="s">
        <v>2096</v>
      </c>
      <c r="D3626" s="4" t="s">
        <v>4764</v>
      </c>
      <c r="E3626" s="4" t="s">
        <v>1367</v>
      </c>
      <c r="F3626" s="4" t="s">
        <v>6052</v>
      </c>
      <c r="G3626" s="4" t="s">
        <v>5122</v>
      </c>
      <c r="H3626" s="4" t="s">
        <v>2099</v>
      </c>
      <c r="I3626" s="4" t="s">
        <v>2100</v>
      </c>
      <c r="J3626" s="4" t="s">
        <v>2111</v>
      </c>
      <c r="K3626">
        <v>16</v>
      </c>
      <c r="L3626">
        <v>4.88</v>
      </c>
      <c r="M3626">
        <v>25</v>
      </c>
      <c r="N3626">
        <v>150</v>
      </c>
      <c r="O3626">
        <v>192.1259842519685</v>
      </c>
      <c r="P3626">
        <v>0.98425196850393704</v>
      </c>
      <c r="Q3626">
        <v>5.9055118110236222</v>
      </c>
      <c r="R3626">
        <v>874.89099999999996</v>
      </c>
      <c r="S3626">
        <v>1.83E-2</v>
      </c>
      <c r="T3626" s="4" t="s">
        <v>6053</v>
      </c>
    </row>
    <row r="3627" spans="1:20" x14ac:dyDescent="0.2">
      <c r="A3627" s="4" t="s">
        <v>5118</v>
      </c>
      <c r="B3627" s="4" t="s">
        <v>5294</v>
      </c>
      <c r="C3627" s="4" t="s">
        <v>2096</v>
      </c>
      <c r="D3627" s="4" t="s">
        <v>4764</v>
      </c>
      <c r="E3627" s="4" t="s">
        <v>6057</v>
      </c>
      <c r="F3627" s="4" t="s">
        <v>6052</v>
      </c>
      <c r="G3627" s="4" t="s">
        <v>5122</v>
      </c>
      <c r="H3627" s="4" t="s">
        <v>2099</v>
      </c>
      <c r="I3627" s="4" t="s">
        <v>2100</v>
      </c>
      <c r="J3627" s="4" t="s">
        <v>2111</v>
      </c>
      <c r="K3627">
        <v>17</v>
      </c>
      <c r="L3627">
        <v>5.18</v>
      </c>
      <c r="M3627">
        <v>25</v>
      </c>
      <c r="N3627">
        <v>150</v>
      </c>
      <c r="O3627">
        <v>203.93700787401573</v>
      </c>
      <c r="P3627">
        <v>0.98425196850393704</v>
      </c>
      <c r="Q3627">
        <v>5.9055118110236222</v>
      </c>
      <c r="R3627">
        <v>874.89099999999996</v>
      </c>
      <c r="S3627">
        <v>1.9425000000000001E-2</v>
      </c>
      <c r="T3627" s="4" t="s">
        <v>6053</v>
      </c>
    </row>
    <row r="3628" spans="1:20" x14ac:dyDescent="0.2">
      <c r="A3628" s="4" t="s">
        <v>5118</v>
      </c>
      <c r="B3628" s="4" t="s">
        <v>5294</v>
      </c>
      <c r="C3628" s="4" t="s">
        <v>2096</v>
      </c>
      <c r="D3628" s="4" t="s">
        <v>4764</v>
      </c>
      <c r="E3628" s="4" t="s">
        <v>1369</v>
      </c>
      <c r="F3628" s="4" t="s">
        <v>6052</v>
      </c>
      <c r="G3628" s="4" t="s">
        <v>5122</v>
      </c>
      <c r="H3628" s="4" t="s">
        <v>2099</v>
      </c>
      <c r="I3628" s="4" t="s">
        <v>2100</v>
      </c>
      <c r="J3628" s="4" t="s">
        <v>2111</v>
      </c>
      <c r="K3628">
        <v>18</v>
      </c>
      <c r="L3628">
        <v>5.49</v>
      </c>
      <c r="M3628">
        <v>25</v>
      </c>
      <c r="N3628">
        <v>150</v>
      </c>
      <c r="O3628">
        <v>216.14173228346459</v>
      </c>
      <c r="P3628">
        <v>0.98425196850393704</v>
      </c>
      <c r="Q3628">
        <v>5.9055118110236222</v>
      </c>
      <c r="R3628">
        <v>874.89099999999996</v>
      </c>
      <c r="S3628">
        <v>2.0587500000000002E-2</v>
      </c>
      <c r="T3628" s="4" t="s">
        <v>6053</v>
      </c>
    </row>
    <row r="3629" spans="1:20" x14ac:dyDescent="0.2">
      <c r="A3629" s="4" t="s">
        <v>5118</v>
      </c>
      <c r="B3629" s="4" t="s">
        <v>5294</v>
      </c>
      <c r="C3629" s="4" t="s">
        <v>2286</v>
      </c>
      <c r="D3629" s="4" t="s">
        <v>4764</v>
      </c>
      <c r="E3629" s="4" t="s">
        <v>6058</v>
      </c>
      <c r="F3629" s="4" t="s">
        <v>6052</v>
      </c>
      <c r="G3629" s="4" t="s">
        <v>5122</v>
      </c>
      <c r="H3629" s="4" t="s">
        <v>2099</v>
      </c>
      <c r="I3629" s="4" t="s">
        <v>2100</v>
      </c>
      <c r="J3629" s="4" t="s">
        <v>2111</v>
      </c>
      <c r="K3629">
        <v>4</v>
      </c>
      <c r="L3629">
        <v>1.22</v>
      </c>
      <c r="M3629">
        <v>25</v>
      </c>
      <c r="N3629">
        <v>150</v>
      </c>
      <c r="O3629">
        <v>48.031496062992126</v>
      </c>
      <c r="P3629">
        <v>0.98425196850393704</v>
      </c>
      <c r="Q3629">
        <v>5.9055118110236222</v>
      </c>
      <c r="R3629">
        <v>874.89099999999996</v>
      </c>
      <c r="S3629">
        <v>4.5750000000000001E-3</v>
      </c>
      <c r="T3629" s="4" t="s">
        <v>6059</v>
      </c>
    </row>
    <row r="3630" spans="1:20" x14ac:dyDescent="0.2">
      <c r="A3630" s="4" t="s">
        <v>5118</v>
      </c>
      <c r="B3630" s="4" t="s">
        <v>5294</v>
      </c>
      <c r="C3630" s="4" t="s">
        <v>2286</v>
      </c>
      <c r="D3630" s="4" t="s">
        <v>4764</v>
      </c>
      <c r="E3630" s="4" t="s">
        <v>6060</v>
      </c>
      <c r="F3630" s="4" t="s">
        <v>6052</v>
      </c>
      <c r="G3630" s="4" t="s">
        <v>5122</v>
      </c>
      <c r="H3630" s="4" t="s">
        <v>2099</v>
      </c>
      <c r="I3630" s="4" t="s">
        <v>2100</v>
      </c>
      <c r="J3630" s="4" t="s">
        <v>2111</v>
      </c>
      <c r="K3630">
        <v>5</v>
      </c>
      <c r="L3630">
        <v>1.52</v>
      </c>
      <c r="M3630">
        <v>25</v>
      </c>
      <c r="N3630">
        <v>150</v>
      </c>
      <c r="O3630">
        <v>59.84251968503937</v>
      </c>
      <c r="P3630">
        <v>0.98425196850393704</v>
      </c>
      <c r="Q3630">
        <v>5.9055118110236222</v>
      </c>
      <c r="R3630">
        <v>874.89099999999996</v>
      </c>
      <c r="S3630">
        <v>5.7000000000000002E-3</v>
      </c>
      <c r="T3630" s="4" t="s">
        <v>6059</v>
      </c>
    </row>
    <row r="3631" spans="1:20" x14ac:dyDescent="0.2">
      <c r="A3631" s="4" t="s">
        <v>5118</v>
      </c>
      <c r="B3631" s="4" t="s">
        <v>5294</v>
      </c>
      <c r="C3631" s="4" t="s">
        <v>2286</v>
      </c>
      <c r="D3631" s="4" t="s">
        <v>4764</v>
      </c>
      <c r="E3631" s="4" t="s">
        <v>6061</v>
      </c>
      <c r="F3631" s="4" t="s">
        <v>6052</v>
      </c>
      <c r="G3631" s="4" t="s">
        <v>5122</v>
      </c>
      <c r="H3631" s="4" t="s">
        <v>2099</v>
      </c>
      <c r="I3631" s="4" t="s">
        <v>2100</v>
      </c>
      <c r="J3631" s="4" t="s">
        <v>2111</v>
      </c>
      <c r="K3631">
        <v>6</v>
      </c>
      <c r="L3631">
        <v>1.83</v>
      </c>
      <c r="M3631">
        <v>25</v>
      </c>
      <c r="N3631">
        <v>150</v>
      </c>
      <c r="O3631">
        <v>72.047244094488192</v>
      </c>
      <c r="P3631">
        <v>0.98425196850393704</v>
      </c>
      <c r="Q3631">
        <v>5.9055118110236222</v>
      </c>
      <c r="R3631">
        <v>874.89099999999996</v>
      </c>
      <c r="S3631">
        <v>6.8624999999999997E-3</v>
      </c>
      <c r="T3631" s="4" t="s">
        <v>6059</v>
      </c>
    </row>
    <row r="3632" spans="1:20" x14ac:dyDescent="0.2">
      <c r="A3632" s="4" t="s">
        <v>5118</v>
      </c>
      <c r="B3632" s="4" t="s">
        <v>5294</v>
      </c>
      <c r="C3632" s="4" t="s">
        <v>2286</v>
      </c>
      <c r="D3632" s="4" t="s">
        <v>4764</v>
      </c>
      <c r="E3632" s="4" t="s">
        <v>6062</v>
      </c>
      <c r="F3632" s="4" t="s">
        <v>6052</v>
      </c>
      <c r="G3632" s="4" t="s">
        <v>5122</v>
      </c>
      <c r="H3632" s="4" t="s">
        <v>2099</v>
      </c>
      <c r="I3632" s="4" t="s">
        <v>2100</v>
      </c>
      <c r="J3632" s="4" t="s">
        <v>2111</v>
      </c>
      <c r="K3632">
        <v>7</v>
      </c>
      <c r="L3632">
        <v>2.13</v>
      </c>
      <c r="M3632">
        <v>25</v>
      </c>
      <c r="N3632">
        <v>150</v>
      </c>
      <c r="O3632">
        <v>83.858267716535437</v>
      </c>
      <c r="P3632">
        <v>0.98425196850393704</v>
      </c>
      <c r="Q3632">
        <v>5.9055118110236222</v>
      </c>
      <c r="R3632">
        <v>874.89099999999996</v>
      </c>
      <c r="S3632">
        <v>7.9874999999999998E-3</v>
      </c>
      <c r="T3632" s="4" t="s">
        <v>6059</v>
      </c>
    </row>
    <row r="3633" spans="1:20" x14ac:dyDescent="0.2">
      <c r="A3633" s="4" t="s">
        <v>5118</v>
      </c>
      <c r="B3633" s="4" t="s">
        <v>5294</v>
      </c>
      <c r="C3633" s="4" t="s">
        <v>2096</v>
      </c>
      <c r="D3633" s="4" t="s">
        <v>4764</v>
      </c>
      <c r="E3633" s="4" t="s">
        <v>1371</v>
      </c>
      <c r="F3633" s="4" t="s">
        <v>6052</v>
      </c>
      <c r="G3633" s="4" t="s">
        <v>5122</v>
      </c>
      <c r="H3633" s="4" t="s">
        <v>2099</v>
      </c>
      <c r="I3633" s="4" t="s">
        <v>2100</v>
      </c>
      <c r="J3633" s="4" t="s">
        <v>2111</v>
      </c>
      <c r="K3633">
        <v>8</v>
      </c>
      <c r="L3633">
        <v>2.44</v>
      </c>
      <c r="M3633">
        <v>25</v>
      </c>
      <c r="N3633">
        <v>150</v>
      </c>
      <c r="O3633">
        <v>96.062992125984252</v>
      </c>
      <c r="P3633">
        <v>0.98425196850393704</v>
      </c>
      <c r="Q3633">
        <v>5.9055118110236222</v>
      </c>
      <c r="R3633">
        <v>874.89099999999996</v>
      </c>
      <c r="S3633">
        <v>9.1500000000000001E-3</v>
      </c>
      <c r="T3633" s="4" t="s">
        <v>6053</v>
      </c>
    </row>
    <row r="3634" spans="1:20" x14ac:dyDescent="0.2">
      <c r="A3634" s="4" t="s">
        <v>5118</v>
      </c>
      <c r="B3634" s="4" t="s">
        <v>5294</v>
      </c>
      <c r="C3634" s="4" t="s">
        <v>2096</v>
      </c>
      <c r="D3634" s="4" t="s">
        <v>4764</v>
      </c>
      <c r="E3634" s="4" t="s">
        <v>1373</v>
      </c>
      <c r="F3634" s="4" t="s">
        <v>6052</v>
      </c>
      <c r="G3634" s="4" t="s">
        <v>5122</v>
      </c>
      <c r="H3634" s="4" t="s">
        <v>2099</v>
      </c>
      <c r="I3634" s="4" t="s">
        <v>2100</v>
      </c>
      <c r="J3634" s="4" t="s">
        <v>2111</v>
      </c>
      <c r="K3634">
        <v>9</v>
      </c>
      <c r="L3634">
        <v>2.7450000000000001</v>
      </c>
      <c r="M3634">
        <v>25</v>
      </c>
      <c r="N3634">
        <v>150</v>
      </c>
      <c r="O3634">
        <v>108.0708661417323</v>
      </c>
      <c r="P3634">
        <v>0.98425196850393704</v>
      </c>
      <c r="Q3634">
        <v>5.9055118110236222</v>
      </c>
      <c r="R3634">
        <v>874.89099999999996</v>
      </c>
      <c r="S3634">
        <v>1.0293750000000001E-2</v>
      </c>
      <c r="T3634" s="4" t="s">
        <v>6053</v>
      </c>
    </row>
    <row r="3635" spans="1:20" x14ac:dyDescent="0.2">
      <c r="A3635" s="4" t="s">
        <v>5118</v>
      </c>
      <c r="B3635" s="4" t="s">
        <v>5294</v>
      </c>
      <c r="C3635" s="4" t="s">
        <v>2096</v>
      </c>
      <c r="D3635" s="4" t="s">
        <v>4764</v>
      </c>
      <c r="E3635" s="4" t="s">
        <v>2067</v>
      </c>
      <c r="F3635" s="4" t="s">
        <v>6052</v>
      </c>
      <c r="G3635" s="4" t="s">
        <v>5122</v>
      </c>
      <c r="H3635" s="4" t="s">
        <v>2099</v>
      </c>
      <c r="I3635" s="4" t="s">
        <v>2100</v>
      </c>
      <c r="J3635" s="4" t="s">
        <v>2111</v>
      </c>
      <c r="K3635">
        <v>19</v>
      </c>
      <c r="L3635">
        <v>5.7949999999999999</v>
      </c>
      <c r="M3635">
        <v>25</v>
      </c>
      <c r="N3635">
        <v>150</v>
      </c>
      <c r="O3635">
        <v>228.14960629921259</v>
      </c>
      <c r="P3635">
        <v>0.98425196850393704</v>
      </c>
      <c r="Q3635">
        <v>5.9055118110236222</v>
      </c>
      <c r="R3635">
        <v>874.89099999999996</v>
      </c>
      <c r="S3635">
        <v>2.1731250000000001E-2</v>
      </c>
      <c r="T3635" s="4" t="s">
        <v>6053</v>
      </c>
    </row>
    <row r="3636" spans="1:20" x14ac:dyDescent="0.2">
      <c r="A3636" s="4" t="s">
        <v>6063</v>
      </c>
      <c r="B3636" s="4" t="s">
        <v>6064</v>
      </c>
      <c r="C3636" s="4" t="s">
        <v>2096</v>
      </c>
      <c r="D3636" s="4" t="s">
        <v>2236</v>
      </c>
      <c r="E3636" s="4" t="s">
        <v>6065</v>
      </c>
      <c r="F3636" s="4" t="s">
        <v>6066</v>
      </c>
      <c r="G3636" s="4" t="s">
        <v>6063</v>
      </c>
      <c r="H3636" s="4" t="s">
        <v>2183</v>
      </c>
      <c r="I3636" s="4" t="s">
        <v>2100</v>
      </c>
      <c r="J3636" s="4" t="s">
        <v>2111</v>
      </c>
      <c r="K3636">
        <v>10</v>
      </c>
      <c r="L3636">
        <v>3.048</v>
      </c>
      <c r="M3636">
        <v>25.4</v>
      </c>
      <c r="N3636">
        <v>139.69999999999999</v>
      </c>
      <c r="O3636">
        <v>120</v>
      </c>
      <c r="P3636">
        <v>1</v>
      </c>
      <c r="Q3636">
        <v>5.5</v>
      </c>
      <c r="R3636">
        <v>924.60199999999998</v>
      </c>
      <c r="S3636">
        <v>1.081546224E-2</v>
      </c>
      <c r="T3636" s="4" t="s">
        <v>6067</v>
      </c>
    </row>
    <row r="3637" spans="1:20" x14ac:dyDescent="0.2">
      <c r="A3637" s="4" t="s">
        <v>6063</v>
      </c>
      <c r="B3637" s="4" t="s">
        <v>6064</v>
      </c>
      <c r="C3637" s="4" t="s">
        <v>2096</v>
      </c>
      <c r="D3637" s="4" t="s">
        <v>2236</v>
      </c>
      <c r="E3637" s="4" t="s">
        <v>6068</v>
      </c>
      <c r="F3637" s="4" t="s">
        <v>6066</v>
      </c>
      <c r="G3637" s="4" t="s">
        <v>6063</v>
      </c>
      <c r="H3637" s="4" t="s">
        <v>2183</v>
      </c>
      <c r="I3637" s="4" t="s">
        <v>2100</v>
      </c>
      <c r="J3637" s="4" t="s">
        <v>2111</v>
      </c>
      <c r="K3637">
        <v>11</v>
      </c>
      <c r="L3637">
        <v>3.3527999999999998</v>
      </c>
      <c r="M3637">
        <v>25.4</v>
      </c>
      <c r="N3637">
        <v>139.69999999999999</v>
      </c>
      <c r="O3637">
        <v>132</v>
      </c>
      <c r="P3637">
        <v>1</v>
      </c>
      <c r="Q3637">
        <v>5.5</v>
      </c>
      <c r="R3637">
        <v>924.60199999999998</v>
      </c>
      <c r="S3637">
        <v>1.1897008463999995E-2</v>
      </c>
      <c r="T3637" s="4" t="s">
        <v>6067</v>
      </c>
    </row>
    <row r="3638" spans="1:20" x14ac:dyDescent="0.2">
      <c r="A3638" s="4" t="s">
        <v>6063</v>
      </c>
      <c r="B3638" s="4" t="s">
        <v>6064</v>
      </c>
      <c r="C3638" s="4" t="s">
        <v>2096</v>
      </c>
      <c r="D3638" s="4" t="s">
        <v>2236</v>
      </c>
      <c r="E3638" s="4" t="s">
        <v>6069</v>
      </c>
      <c r="F3638" s="4" t="s">
        <v>6066</v>
      </c>
      <c r="G3638" s="4" t="s">
        <v>6063</v>
      </c>
      <c r="H3638" s="4" t="s">
        <v>2183</v>
      </c>
      <c r="I3638" s="4" t="s">
        <v>2100</v>
      </c>
      <c r="J3638" s="4" t="s">
        <v>2111</v>
      </c>
      <c r="K3638">
        <v>12</v>
      </c>
      <c r="L3638">
        <v>3.6576</v>
      </c>
      <c r="M3638">
        <v>25.4</v>
      </c>
      <c r="N3638">
        <v>139.69999999999999</v>
      </c>
      <c r="O3638">
        <v>144</v>
      </c>
      <c r="P3638">
        <v>1</v>
      </c>
      <c r="Q3638">
        <v>5.5</v>
      </c>
      <c r="R3638">
        <v>924.60199999999998</v>
      </c>
      <c r="S3638">
        <v>1.2978554687999997E-2</v>
      </c>
      <c r="T3638" s="4" t="s">
        <v>6067</v>
      </c>
    </row>
    <row r="3639" spans="1:20" x14ac:dyDescent="0.2">
      <c r="A3639" s="4" t="s">
        <v>6063</v>
      </c>
      <c r="B3639" s="4" t="s">
        <v>6064</v>
      </c>
      <c r="C3639" s="4" t="s">
        <v>2096</v>
      </c>
      <c r="D3639" s="4" t="s">
        <v>2236</v>
      </c>
      <c r="E3639" s="4" t="s">
        <v>6070</v>
      </c>
      <c r="F3639" s="4" t="s">
        <v>6066</v>
      </c>
      <c r="G3639" s="4" t="s">
        <v>6063</v>
      </c>
      <c r="H3639" s="4" t="s">
        <v>2183</v>
      </c>
      <c r="I3639" s="4" t="s">
        <v>2100</v>
      </c>
      <c r="J3639" s="4" t="s">
        <v>2111</v>
      </c>
      <c r="K3639">
        <v>13</v>
      </c>
      <c r="L3639">
        <v>3.9624000000000001</v>
      </c>
      <c r="M3639">
        <v>25.4</v>
      </c>
      <c r="N3639">
        <v>139.69999999999999</v>
      </c>
      <c r="O3639">
        <v>156</v>
      </c>
      <c r="P3639">
        <v>1</v>
      </c>
      <c r="Q3639">
        <v>5.5</v>
      </c>
      <c r="R3639">
        <v>924.60199999999998</v>
      </c>
      <c r="S3639">
        <v>1.4060100911999997E-2</v>
      </c>
      <c r="T3639" s="4" t="s">
        <v>6067</v>
      </c>
    </row>
    <row r="3640" spans="1:20" x14ac:dyDescent="0.2">
      <c r="A3640" s="4" t="s">
        <v>6063</v>
      </c>
      <c r="B3640" s="4" t="s">
        <v>6064</v>
      </c>
      <c r="C3640" s="4" t="s">
        <v>2096</v>
      </c>
      <c r="D3640" s="4" t="s">
        <v>2236</v>
      </c>
      <c r="E3640" s="4" t="s">
        <v>6071</v>
      </c>
      <c r="F3640" s="4" t="s">
        <v>6066</v>
      </c>
      <c r="G3640" s="4" t="s">
        <v>6063</v>
      </c>
      <c r="H3640" s="4" t="s">
        <v>2183</v>
      </c>
      <c r="I3640" s="4" t="s">
        <v>2100</v>
      </c>
      <c r="J3640" s="4" t="s">
        <v>2111</v>
      </c>
      <c r="K3640">
        <v>14</v>
      </c>
      <c r="L3640">
        <v>4.2671999999999999</v>
      </c>
      <c r="M3640">
        <v>25.4</v>
      </c>
      <c r="N3640">
        <v>139.69999999999999</v>
      </c>
      <c r="O3640">
        <v>168</v>
      </c>
      <c r="P3640">
        <v>1</v>
      </c>
      <c r="Q3640">
        <v>5.5</v>
      </c>
      <c r="R3640">
        <v>924.60199999999998</v>
      </c>
      <c r="S3640">
        <v>1.5141647135999997E-2</v>
      </c>
      <c r="T3640" s="4" t="s">
        <v>6067</v>
      </c>
    </row>
    <row r="3641" spans="1:20" x14ac:dyDescent="0.2">
      <c r="A3641" s="4" t="s">
        <v>6063</v>
      </c>
      <c r="B3641" s="4" t="s">
        <v>6064</v>
      </c>
      <c r="C3641" s="4" t="s">
        <v>2096</v>
      </c>
      <c r="D3641" s="4" t="s">
        <v>2236</v>
      </c>
      <c r="E3641" s="4" t="s">
        <v>6072</v>
      </c>
      <c r="F3641" s="4" t="s">
        <v>6066</v>
      </c>
      <c r="G3641" s="4" t="s">
        <v>6063</v>
      </c>
      <c r="H3641" s="4" t="s">
        <v>2183</v>
      </c>
      <c r="I3641" s="4" t="s">
        <v>2100</v>
      </c>
      <c r="J3641" s="4" t="s">
        <v>2111</v>
      </c>
      <c r="K3641">
        <v>15</v>
      </c>
      <c r="L3641">
        <v>4.5720000000000001</v>
      </c>
      <c r="M3641">
        <v>25.4</v>
      </c>
      <c r="N3641">
        <v>139.69999999999999</v>
      </c>
      <c r="O3641">
        <v>180</v>
      </c>
      <c r="P3641">
        <v>1</v>
      </c>
      <c r="Q3641">
        <v>5.5</v>
      </c>
      <c r="R3641">
        <v>924.60199999999998</v>
      </c>
      <c r="S3641">
        <v>1.6223193359999999E-2</v>
      </c>
      <c r="T3641" s="4" t="s">
        <v>6067</v>
      </c>
    </row>
    <row r="3642" spans="1:20" x14ac:dyDescent="0.2">
      <c r="A3642" s="4" t="s">
        <v>6063</v>
      </c>
      <c r="B3642" s="4" t="s">
        <v>6064</v>
      </c>
      <c r="C3642" s="4" t="s">
        <v>2096</v>
      </c>
      <c r="D3642" s="4" t="s">
        <v>2236</v>
      </c>
      <c r="E3642" s="4" t="s">
        <v>6073</v>
      </c>
      <c r="F3642" s="4" t="s">
        <v>6066</v>
      </c>
      <c r="G3642" s="4" t="s">
        <v>6063</v>
      </c>
      <c r="H3642" s="4" t="s">
        <v>2183</v>
      </c>
      <c r="I3642" s="4" t="s">
        <v>2100</v>
      </c>
      <c r="J3642" s="4" t="s">
        <v>2111</v>
      </c>
      <c r="K3642">
        <v>16</v>
      </c>
      <c r="L3642">
        <v>4.8768000000000002</v>
      </c>
      <c r="M3642">
        <v>25.4</v>
      </c>
      <c r="N3642">
        <v>139.69999999999999</v>
      </c>
      <c r="O3642">
        <v>192.00000000000003</v>
      </c>
      <c r="P3642">
        <v>1</v>
      </c>
      <c r="Q3642">
        <v>5.5</v>
      </c>
      <c r="R3642">
        <v>924.60199999999998</v>
      </c>
      <c r="S3642">
        <v>1.7304739584000001E-2</v>
      </c>
      <c r="T3642" s="4" t="s">
        <v>6067</v>
      </c>
    </row>
    <row r="3643" spans="1:20" x14ac:dyDescent="0.2">
      <c r="A3643" s="4" t="s">
        <v>6063</v>
      </c>
      <c r="B3643" s="4" t="s">
        <v>6064</v>
      </c>
      <c r="C3643" s="4" t="s">
        <v>2096</v>
      </c>
      <c r="D3643" s="4" t="s">
        <v>2236</v>
      </c>
      <c r="E3643" s="4" t="s">
        <v>6074</v>
      </c>
      <c r="F3643" s="4" t="s">
        <v>6066</v>
      </c>
      <c r="G3643" s="4" t="s">
        <v>6063</v>
      </c>
      <c r="H3643" s="4" t="s">
        <v>2183</v>
      </c>
      <c r="I3643" s="4" t="s">
        <v>2100</v>
      </c>
      <c r="J3643" s="4" t="s">
        <v>2111</v>
      </c>
      <c r="K3643">
        <v>17</v>
      </c>
      <c r="L3643">
        <v>5.1816000000000004</v>
      </c>
      <c r="M3643">
        <v>25.4</v>
      </c>
      <c r="N3643">
        <v>139.69999999999999</v>
      </c>
      <c r="O3643">
        <v>204.00000000000003</v>
      </c>
      <c r="P3643">
        <v>1</v>
      </c>
      <c r="Q3643">
        <v>5.5</v>
      </c>
      <c r="R3643">
        <v>924.60199999999998</v>
      </c>
      <c r="S3643">
        <v>1.8386285807999999E-2</v>
      </c>
      <c r="T3643" s="4" t="s">
        <v>6067</v>
      </c>
    </row>
    <row r="3644" spans="1:20" x14ac:dyDescent="0.2">
      <c r="A3644" s="4" t="s">
        <v>6063</v>
      </c>
      <c r="B3644" s="4" t="s">
        <v>6064</v>
      </c>
      <c r="C3644" s="4" t="s">
        <v>2096</v>
      </c>
      <c r="D3644" s="4" t="s">
        <v>2236</v>
      </c>
      <c r="E3644" s="4" t="s">
        <v>6075</v>
      </c>
      <c r="F3644" s="4" t="s">
        <v>6066</v>
      </c>
      <c r="G3644" s="4" t="s">
        <v>6063</v>
      </c>
      <c r="H3644" s="4" t="s">
        <v>2183</v>
      </c>
      <c r="I3644" s="4" t="s">
        <v>2100</v>
      </c>
      <c r="J3644" s="4" t="s">
        <v>2111</v>
      </c>
      <c r="K3644">
        <v>18</v>
      </c>
      <c r="L3644">
        <v>5.4863999999999997</v>
      </c>
      <c r="M3644">
        <v>25.4</v>
      </c>
      <c r="N3644">
        <v>139.69999999999999</v>
      </c>
      <c r="O3644">
        <v>216</v>
      </c>
      <c r="P3644">
        <v>1</v>
      </c>
      <c r="Q3644">
        <v>5.5</v>
      </c>
      <c r="R3644">
        <v>924.60199999999998</v>
      </c>
      <c r="S3644">
        <v>1.9467832031999997E-2</v>
      </c>
      <c r="T3644" s="4" t="s">
        <v>6067</v>
      </c>
    </row>
    <row r="3645" spans="1:20" x14ac:dyDescent="0.2">
      <c r="A3645" s="4" t="s">
        <v>6063</v>
      </c>
      <c r="B3645" s="4" t="s">
        <v>6064</v>
      </c>
      <c r="C3645" s="4" t="s">
        <v>2096</v>
      </c>
      <c r="D3645" s="4" t="s">
        <v>2236</v>
      </c>
      <c r="E3645" s="4" t="s">
        <v>6076</v>
      </c>
      <c r="F3645" s="4" t="s">
        <v>6066</v>
      </c>
      <c r="G3645" s="4" t="s">
        <v>6063</v>
      </c>
      <c r="H3645" s="4" t="s">
        <v>2183</v>
      </c>
      <c r="I3645" s="4" t="s">
        <v>2100</v>
      </c>
      <c r="J3645" s="4" t="s">
        <v>2111</v>
      </c>
      <c r="K3645">
        <v>19</v>
      </c>
      <c r="L3645">
        <v>5.7911999999999999</v>
      </c>
      <c r="M3645">
        <v>25.4</v>
      </c>
      <c r="N3645">
        <v>139.69999999999999</v>
      </c>
      <c r="O3645">
        <v>228</v>
      </c>
      <c r="P3645">
        <v>1</v>
      </c>
      <c r="Q3645">
        <v>5.5</v>
      </c>
      <c r="R3645">
        <v>924.60199999999998</v>
      </c>
      <c r="S3645">
        <v>2.0549378255999992E-2</v>
      </c>
      <c r="T3645" s="4" t="s">
        <v>6067</v>
      </c>
    </row>
    <row r="3646" spans="1:20" x14ac:dyDescent="0.2">
      <c r="A3646" s="4" t="s">
        <v>6063</v>
      </c>
      <c r="B3646" s="4" t="s">
        <v>6064</v>
      </c>
      <c r="C3646" s="4" t="s">
        <v>2096</v>
      </c>
      <c r="D3646" s="4" t="s">
        <v>2236</v>
      </c>
      <c r="E3646" s="4" t="s">
        <v>6077</v>
      </c>
      <c r="F3646" s="4" t="s">
        <v>6066</v>
      </c>
      <c r="G3646" s="4" t="s">
        <v>6063</v>
      </c>
      <c r="H3646" s="4" t="s">
        <v>2183</v>
      </c>
      <c r="I3646" s="4" t="s">
        <v>2100</v>
      </c>
      <c r="J3646" s="4" t="s">
        <v>2111</v>
      </c>
      <c r="K3646">
        <v>20</v>
      </c>
      <c r="L3646">
        <v>6.0960000000000001</v>
      </c>
      <c r="M3646">
        <v>25.4</v>
      </c>
      <c r="N3646">
        <v>139.69999999999999</v>
      </c>
      <c r="O3646">
        <v>240</v>
      </c>
      <c r="P3646">
        <v>1</v>
      </c>
      <c r="Q3646">
        <v>5.5</v>
      </c>
      <c r="R3646">
        <v>924.60199999999998</v>
      </c>
      <c r="S3646">
        <v>2.1630924480000001E-2</v>
      </c>
      <c r="T3646" s="4" t="s">
        <v>6067</v>
      </c>
    </row>
    <row r="3647" spans="1:20" x14ac:dyDescent="0.2">
      <c r="A3647" s="4" t="s">
        <v>6063</v>
      </c>
      <c r="B3647" s="4" t="s">
        <v>6064</v>
      </c>
      <c r="C3647" s="4" t="s">
        <v>2096</v>
      </c>
      <c r="D3647" s="4" t="s">
        <v>2236</v>
      </c>
      <c r="E3647" s="4" t="s">
        <v>6078</v>
      </c>
      <c r="F3647" s="4" t="s">
        <v>6066</v>
      </c>
      <c r="G3647" s="4" t="s">
        <v>6063</v>
      </c>
      <c r="H3647" s="4" t="s">
        <v>2183</v>
      </c>
      <c r="I3647" s="4" t="s">
        <v>2100</v>
      </c>
      <c r="J3647" s="4" t="s">
        <v>2111</v>
      </c>
      <c r="K3647">
        <v>21</v>
      </c>
      <c r="L3647">
        <v>6.4008000000000003</v>
      </c>
      <c r="M3647">
        <v>25.4</v>
      </c>
      <c r="N3647">
        <v>139.69999999999999</v>
      </c>
      <c r="O3647">
        <v>252.00000000000003</v>
      </c>
      <c r="P3647">
        <v>1</v>
      </c>
      <c r="Q3647">
        <v>5.5</v>
      </c>
      <c r="R3647">
        <v>924.60199999999998</v>
      </c>
      <c r="S3647">
        <v>2.2712470703999999E-2</v>
      </c>
      <c r="T3647" s="4" t="s">
        <v>6067</v>
      </c>
    </row>
    <row r="3648" spans="1:20" x14ac:dyDescent="0.2">
      <c r="A3648" s="4" t="s">
        <v>6063</v>
      </c>
      <c r="B3648" s="4" t="s">
        <v>6064</v>
      </c>
      <c r="C3648" s="4" t="s">
        <v>2096</v>
      </c>
      <c r="D3648" s="4" t="s">
        <v>2236</v>
      </c>
      <c r="E3648" s="4" t="s">
        <v>6079</v>
      </c>
      <c r="F3648" s="4" t="s">
        <v>6066</v>
      </c>
      <c r="G3648" s="4" t="s">
        <v>6063</v>
      </c>
      <c r="H3648" s="4" t="s">
        <v>2183</v>
      </c>
      <c r="I3648" s="4" t="s">
        <v>2100</v>
      </c>
      <c r="J3648" s="4" t="s">
        <v>2111</v>
      </c>
      <c r="K3648">
        <v>22</v>
      </c>
      <c r="L3648">
        <v>6.7055999999999996</v>
      </c>
      <c r="M3648">
        <v>25.4</v>
      </c>
      <c r="N3648">
        <v>139.69999999999999</v>
      </c>
      <c r="O3648">
        <v>264</v>
      </c>
      <c r="P3648">
        <v>1</v>
      </c>
      <c r="Q3648">
        <v>5.5</v>
      </c>
      <c r="R3648">
        <v>924.60199999999998</v>
      </c>
      <c r="S3648">
        <v>2.3794016927999991E-2</v>
      </c>
      <c r="T3648" s="4" t="s">
        <v>6067</v>
      </c>
    </row>
    <row r="3649" spans="1:20" x14ac:dyDescent="0.2">
      <c r="A3649" s="4" t="s">
        <v>6063</v>
      </c>
      <c r="B3649" s="4" t="s">
        <v>6064</v>
      </c>
      <c r="C3649" s="4" t="s">
        <v>2286</v>
      </c>
      <c r="D3649" s="4" t="s">
        <v>2236</v>
      </c>
      <c r="E3649" s="4" t="s">
        <v>6080</v>
      </c>
      <c r="F3649" s="4" t="s">
        <v>6066</v>
      </c>
      <c r="G3649" s="4" t="s">
        <v>6063</v>
      </c>
      <c r="H3649" s="4" t="s">
        <v>2183</v>
      </c>
      <c r="I3649" s="4" t="s">
        <v>2100</v>
      </c>
      <c r="J3649" s="4" t="s">
        <v>2111</v>
      </c>
      <c r="K3649">
        <v>3</v>
      </c>
      <c r="L3649">
        <v>0.91439999999999999</v>
      </c>
      <c r="M3649">
        <v>25.4</v>
      </c>
      <c r="N3649">
        <v>139.69999999999999</v>
      </c>
      <c r="O3649">
        <v>36</v>
      </c>
      <c r="P3649">
        <v>1</v>
      </c>
      <c r="Q3649">
        <v>5.5</v>
      </c>
      <c r="R3649">
        <v>924.60199999999998</v>
      </c>
      <c r="S3649">
        <v>3.2446386719999993E-3</v>
      </c>
      <c r="T3649" s="4" t="s">
        <v>6081</v>
      </c>
    </row>
    <row r="3650" spans="1:20" x14ac:dyDescent="0.2">
      <c r="A3650" s="4" t="s">
        <v>6063</v>
      </c>
      <c r="B3650" s="4" t="s">
        <v>6064</v>
      </c>
      <c r="C3650" s="4" t="s">
        <v>2286</v>
      </c>
      <c r="D3650" s="4" t="s">
        <v>2236</v>
      </c>
      <c r="E3650" s="4" t="s">
        <v>6082</v>
      </c>
      <c r="F3650" s="4" t="s">
        <v>6066</v>
      </c>
      <c r="G3650" s="4" t="s">
        <v>6063</v>
      </c>
      <c r="H3650" s="4" t="s">
        <v>2183</v>
      </c>
      <c r="I3650" s="4" t="s">
        <v>2100</v>
      </c>
      <c r="J3650" s="4" t="s">
        <v>2111</v>
      </c>
      <c r="K3650">
        <v>4</v>
      </c>
      <c r="L3650">
        <v>1.2192000000000001</v>
      </c>
      <c r="M3650">
        <v>25.4</v>
      </c>
      <c r="N3650">
        <v>139.69999999999999</v>
      </c>
      <c r="O3650">
        <v>48.000000000000007</v>
      </c>
      <c r="P3650">
        <v>1</v>
      </c>
      <c r="Q3650">
        <v>5.5</v>
      </c>
      <c r="R3650">
        <v>924.60199999999998</v>
      </c>
      <c r="S3650">
        <v>4.3261848960000002E-3</v>
      </c>
      <c r="T3650" s="4" t="s">
        <v>6081</v>
      </c>
    </row>
    <row r="3651" spans="1:20" x14ac:dyDescent="0.2">
      <c r="A3651" s="4" t="s">
        <v>6063</v>
      </c>
      <c r="B3651" s="4" t="s">
        <v>6064</v>
      </c>
      <c r="C3651" s="4" t="s">
        <v>2286</v>
      </c>
      <c r="D3651" s="4" t="s">
        <v>2236</v>
      </c>
      <c r="E3651" s="4" t="s">
        <v>6083</v>
      </c>
      <c r="F3651" s="4" t="s">
        <v>6066</v>
      </c>
      <c r="G3651" s="4" t="s">
        <v>6063</v>
      </c>
      <c r="H3651" s="4" t="s">
        <v>2183</v>
      </c>
      <c r="I3651" s="4" t="s">
        <v>2100</v>
      </c>
      <c r="J3651" s="4" t="s">
        <v>2111</v>
      </c>
      <c r="K3651">
        <v>5</v>
      </c>
      <c r="L3651">
        <v>1.524</v>
      </c>
      <c r="M3651">
        <v>25.4</v>
      </c>
      <c r="N3651">
        <v>139.69999999999999</v>
      </c>
      <c r="O3651">
        <v>60</v>
      </c>
      <c r="P3651">
        <v>1</v>
      </c>
      <c r="Q3651">
        <v>5.5</v>
      </c>
      <c r="R3651">
        <v>924.60199999999998</v>
      </c>
      <c r="S3651">
        <v>5.4077311200000002E-3</v>
      </c>
      <c r="T3651" s="4" t="s">
        <v>6081</v>
      </c>
    </row>
    <row r="3652" spans="1:20" x14ac:dyDescent="0.2">
      <c r="A3652" s="4" t="s">
        <v>6063</v>
      </c>
      <c r="B3652" s="4" t="s">
        <v>6064</v>
      </c>
      <c r="C3652" s="4" t="s">
        <v>2286</v>
      </c>
      <c r="D3652" s="4" t="s">
        <v>2236</v>
      </c>
      <c r="E3652" s="4" t="s">
        <v>6084</v>
      </c>
      <c r="F3652" s="4" t="s">
        <v>6066</v>
      </c>
      <c r="G3652" s="4" t="s">
        <v>6063</v>
      </c>
      <c r="H3652" s="4" t="s">
        <v>2183</v>
      </c>
      <c r="I3652" s="4" t="s">
        <v>2100</v>
      </c>
      <c r="J3652" s="4" t="s">
        <v>2111</v>
      </c>
      <c r="K3652">
        <v>6</v>
      </c>
      <c r="L3652">
        <v>1.8288</v>
      </c>
      <c r="M3652">
        <v>25.4</v>
      </c>
      <c r="N3652">
        <v>139.69999999999999</v>
      </c>
      <c r="O3652">
        <v>72</v>
      </c>
      <c r="P3652">
        <v>1</v>
      </c>
      <c r="Q3652">
        <v>5.5</v>
      </c>
      <c r="R3652">
        <v>924.60199999999998</v>
      </c>
      <c r="S3652">
        <v>6.4892773439999985E-3</v>
      </c>
      <c r="T3652" s="4" t="s">
        <v>6081</v>
      </c>
    </row>
    <row r="3653" spans="1:20" x14ac:dyDescent="0.2">
      <c r="A3653" s="4" t="s">
        <v>6063</v>
      </c>
      <c r="B3653" s="4" t="s">
        <v>6064</v>
      </c>
      <c r="C3653" s="4" t="s">
        <v>2286</v>
      </c>
      <c r="D3653" s="4" t="s">
        <v>2236</v>
      </c>
      <c r="E3653" s="4" t="s">
        <v>6085</v>
      </c>
      <c r="F3653" s="4" t="s">
        <v>6066</v>
      </c>
      <c r="G3653" s="4" t="s">
        <v>6063</v>
      </c>
      <c r="H3653" s="4" t="s">
        <v>2183</v>
      </c>
      <c r="I3653" s="4" t="s">
        <v>2100</v>
      </c>
      <c r="J3653" s="4" t="s">
        <v>2111</v>
      </c>
      <c r="K3653">
        <v>7</v>
      </c>
      <c r="L3653">
        <v>2.1335999999999999</v>
      </c>
      <c r="M3653">
        <v>25.4</v>
      </c>
      <c r="N3653">
        <v>139.69999999999999</v>
      </c>
      <c r="O3653">
        <v>84</v>
      </c>
      <c r="P3653">
        <v>1</v>
      </c>
      <c r="Q3653">
        <v>5.5</v>
      </c>
      <c r="R3653">
        <v>924.60199999999998</v>
      </c>
      <c r="S3653">
        <v>7.5708235679999986E-3</v>
      </c>
      <c r="T3653" s="4" t="s">
        <v>6081</v>
      </c>
    </row>
    <row r="3654" spans="1:20" x14ac:dyDescent="0.2">
      <c r="A3654" s="4" t="s">
        <v>6063</v>
      </c>
      <c r="B3654" s="4" t="s">
        <v>6064</v>
      </c>
      <c r="C3654" s="4" t="s">
        <v>2096</v>
      </c>
      <c r="D3654" s="4" t="s">
        <v>2236</v>
      </c>
      <c r="E3654" s="4" t="s">
        <v>6086</v>
      </c>
      <c r="F3654" s="4" t="s">
        <v>6066</v>
      </c>
      <c r="G3654" s="4" t="s">
        <v>6063</v>
      </c>
      <c r="H3654" s="4" t="s">
        <v>2183</v>
      </c>
      <c r="I3654" s="4" t="s">
        <v>2100</v>
      </c>
      <c r="J3654" s="4" t="s">
        <v>2111</v>
      </c>
      <c r="K3654">
        <v>8</v>
      </c>
      <c r="L3654">
        <v>2.4384000000000001</v>
      </c>
      <c r="M3654">
        <v>25.4</v>
      </c>
      <c r="N3654">
        <v>139.69999999999999</v>
      </c>
      <c r="O3654">
        <v>96.000000000000014</v>
      </c>
      <c r="P3654">
        <v>1</v>
      </c>
      <c r="Q3654">
        <v>5.5</v>
      </c>
      <c r="R3654">
        <v>924.60199999999998</v>
      </c>
      <c r="S3654">
        <v>8.6523697920000003E-3</v>
      </c>
      <c r="T3654" s="4" t="s">
        <v>6067</v>
      </c>
    </row>
    <row r="3655" spans="1:20" x14ac:dyDescent="0.2">
      <c r="A3655" s="4" t="s">
        <v>6063</v>
      </c>
      <c r="B3655" s="4" t="s">
        <v>6064</v>
      </c>
      <c r="C3655" s="4" t="s">
        <v>2096</v>
      </c>
      <c r="D3655" s="4" t="s">
        <v>2236</v>
      </c>
      <c r="E3655" s="4" t="s">
        <v>6087</v>
      </c>
      <c r="F3655" s="4" t="s">
        <v>6066</v>
      </c>
      <c r="G3655" s="4" t="s">
        <v>6063</v>
      </c>
      <c r="H3655" s="4" t="s">
        <v>2183</v>
      </c>
      <c r="I3655" s="4" t="s">
        <v>2100</v>
      </c>
      <c r="J3655" s="4" t="s">
        <v>2111</v>
      </c>
      <c r="K3655">
        <v>9</v>
      </c>
      <c r="L3655">
        <v>2.7431999999999999</v>
      </c>
      <c r="M3655">
        <v>25.4</v>
      </c>
      <c r="N3655">
        <v>139.69999999999999</v>
      </c>
      <c r="O3655">
        <v>108</v>
      </c>
      <c r="P3655">
        <v>1</v>
      </c>
      <c r="Q3655">
        <v>5.5</v>
      </c>
      <c r="R3655">
        <v>924.60199999999998</v>
      </c>
      <c r="S3655">
        <v>9.7339160159999986E-3</v>
      </c>
      <c r="T3655" s="4" t="s">
        <v>6067</v>
      </c>
    </row>
    <row r="3656" spans="1:20" x14ac:dyDescent="0.2">
      <c r="A3656" s="4" t="s">
        <v>6063</v>
      </c>
      <c r="B3656" s="4" t="s">
        <v>6088</v>
      </c>
      <c r="C3656" s="4" t="s">
        <v>2096</v>
      </c>
      <c r="D3656" s="4" t="s">
        <v>2236</v>
      </c>
      <c r="E3656" s="4" t="s">
        <v>6089</v>
      </c>
      <c r="F3656" s="4" t="s">
        <v>6090</v>
      </c>
      <c r="G3656" s="4" t="s">
        <v>6063</v>
      </c>
      <c r="H3656" s="4" t="s">
        <v>2183</v>
      </c>
      <c r="I3656" s="4" t="s">
        <v>2100</v>
      </c>
      <c r="J3656" s="4" t="s">
        <v>3644</v>
      </c>
      <c r="K3656">
        <v>10</v>
      </c>
      <c r="L3656">
        <v>3.048</v>
      </c>
      <c r="M3656">
        <v>25.4</v>
      </c>
      <c r="N3656">
        <v>88.9</v>
      </c>
      <c r="O3656">
        <v>120</v>
      </c>
      <c r="P3656">
        <v>1</v>
      </c>
      <c r="Q3656">
        <v>3.5000000000000004</v>
      </c>
      <c r="R3656">
        <v>1452.9459999999999</v>
      </c>
      <c r="S3656">
        <v>6.8825668800000014E-3</v>
      </c>
      <c r="T3656" s="4" t="s">
        <v>6091</v>
      </c>
    </row>
    <row r="3657" spans="1:20" x14ac:dyDescent="0.2">
      <c r="A3657" s="4" t="s">
        <v>6063</v>
      </c>
      <c r="B3657" s="4" t="s">
        <v>6088</v>
      </c>
      <c r="C3657" s="4" t="s">
        <v>2096</v>
      </c>
      <c r="D3657" s="4" t="s">
        <v>2236</v>
      </c>
      <c r="E3657" s="4" t="s">
        <v>6092</v>
      </c>
      <c r="F3657" s="4" t="s">
        <v>6090</v>
      </c>
      <c r="G3657" s="4" t="s">
        <v>6063</v>
      </c>
      <c r="H3657" s="4" t="s">
        <v>2183</v>
      </c>
      <c r="I3657" s="4" t="s">
        <v>2100</v>
      </c>
      <c r="J3657" s="4" t="s">
        <v>3644</v>
      </c>
      <c r="K3657">
        <v>11</v>
      </c>
      <c r="L3657">
        <v>3.3527999999999998</v>
      </c>
      <c r="M3657">
        <v>25.4</v>
      </c>
      <c r="N3657">
        <v>88.9</v>
      </c>
      <c r="O3657">
        <v>132</v>
      </c>
      <c r="P3657">
        <v>1</v>
      </c>
      <c r="Q3657">
        <v>3.5000000000000004</v>
      </c>
      <c r="R3657">
        <v>1452.9459999999999</v>
      </c>
      <c r="S3657">
        <v>7.5708235679999986E-3</v>
      </c>
      <c r="T3657" s="4" t="s">
        <v>6091</v>
      </c>
    </row>
    <row r="3658" spans="1:20" x14ac:dyDescent="0.2">
      <c r="A3658" s="4" t="s">
        <v>6063</v>
      </c>
      <c r="B3658" s="4" t="s">
        <v>6088</v>
      </c>
      <c r="C3658" s="4" t="s">
        <v>2096</v>
      </c>
      <c r="D3658" s="4" t="s">
        <v>2236</v>
      </c>
      <c r="E3658" s="4" t="s">
        <v>6093</v>
      </c>
      <c r="F3658" s="4" t="s">
        <v>6090</v>
      </c>
      <c r="G3658" s="4" t="s">
        <v>6063</v>
      </c>
      <c r="H3658" s="4" t="s">
        <v>2183</v>
      </c>
      <c r="I3658" s="4" t="s">
        <v>2100</v>
      </c>
      <c r="J3658" s="4" t="s">
        <v>3644</v>
      </c>
      <c r="K3658">
        <v>12</v>
      </c>
      <c r="L3658">
        <v>3.6576</v>
      </c>
      <c r="M3658">
        <v>25.4</v>
      </c>
      <c r="N3658">
        <v>88.9</v>
      </c>
      <c r="O3658">
        <v>144</v>
      </c>
      <c r="P3658">
        <v>1</v>
      </c>
      <c r="Q3658">
        <v>3.5000000000000004</v>
      </c>
      <c r="R3658">
        <v>1452.9459999999999</v>
      </c>
      <c r="S3658">
        <v>8.259080256000001E-3</v>
      </c>
      <c r="T3658" s="4" t="s">
        <v>6091</v>
      </c>
    </row>
    <row r="3659" spans="1:20" x14ac:dyDescent="0.2">
      <c r="A3659" s="4" t="s">
        <v>6063</v>
      </c>
      <c r="B3659" s="4" t="s">
        <v>6088</v>
      </c>
      <c r="C3659" s="4" t="s">
        <v>2096</v>
      </c>
      <c r="D3659" s="4" t="s">
        <v>2236</v>
      </c>
      <c r="E3659" s="4" t="s">
        <v>6094</v>
      </c>
      <c r="F3659" s="4" t="s">
        <v>6090</v>
      </c>
      <c r="G3659" s="4" t="s">
        <v>6063</v>
      </c>
      <c r="H3659" s="4" t="s">
        <v>2183</v>
      </c>
      <c r="I3659" s="4" t="s">
        <v>2100</v>
      </c>
      <c r="J3659" s="4" t="s">
        <v>3644</v>
      </c>
      <c r="K3659">
        <v>13</v>
      </c>
      <c r="L3659">
        <v>3.9624000000000001</v>
      </c>
      <c r="M3659">
        <v>25.4</v>
      </c>
      <c r="N3659">
        <v>88.9</v>
      </c>
      <c r="O3659">
        <v>156</v>
      </c>
      <c r="P3659">
        <v>1</v>
      </c>
      <c r="Q3659">
        <v>3.5000000000000004</v>
      </c>
      <c r="R3659">
        <v>1452.9459999999999</v>
      </c>
      <c r="S3659">
        <v>8.9473369439999999E-3</v>
      </c>
      <c r="T3659" s="4" t="s">
        <v>6091</v>
      </c>
    </row>
    <row r="3660" spans="1:20" x14ac:dyDescent="0.2">
      <c r="A3660" s="4" t="s">
        <v>6063</v>
      </c>
      <c r="B3660" s="4" t="s">
        <v>6088</v>
      </c>
      <c r="C3660" s="4" t="s">
        <v>2096</v>
      </c>
      <c r="D3660" s="4" t="s">
        <v>2236</v>
      </c>
      <c r="E3660" s="4" t="s">
        <v>6095</v>
      </c>
      <c r="F3660" s="4" t="s">
        <v>6090</v>
      </c>
      <c r="G3660" s="4" t="s">
        <v>6063</v>
      </c>
      <c r="H3660" s="4" t="s">
        <v>2183</v>
      </c>
      <c r="I3660" s="4" t="s">
        <v>2100</v>
      </c>
      <c r="J3660" s="4" t="s">
        <v>3644</v>
      </c>
      <c r="K3660">
        <v>14</v>
      </c>
      <c r="L3660">
        <v>4.2671999999999999</v>
      </c>
      <c r="M3660">
        <v>25.4</v>
      </c>
      <c r="N3660">
        <v>88.9</v>
      </c>
      <c r="O3660">
        <v>168</v>
      </c>
      <c r="P3660">
        <v>1</v>
      </c>
      <c r="Q3660">
        <v>3.5000000000000004</v>
      </c>
      <c r="R3660">
        <v>1452.9459999999999</v>
      </c>
      <c r="S3660">
        <v>9.6355936319999988E-3</v>
      </c>
      <c r="T3660" s="4" t="s">
        <v>6091</v>
      </c>
    </row>
    <row r="3661" spans="1:20" x14ac:dyDescent="0.2">
      <c r="A3661" s="4" t="s">
        <v>6063</v>
      </c>
      <c r="B3661" s="4" t="s">
        <v>6088</v>
      </c>
      <c r="C3661" s="4" t="s">
        <v>2096</v>
      </c>
      <c r="D3661" s="4" t="s">
        <v>2236</v>
      </c>
      <c r="E3661" s="4" t="s">
        <v>6096</v>
      </c>
      <c r="F3661" s="4" t="s">
        <v>6090</v>
      </c>
      <c r="G3661" s="4" t="s">
        <v>6063</v>
      </c>
      <c r="H3661" s="4" t="s">
        <v>2183</v>
      </c>
      <c r="I3661" s="4" t="s">
        <v>2100</v>
      </c>
      <c r="J3661" s="4" t="s">
        <v>3644</v>
      </c>
      <c r="K3661">
        <v>15</v>
      </c>
      <c r="L3661">
        <v>4.5720000000000001</v>
      </c>
      <c r="M3661">
        <v>25.4</v>
      </c>
      <c r="N3661">
        <v>88.9</v>
      </c>
      <c r="O3661">
        <v>180</v>
      </c>
      <c r="P3661">
        <v>1</v>
      </c>
      <c r="Q3661">
        <v>3.5000000000000004</v>
      </c>
      <c r="R3661">
        <v>1452.9459999999999</v>
      </c>
      <c r="S3661">
        <v>1.0323850320000001E-2</v>
      </c>
      <c r="T3661" s="4" t="s">
        <v>6091</v>
      </c>
    </row>
    <row r="3662" spans="1:20" x14ac:dyDescent="0.2">
      <c r="A3662" s="4" t="s">
        <v>6063</v>
      </c>
      <c r="B3662" s="4" t="s">
        <v>6088</v>
      </c>
      <c r="C3662" s="4" t="s">
        <v>2096</v>
      </c>
      <c r="D3662" s="4" t="s">
        <v>2236</v>
      </c>
      <c r="E3662" s="4" t="s">
        <v>6097</v>
      </c>
      <c r="F3662" s="4" t="s">
        <v>6090</v>
      </c>
      <c r="G3662" s="4" t="s">
        <v>6063</v>
      </c>
      <c r="H3662" s="4" t="s">
        <v>2183</v>
      </c>
      <c r="I3662" s="4" t="s">
        <v>2100</v>
      </c>
      <c r="J3662" s="4" t="s">
        <v>3644</v>
      </c>
      <c r="K3662">
        <v>16</v>
      </c>
      <c r="L3662">
        <v>4.8768000000000002</v>
      </c>
      <c r="M3662">
        <v>25.4</v>
      </c>
      <c r="N3662">
        <v>88.9</v>
      </c>
      <c r="O3662">
        <v>192.00000000000003</v>
      </c>
      <c r="P3662">
        <v>1</v>
      </c>
      <c r="Q3662">
        <v>3.5000000000000004</v>
      </c>
      <c r="R3662">
        <v>1452.9459999999999</v>
      </c>
      <c r="S3662">
        <v>1.1012107008E-2</v>
      </c>
      <c r="T3662" s="4" t="s">
        <v>6091</v>
      </c>
    </row>
    <row r="3663" spans="1:20" x14ac:dyDescent="0.2">
      <c r="A3663" s="4" t="s">
        <v>6063</v>
      </c>
      <c r="B3663" s="4" t="s">
        <v>6088</v>
      </c>
      <c r="C3663" s="4" t="s">
        <v>2096</v>
      </c>
      <c r="D3663" s="4" t="s">
        <v>2236</v>
      </c>
      <c r="E3663" s="4" t="s">
        <v>6098</v>
      </c>
      <c r="F3663" s="4" t="s">
        <v>6090</v>
      </c>
      <c r="G3663" s="4" t="s">
        <v>6063</v>
      </c>
      <c r="H3663" s="4" t="s">
        <v>2183</v>
      </c>
      <c r="I3663" s="4" t="s">
        <v>2100</v>
      </c>
      <c r="J3663" s="4" t="s">
        <v>3644</v>
      </c>
      <c r="K3663">
        <v>17</v>
      </c>
      <c r="L3663">
        <v>5.1816000000000004</v>
      </c>
      <c r="M3663">
        <v>25.4</v>
      </c>
      <c r="N3663">
        <v>88.9</v>
      </c>
      <c r="O3663">
        <v>204.00000000000003</v>
      </c>
      <c r="P3663">
        <v>1</v>
      </c>
      <c r="Q3663">
        <v>3.5000000000000004</v>
      </c>
      <c r="R3663">
        <v>1452.9459999999999</v>
      </c>
      <c r="S3663">
        <v>1.1700363696000001E-2</v>
      </c>
      <c r="T3663" s="4" t="s">
        <v>6091</v>
      </c>
    </row>
    <row r="3664" spans="1:20" x14ac:dyDescent="0.2">
      <c r="A3664" s="4" t="s">
        <v>6063</v>
      </c>
      <c r="B3664" s="4" t="s">
        <v>6088</v>
      </c>
      <c r="C3664" s="4" t="s">
        <v>2096</v>
      </c>
      <c r="D3664" s="4" t="s">
        <v>2236</v>
      </c>
      <c r="E3664" s="4" t="s">
        <v>6099</v>
      </c>
      <c r="F3664" s="4" t="s">
        <v>6090</v>
      </c>
      <c r="G3664" s="4" t="s">
        <v>6063</v>
      </c>
      <c r="H3664" s="4" t="s">
        <v>2183</v>
      </c>
      <c r="I3664" s="4" t="s">
        <v>2100</v>
      </c>
      <c r="J3664" s="4" t="s">
        <v>3644</v>
      </c>
      <c r="K3664">
        <v>18</v>
      </c>
      <c r="L3664">
        <v>5.4863999999999997</v>
      </c>
      <c r="M3664">
        <v>25.4</v>
      </c>
      <c r="N3664">
        <v>88.9</v>
      </c>
      <c r="O3664">
        <v>216</v>
      </c>
      <c r="P3664">
        <v>1</v>
      </c>
      <c r="Q3664">
        <v>3.5000000000000004</v>
      </c>
      <c r="R3664">
        <v>1452.9459999999999</v>
      </c>
      <c r="S3664">
        <v>1.2388620384E-2</v>
      </c>
      <c r="T3664" s="4" t="s">
        <v>6091</v>
      </c>
    </row>
    <row r="3665" spans="1:20" x14ac:dyDescent="0.2">
      <c r="A3665" s="4" t="s">
        <v>6063</v>
      </c>
      <c r="B3665" s="4" t="s">
        <v>6088</v>
      </c>
      <c r="C3665" s="4" t="s">
        <v>2096</v>
      </c>
      <c r="D3665" s="4" t="s">
        <v>2236</v>
      </c>
      <c r="E3665" s="4" t="s">
        <v>6100</v>
      </c>
      <c r="F3665" s="4" t="s">
        <v>6090</v>
      </c>
      <c r="G3665" s="4" t="s">
        <v>6063</v>
      </c>
      <c r="H3665" s="4" t="s">
        <v>2183</v>
      </c>
      <c r="I3665" s="4" t="s">
        <v>2100</v>
      </c>
      <c r="J3665" s="4" t="s">
        <v>3644</v>
      </c>
      <c r="K3665">
        <v>19</v>
      </c>
      <c r="L3665">
        <v>5.7911999999999999</v>
      </c>
      <c r="M3665">
        <v>25.4</v>
      </c>
      <c r="N3665">
        <v>88.9</v>
      </c>
      <c r="O3665">
        <v>228</v>
      </c>
      <c r="P3665">
        <v>1</v>
      </c>
      <c r="Q3665">
        <v>3.5000000000000004</v>
      </c>
      <c r="R3665">
        <v>1452.9459999999999</v>
      </c>
      <c r="S3665">
        <v>1.3076877071999999E-2</v>
      </c>
      <c r="T3665" s="4" t="s">
        <v>6091</v>
      </c>
    </row>
    <row r="3666" spans="1:20" x14ac:dyDescent="0.2">
      <c r="A3666" s="4" t="s">
        <v>6063</v>
      </c>
      <c r="B3666" s="4" t="s">
        <v>6088</v>
      </c>
      <c r="C3666" s="4" t="s">
        <v>2096</v>
      </c>
      <c r="D3666" s="4" t="s">
        <v>2236</v>
      </c>
      <c r="E3666" s="4" t="s">
        <v>6101</v>
      </c>
      <c r="F3666" s="4" t="s">
        <v>6090</v>
      </c>
      <c r="G3666" s="4" t="s">
        <v>6063</v>
      </c>
      <c r="H3666" s="4" t="s">
        <v>2183</v>
      </c>
      <c r="I3666" s="4" t="s">
        <v>2100</v>
      </c>
      <c r="J3666" s="4" t="s">
        <v>3644</v>
      </c>
      <c r="K3666">
        <v>20</v>
      </c>
      <c r="L3666">
        <v>6.0960000000000001</v>
      </c>
      <c r="M3666">
        <v>25.4</v>
      </c>
      <c r="N3666">
        <v>88.9</v>
      </c>
      <c r="O3666">
        <v>240</v>
      </c>
      <c r="P3666">
        <v>1</v>
      </c>
      <c r="Q3666">
        <v>3.5000000000000004</v>
      </c>
      <c r="R3666">
        <v>1452.9459999999999</v>
      </c>
      <c r="S3666">
        <v>1.3765133760000003E-2</v>
      </c>
      <c r="T3666" s="4" t="s">
        <v>6091</v>
      </c>
    </row>
    <row r="3667" spans="1:20" x14ac:dyDescent="0.2">
      <c r="A3667" s="4" t="s">
        <v>6063</v>
      </c>
      <c r="B3667" s="4" t="s">
        <v>6088</v>
      </c>
      <c r="C3667" s="4" t="s">
        <v>2096</v>
      </c>
      <c r="D3667" s="4" t="s">
        <v>2236</v>
      </c>
      <c r="E3667" s="4" t="s">
        <v>6102</v>
      </c>
      <c r="F3667" s="4" t="s">
        <v>6090</v>
      </c>
      <c r="G3667" s="4" t="s">
        <v>6063</v>
      </c>
      <c r="H3667" s="4" t="s">
        <v>2183</v>
      </c>
      <c r="I3667" s="4" t="s">
        <v>2100</v>
      </c>
      <c r="J3667" s="4" t="s">
        <v>3644</v>
      </c>
      <c r="K3667">
        <v>21</v>
      </c>
      <c r="L3667">
        <v>6.4008000000000003</v>
      </c>
      <c r="M3667">
        <v>25.4</v>
      </c>
      <c r="N3667">
        <v>88.9</v>
      </c>
      <c r="O3667">
        <v>252.00000000000003</v>
      </c>
      <c r="P3667">
        <v>1</v>
      </c>
      <c r="Q3667">
        <v>3.5000000000000004</v>
      </c>
      <c r="R3667">
        <v>1452.9459999999999</v>
      </c>
      <c r="S3667">
        <v>1.4453390448E-2</v>
      </c>
      <c r="T3667" s="4" t="s">
        <v>6091</v>
      </c>
    </row>
    <row r="3668" spans="1:20" x14ac:dyDescent="0.2">
      <c r="A3668" s="4" t="s">
        <v>6063</v>
      </c>
      <c r="B3668" s="4" t="s">
        <v>6088</v>
      </c>
      <c r="C3668" s="4" t="s">
        <v>2096</v>
      </c>
      <c r="D3668" s="4" t="s">
        <v>2236</v>
      </c>
      <c r="E3668" s="4" t="s">
        <v>6103</v>
      </c>
      <c r="F3668" s="4" t="s">
        <v>6090</v>
      </c>
      <c r="G3668" s="4" t="s">
        <v>6063</v>
      </c>
      <c r="H3668" s="4" t="s">
        <v>2183</v>
      </c>
      <c r="I3668" s="4" t="s">
        <v>2100</v>
      </c>
      <c r="J3668" s="4" t="s">
        <v>3644</v>
      </c>
      <c r="K3668">
        <v>22</v>
      </c>
      <c r="L3668">
        <v>6.7055999999999996</v>
      </c>
      <c r="M3668">
        <v>25.4</v>
      </c>
      <c r="N3668">
        <v>88.9</v>
      </c>
      <c r="O3668">
        <v>264</v>
      </c>
      <c r="P3668">
        <v>1</v>
      </c>
      <c r="Q3668">
        <v>3.5000000000000004</v>
      </c>
      <c r="R3668">
        <v>1452.9459999999999</v>
      </c>
      <c r="S3668">
        <v>1.5141647135999997E-2</v>
      </c>
      <c r="T3668" s="4" t="s">
        <v>6091</v>
      </c>
    </row>
    <row r="3669" spans="1:20" x14ac:dyDescent="0.2">
      <c r="A3669" s="4" t="s">
        <v>6063</v>
      </c>
      <c r="B3669" s="4" t="s">
        <v>6088</v>
      </c>
      <c r="C3669" s="4" t="s">
        <v>2286</v>
      </c>
      <c r="D3669" s="4" t="s">
        <v>2236</v>
      </c>
      <c r="E3669" s="4" t="s">
        <v>6104</v>
      </c>
      <c r="F3669" s="4" t="s">
        <v>6090</v>
      </c>
      <c r="G3669" s="4" t="s">
        <v>6063</v>
      </c>
      <c r="H3669" s="4" t="s">
        <v>2183</v>
      </c>
      <c r="I3669" s="4" t="s">
        <v>2100</v>
      </c>
      <c r="J3669" s="4" t="s">
        <v>3644</v>
      </c>
      <c r="K3669">
        <v>3</v>
      </c>
      <c r="L3669">
        <v>0.91439999999999999</v>
      </c>
      <c r="M3669">
        <v>25.4</v>
      </c>
      <c r="N3669">
        <v>88.9</v>
      </c>
      <c r="O3669">
        <v>36</v>
      </c>
      <c r="P3669">
        <v>1</v>
      </c>
      <c r="Q3669">
        <v>3.5000000000000004</v>
      </c>
      <c r="R3669">
        <v>1452.9459999999999</v>
      </c>
      <c r="S3669">
        <v>2.0647700640000002E-3</v>
      </c>
      <c r="T3669" s="4" t="s">
        <v>6105</v>
      </c>
    </row>
    <row r="3670" spans="1:20" x14ac:dyDescent="0.2">
      <c r="A3670" s="4" t="s">
        <v>6063</v>
      </c>
      <c r="B3670" s="4" t="s">
        <v>6088</v>
      </c>
      <c r="C3670" s="4" t="s">
        <v>2286</v>
      </c>
      <c r="D3670" s="4" t="s">
        <v>2236</v>
      </c>
      <c r="E3670" s="4" t="s">
        <v>6106</v>
      </c>
      <c r="F3670" s="4" t="s">
        <v>6090</v>
      </c>
      <c r="G3670" s="4" t="s">
        <v>6063</v>
      </c>
      <c r="H3670" s="4" t="s">
        <v>2183</v>
      </c>
      <c r="I3670" s="4" t="s">
        <v>2100</v>
      </c>
      <c r="J3670" s="4" t="s">
        <v>3644</v>
      </c>
      <c r="K3670">
        <v>4</v>
      </c>
      <c r="L3670">
        <v>1.2192000000000001</v>
      </c>
      <c r="M3670">
        <v>25.4</v>
      </c>
      <c r="N3670">
        <v>88.9</v>
      </c>
      <c r="O3670">
        <v>48.000000000000007</v>
      </c>
      <c r="P3670">
        <v>1</v>
      </c>
      <c r="Q3670">
        <v>3.5000000000000004</v>
      </c>
      <c r="R3670">
        <v>1452.9459999999999</v>
      </c>
      <c r="S3670">
        <v>2.753026752E-3</v>
      </c>
      <c r="T3670" s="4" t="s">
        <v>6105</v>
      </c>
    </row>
    <row r="3671" spans="1:20" x14ac:dyDescent="0.2">
      <c r="A3671" s="4" t="s">
        <v>6063</v>
      </c>
      <c r="B3671" s="4" t="s">
        <v>6088</v>
      </c>
      <c r="C3671" s="4" t="s">
        <v>2286</v>
      </c>
      <c r="D3671" s="4" t="s">
        <v>2236</v>
      </c>
      <c r="E3671" s="4" t="s">
        <v>6107</v>
      </c>
      <c r="F3671" s="4" t="s">
        <v>6090</v>
      </c>
      <c r="G3671" s="4" t="s">
        <v>6063</v>
      </c>
      <c r="H3671" s="4" t="s">
        <v>2183</v>
      </c>
      <c r="I3671" s="4" t="s">
        <v>2100</v>
      </c>
      <c r="J3671" s="4" t="s">
        <v>3644</v>
      </c>
      <c r="K3671">
        <v>5</v>
      </c>
      <c r="L3671">
        <v>1.524</v>
      </c>
      <c r="M3671">
        <v>25.4</v>
      </c>
      <c r="N3671">
        <v>88.9</v>
      </c>
      <c r="O3671">
        <v>60</v>
      </c>
      <c r="P3671">
        <v>1</v>
      </c>
      <c r="Q3671">
        <v>3.5000000000000004</v>
      </c>
      <c r="R3671">
        <v>1452.9459999999999</v>
      </c>
      <c r="S3671">
        <v>3.4412834400000007E-3</v>
      </c>
      <c r="T3671" s="4" t="s">
        <v>6105</v>
      </c>
    </row>
    <row r="3672" spans="1:20" x14ac:dyDescent="0.2">
      <c r="A3672" s="4" t="s">
        <v>6063</v>
      </c>
      <c r="B3672" s="4" t="s">
        <v>6088</v>
      </c>
      <c r="C3672" s="4" t="s">
        <v>2286</v>
      </c>
      <c r="D3672" s="4" t="s">
        <v>2236</v>
      </c>
      <c r="E3672" s="4" t="s">
        <v>6108</v>
      </c>
      <c r="F3672" s="4" t="s">
        <v>6090</v>
      </c>
      <c r="G3672" s="4" t="s">
        <v>6063</v>
      </c>
      <c r="H3672" s="4" t="s">
        <v>2183</v>
      </c>
      <c r="I3672" s="4" t="s">
        <v>2100</v>
      </c>
      <c r="J3672" s="4" t="s">
        <v>3644</v>
      </c>
      <c r="K3672">
        <v>6</v>
      </c>
      <c r="L3672">
        <v>1.8288</v>
      </c>
      <c r="M3672">
        <v>25.4</v>
      </c>
      <c r="N3672">
        <v>88.9</v>
      </c>
      <c r="O3672">
        <v>72</v>
      </c>
      <c r="P3672">
        <v>1</v>
      </c>
      <c r="Q3672">
        <v>3.5000000000000004</v>
      </c>
      <c r="R3672">
        <v>1452.9459999999999</v>
      </c>
      <c r="S3672">
        <v>4.1295401280000005E-3</v>
      </c>
      <c r="T3672" s="4" t="s">
        <v>6105</v>
      </c>
    </row>
    <row r="3673" spans="1:20" x14ac:dyDescent="0.2">
      <c r="A3673" s="4" t="s">
        <v>6063</v>
      </c>
      <c r="B3673" s="4" t="s">
        <v>6088</v>
      </c>
      <c r="C3673" s="4" t="s">
        <v>2286</v>
      </c>
      <c r="D3673" s="4" t="s">
        <v>2236</v>
      </c>
      <c r="E3673" s="4" t="s">
        <v>6109</v>
      </c>
      <c r="F3673" s="4" t="s">
        <v>6090</v>
      </c>
      <c r="G3673" s="4" t="s">
        <v>6063</v>
      </c>
      <c r="H3673" s="4" t="s">
        <v>2183</v>
      </c>
      <c r="I3673" s="4" t="s">
        <v>2100</v>
      </c>
      <c r="J3673" s="4" t="s">
        <v>3644</v>
      </c>
      <c r="K3673">
        <v>7</v>
      </c>
      <c r="L3673">
        <v>2.1335999999999999</v>
      </c>
      <c r="M3673">
        <v>25.4</v>
      </c>
      <c r="N3673">
        <v>88.9</v>
      </c>
      <c r="O3673">
        <v>84</v>
      </c>
      <c r="P3673">
        <v>1</v>
      </c>
      <c r="Q3673">
        <v>3.5000000000000004</v>
      </c>
      <c r="R3673">
        <v>1452.9459999999999</v>
      </c>
      <c r="S3673">
        <v>4.8177968159999994E-3</v>
      </c>
      <c r="T3673" s="4" t="s">
        <v>6105</v>
      </c>
    </row>
    <row r="3674" spans="1:20" x14ac:dyDescent="0.2">
      <c r="A3674" s="4" t="s">
        <v>6063</v>
      </c>
      <c r="B3674" s="4" t="s">
        <v>6088</v>
      </c>
      <c r="C3674" s="4" t="s">
        <v>2096</v>
      </c>
      <c r="D3674" s="4" t="s">
        <v>2236</v>
      </c>
      <c r="E3674" s="4" t="s">
        <v>6110</v>
      </c>
      <c r="F3674" s="4" t="s">
        <v>6090</v>
      </c>
      <c r="G3674" s="4" t="s">
        <v>6063</v>
      </c>
      <c r="H3674" s="4" t="s">
        <v>2183</v>
      </c>
      <c r="I3674" s="4" t="s">
        <v>2100</v>
      </c>
      <c r="J3674" s="4" t="s">
        <v>3644</v>
      </c>
      <c r="K3674">
        <v>8</v>
      </c>
      <c r="L3674">
        <v>2.4384000000000001</v>
      </c>
      <c r="M3674">
        <v>25.4</v>
      </c>
      <c r="N3674">
        <v>88.9</v>
      </c>
      <c r="O3674">
        <v>96.000000000000014</v>
      </c>
      <c r="P3674">
        <v>1</v>
      </c>
      <c r="Q3674">
        <v>3.5000000000000004</v>
      </c>
      <c r="R3674">
        <v>1452.9459999999999</v>
      </c>
      <c r="S3674">
        <v>5.5060535040000001E-3</v>
      </c>
      <c r="T3674" s="4" t="s">
        <v>6091</v>
      </c>
    </row>
    <row r="3675" spans="1:20" x14ac:dyDescent="0.2">
      <c r="A3675" s="4" t="s">
        <v>6063</v>
      </c>
      <c r="B3675" s="4" t="s">
        <v>6088</v>
      </c>
      <c r="C3675" s="4" t="s">
        <v>2096</v>
      </c>
      <c r="D3675" s="4" t="s">
        <v>2236</v>
      </c>
      <c r="E3675" s="4" t="s">
        <v>6111</v>
      </c>
      <c r="F3675" s="4" t="s">
        <v>6090</v>
      </c>
      <c r="G3675" s="4" t="s">
        <v>6063</v>
      </c>
      <c r="H3675" s="4" t="s">
        <v>2183</v>
      </c>
      <c r="I3675" s="4" t="s">
        <v>2100</v>
      </c>
      <c r="J3675" s="4" t="s">
        <v>3644</v>
      </c>
      <c r="K3675">
        <v>9</v>
      </c>
      <c r="L3675">
        <v>2.7431999999999999</v>
      </c>
      <c r="M3675">
        <v>25.4</v>
      </c>
      <c r="N3675">
        <v>88.9</v>
      </c>
      <c r="O3675">
        <v>108</v>
      </c>
      <c r="P3675">
        <v>1</v>
      </c>
      <c r="Q3675">
        <v>3.5000000000000004</v>
      </c>
      <c r="R3675">
        <v>1452.9459999999999</v>
      </c>
      <c r="S3675">
        <v>6.1943101919999998E-3</v>
      </c>
      <c r="T3675" s="4" t="s">
        <v>6091</v>
      </c>
    </row>
    <row r="3676" spans="1:20" x14ac:dyDescent="0.2">
      <c r="A3676" s="4" t="s">
        <v>4529</v>
      </c>
      <c r="B3676" s="4" t="s">
        <v>1984</v>
      </c>
      <c r="C3676" s="4" t="s">
        <v>4529</v>
      </c>
      <c r="D3676" s="4" t="s">
        <v>4530</v>
      </c>
      <c r="E3676" s="4" t="s">
        <v>2070</v>
      </c>
      <c r="F3676" s="4" t="s">
        <v>1984</v>
      </c>
      <c r="G3676" s="4" t="s">
        <v>1984</v>
      </c>
      <c r="H3676" s="4" t="s">
        <v>2100</v>
      </c>
      <c r="I3676" s="4" t="s">
        <v>2100</v>
      </c>
      <c r="J3676" s="4" t="s">
        <v>4532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 s="4"/>
    </row>
    <row r="3677" spans="1:20" x14ac:dyDescent="0.2">
      <c r="A3677" s="4" t="s">
        <v>3940</v>
      </c>
      <c r="B3677" s="4" t="s">
        <v>6112</v>
      </c>
      <c r="C3677" s="4" t="s">
        <v>3018</v>
      </c>
      <c r="D3677" s="4" t="s">
        <v>2236</v>
      </c>
      <c r="E3677" s="4" t="s">
        <v>6113</v>
      </c>
      <c r="F3677" s="4" t="s">
        <v>6114</v>
      </c>
      <c r="G3677" s="4" t="s">
        <v>3943</v>
      </c>
      <c r="H3677" s="4" t="s">
        <v>3018</v>
      </c>
      <c r="I3677" s="4" t="s">
        <v>2100</v>
      </c>
      <c r="J3677" s="4" t="s">
        <v>3020</v>
      </c>
      <c r="K3677">
        <v>24</v>
      </c>
      <c r="L3677">
        <v>0.60640000000000005</v>
      </c>
      <c r="M3677">
        <v>19</v>
      </c>
      <c r="N3677">
        <v>71</v>
      </c>
      <c r="O3677">
        <v>23.8740157480315</v>
      </c>
      <c r="P3677">
        <v>0.74803149606299213</v>
      </c>
      <c r="Q3677">
        <v>2.7952755905511815</v>
      </c>
      <c r="R3677">
        <v>2432.0529999999999</v>
      </c>
      <c r="S3677">
        <v>8.1803360000000012E-4</v>
      </c>
      <c r="T3677" s="4"/>
    </row>
    <row r="3678" spans="1:20" x14ac:dyDescent="0.2">
      <c r="A3678" s="4" t="s">
        <v>4529</v>
      </c>
      <c r="B3678" s="4" t="s">
        <v>4567</v>
      </c>
      <c r="C3678" s="4" t="s">
        <v>4529</v>
      </c>
      <c r="D3678" s="4" t="s">
        <v>4530</v>
      </c>
      <c r="E3678" s="4" t="s">
        <v>6115</v>
      </c>
      <c r="F3678" s="4" t="s">
        <v>4567</v>
      </c>
      <c r="G3678" s="4" t="s">
        <v>2100</v>
      </c>
      <c r="H3678" s="4" t="s">
        <v>2100</v>
      </c>
      <c r="I3678" s="4" t="s">
        <v>2100</v>
      </c>
      <c r="J3678" s="4" t="s">
        <v>4532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 s="4"/>
    </row>
    <row r="3679" spans="1:20" x14ac:dyDescent="0.2">
      <c r="A3679" s="4" t="s">
        <v>4529</v>
      </c>
      <c r="B3679" s="4" t="s">
        <v>1984</v>
      </c>
      <c r="C3679" s="4" t="s">
        <v>4529</v>
      </c>
      <c r="D3679" s="4" t="s">
        <v>4530</v>
      </c>
      <c r="E3679" s="4" t="s">
        <v>2071</v>
      </c>
      <c r="F3679" s="4" t="s">
        <v>1984</v>
      </c>
      <c r="G3679" s="4" t="s">
        <v>1984</v>
      </c>
      <c r="H3679" s="4" t="s">
        <v>2100</v>
      </c>
      <c r="I3679" s="4" t="s">
        <v>2100</v>
      </c>
      <c r="J3679" s="4" t="s">
        <v>4532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 s="4"/>
    </row>
    <row r="3680" spans="1:20" x14ac:dyDescent="0.2">
      <c r="A3680" s="4" t="s">
        <v>5761</v>
      </c>
      <c r="B3680" s="4" t="s">
        <v>5762</v>
      </c>
      <c r="C3680" s="4" t="s">
        <v>2096</v>
      </c>
      <c r="D3680" s="4" t="s">
        <v>4764</v>
      </c>
      <c r="E3680" s="4" t="s">
        <v>6116</v>
      </c>
      <c r="F3680" s="4" t="s">
        <v>6117</v>
      </c>
      <c r="G3680" s="4" t="s">
        <v>5764</v>
      </c>
      <c r="H3680" s="4" t="s">
        <v>5314</v>
      </c>
      <c r="I3680" s="4" t="s">
        <v>6118</v>
      </c>
      <c r="J3680" s="4" t="s">
        <v>2153</v>
      </c>
      <c r="K3680">
        <v>11</v>
      </c>
      <c r="L3680">
        <v>3.3</v>
      </c>
      <c r="M3680">
        <v>19</v>
      </c>
      <c r="N3680">
        <v>140</v>
      </c>
      <c r="O3680">
        <v>129.92125984251967</v>
      </c>
      <c r="P3680">
        <v>0.74803149606299213</v>
      </c>
      <c r="Q3680">
        <v>5.5118110236220472</v>
      </c>
      <c r="R3680">
        <v>1233.3979999999999</v>
      </c>
      <c r="S3680">
        <v>8.7779999999999993E-3</v>
      </c>
      <c r="T3680" s="4"/>
    </row>
    <row r="3681" spans="1:20" x14ac:dyDescent="0.2">
      <c r="A3681" s="4" t="s">
        <v>5761</v>
      </c>
      <c r="B3681" s="4" t="s">
        <v>5762</v>
      </c>
      <c r="C3681" s="4" t="s">
        <v>2096</v>
      </c>
      <c r="D3681" s="4" t="s">
        <v>4764</v>
      </c>
      <c r="E3681" s="4" t="s">
        <v>6119</v>
      </c>
      <c r="F3681" s="4" t="s">
        <v>6117</v>
      </c>
      <c r="G3681" s="4" t="s">
        <v>5764</v>
      </c>
      <c r="H3681" s="4" t="s">
        <v>5314</v>
      </c>
      <c r="I3681" s="4" t="s">
        <v>6118</v>
      </c>
      <c r="J3681" s="4" t="s">
        <v>2153</v>
      </c>
      <c r="K3681">
        <v>12</v>
      </c>
      <c r="L3681">
        <v>3.6</v>
      </c>
      <c r="M3681">
        <v>19</v>
      </c>
      <c r="N3681">
        <v>140</v>
      </c>
      <c r="O3681">
        <v>141.73228346456693</v>
      </c>
      <c r="P3681">
        <v>0.74803149606299213</v>
      </c>
      <c r="Q3681">
        <v>5.5118110236220472</v>
      </c>
      <c r="R3681">
        <v>1233.3979999999999</v>
      </c>
      <c r="S3681">
        <v>9.5760000000000012E-3</v>
      </c>
      <c r="T3681" s="4"/>
    </row>
    <row r="3682" spans="1:20" x14ac:dyDescent="0.2">
      <c r="A3682" s="4" t="s">
        <v>5761</v>
      </c>
      <c r="B3682" s="4" t="s">
        <v>5762</v>
      </c>
      <c r="C3682" s="4" t="s">
        <v>2096</v>
      </c>
      <c r="D3682" s="4" t="s">
        <v>4764</v>
      </c>
      <c r="E3682" s="4" t="s">
        <v>6120</v>
      </c>
      <c r="F3682" s="4" t="s">
        <v>6117</v>
      </c>
      <c r="G3682" s="4" t="s">
        <v>5764</v>
      </c>
      <c r="H3682" s="4" t="s">
        <v>5314</v>
      </c>
      <c r="I3682" s="4" t="s">
        <v>6118</v>
      </c>
      <c r="J3682" s="4" t="s">
        <v>2153</v>
      </c>
      <c r="K3682">
        <v>13</v>
      </c>
      <c r="L3682">
        <v>3.9</v>
      </c>
      <c r="M3682">
        <v>19</v>
      </c>
      <c r="N3682">
        <v>140</v>
      </c>
      <c r="O3682">
        <v>153.54330708661416</v>
      </c>
      <c r="P3682">
        <v>0.74803149606299213</v>
      </c>
      <c r="Q3682">
        <v>5.5118110236220472</v>
      </c>
      <c r="R3682">
        <v>1233.3979999999999</v>
      </c>
      <c r="S3682">
        <v>1.0374000000000001E-2</v>
      </c>
      <c r="T3682" s="4"/>
    </row>
    <row r="3683" spans="1:20" x14ac:dyDescent="0.2">
      <c r="A3683" s="4" t="s">
        <v>5761</v>
      </c>
      <c r="B3683" s="4" t="s">
        <v>5762</v>
      </c>
      <c r="C3683" s="4" t="s">
        <v>2096</v>
      </c>
      <c r="D3683" s="4" t="s">
        <v>4764</v>
      </c>
      <c r="E3683" s="4" t="s">
        <v>6121</v>
      </c>
      <c r="F3683" s="4" t="s">
        <v>6117</v>
      </c>
      <c r="G3683" s="4" t="s">
        <v>5764</v>
      </c>
      <c r="H3683" s="4" t="s">
        <v>5314</v>
      </c>
      <c r="I3683" s="4" t="s">
        <v>6118</v>
      </c>
      <c r="J3683" s="4" t="s">
        <v>2153</v>
      </c>
      <c r="K3683">
        <v>15</v>
      </c>
      <c r="L3683">
        <v>4.5</v>
      </c>
      <c r="M3683">
        <v>19</v>
      </c>
      <c r="N3683">
        <v>140</v>
      </c>
      <c r="O3683">
        <v>177.16535433070868</v>
      </c>
      <c r="P3683">
        <v>0.74803149606299213</v>
      </c>
      <c r="Q3683">
        <v>5.5118110236220472</v>
      </c>
      <c r="R3683">
        <v>1233.3979999999999</v>
      </c>
      <c r="S3683">
        <v>1.1970000000000001E-2</v>
      </c>
      <c r="T3683" s="4"/>
    </row>
    <row r="3684" spans="1:20" x14ac:dyDescent="0.2">
      <c r="A3684" s="4" t="s">
        <v>5761</v>
      </c>
      <c r="B3684" s="4" t="s">
        <v>5762</v>
      </c>
      <c r="C3684" s="4" t="s">
        <v>2096</v>
      </c>
      <c r="D3684" s="4" t="s">
        <v>4764</v>
      </c>
      <c r="E3684" s="4" t="s">
        <v>6122</v>
      </c>
      <c r="F3684" s="4" t="s">
        <v>6117</v>
      </c>
      <c r="G3684" s="4" t="s">
        <v>5764</v>
      </c>
      <c r="H3684" s="4" t="s">
        <v>5314</v>
      </c>
      <c r="I3684" s="4" t="s">
        <v>6118</v>
      </c>
      <c r="J3684" s="4" t="s">
        <v>2153</v>
      </c>
      <c r="K3684">
        <v>16</v>
      </c>
      <c r="L3684">
        <v>4.8</v>
      </c>
      <c r="M3684">
        <v>19</v>
      </c>
      <c r="N3684">
        <v>140</v>
      </c>
      <c r="O3684">
        <v>188.97637795275591</v>
      </c>
      <c r="P3684">
        <v>0.74803149606299213</v>
      </c>
      <c r="Q3684">
        <v>5.5118110236220472</v>
      </c>
      <c r="R3684">
        <v>1233.3979999999999</v>
      </c>
      <c r="S3684">
        <v>1.2768E-2</v>
      </c>
      <c r="T3684" s="4"/>
    </row>
    <row r="3685" spans="1:20" x14ac:dyDescent="0.2">
      <c r="A3685" s="4" t="s">
        <v>4529</v>
      </c>
      <c r="B3685" s="4" t="s">
        <v>1984</v>
      </c>
      <c r="C3685" s="4" t="s">
        <v>4529</v>
      </c>
      <c r="D3685" s="4" t="s">
        <v>4530</v>
      </c>
      <c r="E3685" s="4" t="s">
        <v>2074</v>
      </c>
      <c r="F3685" s="4" t="s">
        <v>1984</v>
      </c>
      <c r="G3685" s="4" t="s">
        <v>1984</v>
      </c>
      <c r="H3685" s="4" t="s">
        <v>2100</v>
      </c>
      <c r="I3685" s="4" t="s">
        <v>2100</v>
      </c>
      <c r="J3685" s="4" t="s">
        <v>4532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 s="4"/>
    </row>
    <row r="3686" spans="1:20" x14ac:dyDescent="0.2">
      <c r="A3686" s="4" t="s">
        <v>2294</v>
      </c>
      <c r="B3686" s="4" t="s">
        <v>2781</v>
      </c>
      <c r="C3686" s="4" t="s">
        <v>2096</v>
      </c>
      <c r="D3686" s="4" t="s">
        <v>2236</v>
      </c>
      <c r="E3686" s="4" t="s">
        <v>6164</v>
      </c>
      <c r="F3686" s="4" t="s">
        <v>2782</v>
      </c>
      <c r="G3686" s="4" t="s">
        <v>2294</v>
      </c>
      <c r="H3686" s="4" t="s">
        <v>2183</v>
      </c>
      <c r="I3686" s="4" t="s">
        <v>2100</v>
      </c>
      <c r="J3686" s="4" t="s">
        <v>2783</v>
      </c>
      <c r="K3686">
        <v>10</v>
      </c>
      <c r="L3686">
        <v>3.048</v>
      </c>
      <c r="M3686">
        <v>88.9</v>
      </c>
      <c r="N3686">
        <v>88.9</v>
      </c>
      <c r="O3686">
        <v>120</v>
      </c>
      <c r="P3686">
        <v>3.5000000000000004</v>
      </c>
      <c r="Q3686">
        <v>3.5000000000000004</v>
      </c>
      <c r="R3686">
        <v>415.12799999999999</v>
      </c>
      <c r="S3686">
        <v>2.4088984080000007E-2</v>
      </c>
      <c r="T3686" s="4" t="s">
        <v>2784</v>
      </c>
    </row>
    <row r="3687" spans="1:20" x14ac:dyDescent="0.2">
      <c r="A3687" s="4" t="s">
        <v>2294</v>
      </c>
      <c r="B3687" s="4" t="s">
        <v>2781</v>
      </c>
      <c r="C3687" s="4" t="s">
        <v>2096</v>
      </c>
      <c r="D3687" s="4" t="s">
        <v>2236</v>
      </c>
      <c r="E3687" s="4" t="s">
        <v>6165</v>
      </c>
      <c r="F3687" s="4" t="s">
        <v>2782</v>
      </c>
      <c r="G3687" s="4" t="s">
        <v>2294</v>
      </c>
      <c r="H3687" s="4" t="s">
        <v>2183</v>
      </c>
      <c r="I3687" s="4" t="s">
        <v>2100</v>
      </c>
      <c r="J3687" s="4" t="s">
        <v>2783</v>
      </c>
      <c r="K3687">
        <v>11</v>
      </c>
      <c r="L3687">
        <v>3.3527999999999998</v>
      </c>
      <c r="M3687">
        <v>88.9</v>
      </c>
      <c r="N3687">
        <v>88.9</v>
      </c>
      <c r="O3687">
        <v>132</v>
      </c>
      <c r="P3687">
        <v>3.5000000000000004</v>
      </c>
      <c r="Q3687">
        <v>3.5000000000000004</v>
      </c>
      <c r="R3687">
        <v>415.12799999999999</v>
      </c>
      <c r="S3687">
        <v>2.6497882487999998E-2</v>
      </c>
      <c r="T3687" s="4" t="s">
        <v>2784</v>
      </c>
    </row>
    <row r="3688" spans="1:20" x14ac:dyDescent="0.2">
      <c r="A3688" s="4" t="s">
        <v>2294</v>
      </c>
      <c r="B3688" s="4" t="s">
        <v>2781</v>
      </c>
      <c r="C3688" s="4" t="s">
        <v>2096</v>
      </c>
      <c r="D3688" s="4" t="s">
        <v>2236</v>
      </c>
      <c r="E3688" s="4" t="s">
        <v>6166</v>
      </c>
      <c r="F3688" s="4" t="s">
        <v>2782</v>
      </c>
      <c r="G3688" s="4" t="s">
        <v>2294</v>
      </c>
      <c r="H3688" s="4" t="s">
        <v>2183</v>
      </c>
      <c r="I3688" s="4" t="s">
        <v>2100</v>
      </c>
      <c r="J3688" s="4" t="s">
        <v>2783</v>
      </c>
      <c r="K3688">
        <v>12</v>
      </c>
      <c r="L3688">
        <v>3.6576</v>
      </c>
      <c r="M3688">
        <v>88.9</v>
      </c>
      <c r="N3688">
        <v>88.9</v>
      </c>
      <c r="O3688">
        <v>144</v>
      </c>
      <c r="P3688">
        <v>3.5000000000000004</v>
      </c>
      <c r="Q3688">
        <v>3.5000000000000004</v>
      </c>
      <c r="R3688">
        <v>415.12799999999999</v>
      </c>
      <c r="S3688">
        <v>2.8906780896E-2</v>
      </c>
      <c r="T3688" s="4" t="s">
        <v>2784</v>
      </c>
    </row>
    <row r="3689" spans="1:20" x14ac:dyDescent="0.2">
      <c r="A3689" s="4" t="s">
        <v>2294</v>
      </c>
      <c r="B3689" s="4" t="s">
        <v>2781</v>
      </c>
      <c r="C3689" s="4" t="s">
        <v>2096</v>
      </c>
      <c r="D3689" s="4" t="s">
        <v>2236</v>
      </c>
      <c r="E3689" s="4" t="s">
        <v>6167</v>
      </c>
      <c r="F3689" s="4" t="s">
        <v>2782</v>
      </c>
      <c r="G3689" s="4" t="s">
        <v>2294</v>
      </c>
      <c r="H3689" s="4" t="s">
        <v>2183</v>
      </c>
      <c r="I3689" s="4" t="s">
        <v>2100</v>
      </c>
      <c r="J3689" s="4" t="s">
        <v>2783</v>
      </c>
      <c r="K3689">
        <v>13</v>
      </c>
      <c r="L3689">
        <v>3.9624000000000001</v>
      </c>
      <c r="M3689">
        <v>88.9</v>
      </c>
      <c r="N3689">
        <v>88.9</v>
      </c>
      <c r="O3689">
        <v>156</v>
      </c>
      <c r="P3689">
        <v>3.5000000000000004</v>
      </c>
      <c r="Q3689">
        <v>3.5000000000000004</v>
      </c>
      <c r="R3689">
        <v>415.12799999999999</v>
      </c>
      <c r="S3689">
        <v>3.1315679304000012E-2</v>
      </c>
      <c r="T3689" s="4" t="s">
        <v>2784</v>
      </c>
    </row>
    <row r="3690" spans="1:20" x14ac:dyDescent="0.2">
      <c r="A3690" s="4" t="s">
        <v>2294</v>
      </c>
      <c r="B3690" s="4" t="s">
        <v>2781</v>
      </c>
      <c r="C3690" s="4" t="s">
        <v>2096</v>
      </c>
      <c r="D3690" s="4" t="s">
        <v>2236</v>
      </c>
      <c r="E3690" s="4" t="s">
        <v>6168</v>
      </c>
      <c r="F3690" s="4" t="s">
        <v>2782</v>
      </c>
      <c r="G3690" s="4" t="s">
        <v>2294</v>
      </c>
      <c r="H3690" s="4" t="s">
        <v>2183</v>
      </c>
      <c r="I3690" s="4" t="s">
        <v>2100</v>
      </c>
      <c r="J3690" s="4" t="s">
        <v>2783</v>
      </c>
      <c r="K3690">
        <v>14</v>
      </c>
      <c r="L3690">
        <v>4.2671999999999999</v>
      </c>
      <c r="M3690">
        <v>88.9</v>
      </c>
      <c r="N3690">
        <v>88.9</v>
      </c>
      <c r="O3690">
        <v>168</v>
      </c>
      <c r="P3690">
        <v>3.5000000000000004</v>
      </c>
      <c r="Q3690">
        <v>3.5000000000000004</v>
      </c>
      <c r="R3690">
        <v>415.12799999999999</v>
      </c>
      <c r="S3690">
        <v>3.3724577712000006E-2</v>
      </c>
      <c r="T3690" s="4" t="s">
        <v>2784</v>
      </c>
    </row>
    <row r="3691" spans="1:20" x14ac:dyDescent="0.2">
      <c r="A3691" s="4" t="s">
        <v>2294</v>
      </c>
      <c r="B3691" s="4" t="s">
        <v>2781</v>
      </c>
      <c r="C3691" s="4" t="s">
        <v>2096</v>
      </c>
      <c r="D3691" s="4" t="s">
        <v>2236</v>
      </c>
      <c r="E3691" s="4" t="s">
        <v>6169</v>
      </c>
      <c r="F3691" s="4" t="s">
        <v>2782</v>
      </c>
      <c r="G3691" s="4" t="s">
        <v>2294</v>
      </c>
      <c r="H3691" s="4" t="s">
        <v>2183</v>
      </c>
      <c r="I3691" s="4" t="s">
        <v>2100</v>
      </c>
      <c r="J3691" s="4" t="s">
        <v>2783</v>
      </c>
      <c r="K3691">
        <v>15</v>
      </c>
      <c r="L3691">
        <v>4.5720000000000001</v>
      </c>
      <c r="M3691">
        <v>88.9</v>
      </c>
      <c r="N3691">
        <v>88.9</v>
      </c>
      <c r="O3691">
        <v>180</v>
      </c>
      <c r="P3691">
        <v>3.5000000000000004</v>
      </c>
      <c r="Q3691">
        <v>3.5000000000000004</v>
      </c>
      <c r="R3691">
        <v>415.12799999999999</v>
      </c>
      <c r="S3691">
        <v>3.6133476120000008E-2</v>
      </c>
      <c r="T3691" s="4" t="s">
        <v>2784</v>
      </c>
    </row>
    <row r="3692" spans="1:20" x14ac:dyDescent="0.2">
      <c r="A3692" s="4" t="s">
        <v>2294</v>
      </c>
      <c r="B3692" s="4" t="s">
        <v>2781</v>
      </c>
      <c r="C3692" s="4" t="s">
        <v>2096</v>
      </c>
      <c r="D3692" s="4" t="s">
        <v>2236</v>
      </c>
      <c r="E3692" s="4" t="s">
        <v>6170</v>
      </c>
      <c r="F3692" s="4" t="s">
        <v>2782</v>
      </c>
      <c r="G3692" s="4" t="s">
        <v>2294</v>
      </c>
      <c r="H3692" s="4" t="s">
        <v>2183</v>
      </c>
      <c r="I3692" s="4" t="s">
        <v>2100</v>
      </c>
      <c r="J3692" s="4" t="s">
        <v>2783</v>
      </c>
      <c r="K3692">
        <v>16</v>
      </c>
      <c r="L3692">
        <v>4.8768000000000002</v>
      </c>
      <c r="M3692">
        <v>88.9</v>
      </c>
      <c r="N3692">
        <v>88.9</v>
      </c>
      <c r="O3692">
        <v>192.00000000000003</v>
      </c>
      <c r="P3692">
        <v>3.5000000000000004</v>
      </c>
      <c r="Q3692">
        <v>3.5000000000000004</v>
      </c>
      <c r="R3692">
        <v>415.12799999999999</v>
      </c>
      <c r="S3692">
        <v>3.8542374528000009E-2</v>
      </c>
      <c r="T3692" s="4" t="s">
        <v>2784</v>
      </c>
    </row>
    <row r="3693" spans="1:20" x14ac:dyDescent="0.2">
      <c r="A3693" s="4" t="s">
        <v>2294</v>
      </c>
      <c r="B3693" s="4" t="s">
        <v>2781</v>
      </c>
      <c r="C3693" s="4" t="s">
        <v>2096</v>
      </c>
      <c r="D3693" s="4" t="s">
        <v>2236</v>
      </c>
      <c r="E3693" s="4" t="s">
        <v>6171</v>
      </c>
      <c r="F3693" s="4" t="s">
        <v>2782</v>
      </c>
      <c r="G3693" s="4" t="s">
        <v>2294</v>
      </c>
      <c r="H3693" s="4" t="s">
        <v>2183</v>
      </c>
      <c r="I3693" s="4" t="s">
        <v>2100</v>
      </c>
      <c r="J3693" s="4" t="s">
        <v>2783</v>
      </c>
      <c r="K3693">
        <v>17</v>
      </c>
      <c r="L3693">
        <v>5.1816000000000004</v>
      </c>
      <c r="M3693">
        <v>88.9</v>
      </c>
      <c r="N3693">
        <v>88.9</v>
      </c>
      <c r="O3693">
        <v>204.00000000000003</v>
      </c>
      <c r="P3693">
        <v>3.5000000000000004</v>
      </c>
      <c r="Q3693">
        <v>3.5000000000000004</v>
      </c>
      <c r="R3693">
        <v>415.12799999999999</v>
      </c>
      <c r="S3693">
        <v>4.0951272936000011E-2</v>
      </c>
      <c r="T3693" s="4" t="s">
        <v>2784</v>
      </c>
    </row>
    <row r="3694" spans="1:20" x14ac:dyDescent="0.2">
      <c r="A3694" s="4" t="s">
        <v>2294</v>
      </c>
      <c r="B3694" s="4" t="s">
        <v>2781</v>
      </c>
      <c r="C3694" s="4" t="s">
        <v>2096</v>
      </c>
      <c r="D3694" s="4" t="s">
        <v>2236</v>
      </c>
      <c r="E3694" s="4" t="s">
        <v>6172</v>
      </c>
      <c r="F3694" s="4" t="s">
        <v>2782</v>
      </c>
      <c r="G3694" s="4" t="s">
        <v>2294</v>
      </c>
      <c r="H3694" s="4" t="s">
        <v>2183</v>
      </c>
      <c r="I3694" s="4" t="s">
        <v>2100</v>
      </c>
      <c r="J3694" s="4" t="s">
        <v>2783</v>
      </c>
      <c r="K3694">
        <v>18</v>
      </c>
      <c r="L3694">
        <v>5.4863999999999997</v>
      </c>
      <c r="M3694">
        <v>88.9</v>
      </c>
      <c r="N3694">
        <v>88.9</v>
      </c>
      <c r="O3694">
        <v>216</v>
      </c>
      <c r="P3694">
        <v>3.5000000000000004</v>
      </c>
      <c r="Q3694">
        <v>3.5000000000000004</v>
      </c>
      <c r="R3694">
        <v>415.12799999999999</v>
      </c>
      <c r="S3694">
        <v>4.3360171344000005E-2</v>
      </c>
      <c r="T3694" s="4" t="s">
        <v>2784</v>
      </c>
    </row>
    <row r="3695" spans="1:20" x14ac:dyDescent="0.2">
      <c r="A3695" s="4" t="s">
        <v>2294</v>
      </c>
      <c r="B3695" s="4" t="s">
        <v>2781</v>
      </c>
      <c r="C3695" s="4" t="s">
        <v>2096</v>
      </c>
      <c r="D3695" s="4" t="s">
        <v>2236</v>
      </c>
      <c r="E3695" s="4" t="s">
        <v>6173</v>
      </c>
      <c r="F3695" s="4" t="s">
        <v>2782</v>
      </c>
      <c r="G3695" s="4" t="s">
        <v>2294</v>
      </c>
      <c r="H3695" s="4" t="s">
        <v>2183</v>
      </c>
      <c r="I3695" s="4" t="s">
        <v>2100</v>
      </c>
      <c r="J3695" s="4" t="s">
        <v>2783</v>
      </c>
      <c r="K3695">
        <v>19</v>
      </c>
      <c r="L3695">
        <v>5.7911999999999999</v>
      </c>
      <c r="M3695">
        <v>88.9</v>
      </c>
      <c r="N3695">
        <v>88.9</v>
      </c>
      <c r="O3695">
        <v>228</v>
      </c>
      <c r="P3695">
        <v>3.5000000000000004</v>
      </c>
      <c r="Q3695">
        <v>3.5000000000000004</v>
      </c>
      <c r="R3695">
        <v>415.12799999999999</v>
      </c>
      <c r="S3695">
        <v>4.5769069751999999E-2</v>
      </c>
      <c r="T3695" s="4" t="s">
        <v>2784</v>
      </c>
    </row>
    <row r="3696" spans="1:20" x14ac:dyDescent="0.2">
      <c r="A3696" s="4" t="s">
        <v>2294</v>
      </c>
      <c r="B3696" s="4" t="s">
        <v>2781</v>
      </c>
      <c r="C3696" s="4" t="s">
        <v>2096</v>
      </c>
      <c r="D3696" s="4" t="s">
        <v>2236</v>
      </c>
      <c r="E3696" s="4" t="s">
        <v>6174</v>
      </c>
      <c r="F3696" s="4" t="s">
        <v>2782</v>
      </c>
      <c r="G3696" s="4" t="s">
        <v>2294</v>
      </c>
      <c r="H3696" s="4" t="s">
        <v>2183</v>
      </c>
      <c r="I3696" s="4" t="s">
        <v>2100</v>
      </c>
      <c r="J3696" s="4" t="s">
        <v>2783</v>
      </c>
      <c r="K3696">
        <v>20</v>
      </c>
      <c r="L3696">
        <v>6.0960000000000001</v>
      </c>
      <c r="M3696">
        <v>88.9</v>
      </c>
      <c r="N3696">
        <v>88.9</v>
      </c>
      <c r="O3696">
        <v>240</v>
      </c>
      <c r="P3696">
        <v>3.5000000000000004</v>
      </c>
      <c r="Q3696">
        <v>3.5000000000000004</v>
      </c>
      <c r="R3696">
        <v>415.12799999999999</v>
      </c>
      <c r="S3696">
        <v>4.8177968160000015E-2</v>
      </c>
      <c r="T3696" s="4" t="s">
        <v>2784</v>
      </c>
    </row>
    <row r="3697" spans="1:20" x14ac:dyDescent="0.2">
      <c r="A3697" s="4" t="s">
        <v>2294</v>
      </c>
      <c r="B3697" s="4" t="s">
        <v>2781</v>
      </c>
      <c r="C3697" s="4" t="s">
        <v>2096</v>
      </c>
      <c r="D3697" s="4" t="s">
        <v>2236</v>
      </c>
      <c r="E3697" s="4" t="s">
        <v>6175</v>
      </c>
      <c r="F3697" s="4" t="s">
        <v>2782</v>
      </c>
      <c r="G3697" s="4" t="s">
        <v>2294</v>
      </c>
      <c r="H3697" s="4" t="s">
        <v>2183</v>
      </c>
      <c r="I3697" s="4" t="s">
        <v>2100</v>
      </c>
      <c r="J3697" s="4" t="s">
        <v>2783</v>
      </c>
      <c r="K3697">
        <v>21</v>
      </c>
      <c r="L3697">
        <v>6.4008000000000003</v>
      </c>
      <c r="M3697">
        <v>88.9</v>
      </c>
      <c r="N3697">
        <v>88.9</v>
      </c>
      <c r="O3697">
        <v>252.00000000000003</v>
      </c>
      <c r="P3697">
        <v>3.5000000000000004</v>
      </c>
      <c r="Q3697">
        <v>3.5000000000000004</v>
      </c>
      <c r="R3697">
        <v>415.12799999999999</v>
      </c>
      <c r="S3697">
        <v>5.0586866568000009E-2</v>
      </c>
      <c r="T3697" s="4" t="s">
        <v>2784</v>
      </c>
    </row>
    <row r="3698" spans="1:20" x14ac:dyDescent="0.2">
      <c r="A3698" s="4" t="s">
        <v>2294</v>
      </c>
      <c r="B3698" s="4" t="s">
        <v>2781</v>
      </c>
      <c r="C3698" s="4" t="s">
        <v>2096</v>
      </c>
      <c r="D3698" s="4" t="s">
        <v>2236</v>
      </c>
      <c r="E3698" s="4" t="s">
        <v>6176</v>
      </c>
      <c r="F3698" s="4" t="s">
        <v>2782</v>
      </c>
      <c r="G3698" s="4" t="s">
        <v>2294</v>
      </c>
      <c r="H3698" s="4" t="s">
        <v>2183</v>
      </c>
      <c r="I3698" s="4" t="s">
        <v>2100</v>
      </c>
      <c r="J3698" s="4" t="s">
        <v>2783</v>
      </c>
      <c r="K3698">
        <v>22</v>
      </c>
      <c r="L3698">
        <v>6.7055999999999996</v>
      </c>
      <c r="M3698">
        <v>88.9</v>
      </c>
      <c r="N3698">
        <v>88.9</v>
      </c>
      <c r="O3698">
        <v>264</v>
      </c>
      <c r="P3698">
        <v>3.5000000000000004</v>
      </c>
      <c r="Q3698">
        <v>3.5000000000000004</v>
      </c>
      <c r="R3698">
        <v>415.12799999999999</v>
      </c>
      <c r="S3698">
        <v>5.2995764975999997E-2</v>
      </c>
      <c r="T3698" s="4" t="s">
        <v>2784</v>
      </c>
    </row>
    <row r="3699" spans="1:20" x14ac:dyDescent="0.2">
      <c r="A3699" s="4" t="s">
        <v>2294</v>
      </c>
      <c r="B3699" s="4" t="s">
        <v>2781</v>
      </c>
      <c r="C3699" s="4" t="s">
        <v>2286</v>
      </c>
      <c r="D3699" s="4" t="s">
        <v>2236</v>
      </c>
      <c r="E3699" s="4" t="s">
        <v>6177</v>
      </c>
      <c r="F3699" s="4" t="s">
        <v>2782</v>
      </c>
      <c r="G3699" s="4" t="s">
        <v>2294</v>
      </c>
      <c r="H3699" s="4" t="s">
        <v>2183</v>
      </c>
      <c r="I3699" s="4" t="s">
        <v>2100</v>
      </c>
      <c r="J3699" s="4" t="s">
        <v>2783</v>
      </c>
      <c r="K3699">
        <v>3</v>
      </c>
      <c r="L3699">
        <v>0.91439999999999999</v>
      </c>
      <c r="M3699">
        <v>88.9</v>
      </c>
      <c r="N3699">
        <v>88.9</v>
      </c>
      <c r="O3699">
        <v>36</v>
      </c>
      <c r="P3699">
        <v>3.5000000000000004</v>
      </c>
      <c r="Q3699">
        <v>3.5000000000000004</v>
      </c>
      <c r="R3699">
        <v>415.12799999999999</v>
      </c>
      <c r="S3699">
        <v>7.226695224E-3</v>
      </c>
      <c r="T3699" s="4" t="s">
        <v>2796</v>
      </c>
    </row>
    <row r="3700" spans="1:20" x14ac:dyDescent="0.2">
      <c r="A3700" s="4" t="s">
        <v>2294</v>
      </c>
      <c r="B3700" s="4" t="s">
        <v>2781</v>
      </c>
      <c r="C3700" s="4" t="s">
        <v>2286</v>
      </c>
      <c r="D3700" s="4" t="s">
        <v>2236</v>
      </c>
      <c r="E3700" s="4" t="s">
        <v>6178</v>
      </c>
      <c r="F3700" s="4" t="s">
        <v>2782</v>
      </c>
      <c r="G3700" s="4" t="s">
        <v>2294</v>
      </c>
      <c r="H3700" s="4" t="s">
        <v>2183</v>
      </c>
      <c r="I3700" s="4" t="s">
        <v>2100</v>
      </c>
      <c r="J3700" s="4" t="s">
        <v>2783</v>
      </c>
      <c r="K3700">
        <v>4</v>
      </c>
      <c r="L3700">
        <v>1.2192000000000001</v>
      </c>
      <c r="M3700">
        <v>88.9</v>
      </c>
      <c r="N3700">
        <v>88.9</v>
      </c>
      <c r="O3700">
        <v>48.000000000000007</v>
      </c>
      <c r="P3700">
        <v>3.5000000000000004</v>
      </c>
      <c r="Q3700">
        <v>3.5000000000000004</v>
      </c>
      <c r="R3700">
        <v>415.12799999999999</v>
      </c>
      <c r="S3700">
        <v>9.6355936320000023E-3</v>
      </c>
      <c r="T3700" s="4" t="s">
        <v>2796</v>
      </c>
    </row>
    <row r="3701" spans="1:20" x14ac:dyDescent="0.2">
      <c r="A3701" s="4" t="s">
        <v>2294</v>
      </c>
      <c r="B3701" s="4" t="s">
        <v>2781</v>
      </c>
      <c r="C3701" s="4" t="s">
        <v>2286</v>
      </c>
      <c r="D3701" s="4" t="s">
        <v>2236</v>
      </c>
      <c r="E3701" s="4" t="s">
        <v>6179</v>
      </c>
      <c r="F3701" s="4" t="s">
        <v>2782</v>
      </c>
      <c r="G3701" s="4" t="s">
        <v>2294</v>
      </c>
      <c r="H3701" s="4" t="s">
        <v>2183</v>
      </c>
      <c r="I3701" s="4" t="s">
        <v>2100</v>
      </c>
      <c r="J3701" s="4" t="s">
        <v>2783</v>
      </c>
      <c r="K3701">
        <v>5</v>
      </c>
      <c r="L3701">
        <v>1.524</v>
      </c>
      <c r="M3701">
        <v>88.9</v>
      </c>
      <c r="N3701">
        <v>88.9</v>
      </c>
      <c r="O3701">
        <v>60</v>
      </c>
      <c r="P3701">
        <v>3.5000000000000004</v>
      </c>
      <c r="Q3701">
        <v>3.5000000000000004</v>
      </c>
      <c r="R3701">
        <v>415.12799999999999</v>
      </c>
      <c r="S3701">
        <v>1.2044492040000004E-2</v>
      </c>
      <c r="T3701" s="4" t="s">
        <v>2796</v>
      </c>
    </row>
    <row r="3702" spans="1:20" x14ac:dyDescent="0.2">
      <c r="A3702" s="4" t="s">
        <v>2294</v>
      </c>
      <c r="B3702" s="4" t="s">
        <v>2781</v>
      </c>
      <c r="C3702" s="4" t="s">
        <v>2286</v>
      </c>
      <c r="D3702" s="4" t="s">
        <v>2236</v>
      </c>
      <c r="E3702" s="4" t="s">
        <v>6180</v>
      </c>
      <c r="F3702" s="4" t="s">
        <v>2782</v>
      </c>
      <c r="G3702" s="4" t="s">
        <v>2294</v>
      </c>
      <c r="H3702" s="4" t="s">
        <v>2183</v>
      </c>
      <c r="I3702" s="4" t="s">
        <v>2100</v>
      </c>
      <c r="J3702" s="4" t="s">
        <v>2783</v>
      </c>
      <c r="K3702">
        <v>6</v>
      </c>
      <c r="L3702">
        <v>1.8288</v>
      </c>
      <c r="M3702">
        <v>88.9</v>
      </c>
      <c r="N3702">
        <v>88.9</v>
      </c>
      <c r="O3702">
        <v>72</v>
      </c>
      <c r="P3702">
        <v>3.5000000000000004</v>
      </c>
      <c r="Q3702">
        <v>3.5000000000000004</v>
      </c>
      <c r="R3702">
        <v>415.12799999999999</v>
      </c>
      <c r="S3702">
        <v>1.4453390448E-2</v>
      </c>
      <c r="T3702" s="4" t="s">
        <v>2796</v>
      </c>
    </row>
    <row r="3703" spans="1:20" x14ac:dyDescent="0.2">
      <c r="A3703" s="4" t="s">
        <v>2294</v>
      </c>
      <c r="B3703" s="4" t="s">
        <v>2781</v>
      </c>
      <c r="C3703" s="4" t="s">
        <v>2286</v>
      </c>
      <c r="D3703" s="4" t="s">
        <v>2236</v>
      </c>
      <c r="E3703" s="4" t="s">
        <v>6181</v>
      </c>
      <c r="F3703" s="4" t="s">
        <v>2782</v>
      </c>
      <c r="G3703" s="4" t="s">
        <v>2294</v>
      </c>
      <c r="H3703" s="4" t="s">
        <v>2183</v>
      </c>
      <c r="I3703" s="4" t="s">
        <v>2100</v>
      </c>
      <c r="J3703" s="4" t="s">
        <v>2783</v>
      </c>
      <c r="K3703">
        <v>7</v>
      </c>
      <c r="L3703">
        <v>2.1335999999999999</v>
      </c>
      <c r="M3703">
        <v>88.9</v>
      </c>
      <c r="N3703">
        <v>88.9</v>
      </c>
      <c r="O3703">
        <v>84</v>
      </c>
      <c r="P3703">
        <v>3.5000000000000004</v>
      </c>
      <c r="Q3703">
        <v>3.5000000000000004</v>
      </c>
      <c r="R3703">
        <v>415.12799999999999</v>
      </c>
      <c r="S3703">
        <v>1.6862288856000003E-2</v>
      </c>
      <c r="T3703" s="4" t="s">
        <v>2796</v>
      </c>
    </row>
    <row r="3704" spans="1:20" x14ac:dyDescent="0.2">
      <c r="A3704" s="4" t="s">
        <v>2294</v>
      </c>
      <c r="B3704" s="4" t="s">
        <v>2781</v>
      </c>
      <c r="C3704" s="4" t="s">
        <v>2096</v>
      </c>
      <c r="D3704" s="4" t="s">
        <v>2236</v>
      </c>
      <c r="E3704" s="4" t="s">
        <v>6182</v>
      </c>
      <c r="F3704" s="4" t="s">
        <v>2782</v>
      </c>
      <c r="G3704" s="4" t="s">
        <v>2294</v>
      </c>
      <c r="H3704" s="4" t="s">
        <v>2183</v>
      </c>
      <c r="I3704" s="4" t="s">
        <v>2100</v>
      </c>
      <c r="J3704" s="4" t="s">
        <v>2783</v>
      </c>
      <c r="K3704">
        <v>8</v>
      </c>
      <c r="L3704">
        <v>2.4384000000000001</v>
      </c>
      <c r="M3704">
        <v>88.9</v>
      </c>
      <c r="N3704">
        <v>88.9</v>
      </c>
      <c r="O3704">
        <v>96.000000000000014</v>
      </c>
      <c r="P3704">
        <v>3.5000000000000004</v>
      </c>
      <c r="Q3704">
        <v>3.5000000000000004</v>
      </c>
      <c r="R3704">
        <v>415.12799999999999</v>
      </c>
      <c r="S3704">
        <v>1.9271187264000005E-2</v>
      </c>
      <c r="T3704" s="4" t="s">
        <v>2784</v>
      </c>
    </row>
    <row r="3705" spans="1:20" x14ac:dyDescent="0.2">
      <c r="A3705" s="4" t="s">
        <v>2294</v>
      </c>
      <c r="B3705" s="4" t="s">
        <v>2781</v>
      </c>
      <c r="C3705" s="4" t="s">
        <v>2096</v>
      </c>
      <c r="D3705" s="4" t="s">
        <v>2236</v>
      </c>
      <c r="E3705" s="4" t="s">
        <v>6183</v>
      </c>
      <c r="F3705" s="4" t="s">
        <v>2782</v>
      </c>
      <c r="G3705" s="4" t="s">
        <v>2294</v>
      </c>
      <c r="H3705" s="4" t="s">
        <v>2183</v>
      </c>
      <c r="I3705" s="4" t="s">
        <v>2100</v>
      </c>
      <c r="J3705" s="4" t="s">
        <v>2783</v>
      </c>
      <c r="K3705">
        <v>9</v>
      </c>
      <c r="L3705">
        <v>2.7431999999999999</v>
      </c>
      <c r="M3705">
        <v>88.9</v>
      </c>
      <c r="N3705">
        <v>88.9</v>
      </c>
      <c r="O3705">
        <v>108</v>
      </c>
      <c r="P3705">
        <v>3.5000000000000004</v>
      </c>
      <c r="Q3705">
        <v>3.5000000000000004</v>
      </c>
      <c r="R3705">
        <v>415.12799999999999</v>
      </c>
      <c r="S3705">
        <v>2.1680085672000003E-2</v>
      </c>
      <c r="T3705" s="4" t="s">
        <v>2784</v>
      </c>
    </row>
    <row r="3706" spans="1:20" x14ac:dyDescent="0.2">
      <c r="A3706" s="4" t="s">
        <v>4529</v>
      </c>
      <c r="B3706" s="4" t="s">
        <v>1984</v>
      </c>
      <c r="C3706" s="4" t="s">
        <v>4529</v>
      </c>
      <c r="D3706" s="4" t="s">
        <v>4530</v>
      </c>
      <c r="E3706" s="4" t="s">
        <v>6127</v>
      </c>
      <c r="F3706" s="4" t="s">
        <v>1984</v>
      </c>
      <c r="G3706" s="4" t="s">
        <v>1984</v>
      </c>
      <c r="H3706" s="4" t="s">
        <v>2100</v>
      </c>
      <c r="I3706" s="4" t="s">
        <v>2100</v>
      </c>
      <c r="J3706" s="4" t="s">
        <v>4532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 s="4"/>
    </row>
    <row r="3707" spans="1:20" x14ac:dyDescent="0.2">
      <c r="A3707" s="4" t="s">
        <v>4529</v>
      </c>
      <c r="B3707" s="4" t="s">
        <v>1984</v>
      </c>
      <c r="C3707" s="4" t="s">
        <v>4529</v>
      </c>
      <c r="D3707" s="4" t="s">
        <v>4530</v>
      </c>
      <c r="E3707" s="4" t="s">
        <v>6141</v>
      </c>
      <c r="F3707" s="4" t="s">
        <v>1984</v>
      </c>
      <c r="G3707" s="4" t="s">
        <v>1984</v>
      </c>
      <c r="H3707" s="4" t="s">
        <v>2100</v>
      </c>
      <c r="I3707" s="4" t="s">
        <v>2100</v>
      </c>
      <c r="J3707" s="4" t="s">
        <v>4532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 s="4"/>
    </row>
    <row r="3708" spans="1:20" x14ac:dyDescent="0.2">
      <c r="A3708" s="4" t="s">
        <v>4529</v>
      </c>
      <c r="B3708" s="4" t="s">
        <v>4567</v>
      </c>
      <c r="C3708" s="4" t="s">
        <v>4529</v>
      </c>
      <c r="D3708" s="4" t="s">
        <v>4530</v>
      </c>
      <c r="E3708" s="4" t="s">
        <v>6184</v>
      </c>
      <c r="F3708" s="4" t="s">
        <v>4567</v>
      </c>
      <c r="G3708" s="4" t="s">
        <v>2100</v>
      </c>
      <c r="H3708" s="4" t="s">
        <v>2100</v>
      </c>
      <c r="I3708" s="4" t="s">
        <v>2100</v>
      </c>
      <c r="J3708" s="4" t="s">
        <v>4532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 s="4"/>
    </row>
    <row r="3709" spans="1:20" x14ac:dyDescent="0.2">
      <c r="A3709" s="4" t="s">
        <v>5761</v>
      </c>
      <c r="B3709" s="4" t="s">
        <v>5762</v>
      </c>
      <c r="C3709" s="4" t="s">
        <v>2096</v>
      </c>
      <c r="D3709" s="4" t="s">
        <v>4764</v>
      </c>
      <c r="E3709" s="4" t="s">
        <v>6185</v>
      </c>
      <c r="F3709" s="4" t="s">
        <v>6186</v>
      </c>
      <c r="G3709" s="4" t="s">
        <v>5764</v>
      </c>
      <c r="H3709" s="4" t="s">
        <v>5314</v>
      </c>
      <c r="I3709" s="4" t="s">
        <v>6187</v>
      </c>
      <c r="J3709" s="4" t="s">
        <v>2153</v>
      </c>
      <c r="K3709">
        <v>9</v>
      </c>
      <c r="L3709">
        <v>2.7</v>
      </c>
      <c r="M3709">
        <v>19</v>
      </c>
      <c r="N3709">
        <v>140</v>
      </c>
      <c r="O3709">
        <v>106.29921259842521</v>
      </c>
      <c r="P3709">
        <v>0.74803149606299213</v>
      </c>
      <c r="Q3709">
        <v>5.5118110236220472</v>
      </c>
      <c r="R3709">
        <v>1233.3979999999999</v>
      </c>
      <c r="S3709">
        <v>7.182E-3</v>
      </c>
      <c r="T3709" s="4" t="s">
        <v>6188</v>
      </c>
    </row>
    <row r="3710" spans="1:20" x14ac:dyDescent="0.2">
      <c r="A3710" s="4" t="s">
        <v>5761</v>
      </c>
      <c r="B3710" s="4" t="s">
        <v>5762</v>
      </c>
      <c r="C3710" s="4" t="s">
        <v>2096</v>
      </c>
      <c r="D3710" s="4" t="s">
        <v>4764</v>
      </c>
      <c r="E3710" s="4" t="s">
        <v>6189</v>
      </c>
      <c r="F3710" s="4" t="s">
        <v>6186</v>
      </c>
      <c r="G3710" s="4" t="s">
        <v>5764</v>
      </c>
      <c r="H3710" s="4" t="s">
        <v>5314</v>
      </c>
      <c r="I3710" s="4" t="s">
        <v>6187</v>
      </c>
      <c r="J3710" s="4" t="s">
        <v>2153</v>
      </c>
      <c r="K3710">
        <v>10</v>
      </c>
      <c r="L3710">
        <v>3</v>
      </c>
      <c r="M3710">
        <v>19</v>
      </c>
      <c r="N3710">
        <v>140</v>
      </c>
      <c r="O3710">
        <v>118.11023622047244</v>
      </c>
      <c r="P3710">
        <v>0.74803149606299213</v>
      </c>
      <c r="Q3710">
        <v>5.5118110236220472</v>
      </c>
      <c r="R3710">
        <v>1233.3979999999999</v>
      </c>
      <c r="S3710">
        <v>7.980000000000001E-3</v>
      </c>
      <c r="T3710" s="4" t="s">
        <v>6188</v>
      </c>
    </row>
    <row r="3711" spans="1:20" x14ac:dyDescent="0.2">
      <c r="A3711" s="4" t="s">
        <v>5761</v>
      </c>
      <c r="B3711" s="4" t="s">
        <v>5762</v>
      </c>
      <c r="C3711" s="4" t="s">
        <v>2096</v>
      </c>
      <c r="D3711" s="4" t="s">
        <v>4764</v>
      </c>
      <c r="E3711" s="4" t="s">
        <v>6190</v>
      </c>
      <c r="F3711" s="4" t="s">
        <v>6186</v>
      </c>
      <c r="G3711" s="4" t="s">
        <v>5764</v>
      </c>
      <c r="H3711" s="4" t="s">
        <v>5314</v>
      </c>
      <c r="I3711" s="4" t="s">
        <v>6187</v>
      </c>
      <c r="J3711" s="4" t="s">
        <v>2153</v>
      </c>
      <c r="K3711">
        <v>11</v>
      </c>
      <c r="L3711">
        <v>3.3</v>
      </c>
      <c r="M3711">
        <v>19</v>
      </c>
      <c r="N3711">
        <v>140</v>
      </c>
      <c r="O3711">
        <v>129.92125984251967</v>
      </c>
      <c r="P3711">
        <v>0.74803149606299213</v>
      </c>
      <c r="Q3711">
        <v>5.5118110236220472</v>
      </c>
      <c r="R3711">
        <v>1233.3979999999999</v>
      </c>
      <c r="S3711">
        <v>8.7779999999999993E-3</v>
      </c>
      <c r="T3711" s="4" t="s">
        <v>6188</v>
      </c>
    </row>
    <row r="3712" spans="1:20" x14ac:dyDescent="0.2">
      <c r="A3712" s="4" t="s">
        <v>5761</v>
      </c>
      <c r="B3712" s="4" t="s">
        <v>5762</v>
      </c>
      <c r="C3712" s="4" t="s">
        <v>2096</v>
      </c>
      <c r="D3712" s="4" t="s">
        <v>4764</v>
      </c>
      <c r="E3712" s="4" t="s">
        <v>6191</v>
      </c>
      <c r="F3712" s="4" t="s">
        <v>6186</v>
      </c>
      <c r="G3712" s="4" t="s">
        <v>5764</v>
      </c>
      <c r="H3712" s="4" t="s">
        <v>5314</v>
      </c>
      <c r="I3712" s="4" t="s">
        <v>6187</v>
      </c>
      <c r="J3712" s="4" t="s">
        <v>2153</v>
      </c>
      <c r="K3712">
        <v>12</v>
      </c>
      <c r="L3712">
        <v>3.6</v>
      </c>
      <c r="M3712">
        <v>19</v>
      </c>
      <c r="N3712">
        <v>140</v>
      </c>
      <c r="O3712">
        <v>141.73228346456693</v>
      </c>
      <c r="P3712">
        <v>0.74803149606299213</v>
      </c>
      <c r="Q3712">
        <v>5.5118110236220472</v>
      </c>
      <c r="R3712">
        <v>1233.3979999999999</v>
      </c>
      <c r="S3712">
        <v>9.5760000000000012E-3</v>
      </c>
      <c r="T3712" s="4" t="s">
        <v>6188</v>
      </c>
    </row>
    <row r="3713" spans="1:20" x14ac:dyDescent="0.2">
      <c r="A3713" s="4" t="s">
        <v>5761</v>
      </c>
      <c r="B3713" s="4" t="s">
        <v>5762</v>
      </c>
      <c r="C3713" s="4" t="s">
        <v>2096</v>
      </c>
      <c r="D3713" s="4" t="s">
        <v>4764</v>
      </c>
      <c r="E3713" s="4" t="s">
        <v>6192</v>
      </c>
      <c r="F3713" s="4" t="s">
        <v>6186</v>
      </c>
      <c r="G3713" s="4" t="s">
        <v>5764</v>
      </c>
      <c r="H3713" s="4" t="s">
        <v>5314</v>
      </c>
      <c r="I3713" s="4" t="s">
        <v>6187</v>
      </c>
      <c r="J3713" s="4" t="s">
        <v>2153</v>
      </c>
      <c r="K3713">
        <v>13</v>
      </c>
      <c r="L3713">
        <v>3.9</v>
      </c>
      <c r="M3713">
        <v>19</v>
      </c>
      <c r="N3713">
        <v>140</v>
      </c>
      <c r="O3713">
        <v>153.54330708661416</v>
      </c>
      <c r="P3713">
        <v>0.74803149606299213</v>
      </c>
      <c r="Q3713">
        <v>5.5118110236220472</v>
      </c>
      <c r="R3713">
        <v>1233.3979999999999</v>
      </c>
      <c r="S3713">
        <v>1.0374000000000001E-2</v>
      </c>
      <c r="T3713" s="4" t="s">
        <v>6188</v>
      </c>
    </row>
    <row r="3714" spans="1:20" x14ac:dyDescent="0.2">
      <c r="A3714" s="4" t="s">
        <v>5761</v>
      </c>
      <c r="B3714" s="4" t="s">
        <v>5762</v>
      </c>
      <c r="C3714" s="4" t="s">
        <v>2096</v>
      </c>
      <c r="D3714" s="4" t="s">
        <v>4764</v>
      </c>
      <c r="E3714" s="4" t="s">
        <v>6193</v>
      </c>
      <c r="F3714" s="4" t="s">
        <v>6186</v>
      </c>
      <c r="G3714" s="4" t="s">
        <v>5764</v>
      </c>
      <c r="H3714" s="4" t="s">
        <v>5314</v>
      </c>
      <c r="I3714" s="4" t="s">
        <v>6187</v>
      </c>
      <c r="J3714" s="4" t="s">
        <v>2153</v>
      </c>
      <c r="K3714">
        <v>15</v>
      </c>
      <c r="L3714">
        <v>4.5</v>
      </c>
      <c r="M3714">
        <v>19</v>
      </c>
      <c r="N3714">
        <v>140</v>
      </c>
      <c r="O3714">
        <v>177.16535433070868</v>
      </c>
      <c r="P3714">
        <v>0.74803149606299213</v>
      </c>
      <c r="Q3714">
        <v>5.5118110236220472</v>
      </c>
      <c r="R3714">
        <v>1233.3979999999999</v>
      </c>
      <c r="S3714">
        <v>1.1970000000000001E-2</v>
      </c>
      <c r="T3714" s="4" t="s">
        <v>6188</v>
      </c>
    </row>
    <row r="3715" spans="1:20" x14ac:dyDescent="0.2">
      <c r="A3715" s="4" t="s">
        <v>5761</v>
      </c>
      <c r="B3715" s="4" t="s">
        <v>5762</v>
      </c>
      <c r="C3715" s="4" t="s">
        <v>2096</v>
      </c>
      <c r="D3715" s="4" t="s">
        <v>4764</v>
      </c>
      <c r="E3715" s="4" t="s">
        <v>6194</v>
      </c>
      <c r="F3715" s="4" t="s">
        <v>6186</v>
      </c>
      <c r="G3715" s="4" t="s">
        <v>5764</v>
      </c>
      <c r="H3715" s="4" t="s">
        <v>5314</v>
      </c>
      <c r="I3715" s="4" t="s">
        <v>6187</v>
      </c>
      <c r="J3715" s="4" t="s">
        <v>2153</v>
      </c>
      <c r="K3715">
        <v>16</v>
      </c>
      <c r="L3715">
        <v>4.8</v>
      </c>
      <c r="M3715">
        <v>19</v>
      </c>
      <c r="N3715">
        <v>140</v>
      </c>
      <c r="O3715">
        <v>188.97637795275591</v>
      </c>
      <c r="P3715">
        <v>0.74803149606299213</v>
      </c>
      <c r="Q3715">
        <v>5.5118110236220472</v>
      </c>
      <c r="R3715">
        <v>1233.3979999999999</v>
      </c>
      <c r="S3715">
        <v>1.2768E-2</v>
      </c>
      <c r="T3715" s="4" t="s">
        <v>6188</v>
      </c>
    </row>
    <row r="3716" spans="1:20" x14ac:dyDescent="0.2">
      <c r="A3716" s="4" t="s">
        <v>5761</v>
      </c>
      <c r="B3716" s="4" t="s">
        <v>5762</v>
      </c>
      <c r="C3716" s="4" t="s">
        <v>2096</v>
      </c>
      <c r="D3716" s="4" t="s">
        <v>4764</v>
      </c>
      <c r="E3716" s="4" t="s">
        <v>6195</v>
      </c>
      <c r="F3716" s="4" t="s">
        <v>6186</v>
      </c>
      <c r="G3716" s="4" t="s">
        <v>5764</v>
      </c>
      <c r="H3716" s="4" t="s">
        <v>5314</v>
      </c>
      <c r="I3716" s="4" t="s">
        <v>6187</v>
      </c>
      <c r="J3716" s="4" t="s">
        <v>2153</v>
      </c>
      <c r="K3716">
        <v>14</v>
      </c>
      <c r="L3716">
        <v>4.2</v>
      </c>
      <c r="M3716">
        <v>19</v>
      </c>
      <c r="N3716">
        <v>140</v>
      </c>
      <c r="O3716">
        <v>165.35433070866142</v>
      </c>
      <c r="P3716">
        <v>0.74803149606299213</v>
      </c>
      <c r="Q3716">
        <v>5.5118110236220472</v>
      </c>
      <c r="R3716">
        <v>1233.3979999999999</v>
      </c>
      <c r="S3716">
        <v>1.1172E-2</v>
      </c>
      <c r="T3716" s="4" t="s">
        <v>6188</v>
      </c>
    </row>
    <row r="3717" spans="1:20" x14ac:dyDescent="0.2">
      <c r="A3717" s="4" t="s">
        <v>5761</v>
      </c>
      <c r="B3717" s="4" t="s">
        <v>5762</v>
      </c>
      <c r="C3717" s="4" t="s">
        <v>2286</v>
      </c>
      <c r="D3717" s="4" t="s">
        <v>4764</v>
      </c>
      <c r="E3717" s="4" t="s">
        <v>6196</v>
      </c>
      <c r="F3717" s="4" t="s">
        <v>6186</v>
      </c>
      <c r="G3717" s="4" t="s">
        <v>5764</v>
      </c>
      <c r="H3717" s="4" t="s">
        <v>5314</v>
      </c>
      <c r="I3717" s="4" t="s">
        <v>6187</v>
      </c>
      <c r="J3717" s="4" t="s">
        <v>2153</v>
      </c>
      <c r="K3717">
        <v>6</v>
      </c>
      <c r="L3717">
        <v>1.8</v>
      </c>
      <c r="M3717">
        <v>19</v>
      </c>
      <c r="N3717">
        <v>140</v>
      </c>
      <c r="O3717">
        <v>70.866141732283467</v>
      </c>
      <c r="P3717">
        <v>0.74803149606299213</v>
      </c>
      <c r="Q3717">
        <v>5.5118110236220472</v>
      </c>
      <c r="R3717">
        <v>1233.3979999999999</v>
      </c>
      <c r="S3717">
        <v>4.7880000000000006E-3</v>
      </c>
      <c r="T3717" s="4" t="s">
        <v>6197</v>
      </c>
    </row>
    <row r="3718" spans="1:20" x14ac:dyDescent="0.2">
      <c r="A3718" s="4" t="s">
        <v>5761</v>
      </c>
      <c r="B3718" s="4" t="s">
        <v>5762</v>
      </c>
      <c r="C3718" s="4" t="s">
        <v>2286</v>
      </c>
      <c r="D3718" s="4" t="s">
        <v>4764</v>
      </c>
      <c r="E3718" s="4" t="s">
        <v>6198</v>
      </c>
      <c r="F3718" s="4" t="s">
        <v>6186</v>
      </c>
      <c r="G3718" s="4" t="s">
        <v>5764</v>
      </c>
      <c r="H3718" s="4" t="s">
        <v>5314</v>
      </c>
      <c r="I3718" s="4" t="s">
        <v>6187</v>
      </c>
      <c r="J3718" s="4" t="s">
        <v>2153</v>
      </c>
      <c r="K3718">
        <v>7</v>
      </c>
      <c r="L3718">
        <v>2.1</v>
      </c>
      <c r="M3718">
        <v>19</v>
      </c>
      <c r="N3718">
        <v>140</v>
      </c>
      <c r="O3718">
        <v>82.677165354330711</v>
      </c>
      <c r="P3718">
        <v>0.74803149606299213</v>
      </c>
      <c r="Q3718">
        <v>5.5118110236220472</v>
      </c>
      <c r="R3718">
        <v>1233.3979999999999</v>
      </c>
      <c r="S3718">
        <v>5.5859999999999998E-3</v>
      </c>
      <c r="T3718" s="4" t="s">
        <v>6197</v>
      </c>
    </row>
    <row r="3719" spans="1:20" x14ac:dyDescent="0.2">
      <c r="A3719" s="4" t="s">
        <v>5761</v>
      </c>
      <c r="B3719" s="4" t="s">
        <v>5762</v>
      </c>
      <c r="C3719" s="4" t="s">
        <v>2096</v>
      </c>
      <c r="D3719" s="4" t="s">
        <v>4764</v>
      </c>
      <c r="E3719" s="4" t="s">
        <v>6199</v>
      </c>
      <c r="F3719" s="4" t="s">
        <v>6186</v>
      </c>
      <c r="G3719" s="4" t="s">
        <v>5764</v>
      </c>
      <c r="H3719" s="4" t="s">
        <v>5314</v>
      </c>
      <c r="I3719" s="4" t="s">
        <v>6187</v>
      </c>
      <c r="J3719" s="4" t="s">
        <v>2153</v>
      </c>
      <c r="K3719">
        <v>8</v>
      </c>
      <c r="L3719">
        <v>2.4</v>
      </c>
      <c r="M3719">
        <v>19</v>
      </c>
      <c r="N3719">
        <v>140</v>
      </c>
      <c r="O3719">
        <v>94.488188976377955</v>
      </c>
      <c r="P3719">
        <v>0.74803149606299213</v>
      </c>
      <c r="Q3719">
        <v>5.5118110236220472</v>
      </c>
      <c r="R3719">
        <v>1233.3979999999999</v>
      </c>
      <c r="S3719">
        <v>6.3839999999999999E-3</v>
      </c>
      <c r="T3719" s="4" t="s">
        <v>6188</v>
      </c>
    </row>
    <row r="3720" spans="1:20" x14ac:dyDescent="0.2">
      <c r="A3720" s="4" t="s">
        <v>4529</v>
      </c>
      <c r="B3720" s="4" t="s">
        <v>4567</v>
      </c>
      <c r="C3720" s="4" t="s">
        <v>4529</v>
      </c>
      <c r="D3720" s="4" t="s">
        <v>4530</v>
      </c>
      <c r="E3720" s="4" t="s">
        <v>6200</v>
      </c>
      <c r="F3720" s="4" t="s">
        <v>4567</v>
      </c>
      <c r="G3720" s="4" t="s">
        <v>2100</v>
      </c>
      <c r="H3720" s="4" t="s">
        <v>2100</v>
      </c>
      <c r="I3720" s="4" t="s">
        <v>2100</v>
      </c>
      <c r="J3720" s="4" t="s">
        <v>4532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 s="4"/>
    </row>
    <row r="3721" spans="1:20" x14ac:dyDescent="0.2">
      <c r="A3721" s="4" t="s">
        <v>4529</v>
      </c>
      <c r="B3721" s="4" t="s">
        <v>4561</v>
      </c>
      <c r="C3721" s="4" t="s">
        <v>4529</v>
      </c>
      <c r="D3721" s="4" t="s">
        <v>4530</v>
      </c>
      <c r="E3721" s="4" t="s">
        <v>6201</v>
      </c>
      <c r="F3721" s="4" t="s">
        <v>4561</v>
      </c>
      <c r="G3721" s="4" t="s">
        <v>2100</v>
      </c>
      <c r="H3721" s="4" t="s">
        <v>2100</v>
      </c>
      <c r="I3721" s="4" t="s">
        <v>2100</v>
      </c>
      <c r="J3721" s="4" t="s">
        <v>4532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 s="4"/>
    </row>
    <row r="3722" spans="1:20" x14ac:dyDescent="0.2">
      <c r="A3722" s="4" t="s">
        <v>3026</v>
      </c>
      <c r="B3722" s="4" t="s">
        <v>6202</v>
      </c>
      <c r="C3722" s="4" t="s">
        <v>2286</v>
      </c>
      <c r="D3722" s="4" t="s">
        <v>2236</v>
      </c>
      <c r="E3722" s="4" t="s">
        <v>6203</v>
      </c>
      <c r="F3722" s="4" t="s">
        <v>6204</v>
      </c>
      <c r="G3722" s="4" t="s">
        <v>3026</v>
      </c>
      <c r="H3722" s="4" t="s">
        <v>6205</v>
      </c>
      <c r="I3722" s="4" t="s">
        <v>2100</v>
      </c>
      <c r="J3722" s="4" t="s">
        <v>6206</v>
      </c>
      <c r="K3722">
        <v>7</v>
      </c>
      <c r="L3722">
        <v>2.1335999999999999</v>
      </c>
      <c r="M3722">
        <v>25</v>
      </c>
      <c r="N3722">
        <v>145</v>
      </c>
      <c r="O3722">
        <v>84</v>
      </c>
      <c r="P3722">
        <v>0.98425196850393704</v>
      </c>
      <c r="Q3722">
        <v>5.7086614173228352</v>
      </c>
      <c r="R3722">
        <v>905.05899999999997</v>
      </c>
      <c r="S3722">
        <v>7.7343000000000004E-3</v>
      </c>
      <c r="T3722" s="4" t="s">
        <v>6207</v>
      </c>
    </row>
    <row r="3723" spans="1:20" x14ac:dyDescent="0.2">
      <c r="A3723" s="4" t="s">
        <v>3026</v>
      </c>
      <c r="B3723" s="4" t="s">
        <v>6202</v>
      </c>
      <c r="C3723" s="4" t="s">
        <v>2096</v>
      </c>
      <c r="D3723" s="4" t="s">
        <v>2236</v>
      </c>
      <c r="E3723" s="4" t="s">
        <v>6208</v>
      </c>
      <c r="F3723" s="4" t="s">
        <v>6204</v>
      </c>
      <c r="G3723" s="4" t="s">
        <v>3026</v>
      </c>
      <c r="H3723" s="4" t="s">
        <v>6205</v>
      </c>
      <c r="I3723" s="4" t="s">
        <v>2100</v>
      </c>
      <c r="J3723" s="4" t="s">
        <v>6206</v>
      </c>
      <c r="K3723">
        <v>8</v>
      </c>
      <c r="L3723">
        <v>2.4384000000000001</v>
      </c>
      <c r="M3723">
        <v>25</v>
      </c>
      <c r="N3723">
        <v>145</v>
      </c>
      <c r="O3723">
        <v>96.000000000000014</v>
      </c>
      <c r="P3723">
        <v>0.98425196850393704</v>
      </c>
      <c r="Q3723">
        <v>5.7086614173228352</v>
      </c>
      <c r="R3723">
        <v>905.05899999999997</v>
      </c>
      <c r="S3723">
        <v>8.8392000000000002E-3</v>
      </c>
      <c r="T3723" s="4" t="s">
        <v>6209</v>
      </c>
    </row>
    <row r="3724" spans="1:20" x14ac:dyDescent="0.2">
      <c r="A3724" s="4" t="s">
        <v>3026</v>
      </c>
      <c r="B3724" s="4" t="s">
        <v>6202</v>
      </c>
      <c r="C3724" s="4" t="s">
        <v>2096</v>
      </c>
      <c r="D3724" s="4" t="s">
        <v>2236</v>
      </c>
      <c r="E3724" s="4" t="s">
        <v>6210</v>
      </c>
      <c r="F3724" s="4" t="s">
        <v>6204</v>
      </c>
      <c r="G3724" s="4" t="s">
        <v>3026</v>
      </c>
      <c r="H3724" s="4" t="s">
        <v>6205</v>
      </c>
      <c r="I3724" s="4" t="s">
        <v>2100</v>
      </c>
      <c r="J3724" s="4" t="s">
        <v>6206</v>
      </c>
      <c r="K3724">
        <v>9</v>
      </c>
      <c r="L3724">
        <v>2.7431999999999999</v>
      </c>
      <c r="M3724">
        <v>25</v>
      </c>
      <c r="N3724">
        <v>145</v>
      </c>
      <c r="O3724">
        <v>108</v>
      </c>
      <c r="P3724">
        <v>0.98425196850393704</v>
      </c>
      <c r="Q3724">
        <v>5.7086614173228352</v>
      </c>
      <c r="R3724">
        <v>905.05899999999997</v>
      </c>
      <c r="S3724">
        <v>9.9441000000000009E-3</v>
      </c>
      <c r="T3724" s="4" t="s">
        <v>6209</v>
      </c>
    </row>
    <row r="3725" spans="1:20" x14ac:dyDescent="0.2">
      <c r="A3725" s="4" t="s">
        <v>3026</v>
      </c>
      <c r="B3725" s="4" t="s">
        <v>6202</v>
      </c>
      <c r="C3725" s="4" t="s">
        <v>2096</v>
      </c>
      <c r="D3725" s="4" t="s">
        <v>2236</v>
      </c>
      <c r="E3725" s="4" t="s">
        <v>6211</v>
      </c>
      <c r="F3725" s="4" t="s">
        <v>6204</v>
      </c>
      <c r="G3725" s="4" t="s">
        <v>3026</v>
      </c>
      <c r="H3725" s="4" t="s">
        <v>6205</v>
      </c>
      <c r="I3725" s="4" t="s">
        <v>2100</v>
      </c>
      <c r="J3725" s="4" t="s">
        <v>6206</v>
      </c>
      <c r="K3725">
        <v>10</v>
      </c>
      <c r="L3725">
        <v>3.048</v>
      </c>
      <c r="M3725">
        <v>25</v>
      </c>
      <c r="N3725">
        <v>145</v>
      </c>
      <c r="O3725">
        <v>120</v>
      </c>
      <c r="P3725">
        <v>0.98425196850393704</v>
      </c>
      <c r="Q3725">
        <v>5.7086614173228352</v>
      </c>
      <c r="R3725">
        <v>905.05899999999997</v>
      </c>
      <c r="S3725">
        <v>1.1049000000000002E-2</v>
      </c>
      <c r="T3725" s="4" t="s">
        <v>6209</v>
      </c>
    </row>
    <row r="3726" spans="1:20" x14ac:dyDescent="0.2">
      <c r="A3726" s="4" t="s">
        <v>3026</v>
      </c>
      <c r="B3726" s="4" t="s">
        <v>6202</v>
      </c>
      <c r="C3726" s="4" t="s">
        <v>2096</v>
      </c>
      <c r="D3726" s="4" t="s">
        <v>2236</v>
      </c>
      <c r="E3726" s="4" t="s">
        <v>6212</v>
      </c>
      <c r="F3726" s="4" t="s">
        <v>6204</v>
      </c>
      <c r="G3726" s="4" t="s">
        <v>3026</v>
      </c>
      <c r="H3726" s="4" t="s">
        <v>6205</v>
      </c>
      <c r="I3726" s="4" t="s">
        <v>2100</v>
      </c>
      <c r="J3726" s="4" t="s">
        <v>6206</v>
      </c>
      <c r="K3726">
        <v>11</v>
      </c>
      <c r="L3726">
        <v>3.3527999999999998</v>
      </c>
      <c r="M3726">
        <v>25</v>
      </c>
      <c r="N3726">
        <v>145</v>
      </c>
      <c r="O3726">
        <v>132</v>
      </c>
      <c r="P3726">
        <v>0.98425196850393704</v>
      </c>
      <c r="Q3726">
        <v>5.7086614173228352</v>
      </c>
      <c r="R3726">
        <v>905.05899999999997</v>
      </c>
      <c r="S3726">
        <v>1.2153899999999999E-2</v>
      </c>
      <c r="T3726" s="4" t="s">
        <v>6209</v>
      </c>
    </row>
    <row r="3727" spans="1:20" x14ac:dyDescent="0.2">
      <c r="A3727" s="4" t="s">
        <v>3026</v>
      </c>
      <c r="B3727" s="4" t="s">
        <v>6202</v>
      </c>
      <c r="C3727" s="4" t="s">
        <v>2096</v>
      </c>
      <c r="D3727" s="4" t="s">
        <v>2236</v>
      </c>
      <c r="E3727" s="4" t="s">
        <v>6213</v>
      </c>
      <c r="F3727" s="4" t="s">
        <v>6204</v>
      </c>
      <c r="G3727" s="4" t="s">
        <v>3026</v>
      </c>
      <c r="H3727" s="4" t="s">
        <v>6205</v>
      </c>
      <c r="I3727" s="4" t="s">
        <v>2100</v>
      </c>
      <c r="J3727" s="4" t="s">
        <v>6206</v>
      </c>
      <c r="K3727">
        <v>12</v>
      </c>
      <c r="L3727">
        <v>3.6576</v>
      </c>
      <c r="M3727">
        <v>25</v>
      </c>
      <c r="N3727">
        <v>145</v>
      </c>
      <c r="O3727">
        <v>144</v>
      </c>
      <c r="P3727">
        <v>0.98425196850393704</v>
      </c>
      <c r="Q3727">
        <v>5.7086614173228352</v>
      </c>
      <c r="R3727">
        <v>905.05899999999997</v>
      </c>
      <c r="S3727">
        <v>1.3258799999999999E-2</v>
      </c>
      <c r="T3727" s="4" t="s">
        <v>6209</v>
      </c>
    </row>
    <row r="3728" spans="1:20" x14ac:dyDescent="0.2">
      <c r="A3728" s="4" t="s">
        <v>3026</v>
      </c>
      <c r="B3728" s="4" t="s">
        <v>6202</v>
      </c>
      <c r="C3728" s="4" t="s">
        <v>2096</v>
      </c>
      <c r="D3728" s="4" t="s">
        <v>2236</v>
      </c>
      <c r="E3728" s="4" t="s">
        <v>6214</v>
      </c>
      <c r="F3728" s="4" t="s">
        <v>6204</v>
      </c>
      <c r="G3728" s="4" t="s">
        <v>3026</v>
      </c>
      <c r="H3728" s="4" t="s">
        <v>6205</v>
      </c>
      <c r="I3728" s="4" t="s">
        <v>2100</v>
      </c>
      <c r="J3728" s="4" t="s">
        <v>6206</v>
      </c>
      <c r="K3728">
        <v>13</v>
      </c>
      <c r="L3728">
        <v>3.9624000000000001</v>
      </c>
      <c r="M3728">
        <v>25</v>
      </c>
      <c r="N3728">
        <v>145</v>
      </c>
      <c r="O3728">
        <v>156</v>
      </c>
      <c r="P3728">
        <v>0.98425196850393704</v>
      </c>
      <c r="Q3728">
        <v>5.7086614173228352</v>
      </c>
      <c r="R3728">
        <v>905.05899999999997</v>
      </c>
      <c r="S3728">
        <v>1.4363700000000002E-2</v>
      </c>
      <c r="T3728" s="4" t="s">
        <v>6209</v>
      </c>
    </row>
    <row r="3729" spans="1:20" x14ac:dyDescent="0.2">
      <c r="A3729" s="4" t="s">
        <v>3026</v>
      </c>
      <c r="B3729" s="4" t="s">
        <v>6202</v>
      </c>
      <c r="C3729" s="4" t="s">
        <v>2096</v>
      </c>
      <c r="D3729" s="4" t="s">
        <v>2236</v>
      </c>
      <c r="E3729" s="4" t="s">
        <v>6215</v>
      </c>
      <c r="F3729" s="4" t="s">
        <v>6204</v>
      </c>
      <c r="G3729" s="4" t="s">
        <v>3026</v>
      </c>
      <c r="H3729" s="4" t="s">
        <v>6205</v>
      </c>
      <c r="I3729" s="4" t="s">
        <v>2100</v>
      </c>
      <c r="J3729" s="4" t="s">
        <v>6206</v>
      </c>
      <c r="K3729">
        <v>14</v>
      </c>
      <c r="L3729">
        <v>4.2671999999999999</v>
      </c>
      <c r="M3729">
        <v>25</v>
      </c>
      <c r="N3729">
        <v>145</v>
      </c>
      <c r="O3729">
        <v>168</v>
      </c>
      <c r="P3729">
        <v>0.98425196850393704</v>
      </c>
      <c r="Q3729">
        <v>5.7086614173228352</v>
      </c>
      <c r="R3729">
        <v>905.05899999999997</v>
      </c>
      <c r="S3729">
        <v>1.5468600000000001E-2</v>
      </c>
      <c r="T3729" s="4" t="s">
        <v>6209</v>
      </c>
    </row>
    <row r="3730" spans="1:20" x14ac:dyDescent="0.2">
      <c r="A3730" s="4" t="s">
        <v>3026</v>
      </c>
      <c r="B3730" s="4" t="s">
        <v>6202</v>
      </c>
      <c r="C3730" s="4" t="s">
        <v>2096</v>
      </c>
      <c r="D3730" s="4" t="s">
        <v>2236</v>
      </c>
      <c r="E3730" s="4" t="s">
        <v>6216</v>
      </c>
      <c r="F3730" s="4" t="s">
        <v>6204</v>
      </c>
      <c r="G3730" s="4" t="s">
        <v>3026</v>
      </c>
      <c r="H3730" s="4" t="s">
        <v>6205</v>
      </c>
      <c r="I3730" s="4" t="s">
        <v>2100</v>
      </c>
      <c r="J3730" s="4" t="s">
        <v>6206</v>
      </c>
      <c r="K3730">
        <v>15</v>
      </c>
      <c r="L3730">
        <v>4.5720000000000001</v>
      </c>
      <c r="M3730">
        <v>25</v>
      </c>
      <c r="N3730">
        <v>145</v>
      </c>
      <c r="O3730">
        <v>180</v>
      </c>
      <c r="P3730">
        <v>0.98425196850393704</v>
      </c>
      <c r="Q3730">
        <v>5.7086614173228352</v>
      </c>
      <c r="R3730">
        <v>905.05899999999997</v>
      </c>
      <c r="S3730">
        <v>1.6573499999999998E-2</v>
      </c>
      <c r="T3730" s="4" t="s">
        <v>6209</v>
      </c>
    </row>
    <row r="3731" spans="1:20" x14ac:dyDescent="0.2">
      <c r="A3731" s="4" t="s">
        <v>3108</v>
      </c>
      <c r="B3731" s="4" t="s">
        <v>6217</v>
      </c>
      <c r="C3731" s="4" t="s">
        <v>2096</v>
      </c>
      <c r="D3731" s="4" t="s">
        <v>2236</v>
      </c>
      <c r="E3731" s="4" t="s">
        <v>6218</v>
      </c>
      <c r="F3731" s="4" t="s">
        <v>6219</v>
      </c>
      <c r="G3731" s="4" t="s">
        <v>3108</v>
      </c>
      <c r="H3731" s="4" t="s">
        <v>2183</v>
      </c>
      <c r="I3731" s="4" t="s">
        <v>2100</v>
      </c>
      <c r="J3731" s="4" t="s">
        <v>6220</v>
      </c>
      <c r="K3731">
        <v>10</v>
      </c>
      <c r="L3731">
        <v>3.048</v>
      </c>
      <c r="M3731">
        <v>19.05</v>
      </c>
      <c r="N3731">
        <v>82.55</v>
      </c>
      <c r="O3731">
        <v>120</v>
      </c>
      <c r="P3731">
        <v>0.75000000000000011</v>
      </c>
      <c r="Q3731">
        <v>3.25</v>
      </c>
      <c r="R3731">
        <v>2086.2820000000002</v>
      </c>
      <c r="S3731">
        <v>4.7932162200000003E-3</v>
      </c>
      <c r="T3731" s="4" t="s">
        <v>6221</v>
      </c>
    </row>
    <row r="3732" spans="1:20" x14ac:dyDescent="0.2">
      <c r="A3732" s="4" t="s">
        <v>5866</v>
      </c>
      <c r="B3732" s="4" t="s">
        <v>5941</v>
      </c>
      <c r="C3732" s="4" t="s">
        <v>4461</v>
      </c>
      <c r="D3732" s="4" t="s">
        <v>5866</v>
      </c>
      <c r="E3732" s="4" t="s">
        <v>6222</v>
      </c>
      <c r="F3732" s="4" t="s">
        <v>6223</v>
      </c>
      <c r="G3732" s="4" t="s">
        <v>6224</v>
      </c>
      <c r="H3732" s="4" t="s">
        <v>5944</v>
      </c>
      <c r="I3732" s="4" t="s">
        <v>2100</v>
      </c>
      <c r="J3732" s="4" t="s">
        <v>4532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 s="4" t="s">
        <v>6225</v>
      </c>
    </row>
    <row r="3733" spans="1:20" x14ac:dyDescent="0.2">
      <c r="A3733" s="4" t="s">
        <v>5761</v>
      </c>
      <c r="B3733" s="4" t="s">
        <v>5762</v>
      </c>
      <c r="C3733" s="4" t="s">
        <v>2096</v>
      </c>
      <c r="D3733" s="4" t="s">
        <v>4764</v>
      </c>
      <c r="E3733" s="4" t="s">
        <v>2072</v>
      </c>
      <c r="F3733" s="4" t="s">
        <v>5808</v>
      </c>
      <c r="G3733" s="4" t="s">
        <v>5764</v>
      </c>
      <c r="H3733" s="4" t="s">
        <v>5314</v>
      </c>
      <c r="I3733" s="4" t="s">
        <v>2100</v>
      </c>
      <c r="J3733" s="4" t="s">
        <v>2153</v>
      </c>
      <c r="K3733">
        <v>19</v>
      </c>
      <c r="L3733">
        <v>5.7</v>
      </c>
      <c r="M3733">
        <v>19</v>
      </c>
      <c r="N3733">
        <v>140</v>
      </c>
      <c r="O3733">
        <v>224.40944881889766</v>
      </c>
      <c r="P3733">
        <v>0.74803149606299213</v>
      </c>
      <c r="Q3733">
        <v>5.5118110236220472</v>
      </c>
      <c r="R3733">
        <v>1233.3979999999999</v>
      </c>
      <c r="S3733">
        <v>1.5161999999999998E-2</v>
      </c>
      <c r="T3733" s="4" t="s">
        <v>5809</v>
      </c>
    </row>
    <row r="3734" spans="1:20" x14ac:dyDescent="0.2">
      <c r="A3734" s="4" t="s">
        <v>4529</v>
      </c>
      <c r="B3734" s="4" t="s">
        <v>1984</v>
      </c>
      <c r="C3734" s="4" t="s">
        <v>4529</v>
      </c>
      <c r="D3734" s="4" t="s">
        <v>4530</v>
      </c>
      <c r="E3734" s="4" t="s">
        <v>6142</v>
      </c>
      <c r="F3734" s="4" t="s">
        <v>1984</v>
      </c>
      <c r="G3734" s="4" t="s">
        <v>1984</v>
      </c>
      <c r="H3734" s="4" t="s">
        <v>2100</v>
      </c>
      <c r="I3734" s="4" t="s">
        <v>2100</v>
      </c>
      <c r="J3734" s="4" t="s">
        <v>4532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 s="4"/>
    </row>
    <row r="3735" spans="1:20" x14ac:dyDescent="0.2">
      <c r="A3735" s="4" t="s">
        <v>4529</v>
      </c>
      <c r="B3735" s="4" t="s">
        <v>4567</v>
      </c>
      <c r="C3735" s="4" t="s">
        <v>4529</v>
      </c>
      <c r="D3735" s="4" t="s">
        <v>4530</v>
      </c>
      <c r="E3735" s="4" t="s">
        <v>6240</v>
      </c>
      <c r="F3735" s="4" t="s">
        <v>4567</v>
      </c>
      <c r="G3735" s="4" t="s">
        <v>2100</v>
      </c>
      <c r="H3735" s="4" t="s">
        <v>2100</v>
      </c>
      <c r="I3735" s="4" t="s">
        <v>2100</v>
      </c>
      <c r="J3735" s="4" t="s">
        <v>4532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 s="4"/>
    </row>
    <row r="3736" spans="1:20" x14ac:dyDescent="0.2">
      <c r="A3736" s="4" t="s">
        <v>4529</v>
      </c>
      <c r="B3736" s="4" t="s">
        <v>4561</v>
      </c>
      <c r="C3736" s="4" t="s">
        <v>4529</v>
      </c>
      <c r="D3736" s="4" t="s">
        <v>4530</v>
      </c>
      <c r="E3736" s="4" t="s">
        <v>6241</v>
      </c>
      <c r="F3736" s="4" t="s">
        <v>4561</v>
      </c>
      <c r="G3736" s="4" t="s">
        <v>2100</v>
      </c>
      <c r="H3736" s="4" t="s">
        <v>2100</v>
      </c>
      <c r="I3736" s="4" t="s">
        <v>2100</v>
      </c>
      <c r="J3736" s="4" t="s">
        <v>4532</v>
      </c>
      <c r="K3736">
        <v>0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 s="4"/>
    </row>
    <row r="3737" spans="1:20" x14ac:dyDescent="0.2">
      <c r="A3737" s="4" t="s">
        <v>4529</v>
      </c>
      <c r="B3737" s="4" t="s">
        <v>4567</v>
      </c>
      <c r="C3737" s="4" t="s">
        <v>4529</v>
      </c>
      <c r="D3737" s="4" t="s">
        <v>4530</v>
      </c>
      <c r="E3737" s="4" t="s">
        <v>6242</v>
      </c>
      <c r="F3737" s="4" t="s">
        <v>4567</v>
      </c>
      <c r="G3737" s="4" t="s">
        <v>2100</v>
      </c>
      <c r="H3737" s="4" t="s">
        <v>2100</v>
      </c>
      <c r="I3737" s="4" t="s">
        <v>2100</v>
      </c>
      <c r="J3737" s="4" t="s">
        <v>4532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 s="4"/>
    </row>
    <row r="3738" spans="1:20" x14ac:dyDescent="0.2">
      <c r="A3738" s="4" t="s">
        <v>4529</v>
      </c>
      <c r="B3738" s="4" t="s">
        <v>4561</v>
      </c>
      <c r="C3738" s="4" t="s">
        <v>4529</v>
      </c>
      <c r="D3738" s="4" t="s">
        <v>4530</v>
      </c>
      <c r="E3738" s="4" t="s">
        <v>6243</v>
      </c>
      <c r="F3738" s="4" t="s">
        <v>4561</v>
      </c>
      <c r="G3738" s="4" t="s">
        <v>2100</v>
      </c>
      <c r="H3738" s="4" t="s">
        <v>2100</v>
      </c>
      <c r="I3738" s="4" t="s">
        <v>2100</v>
      </c>
      <c r="J3738" s="4" t="s">
        <v>4532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 s="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autoPageBreaks="0"/>
  </sheetPr>
  <dimension ref="A1:K1661"/>
  <sheetViews>
    <sheetView workbookViewId="0">
      <selection activeCell="O15" sqref="O15"/>
    </sheetView>
  </sheetViews>
  <sheetFormatPr defaultColWidth="6.85546875" defaultRowHeight="12.75" customHeight="1" x14ac:dyDescent="0.2"/>
  <cols>
    <col min="1" max="1" width="22.140625" bestFit="1" customWidth="1"/>
    <col min="2" max="2" width="6.7109375" customWidth="1"/>
    <col min="3" max="3" width="14.28515625" bestFit="1" customWidth="1"/>
    <col min="4" max="4" width="11.42578125" bestFit="1" customWidth="1"/>
    <col min="5" max="5" width="10.28515625" bestFit="1" customWidth="1"/>
    <col min="6" max="6" width="12.28515625" bestFit="1" customWidth="1"/>
    <col min="7" max="7" width="13.7109375" bestFit="1" customWidth="1"/>
    <col min="8" max="8" width="13.85546875" bestFit="1" customWidth="1"/>
    <col min="9" max="9" width="19.42578125" bestFit="1" customWidth="1"/>
    <col min="10" max="10" width="16.28515625" bestFit="1" customWidth="1"/>
    <col min="11" max="11" width="10.85546875" bestFit="1" customWidth="1"/>
  </cols>
  <sheetData>
    <row r="1" spans="1:11" ht="12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2.75" customHeight="1" x14ac:dyDescent="0.2">
      <c r="A2" s="1" t="s">
        <v>15</v>
      </c>
      <c r="B2" s="1" t="s">
        <v>16</v>
      </c>
      <c r="C2" s="2">
        <v>200</v>
      </c>
      <c r="D2" s="2">
        <v>0</v>
      </c>
      <c r="E2" s="2">
        <v>0</v>
      </c>
      <c r="F2" s="2">
        <v>0</v>
      </c>
      <c r="G2" s="2">
        <v>54.46</v>
      </c>
      <c r="H2" s="3">
        <v>10892</v>
      </c>
      <c r="I2" s="1" t="s">
        <v>17</v>
      </c>
      <c r="J2" s="1" t="s">
        <v>18</v>
      </c>
      <c r="K2" s="1" t="s">
        <v>19</v>
      </c>
    </row>
    <row r="3" spans="1:11" ht="12.75" customHeight="1" x14ac:dyDescent="0.2">
      <c r="A3" s="1" t="s">
        <v>20</v>
      </c>
      <c r="B3" s="1" t="s">
        <v>21</v>
      </c>
      <c r="C3" s="2">
        <v>200</v>
      </c>
      <c r="D3" s="2">
        <v>0</v>
      </c>
      <c r="E3" s="2">
        <v>0</v>
      </c>
      <c r="F3" s="2">
        <v>0</v>
      </c>
      <c r="G3" s="2">
        <v>54.46</v>
      </c>
      <c r="H3" s="3">
        <v>10892</v>
      </c>
      <c r="I3" s="1" t="s">
        <v>17</v>
      </c>
      <c r="J3" s="1" t="s">
        <v>18</v>
      </c>
      <c r="K3" s="1" t="s">
        <v>19</v>
      </c>
    </row>
    <row r="4" spans="1:11" ht="12.75" customHeight="1" x14ac:dyDescent="0.2">
      <c r="A4" s="1" t="s">
        <v>22</v>
      </c>
      <c r="B4" s="1" t="s">
        <v>23</v>
      </c>
      <c r="C4" s="2">
        <v>127</v>
      </c>
      <c r="D4" s="2">
        <v>1270</v>
      </c>
      <c r="E4" s="2">
        <v>0</v>
      </c>
      <c r="F4" s="2">
        <v>0</v>
      </c>
      <c r="G4" s="2">
        <v>13.0913</v>
      </c>
      <c r="H4" s="3">
        <v>1662.5951</v>
      </c>
      <c r="I4" s="1" t="s">
        <v>24</v>
      </c>
      <c r="J4" s="1" t="s">
        <v>25</v>
      </c>
      <c r="K4" s="1" t="s">
        <v>26</v>
      </c>
    </row>
    <row r="5" spans="1:11" ht="12.75" customHeight="1" x14ac:dyDescent="0.2">
      <c r="A5" s="1" t="s">
        <v>27</v>
      </c>
      <c r="B5" s="1" t="s">
        <v>28</v>
      </c>
      <c r="C5" s="2">
        <v>177</v>
      </c>
      <c r="D5" s="2">
        <v>1947</v>
      </c>
      <c r="E5" s="2">
        <v>0</v>
      </c>
      <c r="F5" s="2">
        <v>0</v>
      </c>
      <c r="G5" s="2">
        <v>14.4054</v>
      </c>
      <c r="H5" s="3">
        <v>2549.7557999999999</v>
      </c>
      <c r="I5" s="1" t="s">
        <v>24</v>
      </c>
      <c r="J5" s="1" t="s">
        <v>25</v>
      </c>
      <c r="K5" s="1" t="s">
        <v>26</v>
      </c>
    </row>
    <row r="6" spans="1:11" ht="12.75" customHeight="1" x14ac:dyDescent="0.2">
      <c r="A6" s="1" t="s">
        <v>29</v>
      </c>
      <c r="B6" s="1" t="s">
        <v>30</v>
      </c>
      <c r="C6" s="2">
        <v>538</v>
      </c>
      <c r="D6" s="2">
        <v>6456</v>
      </c>
      <c r="E6" s="2">
        <v>0</v>
      </c>
      <c r="F6" s="2">
        <v>0</v>
      </c>
      <c r="G6" s="2">
        <v>19.45</v>
      </c>
      <c r="H6" s="3">
        <v>10464.1</v>
      </c>
      <c r="I6" s="1" t="s">
        <v>24</v>
      </c>
      <c r="J6" s="1" t="s">
        <v>25</v>
      </c>
      <c r="K6" s="1" t="s">
        <v>26</v>
      </c>
    </row>
    <row r="7" spans="1:11" ht="12.75" customHeight="1" x14ac:dyDescent="0.2">
      <c r="A7" s="1" t="s">
        <v>31</v>
      </c>
      <c r="B7" s="1" t="s">
        <v>32</v>
      </c>
      <c r="C7" s="2">
        <v>283</v>
      </c>
      <c r="D7" s="2">
        <v>3679</v>
      </c>
      <c r="E7" s="2">
        <v>0</v>
      </c>
      <c r="F7" s="2">
        <v>0</v>
      </c>
      <c r="G7" s="2">
        <v>21.0669</v>
      </c>
      <c r="H7" s="3">
        <v>5961.9327000000003</v>
      </c>
      <c r="I7" s="1" t="s">
        <v>24</v>
      </c>
      <c r="J7" s="1" t="s">
        <v>25</v>
      </c>
      <c r="K7" s="1" t="s">
        <v>26</v>
      </c>
    </row>
    <row r="8" spans="1:11" ht="12.75" customHeight="1" x14ac:dyDescent="0.2">
      <c r="A8" s="1" t="s">
        <v>33</v>
      </c>
      <c r="B8" s="1" t="s">
        <v>34</v>
      </c>
      <c r="C8" s="2">
        <v>174</v>
      </c>
      <c r="D8" s="2">
        <v>2436</v>
      </c>
      <c r="E8" s="2">
        <v>0</v>
      </c>
      <c r="F8" s="2">
        <v>0</v>
      </c>
      <c r="G8" s="2">
        <v>22.690100000000001</v>
      </c>
      <c r="H8" s="3">
        <v>3948.0774000000001</v>
      </c>
      <c r="I8" s="1" t="s">
        <v>24</v>
      </c>
      <c r="J8" s="1" t="s">
        <v>25</v>
      </c>
      <c r="K8" s="1" t="s">
        <v>26</v>
      </c>
    </row>
    <row r="9" spans="1:11" ht="12.75" customHeight="1" x14ac:dyDescent="0.2">
      <c r="A9" s="1" t="s">
        <v>35</v>
      </c>
      <c r="B9" s="1" t="s">
        <v>36</v>
      </c>
      <c r="C9" s="2">
        <v>35</v>
      </c>
      <c r="D9" s="2">
        <v>525</v>
      </c>
      <c r="E9" s="2">
        <v>0</v>
      </c>
      <c r="F9" s="2">
        <v>0</v>
      </c>
      <c r="G9" s="2">
        <v>24.308299999999999</v>
      </c>
      <c r="H9" s="3">
        <v>850.79049999999995</v>
      </c>
      <c r="I9" s="1" t="s">
        <v>24</v>
      </c>
      <c r="J9" s="1" t="s">
        <v>25</v>
      </c>
      <c r="K9" s="1" t="s">
        <v>26</v>
      </c>
    </row>
    <row r="10" spans="1:11" ht="12.75" customHeight="1" x14ac:dyDescent="0.2">
      <c r="A10" s="1" t="s">
        <v>37</v>
      </c>
      <c r="B10" s="1" t="s">
        <v>38</v>
      </c>
      <c r="C10" s="2">
        <v>156</v>
      </c>
      <c r="D10" s="2">
        <v>2496</v>
      </c>
      <c r="E10" s="2">
        <v>0</v>
      </c>
      <c r="F10" s="2">
        <v>0</v>
      </c>
      <c r="G10" s="2">
        <v>25.930399999999999</v>
      </c>
      <c r="H10" s="3">
        <v>4045.1424000000002</v>
      </c>
      <c r="I10" s="1" t="s">
        <v>24</v>
      </c>
      <c r="J10" s="1" t="s">
        <v>25</v>
      </c>
      <c r="K10" s="1" t="s">
        <v>26</v>
      </c>
    </row>
    <row r="11" spans="1:11" ht="12.75" customHeight="1" x14ac:dyDescent="0.2">
      <c r="A11" s="1" t="s">
        <v>39</v>
      </c>
      <c r="B11" s="1" t="s">
        <v>40</v>
      </c>
      <c r="C11" s="2">
        <v>40</v>
      </c>
      <c r="D11" s="2">
        <v>680</v>
      </c>
      <c r="E11" s="2">
        <v>0</v>
      </c>
      <c r="F11" s="2">
        <v>0</v>
      </c>
      <c r="G11" s="2">
        <v>27.543099999999999</v>
      </c>
      <c r="H11" s="3">
        <v>1101.7239999999999</v>
      </c>
      <c r="I11" s="1" t="s">
        <v>24</v>
      </c>
      <c r="J11" s="1" t="s">
        <v>25</v>
      </c>
      <c r="K11" s="1" t="s">
        <v>26</v>
      </c>
    </row>
    <row r="12" spans="1:11" ht="12.75" customHeight="1" x14ac:dyDescent="0.2">
      <c r="A12" s="1" t="s">
        <v>41</v>
      </c>
      <c r="B12" s="1" t="s">
        <v>42</v>
      </c>
      <c r="C12" s="2">
        <v>105</v>
      </c>
      <c r="D12" s="2">
        <v>1890</v>
      </c>
      <c r="E12" s="2">
        <v>0</v>
      </c>
      <c r="F12" s="2">
        <v>0</v>
      </c>
      <c r="G12" s="2">
        <v>29.1752</v>
      </c>
      <c r="H12" s="3">
        <v>3063.3960000000002</v>
      </c>
      <c r="I12" s="1" t="s">
        <v>24</v>
      </c>
      <c r="J12" s="1" t="s">
        <v>25</v>
      </c>
      <c r="K12" s="1" t="s">
        <v>26</v>
      </c>
    </row>
    <row r="13" spans="1:11" ht="12.75" customHeight="1" x14ac:dyDescent="0.2">
      <c r="A13" s="1" t="s">
        <v>43</v>
      </c>
      <c r="B13" s="1" t="s">
        <v>44</v>
      </c>
      <c r="C13" s="2">
        <v>220</v>
      </c>
      <c r="D13" s="2">
        <v>4180</v>
      </c>
      <c r="E13" s="2">
        <v>0</v>
      </c>
      <c r="F13" s="2">
        <v>0</v>
      </c>
      <c r="G13" s="2">
        <v>30.796299999999999</v>
      </c>
      <c r="H13" s="3">
        <v>6775.1859999999997</v>
      </c>
      <c r="I13" s="1" t="s">
        <v>24</v>
      </c>
      <c r="J13" s="1" t="s">
        <v>25</v>
      </c>
      <c r="K13" s="1" t="s">
        <v>26</v>
      </c>
    </row>
    <row r="14" spans="1:11" ht="12.75" customHeight="1" x14ac:dyDescent="0.2">
      <c r="A14" s="1" t="s">
        <v>45</v>
      </c>
      <c r="B14" s="1" t="s">
        <v>46</v>
      </c>
      <c r="C14" s="2">
        <v>45</v>
      </c>
      <c r="D14" s="2">
        <v>900</v>
      </c>
      <c r="E14" s="2">
        <v>0</v>
      </c>
      <c r="F14" s="2">
        <v>0</v>
      </c>
      <c r="G14" s="2">
        <v>32.419800000000002</v>
      </c>
      <c r="H14" s="3">
        <v>1458.8910000000001</v>
      </c>
      <c r="I14" s="1" t="s">
        <v>24</v>
      </c>
      <c r="J14" s="1" t="s">
        <v>25</v>
      </c>
      <c r="K14" s="1" t="s">
        <v>26</v>
      </c>
    </row>
    <row r="15" spans="1:11" ht="12.75" customHeight="1" x14ac:dyDescent="0.2">
      <c r="A15" s="1" t="s">
        <v>47</v>
      </c>
      <c r="B15" s="1" t="s">
        <v>48</v>
      </c>
      <c r="C15" s="2">
        <v>169</v>
      </c>
      <c r="D15" s="2">
        <v>3549</v>
      </c>
      <c r="E15" s="2">
        <v>0</v>
      </c>
      <c r="F15" s="2">
        <v>0</v>
      </c>
      <c r="G15" s="2">
        <v>34.042299999999997</v>
      </c>
      <c r="H15" s="3">
        <v>5753.1486999999997</v>
      </c>
      <c r="I15" s="1" t="s">
        <v>24</v>
      </c>
      <c r="J15" s="1" t="s">
        <v>25</v>
      </c>
      <c r="K15" s="1" t="s">
        <v>26</v>
      </c>
    </row>
    <row r="16" spans="1:11" ht="12.75" customHeight="1" x14ac:dyDescent="0.2">
      <c r="A16" s="1" t="s">
        <v>49</v>
      </c>
      <c r="B16" s="1" t="s">
        <v>50</v>
      </c>
      <c r="C16" s="2">
        <v>206</v>
      </c>
      <c r="D16" s="2">
        <v>4532</v>
      </c>
      <c r="E16" s="2">
        <v>0</v>
      </c>
      <c r="F16" s="2">
        <v>0</v>
      </c>
      <c r="G16" s="2">
        <v>35.658900000000003</v>
      </c>
      <c r="H16" s="3">
        <v>7345.7334000000001</v>
      </c>
      <c r="I16" s="1" t="s">
        <v>24</v>
      </c>
      <c r="J16" s="1" t="s">
        <v>25</v>
      </c>
      <c r="K16" s="1" t="s">
        <v>26</v>
      </c>
    </row>
    <row r="17" spans="1:11" ht="12.75" customHeight="1" x14ac:dyDescent="0.2">
      <c r="A17" s="1" t="s">
        <v>51</v>
      </c>
      <c r="B17" s="1" t="s">
        <v>52</v>
      </c>
      <c r="C17" s="2">
        <v>40</v>
      </c>
      <c r="D17" s="2">
        <v>400</v>
      </c>
      <c r="E17" s="2">
        <v>0</v>
      </c>
      <c r="F17" s="2">
        <v>0</v>
      </c>
      <c r="G17" s="2">
        <v>17.462</v>
      </c>
      <c r="H17" s="3">
        <v>698.48</v>
      </c>
      <c r="I17" s="1" t="s">
        <v>24</v>
      </c>
      <c r="J17" s="1" t="s">
        <v>25</v>
      </c>
      <c r="K17" s="1" t="s">
        <v>26</v>
      </c>
    </row>
    <row r="18" spans="1:11" ht="12.75" customHeight="1" x14ac:dyDescent="0.2">
      <c r="A18" s="1" t="s">
        <v>53</v>
      </c>
      <c r="B18" s="1" t="s">
        <v>54</v>
      </c>
      <c r="C18" s="2">
        <v>64</v>
      </c>
      <c r="D18" s="2">
        <v>704</v>
      </c>
      <c r="E18" s="2">
        <v>0</v>
      </c>
      <c r="F18" s="2">
        <v>0</v>
      </c>
      <c r="G18" s="2">
        <v>19.203199999999999</v>
      </c>
      <c r="H18" s="3">
        <v>1229.0047999999999</v>
      </c>
      <c r="I18" s="1" t="s">
        <v>24</v>
      </c>
      <c r="J18" s="1" t="s">
        <v>25</v>
      </c>
      <c r="K18" s="1" t="s">
        <v>26</v>
      </c>
    </row>
    <row r="19" spans="1:11" ht="12.75" customHeight="1" x14ac:dyDescent="0.2">
      <c r="A19" s="1" t="s">
        <v>55</v>
      </c>
      <c r="B19" s="1" t="s">
        <v>56</v>
      </c>
      <c r="C19" s="2">
        <v>135</v>
      </c>
      <c r="D19" s="2">
        <v>1620</v>
      </c>
      <c r="E19" s="2">
        <v>0</v>
      </c>
      <c r="F19" s="2">
        <v>0</v>
      </c>
      <c r="G19" s="2">
        <v>25.9345</v>
      </c>
      <c r="H19" s="3">
        <v>3501.1574999999998</v>
      </c>
      <c r="I19" s="1" t="s">
        <v>24</v>
      </c>
      <c r="J19" s="1" t="s">
        <v>25</v>
      </c>
      <c r="K19" s="1" t="s">
        <v>26</v>
      </c>
    </row>
    <row r="20" spans="1:11" ht="12.75" customHeight="1" x14ac:dyDescent="0.2">
      <c r="A20" s="1" t="s">
        <v>57</v>
      </c>
      <c r="B20" s="1" t="s">
        <v>58</v>
      </c>
      <c r="C20" s="2">
        <v>167</v>
      </c>
      <c r="D20" s="2">
        <v>2171</v>
      </c>
      <c r="E20" s="2">
        <v>0</v>
      </c>
      <c r="F20" s="2">
        <v>0</v>
      </c>
      <c r="G20" s="2">
        <v>28.099599999999999</v>
      </c>
      <c r="H20" s="3">
        <v>4692.6332000000002</v>
      </c>
      <c r="I20" s="1" t="s">
        <v>24</v>
      </c>
      <c r="J20" s="1" t="s">
        <v>25</v>
      </c>
      <c r="K20" s="1" t="s">
        <v>26</v>
      </c>
    </row>
    <row r="21" spans="1:11" ht="12.75" customHeight="1" x14ac:dyDescent="0.2">
      <c r="A21" s="1" t="s">
        <v>59</v>
      </c>
      <c r="B21" s="1" t="s">
        <v>60</v>
      </c>
      <c r="C21" s="2">
        <v>46</v>
      </c>
      <c r="D21" s="2">
        <v>644</v>
      </c>
      <c r="E21" s="2">
        <v>0</v>
      </c>
      <c r="F21" s="2">
        <v>0</v>
      </c>
      <c r="G21" s="2">
        <v>30.261700000000001</v>
      </c>
      <c r="H21" s="3">
        <v>1392.0382</v>
      </c>
      <c r="I21" s="1" t="s">
        <v>24</v>
      </c>
      <c r="J21" s="1" t="s">
        <v>25</v>
      </c>
      <c r="K21" s="1" t="s">
        <v>26</v>
      </c>
    </row>
    <row r="22" spans="1:11" ht="12.75" customHeight="1" x14ac:dyDescent="0.2">
      <c r="A22" s="1" t="s">
        <v>61</v>
      </c>
      <c r="B22" s="1" t="s">
        <v>62</v>
      </c>
      <c r="C22" s="2">
        <v>43</v>
      </c>
      <c r="D22" s="2">
        <v>645</v>
      </c>
      <c r="E22" s="2">
        <v>0</v>
      </c>
      <c r="F22" s="2">
        <v>0</v>
      </c>
      <c r="G22" s="2">
        <v>32.415500000000002</v>
      </c>
      <c r="H22" s="3">
        <v>1393.8665000000001</v>
      </c>
      <c r="I22" s="1" t="s">
        <v>24</v>
      </c>
      <c r="J22" s="1" t="s">
        <v>25</v>
      </c>
      <c r="K22" s="1" t="s">
        <v>26</v>
      </c>
    </row>
    <row r="23" spans="1:11" ht="12.75" customHeight="1" x14ac:dyDescent="0.2">
      <c r="A23" s="1" t="s">
        <v>63</v>
      </c>
      <c r="B23" s="1" t="s">
        <v>64</v>
      </c>
      <c r="C23" s="2">
        <v>42</v>
      </c>
      <c r="D23" s="2">
        <v>672</v>
      </c>
      <c r="E23" s="2">
        <v>0</v>
      </c>
      <c r="F23" s="2">
        <v>0</v>
      </c>
      <c r="G23" s="2">
        <v>34.582900000000002</v>
      </c>
      <c r="H23" s="3">
        <v>1452.4818</v>
      </c>
      <c r="I23" s="1" t="s">
        <v>24</v>
      </c>
      <c r="J23" s="1" t="s">
        <v>25</v>
      </c>
      <c r="K23" s="1" t="s">
        <v>26</v>
      </c>
    </row>
    <row r="24" spans="1:11" ht="12.75" customHeight="1" x14ac:dyDescent="0.2">
      <c r="A24" s="1" t="s">
        <v>65</v>
      </c>
      <c r="B24" s="1" t="s">
        <v>66</v>
      </c>
      <c r="C24" s="2">
        <v>30</v>
      </c>
      <c r="D24" s="2">
        <v>510</v>
      </c>
      <c r="E24" s="2">
        <v>0</v>
      </c>
      <c r="F24" s="2">
        <v>0</v>
      </c>
      <c r="G24" s="2">
        <v>36.7241</v>
      </c>
      <c r="H24" s="3">
        <v>1101.723</v>
      </c>
      <c r="I24" s="1" t="s">
        <v>24</v>
      </c>
      <c r="J24" s="1" t="s">
        <v>25</v>
      </c>
      <c r="K24" s="1" t="s">
        <v>26</v>
      </c>
    </row>
    <row r="25" spans="1:11" ht="12.75" customHeight="1" x14ac:dyDescent="0.2">
      <c r="A25" s="1" t="s">
        <v>67</v>
      </c>
      <c r="B25" s="1" t="s">
        <v>68</v>
      </c>
      <c r="C25" s="2">
        <v>49</v>
      </c>
      <c r="D25" s="2">
        <v>882</v>
      </c>
      <c r="E25" s="2">
        <v>0</v>
      </c>
      <c r="F25" s="2">
        <v>0</v>
      </c>
      <c r="G25" s="2">
        <v>38.893999999999998</v>
      </c>
      <c r="H25" s="3">
        <v>1905.806</v>
      </c>
      <c r="I25" s="1" t="s">
        <v>24</v>
      </c>
      <c r="J25" s="1" t="s">
        <v>25</v>
      </c>
      <c r="K25" s="1" t="s">
        <v>26</v>
      </c>
    </row>
    <row r="26" spans="1:11" ht="12.75" customHeight="1" x14ac:dyDescent="0.2">
      <c r="A26" s="1" t="s">
        <v>69</v>
      </c>
      <c r="B26" s="1" t="s">
        <v>70</v>
      </c>
      <c r="C26" s="2">
        <v>104</v>
      </c>
      <c r="D26" s="2">
        <v>1976</v>
      </c>
      <c r="E26" s="2">
        <v>0</v>
      </c>
      <c r="F26" s="2">
        <v>0</v>
      </c>
      <c r="G26" s="2">
        <v>41.061900000000001</v>
      </c>
      <c r="H26" s="3">
        <v>4270.4376000000002</v>
      </c>
      <c r="I26" s="1" t="s">
        <v>24</v>
      </c>
      <c r="J26" s="1" t="s">
        <v>25</v>
      </c>
      <c r="K26" s="1" t="s">
        <v>26</v>
      </c>
    </row>
    <row r="27" spans="1:11" ht="12.75" customHeight="1" x14ac:dyDescent="0.2">
      <c r="A27" s="1" t="s">
        <v>71</v>
      </c>
      <c r="B27" s="1" t="s">
        <v>72</v>
      </c>
      <c r="C27" s="2">
        <v>52</v>
      </c>
      <c r="D27" s="2">
        <v>1040</v>
      </c>
      <c r="E27" s="2">
        <v>0</v>
      </c>
      <c r="F27" s="2">
        <v>0</v>
      </c>
      <c r="G27" s="2">
        <v>43.215000000000003</v>
      </c>
      <c r="H27" s="3">
        <v>2247.1799999999998</v>
      </c>
      <c r="I27" s="1" t="s">
        <v>24</v>
      </c>
      <c r="J27" s="1" t="s">
        <v>25</v>
      </c>
      <c r="K27" s="1" t="s">
        <v>26</v>
      </c>
    </row>
    <row r="28" spans="1:11" ht="12.75" customHeight="1" x14ac:dyDescent="0.2">
      <c r="A28" s="1" t="s">
        <v>73</v>
      </c>
      <c r="B28" s="1" t="s">
        <v>74</v>
      </c>
      <c r="C28" s="2">
        <v>12</v>
      </c>
      <c r="D28" s="2">
        <v>252</v>
      </c>
      <c r="E28" s="2">
        <v>0</v>
      </c>
      <c r="F28" s="2">
        <v>0</v>
      </c>
      <c r="G28" s="2">
        <v>45.409100000000002</v>
      </c>
      <c r="H28" s="3">
        <v>544.90920000000006</v>
      </c>
      <c r="I28" s="1" t="s">
        <v>24</v>
      </c>
      <c r="J28" s="1" t="s">
        <v>25</v>
      </c>
      <c r="K28" s="1" t="s">
        <v>26</v>
      </c>
    </row>
    <row r="29" spans="1:11" ht="12.75" customHeight="1" x14ac:dyDescent="0.2">
      <c r="A29" s="1" t="s">
        <v>75</v>
      </c>
      <c r="B29" s="1" t="s">
        <v>76</v>
      </c>
      <c r="C29" s="2">
        <v>5</v>
      </c>
      <c r="D29" s="2">
        <v>110</v>
      </c>
      <c r="E29" s="2">
        <v>0</v>
      </c>
      <c r="F29" s="2">
        <v>0</v>
      </c>
      <c r="G29" s="2">
        <v>47.622300000000003</v>
      </c>
      <c r="H29" s="3">
        <v>238.11150000000001</v>
      </c>
      <c r="I29" s="1" t="s">
        <v>24</v>
      </c>
      <c r="J29" s="1" t="s">
        <v>25</v>
      </c>
      <c r="K29" s="1" t="s">
        <v>26</v>
      </c>
    </row>
    <row r="30" spans="1:11" ht="12.75" customHeight="1" x14ac:dyDescent="0.2">
      <c r="A30" s="1" t="s">
        <v>77</v>
      </c>
      <c r="B30" s="1" t="s">
        <v>78</v>
      </c>
      <c r="C30" s="2">
        <v>1</v>
      </c>
      <c r="D30" s="2">
        <v>9</v>
      </c>
      <c r="E30" s="2">
        <v>0</v>
      </c>
      <c r="F30" s="2">
        <v>0</v>
      </c>
      <c r="G30" s="2">
        <v>15.5382</v>
      </c>
      <c r="H30" s="3">
        <v>15.5382</v>
      </c>
      <c r="I30" s="1" t="s">
        <v>24</v>
      </c>
      <c r="J30" s="1" t="s">
        <v>25</v>
      </c>
      <c r="K30" s="1" t="s">
        <v>26</v>
      </c>
    </row>
    <row r="31" spans="1:11" ht="12.75" customHeight="1" x14ac:dyDescent="0.2">
      <c r="A31" s="1" t="s">
        <v>79</v>
      </c>
      <c r="B31" s="1" t="s">
        <v>80</v>
      </c>
      <c r="C31" s="2">
        <v>61</v>
      </c>
      <c r="D31" s="2">
        <v>610</v>
      </c>
      <c r="E31" s="2">
        <v>0</v>
      </c>
      <c r="F31" s="2">
        <v>0</v>
      </c>
      <c r="G31" s="2">
        <v>17.454799999999999</v>
      </c>
      <c r="H31" s="3">
        <v>1064.7428</v>
      </c>
      <c r="I31" s="1" t="s">
        <v>24</v>
      </c>
      <c r="J31" s="1" t="s">
        <v>25</v>
      </c>
      <c r="K31" s="1" t="s">
        <v>26</v>
      </c>
    </row>
    <row r="32" spans="1:11" ht="12.75" customHeight="1" x14ac:dyDescent="0.2">
      <c r="A32" s="1" t="s">
        <v>81</v>
      </c>
      <c r="B32" s="1" t="s">
        <v>82</v>
      </c>
      <c r="C32" s="2">
        <v>376</v>
      </c>
      <c r="D32" s="2">
        <v>4136</v>
      </c>
      <c r="E32" s="2">
        <v>0</v>
      </c>
      <c r="F32" s="2">
        <v>0</v>
      </c>
      <c r="G32" s="2">
        <v>19.202400000000001</v>
      </c>
      <c r="H32" s="3">
        <v>7220.1023999999998</v>
      </c>
      <c r="I32" s="1" t="s">
        <v>24</v>
      </c>
      <c r="J32" s="1" t="s">
        <v>25</v>
      </c>
      <c r="K32" s="1" t="s">
        <v>26</v>
      </c>
    </row>
    <row r="33" spans="1:11" ht="12.75" customHeight="1" x14ac:dyDescent="0.2">
      <c r="A33" s="1" t="s">
        <v>83</v>
      </c>
      <c r="B33" s="1" t="s">
        <v>84</v>
      </c>
      <c r="C33" s="2">
        <v>465</v>
      </c>
      <c r="D33" s="2">
        <v>5580</v>
      </c>
      <c r="E33" s="2">
        <v>0</v>
      </c>
      <c r="F33" s="2">
        <v>0</v>
      </c>
      <c r="G33" s="2">
        <v>25.930299999999999</v>
      </c>
      <c r="H33" s="3">
        <v>12057.5895</v>
      </c>
      <c r="I33" s="1" t="s">
        <v>24</v>
      </c>
      <c r="J33" s="1" t="s">
        <v>25</v>
      </c>
      <c r="K33" s="1" t="s">
        <v>26</v>
      </c>
    </row>
    <row r="34" spans="1:11" ht="12.75" customHeight="1" x14ac:dyDescent="0.2">
      <c r="A34" s="1" t="s">
        <v>85</v>
      </c>
      <c r="B34" s="1" t="s">
        <v>86</v>
      </c>
      <c r="C34" s="2">
        <v>521</v>
      </c>
      <c r="D34" s="2">
        <v>6773</v>
      </c>
      <c r="E34" s="2">
        <v>0</v>
      </c>
      <c r="F34" s="2">
        <v>0</v>
      </c>
      <c r="G34" s="2">
        <v>28.0946</v>
      </c>
      <c r="H34" s="3">
        <v>14637.286599999999</v>
      </c>
      <c r="I34" s="1" t="s">
        <v>24</v>
      </c>
      <c r="J34" s="1" t="s">
        <v>25</v>
      </c>
      <c r="K34" s="1" t="s">
        <v>26</v>
      </c>
    </row>
    <row r="35" spans="1:11" ht="12.75" customHeight="1" x14ac:dyDescent="0.2">
      <c r="A35" s="1" t="s">
        <v>87</v>
      </c>
      <c r="B35" s="1" t="s">
        <v>88</v>
      </c>
      <c r="C35" s="2">
        <v>452</v>
      </c>
      <c r="D35" s="2">
        <v>6328</v>
      </c>
      <c r="E35" s="2">
        <v>0</v>
      </c>
      <c r="F35" s="2">
        <v>0</v>
      </c>
      <c r="G35" s="2">
        <v>30.254300000000001</v>
      </c>
      <c r="H35" s="3">
        <v>13674.943600000001</v>
      </c>
      <c r="I35" s="1" t="s">
        <v>24</v>
      </c>
      <c r="J35" s="1" t="s">
        <v>25</v>
      </c>
      <c r="K35" s="1" t="s">
        <v>26</v>
      </c>
    </row>
    <row r="36" spans="1:11" ht="12.75" customHeight="1" x14ac:dyDescent="0.2">
      <c r="A36" s="1" t="s">
        <v>89</v>
      </c>
      <c r="B36" s="1" t="s">
        <v>90</v>
      </c>
      <c r="C36" s="2">
        <v>305</v>
      </c>
      <c r="D36" s="2">
        <v>4575</v>
      </c>
      <c r="E36" s="2">
        <v>0</v>
      </c>
      <c r="F36" s="2">
        <v>0</v>
      </c>
      <c r="G36" s="2">
        <v>32.422800000000002</v>
      </c>
      <c r="H36" s="3">
        <v>9888.9539999999997</v>
      </c>
      <c r="I36" s="1" t="s">
        <v>24</v>
      </c>
      <c r="J36" s="1" t="s">
        <v>25</v>
      </c>
      <c r="K36" s="1" t="s">
        <v>26</v>
      </c>
    </row>
    <row r="37" spans="1:11" ht="12.75" customHeight="1" x14ac:dyDescent="0.2">
      <c r="A37" s="1" t="s">
        <v>91</v>
      </c>
      <c r="B37" s="1" t="s">
        <v>92</v>
      </c>
      <c r="C37" s="2">
        <v>347</v>
      </c>
      <c r="D37" s="2">
        <v>5552</v>
      </c>
      <c r="E37" s="2">
        <v>0</v>
      </c>
      <c r="F37" s="2">
        <v>0</v>
      </c>
      <c r="G37" s="2">
        <v>34.576599999999999</v>
      </c>
      <c r="H37" s="3">
        <v>11998.0802</v>
      </c>
      <c r="I37" s="1" t="s">
        <v>24</v>
      </c>
      <c r="J37" s="1" t="s">
        <v>25</v>
      </c>
      <c r="K37" s="1" t="s">
        <v>26</v>
      </c>
    </row>
    <row r="38" spans="1:11" ht="12.75" customHeight="1" x14ac:dyDescent="0.2">
      <c r="A38" s="1" t="s">
        <v>93</v>
      </c>
      <c r="B38" s="1" t="s">
        <v>94</v>
      </c>
      <c r="C38" s="2">
        <v>167</v>
      </c>
      <c r="D38" s="2">
        <v>2839</v>
      </c>
      <c r="E38" s="2">
        <v>0</v>
      </c>
      <c r="F38" s="2">
        <v>0</v>
      </c>
      <c r="G38" s="2">
        <v>36.736699999999999</v>
      </c>
      <c r="H38" s="3">
        <v>6135.0289000000002</v>
      </c>
      <c r="I38" s="1" t="s">
        <v>24</v>
      </c>
      <c r="J38" s="1" t="s">
        <v>25</v>
      </c>
      <c r="K38" s="1" t="s">
        <v>26</v>
      </c>
    </row>
    <row r="39" spans="1:11" ht="12.75" customHeight="1" x14ac:dyDescent="0.2">
      <c r="A39" s="1" t="s">
        <v>95</v>
      </c>
      <c r="B39" s="1" t="s">
        <v>96</v>
      </c>
      <c r="C39" s="2">
        <v>365</v>
      </c>
      <c r="D39" s="2">
        <v>6570</v>
      </c>
      <c r="E39" s="2">
        <v>0</v>
      </c>
      <c r="F39" s="2">
        <v>0</v>
      </c>
      <c r="G39" s="2">
        <v>38.903300000000002</v>
      </c>
      <c r="H39" s="3">
        <v>14199.7045</v>
      </c>
      <c r="I39" s="1" t="s">
        <v>24</v>
      </c>
      <c r="J39" s="1" t="s">
        <v>25</v>
      </c>
      <c r="K39" s="1" t="s">
        <v>26</v>
      </c>
    </row>
    <row r="40" spans="1:11" ht="12.75" customHeight="1" x14ac:dyDescent="0.2">
      <c r="A40" s="1" t="s">
        <v>97</v>
      </c>
      <c r="B40" s="1" t="s">
        <v>98</v>
      </c>
      <c r="C40" s="2">
        <v>305</v>
      </c>
      <c r="D40" s="2">
        <v>5795</v>
      </c>
      <c r="E40" s="2">
        <v>0</v>
      </c>
      <c r="F40" s="2">
        <v>0</v>
      </c>
      <c r="G40" s="2">
        <v>41.055500000000002</v>
      </c>
      <c r="H40" s="3">
        <v>12521.9275</v>
      </c>
      <c r="I40" s="1" t="s">
        <v>24</v>
      </c>
      <c r="J40" s="1" t="s">
        <v>25</v>
      </c>
      <c r="K40" s="1" t="s">
        <v>26</v>
      </c>
    </row>
    <row r="41" spans="1:11" ht="12.75" customHeight="1" x14ac:dyDescent="0.2">
      <c r="A41" s="1" t="s">
        <v>99</v>
      </c>
      <c r="B41" s="1" t="s">
        <v>100</v>
      </c>
      <c r="C41" s="2">
        <v>457</v>
      </c>
      <c r="D41" s="2">
        <v>9140</v>
      </c>
      <c r="E41" s="2">
        <v>0</v>
      </c>
      <c r="F41" s="2">
        <v>0</v>
      </c>
      <c r="G41" s="2">
        <v>43.2256</v>
      </c>
      <c r="H41" s="3">
        <v>19754.099200000001</v>
      </c>
      <c r="I41" s="1" t="s">
        <v>24</v>
      </c>
      <c r="J41" s="1" t="s">
        <v>25</v>
      </c>
      <c r="K41" s="1" t="s">
        <v>26</v>
      </c>
    </row>
    <row r="42" spans="1:11" ht="12.75" customHeight="1" x14ac:dyDescent="0.2">
      <c r="A42" s="1" t="s">
        <v>101</v>
      </c>
      <c r="B42" s="1" t="s">
        <v>102</v>
      </c>
      <c r="C42" s="2">
        <v>218</v>
      </c>
      <c r="D42" s="2">
        <v>4578</v>
      </c>
      <c r="E42" s="2">
        <v>0</v>
      </c>
      <c r="F42" s="2">
        <v>0</v>
      </c>
      <c r="G42" s="2">
        <v>45.3874</v>
      </c>
      <c r="H42" s="3">
        <v>9894.4531999999999</v>
      </c>
      <c r="I42" s="1" t="s">
        <v>24</v>
      </c>
      <c r="J42" s="1" t="s">
        <v>25</v>
      </c>
      <c r="K42" s="1" t="s">
        <v>26</v>
      </c>
    </row>
    <row r="43" spans="1:11" ht="12.75" customHeight="1" x14ac:dyDescent="0.2">
      <c r="A43" s="1" t="s">
        <v>103</v>
      </c>
      <c r="B43" s="1" t="s">
        <v>104</v>
      </c>
      <c r="C43" s="2">
        <v>159</v>
      </c>
      <c r="D43" s="2">
        <v>3498</v>
      </c>
      <c r="E43" s="2">
        <v>0</v>
      </c>
      <c r="F43" s="2">
        <v>0</v>
      </c>
      <c r="G43" s="2">
        <v>47.547400000000003</v>
      </c>
      <c r="H43" s="3">
        <v>7560.0366000000004</v>
      </c>
      <c r="I43" s="1" t="s">
        <v>24</v>
      </c>
      <c r="J43" s="1" t="s">
        <v>25</v>
      </c>
      <c r="K43" s="1" t="s">
        <v>26</v>
      </c>
    </row>
    <row r="44" spans="1:11" ht="12.75" customHeight="1" x14ac:dyDescent="0.2">
      <c r="A44" s="1" t="s">
        <v>105</v>
      </c>
      <c r="B44" s="1" t="s">
        <v>106</v>
      </c>
      <c r="C44" s="2">
        <v>98</v>
      </c>
      <c r="D44" s="2">
        <v>2254</v>
      </c>
      <c r="E44" s="2">
        <v>0</v>
      </c>
      <c r="F44" s="2">
        <v>0</v>
      </c>
      <c r="G44" s="2">
        <v>49.696899999999999</v>
      </c>
      <c r="H44" s="3">
        <v>4870.2961999999998</v>
      </c>
      <c r="I44" s="1" t="s">
        <v>24</v>
      </c>
      <c r="J44" s="1" t="s">
        <v>25</v>
      </c>
      <c r="K44" s="1" t="s">
        <v>26</v>
      </c>
    </row>
    <row r="45" spans="1:11" ht="12.75" customHeight="1" x14ac:dyDescent="0.2">
      <c r="A45" s="1" t="s">
        <v>107</v>
      </c>
      <c r="B45" s="1" t="s">
        <v>108</v>
      </c>
      <c r="C45" s="2">
        <v>216</v>
      </c>
      <c r="D45" s="2">
        <v>2160</v>
      </c>
      <c r="E45" s="2">
        <v>0</v>
      </c>
      <c r="F45" s="2">
        <v>0</v>
      </c>
      <c r="G45" s="2">
        <v>29.08</v>
      </c>
      <c r="H45" s="3">
        <v>6281.28</v>
      </c>
      <c r="I45" s="1" t="s">
        <v>17</v>
      </c>
      <c r="J45" s="1" t="s">
        <v>18</v>
      </c>
      <c r="K45" s="1" t="s">
        <v>19</v>
      </c>
    </row>
    <row r="46" spans="1:11" ht="12.75" customHeight="1" x14ac:dyDescent="0.2">
      <c r="A46" s="1" t="s">
        <v>109</v>
      </c>
      <c r="B46" s="1" t="s">
        <v>110</v>
      </c>
      <c r="C46" s="2">
        <v>495</v>
      </c>
      <c r="D46" s="2">
        <v>6930</v>
      </c>
      <c r="E46" s="2">
        <v>0</v>
      </c>
      <c r="F46" s="2">
        <v>0</v>
      </c>
      <c r="G46" s="2">
        <v>40.712000000000003</v>
      </c>
      <c r="H46" s="3">
        <v>20152.439999999999</v>
      </c>
      <c r="I46" s="1" t="s">
        <v>17</v>
      </c>
      <c r="J46" s="1" t="s">
        <v>18</v>
      </c>
      <c r="K46" s="1" t="s">
        <v>19</v>
      </c>
    </row>
    <row r="47" spans="1:11" ht="12.75" customHeight="1" x14ac:dyDescent="0.2">
      <c r="A47" s="1" t="s">
        <v>111</v>
      </c>
      <c r="B47" s="1" t="s">
        <v>112</v>
      </c>
      <c r="C47" s="2">
        <v>898</v>
      </c>
      <c r="D47" s="2">
        <v>14368</v>
      </c>
      <c r="E47" s="2">
        <v>0</v>
      </c>
      <c r="F47" s="2">
        <v>0</v>
      </c>
      <c r="G47" s="2">
        <v>47.975299999999997</v>
      </c>
      <c r="H47" s="3">
        <v>43081.8194</v>
      </c>
      <c r="I47" s="1" t="s">
        <v>17</v>
      </c>
      <c r="J47" s="1" t="s">
        <v>18</v>
      </c>
      <c r="K47" s="1" t="s">
        <v>19</v>
      </c>
    </row>
    <row r="48" spans="1:11" ht="12.75" customHeight="1" x14ac:dyDescent="0.2">
      <c r="A48" s="1" t="s">
        <v>113</v>
      </c>
      <c r="B48" s="1" t="s">
        <v>114</v>
      </c>
      <c r="C48" s="2">
        <v>257</v>
      </c>
      <c r="D48" s="2">
        <v>3084</v>
      </c>
      <c r="E48" s="2">
        <v>0</v>
      </c>
      <c r="F48" s="2">
        <v>0</v>
      </c>
      <c r="G48" s="2">
        <v>57.782899999999998</v>
      </c>
      <c r="H48" s="3">
        <v>14850.2053</v>
      </c>
      <c r="I48" s="1" t="s">
        <v>17</v>
      </c>
      <c r="J48" s="1" t="s">
        <v>18</v>
      </c>
      <c r="K48" s="1" t="s">
        <v>19</v>
      </c>
    </row>
    <row r="49" spans="1:11" ht="12.75" customHeight="1" x14ac:dyDescent="0.2">
      <c r="A49" s="1" t="s">
        <v>115</v>
      </c>
      <c r="B49" s="1" t="s">
        <v>116</v>
      </c>
      <c r="C49" s="2">
        <v>95</v>
      </c>
      <c r="D49" s="2">
        <v>1330</v>
      </c>
      <c r="E49" s="2">
        <v>0</v>
      </c>
      <c r="F49" s="2">
        <v>0</v>
      </c>
      <c r="G49" s="2">
        <v>67.413300000000007</v>
      </c>
      <c r="H49" s="3">
        <v>6404.2635</v>
      </c>
      <c r="I49" s="1" t="s">
        <v>17</v>
      </c>
      <c r="J49" s="1" t="s">
        <v>18</v>
      </c>
      <c r="K49" s="1" t="s">
        <v>19</v>
      </c>
    </row>
    <row r="50" spans="1:11" ht="12.75" customHeight="1" x14ac:dyDescent="0.2">
      <c r="A50" s="1" t="s">
        <v>117</v>
      </c>
      <c r="B50" s="1" t="s">
        <v>118</v>
      </c>
      <c r="C50" s="2">
        <v>694</v>
      </c>
      <c r="D50" s="2">
        <v>11104</v>
      </c>
      <c r="E50" s="2">
        <v>0</v>
      </c>
      <c r="F50" s="2">
        <v>0</v>
      </c>
      <c r="G50" s="2">
        <v>77.043800000000005</v>
      </c>
      <c r="H50" s="3">
        <v>53468.397199999999</v>
      </c>
      <c r="I50" s="1" t="s">
        <v>17</v>
      </c>
      <c r="J50" s="1" t="s">
        <v>18</v>
      </c>
      <c r="K50" s="1" t="s">
        <v>19</v>
      </c>
    </row>
    <row r="51" spans="1:11" ht="12.75" customHeight="1" x14ac:dyDescent="0.2">
      <c r="A51" s="1" t="s">
        <v>119</v>
      </c>
      <c r="B51" s="1" t="s">
        <v>120</v>
      </c>
      <c r="C51" s="2">
        <v>97</v>
      </c>
      <c r="D51" s="2">
        <v>970</v>
      </c>
      <c r="E51" s="2">
        <v>0</v>
      </c>
      <c r="F51" s="2">
        <v>0</v>
      </c>
      <c r="G51" s="2">
        <v>29.204000000000001</v>
      </c>
      <c r="H51" s="3">
        <v>2832.788</v>
      </c>
      <c r="I51" s="1" t="s">
        <v>24</v>
      </c>
      <c r="J51" s="1" t="s">
        <v>25</v>
      </c>
      <c r="K51" s="1" t="s">
        <v>26</v>
      </c>
    </row>
    <row r="52" spans="1:11" ht="12.75" customHeight="1" x14ac:dyDescent="0.2">
      <c r="A52" s="1" t="s">
        <v>121</v>
      </c>
      <c r="B52" s="1" t="s">
        <v>122</v>
      </c>
      <c r="C52" s="2">
        <v>60</v>
      </c>
      <c r="D52" s="2">
        <v>720</v>
      </c>
      <c r="E52" s="2">
        <v>0</v>
      </c>
      <c r="F52" s="2">
        <v>0</v>
      </c>
      <c r="G52" s="2">
        <v>52.065899999999999</v>
      </c>
      <c r="H52" s="3">
        <v>3123.9540000000002</v>
      </c>
      <c r="I52" s="1" t="s">
        <v>24</v>
      </c>
      <c r="J52" s="1" t="s">
        <v>25</v>
      </c>
      <c r="K52" s="1" t="s">
        <v>26</v>
      </c>
    </row>
    <row r="53" spans="1:11" ht="12.75" customHeight="1" x14ac:dyDescent="0.2">
      <c r="A53" s="1" t="s">
        <v>123</v>
      </c>
      <c r="B53" s="1" t="s">
        <v>124</v>
      </c>
      <c r="C53" s="2">
        <v>17</v>
      </c>
      <c r="D53" s="2">
        <v>238</v>
      </c>
      <c r="E53" s="2">
        <v>0</v>
      </c>
      <c r="F53" s="2">
        <v>0</v>
      </c>
      <c r="G53" s="2">
        <v>60.730400000000003</v>
      </c>
      <c r="H53" s="3">
        <v>1032.4168</v>
      </c>
      <c r="I53" s="1" t="s">
        <v>125</v>
      </c>
      <c r="J53" s="1" t="s">
        <v>126</v>
      </c>
      <c r="K53" s="1" t="s">
        <v>127</v>
      </c>
    </row>
    <row r="54" spans="1:11" ht="12.75" customHeight="1" x14ac:dyDescent="0.2">
      <c r="A54" s="1" t="s">
        <v>128</v>
      </c>
      <c r="B54" s="1" t="s">
        <v>129</v>
      </c>
      <c r="C54" s="2">
        <v>1</v>
      </c>
      <c r="D54" s="2">
        <v>16</v>
      </c>
      <c r="E54" s="2">
        <v>0</v>
      </c>
      <c r="F54" s="2">
        <v>0</v>
      </c>
      <c r="G54" s="2">
        <v>69.34</v>
      </c>
      <c r="H54" s="3">
        <v>69.34</v>
      </c>
      <c r="I54" s="1" t="s">
        <v>125</v>
      </c>
      <c r="J54" s="1" t="s">
        <v>126</v>
      </c>
      <c r="K54" s="1" t="s">
        <v>127</v>
      </c>
    </row>
    <row r="55" spans="1:11" ht="12.75" customHeight="1" x14ac:dyDescent="0.2">
      <c r="A55" s="1" t="s">
        <v>130</v>
      </c>
      <c r="B55" s="1" t="s">
        <v>131</v>
      </c>
      <c r="C55" s="2">
        <v>9</v>
      </c>
      <c r="D55" s="2">
        <v>162</v>
      </c>
      <c r="E55" s="2">
        <v>0</v>
      </c>
      <c r="F55" s="2">
        <v>0</v>
      </c>
      <c r="G55" s="2">
        <v>78</v>
      </c>
      <c r="H55" s="3">
        <v>702</v>
      </c>
      <c r="I55" s="1" t="s">
        <v>125</v>
      </c>
      <c r="J55" s="1" t="s">
        <v>126</v>
      </c>
      <c r="K55" s="1" t="s">
        <v>127</v>
      </c>
    </row>
    <row r="56" spans="1:11" ht="12.75" customHeight="1" x14ac:dyDescent="0.2">
      <c r="A56" s="1" t="s">
        <v>132</v>
      </c>
      <c r="B56" s="1" t="s">
        <v>133</v>
      </c>
      <c r="C56" s="2">
        <v>23</v>
      </c>
      <c r="D56" s="2">
        <v>460</v>
      </c>
      <c r="E56" s="2">
        <v>0</v>
      </c>
      <c r="F56" s="2">
        <v>0</v>
      </c>
      <c r="G56" s="2">
        <v>86.681200000000004</v>
      </c>
      <c r="H56" s="3">
        <v>1993.6676</v>
      </c>
      <c r="I56" s="1" t="s">
        <v>125</v>
      </c>
      <c r="J56" s="1" t="s">
        <v>126</v>
      </c>
      <c r="K56" s="1" t="s">
        <v>127</v>
      </c>
    </row>
    <row r="57" spans="1:11" ht="12.75" customHeight="1" x14ac:dyDescent="0.2">
      <c r="A57" s="1" t="s">
        <v>134</v>
      </c>
      <c r="B57" s="1" t="s">
        <v>135</v>
      </c>
      <c r="C57" s="2">
        <v>16</v>
      </c>
      <c r="D57" s="2">
        <v>352</v>
      </c>
      <c r="E57" s="2">
        <v>0</v>
      </c>
      <c r="F57" s="2">
        <v>0</v>
      </c>
      <c r="G57" s="2">
        <v>95.4</v>
      </c>
      <c r="H57" s="3">
        <v>1526.4</v>
      </c>
      <c r="I57" s="1" t="s">
        <v>125</v>
      </c>
      <c r="J57" s="1" t="s">
        <v>126</v>
      </c>
      <c r="K57" s="1" t="s">
        <v>127</v>
      </c>
    </row>
    <row r="58" spans="1:11" ht="12.75" customHeight="1" x14ac:dyDescent="0.2">
      <c r="A58" s="1" t="s">
        <v>136</v>
      </c>
      <c r="B58" s="1" t="s">
        <v>137</v>
      </c>
      <c r="C58" s="2">
        <v>5</v>
      </c>
      <c r="D58" s="2">
        <v>40</v>
      </c>
      <c r="E58" s="2">
        <v>0</v>
      </c>
      <c r="F58" s="2">
        <v>0</v>
      </c>
      <c r="G58" s="2">
        <v>34.731999999999999</v>
      </c>
      <c r="H58" s="3">
        <v>173.66</v>
      </c>
      <c r="I58" s="1" t="s">
        <v>125</v>
      </c>
      <c r="J58" s="1" t="s">
        <v>126</v>
      </c>
      <c r="K58" s="1" t="s">
        <v>127</v>
      </c>
    </row>
    <row r="59" spans="1:11" ht="12.75" customHeight="1" x14ac:dyDescent="0.2">
      <c r="A59" s="1" t="s">
        <v>138</v>
      </c>
      <c r="B59" s="1" t="s">
        <v>139</v>
      </c>
      <c r="C59" s="2">
        <v>9</v>
      </c>
      <c r="D59" s="2">
        <v>90</v>
      </c>
      <c r="E59" s="2">
        <v>0</v>
      </c>
      <c r="F59" s="2">
        <v>0</v>
      </c>
      <c r="G59" s="2">
        <v>107.1</v>
      </c>
      <c r="H59" s="3">
        <v>963.9</v>
      </c>
      <c r="I59" s="1" t="s">
        <v>125</v>
      </c>
      <c r="J59" s="1" t="s">
        <v>126</v>
      </c>
      <c r="K59" s="1" t="s">
        <v>127</v>
      </c>
    </row>
    <row r="60" spans="1:11" ht="12.75" customHeight="1" x14ac:dyDescent="0.2">
      <c r="A60" s="1" t="s">
        <v>140</v>
      </c>
      <c r="B60" s="1" t="s">
        <v>141</v>
      </c>
      <c r="C60" s="2">
        <v>23</v>
      </c>
      <c r="D60" s="2">
        <v>276</v>
      </c>
      <c r="E60" s="2">
        <v>0</v>
      </c>
      <c r="F60" s="2">
        <v>0</v>
      </c>
      <c r="G60" s="2">
        <v>128.5043</v>
      </c>
      <c r="H60" s="3">
        <v>2955.5989</v>
      </c>
      <c r="I60" s="1" t="s">
        <v>125</v>
      </c>
      <c r="J60" s="1" t="s">
        <v>126</v>
      </c>
      <c r="K60" s="1" t="s">
        <v>127</v>
      </c>
    </row>
    <row r="61" spans="1:11" ht="12.75" customHeight="1" x14ac:dyDescent="0.2">
      <c r="A61" s="1" t="s">
        <v>142</v>
      </c>
      <c r="B61" s="1" t="s">
        <v>143</v>
      </c>
      <c r="C61" s="2">
        <v>13</v>
      </c>
      <c r="D61" s="2">
        <v>182</v>
      </c>
      <c r="E61" s="2">
        <v>0</v>
      </c>
      <c r="F61" s="2">
        <v>0</v>
      </c>
      <c r="G61" s="2">
        <v>149.9538</v>
      </c>
      <c r="H61" s="3">
        <v>1949.3994</v>
      </c>
      <c r="I61" s="1" t="s">
        <v>125</v>
      </c>
      <c r="J61" s="1" t="s">
        <v>126</v>
      </c>
      <c r="K61" s="1" t="s">
        <v>127</v>
      </c>
    </row>
    <row r="62" spans="1:11" ht="12.75" customHeight="1" x14ac:dyDescent="0.2">
      <c r="A62" s="1" t="s">
        <v>144</v>
      </c>
      <c r="B62" s="1" t="s">
        <v>145</v>
      </c>
      <c r="C62" s="2">
        <v>3</v>
      </c>
      <c r="D62" s="2">
        <v>48</v>
      </c>
      <c r="E62" s="2">
        <v>0</v>
      </c>
      <c r="F62" s="2">
        <v>0</v>
      </c>
      <c r="G62" s="2">
        <v>171.6</v>
      </c>
      <c r="H62" s="3">
        <v>514.79999999999995</v>
      </c>
      <c r="I62" s="1" t="s">
        <v>125</v>
      </c>
      <c r="J62" s="1" t="s">
        <v>126</v>
      </c>
      <c r="K62" s="1" t="s">
        <v>127</v>
      </c>
    </row>
    <row r="63" spans="1:11" ht="12.75" customHeight="1" x14ac:dyDescent="0.2">
      <c r="A63" s="1" t="s">
        <v>146</v>
      </c>
      <c r="B63" s="1" t="s">
        <v>147</v>
      </c>
      <c r="C63" s="2">
        <v>3</v>
      </c>
      <c r="D63" s="2">
        <v>54</v>
      </c>
      <c r="E63" s="2">
        <v>0</v>
      </c>
      <c r="F63" s="2">
        <v>0</v>
      </c>
      <c r="G63" s="2">
        <v>192.6</v>
      </c>
      <c r="H63" s="3">
        <v>577.79999999999995</v>
      </c>
      <c r="I63" s="1" t="s">
        <v>125</v>
      </c>
      <c r="J63" s="1" t="s">
        <v>126</v>
      </c>
      <c r="K63" s="1" t="s">
        <v>127</v>
      </c>
    </row>
    <row r="64" spans="1:11" ht="12.75" customHeight="1" x14ac:dyDescent="0.2">
      <c r="A64" s="1" t="s">
        <v>148</v>
      </c>
      <c r="B64" s="1" t="s">
        <v>149</v>
      </c>
      <c r="C64" s="2">
        <v>2</v>
      </c>
      <c r="D64" s="2">
        <v>40</v>
      </c>
      <c r="E64" s="2">
        <v>0</v>
      </c>
      <c r="F64" s="2">
        <v>0</v>
      </c>
      <c r="G64" s="2">
        <v>214.2</v>
      </c>
      <c r="H64" s="3">
        <v>428.4</v>
      </c>
      <c r="I64" s="1" t="s">
        <v>125</v>
      </c>
      <c r="J64" s="1" t="s">
        <v>126</v>
      </c>
      <c r="K64" s="1" t="s">
        <v>127</v>
      </c>
    </row>
    <row r="65" spans="1:11" ht="12.75" customHeight="1" x14ac:dyDescent="0.2">
      <c r="A65" s="1" t="s">
        <v>150</v>
      </c>
      <c r="B65" s="1" t="s">
        <v>151</v>
      </c>
      <c r="C65" s="2">
        <v>3</v>
      </c>
      <c r="D65" s="2">
        <v>24</v>
      </c>
      <c r="E65" s="2">
        <v>0</v>
      </c>
      <c r="F65" s="2">
        <v>0</v>
      </c>
      <c r="G65" s="2">
        <v>85.8</v>
      </c>
      <c r="H65" s="3">
        <v>257.39999999999998</v>
      </c>
      <c r="I65" s="1" t="s">
        <v>125</v>
      </c>
      <c r="J65" s="1" t="s">
        <v>126</v>
      </c>
      <c r="K65" s="1" t="s">
        <v>127</v>
      </c>
    </row>
    <row r="66" spans="1:11" ht="12.75" customHeight="1" x14ac:dyDescent="0.2">
      <c r="A66" s="1" t="s">
        <v>152</v>
      </c>
      <c r="B66" s="1" t="s">
        <v>153</v>
      </c>
      <c r="C66" s="2">
        <v>41</v>
      </c>
      <c r="D66" s="2">
        <v>410</v>
      </c>
      <c r="E66" s="2">
        <v>0</v>
      </c>
      <c r="F66" s="2">
        <v>0</v>
      </c>
      <c r="G66" s="2">
        <v>21.814599999999999</v>
      </c>
      <c r="H66" s="3">
        <v>894.39859999999999</v>
      </c>
      <c r="I66" s="1" t="s">
        <v>125</v>
      </c>
      <c r="J66" s="1" t="s">
        <v>126</v>
      </c>
      <c r="K66" s="1" t="s">
        <v>127</v>
      </c>
    </row>
    <row r="67" spans="1:11" ht="12.75" customHeight="1" x14ac:dyDescent="0.2">
      <c r="A67" s="1" t="s">
        <v>154</v>
      </c>
      <c r="B67" s="1" t="s">
        <v>155</v>
      </c>
      <c r="C67" s="2">
        <v>46</v>
      </c>
      <c r="D67" s="2">
        <v>368</v>
      </c>
      <c r="E67" s="2">
        <v>0</v>
      </c>
      <c r="F67" s="2">
        <v>0</v>
      </c>
      <c r="G67" s="2">
        <v>17.4666</v>
      </c>
      <c r="H67" s="3">
        <v>803.46360000000004</v>
      </c>
      <c r="I67" s="1" t="s">
        <v>125</v>
      </c>
      <c r="J67" s="1" t="s">
        <v>126</v>
      </c>
      <c r="K67" s="1" t="s">
        <v>127</v>
      </c>
    </row>
    <row r="68" spans="1:11" ht="12.75" customHeight="1" x14ac:dyDescent="0.2">
      <c r="A68" s="1" t="s">
        <v>156</v>
      </c>
      <c r="B68" s="1" t="s">
        <v>157</v>
      </c>
      <c r="C68" s="2">
        <v>1</v>
      </c>
      <c r="D68" s="2">
        <v>12</v>
      </c>
      <c r="E68" s="2">
        <v>0</v>
      </c>
      <c r="F68" s="2">
        <v>0</v>
      </c>
      <c r="G68" s="2">
        <v>36</v>
      </c>
      <c r="H68" s="3">
        <v>36</v>
      </c>
      <c r="I68" s="1" t="s">
        <v>24</v>
      </c>
      <c r="J68" s="1" t="s">
        <v>25</v>
      </c>
      <c r="K68" s="1" t="s">
        <v>26</v>
      </c>
    </row>
    <row r="69" spans="1:11" ht="12.75" customHeight="1" x14ac:dyDescent="0.2">
      <c r="A69" s="1" t="s">
        <v>158</v>
      </c>
      <c r="B69" s="1" t="s">
        <v>159</v>
      </c>
      <c r="C69" s="2">
        <v>2</v>
      </c>
      <c r="D69" s="2">
        <v>28</v>
      </c>
      <c r="E69" s="2">
        <v>0</v>
      </c>
      <c r="F69" s="2">
        <v>0</v>
      </c>
      <c r="G69" s="2">
        <v>41.4</v>
      </c>
      <c r="H69" s="3">
        <v>82.8</v>
      </c>
      <c r="I69" s="1" t="s">
        <v>24</v>
      </c>
      <c r="J69" s="1" t="s">
        <v>25</v>
      </c>
      <c r="K69" s="1" t="s">
        <v>26</v>
      </c>
    </row>
    <row r="70" spans="1:11" ht="12.75" customHeight="1" x14ac:dyDescent="0.2">
      <c r="A70" s="1" t="s">
        <v>160</v>
      </c>
      <c r="B70" s="1" t="s">
        <v>161</v>
      </c>
      <c r="C70" s="2">
        <v>374</v>
      </c>
      <c r="D70" s="2">
        <v>3740</v>
      </c>
      <c r="E70" s="2">
        <v>0</v>
      </c>
      <c r="F70" s="2">
        <v>0</v>
      </c>
      <c r="G70" s="2">
        <v>5.3681000000000001</v>
      </c>
      <c r="H70" s="3">
        <v>2007.6694</v>
      </c>
      <c r="I70" s="1" t="s">
        <v>17</v>
      </c>
      <c r="J70" s="1" t="s">
        <v>18</v>
      </c>
      <c r="K70" s="1" t="s">
        <v>19</v>
      </c>
    </row>
    <row r="71" spans="1:11" ht="12.75" customHeight="1" x14ac:dyDescent="0.2">
      <c r="A71" s="1" t="s">
        <v>160</v>
      </c>
      <c r="B71" s="1" t="s">
        <v>161</v>
      </c>
      <c r="C71" s="2">
        <v>546</v>
      </c>
      <c r="D71" s="2">
        <v>5460</v>
      </c>
      <c r="E71" s="2">
        <v>0</v>
      </c>
      <c r="F71" s="2">
        <v>163</v>
      </c>
      <c r="G71" s="2">
        <v>5.16</v>
      </c>
      <c r="H71" s="3">
        <v>2817.36</v>
      </c>
      <c r="I71" s="1" t="s">
        <v>125</v>
      </c>
      <c r="J71" s="1" t="s">
        <v>126</v>
      </c>
      <c r="K71" s="1" t="s">
        <v>127</v>
      </c>
    </row>
    <row r="72" spans="1:11" ht="12.75" customHeight="1" x14ac:dyDescent="0.2">
      <c r="A72" s="1" t="s">
        <v>162</v>
      </c>
      <c r="B72" s="1" t="s">
        <v>163</v>
      </c>
      <c r="C72" s="2">
        <v>220</v>
      </c>
      <c r="D72" s="2">
        <v>2420</v>
      </c>
      <c r="E72" s="2">
        <v>0</v>
      </c>
      <c r="F72" s="2">
        <v>0</v>
      </c>
      <c r="G72" s="2">
        <v>5.9048999999999996</v>
      </c>
      <c r="H72" s="3">
        <v>1299.078</v>
      </c>
      <c r="I72" s="1" t="s">
        <v>17</v>
      </c>
      <c r="J72" s="1" t="s">
        <v>18</v>
      </c>
      <c r="K72" s="1" t="s">
        <v>19</v>
      </c>
    </row>
    <row r="73" spans="1:11" ht="12.75" customHeight="1" x14ac:dyDescent="0.2">
      <c r="A73" s="1" t="s">
        <v>164</v>
      </c>
      <c r="B73" s="1" t="s">
        <v>165</v>
      </c>
      <c r="C73" s="2">
        <v>211</v>
      </c>
      <c r="D73" s="2">
        <v>2532</v>
      </c>
      <c r="E73" s="2">
        <v>0</v>
      </c>
      <c r="F73" s="2">
        <v>0</v>
      </c>
      <c r="G73" s="2">
        <v>6.4417999999999997</v>
      </c>
      <c r="H73" s="3">
        <v>1359.2198000000001</v>
      </c>
      <c r="I73" s="1" t="s">
        <v>17</v>
      </c>
      <c r="J73" s="1" t="s">
        <v>18</v>
      </c>
      <c r="K73" s="1" t="s">
        <v>19</v>
      </c>
    </row>
    <row r="74" spans="1:11" ht="12.75" customHeight="1" x14ac:dyDescent="0.2">
      <c r="A74" s="1" t="s">
        <v>164</v>
      </c>
      <c r="B74" s="1" t="s">
        <v>165</v>
      </c>
      <c r="C74" s="2">
        <v>335</v>
      </c>
      <c r="D74" s="2">
        <v>4020</v>
      </c>
      <c r="E74" s="2">
        <v>0</v>
      </c>
      <c r="F74" s="2">
        <v>0</v>
      </c>
      <c r="G74" s="2">
        <v>7.74</v>
      </c>
      <c r="H74" s="3">
        <v>2592.9</v>
      </c>
      <c r="I74" s="1" t="s">
        <v>125</v>
      </c>
      <c r="J74" s="1" t="s">
        <v>126</v>
      </c>
      <c r="K74" s="1" t="s">
        <v>127</v>
      </c>
    </row>
    <row r="75" spans="1:11" ht="12.75" customHeight="1" x14ac:dyDescent="0.2">
      <c r="A75" s="1" t="s">
        <v>166</v>
      </c>
      <c r="B75" s="1" t="s">
        <v>167</v>
      </c>
      <c r="C75" s="2">
        <v>235</v>
      </c>
      <c r="D75" s="2">
        <v>3055</v>
      </c>
      <c r="E75" s="2">
        <v>0</v>
      </c>
      <c r="F75" s="2">
        <v>0</v>
      </c>
      <c r="G75" s="2">
        <v>6.9786000000000001</v>
      </c>
      <c r="H75" s="3">
        <v>1639.971</v>
      </c>
      <c r="I75" s="1" t="s">
        <v>17</v>
      </c>
      <c r="J75" s="1" t="s">
        <v>18</v>
      </c>
      <c r="K75" s="1" t="s">
        <v>19</v>
      </c>
    </row>
    <row r="76" spans="1:11" ht="12.75" customHeight="1" x14ac:dyDescent="0.2">
      <c r="A76" s="1" t="s">
        <v>168</v>
      </c>
      <c r="B76" s="1" t="s">
        <v>169</v>
      </c>
      <c r="C76" s="2">
        <v>160</v>
      </c>
      <c r="D76" s="2">
        <v>2240</v>
      </c>
      <c r="E76" s="2">
        <v>0</v>
      </c>
      <c r="F76" s="2">
        <v>0</v>
      </c>
      <c r="G76" s="2">
        <v>7.5153999999999996</v>
      </c>
      <c r="H76" s="3">
        <v>1202.4639999999999</v>
      </c>
      <c r="I76" s="1" t="s">
        <v>17</v>
      </c>
      <c r="J76" s="1" t="s">
        <v>18</v>
      </c>
      <c r="K76" s="1" t="s">
        <v>19</v>
      </c>
    </row>
    <row r="77" spans="1:11" ht="12.75" customHeight="1" x14ac:dyDescent="0.2">
      <c r="A77" s="1" t="s">
        <v>168</v>
      </c>
      <c r="B77" s="1" t="s">
        <v>169</v>
      </c>
      <c r="C77" s="2">
        <v>220</v>
      </c>
      <c r="D77" s="2">
        <v>3080</v>
      </c>
      <c r="E77" s="2">
        <v>0</v>
      </c>
      <c r="F77" s="2">
        <v>0</v>
      </c>
      <c r="G77" s="2">
        <v>8.3102999999999998</v>
      </c>
      <c r="H77" s="3">
        <v>1828.2660000000001</v>
      </c>
      <c r="I77" s="1" t="s">
        <v>125</v>
      </c>
      <c r="J77" s="1" t="s">
        <v>126</v>
      </c>
      <c r="K77" s="1" t="s">
        <v>127</v>
      </c>
    </row>
    <row r="78" spans="1:11" ht="12.75" customHeight="1" x14ac:dyDescent="0.2">
      <c r="A78" s="1" t="s">
        <v>170</v>
      </c>
      <c r="B78" s="1" t="s">
        <v>171</v>
      </c>
      <c r="C78" s="2">
        <v>220</v>
      </c>
      <c r="D78" s="2">
        <v>3300</v>
      </c>
      <c r="E78" s="2">
        <v>0</v>
      </c>
      <c r="F78" s="2">
        <v>0</v>
      </c>
      <c r="G78" s="2">
        <v>8.0520999999999994</v>
      </c>
      <c r="H78" s="3">
        <v>1771.462</v>
      </c>
      <c r="I78" s="1" t="s">
        <v>17</v>
      </c>
      <c r="J78" s="1" t="s">
        <v>18</v>
      </c>
      <c r="K78" s="1" t="s">
        <v>19</v>
      </c>
    </row>
    <row r="79" spans="1:11" ht="12.75" customHeight="1" x14ac:dyDescent="0.2">
      <c r="A79" s="1" t="s">
        <v>172</v>
      </c>
      <c r="B79" s="1" t="s">
        <v>173</v>
      </c>
      <c r="C79" s="2">
        <v>155</v>
      </c>
      <c r="D79" s="2">
        <v>2635</v>
      </c>
      <c r="E79" s="2">
        <v>0</v>
      </c>
      <c r="F79" s="2">
        <v>0</v>
      </c>
      <c r="G79" s="2">
        <v>9.1258999999999997</v>
      </c>
      <c r="H79" s="3">
        <v>1414.5145</v>
      </c>
      <c r="I79" s="1" t="s">
        <v>17</v>
      </c>
      <c r="J79" s="1" t="s">
        <v>18</v>
      </c>
      <c r="K79" s="1" t="s">
        <v>19</v>
      </c>
    </row>
    <row r="80" spans="1:11" ht="12.75" customHeight="1" x14ac:dyDescent="0.2">
      <c r="A80" s="1" t="s">
        <v>174</v>
      </c>
      <c r="B80" s="1" t="s">
        <v>175</v>
      </c>
      <c r="C80" s="2">
        <v>138</v>
      </c>
      <c r="D80" s="2">
        <v>2622</v>
      </c>
      <c r="E80" s="2">
        <v>0</v>
      </c>
      <c r="F80" s="2">
        <v>0</v>
      </c>
      <c r="G80" s="2">
        <v>10.199400000000001</v>
      </c>
      <c r="H80" s="3">
        <v>1407.5172</v>
      </c>
      <c r="I80" s="1" t="s">
        <v>17</v>
      </c>
      <c r="J80" s="1" t="s">
        <v>18</v>
      </c>
      <c r="K80" s="1" t="s">
        <v>19</v>
      </c>
    </row>
    <row r="81" spans="1:11" ht="12.75" customHeight="1" x14ac:dyDescent="0.2">
      <c r="A81" s="1" t="s">
        <v>176</v>
      </c>
      <c r="B81" s="1" t="s">
        <v>177</v>
      </c>
      <c r="C81" s="2">
        <v>25</v>
      </c>
      <c r="D81" s="2">
        <v>500</v>
      </c>
      <c r="E81" s="2">
        <v>0</v>
      </c>
      <c r="F81" s="2">
        <v>0</v>
      </c>
      <c r="G81" s="2">
        <v>11.863099999999999</v>
      </c>
      <c r="H81" s="3">
        <v>296.57749999999999</v>
      </c>
      <c r="I81" s="1" t="s">
        <v>125</v>
      </c>
      <c r="J81" s="1" t="s">
        <v>126</v>
      </c>
      <c r="K81" s="1" t="s">
        <v>127</v>
      </c>
    </row>
    <row r="82" spans="1:11" ht="12.75" customHeight="1" x14ac:dyDescent="0.2">
      <c r="A82" s="1" t="s">
        <v>178</v>
      </c>
      <c r="B82" s="1" t="s">
        <v>179</v>
      </c>
      <c r="C82" s="2">
        <v>9</v>
      </c>
      <c r="D82" s="2">
        <v>198</v>
      </c>
      <c r="E82" s="2">
        <v>0</v>
      </c>
      <c r="F82" s="2">
        <v>0</v>
      </c>
      <c r="G82" s="2">
        <v>13.033300000000001</v>
      </c>
      <c r="H82" s="3">
        <v>117.2997</v>
      </c>
      <c r="I82" s="1" t="s">
        <v>125</v>
      </c>
      <c r="J82" s="1" t="s">
        <v>126</v>
      </c>
      <c r="K82" s="1" t="s">
        <v>127</v>
      </c>
    </row>
    <row r="83" spans="1:11" ht="12.75" customHeight="1" x14ac:dyDescent="0.2">
      <c r="A83" s="1" t="s">
        <v>180</v>
      </c>
      <c r="B83" s="1" t="s">
        <v>181</v>
      </c>
      <c r="C83" s="2">
        <v>440</v>
      </c>
      <c r="D83" s="2">
        <v>3520</v>
      </c>
      <c r="E83" s="2">
        <v>0</v>
      </c>
      <c r="F83" s="2">
        <v>0</v>
      </c>
      <c r="G83" s="2">
        <v>4.2945000000000002</v>
      </c>
      <c r="H83" s="3">
        <v>1889.58</v>
      </c>
      <c r="I83" s="1" t="s">
        <v>17</v>
      </c>
      <c r="J83" s="1" t="s">
        <v>18</v>
      </c>
      <c r="K83" s="1" t="s">
        <v>19</v>
      </c>
    </row>
    <row r="84" spans="1:11" ht="12.75" customHeight="1" x14ac:dyDescent="0.2">
      <c r="A84" s="1" t="s">
        <v>180</v>
      </c>
      <c r="B84" s="1" t="s">
        <v>181</v>
      </c>
      <c r="C84" s="2">
        <v>583</v>
      </c>
      <c r="D84" s="2">
        <v>4664</v>
      </c>
      <c r="E84" s="2">
        <v>0</v>
      </c>
      <c r="F84" s="2">
        <v>51</v>
      </c>
      <c r="G84" s="2">
        <v>4.1273</v>
      </c>
      <c r="H84" s="3">
        <v>2406.2159000000001</v>
      </c>
      <c r="I84" s="1" t="s">
        <v>125</v>
      </c>
      <c r="J84" s="1" t="s">
        <v>126</v>
      </c>
      <c r="K84" s="1" t="s">
        <v>127</v>
      </c>
    </row>
    <row r="85" spans="1:11" ht="12.75" customHeight="1" x14ac:dyDescent="0.2">
      <c r="A85" s="1" t="s">
        <v>182</v>
      </c>
      <c r="B85" s="1" t="s">
        <v>183</v>
      </c>
      <c r="C85" s="2">
        <v>969</v>
      </c>
      <c r="D85" s="2">
        <v>8721</v>
      </c>
      <c r="E85" s="2">
        <v>0</v>
      </c>
      <c r="F85" s="2">
        <v>0</v>
      </c>
      <c r="G85" s="2">
        <v>4.8312999999999997</v>
      </c>
      <c r="H85" s="3">
        <v>4681.5297</v>
      </c>
      <c r="I85" s="1" t="s">
        <v>17</v>
      </c>
      <c r="J85" s="1" t="s">
        <v>18</v>
      </c>
      <c r="K85" s="1" t="s">
        <v>19</v>
      </c>
    </row>
    <row r="86" spans="1:11" ht="12.75" customHeight="1" x14ac:dyDescent="0.2">
      <c r="A86" s="1" t="s">
        <v>184</v>
      </c>
      <c r="B86" s="1" t="s">
        <v>185</v>
      </c>
      <c r="C86" s="2">
        <v>1</v>
      </c>
      <c r="D86" s="2">
        <v>12</v>
      </c>
      <c r="E86" s="2">
        <v>0</v>
      </c>
      <c r="F86" s="2">
        <v>0</v>
      </c>
      <c r="G86" s="2">
        <v>23.4</v>
      </c>
      <c r="H86" s="3">
        <v>23.4</v>
      </c>
      <c r="I86" s="1" t="s">
        <v>125</v>
      </c>
      <c r="J86" s="1" t="s">
        <v>126</v>
      </c>
      <c r="K86" s="1" t="s">
        <v>127</v>
      </c>
    </row>
    <row r="87" spans="1:11" ht="12.75" customHeight="1" x14ac:dyDescent="0.2">
      <c r="A87" s="1" t="s">
        <v>186</v>
      </c>
      <c r="B87" s="1" t="s">
        <v>187</v>
      </c>
      <c r="C87" s="2">
        <v>1</v>
      </c>
      <c r="D87" s="2">
        <v>14</v>
      </c>
      <c r="E87" s="2">
        <v>0</v>
      </c>
      <c r="F87" s="2">
        <v>0</v>
      </c>
      <c r="G87" s="2">
        <v>27</v>
      </c>
      <c r="H87" s="3">
        <v>27</v>
      </c>
      <c r="I87" s="1" t="s">
        <v>125</v>
      </c>
      <c r="J87" s="1" t="s">
        <v>126</v>
      </c>
      <c r="K87" s="1" t="s">
        <v>127</v>
      </c>
    </row>
    <row r="88" spans="1:11" ht="12.75" customHeight="1" x14ac:dyDescent="0.2">
      <c r="A88" s="1" t="s">
        <v>188</v>
      </c>
      <c r="B88" s="1" t="s">
        <v>189</v>
      </c>
      <c r="C88" s="2">
        <v>44</v>
      </c>
      <c r="D88" s="2">
        <v>352</v>
      </c>
      <c r="E88" s="2">
        <v>0</v>
      </c>
      <c r="F88" s="2">
        <v>0</v>
      </c>
      <c r="G88" s="2">
        <v>4.2382</v>
      </c>
      <c r="H88" s="3">
        <v>186.48079999999999</v>
      </c>
      <c r="I88" s="1" t="s">
        <v>125</v>
      </c>
      <c r="J88" s="1" t="s">
        <v>126</v>
      </c>
      <c r="K88" s="1" t="s">
        <v>127</v>
      </c>
    </row>
    <row r="89" spans="1:11" ht="12.75" customHeight="1" x14ac:dyDescent="0.2">
      <c r="A89" s="1" t="s">
        <v>190</v>
      </c>
      <c r="B89" s="1" t="s">
        <v>191</v>
      </c>
      <c r="C89" s="2">
        <v>16</v>
      </c>
      <c r="D89" s="2">
        <v>144</v>
      </c>
      <c r="E89" s="2">
        <v>0</v>
      </c>
      <c r="F89" s="2">
        <v>0</v>
      </c>
      <c r="G89" s="2">
        <v>4.8</v>
      </c>
      <c r="H89" s="3">
        <v>76.8</v>
      </c>
      <c r="I89" s="1" t="s">
        <v>125</v>
      </c>
      <c r="J89" s="1" t="s">
        <v>126</v>
      </c>
      <c r="K89" s="1" t="s">
        <v>127</v>
      </c>
    </row>
    <row r="90" spans="1:11" ht="12.75" customHeight="1" x14ac:dyDescent="0.2">
      <c r="A90" s="1" t="s">
        <v>192</v>
      </c>
      <c r="B90" s="1" t="s">
        <v>193</v>
      </c>
      <c r="C90" s="2">
        <v>330</v>
      </c>
      <c r="D90" s="2">
        <v>3300</v>
      </c>
      <c r="E90" s="2">
        <v>0</v>
      </c>
      <c r="F90" s="2">
        <v>0</v>
      </c>
      <c r="G90" s="2">
        <v>7.4630999999999998</v>
      </c>
      <c r="H90" s="3">
        <v>2462.8229999999999</v>
      </c>
      <c r="I90" s="1" t="s">
        <v>24</v>
      </c>
      <c r="J90" s="1" t="s">
        <v>25</v>
      </c>
      <c r="K90" s="1" t="s">
        <v>26</v>
      </c>
    </row>
    <row r="91" spans="1:11" ht="12.75" customHeight="1" x14ac:dyDescent="0.2">
      <c r="A91" s="1" t="s">
        <v>194</v>
      </c>
      <c r="B91" s="1" t="s">
        <v>195</v>
      </c>
      <c r="C91" s="2">
        <v>286</v>
      </c>
      <c r="D91" s="2">
        <v>3432</v>
      </c>
      <c r="E91" s="2">
        <v>0</v>
      </c>
      <c r="F91" s="2">
        <v>0</v>
      </c>
      <c r="G91" s="2">
        <v>11.1493</v>
      </c>
      <c r="H91" s="3">
        <v>3188.6997999999999</v>
      </c>
      <c r="I91" s="1" t="s">
        <v>24</v>
      </c>
      <c r="J91" s="1" t="s">
        <v>25</v>
      </c>
      <c r="K91" s="1" t="s">
        <v>26</v>
      </c>
    </row>
    <row r="92" spans="1:11" ht="12.75" customHeight="1" x14ac:dyDescent="0.2">
      <c r="A92" s="1" t="s">
        <v>196</v>
      </c>
      <c r="B92" s="1" t="s">
        <v>197</v>
      </c>
      <c r="C92" s="2">
        <v>207</v>
      </c>
      <c r="D92" s="2">
        <v>2898</v>
      </c>
      <c r="E92" s="2">
        <v>0</v>
      </c>
      <c r="F92" s="2">
        <v>0</v>
      </c>
      <c r="G92" s="2">
        <v>12.0471</v>
      </c>
      <c r="H92" s="3">
        <v>2493.7496999999998</v>
      </c>
      <c r="I92" s="1" t="s">
        <v>24</v>
      </c>
      <c r="J92" s="1" t="s">
        <v>25</v>
      </c>
      <c r="K92" s="1" t="s">
        <v>26</v>
      </c>
    </row>
    <row r="93" spans="1:11" ht="12.75" customHeight="1" x14ac:dyDescent="0.2">
      <c r="A93" s="1" t="s">
        <v>198</v>
      </c>
      <c r="B93" s="1" t="s">
        <v>199</v>
      </c>
      <c r="C93" s="2">
        <v>122</v>
      </c>
      <c r="D93" s="2">
        <v>1952</v>
      </c>
      <c r="E93" s="2">
        <v>0</v>
      </c>
      <c r="F93" s="2">
        <v>0</v>
      </c>
      <c r="G93" s="2">
        <v>14.861000000000001</v>
      </c>
      <c r="H93" s="3">
        <v>1813.0419999999999</v>
      </c>
      <c r="I93" s="1" t="s">
        <v>24</v>
      </c>
      <c r="J93" s="1" t="s">
        <v>25</v>
      </c>
      <c r="K93" s="1" t="s">
        <v>26</v>
      </c>
    </row>
    <row r="94" spans="1:11" ht="12.75" customHeight="1" x14ac:dyDescent="0.2">
      <c r="A94" s="1" t="s">
        <v>200</v>
      </c>
      <c r="B94" s="1" t="s">
        <v>201</v>
      </c>
      <c r="C94" s="2">
        <v>41</v>
      </c>
      <c r="D94" s="2">
        <v>738</v>
      </c>
      <c r="E94" s="2">
        <v>0</v>
      </c>
      <c r="F94" s="2">
        <v>0</v>
      </c>
      <c r="G94" s="2">
        <v>15.4878</v>
      </c>
      <c r="H94" s="3">
        <v>634.99980000000005</v>
      </c>
      <c r="I94" s="1" t="s">
        <v>24</v>
      </c>
      <c r="J94" s="1" t="s">
        <v>25</v>
      </c>
      <c r="K94" s="1" t="s">
        <v>26</v>
      </c>
    </row>
    <row r="95" spans="1:11" ht="12.75" customHeight="1" x14ac:dyDescent="0.2">
      <c r="A95" s="1" t="s">
        <v>202</v>
      </c>
      <c r="B95" s="1" t="s">
        <v>203</v>
      </c>
      <c r="C95" s="2">
        <v>24</v>
      </c>
      <c r="D95" s="2">
        <v>480</v>
      </c>
      <c r="E95" s="2">
        <v>0</v>
      </c>
      <c r="F95" s="2">
        <v>0</v>
      </c>
      <c r="G95" s="2">
        <v>17.1875</v>
      </c>
      <c r="H95" s="3">
        <v>412.5</v>
      </c>
      <c r="I95" s="1" t="s">
        <v>24</v>
      </c>
      <c r="J95" s="1" t="s">
        <v>25</v>
      </c>
      <c r="K95" s="1" t="s">
        <v>26</v>
      </c>
    </row>
    <row r="96" spans="1:11" ht="12.75" customHeight="1" x14ac:dyDescent="0.2">
      <c r="A96" s="1" t="s">
        <v>204</v>
      </c>
      <c r="B96" s="1" t="s">
        <v>205</v>
      </c>
      <c r="C96" s="2">
        <v>7</v>
      </c>
      <c r="D96" s="2">
        <v>154</v>
      </c>
      <c r="E96" s="2">
        <v>0</v>
      </c>
      <c r="F96" s="2">
        <v>0</v>
      </c>
      <c r="G96" s="2">
        <v>18.9285</v>
      </c>
      <c r="H96" s="3">
        <v>132.49950000000001</v>
      </c>
      <c r="I96" s="1" t="s">
        <v>24</v>
      </c>
      <c r="J96" s="1" t="s">
        <v>25</v>
      </c>
      <c r="K96" s="1" t="s">
        <v>26</v>
      </c>
    </row>
    <row r="97" spans="1:11" ht="12.75" customHeight="1" x14ac:dyDescent="0.2">
      <c r="A97" s="1" t="s">
        <v>206</v>
      </c>
      <c r="B97" s="1" t="s">
        <v>207</v>
      </c>
      <c r="C97" s="2">
        <v>429</v>
      </c>
      <c r="D97" s="2">
        <v>3432</v>
      </c>
      <c r="E97" s="2">
        <v>0</v>
      </c>
      <c r="F97" s="2">
        <v>0</v>
      </c>
      <c r="G97" s="2">
        <v>5.9709000000000003</v>
      </c>
      <c r="H97" s="3">
        <v>2561.5160999999998</v>
      </c>
      <c r="I97" s="1" t="s">
        <v>24</v>
      </c>
      <c r="J97" s="1" t="s">
        <v>25</v>
      </c>
      <c r="K97" s="1" t="s">
        <v>26</v>
      </c>
    </row>
    <row r="98" spans="1:11" ht="12.75" customHeight="1" x14ac:dyDescent="0.2">
      <c r="A98" s="1" t="s">
        <v>208</v>
      </c>
      <c r="B98" s="1" t="s">
        <v>209</v>
      </c>
      <c r="C98" s="2">
        <v>12</v>
      </c>
      <c r="D98" s="2">
        <v>168</v>
      </c>
      <c r="E98" s="2">
        <v>0</v>
      </c>
      <c r="F98" s="2">
        <v>0</v>
      </c>
      <c r="G98" s="2">
        <v>21.9483</v>
      </c>
      <c r="H98" s="3">
        <v>263.37959999999998</v>
      </c>
      <c r="I98" s="1" t="s">
        <v>125</v>
      </c>
      <c r="J98" s="1" t="s">
        <v>126</v>
      </c>
      <c r="K98" s="1" t="s">
        <v>127</v>
      </c>
    </row>
    <row r="99" spans="1:11" ht="12.75" customHeight="1" x14ac:dyDescent="0.2">
      <c r="A99" s="1" t="s">
        <v>210</v>
      </c>
      <c r="B99" s="1" t="s">
        <v>211</v>
      </c>
      <c r="C99" s="2">
        <v>7</v>
      </c>
      <c r="D99" s="2">
        <v>126</v>
      </c>
      <c r="E99" s="2">
        <v>0</v>
      </c>
      <c r="F99" s="2">
        <v>0</v>
      </c>
      <c r="G99" s="2">
        <v>28.23</v>
      </c>
      <c r="H99" s="3">
        <v>197.61</v>
      </c>
      <c r="I99" s="1" t="s">
        <v>125</v>
      </c>
      <c r="J99" s="1" t="s">
        <v>126</v>
      </c>
      <c r="K99" s="1" t="s">
        <v>127</v>
      </c>
    </row>
    <row r="100" spans="1:11" ht="12.75" customHeight="1" x14ac:dyDescent="0.2">
      <c r="A100" s="1" t="s">
        <v>212</v>
      </c>
      <c r="B100" s="1" t="s">
        <v>213</v>
      </c>
      <c r="C100" s="2">
        <v>13</v>
      </c>
      <c r="D100" s="2">
        <v>286</v>
      </c>
      <c r="E100" s="2">
        <v>0</v>
      </c>
      <c r="F100" s="2">
        <v>0</v>
      </c>
      <c r="G100" s="2">
        <v>34.494700000000002</v>
      </c>
      <c r="H100" s="3">
        <v>448.43110000000001</v>
      </c>
      <c r="I100" s="1" t="s">
        <v>125</v>
      </c>
      <c r="J100" s="1" t="s">
        <v>126</v>
      </c>
      <c r="K100" s="1" t="s">
        <v>127</v>
      </c>
    </row>
    <row r="101" spans="1:11" ht="12.75" customHeight="1" x14ac:dyDescent="0.2">
      <c r="A101" s="1" t="s">
        <v>214</v>
      </c>
      <c r="B101" s="1" t="s">
        <v>215</v>
      </c>
      <c r="C101" s="2">
        <v>5</v>
      </c>
      <c r="D101" s="2">
        <v>100</v>
      </c>
      <c r="E101" s="2">
        <v>0</v>
      </c>
      <c r="F101" s="2">
        <v>0</v>
      </c>
      <c r="G101" s="2">
        <v>272.90320000000003</v>
      </c>
      <c r="H101" s="3">
        <v>1364.5160000000001</v>
      </c>
      <c r="I101" s="1" t="s">
        <v>17</v>
      </c>
      <c r="J101" s="1" t="s">
        <v>18</v>
      </c>
      <c r="K101" s="1" t="s">
        <v>19</v>
      </c>
    </row>
    <row r="102" spans="1:11" ht="12.75" customHeight="1" x14ac:dyDescent="0.2">
      <c r="A102" s="1" t="s">
        <v>216</v>
      </c>
      <c r="B102" s="1" t="s">
        <v>217</v>
      </c>
      <c r="C102" s="2">
        <v>3</v>
      </c>
      <c r="D102" s="2">
        <v>24</v>
      </c>
      <c r="E102" s="2">
        <v>0</v>
      </c>
      <c r="F102" s="2">
        <v>0</v>
      </c>
      <c r="G102" s="2">
        <v>109.16119999999999</v>
      </c>
      <c r="H102" s="3">
        <v>327.48360000000002</v>
      </c>
      <c r="I102" s="1" t="s">
        <v>17</v>
      </c>
      <c r="J102" s="1" t="s">
        <v>18</v>
      </c>
      <c r="K102" s="1" t="s">
        <v>19</v>
      </c>
    </row>
    <row r="103" spans="1:11" ht="12.75" customHeight="1" x14ac:dyDescent="0.2">
      <c r="A103" s="1" t="s">
        <v>218</v>
      </c>
      <c r="B103" s="1" t="s">
        <v>219</v>
      </c>
      <c r="C103" s="2">
        <v>48</v>
      </c>
      <c r="D103" s="2">
        <v>0</v>
      </c>
      <c r="E103" s="2">
        <v>0</v>
      </c>
      <c r="F103" s="2">
        <v>0</v>
      </c>
      <c r="G103" s="2">
        <v>168.10499999999999</v>
      </c>
      <c r="H103" s="3">
        <v>8069.04</v>
      </c>
      <c r="I103" s="1" t="s">
        <v>17</v>
      </c>
      <c r="J103" s="1" t="s">
        <v>18</v>
      </c>
      <c r="K103" s="1" t="s">
        <v>19</v>
      </c>
    </row>
    <row r="104" spans="1:11" ht="12.75" customHeight="1" x14ac:dyDescent="0.2">
      <c r="A104" s="1" t="s">
        <v>220</v>
      </c>
      <c r="B104" s="1" t="s">
        <v>221</v>
      </c>
      <c r="C104" s="2">
        <v>1</v>
      </c>
      <c r="D104" s="2">
        <v>14</v>
      </c>
      <c r="E104" s="2">
        <v>0</v>
      </c>
      <c r="F104" s="2">
        <v>1</v>
      </c>
      <c r="G104" s="2">
        <v>71.911699999999996</v>
      </c>
      <c r="H104" s="3">
        <v>71.911699999999996</v>
      </c>
      <c r="I104" s="1" t="s">
        <v>12</v>
      </c>
      <c r="J104" s="1" t="s">
        <v>13</v>
      </c>
      <c r="K104" s="1" t="s">
        <v>14</v>
      </c>
    </row>
    <row r="105" spans="1:11" ht="12.75" customHeight="1" x14ac:dyDescent="0.2">
      <c r="A105" s="1" t="s">
        <v>220</v>
      </c>
      <c r="B105" s="1" t="s">
        <v>221</v>
      </c>
      <c r="C105" s="2">
        <v>8</v>
      </c>
      <c r="D105" s="2">
        <v>112</v>
      </c>
      <c r="E105" s="2">
        <v>0</v>
      </c>
      <c r="F105" s="2">
        <v>0</v>
      </c>
      <c r="G105" s="2">
        <v>71.911699999999996</v>
      </c>
      <c r="H105" s="3">
        <v>575.29359999999997</v>
      </c>
      <c r="I105" s="1" t="s">
        <v>17</v>
      </c>
      <c r="J105" s="1" t="s">
        <v>18</v>
      </c>
      <c r="K105" s="1" t="s">
        <v>19</v>
      </c>
    </row>
    <row r="106" spans="1:11" ht="12.75" customHeight="1" x14ac:dyDescent="0.2">
      <c r="A106" s="1" t="s">
        <v>222</v>
      </c>
      <c r="B106" s="1" t="s">
        <v>223</v>
      </c>
      <c r="C106" s="2">
        <v>17</v>
      </c>
      <c r="D106" s="2">
        <v>0</v>
      </c>
      <c r="E106" s="2">
        <v>0</v>
      </c>
      <c r="F106" s="2">
        <v>0</v>
      </c>
      <c r="G106" s="2">
        <v>82.184799999999996</v>
      </c>
      <c r="H106" s="3">
        <v>1397.1415999999999</v>
      </c>
      <c r="I106" s="1" t="s">
        <v>17</v>
      </c>
      <c r="J106" s="1" t="s">
        <v>18</v>
      </c>
      <c r="K106" s="1" t="s">
        <v>19</v>
      </c>
    </row>
    <row r="107" spans="1:11" ht="12.75" customHeight="1" x14ac:dyDescent="0.2">
      <c r="A107" s="1" t="s">
        <v>224</v>
      </c>
      <c r="B107" s="1" t="s">
        <v>225</v>
      </c>
      <c r="C107" s="2">
        <v>9</v>
      </c>
      <c r="D107" s="2">
        <v>108</v>
      </c>
      <c r="E107" s="2">
        <v>0</v>
      </c>
      <c r="F107" s="2">
        <v>0</v>
      </c>
      <c r="G107" s="2">
        <v>126.0787</v>
      </c>
      <c r="H107" s="3">
        <v>1134.7083</v>
      </c>
      <c r="I107" s="1" t="s">
        <v>17</v>
      </c>
      <c r="J107" s="1" t="s">
        <v>18</v>
      </c>
      <c r="K107" s="1" t="s">
        <v>19</v>
      </c>
    </row>
    <row r="108" spans="1:11" ht="12.75" customHeight="1" x14ac:dyDescent="0.2">
      <c r="A108" s="1" t="s">
        <v>226</v>
      </c>
      <c r="B108" s="1" t="s">
        <v>227</v>
      </c>
      <c r="C108" s="2">
        <v>7</v>
      </c>
      <c r="D108" s="2">
        <v>98</v>
      </c>
      <c r="E108" s="2">
        <v>0</v>
      </c>
      <c r="F108" s="2">
        <v>0</v>
      </c>
      <c r="G108" s="2">
        <v>112.68640000000001</v>
      </c>
      <c r="H108" s="3">
        <v>788.8048</v>
      </c>
      <c r="I108" s="1" t="s">
        <v>17</v>
      </c>
      <c r="J108" s="1" t="s">
        <v>18</v>
      </c>
      <c r="K108" s="1" t="s">
        <v>19</v>
      </c>
    </row>
    <row r="109" spans="1:11" ht="12.75" customHeight="1" x14ac:dyDescent="0.2">
      <c r="A109" s="1" t="s">
        <v>228</v>
      </c>
      <c r="B109" s="1" t="s">
        <v>229</v>
      </c>
      <c r="C109" s="2">
        <v>2</v>
      </c>
      <c r="D109" s="2">
        <v>32</v>
      </c>
      <c r="E109" s="2">
        <v>0</v>
      </c>
      <c r="F109" s="2">
        <v>0</v>
      </c>
      <c r="G109" s="2">
        <v>128.78440000000001</v>
      </c>
      <c r="H109" s="3">
        <v>257.56880000000001</v>
      </c>
      <c r="I109" s="1" t="s">
        <v>17</v>
      </c>
      <c r="J109" s="1" t="s">
        <v>18</v>
      </c>
      <c r="K109" s="1" t="s">
        <v>19</v>
      </c>
    </row>
    <row r="110" spans="1:11" ht="12.75" customHeight="1" x14ac:dyDescent="0.2">
      <c r="A110" s="1" t="s">
        <v>230</v>
      </c>
      <c r="B110" s="1" t="s">
        <v>231</v>
      </c>
      <c r="C110" s="2">
        <v>2</v>
      </c>
      <c r="D110" s="2">
        <v>40</v>
      </c>
      <c r="E110" s="2">
        <v>0</v>
      </c>
      <c r="F110" s="2">
        <v>0</v>
      </c>
      <c r="G110" s="2">
        <v>160.98050000000001</v>
      </c>
      <c r="H110" s="3">
        <v>321.96100000000001</v>
      </c>
      <c r="I110" s="1" t="s">
        <v>17</v>
      </c>
      <c r="J110" s="1" t="s">
        <v>18</v>
      </c>
      <c r="K110" s="1" t="s">
        <v>19</v>
      </c>
    </row>
    <row r="111" spans="1:11" ht="12.75" customHeight="1" x14ac:dyDescent="0.2">
      <c r="A111" s="1" t="s">
        <v>232</v>
      </c>
      <c r="B111" s="1" t="s">
        <v>233</v>
      </c>
      <c r="C111" s="2">
        <v>1</v>
      </c>
      <c r="D111" s="2">
        <v>0</v>
      </c>
      <c r="E111" s="2">
        <v>0</v>
      </c>
      <c r="F111" s="2">
        <v>0</v>
      </c>
      <c r="G111" s="2">
        <v>64.392200000000003</v>
      </c>
      <c r="H111" s="3">
        <v>64.392200000000003</v>
      </c>
      <c r="I111" s="1" t="s">
        <v>17</v>
      </c>
      <c r="J111" s="1" t="s">
        <v>18</v>
      </c>
      <c r="K111" s="1" t="s">
        <v>19</v>
      </c>
    </row>
    <row r="112" spans="1:11" ht="12.75" customHeight="1" x14ac:dyDescent="0.2">
      <c r="A112" s="1" t="s">
        <v>234</v>
      </c>
      <c r="B112" s="1" t="s">
        <v>235</v>
      </c>
      <c r="C112" s="2">
        <v>10</v>
      </c>
      <c r="D112" s="2">
        <v>120</v>
      </c>
      <c r="E112" s="2">
        <v>0</v>
      </c>
      <c r="F112" s="2">
        <v>0</v>
      </c>
      <c r="G112" s="2">
        <v>70.28</v>
      </c>
      <c r="H112" s="3">
        <v>702.8</v>
      </c>
      <c r="I112" s="1" t="s">
        <v>17</v>
      </c>
      <c r="J112" s="1" t="s">
        <v>18</v>
      </c>
      <c r="K112" s="1" t="s">
        <v>19</v>
      </c>
    </row>
    <row r="113" spans="1:11" ht="12.75" customHeight="1" x14ac:dyDescent="0.2">
      <c r="A113" s="1" t="s">
        <v>236</v>
      </c>
      <c r="B113" s="1" t="s">
        <v>237</v>
      </c>
      <c r="C113" s="2">
        <v>103</v>
      </c>
      <c r="D113" s="2">
        <v>1030</v>
      </c>
      <c r="E113" s="2">
        <v>0</v>
      </c>
      <c r="F113" s="2">
        <v>0</v>
      </c>
      <c r="G113" s="2">
        <v>38.541600000000003</v>
      </c>
      <c r="H113" s="3">
        <v>3969.7847999999999</v>
      </c>
      <c r="I113" s="1" t="s">
        <v>17</v>
      </c>
      <c r="J113" s="1" t="s">
        <v>18</v>
      </c>
      <c r="K113" s="1" t="s">
        <v>19</v>
      </c>
    </row>
    <row r="114" spans="1:11" ht="12.75" customHeight="1" x14ac:dyDescent="0.2">
      <c r="A114" s="1" t="s">
        <v>238</v>
      </c>
      <c r="B114" s="1" t="s">
        <v>239</v>
      </c>
      <c r="C114" s="2">
        <v>47</v>
      </c>
      <c r="D114" s="2">
        <v>658</v>
      </c>
      <c r="E114" s="2">
        <v>0</v>
      </c>
      <c r="F114" s="2">
        <v>0</v>
      </c>
      <c r="G114" s="2">
        <v>53.958199999999998</v>
      </c>
      <c r="H114" s="3">
        <v>2536.0354000000002</v>
      </c>
      <c r="I114" s="1" t="s">
        <v>17</v>
      </c>
      <c r="J114" s="1" t="s">
        <v>18</v>
      </c>
      <c r="K114" s="1" t="s">
        <v>19</v>
      </c>
    </row>
    <row r="115" spans="1:11" ht="12.75" customHeight="1" x14ac:dyDescent="0.2">
      <c r="A115" s="1" t="s">
        <v>240</v>
      </c>
      <c r="B115" s="1" t="s">
        <v>241</v>
      </c>
      <c r="C115" s="2">
        <v>92</v>
      </c>
      <c r="D115" s="2">
        <v>736</v>
      </c>
      <c r="E115" s="2">
        <v>0</v>
      </c>
      <c r="F115" s="2">
        <v>0</v>
      </c>
      <c r="G115" s="2">
        <v>30.833300000000001</v>
      </c>
      <c r="H115" s="3">
        <v>2836.6635999999999</v>
      </c>
      <c r="I115" s="1" t="s">
        <v>17</v>
      </c>
      <c r="J115" s="1" t="s">
        <v>18</v>
      </c>
      <c r="K115" s="1" t="s">
        <v>19</v>
      </c>
    </row>
    <row r="116" spans="1:11" ht="12.75" customHeight="1" x14ac:dyDescent="0.2">
      <c r="A116" s="1" t="s">
        <v>242</v>
      </c>
      <c r="B116" s="1" t="s">
        <v>243</v>
      </c>
      <c r="C116" s="2">
        <v>3</v>
      </c>
      <c r="D116" s="2">
        <v>36</v>
      </c>
      <c r="E116" s="2">
        <v>0</v>
      </c>
      <c r="F116" s="2">
        <v>0</v>
      </c>
      <c r="G116" s="2">
        <v>113.76730000000001</v>
      </c>
      <c r="H116" s="3">
        <v>341.30189999999999</v>
      </c>
      <c r="I116" s="1" t="s">
        <v>17</v>
      </c>
      <c r="J116" s="1" t="s">
        <v>18</v>
      </c>
      <c r="K116" s="1" t="s">
        <v>19</v>
      </c>
    </row>
    <row r="117" spans="1:11" ht="12.75" customHeight="1" x14ac:dyDescent="0.2">
      <c r="A117" s="1" t="s">
        <v>244</v>
      </c>
      <c r="B117" s="1" t="s">
        <v>245</v>
      </c>
      <c r="C117" s="2">
        <v>23</v>
      </c>
      <c r="D117" s="2">
        <v>322</v>
      </c>
      <c r="E117" s="2">
        <v>0</v>
      </c>
      <c r="F117" s="2">
        <v>0</v>
      </c>
      <c r="G117" s="2">
        <v>132.7285</v>
      </c>
      <c r="H117" s="3">
        <v>3052.7555000000002</v>
      </c>
      <c r="I117" s="1" t="s">
        <v>17</v>
      </c>
      <c r="J117" s="1" t="s">
        <v>18</v>
      </c>
      <c r="K117" s="1" t="s">
        <v>19</v>
      </c>
    </row>
    <row r="118" spans="1:11" ht="12.75" customHeight="1" x14ac:dyDescent="0.2">
      <c r="A118" s="1" t="s">
        <v>246</v>
      </c>
      <c r="B118" s="1" t="s">
        <v>247</v>
      </c>
      <c r="C118" s="2">
        <v>18</v>
      </c>
      <c r="D118" s="2">
        <v>288</v>
      </c>
      <c r="E118" s="2">
        <v>0</v>
      </c>
      <c r="F118" s="2">
        <v>0</v>
      </c>
      <c r="G118" s="2">
        <v>151.68969999999999</v>
      </c>
      <c r="H118" s="3">
        <v>2730.4146000000001</v>
      </c>
      <c r="I118" s="1" t="s">
        <v>17</v>
      </c>
      <c r="J118" s="1" t="s">
        <v>18</v>
      </c>
      <c r="K118" s="1" t="s">
        <v>19</v>
      </c>
    </row>
    <row r="119" spans="1:11" ht="12.75" customHeight="1" x14ac:dyDescent="0.2">
      <c r="A119" s="1" t="s">
        <v>248</v>
      </c>
      <c r="B119" s="1" t="s">
        <v>249</v>
      </c>
      <c r="C119" s="2">
        <v>13</v>
      </c>
      <c r="D119" s="2">
        <v>182</v>
      </c>
      <c r="E119" s="2">
        <v>0</v>
      </c>
      <c r="F119" s="2">
        <v>0</v>
      </c>
      <c r="G119" s="2">
        <v>9.09</v>
      </c>
      <c r="H119" s="3">
        <v>118.17</v>
      </c>
      <c r="I119" s="1" t="s">
        <v>17</v>
      </c>
      <c r="J119" s="1" t="s">
        <v>18</v>
      </c>
      <c r="K119" s="1" t="s">
        <v>19</v>
      </c>
    </row>
    <row r="120" spans="1:11" ht="12.75" customHeight="1" x14ac:dyDescent="0.2">
      <c r="A120" s="1" t="s">
        <v>250</v>
      </c>
      <c r="B120" s="1" t="s">
        <v>251</v>
      </c>
      <c r="C120" s="2">
        <v>4</v>
      </c>
      <c r="D120" s="2">
        <v>0</v>
      </c>
      <c r="E120" s="2">
        <v>0</v>
      </c>
      <c r="F120" s="2">
        <v>0</v>
      </c>
      <c r="G120" s="2">
        <v>324.47289999999998</v>
      </c>
      <c r="H120" s="3">
        <v>1297.8915999999999</v>
      </c>
      <c r="I120" s="1" t="s">
        <v>17</v>
      </c>
      <c r="J120" s="1" t="s">
        <v>18</v>
      </c>
      <c r="K120" s="1" t="s">
        <v>19</v>
      </c>
    </row>
    <row r="121" spans="1:11" ht="12.75" customHeight="1" x14ac:dyDescent="0.2">
      <c r="A121" s="1" t="s">
        <v>252</v>
      </c>
      <c r="B121" s="1" t="s">
        <v>253</v>
      </c>
      <c r="C121" s="2">
        <v>23</v>
      </c>
      <c r="D121" s="2">
        <v>0</v>
      </c>
      <c r="E121" s="2">
        <v>0</v>
      </c>
      <c r="F121" s="2">
        <v>0</v>
      </c>
      <c r="G121" s="2">
        <v>370.82619999999997</v>
      </c>
      <c r="H121" s="3">
        <v>8529.0025999999998</v>
      </c>
      <c r="I121" s="1" t="s">
        <v>17</v>
      </c>
      <c r="J121" s="1" t="s">
        <v>18</v>
      </c>
      <c r="K121" s="1" t="s">
        <v>19</v>
      </c>
    </row>
    <row r="122" spans="1:11" ht="12.75" customHeight="1" x14ac:dyDescent="0.2">
      <c r="A122" s="1" t="s">
        <v>254</v>
      </c>
      <c r="B122" s="1" t="s">
        <v>255</v>
      </c>
      <c r="C122" s="2">
        <v>12</v>
      </c>
      <c r="D122" s="2">
        <v>144</v>
      </c>
      <c r="E122" s="2">
        <v>0</v>
      </c>
      <c r="F122" s="2">
        <v>0</v>
      </c>
      <c r="G122" s="2">
        <v>135.64779999999999</v>
      </c>
      <c r="H122" s="3">
        <v>1627.7736</v>
      </c>
      <c r="I122" s="1" t="s">
        <v>17</v>
      </c>
      <c r="J122" s="1" t="s">
        <v>18</v>
      </c>
      <c r="K122" s="1" t="s">
        <v>19</v>
      </c>
    </row>
    <row r="123" spans="1:11" ht="12.75" customHeight="1" x14ac:dyDescent="0.2">
      <c r="A123" s="1" t="s">
        <v>256</v>
      </c>
      <c r="B123" s="1" t="s">
        <v>257</v>
      </c>
      <c r="C123" s="2">
        <v>6</v>
      </c>
      <c r="D123" s="2">
        <v>84</v>
      </c>
      <c r="E123" s="2">
        <v>0</v>
      </c>
      <c r="F123" s="2">
        <v>0</v>
      </c>
      <c r="G123" s="2">
        <v>158.25579999999999</v>
      </c>
      <c r="H123" s="3">
        <v>949.53480000000002</v>
      </c>
      <c r="I123" s="1" t="s">
        <v>17</v>
      </c>
      <c r="J123" s="1" t="s">
        <v>18</v>
      </c>
      <c r="K123" s="1" t="s">
        <v>19</v>
      </c>
    </row>
    <row r="124" spans="1:11" ht="12.75" customHeight="1" x14ac:dyDescent="0.2">
      <c r="A124" s="1" t="s">
        <v>258</v>
      </c>
      <c r="B124" s="1" t="s">
        <v>259</v>
      </c>
      <c r="C124" s="2">
        <v>12</v>
      </c>
      <c r="D124" s="2">
        <v>192</v>
      </c>
      <c r="E124" s="2">
        <v>0</v>
      </c>
      <c r="F124" s="2">
        <v>0</v>
      </c>
      <c r="G124" s="2">
        <v>180.8638</v>
      </c>
      <c r="H124" s="3">
        <v>2170.3656000000001</v>
      </c>
      <c r="I124" s="1" t="s">
        <v>17</v>
      </c>
      <c r="J124" s="1" t="s">
        <v>18</v>
      </c>
      <c r="K124" s="1" t="s">
        <v>19</v>
      </c>
    </row>
    <row r="125" spans="1:11" ht="12.75" customHeight="1" x14ac:dyDescent="0.2">
      <c r="A125" s="1" t="s">
        <v>260</v>
      </c>
      <c r="B125" s="1" t="s">
        <v>261</v>
      </c>
      <c r="C125" s="2">
        <v>15</v>
      </c>
      <c r="D125" s="2">
        <v>0</v>
      </c>
      <c r="E125" s="2">
        <v>0</v>
      </c>
      <c r="F125" s="2">
        <v>0</v>
      </c>
      <c r="G125" s="2">
        <v>178.78469999999999</v>
      </c>
      <c r="H125" s="3">
        <v>2681.7705000000001</v>
      </c>
      <c r="I125" s="1" t="s">
        <v>17</v>
      </c>
      <c r="J125" s="1" t="s">
        <v>18</v>
      </c>
      <c r="K125" s="1" t="s">
        <v>19</v>
      </c>
    </row>
    <row r="126" spans="1:11" ht="12.75" customHeight="1" x14ac:dyDescent="0.2">
      <c r="A126" s="1" t="s">
        <v>262</v>
      </c>
      <c r="B126" s="1" t="s">
        <v>263</v>
      </c>
      <c r="C126" s="2">
        <v>33</v>
      </c>
      <c r="D126" s="2">
        <v>0</v>
      </c>
      <c r="E126" s="2">
        <v>0</v>
      </c>
      <c r="F126" s="2">
        <v>0</v>
      </c>
      <c r="G126" s="2">
        <v>208.5822</v>
      </c>
      <c r="H126" s="3">
        <v>6883.2125999999998</v>
      </c>
      <c r="I126" s="1" t="s">
        <v>17</v>
      </c>
      <c r="J126" s="1" t="s">
        <v>18</v>
      </c>
      <c r="K126" s="1" t="s">
        <v>19</v>
      </c>
    </row>
    <row r="127" spans="1:11" ht="12.75" customHeight="1" x14ac:dyDescent="0.2">
      <c r="A127" s="1" t="s">
        <v>264</v>
      </c>
      <c r="B127" s="1" t="s">
        <v>265</v>
      </c>
      <c r="C127" s="2">
        <v>19</v>
      </c>
      <c r="D127" s="2">
        <v>0</v>
      </c>
      <c r="E127" s="2">
        <v>0</v>
      </c>
      <c r="F127" s="2">
        <v>0</v>
      </c>
      <c r="G127" s="2">
        <v>238.37970000000001</v>
      </c>
      <c r="H127" s="3">
        <v>4529.2142999999996</v>
      </c>
      <c r="I127" s="1" t="s">
        <v>17</v>
      </c>
      <c r="J127" s="1" t="s">
        <v>18</v>
      </c>
      <c r="K127" s="1" t="s">
        <v>19</v>
      </c>
    </row>
    <row r="128" spans="1:11" ht="12.75" customHeight="1" x14ac:dyDescent="0.2">
      <c r="A128" s="1" t="s">
        <v>266</v>
      </c>
      <c r="B128" s="1" t="s">
        <v>267</v>
      </c>
      <c r="C128" s="2">
        <v>5</v>
      </c>
      <c r="D128" s="2">
        <v>80</v>
      </c>
      <c r="E128" s="2">
        <v>0</v>
      </c>
      <c r="F128" s="2">
        <v>0</v>
      </c>
      <c r="G128" s="2">
        <v>314.21969999999999</v>
      </c>
      <c r="H128" s="3">
        <v>1571.0985000000001</v>
      </c>
      <c r="I128" s="1" t="s">
        <v>17</v>
      </c>
      <c r="J128" s="1" t="s">
        <v>18</v>
      </c>
      <c r="K128" s="1" t="s">
        <v>19</v>
      </c>
    </row>
    <row r="129" spans="1:11" ht="12.75" customHeight="1" x14ac:dyDescent="0.2">
      <c r="A129" s="1" t="s">
        <v>268</v>
      </c>
      <c r="B129" s="1" t="s">
        <v>269</v>
      </c>
      <c r="C129" s="2">
        <v>4</v>
      </c>
      <c r="D129" s="2">
        <v>72</v>
      </c>
      <c r="E129" s="2">
        <v>0</v>
      </c>
      <c r="F129" s="2">
        <v>0</v>
      </c>
      <c r="G129" s="2">
        <v>353.49720000000002</v>
      </c>
      <c r="H129" s="3">
        <v>1413.9888000000001</v>
      </c>
      <c r="I129" s="1" t="s">
        <v>17</v>
      </c>
      <c r="J129" s="1" t="s">
        <v>18</v>
      </c>
      <c r="K129" s="1" t="s">
        <v>19</v>
      </c>
    </row>
    <row r="130" spans="1:11" ht="12.75" customHeight="1" x14ac:dyDescent="0.2">
      <c r="A130" s="1" t="s">
        <v>270</v>
      </c>
      <c r="B130" s="1" t="s">
        <v>271</v>
      </c>
      <c r="C130" s="2">
        <v>5</v>
      </c>
      <c r="D130" s="2">
        <v>100</v>
      </c>
      <c r="E130" s="2">
        <v>0</v>
      </c>
      <c r="F130" s="2">
        <v>0</v>
      </c>
      <c r="G130" s="2">
        <v>392.7747</v>
      </c>
      <c r="H130" s="3">
        <v>1963.8734999999999</v>
      </c>
      <c r="I130" s="1" t="s">
        <v>17</v>
      </c>
      <c r="J130" s="1" t="s">
        <v>18</v>
      </c>
      <c r="K130" s="1" t="s">
        <v>19</v>
      </c>
    </row>
    <row r="131" spans="1:11" ht="12.75" customHeight="1" x14ac:dyDescent="0.2">
      <c r="A131" s="1" t="s">
        <v>272</v>
      </c>
      <c r="B131" s="1" t="s">
        <v>273</v>
      </c>
      <c r="C131" s="2">
        <v>4</v>
      </c>
      <c r="D131" s="2">
        <v>32</v>
      </c>
      <c r="E131" s="2">
        <v>0</v>
      </c>
      <c r="F131" s="2">
        <v>0</v>
      </c>
      <c r="G131" s="2">
        <v>157.10980000000001</v>
      </c>
      <c r="H131" s="3">
        <v>628.43920000000003</v>
      </c>
      <c r="I131" s="1" t="s">
        <v>17</v>
      </c>
      <c r="J131" s="1" t="s">
        <v>18</v>
      </c>
      <c r="K131" s="1" t="s">
        <v>19</v>
      </c>
    </row>
    <row r="132" spans="1:11" ht="12.75" customHeight="1" x14ac:dyDescent="0.2">
      <c r="A132" s="1" t="s">
        <v>274</v>
      </c>
      <c r="B132" s="1" t="s">
        <v>275</v>
      </c>
      <c r="C132" s="2">
        <v>592</v>
      </c>
      <c r="D132" s="2">
        <v>5920</v>
      </c>
      <c r="E132" s="2">
        <v>0</v>
      </c>
      <c r="F132" s="2">
        <v>592</v>
      </c>
      <c r="G132" s="2">
        <v>5.7602000000000002</v>
      </c>
      <c r="H132" s="3">
        <v>3410.0383999999999</v>
      </c>
      <c r="I132" s="1" t="s">
        <v>24</v>
      </c>
      <c r="J132" s="1" t="s">
        <v>25</v>
      </c>
      <c r="K132" s="1" t="s">
        <v>26</v>
      </c>
    </row>
    <row r="133" spans="1:11" ht="12.75" customHeight="1" x14ac:dyDescent="0.2">
      <c r="A133" s="1" t="s">
        <v>276</v>
      </c>
      <c r="B133" s="1" t="s">
        <v>277</v>
      </c>
      <c r="C133" s="2">
        <v>790</v>
      </c>
      <c r="D133" s="2">
        <v>8690</v>
      </c>
      <c r="E133" s="2">
        <v>0</v>
      </c>
      <c r="F133" s="2">
        <v>790</v>
      </c>
      <c r="G133" s="2">
        <v>6.3361999999999998</v>
      </c>
      <c r="H133" s="3">
        <v>5005.598</v>
      </c>
      <c r="I133" s="1" t="s">
        <v>24</v>
      </c>
      <c r="J133" s="1" t="s">
        <v>25</v>
      </c>
      <c r="K133" s="1" t="s">
        <v>26</v>
      </c>
    </row>
    <row r="134" spans="1:11" ht="12.75" customHeight="1" x14ac:dyDescent="0.2">
      <c r="A134" s="1" t="s">
        <v>278</v>
      </c>
      <c r="B134" s="1" t="s">
        <v>279</v>
      </c>
      <c r="C134" s="2">
        <v>482</v>
      </c>
      <c r="D134" s="2">
        <v>5784</v>
      </c>
      <c r="E134" s="2">
        <v>0</v>
      </c>
      <c r="F134" s="2">
        <v>482</v>
      </c>
      <c r="G134" s="2">
        <v>8.7258999999999993</v>
      </c>
      <c r="H134" s="3">
        <v>4205.8837999999996</v>
      </c>
      <c r="I134" s="1" t="s">
        <v>24</v>
      </c>
      <c r="J134" s="1" t="s">
        <v>25</v>
      </c>
      <c r="K134" s="1" t="s">
        <v>26</v>
      </c>
    </row>
    <row r="135" spans="1:11" ht="12.75" customHeight="1" x14ac:dyDescent="0.2">
      <c r="A135" s="1" t="s">
        <v>280</v>
      </c>
      <c r="B135" s="1" t="s">
        <v>281</v>
      </c>
      <c r="C135" s="2">
        <v>780</v>
      </c>
      <c r="D135" s="2">
        <v>10140</v>
      </c>
      <c r="E135" s="2">
        <v>0</v>
      </c>
      <c r="F135" s="2">
        <v>780</v>
      </c>
      <c r="G135" s="2">
        <v>9.4530999999999992</v>
      </c>
      <c r="H135" s="3">
        <v>7373.4179999999997</v>
      </c>
      <c r="I135" s="1" t="s">
        <v>24</v>
      </c>
      <c r="J135" s="1" t="s">
        <v>25</v>
      </c>
      <c r="K135" s="1" t="s">
        <v>26</v>
      </c>
    </row>
    <row r="136" spans="1:11" ht="12.75" customHeight="1" x14ac:dyDescent="0.2">
      <c r="A136" s="1" t="s">
        <v>282</v>
      </c>
      <c r="B136" s="1" t="s">
        <v>283</v>
      </c>
      <c r="C136" s="2">
        <v>241</v>
      </c>
      <c r="D136" s="2">
        <v>3374</v>
      </c>
      <c r="E136" s="2">
        <v>0</v>
      </c>
      <c r="F136" s="2">
        <v>241</v>
      </c>
      <c r="G136" s="2">
        <v>10.180300000000001</v>
      </c>
      <c r="H136" s="3">
        <v>2453.4522999999999</v>
      </c>
      <c r="I136" s="1" t="s">
        <v>24</v>
      </c>
      <c r="J136" s="1" t="s">
        <v>25</v>
      </c>
      <c r="K136" s="1" t="s">
        <v>26</v>
      </c>
    </row>
    <row r="137" spans="1:11" ht="12.75" customHeight="1" x14ac:dyDescent="0.2">
      <c r="A137" s="1" t="s">
        <v>284</v>
      </c>
      <c r="B137" s="1" t="s">
        <v>285</v>
      </c>
      <c r="C137" s="2">
        <v>497</v>
      </c>
      <c r="D137" s="2">
        <v>7455</v>
      </c>
      <c r="E137" s="2">
        <v>0</v>
      </c>
      <c r="F137" s="2">
        <v>497</v>
      </c>
      <c r="G137" s="2">
        <v>10.907400000000001</v>
      </c>
      <c r="H137" s="3">
        <v>5420.9777999999997</v>
      </c>
      <c r="I137" s="1" t="s">
        <v>24</v>
      </c>
      <c r="J137" s="1" t="s">
        <v>25</v>
      </c>
      <c r="K137" s="1" t="s">
        <v>26</v>
      </c>
    </row>
    <row r="138" spans="1:11" ht="12.75" customHeight="1" x14ac:dyDescent="0.2">
      <c r="A138" s="1" t="s">
        <v>286</v>
      </c>
      <c r="B138" s="1" t="s">
        <v>287</v>
      </c>
      <c r="C138" s="2">
        <v>450</v>
      </c>
      <c r="D138" s="2">
        <v>7200</v>
      </c>
      <c r="E138" s="2">
        <v>0</v>
      </c>
      <c r="F138" s="2">
        <v>450</v>
      </c>
      <c r="G138" s="2">
        <v>11.634600000000001</v>
      </c>
      <c r="H138" s="3">
        <v>5235.57</v>
      </c>
      <c r="I138" s="1" t="s">
        <v>24</v>
      </c>
      <c r="J138" s="1" t="s">
        <v>25</v>
      </c>
      <c r="K138" s="1" t="s">
        <v>26</v>
      </c>
    </row>
    <row r="139" spans="1:11" ht="12.75" customHeight="1" x14ac:dyDescent="0.2">
      <c r="A139" s="1" t="s">
        <v>288</v>
      </c>
      <c r="B139" s="1" t="s">
        <v>289</v>
      </c>
      <c r="C139" s="2">
        <v>263</v>
      </c>
      <c r="D139" s="2">
        <v>4471</v>
      </c>
      <c r="E139" s="2">
        <v>0</v>
      </c>
      <c r="F139" s="2">
        <v>263</v>
      </c>
      <c r="G139" s="2">
        <v>12.361800000000001</v>
      </c>
      <c r="H139" s="3">
        <v>3251.1534000000001</v>
      </c>
      <c r="I139" s="1" t="s">
        <v>24</v>
      </c>
      <c r="J139" s="1" t="s">
        <v>25</v>
      </c>
      <c r="K139" s="1" t="s">
        <v>26</v>
      </c>
    </row>
    <row r="140" spans="1:11" ht="12.75" customHeight="1" x14ac:dyDescent="0.2">
      <c r="A140" s="1" t="s">
        <v>290</v>
      </c>
      <c r="B140" s="1" t="s">
        <v>291</v>
      </c>
      <c r="C140" s="2">
        <v>115</v>
      </c>
      <c r="D140" s="2">
        <v>2070</v>
      </c>
      <c r="E140" s="2">
        <v>0</v>
      </c>
      <c r="F140" s="2">
        <v>115</v>
      </c>
      <c r="G140" s="2">
        <v>13.088900000000001</v>
      </c>
      <c r="H140" s="3">
        <v>1505.2235000000001</v>
      </c>
      <c r="I140" s="1" t="s">
        <v>24</v>
      </c>
      <c r="J140" s="1" t="s">
        <v>25</v>
      </c>
      <c r="K140" s="1" t="s">
        <v>26</v>
      </c>
    </row>
    <row r="141" spans="1:11" ht="12.75" customHeight="1" x14ac:dyDescent="0.2">
      <c r="A141" s="1" t="s">
        <v>292</v>
      </c>
      <c r="B141" s="1" t="s">
        <v>293</v>
      </c>
      <c r="C141" s="2">
        <v>178</v>
      </c>
      <c r="D141" s="2">
        <v>3382</v>
      </c>
      <c r="E141" s="2">
        <v>0</v>
      </c>
      <c r="F141" s="2">
        <v>178</v>
      </c>
      <c r="G141" s="2">
        <v>13.8161</v>
      </c>
      <c r="H141" s="3">
        <v>2459.2658000000001</v>
      </c>
      <c r="I141" s="1" t="s">
        <v>24</v>
      </c>
      <c r="J141" s="1" t="s">
        <v>25</v>
      </c>
      <c r="K141" s="1" t="s">
        <v>26</v>
      </c>
    </row>
    <row r="142" spans="1:11" ht="12.75" customHeight="1" x14ac:dyDescent="0.2">
      <c r="A142" s="1" t="s">
        <v>294</v>
      </c>
      <c r="B142" s="1" t="s">
        <v>295</v>
      </c>
      <c r="C142" s="2">
        <v>158</v>
      </c>
      <c r="D142" s="2">
        <v>3160</v>
      </c>
      <c r="E142" s="2">
        <v>0</v>
      </c>
      <c r="F142" s="2">
        <v>158</v>
      </c>
      <c r="G142" s="2">
        <v>14.5433</v>
      </c>
      <c r="H142" s="3">
        <v>2297.8413999999998</v>
      </c>
      <c r="I142" s="1" t="s">
        <v>24</v>
      </c>
      <c r="J142" s="1" t="s">
        <v>25</v>
      </c>
      <c r="K142" s="1" t="s">
        <v>26</v>
      </c>
    </row>
    <row r="143" spans="1:11" ht="12.75" customHeight="1" x14ac:dyDescent="0.2">
      <c r="A143" s="1" t="s">
        <v>296</v>
      </c>
      <c r="B143" s="1" t="s">
        <v>297</v>
      </c>
      <c r="C143" s="2">
        <v>26</v>
      </c>
      <c r="D143" s="2">
        <v>546</v>
      </c>
      <c r="E143" s="2">
        <v>0</v>
      </c>
      <c r="F143" s="2">
        <v>26</v>
      </c>
      <c r="G143" s="2">
        <v>15.2704</v>
      </c>
      <c r="H143" s="3">
        <v>397.03039999999999</v>
      </c>
      <c r="I143" s="1" t="s">
        <v>24</v>
      </c>
      <c r="J143" s="1" t="s">
        <v>25</v>
      </c>
      <c r="K143" s="1" t="s">
        <v>26</v>
      </c>
    </row>
    <row r="144" spans="1:11" ht="12.75" customHeight="1" x14ac:dyDescent="0.2">
      <c r="A144" s="1" t="s">
        <v>298</v>
      </c>
      <c r="B144" s="1" t="s">
        <v>299</v>
      </c>
      <c r="C144" s="2">
        <v>43</v>
      </c>
      <c r="D144" s="2">
        <v>946</v>
      </c>
      <c r="E144" s="2">
        <v>0</v>
      </c>
      <c r="F144" s="2">
        <v>43</v>
      </c>
      <c r="G144" s="2">
        <v>15.9976</v>
      </c>
      <c r="H144" s="3">
        <v>687.89679999999998</v>
      </c>
      <c r="I144" s="1" t="s">
        <v>24</v>
      </c>
      <c r="J144" s="1" t="s">
        <v>25</v>
      </c>
      <c r="K144" s="1" t="s">
        <v>26</v>
      </c>
    </row>
    <row r="145" spans="1:11" ht="12.75" customHeight="1" x14ac:dyDescent="0.2">
      <c r="A145" s="1" t="s">
        <v>300</v>
      </c>
      <c r="B145" s="1" t="s">
        <v>301</v>
      </c>
      <c r="C145" s="2">
        <v>661</v>
      </c>
      <c r="D145" s="2">
        <v>3966</v>
      </c>
      <c r="E145" s="2">
        <v>0</v>
      </c>
      <c r="F145" s="2">
        <v>661</v>
      </c>
      <c r="G145" s="2">
        <v>1.9201999999999999</v>
      </c>
      <c r="H145" s="3">
        <v>1269.2521999999999</v>
      </c>
      <c r="I145" s="1" t="s">
        <v>24</v>
      </c>
      <c r="J145" s="1" t="s">
        <v>25</v>
      </c>
      <c r="K145" s="1" t="s">
        <v>26</v>
      </c>
    </row>
    <row r="146" spans="1:11" ht="12.75" customHeight="1" x14ac:dyDescent="0.2">
      <c r="A146" s="1" t="s">
        <v>302</v>
      </c>
      <c r="B146" s="1" t="s">
        <v>303</v>
      </c>
      <c r="C146" s="2">
        <v>731</v>
      </c>
      <c r="D146" s="2">
        <v>5117</v>
      </c>
      <c r="E146" s="2">
        <v>0</v>
      </c>
      <c r="F146" s="2">
        <v>731</v>
      </c>
      <c r="G146" s="2">
        <v>2.2403</v>
      </c>
      <c r="H146" s="3">
        <v>1637.6593</v>
      </c>
      <c r="I146" s="1" t="s">
        <v>24</v>
      </c>
      <c r="J146" s="1" t="s">
        <v>25</v>
      </c>
      <c r="K146" s="1" t="s">
        <v>26</v>
      </c>
    </row>
    <row r="147" spans="1:11" ht="12.75" customHeight="1" x14ac:dyDescent="0.2">
      <c r="A147" s="1" t="s">
        <v>304</v>
      </c>
      <c r="B147" s="1" t="s">
        <v>305</v>
      </c>
      <c r="C147" s="2">
        <v>835</v>
      </c>
      <c r="D147" s="2">
        <v>6680</v>
      </c>
      <c r="E147" s="2">
        <v>0</v>
      </c>
      <c r="F147" s="2">
        <v>835</v>
      </c>
      <c r="G147" s="2">
        <v>4.6081000000000003</v>
      </c>
      <c r="H147" s="3">
        <v>3847.7635</v>
      </c>
      <c r="I147" s="1" t="s">
        <v>24</v>
      </c>
      <c r="J147" s="1" t="s">
        <v>25</v>
      </c>
      <c r="K147" s="1" t="s">
        <v>26</v>
      </c>
    </row>
    <row r="148" spans="1:11" ht="12.75" customHeight="1" x14ac:dyDescent="0.2">
      <c r="A148" s="1" t="s">
        <v>306</v>
      </c>
      <c r="B148" s="1" t="s">
        <v>307</v>
      </c>
      <c r="C148" s="2">
        <v>960</v>
      </c>
      <c r="D148" s="2">
        <v>8640</v>
      </c>
      <c r="E148" s="2">
        <v>0</v>
      </c>
      <c r="F148" s="2">
        <v>960</v>
      </c>
      <c r="G148" s="2">
        <v>5.1841999999999997</v>
      </c>
      <c r="H148" s="3">
        <v>4976.8320000000003</v>
      </c>
      <c r="I148" s="1" t="s">
        <v>24</v>
      </c>
      <c r="J148" s="1" t="s">
        <v>25</v>
      </c>
      <c r="K148" s="1" t="s">
        <v>26</v>
      </c>
    </row>
    <row r="149" spans="1:11" ht="12.75" customHeight="1" x14ac:dyDescent="0.2">
      <c r="A149" s="1" t="s">
        <v>308</v>
      </c>
      <c r="B149" s="1" t="s">
        <v>309</v>
      </c>
      <c r="C149" s="2">
        <v>214</v>
      </c>
      <c r="D149" s="2">
        <v>2140</v>
      </c>
      <c r="E149" s="2">
        <v>0</v>
      </c>
      <c r="F149" s="2">
        <v>214</v>
      </c>
      <c r="G149" s="2">
        <v>19.453199999999999</v>
      </c>
      <c r="H149" s="3">
        <v>4162.9848000000002</v>
      </c>
      <c r="I149" s="1" t="s">
        <v>17</v>
      </c>
      <c r="J149" s="1" t="s">
        <v>18</v>
      </c>
      <c r="K149" s="1" t="s">
        <v>19</v>
      </c>
    </row>
    <row r="150" spans="1:11" ht="12.75" customHeight="1" x14ac:dyDescent="0.2">
      <c r="A150" s="1" t="s">
        <v>308</v>
      </c>
      <c r="B150" s="1" t="s">
        <v>309</v>
      </c>
      <c r="C150" s="2">
        <v>981</v>
      </c>
      <c r="D150" s="2">
        <v>9810</v>
      </c>
      <c r="E150" s="2">
        <v>0</v>
      </c>
      <c r="F150" s="2">
        <v>981</v>
      </c>
      <c r="G150" s="2">
        <v>17.9237</v>
      </c>
      <c r="H150" s="3">
        <v>17583.149700000002</v>
      </c>
      <c r="I150" s="1" t="s">
        <v>24</v>
      </c>
      <c r="J150" s="1" t="s">
        <v>25</v>
      </c>
      <c r="K150" s="1" t="s">
        <v>26</v>
      </c>
    </row>
    <row r="151" spans="1:11" ht="12.75" customHeight="1" x14ac:dyDescent="0.2">
      <c r="A151" s="1" t="s">
        <v>310</v>
      </c>
      <c r="B151" s="1" t="s">
        <v>311</v>
      </c>
      <c r="C151" s="2">
        <v>102</v>
      </c>
      <c r="D151" s="2">
        <v>1020</v>
      </c>
      <c r="E151" s="2">
        <v>0</v>
      </c>
      <c r="F151" s="2">
        <v>86</v>
      </c>
      <c r="G151" s="2">
        <v>12.1594</v>
      </c>
      <c r="H151" s="3">
        <v>1240.2588000000001</v>
      </c>
      <c r="I151" s="1" t="s">
        <v>125</v>
      </c>
      <c r="J151" s="1" t="s">
        <v>126</v>
      </c>
      <c r="K151" s="1" t="s">
        <v>127</v>
      </c>
    </row>
    <row r="152" spans="1:11" ht="12.75" customHeight="1" x14ac:dyDescent="0.2">
      <c r="A152" s="1" t="s">
        <v>312</v>
      </c>
      <c r="B152" s="1" t="s">
        <v>313</v>
      </c>
      <c r="C152" s="2">
        <v>140</v>
      </c>
      <c r="D152" s="2">
        <v>1540</v>
      </c>
      <c r="E152" s="2">
        <v>0</v>
      </c>
      <c r="F152" s="2">
        <v>0</v>
      </c>
      <c r="G152" s="2">
        <v>19.716100000000001</v>
      </c>
      <c r="H152" s="3">
        <v>2760.2539999999999</v>
      </c>
      <c r="I152" s="1" t="s">
        <v>17</v>
      </c>
      <c r="J152" s="1" t="s">
        <v>18</v>
      </c>
      <c r="K152" s="1" t="s">
        <v>19</v>
      </c>
    </row>
    <row r="153" spans="1:11" ht="12.75" customHeight="1" x14ac:dyDescent="0.2">
      <c r="A153" s="1" t="s">
        <v>314</v>
      </c>
      <c r="B153" s="1" t="s">
        <v>315</v>
      </c>
      <c r="C153" s="2">
        <v>439</v>
      </c>
      <c r="D153" s="2">
        <v>5268</v>
      </c>
      <c r="E153" s="2">
        <v>0</v>
      </c>
      <c r="F153" s="2">
        <v>236</v>
      </c>
      <c r="G153" s="2">
        <v>26.5352</v>
      </c>
      <c r="H153" s="3">
        <v>11648.952799999999</v>
      </c>
      <c r="I153" s="1" t="s">
        <v>17</v>
      </c>
      <c r="J153" s="1" t="s">
        <v>18</v>
      </c>
      <c r="K153" s="1" t="s">
        <v>19</v>
      </c>
    </row>
    <row r="154" spans="1:11" ht="12.75" customHeight="1" x14ac:dyDescent="0.2">
      <c r="A154" s="1" t="s">
        <v>314</v>
      </c>
      <c r="B154" s="1" t="s">
        <v>315</v>
      </c>
      <c r="C154" s="2">
        <v>1218</v>
      </c>
      <c r="D154" s="2">
        <v>14616</v>
      </c>
      <c r="E154" s="2">
        <v>0</v>
      </c>
      <c r="F154" s="2">
        <v>1218</v>
      </c>
      <c r="G154" s="2">
        <v>24.8843</v>
      </c>
      <c r="H154" s="3">
        <v>30309.077399999998</v>
      </c>
      <c r="I154" s="1" t="s">
        <v>24</v>
      </c>
      <c r="J154" s="1" t="s">
        <v>25</v>
      </c>
      <c r="K154" s="1" t="s">
        <v>26</v>
      </c>
    </row>
    <row r="155" spans="1:11" ht="12.75" customHeight="1" x14ac:dyDescent="0.2">
      <c r="A155" s="1" t="s">
        <v>316</v>
      </c>
      <c r="B155" s="1" t="s">
        <v>317</v>
      </c>
      <c r="C155" s="2">
        <v>168</v>
      </c>
      <c r="D155" s="2">
        <v>2016</v>
      </c>
      <c r="E155" s="2">
        <v>0</v>
      </c>
      <c r="F155" s="2">
        <v>98</v>
      </c>
      <c r="G155" s="2">
        <v>19.3096</v>
      </c>
      <c r="H155" s="3">
        <v>3244.0128</v>
      </c>
      <c r="I155" s="1" t="s">
        <v>125</v>
      </c>
      <c r="J155" s="1" t="s">
        <v>126</v>
      </c>
      <c r="K155" s="1" t="s">
        <v>127</v>
      </c>
    </row>
    <row r="156" spans="1:11" ht="12.75" customHeight="1" x14ac:dyDescent="0.2">
      <c r="A156" s="1" t="s">
        <v>318</v>
      </c>
      <c r="B156" s="1" t="s">
        <v>319</v>
      </c>
      <c r="C156" s="2">
        <v>199</v>
      </c>
      <c r="D156" s="2">
        <v>2587</v>
      </c>
      <c r="E156" s="2">
        <v>0</v>
      </c>
      <c r="F156" s="2">
        <v>11</v>
      </c>
      <c r="G156" s="2">
        <v>26.911100000000001</v>
      </c>
      <c r="H156" s="3">
        <v>5355.3089</v>
      </c>
      <c r="I156" s="1" t="s">
        <v>17</v>
      </c>
      <c r="J156" s="1" t="s">
        <v>18</v>
      </c>
      <c r="K156" s="1" t="s">
        <v>19</v>
      </c>
    </row>
    <row r="157" spans="1:11" ht="12.75" customHeight="1" x14ac:dyDescent="0.2">
      <c r="A157" s="1" t="s">
        <v>320</v>
      </c>
      <c r="B157" s="1" t="s">
        <v>321</v>
      </c>
      <c r="C157" s="2">
        <v>501</v>
      </c>
      <c r="D157" s="2">
        <v>7014</v>
      </c>
      <c r="E157" s="2">
        <v>0</v>
      </c>
      <c r="F157" s="2">
        <v>287</v>
      </c>
      <c r="G157" s="2">
        <v>30.938500000000001</v>
      </c>
      <c r="H157" s="3">
        <v>15500.1885</v>
      </c>
      <c r="I157" s="1" t="s">
        <v>17</v>
      </c>
      <c r="J157" s="1" t="s">
        <v>18</v>
      </c>
      <c r="K157" s="1" t="s">
        <v>19</v>
      </c>
    </row>
    <row r="158" spans="1:11" ht="12.75" customHeight="1" x14ac:dyDescent="0.2">
      <c r="A158" s="1" t="s">
        <v>320</v>
      </c>
      <c r="B158" s="1" t="s">
        <v>321</v>
      </c>
      <c r="C158" s="2">
        <v>478</v>
      </c>
      <c r="D158" s="2">
        <v>6692</v>
      </c>
      <c r="E158" s="2">
        <v>0</v>
      </c>
      <c r="F158" s="2">
        <v>478</v>
      </c>
      <c r="G158" s="2">
        <v>29.13</v>
      </c>
      <c r="H158" s="3">
        <v>13924.14</v>
      </c>
      <c r="I158" s="1" t="s">
        <v>24</v>
      </c>
      <c r="J158" s="1" t="s">
        <v>25</v>
      </c>
      <c r="K158" s="1" t="s">
        <v>26</v>
      </c>
    </row>
    <row r="159" spans="1:11" ht="12.75" customHeight="1" x14ac:dyDescent="0.2">
      <c r="A159" s="1" t="s">
        <v>322</v>
      </c>
      <c r="B159" s="1" t="s">
        <v>323</v>
      </c>
      <c r="C159" s="2">
        <v>2</v>
      </c>
      <c r="D159" s="2">
        <v>28</v>
      </c>
      <c r="E159" s="2">
        <v>0</v>
      </c>
      <c r="F159" s="2">
        <v>0</v>
      </c>
      <c r="G159" s="2">
        <v>22.527899999999999</v>
      </c>
      <c r="H159" s="3">
        <v>45.055799999999998</v>
      </c>
      <c r="I159" s="1" t="s">
        <v>24</v>
      </c>
      <c r="J159" s="1" t="s">
        <v>25</v>
      </c>
      <c r="K159" s="1" t="s">
        <v>26</v>
      </c>
    </row>
    <row r="160" spans="1:11" ht="12.75" customHeight="1" x14ac:dyDescent="0.2">
      <c r="A160" s="1" t="s">
        <v>322</v>
      </c>
      <c r="B160" s="1" t="s">
        <v>323</v>
      </c>
      <c r="C160" s="2">
        <v>113</v>
      </c>
      <c r="D160" s="2">
        <v>1582</v>
      </c>
      <c r="E160" s="2">
        <v>0</v>
      </c>
      <c r="F160" s="2">
        <v>61</v>
      </c>
      <c r="G160" s="2">
        <v>22.527899999999999</v>
      </c>
      <c r="H160" s="3">
        <v>2545.6527000000001</v>
      </c>
      <c r="I160" s="1" t="s">
        <v>125</v>
      </c>
      <c r="J160" s="1" t="s">
        <v>126</v>
      </c>
      <c r="K160" s="1" t="s">
        <v>127</v>
      </c>
    </row>
    <row r="161" spans="1:11" ht="12.75" customHeight="1" x14ac:dyDescent="0.2">
      <c r="A161" s="1" t="s">
        <v>324</v>
      </c>
      <c r="B161" s="1" t="s">
        <v>325</v>
      </c>
      <c r="C161" s="2">
        <v>92</v>
      </c>
      <c r="D161" s="2">
        <v>1380</v>
      </c>
      <c r="E161" s="2">
        <v>0</v>
      </c>
      <c r="F161" s="2">
        <v>92</v>
      </c>
      <c r="G161" s="2">
        <v>29.982500000000002</v>
      </c>
      <c r="H161" s="3">
        <v>2758.39</v>
      </c>
      <c r="I161" s="1" t="s">
        <v>17</v>
      </c>
      <c r="J161" s="1" t="s">
        <v>18</v>
      </c>
      <c r="K161" s="1" t="s">
        <v>19</v>
      </c>
    </row>
    <row r="162" spans="1:11" ht="12.75" customHeight="1" x14ac:dyDescent="0.2">
      <c r="A162" s="1" t="s">
        <v>326</v>
      </c>
      <c r="B162" s="1" t="s">
        <v>327</v>
      </c>
      <c r="C162" s="2">
        <v>231</v>
      </c>
      <c r="D162" s="2">
        <v>3696</v>
      </c>
      <c r="E162" s="2">
        <v>0</v>
      </c>
      <c r="F162" s="2">
        <v>231</v>
      </c>
      <c r="G162" s="2">
        <v>34.699800000000003</v>
      </c>
      <c r="H162" s="3">
        <v>8015.6538</v>
      </c>
      <c r="I162" s="1" t="s">
        <v>17</v>
      </c>
      <c r="J162" s="1" t="s">
        <v>18</v>
      </c>
      <c r="K162" s="1" t="s">
        <v>19</v>
      </c>
    </row>
    <row r="163" spans="1:11" ht="12.75" customHeight="1" x14ac:dyDescent="0.2">
      <c r="A163" s="1" t="s">
        <v>326</v>
      </c>
      <c r="B163" s="1" t="s">
        <v>327</v>
      </c>
      <c r="C163" s="2">
        <v>334</v>
      </c>
      <c r="D163" s="2">
        <v>5344</v>
      </c>
      <c r="E163" s="2">
        <v>0</v>
      </c>
      <c r="F163" s="2">
        <v>334</v>
      </c>
      <c r="G163" s="2">
        <v>33.291499999999999</v>
      </c>
      <c r="H163" s="3">
        <v>11119.361000000001</v>
      </c>
      <c r="I163" s="1" t="s">
        <v>24</v>
      </c>
      <c r="J163" s="1" t="s">
        <v>25</v>
      </c>
      <c r="K163" s="1" t="s">
        <v>26</v>
      </c>
    </row>
    <row r="164" spans="1:11" ht="12.75" customHeight="1" x14ac:dyDescent="0.2">
      <c r="A164" s="1" t="s">
        <v>328</v>
      </c>
      <c r="B164" s="1" t="s">
        <v>329</v>
      </c>
      <c r="C164" s="2">
        <v>11</v>
      </c>
      <c r="D164" s="2">
        <v>176</v>
      </c>
      <c r="E164" s="2">
        <v>0</v>
      </c>
      <c r="F164" s="2">
        <v>0</v>
      </c>
      <c r="G164" s="2">
        <v>25.746200000000002</v>
      </c>
      <c r="H164" s="3">
        <v>283.20819999999998</v>
      </c>
      <c r="I164" s="1" t="s">
        <v>24</v>
      </c>
      <c r="J164" s="1" t="s">
        <v>25</v>
      </c>
      <c r="K164" s="1" t="s">
        <v>26</v>
      </c>
    </row>
    <row r="165" spans="1:11" ht="12.75" customHeight="1" x14ac:dyDescent="0.2">
      <c r="A165" s="1" t="s">
        <v>328</v>
      </c>
      <c r="B165" s="1" t="s">
        <v>329</v>
      </c>
      <c r="C165" s="2">
        <v>71</v>
      </c>
      <c r="D165" s="2">
        <v>1136</v>
      </c>
      <c r="E165" s="2">
        <v>0</v>
      </c>
      <c r="F165" s="2">
        <v>71</v>
      </c>
      <c r="G165" s="2">
        <v>25.746200000000002</v>
      </c>
      <c r="H165" s="3">
        <v>1827.9802</v>
      </c>
      <c r="I165" s="1" t="s">
        <v>125</v>
      </c>
      <c r="J165" s="1" t="s">
        <v>126</v>
      </c>
      <c r="K165" s="1" t="s">
        <v>127</v>
      </c>
    </row>
    <row r="166" spans="1:11" ht="12.75" customHeight="1" x14ac:dyDescent="0.2">
      <c r="A166" s="1" t="s">
        <v>328</v>
      </c>
      <c r="B166" s="1" t="s">
        <v>329</v>
      </c>
      <c r="C166" s="2">
        <v>1</v>
      </c>
      <c r="D166" s="2">
        <v>16</v>
      </c>
      <c r="E166" s="2">
        <v>0</v>
      </c>
      <c r="F166" s="2">
        <v>0</v>
      </c>
      <c r="G166" s="2">
        <v>25.746200000000002</v>
      </c>
      <c r="H166" s="3">
        <v>25.746200000000002</v>
      </c>
      <c r="I166" s="1" t="s">
        <v>330</v>
      </c>
      <c r="J166" s="1" t="s">
        <v>331</v>
      </c>
      <c r="K166" s="1" t="s">
        <v>332</v>
      </c>
    </row>
    <row r="167" spans="1:11" ht="12.75" customHeight="1" x14ac:dyDescent="0.2">
      <c r="A167" s="1" t="s">
        <v>333</v>
      </c>
      <c r="B167" s="1" t="s">
        <v>334</v>
      </c>
      <c r="C167" s="2">
        <v>102</v>
      </c>
      <c r="D167" s="2">
        <v>1734</v>
      </c>
      <c r="E167" s="2">
        <v>0</v>
      </c>
      <c r="F167" s="2">
        <v>102</v>
      </c>
      <c r="G167" s="2">
        <v>35.372199999999999</v>
      </c>
      <c r="H167" s="3">
        <v>3607.9643999999998</v>
      </c>
      <c r="I167" s="1" t="s">
        <v>17</v>
      </c>
      <c r="J167" s="1" t="s">
        <v>18</v>
      </c>
      <c r="K167" s="1" t="s">
        <v>19</v>
      </c>
    </row>
    <row r="168" spans="1:11" ht="12.75" customHeight="1" x14ac:dyDescent="0.2">
      <c r="A168" s="1" t="s">
        <v>335</v>
      </c>
      <c r="B168" s="1" t="s">
        <v>336</v>
      </c>
      <c r="C168" s="2">
        <v>14</v>
      </c>
      <c r="D168" s="2">
        <v>238</v>
      </c>
      <c r="E168" s="2">
        <v>0</v>
      </c>
      <c r="F168" s="2">
        <v>14</v>
      </c>
      <c r="G168" s="2">
        <v>32.101399999999998</v>
      </c>
      <c r="H168" s="3">
        <v>449.4196</v>
      </c>
      <c r="I168" s="1" t="s">
        <v>17</v>
      </c>
      <c r="J168" s="1" t="s">
        <v>18</v>
      </c>
      <c r="K168" s="1" t="s">
        <v>19</v>
      </c>
    </row>
    <row r="169" spans="1:11" ht="12.75" customHeight="1" x14ac:dyDescent="0.2">
      <c r="A169" s="1" t="s">
        <v>337</v>
      </c>
      <c r="B169" s="1" t="s">
        <v>338</v>
      </c>
      <c r="C169" s="2">
        <v>148</v>
      </c>
      <c r="D169" s="2">
        <v>2664</v>
      </c>
      <c r="E169" s="2">
        <v>0</v>
      </c>
      <c r="F169" s="2">
        <v>148</v>
      </c>
      <c r="G169" s="2">
        <v>40.463900000000002</v>
      </c>
      <c r="H169" s="3">
        <v>5988.6571999999996</v>
      </c>
      <c r="I169" s="1" t="s">
        <v>17</v>
      </c>
      <c r="J169" s="1" t="s">
        <v>18</v>
      </c>
      <c r="K169" s="1" t="s">
        <v>19</v>
      </c>
    </row>
    <row r="170" spans="1:11" ht="12.75" customHeight="1" x14ac:dyDescent="0.2">
      <c r="A170" s="1" t="s">
        <v>337</v>
      </c>
      <c r="B170" s="1" t="s">
        <v>338</v>
      </c>
      <c r="C170" s="2">
        <v>248</v>
      </c>
      <c r="D170" s="2">
        <v>4464</v>
      </c>
      <c r="E170" s="2">
        <v>0</v>
      </c>
      <c r="F170" s="2">
        <v>248</v>
      </c>
      <c r="G170" s="2">
        <v>37.4529</v>
      </c>
      <c r="H170" s="3">
        <v>9288.3191999999999</v>
      </c>
      <c r="I170" s="1" t="s">
        <v>24</v>
      </c>
      <c r="J170" s="1" t="s">
        <v>25</v>
      </c>
      <c r="K170" s="1" t="s">
        <v>26</v>
      </c>
    </row>
    <row r="171" spans="1:11" ht="12.75" customHeight="1" x14ac:dyDescent="0.2">
      <c r="A171" s="1" t="s">
        <v>339</v>
      </c>
      <c r="B171" s="1" t="s">
        <v>340</v>
      </c>
      <c r="C171" s="2">
        <v>72</v>
      </c>
      <c r="D171" s="2">
        <v>1296</v>
      </c>
      <c r="E171" s="2">
        <v>0</v>
      </c>
      <c r="F171" s="2">
        <v>72</v>
      </c>
      <c r="G171" s="2">
        <v>28.964400000000001</v>
      </c>
      <c r="H171" s="3">
        <v>2085.4367999999999</v>
      </c>
      <c r="I171" s="1" t="s">
        <v>125</v>
      </c>
      <c r="J171" s="1" t="s">
        <v>126</v>
      </c>
      <c r="K171" s="1" t="s">
        <v>127</v>
      </c>
    </row>
    <row r="172" spans="1:11" ht="12.75" customHeight="1" x14ac:dyDescent="0.2">
      <c r="A172" s="1" t="s">
        <v>341</v>
      </c>
      <c r="B172" s="1" t="s">
        <v>342</v>
      </c>
      <c r="C172" s="2">
        <v>71</v>
      </c>
      <c r="D172" s="2">
        <v>1349</v>
      </c>
      <c r="E172" s="2">
        <v>0</v>
      </c>
      <c r="F172" s="2">
        <v>71</v>
      </c>
      <c r="G172" s="2">
        <v>39.5336</v>
      </c>
      <c r="H172" s="3">
        <v>2806.8856000000001</v>
      </c>
      <c r="I172" s="1" t="s">
        <v>17</v>
      </c>
      <c r="J172" s="1" t="s">
        <v>18</v>
      </c>
      <c r="K172" s="1" t="s">
        <v>19</v>
      </c>
    </row>
    <row r="173" spans="1:11" ht="12.75" customHeight="1" x14ac:dyDescent="0.2">
      <c r="A173" s="1" t="s">
        <v>343</v>
      </c>
      <c r="B173" s="1" t="s">
        <v>344</v>
      </c>
      <c r="C173" s="2">
        <v>146</v>
      </c>
      <c r="D173" s="2">
        <v>2920</v>
      </c>
      <c r="E173" s="2">
        <v>0</v>
      </c>
      <c r="F173" s="2">
        <v>146</v>
      </c>
      <c r="G173" s="2">
        <v>44.354300000000002</v>
      </c>
      <c r="H173" s="3">
        <v>6475.7277999999997</v>
      </c>
      <c r="I173" s="1" t="s">
        <v>17</v>
      </c>
      <c r="J173" s="1" t="s">
        <v>18</v>
      </c>
      <c r="K173" s="1" t="s">
        <v>19</v>
      </c>
    </row>
    <row r="174" spans="1:11" ht="12.75" customHeight="1" x14ac:dyDescent="0.2">
      <c r="A174" s="1" t="s">
        <v>343</v>
      </c>
      <c r="B174" s="1" t="s">
        <v>344</v>
      </c>
      <c r="C174" s="2">
        <v>243</v>
      </c>
      <c r="D174" s="2">
        <v>4860</v>
      </c>
      <c r="E174" s="2">
        <v>0</v>
      </c>
      <c r="F174" s="2">
        <v>243</v>
      </c>
      <c r="G174" s="2">
        <v>41.614400000000003</v>
      </c>
      <c r="H174" s="3">
        <v>10112.299199999999</v>
      </c>
      <c r="I174" s="1" t="s">
        <v>24</v>
      </c>
      <c r="J174" s="1" t="s">
        <v>25</v>
      </c>
      <c r="K174" s="1" t="s">
        <v>26</v>
      </c>
    </row>
    <row r="175" spans="1:11" ht="12.75" customHeight="1" x14ac:dyDescent="0.2">
      <c r="A175" s="1" t="s">
        <v>345</v>
      </c>
      <c r="B175" s="1" t="s">
        <v>346</v>
      </c>
      <c r="C175" s="2">
        <v>876</v>
      </c>
      <c r="D175" s="2">
        <v>2628</v>
      </c>
      <c r="E175" s="2">
        <v>0</v>
      </c>
      <c r="F175" s="2">
        <v>0</v>
      </c>
      <c r="G175" s="2">
        <v>1.0961000000000001</v>
      </c>
      <c r="H175" s="3">
        <v>960.18359999999996</v>
      </c>
      <c r="I175" s="1" t="s">
        <v>17</v>
      </c>
      <c r="J175" s="1" t="s">
        <v>18</v>
      </c>
      <c r="K175" s="1" t="s">
        <v>19</v>
      </c>
    </row>
    <row r="176" spans="1:11" ht="12.75" customHeight="1" x14ac:dyDescent="0.2">
      <c r="A176" s="1" t="s">
        <v>345</v>
      </c>
      <c r="B176" s="1" t="s">
        <v>346</v>
      </c>
      <c r="C176" s="2">
        <v>2208</v>
      </c>
      <c r="D176" s="2">
        <v>6624</v>
      </c>
      <c r="E176" s="2">
        <v>0</v>
      </c>
      <c r="F176" s="2">
        <v>2208</v>
      </c>
      <c r="G176" s="2">
        <v>1.0961000000000001</v>
      </c>
      <c r="H176" s="3">
        <v>2420.1887999999999</v>
      </c>
      <c r="I176" s="1" t="s">
        <v>24</v>
      </c>
      <c r="J176" s="1" t="s">
        <v>25</v>
      </c>
      <c r="K176" s="1" t="s">
        <v>26</v>
      </c>
    </row>
    <row r="177" spans="1:11" ht="12.75" customHeight="1" x14ac:dyDescent="0.2">
      <c r="A177" s="1" t="s">
        <v>347</v>
      </c>
      <c r="B177" s="1" t="s">
        <v>348</v>
      </c>
      <c r="C177" s="2">
        <v>9</v>
      </c>
      <c r="D177" s="2">
        <v>36</v>
      </c>
      <c r="E177" s="2">
        <v>0</v>
      </c>
      <c r="F177" s="2">
        <v>0</v>
      </c>
      <c r="G177" s="2">
        <v>1.2977000000000001</v>
      </c>
      <c r="H177" s="3">
        <v>11.6793</v>
      </c>
      <c r="I177" s="1" t="s">
        <v>17</v>
      </c>
      <c r="J177" s="1" t="s">
        <v>18</v>
      </c>
      <c r="K177" s="1" t="s">
        <v>19</v>
      </c>
    </row>
    <row r="178" spans="1:11" ht="12.75" customHeight="1" x14ac:dyDescent="0.2">
      <c r="A178" s="1" t="s">
        <v>347</v>
      </c>
      <c r="B178" s="1" t="s">
        <v>348</v>
      </c>
      <c r="C178" s="2">
        <v>757</v>
      </c>
      <c r="D178" s="2">
        <v>3028</v>
      </c>
      <c r="E178" s="2">
        <v>0</v>
      </c>
      <c r="F178" s="2">
        <v>757</v>
      </c>
      <c r="G178" s="2">
        <v>1.2977000000000001</v>
      </c>
      <c r="H178" s="3">
        <v>982.35889999999995</v>
      </c>
      <c r="I178" s="1" t="s">
        <v>24</v>
      </c>
      <c r="J178" s="1" t="s">
        <v>25</v>
      </c>
      <c r="K178" s="1" t="s">
        <v>26</v>
      </c>
    </row>
    <row r="179" spans="1:11" ht="12.75" customHeight="1" x14ac:dyDescent="0.2">
      <c r="A179" s="1" t="s">
        <v>349</v>
      </c>
      <c r="B179" s="1" t="s">
        <v>350</v>
      </c>
      <c r="C179" s="2">
        <v>42</v>
      </c>
      <c r="D179" s="2">
        <v>210</v>
      </c>
      <c r="E179" s="2">
        <v>0</v>
      </c>
      <c r="F179" s="2">
        <v>42</v>
      </c>
      <c r="G179" s="2">
        <v>1.6229</v>
      </c>
      <c r="H179" s="3">
        <v>68.161799999999999</v>
      </c>
      <c r="I179" s="1" t="s">
        <v>17</v>
      </c>
      <c r="J179" s="1" t="s">
        <v>18</v>
      </c>
      <c r="K179" s="1" t="s">
        <v>19</v>
      </c>
    </row>
    <row r="180" spans="1:11" ht="12.75" customHeight="1" x14ac:dyDescent="0.2">
      <c r="A180" s="1" t="s">
        <v>349</v>
      </c>
      <c r="B180" s="1" t="s">
        <v>350</v>
      </c>
      <c r="C180" s="2">
        <v>1540</v>
      </c>
      <c r="D180" s="2">
        <v>7700</v>
      </c>
      <c r="E180" s="2">
        <v>0</v>
      </c>
      <c r="F180" s="2">
        <v>1540</v>
      </c>
      <c r="G180" s="2">
        <v>1.6229</v>
      </c>
      <c r="H180" s="3">
        <v>2499.2660000000001</v>
      </c>
      <c r="I180" s="1" t="s">
        <v>24</v>
      </c>
      <c r="J180" s="1" t="s">
        <v>25</v>
      </c>
      <c r="K180" s="1" t="s">
        <v>26</v>
      </c>
    </row>
    <row r="181" spans="1:11" ht="12.75" customHeight="1" x14ac:dyDescent="0.2">
      <c r="A181" s="1" t="s">
        <v>351</v>
      </c>
      <c r="B181" s="1" t="s">
        <v>352</v>
      </c>
      <c r="C181" s="2">
        <v>46</v>
      </c>
      <c r="D181" s="2">
        <v>276</v>
      </c>
      <c r="E181" s="2">
        <v>0</v>
      </c>
      <c r="F181" s="2">
        <v>19</v>
      </c>
      <c r="G181" s="2">
        <v>5.4828000000000001</v>
      </c>
      <c r="H181" s="3">
        <v>252.2088</v>
      </c>
      <c r="I181" s="1" t="s">
        <v>17</v>
      </c>
      <c r="J181" s="1" t="s">
        <v>18</v>
      </c>
      <c r="K181" s="1" t="s">
        <v>19</v>
      </c>
    </row>
    <row r="182" spans="1:11" ht="12.75" customHeight="1" x14ac:dyDescent="0.2">
      <c r="A182" s="1" t="s">
        <v>353</v>
      </c>
      <c r="B182" s="1" t="s">
        <v>354</v>
      </c>
      <c r="C182" s="2">
        <v>796</v>
      </c>
      <c r="D182" s="2">
        <v>4776</v>
      </c>
      <c r="E182" s="2">
        <v>0</v>
      </c>
      <c r="F182" s="2">
        <v>796</v>
      </c>
      <c r="G182" s="2">
        <v>3.7315</v>
      </c>
      <c r="H182" s="3">
        <v>2970.2739999999999</v>
      </c>
      <c r="I182" s="1" t="s">
        <v>24</v>
      </c>
      <c r="J182" s="1" t="s">
        <v>25</v>
      </c>
      <c r="K182" s="1" t="s">
        <v>26</v>
      </c>
    </row>
    <row r="183" spans="1:11" ht="12.75" customHeight="1" x14ac:dyDescent="0.2">
      <c r="A183" s="1" t="s">
        <v>356</v>
      </c>
      <c r="B183" s="1" t="s">
        <v>357</v>
      </c>
      <c r="C183" s="2">
        <v>420</v>
      </c>
      <c r="D183" s="2">
        <v>2940</v>
      </c>
      <c r="E183" s="2">
        <v>0</v>
      </c>
      <c r="F183" s="2">
        <v>223</v>
      </c>
      <c r="G183" s="2">
        <v>4.3533999999999997</v>
      </c>
      <c r="H183" s="3">
        <v>1828.4280000000001</v>
      </c>
      <c r="I183" s="1" t="s">
        <v>24</v>
      </c>
      <c r="J183" s="1" t="s">
        <v>25</v>
      </c>
      <c r="K183" s="1" t="s">
        <v>26</v>
      </c>
    </row>
    <row r="184" spans="1:11" ht="12.75" customHeight="1" x14ac:dyDescent="0.2">
      <c r="A184" s="1" t="s">
        <v>358</v>
      </c>
      <c r="B184" s="1" t="s">
        <v>359</v>
      </c>
      <c r="C184" s="2">
        <v>30</v>
      </c>
      <c r="D184" s="2">
        <v>240</v>
      </c>
      <c r="E184" s="2">
        <v>0</v>
      </c>
      <c r="F184" s="2">
        <v>30</v>
      </c>
      <c r="G184" s="2">
        <v>15.3879</v>
      </c>
      <c r="H184" s="3">
        <v>461.637</v>
      </c>
      <c r="I184" s="1" t="s">
        <v>12</v>
      </c>
      <c r="J184" s="1" t="s">
        <v>13</v>
      </c>
      <c r="K184" s="1" t="s">
        <v>14</v>
      </c>
    </row>
    <row r="185" spans="1:11" ht="12.75" customHeight="1" x14ac:dyDescent="0.2">
      <c r="A185" s="1" t="s">
        <v>358</v>
      </c>
      <c r="B185" s="1" t="s">
        <v>359</v>
      </c>
      <c r="C185" s="2">
        <v>9</v>
      </c>
      <c r="D185" s="2">
        <v>72</v>
      </c>
      <c r="E185" s="2">
        <v>0</v>
      </c>
      <c r="F185" s="2">
        <v>4</v>
      </c>
      <c r="G185" s="2">
        <v>15.3879</v>
      </c>
      <c r="H185" s="3">
        <v>138.49109999999999</v>
      </c>
      <c r="I185" s="1" t="s">
        <v>17</v>
      </c>
      <c r="J185" s="1" t="s">
        <v>18</v>
      </c>
      <c r="K185" s="1" t="s">
        <v>19</v>
      </c>
    </row>
    <row r="186" spans="1:11" ht="12.75" customHeight="1" x14ac:dyDescent="0.2">
      <c r="A186" s="1" t="s">
        <v>358</v>
      </c>
      <c r="B186" s="1" t="s">
        <v>359</v>
      </c>
      <c r="C186" s="2">
        <v>735</v>
      </c>
      <c r="D186" s="2">
        <v>5880</v>
      </c>
      <c r="E186" s="2">
        <v>0</v>
      </c>
      <c r="F186" s="2">
        <v>735</v>
      </c>
      <c r="G186" s="2">
        <v>14.339</v>
      </c>
      <c r="H186" s="3">
        <v>10539.165000000001</v>
      </c>
      <c r="I186" s="1" t="s">
        <v>24</v>
      </c>
      <c r="J186" s="1" t="s">
        <v>25</v>
      </c>
      <c r="K186" s="1" t="s">
        <v>26</v>
      </c>
    </row>
    <row r="187" spans="1:11" ht="12.75" customHeight="1" x14ac:dyDescent="0.2">
      <c r="A187" s="1" t="s">
        <v>360</v>
      </c>
      <c r="B187" s="1" t="s">
        <v>361</v>
      </c>
      <c r="C187" s="2">
        <v>366</v>
      </c>
      <c r="D187" s="2">
        <v>2928</v>
      </c>
      <c r="E187" s="2">
        <v>0</v>
      </c>
      <c r="F187" s="2">
        <v>366</v>
      </c>
      <c r="G187" s="2">
        <v>9.7274999999999991</v>
      </c>
      <c r="H187" s="3">
        <v>3560.2649999999999</v>
      </c>
      <c r="I187" s="1" t="s">
        <v>125</v>
      </c>
      <c r="J187" s="1" t="s">
        <v>126</v>
      </c>
      <c r="K187" s="1" t="s">
        <v>127</v>
      </c>
    </row>
    <row r="188" spans="1:11" ht="12.75" customHeight="1" x14ac:dyDescent="0.2">
      <c r="A188" s="1" t="s">
        <v>362</v>
      </c>
      <c r="B188" s="1" t="s">
        <v>363</v>
      </c>
      <c r="C188" s="2">
        <v>204</v>
      </c>
      <c r="D188" s="2">
        <v>1836</v>
      </c>
      <c r="E188" s="2">
        <v>0</v>
      </c>
      <c r="F188" s="2">
        <v>0</v>
      </c>
      <c r="G188" s="2">
        <v>15.4391</v>
      </c>
      <c r="H188" s="3">
        <v>3149.5763999999999</v>
      </c>
      <c r="I188" s="1" t="s">
        <v>17</v>
      </c>
      <c r="J188" s="1" t="s">
        <v>18</v>
      </c>
      <c r="K188" s="1" t="s">
        <v>19</v>
      </c>
    </row>
    <row r="189" spans="1:11" ht="12.75" customHeight="1" x14ac:dyDescent="0.2">
      <c r="A189" s="1" t="s">
        <v>364</v>
      </c>
      <c r="B189" s="1" t="s">
        <v>365</v>
      </c>
      <c r="C189" s="2">
        <v>4</v>
      </c>
      <c r="D189" s="2">
        <v>36</v>
      </c>
      <c r="E189" s="2">
        <v>0</v>
      </c>
      <c r="F189" s="2">
        <v>4</v>
      </c>
      <c r="G189" s="2">
        <v>14.1975</v>
      </c>
      <c r="H189" s="3">
        <v>56.79</v>
      </c>
      <c r="I189" s="1" t="s">
        <v>17</v>
      </c>
      <c r="J189" s="1" t="s">
        <v>18</v>
      </c>
      <c r="K189" s="1" t="s">
        <v>19</v>
      </c>
    </row>
    <row r="190" spans="1:11" ht="12.75" customHeight="1" x14ac:dyDescent="0.2">
      <c r="A190" s="1" t="s">
        <v>366</v>
      </c>
      <c r="B190" s="1" t="s">
        <v>367</v>
      </c>
      <c r="C190" s="2">
        <v>420</v>
      </c>
      <c r="D190" s="2">
        <v>4200</v>
      </c>
      <c r="E190" s="2">
        <v>0</v>
      </c>
      <c r="F190" s="2">
        <v>420</v>
      </c>
      <c r="G190" s="2">
        <v>15.7742</v>
      </c>
      <c r="H190" s="3">
        <v>6625.1639999999998</v>
      </c>
      <c r="I190" s="1" t="s">
        <v>24</v>
      </c>
      <c r="J190" s="1" t="s">
        <v>25</v>
      </c>
      <c r="K190" s="1" t="s">
        <v>26</v>
      </c>
    </row>
    <row r="191" spans="1:11" ht="12.75" customHeight="1" x14ac:dyDescent="0.2">
      <c r="A191" s="1" t="s">
        <v>368</v>
      </c>
      <c r="B191" s="1" t="s">
        <v>369</v>
      </c>
      <c r="C191" s="2">
        <v>77</v>
      </c>
      <c r="D191" s="2">
        <v>847</v>
      </c>
      <c r="E191" s="2">
        <v>0</v>
      </c>
      <c r="F191" s="2">
        <v>0</v>
      </c>
      <c r="G191" s="2">
        <v>19.3796</v>
      </c>
      <c r="H191" s="3">
        <v>1492.2292</v>
      </c>
      <c r="I191" s="1" t="s">
        <v>17</v>
      </c>
      <c r="J191" s="1" t="s">
        <v>18</v>
      </c>
      <c r="K191" s="1" t="s">
        <v>19</v>
      </c>
    </row>
    <row r="192" spans="1:11" ht="12.75" customHeight="1" x14ac:dyDescent="0.2">
      <c r="A192" s="1" t="s">
        <v>368</v>
      </c>
      <c r="B192" s="1" t="s">
        <v>369</v>
      </c>
      <c r="C192" s="2">
        <v>404</v>
      </c>
      <c r="D192" s="2">
        <v>4444</v>
      </c>
      <c r="E192" s="2">
        <v>0</v>
      </c>
      <c r="F192" s="2">
        <v>404</v>
      </c>
      <c r="G192" s="2">
        <v>17.351600000000001</v>
      </c>
      <c r="H192" s="3">
        <v>7010.0464000000002</v>
      </c>
      <c r="I192" s="1" t="s">
        <v>24</v>
      </c>
      <c r="J192" s="1" t="s">
        <v>25</v>
      </c>
      <c r="K192" s="1" t="s">
        <v>26</v>
      </c>
    </row>
    <row r="193" spans="1:11" ht="12.75" customHeight="1" x14ac:dyDescent="0.2">
      <c r="A193" s="1" t="s">
        <v>370</v>
      </c>
      <c r="B193" s="1" t="s">
        <v>371</v>
      </c>
      <c r="C193" s="2">
        <v>228</v>
      </c>
      <c r="D193" s="2">
        <v>2736</v>
      </c>
      <c r="E193" s="2">
        <v>0</v>
      </c>
      <c r="F193" s="2">
        <v>0</v>
      </c>
      <c r="G193" s="2">
        <v>22.659600000000001</v>
      </c>
      <c r="H193" s="3">
        <v>5166.3887999999997</v>
      </c>
      <c r="I193" s="1" t="s">
        <v>17</v>
      </c>
      <c r="J193" s="1" t="s">
        <v>18</v>
      </c>
      <c r="K193" s="1" t="s">
        <v>19</v>
      </c>
    </row>
    <row r="194" spans="1:11" ht="12.75" customHeight="1" x14ac:dyDescent="0.2">
      <c r="A194" s="1" t="s">
        <v>370</v>
      </c>
      <c r="B194" s="1" t="s">
        <v>371</v>
      </c>
      <c r="C194" s="2">
        <v>210</v>
      </c>
      <c r="D194" s="2">
        <v>2520</v>
      </c>
      <c r="E194" s="2">
        <v>0</v>
      </c>
      <c r="F194" s="2">
        <v>210</v>
      </c>
      <c r="G194" s="2">
        <v>22.659600000000001</v>
      </c>
      <c r="H194" s="3">
        <v>4758.5159999999996</v>
      </c>
      <c r="I194" s="1" t="s">
        <v>24</v>
      </c>
      <c r="J194" s="1" t="s">
        <v>25</v>
      </c>
      <c r="K194" s="1" t="s">
        <v>26</v>
      </c>
    </row>
    <row r="195" spans="1:11" ht="12.75" customHeight="1" x14ac:dyDescent="0.2">
      <c r="A195" s="1" t="s">
        <v>372</v>
      </c>
      <c r="B195" s="1" t="s">
        <v>373</v>
      </c>
      <c r="C195" s="2">
        <v>125</v>
      </c>
      <c r="D195" s="2">
        <v>1625</v>
      </c>
      <c r="E195" s="2">
        <v>0</v>
      </c>
      <c r="F195" s="2">
        <v>0</v>
      </c>
      <c r="G195" s="2">
        <v>24.547899999999998</v>
      </c>
      <c r="H195" s="3">
        <v>3068.4875000000002</v>
      </c>
      <c r="I195" s="1" t="s">
        <v>17</v>
      </c>
      <c r="J195" s="1" t="s">
        <v>18</v>
      </c>
      <c r="K195" s="1" t="s">
        <v>19</v>
      </c>
    </row>
    <row r="196" spans="1:11" ht="12.75" customHeight="1" x14ac:dyDescent="0.2">
      <c r="A196" s="1" t="s">
        <v>372</v>
      </c>
      <c r="B196" s="1" t="s">
        <v>373</v>
      </c>
      <c r="C196" s="2">
        <v>420</v>
      </c>
      <c r="D196" s="2">
        <v>5460</v>
      </c>
      <c r="E196" s="2">
        <v>0</v>
      </c>
      <c r="F196" s="2">
        <v>420</v>
      </c>
      <c r="G196" s="2">
        <v>24.547899999999998</v>
      </c>
      <c r="H196" s="3">
        <v>10310.118</v>
      </c>
      <c r="I196" s="1" t="s">
        <v>24</v>
      </c>
      <c r="J196" s="1" t="s">
        <v>25</v>
      </c>
      <c r="K196" s="1" t="s">
        <v>26</v>
      </c>
    </row>
    <row r="197" spans="1:11" ht="12.75" customHeight="1" x14ac:dyDescent="0.2">
      <c r="A197" s="1" t="s">
        <v>374</v>
      </c>
      <c r="B197" s="1" t="s">
        <v>375</v>
      </c>
      <c r="C197" s="2">
        <v>256</v>
      </c>
      <c r="D197" s="2">
        <v>3584</v>
      </c>
      <c r="E197" s="2">
        <v>0</v>
      </c>
      <c r="F197" s="2">
        <v>0</v>
      </c>
      <c r="G197" s="2">
        <v>26.436199999999999</v>
      </c>
      <c r="H197" s="3">
        <v>6767.6671999999999</v>
      </c>
      <c r="I197" s="1" t="s">
        <v>17</v>
      </c>
      <c r="J197" s="1" t="s">
        <v>18</v>
      </c>
      <c r="K197" s="1" t="s">
        <v>19</v>
      </c>
    </row>
    <row r="198" spans="1:11" ht="12.75" customHeight="1" x14ac:dyDescent="0.2">
      <c r="A198" s="1" t="s">
        <v>374</v>
      </c>
      <c r="B198" s="1" t="s">
        <v>375</v>
      </c>
      <c r="C198" s="2">
        <v>280</v>
      </c>
      <c r="D198" s="2">
        <v>3920</v>
      </c>
      <c r="E198" s="2">
        <v>0</v>
      </c>
      <c r="F198" s="2">
        <v>280</v>
      </c>
      <c r="G198" s="2">
        <v>26.436199999999999</v>
      </c>
      <c r="H198" s="3">
        <v>7402.1360000000004</v>
      </c>
      <c r="I198" s="1" t="s">
        <v>24</v>
      </c>
      <c r="J198" s="1" t="s">
        <v>25</v>
      </c>
      <c r="K198" s="1" t="s">
        <v>26</v>
      </c>
    </row>
    <row r="199" spans="1:11" ht="12.75" customHeight="1" x14ac:dyDescent="0.2">
      <c r="A199" s="1" t="s">
        <v>376</v>
      </c>
      <c r="B199" s="1" t="s">
        <v>377</v>
      </c>
      <c r="C199" s="2">
        <v>299</v>
      </c>
      <c r="D199" s="2">
        <v>4485</v>
      </c>
      <c r="E199" s="2">
        <v>0</v>
      </c>
      <c r="F199" s="2">
        <v>299</v>
      </c>
      <c r="G199" s="2">
        <v>28.3245</v>
      </c>
      <c r="H199" s="3">
        <v>8469.0254999999997</v>
      </c>
      <c r="I199" s="1" t="s">
        <v>24</v>
      </c>
      <c r="J199" s="1" t="s">
        <v>25</v>
      </c>
      <c r="K199" s="1" t="s">
        <v>26</v>
      </c>
    </row>
    <row r="200" spans="1:11" ht="12.75" customHeight="1" x14ac:dyDescent="0.2">
      <c r="A200" s="1" t="s">
        <v>378</v>
      </c>
      <c r="B200" s="1" t="s">
        <v>379</v>
      </c>
      <c r="C200" s="2">
        <v>238</v>
      </c>
      <c r="D200" s="2">
        <v>3808</v>
      </c>
      <c r="E200" s="2">
        <v>0</v>
      </c>
      <c r="F200" s="2">
        <v>238</v>
      </c>
      <c r="G200" s="2">
        <v>30.212800000000001</v>
      </c>
      <c r="H200" s="3">
        <v>7190.6463999999996</v>
      </c>
      <c r="I200" s="1" t="s">
        <v>24</v>
      </c>
      <c r="J200" s="1" t="s">
        <v>25</v>
      </c>
      <c r="K200" s="1" t="s">
        <v>26</v>
      </c>
    </row>
    <row r="201" spans="1:11" ht="12.75" customHeight="1" x14ac:dyDescent="0.2">
      <c r="A201" s="1" t="s">
        <v>380</v>
      </c>
      <c r="B201" s="1" t="s">
        <v>381</v>
      </c>
      <c r="C201" s="2">
        <v>57</v>
      </c>
      <c r="D201" s="2">
        <v>969</v>
      </c>
      <c r="E201" s="2">
        <v>0</v>
      </c>
      <c r="F201" s="2">
        <v>57</v>
      </c>
      <c r="G201" s="2">
        <v>32.101100000000002</v>
      </c>
      <c r="H201" s="3">
        <v>1829.7627</v>
      </c>
      <c r="I201" s="1" t="s">
        <v>17</v>
      </c>
      <c r="J201" s="1" t="s">
        <v>18</v>
      </c>
      <c r="K201" s="1" t="s">
        <v>19</v>
      </c>
    </row>
    <row r="202" spans="1:11" ht="12.75" customHeight="1" x14ac:dyDescent="0.2">
      <c r="A202" s="1" t="s">
        <v>380</v>
      </c>
      <c r="B202" s="1" t="s">
        <v>381</v>
      </c>
      <c r="C202" s="2">
        <v>178</v>
      </c>
      <c r="D202" s="2">
        <v>3026</v>
      </c>
      <c r="E202" s="2">
        <v>0</v>
      </c>
      <c r="F202" s="2">
        <v>178</v>
      </c>
      <c r="G202" s="2">
        <v>32.101100000000002</v>
      </c>
      <c r="H202" s="3">
        <v>5713.9957999999997</v>
      </c>
      <c r="I202" s="1" t="s">
        <v>24</v>
      </c>
      <c r="J202" s="1" t="s">
        <v>25</v>
      </c>
      <c r="K202" s="1" t="s">
        <v>26</v>
      </c>
    </row>
    <row r="203" spans="1:11" ht="12.75" customHeight="1" x14ac:dyDescent="0.2">
      <c r="A203" s="1" t="s">
        <v>382</v>
      </c>
      <c r="B203" s="1" t="s">
        <v>383</v>
      </c>
      <c r="C203" s="2">
        <v>41</v>
      </c>
      <c r="D203" s="2">
        <v>738</v>
      </c>
      <c r="E203" s="2">
        <v>0</v>
      </c>
      <c r="F203" s="2">
        <v>41</v>
      </c>
      <c r="G203" s="2">
        <v>33.989400000000003</v>
      </c>
      <c r="H203" s="3">
        <v>1393.5654</v>
      </c>
      <c r="I203" s="1" t="s">
        <v>17</v>
      </c>
      <c r="J203" s="1" t="s">
        <v>18</v>
      </c>
      <c r="K203" s="1" t="s">
        <v>19</v>
      </c>
    </row>
    <row r="204" spans="1:11" ht="12.75" customHeight="1" x14ac:dyDescent="0.2">
      <c r="A204" s="1" t="s">
        <v>382</v>
      </c>
      <c r="B204" s="1" t="s">
        <v>383</v>
      </c>
      <c r="C204" s="2">
        <v>137</v>
      </c>
      <c r="D204" s="2">
        <v>2466</v>
      </c>
      <c r="E204" s="2">
        <v>0</v>
      </c>
      <c r="F204" s="2">
        <v>137</v>
      </c>
      <c r="G204" s="2">
        <v>33.989400000000003</v>
      </c>
      <c r="H204" s="3">
        <v>4656.5478000000003</v>
      </c>
      <c r="I204" s="1" t="s">
        <v>24</v>
      </c>
      <c r="J204" s="1" t="s">
        <v>25</v>
      </c>
      <c r="K204" s="1" t="s">
        <v>26</v>
      </c>
    </row>
    <row r="205" spans="1:11" ht="12.75" customHeight="1" x14ac:dyDescent="0.2">
      <c r="A205" s="1" t="s">
        <v>384</v>
      </c>
      <c r="B205" s="1" t="s">
        <v>385</v>
      </c>
      <c r="C205" s="2">
        <v>76</v>
      </c>
      <c r="D205" s="2">
        <v>1444</v>
      </c>
      <c r="E205" s="2">
        <v>0</v>
      </c>
      <c r="F205" s="2">
        <v>76</v>
      </c>
      <c r="G205" s="2">
        <v>35.877699999999997</v>
      </c>
      <c r="H205" s="3">
        <v>2726.7051999999999</v>
      </c>
      <c r="I205" s="1" t="s">
        <v>17</v>
      </c>
      <c r="J205" s="1" t="s">
        <v>18</v>
      </c>
      <c r="K205" s="1" t="s">
        <v>19</v>
      </c>
    </row>
    <row r="206" spans="1:11" ht="12.75" customHeight="1" x14ac:dyDescent="0.2">
      <c r="A206" s="1" t="s">
        <v>384</v>
      </c>
      <c r="B206" s="1" t="s">
        <v>385</v>
      </c>
      <c r="C206" s="2">
        <v>125</v>
      </c>
      <c r="D206" s="2">
        <v>2375</v>
      </c>
      <c r="E206" s="2">
        <v>0</v>
      </c>
      <c r="F206" s="2">
        <v>125</v>
      </c>
      <c r="G206" s="2">
        <v>35.877699999999997</v>
      </c>
      <c r="H206" s="3">
        <v>4484.7124999999996</v>
      </c>
      <c r="I206" s="1" t="s">
        <v>24</v>
      </c>
      <c r="J206" s="1" t="s">
        <v>25</v>
      </c>
      <c r="K206" s="1" t="s">
        <v>26</v>
      </c>
    </row>
    <row r="207" spans="1:11" ht="12.75" customHeight="1" x14ac:dyDescent="0.2">
      <c r="A207" s="1" t="s">
        <v>386</v>
      </c>
      <c r="B207" s="1" t="s">
        <v>387</v>
      </c>
      <c r="C207" s="2">
        <v>53</v>
      </c>
      <c r="D207" s="2">
        <v>1060</v>
      </c>
      <c r="E207" s="2">
        <v>0</v>
      </c>
      <c r="F207" s="2">
        <v>53</v>
      </c>
      <c r="G207" s="2">
        <v>37.765999999999998</v>
      </c>
      <c r="H207" s="3">
        <v>2001.598</v>
      </c>
      <c r="I207" s="1" t="s">
        <v>17</v>
      </c>
      <c r="J207" s="1" t="s">
        <v>18</v>
      </c>
      <c r="K207" s="1" t="s">
        <v>19</v>
      </c>
    </row>
    <row r="208" spans="1:11" ht="12.75" customHeight="1" x14ac:dyDescent="0.2">
      <c r="A208" s="1" t="s">
        <v>386</v>
      </c>
      <c r="B208" s="1" t="s">
        <v>387</v>
      </c>
      <c r="C208" s="2">
        <v>224</v>
      </c>
      <c r="D208" s="2">
        <v>4480</v>
      </c>
      <c r="E208" s="2">
        <v>0</v>
      </c>
      <c r="F208" s="2">
        <v>224</v>
      </c>
      <c r="G208" s="2">
        <v>37.765999999999998</v>
      </c>
      <c r="H208" s="3">
        <v>8459.5840000000007</v>
      </c>
      <c r="I208" s="1" t="s">
        <v>24</v>
      </c>
      <c r="J208" s="1" t="s">
        <v>25</v>
      </c>
      <c r="K208" s="1" t="s">
        <v>26</v>
      </c>
    </row>
    <row r="209" spans="1:11" ht="12.75" customHeight="1" x14ac:dyDescent="0.2">
      <c r="A209" s="1" t="s">
        <v>388</v>
      </c>
      <c r="B209" s="1" t="s">
        <v>389</v>
      </c>
      <c r="C209" s="2">
        <v>198</v>
      </c>
      <c r="D209" s="2">
        <v>1188</v>
      </c>
      <c r="E209" s="2">
        <v>0</v>
      </c>
      <c r="F209" s="2">
        <v>198</v>
      </c>
      <c r="G209" s="2">
        <v>4.4569999999999999</v>
      </c>
      <c r="H209" s="3">
        <v>882.48599999999999</v>
      </c>
      <c r="I209" s="1" t="s">
        <v>24</v>
      </c>
      <c r="J209" s="1" t="s">
        <v>25</v>
      </c>
      <c r="K209" s="1" t="s">
        <v>26</v>
      </c>
    </row>
    <row r="210" spans="1:11" ht="12.75" customHeight="1" x14ac:dyDescent="0.2">
      <c r="A210" s="1" t="s">
        <v>390</v>
      </c>
      <c r="B210" s="1" t="s">
        <v>391</v>
      </c>
      <c r="C210" s="2">
        <v>140</v>
      </c>
      <c r="D210" s="2">
        <v>980</v>
      </c>
      <c r="E210" s="2">
        <v>0</v>
      </c>
      <c r="F210" s="2">
        <v>140</v>
      </c>
      <c r="G210" s="2">
        <v>5.1997999999999998</v>
      </c>
      <c r="H210" s="3">
        <v>727.97199999999998</v>
      </c>
      <c r="I210" s="1" t="s">
        <v>24</v>
      </c>
      <c r="J210" s="1" t="s">
        <v>25</v>
      </c>
      <c r="K210" s="1" t="s">
        <v>26</v>
      </c>
    </row>
    <row r="211" spans="1:11" ht="12.75" customHeight="1" x14ac:dyDescent="0.2">
      <c r="A211" s="1" t="s">
        <v>392</v>
      </c>
      <c r="B211" s="1" t="s">
        <v>393</v>
      </c>
      <c r="C211" s="2">
        <v>420</v>
      </c>
      <c r="D211" s="2">
        <v>3360</v>
      </c>
      <c r="E211" s="2">
        <v>0</v>
      </c>
      <c r="F211" s="2">
        <v>420</v>
      </c>
      <c r="G211" s="2">
        <v>12.619300000000001</v>
      </c>
      <c r="H211" s="3">
        <v>5300.1059999999998</v>
      </c>
      <c r="I211" s="1" t="s">
        <v>24</v>
      </c>
      <c r="J211" s="1" t="s">
        <v>25</v>
      </c>
      <c r="K211" s="1" t="s">
        <v>26</v>
      </c>
    </row>
    <row r="212" spans="1:11" ht="12.75" customHeight="1" x14ac:dyDescent="0.2">
      <c r="A212" s="1" t="s">
        <v>394</v>
      </c>
      <c r="B212" s="1" t="s">
        <v>395</v>
      </c>
      <c r="C212" s="2">
        <v>166</v>
      </c>
      <c r="D212" s="2">
        <v>1494</v>
      </c>
      <c r="E212" s="2">
        <v>0</v>
      </c>
      <c r="F212" s="2">
        <v>0</v>
      </c>
      <c r="G212" s="2">
        <v>14.1968</v>
      </c>
      <c r="H212" s="3">
        <v>2356.6687999999999</v>
      </c>
      <c r="I212" s="1" t="s">
        <v>17</v>
      </c>
      <c r="J212" s="1" t="s">
        <v>18</v>
      </c>
      <c r="K212" s="1" t="s">
        <v>19</v>
      </c>
    </row>
    <row r="213" spans="1:11" ht="12.75" customHeight="1" x14ac:dyDescent="0.2">
      <c r="A213" s="1" t="s">
        <v>394</v>
      </c>
      <c r="B213" s="1" t="s">
        <v>395</v>
      </c>
      <c r="C213" s="2">
        <v>280</v>
      </c>
      <c r="D213" s="2">
        <v>2520</v>
      </c>
      <c r="E213" s="2">
        <v>0</v>
      </c>
      <c r="F213" s="2">
        <v>280</v>
      </c>
      <c r="G213" s="2">
        <v>14.1968</v>
      </c>
      <c r="H213" s="3">
        <v>3975.1039999999998</v>
      </c>
      <c r="I213" s="1" t="s">
        <v>24</v>
      </c>
      <c r="J213" s="1" t="s">
        <v>25</v>
      </c>
      <c r="K213" s="1" t="s">
        <v>26</v>
      </c>
    </row>
    <row r="214" spans="1:11" ht="12.75" customHeight="1" x14ac:dyDescent="0.2">
      <c r="A214" s="1" t="s">
        <v>396</v>
      </c>
      <c r="B214" s="1" t="s">
        <v>397</v>
      </c>
      <c r="C214" s="2">
        <v>27</v>
      </c>
      <c r="D214" s="2">
        <v>270</v>
      </c>
      <c r="E214" s="2">
        <v>0</v>
      </c>
      <c r="F214" s="2">
        <v>0</v>
      </c>
      <c r="G214" s="2">
        <v>12.395</v>
      </c>
      <c r="H214" s="3">
        <v>334.66500000000002</v>
      </c>
      <c r="I214" s="1" t="s">
        <v>17</v>
      </c>
      <c r="J214" s="1" t="s">
        <v>18</v>
      </c>
      <c r="K214" s="1" t="s">
        <v>19</v>
      </c>
    </row>
    <row r="215" spans="1:11" ht="12.75" customHeight="1" x14ac:dyDescent="0.2">
      <c r="A215" s="1" t="s">
        <v>398</v>
      </c>
      <c r="B215" s="1" t="s">
        <v>399</v>
      </c>
      <c r="C215" s="2">
        <v>101</v>
      </c>
      <c r="D215" s="2">
        <v>1212</v>
      </c>
      <c r="E215" s="2">
        <v>0</v>
      </c>
      <c r="F215" s="2">
        <v>0</v>
      </c>
      <c r="G215" s="2">
        <v>14.874000000000001</v>
      </c>
      <c r="H215" s="3">
        <v>1502.2739999999999</v>
      </c>
      <c r="I215" s="1" t="s">
        <v>17</v>
      </c>
      <c r="J215" s="1" t="s">
        <v>18</v>
      </c>
      <c r="K215" s="1" t="s">
        <v>19</v>
      </c>
    </row>
    <row r="216" spans="1:11" ht="12.75" customHeight="1" x14ac:dyDescent="0.2">
      <c r="A216" s="1" t="s">
        <v>400</v>
      </c>
      <c r="B216" s="1" t="s">
        <v>401</v>
      </c>
      <c r="C216" s="2">
        <v>15</v>
      </c>
      <c r="D216" s="2">
        <v>90</v>
      </c>
      <c r="E216" s="2">
        <v>0</v>
      </c>
      <c r="F216" s="2">
        <v>0</v>
      </c>
      <c r="G216" s="2">
        <v>7.4665999999999997</v>
      </c>
      <c r="H216" s="3">
        <v>111.999</v>
      </c>
      <c r="I216" s="1" t="s">
        <v>17</v>
      </c>
      <c r="J216" s="1" t="s">
        <v>18</v>
      </c>
      <c r="K216" s="1" t="s">
        <v>19</v>
      </c>
    </row>
    <row r="217" spans="1:11" ht="12.75" customHeight="1" x14ac:dyDescent="0.2">
      <c r="A217" s="1" t="s">
        <v>402</v>
      </c>
      <c r="B217" s="1" t="s">
        <v>403</v>
      </c>
      <c r="C217" s="2">
        <v>10</v>
      </c>
      <c r="D217" s="2">
        <v>80</v>
      </c>
      <c r="E217" s="2">
        <v>0</v>
      </c>
      <c r="F217" s="2">
        <v>0</v>
      </c>
      <c r="G217" s="2">
        <v>9.9160000000000004</v>
      </c>
      <c r="H217" s="3">
        <v>99.16</v>
      </c>
      <c r="I217" s="1" t="s">
        <v>17</v>
      </c>
      <c r="J217" s="1" t="s">
        <v>18</v>
      </c>
      <c r="K217" s="1" t="s">
        <v>19</v>
      </c>
    </row>
    <row r="218" spans="1:11" ht="12.75" customHeight="1" x14ac:dyDescent="0.2">
      <c r="A218" s="1" t="s">
        <v>404</v>
      </c>
      <c r="B218" s="1" t="s">
        <v>405</v>
      </c>
      <c r="C218" s="2">
        <v>319</v>
      </c>
      <c r="D218" s="2">
        <v>3190</v>
      </c>
      <c r="E218" s="2">
        <v>0</v>
      </c>
      <c r="F218" s="2">
        <v>0</v>
      </c>
      <c r="G218" s="2">
        <v>15.484299999999999</v>
      </c>
      <c r="H218" s="3">
        <v>4939.4916999999996</v>
      </c>
      <c r="I218" s="1" t="s">
        <v>330</v>
      </c>
      <c r="J218" s="1" t="s">
        <v>331</v>
      </c>
      <c r="K218" s="1" t="s">
        <v>332</v>
      </c>
    </row>
    <row r="219" spans="1:11" ht="12.75" customHeight="1" x14ac:dyDescent="0.2">
      <c r="A219" s="1" t="s">
        <v>406</v>
      </c>
      <c r="B219" s="1" t="s">
        <v>407</v>
      </c>
      <c r="C219" s="2">
        <v>359</v>
      </c>
      <c r="D219" s="2">
        <v>4308</v>
      </c>
      <c r="E219" s="2">
        <v>0</v>
      </c>
      <c r="F219" s="2">
        <v>0</v>
      </c>
      <c r="G219" s="2">
        <v>18.581199999999999</v>
      </c>
      <c r="H219" s="3">
        <v>6670.6508000000003</v>
      </c>
      <c r="I219" s="1" t="s">
        <v>330</v>
      </c>
      <c r="J219" s="1" t="s">
        <v>331</v>
      </c>
      <c r="K219" s="1" t="s">
        <v>332</v>
      </c>
    </row>
    <row r="220" spans="1:11" ht="12.75" customHeight="1" x14ac:dyDescent="0.2">
      <c r="A220" s="1" t="s">
        <v>408</v>
      </c>
      <c r="B220" s="1" t="s">
        <v>409</v>
      </c>
      <c r="C220" s="2">
        <v>242</v>
      </c>
      <c r="D220" s="2">
        <v>3388</v>
      </c>
      <c r="E220" s="2">
        <v>0</v>
      </c>
      <c r="F220" s="2">
        <v>0</v>
      </c>
      <c r="G220" s="2">
        <v>21.678100000000001</v>
      </c>
      <c r="H220" s="3">
        <v>5246.1001999999999</v>
      </c>
      <c r="I220" s="1" t="s">
        <v>330</v>
      </c>
      <c r="J220" s="1" t="s">
        <v>331</v>
      </c>
      <c r="K220" s="1" t="s">
        <v>332</v>
      </c>
    </row>
    <row r="221" spans="1:11" ht="12.75" customHeight="1" x14ac:dyDescent="0.2">
      <c r="A221" s="1" t="s">
        <v>410</v>
      </c>
      <c r="B221" s="1" t="s">
        <v>411</v>
      </c>
      <c r="C221" s="2">
        <v>118</v>
      </c>
      <c r="D221" s="2">
        <v>1888</v>
      </c>
      <c r="E221" s="2">
        <v>0</v>
      </c>
      <c r="F221" s="2">
        <v>0</v>
      </c>
      <c r="G221" s="2">
        <v>24.774999999999999</v>
      </c>
      <c r="H221" s="3">
        <v>2923.45</v>
      </c>
      <c r="I221" s="1" t="s">
        <v>330</v>
      </c>
      <c r="J221" s="1" t="s">
        <v>331</v>
      </c>
      <c r="K221" s="1" t="s">
        <v>332</v>
      </c>
    </row>
    <row r="222" spans="1:11" ht="12.75" customHeight="1" x14ac:dyDescent="0.2">
      <c r="A222" s="1" t="s">
        <v>412</v>
      </c>
      <c r="B222" s="1" t="s">
        <v>413</v>
      </c>
      <c r="C222" s="2">
        <v>74</v>
      </c>
      <c r="D222" s="2">
        <v>1332</v>
      </c>
      <c r="E222" s="2">
        <v>0</v>
      </c>
      <c r="F222" s="2">
        <v>0</v>
      </c>
      <c r="G222" s="2">
        <v>27.8719</v>
      </c>
      <c r="H222" s="3">
        <v>2062.5205999999998</v>
      </c>
      <c r="I222" s="1" t="s">
        <v>330</v>
      </c>
      <c r="J222" s="1" t="s">
        <v>331</v>
      </c>
      <c r="K222" s="1" t="s">
        <v>332</v>
      </c>
    </row>
    <row r="223" spans="1:11" ht="12.75" customHeight="1" x14ac:dyDescent="0.2">
      <c r="A223" s="1" t="s">
        <v>414</v>
      </c>
      <c r="B223" s="1" t="s">
        <v>415</v>
      </c>
      <c r="C223" s="2">
        <v>47</v>
      </c>
      <c r="D223" s="2">
        <v>940</v>
      </c>
      <c r="E223" s="2">
        <v>0</v>
      </c>
      <c r="F223" s="2">
        <v>0</v>
      </c>
      <c r="G223" s="2">
        <v>30.968699999999998</v>
      </c>
      <c r="H223" s="3">
        <v>1455.5289</v>
      </c>
      <c r="I223" s="1" t="s">
        <v>330</v>
      </c>
      <c r="J223" s="1" t="s">
        <v>331</v>
      </c>
      <c r="K223" s="1" t="s">
        <v>332</v>
      </c>
    </row>
    <row r="224" spans="1:11" ht="12.75" customHeight="1" x14ac:dyDescent="0.2">
      <c r="A224" s="1" t="s">
        <v>416</v>
      </c>
      <c r="B224" s="1" t="s">
        <v>417</v>
      </c>
      <c r="C224" s="2">
        <v>262</v>
      </c>
      <c r="D224" s="2">
        <v>2096</v>
      </c>
      <c r="E224" s="2">
        <v>0</v>
      </c>
      <c r="F224" s="2">
        <v>0</v>
      </c>
      <c r="G224" s="2">
        <v>12.387499999999999</v>
      </c>
      <c r="H224" s="3">
        <v>3245.5250000000001</v>
      </c>
      <c r="I224" s="1" t="s">
        <v>330</v>
      </c>
      <c r="J224" s="1" t="s">
        <v>331</v>
      </c>
      <c r="K224" s="1" t="s">
        <v>332</v>
      </c>
    </row>
    <row r="225" spans="1:11" ht="12.75" customHeight="1" x14ac:dyDescent="0.2">
      <c r="A225" s="1" t="s">
        <v>418</v>
      </c>
      <c r="B225" s="1" t="s">
        <v>419</v>
      </c>
      <c r="C225" s="2">
        <v>41</v>
      </c>
      <c r="D225" s="2">
        <v>451</v>
      </c>
      <c r="E225" s="2">
        <v>0</v>
      </c>
      <c r="F225" s="2">
        <v>0</v>
      </c>
      <c r="G225" s="2">
        <v>30.32</v>
      </c>
      <c r="H225" s="3">
        <v>1243.1199999999999</v>
      </c>
      <c r="I225" s="1" t="s">
        <v>24</v>
      </c>
      <c r="J225" s="1" t="s">
        <v>25</v>
      </c>
      <c r="K225" s="1" t="s">
        <v>26</v>
      </c>
    </row>
    <row r="226" spans="1:11" ht="12.75" customHeight="1" x14ac:dyDescent="0.2">
      <c r="A226" s="1" t="s">
        <v>418</v>
      </c>
      <c r="B226" s="1" t="s">
        <v>419</v>
      </c>
      <c r="C226" s="2">
        <v>119</v>
      </c>
      <c r="D226" s="2">
        <v>1309</v>
      </c>
      <c r="E226" s="2">
        <v>0</v>
      </c>
      <c r="F226" s="2">
        <v>0</v>
      </c>
      <c r="G226" s="2">
        <v>30.8201</v>
      </c>
      <c r="H226" s="3">
        <v>3667.5918999999999</v>
      </c>
      <c r="I226" s="1" t="s">
        <v>330</v>
      </c>
      <c r="J226" s="1" t="s">
        <v>331</v>
      </c>
      <c r="K226" s="1" t="s">
        <v>332</v>
      </c>
    </row>
    <row r="227" spans="1:11" ht="12.75" customHeight="1" x14ac:dyDescent="0.2">
      <c r="A227" s="1" t="s">
        <v>420</v>
      </c>
      <c r="B227" s="1" t="s">
        <v>421</v>
      </c>
      <c r="C227" s="2">
        <v>56</v>
      </c>
      <c r="D227" s="2">
        <v>672</v>
      </c>
      <c r="E227" s="2">
        <v>0</v>
      </c>
      <c r="F227" s="2">
        <v>0</v>
      </c>
      <c r="G227" s="2">
        <v>33.622</v>
      </c>
      <c r="H227" s="3">
        <v>1882.8320000000001</v>
      </c>
      <c r="I227" s="1" t="s">
        <v>330</v>
      </c>
      <c r="J227" s="1" t="s">
        <v>331</v>
      </c>
      <c r="K227" s="1" t="s">
        <v>332</v>
      </c>
    </row>
    <row r="228" spans="1:11" ht="12.75" customHeight="1" x14ac:dyDescent="0.2">
      <c r="A228" s="1" t="s">
        <v>422</v>
      </c>
      <c r="B228" s="1" t="s">
        <v>423</v>
      </c>
      <c r="C228" s="2">
        <v>27</v>
      </c>
      <c r="D228" s="2">
        <v>567</v>
      </c>
      <c r="E228" s="2">
        <v>0</v>
      </c>
      <c r="F228" s="2">
        <v>0</v>
      </c>
      <c r="G228" s="2">
        <v>58.838500000000003</v>
      </c>
      <c r="H228" s="3">
        <v>1588.6395</v>
      </c>
      <c r="I228" s="1" t="s">
        <v>330</v>
      </c>
      <c r="J228" s="1" t="s">
        <v>331</v>
      </c>
      <c r="K228" s="1" t="s">
        <v>332</v>
      </c>
    </row>
    <row r="229" spans="1:11" ht="12.75" customHeight="1" x14ac:dyDescent="0.2">
      <c r="A229" s="1" t="s">
        <v>424</v>
      </c>
      <c r="B229" s="1" t="s">
        <v>425</v>
      </c>
      <c r="C229" s="2">
        <v>11</v>
      </c>
      <c r="D229" s="2">
        <v>33</v>
      </c>
      <c r="E229" s="2">
        <v>0</v>
      </c>
      <c r="F229" s="2">
        <v>0</v>
      </c>
      <c r="G229" s="2">
        <v>5.8909000000000002</v>
      </c>
      <c r="H229" s="3">
        <v>64.799899999999994</v>
      </c>
      <c r="I229" s="1" t="s">
        <v>24</v>
      </c>
      <c r="J229" s="1" t="s">
        <v>25</v>
      </c>
      <c r="K229" s="1" t="s">
        <v>26</v>
      </c>
    </row>
    <row r="230" spans="1:11" ht="12.75" customHeight="1" x14ac:dyDescent="0.2">
      <c r="A230" s="1" t="s">
        <v>426</v>
      </c>
      <c r="B230" s="1" t="s">
        <v>427</v>
      </c>
      <c r="C230" s="2">
        <v>40</v>
      </c>
      <c r="D230" s="2">
        <v>160</v>
      </c>
      <c r="E230" s="2">
        <v>0</v>
      </c>
      <c r="F230" s="2">
        <v>0</v>
      </c>
      <c r="G230" s="2">
        <v>2.91</v>
      </c>
      <c r="H230" s="3">
        <v>116.4</v>
      </c>
      <c r="I230" s="1" t="s">
        <v>24</v>
      </c>
      <c r="J230" s="1" t="s">
        <v>25</v>
      </c>
      <c r="K230" s="1" t="s">
        <v>26</v>
      </c>
    </row>
    <row r="231" spans="1:11" ht="12.75" customHeight="1" x14ac:dyDescent="0.2">
      <c r="A231" s="1" t="s">
        <v>428</v>
      </c>
      <c r="B231" s="1" t="s">
        <v>429</v>
      </c>
      <c r="C231" s="2">
        <v>23</v>
      </c>
      <c r="D231" s="2">
        <v>184</v>
      </c>
      <c r="E231" s="2">
        <v>0</v>
      </c>
      <c r="F231" s="2">
        <v>0</v>
      </c>
      <c r="G231" s="2">
        <v>22.4146</v>
      </c>
      <c r="H231" s="3">
        <v>515.53579999999999</v>
      </c>
      <c r="I231" s="1" t="s">
        <v>17</v>
      </c>
      <c r="J231" s="1" t="s">
        <v>18</v>
      </c>
      <c r="K231" s="1" t="s">
        <v>19</v>
      </c>
    </row>
    <row r="232" spans="1:11" ht="12.75" customHeight="1" x14ac:dyDescent="0.2">
      <c r="A232" s="1" t="s">
        <v>428</v>
      </c>
      <c r="B232" s="1" t="s">
        <v>429</v>
      </c>
      <c r="C232" s="2">
        <v>22</v>
      </c>
      <c r="D232" s="2">
        <v>176</v>
      </c>
      <c r="E232" s="2">
        <v>0</v>
      </c>
      <c r="F232" s="2">
        <v>0</v>
      </c>
      <c r="G232" s="2">
        <v>22.4146</v>
      </c>
      <c r="H232" s="3">
        <v>493.12119999999999</v>
      </c>
      <c r="I232" s="1" t="s">
        <v>330</v>
      </c>
      <c r="J232" s="1" t="s">
        <v>331</v>
      </c>
      <c r="K232" s="1" t="s">
        <v>332</v>
      </c>
    </row>
    <row r="233" spans="1:11" ht="12.75" customHeight="1" x14ac:dyDescent="0.2">
      <c r="A233" s="1" t="s">
        <v>430</v>
      </c>
      <c r="B233" s="1" t="s">
        <v>431</v>
      </c>
      <c r="C233" s="2">
        <v>46</v>
      </c>
      <c r="D233" s="2">
        <v>414</v>
      </c>
      <c r="E233" s="2">
        <v>0</v>
      </c>
      <c r="F233" s="2">
        <v>0</v>
      </c>
      <c r="G233" s="2">
        <v>24.81</v>
      </c>
      <c r="H233" s="3">
        <v>1141.26</v>
      </c>
      <c r="I233" s="1" t="s">
        <v>24</v>
      </c>
      <c r="J233" s="1" t="s">
        <v>25</v>
      </c>
      <c r="K233" s="1" t="s">
        <v>26</v>
      </c>
    </row>
    <row r="234" spans="1:11" ht="12.75" customHeight="1" x14ac:dyDescent="0.2">
      <c r="A234" s="1" t="s">
        <v>430</v>
      </c>
      <c r="B234" s="1" t="s">
        <v>431</v>
      </c>
      <c r="C234" s="2">
        <v>8</v>
      </c>
      <c r="D234" s="2">
        <v>72</v>
      </c>
      <c r="E234" s="2">
        <v>0</v>
      </c>
      <c r="F234" s="2">
        <v>0</v>
      </c>
      <c r="G234" s="2">
        <v>25.2165</v>
      </c>
      <c r="H234" s="3">
        <v>201.732</v>
      </c>
      <c r="I234" s="1" t="s">
        <v>330</v>
      </c>
      <c r="J234" s="1" t="s">
        <v>331</v>
      </c>
      <c r="K234" s="1" t="s">
        <v>332</v>
      </c>
    </row>
    <row r="235" spans="1:11" ht="12.75" customHeight="1" x14ac:dyDescent="0.2">
      <c r="A235" s="1" t="s">
        <v>432</v>
      </c>
      <c r="B235" s="1" t="s">
        <v>433</v>
      </c>
      <c r="C235" s="2">
        <v>364</v>
      </c>
      <c r="D235" s="2">
        <v>4368</v>
      </c>
      <c r="E235" s="2">
        <v>0</v>
      </c>
      <c r="F235" s="2">
        <v>0</v>
      </c>
      <c r="G235" s="2">
        <v>48.795099999999998</v>
      </c>
      <c r="H235" s="3">
        <v>17761.416399999998</v>
      </c>
      <c r="I235" s="1" t="s">
        <v>17</v>
      </c>
      <c r="J235" s="1" t="s">
        <v>18</v>
      </c>
      <c r="K235" s="1" t="s">
        <v>19</v>
      </c>
    </row>
    <row r="236" spans="1:11" ht="12.75" customHeight="1" x14ac:dyDescent="0.2">
      <c r="A236" s="1" t="s">
        <v>434</v>
      </c>
      <c r="B236" s="1" t="s">
        <v>435</v>
      </c>
      <c r="C236" s="2">
        <v>248</v>
      </c>
      <c r="D236" s="2">
        <v>3472</v>
      </c>
      <c r="E236" s="2">
        <v>0</v>
      </c>
      <c r="F236" s="2">
        <v>0</v>
      </c>
      <c r="G236" s="2">
        <v>56.927599999999998</v>
      </c>
      <c r="H236" s="3">
        <v>14118.0448</v>
      </c>
      <c r="I236" s="1" t="s">
        <v>17</v>
      </c>
      <c r="J236" s="1" t="s">
        <v>18</v>
      </c>
      <c r="K236" s="1" t="s">
        <v>19</v>
      </c>
    </row>
    <row r="237" spans="1:11" ht="12.75" customHeight="1" x14ac:dyDescent="0.2">
      <c r="A237" s="1" t="s">
        <v>436</v>
      </c>
      <c r="B237" s="1" t="s">
        <v>437</v>
      </c>
      <c r="C237" s="2">
        <v>2</v>
      </c>
      <c r="D237" s="2">
        <v>16</v>
      </c>
      <c r="E237" s="2">
        <v>0</v>
      </c>
      <c r="F237" s="2">
        <v>0</v>
      </c>
      <c r="G237" s="2">
        <v>32.53</v>
      </c>
      <c r="H237" s="3">
        <v>65.06</v>
      </c>
      <c r="I237" s="1" t="s">
        <v>17</v>
      </c>
      <c r="J237" s="1" t="s">
        <v>18</v>
      </c>
      <c r="K237" s="1" t="s">
        <v>19</v>
      </c>
    </row>
    <row r="238" spans="1:11" ht="12.75" customHeight="1" x14ac:dyDescent="0.2">
      <c r="A238" s="1" t="s">
        <v>438</v>
      </c>
      <c r="B238" s="1" t="s">
        <v>439</v>
      </c>
      <c r="C238" s="2">
        <v>8</v>
      </c>
      <c r="D238" s="2">
        <v>112</v>
      </c>
      <c r="E238" s="2">
        <v>0</v>
      </c>
      <c r="F238" s="2">
        <v>0</v>
      </c>
      <c r="G238" s="2">
        <v>205.94120000000001</v>
      </c>
      <c r="H238" s="3">
        <v>1647.5296000000001</v>
      </c>
      <c r="I238" s="1" t="s">
        <v>17</v>
      </c>
      <c r="J238" s="1" t="s">
        <v>18</v>
      </c>
      <c r="K238" s="1" t="s">
        <v>19</v>
      </c>
    </row>
    <row r="239" spans="1:11" ht="12.75" customHeight="1" x14ac:dyDescent="0.2">
      <c r="A239" s="1" t="s">
        <v>440</v>
      </c>
      <c r="B239" s="1" t="s">
        <v>441</v>
      </c>
      <c r="C239" s="2">
        <v>45</v>
      </c>
      <c r="D239" s="2">
        <v>720</v>
      </c>
      <c r="E239" s="2">
        <v>0</v>
      </c>
      <c r="F239" s="2">
        <v>0</v>
      </c>
      <c r="G239" s="2">
        <v>235.3614</v>
      </c>
      <c r="H239" s="3">
        <v>10591.263000000001</v>
      </c>
      <c r="I239" s="1" t="s">
        <v>17</v>
      </c>
      <c r="J239" s="1" t="s">
        <v>18</v>
      </c>
      <c r="K239" s="1" t="s">
        <v>19</v>
      </c>
    </row>
    <row r="240" spans="1:11" ht="12.75" customHeight="1" x14ac:dyDescent="0.2">
      <c r="A240" s="1" t="s">
        <v>442</v>
      </c>
      <c r="B240" s="1" t="s">
        <v>443</v>
      </c>
      <c r="C240" s="2">
        <v>61</v>
      </c>
      <c r="D240" s="2">
        <v>854</v>
      </c>
      <c r="E240" s="2">
        <v>0</v>
      </c>
      <c r="F240" s="2">
        <v>0</v>
      </c>
      <c r="G240" s="2">
        <v>48.385599999999997</v>
      </c>
      <c r="H240" s="3">
        <v>2951.5216</v>
      </c>
      <c r="I240" s="1" t="s">
        <v>17</v>
      </c>
      <c r="J240" s="1" t="s">
        <v>18</v>
      </c>
      <c r="K240" s="1" t="s">
        <v>19</v>
      </c>
    </row>
    <row r="241" spans="1:11" ht="12.75" customHeight="1" x14ac:dyDescent="0.2">
      <c r="A241" s="1" t="s">
        <v>444</v>
      </c>
      <c r="B241" s="1" t="s">
        <v>445</v>
      </c>
      <c r="C241" s="2">
        <v>1</v>
      </c>
      <c r="D241" s="2">
        <v>10</v>
      </c>
      <c r="E241" s="2">
        <v>0</v>
      </c>
      <c r="F241" s="2">
        <v>0</v>
      </c>
      <c r="G241" s="2">
        <v>40.799199999999999</v>
      </c>
      <c r="H241" s="3">
        <v>40.799199999999999</v>
      </c>
      <c r="I241" s="1" t="s">
        <v>17</v>
      </c>
      <c r="J241" s="1" t="s">
        <v>18</v>
      </c>
      <c r="K241" s="1" t="s">
        <v>19</v>
      </c>
    </row>
    <row r="242" spans="1:11" ht="12.75" customHeight="1" x14ac:dyDescent="0.2">
      <c r="A242" s="1" t="s">
        <v>446</v>
      </c>
      <c r="B242" s="1" t="s">
        <v>447</v>
      </c>
      <c r="C242" s="2">
        <v>5</v>
      </c>
      <c r="D242" s="2">
        <v>60</v>
      </c>
      <c r="E242" s="2">
        <v>0</v>
      </c>
      <c r="F242" s="2">
        <v>0</v>
      </c>
      <c r="G242" s="2">
        <v>48.959099999999999</v>
      </c>
      <c r="H242" s="3">
        <v>244.7955</v>
      </c>
      <c r="I242" s="1" t="s">
        <v>17</v>
      </c>
      <c r="J242" s="1" t="s">
        <v>18</v>
      </c>
      <c r="K242" s="1" t="s">
        <v>19</v>
      </c>
    </row>
    <row r="243" spans="1:11" ht="12.75" customHeight="1" x14ac:dyDescent="0.2">
      <c r="A243" s="1" t="s">
        <v>448</v>
      </c>
      <c r="B243" s="1" t="s">
        <v>449</v>
      </c>
      <c r="C243" s="2">
        <v>72</v>
      </c>
      <c r="D243" s="2">
        <v>1008</v>
      </c>
      <c r="E243" s="2">
        <v>0</v>
      </c>
      <c r="F243" s="2">
        <v>0</v>
      </c>
      <c r="G243" s="2">
        <v>57.118899999999996</v>
      </c>
      <c r="H243" s="3">
        <v>4112.5608000000002</v>
      </c>
      <c r="I243" s="1" t="s">
        <v>17</v>
      </c>
      <c r="J243" s="1" t="s">
        <v>18</v>
      </c>
      <c r="K243" s="1" t="s">
        <v>19</v>
      </c>
    </row>
    <row r="244" spans="1:11" ht="12.75" customHeight="1" x14ac:dyDescent="0.2">
      <c r="A244" s="1" t="s">
        <v>450</v>
      </c>
      <c r="B244" s="1" t="s">
        <v>451</v>
      </c>
      <c r="C244" s="2">
        <v>16</v>
      </c>
      <c r="D244" s="2">
        <v>0</v>
      </c>
      <c r="E244" s="2">
        <v>0</v>
      </c>
      <c r="F244" s="2">
        <v>0</v>
      </c>
      <c r="G244" s="2">
        <v>32.639400000000002</v>
      </c>
      <c r="H244" s="3">
        <v>522.23040000000003</v>
      </c>
      <c r="I244" s="1" t="s">
        <v>17</v>
      </c>
      <c r="J244" s="1" t="s">
        <v>18</v>
      </c>
      <c r="K244" s="1" t="s">
        <v>19</v>
      </c>
    </row>
    <row r="245" spans="1:11" ht="12.75" customHeight="1" x14ac:dyDescent="0.2">
      <c r="A245" s="1" t="s">
        <v>452</v>
      </c>
      <c r="B245" s="1" t="s">
        <v>453</v>
      </c>
      <c r="C245" s="2">
        <v>12</v>
      </c>
      <c r="D245" s="2">
        <v>120</v>
      </c>
      <c r="E245" s="2">
        <v>0</v>
      </c>
      <c r="F245" s="2">
        <v>0</v>
      </c>
      <c r="G245" s="2">
        <v>16.222100000000001</v>
      </c>
      <c r="H245" s="3">
        <v>194.6652</v>
      </c>
      <c r="I245" s="1" t="s">
        <v>24</v>
      </c>
      <c r="J245" s="1" t="s">
        <v>25</v>
      </c>
      <c r="K245" s="1" t="s">
        <v>26</v>
      </c>
    </row>
    <row r="246" spans="1:11" ht="12.75" customHeight="1" x14ac:dyDescent="0.2">
      <c r="A246" s="1" t="s">
        <v>452</v>
      </c>
      <c r="B246" s="1" t="s">
        <v>453</v>
      </c>
      <c r="C246" s="2">
        <v>210</v>
      </c>
      <c r="D246" s="2">
        <v>2100</v>
      </c>
      <c r="E246" s="2">
        <v>0</v>
      </c>
      <c r="F246" s="2">
        <v>0</v>
      </c>
      <c r="G246" s="2">
        <v>16.222100000000001</v>
      </c>
      <c r="H246" s="3">
        <v>3406.6410000000001</v>
      </c>
      <c r="I246" s="1" t="s">
        <v>125</v>
      </c>
      <c r="J246" s="1" t="s">
        <v>126</v>
      </c>
      <c r="K246" s="1" t="s">
        <v>127</v>
      </c>
    </row>
    <row r="247" spans="1:11" ht="12.75" customHeight="1" x14ac:dyDescent="0.2">
      <c r="A247" s="1" t="s">
        <v>452</v>
      </c>
      <c r="B247" s="1" t="s">
        <v>453</v>
      </c>
      <c r="C247" s="2">
        <v>131</v>
      </c>
      <c r="D247" s="2">
        <v>1310</v>
      </c>
      <c r="E247" s="2">
        <v>0</v>
      </c>
      <c r="F247" s="2">
        <v>131</v>
      </c>
      <c r="G247" s="2">
        <v>16.222100000000001</v>
      </c>
      <c r="H247" s="3">
        <v>2125.0951</v>
      </c>
      <c r="I247" s="1" t="s">
        <v>330</v>
      </c>
      <c r="J247" s="1" t="s">
        <v>331</v>
      </c>
      <c r="K247" s="1" t="s">
        <v>332</v>
      </c>
    </row>
    <row r="248" spans="1:11" ht="12.75" customHeight="1" x14ac:dyDescent="0.2">
      <c r="A248" s="1" t="s">
        <v>452</v>
      </c>
      <c r="B248" s="1" t="s">
        <v>453</v>
      </c>
      <c r="C248" s="2">
        <v>112</v>
      </c>
      <c r="D248" s="2">
        <v>1120</v>
      </c>
      <c r="E248" s="2">
        <v>0</v>
      </c>
      <c r="F248" s="2">
        <v>0</v>
      </c>
      <c r="G248" s="2">
        <v>16.222100000000001</v>
      </c>
      <c r="H248" s="3">
        <v>1816.8751999999999</v>
      </c>
      <c r="I248" s="1" t="s">
        <v>454</v>
      </c>
      <c r="J248" s="1" t="s">
        <v>455</v>
      </c>
      <c r="K248" s="1" t="s">
        <v>456</v>
      </c>
    </row>
    <row r="249" spans="1:11" ht="12.75" customHeight="1" x14ac:dyDescent="0.2">
      <c r="A249" s="1" t="s">
        <v>457</v>
      </c>
      <c r="B249" s="1" t="s">
        <v>458</v>
      </c>
      <c r="C249" s="2">
        <v>138</v>
      </c>
      <c r="D249" s="2">
        <v>1656</v>
      </c>
      <c r="E249" s="2">
        <v>0</v>
      </c>
      <c r="F249" s="2">
        <v>0</v>
      </c>
      <c r="G249" s="2">
        <v>22.467199999999998</v>
      </c>
      <c r="H249" s="3">
        <v>3100.4735999999998</v>
      </c>
      <c r="I249" s="1" t="s">
        <v>125</v>
      </c>
      <c r="J249" s="1" t="s">
        <v>126</v>
      </c>
      <c r="K249" s="1" t="s">
        <v>127</v>
      </c>
    </row>
    <row r="250" spans="1:11" ht="12.75" customHeight="1" x14ac:dyDescent="0.2">
      <c r="A250" s="1" t="s">
        <v>457</v>
      </c>
      <c r="B250" s="1" t="s">
        <v>458</v>
      </c>
      <c r="C250" s="2">
        <v>144</v>
      </c>
      <c r="D250" s="2">
        <v>1728</v>
      </c>
      <c r="E250" s="2">
        <v>0</v>
      </c>
      <c r="F250" s="2">
        <v>144</v>
      </c>
      <c r="G250" s="2">
        <v>22.467199999999998</v>
      </c>
      <c r="H250" s="3">
        <v>3235.2768000000001</v>
      </c>
      <c r="I250" s="1" t="s">
        <v>330</v>
      </c>
      <c r="J250" s="1" t="s">
        <v>331</v>
      </c>
      <c r="K250" s="1" t="s">
        <v>332</v>
      </c>
    </row>
    <row r="251" spans="1:11" ht="12.75" customHeight="1" x14ac:dyDescent="0.2">
      <c r="A251" s="1" t="s">
        <v>457</v>
      </c>
      <c r="B251" s="1" t="s">
        <v>458</v>
      </c>
      <c r="C251" s="2">
        <v>63</v>
      </c>
      <c r="D251" s="2">
        <v>756</v>
      </c>
      <c r="E251" s="2">
        <v>0</v>
      </c>
      <c r="F251" s="2">
        <v>0</v>
      </c>
      <c r="G251" s="2">
        <v>22.467199999999998</v>
      </c>
      <c r="H251" s="3">
        <v>1415.4336000000001</v>
      </c>
      <c r="I251" s="1" t="s">
        <v>454</v>
      </c>
      <c r="J251" s="1" t="s">
        <v>455</v>
      </c>
      <c r="K251" s="1" t="s">
        <v>456</v>
      </c>
    </row>
    <row r="252" spans="1:11" ht="12.75" customHeight="1" x14ac:dyDescent="0.2">
      <c r="A252" s="1" t="s">
        <v>459</v>
      </c>
      <c r="B252" s="1" t="s">
        <v>460</v>
      </c>
      <c r="C252" s="2">
        <v>18</v>
      </c>
      <c r="D252" s="2">
        <v>252</v>
      </c>
      <c r="E252" s="2">
        <v>0</v>
      </c>
      <c r="F252" s="2">
        <v>0</v>
      </c>
      <c r="G252" s="2">
        <v>26.2118</v>
      </c>
      <c r="H252" s="3">
        <v>471.81240000000003</v>
      </c>
      <c r="I252" s="1" t="s">
        <v>17</v>
      </c>
      <c r="J252" s="1" t="s">
        <v>18</v>
      </c>
      <c r="K252" s="1" t="s">
        <v>19</v>
      </c>
    </row>
    <row r="253" spans="1:11" ht="12.75" customHeight="1" x14ac:dyDescent="0.2">
      <c r="A253" s="1" t="s">
        <v>459</v>
      </c>
      <c r="B253" s="1" t="s">
        <v>460</v>
      </c>
      <c r="C253" s="2">
        <v>26</v>
      </c>
      <c r="D253" s="2">
        <v>364</v>
      </c>
      <c r="E253" s="2">
        <v>0</v>
      </c>
      <c r="F253" s="2">
        <v>0</v>
      </c>
      <c r="G253" s="2">
        <v>26.2118</v>
      </c>
      <c r="H253" s="3">
        <v>681.5068</v>
      </c>
      <c r="I253" s="1" t="s">
        <v>24</v>
      </c>
      <c r="J253" s="1" t="s">
        <v>25</v>
      </c>
      <c r="K253" s="1" t="s">
        <v>26</v>
      </c>
    </row>
    <row r="254" spans="1:11" ht="12.75" customHeight="1" x14ac:dyDescent="0.2">
      <c r="A254" s="1" t="s">
        <v>459</v>
      </c>
      <c r="B254" s="1" t="s">
        <v>460</v>
      </c>
      <c r="C254" s="2">
        <v>75</v>
      </c>
      <c r="D254" s="2">
        <v>1050</v>
      </c>
      <c r="E254" s="2">
        <v>0</v>
      </c>
      <c r="F254" s="2">
        <v>75</v>
      </c>
      <c r="G254" s="2">
        <v>26.2118</v>
      </c>
      <c r="H254" s="3">
        <v>1965.885</v>
      </c>
      <c r="I254" s="1" t="s">
        <v>330</v>
      </c>
      <c r="J254" s="1" t="s">
        <v>331</v>
      </c>
      <c r="K254" s="1" t="s">
        <v>332</v>
      </c>
    </row>
    <row r="255" spans="1:11" ht="12.75" customHeight="1" x14ac:dyDescent="0.2">
      <c r="A255" s="1" t="s">
        <v>459</v>
      </c>
      <c r="B255" s="1" t="s">
        <v>460</v>
      </c>
      <c r="C255" s="2">
        <v>53</v>
      </c>
      <c r="D255" s="2">
        <v>742</v>
      </c>
      <c r="E255" s="2">
        <v>0</v>
      </c>
      <c r="F255" s="2">
        <v>0</v>
      </c>
      <c r="G255" s="2">
        <v>26.2118</v>
      </c>
      <c r="H255" s="3">
        <v>1389.2254</v>
      </c>
      <c r="I255" s="1" t="s">
        <v>454</v>
      </c>
      <c r="J255" s="1" t="s">
        <v>455</v>
      </c>
      <c r="K255" s="1" t="s">
        <v>456</v>
      </c>
    </row>
    <row r="256" spans="1:11" ht="12.75" customHeight="1" x14ac:dyDescent="0.2">
      <c r="A256" s="1" t="s">
        <v>461</v>
      </c>
      <c r="B256" s="1" t="s">
        <v>462</v>
      </c>
      <c r="C256" s="2">
        <v>38</v>
      </c>
      <c r="D256" s="2">
        <v>608</v>
      </c>
      <c r="E256" s="2">
        <v>0</v>
      </c>
      <c r="F256" s="2">
        <v>0</v>
      </c>
      <c r="G256" s="2">
        <v>29.956299999999999</v>
      </c>
      <c r="H256" s="3">
        <v>1138.3394000000001</v>
      </c>
      <c r="I256" s="1" t="s">
        <v>17</v>
      </c>
      <c r="J256" s="1" t="s">
        <v>18</v>
      </c>
      <c r="K256" s="1" t="s">
        <v>19</v>
      </c>
    </row>
    <row r="257" spans="1:11" ht="12.75" customHeight="1" x14ac:dyDescent="0.2">
      <c r="A257" s="1" t="s">
        <v>461</v>
      </c>
      <c r="B257" s="1" t="s">
        <v>462</v>
      </c>
      <c r="C257" s="2">
        <v>4</v>
      </c>
      <c r="D257" s="2">
        <v>64</v>
      </c>
      <c r="E257" s="2">
        <v>0</v>
      </c>
      <c r="F257" s="2">
        <v>0</v>
      </c>
      <c r="G257" s="2">
        <v>29.956299999999999</v>
      </c>
      <c r="H257" s="3">
        <v>119.8252</v>
      </c>
      <c r="I257" s="1" t="s">
        <v>24</v>
      </c>
      <c r="J257" s="1" t="s">
        <v>25</v>
      </c>
      <c r="K257" s="1" t="s">
        <v>26</v>
      </c>
    </row>
    <row r="258" spans="1:11" ht="12.75" customHeight="1" x14ac:dyDescent="0.2">
      <c r="A258" s="1" t="s">
        <v>461</v>
      </c>
      <c r="B258" s="1" t="s">
        <v>462</v>
      </c>
      <c r="C258" s="2">
        <v>44</v>
      </c>
      <c r="D258" s="2">
        <v>704</v>
      </c>
      <c r="E258" s="2">
        <v>0</v>
      </c>
      <c r="F258" s="2">
        <v>21</v>
      </c>
      <c r="G258" s="2">
        <v>29.956299999999999</v>
      </c>
      <c r="H258" s="3">
        <v>1318.0771999999999</v>
      </c>
      <c r="I258" s="1" t="s">
        <v>125</v>
      </c>
      <c r="J258" s="1" t="s">
        <v>126</v>
      </c>
      <c r="K258" s="1" t="s">
        <v>127</v>
      </c>
    </row>
    <row r="259" spans="1:11" ht="12.75" customHeight="1" x14ac:dyDescent="0.2">
      <c r="A259" s="1" t="s">
        <v>461</v>
      </c>
      <c r="B259" s="1" t="s">
        <v>462</v>
      </c>
      <c r="C259" s="2">
        <v>102</v>
      </c>
      <c r="D259" s="2">
        <v>1632</v>
      </c>
      <c r="E259" s="2">
        <v>0</v>
      </c>
      <c r="F259" s="2">
        <v>102</v>
      </c>
      <c r="G259" s="2">
        <v>29.956299999999999</v>
      </c>
      <c r="H259" s="3">
        <v>3055.5426000000002</v>
      </c>
      <c r="I259" s="1" t="s">
        <v>330</v>
      </c>
      <c r="J259" s="1" t="s">
        <v>331</v>
      </c>
      <c r="K259" s="1" t="s">
        <v>332</v>
      </c>
    </row>
    <row r="260" spans="1:11" ht="12.75" customHeight="1" x14ac:dyDescent="0.2">
      <c r="A260" s="1" t="s">
        <v>463</v>
      </c>
      <c r="B260" s="1" t="s">
        <v>464</v>
      </c>
      <c r="C260" s="2">
        <v>80</v>
      </c>
      <c r="D260" s="2">
        <v>1440</v>
      </c>
      <c r="E260" s="2">
        <v>0</v>
      </c>
      <c r="F260" s="2">
        <v>11</v>
      </c>
      <c r="G260" s="2">
        <v>33.700800000000001</v>
      </c>
      <c r="H260" s="3">
        <v>2696.0639999999999</v>
      </c>
      <c r="I260" s="1" t="s">
        <v>125</v>
      </c>
      <c r="J260" s="1" t="s">
        <v>126</v>
      </c>
      <c r="K260" s="1" t="s">
        <v>127</v>
      </c>
    </row>
    <row r="261" spans="1:11" ht="12.75" customHeight="1" x14ac:dyDescent="0.2">
      <c r="A261" s="1" t="s">
        <v>463</v>
      </c>
      <c r="B261" s="1" t="s">
        <v>464</v>
      </c>
      <c r="C261" s="2">
        <v>163</v>
      </c>
      <c r="D261" s="2">
        <v>2934</v>
      </c>
      <c r="E261" s="2">
        <v>0</v>
      </c>
      <c r="F261" s="2">
        <v>163</v>
      </c>
      <c r="G261" s="2">
        <v>33.700800000000001</v>
      </c>
      <c r="H261" s="3">
        <v>5493.2304000000004</v>
      </c>
      <c r="I261" s="1" t="s">
        <v>330</v>
      </c>
      <c r="J261" s="1" t="s">
        <v>331</v>
      </c>
      <c r="K261" s="1" t="s">
        <v>332</v>
      </c>
    </row>
    <row r="262" spans="1:11" ht="12.75" customHeight="1" x14ac:dyDescent="0.2">
      <c r="A262" s="1" t="s">
        <v>465</v>
      </c>
      <c r="B262" s="1" t="s">
        <v>466</v>
      </c>
      <c r="C262" s="2">
        <v>43</v>
      </c>
      <c r="D262" s="2">
        <v>946</v>
      </c>
      <c r="E262" s="2">
        <v>0</v>
      </c>
      <c r="F262" s="2">
        <v>0</v>
      </c>
      <c r="G262" s="2">
        <v>41.189900000000002</v>
      </c>
      <c r="H262" s="3">
        <v>1771.1657</v>
      </c>
      <c r="I262" s="1" t="s">
        <v>125</v>
      </c>
      <c r="J262" s="1" t="s">
        <v>126</v>
      </c>
      <c r="K262" s="1" t="s">
        <v>127</v>
      </c>
    </row>
    <row r="263" spans="1:11" ht="12.75" customHeight="1" x14ac:dyDescent="0.2">
      <c r="A263" s="1" t="s">
        <v>467</v>
      </c>
      <c r="B263" s="1" t="s">
        <v>468</v>
      </c>
      <c r="C263" s="2">
        <v>125</v>
      </c>
      <c r="D263" s="2">
        <v>1000</v>
      </c>
      <c r="E263" s="2">
        <v>0</v>
      </c>
      <c r="F263" s="2">
        <v>0</v>
      </c>
      <c r="G263" s="2">
        <v>12.977600000000001</v>
      </c>
      <c r="H263" s="3">
        <v>1622.2</v>
      </c>
      <c r="I263" s="1" t="s">
        <v>24</v>
      </c>
      <c r="J263" s="1" t="s">
        <v>25</v>
      </c>
      <c r="K263" s="1" t="s">
        <v>26</v>
      </c>
    </row>
    <row r="264" spans="1:11" ht="12.75" customHeight="1" x14ac:dyDescent="0.2">
      <c r="A264" s="1" t="s">
        <v>467</v>
      </c>
      <c r="B264" s="1" t="s">
        <v>468</v>
      </c>
      <c r="C264" s="2">
        <v>190</v>
      </c>
      <c r="D264" s="2">
        <v>1520</v>
      </c>
      <c r="E264" s="2">
        <v>0</v>
      </c>
      <c r="F264" s="2">
        <v>190</v>
      </c>
      <c r="G264" s="2">
        <v>12.977600000000001</v>
      </c>
      <c r="H264" s="3">
        <v>2465.7440000000001</v>
      </c>
      <c r="I264" s="1" t="s">
        <v>330</v>
      </c>
      <c r="J264" s="1" t="s">
        <v>331</v>
      </c>
      <c r="K264" s="1" t="s">
        <v>332</v>
      </c>
    </row>
    <row r="265" spans="1:11" ht="12.75" customHeight="1" x14ac:dyDescent="0.2">
      <c r="A265" s="1" t="s">
        <v>467</v>
      </c>
      <c r="B265" s="1" t="s">
        <v>468</v>
      </c>
      <c r="C265" s="2">
        <v>45</v>
      </c>
      <c r="D265" s="2">
        <v>360</v>
      </c>
      <c r="E265" s="2">
        <v>0</v>
      </c>
      <c r="F265" s="2">
        <v>0</v>
      </c>
      <c r="G265" s="2">
        <v>12.977600000000001</v>
      </c>
      <c r="H265" s="3">
        <v>583.99199999999996</v>
      </c>
      <c r="I265" s="1" t="s">
        <v>454</v>
      </c>
      <c r="J265" s="1" t="s">
        <v>455</v>
      </c>
      <c r="K265" s="1" t="s">
        <v>456</v>
      </c>
    </row>
    <row r="266" spans="1:11" ht="12.75" customHeight="1" x14ac:dyDescent="0.2">
      <c r="A266" s="1" t="s">
        <v>469</v>
      </c>
      <c r="B266" s="1" t="s">
        <v>470</v>
      </c>
      <c r="C266" s="2">
        <v>66</v>
      </c>
      <c r="D266" s="2">
        <v>660</v>
      </c>
      <c r="E266" s="2">
        <v>0</v>
      </c>
      <c r="F266" s="2">
        <v>0</v>
      </c>
      <c r="G266" s="2">
        <v>24.224299999999999</v>
      </c>
      <c r="H266" s="3">
        <v>1598.8037999999999</v>
      </c>
      <c r="I266" s="1" t="s">
        <v>24</v>
      </c>
      <c r="J266" s="1" t="s">
        <v>25</v>
      </c>
      <c r="K266" s="1" t="s">
        <v>26</v>
      </c>
    </row>
    <row r="267" spans="1:11" ht="12.75" customHeight="1" x14ac:dyDescent="0.2">
      <c r="A267" s="1" t="s">
        <v>471</v>
      </c>
      <c r="B267" s="1" t="s">
        <v>472</v>
      </c>
      <c r="C267" s="2">
        <v>226</v>
      </c>
      <c r="D267" s="2">
        <v>2712</v>
      </c>
      <c r="E267" s="2">
        <v>0</v>
      </c>
      <c r="F267" s="2">
        <v>0</v>
      </c>
      <c r="G267" s="2">
        <v>29.069199999999999</v>
      </c>
      <c r="H267" s="3">
        <v>6569.6391999999996</v>
      </c>
      <c r="I267" s="1" t="s">
        <v>24</v>
      </c>
      <c r="J267" s="1" t="s">
        <v>25</v>
      </c>
      <c r="K267" s="1" t="s">
        <v>26</v>
      </c>
    </row>
    <row r="268" spans="1:11" ht="12.75" customHeight="1" x14ac:dyDescent="0.2">
      <c r="A268" s="1" t="s">
        <v>473</v>
      </c>
      <c r="B268" s="1" t="s">
        <v>474</v>
      </c>
      <c r="C268" s="2">
        <v>52</v>
      </c>
      <c r="D268" s="2">
        <v>832</v>
      </c>
      <c r="E268" s="2">
        <v>0</v>
      </c>
      <c r="F268" s="2">
        <v>0</v>
      </c>
      <c r="G268" s="2">
        <v>38.758899999999997</v>
      </c>
      <c r="H268" s="3">
        <v>2015.4628</v>
      </c>
      <c r="I268" s="1" t="s">
        <v>24</v>
      </c>
      <c r="J268" s="1" t="s">
        <v>25</v>
      </c>
      <c r="K268" s="1" t="s">
        <v>26</v>
      </c>
    </row>
    <row r="269" spans="1:11" ht="12.75" customHeight="1" x14ac:dyDescent="0.2">
      <c r="A269" s="1" t="s">
        <v>475</v>
      </c>
      <c r="B269" s="1" t="s">
        <v>476</v>
      </c>
      <c r="C269" s="2">
        <v>27</v>
      </c>
      <c r="D269" s="2">
        <v>486</v>
      </c>
      <c r="E269" s="2">
        <v>0</v>
      </c>
      <c r="F269" s="2">
        <v>0</v>
      </c>
      <c r="G269" s="2">
        <v>43.6038</v>
      </c>
      <c r="H269" s="3">
        <v>1177.3026</v>
      </c>
      <c r="I269" s="1" t="s">
        <v>24</v>
      </c>
      <c r="J269" s="1" t="s">
        <v>25</v>
      </c>
      <c r="K269" s="1" t="s">
        <v>26</v>
      </c>
    </row>
    <row r="270" spans="1:11" ht="12.75" customHeight="1" x14ac:dyDescent="0.2">
      <c r="A270" s="1" t="s">
        <v>477</v>
      </c>
      <c r="B270" s="1" t="s">
        <v>478</v>
      </c>
      <c r="C270" s="2">
        <v>53</v>
      </c>
      <c r="D270" s="2">
        <v>1060</v>
      </c>
      <c r="E270" s="2">
        <v>0</v>
      </c>
      <c r="F270" s="2">
        <v>0</v>
      </c>
      <c r="G270" s="2">
        <v>48.448700000000002</v>
      </c>
      <c r="H270" s="3">
        <v>2567.7811000000002</v>
      </c>
      <c r="I270" s="1" t="s">
        <v>24</v>
      </c>
      <c r="J270" s="1" t="s">
        <v>25</v>
      </c>
      <c r="K270" s="1" t="s">
        <v>26</v>
      </c>
    </row>
    <row r="271" spans="1:11" ht="12.75" customHeight="1" x14ac:dyDescent="0.2">
      <c r="A271" s="1" t="s">
        <v>479</v>
      </c>
      <c r="B271" s="1" t="s">
        <v>480</v>
      </c>
      <c r="C271" s="2">
        <v>56</v>
      </c>
      <c r="D271" s="2">
        <v>1232</v>
      </c>
      <c r="E271" s="2">
        <v>0</v>
      </c>
      <c r="F271" s="2">
        <v>0</v>
      </c>
      <c r="G271" s="2">
        <v>53.293599999999998</v>
      </c>
      <c r="H271" s="3">
        <v>2984.4416000000001</v>
      </c>
      <c r="I271" s="1" t="s">
        <v>24</v>
      </c>
      <c r="J271" s="1" t="s">
        <v>25</v>
      </c>
      <c r="K271" s="1" t="s">
        <v>26</v>
      </c>
    </row>
    <row r="272" spans="1:11" ht="12.75" customHeight="1" x14ac:dyDescent="0.2">
      <c r="A272" s="1" t="s">
        <v>481</v>
      </c>
      <c r="B272" s="1" t="s">
        <v>482</v>
      </c>
      <c r="C272" s="2">
        <v>110</v>
      </c>
      <c r="D272" s="2">
        <v>880</v>
      </c>
      <c r="E272" s="2">
        <v>0</v>
      </c>
      <c r="F272" s="2">
        <v>0</v>
      </c>
      <c r="G272" s="2">
        <v>19.3794</v>
      </c>
      <c r="H272" s="3">
        <v>2131.7339999999999</v>
      </c>
      <c r="I272" s="1" t="s">
        <v>24</v>
      </c>
      <c r="J272" s="1" t="s">
        <v>25</v>
      </c>
      <c r="K272" s="1" t="s">
        <v>26</v>
      </c>
    </row>
    <row r="273" spans="1:11" ht="12.75" customHeight="1" x14ac:dyDescent="0.2">
      <c r="A273" s="1" t="s">
        <v>483</v>
      </c>
      <c r="B273" s="1" t="s">
        <v>484</v>
      </c>
      <c r="C273" s="2">
        <v>1097</v>
      </c>
      <c r="D273" s="2">
        <v>0</v>
      </c>
      <c r="E273" s="2">
        <v>0</v>
      </c>
      <c r="F273" s="2">
        <v>0</v>
      </c>
      <c r="G273" s="2">
        <v>9.6260999999999992</v>
      </c>
      <c r="H273" s="3">
        <v>10559.831700000001</v>
      </c>
      <c r="I273" s="1" t="s">
        <v>24</v>
      </c>
      <c r="J273" s="1" t="s">
        <v>25</v>
      </c>
      <c r="K273" s="1" t="s">
        <v>26</v>
      </c>
    </row>
    <row r="274" spans="1:11" ht="12.75" customHeight="1" x14ac:dyDescent="0.2">
      <c r="A274" s="1" t="s">
        <v>483</v>
      </c>
      <c r="B274" s="1" t="s">
        <v>484</v>
      </c>
      <c r="C274" s="2">
        <v>83</v>
      </c>
      <c r="D274" s="2">
        <v>0</v>
      </c>
      <c r="E274" s="2">
        <v>0</v>
      </c>
      <c r="F274" s="2">
        <v>0</v>
      </c>
      <c r="G274" s="2">
        <v>9</v>
      </c>
      <c r="H274" s="3">
        <v>747</v>
      </c>
      <c r="I274" s="1" t="s">
        <v>330</v>
      </c>
      <c r="J274" s="1" t="s">
        <v>331</v>
      </c>
      <c r="K274" s="1" t="s">
        <v>332</v>
      </c>
    </row>
    <row r="275" spans="1:11" ht="12.75" customHeight="1" x14ac:dyDescent="0.2">
      <c r="A275" s="1" t="s">
        <v>483</v>
      </c>
      <c r="B275" s="1" t="s">
        <v>484</v>
      </c>
      <c r="C275" s="2">
        <v>147</v>
      </c>
      <c r="D275" s="2">
        <v>0</v>
      </c>
      <c r="E275" s="2">
        <v>0</v>
      </c>
      <c r="F275" s="2">
        <v>0</v>
      </c>
      <c r="G275" s="2">
        <v>9.6260999999999992</v>
      </c>
      <c r="H275" s="3">
        <v>1415.0367000000001</v>
      </c>
      <c r="I275" s="1" t="s">
        <v>454</v>
      </c>
      <c r="J275" s="1" t="s">
        <v>455</v>
      </c>
      <c r="K275" s="1" t="s">
        <v>456</v>
      </c>
    </row>
    <row r="276" spans="1:11" ht="12.75" customHeight="1" x14ac:dyDescent="0.2">
      <c r="A276" s="1" t="s">
        <v>483</v>
      </c>
      <c r="B276" s="1" t="s">
        <v>484</v>
      </c>
      <c r="C276" s="2">
        <v>2448</v>
      </c>
      <c r="D276" s="2">
        <v>0</v>
      </c>
      <c r="E276" s="2">
        <v>0</v>
      </c>
      <c r="F276" s="2">
        <v>0</v>
      </c>
      <c r="G276" s="2">
        <v>10.878500000000001</v>
      </c>
      <c r="H276" s="3">
        <v>26630.567999999999</v>
      </c>
      <c r="I276" s="1" t="s">
        <v>613</v>
      </c>
      <c r="J276" s="1" t="s">
        <v>614</v>
      </c>
      <c r="K276" s="1" t="s">
        <v>615</v>
      </c>
    </row>
    <row r="277" spans="1:11" ht="12.75" customHeight="1" x14ac:dyDescent="0.2">
      <c r="A277" s="1" t="s">
        <v>485</v>
      </c>
      <c r="B277" s="1" t="s">
        <v>486</v>
      </c>
      <c r="C277" s="2">
        <v>517</v>
      </c>
      <c r="D277" s="2">
        <v>0</v>
      </c>
      <c r="E277" s="2">
        <v>0</v>
      </c>
      <c r="F277" s="2">
        <v>0</v>
      </c>
      <c r="G277" s="2">
        <v>17.712700000000002</v>
      </c>
      <c r="H277" s="3">
        <v>9157.4658999999992</v>
      </c>
      <c r="I277" s="1" t="s">
        <v>24</v>
      </c>
      <c r="J277" s="1" t="s">
        <v>25</v>
      </c>
      <c r="K277" s="1" t="s">
        <v>26</v>
      </c>
    </row>
    <row r="278" spans="1:11" ht="12.75" customHeight="1" x14ac:dyDescent="0.2">
      <c r="A278" s="1" t="s">
        <v>487</v>
      </c>
      <c r="B278" s="1" t="s">
        <v>488</v>
      </c>
      <c r="C278" s="2">
        <v>126</v>
      </c>
      <c r="D278" s="2">
        <v>2016</v>
      </c>
      <c r="E278" s="2">
        <v>0</v>
      </c>
      <c r="F278" s="2">
        <v>0</v>
      </c>
      <c r="G278" s="2">
        <v>16.9998</v>
      </c>
      <c r="H278" s="3">
        <v>2141.9748</v>
      </c>
      <c r="I278" s="1" t="s">
        <v>489</v>
      </c>
      <c r="J278" s="1" t="s">
        <v>490</v>
      </c>
      <c r="K278" s="1" t="s">
        <v>491</v>
      </c>
    </row>
    <row r="279" spans="1:11" ht="12.75" customHeight="1" x14ac:dyDescent="0.2">
      <c r="A279" s="1" t="s">
        <v>492</v>
      </c>
      <c r="B279" s="1" t="s">
        <v>493</v>
      </c>
      <c r="C279" s="2">
        <v>56</v>
      </c>
      <c r="D279" s="2">
        <v>0</v>
      </c>
      <c r="E279" s="2">
        <v>0</v>
      </c>
      <c r="F279" s="2">
        <v>0</v>
      </c>
      <c r="G279" s="2">
        <v>13.81</v>
      </c>
      <c r="H279" s="3">
        <v>773.36</v>
      </c>
      <c r="I279" s="1" t="s">
        <v>489</v>
      </c>
      <c r="J279" s="1" t="s">
        <v>490</v>
      </c>
      <c r="K279" s="1" t="s">
        <v>491</v>
      </c>
    </row>
    <row r="280" spans="1:11" ht="12.75" customHeight="1" x14ac:dyDescent="0.2">
      <c r="A280" s="1" t="s">
        <v>494</v>
      </c>
      <c r="B280" s="1" t="s">
        <v>495</v>
      </c>
      <c r="C280" s="2">
        <v>56</v>
      </c>
      <c r="D280" s="2">
        <v>896</v>
      </c>
      <c r="E280" s="2">
        <v>0</v>
      </c>
      <c r="F280" s="2">
        <v>0</v>
      </c>
      <c r="G280" s="2">
        <v>13.81</v>
      </c>
      <c r="H280" s="3">
        <v>773.36</v>
      </c>
      <c r="I280" s="1" t="s">
        <v>17</v>
      </c>
      <c r="J280" s="1" t="s">
        <v>18</v>
      </c>
      <c r="K280" s="1" t="s">
        <v>19</v>
      </c>
    </row>
    <row r="281" spans="1:11" ht="12.75" customHeight="1" x14ac:dyDescent="0.2">
      <c r="A281" s="1" t="s">
        <v>496</v>
      </c>
      <c r="B281" s="1" t="s">
        <v>497</v>
      </c>
      <c r="C281" s="2">
        <v>112</v>
      </c>
      <c r="D281" s="2">
        <v>1792</v>
      </c>
      <c r="E281" s="2">
        <v>0</v>
      </c>
      <c r="F281" s="2">
        <v>0</v>
      </c>
      <c r="G281" s="2">
        <v>13.81</v>
      </c>
      <c r="H281" s="3">
        <v>1546.72</v>
      </c>
      <c r="I281" s="1" t="s">
        <v>17</v>
      </c>
      <c r="J281" s="1" t="s">
        <v>18</v>
      </c>
      <c r="K281" s="1" t="s">
        <v>19</v>
      </c>
    </row>
    <row r="282" spans="1:11" ht="12.75" customHeight="1" x14ac:dyDescent="0.2">
      <c r="A282" s="1" t="s">
        <v>498</v>
      </c>
      <c r="B282" s="1" t="s">
        <v>499</v>
      </c>
      <c r="C282" s="2">
        <v>176</v>
      </c>
      <c r="D282" s="2">
        <v>1760</v>
      </c>
      <c r="E282" s="2">
        <v>0</v>
      </c>
      <c r="F282" s="2">
        <v>0</v>
      </c>
      <c r="G282" s="2">
        <v>8.3942999999999994</v>
      </c>
      <c r="H282" s="3">
        <v>1477.3968</v>
      </c>
      <c r="I282" s="1" t="s">
        <v>17</v>
      </c>
      <c r="J282" s="1" t="s">
        <v>18</v>
      </c>
      <c r="K282" s="1" t="s">
        <v>19</v>
      </c>
    </row>
    <row r="283" spans="1:11" ht="12.75" customHeight="1" x14ac:dyDescent="0.2">
      <c r="A283" s="1" t="s">
        <v>498</v>
      </c>
      <c r="B283" s="1" t="s">
        <v>499</v>
      </c>
      <c r="C283" s="2">
        <v>67</v>
      </c>
      <c r="D283" s="2">
        <v>670</v>
      </c>
      <c r="E283" s="2">
        <v>0</v>
      </c>
      <c r="F283" s="2">
        <v>0</v>
      </c>
      <c r="G283" s="2">
        <v>8.3942999999999994</v>
      </c>
      <c r="H283" s="3">
        <v>562.41809999999998</v>
      </c>
      <c r="I283" s="1" t="s">
        <v>24</v>
      </c>
      <c r="J283" s="1" t="s">
        <v>25</v>
      </c>
      <c r="K283" s="1" t="s">
        <v>26</v>
      </c>
    </row>
    <row r="284" spans="1:11" ht="12.75" customHeight="1" x14ac:dyDescent="0.2">
      <c r="A284" s="1" t="s">
        <v>498</v>
      </c>
      <c r="B284" s="1" t="s">
        <v>499</v>
      </c>
      <c r="C284" s="2">
        <v>67</v>
      </c>
      <c r="D284" s="2">
        <v>670</v>
      </c>
      <c r="E284" s="2">
        <v>0</v>
      </c>
      <c r="F284" s="2">
        <v>0</v>
      </c>
      <c r="G284" s="2">
        <v>10.38</v>
      </c>
      <c r="H284" s="3">
        <v>695.46</v>
      </c>
      <c r="I284" s="1" t="s">
        <v>500</v>
      </c>
      <c r="J284" s="1" t="s">
        <v>501</v>
      </c>
      <c r="K284" s="1" t="s">
        <v>502</v>
      </c>
    </row>
    <row r="285" spans="1:11" ht="12.75" customHeight="1" x14ac:dyDescent="0.2">
      <c r="A285" s="1" t="s">
        <v>503</v>
      </c>
      <c r="B285" s="1" t="s">
        <v>504</v>
      </c>
      <c r="C285" s="2">
        <v>139</v>
      </c>
      <c r="D285" s="2">
        <v>1529</v>
      </c>
      <c r="E285" s="2">
        <v>0</v>
      </c>
      <c r="F285" s="2">
        <v>0</v>
      </c>
      <c r="G285" s="2">
        <v>9.2512000000000008</v>
      </c>
      <c r="H285" s="3">
        <v>1285.9168</v>
      </c>
      <c r="I285" s="1" t="s">
        <v>17</v>
      </c>
      <c r="J285" s="1" t="s">
        <v>18</v>
      </c>
      <c r="K285" s="1" t="s">
        <v>19</v>
      </c>
    </row>
    <row r="286" spans="1:11" ht="12.75" customHeight="1" x14ac:dyDescent="0.2">
      <c r="A286" s="1" t="s">
        <v>506</v>
      </c>
      <c r="B286" s="1" t="s">
        <v>507</v>
      </c>
      <c r="C286" s="2">
        <v>151</v>
      </c>
      <c r="D286" s="2">
        <v>1963</v>
      </c>
      <c r="E286" s="2">
        <v>0</v>
      </c>
      <c r="F286" s="2">
        <v>0</v>
      </c>
      <c r="G286" s="2">
        <v>13.759499999999999</v>
      </c>
      <c r="H286" s="3">
        <v>2077.6844999999998</v>
      </c>
      <c r="I286" s="1" t="s">
        <v>17</v>
      </c>
      <c r="J286" s="1" t="s">
        <v>18</v>
      </c>
      <c r="K286" s="1" t="s">
        <v>19</v>
      </c>
    </row>
    <row r="287" spans="1:11" ht="12.75" customHeight="1" x14ac:dyDescent="0.2">
      <c r="A287" s="1" t="s">
        <v>508</v>
      </c>
      <c r="B287" s="1" t="s">
        <v>509</v>
      </c>
      <c r="C287" s="2">
        <v>168</v>
      </c>
      <c r="D287" s="2">
        <v>2352</v>
      </c>
      <c r="E287" s="2">
        <v>0</v>
      </c>
      <c r="F287" s="2">
        <v>0</v>
      </c>
      <c r="G287" s="2">
        <v>14.54</v>
      </c>
      <c r="H287" s="3">
        <v>2442.7199999999998</v>
      </c>
      <c r="I287" s="1" t="s">
        <v>500</v>
      </c>
      <c r="J287" s="1" t="s">
        <v>501</v>
      </c>
      <c r="K287" s="1" t="s">
        <v>502</v>
      </c>
    </row>
    <row r="288" spans="1:11" ht="12.75" customHeight="1" x14ac:dyDescent="0.2">
      <c r="A288" s="1" t="s">
        <v>510</v>
      </c>
      <c r="B288" s="1" t="s">
        <v>511</v>
      </c>
      <c r="C288" s="2">
        <v>154</v>
      </c>
      <c r="D288" s="2">
        <v>2310</v>
      </c>
      <c r="E288" s="2">
        <v>0</v>
      </c>
      <c r="F288" s="2">
        <v>0</v>
      </c>
      <c r="G288" s="2">
        <v>15.0885</v>
      </c>
      <c r="H288" s="3">
        <v>2323.6289999999999</v>
      </c>
      <c r="I288" s="1" t="s">
        <v>17</v>
      </c>
      <c r="J288" s="1" t="s">
        <v>18</v>
      </c>
      <c r="K288" s="1" t="s">
        <v>19</v>
      </c>
    </row>
    <row r="289" spans="1:11" ht="12.75" customHeight="1" x14ac:dyDescent="0.2">
      <c r="A289" s="1" t="s">
        <v>512</v>
      </c>
      <c r="B289" s="1" t="s">
        <v>513</v>
      </c>
      <c r="C289" s="2">
        <v>96</v>
      </c>
      <c r="D289" s="2">
        <v>1728</v>
      </c>
      <c r="E289" s="2">
        <v>0</v>
      </c>
      <c r="F289" s="2">
        <v>0</v>
      </c>
      <c r="G289" s="2">
        <v>18.091000000000001</v>
      </c>
      <c r="H289" s="3">
        <v>1736.7360000000001</v>
      </c>
      <c r="I289" s="1" t="s">
        <v>24</v>
      </c>
      <c r="J289" s="1" t="s">
        <v>25</v>
      </c>
      <c r="K289" s="1" t="s">
        <v>26</v>
      </c>
    </row>
    <row r="290" spans="1:11" ht="12.75" customHeight="1" x14ac:dyDescent="0.2">
      <c r="A290" s="1" t="s">
        <v>515</v>
      </c>
      <c r="B290" s="1" t="s">
        <v>516</v>
      </c>
      <c r="C290" s="2">
        <v>472</v>
      </c>
      <c r="D290" s="2">
        <v>3776</v>
      </c>
      <c r="E290" s="2">
        <v>0</v>
      </c>
      <c r="F290" s="2">
        <v>0</v>
      </c>
      <c r="G290" s="2">
        <v>6.7282999999999999</v>
      </c>
      <c r="H290" s="3">
        <v>3175.7575999999999</v>
      </c>
      <c r="I290" s="1" t="s">
        <v>17</v>
      </c>
      <c r="J290" s="1" t="s">
        <v>18</v>
      </c>
      <c r="K290" s="1" t="s">
        <v>19</v>
      </c>
    </row>
    <row r="291" spans="1:11" ht="12.75" customHeight="1" x14ac:dyDescent="0.2">
      <c r="A291" s="1" t="s">
        <v>515</v>
      </c>
      <c r="B291" s="1" t="s">
        <v>516</v>
      </c>
      <c r="C291" s="2">
        <v>180</v>
      </c>
      <c r="D291" s="2">
        <v>1440</v>
      </c>
      <c r="E291" s="2">
        <v>0</v>
      </c>
      <c r="F291" s="2">
        <v>0</v>
      </c>
      <c r="G291" s="2">
        <v>8.31</v>
      </c>
      <c r="H291" s="3">
        <v>1495.8</v>
      </c>
      <c r="I291" s="1" t="s">
        <v>500</v>
      </c>
      <c r="J291" s="1" t="s">
        <v>501</v>
      </c>
      <c r="K291" s="1" t="s">
        <v>502</v>
      </c>
    </row>
    <row r="292" spans="1:11" ht="12.75" customHeight="1" x14ac:dyDescent="0.2">
      <c r="A292" s="1" t="s">
        <v>517</v>
      </c>
      <c r="B292" s="1" t="s">
        <v>518</v>
      </c>
      <c r="C292" s="2">
        <v>852</v>
      </c>
      <c r="D292" s="2">
        <v>8520</v>
      </c>
      <c r="E292" s="2">
        <v>0</v>
      </c>
      <c r="F292" s="2">
        <v>0</v>
      </c>
      <c r="G292" s="2">
        <v>13.0709</v>
      </c>
      <c r="H292" s="3">
        <v>11136.406800000001</v>
      </c>
      <c r="I292" s="1" t="s">
        <v>24</v>
      </c>
      <c r="J292" s="1" t="s">
        <v>25</v>
      </c>
      <c r="K292" s="1" t="s">
        <v>26</v>
      </c>
    </row>
    <row r="293" spans="1:11" ht="12.75" customHeight="1" x14ac:dyDescent="0.2">
      <c r="A293" s="1" t="s">
        <v>519</v>
      </c>
      <c r="B293" s="1" t="s">
        <v>520</v>
      </c>
      <c r="C293" s="2">
        <v>26</v>
      </c>
      <c r="D293" s="2">
        <v>286</v>
      </c>
      <c r="E293" s="2">
        <v>0</v>
      </c>
      <c r="F293" s="2">
        <v>0</v>
      </c>
      <c r="G293" s="2">
        <v>14.5099</v>
      </c>
      <c r="H293" s="3">
        <v>377.25740000000002</v>
      </c>
      <c r="I293" s="1" t="s">
        <v>24</v>
      </c>
      <c r="J293" s="1" t="s">
        <v>25</v>
      </c>
      <c r="K293" s="1" t="s">
        <v>26</v>
      </c>
    </row>
    <row r="294" spans="1:11" ht="12.75" customHeight="1" x14ac:dyDescent="0.2">
      <c r="A294" s="1" t="s">
        <v>521</v>
      </c>
      <c r="B294" s="1" t="s">
        <v>522</v>
      </c>
      <c r="C294" s="2">
        <v>170</v>
      </c>
      <c r="D294" s="2">
        <v>2040</v>
      </c>
      <c r="E294" s="2">
        <v>0</v>
      </c>
      <c r="F294" s="2">
        <v>47</v>
      </c>
      <c r="G294" s="2">
        <v>22.689699999999998</v>
      </c>
      <c r="H294" s="3">
        <v>3857.2489999999998</v>
      </c>
      <c r="I294" s="1" t="s">
        <v>17</v>
      </c>
      <c r="J294" s="1" t="s">
        <v>18</v>
      </c>
      <c r="K294" s="1" t="s">
        <v>19</v>
      </c>
    </row>
    <row r="295" spans="1:11" ht="12.75" customHeight="1" x14ac:dyDescent="0.2">
      <c r="A295" s="1" t="s">
        <v>523</v>
      </c>
      <c r="B295" s="1" t="s">
        <v>524</v>
      </c>
      <c r="C295" s="2">
        <v>168</v>
      </c>
      <c r="D295" s="2">
        <v>2184</v>
      </c>
      <c r="E295" s="2">
        <v>0</v>
      </c>
      <c r="F295" s="2">
        <v>0</v>
      </c>
      <c r="G295" s="2">
        <v>24.738399999999999</v>
      </c>
      <c r="H295" s="3">
        <v>4156.0511999999999</v>
      </c>
      <c r="I295" s="1" t="s">
        <v>17</v>
      </c>
      <c r="J295" s="1" t="s">
        <v>18</v>
      </c>
      <c r="K295" s="1" t="s">
        <v>19</v>
      </c>
    </row>
    <row r="296" spans="1:11" ht="12.75" customHeight="1" x14ac:dyDescent="0.2">
      <c r="A296" s="1" t="s">
        <v>526</v>
      </c>
      <c r="B296" s="1" t="s">
        <v>527</v>
      </c>
      <c r="C296" s="2">
        <v>11</v>
      </c>
      <c r="D296" s="2">
        <v>176</v>
      </c>
      <c r="E296" s="2">
        <v>0</v>
      </c>
      <c r="F296" s="2">
        <v>11</v>
      </c>
      <c r="G296" s="2">
        <v>26.183900000000001</v>
      </c>
      <c r="H296" s="3">
        <v>288.02289999999999</v>
      </c>
      <c r="I296" s="1" t="s">
        <v>330</v>
      </c>
      <c r="J296" s="1" t="s">
        <v>331</v>
      </c>
      <c r="K296" s="1" t="s">
        <v>332</v>
      </c>
    </row>
    <row r="297" spans="1:11" ht="12.75" customHeight="1" x14ac:dyDescent="0.2">
      <c r="A297" s="1" t="s">
        <v>528</v>
      </c>
      <c r="B297" s="1" t="s">
        <v>529</v>
      </c>
      <c r="C297" s="2">
        <v>41</v>
      </c>
      <c r="D297" s="2">
        <v>738</v>
      </c>
      <c r="E297" s="2">
        <v>0</v>
      </c>
      <c r="F297" s="2">
        <v>41</v>
      </c>
      <c r="G297" s="2">
        <v>27.741199999999999</v>
      </c>
      <c r="H297" s="3">
        <v>1137.3892000000001</v>
      </c>
      <c r="I297" s="1" t="s">
        <v>330</v>
      </c>
      <c r="J297" s="1" t="s">
        <v>331</v>
      </c>
      <c r="K297" s="1" t="s">
        <v>332</v>
      </c>
    </row>
    <row r="298" spans="1:11" ht="12.75" customHeight="1" x14ac:dyDescent="0.2">
      <c r="A298" s="1" t="s">
        <v>530</v>
      </c>
      <c r="B298" s="1" t="s">
        <v>531</v>
      </c>
      <c r="C298" s="2">
        <v>3</v>
      </c>
      <c r="D298" s="2">
        <v>60</v>
      </c>
      <c r="E298" s="2">
        <v>0</v>
      </c>
      <c r="F298" s="2">
        <v>3</v>
      </c>
      <c r="G298" s="2">
        <v>30.751100000000001</v>
      </c>
      <c r="H298" s="3">
        <v>92.253299999999996</v>
      </c>
      <c r="I298" s="1" t="s">
        <v>24</v>
      </c>
      <c r="J298" s="1" t="s">
        <v>25</v>
      </c>
      <c r="K298" s="1" t="s">
        <v>26</v>
      </c>
    </row>
    <row r="299" spans="1:11" ht="12.75" customHeight="1" x14ac:dyDescent="0.2">
      <c r="A299" s="1" t="s">
        <v>532</v>
      </c>
      <c r="B299" s="1" t="s">
        <v>533</v>
      </c>
      <c r="C299" s="2">
        <v>466</v>
      </c>
      <c r="D299" s="2">
        <v>2796</v>
      </c>
      <c r="E299" s="2">
        <v>0</v>
      </c>
      <c r="F299" s="2">
        <v>0</v>
      </c>
      <c r="G299" s="2">
        <v>5.2089999999999996</v>
      </c>
      <c r="H299" s="3">
        <v>2427.3939999999998</v>
      </c>
      <c r="I299" s="1" t="s">
        <v>24</v>
      </c>
      <c r="J299" s="1" t="s">
        <v>25</v>
      </c>
      <c r="K299" s="1" t="s">
        <v>26</v>
      </c>
    </row>
    <row r="300" spans="1:11" ht="12.75" customHeight="1" x14ac:dyDescent="0.2">
      <c r="A300" s="1" t="s">
        <v>534</v>
      </c>
      <c r="B300" s="1" t="s">
        <v>535</v>
      </c>
      <c r="C300" s="2">
        <v>574</v>
      </c>
      <c r="D300" s="2">
        <v>4018</v>
      </c>
      <c r="E300" s="2">
        <v>0</v>
      </c>
      <c r="F300" s="2">
        <v>0</v>
      </c>
      <c r="G300" s="2">
        <v>6.0792999999999999</v>
      </c>
      <c r="H300" s="3">
        <v>3489.5182</v>
      </c>
      <c r="I300" s="1" t="s">
        <v>24</v>
      </c>
      <c r="J300" s="1" t="s">
        <v>25</v>
      </c>
      <c r="K300" s="1" t="s">
        <v>26</v>
      </c>
    </row>
    <row r="301" spans="1:11" ht="12.75" customHeight="1" x14ac:dyDescent="0.2">
      <c r="A301" s="1" t="s">
        <v>536</v>
      </c>
      <c r="B301" s="1" t="s">
        <v>537</v>
      </c>
      <c r="C301" s="2">
        <v>1035</v>
      </c>
      <c r="D301" s="2">
        <v>8280</v>
      </c>
      <c r="E301" s="2">
        <v>0</v>
      </c>
      <c r="F301" s="2">
        <v>22</v>
      </c>
      <c r="G301" s="2">
        <v>10.4945</v>
      </c>
      <c r="H301" s="3">
        <v>10861.807500000001</v>
      </c>
      <c r="I301" s="1" t="s">
        <v>24</v>
      </c>
      <c r="J301" s="1" t="s">
        <v>25</v>
      </c>
      <c r="K301" s="1" t="s">
        <v>26</v>
      </c>
    </row>
    <row r="302" spans="1:11" ht="12.75" customHeight="1" x14ac:dyDescent="0.2">
      <c r="A302" s="1" t="s">
        <v>538</v>
      </c>
      <c r="B302" s="1" t="s">
        <v>539</v>
      </c>
      <c r="C302" s="2">
        <v>280</v>
      </c>
      <c r="D302" s="2">
        <v>2520</v>
      </c>
      <c r="E302" s="2">
        <v>0</v>
      </c>
      <c r="F302" s="2">
        <v>0</v>
      </c>
      <c r="G302" s="2">
        <v>11.871</v>
      </c>
      <c r="H302" s="3">
        <v>3323.88</v>
      </c>
      <c r="I302" s="1" t="s">
        <v>24</v>
      </c>
      <c r="J302" s="1" t="s">
        <v>25</v>
      </c>
      <c r="K302" s="1" t="s">
        <v>26</v>
      </c>
    </row>
    <row r="303" spans="1:11" ht="12.75" customHeight="1" x14ac:dyDescent="0.2">
      <c r="A303" s="1" t="s">
        <v>540</v>
      </c>
      <c r="B303" s="1" t="s">
        <v>541</v>
      </c>
      <c r="C303" s="2">
        <v>2082</v>
      </c>
      <c r="D303" s="2">
        <v>0</v>
      </c>
      <c r="E303" s="2">
        <v>0</v>
      </c>
      <c r="F303" s="2">
        <v>0</v>
      </c>
      <c r="G303" s="2">
        <v>8.0571000000000002</v>
      </c>
      <c r="H303" s="3">
        <v>16774.8822</v>
      </c>
      <c r="I303" s="1" t="s">
        <v>17</v>
      </c>
      <c r="J303" s="1" t="s">
        <v>18</v>
      </c>
      <c r="K303" s="1" t="s">
        <v>19</v>
      </c>
    </row>
    <row r="304" spans="1:11" ht="12.75" customHeight="1" x14ac:dyDescent="0.2">
      <c r="A304" s="1" t="s">
        <v>540</v>
      </c>
      <c r="B304" s="1" t="s">
        <v>541</v>
      </c>
      <c r="C304" s="2">
        <v>136</v>
      </c>
      <c r="D304" s="2">
        <v>0</v>
      </c>
      <c r="E304" s="2">
        <v>0</v>
      </c>
      <c r="F304" s="2">
        <v>136</v>
      </c>
      <c r="G304" s="2">
        <v>8.0571000000000002</v>
      </c>
      <c r="H304" s="3">
        <v>1095.7655999999999</v>
      </c>
      <c r="I304" s="1" t="s">
        <v>125</v>
      </c>
      <c r="J304" s="1" t="s">
        <v>126</v>
      </c>
      <c r="K304" s="1" t="s">
        <v>127</v>
      </c>
    </row>
    <row r="305" spans="1:11" ht="12.75" customHeight="1" x14ac:dyDescent="0.2">
      <c r="A305" s="1" t="s">
        <v>540</v>
      </c>
      <c r="B305" s="1" t="s">
        <v>541</v>
      </c>
      <c r="C305" s="2">
        <v>89</v>
      </c>
      <c r="D305" s="2">
        <v>0</v>
      </c>
      <c r="E305" s="2">
        <v>0</v>
      </c>
      <c r="F305" s="2">
        <v>0</v>
      </c>
      <c r="G305" s="2">
        <v>8.06</v>
      </c>
      <c r="H305" s="3">
        <v>717.34</v>
      </c>
      <c r="I305" s="1" t="s">
        <v>330</v>
      </c>
      <c r="J305" s="1" t="s">
        <v>331</v>
      </c>
      <c r="K305" s="1" t="s">
        <v>332</v>
      </c>
    </row>
    <row r="306" spans="1:11" ht="12.75" customHeight="1" x14ac:dyDescent="0.2">
      <c r="A306" s="1" t="s">
        <v>540</v>
      </c>
      <c r="B306" s="1" t="s">
        <v>541</v>
      </c>
      <c r="C306" s="2">
        <v>1019</v>
      </c>
      <c r="D306" s="2">
        <v>0</v>
      </c>
      <c r="E306" s="2">
        <v>0</v>
      </c>
      <c r="F306" s="2">
        <v>0</v>
      </c>
      <c r="G306" s="2">
        <v>8.06</v>
      </c>
      <c r="H306" s="3">
        <v>8213.14</v>
      </c>
      <c r="I306" s="1" t="s">
        <v>454</v>
      </c>
      <c r="J306" s="1" t="s">
        <v>455</v>
      </c>
      <c r="K306" s="1" t="s">
        <v>456</v>
      </c>
    </row>
    <row r="307" spans="1:11" ht="12.75" customHeight="1" x14ac:dyDescent="0.2">
      <c r="A307" s="1" t="s">
        <v>542</v>
      </c>
      <c r="B307" s="1" t="s">
        <v>543</v>
      </c>
      <c r="C307" s="2">
        <v>1</v>
      </c>
      <c r="D307" s="2">
        <v>12</v>
      </c>
      <c r="E307" s="2">
        <v>0</v>
      </c>
      <c r="F307" s="2">
        <v>1</v>
      </c>
      <c r="G307" s="2">
        <v>112.87350000000001</v>
      </c>
      <c r="H307" s="3">
        <v>112.87350000000001</v>
      </c>
      <c r="I307" s="1" t="s">
        <v>330</v>
      </c>
      <c r="J307" s="1" t="s">
        <v>331</v>
      </c>
      <c r="K307" s="1" t="s">
        <v>332</v>
      </c>
    </row>
    <row r="308" spans="1:11" ht="12.75" customHeight="1" x14ac:dyDescent="0.2">
      <c r="A308" s="1" t="s">
        <v>544</v>
      </c>
      <c r="B308" s="1" t="s">
        <v>545</v>
      </c>
      <c r="C308" s="2">
        <v>4</v>
      </c>
      <c r="D308" s="2">
        <v>56</v>
      </c>
      <c r="E308" s="2">
        <v>0</v>
      </c>
      <c r="F308" s="2">
        <v>0</v>
      </c>
      <c r="G308" s="2">
        <v>130.63999999999999</v>
      </c>
      <c r="H308" s="3">
        <v>522.55999999999995</v>
      </c>
      <c r="I308" s="1" t="s">
        <v>125</v>
      </c>
      <c r="J308" s="1" t="s">
        <v>126</v>
      </c>
      <c r="K308" s="1" t="s">
        <v>127</v>
      </c>
    </row>
    <row r="309" spans="1:11" ht="12.75" customHeight="1" x14ac:dyDescent="0.2">
      <c r="A309" s="1" t="s">
        <v>546</v>
      </c>
      <c r="B309" s="1" t="s">
        <v>547</v>
      </c>
      <c r="C309" s="2">
        <v>1</v>
      </c>
      <c r="D309" s="2">
        <v>20</v>
      </c>
      <c r="E309" s="2">
        <v>0</v>
      </c>
      <c r="F309" s="2">
        <v>1</v>
      </c>
      <c r="G309" s="2">
        <v>188.14060000000001</v>
      </c>
      <c r="H309" s="3">
        <v>188.14060000000001</v>
      </c>
      <c r="I309" s="1" t="s">
        <v>330</v>
      </c>
      <c r="J309" s="1" t="s">
        <v>331</v>
      </c>
      <c r="K309" s="1" t="s">
        <v>332</v>
      </c>
    </row>
    <row r="310" spans="1:11" ht="12.75" customHeight="1" x14ac:dyDescent="0.2">
      <c r="A310" s="1" t="s">
        <v>548</v>
      </c>
      <c r="B310" s="1" t="s">
        <v>549</v>
      </c>
      <c r="C310" s="2">
        <v>84</v>
      </c>
      <c r="D310" s="2">
        <v>840</v>
      </c>
      <c r="E310" s="2">
        <v>0</v>
      </c>
      <c r="F310" s="2">
        <v>0</v>
      </c>
      <c r="G310" s="2">
        <v>95.393100000000004</v>
      </c>
      <c r="H310" s="3">
        <v>8013.0204000000003</v>
      </c>
      <c r="I310" s="1" t="s">
        <v>17</v>
      </c>
      <c r="J310" s="1" t="s">
        <v>18</v>
      </c>
      <c r="K310" s="1" t="s">
        <v>19</v>
      </c>
    </row>
    <row r="311" spans="1:11" ht="12.75" customHeight="1" x14ac:dyDescent="0.2">
      <c r="A311" s="1" t="s">
        <v>550</v>
      </c>
      <c r="B311" s="1" t="s">
        <v>551</v>
      </c>
      <c r="C311" s="2">
        <v>29</v>
      </c>
      <c r="D311" s="2">
        <v>348</v>
      </c>
      <c r="E311" s="2">
        <v>0</v>
      </c>
      <c r="F311" s="2">
        <v>0</v>
      </c>
      <c r="G311" s="2">
        <v>114.52079999999999</v>
      </c>
      <c r="H311" s="3">
        <v>3321.1032</v>
      </c>
      <c r="I311" s="1" t="s">
        <v>24</v>
      </c>
      <c r="J311" s="1" t="s">
        <v>25</v>
      </c>
      <c r="K311" s="1" t="s">
        <v>26</v>
      </c>
    </row>
    <row r="312" spans="1:11" ht="12.75" customHeight="1" x14ac:dyDescent="0.2">
      <c r="A312" s="1" t="s">
        <v>552</v>
      </c>
      <c r="B312" s="1" t="s">
        <v>553</v>
      </c>
      <c r="C312" s="2">
        <v>14</v>
      </c>
      <c r="D312" s="2">
        <v>196</v>
      </c>
      <c r="E312" s="2">
        <v>0</v>
      </c>
      <c r="F312" s="2">
        <v>0</v>
      </c>
      <c r="G312" s="2">
        <v>133.58090000000001</v>
      </c>
      <c r="H312" s="3">
        <v>1870.1325999999999</v>
      </c>
      <c r="I312" s="1" t="s">
        <v>17</v>
      </c>
      <c r="J312" s="1" t="s">
        <v>18</v>
      </c>
      <c r="K312" s="1" t="s">
        <v>19</v>
      </c>
    </row>
    <row r="313" spans="1:11" ht="12.75" customHeight="1" x14ac:dyDescent="0.2">
      <c r="A313" s="1" t="s">
        <v>552</v>
      </c>
      <c r="B313" s="1" t="s">
        <v>553</v>
      </c>
      <c r="C313" s="2">
        <v>22</v>
      </c>
      <c r="D313" s="2">
        <v>308</v>
      </c>
      <c r="E313" s="2">
        <v>0</v>
      </c>
      <c r="F313" s="2">
        <v>0</v>
      </c>
      <c r="G313" s="2">
        <v>133.64109999999999</v>
      </c>
      <c r="H313" s="3">
        <v>2940.1042000000002</v>
      </c>
      <c r="I313" s="1" t="s">
        <v>125</v>
      </c>
      <c r="J313" s="1" t="s">
        <v>126</v>
      </c>
      <c r="K313" s="1" t="s">
        <v>127</v>
      </c>
    </row>
    <row r="314" spans="1:11" ht="12.75" customHeight="1" x14ac:dyDescent="0.2">
      <c r="A314" s="1" t="s">
        <v>555</v>
      </c>
      <c r="B314" s="1" t="s">
        <v>556</v>
      </c>
      <c r="C314" s="2">
        <v>30</v>
      </c>
      <c r="D314" s="2">
        <v>540</v>
      </c>
      <c r="E314" s="2">
        <v>0</v>
      </c>
      <c r="F314" s="2">
        <v>0</v>
      </c>
      <c r="G314" s="2">
        <v>171.7482</v>
      </c>
      <c r="H314" s="3">
        <v>5152.4459999999999</v>
      </c>
      <c r="I314" s="1" t="s">
        <v>24</v>
      </c>
      <c r="J314" s="1" t="s">
        <v>25</v>
      </c>
      <c r="K314" s="1" t="s">
        <v>26</v>
      </c>
    </row>
    <row r="315" spans="1:11" ht="12.75" customHeight="1" x14ac:dyDescent="0.2">
      <c r="A315" s="1" t="s">
        <v>557</v>
      </c>
      <c r="B315" s="1" t="s">
        <v>558</v>
      </c>
      <c r="C315" s="2">
        <v>45</v>
      </c>
      <c r="D315" s="2">
        <v>900</v>
      </c>
      <c r="E315" s="2">
        <v>0</v>
      </c>
      <c r="F315" s="2">
        <v>0</v>
      </c>
      <c r="G315" s="2">
        <v>190.839</v>
      </c>
      <c r="H315" s="3">
        <v>8587.7549999999992</v>
      </c>
      <c r="I315" s="1" t="s">
        <v>24</v>
      </c>
      <c r="J315" s="1" t="s">
        <v>25</v>
      </c>
      <c r="K315" s="1" t="s">
        <v>26</v>
      </c>
    </row>
    <row r="316" spans="1:11" ht="12.75" customHeight="1" x14ac:dyDescent="0.2">
      <c r="A316" s="1" t="s">
        <v>559</v>
      </c>
      <c r="B316" s="1" t="s">
        <v>560</v>
      </c>
      <c r="C316" s="2">
        <v>1</v>
      </c>
      <c r="D316" s="2">
        <v>8</v>
      </c>
      <c r="E316" s="2">
        <v>0</v>
      </c>
      <c r="F316" s="2">
        <v>0</v>
      </c>
      <c r="G316" s="2">
        <v>97.052700000000002</v>
      </c>
      <c r="H316" s="3">
        <v>97.052700000000002</v>
      </c>
      <c r="I316" s="1" t="s">
        <v>24</v>
      </c>
      <c r="J316" s="1" t="s">
        <v>25</v>
      </c>
      <c r="K316" s="1" t="s">
        <v>26</v>
      </c>
    </row>
    <row r="317" spans="1:11" ht="12.75" customHeight="1" x14ac:dyDescent="0.2">
      <c r="A317" s="1" t="s">
        <v>561</v>
      </c>
      <c r="B317" s="1" t="s">
        <v>562</v>
      </c>
      <c r="C317" s="2">
        <v>1067</v>
      </c>
      <c r="D317" s="2">
        <v>10670</v>
      </c>
      <c r="E317" s="2">
        <v>0</v>
      </c>
      <c r="F317" s="2">
        <v>0</v>
      </c>
      <c r="G317" s="2">
        <v>7.2214999999999998</v>
      </c>
      <c r="H317" s="3">
        <v>7705.3405000000002</v>
      </c>
      <c r="I317" s="1" t="s">
        <v>17</v>
      </c>
      <c r="J317" s="1" t="s">
        <v>18</v>
      </c>
      <c r="K317" s="1" t="s">
        <v>19</v>
      </c>
    </row>
    <row r="318" spans="1:11" ht="12.75" customHeight="1" x14ac:dyDescent="0.2">
      <c r="A318" s="1" t="s">
        <v>561</v>
      </c>
      <c r="B318" s="1" t="s">
        <v>562</v>
      </c>
      <c r="C318" s="2">
        <v>1030</v>
      </c>
      <c r="D318" s="2">
        <v>10300</v>
      </c>
      <c r="E318" s="2">
        <v>0</v>
      </c>
      <c r="F318" s="2">
        <v>0</v>
      </c>
      <c r="G318" s="2">
        <v>6.6433</v>
      </c>
      <c r="H318" s="3">
        <v>6842.5990000000002</v>
      </c>
      <c r="I318" s="1" t="s">
        <v>24</v>
      </c>
      <c r="J318" s="1" t="s">
        <v>25</v>
      </c>
      <c r="K318" s="1" t="s">
        <v>26</v>
      </c>
    </row>
    <row r="319" spans="1:11" ht="12.75" customHeight="1" x14ac:dyDescent="0.2">
      <c r="A319" s="1" t="s">
        <v>561</v>
      </c>
      <c r="B319" s="1" t="s">
        <v>562</v>
      </c>
      <c r="C319" s="2">
        <v>402</v>
      </c>
      <c r="D319" s="2">
        <v>4020</v>
      </c>
      <c r="E319" s="2">
        <v>0</v>
      </c>
      <c r="F319" s="2">
        <v>0</v>
      </c>
      <c r="G319" s="2">
        <v>7.3952</v>
      </c>
      <c r="H319" s="3">
        <v>2972.8703999999998</v>
      </c>
      <c r="I319" s="1" t="s">
        <v>330</v>
      </c>
      <c r="J319" s="1" t="s">
        <v>331</v>
      </c>
      <c r="K319" s="1" t="s">
        <v>332</v>
      </c>
    </row>
    <row r="320" spans="1:11" ht="12.75" customHeight="1" x14ac:dyDescent="0.2">
      <c r="A320" s="1" t="s">
        <v>563</v>
      </c>
      <c r="B320" s="1" t="s">
        <v>564</v>
      </c>
      <c r="C320" s="2">
        <v>359</v>
      </c>
      <c r="D320" s="2">
        <v>4308</v>
      </c>
      <c r="E320" s="2">
        <v>0</v>
      </c>
      <c r="F320" s="2">
        <v>0</v>
      </c>
      <c r="G320" s="2">
        <v>8.6395</v>
      </c>
      <c r="H320" s="3">
        <v>3101.5805</v>
      </c>
      <c r="I320" s="1" t="s">
        <v>17</v>
      </c>
      <c r="J320" s="1" t="s">
        <v>18</v>
      </c>
      <c r="K320" s="1" t="s">
        <v>19</v>
      </c>
    </row>
    <row r="321" spans="1:11" ht="12.75" customHeight="1" x14ac:dyDescent="0.2">
      <c r="A321" s="1" t="s">
        <v>563</v>
      </c>
      <c r="B321" s="1" t="s">
        <v>564</v>
      </c>
      <c r="C321" s="2">
        <v>1067</v>
      </c>
      <c r="D321" s="2">
        <v>12804</v>
      </c>
      <c r="E321" s="2">
        <v>0</v>
      </c>
      <c r="F321" s="2">
        <v>0</v>
      </c>
      <c r="G321" s="2">
        <v>12.1828</v>
      </c>
      <c r="H321" s="3">
        <v>12999.0476</v>
      </c>
      <c r="I321" s="1" t="s">
        <v>330</v>
      </c>
      <c r="J321" s="1" t="s">
        <v>331</v>
      </c>
      <c r="K321" s="1" t="s">
        <v>332</v>
      </c>
    </row>
    <row r="322" spans="1:11" ht="12.75" customHeight="1" x14ac:dyDescent="0.2">
      <c r="A322" s="1" t="s">
        <v>565</v>
      </c>
      <c r="B322" s="1" t="s">
        <v>566</v>
      </c>
      <c r="C322" s="2">
        <v>562</v>
      </c>
      <c r="D322" s="2">
        <v>7868</v>
      </c>
      <c r="E322" s="2">
        <v>0</v>
      </c>
      <c r="F322" s="2">
        <v>0</v>
      </c>
      <c r="G322" s="2">
        <v>12.3454</v>
      </c>
      <c r="H322" s="3">
        <v>6938.1148000000003</v>
      </c>
      <c r="I322" s="1" t="s">
        <v>17</v>
      </c>
      <c r="J322" s="1" t="s">
        <v>18</v>
      </c>
      <c r="K322" s="1" t="s">
        <v>19</v>
      </c>
    </row>
    <row r="323" spans="1:11" ht="12.75" customHeight="1" x14ac:dyDescent="0.2">
      <c r="A323" s="1" t="s">
        <v>565</v>
      </c>
      <c r="B323" s="1" t="s">
        <v>566</v>
      </c>
      <c r="C323" s="2">
        <v>429</v>
      </c>
      <c r="D323" s="2">
        <v>6006</v>
      </c>
      <c r="E323" s="2">
        <v>0</v>
      </c>
      <c r="F323" s="2">
        <v>0</v>
      </c>
      <c r="G323" s="2">
        <v>13.824999999999999</v>
      </c>
      <c r="H323" s="3">
        <v>5930.9250000000002</v>
      </c>
      <c r="I323" s="1" t="s">
        <v>24</v>
      </c>
      <c r="J323" s="1" t="s">
        <v>25</v>
      </c>
      <c r="K323" s="1" t="s">
        <v>26</v>
      </c>
    </row>
    <row r="324" spans="1:11" ht="12.75" customHeight="1" x14ac:dyDescent="0.2">
      <c r="A324" s="1" t="s">
        <v>565</v>
      </c>
      <c r="B324" s="1" t="s">
        <v>566</v>
      </c>
      <c r="C324" s="2">
        <v>815</v>
      </c>
      <c r="D324" s="2">
        <v>11410</v>
      </c>
      <c r="E324" s="2">
        <v>0</v>
      </c>
      <c r="F324" s="2">
        <v>0</v>
      </c>
      <c r="G324" s="2">
        <v>14.4755</v>
      </c>
      <c r="H324" s="3">
        <v>11797.532499999999</v>
      </c>
      <c r="I324" s="1" t="s">
        <v>330</v>
      </c>
      <c r="J324" s="1" t="s">
        <v>331</v>
      </c>
      <c r="K324" s="1" t="s">
        <v>332</v>
      </c>
    </row>
    <row r="325" spans="1:11" ht="12.75" customHeight="1" x14ac:dyDescent="0.2">
      <c r="A325" s="1" t="s">
        <v>567</v>
      </c>
      <c r="B325" s="1" t="s">
        <v>568</v>
      </c>
      <c r="C325" s="2">
        <v>153</v>
      </c>
      <c r="D325" s="2">
        <v>2448</v>
      </c>
      <c r="E325" s="2">
        <v>0</v>
      </c>
      <c r="F325" s="2">
        <v>0</v>
      </c>
      <c r="G325" s="2">
        <v>14.3988</v>
      </c>
      <c r="H325" s="3">
        <v>2203.0164</v>
      </c>
      <c r="I325" s="1" t="s">
        <v>17</v>
      </c>
      <c r="J325" s="1" t="s">
        <v>18</v>
      </c>
      <c r="K325" s="1" t="s">
        <v>19</v>
      </c>
    </row>
    <row r="326" spans="1:11" ht="12.75" customHeight="1" x14ac:dyDescent="0.2">
      <c r="A326" s="1" t="s">
        <v>567</v>
      </c>
      <c r="B326" s="1" t="s">
        <v>568</v>
      </c>
      <c r="C326" s="2">
        <v>658</v>
      </c>
      <c r="D326" s="2">
        <v>10528</v>
      </c>
      <c r="E326" s="2">
        <v>0</v>
      </c>
      <c r="F326" s="2">
        <v>0</v>
      </c>
      <c r="G326" s="2">
        <v>15.8011</v>
      </c>
      <c r="H326" s="3">
        <v>10397.123799999999</v>
      </c>
      <c r="I326" s="1" t="s">
        <v>24</v>
      </c>
      <c r="J326" s="1" t="s">
        <v>25</v>
      </c>
      <c r="K326" s="1" t="s">
        <v>26</v>
      </c>
    </row>
    <row r="327" spans="1:11" ht="12.75" customHeight="1" x14ac:dyDescent="0.2">
      <c r="A327" s="1" t="s">
        <v>567</v>
      </c>
      <c r="B327" s="1" t="s">
        <v>568</v>
      </c>
      <c r="C327" s="2">
        <v>479</v>
      </c>
      <c r="D327" s="2">
        <v>7664</v>
      </c>
      <c r="E327" s="2">
        <v>0</v>
      </c>
      <c r="F327" s="2">
        <v>0</v>
      </c>
      <c r="G327" s="2">
        <v>17.016300000000001</v>
      </c>
      <c r="H327" s="3">
        <v>8150.8077000000003</v>
      </c>
      <c r="I327" s="1" t="s">
        <v>330</v>
      </c>
      <c r="J327" s="1" t="s">
        <v>331</v>
      </c>
      <c r="K327" s="1" t="s">
        <v>332</v>
      </c>
    </row>
    <row r="328" spans="1:11" ht="12.75" customHeight="1" x14ac:dyDescent="0.2">
      <c r="A328" s="1" t="s">
        <v>569</v>
      </c>
      <c r="B328" s="1" t="s">
        <v>570</v>
      </c>
      <c r="C328" s="2">
        <v>82</v>
      </c>
      <c r="D328" s="2">
        <v>1476</v>
      </c>
      <c r="E328" s="2">
        <v>0</v>
      </c>
      <c r="F328" s="2">
        <v>0</v>
      </c>
      <c r="G328" s="2">
        <v>15.8398</v>
      </c>
      <c r="H328" s="3">
        <v>1298.8635999999999</v>
      </c>
      <c r="I328" s="1" t="s">
        <v>17</v>
      </c>
      <c r="J328" s="1" t="s">
        <v>18</v>
      </c>
      <c r="K328" s="1" t="s">
        <v>19</v>
      </c>
    </row>
    <row r="329" spans="1:11" ht="12.75" customHeight="1" x14ac:dyDescent="0.2">
      <c r="A329" s="1" t="s">
        <v>569</v>
      </c>
      <c r="B329" s="1" t="s">
        <v>570</v>
      </c>
      <c r="C329" s="2">
        <v>451</v>
      </c>
      <c r="D329" s="2">
        <v>8118</v>
      </c>
      <c r="E329" s="2">
        <v>0</v>
      </c>
      <c r="F329" s="2">
        <v>0</v>
      </c>
      <c r="G329" s="2">
        <v>17.766400000000001</v>
      </c>
      <c r="H329" s="3">
        <v>8012.6463999999996</v>
      </c>
      <c r="I329" s="1" t="s">
        <v>24</v>
      </c>
      <c r="J329" s="1" t="s">
        <v>25</v>
      </c>
      <c r="K329" s="1" t="s">
        <v>26</v>
      </c>
    </row>
    <row r="330" spans="1:11" ht="12.75" customHeight="1" x14ac:dyDescent="0.2">
      <c r="A330" s="1" t="s">
        <v>569</v>
      </c>
      <c r="B330" s="1" t="s">
        <v>570</v>
      </c>
      <c r="C330" s="2">
        <v>768</v>
      </c>
      <c r="D330" s="2">
        <v>13824</v>
      </c>
      <c r="E330" s="2">
        <v>0</v>
      </c>
      <c r="F330" s="2">
        <v>0</v>
      </c>
      <c r="G330" s="2">
        <v>19.525200000000002</v>
      </c>
      <c r="H330" s="3">
        <v>14995.3536</v>
      </c>
      <c r="I330" s="1" t="s">
        <v>330</v>
      </c>
      <c r="J330" s="1" t="s">
        <v>331</v>
      </c>
      <c r="K330" s="1" t="s">
        <v>332</v>
      </c>
    </row>
    <row r="331" spans="1:11" ht="12.75" customHeight="1" x14ac:dyDescent="0.2">
      <c r="A331" s="1" t="s">
        <v>571</v>
      </c>
      <c r="B331" s="1" t="s">
        <v>572</v>
      </c>
      <c r="C331" s="2">
        <v>73</v>
      </c>
      <c r="D331" s="2">
        <v>1460</v>
      </c>
      <c r="E331" s="2">
        <v>0</v>
      </c>
      <c r="F331" s="2">
        <v>0</v>
      </c>
      <c r="G331" s="2">
        <v>14.3992</v>
      </c>
      <c r="H331" s="3">
        <v>1051.1415999999999</v>
      </c>
      <c r="I331" s="1" t="s">
        <v>17</v>
      </c>
      <c r="J331" s="1" t="s">
        <v>18</v>
      </c>
      <c r="K331" s="1" t="s">
        <v>19</v>
      </c>
    </row>
    <row r="332" spans="1:11" ht="12.75" customHeight="1" x14ac:dyDescent="0.2">
      <c r="A332" s="1" t="s">
        <v>571</v>
      </c>
      <c r="B332" s="1" t="s">
        <v>572</v>
      </c>
      <c r="C332" s="2">
        <v>65</v>
      </c>
      <c r="D332" s="2">
        <v>1300</v>
      </c>
      <c r="E332" s="2">
        <v>0</v>
      </c>
      <c r="F332" s="2">
        <v>0</v>
      </c>
      <c r="G332" s="2">
        <v>19.721</v>
      </c>
      <c r="H332" s="3">
        <v>1281.865</v>
      </c>
      <c r="I332" s="1" t="s">
        <v>24</v>
      </c>
      <c r="J332" s="1" t="s">
        <v>25</v>
      </c>
      <c r="K332" s="1" t="s">
        <v>26</v>
      </c>
    </row>
    <row r="333" spans="1:11" ht="12.75" customHeight="1" x14ac:dyDescent="0.2">
      <c r="A333" s="1" t="s">
        <v>573</v>
      </c>
      <c r="B333" s="1" t="s">
        <v>574</v>
      </c>
      <c r="C333" s="2">
        <v>3727</v>
      </c>
      <c r="D333" s="2">
        <v>11181</v>
      </c>
      <c r="E333" s="2">
        <v>0</v>
      </c>
      <c r="F333" s="2">
        <v>0</v>
      </c>
      <c r="G333" s="2">
        <v>1.3601000000000001</v>
      </c>
      <c r="H333" s="3">
        <v>5069.0927000000001</v>
      </c>
      <c r="I333" s="1" t="s">
        <v>330</v>
      </c>
      <c r="J333" s="1" t="s">
        <v>331</v>
      </c>
      <c r="K333" s="1" t="s">
        <v>332</v>
      </c>
    </row>
    <row r="334" spans="1:11" ht="12.75" customHeight="1" x14ac:dyDescent="0.2">
      <c r="A334" s="1" t="s">
        <v>575</v>
      </c>
      <c r="B334" s="1" t="s">
        <v>576</v>
      </c>
      <c r="C334" s="2">
        <v>1128</v>
      </c>
      <c r="D334" s="2">
        <v>4512</v>
      </c>
      <c r="E334" s="2">
        <v>0</v>
      </c>
      <c r="F334" s="2">
        <v>0</v>
      </c>
      <c r="G334" s="2">
        <v>1.7689999999999999</v>
      </c>
      <c r="H334" s="3">
        <v>1995.432</v>
      </c>
      <c r="I334" s="1" t="s">
        <v>330</v>
      </c>
      <c r="J334" s="1" t="s">
        <v>331</v>
      </c>
      <c r="K334" s="1" t="s">
        <v>332</v>
      </c>
    </row>
    <row r="335" spans="1:11" ht="12.75" customHeight="1" x14ac:dyDescent="0.2">
      <c r="A335" s="1" t="s">
        <v>577</v>
      </c>
      <c r="B335" s="1" t="s">
        <v>578</v>
      </c>
      <c r="C335" s="2">
        <v>988</v>
      </c>
      <c r="D335" s="2">
        <v>4940</v>
      </c>
      <c r="E335" s="2">
        <v>0</v>
      </c>
      <c r="F335" s="2">
        <v>0</v>
      </c>
      <c r="G335" s="2">
        <v>2.2130999999999998</v>
      </c>
      <c r="H335" s="3">
        <v>2186.5428000000002</v>
      </c>
      <c r="I335" s="1" t="s">
        <v>330</v>
      </c>
      <c r="J335" s="1" t="s">
        <v>331</v>
      </c>
      <c r="K335" s="1" t="s">
        <v>332</v>
      </c>
    </row>
    <row r="336" spans="1:11" ht="12.75" customHeight="1" x14ac:dyDescent="0.2">
      <c r="A336" s="1" t="s">
        <v>579</v>
      </c>
      <c r="B336" s="1" t="s">
        <v>580</v>
      </c>
      <c r="C336" s="2">
        <v>1077</v>
      </c>
      <c r="D336" s="2">
        <v>6462</v>
      </c>
      <c r="E336" s="2">
        <v>0</v>
      </c>
      <c r="F336" s="2">
        <v>0</v>
      </c>
      <c r="G336" s="2">
        <v>4.3197000000000001</v>
      </c>
      <c r="H336" s="3">
        <v>4652.3168999999998</v>
      </c>
      <c r="I336" s="1" t="s">
        <v>17</v>
      </c>
      <c r="J336" s="1" t="s">
        <v>18</v>
      </c>
      <c r="K336" s="1" t="s">
        <v>19</v>
      </c>
    </row>
    <row r="337" spans="1:11" ht="12.75" customHeight="1" x14ac:dyDescent="0.2">
      <c r="A337" s="1" t="s">
        <v>579</v>
      </c>
      <c r="B337" s="1" t="s">
        <v>580</v>
      </c>
      <c r="C337" s="2">
        <v>2228</v>
      </c>
      <c r="D337" s="2">
        <v>13368</v>
      </c>
      <c r="E337" s="2">
        <v>0</v>
      </c>
      <c r="F337" s="2">
        <v>0</v>
      </c>
      <c r="G337" s="2">
        <v>2.6876000000000002</v>
      </c>
      <c r="H337" s="3">
        <v>5987.9727999999996</v>
      </c>
      <c r="I337" s="1" t="s">
        <v>330</v>
      </c>
      <c r="J337" s="1" t="s">
        <v>331</v>
      </c>
      <c r="K337" s="1" t="s">
        <v>332</v>
      </c>
    </row>
    <row r="338" spans="1:11" ht="12.75" customHeight="1" x14ac:dyDescent="0.2">
      <c r="A338" s="1" t="s">
        <v>581</v>
      </c>
      <c r="B338" s="1" t="s">
        <v>582</v>
      </c>
      <c r="C338" s="2">
        <v>834</v>
      </c>
      <c r="D338" s="2">
        <v>5838</v>
      </c>
      <c r="E338" s="2">
        <v>0</v>
      </c>
      <c r="F338" s="2">
        <v>0</v>
      </c>
      <c r="G338" s="2">
        <v>5.0396999999999998</v>
      </c>
      <c r="H338" s="3">
        <v>4203.1098000000002</v>
      </c>
      <c r="I338" s="1" t="s">
        <v>17</v>
      </c>
      <c r="J338" s="1" t="s">
        <v>18</v>
      </c>
      <c r="K338" s="1" t="s">
        <v>19</v>
      </c>
    </row>
    <row r="339" spans="1:11" ht="12.75" customHeight="1" x14ac:dyDescent="0.2">
      <c r="A339" s="1" t="s">
        <v>581</v>
      </c>
      <c r="B339" s="1" t="s">
        <v>582</v>
      </c>
      <c r="C339" s="2">
        <v>206</v>
      </c>
      <c r="D339" s="2">
        <v>1442</v>
      </c>
      <c r="E339" s="2">
        <v>0</v>
      </c>
      <c r="F339" s="2">
        <v>0</v>
      </c>
      <c r="G339" s="2">
        <v>3.097</v>
      </c>
      <c r="H339" s="3">
        <v>637.98199999999997</v>
      </c>
      <c r="I339" s="1" t="s">
        <v>330</v>
      </c>
      <c r="J339" s="1" t="s">
        <v>331</v>
      </c>
      <c r="K339" s="1" t="s">
        <v>332</v>
      </c>
    </row>
    <row r="340" spans="1:11" ht="12.75" customHeight="1" x14ac:dyDescent="0.2">
      <c r="A340" s="1" t="s">
        <v>583</v>
      </c>
      <c r="B340" s="1" t="s">
        <v>584</v>
      </c>
      <c r="C340" s="2">
        <v>593</v>
      </c>
      <c r="D340" s="2">
        <v>4744</v>
      </c>
      <c r="E340" s="2">
        <v>0</v>
      </c>
      <c r="F340" s="2">
        <v>0</v>
      </c>
      <c r="G340" s="2">
        <v>5.6862000000000004</v>
      </c>
      <c r="H340" s="3">
        <v>3371.9166</v>
      </c>
      <c r="I340" s="1" t="s">
        <v>330</v>
      </c>
      <c r="J340" s="1" t="s">
        <v>331</v>
      </c>
      <c r="K340" s="1" t="s">
        <v>332</v>
      </c>
    </row>
    <row r="341" spans="1:11" ht="12.75" customHeight="1" x14ac:dyDescent="0.2">
      <c r="A341" s="1" t="s">
        <v>585</v>
      </c>
      <c r="B341" s="1" t="s">
        <v>586</v>
      </c>
      <c r="C341" s="2">
        <v>895</v>
      </c>
      <c r="D341" s="2">
        <v>8950</v>
      </c>
      <c r="E341" s="2">
        <v>0</v>
      </c>
      <c r="F341" s="2">
        <v>341</v>
      </c>
      <c r="G341" s="2">
        <v>25.6722</v>
      </c>
      <c r="H341" s="3">
        <v>22976.618999999999</v>
      </c>
      <c r="I341" s="1" t="s">
        <v>17</v>
      </c>
      <c r="J341" s="1" t="s">
        <v>18</v>
      </c>
      <c r="K341" s="1" t="s">
        <v>19</v>
      </c>
    </row>
    <row r="342" spans="1:11" ht="12.75" customHeight="1" x14ac:dyDescent="0.2">
      <c r="A342" s="1" t="s">
        <v>585</v>
      </c>
      <c r="B342" s="1" t="s">
        <v>586</v>
      </c>
      <c r="C342" s="2">
        <v>707</v>
      </c>
      <c r="D342" s="2">
        <v>7070</v>
      </c>
      <c r="E342" s="2">
        <v>0</v>
      </c>
      <c r="F342" s="2">
        <v>0</v>
      </c>
      <c r="G342" s="2">
        <v>24.4986</v>
      </c>
      <c r="H342" s="3">
        <v>17320.510200000001</v>
      </c>
      <c r="I342" s="1" t="s">
        <v>24</v>
      </c>
      <c r="J342" s="1" t="s">
        <v>25</v>
      </c>
      <c r="K342" s="1" t="s">
        <v>26</v>
      </c>
    </row>
    <row r="343" spans="1:11" ht="12.75" customHeight="1" x14ac:dyDescent="0.2">
      <c r="A343" s="1" t="s">
        <v>585</v>
      </c>
      <c r="B343" s="1" t="s">
        <v>586</v>
      </c>
      <c r="C343" s="2">
        <v>397</v>
      </c>
      <c r="D343" s="2">
        <v>3970</v>
      </c>
      <c r="E343" s="2">
        <v>0</v>
      </c>
      <c r="F343" s="2">
        <v>0</v>
      </c>
      <c r="G343" s="2">
        <v>24.265699999999999</v>
      </c>
      <c r="H343" s="3">
        <v>9633.4829000000009</v>
      </c>
      <c r="I343" s="1" t="s">
        <v>125</v>
      </c>
      <c r="J343" s="1" t="s">
        <v>126</v>
      </c>
      <c r="K343" s="1" t="s">
        <v>127</v>
      </c>
    </row>
    <row r="344" spans="1:11" ht="12.75" customHeight="1" x14ac:dyDescent="0.2">
      <c r="A344" s="1" t="s">
        <v>585</v>
      </c>
      <c r="B344" s="1" t="s">
        <v>586</v>
      </c>
      <c r="C344" s="2">
        <v>386</v>
      </c>
      <c r="D344" s="2">
        <v>3860</v>
      </c>
      <c r="E344" s="2">
        <v>0</v>
      </c>
      <c r="F344" s="2">
        <v>88</v>
      </c>
      <c r="G344" s="2">
        <v>28.6325</v>
      </c>
      <c r="H344" s="3">
        <v>11052.145</v>
      </c>
      <c r="I344" s="1" t="s">
        <v>330</v>
      </c>
      <c r="J344" s="1" t="s">
        <v>331</v>
      </c>
      <c r="K344" s="1" t="s">
        <v>332</v>
      </c>
    </row>
    <row r="345" spans="1:11" ht="12.75" customHeight="1" x14ac:dyDescent="0.2">
      <c r="A345" s="1" t="s">
        <v>587</v>
      </c>
      <c r="B345" s="1" t="s">
        <v>588</v>
      </c>
      <c r="C345" s="2">
        <v>5</v>
      </c>
      <c r="D345" s="2">
        <v>60</v>
      </c>
      <c r="E345" s="2">
        <v>0</v>
      </c>
      <c r="F345" s="2">
        <v>0</v>
      </c>
      <c r="G345" s="2">
        <v>34.910499999999999</v>
      </c>
      <c r="H345" s="3">
        <v>174.55250000000001</v>
      </c>
      <c r="I345" s="1" t="s">
        <v>17</v>
      </c>
      <c r="J345" s="1" t="s">
        <v>18</v>
      </c>
      <c r="K345" s="1" t="s">
        <v>19</v>
      </c>
    </row>
    <row r="346" spans="1:11" ht="12.75" customHeight="1" x14ac:dyDescent="0.2">
      <c r="A346" s="1" t="s">
        <v>587</v>
      </c>
      <c r="B346" s="1" t="s">
        <v>588</v>
      </c>
      <c r="C346" s="2">
        <v>517</v>
      </c>
      <c r="D346" s="2">
        <v>6204</v>
      </c>
      <c r="E346" s="2">
        <v>0</v>
      </c>
      <c r="F346" s="2">
        <v>363</v>
      </c>
      <c r="G346" s="2">
        <v>36.299100000000003</v>
      </c>
      <c r="H346" s="3">
        <v>18766.634699999999</v>
      </c>
      <c r="I346" s="1" t="s">
        <v>24</v>
      </c>
      <c r="J346" s="1" t="s">
        <v>25</v>
      </c>
      <c r="K346" s="1" t="s">
        <v>26</v>
      </c>
    </row>
    <row r="347" spans="1:11" ht="12.75" customHeight="1" x14ac:dyDescent="0.2">
      <c r="A347" s="1" t="s">
        <v>587</v>
      </c>
      <c r="B347" s="1" t="s">
        <v>588</v>
      </c>
      <c r="C347" s="2">
        <v>84</v>
      </c>
      <c r="D347" s="2">
        <v>1008</v>
      </c>
      <c r="E347" s="2">
        <v>0</v>
      </c>
      <c r="F347" s="2">
        <v>0</v>
      </c>
      <c r="G347" s="2">
        <v>38.410400000000003</v>
      </c>
      <c r="H347" s="3">
        <v>3226.4735999999998</v>
      </c>
      <c r="I347" s="1" t="s">
        <v>125</v>
      </c>
      <c r="J347" s="1" t="s">
        <v>126</v>
      </c>
      <c r="K347" s="1" t="s">
        <v>127</v>
      </c>
    </row>
    <row r="348" spans="1:11" ht="12.75" customHeight="1" x14ac:dyDescent="0.2">
      <c r="A348" s="1" t="s">
        <v>587</v>
      </c>
      <c r="B348" s="1" t="s">
        <v>588</v>
      </c>
      <c r="C348" s="2">
        <v>1</v>
      </c>
      <c r="D348" s="2">
        <v>12</v>
      </c>
      <c r="E348" s="2">
        <v>0</v>
      </c>
      <c r="F348" s="2">
        <v>0</v>
      </c>
      <c r="G348" s="2">
        <v>51.24</v>
      </c>
      <c r="H348" s="3">
        <v>51.24</v>
      </c>
      <c r="I348" s="1" t="s">
        <v>330</v>
      </c>
      <c r="J348" s="1" t="s">
        <v>331</v>
      </c>
      <c r="K348" s="1" t="s">
        <v>332</v>
      </c>
    </row>
    <row r="349" spans="1:11" ht="12.75" customHeight="1" x14ac:dyDescent="0.2">
      <c r="A349" s="1" t="s">
        <v>589</v>
      </c>
      <c r="B349" s="1" t="s">
        <v>590</v>
      </c>
      <c r="C349" s="2">
        <v>193</v>
      </c>
      <c r="D349" s="2">
        <v>2702</v>
      </c>
      <c r="E349" s="2">
        <v>0</v>
      </c>
      <c r="F349" s="2">
        <v>88</v>
      </c>
      <c r="G349" s="2">
        <v>41.731400000000001</v>
      </c>
      <c r="H349" s="3">
        <v>8054.1602000000003</v>
      </c>
      <c r="I349" s="1" t="s">
        <v>17</v>
      </c>
      <c r="J349" s="1" t="s">
        <v>18</v>
      </c>
      <c r="K349" s="1" t="s">
        <v>19</v>
      </c>
    </row>
    <row r="350" spans="1:11" ht="12.75" customHeight="1" x14ac:dyDescent="0.2">
      <c r="A350" s="1" t="s">
        <v>589</v>
      </c>
      <c r="B350" s="1" t="s">
        <v>590</v>
      </c>
      <c r="C350" s="2">
        <v>580</v>
      </c>
      <c r="D350" s="2">
        <v>8120</v>
      </c>
      <c r="E350" s="2">
        <v>0</v>
      </c>
      <c r="F350" s="2">
        <v>308</v>
      </c>
      <c r="G350" s="2">
        <v>42.825099999999999</v>
      </c>
      <c r="H350" s="3">
        <v>24838.558000000001</v>
      </c>
      <c r="I350" s="1" t="s">
        <v>24</v>
      </c>
      <c r="J350" s="1" t="s">
        <v>25</v>
      </c>
      <c r="K350" s="1" t="s">
        <v>26</v>
      </c>
    </row>
    <row r="351" spans="1:11" ht="12.75" customHeight="1" x14ac:dyDescent="0.2">
      <c r="A351" s="1" t="s">
        <v>589</v>
      </c>
      <c r="B351" s="1" t="s">
        <v>590</v>
      </c>
      <c r="C351" s="2">
        <v>418</v>
      </c>
      <c r="D351" s="2">
        <v>5852</v>
      </c>
      <c r="E351" s="2">
        <v>0</v>
      </c>
      <c r="F351" s="2">
        <v>0</v>
      </c>
      <c r="G351" s="2">
        <v>43.3643</v>
      </c>
      <c r="H351" s="3">
        <v>18126.277399999999</v>
      </c>
      <c r="I351" s="1" t="s">
        <v>125</v>
      </c>
      <c r="J351" s="1" t="s">
        <v>126</v>
      </c>
      <c r="K351" s="1" t="s">
        <v>127</v>
      </c>
    </row>
    <row r="352" spans="1:11" ht="12.75" customHeight="1" x14ac:dyDescent="0.2">
      <c r="A352" s="1" t="s">
        <v>589</v>
      </c>
      <c r="B352" s="1" t="s">
        <v>590</v>
      </c>
      <c r="C352" s="2">
        <v>183</v>
      </c>
      <c r="D352" s="2">
        <v>2562</v>
      </c>
      <c r="E352" s="2">
        <v>0</v>
      </c>
      <c r="F352" s="2">
        <v>0</v>
      </c>
      <c r="G352" s="2">
        <v>45.060600000000001</v>
      </c>
      <c r="H352" s="3">
        <v>8246.0897999999997</v>
      </c>
      <c r="I352" s="1" t="s">
        <v>330</v>
      </c>
      <c r="J352" s="1" t="s">
        <v>331</v>
      </c>
      <c r="K352" s="1" t="s">
        <v>332</v>
      </c>
    </row>
    <row r="353" spans="1:11" ht="12.75" customHeight="1" x14ac:dyDescent="0.2">
      <c r="A353" s="1" t="s">
        <v>591</v>
      </c>
      <c r="B353" s="1" t="s">
        <v>592</v>
      </c>
      <c r="C353" s="2">
        <v>17</v>
      </c>
      <c r="D353" s="2">
        <v>272</v>
      </c>
      <c r="E353" s="2">
        <v>0</v>
      </c>
      <c r="F353" s="2">
        <v>0</v>
      </c>
      <c r="G353" s="2">
        <v>47.9998</v>
      </c>
      <c r="H353" s="3">
        <v>815.99659999999994</v>
      </c>
      <c r="I353" s="1" t="s">
        <v>17</v>
      </c>
      <c r="J353" s="1" t="s">
        <v>18</v>
      </c>
      <c r="K353" s="1" t="s">
        <v>19</v>
      </c>
    </row>
    <row r="354" spans="1:11" ht="12.75" customHeight="1" x14ac:dyDescent="0.2">
      <c r="A354" s="1" t="s">
        <v>591</v>
      </c>
      <c r="B354" s="1" t="s">
        <v>592</v>
      </c>
      <c r="C354" s="2">
        <v>189</v>
      </c>
      <c r="D354" s="2">
        <v>3024</v>
      </c>
      <c r="E354" s="2">
        <v>0</v>
      </c>
      <c r="F354" s="2">
        <v>121</v>
      </c>
      <c r="G354" s="2">
        <v>49.775300000000001</v>
      </c>
      <c r="H354" s="3">
        <v>9407.5316999999995</v>
      </c>
      <c r="I354" s="1" t="s">
        <v>24</v>
      </c>
      <c r="J354" s="1" t="s">
        <v>25</v>
      </c>
      <c r="K354" s="1" t="s">
        <v>26</v>
      </c>
    </row>
    <row r="355" spans="1:11" ht="12.75" customHeight="1" x14ac:dyDescent="0.2">
      <c r="A355" s="1" t="s">
        <v>593</v>
      </c>
      <c r="B355" s="1" t="s">
        <v>594</v>
      </c>
      <c r="C355" s="2">
        <v>16</v>
      </c>
      <c r="D355" s="2">
        <v>288</v>
      </c>
      <c r="E355" s="2">
        <v>0</v>
      </c>
      <c r="F355" s="2">
        <v>0</v>
      </c>
      <c r="G355" s="2">
        <v>56.027099999999997</v>
      </c>
      <c r="H355" s="3">
        <v>896.43359999999996</v>
      </c>
      <c r="I355" s="1" t="s">
        <v>17</v>
      </c>
      <c r="J355" s="1" t="s">
        <v>18</v>
      </c>
      <c r="K355" s="1" t="s">
        <v>19</v>
      </c>
    </row>
    <row r="356" spans="1:11" ht="12.75" customHeight="1" x14ac:dyDescent="0.2">
      <c r="A356" s="1" t="s">
        <v>593</v>
      </c>
      <c r="B356" s="1" t="s">
        <v>594</v>
      </c>
      <c r="C356" s="2">
        <v>297</v>
      </c>
      <c r="D356" s="2">
        <v>5346</v>
      </c>
      <c r="E356" s="2">
        <v>0</v>
      </c>
      <c r="F356" s="2">
        <v>142</v>
      </c>
      <c r="G356" s="2">
        <v>55.458300000000001</v>
      </c>
      <c r="H356" s="3">
        <v>16471.115099999999</v>
      </c>
      <c r="I356" s="1" t="s">
        <v>24</v>
      </c>
      <c r="J356" s="1" t="s">
        <v>25</v>
      </c>
      <c r="K356" s="1" t="s">
        <v>26</v>
      </c>
    </row>
    <row r="357" spans="1:11" ht="12.75" customHeight="1" x14ac:dyDescent="0.2">
      <c r="A357" s="1" t="s">
        <v>593</v>
      </c>
      <c r="B357" s="1" t="s">
        <v>594</v>
      </c>
      <c r="C357" s="2">
        <v>61</v>
      </c>
      <c r="D357" s="2">
        <v>1098</v>
      </c>
      <c r="E357" s="2">
        <v>0</v>
      </c>
      <c r="F357" s="2">
        <v>0</v>
      </c>
      <c r="G357" s="2">
        <v>55.746699999999997</v>
      </c>
      <c r="H357" s="3">
        <v>3400.5486999999998</v>
      </c>
      <c r="I357" s="1" t="s">
        <v>125</v>
      </c>
      <c r="J357" s="1" t="s">
        <v>126</v>
      </c>
      <c r="K357" s="1" t="s">
        <v>127</v>
      </c>
    </row>
    <row r="358" spans="1:11" ht="12.75" customHeight="1" x14ac:dyDescent="0.2">
      <c r="A358" s="1" t="s">
        <v>593</v>
      </c>
      <c r="B358" s="1" t="s">
        <v>594</v>
      </c>
      <c r="C358" s="2">
        <v>382</v>
      </c>
      <c r="D358" s="2">
        <v>6876</v>
      </c>
      <c r="E358" s="2">
        <v>0</v>
      </c>
      <c r="F358" s="2">
        <v>66</v>
      </c>
      <c r="G358" s="2">
        <v>58.625399999999999</v>
      </c>
      <c r="H358" s="3">
        <v>22394.9028</v>
      </c>
      <c r="I358" s="1" t="s">
        <v>330</v>
      </c>
      <c r="J358" s="1" t="s">
        <v>331</v>
      </c>
      <c r="K358" s="1" t="s">
        <v>332</v>
      </c>
    </row>
    <row r="359" spans="1:11" ht="12.75" customHeight="1" x14ac:dyDescent="0.2">
      <c r="A359" s="1" t="s">
        <v>595</v>
      </c>
      <c r="B359" s="1" t="s">
        <v>596</v>
      </c>
      <c r="C359" s="2">
        <v>17</v>
      </c>
      <c r="D359" s="2">
        <v>340</v>
      </c>
      <c r="E359" s="2">
        <v>0</v>
      </c>
      <c r="F359" s="2">
        <v>12</v>
      </c>
      <c r="G359" s="2">
        <v>58.564599999999999</v>
      </c>
      <c r="H359" s="3">
        <v>995.59820000000002</v>
      </c>
      <c r="I359" s="1" t="s">
        <v>17</v>
      </c>
      <c r="J359" s="1" t="s">
        <v>18</v>
      </c>
      <c r="K359" s="1" t="s">
        <v>19</v>
      </c>
    </row>
    <row r="360" spans="1:11" ht="12.75" customHeight="1" x14ac:dyDescent="0.2">
      <c r="A360" s="1" t="s">
        <v>595</v>
      </c>
      <c r="B360" s="1" t="s">
        <v>596</v>
      </c>
      <c r="C360" s="2">
        <v>208</v>
      </c>
      <c r="D360" s="2">
        <v>4160</v>
      </c>
      <c r="E360" s="2">
        <v>0</v>
      </c>
      <c r="F360" s="2">
        <v>132</v>
      </c>
      <c r="G360" s="2">
        <v>61.558300000000003</v>
      </c>
      <c r="H360" s="3">
        <v>12804.126399999999</v>
      </c>
      <c r="I360" s="1" t="s">
        <v>24</v>
      </c>
      <c r="J360" s="1" t="s">
        <v>25</v>
      </c>
      <c r="K360" s="1" t="s">
        <v>26</v>
      </c>
    </row>
    <row r="361" spans="1:11" ht="12.75" customHeight="1" x14ac:dyDescent="0.2">
      <c r="A361" s="1" t="s">
        <v>595</v>
      </c>
      <c r="B361" s="1" t="s">
        <v>596</v>
      </c>
      <c r="C361" s="2">
        <v>25</v>
      </c>
      <c r="D361" s="2">
        <v>500</v>
      </c>
      <c r="E361" s="2">
        <v>0</v>
      </c>
      <c r="F361" s="2">
        <v>0</v>
      </c>
      <c r="G361" s="2">
        <v>61.9392</v>
      </c>
      <c r="H361" s="3">
        <v>1548.48</v>
      </c>
      <c r="I361" s="1" t="s">
        <v>125</v>
      </c>
      <c r="J361" s="1" t="s">
        <v>126</v>
      </c>
      <c r="K361" s="1" t="s">
        <v>127</v>
      </c>
    </row>
    <row r="362" spans="1:11" ht="12.75" customHeight="1" x14ac:dyDescent="0.2">
      <c r="A362" s="1" t="s">
        <v>595</v>
      </c>
      <c r="B362" s="1" t="s">
        <v>596</v>
      </c>
      <c r="C362" s="2">
        <v>299</v>
      </c>
      <c r="D362" s="2">
        <v>5980</v>
      </c>
      <c r="E362" s="2">
        <v>0</v>
      </c>
      <c r="F362" s="2">
        <v>0</v>
      </c>
      <c r="G362" s="2">
        <v>61.9392</v>
      </c>
      <c r="H362" s="3">
        <v>18519.820800000001</v>
      </c>
      <c r="I362" s="1" t="s">
        <v>330</v>
      </c>
      <c r="J362" s="1" t="s">
        <v>331</v>
      </c>
      <c r="K362" s="1" t="s">
        <v>332</v>
      </c>
    </row>
    <row r="363" spans="1:11" ht="12.75" customHeight="1" x14ac:dyDescent="0.2">
      <c r="A363" s="1" t="s">
        <v>597</v>
      </c>
      <c r="B363" s="1" t="s">
        <v>598</v>
      </c>
      <c r="C363" s="2">
        <v>39</v>
      </c>
      <c r="D363" s="2">
        <v>858</v>
      </c>
      <c r="E363" s="2">
        <v>0</v>
      </c>
      <c r="F363" s="2">
        <v>29</v>
      </c>
      <c r="G363" s="2">
        <v>66.796800000000005</v>
      </c>
      <c r="H363" s="3">
        <v>2605.0752000000002</v>
      </c>
      <c r="I363" s="1" t="s">
        <v>17</v>
      </c>
      <c r="J363" s="1" t="s">
        <v>18</v>
      </c>
      <c r="K363" s="1" t="s">
        <v>19</v>
      </c>
    </row>
    <row r="364" spans="1:11" ht="12.75" customHeight="1" x14ac:dyDescent="0.2">
      <c r="A364" s="1" t="s">
        <v>597</v>
      </c>
      <c r="B364" s="1" t="s">
        <v>598</v>
      </c>
      <c r="C364" s="2">
        <v>130</v>
      </c>
      <c r="D364" s="2">
        <v>2860</v>
      </c>
      <c r="E364" s="2">
        <v>0</v>
      </c>
      <c r="F364" s="2">
        <v>88</v>
      </c>
      <c r="G364" s="2">
        <v>68.1267</v>
      </c>
      <c r="H364" s="3">
        <v>8856.4709999999995</v>
      </c>
      <c r="I364" s="1" t="s">
        <v>24</v>
      </c>
      <c r="J364" s="1" t="s">
        <v>25</v>
      </c>
      <c r="K364" s="1" t="s">
        <v>26</v>
      </c>
    </row>
    <row r="365" spans="1:11" ht="12.75" customHeight="1" x14ac:dyDescent="0.2">
      <c r="A365" s="1" t="s">
        <v>597</v>
      </c>
      <c r="B365" s="1" t="s">
        <v>598</v>
      </c>
      <c r="C365" s="2">
        <v>75</v>
      </c>
      <c r="D365" s="2">
        <v>1650</v>
      </c>
      <c r="E365" s="2">
        <v>0</v>
      </c>
      <c r="F365" s="2">
        <v>0</v>
      </c>
      <c r="G365" s="2">
        <v>68.1267</v>
      </c>
      <c r="H365" s="3">
        <v>5109.5024999999996</v>
      </c>
      <c r="I365" s="1" t="s">
        <v>330</v>
      </c>
      <c r="J365" s="1" t="s">
        <v>331</v>
      </c>
      <c r="K365" s="1" t="s">
        <v>332</v>
      </c>
    </row>
    <row r="366" spans="1:11" ht="12.75" customHeight="1" x14ac:dyDescent="0.2">
      <c r="A366" s="1" t="s">
        <v>599</v>
      </c>
      <c r="B366" s="1" t="s">
        <v>600</v>
      </c>
      <c r="C366" s="2">
        <v>57</v>
      </c>
      <c r="D366" s="2">
        <v>171</v>
      </c>
      <c r="E366" s="2">
        <v>0</v>
      </c>
      <c r="F366" s="2">
        <v>0</v>
      </c>
      <c r="G366" s="2">
        <v>2.7818000000000001</v>
      </c>
      <c r="H366" s="3">
        <v>158.5626</v>
      </c>
      <c r="I366" s="1" t="s">
        <v>17</v>
      </c>
      <c r="J366" s="1" t="s">
        <v>18</v>
      </c>
      <c r="K366" s="1" t="s">
        <v>19</v>
      </c>
    </row>
    <row r="367" spans="1:11" ht="12.75" customHeight="1" x14ac:dyDescent="0.2">
      <c r="A367" s="1" t="s">
        <v>601</v>
      </c>
      <c r="B367" s="1" t="s">
        <v>602</v>
      </c>
      <c r="C367" s="2">
        <v>164</v>
      </c>
      <c r="D367" s="2">
        <v>656</v>
      </c>
      <c r="E367" s="2">
        <v>0</v>
      </c>
      <c r="F367" s="2">
        <v>0</v>
      </c>
      <c r="G367" s="2">
        <v>3.7159</v>
      </c>
      <c r="H367" s="3">
        <v>609.4076</v>
      </c>
      <c r="I367" s="1" t="s">
        <v>17</v>
      </c>
      <c r="J367" s="1" t="s">
        <v>18</v>
      </c>
      <c r="K367" s="1" t="s">
        <v>19</v>
      </c>
    </row>
    <row r="368" spans="1:11" ht="12.75" customHeight="1" x14ac:dyDescent="0.2">
      <c r="A368" s="1" t="s">
        <v>603</v>
      </c>
      <c r="B368" s="1" t="s">
        <v>604</v>
      </c>
      <c r="C368" s="2">
        <v>90</v>
      </c>
      <c r="D368" s="2">
        <v>450</v>
      </c>
      <c r="E368" s="2">
        <v>0</v>
      </c>
      <c r="F368" s="2">
        <v>0</v>
      </c>
      <c r="G368" s="2">
        <v>4.6500000000000004</v>
      </c>
      <c r="H368" s="3">
        <v>418.5</v>
      </c>
      <c r="I368" s="1" t="s">
        <v>17</v>
      </c>
      <c r="J368" s="1" t="s">
        <v>18</v>
      </c>
      <c r="K368" s="1" t="s">
        <v>19</v>
      </c>
    </row>
    <row r="369" spans="1:11" ht="12.75" customHeight="1" x14ac:dyDescent="0.2">
      <c r="A369" s="1" t="s">
        <v>605</v>
      </c>
      <c r="B369" s="1" t="s">
        <v>606</v>
      </c>
      <c r="C369" s="2">
        <v>1791</v>
      </c>
      <c r="D369" s="2">
        <v>10746</v>
      </c>
      <c r="E369" s="2">
        <v>0</v>
      </c>
      <c r="F369" s="2">
        <v>0</v>
      </c>
      <c r="G369" s="2">
        <v>9.2927999999999997</v>
      </c>
      <c r="H369" s="3">
        <v>16643.4048</v>
      </c>
      <c r="I369" s="1" t="s">
        <v>24</v>
      </c>
      <c r="J369" s="1" t="s">
        <v>25</v>
      </c>
      <c r="K369" s="1" t="s">
        <v>26</v>
      </c>
    </row>
    <row r="370" spans="1:11" ht="12.75" customHeight="1" x14ac:dyDescent="0.2">
      <c r="A370" s="1" t="s">
        <v>605</v>
      </c>
      <c r="B370" s="1" t="s">
        <v>606</v>
      </c>
      <c r="C370" s="2">
        <v>8</v>
      </c>
      <c r="D370" s="2">
        <v>48</v>
      </c>
      <c r="E370" s="2">
        <v>0</v>
      </c>
      <c r="F370" s="2">
        <v>1</v>
      </c>
      <c r="G370" s="2">
        <v>12.29</v>
      </c>
      <c r="H370" s="3">
        <v>98.32</v>
      </c>
      <c r="I370" s="1" t="s">
        <v>330</v>
      </c>
      <c r="J370" s="1" t="s">
        <v>331</v>
      </c>
      <c r="K370" s="1" t="s">
        <v>332</v>
      </c>
    </row>
    <row r="371" spans="1:11" ht="12.75" customHeight="1" x14ac:dyDescent="0.2">
      <c r="A371" s="1" t="s">
        <v>607</v>
      </c>
      <c r="B371" s="1" t="s">
        <v>608</v>
      </c>
      <c r="C371" s="2">
        <v>1153</v>
      </c>
      <c r="D371" s="2">
        <v>8071</v>
      </c>
      <c r="E371" s="2">
        <v>0</v>
      </c>
      <c r="F371" s="2">
        <v>0</v>
      </c>
      <c r="G371" s="2">
        <v>10.8422</v>
      </c>
      <c r="H371" s="3">
        <v>12501.0566</v>
      </c>
      <c r="I371" s="1" t="s">
        <v>24</v>
      </c>
      <c r="J371" s="1" t="s">
        <v>25</v>
      </c>
      <c r="K371" s="1" t="s">
        <v>26</v>
      </c>
    </row>
    <row r="372" spans="1:11" ht="12.75" customHeight="1" x14ac:dyDescent="0.2">
      <c r="A372" s="1" t="s">
        <v>609</v>
      </c>
      <c r="B372" s="1" t="s">
        <v>610</v>
      </c>
      <c r="C372" s="2">
        <v>1812</v>
      </c>
      <c r="D372" s="2">
        <v>14496</v>
      </c>
      <c r="E372" s="2">
        <v>0</v>
      </c>
      <c r="F372" s="2">
        <v>620</v>
      </c>
      <c r="G372" s="2">
        <v>20.3062</v>
      </c>
      <c r="H372" s="3">
        <v>36794.8344</v>
      </c>
      <c r="I372" s="1" t="s">
        <v>17</v>
      </c>
      <c r="J372" s="1" t="s">
        <v>18</v>
      </c>
      <c r="K372" s="1" t="s">
        <v>19</v>
      </c>
    </row>
    <row r="373" spans="1:11" ht="12.75" customHeight="1" x14ac:dyDescent="0.2">
      <c r="A373" s="1" t="s">
        <v>609</v>
      </c>
      <c r="B373" s="1" t="s">
        <v>610</v>
      </c>
      <c r="C373" s="2">
        <v>1197</v>
      </c>
      <c r="D373" s="2">
        <v>9576</v>
      </c>
      <c r="E373" s="2">
        <v>0</v>
      </c>
      <c r="F373" s="2">
        <v>0</v>
      </c>
      <c r="G373" s="2">
        <v>19.556000000000001</v>
      </c>
      <c r="H373" s="3">
        <v>23408.531999999999</v>
      </c>
      <c r="I373" s="1" t="s">
        <v>24</v>
      </c>
      <c r="J373" s="1" t="s">
        <v>25</v>
      </c>
      <c r="K373" s="1" t="s">
        <v>26</v>
      </c>
    </row>
    <row r="374" spans="1:11" ht="12.75" customHeight="1" x14ac:dyDescent="0.2">
      <c r="A374" s="1" t="s">
        <v>609</v>
      </c>
      <c r="B374" s="1" t="s">
        <v>610</v>
      </c>
      <c r="C374" s="2">
        <v>304</v>
      </c>
      <c r="D374" s="2">
        <v>2432</v>
      </c>
      <c r="E374" s="2">
        <v>0</v>
      </c>
      <c r="F374" s="2">
        <v>18</v>
      </c>
      <c r="G374" s="2">
        <v>19.821100000000001</v>
      </c>
      <c r="H374" s="3">
        <v>6025.6144000000004</v>
      </c>
      <c r="I374" s="1" t="s">
        <v>125</v>
      </c>
      <c r="J374" s="1" t="s">
        <v>126</v>
      </c>
      <c r="K374" s="1" t="s">
        <v>127</v>
      </c>
    </row>
    <row r="375" spans="1:11" ht="12.75" customHeight="1" x14ac:dyDescent="0.2">
      <c r="A375" s="1" t="s">
        <v>609</v>
      </c>
      <c r="B375" s="1" t="s">
        <v>610</v>
      </c>
      <c r="C375" s="2">
        <v>376</v>
      </c>
      <c r="D375" s="2">
        <v>3008</v>
      </c>
      <c r="E375" s="2">
        <v>0</v>
      </c>
      <c r="F375" s="2">
        <v>0</v>
      </c>
      <c r="G375" s="2">
        <v>23.302</v>
      </c>
      <c r="H375" s="3">
        <v>8761.5519999999997</v>
      </c>
      <c r="I375" s="1" t="s">
        <v>330</v>
      </c>
      <c r="J375" s="1" t="s">
        <v>331</v>
      </c>
      <c r="K375" s="1" t="s">
        <v>332</v>
      </c>
    </row>
    <row r="376" spans="1:11" ht="12.75" customHeight="1" x14ac:dyDescent="0.2">
      <c r="A376" s="1" t="s">
        <v>611</v>
      </c>
      <c r="B376" s="1" t="s">
        <v>612</v>
      </c>
      <c r="C376" s="2">
        <v>7</v>
      </c>
      <c r="D376" s="2">
        <v>70</v>
      </c>
      <c r="E376" s="2">
        <v>0</v>
      </c>
      <c r="F376" s="2">
        <v>140</v>
      </c>
      <c r="G376" s="2">
        <v>49.377299999999998</v>
      </c>
      <c r="H376" s="3">
        <v>345.64109999999999</v>
      </c>
      <c r="I376" s="1" t="s">
        <v>12</v>
      </c>
      <c r="J376" s="1" t="s">
        <v>13</v>
      </c>
      <c r="K376" s="1" t="s">
        <v>14</v>
      </c>
    </row>
    <row r="377" spans="1:11" ht="12.75" customHeight="1" x14ac:dyDescent="0.2">
      <c r="A377" s="1" t="s">
        <v>611</v>
      </c>
      <c r="B377" s="1" t="s">
        <v>612</v>
      </c>
      <c r="C377" s="2">
        <v>249</v>
      </c>
      <c r="D377" s="2">
        <v>2490</v>
      </c>
      <c r="E377" s="2">
        <v>0</v>
      </c>
      <c r="F377" s="2">
        <v>63</v>
      </c>
      <c r="G377" s="2">
        <v>50.193199999999997</v>
      </c>
      <c r="H377" s="3">
        <v>12498.1068</v>
      </c>
      <c r="I377" s="1" t="s">
        <v>17</v>
      </c>
      <c r="J377" s="1" t="s">
        <v>18</v>
      </c>
      <c r="K377" s="1" t="s">
        <v>19</v>
      </c>
    </row>
    <row r="378" spans="1:11" ht="12.75" customHeight="1" x14ac:dyDescent="0.2">
      <c r="A378" s="1" t="s">
        <v>611</v>
      </c>
      <c r="B378" s="1" t="s">
        <v>612</v>
      </c>
      <c r="C378" s="2">
        <v>355</v>
      </c>
      <c r="D378" s="2">
        <v>3550</v>
      </c>
      <c r="E378" s="2">
        <v>0</v>
      </c>
      <c r="F378" s="2">
        <v>0</v>
      </c>
      <c r="G378" s="2">
        <v>48.497900000000001</v>
      </c>
      <c r="H378" s="3">
        <v>17216.754499999999</v>
      </c>
      <c r="I378" s="1" t="s">
        <v>24</v>
      </c>
      <c r="J378" s="1" t="s">
        <v>25</v>
      </c>
      <c r="K378" s="1" t="s">
        <v>26</v>
      </c>
    </row>
    <row r="379" spans="1:11" ht="12.75" customHeight="1" x14ac:dyDescent="0.2">
      <c r="A379" s="1" t="s">
        <v>611</v>
      </c>
      <c r="B379" s="1" t="s">
        <v>612</v>
      </c>
      <c r="C379" s="2">
        <v>457</v>
      </c>
      <c r="D379" s="2">
        <v>4570</v>
      </c>
      <c r="E379" s="2">
        <v>0</v>
      </c>
      <c r="F379" s="2">
        <v>294</v>
      </c>
      <c r="G379" s="2">
        <v>43.151800000000001</v>
      </c>
      <c r="H379" s="3">
        <v>19720.372599999999</v>
      </c>
      <c r="I379" s="1" t="s">
        <v>125</v>
      </c>
      <c r="J379" s="1" t="s">
        <v>126</v>
      </c>
      <c r="K379" s="1" t="s">
        <v>127</v>
      </c>
    </row>
    <row r="380" spans="1:11" ht="12.75" customHeight="1" x14ac:dyDescent="0.2">
      <c r="A380" s="1" t="s">
        <v>611</v>
      </c>
      <c r="B380" s="1" t="s">
        <v>612</v>
      </c>
      <c r="C380" s="2">
        <v>100</v>
      </c>
      <c r="D380" s="2">
        <v>1000</v>
      </c>
      <c r="E380" s="2">
        <v>0</v>
      </c>
      <c r="F380" s="2">
        <v>77</v>
      </c>
      <c r="G380" s="2">
        <v>47.628700000000002</v>
      </c>
      <c r="H380" s="3">
        <v>4762.87</v>
      </c>
      <c r="I380" s="1" t="s">
        <v>330</v>
      </c>
      <c r="J380" s="1" t="s">
        <v>331</v>
      </c>
      <c r="K380" s="1" t="s">
        <v>332</v>
      </c>
    </row>
    <row r="381" spans="1:11" ht="12.75" customHeight="1" x14ac:dyDescent="0.2">
      <c r="A381" s="1" t="s">
        <v>611</v>
      </c>
      <c r="B381" s="1" t="s">
        <v>612</v>
      </c>
      <c r="C381" s="2">
        <v>5</v>
      </c>
      <c r="D381" s="2">
        <v>50</v>
      </c>
      <c r="E381" s="2">
        <v>0</v>
      </c>
      <c r="F381" s="2">
        <v>0</v>
      </c>
      <c r="G381" s="2">
        <v>43.151800000000001</v>
      </c>
      <c r="H381" s="3">
        <v>215.75899999999999</v>
      </c>
      <c r="I381" s="1" t="s">
        <v>454</v>
      </c>
      <c r="J381" s="1" t="s">
        <v>455</v>
      </c>
      <c r="K381" s="1" t="s">
        <v>456</v>
      </c>
    </row>
    <row r="382" spans="1:11" ht="12.75" customHeight="1" x14ac:dyDescent="0.2">
      <c r="A382" s="1" t="s">
        <v>611</v>
      </c>
      <c r="B382" s="1" t="s">
        <v>612</v>
      </c>
      <c r="C382" s="2">
        <v>74</v>
      </c>
      <c r="D382" s="2">
        <v>740</v>
      </c>
      <c r="E382" s="2">
        <v>0</v>
      </c>
      <c r="F382" s="2">
        <v>0</v>
      </c>
      <c r="G382" s="2">
        <v>52.267099999999999</v>
      </c>
      <c r="H382" s="3">
        <v>3867.7654000000002</v>
      </c>
      <c r="I382" s="1" t="s">
        <v>613</v>
      </c>
      <c r="J382" s="1" t="s">
        <v>614</v>
      </c>
      <c r="K382" s="1" t="s">
        <v>615</v>
      </c>
    </row>
    <row r="383" spans="1:11" ht="12.75" customHeight="1" x14ac:dyDescent="0.2">
      <c r="A383" s="1" t="s">
        <v>616</v>
      </c>
      <c r="B383" s="1" t="s">
        <v>617</v>
      </c>
      <c r="C383" s="2">
        <v>9</v>
      </c>
      <c r="D383" s="2">
        <v>108</v>
      </c>
      <c r="E383" s="2">
        <v>0</v>
      </c>
      <c r="F383" s="2">
        <v>0</v>
      </c>
      <c r="G383" s="2">
        <v>61.739199999999997</v>
      </c>
      <c r="H383" s="3">
        <v>555.65279999999996</v>
      </c>
      <c r="I383" s="1" t="s">
        <v>24</v>
      </c>
      <c r="J383" s="1" t="s">
        <v>25</v>
      </c>
      <c r="K383" s="1" t="s">
        <v>26</v>
      </c>
    </row>
    <row r="384" spans="1:11" ht="12.75" customHeight="1" x14ac:dyDescent="0.2">
      <c r="A384" s="1" t="s">
        <v>616</v>
      </c>
      <c r="B384" s="1" t="s">
        <v>617</v>
      </c>
      <c r="C384" s="2">
        <v>483</v>
      </c>
      <c r="D384" s="2">
        <v>5796</v>
      </c>
      <c r="E384" s="2">
        <v>0</v>
      </c>
      <c r="F384" s="2">
        <v>278</v>
      </c>
      <c r="G384" s="2">
        <v>65.797899999999998</v>
      </c>
      <c r="H384" s="3">
        <v>31780.385699999999</v>
      </c>
      <c r="I384" s="1" t="s">
        <v>125</v>
      </c>
      <c r="J384" s="1" t="s">
        <v>126</v>
      </c>
      <c r="K384" s="1" t="s">
        <v>127</v>
      </c>
    </row>
    <row r="385" spans="1:11" ht="12.75" customHeight="1" x14ac:dyDescent="0.2">
      <c r="A385" s="1" t="s">
        <v>616</v>
      </c>
      <c r="B385" s="1" t="s">
        <v>617</v>
      </c>
      <c r="C385" s="2">
        <v>148</v>
      </c>
      <c r="D385" s="2">
        <v>1776</v>
      </c>
      <c r="E385" s="2">
        <v>0</v>
      </c>
      <c r="F385" s="2">
        <v>0</v>
      </c>
      <c r="G385" s="2">
        <v>54.514000000000003</v>
      </c>
      <c r="H385" s="3">
        <v>8068.0720000000001</v>
      </c>
      <c r="I385" s="1" t="s">
        <v>330</v>
      </c>
      <c r="J385" s="1" t="s">
        <v>331</v>
      </c>
      <c r="K385" s="1" t="s">
        <v>332</v>
      </c>
    </row>
    <row r="386" spans="1:11" ht="12.75" customHeight="1" x14ac:dyDescent="0.2">
      <c r="A386" s="1" t="s">
        <v>618</v>
      </c>
      <c r="B386" s="1" t="s">
        <v>619</v>
      </c>
      <c r="C386" s="2">
        <v>123</v>
      </c>
      <c r="D386" s="2">
        <v>1722</v>
      </c>
      <c r="E386" s="2">
        <v>0</v>
      </c>
      <c r="F386" s="2">
        <v>28</v>
      </c>
      <c r="G386" s="2">
        <v>73.0959</v>
      </c>
      <c r="H386" s="3">
        <v>8990.7957000000006</v>
      </c>
      <c r="I386" s="1" t="s">
        <v>17</v>
      </c>
      <c r="J386" s="1" t="s">
        <v>18</v>
      </c>
      <c r="K386" s="1" t="s">
        <v>19</v>
      </c>
    </row>
    <row r="387" spans="1:11" ht="12.75" customHeight="1" x14ac:dyDescent="0.2">
      <c r="A387" s="1" t="s">
        <v>618</v>
      </c>
      <c r="B387" s="1" t="s">
        <v>619</v>
      </c>
      <c r="C387" s="2">
        <v>78</v>
      </c>
      <c r="D387" s="2">
        <v>1092</v>
      </c>
      <c r="E387" s="2">
        <v>0</v>
      </c>
      <c r="F387" s="2">
        <v>0</v>
      </c>
      <c r="G387" s="2">
        <v>71.415999999999997</v>
      </c>
      <c r="H387" s="3">
        <v>5570.4480000000003</v>
      </c>
      <c r="I387" s="1" t="s">
        <v>24</v>
      </c>
      <c r="J387" s="1" t="s">
        <v>25</v>
      </c>
      <c r="K387" s="1" t="s">
        <v>26</v>
      </c>
    </row>
    <row r="388" spans="1:11" ht="12.75" customHeight="1" x14ac:dyDescent="0.2">
      <c r="A388" s="1" t="s">
        <v>618</v>
      </c>
      <c r="B388" s="1" t="s">
        <v>619</v>
      </c>
      <c r="C388" s="2">
        <v>2</v>
      </c>
      <c r="D388" s="2">
        <v>28</v>
      </c>
      <c r="E388" s="2">
        <v>0</v>
      </c>
      <c r="F388" s="2">
        <v>2</v>
      </c>
      <c r="G388" s="2">
        <v>74.502799999999993</v>
      </c>
      <c r="H388" s="3">
        <v>149.00559999999999</v>
      </c>
      <c r="I388" s="1" t="s">
        <v>125</v>
      </c>
      <c r="J388" s="1" t="s">
        <v>126</v>
      </c>
      <c r="K388" s="1" t="s">
        <v>127</v>
      </c>
    </row>
    <row r="389" spans="1:11" ht="12.75" customHeight="1" x14ac:dyDescent="0.2">
      <c r="A389" s="1" t="s">
        <v>618</v>
      </c>
      <c r="B389" s="1" t="s">
        <v>619</v>
      </c>
      <c r="C389" s="2">
        <v>176</v>
      </c>
      <c r="D389" s="2">
        <v>2464</v>
      </c>
      <c r="E389" s="2">
        <v>0</v>
      </c>
      <c r="F389" s="2">
        <v>70</v>
      </c>
      <c r="G389" s="2">
        <v>63.599699999999999</v>
      </c>
      <c r="H389" s="3">
        <v>11193.547200000001</v>
      </c>
      <c r="I389" s="1" t="s">
        <v>330</v>
      </c>
      <c r="J389" s="1" t="s">
        <v>331</v>
      </c>
      <c r="K389" s="1" t="s">
        <v>332</v>
      </c>
    </row>
    <row r="390" spans="1:11" ht="12.75" customHeight="1" x14ac:dyDescent="0.2">
      <c r="A390" s="1" t="s">
        <v>618</v>
      </c>
      <c r="B390" s="1" t="s">
        <v>619</v>
      </c>
      <c r="C390" s="2">
        <v>98</v>
      </c>
      <c r="D390" s="2">
        <v>1372</v>
      </c>
      <c r="E390" s="2">
        <v>0</v>
      </c>
      <c r="F390" s="2">
        <v>0</v>
      </c>
      <c r="G390" s="2">
        <v>71.393900000000002</v>
      </c>
      <c r="H390" s="3">
        <v>6996.6022000000003</v>
      </c>
      <c r="I390" s="1" t="s">
        <v>613</v>
      </c>
      <c r="J390" s="1" t="s">
        <v>614</v>
      </c>
      <c r="K390" s="1" t="s">
        <v>615</v>
      </c>
    </row>
    <row r="391" spans="1:11" ht="12.75" customHeight="1" x14ac:dyDescent="0.2">
      <c r="A391" s="1" t="s">
        <v>620</v>
      </c>
      <c r="B391" s="1" t="s">
        <v>621</v>
      </c>
      <c r="C391" s="2">
        <v>141</v>
      </c>
      <c r="D391" s="2">
        <v>2256</v>
      </c>
      <c r="E391" s="2">
        <v>0</v>
      </c>
      <c r="F391" s="2">
        <v>21</v>
      </c>
      <c r="G391" s="2">
        <v>83.510599999999997</v>
      </c>
      <c r="H391" s="3">
        <v>11774.9946</v>
      </c>
      <c r="I391" s="1" t="s">
        <v>17</v>
      </c>
      <c r="J391" s="1" t="s">
        <v>18</v>
      </c>
      <c r="K391" s="1" t="s">
        <v>19</v>
      </c>
    </row>
    <row r="392" spans="1:11" ht="12.75" customHeight="1" x14ac:dyDescent="0.2">
      <c r="A392" s="1" t="s">
        <v>620</v>
      </c>
      <c r="B392" s="1" t="s">
        <v>621</v>
      </c>
      <c r="C392" s="2">
        <v>221</v>
      </c>
      <c r="D392" s="2">
        <v>3536</v>
      </c>
      <c r="E392" s="2">
        <v>0</v>
      </c>
      <c r="F392" s="2">
        <v>0</v>
      </c>
      <c r="G392" s="2">
        <v>85.981999999999999</v>
      </c>
      <c r="H392" s="3">
        <v>19002.022000000001</v>
      </c>
      <c r="I392" s="1" t="s">
        <v>24</v>
      </c>
      <c r="J392" s="1" t="s">
        <v>25</v>
      </c>
      <c r="K392" s="1" t="s">
        <v>26</v>
      </c>
    </row>
    <row r="393" spans="1:11" ht="12.75" customHeight="1" x14ac:dyDescent="0.2">
      <c r="A393" s="1" t="s">
        <v>620</v>
      </c>
      <c r="B393" s="1" t="s">
        <v>621</v>
      </c>
      <c r="C393" s="2">
        <v>263</v>
      </c>
      <c r="D393" s="2">
        <v>4208</v>
      </c>
      <c r="E393" s="2">
        <v>0</v>
      </c>
      <c r="F393" s="2">
        <v>263</v>
      </c>
      <c r="G393" s="2">
        <v>87.737399999999994</v>
      </c>
      <c r="H393" s="3">
        <v>23074.9362</v>
      </c>
      <c r="I393" s="1" t="s">
        <v>125</v>
      </c>
      <c r="J393" s="1" t="s">
        <v>126</v>
      </c>
      <c r="K393" s="1" t="s">
        <v>127</v>
      </c>
    </row>
    <row r="394" spans="1:11" ht="12.75" customHeight="1" x14ac:dyDescent="0.2">
      <c r="A394" s="1" t="s">
        <v>620</v>
      </c>
      <c r="B394" s="1" t="s">
        <v>621</v>
      </c>
      <c r="C394" s="2">
        <v>140</v>
      </c>
      <c r="D394" s="2">
        <v>2240</v>
      </c>
      <c r="E394" s="2">
        <v>0</v>
      </c>
      <c r="F394" s="2">
        <v>0</v>
      </c>
      <c r="G394" s="2">
        <v>77.983500000000006</v>
      </c>
      <c r="H394" s="3">
        <v>10917.69</v>
      </c>
      <c r="I394" s="1" t="s">
        <v>330</v>
      </c>
      <c r="J394" s="1" t="s">
        <v>331</v>
      </c>
      <c r="K394" s="1" t="s">
        <v>332</v>
      </c>
    </row>
    <row r="395" spans="1:11" ht="12.75" customHeight="1" x14ac:dyDescent="0.2">
      <c r="A395" s="1" t="s">
        <v>622</v>
      </c>
      <c r="B395" s="1" t="s">
        <v>623</v>
      </c>
      <c r="C395" s="2">
        <v>401</v>
      </c>
      <c r="D395" s="2">
        <v>7218</v>
      </c>
      <c r="E395" s="2">
        <v>0</v>
      </c>
      <c r="F395" s="2">
        <v>154</v>
      </c>
      <c r="G395" s="2">
        <v>99.939599999999999</v>
      </c>
      <c r="H395" s="3">
        <v>40075.779600000002</v>
      </c>
      <c r="I395" s="1" t="s">
        <v>17</v>
      </c>
      <c r="J395" s="1" t="s">
        <v>18</v>
      </c>
      <c r="K395" s="1" t="s">
        <v>19</v>
      </c>
    </row>
    <row r="396" spans="1:11" ht="12.75" customHeight="1" x14ac:dyDescent="0.2">
      <c r="A396" s="1" t="s">
        <v>622</v>
      </c>
      <c r="B396" s="1" t="s">
        <v>623</v>
      </c>
      <c r="C396" s="2">
        <v>276</v>
      </c>
      <c r="D396" s="2">
        <v>4968</v>
      </c>
      <c r="E396" s="2">
        <v>0</v>
      </c>
      <c r="F396" s="2">
        <v>0</v>
      </c>
      <c r="G396" s="2">
        <v>89.435599999999994</v>
      </c>
      <c r="H396" s="3">
        <v>24684.225600000002</v>
      </c>
      <c r="I396" s="1" t="s">
        <v>24</v>
      </c>
      <c r="J396" s="1" t="s">
        <v>25</v>
      </c>
      <c r="K396" s="1" t="s">
        <v>26</v>
      </c>
    </row>
    <row r="397" spans="1:11" ht="12.75" customHeight="1" x14ac:dyDescent="0.2">
      <c r="A397" s="1" t="s">
        <v>622</v>
      </c>
      <c r="B397" s="1" t="s">
        <v>623</v>
      </c>
      <c r="C397" s="2">
        <v>422</v>
      </c>
      <c r="D397" s="2">
        <v>7596</v>
      </c>
      <c r="E397" s="2">
        <v>0</v>
      </c>
      <c r="F397" s="2">
        <v>352</v>
      </c>
      <c r="G397" s="2">
        <v>95.791899999999998</v>
      </c>
      <c r="H397" s="3">
        <v>40424.181799999998</v>
      </c>
      <c r="I397" s="1" t="s">
        <v>125</v>
      </c>
      <c r="J397" s="1" t="s">
        <v>126</v>
      </c>
      <c r="K397" s="1" t="s">
        <v>127</v>
      </c>
    </row>
    <row r="398" spans="1:11" ht="12.75" customHeight="1" x14ac:dyDescent="0.2">
      <c r="A398" s="1" t="s">
        <v>622</v>
      </c>
      <c r="B398" s="1" t="s">
        <v>623</v>
      </c>
      <c r="C398" s="2">
        <v>287</v>
      </c>
      <c r="D398" s="2">
        <v>5166</v>
      </c>
      <c r="E398" s="2">
        <v>0</v>
      </c>
      <c r="F398" s="2">
        <v>42</v>
      </c>
      <c r="G398" s="2">
        <v>104.1931</v>
      </c>
      <c r="H398" s="3">
        <v>29903.419699999999</v>
      </c>
      <c r="I398" s="1" t="s">
        <v>330</v>
      </c>
      <c r="J398" s="1" t="s">
        <v>331</v>
      </c>
      <c r="K398" s="1" t="s">
        <v>332</v>
      </c>
    </row>
    <row r="399" spans="1:11" ht="12.75" customHeight="1" x14ac:dyDescent="0.2">
      <c r="A399" s="1" t="s">
        <v>622</v>
      </c>
      <c r="B399" s="1" t="s">
        <v>623</v>
      </c>
      <c r="C399" s="2">
        <v>42</v>
      </c>
      <c r="D399" s="2">
        <v>756</v>
      </c>
      <c r="E399" s="2">
        <v>0</v>
      </c>
      <c r="F399" s="2">
        <v>0</v>
      </c>
      <c r="G399" s="2">
        <v>108.4037</v>
      </c>
      <c r="H399" s="3">
        <v>4552.9553999999998</v>
      </c>
      <c r="I399" s="1" t="s">
        <v>613</v>
      </c>
      <c r="J399" s="1" t="s">
        <v>614</v>
      </c>
      <c r="K399" s="1" t="s">
        <v>615</v>
      </c>
    </row>
    <row r="400" spans="1:11" ht="12.75" customHeight="1" x14ac:dyDescent="0.2">
      <c r="A400" s="1" t="s">
        <v>624</v>
      </c>
      <c r="B400" s="1" t="s">
        <v>625</v>
      </c>
      <c r="C400" s="2">
        <v>53</v>
      </c>
      <c r="D400" s="2">
        <v>1060</v>
      </c>
      <c r="E400" s="2">
        <v>0</v>
      </c>
      <c r="F400" s="2">
        <v>14</v>
      </c>
      <c r="G400" s="2">
        <v>110.3875</v>
      </c>
      <c r="H400" s="3">
        <v>5850.5375000000004</v>
      </c>
      <c r="I400" s="1" t="s">
        <v>17</v>
      </c>
      <c r="J400" s="1" t="s">
        <v>18</v>
      </c>
      <c r="K400" s="1" t="s">
        <v>19</v>
      </c>
    </row>
    <row r="401" spans="1:11" ht="12.75" customHeight="1" x14ac:dyDescent="0.2">
      <c r="A401" s="1" t="s">
        <v>624</v>
      </c>
      <c r="B401" s="1" t="s">
        <v>625</v>
      </c>
      <c r="C401" s="2">
        <v>119</v>
      </c>
      <c r="D401" s="2">
        <v>2380</v>
      </c>
      <c r="E401" s="2">
        <v>0</v>
      </c>
      <c r="F401" s="2">
        <v>0</v>
      </c>
      <c r="G401" s="2">
        <v>104.2413</v>
      </c>
      <c r="H401" s="3">
        <v>12404.7147</v>
      </c>
      <c r="I401" s="1" t="s">
        <v>24</v>
      </c>
      <c r="J401" s="1" t="s">
        <v>25</v>
      </c>
      <c r="K401" s="1" t="s">
        <v>26</v>
      </c>
    </row>
    <row r="402" spans="1:11" ht="12.75" customHeight="1" x14ac:dyDescent="0.2">
      <c r="A402" s="1" t="s">
        <v>624</v>
      </c>
      <c r="B402" s="1" t="s">
        <v>625</v>
      </c>
      <c r="C402" s="2">
        <v>413</v>
      </c>
      <c r="D402" s="2">
        <v>8260</v>
      </c>
      <c r="E402" s="2">
        <v>0</v>
      </c>
      <c r="F402" s="2">
        <v>218</v>
      </c>
      <c r="G402" s="2">
        <v>106.4132</v>
      </c>
      <c r="H402" s="3">
        <v>43948.651599999997</v>
      </c>
      <c r="I402" s="1" t="s">
        <v>125</v>
      </c>
      <c r="J402" s="1" t="s">
        <v>126</v>
      </c>
      <c r="K402" s="1" t="s">
        <v>127</v>
      </c>
    </row>
    <row r="403" spans="1:11" ht="12.75" customHeight="1" x14ac:dyDescent="0.2">
      <c r="A403" s="1" t="s">
        <v>624</v>
      </c>
      <c r="B403" s="1" t="s">
        <v>625</v>
      </c>
      <c r="C403" s="2">
        <v>111</v>
      </c>
      <c r="D403" s="2">
        <v>2220</v>
      </c>
      <c r="E403" s="2">
        <v>0</v>
      </c>
      <c r="F403" s="2">
        <v>0</v>
      </c>
      <c r="G403" s="2">
        <v>101.9846</v>
      </c>
      <c r="H403" s="3">
        <v>11320.2906</v>
      </c>
      <c r="I403" s="1" t="s">
        <v>330</v>
      </c>
      <c r="J403" s="1" t="s">
        <v>331</v>
      </c>
      <c r="K403" s="1" t="s">
        <v>332</v>
      </c>
    </row>
    <row r="404" spans="1:11" ht="12.75" customHeight="1" x14ac:dyDescent="0.2">
      <c r="A404" s="1" t="s">
        <v>626</v>
      </c>
      <c r="B404" s="1" t="s">
        <v>627</v>
      </c>
      <c r="C404" s="2">
        <v>25</v>
      </c>
      <c r="D404" s="2">
        <v>550</v>
      </c>
      <c r="E404" s="2">
        <v>0</v>
      </c>
      <c r="F404" s="2">
        <v>0</v>
      </c>
      <c r="G404" s="2">
        <v>124.75960000000001</v>
      </c>
      <c r="H404" s="3">
        <v>3118.99</v>
      </c>
      <c r="I404" s="1" t="s">
        <v>17</v>
      </c>
      <c r="J404" s="1" t="s">
        <v>18</v>
      </c>
      <c r="K404" s="1" t="s">
        <v>19</v>
      </c>
    </row>
    <row r="405" spans="1:11" ht="12.75" customHeight="1" x14ac:dyDescent="0.2">
      <c r="A405" s="1" t="s">
        <v>626</v>
      </c>
      <c r="B405" s="1" t="s">
        <v>627</v>
      </c>
      <c r="C405" s="2">
        <v>64</v>
      </c>
      <c r="D405" s="2">
        <v>1408</v>
      </c>
      <c r="E405" s="2">
        <v>0</v>
      </c>
      <c r="F405" s="2">
        <v>0</v>
      </c>
      <c r="G405" s="2">
        <v>115.68600000000001</v>
      </c>
      <c r="H405" s="3">
        <v>7403.9040000000005</v>
      </c>
      <c r="I405" s="1" t="s">
        <v>24</v>
      </c>
      <c r="J405" s="1" t="s">
        <v>25</v>
      </c>
      <c r="K405" s="1" t="s">
        <v>26</v>
      </c>
    </row>
    <row r="406" spans="1:11" ht="12.75" customHeight="1" x14ac:dyDescent="0.2">
      <c r="A406" s="1" t="s">
        <v>626</v>
      </c>
      <c r="B406" s="1" t="s">
        <v>627</v>
      </c>
      <c r="C406" s="2">
        <v>53</v>
      </c>
      <c r="D406" s="2">
        <v>1166</v>
      </c>
      <c r="E406" s="2">
        <v>0</v>
      </c>
      <c r="F406" s="2">
        <v>0</v>
      </c>
      <c r="G406" s="2">
        <v>117.0595</v>
      </c>
      <c r="H406" s="3">
        <v>6204.1535000000003</v>
      </c>
      <c r="I406" s="1" t="s">
        <v>125</v>
      </c>
      <c r="J406" s="1" t="s">
        <v>126</v>
      </c>
      <c r="K406" s="1" t="s">
        <v>127</v>
      </c>
    </row>
    <row r="407" spans="1:11" ht="12.75" customHeight="1" x14ac:dyDescent="0.2">
      <c r="A407" s="1" t="s">
        <v>626</v>
      </c>
      <c r="B407" s="1" t="s">
        <v>627</v>
      </c>
      <c r="C407" s="2">
        <v>14</v>
      </c>
      <c r="D407" s="2">
        <v>308</v>
      </c>
      <c r="E407" s="2">
        <v>0</v>
      </c>
      <c r="F407" s="2">
        <v>0</v>
      </c>
      <c r="G407" s="2">
        <v>117.0595</v>
      </c>
      <c r="H407" s="3">
        <v>1638.8330000000001</v>
      </c>
      <c r="I407" s="1" t="s">
        <v>330</v>
      </c>
      <c r="J407" s="1" t="s">
        <v>331</v>
      </c>
      <c r="K407" s="1" t="s">
        <v>332</v>
      </c>
    </row>
    <row r="408" spans="1:11" ht="12.75" customHeight="1" x14ac:dyDescent="0.2">
      <c r="A408" s="1" t="s">
        <v>628</v>
      </c>
      <c r="B408" s="1" t="s">
        <v>629</v>
      </c>
      <c r="C408" s="2">
        <v>4</v>
      </c>
      <c r="D408" s="2">
        <v>20</v>
      </c>
      <c r="E408" s="2">
        <v>0</v>
      </c>
      <c r="F408" s="2">
        <v>0</v>
      </c>
      <c r="G408" s="2">
        <v>24.817499999999999</v>
      </c>
      <c r="H408" s="3">
        <v>99.27</v>
      </c>
      <c r="I408" s="1" t="s">
        <v>613</v>
      </c>
      <c r="J408" s="1" t="s">
        <v>614</v>
      </c>
      <c r="K408" s="1" t="s">
        <v>615</v>
      </c>
    </row>
    <row r="409" spans="1:11" ht="12.75" customHeight="1" x14ac:dyDescent="0.2">
      <c r="A409" s="1" t="s">
        <v>630</v>
      </c>
      <c r="B409" s="1" t="s">
        <v>631</v>
      </c>
      <c r="C409" s="2">
        <v>847</v>
      </c>
      <c r="D409" s="2">
        <v>5082</v>
      </c>
      <c r="E409" s="2">
        <v>0</v>
      </c>
      <c r="F409" s="2">
        <v>0</v>
      </c>
      <c r="G409" s="2">
        <v>15.575799999999999</v>
      </c>
      <c r="H409" s="3">
        <v>13192.702600000001</v>
      </c>
      <c r="I409" s="1" t="s">
        <v>24</v>
      </c>
      <c r="J409" s="1" t="s">
        <v>25</v>
      </c>
      <c r="K409" s="1" t="s">
        <v>26</v>
      </c>
    </row>
    <row r="410" spans="1:11" ht="12.75" customHeight="1" x14ac:dyDescent="0.2">
      <c r="A410" s="1" t="s">
        <v>630</v>
      </c>
      <c r="B410" s="1" t="s">
        <v>631</v>
      </c>
      <c r="C410" s="2">
        <v>1154</v>
      </c>
      <c r="D410" s="2">
        <v>6924</v>
      </c>
      <c r="E410" s="2">
        <v>0</v>
      </c>
      <c r="F410" s="2">
        <v>0</v>
      </c>
      <c r="G410" s="2">
        <v>15.575799999999999</v>
      </c>
      <c r="H410" s="3">
        <v>17974.4732</v>
      </c>
      <c r="I410" s="1" t="s">
        <v>330</v>
      </c>
      <c r="J410" s="1" t="s">
        <v>331</v>
      </c>
      <c r="K410" s="1" t="s">
        <v>332</v>
      </c>
    </row>
    <row r="411" spans="1:11" ht="12.75" customHeight="1" x14ac:dyDescent="0.2">
      <c r="A411" s="1" t="s">
        <v>632</v>
      </c>
      <c r="B411" s="1" t="s">
        <v>633</v>
      </c>
      <c r="C411" s="2">
        <v>335</v>
      </c>
      <c r="D411" s="2">
        <v>2345</v>
      </c>
      <c r="E411" s="2">
        <v>0</v>
      </c>
      <c r="F411" s="2">
        <v>0</v>
      </c>
      <c r="G411" s="2">
        <v>18.170400000000001</v>
      </c>
      <c r="H411" s="3">
        <v>6087.0839999999998</v>
      </c>
      <c r="I411" s="1" t="s">
        <v>330</v>
      </c>
      <c r="J411" s="1" t="s">
        <v>331</v>
      </c>
      <c r="K411" s="1" t="s">
        <v>332</v>
      </c>
    </row>
    <row r="412" spans="1:11" ht="12.75" customHeight="1" x14ac:dyDescent="0.2">
      <c r="A412" s="1" t="s">
        <v>634</v>
      </c>
      <c r="B412" s="1" t="s">
        <v>635</v>
      </c>
      <c r="C412" s="2">
        <v>215</v>
      </c>
      <c r="D412" s="2">
        <v>1720</v>
      </c>
      <c r="E412" s="2">
        <v>0</v>
      </c>
      <c r="F412" s="2">
        <v>56</v>
      </c>
      <c r="G412" s="2">
        <v>40.2376</v>
      </c>
      <c r="H412" s="3">
        <v>8651.0840000000007</v>
      </c>
      <c r="I412" s="1" t="s">
        <v>17</v>
      </c>
      <c r="J412" s="1" t="s">
        <v>18</v>
      </c>
      <c r="K412" s="1" t="s">
        <v>19</v>
      </c>
    </row>
    <row r="413" spans="1:11" ht="12.75" customHeight="1" x14ac:dyDescent="0.2">
      <c r="A413" s="1" t="s">
        <v>634</v>
      </c>
      <c r="B413" s="1" t="s">
        <v>635</v>
      </c>
      <c r="C413" s="2">
        <v>116</v>
      </c>
      <c r="D413" s="2">
        <v>928</v>
      </c>
      <c r="E413" s="2">
        <v>0</v>
      </c>
      <c r="F413" s="2">
        <v>14</v>
      </c>
      <c r="G413" s="2">
        <v>39.983800000000002</v>
      </c>
      <c r="H413" s="3">
        <v>4638.1207999999997</v>
      </c>
      <c r="I413" s="1" t="s">
        <v>24</v>
      </c>
      <c r="J413" s="1" t="s">
        <v>25</v>
      </c>
      <c r="K413" s="1" t="s">
        <v>26</v>
      </c>
    </row>
    <row r="414" spans="1:11" ht="12.75" customHeight="1" x14ac:dyDescent="0.2">
      <c r="A414" s="1" t="s">
        <v>634</v>
      </c>
      <c r="B414" s="1" t="s">
        <v>635</v>
      </c>
      <c r="C414" s="2">
        <v>410</v>
      </c>
      <c r="D414" s="2">
        <v>3280</v>
      </c>
      <c r="E414" s="2">
        <v>0</v>
      </c>
      <c r="F414" s="2">
        <v>380</v>
      </c>
      <c r="G414" s="2">
        <v>34.5242</v>
      </c>
      <c r="H414" s="3">
        <v>14154.922</v>
      </c>
      <c r="I414" s="1" t="s">
        <v>125</v>
      </c>
      <c r="J414" s="1" t="s">
        <v>126</v>
      </c>
      <c r="K414" s="1" t="s">
        <v>127</v>
      </c>
    </row>
    <row r="415" spans="1:11" ht="12.75" customHeight="1" x14ac:dyDescent="0.2">
      <c r="A415" s="1" t="s">
        <v>634</v>
      </c>
      <c r="B415" s="1" t="s">
        <v>635</v>
      </c>
      <c r="C415" s="2">
        <v>214</v>
      </c>
      <c r="D415" s="2">
        <v>1712</v>
      </c>
      <c r="E415" s="2">
        <v>0</v>
      </c>
      <c r="F415" s="2">
        <v>63</v>
      </c>
      <c r="G415" s="2">
        <v>37.030099999999997</v>
      </c>
      <c r="H415" s="3">
        <v>7924.4413999999997</v>
      </c>
      <c r="I415" s="1" t="s">
        <v>330</v>
      </c>
      <c r="J415" s="1" t="s">
        <v>331</v>
      </c>
      <c r="K415" s="1" t="s">
        <v>332</v>
      </c>
    </row>
    <row r="416" spans="1:11" ht="12.75" customHeight="1" x14ac:dyDescent="0.2">
      <c r="A416" s="1" t="s">
        <v>634</v>
      </c>
      <c r="B416" s="1" t="s">
        <v>635</v>
      </c>
      <c r="C416" s="2">
        <v>191</v>
      </c>
      <c r="D416" s="2">
        <v>1528</v>
      </c>
      <c r="E416" s="2">
        <v>0</v>
      </c>
      <c r="F416" s="2">
        <v>0</v>
      </c>
      <c r="G416" s="2">
        <v>40.347700000000003</v>
      </c>
      <c r="H416" s="3">
        <v>7706.4107000000004</v>
      </c>
      <c r="I416" s="1" t="s">
        <v>613</v>
      </c>
      <c r="J416" s="1" t="s">
        <v>614</v>
      </c>
      <c r="K416" s="1" t="s">
        <v>615</v>
      </c>
    </row>
    <row r="417" spans="1:11" ht="12.75" customHeight="1" x14ac:dyDescent="0.2">
      <c r="A417" s="1" t="s">
        <v>636</v>
      </c>
      <c r="B417" s="1" t="s">
        <v>637</v>
      </c>
      <c r="C417" s="2">
        <v>27</v>
      </c>
      <c r="D417" s="2">
        <v>270</v>
      </c>
      <c r="E417" s="2">
        <v>0</v>
      </c>
      <c r="F417" s="2">
        <v>0</v>
      </c>
      <c r="G417" s="2">
        <v>60.284100000000002</v>
      </c>
      <c r="H417" s="3">
        <v>1627.6706999999999</v>
      </c>
      <c r="I417" s="1" t="s">
        <v>330</v>
      </c>
      <c r="J417" s="1" t="s">
        <v>331</v>
      </c>
      <c r="K417" s="1" t="s">
        <v>332</v>
      </c>
    </row>
    <row r="418" spans="1:11" ht="12.75" customHeight="1" x14ac:dyDescent="0.2">
      <c r="A418" s="1" t="s">
        <v>638</v>
      </c>
      <c r="B418" s="1" t="s">
        <v>639</v>
      </c>
      <c r="C418" s="2">
        <v>20</v>
      </c>
      <c r="D418" s="2">
        <v>240</v>
      </c>
      <c r="E418" s="2">
        <v>0</v>
      </c>
      <c r="F418" s="2">
        <v>0</v>
      </c>
      <c r="G418" s="2">
        <v>72.358599999999996</v>
      </c>
      <c r="H418" s="3">
        <v>1447.172</v>
      </c>
      <c r="I418" s="1" t="s">
        <v>24</v>
      </c>
      <c r="J418" s="1" t="s">
        <v>25</v>
      </c>
      <c r="K418" s="1" t="s">
        <v>26</v>
      </c>
    </row>
    <row r="419" spans="1:11" ht="12.75" customHeight="1" x14ac:dyDescent="0.2">
      <c r="A419" s="1" t="s">
        <v>640</v>
      </c>
      <c r="B419" s="1" t="s">
        <v>641</v>
      </c>
      <c r="C419" s="2">
        <v>182</v>
      </c>
      <c r="D419" s="2">
        <v>2548</v>
      </c>
      <c r="E419" s="2">
        <v>0</v>
      </c>
      <c r="F419" s="2">
        <v>0</v>
      </c>
      <c r="G419" s="2">
        <v>87.051199999999994</v>
      </c>
      <c r="H419" s="3">
        <v>15843.3184</v>
      </c>
      <c r="I419" s="1" t="s">
        <v>17</v>
      </c>
      <c r="J419" s="1" t="s">
        <v>18</v>
      </c>
      <c r="K419" s="1" t="s">
        <v>19</v>
      </c>
    </row>
    <row r="420" spans="1:11" ht="12.75" customHeight="1" x14ac:dyDescent="0.2">
      <c r="A420" s="1" t="s">
        <v>640</v>
      </c>
      <c r="B420" s="1" t="s">
        <v>641</v>
      </c>
      <c r="C420" s="2">
        <v>21</v>
      </c>
      <c r="D420" s="2">
        <v>294</v>
      </c>
      <c r="E420" s="2">
        <v>0</v>
      </c>
      <c r="F420" s="2">
        <v>0</v>
      </c>
      <c r="G420" s="2">
        <v>84.451499999999996</v>
      </c>
      <c r="H420" s="3">
        <v>1773.4815000000001</v>
      </c>
      <c r="I420" s="1" t="s">
        <v>330</v>
      </c>
      <c r="J420" s="1" t="s">
        <v>331</v>
      </c>
      <c r="K420" s="1" t="s">
        <v>332</v>
      </c>
    </row>
    <row r="421" spans="1:11" ht="12.75" customHeight="1" x14ac:dyDescent="0.2">
      <c r="A421" s="1" t="s">
        <v>642</v>
      </c>
      <c r="B421" s="1" t="s">
        <v>643</v>
      </c>
      <c r="C421" s="2">
        <v>104</v>
      </c>
      <c r="D421" s="2">
        <v>1664</v>
      </c>
      <c r="E421" s="2">
        <v>0</v>
      </c>
      <c r="F421" s="2">
        <v>0</v>
      </c>
      <c r="G421" s="2">
        <v>101.3982</v>
      </c>
      <c r="H421" s="3">
        <v>10545.4128</v>
      </c>
      <c r="I421" s="1" t="s">
        <v>17</v>
      </c>
      <c r="J421" s="1" t="s">
        <v>18</v>
      </c>
      <c r="K421" s="1" t="s">
        <v>19</v>
      </c>
    </row>
    <row r="422" spans="1:11" ht="12.75" customHeight="1" x14ac:dyDescent="0.2">
      <c r="A422" s="1" t="s">
        <v>642</v>
      </c>
      <c r="B422" s="1" t="s">
        <v>643</v>
      </c>
      <c r="C422" s="2">
        <v>24</v>
      </c>
      <c r="D422" s="2">
        <v>384</v>
      </c>
      <c r="E422" s="2">
        <v>0</v>
      </c>
      <c r="F422" s="2">
        <v>0</v>
      </c>
      <c r="G422" s="2">
        <v>96.498999999999995</v>
      </c>
      <c r="H422" s="3">
        <v>2315.9760000000001</v>
      </c>
      <c r="I422" s="1" t="s">
        <v>24</v>
      </c>
      <c r="J422" s="1" t="s">
        <v>25</v>
      </c>
      <c r="K422" s="1" t="s">
        <v>26</v>
      </c>
    </row>
    <row r="423" spans="1:11" ht="12.75" customHeight="1" x14ac:dyDescent="0.2">
      <c r="A423" s="1" t="s">
        <v>644</v>
      </c>
      <c r="B423" s="1" t="s">
        <v>645</v>
      </c>
      <c r="C423" s="2">
        <v>70</v>
      </c>
      <c r="D423" s="2">
        <v>1260</v>
      </c>
      <c r="E423" s="2">
        <v>0</v>
      </c>
      <c r="F423" s="2">
        <v>0</v>
      </c>
      <c r="G423" s="2">
        <v>108.5569</v>
      </c>
      <c r="H423" s="3">
        <v>7598.9830000000002</v>
      </c>
      <c r="I423" s="1" t="s">
        <v>24</v>
      </c>
      <c r="J423" s="1" t="s">
        <v>25</v>
      </c>
      <c r="K423" s="1" t="s">
        <v>26</v>
      </c>
    </row>
    <row r="424" spans="1:11" ht="12.75" customHeight="1" x14ac:dyDescent="0.2">
      <c r="A424" s="1" t="s">
        <v>644</v>
      </c>
      <c r="B424" s="1" t="s">
        <v>645</v>
      </c>
      <c r="C424" s="2">
        <v>65</v>
      </c>
      <c r="D424" s="2">
        <v>1170</v>
      </c>
      <c r="E424" s="2">
        <v>0</v>
      </c>
      <c r="F424" s="2">
        <v>0</v>
      </c>
      <c r="G424" s="2">
        <v>108.5569</v>
      </c>
      <c r="H424" s="3">
        <v>7056.1985000000004</v>
      </c>
      <c r="I424" s="1" t="s">
        <v>330</v>
      </c>
      <c r="J424" s="1" t="s">
        <v>331</v>
      </c>
      <c r="K424" s="1" t="s">
        <v>332</v>
      </c>
    </row>
    <row r="425" spans="1:11" ht="12.75" customHeight="1" x14ac:dyDescent="0.2">
      <c r="A425" s="1" t="s">
        <v>644</v>
      </c>
      <c r="B425" s="1" t="s">
        <v>645</v>
      </c>
      <c r="C425" s="2">
        <v>77</v>
      </c>
      <c r="D425" s="2">
        <v>1386</v>
      </c>
      <c r="E425" s="2">
        <v>0</v>
      </c>
      <c r="F425" s="2">
        <v>0</v>
      </c>
      <c r="G425" s="2">
        <v>108.5569</v>
      </c>
      <c r="H425" s="3">
        <v>8358.8812999999991</v>
      </c>
      <c r="I425" s="1" t="s">
        <v>454</v>
      </c>
      <c r="J425" s="1" t="s">
        <v>455</v>
      </c>
      <c r="K425" s="1" t="s">
        <v>456</v>
      </c>
    </row>
    <row r="426" spans="1:11" ht="12.75" customHeight="1" x14ac:dyDescent="0.2">
      <c r="A426" s="1" t="s">
        <v>646</v>
      </c>
      <c r="B426" s="1" t="s">
        <v>647</v>
      </c>
      <c r="C426" s="2">
        <v>26</v>
      </c>
      <c r="D426" s="2">
        <v>520</v>
      </c>
      <c r="E426" s="2">
        <v>0</v>
      </c>
      <c r="F426" s="2">
        <v>0</v>
      </c>
      <c r="G426" s="2">
        <v>124.97</v>
      </c>
      <c r="H426" s="3">
        <v>3249.22</v>
      </c>
      <c r="I426" s="1" t="s">
        <v>17</v>
      </c>
      <c r="J426" s="1" t="s">
        <v>18</v>
      </c>
      <c r="K426" s="1" t="s">
        <v>19</v>
      </c>
    </row>
    <row r="427" spans="1:11" ht="12.75" customHeight="1" x14ac:dyDescent="0.2">
      <c r="A427" s="1" t="s">
        <v>646</v>
      </c>
      <c r="B427" s="1" t="s">
        <v>647</v>
      </c>
      <c r="C427" s="2">
        <v>58</v>
      </c>
      <c r="D427" s="2">
        <v>1160</v>
      </c>
      <c r="E427" s="2">
        <v>0</v>
      </c>
      <c r="F427" s="2">
        <v>0</v>
      </c>
      <c r="G427" s="2">
        <v>120.6114</v>
      </c>
      <c r="H427" s="3">
        <v>6995.4611999999997</v>
      </c>
      <c r="I427" s="1" t="s">
        <v>330</v>
      </c>
      <c r="J427" s="1" t="s">
        <v>331</v>
      </c>
      <c r="K427" s="1" t="s">
        <v>332</v>
      </c>
    </row>
    <row r="428" spans="1:11" ht="12.75" customHeight="1" x14ac:dyDescent="0.2">
      <c r="A428" s="1" t="s">
        <v>648</v>
      </c>
      <c r="B428" s="1" t="s">
        <v>649</v>
      </c>
      <c r="C428" s="2">
        <v>1</v>
      </c>
      <c r="D428" s="2">
        <v>5</v>
      </c>
      <c r="E428" s="2">
        <v>0</v>
      </c>
      <c r="F428" s="2">
        <v>0</v>
      </c>
      <c r="G428" s="2">
        <v>38.01</v>
      </c>
      <c r="H428" s="3">
        <v>38.01</v>
      </c>
      <c r="I428" s="1" t="s">
        <v>17</v>
      </c>
      <c r="J428" s="1" t="s">
        <v>18</v>
      </c>
      <c r="K428" s="1" t="s">
        <v>19</v>
      </c>
    </row>
    <row r="429" spans="1:11" ht="12.75" customHeight="1" x14ac:dyDescent="0.2">
      <c r="A429" s="1" t="s">
        <v>651</v>
      </c>
      <c r="B429" s="1" t="s">
        <v>652</v>
      </c>
      <c r="C429" s="2">
        <v>196</v>
      </c>
      <c r="D429" s="2">
        <v>1568</v>
      </c>
      <c r="E429" s="2">
        <v>0</v>
      </c>
      <c r="F429" s="2">
        <v>4</v>
      </c>
      <c r="G429" s="2">
        <v>50.768799999999999</v>
      </c>
      <c r="H429" s="3">
        <v>9950.6848000000009</v>
      </c>
      <c r="I429" s="1" t="s">
        <v>17</v>
      </c>
      <c r="J429" s="1" t="s">
        <v>18</v>
      </c>
      <c r="K429" s="1" t="s">
        <v>19</v>
      </c>
    </row>
    <row r="430" spans="1:11" ht="12.75" customHeight="1" x14ac:dyDescent="0.2">
      <c r="A430" s="1" t="s">
        <v>651</v>
      </c>
      <c r="B430" s="1" t="s">
        <v>652</v>
      </c>
      <c r="C430" s="2">
        <v>12</v>
      </c>
      <c r="D430" s="2">
        <v>96</v>
      </c>
      <c r="E430" s="2">
        <v>0</v>
      </c>
      <c r="F430" s="2">
        <v>0</v>
      </c>
      <c r="G430" s="2">
        <v>48.1569</v>
      </c>
      <c r="H430" s="3">
        <v>577.88279999999997</v>
      </c>
      <c r="I430" s="1" t="s">
        <v>24</v>
      </c>
      <c r="J430" s="1" t="s">
        <v>25</v>
      </c>
      <c r="K430" s="1" t="s">
        <v>26</v>
      </c>
    </row>
    <row r="431" spans="1:11" ht="12.75" customHeight="1" x14ac:dyDescent="0.2">
      <c r="A431" s="1" t="s">
        <v>651</v>
      </c>
      <c r="B431" s="1" t="s">
        <v>652</v>
      </c>
      <c r="C431" s="2">
        <v>4</v>
      </c>
      <c r="D431" s="2">
        <v>32</v>
      </c>
      <c r="E431" s="2">
        <v>0</v>
      </c>
      <c r="F431" s="2">
        <v>0</v>
      </c>
      <c r="G431" s="2">
        <v>48.204999999999998</v>
      </c>
      <c r="H431" s="3">
        <v>192.82</v>
      </c>
      <c r="I431" s="1" t="s">
        <v>330</v>
      </c>
      <c r="J431" s="1" t="s">
        <v>331</v>
      </c>
      <c r="K431" s="1" t="s">
        <v>332</v>
      </c>
    </row>
    <row r="432" spans="1:11" ht="12.75" customHeight="1" x14ac:dyDescent="0.2">
      <c r="A432" s="1" t="s">
        <v>653</v>
      </c>
      <c r="B432" s="1" t="s">
        <v>654</v>
      </c>
      <c r="C432" s="2">
        <v>1</v>
      </c>
      <c r="D432" s="2">
        <v>10</v>
      </c>
      <c r="E432" s="2">
        <v>0</v>
      </c>
      <c r="F432" s="2">
        <v>0</v>
      </c>
      <c r="G432" s="2">
        <v>156.8383</v>
      </c>
      <c r="H432" s="3">
        <v>156.8383</v>
      </c>
      <c r="I432" s="1" t="s">
        <v>17</v>
      </c>
      <c r="J432" s="1" t="s">
        <v>18</v>
      </c>
      <c r="K432" s="1" t="s">
        <v>19</v>
      </c>
    </row>
    <row r="433" spans="1:11" ht="12.75" customHeight="1" x14ac:dyDescent="0.2">
      <c r="A433" s="1" t="s">
        <v>655</v>
      </c>
      <c r="B433" s="1" t="s">
        <v>656</v>
      </c>
      <c r="C433" s="2">
        <v>37</v>
      </c>
      <c r="D433" s="2">
        <v>444</v>
      </c>
      <c r="E433" s="2">
        <v>0</v>
      </c>
      <c r="F433" s="2">
        <v>0</v>
      </c>
      <c r="G433" s="2">
        <v>188.1841</v>
      </c>
      <c r="H433" s="3">
        <v>6962.8117000000002</v>
      </c>
      <c r="I433" s="1" t="s">
        <v>17</v>
      </c>
      <c r="J433" s="1" t="s">
        <v>18</v>
      </c>
      <c r="K433" s="1" t="s">
        <v>19</v>
      </c>
    </row>
    <row r="434" spans="1:11" ht="12.75" customHeight="1" x14ac:dyDescent="0.2">
      <c r="A434" s="1" t="s">
        <v>657</v>
      </c>
      <c r="B434" s="1" t="s">
        <v>658</v>
      </c>
      <c r="C434" s="2">
        <v>5</v>
      </c>
      <c r="D434" s="2">
        <v>70</v>
      </c>
      <c r="E434" s="2">
        <v>0</v>
      </c>
      <c r="F434" s="2">
        <v>0</v>
      </c>
      <c r="G434" s="2">
        <v>219.54810000000001</v>
      </c>
      <c r="H434" s="3">
        <v>1097.7405000000001</v>
      </c>
      <c r="I434" s="1" t="s">
        <v>17</v>
      </c>
      <c r="J434" s="1" t="s">
        <v>18</v>
      </c>
      <c r="K434" s="1" t="s">
        <v>19</v>
      </c>
    </row>
    <row r="435" spans="1:11" ht="12.75" customHeight="1" x14ac:dyDescent="0.2">
      <c r="A435" s="1" t="s">
        <v>657</v>
      </c>
      <c r="B435" s="1" t="s">
        <v>658</v>
      </c>
      <c r="C435" s="2">
        <v>24</v>
      </c>
      <c r="D435" s="2">
        <v>336</v>
      </c>
      <c r="E435" s="2">
        <v>0</v>
      </c>
      <c r="F435" s="2">
        <v>0</v>
      </c>
      <c r="G435" s="2">
        <v>219.54810000000001</v>
      </c>
      <c r="H435" s="3">
        <v>5269.1544000000004</v>
      </c>
      <c r="I435" s="1" t="s">
        <v>330</v>
      </c>
      <c r="J435" s="1" t="s">
        <v>331</v>
      </c>
      <c r="K435" s="1" t="s">
        <v>332</v>
      </c>
    </row>
    <row r="436" spans="1:11" ht="12.75" customHeight="1" x14ac:dyDescent="0.2">
      <c r="A436" s="1" t="s">
        <v>659</v>
      </c>
      <c r="B436" s="1" t="s">
        <v>660</v>
      </c>
      <c r="C436" s="2">
        <v>29</v>
      </c>
      <c r="D436" s="2">
        <v>522</v>
      </c>
      <c r="E436" s="2">
        <v>0</v>
      </c>
      <c r="F436" s="2">
        <v>0</v>
      </c>
      <c r="G436" s="2">
        <v>282.29539999999997</v>
      </c>
      <c r="H436" s="3">
        <v>8186.5666000000001</v>
      </c>
      <c r="I436" s="1" t="s">
        <v>17</v>
      </c>
      <c r="J436" s="1" t="s">
        <v>18</v>
      </c>
      <c r="K436" s="1" t="s">
        <v>19</v>
      </c>
    </row>
    <row r="437" spans="1:11" ht="12.75" customHeight="1" x14ac:dyDescent="0.2">
      <c r="A437" s="1" t="s">
        <v>661</v>
      </c>
      <c r="B437" s="1" t="s">
        <v>662</v>
      </c>
      <c r="C437" s="2">
        <v>48</v>
      </c>
      <c r="D437" s="2">
        <v>960</v>
      </c>
      <c r="E437" s="2">
        <v>0</v>
      </c>
      <c r="F437" s="2">
        <v>0</v>
      </c>
      <c r="G437" s="2">
        <v>313.66070000000002</v>
      </c>
      <c r="H437" s="3">
        <v>15055.713599999999</v>
      </c>
      <c r="I437" s="1" t="s">
        <v>17</v>
      </c>
      <c r="J437" s="1" t="s">
        <v>18</v>
      </c>
      <c r="K437" s="1" t="s">
        <v>19</v>
      </c>
    </row>
    <row r="438" spans="1:11" ht="12.75" customHeight="1" x14ac:dyDescent="0.2">
      <c r="A438" s="1" t="s">
        <v>663</v>
      </c>
      <c r="B438" s="1" t="s">
        <v>664</v>
      </c>
      <c r="C438" s="2">
        <v>2</v>
      </c>
      <c r="D438" s="2">
        <v>16</v>
      </c>
      <c r="E438" s="2">
        <v>0</v>
      </c>
      <c r="F438" s="2">
        <v>0</v>
      </c>
      <c r="G438" s="2">
        <v>112.0911</v>
      </c>
      <c r="H438" s="3">
        <v>224.18219999999999</v>
      </c>
      <c r="I438" s="1" t="s">
        <v>17</v>
      </c>
      <c r="J438" s="1" t="s">
        <v>18</v>
      </c>
      <c r="K438" s="1" t="s">
        <v>19</v>
      </c>
    </row>
    <row r="439" spans="1:11" ht="12.75" customHeight="1" x14ac:dyDescent="0.2">
      <c r="A439" s="1" t="s">
        <v>665</v>
      </c>
      <c r="B439" s="1" t="s">
        <v>666</v>
      </c>
      <c r="C439" s="2">
        <v>12</v>
      </c>
      <c r="D439" s="2">
        <v>120</v>
      </c>
      <c r="E439" s="2">
        <v>0</v>
      </c>
      <c r="F439" s="2">
        <v>0</v>
      </c>
      <c r="G439" s="2">
        <v>190.6677</v>
      </c>
      <c r="H439" s="3">
        <v>2288.0124000000001</v>
      </c>
      <c r="I439" s="1" t="s">
        <v>17</v>
      </c>
      <c r="J439" s="1" t="s">
        <v>18</v>
      </c>
      <c r="K439" s="1" t="s">
        <v>19</v>
      </c>
    </row>
    <row r="440" spans="1:11" ht="12.75" customHeight="1" x14ac:dyDescent="0.2">
      <c r="A440" s="1" t="s">
        <v>665</v>
      </c>
      <c r="B440" s="1" t="s">
        <v>666</v>
      </c>
      <c r="C440" s="2">
        <v>8</v>
      </c>
      <c r="D440" s="2">
        <v>80</v>
      </c>
      <c r="E440" s="2">
        <v>0</v>
      </c>
      <c r="F440" s="2">
        <v>0</v>
      </c>
      <c r="G440" s="2">
        <v>190.6677</v>
      </c>
      <c r="H440" s="3">
        <v>1525.3416</v>
      </c>
      <c r="I440" s="1" t="s">
        <v>330</v>
      </c>
      <c r="J440" s="1" t="s">
        <v>331</v>
      </c>
      <c r="K440" s="1" t="s">
        <v>332</v>
      </c>
    </row>
    <row r="441" spans="1:11" ht="12.75" customHeight="1" x14ac:dyDescent="0.2">
      <c r="A441" s="1" t="s">
        <v>665</v>
      </c>
      <c r="B441" s="1" t="s">
        <v>666</v>
      </c>
      <c r="C441" s="2">
        <v>3</v>
      </c>
      <c r="D441" s="2">
        <v>30</v>
      </c>
      <c r="E441" s="2">
        <v>0</v>
      </c>
      <c r="F441" s="2">
        <v>0</v>
      </c>
      <c r="G441" s="2">
        <v>190.6677</v>
      </c>
      <c r="H441" s="3">
        <v>572.00310000000002</v>
      </c>
      <c r="I441" s="1" t="s">
        <v>454</v>
      </c>
      <c r="J441" s="1" t="s">
        <v>455</v>
      </c>
      <c r="K441" s="1" t="s">
        <v>456</v>
      </c>
    </row>
    <row r="442" spans="1:11" ht="12.75" customHeight="1" x14ac:dyDescent="0.2">
      <c r="A442" s="1" t="s">
        <v>667</v>
      </c>
      <c r="B442" s="1" t="s">
        <v>668</v>
      </c>
      <c r="C442" s="2">
        <v>12</v>
      </c>
      <c r="D442" s="2">
        <v>144</v>
      </c>
      <c r="E442" s="2">
        <v>0</v>
      </c>
      <c r="F442" s="2">
        <v>0</v>
      </c>
      <c r="G442" s="2">
        <v>260.74250000000001</v>
      </c>
      <c r="H442" s="3">
        <v>3128.91</v>
      </c>
      <c r="I442" s="1" t="s">
        <v>330</v>
      </c>
      <c r="J442" s="1" t="s">
        <v>331</v>
      </c>
      <c r="K442" s="1" t="s">
        <v>332</v>
      </c>
    </row>
    <row r="443" spans="1:11" ht="12.75" customHeight="1" x14ac:dyDescent="0.2">
      <c r="A443" s="1" t="s">
        <v>669</v>
      </c>
      <c r="B443" s="1" t="s">
        <v>670</v>
      </c>
      <c r="C443" s="2">
        <v>30</v>
      </c>
      <c r="D443" s="2">
        <v>420</v>
      </c>
      <c r="E443" s="2">
        <v>0</v>
      </c>
      <c r="F443" s="2">
        <v>0</v>
      </c>
      <c r="G443" s="2">
        <v>304.07830000000001</v>
      </c>
      <c r="H443" s="3">
        <v>9122.3490000000002</v>
      </c>
      <c r="I443" s="1" t="s">
        <v>330</v>
      </c>
      <c r="J443" s="1" t="s">
        <v>331</v>
      </c>
      <c r="K443" s="1" t="s">
        <v>332</v>
      </c>
    </row>
    <row r="444" spans="1:11" ht="12.75" customHeight="1" x14ac:dyDescent="0.2">
      <c r="A444" s="1" t="s">
        <v>669</v>
      </c>
      <c r="B444" s="1" t="s">
        <v>670</v>
      </c>
      <c r="C444" s="2">
        <v>23</v>
      </c>
      <c r="D444" s="2">
        <v>322</v>
      </c>
      <c r="E444" s="2">
        <v>0</v>
      </c>
      <c r="F444" s="2">
        <v>0</v>
      </c>
      <c r="G444" s="2">
        <v>266.95819999999998</v>
      </c>
      <c r="H444" s="3">
        <v>6140.0385999999999</v>
      </c>
      <c r="I444" s="1" t="s">
        <v>454</v>
      </c>
      <c r="J444" s="1" t="s">
        <v>455</v>
      </c>
      <c r="K444" s="1" t="s">
        <v>456</v>
      </c>
    </row>
    <row r="445" spans="1:11" ht="12.75" customHeight="1" x14ac:dyDescent="0.2">
      <c r="A445" s="1" t="s">
        <v>671</v>
      </c>
      <c r="B445" s="1" t="s">
        <v>672</v>
      </c>
      <c r="C445" s="2">
        <v>12</v>
      </c>
      <c r="D445" s="2">
        <v>192</v>
      </c>
      <c r="E445" s="2">
        <v>0</v>
      </c>
      <c r="F445" s="2">
        <v>0</v>
      </c>
      <c r="G445" s="2">
        <v>347.48750000000001</v>
      </c>
      <c r="H445" s="3">
        <v>4169.8500000000004</v>
      </c>
      <c r="I445" s="1" t="s">
        <v>330</v>
      </c>
      <c r="J445" s="1" t="s">
        <v>331</v>
      </c>
      <c r="K445" s="1" t="s">
        <v>332</v>
      </c>
    </row>
    <row r="446" spans="1:11" ht="12.75" customHeight="1" x14ac:dyDescent="0.2">
      <c r="A446" s="1" t="s">
        <v>671</v>
      </c>
      <c r="B446" s="1" t="s">
        <v>672</v>
      </c>
      <c r="C446" s="2">
        <v>3</v>
      </c>
      <c r="D446" s="2">
        <v>48</v>
      </c>
      <c r="E446" s="2">
        <v>0</v>
      </c>
      <c r="F446" s="2">
        <v>0</v>
      </c>
      <c r="G446" s="2">
        <v>305.0684</v>
      </c>
      <c r="H446" s="3">
        <v>915.20519999999999</v>
      </c>
      <c r="I446" s="1" t="s">
        <v>454</v>
      </c>
      <c r="J446" s="1" t="s">
        <v>455</v>
      </c>
      <c r="K446" s="1" t="s">
        <v>456</v>
      </c>
    </row>
    <row r="447" spans="1:11" ht="12.75" customHeight="1" x14ac:dyDescent="0.2">
      <c r="A447" s="1" t="s">
        <v>673</v>
      </c>
      <c r="B447" s="1" t="s">
        <v>674</v>
      </c>
      <c r="C447" s="2">
        <v>21</v>
      </c>
      <c r="D447" s="2">
        <v>378</v>
      </c>
      <c r="E447" s="2">
        <v>0</v>
      </c>
      <c r="F447" s="2">
        <v>0</v>
      </c>
      <c r="G447" s="2">
        <v>384.21289999999999</v>
      </c>
      <c r="H447" s="3">
        <v>8068.4709000000003</v>
      </c>
      <c r="I447" s="1" t="s">
        <v>330</v>
      </c>
      <c r="J447" s="1" t="s">
        <v>331</v>
      </c>
      <c r="K447" s="1" t="s">
        <v>332</v>
      </c>
    </row>
    <row r="448" spans="1:11" ht="12.75" customHeight="1" x14ac:dyDescent="0.2">
      <c r="A448" s="1" t="s">
        <v>673</v>
      </c>
      <c r="B448" s="1" t="s">
        <v>674</v>
      </c>
      <c r="C448" s="2">
        <v>17</v>
      </c>
      <c r="D448" s="2">
        <v>306</v>
      </c>
      <c r="E448" s="2">
        <v>0</v>
      </c>
      <c r="F448" s="2">
        <v>0</v>
      </c>
      <c r="G448" s="2">
        <v>343.29719999999998</v>
      </c>
      <c r="H448" s="3">
        <v>5836.0523999999996</v>
      </c>
      <c r="I448" s="1" t="s">
        <v>454</v>
      </c>
      <c r="J448" s="1" t="s">
        <v>455</v>
      </c>
      <c r="K448" s="1" t="s">
        <v>456</v>
      </c>
    </row>
    <row r="449" spans="1:11" ht="12.75" customHeight="1" x14ac:dyDescent="0.2">
      <c r="A449" s="1" t="s">
        <v>675</v>
      </c>
      <c r="B449" s="1" t="s">
        <v>676</v>
      </c>
      <c r="C449" s="2">
        <v>9</v>
      </c>
      <c r="D449" s="2">
        <v>180</v>
      </c>
      <c r="E449" s="2">
        <v>0</v>
      </c>
      <c r="F449" s="2">
        <v>0</v>
      </c>
      <c r="G449" s="2">
        <v>434.68779999999998</v>
      </c>
      <c r="H449" s="3">
        <v>3912.1902</v>
      </c>
      <c r="I449" s="1" t="s">
        <v>330</v>
      </c>
      <c r="J449" s="1" t="s">
        <v>331</v>
      </c>
      <c r="K449" s="1" t="s">
        <v>332</v>
      </c>
    </row>
    <row r="450" spans="1:11" ht="12.75" customHeight="1" x14ac:dyDescent="0.2">
      <c r="A450" s="1" t="s">
        <v>677</v>
      </c>
      <c r="B450" s="1" t="s">
        <v>678</v>
      </c>
      <c r="C450" s="2">
        <v>46</v>
      </c>
      <c r="D450" s="2">
        <v>368</v>
      </c>
      <c r="E450" s="2">
        <v>0</v>
      </c>
      <c r="F450" s="2">
        <v>0</v>
      </c>
      <c r="G450" s="2">
        <v>152.5478</v>
      </c>
      <c r="H450" s="3">
        <v>7017.1988000000001</v>
      </c>
      <c r="I450" s="1" t="s">
        <v>17</v>
      </c>
      <c r="J450" s="1" t="s">
        <v>18</v>
      </c>
      <c r="K450" s="1" t="s">
        <v>19</v>
      </c>
    </row>
    <row r="451" spans="1:11" ht="12.75" customHeight="1" x14ac:dyDescent="0.2">
      <c r="A451" s="1" t="s">
        <v>677</v>
      </c>
      <c r="B451" s="1" t="s">
        <v>678</v>
      </c>
      <c r="C451" s="2">
        <v>9</v>
      </c>
      <c r="D451" s="2">
        <v>72</v>
      </c>
      <c r="E451" s="2">
        <v>0</v>
      </c>
      <c r="F451" s="2">
        <v>0</v>
      </c>
      <c r="G451" s="2">
        <v>152.5478</v>
      </c>
      <c r="H451" s="3">
        <v>1372.9302</v>
      </c>
      <c r="I451" s="1" t="s">
        <v>330</v>
      </c>
      <c r="J451" s="1" t="s">
        <v>331</v>
      </c>
      <c r="K451" s="1" t="s">
        <v>332</v>
      </c>
    </row>
    <row r="452" spans="1:11" ht="12.75" customHeight="1" x14ac:dyDescent="0.2">
      <c r="A452" s="1" t="s">
        <v>677</v>
      </c>
      <c r="B452" s="1" t="s">
        <v>678</v>
      </c>
      <c r="C452" s="2">
        <v>3</v>
      </c>
      <c r="D452" s="2">
        <v>24</v>
      </c>
      <c r="E452" s="2">
        <v>0</v>
      </c>
      <c r="F452" s="2">
        <v>0</v>
      </c>
      <c r="G452" s="2">
        <v>152.5478</v>
      </c>
      <c r="H452" s="3">
        <v>457.64339999999999</v>
      </c>
      <c r="I452" s="1" t="s">
        <v>454</v>
      </c>
      <c r="J452" s="1" t="s">
        <v>455</v>
      </c>
      <c r="K452" s="1" t="s">
        <v>456</v>
      </c>
    </row>
    <row r="453" spans="1:11" ht="12.75" customHeight="1" x14ac:dyDescent="0.2">
      <c r="A453" s="1" t="s">
        <v>679</v>
      </c>
      <c r="B453" s="1" t="s">
        <v>680</v>
      </c>
      <c r="C453" s="2">
        <v>7</v>
      </c>
      <c r="D453" s="2">
        <v>0</v>
      </c>
      <c r="E453" s="2">
        <v>0</v>
      </c>
      <c r="F453" s="2">
        <v>0</v>
      </c>
      <c r="G453" s="2">
        <v>9.5500000000000007</v>
      </c>
      <c r="H453" s="3">
        <v>66.849999999999994</v>
      </c>
      <c r="I453" s="1" t="s">
        <v>17</v>
      </c>
      <c r="J453" s="1" t="s">
        <v>18</v>
      </c>
      <c r="K453" s="1" t="s">
        <v>19</v>
      </c>
    </row>
    <row r="454" spans="1:11" ht="12.75" customHeight="1" x14ac:dyDescent="0.2">
      <c r="A454" s="1" t="s">
        <v>681</v>
      </c>
      <c r="B454" s="1" t="s">
        <v>682</v>
      </c>
      <c r="C454" s="2">
        <v>12</v>
      </c>
      <c r="D454" s="2">
        <v>120</v>
      </c>
      <c r="E454" s="2">
        <v>0</v>
      </c>
      <c r="F454" s="2">
        <v>0</v>
      </c>
      <c r="G454" s="2">
        <v>106.26</v>
      </c>
      <c r="H454" s="3">
        <v>1275.1199999999999</v>
      </c>
      <c r="I454" s="1" t="s">
        <v>330</v>
      </c>
      <c r="J454" s="1" t="s">
        <v>331</v>
      </c>
      <c r="K454" s="1" t="s">
        <v>332</v>
      </c>
    </row>
    <row r="455" spans="1:11" ht="12.75" customHeight="1" x14ac:dyDescent="0.2">
      <c r="A455" s="1" t="s">
        <v>683</v>
      </c>
      <c r="B455" s="1" t="s">
        <v>684</v>
      </c>
      <c r="C455" s="2">
        <v>24</v>
      </c>
      <c r="D455" s="2">
        <v>288</v>
      </c>
      <c r="E455" s="2">
        <v>0</v>
      </c>
      <c r="F455" s="2">
        <v>0</v>
      </c>
      <c r="G455" s="2">
        <v>105.36</v>
      </c>
      <c r="H455" s="3">
        <v>2528.64</v>
      </c>
      <c r="I455" s="1" t="s">
        <v>17</v>
      </c>
      <c r="J455" s="1" t="s">
        <v>18</v>
      </c>
      <c r="K455" s="1" t="s">
        <v>19</v>
      </c>
    </row>
    <row r="456" spans="1:11" ht="12.75" customHeight="1" x14ac:dyDescent="0.2">
      <c r="A456" s="1" t="s">
        <v>685</v>
      </c>
      <c r="B456" s="1" t="s">
        <v>686</v>
      </c>
      <c r="C456" s="2">
        <v>57</v>
      </c>
      <c r="D456" s="2">
        <v>798</v>
      </c>
      <c r="E456" s="2">
        <v>0</v>
      </c>
      <c r="F456" s="2">
        <v>0</v>
      </c>
      <c r="G456" s="2">
        <v>122.92</v>
      </c>
      <c r="H456" s="3">
        <v>7006.44</v>
      </c>
      <c r="I456" s="1" t="s">
        <v>17</v>
      </c>
      <c r="J456" s="1" t="s">
        <v>18</v>
      </c>
      <c r="K456" s="1" t="s">
        <v>19</v>
      </c>
    </row>
    <row r="457" spans="1:11" ht="12.75" customHeight="1" x14ac:dyDescent="0.2">
      <c r="A457" s="1" t="s">
        <v>685</v>
      </c>
      <c r="B457" s="1" t="s">
        <v>686</v>
      </c>
      <c r="C457" s="2">
        <v>33</v>
      </c>
      <c r="D457" s="2">
        <v>462</v>
      </c>
      <c r="E457" s="2">
        <v>0</v>
      </c>
      <c r="F457" s="2">
        <v>0</v>
      </c>
      <c r="G457" s="2">
        <v>148.69880000000001</v>
      </c>
      <c r="H457" s="3">
        <v>4907.0604000000003</v>
      </c>
      <c r="I457" s="1" t="s">
        <v>330</v>
      </c>
      <c r="J457" s="1" t="s">
        <v>331</v>
      </c>
      <c r="K457" s="1" t="s">
        <v>332</v>
      </c>
    </row>
    <row r="458" spans="1:11" ht="12.75" customHeight="1" x14ac:dyDescent="0.2">
      <c r="A458" s="1" t="s">
        <v>687</v>
      </c>
      <c r="B458" s="1" t="s">
        <v>688</v>
      </c>
      <c r="C458" s="2">
        <v>31</v>
      </c>
      <c r="D458" s="2">
        <v>496</v>
      </c>
      <c r="E458" s="2">
        <v>0</v>
      </c>
      <c r="F458" s="2">
        <v>0</v>
      </c>
      <c r="G458" s="2">
        <v>140.47999999999999</v>
      </c>
      <c r="H458" s="3">
        <v>4354.88</v>
      </c>
      <c r="I458" s="1" t="s">
        <v>17</v>
      </c>
      <c r="J458" s="1" t="s">
        <v>18</v>
      </c>
      <c r="K458" s="1" t="s">
        <v>19</v>
      </c>
    </row>
    <row r="459" spans="1:11" ht="12.75" customHeight="1" x14ac:dyDescent="0.2">
      <c r="A459" s="1" t="s">
        <v>687</v>
      </c>
      <c r="B459" s="1" t="s">
        <v>688</v>
      </c>
      <c r="C459" s="2">
        <v>13</v>
      </c>
      <c r="D459" s="2">
        <v>208</v>
      </c>
      <c r="E459" s="2">
        <v>0</v>
      </c>
      <c r="F459" s="2">
        <v>0</v>
      </c>
      <c r="G459" s="2">
        <v>169.88149999999999</v>
      </c>
      <c r="H459" s="3">
        <v>2208.4594999999999</v>
      </c>
      <c r="I459" s="1" t="s">
        <v>330</v>
      </c>
      <c r="J459" s="1" t="s">
        <v>331</v>
      </c>
      <c r="K459" s="1" t="s">
        <v>332</v>
      </c>
    </row>
    <row r="460" spans="1:11" ht="12.75" customHeight="1" x14ac:dyDescent="0.2">
      <c r="A460" s="1" t="s">
        <v>689</v>
      </c>
      <c r="B460" s="1" t="s">
        <v>690</v>
      </c>
      <c r="C460" s="2">
        <v>1</v>
      </c>
      <c r="D460" s="2">
        <v>18</v>
      </c>
      <c r="E460" s="2">
        <v>0</v>
      </c>
      <c r="F460" s="2">
        <v>0</v>
      </c>
      <c r="G460" s="2">
        <v>158.04</v>
      </c>
      <c r="H460" s="3">
        <v>158.04</v>
      </c>
      <c r="I460" s="1" t="s">
        <v>17</v>
      </c>
      <c r="J460" s="1" t="s">
        <v>18</v>
      </c>
      <c r="K460" s="1" t="s">
        <v>19</v>
      </c>
    </row>
    <row r="461" spans="1:11" ht="12.75" customHeight="1" x14ac:dyDescent="0.2">
      <c r="A461" s="1" t="s">
        <v>689</v>
      </c>
      <c r="B461" s="1" t="s">
        <v>690</v>
      </c>
      <c r="C461" s="2">
        <v>94</v>
      </c>
      <c r="D461" s="2">
        <v>1692</v>
      </c>
      <c r="E461" s="2">
        <v>0</v>
      </c>
      <c r="F461" s="2">
        <v>0</v>
      </c>
      <c r="G461" s="2">
        <v>191.1576</v>
      </c>
      <c r="H461" s="3">
        <v>17968.814399999999</v>
      </c>
      <c r="I461" s="1" t="s">
        <v>330</v>
      </c>
      <c r="J461" s="1" t="s">
        <v>331</v>
      </c>
      <c r="K461" s="1" t="s">
        <v>332</v>
      </c>
    </row>
    <row r="462" spans="1:11" ht="12.75" customHeight="1" x14ac:dyDescent="0.2">
      <c r="A462" s="1" t="s">
        <v>691</v>
      </c>
      <c r="B462" s="1" t="s">
        <v>692</v>
      </c>
      <c r="C462" s="2">
        <v>17</v>
      </c>
      <c r="D462" s="2">
        <v>340</v>
      </c>
      <c r="E462" s="2">
        <v>0</v>
      </c>
      <c r="F462" s="2">
        <v>0</v>
      </c>
      <c r="G462" s="2">
        <v>212.39709999999999</v>
      </c>
      <c r="H462" s="3">
        <v>3610.7507000000001</v>
      </c>
      <c r="I462" s="1" t="s">
        <v>330</v>
      </c>
      <c r="J462" s="1" t="s">
        <v>331</v>
      </c>
      <c r="K462" s="1" t="s">
        <v>332</v>
      </c>
    </row>
    <row r="463" spans="1:11" ht="12.75" customHeight="1" x14ac:dyDescent="0.2">
      <c r="A463" s="1" t="s">
        <v>693</v>
      </c>
      <c r="B463" s="1" t="s">
        <v>694</v>
      </c>
      <c r="C463" s="2">
        <v>18</v>
      </c>
      <c r="D463" s="2">
        <v>144</v>
      </c>
      <c r="E463" s="2">
        <v>0</v>
      </c>
      <c r="F463" s="2">
        <v>0</v>
      </c>
      <c r="G463" s="2">
        <v>70.239999999999995</v>
      </c>
      <c r="H463" s="3">
        <v>1264.32</v>
      </c>
      <c r="I463" s="1" t="s">
        <v>17</v>
      </c>
      <c r="J463" s="1" t="s">
        <v>18</v>
      </c>
      <c r="K463" s="1" t="s">
        <v>19</v>
      </c>
    </row>
    <row r="464" spans="1:11" ht="12.75" customHeight="1" x14ac:dyDescent="0.2">
      <c r="A464" s="1" t="s">
        <v>695</v>
      </c>
      <c r="B464" s="1" t="s">
        <v>696</v>
      </c>
      <c r="C464" s="2">
        <v>82</v>
      </c>
      <c r="D464" s="2">
        <v>820</v>
      </c>
      <c r="E464" s="2">
        <v>0</v>
      </c>
      <c r="F464" s="2">
        <v>0</v>
      </c>
      <c r="G464" s="2">
        <v>122.9418</v>
      </c>
      <c r="H464" s="3">
        <v>10081.2276</v>
      </c>
      <c r="I464" s="1" t="s">
        <v>17</v>
      </c>
      <c r="J464" s="1" t="s">
        <v>18</v>
      </c>
      <c r="K464" s="1" t="s">
        <v>19</v>
      </c>
    </row>
    <row r="465" spans="1:11" ht="12.75" customHeight="1" x14ac:dyDescent="0.2">
      <c r="A465" s="1" t="s">
        <v>695</v>
      </c>
      <c r="B465" s="1" t="s">
        <v>696</v>
      </c>
      <c r="C465" s="2">
        <v>1</v>
      </c>
      <c r="D465" s="2">
        <v>10</v>
      </c>
      <c r="E465" s="2">
        <v>0</v>
      </c>
      <c r="F465" s="2">
        <v>0</v>
      </c>
      <c r="G465" s="2">
        <v>122.9418</v>
      </c>
      <c r="H465" s="3">
        <v>122.9418</v>
      </c>
      <c r="I465" s="1" t="s">
        <v>330</v>
      </c>
      <c r="J465" s="1" t="s">
        <v>331</v>
      </c>
      <c r="K465" s="1" t="s">
        <v>332</v>
      </c>
    </row>
    <row r="466" spans="1:11" ht="12.75" customHeight="1" x14ac:dyDescent="0.2">
      <c r="A466" s="1" t="s">
        <v>695</v>
      </c>
      <c r="B466" s="1" t="s">
        <v>696</v>
      </c>
      <c r="C466" s="2">
        <v>40</v>
      </c>
      <c r="D466" s="2">
        <v>400</v>
      </c>
      <c r="E466" s="2">
        <v>0</v>
      </c>
      <c r="F466" s="2">
        <v>0</v>
      </c>
      <c r="G466" s="2">
        <v>122.9418</v>
      </c>
      <c r="H466" s="3">
        <v>4917.6719999999996</v>
      </c>
      <c r="I466" s="1" t="s">
        <v>454</v>
      </c>
      <c r="J466" s="1" t="s">
        <v>455</v>
      </c>
      <c r="K466" s="1" t="s">
        <v>456</v>
      </c>
    </row>
    <row r="467" spans="1:11" ht="12.75" customHeight="1" x14ac:dyDescent="0.2">
      <c r="A467" s="1" t="s">
        <v>697</v>
      </c>
      <c r="B467" s="1" t="s">
        <v>698</v>
      </c>
      <c r="C467" s="2">
        <v>26</v>
      </c>
      <c r="D467" s="2">
        <v>312</v>
      </c>
      <c r="E467" s="2">
        <v>0</v>
      </c>
      <c r="F467" s="2">
        <v>0</v>
      </c>
      <c r="G467" s="2">
        <v>147.52250000000001</v>
      </c>
      <c r="H467" s="3">
        <v>3835.585</v>
      </c>
      <c r="I467" s="1" t="s">
        <v>17</v>
      </c>
      <c r="J467" s="1" t="s">
        <v>18</v>
      </c>
      <c r="K467" s="1" t="s">
        <v>19</v>
      </c>
    </row>
    <row r="468" spans="1:11" ht="12.75" customHeight="1" x14ac:dyDescent="0.2">
      <c r="A468" s="1" t="s">
        <v>697</v>
      </c>
      <c r="B468" s="1" t="s">
        <v>698</v>
      </c>
      <c r="C468" s="2">
        <v>9</v>
      </c>
      <c r="D468" s="2">
        <v>108</v>
      </c>
      <c r="E468" s="2">
        <v>0</v>
      </c>
      <c r="F468" s="2">
        <v>0</v>
      </c>
      <c r="G468" s="2">
        <v>147.52250000000001</v>
      </c>
      <c r="H468" s="3">
        <v>1327.7025000000001</v>
      </c>
      <c r="I468" s="1" t="s">
        <v>330</v>
      </c>
      <c r="J468" s="1" t="s">
        <v>331</v>
      </c>
      <c r="K468" s="1" t="s">
        <v>332</v>
      </c>
    </row>
    <row r="469" spans="1:11" ht="12.75" customHeight="1" x14ac:dyDescent="0.2">
      <c r="A469" s="1" t="s">
        <v>697</v>
      </c>
      <c r="B469" s="1" t="s">
        <v>698</v>
      </c>
      <c r="C469" s="2">
        <v>13</v>
      </c>
      <c r="D469" s="2">
        <v>156</v>
      </c>
      <c r="E469" s="2">
        <v>0</v>
      </c>
      <c r="F469" s="2">
        <v>0</v>
      </c>
      <c r="G469" s="2">
        <v>147.52250000000001</v>
      </c>
      <c r="H469" s="3">
        <v>1917.7925</v>
      </c>
      <c r="I469" s="1" t="s">
        <v>454</v>
      </c>
      <c r="J469" s="1" t="s">
        <v>455</v>
      </c>
      <c r="K469" s="1" t="s">
        <v>456</v>
      </c>
    </row>
    <row r="470" spans="1:11" ht="12.75" customHeight="1" x14ac:dyDescent="0.2">
      <c r="A470" s="1" t="s">
        <v>699</v>
      </c>
      <c r="B470" s="1" t="s">
        <v>700</v>
      </c>
      <c r="C470" s="2">
        <v>80</v>
      </c>
      <c r="D470" s="2">
        <v>1120</v>
      </c>
      <c r="E470" s="2">
        <v>0</v>
      </c>
      <c r="F470" s="2">
        <v>0</v>
      </c>
      <c r="G470" s="2">
        <v>172.06540000000001</v>
      </c>
      <c r="H470" s="3">
        <v>13765.232</v>
      </c>
      <c r="I470" s="1" t="s">
        <v>330</v>
      </c>
      <c r="J470" s="1" t="s">
        <v>331</v>
      </c>
      <c r="K470" s="1" t="s">
        <v>332</v>
      </c>
    </row>
    <row r="471" spans="1:11" ht="12.75" customHeight="1" x14ac:dyDescent="0.2">
      <c r="A471" s="1" t="s">
        <v>699</v>
      </c>
      <c r="B471" s="1" t="s">
        <v>700</v>
      </c>
      <c r="C471" s="2">
        <v>18</v>
      </c>
      <c r="D471" s="2">
        <v>252</v>
      </c>
      <c r="E471" s="2">
        <v>0</v>
      </c>
      <c r="F471" s="2">
        <v>0</v>
      </c>
      <c r="G471" s="2">
        <v>172.06540000000001</v>
      </c>
      <c r="H471" s="3">
        <v>3097.1772000000001</v>
      </c>
      <c r="I471" s="1" t="s">
        <v>454</v>
      </c>
      <c r="J471" s="1" t="s">
        <v>455</v>
      </c>
      <c r="K471" s="1" t="s">
        <v>456</v>
      </c>
    </row>
    <row r="472" spans="1:11" ht="12.75" customHeight="1" x14ac:dyDescent="0.2">
      <c r="A472" s="1" t="s">
        <v>701</v>
      </c>
      <c r="B472" s="1" t="s">
        <v>702</v>
      </c>
      <c r="C472" s="2">
        <v>35</v>
      </c>
      <c r="D472" s="2">
        <v>560</v>
      </c>
      <c r="E472" s="2">
        <v>0</v>
      </c>
      <c r="F472" s="2">
        <v>0</v>
      </c>
      <c r="G472" s="2">
        <v>196.65729999999999</v>
      </c>
      <c r="H472" s="3">
        <v>6883.0055000000002</v>
      </c>
      <c r="I472" s="1" t="s">
        <v>330</v>
      </c>
      <c r="J472" s="1" t="s">
        <v>331</v>
      </c>
      <c r="K472" s="1" t="s">
        <v>332</v>
      </c>
    </row>
    <row r="473" spans="1:11" ht="12.75" customHeight="1" x14ac:dyDescent="0.2">
      <c r="A473" s="1" t="s">
        <v>703</v>
      </c>
      <c r="B473" s="1" t="s">
        <v>704</v>
      </c>
      <c r="C473" s="2">
        <v>24</v>
      </c>
      <c r="D473" s="2">
        <v>432</v>
      </c>
      <c r="E473" s="2">
        <v>0</v>
      </c>
      <c r="F473" s="2">
        <v>0</v>
      </c>
      <c r="G473" s="2">
        <v>221.2467</v>
      </c>
      <c r="H473" s="3">
        <v>5309.9207999999999</v>
      </c>
      <c r="I473" s="1" t="s">
        <v>17</v>
      </c>
      <c r="J473" s="1" t="s">
        <v>18</v>
      </c>
      <c r="K473" s="1" t="s">
        <v>19</v>
      </c>
    </row>
    <row r="474" spans="1:11" ht="12.75" customHeight="1" x14ac:dyDescent="0.2">
      <c r="A474" s="1" t="s">
        <v>703</v>
      </c>
      <c r="B474" s="1" t="s">
        <v>704</v>
      </c>
      <c r="C474" s="2">
        <v>77</v>
      </c>
      <c r="D474" s="2">
        <v>1386</v>
      </c>
      <c r="E474" s="2">
        <v>0</v>
      </c>
      <c r="F474" s="2">
        <v>0</v>
      </c>
      <c r="G474" s="2">
        <v>221.2467</v>
      </c>
      <c r="H474" s="3">
        <v>17035.995900000002</v>
      </c>
      <c r="I474" s="1" t="s">
        <v>330</v>
      </c>
      <c r="J474" s="1" t="s">
        <v>331</v>
      </c>
      <c r="K474" s="1" t="s">
        <v>332</v>
      </c>
    </row>
    <row r="475" spans="1:11" ht="12.75" customHeight="1" x14ac:dyDescent="0.2">
      <c r="A475" s="1" t="s">
        <v>703</v>
      </c>
      <c r="B475" s="1" t="s">
        <v>704</v>
      </c>
      <c r="C475" s="2">
        <v>29</v>
      </c>
      <c r="D475" s="2">
        <v>522</v>
      </c>
      <c r="E475" s="2">
        <v>0</v>
      </c>
      <c r="F475" s="2">
        <v>0</v>
      </c>
      <c r="G475" s="2">
        <v>221.2467</v>
      </c>
      <c r="H475" s="3">
        <v>6416.1543000000001</v>
      </c>
      <c r="I475" s="1" t="s">
        <v>454</v>
      </c>
      <c r="J475" s="1" t="s">
        <v>455</v>
      </c>
      <c r="K475" s="1" t="s">
        <v>456</v>
      </c>
    </row>
    <row r="476" spans="1:11" ht="12.75" customHeight="1" x14ac:dyDescent="0.2">
      <c r="A476" s="1" t="s">
        <v>705</v>
      </c>
      <c r="B476" s="1" t="s">
        <v>706</v>
      </c>
      <c r="C476" s="2">
        <v>5</v>
      </c>
      <c r="D476" s="2">
        <v>100</v>
      </c>
      <c r="E476" s="2">
        <v>0</v>
      </c>
      <c r="F476" s="2">
        <v>0</v>
      </c>
      <c r="G476" s="2">
        <v>245.7329</v>
      </c>
      <c r="H476" s="3">
        <v>1228.6645000000001</v>
      </c>
      <c r="I476" s="1" t="s">
        <v>17</v>
      </c>
      <c r="J476" s="1" t="s">
        <v>18</v>
      </c>
      <c r="K476" s="1" t="s">
        <v>19</v>
      </c>
    </row>
    <row r="477" spans="1:11" ht="12.75" customHeight="1" x14ac:dyDescent="0.2">
      <c r="A477" s="1" t="s">
        <v>705</v>
      </c>
      <c r="B477" s="1" t="s">
        <v>706</v>
      </c>
      <c r="C477" s="2">
        <v>84</v>
      </c>
      <c r="D477" s="2">
        <v>1680</v>
      </c>
      <c r="E477" s="2">
        <v>0</v>
      </c>
      <c r="F477" s="2">
        <v>0</v>
      </c>
      <c r="G477" s="2">
        <v>245.7329</v>
      </c>
      <c r="H477" s="3">
        <v>20641.563600000001</v>
      </c>
      <c r="I477" s="1" t="s">
        <v>330</v>
      </c>
      <c r="J477" s="1" t="s">
        <v>331</v>
      </c>
      <c r="K477" s="1" t="s">
        <v>332</v>
      </c>
    </row>
    <row r="478" spans="1:11" ht="12.75" customHeight="1" x14ac:dyDescent="0.2">
      <c r="A478" s="1" t="s">
        <v>705</v>
      </c>
      <c r="B478" s="1" t="s">
        <v>706</v>
      </c>
      <c r="C478" s="2">
        <v>11</v>
      </c>
      <c r="D478" s="2">
        <v>220</v>
      </c>
      <c r="E478" s="2">
        <v>0</v>
      </c>
      <c r="F478" s="2">
        <v>0</v>
      </c>
      <c r="G478" s="2">
        <v>245.7329</v>
      </c>
      <c r="H478" s="3">
        <v>2703.0619000000002</v>
      </c>
      <c r="I478" s="1" t="s">
        <v>454</v>
      </c>
      <c r="J478" s="1" t="s">
        <v>455</v>
      </c>
      <c r="K478" s="1" t="s">
        <v>456</v>
      </c>
    </row>
    <row r="479" spans="1:11" ht="12.75" customHeight="1" x14ac:dyDescent="0.2">
      <c r="A479" s="1" t="s">
        <v>707</v>
      </c>
      <c r="B479" s="1" t="s">
        <v>708</v>
      </c>
      <c r="C479" s="2">
        <v>20</v>
      </c>
      <c r="D479" s="2">
        <v>440</v>
      </c>
      <c r="E479" s="2">
        <v>0</v>
      </c>
      <c r="F479" s="2">
        <v>0</v>
      </c>
      <c r="G479" s="2">
        <v>270.37090000000001</v>
      </c>
      <c r="H479" s="3">
        <v>5407.4179999999997</v>
      </c>
      <c r="I479" s="1" t="s">
        <v>17</v>
      </c>
      <c r="J479" s="1" t="s">
        <v>18</v>
      </c>
      <c r="K479" s="1" t="s">
        <v>19</v>
      </c>
    </row>
    <row r="480" spans="1:11" ht="12.75" customHeight="1" x14ac:dyDescent="0.2">
      <c r="A480" s="1" t="s">
        <v>707</v>
      </c>
      <c r="B480" s="1" t="s">
        <v>708</v>
      </c>
      <c r="C480" s="2">
        <v>61</v>
      </c>
      <c r="D480" s="2">
        <v>1342</v>
      </c>
      <c r="E480" s="2">
        <v>0</v>
      </c>
      <c r="F480" s="2">
        <v>59</v>
      </c>
      <c r="G480" s="2">
        <v>270.37090000000001</v>
      </c>
      <c r="H480" s="3">
        <v>16492.624899999999</v>
      </c>
      <c r="I480" s="1" t="s">
        <v>330</v>
      </c>
      <c r="J480" s="1" t="s">
        <v>331</v>
      </c>
      <c r="K480" s="1" t="s">
        <v>332</v>
      </c>
    </row>
    <row r="481" spans="1:11" ht="12.75" customHeight="1" x14ac:dyDescent="0.2">
      <c r="A481" s="1" t="s">
        <v>707</v>
      </c>
      <c r="B481" s="1" t="s">
        <v>708</v>
      </c>
      <c r="C481" s="2">
        <v>3</v>
      </c>
      <c r="D481" s="2">
        <v>66</v>
      </c>
      <c r="E481" s="2">
        <v>0</v>
      </c>
      <c r="F481" s="2">
        <v>0</v>
      </c>
      <c r="G481" s="2">
        <v>270.37090000000001</v>
      </c>
      <c r="H481" s="3">
        <v>811.11270000000002</v>
      </c>
      <c r="I481" s="1" t="s">
        <v>454</v>
      </c>
      <c r="J481" s="1" t="s">
        <v>455</v>
      </c>
      <c r="K481" s="1" t="s">
        <v>456</v>
      </c>
    </row>
    <row r="482" spans="1:11" ht="12.75" customHeight="1" x14ac:dyDescent="0.2">
      <c r="A482" s="1" t="s">
        <v>709</v>
      </c>
      <c r="B482" s="1" t="s">
        <v>710</v>
      </c>
      <c r="C482" s="2">
        <v>53</v>
      </c>
      <c r="D482" s="2">
        <v>424</v>
      </c>
      <c r="E482" s="2">
        <v>0</v>
      </c>
      <c r="F482" s="2">
        <v>0</v>
      </c>
      <c r="G482" s="2">
        <v>99.435599999999994</v>
      </c>
      <c r="H482" s="3">
        <v>5270.0868</v>
      </c>
      <c r="I482" s="1" t="s">
        <v>17</v>
      </c>
      <c r="J482" s="1" t="s">
        <v>18</v>
      </c>
      <c r="K482" s="1" t="s">
        <v>19</v>
      </c>
    </row>
    <row r="483" spans="1:11" ht="12.75" customHeight="1" x14ac:dyDescent="0.2">
      <c r="A483" s="1" t="s">
        <v>709</v>
      </c>
      <c r="B483" s="1" t="s">
        <v>710</v>
      </c>
      <c r="C483" s="2">
        <v>18</v>
      </c>
      <c r="D483" s="2">
        <v>144</v>
      </c>
      <c r="E483" s="2">
        <v>0</v>
      </c>
      <c r="F483" s="2">
        <v>0</v>
      </c>
      <c r="G483" s="2">
        <v>99.435599999999994</v>
      </c>
      <c r="H483" s="3">
        <v>1789.8407999999999</v>
      </c>
      <c r="I483" s="1" t="s">
        <v>330</v>
      </c>
      <c r="J483" s="1" t="s">
        <v>331</v>
      </c>
      <c r="K483" s="1" t="s">
        <v>332</v>
      </c>
    </row>
    <row r="484" spans="1:11" ht="12.75" customHeight="1" x14ac:dyDescent="0.2">
      <c r="A484" s="1" t="s">
        <v>709</v>
      </c>
      <c r="B484" s="1" t="s">
        <v>710</v>
      </c>
      <c r="C484" s="2">
        <v>14</v>
      </c>
      <c r="D484" s="2">
        <v>112</v>
      </c>
      <c r="E484" s="2">
        <v>0</v>
      </c>
      <c r="F484" s="2">
        <v>0</v>
      </c>
      <c r="G484" s="2">
        <v>99.435599999999994</v>
      </c>
      <c r="H484" s="3">
        <v>1392.0984000000001</v>
      </c>
      <c r="I484" s="1" t="s">
        <v>454</v>
      </c>
      <c r="J484" s="1" t="s">
        <v>455</v>
      </c>
      <c r="K484" s="1" t="s">
        <v>456</v>
      </c>
    </row>
    <row r="485" spans="1:11" ht="12.75" customHeight="1" x14ac:dyDescent="0.2">
      <c r="A485" s="1" t="s">
        <v>711</v>
      </c>
      <c r="B485" s="1" t="s">
        <v>712</v>
      </c>
      <c r="C485" s="2">
        <v>9</v>
      </c>
      <c r="D485" s="2">
        <v>90</v>
      </c>
      <c r="E485" s="2">
        <v>0</v>
      </c>
      <c r="F485" s="2">
        <v>0</v>
      </c>
      <c r="G485" s="2">
        <v>219.54810000000001</v>
      </c>
      <c r="H485" s="3">
        <v>1975.9329</v>
      </c>
      <c r="I485" s="1" t="s">
        <v>17</v>
      </c>
      <c r="J485" s="1" t="s">
        <v>18</v>
      </c>
      <c r="K485" s="1" t="s">
        <v>19</v>
      </c>
    </row>
    <row r="486" spans="1:11" ht="12.75" customHeight="1" x14ac:dyDescent="0.2">
      <c r="A486" s="1" t="s">
        <v>713</v>
      </c>
      <c r="B486" s="1" t="s">
        <v>714</v>
      </c>
      <c r="C486" s="2">
        <v>2</v>
      </c>
      <c r="D486" s="2">
        <v>36</v>
      </c>
      <c r="E486" s="2">
        <v>0</v>
      </c>
      <c r="F486" s="2">
        <v>0</v>
      </c>
      <c r="G486" s="2">
        <v>394.84179999999998</v>
      </c>
      <c r="H486" s="3">
        <v>789.68359999999996</v>
      </c>
      <c r="I486" s="1" t="s">
        <v>17</v>
      </c>
      <c r="J486" s="1" t="s">
        <v>18</v>
      </c>
      <c r="K486" s="1" t="s">
        <v>19</v>
      </c>
    </row>
    <row r="487" spans="1:11" ht="12.75" customHeight="1" x14ac:dyDescent="0.2">
      <c r="A487" s="1" t="s">
        <v>716</v>
      </c>
      <c r="B487" s="1" t="s">
        <v>717</v>
      </c>
      <c r="C487" s="2">
        <v>6</v>
      </c>
      <c r="D487" s="2">
        <v>60</v>
      </c>
      <c r="E487" s="2">
        <v>0</v>
      </c>
      <c r="F487" s="2">
        <v>0</v>
      </c>
      <c r="G487" s="2">
        <v>267.0942</v>
      </c>
      <c r="H487" s="3">
        <v>1602.5652</v>
      </c>
      <c r="I487" s="1" t="s">
        <v>17</v>
      </c>
      <c r="J487" s="1" t="s">
        <v>18</v>
      </c>
      <c r="K487" s="1" t="s">
        <v>19</v>
      </c>
    </row>
    <row r="488" spans="1:11" ht="12.75" customHeight="1" x14ac:dyDescent="0.2">
      <c r="A488" s="1" t="s">
        <v>716</v>
      </c>
      <c r="B488" s="1" t="s">
        <v>717</v>
      </c>
      <c r="C488" s="2">
        <v>18</v>
      </c>
      <c r="D488" s="2">
        <v>180</v>
      </c>
      <c r="E488" s="2">
        <v>0</v>
      </c>
      <c r="F488" s="2">
        <v>0</v>
      </c>
      <c r="G488" s="2">
        <v>267.0942</v>
      </c>
      <c r="H488" s="3">
        <v>4807.6956</v>
      </c>
      <c r="I488" s="1" t="s">
        <v>330</v>
      </c>
      <c r="J488" s="1" t="s">
        <v>331</v>
      </c>
      <c r="K488" s="1" t="s">
        <v>332</v>
      </c>
    </row>
    <row r="489" spans="1:11" ht="12.75" customHeight="1" x14ac:dyDescent="0.2">
      <c r="A489" s="1" t="s">
        <v>716</v>
      </c>
      <c r="B489" s="1" t="s">
        <v>717</v>
      </c>
      <c r="C489" s="2">
        <v>9</v>
      </c>
      <c r="D489" s="2">
        <v>90</v>
      </c>
      <c r="E489" s="2">
        <v>0</v>
      </c>
      <c r="F489" s="2">
        <v>0</v>
      </c>
      <c r="G489" s="2">
        <v>267.0942</v>
      </c>
      <c r="H489" s="3">
        <v>2403.8478</v>
      </c>
      <c r="I489" s="1" t="s">
        <v>454</v>
      </c>
      <c r="J489" s="1" t="s">
        <v>455</v>
      </c>
      <c r="K489" s="1" t="s">
        <v>456</v>
      </c>
    </row>
    <row r="490" spans="1:11" ht="12.75" customHeight="1" x14ac:dyDescent="0.2">
      <c r="A490" s="1" t="s">
        <v>718</v>
      </c>
      <c r="B490" s="1" t="s">
        <v>719</v>
      </c>
      <c r="C490" s="2">
        <v>11</v>
      </c>
      <c r="D490" s="2">
        <v>132</v>
      </c>
      <c r="E490" s="2">
        <v>0</v>
      </c>
      <c r="F490" s="2">
        <v>0</v>
      </c>
      <c r="G490" s="2">
        <v>320.47129999999999</v>
      </c>
      <c r="H490" s="3">
        <v>3525.1842999999999</v>
      </c>
      <c r="I490" s="1" t="s">
        <v>17</v>
      </c>
      <c r="J490" s="1" t="s">
        <v>18</v>
      </c>
      <c r="K490" s="1" t="s">
        <v>19</v>
      </c>
    </row>
    <row r="491" spans="1:11" ht="12.75" customHeight="1" x14ac:dyDescent="0.2">
      <c r="A491" s="1" t="s">
        <v>720</v>
      </c>
      <c r="B491" s="1" t="s">
        <v>721</v>
      </c>
      <c r="C491" s="2">
        <v>3</v>
      </c>
      <c r="D491" s="2">
        <v>42</v>
      </c>
      <c r="E491" s="2">
        <v>0</v>
      </c>
      <c r="F491" s="2">
        <v>0</v>
      </c>
      <c r="G491" s="2">
        <v>373.80650000000003</v>
      </c>
      <c r="H491" s="3">
        <v>1121.4195</v>
      </c>
      <c r="I491" s="1" t="s">
        <v>454</v>
      </c>
      <c r="J491" s="1" t="s">
        <v>455</v>
      </c>
      <c r="K491" s="1" t="s">
        <v>456</v>
      </c>
    </row>
    <row r="492" spans="1:11" ht="12.75" customHeight="1" x14ac:dyDescent="0.2">
      <c r="A492" s="1" t="s">
        <v>722</v>
      </c>
      <c r="B492" s="1" t="s">
        <v>723</v>
      </c>
      <c r="C492" s="2">
        <v>6</v>
      </c>
      <c r="D492" s="2">
        <v>96</v>
      </c>
      <c r="E492" s="2">
        <v>0</v>
      </c>
      <c r="F492" s="2">
        <v>0</v>
      </c>
      <c r="G492" s="2">
        <v>427.21839999999997</v>
      </c>
      <c r="H492" s="3">
        <v>2563.3103999999998</v>
      </c>
      <c r="I492" s="1" t="s">
        <v>454</v>
      </c>
      <c r="J492" s="1" t="s">
        <v>455</v>
      </c>
      <c r="K492" s="1" t="s">
        <v>456</v>
      </c>
    </row>
    <row r="493" spans="1:11" ht="12.75" customHeight="1" x14ac:dyDescent="0.2">
      <c r="A493" s="1" t="s">
        <v>724</v>
      </c>
      <c r="B493" s="1" t="s">
        <v>725</v>
      </c>
      <c r="C493" s="2">
        <v>24</v>
      </c>
      <c r="D493" s="2">
        <v>432</v>
      </c>
      <c r="E493" s="2">
        <v>0</v>
      </c>
      <c r="F493" s="2">
        <v>0</v>
      </c>
      <c r="G493" s="2">
        <v>480.64420000000001</v>
      </c>
      <c r="H493" s="3">
        <v>11535.460800000001</v>
      </c>
      <c r="I493" s="1" t="s">
        <v>17</v>
      </c>
      <c r="J493" s="1" t="s">
        <v>18</v>
      </c>
      <c r="K493" s="1" t="s">
        <v>19</v>
      </c>
    </row>
    <row r="494" spans="1:11" ht="12.75" customHeight="1" x14ac:dyDescent="0.2">
      <c r="A494" s="1" t="s">
        <v>724</v>
      </c>
      <c r="B494" s="1" t="s">
        <v>725</v>
      </c>
      <c r="C494" s="2">
        <v>6</v>
      </c>
      <c r="D494" s="2">
        <v>108</v>
      </c>
      <c r="E494" s="2">
        <v>0</v>
      </c>
      <c r="F494" s="2">
        <v>0</v>
      </c>
      <c r="G494" s="2">
        <v>480.64420000000001</v>
      </c>
      <c r="H494" s="3">
        <v>2883.8652000000002</v>
      </c>
      <c r="I494" s="1" t="s">
        <v>330</v>
      </c>
      <c r="J494" s="1" t="s">
        <v>331</v>
      </c>
      <c r="K494" s="1" t="s">
        <v>332</v>
      </c>
    </row>
    <row r="495" spans="1:11" ht="12.75" customHeight="1" x14ac:dyDescent="0.2">
      <c r="A495" s="1" t="s">
        <v>724</v>
      </c>
      <c r="B495" s="1" t="s">
        <v>725</v>
      </c>
      <c r="C495" s="2">
        <v>19</v>
      </c>
      <c r="D495" s="2">
        <v>342</v>
      </c>
      <c r="E495" s="2">
        <v>0</v>
      </c>
      <c r="F495" s="2">
        <v>0</v>
      </c>
      <c r="G495" s="2">
        <v>480.64420000000001</v>
      </c>
      <c r="H495" s="3">
        <v>9132.2397999999994</v>
      </c>
      <c r="I495" s="1" t="s">
        <v>454</v>
      </c>
      <c r="J495" s="1" t="s">
        <v>455</v>
      </c>
      <c r="K495" s="1" t="s">
        <v>456</v>
      </c>
    </row>
    <row r="496" spans="1:11" ht="12.75" customHeight="1" x14ac:dyDescent="0.2">
      <c r="A496" s="1" t="s">
        <v>726</v>
      </c>
      <c r="B496" s="1" t="s">
        <v>727</v>
      </c>
      <c r="C496" s="2">
        <v>2</v>
      </c>
      <c r="D496" s="2">
        <v>40</v>
      </c>
      <c r="E496" s="2">
        <v>0</v>
      </c>
      <c r="F496" s="2">
        <v>0</v>
      </c>
      <c r="G496" s="2">
        <v>406.07249999999999</v>
      </c>
      <c r="H496" s="3">
        <v>812.14499999999998</v>
      </c>
      <c r="I496" s="1" t="s">
        <v>17</v>
      </c>
      <c r="J496" s="1" t="s">
        <v>18</v>
      </c>
      <c r="K496" s="1" t="s">
        <v>19</v>
      </c>
    </row>
    <row r="497" spans="1:11" ht="12.75" customHeight="1" x14ac:dyDescent="0.2">
      <c r="A497" s="1" t="s">
        <v>726</v>
      </c>
      <c r="B497" s="1" t="s">
        <v>727</v>
      </c>
      <c r="C497" s="2">
        <v>15</v>
      </c>
      <c r="D497" s="2">
        <v>300</v>
      </c>
      <c r="E497" s="2">
        <v>0</v>
      </c>
      <c r="F497" s="2">
        <v>0</v>
      </c>
      <c r="G497" s="2">
        <v>534.12350000000004</v>
      </c>
      <c r="H497" s="3">
        <v>8011.8525</v>
      </c>
      <c r="I497" s="1" t="s">
        <v>24</v>
      </c>
      <c r="J497" s="1" t="s">
        <v>25</v>
      </c>
      <c r="K497" s="1" t="s">
        <v>26</v>
      </c>
    </row>
    <row r="498" spans="1:11" ht="12.75" customHeight="1" x14ac:dyDescent="0.2">
      <c r="A498" s="1" t="s">
        <v>726</v>
      </c>
      <c r="B498" s="1" t="s">
        <v>727</v>
      </c>
      <c r="C498" s="2">
        <v>39</v>
      </c>
      <c r="D498" s="2">
        <v>780</v>
      </c>
      <c r="E498" s="2">
        <v>0</v>
      </c>
      <c r="F498" s="2">
        <v>8</v>
      </c>
      <c r="G498" s="2">
        <v>534.12350000000004</v>
      </c>
      <c r="H498" s="3">
        <v>20830.816500000001</v>
      </c>
      <c r="I498" s="1" t="s">
        <v>330</v>
      </c>
      <c r="J498" s="1" t="s">
        <v>331</v>
      </c>
      <c r="K498" s="1" t="s">
        <v>332</v>
      </c>
    </row>
    <row r="499" spans="1:11" ht="12.75" customHeight="1" x14ac:dyDescent="0.2">
      <c r="A499" s="1" t="s">
        <v>726</v>
      </c>
      <c r="B499" s="1" t="s">
        <v>727</v>
      </c>
      <c r="C499" s="2">
        <v>24</v>
      </c>
      <c r="D499" s="2">
        <v>480</v>
      </c>
      <c r="E499" s="2">
        <v>0</v>
      </c>
      <c r="F499" s="2">
        <v>0</v>
      </c>
      <c r="G499" s="2">
        <v>534.12350000000004</v>
      </c>
      <c r="H499" s="3">
        <v>12818.964</v>
      </c>
      <c r="I499" s="1" t="s">
        <v>454</v>
      </c>
      <c r="J499" s="1" t="s">
        <v>455</v>
      </c>
      <c r="K499" s="1" t="s">
        <v>456</v>
      </c>
    </row>
    <row r="500" spans="1:11" ht="12.75" customHeight="1" x14ac:dyDescent="0.2">
      <c r="A500" s="1" t="s">
        <v>728</v>
      </c>
      <c r="B500" s="1" t="s">
        <v>729</v>
      </c>
      <c r="C500" s="2">
        <v>10</v>
      </c>
      <c r="D500" s="2">
        <v>220</v>
      </c>
      <c r="E500" s="2">
        <v>0</v>
      </c>
      <c r="F500" s="2">
        <v>0</v>
      </c>
      <c r="G500" s="2">
        <v>587.30560000000003</v>
      </c>
      <c r="H500" s="3">
        <v>5873.0559999999996</v>
      </c>
      <c r="I500" s="1" t="s">
        <v>454</v>
      </c>
      <c r="J500" s="1" t="s">
        <v>455</v>
      </c>
      <c r="K500" s="1" t="s">
        <v>456</v>
      </c>
    </row>
    <row r="501" spans="1:11" ht="12.75" customHeight="1" x14ac:dyDescent="0.2">
      <c r="A501" s="1" t="s">
        <v>730</v>
      </c>
      <c r="B501" s="1" t="s">
        <v>731</v>
      </c>
      <c r="C501" s="2">
        <v>2</v>
      </c>
      <c r="D501" s="2">
        <v>16</v>
      </c>
      <c r="E501" s="2">
        <v>0</v>
      </c>
      <c r="F501" s="2">
        <v>0</v>
      </c>
      <c r="G501" s="2">
        <v>213.80080000000001</v>
      </c>
      <c r="H501" s="3">
        <v>427.60160000000002</v>
      </c>
      <c r="I501" s="1" t="s">
        <v>17</v>
      </c>
      <c r="J501" s="1" t="s">
        <v>18</v>
      </c>
      <c r="K501" s="1" t="s">
        <v>19</v>
      </c>
    </row>
    <row r="502" spans="1:11" ht="12.75" customHeight="1" x14ac:dyDescent="0.2">
      <c r="A502" s="1" t="s">
        <v>732</v>
      </c>
      <c r="B502" s="1" t="s">
        <v>733</v>
      </c>
      <c r="C502" s="2">
        <v>67</v>
      </c>
      <c r="D502" s="2">
        <v>670</v>
      </c>
      <c r="E502" s="2">
        <v>0</v>
      </c>
      <c r="F502" s="2">
        <v>0</v>
      </c>
      <c r="G502" s="2">
        <v>73.412800000000004</v>
      </c>
      <c r="H502" s="3">
        <v>4918.6575999999995</v>
      </c>
      <c r="I502" s="1" t="s">
        <v>17</v>
      </c>
      <c r="J502" s="1" t="s">
        <v>18</v>
      </c>
      <c r="K502" s="1" t="s">
        <v>19</v>
      </c>
    </row>
    <row r="503" spans="1:11" ht="12.75" customHeight="1" x14ac:dyDescent="0.2">
      <c r="A503" s="1" t="s">
        <v>732</v>
      </c>
      <c r="B503" s="1" t="s">
        <v>733</v>
      </c>
      <c r="C503" s="2">
        <v>12</v>
      </c>
      <c r="D503" s="2">
        <v>120</v>
      </c>
      <c r="E503" s="2">
        <v>0</v>
      </c>
      <c r="F503" s="2">
        <v>0</v>
      </c>
      <c r="G503" s="2">
        <v>79.4666</v>
      </c>
      <c r="H503" s="3">
        <v>953.5992</v>
      </c>
      <c r="I503" s="1" t="s">
        <v>24</v>
      </c>
      <c r="J503" s="1" t="s">
        <v>25</v>
      </c>
      <c r="K503" s="1" t="s">
        <v>26</v>
      </c>
    </row>
    <row r="504" spans="1:11" ht="12.75" customHeight="1" x14ac:dyDescent="0.2">
      <c r="A504" s="1" t="s">
        <v>734</v>
      </c>
      <c r="B504" s="1" t="s">
        <v>735</v>
      </c>
      <c r="C504" s="2">
        <v>37</v>
      </c>
      <c r="D504" s="2">
        <v>444</v>
      </c>
      <c r="E504" s="2">
        <v>0</v>
      </c>
      <c r="F504" s="2">
        <v>0</v>
      </c>
      <c r="G504" s="2">
        <v>88.08</v>
      </c>
      <c r="H504" s="3">
        <v>3258.96</v>
      </c>
      <c r="I504" s="1" t="s">
        <v>17</v>
      </c>
      <c r="J504" s="1" t="s">
        <v>18</v>
      </c>
      <c r="K504" s="1" t="s">
        <v>19</v>
      </c>
    </row>
    <row r="505" spans="1:11" ht="12.75" customHeight="1" x14ac:dyDescent="0.2">
      <c r="A505" s="1" t="s">
        <v>736</v>
      </c>
      <c r="B505" s="1" t="s">
        <v>737</v>
      </c>
      <c r="C505" s="2">
        <v>139</v>
      </c>
      <c r="D505" s="2">
        <v>1946</v>
      </c>
      <c r="E505" s="2">
        <v>0</v>
      </c>
      <c r="F505" s="2">
        <v>0</v>
      </c>
      <c r="G505" s="2">
        <v>102.76</v>
      </c>
      <c r="H505" s="3">
        <v>14283.64</v>
      </c>
      <c r="I505" s="1" t="s">
        <v>17</v>
      </c>
      <c r="J505" s="1" t="s">
        <v>18</v>
      </c>
      <c r="K505" s="1" t="s">
        <v>19</v>
      </c>
    </row>
    <row r="506" spans="1:11" ht="12.75" customHeight="1" x14ac:dyDescent="0.2">
      <c r="A506" s="1" t="s">
        <v>736</v>
      </c>
      <c r="B506" s="1" t="s">
        <v>737</v>
      </c>
      <c r="C506" s="2">
        <v>21</v>
      </c>
      <c r="D506" s="2">
        <v>294</v>
      </c>
      <c r="E506" s="2">
        <v>0</v>
      </c>
      <c r="F506" s="2">
        <v>0</v>
      </c>
      <c r="G506" s="2">
        <v>111.2833</v>
      </c>
      <c r="H506" s="3">
        <v>2336.9493000000002</v>
      </c>
      <c r="I506" s="1" t="s">
        <v>125</v>
      </c>
      <c r="J506" s="1" t="s">
        <v>126</v>
      </c>
      <c r="K506" s="1" t="s">
        <v>127</v>
      </c>
    </row>
    <row r="507" spans="1:11" ht="12.75" customHeight="1" x14ac:dyDescent="0.2">
      <c r="A507" s="1" t="s">
        <v>738</v>
      </c>
      <c r="B507" s="1" t="s">
        <v>739</v>
      </c>
      <c r="C507" s="2">
        <v>41</v>
      </c>
      <c r="D507" s="2">
        <v>656</v>
      </c>
      <c r="E507" s="2">
        <v>0</v>
      </c>
      <c r="F507" s="2">
        <v>0</v>
      </c>
      <c r="G507" s="2">
        <v>117.44</v>
      </c>
      <c r="H507" s="3">
        <v>4815.04</v>
      </c>
      <c r="I507" s="1" t="s">
        <v>17</v>
      </c>
      <c r="J507" s="1" t="s">
        <v>18</v>
      </c>
      <c r="K507" s="1" t="s">
        <v>19</v>
      </c>
    </row>
    <row r="508" spans="1:11" ht="12.75" customHeight="1" x14ac:dyDescent="0.2">
      <c r="A508" s="1" t="s">
        <v>740</v>
      </c>
      <c r="B508" s="1" t="s">
        <v>741</v>
      </c>
      <c r="C508" s="2">
        <v>24</v>
      </c>
      <c r="D508" s="2">
        <v>432</v>
      </c>
      <c r="E508" s="2">
        <v>0</v>
      </c>
      <c r="F508" s="2">
        <v>0</v>
      </c>
      <c r="G508" s="2">
        <v>132.12</v>
      </c>
      <c r="H508" s="3">
        <v>3170.88</v>
      </c>
      <c r="I508" s="1" t="s">
        <v>17</v>
      </c>
      <c r="J508" s="1" t="s">
        <v>18</v>
      </c>
      <c r="K508" s="1" t="s">
        <v>19</v>
      </c>
    </row>
    <row r="509" spans="1:11" ht="12.75" customHeight="1" x14ac:dyDescent="0.2">
      <c r="A509" s="1" t="s">
        <v>742</v>
      </c>
      <c r="B509" s="1" t="s">
        <v>743</v>
      </c>
      <c r="C509" s="2">
        <v>48</v>
      </c>
      <c r="D509" s="2">
        <v>960</v>
      </c>
      <c r="E509" s="2">
        <v>0</v>
      </c>
      <c r="F509" s="2">
        <v>0</v>
      </c>
      <c r="G509" s="2">
        <v>146.80000000000001</v>
      </c>
      <c r="H509" s="3">
        <v>7046.4</v>
      </c>
      <c r="I509" s="1" t="s">
        <v>17</v>
      </c>
      <c r="J509" s="1" t="s">
        <v>18</v>
      </c>
      <c r="K509" s="1" t="s">
        <v>19</v>
      </c>
    </row>
    <row r="510" spans="1:11" ht="12.75" customHeight="1" x14ac:dyDescent="0.2">
      <c r="A510" s="1" t="s">
        <v>742</v>
      </c>
      <c r="B510" s="1" t="s">
        <v>743</v>
      </c>
      <c r="C510" s="2">
        <v>22</v>
      </c>
      <c r="D510" s="2">
        <v>440</v>
      </c>
      <c r="E510" s="2">
        <v>0</v>
      </c>
      <c r="F510" s="2">
        <v>0</v>
      </c>
      <c r="G510" s="2">
        <v>159</v>
      </c>
      <c r="H510" s="3">
        <v>3498</v>
      </c>
      <c r="I510" s="1" t="s">
        <v>125</v>
      </c>
      <c r="J510" s="1" t="s">
        <v>126</v>
      </c>
      <c r="K510" s="1" t="s">
        <v>127</v>
      </c>
    </row>
    <row r="511" spans="1:11" ht="12.75" customHeight="1" x14ac:dyDescent="0.2">
      <c r="A511" s="1" t="s">
        <v>744</v>
      </c>
      <c r="B511" s="1" t="s">
        <v>745</v>
      </c>
      <c r="C511" s="2">
        <v>1</v>
      </c>
      <c r="D511" s="2">
        <v>10</v>
      </c>
      <c r="E511" s="2">
        <v>0</v>
      </c>
      <c r="F511" s="2">
        <v>0</v>
      </c>
      <c r="G511" s="2">
        <v>130.54650000000001</v>
      </c>
      <c r="H511" s="3">
        <v>130.54650000000001</v>
      </c>
      <c r="I511" s="1" t="s">
        <v>17</v>
      </c>
      <c r="J511" s="1" t="s">
        <v>18</v>
      </c>
      <c r="K511" s="1" t="s">
        <v>19</v>
      </c>
    </row>
    <row r="512" spans="1:11" ht="12.75" customHeight="1" x14ac:dyDescent="0.2">
      <c r="A512" s="1" t="s">
        <v>744</v>
      </c>
      <c r="B512" s="1" t="s">
        <v>745</v>
      </c>
      <c r="C512" s="2">
        <v>36</v>
      </c>
      <c r="D512" s="2">
        <v>360</v>
      </c>
      <c r="E512" s="2">
        <v>0</v>
      </c>
      <c r="F512" s="2">
        <v>0</v>
      </c>
      <c r="G512" s="2">
        <v>130.54650000000001</v>
      </c>
      <c r="H512" s="3">
        <v>4699.674</v>
      </c>
      <c r="I512" s="1" t="s">
        <v>454</v>
      </c>
      <c r="J512" s="1" t="s">
        <v>455</v>
      </c>
      <c r="K512" s="1" t="s">
        <v>456</v>
      </c>
    </row>
    <row r="513" spans="1:11" ht="12.75" customHeight="1" x14ac:dyDescent="0.2">
      <c r="A513" s="1" t="s">
        <v>746</v>
      </c>
      <c r="B513" s="1" t="s">
        <v>747</v>
      </c>
      <c r="C513" s="2">
        <v>9</v>
      </c>
      <c r="D513" s="2">
        <v>108</v>
      </c>
      <c r="E513" s="2">
        <v>0</v>
      </c>
      <c r="F513" s="2">
        <v>0</v>
      </c>
      <c r="G513" s="2">
        <v>156.63910000000001</v>
      </c>
      <c r="H513" s="3">
        <v>1409.7519</v>
      </c>
      <c r="I513" s="1" t="s">
        <v>17</v>
      </c>
      <c r="J513" s="1" t="s">
        <v>18</v>
      </c>
      <c r="K513" s="1" t="s">
        <v>19</v>
      </c>
    </row>
    <row r="514" spans="1:11" ht="12.75" customHeight="1" x14ac:dyDescent="0.2">
      <c r="A514" s="1" t="s">
        <v>746</v>
      </c>
      <c r="B514" s="1" t="s">
        <v>747</v>
      </c>
      <c r="C514" s="2">
        <v>50</v>
      </c>
      <c r="D514" s="2">
        <v>600</v>
      </c>
      <c r="E514" s="2">
        <v>0</v>
      </c>
      <c r="F514" s="2">
        <v>0</v>
      </c>
      <c r="G514" s="2">
        <v>156.63910000000001</v>
      </c>
      <c r="H514" s="3">
        <v>7831.9549999999999</v>
      </c>
      <c r="I514" s="1" t="s">
        <v>454</v>
      </c>
      <c r="J514" s="1" t="s">
        <v>455</v>
      </c>
      <c r="K514" s="1" t="s">
        <v>456</v>
      </c>
    </row>
    <row r="515" spans="1:11" ht="12.75" customHeight="1" x14ac:dyDescent="0.2">
      <c r="A515" s="1" t="s">
        <v>748</v>
      </c>
      <c r="B515" s="1" t="s">
        <v>749</v>
      </c>
      <c r="C515" s="2">
        <v>24</v>
      </c>
      <c r="D515" s="2">
        <v>336</v>
      </c>
      <c r="E515" s="2">
        <v>0</v>
      </c>
      <c r="F515" s="2">
        <v>0</v>
      </c>
      <c r="G515" s="2">
        <v>182.76519999999999</v>
      </c>
      <c r="H515" s="3">
        <v>4386.3648000000003</v>
      </c>
      <c r="I515" s="1" t="s">
        <v>17</v>
      </c>
      <c r="J515" s="1" t="s">
        <v>18</v>
      </c>
      <c r="K515" s="1" t="s">
        <v>19</v>
      </c>
    </row>
    <row r="516" spans="1:11" ht="12.75" customHeight="1" x14ac:dyDescent="0.2">
      <c r="A516" s="1" t="s">
        <v>748</v>
      </c>
      <c r="B516" s="1" t="s">
        <v>749</v>
      </c>
      <c r="C516" s="2">
        <v>72</v>
      </c>
      <c r="D516" s="2">
        <v>1008</v>
      </c>
      <c r="E516" s="2">
        <v>0</v>
      </c>
      <c r="F516" s="2">
        <v>0</v>
      </c>
      <c r="G516" s="2">
        <v>182.76519999999999</v>
      </c>
      <c r="H516" s="3">
        <v>13159.0944</v>
      </c>
      <c r="I516" s="1" t="s">
        <v>454</v>
      </c>
      <c r="J516" s="1" t="s">
        <v>455</v>
      </c>
      <c r="K516" s="1" t="s">
        <v>456</v>
      </c>
    </row>
    <row r="517" spans="1:11" ht="12.75" customHeight="1" x14ac:dyDescent="0.2">
      <c r="A517" s="1" t="s">
        <v>750</v>
      </c>
      <c r="B517" s="1" t="s">
        <v>751</v>
      </c>
      <c r="C517" s="2">
        <v>43</v>
      </c>
      <c r="D517" s="2">
        <v>774</v>
      </c>
      <c r="E517" s="2">
        <v>0</v>
      </c>
      <c r="F517" s="2">
        <v>0</v>
      </c>
      <c r="G517" s="2">
        <v>234.9614</v>
      </c>
      <c r="H517" s="3">
        <v>10103.340200000001</v>
      </c>
      <c r="I517" s="1" t="s">
        <v>454</v>
      </c>
      <c r="J517" s="1" t="s">
        <v>455</v>
      </c>
      <c r="K517" s="1" t="s">
        <v>456</v>
      </c>
    </row>
    <row r="518" spans="1:11" ht="12.75" customHeight="1" x14ac:dyDescent="0.2">
      <c r="A518" s="1" t="s">
        <v>752</v>
      </c>
      <c r="B518" s="1" t="s">
        <v>753</v>
      </c>
      <c r="C518" s="2">
        <v>4</v>
      </c>
      <c r="D518" s="2">
        <v>80</v>
      </c>
      <c r="E518" s="2">
        <v>0</v>
      </c>
      <c r="F518" s="2">
        <v>0</v>
      </c>
      <c r="G518" s="2">
        <v>261.0566</v>
      </c>
      <c r="H518" s="3">
        <v>1044.2264</v>
      </c>
      <c r="I518" s="1" t="s">
        <v>17</v>
      </c>
      <c r="J518" s="1" t="s">
        <v>18</v>
      </c>
      <c r="K518" s="1" t="s">
        <v>19</v>
      </c>
    </row>
    <row r="519" spans="1:11" ht="12.75" customHeight="1" x14ac:dyDescent="0.2">
      <c r="A519" s="1" t="s">
        <v>752</v>
      </c>
      <c r="B519" s="1" t="s">
        <v>753</v>
      </c>
      <c r="C519" s="2">
        <v>7</v>
      </c>
      <c r="D519" s="2">
        <v>140</v>
      </c>
      <c r="E519" s="2">
        <v>0</v>
      </c>
      <c r="F519" s="2">
        <v>0</v>
      </c>
      <c r="G519" s="2">
        <v>261.0566</v>
      </c>
      <c r="H519" s="3">
        <v>1827.3961999999999</v>
      </c>
      <c r="I519" s="1" t="s">
        <v>454</v>
      </c>
      <c r="J519" s="1" t="s">
        <v>455</v>
      </c>
      <c r="K519" s="1" t="s">
        <v>456</v>
      </c>
    </row>
    <row r="520" spans="1:11" ht="12.75" customHeight="1" x14ac:dyDescent="0.2">
      <c r="A520" s="1" t="s">
        <v>754</v>
      </c>
      <c r="B520" s="1" t="s">
        <v>755</v>
      </c>
      <c r="C520" s="2">
        <v>5</v>
      </c>
      <c r="D520" s="2">
        <v>110</v>
      </c>
      <c r="E520" s="2">
        <v>0</v>
      </c>
      <c r="F520" s="2">
        <v>0</v>
      </c>
      <c r="G520" s="2">
        <v>286.90679999999998</v>
      </c>
      <c r="H520" s="3">
        <v>1434.5340000000001</v>
      </c>
      <c r="I520" s="1" t="s">
        <v>17</v>
      </c>
      <c r="J520" s="1" t="s">
        <v>18</v>
      </c>
      <c r="K520" s="1" t="s">
        <v>19</v>
      </c>
    </row>
    <row r="521" spans="1:11" ht="12.75" customHeight="1" x14ac:dyDescent="0.2">
      <c r="A521" s="1" t="s">
        <v>756</v>
      </c>
      <c r="B521" s="1" t="s">
        <v>757</v>
      </c>
      <c r="C521" s="2">
        <v>6</v>
      </c>
      <c r="D521" s="2">
        <v>42</v>
      </c>
      <c r="E521" s="2">
        <v>0</v>
      </c>
      <c r="F521" s="2">
        <v>0</v>
      </c>
      <c r="G521" s="2">
        <v>91.382599999999996</v>
      </c>
      <c r="H521" s="3">
        <v>548.29560000000004</v>
      </c>
      <c r="I521" s="1" t="s">
        <v>17</v>
      </c>
      <c r="J521" s="1" t="s">
        <v>18</v>
      </c>
      <c r="K521" s="1" t="s">
        <v>19</v>
      </c>
    </row>
    <row r="522" spans="1:11" ht="12.75" customHeight="1" x14ac:dyDescent="0.2">
      <c r="A522" s="1" t="s">
        <v>758</v>
      </c>
      <c r="B522" s="1" t="s">
        <v>759</v>
      </c>
      <c r="C522" s="2">
        <v>28</v>
      </c>
      <c r="D522" s="2">
        <v>280</v>
      </c>
      <c r="E522" s="2">
        <v>0</v>
      </c>
      <c r="F522" s="2">
        <v>0</v>
      </c>
      <c r="G522" s="2">
        <v>172.08349999999999</v>
      </c>
      <c r="H522" s="3">
        <v>4818.3379999999997</v>
      </c>
      <c r="I522" s="1" t="s">
        <v>454</v>
      </c>
      <c r="J522" s="1" t="s">
        <v>455</v>
      </c>
      <c r="K522" s="1" t="s">
        <v>456</v>
      </c>
    </row>
    <row r="523" spans="1:11" ht="12.75" customHeight="1" x14ac:dyDescent="0.2">
      <c r="A523" s="1" t="s">
        <v>760</v>
      </c>
      <c r="B523" s="1" t="s">
        <v>761</v>
      </c>
      <c r="C523" s="2">
        <v>23</v>
      </c>
      <c r="D523" s="2">
        <v>276</v>
      </c>
      <c r="E523" s="2">
        <v>0</v>
      </c>
      <c r="F523" s="2">
        <v>0</v>
      </c>
      <c r="G523" s="2">
        <v>206.4442</v>
      </c>
      <c r="H523" s="3">
        <v>4748.2165999999997</v>
      </c>
      <c r="I523" s="1" t="s">
        <v>17</v>
      </c>
      <c r="J523" s="1" t="s">
        <v>18</v>
      </c>
      <c r="K523" s="1" t="s">
        <v>19</v>
      </c>
    </row>
    <row r="524" spans="1:11" ht="12.75" customHeight="1" x14ac:dyDescent="0.2">
      <c r="A524" s="1" t="s">
        <v>762</v>
      </c>
      <c r="B524" s="1" t="s">
        <v>763</v>
      </c>
      <c r="C524" s="2">
        <v>2</v>
      </c>
      <c r="D524" s="2">
        <v>28</v>
      </c>
      <c r="E524" s="2">
        <v>0</v>
      </c>
      <c r="F524" s="2">
        <v>0</v>
      </c>
      <c r="G524" s="2">
        <v>240.95689999999999</v>
      </c>
      <c r="H524" s="3">
        <v>481.91379999999998</v>
      </c>
      <c r="I524" s="1" t="s">
        <v>17</v>
      </c>
      <c r="J524" s="1" t="s">
        <v>18</v>
      </c>
      <c r="K524" s="1" t="s">
        <v>19</v>
      </c>
    </row>
    <row r="525" spans="1:11" ht="12.75" customHeight="1" x14ac:dyDescent="0.2">
      <c r="A525" s="1" t="s">
        <v>762</v>
      </c>
      <c r="B525" s="1" t="s">
        <v>763</v>
      </c>
      <c r="C525" s="2">
        <v>6</v>
      </c>
      <c r="D525" s="2">
        <v>84</v>
      </c>
      <c r="E525" s="2">
        <v>0</v>
      </c>
      <c r="F525" s="2">
        <v>0</v>
      </c>
      <c r="G525" s="2">
        <v>240.95689999999999</v>
      </c>
      <c r="H525" s="3">
        <v>1445.7414000000001</v>
      </c>
      <c r="I525" s="1" t="s">
        <v>454</v>
      </c>
      <c r="J525" s="1" t="s">
        <v>455</v>
      </c>
      <c r="K525" s="1" t="s">
        <v>456</v>
      </c>
    </row>
    <row r="526" spans="1:11" ht="12.75" customHeight="1" x14ac:dyDescent="0.2">
      <c r="A526" s="1" t="s">
        <v>764</v>
      </c>
      <c r="B526" s="1" t="s">
        <v>765</v>
      </c>
      <c r="C526" s="2">
        <v>18</v>
      </c>
      <c r="D526" s="2">
        <v>288</v>
      </c>
      <c r="E526" s="2">
        <v>0</v>
      </c>
      <c r="F526" s="2">
        <v>0</v>
      </c>
      <c r="G526" s="2">
        <v>275.29719999999998</v>
      </c>
      <c r="H526" s="3">
        <v>4955.3495999999996</v>
      </c>
      <c r="I526" s="1" t="s">
        <v>454</v>
      </c>
      <c r="J526" s="1" t="s">
        <v>455</v>
      </c>
      <c r="K526" s="1" t="s">
        <v>456</v>
      </c>
    </row>
    <row r="527" spans="1:11" ht="12.75" customHeight="1" x14ac:dyDescent="0.2">
      <c r="A527" s="1" t="s">
        <v>766</v>
      </c>
      <c r="B527" s="1" t="s">
        <v>767</v>
      </c>
      <c r="C527" s="2">
        <v>39</v>
      </c>
      <c r="D527" s="2">
        <v>702</v>
      </c>
      <c r="E527" s="2">
        <v>0</v>
      </c>
      <c r="F527" s="2">
        <v>0</v>
      </c>
      <c r="G527" s="2">
        <v>309.73700000000002</v>
      </c>
      <c r="H527" s="3">
        <v>12079.743</v>
      </c>
      <c r="I527" s="1" t="s">
        <v>454</v>
      </c>
      <c r="J527" s="1" t="s">
        <v>455</v>
      </c>
      <c r="K527" s="1" t="s">
        <v>456</v>
      </c>
    </row>
    <row r="528" spans="1:11" ht="12.75" customHeight="1" x14ac:dyDescent="0.2">
      <c r="A528" s="1" t="s">
        <v>768</v>
      </c>
      <c r="B528" s="1" t="s">
        <v>769</v>
      </c>
      <c r="C528" s="2">
        <v>31</v>
      </c>
      <c r="D528" s="2">
        <v>620</v>
      </c>
      <c r="E528" s="2">
        <v>0</v>
      </c>
      <c r="F528" s="2">
        <v>0</v>
      </c>
      <c r="G528" s="2">
        <v>344.17250000000001</v>
      </c>
      <c r="H528" s="3">
        <v>10669.3475</v>
      </c>
      <c r="I528" s="1" t="s">
        <v>454</v>
      </c>
      <c r="J528" s="1" t="s">
        <v>455</v>
      </c>
      <c r="K528" s="1" t="s">
        <v>456</v>
      </c>
    </row>
    <row r="529" spans="1:11" ht="12.75" customHeight="1" x14ac:dyDescent="0.2">
      <c r="A529" s="1" t="s">
        <v>770</v>
      </c>
      <c r="B529" s="1" t="s">
        <v>771</v>
      </c>
      <c r="C529" s="2">
        <v>11</v>
      </c>
      <c r="D529" s="2">
        <v>242</v>
      </c>
      <c r="E529" s="2">
        <v>0</v>
      </c>
      <c r="F529" s="2">
        <v>0</v>
      </c>
      <c r="G529" s="2">
        <v>378.6671</v>
      </c>
      <c r="H529" s="3">
        <v>4165.3380999999999</v>
      </c>
      <c r="I529" s="1" t="s">
        <v>17</v>
      </c>
      <c r="J529" s="1" t="s">
        <v>18</v>
      </c>
      <c r="K529" s="1" t="s">
        <v>19</v>
      </c>
    </row>
    <row r="530" spans="1:11" ht="12.75" customHeight="1" x14ac:dyDescent="0.2">
      <c r="A530" s="1" t="s">
        <v>770</v>
      </c>
      <c r="B530" s="1" t="s">
        <v>771</v>
      </c>
      <c r="C530" s="2">
        <v>10</v>
      </c>
      <c r="D530" s="2">
        <v>220</v>
      </c>
      <c r="E530" s="2">
        <v>0</v>
      </c>
      <c r="F530" s="2">
        <v>0</v>
      </c>
      <c r="G530" s="2">
        <v>378.6671</v>
      </c>
      <c r="H530" s="3">
        <v>3786.6709999999998</v>
      </c>
      <c r="I530" s="1" t="s">
        <v>454</v>
      </c>
      <c r="J530" s="1" t="s">
        <v>455</v>
      </c>
      <c r="K530" s="1" t="s">
        <v>456</v>
      </c>
    </row>
    <row r="531" spans="1:11" ht="12.75" customHeight="1" x14ac:dyDescent="0.2">
      <c r="A531" s="1" t="s">
        <v>772</v>
      </c>
      <c r="B531" s="1" t="s">
        <v>773</v>
      </c>
      <c r="C531" s="2">
        <v>2</v>
      </c>
      <c r="D531" s="2">
        <v>36</v>
      </c>
      <c r="E531" s="2">
        <v>0</v>
      </c>
      <c r="F531" s="2">
        <v>0</v>
      </c>
      <c r="G531" s="2">
        <v>755.19960000000003</v>
      </c>
      <c r="H531" s="3">
        <v>1510.3992000000001</v>
      </c>
      <c r="I531" s="1" t="s">
        <v>17</v>
      </c>
      <c r="J531" s="1" t="s">
        <v>18</v>
      </c>
      <c r="K531" s="1" t="s">
        <v>19</v>
      </c>
    </row>
    <row r="532" spans="1:11" ht="12.75" customHeight="1" x14ac:dyDescent="0.2">
      <c r="A532" s="1" t="s">
        <v>774</v>
      </c>
      <c r="B532" s="1" t="s">
        <v>775</v>
      </c>
      <c r="C532" s="2">
        <v>4</v>
      </c>
      <c r="D532" s="2">
        <v>80</v>
      </c>
      <c r="E532" s="2">
        <v>0</v>
      </c>
      <c r="F532" s="2">
        <v>0</v>
      </c>
      <c r="G532" s="2">
        <v>838.82330000000002</v>
      </c>
      <c r="H532" s="3">
        <v>3355.2932000000001</v>
      </c>
      <c r="I532" s="1" t="s">
        <v>17</v>
      </c>
      <c r="J532" s="1" t="s">
        <v>18</v>
      </c>
      <c r="K532" s="1" t="s">
        <v>19</v>
      </c>
    </row>
    <row r="533" spans="1:11" ht="12.75" customHeight="1" x14ac:dyDescent="0.2">
      <c r="A533" s="1" t="s">
        <v>776</v>
      </c>
      <c r="B533" s="1" t="s">
        <v>777</v>
      </c>
      <c r="C533" s="2">
        <v>2</v>
      </c>
      <c r="D533" s="2">
        <v>20</v>
      </c>
      <c r="E533" s="2">
        <v>0</v>
      </c>
      <c r="F533" s="2">
        <v>0</v>
      </c>
      <c r="G533" s="2">
        <v>204.14519999999999</v>
      </c>
      <c r="H533" s="3">
        <v>408.29039999999998</v>
      </c>
      <c r="I533" s="1" t="s">
        <v>24</v>
      </c>
      <c r="J533" s="1" t="s">
        <v>25</v>
      </c>
      <c r="K533" s="1" t="s">
        <v>26</v>
      </c>
    </row>
    <row r="534" spans="1:11" ht="12.75" customHeight="1" x14ac:dyDescent="0.2">
      <c r="A534" s="1" t="s">
        <v>776</v>
      </c>
      <c r="B534" s="1" t="s">
        <v>777</v>
      </c>
      <c r="C534" s="2">
        <v>1</v>
      </c>
      <c r="D534" s="2">
        <v>10</v>
      </c>
      <c r="E534" s="2">
        <v>0</v>
      </c>
      <c r="F534" s="2">
        <v>0</v>
      </c>
      <c r="G534" s="2">
        <v>204.14519999999999</v>
      </c>
      <c r="H534" s="3">
        <v>204.14519999999999</v>
      </c>
      <c r="I534" s="1" t="s">
        <v>330</v>
      </c>
      <c r="J534" s="1" t="s">
        <v>331</v>
      </c>
      <c r="K534" s="1" t="s">
        <v>332</v>
      </c>
    </row>
    <row r="535" spans="1:11" ht="12.75" customHeight="1" x14ac:dyDescent="0.2">
      <c r="A535" s="1" t="s">
        <v>778</v>
      </c>
      <c r="B535" s="1" t="s">
        <v>779</v>
      </c>
      <c r="C535" s="2">
        <v>7</v>
      </c>
      <c r="D535" s="2">
        <v>84</v>
      </c>
      <c r="E535" s="2">
        <v>0</v>
      </c>
      <c r="F535" s="2">
        <v>0</v>
      </c>
      <c r="G535" s="2">
        <v>246.11349999999999</v>
      </c>
      <c r="H535" s="3">
        <v>1722.7945</v>
      </c>
      <c r="I535" s="1" t="s">
        <v>125</v>
      </c>
      <c r="J535" s="1" t="s">
        <v>126</v>
      </c>
      <c r="K535" s="1" t="s">
        <v>127</v>
      </c>
    </row>
    <row r="536" spans="1:11" ht="12.75" customHeight="1" x14ac:dyDescent="0.2">
      <c r="A536" s="1" t="s">
        <v>778</v>
      </c>
      <c r="B536" s="1" t="s">
        <v>779</v>
      </c>
      <c r="C536" s="2">
        <v>34</v>
      </c>
      <c r="D536" s="2">
        <v>408</v>
      </c>
      <c r="E536" s="2">
        <v>0</v>
      </c>
      <c r="F536" s="2">
        <v>2</v>
      </c>
      <c r="G536" s="2">
        <v>246.11349999999999</v>
      </c>
      <c r="H536" s="3">
        <v>8367.8590000000004</v>
      </c>
      <c r="I536" s="1" t="s">
        <v>330</v>
      </c>
      <c r="J536" s="1" t="s">
        <v>331</v>
      </c>
      <c r="K536" s="1" t="s">
        <v>332</v>
      </c>
    </row>
    <row r="537" spans="1:11" ht="12.75" customHeight="1" x14ac:dyDescent="0.2">
      <c r="A537" s="1" t="s">
        <v>778</v>
      </c>
      <c r="B537" s="1" t="s">
        <v>779</v>
      </c>
      <c r="C537" s="2">
        <v>83</v>
      </c>
      <c r="D537" s="2">
        <v>996</v>
      </c>
      <c r="E537" s="2">
        <v>0</v>
      </c>
      <c r="F537" s="2">
        <v>0</v>
      </c>
      <c r="G537" s="2">
        <v>246.11349999999999</v>
      </c>
      <c r="H537" s="3">
        <v>20427.4205</v>
      </c>
      <c r="I537" s="1" t="s">
        <v>454</v>
      </c>
      <c r="J537" s="1" t="s">
        <v>455</v>
      </c>
      <c r="K537" s="1" t="s">
        <v>456</v>
      </c>
    </row>
    <row r="538" spans="1:11" ht="12.75" customHeight="1" x14ac:dyDescent="0.2">
      <c r="A538" s="1" t="s">
        <v>780</v>
      </c>
      <c r="B538" s="1" t="s">
        <v>781</v>
      </c>
      <c r="C538" s="2">
        <v>17</v>
      </c>
      <c r="D538" s="2">
        <v>238</v>
      </c>
      <c r="E538" s="2">
        <v>0</v>
      </c>
      <c r="F538" s="2">
        <v>0</v>
      </c>
      <c r="G538" s="2">
        <v>287.32560000000001</v>
      </c>
      <c r="H538" s="3">
        <v>4884.5352000000003</v>
      </c>
      <c r="I538" s="1" t="s">
        <v>24</v>
      </c>
      <c r="J538" s="1" t="s">
        <v>25</v>
      </c>
      <c r="K538" s="1" t="s">
        <v>26</v>
      </c>
    </row>
    <row r="539" spans="1:11" ht="12.75" customHeight="1" x14ac:dyDescent="0.2">
      <c r="A539" s="1" t="s">
        <v>780</v>
      </c>
      <c r="B539" s="1" t="s">
        <v>781</v>
      </c>
      <c r="C539" s="2">
        <v>6</v>
      </c>
      <c r="D539" s="2">
        <v>84</v>
      </c>
      <c r="E539" s="2">
        <v>0</v>
      </c>
      <c r="F539" s="2">
        <v>2</v>
      </c>
      <c r="G539" s="2">
        <v>287.32560000000001</v>
      </c>
      <c r="H539" s="3">
        <v>1723.9536000000001</v>
      </c>
      <c r="I539" s="1" t="s">
        <v>330</v>
      </c>
      <c r="J539" s="1" t="s">
        <v>331</v>
      </c>
      <c r="K539" s="1" t="s">
        <v>332</v>
      </c>
    </row>
    <row r="540" spans="1:11" ht="12.75" customHeight="1" x14ac:dyDescent="0.2">
      <c r="A540" s="1" t="s">
        <v>782</v>
      </c>
      <c r="B540" s="1" t="s">
        <v>783</v>
      </c>
      <c r="C540" s="2">
        <v>14</v>
      </c>
      <c r="D540" s="2">
        <v>224</v>
      </c>
      <c r="E540" s="2">
        <v>0</v>
      </c>
      <c r="F540" s="2">
        <v>0</v>
      </c>
      <c r="G540" s="2">
        <v>328.20650000000001</v>
      </c>
      <c r="H540" s="3">
        <v>4594.8909999999996</v>
      </c>
      <c r="I540" s="1" t="s">
        <v>24</v>
      </c>
      <c r="J540" s="1" t="s">
        <v>25</v>
      </c>
      <c r="K540" s="1" t="s">
        <v>26</v>
      </c>
    </row>
    <row r="541" spans="1:11" ht="12.75" customHeight="1" x14ac:dyDescent="0.2">
      <c r="A541" s="1" t="s">
        <v>782</v>
      </c>
      <c r="B541" s="1" t="s">
        <v>783</v>
      </c>
      <c r="C541" s="2">
        <v>6</v>
      </c>
      <c r="D541" s="2">
        <v>96</v>
      </c>
      <c r="E541" s="2">
        <v>0</v>
      </c>
      <c r="F541" s="2">
        <v>0</v>
      </c>
      <c r="G541" s="2">
        <v>328.20580000000001</v>
      </c>
      <c r="H541" s="3">
        <v>1969.2348</v>
      </c>
      <c r="I541" s="1" t="s">
        <v>330</v>
      </c>
      <c r="J541" s="1" t="s">
        <v>331</v>
      </c>
      <c r="K541" s="1" t="s">
        <v>332</v>
      </c>
    </row>
    <row r="542" spans="1:11" ht="12.75" customHeight="1" x14ac:dyDescent="0.2">
      <c r="A542" s="1" t="s">
        <v>784</v>
      </c>
      <c r="B542" s="1" t="s">
        <v>785</v>
      </c>
      <c r="C542" s="2">
        <v>7</v>
      </c>
      <c r="D542" s="2">
        <v>126</v>
      </c>
      <c r="E542" s="2">
        <v>0</v>
      </c>
      <c r="F542" s="2">
        <v>0</v>
      </c>
      <c r="G542" s="2">
        <v>369.36189999999999</v>
      </c>
      <c r="H542" s="3">
        <v>2585.5333000000001</v>
      </c>
      <c r="I542" s="1" t="s">
        <v>17</v>
      </c>
      <c r="J542" s="1" t="s">
        <v>18</v>
      </c>
      <c r="K542" s="1" t="s">
        <v>19</v>
      </c>
    </row>
    <row r="543" spans="1:11" ht="12.75" customHeight="1" x14ac:dyDescent="0.2">
      <c r="A543" s="1" t="s">
        <v>784</v>
      </c>
      <c r="B543" s="1" t="s">
        <v>785</v>
      </c>
      <c r="C543" s="2">
        <v>8</v>
      </c>
      <c r="D543" s="2">
        <v>144</v>
      </c>
      <c r="E543" s="2">
        <v>0</v>
      </c>
      <c r="F543" s="2">
        <v>0</v>
      </c>
      <c r="G543" s="2">
        <v>369.36189999999999</v>
      </c>
      <c r="H543" s="3">
        <v>2954.8951999999999</v>
      </c>
      <c r="I543" s="1" t="s">
        <v>330</v>
      </c>
      <c r="J543" s="1" t="s">
        <v>331</v>
      </c>
      <c r="K543" s="1" t="s">
        <v>332</v>
      </c>
    </row>
    <row r="544" spans="1:11" ht="12.75" customHeight="1" x14ac:dyDescent="0.2">
      <c r="A544" s="1" t="s">
        <v>786</v>
      </c>
      <c r="B544" s="1" t="s">
        <v>787</v>
      </c>
      <c r="C544" s="2">
        <v>23</v>
      </c>
      <c r="D544" s="2">
        <v>460</v>
      </c>
      <c r="E544" s="2">
        <v>0</v>
      </c>
      <c r="F544" s="2">
        <v>0</v>
      </c>
      <c r="G544" s="2">
        <v>410.2269</v>
      </c>
      <c r="H544" s="3">
        <v>9435.2186999999994</v>
      </c>
      <c r="I544" s="1" t="s">
        <v>24</v>
      </c>
      <c r="J544" s="1" t="s">
        <v>25</v>
      </c>
      <c r="K544" s="1" t="s">
        <v>26</v>
      </c>
    </row>
    <row r="545" spans="1:11" ht="12.75" customHeight="1" x14ac:dyDescent="0.2">
      <c r="A545" s="1" t="s">
        <v>786</v>
      </c>
      <c r="B545" s="1" t="s">
        <v>787</v>
      </c>
      <c r="C545" s="2">
        <v>1</v>
      </c>
      <c r="D545" s="2">
        <v>20</v>
      </c>
      <c r="E545" s="2">
        <v>0</v>
      </c>
      <c r="F545" s="2">
        <v>0</v>
      </c>
      <c r="G545" s="2">
        <v>410.2269</v>
      </c>
      <c r="H545" s="3">
        <v>410.2269</v>
      </c>
      <c r="I545" s="1" t="s">
        <v>330</v>
      </c>
      <c r="J545" s="1" t="s">
        <v>331</v>
      </c>
      <c r="K545" s="1" t="s">
        <v>332</v>
      </c>
    </row>
    <row r="546" spans="1:11" ht="12.75" customHeight="1" x14ac:dyDescent="0.2">
      <c r="A546" s="1" t="s">
        <v>786</v>
      </c>
      <c r="B546" s="1" t="s">
        <v>787</v>
      </c>
      <c r="C546" s="2">
        <v>2</v>
      </c>
      <c r="D546" s="2">
        <v>40</v>
      </c>
      <c r="E546" s="2">
        <v>0</v>
      </c>
      <c r="F546" s="2">
        <v>0</v>
      </c>
      <c r="G546" s="2">
        <v>410.2269</v>
      </c>
      <c r="H546" s="3">
        <v>820.4538</v>
      </c>
      <c r="I546" s="1" t="s">
        <v>454</v>
      </c>
      <c r="J546" s="1" t="s">
        <v>455</v>
      </c>
      <c r="K546" s="1" t="s">
        <v>456</v>
      </c>
    </row>
    <row r="547" spans="1:11" ht="12.75" customHeight="1" x14ac:dyDescent="0.2">
      <c r="A547" s="1" t="s">
        <v>788</v>
      </c>
      <c r="B547" s="1" t="s">
        <v>789</v>
      </c>
      <c r="C547" s="2">
        <v>5</v>
      </c>
      <c r="D547" s="2">
        <v>110</v>
      </c>
      <c r="E547" s="2">
        <v>0</v>
      </c>
      <c r="F547" s="2">
        <v>0</v>
      </c>
      <c r="G547" s="2">
        <v>451.30930000000001</v>
      </c>
      <c r="H547" s="3">
        <v>2256.5464999999999</v>
      </c>
      <c r="I547" s="1" t="s">
        <v>17</v>
      </c>
      <c r="J547" s="1" t="s">
        <v>18</v>
      </c>
      <c r="K547" s="1" t="s">
        <v>19</v>
      </c>
    </row>
    <row r="548" spans="1:11" ht="12.75" customHeight="1" x14ac:dyDescent="0.2">
      <c r="A548" s="1" t="s">
        <v>788</v>
      </c>
      <c r="B548" s="1" t="s">
        <v>789</v>
      </c>
      <c r="C548" s="2">
        <v>23</v>
      </c>
      <c r="D548" s="2">
        <v>506</v>
      </c>
      <c r="E548" s="2">
        <v>0</v>
      </c>
      <c r="F548" s="2">
        <v>0</v>
      </c>
      <c r="G548" s="2">
        <v>451.30930000000001</v>
      </c>
      <c r="H548" s="3">
        <v>10380.1139</v>
      </c>
      <c r="I548" s="1" t="s">
        <v>24</v>
      </c>
      <c r="J548" s="1" t="s">
        <v>25</v>
      </c>
      <c r="K548" s="1" t="s">
        <v>26</v>
      </c>
    </row>
    <row r="549" spans="1:11" ht="12.75" customHeight="1" x14ac:dyDescent="0.2">
      <c r="A549" s="1" t="s">
        <v>788</v>
      </c>
      <c r="B549" s="1" t="s">
        <v>789</v>
      </c>
      <c r="C549" s="2">
        <v>10</v>
      </c>
      <c r="D549" s="2">
        <v>220</v>
      </c>
      <c r="E549" s="2">
        <v>0</v>
      </c>
      <c r="F549" s="2">
        <v>0</v>
      </c>
      <c r="G549" s="2">
        <v>451.30930000000001</v>
      </c>
      <c r="H549" s="3">
        <v>4513.0929999999998</v>
      </c>
      <c r="I549" s="1" t="s">
        <v>330</v>
      </c>
      <c r="J549" s="1" t="s">
        <v>331</v>
      </c>
      <c r="K549" s="1" t="s">
        <v>332</v>
      </c>
    </row>
    <row r="550" spans="1:11" ht="12.75" customHeight="1" x14ac:dyDescent="0.2">
      <c r="A550" s="1" t="s">
        <v>791</v>
      </c>
      <c r="B550" s="1" t="s">
        <v>792</v>
      </c>
      <c r="C550" s="2">
        <v>14</v>
      </c>
      <c r="D550" s="2">
        <v>196</v>
      </c>
      <c r="E550" s="2">
        <v>0</v>
      </c>
      <c r="F550" s="2">
        <v>0</v>
      </c>
      <c r="G550" s="2">
        <v>378.58499999999998</v>
      </c>
      <c r="H550" s="3">
        <v>5300.19</v>
      </c>
      <c r="I550" s="1" t="s">
        <v>17</v>
      </c>
      <c r="J550" s="1" t="s">
        <v>18</v>
      </c>
      <c r="K550" s="1" t="s">
        <v>19</v>
      </c>
    </row>
    <row r="551" spans="1:11" ht="12.75" customHeight="1" x14ac:dyDescent="0.2">
      <c r="A551" s="1" t="s">
        <v>793</v>
      </c>
      <c r="B551" s="1" t="s">
        <v>794</v>
      </c>
      <c r="C551" s="2">
        <v>36</v>
      </c>
      <c r="D551" s="2">
        <v>0</v>
      </c>
      <c r="E551" s="2">
        <v>0</v>
      </c>
      <c r="F551" s="2">
        <v>0</v>
      </c>
      <c r="G551" s="2">
        <v>486.70330000000001</v>
      </c>
      <c r="H551" s="3">
        <v>17521.318800000001</v>
      </c>
      <c r="I551" s="1" t="s">
        <v>17</v>
      </c>
      <c r="J551" s="1" t="s">
        <v>18</v>
      </c>
      <c r="K551" s="1" t="s">
        <v>19</v>
      </c>
    </row>
    <row r="552" spans="1:11" ht="12.75" customHeight="1" x14ac:dyDescent="0.2">
      <c r="A552" s="1" t="s">
        <v>795</v>
      </c>
      <c r="B552" s="1" t="s">
        <v>796</v>
      </c>
      <c r="C552" s="2">
        <v>30</v>
      </c>
      <c r="D552" s="2">
        <v>600</v>
      </c>
      <c r="E552" s="2">
        <v>0</v>
      </c>
      <c r="F552" s="2">
        <v>0</v>
      </c>
      <c r="G552" s="2">
        <v>540.68880000000001</v>
      </c>
      <c r="H552" s="3">
        <v>16220.664000000001</v>
      </c>
      <c r="I552" s="1" t="s">
        <v>17</v>
      </c>
      <c r="J552" s="1" t="s">
        <v>18</v>
      </c>
      <c r="K552" s="1" t="s">
        <v>19</v>
      </c>
    </row>
    <row r="553" spans="1:11" ht="12.75" customHeight="1" x14ac:dyDescent="0.2">
      <c r="A553" s="1" t="s">
        <v>797</v>
      </c>
      <c r="B553" s="1" t="s">
        <v>798</v>
      </c>
      <c r="C553" s="2">
        <v>22</v>
      </c>
      <c r="D553" s="2">
        <v>484</v>
      </c>
      <c r="E553" s="2">
        <v>0</v>
      </c>
      <c r="F553" s="2">
        <v>0</v>
      </c>
      <c r="G553" s="2">
        <v>594.84900000000005</v>
      </c>
      <c r="H553" s="3">
        <v>13086.678</v>
      </c>
      <c r="I553" s="1" t="s">
        <v>17</v>
      </c>
      <c r="J553" s="1" t="s">
        <v>18</v>
      </c>
      <c r="K553" s="1" t="s">
        <v>19</v>
      </c>
    </row>
    <row r="554" spans="1:11" ht="12.75" customHeight="1" x14ac:dyDescent="0.2">
      <c r="A554" s="1" t="s">
        <v>799</v>
      </c>
      <c r="B554" s="1" t="s">
        <v>800</v>
      </c>
      <c r="C554" s="2">
        <v>1</v>
      </c>
      <c r="D554" s="2">
        <v>10</v>
      </c>
      <c r="E554" s="2">
        <v>0</v>
      </c>
      <c r="F554" s="2">
        <v>0</v>
      </c>
      <c r="G554" s="2">
        <v>355.18520000000001</v>
      </c>
      <c r="H554" s="3">
        <v>355.18520000000001</v>
      </c>
      <c r="I554" s="1" t="s">
        <v>17</v>
      </c>
      <c r="J554" s="1" t="s">
        <v>18</v>
      </c>
      <c r="K554" s="1" t="s">
        <v>19</v>
      </c>
    </row>
    <row r="555" spans="1:11" ht="12.75" customHeight="1" x14ac:dyDescent="0.2">
      <c r="A555" s="1" t="s">
        <v>801</v>
      </c>
      <c r="B555" s="1" t="s">
        <v>802</v>
      </c>
      <c r="C555" s="2">
        <v>5</v>
      </c>
      <c r="D555" s="2">
        <v>60</v>
      </c>
      <c r="E555" s="2">
        <v>0</v>
      </c>
      <c r="F555" s="2">
        <v>0</v>
      </c>
      <c r="G555" s="2">
        <v>427.60160000000002</v>
      </c>
      <c r="H555" s="3">
        <v>2138.0079999999998</v>
      </c>
      <c r="I555" s="1" t="s">
        <v>17</v>
      </c>
      <c r="J555" s="1" t="s">
        <v>18</v>
      </c>
      <c r="K555" s="1" t="s">
        <v>19</v>
      </c>
    </row>
    <row r="556" spans="1:11" ht="12.75" customHeight="1" x14ac:dyDescent="0.2">
      <c r="A556" s="1" t="s">
        <v>803</v>
      </c>
      <c r="B556" s="1" t="s">
        <v>804</v>
      </c>
      <c r="C556" s="2">
        <v>17</v>
      </c>
      <c r="D556" s="2">
        <v>238</v>
      </c>
      <c r="E556" s="2">
        <v>0</v>
      </c>
      <c r="F556" s="2">
        <v>0</v>
      </c>
      <c r="G556" s="2">
        <v>499.06009999999998</v>
      </c>
      <c r="H556" s="3">
        <v>8484.0216999999993</v>
      </c>
      <c r="I556" s="1" t="s">
        <v>17</v>
      </c>
      <c r="J556" s="1" t="s">
        <v>18</v>
      </c>
      <c r="K556" s="1" t="s">
        <v>19</v>
      </c>
    </row>
    <row r="557" spans="1:11" ht="12.75" customHeight="1" x14ac:dyDescent="0.2">
      <c r="A557" s="1" t="s">
        <v>805</v>
      </c>
      <c r="B557" s="1" t="s">
        <v>806</v>
      </c>
      <c r="C557" s="2">
        <v>31</v>
      </c>
      <c r="D557" s="2">
        <v>620</v>
      </c>
      <c r="E557" s="2">
        <v>0</v>
      </c>
      <c r="F557" s="2">
        <v>0</v>
      </c>
      <c r="G557" s="2">
        <v>712.87829999999997</v>
      </c>
      <c r="H557" s="3">
        <v>22099.227299999999</v>
      </c>
      <c r="I557" s="1" t="s">
        <v>17</v>
      </c>
      <c r="J557" s="1" t="s">
        <v>18</v>
      </c>
      <c r="K557" s="1" t="s">
        <v>19</v>
      </c>
    </row>
    <row r="558" spans="1:11" ht="12.75" customHeight="1" x14ac:dyDescent="0.2">
      <c r="A558" s="1" t="s">
        <v>807</v>
      </c>
      <c r="B558" s="1" t="s">
        <v>808</v>
      </c>
      <c r="C558" s="2">
        <v>10</v>
      </c>
      <c r="D558" s="2">
        <v>120</v>
      </c>
      <c r="E558" s="2">
        <v>0</v>
      </c>
      <c r="F558" s="2">
        <v>0</v>
      </c>
      <c r="G558" s="2">
        <v>68.654499999999999</v>
      </c>
      <c r="H558" s="3">
        <v>686.54499999999996</v>
      </c>
      <c r="I558" s="1" t="s">
        <v>125</v>
      </c>
      <c r="J558" s="1" t="s">
        <v>126</v>
      </c>
      <c r="K558" s="1" t="s">
        <v>127</v>
      </c>
    </row>
    <row r="559" spans="1:11" ht="12.75" customHeight="1" x14ac:dyDescent="0.2">
      <c r="A559" s="1" t="s">
        <v>809</v>
      </c>
      <c r="B559" s="1" t="s">
        <v>810</v>
      </c>
      <c r="C559" s="2">
        <v>33</v>
      </c>
      <c r="D559" s="2">
        <v>660</v>
      </c>
      <c r="E559" s="2">
        <v>0</v>
      </c>
      <c r="F559" s="2">
        <v>0</v>
      </c>
      <c r="G559" s="2">
        <v>114.4395</v>
      </c>
      <c r="H559" s="3">
        <v>3776.5034999999998</v>
      </c>
      <c r="I559" s="1" t="s">
        <v>125</v>
      </c>
      <c r="J559" s="1" t="s">
        <v>126</v>
      </c>
      <c r="K559" s="1" t="s">
        <v>127</v>
      </c>
    </row>
    <row r="560" spans="1:11" ht="12.75" customHeight="1" x14ac:dyDescent="0.2">
      <c r="A560" s="1" t="s">
        <v>811</v>
      </c>
      <c r="B560" s="1" t="s">
        <v>812</v>
      </c>
      <c r="C560" s="2">
        <v>781</v>
      </c>
      <c r="D560" s="2">
        <v>7810</v>
      </c>
      <c r="E560" s="2">
        <v>0</v>
      </c>
      <c r="F560" s="2">
        <v>0</v>
      </c>
      <c r="G560" s="2">
        <v>5.2891000000000004</v>
      </c>
      <c r="H560" s="3">
        <v>4130.7870999999996</v>
      </c>
      <c r="I560" s="1" t="s">
        <v>17</v>
      </c>
      <c r="J560" s="1" t="s">
        <v>18</v>
      </c>
      <c r="K560" s="1" t="s">
        <v>19</v>
      </c>
    </row>
    <row r="561" spans="1:11" ht="12.75" customHeight="1" x14ac:dyDescent="0.2">
      <c r="A561" s="1" t="s">
        <v>813</v>
      </c>
      <c r="B561" s="1" t="s">
        <v>814</v>
      </c>
      <c r="C561" s="2">
        <v>591</v>
      </c>
      <c r="D561" s="2">
        <v>6501</v>
      </c>
      <c r="E561" s="2">
        <v>0</v>
      </c>
      <c r="F561" s="2">
        <v>0</v>
      </c>
      <c r="G561" s="2">
        <v>5.7961</v>
      </c>
      <c r="H561" s="3">
        <v>3425.4951000000001</v>
      </c>
      <c r="I561" s="1" t="s">
        <v>17</v>
      </c>
      <c r="J561" s="1" t="s">
        <v>18</v>
      </c>
      <c r="K561" s="1" t="s">
        <v>19</v>
      </c>
    </row>
    <row r="562" spans="1:11" ht="12.75" customHeight="1" x14ac:dyDescent="0.2">
      <c r="A562" s="1" t="s">
        <v>815</v>
      </c>
      <c r="B562" s="1" t="s">
        <v>816</v>
      </c>
      <c r="C562" s="2">
        <v>221</v>
      </c>
      <c r="D562" s="2">
        <v>2652</v>
      </c>
      <c r="E562" s="2">
        <v>0</v>
      </c>
      <c r="F562" s="2">
        <v>0</v>
      </c>
      <c r="G562" s="2">
        <v>7.2923</v>
      </c>
      <c r="H562" s="3">
        <v>1611.5983000000001</v>
      </c>
      <c r="I562" s="1" t="s">
        <v>17</v>
      </c>
      <c r="J562" s="1" t="s">
        <v>18</v>
      </c>
      <c r="K562" s="1" t="s">
        <v>19</v>
      </c>
    </row>
    <row r="563" spans="1:11" ht="12.75" customHeight="1" x14ac:dyDescent="0.2">
      <c r="A563" s="1" t="s">
        <v>817</v>
      </c>
      <c r="B563" s="1" t="s">
        <v>818</v>
      </c>
      <c r="C563" s="2">
        <v>244</v>
      </c>
      <c r="D563" s="2">
        <v>3172</v>
      </c>
      <c r="E563" s="2">
        <v>0</v>
      </c>
      <c r="F563" s="2">
        <v>0</v>
      </c>
      <c r="G563" s="2">
        <v>7.9057000000000004</v>
      </c>
      <c r="H563" s="3">
        <v>1928.9908</v>
      </c>
      <c r="I563" s="1" t="s">
        <v>17</v>
      </c>
      <c r="J563" s="1" t="s">
        <v>18</v>
      </c>
      <c r="K563" s="1" t="s">
        <v>19</v>
      </c>
    </row>
    <row r="564" spans="1:11" ht="12.75" customHeight="1" x14ac:dyDescent="0.2">
      <c r="A564" s="1" t="s">
        <v>819</v>
      </c>
      <c r="B564" s="1" t="s">
        <v>820</v>
      </c>
      <c r="C564" s="2">
        <v>123</v>
      </c>
      <c r="D564" s="2">
        <v>1722</v>
      </c>
      <c r="E564" s="2">
        <v>0</v>
      </c>
      <c r="F564" s="2">
        <v>0</v>
      </c>
      <c r="G564" s="2">
        <v>8.5243000000000002</v>
      </c>
      <c r="H564" s="3">
        <v>1048.4889000000001</v>
      </c>
      <c r="I564" s="1" t="s">
        <v>17</v>
      </c>
      <c r="J564" s="1" t="s">
        <v>18</v>
      </c>
      <c r="K564" s="1" t="s">
        <v>19</v>
      </c>
    </row>
    <row r="565" spans="1:11" ht="12.75" customHeight="1" x14ac:dyDescent="0.2">
      <c r="A565" s="1" t="s">
        <v>821</v>
      </c>
      <c r="B565" s="1" t="s">
        <v>822</v>
      </c>
      <c r="C565" s="2">
        <v>128</v>
      </c>
      <c r="D565" s="2">
        <v>1920</v>
      </c>
      <c r="E565" s="2">
        <v>0</v>
      </c>
      <c r="F565" s="2">
        <v>0</v>
      </c>
      <c r="G565" s="2">
        <v>9.1171000000000006</v>
      </c>
      <c r="H565" s="3">
        <v>1166.9888000000001</v>
      </c>
      <c r="I565" s="1" t="s">
        <v>17</v>
      </c>
      <c r="J565" s="1" t="s">
        <v>18</v>
      </c>
      <c r="K565" s="1" t="s">
        <v>19</v>
      </c>
    </row>
    <row r="566" spans="1:11" ht="12.75" customHeight="1" x14ac:dyDescent="0.2">
      <c r="A566" s="1" t="s">
        <v>823</v>
      </c>
      <c r="B566" s="1" t="s">
        <v>824</v>
      </c>
      <c r="C566" s="2">
        <v>201</v>
      </c>
      <c r="D566" s="2">
        <v>3216</v>
      </c>
      <c r="E566" s="2">
        <v>0</v>
      </c>
      <c r="F566" s="2">
        <v>0</v>
      </c>
      <c r="G566" s="2">
        <v>9.7312999999999992</v>
      </c>
      <c r="H566" s="3">
        <v>1955.9912999999999</v>
      </c>
      <c r="I566" s="1" t="s">
        <v>17</v>
      </c>
      <c r="J566" s="1" t="s">
        <v>18</v>
      </c>
      <c r="K566" s="1" t="s">
        <v>19</v>
      </c>
    </row>
    <row r="567" spans="1:11" ht="12.75" customHeight="1" x14ac:dyDescent="0.2">
      <c r="A567" s="1" t="s">
        <v>825</v>
      </c>
      <c r="B567" s="1" t="s">
        <v>826</v>
      </c>
      <c r="C567" s="2">
        <v>102</v>
      </c>
      <c r="D567" s="2">
        <v>1734</v>
      </c>
      <c r="E567" s="2">
        <v>0</v>
      </c>
      <c r="F567" s="2">
        <v>0</v>
      </c>
      <c r="G567" s="2">
        <v>10.338200000000001</v>
      </c>
      <c r="H567" s="3">
        <v>1054.4964</v>
      </c>
      <c r="I567" s="1" t="s">
        <v>17</v>
      </c>
      <c r="J567" s="1" t="s">
        <v>18</v>
      </c>
      <c r="K567" s="1" t="s">
        <v>19</v>
      </c>
    </row>
    <row r="568" spans="1:11" ht="12.75" customHeight="1" x14ac:dyDescent="0.2">
      <c r="A568" s="1" t="s">
        <v>827</v>
      </c>
      <c r="B568" s="1" t="s">
        <v>828</v>
      </c>
      <c r="C568" s="2">
        <v>124</v>
      </c>
      <c r="D568" s="2">
        <v>2232</v>
      </c>
      <c r="E568" s="2">
        <v>0</v>
      </c>
      <c r="F568" s="2">
        <v>0</v>
      </c>
      <c r="G568" s="2">
        <v>10.9354</v>
      </c>
      <c r="H568" s="3">
        <v>1355.9896000000001</v>
      </c>
      <c r="I568" s="1" t="s">
        <v>17</v>
      </c>
      <c r="J568" s="1" t="s">
        <v>18</v>
      </c>
      <c r="K568" s="1" t="s">
        <v>19</v>
      </c>
    </row>
    <row r="569" spans="1:11" ht="12.75" customHeight="1" x14ac:dyDescent="0.2">
      <c r="A569" s="1" t="s">
        <v>829</v>
      </c>
      <c r="B569" s="1" t="s">
        <v>830</v>
      </c>
      <c r="C569" s="2">
        <v>72</v>
      </c>
      <c r="D569" s="2">
        <v>1368</v>
      </c>
      <c r="E569" s="2">
        <v>0</v>
      </c>
      <c r="F569" s="2">
        <v>0</v>
      </c>
      <c r="G569" s="2">
        <v>11.5625</v>
      </c>
      <c r="H569" s="3">
        <v>832.5</v>
      </c>
      <c r="I569" s="1" t="s">
        <v>17</v>
      </c>
      <c r="J569" s="1" t="s">
        <v>18</v>
      </c>
      <c r="K569" s="1" t="s">
        <v>19</v>
      </c>
    </row>
    <row r="570" spans="1:11" ht="12.75" customHeight="1" x14ac:dyDescent="0.2">
      <c r="A570" s="1" t="s">
        <v>831</v>
      </c>
      <c r="B570" s="1" t="s">
        <v>832</v>
      </c>
      <c r="C570" s="2">
        <v>120</v>
      </c>
      <c r="D570" s="2">
        <v>2400</v>
      </c>
      <c r="E570" s="2">
        <v>0</v>
      </c>
      <c r="F570" s="2">
        <v>0</v>
      </c>
      <c r="G570" s="2">
        <v>12.15</v>
      </c>
      <c r="H570" s="3">
        <v>1458</v>
      </c>
      <c r="I570" s="1" t="s">
        <v>17</v>
      </c>
      <c r="J570" s="1" t="s">
        <v>18</v>
      </c>
      <c r="K570" s="1" t="s">
        <v>19</v>
      </c>
    </row>
    <row r="571" spans="1:11" ht="12.75" customHeight="1" x14ac:dyDescent="0.2">
      <c r="A571" s="1" t="s">
        <v>833</v>
      </c>
      <c r="B571" s="1" t="s">
        <v>834</v>
      </c>
      <c r="C571" s="2">
        <v>2</v>
      </c>
      <c r="D571" s="2">
        <v>42</v>
      </c>
      <c r="E571" s="2">
        <v>0</v>
      </c>
      <c r="F571" s="2">
        <v>0</v>
      </c>
      <c r="G571" s="2">
        <v>12.75</v>
      </c>
      <c r="H571" s="3">
        <v>25.5</v>
      </c>
      <c r="I571" s="1" t="s">
        <v>17</v>
      </c>
      <c r="J571" s="1" t="s">
        <v>18</v>
      </c>
      <c r="K571" s="1" t="s">
        <v>19</v>
      </c>
    </row>
    <row r="572" spans="1:11" ht="12.75" customHeight="1" x14ac:dyDescent="0.2">
      <c r="A572" s="1" t="s">
        <v>835</v>
      </c>
      <c r="B572" s="1" t="s">
        <v>836</v>
      </c>
      <c r="C572" s="2">
        <v>8</v>
      </c>
      <c r="D572" s="2">
        <v>176</v>
      </c>
      <c r="E572" s="2">
        <v>0</v>
      </c>
      <c r="F572" s="2">
        <v>0</v>
      </c>
      <c r="G572" s="2">
        <v>13.3125</v>
      </c>
      <c r="H572" s="3">
        <v>106.5</v>
      </c>
      <c r="I572" s="1" t="s">
        <v>17</v>
      </c>
      <c r="J572" s="1" t="s">
        <v>18</v>
      </c>
      <c r="K572" s="1" t="s">
        <v>19</v>
      </c>
    </row>
    <row r="573" spans="1:11" ht="12.75" customHeight="1" x14ac:dyDescent="0.2">
      <c r="A573" s="1" t="s">
        <v>837</v>
      </c>
      <c r="B573" s="1" t="s">
        <v>838</v>
      </c>
      <c r="C573" s="2">
        <v>537</v>
      </c>
      <c r="D573" s="2">
        <v>3222</v>
      </c>
      <c r="E573" s="2">
        <v>0</v>
      </c>
      <c r="F573" s="2">
        <v>0</v>
      </c>
      <c r="G573" s="2">
        <v>2.6745999999999999</v>
      </c>
      <c r="H573" s="3">
        <v>1436.2601999999999</v>
      </c>
      <c r="I573" s="1" t="s">
        <v>17</v>
      </c>
      <c r="J573" s="1" t="s">
        <v>18</v>
      </c>
      <c r="K573" s="1" t="s">
        <v>19</v>
      </c>
    </row>
    <row r="574" spans="1:11" ht="12.75" customHeight="1" x14ac:dyDescent="0.2">
      <c r="A574" s="1" t="s">
        <v>839</v>
      </c>
      <c r="B574" s="1" t="s">
        <v>840</v>
      </c>
      <c r="C574" s="2">
        <v>518</v>
      </c>
      <c r="D574" s="2">
        <v>3626</v>
      </c>
      <c r="E574" s="2">
        <v>0</v>
      </c>
      <c r="F574" s="2">
        <v>0</v>
      </c>
      <c r="G574" s="2">
        <v>3.1513</v>
      </c>
      <c r="H574" s="3">
        <v>1632.3733999999999</v>
      </c>
      <c r="I574" s="1" t="s">
        <v>17</v>
      </c>
      <c r="J574" s="1" t="s">
        <v>18</v>
      </c>
      <c r="K574" s="1" t="s">
        <v>19</v>
      </c>
    </row>
    <row r="575" spans="1:11" ht="12.75" customHeight="1" x14ac:dyDescent="0.2">
      <c r="A575" s="1" t="s">
        <v>841</v>
      </c>
      <c r="B575" s="1" t="s">
        <v>842</v>
      </c>
      <c r="C575" s="2">
        <v>1441</v>
      </c>
      <c r="D575" s="2">
        <v>11528</v>
      </c>
      <c r="E575" s="2">
        <v>0</v>
      </c>
      <c r="F575" s="2">
        <v>0</v>
      </c>
      <c r="G575" s="2">
        <v>4.2264999999999997</v>
      </c>
      <c r="H575" s="3">
        <v>6090.3864999999996</v>
      </c>
      <c r="I575" s="1" t="s">
        <v>17</v>
      </c>
      <c r="J575" s="1" t="s">
        <v>18</v>
      </c>
      <c r="K575" s="1" t="s">
        <v>19</v>
      </c>
    </row>
    <row r="576" spans="1:11" ht="12.75" customHeight="1" x14ac:dyDescent="0.2">
      <c r="A576" s="1" t="s">
        <v>843</v>
      </c>
      <c r="B576" s="1" t="s">
        <v>844</v>
      </c>
      <c r="C576" s="2">
        <v>736</v>
      </c>
      <c r="D576" s="2">
        <v>6624</v>
      </c>
      <c r="E576" s="2">
        <v>0</v>
      </c>
      <c r="F576" s="2">
        <v>0</v>
      </c>
      <c r="G576" s="2">
        <v>4.7416</v>
      </c>
      <c r="H576" s="3">
        <v>3489.8175999999999</v>
      </c>
      <c r="I576" s="1" t="s">
        <v>17</v>
      </c>
      <c r="J576" s="1" t="s">
        <v>18</v>
      </c>
      <c r="K576" s="1" t="s">
        <v>19</v>
      </c>
    </row>
    <row r="577" spans="1:11" ht="12.75" customHeight="1" x14ac:dyDescent="0.2">
      <c r="A577" s="1" t="s">
        <v>845</v>
      </c>
      <c r="B577" s="1" t="s">
        <v>6226</v>
      </c>
      <c r="C577" s="2">
        <v>440</v>
      </c>
      <c r="D577" s="2">
        <v>4400</v>
      </c>
      <c r="E577" s="2">
        <v>0</v>
      </c>
      <c r="F577" s="2">
        <v>220</v>
      </c>
      <c r="G577" s="2">
        <v>9.6179000000000006</v>
      </c>
      <c r="H577" s="3">
        <v>4231.8760000000002</v>
      </c>
      <c r="I577" s="1" t="s">
        <v>24</v>
      </c>
      <c r="J577" s="1" t="s">
        <v>25</v>
      </c>
      <c r="K577" s="1" t="s">
        <v>26</v>
      </c>
    </row>
    <row r="578" spans="1:11" ht="12.75" customHeight="1" x14ac:dyDescent="0.2">
      <c r="A578" s="1" t="s">
        <v>845</v>
      </c>
      <c r="B578" s="1" t="s">
        <v>6226</v>
      </c>
      <c r="C578" s="2">
        <v>565</v>
      </c>
      <c r="D578" s="2">
        <v>5650</v>
      </c>
      <c r="E578" s="2">
        <v>0</v>
      </c>
      <c r="F578" s="2">
        <v>70</v>
      </c>
      <c r="G578" s="2">
        <v>8.7197999999999993</v>
      </c>
      <c r="H578" s="3">
        <v>4926.6869999999999</v>
      </c>
      <c r="I578" s="1" t="s">
        <v>125</v>
      </c>
      <c r="J578" s="1" t="s">
        <v>126</v>
      </c>
      <c r="K578" s="1" t="s">
        <v>127</v>
      </c>
    </row>
    <row r="579" spans="1:11" ht="12.75" customHeight="1" x14ac:dyDescent="0.2">
      <c r="A579" s="1" t="s">
        <v>845</v>
      </c>
      <c r="B579" s="1" t="s">
        <v>6226</v>
      </c>
      <c r="C579" s="2">
        <v>2367</v>
      </c>
      <c r="D579" s="2">
        <v>23670</v>
      </c>
      <c r="E579" s="2">
        <v>0</v>
      </c>
      <c r="F579" s="2">
        <v>242</v>
      </c>
      <c r="G579" s="2">
        <v>8.5963999999999992</v>
      </c>
      <c r="H579" s="3">
        <v>20347.678800000002</v>
      </c>
      <c r="I579" s="1" t="s">
        <v>330</v>
      </c>
      <c r="J579" s="1" t="s">
        <v>331</v>
      </c>
      <c r="K579" s="1" t="s">
        <v>332</v>
      </c>
    </row>
    <row r="580" spans="1:11" ht="12.75" customHeight="1" x14ac:dyDescent="0.2">
      <c r="A580" s="1" t="s">
        <v>846</v>
      </c>
      <c r="B580" s="1" t="s">
        <v>6227</v>
      </c>
      <c r="C580" s="2">
        <v>311</v>
      </c>
      <c r="D580" s="2">
        <v>3732</v>
      </c>
      <c r="E580" s="2">
        <v>0</v>
      </c>
      <c r="F580" s="2">
        <v>121</v>
      </c>
      <c r="G580" s="2">
        <v>17.518699999999999</v>
      </c>
      <c r="H580" s="3">
        <v>5448.3157000000001</v>
      </c>
      <c r="I580" s="1" t="s">
        <v>24</v>
      </c>
      <c r="J580" s="1" t="s">
        <v>25</v>
      </c>
      <c r="K580" s="1" t="s">
        <v>26</v>
      </c>
    </row>
    <row r="581" spans="1:11" ht="12.75" customHeight="1" x14ac:dyDescent="0.2">
      <c r="A581" s="1" t="s">
        <v>846</v>
      </c>
      <c r="B581" s="1" t="s">
        <v>6227</v>
      </c>
      <c r="C581" s="2">
        <v>169</v>
      </c>
      <c r="D581" s="2">
        <v>2028</v>
      </c>
      <c r="E581" s="2">
        <v>0</v>
      </c>
      <c r="F581" s="2">
        <v>0</v>
      </c>
      <c r="G581" s="2">
        <v>17.518699999999999</v>
      </c>
      <c r="H581" s="3">
        <v>2960.6603</v>
      </c>
      <c r="I581" s="1" t="s">
        <v>125</v>
      </c>
      <c r="J581" s="1" t="s">
        <v>126</v>
      </c>
      <c r="K581" s="1" t="s">
        <v>127</v>
      </c>
    </row>
    <row r="582" spans="1:11" ht="12.75" customHeight="1" x14ac:dyDescent="0.2">
      <c r="A582" s="1" t="s">
        <v>847</v>
      </c>
      <c r="B582" s="1" t="s">
        <v>848</v>
      </c>
      <c r="C582" s="2">
        <v>82</v>
      </c>
      <c r="D582" s="2">
        <v>1476</v>
      </c>
      <c r="E582" s="2">
        <v>0</v>
      </c>
      <c r="F582" s="2">
        <v>82</v>
      </c>
      <c r="G582" s="2">
        <v>26.538599999999999</v>
      </c>
      <c r="H582" s="3">
        <v>2176.1651999999999</v>
      </c>
      <c r="I582" s="1" t="s">
        <v>24</v>
      </c>
      <c r="J582" s="1" t="s">
        <v>25</v>
      </c>
      <c r="K582" s="1" t="s">
        <v>26</v>
      </c>
    </row>
    <row r="583" spans="1:11" ht="12.75" customHeight="1" x14ac:dyDescent="0.2">
      <c r="A583" s="1" t="s">
        <v>849</v>
      </c>
      <c r="B583" s="1" t="s">
        <v>6228</v>
      </c>
      <c r="C583" s="2">
        <v>14</v>
      </c>
      <c r="D583" s="2">
        <v>280</v>
      </c>
      <c r="E583" s="2">
        <v>0</v>
      </c>
      <c r="F583" s="2">
        <v>0</v>
      </c>
      <c r="G583" s="2">
        <v>29.285799999999998</v>
      </c>
      <c r="H583" s="3">
        <v>410.00119999999998</v>
      </c>
      <c r="I583" s="1" t="s">
        <v>125</v>
      </c>
      <c r="J583" s="1" t="s">
        <v>126</v>
      </c>
      <c r="K583" s="1" t="s">
        <v>127</v>
      </c>
    </row>
    <row r="584" spans="1:11" ht="12.75" customHeight="1" x14ac:dyDescent="0.2">
      <c r="A584" s="1" t="s">
        <v>850</v>
      </c>
      <c r="B584" s="1" t="s">
        <v>6229</v>
      </c>
      <c r="C584" s="2">
        <v>130</v>
      </c>
      <c r="D584" s="2">
        <v>1040</v>
      </c>
      <c r="E584" s="2">
        <v>0</v>
      </c>
      <c r="F584" s="2">
        <v>0</v>
      </c>
      <c r="G584" s="2">
        <v>6.9595000000000002</v>
      </c>
      <c r="H584" s="3">
        <v>904.73500000000001</v>
      </c>
      <c r="I584" s="1" t="s">
        <v>17</v>
      </c>
      <c r="J584" s="1" t="s">
        <v>18</v>
      </c>
      <c r="K584" s="1" t="s">
        <v>19</v>
      </c>
    </row>
    <row r="585" spans="1:11" ht="12.75" customHeight="1" x14ac:dyDescent="0.2">
      <c r="A585" s="1" t="s">
        <v>850</v>
      </c>
      <c r="B585" s="1" t="s">
        <v>6229</v>
      </c>
      <c r="C585" s="2">
        <v>623</v>
      </c>
      <c r="D585" s="2">
        <v>4984</v>
      </c>
      <c r="E585" s="2">
        <v>0</v>
      </c>
      <c r="F585" s="2">
        <v>297</v>
      </c>
      <c r="G585" s="2">
        <v>6.6677999999999997</v>
      </c>
      <c r="H585" s="3">
        <v>4154.0393999999997</v>
      </c>
      <c r="I585" s="1" t="s">
        <v>125</v>
      </c>
      <c r="J585" s="1" t="s">
        <v>126</v>
      </c>
      <c r="K585" s="1" t="s">
        <v>127</v>
      </c>
    </row>
    <row r="586" spans="1:11" ht="12.75" customHeight="1" x14ac:dyDescent="0.2">
      <c r="A586" s="1" t="s">
        <v>850</v>
      </c>
      <c r="B586" s="1" t="s">
        <v>6229</v>
      </c>
      <c r="C586" s="2">
        <v>2553</v>
      </c>
      <c r="D586" s="2">
        <v>20424</v>
      </c>
      <c r="E586" s="2">
        <v>0</v>
      </c>
      <c r="F586" s="2">
        <v>242</v>
      </c>
      <c r="G586" s="2">
        <v>6.6677999999999997</v>
      </c>
      <c r="H586" s="3">
        <v>17022.893400000001</v>
      </c>
      <c r="I586" s="1" t="s">
        <v>330</v>
      </c>
      <c r="J586" s="1" t="s">
        <v>331</v>
      </c>
      <c r="K586" s="1" t="s">
        <v>332</v>
      </c>
    </row>
    <row r="587" spans="1:11" ht="12.75" customHeight="1" x14ac:dyDescent="0.2">
      <c r="A587" s="1" t="s">
        <v>851</v>
      </c>
      <c r="B587" s="1" t="s">
        <v>852</v>
      </c>
      <c r="C587" s="2">
        <v>25</v>
      </c>
      <c r="D587" s="2">
        <v>250</v>
      </c>
      <c r="E587" s="2">
        <v>0</v>
      </c>
      <c r="F587" s="2">
        <v>0</v>
      </c>
      <c r="G587" s="2">
        <v>31.818300000000001</v>
      </c>
      <c r="H587" s="3">
        <v>795.45749999999998</v>
      </c>
      <c r="I587" s="1" t="s">
        <v>17</v>
      </c>
      <c r="J587" s="1" t="s">
        <v>18</v>
      </c>
      <c r="K587" s="1" t="s">
        <v>19</v>
      </c>
    </row>
    <row r="588" spans="1:11" ht="12.75" customHeight="1" x14ac:dyDescent="0.2">
      <c r="A588" s="1" t="s">
        <v>851</v>
      </c>
      <c r="B588" s="1" t="s">
        <v>852</v>
      </c>
      <c r="C588" s="2">
        <v>397</v>
      </c>
      <c r="D588" s="2">
        <v>3970</v>
      </c>
      <c r="E588" s="2">
        <v>0</v>
      </c>
      <c r="F588" s="2">
        <v>0</v>
      </c>
      <c r="G588" s="2">
        <v>28.897300000000001</v>
      </c>
      <c r="H588" s="3">
        <v>11472.2281</v>
      </c>
      <c r="I588" s="1" t="s">
        <v>24</v>
      </c>
      <c r="J588" s="1" t="s">
        <v>25</v>
      </c>
      <c r="K588" s="1" t="s">
        <v>26</v>
      </c>
    </row>
    <row r="589" spans="1:11" ht="12.75" customHeight="1" x14ac:dyDescent="0.2">
      <c r="A589" s="1" t="s">
        <v>851</v>
      </c>
      <c r="B589" s="1" t="s">
        <v>852</v>
      </c>
      <c r="C589" s="2">
        <v>1691</v>
      </c>
      <c r="D589" s="2">
        <v>16910</v>
      </c>
      <c r="E589" s="2">
        <v>0</v>
      </c>
      <c r="F589" s="2">
        <v>0</v>
      </c>
      <c r="G589" s="2">
        <v>31.3035</v>
      </c>
      <c r="H589" s="3">
        <v>52934.218500000003</v>
      </c>
      <c r="I589" s="1" t="s">
        <v>330</v>
      </c>
      <c r="J589" s="1" t="s">
        <v>331</v>
      </c>
      <c r="K589" s="1" t="s">
        <v>332</v>
      </c>
    </row>
    <row r="590" spans="1:11" ht="12.75" customHeight="1" x14ac:dyDescent="0.2">
      <c r="A590" s="1" t="s">
        <v>851</v>
      </c>
      <c r="B590" s="1" t="s">
        <v>852</v>
      </c>
      <c r="C590" s="2">
        <v>420</v>
      </c>
      <c r="D590" s="2">
        <v>4200</v>
      </c>
      <c r="E590" s="2">
        <v>0</v>
      </c>
      <c r="F590" s="2">
        <v>0</v>
      </c>
      <c r="G590" s="2">
        <v>24.2</v>
      </c>
      <c r="H590" s="3">
        <v>10164</v>
      </c>
      <c r="I590" s="1" t="s">
        <v>613</v>
      </c>
      <c r="J590" s="1" t="s">
        <v>614</v>
      </c>
      <c r="K590" s="1" t="s">
        <v>615</v>
      </c>
    </row>
    <row r="591" spans="1:11" ht="12.75" customHeight="1" x14ac:dyDescent="0.2">
      <c r="A591" s="1" t="s">
        <v>853</v>
      </c>
      <c r="B591" s="1" t="s">
        <v>854</v>
      </c>
      <c r="C591" s="2">
        <v>148</v>
      </c>
      <c r="D591" s="2">
        <v>1776</v>
      </c>
      <c r="E591" s="2">
        <v>0</v>
      </c>
      <c r="F591" s="2">
        <v>0</v>
      </c>
      <c r="G591" s="2">
        <v>39.678100000000001</v>
      </c>
      <c r="H591" s="3">
        <v>5872.3588</v>
      </c>
      <c r="I591" s="1" t="s">
        <v>17</v>
      </c>
      <c r="J591" s="1" t="s">
        <v>18</v>
      </c>
      <c r="K591" s="1" t="s">
        <v>19</v>
      </c>
    </row>
    <row r="592" spans="1:11" ht="12.75" customHeight="1" x14ac:dyDescent="0.2">
      <c r="A592" s="1" t="s">
        <v>853</v>
      </c>
      <c r="B592" s="1" t="s">
        <v>854</v>
      </c>
      <c r="C592" s="2">
        <v>164</v>
      </c>
      <c r="D592" s="2">
        <v>1968</v>
      </c>
      <c r="E592" s="2">
        <v>0</v>
      </c>
      <c r="F592" s="2">
        <v>0</v>
      </c>
      <c r="G592" s="2">
        <v>38.371899999999997</v>
      </c>
      <c r="H592" s="3">
        <v>6292.9916000000003</v>
      </c>
      <c r="I592" s="1" t="s">
        <v>24</v>
      </c>
      <c r="J592" s="1" t="s">
        <v>25</v>
      </c>
      <c r="K592" s="1" t="s">
        <v>26</v>
      </c>
    </row>
    <row r="593" spans="1:11" ht="12.75" customHeight="1" x14ac:dyDescent="0.2">
      <c r="A593" s="1" t="s">
        <v>853</v>
      </c>
      <c r="B593" s="1" t="s">
        <v>854</v>
      </c>
      <c r="C593" s="2">
        <v>590</v>
      </c>
      <c r="D593" s="2">
        <v>7080</v>
      </c>
      <c r="E593" s="2">
        <v>0</v>
      </c>
      <c r="F593" s="2">
        <v>0</v>
      </c>
      <c r="G593" s="2">
        <v>39.798400000000001</v>
      </c>
      <c r="H593" s="3">
        <v>23481.056</v>
      </c>
      <c r="I593" s="1" t="s">
        <v>330</v>
      </c>
      <c r="J593" s="1" t="s">
        <v>331</v>
      </c>
      <c r="K593" s="1" t="s">
        <v>332</v>
      </c>
    </row>
    <row r="594" spans="1:11" ht="12.75" customHeight="1" x14ac:dyDescent="0.2">
      <c r="A594" s="1" t="s">
        <v>853</v>
      </c>
      <c r="B594" s="1" t="s">
        <v>854</v>
      </c>
      <c r="C594" s="2">
        <v>280</v>
      </c>
      <c r="D594" s="2">
        <v>3360</v>
      </c>
      <c r="E594" s="2">
        <v>0</v>
      </c>
      <c r="F594" s="2">
        <v>0</v>
      </c>
      <c r="G594" s="2">
        <v>29.04</v>
      </c>
      <c r="H594" s="3">
        <v>8131.2</v>
      </c>
      <c r="I594" s="1" t="s">
        <v>613</v>
      </c>
      <c r="J594" s="1" t="s">
        <v>614</v>
      </c>
      <c r="K594" s="1" t="s">
        <v>615</v>
      </c>
    </row>
    <row r="595" spans="1:11" ht="12.75" customHeight="1" x14ac:dyDescent="0.2">
      <c r="A595" s="1" t="s">
        <v>855</v>
      </c>
      <c r="B595" s="1" t="s">
        <v>856</v>
      </c>
      <c r="C595" s="2">
        <v>14</v>
      </c>
      <c r="D595" s="2">
        <v>196</v>
      </c>
      <c r="E595" s="2">
        <v>0</v>
      </c>
      <c r="F595" s="2">
        <v>0</v>
      </c>
      <c r="G595" s="2">
        <v>45.129600000000003</v>
      </c>
      <c r="H595" s="3">
        <v>631.81439999999998</v>
      </c>
      <c r="I595" s="1" t="s">
        <v>24</v>
      </c>
      <c r="J595" s="1" t="s">
        <v>25</v>
      </c>
      <c r="K595" s="1" t="s">
        <v>26</v>
      </c>
    </row>
    <row r="596" spans="1:11" ht="12.75" customHeight="1" x14ac:dyDescent="0.2">
      <c r="A596" s="1" t="s">
        <v>855</v>
      </c>
      <c r="B596" s="1" t="s">
        <v>856</v>
      </c>
      <c r="C596" s="2">
        <v>355</v>
      </c>
      <c r="D596" s="2">
        <v>4970</v>
      </c>
      <c r="E596" s="2">
        <v>0</v>
      </c>
      <c r="F596" s="2">
        <v>355</v>
      </c>
      <c r="G596" s="2">
        <v>46.930100000000003</v>
      </c>
      <c r="H596" s="3">
        <v>16660.1855</v>
      </c>
      <c r="I596" s="1" t="s">
        <v>330</v>
      </c>
      <c r="J596" s="1" t="s">
        <v>331</v>
      </c>
      <c r="K596" s="1" t="s">
        <v>332</v>
      </c>
    </row>
    <row r="597" spans="1:11" ht="12.75" customHeight="1" x14ac:dyDescent="0.2">
      <c r="A597" s="1" t="s">
        <v>855</v>
      </c>
      <c r="B597" s="1" t="s">
        <v>856</v>
      </c>
      <c r="C597" s="2">
        <v>396</v>
      </c>
      <c r="D597" s="2">
        <v>5544</v>
      </c>
      <c r="E597" s="2">
        <v>0</v>
      </c>
      <c r="F597" s="2">
        <v>0</v>
      </c>
      <c r="G597" s="2">
        <v>33.880000000000003</v>
      </c>
      <c r="H597" s="3">
        <v>13416.48</v>
      </c>
      <c r="I597" s="1" t="s">
        <v>613</v>
      </c>
      <c r="J597" s="1" t="s">
        <v>614</v>
      </c>
      <c r="K597" s="1" t="s">
        <v>615</v>
      </c>
    </row>
    <row r="598" spans="1:11" ht="12.75" customHeight="1" x14ac:dyDescent="0.2">
      <c r="A598" s="1" t="s">
        <v>857</v>
      </c>
      <c r="B598" s="1" t="s">
        <v>858</v>
      </c>
      <c r="C598" s="2">
        <v>27</v>
      </c>
      <c r="D598" s="2">
        <v>432</v>
      </c>
      <c r="E598" s="2">
        <v>0</v>
      </c>
      <c r="F598" s="2">
        <v>0</v>
      </c>
      <c r="G598" s="2">
        <v>52.144199999999998</v>
      </c>
      <c r="H598" s="3">
        <v>1407.8933999999999</v>
      </c>
      <c r="I598" s="1" t="s">
        <v>17</v>
      </c>
      <c r="J598" s="1" t="s">
        <v>18</v>
      </c>
      <c r="K598" s="1" t="s">
        <v>19</v>
      </c>
    </row>
    <row r="599" spans="1:11" ht="12.75" customHeight="1" x14ac:dyDescent="0.2">
      <c r="A599" s="1" t="s">
        <v>857</v>
      </c>
      <c r="B599" s="1" t="s">
        <v>858</v>
      </c>
      <c r="C599" s="2">
        <v>1</v>
      </c>
      <c r="D599" s="2">
        <v>16</v>
      </c>
      <c r="E599" s="2">
        <v>0</v>
      </c>
      <c r="F599" s="2">
        <v>0</v>
      </c>
      <c r="G599" s="2">
        <v>50.2483</v>
      </c>
      <c r="H599" s="3">
        <v>50.2483</v>
      </c>
      <c r="I599" s="1" t="s">
        <v>24</v>
      </c>
      <c r="J599" s="1" t="s">
        <v>25</v>
      </c>
      <c r="K599" s="1" t="s">
        <v>26</v>
      </c>
    </row>
    <row r="600" spans="1:11" ht="12.75" customHeight="1" x14ac:dyDescent="0.2">
      <c r="A600" s="1" t="s">
        <v>857</v>
      </c>
      <c r="B600" s="1" t="s">
        <v>858</v>
      </c>
      <c r="C600" s="2">
        <v>385</v>
      </c>
      <c r="D600" s="2">
        <v>6160</v>
      </c>
      <c r="E600" s="2">
        <v>0</v>
      </c>
      <c r="F600" s="2">
        <v>369</v>
      </c>
      <c r="G600" s="2">
        <v>48.900500000000001</v>
      </c>
      <c r="H600" s="3">
        <v>18826.692500000001</v>
      </c>
      <c r="I600" s="1" t="s">
        <v>330</v>
      </c>
      <c r="J600" s="1" t="s">
        <v>331</v>
      </c>
      <c r="K600" s="1" t="s">
        <v>332</v>
      </c>
    </row>
    <row r="601" spans="1:11" ht="12.75" customHeight="1" x14ac:dyDescent="0.2">
      <c r="A601" s="1" t="s">
        <v>857</v>
      </c>
      <c r="B601" s="1" t="s">
        <v>858</v>
      </c>
      <c r="C601" s="2">
        <v>316</v>
      </c>
      <c r="D601" s="2">
        <v>5056</v>
      </c>
      <c r="E601" s="2">
        <v>0</v>
      </c>
      <c r="F601" s="2">
        <v>0</v>
      </c>
      <c r="G601" s="2">
        <v>42.338700000000003</v>
      </c>
      <c r="H601" s="3">
        <v>13379.029200000001</v>
      </c>
      <c r="I601" s="1" t="s">
        <v>613</v>
      </c>
      <c r="J601" s="1" t="s">
        <v>614</v>
      </c>
      <c r="K601" s="1" t="s">
        <v>615</v>
      </c>
    </row>
    <row r="602" spans="1:11" ht="12.75" customHeight="1" x14ac:dyDescent="0.2">
      <c r="A602" s="1" t="s">
        <v>859</v>
      </c>
      <c r="B602" s="1" t="s">
        <v>860</v>
      </c>
      <c r="C602" s="2">
        <v>63</v>
      </c>
      <c r="D602" s="2">
        <v>1134</v>
      </c>
      <c r="E602" s="2">
        <v>0</v>
      </c>
      <c r="F602" s="2">
        <v>0</v>
      </c>
      <c r="G602" s="2">
        <v>58.4848</v>
      </c>
      <c r="H602" s="3">
        <v>3684.5423999999998</v>
      </c>
      <c r="I602" s="1" t="s">
        <v>17</v>
      </c>
      <c r="J602" s="1" t="s">
        <v>18</v>
      </c>
      <c r="K602" s="1" t="s">
        <v>19</v>
      </c>
    </row>
    <row r="603" spans="1:11" ht="12.75" customHeight="1" x14ac:dyDescent="0.2">
      <c r="A603" s="1" t="s">
        <v>859</v>
      </c>
      <c r="B603" s="1" t="s">
        <v>860</v>
      </c>
      <c r="C603" s="2">
        <v>38</v>
      </c>
      <c r="D603" s="2">
        <v>684</v>
      </c>
      <c r="E603" s="2">
        <v>0</v>
      </c>
      <c r="F603" s="2">
        <v>0</v>
      </c>
      <c r="G603" s="2">
        <v>56.130099999999999</v>
      </c>
      <c r="H603" s="3">
        <v>2132.9438</v>
      </c>
      <c r="I603" s="1" t="s">
        <v>24</v>
      </c>
      <c r="J603" s="1" t="s">
        <v>25</v>
      </c>
      <c r="K603" s="1" t="s">
        <v>26</v>
      </c>
    </row>
    <row r="604" spans="1:11" ht="12.75" customHeight="1" x14ac:dyDescent="0.2">
      <c r="A604" s="1" t="s">
        <v>859</v>
      </c>
      <c r="B604" s="1" t="s">
        <v>860</v>
      </c>
      <c r="C604" s="2">
        <v>407</v>
      </c>
      <c r="D604" s="2">
        <v>7326</v>
      </c>
      <c r="E604" s="2">
        <v>0</v>
      </c>
      <c r="F604" s="2">
        <v>375</v>
      </c>
      <c r="G604" s="2">
        <v>58.239400000000003</v>
      </c>
      <c r="H604" s="3">
        <v>23703.435799999999</v>
      </c>
      <c r="I604" s="1" t="s">
        <v>330</v>
      </c>
      <c r="J604" s="1" t="s">
        <v>331</v>
      </c>
      <c r="K604" s="1" t="s">
        <v>332</v>
      </c>
    </row>
    <row r="605" spans="1:11" ht="12.75" customHeight="1" x14ac:dyDescent="0.2">
      <c r="A605" s="1" t="s">
        <v>859</v>
      </c>
      <c r="B605" s="1" t="s">
        <v>860</v>
      </c>
      <c r="C605" s="2">
        <v>235</v>
      </c>
      <c r="D605" s="2">
        <v>4230</v>
      </c>
      <c r="E605" s="2">
        <v>0</v>
      </c>
      <c r="F605" s="2">
        <v>0</v>
      </c>
      <c r="G605" s="2">
        <v>50.615000000000002</v>
      </c>
      <c r="H605" s="3">
        <v>11894.525</v>
      </c>
      <c r="I605" s="1" t="s">
        <v>613</v>
      </c>
      <c r="J605" s="1" t="s">
        <v>614</v>
      </c>
      <c r="K605" s="1" t="s">
        <v>615</v>
      </c>
    </row>
    <row r="606" spans="1:11" ht="12.75" customHeight="1" x14ac:dyDescent="0.2">
      <c r="A606" s="1" t="s">
        <v>861</v>
      </c>
      <c r="B606" s="1" t="s">
        <v>862</v>
      </c>
      <c r="C606" s="2">
        <v>210</v>
      </c>
      <c r="D606" s="2">
        <v>4200</v>
      </c>
      <c r="E606" s="2">
        <v>0</v>
      </c>
      <c r="F606" s="2">
        <v>210</v>
      </c>
      <c r="G606" s="2">
        <v>68.096400000000003</v>
      </c>
      <c r="H606" s="3">
        <v>14300.244000000001</v>
      </c>
      <c r="I606" s="1" t="s">
        <v>330</v>
      </c>
      <c r="J606" s="1" t="s">
        <v>331</v>
      </c>
      <c r="K606" s="1" t="s">
        <v>332</v>
      </c>
    </row>
    <row r="607" spans="1:11" ht="12.75" customHeight="1" x14ac:dyDescent="0.2">
      <c r="A607" s="1" t="s">
        <v>861</v>
      </c>
      <c r="B607" s="1" t="s">
        <v>862</v>
      </c>
      <c r="C607" s="2">
        <v>80</v>
      </c>
      <c r="D607" s="2">
        <v>1600</v>
      </c>
      <c r="E607" s="2">
        <v>0</v>
      </c>
      <c r="F607" s="2">
        <v>0</v>
      </c>
      <c r="G607" s="2">
        <v>48.4</v>
      </c>
      <c r="H607" s="3">
        <v>3872</v>
      </c>
      <c r="I607" s="1" t="s">
        <v>613</v>
      </c>
      <c r="J607" s="1" t="s">
        <v>614</v>
      </c>
      <c r="K607" s="1" t="s">
        <v>615</v>
      </c>
    </row>
    <row r="608" spans="1:11" ht="12.75" customHeight="1" x14ac:dyDescent="0.2">
      <c r="A608" s="1" t="s">
        <v>863</v>
      </c>
      <c r="B608" s="1" t="s">
        <v>864</v>
      </c>
      <c r="C608" s="2">
        <v>21</v>
      </c>
      <c r="D608" s="2">
        <v>462</v>
      </c>
      <c r="E608" s="2">
        <v>0</v>
      </c>
      <c r="F608" s="2">
        <v>0</v>
      </c>
      <c r="G608" s="2">
        <v>73.646699999999996</v>
      </c>
      <c r="H608" s="3">
        <v>1546.5807</v>
      </c>
      <c r="I608" s="1" t="s">
        <v>17</v>
      </c>
      <c r="J608" s="1" t="s">
        <v>18</v>
      </c>
      <c r="K608" s="1" t="s">
        <v>19</v>
      </c>
    </row>
    <row r="609" spans="1:11" ht="12.75" customHeight="1" x14ac:dyDescent="0.2">
      <c r="A609" s="1" t="s">
        <v>863</v>
      </c>
      <c r="B609" s="1" t="s">
        <v>864</v>
      </c>
      <c r="C609" s="2">
        <v>21</v>
      </c>
      <c r="D609" s="2">
        <v>462</v>
      </c>
      <c r="E609" s="2">
        <v>0</v>
      </c>
      <c r="F609" s="2">
        <v>0</v>
      </c>
      <c r="G609" s="2">
        <v>69.329300000000003</v>
      </c>
      <c r="H609" s="3">
        <v>1455.9152999999999</v>
      </c>
      <c r="I609" s="1" t="s">
        <v>24</v>
      </c>
      <c r="J609" s="1" t="s">
        <v>25</v>
      </c>
      <c r="K609" s="1" t="s">
        <v>26</v>
      </c>
    </row>
    <row r="610" spans="1:11" ht="12.75" customHeight="1" x14ac:dyDescent="0.2">
      <c r="A610" s="1" t="s">
        <v>863</v>
      </c>
      <c r="B610" s="1" t="s">
        <v>864</v>
      </c>
      <c r="C610" s="2">
        <v>140</v>
      </c>
      <c r="D610" s="2">
        <v>3080</v>
      </c>
      <c r="E610" s="2">
        <v>0</v>
      </c>
      <c r="F610" s="2">
        <v>0</v>
      </c>
      <c r="G610" s="2">
        <v>53.24</v>
      </c>
      <c r="H610" s="3">
        <v>7453.6</v>
      </c>
      <c r="I610" s="1" t="s">
        <v>613</v>
      </c>
      <c r="J610" s="1" t="s">
        <v>614</v>
      </c>
      <c r="K610" s="1" t="s">
        <v>615</v>
      </c>
    </row>
    <row r="611" spans="1:11" ht="12.75" customHeight="1" x14ac:dyDescent="0.2">
      <c r="A611" s="1" t="s">
        <v>865</v>
      </c>
      <c r="B611" s="1" t="s">
        <v>866</v>
      </c>
      <c r="C611" s="2">
        <v>1671</v>
      </c>
      <c r="D611" s="2">
        <v>6684</v>
      </c>
      <c r="E611" s="2">
        <v>0</v>
      </c>
      <c r="F611" s="2">
        <v>0</v>
      </c>
      <c r="G611" s="2">
        <v>3.4304999999999999</v>
      </c>
      <c r="H611" s="3">
        <v>5732.3654999999999</v>
      </c>
      <c r="I611" s="1" t="s">
        <v>17</v>
      </c>
      <c r="J611" s="1" t="s">
        <v>18</v>
      </c>
      <c r="K611" s="1" t="s">
        <v>19</v>
      </c>
    </row>
    <row r="612" spans="1:11" ht="12.75" customHeight="1" x14ac:dyDescent="0.2">
      <c r="A612" s="1" t="s">
        <v>865</v>
      </c>
      <c r="B612" s="1" t="s">
        <v>866</v>
      </c>
      <c r="C612" s="2">
        <v>7113</v>
      </c>
      <c r="D612" s="2">
        <v>28452</v>
      </c>
      <c r="E612" s="2">
        <v>0</v>
      </c>
      <c r="F612" s="2">
        <v>0</v>
      </c>
      <c r="G612" s="2">
        <v>3.4775999999999998</v>
      </c>
      <c r="H612" s="3">
        <v>24736.168799999999</v>
      </c>
      <c r="I612" s="1" t="s">
        <v>330</v>
      </c>
      <c r="J612" s="1" t="s">
        <v>331</v>
      </c>
      <c r="K612" s="1" t="s">
        <v>332</v>
      </c>
    </row>
    <row r="613" spans="1:11" ht="12.75" customHeight="1" x14ac:dyDescent="0.2">
      <c r="A613" s="1" t="s">
        <v>867</v>
      </c>
      <c r="B613" s="1" t="s">
        <v>868</v>
      </c>
      <c r="C613" s="2">
        <v>1188</v>
      </c>
      <c r="D613" s="2">
        <v>5940</v>
      </c>
      <c r="E613" s="2">
        <v>0</v>
      </c>
      <c r="F613" s="2">
        <v>0</v>
      </c>
      <c r="G613" s="2">
        <v>4.2861000000000002</v>
      </c>
      <c r="H613" s="3">
        <v>5091.8868000000002</v>
      </c>
      <c r="I613" s="1" t="s">
        <v>17</v>
      </c>
      <c r="J613" s="1" t="s">
        <v>18</v>
      </c>
      <c r="K613" s="1" t="s">
        <v>19</v>
      </c>
    </row>
    <row r="614" spans="1:11" ht="12.75" customHeight="1" x14ac:dyDescent="0.2">
      <c r="A614" s="1" t="s">
        <v>867</v>
      </c>
      <c r="B614" s="1" t="s">
        <v>868</v>
      </c>
      <c r="C614" s="2">
        <v>5790</v>
      </c>
      <c r="D614" s="2">
        <v>28950</v>
      </c>
      <c r="E614" s="2">
        <v>0</v>
      </c>
      <c r="F614" s="2">
        <v>0</v>
      </c>
      <c r="G614" s="2">
        <v>4.3410000000000002</v>
      </c>
      <c r="H614" s="3">
        <v>25134.39</v>
      </c>
      <c r="I614" s="1" t="s">
        <v>330</v>
      </c>
      <c r="J614" s="1" t="s">
        <v>331</v>
      </c>
      <c r="K614" s="1" t="s">
        <v>332</v>
      </c>
    </row>
    <row r="615" spans="1:11" ht="12.75" customHeight="1" x14ac:dyDescent="0.2">
      <c r="A615" s="1" t="s">
        <v>869</v>
      </c>
      <c r="B615" s="1" t="s">
        <v>870</v>
      </c>
      <c r="C615" s="2">
        <v>3600</v>
      </c>
      <c r="D615" s="2">
        <v>21600</v>
      </c>
      <c r="E615" s="2">
        <v>0</v>
      </c>
      <c r="F615" s="2">
        <v>0</v>
      </c>
      <c r="G615" s="2">
        <v>6.1635999999999997</v>
      </c>
      <c r="H615" s="3">
        <v>22188.959999999999</v>
      </c>
      <c r="I615" s="1" t="s">
        <v>330</v>
      </c>
      <c r="J615" s="1" t="s">
        <v>331</v>
      </c>
      <c r="K615" s="1" t="s">
        <v>332</v>
      </c>
    </row>
    <row r="616" spans="1:11" ht="12.75" customHeight="1" x14ac:dyDescent="0.2">
      <c r="A616" s="1" t="s">
        <v>871</v>
      </c>
      <c r="B616" s="1" t="s">
        <v>872</v>
      </c>
      <c r="C616" s="2">
        <v>27</v>
      </c>
      <c r="D616" s="2">
        <v>216</v>
      </c>
      <c r="E616" s="2">
        <v>0</v>
      </c>
      <c r="F616" s="2">
        <v>0</v>
      </c>
      <c r="G616" s="2">
        <v>25.040700000000001</v>
      </c>
      <c r="H616" s="3">
        <v>676.09889999999996</v>
      </c>
      <c r="I616" s="1" t="s">
        <v>17</v>
      </c>
      <c r="J616" s="1" t="s">
        <v>18</v>
      </c>
      <c r="K616" s="1" t="s">
        <v>19</v>
      </c>
    </row>
    <row r="617" spans="1:11" ht="12.75" customHeight="1" x14ac:dyDescent="0.2">
      <c r="A617" s="1" t="s">
        <v>871</v>
      </c>
      <c r="B617" s="1" t="s">
        <v>872</v>
      </c>
      <c r="C617" s="2">
        <v>189</v>
      </c>
      <c r="D617" s="2">
        <v>1512</v>
      </c>
      <c r="E617" s="2">
        <v>0</v>
      </c>
      <c r="F617" s="2">
        <v>56</v>
      </c>
      <c r="G617" s="2">
        <v>22.922000000000001</v>
      </c>
      <c r="H617" s="3">
        <v>4332.2579999999998</v>
      </c>
      <c r="I617" s="1" t="s">
        <v>24</v>
      </c>
      <c r="J617" s="1" t="s">
        <v>25</v>
      </c>
      <c r="K617" s="1" t="s">
        <v>26</v>
      </c>
    </row>
    <row r="618" spans="1:11" ht="12.75" customHeight="1" x14ac:dyDescent="0.2">
      <c r="A618" s="1" t="s">
        <v>871</v>
      </c>
      <c r="B618" s="1" t="s">
        <v>872</v>
      </c>
      <c r="C618" s="2">
        <v>3091</v>
      </c>
      <c r="D618" s="2">
        <v>24728</v>
      </c>
      <c r="E618" s="2">
        <v>0</v>
      </c>
      <c r="F618" s="2">
        <v>0</v>
      </c>
      <c r="G618" s="2">
        <v>23.937200000000001</v>
      </c>
      <c r="H618" s="3">
        <v>73989.885200000004</v>
      </c>
      <c r="I618" s="1" t="s">
        <v>330</v>
      </c>
      <c r="J618" s="1" t="s">
        <v>331</v>
      </c>
      <c r="K618" s="1" t="s">
        <v>332</v>
      </c>
    </row>
    <row r="619" spans="1:11" ht="12.75" customHeight="1" x14ac:dyDescent="0.2">
      <c r="A619" s="1" t="s">
        <v>871</v>
      </c>
      <c r="B619" s="1" t="s">
        <v>872</v>
      </c>
      <c r="C619" s="2">
        <v>280</v>
      </c>
      <c r="D619" s="2">
        <v>2240</v>
      </c>
      <c r="E619" s="2">
        <v>0</v>
      </c>
      <c r="F619" s="2">
        <v>0</v>
      </c>
      <c r="G619" s="2">
        <v>19.36</v>
      </c>
      <c r="H619" s="3">
        <v>5420.8</v>
      </c>
      <c r="I619" s="1" t="s">
        <v>613</v>
      </c>
      <c r="J619" s="1" t="s">
        <v>614</v>
      </c>
      <c r="K619" s="1" t="s">
        <v>615</v>
      </c>
    </row>
    <row r="620" spans="1:11" ht="12.75" customHeight="1" x14ac:dyDescent="0.2">
      <c r="A620" s="1" t="s">
        <v>873</v>
      </c>
      <c r="B620" s="1" t="s">
        <v>874</v>
      </c>
      <c r="C620" s="2">
        <v>328</v>
      </c>
      <c r="D620" s="2">
        <v>3280</v>
      </c>
      <c r="E620" s="2">
        <v>0</v>
      </c>
      <c r="F620" s="2">
        <v>4</v>
      </c>
      <c r="G620" s="2">
        <v>32.371299999999998</v>
      </c>
      <c r="H620" s="3">
        <v>10617.786400000001</v>
      </c>
      <c r="I620" s="1" t="s">
        <v>17</v>
      </c>
      <c r="J620" s="1" t="s">
        <v>18</v>
      </c>
      <c r="K620" s="1" t="s">
        <v>19</v>
      </c>
    </row>
    <row r="621" spans="1:11" ht="12.75" customHeight="1" x14ac:dyDescent="0.2">
      <c r="A621" s="1" t="s">
        <v>875</v>
      </c>
      <c r="B621" s="1" t="s">
        <v>876</v>
      </c>
      <c r="C621" s="2">
        <v>331</v>
      </c>
      <c r="D621" s="2">
        <v>3972</v>
      </c>
      <c r="E621" s="2">
        <v>0</v>
      </c>
      <c r="F621" s="2">
        <v>0</v>
      </c>
      <c r="G621" s="2">
        <v>39.311599999999999</v>
      </c>
      <c r="H621" s="3">
        <v>13012.1396</v>
      </c>
      <c r="I621" s="1" t="s">
        <v>17</v>
      </c>
      <c r="J621" s="1" t="s">
        <v>18</v>
      </c>
      <c r="K621" s="1" t="s">
        <v>19</v>
      </c>
    </row>
    <row r="622" spans="1:11" ht="12.75" customHeight="1" x14ac:dyDescent="0.2">
      <c r="A622" s="1" t="s">
        <v>877</v>
      </c>
      <c r="B622" s="1" t="s">
        <v>878</v>
      </c>
      <c r="C622" s="2">
        <v>474</v>
      </c>
      <c r="D622" s="2">
        <v>6636</v>
      </c>
      <c r="E622" s="2">
        <v>0</v>
      </c>
      <c r="F622" s="2">
        <v>1</v>
      </c>
      <c r="G622" s="2">
        <v>45.5398</v>
      </c>
      <c r="H622" s="3">
        <v>21585.8652</v>
      </c>
      <c r="I622" s="1" t="s">
        <v>17</v>
      </c>
      <c r="J622" s="1" t="s">
        <v>18</v>
      </c>
      <c r="K622" s="1" t="s">
        <v>19</v>
      </c>
    </row>
    <row r="623" spans="1:11" ht="12.75" customHeight="1" x14ac:dyDescent="0.2">
      <c r="A623" s="1" t="s">
        <v>879</v>
      </c>
      <c r="B623" s="1" t="s">
        <v>880</v>
      </c>
      <c r="C623" s="2">
        <v>198</v>
      </c>
      <c r="D623" s="2">
        <v>3168</v>
      </c>
      <c r="E623" s="2">
        <v>0</v>
      </c>
      <c r="F623" s="2">
        <v>0</v>
      </c>
      <c r="G623" s="2">
        <v>52.143999999999998</v>
      </c>
      <c r="H623" s="3">
        <v>10324.512000000001</v>
      </c>
      <c r="I623" s="1" t="s">
        <v>17</v>
      </c>
      <c r="J623" s="1" t="s">
        <v>18</v>
      </c>
      <c r="K623" s="1" t="s">
        <v>19</v>
      </c>
    </row>
    <row r="624" spans="1:11" ht="12.75" customHeight="1" x14ac:dyDescent="0.2">
      <c r="A624" s="1" t="s">
        <v>881</v>
      </c>
      <c r="B624" s="1" t="s">
        <v>882</v>
      </c>
      <c r="C624" s="2">
        <v>4</v>
      </c>
      <c r="D624" s="2">
        <v>72</v>
      </c>
      <c r="E624" s="2">
        <v>0</v>
      </c>
      <c r="F624" s="2">
        <v>0</v>
      </c>
      <c r="G624" s="2">
        <v>58.562600000000003</v>
      </c>
      <c r="H624" s="3">
        <v>234.25040000000001</v>
      </c>
      <c r="I624" s="1" t="s">
        <v>17</v>
      </c>
      <c r="J624" s="1" t="s">
        <v>18</v>
      </c>
      <c r="K624" s="1" t="s">
        <v>19</v>
      </c>
    </row>
    <row r="625" spans="1:11" ht="12.75" customHeight="1" x14ac:dyDescent="0.2">
      <c r="A625" s="1" t="s">
        <v>883</v>
      </c>
      <c r="B625" s="1" t="s">
        <v>884</v>
      </c>
      <c r="C625" s="2">
        <v>232</v>
      </c>
      <c r="D625" s="2">
        <v>4640</v>
      </c>
      <c r="E625" s="2">
        <v>0</v>
      </c>
      <c r="F625" s="2">
        <v>0</v>
      </c>
      <c r="G625" s="2">
        <v>65.034000000000006</v>
      </c>
      <c r="H625" s="3">
        <v>15087.888000000001</v>
      </c>
      <c r="I625" s="1" t="s">
        <v>17</v>
      </c>
      <c r="J625" s="1" t="s">
        <v>18</v>
      </c>
      <c r="K625" s="1" t="s">
        <v>19</v>
      </c>
    </row>
    <row r="626" spans="1:11" ht="12.75" customHeight="1" x14ac:dyDescent="0.2">
      <c r="A626" s="1" t="s">
        <v>885</v>
      </c>
      <c r="B626" s="1" t="s">
        <v>886</v>
      </c>
      <c r="C626" s="2">
        <v>132</v>
      </c>
      <c r="D626" s="2">
        <v>1056</v>
      </c>
      <c r="E626" s="2">
        <v>0</v>
      </c>
      <c r="F626" s="2">
        <v>0</v>
      </c>
      <c r="G626" s="2">
        <v>26.557700000000001</v>
      </c>
      <c r="H626" s="3">
        <v>3505.6163999999999</v>
      </c>
      <c r="I626" s="1" t="s">
        <v>17</v>
      </c>
      <c r="J626" s="1" t="s">
        <v>18</v>
      </c>
      <c r="K626" s="1" t="s">
        <v>19</v>
      </c>
    </row>
    <row r="627" spans="1:11" ht="12.75" customHeight="1" x14ac:dyDescent="0.2">
      <c r="A627" s="1" t="s">
        <v>887</v>
      </c>
      <c r="B627" s="1" t="s">
        <v>888</v>
      </c>
      <c r="C627" s="2">
        <v>2</v>
      </c>
      <c r="D627" s="2">
        <v>20</v>
      </c>
      <c r="E627" s="2">
        <v>0</v>
      </c>
      <c r="F627" s="2">
        <v>0</v>
      </c>
      <c r="G627" s="2">
        <v>57.35</v>
      </c>
      <c r="H627" s="3">
        <v>114.7</v>
      </c>
      <c r="I627" s="1" t="s">
        <v>330</v>
      </c>
      <c r="J627" s="1" t="s">
        <v>331</v>
      </c>
      <c r="K627" s="1" t="s">
        <v>332</v>
      </c>
    </row>
    <row r="628" spans="1:11" ht="12.75" customHeight="1" x14ac:dyDescent="0.2">
      <c r="A628" s="1" t="s">
        <v>889</v>
      </c>
      <c r="B628" s="1" t="s">
        <v>890</v>
      </c>
      <c r="C628" s="2">
        <v>1</v>
      </c>
      <c r="D628" s="2">
        <v>14</v>
      </c>
      <c r="E628" s="2">
        <v>0</v>
      </c>
      <c r="F628" s="2">
        <v>1</v>
      </c>
      <c r="G628" s="2">
        <v>86.723299999999995</v>
      </c>
      <c r="H628" s="3">
        <v>86.723299999999995</v>
      </c>
      <c r="I628" s="1" t="s">
        <v>17</v>
      </c>
      <c r="J628" s="1" t="s">
        <v>18</v>
      </c>
      <c r="K628" s="1" t="s">
        <v>19</v>
      </c>
    </row>
    <row r="629" spans="1:11" ht="12.75" customHeight="1" x14ac:dyDescent="0.2">
      <c r="A629" s="1" t="s">
        <v>891</v>
      </c>
      <c r="B629" s="1" t="s">
        <v>892</v>
      </c>
      <c r="C629" s="2">
        <v>4</v>
      </c>
      <c r="D629" s="2">
        <v>64</v>
      </c>
      <c r="E629" s="2">
        <v>0</v>
      </c>
      <c r="F629" s="2">
        <v>4</v>
      </c>
      <c r="G629" s="2">
        <v>99.102099999999993</v>
      </c>
      <c r="H629" s="3">
        <v>396.40839999999997</v>
      </c>
      <c r="I629" s="1" t="s">
        <v>17</v>
      </c>
      <c r="J629" s="1" t="s">
        <v>18</v>
      </c>
      <c r="K629" s="1" t="s">
        <v>19</v>
      </c>
    </row>
    <row r="630" spans="1:11" ht="12.75" customHeight="1" x14ac:dyDescent="0.2">
      <c r="A630" s="1" t="s">
        <v>893</v>
      </c>
      <c r="B630" s="1" t="s">
        <v>894</v>
      </c>
      <c r="C630" s="2">
        <v>20</v>
      </c>
      <c r="D630" s="2">
        <v>360</v>
      </c>
      <c r="E630" s="2">
        <v>0</v>
      </c>
      <c r="F630" s="2">
        <v>20</v>
      </c>
      <c r="G630" s="2">
        <v>111.5031</v>
      </c>
      <c r="H630" s="3">
        <v>2230.0619999999999</v>
      </c>
      <c r="I630" s="1" t="s">
        <v>17</v>
      </c>
      <c r="J630" s="1" t="s">
        <v>18</v>
      </c>
      <c r="K630" s="1" t="s">
        <v>19</v>
      </c>
    </row>
    <row r="631" spans="1:11" ht="12.75" customHeight="1" x14ac:dyDescent="0.2">
      <c r="A631" s="1" t="s">
        <v>895</v>
      </c>
      <c r="B631" s="1" t="s">
        <v>896</v>
      </c>
      <c r="C631" s="2">
        <v>114</v>
      </c>
      <c r="D631" s="2">
        <v>0</v>
      </c>
      <c r="E631" s="2">
        <v>0</v>
      </c>
      <c r="F631" s="2">
        <v>0</v>
      </c>
      <c r="G631" s="2">
        <v>1.77</v>
      </c>
      <c r="H631" s="3">
        <v>201.78</v>
      </c>
      <c r="I631" s="1" t="s">
        <v>17</v>
      </c>
      <c r="J631" s="1" t="s">
        <v>18</v>
      </c>
      <c r="K631" s="1" t="s">
        <v>19</v>
      </c>
    </row>
    <row r="632" spans="1:11" ht="12.75" customHeight="1" x14ac:dyDescent="0.2">
      <c r="A632" s="1" t="s">
        <v>897</v>
      </c>
      <c r="B632" s="1" t="s">
        <v>898</v>
      </c>
      <c r="C632" s="2">
        <v>3</v>
      </c>
      <c r="D632" s="2">
        <v>30</v>
      </c>
      <c r="E632" s="2">
        <v>0</v>
      </c>
      <c r="F632" s="2">
        <v>0</v>
      </c>
      <c r="G632" s="2">
        <v>12.8018</v>
      </c>
      <c r="H632" s="3">
        <v>38.4054</v>
      </c>
      <c r="I632" s="1" t="s">
        <v>17</v>
      </c>
      <c r="J632" s="1" t="s">
        <v>18</v>
      </c>
      <c r="K632" s="1" t="s">
        <v>19</v>
      </c>
    </row>
    <row r="633" spans="1:11" ht="12.75" customHeight="1" x14ac:dyDescent="0.2">
      <c r="A633" s="1" t="s">
        <v>897</v>
      </c>
      <c r="B633" s="1" t="s">
        <v>898</v>
      </c>
      <c r="C633" s="2">
        <v>440</v>
      </c>
      <c r="D633" s="2">
        <v>4400</v>
      </c>
      <c r="E633" s="2">
        <v>0</v>
      </c>
      <c r="F633" s="2">
        <v>0</v>
      </c>
      <c r="G633" s="2">
        <v>12.8018</v>
      </c>
      <c r="H633" s="3">
        <v>5632.7920000000004</v>
      </c>
      <c r="I633" s="1" t="s">
        <v>24</v>
      </c>
      <c r="J633" s="1" t="s">
        <v>25</v>
      </c>
      <c r="K633" s="1" t="s">
        <v>26</v>
      </c>
    </row>
    <row r="634" spans="1:11" ht="12.75" customHeight="1" x14ac:dyDescent="0.2">
      <c r="A634" s="1" t="s">
        <v>897</v>
      </c>
      <c r="B634" s="1" t="s">
        <v>898</v>
      </c>
      <c r="C634" s="2">
        <v>2647</v>
      </c>
      <c r="D634" s="2">
        <v>26470</v>
      </c>
      <c r="E634" s="2">
        <v>0</v>
      </c>
      <c r="F634" s="2">
        <v>0</v>
      </c>
      <c r="G634" s="2">
        <v>14.0168</v>
      </c>
      <c r="H634" s="3">
        <v>37102.469599999997</v>
      </c>
      <c r="I634" s="1" t="s">
        <v>330</v>
      </c>
      <c r="J634" s="1" t="s">
        <v>331</v>
      </c>
      <c r="K634" s="1" t="s">
        <v>332</v>
      </c>
    </row>
    <row r="635" spans="1:11" ht="12.75" customHeight="1" x14ac:dyDescent="0.2">
      <c r="A635" s="1" t="s">
        <v>899</v>
      </c>
      <c r="B635" s="1" t="s">
        <v>900</v>
      </c>
      <c r="C635" s="2">
        <v>110</v>
      </c>
      <c r="D635" s="2">
        <v>1100</v>
      </c>
      <c r="E635" s="2">
        <v>0</v>
      </c>
      <c r="F635" s="2">
        <v>0</v>
      </c>
      <c r="G635" s="2">
        <v>12.8018</v>
      </c>
      <c r="H635" s="3">
        <v>1408.1980000000001</v>
      </c>
      <c r="I635" s="1" t="s">
        <v>24</v>
      </c>
      <c r="J635" s="1" t="s">
        <v>25</v>
      </c>
      <c r="K635" s="1" t="s">
        <v>26</v>
      </c>
    </row>
    <row r="636" spans="1:11" ht="12.75" customHeight="1" x14ac:dyDescent="0.2">
      <c r="A636" s="1" t="s">
        <v>899</v>
      </c>
      <c r="B636" s="1" t="s">
        <v>900</v>
      </c>
      <c r="C636" s="2">
        <v>1380</v>
      </c>
      <c r="D636" s="2">
        <v>13800</v>
      </c>
      <c r="E636" s="2">
        <v>0</v>
      </c>
      <c r="F636" s="2">
        <v>67</v>
      </c>
      <c r="G636" s="2">
        <v>12.8018</v>
      </c>
      <c r="H636" s="3">
        <v>17666.484</v>
      </c>
      <c r="I636" s="1" t="s">
        <v>125</v>
      </c>
      <c r="J636" s="1" t="s">
        <v>126</v>
      </c>
      <c r="K636" s="1" t="s">
        <v>127</v>
      </c>
    </row>
    <row r="637" spans="1:11" ht="12.75" customHeight="1" x14ac:dyDescent="0.2">
      <c r="A637" s="1" t="s">
        <v>899</v>
      </c>
      <c r="B637" s="1" t="s">
        <v>900</v>
      </c>
      <c r="C637" s="2">
        <v>1048</v>
      </c>
      <c r="D637" s="2">
        <v>10480</v>
      </c>
      <c r="E637" s="2">
        <v>0</v>
      </c>
      <c r="F637" s="2">
        <v>0</v>
      </c>
      <c r="G637" s="2">
        <v>14.378299999999999</v>
      </c>
      <c r="H637" s="3">
        <v>15068.4584</v>
      </c>
      <c r="I637" s="1" t="s">
        <v>330</v>
      </c>
      <c r="J637" s="1" t="s">
        <v>331</v>
      </c>
      <c r="K637" s="1" t="s">
        <v>332</v>
      </c>
    </row>
    <row r="638" spans="1:11" ht="12.75" customHeight="1" x14ac:dyDescent="0.2">
      <c r="A638" s="1" t="s">
        <v>901</v>
      </c>
      <c r="B638" s="1" t="s">
        <v>902</v>
      </c>
      <c r="C638" s="2">
        <v>10</v>
      </c>
      <c r="D638" s="2">
        <v>120</v>
      </c>
      <c r="E638" s="2">
        <v>0</v>
      </c>
      <c r="F638" s="2">
        <v>0</v>
      </c>
      <c r="G638" s="2">
        <v>21.509</v>
      </c>
      <c r="H638" s="3">
        <v>215.09</v>
      </c>
      <c r="I638" s="1" t="s">
        <v>17</v>
      </c>
      <c r="J638" s="1" t="s">
        <v>18</v>
      </c>
      <c r="K638" s="1" t="s">
        <v>19</v>
      </c>
    </row>
    <row r="639" spans="1:11" ht="12.75" customHeight="1" x14ac:dyDescent="0.2">
      <c r="A639" s="1" t="s">
        <v>901</v>
      </c>
      <c r="B639" s="1" t="s">
        <v>902</v>
      </c>
      <c r="C639" s="2">
        <v>550</v>
      </c>
      <c r="D639" s="2">
        <v>6600</v>
      </c>
      <c r="E639" s="2">
        <v>0</v>
      </c>
      <c r="F639" s="2">
        <v>0</v>
      </c>
      <c r="G639" s="2">
        <v>21.3565</v>
      </c>
      <c r="H639" s="3">
        <v>11746.075000000001</v>
      </c>
      <c r="I639" s="1" t="s">
        <v>330</v>
      </c>
      <c r="J639" s="1" t="s">
        <v>331</v>
      </c>
      <c r="K639" s="1" t="s">
        <v>332</v>
      </c>
    </row>
    <row r="640" spans="1:11" ht="12.75" customHeight="1" x14ac:dyDescent="0.2">
      <c r="A640" s="1" t="s">
        <v>903</v>
      </c>
      <c r="B640" s="1" t="s">
        <v>904</v>
      </c>
      <c r="C640" s="2">
        <v>243</v>
      </c>
      <c r="D640" s="2">
        <v>2916</v>
      </c>
      <c r="E640" s="2">
        <v>0</v>
      </c>
      <c r="F640" s="2">
        <v>243</v>
      </c>
      <c r="G640" s="2">
        <v>21.4696</v>
      </c>
      <c r="H640" s="3">
        <v>5217.1127999999999</v>
      </c>
      <c r="I640" s="1" t="s">
        <v>125</v>
      </c>
      <c r="J640" s="1" t="s">
        <v>126</v>
      </c>
      <c r="K640" s="1" t="s">
        <v>127</v>
      </c>
    </row>
    <row r="641" spans="1:11" ht="12.75" customHeight="1" x14ac:dyDescent="0.2">
      <c r="A641" s="1" t="s">
        <v>903</v>
      </c>
      <c r="B641" s="1" t="s">
        <v>904</v>
      </c>
      <c r="C641" s="2">
        <v>62</v>
      </c>
      <c r="D641" s="2">
        <v>744</v>
      </c>
      <c r="E641" s="2">
        <v>0</v>
      </c>
      <c r="F641" s="2">
        <v>0</v>
      </c>
      <c r="G641" s="2">
        <v>21.3565</v>
      </c>
      <c r="H641" s="3">
        <v>1324.1030000000001</v>
      </c>
      <c r="I641" s="1" t="s">
        <v>330</v>
      </c>
      <c r="J641" s="1" t="s">
        <v>331</v>
      </c>
      <c r="K641" s="1" t="s">
        <v>332</v>
      </c>
    </row>
    <row r="642" spans="1:11" ht="12.75" customHeight="1" x14ac:dyDescent="0.2">
      <c r="A642" s="1" t="s">
        <v>3652</v>
      </c>
      <c r="B642" s="1" t="s">
        <v>6244</v>
      </c>
      <c r="C642" s="2">
        <v>251</v>
      </c>
      <c r="D642" s="2">
        <v>3514</v>
      </c>
      <c r="E642" s="2">
        <v>0</v>
      </c>
      <c r="F642" s="2">
        <v>0</v>
      </c>
      <c r="G642" s="2">
        <v>24.915900000000001</v>
      </c>
      <c r="H642" s="3">
        <v>6253.8909000000003</v>
      </c>
      <c r="I642" s="1" t="s">
        <v>330</v>
      </c>
      <c r="J642" s="1" t="s">
        <v>331</v>
      </c>
      <c r="K642" s="1" t="s">
        <v>332</v>
      </c>
    </row>
    <row r="643" spans="1:11" ht="12.75" customHeight="1" x14ac:dyDescent="0.2">
      <c r="A643" s="1" t="s">
        <v>905</v>
      </c>
      <c r="B643" s="1" t="s">
        <v>906</v>
      </c>
      <c r="C643" s="2">
        <v>193</v>
      </c>
      <c r="D643" s="2">
        <v>2702</v>
      </c>
      <c r="E643" s="2">
        <v>0</v>
      </c>
      <c r="F643" s="2">
        <v>10</v>
      </c>
      <c r="G643" s="2">
        <v>24.872299999999999</v>
      </c>
      <c r="H643" s="3">
        <v>4800.3539000000001</v>
      </c>
      <c r="I643" s="1" t="s">
        <v>330</v>
      </c>
      <c r="J643" s="1" t="s">
        <v>331</v>
      </c>
      <c r="K643" s="1" t="s">
        <v>332</v>
      </c>
    </row>
    <row r="644" spans="1:11" ht="12.75" customHeight="1" x14ac:dyDescent="0.2">
      <c r="A644" s="1" t="s">
        <v>3655</v>
      </c>
      <c r="B644" s="1" t="s">
        <v>6245</v>
      </c>
      <c r="C644" s="2">
        <v>131</v>
      </c>
      <c r="D644" s="2">
        <v>2096</v>
      </c>
      <c r="E644" s="2">
        <v>0</v>
      </c>
      <c r="F644" s="2">
        <v>0</v>
      </c>
      <c r="G644" s="2">
        <v>28.475300000000001</v>
      </c>
      <c r="H644" s="3">
        <v>3730.2642999999998</v>
      </c>
      <c r="I644" s="1" t="s">
        <v>330</v>
      </c>
      <c r="J644" s="1" t="s">
        <v>331</v>
      </c>
      <c r="K644" s="1" t="s">
        <v>332</v>
      </c>
    </row>
    <row r="645" spans="1:11" ht="12.75" customHeight="1" x14ac:dyDescent="0.2">
      <c r="A645" s="1" t="s">
        <v>907</v>
      </c>
      <c r="B645" s="1" t="s">
        <v>908</v>
      </c>
      <c r="C645" s="2">
        <v>23</v>
      </c>
      <c r="D645" s="2">
        <v>368</v>
      </c>
      <c r="E645" s="2">
        <v>0</v>
      </c>
      <c r="F645" s="2">
        <v>0</v>
      </c>
      <c r="G645" s="2">
        <v>28.647200000000002</v>
      </c>
      <c r="H645" s="3">
        <v>658.88559999999995</v>
      </c>
      <c r="I645" s="1" t="s">
        <v>24</v>
      </c>
      <c r="J645" s="1" t="s">
        <v>25</v>
      </c>
      <c r="K645" s="1" t="s">
        <v>26</v>
      </c>
    </row>
    <row r="646" spans="1:11" ht="12.75" customHeight="1" x14ac:dyDescent="0.2">
      <c r="A646" s="1" t="s">
        <v>907</v>
      </c>
      <c r="B646" s="1" t="s">
        <v>908</v>
      </c>
      <c r="C646" s="2">
        <v>96</v>
      </c>
      <c r="D646" s="2">
        <v>1536</v>
      </c>
      <c r="E646" s="2">
        <v>0</v>
      </c>
      <c r="F646" s="2">
        <v>0</v>
      </c>
      <c r="G646" s="2">
        <v>28.475300000000001</v>
      </c>
      <c r="H646" s="3">
        <v>2733.6288</v>
      </c>
      <c r="I646" s="1" t="s">
        <v>330</v>
      </c>
      <c r="J646" s="1" t="s">
        <v>331</v>
      </c>
      <c r="K646" s="1" t="s">
        <v>332</v>
      </c>
    </row>
    <row r="647" spans="1:11" ht="12.75" customHeight="1" x14ac:dyDescent="0.2">
      <c r="A647" s="1" t="s">
        <v>3658</v>
      </c>
      <c r="B647" s="1" t="s">
        <v>6246</v>
      </c>
      <c r="C647" s="2">
        <v>31</v>
      </c>
      <c r="D647" s="2">
        <v>558</v>
      </c>
      <c r="E647" s="2">
        <v>0</v>
      </c>
      <c r="F647" s="2">
        <v>0</v>
      </c>
      <c r="G647" s="2">
        <v>32.035200000000003</v>
      </c>
      <c r="H647" s="3">
        <v>993.09119999999996</v>
      </c>
      <c r="I647" s="1" t="s">
        <v>330</v>
      </c>
      <c r="J647" s="1" t="s">
        <v>331</v>
      </c>
      <c r="K647" s="1" t="s">
        <v>332</v>
      </c>
    </row>
    <row r="648" spans="1:11" ht="12.75" customHeight="1" x14ac:dyDescent="0.2">
      <c r="A648" s="1" t="s">
        <v>909</v>
      </c>
      <c r="B648" s="1" t="s">
        <v>910</v>
      </c>
      <c r="C648" s="2">
        <v>29</v>
      </c>
      <c r="D648" s="2">
        <v>522</v>
      </c>
      <c r="E648" s="2">
        <v>0</v>
      </c>
      <c r="F648" s="2">
        <v>29</v>
      </c>
      <c r="G648" s="2">
        <v>30.976099999999999</v>
      </c>
      <c r="H648" s="3">
        <v>898.30690000000004</v>
      </c>
      <c r="I648" s="1" t="s">
        <v>125</v>
      </c>
      <c r="J648" s="1" t="s">
        <v>126</v>
      </c>
      <c r="K648" s="1" t="s">
        <v>127</v>
      </c>
    </row>
    <row r="649" spans="1:11" ht="12.75" customHeight="1" x14ac:dyDescent="0.2">
      <c r="A649" s="1" t="s">
        <v>909</v>
      </c>
      <c r="B649" s="1" t="s">
        <v>910</v>
      </c>
      <c r="C649" s="2">
        <v>77</v>
      </c>
      <c r="D649" s="2">
        <v>1386</v>
      </c>
      <c r="E649" s="2">
        <v>0</v>
      </c>
      <c r="F649" s="2">
        <v>0</v>
      </c>
      <c r="G649" s="2">
        <v>32.034799999999997</v>
      </c>
      <c r="H649" s="3">
        <v>2466.6795999999999</v>
      </c>
      <c r="I649" s="1" t="s">
        <v>330</v>
      </c>
      <c r="J649" s="1" t="s">
        <v>331</v>
      </c>
      <c r="K649" s="1" t="s">
        <v>332</v>
      </c>
    </row>
    <row r="650" spans="1:11" ht="12.75" customHeight="1" x14ac:dyDescent="0.2">
      <c r="A650" s="1" t="s">
        <v>3662</v>
      </c>
      <c r="B650" s="1" t="s">
        <v>6247</v>
      </c>
      <c r="C650" s="2">
        <v>8</v>
      </c>
      <c r="D650" s="2">
        <v>160</v>
      </c>
      <c r="E650" s="2">
        <v>0</v>
      </c>
      <c r="F650" s="2">
        <v>0</v>
      </c>
      <c r="G650" s="2">
        <v>35.593800000000002</v>
      </c>
      <c r="H650" s="3">
        <v>284.75040000000001</v>
      </c>
      <c r="I650" s="1" t="s">
        <v>330</v>
      </c>
      <c r="J650" s="1" t="s">
        <v>331</v>
      </c>
      <c r="K650" s="1" t="s">
        <v>332</v>
      </c>
    </row>
    <row r="651" spans="1:11" ht="12.75" customHeight="1" x14ac:dyDescent="0.2">
      <c r="A651" s="1" t="s">
        <v>3661</v>
      </c>
      <c r="B651" s="1" t="s">
        <v>6248</v>
      </c>
      <c r="C651" s="2">
        <v>169</v>
      </c>
      <c r="D651" s="2">
        <v>3380</v>
      </c>
      <c r="E651" s="2">
        <v>0</v>
      </c>
      <c r="F651" s="2">
        <v>0</v>
      </c>
      <c r="G651" s="2">
        <v>35.594200000000001</v>
      </c>
      <c r="H651" s="3">
        <v>6015.4197999999997</v>
      </c>
      <c r="I651" s="1" t="s">
        <v>330</v>
      </c>
      <c r="J651" s="1" t="s">
        <v>331</v>
      </c>
      <c r="K651" s="1" t="s">
        <v>332</v>
      </c>
    </row>
    <row r="652" spans="1:11" ht="12.75" customHeight="1" x14ac:dyDescent="0.2">
      <c r="A652" s="1" t="s">
        <v>911</v>
      </c>
      <c r="B652" s="1" t="s">
        <v>912</v>
      </c>
      <c r="C652" s="2">
        <v>440</v>
      </c>
      <c r="D652" s="2">
        <v>3520</v>
      </c>
      <c r="E652" s="2">
        <v>0</v>
      </c>
      <c r="F652" s="2">
        <v>0</v>
      </c>
      <c r="G652" s="2">
        <v>10.239000000000001</v>
      </c>
      <c r="H652" s="3">
        <v>4505.16</v>
      </c>
      <c r="I652" s="1" t="s">
        <v>24</v>
      </c>
      <c r="J652" s="1" t="s">
        <v>25</v>
      </c>
      <c r="K652" s="1" t="s">
        <v>26</v>
      </c>
    </row>
    <row r="653" spans="1:11" ht="12.75" customHeight="1" x14ac:dyDescent="0.2">
      <c r="A653" s="1" t="s">
        <v>911</v>
      </c>
      <c r="B653" s="1" t="s">
        <v>912</v>
      </c>
      <c r="C653" s="2">
        <v>5214</v>
      </c>
      <c r="D653" s="2">
        <v>41712</v>
      </c>
      <c r="E653" s="2">
        <v>0</v>
      </c>
      <c r="F653" s="2">
        <v>0</v>
      </c>
      <c r="G653" s="2">
        <v>10.0303</v>
      </c>
      <c r="H653" s="3">
        <v>52297.984199999999</v>
      </c>
      <c r="I653" s="1" t="s">
        <v>330</v>
      </c>
      <c r="J653" s="1" t="s">
        <v>331</v>
      </c>
      <c r="K653" s="1" t="s">
        <v>332</v>
      </c>
    </row>
    <row r="654" spans="1:11" ht="12.75" customHeight="1" x14ac:dyDescent="0.2">
      <c r="A654" s="1" t="s">
        <v>913</v>
      </c>
      <c r="B654" s="1" t="s">
        <v>914</v>
      </c>
      <c r="C654" s="2">
        <v>1785</v>
      </c>
      <c r="D654" s="2">
        <v>14280</v>
      </c>
      <c r="E654" s="2">
        <v>0</v>
      </c>
      <c r="F654" s="2">
        <v>36</v>
      </c>
      <c r="G654" s="2">
        <v>10.238899999999999</v>
      </c>
      <c r="H654" s="3">
        <v>18276.4365</v>
      </c>
      <c r="I654" s="1" t="s">
        <v>125</v>
      </c>
      <c r="J654" s="1" t="s">
        <v>126</v>
      </c>
      <c r="K654" s="1" t="s">
        <v>127</v>
      </c>
    </row>
    <row r="655" spans="1:11" ht="12.75" customHeight="1" x14ac:dyDescent="0.2">
      <c r="A655" s="1" t="s">
        <v>913</v>
      </c>
      <c r="B655" s="1" t="s">
        <v>914</v>
      </c>
      <c r="C655" s="2">
        <v>3802</v>
      </c>
      <c r="D655" s="2">
        <v>30416</v>
      </c>
      <c r="E655" s="2">
        <v>0</v>
      </c>
      <c r="F655" s="2">
        <v>0</v>
      </c>
      <c r="G655" s="2">
        <v>9.8861000000000008</v>
      </c>
      <c r="H655" s="3">
        <v>37586.9522</v>
      </c>
      <c r="I655" s="1" t="s">
        <v>330</v>
      </c>
      <c r="J655" s="1" t="s">
        <v>331</v>
      </c>
      <c r="K655" s="1" t="s">
        <v>332</v>
      </c>
    </row>
    <row r="656" spans="1:11" ht="12.75" customHeight="1" x14ac:dyDescent="0.2">
      <c r="A656" s="1" t="s">
        <v>915</v>
      </c>
      <c r="B656" s="1" t="s">
        <v>916</v>
      </c>
      <c r="C656" s="2">
        <v>113</v>
      </c>
      <c r="D656" s="2">
        <v>1130</v>
      </c>
      <c r="E656" s="2">
        <v>0</v>
      </c>
      <c r="F656" s="2">
        <v>0</v>
      </c>
      <c r="G656" s="2">
        <v>32.001899999999999</v>
      </c>
      <c r="H656" s="3">
        <v>3616.2147</v>
      </c>
      <c r="I656" s="1" t="s">
        <v>17</v>
      </c>
      <c r="J656" s="1" t="s">
        <v>18</v>
      </c>
      <c r="K656" s="1" t="s">
        <v>19</v>
      </c>
    </row>
    <row r="657" spans="1:11" ht="12.75" customHeight="1" x14ac:dyDescent="0.2">
      <c r="A657" s="1" t="s">
        <v>915</v>
      </c>
      <c r="B657" s="1" t="s">
        <v>916</v>
      </c>
      <c r="C657" s="2">
        <v>877</v>
      </c>
      <c r="D657" s="2">
        <v>8770</v>
      </c>
      <c r="E657" s="2">
        <v>0</v>
      </c>
      <c r="F657" s="2">
        <v>0</v>
      </c>
      <c r="G657" s="2">
        <v>32.528500000000001</v>
      </c>
      <c r="H657" s="3">
        <v>28527.494500000001</v>
      </c>
      <c r="I657" s="1" t="s">
        <v>330</v>
      </c>
      <c r="J657" s="1" t="s">
        <v>331</v>
      </c>
      <c r="K657" s="1" t="s">
        <v>332</v>
      </c>
    </row>
    <row r="658" spans="1:11" ht="12.75" customHeight="1" x14ac:dyDescent="0.2">
      <c r="A658" s="1" t="s">
        <v>917</v>
      </c>
      <c r="B658" s="1" t="s">
        <v>918</v>
      </c>
      <c r="C658" s="2">
        <v>673</v>
      </c>
      <c r="D658" s="2">
        <v>6730</v>
      </c>
      <c r="E658" s="2">
        <v>0</v>
      </c>
      <c r="F658" s="2">
        <v>0</v>
      </c>
      <c r="G658" s="2">
        <v>36.529499999999999</v>
      </c>
      <c r="H658" s="3">
        <v>24584.353500000001</v>
      </c>
      <c r="I658" s="1" t="s">
        <v>17</v>
      </c>
      <c r="J658" s="1" t="s">
        <v>18</v>
      </c>
      <c r="K658" s="1" t="s">
        <v>19</v>
      </c>
    </row>
    <row r="659" spans="1:11" ht="12.75" customHeight="1" x14ac:dyDescent="0.2">
      <c r="A659" s="1" t="s">
        <v>917</v>
      </c>
      <c r="B659" s="1" t="s">
        <v>918</v>
      </c>
      <c r="C659" s="2">
        <v>2726</v>
      </c>
      <c r="D659" s="2">
        <v>27260</v>
      </c>
      <c r="E659" s="2">
        <v>0</v>
      </c>
      <c r="F659" s="2">
        <v>728</v>
      </c>
      <c r="G659" s="2">
        <v>37.814700000000002</v>
      </c>
      <c r="H659" s="3">
        <v>103082.8722</v>
      </c>
      <c r="I659" s="1" t="s">
        <v>330</v>
      </c>
      <c r="J659" s="1" t="s">
        <v>331</v>
      </c>
      <c r="K659" s="1" t="s">
        <v>332</v>
      </c>
    </row>
    <row r="660" spans="1:11" ht="12.75" customHeight="1" x14ac:dyDescent="0.2">
      <c r="A660" s="1" t="s">
        <v>917</v>
      </c>
      <c r="B660" s="1" t="s">
        <v>918</v>
      </c>
      <c r="C660" s="2">
        <v>560</v>
      </c>
      <c r="D660" s="2">
        <v>5600</v>
      </c>
      <c r="E660" s="2">
        <v>0</v>
      </c>
      <c r="F660" s="2">
        <v>0</v>
      </c>
      <c r="G660" s="2">
        <v>41.084200000000003</v>
      </c>
      <c r="H660" s="3">
        <v>23007.151999999998</v>
      </c>
      <c r="I660" s="1" t="s">
        <v>613</v>
      </c>
      <c r="J660" s="1" t="s">
        <v>614</v>
      </c>
      <c r="K660" s="1" t="s">
        <v>615</v>
      </c>
    </row>
    <row r="661" spans="1:11" ht="12.75" customHeight="1" x14ac:dyDescent="0.2">
      <c r="A661" s="1" t="s">
        <v>919</v>
      </c>
      <c r="B661" s="1" t="s">
        <v>920</v>
      </c>
      <c r="C661" s="2">
        <v>35</v>
      </c>
      <c r="D661" s="2">
        <v>350</v>
      </c>
      <c r="E661" s="2">
        <v>0</v>
      </c>
      <c r="F661" s="2">
        <v>0</v>
      </c>
      <c r="G661" s="2">
        <v>20.943999999999999</v>
      </c>
      <c r="H661" s="3">
        <v>733.04</v>
      </c>
      <c r="I661" s="1" t="s">
        <v>17</v>
      </c>
      <c r="J661" s="1" t="s">
        <v>18</v>
      </c>
      <c r="K661" s="1" t="s">
        <v>19</v>
      </c>
    </row>
    <row r="662" spans="1:11" ht="12.75" customHeight="1" x14ac:dyDescent="0.2">
      <c r="A662" s="1" t="s">
        <v>919</v>
      </c>
      <c r="B662" s="1" t="s">
        <v>920</v>
      </c>
      <c r="C662" s="2">
        <v>617</v>
      </c>
      <c r="D662" s="2">
        <v>6170</v>
      </c>
      <c r="E662" s="2">
        <v>0</v>
      </c>
      <c r="F662" s="2">
        <v>0</v>
      </c>
      <c r="G662" s="2">
        <v>19.466000000000001</v>
      </c>
      <c r="H662" s="3">
        <v>12010.522000000001</v>
      </c>
      <c r="I662" s="1" t="s">
        <v>125</v>
      </c>
      <c r="J662" s="1" t="s">
        <v>126</v>
      </c>
      <c r="K662" s="1" t="s">
        <v>127</v>
      </c>
    </row>
    <row r="663" spans="1:11" ht="12.75" customHeight="1" x14ac:dyDescent="0.2">
      <c r="A663" s="1" t="s">
        <v>919</v>
      </c>
      <c r="B663" s="1" t="s">
        <v>920</v>
      </c>
      <c r="C663" s="2">
        <v>1195</v>
      </c>
      <c r="D663" s="2">
        <v>11950</v>
      </c>
      <c r="E663" s="2">
        <v>0</v>
      </c>
      <c r="F663" s="2">
        <v>0</v>
      </c>
      <c r="G663" s="2">
        <v>19.466000000000001</v>
      </c>
      <c r="H663" s="3">
        <v>23261.87</v>
      </c>
      <c r="I663" s="1" t="s">
        <v>330</v>
      </c>
      <c r="J663" s="1" t="s">
        <v>331</v>
      </c>
      <c r="K663" s="1" t="s">
        <v>332</v>
      </c>
    </row>
    <row r="664" spans="1:11" ht="12.75" customHeight="1" x14ac:dyDescent="0.2">
      <c r="A664" s="1" t="s">
        <v>921</v>
      </c>
      <c r="B664" s="1" t="s">
        <v>922</v>
      </c>
      <c r="C664" s="2">
        <v>212</v>
      </c>
      <c r="D664" s="2">
        <v>2544</v>
      </c>
      <c r="E664" s="2">
        <v>0</v>
      </c>
      <c r="F664" s="2">
        <v>0</v>
      </c>
      <c r="G664" s="2">
        <v>38.402200000000001</v>
      </c>
      <c r="H664" s="3">
        <v>8141.2664000000004</v>
      </c>
      <c r="I664" s="1" t="s">
        <v>17</v>
      </c>
      <c r="J664" s="1" t="s">
        <v>18</v>
      </c>
      <c r="K664" s="1" t="s">
        <v>19</v>
      </c>
    </row>
    <row r="665" spans="1:11" ht="12.75" customHeight="1" x14ac:dyDescent="0.2">
      <c r="A665" s="1" t="s">
        <v>921</v>
      </c>
      <c r="B665" s="1" t="s">
        <v>922</v>
      </c>
      <c r="C665" s="2">
        <v>179</v>
      </c>
      <c r="D665" s="2">
        <v>2148</v>
      </c>
      <c r="E665" s="2">
        <v>0</v>
      </c>
      <c r="F665" s="2">
        <v>45</v>
      </c>
      <c r="G665" s="2">
        <v>31.022600000000001</v>
      </c>
      <c r="H665" s="3">
        <v>5553.0454</v>
      </c>
      <c r="I665" s="1" t="s">
        <v>125</v>
      </c>
      <c r="J665" s="1" t="s">
        <v>126</v>
      </c>
      <c r="K665" s="1" t="s">
        <v>127</v>
      </c>
    </row>
    <row r="666" spans="1:11" ht="12.75" customHeight="1" x14ac:dyDescent="0.2">
      <c r="A666" s="1" t="s">
        <v>921</v>
      </c>
      <c r="B666" s="1" t="s">
        <v>922</v>
      </c>
      <c r="C666" s="2">
        <v>1319</v>
      </c>
      <c r="D666" s="2">
        <v>15828</v>
      </c>
      <c r="E666" s="2">
        <v>0</v>
      </c>
      <c r="F666" s="2">
        <v>0</v>
      </c>
      <c r="G666" s="2">
        <v>39.068300000000001</v>
      </c>
      <c r="H666" s="3">
        <v>51531.087699999996</v>
      </c>
      <c r="I666" s="1" t="s">
        <v>330</v>
      </c>
      <c r="J666" s="1" t="s">
        <v>331</v>
      </c>
      <c r="K666" s="1" t="s">
        <v>332</v>
      </c>
    </row>
    <row r="667" spans="1:11" ht="12.75" customHeight="1" x14ac:dyDescent="0.2">
      <c r="A667" s="1" t="s">
        <v>923</v>
      </c>
      <c r="B667" s="1" t="s">
        <v>924</v>
      </c>
      <c r="C667" s="2">
        <v>686</v>
      </c>
      <c r="D667" s="2">
        <v>8232</v>
      </c>
      <c r="E667" s="2">
        <v>0</v>
      </c>
      <c r="F667" s="2">
        <v>0</v>
      </c>
      <c r="G667" s="2">
        <v>43.209200000000003</v>
      </c>
      <c r="H667" s="3">
        <v>29641.511200000001</v>
      </c>
      <c r="I667" s="1" t="s">
        <v>17</v>
      </c>
      <c r="J667" s="1" t="s">
        <v>18</v>
      </c>
      <c r="K667" s="1" t="s">
        <v>19</v>
      </c>
    </row>
    <row r="668" spans="1:11" ht="12.75" customHeight="1" x14ac:dyDescent="0.2">
      <c r="A668" s="1" t="s">
        <v>923</v>
      </c>
      <c r="B668" s="1" t="s">
        <v>924</v>
      </c>
      <c r="C668" s="2">
        <v>3700</v>
      </c>
      <c r="D668" s="2">
        <v>44400</v>
      </c>
      <c r="E668" s="2">
        <v>0</v>
      </c>
      <c r="F668" s="2">
        <v>1511</v>
      </c>
      <c r="G668" s="2">
        <v>48.055399999999999</v>
      </c>
      <c r="H668" s="3">
        <v>177804.98</v>
      </c>
      <c r="I668" s="1" t="s">
        <v>330</v>
      </c>
      <c r="J668" s="1" t="s">
        <v>331</v>
      </c>
      <c r="K668" s="1" t="s">
        <v>332</v>
      </c>
    </row>
    <row r="669" spans="1:11" ht="12.75" customHeight="1" x14ac:dyDescent="0.2">
      <c r="A669" s="1" t="s">
        <v>923</v>
      </c>
      <c r="B669" s="1" t="s">
        <v>924</v>
      </c>
      <c r="C669" s="2">
        <v>723</v>
      </c>
      <c r="D669" s="2">
        <v>8676</v>
      </c>
      <c r="E669" s="2">
        <v>0</v>
      </c>
      <c r="F669" s="2">
        <v>0</v>
      </c>
      <c r="G669" s="2">
        <v>50.875900000000001</v>
      </c>
      <c r="H669" s="3">
        <v>36783.275699999998</v>
      </c>
      <c r="I669" s="1" t="s">
        <v>613</v>
      </c>
      <c r="J669" s="1" t="s">
        <v>614</v>
      </c>
      <c r="K669" s="1" t="s">
        <v>615</v>
      </c>
    </row>
    <row r="670" spans="1:11" ht="12.75" customHeight="1" x14ac:dyDescent="0.2">
      <c r="A670" s="1" t="s">
        <v>925</v>
      </c>
      <c r="B670" s="1" t="s">
        <v>926</v>
      </c>
      <c r="C670" s="2">
        <v>145</v>
      </c>
      <c r="D670" s="2">
        <v>2030</v>
      </c>
      <c r="E670" s="2">
        <v>0</v>
      </c>
      <c r="F670" s="2">
        <v>0</v>
      </c>
      <c r="G670" s="2">
        <v>44.802599999999998</v>
      </c>
      <c r="H670" s="3">
        <v>6496.3770000000004</v>
      </c>
      <c r="I670" s="1" t="s">
        <v>17</v>
      </c>
      <c r="J670" s="1" t="s">
        <v>18</v>
      </c>
      <c r="K670" s="1" t="s">
        <v>19</v>
      </c>
    </row>
    <row r="671" spans="1:11" ht="12.75" customHeight="1" x14ac:dyDescent="0.2">
      <c r="A671" s="1" t="s">
        <v>925</v>
      </c>
      <c r="B671" s="1" t="s">
        <v>926</v>
      </c>
      <c r="C671" s="2">
        <v>35</v>
      </c>
      <c r="D671" s="2">
        <v>490</v>
      </c>
      <c r="E671" s="2">
        <v>0</v>
      </c>
      <c r="F671" s="2">
        <v>0</v>
      </c>
      <c r="G671" s="2">
        <v>42.426000000000002</v>
      </c>
      <c r="H671" s="3">
        <v>1484.91</v>
      </c>
      <c r="I671" s="1" t="s">
        <v>125</v>
      </c>
      <c r="J671" s="1" t="s">
        <v>126</v>
      </c>
      <c r="K671" s="1" t="s">
        <v>127</v>
      </c>
    </row>
    <row r="672" spans="1:11" ht="12.75" customHeight="1" x14ac:dyDescent="0.2">
      <c r="A672" s="1" t="s">
        <v>925</v>
      </c>
      <c r="B672" s="1" t="s">
        <v>926</v>
      </c>
      <c r="C672" s="2">
        <v>749</v>
      </c>
      <c r="D672" s="2">
        <v>10486</v>
      </c>
      <c r="E672" s="2">
        <v>0</v>
      </c>
      <c r="F672" s="2">
        <v>0</v>
      </c>
      <c r="G672" s="2">
        <v>45.707700000000003</v>
      </c>
      <c r="H672" s="3">
        <v>34235.067300000002</v>
      </c>
      <c r="I672" s="1" t="s">
        <v>330</v>
      </c>
      <c r="J672" s="1" t="s">
        <v>331</v>
      </c>
      <c r="K672" s="1" t="s">
        <v>332</v>
      </c>
    </row>
    <row r="673" spans="1:11" ht="12.75" customHeight="1" x14ac:dyDescent="0.2">
      <c r="A673" s="1" t="s">
        <v>927</v>
      </c>
      <c r="B673" s="1" t="s">
        <v>928</v>
      </c>
      <c r="C673" s="2">
        <v>336</v>
      </c>
      <c r="D673" s="2">
        <v>4704</v>
      </c>
      <c r="E673" s="2">
        <v>0</v>
      </c>
      <c r="F673" s="2">
        <v>0</v>
      </c>
      <c r="G673" s="2">
        <v>50.497900000000001</v>
      </c>
      <c r="H673" s="3">
        <v>16967.294399999999</v>
      </c>
      <c r="I673" s="1" t="s">
        <v>17</v>
      </c>
      <c r="J673" s="1" t="s">
        <v>18</v>
      </c>
      <c r="K673" s="1" t="s">
        <v>19</v>
      </c>
    </row>
    <row r="674" spans="1:11" ht="12.75" customHeight="1" x14ac:dyDescent="0.2">
      <c r="A674" s="1" t="s">
        <v>927</v>
      </c>
      <c r="B674" s="1" t="s">
        <v>928</v>
      </c>
      <c r="C674" s="2">
        <v>2238</v>
      </c>
      <c r="D674" s="2">
        <v>31332</v>
      </c>
      <c r="E674" s="2">
        <v>0</v>
      </c>
      <c r="F674" s="2">
        <v>602</v>
      </c>
      <c r="G674" s="2">
        <v>59.096800000000002</v>
      </c>
      <c r="H674" s="3">
        <v>132258.6384</v>
      </c>
      <c r="I674" s="1" t="s">
        <v>330</v>
      </c>
      <c r="J674" s="1" t="s">
        <v>331</v>
      </c>
      <c r="K674" s="1" t="s">
        <v>332</v>
      </c>
    </row>
    <row r="675" spans="1:11" ht="12.75" customHeight="1" x14ac:dyDescent="0.2">
      <c r="A675" s="1" t="s">
        <v>927</v>
      </c>
      <c r="B675" s="1" t="s">
        <v>928</v>
      </c>
      <c r="C675" s="2">
        <v>430</v>
      </c>
      <c r="D675" s="2">
        <v>6020</v>
      </c>
      <c r="E675" s="2">
        <v>0</v>
      </c>
      <c r="F675" s="2">
        <v>0</v>
      </c>
      <c r="G675" s="2">
        <v>60.084499999999998</v>
      </c>
      <c r="H675" s="3">
        <v>25836.334999999999</v>
      </c>
      <c r="I675" s="1" t="s">
        <v>613</v>
      </c>
      <c r="J675" s="1" t="s">
        <v>614</v>
      </c>
      <c r="K675" s="1" t="s">
        <v>615</v>
      </c>
    </row>
    <row r="676" spans="1:11" ht="12.75" customHeight="1" x14ac:dyDescent="0.2">
      <c r="A676" s="1" t="s">
        <v>929</v>
      </c>
      <c r="B676" s="1" t="s">
        <v>930</v>
      </c>
      <c r="C676" s="2">
        <v>189</v>
      </c>
      <c r="D676" s="2">
        <v>3024</v>
      </c>
      <c r="E676" s="2">
        <v>0</v>
      </c>
      <c r="F676" s="2">
        <v>0</v>
      </c>
      <c r="G676" s="2">
        <v>51.203000000000003</v>
      </c>
      <c r="H676" s="3">
        <v>9677.3670000000002</v>
      </c>
      <c r="I676" s="1" t="s">
        <v>17</v>
      </c>
      <c r="J676" s="1" t="s">
        <v>18</v>
      </c>
      <c r="K676" s="1" t="s">
        <v>19</v>
      </c>
    </row>
    <row r="677" spans="1:11" ht="12.75" customHeight="1" x14ac:dyDescent="0.2">
      <c r="A677" s="1" t="s">
        <v>929</v>
      </c>
      <c r="B677" s="1" t="s">
        <v>930</v>
      </c>
      <c r="C677" s="2">
        <v>50</v>
      </c>
      <c r="D677" s="2">
        <v>800</v>
      </c>
      <c r="E677" s="2">
        <v>0</v>
      </c>
      <c r="F677" s="2">
        <v>0</v>
      </c>
      <c r="G677" s="2">
        <v>85.6233</v>
      </c>
      <c r="H677" s="3">
        <v>4281.165</v>
      </c>
      <c r="I677" s="1" t="s">
        <v>125</v>
      </c>
      <c r="J677" s="1" t="s">
        <v>126</v>
      </c>
      <c r="K677" s="1" t="s">
        <v>127</v>
      </c>
    </row>
    <row r="678" spans="1:11" ht="12.75" customHeight="1" x14ac:dyDescent="0.2">
      <c r="A678" s="1" t="s">
        <v>929</v>
      </c>
      <c r="B678" s="1" t="s">
        <v>930</v>
      </c>
      <c r="C678" s="2">
        <v>294</v>
      </c>
      <c r="D678" s="2">
        <v>4704</v>
      </c>
      <c r="E678" s="2">
        <v>0</v>
      </c>
      <c r="F678" s="2">
        <v>0</v>
      </c>
      <c r="G678" s="2">
        <v>58.791800000000002</v>
      </c>
      <c r="H678" s="3">
        <v>17284.789199999999</v>
      </c>
      <c r="I678" s="1" t="s">
        <v>330</v>
      </c>
      <c r="J678" s="1" t="s">
        <v>331</v>
      </c>
      <c r="K678" s="1" t="s">
        <v>332</v>
      </c>
    </row>
    <row r="679" spans="1:11" ht="12.75" customHeight="1" x14ac:dyDescent="0.2">
      <c r="A679" s="1" t="s">
        <v>931</v>
      </c>
      <c r="B679" s="1" t="s">
        <v>932</v>
      </c>
      <c r="C679" s="2">
        <v>280</v>
      </c>
      <c r="D679" s="2">
        <v>4480</v>
      </c>
      <c r="E679" s="2">
        <v>0</v>
      </c>
      <c r="F679" s="2">
        <v>0</v>
      </c>
      <c r="G679" s="2">
        <v>58.773600000000002</v>
      </c>
      <c r="H679" s="3">
        <v>16456.608</v>
      </c>
      <c r="I679" s="1" t="s">
        <v>17</v>
      </c>
      <c r="J679" s="1" t="s">
        <v>18</v>
      </c>
      <c r="K679" s="1" t="s">
        <v>19</v>
      </c>
    </row>
    <row r="680" spans="1:11" ht="12.75" customHeight="1" x14ac:dyDescent="0.2">
      <c r="A680" s="1" t="s">
        <v>931</v>
      </c>
      <c r="B680" s="1" t="s">
        <v>932</v>
      </c>
      <c r="C680" s="2">
        <v>21</v>
      </c>
      <c r="D680" s="2">
        <v>336</v>
      </c>
      <c r="E680" s="2">
        <v>0</v>
      </c>
      <c r="F680" s="2">
        <v>0</v>
      </c>
      <c r="G680" s="2">
        <v>87.151799999999994</v>
      </c>
      <c r="H680" s="3">
        <v>1830.1877999999999</v>
      </c>
      <c r="I680" s="1" t="s">
        <v>24</v>
      </c>
      <c r="J680" s="1" t="s">
        <v>25</v>
      </c>
      <c r="K680" s="1" t="s">
        <v>26</v>
      </c>
    </row>
    <row r="681" spans="1:11" ht="12.75" customHeight="1" x14ac:dyDescent="0.2">
      <c r="A681" s="1" t="s">
        <v>931</v>
      </c>
      <c r="B681" s="1" t="s">
        <v>932</v>
      </c>
      <c r="C681" s="2">
        <v>1353</v>
      </c>
      <c r="D681" s="2">
        <v>21648</v>
      </c>
      <c r="E681" s="2">
        <v>0</v>
      </c>
      <c r="F681" s="2">
        <v>580</v>
      </c>
      <c r="G681" s="2">
        <v>69.605699999999999</v>
      </c>
      <c r="H681" s="3">
        <v>94176.512100000007</v>
      </c>
      <c r="I681" s="1" t="s">
        <v>330</v>
      </c>
      <c r="J681" s="1" t="s">
        <v>331</v>
      </c>
      <c r="K681" s="1" t="s">
        <v>332</v>
      </c>
    </row>
    <row r="682" spans="1:11" ht="12.75" customHeight="1" x14ac:dyDescent="0.2">
      <c r="A682" s="1" t="s">
        <v>931</v>
      </c>
      <c r="B682" s="1" t="s">
        <v>932</v>
      </c>
      <c r="C682" s="2">
        <v>270</v>
      </c>
      <c r="D682" s="2">
        <v>4320</v>
      </c>
      <c r="E682" s="2">
        <v>0</v>
      </c>
      <c r="F682" s="2">
        <v>0</v>
      </c>
      <c r="G682" s="2">
        <v>66.409199999999998</v>
      </c>
      <c r="H682" s="3">
        <v>17930.484</v>
      </c>
      <c r="I682" s="1" t="s">
        <v>613</v>
      </c>
      <c r="J682" s="1" t="s">
        <v>614</v>
      </c>
      <c r="K682" s="1" t="s">
        <v>615</v>
      </c>
    </row>
    <row r="683" spans="1:11" ht="12.75" customHeight="1" x14ac:dyDescent="0.2">
      <c r="A683" s="1" t="s">
        <v>933</v>
      </c>
      <c r="B683" s="1" t="s">
        <v>934</v>
      </c>
      <c r="C683" s="2">
        <v>321</v>
      </c>
      <c r="D683" s="2">
        <v>5778</v>
      </c>
      <c r="E683" s="2">
        <v>0</v>
      </c>
      <c r="F683" s="2">
        <v>0</v>
      </c>
      <c r="G683" s="2">
        <v>61.071100000000001</v>
      </c>
      <c r="H683" s="3">
        <v>19603.823100000001</v>
      </c>
      <c r="I683" s="1" t="s">
        <v>17</v>
      </c>
      <c r="J683" s="1" t="s">
        <v>18</v>
      </c>
      <c r="K683" s="1" t="s">
        <v>19</v>
      </c>
    </row>
    <row r="684" spans="1:11" ht="12.75" customHeight="1" x14ac:dyDescent="0.2">
      <c r="A684" s="1" t="s">
        <v>933</v>
      </c>
      <c r="B684" s="1" t="s">
        <v>934</v>
      </c>
      <c r="C684" s="2">
        <v>276</v>
      </c>
      <c r="D684" s="2">
        <v>4968</v>
      </c>
      <c r="E684" s="2">
        <v>0</v>
      </c>
      <c r="F684" s="2">
        <v>0</v>
      </c>
      <c r="G684" s="2">
        <v>68.725499999999997</v>
      </c>
      <c r="H684" s="3">
        <v>18968.238000000001</v>
      </c>
      <c r="I684" s="1" t="s">
        <v>330</v>
      </c>
      <c r="J684" s="1" t="s">
        <v>331</v>
      </c>
      <c r="K684" s="1" t="s">
        <v>332</v>
      </c>
    </row>
    <row r="685" spans="1:11" ht="12.75" customHeight="1" x14ac:dyDescent="0.2">
      <c r="A685" s="1" t="s">
        <v>935</v>
      </c>
      <c r="B685" s="1" t="s">
        <v>936</v>
      </c>
      <c r="C685" s="2">
        <v>237</v>
      </c>
      <c r="D685" s="2">
        <v>4266</v>
      </c>
      <c r="E685" s="2">
        <v>0</v>
      </c>
      <c r="F685" s="2">
        <v>0</v>
      </c>
      <c r="G685" s="2">
        <v>64.743499999999997</v>
      </c>
      <c r="H685" s="3">
        <v>15344.209500000001</v>
      </c>
      <c r="I685" s="1" t="s">
        <v>17</v>
      </c>
      <c r="J685" s="1" t="s">
        <v>18</v>
      </c>
      <c r="K685" s="1" t="s">
        <v>19</v>
      </c>
    </row>
    <row r="686" spans="1:11" ht="12.75" customHeight="1" x14ac:dyDescent="0.2">
      <c r="A686" s="1" t="s">
        <v>935</v>
      </c>
      <c r="B686" s="1" t="s">
        <v>936</v>
      </c>
      <c r="C686" s="2">
        <v>1300</v>
      </c>
      <c r="D686" s="2">
        <v>23400</v>
      </c>
      <c r="E686" s="2">
        <v>0</v>
      </c>
      <c r="F686" s="2">
        <v>336</v>
      </c>
      <c r="G686" s="2">
        <v>81.587400000000002</v>
      </c>
      <c r="H686" s="3">
        <v>106063.62</v>
      </c>
      <c r="I686" s="1" t="s">
        <v>330</v>
      </c>
      <c r="J686" s="1" t="s">
        <v>331</v>
      </c>
      <c r="K686" s="1" t="s">
        <v>332</v>
      </c>
    </row>
    <row r="687" spans="1:11" ht="12.75" customHeight="1" x14ac:dyDescent="0.2">
      <c r="A687" s="1" t="s">
        <v>935</v>
      </c>
      <c r="B687" s="1" t="s">
        <v>936</v>
      </c>
      <c r="C687" s="2">
        <v>116</v>
      </c>
      <c r="D687" s="2">
        <v>2088</v>
      </c>
      <c r="E687" s="2">
        <v>0</v>
      </c>
      <c r="F687" s="2">
        <v>0</v>
      </c>
      <c r="G687" s="2">
        <v>70.481399999999994</v>
      </c>
      <c r="H687" s="3">
        <v>8175.8424000000005</v>
      </c>
      <c r="I687" s="1" t="s">
        <v>613</v>
      </c>
      <c r="J687" s="1" t="s">
        <v>614</v>
      </c>
      <c r="K687" s="1" t="s">
        <v>615</v>
      </c>
    </row>
    <row r="688" spans="1:11" ht="12.75" customHeight="1" x14ac:dyDescent="0.2">
      <c r="A688" s="1" t="s">
        <v>937</v>
      </c>
      <c r="B688" s="1" t="s">
        <v>938</v>
      </c>
      <c r="C688" s="2">
        <v>142</v>
      </c>
      <c r="D688" s="2">
        <v>2840</v>
      </c>
      <c r="E688" s="2">
        <v>0</v>
      </c>
      <c r="F688" s="2">
        <v>0</v>
      </c>
      <c r="G688" s="2">
        <v>64.003799999999998</v>
      </c>
      <c r="H688" s="3">
        <v>9088.5396000000001</v>
      </c>
      <c r="I688" s="1" t="s">
        <v>17</v>
      </c>
      <c r="J688" s="1" t="s">
        <v>18</v>
      </c>
      <c r="K688" s="1" t="s">
        <v>19</v>
      </c>
    </row>
    <row r="689" spans="1:11" ht="12.75" customHeight="1" x14ac:dyDescent="0.2">
      <c r="A689" s="1" t="s">
        <v>937</v>
      </c>
      <c r="B689" s="1" t="s">
        <v>938</v>
      </c>
      <c r="C689" s="2">
        <v>116</v>
      </c>
      <c r="D689" s="2">
        <v>2320</v>
      </c>
      <c r="E689" s="2">
        <v>0</v>
      </c>
      <c r="F689" s="2">
        <v>0</v>
      </c>
      <c r="G689" s="2">
        <v>97.754300000000001</v>
      </c>
      <c r="H689" s="3">
        <v>11339.498799999999</v>
      </c>
      <c r="I689" s="1" t="s">
        <v>125</v>
      </c>
      <c r="J689" s="1" t="s">
        <v>126</v>
      </c>
      <c r="K689" s="1" t="s">
        <v>127</v>
      </c>
    </row>
    <row r="690" spans="1:11" ht="12.75" customHeight="1" x14ac:dyDescent="0.2">
      <c r="A690" s="1" t="s">
        <v>937</v>
      </c>
      <c r="B690" s="1" t="s">
        <v>938</v>
      </c>
      <c r="C690" s="2">
        <v>378</v>
      </c>
      <c r="D690" s="2">
        <v>7560</v>
      </c>
      <c r="E690" s="2">
        <v>0</v>
      </c>
      <c r="F690" s="2">
        <v>0</v>
      </c>
      <c r="G690" s="2">
        <v>67.536199999999994</v>
      </c>
      <c r="H690" s="3">
        <v>25528.6836</v>
      </c>
      <c r="I690" s="1" t="s">
        <v>330</v>
      </c>
      <c r="J690" s="1" t="s">
        <v>331</v>
      </c>
      <c r="K690" s="1" t="s">
        <v>332</v>
      </c>
    </row>
    <row r="691" spans="1:11" ht="12.75" customHeight="1" x14ac:dyDescent="0.2">
      <c r="A691" s="1" t="s">
        <v>939</v>
      </c>
      <c r="B691" s="1" t="s">
        <v>940</v>
      </c>
      <c r="C691" s="2">
        <v>210</v>
      </c>
      <c r="D691" s="2">
        <v>4200</v>
      </c>
      <c r="E691" s="2">
        <v>0</v>
      </c>
      <c r="F691" s="2">
        <v>0</v>
      </c>
      <c r="G691" s="2">
        <v>71.307400000000001</v>
      </c>
      <c r="H691" s="3">
        <v>14974.554</v>
      </c>
      <c r="I691" s="1" t="s">
        <v>17</v>
      </c>
      <c r="J691" s="1" t="s">
        <v>18</v>
      </c>
      <c r="K691" s="1" t="s">
        <v>19</v>
      </c>
    </row>
    <row r="692" spans="1:11" ht="12.75" customHeight="1" x14ac:dyDescent="0.2">
      <c r="A692" s="1" t="s">
        <v>939</v>
      </c>
      <c r="B692" s="1" t="s">
        <v>940</v>
      </c>
      <c r="C692" s="2">
        <v>1358</v>
      </c>
      <c r="D692" s="2">
        <v>27160</v>
      </c>
      <c r="E692" s="2">
        <v>0</v>
      </c>
      <c r="F692" s="2">
        <v>1138</v>
      </c>
      <c r="G692" s="2">
        <v>93.137600000000006</v>
      </c>
      <c r="H692" s="3">
        <v>126480.86079999999</v>
      </c>
      <c r="I692" s="1" t="s">
        <v>330</v>
      </c>
      <c r="J692" s="1" t="s">
        <v>331</v>
      </c>
      <c r="K692" s="1" t="s">
        <v>332</v>
      </c>
    </row>
    <row r="693" spans="1:11" ht="12.75" customHeight="1" x14ac:dyDescent="0.2">
      <c r="A693" s="1" t="s">
        <v>939</v>
      </c>
      <c r="B693" s="1" t="s">
        <v>940</v>
      </c>
      <c r="C693" s="2">
        <v>98</v>
      </c>
      <c r="D693" s="2">
        <v>1960</v>
      </c>
      <c r="E693" s="2">
        <v>0</v>
      </c>
      <c r="F693" s="2">
        <v>0</v>
      </c>
      <c r="G693" s="2">
        <v>78.6922</v>
      </c>
      <c r="H693" s="3">
        <v>7711.8356000000003</v>
      </c>
      <c r="I693" s="1" t="s">
        <v>613</v>
      </c>
      <c r="J693" s="1" t="s">
        <v>614</v>
      </c>
      <c r="K693" s="1" t="s">
        <v>615</v>
      </c>
    </row>
    <row r="694" spans="1:11" ht="12.75" customHeight="1" x14ac:dyDescent="0.2">
      <c r="A694" s="1" t="s">
        <v>3729</v>
      </c>
      <c r="B694" s="1" t="s">
        <v>6128</v>
      </c>
      <c r="C694" s="2">
        <v>16</v>
      </c>
      <c r="D694" s="2">
        <v>352</v>
      </c>
      <c r="E694" s="2">
        <v>0</v>
      </c>
      <c r="F694" s="2">
        <v>0</v>
      </c>
      <c r="G694" s="2">
        <v>70.403099999999995</v>
      </c>
      <c r="H694" s="3">
        <v>1126.4495999999999</v>
      </c>
      <c r="I694" s="1" t="s">
        <v>17</v>
      </c>
      <c r="J694" s="1" t="s">
        <v>18</v>
      </c>
      <c r="K694" s="1" t="s">
        <v>19</v>
      </c>
    </row>
    <row r="695" spans="1:11" ht="12.75" customHeight="1" x14ac:dyDescent="0.2">
      <c r="A695" s="1" t="s">
        <v>3728</v>
      </c>
      <c r="B695" s="1" t="s">
        <v>6143</v>
      </c>
      <c r="C695" s="2">
        <v>105</v>
      </c>
      <c r="D695" s="2">
        <v>2310</v>
      </c>
      <c r="E695" s="2">
        <v>0</v>
      </c>
      <c r="F695" s="2">
        <v>0</v>
      </c>
      <c r="G695" s="2">
        <v>93.176900000000003</v>
      </c>
      <c r="H695" s="3">
        <v>9783.5745000000006</v>
      </c>
      <c r="I695" s="1" t="s">
        <v>17</v>
      </c>
      <c r="J695" s="1" t="s">
        <v>18</v>
      </c>
      <c r="K695" s="1" t="s">
        <v>19</v>
      </c>
    </row>
    <row r="696" spans="1:11" ht="12.75" customHeight="1" x14ac:dyDescent="0.2">
      <c r="A696" s="1" t="s">
        <v>3728</v>
      </c>
      <c r="B696" s="1" t="s">
        <v>6143</v>
      </c>
      <c r="C696" s="2">
        <v>196</v>
      </c>
      <c r="D696" s="2">
        <v>4312</v>
      </c>
      <c r="E696" s="2">
        <v>0</v>
      </c>
      <c r="F696" s="2">
        <v>196</v>
      </c>
      <c r="G696" s="2">
        <v>99.967100000000002</v>
      </c>
      <c r="H696" s="3">
        <v>19593.551599999999</v>
      </c>
      <c r="I696" s="1" t="s">
        <v>330</v>
      </c>
      <c r="J696" s="1" t="s">
        <v>331</v>
      </c>
      <c r="K696" s="1" t="s">
        <v>332</v>
      </c>
    </row>
    <row r="697" spans="1:11" ht="12.75" customHeight="1" x14ac:dyDescent="0.2">
      <c r="A697" s="1" t="s">
        <v>3728</v>
      </c>
      <c r="B697" s="1" t="s">
        <v>6143</v>
      </c>
      <c r="C697" s="2">
        <v>280</v>
      </c>
      <c r="D697" s="2">
        <v>6160</v>
      </c>
      <c r="E697" s="2">
        <v>0</v>
      </c>
      <c r="F697" s="2">
        <v>0</v>
      </c>
      <c r="G697" s="2">
        <v>93.176900000000003</v>
      </c>
      <c r="H697" s="3">
        <v>26089.531999999999</v>
      </c>
      <c r="I697" s="1" t="s">
        <v>613</v>
      </c>
      <c r="J697" s="1" t="s">
        <v>614</v>
      </c>
      <c r="K697" s="1" t="s">
        <v>615</v>
      </c>
    </row>
    <row r="698" spans="1:11" ht="12.75" customHeight="1" x14ac:dyDescent="0.2">
      <c r="A698" s="1" t="s">
        <v>941</v>
      </c>
      <c r="B698" s="1" t="s">
        <v>942</v>
      </c>
      <c r="C698" s="2">
        <v>965</v>
      </c>
      <c r="D698" s="2">
        <v>3860</v>
      </c>
      <c r="E698" s="2">
        <v>0</v>
      </c>
      <c r="F698" s="2">
        <v>0</v>
      </c>
      <c r="G698" s="2">
        <v>4.0293000000000001</v>
      </c>
      <c r="H698" s="3">
        <v>3888.2745</v>
      </c>
      <c r="I698" s="1" t="s">
        <v>17</v>
      </c>
      <c r="J698" s="1" t="s">
        <v>18</v>
      </c>
      <c r="K698" s="1" t="s">
        <v>19</v>
      </c>
    </row>
    <row r="699" spans="1:11" ht="12.75" customHeight="1" x14ac:dyDescent="0.2">
      <c r="A699" s="1" t="s">
        <v>941</v>
      </c>
      <c r="B699" s="1" t="s">
        <v>942</v>
      </c>
      <c r="C699" s="2">
        <v>691</v>
      </c>
      <c r="D699" s="2">
        <v>2764</v>
      </c>
      <c r="E699" s="2">
        <v>0</v>
      </c>
      <c r="F699" s="2">
        <v>0</v>
      </c>
      <c r="G699" s="2">
        <v>3.8729</v>
      </c>
      <c r="H699" s="3">
        <v>2676.1738999999998</v>
      </c>
      <c r="I699" s="1" t="s">
        <v>24</v>
      </c>
      <c r="J699" s="1" t="s">
        <v>25</v>
      </c>
      <c r="K699" s="1" t="s">
        <v>26</v>
      </c>
    </row>
    <row r="700" spans="1:11" ht="12.75" customHeight="1" x14ac:dyDescent="0.2">
      <c r="A700" s="1" t="s">
        <v>941</v>
      </c>
      <c r="B700" s="1" t="s">
        <v>942</v>
      </c>
      <c r="C700" s="2">
        <v>99</v>
      </c>
      <c r="D700" s="2">
        <v>396</v>
      </c>
      <c r="E700" s="2">
        <v>0</v>
      </c>
      <c r="F700" s="2">
        <v>0</v>
      </c>
      <c r="G700" s="2">
        <v>4.9593999999999996</v>
      </c>
      <c r="H700" s="3">
        <v>490.98059999999998</v>
      </c>
      <c r="I700" s="1" t="s">
        <v>125</v>
      </c>
      <c r="J700" s="1" t="s">
        <v>126</v>
      </c>
      <c r="K700" s="1" t="s">
        <v>127</v>
      </c>
    </row>
    <row r="701" spans="1:11" ht="12.75" customHeight="1" x14ac:dyDescent="0.2">
      <c r="A701" s="1" t="s">
        <v>941</v>
      </c>
      <c r="B701" s="1" t="s">
        <v>942</v>
      </c>
      <c r="C701" s="2">
        <v>1993</v>
      </c>
      <c r="D701" s="2">
        <v>7972</v>
      </c>
      <c r="E701" s="2">
        <v>0</v>
      </c>
      <c r="F701" s="2">
        <v>0</v>
      </c>
      <c r="G701" s="2">
        <v>3.8729</v>
      </c>
      <c r="H701" s="3">
        <v>7718.6896999999999</v>
      </c>
      <c r="I701" s="1" t="s">
        <v>330</v>
      </c>
      <c r="J701" s="1" t="s">
        <v>331</v>
      </c>
      <c r="K701" s="1" t="s">
        <v>332</v>
      </c>
    </row>
    <row r="702" spans="1:11" ht="12.75" customHeight="1" x14ac:dyDescent="0.2">
      <c r="A702" s="1" t="s">
        <v>943</v>
      </c>
      <c r="B702" s="1" t="s">
        <v>944</v>
      </c>
      <c r="C702" s="2">
        <v>1762</v>
      </c>
      <c r="D702" s="2">
        <v>7048</v>
      </c>
      <c r="E702" s="2">
        <v>0</v>
      </c>
      <c r="F702" s="2">
        <v>0</v>
      </c>
      <c r="G702" s="2">
        <v>5.8437000000000001</v>
      </c>
      <c r="H702" s="3">
        <v>10296.599399999999</v>
      </c>
      <c r="I702" s="1" t="s">
        <v>17</v>
      </c>
      <c r="J702" s="1" t="s">
        <v>18</v>
      </c>
      <c r="K702" s="1" t="s">
        <v>19</v>
      </c>
    </row>
    <row r="703" spans="1:11" ht="12.75" customHeight="1" x14ac:dyDescent="0.2">
      <c r="A703" s="1" t="s">
        <v>943</v>
      </c>
      <c r="B703" s="1" t="s">
        <v>944</v>
      </c>
      <c r="C703" s="2">
        <v>140</v>
      </c>
      <c r="D703" s="2">
        <v>560</v>
      </c>
      <c r="E703" s="2">
        <v>0</v>
      </c>
      <c r="F703" s="2">
        <v>0</v>
      </c>
      <c r="G703" s="2">
        <v>4.9593999999999996</v>
      </c>
      <c r="H703" s="3">
        <v>694.31600000000003</v>
      </c>
      <c r="I703" s="1" t="s">
        <v>24</v>
      </c>
      <c r="J703" s="1" t="s">
        <v>25</v>
      </c>
      <c r="K703" s="1" t="s">
        <v>26</v>
      </c>
    </row>
    <row r="704" spans="1:11" ht="12.75" customHeight="1" x14ac:dyDescent="0.2">
      <c r="A704" s="1" t="s">
        <v>943</v>
      </c>
      <c r="B704" s="1" t="s">
        <v>944</v>
      </c>
      <c r="C704" s="2">
        <v>1537</v>
      </c>
      <c r="D704" s="2">
        <v>6148</v>
      </c>
      <c r="E704" s="2">
        <v>0</v>
      </c>
      <c r="F704" s="2">
        <v>0</v>
      </c>
      <c r="G704" s="2">
        <v>5.7030000000000003</v>
      </c>
      <c r="H704" s="3">
        <v>8765.5110000000004</v>
      </c>
      <c r="I704" s="1" t="s">
        <v>330</v>
      </c>
      <c r="J704" s="1" t="s">
        <v>331</v>
      </c>
      <c r="K704" s="1" t="s">
        <v>332</v>
      </c>
    </row>
    <row r="705" spans="1:11" ht="12.75" customHeight="1" x14ac:dyDescent="0.2">
      <c r="A705" s="1" t="s">
        <v>945</v>
      </c>
      <c r="B705" s="1" t="s">
        <v>946</v>
      </c>
      <c r="C705" s="2">
        <v>3276</v>
      </c>
      <c r="D705" s="2">
        <v>16380</v>
      </c>
      <c r="E705" s="2">
        <v>0</v>
      </c>
      <c r="F705" s="2">
        <v>0</v>
      </c>
      <c r="G705" s="2">
        <v>5.2824999999999998</v>
      </c>
      <c r="H705" s="3">
        <v>17305.47</v>
      </c>
      <c r="I705" s="1" t="s">
        <v>17</v>
      </c>
      <c r="J705" s="1" t="s">
        <v>18</v>
      </c>
      <c r="K705" s="1" t="s">
        <v>19</v>
      </c>
    </row>
    <row r="706" spans="1:11" ht="12.75" customHeight="1" x14ac:dyDescent="0.2">
      <c r="A706" s="1" t="s">
        <v>945</v>
      </c>
      <c r="B706" s="1" t="s">
        <v>946</v>
      </c>
      <c r="C706" s="2">
        <v>773</v>
      </c>
      <c r="D706" s="2">
        <v>3865</v>
      </c>
      <c r="E706" s="2">
        <v>0</v>
      </c>
      <c r="F706" s="2">
        <v>0</v>
      </c>
      <c r="G706" s="2">
        <v>4.8421000000000003</v>
      </c>
      <c r="H706" s="3">
        <v>3742.9432999999999</v>
      </c>
      <c r="I706" s="1" t="s">
        <v>24</v>
      </c>
      <c r="J706" s="1" t="s">
        <v>25</v>
      </c>
      <c r="K706" s="1" t="s">
        <v>26</v>
      </c>
    </row>
    <row r="707" spans="1:11" ht="12.75" customHeight="1" x14ac:dyDescent="0.2">
      <c r="A707" s="1" t="s">
        <v>945</v>
      </c>
      <c r="B707" s="1" t="s">
        <v>946</v>
      </c>
      <c r="C707" s="2">
        <v>112</v>
      </c>
      <c r="D707" s="2">
        <v>560</v>
      </c>
      <c r="E707" s="2">
        <v>0</v>
      </c>
      <c r="F707" s="2">
        <v>0</v>
      </c>
      <c r="G707" s="2">
        <v>6.1763000000000003</v>
      </c>
      <c r="H707" s="3">
        <v>691.74559999999997</v>
      </c>
      <c r="I707" s="1" t="s">
        <v>125</v>
      </c>
      <c r="J707" s="1" t="s">
        <v>126</v>
      </c>
      <c r="K707" s="1" t="s">
        <v>127</v>
      </c>
    </row>
    <row r="708" spans="1:11" ht="12.75" customHeight="1" x14ac:dyDescent="0.2">
      <c r="A708" s="1" t="s">
        <v>945</v>
      </c>
      <c r="B708" s="1" t="s">
        <v>946</v>
      </c>
      <c r="C708" s="2">
        <v>2961</v>
      </c>
      <c r="D708" s="2">
        <v>14805</v>
      </c>
      <c r="E708" s="2">
        <v>0</v>
      </c>
      <c r="F708" s="2">
        <v>0</v>
      </c>
      <c r="G708" s="2">
        <v>4.8421000000000003</v>
      </c>
      <c r="H708" s="3">
        <v>14337.4581</v>
      </c>
      <c r="I708" s="1" t="s">
        <v>330</v>
      </c>
      <c r="J708" s="1" t="s">
        <v>331</v>
      </c>
      <c r="K708" s="1" t="s">
        <v>332</v>
      </c>
    </row>
    <row r="709" spans="1:11" ht="12.75" customHeight="1" x14ac:dyDescent="0.2">
      <c r="A709" s="1" t="s">
        <v>947</v>
      </c>
      <c r="B709" s="1" t="s">
        <v>948</v>
      </c>
      <c r="C709" s="2">
        <v>1986</v>
      </c>
      <c r="D709" s="2">
        <v>9930</v>
      </c>
      <c r="E709" s="2">
        <v>0</v>
      </c>
      <c r="F709" s="2">
        <v>0</v>
      </c>
      <c r="G709" s="2">
        <v>7.2455999999999996</v>
      </c>
      <c r="H709" s="3">
        <v>14389.7616</v>
      </c>
      <c r="I709" s="1" t="s">
        <v>17</v>
      </c>
      <c r="J709" s="1" t="s">
        <v>18</v>
      </c>
      <c r="K709" s="1" t="s">
        <v>19</v>
      </c>
    </row>
    <row r="710" spans="1:11" ht="12.75" customHeight="1" x14ac:dyDescent="0.2">
      <c r="A710" s="1" t="s">
        <v>947</v>
      </c>
      <c r="B710" s="1" t="s">
        <v>948</v>
      </c>
      <c r="C710" s="2">
        <v>140</v>
      </c>
      <c r="D710" s="2">
        <v>700</v>
      </c>
      <c r="E710" s="2">
        <v>0</v>
      </c>
      <c r="F710" s="2">
        <v>0</v>
      </c>
      <c r="G710" s="2">
        <v>6.1763000000000003</v>
      </c>
      <c r="H710" s="3">
        <v>864.68200000000002</v>
      </c>
      <c r="I710" s="1" t="s">
        <v>24</v>
      </c>
      <c r="J710" s="1" t="s">
        <v>25</v>
      </c>
      <c r="K710" s="1" t="s">
        <v>26</v>
      </c>
    </row>
    <row r="711" spans="1:11" ht="12.75" customHeight="1" x14ac:dyDescent="0.2">
      <c r="A711" s="1" t="s">
        <v>949</v>
      </c>
      <c r="B711" s="1" t="s">
        <v>950</v>
      </c>
      <c r="C711" s="2">
        <v>155</v>
      </c>
      <c r="D711" s="2">
        <v>930</v>
      </c>
      <c r="E711" s="2">
        <v>0</v>
      </c>
      <c r="F711" s="2">
        <v>0</v>
      </c>
      <c r="G711" s="2">
        <v>7.1742999999999997</v>
      </c>
      <c r="H711" s="3">
        <v>1112.0165</v>
      </c>
      <c r="I711" s="1" t="s">
        <v>17</v>
      </c>
      <c r="J711" s="1" t="s">
        <v>18</v>
      </c>
      <c r="K711" s="1" t="s">
        <v>19</v>
      </c>
    </row>
    <row r="712" spans="1:11" ht="12.75" customHeight="1" x14ac:dyDescent="0.2">
      <c r="A712" s="1" t="s">
        <v>949</v>
      </c>
      <c r="B712" s="1" t="s">
        <v>950</v>
      </c>
      <c r="C712" s="2">
        <v>197</v>
      </c>
      <c r="D712" s="2">
        <v>1182</v>
      </c>
      <c r="E712" s="2">
        <v>0</v>
      </c>
      <c r="F712" s="2">
        <v>0</v>
      </c>
      <c r="G712" s="2">
        <v>6.8029000000000002</v>
      </c>
      <c r="H712" s="3">
        <v>1340.1713</v>
      </c>
      <c r="I712" s="1" t="s">
        <v>24</v>
      </c>
      <c r="J712" s="1" t="s">
        <v>25</v>
      </c>
      <c r="K712" s="1" t="s">
        <v>26</v>
      </c>
    </row>
    <row r="713" spans="1:11" ht="12.75" customHeight="1" x14ac:dyDescent="0.2">
      <c r="A713" s="1" t="s">
        <v>949</v>
      </c>
      <c r="B713" s="1" t="s">
        <v>950</v>
      </c>
      <c r="C713" s="2">
        <v>3381</v>
      </c>
      <c r="D713" s="2">
        <v>20286</v>
      </c>
      <c r="E713" s="2">
        <v>0</v>
      </c>
      <c r="F713" s="2">
        <v>0</v>
      </c>
      <c r="G713" s="2">
        <v>6.8029000000000002</v>
      </c>
      <c r="H713" s="3">
        <v>23000.604899999998</v>
      </c>
      <c r="I713" s="1" t="s">
        <v>330</v>
      </c>
      <c r="J713" s="1" t="s">
        <v>331</v>
      </c>
      <c r="K713" s="1" t="s">
        <v>332</v>
      </c>
    </row>
    <row r="714" spans="1:11" ht="12.75" customHeight="1" x14ac:dyDescent="0.2">
      <c r="A714" s="1" t="s">
        <v>951</v>
      </c>
      <c r="B714" s="1" t="s">
        <v>952</v>
      </c>
      <c r="C714" s="2">
        <v>1087</v>
      </c>
      <c r="D714" s="2">
        <v>6522</v>
      </c>
      <c r="E714" s="2">
        <v>0</v>
      </c>
      <c r="F714" s="2">
        <v>0</v>
      </c>
      <c r="G714" s="2">
        <v>8.7571999999999992</v>
      </c>
      <c r="H714" s="3">
        <v>9519.0763999999999</v>
      </c>
      <c r="I714" s="1" t="s">
        <v>17</v>
      </c>
      <c r="J714" s="1" t="s">
        <v>18</v>
      </c>
      <c r="K714" s="1" t="s">
        <v>19</v>
      </c>
    </row>
    <row r="715" spans="1:11" ht="12.75" customHeight="1" x14ac:dyDescent="0.2">
      <c r="A715" s="1" t="s">
        <v>951</v>
      </c>
      <c r="B715" s="1" t="s">
        <v>952</v>
      </c>
      <c r="C715" s="2">
        <v>79</v>
      </c>
      <c r="D715" s="2">
        <v>474</v>
      </c>
      <c r="E715" s="2">
        <v>0</v>
      </c>
      <c r="F715" s="2">
        <v>0</v>
      </c>
      <c r="G715" s="2">
        <v>9.2555999999999994</v>
      </c>
      <c r="H715" s="3">
        <v>731.19240000000002</v>
      </c>
      <c r="I715" s="1" t="s">
        <v>330</v>
      </c>
      <c r="J715" s="1" t="s">
        <v>331</v>
      </c>
      <c r="K715" s="1" t="s">
        <v>332</v>
      </c>
    </row>
    <row r="716" spans="1:11" ht="12.75" customHeight="1" x14ac:dyDescent="0.2">
      <c r="A716" s="1" t="s">
        <v>953</v>
      </c>
      <c r="B716" s="1" t="s">
        <v>954</v>
      </c>
      <c r="C716" s="2">
        <v>1053</v>
      </c>
      <c r="D716" s="2">
        <v>7371</v>
      </c>
      <c r="E716" s="2">
        <v>0</v>
      </c>
      <c r="F716" s="2">
        <v>0</v>
      </c>
      <c r="G716" s="2">
        <v>7.9501999999999997</v>
      </c>
      <c r="H716" s="3">
        <v>8371.5606000000007</v>
      </c>
      <c r="I716" s="1" t="s">
        <v>330</v>
      </c>
      <c r="J716" s="1" t="s">
        <v>331</v>
      </c>
      <c r="K716" s="1" t="s">
        <v>332</v>
      </c>
    </row>
    <row r="717" spans="1:11" ht="12.75" customHeight="1" x14ac:dyDescent="0.2">
      <c r="A717" s="1" t="s">
        <v>955</v>
      </c>
      <c r="B717" s="1" t="s">
        <v>956</v>
      </c>
      <c r="C717" s="2">
        <v>422</v>
      </c>
      <c r="D717" s="2">
        <v>2954</v>
      </c>
      <c r="E717" s="2">
        <v>0</v>
      </c>
      <c r="F717" s="2">
        <v>0</v>
      </c>
      <c r="G717" s="2">
        <v>10.1576</v>
      </c>
      <c r="H717" s="3">
        <v>4286.5072</v>
      </c>
      <c r="I717" s="1" t="s">
        <v>17</v>
      </c>
      <c r="J717" s="1" t="s">
        <v>18</v>
      </c>
      <c r="K717" s="1" t="s">
        <v>19</v>
      </c>
    </row>
    <row r="718" spans="1:11" ht="12.75" customHeight="1" x14ac:dyDescent="0.2">
      <c r="A718" s="1" t="s">
        <v>955</v>
      </c>
      <c r="B718" s="1" t="s">
        <v>956</v>
      </c>
      <c r="C718" s="2">
        <v>18</v>
      </c>
      <c r="D718" s="2">
        <v>126</v>
      </c>
      <c r="E718" s="2">
        <v>0</v>
      </c>
      <c r="F718" s="2">
        <v>0</v>
      </c>
      <c r="G718" s="2">
        <v>10.2043</v>
      </c>
      <c r="H718" s="3">
        <v>183.67740000000001</v>
      </c>
      <c r="I718" s="1" t="s">
        <v>125</v>
      </c>
      <c r="J718" s="1" t="s">
        <v>126</v>
      </c>
      <c r="K718" s="1" t="s">
        <v>127</v>
      </c>
    </row>
    <row r="719" spans="1:11" ht="12.75" customHeight="1" x14ac:dyDescent="0.2">
      <c r="A719" s="1" t="s">
        <v>955</v>
      </c>
      <c r="B719" s="1" t="s">
        <v>956</v>
      </c>
      <c r="C719" s="2">
        <v>231</v>
      </c>
      <c r="D719" s="2">
        <v>1617</v>
      </c>
      <c r="E719" s="2">
        <v>0</v>
      </c>
      <c r="F719" s="2">
        <v>0</v>
      </c>
      <c r="G719" s="2">
        <v>10.0634</v>
      </c>
      <c r="H719" s="3">
        <v>2324.6453999999999</v>
      </c>
      <c r="I719" s="1" t="s">
        <v>330</v>
      </c>
      <c r="J719" s="1" t="s">
        <v>331</v>
      </c>
      <c r="K719" s="1" t="s">
        <v>332</v>
      </c>
    </row>
    <row r="720" spans="1:11" ht="12.75" customHeight="1" x14ac:dyDescent="0.2">
      <c r="A720" s="1" t="s">
        <v>957</v>
      </c>
      <c r="B720" s="1" t="s">
        <v>958</v>
      </c>
      <c r="C720" s="2">
        <v>430</v>
      </c>
      <c r="D720" s="2">
        <v>3440</v>
      </c>
      <c r="E720" s="2">
        <v>0</v>
      </c>
      <c r="F720" s="2">
        <v>0</v>
      </c>
      <c r="G720" s="2">
        <v>25.601500000000001</v>
      </c>
      <c r="H720" s="3">
        <v>11008.645</v>
      </c>
      <c r="I720" s="1" t="s">
        <v>17</v>
      </c>
      <c r="J720" s="1" t="s">
        <v>18</v>
      </c>
      <c r="K720" s="1" t="s">
        <v>19</v>
      </c>
    </row>
    <row r="721" spans="1:11" ht="12.75" customHeight="1" x14ac:dyDescent="0.2">
      <c r="A721" s="1" t="s">
        <v>957</v>
      </c>
      <c r="B721" s="1" t="s">
        <v>958</v>
      </c>
      <c r="C721" s="2">
        <v>105</v>
      </c>
      <c r="D721" s="2">
        <v>840</v>
      </c>
      <c r="E721" s="2">
        <v>0</v>
      </c>
      <c r="F721" s="2">
        <v>0</v>
      </c>
      <c r="G721" s="2">
        <v>26.6997</v>
      </c>
      <c r="H721" s="3">
        <v>2803.4684999999999</v>
      </c>
      <c r="I721" s="1" t="s">
        <v>125</v>
      </c>
      <c r="J721" s="1" t="s">
        <v>126</v>
      </c>
      <c r="K721" s="1" t="s">
        <v>127</v>
      </c>
    </row>
    <row r="722" spans="1:11" ht="12.75" customHeight="1" x14ac:dyDescent="0.2">
      <c r="A722" s="1" t="s">
        <v>957</v>
      </c>
      <c r="B722" s="1" t="s">
        <v>958</v>
      </c>
      <c r="C722" s="2">
        <v>819</v>
      </c>
      <c r="D722" s="2">
        <v>6552</v>
      </c>
      <c r="E722" s="2">
        <v>0</v>
      </c>
      <c r="F722" s="2">
        <v>0</v>
      </c>
      <c r="G722" s="2">
        <v>26.1402</v>
      </c>
      <c r="H722" s="3">
        <v>21408.823799999998</v>
      </c>
      <c r="I722" s="1" t="s">
        <v>330</v>
      </c>
      <c r="J722" s="1" t="s">
        <v>331</v>
      </c>
      <c r="K722" s="1" t="s">
        <v>332</v>
      </c>
    </row>
    <row r="723" spans="1:11" ht="12.75" customHeight="1" x14ac:dyDescent="0.2">
      <c r="A723" s="1" t="s">
        <v>959</v>
      </c>
      <c r="B723" s="1" t="s">
        <v>960</v>
      </c>
      <c r="C723" s="2">
        <v>709</v>
      </c>
      <c r="D723" s="2">
        <v>5672</v>
      </c>
      <c r="E723" s="2">
        <v>0</v>
      </c>
      <c r="F723" s="2">
        <v>0</v>
      </c>
      <c r="G723" s="2">
        <v>29.6889</v>
      </c>
      <c r="H723" s="3">
        <v>21049.430100000001</v>
      </c>
      <c r="I723" s="1" t="s">
        <v>17</v>
      </c>
      <c r="J723" s="1" t="s">
        <v>18</v>
      </c>
      <c r="K723" s="1" t="s">
        <v>19</v>
      </c>
    </row>
    <row r="724" spans="1:11" ht="12.75" customHeight="1" x14ac:dyDescent="0.2">
      <c r="A724" s="1" t="s">
        <v>959</v>
      </c>
      <c r="B724" s="1" t="s">
        <v>960</v>
      </c>
      <c r="C724" s="2">
        <v>147</v>
      </c>
      <c r="D724" s="2">
        <v>1176</v>
      </c>
      <c r="E724" s="2">
        <v>0</v>
      </c>
      <c r="F724" s="2">
        <v>0</v>
      </c>
      <c r="G724" s="2">
        <v>28.547599999999999</v>
      </c>
      <c r="H724" s="3">
        <v>4196.4971999999998</v>
      </c>
      <c r="I724" s="1" t="s">
        <v>24</v>
      </c>
      <c r="J724" s="1" t="s">
        <v>25</v>
      </c>
      <c r="K724" s="1" t="s">
        <v>26</v>
      </c>
    </row>
    <row r="725" spans="1:11" ht="12.75" customHeight="1" x14ac:dyDescent="0.2">
      <c r="A725" s="1" t="s">
        <v>959</v>
      </c>
      <c r="B725" s="1" t="s">
        <v>960</v>
      </c>
      <c r="C725" s="2">
        <v>2956</v>
      </c>
      <c r="D725" s="2">
        <v>23648</v>
      </c>
      <c r="E725" s="2">
        <v>0</v>
      </c>
      <c r="F725" s="2">
        <v>763</v>
      </c>
      <c r="G725" s="2">
        <v>30.443200000000001</v>
      </c>
      <c r="H725" s="3">
        <v>89990.099199999997</v>
      </c>
      <c r="I725" s="1" t="s">
        <v>330</v>
      </c>
      <c r="J725" s="1" t="s">
        <v>331</v>
      </c>
      <c r="K725" s="1" t="s">
        <v>332</v>
      </c>
    </row>
    <row r="726" spans="1:11" ht="12.75" customHeight="1" x14ac:dyDescent="0.2">
      <c r="A726" s="1" t="s">
        <v>959</v>
      </c>
      <c r="B726" s="1" t="s">
        <v>960</v>
      </c>
      <c r="C726" s="2">
        <v>932</v>
      </c>
      <c r="D726" s="2">
        <v>7456</v>
      </c>
      <c r="E726" s="2">
        <v>0</v>
      </c>
      <c r="F726" s="2">
        <v>0</v>
      </c>
      <c r="G726" s="2">
        <v>33.8673</v>
      </c>
      <c r="H726" s="3">
        <v>31564.3236</v>
      </c>
      <c r="I726" s="1" t="s">
        <v>613</v>
      </c>
      <c r="J726" s="1" t="s">
        <v>614</v>
      </c>
      <c r="K726" s="1" t="s">
        <v>615</v>
      </c>
    </row>
    <row r="727" spans="1:11" ht="12.75" customHeight="1" x14ac:dyDescent="0.2">
      <c r="A727" s="1" t="s">
        <v>961</v>
      </c>
      <c r="B727" s="1" t="s">
        <v>962</v>
      </c>
      <c r="C727" s="2">
        <v>42</v>
      </c>
      <c r="D727" s="2">
        <v>336</v>
      </c>
      <c r="E727" s="2">
        <v>0</v>
      </c>
      <c r="F727" s="2">
        <v>0</v>
      </c>
      <c r="G727" s="2">
        <v>16.698799999999999</v>
      </c>
      <c r="H727" s="3">
        <v>701.34960000000001</v>
      </c>
      <c r="I727" s="1" t="s">
        <v>17</v>
      </c>
      <c r="J727" s="1" t="s">
        <v>18</v>
      </c>
      <c r="K727" s="1" t="s">
        <v>19</v>
      </c>
    </row>
    <row r="728" spans="1:11" ht="12.75" customHeight="1" x14ac:dyDescent="0.2">
      <c r="A728" s="1" t="s">
        <v>961</v>
      </c>
      <c r="B728" s="1" t="s">
        <v>962</v>
      </c>
      <c r="C728" s="2">
        <v>774</v>
      </c>
      <c r="D728" s="2">
        <v>6192</v>
      </c>
      <c r="E728" s="2">
        <v>0</v>
      </c>
      <c r="F728" s="2">
        <v>0</v>
      </c>
      <c r="G728" s="2">
        <v>15.5703</v>
      </c>
      <c r="H728" s="3">
        <v>12051.412200000001</v>
      </c>
      <c r="I728" s="1" t="s">
        <v>125</v>
      </c>
      <c r="J728" s="1" t="s">
        <v>126</v>
      </c>
      <c r="K728" s="1" t="s">
        <v>127</v>
      </c>
    </row>
    <row r="729" spans="1:11" ht="12.75" customHeight="1" x14ac:dyDescent="0.2">
      <c r="A729" s="1" t="s">
        <v>961</v>
      </c>
      <c r="B729" s="1" t="s">
        <v>962</v>
      </c>
      <c r="C729" s="2">
        <v>874</v>
      </c>
      <c r="D729" s="2">
        <v>6992</v>
      </c>
      <c r="E729" s="2">
        <v>0</v>
      </c>
      <c r="F729" s="2">
        <v>0</v>
      </c>
      <c r="G729" s="2">
        <v>15.5703</v>
      </c>
      <c r="H729" s="3">
        <v>13608.4422</v>
      </c>
      <c r="I729" s="1" t="s">
        <v>330</v>
      </c>
      <c r="J729" s="1" t="s">
        <v>331</v>
      </c>
      <c r="K729" s="1" t="s">
        <v>332</v>
      </c>
    </row>
    <row r="730" spans="1:11" ht="12.75" customHeight="1" x14ac:dyDescent="0.2">
      <c r="A730" s="1" t="s">
        <v>963</v>
      </c>
      <c r="B730" s="1" t="s">
        <v>964</v>
      </c>
      <c r="C730" s="2">
        <v>30</v>
      </c>
      <c r="D730" s="2">
        <v>0</v>
      </c>
      <c r="E730" s="2">
        <v>0</v>
      </c>
      <c r="F730" s="2">
        <v>0</v>
      </c>
      <c r="G730" s="2">
        <v>12.9</v>
      </c>
      <c r="H730" s="3">
        <v>387</v>
      </c>
      <c r="I730" s="1" t="s">
        <v>125</v>
      </c>
      <c r="J730" s="1" t="s">
        <v>126</v>
      </c>
      <c r="K730" s="1" t="s">
        <v>127</v>
      </c>
    </row>
    <row r="731" spans="1:11" ht="12.75" customHeight="1" x14ac:dyDescent="0.2">
      <c r="A731" s="1" t="s">
        <v>965</v>
      </c>
      <c r="B731" s="1" t="s">
        <v>966</v>
      </c>
      <c r="C731" s="2">
        <v>24</v>
      </c>
      <c r="D731" s="2">
        <v>0</v>
      </c>
      <c r="E731" s="2">
        <v>0</v>
      </c>
      <c r="F731" s="2">
        <v>0</v>
      </c>
      <c r="G731" s="2">
        <v>123.01819999999999</v>
      </c>
      <c r="H731" s="3">
        <v>2952.4367999999999</v>
      </c>
      <c r="I731" s="1" t="s">
        <v>17</v>
      </c>
      <c r="J731" s="1" t="s">
        <v>18</v>
      </c>
      <c r="K731" s="1" t="s">
        <v>19</v>
      </c>
    </row>
    <row r="732" spans="1:11" ht="12.75" customHeight="1" x14ac:dyDescent="0.2">
      <c r="A732" s="1" t="s">
        <v>967</v>
      </c>
      <c r="B732" s="1" t="s">
        <v>968</v>
      </c>
      <c r="C732" s="2">
        <v>32</v>
      </c>
      <c r="D732" s="2">
        <v>416</v>
      </c>
      <c r="E732" s="2">
        <v>0</v>
      </c>
      <c r="F732" s="2">
        <v>0</v>
      </c>
      <c r="G732" s="2">
        <v>32.301000000000002</v>
      </c>
      <c r="H732" s="3">
        <v>1033.6320000000001</v>
      </c>
      <c r="I732" s="1" t="s">
        <v>17</v>
      </c>
      <c r="J732" s="1" t="s">
        <v>18</v>
      </c>
      <c r="K732" s="1" t="s">
        <v>19</v>
      </c>
    </row>
    <row r="733" spans="1:11" ht="12.75" customHeight="1" x14ac:dyDescent="0.2">
      <c r="A733" s="1" t="s">
        <v>4318</v>
      </c>
      <c r="B733" s="1" t="s">
        <v>6144</v>
      </c>
      <c r="C733" s="2">
        <v>200</v>
      </c>
      <c r="D733" s="2">
        <v>0</v>
      </c>
      <c r="E733" s="2">
        <v>0</v>
      </c>
      <c r="F733" s="2">
        <v>0</v>
      </c>
      <c r="G733" s="2">
        <v>16.709099999999999</v>
      </c>
      <c r="H733" s="3">
        <v>3341.82</v>
      </c>
      <c r="I733" s="1" t="s">
        <v>613</v>
      </c>
      <c r="J733" s="1" t="s">
        <v>614</v>
      </c>
      <c r="K733" s="1" t="s">
        <v>615</v>
      </c>
    </row>
    <row r="734" spans="1:11" ht="12.75" customHeight="1" x14ac:dyDescent="0.2">
      <c r="A734" s="1" t="s">
        <v>4391</v>
      </c>
      <c r="B734" s="1" t="s">
        <v>6230</v>
      </c>
      <c r="C734" s="2">
        <v>100</v>
      </c>
      <c r="D734" s="2">
        <v>0</v>
      </c>
      <c r="E734" s="2">
        <v>0</v>
      </c>
      <c r="F734" s="2">
        <v>0</v>
      </c>
      <c r="G734" s="2">
        <v>16.701799999999999</v>
      </c>
      <c r="H734" s="3">
        <v>1670.18</v>
      </c>
      <c r="I734" s="1" t="s">
        <v>613</v>
      </c>
      <c r="J734" s="1" t="s">
        <v>614</v>
      </c>
      <c r="K734" s="1" t="s">
        <v>615</v>
      </c>
    </row>
    <row r="735" spans="1:11" ht="12.75" customHeight="1" x14ac:dyDescent="0.2">
      <c r="A735" s="1" t="s">
        <v>4481</v>
      </c>
      <c r="B735" s="1" t="s">
        <v>6231</v>
      </c>
      <c r="C735" s="2">
        <v>200</v>
      </c>
      <c r="D735" s="2">
        <v>0</v>
      </c>
      <c r="E735" s="2">
        <v>0</v>
      </c>
      <c r="F735" s="2">
        <v>0</v>
      </c>
      <c r="G735" s="2">
        <v>16.701599999999999</v>
      </c>
      <c r="H735" s="3">
        <v>3340.32</v>
      </c>
      <c r="I735" s="1" t="s">
        <v>613</v>
      </c>
      <c r="J735" s="1" t="s">
        <v>614</v>
      </c>
      <c r="K735" s="1" t="s">
        <v>615</v>
      </c>
    </row>
    <row r="736" spans="1:11" ht="12.75" customHeight="1" x14ac:dyDescent="0.2">
      <c r="A736" s="1" t="s">
        <v>4501</v>
      </c>
      <c r="B736" s="1" t="s">
        <v>6232</v>
      </c>
      <c r="C736" s="2">
        <v>100</v>
      </c>
      <c r="D736" s="2">
        <v>0</v>
      </c>
      <c r="E736" s="2">
        <v>0</v>
      </c>
      <c r="F736" s="2">
        <v>0</v>
      </c>
      <c r="G736" s="2">
        <v>16.701599999999999</v>
      </c>
      <c r="H736" s="3">
        <v>1670.16</v>
      </c>
      <c r="I736" s="1" t="s">
        <v>613</v>
      </c>
      <c r="J736" s="1" t="s">
        <v>614</v>
      </c>
      <c r="K736" s="1" t="s">
        <v>615</v>
      </c>
    </row>
    <row r="737" spans="1:11" ht="12.75" customHeight="1" x14ac:dyDescent="0.2">
      <c r="A737" s="1" t="s">
        <v>969</v>
      </c>
      <c r="B737" s="1" t="s">
        <v>970</v>
      </c>
      <c r="C737" s="2">
        <v>230</v>
      </c>
      <c r="D737" s="2">
        <v>3680</v>
      </c>
      <c r="E737" s="2">
        <v>0</v>
      </c>
      <c r="F737" s="2">
        <v>0</v>
      </c>
      <c r="G737" s="2">
        <v>39.501600000000003</v>
      </c>
      <c r="H737" s="3">
        <v>9085.3680000000004</v>
      </c>
      <c r="I737" s="1" t="s">
        <v>330</v>
      </c>
      <c r="J737" s="1" t="s">
        <v>331</v>
      </c>
      <c r="K737" s="1" t="s">
        <v>332</v>
      </c>
    </row>
    <row r="738" spans="1:11" ht="12.75" customHeight="1" x14ac:dyDescent="0.2">
      <c r="A738" s="1" t="s">
        <v>969</v>
      </c>
      <c r="B738" s="1" t="s">
        <v>970</v>
      </c>
      <c r="C738" s="2">
        <v>230</v>
      </c>
      <c r="D738" s="2">
        <v>3680</v>
      </c>
      <c r="E738" s="2">
        <v>0</v>
      </c>
      <c r="F738" s="2">
        <v>0</v>
      </c>
      <c r="G738" s="2">
        <v>39.501600000000003</v>
      </c>
      <c r="H738" s="3">
        <v>9085.3680000000004</v>
      </c>
      <c r="I738" s="1" t="s">
        <v>6129</v>
      </c>
      <c r="J738" s="1" t="s">
        <v>4176</v>
      </c>
      <c r="K738" s="1" t="s">
        <v>6130</v>
      </c>
    </row>
    <row r="739" spans="1:11" ht="12.75" customHeight="1" x14ac:dyDescent="0.2">
      <c r="A739" s="1" t="s">
        <v>971</v>
      </c>
      <c r="B739" s="1" t="s">
        <v>972</v>
      </c>
      <c r="C739" s="2">
        <v>1554</v>
      </c>
      <c r="D739" s="2">
        <v>24864</v>
      </c>
      <c r="E739" s="2">
        <v>0</v>
      </c>
      <c r="F739" s="2">
        <v>4059</v>
      </c>
      <c r="G739" s="2">
        <v>21.2516</v>
      </c>
      <c r="H739" s="3">
        <v>33024.986400000002</v>
      </c>
      <c r="I739" s="1" t="s">
        <v>12</v>
      </c>
      <c r="J739" s="1" t="s">
        <v>13</v>
      </c>
      <c r="K739" s="1" t="s">
        <v>14</v>
      </c>
    </row>
    <row r="740" spans="1:11" ht="12.75" customHeight="1" x14ac:dyDescent="0.2">
      <c r="A740" s="1" t="s">
        <v>971</v>
      </c>
      <c r="B740" s="1" t="s">
        <v>972</v>
      </c>
      <c r="C740" s="2">
        <v>45</v>
      </c>
      <c r="D740" s="2">
        <v>720</v>
      </c>
      <c r="E740" s="2">
        <v>0</v>
      </c>
      <c r="F740" s="2">
        <v>0</v>
      </c>
      <c r="G740" s="2">
        <v>23.135100000000001</v>
      </c>
      <c r="H740" s="3">
        <v>1041.0795000000001</v>
      </c>
      <c r="I740" s="1" t="s">
        <v>17</v>
      </c>
      <c r="J740" s="1" t="s">
        <v>18</v>
      </c>
      <c r="K740" s="1" t="s">
        <v>19</v>
      </c>
    </row>
    <row r="741" spans="1:11" ht="12.75" customHeight="1" x14ac:dyDescent="0.2">
      <c r="A741" s="1" t="s">
        <v>971</v>
      </c>
      <c r="B741" s="1" t="s">
        <v>972</v>
      </c>
      <c r="C741" s="2">
        <v>2688</v>
      </c>
      <c r="D741" s="2">
        <v>43008</v>
      </c>
      <c r="E741" s="2">
        <v>0</v>
      </c>
      <c r="F741" s="2">
        <v>0</v>
      </c>
      <c r="G741" s="2">
        <v>21.2516</v>
      </c>
      <c r="H741" s="3">
        <v>57124.300799999997</v>
      </c>
      <c r="I741" s="1" t="s">
        <v>613</v>
      </c>
      <c r="J741" s="1" t="s">
        <v>614</v>
      </c>
      <c r="K741" s="1" t="s">
        <v>615</v>
      </c>
    </row>
    <row r="742" spans="1:11" ht="12.75" customHeight="1" x14ac:dyDescent="0.2">
      <c r="A742" s="1" t="s">
        <v>973</v>
      </c>
      <c r="B742" s="1" t="s">
        <v>974</v>
      </c>
      <c r="C742" s="2">
        <v>958</v>
      </c>
      <c r="D742" s="2">
        <v>15328</v>
      </c>
      <c r="E742" s="2">
        <v>0</v>
      </c>
      <c r="F742" s="2">
        <v>0</v>
      </c>
      <c r="G742" s="2">
        <v>28.864599999999999</v>
      </c>
      <c r="H742" s="3">
        <v>27652.286800000002</v>
      </c>
      <c r="I742" s="1" t="s">
        <v>330</v>
      </c>
      <c r="J742" s="1" t="s">
        <v>331</v>
      </c>
      <c r="K742" s="1" t="s">
        <v>332</v>
      </c>
    </row>
    <row r="743" spans="1:11" ht="12.75" customHeight="1" x14ac:dyDescent="0.2">
      <c r="A743" s="1" t="s">
        <v>973</v>
      </c>
      <c r="B743" s="1" t="s">
        <v>974</v>
      </c>
      <c r="C743" s="2">
        <v>276</v>
      </c>
      <c r="D743" s="2">
        <v>4416</v>
      </c>
      <c r="E743" s="2">
        <v>0</v>
      </c>
      <c r="F743" s="2">
        <v>0</v>
      </c>
      <c r="G743" s="2">
        <v>28.864599999999999</v>
      </c>
      <c r="H743" s="3">
        <v>7966.6296000000002</v>
      </c>
      <c r="I743" s="1" t="s">
        <v>6129</v>
      </c>
      <c r="J743" s="1" t="s">
        <v>4176</v>
      </c>
      <c r="K743" s="1" t="s">
        <v>6130</v>
      </c>
    </row>
    <row r="744" spans="1:11" ht="12.75" customHeight="1" x14ac:dyDescent="0.2">
      <c r="A744" s="1" t="s">
        <v>975</v>
      </c>
      <c r="B744" s="1" t="s">
        <v>976</v>
      </c>
      <c r="C744" s="2">
        <v>115</v>
      </c>
      <c r="D744" s="2">
        <v>0</v>
      </c>
      <c r="E744" s="2">
        <v>0</v>
      </c>
      <c r="F744" s="2">
        <v>0</v>
      </c>
      <c r="G744" s="2">
        <v>5.8586</v>
      </c>
      <c r="H744" s="3">
        <v>673.73900000000003</v>
      </c>
      <c r="I744" s="1" t="s">
        <v>17</v>
      </c>
      <c r="J744" s="1" t="s">
        <v>18</v>
      </c>
      <c r="K744" s="1" t="s">
        <v>19</v>
      </c>
    </row>
    <row r="745" spans="1:11" ht="12.75" customHeight="1" x14ac:dyDescent="0.2">
      <c r="A745" s="1" t="s">
        <v>977</v>
      </c>
      <c r="B745" s="1" t="s">
        <v>978</v>
      </c>
      <c r="C745" s="2">
        <v>180</v>
      </c>
      <c r="D745" s="2">
        <v>0</v>
      </c>
      <c r="E745" s="2">
        <v>0</v>
      </c>
      <c r="F745" s="2">
        <v>0</v>
      </c>
      <c r="G745" s="2">
        <v>13.65</v>
      </c>
      <c r="H745" s="3">
        <v>2457</v>
      </c>
      <c r="I745" s="1" t="s">
        <v>17</v>
      </c>
      <c r="J745" s="1" t="s">
        <v>18</v>
      </c>
      <c r="K745" s="1" t="s">
        <v>19</v>
      </c>
    </row>
    <row r="746" spans="1:11" ht="12.75" customHeight="1" x14ac:dyDescent="0.2">
      <c r="A746" s="1" t="s">
        <v>979</v>
      </c>
      <c r="B746" s="1" t="s">
        <v>980</v>
      </c>
      <c r="C746" s="2">
        <v>37</v>
      </c>
      <c r="D746" s="2">
        <v>0</v>
      </c>
      <c r="E746" s="2">
        <v>0</v>
      </c>
      <c r="F746" s="2">
        <v>0</v>
      </c>
      <c r="G746" s="2">
        <v>7.8281000000000001</v>
      </c>
      <c r="H746" s="3">
        <v>289.6397</v>
      </c>
      <c r="I746" s="1" t="s">
        <v>17</v>
      </c>
      <c r="J746" s="1" t="s">
        <v>18</v>
      </c>
      <c r="K746" s="1" t="s">
        <v>19</v>
      </c>
    </row>
    <row r="747" spans="1:11" ht="12.75" customHeight="1" x14ac:dyDescent="0.2">
      <c r="A747" s="1" t="s">
        <v>981</v>
      </c>
      <c r="B747" s="1" t="s">
        <v>982</v>
      </c>
      <c r="C747" s="2">
        <v>5</v>
      </c>
      <c r="D747" s="2">
        <v>0</v>
      </c>
      <c r="E747" s="2">
        <v>0</v>
      </c>
      <c r="F747" s="2">
        <v>0</v>
      </c>
      <c r="G747" s="2">
        <v>31.912400000000002</v>
      </c>
      <c r="H747" s="3">
        <v>159.56200000000001</v>
      </c>
      <c r="I747" s="1" t="s">
        <v>330</v>
      </c>
      <c r="J747" s="1" t="s">
        <v>331</v>
      </c>
      <c r="K747" s="1" t="s">
        <v>332</v>
      </c>
    </row>
    <row r="748" spans="1:11" ht="12.75" customHeight="1" x14ac:dyDescent="0.2">
      <c r="A748" s="1" t="s">
        <v>981</v>
      </c>
      <c r="B748" s="1" t="s">
        <v>982</v>
      </c>
      <c r="C748" s="2">
        <v>20</v>
      </c>
      <c r="D748" s="2">
        <v>0</v>
      </c>
      <c r="E748" s="2">
        <v>0</v>
      </c>
      <c r="F748" s="2">
        <v>0</v>
      </c>
      <c r="G748" s="2">
        <v>31.912400000000002</v>
      </c>
      <c r="H748" s="3">
        <v>638.24800000000005</v>
      </c>
      <c r="I748" s="1" t="s">
        <v>6129</v>
      </c>
      <c r="J748" s="1" t="s">
        <v>4176</v>
      </c>
      <c r="K748" s="1" t="s">
        <v>6130</v>
      </c>
    </row>
    <row r="749" spans="1:11" ht="12.75" customHeight="1" x14ac:dyDescent="0.2">
      <c r="A749" s="1" t="s">
        <v>983</v>
      </c>
      <c r="B749" s="1" t="s">
        <v>984</v>
      </c>
      <c r="C749" s="2">
        <v>15</v>
      </c>
      <c r="D749" s="2">
        <v>0</v>
      </c>
      <c r="E749" s="2">
        <v>0</v>
      </c>
      <c r="F749" s="2">
        <v>15</v>
      </c>
      <c r="G749" s="2">
        <v>9.7653999999999996</v>
      </c>
      <c r="H749" s="3">
        <v>146.48099999999999</v>
      </c>
      <c r="I749" s="1" t="s">
        <v>12</v>
      </c>
      <c r="J749" s="1" t="s">
        <v>13</v>
      </c>
      <c r="K749" s="1" t="s">
        <v>14</v>
      </c>
    </row>
    <row r="750" spans="1:11" ht="12.75" customHeight="1" x14ac:dyDescent="0.2">
      <c r="A750" s="1" t="s">
        <v>983</v>
      </c>
      <c r="B750" s="1" t="s">
        <v>984</v>
      </c>
      <c r="C750" s="2">
        <v>65</v>
      </c>
      <c r="D750" s="2">
        <v>0</v>
      </c>
      <c r="E750" s="2">
        <v>0</v>
      </c>
      <c r="F750" s="2">
        <v>0</v>
      </c>
      <c r="G750" s="2">
        <v>6.7251000000000003</v>
      </c>
      <c r="H750" s="3">
        <v>437.13150000000002</v>
      </c>
      <c r="I750" s="1" t="s">
        <v>330</v>
      </c>
      <c r="J750" s="1" t="s">
        <v>331</v>
      </c>
      <c r="K750" s="1" t="s">
        <v>332</v>
      </c>
    </row>
    <row r="751" spans="1:11" ht="12.75" customHeight="1" x14ac:dyDescent="0.2">
      <c r="A751" s="1" t="s">
        <v>985</v>
      </c>
      <c r="B751" s="1" t="s">
        <v>986</v>
      </c>
      <c r="C751" s="2">
        <v>5</v>
      </c>
      <c r="D751" s="2">
        <v>0</v>
      </c>
      <c r="E751" s="2">
        <v>0</v>
      </c>
      <c r="F751" s="2">
        <v>0</v>
      </c>
      <c r="G751" s="2">
        <v>21.209599999999998</v>
      </c>
      <c r="H751" s="3">
        <v>106.048</v>
      </c>
      <c r="I751" s="1" t="s">
        <v>330</v>
      </c>
      <c r="J751" s="1" t="s">
        <v>331</v>
      </c>
      <c r="K751" s="1" t="s">
        <v>332</v>
      </c>
    </row>
    <row r="752" spans="1:11" ht="12.75" customHeight="1" x14ac:dyDescent="0.2">
      <c r="A752" s="1" t="s">
        <v>985</v>
      </c>
      <c r="B752" s="1" t="s">
        <v>986</v>
      </c>
      <c r="C752" s="2">
        <v>20</v>
      </c>
      <c r="D752" s="2">
        <v>0</v>
      </c>
      <c r="E752" s="2">
        <v>0</v>
      </c>
      <c r="F752" s="2">
        <v>0</v>
      </c>
      <c r="G752" s="2">
        <v>21.209599999999998</v>
      </c>
      <c r="H752" s="3">
        <v>424.19200000000001</v>
      </c>
      <c r="I752" s="1" t="s">
        <v>6129</v>
      </c>
      <c r="J752" s="1" t="s">
        <v>4176</v>
      </c>
      <c r="K752" s="1" t="s">
        <v>6130</v>
      </c>
    </row>
    <row r="753" spans="1:11" ht="12.75" customHeight="1" x14ac:dyDescent="0.2">
      <c r="A753" s="1" t="s">
        <v>987</v>
      </c>
      <c r="B753" s="1" t="s">
        <v>988</v>
      </c>
      <c r="C753" s="2">
        <v>65</v>
      </c>
      <c r="D753" s="2">
        <v>0</v>
      </c>
      <c r="E753" s="2">
        <v>0</v>
      </c>
      <c r="F753" s="2">
        <v>0</v>
      </c>
      <c r="G753" s="2">
        <v>6.7251000000000003</v>
      </c>
      <c r="H753" s="3">
        <v>437.13150000000002</v>
      </c>
      <c r="I753" s="1" t="s">
        <v>330</v>
      </c>
      <c r="J753" s="1" t="s">
        <v>331</v>
      </c>
      <c r="K753" s="1" t="s">
        <v>332</v>
      </c>
    </row>
    <row r="754" spans="1:11" ht="12.75" customHeight="1" x14ac:dyDescent="0.2">
      <c r="A754" s="1" t="s">
        <v>989</v>
      </c>
      <c r="B754" s="1" t="s">
        <v>990</v>
      </c>
      <c r="C754" s="2">
        <v>25</v>
      </c>
      <c r="D754" s="2">
        <v>0</v>
      </c>
      <c r="E754" s="2">
        <v>0</v>
      </c>
      <c r="F754" s="2">
        <v>0</v>
      </c>
      <c r="G754" s="2">
        <v>34.427599999999998</v>
      </c>
      <c r="H754" s="3">
        <v>860.69</v>
      </c>
      <c r="I754" s="1" t="s">
        <v>24</v>
      </c>
      <c r="J754" s="1" t="s">
        <v>25</v>
      </c>
      <c r="K754" s="1" t="s">
        <v>26</v>
      </c>
    </row>
    <row r="755" spans="1:11" ht="12.75" customHeight="1" x14ac:dyDescent="0.2">
      <c r="A755" s="1" t="s">
        <v>989</v>
      </c>
      <c r="B755" s="1" t="s">
        <v>990</v>
      </c>
      <c r="C755" s="2">
        <v>20</v>
      </c>
      <c r="D755" s="2">
        <v>0</v>
      </c>
      <c r="E755" s="2">
        <v>0</v>
      </c>
      <c r="F755" s="2">
        <v>0</v>
      </c>
      <c r="G755" s="2">
        <v>38.723999999999997</v>
      </c>
      <c r="H755" s="3">
        <v>774.48</v>
      </c>
      <c r="I755" s="1" t="s">
        <v>6129</v>
      </c>
      <c r="J755" s="1" t="s">
        <v>4176</v>
      </c>
      <c r="K755" s="1" t="s">
        <v>6130</v>
      </c>
    </row>
    <row r="756" spans="1:11" ht="12.75" customHeight="1" x14ac:dyDescent="0.2">
      <c r="A756" s="1" t="s">
        <v>991</v>
      </c>
      <c r="B756" s="1" t="s">
        <v>992</v>
      </c>
      <c r="C756" s="2">
        <v>20</v>
      </c>
      <c r="D756" s="2">
        <v>0</v>
      </c>
      <c r="E756" s="2">
        <v>0</v>
      </c>
      <c r="F756" s="2">
        <v>0</v>
      </c>
      <c r="G756" s="2">
        <v>37.512</v>
      </c>
      <c r="H756" s="3">
        <v>750.24</v>
      </c>
      <c r="I756" s="1" t="s">
        <v>6129</v>
      </c>
      <c r="J756" s="1" t="s">
        <v>4176</v>
      </c>
      <c r="K756" s="1" t="s">
        <v>6130</v>
      </c>
    </row>
    <row r="757" spans="1:11" ht="12.75" customHeight="1" x14ac:dyDescent="0.2">
      <c r="A757" s="1" t="s">
        <v>993</v>
      </c>
      <c r="B757" s="1" t="s">
        <v>994</v>
      </c>
      <c r="C757" s="2">
        <v>5</v>
      </c>
      <c r="D757" s="2">
        <v>0</v>
      </c>
      <c r="E757" s="2">
        <v>0</v>
      </c>
      <c r="F757" s="2">
        <v>0</v>
      </c>
      <c r="G757" s="2">
        <v>21.262799999999999</v>
      </c>
      <c r="H757" s="3">
        <v>106.31399999999999</v>
      </c>
      <c r="I757" s="1" t="s">
        <v>330</v>
      </c>
      <c r="J757" s="1" t="s">
        <v>331</v>
      </c>
      <c r="K757" s="1" t="s">
        <v>332</v>
      </c>
    </row>
    <row r="758" spans="1:11" ht="12.75" customHeight="1" x14ac:dyDescent="0.2">
      <c r="A758" s="1" t="s">
        <v>993</v>
      </c>
      <c r="B758" s="1" t="s">
        <v>994</v>
      </c>
      <c r="C758" s="2">
        <v>20</v>
      </c>
      <c r="D758" s="2">
        <v>0</v>
      </c>
      <c r="E758" s="2">
        <v>0</v>
      </c>
      <c r="F758" s="2">
        <v>0</v>
      </c>
      <c r="G758" s="2">
        <v>21.262799999999999</v>
      </c>
      <c r="H758" s="3">
        <v>425.25599999999997</v>
      </c>
      <c r="I758" s="1" t="s">
        <v>6129</v>
      </c>
      <c r="J758" s="1" t="s">
        <v>4176</v>
      </c>
      <c r="K758" s="1" t="s">
        <v>6130</v>
      </c>
    </row>
    <row r="759" spans="1:11" ht="12.75" customHeight="1" x14ac:dyDescent="0.2">
      <c r="A759" s="1" t="s">
        <v>995</v>
      </c>
      <c r="B759" s="1" t="s">
        <v>996</v>
      </c>
      <c r="C759" s="2">
        <v>5</v>
      </c>
      <c r="D759" s="2">
        <v>0</v>
      </c>
      <c r="E759" s="2">
        <v>0</v>
      </c>
      <c r="F759" s="2">
        <v>0</v>
      </c>
      <c r="G759" s="2">
        <v>31.912400000000002</v>
      </c>
      <c r="H759" s="3">
        <v>159.56200000000001</v>
      </c>
      <c r="I759" s="1" t="s">
        <v>330</v>
      </c>
      <c r="J759" s="1" t="s">
        <v>331</v>
      </c>
      <c r="K759" s="1" t="s">
        <v>332</v>
      </c>
    </row>
    <row r="760" spans="1:11" ht="12.75" customHeight="1" x14ac:dyDescent="0.2">
      <c r="A760" s="1" t="s">
        <v>995</v>
      </c>
      <c r="B760" s="1" t="s">
        <v>996</v>
      </c>
      <c r="C760" s="2">
        <v>20</v>
      </c>
      <c r="D760" s="2">
        <v>0</v>
      </c>
      <c r="E760" s="2">
        <v>0</v>
      </c>
      <c r="F760" s="2">
        <v>0</v>
      </c>
      <c r="G760" s="2">
        <v>31.912400000000002</v>
      </c>
      <c r="H760" s="3">
        <v>638.24800000000005</v>
      </c>
      <c r="I760" s="1" t="s">
        <v>6129</v>
      </c>
      <c r="J760" s="1" t="s">
        <v>4176</v>
      </c>
      <c r="K760" s="1" t="s">
        <v>6130</v>
      </c>
    </row>
    <row r="761" spans="1:11" ht="12.75" customHeight="1" x14ac:dyDescent="0.2">
      <c r="A761" s="1" t="s">
        <v>997</v>
      </c>
      <c r="B761" s="1" t="s">
        <v>998</v>
      </c>
      <c r="C761" s="2">
        <v>5</v>
      </c>
      <c r="D761" s="2">
        <v>0</v>
      </c>
      <c r="E761" s="2">
        <v>0</v>
      </c>
      <c r="F761" s="2">
        <v>0</v>
      </c>
      <c r="G761" s="2">
        <v>21.209599999999998</v>
      </c>
      <c r="H761" s="3">
        <v>106.048</v>
      </c>
      <c r="I761" s="1" t="s">
        <v>330</v>
      </c>
      <c r="J761" s="1" t="s">
        <v>331</v>
      </c>
      <c r="K761" s="1" t="s">
        <v>332</v>
      </c>
    </row>
    <row r="762" spans="1:11" ht="12.75" customHeight="1" x14ac:dyDescent="0.2">
      <c r="A762" s="1" t="s">
        <v>997</v>
      </c>
      <c r="B762" s="1" t="s">
        <v>998</v>
      </c>
      <c r="C762" s="2">
        <v>20</v>
      </c>
      <c r="D762" s="2">
        <v>0</v>
      </c>
      <c r="E762" s="2">
        <v>0</v>
      </c>
      <c r="F762" s="2">
        <v>0</v>
      </c>
      <c r="G762" s="2">
        <v>21.209599999999998</v>
      </c>
      <c r="H762" s="3">
        <v>424.19200000000001</v>
      </c>
      <c r="I762" s="1" t="s">
        <v>6129</v>
      </c>
      <c r="J762" s="1" t="s">
        <v>4176</v>
      </c>
      <c r="K762" s="1" t="s">
        <v>6130</v>
      </c>
    </row>
    <row r="763" spans="1:11" ht="12.75" customHeight="1" x14ac:dyDescent="0.2">
      <c r="A763" s="1" t="s">
        <v>999</v>
      </c>
      <c r="B763" s="1" t="s">
        <v>1000</v>
      </c>
      <c r="C763" s="2">
        <v>65</v>
      </c>
      <c r="D763" s="2">
        <v>0</v>
      </c>
      <c r="E763" s="2">
        <v>0</v>
      </c>
      <c r="F763" s="2">
        <v>0</v>
      </c>
      <c r="G763" s="2">
        <v>6.7248000000000001</v>
      </c>
      <c r="H763" s="3">
        <v>437.11200000000002</v>
      </c>
      <c r="I763" s="1" t="s">
        <v>330</v>
      </c>
      <c r="J763" s="1" t="s">
        <v>331</v>
      </c>
      <c r="K763" s="1" t="s">
        <v>332</v>
      </c>
    </row>
    <row r="764" spans="1:11" ht="12.75" customHeight="1" x14ac:dyDescent="0.2">
      <c r="A764" s="1" t="s">
        <v>1001</v>
      </c>
      <c r="B764" s="1" t="s">
        <v>1002</v>
      </c>
      <c r="C764" s="2">
        <v>5</v>
      </c>
      <c r="D764" s="2">
        <v>0</v>
      </c>
      <c r="E764" s="2">
        <v>0</v>
      </c>
      <c r="F764" s="2">
        <v>0</v>
      </c>
      <c r="G764" s="2">
        <v>21.2624</v>
      </c>
      <c r="H764" s="3">
        <v>106.312</v>
      </c>
      <c r="I764" s="1" t="s">
        <v>330</v>
      </c>
      <c r="J764" s="1" t="s">
        <v>331</v>
      </c>
      <c r="K764" s="1" t="s">
        <v>332</v>
      </c>
    </row>
    <row r="765" spans="1:11" ht="12.75" customHeight="1" x14ac:dyDescent="0.2">
      <c r="A765" s="1" t="s">
        <v>1001</v>
      </c>
      <c r="B765" s="1" t="s">
        <v>1002</v>
      </c>
      <c r="C765" s="2">
        <v>20</v>
      </c>
      <c r="D765" s="2">
        <v>0</v>
      </c>
      <c r="E765" s="2">
        <v>0</v>
      </c>
      <c r="F765" s="2">
        <v>0</v>
      </c>
      <c r="G765" s="2">
        <v>21.2624</v>
      </c>
      <c r="H765" s="3">
        <v>425.24799999999999</v>
      </c>
      <c r="I765" s="1" t="s">
        <v>6129</v>
      </c>
      <c r="J765" s="1" t="s">
        <v>4176</v>
      </c>
      <c r="K765" s="1" t="s">
        <v>6130</v>
      </c>
    </row>
    <row r="766" spans="1:11" ht="12.75" customHeight="1" x14ac:dyDescent="0.2">
      <c r="A766" s="1" t="s">
        <v>1003</v>
      </c>
      <c r="B766" s="1" t="s">
        <v>1004</v>
      </c>
      <c r="C766" s="2">
        <v>10</v>
      </c>
      <c r="D766" s="2">
        <v>160</v>
      </c>
      <c r="E766" s="2">
        <v>0</v>
      </c>
      <c r="F766" s="2">
        <v>0</v>
      </c>
      <c r="G766" s="2">
        <v>21.259</v>
      </c>
      <c r="H766" s="3">
        <v>212.59</v>
      </c>
      <c r="I766" s="1" t="s">
        <v>12</v>
      </c>
      <c r="J766" s="1" t="s">
        <v>13</v>
      </c>
      <c r="K766" s="1" t="s">
        <v>14</v>
      </c>
    </row>
    <row r="767" spans="1:11" ht="12.75" customHeight="1" x14ac:dyDescent="0.2">
      <c r="A767" s="1" t="s">
        <v>1003</v>
      </c>
      <c r="B767" s="1" t="s">
        <v>1004</v>
      </c>
      <c r="C767" s="2">
        <v>672</v>
      </c>
      <c r="D767" s="2">
        <v>10752</v>
      </c>
      <c r="E767" s="2">
        <v>0</v>
      </c>
      <c r="F767" s="2">
        <v>0</v>
      </c>
      <c r="G767" s="2">
        <v>20.404599999999999</v>
      </c>
      <c r="H767" s="3">
        <v>13711.8912</v>
      </c>
      <c r="I767" s="1" t="s">
        <v>24</v>
      </c>
      <c r="J767" s="1" t="s">
        <v>25</v>
      </c>
      <c r="K767" s="1" t="s">
        <v>26</v>
      </c>
    </row>
    <row r="768" spans="1:11" ht="12.75" customHeight="1" x14ac:dyDescent="0.2">
      <c r="A768" s="1" t="s">
        <v>1003</v>
      </c>
      <c r="B768" s="1" t="s">
        <v>1004</v>
      </c>
      <c r="C768" s="2">
        <v>596</v>
      </c>
      <c r="D768" s="2">
        <v>9536</v>
      </c>
      <c r="E768" s="2">
        <v>0</v>
      </c>
      <c r="F768" s="2">
        <v>0</v>
      </c>
      <c r="G768" s="2">
        <v>18.892700000000001</v>
      </c>
      <c r="H768" s="3">
        <v>11260.049199999999</v>
      </c>
      <c r="I768" s="1" t="s">
        <v>330</v>
      </c>
      <c r="J768" s="1" t="s">
        <v>331</v>
      </c>
      <c r="K768" s="1" t="s">
        <v>332</v>
      </c>
    </row>
    <row r="769" spans="1:11" ht="12.75" customHeight="1" x14ac:dyDescent="0.2">
      <c r="A769" s="1" t="s">
        <v>1005</v>
      </c>
      <c r="B769" s="1" t="s">
        <v>1006</v>
      </c>
      <c r="C769" s="2">
        <v>50</v>
      </c>
      <c r="D769" s="2">
        <v>0</v>
      </c>
      <c r="E769" s="2">
        <v>0</v>
      </c>
      <c r="F769" s="2">
        <v>0</v>
      </c>
      <c r="G769" s="2">
        <v>24.369</v>
      </c>
      <c r="H769" s="3">
        <v>1218.45</v>
      </c>
      <c r="I769" s="1" t="s">
        <v>330</v>
      </c>
      <c r="J769" s="1" t="s">
        <v>331</v>
      </c>
      <c r="K769" s="1" t="s">
        <v>332</v>
      </c>
    </row>
    <row r="770" spans="1:11" ht="12.75" customHeight="1" x14ac:dyDescent="0.2">
      <c r="A770" s="1" t="s">
        <v>1007</v>
      </c>
      <c r="B770" s="1" t="s">
        <v>1008</v>
      </c>
      <c r="C770" s="2">
        <v>50</v>
      </c>
      <c r="D770" s="2">
        <v>0</v>
      </c>
      <c r="E770" s="2">
        <v>0</v>
      </c>
      <c r="F770" s="2">
        <v>0</v>
      </c>
      <c r="G770" s="2">
        <v>24.369</v>
      </c>
      <c r="H770" s="3">
        <v>1218.45</v>
      </c>
      <c r="I770" s="1" t="s">
        <v>330</v>
      </c>
      <c r="J770" s="1" t="s">
        <v>331</v>
      </c>
      <c r="K770" s="1" t="s">
        <v>332</v>
      </c>
    </row>
    <row r="771" spans="1:11" ht="12.75" customHeight="1" x14ac:dyDescent="0.2">
      <c r="A771" s="1" t="s">
        <v>1009</v>
      </c>
      <c r="B771" s="1" t="s">
        <v>1010</v>
      </c>
      <c r="C771" s="2">
        <v>50</v>
      </c>
      <c r="D771" s="2">
        <v>0</v>
      </c>
      <c r="E771" s="2">
        <v>0</v>
      </c>
      <c r="F771" s="2">
        <v>0</v>
      </c>
      <c r="G771" s="2">
        <v>24.369</v>
      </c>
      <c r="H771" s="3">
        <v>1218.45</v>
      </c>
      <c r="I771" s="1" t="s">
        <v>330</v>
      </c>
      <c r="J771" s="1" t="s">
        <v>331</v>
      </c>
      <c r="K771" s="1" t="s">
        <v>332</v>
      </c>
    </row>
    <row r="772" spans="1:11" ht="12.75" customHeight="1" x14ac:dyDescent="0.2">
      <c r="A772" s="1" t="s">
        <v>1011</v>
      </c>
      <c r="B772" s="1" t="s">
        <v>1012</v>
      </c>
      <c r="C772" s="2">
        <v>50</v>
      </c>
      <c r="D772" s="2">
        <v>0</v>
      </c>
      <c r="E772" s="2">
        <v>0</v>
      </c>
      <c r="F772" s="2">
        <v>0</v>
      </c>
      <c r="G772" s="2">
        <v>24.369</v>
      </c>
      <c r="H772" s="3">
        <v>1218.45</v>
      </c>
      <c r="I772" s="1" t="s">
        <v>330</v>
      </c>
      <c r="J772" s="1" t="s">
        <v>331</v>
      </c>
      <c r="K772" s="1" t="s">
        <v>332</v>
      </c>
    </row>
    <row r="773" spans="1:11" ht="12.75" customHeight="1" x14ac:dyDescent="0.2">
      <c r="A773" s="1" t="s">
        <v>1013</v>
      </c>
      <c r="B773" s="1" t="s">
        <v>1014</v>
      </c>
      <c r="C773" s="2">
        <v>690</v>
      </c>
      <c r="D773" s="2">
        <v>11040</v>
      </c>
      <c r="E773" s="2">
        <v>0</v>
      </c>
      <c r="F773" s="2">
        <v>0</v>
      </c>
      <c r="G773" s="2">
        <v>43.015799999999999</v>
      </c>
      <c r="H773" s="3">
        <v>29680.901999999998</v>
      </c>
      <c r="I773" s="1" t="s">
        <v>24</v>
      </c>
      <c r="J773" s="1" t="s">
        <v>25</v>
      </c>
      <c r="K773" s="1" t="s">
        <v>26</v>
      </c>
    </row>
    <row r="774" spans="1:11" ht="12.75" customHeight="1" x14ac:dyDescent="0.2">
      <c r="A774" s="1" t="s">
        <v>1013</v>
      </c>
      <c r="B774" s="1" t="s">
        <v>1014</v>
      </c>
      <c r="C774" s="2">
        <v>240</v>
      </c>
      <c r="D774" s="2">
        <v>3840</v>
      </c>
      <c r="E774" s="2">
        <v>0</v>
      </c>
      <c r="F774" s="2">
        <v>0</v>
      </c>
      <c r="G774" s="2">
        <v>59.934399999999997</v>
      </c>
      <c r="H774" s="3">
        <v>14384.255999999999</v>
      </c>
      <c r="I774" s="1" t="s">
        <v>6129</v>
      </c>
      <c r="J774" s="1" t="s">
        <v>4176</v>
      </c>
      <c r="K774" s="1" t="s">
        <v>6130</v>
      </c>
    </row>
    <row r="775" spans="1:11" ht="12.75" customHeight="1" x14ac:dyDescent="0.2">
      <c r="A775" s="1" t="s">
        <v>1015</v>
      </c>
      <c r="B775" s="1" t="s">
        <v>1016</v>
      </c>
      <c r="C775" s="2">
        <v>2400</v>
      </c>
      <c r="D775" s="2">
        <v>38400</v>
      </c>
      <c r="E775" s="2">
        <v>0</v>
      </c>
      <c r="F775" s="2">
        <v>0</v>
      </c>
      <c r="G775" s="2">
        <v>37.649099999999997</v>
      </c>
      <c r="H775" s="3">
        <v>90357.84</v>
      </c>
      <c r="I775" s="1" t="s">
        <v>613</v>
      </c>
      <c r="J775" s="1" t="s">
        <v>614</v>
      </c>
      <c r="K775" s="1" t="s">
        <v>615</v>
      </c>
    </row>
    <row r="776" spans="1:11" ht="12.75" customHeight="1" x14ac:dyDescent="0.2">
      <c r="A776" s="1" t="s">
        <v>1015</v>
      </c>
      <c r="B776" s="1" t="s">
        <v>1016</v>
      </c>
      <c r="C776" s="2">
        <v>240</v>
      </c>
      <c r="D776" s="2">
        <v>3840</v>
      </c>
      <c r="E776" s="2">
        <v>0</v>
      </c>
      <c r="F776" s="2">
        <v>0</v>
      </c>
      <c r="G776" s="2">
        <v>61.738300000000002</v>
      </c>
      <c r="H776" s="3">
        <v>14817.191999999999</v>
      </c>
      <c r="I776" s="1" t="s">
        <v>6129</v>
      </c>
      <c r="J776" s="1" t="s">
        <v>4176</v>
      </c>
      <c r="K776" s="1" t="s">
        <v>6130</v>
      </c>
    </row>
    <row r="777" spans="1:11" ht="12.75" customHeight="1" x14ac:dyDescent="0.2">
      <c r="A777" s="1" t="s">
        <v>1017</v>
      </c>
      <c r="B777" s="1" t="s">
        <v>1018</v>
      </c>
      <c r="C777" s="2">
        <v>13</v>
      </c>
      <c r="D777" s="2">
        <v>208</v>
      </c>
      <c r="E777" s="2">
        <v>0</v>
      </c>
      <c r="F777" s="2">
        <v>0</v>
      </c>
      <c r="G777" s="2">
        <v>32.471299999999999</v>
      </c>
      <c r="H777" s="3">
        <v>422.12689999999998</v>
      </c>
      <c r="I777" s="1" t="s">
        <v>12</v>
      </c>
      <c r="J777" s="1" t="s">
        <v>13</v>
      </c>
      <c r="K777" s="1" t="s">
        <v>14</v>
      </c>
    </row>
    <row r="778" spans="1:11" ht="12.75" customHeight="1" x14ac:dyDescent="0.2">
      <c r="A778" s="1" t="s">
        <v>1017</v>
      </c>
      <c r="B778" s="1" t="s">
        <v>1018</v>
      </c>
      <c r="C778" s="2">
        <v>414</v>
      </c>
      <c r="D778" s="2">
        <v>6624</v>
      </c>
      <c r="E778" s="2">
        <v>0</v>
      </c>
      <c r="F778" s="2">
        <v>0</v>
      </c>
      <c r="G778" s="2">
        <v>34.4039</v>
      </c>
      <c r="H778" s="3">
        <v>14243.214599999999</v>
      </c>
      <c r="I778" s="1" t="s">
        <v>330</v>
      </c>
      <c r="J778" s="1" t="s">
        <v>331</v>
      </c>
      <c r="K778" s="1" t="s">
        <v>332</v>
      </c>
    </row>
    <row r="779" spans="1:11" ht="12.75" customHeight="1" x14ac:dyDescent="0.2">
      <c r="A779" s="1" t="s">
        <v>1019</v>
      </c>
      <c r="B779" s="1" t="s">
        <v>1020</v>
      </c>
      <c r="C779" s="2">
        <v>85</v>
      </c>
      <c r="D779" s="2">
        <v>0</v>
      </c>
      <c r="E779" s="2">
        <v>0</v>
      </c>
      <c r="F779" s="2">
        <v>0</v>
      </c>
      <c r="G779" s="2">
        <v>13.290699999999999</v>
      </c>
      <c r="H779" s="3">
        <v>1129.7094999999999</v>
      </c>
      <c r="I779" s="1" t="s">
        <v>17</v>
      </c>
      <c r="J779" s="1" t="s">
        <v>18</v>
      </c>
      <c r="K779" s="1" t="s">
        <v>19</v>
      </c>
    </row>
    <row r="780" spans="1:11" ht="12.75" customHeight="1" x14ac:dyDescent="0.2">
      <c r="A780" s="1" t="s">
        <v>1021</v>
      </c>
      <c r="B780" s="1" t="s">
        <v>1022</v>
      </c>
      <c r="C780" s="2">
        <v>115</v>
      </c>
      <c r="D780" s="2">
        <v>0</v>
      </c>
      <c r="E780" s="2">
        <v>0</v>
      </c>
      <c r="F780" s="2">
        <v>0</v>
      </c>
      <c r="G780" s="2">
        <v>22.05</v>
      </c>
      <c r="H780" s="3">
        <v>2535.75</v>
      </c>
      <c r="I780" s="1" t="s">
        <v>17</v>
      </c>
      <c r="J780" s="1" t="s">
        <v>18</v>
      </c>
      <c r="K780" s="1" t="s">
        <v>19</v>
      </c>
    </row>
    <row r="781" spans="1:11" ht="12.75" customHeight="1" x14ac:dyDescent="0.2">
      <c r="A781" s="1" t="s">
        <v>1023</v>
      </c>
      <c r="B781" s="1" t="s">
        <v>1024</v>
      </c>
      <c r="C781" s="2">
        <v>180</v>
      </c>
      <c r="D781" s="2">
        <v>0</v>
      </c>
      <c r="E781" s="2">
        <v>0</v>
      </c>
      <c r="F781" s="2">
        <v>0</v>
      </c>
      <c r="G781" s="2">
        <v>13.65</v>
      </c>
      <c r="H781" s="3">
        <v>2457</v>
      </c>
      <c r="I781" s="1" t="s">
        <v>17</v>
      </c>
      <c r="J781" s="1" t="s">
        <v>18</v>
      </c>
      <c r="K781" s="1" t="s">
        <v>19</v>
      </c>
    </row>
    <row r="782" spans="1:11" ht="12.75" customHeight="1" x14ac:dyDescent="0.2">
      <c r="A782" s="1" t="s">
        <v>1025</v>
      </c>
      <c r="B782" s="1" t="s">
        <v>1026</v>
      </c>
      <c r="C782" s="2">
        <v>5</v>
      </c>
      <c r="D782" s="2">
        <v>0</v>
      </c>
      <c r="E782" s="2">
        <v>0</v>
      </c>
      <c r="F782" s="2">
        <v>70</v>
      </c>
      <c r="G782" s="2">
        <v>11.9945</v>
      </c>
      <c r="H782" s="3">
        <v>59.972499999999997</v>
      </c>
      <c r="I782" s="1" t="s">
        <v>12</v>
      </c>
      <c r="J782" s="1" t="s">
        <v>13</v>
      </c>
      <c r="K782" s="1" t="s">
        <v>14</v>
      </c>
    </row>
    <row r="783" spans="1:11" ht="12.75" customHeight="1" x14ac:dyDescent="0.2">
      <c r="A783" s="1" t="s">
        <v>1025</v>
      </c>
      <c r="B783" s="1" t="s">
        <v>1026</v>
      </c>
      <c r="C783" s="2">
        <v>140</v>
      </c>
      <c r="D783" s="2">
        <v>0</v>
      </c>
      <c r="E783" s="2">
        <v>0</v>
      </c>
      <c r="F783" s="2">
        <v>0</v>
      </c>
      <c r="G783" s="2">
        <v>7.3060999999999998</v>
      </c>
      <c r="H783" s="3">
        <v>1022.854</v>
      </c>
      <c r="I783" s="1" t="s">
        <v>17</v>
      </c>
      <c r="J783" s="1" t="s">
        <v>18</v>
      </c>
      <c r="K783" s="1" t="s">
        <v>19</v>
      </c>
    </row>
    <row r="784" spans="1:11" ht="12.75" customHeight="1" x14ac:dyDescent="0.2">
      <c r="A784" s="1" t="s">
        <v>1025</v>
      </c>
      <c r="B784" s="1" t="s">
        <v>1026</v>
      </c>
      <c r="C784" s="2">
        <v>65</v>
      </c>
      <c r="D784" s="2">
        <v>0</v>
      </c>
      <c r="E784" s="2">
        <v>0</v>
      </c>
      <c r="F784" s="2">
        <v>0</v>
      </c>
      <c r="G784" s="2">
        <v>11.9945</v>
      </c>
      <c r="H784" s="3">
        <v>779.64250000000004</v>
      </c>
      <c r="I784" s="1" t="s">
        <v>613</v>
      </c>
      <c r="J784" s="1" t="s">
        <v>614</v>
      </c>
      <c r="K784" s="1" t="s">
        <v>615</v>
      </c>
    </row>
    <row r="785" spans="1:11" ht="12.75" customHeight="1" x14ac:dyDescent="0.2">
      <c r="A785" s="1" t="s">
        <v>1027</v>
      </c>
      <c r="B785" s="1" t="s">
        <v>1028</v>
      </c>
      <c r="C785" s="2">
        <v>38</v>
      </c>
      <c r="D785" s="2">
        <v>608</v>
      </c>
      <c r="E785" s="2">
        <v>0</v>
      </c>
      <c r="F785" s="2">
        <v>0</v>
      </c>
      <c r="G785" s="2">
        <v>39.774799999999999</v>
      </c>
      <c r="H785" s="3">
        <v>1511.4423999999999</v>
      </c>
      <c r="I785" s="1" t="s">
        <v>330</v>
      </c>
      <c r="J785" s="1" t="s">
        <v>331</v>
      </c>
      <c r="K785" s="1" t="s">
        <v>332</v>
      </c>
    </row>
    <row r="786" spans="1:11" ht="12.75" customHeight="1" x14ac:dyDescent="0.2">
      <c r="A786" s="1" t="s">
        <v>1027</v>
      </c>
      <c r="B786" s="1" t="s">
        <v>1028</v>
      </c>
      <c r="C786" s="2">
        <v>230</v>
      </c>
      <c r="D786" s="2">
        <v>3680</v>
      </c>
      <c r="E786" s="2">
        <v>0</v>
      </c>
      <c r="F786" s="2">
        <v>0</v>
      </c>
      <c r="G786" s="2">
        <v>39.774799999999999</v>
      </c>
      <c r="H786" s="3">
        <v>9148.2039999999997</v>
      </c>
      <c r="I786" s="1" t="s">
        <v>6129</v>
      </c>
      <c r="J786" s="1" t="s">
        <v>4176</v>
      </c>
      <c r="K786" s="1" t="s">
        <v>6130</v>
      </c>
    </row>
    <row r="787" spans="1:11" ht="12.75" customHeight="1" x14ac:dyDescent="0.2">
      <c r="A787" s="1" t="s">
        <v>1029</v>
      </c>
      <c r="B787" s="1" t="s">
        <v>1030</v>
      </c>
      <c r="C787" s="2">
        <v>399</v>
      </c>
      <c r="D787" s="2">
        <v>6384</v>
      </c>
      <c r="E787" s="2">
        <v>0</v>
      </c>
      <c r="F787" s="2">
        <v>0</v>
      </c>
      <c r="G787" s="2">
        <v>18.439800000000002</v>
      </c>
      <c r="H787" s="3">
        <v>7357.4802</v>
      </c>
      <c r="I787" s="1" t="s">
        <v>125</v>
      </c>
      <c r="J787" s="1" t="s">
        <v>126</v>
      </c>
      <c r="K787" s="1" t="s">
        <v>127</v>
      </c>
    </row>
    <row r="788" spans="1:11" ht="12.75" customHeight="1" x14ac:dyDescent="0.2">
      <c r="A788" s="1" t="s">
        <v>1029</v>
      </c>
      <c r="B788" s="1" t="s">
        <v>1030</v>
      </c>
      <c r="C788" s="2">
        <v>252</v>
      </c>
      <c r="D788" s="2">
        <v>4032</v>
      </c>
      <c r="E788" s="2">
        <v>0</v>
      </c>
      <c r="F788" s="2">
        <v>0</v>
      </c>
      <c r="G788" s="2">
        <v>34.113799999999998</v>
      </c>
      <c r="H788" s="3">
        <v>8596.6776000000009</v>
      </c>
      <c r="I788" s="1" t="s">
        <v>330</v>
      </c>
      <c r="J788" s="1" t="s">
        <v>331</v>
      </c>
      <c r="K788" s="1" t="s">
        <v>332</v>
      </c>
    </row>
    <row r="789" spans="1:11" ht="12.75" customHeight="1" x14ac:dyDescent="0.2">
      <c r="A789" s="1" t="s">
        <v>1029</v>
      </c>
      <c r="B789" s="1" t="s">
        <v>1030</v>
      </c>
      <c r="C789" s="2">
        <v>552</v>
      </c>
      <c r="D789" s="2">
        <v>8832</v>
      </c>
      <c r="E789" s="2">
        <v>0</v>
      </c>
      <c r="F789" s="2">
        <v>0</v>
      </c>
      <c r="G789" s="2">
        <v>34.113799999999998</v>
      </c>
      <c r="H789" s="3">
        <v>18830.817599999998</v>
      </c>
      <c r="I789" s="1" t="s">
        <v>6129</v>
      </c>
      <c r="J789" s="1" t="s">
        <v>4176</v>
      </c>
      <c r="K789" s="1" t="s">
        <v>6130</v>
      </c>
    </row>
    <row r="790" spans="1:11" ht="12.75" customHeight="1" x14ac:dyDescent="0.2">
      <c r="A790" s="1" t="s">
        <v>1031</v>
      </c>
      <c r="B790" s="1" t="s">
        <v>1032</v>
      </c>
      <c r="C790" s="2">
        <v>1120</v>
      </c>
      <c r="D790" s="2">
        <v>17920</v>
      </c>
      <c r="E790" s="2">
        <v>0</v>
      </c>
      <c r="F790" s="2">
        <v>0</v>
      </c>
      <c r="G790" s="2">
        <v>18.238099999999999</v>
      </c>
      <c r="H790" s="3">
        <v>20426.671999999999</v>
      </c>
      <c r="I790" s="1" t="s">
        <v>330</v>
      </c>
      <c r="J790" s="1" t="s">
        <v>331</v>
      </c>
      <c r="K790" s="1" t="s">
        <v>332</v>
      </c>
    </row>
    <row r="791" spans="1:11" ht="12.75" customHeight="1" x14ac:dyDescent="0.2">
      <c r="A791" s="1" t="s">
        <v>1033</v>
      </c>
      <c r="B791" s="1" t="s">
        <v>1034</v>
      </c>
      <c r="C791" s="2">
        <v>7</v>
      </c>
      <c r="D791" s="2">
        <v>112</v>
      </c>
      <c r="E791" s="2">
        <v>0</v>
      </c>
      <c r="F791" s="2">
        <v>0</v>
      </c>
      <c r="G791" s="2">
        <v>17.677199999999999</v>
      </c>
      <c r="H791" s="3">
        <v>123.74039999999999</v>
      </c>
      <c r="I791" s="1" t="s">
        <v>330</v>
      </c>
      <c r="J791" s="1" t="s">
        <v>331</v>
      </c>
      <c r="K791" s="1" t="s">
        <v>332</v>
      </c>
    </row>
    <row r="792" spans="1:11" ht="12.75" customHeight="1" x14ac:dyDescent="0.2">
      <c r="A792" s="1" t="s">
        <v>1033</v>
      </c>
      <c r="B792" s="1" t="s">
        <v>1034</v>
      </c>
      <c r="C792" s="2">
        <v>600</v>
      </c>
      <c r="D792" s="2">
        <v>9600</v>
      </c>
      <c r="E792" s="2">
        <v>0</v>
      </c>
      <c r="F792" s="2">
        <v>0</v>
      </c>
      <c r="G792" s="2">
        <v>16.710799999999999</v>
      </c>
      <c r="H792" s="3">
        <v>10026.48</v>
      </c>
      <c r="I792" s="1" t="s">
        <v>613</v>
      </c>
      <c r="J792" s="1" t="s">
        <v>614</v>
      </c>
      <c r="K792" s="1" t="s">
        <v>615</v>
      </c>
    </row>
    <row r="793" spans="1:11" ht="12.75" customHeight="1" x14ac:dyDescent="0.2">
      <c r="A793" s="1" t="s">
        <v>1033</v>
      </c>
      <c r="B793" s="1" t="s">
        <v>1034</v>
      </c>
      <c r="C793" s="2">
        <v>40</v>
      </c>
      <c r="D793" s="2">
        <v>640</v>
      </c>
      <c r="E793" s="2">
        <v>0</v>
      </c>
      <c r="F793" s="2">
        <v>0</v>
      </c>
      <c r="G793" s="2">
        <v>17.677</v>
      </c>
      <c r="H793" s="3">
        <v>707.08</v>
      </c>
      <c r="I793" s="1" t="s">
        <v>6129</v>
      </c>
      <c r="J793" s="1" t="s">
        <v>4176</v>
      </c>
      <c r="K793" s="1" t="s">
        <v>6130</v>
      </c>
    </row>
    <row r="794" spans="1:11" ht="12.75" customHeight="1" x14ac:dyDescent="0.2">
      <c r="A794" s="1" t="s">
        <v>1035</v>
      </c>
      <c r="B794" s="1" t="s">
        <v>1036</v>
      </c>
      <c r="C794" s="2">
        <v>58</v>
      </c>
      <c r="D794" s="2">
        <v>928</v>
      </c>
      <c r="E794" s="2">
        <v>0</v>
      </c>
      <c r="F794" s="2">
        <v>0</v>
      </c>
      <c r="G794" s="2">
        <v>19.517800000000001</v>
      </c>
      <c r="H794" s="3">
        <v>1132.0324000000001</v>
      </c>
      <c r="I794" s="1" t="s">
        <v>330</v>
      </c>
      <c r="J794" s="1" t="s">
        <v>331</v>
      </c>
      <c r="K794" s="1" t="s">
        <v>332</v>
      </c>
    </row>
    <row r="795" spans="1:11" ht="12.75" customHeight="1" x14ac:dyDescent="0.2">
      <c r="A795" s="1" t="s">
        <v>1035</v>
      </c>
      <c r="B795" s="1" t="s">
        <v>1036</v>
      </c>
      <c r="C795" s="2">
        <v>150</v>
      </c>
      <c r="D795" s="2">
        <v>2400</v>
      </c>
      <c r="E795" s="2">
        <v>0</v>
      </c>
      <c r="F795" s="2">
        <v>0</v>
      </c>
      <c r="G795" s="2">
        <v>16.701799999999999</v>
      </c>
      <c r="H795" s="3">
        <v>2505.27</v>
      </c>
      <c r="I795" s="1" t="s">
        <v>613</v>
      </c>
      <c r="J795" s="1" t="s">
        <v>614</v>
      </c>
      <c r="K795" s="1" t="s">
        <v>615</v>
      </c>
    </row>
    <row r="796" spans="1:11" ht="12.75" customHeight="1" x14ac:dyDescent="0.2">
      <c r="A796" s="1" t="s">
        <v>1035</v>
      </c>
      <c r="B796" s="1" t="s">
        <v>1036</v>
      </c>
      <c r="C796" s="2">
        <v>40</v>
      </c>
      <c r="D796" s="2">
        <v>640</v>
      </c>
      <c r="E796" s="2">
        <v>0</v>
      </c>
      <c r="F796" s="2">
        <v>0</v>
      </c>
      <c r="G796" s="2">
        <v>19.518000000000001</v>
      </c>
      <c r="H796" s="3">
        <v>780.72</v>
      </c>
      <c r="I796" s="1" t="s">
        <v>6129</v>
      </c>
      <c r="J796" s="1" t="s">
        <v>4176</v>
      </c>
      <c r="K796" s="1" t="s">
        <v>6130</v>
      </c>
    </row>
    <row r="797" spans="1:11" ht="12.75" customHeight="1" x14ac:dyDescent="0.2">
      <c r="A797" s="1" t="s">
        <v>1037</v>
      </c>
      <c r="B797" s="1" t="s">
        <v>1038</v>
      </c>
      <c r="C797" s="2">
        <v>56</v>
      </c>
      <c r="D797" s="2">
        <v>896</v>
      </c>
      <c r="E797" s="2">
        <v>0</v>
      </c>
      <c r="F797" s="2">
        <v>0</v>
      </c>
      <c r="G797" s="2">
        <v>17.590599999999998</v>
      </c>
      <c r="H797" s="3">
        <v>985.07360000000006</v>
      </c>
      <c r="I797" s="1" t="s">
        <v>330</v>
      </c>
      <c r="J797" s="1" t="s">
        <v>331</v>
      </c>
      <c r="K797" s="1" t="s">
        <v>332</v>
      </c>
    </row>
    <row r="798" spans="1:11" ht="12.75" customHeight="1" x14ac:dyDescent="0.2">
      <c r="A798" s="1" t="s">
        <v>1037</v>
      </c>
      <c r="B798" s="1" t="s">
        <v>1038</v>
      </c>
      <c r="C798" s="2">
        <v>100</v>
      </c>
      <c r="D798" s="2">
        <v>1600</v>
      </c>
      <c r="E798" s="2">
        <v>0</v>
      </c>
      <c r="F798" s="2">
        <v>0</v>
      </c>
      <c r="G798" s="2">
        <v>16.701699999999999</v>
      </c>
      <c r="H798" s="3">
        <v>1670.17</v>
      </c>
      <c r="I798" s="1" t="s">
        <v>613</v>
      </c>
      <c r="J798" s="1" t="s">
        <v>614</v>
      </c>
      <c r="K798" s="1" t="s">
        <v>615</v>
      </c>
    </row>
    <row r="799" spans="1:11" ht="12.75" customHeight="1" x14ac:dyDescent="0.2">
      <c r="A799" s="1" t="s">
        <v>1037</v>
      </c>
      <c r="B799" s="1" t="s">
        <v>1038</v>
      </c>
      <c r="C799" s="2">
        <v>40</v>
      </c>
      <c r="D799" s="2">
        <v>640</v>
      </c>
      <c r="E799" s="2">
        <v>0</v>
      </c>
      <c r="F799" s="2">
        <v>0</v>
      </c>
      <c r="G799" s="2">
        <v>17.590599999999998</v>
      </c>
      <c r="H799" s="3">
        <v>703.62400000000002</v>
      </c>
      <c r="I799" s="1" t="s">
        <v>6129</v>
      </c>
      <c r="J799" s="1" t="s">
        <v>4176</v>
      </c>
      <c r="K799" s="1" t="s">
        <v>6130</v>
      </c>
    </row>
    <row r="800" spans="1:11" ht="12.75" customHeight="1" x14ac:dyDescent="0.2">
      <c r="A800" s="1" t="s">
        <v>1039</v>
      </c>
      <c r="B800" s="1" t="s">
        <v>1040</v>
      </c>
      <c r="C800" s="2">
        <v>57</v>
      </c>
      <c r="D800" s="2">
        <v>912</v>
      </c>
      <c r="E800" s="2">
        <v>0</v>
      </c>
      <c r="F800" s="2">
        <v>557</v>
      </c>
      <c r="G800" s="2">
        <v>16.7042</v>
      </c>
      <c r="H800" s="3">
        <v>952.13940000000002</v>
      </c>
      <c r="I800" s="1" t="s">
        <v>12</v>
      </c>
      <c r="J800" s="1" t="s">
        <v>13</v>
      </c>
      <c r="K800" s="1" t="s">
        <v>14</v>
      </c>
    </row>
    <row r="801" spans="1:11" ht="12.75" customHeight="1" x14ac:dyDescent="0.2">
      <c r="A801" s="1" t="s">
        <v>1039</v>
      </c>
      <c r="B801" s="1" t="s">
        <v>1040</v>
      </c>
      <c r="C801" s="2">
        <v>10</v>
      </c>
      <c r="D801" s="2">
        <v>160</v>
      </c>
      <c r="E801" s="2">
        <v>0</v>
      </c>
      <c r="F801" s="2">
        <v>0</v>
      </c>
      <c r="G801" s="2">
        <v>25.481000000000002</v>
      </c>
      <c r="H801" s="3">
        <v>254.81</v>
      </c>
      <c r="I801" s="1" t="s">
        <v>330</v>
      </c>
      <c r="J801" s="1" t="s">
        <v>331</v>
      </c>
      <c r="K801" s="1" t="s">
        <v>332</v>
      </c>
    </row>
    <row r="802" spans="1:11" ht="12.75" customHeight="1" x14ac:dyDescent="0.2">
      <c r="A802" s="1" t="s">
        <v>1039</v>
      </c>
      <c r="B802" s="1" t="s">
        <v>1040</v>
      </c>
      <c r="C802" s="2">
        <v>500</v>
      </c>
      <c r="D802" s="2">
        <v>8000</v>
      </c>
      <c r="E802" s="2">
        <v>0</v>
      </c>
      <c r="F802" s="2">
        <v>0</v>
      </c>
      <c r="G802" s="2">
        <v>16.7042</v>
      </c>
      <c r="H802" s="3">
        <v>8352.1</v>
      </c>
      <c r="I802" s="1" t="s">
        <v>613</v>
      </c>
      <c r="J802" s="1" t="s">
        <v>614</v>
      </c>
      <c r="K802" s="1" t="s">
        <v>615</v>
      </c>
    </row>
    <row r="803" spans="1:11" ht="12.75" customHeight="1" x14ac:dyDescent="0.2">
      <c r="A803" s="1" t="s">
        <v>1039</v>
      </c>
      <c r="B803" s="1" t="s">
        <v>1040</v>
      </c>
      <c r="C803" s="2">
        <v>40</v>
      </c>
      <c r="D803" s="2">
        <v>640</v>
      </c>
      <c r="E803" s="2">
        <v>0</v>
      </c>
      <c r="F803" s="2">
        <v>0</v>
      </c>
      <c r="G803" s="2">
        <v>25.481000000000002</v>
      </c>
      <c r="H803" s="3">
        <v>1019.24</v>
      </c>
      <c r="I803" s="1" t="s">
        <v>6129</v>
      </c>
      <c r="J803" s="1" t="s">
        <v>4176</v>
      </c>
      <c r="K803" s="1" t="s">
        <v>6130</v>
      </c>
    </row>
    <row r="804" spans="1:11" ht="12.75" customHeight="1" x14ac:dyDescent="0.2">
      <c r="A804" s="1" t="s">
        <v>1041</v>
      </c>
      <c r="B804" s="1" t="s">
        <v>1042</v>
      </c>
      <c r="C804" s="2">
        <v>552</v>
      </c>
      <c r="D804" s="2">
        <v>8832</v>
      </c>
      <c r="E804" s="2">
        <v>0</v>
      </c>
      <c r="F804" s="2">
        <v>0</v>
      </c>
      <c r="G804" s="2">
        <v>34.192</v>
      </c>
      <c r="H804" s="3">
        <v>18873.984</v>
      </c>
      <c r="I804" s="1" t="s">
        <v>330</v>
      </c>
      <c r="J804" s="1" t="s">
        <v>331</v>
      </c>
      <c r="K804" s="1" t="s">
        <v>332</v>
      </c>
    </row>
    <row r="805" spans="1:11" ht="12.75" customHeight="1" x14ac:dyDescent="0.2">
      <c r="A805" s="1" t="s">
        <v>1041</v>
      </c>
      <c r="B805" s="1" t="s">
        <v>1042</v>
      </c>
      <c r="C805" s="2">
        <v>276</v>
      </c>
      <c r="D805" s="2">
        <v>4416</v>
      </c>
      <c r="E805" s="2">
        <v>0</v>
      </c>
      <c r="F805" s="2">
        <v>0</v>
      </c>
      <c r="G805" s="2">
        <v>34.192</v>
      </c>
      <c r="H805" s="3">
        <v>9436.9920000000002</v>
      </c>
      <c r="I805" s="1" t="s">
        <v>6129</v>
      </c>
      <c r="J805" s="1" t="s">
        <v>4176</v>
      </c>
      <c r="K805" s="1" t="s">
        <v>6130</v>
      </c>
    </row>
    <row r="806" spans="1:11" ht="12.75" customHeight="1" x14ac:dyDescent="0.2">
      <c r="A806" s="1" t="s">
        <v>1043</v>
      </c>
      <c r="B806" s="1" t="s">
        <v>1044</v>
      </c>
      <c r="C806" s="2">
        <v>20</v>
      </c>
      <c r="D806" s="2">
        <v>320</v>
      </c>
      <c r="E806" s="2">
        <v>0</v>
      </c>
      <c r="F806" s="2">
        <v>0</v>
      </c>
      <c r="G806" s="2">
        <v>11.4155</v>
      </c>
      <c r="H806" s="3">
        <v>228.31</v>
      </c>
      <c r="I806" s="1" t="s">
        <v>330</v>
      </c>
      <c r="J806" s="1" t="s">
        <v>331</v>
      </c>
      <c r="K806" s="1" t="s">
        <v>332</v>
      </c>
    </row>
    <row r="807" spans="1:11" ht="12.75" customHeight="1" x14ac:dyDescent="0.2">
      <c r="A807" s="1" t="s">
        <v>1045</v>
      </c>
      <c r="B807" s="1" t="s">
        <v>1046</v>
      </c>
      <c r="C807" s="2">
        <v>241</v>
      </c>
      <c r="D807" s="2">
        <v>3856</v>
      </c>
      <c r="E807" s="2">
        <v>0</v>
      </c>
      <c r="F807" s="2">
        <v>0</v>
      </c>
      <c r="G807" s="2">
        <v>17.225899999999999</v>
      </c>
      <c r="H807" s="3">
        <v>4151.4418999999998</v>
      </c>
      <c r="I807" s="1" t="s">
        <v>330</v>
      </c>
      <c r="J807" s="1" t="s">
        <v>331</v>
      </c>
      <c r="K807" s="1" t="s">
        <v>332</v>
      </c>
    </row>
    <row r="808" spans="1:11" ht="12.75" customHeight="1" x14ac:dyDescent="0.2">
      <c r="A808" s="1" t="s">
        <v>1047</v>
      </c>
      <c r="B808" s="1" t="s">
        <v>1048</v>
      </c>
      <c r="C808" s="2">
        <v>2433</v>
      </c>
      <c r="D808" s="2">
        <v>38928</v>
      </c>
      <c r="E808" s="2">
        <v>0</v>
      </c>
      <c r="F808" s="2">
        <v>0</v>
      </c>
      <c r="G808" s="2">
        <v>11.185700000000001</v>
      </c>
      <c r="H808" s="3">
        <v>27214.808099999998</v>
      </c>
      <c r="I808" s="1" t="s">
        <v>330</v>
      </c>
      <c r="J808" s="1" t="s">
        <v>331</v>
      </c>
      <c r="K808" s="1" t="s">
        <v>332</v>
      </c>
    </row>
    <row r="809" spans="1:11" ht="12.75" customHeight="1" x14ac:dyDescent="0.2">
      <c r="A809" s="1" t="s">
        <v>1049</v>
      </c>
      <c r="B809" s="1" t="s">
        <v>1050</v>
      </c>
      <c r="C809" s="2">
        <v>356</v>
      </c>
      <c r="D809" s="2">
        <v>5696</v>
      </c>
      <c r="E809" s="2">
        <v>0</v>
      </c>
      <c r="F809" s="2">
        <v>0</v>
      </c>
      <c r="G809" s="2">
        <v>17.57</v>
      </c>
      <c r="H809" s="3">
        <v>6254.92</v>
      </c>
      <c r="I809" s="1" t="s">
        <v>330</v>
      </c>
      <c r="J809" s="1" t="s">
        <v>331</v>
      </c>
      <c r="K809" s="1" t="s">
        <v>332</v>
      </c>
    </row>
    <row r="810" spans="1:11" ht="12.75" customHeight="1" x14ac:dyDescent="0.2">
      <c r="A810" s="1" t="s">
        <v>1051</v>
      </c>
      <c r="B810" s="1" t="s">
        <v>1052</v>
      </c>
      <c r="C810" s="2">
        <v>945</v>
      </c>
      <c r="D810" s="2">
        <v>15120</v>
      </c>
      <c r="E810" s="2">
        <v>0</v>
      </c>
      <c r="F810" s="2">
        <v>0</v>
      </c>
      <c r="G810" s="2">
        <v>12.457000000000001</v>
      </c>
      <c r="H810" s="3">
        <v>11771.865</v>
      </c>
      <c r="I810" s="1" t="s">
        <v>125</v>
      </c>
      <c r="J810" s="1" t="s">
        <v>126</v>
      </c>
      <c r="K810" s="1" t="s">
        <v>127</v>
      </c>
    </row>
    <row r="811" spans="1:11" ht="12.75" customHeight="1" x14ac:dyDescent="0.2">
      <c r="A811" s="1" t="s">
        <v>1051</v>
      </c>
      <c r="B811" s="1" t="s">
        <v>1052</v>
      </c>
      <c r="C811" s="2">
        <v>1320</v>
      </c>
      <c r="D811" s="2">
        <v>21120</v>
      </c>
      <c r="E811" s="2">
        <v>0</v>
      </c>
      <c r="F811" s="2">
        <v>0</v>
      </c>
      <c r="G811" s="2">
        <v>11.1929</v>
      </c>
      <c r="H811" s="3">
        <v>14774.628000000001</v>
      </c>
      <c r="I811" s="1" t="s">
        <v>330</v>
      </c>
      <c r="J811" s="1" t="s">
        <v>331</v>
      </c>
      <c r="K811" s="1" t="s">
        <v>332</v>
      </c>
    </row>
    <row r="812" spans="1:11" ht="12.75" customHeight="1" x14ac:dyDescent="0.2">
      <c r="A812" s="1" t="s">
        <v>1053</v>
      </c>
      <c r="B812" s="1" t="s">
        <v>1054</v>
      </c>
      <c r="C812" s="2">
        <v>37</v>
      </c>
      <c r="D812" s="2">
        <v>592</v>
      </c>
      <c r="E812" s="2">
        <v>0</v>
      </c>
      <c r="F812" s="2">
        <v>0</v>
      </c>
      <c r="G812" s="2">
        <v>17.226099999999999</v>
      </c>
      <c r="H812" s="3">
        <v>637.36569999999995</v>
      </c>
      <c r="I812" s="1" t="s">
        <v>330</v>
      </c>
      <c r="J812" s="1" t="s">
        <v>331</v>
      </c>
      <c r="K812" s="1" t="s">
        <v>332</v>
      </c>
    </row>
    <row r="813" spans="1:11" ht="12.75" customHeight="1" x14ac:dyDescent="0.2">
      <c r="A813" s="1" t="s">
        <v>1055</v>
      </c>
      <c r="B813" s="1" t="s">
        <v>1056</v>
      </c>
      <c r="C813" s="2">
        <v>33</v>
      </c>
      <c r="D813" s="2">
        <v>528</v>
      </c>
      <c r="E813" s="2">
        <v>0</v>
      </c>
      <c r="F813" s="2">
        <v>0</v>
      </c>
      <c r="G813" s="2">
        <v>8.5</v>
      </c>
      <c r="H813" s="3">
        <v>280.5</v>
      </c>
      <c r="I813" s="1" t="s">
        <v>330</v>
      </c>
      <c r="J813" s="1" t="s">
        <v>331</v>
      </c>
      <c r="K813" s="1" t="s">
        <v>332</v>
      </c>
    </row>
    <row r="814" spans="1:11" ht="12.75" customHeight="1" x14ac:dyDescent="0.2">
      <c r="A814" s="1" t="s">
        <v>1057</v>
      </c>
      <c r="B814" s="1" t="s">
        <v>1058</v>
      </c>
      <c r="C814" s="2">
        <v>10</v>
      </c>
      <c r="D814" s="2">
        <v>160</v>
      </c>
      <c r="E814" s="2">
        <v>0</v>
      </c>
      <c r="F814" s="2">
        <v>0</v>
      </c>
      <c r="G814" s="2">
        <v>11.414999999999999</v>
      </c>
      <c r="H814" s="3">
        <v>114.15</v>
      </c>
      <c r="I814" s="1" t="s">
        <v>330</v>
      </c>
      <c r="J814" s="1" t="s">
        <v>331</v>
      </c>
      <c r="K814" s="1" t="s">
        <v>332</v>
      </c>
    </row>
    <row r="815" spans="1:11" ht="12.75" customHeight="1" x14ac:dyDescent="0.2">
      <c r="A815" s="1" t="s">
        <v>1059</v>
      </c>
      <c r="B815" s="1" t="s">
        <v>1060</v>
      </c>
      <c r="C815" s="2">
        <v>180</v>
      </c>
      <c r="D815" s="2">
        <v>2880</v>
      </c>
      <c r="E815" s="2">
        <v>0</v>
      </c>
      <c r="F815" s="2">
        <v>0</v>
      </c>
      <c r="G815" s="2">
        <v>8.7833000000000006</v>
      </c>
      <c r="H815" s="3">
        <v>1580.9939999999999</v>
      </c>
      <c r="I815" s="1" t="s">
        <v>330</v>
      </c>
      <c r="J815" s="1" t="s">
        <v>331</v>
      </c>
      <c r="K815" s="1" t="s">
        <v>332</v>
      </c>
    </row>
    <row r="816" spans="1:11" ht="12.75" customHeight="1" x14ac:dyDescent="0.2">
      <c r="A816" s="1" t="s">
        <v>1061</v>
      </c>
      <c r="B816" s="1" t="s">
        <v>1062</v>
      </c>
      <c r="C816" s="2">
        <v>30</v>
      </c>
      <c r="D816" s="2">
        <v>480</v>
      </c>
      <c r="E816" s="2">
        <v>0</v>
      </c>
      <c r="F816" s="2">
        <v>0</v>
      </c>
      <c r="G816" s="2">
        <v>17.451599999999999</v>
      </c>
      <c r="H816" s="3">
        <v>523.548</v>
      </c>
      <c r="I816" s="1" t="s">
        <v>17</v>
      </c>
      <c r="J816" s="1" t="s">
        <v>18</v>
      </c>
      <c r="K816" s="1" t="s">
        <v>19</v>
      </c>
    </row>
    <row r="817" spans="1:11" ht="12.75" customHeight="1" x14ac:dyDescent="0.2">
      <c r="A817" s="1" t="s">
        <v>1061</v>
      </c>
      <c r="B817" s="1" t="s">
        <v>1062</v>
      </c>
      <c r="C817" s="2">
        <v>60</v>
      </c>
      <c r="D817" s="2">
        <v>960</v>
      </c>
      <c r="E817" s="2">
        <v>0</v>
      </c>
      <c r="F817" s="2">
        <v>0</v>
      </c>
      <c r="G817" s="2">
        <v>9.7752999999999997</v>
      </c>
      <c r="H817" s="3">
        <v>586.51800000000003</v>
      </c>
      <c r="I817" s="1" t="s">
        <v>125</v>
      </c>
      <c r="J817" s="1" t="s">
        <v>126</v>
      </c>
      <c r="K817" s="1" t="s">
        <v>127</v>
      </c>
    </row>
    <row r="818" spans="1:11" ht="12.75" customHeight="1" x14ac:dyDescent="0.2">
      <c r="A818" s="1" t="s">
        <v>1061</v>
      </c>
      <c r="B818" s="1" t="s">
        <v>1062</v>
      </c>
      <c r="C818" s="2">
        <v>120</v>
      </c>
      <c r="D818" s="2">
        <v>1920</v>
      </c>
      <c r="E818" s="2">
        <v>0</v>
      </c>
      <c r="F818" s="2">
        <v>0</v>
      </c>
      <c r="G818" s="2">
        <v>8.7833000000000006</v>
      </c>
      <c r="H818" s="3">
        <v>1053.9960000000001</v>
      </c>
      <c r="I818" s="1" t="s">
        <v>330</v>
      </c>
      <c r="J818" s="1" t="s">
        <v>331</v>
      </c>
      <c r="K818" s="1" t="s">
        <v>332</v>
      </c>
    </row>
    <row r="819" spans="1:11" ht="12.75" customHeight="1" x14ac:dyDescent="0.2">
      <c r="A819" s="1" t="s">
        <v>1063</v>
      </c>
      <c r="B819" s="1" t="s">
        <v>1064</v>
      </c>
      <c r="C819" s="2">
        <v>6</v>
      </c>
      <c r="D819" s="2">
        <v>96</v>
      </c>
      <c r="E819" s="2">
        <v>0</v>
      </c>
      <c r="F819" s="2">
        <v>0</v>
      </c>
      <c r="G819" s="2">
        <v>8.5</v>
      </c>
      <c r="H819" s="3">
        <v>51</v>
      </c>
      <c r="I819" s="1" t="s">
        <v>330</v>
      </c>
      <c r="J819" s="1" t="s">
        <v>331</v>
      </c>
      <c r="K819" s="1" t="s">
        <v>332</v>
      </c>
    </row>
    <row r="820" spans="1:11" ht="12.75" customHeight="1" x14ac:dyDescent="0.2">
      <c r="A820" s="1" t="s">
        <v>1065</v>
      </c>
      <c r="B820" s="1" t="s">
        <v>1066</v>
      </c>
      <c r="C820" s="2">
        <v>29</v>
      </c>
      <c r="D820" s="2">
        <v>464</v>
      </c>
      <c r="E820" s="2">
        <v>0</v>
      </c>
      <c r="F820" s="2">
        <v>0</v>
      </c>
      <c r="G820" s="2">
        <v>8.3445999999999998</v>
      </c>
      <c r="H820" s="3">
        <v>241.99340000000001</v>
      </c>
      <c r="I820" s="1" t="s">
        <v>330</v>
      </c>
      <c r="J820" s="1" t="s">
        <v>331</v>
      </c>
      <c r="K820" s="1" t="s">
        <v>332</v>
      </c>
    </row>
    <row r="821" spans="1:11" ht="12.75" customHeight="1" x14ac:dyDescent="0.2">
      <c r="A821" s="1" t="s">
        <v>1067</v>
      </c>
      <c r="B821" s="1" t="s">
        <v>1068</v>
      </c>
      <c r="C821" s="2">
        <v>16</v>
      </c>
      <c r="D821" s="2">
        <v>256</v>
      </c>
      <c r="E821" s="2">
        <v>0</v>
      </c>
      <c r="F821" s="2">
        <v>0</v>
      </c>
      <c r="G821" s="2">
        <v>8.3451000000000004</v>
      </c>
      <c r="H821" s="3">
        <v>133.52160000000001</v>
      </c>
      <c r="I821" s="1" t="s">
        <v>330</v>
      </c>
      <c r="J821" s="1" t="s">
        <v>331</v>
      </c>
      <c r="K821" s="1" t="s">
        <v>332</v>
      </c>
    </row>
    <row r="822" spans="1:11" ht="12.75" customHeight="1" x14ac:dyDescent="0.2">
      <c r="A822" s="1" t="s">
        <v>1069</v>
      </c>
      <c r="B822" s="1" t="s">
        <v>1070</v>
      </c>
      <c r="C822" s="2">
        <v>39</v>
      </c>
      <c r="D822" s="2">
        <v>624</v>
      </c>
      <c r="E822" s="2">
        <v>0</v>
      </c>
      <c r="F822" s="2">
        <v>0</v>
      </c>
      <c r="G822" s="2">
        <v>9.4248999999999992</v>
      </c>
      <c r="H822" s="3">
        <v>367.5711</v>
      </c>
      <c r="I822" s="1" t="s">
        <v>17</v>
      </c>
      <c r="J822" s="1" t="s">
        <v>18</v>
      </c>
      <c r="K822" s="1" t="s">
        <v>19</v>
      </c>
    </row>
    <row r="823" spans="1:11" ht="12.75" customHeight="1" x14ac:dyDescent="0.2">
      <c r="A823" s="1" t="s">
        <v>1069</v>
      </c>
      <c r="B823" s="1" t="s">
        <v>1070</v>
      </c>
      <c r="C823" s="2">
        <v>12</v>
      </c>
      <c r="D823" s="2">
        <v>192</v>
      </c>
      <c r="E823" s="2">
        <v>0</v>
      </c>
      <c r="F823" s="2">
        <v>12</v>
      </c>
      <c r="G823" s="2">
        <v>8.3447999999999993</v>
      </c>
      <c r="H823" s="3">
        <v>100.13760000000001</v>
      </c>
      <c r="I823" s="1" t="s">
        <v>330</v>
      </c>
      <c r="J823" s="1" t="s">
        <v>331</v>
      </c>
      <c r="K823" s="1" t="s">
        <v>332</v>
      </c>
    </row>
    <row r="824" spans="1:11" ht="12.75" customHeight="1" x14ac:dyDescent="0.2">
      <c r="A824" s="1" t="s">
        <v>1071</v>
      </c>
      <c r="B824" s="1" t="s">
        <v>1072</v>
      </c>
      <c r="C824" s="2">
        <v>10</v>
      </c>
      <c r="D824" s="2">
        <v>160</v>
      </c>
      <c r="E824" s="2">
        <v>0</v>
      </c>
      <c r="F824" s="2">
        <v>0</v>
      </c>
      <c r="G824" s="2">
        <v>8.3445999999999998</v>
      </c>
      <c r="H824" s="3">
        <v>83.445999999999998</v>
      </c>
      <c r="I824" s="1" t="s">
        <v>330</v>
      </c>
      <c r="J824" s="1" t="s">
        <v>331</v>
      </c>
      <c r="K824" s="1" t="s">
        <v>332</v>
      </c>
    </row>
    <row r="825" spans="1:11" ht="12.75" customHeight="1" x14ac:dyDescent="0.2">
      <c r="A825" s="1" t="s">
        <v>1073</v>
      </c>
      <c r="B825" s="1" t="s">
        <v>1074</v>
      </c>
      <c r="C825" s="2">
        <v>15</v>
      </c>
      <c r="D825" s="2">
        <v>0</v>
      </c>
      <c r="E825" s="2">
        <v>0</v>
      </c>
      <c r="F825" s="2">
        <v>0</v>
      </c>
      <c r="G825" s="2">
        <v>14.2393</v>
      </c>
      <c r="H825" s="3">
        <v>213.58949999999999</v>
      </c>
      <c r="I825" s="1" t="s">
        <v>17</v>
      </c>
      <c r="J825" s="1" t="s">
        <v>18</v>
      </c>
      <c r="K825" s="1" t="s">
        <v>19</v>
      </c>
    </row>
    <row r="826" spans="1:11" ht="12.75" customHeight="1" x14ac:dyDescent="0.2">
      <c r="A826" s="1" t="s">
        <v>1075</v>
      </c>
      <c r="B826" s="1" t="s">
        <v>1076</v>
      </c>
      <c r="C826" s="2">
        <v>161</v>
      </c>
      <c r="D826" s="2">
        <v>2576</v>
      </c>
      <c r="E826" s="2">
        <v>0</v>
      </c>
      <c r="F826" s="2">
        <v>0</v>
      </c>
      <c r="G826" s="2">
        <v>18.0396</v>
      </c>
      <c r="H826" s="3">
        <v>2904.3755999999998</v>
      </c>
      <c r="I826" s="1" t="s">
        <v>17</v>
      </c>
      <c r="J826" s="1" t="s">
        <v>18</v>
      </c>
      <c r="K826" s="1" t="s">
        <v>19</v>
      </c>
    </row>
    <row r="827" spans="1:11" ht="12.75" customHeight="1" x14ac:dyDescent="0.2">
      <c r="A827" s="1" t="s">
        <v>1077</v>
      </c>
      <c r="B827" s="1" t="s">
        <v>1078</v>
      </c>
      <c r="C827" s="2">
        <v>33</v>
      </c>
      <c r="D827" s="2">
        <v>0</v>
      </c>
      <c r="E827" s="2">
        <v>0</v>
      </c>
      <c r="F827" s="2">
        <v>0</v>
      </c>
      <c r="G827" s="2">
        <v>6.7706</v>
      </c>
      <c r="H827" s="3">
        <v>223.4298</v>
      </c>
      <c r="I827" s="1" t="s">
        <v>17</v>
      </c>
      <c r="J827" s="1" t="s">
        <v>18</v>
      </c>
      <c r="K827" s="1" t="s">
        <v>19</v>
      </c>
    </row>
    <row r="828" spans="1:11" ht="12.75" customHeight="1" x14ac:dyDescent="0.2">
      <c r="A828" s="1" t="s">
        <v>1079</v>
      </c>
      <c r="B828" s="1" t="s">
        <v>1080</v>
      </c>
      <c r="C828" s="2">
        <v>35</v>
      </c>
      <c r="D828" s="2">
        <v>0</v>
      </c>
      <c r="E828" s="2">
        <v>0</v>
      </c>
      <c r="F828" s="2">
        <v>0</v>
      </c>
      <c r="G828" s="2">
        <v>1.6546000000000001</v>
      </c>
      <c r="H828" s="3">
        <v>57.911000000000001</v>
      </c>
      <c r="I828" s="1" t="s">
        <v>17</v>
      </c>
      <c r="J828" s="1" t="s">
        <v>18</v>
      </c>
      <c r="K828" s="1" t="s">
        <v>19</v>
      </c>
    </row>
    <row r="829" spans="1:11" ht="12.75" customHeight="1" x14ac:dyDescent="0.2">
      <c r="A829" s="1" t="s">
        <v>1081</v>
      </c>
      <c r="B829" s="1" t="s">
        <v>1082</v>
      </c>
      <c r="C829" s="2">
        <v>35</v>
      </c>
      <c r="D829" s="2">
        <v>0</v>
      </c>
      <c r="E829" s="2">
        <v>0</v>
      </c>
      <c r="F829" s="2">
        <v>0</v>
      </c>
      <c r="G829" s="2">
        <v>3.3088000000000002</v>
      </c>
      <c r="H829" s="3">
        <v>115.80800000000001</v>
      </c>
      <c r="I829" s="1" t="s">
        <v>17</v>
      </c>
      <c r="J829" s="1" t="s">
        <v>18</v>
      </c>
      <c r="K829" s="1" t="s">
        <v>19</v>
      </c>
    </row>
    <row r="830" spans="1:11" ht="12.75" customHeight="1" x14ac:dyDescent="0.2">
      <c r="A830" s="1" t="s">
        <v>1083</v>
      </c>
      <c r="B830" s="1" t="s">
        <v>1084</v>
      </c>
      <c r="C830" s="2">
        <v>35</v>
      </c>
      <c r="D830" s="2">
        <v>0</v>
      </c>
      <c r="E830" s="2">
        <v>0</v>
      </c>
      <c r="F830" s="2">
        <v>0</v>
      </c>
      <c r="G830" s="2">
        <v>4.0456000000000003</v>
      </c>
      <c r="H830" s="3">
        <v>141.596</v>
      </c>
      <c r="I830" s="1" t="s">
        <v>17</v>
      </c>
      <c r="J830" s="1" t="s">
        <v>18</v>
      </c>
      <c r="K830" s="1" t="s">
        <v>19</v>
      </c>
    </row>
    <row r="831" spans="1:11" ht="12.75" customHeight="1" x14ac:dyDescent="0.2">
      <c r="A831" s="1" t="s">
        <v>1085</v>
      </c>
      <c r="B831" s="1" t="s">
        <v>1086</v>
      </c>
      <c r="C831" s="2">
        <v>45</v>
      </c>
      <c r="D831" s="2">
        <v>0</v>
      </c>
      <c r="E831" s="2">
        <v>0</v>
      </c>
      <c r="F831" s="2">
        <v>0</v>
      </c>
      <c r="G831" s="2">
        <v>18.7822</v>
      </c>
      <c r="H831" s="3">
        <v>845.19899999999996</v>
      </c>
      <c r="I831" s="1" t="s">
        <v>17</v>
      </c>
      <c r="J831" s="1" t="s">
        <v>18</v>
      </c>
      <c r="K831" s="1" t="s">
        <v>19</v>
      </c>
    </row>
    <row r="832" spans="1:11" ht="12.75" customHeight="1" x14ac:dyDescent="0.2">
      <c r="A832" s="1" t="s">
        <v>1087</v>
      </c>
      <c r="B832" s="1" t="s">
        <v>1088</v>
      </c>
      <c r="C832" s="2">
        <v>45</v>
      </c>
      <c r="D832" s="2">
        <v>0</v>
      </c>
      <c r="E832" s="2">
        <v>0</v>
      </c>
      <c r="F832" s="2">
        <v>0</v>
      </c>
      <c r="G832" s="2">
        <v>20.9788</v>
      </c>
      <c r="H832" s="3">
        <v>944.04600000000005</v>
      </c>
      <c r="I832" s="1" t="s">
        <v>17</v>
      </c>
      <c r="J832" s="1" t="s">
        <v>18</v>
      </c>
      <c r="K832" s="1" t="s">
        <v>19</v>
      </c>
    </row>
    <row r="833" spans="1:11" ht="12.75" customHeight="1" x14ac:dyDescent="0.2">
      <c r="A833" s="1" t="s">
        <v>1089</v>
      </c>
      <c r="B833" s="1" t="s">
        <v>1090</v>
      </c>
      <c r="C833" s="2">
        <v>1</v>
      </c>
      <c r="D833" s="2">
        <v>0</v>
      </c>
      <c r="E833" s="2">
        <v>0</v>
      </c>
      <c r="F833" s="2">
        <v>0</v>
      </c>
      <c r="G833" s="2">
        <v>0.02</v>
      </c>
      <c r="H833" s="3">
        <v>0.02</v>
      </c>
      <c r="I833" s="1" t="s">
        <v>12</v>
      </c>
      <c r="J833" s="1" t="s">
        <v>13</v>
      </c>
      <c r="K833" s="1" t="s">
        <v>14</v>
      </c>
    </row>
    <row r="834" spans="1:11" ht="12.75" customHeight="1" x14ac:dyDescent="0.2">
      <c r="A834" s="1" t="s">
        <v>1091</v>
      </c>
      <c r="B834" s="1" t="s">
        <v>1090</v>
      </c>
      <c r="C834" s="2">
        <v>1</v>
      </c>
      <c r="D834" s="2">
        <v>0</v>
      </c>
      <c r="E834" s="2">
        <v>0</v>
      </c>
      <c r="F834" s="2">
        <v>0</v>
      </c>
      <c r="G834" s="2">
        <v>0.01</v>
      </c>
      <c r="H834" s="3">
        <v>0.01</v>
      </c>
      <c r="I834" s="1" t="s">
        <v>12</v>
      </c>
      <c r="J834" s="1" t="s">
        <v>13</v>
      </c>
      <c r="K834" s="1" t="s">
        <v>14</v>
      </c>
    </row>
    <row r="835" spans="1:11" ht="12.75" customHeight="1" x14ac:dyDescent="0.2">
      <c r="A835" s="1" t="s">
        <v>1092</v>
      </c>
      <c r="B835" s="1" t="s">
        <v>1090</v>
      </c>
      <c r="C835" s="2">
        <v>1</v>
      </c>
      <c r="D835" s="2">
        <v>0</v>
      </c>
      <c r="E835" s="2">
        <v>0</v>
      </c>
      <c r="F835" s="2">
        <v>0</v>
      </c>
      <c r="G835" s="2">
        <v>0.01</v>
      </c>
      <c r="H835" s="3">
        <v>0.01</v>
      </c>
      <c r="I835" s="1" t="s">
        <v>12</v>
      </c>
      <c r="J835" s="1" t="s">
        <v>13</v>
      </c>
      <c r="K835" s="1" t="s">
        <v>14</v>
      </c>
    </row>
    <row r="836" spans="1:11" ht="12.75" customHeight="1" x14ac:dyDescent="0.2">
      <c r="A836" s="1" t="s">
        <v>1093</v>
      </c>
      <c r="B836" s="1" t="s">
        <v>1090</v>
      </c>
      <c r="C836" s="2">
        <v>1</v>
      </c>
      <c r="D836" s="2">
        <v>0</v>
      </c>
      <c r="E836" s="2">
        <v>0</v>
      </c>
      <c r="F836" s="2">
        <v>0</v>
      </c>
      <c r="G836" s="2">
        <v>0.01</v>
      </c>
      <c r="H836" s="3">
        <v>0.01</v>
      </c>
      <c r="I836" s="1" t="s">
        <v>12</v>
      </c>
      <c r="J836" s="1" t="s">
        <v>13</v>
      </c>
      <c r="K836" s="1" t="s">
        <v>14</v>
      </c>
    </row>
    <row r="837" spans="1:11" ht="12.75" customHeight="1" x14ac:dyDescent="0.2">
      <c r="A837" s="1" t="s">
        <v>1094</v>
      </c>
      <c r="B837" s="1" t="s">
        <v>1090</v>
      </c>
      <c r="C837" s="2">
        <v>1</v>
      </c>
      <c r="D837" s="2">
        <v>0</v>
      </c>
      <c r="E837" s="2">
        <v>0</v>
      </c>
      <c r="F837" s="2">
        <v>0</v>
      </c>
      <c r="G837" s="2">
        <v>0.01</v>
      </c>
      <c r="H837" s="3">
        <v>0.01</v>
      </c>
      <c r="I837" s="1" t="s">
        <v>12</v>
      </c>
      <c r="J837" s="1" t="s">
        <v>13</v>
      </c>
      <c r="K837" s="1" t="s">
        <v>14</v>
      </c>
    </row>
    <row r="838" spans="1:11" ht="12.75" customHeight="1" x14ac:dyDescent="0.2">
      <c r="A838" s="1" t="s">
        <v>1095</v>
      </c>
      <c r="B838" s="1" t="s">
        <v>1096</v>
      </c>
      <c r="C838" s="2">
        <v>1</v>
      </c>
      <c r="D838" s="2">
        <v>0</v>
      </c>
      <c r="E838" s="2">
        <v>0</v>
      </c>
      <c r="F838" s="2">
        <v>0</v>
      </c>
      <c r="G838" s="2">
        <v>0.01</v>
      </c>
      <c r="H838" s="3">
        <v>0.01</v>
      </c>
      <c r="I838" s="1" t="s">
        <v>12</v>
      </c>
      <c r="J838" s="1" t="s">
        <v>13</v>
      </c>
      <c r="K838" s="1" t="s">
        <v>14</v>
      </c>
    </row>
    <row r="839" spans="1:11" ht="12.75" customHeight="1" x14ac:dyDescent="0.2">
      <c r="A839" s="1" t="s">
        <v>1097</v>
      </c>
      <c r="B839" s="1" t="s">
        <v>1096</v>
      </c>
      <c r="C839" s="2">
        <v>1</v>
      </c>
      <c r="D839" s="2">
        <v>0</v>
      </c>
      <c r="E839" s="2">
        <v>0</v>
      </c>
      <c r="F839" s="2">
        <v>0</v>
      </c>
      <c r="G839" s="2">
        <v>0.01</v>
      </c>
      <c r="H839" s="3">
        <v>0.01</v>
      </c>
      <c r="I839" s="1" t="s">
        <v>12</v>
      </c>
      <c r="J839" s="1" t="s">
        <v>13</v>
      </c>
      <c r="K839" s="1" t="s">
        <v>14</v>
      </c>
    </row>
    <row r="840" spans="1:11" ht="12.75" customHeight="1" x14ac:dyDescent="0.2">
      <c r="A840" s="1" t="s">
        <v>1098</v>
      </c>
      <c r="B840" s="1" t="s">
        <v>1099</v>
      </c>
      <c r="C840" s="2">
        <v>195</v>
      </c>
      <c r="D840" s="2">
        <v>1950</v>
      </c>
      <c r="E840" s="2">
        <v>0</v>
      </c>
      <c r="F840" s="2">
        <v>0</v>
      </c>
      <c r="G840" s="2">
        <v>63.2</v>
      </c>
      <c r="H840" s="3">
        <v>12324</v>
      </c>
      <c r="I840" s="1" t="s">
        <v>17</v>
      </c>
      <c r="J840" s="1" t="s">
        <v>18</v>
      </c>
      <c r="K840" s="1" t="s">
        <v>19</v>
      </c>
    </row>
    <row r="841" spans="1:11" ht="12.75" customHeight="1" x14ac:dyDescent="0.2">
      <c r="A841" s="1" t="s">
        <v>1100</v>
      </c>
      <c r="B841" s="1" t="s">
        <v>1101</v>
      </c>
      <c r="C841" s="2">
        <v>49</v>
      </c>
      <c r="D841" s="2">
        <v>539</v>
      </c>
      <c r="E841" s="2">
        <v>0</v>
      </c>
      <c r="F841" s="2">
        <v>0</v>
      </c>
      <c r="G841" s="2">
        <v>69.52</v>
      </c>
      <c r="H841" s="3">
        <v>3406.48</v>
      </c>
      <c r="I841" s="1" t="s">
        <v>17</v>
      </c>
      <c r="J841" s="1" t="s">
        <v>18</v>
      </c>
      <c r="K841" s="1" t="s">
        <v>19</v>
      </c>
    </row>
    <row r="842" spans="1:11" ht="12.75" customHeight="1" x14ac:dyDescent="0.2">
      <c r="A842" s="1" t="s">
        <v>1102</v>
      </c>
      <c r="B842" s="1" t="s">
        <v>1103</v>
      </c>
      <c r="C842" s="2">
        <v>6</v>
      </c>
      <c r="D842" s="2">
        <v>72</v>
      </c>
      <c r="E842" s="2">
        <v>0</v>
      </c>
      <c r="F842" s="2">
        <v>0</v>
      </c>
      <c r="G842" s="2">
        <v>75.84</v>
      </c>
      <c r="H842" s="3">
        <v>455.04</v>
      </c>
      <c r="I842" s="1" t="s">
        <v>17</v>
      </c>
      <c r="J842" s="1" t="s">
        <v>18</v>
      </c>
      <c r="K842" s="1" t="s">
        <v>19</v>
      </c>
    </row>
    <row r="843" spans="1:11" ht="12.75" customHeight="1" x14ac:dyDescent="0.2">
      <c r="A843" s="1" t="s">
        <v>1104</v>
      </c>
      <c r="B843" s="1" t="s">
        <v>1105</v>
      </c>
      <c r="C843" s="2">
        <v>28</v>
      </c>
      <c r="D843" s="2">
        <v>364</v>
      </c>
      <c r="E843" s="2">
        <v>0</v>
      </c>
      <c r="F843" s="2">
        <v>0</v>
      </c>
      <c r="G843" s="2">
        <v>82.16</v>
      </c>
      <c r="H843" s="3">
        <v>2300.48</v>
      </c>
      <c r="I843" s="1" t="s">
        <v>17</v>
      </c>
      <c r="J843" s="1" t="s">
        <v>18</v>
      </c>
      <c r="K843" s="1" t="s">
        <v>19</v>
      </c>
    </row>
    <row r="844" spans="1:11" ht="12.75" customHeight="1" x14ac:dyDescent="0.2">
      <c r="A844" s="1" t="s">
        <v>1106</v>
      </c>
      <c r="B844" s="1" t="s">
        <v>1107</v>
      </c>
      <c r="C844" s="2">
        <v>10</v>
      </c>
      <c r="D844" s="2">
        <v>140</v>
      </c>
      <c r="E844" s="2">
        <v>0</v>
      </c>
      <c r="F844" s="2">
        <v>0</v>
      </c>
      <c r="G844" s="2">
        <v>88.48</v>
      </c>
      <c r="H844" s="3">
        <v>884.8</v>
      </c>
      <c r="I844" s="1" t="s">
        <v>17</v>
      </c>
      <c r="J844" s="1" t="s">
        <v>18</v>
      </c>
      <c r="K844" s="1" t="s">
        <v>19</v>
      </c>
    </row>
    <row r="845" spans="1:11" ht="12.75" customHeight="1" x14ac:dyDescent="0.2">
      <c r="A845" s="1" t="s">
        <v>1108</v>
      </c>
      <c r="B845" s="1" t="s">
        <v>1109</v>
      </c>
      <c r="C845" s="2">
        <v>35</v>
      </c>
      <c r="D845" s="2">
        <v>140</v>
      </c>
      <c r="E845" s="2">
        <v>0</v>
      </c>
      <c r="F845" s="2">
        <v>0</v>
      </c>
      <c r="G845" s="2">
        <v>25.28</v>
      </c>
      <c r="H845" s="3">
        <v>884.8</v>
      </c>
      <c r="I845" s="1" t="s">
        <v>17</v>
      </c>
      <c r="J845" s="1" t="s">
        <v>18</v>
      </c>
      <c r="K845" s="1" t="s">
        <v>19</v>
      </c>
    </row>
    <row r="846" spans="1:11" ht="12.75" customHeight="1" x14ac:dyDescent="0.2">
      <c r="A846" s="1" t="s">
        <v>1110</v>
      </c>
      <c r="B846" s="1" t="s">
        <v>1111</v>
      </c>
      <c r="C846" s="2">
        <v>42</v>
      </c>
      <c r="D846" s="2">
        <v>210</v>
      </c>
      <c r="E846" s="2">
        <v>0</v>
      </c>
      <c r="F846" s="2">
        <v>0</v>
      </c>
      <c r="G846" s="2">
        <v>31.6</v>
      </c>
      <c r="H846" s="3">
        <v>1327.2</v>
      </c>
      <c r="I846" s="1" t="s">
        <v>17</v>
      </c>
      <c r="J846" s="1" t="s">
        <v>18</v>
      </c>
      <c r="K846" s="1" t="s">
        <v>19</v>
      </c>
    </row>
    <row r="847" spans="1:11" ht="12.75" customHeight="1" x14ac:dyDescent="0.2">
      <c r="A847" s="1" t="s">
        <v>1112</v>
      </c>
      <c r="B847" s="1" t="s">
        <v>1113</v>
      </c>
      <c r="C847" s="2">
        <v>119</v>
      </c>
      <c r="D847" s="2">
        <v>714</v>
      </c>
      <c r="E847" s="2">
        <v>0</v>
      </c>
      <c r="F847" s="2">
        <v>0</v>
      </c>
      <c r="G847" s="2">
        <v>37.92</v>
      </c>
      <c r="H847" s="3">
        <v>4512.4799999999996</v>
      </c>
      <c r="I847" s="1" t="s">
        <v>17</v>
      </c>
      <c r="J847" s="1" t="s">
        <v>18</v>
      </c>
      <c r="K847" s="1" t="s">
        <v>19</v>
      </c>
    </row>
    <row r="848" spans="1:11" ht="12.75" customHeight="1" x14ac:dyDescent="0.2">
      <c r="A848" s="1" t="s">
        <v>1114</v>
      </c>
      <c r="B848" s="1" t="s">
        <v>1115</v>
      </c>
      <c r="C848" s="2">
        <v>105</v>
      </c>
      <c r="D848" s="2">
        <v>735</v>
      </c>
      <c r="E848" s="2">
        <v>0</v>
      </c>
      <c r="F848" s="2">
        <v>0</v>
      </c>
      <c r="G848" s="2">
        <v>44.24</v>
      </c>
      <c r="H848" s="3">
        <v>4645.2</v>
      </c>
      <c r="I848" s="1" t="s">
        <v>17</v>
      </c>
      <c r="J848" s="1" t="s">
        <v>18</v>
      </c>
      <c r="K848" s="1" t="s">
        <v>19</v>
      </c>
    </row>
    <row r="849" spans="1:11" ht="12.75" customHeight="1" x14ac:dyDescent="0.2">
      <c r="A849" s="1" t="s">
        <v>1116</v>
      </c>
      <c r="B849" s="1" t="s">
        <v>1117</v>
      </c>
      <c r="C849" s="2">
        <v>160</v>
      </c>
      <c r="D849" s="2">
        <v>1280</v>
      </c>
      <c r="E849" s="2">
        <v>0</v>
      </c>
      <c r="F849" s="2">
        <v>0</v>
      </c>
      <c r="G849" s="2">
        <v>50.56</v>
      </c>
      <c r="H849" s="3">
        <v>8089.6</v>
      </c>
      <c r="I849" s="1" t="s">
        <v>17</v>
      </c>
      <c r="J849" s="1" t="s">
        <v>18</v>
      </c>
      <c r="K849" s="1" t="s">
        <v>19</v>
      </c>
    </row>
    <row r="850" spans="1:11" ht="12.75" customHeight="1" x14ac:dyDescent="0.2">
      <c r="A850" s="1" t="s">
        <v>1118</v>
      </c>
      <c r="B850" s="1" t="s">
        <v>1119</v>
      </c>
      <c r="C850" s="2">
        <v>154</v>
      </c>
      <c r="D850" s="2">
        <v>1386</v>
      </c>
      <c r="E850" s="2">
        <v>0</v>
      </c>
      <c r="F850" s="2">
        <v>0</v>
      </c>
      <c r="G850" s="2">
        <v>56.88</v>
      </c>
      <c r="H850" s="3">
        <v>8759.52</v>
      </c>
      <c r="I850" s="1" t="s">
        <v>17</v>
      </c>
      <c r="J850" s="1" t="s">
        <v>18</v>
      </c>
      <c r="K850" s="1" t="s">
        <v>19</v>
      </c>
    </row>
    <row r="851" spans="1:11" ht="12.75" customHeight="1" x14ac:dyDescent="0.2">
      <c r="A851" s="1" t="s">
        <v>1120</v>
      </c>
      <c r="B851" s="1" t="s">
        <v>1121</v>
      </c>
      <c r="C851" s="2">
        <v>9</v>
      </c>
      <c r="D851" s="2">
        <v>54</v>
      </c>
      <c r="E851" s="2">
        <v>0</v>
      </c>
      <c r="F851" s="2">
        <v>0</v>
      </c>
      <c r="G851" s="2">
        <v>16.036899999999999</v>
      </c>
      <c r="H851" s="3">
        <v>144.3321</v>
      </c>
      <c r="I851" s="1" t="s">
        <v>17</v>
      </c>
      <c r="J851" s="1" t="s">
        <v>18</v>
      </c>
      <c r="K851" s="1" t="s">
        <v>19</v>
      </c>
    </row>
    <row r="852" spans="1:11" ht="12.75" customHeight="1" x14ac:dyDescent="0.2">
      <c r="A852" s="1" t="s">
        <v>1122</v>
      </c>
      <c r="B852" s="1" t="s">
        <v>1123</v>
      </c>
      <c r="C852" s="2">
        <v>7</v>
      </c>
      <c r="D852" s="2">
        <v>49</v>
      </c>
      <c r="E852" s="2">
        <v>0</v>
      </c>
      <c r="F852" s="2">
        <v>0</v>
      </c>
      <c r="G852" s="2">
        <v>18.709800000000001</v>
      </c>
      <c r="H852" s="3">
        <v>130.96860000000001</v>
      </c>
      <c r="I852" s="1" t="s">
        <v>17</v>
      </c>
      <c r="J852" s="1" t="s">
        <v>18</v>
      </c>
      <c r="K852" s="1" t="s">
        <v>19</v>
      </c>
    </row>
    <row r="853" spans="1:11" ht="12.75" customHeight="1" x14ac:dyDescent="0.2">
      <c r="A853" s="1" t="s">
        <v>1124</v>
      </c>
      <c r="B853" s="1" t="s">
        <v>1125</v>
      </c>
      <c r="C853" s="2">
        <v>222</v>
      </c>
      <c r="D853" s="2">
        <v>2220</v>
      </c>
      <c r="E853" s="2">
        <v>0</v>
      </c>
      <c r="F853" s="2">
        <v>20</v>
      </c>
      <c r="G853" s="2">
        <v>28.715199999999999</v>
      </c>
      <c r="H853" s="3">
        <v>6374.7744000000002</v>
      </c>
      <c r="I853" s="1" t="s">
        <v>17</v>
      </c>
      <c r="J853" s="1" t="s">
        <v>18</v>
      </c>
      <c r="K853" s="1" t="s">
        <v>19</v>
      </c>
    </row>
    <row r="854" spans="1:11" ht="12.75" customHeight="1" x14ac:dyDescent="0.2">
      <c r="A854" s="1" t="s">
        <v>1124</v>
      </c>
      <c r="B854" s="1" t="s">
        <v>1125</v>
      </c>
      <c r="C854" s="2">
        <v>239</v>
      </c>
      <c r="D854" s="2">
        <v>2390</v>
      </c>
      <c r="E854" s="2">
        <v>0</v>
      </c>
      <c r="F854" s="2">
        <v>0</v>
      </c>
      <c r="G854" s="2">
        <v>27.46</v>
      </c>
      <c r="H854" s="3">
        <v>6562.94</v>
      </c>
      <c r="I854" s="1" t="s">
        <v>24</v>
      </c>
      <c r="J854" s="1" t="s">
        <v>25</v>
      </c>
      <c r="K854" s="1" t="s">
        <v>26</v>
      </c>
    </row>
    <row r="855" spans="1:11" ht="12.75" customHeight="1" x14ac:dyDescent="0.2">
      <c r="A855" s="1" t="s">
        <v>1126</v>
      </c>
      <c r="B855" s="1" t="s">
        <v>1127</v>
      </c>
      <c r="C855" s="2">
        <v>401</v>
      </c>
      <c r="D855" s="2">
        <v>4411</v>
      </c>
      <c r="E855" s="2">
        <v>0</v>
      </c>
      <c r="F855" s="2">
        <v>25</v>
      </c>
      <c r="G855" s="2">
        <v>31.371300000000002</v>
      </c>
      <c r="H855" s="3">
        <v>12579.891299999999</v>
      </c>
      <c r="I855" s="1" t="s">
        <v>17</v>
      </c>
      <c r="J855" s="1" t="s">
        <v>18</v>
      </c>
      <c r="K855" s="1" t="s">
        <v>19</v>
      </c>
    </row>
    <row r="856" spans="1:11" ht="12.75" customHeight="1" x14ac:dyDescent="0.2">
      <c r="A856" s="1" t="s">
        <v>1126</v>
      </c>
      <c r="B856" s="1" t="s">
        <v>1127</v>
      </c>
      <c r="C856" s="2">
        <v>189</v>
      </c>
      <c r="D856" s="2">
        <v>2079</v>
      </c>
      <c r="E856" s="2">
        <v>0</v>
      </c>
      <c r="F856" s="2">
        <v>0</v>
      </c>
      <c r="G856" s="2">
        <v>28.543700000000001</v>
      </c>
      <c r="H856" s="3">
        <v>5394.7592999999997</v>
      </c>
      <c r="I856" s="1" t="s">
        <v>24</v>
      </c>
      <c r="J856" s="1" t="s">
        <v>25</v>
      </c>
      <c r="K856" s="1" t="s">
        <v>26</v>
      </c>
    </row>
    <row r="857" spans="1:11" ht="12.75" customHeight="1" x14ac:dyDescent="0.2">
      <c r="A857" s="1" t="s">
        <v>1128</v>
      </c>
      <c r="B857" s="1" t="s">
        <v>1129</v>
      </c>
      <c r="C857" s="2">
        <v>245</v>
      </c>
      <c r="D857" s="2">
        <v>2940</v>
      </c>
      <c r="E857" s="2">
        <v>0</v>
      </c>
      <c r="F857" s="2">
        <v>11</v>
      </c>
      <c r="G857" s="2">
        <v>34.240200000000002</v>
      </c>
      <c r="H857" s="3">
        <v>8388.8490000000002</v>
      </c>
      <c r="I857" s="1" t="s">
        <v>17</v>
      </c>
      <c r="J857" s="1" t="s">
        <v>18</v>
      </c>
      <c r="K857" s="1" t="s">
        <v>19</v>
      </c>
    </row>
    <row r="858" spans="1:11" ht="12.75" customHeight="1" x14ac:dyDescent="0.2">
      <c r="A858" s="1" t="s">
        <v>1128</v>
      </c>
      <c r="B858" s="1" t="s">
        <v>1129</v>
      </c>
      <c r="C858" s="2">
        <v>271</v>
      </c>
      <c r="D858" s="2">
        <v>3252</v>
      </c>
      <c r="E858" s="2">
        <v>0</v>
      </c>
      <c r="F858" s="2">
        <v>0</v>
      </c>
      <c r="G858" s="2">
        <v>31.6723</v>
      </c>
      <c r="H858" s="3">
        <v>8583.1933000000008</v>
      </c>
      <c r="I858" s="1" t="s">
        <v>24</v>
      </c>
      <c r="J858" s="1" t="s">
        <v>25</v>
      </c>
      <c r="K858" s="1" t="s">
        <v>26</v>
      </c>
    </row>
    <row r="859" spans="1:11" ht="12.75" customHeight="1" x14ac:dyDescent="0.2">
      <c r="A859" s="1" t="s">
        <v>1130</v>
      </c>
      <c r="B859" s="1" t="s">
        <v>1131</v>
      </c>
      <c r="C859" s="2">
        <v>575</v>
      </c>
      <c r="D859" s="2">
        <v>7475</v>
      </c>
      <c r="E859" s="2">
        <v>0</v>
      </c>
      <c r="F859" s="2">
        <v>27</v>
      </c>
      <c r="G859" s="2">
        <v>36.967199999999998</v>
      </c>
      <c r="H859" s="3">
        <v>21256.14</v>
      </c>
      <c r="I859" s="1" t="s">
        <v>17</v>
      </c>
      <c r="J859" s="1" t="s">
        <v>18</v>
      </c>
      <c r="K859" s="1" t="s">
        <v>19</v>
      </c>
    </row>
    <row r="860" spans="1:11" ht="12.75" customHeight="1" x14ac:dyDescent="0.2">
      <c r="A860" s="1" t="s">
        <v>1130</v>
      </c>
      <c r="B860" s="1" t="s">
        <v>1131</v>
      </c>
      <c r="C860" s="2">
        <v>118</v>
      </c>
      <c r="D860" s="2">
        <v>1534</v>
      </c>
      <c r="E860" s="2">
        <v>0</v>
      </c>
      <c r="F860" s="2">
        <v>0</v>
      </c>
      <c r="G860" s="2">
        <v>36.307600000000001</v>
      </c>
      <c r="H860" s="3">
        <v>4284.2968000000001</v>
      </c>
      <c r="I860" s="1" t="s">
        <v>24</v>
      </c>
      <c r="J860" s="1" t="s">
        <v>25</v>
      </c>
      <c r="K860" s="1" t="s">
        <v>26</v>
      </c>
    </row>
    <row r="861" spans="1:11" ht="12.75" customHeight="1" x14ac:dyDescent="0.2">
      <c r="A861" s="1" t="s">
        <v>1132</v>
      </c>
      <c r="B861" s="1" t="s">
        <v>1133</v>
      </c>
      <c r="C861" s="2">
        <v>78</v>
      </c>
      <c r="D861" s="2">
        <v>1092</v>
      </c>
      <c r="E861" s="2">
        <v>0</v>
      </c>
      <c r="F861" s="2">
        <v>0</v>
      </c>
      <c r="G861" s="2">
        <v>39.1</v>
      </c>
      <c r="H861" s="3">
        <v>3049.8</v>
      </c>
      <c r="I861" s="1" t="s">
        <v>24</v>
      </c>
      <c r="J861" s="1" t="s">
        <v>25</v>
      </c>
      <c r="K861" s="1" t="s">
        <v>26</v>
      </c>
    </row>
    <row r="862" spans="1:11" ht="12.75" customHeight="1" x14ac:dyDescent="0.2">
      <c r="A862" s="1" t="s">
        <v>1134</v>
      </c>
      <c r="B862" s="1" t="s">
        <v>1135</v>
      </c>
      <c r="C862" s="2">
        <v>73</v>
      </c>
      <c r="D862" s="2">
        <v>1168</v>
      </c>
      <c r="E862" s="2">
        <v>0</v>
      </c>
      <c r="F862" s="2">
        <v>0</v>
      </c>
      <c r="G862" s="2">
        <v>44.6858</v>
      </c>
      <c r="H862" s="3">
        <v>3262.0634</v>
      </c>
      <c r="I862" s="1" t="s">
        <v>24</v>
      </c>
      <c r="J862" s="1" t="s">
        <v>25</v>
      </c>
      <c r="K862" s="1" t="s">
        <v>26</v>
      </c>
    </row>
    <row r="863" spans="1:11" ht="12.75" customHeight="1" x14ac:dyDescent="0.2">
      <c r="A863" s="1" t="s">
        <v>1136</v>
      </c>
      <c r="B863" s="1" t="s">
        <v>1137</v>
      </c>
      <c r="C863" s="2">
        <v>806</v>
      </c>
      <c r="D863" s="2">
        <v>4836</v>
      </c>
      <c r="E863" s="2">
        <v>0</v>
      </c>
      <c r="F863" s="2">
        <v>45</v>
      </c>
      <c r="G863" s="2">
        <v>17.25</v>
      </c>
      <c r="H863" s="3">
        <v>13903.5</v>
      </c>
      <c r="I863" s="1" t="s">
        <v>17</v>
      </c>
      <c r="J863" s="1" t="s">
        <v>18</v>
      </c>
      <c r="K863" s="1" t="s">
        <v>19</v>
      </c>
    </row>
    <row r="864" spans="1:11" ht="12.75" customHeight="1" x14ac:dyDescent="0.2">
      <c r="A864" s="1" t="s">
        <v>1136</v>
      </c>
      <c r="B864" s="1" t="s">
        <v>1137</v>
      </c>
      <c r="C864" s="2">
        <v>1068</v>
      </c>
      <c r="D864" s="2">
        <v>6408</v>
      </c>
      <c r="E864" s="2">
        <v>0</v>
      </c>
      <c r="F864" s="2">
        <v>0</v>
      </c>
      <c r="G864" s="2">
        <v>19.529599999999999</v>
      </c>
      <c r="H864" s="3">
        <v>20857.612799999999</v>
      </c>
      <c r="I864" s="1" t="s">
        <v>24</v>
      </c>
      <c r="J864" s="1" t="s">
        <v>25</v>
      </c>
      <c r="K864" s="1" t="s">
        <v>26</v>
      </c>
    </row>
    <row r="865" spans="1:11" ht="12.75" customHeight="1" x14ac:dyDescent="0.2">
      <c r="A865" s="1" t="s">
        <v>1138</v>
      </c>
      <c r="B865" s="1" t="s">
        <v>1139</v>
      </c>
      <c r="C865" s="2">
        <v>1499</v>
      </c>
      <c r="D865" s="2">
        <v>10493</v>
      </c>
      <c r="E865" s="2">
        <v>0</v>
      </c>
      <c r="F865" s="2">
        <v>56</v>
      </c>
      <c r="G865" s="2">
        <v>20.091100000000001</v>
      </c>
      <c r="H865" s="3">
        <v>30116.5589</v>
      </c>
      <c r="I865" s="1" t="s">
        <v>17</v>
      </c>
      <c r="J865" s="1" t="s">
        <v>18</v>
      </c>
      <c r="K865" s="1" t="s">
        <v>19</v>
      </c>
    </row>
    <row r="866" spans="1:11" ht="12.75" customHeight="1" x14ac:dyDescent="0.2">
      <c r="A866" s="1" t="s">
        <v>1138</v>
      </c>
      <c r="B866" s="1" t="s">
        <v>1139</v>
      </c>
      <c r="C866" s="2">
        <v>1968</v>
      </c>
      <c r="D866" s="2">
        <v>13776</v>
      </c>
      <c r="E866" s="2">
        <v>0</v>
      </c>
      <c r="F866" s="2">
        <v>0</v>
      </c>
      <c r="G866" s="2">
        <v>20.983699999999999</v>
      </c>
      <c r="H866" s="3">
        <v>41295.921600000001</v>
      </c>
      <c r="I866" s="1" t="s">
        <v>24</v>
      </c>
      <c r="J866" s="1" t="s">
        <v>25</v>
      </c>
      <c r="K866" s="1" t="s">
        <v>26</v>
      </c>
    </row>
    <row r="867" spans="1:11" ht="12.75" customHeight="1" x14ac:dyDescent="0.2">
      <c r="A867" s="1" t="s">
        <v>1140</v>
      </c>
      <c r="B867" s="1" t="s">
        <v>1141</v>
      </c>
      <c r="C867" s="2">
        <v>1175</v>
      </c>
      <c r="D867" s="2">
        <v>9400</v>
      </c>
      <c r="E867" s="2">
        <v>0</v>
      </c>
      <c r="F867" s="2">
        <v>48</v>
      </c>
      <c r="G867" s="2">
        <v>22.894100000000002</v>
      </c>
      <c r="H867" s="3">
        <v>26900.567500000001</v>
      </c>
      <c r="I867" s="1" t="s">
        <v>17</v>
      </c>
      <c r="J867" s="1" t="s">
        <v>18</v>
      </c>
      <c r="K867" s="1" t="s">
        <v>19</v>
      </c>
    </row>
    <row r="868" spans="1:11" ht="12.75" customHeight="1" x14ac:dyDescent="0.2">
      <c r="A868" s="1" t="s">
        <v>1140</v>
      </c>
      <c r="B868" s="1" t="s">
        <v>1141</v>
      </c>
      <c r="C868" s="2">
        <v>1649</v>
      </c>
      <c r="D868" s="2">
        <v>13192</v>
      </c>
      <c r="E868" s="2">
        <v>0</v>
      </c>
      <c r="F868" s="2">
        <v>0</v>
      </c>
      <c r="G868" s="2">
        <v>23.126999999999999</v>
      </c>
      <c r="H868" s="3">
        <v>38136.423000000003</v>
      </c>
      <c r="I868" s="1" t="s">
        <v>24</v>
      </c>
      <c r="J868" s="1" t="s">
        <v>25</v>
      </c>
      <c r="K868" s="1" t="s">
        <v>26</v>
      </c>
    </row>
    <row r="869" spans="1:11" ht="12.75" customHeight="1" x14ac:dyDescent="0.2">
      <c r="A869" s="1" t="s">
        <v>1142</v>
      </c>
      <c r="B869" s="1" t="s">
        <v>1143</v>
      </c>
      <c r="C869" s="2">
        <v>1637</v>
      </c>
      <c r="D869" s="2">
        <v>14733</v>
      </c>
      <c r="E869" s="2">
        <v>0</v>
      </c>
      <c r="F869" s="2">
        <v>70</v>
      </c>
      <c r="G869" s="2">
        <v>25.775300000000001</v>
      </c>
      <c r="H869" s="3">
        <v>42194.166100000002</v>
      </c>
      <c r="I869" s="1" t="s">
        <v>17</v>
      </c>
      <c r="J869" s="1" t="s">
        <v>18</v>
      </c>
      <c r="K869" s="1" t="s">
        <v>19</v>
      </c>
    </row>
    <row r="870" spans="1:11" ht="12.75" customHeight="1" x14ac:dyDescent="0.2">
      <c r="A870" s="1" t="s">
        <v>1142</v>
      </c>
      <c r="B870" s="1" t="s">
        <v>1143</v>
      </c>
      <c r="C870" s="2">
        <v>1590</v>
      </c>
      <c r="D870" s="2">
        <v>14310</v>
      </c>
      <c r="E870" s="2">
        <v>0</v>
      </c>
      <c r="F870" s="2">
        <v>10</v>
      </c>
      <c r="G870" s="2">
        <v>24.804200000000002</v>
      </c>
      <c r="H870" s="3">
        <v>39438.678</v>
      </c>
      <c r="I870" s="1" t="s">
        <v>24</v>
      </c>
      <c r="J870" s="1" t="s">
        <v>25</v>
      </c>
      <c r="K870" s="1" t="s">
        <v>26</v>
      </c>
    </row>
    <row r="871" spans="1:11" ht="12.75" customHeight="1" x14ac:dyDescent="0.2">
      <c r="A871" s="1" t="s">
        <v>1144</v>
      </c>
      <c r="B871" s="1" t="s">
        <v>1145</v>
      </c>
      <c r="C871" s="2">
        <v>154</v>
      </c>
      <c r="D871" s="2">
        <v>616</v>
      </c>
      <c r="E871" s="2">
        <v>0</v>
      </c>
      <c r="F871" s="2">
        <v>0</v>
      </c>
      <c r="G871" s="2">
        <v>18.920000000000002</v>
      </c>
      <c r="H871" s="3">
        <v>2913.68</v>
      </c>
      <c r="I871" s="1" t="s">
        <v>17</v>
      </c>
      <c r="J871" s="1" t="s">
        <v>18</v>
      </c>
      <c r="K871" s="1" t="s">
        <v>19</v>
      </c>
    </row>
    <row r="872" spans="1:11" ht="12.75" customHeight="1" x14ac:dyDescent="0.2">
      <c r="A872" s="1" t="s">
        <v>1146</v>
      </c>
      <c r="B872" s="1" t="s">
        <v>1147</v>
      </c>
      <c r="C872" s="2">
        <v>217</v>
      </c>
      <c r="D872" s="2">
        <v>1085</v>
      </c>
      <c r="E872" s="2">
        <v>0</v>
      </c>
      <c r="F872" s="2">
        <v>0</v>
      </c>
      <c r="G872" s="2">
        <v>23.65</v>
      </c>
      <c r="H872" s="3">
        <v>5132.05</v>
      </c>
      <c r="I872" s="1" t="s">
        <v>17</v>
      </c>
      <c r="J872" s="1" t="s">
        <v>18</v>
      </c>
      <c r="K872" s="1" t="s">
        <v>19</v>
      </c>
    </row>
    <row r="873" spans="1:11" ht="12.75" customHeight="1" x14ac:dyDescent="0.2">
      <c r="A873" s="1" t="s">
        <v>1148</v>
      </c>
      <c r="B873" s="1" t="s">
        <v>1149</v>
      </c>
      <c r="C873" s="2">
        <v>281</v>
      </c>
      <c r="D873" s="2">
        <v>1686</v>
      </c>
      <c r="E873" s="2">
        <v>0</v>
      </c>
      <c r="F873" s="2">
        <v>0</v>
      </c>
      <c r="G873" s="2">
        <v>28.38</v>
      </c>
      <c r="H873" s="3">
        <v>7974.78</v>
      </c>
      <c r="I873" s="1" t="s">
        <v>17</v>
      </c>
      <c r="J873" s="1" t="s">
        <v>18</v>
      </c>
      <c r="K873" s="1" t="s">
        <v>19</v>
      </c>
    </row>
    <row r="874" spans="1:11" ht="12.75" customHeight="1" x14ac:dyDescent="0.2">
      <c r="A874" s="1" t="s">
        <v>1150</v>
      </c>
      <c r="B874" s="1" t="s">
        <v>1151</v>
      </c>
      <c r="C874" s="2">
        <v>426</v>
      </c>
      <c r="D874" s="2">
        <v>2982</v>
      </c>
      <c r="E874" s="2">
        <v>0</v>
      </c>
      <c r="F874" s="2">
        <v>0</v>
      </c>
      <c r="G874" s="2">
        <v>33.11</v>
      </c>
      <c r="H874" s="3">
        <v>14104.86</v>
      </c>
      <c r="I874" s="1" t="s">
        <v>17</v>
      </c>
      <c r="J874" s="1" t="s">
        <v>18</v>
      </c>
      <c r="K874" s="1" t="s">
        <v>19</v>
      </c>
    </row>
    <row r="875" spans="1:11" ht="12.75" customHeight="1" x14ac:dyDescent="0.2">
      <c r="A875" s="1" t="s">
        <v>1152</v>
      </c>
      <c r="B875" s="1" t="s">
        <v>1153</v>
      </c>
      <c r="C875" s="2">
        <v>100</v>
      </c>
      <c r="D875" s="2">
        <v>800</v>
      </c>
      <c r="E875" s="2">
        <v>0</v>
      </c>
      <c r="F875" s="2">
        <v>0</v>
      </c>
      <c r="G875" s="2">
        <v>37.840000000000003</v>
      </c>
      <c r="H875" s="3">
        <v>3784</v>
      </c>
      <c r="I875" s="1" t="s">
        <v>17</v>
      </c>
      <c r="J875" s="1" t="s">
        <v>18</v>
      </c>
      <c r="K875" s="1" t="s">
        <v>19</v>
      </c>
    </row>
    <row r="876" spans="1:11" ht="12.75" customHeight="1" x14ac:dyDescent="0.2">
      <c r="A876" s="1" t="s">
        <v>1154</v>
      </c>
      <c r="B876" s="1" t="s">
        <v>1155</v>
      </c>
      <c r="C876" s="2">
        <v>99</v>
      </c>
      <c r="D876" s="2">
        <v>990</v>
      </c>
      <c r="E876" s="2">
        <v>0</v>
      </c>
      <c r="F876" s="2">
        <v>0</v>
      </c>
      <c r="G876" s="2">
        <v>43</v>
      </c>
      <c r="H876" s="3">
        <v>4257</v>
      </c>
      <c r="I876" s="1" t="s">
        <v>17</v>
      </c>
      <c r="J876" s="1" t="s">
        <v>18</v>
      </c>
      <c r="K876" s="1" t="s">
        <v>19</v>
      </c>
    </row>
    <row r="877" spans="1:11" ht="12.75" customHeight="1" x14ac:dyDescent="0.2">
      <c r="A877" s="1" t="s">
        <v>1156</v>
      </c>
      <c r="B877" s="1" t="s">
        <v>1157</v>
      </c>
      <c r="C877" s="2">
        <v>93</v>
      </c>
      <c r="D877" s="2">
        <v>1023</v>
      </c>
      <c r="E877" s="2">
        <v>0</v>
      </c>
      <c r="F877" s="2">
        <v>0</v>
      </c>
      <c r="G877" s="2">
        <v>47.3</v>
      </c>
      <c r="H877" s="3">
        <v>4398.8999999999996</v>
      </c>
      <c r="I877" s="1" t="s">
        <v>17</v>
      </c>
      <c r="J877" s="1" t="s">
        <v>18</v>
      </c>
      <c r="K877" s="1" t="s">
        <v>19</v>
      </c>
    </row>
    <row r="878" spans="1:11" ht="12.75" customHeight="1" x14ac:dyDescent="0.2">
      <c r="A878" s="1" t="s">
        <v>1158</v>
      </c>
      <c r="B878" s="1" t="s">
        <v>1159</v>
      </c>
      <c r="C878" s="2">
        <v>66</v>
      </c>
      <c r="D878" s="2">
        <v>792</v>
      </c>
      <c r="E878" s="2">
        <v>0</v>
      </c>
      <c r="F878" s="2">
        <v>0</v>
      </c>
      <c r="G878" s="2">
        <v>51.6</v>
      </c>
      <c r="H878" s="3">
        <v>3405.6</v>
      </c>
      <c r="I878" s="1" t="s">
        <v>17</v>
      </c>
      <c r="J878" s="1" t="s">
        <v>18</v>
      </c>
      <c r="K878" s="1" t="s">
        <v>19</v>
      </c>
    </row>
    <row r="879" spans="1:11" ht="12.75" customHeight="1" x14ac:dyDescent="0.2">
      <c r="A879" s="1" t="s">
        <v>1160</v>
      </c>
      <c r="B879" s="1" t="s">
        <v>1161</v>
      </c>
      <c r="C879" s="2">
        <v>27</v>
      </c>
      <c r="D879" s="2">
        <v>351</v>
      </c>
      <c r="E879" s="2">
        <v>0</v>
      </c>
      <c r="F879" s="2">
        <v>0</v>
      </c>
      <c r="G879" s="2">
        <v>55.9</v>
      </c>
      <c r="H879" s="3">
        <v>1509.3</v>
      </c>
      <c r="I879" s="1" t="s">
        <v>17</v>
      </c>
      <c r="J879" s="1" t="s">
        <v>18</v>
      </c>
      <c r="K879" s="1" t="s">
        <v>19</v>
      </c>
    </row>
    <row r="880" spans="1:11" ht="12.75" customHeight="1" x14ac:dyDescent="0.2">
      <c r="A880" s="1" t="s">
        <v>1162</v>
      </c>
      <c r="B880" s="1" t="s">
        <v>1163</v>
      </c>
      <c r="C880" s="2">
        <v>33</v>
      </c>
      <c r="D880" s="2">
        <v>462</v>
      </c>
      <c r="E880" s="2">
        <v>0</v>
      </c>
      <c r="F880" s="2">
        <v>0</v>
      </c>
      <c r="G880" s="2">
        <v>60.2</v>
      </c>
      <c r="H880" s="3">
        <v>1986.6</v>
      </c>
      <c r="I880" s="1" t="s">
        <v>17</v>
      </c>
      <c r="J880" s="1" t="s">
        <v>18</v>
      </c>
      <c r="K880" s="1" t="s">
        <v>19</v>
      </c>
    </row>
    <row r="881" spans="1:11" ht="12.75" customHeight="1" x14ac:dyDescent="0.2">
      <c r="A881" s="1" t="s">
        <v>1164</v>
      </c>
      <c r="B881" s="1" t="s">
        <v>1165</v>
      </c>
      <c r="C881" s="2">
        <v>44</v>
      </c>
      <c r="D881" s="2">
        <v>176</v>
      </c>
      <c r="E881" s="2">
        <v>0</v>
      </c>
      <c r="F881" s="2">
        <v>0</v>
      </c>
      <c r="G881" s="2">
        <v>17.2</v>
      </c>
      <c r="H881" s="3">
        <v>756.8</v>
      </c>
      <c r="I881" s="1" t="s">
        <v>17</v>
      </c>
      <c r="J881" s="1" t="s">
        <v>18</v>
      </c>
      <c r="K881" s="1" t="s">
        <v>19</v>
      </c>
    </row>
    <row r="882" spans="1:11" ht="12.75" customHeight="1" x14ac:dyDescent="0.2">
      <c r="A882" s="1" t="s">
        <v>1166</v>
      </c>
      <c r="B882" s="1" t="s">
        <v>1167</v>
      </c>
      <c r="C882" s="2">
        <v>53</v>
      </c>
      <c r="D882" s="2">
        <v>265</v>
      </c>
      <c r="E882" s="2">
        <v>0</v>
      </c>
      <c r="F882" s="2">
        <v>0</v>
      </c>
      <c r="G882" s="2">
        <v>21.5</v>
      </c>
      <c r="H882" s="3">
        <v>1139.5</v>
      </c>
      <c r="I882" s="1" t="s">
        <v>17</v>
      </c>
      <c r="J882" s="1" t="s">
        <v>18</v>
      </c>
      <c r="K882" s="1" t="s">
        <v>19</v>
      </c>
    </row>
    <row r="883" spans="1:11" ht="12.75" customHeight="1" x14ac:dyDescent="0.2">
      <c r="A883" s="1" t="s">
        <v>1168</v>
      </c>
      <c r="B883" s="1" t="s">
        <v>1169</v>
      </c>
      <c r="C883" s="2">
        <v>117</v>
      </c>
      <c r="D883" s="2">
        <v>702</v>
      </c>
      <c r="E883" s="2">
        <v>0</v>
      </c>
      <c r="F883" s="2">
        <v>0</v>
      </c>
      <c r="G883" s="2">
        <v>25.8</v>
      </c>
      <c r="H883" s="3">
        <v>3018.6</v>
      </c>
      <c r="I883" s="1" t="s">
        <v>17</v>
      </c>
      <c r="J883" s="1" t="s">
        <v>18</v>
      </c>
      <c r="K883" s="1" t="s">
        <v>19</v>
      </c>
    </row>
    <row r="884" spans="1:11" ht="12.75" customHeight="1" x14ac:dyDescent="0.2">
      <c r="A884" s="1" t="s">
        <v>1170</v>
      </c>
      <c r="B884" s="1" t="s">
        <v>1171</v>
      </c>
      <c r="C884" s="2">
        <v>138</v>
      </c>
      <c r="D884" s="2">
        <v>966</v>
      </c>
      <c r="E884" s="2">
        <v>0</v>
      </c>
      <c r="F884" s="2">
        <v>0</v>
      </c>
      <c r="G884" s="2">
        <v>30.1</v>
      </c>
      <c r="H884" s="3">
        <v>4153.8</v>
      </c>
      <c r="I884" s="1" t="s">
        <v>17</v>
      </c>
      <c r="J884" s="1" t="s">
        <v>18</v>
      </c>
      <c r="K884" s="1" t="s">
        <v>19</v>
      </c>
    </row>
    <row r="885" spans="1:11" ht="12.75" customHeight="1" x14ac:dyDescent="0.2">
      <c r="A885" s="1" t="s">
        <v>1172</v>
      </c>
      <c r="B885" s="1" t="s">
        <v>1173</v>
      </c>
      <c r="C885" s="2">
        <v>147</v>
      </c>
      <c r="D885" s="2">
        <v>1176</v>
      </c>
      <c r="E885" s="2">
        <v>0</v>
      </c>
      <c r="F885" s="2">
        <v>0</v>
      </c>
      <c r="G885" s="2">
        <v>34.4</v>
      </c>
      <c r="H885" s="3">
        <v>5056.8</v>
      </c>
      <c r="I885" s="1" t="s">
        <v>17</v>
      </c>
      <c r="J885" s="1" t="s">
        <v>18</v>
      </c>
      <c r="K885" s="1" t="s">
        <v>19</v>
      </c>
    </row>
    <row r="886" spans="1:11" ht="12.75" customHeight="1" x14ac:dyDescent="0.2">
      <c r="A886" s="1" t="s">
        <v>1174</v>
      </c>
      <c r="B886" s="1" t="s">
        <v>1175</v>
      </c>
      <c r="C886" s="2">
        <v>113</v>
      </c>
      <c r="D886" s="2">
        <v>1017</v>
      </c>
      <c r="E886" s="2">
        <v>0</v>
      </c>
      <c r="F886" s="2">
        <v>0</v>
      </c>
      <c r="G886" s="2">
        <v>38.700000000000003</v>
      </c>
      <c r="H886" s="3">
        <v>4373.1000000000004</v>
      </c>
      <c r="I886" s="1" t="s">
        <v>17</v>
      </c>
      <c r="J886" s="1" t="s">
        <v>18</v>
      </c>
      <c r="K886" s="1" t="s">
        <v>19</v>
      </c>
    </row>
    <row r="887" spans="1:11" ht="12.75" customHeight="1" x14ac:dyDescent="0.2">
      <c r="A887" s="1" t="s">
        <v>1182</v>
      </c>
      <c r="B887" s="1" t="s">
        <v>1183</v>
      </c>
      <c r="C887" s="2">
        <v>334</v>
      </c>
      <c r="D887" s="2">
        <v>3340</v>
      </c>
      <c r="E887" s="2">
        <v>0</v>
      </c>
      <c r="F887" s="2">
        <v>0</v>
      </c>
      <c r="G887" s="2">
        <v>31.220199999999998</v>
      </c>
      <c r="H887" s="3">
        <v>10427.5468</v>
      </c>
      <c r="I887" s="1" t="s">
        <v>17</v>
      </c>
      <c r="J887" s="1" t="s">
        <v>18</v>
      </c>
      <c r="K887" s="1" t="s">
        <v>19</v>
      </c>
    </row>
    <row r="888" spans="1:11" ht="12.75" customHeight="1" x14ac:dyDescent="0.2">
      <c r="A888" s="1" t="s">
        <v>1184</v>
      </c>
      <c r="B888" s="1" t="s">
        <v>1185</v>
      </c>
      <c r="C888" s="2">
        <v>350</v>
      </c>
      <c r="D888" s="2">
        <v>2100</v>
      </c>
      <c r="E888" s="2">
        <v>0</v>
      </c>
      <c r="F888" s="2">
        <v>0</v>
      </c>
      <c r="G888" s="2">
        <v>18.732099999999999</v>
      </c>
      <c r="H888" s="3">
        <v>6556.2349999999997</v>
      </c>
      <c r="I888" s="1" t="s">
        <v>17</v>
      </c>
      <c r="J888" s="1" t="s">
        <v>18</v>
      </c>
      <c r="K888" s="1" t="s">
        <v>19</v>
      </c>
    </row>
    <row r="889" spans="1:11" ht="12.75" customHeight="1" x14ac:dyDescent="0.2">
      <c r="A889" s="1" t="s">
        <v>1186</v>
      </c>
      <c r="B889" s="1" t="s">
        <v>1187</v>
      </c>
      <c r="C889" s="2">
        <v>350</v>
      </c>
      <c r="D889" s="2">
        <v>2800</v>
      </c>
      <c r="E889" s="2">
        <v>0</v>
      </c>
      <c r="F889" s="2">
        <v>0</v>
      </c>
      <c r="G889" s="2">
        <v>24.976099999999999</v>
      </c>
      <c r="H889" s="3">
        <v>8741.6350000000002</v>
      </c>
      <c r="I889" s="1" t="s">
        <v>17</v>
      </c>
      <c r="J889" s="1" t="s">
        <v>18</v>
      </c>
      <c r="K889" s="1" t="s">
        <v>19</v>
      </c>
    </row>
    <row r="890" spans="1:11" ht="12.75" customHeight="1" x14ac:dyDescent="0.2">
      <c r="A890" s="1" t="s">
        <v>1188</v>
      </c>
      <c r="B890" s="1" t="s">
        <v>1189</v>
      </c>
      <c r="C890" s="2">
        <v>175</v>
      </c>
      <c r="D890" s="2">
        <v>1575</v>
      </c>
      <c r="E890" s="2">
        <v>0</v>
      </c>
      <c r="F890" s="2">
        <v>0</v>
      </c>
      <c r="G890" s="2">
        <v>28.098199999999999</v>
      </c>
      <c r="H890" s="3">
        <v>4917.1850000000004</v>
      </c>
      <c r="I890" s="1" t="s">
        <v>17</v>
      </c>
      <c r="J890" s="1" t="s">
        <v>18</v>
      </c>
      <c r="K890" s="1" t="s">
        <v>19</v>
      </c>
    </row>
    <row r="891" spans="1:11" ht="12.75" customHeight="1" x14ac:dyDescent="0.2">
      <c r="A891" s="1" t="s">
        <v>1190</v>
      </c>
      <c r="B891" s="1" t="s">
        <v>1191</v>
      </c>
      <c r="C891" s="2">
        <v>242</v>
      </c>
      <c r="D891" s="2">
        <v>2420</v>
      </c>
      <c r="E891" s="2">
        <v>0</v>
      </c>
      <c r="F891" s="2">
        <v>4</v>
      </c>
      <c r="G891" s="2">
        <v>34.879800000000003</v>
      </c>
      <c r="H891" s="3">
        <v>8440.9115999999995</v>
      </c>
      <c r="I891" s="1" t="s">
        <v>17</v>
      </c>
      <c r="J891" s="1" t="s">
        <v>18</v>
      </c>
      <c r="K891" s="1" t="s">
        <v>19</v>
      </c>
    </row>
    <row r="892" spans="1:11" ht="12.75" customHeight="1" x14ac:dyDescent="0.2">
      <c r="A892" s="1" t="s">
        <v>1194</v>
      </c>
      <c r="B892" s="1" t="s">
        <v>1195</v>
      </c>
      <c r="C892" s="2">
        <v>2</v>
      </c>
      <c r="D892" s="2">
        <v>12</v>
      </c>
      <c r="E892" s="2">
        <v>0</v>
      </c>
      <c r="F892" s="2">
        <v>2</v>
      </c>
      <c r="G892" s="2">
        <v>19.8977</v>
      </c>
      <c r="H892" s="3">
        <v>39.795400000000001</v>
      </c>
      <c r="I892" s="1" t="s">
        <v>330</v>
      </c>
      <c r="J892" s="1" t="s">
        <v>331</v>
      </c>
      <c r="K892" s="1" t="s">
        <v>332</v>
      </c>
    </row>
    <row r="893" spans="1:11" ht="12.75" customHeight="1" x14ac:dyDescent="0.2">
      <c r="A893" s="1" t="s">
        <v>1196</v>
      </c>
      <c r="B893" s="1" t="s">
        <v>1197</v>
      </c>
      <c r="C893" s="2">
        <v>5</v>
      </c>
      <c r="D893" s="2">
        <v>35</v>
      </c>
      <c r="E893" s="2">
        <v>0</v>
      </c>
      <c r="F893" s="2">
        <v>0</v>
      </c>
      <c r="G893" s="2">
        <v>23.213999999999999</v>
      </c>
      <c r="H893" s="3">
        <v>116.07</v>
      </c>
      <c r="I893" s="1" t="s">
        <v>17</v>
      </c>
      <c r="J893" s="1" t="s">
        <v>18</v>
      </c>
      <c r="K893" s="1" t="s">
        <v>19</v>
      </c>
    </row>
    <row r="894" spans="1:11" ht="12.75" customHeight="1" x14ac:dyDescent="0.2">
      <c r="A894" s="1" t="s">
        <v>1196</v>
      </c>
      <c r="B894" s="1" t="s">
        <v>1197</v>
      </c>
      <c r="C894" s="2">
        <v>1</v>
      </c>
      <c r="D894" s="2">
        <v>7</v>
      </c>
      <c r="E894" s="2">
        <v>0</v>
      </c>
      <c r="F894" s="2">
        <v>1</v>
      </c>
      <c r="G894" s="2">
        <v>23.213999999999999</v>
      </c>
      <c r="H894" s="3">
        <v>23.213999999999999</v>
      </c>
      <c r="I894" s="1" t="s">
        <v>330</v>
      </c>
      <c r="J894" s="1" t="s">
        <v>331</v>
      </c>
      <c r="K894" s="1" t="s">
        <v>332</v>
      </c>
    </row>
    <row r="895" spans="1:11" ht="12.75" customHeight="1" x14ac:dyDescent="0.2">
      <c r="A895" s="1" t="s">
        <v>1198</v>
      </c>
      <c r="B895" s="1" t="s">
        <v>1199</v>
      </c>
      <c r="C895" s="2">
        <v>890</v>
      </c>
      <c r="D895" s="2">
        <v>7120</v>
      </c>
      <c r="E895" s="2">
        <v>0</v>
      </c>
      <c r="F895" s="2">
        <v>8</v>
      </c>
      <c r="G895" s="2">
        <v>26.957599999999999</v>
      </c>
      <c r="H895" s="3">
        <v>23992.263999999999</v>
      </c>
      <c r="I895" s="1" t="s">
        <v>17</v>
      </c>
      <c r="J895" s="1" t="s">
        <v>18</v>
      </c>
      <c r="K895" s="1" t="s">
        <v>19</v>
      </c>
    </row>
    <row r="896" spans="1:11" ht="12.75" customHeight="1" x14ac:dyDescent="0.2">
      <c r="A896" s="1" t="s">
        <v>1198</v>
      </c>
      <c r="B896" s="1" t="s">
        <v>1199</v>
      </c>
      <c r="C896" s="2">
        <v>109</v>
      </c>
      <c r="D896" s="2">
        <v>872</v>
      </c>
      <c r="E896" s="2">
        <v>0</v>
      </c>
      <c r="F896" s="2">
        <v>0</v>
      </c>
      <c r="G896" s="2">
        <v>26.5303</v>
      </c>
      <c r="H896" s="3">
        <v>2891.8027000000002</v>
      </c>
      <c r="I896" s="1" t="s">
        <v>24</v>
      </c>
      <c r="J896" s="1" t="s">
        <v>25</v>
      </c>
      <c r="K896" s="1" t="s">
        <v>26</v>
      </c>
    </row>
    <row r="897" spans="1:11" ht="12.75" customHeight="1" x14ac:dyDescent="0.2">
      <c r="A897" s="1" t="s">
        <v>1200</v>
      </c>
      <c r="B897" s="1" t="s">
        <v>1201</v>
      </c>
      <c r="C897" s="2">
        <v>121</v>
      </c>
      <c r="D897" s="2">
        <v>1089</v>
      </c>
      <c r="E897" s="2">
        <v>0</v>
      </c>
      <c r="F897" s="2">
        <v>12</v>
      </c>
      <c r="G897" s="2">
        <v>31.111599999999999</v>
      </c>
      <c r="H897" s="3">
        <v>3764.5036</v>
      </c>
      <c r="I897" s="1" t="s">
        <v>17</v>
      </c>
      <c r="J897" s="1" t="s">
        <v>18</v>
      </c>
      <c r="K897" s="1" t="s">
        <v>19</v>
      </c>
    </row>
    <row r="898" spans="1:11" ht="12.75" customHeight="1" x14ac:dyDescent="0.2">
      <c r="A898" s="1" t="s">
        <v>1200</v>
      </c>
      <c r="B898" s="1" t="s">
        <v>1201</v>
      </c>
      <c r="C898" s="2">
        <v>133</v>
      </c>
      <c r="D898" s="2">
        <v>1197</v>
      </c>
      <c r="E898" s="2">
        <v>0</v>
      </c>
      <c r="F898" s="2">
        <v>0</v>
      </c>
      <c r="G898" s="2">
        <v>29.846599999999999</v>
      </c>
      <c r="H898" s="3">
        <v>3969.5978</v>
      </c>
      <c r="I898" s="1" t="s">
        <v>24</v>
      </c>
      <c r="J898" s="1" t="s">
        <v>25</v>
      </c>
      <c r="K898" s="1" t="s">
        <v>26</v>
      </c>
    </row>
    <row r="899" spans="1:11" ht="12.75" customHeight="1" x14ac:dyDescent="0.2">
      <c r="A899" s="1" t="s">
        <v>1207</v>
      </c>
      <c r="B899" s="1" t="s">
        <v>1208</v>
      </c>
      <c r="C899" s="2">
        <v>151</v>
      </c>
      <c r="D899" s="2">
        <v>1661</v>
      </c>
      <c r="E899" s="2">
        <v>0</v>
      </c>
      <c r="F899" s="2">
        <v>0</v>
      </c>
      <c r="G899" s="2">
        <v>18.739000000000001</v>
      </c>
      <c r="H899" s="3">
        <v>2829.5889999999999</v>
      </c>
      <c r="I899" s="1" t="s">
        <v>330</v>
      </c>
      <c r="J899" s="1" t="s">
        <v>331</v>
      </c>
      <c r="K899" s="1" t="s">
        <v>332</v>
      </c>
    </row>
    <row r="900" spans="1:11" ht="12.75" customHeight="1" x14ac:dyDescent="0.2">
      <c r="A900" s="1" t="s">
        <v>1209</v>
      </c>
      <c r="B900" s="1" t="s">
        <v>1210</v>
      </c>
      <c r="C900" s="2">
        <v>6</v>
      </c>
      <c r="D900" s="2">
        <v>48</v>
      </c>
      <c r="E900" s="2">
        <v>0</v>
      </c>
      <c r="F900" s="2">
        <v>0</v>
      </c>
      <c r="G900" s="2">
        <v>13.628399999999999</v>
      </c>
      <c r="H900" s="3">
        <v>81.770399999999995</v>
      </c>
      <c r="I900" s="1" t="s">
        <v>330</v>
      </c>
      <c r="J900" s="1" t="s">
        <v>331</v>
      </c>
      <c r="K900" s="1" t="s">
        <v>332</v>
      </c>
    </row>
    <row r="901" spans="1:11" ht="12.75" customHeight="1" x14ac:dyDescent="0.2">
      <c r="A901" s="1" t="s">
        <v>1211</v>
      </c>
      <c r="B901" s="1" t="s">
        <v>1212</v>
      </c>
      <c r="C901" s="2">
        <v>6</v>
      </c>
      <c r="D901" s="2">
        <v>54</v>
      </c>
      <c r="E901" s="2">
        <v>0</v>
      </c>
      <c r="F901" s="2">
        <v>0</v>
      </c>
      <c r="G901" s="2">
        <v>15.331899999999999</v>
      </c>
      <c r="H901" s="3">
        <v>91.991399999999999</v>
      </c>
      <c r="I901" s="1" t="s">
        <v>330</v>
      </c>
      <c r="J901" s="1" t="s">
        <v>331</v>
      </c>
      <c r="K901" s="1" t="s">
        <v>332</v>
      </c>
    </row>
    <row r="902" spans="1:11" ht="12.75" customHeight="1" x14ac:dyDescent="0.2">
      <c r="A902" s="1" t="s">
        <v>1213</v>
      </c>
      <c r="B902" s="1" t="s">
        <v>1214</v>
      </c>
      <c r="C902" s="2">
        <v>602</v>
      </c>
      <c r="D902" s="2">
        <v>6020</v>
      </c>
      <c r="E902" s="2">
        <v>0</v>
      </c>
      <c r="F902" s="2">
        <v>0</v>
      </c>
      <c r="G902" s="2">
        <v>16.072399999999998</v>
      </c>
      <c r="H902" s="3">
        <v>9675.5848000000005</v>
      </c>
      <c r="I902" s="1" t="s">
        <v>125</v>
      </c>
      <c r="J902" s="1" t="s">
        <v>126</v>
      </c>
      <c r="K902" s="1" t="s">
        <v>127</v>
      </c>
    </row>
    <row r="903" spans="1:11" ht="12.75" customHeight="1" x14ac:dyDescent="0.2">
      <c r="A903" s="1" t="s">
        <v>1215</v>
      </c>
      <c r="B903" s="1" t="s">
        <v>1216</v>
      </c>
      <c r="C903" s="2">
        <v>422</v>
      </c>
      <c r="D903" s="2">
        <v>4642</v>
      </c>
      <c r="E903" s="2">
        <v>0</v>
      </c>
      <c r="F903" s="2">
        <v>398</v>
      </c>
      <c r="G903" s="2">
        <v>17.6797</v>
      </c>
      <c r="H903" s="3">
        <v>7460.8334000000004</v>
      </c>
      <c r="I903" s="1" t="s">
        <v>125</v>
      </c>
      <c r="J903" s="1" t="s">
        <v>126</v>
      </c>
      <c r="K903" s="1" t="s">
        <v>127</v>
      </c>
    </row>
    <row r="904" spans="1:11" ht="12.75" customHeight="1" x14ac:dyDescent="0.2">
      <c r="A904" s="1" t="s">
        <v>1217</v>
      </c>
      <c r="B904" s="1" t="s">
        <v>1218</v>
      </c>
      <c r="C904" s="2">
        <v>46</v>
      </c>
      <c r="D904" s="2">
        <v>276</v>
      </c>
      <c r="E904" s="2">
        <v>0</v>
      </c>
      <c r="F904" s="2">
        <v>0</v>
      </c>
      <c r="G904" s="2">
        <v>9.6433999999999997</v>
      </c>
      <c r="H904" s="3">
        <v>443.59640000000002</v>
      </c>
      <c r="I904" s="1" t="s">
        <v>125</v>
      </c>
      <c r="J904" s="1" t="s">
        <v>126</v>
      </c>
      <c r="K904" s="1" t="s">
        <v>127</v>
      </c>
    </row>
    <row r="905" spans="1:11" ht="12.75" customHeight="1" x14ac:dyDescent="0.2">
      <c r="A905" s="1" t="s">
        <v>1219</v>
      </c>
      <c r="B905" s="1" t="s">
        <v>1220</v>
      </c>
      <c r="C905" s="2">
        <v>210</v>
      </c>
      <c r="D905" s="2">
        <v>1470</v>
      </c>
      <c r="E905" s="2">
        <v>0</v>
      </c>
      <c r="F905" s="2">
        <v>0</v>
      </c>
      <c r="G905" s="2">
        <v>11.2507</v>
      </c>
      <c r="H905" s="3">
        <v>2362.6469999999999</v>
      </c>
      <c r="I905" s="1" t="s">
        <v>125</v>
      </c>
      <c r="J905" s="1" t="s">
        <v>126</v>
      </c>
      <c r="K905" s="1" t="s">
        <v>127</v>
      </c>
    </row>
    <row r="906" spans="1:11" ht="12.75" customHeight="1" x14ac:dyDescent="0.2">
      <c r="A906" s="1" t="s">
        <v>1221</v>
      </c>
      <c r="B906" s="1" t="s">
        <v>1222</v>
      </c>
      <c r="C906" s="2">
        <v>338</v>
      </c>
      <c r="D906" s="2">
        <v>2704</v>
      </c>
      <c r="E906" s="2">
        <v>0</v>
      </c>
      <c r="F906" s="2">
        <v>0</v>
      </c>
      <c r="G906" s="2">
        <v>12.857900000000001</v>
      </c>
      <c r="H906" s="3">
        <v>4345.9701999999997</v>
      </c>
      <c r="I906" s="1" t="s">
        <v>125</v>
      </c>
      <c r="J906" s="1" t="s">
        <v>126</v>
      </c>
      <c r="K906" s="1" t="s">
        <v>127</v>
      </c>
    </row>
    <row r="907" spans="1:11" ht="12.75" customHeight="1" x14ac:dyDescent="0.2">
      <c r="A907" s="1" t="s">
        <v>1223</v>
      </c>
      <c r="B907" s="1" t="s">
        <v>1224</v>
      </c>
      <c r="C907" s="2">
        <v>1011</v>
      </c>
      <c r="D907" s="2">
        <v>9099</v>
      </c>
      <c r="E907" s="2">
        <v>0</v>
      </c>
      <c r="F907" s="2">
        <v>0</v>
      </c>
      <c r="G907" s="2">
        <v>14.465199999999999</v>
      </c>
      <c r="H907" s="3">
        <v>14624.3172</v>
      </c>
      <c r="I907" s="1" t="s">
        <v>125</v>
      </c>
      <c r="J907" s="1" t="s">
        <v>126</v>
      </c>
      <c r="K907" s="1" t="s">
        <v>127</v>
      </c>
    </row>
    <row r="908" spans="1:11" ht="12.75" customHeight="1" x14ac:dyDescent="0.2">
      <c r="A908" s="1" t="s">
        <v>1225</v>
      </c>
      <c r="B908" s="1" t="s">
        <v>1226</v>
      </c>
      <c r="C908" s="2">
        <v>528</v>
      </c>
      <c r="D908" s="2">
        <v>5280</v>
      </c>
      <c r="E908" s="2">
        <v>0</v>
      </c>
      <c r="F908" s="2">
        <v>0</v>
      </c>
      <c r="G908" s="2">
        <v>25.603999999999999</v>
      </c>
      <c r="H908" s="3">
        <v>13518.912</v>
      </c>
      <c r="I908" s="1" t="s">
        <v>125</v>
      </c>
      <c r="J908" s="1" t="s">
        <v>126</v>
      </c>
      <c r="K908" s="1" t="s">
        <v>127</v>
      </c>
    </row>
    <row r="909" spans="1:11" ht="12.75" customHeight="1" x14ac:dyDescent="0.2">
      <c r="A909" s="1" t="s">
        <v>1225</v>
      </c>
      <c r="B909" s="1" t="s">
        <v>1226</v>
      </c>
      <c r="C909" s="2">
        <v>29</v>
      </c>
      <c r="D909" s="2">
        <v>290</v>
      </c>
      <c r="E909" s="2">
        <v>0</v>
      </c>
      <c r="F909" s="2">
        <v>0</v>
      </c>
      <c r="G909" s="2">
        <v>25.603999999999999</v>
      </c>
      <c r="H909" s="3">
        <v>742.51599999999996</v>
      </c>
      <c r="I909" s="1" t="s">
        <v>330</v>
      </c>
      <c r="J909" s="1" t="s">
        <v>331</v>
      </c>
      <c r="K909" s="1" t="s">
        <v>332</v>
      </c>
    </row>
    <row r="910" spans="1:11" ht="12.75" customHeight="1" x14ac:dyDescent="0.2">
      <c r="A910" s="1" t="s">
        <v>1227</v>
      </c>
      <c r="B910" s="1" t="s">
        <v>1228</v>
      </c>
      <c r="C910" s="2">
        <v>24</v>
      </c>
      <c r="D910" s="2">
        <v>264</v>
      </c>
      <c r="E910" s="2">
        <v>0</v>
      </c>
      <c r="F910" s="2">
        <v>0</v>
      </c>
      <c r="G910" s="2">
        <v>28.164400000000001</v>
      </c>
      <c r="H910" s="3">
        <v>675.94560000000001</v>
      </c>
      <c r="I910" s="1" t="s">
        <v>330</v>
      </c>
      <c r="J910" s="1" t="s">
        <v>331</v>
      </c>
      <c r="K910" s="1" t="s">
        <v>332</v>
      </c>
    </row>
    <row r="911" spans="1:11" ht="12.75" customHeight="1" x14ac:dyDescent="0.2">
      <c r="A911" s="1" t="s">
        <v>1229</v>
      </c>
      <c r="B911" s="1" t="s">
        <v>1230</v>
      </c>
      <c r="C911" s="2">
        <v>23</v>
      </c>
      <c r="D911" s="2">
        <v>322</v>
      </c>
      <c r="E911" s="2">
        <v>0</v>
      </c>
      <c r="F911" s="2">
        <v>0</v>
      </c>
      <c r="G911" s="2">
        <v>35.845599999999997</v>
      </c>
      <c r="H911" s="3">
        <v>824.44880000000001</v>
      </c>
      <c r="I911" s="1" t="s">
        <v>330</v>
      </c>
      <c r="J911" s="1" t="s">
        <v>331</v>
      </c>
      <c r="K911" s="1" t="s">
        <v>332</v>
      </c>
    </row>
    <row r="912" spans="1:11" ht="12.75" customHeight="1" x14ac:dyDescent="0.2">
      <c r="A912" s="1" t="s">
        <v>1231</v>
      </c>
      <c r="B912" s="1" t="s">
        <v>1232</v>
      </c>
      <c r="C912" s="2">
        <v>100</v>
      </c>
      <c r="D912" s="2">
        <v>1600</v>
      </c>
      <c r="E912" s="2">
        <v>0</v>
      </c>
      <c r="F912" s="2">
        <v>0</v>
      </c>
      <c r="G912" s="2">
        <v>40.9664</v>
      </c>
      <c r="H912" s="3">
        <v>4096.6400000000003</v>
      </c>
      <c r="I912" s="1" t="s">
        <v>125</v>
      </c>
      <c r="J912" s="1" t="s">
        <v>126</v>
      </c>
      <c r="K912" s="1" t="s">
        <v>127</v>
      </c>
    </row>
    <row r="913" spans="1:11" ht="12.75" customHeight="1" x14ac:dyDescent="0.2">
      <c r="A913" s="1" t="s">
        <v>1233</v>
      </c>
      <c r="B913" s="1" t="s">
        <v>1234</v>
      </c>
      <c r="C913" s="2">
        <v>242</v>
      </c>
      <c r="D913" s="2">
        <v>4114</v>
      </c>
      <c r="E913" s="2">
        <v>0</v>
      </c>
      <c r="F913" s="2">
        <v>0</v>
      </c>
      <c r="G913" s="2">
        <v>43.526800000000001</v>
      </c>
      <c r="H913" s="3">
        <v>10533.4856</v>
      </c>
      <c r="I913" s="1" t="s">
        <v>125</v>
      </c>
      <c r="J913" s="1" t="s">
        <v>126</v>
      </c>
      <c r="K913" s="1" t="s">
        <v>127</v>
      </c>
    </row>
    <row r="914" spans="1:11" ht="12.75" customHeight="1" x14ac:dyDescent="0.2">
      <c r="A914" s="1" t="s">
        <v>1233</v>
      </c>
      <c r="B914" s="1" t="s">
        <v>1234</v>
      </c>
      <c r="C914" s="2">
        <v>175</v>
      </c>
      <c r="D914" s="2">
        <v>2975</v>
      </c>
      <c r="E914" s="2">
        <v>0</v>
      </c>
      <c r="F914" s="2">
        <v>0</v>
      </c>
      <c r="G914" s="2">
        <v>43.526800000000001</v>
      </c>
      <c r="H914" s="3">
        <v>7617.19</v>
      </c>
      <c r="I914" s="1" t="s">
        <v>330</v>
      </c>
      <c r="J914" s="1" t="s">
        <v>331</v>
      </c>
      <c r="K914" s="1" t="s">
        <v>332</v>
      </c>
    </row>
    <row r="915" spans="1:11" ht="12.75" customHeight="1" x14ac:dyDescent="0.2">
      <c r="A915" s="1" t="s">
        <v>1235</v>
      </c>
      <c r="B915" s="1" t="s">
        <v>1236</v>
      </c>
      <c r="C915" s="2">
        <v>75</v>
      </c>
      <c r="D915" s="2">
        <v>675</v>
      </c>
      <c r="E915" s="2">
        <v>0</v>
      </c>
      <c r="F915" s="2">
        <v>0</v>
      </c>
      <c r="G915" s="2">
        <v>23.043600000000001</v>
      </c>
      <c r="H915" s="3">
        <v>1728.27</v>
      </c>
      <c r="I915" s="1" t="s">
        <v>125</v>
      </c>
      <c r="J915" s="1" t="s">
        <v>126</v>
      </c>
      <c r="K915" s="1" t="s">
        <v>127</v>
      </c>
    </row>
    <row r="916" spans="1:11" ht="12.75" customHeight="1" x14ac:dyDescent="0.2">
      <c r="A916" s="1" t="s">
        <v>1237</v>
      </c>
      <c r="B916" s="1" t="s">
        <v>1238</v>
      </c>
      <c r="C916" s="2">
        <v>33</v>
      </c>
      <c r="D916" s="2">
        <v>330</v>
      </c>
      <c r="E916" s="2">
        <v>0</v>
      </c>
      <c r="F916" s="2">
        <v>0</v>
      </c>
      <c r="G916" s="2">
        <v>19.022600000000001</v>
      </c>
      <c r="H916" s="3">
        <v>627.74580000000003</v>
      </c>
      <c r="I916" s="1" t="s">
        <v>17</v>
      </c>
      <c r="J916" s="1" t="s">
        <v>18</v>
      </c>
      <c r="K916" s="1" t="s">
        <v>19</v>
      </c>
    </row>
    <row r="917" spans="1:11" ht="12.75" customHeight="1" x14ac:dyDescent="0.2">
      <c r="A917" s="1" t="s">
        <v>1237</v>
      </c>
      <c r="B917" s="1" t="s">
        <v>1238</v>
      </c>
      <c r="C917" s="2">
        <v>77</v>
      </c>
      <c r="D917" s="2">
        <v>770</v>
      </c>
      <c r="E917" s="2">
        <v>0</v>
      </c>
      <c r="F917" s="2">
        <v>0</v>
      </c>
      <c r="G917" s="2">
        <v>19.022600000000001</v>
      </c>
      <c r="H917" s="3">
        <v>1464.7402</v>
      </c>
      <c r="I917" s="1" t="s">
        <v>330</v>
      </c>
      <c r="J917" s="1" t="s">
        <v>331</v>
      </c>
      <c r="K917" s="1" t="s">
        <v>332</v>
      </c>
    </row>
    <row r="918" spans="1:11" ht="12.75" customHeight="1" x14ac:dyDescent="0.2">
      <c r="A918" s="1" t="s">
        <v>1239</v>
      </c>
      <c r="B918" s="1" t="s">
        <v>1240</v>
      </c>
      <c r="C918" s="2">
        <v>89</v>
      </c>
      <c r="D918" s="2">
        <v>979</v>
      </c>
      <c r="E918" s="2">
        <v>0</v>
      </c>
      <c r="F918" s="2">
        <v>0</v>
      </c>
      <c r="G918" s="2">
        <v>20.924800000000001</v>
      </c>
      <c r="H918" s="3">
        <v>1862.3072</v>
      </c>
      <c r="I918" s="1" t="s">
        <v>17</v>
      </c>
      <c r="J918" s="1" t="s">
        <v>18</v>
      </c>
      <c r="K918" s="1" t="s">
        <v>19</v>
      </c>
    </row>
    <row r="919" spans="1:11" ht="12.75" customHeight="1" x14ac:dyDescent="0.2">
      <c r="A919" s="1" t="s">
        <v>1239</v>
      </c>
      <c r="B919" s="1" t="s">
        <v>1240</v>
      </c>
      <c r="C919" s="2">
        <v>105</v>
      </c>
      <c r="D919" s="2">
        <v>1155</v>
      </c>
      <c r="E919" s="2">
        <v>0</v>
      </c>
      <c r="F919" s="2">
        <v>0</v>
      </c>
      <c r="G919" s="2">
        <v>20.924800000000001</v>
      </c>
      <c r="H919" s="3">
        <v>2197.1039999999998</v>
      </c>
      <c r="I919" s="1" t="s">
        <v>330</v>
      </c>
      <c r="J919" s="1" t="s">
        <v>331</v>
      </c>
      <c r="K919" s="1" t="s">
        <v>332</v>
      </c>
    </row>
    <row r="920" spans="1:11" ht="12.75" customHeight="1" x14ac:dyDescent="0.2">
      <c r="A920" s="1" t="s">
        <v>1241</v>
      </c>
      <c r="B920" s="1" t="s">
        <v>1242</v>
      </c>
      <c r="C920" s="2">
        <v>82</v>
      </c>
      <c r="D920" s="2">
        <v>984</v>
      </c>
      <c r="E920" s="2">
        <v>0</v>
      </c>
      <c r="F920" s="2">
        <v>0</v>
      </c>
      <c r="G920" s="2">
        <v>22.827100000000002</v>
      </c>
      <c r="H920" s="3">
        <v>1871.8222000000001</v>
      </c>
      <c r="I920" s="1" t="s">
        <v>17</v>
      </c>
      <c r="J920" s="1" t="s">
        <v>18</v>
      </c>
      <c r="K920" s="1" t="s">
        <v>19</v>
      </c>
    </row>
    <row r="921" spans="1:11" ht="12.75" customHeight="1" x14ac:dyDescent="0.2">
      <c r="A921" s="1" t="s">
        <v>1241</v>
      </c>
      <c r="B921" s="1" t="s">
        <v>1242</v>
      </c>
      <c r="C921" s="2">
        <v>245</v>
      </c>
      <c r="D921" s="2">
        <v>2940</v>
      </c>
      <c r="E921" s="2">
        <v>0</v>
      </c>
      <c r="F921" s="2">
        <v>0</v>
      </c>
      <c r="G921" s="2">
        <v>22.827100000000002</v>
      </c>
      <c r="H921" s="3">
        <v>5592.6395000000002</v>
      </c>
      <c r="I921" s="1" t="s">
        <v>330</v>
      </c>
      <c r="J921" s="1" t="s">
        <v>331</v>
      </c>
      <c r="K921" s="1" t="s">
        <v>332</v>
      </c>
    </row>
    <row r="922" spans="1:11" ht="12.75" customHeight="1" x14ac:dyDescent="0.2">
      <c r="A922" s="1" t="s">
        <v>1243</v>
      </c>
      <c r="B922" s="1" t="s">
        <v>1244</v>
      </c>
      <c r="C922" s="2">
        <v>69</v>
      </c>
      <c r="D922" s="2">
        <v>897</v>
      </c>
      <c r="E922" s="2">
        <v>0</v>
      </c>
      <c r="F922" s="2">
        <v>0</v>
      </c>
      <c r="G922" s="2">
        <v>24.729299999999999</v>
      </c>
      <c r="H922" s="3">
        <v>1706.3217</v>
      </c>
      <c r="I922" s="1" t="s">
        <v>17</v>
      </c>
      <c r="J922" s="1" t="s">
        <v>18</v>
      </c>
      <c r="K922" s="1" t="s">
        <v>19</v>
      </c>
    </row>
    <row r="923" spans="1:11" ht="12.75" customHeight="1" x14ac:dyDescent="0.2">
      <c r="A923" s="1" t="s">
        <v>1243</v>
      </c>
      <c r="B923" s="1" t="s">
        <v>1244</v>
      </c>
      <c r="C923" s="2">
        <v>245</v>
      </c>
      <c r="D923" s="2">
        <v>3185</v>
      </c>
      <c r="E923" s="2">
        <v>0</v>
      </c>
      <c r="F923" s="2">
        <v>0</v>
      </c>
      <c r="G923" s="2">
        <v>24.729299999999999</v>
      </c>
      <c r="H923" s="3">
        <v>6058.6785</v>
      </c>
      <c r="I923" s="1" t="s">
        <v>330</v>
      </c>
      <c r="J923" s="1" t="s">
        <v>331</v>
      </c>
      <c r="K923" s="1" t="s">
        <v>332</v>
      </c>
    </row>
    <row r="924" spans="1:11" ht="12.75" customHeight="1" x14ac:dyDescent="0.2">
      <c r="A924" s="1" t="s">
        <v>1245</v>
      </c>
      <c r="B924" s="1" t="s">
        <v>1246</v>
      </c>
      <c r="C924" s="2">
        <v>1344</v>
      </c>
      <c r="D924" s="2">
        <v>18816</v>
      </c>
      <c r="E924" s="2">
        <v>0</v>
      </c>
      <c r="F924" s="2">
        <v>0</v>
      </c>
      <c r="G924" s="2">
        <v>26.631599999999999</v>
      </c>
      <c r="H924" s="3">
        <v>35792.8704</v>
      </c>
      <c r="I924" s="1" t="s">
        <v>330</v>
      </c>
      <c r="J924" s="1" t="s">
        <v>331</v>
      </c>
      <c r="K924" s="1" t="s">
        <v>332</v>
      </c>
    </row>
    <row r="925" spans="1:11" ht="12.75" customHeight="1" x14ac:dyDescent="0.2">
      <c r="A925" s="1" t="s">
        <v>1247</v>
      </c>
      <c r="B925" s="1" t="s">
        <v>1248</v>
      </c>
      <c r="C925" s="2">
        <v>16</v>
      </c>
      <c r="D925" s="2">
        <v>240</v>
      </c>
      <c r="E925" s="2">
        <v>0</v>
      </c>
      <c r="F925" s="2">
        <v>0</v>
      </c>
      <c r="G925" s="2">
        <v>28.533899999999999</v>
      </c>
      <c r="H925" s="3">
        <v>456.54239999999999</v>
      </c>
      <c r="I925" s="1" t="s">
        <v>17</v>
      </c>
      <c r="J925" s="1" t="s">
        <v>18</v>
      </c>
      <c r="K925" s="1" t="s">
        <v>19</v>
      </c>
    </row>
    <row r="926" spans="1:11" ht="12.75" customHeight="1" x14ac:dyDescent="0.2">
      <c r="A926" s="1" t="s">
        <v>1249</v>
      </c>
      <c r="B926" s="1" t="s">
        <v>1250</v>
      </c>
      <c r="C926" s="2">
        <v>23</v>
      </c>
      <c r="D926" s="2">
        <v>368</v>
      </c>
      <c r="E926" s="2">
        <v>0</v>
      </c>
      <c r="F926" s="2">
        <v>0</v>
      </c>
      <c r="G926" s="2">
        <v>30.4361</v>
      </c>
      <c r="H926" s="3">
        <v>700.03030000000001</v>
      </c>
      <c r="I926" s="1" t="s">
        <v>17</v>
      </c>
      <c r="J926" s="1" t="s">
        <v>18</v>
      </c>
      <c r="K926" s="1" t="s">
        <v>19</v>
      </c>
    </row>
    <row r="927" spans="1:11" ht="12.75" customHeight="1" x14ac:dyDescent="0.2">
      <c r="A927" s="1" t="s">
        <v>1249</v>
      </c>
      <c r="B927" s="1" t="s">
        <v>1250</v>
      </c>
      <c r="C927" s="2">
        <v>329</v>
      </c>
      <c r="D927" s="2">
        <v>5264</v>
      </c>
      <c r="E927" s="2">
        <v>0</v>
      </c>
      <c r="F927" s="2">
        <v>0</v>
      </c>
      <c r="G927" s="2">
        <v>30.4361</v>
      </c>
      <c r="H927" s="3">
        <v>10013.4769</v>
      </c>
      <c r="I927" s="1" t="s">
        <v>330</v>
      </c>
      <c r="J927" s="1" t="s">
        <v>331</v>
      </c>
      <c r="K927" s="1" t="s">
        <v>332</v>
      </c>
    </row>
    <row r="928" spans="1:11" ht="12.75" customHeight="1" x14ac:dyDescent="0.2">
      <c r="A928" s="1" t="s">
        <v>1251</v>
      </c>
      <c r="B928" s="1" t="s">
        <v>1252</v>
      </c>
      <c r="C928" s="2">
        <v>427</v>
      </c>
      <c r="D928" s="2">
        <v>1708</v>
      </c>
      <c r="E928" s="2">
        <v>0</v>
      </c>
      <c r="F928" s="2">
        <v>0</v>
      </c>
      <c r="G928" s="2">
        <v>7.609</v>
      </c>
      <c r="H928" s="3">
        <v>3249.0430000000001</v>
      </c>
      <c r="I928" s="1" t="s">
        <v>330</v>
      </c>
      <c r="J928" s="1" t="s">
        <v>331</v>
      </c>
      <c r="K928" s="1" t="s">
        <v>332</v>
      </c>
    </row>
    <row r="929" spans="1:11" ht="12.75" customHeight="1" x14ac:dyDescent="0.2">
      <c r="A929" s="1" t="s">
        <v>1253</v>
      </c>
      <c r="B929" s="1" t="s">
        <v>1254</v>
      </c>
      <c r="C929" s="2">
        <v>245</v>
      </c>
      <c r="D929" s="2">
        <v>1225</v>
      </c>
      <c r="E929" s="2">
        <v>0</v>
      </c>
      <c r="F929" s="2">
        <v>0</v>
      </c>
      <c r="G929" s="2">
        <v>9.5113000000000003</v>
      </c>
      <c r="H929" s="3">
        <v>2330.2685000000001</v>
      </c>
      <c r="I929" s="1" t="s">
        <v>330</v>
      </c>
      <c r="J929" s="1" t="s">
        <v>331</v>
      </c>
      <c r="K929" s="1" t="s">
        <v>332</v>
      </c>
    </row>
    <row r="930" spans="1:11" ht="12.75" customHeight="1" x14ac:dyDescent="0.2">
      <c r="A930" s="1" t="s">
        <v>1255</v>
      </c>
      <c r="B930" s="1" t="s">
        <v>1256</v>
      </c>
      <c r="C930" s="2">
        <v>77</v>
      </c>
      <c r="D930" s="2">
        <v>462</v>
      </c>
      <c r="E930" s="2">
        <v>0</v>
      </c>
      <c r="F930" s="2">
        <v>0</v>
      </c>
      <c r="G930" s="2">
        <v>11.413500000000001</v>
      </c>
      <c r="H930" s="3">
        <v>878.83950000000004</v>
      </c>
      <c r="I930" s="1" t="s">
        <v>17</v>
      </c>
      <c r="J930" s="1" t="s">
        <v>18</v>
      </c>
      <c r="K930" s="1" t="s">
        <v>19</v>
      </c>
    </row>
    <row r="931" spans="1:11" ht="12.75" customHeight="1" x14ac:dyDescent="0.2">
      <c r="A931" s="1" t="s">
        <v>1255</v>
      </c>
      <c r="B931" s="1" t="s">
        <v>1256</v>
      </c>
      <c r="C931" s="2">
        <v>343</v>
      </c>
      <c r="D931" s="2">
        <v>2058</v>
      </c>
      <c r="E931" s="2">
        <v>0</v>
      </c>
      <c r="F931" s="2">
        <v>0</v>
      </c>
      <c r="G931" s="2">
        <v>11.413500000000001</v>
      </c>
      <c r="H931" s="3">
        <v>3914.8305</v>
      </c>
      <c r="I931" s="1" t="s">
        <v>330</v>
      </c>
      <c r="J931" s="1" t="s">
        <v>331</v>
      </c>
      <c r="K931" s="1" t="s">
        <v>332</v>
      </c>
    </row>
    <row r="932" spans="1:11" ht="12.75" customHeight="1" x14ac:dyDescent="0.2">
      <c r="A932" s="1" t="s">
        <v>1257</v>
      </c>
      <c r="B932" s="1" t="s">
        <v>1258</v>
      </c>
      <c r="C932" s="2">
        <v>406</v>
      </c>
      <c r="D932" s="2">
        <v>2842</v>
      </c>
      <c r="E932" s="2">
        <v>0</v>
      </c>
      <c r="F932" s="2">
        <v>0</v>
      </c>
      <c r="G932" s="2">
        <v>13.315799999999999</v>
      </c>
      <c r="H932" s="3">
        <v>5406.2147999999997</v>
      </c>
      <c r="I932" s="1" t="s">
        <v>17</v>
      </c>
      <c r="J932" s="1" t="s">
        <v>18</v>
      </c>
      <c r="K932" s="1" t="s">
        <v>19</v>
      </c>
    </row>
    <row r="933" spans="1:11" ht="12.75" customHeight="1" x14ac:dyDescent="0.2">
      <c r="A933" s="1" t="s">
        <v>1257</v>
      </c>
      <c r="B933" s="1" t="s">
        <v>1258</v>
      </c>
      <c r="C933" s="2">
        <v>1302</v>
      </c>
      <c r="D933" s="2">
        <v>9114</v>
      </c>
      <c r="E933" s="2">
        <v>0</v>
      </c>
      <c r="F933" s="2">
        <v>0</v>
      </c>
      <c r="G933" s="2">
        <v>13.315799999999999</v>
      </c>
      <c r="H933" s="3">
        <v>17337.171600000001</v>
      </c>
      <c r="I933" s="1" t="s">
        <v>330</v>
      </c>
      <c r="J933" s="1" t="s">
        <v>331</v>
      </c>
      <c r="K933" s="1" t="s">
        <v>332</v>
      </c>
    </row>
    <row r="934" spans="1:11" ht="12.75" customHeight="1" x14ac:dyDescent="0.2">
      <c r="A934" s="1" t="s">
        <v>1259</v>
      </c>
      <c r="B934" s="1" t="s">
        <v>1260</v>
      </c>
      <c r="C934" s="2">
        <v>1141</v>
      </c>
      <c r="D934" s="2">
        <v>9128</v>
      </c>
      <c r="E934" s="2">
        <v>0</v>
      </c>
      <c r="F934" s="2">
        <v>0</v>
      </c>
      <c r="G934" s="2">
        <v>15.218</v>
      </c>
      <c r="H934" s="3">
        <v>17363.738000000001</v>
      </c>
      <c r="I934" s="1" t="s">
        <v>17</v>
      </c>
      <c r="J934" s="1" t="s">
        <v>18</v>
      </c>
      <c r="K934" s="1" t="s">
        <v>19</v>
      </c>
    </row>
    <row r="935" spans="1:11" ht="12.75" customHeight="1" x14ac:dyDescent="0.2">
      <c r="A935" s="1" t="s">
        <v>1259</v>
      </c>
      <c r="B935" s="1" t="s">
        <v>1260</v>
      </c>
      <c r="C935" s="2">
        <v>651</v>
      </c>
      <c r="D935" s="2">
        <v>5208</v>
      </c>
      <c r="E935" s="2">
        <v>0</v>
      </c>
      <c r="F935" s="2">
        <v>0</v>
      </c>
      <c r="G935" s="2">
        <v>15.218</v>
      </c>
      <c r="H935" s="3">
        <v>9906.9179999999997</v>
      </c>
      <c r="I935" s="1" t="s">
        <v>330</v>
      </c>
      <c r="J935" s="1" t="s">
        <v>331</v>
      </c>
      <c r="K935" s="1" t="s">
        <v>332</v>
      </c>
    </row>
    <row r="936" spans="1:11" ht="12.75" customHeight="1" x14ac:dyDescent="0.2">
      <c r="A936" s="1" t="s">
        <v>1261</v>
      </c>
      <c r="B936" s="1" t="s">
        <v>1262</v>
      </c>
      <c r="C936" s="2">
        <v>710</v>
      </c>
      <c r="D936" s="2">
        <v>6390</v>
      </c>
      <c r="E936" s="2">
        <v>0</v>
      </c>
      <c r="F936" s="2">
        <v>0</v>
      </c>
      <c r="G936" s="2">
        <v>17.1203</v>
      </c>
      <c r="H936" s="3">
        <v>12155.413</v>
      </c>
      <c r="I936" s="1" t="s">
        <v>17</v>
      </c>
      <c r="J936" s="1" t="s">
        <v>18</v>
      </c>
      <c r="K936" s="1" t="s">
        <v>19</v>
      </c>
    </row>
    <row r="937" spans="1:11" ht="12.75" customHeight="1" x14ac:dyDescent="0.2">
      <c r="A937" s="1" t="s">
        <v>1261</v>
      </c>
      <c r="B937" s="1" t="s">
        <v>1262</v>
      </c>
      <c r="C937" s="2">
        <v>154</v>
      </c>
      <c r="D937" s="2">
        <v>1386</v>
      </c>
      <c r="E937" s="2">
        <v>0</v>
      </c>
      <c r="F937" s="2">
        <v>0</v>
      </c>
      <c r="G937" s="2">
        <v>17.1203</v>
      </c>
      <c r="H937" s="3">
        <v>2636.5261999999998</v>
      </c>
      <c r="I937" s="1" t="s">
        <v>330</v>
      </c>
      <c r="J937" s="1" t="s">
        <v>331</v>
      </c>
      <c r="K937" s="1" t="s">
        <v>332</v>
      </c>
    </row>
    <row r="938" spans="1:11" ht="12.75" customHeight="1" x14ac:dyDescent="0.2">
      <c r="A938" s="1" t="s">
        <v>1263</v>
      </c>
      <c r="B938" s="1" t="s">
        <v>1264</v>
      </c>
      <c r="C938" s="2">
        <v>14</v>
      </c>
      <c r="D938" s="2">
        <v>70</v>
      </c>
      <c r="E938" s="2">
        <v>0</v>
      </c>
      <c r="F938" s="2">
        <v>0</v>
      </c>
      <c r="G938" s="2">
        <v>15.8207</v>
      </c>
      <c r="H938" s="3">
        <v>221.4898</v>
      </c>
      <c r="I938" s="1" t="s">
        <v>17</v>
      </c>
      <c r="J938" s="1" t="s">
        <v>18</v>
      </c>
      <c r="K938" s="1" t="s">
        <v>19</v>
      </c>
    </row>
    <row r="939" spans="1:11" ht="12.75" customHeight="1" x14ac:dyDescent="0.2">
      <c r="A939" s="1" t="s">
        <v>1265</v>
      </c>
      <c r="B939" s="1" t="s">
        <v>1266</v>
      </c>
      <c r="C939" s="2">
        <v>57</v>
      </c>
      <c r="D939" s="2">
        <v>342</v>
      </c>
      <c r="E939" s="2">
        <v>0</v>
      </c>
      <c r="F939" s="2">
        <v>0</v>
      </c>
      <c r="G939" s="2">
        <v>18.9848</v>
      </c>
      <c r="H939" s="3">
        <v>1082.1335999999999</v>
      </c>
      <c r="I939" s="1" t="s">
        <v>17</v>
      </c>
      <c r="J939" s="1" t="s">
        <v>18</v>
      </c>
      <c r="K939" s="1" t="s">
        <v>19</v>
      </c>
    </row>
    <row r="940" spans="1:11" ht="12.75" customHeight="1" x14ac:dyDescent="0.2">
      <c r="A940" s="1" t="s">
        <v>1267</v>
      </c>
      <c r="B940" s="1" t="s">
        <v>1268</v>
      </c>
      <c r="C940" s="2">
        <v>12</v>
      </c>
      <c r="D940" s="2">
        <v>84</v>
      </c>
      <c r="E940" s="2">
        <v>0</v>
      </c>
      <c r="F940" s="2">
        <v>0</v>
      </c>
      <c r="G940" s="2">
        <v>22.149000000000001</v>
      </c>
      <c r="H940" s="3">
        <v>265.78800000000001</v>
      </c>
      <c r="I940" s="1" t="s">
        <v>17</v>
      </c>
      <c r="J940" s="1" t="s">
        <v>18</v>
      </c>
      <c r="K940" s="1" t="s">
        <v>19</v>
      </c>
    </row>
    <row r="941" spans="1:11" ht="12.75" customHeight="1" x14ac:dyDescent="0.2">
      <c r="A941" s="1" t="s">
        <v>1269</v>
      </c>
      <c r="B941" s="1" t="s">
        <v>1270</v>
      </c>
      <c r="C941" s="2">
        <v>49</v>
      </c>
      <c r="D941" s="2">
        <v>490</v>
      </c>
      <c r="E941" s="2">
        <v>0</v>
      </c>
      <c r="F941" s="2">
        <v>0</v>
      </c>
      <c r="G941" s="2">
        <v>17.067799999999998</v>
      </c>
      <c r="H941" s="3">
        <v>836.32219999999995</v>
      </c>
      <c r="I941" s="1" t="s">
        <v>17</v>
      </c>
      <c r="J941" s="1" t="s">
        <v>18</v>
      </c>
      <c r="K941" s="1" t="s">
        <v>19</v>
      </c>
    </row>
    <row r="942" spans="1:11" ht="12.75" customHeight="1" x14ac:dyDescent="0.2">
      <c r="A942" s="1" t="s">
        <v>1269</v>
      </c>
      <c r="B942" s="1" t="s">
        <v>1270</v>
      </c>
      <c r="C942" s="2">
        <v>770</v>
      </c>
      <c r="D942" s="2">
        <v>7700</v>
      </c>
      <c r="E942" s="2">
        <v>0</v>
      </c>
      <c r="F942" s="2">
        <v>0</v>
      </c>
      <c r="G942" s="2">
        <v>17.067799999999998</v>
      </c>
      <c r="H942" s="3">
        <v>13142.206</v>
      </c>
      <c r="I942" s="1" t="s">
        <v>24</v>
      </c>
      <c r="J942" s="1" t="s">
        <v>25</v>
      </c>
      <c r="K942" s="1" t="s">
        <v>26</v>
      </c>
    </row>
    <row r="943" spans="1:11" ht="12.75" customHeight="1" x14ac:dyDescent="0.2">
      <c r="A943" s="1" t="s">
        <v>1269</v>
      </c>
      <c r="B943" s="1" t="s">
        <v>1270</v>
      </c>
      <c r="C943" s="2">
        <v>445</v>
      </c>
      <c r="D943" s="2">
        <v>4450</v>
      </c>
      <c r="E943" s="2">
        <v>0</v>
      </c>
      <c r="F943" s="2">
        <v>37</v>
      </c>
      <c r="G943" s="2">
        <v>17.067799999999998</v>
      </c>
      <c r="H943" s="3">
        <v>7595.1710000000003</v>
      </c>
      <c r="I943" s="1" t="s">
        <v>330</v>
      </c>
      <c r="J943" s="1" t="s">
        <v>331</v>
      </c>
      <c r="K943" s="1" t="s">
        <v>332</v>
      </c>
    </row>
    <row r="944" spans="1:11" ht="12.75" customHeight="1" x14ac:dyDescent="0.2">
      <c r="A944" s="1" t="s">
        <v>1271</v>
      </c>
      <c r="B944" s="1" t="s">
        <v>1272</v>
      </c>
      <c r="C944" s="2">
        <v>532</v>
      </c>
      <c r="D944" s="2">
        <v>5852</v>
      </c>
      <c r="E944" s="2">
        <v>0</v>
      </c>
      <c r="F944" s="2">
        <v>0</v>
      </c>
      <c r="G944" s="2">
        <v>18.7746</v>
      </c>
      <c r="H944" s="3">
        <v>9988.0871999999999</v>
      </c>
      <c r="I944" s="1" t="s">
        <v>24</v>
      </c>
      <c r="J944" s="1" t="s">
        <v>25</v>
      </c>
      <c r="K944" s="1" t="s">
        <v>26</v>
      </c>
    </row>
    <row r="945" spans="1:11" ht="12.75" customHeight="1" x14ac:dyDescent="0.2">
      <c r="A945" s="1" t="s">
        <v>1271</v>
      </c>
      <c r="B945" s="1" t="s">
        <v>1272</v>
      </c>
      <c r="C945" s="2">
        <v>452</v>
      </c>
      <c r="D945" s="2">
        <v>4972</v>
      </c>
      <c r="E945" s="2">
        <v>0</v>
      </c>
      <c r="F945" s="2">
        <v>35</v>
      </c>
      <c r="G945" s="2">
        <v>18.7746</v>
      </c>
      <c r="H945" s="3">
        <v>8486.1191999999992</v>
      </c>
      <c r="I945" s="1" t="s">
        <v>330</v>
      </c>
      <c r="J945" s="1" t="s">
        <v>331</v>
      </c>
      <c r="K945" s="1" t="s">
        <v>332</v>
      </c>
    </row>
    <row r="946" spans="1:11" ht="12.75" customHeight="1" x14ac:dyDescent="0.2">
      <c r="A946" s="1" t="s">
        <v>1273</v>
      </c>
      <c r="B946" s="1" t="s">
        <v>1274</v>
      </c>
      <c r="C946" s="2">
        <v>24</v>
      </c>
      <c r="D946" s="2">
        <v>288</v>
      </c>
      <c r="E946" s="2">
        <v>0</v>
      </c>
      <c r="F946" s="2">
        <v>0</v>
      </c>
      <c r="G946" s="2">
        <v>20.481400000000001</v>
      </c>
      <c r="H946" s="3">
        <v>491.55360000000002</v>
      </c>
      <c r="I946" s="1" t="s">
        <v>17</v>
      </c>
      <c r="J946" s="1" t="s">
        <v>18</v>
      </c>
      <c r="K946" s="1" t="s">
        <v>19</v>
      </c>
    </row>
    <row r="947" spans="1:11" ht="12.75" customHeight="1" x14ac:dyDescent="0.2">
      <c r="A947" s="1" t="s">
        <v>1273</v>
      </c>
      <c r="B947" s="1" t="s">
        <v>1274</v>
      </c>
      <c r="C947" s="2">
        <v>77</v>
      </c>
      <c r="D947" s="2">
        <v>924</v>
      </c>
      <c r="E947" s="2">
        <v>0</v>
      </c>
      <c r="F947" s="2">
        <v>0</v>
      </c>
      <c r="G947" s="2">
        <v>20.481400000000001</v>
      </c>
      <c r="H947" s="3">
        <v>1577.0678</v>
      </c>
      <c r="I947" s="1" t="s">
        <v>24</v>
      </c>
      <c r="J947" s="1" t="s">
        <v>25</v>
      </c>
      <c r="K947" s="1" t="s">
        <v>26</v>
      </c>
    </row>
    <row r="948" spans="1:11" ht="12.75" customHeight="1" x14ac:dyDescent="0.2">
      <c r="A948" s="1" t="s">
        <v>1273</v>
      </c>
      <c r="B948" s="1" t="s">
        <v>1274</v>
      </c>
      <c r="C948" s="2">
        <v>284</v>
      </c>
      <c r="D948" s="2">
        <v>3408</v>
      </c>
      <c r="E948" s="2">
        <v>0</v>
      </c>
      <c r="F948" s="2">
        <v>0</v>
      </c>
      <c r="G948" s="2">
        <v>20.481400000000001</v>
      </c>
      <c r="H948" s="3">
        <v>5816.7175999999999</v>
      </c>
      <c r="I948" s="1" t="s">
        <v>330</v>
      </c>
      <c r="J948" s="1" t="s">
        <v>331</v>
      </c>
      <c r="K948" s="1" t="s">
        <v>332</v>
      </c>
    </row>
    <row r="949" spans="1:11" ht="12.75" customHeight="1" x14ac:dyDescent="0.2">
      <c r="A949" s="1" t="s">
        <v>1275</v>
      </c>
      <c r="B949" s="1" t="s">
        <v>1276</v>
      </c>
      <c r="C949" s="2">
        <v>325</v>
      </c>
      <c r="D949" s="2">
        <v>4225</v>
      </c>
      <c r="E949" s="2">
        <v>0</v>
      </c>
      <c r="F949" s="2">
        <v>0</v>
      </c>
      <c r="G949" s="2">
        <v>22.188199999999998</v>
      </c>
      <c r="H949" s="3">
        <v>7211.165</v>
      </c>
      <c r="I949" s="1" t="s">
        <v>17</v>
      </c>
      <c r="J949" s="1" t="s">
        <v>18</v>
      </c>
      <c r="K949" s="1" t="s">
        <v>19</v>
      </c>
    </row>
    <row r="950" spans="1:11" ht="12.75" customHeight="1" x14ac:dyDescent="0.2">
      <c r="A950" s="1" t="s">
        <v>1275</v>
      </c>
      <c r="B950" s="1" t="s">
        <v>1276</v>
      </c>
      <c r="C950" s="2">
        <v>497</v>
      </c>
      <c r="D950" s="2">
        <v>6461</v>
      </c>
      <c r="E950" s="2">
        <v>0</v>
      </c>
      <c r="F950" s="2">
        <v>0</v>
      </c>
      <c r="G950" s="2">
        <v>22.188199999999998</v>
      </c>
      <c r="H950" s="3">
        <v>11027.535400000001</v>
      </c>
      <c r="I950" s="1" t="s">
        <v>24</v>
      </c>
      <c r="J950" s="1" t="s">
        <v>25</v>
      </c>
      <c r="K950" s="1" t="s">
        <v>26</v>
      </c>
    </row>
    <row r="951" spans="1:11" ht="12.75" customHeight="1" x14ac:dyDescent="0.2">
      <c r="A951" s="1" t="s">
        <v>1275</v>
      </c>
      <c r="B951" s="1" t="s">
        <v>1276</v>
      </c>
      <c r="C951" s="2">
        <v>149</v>
      </c>
      <c r="D951" s="2">
        <v>1937</v>
      </c>
      <c r="E951" s="2">
        <v>0</v>
      </c>
      <c r="F951" s="2">
        <v>1</v>
      </c>
      <c r="G951" s="2">
        <v>22.188199999999998</v>
      </c>
      <c r="H951" s="3">
        <v>3306.0418</v>
      </c>
      <c r="I951" s="1" t="s">
        <v>330</v>
      </c>
      <c r="J951" s="1" t="s">
        <v>331</v>
      </c>
      <c r="K951" s="1" t="s">
        <v>332</v>
      </c>
    </row>
    <row r="952" spans="1:11" ht="12.75" customHeight="1" x14ac:dyDescent="0.2">
      <c r="A952" s="1" t="s">
        <v>1277</v>
      </c>
      <c r="B952" s="1" t="s">
        <v>1278</v>
      </c>
      <c r="C952" s="2">
        <v>63</v>
      </c>
      <c r="D952" s="2">
        <v>882</v>
      </c>
      <c r="E952" s="2">
        <v>0</v>
      </c>
      <c r="F952" s="2">
        <v>0</v>
      </c>
      <c r="G952" s="2">
        <v>23.895</v>
      </c>
      <c r="H952" s="3">
        <v>1505.385</v>
      </c>
      <c r="I952" s="1" t="s">
        <v>24</v>
      </c>
      <c r="J952" s="1" t="s">
        <v>25</v>
      </c>
      <c r="K952" s="1" t="s">
        <v>26</v>
      </c>
    </row>
    <row r="953" spans="1:11" ht="12.75" customHeight="1" x14ac:dyDescent="0.2">
      <c r="A953" s="1" t="s">
        <v>1277</v>
      </c>
      <c r="B953" s="1" t="s">
        <v>1278</v>
      </c>
      <c r="C953" s="2">
        <v>262</v>
      </c>
      <c r="D953" s="2">
        <v>3668</v>
      </c>
      <c r="E953" s="2">
        <v>0</v>
      </c>
      <c r="F953" s="2">
        <v>58</v>
      </c>
      <c r="G953" s="2">
        <v>23.895</v>
      </c>
      <c r="H953" s="3">
        <v>6260.49</v>
      </c>
      <c r="I953" s="1" t="s">
        <v>330</v>
      </c>
      <c r="J953" s="1" t="s">
        <v>331</v>
      </c>
      <c r="K953" s="1" t="s">
        <v>332</v>
      </c>
    </row>
    <row r="954" spans="1:11" ht="12.75" customHeight="1" x14ac:dyDescent="0.2">
      <c r="A954" s="1" t="s">
        <v>1279</v>
      </c>
      <c r="B954" s="1" t="s">
        <v>1280</v>
      </c>
      <c r="C954" s="2">
        <v>714</v>
      </c>
      <c r="D954" s="2">
        <v>10710</v>
      </c>
      <c r="E954" s="2">
        <v>0</v>
      </c>
      <c r="F954" s="2">
        <v>0</v>
      </c>
      <c r="G954" s="2">
        <v>25.601800000000001</v>
      </c>
      <c r="H954" s="3">
        <v>18279.6852</v>
      </c>
      <c r="I954" s="1" t="s">
        <v>24</v>
      </c>
      <c r="J954" s="1" t="s">
        <v>25</v>
      </c>
      <c r="K954" s="1" t="s">
        <v>26</v>
      </c>
    </row>
    <row r="955" spans="1:11" ht="12.75" customHeight="1" x14ac:dyDescent="0.2">
      <c r="A955" s="1" t="s">
        <v>1279</v>
      </c>
      <c r="B955" s="1" t="s">
        <v>1280</v>
      </c>
      <c r="C955" s="2">
        <v>166</v>
      </c>
      <c r="D955" s="2">
        <v>2490</v>
      </c>
      <c r="E955" s="2">
        <v>0</v>
      </c>
      <c r="F955" s="2">
        <v>1</v>
      </c>
      <c r="G955" s="2">
        <v>25.601800000000001</v>
      </c>
      <c r="H955" s="3">
        <v>4249.8987999999999</v>
      </c>
      <c r="I955" s="1" t="s">
        <v>330</v>
      </c>
      <c r="J955" s="1" t="s">
        <v>331</v>
      </c>
      <c r="K955" s="1" t="s">
        <v>332</v>
      </c>
    </row>
    <row r="956" spans="1:11" ht="12.75" customHeight="1" x14ac:dyDescent="0.2">
      <c r="A956" s="1" t="s">
        <v>1281</v>
      </c>
      <c r="B956" s="1" t="s">
        <v>1282</v>
      </c>
      <c r="C956" s="2">
        <v>525</v>
      </c>
      <c r="D956" s="2">
        <v>8925</v>
      </c>
      <c r="E956" s="2">
        <v>0</v>
      </c>
      <c r="F956" s="2">
        <v>0</v>
      </c>
      <c r="G956" s="2">
        <v>29.0154</v>
      </c>
      <c r="H956" s="3">
        <v>15233.084999999999</v>
      </c>
      <c r="I956" s="1" t="s">
        <v>330</v>
      </c>
      <c r="J956" s="1" t="s">
        <v>331</v>
      </c>
      <c r="K956" s="1" t="s">
        <v>332</v>
      </c>
    </row>
    <row r="957" spans="1:11" ht="12.75" customHeight="1" x14ac:dyDescent="0.2">
      <c r="A957" s="1" t="s">
        <v>1283</v>
      </c>
      <c r="B957" s="1" t="s">
        <v>1284</v>
      </c>
      <c r="C957" s="2">
        <v>98</v>
      </c>
      <c r="D957" s="2">
        <v>588</v>
      </c>
      <c r="E957" s="2">
        <v>0</v>
      </c>
      <c r="F957" s="2">
        <v>0</v>
      </c>
      <c r="G957" s="2">
        <v>10.2407</v>
      </c>
      <c r="H957" s="3">
        <v>1003.5886</v>
      </c>
      <c r="I957" s="1" t="s">
        <v>24</v>
      </c>
      <c r="J957" s="1" t="s">
        <v>25</v>
      </c>
      <c r="K957" s="1" t="s">
        <v>26</v>
      </c>
    </row>
    <row r="958" spans="1:11" ht="12.75" customHeight="1" x14ac:dyDescent="0.2">
      <c r="A958" s="1" t="s">
        <v>1283</v>
      </c>
      <c r="B958" s="1" t="s">
        <v>1284</v>
      </c>
      <c r="C958" s="2">
        <v>354</v>
      </c>
      <c r="D958" s="2">
        <v>2124</v>
      </c>
      <c r="E958" s="2">
        <v>0</v>
      </c>
      <c r="F958" s="2">
        <v>0</v>
      </c>
      <c r="G958" s="2">
        <v>10.2407</v>
      </c>
      <c r="H958" s="3">
        <v>3625.2078000000001</v>
      </c>
      <c r="I958" s="1" t="s">
        <v>330</v>
      </c>
      <c r="J958" s="1" t="s">
        <v>331</v>
      </c>
      <c r="K958" s="1" t="s">
        <v>332</v>
      </c>
    </row>
    <row r="959" spans="1:11" ht="12.75" customHeight="1" x14ac:dyDescent="0.2">
      <c r="A959" s="1" t="s">
        <v>1285</v>
      </c>
      <c r="B959" s="1" t="s">
        <v>1286</v>
      </c>
      <c r="C959" s="2">
        <v>279</v>
      </c>
      <c r="D959" s="2">
        <v>1953</v>
      </c>
      <c r="E959" s="2">
        <v>0</v>
      </c>
      <c r="F959" s="2">
        <v>0</v>
      </c>
      <c r="G959" s="2">
        <v>11.9475</v>
      </c>
      <c r="H959" s="3">
        <v>3333.3525</v>
      </c>
      <c r="I959" s="1" t="s">
        <v>17</v>
      </c>
      <c r="J959" s="1" t="s">
        <v>18</v>
      </c>
      <c r="K959" s="1" t="s">
        <v>19</v>
      </c>
    </row>
    <row r="960" spans="1:11" ht="12.75" customHeight="1" x14ac:dyDescent="0.2">
      <c r="A960" s="1" t="s">
        <v>1285</v>
      </c>
      <c r="B960" s="1" t="s">
        <v>1286</v>
      </c>
      <c r="C960" s="2">
        <v>483</v>
      </c>
      <c r="D960" s="2">
        <v>3381</v>
      </c>
      <c r="E960" s="2">
        <v>0</v>
      </c>
      <c r="F960" s="2">
        <v>0</v>
      </c>
      <c r="G960" s="2">
        <v>11.9475</v>
      </c>
      <c r="H960" s="3">
        <v>5770.6424999999999</v>
      </c>
      <c r="I960" s="1" t="s">
        <v>24</v>
      </c>
      <c r="J960" s="1" t="s">
        <v>25</v>
      </c>
      <c r="K960" s="1" t="s">
        <v>26</v>
      </c>
    </row>
    <row r="961" spans="1:11" ht="12.75" customHeight="1" x14ac:dyDescent="0.2">
      <c r="A961" s="1" t="s">
        <v>1285</v>
      </c>
      <c r="B961" s="1" t="s">
        <v>1286</v>
      </c>
      <c r="C961" s="2">
        <v>812</v>
      </c>
      <c r="D961" s="2">
        <v>5684</v>
      </c>
      <c r="E961" s="2">
        <v>0</v>
      </c>
      <c r="F961" s="2">
        <v>0</v>
      </c>
      <c r="G961" s="2">
        <v>11.9475</v>
      </c>
      <c r="H961" s="3">
        <v>9701.3700000000008</v>
      </c>
      <c r="I961" s="1" t="s">
        <v>330</v>
      </c>
      <c r="J961" s="1" t="s">
        <v>331</v>
      </c>
      <c r="K961" s="1" t="s">
        <v>332</v>
      </c>
    </row>
    <row r="962" spans="1:11" ht="12.75" customHeight="1" x14ac:dyDescent="0.2">
      <c r="A962" s="1" t="s">
        <v>1287</v>
      </c>
      <c r="B962" s="1" t="s">
        <v>1288</v>
      </c>
      <c r="C962" s="2">
        <v>245</v>
      </c>
      <c r="D962" s="2">
        <v>1960</v>
      </c>
      <c r="E962" s="2">
        <v>0</v>
      </c>
      <c r="F962" s="2">
        <v>0</v>
      </c>
      <c r="G962" s="2">
        <v>13.654299999999999</v>
      </c>
      <c r="H962" s="3">
        <v>3345.3035</v>
      </c>
      <c r="I962" s="1" t="s">
        <v>24</v>
      </c>
      <c r="J962" s="1" t="s">
        <v>25</v>
      </c>
      <c r="K962" s="1" t="s">
        <v>26</v>
      </c>
    </row>
    <row r="963" spans="1:11" ht="12.75" customHeight="1" x14ac:dyDescent="0.2">
      <c r="A963" s="1" t="s">
        <v>1287</v>
      </c>
      <c r="B963" s="1" t="s">
        <v>1288</v>
      </c>
      <c r="C963" s="2">
        <v>12</v>
      </c>
      <c r="D963" s="2">
        <v>96</v>
      </c>
      <c r="E963" s="2">
        <v>0</v>
      </c>
      <c r="F963" s="2">
        <v>1</v>
      </c>
      <c r="G963" s="2">
        <v>13.654299999999999</v>
      </c>
      <c r="H963" s="3">
        <v>163.85159999999999</v>
      </c>
      <c r="I963" s="1" t="s">
        <v>330</v>
      </c>
      <c r="J963" s="1" t="s">
        <v>331</v>
      </c>
      <c r="K963" s="1" t="s">
        <v>332</v>
      </c>
    </row>
    <row r="964" spans="1:11" ht="12.75" customHeight="1" x14ac:dyDescent="0.2">
      <c r="A964" s="1" t="s">
        <v>1289</v>
      </c>
      <c r="B964" s="1" t="s">
        <v>1290</v>
      </c>
      <c r="C964" s="2">
        <v>173</v>
      </c>
      <c r="D964" s="2">
        <v>1557</v>
      </c>
      <c r="E964" s="2">
        <v>0</v>
      </c>
      <c r="F964" s="2">
        <v>0</v>
      </c>
      <c r="G964" s="2">
        <v>15.3611</v>
      </c>
      <c r="H964" s="3">
        <v>2657.4703</v>
      </c>
      <c r="I964" s="1" t="s">
        <v>24</v>
      </c>
      <c r="J964" s="1" t="s">
        <v>25</v>
      </c>
      <c r="K964" s="1" t="s">
        <v>26</v>
      </c>
    </row>
    <row r="965" spans="1:11" ht="12.75" customHeight="1" x14ac:dyDescent="0.2">
      <c r="A965" s="1" t="s">
        <v>1289</v>
      </c>
      <c r="B965" s="1" t="s">
        <v>1290</v>
      </c>
      <c r="C965" s="2">
        <v>218</v>
      </c>
      <c r="D965" s="2">
        <v>1962</v>
      </c>
      <c r="E965" s="2">
        <v>0</v>
      </c>
      <c r="F965" s="2">
        <v>0</v>
      </c>
      <c r="G965" s="2">
        <v>15.3611</v>
      </c>
      <c r="H965" s="3">
        <v>3348.7197999999999</v>
      </c>
      <c r="I965" s="1" t="s">
        <v>330</v>
      </c>
      <c r="J965" s="1" t="s">
        <v>331</v>
      </c>
      <c r="K965" s="1" t="s">
        <v>332</v>
      </c>
    </row>
    <row r="966" spans="1:11" ht="12.75" customHeight="1" x14ac:dyDescent="0.2">
      <c r="A966" s="1" t="s">
        <v>1291</v>
      </c>
      <c r="B966" s="1" t="s">
        <v>1292</v>
      </c>
      <c r="C966" s="2">
        <v>175</v>
      </c>
      <c r="D966" s="2">
        <v>1750</v>
      </c>
      <c r="E966" s="2">
        <v>0</v>
      </c>
      <c r="F966" s="2">
        <v>42</v>
      </c>
      <c r="G966" s="2">
        <v>23.5749</v>
      </c>
      <c r="H966" s="3">
        <v>4125.6075000000001</v>
      </c>
      <c r="I966" s="1" t="s">
        <v>17</v>
      </c>
      <c r="J966" s="1" t="s">
        <v>18</v>
      </c>
      <c r="K966" s="1" t="s">
        <v>19</v>
      </c>
    </row>
    <row r="967" spans="1:11" ht="12.75" customHeight="1" x14ac:dyDescent="0.2">
      <c r="A967" s="1" t="s">
        <v>1291</v>
      </c>
      <c r="B967" s="1" t="s">
        <v>1292</v>
      </c>
      <c r="C967" s="2">
        <v>833</v>
      </c>
      <c r="D967" s="2">
        <v>8330</v>
      </c>
      <c r="E967" s="2">
        <v>0</v>
      </c>
      <c r="F967" s="2">
        <v>0</v>
      </c>
      <c r="G967" s="2">
        <v>23.847899999999999</v>
      </c>
      <c r="H967" s="3">
        <v>19865.3007</v>
      </c>
      <c r="I967" s="1" t="s">
        <v>24</v>
      </c>
      <c r="J967" s="1" t="s">
        <v>25</v>
      </c>
      <c r="K967" s="1" t="s">
        <v>26</v>
      </c>
    </row>
    <row r="968" spans="1:11" ht="12.75" customHeight="1" x14ac:dyDescent="0.2">
      <c r="A968" s="1" t="s">
        <v>1291</v>
      </c>
      <c r="B968" s="1" t="s">
        <v>1292</v>
      </c>
      <c r="C968" s="2">
        <v>98</v>
      </c>
      <c r="D968" s="2">
        <v>980</v>
      </c>
      <c r="E968" s="2">
        <v>0</v>
      </c>
      <c r="F968" s="2">
        <v>0</v>
      </c>
      <c r="G968" s="2">
        <v>25.263000000000002</v>
      </c>
      <c r="H968" s="3">
        <v>2475.7739999999999</v>
      </c>
      <c r="I968" s="1" t="s">
        <v>6145</v>
      </c>
      <c r="J968" s="1" t="s">
        <v>6146</v>
      </c>
      <c r="K968" s="1" t="s">
        <v>6147</v>
      </c>
    </row>
    <row r="969" spans="1:11" ht="12.75" customHeight="1" x14ac:dyDescent="0.2">
      <c r="A969" s="1" t="s">
        <v>1291</v>
      </c>
      <c r="B969" s="1" t="s">
        <v>1292</v>
      </c>
      <c r="C969" s="2">
        <v>294</v>
      </c>
      <c r="D969" s="2">
        <v>2940</v>
      </c>
      <c r="E969" s="2">
        <v>0</v>
      </c>
      <c r="F969" s="2">
        <v>0</v>
      </c>
      <c r="G969" s="2">
        <v>24.128799999999998</v>
      </c>
      <c r="H969" s="3">
        <v>7093.8671999999997</v>
      </c>
      <c r="I969" s="1" t="s">
        <v>500</v>
      </c>
      <c r="J969" s="1" t="s">
        <v>501</v>
      </c>
      <c r="K969" s="1" t="s">
        <v>502</v>
      </c>
    </row>
    <row r="970" spans="1:11" ht="12.75" customHeight="1" x14ac:dyDescent="0.2">
      <c r="A970" s="1" t="s">
        <v>1293</v>
      </c>
      <c r="B970" s="1" t="s">
        <v>1294</v>
      </c>
      <c r="C970" s="2">
        <v>560</v>
      </c>
      <c r="D970" s="2">
        <v>6160</v>
      </c>
      <c r="E970" s="2">
        <v>0</v>
      </c>
      <c r="F970" s="2">
        <v>140</v>
      </c>
      <c r="G970" s="2">
        <v>25.932500000000001</v>
      </c>
      <c r="H970" s="3">
        <v>14522.2</v>
      </c>
      <c r="I970" s="1" t="s">
        <v>17</v>
      </c>
      <c r="J970" s="1" t="s">
        <v>18</v>
      </c>
      <c r="K970" s="1" t="s">
        <v>19</v>
      </c>
    </row>
    <row r="971" spans="1:11" ht="12.75" customHeight="1" x14ac:dyDescent="0.2">
      <c r="A971" s="1" t="s">
        <v>1293</v>
      </c>
      <c r="B971" s="1" t="s">
        <v>1294</v>
      </c>
      <c r="C971" s="2">
        <v>294</v>
      </c>
      <c r="D971" s="2">
        <v>3234</v>
      </c>
      <c r="E971" s="2">
        <v>0</v>
      </c>
      <c r="F971" s="2">
        <v>0</v>
      </c>
      <c r="G971" s="2">
        <v>26.541599999999999</v>
      </c>
      <c r="H971" s="3">
        <v>7803.2304000000004</v>
      </c>
      <c r="I971" s="1" t="s">
        <v>500</v>
      </c>
      <c r="J971" s="1" t="s">
        <v>501</v>
      </c>
      <c r="K971" s="1" t="s">
        <v>502</v>
      </c>
    </row>
    <row r="972" spans="1:11" ht="12.75" customHeight="1" x14ac:dyDescent="0.2">
      <c r="A972" s="1" t="s">
        <v>1295</v>
      </c>
      <c r="B972" s="1" t="s">
        <v>1296</v>
      </c>
      <c r="C972" s="2">
        <v>644</v>
      </c>
      <c r="D972" s="2">
        <v>7728</v>
      </c>
      <c r="E972" s="2">
        <v>0</v>
      </c>
      <c r="F972" s="2">
        <v>154</v>
      </c>
      <c r="G972" s="2">
        <v>28.29</v>
      </c>
      <c r="H972" s="3">
        <v>18218.759999999998</v>
      </c>
      <c r="I972" s="1" t="s">
        <v>17</v>
      </c>
      <c r="J972" s="1" t="s">
        <v>18</v>
      </c>
      <c r="K972" s="1" t="s">
        <v>19</v>
      </c>
    </row>
    <row r="973" spans="1:11" ht="12.75" customHeight="1" x14ac:dyDescent="0.2">
      <c r="A973" s="1" t="s">
        <v>1295</v>
      </c>
      <c r="B973" s="1" t="s">
        <v>1296</v>
      </c>
      <c r="C973" s="2">
        <v>245</v>
      </c>
      <c r="D973" s="2">
        <v>2940</v>
      </c>
      <c r="E973" s="2">
        <v>0</v>
      </c>
      <c r="F973" s="2">
        <v>0</v>
      </c>
      <c r="G973" s="2">
        <v>28.6175</v>
      </c>
      <c r="H973" s="3">
        <v>7011.2875000000004</v>
      </c>
      <c r="I973" s="1" t="s">
        <v>24</v>
      </c>
      <c r="J973" s="1" t="s">
        <v>25</v>
      </c>
      <c r="K973" s="1" t="s">
        <v>26</v>
      </c>
    </row>
    <row r="974" spans="1:11" ht="12.75" customHeight="1" x14ac:dyDescent="0.2">
      <c r="A974" s="1" t="s">
        <v>1295</v>
      </c>
      <c r="B974" s="1" t="s">
        <v>1296</v>
      </c>
      <c r="C974" s="2">
        <v>98</v>
      </c>
      <c r="D974" s="2">
        <v>1176</v>
      </c>
      <c r="E974" s="2">
        <v>0</v>
      </c>
      <c r="F974" s="2">
        <v>0</v>
      </c>
      <c r="G974" s="2">
        <v>30.3157</v>
      </c>
      <c r="H974" s="3">
        <v>2970.9386</v>
      </c>
      <c r="I974" s="1" t="s">
        <v>6145</v>
      </c>
      <c r="J974" s="1" t="s">
        <v>6146</v>
      </c>
      <c r="K974" s="1" t="s">
        <v>6147</v>
      </c>
    </row>
    <row r="975" spans="1:11" ht="12.75" customHeight="1" x14ac:dyDescent="0.2">
      <c r="A975" s="1" t="s">
        <v>1297</v>
      </c>
      <c r="B975" s="1" t="s">
        <v>1298</v>
      </c>
      <c r="C975" s="2">
        <v>314</v>
      </c>
      <c r="D975" s="2">
        <v>4396</v>
      </c>
      <c r="E975" s="2">
        <v>0</v>
      </c>
      <c r="F975" s="2">
        <v>84</v>
      </c>
      <c r="G975" s="2">
        <v>33.005000000000003</v>
      </c>
      <c r="H975" s="3">
        <v>10363.57</v>
      </c>
      <c r="I975" s="1" t="s">
        <v>17</v>
      </c>
      <c r="J975" s="1" t="s">
        <v>18</v>
      </c>
      <c r="K975" s="1" t="s">
        <v>19</v>
      </c>
    </row>
    <row r="976" spans="1:11" ht="12.75" customHeight="1" x14ac:dyDescent="0.2">
      <c r="A976" s="1" t="s">
        <v>1297</v>
      </c>
      <c r="B976" s="1" t="s">
        <v>1298</v>
      </c>
      <c r="C976" s="2">
        <v>735</v>
      </c>
      <c r="D976" s="2">
        <v>10290</v>
      </c>
      <c r="E976" s="2">
        <v>0</v>
      </c>
      <c r="F976" s="2">
        <v>0</v>
      </c>
      <c r="G976" s="2">
        <v>33.387099999999997</v>
      </c>
      <c r="H976" s="3">
        <v>24539.518499999998</v>
      </c>
      <c r="I976" s="1" t="s">
        <v>24</v>
      </c>
      <c r="J976" s="1" t="s">
        <v>25</v>
      </c>
      <c r="K976" s="1" t="s">
        <v>26</v>
      </c>
    </row>
    <row r="977" spans="1:11" ht="12.75" customHeight="1" x14ac:dyDescent="0.2">
      <c r="A977" s="1" t="s">
        <v>1297</v>
      </c>
      <c r="B977" s="1" t="s">
        <v>1298</v>
      </c>
      <c r="C977" s="2">
        <v>56</v>
      </c>
      <c r="D977" s="2">
        <v>784</v>
      </c>
      <c r="E977" s="2">
        <v>0</v>
      </c>
      <c r="F977" s="2">
        <v>0</v>
      </c>
      <c r="G977" s="2">
        <v>35.368400000000001</v>
      </c>
      <c r="H977" s="3">
        <v>1980.6304</v>
      </c>
      <c r="I977" s="1" t="s">
        <v>6145</v>
      </c>
      <c r="J977" s="1" t="s">
        <v>6146</v>
      </c>
      <c r="K977" s="1" t="s">
        <v>6147</v>
      </c>
    </row>
    <row r="978" spans="1:11" ht="12.75" customHeight="1" x14ac:dyDescent="0.2">
      <c r="A978" s="1" t="s">
        <v>1297</v>
      </c>
      <c r="B978" s="1" t="s">
        <v>1298</v>
      </c>
      <c r="C978" s="2">
        <v>294</v>
      </c>
      <c r="D978" s="2">
        <v>4116</v>
      </c>
      <c r="E978" s="2">
        <v>0</v>
      </c>
      <c r="F978" s="2">
        <v>0</v>
      </c>
      <c r="G978" s="2">
        <v>33.780299999999997</v>
      </c>
      <c r="H978" s="3">
        <v>9931.4081999999999</v>
      </c>
      <c r="I978" s="1" t="s">
        <v>500</v>
      </c>
      <c r="J978" s="1" t="s">
        <v>501</v>
      </c>
      <c r="K978" s="1" t="s">
        <v>502</v>
      </c>
    </row>
    <row r="979" spans="1:11" ht="12.75" customHeight="1" x14ac:dyDescent="0.2">
      <c r="A979" s="1" t="s">
        <v>1299</v>
      </c>
      <c r="B979" s="1" t="s">
        <v>1300</v>
      </c>
      <c r="C979" s="2">
        <v>203</v>
      </c>
      <c r="D979" s="2">
        <v>3248</v>
      </c>
      <c r="E979" s="2">
        <v>0</v>
      </c>
      <c r="F979" s="2">
        <v>56</v>
      </c>
      <c r="G979" s="2">
        <v>37.719900000000003</v>
      </c>
      <c r="H979" s="3">
        <v>7657.1396999999997</v>
      </c>
      <c r="I979" s="1" t="s">
        <v>17</v>
      </c>
      <c r="J979" s="1" t="s">
        <v>18</v>
      </c>
      <c r="K979" s="1" t="s">
        <v>19</v>
      </c>
    </row>
    <row r="980" spans="1:11" ht="12.75" customHeight="1" x14ac:dyDescent="0.2">
      <c r="A980" s="1" t="s">
        <v>1299</v>
      </c>
      <c r="B980" s="1" t="s">
        <v>1300</v>
      </c>
      <c r="C980" s="2">
        <v>70</v>
      </c>
      <c r="D980" s="2">
        <v>1120</v>
      </c>
      <c r="E980" s="2">
        <v>0</v>
      </c>
      <c r="F980" s="2">
        <v>0</v>
      </c>
      <c r="G980" s="2">
        <v>40.420699999999997</v>
      </c>
      <c r="H980" s="3">
        <v>2829.4490000000001</v>
      </c>
      <c r="I980" s="1" t="s">
        <v>6145</v>
      </c>
      <c r="J980" s="1" t="s">
        <v>6146</v>
      </c>
      <c r="K980" s="1" t="s">
        <v>6147</v>
      </c>
    </row>
    <row r="981" spans="1:11" ht="12.75" customHeight="1" x14ac:dyDescent="0.2">
      <c r="A981" s="1" t="s">
        <v>1301</v>
      </c>
      <c r="B981" s="1" t="s">
        <v>1302</v>
      </c>
      <c r="C981" s="2">
        <v>294</v>
      </c>
      <c r="D981" s="2">
        <v>4998</v>
      </c>
      <c r="E981" s="2">
        <v>0</v>
      </c>
      <c r="F981" s="2">
        <v>70</v>
      </c>
      <c r="G981" s="2">
        <v>40.077500000000001</v>
      </c>
      <c r="H981" s="3">
        <v>11782.785</v>
      </c>
      <c r="I981" s="1" t="s">
        <v>17</v>
      </c>
      <c r="J981" s="1" t="s">
        <v>18</v>
      </c>
      <c r="K981" s="1" t="s">
        <v>19</v>
      </c>
    </row>
    <row r="982" spans="1:11" ht="12.75" customHeight="1" x14ac:dyDescent="0.2">
      <c r="A982" s="1" t="s">
        <v>1301</v>
      </c>
      <c r="B982" s="1" t="s">
        <v>1302</v>
      </c>
      <c r="C982" s="2">
        <v>294</v>
      </c>
      <c r="D982" s="2">
        <v>4998</v>
      </c>
      <c r="E982" s="2">
        <v>0</v>
      </c>
      <c r="F982" s="2">
        <v>0</v>
      </c>
      <c r="G982" s="2">
        <v>40.541400000000003</v>
      </c>
      <c r="H982" s="3">
        <v>11919.1716</v>
      </c>
      <c r="I982" s="1" t="s">
        <v>24</v>
      </c>
      <c r="J982" s="1" t="s">
        <v>25</v>
      </c>
      <c r="K982" s="1" t="s">
        <v>26</v>
      </c>
    </row>
    <row r="983" spans="1:11" ht="12.75" customHeight="1" x14ac:dyDescent="0.2">
      <c r="A983" s="1" t="s">
        <v>1303</v>
      </c>
      <c r="B983" s="1" t="s">
        <v>1304</v>
      </c>
      <c r="C983" s="2">
        <v>178</v>
      </c>
      <c r="D983" s="2">
        <v>1424</v>
      </c>
      <c r="E983" s="2">
        <v>0</v>
      </c>
      <c r="F983" s="2">
        <v>42</v>
      </c>
      <c r="G983" s="2">
        <v>18.86</v>
      </c>
      <c r="H983" s="3">
        <v>3357.08</v>
      </c>
      <c r="I983" s="1" t="s">
        <v>17</v>
      </c>
      <c r="J983" s="1" t="s">
        <v>18</v>
      </c>
      <c r="K983" s="1" t="s">
        <v>19</v>
      </c>
    </row>
    <row r="984" spans="1:11" ht="12.75" customHeight="1" x14ac:dyDescent="0.2">
      <c r="A984" s="1" t="s">
        <v>1303</v>
      </c>
      <c r="B984" s="1" t="s">
        <v>1304</v>
      </c>
      <c r="C984" s="2">
        <v>294</v>
      </c>
      <c r="D984" s="2">
        <v>2352</v>
      </c>
      <c r="E984" s="2">
        <v>0</v>
      </c>
      <c r="F984" s="2">
        <v>0</v>
      </c>
      <c r="G984" s="2">
        <v>19.078299999999999</v>
      </c>
      <c r="H984" s="3">
        <v>5609.0201999999999</v>
      </c>
      <c r="I984" s="1" t="s">
        <v>24</v>
      </c>
      <c r="J984" s="1" t="s">
        <v>25</v>
      </c>
      <c r="K984" s="1" t="s">
        <v>26</v>
      </c>
    </row>
    <row r="985" spans="1:11" ht="12.75" customHeight="1" x14ac:dyDescent="0.2">
      <c r="A985" s="1" t="s">
        <v>1303</v>
      </c>
      <c r="B985" s="1" t="s">
        <v>1304</v>
      </c>
      <c r="C985" s="2">
        <v>70</v>
      </c>
      <c r="D985" s="2">
        <v>560</v>
      </c>
      <c r="E985" s="2">
        <v>0</v>
      </c>
      <c r="F985" s="2">
        <v>0</v>
      </c>
      <c r="G985" s="2">
        <v>20.2104</v>
      </c>
      <c r="H985" s="3">
        <v>1414.7280000000001</v>
      </c>
      <c r="I985" s="1" t="s">
        <v>6145</v>
      </c>
      <c r="J985" s="1" t="s">
        <v>6146</v>
      </c>
      <c r="K985" s="1" t="s">
        <v>6147</v>
      </c>
    </row>
    <row r="986" spans="1:11" ht="12.75" customHeight="1" x14ac:dyDescent="0.2">
      <c r="A986" s="1" t="s">
        <v>1305</v>
      </c>
      <c r="B986" s="1" t="s">
        <v>1306</v>
      </c>
      <c r="C986" s="2">
        <v>210</v>
      </c>
      <c r="D986" s="2">
        <v>1890</v>
      </c>
      <c r="E986" s="2">
        <v>0</v>
      </c>
      <c r="F986" s="2">
        <v>56</v>
      </c>
      <c r="G986" s="2">
        <v>21.217500000000001</v>
      </c>
      <c r="H986" s="3">
        <v>4455.6750000000002</v>
      </c>
      <c r="I986" s="1" t="s">
        <v>17</v>
      </c>
      <c r="J986" s="1" t="s">
        <v>18</v>
      </c>
      <c r="K986" s="1" t="s">
        <v>19</v>
      </c>
    </row>
    <row r="987" spans="1:11" ht="12.75" customHeight="1" x14ac:dyDescent="0.2">
      <c r="A987" s="1" t="s">
        <v>1305</v>
      </c>
      <c r="B987" s="1" t="s">
        <v>1306</v>
      </c>
      <c r="C987" s="2">
        <v>497</v>
      </c>
      <c r="D987" s="2">
        <v>4473</v>
      </c>
      <c r="E987" s="2">
        <v>0</v>
      </c>
      <c r="F987" s="2">
        <v>0</v>
      </c>
      <c r="G987" s="2">
        <v>21.463100000000001</v>
      </c>
      <c r="H987" s="3">
        <v>10667.1607</v>
      </c>
      <c r="I987" s="1" t="s">
        <v>24</v>
      </c>
      <c r="J987" s="1" t="s">
        <v>25</v>
      </c>
      <c r="K987" s="1" t="s">
        <v>26</v>
      </c>
    </row>
    <row r="988" spans="1:11" ht="12.75" customHeight="1" x14ac:dyDescent="0.2">
      <c r="A988" s="1" t="s">
        <v>1307</v>
      </c>
      <c r="B988" s="1" t="s">
        <v>1308</v>
      </c>
      <c r="C988" s="2">
        <v>200</v>
      </c>
      <c r="D988" s="2">
        <v>2000</v>
      </c>
      <c r="E988" s="2">
        <v>0</v>
      </c>
      <c r="F988" s="2">
        <v>0</v>
      </c>
      <c r="G988" s="2">
        <v>17.634799999999998</v>
      </c>
      <c r="H988" s="3">
        <v>3526.96</v>
      </c>
      <c r="I988" s="1" t="s">
        <v>17</v>
      </c>
      <c r="J988" s="1" t="s">
        <v>18</v>
      </c>
      <c r="K988" s="1" t="s">
        <v>19</v>
      </c>
    </row>
    <row r="989" spans="1:11" ht="12.75" customHeight="1" x14ac:dyDescent="0.2">
      <c r="A989" s="1" t="s">
        <v>1307</v>
      </c>
      <c r="B989" s="1" t="s">
        <v>1308</v>
      </c>
      <c r="C989" s="2">
        <v>648</v>
      </c>
      <c r="D989" s="2">
        <v>6480</v>
      </c>
      <c r="E989" s="2">
        <v>0</v>
      </c>
      <c r="F989" s="2">
        <v>0</v>
      </c>
      <c r="G989" s="2">
        <v>11.8268</v>
      </c>
      <c r="H989" s="3">
        <v>7663.7664000000004</v>
      </c>
      <c r="I989" s="1" t="s">
        <v>500</v>
      </c>
      <c r="J989" s="1" t="s">
        <v>501</v>
      </c>
      <c r="K989" s="1" t="s">
        <v>502</v>
      </c>
    </row>
    <row r="990" spans="1:11" ht="12.75" customHeight="1" x14ac:dyDescent="0.2">
      <c r="A990" s="1" t="s">
        <v>1309</v>
      </c>
      <c r="B990" s="1" t="s">
        <v>1310</v>
      </c>
      <c r="C990" s="2">
        <v>498</v>
      </c>
      <c r="D990" s="2">
        <v>5478</v>
      </c>
      <c r="E990" s="2">
        <v>0</v>
      </c>
      <c r="F990" s="2">
        <v>140</v>
      </c>
      <c r="G990" s="2">
        <v>12.7485</v>
      </c>
      <c r="H990" s="3">
        <v>6348.7529999999997</v>
      </c>
      <c r="I990" s="1" t="s">
        <v>17</v>
      </c>
      <c r="J990" s="1" t="s">
        <v>18</v>
      </c>
      <c r="K990" s="1" t="s">
        <v>19</v>
      </c>
    </row>
    <row r="991" spans="1:11" ht="12.75" customHeight="1" x14ac:dyDescent="0.2">
      <c r="A991" s="1" t="s">
        <v>1309</v>
      </c>
      <c r="B991" s="1" t="s">
        <v>1310</v>
      </c>
      <c r="C991" s="2">
        <v>150</v>
      </c>
      <c r="D991" s="2">
        <v>1650</v>
      </c>
      <c r="E991" s="2">
        <v>0</v>
      </c>
      <c r="F991" s="2">
        <v>0</v>
      </c>
      <c r="G991" s="2">
        <v>13.6614</v>
      </c>
      <c r="H991" s="3">
        <v>2049.21</v>
      </c>
      <c r="I991" s="1" t="s">
        <v>6145</v>
      </c>
      <c r="J991" s="1" t="s">
        <v>6146</v>
      </c>
      <c r="K991" s="1" t="s">
        <v>6147</v>
      </c>
    </row>
    <row r="992" spans="1:11" ht="12.75" customHeight="1" x14ac:dyDescent="0.2">
      <c r="A992" s="1" t="s">
        <v>1311</v>
      </c>
      <c r="B992" s="1" t="s">
        <v>1312</v>
      </c>
      <c r="C992" s="2">
        <v>70</v>
      </c>
      <c r="D992" s="2">
        <v>840</v>
      </c>
      <c r="E992" s="2">
        <v>0</v>
      </c>
      <c r="F992" s="2">
        <v>0</v>
      </c>
      <c r="G992" s="2">
        <v>20.738</v>
      </c>
      <c r="H992" s="3">
        <v>1451.66</v>
      </c>
      <c r="I992" s="1" t="s">
        <v>17</v>
      </c>
      <c r="J992" s="1" t="s">
        <v>18</v>
      </c>
      <c r="K992" s="1" t="s">
        <v>19</v>
      </c>
    </row>
    <row r="993" spans="1:11" ht="12.75" customHeight="1" x14ac:dyDescent="0.2">
      <c r="A993" s="1" t="s">
        <v>1311</v>
      </c>
      <c r="B993" s="1" t="s">
        <v>1312</v>
      </c>
      <c r="C993" s="2">
        <v>648</v>
      </c>
      <c r="D993" s="2">
        <v>7776</v>
      </c>
      <c r="E993" s="2">
        <v>0</v>
      </c>
      <c r="F993" s="2">
        <v>0</v>
      </c>
      <c r="G993" s="2">
        <v>14.1921</v>
      </c>
      <c r="H993" s="3">
        <v>9196.4807999999994</v>
      </c>
      <c r="I993" s="1" t="s">
        <v>500</v>
      </c>
      <c r="J993" s="1" t="s">
        <v>501</v>
      </c>
      <c r="K993" s="1" t="s">
        <v>502</v>
      </c>
    </row>
    <row r="994" spans="1:11" ht="12.75" customHeight="1" x14ac:dyDescent="0.2">
      <c r="A994" s="1" t="s">
        <v>1313</v>
      </c>
      <c r="B994" s="1" t="s">
        <v>1314</v>
      </c>
      <c r="C994" s="2">
        <v>498</v>
      </c>
      <c r="D994" s="2">
        <v>6474</v>
      </c>
      <c r="E994" s="2">
        <v>0</v>
      </c>
      <c r="F994" s="2">
        <v>140</v>
      </c>
      <c r="G994" s="2">
        <v>15.0665</v>
      </c>
      <c r="H994" s="3">
        <v>7503.1170000000002</v>
      </c>
      <c r="I994" s="1" t="s">
        <v>17</v>
      </c>
      <c r="J994" s="1" t="s">
        <v>18</v>
      </c>
      <c r="K994" s="1" t="s">
        <v>19</v>
      </c>
    </row>
    <row r="995" spans="1:11" ht="12.75" customHeight="1" x14ac:dyDescent="0.2">
      <c r="A995" s="1" t="s">
        <v>1313</v>
      </c>
      <c r="B995" s="1" t="s">
        <v>1314</v>
      </c>
      <c r="C995" s="2">
        <v>150</v>
      </c>
      <c r="D995" s="2">
        <v>1950</v>
      </c>
      <c r="E995" s="2">
        <v>0</v>
      </c>
      <c r="F995" s="2">
        <v>0</v>
      </c>
      <c r="G995" s="2">
        <v>16.145299999999999</v>
      </c>
      <c r="H995" s="3">
        <v>2421.7950000000001</v>
      </c>
      <c r="I995" s="1" t="s">
        <v>6145</v>
      </c>
      <c r="J995" s="1" t="s">
        <v>6146</v>
      </c>
      <c r="K995" s="1" t="s">
        <v>6147</v>
      </c>
    </row>
    <row r="996" spans="1:11" ht="12.75" customHeight="1" x14ac:dyDescent="0.2">
      <c r="A996" s="1" t="s">
        <v>1315</v>
      </c>
      <c r="B996" s="1" t="s">
        <v>1316</v>
      </c>
      <c r="C996" s="2">
        <v>508</v>
      </c>
      <c r="D996" s="2">
        <v>7112</v>
      </c>
      <c r="E996" s="2">
        <v>0</v>
      </c>
      <c r="F996" s="2">
        <v>140</v>
      </c>
      <c r="G996" s="2">
        <v>16.2254</v>
      </c>
      <c r="H996" s="3">
        <v>8242.5031999999992</v>
      </c>
      <c r="I996" s="1" t="s">
        <v>17</v>
      </c>
      <c r="J996" s="1" t="s">
        <v>18</v>
      </c>
      <c r="K996" s="1" t="s">
        <v>19</v>
      </c>
    </row>
    <row r="997" spans="1:11" ht="12.75" customHeight="1" x14ac:dyDescent="0.2">
      <c r="A997" s="1" t="s">
        <v>1315</v>
      </c>
      <c r="B997" s="1" t="s">
        <v>1316</v>
      </c>
      <c r="C997" s="2">
        <v>140</v>
      </c>
      <c r="D997" s="2">
        <v>1960</v>
      </c>
      <c r="E997" s="2">
        <v>0</v>
      </c>
      <c r="F997" s="2">
        <v>0</v>
      </c>
      <c r="G997" s="2">
        <v>17.3872</v>
      </c>
      <c r="H997" s="3">
        <v>2434.2080000000001</v>
      </c>
      <c r="I997" s="1" t="s">
        <v>6145</v>
      </c>
      <c r="J997" s="1" t="s">
        <v>6146</v>
      </c>
      <c r="K997" s="1" t="s">
        <v>6147</v>
      </c>
    </row>
    <row r="998" spans="1:11" ht="12.75" customHeight="1" x14ac:dyDescent="0.2">
      <c r="A998" s="1" t="s">
        <v>1315</v>
      </c>
      <c r="B998" s="1" t="s">
        <v>1316</v>
      </c>
      <c r="C998" s="2">
        <v>648</v>
      </c>
      <c r="D998" s="2">
        <v>9072</v>
      </c>
      <c r="E998" s="2">
        <v>0</v>
      </c>
      <c r="F998" s="2">
        <v>0</v>
      </c>
      <c r="G998" s="2">
        <v>16.557500000000001</v>
      </c>
      <c r="H998" s="3">
        <v>10729.26</v>
      </c>
      <c r="I998" s="1" t="s">
        <v>500</v>
      </c>
      <c r="J998" s="1" t="s">
        <v>501</v>
      </c>
      <c r="K998" s="1" t="s">
        <v>502</v>
      </c>
    </row>
    <row r="999" spans="1:11" ht="12.75" customHeight="1" x14ac:dyDescent="0.2">
      <c r="A999" s="1" t="s">
        <v>1317</v>
      </c>
      <c r="B999" s="1" t="s">
        <v>1318</v>
      </c>
      <c r="C999" s="2">
        <v>16</v>
      </c>
      <c r="D999" s="2">
        <v>256</v>
      </c>
      <c r="E999" s="2">
        <v>0</v>
      </c>
      <c r="F999" s="2">
        <v>116</v>
      </c>
      <c r="G999" s="2">
        <v>18.543299999999999</v>
      </c>
      <c r="H999" s="3">
        <v>296.69279999999998</v>
      </c>
      <c r="I999" s="1" t="s">
        <v>12</v>
      </c>
      <c r="J999" s="1" t="s">
        <v>13</v>
      </c>
      <c r="K999" s="1" t="s">
        <v>14</v>
      </c>
    </row>
    <row r="1000" spans="1:11" ht="12.75" customHeight="1" x14ac:dyDescent="0.2">
      <c r="A1000" s="1" t="s">
        <v>1317</v>
      </c>
      <c r="B1000" s="1" t="s">
        <v>1318</v>
      </c>
      <c r="C1000" s="2">
        <v>492</v>
      </c>
      <c r="D1000" s="2">
        <v>7872</v>
      </c>
      <c r="E1000" s="2">
        <v>0</v>
      </c>
      <c r="F1000" s="2">
        <v>100</v>
      </c>
      <c r="G1000" s="2">
        <v>18.543299999999999</v>
      </c>
      <c r="H1000" s="3">
        <v>9123.3035999999993</v>
      </c>
      <c r="I1000" s="1" t="s">
        <v>17</v>
      </c>
      <c r="J1000" s="1" t="s">
        <v>18</v>
      </c>
      <c r="K1000" s="1" t="s">
        <v>19</v>
      </c>
    </row>
    <row r="1001" spans="1:11" ht="12.75" customHeight="1" x14ac:dyDescent="0.2">
      <c r="A1001" s="1" t="s">
        <v>1317</v>
      </c>
      <c r="B1001" s="1" t="s">
        <v>1318</v>
      </c>
      <c r="C1001" s="2">
        <v>140</v>
      </c>
      <c r="D1001" s="2">
        <v>2240</v>
      </c>
      <c r="E1001" s="2">
        <v>0</v>
      </c>
      <c r="F1001" s="2">
        <v>0</v>
      </c>
      <c r="G1001" s="2">
        <v>19.871099999999998</v>
      </c>
      <c r="H1001" s="3">
        <v>2781.9540000000002</v>
      </c>
      <c r="I1001" s="1" t="s">
        <v>6145</v>
      </c>
      <c r="J1001" s="1" t="s">
        <v>6146</v>
      </c>
      <c r="K1001" s="1" t="s">
        <v>6147</v>
      </c>
    </row>
    <row r="1002" spans="1:11" ht="12.75" customHeight="1" x14ac:dyDescent="0.2">
      <c r="A1002" s="1" t="s">
        <v>1319</v>
      </c>
      <c r="B1002" s="1" t="s">
        <v>1320</v>
      </c>
      <c r="C1002" s="2">
        <v>648</v>
      </c>
      <c r="D1002" s="2">
        <v>11016</v>
      </c>
      <c r="E1002" s="2">
        <v>0</v>
      </c>
      <c r="F1002" s="2">
        <v>0</v>
      </c>
      <c r="G1002" s="2">
        <v>20.105499999999999</v>
      </c>
      <c r="H1002" s="3">
        <v>13028.364</v>
      </c>
      <c r="I1002" s="1" t="s">
        <v>500</v>
      </c>
      <c r="J1002" s="1" t="s">
        <v>501</v>
      </c>
      <c r="K1002" s="1" t="s">
        <v>502</v>
      </c>
    </row>
    <row r="1003" spans="1:11" ht="12.75" customHeight="1" x14ac:dyDescent="0.2">
      <c r="A1003" s="1" t="s">
        <v>1321</v>
      </c>
      <c r="B1003" s="1" t="s">
        <v>1322</v>
      </c>
      <c r="C1003" s="2">
        <v>487</v>
      </c>
      <c r="D1003" s="2">
        <v>3896</v>
      </c>
      <c r="E1003" s="2">
        <v>0</v>
      </c>
      <c r="F1003" s="2">
        <v>140</v>
      </c>
      <c r="G1003" s="2">
        <v>9.2716999999999992</v>
      </c>
      <c r="H1003" s="3">
        <v>4515.3179</v>
      </c>
      <c r="I1003" s="1" t="s">
        <v>17</v>
      </c>
      <c r="J1003" s="1" t="s">
        <v>18</v>
      </c>
      <c r="K1003" s="1" t="s">
        <v>19</v>
      </c>
    </row>
    <row r="1004" spans="1:11" ht="12.75" customHeight="1" x14ac:dyDescent="0.2">
      <c r="A1004" s="1" t="s">
        <v>1321</v>
      </c>
      <c r="B1004" s="1" t="s">
        <v>1322</v>
      </c>
      <c r="C1004" s="2">
        <v>150</v>
      </c>
      <c r="D1004" s="2">
        <v>1200</v>
      </c>
      <c r="E1004" s="2">
        <v>0</v>
      </c>
      <c r="F1004" s="2">
        <v>0</v>
      </c>
      <c r="G1004" s="2">
        <v>9.9356000000000009</v>
      </c>
      <c r="H1004" s="3">
        <v>1490.34</v>
      </c>
      <c r="I1004" s="1" t="s">
        <v>6145</v>
      </c>
      <c r="J1004" s="1" t="s">
        <v>6146</v>
      </c>
      <c r="K1004" s="1" t="s">
        <v>6147</v>
      </c>
    </row>
    <row r="1005" spans="1:11" ht="12.75" customHeight="1" x14ac:dyDescent="0.2">
      <c r="A1005" s="1" t="s">
        <v>1321</v>
      </c>
      <c r="B1005" s="1" t="s">
        <v>1322</v>
      </c>
      <c r="C1005" s="2">
        <v>648</v>
      </c>
      <c r="D1005" s="2">
        <v>5184</v>
      </c>
      <c r="E1005" s="2">
        <v>0</v>
      </c>
      <c r="F1005" s="2">
        <v>0</v>
      </c>
      <c r="G1005" s="2">
        <v>9.4613999999999994</v>
      </c>
      <c r="H1005" s="3">
        <v>6130.9871999999996</v>
      </c>
      <c r="I1005" s="1" t="s">
        <v>500</v>
      </c>
      <c r="J1005" s="1" t="s">
        <v>501</v>
      </c>
      <c r="K1005" s="1" t="s">
        <v>502</v>
      </c>
    </row>
    <row r="1006" spans="1:11" ht="12.75" customHeight="1" x14ac:dyDescent="0.2">
      <c r="A1006" s="1" t="s">
        <v>1323</v>
      </c>
      <c r="B1006" s="1" t="s">
        <v>1324</v>
      </c>
      <c r="C1006" s="2">
        <v>493</v>
      </c>
      <c r="D1006" s="2">
        <v>4437</v>
      </c>
      <c r="E1006" s="2">
        <v>0</v>
      </c>
      <c r="F1006" s="2">
        <v>160</v>
      </c>
      <c r="G1006" s="2">
        <v>10.4306</v>
      </c>
      <c r="H1006" s="3">
        <v>5142.2857999999997</v>
      </c>
      <c r="I1006" s="1" t="s">
        <v>17</v>
      </c>
      <c r="J1006" s="1" t="s">
        <v>18</v>
      </c>
      <c r="K1006" s="1" t="s">
        <v>19</v>
      </c>
    </row>
    <row r="1007" spans="1:11" ht="12.75" customHeight="1" x14ac:dyDescent="0.2">
      <c r="A1007" s="1" t="s">
        <v>1323</v>
      </c>
      <c r="B1007" s="1" t="s">
        <v>1324</v>
      </c>
      <c r="C1007" s="2">
        <v>150</v>
      </c>
      <c r="D1007" s="2">
        <v>1350</v>
      </c>
      <c r="E1007" s="2">
        <v>0</v>
      </c>
      <c r="F1007" s="2">
        <v>0</v>
      </c>
      <c r="G1007" s="2">
        <v>11.1775</v>
      </c>
      <c r="H1007" s="3">
        <v>1676.625</v>
      </c>
      <c r="I1007" s="1" t="s">
        <v>6145</v>
      </c>
      <c r="J1007" s="1" t="s">
        <v>6146</v>
      </c>
      <c r="K1007" s="1" t="s">
        <v>6147</v>
      </c>
    </row>
    <row r="1008" spans="1:11" ht="12.75" customHeight="1" x14ac:dyDescent="0.2">
      <c r="A1008" s="1" t="s">
        <v>1323</v>
      </c>
      <c r="B1008" s="1" t="s">
        <v>1324</v>
      </c>
      <c r="C1008" s="2">
        <v>648</v>
      </c>
      <c r="D1008" s="2">
        <v>5832</v>
      </c>
      <c r="E1008" s="2">
        <v>0</v>
      </c>
      <c r="F1008" s="2">
        <v>0</v>
      </c>
      <c r="G1008" s="2">
        <v>10.6441</v>
      </c>
      <c r="H1008" s="3">
        <v>6897.3768</v>
      </c>
      <c r="I1008" s="1" t="s">
        <v>500</v>
      </c>
      <c r="J1008" s="1" t="s">
        <v>501</v>
      </c>
      <c r="K1008" s="1" t="s">
        <v>502</v>
      </c>
    </row>
    <row r="1009" spans="1:11" ht="12.75" customHeight="1" x14ac:dyDescent="0.2">
      <c r="A1009" s="1" t="s">
        <v>1325</v>
      </c>
      <c r="B1009" s="1" t="s">
        <v>1326</v>
      </c>
      <c r="C1009" s="2">
        <v>834</v>
      </c>
      <c r="D1009" s="2">
        <v>8340</v>
      </c>
      <c r="E1009" s="2">
        <v>0</v>
      </c>
      <c r="F1009" s="2">
        <v>10</v>
      </c>
      <c r="G1009" s="2">
        <v>20.9453</v>
      </c>
      <c r="H1009" s="3">
        <v>17468.3802</v>
      </c>
      <c r="I1009" s="1" t="s">
        <v>17</v>
      </c>
      <c r="J1009" s="1" t="s">
        <v>18</v>
      </c>
      <c r="K1009" s="1" t="s">
        <v>19</v>
      </c>
    </row>
    <row r="1010" spans="1:11" ht="12.75" customHeight="1" x14ac:dyDescent="0.2">
      <c r="A1010" s="1" t="s">
        <v>1327</v>
      </c>
      <c r="B1010" s="1" t="s">
        <v>1328</v>
      </c>
      <c r="C1010" s="2">
        <v>374</v>
      </c>
      <c r="D1010" s="2">
        <v>4114</v>
      </c>
      <c r="E1010" s="2">
        <v>0</v>
      </c>
      <c r="F1010" s="2">
        <v>0</v>
      </c>
      <c r="G1010" s="2">
        <v>23.031400000000001</v>
      </c>
      <c r="H1010" s="3">
        <v>8613.7435999999998</v>
      </c>
      <c r="I1010" s="1" t="s">
        <v>17</v>
      </c>
      <c r="J1010" s="1" t="s">
        <v>18</v>
      </c>
      <c r="K1010" s="1" t="s">
        <v>19</v>
      </c>
    </row>
    <row r="1011" spans="1:11" ht="12.75" customHeight="1" x14ac:dyDescent="0.2">
      <c r="A1011" s="1" t="s">
        <v>1329</v>
      </c>
      <c r="B1011" s="1" t="s">
        <v>1330</v>
      </c>
      <c r="C1011" s="2">
        <v>14</v>
      </c>
      <c r="D1011" s="2">
        <v>168</v>
      </c>
      <c r="E1011" s="2">
        <v>0</v>
      </c>
      <c r="F1011" s="2">
        <v>1</v>
      </c>
      <c r="G1011" s="2">
        <v>25.125699999999998</v>
      </c>
      <c r="H1011" s="3">
        <v>351.75979999999998</v>
      </c>
      <c r="I1011" s="1" t="s">
        <v>17</v>
      </c>
      <c r="J1011" s="1" t="s">
        <v>18</v>
      </c>
      <c r="K1011" s="1" t="s">
        <v>19</v>
      </c>
    </row>
    <row r="1012" spans="1:11" ht="12.75" customHeight="1" x14ac:dyDescent="0.2">
      <c r="A1012" s="1" t="s">
        <v>1329</v>
      </c>
      <c r="B1012" s="1" t="s">
        <v>1330</v>
      </c>
      <c r="C1012" s="2">
        <v>264</v>
      </c>
      <c r="D1012" s="2">
        <v>3168</v>
      </c>
      <c r="E1012" s="2">
        <v>0</v>
      </c>
      <c r="F1012" s="2">
        <v>0</v>
      </c>
      <c r="G1012" s="2">
        <v>25.532699999999998</v>
      </c>
      <c r="H1012" s="3">
        <v>6740.6328000000003</v>
      </c>
      <c r="I1012" s="1" t="s">
        <v>500</v>
      </c>
      <c r="J1012" s="1" t="s">
        <v>501</v>
      </c>
      <c r="K1012" s="1" t="s">
        <v>502</v>
      </c>
    </row>
    <row r="1013" spans="1:11" ht="12.75" customHeight="1" x14ac:dyDescent="0.2">
      <c r="A1013" s="1" t="s">
        <v>1331</v>
      </c>
      <c r="B1013" s="1" t="s">
        <v>1332</v>
      </c>
      <c r="C1013" s="2">
        <v>189</v>
      </c>
      <c r="D1013" s="2">
        <v>2457</v>
      </c>
      <c r="E1013" s="2">
        <v>0</v>
      </c>
      <c r="F1013" s="2">
        <v>0</v>
      </c>
      <c r="G1013" s="2">
        <v>27.218900000000001</v>
      </c>
      <c r="H1013" s="3">
        <v>5144.3720999999996</v>
      </c>
      <c r="I1013" s="1" t="s">
        <v>17</v>
      </c>
      <c r="J1013" s="1" t="s">
        <v>18</v>
      </c>
      <c r="K1013" s="1" t="s">
        <v>19</v>
      </c>
    </row>
    <row r="1014" spans="1:11" ht="12.75" customHeight="1" x14ac:dyDescent="0.2">
      <c r="A1014" s="1" t="s">
        <v>1333</v>
      </c>
      <c r="B1014" s="1" t="s">
        <v>1334</v>
      </c>
      <c r="C1014" s="2">
        <v>226</v>
      </c>
      <c r="D1014" s="2">
        <v>3164</v>
      </c>
      <c r="E1014" s="2">
        <v>0</v>
      </c>
      <c r="F1014" s="2">
        <v>0</v>
      </c>
      <c r="G1014" s="2">
        <v>29.3127</v>
      </c>
      <c r="H1014" s="3">
        <v>6624.6701999999996</v>
      </c>
      <c r="I1014" s="1" t="s">
        <v>17</v>
      </c>
      <c r="J1014" s="1" t="s">
        <v>18</v>
      </c>
      <c r="K1014" s="1" t="s">
        <v>19</v>
      </c>
    </row>
    <row r="1015" spans="1:11" ht="12.75" customHeight="1" x14ac:dyDescent="0.2">
      <c r="A1015" s="1" t="s">
        <v>1335</v>
      </c>
      <c r="B1015" s="1" t="s">
        <v>1336</v>
      </c>
      <c r="C1015" s="2">
        <v>264</v>
      </c>
      <c r="D1015" s="2">
        <v>4488</v>
      </c>
      <c r="E1015" s="2">
        <v>0</v>
      </c>
      <c r="F1015" s="2">
        <v>0</v>
      </c>
      <c r="G1015" s="2">
        <v>36.171399999999998</v>
      </c>
      <c r="H1015" s="3">
        <v>9549.2495999999992</v>
      </c>
      <c r="I1015" s="1" t="s">
        <v>500</v>
      </c>
      <c r="J1015" s="1" t="s">
        <v>501</v>
      </c>
      <c r="K1015" s="1" t="s">
        <v>502</v>
      </c>
    </row>
    <row r="1016" spans="1:11" ht="12.75" customHeight="1" x14ac:dyDescent="0.2">
      <c r="A1016" s="1" t="s">
        <v>1337</v>
      </c>
      <c r="B1016" s="1" t="s">
        <v>1338</v>
      </c>
      <c r="C1016" s="2">
        <v>8</v>
      </c>
      <c r="D1016" s="2">
        <v>64</v>
      </c>
      <c r="E1016" s="2">
        <v>0</v>
      </c>
      <c r="F1016" s="2">
        <v>8</v>
      </c>
      <c r="G1016" s="2">
        <v>16.760100000000001</v>
      </c>
      <c r="H1016" s="3">
        <v>134.08080000000001</v>
      </c>
      <c r="I1016" s="1" t="s">
        <v>12</v>
      </c>
      <c r="J1016" s="1" t="s">
        <v>13</v>
      </c>
      <c r="K1016" s="1" t="s">
        <v>14</v>
      </c>
    </row>
    <row r="1017" spans="1:11" ht="12.75" customHeight="1" x14ac:dyDescent="0.2">
      <c r="A1017" s="1" t="s">
        <v>1337</v>
      </c>
      <c r="B1017" s="1" t="s">
        <v>1338</v>
      </c>
      <c r="C1017" s="2">
        <v>445</v>
      </c>
      <c r="D1017" s="2">
        <v>3560</v>
      </c>
      <c r="E1017" s="2">
        <v>0</v>
      </c>
      <c r="F1017" s="2">
        <v>0</v>
      </c>
      <c r="G1017" s="2">
        <v>16.760100000000001</v>
      </c>
      <c r="H1017" s="3">
        <v>7458.2444999999998</v>
      </c>
      <c r="I1017" s="1" t="s">
        <v>17</v>
      </c>
      <c r="J1017" s="1" t="s">
        <v>18</v>
      </c>
      <c r="K1017" s="1" t="s">
        <v>19</v>
      </c>
    </row>
    <row r="1018" spans="1:11" ht="12.75" customHeight="1" x14ac:dyDescent="0.2">
      <c r="A1018" s="1" t="s">
        <v>1339</v>
      </c>
      <c r="B1018" s="1" t="s">
        <v>1340</v>
      </c>
      <c r="C1018" s="2">
        <v>330</v>
      </c>
      <c r="D1018" s="2">
        <v>2970</v>
      </c>
      <c r="E1018" s="2">
        <v>0</v>
      </c>
      <c r="F1018" s="2">
        <v>75</v>
      </c>
      <c r="G1018" s="2">
        <v>18.843800000000002</v>
      </c>
      <c r="H1018" s="3">
        <v>6218.4539999999997</v>
      </c>
      <c r="I1018" s="1" t="s">
        <v>17</v>
      </c>
      <c r="J1018" s="1" t="s">
        <v>18</v>
      </c>
      <c r="K1018" s="1" t="s">
        <v>19</v>
      </c>
    </row>
    <row r="1019" spans="1:11" ht="12.75" customHeight="1" x14ac:dyDescent="0.2">
      <c r="A1019" s="1" t="s">
        <v>1339</v>
      </c>
      <c r="B1019" s="1" t="s">
        <v>1340</v>
      </c>
      <c r="C1019" s="2">
        <v>264</v>
      </c>
      <c r="D1019" s="2">
        <v>2376</v>
      </c>
      <c r="E1019" s="2">
        <v>0</v>
      </c>
      <c r="F1019" s="2">
        <v>0</v>
      </c>
      <c r="G1019" s="2">
        <v>19.1495</v>
      </c>
      <c r="H1019" s="3">
        <v>5055.4679999999998</v>
      </c>
      <c r="I1019" s="1" t="s">
        <v>500</v>
      </c>
      <c r="J1019" s="1" t="s">
        <v>501</v>
      </c>
      <c r="K1019" s="1" t="s">
        <v>502</v>
      </c>
    </row>
    <row r="1020" spans="1:11" ht="12.75" customHeight="1" x14ac:dyDescent="0.2">
      <c r="A1020" s="1" t="s">
        <v>1341</v>
      </c>
      <c r="B1020" s="1" t="s">
        <v>1342</v>
      </c>
      <c r="C1020" s="2">
        <v>168</v>
      </c>
      <c r="D1020" s="2">
        <v>1680</v>
      </c>
      <c r="E1020" s="2">
        <v>0</v>
      </c>
      <c r="F1020" s="2">
        <v>0</v>
      </c>
      <c r="G1020" s="2">
        <v>32.990200000000002</v>
      </c>
      <c r="H1020" s="3">
        <v>5542.3536000000004</v>
      </c>
      <c r="I1020" s="1" t="s">
        <v>500</v>
      </c>
      <c r="J1020" s="1" t="s">
        <v>501</v>
      </c>
      <c r="K1020" s="1" t="s">
        <v>502</v>
      </c>
    </row>
    <row r="1021" spans="1:11" ht="12.75" customHeight="1" x14ac:dyDescent="0.2">
      <c r="A1021" s="1" t="s">
        <v>1343</v>
      </c>
      <c r="B1021" s="1" t="s">
        <v>1344</v>
      </c>
      <c r="C1021" s="2">
        <v>44</v>
      </c>
      <c r="D1021" s="2">
        <v>484</v>
      </c>
      <c r="E1021" s="2">
        <v>0</v>
      </c>
      <c r="F1021" s="2">
        <v>19</v>
      </c>
      <c r="G1021" s="2">
        <v>37.103000000000002</v>
      </c>
      <c r="H1021" s="3">
        <v>1632.5319999999999</v>
      </c>
      <c r="I1021" s="1" t="s">
        <v>17</v>
      </c>
      <c r="J1021" s="1" t="s">
        <v>18</v>
      </c>
      <c r="K1021" s="1" t="s">
        <v>19</v>
      </c>
    </row>
    <row r="1022" spans="1:11" ht="12.75" customHeight="1" x14ac:dyDescent="0.2">
      <c r="A1022" s="1" t="s">
        <v>1345</v>
      </c>
      <c r="B1022" s="1" t="s">
        <v>1346</v>
      </c>
      <c r="C1022" s="2">
        <v>336</v>
      </c>
      <c r="D1022" s="2">
        <v>4032</v>
      </c>
      <c r="E1022" s="2">
        <v>0</v>
      </c>
      <c r="F1022" s="2">
        <v>0</v>
      </c>
      <c r="G1022" s="2">
        <v>39.588200000000001</v>
      </c>
      <c r="H1022" s="3">
        <v>13301.635200000001</v>
      </c>
      <c r="I1022" s="1" t="s">
        <v>500</v>
      </c>
      <c r="J1022" s="1" t="s">
        <v>501</v>
      </c>
      <c r="K1022" s="1" t="s">
        <v>502</v>
      </c>
    </row>
    <row r="1023" spans="1:11" ht="12.75" customHeight="1" x14ac:dyDescent="0.2">
      <c r="A1023" s="1" t="s">
        <v>1347</v>
      </c>
      <c r="B1023" s="1" t="s">
        <v>1348</v>
      </c>
      <c r="C1023" s="2">
        <v>336</v>
      </c>
      <c r="D1023" s="2">
        <v>4368</v>
      </c>
      <c r="E1023" s="2">
        <v>0</v>
      </c>
      <c r="F1023" s="2">
        <v>0</v>
      </c>
      <c r="G1023" s="2">
        <v>42.8872</v>
      </c>
      <c r="H1023" s="3">
        <v>14410.099200000001</v>
      </c>
      <c r="I1023" s="1" t="s">
        <v>500</v>
      </c>
      <c r="J1023" s="1" t="s">
        <v>501</v>
      </c>
      <c r="K1023" s="1" t="s">
        <v>502</v>
      </c>
    </row>
    <row r="1024" spans="1:11" ht="12.75" customHeight="1" x14ac:dyDescent="0.2">
      <c r="A1024" s="1" t="s">
        <v>1349</v>
      </c>
      <c r="B1024" s="1" t="s">
        <v>1350</v>
      </c>
      <c r="C1024" s="2">
        <v>288</v>
      </c>
      <c r="D1024" s="2">
        <v>4032</v>
      </c>
      <c r="E1024" s="2">
        <v>0</v>
      </c>
      <c r="F1024" s="2">
        <v>138</v>
      </c>
      <c r="G1024" s="2">
        <v>47.222000000000001</v>
      </c>
      <c r="H1024" s="3">
        <v>13599.936</v>
      </c>
      <c r="I1024" s="1" t="s">
        <v>17</v>
      </c>
      <c r="J1024" s="1" t="s">
        <v>18</v>
      </c>
      <c r="K1024" s="1" t="s">
        <v>19</v>
      </c>
    </row>
    <row r="1025" spans="1:11" ht="12.75" customHeight="1" x14ac:dyDescent="0.2">
      <c r="A1025" s="1" t="s">
        <v>1349</v>
      </c>
      <c r="B1025" s="1" t="s">
        <v>1350</v>
      </c>
      <c r="C1025" s="2">
        <v>45</v>
      </c>
      <c r="D1025" s="2">
        <v>630</v>
      </c>
      <c r="E1025" s="2">
        <v>0</v>
      </c>
      <c r="F1025" s="2">
        <v>0</v>
      </c>
      <c r="G1025" s="2">
        <v>50.603299999999997</v>
      </c>
      <c r="H1025" s="3">
        <v>2277.1484999999998</v>
      </c>
      <c r="I1025" s="1" t="s">
        <v>6145</v>
      </c>
      <c r="J1025" s="1" t="s">
        <v>6146</v>
      </c>
      <c r="K1025" s="1" t="s">
        <v>6147</v>
      </c>
    </row>
    <row r="1026" spans="1:11" ht="12.75" customHeight="1" x14ac:dyDescent="0.2">
      <c r="A1026" s="1" t="s">
        <v>1349</v>
      </c>
      <c r="B1026" s="1" t="s">
        <v>1350</v>
      </c>
      <c r="C1026" s="2">
        <v>168</v>
      </c>
      <c r="D1026" s="2">
        <v>2352</v>
      </c>
      <c r="E1026" s="2">
        <v>0</v>
      </c>
      <c r="F1026" s="2">
        <v>0</v>
      </c>
      <c r="G1026" s="2">
        <v>46.186199999999999</v>
      </c>
      <c r="H1026" s="3">
        <v>7759.2816000000003</v>
      </c>
      <c r="I1026" s="1" t="s">
        <v>500</v>
      </c>
      <c r="J1026" s="1" t="s">
        <v>501</v>
      </c>
      <c r="K1026" s="1" t="s">
        <v>502</v>
      </c>
    </row>
    <row r="1027" spans="1:11" ht="12.75" customHeight="1" x14ac:dyDescent="0.2">
      <c r="A1027" s="1" t="s">
        <v>1351</v>
      </c>
      <c r="B1027" s="1" t="s">
        <v>1352</v>
      </c>
      <c r="C1027" s="2">
        <v>141</v>
      </c>
      <c r="D1027" s="2">
        <v>2115</v>
      </c>
      <c r="E1027" s="2">
        <v>0</v>
      </c>
      <c r="F1027" s="2">
        <v>48</v>
      </c>
      <c r="G1027" s="2">
        <v>50.595100000000002</v>
      </c>
      <c r="H1027" s="3">
        <v>7133.9090999999999</v>
      </c>
      <c r="I1027" s="1" t="s">
        <v>17</v>
      </c>
      <c r="J1027" s="1" t="s">
        <v>18</v>
      </c>
      <c r="K1027" s="1" t="s">
        <v>19</v>
      </c>
    </row>
    <row r="1028" spans="1:11" ht="12.75" customHeight="1" x14ac:dyDescent="0.2">
      <c r="A1028" s="1" t="s">
        <v>1351</v>
      </c>
      <c r="B1028" s="1" t="s">
        <v>1352</v>
      </c>
      <c r="C1028" s="2">
        <v>27</v>
      </c>
      <c r="D1028" s="2">
        <v>405</v>
      </c>
      <c r="E1028" s="2">
        <v>0</v>
      </c>
      <c r="F1028" s="2">
        <v>0</v>
      </c>
      <c r="G1028" s="2">
        <v>54.2181</v>
      </c>
      <c r="H1028" s="3">
        <v>1463.8887</v>
      </c>
      <c r="I1028" s="1" t="s">
        <v>6145</v>
      </c>
      <c r="J1028" s="1" t="s">
        <v>6146</v>
      </c>
      <c r="K1028" s="1" t="s">
        <v>6147</v>
      </c>
    </row>
    <row r="1029" spans="1:11" ht="12.75" customHeight="1" x14ac:dyDescent="0.2">
      <c r="A1029" s="1" t="s">
        <v>1353</v>
      </c>
      <c r="B1029" s="1" t="s">
        <v>1354</v>
      </c>
      <c r="C1029" s="2">
        <v>254</v>
      </c>
      <c r="D1029" s="2">
        <v>4064</v>
      </c>
      <c r="E1029" s="2">
        <v>0</v>
      </c>
      <c r="F1029" s="2">
        <v>84</v>
      </c>
      <c r="G1029" s="2">
        <v>53.9681</v>
      </c>
      <c r="H1029" s="3">
        <v>13707.8974</v>
      </c>
      <c r="I1029" s="1" t="s">
        <v>17</v>
      </c>
      <c r="J1029" s="1" t="s">
        <v>18</v>
      </c>
      <c r="K1029" s="1" t="s">
        <v>19</v>
      </c>
    </row>
    <row r="1030" spans="1:11" ht="12.75" customHeight="1" x14ac:dyDescent="0.2">
      <c r="A1030" s="1" t="s">
        <v>1353</v>
      </c>
      <c r="B1030" s="1" t="s">
        <v>1354</v>
      </c>
      <c r="C1030" s="2">
        <v>54</v>
      </c>
      <c r="D1030" s="2">
        <v>864</v>
      </c>
      <c r="E1030" s="2">
        <v>0</v>
      </c>
      <c r="F1030" s="2">
        <v>0</v>
      </c>
      <c r="G1030" s="2">
        <v>57.832599999999999</v>
      </c>
      <c r="H1030" s="3">
        <v>3122.9603999999999</v>
      </c>
      <c r="I1030" s="1" t="s">
        <v>6145</v>
      </c>
      <c r="J1030" s="1" t="s">
        <v>6146</v>
      </c>
      <c r="K1030" s="1" t="s">
        <v>6147</v>
      </c>
    </row>
    <row r="1031" spans="1:11" ht="12.75" customHeight="1" x14ac:dyDescent="0.2">
      <c r="A1031" s="1" t="s">
        <v>1355</v>
      </c>
      <c r="B1031" s="1" t="s">
        <v>1356</v>
      </c>
      <c r="C1031" s="2">
        <v>115</v>
      </c>
      <c r="D1031" s="2">
        <v>1955</v>
      </c>
      <c r="E1031" s="2">
        <v>0</v>
      </c>
      <c r="F1031" s="2">
        <v>36</v>
      </c>
      <c r="G1031" s="2">
        <v>57.341099999999997</v>
      </c>
      <c r="H1031" s="3">
        <v>6594.2264999999998</v>
      </c>
      <c r="I1031" s="1" t="s">
        <v>17</v>
      </c>
      <c r="J1031" s="1" t="s">
        <v>18</v>
      </c>
      <c r="K1031" s="1" t="s">
        <v>19</v>
      </c>
    </row>
    <row r="1032" spans="1:11" ht="12.75" customHeight="1" x14ac:dyDescent="0.2">
      <c r="A1032" s="1" t="s">
        <v>1355</v>
      </c>
      <c r="B1032" s="1" t="s">
        <v>1356</v>
      </c>
      <c r="C1032" s="2">
        <v>30</v>
      </c>
      <c r="D1032" s="2">
        <v>510</v>
      </c>
      <c r="E1032" s="2">
        <v>0</v>
      </c>
      <c r="F1032" s="2">
        <v>0</v>
      </c>
      <c r="G1032" s="2">
        <v>61.4467</v>
      </c>
      <c r="H1032" s="3">
        <v>1843.4010000000001</v>
      </c>
      <c r="I1032" s="1" t="s">
        <v>6145</v>
      </c>
      <c r="J1032" s="1" t="s">
        <v>6146</v>
      </c>
      <c r="K1032" s="1" t="s">
        <v>6147</v>
      </c>
    </row>
    <row r="1033" spans="1:11" ht="12.75" customHeight="1" x14ac:dyDescent="0.2">
      <c r="A1033" s="1" t="s">
        <v>1357</v>
      </c>
      <c r="B1033" s="1" t="s">
        <v>1358</v>
      </c>
      <c r="C1033" s="2">
        <v>291</v>
      </c>
      <c r="D1033" s="2">
        <v>2328</v>
      </c>
      <c r="E1033" s="2">
        <v>0</v>
      </c>
      <c r="F1033" s="2">
        <v>144</v>
      </c>
      <c r="G1033" s="2">
        <v>22.381699999999999</v>
      </c>
      <c r="H1033" s="3">
        <v>6513.0747000000001</v>
      </c>
      <c r="I1033" s="1" t="s">
        <v>17</v>
      </c>
      <c r="J1033" s="1" t="s">
        <v>18</v>
      </c>
      <c r="K1033" s="1" t="s">
        <v>19</v>
      </c>
    </row>
    <row r="1034" spans="1:11" ht="12.75" customHeight="1" x14ac:dyDescent="0.2">
      <c r="A1034" s="1" t="s">
        <v>1359</v>
      </c>
      <c r="B1034" s="1" t="s">
        <v>1360</v>
      </c>
      <c r="C1034" s="2">
        <v>168</v>
      </c>
      <c r="D1034" s="2">
        <v>1512</v>
      </c>
      <c r="E1034" s="2">
        <v>0</v>
      </c>
      <c r="F1034" s="2">
        <v>0</v>
      </c>
      <c r="G1034" s="2">
        <v>29.691099999999999</v>
      </c>
      <c r="H1034" s="3">
        <v>4988.1048000000001</v>
      </c>
      <c r="I1034" s="1" t="s">
        <v>500</v>
      </c>
      <c r="J1034" s="1" t="s">
        <v>501</v>
      </c>
      <c r="K1034" s="1" t="s">
        <v>502</v>
      </c>
    </row>
    <row r="1035" spans="1:11" ht="12.75" customHeight="1" x14ac:dyDescent="0.2">
      <c r="A1035" s="1" t="s">
        <v>1361</v>
      </c>
      <c r="B1035" s="1" t="s">
        <v>1362</v>
      </c>
      <c r="C1035" s="2">
        <v>518</v>
      </c>
      <c r="D1035" s="2">
        <v>5180</v>
      </c>
      <c r="E1035" s="2">
        <v>0</v>
      </c>
      <c r="F1035" s="2">
        <v>0</v>
      </c>
      <c r="G1035" s="2">
        <v>14.8264</v>
      </c>
      <c r="H1035" s="3">
        <v>7680.0752000000002</v>
      </c>
      <c r="I1035" s="1" t="s">
        <v>500</v>
      </c>
      <c r="J1035" s="1" t="s">
        <v>501</v>
      </c>
      <c r="K1035" s="1" t="s">
        <v>502</v>
      </c>
    </row>
    <row r="1036" spans="1:11" ht="12.75" customHeight="1" x14ac:dyDescent="0.2">
      <c r="A1036" s="1" t="s">
        <v>1363</v>
      </c>
      <c r="B1036" s="1" t="s">
        <v>1364</v>
      </c>
      <c r="C1036" s="2">
        <v>259</v>
      </c>
      <c r="D1036" s="2">
        <v>3108</v>
      </c>
      <c r="E1036" s="2">
        <v>0</v>
      </c>
      <c r="F1036" s="2">
        <v>0</v>
      </c>
      <c r="G1036" s="2">
        <v>17.791699999999999</v>
      </c>
      <c r="H1036" s="3">
        <v>4608.0502999999999</v>
      </c>
      <c r="I1036" s="1" t="s">
        <v>500</v>
      </c>
      <c r="J1036" s="1" t="s">
        <v>501</v>
      </c>
      <c r="K1036" s="1" t="s">
        <v>502</v>
      </c>
    </row>
    <row r="1037" spans="1:11" ht="12.75" customHeight="1" x14ac:dyDescent="0.2">
      <c r="A1037" s="1" t="s">
        <v>1365</v>
      </c>
      <c r="B1037" s="1" t="s">
        <v>1366</v>
      </c>
      <c r="C1037" s="2">
        <v>259</v>
      </c>
      <c r="D1037" s="2">
        <v>3367</v>
      </c>
      <c r="E1037" s="2">
        <v>0</v>
      </c>
      <c r="F1037" s="2">
        <v>0</v>
      </c>
      <c r="G1037" s="2">
        <v>19.2743</v>
      </c>
      <c r="H1037" s="3">
        <v>4992.0437000000002</v>
      </c>
      <c r="I1037" s="1" t="s">
        <v>500</v>
      </c>
      <c r="J1037" s="1" t="s">
        <v>501</v>
      </c>
      <c r="K1037" s="1" t="s">
        <v>502</v>
      </c>
    </row>
    <row r="1038" spans="1:11" ht="12.75" customHeight="1" x14ac:dyDescent="0.2">
      <c r="A1038" s="1" t="s">
        <v>1367</v>
      </c>
      <c r="B1038" s="1" t="s">
        <v>1368</v>
      </c>
      <c r="C1038" s="2">
        <v>259</v>
      </c>
      <c r="D1038" s="2">
        <v>4144</v>
      </c>
      <c r="E1038" s="2">
        <v>0</v>
      </c>
      <c r="F1038" s="2">
        <v>0</v>
      </c>
      <c r="G1038" s="2">
        <v>23.722200000000001</v>
      </c>
      <c r="H1038" s="3">
        <v>6144.0497999999998</v>
      </c>
      <c r="I1038" s="1" t="s">
        <v>500</v>
      </c>
      <c r="J1038" s="1" t="s">
        <v>501</v>
      </c>
      <c r="K1038" s="1" t="s">
        <v>502</v>
      </c>
    </row>
    <row r="1039" spans="1:11" ht="12.75" customHeight="1" x14ac:dyDescent="0.2">
      <c r="A1039" s="1" t="s">
        <v>1369</v>
      </c>
      <c r="B1039" s="1" t="s">
        <v>1370</v>
      </c>
      <c r="C1039" s="2">
        <v>259</v>
      </c>
      <c r="D1039" s="2">
        <v>4662</v>
      </c>
      <c r="E1039" s="2">
        <v>0</v>
      </c>
      <c r="F1039" s="2">
        <v>0</v>
      </c>
      <c r="G1039" s="2">
        <v>26.6875</v>
      </c>
      <c r="H1039" s="3">
        <v>6912.0625</v>
      </c>
      <c r="I1039" s="1" t="s">
        <v>500</v>
      </c>
      <c r="J1039" s="1" t="s">
        <v>501</v>
      </c>
      <c r="K1039" s="1" t="s">
        <v>502</v>
      </c>
    </row>
    <row r="1040" spans="1:11" ht="12.75" customHeight="1" x14ac:dyDescent="0.2">
      <c r="A1040" s="1" t="s">
        <v>1371</v>
      </c>
      <c r="B1040" s="1" t="s">
        <v>1372</v>
      </c>
      <c r="C1040" s="2">
        <v>777</v>
      </c>
      <c r="D1040" s="2">
        <v>6216</v>
      </c>
      <c r="E1040" s="2">
        <v>0</v>
      </c>
      <c r="F1040" s="2">
        <v>0</v>
      </c>
      <c r="G1040" s="2">
        <v>11.8611</v>
      </c>
      <c r="H1040" s="3">
        <v>9216.0746999999992</v>
      </c>
      <c r="I1040" s="1" t="s">
        <v>500</v>
      </c>
      <c r="J1040" s="1" t="s">
        <v>501</v>
      </c>
      <c r="K1040" s="1" t="s">
        <v>502</v>
      </c>
    </row>
    <row r="1041" spans="1:11" ht="12.75" customHeight="1" x14ac:dyDescent="0.2">
      <c r="A1041" s="1" t="s">
        <v>1373</v>
      </c>
      <c r="B1041" s="1" t="s">
        <v>1374</v>
      </c>
      <c r="C1041" s="2">
        <v>777</v>
      </c>
      <c r="D1041" s="2">
        <v>6993</v>
      </c>
      <c r="E1041" s="2">
        <v>0</v>
      </c>
      <c r="F1041" s="2">
        <v>0</v>
      </c>
      <c r="G1041" s="2">
        <v>13.3437</v>
      </c>
      <c r="H1041" s="3">
        <v>10368.054899999999</v>
      </c>
      <c r="I1041" s="1" t="s">
        <v>500</v>
      </c>
      <c r="J1041" s="1" t="s">
        <v>501</v>
      </c>
      <c r="K1041" s="1" t="s">
        <v>502</v>
      </c>
    </row>
    <row r="1042" spans="1:11" ht="12.75" customHeight="1" x14ac:dyDescent="0.2">
      <c r="A1042" s="1" t="s">
        <v>1375</v>
      </c>
      <c r="B1042" s="1" t="s">
        <v>1376</v>
      </c>
      <c r="C1042" s="2">
        <v>33</v>
      </c>
      <c r="D1042" s="2">
        <v>330</v>
      </c>
      <c r="E1042" s="2">
        <v>0</v>
      </c>
      <c r="F1042" s="2">
        <v>0</v>
      </c>
      <c r="G1042" s="2">
        <v>16.525200000000002</v>
      </c>
      <c r="H1042" s="3">
        <v>545.33159999999998</v>
      </c>
      <c r="I1042" s="1" t="s">
        <v>17</v>
      </c>
      <c r="J1042" s="1" t="s">
        <v>18</v>
      </c>
      <c r="K1042" s="1" t="s">
        <v>19</v>
      </c>
    </row>
    <row r="1043" spans="1:11" ht="12.75" customHeight="1" x14ac:dyDescent="0.2">
      <c r="A1043" s="1" t="s">
        <v>1377</v>
      </c>
      <c r="B1043" s="1" t="s">
        <v>1378</v>
      </c>
      <c r="C1043" s="2">
        <v>23</v>
      </c>
      <c r="D1043" s="2">
        <v>276</v>
      </c>
      <c r="E1043" s="2">
        <v>0</v>
      </c>
      <c r="F1043" s="2">
        <v>0</v>
      </c>
      <c r="G1043" s="2">
        <v>19.830300000000001</v>
      </c>
      <c r="H1043" s="3">
        <v>456.09690000000001</v>
      </c>
      <c r="I1043" s="1" t="s">
        <v>17</v>
      </c>
      <c r="J1043" s="1" t="s">
        <v>18</v>
      </c>
      <c r="K1043" s="1" t="s">
        <v>19</v>
      </c>
    </row>
    <row r="1044" spans="1:11" ht="12.75" customHeight="1" x14ac:dyDescent="0.2">
      <c r="A1044" s="1" t="s">
        <v>1379</v>
      </c>
      <c r="B1044" s="1" t="s">
        <v>1380</v>
      </c>
      <c r="C1044" s="2">
        <v>5</v>
      </c>
      <c r="D1044" s="2">
        <v>75</v>
      </c>
      <c r="E1044" s="2">
        <v>0</v>
      </c>
      <c r="F1044" s="2">
        <v>0</v>
      </c>
      <c r="G1044" s="2">
        <v>24.7879</v>
      </c>
      <c r="H1044" s="3">
        <v>123.9395</v>
      </c>
      <c r="I1044" s="1" t="s">
        <v>17</v>
      </c>
      <c r="J1044" s="1" t="s">
        <v>18</v>
      </c>
      <c r="K1044" s="1" t="s">
        <v>19</v>
      </c>
    </row>
    <row r="1045" spans="1:11" ht="12.75" customHeight="1" x14ac:dyDescent="0.2">
      <c r="A1045" s="1" t="s">
        <v>1381</v>
      </c>
      <c r="B1045" s="1" t="s">
        <v>1382</v>
      </c>
      <c r="C1045" s="2">
        <v>2</v>
      </c>
      <c r="D1045" s="2">
        <v>12</v>
      </c>
      <c r="E1045" s="2">
        <v>0</v>
      </c>
      <c r="F1045" s="2">
        <v>0</v>
      </c>
      <c r="G1045" s="2">
        <v>9.9151000000000007</v>
      </c>
      <c r="H1045" s="3">
        <v>19.830200000000001</v>
      </c>
      <c r="I1045" s="1" t="s">
        <v>17</v>
      </c>
      <c r="J1045" s="1" t="s">
        <v>18</v>
      </c>
      <c r="K1045" s="1" t="s">
        <v>19</v>
      </c>
    </row>
    <row r="1046" spans="1:11" ht="12.75" customHeight="1" x14ac:dyDescent="0.2">
      <c r="A1046" s="1" t="s">
        <v>1383</v>
      </c>
      <c r="B1046" s="1" t="s">
        <v>1384</v>
      </c>
      <c r="C1046" s="2">
        <v>5</v>
      </c>
      <c r="D1046" s="2">
        <v>35</v>
      </c>
      <c r="E1046" s="2">
        <v>0</v>
      </c>
      <c r="F1046" s="2">
        <v>0</v>
      </c>
      <c r="G1046" s="2">
        <v>11.567600000000001</v>
      </c>
      <c r="H1046" s="3">
        <v>57.838000000000001</v>
      </c>
      <c r="I1046" s="1" t="s">
        <v>17</v>
      </c>
      <c r="J1046" s="1" t="s">
        <v>18</v>
      </c>
      <c r="K1046" s="1" t="s">
        <v>19</v>
      </c>
    </row>
    <row r="1047" spans="1:11" ht="12.75" customHeight="1" x14ac:dyDescent="0.2">
      <c r="A1047" s="1" t="s">
        <v>1385</v>
      </c>
      <c r="B1047" s="1" t="s">
        <v>1386</v>
      </c>
      <c r="C1047" s="2">
        <v>17</v>
      </c>
      <c r="D1047" s="2">
        <v>136</v>
      </c>
      <c r="E1047" s="2">
        <v>0</v>
      </c>
      <c r="F1047" s="2">
        <v>0</v>
      </c>
      <c r="G1047" s="2">
        <v>13.2202</v>
      </c>
      <c r="H1047" s="3">
        <v>224.74340000000001</v>
      </c>
      <c r="I1047" s="1" t="s">
        <v>17</v>
      </c>
      <c r="J1047" s="1" t="s">
        <v>18</v>
      </c>
      <c r="K1047" s="1" t="s">
        <v>19</v>
      </c>
    </row>
    <row r="1048" spans="1:11" ht="12.75" customHeight="1" x14ac:dyDescent="0.2">
      <c r="A1048" s="1" t="s">
        <v>1387</v>
      </c>
      <c r="B1048" s="1" t="s">
        <v>1388</v>
      </c>
      <c r="C1048" s="2">
        <v>700</v>
      </c>
      <c r="D1048" s="2">
        <v>7000</v>
      </c>
      <c r="E1048" s="2">
        <v>0</v>
      </c>
      <c r="F1048" s="2">
        <v>0</v>
      </c>
      <c r="G1048" s="2">
        <v>20.095600000000001</v>
      </c>
      <c r="H1048" s="3">
        <v>14066.92</v>
      </c>
      <c r="I1048" s="1" t="s">
        <v>24</v>
      </c>
      <c r="J1048" s="1" t="s">
        <v>25</v>
      </c>
      <c r="K1048" s="1" t="s">
        <v>26</v>
      </c>
    </row>
    <row r="1049" spans="1:11" ht="12.75" customHeight="1" x14ac:dyDescent="0.2">
      <c r="A1049" s="1" t="s">
        <v>1387</v>
      </c>
      <c r="B1049" s="1" t="s">
        <v>1388</v>
      </c>
      <c r="C1049" s="2">
        <v>294</v>
      </c>
      <c r="D1049" s="2">
        <v>2940</v>
      </c>
      <c r="E1049" s="2">
        <v>0</v>
      </c>
      <c r="F1049" s="2">
        <v>0</v>
      </c>
      <c r="G1049" s="2">
        <v>18.851900000000001</v>
      </c>
      <c r="H1049" s="3">
        <v>5542.4585999999999</v>
      </c>
      <c r="I1049" s="1" t="s">
        <v>613</v>
      </c>
      <c r="J1049" s="1" t="s">
        <v>614</v>
      </c>
      <c r="K1049" s="1" t="s">
        <v>615</v>
      </c>
    </row>
    <row r="1050" spans="1:11" ht="12.75" customHeight="1" x14ac:dyDescent="0.2">
      <c r="A1050" s="1" t="s">
        <v>5317</v>
      </c>
      <c r="B1050" s="1" t="s">
        <v>6249</v>
      </c>
      <c r="C1050" s="2">
        <v>336</v>
      </c>
      <c r="D1050" s="2">
        <v>4032</v>
      </c>
      <c r="E1050" s="2">
        <v>0</v>
      </c>
      <c r="F1050" s="2">
        <v>0</v>
      </c>
      <c r="G1050" s="2">
        <v>22.622299999999999</v>
      </c>
      <c r="H1050" s="3">
        <v>7601.0928000000004</v>
      </c>
      <c r="I1050" s="1" t="s">
        <v>613</v>
      </c>
      <c r="J1050" s="1" t="s">
        <v>614</v>
      </c>
      <c r="K1050" s="1" t="s">
        <v>615</v>
      </c>
    </row>
    <row r="1051" spans="1:11" ht="12.75" customHeight="1" x14ac:dyDescent="0.2">
      <c r="A1051" s="1" t="s">
        <v>1389</v>
      </c>
      <c r="B1051" s="1" t="s">
        <v>1390</v>
      </c>
      <c r="C1051" s="2">
        <v>700</v>
      </c>
      <c r="D1051" s="2">
        <v>9100</v>
      </c>
      <c r="E1051" s="2">
        <v>0</v>
      </c>
      <c r="F1051" s="2">
        <v>0</v>
      </c>
      <c r="G1051" s="2">
        <v>26.124300000000002</v>
      </c>
      <c r="H1051" s="3">
        <v>18287.009999999998</v>
      </c>
      <c r="I1051" s="1" t="s">
        <v>24</v>
      </c>
      <c r="J1051" s="1" t="s">
        <v>25</v>
      </c>
      <c r="K1051" s="1" t="s">
        <v>26</v>
      </c>
    </row>
    <row r="1052" spans="1:11" ht="12.75" customHeight="1" x14ac:dyDescent="0.2">
      <c r="A1052" s="1" t="s">
        <v>1389</v>
      </c>
      <c r="B1052" s="1" t="s">
        <v>1390</v>
      </c>
      <c r="C1052" s="2">
        <v>112</v>
      </c>
      <c r="D1052" s="2">
        <v>1456</v>
      </c>
      <c r="E1052" s="2">
        <v>0</v>
      </c>
      <c r="F1052" s="2">
        <v>0</v>
      </c>
      <c r="G1052" s="2">
        <v>24.507400000000001</v>
      </c>
      <c r="H1052" s="3">
        <v>2744.8287999999998</v>
      </c>
      <c r="I1052" s="1" t="s">
        <v>613</v>
      </c>
      <c r="J1052" s="1" t="s">
        <v>614</v>
      </c>
      <c r="K1052" s="1" t="s">
        <v>615</v>
      </c>
    </row>
    <row r="1053" spans="1:11" ht="12.75" customHeight="1" x14ac:dyDescent="0.2">
      <c r="A1053" s="1" t="s">
        <v>1391</v>
      </c>
      <c r="B1053" s="1" t="s">
        <v>1392</v>
      </c>
      <c r="C1053" s="2">
        <v>700</v>
      </c>
      <c r="D1053" s="2">
        <v>9800</v>
      </c>
      <c r="E1053" s="2">
        <v>0</v>
      </c>
      <c r="F1053" s="2">
        <v>0</v>
      </c>
      <c r="G1053" s="2">
        <v>28.133900000000001</v>
      </c>
      <c r="H1053" s="3">
        <v>19693.73</v>
      </c>
      <c r="I1053" s="1" t="s">
        <v>24</v>
      </c>
      <c r="J1053" s="1" t="s">
        <v>25</v>
      </c>
      <c r="K1053" s="1" t="s">
        <v>26</v>
      </c>
    </row>
    <row r="1054" spans="1:11" ht="12.75" customHeight="1" x14ac:dyDescent="0.2">
      <c r="A1054" s="1" t="s">
        <v>1391</v>
      </c>
      <c r="B1054" s="1" t="s">
        <v>1392</v>
      </c>
      <c r="C1054" s="2">
        <v>175</v>
      </c>
      <c r="D1054" s="2">
        <v>2450</v>
      </c>
      <c r="E1054" s="2">
        <v>0</v>
      </c>
      <c r="F1054" s="2">
        <v>0</v>
      </c>
      <c r="G1054" s="2">
        <v>26.392600000000002</v>
      </c>
      <c r="H1054" s="3">
        <v>4618.7049999999999</v>
      </c>
      <c r="I1054" s="1" t="s">
        <v>613</v>
      </c>
      <c r="J1054" s="1" t="s">
        <v>614</v>
      </c>
      <c r="K1054" s="1" t="s">
        <v>615</v>
      </c>
    </row>
    <row r="1055" spans="1:11" ht="12.75" customHeight="1" x14ac:dyDescent="0.2">
      <c r="A1055" s="1" t="s">
        <v>5318</v>
      </c>
      <c r="B1055" s="1" t="s">
        <v>6250</v>
      </c>
      <c r="C1055" s="2">
        <v>343</v>
      </c>
      <c r="D1055" s="2">
        <v>5145</v>
      </c>
      <c r="E1055" s="2">
        <v>0</v>
      </c>
      <c r="F1055" s="2">
        <v>0</v>
      </c>
      <c r="G1055" s="2">
        <v>28.277799999999999</v>
      </c>
      <c r="H1055" s="3">
        <v>9699.2854000000007</v>
      </c>
      <c r="I1055" s="1" t="s">
        <v>613</v>
      </c>
      <c r="J1055" s="1" t="s">
        <v>614</v>
      </c>
      <c r="K1055" s="1" t="s">
        <v>615</v>
      </c>
    </row>
    <row r="1056" spans="1:11" ht="12.75" customHeight="1" x14ac:dyDescent="0.2">
      <c r="A1056" s="1" t="s">
        <v>5319</v>
      </c>
      <c r="B1056" s="1" t="s">
        <v>6251</v>
      </c>
      <c r="C1056" s="2">
        <v>882</v>
      </c>
      <c r="D1056" s="2">
        <v>14112</v>
      </c>
      <c r="E1056" s="2">
        <v>0</v>
      </c>
      <c r="F1056" s="2">
        <v>0</v>
      </c>
      <c r="G1056" s="2">
        <v>30.163</v>
      </c>
      <c r="H1056" s="3">
        <v>26603.766</v>
      </c>
      <c r="I1056" s="1" t="s">
        <v>613</v>
      </c>
      <c r="J1056" s="1" t="s">
        <v>614</v>
      </c>
      <c r="K1056" s="1" t="s">
        <v>615</v>
      </c>
    </row>
    <row r="1057" spans="1:11" ht="12.75" customHeight="1" x14ac:dyDescent="0.2">
      <c r="A1057" s="1" t="s">
        <v>1393</v>
      </c>
      <c r="B1057" s="1" t="s">
        <v>1394</v>
      </c>
      <c r="C1057" s="2">
        <v>20</v>
      </c>
      <c r="D1057" s="2">
        <v>340</v>
      </c>
      <c r="E1057" s="2">
        <v>0</v>
      </c>
      <c r="F1057" s="2">
        <v>0</v>
      </c>
      <c r="G1057" s="2">
        <v>30.434999999999999</v>
      </c>
      <c r="H1057" s="3">
        <v>608.70000000000005</v>
      </c>
      <c r="I1057" s="1" t="s">
        <v>17</v>
      </c>
      <c r="J1057" s="1" t="s">
        <v>18</v>
      </c>
      <c r="K1057" s="1" t="s">
        <v>19</v>
      </c>
    </row>
    <row r="1058" spans="1:11" ht="12.75" customHeight="1" x14ac:dyDescent="0.2">
      <c r="A1058" s="1" t="s">
        <v>1393</v>
      </c>
      <c r="B1058" s="1" t="s">
        <v>1394</v>
      </c>
      <c r="C1058" s="2">
        <v>413</v>
      </c>
      <c r="D1058" s="2">
        <v>7021</v>
      </c>
      <c r="E1058" s="2">
        <v>0</v>
      </c>
      <c r="F1058" s="2">
        <v>0</v>
      </c>
      <c r="G1058" s="2">
        <v>32.048200000000001</v>
      </c>
      <c r="H1058" s="3">
        <v>13235.9066</v>
      </c>
      <c r="I1058" s="1" t="s">
        <v>613</v>
      </c>
      <c r="J1058" s="1" t="s">
        <v>614</v>
      </c>
      <c r="K1058" s="1" t="s">
        <v>615</v>
      </c>
    </row>
    <row r="1059" spans="1:11" ht="12.75" customHeight="1" x14ac:dyDescent="0.2">
      <c r="A1059" s="1" t="s">
        <v>5320</v>
      </c>
      <c r="B1059" s="1" t="s">
        <v>6252</v>
      </c>
      <c r="C1059" s="2">
        <v>266</v>
      </c>
      <c r="D1059" s="2">
        <v>4788</v>
      </c>
      <c r="E1059" s="2">
        <v>0</v>
      </c>
      <c r="F1059" s="2">
        <v>0</v>
      </c>
      <c r="G1059" s="2">
        <v>33.933399999999999</v>
      </c>
      <c r="H1059" s="3">
        <v>9026.2844000000005</v>
      </c>
      <c r="I1059" s="1" t="s">
        <v>613</v>
      </c>
      <c r="J1059" s="1" t="s">
        <v>614</v>
      </c>
      <c r="K1059" s="1" t="s">
        <v>615</v>
      </c>
    </row>
    <row r="1060" spans="1:11" ht="12.75" customHeight="1" x14ac:dyDescent="0.2">
      <c r="A1060" s="1" t="s">
        <v>1395</v>
      </c>
      <c r="B1060" s="1" t="s">
        <v>1396</v>
      </c>
      <c r="C1060" s="2">
        <v>700</v>
      </c>
      <c r="D1060" s="2">
        <v>5600</v>
      </c>
      <c r="E1060" s="2">
        <v>0</v>
      </c>
      <c r="F1060" s="2">
        <v>0</v>
      </c>
      <c r="G1060" s="2">
        <v>16.076499999999999</v>
      </c>
      <c r="H1060" s="3">
        <v>11253.55</v>
      </c>
      <c r="I1060" s="1" t="s">
        <v>24</v>
      </c>
      <c r="J1060" s="1" t="s">
        <v>25</v>
      </c>
      <c r="K1060" s="1" t="s">
        <v>26</v>
      </c>
    </row>
    <row r="1061" spans="1:11" ht="12.75" customHeight="1" x14ac:dyDescent="0.2">
      <c r="A1061" s="1" t="s">
        <v>1397</v>
      </c>
      <c r="B1061" s="1" t="s">
        <v>1398</v>
      </c>
      <c r="C1061" s="2">
        <v>310</v>
      </c>
      <c r="D1061" s="2">
        <v>3100</v>
      </c>
      <c r="E1061" s="2">
        <v>0</v>
      </c>
      <c r="F1061" s="2">
        <v>0</v>
      </c>
      <c r="G1061" s="2">
        <v>36.861800000000002</v>
      </c>
      <c r="H1061" s="3">
        <v>11427.157999999999</v>
      </c>
      <c r="I1061" s="1" t="s">
        <v>17</v>
      </c>
      <c r="J1061" s="1" t="s">
        <v>18</v>
      </c>
      <c r="K1061" s="1" t="s">
        <v>19</v>
      </c>
    </row>
    <row r="1062" spans="1:11" ht="12.75" customHeight="1" x14ac:dyDescent="0.2">
      <c r="A1062" s="1" t="s">
        <v>1399</v>
      </c>
      <c r="B1062" s="1" t="s">
        <v>1400</v>
      </c>
      <c r="C1062" s="2">
        <v>39</v>
      </c>
      <c r="D1062" s="2">
        <v>429</v>
      </c>
      <c r="E1062" s="2">
        <v>0</v>
      </c>
      <c r="F1062" s="2">
        <v>0</v>
      </c>
      <c r="G1062" s="2">
        <v>36.770000000000003</v>
      </c>
      <c r="H1062" s="3">
        <v>1434.03</v>
      </c>
      <c r="I1062" s="1" t="s">
        <v>17</v>
      </c>
      <c r="J1062" s="1" t="s">
        <v>18</v>
      </c>
      <c r="K1062" s="1" t="s">
        <v>19</v>
      </c>
    </row>
    <row r="1063" spans="1:11" ht="12.75" customHeight="1" x14ac:dyDescent="0.2">
      <c r="A1063" s="1" t="s">
        <v>1401</v>
      </c>
      <c r="B1063" s="1" t="s">
        <v>1402</v>
      </c>
      <c r="C1063" s="2">
        <v>112</v>
      </c>
      <c r="D1063" s="2">
        <v>1456</v>
      </c>
      <c r="E1063" s="2">
        <v>0</v>
      </c>
      <c r="F1063" s="2">
        <v>0</v>
      </c>
      <c r="G1063" s="2">
        <v>43.48</v>
      </c>
      <c r="H1063" s="3">
        <v>4869.76</v>
      </c>
      <c r="I1063" s="1" t="s">
        <v>17</v>
      </c>
      <c r="J1063" s="1" t="s">
        <v>18</v>
      </c>
      <c r="K1063" s="1" t="s">
        <v>19</v>
      </c>
    </row>
    <row r="1064" spans="1:11" ht="12.75" customHeight="1" x14ac:dyDescent="0.2">
      <c r="A1064" s="1" t="s">
        <v>1403</v>
      </c>
      <c r="B1064" s="1" t="s">
        <v>1404</v>
      </c>
      <c r="C1064" s="2">
        <v>10</v>
      </c>
      <c r="D1064" s="2">
        <v>140</v>
      </c>
      <c r="E1064" s="2">
        <v>0</v>
      </c>
      <c r="F1064" s="2">
        <v>0</v>
      </c>
      <c r="G1064" s="2">
        <v>62.2027</v>
      </c>
      <c r="H1064" s="3">
        <v>622.02700000000004</v>
      </c>
      <c r="I1064" s="1" t="s">
        <v>17</v>
      </c>
      <c r="J1064" s="1" t="s">
        <v>18</v>
      </c>
      <c r="K1064" s="1" t="s">
        <v>19</v>
      </c>
    </row>
    <row r="1065" spans="1:11" ht="12.75" customHeight="1" x14ac:dyDescent="0.2">
      <c r="A1065" s="1" t="s">
        <v>1405</v>
      </c>
      <c r="B1065" s="1" t="s">
        <v>1406</v>
      </c>
      <c r="C1065" s="2">
        <v>42</v>
      </c>
      <c r="D1065" s="2">
        <v>168</v>
      </c>
      <c r="E1065" s="2">
        <v>0</v>
      </c>
      <c r="F1065" s="2">
        <v>0</v>
      </c>
      <c r="G1065" s="2">
        <v>22.64</v>
      </c>
      <c r="H1065" s="3">
        <v>950.88</v>
      </c>
      <c r="I1065" s="1" t="s">
        <v>454</v>
      </c>
      <c r="J1065" s="1" t="s">
        <v>455</v>
      </c>
      <c r="K1065" s="1" t="s">
        <v>456</v>
      </c>
    </row>
    <row r="1066" spans="1:11" ht="12.75" customHeight="1" x14ac:dyDescent="0.2">
      <c r="A1066" s="1" t="s">
        <v>1407</v>
      </c>
      <c r="B1066" s="1" t="s">
        <v>1408</v>
      </c>
      <c r="C1066" s="2">
        <v>42</v>
      </c>
      <c r="D1066" s="2">
        <v>210</v>
      </c>
      <c r="E1066" s="2">
        <v>0</v>
      </c>
      <c r="F1066" s="2">
        <v>0</v>
      </c>
      <c r="G1066" s="2">
        <v>28.3</v>
      </c>
      <c r="H1066" s="3">
        <v>1188.5999999999999</v>
      </c>
      <c r="I1066" s="1" t="s">
        <v>454</v>
      </c>
      <c r="J1066" s="1" t="s">
        <v>455</v>
      </c>
      <c r="K1066" s="1" t="s">
        <v>456</v>
      </c>
    </row>
    <row r="1067" spans="1:11" ht="12.75" customHeight="1" x14ac:dyDescent="0.2">
      <c r="A1067" s="1" t="s">
        <v>1409</v>
      </c>
      <c r="B1067" s="1" t="s">
        <v>1410</v>
      </c>
      <c r="C1067" s="2">
        <v>49</v>
      </c>
      <c r="D1067" s="2">
        <v>294</v>
      </c>
      <c r="E1067" s="2">
        <v>0</v>
      </c>
      <c r="F1067" s="2">
        <v>0</v>
      </c>
      <c r="G1067" s="2">
        <v>33.96</v>
      </c>
      <c r="H1067" s="3">
        <v>1664.04</v>
      </c>
      <c r="I1067" s="1" t="s">
        <v>454</v>
      </c>
      <c r="J1067" s="1" t="s">
        <v>455</v>
      </c>
      <c r="K1067" s="1" t="s">
        <v>456</v>
      </c>
    </row>
    <row r="1068" spans="1:11" ht="12.75" customHeight="1" x14ac:dyDescent="0.2">
      <c r="A1068" s="1" t="s">
        <v>1411</v>
      </c>
      <c r="B1068" s="1" t="s">
        <v>1412</v>
      </c>
      <c r="C1068" s="2">
        <v>188</v>
      </c>
      <c r="D1068" s="2">
        <v>1316</v>
      </c>
      <c r="E1068" s="2">
        <v>0</v>
      </c>
      <c r="F1068" s="2">
        <v>0</v>
      </c>
      <c r="G1068" s="2">
        <v>25.529399999999999</v>
      </c>
      <c r="H1068" s="3">
        <v>4799.5272000000004</v>
      </c>
      <c r="I1068" s="1" t="s">
        <v>17</v>
      </c>
      <c r="J1068" s="1" t="s">
        <v>18</v>
      </c>
      <c r="K1068" s="1" t="s">
        <v>19</v>
      </c>
    </row>
    <row r="1069" spans="1:11" ht="12.75" customHeight="1" x14ac:dyDescent="0.2">
      <c r="A1069" s="1" t="s">
        <v>1411</v>
      </c>
      <c r="B1069" s="1" t="s">
        <v>1412</v>
      </c>
      <c r="C1069" s="2">
        <v>147</v>
      </c>
      <c r="D1069" s="2">
        <v>1029</v>
      </c>
      <c r="E1069" s="2">
        <v>0</v>
      </c>
      <c r="F1069" s="2">
        <v>0</v>
      </c>
      <c r="G1069" s="2">
        <v>40.697299999999998</v>
      </c>
      <c r="H1069" s="3">
        <v>5982.5030999999999</v>
      </c>
      <c r="I1069" s="1" t="s">
        <v>454</v>
      </c>
      <c r="J1069" s="1" t="s">
        <v>455</v>
      </c>
      <c r="K1069" s="1" t="s">
        <v>456</v>
      </c>
    </row>
    <row r="1070" spans="1:11" ht="12.75" customHeight="1" x14ac:dyDescent="0.2">
      <c r="A1070" s="1" t="s">
        <v>1413</v>
      </c>
      <c r="B1070" s="1" t="s">
        <v>1414</v>
      </c>
      <c r="C1070" s="2">
        <v>392</v>
      </c>
      <c r="D1070" s="2">
        <v>3136</v>
      </c>
      <c r="E1070" s="2">
        <v>0</v>
      </c>
      <c r="F1070" s="2">
        <v>0</v>
      </c>
      <c r="G1070" s="2">
        <v>29.262699999999999</v>
      </c>
      <c r="H1070" s="3">
        <v>11470.9784</v>
      </c>
      <c r="I1070" s="1" t="s">
        <v>17</v>
      </c>
      <c r="J1070" s="1" t="s">
        <v>18</v>
      </c>
      <c r="K1070" s="1" t="s">
        <v>19</v>
      </c>
    </row>
    <row r="1071" spans="1:11" ht="12.75" customHeight="1" x14ac:dyDescent="0.2">
      <c r="A1071" s="1" t="s">
        <v>1415</v>
      </c>
      <c r="B1071" s="1" t="s">
        <v>1416</v>
      </c>
      <c r="C1071" s="2">
        <v>207</v>
      </c>
      <c r="D1071" s="2">
        <v>1863</v>
      </c>
      <c r="E1071" s="2">
        <v>0</v>
      </c>
      <c r="F1071" s="2">
        <v>0</v>
      </c>
      <c r="G1071" s="2">
        <v>33.518999999999998</v>
      </c>
      <c r="H1071" s="3">
        <v>6938.433</v>
      </c>
      <c r="I1071" s="1" t="s">
        <v>17</v>
      </c>
      <c r="J1071" s="1" t="s">
        <v>18</v>
      </c>
      <c r="K1071" s="1" t="s">
        <v>19</v>
      </c>
    </row>
    <row r="1072" spans="1:11" ht="12.75" customHeight="1" x14ac:dyDescent="0.2">
      <c r="A1072" s="1" t="s">
        <v>1415</v>
      </c>
      <c r="B1072" s="1" t="s">
        <v>1416</v>
      </c>
      <c r="C1072" s="2">
        <v>63</v>
      </c>
      <c r="D1072" s="2">
        <v>567</v>
      </c>
      <c r="E1072" s="2">
        <v>0</v>
      </c>
      <c r="F1072" s="2">
        <v>0</v>
      </c>
      <c r="G1072" s="2">
        <v>52.269399999999997</v>
      </c>
      <c r="H1072" s="3">
        <v>3292.9722000000002</v>
      </c>
      <c r="I1072" s="1" t="s">
        <v>454</v>
      </c>
      <c r="J1072" s="1" t="s">
        <v>455</v>
      </c>
      <c r="K1072" s="1" t="s">
        <v>456</v>
      </c>
    </row>
    <row r="1073" spans="1:11" ht="12.75" customHeight="1" x14ac:dyDescent="0.2">
      <c r="A1073" s="1" t="s">
        <v>1417</v>
      </c>
      <c r="B1073" s="1" t="s">
        <v>1418</v>
      </c>
      <c r="C1073" s="2">
        <v>252</v>
      </c>
      <c r="D1073" s="2">
        <v>1764</v>
      </c>
      <c r="E1073" s="2">
        <v>0</v>
      </c>
      <c r="F1073" s="2">
        <v>0</v>
      </c>
      <c r="G1073" s="2">
        <v>31.182099999999998</v>
      </c>
      <c r="H1073" s="3">
        <v>7857.8891999999996</v>
      </c>
      <c r="I1073" s="1" t="s">
        <v>125</v>
      </c>
      <c r="J1073" s="1" t="s">
        <v>126</v>
      </c>
      <c r="K1073" s="1" t="s">
        <v>127</v>
      </c>
    </row>
    <row r="1074" spans="1:11" ht="12.75" customHeight="1" x14ac:dyDescent="0.2">
      <c r="A1074" s="1" t="s">
        <v>1419</v>
      </c>
      <c r="B1074" s="1" t="s">
        <v>1420</v>
      </c>
      <c r="C1074" s="2">
        <v>145</v>
      </c>
      <c r="D1074" s="2">
        <v>1160</v>
      </c>
      <c r="E1074" s="2">
        <v>0</v>
      </c>
      <c r="F1074" s="2">
        <v>0</v>
      </c>
      <c r="G1074" s="2">
        <v>35.636699999999998</v>
      </c>
      <c r="H1074" s="3">
        <v>5167.3215</v>
      </c>
      <c r="I1074" s="1" t="s">
        <v>125</v>
      </c>
      <c r="J1074" s="1" t="s">
        <v>126</v>
      </c>
      <c r="K1074" s="1" t="s">
        <v>127</v>
      </c>
    </row>
    <row r="1075" spans="1:11" ht="12.75" customHeight="1" x14ac:dyDescent="0.2">
      <c r="A1075" s="1" t="s">
        <v>1421</v>
      </c>
      <c r="B1075" s="1" t="s">
        <v>1422</v>
      </c>
      <c r="C1075" s="2">
        <v>352</v>
      </c>
      <c r="D1075" s="2">
        <v>3520</v>
      </c>
      <c r="E1075" s="2">
        <v>0</v>
      </c>
      <c r="F1075" s="2">
        <v>50</v>
      </c>
      <c r="G1075" s="2">
        <v>17.0566</v>
      </c>
      <c r="H1075" s="3">
        <v>6003.9232000000002</v>
      </c>
      <c r="I1075" s="1" t="s">
        <v>17</v>
      </c>
      <c r="J1075" s="1" t="s">
        <v>18</v>
      </c>
      <c r="K1075" s="1" t="s">
        <v>19</v>
      </c>
    </row>
    <row r="1076" spans="1:11" ht="12.75" customHeight="1" x14ac:dyDescent="0.2">
      <c r="A1076" s="1" t="s">
        <v>1421</v>
      </c>
      <c r="B1076" s="1" t="s">
        <v>1422</v>
      </c>
      <c r="C1076" s="2">
        <v>1275</v>
      </c>
      <c r="D1076" s="2">
        <v>12750</v>
      </c>
      <c r="E1076" s="2">
        <v>0</v>
      </c>
      <c r="F1076" s="2">
        <v>84</v>
      </c>
      <c r="G1076" s="2">
        <v>17.049399999999999</v>
      </c>
      <c r="H1076" s="3">
        <v>21737.985000000001</v>
      </c>
      <c r="I1076" s="1" t="s">
        <v>24</v>
      </c>
      <c r="J1076" s="1" t="s">
        <v>25</v>
      </c>
      <c r="K1076" s="1" t="s">
        <v>26</v>
      </c>
    </row>
    <row r="1077" spans="1:11" ht="12.75" customHeight="1" x14ac:dyDescent="0.2">
      <c r="A1077" s="1" t="s">
        <v>1421</v>
      </c>
      <c r="B1077" s="1" t="s">
        <v>1422</v>
      </c>
      <c r="C1077" s="2">
        <v>1572</v>
      </c>
      <c r="D1077" s="2">
        <v>15720</v>
      </c>
      <c r="E1077" s="2">
        <v>0</v>
      </c>
      <c r="F1077" s="2">
        <v>0</v>
      </c>
      <c r="G1077" s="2">
        <v>17.0566</v>
      </c>
      <c r="H1077" s="3">
        <v>26812.975200000001</v>
      </c>
      <c r="I1077" s="1" t="s">
        <v>125</v>
      </c>
      <c r="J1077" s="1" t="s">
        <v>126</v>
      </c>
      <c r="K1077" s="1" t="s">
        <v>127</v>
      </c>
    </row>
    <row r="1078" spans="1:11" ht="12.75" customHeight="1" x14ac:dyDescent="0.2">
      <c r="A1078" s="1" t="s">
        <v>1423</v>
      </c>
      <c r="B1078" s="1" t="s">
        <v>1424</v>
      </c>
      <c r="C1078" s="2">
        <v>721</v>
      </c>
      <c r="D1078" s="2">
        <v>7931</v>
      </c>
      <c r="E1078" s="2">
        <v>0</v>
      </c>
      <c r="F1078" s="2">
        <v>56</v>
      </c>
      <c r="G1078" s="2">
        <v>18.7623</v>
      </c>
      <c r="H1078" s="3">
        <v>13527.6183</v>
      </c>
      <c r="I1078" s="1" t="s">
        <v>17</v>
      </c>
      <c r="J1078" s="1" t="s">
        <v>18</v>
      </c>
      <c r="K1078" s="1" t="s">
        <v>19</v>
      </c>
    </row>
    <row r="1079" spans="1:11" ht="12.75" customHeight="1" x14ac:dyDescent="0.2">
      <c r="A1079" s="1" t="s">
        <v>1423</v>
      </c>
      <c r="B1079" s="1" t="s">
        <v>1424</v>
      </c>
      <c r="C1079" s="2">
        <v>245</v>
      </c>
      <c r="D1079" s="2">
        <v>2695</v>
      </c>
      <c r="E1079" s="2">
        <v>0</v>
      </c>
      <c r="F1079" s="2">
        <v>0</v>
      </c>
      <c r="G1079" s="2">
        <v>18.754100000000001</v>
      </c>
      <c r="H1079" s="3">
        <v>4594.7545</v>
      </c>
      <c r="I1079" s="1" t="s">
        <v>24</v>
      </c>
      <c r="J1079" s="1" t="s">
        <v>25</v>
      </c>
      <c r="K1079" s="1" t="s">
        <v>26</v>
      </c>
    </row>
    <row r="1080" spans="1:11" ht="12.75" customHeight="1" x14ac:dyDescent="0.2">
      <c r="A1080" s="1" t="s">
        <v>1423</v>
      </c>
      <c r="B1080" s="1" t="s">
        <v>1424</v>
      </c>
      <c r="C1080" s="2">
        <v>802</v>
      </c>
      <c r="D1080" s="2">
        <v>8822</v>
      </c>
      <c r="E1080" s="2">
        <v>0</v>
      </c>
      <c r="F1080" s="2">
        <v>557</v>
      </c>
      <c r="G1080" s="2">
        <v>18.7623</v>
      </c>
      <c r="H1080" s="3">
        <v>15047.364600000001</v>
      </c>
      <c r="I1080" s="1" t="s">
        <v>125</v>
      </c>
      <c r="J1080" s="1" t="s">
        <v>126</v>
      </c>
      <c r="K1080" s="1" t="s">
        <v>127</v>
      </c>
    </row>
    <row r="1081" spans="1:11" ht="12.75" customHeight="1" x14ac:dyDescent="0.2">
      <c r="A1081" s="1" t="s">
        <v>1425</v>
      </c>
      <c r="B1081" s="1" t="s">
        <v>1426</v>
      </c>
      <c r="C1081" s="2">
        <v>511</v>
      </c>
      <c r="D1081" s="2">
        <v>6132</v>
      </c>
      <c r="E1081" s="2">
        <v>0</v>
      </c>
      <c r="F1081" s="2">
        <v>56</v>
      </c>
      <c r="G1081" s="2">
        <v>20.468</v>
      </c>
      <c r="H1081" s="3">
        <v>10459.147999999999</v>
      </c>
      <c r="I1081" s="1" t="s">
        <v>17</v>
      </c>
      <c r="J1081" s="1" t="s">
        <v>18</v>
      </c>
      <c r="K1081" s="1" t="s">
        <v>19</v>
      </c>
    </row>
    <row r="1082" spans="1:11" ht="12.75" customHeight="1" x14ac:dyDescent="0.2">
      <c r="A1082" s="1" t="s">
        <v>1425</v>
      </c>
      <c r="B1082" s="1" t="s">
        <v>1426</v>
      </c>
      <c r="C1082" s="2">
        <v>1130</v>
      </c>
      <c r="D1082" s="2">
        <v>13560</v>
      </c>
      <c r="E1082" s="2">
        <v>0</v>
      </c>
      <c r="F1082" s="2">
        <v>0</v>
      </c>
      <c r="G1082" s="2">
        <v>20.468</v>
      </c>
      <c r="H1082" s="3">
        <v>23128.84</v>
      </c>
      <c r="I1082" s="1" t="s">
        <v>125</v>
      </c>
      <c r="J1082" s="1" t="s">
        <v>126</v>
      </c>
      <c r="K1082" s="1" t="s">
        <v>127</v>
      </c>
    </row>
    <row r="1083" spans="1:11" ht="12.75" customHeight="1" x14ac:dyDescent="0.2">
      <c r="A1083" s="1" t="s">
        <v>1427</v>
      </c>
      <c r="B1083" s="1" t="s">
        <v>1428</v>
      </c>
      <c r="C1083" s="2">
        <v>187</v>
      </c>
      <c r="D1083" s="2">
        <v>2431</v>
      </c>
      <c r="E1083" s="2">
        <v>0</v>
      </c>
      <c r="F1083" s="2">
        <v>54</v>
      </c>
      <c r="G1083" s="2">
        <v>22.1736</v>
      </c>
      <c r="H1083" s="3">
        <v>4146.4632000000001</v>
      </c>
      <c r="I1083" s="1" t="s">
        <v>17</v>
      </c>
      <c r="J1083" s="1" t="s">
        <v>18</v>
      </c>
      <c r="K1083" s="1" t="s">
        <v>19</v>
      </c>
    </row>
    <row r="1084" spans="1:11" ht="12.75" customHeight="1" x14ac:dyDescent="0.2">
      <c r="A1084" s="1" t="s">
        <v>1427</v>
      </c>
      <c r="B1084" s="1" t="s">
        <v>1428</v>
      </c>
      <c r="C1084" s="2">
        <v>665</v>
      </c>
      <c r="D1084" s="2">
        <v>8645</v>
      </c>
      <c r="E1084" s="2">
        <v>0</v>
      </c>
      <c r="F1084" s="2">
        <v>84</v>
      </c>
      <c r="G1084" s="2">
        <v>22.163900000000002</v>
      </c>
      <c r="H1084" s="3">
        <v>14738.9935</v>
      </c>
      <c r="I1084" s="1" t="s">
        <v>24</v>
      </c>
      <c r="J1084" s="1" t="s">
        <v>25</v>
      </c>
      <c r="K1084" s="1" t="s">
        <v>26</v>
      </c>
    </row>
    <row r="1085" spans="1:11" ht="12.75" customHeight="1" x14ac:dyDescent="0.2">
      <c r="A1085" s="1" t="s">
        <v>1427</v>
      </c>
      <c r="B1085" s="1" t="s">
        <v>1428</v>
      </c>
      <c r="C1085" s="2">
        <v>798</v>
      </c>
      <c r="D1085" s="2">
        <v>10374</v>
      </c>
      <c r="E1085" s="2">
        <v>0</v>
      </c>
      <c r="F1085" s="2">
        <v>770</v>
      </c>
      <c r="G1085" s="2">
        <v>22.1736</v>
      </c>
      <c r="H1085" s="3">
        <v>17694.532800000001</v>
      </c>
      <c r="I1085" s="1" t="s">
        <v>125</v>
      </c>
      <c r="J1085" s="1" t="s">
        <v>126</v>
      </c>
      <c r="K1085" s="1" t="s">
        <v>127</v>
      </c>
    </row>
    <row r="1086" spans="1:11" ht="12.75" customHeight="1" x14ac:dyDescent="0.2">
      <c r="A1086" s="1" t="s">
        <v>1429</v>
      </c>
      <c r="B1086" s="1" t="s">
        <v>1430</v>
      </c>
      <c r="C1086" s="2">
        <v>146</v>
      </c>
      <c r="D1086" s="2">
        <v>2044</v>
      </c>
      <c r="E1086" s="2">
        <v>0</v>
      </c>
      <c r="F1086" s="2">
        <v>56</v>
      </c>
      <c r="G1086" s="2">
        <v>23.879300000000001</v>
      </c>
      <c r="H1086" s="3">
        <v>3486.3778000000002</v>
      </c>
      <c r="I1086" s="1" t="s">
        <v>17</v>
      </c>
      <c r="J1086" s="1" t="s">
        <v>18</v>
      </c>
      <c r="K1086" s="1" t="s">
        <v>19</v>
      </c>
    </row>
    <row r="1087" spans="1:11" ht="12.75" customHeight="1" x14ac:dyDescent="0.2">
      <c r="A1087" s="1" t="s">
        <v>1429</v>
      </c>
      <c r="B1087" s="1" t="s">
        <v>1430</v>
      </c>
      <c r="C1087" s="2">
        <v>1243</v>
      </c>
      <c r="D1087" s="2">
        <v>17402</v>
      </c>
      <c r="E1087" s="2">
        <v>0</v>
      </c>
      <c r="F1087" s="2">
        <v>1026</v>
      </c>
      <c r="G1087" s="2">
        <v>23.879300000000001</v>
      </c>
      <c r="H1087" s="3">
        <v>29681.9699</v>
      </c>
      <c r="I1087" s="1" t="s">
        <v>125</v>
      </c>
      <c r="J1087" s="1" t="s">
        <v>126</v>
      </c>
      <c r="K1087" s="1" t="s">
        <v>127</v>
      </c>
    </row>
    <row r="1088" spans="1:11" ht="12.75" customHeight="1" x14ac:dyDescent="0.2">
      <c r="A1088" s="1" t="s">
        <v>1431</v>
      </c>
      <c r="B1088" s="1" t="s">
        <v>1432</v>
      </c>
      <c r="C1088" s="2">
        <v>110</v>
      </c>
      <c r="D1088" s="2">
        <v>1650</v>
      </c>
      <c r="E1088" s="2">
        <v>0</v>
      </c>
      <c r="F1088" s="2">
        <v>0</v>
      </c>
      <c r="G1088" s="2">
        <v>25.585000000000001</v>
      </c>
      <c r="H1088" s="3">
        <v>2814.35</v>
      </c>
      <c r="I1088" s="1" t="s">
        <v>17</v>
      </c>
      <c r="J1088" s="1" t="s">
        <v>18</v>
      </c>
      <c r="K1088" s="1" t="s">
        <v>19</v>
      </c>
    </row>
    <row r="1089" spans="1:11" ht="12.75" customHeight="1" x14ac:dyDescent="0.2">
      <c r="A1089" s="1" t="s">
        <v>1431</v>
      </c>
      <c r="B1089" s="1" t="s">
        <v>1432</v>
      </c>
      <c r="C1089" s="2">
        <v>224</v>
      </c>
      <c r="D1089" s="2">
        <v>3360</v>
      </c>
      <c r="E1089" s="2">
        <v>0</v>
      </c>
      <c r="F1089" s="2">
        <v>0</v>
      </c>
      <c r="G1089" s="2">
        <v>25.573699999999999</v>
      </c>
      <c r="H1089" s="3">
        <v>5728.5087999999996</v>
      </c>
      <c r="I1089" s="1" t="s">
        <v>24</v>
      </c>
      <c r="J1089" s="1" t="s">
        <v>25</v>
      </c>
      <c r="K1089" s="1" t="s">
        <v>26</v>
      </c>
    </row>
    <row r="1090" spans="1:11" ht="12.75" customHeight="1" x14ac:dyDescent="0.2">
      <c r="A1090" s="1" t="s">
        <v>1431</v>
      </c>
      <c r="B1090" s="1" t="s">
        <v>1432</v>
      </c>
      <c r="C1090" s="2">
        <v>371</v>
      </c>
      <c r="D1090" s="2">
        <v>5565</v>
      </c>
      <c r="E1090" s="2">
        <v>0</v>
      </c>
      <c r="F1090" s="2">
        <v>161</v>
      </c>
      <c r="G1090" s="2">
        <v>25.585000000000001</v>
      </c>
      <c r="H1090" s="3">
        <v>9492.0349999999999</v>
      </c>
      <c r="I1090" s="1" t="s">
        <v>125</v>
      </c>
      <c r="J1090" s="1" t="s">
        <v>126</v>
      </c>
      <c r="K1090" s="1" t="s">
        <v>127</v>
      </c>
    </row>
    <row r="1091" spans="1:11" ht="12.75" customHeight="1" x14ac:dyDescent="0.2">
      <c r="A1091" s="1" t="s">
        <v>1433</v>
      </c>
      <c r="B1091" s="1" t="s">
        <v>1434</v>
      </c>
      <c r="C1091" s="2">
        <v>299</v>
      </c>
      <c r="D1091" s="2">
        <v>4784</v>
      </c>
      <c r="E1091" s="2">
        <v>0</v>
      </c>
      <c r="F1091" s="2">
        <v>49</v>
      </c>
      <c r="G1091" s="2">
        <v>27.290600000000001</v>
      </c>
      <c r="H1091" s="3">
        <v>8159.8894</v>
      </c>
      <c r="I1091" s="1" t="s">
        <v>17</v>
      </c>
      <c r="J1091" s="1" t="s">
        <v>18</v>
      </c>
      <c r="K1091" s="1" t="s">
        <v>19</v>
      </c>
    </row>
    <row r="1092" spans="1:11" ht="12.75" customHeight="1" x14ac:dyDescent="0.2">
      <c r="A1092" s="1" t="s">
        <v>1433</v>
      </c>
      <c r="B1092" s="1" t="s">
        <v>1434</v>
      </c>
      <c r="C1092" s="2">
        <v>468</v>
      </c>
      <c r="D1092" s="2">
        <v>7488</v>
      </c>
      <c r="E1092" s="2">
        <v>0</v>
      </c>
      <c r="F1092" s="2">
        <v>0</v>
      </c>
      <c r="G1092" s="2">
        <v>27.278700000000001</v>
      </c>
      <c r="H1092" s="3">
        <v>12766.4316</v>
      </c>
      <c r="I1092" s="1" t="s">
        <v>24</v>
      </c>
      <c r="J1092" s="1" t="s">
        <v>25</v>
      </c>
      <c r="K1092" s="1" t="s">
        <v>26</v>
      </c>
    </row>
    <row r="1093" spans="1:11" ht="12.75" customHeight="1" x14ac:dyDescent="0.2">
      <c r="A1093" s="1" t="s">
        <v>1435</v>
      </c>
      <c r="B1093" s="1" t="s">
        <v>1436</v>
      </c>
      <c r="C1093" s="2">
        <v>690</v>
      </c>
      <c r="D1093" s="2">
        <v>2760</v>
      </c>
      <c r="E1093" s="2">
        <v>0</v>
      </c>
      <c r="F1093" s="2">
        <v>0</v>
      </c>
      <c r="G1093" s="2">
        <v>6.8226000000000004</v>
      </c>
      <c r="H1093" s="3">
        <v>4707.5940000000001</v>
      </c>
      <c r="I1093" s="1" t="s">
        <v>17</v>
      </c>
      <c r="J1093" s="1" t="s">
        <v>18</v>
      </c>
      <c r="K1093" s="1" t="s">
        <v>19</v>
      </c>
    </row>
    <row r="1094" spans="1:11" ht="12.75" customHeight="1" x14ac:dyDescent="0.2">
      <c r="A1094" s="1" t="s">
        <v>1435</v>
      </c>
      <c r="B1094" s="1" t="s">
        <v>1436</v>
      </c>
      <c r="C1094" s="2">
        <v>452</v>
      </c>
      <c r="D1094" s="2">
        <v>1808</v>
      </c>
      <c r="E1094" s="2">
        <v>0</v>
      </c>
      <c r="F1094" s="2">
        <v>214</v>
      </c>
      <c r="G1094" s="2">
        <v>6.8226000000000004</v>
      </c>
      <c r="H1094" s="3">
        <v>3083.8152</v>
      </c>
      <c r="I1094" s="1" t="s">
        <v>125</v>
      </c>
      <c r="J1094" s="1" t="s">
        <v>126</v>
      </c>
      <c r="K1094" s="1" t="s">
        <v>127</v>
      </c>
    </row>
    <row r="1095" spans="1:11" ht="12.75" customHeight="1" x14ac:dyDescent="0.2">
      <c r="A1095" s="1" t="s">
        <v>1437</v>
      </c>
      <c r="B1095" s="1" t="s">
        <v>1438</v>
      </c>
      <c r="C1095" s="2">
        <v>544</v>
      </c>
      <c r="D1095" s="2">
        <v>2720</v>
      </c>
      <c r="E1095" s="2">
        <v>0</v>
      </c>
      <c r="F1095" s="2">
        <v>0</v>
      </c>
      <c r="G1095" s="2">
        <v>8.5282999999999998</v>
      </c>
      <c r="H1095" s="3">
        <v>4639.3951999999999</v>
      </c>
      <c r="I1095" s="1" t="s">
        <v>17</v>
      </c>
      <c r="J1095" s="1" t="s">
        <v>18</v>
      </c>
      <c r="K1095" s="1" t="s">
        <v>19</v>
      </c>
    </row>
    <row r="1096" spans="1:11" ht="12.75" customHeight="1" x14ac:dyDescent="0.2">
      <c r="A1096" s="1" t="s">
        <v>1437</v>
      </c>
      <c r="B1096" s="1" t="s">
        <v>1438</v>
      </c>
      <c r="C1096" s="2">
        <v>483</v>
      </c>
      <c r="D1096" s="2">
        <v>2415</v>
      </c>
      <c r="E1096" s="2">
        <v>0</v>
      </c>
      <c r="F1096" s="2">
        <v>483</v>
      </c>
      <c r="G1096" s="2">
        <v>8.5282999999999998</v>
      </c>
      <c r="H1096" s="3">
        <v>4119.1688999999997</v>
      </c>
      <c r="I1096" s="1" t="s">
        <v>125</v>
      </c>
      <c r="J1096" s="1" t="s">
        <v>126</v>
      </c>
      <c r="K1096" s="1" t="s">
        <v>127</v>
      </c>
    </row>
    <row r="1097" spans="1:11" ht="12.75" customHeight="1" x14ac:dyDescent="0.2">
      <c r="A1097" s="1" t="s">
        <v>1439</v>
      </c>
      <c r="B1097" s="1" t="s">
        <v>1440</v>
      </c>
      <c r="C1097" s="2">
        <v>963</v>
      </c>
      <c r="D1097" s="2">
        <v>5778</v>
      </c>
      <c r="E1097" s="2">
        <v>0</v>
      </c>
      <c r="F1097" s="2">
        <v>0</v>
      </c>
      <c r="G1097" s="2">
        <v>10.234</v>
      </c>
      <c r="H1097" s="3">
        <v>9855.3420000000006</v>
      </c>
      <c r="I1097" s="1" t="s">
        <v>17</v>
      </c>
      <c r="J1097" s="1" t="s">
        <v>18</v>
      </c>
      <c r="K1097" s="1" t="s">
        <v>19</v>
      </c>
    </row>
    <row r="1098" spans="1:11" ht="12.75" customHeight="1" x14ac:dyDescent="0.2">
      <c r="A1098" s="1" t="s">
        <v>1439</v>
      </c>
      <c r="B1098" s="1" t="s">
        <v>1440</v>
      </c>
      <c r="C1098" s="2">
        <v>932</v>
      </c>
      <c r="D1098" s="2">
        <v>5592</v>
      </c>
      <c r="E1098" s="2">
        <v>0</v>
      </c>
      <c r="F1098" s="2">
        <v>0</v>
      </c>
      <c r="G1098" s="2">
        <v>10.234</v>
      </c>
      <c r="H1098" s="3">
        <v>9538.0879999999997</v>
      </c>
      <c r="I1098" s="1" t="s">
        <v>125</v>
      </c>
      <c r="J1098" s="1" t="s">
        <v>126</v>
      </c>
      <c r="K1098" s="1" t="s">
        <v>127</v>
      </c>
    </row>
    <row r="1099" spans="1:11" ht="12.75" customHeight="1" x14ac:dyDescent="0.2">
      <c r="A1099" s="1" t="s">
        <v>1441</v>
      </c>
      <c r="B1099" s="1" t="s">
        <v>1442</v>
      </c>
      <c r="C1099" s="2">
        <v>1188</v>
      </c>
      <c r="D1099" s="2">
        <v>8316</v>
      </c>
      <c r="E1099" s="2">
        <v>0</v>
      </c>
      <c r="F1099" s="2">
        <v>203</v>
      </c>
      <c r="G1099" s="2">
        <v>11.9396</v>
      </c>
      <c r="H1099" s="3">
        <v>14184.2448</v>
      </c>
      <c r="I1099" s="1" t="s">
        <v>17</v>
      </c>
      <c r="J1099" s="1" t="s">
        <v>18</v>
      </c>
      <c r="K1099" s="1" t="s">
        <v>19</v>
      </c>
    </row>
    <row r="1100" spans="1:11" ht="12.75" customHeight="1" x14ac:dyDescent="0.2">
      <c r="A1100" s="1" t="s">
        <v>1441</v>
      </c>
      <c r="B1100" s="1" t="s">
        <v>1442</v>
      </c>
      <c r="C1100" s="2">
        <v>896</v>
      </c>
      <c r="D1100" s="2">
        <v>6272</v>
      </c>
      <c r="E1100" s="2">
        <v>0</v>
      </c>
      <c r="F1100" s="2">
        <v>0</v>
      </c>
      <c r="G1100" s="2">
        <v>11.9344</v>
      </c>
      <c r="H1100" s="3">
        <v>10693.222400000001</v>
      </c>
      <c r="I1100" s="1" t="s">
        <v>24</v>
      </c>
      <c r="J1100" s="1" t="s">
        <v>25</v>
      </c>
      <c r="K1100" s="1" t="s">
        <v>26</v>
      </c>
    </row>
    <row r="1101" spans="1:11" ht="12.75" customHeight="1" x14ac:dyDescent="0.2">
      <c r="A1101" s="1" t="s">
        <v>1441</v>
      </c>
      <c r="B1101" s="1" t="s">
        <v>1442</v>
      </c>
      <c r="C1101" s="2">
        <v>1603</v>
      </c>
      <c r="D1101" s="2">
        <v>11221</v>
      </c>
      <c r="E1101" s="2">
        <v>0</v>
      </c>
      <c r="F1101" s="2">
        <v>0</v>
      </c>
      <c r="G1101" s="2">
        <v>11.9396</v>
      </c>
      <c r="H1101" s="3">
        <v>19139.178800000002</v>
      </c>
      <c r="I1101" s="1" t="s">
        <v>125</v>
      </c>
      <c r="J1101" s="1" t="s">
        <v>126</v>
      </c>
      <c r="K1101" s="1" t="s">
        <v>127</v>
      </c>
    </row>
    <row r="1102" spans="1:11" ht="12.75" customHeight="1" x14ac:dyDescent="0.2">
      <c r="A1102" s="1" t="s">
        <v>1443</v>
      </c>
      <c r="B1102" s="1" t="s">
        <v>1444</v>
      </c>
      <c r="C1102" s="2">
        <v>857</v>
      </c>
      <c r="D1102" s="2">
        <v>6856</v>
      </c>
      <c r="E1102" s="2">
        <v>0</v>
      </c>
      <c r="F1102" s="2">
        <v>0</v>
      </c>
      <c r="G1102" s="2">
        <v>13.645300000000001</v>
      </c>
      <c r="H1102" s="3">
        <v>11694.0221</v>
      </c>
      <c r="I1102" s="1" t="s">
        <v>17</v>
      </c>
      <c r="J1102" s="1" t="s">
        <v>18</v>
      </c>
      <c r="K1102" s="1" t="s">
        <v>19</v>
      </c>
    </row>
    <row r="1103" spans="1:11" ht="12.75" customHeight="1" x14ac:dyDescent="0.2">
      <c r="A1103" s="1" t="s">
        <v>1443</v>
      </c>
      <c r="B1103" s="1" t="s">
        <v>1444</v>
      </c>
      <c r="C1103" s="2">
        <v>469</v>
      </c>
      <c r="D1103" s="2">
        <v>3752</v>
      </c>
      <c r="E1103" s="2">
        <v>0</v>
      </c>
      <c r="F1103" s="2">
        <v>84</v>
      </c>
      <c r="G1103" s="2">
        <v>13.6393</v>
      </c>
      <c r="H1103" s="3">
        <v>6396.8316999999997</v>
      </c>
      <c r="I1103" s="1" t="s">
        <v>24</v>
      </c>
      <c r="J1103" s="1" t="s">
        <v>25</v>
      </c>
      <c r="K1103" s="1" t="s">
        <v>26</v>
      </c>
    </row>
    <row r="1104" spans="1:11" ht="12.75" customHeight="1" x14ac:dyDescent="0.2">
      <c r="A1104" s="1" t="s">
        <v>1443</v>
      </c>
      <c r="B1104" s="1" t="s">
        <v>1444</v>
      </c>
      <c r="C1104" s="2">
        <v>729</v>
      </c>
      <c r="D1104" s="2">
        <v>5832</v>
      </c>
      <c r="E1104" s="2">
        <v>0</v>
      </c>
      <c r="F1104" s="2">
        <v>246</v>
      </c>
      <c r="G1104" s="2">
        <v>13.645300000000001</v>
      </c>
      <c r="H1104" s="3">
        <v>9947.4236999999994</v>
      </c>
      <c r="I1104" s="1" t="s">
        <v>125</v>
      </c>
      <c r="J1104" s="1" t="s">
        <v>126</v>
      </c>
      <c r="K1104" s="1" t="s">
        <v>127</v>
      </c>
    </row>
    <row r="1105" spans="1:11" ht="12.75" customHeight="1" x14ac:dyDescent="0.2">
      <c r="A1105" s="1" t="s">
        <v>1445</v>
      </c>
      <c r="B1105" s="1" t="s">
        <v>1446</v>
      </c>
      <c r="C1105" s="2">
        <v>351</v>
      </c>
      <c r="D1105" s="2">
        <v>3159</v>
      </c>
      <c r="E1105" s="2">
        <v>0</v>
      </c>
      <c r="F1105" s="2">
        <v>0</v>
      </c>
      <c r="G1105" s="2">
        <v>15.351000000000001</v>
      </c>
      <c r="H1105" s="3">
        <v>5388.201</v>
      </c>
      <c r="I1105" s="1" t="s">
        <v>17</v>
      </c>
      <c r="J1105" s="1" t="s">
        <v>18</v>
      </c>
      <c r="K1105" s="1" t="s">
        <v>19</v>
      </c>
    </row>
    <row r="1106" spans="1:11" ht="12.75" customHeight="1" x14ac:dyDescent="0.2">
      <c r="A1106" s="1" t="s">
        <v>1445</v>
      </c>
      <c r="B1106" s="1" t="s">
        <v>1446</v>
      </c>
      <c r="C1106" s="2">
        <v>518</v>
      </c>
      <c r="D1106" s="2">
        <v>4662</v>
      </c>
      <c r="E1106" s="2">
        <v>0</v>
      </c>
      <c r="F1106" s="2">
        <v>0</v>
      </c>
      <c r="G1106" s="2">
        <v>15.344799999999999</v>
      </c>
      <c r="H1106" s="3">
        <v>7948.6063999999997</v>
      </c>
      <c r="I1106" s="1" t="s">
        <v>24</v>
      </c>
      <c r="J1106" s="1" t="s">
        <v>25</v>
      </c>
      <c r="K1106" s="1" t="s">
        <v>26</v>
      </c>
    </row>
    <row r="1107" spans="1:11" ht="12.75" customHeight="1" x14ac:dyDescent="0.2">
      <c r="A1107" s="1" t="s">
        <v>1445</v>
      </c>
      <c r="B1107" s="1" t="s">
        <v>1446</v>
      </c>
      <c r="C1107" s="2">
        <v>766</v>
      </c>
      <c r="D1107" s="2">
        <v>6894</v>
      </c>
      <c r="E1107" s="2">
        <v>0</v>
      </c>
      <c r="F1107" s="2">
        <v>0</v>
      </c>
      <c r="G1107" s="2">
        <v>15.351000000000001</v>
      </c>
      <c r="H1107" s="3">
        <v>11758.866</v>
      </c>
      <c r="I1107" s="1" t="s">
        <v>125</v>
      </c>
      <c r="J1107" s="1" t="s">
        <v>126</v>
      </c>
      <c r="K1107" s="1" t="s">
        <v>127</v>
      </c>
    </row>
    <row r="1108" spans="1:11" ht="12.75" customHeight="1" x14ac:dyDescent="0.2">
      <c r="A1108" s="1" t="s">
        <v>1447</v>
      </c>
      <c r="B1108" s="1" t="s">
        <v>1448</v>
      </c>
      <c r="C1108" s="2">
        <v>376</v>
      </c>
      <c r="D1108" s="2">
        <v>3760</v>
      </c>
      <c r="E1108" s="2">
        <v>0</v>
      </c>
      <c r="F1108" s="2">
        <v>119</v>
      </c>
      <c r="G1108" s="2">
        <v>27.595199999999998</v>
      </c>
      <c r="H1108" s="3">
        <v>10375.7952</v>
      </c>
      <c r="I1108" s="1" t="s">
        <v>17</v>
      </c>
      <c r="J1108" s="1" t="s">
        <v>18</v>
      </c>
      <c r="K1108" s="1" t="s">
        <v>19</v>
      </c>
    </row>
    <row r="1109" spans="1:11" ht="12.75" customHeight="1" x14ac:dyDescent="0.2">
      <c r="A1109" s="1" t="s">
        <v>1447</v>
      </c>
      <c r="B1109" s="1" t="s">
        <v>1448</v>
      </c>
      <c r="C1109" s="2">
        <v>9</v>
      </c>
      <c r="D1109" s="2">
        <v>90</v>
      </c>
      <c r="E1109" s="2">
        <v>0</v>
      </c>
      <c r="F1109" s="2">
        <v>9</v>
      </c>
      <c r="G1109" s="2">
        <v>27.595199999999998</v>
      </c>
      <c r="H1109" s="3">
        <v>248.35679999999999</v>
      </c>
      <c r="I1109" s="1" t="s">
        <v>125</v>
      </c>
      <c r="J1109" s="1" t="s">
        <v>126</v>
      </c>
      <c r="K1109" s="1" t="s">
        <v>127</v>
      </c>
    </row>
    <row r="1110" spans="1:11" ht="12.75" customHeight="1" x14ac:dyDescent="0.2">
      <c r="A1110" s="1" t="s">
        <v>1449</v>
      </c>
      <c r="B1110" s="1" t="s">
        <v>1450</v>
      </c>
      <c r="C1110" s="2">
        <v>183</v>
      </c>
      <c r="D1110" s="2">
        <v>2013</v>
      </c>
      <c r="E1110" s="2">
        <v>0</v>
      </c>
      <c r="F1110" s="2">
        <v>63</v>
      </c>
      <c r="G1110" s="2">
        <v>30.354700000000001</v>
      </c>
      <c r="H1110" s="3">
        <v>5554.9101000000001</v>
      </c>
      <c r="I1110" s="1" t="s">
        <v>17</v>
      </c>
      <c r="J1110" s="1" t="s">
        <v>18</v>
      </c>
      <c r="K1110" s="1" t="s">
        <v>19</v>
      </c>
    </row>
    <row r="1111" spans="1:11" ht="12.75" customHeight="1" x14ac:dyDescent="0.2">
      <c r="A1111" s="1" t="s">
        <v>1449</v>
      </c>
      <c r="B1111" s="1" t="s">
        <v>1450</v>
      </c>
      <c r="C1111" s="2">
        <v>82</v>
      </c>
      <c r="D1111" s="2">
        <v>902</v>
      </c>
      <c r="E1111" s="2">
        <v>0</v>
      </c>
      <c r="F1111" s="2">
        <v>82</v>
      </c>
      <c r="G1111" s="2">
        <v>30.354700000000001</v>
      </c>
      <c r="H1111" s="3">
        <v>2489.0853999999999</v>
      </c>
      <c r="I1111" s="1" t="s">
        <v>125</v>
      </c>
      <c r="J1111" s="1" t="s">
        <v>126</v>
      </c>
      <c r="K1111" s="1" t="s">
        <v>127</v>
      </c>
    </row>
    <row r="1112" spans="1:11" ht="12.75" customHeight="1" x14ac:dyDescent="0.2">
      <c r="A1112" s="1" t="s">
        <v>1449</v>
      </c>
      <c r="B1112" s="1" t="s">
        <v>1450</v>
      </c>
      <c r="C1112" s="2">
        <v>343</v>
      </c>
      <c r="D1112" s="2">
        <v>3773</v>
      </c>
      <c r="E1112" s="2">
        <v>0</v>
      </c>
      <c r="F1112" s="2">
        <v>0</v>
      </c>
      <c r="G1112" s="2">
        <v>39.573599999999999</v>
      </c>
      <c r="H1112" s="3">
        <v>13573.7448</v>
      </c>
      <c r="I1112" s="1" t="s">
        <v>454</v>
      </c>
      <c r="J1112" s="1" t="s">
        <v>455</v>
      </c>
      <c r="K1112" s="1" t="s">
        <v>456</v>
      </c>
    </row>
    <row r="1113" spans="1:11" ht="12.75" customHeight="1" x14ac:dyDescent="0.2">
      <c r="A1113" s="1" t="s">
        <v>1451</v>
      </c>
      <c r="B1113" s="1" t="s">
        <v>1452</v>
      </c>
      <c r="C1113" s="2">
        <v>26</v>
      </c>
      <c r="D1113" s="2">
        <v>338</v>
      </c>
      <c r="E1113" s="2">
        <v>0</v>
      </c>
      <c r="F1113" s="2">
        <v>0</v>
      </c>
      <c r="G1113" s="2">
        <v>35.873699999999999</v>
      </c>
      <c r="H1113" s="3">
        <v>932.71619999999996</v>
      </c>
      <c r="I1113" s="1" t="s">
        <v>17</v>
      </c>
      <c r="J1113" s="1" t="s">
        <v>18</v>
      </c>
      <c r="K1113" s="1" t="s">
        <v>19</v>
      </c>
    </row>
    <row r="1114" spans="1:11" ht="12.75" customHeight="1" x14ac:dyDescent="0.2">
      <c r="A1114" s="1" t="s">
        <v>1453</v>
      </c>
      <c r="B1114" s="1" t="s">
        <v>1454</v>
      </c>
      <c r="C1114" s="2">
        <v>59</v>
      </c>
      <c r="D1114" s="2">
        <v>236</v>
      </c>
      <c r="E1114" s="2">
        <v>0</v>
      </c>
      <c r="F1114" s="2">
        <v>32</v>
      </c>
      <c r="G1114" s="2">
        <v>11.038</v>
      </c>
      <c r="H1114" s="3">
        <v>651.24199999999996</v>
      </c>
      <c r="I1114" s="1" t="s">
        <v>17</v>
      </c>
      <c r="J1114" s="1" t="s">
        <v>18</v>
      </c>
      <c r="K1114" s="1" t="s">
        <v>19</v>
      </c>
    </row>
    <row r="1115" spans="1:11" ht="12.75" customHeight="1" x14ac:dyDescent="0.2">
      <c r="A1115" s="1" t="s">
        <v>1455</v>
      </c>
      <c r="B1115" s="1" t="s">
        <v>1456</v>
      </c>
      <c r="C1115" s="2">
        <v>42</v>
      </c>
      <c r="D1115" s="2">
        <v>210</v>
      </c>
      <c r="E1115" s="2">
        <v>0</v>
      </c>
      <c r="F1115" s="2">
        <v>25</v>
      </c>
      <c r="G1115" s="2">
        <v>13.797599999999999</v>
      </c>
      <c r="H1115" s="3">
        <v>579.49919999999997</v>
      </c>
      <c r="I1115" s="1" t="s">
        <v>17</v>
      </c>
      <c r="J1115" s="1" t="s">
        <v>18</v>
      </c>
      <c r="K1115" s="1" t="s">
        <v>19</v>
      </c>
    </row>
    <row r="1116" spans="1:11" ht="12.75" customHeight="1" x14ac:dyDescent="0.2">
      <c r="A1116" s="1" t="s">
        <v>1457</v>
      </c>
      <c r="B1116" s="1" t="s">
        <v>1458</v>
      </c>
      <c r="C1116" s="2">
        <v>5</v>
      </c>
      <c r="D1116" s="2">
        <v>30</v>
      </c>
      <c r="E1116" s="2">
        <v>0</v>
      </c>
      <c r="F1116" s="2">
        <v>0</v>
      </c>
      <c r="G1116" s="2">
        <v>16.557099999999998</v>
      </c>
      <c r="H1116" s="3">
        <v>82.785499999999999</v>
      </c>
      <c r="I1116" s="1" t="s">
        <v>17</v>
      </c>
      <c r="J1116" s="1" t="s">
        <v>18</v>
      </c>
      <c r="K1116" s="1" t="s">
        <v>19</v>
      </c>
    </row>
    <row r="1117" spans="1:11" ht="12.75" customHeight="1" x14ac:dyDescent="0.2">
      <c r="A1117" s="1" t="s">
        <v>1457</v>
      </c>
      <c r="B1117" s="1" t="s">
        <v>1458</v>
      </c>
      <c r="C1117" s="2">
        <v>231</v>
      </c>
      <c r="D1117" s="2">
        <v>1386</v>
      </c>
      <c r="E1117" s="2">
        <v>0</v>
      </c>
      <c r="F1117" s="2">
        <v>0</v>
      </c>
      <c r="G1117" s="2">
        <v>21.193200000000001</v>
      </c>
      <c r="H1117" s="3">
        <v>4895.6292000000003</v>
      </c>
      <c r="I1117" s="1" t="s">
        <v>454</v>
      </c>
      <c r="J1117" s="1" t="s">
        <v>455</v>
      </c>
      <c r="K1117" s="1" t="s">
        <v>456</v>
      </c>
    </row>
    <row r="1118" spans="1:11" ht="12.75" customHeight="1" x14ac:dyDescent="0.2">
      <c r="A1118" s="1" t="s">
        <v>1459</v>
      </c>
      <c r="B1118" s="1" t="s">
        <v>1460</v>
      </c>
      <c r="C1118" s="2">
        <v>231</v>
      </c>
      <c r="D1118" s="2">
        <v>1617</v>
      </c>
      <c r="E1118" s="2">
        <v>0</v>
      </c>
      <c r="F1118" s="2">
        <v>0</v>
      </c>
      <c r="G1118" s="2">
        <v>25.511500000000002</v>
      </c>
      <c r="H1118" s="3">
        <v>5893.1565000000001</v>
      </c>
      <c r="I1118" s="1" t="s">
        <v>454</v>
      </c>
      <c r="J1118" s="1" t="s">
        <v>455</v>
      </c>
      <c r="K1118" s="1" t="s">
        <v>456</v>
      </c>
    </row>
    <row r="1119" spans="1:11" ht="12.75" customHeight="1" x14ac:dyDescent="0.2">
      <c r="A1119" s="1" t="s">
        <v>1461</v>
      </c>
      <c r="B1119" s="1" t="s">
        <v>1462</v>
      </c>
      <c r="C1119" s="2">
        <v>158</v>
      </c>
      <c r="D1119" s="2">
        <v>1264</v>
      </c>
      <c r="E1119" s="2">
        <v>0</v>
      </c>
      <c r="F1119" s="2">
        <v>61</v>
      </c>
      <c r="G1119" s="2">
        <v>22.0761</v>
      </c>
      <c r="H1119" s="3">
        <v>3488.0237999999999</v>
      </c>
      <c r="I1119" s="1" t="s">
        <v>17</v>
      </c>
      <c r="J1119" s="1" t="s">
        <v>18</v>
      </c>
      <c r="K1119" s="1" t="s">
        <v>19</v>
      </c>
    </row>
    <row r="1120" spans="1:11" ht="12.75" customHeight="1" x14ac:dyDescent="0.2">
      <c r="A1120" s="1" t="s">
        <v>1463</v>
      </c>
      <c r="B1120" s="1" t="s">
        <v>1464</v>
      </c>
      <c r="C1120" s="2">
        <v>300</v>
      </c>
      <c r="D1120" s="2">
        <v>2700</v>
      </c>
      <c r="E1120" s="2">
        <v>0</v>
      </c>
      <c r="F1120" s="2">
        <v>105</v>
      </c>
      <c r="G1120" s="2">
        <v>24.835599999999999</v>
      </c>
      <c r="H1120" s="3">
        <v>7450.68</v>
      </c>
      <c r="I1120" s="1" t="s">
        <v>17</v>
      </c>
      <c r="J1120" s="1" t="s">
        <v>18</v>
      </c>
      <c r="K1120" s="1" t="s">
        <v>19</v>
      </c>
    </row>
    <row r="1121" spans="1:11" ht="12.75" customHeight="1" x14ac:dyDescent="0.2">
      <c r="A1121" s="1" t="s">
        <v>1463</v>
      </c>
      <c r="B1121" s="1" t="s">
        <v>1464</v>
      </c>
      <c r="C1121" s="2">
        <v>379</v>
      </c>
      <c r="D1121" s="2">
        <v>3411</v>
      </c>
      <c r="E1121" s="2">
        <v>0</v>
      </c>
      <c r="F1121" s="2">
        <v>379</v>
      </c>
      <c r="G1121" s="2">
        <v>24.835599999999999</v>
      </c>
      <c r="H1121" s="3">
        <v>9412.6923999999999</v>
      </c>
      <c r="I1121" s="1" t="s">
        <v>125</v>
      </c>
      <c r="J1121" s="1" t="s">
        <v>126</v>
      </c>
      <c r="K1121" s="1" t="s">
        <v>127</v>
      </c>
    </row>
    <row r="1122" spans="1:11" ht="12.75" customHeight="1" x14ac:dyDescent="0.2">
      <c r="A1122" s="1" t="s">
        <v>1463</v>
      </c>
      <c r="B1122" s="1" t="s">
        <v>1464</v>
      </c>
      <c r="C1122" s="2">
        <v>70</v>
      </c>
      <c r="D1122" s="2">
        <v>630</v>
      </c>
      <c r="E1122" s="2">
        <v>0</v>
      </c>
      <c r="F1122" s="2">
        <v>0</v>
      </c>
      <c r="G1122" s="2">
        <v>33.590699999999998</v>
      </c>
      <c r="H1122" s="3">
        <v>2351.3490000000002</v>
      </c>
      <c r="I1122" s="1" t="s">
        <v>454</v>
      </c>
      <c r="J1122" s="1" t="s">
        <v>455</v>
      </c>
      <c r="K1122" s="1" t="s">
        <v>456</v>
      </c>
    </row>
    <row r="1123" spans="1:11" ht="12.75" customHeight="1" x14ac:dyDescent="0.2">
      <c r="A1123" s="1" t="s">
        <v>1465</v>
      </c>
      <c r="B1123" s="1" t="s">
        <v>1466</v>
      </c>
      <c r="C1123" s="2">
        <v>198</v>
      </c>
      <c r="D1123" s="2">
        <v>1386</v>
      </c>
      <c r="E1123" s="2">
        <v>0</v>
      </c>
      <c r="F1123" s="2">
        <v>0</v>
      </c>
      <c r="G1123" s="2">
        <v>14.63</v>
      </c>
      <c r="H1123" s="3">
        <v>2896.74</v>
      </c>
      <c r="I1123" s="1" t="s">
        <v>454</v>
      </c>
      <c r="J1123" s="1" t="s">
        <v>455</v>
      </c>
      <c r="K1123" s="1" t="s">
        <v>456</v>
      </c>
    </row>
    <row r="1124" spans="1:11" ht="12.75" customHeight="1" x14ac:dyDescent="0.2">
      <c r="A1124" s="1" t="s">
        <v>1467</v>
      </c>
      <c r="B1124" s="1" t="s">
        <v>1468</v>
      </c>
      <c r="C1124" s="2">
        <v>90</v>
      </c>
      <c r="D1124" s="2">
        <v>900</v>
      </c>
      <c r="E1124" s="2">
        <v>0</v>
      </c>
      <c r="F1124" s="2">
        <v>0</v>
      </c>
      <c r="G1124" s="2">
        <v>23.9</v>
      </c>
      <c r="H1124" s="3">
        <v>2151</v>
      </c>
      <c r="I1124" s="1" t="s">
        <v>17</v>
      </c>
      <c r="J1124" s="1" t="s">
        <v>18</v>
      </c>
      <c r="K1124" s="1" t="s">
        <v>19</v>
      </c>
    </row>
    <row r="1125" spans="1:11" ht="12.75" customHeight="1" x14ac:dyDescent="0.2">
      <c r="A1125" s="1" t="s">
        <v>1469</v>
      </c>
      <c r="B1125" s="1" t="s">
        <v>1470</v>
      </c>
      <c r="C1125" s="2">
        <v>114</v>
      </c>
      <c r="D1125" s="2">
        <v>1368</v>
      </c>
      <c r="E1125" s="2">
        <v>0</v>
      </c>
      <c r="F1125" s="2">
        <v>0</v>
      </c>
      <c r="G1125" s="2">
        <v>28.67</v>
      </c>
      <c r="H1125" s="3">
        <v>3268.38</v>
      </c>
      <c r="I1125" s="1" t="s">
        <v>17</v>
      </c>
      <c r="J1125" s="1" t="s">
        <v>18</v>
      </c>
      <c r="K1125" s="1" t="s">
        <v>19</v>
      </c>
    </row>
    <row r="1126" spans="1:11" ht="12.75" customHeight="1" x14ac:dyDescent="0.2">
      <c r="A1126" s="1" t="s">
        <v>1471</v>
      </c>
      <c r="B1126" s="1" t="s">
        <v>1472</v>
      </c>
      <c r="C1126" s="2">
        <v>42</v>
      </c>
      <c r="D1126" s="2">
        <v>294</v>
      </c>
      <c r="E1126" s="2">
        <v>0</v>
      </c>
      <c r="F1126" s="2">
        <v>0</v>
      </c>
      <c r="G1126" s="2">
        <v>16.71</v>
      </c>
      <c r="H1126" s="3">
        <v>701.82</v>
      </c>
      <c r="I1126" s="1" t="s">
        <v>17</v>
      </c>
      <c r="J1126" s="1" t="s">
        <v>18</v>
      </c>
      <c r="K1126" s="1" t="s">
        <v>19</v>
      </c>
    </row>
    <row r="1127" spans="1:11" ht="12.75" customHeight="1" x14ac:dyDescent="0.2">
      <c r="A1127" s="1" t="s">
        <v>1471</v>
      </c>
      <c r="B1127" s="1" t="s">
        <v>1472</v>
      </c>
      <c r="C1127" s="2">
        <v>172</v>
      </c>
      <c r="D1127" s="2">
        <v>1204</v>
      </c>
      <c r="E1127" s="2">
        <v>0</v>
      </c>
      <c r="F1127" s="2">
        <v>0</v>
      </c>
      <c r="G1127" s="2">
        <v>22.348700000000001</v>
      </c>
      <c r="H1127" s="3">
        <v>3843.9764</v>
      </c>
      <c r="I1127" s="1" t="s">
        <v>125</v>
      </c>
      <c r="J1127" s="1" t="s">
        <v>126</v>
      </c>
      <c r="K1127" s="1" t="s">
        <v>127</v>
      </c>
    </row>
    <row r="1128" spans="1:11" ht="12.75" customHeight="1" x14ac:dyDescent="0.2">
      <c r="A1128" s="1" t="s">
        <v>1471</v>
      </c>
      <c r="B1128" s="1" t="s">
        <v>1472</v>
      </c>
      <c r="C1128" s="2">
        <v>198</v>
      </c>
      <c r="D1128" s="2">
        <v>1386</v>
      </c>
      <c r="E1128" s="2">
        <v>0</v>
      </c>
      <c r="F1128" s="2">
        <v>0</v>
      </c>
      <c r="G1128" s="2">
        <v>30.7958</v>
      </c>
      <c r="H1128" s="3">
        <v>6097.5684000000001</v>
      </c>
      <c r="I1128" s="1" t="s">
        <v>454</v>
      </c>
      <c r="J1128" s="1" t="s">
        <v>455</v>
      </c>
      <c r="K1128" s="1" t="s">
        <v>456</v>
      </c>
    </row>
    <row r="1129" spans="1:11" ht="12.75" customHeight="1" x14ac:dyDescent="0.2">
      <c r="A1129" s="1" t="s">
        <v>1473</v>
      </c>
      <c r="B1129" s="1" t="s">
        <v>1474</v>
      </c>
      <c r="C1129" s="2">
        <v>72</v>
      </c>
      <c r="D1129" s="2">
        <v>576</v>
      </c>
      <c r="E1129" s="2">
        <v>0</v>
      </c>
      <c r="F1129" s="2">
        <v>0</v>
      </c>
      <c r="G1129" s="2">
        <v>19.12</v>
      </c>
      <c r="H1129" s="3">
        <v>1376.64</v>
      </c>
      <c r="I1129" s="1" t="s">
        <v>17</v>
      </c>
      <c r="J1129" s="1" t="s">
        <v>18</v>
      </c>
      <c r="K1129" s="1" t="s">
        <v>19</v>
      </c>
    </row>
    <row r="1130" spans="1:11" ht="12.75" customHeight="1" x14ac:dyDescent="0.2">
      <c r="A1130" s="1" t="s">
        <v>1473</v>
      </c>
      <c r="B1130" s="1" t="s">
        <v>1474</v>
      </c>
      <c r="C1130" s="2">
        <v>730</v>
      </c>
      <c r="D1130" s="2">
        <v>5840</v>
      </c>
      <c r="E1130" s="2">
        <v>0</v>
      </c>
      <c r="F1130" s="2">
        <v>0</v>
      </c>
      <c r="G1130" s="2">
        <v>25.541399999999999</v>
      </c>
      <c r="H1130" s="3">
        <v>18645.222000000002</v>
      </c>
      <c r="I1130" s="1" t="s">
        <v>125</v>
      </c>
      <c r="J1130" s="1" t="s">
        <v>126</v>
      </c>
      <c r="K1130" s="1" t="s">
        <v>127</v>
      </c>
    </row>
    <row r="1131" spans="1:11" ht="12.75" customHeight="1" x14ac:dyDescent="0.2">
      <c r="A1131" s="1" t="s">
        <v>1475</v>
      </c>
      <c r="B1131" s="1" t="s">
        <v>1476</v>
      </c>
      <c r="C1131" s="2">
        <v>747</v>
      </c>
      <c r="D1131" s="2">
        <v>6723</v>
      </c>
      <c r="E1131" s="2">
        <v>0</v>
      </c>
      <c r="F1131" s="2">
        <v>0</v>
      </c>
      <c r="G1131" s="2">
        <v>21.548300000000001</v>
      </c>
      <c r="H1131" s="3">
        <v>16096.580099999999</v>
      </c>
      <c r="I1131" s="1" t="s">
        <v>17</v>
      </c>
      <c r="J1131" s="1" t="s">
        <v>18</v>
      </c>
      <c r="K1131" s="1" t="s">
        <v>19</v>
      </c>
    </row>
    <row r="1132" spans="1:11" ht="12.75" customHeight="1" x14ac:dyDescent="0.2">
      <c r="A1132" s="1" t="s">
        <v>1475</v>
      </c>
      <c r="B1132" s="1" t="s">
        <v>1476</v>
      </c>
      <c r="C1132" s="2">
        <v>172</v>
      </c>
      <c r="D1132" s="2">
        <v>1548</v>
      </c>
      <c r="E1132" s="2">
        <v>0</v>
      </c>
      <c r="F1132" s="2">
        <v>0</v>
      </c>
      <c r="G1132" s="2">
        <v>28.734100000000002</v>
      </c>
      <c r="H1132" s="3">
        <v>4942.2651999999998</v>
      </c>
      <c r="I1132" s="1" t="s">
        <v>125</v>
      </c>
      <c r="J1132" s="1" t="s">
        <v>126</v>
      </c>
      <c r="K1132" s="1" t="s">
        <v>127</v>
      </c>
    </row>
    <row r="1133" spans="1:11" ht="12.75" customHeight="1" x14ac:dyDescent="0.2">
      <c r="A1133" s="1" t="s">
        <v>1475</v>
      </c>
      <c r="B1133" s="1" t="s">
        <v>1476</v>
      </c>
      <c r="C1133" s="2">
        <v>540</v>
      </c>
      <c r="D1133" s="2">
        <v>4860</v>
      </c>
      <c r="E1133" s="2">
        <v>0</v>
      </c>
      <c r="F1133" s="2">
        <v>0</v>
      </c>
      <c r="G1133" s="2">
        <v>38.106900000000003</v>
      </c>
      <c r="H1133" s="3">
        <v>20577.725999999999</v>
      </c>
      <c r="I1133" s="1" t="s">
        <v>454</v>
      </c>
      <c r="J1133" s="1" t="s">
        <v>455</v>
      </c>
      <c r="K1133" s="1" t="s">
        <v>456</v>
      </c>
    </row>
    <row r="1134" spans="1:11" ht="12.75" customHeight="1" x14ac:dyDescent="0.2">
      <c r="A1134" s="1" t="s">
        <v>1477</v>
      </c>
      <c r="B1134" s="1" t="s">
        <v>1478</v>
      </c>
      <c r="C1134" s="2">
        <v>1</v>
      </c>
      <c r="D1134" s="2">
        <v>10</v>
      </c>
      <c r="E1134" s="2">
        <v>0</v>
      </c>
      <c r="F1134" s="2">
        <v>1</v>
      </c>
      <c r="G1134" s="2">
        <v>49.744</v>
      </c>
      <c r="H1134" s="3">
        <v>49.744</v>
      </c>
      <c r="I1134" s="1" t="s">
        <v>17</v>
      </c>
      <c r="J1134" s="1" t="s">
        <v>18</v>
      </c>
      <c r="K1134" s="1" t="s">
        <v>19</v>
      </c>
    </row>
    <row r="1135" spans="1:11" ht="12.75" customHeight="1" x14ac:dyDescent="0.2">
      <c r="A1135" s="1" t="s">
        <v>1479</v>
      </c>
      <c r="B1135" s="1" t="s">
        <v>1480</v>
      </c>
      <c r="C1135" s="2">
        <v>25</v>
      </c>
      <c r="D1135" s="2">
        <v>275</v>
      </c>
      <c r="E1135" s="2">
        <v>0</v>
      </c>
      <c r="F1135" s="2">
        <v>0</v>
      </c>
      <c r="G1135" s="2">
        <v>54.718400000000003</v>
      </c>
      <c r="H1135" s="3">
        <v>1367.96</v>
      </c>
      <c r="I1135" s="1" t="s">
        <v>17</v>
      </c>
      <c r="J1135" s="1" t="s">
        <v>18</v>
      </c>
      <c r="K1135" s="1" t="s">
        <v>19</v>
      </c>
    </row>
    <row r="1136" spans="1:11" ht="12.75" customHeight="1" x14ac:dyDescent="0.2">
      <c r="A1136" s="1" t="s">
        <v>1481</v>
      </c>
      <c r="B1136" s="1" t="s">
        <v>1482</v>
      </c>
      <c r="C1136" s="2">
        <v>105</v>
      </c>
      <c r="D1136" s="2">
        <v>525</v>
      </c>
      <c r="E1136" s="2">
        <v>0</v>
      </c>
      <c r="F1136" s="2">
        <v>0</v>
      </c>
      <c r="G1136" s="2">
        <v>24.872</v>
      </c>
      <c r="H1136" s="3">
        <v>2611.56</v>
      </c>
      <c r="I1136" s="1" t="s">
        <v>17</v>
      </c>
      <c r="J1136" s="1" t="s">
        <v>18</v>
      </c>
      <c r="K1136" s="1" t="s">
        <v>19</v>
      </c>
    </row>
    <row r="1137" spans="1:11" ht="12.75" customHeight="1" x14ac:dyDescent="0.2">
      <c r="A1137" s="1" t="s">
        <v>1483</v>
      </c>
      <c r="B1137" s="1" t="s">
        <v>1484</v>
      </c>
      <c r="C1137" s="2">
        <v>102</v>
      </c>
      <c r="D1137" s="2">
        <v>612</v>
      </c>
      <c r="E1137" s="2">
        <v>0</v>
      </c>
      <c r="F1137" s="2">
        <v>0</v>
      </c>
      <c r="G1137" s="2">
        <v>29.846399999999999</v>
      </c>
      <c r="H1137" s="3">
        <v>3044.3328000000001</v>
      </c>
      <c r="I1137" s="1" t="s">
        <v>17</v>
      </c>
      <c r="J1137" s="1" t="s">
        <v>18</v>
      </c>
      <c r="K1137" s="1" t="s">
        <v>19</v>
      </c>
    </row>
    <row r="1138" spans="1:11" ht="12.75" customHeight="1" x14ac:dyDescent="0.2">
      <c r="A1138" s="1" t="s">
        <v>1483</v>
      </c>
      <c r="B1138" s="1" t="s">
        <v>1484</v>
      </c>
      <c r="C1138" s="2">
        <v>26</v>
      </c>
      <c r="D1138" s="2">
        <v>156</v>
      </c>
      <c r="E1138" s="2">
        <v>0</v>
      </c>
      <c r="F1138" s="2">
        <v>0</v>
      </c>
      <c r="G1138" s="2">
        <v>40.472200000000001</v>
      </c>
      <c r="H1138" s="3">
        <v>1052.2772</v>
      </c>
      <c r="I1138" s="1" t="s">
        <v>454</v>
      </c>
      <c r="J1138" s="1" t="s">
        <v>455</v>
      </c>
      <c r="K1138" s="1" t="s">
        <v>456</v>
      </c>
    </row>
    <row r="1139" spans="1:11" ht="12.75" customHeight="1" x14ac:dyDescent="0.2">
      <c r="A1139" s="1" t="s">
        <v>1485</v>
      </c>
      <c r="B1139" s="1" t="s">
        <v>1486</v>
      </c>
      <c r="C1139" s="2">
        <v>75</v>
      </c>
      <c r="D1139" s="2">
        <v>525</v>
      </c>
      <c r="E1139" s="2">
        <v>0</v>
      </c>
      <c r="F1139" s="2">
        <v>0</v>
      </c>
      <c r="G1139" s="2">
        <v>34.820799999999998</v>
      </c>
      <c r="H1139" s="3">
        <v>2611.56</v>
      </c>
      <c r="I1139" s="1" t="s">
        <v>17</v>
      </c>
      <c r="J1139" s="1" t="s">
        <v>18</v>
      </c>
      <c r="K1139" s="1" t="s">
        <v>19</v>
      </c>
    </row>
    <row r="1140" spans="1:11" ht="12.75" customHeight="1" x14ac:dyDescent="0.2">
      <c r="A1140" s="1" t="s">
        <v>1485</v>
      </c>
      <c r="B1140" s="1" t="s">
        <v>1486</v>
      </c>
      <c r="C1140" s="2">
        <v>34</v>
      </c>
      <c r="D1140" s="2">
        <v>238</v>
      </c>
      <c r="E1140" s="2">
        <v>0</v>
      </c>
      <c r="F1140" s="2">
        <v>0</v>
      </c>
      <c r="G1140" s="2">
        <v>34.820799999999998</v>
      </c>
      <c r="H1140" s="3">
        <v>1183.9072000000001</v>
      </c>
      <c r="I1140" s="1" t="s">
        <v>125</v>
      </c>
      <c r="J1140" s="1" t="s">
        <v>126</v>
      </c>
      <c r="K1140" s="1" t="s">
        <v>127</v>
      </c>
    </row>
    <row r="1141" spans="1:11" ht="12.75" customHeight="1" x14ac:dyDescent="0.2">
      <c r="A1141" s="1" t="s">
        <v>1485</v>
      </c>
      <c r="B1141" s="1" t="s">
        <v>1486</v>
      </c>
      <c r="C1141" s="2">
        <v>165</v>
      </c>
      <c r="D1141" s="2">
        <v>1155</v>
      </c>
      <c r="E1141" s="2">
        <v>0</v>
      </c>
      <c r="F1141" s="2">
        <v>0</v>
      </c>
      <c r="G1141" s="2">
        <v>43.96</v>
      </c>
      <c r="H1141" s="3">
        <v>7253.4</v>
      </c>
      <c r="I1141" s="1" t="s">
        <v>454</v>
      </c>
      <c r="J1141" s="1" t="s">
        <v>455</v>
      </c>
      <c r="K1141" s="1" t="s">
        <v>456</v>
      </c>
    </row>
    <row r="1142" spans="1:11" ht="12.75" customHeight="1" x14ac:dyDescent="0.2">
      <c r="A1142" s="1" t="s">
        <v>1487</v>
      </c>
      <c r="B1142" s="1" t="s">
        <v>1488</v>
      </c>
      <c r="C1142" s="2">
        <v>52</v>
      </c>
      <c r="D1142" s="2">
        <v>416</v>
      </c>
      <c r="E1142" s="2">
        <v>0</v>
      </c>
      <c r="F1142" s="2">
        <v>40</v>
      </c>
      <c r="G1142" s="2">
        <v>39.795200000000001</v>
      </c>
      <c r="H1142" s="3">
        <v>2069.3503999999998</v>
      </c>
      <c r="I1142" s="1" t="s">
        <v>125</v>
      </c>
      <c r="J1142" s="1" t="s">
        <v>126</v>
      </c>
      <c r="K1142" s="1" t="s">
        <v>127</v>
      </c>
    </row>
    <row r="1143" spans="1:11" ht="12.75" customHeight="1" x14ac:dyDescent="0.2">
      <c r="A1143" s="1" t="s">
        <v>1489</v>
      </c>
      <c r="B1143" s="1" t="s">
        <v>1490</v>
      </c>
      <c r="C1143" s="2">
        <v>34</v>
      </c>
      <c r="D1143" s="2">
        <v>306</v>
      </c>
      <c r="E1143" s="2">
        <v>0</v>
      </c>
      <c r="F1143" s="2">
        <v>34</v>
      </c>
      <c r="G1143" s="2">
        <v>44.769599999999997</v>
      </c>
      <c r="H1143" s="3">
        <v>1522.1664000000001</v>
      </c>
      <c r="I1143" s="1" t="s">
        <v>17</v>
      </c>
      <c r="J1143" s="1" t="s">
        <v>18</v>
      </c>
      <c r="K1143" s="1" t="s">
        <v>19</v>
      </c>
    </row>
    <row r="1144" spans="1:11" ht="12.75" customHeight="1" x14ac:dyDescent="0.2">
      <c r="A1144" s="1" t="s">
        <v>1489</v>
      </c>
      <c r="B1144" s="1" t="s">
        <v>1490</v>
      </c>
      <c r="C1144" s="2">
        <v>219</v>
      </c>
      <c r="D1144" s="2">
        <v>1971</v>
      </c>
      <c r="E1144" s="2">
        <v>0</v>
      </c>
      <c r="F1144" s="2">
        <v>0</v>
      </c>
      <c r="G1144" s="2">
        <v>56.52</v>
      </c>
      <c r="H1144" s="3">
        <v>12377.88</v>
      </c>
      <c r="I1144" s="1" t="s">
        <v>454</v>
      </c>
      <c r="J1144" s="1" t="s">
        <v>455</v>
      </c>
      <c r="K1144" s="1" t="s">
        <v>456</v>
      </c>
    </row>
    <row r="1145" spans="1:11" ht="12.75" customHeight="1" x14ac:dyDescent="0.2">
      <c r="A1145" s="1" t="s">
        <v>1491</v>
      </c>
      <c r="B1145" s="1" t="s">
        <v>1492</v>
      </c>
      <c r="C1145" s="2">
        <v>321</v>
      </c>
      <c r="D1145" s="2">
        <v>3210</v>
      </c>
      <c r="E1145" s="2">
        <v>0</v>
      </c>
      <c r="F1145" s="2">
        <v>875</v>
      </c>
      <c r="G1145" s="2">
        <v>18.7666</v>
      </c>
      <c r="H1145" s="3">
        <v>6024.0785999999998</v>
      </c>
      <c r="I1145" s="1" t="s">
        <v>12</v>
      </c>
      <c r="J1145" s="1" t="s">
        <v>13</v>
      </c>
      <c r="K1145" s="1" t="s">
        <v>14</v>
      </c>
    </row>
    <row r="1146" spans="1:11" ht="12.75" customHeight="1" x14ac:dyDescent="0.2">
      <c r="A1146" s="1" t="s">
        <v>1491</v>
      </c>
      <c r="B1146" s="1" t="s">
        <v>1492</v>
      </c>
      <c r="C1146" s="2">
        <v>464</v>
      </c>
      <c r="D1146" s="2">
        <v>4640</v>
      </c>
      <c r="E1146" s="2">
        <v>0</v>
      </c>
      <c r="F1146" s="2">
        <v>247</v>
      </c>
      <c r="G1146" s="2">
        <v>18.145700000000001</v>
      </c>
      <c r="H1146" s="3">
        <v>8419.6047999999992</v>
      </c>
      <c r="I1146" s="1" t="s">
        <v>17</v>
      </c>
      <c r="J1146" s="1" t="s">
        <v>18</v>
      </c>
      <c r="K1146" s="1" t="s">
        <v>19</v>
      </c>
    </row>
    <row r="1147" spans="1:11" ht="12.75" customHeight="1" x14ac:dyDescent="0.2">
      <c r="A1147" s="1" t="s">
        <v>1491</v>
      </c>
      <c r="B1147" s="1" t="s">
        <v>1492</v>
      </c>
      <c r="C1147" s="2">
        <v>294</v>
      </c>
      <c r="D1147" s="2">
        <v>2940</v>
      </c>
      <c r="E1147" s="2">
        <v>0</v>
      </c>
      <c r="F1147" s="2">
        <v>287</v>
      </c>
      <c r="G1147" s="2">
        <v>16.312100000000001</v>
      </c>
      <c r="H1147" s="3">
        <v>4795.7574000000004</v>
      </c>
      <c r="I1147" s="1" t="s">
        <v>24</v>
      </c>
      <c r="J1147" s="1" t="s">
        <v>25</v>
      </c>
      <c r="K1147" s="1" t="s">
        <v>26</v>
      </c>
    </row>
    <row r="1148" spans="1:11" ht="12.75" customHeight="1" x14ac:dyDescent="0.2">
      <c r="A1148" s="1" t="s">
        <v>1491</v>
      </c>
      <c r="B1148" s="1" t="s">
        <v>1492</v>
      </c>
      <c r="C1148" s="2">
        <v>2123</v>
      </c>
      <c r="D1148" s="2">
        <v>21230</v>
      </c>
      <c r="E1148" s="2">
        <v>0</v>
      </c>
      <c r="F1148" s="2">
        <v>1569</v>
      </c>
      <c r="G1148" s="2">
        <v>16.420000000000002</v>
      </c>
      <c r="H1148" s="3">
        <v>34859.660000000003</v>
      </c>
      <c r="I1148" s="1" t="s">
        <v>330</v>
      </c>
      <c r="J1148" s="1" t="s">
        <v>331</v>
      </c>
      <c r="K1148" s="1" t="s">
        <v>332</v>
      </c>
    </row>
    <row r="1149" spans="1:11" ht="12.75" customHeight="1" x14ac:dyDescent="0.2">
      <c r="A1149" s="1" t="s">
        <v>1491</v>
      </c>
      <c r="B1149" s="1" t="s">
        <v>1492</v>
      </c>
      <c r="C1149" s="2">
        <v>1225</v>
      </c>
      <c r="D1149" s="2">
        <v>12250</v>
      </c>
      <c r="E1149" s="2">
        <v>0</v>
      </c>
      <c r="F1149" s="2">
        <v>0</v>
      </c>
      <c r="G1149" s="2">
        <v>18.477900000000002</v>
      </c>
      <c r="H1149" s="3">
        <v>22635.427500000002</v>
      </c>
      <c r="I1149" s="1" t="s">
        <v>613</v>
      </c>
      <c r="J1149" s="1" t="s">
        <v>614</v>
      </c>
      <c r="K1149" s="1" t="s">
        <v>615</v>
      </c>
    </row>
    <row r="1150" spans="1:11" ht="12.75" customHeight="1" x14ac:dyDescent="0.2">
      <c r="A1150" s="1" t="s">
        <v>1491</v>
      </c>
      <c r="B1150" s="1" t="s">
        <v>1492</v>
      </c>
      <c r="C1150" s="2">
        <v>2205</v>
      </c>
      <c r="D1150" s="2">
        <v>22050</v>
      </c>
      <c r="E1150" s="2">
        <v>0</v>
      </c>
      <c r="F1150" s="2">
        <v>0</v>
      </c>
      <c r="G1150" s="2">
        <v>18.477900000000002</v>
      </c>
      <c r="H1150" s="3">
        <v>40743.769500000002</v>
      </c>
      <c r="I1150" s="1" t="s">
        <v>500</v>
      </c>
      <c r="J1150" s="1" t="s">
        <v>501</v>
      </c>
      <c r="K1150" s="1" t="s">
        <v>502</v>
      </c>
    </row>
    <row r="1151" spans="1:11" ht="12.75" customHeight="1" x14ac:dyDescent="0.2">
      <c r="A1151" s="1" t="s">
        <v>1493</v>
      </c>
      <c r="B1151" s="1" t="s">
        <v>1494</v>
      </c>
      <c r="C1151" s="2">
        <v>540</v>
      </c>
      <c r="D1151" s="2">
        <v>5940</v>
      </c>
      <c r="E1151" s="2">
        <v>0</v>
      </c>
      <c r="F1151" s="2">
        <v>582</v>
      </c>
      <c r="G1151" s="2">
        <v>19.472799999999999</v>
      </c>
      <c r="H1151" s="3">
        <v>10515.312</v>
      </c>
      <c r="I1151" s="1" t="s">
        <v>12</v>
      </c>
      <c r="J1151" s="1" t="s">
        <v>13</v>
      </c>
      <c r="K1151" s="1" t="s">
        <v>14</v>
      </c>
    </row>
    <row r="1152" spans="1:11" ht="12.75" customHeight="1" x14ac:dyDescent="0.2">
      <c r="A1152" s="1" t="s">
        <v>1493</v>
      </c>
      <c r="B1152" s="1" t="s">
        <v>1494</v>
      </c>
      <c r="C1152" s="2">
        <v>55</v>
      </c>
      <c r="D1152" s="2">
        <v>605</v>
      </c>
      <c r="E1152" s="2">
        <v>0</v>
      </c>
      <c r="F1152" s="2">
        <v>55</v>
      </c>
      <c r="G1152" s="2">
        <v>19.632300000000001</v>
      </c>
      <c r="H1152" s="3">
        <v>1079.7764999999999</v>
      </c>
      <c r="I1152" s="1" t="s">
        <v>17</v>
      </c>
      <c r="J1152" s="1" t="s">
        <v>18</v>
      </c>
      <c r="K1152" s="1" t="s">
        <v>19</v>
      </c>
    </row>
    <row r="1153" spans="1:11" ht="12.75" customHeight="1" x14ac:dyDescent="0.2">
      <c r="A1153" s="1" t="s">
        <v>1493</v>
      </c>
      <c r="B1153" s="1" t="s">
        <v>1494</v>
      </c>
      <c r="C1153" s="2">
        <v>781</v>
      </c>
      <c r="D1153" s="2">
        <v>8591</v>
      </c>
      <c r="E1153" s="2">
        <v>0</v>
      </c>
      <c r="F1153" s="2">
        <v>1022</v>
      </c>
      <c r="G1153" s="2">
        <v>18.033799999999999</v>
      </c>
      <c r="H1153" s="3">
        <v>14084.397800000001</v>
      </c>
      <c r="I1153" s="1" t="s">
        <v>24</v>
      </c>
      <c r="J1153" s="1" t="s">
        <v>25</v>
      </c>
      <c r="K1153" s="1" t="s">
        <v>26</v>
      </c>
    </row>
    <row r="1154" spans="1:11" ht="12.75" customHeight="1" x14ac:dyDescent="0.2">
      <c r="A1154" s="1" t="s">
        <v>1493</v>
      </c>
      <c r="B1154" s="1" t="s">
        <v>1494</v>
      </c>
      <c r="C1154" s="2">
        <v>322</v>
      </c>
      <c r="D1154" s="2">
        <v>3542</v>
      </c>
      <c r="E1154" s="2">
        <v>0</v>
      </c>
      <c r="F1154" s="2">
        <v>264</v>
      </c>
      <c r="G1154" s="2">
        <v>18.319099999999999</v>
      </c>
      <c r="H1154" s="3">
        <v>5898.7502000000004</v>
      </c>
      <c r="I1154" s="1" t="s">
        <v>330</v>
      </c>
      <c r="J1154" s="1" t="s">
        <v>331</v>
      </c>
      <c r="K1154" s="1" t="s">
        <v>332</v>
      </c>
    </row>
    <row r="1155" spans="1:11" ht="12.75" customHeight="1" x14ac:dyDescent="0.2">
      <c r="A1155" s="1" t="s">
        <v>1493</v>
      </c>
      <c r="B1155" s="1" t="s">
        <v>1494</v>
      </c>
      <c r="C1155" s="2">
        <v>490</v>
      </c>
      <c r="D1155" s="2">
        <v>5390</v>
      </c>
      <c r="E1155" s="2">
        <v>0</v>
      </c>
      <c r="F1155" s="2">
        <v>0</v>
      </c>
      <c r="G1155" s="2">
        <v>20.363299999999999</v>
      </c>
      <c r="H1155" s="3">
        <v>9978.0169999999998</v>
      </c>
      <c r="I1155" s="1" t="s">
        <v>500</v>
      </c>
      <c r="J1155" s="1" t="s">
        <v>501</v>
      </c>
      <c r="K1155" s="1" t="s">
        <v>502</v>
      </c>
    </row>
    <row r="1156" spans="1:11" ht="12.75" customHeight="1" x14ac:dyDescent="0.2">
      <c r="A1156" s="1" t="s">
        <v>1493</v>
      </c>
      <c r="B1156" s="1" t="s">
        <v>1494</v>
      </c>
      <c r="C1156" s="2">
        <v>245</v>
      </c>
      <c r="D1156" s="2">
        <v>2695</v>
      </c>
      <c r="E1156" s="2">
        <v>0</v>
      </c>
      <c r="F1156" s="2">
        <v>0</v>
      </c>
      <c r="G1156" s="2">
        <v>20.363299999999999</v>
      </c>
      <c r="H1156" s="3">
        <v>4989.0084999999999</v>
      </c>
      <c r="I1156" s="1" t="s">
        <v>613</v>
      </c>
      <c r="J1156" s="1" t="s">
        <v>614</v>
      </c>
      <c r="K1156" s="1" t="s">
        <v>615</v>
      </c>
    </row>
    <row r="1157" spans="1:11" ht="12.75" customHeight="1" x14ac:dyDescent="0.2">
      <c r="A1157" s="1" t="s">
        <v>1495</v>
      </c>
      <c r="B1157" s="1" t="s">
        <v>1496</v>
      </c>
      <c r="C1157" s="2">
        <v>980</v>
      </c>
      <c r="D1157" s="2">
        <v>11760</v>
      </c>
      <c r="E1157" s="2">
        <v>490</v>
      </c>
      <c r="F1157" s="2">
        <v>371</v>
      </c>
      <c r="G1157" s="2">
        <v>21.6633</v>
      </c>
      <c r="H1157" s="3">
        <v>21230.034</v>
      </c>
      <c r="I1157" s="1" t="s">
        <v>12</v>
      </c>
      <c r="J1157" s="1" t="s">
        <v>13</v>
      </c>
      <c r="K1157" s="1" t="s">
        <v>14</v>
      </c>
    </row>
    <row r="1158" spans="1:11" ht="12.75" customHeight="1" x14ac:dyDescent="0.2">
      <c r="A1158" s="1" t="s">
        <v>1495</v>
      </c>
      <c r="B1158" s="1" t="s">
        <v>1496</v>
      </c>
      <c r="C1158" s="2">
        <v>525</v>
      </c>
      <c r="D1158" s="2">
        <v>6300</v>
      </c>
      <c r="E1158" s="2">
        <v>0</v>
      </c>
      <c r="F1158" s="2">
        <v>211</v>
      </c>
      <c r="G1158" s="2">
        <v>22.252700000000001</v>
      </c>
      <c r="H1158" s="3">
        <v>11682.6675</v>
      </c>
      <c r="I1158" s="1" t="s">
        <v>17</v>
      </c>
      <c r="J1158" s="1" t="s">
        <v>18</v>
      </c>
      <c r="K1158" s="1" t="s">
        <v>19</v>
      </c>
    </row>
    <row r="1159" spans="1:11" ht="12.75" customHeight="1" x14ac:dyDescent="0.2">
      <c r="A1159" s="1" t="s">
        <v>1495</v>
      </c>
      <c r="B1159" s="1" t="s">
        <v>1496</v>
      </c>
      <c r="C1159" s="2">
        <v>438</v>
      </c>
      <c r="D1159" s="2">
        <v>5256</v>
      </c>
      <c r="E1159" s="2">
        <v>0</v>
      </c>
      <c r="F1159" s="2">
        <v>602</v>
      </c>
      <c r="G1159" s="2">
        <v>19.676300000000001</v>
      </c>
      <c r="H1159" s="3">
        <v>8618.2194</v>
      </c>
      <c r="I1159" s="1" t="s">
        <v>24</v>
      </c>
      <c r="J1159" s="1" t="s">
        <v>25</v>
      </c>
      <c r="K1159" s="1" t="s">
        <v>26</v>
      </c>
    </row>
    <row r="1160" spans="1:11" ht="12.75" customHeight="1" x14ac:dyDescent="0.2">
      <c r="A1160" s="1" t="s">
        <v>1495</v>
      </c>
      <c r="B1160" s="1" t="s">
        <v>1496</v>
      </c>
      <c r="C1160" s="2">
        <v>914</v>
      </c>
      <c r="D1160" s="2">
        <v>10968</v>
      </c>
      <c r="E1160" s="2">
        <v>0</v>
      </c>
      <c r="F1160" s="2">
        <v>749</v>
      </c>
      <c r="G1160" s="2">
        <v>19.641999999999999</v>
      </c>
      <c r="H1160" s="3">
        <v>17952.788</v>
      </c>
      <c r="I1160" s="1" t="s">
        <v>330</v>
      </c>
      <c r="J1160" s="1" t="s">
        <v>331</v>
      </c>
      <c r="K1160" s="1" t="s">
        <v>332</v>
      </c>
    </row>
    <row r="1161" spans="1:11" ht="12.75" customHeight="1" x14ac:dyDescent="0.2">
      <c r="A1161" s="1" t="s">
        <v>1495</v>
      </c>
      <c r="B1161" s="1" t="s">
        <v>1496</v>
      </c>
      <c r="C1161" s="2">
        <v>490</v>
      </c>
      <c r="D1161" s="2">
        <v>5880</v>
      </c>
      <c r="E1161" s="2">
        <v>0</v>
      </c>
      <c r="F1161" s="2">
        <v>0</v>
      </c>
      <c r="G1161" s="2">
        <v>22.25</v>
      </c>
      <c r="H1161" s="3">
        <v>10902.5</v>
      </c>
      <c r="I1161" s="1" t="s">
        <v>613</v>
      </c>
      <c r="J1161" s="1" t="s">
        <v>614</v>
      </c>
      <c r="K1161" s="1" t="s">
        <v>615</v>
      </c>
    </row>
    <row r="1162" spans="1:11" ht="12.75" customHeight="1" x14ac:dyDescent="0.2">
      <c r="A1162" s="1" t="s">
        <v>1497</v>
      </c>
      <c r="B1162" s="1" t="s">
        <v>1498</v>
      </c>
      <c r="C1162" s="2">
        <v>670</v>
      </c>
      <c r="D1162" s="2">
        <v>8710</v>
      </c>
      <c r="E1162" s="2">
        <v>0</v>
      </c>
      <c r="F1162" s="2">
        <v>1160</v>
      </c>
      <c r="G1162" s="2">
        <v>22.3217</v>
      </c>
      <c r="H1162" s="3">
        <v>14955.539000000001</v>
      </c>
      <c r="I1162" s="1" t="s">
        <v>12</v>
      </c>
      <c r="J1162" s="1" t="s">
        <v>13</v>
      </c>
      <c r="K1162" s="1" t="s">
        <v>14</v>
      </c>
    </row>
    <row r="1163" spans="1:11" ht="12.75" customHeight="1" x14ac:dyDescent="0.2">
      <c r="A1163" s="1" t="s">
        <v>1497</v>
      </c>
      <c r="B1163" s="1" t="s">
        <v>1498</v>
      </c>
      <c r="C1163" s="2">
        <v>177</v>
      </c>
      <c r="D1163" s="2">
        <v>2301</v>
      </c>
      <c r="E1163" s="2">
        <v>0</v>
      </c>
      <c r="F1163" s="2">
        <v>76</v>
      </c>
      <c r="G1163" s="2">
        <v>23.116299999999999</v>
      </c>
      <c r="H1163" s="3">
        <v>4091.5850999999998</v>
      </c>
      <c r="I1163" s="1" t="s">
        <v>17</v>
      </c>
      <c r="J1163" s="1" t="s">
        <v>18</v>
      </c>
      <c r="K1163" s="1" t="s">
        <v>19</v>
      </c>
    </row>
    <row r="1164" spans="1:11" ht="12.75" customHeight="1" x14ac:dyDescent="0.2">
      <c r="A1164" s="1" t="s">
        <v>1497</v>
      </c>
      <c r="B1164" s="1" t="s">
        <v>1498</v>
      </c>
      <c r="C1164" s="2">
        <v>1943</v>
      </c>
      <c r="D1164" s="2">
        <v>25259</v>
      </c>
      <c r="E1164" s="2">
        <v>0</v>
      </c>
      <c r="F1164" s="2">
        <v>2219</v>
      </c>
      <c r="G1164" s="2">
        <v>21.238499999999998</v>
      </c>
      <c r="H1164" s="3">
        <v>41266.405500000001</v>
      </c>
      <c r="I1164" s="1" t="s">
        <v>24</v>
      </c>
      <c r="J1164" s="1" t="s">
        <v>25</v>
      </c>
      <c r="K1164" s="1" t="s">
        <v>26</v>
      </c>
    </row>
    <row r="1165" spans="1:11" ht="12.75" customHeight="1" x14ac:dyDescent="0.2">
      <c r="A1165" s="1" t="s">
        <v>1497</v>
      </c>
      <c r="B1165" s="1" t="s">
        <v>1498</v>
      </c>
      <c r="C1165" s="2">
        <v>673</v>
      </c>
      <c r="D1165" s="2">
        <v>8749</v>
      </c>
      <c r="E1165" s="2">
        <v>0</v>
      </c>
      <c r="F1165" s="2">
        <v>391</v>
      </c>
      <c r="G1165" s="2">
        <v>21.298999999999999</v>
      </c>
      <c r="H1165" s="3">
        <v>14334.227000000001</v>
      </c>
      <c r="I1165" s="1" t="s">
        <v>330</v>
      </c>
      <c r="J1165" s="1" t="s">
        <v>331</v>
      </c>
      <c r="K1165" s="1" t="s">
        <v>332</v>
      </c>
    </row>
    <row r="1166" spans="1:11" ht="12.75" customHeight="1" x14ac:dyDescent="0.2">
      <c r="A1166" s="1" t="s">
        <v>1497</v>
      </c>
      <c r="B1166" s="1" t="s">
        <v>1498</v>
      </c>
      <c r="C1166" s="2">
        <v>245</v>
      </c>
      <c r="D1166" s="2">
        <v>3185</v>
      </c>
      <c r="E1166" s="2">
        <v>0</v>
      </c>
      <c r="F1166" s="2">
        <v>0</v>
      </c>
      <c r="G1166" s="2">
        <v>23.965599999999998</v>
      </c>
      <c r="H1166" s="3">
        <v>5871.5720000000001</v>
      </c>
      <c r="I1166" s="1" t="s">
        <v>613</v>
      </c>
      <c r="J1166" s="1" t="s">
        <v>614</v>
      </c>
      <c r="K1166" s="1" t="s">
        <v>615</v>
      </c>
    </row>
    <row r="1167" spans="1:11" ht="12.75" customHeight="1" x14ac:dyDescent="0.2">
      <c r="A1167" s="1" t="s">
        <v>1497</v>
      </c>
      <c r="B1167" s="1" t="s">
        <v>1498</v>
      </c>
      <c r="C1167" s="2">
        <v>1225</v>
      </c>
      <c r="D1167" s="2">
        <v>15925</v>
      </c>
      <c r="E1167" s="2">
        <v>0</v>
      </c>
      <c r="F1167" s="2">
        <v>0</v>
      </c>
      <c r="G1167" s="2">
        <v>23.965599999999998</v>
      </c>
      <c r="H1167" s="3">
        <v>29357.86</v>
      </c>
      <c r="I1167" s="1" t="s">
        <v>500</v>
      </c>
      <c r="J1167" s="1" t="s">
        <v>501</v>
      </c>
      <c r="K1167" s="1" t="s">
        <v>502</v>
      </c>
    </row>
    <row r="1168" spans="1:11" ht="12.75" customHeight="1" x14ac:dyDescent="0.2">
      <c r="A1168" s="1" t="s">
        <v>1499</v>
      </c>
      <c r="B1168" s="1" t="s">
        <v>1500</v>
      </c>
      <c r="C1168" s="2">
        <v>735</v>
      </c>
      <c r="D1168" s="2">
        <v>10290</v>
      </c>
      <c r="E1168" s="2">
        <v>245</v>
      </c>
      <c r="F1168" s="2">
        <v>735</v>
      </c>
      <c r="G1168" s="2">
        <v>25.379000000000001</v>
      </c>
      <c r="H1168" s="3">
        <v>18653.564999999999</v>
      </c>
      <c r="I1168" s="1" t="s">
        <v>12</v>
      </c>
      <c r="J1168" s="1" t="s">
        <v>13</v>
      </c>
      <c r="K1168" s="1" t="s">
        <v>14</v>
      </c>
    </row>
    <row r="1169" spans="1:11" ht="12.75" customHeight="1" x14ac:dyDescent="0.2">
      <c r="A1169" s="1" t="s">
        <v>1499</v>
      </c>
      <c r="B1169" s="1" t="s">
        <v>1500</v>
      </c>
      <c r="C1169" s="2">
        <v>548</v>
      </c>
      <c r="D1169" s="2">
        <v>7672</v>
      </c>
      <c r="E1169" s="2">
        <v>0</v>
      </c>
      <c r="F1169" s="2">
        <v>301</v>
      </c>
      <c r="G1169" s="2">
        <v>25.288599999999999</v>
      </c>
      <c r="H1169" s="3">
        <v>13858.1528</v>
      </c>
      <c r="I1169" s="1" t="s">
        <v>17</v>
      </c>
      <c r="J1169" s="1" t="s">
        <v>18</v>
      </c>
      <c r="K1169" s="1" t="s">
        <v>19</v>
      </c>
    </row>
    <row r="1170" spans="1:11" ht="12.75" customHeight="1" x14ac:dyDescent="0.2">
      <c r="A1170" s="1" t="s">
        <v>1499</v>
      </c>
      <c r="B1170" s="1" t="s">
        <v>1500</v>
      </c>
      <c r="C1170" s="2">
        <v>575</v>
      </c>
      <c r="D1170" s="2">
        <v>8050</v>
      </c>
      <c r="E1170" s="2">
        <v>0</v>
      </c>
      <c r="F1170" s="2">
        <v>637</v>
      </c>
      <c r="G1170" s="2">
        <v>22.906099999999999</v>
      </c>
      <c r="H1170" s="3">
        <v>13171.0075</v>
      </c>
      <c r="I1170" s="1" t="s">
        <v>24</v>
      </c>
      <c r="J1170" s="1" t="s">
        <v>25</v>
      </c>
      <c r="K1170" s="1" t="s">
        <v>26</v>
      </c>
    </row>
    <row r="1171" spans="1:11" ht="12.75" customHeight="1" x14ac:dyDescent="0.2">
      <c r="A1171" s="1" t="s">
        <v>1499</v>
      </c>
      <c r="B1171" s="1" t="s">
        <v>1500</v>
      </c>
      <c r="C1171" s="2">
        <v>990</v>
      </c>
      <c r="D1171" s="2">
        <v>13860</v>
      </c>
      <c r="E1171" s="2">
        <v>0</v>
      </c>
      <c r="F1171" s="2">
        <v>786</v>
      </c>
      <c r="G1171" s="2">
        <v>23.211500000000001</v>
      </c>
      <c r="H1171" s="3">
        <v>22979.384999999998</v>
      </c>
      <c r="I1171" s="1" t="s">
        <v>330</v>
      </c>
      <c r="J1171" s="1" t="s">
        <v>331</v>
      </c>
      <c r="K1171" s="1" t="s">
        <v>332</v>
      </c>
    </row>
    <row r="1172" spans="1:11" ht="12.75" customHeight="1" x14ac:dyDescent="0.2">
      <c r="A1172" s="1" t="s">
        <v>1499</v>
      </c>
      <c r="B1172" s="1" t="s">
        <v>1500</v>
      </c>
      <c r="C1172" s="2">
        <v>245</v>
      </c>
      <c r="D1172" s="2">
        <v>3430</v>
      </c>
      <c r="E1172" s="2">
        <v>0</v>
      </c>
      <c r="F1172" s="2">
        <v>0</v>
      </c>
      <c r="G1172" s="2">
        <v>25.633800000000001</v>
      </c>
      <c r="H1172" s="3">
        <v>6280.2809999999999</v>
      </c>
      <c r="I1172" s="1" t="s">
        <v>613</v>
      </c>
      <c r="J1172" s="1" t="s">
        <v>614</v>
      </c>
      <c r="K1172" s="1" t="s">
        <v>615</v>
      </c>
    </row>
    <row r="1173" spans="1:11" ht="12.75" customHeight="1" x14ac:dyDescent="0.2">
      <c r="A1173" s="1" t="s">
        <v>1499</v>
      </c>
      <c r="B1173" s="1" t="s">
        <v>1500</v>
      </c>
      <c r="C1173" s="2">
        <v>833</v>
      </c>
      <c r="D1173" s="2">
        <v>11662</v>
      </c>
      <c r="E1173" s="2">
        <v>0</v>
      </c>
      <c r="F1173" s="2">
        <v>0</v>
      </c>
      <c r="G1173" s="2">
        <v>25.633800000000001</v>
      </c>
      <c r="H1173" s="3">
        <v>21352.955399999999</v>
      </c>
      <c r="I1173" s="1" t="s">
        <v>500</v>
      </c>
      <c r="J1173" s="1" t="s">
        <v>501</v>
      </c>
      <c r="K1173" s="1" t="s">
        <v>502</v>
      </c>
    </row>
    <row r="1174" spans="1:11" ht="12.75" customHeight="1" x14ac:dyDescent="0.2">
      <c r="A1174" s="1" t="s">
        <v>1501</v>
      </c>
      <c r="B1174" s="1" t="s">
        <v>1502</v>
      </c>
      <c r="C1174" s="2">
        <v>128</v>
      </c>
      <c r="D1174" s="2">
        <v>1920</v>
      </c>
      <c r="E1174" s="2">
        <v>0</v>
      </c>
      <c r="F1174" s="2">
        <v>0</v>
      </c>
      <c r="G1174" s="2">
        <v>29.0045</v>
      </c>
      <c r="H1174" s="3">
        <v>3712.576</v>
      </c>
      <c r="I1174" s="1" t="s">
        <v>17</v>
      </c>
      <c r="J1174" s="1" t="s">
        <v>18</v>
      </c>
      <c r="K1174" s="1" t="s">
        <v>19</v>
      </c>
    </row>
    <row r="1175" spans="1:11" ht="12.75" customHeight="1" x14ac:dyDescent="0.2">
      <c r="A1175" s="1" t="s">
        <v>1501</v>
      </c>
      <c r="B1175" s="1" t="s">
        <v>1502</v>
      </c>
      <c r="C1175" s="2">
        <v>151</v>
      </c>
      <c r="D1175" s="2">
        <v>2265</v>
      </c>
      <c r="E1175" s="2">
        <v>0</v>
      </c>
      <c r="F1175" s="2">
        <v>28</v>
      </c>
      <c r="G1175" s="2">
        <v>24.7272</v>
      </c>
      <c r="H1175" s="3">
        <v>3733.8072000000002</v>
      </c>
      <c r="I1175" s="1" t="s">
        <v>24</v>
      </c>
      <c r="J1175" s="1" t="s">
        <v>25</v>
      </c>
      <c r="K1175" s="1" t="s">
        <v>26</v>
      </c>
    </row>
    <row r="1176" spans="1:11" ht="12.75" customHeight="1" x14ac:dyDescent="0.2">
      <c r="A1176" s="1" t="s">
        <v>1501</v>
      </c>
      <c r="B1176" s="1" t="s">
        <v>1502</v>
      </c>
      <c r="C1176" s="2">
        <v>140</v>
      </c>
      <c r="D1176" s="2">
        <v>2100</v>
      </c>
      <c r="E1176" s="2">
        <v>0</v>
      </c>
      <c r="F1176" s="2">
        <v>105</v>
      </c>
      <c r="G1176" s="2">
        <v>25.203499999999998</v>
      </c>
      <c r="H1176" s="3">
        <v>3528.49</v>
      </c>
      <c r="I1176" s="1" t="s">
        <v>330</v>
      </c>
      <c r="J1176" s="1" t="s">
        <v>331</v>
      </c>
      <c r="K1176" s="1" t="s">
        <v>332</v>
      </c>
    </row>
    <row r="1177" spans="1:11" ht="12.75" customHeight="1" x14ac:dyDescent="0.2">
      <c r="A1177" s="1" t="s">
        <v>1501</v>
      </c>
      <c r="B1177" s="1" t="s">
        <v>1502</v>
      </c>
      <c r="C1177" s="2">
        <v>245</v>
      </c>
      <c r="D1177" s="2">
        <v>3675</v>
      </c>
      <c r="E1177" s="2">
        <v>0</v>
      </c>
      <c r="F1177" s="2">
        <v>0</v>
      </c>
      <c r="G1177" s="2">
        <v>27.81</v>
      </c>
      <c r="H1177" s="3">
        <v>6813.45</v>
      </c>
      <c r="I1177" s="1" t="s">
        <v>613</v>
      </c>
      <c r="J1177" s="1" t="s">
        <v>614</v>
      </c>
      <c r="K1177" s="1" t="s">
        <v>615</v>
      </c>
    </row>
    <row r="1178" spans="1:11" ht="12.75" customHeight="1" x14ac:dyDescent="0.2">
      <c r="A1178" s="1" t="s">
        <v>1503</v>
      </c>
      <c r="B1178" s="1" t="s">
        <v>1504</v>
      </c>
      <c r="C1178" s="2">
        <v>157</v>
      </c>
      <c r="D1178" s="2">
        <v>2512</v>
      </c>
      <c r="E1178" s="2">
        <v>0</v>
      </c>
      <c r="F1178" s="2">
        <v>1</v>
      </c>
      <c r="G1178" s="2">
        <v>30.247599999999998</v>
      </c>
      <c r="H1178" s="3">
        <v>4748.8732</v>
      </c>
      <c r="I1178" s="1" t="s">
        <v>17</v>
      </c>
      <c r="J1178" s="1" t="s">
        <v>18</v>
      </c>
      <c r="K1178" s="1" t="s">
        <v>19</v>
      </c>
    </row>
    <row r="1179" spans="1:11" ht="12.75" customHeight="1" x14ac:dyDescent="0.2">
      <c r="A1179" s="1" t="s">
        <v>1503</v>
      </c>
      <c r="B1179" s="1" t="s">
        <v>1504</v>
      </c>
      <c r="C1179" s="2">
        <v>329</v>
      </c>
      <c r="D1179" s="2">
        <v>5264</v>
      </c>
      <c r="E1179" s="2">
        <v>0</v>
      </c>
      <c r="F1179" s="2">
        <v>203</v>
      </c>
      <c r="G1179" s="2">
        <v>26.3935</v>
      </c>
      <c r="H1179" s="3">
        <v>8683.4614999999994</v>
      </c>
      <c r="I1179" s="1" t="s">
        <v>330</v>
      </c>
      <c r="J1179" s="1" t="s">
        <v>331</v>
      </c>
      <c r="K1179" s="1" t="s">
        <v>332</v>
      </c>
    </row>
    <row r="1180" spans="1:11" ht="12.75" customHeight="1" x14ac:dyDescent="0.2">
      <c r="A1180" s="1" t="s">
        <v>1503</v>
      </c>
      <c r="B1180" s="1" t="s">
        <v>1504</v>
      </c>
      <c r="C1180" s="2">
        <v>168</v>
      </c>
      <c r="D1180" s="2">
        <v>2688</v>
      </c>
      <c r="E1180" s="2">
        <v>0</v>
      </c>
      <c r="F1180" s="2">
        <v>0</v>
      </c>
      <c r="G1180" s="2">
        <v>29.66</v>
      </c>
      <c r="H1180" s="3">
        <v>4982.88</v>
      </c>
      <c r="I1180" s="1" t="s">
        <v>613</v>
      </c>
      <c r="J1180" s="1" t="s">
        <v>614</v>
      </c>
      <c r="K1180" s="1" t="s">
        <v>615</v>
      </c>
    </row>
    <row r="1181" spans="1:11" ht="12.75" customHeight="1" x14ac:dyDescent="0.2">
      <c r="A1181" s="1" t="s">
        <v>1505</v>
      </c>
      <c r="B1181" s="1" t="s">
        <v>1506</v>
      </c>
      <c r="C1181" s="2">
        <v>15</v>
      </c>
      <c r="D1181" s="2">
        <v>60</v>
      </c>
      <c r="E1181" s="2">
        <v>245</v>
      </c>
      <c r="F1181" s="2">
        <v>15</v>
      </c>
      <c r="G1181" s="2">
        <v>6.5307000000000004</v>
      </c>
      <c r="H1181" s="3">
        <v>97.960499999999996</v>
      </c>
      <c r="I1181" s="1" t="s">
        <v>12</v>
      </c>
      <c r="J1181" s="1" t="s">
        <v>13</v>
      </c>
      <c r="K1181" s="1" t="s">
        <v>14</v>
      </c>
    </row>
    <row r="1182" spans="1:11" ht="12.75" customHeight="1" x14ac:dyDescent="0.2">
      <c r="A1182" s="1" t="s">
        <v>1505</v>
      </c>
      <c r="B1182" s="1" t="s">
        <v>1506</v>
      </c>
      <c r="C1182" s="2">
        <v>146</v>
      </c>
      <c r="D1182" s="2">
        <v>584</v>
      </c>
      <c r="E1182" s="2">
        <v>0</v>
      </c>
      <c r="F1182" s="2">
        <v>146</v>
      </c>
      <c r="G1182" s="2">
        <v>6.7218999999999998</v>
      </c>
      <c r="H1182" s="3">
        <v>981.39739999999995</v>
      </c>
      <c r="I1182" s="1" t="s">
        <v>17</v>
      </c>
      <c r="J1182" s="1" t="s">
        <v>18</v>
      </c>
      <c r="K1182" s="1" t="s">
        <v>19</v>
      </c>
    </row>
    <row r="1183" spans="1:11" ht="12.75" customHeight="1" x14ac:dyDescent="0.2">
      <c r="A1183" s="1" t="s">
        <v>1505</v>
      </c>
      <c r="B1183" s="1" t="s">
        <v>1506</v>
      </c>
      <c r="C1183" s="2">
        <v>620</v>
      </c>
      <c r="D1183" s="2">
        <v>2480</v>
      </c>
      <c r="E1183" s="2">
        <v>0</v>
      </c>
      <c r="F1183" s="2">
        <v>539</v>
      </c>
      <c r="G1183" s="2">
        <v>6.5247999999999999</v>
      </c>
      <c r="H1183" s="3">
        <v>4045.3760000000002</v>
      </c>
      <c r="I1183" s="1" t="s">
        <v>24</v>
      </c>
      <c r="J1183" s="1" t="s">
        <v>25</v>
      </c>
      <c r="K1183" s="1" t="s">
        <v>26</v>
      </c>
    </row>
    <row r="1184" spans="1:11" ht="12.75" customHeight="1" x14ac:dyDescent="0.2">
      <c r="A1184" s="1" t="s">
        <v>1505</v>
      </c>
      <c r="B1184" s="1" t="s">
        <v>1506</v>
      </c>
      <c r="C1184" s="2">
        <v>997</v>
      </c>
      <c r="D1184" s="2">
        <v>3988</v>
      </c>
      <c r="E1184" s="2">
        <v>0</v>
      </c>
      <c r="F1184" s="2">
        <v>675</v>
      </c>
      <c r="G1184" s="2">
        <v>6.6249000000000002</v>
      </c>
      <c r="H1184" s="3">
        <v>6605.0253000000002</v>
      </c>
      <c r="I1184" s="1" t="s">
        <v>330</v>
      </c>
      <c r="J1184" s="1" t="s">
        <v>331</v>
      </c>
      <c r="K1184" s="1" t="s">
        <v>332</v>
      </c>
    </row>
    <row r="1185" spans="1:11" ht="12.75" customHeight="1" x14ac:dyDescent="0.2">
      <c r="A1185" s="1" t="s">
        <v>1505</v>
      </c>
      <c r="B1185" s="1" t="s">
        <v>1506</v>
      </c>
      <c r="C1185" s="2">
        <v>245</v>
      </c>
      <c r="D1185" s="2">
        <v>980</v>
      </c>
      <c r="E1185" s="2">
        <v>0</v>
      </c>
      <c r="F1185" s="2">
        <v>0</v>
      </c>
      <c r="G1185" s="2">
        <v>7.42</v>
      </c>
      <c r="H1185" s="3">
        <v>1817.9</v>
      </c>
      <c r="I1185" s="1" t="s">
        <v>613</v>
      </c>
      <c r="J1185" s="1" t="s">
        <v>614</v>
      </c>
      <c r="K1185" s="1" t="s">
        <v>615</v>
      </c>
    </row>
    <row r="1186" spans="1:11" ht="12.75" customHeight="1" x14ac:dyDescent="0.2">
      <c r="A1186" s="1" t="s">
        <v>1507</v>
      </c>
      <c r="B1186" s="1" t="s">
        <v>1508</v>
      </c>
      <c r="C1186" s="2">
        <v>40</v>
      </c>
      <c r="D1186" s="2">
        <v>200</v>
      </c>
      <c r="E1186" s="2">
        <v>245</v>
      </c>
      <c r="F1186" s="2">
        <v>285</v>
      </c>
      <c r="G1186" s="2">
        <v>8.4751999999999992</v>
      </c>
      <c r="H1186" s="3">
        <v>339.00799999999998</v>
      </c>
      <c r="I1186" s="1" t="s">
        <v>12</v>
      </c>
      <c r="J1186" s="1" t="s">
        <v>13</v>
      </c>
      <c r="K1186" s="1" t="s">
        <v>14</v>
      </c>
    </row>
    <row r="1187" spans="1:11" ht="12.75" customHeight="1" x14ac:dyDescent="0.2">
      <c r="A1187" s="1" t="s">
        <v>1507</v>
      </c>
      <c r="B1187" s="1" t="s">
        <v>1508</v>
      </c>
      <c r="C1187" s="2">
        <v>2</v>
      </c>
      <c r="D1187" s="2">
        <v>10</v>
      </c>
      <c r="E1187" s="2">
        <v>0</v>
      </c>
      <c r="F1187" s="2">
        <v>0</v>
      </c>
      <c r="G1187" s="2">
        <v>10.430199999999999</v>
      </c>
      <c r="H1187" s="3">
        <v>20.860399999999998</v>
      </c>
      <c r="I1187" s="1" t="s">
        <v>17</v>
      </c>
      <c r="J1187" s="1" t="s">
        <v>18</v>
      </c>
      <c r="K1187" s="1" t="s">
        <v>19</v>
      </c>
    </row>
    <row r="1188" spans="1:11" ht="12.75" customHeight="1" x14ac:dyDescent="0.2">
      <c r="A1188" s="1" t="s">
        <v>1507</v>
      </c>
      <c r="B1188" s="1" t="s">
        <v>1508</v>
      </c>
      <c r="C1188" s="2">
        <v>343</v>
      </c>
      <c r="D1188" s="2">
        <v>1715</v>
      </c>
      <c r="E1188" s="2">
        <v>0</v>
      </c>
      <c r="F1188" s="2">
        <v>504</v>
      </c>
      <c r="G1188" s="2">
        <v>8.1560000000000006</v>
      </c>
      <c r="H1188" s="3">
        <v>2797.5079999999998</v>
      </c>
      <c r="I1188" s="1" t="s">
        <v>24</v>
      </c>
      <c r="J1188" s="1" t="s">
        <v>25</v>
      </c>
      <c r="K1188" s="1" t="s">
        <v>26</v>
      </c>
    </row>
    <row r="1189" spans="1:11" ht="12.75" customHeight="1" x14ac:dyDescent="0.2">
      <c r="A1189" s="1" t="s">
        <v>1507</v>
      </c>
      <c r="B1189" s="1" t="s">
        <v>1508</v>
      </c>
      <c r="C1189" s="2">
        <v>371</v>
      </c>
      <c r="D1189" s="2">
        <v>1855</v>
      </c>
      <c r="E1189" s="2">
        <v>0</v>
      </c>
      <c r="F1189" s="2">
        <v>301</v>
      </c>
      <c r="G1189" s="2">
        <v>8.2657000000000007</v>
      </c>
      <c r="H1189" s="3">
        <v>3066.5747000000001</v>
      </c>
      <c r="I1189" s="1" t="s">
        <v>330</v>
      </c>
      <c r="J1189" s="1" t="s">
        <v>331</v>
      </c>
      <c r="K1189" s="1" t="s">
        <v>332</v>
      </c>
    </row>
    <row r="1190" spans="1:11" ht="12.75" customHeight="1" x14ac:dyDescent="0.2">
      <c r="A1190" s="1" t="s">
        <v>1507</v>
      </c>
      <c r="B1190" s="1" t="s">
        <v>1508</v>
      </c>
      <c r="C1190" s="2">
        <v>245</v>
      </c>
      <c r="D1190" s="2">
        <v>1225</v>
      </c>
      <c r="E1190" s="2">
        <v>0</v>
      </c>
      <c r="F1190" s="2">
        <v>0</v>
      </c>
      <c r="G1190" s="2">
        <v>9.27</v>
      </c>
      <c r="H1190" s="3">
        <v>2271.15</v>
      </c>
      <c r="I1190" s="1" t="s">
        <v>613</v>
      </c>
      <c r="J1190" s="1" t="s">
        <v>614</v>
      </c>
      <c r="K1190" s="1" t="s">
        <v>615</v>
      </c>
    </row>
    <row r="1191" spans="1:11" ht="12.75" customHeight="1" x14ac:dyDescent="0.2">
      <c r="A1191" s="1" t="s">
        <v>1509</v>
      </c>
      <c r="B1191" s="1" t="s">
        <v>1510</v>
      </c>
      <c r="C1191" s="2">
        <v>10</v>
      </c>
      <c r="D1191" s="2">
        <v>60</v>
      </c>
      <c r="E1191" s="2">
        <v>0</v>
      </c>
      <c r="F1191" s="2">
        <v>280</v>
      </c>
      <c r="G1191" s="2">
        <v>9.7873000000000001</v>
      </c>
      <c r="H1191" s="3">
        <v>97.873000000000005</v>
      </c>
      <c r="I1191" s="1" t="s">
        <v>12</v>
      </c>
      <c r="J1191" s="1" t="s">
        <v>13</v>
      </c>
      <c r="K1191" s="1" t="s">
        <v>14</v>
      </c>
    </row>
    <row r="1192" spans="1:11" ht="12.75" customHeight="1" x14ac:dyDescent="0.2">
      <c r="A1192" s="1" t="s">
        <v>1509</v>
      </c>
      <c r="B1192" s="1" t="s">
        <v>1510</v>
      </c>
      <c r="C1192" s="2">
        <v>360</v>
      </c>
      <c r="D1192" s="2">
        <v>2160</v>
      </c>
      <c r="E1192" s="2">
        <v>0</v>
      </c>
      <c r="F1192" s="2">
        <v>219</v>
      </c>
      <c r="G1192" s="2">
        <v>10.699299999999999</v>
      </c>
      <c r="H1192" s="3">
        <v>3851.748</v>
      </c>
      <c r="I1192" s="1" t="s">
        <v>17</v>
      </c>
      <c r="J1192" s="1" t="s">
        <v>18</v>
      </c>
      <c r="K1192" s="1" t="s">
        <v>19</v>
      </c>
    </row>
    <row r="1193" spans="1:11" ht="12.75" customHeight="1" x14ac:dyDescent="0.2">
      <c r="A1193" s="1" t="s">
        <v>1509</v>
      </c>
      <c r="B1193" s="1" t="s">
        <v>1510</v>
      </c>
      <c r="C1193" s="2">
        <v>646</v>
      </c>
      <c r="D1193" s="2">
        <v>3876</v>
      </c>
      <c r="E1193" s="2">
        <v>0</v>
      </c>
      <c r="F1193" s="2">
        <v>539</v>
      </c>
      <c r="G1193" s="2">
        <v>9.7872000000000003</v>
      </c>
      <c r="H1193" s="3">
        <v>6322.5312000000004</v>
      </c>
      <c r="I1193" s="1" t="s">
        <v>24</v>
      </c>
      <c r="J1193" s="1" t="s">
        <v>25</v>
      </c>
      <c r="K1193" s="1" t="s">
        <v>26</v>
      </c>
    </row>
    <row r="1194" spans="1:11" ht="12.75" customHeight="1" x14ac:dyDescent="0.2">
      <c r="A1194" s="1" t="s">
        <v>1509</v>
      </c>
      <c r="B1194" s="1" t="s">
        <v>1510</v>
      </c>
      <c r="C1194" s="2">
        <v>444</v>
      </c>
      <c r="D1194" s="2">
        <v>2664</v>
      </c>
      <c r="E1194" s="2">
        <v>0</v>
      </c>
      <c r="F1194" s="2">
        <v>315</v>
      </c>
      <c r="G1194" s="2">
        <v>9.7872000000000003</v>
      </c>
      <c r="H1194" s="3">
        <v>4345.5168000000003</v>
      </c>
      <c r="I1194" s="1" t="s">
        <v>330</v>
      </c>
      <c r="J1194" s="1" t="s">
        <v>331</v>
      </c>
      <c r="K1194" s="1" t="s">
        <v>332</v>
      </c>
    </row>
    <row r="1195" spans="1:11" ht="12.75" customHeight="1" x14ac:dyDescent="0.2">
      <c r="A1195" s="1" t="s">
        <v>1509</v>
      </c>
      <c r="B1195" s="1" t="s">
        <v>1510</v>
      </c>
      <c r="C1195" s="2">
        <v>245</v>
      </c>
      <c r="D1195" s="2">
        <v>1470</v>
      </c>
      <c r="E1195" s="2">
        <v>0</v>
      </c>
      <c r="F1195" s="2">
        <v>0</v>
      </c>
      <c r="G1195" s="2">
        <v>11.1167</v>
      </c>
      <c r="H1195" s="3">
        <v>2723.5915</v>
      </c>
      <c r="I1195" s="1" t="s">
        <v>613</v>
      </c>
      <c r="J1195" s="1" t="s">
        <v>614</v>
      </c>
      <c r="K1195" s="1" t="s">
        <v>615</v>
      </c>
    </row>
    <row r="1196" spans="1:11" ht="12.75" customHeight="1" x14ac:dyDescent="0.2">
      <c r="A1196" s="1" t="s">
        <v>1509</v>
      </c>
      <c r="B1196" s="1" t="s">
        <v>1510</v>
      </c>
      <c r="C1196" s="2">
        <v>490</v>
      </c>
      <c r="D1196" s="2">
        <v>2940</v>
      </c>
      <c r="E1196" s="2">
        <v>0</v>
      </c>
      <c r="F1196" s="2">
        <v>0</v>
      </c>
      <c r="G1196" s="2">
        <v>11.1167</v>
      </c>
      <c r="H1196" s="3">
        <v>5447.183</v>
      </c>
      <c r="I1196" s="1" t="s">
        <v>500</v>
      </c>
      <c r="J1196" s="1" t="s">
        <v>501</v>
      </c>
      <c r="K1196" s="1" t="s">
        <v>502</v>
      </c>
    </row>
    <row r="1197" spans="1:11" ht="12.75" customHeight="1" x14ac:dyDescent="0.2">
      <c r="A1197" s="1" t="s">
        <v>1511</v>
      </c>
      <c r="B1197" s="1" t="s">
        <v>1512</v>
      </c>
      <c r="C1197" s="2">
        <v>550</v>
      </c>
      <c r="D1197" s="2">
        <v>3850</v>
      </c>
      <c r="E1197" s="2">
        <v>490</v>
      </c>
      <c r="F1197" s="2">
        <v>620</v>
      </c>
      <c r="G1197" s="2">
        <v>12.2735</v>
      </c>
      <c r="H1197" s="3">
        <v>6750.4250000000002</v>
      </c>
      <c r="I1197" s="1" t="s">
        <v>12</v>
      </c>
      <c r="J1197" s="1" t="s">
        <v>13</v>
      </c>
      <c r="K1197" s="1" t="s">
        <v>14</v>
      </c>
    </row>
    <row r="1198" spans="1:11" ht="12.75" customHeight="1" x14ac:dyDescent="0.2">
      <c r="A1198" s="1" t="s">
        <v>1511</v>
      </c>
      <c r="B1198" s="1" t="s">
        <v>1512</v>
      </c>
      <c r="C1198" s="2">
        <v>664</v>
      </c>
      <c r="D1198" s="2">
        <v>4648</v>
      </c>
      <c r="E1198" s="2">
        <v>0</v>
      </c>
      <c r="F1198" s="2">
        <v>162</v>
      </c>
      <c r="G1198" s="2">
        <v>12.7638</v>
      </c>
      <c r="H1198" s="3">
        <v>8475.1632000000009</v>
      </c>
      <c r="I1198" s="1" t="s">
        <v>17</v>
      </c>
      <c r="J1198" s="1" t="s">
        <v>18</v>
      </c>
      <c r="K1198" s="1" t="s">
        <v>19</v>
      </c>
    </row>
    <row r="1199" spans="1:11" ht="12.75" customHeight="1" x14ac:dyDescent="0.2">
      <c r="A1199" s="1" t="s">
        <v>1511</v>
      </c>
      <c r="B1199" s="1" t="s">
        <v>1512</v>
      </c>
      <c r="C1199" s="2">
        <v>1456</v>
      </c>
      <c r="D1199" s="2">
        <v>10192</v>
      </c>
      <c r="E1199" s="2">
        <v>0</v>
      </c>
      <c r="F1199" s="2">
        <v>1316</v>
      </c>
      <c r="G1199" s="2">
        <v>11.4537</v>
      </c>
      <c r="H1199" s="3">
        <v>16676.587200000002</v>
      </c>
      <c r="I1199" s="1" t="s">
        <v>24</v>
      </c>
      <c r="J1199" s="1" t="s">
        <v>25</v>
      </c>
      <c r="K1199" s="1" t="s">
        <v>26</v>
      </c>
    </row>
    <row r="1200" spans="1:11" ht="12.75" customHeight="1" x14ac:dyDescent="0.2">
      <c r="A1200" s="1" t="s">
        <v>1511</v>
      </c>
      <c r="B1200" s="1" t="s">
        <v>1512</v>
      </c>
      <c r="C1200" s="2">
        <v>2132</v>
      </c>
      <c r="D1200" s="2">
        <v>14924</v>
      </c>
      <c r="E1200" s="2">
        <v>0</v>
      </c>
      <c r="F1200" s="2">
        <v>1568</v>
      </c>
      <c r="G1200" s="2">
        <v>11.4717</v>
      </c>
      <c r="H1200" s="3">
        <v>24457.664400000001</v>
      </c>
      <c r="I1200" s="1" t="s">
        <v>330</v>
      </c>
      <c r="J1200" s="1" t="s">
        <v>331</v>
      </c>
      <c r="K1200" s="1" t="s">
        <v>332</v>
      </c>
    </row>
    <row r="1201" spans="1:11" ht="12.75" customHeight="1" x14ac:dyDescent="0.2">
      <c r="A1201" s="1" t="s">
        <v>1511</v>
      </c>
      <c r="B1201" s="1" t="s">
        <v>1512</v>
      </c>
      <c r="C1201" s="2">
        <v>490</v>
      </c>
      <c r="D1201" s="2">
        <v>3430</v>
      </c>
      <c r="E1201" s="2">
        <v>0</v>
      </c>
      <c r="F1201" s="2">
        <v>0</v>
      </c>
      <c r="G1201" s="2">
        <v>12.98</v>
      </c>
      <c r="H1201" s="3">
        <v>6360.2</v>
      </c>
      <c r="I1201" s="1" t="s">
        <v>613</v>
      </c>
      <c r="J1201" s="1" t="s">
        <v>614</v>
      </c>
      <c r="K1201" s="1" t="s">
        <v>615</v>
      </c>
    </row>
    <row r="1202" spans="1:11" ht="12.75" customHeight="1" x14ac:dyDescent="0.2">
      <c r="A1202" s="1" t="s">
        <v>1511</v>
      </c>
      <c r="B1202" s="1" t="s">
        <v>1512</v>
      </c>
      <c r="C1202" s="2">
        <v>1225</v>
      </c>
      <c r="D1202" s="2">
        <v>8575</v>
      </c>
      <c r="E1202" s="2">
        <v>0</v>
      </c>
      <c r="F1202" s="2">
        <v>0</v>
      </c>
      <c r="G1202" s="2">
        <v>12.98</v>
      </c>
      <c r="H1202" s="3">
        <v>15900.5</v>
      </c>
      <c r="I1202" s="1" t="s">
        <v>500</v>
      </c>
      <c r="J1202" s="1" t="s">
        <v>501</v>
      </c>
      <c r="K1202" s="1" t="s">
        <v>502</v>
      </c>
    </row>
    <row r="1203" spans="1:11" ht="12.75" customHeight="1" x14ac:dyDescent="0.2">
      <c r="A1203" s="1" t="s">
        <v>1513</v>
      </c>
      <c r="B1203" s="1" t="s">
        <v>1514</v>
      </c>
      <c r="C1203" s="2">
        <v>318</v>
      </c>
      <c r="D1203" s="2">
        <v>2544</v>
      </c>
      <c r="E1203" s="2">
        <v>0</v>
      </c>
      <c r="F1203" s="2">
        <v>1508</v>
      </c>
      <c r="G1203" s="2">
        <v>13.811199999999999</v>
      </c>
      <c r="H1203" s="3">
        <v>4391.9615999999996</v>
      </c>
      <c r="I1203" s="1" t="s">
        <v>12</v>
      </c>
      <c r="J1203" s="1" t="s">
        <v>13</v>
      </c>
      <c r="K1203" s="1" t="s">
        <v>14</v>
      </c>
    </row>
    <row r="1204" spans="1:11" ht="12.75" customHeight="1" x14ac:dyDescent="0.2">
      <c r="A1204" s="1" t="s">
        <v>1513</v>
      </c>
      <c r="B1204" s="1" t="s">
        <v>1514</v>
      </c>
      <c r="C1204" s="2">
        <v>876</v>
      </c>
      <c r="D1204" s="2">
        <v>7008</v>
      </c>
      <c r="E1204" s="2">
        <v>0</v>
      </c>
      <c r="F1204" s="2">
        <v>288</v>
      </c>
      <c r="G1204" s="2">
        <v>14.462199999999999</v>
      </c>
      <c r="H1204" s="3">
        <v>12668.887199999999</v>
      </c>
      <c r="I1204" s="1" t="s">
        <v>17</v>
      </c>
      <c r="J1204" s="1" t="s">
        <v>18</v>
      </c>
      <c r="K1204" s="1" t="s">
        <v>19</v>
      </c>
    </row>
    <row r="1205" spans="1:11" ht="12.75" customHeight="1" x14ac:dyDescent="0.2">
      <c r="A1205" s="1" t="s">
        <v>1513</v>
      </c>
      <c r="B1205" s="1" t="s">
        <v>1514</v>
      </c>
      <c r="C1205" s="2">
        <v>1479</v>
      </c>
      <c r="D1205" s="2">
        <v>11832</v>
      </c>
      <c r="E1205" s="2">
        <v>0</v>
      </c>
      <c r="F1205" s="2">
        <v>1784</v>
      </c>
      <c r="G1205" s="2">
        <v>13.0585</v>
      </c>
      <c r="H1205" s="3">
        <v>19313.521499999999</v>
      </c>
      <c r="I1205" s="1" t="s">
        <v>24</v>
      </c>
      <c r="J1205" s="1" t="s">
        <v>25</v>
      </c>
      <c r="K1205" s="1" t="s">
        <v>26</v>
      </c>
    </row>
    <row r="1206" spans="1:11" ht="12.75" customHeight="1" x14ac:dyDescent="0.2">
      <c r="A1206" s="1" t="s">
        <v>1513</v>
      </c>
      <c r="B1206" s="1" t="s">
        <v>1514</v>
      </c>
      <c r="C1206" s="2">
        <v>2171</v>
      </c>
      <c r="D1206" s="2">
        <v>17368</v>
      </c>
      <c r="E1206" s="2">
        <v>0</v>
      </c>
      <c r="F1206" s="2">
        <v>1505</v>
      </c>
      <c r="G1206" s="2">
        <v>13.268000000000001</v>
      </c>
      <c r="H1206" s="3">
        <v>28804.828000000001</v>
      </c>
      <c r="I1206" s="1" t="s">
        <v>330</v>
      </c>
      <c r="J1206" s="1" t="s">
        <v>331</v>
      </c>
      <c r="K1206" s="1" t="s">
        <v>332</v>
      </c>
    </row>
    <row r="1207" spans="1:11" ht="12.75" customHeight="1" x14ac:dyDescent="0.2">
      <c r="A1207" s="1" t="s">
        <v>1513</v>
      </c>
      <c r="B1207" s="1" t="s">
        <v>1514</v>
      </c>
      <c r="C1207" s="2">
        <v>490</v>
      </c>
      <c r="D1207" s="2">
        <v>3920</v>
      </c>
      <c r="E1207" s="2">
        <v>0</v>
      </c>
      <c r="F1207" s="2">
        <v>0</v>
      </c>
      <c r="G1207" s="2">
        <v>14.638400000000001</v>
      </c>
      <c r="H1207" s="3">
        <v>7172.8159999999998</v>
      </c>
      <c r="I1207" s="1" t="s">
        <v>613</v>
      </c>
      <c r="J1207" s="1" t="s">
        <v>614</v>
      </c>
      <c r="K1207" s="1" t="s">
        <v>615</v>
      </c>
    </row>
    <row r="1208" spans="1:11" ht="12.75" customHeight="1" x14ac:dyDescent="0.2">
      <c r="A1208" s="1" t="s">
        <v>1513</v>
      </c>
      <c r="B1208" s="1" t="s">
        <v>1514</v>
      </c>
      <c r="C1208" s="2">
        <v>735</v>
      </c>
      <c r="D1208" s="2">
        <v>5880</v>
      </c>
      <c r="E1208" s="2">
        <v>0</v>
      </c>
      <c r="F1208" s="2">
        <v>0</v>
      </c>
      <c r="G1208" s="2">
        <v>14.638400000000001</v>
      </c>
      <c r="H1208" s="3">
        <v>10759.224</v>
      </c>
      <c r="I1208" s="1" t="s">
        <v>500</v>
      </c>
      <c r="J1208" s="1" t="s">
        <v>501</v>
      </c>
      <c r="K1208" s="1" t="s">
        <v>502</v>
      </c>
    </row>
    <row r="1209" spans="1:11" ht="12.75" customHeight="1" x14ac:dyDescent="0.2">
      <c r="A1209" s="1" t="s">
        <v>1515</v>
      </c>
      <c r="B1209" s="1" t="s">
        <v>1516</v>
      </c>
      <c r="C1209" s="2">
        <v>1243</v>
      </c>
      <c r="D1209" s="2">
        <v>11187</v>
      </c>
      <c r="E1209" s="2">
        <v>245</v>
      </c>
      <c r="F1209" s="2">
        <v>386</v>
      </c>
      <c r="G1209" s="2">
        <v>16.145800000000001</v>
      </c>
      <c r="H1209" s="3">
        <v>20069.2294</v>
      </c>
      <c r="I1209" s="1" t="s">
        <v>12</v>
      </c>
      <c r="J1209" s="1" t="s">
        <v>13</v>
      </c>
      <c r="K1209" s="1" t="s">
        <v>14</v>
      </c>
    </row>
    <row r="1210" spans="1:11" ht="12.75" customHeight="1" x14ac:dyDescent="0.2">
      <c r="A1210" s="1" t="s">
        <v>1515</v>
      </c>
      <c r="B1210" s="1" t="s">
        <v>1516</v>
      </c>
      <c r="C1210" s="2">
        <v>868</v>
      </c>
      <c r="D1210" s="2">
        <v>7812</v>
      </c>
      <c r="E1210" s="2">
        <v>0</v>
      </c>
      <c r="F1210" s="2">
        <v>646</v>
      </c>
      <c r="G1210" s="2">
        <v>16.524699999999999</v>
      </c>
      <c r="H1210" s="3">
        <v>14343.4396</v>
      </c>
      <c r="I1210" s="1" t="s">
        <v>17</v>
      </c>
      <c r="J1210" s="1" t="s">
        <v>18</v>
      </c>
      <c r="K1210" s="1" t="s">
        <v>19</v>
      </c>
    </row>
    <row r="1211" spans="1:11" ht="12.75" customHeight="1" x14ac:dyDescent="0.2">
      <c r="A1211" s="1" t="s">
        <v>1515</v>
      </c>
      <c r="B1211" s="1" t="s">
        <v>1516</v>
      </c>
      <c r="C1211" s="2">
        <v>210</v>
      </c>
      <c r="D1211" s="2">
        <v>1890</v>
      </c>
      <c r="E1211" s="2">
        <v>0</v>
      </c>
      <c r="F1211" s="2">
        <v>546</v>
      </c>
      <c r="G1211" s="2">
        <v>14.680899999999999</v>
      </c>
      <c r="H1211" s="3">
        <v>3082.989</v>
      </c>
      <c r="I1211" s="1" t="s">
        <v>24</v>
      </c>
      <c r="J1211" s="1" t="s">
        <v>25</v>
      </c>
      <c r="K1211" s="1" t="s">
        <v>26</v>
      </c>
    </row>
    <row r="1212" spans="1:11" ht="12.75" customHeight="1" x14ac:dyDescent="0.2">
      <c r="A1212" s="1" t="s">
        <v>1515</v>
      </c>
      <c r="B1212" s="1" t="s">
        <v>1516</v>
      </c>
      <c r="C1212" s="2">
        <v>701</v>
      </c>
      <c r="D1212" s="2">
        <v>6309</v>
      </c>
      <c r="E1212" s="2">
        <v>0</v>
      </c>
      <c r="F1212" s="2">
        <v>413</v>
      </c>
      <c r="G1212" s="2">
        <v>14.901899999999999</v>
      </c>
      <c r="H1212" s="3">
        <v>10446.231900000001</v>
      </c>
      <c r="I1212" s="1" t="s">
        <v>330</v>
      </c>
      <c r="J1212" s="1" t="s">
        <v>331</v>
      </c>
      <c r="K1212" s="1" t="s">
        <v>332</v>
      </c>
    </row>
    <row r="1213" spans="1:11" ht="12.75" customHeight="1" x14ac:dyDescent="0.2">
      <c r="A1213" s="1" t="s">
        <v>1515</v>
      </c>
      <c r="B1213" s="1" t="s">
        <v>1516</v>
      </c>
      <c r="C1213" s="2">
        <v>980</v>
      </c>
      <c r="D1213" s="2">
        <v>8820</v>
      </c>
      <c r="E1213" s="2">
        <v>0</v>
      </c>
      <c r="F1213" s="2">
        <v>0</v>
      </c>
      <c r="G1213" s="2">
        <v>16.640699999999999</v>
      </c>
      <c r="H1213" s="3">
        <v>16307.886</v>
      </c>
      <c r="I1213" s="1" t="s">
        <v>613</v>
      </c>
      <c r="J1213" s="1" t="s">
        <v>614</v>
      </c>
      <c r="K1213" s="1" t="s">
        <v>615</v>
      </c>
    </row>
    <row r="1214" spans="1:11" ht="12.75" customHeight="1" x14ac:dyDescent="0.2">
      <c r="A1214" s="1" t="s">
        <v>1515</v>
      </c>
      <c r="B1214" s="1" t="s">
        <v>1516</v>
      </c>
      <c r="C1214" s="2">
        <v>3920</v>
      </c>
      <c r="D1214" s="2">
        <v>35280</v>
      </c>
      <c r="E1214" s="2">
        <v>0</v>
      </c>
      <c r="F1214" s="2">
        <v>0</v>
      </c>
      <c r="G1214" s="2">
        <v>16.640699999999999</v>
      </c>
      <c r="H1214" s="3">
        <v>65231.544000000002</v>
      </c>
      <c r="I1214" s="1" t="s">
        <v>500</v>
      </c>
      <c r="J1214" s="1" t="s">
        <v>501</v>
      </c>
      <c r="K1214" s="1" t="s">
        <v>502</v>
      </c>
    </row>
    <row r="1215" spans="1:11" ht="12.75" customHeight="1" x14ac:dyDescent="0.2">
      <c r="A1215" s="1" t="s">
        <v>5491</v>
      </c>
      <c r="B1215" s="1" t="s">
        <v>6131</v>
      </c>
      <c r="C1215" s="2">
        <v>490</v>
      </c>
      <c r="D1215" s="2">
        <v>4900</v>
      </c>
      <c r="E1215" s="2">
        <v>0</v>
      </c>
      <c r="F1215" s="2">
        <v>0</v>
      </c>
      <c r="G1215" s="2">
        <v>24.53</v>
      </c>
      <c r="H1215" s="3">
        <v>12019.7</v>
      </c>
      <c r="I1215" s="1" t="s">
        <v>613</v>
      </c>
      <c r="J1215" s="1" t="s">
        <v>614</v>
      </c>
      <c r="K1215" s="1" t="s">
        <v>615</v>
      </c>
    </row>
    <row r="1216" spans="1:11" ht="12.75" customHeight="1" x14ac:dyDescent="0.2">
      <c r="A1216" s="1" t="s">
        <v>5495</v>
      </c>
      <c r="B1216" s="1" t="s">
        <v>6132</v>
      </c>
      <c r="C1216" s="2">
        <v>371</v>
      </c>
      <c r="D1216" s="2">
        <v>4081</v>
      </c>
      <c r="E1216" s="2">
        <v>0</v>
      </c>
      <c r="F1216" s="2">
        <v>0</v>
      </c>
      <c r="G1216" s="2">
        <v>26.98</v>
      </c>
      <c r="H1216" s="3">
        <v>10009.58</v>
      </c>
      <c r="I1216" s="1" t="s">
        <v>613</v>
      </c>
      <c r="J1216" s="1" t="s">
        <v>614</v>
      </c>
      <c r="K1216" s="1" t="s">
        <v>615</v>
      </c>
    </row>
    <row r="1217" spans="1:11" ht="12.75" customHeight="1" x14ac:dyDescent="0.2">
      <c r="A1217" s="1" t="s">
        <v>5496</v>
      </c>
      <c r="B1217" s="1" t="s">
        <v>6133</v>
      </c>
      <c r="C1217" s="2">
        <v>336</v>
      </c>
      <c r="D1217" s="2">
        <v>4032</v>
      </c>
      <c r="E1217" s="2">
        <v>0</v>
      </c>
      <c r="F1217" s="2">
        <v>0</v>
      </c>
      <c r="G1217" s="2">
        <v>29.45</v>
      </c>
      <c r="H1217" s="3">
        <v>9895.2000000000007</v>
      </c>
      <c r="I1217" s="1" t="s">
        <v>613</v>
      </c>
      <c r="J1217" s="1" t="s">
        <v>614</v>
      </c>
      <c r="K1217" s="1" t="s">
        <v>615</v>
      </c>
    </row>
    <row r="1218" spans="1:11" ht="12.75" customHeight="1" x14ac:dyDescent="0.2">
      <c r="A1218" s="1" t="s">
        <v>5497</v>
      </c>
      <c r="B1218" s="1" t="s">
        <v>6134</v>
      </c>
      <c r="C1218" s="2">
        <v>378</v>
      </c>
      <c r="D1218" s="2">
        <v>4914</v>
      </c>
      <c r="E1218" s="2">
        <v>0</v>
      </c>
      <c r="F1218" s="2">
        <v>0</v>
      </c>
      <c r="G1218" s="2">
        <v>31.89</v>
      </c>
      <c r="H1218" s="3">
        <v>12054.42</v>
      </c>
      <c r="I1218" s="1" t="s">
        <v>613</v>
      </c>
      <c r="J1218" s="1" t="s">
        <v>614</v>
      </c>
      <c r="K1218" s="1" t="s">
        <v>615</v>
      </c>
    </row>
    <row r="1219" spans="1:11" ht="12.75" customHeight="1" x14ac:dyDescent="0.2">
      <c r="A1219" s="1" t="s">
        <v>5498</v>
      </c>
      <c r="B1219" s="1" t="s">
        <v>6135</v>
      </c>
      <c r="C1219" s="2">
        <v>1225</v>
      </c>
      <c r="D1219" s="2">
        <v>17150</v>
      </c>
      <c r="E1219" s="2">
        <v>0</v>
      </c>
      <c r="F1219" s="2">
        <v>0</v>
      </c>
      <c r="G1219" s="2">
        <v>34.35</v>
      </c>
      <c r="H1219" s="3">
        <v>42078.75</v>
      </c>
      <c r="I1219" s="1" t="s">
        <v>613</v>
      </c>
      <c r="J1219" s="1" t="s">
        <v>614</v>
      </c>
      <c r="K1219" s="1" t="s">
        <v>615</v>
      </c>
    </row>
    <row r="1220" spans="1:11" ht="12.75" customHeight="1" x14ac:dyDescent="0.2">
      <c r="A1220" s="1" t="s">
        <v>5499</v>
      </c>
      <c r="B1220" s="1" t="s">
        <v>6136</v>
      </c>
      <c r="C1220" s="2">
        <v>735</v>
      </c>
      <c r="D1220" s="2">
        <v>11025</v>
      </c>
      <c r="E1220" s="2">
        <v>0</v>
      </c>
      <c r="F1220" s="2">
        <v>0</v>
      </c>
      <c r="G1220" s="2">
        <v>36.799999999999997</v>
      </c>
      <c r="H1220" s="3">
        <v>27048</v>
      </c>
      <c r="I1220" s="1" t="s">
        <v>613</v>
      </c>
      <c r="J1220" s="1" t="s">
        <v>614</v>
      </c>
      <c r="K1220" s="1" t="s">
        <v>615</v>
      </c>
    </row>
    <row r="1221" spans="1:11" ht="12.75" customHeight="1" x14ac:dyDescent="0.2">
      <c r="A1221" s="1" t="s">
        <v>5506</v>
      </c>
      <c r="B1221" s="1" t="s">
        <v>6137</v>
      </c>
      <c r="C1221" s="2">
        <v>49</v>
      </c>
      <c r="D1221" s="2">
        <v>294</v>
      </c>
      <c r="E1221" s="2">
        <v>0</v>
      </c>
      <c r="F1221" s="2">
        <v>0</v>
      </c>
      <c r="G1221" s="2">
        <v>14.72</v>
      </c>
      <c r="H1221" s="3">
        <v>721.28</v>
      </c>
      <c r="I1221" s="1" t="s">
        <v>613</v>
      </c>
      <c r="J1221" s="1" t="s">
        <v>614</v>
      </c>
      <c r="K1221" s="1" t="s">
        <v>615</v>
      </c>
    </row>
    <row r="1222" spans="1:11" ht="12.75" customHeight="1" x14ac:dyDescent="0.2">
      <c r="A1222" s="1" t="s">
        <v>5507</v>
      </c>
      <c r="B1222" s="1" t="s">
        <v>6138</v>
      </c>
      <c r="C1222" s="2">
        <v>49</v>
      </c>
      <c r="D1222" s="2">
        <v>343</v>
      </c>
      <c r="E1222" s="2">
        <v>0</v>
      </c>
      <c r="F1222" s="2">
        <v>0</v>
      </c>
      <c r="G1222" s="2">
        <v>17.170000000000002</v>
      </c>
      <c r="H1222" s="3">
        <v>841.33</v>
      </c>
      <c r="I1222" s="1" t="s">
        <v>613</v>
      </c>
      <c r="J1222" s="1" t="s">
        <v>614</v>
      </c>
      <c r="K1222" s="1" t="s">
        <v>615</v>
      </c>
    </row>
    <row r="1223" spans="1:11" ht="12.75" customHeight="1" x14ac:dyDescent="0.2">
      <c r="A1223" s="1" t="s">
        <v>5508</v>
      </c>
      <c r="B1223" s="1" t="s">
        <v>6139</v>
      </c>
      <c r="C1223" s="2">
        <v>35</v>
      </c>
      <c r="D1223" s="2">
        <v>280</v>
      </c>
      <c r="E1223" s="2">
        <v>0</v>
      </c>
      <c r="F1223" s="2">
        <v>0</v>
      </c>
      <c r="G1223" s="2">
        <v>19.62</v>
      </c>
      <c r="H1223" s="3">
        <v>686.7</v>
      </c>
      <c r="I1223" s="1" t="s">
        <v>613</v>
      </c>
      <c r="J1223" s="1" t="s">
        <v>614</v>
      </c>
      <c r="K1223" s="1" t="s">
        <v>615</v>
      </c>
    </row>
    <row r="1224" spans="1:11" ht="12.75" customHeight="1" x14ac:dyDescent="0.2">
      <c r="A1224" s="1" t="s">
        <v>5509</v>
      </c>
      <c r="B1224" s="1" t="s">
        <v>6140</v>
      </c>
      <c r="C1224" s="2">
        <v>315</v>
      </c>
      <c r="D1224" s="2">
        <v>2835</v>
      </c>
      <c r="E1224" s="2">
        <v>0</v>
      </c>
      <c r="F1224" s="2">
        <v>0</v>
      </c>
      <c r="G1224" s="2">
        <v>22.08</v>
      </c>
      <c r="H1224" s="3">
        <v>6955.2</v>
      </c>
      <c r="I1224" s="1" t="s">
        <v>613</v>
      </c>
      <c r="J1224" s="1" t="s">
        <v>614</v>
      </c>
      <c r="K1224" s="1" t="s">
        <v>615</v>
      </c>
    </row>
    <row r="1225" spans="1:11" ht="12.75" customHeight="1" x14ac:dyDescent="0.2">
      <c r="A1225" s="1" t="s">
        <v>1517</v>
      </c>
      <c r="B1225" s="1" t="s">
        <v>1518</v>
      </c>
      <c r="C1225" s="2">
        <v>904</v>
      </c>
      <c r="D1225" s="2">
        <v>9040</v>
      </c>
      <c r="E1225" s="2">
        <v>0</v>
      </c>
      <c r="F1225" s="2">
        <v>504</v>
      </c>
      <c r="G1225" s="2">
        <v>19.360399999999998</v>
      </c>
      <c r="H1225" s="3">
        <v>17501.801599999999</v>
      </c>
      <c r="I1225" s="1" t="s">
        <v>125</v>
      </c>
      <c r="J1225" s="1" t="s">
        <v>126</v>
      </c>
      <c r="K1225" s="1" t="s">
        <v>127</v>
      </c>
    </row>
    <row r="1226" spans="1:11" ht="12.75" customHeight="1" x14ac:dyDescent="0.2">
      <c r="A1226" s="1" t="s">
        <v>1519</v>
      </c>
      <c r="B1226" s="1" t="s">
        <v>1520</v>
      </c>
      <c r="C1226" s="2">
        <v>458</v>
      </c>
      <c r="D1226" s="2">
        <v>5496</v>
      </c>
      <c r="E1226" s="2">
        <v>0</v>
      </c>
      <c r="F1226" s="2">
        <v>0</v>
      </c>
      <c r="G1226" s="2">
        <v>23.232399999999998</v>
      </c>
      <c r="H1226" s="3">
        <v>10640.439200000001</v>
      </c>
      <c r="I1226" s="1" t="s">
        <v>125</v>
      </c>
      <c r="J1226" s="1" t="s">
        <v>126</v>
      </c>
      <c r="K1226" s="1" t="s">
        <v>127</v>
      </c>
    </row>
    <row r="1227" spans="1:11" ht="12.75" customHeight="1" x14ac:dyDescent="0.2">
      <c r="A1227" s="1" t="s">
        <v>1521</v>
      </c>
      <c r="B1227" s="1" t="s">
        <v>1522</v>
      </c>
      <c r="C1227" s="2">
        <v>504</v>
      </c>
      <c r="D1227" s="2">
        <v>6552</v>
      </c>
      <c r="E1227" s="2">
        <v>0</v>
      </c>
      <c r="F1227" s="2">
        <v>0</v>
      </c>
      <c r="G1227" s="2">
        <v>25.168500000000002</v>
      </c>
      <c r="H1227" s="3">
        <v>12684.924000000001</v>
      </c>
      <c r="I1227" s="1" t="s">
        <v>125</v>
      </c>
      <c r="J1227" s="1" t="s">
        <v>126</v>
      </c>
      <c r="K1227" s="1" t="s">
        <v>127</v>
      </c>
    </row>
    <row r="1228" spans="1:11" ht="12.75" customHeight="1" x14ac:dyDescent="0.2">
      <c r="A1228" s="1" t="s">
        <v>1523</v>
      </c>
      <c r="B1228" s="1" t="s">
        <v>1524</v>
      </c>
      <c r="C1228" s="2">
        <v>86</v>
      </c>
      <c r="D1228" s="2">
        <v>1290</v>
      </c>
      <c r="E1228" s="2">
        <v>0</v>
      </c>
      <c r="F1228" s="2">
        <v>0</v>
      </c>
      <c r="G1228" s="2">
        <v>29.040600000000001</v>
      </c>
      <c r="H1228" s="3">
        <v>2497.4915999999998</v>
      </c>
      <c r="I1228" s="1" t="s">
        <v>125</v>
      </c>
      <c r="J1228" s="1" t="s">
        <v>126</v>
      </c>
      <c r="K1228" s="1" t="s">
        <v>127</v>
      </c>
    </row>
    <row r="1229" spans="1:11" ht="12.75" customHeight="1" x14ac:dyDescent="0.2">
      <c r="A1229" s="1" t="s">
        <v>1525</v>
      </c>
      <c r="B1229" s="1" t="s">
        <v>1526</v>
      </c>
      <c r="C1229" s="2">
        <v>170</v>
      </c>
      <c r="D1229" s="2">
        <v>2720</v>
      </c>
      <c r="E1229" s="2">
        <v>0</v>
      </c>
      <c r="F1229" s="2">
        <v>98</v>
      </c>
      <c r="G1229" s="2">
        <v>30.976600000000001</v>
      </c>
      <c r="H1229" s="3">
        <v>5266.0219999999999</v>
      </c>
      <c r="I1229" s="1" t="s">
        <v>125</v>
      </c>
      <c r="J1229" s="1" t="s">
        <v>126</v>
      </c>
      <c r="K1229" s="1" t="s">
        <v>127</v>
      </c>
    </row>
    <row r="1230" spans="1:11" ht="12.75" customHeight="1" x14ac:dyDescent="0.2">
      <c r="A1230" s="1" t="s">
        <v>1527</v>
      </c>
      <c r="B1230" s="1" t="s">
        <v>1528</v>
      </c>
      <c r="C1230" s="2">
        <v>503</v>
      </c>
      <c r="D1230" s="2">
        <v>3521</v>
      </c>
      <c r="E1230" s="2">
        <v>0</v>
      </c>
      <c r="F1230" s="2">
        <v>0</v>
      </c>
      <c r="G1230" s="2">
        <v>13.552199999999999</v>
      </c>
      <c r="H1230" s="3">
        <v>6816.7565999999997</v>
      </c>
      <c r="I1230" s="1" t="s">
        <v>125</v>
      </c>
      <c r="J1230" s="1" t="s">
        <v>126</v>
      </c>
      <c r="K1230" s="1" t="s">
        <v>127</v>
      </c>
    </row>
    <row r="1231" spans="1:11" ht="12.75" customHeight="1" x14ac:dyDescent="0.2">
      <c r="A1231" s="1" t="s">
        <v>1529</v>
      </c>
      <c r="B1231" s="1" t="s">
        <v>1530</v>
      </c>
      <c r="C1231" s="2">
        <v>504</v>
      </c>
      <c r="D1231" s="2">
        <v>4032</v>
      </c>
      <c r="E1231" s="2">
        <v>0</v>
      </c>
      <c r="F1231" s="2">
        <v>0</v>
      </c>
      <c r="G1231" s="2">
        <v>15.488300000000001</v>
      </c>
      <c r="H1231" s="3">
        <v>7806.1031999999996</v>
      </c>
      <c r="I1231" s="1" t="s">
        <v>125</v>
      </c>
      <c r="J1231" s="1" t="s">
        <v>126</v>
      </c>
      <c r="K1231" s="1" t="s">
        <v>127</v>
      </c>
    </row>
    <row r="1232" spans="1:11" ht="12.75" customHeight="1" x14ac:dyDescent="0.2">
      <c r="A1232" s="1" t="s">
        <v>1531</v>
      </c>
      <c r="B1232" s="1" t="s">
        <v>1532</v>
      </c>
      <c r="C1232" s="2">
        <v>4905</v>
      </c>
      <c r="D1232" s="2">
        <v>49050</v>
      </c>
      <c r="E1232" s="2">
        <v>0</v>
      </c>
      <c r="F1232" s="2">
        <v>697</v>
      </c>
      <c r="G1232" s="2">
        <v>17.228200000000001</v>
      </c>
      <c r="H1232" s="3">
        <v>84504.320999999996</v>
      </c>
      <c r="I1232" s="1" t="s">
        <v>24</v>
      </c>
      <c r="J1232" s="1" t="s">
        <v>25</v>
      </c>
      <c r="K1232" s="1" t="s">
        <v>26</v>
      </c>
    </row>
    <row r="1233" spans="1:11" ht="12.75" customHeight="1" x14ac:dyDescent="0.2">
      <c r="A1233" s="1" t="s">
        <v>1533</v>
      </c>
      <c r="B1233" s="1" t="s">
        <v>1534</v>
      </c>
      <c r="C1233" s="2">
        <v>1694</v>
      </c>
      <c r="D1233" s="2">
        <v>18634</v>
      </c>
      <c r="E1233" s="2">
        <v>0</v>
      </c>
      <c r="F1233" s="2">
        <v>238</v>
      </c>
      <c r="G1233" s="2">
        <v>18.8643</v>
      </c>
      <c r="H1233" s="3">
        <v>31956.124199999998</v>
      </c>
      <c r="I1233" s="1" t="s">
        <v>24</v>
      </c>
      <c r="J1233" s="1" t="s">
        <v>25</v>
      </c>
      <c r="K1233" s="1" t="s">
        <v>26</v>
      </c>
    </row>
    <row r="1234" spans="1:11" ht="12.75" customHeight="1" x14ac:dyDescent="0.2">
      <c r="A1234" s="1" t="s">
        <v>1535</v>
      </c>
      <c r="B1234" s="1" t="s">
        <v>1536</v>
      </c>
      <c r="C1234" s="2">
        <v>18</v>
      </c>
      <c r="D1234" s="2">
        <v>216</v>
      </c>
      <c r="E1234" s="2">
        <v>0</v>
      </c>
      <c r="F1234" s="2">
        <v>18</v>
      </c>
      <c r="G1234" s="2">
        <v>20.5106</v>
      </c>
      <c r="H1234" s="3">
        <v>369.19080000000002</v>
      </c>
      <c r="I1234" s="1" t="s">
        <v>12</v>
      </c>
      <c r="J1234" s="1" t="s">
        <v>13</v>
      </c>
      <c r="K1234" s="1" t="s">
        <v>14</v>
      </c>
    </row>
    <row r="1235" spans="1:11" ht="12.75" customHeight="1" x14ac:dyDescent="0.2">
      <c r="A1235" s="1" t="s">
        <v>1535</v>
      </c>
      <c r="B1235" s="1" t="s">
        <v>1536</v>
      </c>
      <c r="C1235" s="2">
        <v>1361</v>
      </c>
      <c r="D1235" s="2">
        <v>16332</v>
      </c>
      <c r="E1235" s="2">
        <v>0</v>
      </c>
      <c r="F1235" s="2">
        <v>196</v>
      </c>
      <c r="G1235" s="2">
        <v>20.5106</v>
      </c>
      <c r="H1235" s="3">
        <v>27914.926599999999</v>
      </c>
      <c r="I1235" s="1" t="s">
        <v>24</v>
      </c>
      <c r="J1235" s="1" t="s">
        <v>25</v>
      </c>
      <c r="K1235" s="1" t="s">
        <v>26</v>
      </c>
    </row>
    <row r="1236" spans="1:11" ht="12.75" customHeight="1" x14ac:dyDescent="0.2">
      <c r="A1236" s="1" t="s">
        <v>1537</v>
      </c>
      <c r="B1236" s="1" t="s">
        <v>1538</v>
      </c>
      <c r="C1236" s="2">
        <v>1708</v>
      </c>
      <c r="D1236" s="2">
        <v>22204</v>
      </c>
      <c r="E1236" s="2">
        <v>0</v>
      </c>
      <c r="F1236" s="2">
        <v>238</v>
      </c>
      <c r="G1236" s="2">
        <v>22.3797</v>
      </c>
      <c r="H1236" s="3">
        <v>38224.527600000001</v>
      </c>
      <c r="I1236" s="1" t="s">
        <v>24</v>
      </c>
      <c r="J1236" s="1" t="s">
        <v>25</v>
      </c>
      <c r="K1236" s="1" t="s">
        <v>26</v>
      </c>
    </row>
    <row r="1237" spans="1:11" ht="12.75" customHeight="1" x14ac:dyDescent="0.2">
      <c r="A1237" s="1" t="s">
        <v>1539</v>
      </c>
      <c r="B1237" s="1" t="s">
        <v>1540</v>
      </c>
      <c r="C1237" s="2">
        <v>2401</v>
      </c>
      <c r="D1237" s="2">
        <v>33614</v>
      </c>
      <c r="E1237" s="2">
        <v>0</v>
      </c>
      <c r="F1237" s="2">
        <v>595</v>
      </c>
      <c r="G1237" s="2">
        <v>24.147500000000001</v>
      </c>
      <c r="H1237" s="3">
        <v>57978.147499999999</v>
      </c>
      <c r="I1237" s="1" t="s">
        <v>24</v>
      </c>
      <c r="J1237" s="1" t="s">
        <v>25</v>
      </c>
      <c r="K1237" s="1" t="s">
        <v>26</v>
      </c>
    </row>
    <row r="1238" spans="1:11" ht="12.75" customHeight="1" x14ac:dyDescent="0.2">
      <c r="A1238" s="1" t="s">
        <v>1541</v>
      </c>
      <c r="B1238" s="1" t="s">
        <v>1542</v>
      </c>
      <c r="C1238" s="2">
        <v>1358</v>
      </c>
      <c r="D1238" s="2">
        <v>20370</v>
      </c>
      <c r="E1238" s="2">
        <v>0</v>
      </c>
      <c r="F1238" s="2">
        <v>201</v>
      </c>
      <c r="G1238" s="2">
        <v>25.702500000000001</v>
      </c>
      <c r="H1238" s="3">
        <v>34903.995000000003</v>
      </c>
      <c r="I1238" s="1" t="s">
        <v>24</v>
      </c>
      <c r="J1238" s="1" t="s">
        <v>25</v>
      </c>
      <c r="K1238" s="1" t="s">
        <v>26</v>
      </c>
    </row>
    <row r="1239" spans="1:11" ht="12.75" customHeight="1" x14ac:dyDescent="0.2">
      <c r="A1239" s="1" t="s">
        <v>1543</v>
      </c>
      <c r="B1239" s="1" t="s">
        <v>1544</v>
      </c>
      <c r="C1239" s="2">
        <v>644</v>
      </c>
      <c r="D1239" s="2">
        <v>10304</v>
      </c>
      <c r="E1239" s="2">
        <v>0</v>
      </c>
      <c r="F1239" s="2">
        <v>84</v>
      </c>
      <c r="G1239" s="2">
        <v>27.438800000000001</v>
      </c>
      <c r="H1239" s="3">
        <v>17670.587200000002</v>
      </c>
      <c r="I1239" s="1" t="s">
        <v>24</v>
      </c>
      <c r="J1239" s="1" t="s">
        <v>25</v>
      </c>
      <c r="K1239" s="1" t="s">
        <v>26</v>
      </c>
    </row>
    <row r="1240" spans="1:11" ht="12.75" customHeight="1" x14ac:dyDescent="0.2">
      <c r="A1240" s="1" t="s">
        <v>1545</v>
      </c>
      <c r="B1240" s="1" t="s">
        <v>1546</v>
      </c>
      <c r="C1240" s="2">
        <v>142</v>
      </c>
      <c r="D1240" s="2">
        <v>852</v>
      </c>
      <c r="E1240" s="2">
        <v>0</v>
      </c>
      <c r="F1240" s="2">
        <v>140</v>
      </c>
      <c r="G1240" s="2">
        <v>10.2301</v>
      </c>
      <c r="H1240" s="3">
        <v>1452.6741999999999</v>
      </c>
      <c r="I1240" s="1" t="s">
        <v>24</v>
      </c>
      <c r="J1240" s="1" t="s">
        <v>25</v>
      </c>
      <c r="K1240" s="1" t="s">
        <v>26</v>
      </c>
    </row>
    <row r="1241" spans="1:11" ht="12.75" customHeight="1" x14ac:dyDescent="0.2">
      <c r="A1241" s="1" t="s">
        <v>1547</v>
      </c>
      <c r="B1241" s="1" t="s">
        <v>1548</v>
      </c>
      <c r="C1241" s="2">
        <v>2142</v>
      </c>
      <c r="D1241" s="2">
        <v>14994</v>
      </c>
      <c r="E1241" s="2">
        <v>0</v>
      </c>
      <c r="F1241" s="2">
        <v>196</v>
      </c>
      <c r="G1241" s="2">
        <v>12.0105</v>
      </c>
      <c r="H1241" s="3">
        <v>25726.491000000002</v>
      </c>
      <c r="I1241" s="1" t="s">
        <v>24</v>
      </c>
      <c r="J1241" s="1" t="s">
        <v>25</v>
      </c>
      <c r="K1241" s="1" t="s">
        <v>26</v>
      </c>
    </row>
    <row r="1242" spans="1:11" ht="12.75" customHeight="1" x14ac:dyDescent="0.2">
      <c r="A1242" s="1" t="s">
        <v>1549</v>
      </c>
      <c r="B1242" s="1" t="s">
        <v>1550</v>
      </c>
      <c r="C1242" s="2">
        <v>4179</v>
      </c>
      <c r="D1242" s="2">
        <v>33432</v>
      </c>
      <c r="E1242" s="2">
        <v>0</v>
      </c>
      <c r="F1242" s="2">
        <v>1102</v>
      </c>
      <c r="G1242" s="2">
        <v>13.132199999999999</v>
      </c>
      <c r="H1242" s="3">
        <v>54879.463799999998</v>
      </c>
      <c r="I1242" s="1" t="s">
        <v>24</v>
      </c>
      <c r="J1242" s="1" t="s">
        <v>25</v>
      </c>
      <c r="K1242" s="1" t="s">
        <v>26</v>
      </c>
    </row>
    <row r="1243" spans="1:11" ht="12.75" customHeight="1" x14ac:dyDescent="0.2">
      <c r="A1243" s="1" t="s">
        <v>1551</v>
      </c>
      <c r="B1243" s="1" t="s">
        <v>1552</v>
      </c>
      <c r="C1243" s="2">
        <v>1064</v>
      </c>
      <c r="D1243" s="2">
        <v>9576</v>
      </c>
      <c r="E1243" s="2">
        <v>0</v>
      </c>
      <c r="F1243" s="2">
        <v>168</v>
      </c>
      <c r="G1243" s="2">
        <v>15.388999999999999</v>
      </c>
      <c r="H1243" s="3">
        <v>16373.896000000001</v>
      </c>
      <c r="I1243" s="1" t="s">
        <v>24</v>
      </c>
      <c r="J1243" s="1" t="s">
        <v>25</v>
      </c>
      <c r="K1243" s="1" t="s">
        <v>26</v>
      </c>
    </row>
    <row r="1244" spans="1:11" ht="12.75" customHeight="1" x14ac:dyDescent="0.2">
      <c r="A1244" s="1" t="s">
        <v>1553</v>
      </c>
      <c r="B1244" s="1" t="s">
        <v>1554</v>
      </c>
      <c r="C1244" s="2">
        <v>141</v>
      </c>
      <c r="D1244" s="2">
        <v>1410</v>
      </c>
      <c r="E1244" s="2">
        <v>0</v>
      </c>
      <c r="F1244" s="2">
        <v>137</v>
      </c>
      <c r="G1244" s="2">
        <v>20.067</v>
      </c>
      <c r="H1244" s="3">
        <v>2829.4470000000001</v>
      </c>
      <c r="I1244" s="1" t="s">
        <v>17</v>
      </c>
      <c r="J1244" s="1" t="s">
        <v>18</v>
      </c>
      <c r="K1244" s="1" t="s">
        <v>19</v>
      </c>
    </row>
    <row r="1245" spans="1:11" ht="12.75" customHeight="1" x14ac:dyDescent="0.2">
      <c r="A1245" s="1" t="s">
        <v>1553</v>
      </c>
      <c r="B1245" s="1" t="s">
        <v>1554</v>
      </c>
      <c r="C1245" s="2">
        <v>28</v>
      </c>
      <c r="D1245" s="2">
        <v>280</v>
      </c>
      <c r="E1245" s="2">
        <v>0</v>
      </c>
      <c r="F1245" s="2">
        <v>0</v>
      </c>
      <c r="G1245" s="2">
        <v>18.856000000000002</v>
      </c>
      <c r="H1245" s="3">
        <v>527.96799999999996</v>
      </c>
      <c r="I1245" s="1" t="s">
        <v>24</v>
      </c>
      <c r="J1245" s="1" t="s">
        <v>25</v>
      </c>
      <c r="K1245" s="1" t="s">
        <v>26</v>
      </c>
    </row>
    <row r="1246" spans="1:11" ht="12.75" customHeight="1" x14ac:dyDescent="0.2">
      <c r="A1246" s="1" t="s">
        <v>1553</v>
      </c>
      <c r="B1246" s="1" t="s">
        <v>1554</v>
      </c>
      <c r="C1246" s="2">
        <v>1</v>
      </c>
      <c r="D1246" s="2">
        <v>10</v>
      </c>
      <c r="E1246" s="2">
        <v>0</v>
      </c>
      <c r="F1246" s="2">
        <v>1</v>
      </c>
      <c r="G1246" s="2">
        <v>18.856000000000002</v>
      </c>
      <c r="H1246" s="3">
        <v>18.856000000000002</v>
      </c>
      <c r="I1246" s="1" t="s">
        <v>330</v>
      </c>
      <c r="J1246" s="1" t="s">
        <v>331</v>
      </c>
      <c r="K1246" s="1" t="s">
        <v>332</v>
      </c>
    </row>
    <row r="1247" spans="1:11" ht="12.75" customHeight="1" x14ac:dyDescent="0.2">
      <c r="A1247" s="1" t="s">
        <v>1555</v>
      </c>
      <c r="B1247" s="1" t="s">
        <v>1556</v>
      </c>
      <c r="C1247" s="2">
        <v>256</v>
      </c>
      <c r="D1247" s="2">
        <v>2816</v>
      </c>
      <c r="E1247" s="2">
        <v>0</v>
      </c>
      <c r="F1247" s="2">
        <v>144</v>
      </c>
      <c r="G1247" s="2">
        <v>22.070900000000002</v>
      </c>
      <c r="H1247" s="3">
        <v>5650.1504000000004</v>
      </c>
      <c r="I1247" s="1" t="s">
        <v>17</v>
      </c>
      <c r="J1247" s="1" t="s">
        <v>18</v>
      </c>
      <c r="K1247" s="1" t="s">
        <v>19</v>
      </c>
    </row>
    <row r="1248" spans="1:11" ht="12.75" customHeight="1" x14ac:dyDescent="0.2">
      <c r="A1248" s="1" t="s">
        <v>1555</v>
      </c>
      <c r="B1248" s="1" t="s">
        <v>1556</v>
      </c>
      <c r="C1248" s="2">
        <v>42</v>
      </c>
      <c r="D1248" s="2">
        <v>462</v>
      </c>
      <c r="E1248" s="2">
        <v>0</v>
      </c>
      <c r="F1248" s="2">
        <v>0</v>
      </c>
      <c r="G1248" s="2">
        <v>20.741599999999998</v>
      </c>
      <c r="H1248" s="3">
        <v>871.1472</v>
      </c>
      <c r="I1248" s="1" t="s">
        <v>24</v>
      </c>
      <c r="J1248" s="1" t="s">
        <v>25</v>
      </c>
      <c r="K1248" s="1" t="s">
        <v>26</v>
      </c>
    </row>
    <row r="1249" spans="1:11" ht="12.75" customHeight="1" x14ac:dyDescent="0.2">
      <c r="A1249" s="1" t="s">
        <v>1557</v>
      </c>
      <c r="B1249" s="1" t="s">
        <v>1558</v>
      </c>
      <c r="C1249" s="2">
        <v>4</v>
      </c>
      <c r="D1249" s="2">
        <v>48</v>
      </c>
      <c r="E1249" s="2">
        <v>0</v>
      </c>
      <c r="F1249" s="2">
        <v>0</v>
      </c>
      <c r="G1249" s="2">
        <v>22.627199999999998</v>
      </c>
      <c r="H1249" s="3">
        <v>90.508799999999994</v>
      </c>
      <c r="I1249" s="1" t="s">
        <v>24</v>
      </c>
      <c r="J1249" s="1" t="s">
        <v>25</v>
      </c>
      <c r="K1249" s="1" t="s">
        <v>26</v>
      </c>
    </row>
    <row r="1250" spans="1:11" ht="12.75" customHeight="1" x14ac:dyDescent="0.2">
      <c r="A1250" s="1" t="s">
        <v>1559</v>
      </c>
      <c r="B1250" s="1" t="s">
        <v>1560</v>
      </c>
      <c r="C1250" s="2">
        <v>63</v>
      </c>
      <c r="D1250" s="2">
        <v>819</v>
      </c>
      <c r="E1250" s="2">
        <v>0</v>
      </c>
      <c r="F1250" s="2">
        <v>63</v>
      </c>
      <c r="G1250" s="2">
        <v>26.244399999999999</v>
      </c>
      <c r="H1250" s="3">
        <v>1653.3972000000001</v>
      </c>
      <c r="I1250" s="1" t="s">
        <v>12</v>
      </c>
      <c r="J1250" s="1" t="s">
        <v>13</v>
      </c>
      <c r="K1250" s="1" t="s">
        <v>14</v>
      </c>
    </row>
    <row r="1251" spans="1:11" ht="12.75" customHeight="1" x14ac:dyDescent="0.2">
      <c r="A1251" s="1" t="s">
        <v>1559</v>
      </c>
      <c r="B1251" s="1" t="s">
        <v>1560</v>
      </c>
      <c r="C1251" s="2">
        <v>1</v>
      </c>
      <c r="D1251" s="2">
        <v>13</v>
      </c>
      <c r="E1251" s="2">
        <v>0</v>
      </c>
      <c r="F1251" s="2">
        <v>0</v>
      </c>
      <c r="G1251" s="2">
        <v>26.244399999999999</v>
      </c>
      <c r="H1251" s="3">
        <v>26.244399999999999</v>
      </c>
      <c r="I1251" s="1" t="s">
        <v>17</v>
      </c>
      <c r="J1251" s="1" t="s">
        <v>18</v>
      </c>
      <c r="K1251" s="1" t="s">
        <v>19</v>
      </c>
    </row>
    <row r="1252" spans="1:11" ht="12.75" customHeight="1" x14ac:dyDescent="0.2">
      <c r="A1252" s="1" t="s">
        <v>1559</v>
      </c>
      <c r="B1252" s="1" t="s">
        <v>1560</v>
      </c>
      <c r="C1252" s="2">
        <v>7</v>
      </c>
      <c r="D1252" s="2">
        <v>91</v>
      </c>
      <c r="E1252" s="2">
        <v>0</v>
      </c>
      <c r="F1252" s="2">
        <v>0</v>
      </c>
      <c r="G1252" s="2">
        <v>24.512799999999999</v>
      </c>
      <c r="H1252" s="3">
        <v>171.58959999999999</v>
      </c>
      <c r="I1252" s="1" t="s">
        <v>24</v>
      </c>
      <c r="J1252" s="1" t="s">
        <v>25</v>
      </c>
      <c r="K1252" s="1" t="s">
        <v>26</v>
      </c>
    </row>
    <row r="1253" spans="1:11" ht="12.75" customHeight="1" x14ac:dyDescent="0.2">
      <c r="A1253" s="1" t="s">
        <v>1559</v>
      </c>
      <c r="B1253" s="1" t="s">
        <v>1560</v>
      </c>
      <c r="C1253" s="2">
        <v>9</v>
      </c>
      <c r="D1253" s="2">
        <v>117</v>
      </c>
      <c r="E1253" s="2">
        <v>0</v>
      </c>
      <c r="F1253" s="2">
        <v>0</v>
      </c>
      <c r="G1253" s="2">
        <v>24.512799999999999</v>
      </c>
      <c r="H1253" s="3">
        <v>220.61519999999999</v>
      </c>
      <c r="I1253" s="1" t="s">
        <v>125</v>
      </c>
      <c r="J1253" s="1" t="s">
        <v>126</v>
      </c>
      <c r="K1253" s="1" t="s">
        <v>127</v>
      </c>
    </row>
    <row r="1254" spans="1:11" ht="12.75" customHeight="1" x14ac:dyDescent="0.2">
      <c r="A1254" s="1" t="s">
        <v>1561</v>
      </c>
      <c r="B1254" s="1" t="s">
        <v>1562</v>
      </c>
      <c r="C1254" s="2">
        <v>3</v>
      </c>
      <c r="D1254" s="2">
        <v>42</v>
      </c>
      <c r="E1254" s="2">
        <v>0</v>
      </c>
      <c r="F1254" s="2">
        <v>3</v>
      </c>
      <c r="G1254" s="2">
        <v>32.395000000000003</v>
      </c>
      <c r="H1254" s="3">
        <v>97.185000000000002</v>
      </c>
      <c r="I1254" s="1" t="s">
        <v>17</v>
      </c>
      <c r="J1254" s="1" t="s">
        <v>18</v>
      </c>
      <c r="K1254" s="1" t="s">
        <v>19</v>
      </c>
    </row>
    <row r="1255" spans="1:11" ht="12.75" customHeight="1" x14ac:dyDescent="0.2">
      <c r="A1255" s="1" t="s">
        <v>1561</v>
      </c>
      <c r="B1255" s="1" t="s">
        <v>1562</v>
      </c>
      <c r="C1255" s="2">
        <v>1</v>
      </c>
      <c r="D1255" s="2">
        <v>14</v>
      </c>
      <c r="E1255" s="2">
        <v>0</v>
      </c>
      <c r="F1255" s="2">
        <v>1</v>
      </c>
      <c r="G1255" s="2">
        <v>26.398399999999999</v>
      </c>
      <c r="H1255" s="3">
        <v>26.398399999999999</v>
      </c>
      <c r="I1255" s="1" t="s">
        <v>330</v>
      </c>
      <c r="J1255" s="1" t="s">
        <v>331</v>
      </c>
      <c r="K1255" s="1" t="s">
        <v>332</v>
      </c>
    </row>
    <row r="1256" spans="1:11" ht="12.75" customHeight="1" x14ac:dyDescent="0.2">
      <c r="A1256" s="1" t="s">
        <v>1563</v>
      </c>
      <c r="B1256" s="1" t="s">
        <v>1564</v>
      </c>
      <c r="C1256" s="2">
        <v>161</v>
      </c>
      <c r="D1256" s="2">
        <v>2415</v>
      </c>
      <c r="E1256" s="2">
        <v>0</v>
      </c>
      <c r="F1256" s="2">
        <v>161</v>
      </c>
      <c r="G1256" s="2">
        <v>33.1629</v>
      </c>
      <c r="H1256" s="3">
        <v>5339.2268999999997</v>
      </c>
      <c r="I1256" s="1" t="s">
        <v>12</v>
      </c>
      <c r="J1256" s="1" t="s">
        <v>13</v>
      </c>
      <c r="K1256" s="1" t="s">
        <v>14</v>
      </c>
    </row>
    <row r="1257" spans="1:11" ht="12.75" customHeight="1" x14ac:dyDescent="0.2">
      <c r="A1257" s="1" t="s">
        <v>1563</v>
      </c>
      <c r="B1257" s="1" t="s">
        <v>1564</v>
      </c>
      <c r="C1257" s="2">
        <v>47</v>
      </c>
      <c r="D1257" s="2">
        <v>705</v>
      </c>
      <c r="E1257" s="2">
        <v>0</v>
      </c>
      <c r="F1257" s="2">
        <v>23</v>
      </c>
      <c r="G1257" s="2">
        <v>33.1629</v>
      </c>
      <c r="H1257" s="3">
        <v>1558.6563000000001</v>
      </c>
      <c r="I1257" s="1" t="s">
        <v>17</v>
      </c>
      <c r="J1257" s="1" t="s">
        <v>18</v>
      </c>
      <c r="K1257" s="1" t="s">
        <v>19</v>
      </c>
    </row>
    <row r="1258" spans="1:11" ht="12.75" customHeight="1" x14ac:dyDescent="0.2">
      <c r="A1258" s="1" t="s">
        <v>1563</v>
      </c>
      <c r="B1258" s="1" t="s">
        <v>1564</v>
      </c>
      <c r="C1258" s="2">
        <v>7</v>
      </c>
      <c r="D1258" s="2">
        <v>105</v>
      </c>
      <c r="E1258" s="2">
        <v>0</v>
      </c>
      <c r="F1258" s="2">
        <v>0</v>
      </c>
      <c r="G1258" s="2">
        <v>28.283999999999999</v>
      </c>
      <c r="H1258" s="3">
        <v>197.988</v>
      </c>
      <c r="I1258" s="1" t="s">
        <v>24</v>
      </c>
      <c r="J1258" s="1" t="s">
        <v>25</v>
      </c>
      <c r="K1258" s="1" t="s">
        <v>26</v>
      </c>
    </row>
    <row r="1259" spans="1:11" ht="12.75" customHeight="1" x14ac:dyDescent="0.2">
      <c r="A1259" s="1" t="s">
        <v>1563</v>
      </c>
      <c r="B1259" s="1" t="s">
        <v>1564</v>
      </c>
      <c r="C1259" s="2">
        <v>155</v>
      </c>
      <c r="D1259" s="2">
        <v>2325</v>
      </c>
      <c r="E1259" s="2">
        <v>0</v>
      </c>
      <c r="F1259" s="2">
        <v>0</v>
      </c>
      <c r="G1259" s="2">
        <v>28.283999999999999</v>
      </c>
      <c r="H1259" s="3">
        <v>4384.0200000000004</v>
      </c>
      <c r="I1259" s="1" t="s">
        <v>125</v>
      </c>
      <c r="J1259" s="1" t="s">
        <v>126</v>
      </c>
      <c r="K1259" s="1" t="s">
        <v>127</v>
      </c>
    </row>
    <row r="1260" spans="1:11" ht="12.75" customHeight="1" x14ac:dyDescent="0.2">
      <c r="A1260" s="1" t="s">
        <v>1565</v>
      </c>
      <c r="B1260" s="1" t="s">
        <v>1566</v>
      </c>
      <c r="C1260" s="2">
        <v>16</v>
      </c>
      <c r="D1260" s="2">
        <v>256</v>
      </c>
      <c r="E1260" s="2">
        <v>0</v>
      </c>
      <c r="F1260" s="2">
        <v>9</v>
      </c>
      <c r="G1260" s="2">
        <v>32.401299999999999</v>
      </c>
      <c r="H1260" s="3">
        <v>518.42079999999999</v>
      </c>
      <c r="I1260" s="1" t="s">
        <v>17</v>
      </c>
      <c r="J1260" s="1" t="s">
        <v>18</v>
      </c>
      <c r="K1260" s="1" t="s">
        <v>19</v>
      </c>
    </row>
    <row r="1261" spans="1:11" ht="12.75" customHeight="1" x14ac:dyDescent="0.2">
      <c r="A1261" s="1" t="s">
        <v>1565</v>
      </c>
      <c r="B1261" s="1" t="s">
        <v>1566</v>
      </c>
      <c r="C1261" s="2">
        <v>3</v>
      </c>
      <c r="D1261" s="2">
        <v>48</v>
      </c>
      <c r="E1261" s="2">
        <v>0</v>
      </c>
      <c r="F1261" s="2">
        <v>0</v>
      </c>
      <c r="G1261" s="2">
        <v>31.9636</v>
      </c>
      <c r="H1261" s="3">
        <v>95.890799999999999</v>
      </c>
      <c r="I1261" s="1" t="s">
        <v>24</v>
      </c>
      <c r="J1261" s="1" t="s">
        <v>25</v>
      </c>
      <c r="K1261" s="1" t="s">
        <v>26</v>
      </c>
    </row>
    <row r="1262" spans="1:11" ht="12.75" customHeight="1" x14ac:dyDescent="0.2">
      <c r="A1262" s="1" t="s">
        <v>1565</v>
      </c>
      <c r="B1262" s="1" t="s">
        <v>1566</v>
      </c>
      <c r="C1262" s="2">
        <v>161</v>
      </c>
      <c r="D1262" s="2">
        <v>2576</v>
      </c>
      <c r="E1262" s="2">
        <v>0</v>
      </c>
      <c r="F1262" s="2">
        <v>161</v>
      </c>
      <c r="G1262" s="2">
        <v>30.169599999999999</v>
      </c>
      <c r="H1262" s="3">
        <v>4857.3055999999997</v>
      </c>
      <c r="I1262" s="1" t="s">
        <v>125</v>
      </c>
      <c r="J1262" s="1" t="s">
        <v>126</v>
      </c>
      <c r="K1262" s="1" t="s">
        <v>127</v>
      </c>
    </row>
    <row r="1263" spans="1:11" ht="12.75" customHeight="1" x14ac:dyDescent="0.2">
      <c r="A1263" s="1" t="s">
        <v>1567</v>
      </c>
      <c r="B1263" s="1" t="s">
        <v>1568</v>
      </c>
      <c r="C1263" s="2">
        <v>49</v>
      </c>
      <c r="D1263" s="2">
        <v>833</v>
      </c>
      <c r="E1263" s="2">
        <v>0</v>
      </c>
      <c r="F1263" s="2">
        <v>49</v>
      </c>
      <c r="G1263" s="2">
        <v>41.780299999999997</v>
      </c>
      <c r="H1263" s="3">
        <v>2047.2347</v>
      </c>
      <c r="I1263" s="1" t="s">
        <v>12</v>
      </c>
      <c r="J1263" s="1" t="s">
        <v>13</v>
      </c>
      <c r="K1263" s="1" t="s">
        <v>14</v>
      </c>
    </row>
    <row r="1264" spans="1:11" ht="12.75" customHeight="1" x14ac:dyDescent="0.2">
      <c r="A1264" s="1" t="s">
        <v>1567</v>
      </c>
      <c r="B1264" s="1" t="s">
        <v>1568</v>
      </c>
      <c r="C1264" s="2">
        <v>19</v>
      </c>
      <c r="D1264" s="2">
        <v>323</v>
      </c>
      <c r="E1264" s="2">
        <v>0</v>
      </c>
      <c r="F1264" s="2">
        <v>16</v>
      </c>
      <c r="G1264" s="2">
        <v>41.780299999999997</v>
      </c>
      <c r="H1264" s="3">
        <v>793.82569999999998</v>
      </c>
      <c r="I1264" s="1" t="s">
        <v>17</v>
      </c>
      <c r="J1264" s="1" t="s">
        <v>18</v>
      </c>
      <c r="K1264" s="1" t="s">
        <v>19</v>
      </c>
    </row>
    <row r="1265" spans="1:11" ht="12.75" customHeight="1" x14ac:dyDescent="0.2">
      <c r="A1265" s="1" t="s">
        <v>1567</v>
      </c>
      <c r="B1265" s="1" t="s">
        <v>1568</v>
      </c>
      <c r="C1265" s="2">
        <v>8</v>
      </c>
      <c r="D1265" s="2">
        <v>136</v>
      </c>
      <c r="E1265" s="2">
        <v>0</v>
      </c>
      <c r="F1265" s="2">
        <v>0</v>
      </c>
      <c r="G1265" s="2">
        <v>32.055199999999999</v>
      </c>
      <c r="H1265" s="3">
        <v>256.44159999999999</v>
      </c>
      <c r="I1265" s="1" t="s">
        <v>24</v>
      </c>
      <c r="J1265" s="1" t="s">
        <v>25</v>
      </c>
      <c r="K1265" s="1" t="s">
        <v>26</v>
      </c>
    </row>
    <row r="1266" spans="1:11" ht="12.75" customHeight="1" x14ac:dyDescent="0.2">
      <c r="A1266" s="1" t="s">
        <v>1567</v>
      </c>
      <c r="B1266" s="1" t="s">
        <v>1568</v>
      </c>
      <c r="C1266" s="2">
        <v>196</v>
      </c>
      <c r="D1266" s="2">
        <v>3332</v>
      </c>
      <c r="E1266" s="2">
        <v>0</v>
      </c>
      <c r="F1266" s="2">
        <v>196</v>
      </c>
      <c r="G1266" s="2">
        <v>32.055199999999999</v>
      </c>
      <c r="H1266" s="3">
        <v>6282.8191999999999</v>
      </c>
      <c r="I1266" s="1" t="s">
        <v>125</v>
      </c>
      <c r="J1266" s="1" t="s">
        <v>126</v>
      </c>
      <c r="K1266" s="1" t="s">
        <v>127</v>
      </c>
    </row>
    <row r="1267" spans="1:11" ht="12.75" customHeight="1" x14ac:dyDescent="0.2">
      <c r="A1267" s="1" t="s">
        <v>1569</v>
      </c>
      <c r="B1267" s="1" t="s">
        <v>1570</v>
      </c>
      <c r="C1267" s="2">
        <v>7</v>
      </c>
      <c r="D1267" s="2">
        <v>126</v>
      </c>
      <c r="E1267" s="2">
        <v>0</v>
      </c>
      <c r="F1267" s="2">
        <v>0</v>
      </c>
      <c r="G1267" s="2">
        <v>44.1571</v>
      </c>
      <c r="H1267" s="3">
        <v>309.09969999999998</v>
      </c>
      <c r="I1267" s="1" t="s">
        <v>17</v>
      </c>
      <c r="J1267" s="1" t="s">
        <v>18</v>
      </c>
      <c r="K1267" s="1" t="s">
        <v>19</v>
      </c>
    </row>
    <row r="1268" spans="1:11" ht="12.75" customHeight="1" x14ac:dyDescent="0.2">
      <c r="A1268" s="1" t="s">
        <v>1571</v>
      </c>
      <c r="B1268" s="1" t="s">
        <v>1572</v>
      </c>
      <c r="C1268" s="2">
        <v>14</v>
      </c>
      <c r="D1268" s="2">
        <v>56</v>
      </c>
      <c r="E1268" s="2">
        <v>0</v>
      </c>
      <c r="F1268" s="2">
        <v>14</v>
      </c>
      <c r="G1268" s="2">
        <v>8.0153999999999996</v>
      </c>
      <c r="H1268" s="3">
        <v>112.21559999999999</v>
      </c>
      <c r="I1268" s="1" t="s">
        <v>12</v>
      </c>
      <c r="J1268" s="1" t="s">
        <v>13</v>
      </c>
      <c r="K1268" s="1" t="s">
        <v>14</v>
      </c>
    </row>
    <row r="1269" spans="1:11" ht="12.75" customHeight="1" x14ac:dyDescent="0.2">
      <c r="A1269" s="1" t="s">
        <v>1571</v>
      </c>
      <c r="B1269" s="1" t="s">
        <v>1572</v>
      </c>
      <c r="C1269" s="2">
        <v>31</v>
      </c>
      <c r="D1269" s="2">
        <v>124</v>
      </c>
      <c r="E1269" s="2">
        <v>0</v>
      </c>
      <c r="F1269" s="2">
        <v>21</v>
      </c>
      <c r="G1269" s="2">
        <v>8.0153999999999996</v>
      </c>
      <c r="H1269" s="3">
        <v>248.47739999999999</v>
      </c>
      <c r="I1269" s="1" t="s">
        <v>17</v>
      </c>
      <c r="J1269" s="1" t="s">
        <v>18</v>
      </c>
      <c r="K1269" s="1" t="s">
        <v>19</v>
      </c>
    </row>
    <row r="1270" spans="1:11" ht="12.75" customHeight="1" x14ac:dyDescent="0.2">
      <c r="A1270" s="1" t="s">
        <v>1573</v>
      </c>
      <c r="B1270" s="1" t="s">
        <v>1574</v>
      </c>
      <c r="C1270" s="2">
        <v>365</v>
      </c>
      <c r="D1270" s="2">
        <v>2190</v>
      </c>
      <c r="E1270" s="2">
        <v>0</v>
      </c>
      <c r="F1270" s="2">
        <v>351</v>
      </c>
      <c r="G1270" s="2">
        <v>11.557499999999999</v>
      </c>
      <c r="H1270" s="3">
        <v>4218.4875000000002</v>
      </c>
      <c r="I1270" s="1" t="s">
        <v>17</v>
      </c>
      <c r="J1270" s="1" t="s">
        <v>18</v>
      </c>
      <c r="K1270" s="1" t="s">
        <v>19</v>
      </c>
    </row>
    <row r="1271" spans="1:11" ht="12.75" customHeight="1" x14ac:dyDescent="0.2">
      <c r="A1271" s="1" t="s">
        <v>1573</v>
      </c>
      <c r="B1271" s="1" t="s">
        <v>1574</v>
      </c>
      <c r="C1271" s="2">
        <v>6</v>
      </c>
      <c r="D1271" s="2">
        <v>36</v>
      </c>
      <c r="E1271" s="2">
        <v>0</v>
      </c>
      <c r="F1271" s="2">
        <v>0</v>
      </c>
      <c r="G1271" s="2">
        <v>11.5191</v>
      </c>
      <c r="H1271" s="3">
        <v>69.114599999999996</v>
      </c>
      <c r="I1271" s="1" t="s">
        <v>24</v>
      </c>
      <c r="J1271" s="1" t="s">
        <v>25</v>
      </c>
      <c r="K1271" s="1" t="s">
        <v>26</v>
      </c>
    </row>
    <row r="1272" spans="1:11" ht="12.75" customHeight="1" x14ac:dyDescent="0.2">
      <c r="A1272" s="1" t="s">
        <v>1573</v>
      </c>
      <c r="B1272" s="1" t="s">
        <v>1574</v>
      </c>
      <c r="C1272" s="2">
        <v>1459</v>
      </c>
      <c r="D1272" s="2">
        <v>8754</v>
      </c>
      <c r="E1272" s="2">
        <v>0</v>
      </c>
      <c r="F1272" s="2">
        <v>1431</v>
      </c>
      <c r="G1272" s="2">
        <v>11.313599999999999</v>
      </c>
      <c r="H1272" s="3">
        <v>16506.542399999998</v>
      </c>
      <c r="I1272" s="1" t="s">
        <v>125</v>
      </c>
      <c r="J1272" s="1" t="s">
        <v>126</v>
      </c>
      <c r="K1272" s="1" t="s">
        <v>127</v>
      </c>
    </row>
    <row r="1273" spans="1:11" ht="12.75" customHeight="1" x14ac:dyDescent="0.2">
      <c r="A1273" s="1" t="s">
        <v>1575</v>
      </c>
      <c r="B1273" s="1" t="s">
        <v>1576</v>
      </c>
      <c r="C1273" s="2">
        <v>10</v>
      </c>
      <c r="D1273" s="2">
        <v>70</v>
      </c>
      <c r="E1273" s="2">
        <v>0</v>
      </c>
      <c r="F1273" s="2">
        <v>10</v>
      </c>
      <c r="G1273" s="2">
        <v>13.8371</v>
      </c>
      <c r="H1273" s="3">
        <v>138.37100000000001</v>
      </c>
      <c r="I1273" s="1" t="s">
        <v>17</v>
      </c>
      <c r="J1273" s="1" t="s">
        <v>18</v>
      </c>
      <c r="K1273" s="1" t="s">
        <v>19</v>
      </c>
    </row>
    <row r="1274" spans="1:11" ht="12.75" customHeight="1" x14ac:dyDescent="0.2">
      <c r="A1274" s="1" t="s">
        <v>1575</v>
      </c>
      <c r="B1274" s="1" t="s">
        <v>1576</v>
      </c>
      <c r="C1274" s="2">
        <v>1847</v>
      </c>
      <c r="D1274" s="2">
        <v>12929</v>
      </c>
      <c r="E1274" s="2">
        <v>0</v>
      </c>
      <c r="F1274" s="2">
        <v>0</v>
      </c>
      <c r="G1274" s="2">
        <v>13.199199999999999</v>
      </c>
      <c r="H1274" s="3">
        <v>24378.922399999999</v>
      </c>
      <c r="I1274" s="1" t="s">
        <v>125</v>
      </c>
      <c r="J1274" s="1" t="s">
        <v>126</v>
      </c>
      <c r="K1274" s="1" t="s">
        <v>127</v>
      </c>
    </row>
    <row r="1275" spans="1:11" ht="12.75" customHeight="1" x14ac:dyDescent="0.2">
      <c r="A1275" s="1" t="s">
        <v>1577</v>
      </c>
      <c r="B1275" s="1" t="s">
        <v>1578</v>
      </c>
      <c r="C1275" s="2">
        <v>157</v>
      </c>
      <c r="D1275" s="2">
        <v>1256</v>
      </c>
      <c r="E1275" s="2">
        <v>0</v>
      </c>
      <c r="F1275" s="2">
        <v>151</v>
      </c>
      <c r="G1275" s="2">
        <v>17.480399999999999</v>
      </c>
      <c r="H1275" s="3">
        <v>2744.4227999999998</v>
      </c>
      <c r="I1275" s="1" t="s">
        <v>17</v>
      </c>
      <c r="J1275" s="1" t="s">
        <v>18</v>
      </c>
      <c r="K1275" s="1" t="s">
        <v>19</v>
      </c>
    </row>
    <row r="1276" spans="1:11" ht="12.75" customHeight="1" x14ac:dyDescent="0.2">
      <c r="A1276" s="1" t="s">
        <v>1577</v>
      </c>
      <c r="B1276" s="1" t="s">
        <v>1578</v>
      </c>
      <c r="C1276" s="2">
        <v>5</v>
      </c>
      <c r="D1276" s="2">
        <v>40</v>
      </c>
      <c r="E1276" s="2">
        <v>0</v>
      </c>
      <c r="F1276" s="2">
        <v>0</v>
      </c>
      <c r="G1276" s="2">
        <v>15.0848</v>
      </c>
      <c r="H1276" s="3">
        <v>75.424000000000007</v>
      </c>
      <c r="I1276" s="1" t="s">
        <v>24</v>
      </c>
      <c r="J1276" s="1" t="s">
        <v>25</v>
      </c>
      <c r="K1276" s="1" t="s">
        <v>26</v>
      </c>
    </row>
    <row r="1277" spans="1:11" ht="12.75" customHeight="1" x14ac:dyDescent="0.2">
      <c r="A1277" s="1" t="s">
        <v>1577</v>
      </c>
      <c r="B1277" s="1" t="s">
        <v>1578</v>
      </c>
      <c r="C1277" s="2">
        <v>161</v>
      </c>
      <c r="D1277" s="2">
        <v>1288</v>
      </c>
      <c r="E1277" s="2">
        <v>0</v>
      </c>
      <c r="F1277" s="2">
        <v>0</v>
      </c>
      <c r="G1277" s="2">
        <v>15.093299999999999</v>
      </c>
      <c r="H1277" s="3">
        <v>2430.0212999999999</v>
      </c>
      <c r="I1277" s="1" t="s">
        <v>125</v>
      </c>
      <c r="J1277" s="1" t="s">
        <v>126</v>
      </c>
      <c r="K1277" s="1" t="s">
        <v>127</v>
      </c>
    </row>
    <row r="1278" spans="1:11" ht="12.75" customHeight="1" x14ac:dyDescent="0.2">
      <c r="A1278" s="1" t="s">
        <v>1577</v>
      </c>
      <c r="B1278" s="1" t="s">
        <v>1578</v>
      </c>
      <c r="C1278" s="2">
        <v>6</v>
      </c>
      <c r="D1278" s="2">
        <v>48</v>
      </c>
      <c r="E1278" s="2">
        <v>0</v>
      </c>
      <c r="F1278" s="2">
        <v>6</v>
      </c>
      <c r="G1278" s="2">
        <v>15.0848</v>
      </c>
      <c r="H1278" s="3">
        <v>90.508799999999994</v>
      </c>
      <c r="I1278" s="1" t="s">
        <v>330</v>
      </c>
      <c r="J1278" s="1" t="s">
        <v>331</v>
      </c>
      <c r="K1278" s="1" t="s">
        <v>332</v>
      </c>
    </row>
    <row r="1279" spans="1:11" ht="12.75" customHeight="1" x14ac:dyDescent="0.2">
      <c r="A1279" s="1" t="s">
        <v>1579</v>
      </c>
      <c r="B1279" s="1" t="s">
        <v>1580</v>
      </c>
      <c r="C1279" s="2">
        <v>362</v>
      </c>
      <c r="D1279" s="2">
        <v>3258</v>
      </c>
      <c r="E1279" s="2">
        <v>0</v>
      </c>
      <c r="F1279" s="2">
        <v>38</v>
      </c>
      <c r="G1279" s="2">
        <v>16.970400000000001</v>
      </c>
      <c r="H1279" s="3">
        <v>6143.2848000000004</v>
      </c>
      <c r="I1279" s="1" t="s">
        <v>125</v>
      </c>
      <c r="J1279" s="1" t="s">
        <v>126</v>
      </c>
      <c r="K1279" s="1" t="s">
        <v>127</v>
      </c>
    </row>
    <row r="1280" spans="1:11" ht="12.75" customHeight="1" x14ac:dyDescent="0.2">
      <c r="A1280" s="1" t="s">
        <v>1579</v>
      </c>
      <c r="B1280" s="1" t="s">
        <v>1580</v>
      </c>
      <c r="C1280" s="2">
        <v>6</v>
      </c>
      <c r="D1280" s="2">
        <v>54</v>
      </c>
      <c r="E1280" s="2">
        <v>0</v>
      </c>
      <c r="F1280" s="2">
        <v>6</v>
      </c>
      <c r="G1280" s="2">
        <v>16.970400000000001</v>
      </c>
      <c r="H1280" s="3">
        <v>101.8224</v>
      </c>
      <c r="I1280" s="1" t="s">
        <v>330</v>
      </c>
      <c r="J1280" s="1" t="s">
        <v>331</v>
      </c>
      <c r="K1280" s="1" t="s">
        <v>332</v>
      </c>
    </row>
    <row r="1281" spans="1:11" ht="12.75" customHeight="1" x14ac:dyDescent="0.2">
      <c r="A1281" s="1" t="s">
        <v>1581</v>
      </c>
      <c r="B1281" s="1" t="s">
        <v>1582</v>
      </c>
      <c r="C1281" s="2">
        <v>32</v>
      </c>
      <c r="D1281" s="2">
        <v>320</v>
      </c>
      <c r="E1281" s="2">
        <v>0</v>
      </c>
      <c r="F1281" s="2">
        <v>30</v>
      </c>
      <c r="G1281" s="2">
        <v>10.536300000000001</v>
      </c>
      <c r="H1281" s="3">
        <v>337.16160000000002</v>
      </c>
      <c r="I1281" s="1" t="s">
        <v>17</v>
      </c>
      <c r="J1281" s="1" t="s">
        <v>18</v>
      </c>
      <c r="K1281" s="1" t="s">
        <v>19</v>
      </c>
    </row>
    <row r="1282" spans="1:11" ht="12.75" customHeight="1" x14ac:dyDescent="0.2">
      <c r="A1282" s="1" t="s">
        <v>1581</v>
      </c>
      <c r="B1282" s="1" t="s">
        <v>1582</v>
      </c>
      <c r="C1282" s="2">
        <v>1275</v>
      </c>
      <c r="D1282" s="2">
        <v>12750</v>
      </c>
      <c r="E1282" s="2">
        <v>0</v>
      </c>
      <c r="F1282" s="2">
        <v>155</v>
      </c>
      <c r="G1282" s="2">
        <v>10.536300000000001</v>
      </c>
      <c r="H1282" s="3">
        <v>13433.782499999999</v>
      </c>
      <c r="I1282" s="1" t="s">
        <v>330</v>
      </c>
      <c r="J1282" s="1" t="s">
        <v>331</v>
      </c>
      <c r="K1282" s="1" t="s">
        <v>332</v>
      </c>
    </row>
    <row r="1283" spans="1:11" ht="12.75" customHeight="1" x14ac:dyDescent="0.2">
      <c r="A1283" s="1" t="s">
        <v>1583</v>
      </c>
      <c r="B1283" s="1" t="s">
        <v>1584</v>
      </c>
      <c r="C1283" s="2">
        <v>191</v>
      </c>
      <c r="D1283" s="2">
        <v>2101</v>
      </c>
      <c r="E1283" s="2">
        <v>0</v>
      </c>
      <c r="F1283" s="2">
        <v>0</v>
      </c>
      <c r="G1283" s="2">
        <v>11.5899</v>
      </c>
      <c r="H1283" s="3">
        <v>2213.6709000000001</v>
      </c>
      <c r="I1283" s="1" t="s">
        <v>17</v>
      </c>
      <c r="J1283" s="1" t="s">
        <v>18</v>
      </c>
      <c r="K1283" s="1" t="s">
        <v>19</v>
      </c>
    </row>
    <row r="1284" spans="1:11" ht="12.75" customHeight="1" x14ac:dyDescent="0.2">
      <c r="A1284" s="1" t="s">
        <v>1585</v>
      </c>
      <c r="B1284" s="1" t="s">
        <v>1586</v>
      </c>
      <c r="C1284" s="2">
        <v>11</v>
      </c>
      <c r="D1284" s="2">
        <v>132</v>
      </c>
      <c r="E1284" s="2">
        <v>0</v>
      </c>
      <c r="F1284" s="2">
        <v>0</v>
      </c>
      <c r="G1284" s="2">
        <v>12.643599999999999</v>
      </c>
      <c r="H1284" s="3">
        <v>139.0796</v>
      </c>
      <c r="I1284" s="1" t="s">
        <v>17</v>
      </c>
      <c r="J1284" s="1" t="s">
        <v>18</v>
      </c>
      <c r="K1284" s="1" t="s">
        <v>19</v>
      </c>
    </row>
    <row r="1285" spans="1:11" ht="12.75" customHeight="1" x14ac:dyDescent="0.2">
      <c r="A1285" s="1" t="s">
        <v>1587</v>
      </c>
      <c r="B1285" s="1" t="s">
        <v>1588</v>
      </c>
      <c r="C1285" s="2">
        <v>1</v>
      </c>
      <c r="D1285" s="2">
        <v>13</v>
      </c>
      <c r="E1285" s="2">
        <v>0</v>
      </c>
      <c r="F1285" s="2">
        <v>0</v>
      </c>
      <c r="G1285" s="2">
        <v>13.697100000000001</v>
      </c>
      <c r="H1285" s="3">
        <v>13.697100000000001</v>
      </c>
      <c r="I1285" s="1" t="s">
        <v>17</v>
      </c>
      <c r="J1285" s="1" t="s">
        <v>18</v>
      </c>
      <c r="K1285" s="1" t="s">
        <v>19</v>
      </c>
    </row>
    <row r="1286" spans="1:11" ht="12.75" customHeight="1" x14ac:dyDescent="0.2">
      <c r="A1286" s="1" t="s">
        <v>1589</v>
      </c>
      <c r="B1286" s="1" t="s">
        <v>1590</v>
      </c>
      <c r="C1286" s="2">
        <v>11</v>
      </c>
      <c r="D1286" s="2">
        <v>154</v>
      </c>
      <c r="E1286" s="2">
        <v>0</v>
      </c>
      <c r="F1286" s="2">
        <v>10</v>
      </c>
      <c r="G1286" s="2">
        <v>14.7508</v>
      </c>
      <c r="H1286" s="3">
        <v>162.25880000000001</v>
      </c>
      <c r="I1286" s="1" t="s">
        <v>17</v>
      </c>
      <c r="J1286" s="1" t="s">
        <v>18</v>
      </c>
      <c r="K1286" s="1" t="s">
        <v>19</v>
      </c>
    </row>
    <row r="1287" spans="1:11" ht="12.75" customHeight="1" x14ac:dyDescent="0.2">
      <c r="A1287" s="1" t="s">
        <v>1591</v>
      </c>
      <c r="B1287" s="1" t="s">
        <v>1592</v>
      </c>
      <c r="C1287" s="2">
        <v>398</v>
      </c>
      <c r="D1287" s="2">
        <v>5970</v>
      </c>
      <c r="E1287" s="2">
        <v>0</v>
      </c>
      <c r="F1287" s="2">
        <v>1</v>
      </c>
      <c r="G1287" s="2">
        <v>15.804500000000001</v>
      </c>
      <c r="H1287" s="3">
        <v>6290.1909999999998</v>
      </c>
      <c r="I1287" s="1" t="s">
        <v>330</v>
      </c>
      <c r="J1287" s="1" t="s">
        <v>331</v>
      </c>
      <c r="K1287" s="1" t="s">
        <v>332</v>
      </c>
    </row>
    <row r="1288" spans="1:11" ht="12.75" customHeight="1" x14ac:dyDescent="0.2">
      <c r="A1288" s="1" t="s">
        <v>1593</v>
      </c>
      <c r="B1288" s="1" t="s">
        <v>1594</v>
      </c>
      <c r="C1288" s="2">
        <v>7</v>
      </c>
      <c r="D1288" s="2">
        <v>112</v>
      </c>
      <c r="E1288" s="2">
        <v>0</v>
      </c>
      <c r="F1288" s="2">
        <v>0</v>
      </c>
      <c r="G1288" s="2">
        <v>16.8581</v>
      </c>
      <c r="H1288" s="3">
        <v>118.0067</v>
      </c>
      <c r="I1288" s="1" t="s">
        <v>17</v>
      </c>
      <c r="J1288" s="1" t="s">
        <v>18</v>
      </c>
      <c r="K1288" s="1" t="s">
        <v>19</v>
      </c>
    </row>
    <row r="1289" spans="1:11" ht="12.75" customHeight="1" x14ac:dyDescent="0.2">
      <c r="A1289" s="1" t="s">
        <v>1593</v>
      </c>
      <c r="B1289" s="1" t="s">
        <v>1594</v>
      </c>
      <c r="C1289" s="2">
        <v>160</v>
      </c>
      <c r="D1289" s="2">
        <v>2560</v>
      </c>
      <c r="E1289" s="2">
        <v>0</v>
      </c>
      <c r="F1289" s="2">
        <v>1</v>
      </c>
      <c r="G1289" s="2">
        <v>16.8581</v>
      </c>
      <c r="H1289" s="3">
        <v>2697.2959999999998</v>
      </c>
      <c r="I1289" s="1" t="s">
        <v>330</v>
      </c>
      <c r="J1289" s="1" t="s">
        <v>331</v>
      </c>
      <c r="K1289" s="1" t="s">
        <v>332</v>
      </c>
    </row>
    <row r="1290" spans="1:11" ht="12.75" customHeight="1" x14ac:dyDescent="0.2">
      <c r="A1290" s="1" t="s">
        <v>1595</v>
      </c>
      <c r="B1290" s="1" t="s">
        <v>1596</v>
      </c>
      <c r="C1290" s="2">
        <v>230</v>
      </c>
      <c r="D1290" s="2">
        <v>3910</v>
      </c>
      <c r="E1290" s="2">
        <v>0</v>
      </c>
      <c r="F1290" s="2">
        <v>0</v>
      </c>
      <c r="G1290" s="2">
        <v>17.9117</v>
      </c>
      <c r="H1290" s="3">
        <v>4119.6909999999998</v>
      </c>
      <c r="I1290" s="1" t="s">
        <v>330</v>
      </c>
      <c r="J1290" s="1" t="s">
        <v>331</v>
      </c>
      <c r="K1290" s="1" t="s">
        <v>332</v>
      </c>
    </row>
    <row r="1291" spans="1:11" ht="12.75" customHeight="1" x14ac:dyDescent="0.2">
      <c r="A1291" s="1" t="s">
        <v>1597</v>
      </c>
      <c r="B1291" s="1" t="s">
        <v>1598</v>
      </c>
      <c r="C1291" s="2">
        <v>531</v>
      </c>
      <c r="D1291" s="2">
        <v>3186</v>
      </c>
      <c r="E1291" s="2">
        <v>0</v>
      </c>
      <c r="F1291" s="2">
        <v>11</v>
      </c>
      <c r="G1291" s="2">
        <v>6.3217999999999996</v>
      </c>
      <c r="H1291" s="3">
        <v>3356.8757999999998</v>
      </c>
      <c r="I1291" s="1" t="s">
        <v>17</v>
      </c>
      <c r="J1291" s="1" t="s">
        <v>18</v>
      </c>
      <c r="K1291" s="1" t="s">
        <v>19</v>
      </c>
    </row>
    <row r="1292" spans="1:11" ht="12.75" customHeight="1" x14ac:dyDescent="0.2">
      <c r="A1292" s="1" t="s">
        <v>1599</v>
      </c>
      <c r="B1292" s="1" t="s">
        <v>1600</v>
      </c>
      <c r="C1292" s="2">
        <v>1081</v>
      </c>
      <c r="D1292" s="2">
        <v>7567</v>
      </c>
      <c r="E1292" s="2">
        <v>0</v>
      </c>
      <c r="F1292" s="2">
        <v>0</v>
      </c>
      <c r="G1292" s="2">
        <v>7.3754</v>
      </c>
      <c r="H1292" s="3">
        <v>7972.8073999999997</v>
      </c>
      <c r="I1292" s="1" t="s">
        <v>17</v>
      </c>
      <c r="J1292" s="1" t="s">
        <v>18</v>
      </c>
      <c r="K1292" s="1" t="s">
        <v>19</v>
      </c>
    </row>
    <row r="1293" spans="1:11" ht="12.75" customHeight="1" x14ac:dyDescent="0.2">
      <c r="A1293" s="1" t="s">
        <v>1599</v>
      </c>
      <c r="B1293" s="1" t="s">
        <v>1600</v>
      </c>
      <c r="C1293" s="2">
        <v>447</v>
      </c>
      <c r="D1293" s="2">
        <v>3129</v>
      </c>
      <c r="E1293" s="2">
        <v>0</v>
      </c>
      <c r="F1293" s="2">
        <v>0</v>
      </c>
      <c r="G1293" s="2">
        <v>7.3754</v>
      </c>
      <c r="H1293" s="3">
        <v>3296.8038000000001</v>
      </c>
      <c r="I1293" s="1" t="s">
        <v>330</v>
      </c>
      <c r="J1293" s="1" t="s">
        <v>331</v>
      </c>
      <c r="K1293" s="1" t="s">
        <v>332</v>
      </c>
    </row>
    <row r="1294" spans="1:11" ht="12.75" customHeight="1" x14ac:dyDescent="0.2">
      <c r="A1294" s="1" t="s">
        <v>1602</v>
      </c>
      <c r="B1294" s="1" t="s">
        <v>1603</v>
      </c>
      <c r="C1294" s="2">
        <v>46</v>
      </c>
      <c r="D1294" s="2">
        <v>414</v>
      </c>
      <c r="E1294" s="2">
        <v>0</v>
      </c>
      <c r="F1294" s="2">
        <v>2</v>
      </c>
      <c r="G1294" s="2">
        <v>9.4826999999999995</v>
      </c>
      <c r="H1294" s="3">
        <v>436.20420000000001</v>
      </c>
      <c r="I1294" s="1" t="s">
        <v>17</v>
      </c>
      <c r="J1294" s="1" t="s">
        <v>18</v>
      </c>
      <c r="K1294" s="1" t="s">
        <v>19</v>
      </c>
    </row>
    <row r="1295" spans="1:11" ht="12.75" customHeight="1" x14ac:dyDescent="0.2">
      <c r="A1295" s="1" t="s">
        <v>1602</v>
      </c>
      <c r="B1295" s="1" t="s">
        <v>1603</v>
      </c>
      <c r="C1295" s="2">
        <v>290</v>
      </c>
      <c r="D1295" s="2">
        <v>2610</v>
      </c>
      <c r="E1295" s="2">
        <v>0</v>
      </c>
      <c r="F1295" s="2">
        <v>15</v>
      </c>
      <c r="G1295" s="2">
        <v>9.4826999999999995</v>
      </c>
      <c r="H1295" s="3">
        <v>2749.9830000000002</v>
      </c>
      <c r="I1295" s="1" t="s">
        <v>330</v>
      </c>
      <c r="J1295" s="1" t="s">
        <v>331</v>
      </c>
      <c r="K1295" s="1" t="s">
        <v>332</v>
      </c>
    </row>
    <row r="1296" spans="1:11" ht="12.75" customHeight="1" x14ac:dyDescent="0.2">
      <c r="A1296" s="1" t="s">
        <v>1604</v>
      </c>
      <c r="B1296" s="1" t="s">
        <v>1605</v>
      </c>
      <c r="C1296" s="2">
        <v>2</v>
      </c>
      <c r="D1296" s="2">
        <v>20</v>
      </c>
      <c r="E1296" s="2">
        <v>0</v>
      </c>
      <c r="F1296" s="2">
        <v>0</v>
      </c>
      <c r="G1296" s="2">
        <v>22.327200000000001</v>
      </c>
      <c r="H1296" s="3">
        <v>44.654400000000003</v>
      </c>
      <c r="I1296" s="1" t="s">
        <v>24</v>
      </c>
      <c r="J1296" s="1" t="s">
        <v>25</v>
      </c>
      <c r="K1296" s="1" t="s">
        <v>26</v>
      </c>
    </row>
    <row r="1297" spans="1:11" ht="12.75" customHeight="1" x14ac:dyDescent="0.2">
      <c r="A1297" s="1" t="s">
        <v>1606</v>
      </c>
      <c r="B1297" s="1" t="s">
        <v>1607</v>
      </c>
      <c r="C1297" s="2">
        <v>8</v>
      </c>
      <c r="D1297" s="2">
        <v>88</v>
      </c>
      <c r="E1297" s="2">
        <v>0</v>
      </c>
      <c r="F1297" s="2">
        <v>0</v>
      </c>
      <c r="G1297" s="2">
        <v>24.559899999999999</v>
      </c>
      <c r="H1297" s="3">
        <v>196.47919999999999</v>
      </c>
      <c r="I1297" s="1" t="s">
        <v>24</v>
      </c>
      <c r="J1297" s="1" t="s">
        <v>25</v>
      </c>
      <c r="K1297" s="1" t="s">
        <v>26</v>
      </c>
    </row>
    <row r="1298" spans="1:11" ht="12.75" customHeight="1" x14ac:dyDescent="0.2">
      <c r="A1298" s="1" t="s">
        <v>1606</v>
      </c>
      <c r="B1298" s="1" t="s">
        <v>1607</v>
      </c>
      <c r="C1298" s="2">
        <v>16</v>
      </c>
      <c r="D1298" s="2">
        <v>176</v>
      </c>
      <c r="E1298" s="2">
        <v>0</v>
      </c>
      <c r="F1298" s="2">
        <v>0</v>
      </c>
      <c r="G1298" s="2">
        <v>24.559899999999999</v>
      </c>
      <c r="H1298" s="3">
        <v>392.95839999999998</v>
      </c>
      <c r="I1298" s="1" t="s">
        <v>330</v>
      </c>
      <c r="J1298" s="1" t="s">
        <v>331</v>
      </c>
      <c r="K1298" s="1" t="s">
        <v>332</v>
      </c>
    </row>
    <row r="1299" spans="1:11" ht="12.75" customHeight="1" x14ac:dyDescent="0.2">
      <c r="A1299" s="1" t="s">
        <v>1608</v>
      </c>
      <c r="B1299" s="1" t="s">
        <v>1609</v>
      </c>
      <c r="C1299" s="2">
        <v>8</v>
      </c>
      <c r="D1299" s="2">
        <v>96</v>
      </c>
      <c r="E1299" s="2">
        <v>0</v>
      </c>
      <c r="F1299" s="2">
        <v>0</v>
      </c>
      <c r="G1299" s="2">
        <v>26.7926</v>
      </c>
      <c r="H1299" s="3">
        <v>214.3408</v>
      </c>
      <c r="I1299" s="1" t="s">
        <v>24</v>
      </c>
      <c r="J1299" s="1" t="s">
        <v>25</v>
      </c>
      <c r="K1299" s="1" t="s">
        <v>26</v>
      </c>
    </row>
    <row r="1300" spans="1:11" ht="12.75" customHeight="1" x14ac:dyDescent="0.2">
      <c r="A1300" s="1" t="s">
        <v>1608</v>
      </c>
      <c r="B1300" s="1" t="s">
        <v>1609</v>
      </c>
      <c r="C1300" s="2">
        <v>24</v>
      </c>
      <c r="D1300" s="2">
        <v>288</v>
      </c>
      <c r="E1300" s="2">
        <v>0</v>
      </c>
      <c r="F1300" s="2">
        <v>0</v>
      </c>
      <c r="G1300" s="2">
        <v>26.7926</v>
      </c>
      <c r="H1300" s="3">
        <v>643.02239999999995</v>
      </c>
      <c r="I1300" s="1" t="s">
        <v>330</v>
      </c>
      <c r="J1300" s="1" t="s">
        <v>331</v>
      </c>
      <c r="K1300" s="1" t="s">
        <v>332</v>
      </c>
    </row>
    <row r="1301" spans="1:11" ht="12.75" customHeight="1" x14ac:dyDescent="0.2">
      <c r="A1301" s="1" t="s">
        <v>1610</v>
      </c>
      <c r="B1301" s="1" t="s">
        <v>1611</v>
      </c>
      <c r="C1301" s="2">
        <v>22</v>
      </c>
      <c r="D1301" s="2">
        <v>286</v>
      </c>
      <c r="E1301" s="2">
        <v>0</v>
      </c>
      <c r="F1301" s="2">
        <v>0</v>
      </c>
      <c r="G1301" s="2">
        <v>29.025300000000001</v>
      </c>
      <c r="H1301" s="3">
        <v>638.5566</v>
      </c>
      <c r="I1301" s="1" t="s">
        <v>24</v>
      </c>
      <c r="J1301" s="1" t="s">
        <v>25</v>
      </c>
      <c r="K1301" s="1" t="s">
        <v>26</v>
      </c>
    </row>
    <row r="1302" spans="1:11" ht="12.75" customHeight="1" x14ac:dyDescent="0.2">
      <c r="A1302" s="1" t="s">
        <v>1610</v>
      </c>
      <c r="B1302" s="1" t="s">
        <v>1611</v>
      </c>
      <c r="C1302" s="2">
        <v>1</v>
      </c>
      <c r="D1302" s="2">
        <v>13</v>
      </c>
      <c r="E1302" s="2">
        <v>0</v>
      </c>
      <c r="F1302" s="2">
        <v>0</v>
      </c>
      <c r="G1302" s="2">
        <v>29.025300000000001</v>
      </c>
      <c r="H1302" s="3">
        <v>29.025300000000001</v>
      </c>
      <c r="I1302" s="1" t="s">
        <v>330</v>
      </c>
      <c r="J1302" s="1" t="s">
        <v>331</v>
      </c>
      <c r="K1302" s="1" t="s">
        <v>332</v>
      </c>
    </row>
    <row r="1303" spans="1:11" ht="12.75" customHeight="1" x14ac:dyDescent="0.2">
      <c r="A1303" s="1" t="s">
        <v>1612</v>
      </c>
      <c r="B1303" s="1" t="s">
        <v>1613</v>
      </c>
      <c r="C1303" s="2">
        <v>2</v>
      </c>
      <c r="D1303" s="2">
        <v>28</v>
      </c>
      <c r="E1303" s="2">
        <v>0</v>
      </c>
      <c r="F1303" s="2">
        <v>2</v>
      </c>
      <c r="G1303" s="2">
        <v>31.258099999999999</v>
      </c>
      <c r="H1303" s="3">
        <v>62.516199999999998</v>
      </c>
      <c r="I1303" s="1" t="s">
        <v>17</v>
      </c>
      <c r="J1303" s="1" t="s">
        <v>18</v>
      </c>
      <c r="K1303" s="1" t="s">
        <v>19</v>
      </c>
    </row>
    <row r="1304" spans="1:11" ht="12.75" customHeight="1" x14ac:dyDescent="0.2">
      <c r="A1304" s="1" t="s">
        <v>1612</v>
      </c>
      <c r="B1304" s="1" t="s">
        <v>1613</v>
      </c>
      <c r="C1304" s="2">
        <v>344</v>
      </c>
      <c r="D1304" s="2">
        <v>4816</v>
      </c>
      <c r="E1304" s="2">
        <v>0</v>
      </c>
      <c r="F1304" s="2">
        <v>0</v>
      </c>
      <c r="G1304" s="2">
        <v>31.258099999999999</v>
      </c>
      <c r="H1304" s="3">
        <v>10752.786400000001</v>
      </c>
      <c r="I1304" s="1" t="s">
        <v>24</v>
      </c>
      <c r="J1304" s="1" t="s">
        <v>25</v>
      </c>
      <c r="K1304" s="1" t="s">
        <v>26</v>
      </c>
    </row>
    <row r="1305" spans="1:11" ht="12.75" customHeight="1" x14ac:dyDescent="0.2">
      <c r="A1305" s="1" t="s">
        <v>1612</v>
      </c>
      <c r="B1305" s="1" t="s">
        <v>1613</v>
      </c>
      <c r="C1305" s="2">
        <v>60</v>
      </c>
      <c r="D1305" s="2">
        <v>840</v>
      </c>
      <c r="E1305" s="2">
        <v>0</v>
      </c>
      <c r="F1305" s="2">
        <v>5</v>
      </c>
      <c r="G1305" s="2">
        <v>31.258099999999999</v>
      </c>
      <c r="H1305" s="3">
        <v>1875.4860000000001</v>
      </c>
      <c r="I1305" s="1" t="s">
        <v>330</v>
      </c>
      <c r="J1305" s="1" t="s">
        <v>331</v>
      </c>
      <c r="K1305" s="1" t="s">
        <v>332</v>
      </c>
    </row>
    <row r="1306" spans="1:11" ht="12.75" customHeight="1" x14ac:dyDescent="0.2">
      <c r="A1306" s="1" t="s">
        <v>1614</v>
      </c>
      <c r="B1306" s="1" t="s">
        <v>1615</v>
      </c>
      <c r="C1306" s="2">
        <v>3</v>
      </c>
      <c r="D1306" s="2">
        <v>45</v>
      </c>
      <c r="E1306" s="2">
        <v>0</v>
      </c>
      <c r="F1306" s="2">
        <v>0</v>
      </c>
      <c r="G1306" s="2">
        <v>33.4908</v>
      </c>
      <c r="H1306" s="3">
        <v>100.47239999999999</v>
      </c>
      <c r="I1306" s="1" t="s">
        <v>24</v>
      </c>
      <c r="J1306" s="1" t="s">
        <v>25</v>
      </c>
      <c r="K1306" s="1" t="s">
        <v>26</v>
      </c>
    </row>
    <row r="1307" spans="1:11" ht="12.75" customHeight="1" x14ac:dyDescent="0.2">
      <c r="A1307" s="1" t="s">
        <v>1616</v>
      </c>
      <c r="B1307" s="1" t="s">
        <v>1617</v>
      </c>
      <c r="C1307" s="2">
        <v>95</v>
      </c>
      <c r="D1307" s="2">
        <v>1520</v>
      </c>
      <c r="E1307" s="2">
        <v>0</v>
      </c>
      <c r="F1307" s="2">
        <v>95</v>
      </c>
      <c r="G1307" s="2">
        <v>35.723500000000001</v>
      </c>
      <c r="H1307" s="3">
        <v>3393.7325000000001</v>
      </c>
      <c r="I1307" s="1" t="s">
        <v>17</v>
      </c>
      <c r="J1307" s="1" t="s">
        <v>18</v>
      </c>
      <c r="K1307" s="1" t="s">
        <v>19</v>
      </c>
    </row>
    <row r="1308" spans="1:11" ht="12.75" customHeight="1" x14ac:dyDescent="0.2">
      <c r="A1308" s="1" t="s">
        <v>1616</v>
      </c>
      <c r="B1308" s="1" t="s">
        <v>1617</v>
      </c>
      <c r="C1308" s="2">
        <v>9</v>
      </c>
      <c r="D1308" s="2">
        <v>144</v>
      </c>
      <c r="E1308" s="2">
        <v>0</v>
      </c>
      <c r="F1308" s="2">
        <v>0</v>
      </c>
      <c r="G1308" s="2">
        <v>35.723500000000001</v>
      </c>
      <c r="H1308" s="3">
        <v>321.51150000000001</v>
      </c>
      <c r="I1308" s="1" t="s">
        <v>24</v>
      </c>
      <c r="J1308" s="1" t="s">
        <v>25</v>
      </c>
      <c r="K1308" s="1" t="s">
        <v>26</v>
      </c>
    </row>
    <row r="1309" spans="1:11" ht="12.75" customHeight="1" x14ac:dyDescent="0.2">
      <c r="A1309" s="1" t="s">
        <v>1616</v>
      </c>
      <c r="B1309" s="1" t="s">
        <v>1617</v>
      </c>
      <c r="C1309" s="2">
        <v>683</v>
      </c>
      <c r="D1309" s="2">
        <v>10928</v>
      </c>
      <c r="E1309" s="2">
        <v>0</v>
      </c>
      <c r="F1309" s="2">
        <v>118</v>
      </c>
      <c r="G1309" s="2">
        <v>35.723500000000001</v>
      </c>
      <c r="H1309" s="3">
        <v>24399.1505</v>
      </c>
      <c r="I1309" s="1" t="s">
        <v>330</v>
      </c>
      <c r="J1309" s="1" t="s">
        <v>331</v>
      </c>
      <c r="K1309" s="1" t="s">
        <v>332</v>
      </c>
    </row>
    <row r="1310" spans="1:11" ht="12.75" customHeight="1" x14ac:dyDescent="0.2">
      <c r="A1310" s="1" t="s">
        <v>1618</v>
      </c>
      <c r="B1310" s="1" t="s">
        <v>1619</v>
      </c>
      <c r="C1310" s="2">
        <v>23</v>
      </c>
      <c r="D1310" s="2">
        <v>391</v>
      </c>
      <c r="E1310" s="2">
        <v>0</v>
      </c>
      <c r="F1310" s="2">
        <v>0</v>
      </c>
      <c r="G1310" s="2">
        <v>37.956200000000003</v>
      </c>
      <c r="H1310" s="3">
        <v>872.99260000000004</v>
      </c>
      <c r="I1310" s="1" t="s">
        <v>24</v>
      </c>
      <c r="J1310" s="1" t="s">
        <v>25</v>
      </c>
      <c r="K1310" s="1" t="s">
        <v>26</v>
      </c>
    </row>
    <row r="1311" spans="1:11" ht="12.75" customHeight="1" x14ac:dyDescent="0.2">
      <c r="A1311" s="1" t="s">
        <v>1620</v>
      </c>
      <c r="B1311" s="1" t="s">
        <v>1621</v>
      </c>
      <c r="C1311" s="2">
        <v>323</v>
      </c>
      <c r="D1311" s="2">
        <v>5814</v>
      </c>
      <c r="E1311" s="2">
        <v>0</v>
      </c>
      <c r="F1311" s="2">
        <v>0</v>
      </c>
      <c r="G1311" s="2">
        <v>40.189</v>
      </c>
      <c r="H1311" s="3">
        <v>12981.047</v>
      </c>
      <c r="I1311" s="1" t="s">
        <v>24</v>
      </c>
      <c r="J1311" s="1" t="s">
        <v>25</v>
      </c>
      <c r="K1311" s="1" t="s">
        <v>26</v>
      </c>
    </row>
    <row r="1312" spans="1:11" ht="12.75" customHeight="1" x14ac:dyDescent="0.2">
      <c r="A1312" s="1" t="s">
        <v>1622</v>
      </c>
      <c r="B1312" s="1" t="s">
        <v>1623</v>
      </c>
      <c r="C1312" s="2">
        <v>2</v>
      </c>
      <c r="D1312" s="2">
        <v>6</v>
      </c>
      <c r="E1312" s="2">
        <v>0</v>
      </c>
      <c r="F1312" s="2">
        <v>0</v>
      </c>
      <c r="G1312" s="2">
        <v>6.6981000000000002</v>
      </c>
      <c r="H1312" s="3">
        <v>13.3962</v>
      </c>
      <c r="I1312" s="1" t="s">
        <v>17</v>
      </c>
      <c r="J1312" s="1" t="s">
        <v>18</v>
      </c>
      <c r="K1312" s="1" t="s">
        <v>19</v>
      </c>
    </row>
    <row r="1313" spans="1:11" ht="12.75" customHeight="1" x14ac:dyDescent="0.2">
      <c r="A1313" s="1" t="s">
        <v>1622</v>
      </c>
      <c r="B1313" s="1" t="s">
        <v>1623</v>
      </c>
      <c r="C1313" s="2">
        <v>2</v>
      </c>
      <c r="D1313" s="2">
        <v>6</v>
      </c>
      <c r="E1313" s="2">
        <v>0</v>
      </c>
      <c r="F1313" s="2">
        <v>0</v>
      </c>
      <c r="G1313" s="2">
        <v>6.6981000000000002</v>
      </c>
      <c r="H1313" s="3">
        <v>13.3962</v>
      </c>
      <c r="I1313" s="1" t="s">
        <v>24</v>
      </c>
      <c r="J1313" s="1" t="s">
        <v>25</v>
      </c>
      <c r="K1313" s="1" t="s">
        <v>26</v>
      </c>
    </row>
    <row r="1314" spans="1:11" ht="12.75" customHeight="1" x14ac:dyDescent="0.2">
      <c r="A1314" s="1" t="s">
        <v>1624</v>
      </c>
      <c r="B1314" s="1" t="s">
        <v>1625</v>
      </c>
      <c r="C1314" s="2">
        <v>14</v>
      </c>
      <c r="D1314" s="2">
        <v>56</v>
      </c>
      <c r="E1314" s="2">
        <v>0</v>
      </c>
      <c r="F1314" s="2">
        <v>14</v>
      </c>
      <c r="G1314" s="2">
        <v>8.9307999999999996</v>
      </c>
      <c r="H1314" s="3">
        <v>125.0312</v>
      </c>
      <c r="I1314" s="1" t="s">
        <v>17</v>
      </c>
      <c r="J1314" s="1" t="s">
        <v>18</v>
      </c>
      <c r="K1314" s="1" t="s">
        <v>19</v>
      </c>
    </row>
    <row r="1315" spans="1:11" ht="12.75" customHeight="1" x14ac:dyDescent="0.2">
      <c r="A1315" s="1" t="s">
        <v>1624</v>
      </c>
      <c r="B1315" s="1" t="s">
        <v>1625</v>
      </c>
      <c r="C1315" s="2">
        <v>1</v>
      </c>
      <c r="D1315" s="2">
        <v>4</v>
      </c>
      <c r="E1315" s="2">
        <v>0</v>
      </c>
      <c r="F1315" s="2">
        <v>0</v>
      </c>
      <c r="G1315" s="2">
        <v>8.9307999999999996</v>
      </c>
      <c r="H1315" s="3">
        <v>8.9307999999999996</v>
      </c>
      <c r="I1315" s="1" t="s">
        <v>24</v>
      </c>
      <c r="J1315" s="1" t="s">
        <v>25</v>
      </c>
      <c r="K1315" s="1" t="s">
        <v>26</v>
      </c>
    </row>
    <row r="1316" spans="1:11" ht="12.75" customHeight="1" x14ac:dyDescent="0.2">
      <c r="A1316" s="1" t="s">
        <v>1626</v>
      </c>
      <c r="B1316" s="1" t="s">
        <v>1627</v>
      </c>
      <c r="C1316" s="2">
        <v>18</v>
      </c>
      <c r="D1316" s="2">
        <v>90</v>
      </c>
      <c r="E1316" s="2">
        <v>0</v>
      </c>
      <c r="F1316" s="2">
        <v>18</v>
      </c>
      <c r="G1316" s="2">
        <v>11.163600000000001</v>
      </c>
      <c r="H1316" s="3">
        <v>200.94479999999999</v>
      </c>
      <c r="I1316" s="1" t="s">
        <v>17</v>
      </c>
      <c r="J1316" s="1" t="s">
        <v>18</v>
      </c>
      <c r="K1316" s="1" t="s">
        <v>19</v>
      </c>
    </row>
    <row r="1317" spans="1:11" ht="12.75" customHeight="1" x14ac:dyDescent="0.2">
      <c r="A1317" s="1" t="s">
        <v>1626</v>
      </c>
      <c r="B1317" s="1" t="s">
        <v>1627</v>
      </c>
      <c r="C1317" s="2">
        <v>4</v>
      </c>
      <c r="D1317" s="2">
        <v>20</v>
      </c>
      <c r="E1317" s="2">
        <v>0</v>
      </c>
      <c r="F1317" s="2">
        <v>0</v>
      </c>
      <c r="G1317" s="2">
        <v>11.163600000000001</v>
      </c>
      <c r="H1317" s="3">
        <v>44.654400000000003</v>
      </c>
      <c r="I1317" s="1" t="s">
        <v>24</v>
      </c>
      <c r="J1317" s="1" t="s">
        <v>25</v>
      </c>
      <c r="K1317" s="1" t="s">
        <v>26</v>
      </c>
    </row>
    <row r="1318" spans="1:11" ht="12.75" customHeight="1" x14ac:dyDescent="0.2">
      <c r="A1318" s="1" t="s">
        <v>1628</v>
      </c>
      <c r="B1318" s="1" t="s">
        <v>1629</v>
      </c>
      <c r="C1318" s="2">
        <v>102</v>
      </c>
      <c r="D1318" s="2">
        <v>612</v>
      </c>
      <c r="E1318" s="2">
        <v>0</v>
      </c>
      <c r="F1318" s="2">
        <v>102</v>
      </c>
      <c r="G1318" s="2">
        <v>13.3963</v>
      </c>
      <c r="H1318" s="3">
        <v>1366.4226000000001</v>
      </c>
      <c r="I1318" s="1" t="s">
        <v>17</v>
      </c>
      <c r="J1318" s="1" t="s">
        <v>18</v>
      </c>
      <c r="K1318" s="1" t="s">
        <v>19</v>
      </c>
    </row>
    <row r="1319" spans="1:11" ht="12.75" customHeight="1" x14ac:dyDescent="0.2">
      <c r="A1319" s="1" t="s">
        <v>1628</v>
      </c>
      <c r="B1319" s="1" t="s">
        <v>1629</v>
      </c>
      <c r="C1319" s="2">
        <v>2</v>
      </c>
      <c r="D1319" s="2">
        <v>12</v>
      </c>
      <c r="E1319" s="2">
        <v>0</v>
      </c>
      <c r="F1319" s="2">
        <v>0</v>
      </c>
      <c r="G1319" s="2">
        <v>13.3963</v>
      </c>
      <c r="H1319" s="3">
        <v>26.7926</v>
      </c>
      <c r="I1319" s="1" t="s">
        <v>24</v>
      </c>
      <c r="J1319" s="1" t="s">
        <v>25</v>
      </c>
      <c r="K1319" s="1" t="s">
        <v>26</v>
      </c>
    </row>
    <row r="1320" spans="1:11" ht="12.75" customHeight="1" x14ac:dyDescent="0.2">
      <c r="A1320" s="1" t="s">
        <v>1630</v>
      </c>
      <c r="B1320" s="1" t="s">
        <v>1631</v>
      </c>
      <c r="C1320" s="2">
        <v>82</v>
      </c>
      <c r="D1320" s="2">
        <v>574</v>
      </c>
      <c r="E1320" s="2">
        <v>0</v>
      </c>
      <c r="F1320" s="2">
        <v>82</v>
      </c>
      <c r="G1320" s="2">
        <v>15.629</v>
      </c>
      <c r="H1320" s="3">
        <v>1281.578</v>
      </c>
      <c r="I1320" s="1" t="s">
        <v>17</v>
      </c>
      <c r="J1320" s="1" t="s">
        <v>18</v>
      </c>
      <c r="K1320" s="1" t="s">
        <v>19</v>
      </c>
    </row>
    <row r="1321" spans="1:11" ht="12.75" customHeight="1" x14ac:dyDescent="0.2">
      <c r="A1321" s="1" t="s">
        <v>1630</v>
      </c>
      <c r="B1321" s="1" t="s">
        <v>1631</v>
      </c>
      <c r="C1321" s="2">
        <v>2</v>
      </c>
      <c r="D1321" s="2">
        <v>14</v>
      </c>
      <c r="E1321" s="2">
        <v>0</v>
      </c>
      <c r="F1321" s="2">
        <v>0</v>
      </c>
      <c r="G1321" s="2">
        <v>15.629</v>
      </c>
      <c r="H1321" s="3">
        <v>31.257999999999999</v>
      </c>
      <c r="I1321" s="1" t="s">
        <v>24</v>
      </c>
      <c r="J1321" s="1" t="s">
        <v>25</v>
      </c>
      <c r="K1321" s="1" t="s">
        <v>26</v>
      </c>
    </row>
    <row r="1322" spans="1:11" ht="12.75" customHeight="1" x14ac:dyDescent="0.2">
      <c r="A1322" s="1" t="s">
        <v>1632</v>
      </c>
      <c r="B1322" s="1" t="s">
        <v>1633</v>
      </c>
      <c r="C1322" s="2">
        <v>15</v>
      </c>
      <c r="D1322" s="2">
        <v>120</v>
      </c>
      <c r="E1322" s="2">
        <v>0</v>
      </c>
      <c r="F1322" s="2">
        <v>15</v>
      </c>
      <c r="G1322" s="2">
        <v>17.861699999999999</v>
      </c>
      <c r="H1322" s="3">
        <v>267.9255</v>
      </c>
      <c r="I1322" s="1" t="s">
        <v>17</v>
      </c>
      <c r="J1322" s="1" t="s">
        <v>18</v>
      </c>
      <c r="K1322" s="1" t="s">
        <v>19</v>
      </c>
    </row>
    <row r="1323" spans="1:11" ht="12.75" customHeight="1" x14ac:dyDescent="0.2">
      <c r="A1323" s="1" t="s">
        <v>1632</v>
      </c>
      <c r="B1323" s="1" t="s">
        <v>1633</v>
      </c>
      <c r="C1323" s="2">
        <v>5</v>
      </c>
      <c r="D1323" s="2">
        <v>40</v>
      </c>
      <c r="E1323" s="2">
        <v>0</v>
      </c>
      <c r="F1323" s="2">
        <v>0</v>
      </c>
      <c r="G1323" s="2">
        <v>17.861699999999999</v>
      </c>
      <c r="H1323" s="3">
        <v>89.308499999999995</v>
      </c>
      <c r="I1323" s="1" t="s">
        <v>24</v>
      </c>
      <c r="J1323" s="1" t="s">
        <v>25</v>
      </c>
      <c r="K1323" s="1" t="s">
        <v>26</v>
      </c>
    </row>
    <row r="1324" spans="1:11" ht="12.75" customHeight="1" x14ac:dyDescent="0.2">
      <c r="A1324" s="1" t="s">
        <v>1632</v>
      </c>
      <c r="B1324" s="1" t="s">
        <v>1633</v>
      </c>
      <c r="C1324" s="2">
        <v>1</v>
      </c>
      <c r="D1324" s="2">
        <v>8</v>
      </c>
      <c r="E1324" s="2">
        <v>0</v>
      </c>
      <c r="F1324" s="2">
        <v>0</v>
      </c>
      <c r="G1324" s="2">
        <v>17.861699999999999</v>
      </c>
      <c r="H1324" s="3">
        <v>17.861699999999999</v>
      </c>
      <c r="I1324" s="1" t="s">
        <v>330</v>
      </c>
      <c r="J1324" s="1" t="s">
        <v>331</v>
      </c>
      <c r="K1324" s="1" t="s">
        <v>332</v>
      </c>
    </row>
    <row r="1325" spans="1:11" ht="12.75" customHeight="1" x14ac:dyDescent="0.2">
      <c r="A1325" s="1" t="s">
        <v>1634</v>
      </c>
      <c r="B1325" s="1" t="s">
        <v>1635</v>
      </c>
      <c r="C1325" s="2">
        <v>4</v>
      </c>
      <c r="D1325" s="2">
        <v>36</v>
      </c>
      <c r="E1325" s="2">
        <v>0</v>
      </c>
      <c r="F1325" s="2">
        <v>0</v>
      </c>
      <c r="G1325" s="2">
        <v>20.0945</v>
      </c>
      <c r="H1325" s="3">
        <v>80.378</v>
      </c>
      <c r="I1325" s="1" t="s">
        <v>24</v>
      </c>
      <c r="J1325" s="1" t="s">
        <v>25</v>
      </c>
      <c r="K1325" s="1" t="s">
        <v>26</v>
      </c>
    </row>
    <row r="1326" spans="1:11" ht="12.75" customHeight="1" x14ac:dyDescent="0.2">
      <c r="A1326" s="1" t="s">
        <v>1636</v>
      </c>
      <c r="B1326" s="1" t="s">
        <v>1637</v>
      </c>
      <c r="C1326" s="2">
        <v>34</v>
      </c>
      <c r="D1326" s="2">
        <v>340</v>
      </c>
      <c r="E1326" s="2">
        <v>0</v>
      </c>
      <c r="F1326" s="2">
        <v>34</v>
      </c>
      <c r="G1326" s="2">
        <v>18.069099999999999</v>
      </c>
      <c r="H1326" s="3">
        <v>614.34939999999995</v>
      </c>
      <c r="I1326" s="1" t="s">
        <v>17</v>
      </c>
      <c r="J1326" s="1" t="s">
        <v>18</v>
      </c>
      <c r="K1326" s="1" t="s">
        <v>19</v>
      </c>
    </row>
    <row r="1327" spans="1:11" ht="12.75" customHeight="1" x14ac:dyDescent="0.2">
      <c r="A1327" s="1" t="s">
        <v>1636</v>
      </c>
      <c r="B1327" s="1" t="s">
        <v>1637</v>
      </c>
      <c r="C1327" s="2">
        <v>295</v>
      </c>
      <c r="D1327" s="2">
        <v>2950</v>
      </c>
      <c r="E1327" s="2">
        <v>0</v>
      </c>
      <c r="F1327" s="2">
        <v>0</v>
      </c>
      <c r="G1327" s="2">
        <v>16.023700000000002</v>
      </c>
      <c r="H1327" s="3">
        <v>4726.9915000000001</v>
      </c>
      <c r="I1327" s="1" t="s">
        <v>613</v>
      </c>
      <c r="J1327" s="1" t="s">
        <v>614</v>
      </c>
      <c r="K1327" s="1" t="s">
        <v>615</v>
      </c>
    </row>
    <row r="1328" spans="1:11" ht="12.75" customHeight="1" x14ac:dyDescent="0.2">
      <c r="A1328" s="1" t="s">
        <v>1638</v>
      </c>
      <c r="B1328" s="1" t="s">
        <v>1639</v>
      </c>
      <c r="C1328" s="2">
        <v>7</v>
      </c>
      <c r="D1328" s="2">
        <v>77</v>
      </c>
      <c r="E1328" s="2">
        <v>0</v>
      </c>
      <c r="F1328" s="2">
        <v>7</v>
      </c>
      <c r="G1328" s="2">
        <v>0</v>
      </c>
      <c r="H1328" s="3">
        <v>0</v>
      </c>
      <c r="I1328" s="1" t="s">
        <v>24</v>
      </c>
      <c r="J1328" s="1" t="s">
        <v>25</v>
      </c>
      <c r="K1328" s="1" t="s">
        <v>26</v>
      </c>
    </row>
    <row r="1329" spans="1:11" ht="12.75" customHeight="1" x14ac:dyDescent="0.2">
      <c r="A1329" s="1" t="s">
        <v>1638</v>
      </c>
      <c r="B1329" s="1" t="s">
        <v>1639</v>
      </c>
      <c r="C1329" s="2">
        <v>42</v>
      </c>
      <c r="D1329" s="2">
        <v>462</v>
      </c>
      <c r="E1329" s="2">
        <v>0</v>
      </c>
      <c r="F1329" s="2">
        <v>0</v>
      </c>
      <c r="G1329" s="2">
        <v>17.6829</v>
      </c>
      <c r="H1329" s="3">
        <v>742.68179999999995</v>
      </c>
      <c r="I1329" s="1" t="s">
        <v>613</v>
      </c>
      <c r="J1329" s="1" t="s">
        <v>614</v>
      </c>
      <c r="K1329" s="1" t="s">
        <v>615</v>
      </c>
    </row>
    <row r="1330" spans="1:11" ht="12.75" customHeight="1" x14ac:dyDescent="0.2">
      <c r="A1330" s="1" t="s">
        <v>1640</v>
      </c>
      <c r="B1330" s="1" t="s">
        <v>1641</v>
      </c>
      <c r="C1330" s="2">
        <v>9</v>
      </c>
      <c r="D1330" s="2">
        <v>108</v>
      </c>
      <c r="E1330" s="2">
        <v>0</v>
      </c>
      <c r="F1330" s="2">
        <v>9</v>
      </c>
      <c r="G1330" s="2">
        <v>23.712</v>
      </c>
      <c r="H1330" s="3">
        <v>213.40799999999999</v>
      </c>
      <c r="I1330" s="1" t="s">
        <v>17</v>
      </c>
      <c r="J1330" s="1" t="s">
        <v>18</v>
      </c>
      <c r="K1330" s="1" t="s">
        <v>19</v>
      </c>
    </row>
    <row r="1331" spans="1:11" ht="12.75" customHeight="1" x14ac:dyDescent="0.2">
      <c r="A1331" s="1" t="s">
        <v>1640</v>
      </c>
      <c r="B1331" s="1" t="s">
        <v>1641</v>
      </c>
      <c r="C1331" s="2">
        <v>259</v>
      </c>
      <c r="D1331" s="2">
        <v>3108</v>
      </c>
      <c r="E1331" s="2">
        <v>0</v>
      </c>
      <c r="F1331" s="2">
        <v>0</v>
      </c>
      <c r="G1331" s="2">
        <v>19.050699999999999</v>
      </c>
      <c r="H1331" s="3">
        <v>4934.1313</v>
      </c>
      <c r="I1331" s="1" t="s">
        <v>613</v>
      </c>
      <c r="J1331" s="1" t="s">
        <v>614</v>
      </c>
      <c r="K1331" s="1" t="s">
        <v>615</v>
      </c>
    </row>
    <row r="1332" spans="1:11" ht="12.75" customHeight="1" x14ac:dyDescent="0.2">
      <c r="A1332" s="1" t="s">
        <v>1642</v>
      </c>
      <c r="B1332" s="1" t="s">
        <v>1643</v>
      </c>
      <c r="C1332" s="2">
        <v>3</v>
      </c>
      <c r="D1332" s="2">
        <v>39</v>
      </c>
      <c r="E1332" s="2">
        <v>0</v>
      </c>
      <c r="F1332" s="2">
        <v>3</v>
      </c>
      <c r="G1332" s="2">
        <v>24.174199999999999</v>
      </c>
      <c r="H1332" s="3">
        <v>72.522599999999997</v>
      </c>
      <c r="I1332" s="1" t="s">
        <v>17</v>
      </c>
      <c r="J1332" s="1" t="s">
        <v>18</v>
      </c>
      <c r="K1332" s="1" t="s">
        <v>19</v>
      </c>
    </row>
    <row r="1333" spans="1:11" ht="12.75" customHeight="1" x14ac:dyDescent="0.2">
      <c r="A1333" s="1" t="s">
        <v>1642</v>
      </c>
      <c r="B1333" s="1" t="s">
        <v>1643</v>
      </c>
      <c r="C1333" s="2">
        <v>98</v>
      </c>
      <c r="D1333" s="2">
        <v>1274</v>
      </c>
      <c r="E1333" s="2">
        <v>0</v>
      </c>
      <c r="F1333" s="2">
        <v>0</v>
      </c>
      <c r="G1333" s="2">
        <v>20.791599999999999</v>
      </c>
      <c r="H1333" s="3">
        <v>2037.5768</v>
      </c>
      <c r="I1333" s="1" t="s">
        <v>613</v>
      </c>
      <c r="J1333" s="1" t="s">
        <v>614</v>
      </c>
      <c r="K1333" s="1" t="s">
        <v>615</v>
      </c>
    </row>
    <row r="1334" spans="1:11" ht="12.75" customHeight="1" x14ac:dyDescent="0.2">
      <c r="A1334" s="1" t="s">
        <v>1644</v>
      </c>
      <c r="B1334" s="1" t="s">
        <v>1645</v>
      </c>
      <c r="C1334" s="2">
        <v>330</v>
      </c>
      <c r="D1334" s="2">
        <v>4620</v>
      </c>
      <c r="E1334" s="2">
        <v>0</v>
      </c>
      <c r="F1334" s="2">
        <v>0</v>
      </c>
      <c r="G1334" s="2">
        <v>24.427</v>
      </c>
      <c r="H1334" s="3">
        <v>8060.91</v>
      </c>
      <c r="I1334" s="1" t="s">
        <v>125</v>
      </c>
      <c r="J1334" s="1" t="s">
        <v>126</v>
      </c>
      <c r="K1334" s="1" t="s">
        <v>127</v>
      </c>
    </row>
    <row r="1335" spans="1:11" ht="12.75" customHeight="1" x14ac:dyDescent="0.2">
      <c r="A1335" s="1" t="s">
        <v>1644</v>
      </c>
      <c r="B1335" s="1" t="s">
        <v>1645</v>
      </c>
      <c r="C1335" s="2">
        <v>742</v>
      </c>
      <c r="D1335" s="2">
        <v>10388</v>
      </c>
      <c r="E1335" s="2">
        <v>0</v>
      </c>
      <c r="F1335" s="2">
        <v>0</v>
      </c>
      <c r="G1335" s="2">
        <v>22.3504</v>
      </c>
      <c r="H1335" s="3">
        <v>16583.996800000001</v>
      </c>
      <c r="I1335" s="1" t="s">
        <v>613</v>
      </c>
      <c r="J1335" s="1" t="s">
        <v>614</v>
      </c>
      <c r="K1335" s="1" t="s">
        <v>615</v>
      </c>
    </row>
    <row r="1336" spans="1:11" ht="12.75" customHeight="1" x14ac:dyDescent="0.2">
      <c r="A1336" s="1" t="s">
        <v>5618</v>
      </c>
      <c r="B1336" s="1" t="s">
        <v>6256</v>
      </c>
      <c r="C1336" s="2">
        <v>357</v>
      </c>
      <c r="D1336" s="2">
        <v>5355</v>
      </c>
      <c r="E1336" s="2">
        <v>0</v>
      </c>
      <c r="F1336" s="2">
        <v>0</v>
      </c>
      <c r="G1336" s="2">
        <v>23.857500000000002</v>
      </c>
      <c r="H1336" s="3">
        <v>8517.1275000000005</v>
      </c>
      <c r="I1336" s="1" t="s">
        <v>613</v>
      </c>
      <c r="J1336" s="1" t="s">
        <v>614</v>
      </c>
      <c r="K1336" s="1" t="s">
        <v>615</v>
      </c>
    </row>
    <row r="1337" spans="1:11" ht="12.75" customHeight="1" x14ac:dyDescent="0.2">
      <c r="A1337" s="1" t="s">
        <v>1646</v>
      </c>
      <c r="B1337" s="1" t="s">
        <v>1647</v>
      </c>
      <c r="C1337" s="2">
        <v>7</v>
      </c>
      <c r="D1337" s="2">
        <v>112</v>
      </c>
      <c r="E1337" s="2">
        <v>0</v>
      </c>
      <c r="F1337" s="2">
        <v>7</v>
      </c>
      <c r="G1337" s="2">
        <v>27.916499999999999</v>
      </c>
      <c r="H1337" s="3">
        <v>195.41550000000001</v>
      </c>
      <c r="I1337" s="1" t="s">
        <v>17</v>
      </c>
      <c r="J1337" s="1" t="s">
        <v>18</v>
      </c>
      <c r="K1337" s="1" t="s">
        <v>19</v>
      </c>
    </row>
    <row r="1338" spans="1:11" ht="12.75" customHeight="1" x14ac:dyDescent="0.2">
      <c r="A1338" s="1" t="s">
        <v>1646</v>
      </c>
      <c r="B1338" s="1" t="s">
        <v>1647</v>
      </c>
      <c r="C1338" s="2">
        <v>3052</v>
      </c>
      <c r="D1338" s="2">
        <v>48832</v>
      </c>
      <c r="E1338" s="2">
        <v>0</v>
      </c>
      <c r="F1338" s="2">
        <v>0</v>
      </c>
      <c r="G1338" s="2">
        <v>25.4192</v>
      </c>
      <c r="H1338" s="3">
        <v>77579.398400000005</v>
      </c>
      <c r="I1338" s="1" t="s">
        <v>613</v>
      </c>
      <c r="J1338" s="1" t="s">
        <v>614</v>
      </c>
      <c r="K1338" s="1" t="s">
        <v>615</v>
      </c>
    </row>
    <row r="1339" spans="1:11" ht="12.75" customHeight="1" x14ac:dyDescent="0.2">
      <c r="A1339" s="1" t="s">
        <v>1648</v>
      </c>
      <c r="B1339" s="1" t="s">
        <v>1649</v>
      </c>
      <c r="C1339" s="2">
        <v>18</v>
      </c>
      <c r="D1339" s="2">
        <v>324</v>
      </c>
      <c r="E1339" s="2">
        <v>0</v>
      </c>
      <c r="F1339" s="2">
        <v>18</v>
      </c>
      <c r="G1339" s="2">
        <v>31.406099999999999</v>
      </c>
      <c r="H1339" s="3">
        <v>565.3098</v>
      </c>
      <c r="I1339" s="1" t="s">
        <v>17</v>
      </c>
      <c r="J1339" s="1" t="s">
        <v>18</v>
      </c>
      <c r="K1339" s="1" t="s">
        <v>19</v>
      </c>
    </row>
    <row r="1340" spans="1:11" ht="12.75" customHeight="1" x14ac:dyDescent="0.2">
      <c r="A1340" s="1" t="s">
        <v>1648</v>
      </c>
      <c r="B1340" s="1" t="s">
        <v>1649</v>
      </c>
      <c r="C1340" s="2">
        <v>224</v>
      </c>
      <c r="D1340" s="2">
        <v>4032</v>
      </c>
      <c r="E1340" s="2">
        <v>0</v>
      </c>
      <c r="F1340" s="2">
        <v>0</v>
      </c>
      <c r="G1340" s="2">
        <v>28.5977</v>
      </c>
      <c r="H1340" s="3">
        <v>6405.8847999999998</v>
      </c>
      <c r="I1340" s="1" t="s">
        <v>613</v>
      </c>
      <c r="J1340" s="1" t="s">
        <v>614</v>
      </c>
      <c r="K1340" s="1" t="s">
        <v>615</v>
      </c>
    </row>
    <row r="1341" spans="1:11" ht="12.75" customHeight="1" x14ac:dyDescent="0.2">
      <c r="A1341" s="1" t="s">
        <v>5620</v>
      </c>
      <c r="B1341" s="1" t="s">
        <v>6257</v>
      </c>
      <c r="C1341" s="2">
        <v>68</v>
      </c>
      <c r="D1341" s="2">
        <v>272</v>
      </c>
      <c r="E1341" s="2">
        <v>0</v>
      </c>
      <c r="F1341" s="2">
        <v>0</v>
      </c>
      <c r="G1341" s="2">
        <v>0.57399999999999995</v>
      </c>
      <c r="H1341" s="3">
        <v>39.031999999999996</v>
      </c>
      <c r="I1341" s="1" t="s">
        <v>613</v>
      </c>
      <c r="J1341" s="1" t="s">
        <v>614</v>
      </c>
      <c r="K1341" s="1" t="s">
        <v>615</v>
      </c>
    </row>
    <row r="1342" spans="1:11" ht="12.75" customHeight="1" x14ac:dyDescent="0.2">
      <c r="A1342" s="1" t="s">
        <v>5622</v>
      </c>
      <c r="B1342" s="1" t="s">
        <v>6258</v>
      </c>
      <c r="C1342" s="2">
        <v>70</v>
      </c>
      <c r="D1342" s="2">
        <v>350</v>
      </c>
      <c r="E1342" s="2">
        <v>0</v>
      </c>
      <c r="F1342" s="2">
        <v>0</v>
      </c>
      <c r="G1342" s="2">
        <v>0.71740000000000004</v>
      </c>
      <c r="H1342" s="3">
        <v>50.218000000000004</v>
      </c>
      <c r="I1342" s="1" t="s">
        <v>613</v>
      </c>
      <c r="J1342" s="1" t="s">
        <v>614</v>
      </c>
      <c r="K1342" s="1" t="s">
        <v>615</v>
      </c>
    </row>
    <row r="1343" spans="1:11" ht="12.75" customHeight="1" x14ac:dyDescent="0.2">
      <c r="A1343" s="1" t="s">
        <v>5623</v>
      </c>
      <c r="B1343" s="1" t="s">
        <v>6259</v>
      </c>
      <c r="C1343" s="2">
        <v>68</v>
      </c>
      <c r="D1343" s="2">
        <v>408</v>
      </c>
      <c r="E1343" s="2">
        <v>0</v>
      </c>
      <c r="F1343" s="2">
        <v>0</v>
      </c>
      <c r="G1343" s="2">
        <v>0.8609</v>
      </c>
      <c r="H1343" s="3">
        <v>58.541200000000003</v>
      </c>
      <c r="I1343" s="1" t="s">
        <v>613</v>
      </c>
      <c r="J1343" s="1" t="s">
        <v>614</v>
      </c>
      <c r="K1343" s="1" t="s">
        <v>615</v>
      </c>
    </row>
    <row r="1344" spans="1:11" ht="12.75" customHeight="1" x14ac:dyDescent="0.2">
      <c r="A1344" s="1" t="s">
        <v>1650</v>
      </c>
      <c r="B1344" s="1" t="s">
        <v>1651</v>
      </c>
      <c r="C1344" s="2">
        <v>23</v>
      </c>
      <c r="D1344" s="2">
        <v>161</v>
      </c>
      <c r="E1344" s="2">
        <v>0</v>
      </c>
      <c r="F1344" s="2">
        <v>23</v>
      </c>
      <c r="G1344" s="2">
        <v>12.856400000000001</v>
      </c>
      <c r="H1344" s="3">
        <v>295.69720000000001</v>
      </c>
      <c r="I1344" s="1" t="s">
        <v>17</v>
      </c>
      <c r="J1344" s="1" t="s">
        <v>18</v>
      </c>
      <c r="K1344" s="1" t="s">
        <v>19</v>
      </c>
    </row>
    <row r="1345" spans="1:11" ht="12.75" customHeight="1" x14ac:dyDescent="0.2">
      <c r="A1345" s="1" t="s">
        <v>1650</v>
      </c>
      <c r="B1345" s="1" t="s">
        <v>1651</v>
      </c>
      <c r="C1345" s="2">
        <v>224</v>
      </c>
      <c r="D1345" s="2">
        <v>1568</v>
      </c>
      <c r="E1345" s="2">
        <v>0</v>
      </c>
      <c r="F1345" s="2">
        <v>0</v>
      </c>
      <c r="G1345" s="2">
        <v>11.3377</v>
      </c>
      <c r="H1345" s="3">
        <v>2539.6448</v>
      </c>
      <c r="I1345" s="1" t="s">
        <v>613</v>
      </c>
      <c r="J1345" s="1" t="s">
        <v>614</v>
      </c>
      <c r="K1345" s="1" t="s">
        <v>615</v>
      </c>
    </row>
    <row r="1346" spans="1:11" ht="12.75" customHeight="1" x14ac:dyDescent="0.2">
      <c r="A1346" s="1" t="s">
        <v>1652</v>
      </c>
      <c r="B1346" s="1" t="s">
        <v>1653</v>
      </c>
      <c r="C1346" s="2">
        <v>10</v>
      </c>
      <c r="D1346" s="2">
        <v>80</v>
      </c>
      <c r="E1346" s="2">
        <v>0</v>
      </c>
      <c r="F1346" s="2">
        <v>0</v>
      </c>
      <c r="G1346" s="2">
        <v>14.2638</v>
      </c>
      <c r="H1346" s="3">
        <v>142.63800000000001</v>
      </c>
      <c r="I1346" s="1" t="s">
        <v>24</v>
      </c>
      <c r="J1346" s="1" t="s">
        <v>25</v>
      </c>
      <c r="K1346" s="1" t="s">
        <v>26</v>
      </c>
    </row>
    <row r="1347" spans="1:11" ht="12.75" customHeight="1" x14ac:dyDescent="0.2">
      <c r="A1347" s="1" t="s">
        <v>1652</v>
      </c>
      <c r="B1347" s="1" t="s">
        <v>1653</v>
      </c>
      <c r="C1347" s="2">
        <v>91</v>
      </c>
      <c r="D1347" s="2">
        <v>728</v>
      </c>
      <c r="E1347" s="2">
        <v>0</v>
      </c>
      <c r="F1347" s="2">
        <v>0</v>
      </c>
      <c r="G1347" s="2">
        <v>12.7974</v>
      </c>
      <c r="H1347" s="3">
        <v>1164.5634</v>
      </c>
      <c r="I1347" s="1" t="s">
        <v>613</v>
      </c>
      <c r="J1347" s="1" t="s">
        <v>614</v>
      </c>
      <c r="K1347" s="1" t="s">
        <v>615</v>
      </c>
    </row>
    <row r="1348" spans="1:11" ht="12.75" customHeight="1" x14ac:dyDescent="0.2">
      <c r="A1348" s="1" t="s">
        <v>5624</v>
      </c>
      <c r="B1348" s="1" t="s">
        <v>6260</v>
      </c>
      <c r="C1348" s="2">
        <v>252</v>
      </c>
      <c r="D1348" s="2">
        <v>2268</v>
      </c>
      <c r="E1348" s="2">
        <v>0</v>
      </c>
      <c r="F1348" s="2">
        <v>0</v>
      </c>
      <c r="G1348" s="2">
        <v>14.399900000000001</v>
      </c>
      <c r="H1348" s="3">
        <v>3628.7748000000001</v>
      </c>
      <c r="I1348" s="1" t="s">
        <v>613</v>
      </c>
      <c r="J1348" s="1" t="s">
        <v>614</v>
      </c>
      <c r="K1348" s="1" t="s">
        <v>615</v>
      </c>
    </row>
    <row r="1349" spans="1:11" ht="12.75" customHeight="1" x14ac:dyDescent="0.2">
      <c r="A1349" s="1" t="s">
        <v>1654</v>
      </c>
      <c r="B1349" s="1" t="s">
        <v>1655</v>
      </c>
      <c r="C1349" s="2">
        <v>479</v>
      </c>
      <c r="D1349" s="2">
        <v>4790</v>
      </c>
      <c r="E1349" s="2">
        <v>0</v>
      </c>
      <c r="F1349" s="2">
        <v>0</v>
      </c>
      <c r="G1349" s="2">
        <v>13.5123</v>
      </c>
      <c r="H1349" s="3">
        <v>6472.3917000000001</v>
      </c>
      <c r="I1349" s="1" t="s">
        <v>17</v>
      </c>
      <c r="J1349" s="1" t="s">
        <v>18</v>
      </c>
      <c r="K1349" s="1" t="s">
        <v>19</v>
      </c>
    </row>
    <row r="1350" spans="1:11" ht="12.75" customHeight="1" x14ac:dyDescent="0.2">
      <c r="A1350" s="1" t="s">
        <v>1654</v>
      </c>
      <c r="B1350" s="1" t="s">
        <v>1655</v>
      </c>
      <c r="C1350" s="2">
        <v>128</v>
      </c>
      <c r="D1350" s="2">
        <v>1280</v>
      </c>
      <c r="E1350" s="2">
        <v>0</v>
      </c>
      <c r="F1350" s="2">
        <v>0</v>
      </c>
      <c r="G1350" s="2">
        <v>13.5123</v>
      </c>
      <c r="H1350" s="3">
        <v>1729.5744</v>
      </c>
      <c r="I1350" s="1" t="s">
        <v>24</v>
      </c>
      <c r="J1350" s="1" t="s">
        <v>25</v>
      </c>
      <c r="K1350" s="1" t="s">
        <v>26</v>
      </c>
    </row>
    <row r="1351" spans="1:11" ht="12.75" customHeight="1" x14ac:dyDescent="0.2">
      <c r="A1351" s="1" t="s">
        <v>1654</v>
      </c>
      <c r="B1351" s="1" t="s">
        <v>1655</v>
      </c>
      <c r="C1351" s="2">
        <v>272</v>
      </c>
      <c r="D1351" s="2">
        <v>2720</v>
      </c>
      <c r="E1351" s="2">
        <v>0</v>
      </c>
      <c r="F1351" s="2">
        <v>0</v>
      </c>
      <c r="G1351" s="2">
        <v>13.3499</v>
      </c>
      <c r="H1351" s="3">
        <v>3631.1727999999998</v>
      </c>
      <c r="I1351" s="1" t="s">
        <v>330</v>
      </c>
      <c r="J1351" s="1" t="s">
        <v>331</v>
      </c>
      <c r="K1351" s="1" t="s">
        <v>332</v>
      </c>
    </row>
    <row r="1352" spans="1:11" ht="12.75" customHeight="1" x14ac:dyDescent="0.2">
      <c r="A1352" s="1" t="s">
        <v>1656</v>
      </c>
      <c r="B1352" s="1" t="s">
        <v>1657</v>
      </c>
      <c r="C1352" s="2">
        <v>734</v>
      </c>
      <c r="D1352" s="2">
        <v>8808</v>
      </c>
      <c r="E1352" s="2">
        <v>0</v>
      </c>
      <c r="F1352" s="2">
        <v>0</v>
      </c>
      <c r="G1352" s="2">
        <v>16.214700000000001</v>
      </c>
      <c r="H1352" s="3">
        <v>11901.5898</v>
      </c>
      <c r="I1352" s="1" t="s">
        <v>17</v>
      </c>
      <c r="J1352" s="1" t="s">
        <v>18</v>
      </c>
      <c r="K1352" s="1" t="s">
        <v>19</v>
      </c>
    </row>
    <row r="1353" spans="1:11" ht="12.75" customHeight="1" x14ac:dyDescent="0.2">
      <c r="A1353" s="1" t="s">
        <v>1656</v>
      </c>
      <c r="B1353" s="1" t="s">
        <v>1657</v>
      </c>
      <c r="C1353" s="2">
        <v>72</v>
      </c>
      <c r="D1353" s="2">
        <v>864</v>
      </c>
      <c r="E1353" s="2">
        <v>0</v>
      </c>
      <c r="F1353" s="2">
        <v>0</v>
      </c>
      <c r="G1353" s="2">
        <v>16.214700000000001</v>
      </c>
      <c r="H1353" s="3">
        <v>1167.4584</v>
      </c>
      <c r="I1353" s="1" t="s">
        <v>24</v>
      </c>
      <c r="J1353" s="1" t="s">
        <v>25</v>
      </c>
      <c r="K1353" s="1" t="s">
        <v>26</v>
      </c>
    </row>
    <row r="1354" spans="1:11" ht="12.75" customHeight="1" x14ac:dyDescent="0.2">
      <c r="A1354" s="1" t="s">
        <v>1656</v>
      </c>
      <c r="B1354" s="1" t="s">
        <v>1657</v>
      </c>
      <c r="C1354" s="2">
        <v>526</v>
      </c>
      <c r="D1354" s="2">
        <v>6312</v>
      </c>
      <c r="E1354" s="2">
        <v>0</v>
      </c>
      <c r="F1354" s="2">
        <v>0</v>
      </c>
      <c r="G1354" s="2">
        <v>16.0199</v>
      </c>
      <c r="H1354" s="3">
        <v>8426.4673999999995</v>
      </c>
      <c r="I1354" s="1" t="s">
        <v>330</v>
      </c>
      <c r="J1354" s="1" t="s">
        <v>331</v>
      </c>
      <c r="K1354" s="1" t="s">
        <v>332</v>
      </c>
    </row>
    <row r="1355" spans="1:11" ht="12.75" customHeight="1" x14ac:dyDescent="0.2">
      <c r="A1355" s="1" t="s">
        <v>1658</v>
      </c>
      <c r="B1355" s="1" t="s">
        <v>1659</v>
      </c>
      <c r="C1355" s="2">
        <v>59</v>
      </c>
      <c r="D1355" s="2">
        <v>826</v>
      </c>
      <c r="E1355" s="2">
        <v>0</v>
      </c>
      <c r="F1355" s="2">
        <v>0</v>
      </c>
      <c r="G1355" s="2">
        <v>18.917200000000001</v>
      </c>
      <c r="H1355" s="3">
        <v>1116.1148000000001</v>
      </c>
      <c r="I1355" s="1" t="s">
        <v>17</v>
      </c>
      <c r="J1355" s="1" t="s">
        <v>18</v>
      </c>
      <c r="K1355" s="1" t="s">
        <v>19</v>
      </c>
    </row>
    <row r="1356" spans="1:11" ht="12.75" customHeight="1" x14ac:dyDescent="0.2">
      <c r="A1356" s="1" t="s">
        <v>1658</v>
      </c>
      <c r="B1356" s="1" t="s">
        <v>1659</v>
      </c>
      <c r="C1356" s="2">
        <v>1735</v>
      </c>
      <c r="D1356" s="2">
        <v>24290</v>
      </c>
      <c r="E1356" s="2">
        <v>0</v>
      </c>
      <c r="F1356" s="2">
        <v>0</v>
      </c>
      <c r="G1356" s="2">
        <v>18.917200000000001</v>
      </c>
      <c r="H1356" s="3">
        <v>32821.341999999997</v>
      </c>
      <c r="I1356" s="1" t="s">
        <v>24</v>
      </c>
      <c r="J1356" s="1" t="s">
        <v>25</v>
      </c>
      <c r="K1356" s="1" t="s">
        <v>26</v>
      </c>
    </row>
    <row r="1357" spans="1:11" ht="12.75" customHeight="1" x14ac:dyDescent="0.2">
      <c r="A1357" s="1" t="s">
        <v>1658</v>
      </c>
      <c r="B1357" s="1" t="s">
        <v>1659</v>
      </c>
      <c r="C1357" s="2">
        <v>811</v>
      </c>
      <c r="D1357" s="2">
        <v>11354</v>
      </c>
      <c r="E1357" s="2">
        <v>0</v>
      </c>
      <c r="F1357" s="2">
        <v>0</v>
      </c>
      <c r="G1357" s="2">
        <v>18.689900000000002</v>
      </c>
      <c r="H1357" s="3">
        <v>15157.508900000001</v>
      </c>
      <c r="I1357" s="1" t="s">
        <v>330</v>
      </c>
      <c r="J1357" s="1" t="s">
        <v>331</v>
      </c>
      <c r="K1357" s="1" t="s">
        <v>332</v>
      </c>
    </row>
    <row r="1358" spans="1:11" ht="12.75" customHeight="1" x14ac:dyDescent="0.2">
      <c r="A1358" s="1" t="s">
        <v>1660</v>
      </c>
      <c r="B1358" s="1" t="s">
        <v>1661</v>
      </c>
      <c r="C1358" s="2">
        <v>58</v>
      </c>
      <c r="D1358" s="2">
        <v>928</v>
      </c>
      <c r="E1358" s="2">
        <v>0</v>
      </c>
      <c r="F1358" s="2">
        <v>0</v>
      </c>
      <c r="G1358" s="2">
        <v>21.619700000000002</v>
      </c>
      <c r="H1358" s="3">
        <v>1253.9426000000001</v>
      </c>
      <c r="I1358" s="1" t="s">
        <v>17</v>
      </c>
      <c r="J1358" s="1" t="s">
        <v>18</v>
      </c>
      <c r="K1358" s="1" t="s">
        <v>19</v>
      </c>
    </row>
    <row r="1359" spans="1:11" ht="12.75" customHeight="1" x14ac:dyDescent="0.2">
      <c r="A1359" s="1" t="s">
        <v>1660</v>
      </c>
      <c r="B1359" s="1" t="s">
        <v>1661</v>
      </c>
      <c r="C1359" s="2">
        <v>1250</v>
      </c>
      <c r="D1359" s="2">
        <v>20000</v>
      </c>
      <c r="E1359" s="2">
        <v>0</v>
      </c>
      <c r="F1359" s="2">
        <v>0</v>
      </c>
      <c r="G1359" s="2">
        <v>21.619700000000002</v>
      </c>
      <c r="H1359" s="3">
        <v>27024.625</v>
      </c>
      <c r="I1359" s="1" t="s">
        <v>24</v>
      </c>
      <c r="J1359" s="1" t="s">
        <v>25</v>
      </c>
      <c r="K1359" s="1" t="s">
        <v>26</v>
      </c>
    </row>
    <row r="1360" spans="1:11" ht="12.75" customHeight="1" x14ac:dyDescent="0.2">
      <c r="A1360" s="1" t="s">
        <v>1660</v>
      </c>
      <c r="B1360" s="1" t="s">
        <v>1661</v>
      </c>
      <c r="C1360" s="2">
        <v>1160</v>
      </c>
      <c r="D1360" s="2">
        <v>18560</v>
      </c>
      <c r="E1360" s="2">
        <v>0</v>
      </c>
      <c r="F1360" s="2">
        <v>47</v>
      </c>
      <c r="G1360" s="2">
        <v>21.3599</v>
      </c>
      <c r="H1360" s="3">
        <v>24777.484</v>
      </c>
      <c r="I1360" s="1" t="s">
        <v>330</v>
      </c>
      <c r="J1360" s="1" t="s">
        <v>331</v>
      </c>
      <c r="K1360" s="1" t="s">
        <v>332</v>
      </c>
    </row>
    <row r="1361" spans="1:11" ht="12.75" customHeight="1" x14ac:dyDescent="0.2">
      <c r="A1361" s="1" t="s">
        <v>1662</v>
      </c>
      <c r="B1361" s="1" t="s">
        <v>1663</v>
      </c>
      <c r="C1361" s="2">
        <v>470</v>
      </c>
      <c r="D1361" s="2">
        <v>8460</v>
      </c>
      <c r="E1361" s="2">
        <v>0</v>
      </c>
      <c r="F1361" s="2">
        <v>0</v>
      </c>
      <c r="G1361" s="2">
        <v>24.322099999999999</v>
      </c>
      <c r="H1361" s="3">
        <v>11431.387000000001</v>
      </c>
      <c r="I1361" s="1" t="s">
        <v>17</v>
      </c>
      <c r="J1361" s="1" t="s">
        <v>18</v>
      </c>
      <c r="K1361" s="1" t="s">
        <v>19</v>
      </c>
    </row>
    <row r="1362" spans="1:11" ht="12.75" customHeight="1" x14ac:dyDescent="0.2">
      <c r="A1362" s="1" t="s">
        <v>1662</v>
      </c>
      <c r="B1362" s="1" t="s">
        <v>1663</v>
      </c>
      <c r="C1362" s="2">
        <v>177</v>
      </c>
      <c r="D1362" s="2">
        <v>3186</v>
      </c>
      <c r="E1362" s="2">
        <v>0</v>
      </c>
      <c r="F1362" s="2">
        <v>0</v>
      </c>
      <c r="G1362" s="2">
        <v>24.029900000000001</v>
      </c>
      <c r="H1362" s="3">
        <v>4253.2923000000001</v>
      </c>
      <c r="I1362" s="1" t="s">
        <v>330</v>
      </c>
      <c r="J1362" s="1" t="s">
        <v>331</v>
      </c>
      <c r="K1362" s="1" t="s">
        <v>332</v>
      </c>
    </row>
    <row r="1363" spans="1:11" ht="12.75" customHeight="1" x14ac:dyDescent="0.2">
      <c r="A1363" s="1" t="s">
        <v>1664</v>
      </c>
      <c r="B1363" s="1" t="s">
        <v>1665</v>
      </c>
      <c r="C1363" s="2">
        <v>63</v>
      </c>
      <c r="D1363" s="2">
        <v>252</v>
      </c>
      <c r="E1363" s="2">
        <v>0</v>
      </c>
      <c r="F1363" s="2">
        <v>0</v>
      </c>
      <c r="G1363" s="2">
        <v>5.4048999999999996</v>
      </c>
      <c r="H1363" s="3">
        <v>340.50869999999998</v>
      </c>
      <c r="I1363" s="1" t="s">
        <v>17</v>
      </c>
      <c r="J1363" s="1" t="s">
        <v>18</v>
      </c>
      <c r="K1363" s="1" t="s">
        <v>19</v>
      </c>
    </row>
    <row r="1364" spans="1:11" ht="12.75" customHeight="1" x14ac:dyDescent="0.2">
      <c r="A1364" s="1" t="s">
        <v>1664</v>
      </c>
      <c r="B1364" s="1" t="s">
        <v>1665</v>
      </c>
      <c r="C1364" s="2">
        <v>74</v>
      </c>
      <c r="D1364" s="2">
        <v>296</v>
      </c>
      <c r="E1364" s="2">
        <v>0</v>
      </c>
      <c r="F1364" s="2">
        <v>0</v>
      </c>
      <c r="G1364" s="2">
        <v>5.3399000000000001</v>
      </c>
      <c r="H1364" s="3">
        <v>395.15260000000001</v>
      </c>
      <c r="I1364" s="1" t="s">
        <v>330</v>
      </c>
      <c r="J1364" s="1" t="s">
        <v>331</v>
      </c>
      <c r="K1364" s="1" t="s">
        <v>332</v>
      </c>
    </row>
    <row r="1365" spans="1:11" ht="12.75" customHeight="1" x14ac:dyDescent="0.2">
      <c r="A1365" s="1" t="s">
        <v>1666</v>
      </c>
      <c r="B1365" s="1" t="s">
        <v>1667</v>
      </c>
      <c r="C1365" s="2">
        <v>92</v>
      </c>
      <c r="D1365" s="2">
        <v>460</v>
      </c>
      <c r="E1365" s="2">
        <v>0</v>
      </c>
      <c r="F1365" s="2">
        <v>0</v>
      </c>
      <c r="G1365" s="2">
        <v>6.7561</v>
      </c>
      <c r="H1365" s="3">
        <v>621.56119999999999</v>
      </c>
      <c r="I1365" s="1" t="s">
        <v>17</v>
      </c>
      <c r="J1365" s="1" t="s">
        <v>18</v>
      </c>
      <c r="K1365" s="1" t="s">
        <v>19</v>
      </c>
    </row>
    <row r="1366" spans="1:11" ht="12.75" customHeight="1" x14ac:dyDescent="0.2">
      <c r="A1366" s="1" t="s">
        <v>1666</v>
      </c>
      <c r="B1366" s="1" t="s">
        <v>1667</v>
      </c>
      <c r="C1366" s="2">
        <v>70</v>
      </c>
      <c r="D1366" s="2">
        <v>350</v>
      </c>
      <c r="E1366" s="2">
        <v>0</v>
      </c>
      <c r="F1366" s="2">
        <v>0</v>
      </c>
      <c r="G1366" s="2">
        <v>6.6749000000000001</v>
      </c>
      <c r="H1366" s="3">
        <v>467.24299999999999</v>
      </c>
      <c r="I1366" s="1" t="s">
        <v>330</v>
      </c>
      <c r="J1366" s="1" t="s">
        <v>331</v>
      </c>
      <c r="K1366" s="1" t="s">
        <v>332</v>
      </c>
    </row>
    <row r="1367" spans="1:11" ht="12.75" customHeight="1" x14ac:dyDescent="0.2">
      <c r="A1367" s="1" t="s">
        <v>1668</v>
      </c>
      <c r="B1367" s="1" t="s">
        <v>1669</v>
      </c>
      <c r="C1367" s="2">
        <v>76</v>
      </c>
      <c r="D1367" s="2">
        <v>456</v>
      </c>
      <c r="E1367" s="2">
        <v>0</v>
      </c>
      <c r="F1367" s="2">
        <v>0</v>
      </c>
      <c r="G1367" s="2">
        <v>8.1073000000000004</v>
      </c>
      <c r="H1367" s="3">
        <v>616.15480000000002</v>
      </c>
      <c r="I1367" s="1" t="s">
        <v>17</v>
      </c>
      <c r="J1367" s="1" t="s">
        <v>18</v>
      </c>
      <c r="K1367" s="1" t="s">
        <v>19</v>
      </c>
    </row>
    <row r="1368" spans="1:11" ht="12.75" customHeight="1" x14ac:dyDescent="0.2">
      <c r="A1368" s="1" t="s">
        <v>1668</v>
      </c>
      <c r="B1368" s="1" t="s">
        <v>1669</v>
      </c>
      <c r="C1368" s="2">
        <v>39</v>
      </c>
      <c r="D1368" s="2">
        <v>234</v>
      </c>
      <c r="E1368" s="2">
        <v>0</v>
      </c>
      <c r="F1368" s="2">
        <v>0</v>
      </c>
      <c r="G1368" s="2">
        <v>8.0099</v>
      </c>
      <c r="H1368" s="3">
        <v>312.3861</v>
      </c>
      <c r="I1368" s="1" t="s">
        <v>330</v>
      </c>
      <c r="J1368" s="1" t="s">
        <v>331</v>
      </c>
      <c r="K1368" s="1" t="s">
        <v>332</v>
      </c>
    </row>
    <row r="1369" spans="1:11" ht="12.75" customHeight="1" x14ac:dyDescent="0.2">
      <c r="A1369" s="1" t="s">
        <v>1670</v>
      </c>
      <c r="B1369" s="1" t="s">
        <v>1671</v>
      </c>
      <c r="C1369" s="2">
        <v>103</v>
      </c>
      <c r="D1369" s="2">
        <v>721</v>
      </c>
      <c r="E1369" s="2">
        <v>0</v>
      </c>
      <c r="F1369" s="2">
        <v>0</v>
      </c>
      <c r="G1369" s="2">
        <v>9.4586000000000006</v>
      </c>
      <c r="H1369" s="3">
        <v>974.23580000000004</v>
      </c>
      <c r="I1369" s="1" t="s">
        <v>17</v>
      </c>
      <c r="J1369" s="1" t="s">
        <v>18</v>
      </c>
      <c r="K1369" s="1" t="s">
        <v>19</v>
      </c>
    </row>
    <row r="1370" spans="1:11" ht="12.75" customHeight="1" x14ac:dyDescent="0.2">
      <c r="A1370" s="1" t="s">
        <v>1670</v>
      </c>
      <c r="B1370" s="1" t="s">
        <v>1671</v>
      </c>
      <c r="C1370" s="2">
        <v>54</v>
      </c>
      <c r="D1370" s="2">
        <v>378</v>
      </c>
      <c r="E1370" s="2">
        <v>0</v>
      </c>
      <c r="F1370" s="2">
        <v>0</v>
      </c>
      <c r="G1370" s="2">
        <v>9.3449000000000009</v>
      </c>
      <c r="H1370" s="3">
        <v>504.62459999999999</v>
      </c>
      <c r="I1370" s="1" t="s">
        <v>330</v>
      </c>
      <c r="J1370" s="1" t="s">
        <v>331</v>
      </c>
      <c r="K1370" s="1" t="s">
        <v>332</v>
      </c>
    </row>
    <row r="1371" spans="1:11" ht="12.75" customHeight="1" x14ac:dyDescent="0.2">
      <c r="A1371" s="1" t="s">
        <v>1672</v>
      </c>
      <c r="B1371" s="1" t="s">
        <v>1673</v>
      </c>
      <c r="C1371" s="2">
        <v>43</v>
      </c>
      <c r="D1371" s="2">
        <v>344</v>
      </c>
      <c r="E1371" s="2">
        <v>0</v>
      </c>
      <c r="F1371" s="2">
        <v>0</v>
      </c>
      <c r="G1371" s="2">
        <v>10.809799999999999</v>
      </c>
      <c r="H1371" s="3">
        <v>464.82139999999998</v>
      </c>
      <c r="I1371" s="1" t="s">
        <v>17</v>
      </c>
      <c r="J1371" s="1" t="s">
        <v>18</v>
      </c>
      <c r="K1371" s="1" t="s">
        <v>19</v>
      </c>
    </row>
    <row r="1372" spans="1:11" ht="12.75" customHeight="1" x14ac:dyDescent="0.2">
      <c r="A1372" s="1" t="s">
        <v>1672</v>
      </c>
      <c r="B1372" s="1" t="s">
        <v>1673</v>
      </c>
      <c r="C1372" s="2">
        <v>35</v>
      </c>
      <c r="D1372" s="2">
        <v>280</v>
      </c>
      <c r="E1372" s="2">
        <v>0</v>
      </c>
      <c r="F1372" s="2">
        <v>0</v>
      </c>
      <c r="G1372" s="2">
        <v>10.6799</v>
      </c>
      <c r="H1372" s="3">
        <v>373.79649999999998</v>
      </c>
      <c r="I1372" s="1" t="s">
        <v>330</v>
      </c>
      <c r="J1372" s="1" t="s">
        <v>331</v>
      </c>
      <c r="K1372" s="1" t="s">
        <v>332</v>
      </c>
    </row>
    <row r="1373" spans="1:11" ht="12.75" customHeight="1" x14ac:dyDescent="0.2">
      <c r="A1373" s="1" t="s">
        <v>1674</v>
      </c>
      <c r="B1373" s="1" t="s">
        <v>1675</v>
      </c>
      <c r="C1373" s="2">
        <v>64</v>
      </c>
      <c r="D1373" s="2">
        <v>576</v>
      </c>
      <c r="E1373" s="2">
        <v>0</v>
      </c>
      <c r="F1373" s="2">
        <v>0</v>
      </c>
      <c r="G1373" s="2">
        <v>12.161099999999999</v>
      </c>
      <c r="H1373" s="3">
        <v>778.31039999999996</v>
      </c>
      <c r="I1373" s="1" t="s">
        <v>17</v>
      </c>
      <c r="J1373" s="1" t="s">
        <v>18</v>
      </c>
      <c r="K1373" s="1" t="s">
        <v>19</v>
      </c>
    </row>
    <row r="1374" spans="1:11" ht="12.75" customHeight="1" x14ac:dyDescent="0.2">
      <c r="A1374" s="1" t="s">
        <v>1674</v>
      </c>
      <c r="B1374" s="1" t="s">
        <v>1675</v>
      </c>
      <c r="C1374" s="2">
        <v>98</v>
      </c>
      <c r="D1374" s="2">
        <v>882</v>
      </c>
      <c r="E1374" s="2">
        <v>0</v>
      </c>
      <c r="F1374" s="2">
        <v>0</v>
      </c>
      <c r="G1374" s="2">
        <v>12.014900000000001</v>
      </c>
      <c r="H1374" s="3">
        <v>1177.4602</v>
      </c>
      <c r="I1374" s="1" t="s">
        <v>330</v>
      </c>
      <c r="J1374" s="1" t="s">
        <v>331</v>
      </c>
      <c r="K1374" s="1" t="s">
        <v>332</v>
      </c>
    </row>
    <row r="1375" spans="1:11" ht="12.75" customHeight="1" x14ac:dyDescent="0.2">
      <c r="A1375" s="1" t="s">
        <v>1676</v>
      </c>
      <c r="B1375" s="1" t="s">
        <v>1677</v>
      </c>
      <c r="C1375" s="2">
        <v>9</v>
      </c>
      <c r="D1375" s="2">
        <v>117</v>
      </c>
      <c r="E1375" s="2">
        <v>0</v>
      </c>
      <c r="F1375" s="2">
        <v>0</v>
      </c>
      <c r="G1375" s="2">
        <v>41.834400000000002</v>
      </c>
      <c r="H1375" s="3">
        <v>376.50959999999998</v>
      </c>
      <c r="I1375" s="1" t="s">
        <v>17</v>
      </c>
      <c r="J1375" s="1" t="s">
        <v>18</v>
      </c>
      <c r="K1375" s="1" t="s">
        <v>19</v>
      </c>
    </row>
    <row r="1376" spans="1:11" ht="12.75" customHeight="1" x14ac:dyDescent="0.2">
      <c r="A1376" s="1" t="s">
        <v>1680</v>
      </c>
      <c r="B1376" s="1" t="s">
        <v>1681</v>
      </c>
      <c r="C1376" s="2">
        <v>33</v>
      </c>
      <c r="D1376" s="2">
        <v>528</v>
      </c>
      <c r="E1376" s="2">
        <v>0</v>
      </c>
      <c r="F1376" s="2">
        <v>0</v>
      </c>
      <c r="G1376" s="2">
        <v>51.488500000000002</v>
      </c>
      <c r="H1376" s="3">
        <v>1699.1205</v>
      </c>
      <c r="I1376" s="1" t="s">
        <v>17</v>
      </c>
      <c r="J1376" s="1" t="s">
        <v>18</v>
      </c>
      <c r="K1376" s="1" t="s">
        <v>19</v>
      </c>
    </row>
    <row r="1377" spans="1:11" ht="12.75" customHeight="1" x14ac:dyDescent="0.2">
      <c r="A1377" s="1" t="s">
        <v>1682</v>
      </c>
      <c r="B1377" s="1" t="s">
        <v>1683</v>
      </c>
      <c r="C1377" s="2">
        <v>385</v>
      </c>
      <c r="D1377" s="2">
        <v>4620</v>
      </c>
      <c r="E1377" s="2">
        <v>0</v>
      </c>
      <c r="F1377" s="2">
        <v>0</v>
      </c>
      <c r="G1377" s="2">
        <v>25.9175</v>
      </c>
      <c r="H1377" s="3">
        <v>9978.2374999999993</v>
      </c>
      <c r="I1377" s="1" t="s">
        <v>17</v>
      </c>
      <c r="J1377" s="1" t="s">
        <v>18</v>
      </c>
      <c r="K1377" s="1" t="s">
        <v>19</v>
      </c>
    </row>
    <row r="1378" spans="1:11" ht="12.75" customHeight="1" x14ac:dyDescent="0.2">
      <c r="A1378" s="1" t="s">
        <v>1684</v>
      </c>
      <c r="B1378" s="1" t="s">
        <v>1685</v>
      </c>
      <c r="C1378" s="2">
        <v>375</v>
      </c>
      <c r="D1378" s="2">
        <v>5250</v>
      </c>
      <c r="E1378" s="2">
        <v>0</v>
      </c>
      <c r="F1378" s="2">
        <v>0</v>
      </c>
      <c r="G1378" s="2">
        <v>30.237100000000002</v>
      </c>
      <c r="H1378" s="3">
        <v>11338.9125</v>
      </c>
      <c r="I1378" s="1" t="s">
        <v>17</v>
      </c>
      <c r="J1378" s="1" t="s">
        <v>18</v>
      </c>
      <c r="K1378" s="1" t="s">
        <v>19</v>
      </c>
    </row>
    <row r="1379" spans="1:11" ht="12.75" customHeight="1" x14ac:dyDescent="0.2">
      <c r="A1379" s="1" t="s">
        <v>1686</v>
      </c>
      <c r="B1379" s="1" t="s">
        <v>1687</v>
      </c>
      <c r="C1379" s="2">
        <v>26</v>
      </c>
      <c r="D1379" s="2">
        <v>260</v>
      </c>
      <c r="E1379" s="2">
        <v>0</v>
      </c>
      <c r="F1379" s="2">
        <v>26</v>
      </c>
      <c r="G1379" s="2">
        <v>17.400200000000002</v>
      </c>
      <c r="H1379" s="3">
        <v>452.40519999999998</v>
      </c>
      <c r="I1379" s="1" t="s">
        <v>17</v>
      </c>
      <c r="J1379" s="1" t="s">
        <v>18</v>
      </c>
      <c r="K1379" s="1" t="s">
        <v>19</v>
      </c>
    </row>
    <row r="1380" spans="1:11" ht="12.75" customHeight="1" x14ac:dyDescent="0.2">
      <c r="A1380" s="1" t="s">
        <v>1688</v>
      </c>
      <c r="B1380" s="1" t="s">
        <v>1689</v>
      </c>
      <c r="C1380" s="2">
        <v>8</v>
      </c>
      <c r="D1380" s="2">
        <v>96</v>
      </c>
      <c r="E1380" s="2">
        <v>0</v>
      </c>
      <c r="F1380" s="2">
        <v>8</v>
      </c>
      <c r="G1380" s="2">
        <v>20.914899999999999</v>
      </c>
      <c r="H1380" s="3">
        <v>167.3192</v>
      </c>
      <c r="I1380" s="1" t="s">
        <v>17</v>
      </c>
      <c r="J1380" s="1" t="s">
        <v>18</v>
      </c>
      <c r="K1380" s="1" t="s">
        <v>19</v>
      </c>
    </row>
    <row r="1381" spans="1:11" ht="12.75" customHeight="1" x14ac:dyDescent="0.2">
      <c r="A1381" s="1" t="s">
        <v>1690</v>
      </c>
      <c r="B1381" s="1" t="s">
        <v>1691</v>
      </c>
      <c r="C1381" s="2">
        <v>19</v>
      </c>
      <c r="D1381" s="2">
        <v>266</v>
      </c>
      <c r="E1381" s="2">
        <v>0</v>
      </c>
      <c r="F1381" s="2">
        <v>9</v>
      </c>
      <c r="G1381" s="2">
        <v>24.373000000000001</v>
      </c>
      <c r="H1381" s="3">
        <v>463.08699999999999</v>
      </c>
      <c r="I1381" s="1" t="s">
        <v>17</v>
      </c>
      <c r="J1381" s="1" t="s">
        <v>18</v>
      </c>
      <c r="K1381" s="1" t="s">
        <v>19</v>
      </c>
    </row>
    <row r="1382" spans="1:11" ht="12.75" customHeight="1" x14ac:dyDescent="0.2">
      <c r="A1382" s="1" t="s">
        <v>1690</v>
      </c>
      <c r="B1382" s="1" t="s">
        <v>1691</v>
      </c>
      <c r="C1382" s="2">
        <v>17</v>
      </c>
      <c r="D1382" s="2">
        <v>238</v>
      </c>
      <c r="E1382" s="2">
        <v>0</v>
      </c>
      <c r="F1382" s="2">
        <v>0</v>
      </c>
      <c r="G1382" s="2">
        <v>22.8781</v>
      </c>
      <c r="H1382" s="3">
        <v>388.92770000000002</v>
      </c>
      <c r="I1382" s="1" t="s">
        <v>24</v>
      </c>
      <c r="J1382" s="1" t="s">
        <v>25</v>
      </c>
      <c r="K1382" s="1" t="s">
        <v>26</v>
      </c>
    </row>
    <row r="1383" spans="1:11" ht="12.75" customHeight="1" x14ac:dyDescent="0.2">
      <c r="A1383" s="1" t="s">
        <v>1692</v>
      </c>
      <c r="B1383" s="1" t="s">
        <v>1693</v>
      </c>
      <c r="C1383" s="2">
        <v>74</v>
      </c>
      <c r="D1383" s="2">
        <v>1184</v>
      </c>
      <c r="E1383" s="2">
        <v>0</v>
      </c>
      <c r="F1383" s="2">
        <v>74</v>
      </c>
      <c r="G1383" s="2">
        <v>27.657699999999998</v>
      </c>
      <c r="H1383" s="3">
        <v>2046.6697999999999</v>
      </c>
      <c r="I1383" s="1" t="s">
        <v>17</v>
      </c>
      <c r="J1383" s="1" t="s">
        <v>18</v>
      </c>
      <c r="K1383" s="1" t="s">
        <v>19</v>
      </c>
    </row>
    <row r="1384" spans="1:11" ht="12.75" customHeight="1" x14ac:dyDescent="0.2">
      <c r="A1384" s="1" t="s">
        <v>1694</v>
      </c>
      <c r="B1384" s="1" t="s">
        <v>1695</v>
      </c>
      <c r="C1384" s="2">
        <v>41</v>
      </c>
      <c r="D1384" s="2">
        <v>738</v>
      </c>
      <c r="E1384" s="2">
        <v>0</v>
      </c>
      <c r="F1384" s="2">
        <v>20</v>
      </c>
      <c r="G1384" s="2">
        <v>30.985600000000002</v>
      </c>
      <c r="H1384" s="3">
        <v>1270.4096</v>
      </c>
      <c r="I1384" s="1" t="s">
        <v>17</v>
      </c>
      <c r="J1384" s="1" t="s">
        <v>18</v>
      </c>
      <c r="K1384" s="1" t="s">
        <v>19</v>
      </c>
    </row>
    <row r="1385" spans="1:11" ht="12.75" customHeight="1" x14ac:dyDescent="0.2">
      <c r="A1385" s="1" t="s">
        <v>1696</v>
      </c>
      <c r="B1385" s="1" t="s">
        <v>1697</v>
      </c>
      <c r="C1385" s="2">
        <v>20</v>
      </c>
      <c r="D1385" s="2">
        <v>140</v>
      </c>
      <c r="E1385" s="2">
        <v>0</v>
      </c>
      <c r="F1385" s="2">
        <v>20</v>
      </c>
      <c r="G1385" s="2">
        <v>12.147</v>
      </c>
      <c r="H1385" s="3">
        <v>242.94</v>
      </c>
      <c r="I1385" s="1" t="s">
        <v>17</v>
      </c>
      <c r="J1385" s="1" t="s">
        <v>18</v>
      </c>
      <c r="K1385" s="1" t="s">
        <v>19</v>
      </c>
    </row>
    <row r="1386" spans="1:11" ht="12.75" customHeight="1" x14ac:dyDescent="0.2">
      <c r="A1386" s="1" t="s">
        <v>1698</v>
      </c>
      <c r="B1386" s="1" t="s">
        <v>1699</v>
      </c>
      <c r="C1386" s="2">
        <v>6</v>
      </c>
      <c r="D1386" s="2">
        <v>54</v>
      </c>
      <c r="E1386" s="2">
        <v>0</v>
      </c>
      <c r="F1386" s="2">
        <v>6</v>
      </c>
      <c r="G1386" s="2">
        <v>15.5724</v>
      </c>
      <c r="H1386" s="3">
        <v>93.434399999999997</v>
      </c>
      <c r="I1386" s="1" t="s">
        <v>17</v>
      </c>
      <c r="J1386" s="1" t="s">
        <v>18</v>
      </c>
      <c r="K1386" s="1" t="s">
        <v>19</v>
      </c>
    </row>
    <row r="1387" spans="1:11" ht="12.75" customHeight="1" x14ac:dyDescent="0.2">
      <c r="A1387" s="1" t="s">
        <v>1700</v>
      </c>
      <c r="B1387" s="1" t="s">
        <v>1701</v>
      </c>
      <c r="C1387" s="2">
        <v>3</v>
      </c>
      <c r="D1387" s="2">
        <v>45</v>
      </c>
      <c r="E1387" s="2">
        <v>0</v>
      </c>
      <c r="F1387" s="2">
        <v>0</v>
      </c>
      <c r="G1387" s="2">
        <v>40.735399999999998</v>
      </c>
      <c r="H1387" s="3">
        <v>122.2062</v>
      </c>
      <c r="I1387" s="1" t="s">
        <v>17</v>
      </c>
      <c r="J1387" s="1" t="s">
        <v>18</v>
      </c>
      <c r="K1387" s="1" t="s">
        <v>19</v>
      </c>
    </row>
    <row r="1388" spans="1:11" ht="12.75" customHeight="1" x14ac:dyDescent="0.2">
      <c r="A1388" s="1" t="s">
        <v>1702</v>
      </c>
      <c r="B1388" s="1" t="s">
        <v>1703</v>
      </c>
      <c r="C1388" s="2">
        <v>537</v>
      </c>
      <c r="D1388" s="2">
        <v>8592</v>
      </c>
      <c r="E1388" s="2">
        <v>0</v>
      </c>
      <c r="F1388" s="2">
        <v>0</v>
      </c>
      <c r="G1388" s="2">
        <v>43.451000000000001</v>
      </c>
      <c r="H1388" s="3">
        <v>23333.187000000002</v>
      </c>
      <c r="I1388" s="1" t="s">
        <v>17</v>
      </c>
      <c r="J1388" s="1" t="s">
        <v>18</v>
      </c>
      <c r="K1388" s="1" t="s">
        <v>19</v>
      </c>
    </row>
    <row r="1389" spans="1:11" ht="12.75" customHeight="1" x14ac:dyDescent="0.2">
      <c r="A1389" s="1" t="s">
        <v>1704</v>
      </c>
      <c r="B1389" s="1" t="s">
        <v>1705</v>
      </c>
      <c r="C1389" s="2">
        <v>42</v>
      </c>
      <c r="D1389" s="2">
        <v>168</v>
      </c>
      <c r="E1389" s="2">
        <v>0</v>
      </c>
      <c r="F1389" s="2">
        <v>0</v>
      </c>
      <c r="G1389" s="2">
        <v>10.8627</v>
      </c>
      <c r="H1389" s="3">
        <v>456.23340000000002</v>
      </c>
      <c r="I1389" s="1" t="s">
        <v>17</v>
      </c>
      <c r="J1389" s="1" t="s">
        <v>18</v>
      </c>
      <c r="K1389" s="1" t="s">
        <v>19</v>
      </c>
    </row>
    <row r="1390" spans="1:11" ht="12.75" customHeight="1" x14ac:dyDescent="0.2">
      <c r="A1390" s="1" t="s">
        <v>5719</v>
      </c>
      <c r="B1390" s="1" t="s">
        <v>6255</v>
      </c>
      <c r="C1390" s="2">
        <v>36</v>
      </c>
      <c r="D1390" s="2">
        <v>252</v>
      </c>
      <c r="E1390" s="2">
        <v>0</v>
      </c>
      <c r="F1390" s="2">
        <v>0</v>
      </c>
      <c r="G1390" s="2">
        <v>20.367799999999999</v>
      </c>
      <c r="H1390" s="3">
        <v>733.24080000000004</v>
      </c>
      <c r="I1390" s="1" t="s">
        <v>17</v>
      </c>
      <c r="J1390" s="1" t="s">
        <v>18</v>
      </c>
      <c r="K1390" s="1" t="s">
        <v>19</v>
      </c>
    </row>
    <row r="1391" spans="1:11" ht="12.75" customHeight="1" x14ac:dyDescent="0.2">
      <c r="A1391" s="1" t="s">
        <v>1706</v>
      </c>
      <c r="B1391" s="1" t="s">
        <v>1707</v>
      </c>
      <c r="C1391" s="2">
        <v>1</v>
      </c>
      <c r="D1391" s="2">
        <v>8</v>
      </c>
      <c r="E1391" s="2">
        <v>0</v>
      </c>
      <c r="F1391" s="2">
        <v>0</v>
      </c>
      <c r="G1391" s="2">
        <v>21.7255</v>
      </c>
      <c r="H1391" s="3">
        <v>21.7255</v>
      </c>
      <c r="I1391" s="1" t="s">
        <v>17</v>
      </c>
      <c r="J1391" s="1" t="s">
        <v>18</v>
      </c>
      <c r="K1391" s="1" t="s">
        <v>19</v>
      </c>
    </row>
    <row r="1392" spans="1:11" ht="12.75" customHeight="1" x14ac:dyDescent="0.2">
      <c r="A1392" s="1" t="s">
        <v>1708</v>
      </c>
      <c r="B1392" s="1" t="s">
        <v>1709</v>
      </c>
      <c r="C1392" s="2">
        <v>140</v>
      </c>
      <c r="D1392" s="2">
        <v>1680</v>
      </c>
      <c r="E1392" s="2">
        <v>0</v>
      </c>
      <c r="F1392" s="2">
        <v>140</v>
      </c>
      <c r="G1392" s="2">
        <v>25.976500000000001</v>
      </c>
      <c r="H1392" s="3">
        <v>3636.71</v>
      </c>
      <c r="I1392" s="1" t="s">
        <v>17</v>
      </c>
      <c r="J1392" s="1" t="s">
        <v>18</v>
      </c>
      <c r="K1392" s="1" t="s">
        <v>19</v>
      </c>
    </row>
    <row r="1393" spans="1:11" ht="12.75" customHeight="1" x14ac:dyDescent="0.2">
      <c r="A1393" s="1" t="s">
        <v>1710</v>
      </c>
      <c r="B1393" s="1" t="s">
        <v>1711</v>
      </c>
      <c r="C1393" s="2">
        <v>68</v>
      </c>
      <c r="D1393" s="2">
        <v>952</v>
      </c>
      <c r="E1393" s="2">
        <v>0</v>
      </c>
      <c r="F1393" s="2">
        <v>68</v>
      </c>
      <c r="G1393" s="2">
        <v>30.057600000000001</v>
      </c>
      <c r="H1393" s="3">
        <v>2043.9168</v>
      </c>
      <c r="I1393" s="1" t="s">
        <v>17</v>
      </c>
      <c r="J1393" s="1" t="s">
        <v>18</v>
      </c>
      <c r="K1393" s="1" t="s">
        <v>19</v>
      </c>
    </row>
    <row r="1394" spans="1:11" ht="12.75" customHeight="1" x14ac:dyDescent="0.2">
      <c r="A1394" s="1" t="s">
        <v>1710</v>
      </c>
      <c r="B1394" s="1" t="s">
        <v>1711</v>
      </c>
      <c r="C1394" s="2">
        <v>140</v>
      </c>
      <c r="D1394" s="2">
        <v>1960</v>
      </c>
      <c r="E1394" s="2">
        <v>0</v>
      </c>
      <c r="F1394" s="2">
        <v>0</v>
      </c>
      <c r="G1394" s="2">
        <v>28.280100000000001</v>
      </c>
      <c r="H1394" s="3">
        <v>3959.2139999999999</v>
      </c>
      <c r="I1394" s="1" t="s">
        <v>24</v>
      </c>
      <c r="J1394" s="1" t="s">
        <v>25</v>
      </c>
      <c r="K1394" s="1" t="s">
        <v>26</v>
      </c>
    </row>
    <row r="1395" spans="1:11" ht="12.75" customHeight="1" x14ac:dyDescent="0.2">
      <c r="A1395" s="1" t="s">
        <v>1710</v>
      </c>
      <c r="B1395" s="1" t="s">
        <v>1711</v>
      </c>
      <c r="C1395" s="2">
        <v>5</v>
      </c>
      <c r="D1395" s="2">
        <v>70</v>
      </c>
      <c r="E1395" s="2">
        <v>0</v>
      </c>
      <c r="F1395" s="2">
        <v>5</v>
      </c>
      <c r="G1395" s="2">
        <v>28.280100000000001</v>
      </c>
      <c r="H1395" s="3">
        <v>141.40049999999999</v>
      </c>
      <c r="I1395" s="1" t="s">
        <v>330</v>
      </c>
      <c r="J1395" s="1" t="s">
        <v>331</v>
      </c>
      <c r="K1395" s="1" t="s">
        <v>332</v>
      </c>
    </row>
    <row r="1396" spans="1:11" ht="12.75" customHeight="1" x14ac:dyDescent="0.2">
      <c r="A1396" s="1" t="s">
        <v>1712</v>
      </c>
      <c r="B1396" s="1" t="s">
        <v>1713</v>
      </c>
      <c r="C1396" s="2">
        <v>161</v>
      </c>
      <c r="D1396" s="2">
        <v>2576</v>
      </c>
      <c r="E1396" s="2">
        <v>0</v>
      </c>
      <c r="F1396" s="2">
        <v>161</v>
      </c>
      <c r="G1396" s="2">
        <v>33.149099999999997</v>
      </c>
      <c r="H1396" s="3">
        <v>5337.0051000000003</v>
      </c>
      <c r="I1396" s="1" t="s">
        <v>17</v>
      </c>
      <c r="J1396" s="1" t="s">
        <v>18</v>
      </c>
      <c r="K1396" s="1" t="s">
        <v>19</v>
      </c>
    </row>
    <row r="1397" spans="1:11" ht="12.75" customHeight="1" x14ac:dyDescent="0.2">
      <c r="A1397" s="1" t="s">
        <v>1712</v>
      </c>
      <c r="B1397" s="1" t="s">
        <v>1713</v>
      </c>
      <c r="C1397" s="2">
        <v>63</v>
      </c>
      <c r="D1397" s="2">
        <v>1008</v>
      </c>
      <c r="E1397" s="2">
        <v>0</v>
      </c>
      <c r="F1397" s="2">
        <v>0</v>
      </c>
      <c r="G1397" s="2">
        <v>32.320099999999996</v>
      </c>
      <c r="H1397" s="3">
        <v>2036.1663000000001</v>
      </c>
      <c r="I1397" s="1" t="s">
        <v>24</v>
      </c>
      <c r="J1397" s="1" t="s">
        <v>25</v>
      </c>
      <c r="K1397" s="1" t="s">
        <v>26</v>
      </c>
    </row>
    <row r="1398" spans="1:11" ht="12.75" customHeight="1" x14ac:dyDescent="0.2">
      <c r="A1398" s="1" t="s">
        <v>1714</v>
      </c>
      <c r="B1398" s="1" t="s">
        <v>1715</v>
      </c>
      <c r="C1398" s="2">
        <v>1210</v>
      </c>
      <c r="D1398" s="2">
        <v>12100</v>
      </c>
      <c r="E1398" s="2">
        <v>0</v>
      </c>
      <c r="F1398" s="2">
        <v>50</v>
      </c>
      <c r="G1398" s="2">
        <v>7.5312000000000001</v>
      </c>
      <c r="H1398" s="3">
        <v>9112.7520000000004</v>
      </c>
      <c r="I1398" s="1" t="s">
        <v>17</v>
      </c>
      <c r="J1398" s="1" t="s">
        <v>18</v>
      </c>
      <c r="K1398" s="1" t="s">
        <v>19</v>
      </c>
    </row>
    <row r="1399" spans="1:11" ht="12.75" customHeight="1" x14ac:dyDescent="0.2">
      <c r="A1399" s="1" t="s">
        <v>1716</v>
      </c>
      <c r="B1399" s="1" t="s">
        <v>1717</v>
      </c>
      <c r="C1399" s="2">
        <v>388</v>
      </c>
      <c r="D1399" s="2">
        <v>4268</v>
      </c>
      <c r="E1399" s="2">
        <v>0</v>
      </c>
      <c r="F1399" s="2">
        <v>54</v>
      </c>
      <c r="G1399" s="2">
        <v>8.2843999999999998</v>
      </c>
      <c r="H1399" s="3">
        <v>3214.3472000000002</v>
      </c>
      <c r="I1399" s="1" t="s">
        <v>17</v>
      </c>
      <c r="J1399" s="1" t="s">
        <v>18</v>
      </c>
      <c r="K1399" s="1" t="s">
        <v>19</v>
      </c>
    </row>
    <row r="1400" spans="1:11" ht="12.75" customHeight="1" x14ac:dyDescent="0.2">
      <c r="A1400" s="1" t="s">
        <v>1718</v>
      </c>
      <c r="B1400" s="1" t="s">
        <v>1719</v>
      </c>
      <c r="C1400" s="2">
        <v>21</v>
      </c>
      <c r="D1400" s="2">
        <v>252</v>
      </c>
      <c r="E1400" s="2">
        <v>0</v>
      </c>
      <c r="F1400" s="2">
        <v>101</v>
      </c>
      <c r="G1400" s="2">
        <v>9.0374999999999996</v>
      </c>
      <c r="H1400" s="3">
        <v>189.78749999999999</v>
      </c>
      <c r="I1400" s="1" t="s">
        <v>12</v>
      </c>
      <c r="J1400" s="1" t="s">
        <v>13</v>
      </c>
      <c r="K1400" s="1" t="s">
        <v>14</v>
      </c>
    </row>
    <row r="1401" spans="1:11" ht="12.75" customHeight="1" x14ac:dyDescent="0.2">
      <c r="A1401" s="1" t="s">
        <v>1718</v>
      </c>
      <c r="B1401" s="1" t="s">
        <v>1719</v>
      </c>
      <c r="C1401" s="2">
        <v>1098</v>
      </c>
      <c r="D1401" s="2">
        <v>13176</v>
      </c>
      <c r="E1401" s="2">
        <v>0</v>
      </c>
      <c r="F1401" s="2">
        <v>80</v>
      </c>
      <c r="G1401" s="2">
        <v>9.0374999999999996</v>
      </c>
      <c r="H1401" s="3">
        <v>9923.1749999999993</v>
      </c>
      <c r="I1401" s="1" t="s">
        <v>17</v>
      </c>
      <c r="J1401" s="1" t="s">
        <v>18</v>
      </c>
      <c r="K1401" s="1" t="s">
        <v>19</v>
      </c>
    </row>
    <row r="1402" spans="1:11" ht="12.75" customHeight="1" x14ac:dyDescent="0.2">
      <c r="A1402" s="1" t="s">
        <v>1720</v>
      </c>
      <c r="B1402" s="1" t="s">
        <v>1721</v>
      </c>
      <c r="C1402" s="2">
        <v>497</v>
      </c>
      <c r="D1402" s="2">
        <v>6461</v>
      </c>
      <c r="E1402" s="2">
        <v>0</v>
      </c>
      <c r="F1402" s="2">
        <v>27</v>
      </c>
      <c r="G1402" s="2">
        <v>9.7905999999999995</v>
      </c>
      <c r="H1402" s="3">
        <v>4865.9282000000003</v>
      </c>
      <c r="I1402" s="1" t="s">
        <v>17</v>
      </c>
      <c r="J1402" s="1" t="s">
        <v>18</v>
      </c>
      <c r="K1402" s="1" t="s">
        <v>19</v>
      </c>
    </row>
    <row r="1403" spans="1:11" ht="12.75" customHeight="1" x14ac:dyDescent="0.2">
      <c r="A1403" s="1" t="s">
        <v>1722</v>
      </c>
      <c r="B1403" s="1" t="s">
        <v>1723</v>
      </c>
      <c r="C1403" s="2">
        <v>9033</v>
      </c>
      <c r="D1403" s="2">
        <v>126462</v>
      </c>
      <c r="E1403" s="2">
        <v>0</v>
      </c>
      <c r="F1403" s="2">
        <v>100</v>
      </c>
      <c r="G1403" s="2">
        <v>10.543699999999999</v>
      </c>
      <c r="H1403" s="3">
        <v>95241.242100000003</v>
      </c>
      <c r="I1403" s="1" t="s">
        <v>17</v>
      </c>
      <c r="J1403" s="1" t="s">
        <v>18</v>
      </c>
      <c r="K1403" s="1" t="s">
        <v>19</v>
      </c>
    </row>
    <row r="1404" spans="1:11" ht="12.75" customHeight="1" x14ac:dyDescent="0.2">
      <c r="A1404" s="1" t="s">
        <v>1724</v>
      </c>
      <c r="B1404" s="1" t="s">
        <v>1725</v>
      </c>
      <c r="C1404" s="2">
        <v>155</v>
      </c>
      <c r="D1404" s="2">
        <v>2480</v>
      </c>
      <c r="E1404" s="2">
        <v>0</v>
      </c>
      <c r="F1404" s="2">
        <v>20</v>
      </c>
      <c r="G1404" s="2">
        <v>12.05</v>
      </c>
      <c r="H1404" s="3">
        <v>1867.75</v>
      </c>
      <c r="I1404" s="1" t="s">
        <v>17</v>
      </c>
      <c r="J1404" s="1" t="s">
        <v>18</v>
      </c>
      <c r="K1404" s="1" t="s">
        <v>19</v>
      </c>
    </row>
    <row r="1405" spans="1:11" ht="12.75" customHeight="1" x14ac:dyDescent="0.2">
      <c r="A1405" s="1" t="s">
        <v>1726</v>
      </c>
      <c r="B1405" s="1" t="s">
        <v>1727</v>
      </c>
      <c r="C1405" s="2">
        <v>263</v>
      </c>
      <c r="D1405" s="2">
        <v>1052</v>
      </c>
      <c r="E1405" s="2">
        <v>0</v>
      </c>
      <c r="F1405" s="2">
        <v>42</v>
      </c>
      <c r="G1405" s="2">
        <v>3.0125000000000002</v>
      </c>
      <c r="H1405" s="3">
        <v>792.28750000000002</v>
      </c>
      <c r="I1405" s="1" t="s">
        <v>17</v>
      </c>
      <c r="J1405" s="1" t="s">
        <v>18</v>
      </c>
      <c r="K1405" s="1" t="s">
        <v>19</v>
      </c>
    </row>
    <row r="1406" spans="1:11" ht="12.75" customHeight="1" x14ac:dyDescent="0.2">
      <c r="A1406" s="1" t="s">
        <v>1728</v>
      </c>
      <c r="B1406" s="1" t="s">
        <v>1729</v>
      </c>
      <c r="C1406" s="2">
        <v>372</v>
      </c>
      <c r="D1406" s="2">
        <v>1860</v>
      </c>
      <c r="E1406" s="2">
        <v>0</v>
      </c>
      <c r="F1406" s="2">
        <v>35</v>
      </c>
      <c r="G1406" s="2">
        <v>3.7656000000000001</v>
      </c>
      <c r="H1406" s="3">
        <v>1400.8032000000001</v>
      </c>
      <c r="I1406" s="1" t="s">
        <v>17</v>
      </c>
      <c r="J1406" s="1" t="s">
        <v>18</v>
      </c>
      <c r="K1406" s="1" t="s">
        <v>19</v>
      </c>
    </row>
    <row r="1407" spans="1:11" ht="12.75" customHeight="1" x14ac:dyDescent="0.2">
      <c r="A1407" s="1" t="s">
        <v>1730</v>
      </c>
      <c r="B1407" s="1" t="s">
        <v>1731</v>
      </c>
      <c r="C1407" s="2">
        <v>351</v>
      </c>
      <c r="D1407" s="2">
        <v>2106</v>
      </c>
      <c r="E1407" s="2">
        <v>0</v>
      </c>
      <c r="F1407" s="2">
        <v>42</v>
      </c>
      <c r="G1407" s="2">
        <v>4.5186999999999999</v>
      </c>
      <c r="H1407" s="3">
        <v>1586.0636999999999</v>
      </c>
      <c r="I1407" s="1" t="s">
        <v>17</v>
      </c>
      <c r="J1407" s="1" t="s">
        <v>18</v>
      </c>
      <c r="K1407" s="1" t="s">
        <v>19</v>
      </c>
    </row>
    <row r="1408" spans="1:11" ht="12.75" customHeight="1" x14ac:dyDescent="0.2">
      <c r="A1408" s="1" t="s">
        <v>1732</v>
      </c>
      <c r="B1408" s="1" t="s">
        <v>1733</v>
      </c>
      <c r="C1408" s="2">
        <v>449</v>
      </c>
      <c r="D1408" s="2">
        <v>3143</v>
      </c>
      <c r="E1408" s="2">
        <v>0</v>
      </c>
      <c r="F1408" s="2">
        <v>49</v>
      </c>
      <c r="G1408" s="2">
        <v>5.2717999999999998</v>
      </c>
      <c r="H1408" s="3">
        <v>2367.0382</v>
      </c>
      <c r="I1408" s="1" t="s">
        <v>17</v>
      </c>
      <c r="J1408" s="1" t="s">
        <v>18</v>
      </c>
      <c r="K1408" s="1" t="s">
        <v>19</v>
      </c>
    </row>
    <row r="1409" spans="1:11" ht="12.75" customHeight="1" x14ac:dyDescent="0.2">
      <c r="A1409" s="1" t="s">
        <v>1734</v>
      </c>
      <c r="B1409" s="1" t="s">
        <v>1735</v>
      </c>
      <c r="C1409" s="2">
        <v>360</v>
      </c>
      <c r="D1409" s="2">
        <v>2880</v>
      </c>
      <c r="E1409" s="2">
        <v>0</v>
      </c>
      <c r="F1409" s="2">
        <v>56</v>
      </c>
      <c r="G1409" s="2">
        <v>6.0250000000000004</v>
      </c>
      <c r="H1409" s="3">
        <v>2169</v>
      </c>
      <c r="I1409" s="1" t="s">
        <v>17</v>
      </c>
      <c r="J1409" s="1" t="s">
        <v>18</v>
      </c>
      <c r="K1409" s="1" t="s">
        <v>19</v>
      </c>
    </row>
    <row r="1410" spans="1:11" ht="12.75" customHeight="1" x14ac:dyDescent="0.2">
      <c r="A1410" s="1" t="s">
        <v>1736</v>
      </c>
      <c r="B1410" s="1" t="s">
        <v>1737</v>
      </c>
      <c r="C1410" s="2">
        <v>458</v>
      </c>
      <c r="D1410" s="2">
        <v>4122</v>
      </c>
      <c r="E1410" s="2">
        <v>0</v>
      </c>
      <c r="F1410" s="2">
        <v>30</v>
      </c>
      <c r="G1410" s="2">
        <v>6.7781000000000002</v>
      </c>
      <c r="H1410" s="3">
        <v>3104.3697999999999</v>
      </c>
      <c r="I1410" s="1" t="s">
        <v>17</v>
      </c>
      <c r="J1410" s="1" t="s">
        <v>18</v>
      </c>
      <c r="K1410" s="1" t="s">
        <v>19</v>
      </c>
    </row>
    <row r="1411" spans="1:11" ht="12.75" customHeight="1" x14ac:dyDescent="0.2">
      <c r="A1411" s="1" t="s">
        <v>1738</v>
      </c>
      <c r="B1411" s="1" t="s">
        <v>1739</v>
      </c>
      <c r="C1411" s="2">
        <v>10</v>
      </c>
      <c r="D1411" s="2">
        <v>100</v>
      </c>
      <c r="E1411" s="2">
        <v>0</v>
      </c>
      <c r="F1411" s="2">
        <v>0</v>
      </c>
      <c r="G1411" s="2">
        <v>22.248200000000001</v>
      </c>
      <c r="H1411" s="3">
        <v>222.482</v>
      </c>
      <c r="I1411" s="1" t="s">
        <v>17</v>
      </c>
      <c r="J1411" s="1" t="s">
        <v>18</v>
      </c>
      <c r="K1411" s="1" t="s">
        <v>19</v>
      </c>
    </row>
    <row r="1412" spans="1:11" ht="12.75" customHeight="1" x14ac:dyDescent="0.2">
      <c r="A1412" s="1" t="s">
        <v>1738</v>
      </c>
      <c r="B1412" s="1" t="s">
        <v>1739</v>
      </c>
      <c r="C1412" s="2">
        <v>1</v>
      </c>
      <c r="D1412" s="2">
        <v>10</v>
      </c>
      <c r="E1412" s="2">
        <v>0</v>
      </c>
      <c r="F1412" s="2">
        <v>0</v>
      </c>
      <c r="G1412" s="2">
        <v>22.248200000000001</v>
      </c>
      <c r="H1412" s="3">
        <v>22.248200000000001</v>
      </c>
      <c r="I1412" s="1" t="s">
        <v>24</v>
      </c>
      <c r="J1412" s="1" t="s">
        <v>25</v>
      </c>
      <c r="K1412" s="1" t="s">
        <v>26</v>
      </c>
    </row>
    <row r="1413" spans="1:11" ht="12.75" customHeight="1" x14ac:dyDescent="0.2">
      <c r="A1413" s="1" t="s">
        <v>1738</v>
      </c>
      <c r="B1413" s="1" t="s">
        <v>1739</v>
      </c>
      <c r="C1413" s="2">
        <v>21</v>
      </c>
      <c r="D1413" s="2">
        <v>210</v>
      </c>
      <c r="E1413" s="2">
        <v>0</v>
      </c>
      <c r="F1413" s="2">
        <v>0</v>
      </c>
      <c r="G1413" s="2">
        <v>22.248200000000001</v>
      </c>
      <c r="H1413" s="3">
        <v>467.2122</v>
      </c>
      <c r="I1413" s="1" t="s">
        <v>330</v>
      </c>
      <c r="J1413" s="1" t="s">
        <v>331</v>
      </c>
      <c r="K1413" s="1" t="s">
        <v>332</v>
      </c>
    </row>
    <row r="1414" spans="1:11" ht="12.75" customHeight="1" x14ac:dyDescent="0.2">
      <c r="A1414" s="1" t="s">
        <v>1740</v>
      </c>
      <c r="B1414" s="1" t="s">
        <v>1741</v>
      </c>
      <c r="C1414" s="2">
        <v>6</v>
      </c>
      <c r="D1414" s="2">
        <v>66</v>
      </c>
      <c r="E1414" s="2">
        <v>0</v>
      </c>
      <c r="F1414" s="2">
        <v>0</v>
      </c>
      <c r="G1414" s="2">
        <v>24.473099999999999</v>
      </c>
      <c r="H1414" s="3">
        <v>146.83860000000001</v>
      </c>
      <c r="I1414" s="1" t="s">
        <v>24</v>
      </c>
      <c r="J1414" s="1" t="s">
        <v>25</v>
      </c>
      <c r="K1414" s="1" t="s">
        <v>26</v>
      </c>
    </row>
    <row r="1415" spans="1:11" ht="12.75" customHeight="1" x14ac:dyDescent="0.2">
      <c r="A1415" s="1" t="s">
        <v>1742</v>
      </c>
      <c r="B1415" s="1" t="s">
        <v>1743</v>
      </c>
      <c r="C1415" s="2">
        <v>1</v>
      </c>
      <c r="D1415" s="2">
        <v>12</v>
      </c>
      <c r="E1415" s="2">
        <v>0</v>
      </c>
      <c r="F1415" s="2">
        <v>0</v>
      </c>
      <c r="G1415" s="2">
        <v>26.697900000000001</v>
      </c>
      <c r="H1415" s="3">
        <v>26.697900000000001</v>
      </c>
      <c r="I1415" s="1" t="s">
        <v>17</v>
      </c>
      <c r="J1415" s="1" t="s">
        <v>18</v>
      </c>
      <c r="K1415" s="1" t="s">
        <v>19</v>
      </c>
    </row>
    <row r="1416" spans="1:11" ht="12.75" customHeight="1" x14ac:dyDescent="0.2">
      <c r="A1416" s="1" t="s">
        <v>1742</v>
      </c>
      <c r="B1416" s="1" t="s">
        <v>1743</v>
      </c>
      <c r="C1416" s="2">
        <v>5</v>
      </c>
      <c r="D1416" s="2">
        <v>60</v>
      </c>
      <c r="E1416" s="2">
        <v>0</v>
      </c>
      <c r="F1416" s="2">
        <v>0</v>
      </c>
      <c r="G1416" s="2">
        <v>26.697900000000001</v>
      </c>
      <c r="H1416" s="3">
        <v>133.48949999999999</v>
      </c>
      <c r="I1416" s="1" t="s">
        <v>24</v>
      </c>
      <c r="J1416" s="1" t="s">
        <v>25</v>
      </c>
      <c r="K1416" s="1" t="s">
        <v>26</v>
      </c>
    </row>
    <row r="1417" spans="1:11" ht="12.75" customHeight="1" x14ac:dyDescent="0.2">
      <c r="A1417" s="1" t="s">
        <v>1742</v>
      </c>
      <c r="B1417" s="1" t="s">
        <v>1743</v>
      </c>
      <c r="C1417" s="2">
        <v>4</v>
      </c>
      <c r="D1417" s="2">
        <v>48</v>
      </c>
      <c r="E1417" s="2">
        <v>0</v>
      </c>
      <c r="F1417" s="2">
        <v>0</v>
      </c>
      <c r="G1417" s="2">
        <v>26.697900000000001</v>
      </c>
      <c r="H1417" s="3">
        <v>106.7916</v>
      </c>
      <c r="I1417" s="1" t="s">
        <v>330</v>
      </c>
      <c r="J1417" s="1" t="s">
        <v>331</v>
      </c>
      <c r="K1417" s="1" t="s">
        <v>332</v>
      </c>
    </row>
    <row r="1418" spans="1:11" ht="12.75" customHeight="1" x14ac:dyDescent="0.2">
      <c r="A1418" s="1" t="s">
        <v>1744</v>
      </c>
      <c r="B1418" s="1" t="s">
        <v>1745</v>
      </c>
      <c r="C1418" s="2">
        <v>1</v>
      </c>
      <c r="D1418" s="2">
        <v>13</v>
      </c>
      <c r="E1418" s="2">
        <v>0</v>
      </c>
      <c r="F1418" s="2">
        <v>0</v>
      </c>
      <c r="G1418" s="2">
        <v>28.922699999999999</v>
      </c>
      <c r="H1418" s="3">
        <v>28.922699999999999</v>
      </c>
      <c r="I1418" s="1" t="s">
        <v>17</v>
      </c>
      <c r="J1418" s="1" t="s">
        <v>18</v>
      </c>
      <c r="K1418" s="1" t="s">
        <v>19</v>
      </c>
    </row>
    <row r="1419" spans="1:11" ht="12.75" customHeight="1" x14ac:dyDescent="0.2">
      <c r="A1419" s="1" t="s">
        <v>1744</v>
      </c>
      <c r="B1419" s="1" t="s">
        <v>1745</v>
      </c>
      <c r="C1419" s="2">
        <v>15</v>
      </c>
      <c r="D1419" s="2">
        <v>195</v>
      </c>
      <c r="E1419" s="2">
        <v>0</v>
      </c>
      <c r="F1419" s="2">
        <v>0</v>
      </c>
      <c r="G1419" s="2">
        <v>28.922699999999999</v>
      </c>
      <c r="H1419" s="3">
        <v>433.84050000000002</v>
      </c>
      <c r="I1419" s="1" t="s">
        <v>24</v>
      </c>
      <c r="J1419" s="1" t="s">
        <v>25</v>
      </c>
      <c r="K1419" s="1" t="s">
        <v>26</v>
      </c>
    </row>
    <row r="1420" spans="1:11" ht="12.75" customHeight="1" x14ac:dyDescent="0.2">
      <c r="A1420" s="1" t="s">
        <v>1744</v>
      </c>
      <c r="B1420" s="1" t="s">
        <v>1745</v>
      </c>
      <c r="C1420" s="2">
        <v>3</v>
      </c>
      <c r="D1420" s="2">
        <v>39</v>
      </c>
      <c r="E1420" s="2">
        <v>0</v>
      </c>
      <c r="F1420" s="2">
        <v>0</v>
      </c>
      <c r="G1420" s="2">
        <v>28.922699999999999</v>
      </c>
      <c r="H1420" s="3">
        <v>86.768100000000004</v>
      </c>
      <c r="I1420" s="1" t="s">
        <v>330</v>
      </c>
      <c r="J1420" s="1" t="s">
        <v>331</v>
      </c>
      <c r="K1420" s="1" t="s">
        <v>332</v>
      </c>
    </row>
    <row r="1421" spans="1:11" ht="12.75" customHeight="1" x14ac:dyDescent="0.2">
      <c r="A1421" s="1" t="s">
        <v>1746</v>
      </c>
      <c r="B1421" s="1" t="s">
        <v>1747</v>
      </c>
      <c r="C1421" s="2">
        <v>552</v>
      </c>
      <c r="D1421" s="2">
        <v>7728</v>
      </c>
      <c r="E1421" s="2">
        <v>0</v>
      </c>
      <c r="F1421" s="2">
        <v>0</v>
      </c>
      <c r="G1421" s="2">
        <v>31.147600000000001</v>
      </c>
      <c r="H1421" s="3">
        <v>17193.475200000001</v>
      </c>
      <c r="I1421" s="1" t="s">
        <v>17</v>
      </c>
      <c r="J1421" s="1" t="s">
        <v>18</v>
      </c>
      <c r="K1421" s="1" t="s">
        <v>19</v>
      </c>
    </row>
    <row r="1422" spans="1:11" ht="12.75" customHeight="1" x14ac:dyDescent="0.2">
      <c r="A1422" s="1" t="s">
        <v>1746</v>
      </c>
      <c r="B1422" s="1" t="s">
        <v>1747</v>
      </c>
      <c r="C1422" s="2">
        <v>188</v>
      </c>
      <c r="D1422" s="2">
        <v>2632</v>
      </c>
      <c r="E1422" s="2">
        <v>0</v>
      </c>
      <c r="F1422" s="2">
        <v>0</v>
      </c>
      <c r="G1422" s="2">
        <v>31.147600000000001</v>
      </c>
      <c r="H1422" s="3">
        <v>5855.7488000000003</v>
      </c>
      <c r="I1422" s="1" t="s">
        <v>24</v>
      </c>
      <c r="J1422" s="1" t="s">
        <v>25</v>
      </c>
      <c r="K1422" s="1" t="s">
        <v>26</v>
      </c>
    </row>
    <row r="1423" spans="1:11" ht="12.75" customHeight="1" x14ac:dyDescent="0.2">
      <c r="A1423" s="1" t="s">
        <v>1746</v>
      </c>
      <c r="B1423" s="1" t="s">
        <v>1747</v>
      </c>
      <c r="C1423" s="2">
        <v>498</v>
      </c>
      <c r="D1423" s="2">
        <v>6972</v>
      </c>
      <c r="E1423" s="2">
        <v>0</v>
      </c>
      <c r="F1423" s="2">
        <v>0</v>
      </c>
      <c r="G1423" s="2">
        <v>31.147600000000001</v>
      </c>
      <c r="H1423" s="3">
        <v>15511.504800000001</v>
      </c>
      <c r="I1423" s="1" t="s">
        <v>330</v>
      </c>
      <c r="J1423" s="1" t="s">
        <v>331</v>
      </c>
      <c r="K1423" s="1" t="s">
        <v>332</v>
      </c>
    </row>
    <row r="1424" spans="1:11" ht="12.75" customHeight="1" x14ac:dyDescent="0.2">
      <c r="A1424" s="1" t="s">
        <v>1748</v>
      </c>
      <c r="B1424" s="1" t="s">
        <v>1749</v>
      </c>
      <c r="C1424" s="2">
        <v>451</v>
      </c>
      <c r="D1424" s="2">
        <v>7216</v>
      </c>
      <c r="E1424" s="2">
        <v>0</v>
      </c>
      <c r="F1424" s="2">
        <v>0</v>
      </c>
      <c r="G1424" s="2">
        <v>35.597200000000001</v>
      </c>
      <c r="H1424" s="3">
        <v>16054.3372</v>
      </c>
      <c r="I1424" s="1" t="s">
        <v>17</v>
      </c>
      <c r="J1424" s="1" t="s">
        <v>18</v>
      </c>
      <c r="K1424" s="1" t="s">
        <v>19</v>
      </c>
    </row>
    <row r="1425" spans="1:11" ht="12.75" customHeight="1" x14ac:dyDescent="0.2">
      <c r="A1425" s="1" t="s">
        <v>1748</v>
      </c>
      <c r="B1425" s="1" t="s">
        <v>1749</v>
      </c>
      <c r="C1425" s="2">
        <v>4</v>
      </c>
      <c r="D1425" s="2">
        <v>64</v>
      </c>
      <c r="E1425" s="2">
        <v>0</v>
      </c>
      <c r="F1425" s="2">
        <v>0</v>
      </c>
      <c r="G1425" s="2">
        <v>35.597200000000001</v>
      </c>
      <c r="H1425" s="3">
        <v>142.3888</v>
      </c>
      <c r="I1425" s="1" t="s">
        <v>24</v>
      </c>
      <c r="J1425" s="1" t="s">
        <v>25</v>
      </c>
      <c r="K1425" s="1" t="s">
        <v>26</v>
      </c>
    </row>
    <row r="1426" spans="1:11" ht="12.75" customHeight="1" x14ac:dyDescent="0.2">
      <c r="A1426" s="1" t="s">
        <v>1748</v>
      </c>
      <c r="B1426" s="1" t="s">
        <v>1749</v>
      </c>
      <c r="C1426" s="2">
        <v>272</v>
      </c>
      <c r="D1426" s="2">
        <v>4352</v>
      </c>
      <c r="E1426" s="2">
        <v>0</v>
      </c>
      <c r="F1426" s="2">
        <v>0</v>
      </c>
      <c r="G1426" s="2">
        <v>35.597200000000001</v>
      </c>
      <c r="H1426" s="3">
        <v>9682.4383999999991</v>
      </c>
      <c r="I1426" s="1" t="s">
        <v>330</v>
      </c>
      <c r="J1426" s="1" t="s">
        <v>331</v>
      </c>
      <c r="K1426" s="1" t="s">
        <v>332</v>
      </c>
    </row>
    <row r="1427" spans="1:11" ht="12.75" customHeight="1" x14ac:dyDescent="0.2">
      <c r="A1427" s="1" t="s">
        <v>1750</v>
      </c>
      <c r="B1427" s="1" t="s">
        <v>1751</v>
      </c>
      <c r="C1427" s="2">
        <v>15</v>
      </c>
      <c r="D1427" s="2">
        <v>255</v>
      </c>
      <c r="E1427" s="2">
        <v>0</v>
      </c>
      <c r="F1427" s="2">
        <v>0</v>
      </c>
      <c r="G1427" s="2">
        <v>37.822099999999999</v>
      </c>
      <c r="H1427" s="3">
        <v>567.33150000000001</v>
      </c>
      <c r="I1427" s="1" t="s">
        <v>24</v>
      </c>
      <c r="J1427" s="1" t="s">
        <v>25</v>
      </c>
      <c r="K1427" s="1" t="s">
        <v>26</v>
      </c>
    </row>
    <row r="1428" spans="1:11" ht="12.75" customHeight="1" x14ac:dyDescent="0.2">
      <c r="A1428" s="1" t="s">
        <v>1752</v>
      </c>
      <c r="B1428" s="1" t="s">
        <v>1753</v>
      </c>
      <c r="C1428" s="2">
        <v>350</v>
      </c>
      <c r="D1428" s="2">
        <v>6300</v>
      </c>
      <c r="E1428" s="2">
        <v>0</v>
      </c>
      <c r="F1428" s="2">
        <v>0</v>
      </c>
      <c r="G1428" s="2">
        <v>40.046900000000001</v>
      </c>
      <c r="H1428" s="3">
        <v>14016.415000000001</v>
      </c>
      <c r="I1428" s="1" t="s">
        <v>24</v>
      </c>
      <c r="J1428" s="1" t="s">
        <v>25</v>
      </c>
      <c r="K1428" s="1" t="s">
        <v>26</v>
      </c>
    </row>
    <row r="1429" spans="1:11" ht="12.75" customHeight="1" x14ac:dyDescent="0.2">
      <c r="A1429" s="1" t="s">
        <v>1754</v>
      </c>
      <c r="B1429" s="1" t="s">
        <v>1755</v>
      </c>
      <c r="C1429" s="2">
        <v>35</v>
      </c>
      <c r="D1429" s="2">
        <v>140</v>
      </c>
      <c r="E1429" s="2">
        <v>0</v>
      </c>
      <c r="F1429" s="2">
        <v>0</v>
      </c>
      <c r="G1429" s="2">
        <v>8.8993000000000002</v>
      </c>
      <c r="H1429" s="3">
        <v>311.47550000000001</v>
      </c>
      <c r="I1429" s="1" t="s">
        <v>17</v>
      </c>
      <c r="J1429" s="1" t="s">
        <v>18</v>
      </c>
      <c r="K1429" s="1" t="s">
        <v>19</v>
      </c>
    </row>
    <row r="1430" spans="1:11" ht="12.75" customHeight="1" x14ac:dyDescent="0.2">
      <c r="A1430" s="1" t="s">
        <v>1754</v>
      </c>
      <c r="B1430" s="1" t="s">
        <v>1755</v>
      </c>
      <c r="C1430" s="2">
        <v>8</v>
      </c>
      <c r="D1430" s="2">
        <v>32</v>
      </c>
      <c r="E1430" s="2">
        <v>0</v>
      </c>
      <c r="F1430" s="2">
        <v>0</v>
      </c>
      <c r="G1430" s="2">
        <v>8.8993000000000002</v>
      </c>
      <c r="H1430" s="3">
        <v>71.194400000000002</v>
      </c>
      <c r="I1430" s="1" t="s">
        <v>24</v>
      </c>
      <c r="J1430" s="1" t="s">
        <v>25</v>
      </c>
      <c r="K1430" s="1" t="s">
        <v>26</v>
      </c>
    </row>
    <row r="1431" spans="1:11" ht="12.75" customHeight="1" x14ac:dyDescent="0.2">
      <c r="A1431" s="1" t="s">
        <v>1756</v>
      </c>
      <c r="B1431" s="1" t="s">
        <v>1757</v>
      </c>
      <c r="C1431" s="2">
        <v>9</v>
      </c>
      <c r="D1431" s="2">
        <v>45</v>
      </c>
      <c r="E1431" s="2">
        <v>0</v>
      </c>
      <c r="F1431" s="2">
        <v>0</v>
      </c>
      <c r="G1431" s="2">
        <v>11.1241</v>
      </c>
      <c r="H1431" s="3">
        <v>100.1169</v>
      </c>
      <c r="I1431" s="1" t="s">
        <v>24</v>
      </c>
      <c r="J1431" s="1" t="s">
        <v>25</v>
      </c>
      <c r="K1431" s="1" t="s">
        <v>26</v>
      </c>
    </row>
    <row r="1432" spans="1:11" ht="12.75" customHeight="1" x14ac:dyDescent="0.2">
      <c r="A1432" s="1" t="s">
        <v>1758</v>
      </c>
      <c r="B1432" s="1" t="s">
        <v>1759</v>
      </c>
      <c r="C1432" s="2">
        <v>3</v>
      </c>
      <c r="D1432" s="2">
        <v>18</v>
      </c>
      <c r="E1432" s="2">
        <v>0</v>
      </c>
      <c r="F1432" s="2">
        <v>0</v>
      </c>
      <c r="G1432" s="2">
        <v>13.3489</v>
      </c>
      <c r="H1432" s="3">
        <v>40.046700000000001</v>
      </c>
      <c r="I1432" s="1" t="s">
        <v>24</v>
      </c>
      <c r="J1432" s="1" t="s">
        <v>25</v>
      </c>
      <c r="K1432" s="1" t="s">
        <v>26</v>
      </c>
    </row>
    <row r="1433" spans="1:11" ht="12.75" customHeight="1" x14ac:dyDescent="0.2">
      <c r="A1433" s="1" t="s">
        <v>1760</v>
      </c>
      <c r="B1433" s="1" t="s">
        <v>1761</v>
      </c>
      <c r="C1433" s="2">
        <v>25</v>
      </c>
      <c r="D1433" s="2">
        <v>175</v>
      </c>
      <c r="E1433" s="2">
        <v>0</v>
      </c>
      <c r="F1433" s="2">
        <v>0</v>
      </c>
      <c r="G1433" s="2">
        <v>15.5738</v>
      </c>
      <c r="H1433" s="3">
        <v>389.34500000000003</v>
      </c>
      <c r="I1433" s="1" t="s">
        <v>17</v>
      </c>
      <c r="J1433" s="1" t="s">
        <v>18</v>
      </c>
      <c r="K1433" s="1" t="s">
        <v>19</v>
      </c>
    </row>
    <row r="1434" spans="1:11" ht="12.75" customHeight="1" x14ac:dyDescent="0.2">
      <c r="A1434" s="1" t="s">
        <v>1760</v>
      </c>
      <c r="B1434" s="1" t="s">
        <v>1761</v>
      </c>
      <c r="C1434" s="2">
        <v>2</v>
      </c>
      <c r="D1434" s="2">
        <v>14</v>
      </c>
      <c r="E1434" s="2">
        <v>0</v>
      </c>
      <c r="F1434" s="2">
        <v>0</v>
      </c>
      <c r="G1434" s="2">
        <v>15.5738</v>
      </c>
      <c r="H1434" s="3">
        <v>31.147600000000001</v>
      </c>
      <c r="I1434" s="1" t="s">
        <v>24</v>
      </c>
      <c r="J1434" s="1" t="s">
        <v>25</v>
      </c>
      <c r="K1434" s="1" t="s">
        <v>26</v>
      </c>
    </row>
    <row r="1435" spans="1:11" ht="12.75" customHeight="1" x14ac:dyDescent="0.2">
      <c r="A1435" s="1" t="s">
        <v>1760</v>
      </c>
      <c r="B1435" s="1" t="s">
        <v>1761</v>
      </c>
      <c r="C1435" s="2">
        <v>38</v>
      </c>
      <c r="D1435" s="2">
        <v>266</v>
      </c>
      <c r="E1435" s="2">
        <v>0</v>
      </c>
      <c r="F1435" s="2">
        <v>0</v>
      </c>
      <c r="G1435" s="2">
        <v>15.5738</v>
      </c>
      <c r="H1435" s="3">
        <v>591.80439999999999</v>
      </c>
      <c r="I1435" s="1" t="s">
        <v>330</v>
      </c>
      <c r="J1435" s="1" t="s">
        <v>331</v>
      </c>
      <c r="K1435" s="1" t="s">
        <v>332</v>
      </c>
    </row>
    <row r="1436" spans="1:11" ht="12.75" customHeight="1" x14ac:dyDescent="0.2">
      <c r="A1436" s="1" t="s">
        <v>1762</v>
      </c>
      <c r="B1436" s="1" t="s">
        <v>1763</v>
      </c>
      <c r="C1436" s="2">
        <v>55</v>
      </c>
      <c r="D1436" s="2">
        <v>440</v>
      </c>
      <c r="E1436" s="2">
        <v>0</v>
      </c>
      <c r="F1436" s="2">
        <v>0</v>
      </c>
      <c r="G1436" s="2">
        <v>17.7986</v>
      </c>
      <c r="H1436" s="3">
        <v>978.923</v>
      </c>
      <c r="I1436" s="1" t="s">
        <v>17</v>
      </c>
      <c r="J1436" s="1" t="s">
        <v>18</v>
      </c>
      <c r="K1436" s="1" t="s">
        <v>19</v>
      </c>
    </row>
    <row r="1437" spans="1:11" ht="12.75" customHeight="1" x14ac:dyDescent="0.2">
      <c r="A1437" s="1" t="s">
        <v>1762</v>
      </c>
      <c r="B1437" s="1" t="s">
        <v>1763</v>
      </c>
      <c r="C1437" s="2">
        <v>2</v>
      </c>
      <c r="D1437" s="2">
        <v>16</v>
      </c>
      <c r="E1437" s="2">
        <v>0</v>
      </c>
      <c r="F1437" s="2">
        <v>0</v>
      </c>
      <c r="G1437" s="2">
        <v>17.7986</v>
      </c>
      <c r="H1437" s="3">
        <v>35.597200000000001</v>
      </c>
      <c r="I1437" s="1" t="s">
        <v>24</v>
      </c>
      <c r="J1437" s="1" t="s">
        <v>25</v>
      </c>
      <c r="K1437" s="1" t="s">
        <v>26</v>
      </c>
    </row>
    <row r="1438" spans="1:11" ht="12.75" customHeight="1" x14ac:dyDescent="0.2">
      <c r="A1438" s="1" t="s">
        <v>1762</v>
      </c>
      <c r="B1438" s="1" t="s">
        <v>1763</v>
      </c>
      <c r="C1438" s="2">
        <v>46</v>
      </c>
      <c r="D1438" s="2">
        <v>368</v>
      </c>
      <c r="E1438" s="2">
        <v>0</v>
      </c>
      <c r="F1438" s="2">
        <v>0</v>
      </c>
      <c r="G1438" s="2">
        <v>17.7986</v>
      </c>
      <c r="H1438" s="3">
        <v>818.73559999999998</v>
      </c>
      <c r="I1438" s="1" t="s">
        <v>330</v>
      </c>
      <c r="J1438" s="1" t="s">
        <v>331</v>
      </c>
      <c r="K1438" s="1" t="s">
        <v>332</v>
      </c>
    </row>
    <row r="1439" spans="1:11" ht="12.75" customHeight="1" x14ac:dyDescent="0.2">
      <c r="A1439" s="1" t="s">
        <v>1764</v>
      </c>
      <c r="B1439" s="1" t="s">
        <v>1765</v>
      </c>
      <c r="C1439" s="2">
        <v>2</v>
      </c>
      <c r="D1439" s="2">
        <v>18</v>
      </c>
      <c r="E1439" s="2">
        <v>0</v>
      </c>
      <c r="F1439" s="2">
        <v>0</v>
      </c>
      <c r="G1439" s="2">
        <v>20.023399999999999</v>
      </c>
      <c r="H1439" s="3">
        <v>40.046799999999998</v>
      </c>
      <c r="I1439" s="1" t="s">
        <v>24</v>
      </c>
      <c r="J1439" s="1" t="s">
        <v>25</v>
      </c>
      <c r="K1439" s="1" t="s">
        <v>26</v>
      </c>
    </row>
    <row r="1440" spans="1:11" ht="12.75" customHeight="1" x14ac:dyDescent="0.2">
      <c r="A1440" s="1" t="s">
        <v>1764</v>
      </c>
      <c r="B1440" s="1" t="s">
        <v>1765</v>
      </c>
      <c r="C1440" s="2">
        <v>13</v>
      </c>
      <c r="D1440" s="2">
        <v>117</v>
      </c>
      <c r="E1440" s="2">
        <v>0</v>
      </c>
      <c r="F1440" s="2">
        <v>0</v>
      </c>
      <c r="G1440" s="2">
        <v>20.023399999999999</v>
      </c>
      <c r="H1440" s="3">
        <v>260.30419999999998</v>
      </c>
      <c r="I1440" s="1" t="s">
        <v>330</v>
      </c>
      <c r="J1440" s="1" t="s">
        <v>331</v>
      </c>
      <c r="K1440" s="1" t="s">
        <v>332</v>
      </c>
    </row>
    <row r="1441" spans="1:11" ht="12.75" customHeight="1" x14ac:dyDescent="0.2">
      <c r="A1441" s="1" t="s">
        <v>1766</v>
      </c>
      <c r="B1441" s="1" t="s">
        <v>1767</v>
      </c>
      <c r="C1441" s="2">
        <v>354</v>
      </c>
      <c r="D1441" s="2">
        <v>3540</v>
      </c>
      <c r="E1441" s="2">
        <v>0</v>
      </c>
      <c r="F1441" s="2">
        <v>0</v>
      </c>
      <c r="G1441" s="2">
        <v>3.3546</v>
      </c>
      <c r="H1441" s="3">
        <v>1187.5283999999999</v>
      </c>
      <c r="I1441" s="1" t="s">
        <v>24</v>
      </c>
      <c r="J1441" s="1" t="s">
        <v>25</v>
      </c>
      <c r="K1441" s="1" t="s">
        <v>26</v>
      </c>
    </row>
    <row r="1442" spans="1:11" ht="12.75" customHeight="1" x14ac:dyDescent="0.2">
      <c r="A1442" s="1" t="s">
        <v>1768</v>
      </c>
      <c r="B1442" s="1" t="s">
        <v>1769</v>
      </c>
      <c r="C1442" s="2">
        <v>220</v>
      </c>
      <c r="D1442" s="2">
        <v>2640</v>
      </c>
      <c r="E1442" s="2">
        <v>0</v>
      </c>
      <c r="F1442" s="2">
        <v>0</v>
      </c>
      <c r="G1442" s="2">
        <v>5.9476000000000004</v>
      </c>
      <c r="H1442" s="3">
        <v>1308.472</v>
      </c>
      <c r="I1442" s="1" t="s">
        <v>24</v>
      </c>
      <c r="J1442" s="1" t="s">
        <v>25</v>
      </c>
      <c r="K1442" s="1" t="s">
        <v>26</v>
      </c>
    </row>
    <row r="1443" spans="1:11" ht="12.75" customHeight="1" x14ac:dyDescent="0.2">
      <c r="A1443" s="1" t="s">
        <v>1770</v>
      </c>
      <c r="B1443" s="1" t="s">
        <v>1771</v>
      </c>
      <c r="C1443" s="2">
        <v>78</v>
      </c>
      <c r="D1443" s="2">
        <v>1092</v>
      </c>
      <c r="E1443" s="2">
        <v>0</v>
      </c>
      <c r="F1443" s="2">
        <v>0</v>
      </c>
      <c r="G1443" s="2">
        <v>6.6523000000000003</v>
      </c>
      <c r="H1443" s="3">
        <v>518.87940000000003</v>
      </c>
      <c r="I1443" s="1" t="s">
        <v>24</v>
      </c>
      <c r="J1443" s="1" t="s">
        <v>25</v>
      </c>
      <c r="K1443" s="1" t="s">
        <v>26</v>
      </c>
    </row>
    <row r="1444" spans="1:11" ht="12.75" customHeight="1" x14ac:dyDescent="0.2">
      <c r="A1444" s="1" t="s">
        <v>1772</v>
      </c>
      <c r="B1444" s="1" t="s">
        <v>1773</v>
      </c>
      <c r="C1444" s="2">
        <v>58</v>
      </c>
      <c r="D1444" s="2">
        <v>928</v>
      </c>
      <c r="E1444" s="2">
        <v>0</v>
      </c>
      <c r="F1444" s="2">
        <v>0</v>
      </c>
      <c r="G1444" s="2">
        <v>7.9282000000000004</v>
      </c>
      <c r="H1444" s="3">
        <v>459.8356</v>
      </c>
      <c r="I1444" s="1" t="s">
        <v>24</v>
      </c>
      <c r="J1444" s="1" t="s">
        <v>25</v>
      </c>
      <c r="K1444" s="1" t="s">
        <v>26</v>
      </c>
    </row>
    <row r="1445" spans="1:11" ht="12.75" customHeight="1" x14ac:dyDescent="0.2">
      <c r="A1445" s="1" t="s">
        <v>1774</v>
      </c>
      <c r="B1445" s="1" t="s">
        <v>1775</v>
      </c>
      <c r="C1445" s="2">
        <v>58</v>
      </c>
      <c r="D1445" s="2">
        <v>1044</v>
      </c>
      <c r="E1445" s="2">
        <v>0</v>
      </c>
      <c r="F1445" s="2">
        <v>0</v>
      </c>
      <c r="G1445" s="2">
        <v>8.5495999999999999</v>
      </c>
      <c r="H1445" s="3">
        <v>495.8768</v>
      </c>
      <c r="I1445" s="1" t="s">
        <v>24</v>
      </c>
      <c r="J1445" s="1" t="s">
        <v>25</v>
      </c>
      <c r="K1445" s="1" t="s">
        <v>26</v>
      </c>
    </row>
    <row r="1446" spans="1:11" ht="12.75" customHeight="1" x14ac:dyDescent="0.2">
      <c r="A1446" s="1" t="s">
        <v>1776</v>
      </c>
      <c r="B1446" s="1" t="s">
        <v>1777</v>
      </c>
      <c r="C1446" s="2">
        <v>52</v>
      </c>
      <c r="D1446" s="2">
        <v>1040</v>
      </c>
      <c r="E1446" s="2">
        <v>0</v>
      </c>
      <c r="F1446" s="2">
        <v>0</v>
      </c>
      <c r="G1446" s="2">
        <v>9.5007000000000001</v>
      </c>
      <c r="H1446" s="3">
        <v>494.03640000000001</v>
      </c>
      <c r="I1446" s="1" t="s">
        <v>24</v>
      </c>
      <c r="J1446" s="1" t="s">
        <v>25</v>
      </c>
      <c r="K1446" s="1" t="s">
        <v>26</v>
      </c>
    </row>
    <row r="1447" spans="1:11" ht="12.75" customHeight="1" x14ac:dyDescent="0.2">
      <c r="A1447" s="1" t="s">
        <v>1778</v>
      </c>
      <c r="B1447" s="1" t="s">
        <v>1779</v>
      </c>
      <c r="C1447" s="2">
        <v>22</v>
      </c>
      <c r="D1447" s="2">
        <v>484</v>
      </c>
      <c r="E1447" s="2">
        <v>0</v>
      </c>
      <c r="F1447" s="2">
        <v>0</v>
      </c>
      <c r="G1447" s="2">
        <v>10.454499999999999</v>
      </c>
      <c r="H1447" s="3">
        <v>229.999</v>
      </c>
      <c r="I1447" s="1" t="s">
        <v>24</v>
      </c>
      <c r="J1447" s="1" t="s">
        <v>25</v>
      </c>
      <c r="K1447" s="1" t="s">
        <v>26</v>
      </c>
    </row>
    <row r="1448" spans="1:11" ht="12.75" customHeight="1" x14ac:dyDescent="0.2">
      <c r="A1448" s="1" t="s">
        <v>1780</v>
      </c>
      <c r="B1448" s="1" t="s">
        <v>1781</v>
      </c>
      <c r="C1448" s="2">
        <v>104</v>
      </c>
      <c r="D1448" s="2">
        <v>416</v>
      </c>
      <c r="E1448" s="2">
        <v>0</v>
      </c>
      <c r="F1448" s="2">
        <v>0</v>
      </c>
      <c r="G1448" s="2">
        <v>0.77980000000000005</v>
      </c>
      <c r="H1448" s="3">
        <v>81.099199999999996</v>
      </c>
      <c r="I1448" s="1" t="s">
        <v>24</v>
      </c>
      <c r="J1448" s="1" t="s">
        <v>25</v>
      </c>
      <c r="K1448" s="1" t="s">
        <v>26</v>
      </c>
    </row>
    <row r="1449" spans="1:11" ht="12.75" customHeight="1" x14ac:dyDescent="0.2">
      <c r="A1449" s="1" t="s">
        <v>1782</v>
      </c>
      <c r="B1449" s="1" t="s">
        <v>1783</v>
      </c>
      <c r="C1449" s="2">
        <v>75</v>
      </c>
      <c r="D1449" s="2">
        <v>375</v>
      </c>
      <c r="E1449" s="2">
        <v>0</v>
      </c>
      <c r="F1449" s="2">
        <v>0</v>
      </c>
      <c r="G1449" s="2">
        <v>0.97570000000000001</v>
      </c>
      <c r="H1449" s="3">
        <v>73.177499999999995</v>
      </c>
      <c r="I1449" s="1" t="s">
        <v>24</v>
      </c>
      <c r="J1449" s="1" t="s">
        <v>25</v>
      </c>
      <c r="K1449" s="1" t="s">
        <v>26</v>
      </c>
    </row>
    <row r="1450" spans="1:11" ht="12.75" customHeight="1" x14ac:dyDescent="0.2">
      <c r="A1450" s="1" t="s">
        <v>1784</v>
      </c>
      <c r="B1450" s="1" t="s">
        <v>1785</v>
      </c>
      <c r="C1450" s="2">
        <v>60</v>
      </c>
      <c r="D1450" s="2">
        <v>360</v>
      </c>
      <c r="E1450" s="2">
        <v>0</v>
      </c>
      <c r="F1450" s="2">
        <v>0</v>
      </c>
      <c r="G1450" s="2">
        <v>1.395</v>
      </c>
      <c r="H1450" s="3">
        <v>83.7</v>
      </c>
      <c r="I1450" s="1" t="s">
        <v>24</v>
      </c>
      <c r="J1450" s="1" t="s">
        <v>25</v>
      </c>
      <c r="K1450" s="1" t="s">
        <v>26</v>
      </c>
    </row>
    <row r="1451" spans="1:11" ht="12.75" customHeight="1" x14ac:dyDescent="0.2">
      <c r="A1451" s="1" t="s">
        <v>1786</v>
      </c>
      <c r="B1451" s="1" t="s">
        <v>1787</v>
      </c>
      <c r="C1451" s="2">
        <v>204</v>
      </c>
      <c r="D1451" s="2">
        <v>1428</v>
      </c>
      <c r="E1451" s="2">
        <v>0</v>
      </c>
      <c r="F1451" s="2">
        <v>0</v>
      </c>
      <c r="G1451" s="2">
        <v>1.6256999999999999</v>
      </c>
      <c r="H1451" s="3">
        <v>331.64280000000002</v>
      </c>
      <c r="I1451" s="1" t="s">
        <v>24</v>
      </c>
      <c r="J1451" s="1" t="s">
        <v>25</v>
      </c>
      <c r="K1451" s="1" t="s">
        <v>26</v>
      </c>
    </row>
    <row r="1452" spans="1:11" ht="12.75" customHeight="1" x14ac:dyDescent="0.2">
      <c r="A1452" s="1" t="s">
        <v>1788</v>
      </c>
      <c r="B1452" s="1" t="s">
        <v>1789</v>
      </c>
      <c r="C1452" s="2">
        <v>378</v>
      </c>
      <c r="D1452" s="2">
        <v>3024</v>
      </c>
      <c r="E1452" s="2">
        <v>0</v>
      </c>
      <c r="F1452" s="2">
        <v>0</v>
      </c>
      <c r="G1452" s="2">
        <v>2.6842000000000001</v>
      </c>
      <c r="H1452" s="3">
        <v>1014.6276</v>
      </c>
      <c r="I1452" s="1" t="s">
        <v>24</v>
      </c>
      <c r="J1452" s="1" t="s">
        <v>25</v>
      </c>
      <c r="K1452" s="1" t="s">
        <v>26</v>
      </c>
    </row>
    <row r="1453" spans="1:11" ht="12.75" customHeight="1" x14ac:dyDescent="0.2">
      <c r="A1453" s="1" t="s">
        <v>1790</v>
      </c>
      <c r="B1453" s="1" t="s">
        <v>1791</v>
      </c>
      <c r="C1453" s="2">
        <v>22</v>
      </c>
      <c r="D1453" s="2">
        <v>264</v>
      </c>
      <c r="E1453" s="2">
        <v>0</v>
      </c>
      <c r="F1453" s="2">
        <v>0</v>
      </c>
      <c r="G1453" s="2">
        <v>18.5916</v>
      </c>
      <c r="H1453" s="3">
        <v>409.01519999999999</v>
      </c>
      <c r="I1453" s="1" t="s">
        <v>330</v>
      </c>
      <c r="J1453" s="1" t="s">
        <v>331</v>
      </c>
      <c r="K1453" s="1" t="s">
        <v>332</v>
      </c>
    </row>
    <row r="1454" spans="1:11" ht="12.75" customHeight="1" x14ac:dyDescent="0.2">
      <c r="A1454" s="1" t="s">
        <v>1792</v>
      </c>
      <c r="B1454" s="1" t="s">
        <v>1793</v>
      </c>
      <c r="C1454" s="2">
        <v>134</v>
      </c>
      <c r="D1454" s="2">
        <v>2144</v>
      </c>
      <c r="E1454" s="2">
        <v>0</v>
      </c>
      <c r="F1454" s="2">
        <v>0</v>
      </c>
      <c r="G1454" s="2">
        <v>24.904399999999999</v>
      </c>
      <c r="H1454" s="3">
        <v>3337.1896000000002</v>
      </c>
      <c r="I1454" s="1" t="s">
        <v>330</v>
      </c>
      <c r="J1454" s="1" t="s">
        <v>331</v>
      </c>
      <c r="K1454" s="1" t="s">
        <v>332</v>
      </c>
    </row>
    <row r="1455" spans="1:11" ht="12.75" customHeight="1" x14ac:dyDescent="0.2">
      <c r="A1455" s="1" t="s">
        <v>1794</v>
      </c>
      <c r="B1455" s="1" t="s">
        <v>1795</v>
      </c>
      <c r="C1455" s="2">
        <v>126</v>
      </c>
      <c r="D1455" s="2">
        <v>504</v>
      </c>
      <c r="E1455" s="2">
        <v>0</v>
      </c>
      <c r="F1455" s="2">
        <v>0</v>
      </c>
      <c r="G1455" s="2">
        <v>2.1943999999999999</v>
      </c>
      <c r="H1455" s="3">
        <v>276.49439999999998</v>
      </c>
      <c r="I1455" s="1" t="s">
        <v>24</v>
      </c>
      <c r="J1455" s="1" t="s">
        <v>25</v>
      </c>
      <c r="K1455" s="1" t="s">
        <v>26</v>
      </c>
    </row>
    <row r="1456" spans="1:11" ht="12.75" customHeight="1" x14ac:dyDescent="0.2">
      <c r="A1456" s="1" t="s">
        <v>1796</v>
      </c>
      <c r="B1456" s="1" t="s">
        <v>1797</v>
      </c>
      <c r="C1456" s="2">
        <v>131</v>
      </c>
      <c r="D1456" s="2">
        <v>655</v>
      </c>
      <c r="E1456" s="2">
        <v>0</v>
      </c>
      <c r="F1456" s="2">
        <v>0</v>
      </c>
      <c r="G1456" s="2">
        <v>2.7433999999999998</v>
      </c>
      <c r="H1456" s="3">
        <v>359.3854</v>
      </c>
      <c r="I1456" s="1" t="s">
        <v>24</v>
      </c>
      <c r="J1456" s="1" t="s">
        <v>25</v>
      </c>
      <c r="K1456" s="1" t="s">
        <v>26</v>
      </c>
    </row>
    <row r="1457" spans="1:11" ht="12.75" customHeight="1" x14ac:dyDescent="0.2">
      <c r="A1457" s="1" t="s">
        <v>1798</v>
      </c>
      <c r="B1457" s="1" t="s">
        <v>1799</v>
      </c>
      <c r="C1457" s="2">
        <v>131</v>
      </c>
      <c r="D1457" s="2">
        <v>786</v>
      </c>
      <c r="E1457" s="2">
        <v>0</v>
      </c>
      <c r="F1457" s="2">
        <v>0</v>
      </c>
      <c r="G1457" s="2">
        <v>4.3832000000000004</v>
      </c>
      <c r="H1457" s="3">
        <v>574.19920000000002</v>
      </c>
      <c r="I1457" s="1" t="s">
        <v>24</v>
      </c>
      <c r="J1457" s="1" t="s">
        <v>25</v>
      </c>
      <c r="K1457" s="1" t="s">
        <v>26</v>
      </c>
    </row>
    <row r="1458" spans="1:11" ht="12.75" customHeight="1" x14ac:dyDescent="0.2">
      <c r="A1458" s="1" t="s">
        <v>1800</v>
      </c>
      <c r="B1458" s="1" t="s">
        <v>1801</v>
      </c>
      <c r="C1458" s="2">
        <v>103</v>
      </c>
      <c r="D1458" s="2">
        <v>824</v>
      </c>
      <c r="E1458" s="2">
        <v>0</v>
      </c>
      <c r="F1458" s="2">
        <v>0</v>
      </c>
      <c r="G1458" s="2">
        <v>8.4600000000000009</v>
      </c>
      <c r="H1458" s="3">
        <v>871.38</v>
      </c>
      <c r="I1458" s="1" t="s">
        <v>330</v>
      </c>
      <c r="J1458" s="1" t="s">
        <v>331</v>
      </c>
      <c r="K1458" s="1" t="s">
        <v>332</v>
      </c>
    </row>
    <row r="1459" spans="1:11" ht="12.75" customHeight="1" x14ac:dyDescent="0.2">
      <c r="A1459" s="1" t="s">
        <v>1802</v>
      </c>
      <c r="B1459" s="1" t="s">
        <v>1803</v>
      </c>
      <c r="C1459" s="2">
        <v>6</v>
      </c>
      <c r="D1459" s="2">
        <v>72</v>
      </c>
      <c r="E1459" s="2">
        <v>0</v>
      </c>
      <c r="F1459" s="2">
        <v>6</v>
      </c>
      <c r="G1459" s="2">
        <v>15.943199999999999</v>
      </c>
      <c r="H1459" s="3">
        <v>95.659199999999998</v>
      </c>
      <c r="I1459" s="1" t="s">
        <v>17</v>
      </c>
      <c r="J1459" s="1" t="s">
        <v>18</v>
      </c>
      <c r="K1459" s="1" t="s">
        <v>19</v>
      </c>
    </row>
    <row r="1460" spans="1:11" ht="12.75" customHeight="1" x14ac:dyDescent="0.2">
      <c r="A1460" s="1" t="s">
        <v>1804</v>
      </c>
      <c r="B1460" s="1" t="s">
        <v>1805</v>
      </c>
      <c r="C1460" s="2">
        <v>31</v>
      </c>
      <c r="D1460" s="2">
        <v>403</v>
      </c>
      <c r="E1460" s="2">
        <v>0</v>
      </c>
      <c r="F1460" s="2">
        <v>31</v>
      </c>
      <c r="G1460" s="2">
        <v>17.271799999999999</v>
      </c>
      <c r="H1460" s="3">
        <v>535.42579999999998</v>
      </c>
      <c r="I1460" s="1" t="s">
        <v>17</v>
      </c>
      <c r="J1460" s="1" t="s">
        <v>18</v>
      </c>
      <c r="K1460" s="1" t="s">
        <v>19</v>
      </c>
    </row>
    <row r="1461" spans="1:11" ht="12.75" customHeight="1" x14ac:dyDescent="0.2">
      <c r="A1461" s="1" t="s">
        <v>1806</v>
      </c>
      <c r="B1461" s="1" t="s">
        <v>1807</v>
      </c>
      <c r="C1461" s="2">
        <v>2</v>
      </c>
      <c r="D1461" s="2">
        <v>34</v>
      </c>
      <c r="E1461" s="2">
        <v>0</v>
      </c>
      <c r="F1461" s="2">
        <v>2</v>
      </c>
      <c r="G1461" s="2">
        <v>22.586200000000002</v>
      </c>
      <c r="H1461" s="3">
        <v>45.172400000000003</v>
      </c>
      <c r="I1461" s="1" t="s">
        <v>17</v>
      </c>
      <c r="J1461" s="1" t="s">
        <v>18</v>
      </c>
      <c r="K1461" s="1" t="s">
        <v>19</v>
      </c>
    </row>
    <row r="1462" spans="1:11" ht="12.75" customHeight="1" x14ac:dyDescent="0.2">
      <c r="A1462" s="1" t="s">
        <v>1808</v>
      </c>
      <c r="B1462" s="1" t="s">
        <v>1809</v>
      </c>
      <c r="C1462" s="2">
        <v>30</v>
      </c>
      <c r="D1462" s="2">
        <v>150</v>
      </c>
      <c r="E1462" s="2">
        <v>0</v>
      </c>
      <c r="F1462" s="2">
        <v>30</v>
      </c>
      <c r="G1462" s="2">
        <v>6.6557000000000004</v>
      </c>
      <c r="H1462" s="3">
        <v>199.67099999999999</v>
      </c>
      <c r="I1462" s="1" t="s">
        <v>17</v>
      </c>
      <c r="J1462" s="1" t="s">
        <v>18</v>
      </c>
      <c r="K1462" s="1" t="s">
        <v>19</v>
      </c>
    </row>
    <row r="1463" spans="1:11" ht="12.75" customHeight="1" x14ac:dyDescent="0.2">
      <c r="A1463" s="1" t="s">
        <v>1810</v>
      </c>
      <c r="B1463" s="1" t="s">
        <v>1811</v>
      </c>
      <c r="C1463" s="2">
        <v>2</v>
      </c>
      <c r="D1463" s="2">
        <v>12</v>
      </c>
      <c r="E1463" s="2">
        <v>0</v>
      </c>
      <c r="F1463" s="2">
        <v>2</v>
      </c>
      <c r="G1463" s="2">
        <v>7.93</v>
      </c>
      <c r="H1463" s="3">
        <v>15.86</v>
      </c>
      <c r="I1463" s="1" t="s">
        <v>17</v>
      </c>
      <c r="J1463" s="1" t="s">
        <v>18</v>
      </c>
      <c r="K1463" s="1" t="s">
        <v>19</v>
      </c>
    </row>
    <row r="1464" spans="1:11" ht="12.75" customHeight="1" x14ac:dyDescent="0.2">
      <c r="A1464" s="1" t="s">
        <v>1812</v>
      </c>
      <c r="B1464" s="1" t="s">
        <v>1813</v>
      </c>
      <c r="C1464" s="2">
        <v>76</v>
      </c>
      <c r="D1464" s="2">
        <v>532</v>
      </c>
      <c r="E1464" s="2">
        <v>0</v>
      </c>
      <c r="F1464" s="2">
        <v>76</v>
      </c>
      <c r="G1464" s="2">
        <v>9.3168000000000006</v>
      </c>
      <c r="H1464" s="3">
        <v>708.07680000000005</v>
      </c>
      <c r="I1464" s="1" t="s">
        <v>17</v>
      </c>
      <c r="J1464" s="1" t="s">
        <v>18</v>
      </c>
      <c r="K1464" s="1" t="s">
        <v>19</v>
      </c>
    </row>
    <row r="1465" spans="1:11" ht="12.75" customHeight="1" x14ac:dyDescent="0.2">
      <c r="A1465" s="1" t="s">
        <v>1814</v>
      </c>
      <c r="B1465" s="1" t="s">
        <v>1815</v>
      </c>
      <c r="C1465" s="2">
        <v>1</v>
      </c>
      <c r="D1465" s="2">
        <v>10</v>
      </c>
      <c r="E1465" s="2">
        <v>0</v>
      </c>
      <c r="F1465" s="2">
        <v>71</v>
      </c>
      <c r="G1465" s="2">
        <v>10.6015</v>
      </c>
      <c r="H1465" s="3">
        <v>10.6015</v>
      </c>
      <c r="I1465" s="1" t="s">
        <v>24</v>
      </c>
      <c r="J1465" s="1" t="s">
        <v>25</v>
      </c>
      <c r="K1465" s="1" t="s">
        <v>26</v>
      </c>
    </row>
    <row r="1466" spans="1:11" ht="12.75" customHeight="1" x14ac:dyDescent="0.2">
      <c r="A1466" s="1" t="s">
        <v>1816</v>
      </c>
      <c r="B1466" s="1" t="s">
        <v>1817</v>
      </c>
      <c r="C1466" s="2">
        <v>2</v>
      </c>
      <c r="D1466" s="2">
        <v>22</v>
      </c>
      <c r="E1466" s="2">
        <v>0</v>
      </c>
      <c r="F1466" s="2">
        <v>79</v>
      </c>
      <c r="G1466" s="2">
        <v>11.904400000000001</v>
      </c>
      <c r="H1466" s="3">
        <v>23.808800000000002</v>
      </c>
      <c r="I1466" s="1" t="s">
        <v>24</v>
      </c>
      <c r="J1466" s="1" t="s">
        <v>25</v>
      </c>
      <c r="K1466" s="1" t="s">
        <v>26</v>
      </c>
    </row>
    <row r="1467" spans="1:11" ht="12.75" customHeight="1" x14ac:dyDescent="0.2">
      <c r="A1467" s="1" t="s">
        <v>1818</v>
      </c>
      <c r="B1467" s="1" t="s">
        <v>1819</v>
      </c>
      <c r="C1467" s="2">
        <v>22</v>
      </c>
      <c r="D1467" s="2">
        <v>264</v>
      </c>
      <c r="E1467" s="2">
        <v>0</v>
      </c>
      <c r="F1467" s="2">
        <v>225</v>
      </c>
      <c r="G1467" s="2">
        <v>12.706200000000001</v>
      </c>
      <c r="H1467" s="3">
        <v>279.53640000000001</v>
      </c>
      <c r="I1467" s="1" t="s">
        <v>24</v>
      </c>
      <c r="J1467" s="1" t="s">
        <v>25</v>
      </c>
      <c r="K1467" s="1" t="s">
        <v>26</v>
      </c>
    </row>
    <row r="1468" spans="1:11" ht="12.75" customHeight="1" x14ac:dyDescent="0.2">
      <c r="A1468" s="1" t="s">
        <v>1820</v>
      </c>
      <c r="B1468" s="1" t="s">
        <v>1821</v>
      </c>
      <c r="C1468" s="2">
        <v>42</v>
      </c>
      <c r="D1468" s="2">
        <v>546</v>
      </c>
      <c r="E1468" s="2">
        <v>0</v>
      </c>
      <c r="F1468" s="2">
        <v>119</v>
      </c>
      <c r="G1468" s="2">
        <v>14.361000000000001</v>
      </c>
      <c r="H1468" s="3">
        <v>603.16200000000003</v>
      </c>
      <c r="I1468" s="1" t="s">
        <v>24</v>
      </c>
      <c r="J1468" s="1" t="s">
        <v>25</v>
      </c>
      <c r="K1468" s="1" t="s">
        <v>26</v>
      </c>
    </row>
    <row r="1469" spans="1:11" ht="12.75" customHeight="1" x14ac:dyDescent="0.2">
      <c r="A1469" s="1" t="s">
        <v>1822</v>
      </c>
      <c r="B1469" s="1" t="s">
        <v>1823</v>
      </c>
      <c r="C1469" s="2">
        <v>6</v>
      </c>
      <c r="D1469" s="2">
        <v>84</v>
      </c>
      <c r="E1469" s="2">
        <v>0</v>
      </c>
      <c r="F1469" s="2">
        <v>132</v>
      </c>
      <c r="G1469" s="2">
        <v>14.839600000000001</v>
      </c>
      <c r="H1469" s="3">
        <v>89.037599999999998</v>
      </c>
      <c r="I1469" s="1" t="s">
        <v>24</v>
      </c>
      <c r="J1469" s="1" t="s">
        <v>25</v>
      </c>
      <c r="K1469" s="1" t="s">
        <v>26</v>
      </c>
    </row>
    <row r="1470" spans="1:11" ht="12.75" customHeight="1" x14ac:dyDescent="0.2">
      <c r="A1470" s="1" t="s">
        <v>1824</v>
      </c>
      <c r="B1470" s="1" t="s">
        <v>1825</v>
      </c>
      <c r="C1470" s="2">
        <v>33</v>
      </c>
      <c r="D1470" s="2">
        <v>495</v>
      </c>
      <c r="E1470" s="2">
        <v>0</v>
      </c>
      <c r="F1470" s="2">
        <v>33</v>
      </c>
      <c r="G1470" s="2">
        <v>16.0381</v>
      </c>
      <c r="H1470" s="3">
        <v>529.25729999999999</v>
      </c>
      <c r="I1470" s="1" t="s">
        <v>17</v>
      </c>
      <c r="J1470" s="1" t="s">
        <v>18</v>
      </c>
      <c r="K1470" s="1" t="s">
        <v>19</v>
      </c>
    </row>
    <row r="1471" spans="1:11" ht="12.75" customHeight="1" x14ac:dyDescent="0.2">
      <c r="A1471" s="1" t="s">
        <v>1824</v>
      </c>
      <c r="B1471" s="1" t="s">
        <v>1825</v>
      </c>
      <c r="C1471" s="2">
        <v>75</v>
      </c>
      <c r="D1471" s="2">
        <v>1125</v>
      </c>
      <c r="E1471" s="2">
        <v>0</v>
      </c>
      <c r="F1471" s="2">
        <v>152</v>
      </c>
      <c r="G1471" s="2">
        <v>16.0381</v>
      </c>
      <c r="H1471" s="3">
        <v>1202.8575000000001</v>
      </c>
      <c r="I1471" s="1" t="s">
        <v>24</v>
      </c>
      <c r="J1471" s="1" t="s">
        <v>25</v>
      </c>
      <c r="K1471" s="1" t="s">
        <v>26</v>
      </c>
    </row>
    <row r="1472" spans="1:11" ht="12.75" customHeight="1" x14ac:dyDescent="0.2">
      <c r="A1472" s="1" t="s">
        <v>1826</v>
      </c>
      <c r="B1472" s="1" t="s">
        <v>1827</v>
      </c>
      <c r="C1472" s="2">
        <v>14</v>
      </c>
      <c r="D1472" s="2">
        <v>224</v>
      </c>
      <c r="E1472" s="2">
        <v>0</v>
      </c>
      <c r="F1472" s="2">
        <v>14</v>
      </c>
      <c r="G1472" s="2">
        <v>17.104199999999999</v>
      </c>
      <c r="H1472" s="3">
        <v>239.4588</v>
      </c>
      <c r="I1472" s="1" t="s">
        <v>17</v>
      </c>
      <c r="J1472" s="1" t="s">
        <v>18</v>
      </c>
      <c r="K1472" s="1" t="s">
        <v>19</v>
      </c>
    </row>
    <row r="1473" spans="1:11" ht="12.75" customHeight="1" x14ac:dyDescent="0.2">
      <c r="A1473" s="1" t="s">
        <v>1826</v>
      </c>
      <c r="B1473" s="1" t="s">
        <v>1827</v>
      </c>
      <c r="C1473" s="2">
        <v>21</v>
      </c>
      <c r="D1473" s="2">
        <v>336</v>
      </c>
      <c r="E1473" s="2">
        <v>0</v>
      </c>
      <c r="F1473" s="2">
        <v>147</v>
      </c>
      <c r="G1473" s="2">
        <v>17.104199999999999</v>
      </c>
      <c r="H1473" s="3">
        <v>359.18819999999999</v>
      </c>
      <c r="I1473" s="1" t="s">
        <v>24</v>
      </c>
      <c r="J1473" s="1" t="s">
        <v>25</v>
      </c>
      <c r="K1473" s="1" t="s">
        <v>26</v>
      </c>
    </row>
    <row r="1474" spans="1:11" ht="12.75" customHeight="1" x14ac:dyDescent="0.2">
      <c r="A1474" s="1" t="s">
        <v>1829</v>
      </c>
      <c r="B1474" s="1" t="s">
        <v>1830</v>
      </c>
      <c r="C1474" s="2">
        <v>21</v>
      </c>
      <c r="D1474" s="2">
        <v>378</v>
      </c>
      <c r="E1474" s="2">
        <v>0</v>
      </c>
      <c r="F1474" s="2">
        <v>21</v>
      </c>
      <c r="G1474" s="2">
        <v>19.13</v>
      </c>
      <c r="H1474" s="3">
        <v>401.73</v>
      </c>
      <c r="I1474" s="1" t="s">
        <v>17</v>
      </c>
      <c r="J1474" s="1" t="s">
        <v>18</v>
      </c>
      <c r="K1474" s="1" t="s">
        <v>19</v>
      </c>
    </row>
    <row r="1475" spans="1:11" ht="12.75" customHeight="1" x14ac:dyDescent="0.2">
      <c r="A1475" s="1" t="s">
        <v>1831</v>
      </c>
      <c r="B1475" s="1" t="s">
        <v>1832</v>
      </c>
      <c r="C1475" s="2">
        <v>3</v>
      </c>
      <c r="D1475" s="2">
        <v>15</v>
      </c>
      <c r="E1475" s="2">
        <v>0</v>
      </c>
      <c r="F1475" s="2">
        <v>3</v>
      </c>
      <c r="G1475" s="2">
        <v>6.7249999999999996</v>
      </c>
      <c r="H1475" s="3">
        <v>20.175000000000001</v>
      </c>
      <c r="I1475" s="1" t="s">
        <v>24</v>
      </c>
      <c r="J1475" s="1" t="s">
        <v>25</v>
      </c>
      <c r="K1475" s="1" t="s">
        <v>26</v>
      </c>
    </row>
    <row r="1476" spans="1:11" ht="12.75" customHeight="1" x14ac:dyDescent="0.2">
      <c r="A1476" s="1" t="s">
        <v>1833</v>
      </c>
      <c r="B1476" s="1" t="s">
        <v>1834</v>
      </c>
      <c r="C1476" s="2">
        <v>6</v>
      </c>
      <c r="D1476" s="2">
        <v>42</v>
      </c>
      <c r="E1476" s="2">
        <v>0</v>
      </c>
      <c r="F1476" s="2">
        <v>12</v>
      </c>
      <c r="G1476" s="2">
        <v>7.4241999999999999</v>
      </c>
      <c r="H1476" s="3">
        <v>44.545200000000001</v>
      </c>
      <c r="I1476" s="1" t="s">
        <v>17</v>
      </c>
      <c r="J1476" s="1" t="s">
        <v>18</v>
      </c>
      <c r="K1476" s="1" t="s">
        <v>19</v>
      </c>
    </row>
    <row r="1477" spans="1:11" ht="12.75" customHeight="1" x14ac:dyDescent="0.2">
      <c r="A1477" s="1" t="s">
        <v>1835</v>
      </c>
      <c r="B1477" s="1" t="s">
        <v>1836</v>
      </c>
      <c r="C1477" s="2">
        <v>1</v>
      </c>
      <c r="D1477" s="2">
        <v>8</v>
      </c>
      <c r="E1477" s="2">
        <v>0</v>
      </c>
      <c r="F1477" s="2">
        <v>81</v>
      </c>
      <c r="G1477" s="2">
        <v>8.0998000000000001</v>
      </c>
      <c r="H1477" s="3">
        <v>8.0998000000000001</v>
      </c>
      <c r="I1477" s="1" t="s">
        <v>24</v>
      </c>
      <c r="J1477" s="1" t="s">
        <v>25</v>
      </c>
      <c r="K1477" s="1" t="s">
        <v>26</v>
      </c>
    </row>
    <row r="1478" spans="1:11" ht="12.75" customHeight="1" x14ac:dyDescent="0.2">
      <c r="A1478" s="1" t="s">
        <v>1837</v>
      </c>
      <c r="B1478" s="1" t="s">
        <v>1838</v>
      </c>
      <c r="C1478" s="2">
        <v>77</v>
      </c>
      <c r="D1478" s="2">
        <v>693</v>
      </c>
      <c r="E1478" s="2">
        <v>0</v>
      </c>
      <c r="F1478" s="2">
        <v>98</v>
      </c>
      <c r="G1478" s="2">
        <v>9.5588999999999995</v>
      </c>
      <c r="H1478" s="3">
        <v>736.03530000000001</v>
      </c>
      <c r="I1478" s="1" t="s">
        <v>17</v>
      </c>
      <c r="J1478" s="1" t="s">
        <v>18</v>
      </c>
      <c r="K1478" s="1" t="s">
        <v>19</v>
      </c>
    </row>
    <row r="1479" spans="1:11" ht="12.75" customHeight="1" x14ac:dyDescent="0.2">
      <c r="A1479" s="1" t="s">
        <v>1837</v>
      </c>
      <c r="B1479" s="1" t="s">
        <v>1838</v>
      </c>
      <c r="C1479" s="2">
        <v>4</v>
      </c>
      <c r="D1479" s="2">
        <v>36</v>
      </c>
      <c r="E1479" s="2">
        <v>0</v>
      </c>
      <c r="F1479" s="2">
        <v>4</v>
      </c>
      <c r="G1479" s="2">
        <v>9.5229999999999997</v>
      </c>
      <c r="H1479" s="3">
        <v>38.091999999999999</v>
      </c>
      <c r="I1479" s="1" t="s">
        <v>24</v>
      </c>
      <c r="J1479" s="1" t="s">
        <v>25</v>
      </c>
      <c r="K1479" s="1" t="s">
        <v>26</v>
      </c>
    </row>
    <row r="1480" spans="1:11" ht="12.75" customHeight="1" x14ac:dyDescent="0.2">
      <c r="A1480" s="1" t="s">
        <v>1839</v>
      </c>
      <c r="B1480" s="1" t="s">
        <v>1840</v>
      </c>
      <c r="C1480" s="2">
        <v>9</v>
      </c>
      <c r="D1480" s="2">
        <v>90</v>
      </c>
      <c r="E1480" s="2">
        <v>0</v>
      </c>
      <c r="F1480" s="2">
        <v>8</v>
      </c>
      <c r="G1480" s="2">
        <v>16.456700000000001</v>
      </c>
      <c r="H1480" s="3">
        <v>148.1103</v>
      </c>
      <c r="I1480" s="1" t="s">
        <v>17</v>
      </c>
      <c r="J1480" s="1" t="s">
        <v>18</v>
      </c>
      <c r="K1480" s="1" t="s">
        <v>19</v>
      </c>
    </row>
    <row r="1481" spans="1:11" ht="12.75" customHeight="1" x14ac:dyDescent="0.2">
      <c r="A1481" s="1" t="s">
        <v>1841</v>
      </c>
      <c r="B1481" s="1" t="s">
        <v>1842</v>
      </c>
      <c r="C1481" s="2">
        <v>15</v>
      </c>
      <c r="D1481" s="2">
        <v>165</v>
      </c>
      <c r="E1481" s="2">
        <v>0</v>
      </c>
      <c r="F1481" s="2">
        <v>15</v>
      </c>
      <c r="G1481" s="2">
        <v>16.928899999999999</v>
      </c>
      <c r="H1481" s="3">
        <v>253.93350000000001</v>
      </c>
      <c r="I1481" s="1" t="s">
        <v>17</v>
      </c>
      <c r="J1481" s="1" t="s">
        <v>18</v>
      </c>
      <c r="K1481" s="1" t="s">
        <v>19</v>
      </c>
    </row>
    <row r="1482" spans="1:11" ht="12.75" customHeight="1" x14ac:dyDescent="0.2">
      <c r="A1482" s="1" t="s">
        <v>1843</v>
      </c>
      <c r="B1482" s="1" t="s">
        <v>1844</v>
      </c>
      <c r="C1482" s="2">
        <v>13</v>
      </c>
      <c r="D1482" s="2">
        <v>156</v>
      </c>
      <c r="E1482" s="2">
        <v>0</v>
      </c>
      <c r="F1482" s="2">
        <v>13</v>
      </c>
      <c r="G1482" s="2">
        <v>19.014500000000002</v>
      </c>
      <c r="H1482" s="3">
        <v>247.1885</v>
      </c>
      <c r="I1482" s="1" t="s">
        <v>17</v>
      </c>
      <c r="J1482" s="1" t="s">
        <v>18</v>
      </c>
      <c r="K1482" s="1" t="s">
        <v>19</v>
      </c>
    </row>
    <row r="1483" spans="1:11" ht="12.75" customHeight="1" x14ac:dyDescent="0.2">
      <c r="A1483" s="1" t="s">
        <v>1845</v>
      </c>
      <c r="B1483" s="1" t="s">
        <v>1846</v>
      </c>
      <c r="C1483" s="2">
        <v>14</v>
      </c>
      <c r="D1483" s="2">
        <v>182</v>
      </c>
      <c r="E1483" s="2">
        <v>0</v>
      </c>
      <c r="F1483" s="2">
        <v>14</v>
      </c>
      <c r="G1483" s="2">
        <v>17.497399999999999</v>
      </c>
      <c r="H1483" s="3">
        <v>244.96360000000001</v>
      </c>
      <c r="I1483" s="1" t="s">
        <v>17</v>
      </c>
      <c r="J1483" s="1" t="s">
        <v>18</v>
      </c>
      <c r="K1483" s="1" t="s">
        <v>19</v>
      </c>
    </row>
    <row r="1484" spans="1:11" ht="12.75" customHeight="1" x14ac:dyDescent="0.2">
      <c r="A1484" s="1" t="s">
        <v>1847</v>
      </c>
      <c r="B1484" s="1" t="s">
        <v>1848</v>
      </c>
      <c r="C1484" s="2">
        <v>27</v>
      </c>
      <c r="D1484" s="2">
        <v>405</v>
      </c>
      <c r="E1484" s="2">
        <v>0</v>
      </c>
      <c r="F1484" s="2">
        <v>27</v>
      </c>
      <c r="G1484" s="2">
        <v>18.238299999999999</v>
      </c>
      <c r="H1484" s="3">
        <v>492.4341</v>
      </c>
      <c r="I1484" s="1" t="s">
        <v>17</v>
      </c>
      <c r="J1484" s="1" t="s">
        <v>18</v>
      </c>
      <c r="K1484" s="1" t="s">
        <v>19</v>
      </c>
    </row>
    <row r="1485" spans="1:11" ht="12.75" customHeight="1" x14ac:dyDescent="0.2">
      <c r="A1485" s="1" t="s">
        <v>1849</v>
      </c>
      <c r="B1485" s="1" t="s">
        <v>1850</v>
      </c>
      <c r="C1485" s="2">
        <v>47</v>
      </c>
      <c r="D1485" s="2">
        <v>752</v>
      </c>
      <c r="E1485" s="2">
        <v>0</v>
      </c>
      <c r="F1485" s="2">
        <v>47</v>
      </c>
      <c r="G1485" s="2">
        <v>19.413399999999999</v>
      </c>
      <c r="H1485" s="3">
        <v>912.4298</v>
      </c>
      <c r="I1485" s="1" t="s">
        <v>17</v>
      </c>
      <c r="J1485" s="1" t="s">
        <v>18</v>
      </c>
      <c r="K1485" s="1" t="s">
        <v>19</v>
      </c>
    </row>
    <row r="1486" spans="1:11" ht="12.75" customHeight="1" x14ac:dyDescent="0.2">
      <c r="A1486" s="1" t="s">
        <v>1851</v>
      </c>
      <c r="B1486" s="1" t="s">
        <v>1852</v>
      </c>
      <c r="C1486" s="2">
        <v>19</v>
      </c>
      <c r="D1486" s="2">
        <v>171</v>
      </c>
      <c r="E1486" s="2">
        <v>0</v>
      </c>
      <c r="F1486" s="2">
        <v>19</v>
      </c>
      <c r="G1486" s="2">
        <v>13.1288</v>
      </c>
      <c r="H1486" s="3">
        <v>249.44720000000001</v>
      </c>
      <c r="I1486" s="1" t="s">
        <v>17</v>
      </c>
      <c r="J1486" s="1" t="s">
        <v>18</v>
      </c>
      <c r="K1486" s="1" t="s">
        <v>19</v>
      </c>
    </row>
    <row r="1487" spans="1:11" ht="12.75" customHeight="1" x14ac:dyDescent="0.2">
      <c r="A1487" s="1" t="s">
        <v>1853</v>
      </c>
      <c r="B1487" s="1" t="s">
        <v>1854</v>
      </c>
      <c r="C1487" s="2">
        <v>2</v>
      </c>
      <c r="D1487" s="2">
        <v>20</v>
      </c>
      <c r="E1487" s="2">
        <v>0</v>
      </c>
      <c r="F1487" s="2">
        <v>2</v>
      </c>
      <c r="G1487" s="2">
        <v>10.8696</v>
      </c>
      <c r="H1487" s="3">
        <v>21.7392</v>
      </c>
      <c r="I1487" s="1" t="s">
        <v>330</v>
      </c>
      <c r="J1487" s="1" t="s">
        <v>331</v>
      </c>
      <c r="K1487" s="1" t="s">
        <v>332</v>
      </c>
    </row>
    <row r="1488" spans="1:11" ht="12.75" customHeight="1" x14ac:dyDescent="0.2">
      <c r="A1488" s="1" t="s">
        <v>1855</v>
      </c>
      <c r="B1488" s="1" t="s">
        <v>1856</v>
      </c>
      <c r="C1488" s="2">
        <v>5</v>
      </c>
      <c r="D1488" s="2">
        <v>55</v>
      </c>
      <c r="E1488" s="2">
        <v>0</v>
      </c>
      <c r="F1488" s="2">
        <v>0</v>
      </c>
      <c r="G1488" s="2">
        <v>11.954800000000001</v>
      </c>
      <c r="H1488" s="3">
        <v>59.774000000000001</v>
      </c>
      <c r="I1488" s="1" t="s">
        <v>125</v>
      </c>
      <c r="J1488" s="1" t="s">
        <v>126</v>
      </c>
      <c r="K1488" s="1" t="s">
        <v>127</v>
      </c>
    </row>
    <row r="1489" spans="1:11" ht="12.75" customHeight="1" x14ac:dyDescent="0.2">
      <c r="A1489" s="1" t="s">
        <v>1855</v>
      </c>
      <c r="B1489" s="1" t="s">
        <v>1856</v>
      </c>
      <c r="C1489" s="2">
        <v>1</v>
      </c>
      <c r="D1489" s="2">
        <v>11</v>
      </c>
      <c r="E1489" s="2">
        <v>0</v>
      </c>
      <c r="F1489" s="2">
        <v>1</v>
      </c>
      <c r="G1489" s="2">
        <v>11.954800000000001</v>
      </c>
      <c r="H1489" s="3">
        <v>11.954800000000001</v>
      </c>
      <c r="I1489" s="1" t="s">
        <v>330</v>
      </c>
      <c r="J1489" s="1" t="s">
        <v>331</v>
      </c>
      <c r="K1489" s="1" t="s">
        <v>332</v>
      </c>
    </row>
    <row r="1490" spans="1:11" ht="12.75" customHeight="1" x14ac:dyDescent="0.2">
      <c r="A1490" s="1" t="s">
        <v>1857</v>
      </c>
      <c r="B1490" s="1" t="s">
        <v>1858</v>
      </c>
      <c r="C1490" s="2">
        <v>9</v>
      </c>
      <c r="D1490" s="2">
        <v>108</v>
      </c>
      <c r="E1490" s="2">
        <v>0</v>
      </c>
      <c r="F1490" s="2">
        <v>9</v>
      </c>
      <c r="G1490" s="2">
        <v>13.008599999999999</v>
      </c>
      <c r="H1490" s="3">
        <v>117.0774</v>
      </c>
      <c r="I1490" s="1" t="s">
        <v>330</v>
      </c>
      <c r="J1490" s="1" t="s">
        <v>331</v>
      </c>
      <c r="K1490" s="1" t="s">
        <v>332</v>
      </c>
    </row>
    <row r="1491" spans="1:11" ht="12.75" customHeight="1" x14ac:dyDescent="0.2">
      <c r="A1491" s="1" t="s">
        <v>1859</v>
      </c>
      <c r="B1491" s="1" t="s">
        <v>1860</v>
      </c>
      <c r="C1491" s="2">
        <v>25</v>
      </c>
      <c r="D1491" s="2">
        <v>325</v>
      </c>
      <c r="E1491" s="2">
        <v>0</v>
      </c>
      <c r="F1491" s="2">
        <v>25</v>
      </c>
      <c r="G1491" s="2">
        <v>14.1081</v>
      </c>
      <c r="H1491" s="3">
        <v>352.70249999999999</v>
      </c>
      <c r="I1491" s="1" t="s">
        <v>330</v>
      </c>
      <c r="J1491" s="1" t="s">
        <v>331</v>
      </c>
      <c r="K1491" s="1" t="s">
        <v>332</v>
      </c>
    </row>
    <row r="1492" spans="1:11" ht="12.75" customHeight="1" x14ac:dyDescent="0.2">
      <c r="A1492" s="1" t="s">
        <v>1861</v>
      </c>
      <c r="B1492" s="1" t="s">
        <v>1862</v>
      </c>
      <c r="C1492" s="2">
        <v>15</v>
      </c>
      <c r="D1492" s="2">
        <v>210</v>
      </c>
      <c r="E1492" s="2">
        <v>0</v>
      </c>
      <c r="F1492" s="2">
        <v>15</v>
      </c>
      <c r="G1492" s="2">
        <v>15.1294</v>
      </c>
      <c r="H1492" s="3">
        <v>226.941</v>
      </c>
      <c r="I1492" s="1" t="s">
        <v>330</v>
      </c>
      <c r="J1492" s="1" t="s">
        <v>331</v>
      </c>
      <c r="K1492" s="1" t="s">
        <v>332</v>
      </c>
    </row>
    <row r="1493" spans="1:11" ht="12.75" customHeight="1" x14ac:dyDescent="0.2">
      <c r="A1493" s="1" t="s">
        <v>1863</v>
      </c>
      <c r="B1493" s="1" t="s">
        <v>1864</v>
      </c>
      <c r="C1493" s="2">
        <v>3</v>
      </c>
      <c r="D1493" s="2">
        <v>45</v>
      </c>
      <c r="E1493" s="2">
        <v>0</v>
      </c>
      <c r="F1493" s="2">
        <v>0</v>
      </c>
      <c r="G1493" s="2">
        <v>16.305399999999999</v>
      </c>
      <c r="H1493" s="3">
        <v>48.916200000000003</v>
      </c>
      <c r="I1493" s="1" t="s">
        <v>125</v>
      </c>
      <c r="J1493" s="1" t="s">
        <v>126</v>
      </c>
      <c r="K1493" s="1" t="s">
        <v>127</v>
      </c>
    </row>
    <row r="1494" spans="1:11" ht="12.75" customHeight="1" x14ac:dyDescent="0.2">
      <c r="A1494" s="1" t="s">
        <v>1863</v>
      </c>
      <c r="B1494" s="1" t="s">
        <v>1864</v>
      </c>
      <c r="C1494" s="2">
        <v>37</v>
      </c>
      <c r="D1494" s="2">
        <v>555</v>
      </c>
      <c r="E1494" s="2">
        <v>0</v>
      </c>
      <c r="F1494" s="2">
        <v>37</v>
      </c>
      <c r="G1494" s="2">
        <v>16.305399999999999</v>
      </c>
      <c r="H1494" s="3">
        <v>603.2998</v>
      </c>
      <c r="I1494" s="1" t="s">
        <v>330</v>
      </c>
      <c r="J1494" s="1" t="s">
        <v>331</v>
      </c>
      <c r="K1494" s="1" t="s">
        <v>332</v>
      </c>
    </row>
    <row r="1495" spans="1:11" ht="12.75" customHeight="1" x14ac:dyDescent="0.2">
      <c r="A1495" s="1" t="s">
        <v>1865</v>
      </c>
      <c r="B1495" s="1" t="s">
        <v>1866</v>
      </c>
      <c r="C1495" s="2">
        <v>12</v>
      </c>
      <c r="D1495" s="2">
        <v>204</v>
      </c>
      <c r="E1495" s="2">
        <v>0</v>
      </c>
      <c r="F1495" s="2">
        <v>12</v>
      </c>
      <c r="G1495" s="2">
        <v>18.479500000000002</v>
      </c>
      <c r="H1495" s="3">
        <v>221.75399999999999</v>
      </c>
      <c r="I1495" s="1" t="s">
        <v>330</v>
      </c>
      <c r="J1495" s="1" t="s">
        <v>331</v>
      </c>
      <c r="K1495" s="1" t="s">
        <v>332</v>
      </c>
    </row>
    <row r="1496" spans="1:11" ht="12.75" customHeight="1" x14ac:dyDescent="0.2">
      <c r="A1496" s="1" t="s">
        <v>1867</v>
      </c>
      <c r="B1496" s="1" t="s">
        <v>1868</v>
      </c>
      <c r="C1496" s="2">
        <v>1</v>
      </c>
      <c r="D1496" s="2">
        <v>5</v>
      </c>
      <c r="E1496" s="2">
        <v>0</v>
      </c>
      <c r="F1496" s="2">
        <v>0</v>
      </c>
      <c r="G1496" s="2">
        <v>6.76</v>
      </c>
      <c r="H1496" s="3">
        <v>6.76</v>
      </c>
      <c r="I1496" s="1" t="s">
        <v>24</v>
      </c>
      <c r="J1496" s="1" t="s">
        <v>25</v>
      </c>
      <c r="K1496" s="1" t="s">
        <v>26</v>
      </c>
    </row>
    <row r="1497" spans="1:11" ht="12.75" customHeight="1" x14ac:dyDescent="0.2">
      <c r="A1497" s="1" t="s">
        <v>1869</v>
      </c>
      <c r="B1497" s="1" t="s">
        <v>1870</v>
      </c>
      <c r="C1497" s="2">
        <v>2</v>
      </c>
      <c r="D1497" s="2">
        <v>12</v>
      </c>
      <c r="E1497" s="2">
        <v>0</v>
      </c>
      <c r="F1497" s="2">
        <v>0</v>
      </c>
      <c r="G1497" s="2">
        <v>8.1050000000000004</v>
      </c>
      <c r="H1497" s="3">
        <v>16.21</v>
      </c>
      <c r="I1497" s="1" t="s">
        <v>24</v>
      </c>
      <c r="J1497" s="1" t="s">
        <v>25</v>
      </c>
      <c r="K1497" s="1" t="s">
        <v>26</v>
      </c>
    </row>
    <row r="1498" spans="1:11" ht="12.75" customHeight="1" x14ac:dyDescent="0.2">
      <c r="A1498" s="1" t="s">
        <v>1871</v>
      </c>
      <c r="B1498" s="1" t="s">
        <v>1872</v>
      </c>
      <c r="C1498" s="2">
        <v>8</v>
      </c>
      <c r="D1498" s="2">
        <v>56</v>
      </c>
      <c r="E1498" s="2">
        <v>0</v>
      </c>
      <c r="F1498" s="2">
        <v>0</v>
      </c>
      <c r="G1498" s="2">
        <v>7.6092000000000004</v>
      </c>
      <c r="H1498" s="3">
        <v>60.873600000000003</v>
      </c>
      <c r="I1498" s="1" t="s">
        <v>24</v>
      </c>
      <c r="J1498" s="1" t="s">
        <v>25</v>
      </c>
      <c r="K1498" s="1" t="s">
        <v>26</v>
      </c>
    </row>
    <row r="1499" spans="1:11" ht="12.75" customHeight="1" x14ac:dyDescent="0.2">
      <c r="A1499" s="1" t="s">
        <v>1873</v>
      </c>
      <c r="B1499" s="1" t="s">
        <v>1874</v>
      </c>
      <c r="C1499" s="2">
        <v>7</v>
      </c>
      <c r="D1499" s="2">
        <v>56</v>
      </c>
      <c r="E1499" s="2">
        <v>0</v>
      </c>
      <c r="F1499" s="2">
        <v>0</v>
      </c>
      <c r="G1499" s="2">
        <v>8.6961999999999993</v>
      </c>
      <c r="H1499" s="3">
        <v>60.873399999999997</v>
      </c>
      <c r="I1499" s="1" t="s">
        <v>17</v>
      </c>
      <c r="J1499" s="1" t="s">
        <v>18</v>
      </c>
      <c r="K1499" s="1" t="s">
        <v>19</v>
      </c>
    </row>
    <row r="1500" spans="1:11" ht="12.75" customHeight="1" x14ac:dyDescent="0.2">
      <c r="A1500" s="1" t="s">
        <v>1873</v>
      </c>
      <c r="B1500" s="1" t="s">
        <v>1874</v>
      </c>
      <c r="C1500" s="2">
        <v>6</v>
      </c>
      <c r="D1500" s="2">
        <v>48</v>
      </c>
      <c r="E1500" s="2">
        <v>0</v>
      </c>
      <c r="F1500" s="2">
        <v>0</v>
      </c>
      <c r="G1500" s="2">
        <v>8.6961999999999993</v>
      </c>
      <c r="H1500" s="3">
        <v>52.177199999999999</v>
      </c>
      <c r="I1500" s="1" t="s">
        <v>24</v>
      </c>
      <c r="J1500" s="1" t="s">
        <v>25</v>
      </c>
      <c r="K1500" s="1" t="s">
        <v>26</v>
      </c>
    </row>
    <row r="1501" spans="1:11" ht="12.75" customHeight="1" x14ac:dyDescent="0.2">
      <c r="A1501" s="1" t="s">
        <v>1875</v>
      </c>
      <c r="B1501" s="1" t="s">
        <v>1876</v>
      </c>
      <c r="C1501" s="2">
        <v>9</v>
      </c>
      <c r="D1501" s="2">
        <v>81</v>
      </c>
      <c r="E1501" s="2">
        <v>0</v>
      </c>
      <c r="F1501" s="2">
        <v>0</v>
      </c>
      <c r="G1501" s="2">
        <v>9.7832000000000008</v>
      </c>
      <c r="H1501" s="3">
        <v>88.0488</v>
      </c>
      <c r="I1501" s="1" t="s">
        <v>17</v>
      </c>
      <c r="J1501" s="1" t="s">
        <v>18</v>
      </c>
      <c r="K1501" s="1" t="s">
        <v>19</v>
      </c>
    </row>
    <row r="1502" spans="1:11" ht="12.75" customHeight="1" x14ac:dyDescent="0.2">
      <c r="A1502" s="1" t="s">
        <v>1875</v>
      </c>
      <c r="B1502" s="1" t="s">
        <v>1876</v>
      </c>
      <c r="C1502" s="2">
        <v>3</v>
      </c>
      <c r="D1502" s="2">
        <v>27</v>
      </c>
      <c r="E1502" s="2">
        <v>0</v>
      </c>
      <c r="F1502" s="2">
        <v>0</v>
      </c>
      <c r="G1502" s="2">
        <v>9.7832000000000008</v>
      </c>
      <c r="H1502" s="3">
        <v>29.349599999999999</v>
      </c>
      <c r="I1502" s="1" t="s">
        <v>24</v>
      </c>
      <c r="J1502" s="1" t="s">
        <v>25</v>
      </c>
      <c r="K1502" s="1" t="s">
        <v>26</v>
      </c>
    </row>
    <row r="1503" spans="1:11" ht="12.75" customHeight="1" x14ac:dyDescent="0.2">
      <c r="A1503" s="1" t="s">
        <v>1875</v>
      </c>
      <c r="B1503" s="1" t="s">
        <v>1876</v>
      </c>
      <c r="C1503" s="2">
        <v>7</v>
      </c>
      <c r="D1503" s="2">
        <v>63</v>
      </c>
      <c r="E1503" s="2">
        <v>0</v>
      </c>
      <c r="F1503" s="2">
        <v>0</v>
      </c>
      <c r="G1503" s="2">
        <v>9.7832000000000008</v>
      </c>
      <c r="H1503" s="3">
        <v>68.482399999999998</v>
      </c>
      <c r="I1503" s="1" t="s">
        <v>125</v>
      </c>
      <c r="J1503" s="1" t="s">
        <v>126</v>
      </c>
      <c r="K1503" s="1" t="s">
        <v>127</v>
      </c>
    </row>
    <row r="1504" spans="1:11" ht="12.75" customHeight="1" x14ac:dyDescent="0.2">
      <c r="A1504" s="1" t="s">
        <v>1875</v>
      </c>
      <c r="B1504" s="1" t="s">
        <v>1876</v>
      </c>
      <c r="C1504" s="2">
        <v>17</v>
      </c>
      <c r="D1504" s="2">
        <v>153</v>
      </c>
      <c r="E1504" s="2">
        <v>0</v>
      </c>
      <c r="F1504" s="2">
        <v>17</v>
      </c>
      <c r="G1504" s="2">
        <v>9.7832000000000008</v>
      </c>
      <c r="H1504" s="3">
        <v>166.31440000000001</v>
      </c>
      <c r="I1504" s="1" t="s">
        <v>330</v>
      </c>
      <c r="J1504" s="1" t="s">
        <v>331</v>
      </c>
      <c r="K1504" s="1" t="s">
        <v>332</v>
      </c>
    </row>
    <row r="1505" spans="1:11" ht="12.75" customHeight="1" x14ac:dyDescent="0.2">
      <c r="A1505" s="1" t="s">
        <v>1877</v>
      </c>
      <c r="B1505" s="1" t="s">
        <v>1878</v>
      </c>
      <c r="C1505" s="2">
        <v>324</v>
      </c>
      <c r="D1505" s="2">
        <v>3564</v>
      </c>
      <c r="E1505" s="2">
        <v>0</v>
      </c>
      <c r="F1505" s="2">
        <v>0</v>
      </c>
      <c r="G1505" s="2">
        <v>7.0491999999999999</v>
      </c>
      <c r="H1505" s="3">
        <v>2283.9407999999999</v>
      </c>
      <c r="I1505" s="1" t="s">
        <v>17</v>
      </c>
      <c r="J1505" s="1" t="s">
        <v>18</v>
      </c>
      <c r="K1505" s="1" t="s">
        <v>19</v>
      </c>
    </row>
    <row r="1506" spans="1:11" ht="12.75" customHeight="1" x14ac:dyDescent="0.2">
      <c r="A1506" s="1" t="s">
        <v>1877</v>
      </c>
      <c r="B1506" s="1" t="s">
        <v>1878</v>
      </c>
      <c r="C1506" s="2">
        <v>770</v>
      </c>
      <c r="D1506" s="2">
        <v>8470</v>
      </c>
      <c r="E1506" s="2">
        <v>0</v>
      </c>
      <c r="F1506" s="2">
        <v>0</v>
      </c>
      <c r="G1506" s="2">
        <v>6.3875999999999999</v>
      </c>
      <c r="H1506" s="3">
        <v>4918.4520000000002</v>
      </c>
      <c r="I1506" s="1" t="s">
        <v>24</v>
      </c>
      <c r="J1506" s="1" t="s">
        <v>25</v>
      </c>
      <c r="K1506" s="1" t="s">
        <v>26</v>
      </c>
    </row>
    <row r="1507" spans="1:11" ht="12.75" customHeight="1" x14ac:dyDescent="0.2">
      <c r="A1507" s="1" t="s">
        <v>1879</v>
      </c>
      <c r="B1507" s="1" t="s">
        <v>1880</v>
      </c>
      <c r="C1507" s="2">
        <v>1674</v>
      </c>
      <c r="D1507" s="2">
        <v>20088</v>
      </c>
      <c r="E1507" s="2">
        <v>0</v>
      </c>
      <c r="F1507" s="2">
        <v>0</v>
      </c>
      <c r="G1507" s="2">
        <v>7.69</v>
      </c>
      <c r="H1507" s="3">
        <v>12873.06</v>
      </c>
      <c r="I1507" s="1" t="s">
        <v>17</v>
      </c>
      <c r="J1507" s="1" t="s">
        <v>18</v>
      </c>
      <c r="K1507" s="1" t="s">
        <v>19</v>
      </c>
    </row>
    <row r="1508" spans="1:11" ht="12.75" customHeight="1" x14ac:dyDescent="0.2">
      <c r="A1508" s="1" t="s">
        <v>1879</v>
      </c>
      <c r="B1508" s="1" t="s">
        <v>1880</v>
      </c>
      <c r="C1508" s="2">
        <v>1988</v>
      </c>
      <c r="D1508" s="2">
        <v>23856</v>
      </c>
      <c r="E1508" s="2">
        <v>0</v>
      </c>
      <c r="F1508" s="2">
        <v>0</v>
      </c>
      <c r="G1508" s="2">
        <v>7.2058</v>
      </c>
      <c r="H1508" s="3">
        <v>14325.1304</v>
      </c>
      <c r="I1508" s="1" t="s">
        <v>24</v>
      </c>
      <c r="J1508" s="1" t="s">
        <v>25</v>
      </c>
      <c r="K1508" s="1" t="s">
        <v>26</v>
      </c>
    </row>
    <row r="1509" spans="1:11" ht="12.75" customHeight="1" x14ac:dyDescent="0.2">
      <c r="A1509" s="1" t="s">
        <v>1881</v>
      </c>
      <c r="B1509" s="1" t="s">
        <v>1882</v>
      </c>
      <c r="C1509" s="2">
        <v>7469</v>
      </c>
      <c r="D1509" s="2">
        <v>97097</v>
      </c>
      <c r="E1509" s="2">
        <v>0</v>
      </c>
      <c r="F1509" s="2">
        <v>0</v>
      </c>
      <c r="G1509" s="2">
        <v>8.3308999999999997</v>
      </c>
      <c r="H1509" s="3">
        <v>62223.492100000003</v>
      </c>
      <c r="I1509" s="1" t="s">
        <v>17</v>
      </c>
      <c r="J1509" s="1" t="s">
        <v>18</v>
      </c>
      <c r="K1509" s="1" t="s">
        <v>19</v>
      </c>
    </row>
    <row r="1510" spans="1:11" ht="12.75" customHeight="1" x14ac:dyDescent="0.2">
      <c r="A1510" s="1" t="s">
        <v>1881</v>
      </c>
      <c r="B1510" s="1" t="s">
        <v>1882</v>
      </c>
      <c r="C1510" s="2">
        <v>3388</v>
      </c>
      <c r="D1510" s="2">
        <v>44044</v>
      </c>
      <c r="E1510" s="2">
        <v>0</v>
      </c>
      <c r="F1510" s="2">
        <v>0</v>
      </c>
      <c r="G1510" s="2">
        <v>7.8457999999999997</v>
      </c>
      <c r="H1510" s="3">
        <v>26581.570400000001</v>
      </c>
      <c r="I1510" s="1" t="s">
        <v>24</v>
      </c>
      <c r="J1510" s="1" t="s">
        <v>25</v>
      </c>
      <c r="K1510" s="1" t="s">
        <v>26</v>
      </c>
    </row>
    <row r="1511" spans="1:11" ht="12.75" customHeight="1" x14ac:dyDescent="0.2">
      <c r="A1511" s="1" t="s">
        <v>1881</v>
      </c>
      <c r="B1511" s="1" t="s">
        <v>1882</v>
      </c>
      <c r="C1511" s="2">
        <v>145</v>
      </c>
      <c r="D1511" s="2">
        <v>1885</v>
      </c>
      <c r="E1511" s="2">
        <v>0</v>
      </c>
      <c r="F1511" s="2">
        <v>0</v>
      </c>
      <c r="G1511" s="2">
        <v>8.3308999999999997</v>
      </c>
      <c r="H1511" s="3">
        <v>1207.9804999999999</v>
      </c>
      <c r="I1511" s="1" t="s">
        <v>125</v>
      </c>
      <c r="J1511" s="1" t="s">
        <v>126</v>
      </c>
      <c r="K1511" s="1" t="s">
        <v>127</v>
      </c>
    </row>
    <row r="1512" spans="1:11" ht="12.75" customHeight="1" x14ac:dyDescent="0.2">
      <c r="A1512" s="1" t="s">
        <v>1881</v>
      </c>
      <c r="B1512" s="1" t="s">
        <v>1882</v>
      </c>
      <c r="C1512" s="2">
        <v>550</v>
      </c>
      <c r="D1512" s="2">
        <v>7150</v>
      </c>
      <c r="E1512" s="2">
        <v>0</v>
      </c>
      <c r="F1512" s="2">
        <v>0</v>
      </c>
      <c r="G1512" s="2">
        <v>8.3308999999999997</v>
      </c>
      <c r="H1512" s="3">
        <v>4581.9949999999999</v>
      </c>
      <c r="I1512" s="1" t="s">
        <v>330</v>
      </c>
      <c r="J1512" s="1" t="s">
        <v>331</v>
      </c>
      <c r="K1512" s="1" t="s">
        <v>332</v>
      </c>
    </row>
    <row r="1513" spans="1:11" ht="12.75" customHeight="1" x14ac:dyDescent="0.2">
      <c r="A1513" s="1" t="s">
        <v>1883</v>
      </c>
      <c r="B1513" s="1" t="s">
        <v>1884</v>
      </c>
      <c r="C1513" s="2">
        <v>1252</v>
      </c>
      <c r="D1513" s="2">
        <v>17528</v>
      </c>
      <c r="E1513" s="2">
        <v>0</v>
      </c>
      <c r="F1513" s="2">
        <v>0</v>
      </c>
      <c r="G1513" s="2">
        <v>8.9717000000000002</v>
      </c>
      <c r="H1513" s="3">
        <v>11232.5684</v>
      </c>
      <c r="I1513" s="1" t="s">
        <v>17</v>
      </c>
      <c r="J1513" s="1" t="s">
        <v>18</v>
      </c>
      <c r="K1513" s="1" t="s">
        <v>19</v>
      </c>
    </row>
    <row r="1514" spans="1:11" ht="12.75" customHeight="1" x14ac:dyDescent="0.2">
      <c r="A1514" s="1" t="s">
        <v>1885</v>
      </c>
      <c r="B1514" s="1" t="s">
        <v>1886</v>
      </c>
      <c r="C1514" s="2">
        <v>1035</v>
      </c>
      <c r="D1514" s="2">
        <v>15525</v>
      </c>
      <c r="E1514" s="2">
        <v>0</v>
      </c>
      <c r="F1514" s="2">
        <v>0</v>
      </c>
      <c r="G1514" s="2">
        <v>9.6126000000000005</v>
      </c>
      <c r="H1514" s="3">
        <v>9949.0409999999993</v>
      </c>
      <c r="I1514" s="1" t="s">
        <v>17</v>
      </c>
      <c r="J1514" s="1" t="s">
        <v>18</v>
      </c>
      <c r="K1514" s="1" t="s">
        <v>19</v>
      </c>
    </row>
    <row r="1515" spans="1:11" ht="12.75" customHeight="1" x14ac:dyDescent="0.2">
      <c r="A1515" s="1" t="s">
        <v>1885</v>
      </c>
      <c r="B1515" s="1" t="s">
        <v>1886</v>
      </c>
      <c r="C1515" s="2">
        <v>28</v>
      </c>
      <c r="D1515" s="2">
        <v>420</v>
      </c>
      <c r="E1515" s="2">
        <v>0</v>
      </c>
      <c r="F1515" s="2">
        <v>12</v>
      </c>
      <c r="G1515" s="2">
        <v>9.6126000000000005</v>
      </c>
      <c r="H1515" s="3">
        <v>269.15280000000001</v>
      </c>
      <c r="I1515" s="1" t="s">
        <v>125</v>
      </c>
      <c r="J1515" s="1" t="s">
        <v>126</v>
      </c>
      <c r="K1515" s="1" t="s">
        <v>127</v>
      </c>
    </row>
    <row r="1516" spans="1:11" ht="12.75" customHeight="1" x14ac:dyDescent="0.2">
      <c r="A1516" s="1" t="s">
        <v>1887</v>
      </c>
      <c r="B1516" s="1" t="s">
        <v>1888</v>
      </c>
      <c r="C1516" s="2">
        <v>4</v>
      </c>
      <c r="D1516" s="2">
        <v>64</v>
      </c>
      <c r="E1516" s="2">
        <v>0</v>
      </c>
      <c r="F1516" s="2">
        <v>0</v>
      </c>
      <c r="G1516" s="2">
        <v>10.253399999999999</v>
      </c>
      <c r="H1516" s="3">
        <v>41.013599999999997</v>
      </c>
      <c r="I1516" s="1" t="s">
        <v>17</v>
      </c>
      <c r="J1516" s="1" t="s">
        <v>18</v>
      </c>
      <c r="K1516" s="1" t="s">
        <v>19</v>
      </c>
    </row>
    <row r="1517" spans="1:11" ht="12.75" customHeight="1" x14ac:dyDescent="0.2">
      <c r="A1517" s="1" t="s">
        <v>1889</v>
      </c>
      <c r="B1517" s="1" t="s">
        <v>1890</v>
      </c>
      <c r="C1517" s="2">
        <v>13</v>
      </c>
      <c r="D1517" s="2">
        <v>104</v>
      </c>
      <c r="E1517" s="2">
        <v>0</v>
      </c>
      <c r="F1517" s="2">
        <v>0</v>
      </c>
      <c r="G1517" s="2">
        <v>5.1266999999999996</v>
      </c>
      <c r="H1517" s="3">
        <v>66.647099999999995</v>
      </c>
      <c r="I1517" s="1" t="s">
        <v>17</v>
      </c>
      <c r="J1517" s="1" t="s">
        <v>18</v>
      </c>
      <c r="K1517" s="1" t="s">
        <v>19</v>
      </c>
    </row>
    <row r="1518" spans="1:11" ht="12.75" customHeight="1" x14ac:dyDescent="0.2">
      <c r="A1518" s="1" t="s">
        <v>1891</v>
      </c>
      <c r="B1518" s="1" t="s">
        <v>1892</v>
      </c>
      <c r="C1518" s="2">
        <v>2</v>
      </c>
      <c r="D1518" s="2">
        <v>18</v>
      </c>
      <c r="E1518" s="2">
        <v>0</v>
      </c>
      <c r="F1518" s="2">
        <v>0</v>
      </c>
      <c r="G1518" s="2">
        <v>5.7675000000000001</v>
      </c>
      <c r="H1518" s="3">
        <v>11.535</v>
      </c>
      <c r="I1518" s="1" t="s">
        <v>17</v>
      </c>
      <c r="J1518" s="1" t="s">
        <v>18</v>
      </c>
      <c r="K1518" s="1" t="s">
        <v>19</v>
      </c>
    </row>
    <row r="1519" spans="1:11" ht="12.75" customHeight="1" x14ac:dyDescent="0.2">
      <c r="A1519" s="1" t="s">
        <v>1891</v>
      </c>
      <c r="B1519" s="1" t="s">
        <v>1892</v>
      </c>
      <c r="C1519" s="2">
        <v>9</v>
      </c>
      <c r="D1519" s="2">
        <v>81</v>
      </c>
      <c r="E1519" s="2">
        <v>0</v>
      </c>
      <c r="F1519" s="2">
        <v>0</v>
      </c>
      <c r="G1519" s="2">
        <v>5.2262000000000004</v>
      </c>
      <c r="H1519" s="3">
        <v>47.035800000000002</v>
      </c>
      <c r="I1519" s="1" t="s">
        <v>24</v>
      </c>
      <c r="J1519" s="1" t="s">
        <v>25</v>
      </c>
      <c r="K1519" s="1" t="s">
        <v>26</v>
      </c>
    </row>
    <row r="1520" spans="1:11" ht="12.75" customHeight="1" x14ac:dyDescent="0.2">
      <c r="A1520" s="1" t="s">
        <v>1893</v>
      </c>
      <c r="B1520" s="1" t="s">
        <v>1894</v>
      </c>
      <c r="C1520" s="2">
        <v>210</v>
      </c>
      <c r="D1520" s="2">
        <v>2100</v>
      </c>
      <c r="E1520" s="2">
        <v>0</v>
      </c>
      <c r="F1520" s="2">
        <v>0</v>
      </c>
      <c r="G1520" s="2">
        <v>17.6448</v>
      </c>
      <c r="H1520" s="3">
        <v>3705.4079999999999</v>
      </c>
      <c r="I1520" s="1" t="s">
        <v>125</v>
      </c>
      <c r="J1520" s="1" t="s">
        <v>126</v>
      </c>
      <c r="K1520" s="1" t="s">
        <v>127</v>
      </c>
    </row>
    <row r="1521" spans="1:11" ht="12.75" customHeight="1" x14ac:dyDescent="0.2">
      <c r="A1521" s="1" t="s">
        <v>1893</v>
      </c>
      <c r="B1521" s="1" t="s">
        <v>1894</v>
      </c>
      <c r="C1521" s="2">
        <v>781</v>
      </c>
      <c r="D1521" s="2">
        <v>7810</v>
      </c>
      <c r="E1521" s="2">
        <v>0</v>
      </c>
      <c r="F1521" s="2">
        <v>1</v>
      </c>
      <c r="G1521" s="2">
        <v>17.6448</v>
      </c>
      <c r="H1521" s="3">
        <v>13780.5888</v>
      </c>
      <c r="I1521" s="1" t="s">
        <v>330</v>
      </c>
      <c r="J1521" s="1" t="s">
        <v>331</v>
      </c>
      <c r="K1521" s="1" t="s">
        <v>332</v>
      </c>
    </row>
    <row r="1522" spans="1:11" ht="12.75" customHeight="1" x14ac:dyDescent="0.2">
      <c r="A1522" s="1" t="s">
        <v>1895</v>
      </c>
      <c r="B1522" s="1" t="s">
        <v>1896</v>
      </c>
      <c r="C1522" s="2">
        <v>941</v>
      </c>
      <c r="D1522" s="2">
        <v>11292</v>
      </c>
      <c r="E1522" s="2">
        <v>0</v>
      </c>
      <c r="F1522" s="2">
        <v>0</v>
      </c>
      <c r="G1522" s="2">
        <v>21.1738</v>
      </c>
      <c r="H1522" s="3">
        <v>19924.5458</v>
      </c>
      <c r="I1522" s="1" t="s">
        <v>125</v>
      </c>
      <c r="J1522" s="1" t="s">
        <v>126</v>
      </c>
      <c r="K1522" s="1" t="s">
        <v>127</v>
      </c>
    </row>
    <row r="1523" spans="1:11" ht="12.75" customHeight="1" x14ac:dyDescent="0.2">
      <c r="A1523" s="1" t="s">
        <v>1895</v>
      </c>
      <c r="B1523" s="1" t="s">
        <v>1896</v>
      </c>
      <c r="C1523" s="2">
        <v>353</v>
      </c>
      <c r="D1523" s="2">
        <v>4236</v>
      </c>
      <c r="E1523" s="2">
        <v>0</v>
      </c>
      <c r="F1523" s="2">
        <v>3</v>
      </c>
      <c r="G1523" s="2">
        <v>21.1738</v>
      </c>
      <c r="H1523" s="3">
        <v>7474.3513999999996</v>
      </c>
      <c r="I1523" s="1" t="s">
        <v>330</v>
      </c>
      <c r="J1523" s="1" t="s">
        <v>331</v>
      </c>
      <c r="K1523" s="1" t="s">
        <v>332</v>
      </c>
    </row>
    <row r="1524" spans="1:11" ht="12.75" customHeight="1" x14ac:dyDescent="0.2">
      <c r="A1524" s="1" t="s">
        <v>1897</v>
      </c>
      <c r="B1524" s="1" t="s">
        <v>1898</v>
      </c>
      <c r="C1524" s="2">
        <v>420</v>
      </c>
      <c r="D1524" s="2">
        <v>2940</v>
      </c>
      <c r="E1524" s="2">
        <v>0</v>
      </c>
      <c r="F1524" s="2">
        <v>0</v>
      </c>
      <c r="G1524" s="2">
        <v>8.5155999999999992</v>
      </c>
      <c r="H1524" s="3">
        <v>3576.5520000000001</v>
      </c>
      <c r="I1524" s="1" t="s">
        <v>17</v>
      </c>
      <c r="J1524" s="1" t="s">
        <v>18</v>
      </c>
      <c r="K1524" s="1" t="s">
        <v>19</v>
      </c>
    </row>
    <row r="1525" spans="1:11" ht="12.75" customHeight="1" x14ac:dyDescent="0.2">
      <c r="A1525" s="1" t="s">
        <v>1897</v>
      </c>
      <c r="B1525" s="1" t="s">
        <v>1898</v>
      </c>
      <c r="C1525" s="2">
        <v>210</v>
      </c>
      <c r="D1525" s="2">
        <v>1470</v>
      </c>
      <c r="E1525" s="2">
        <v>0</v>
      </c>
      <c r="F1525" s="2">
        <v>0</v>
      </c>
      <c r="G1525" s="2">
        <v>8.5155999999999992</v>
      </c>
      <c r="H1525" s="3">
        <v>1788.2760000000001</v>
      </c>
      <c r="I1525" s="1" t="s">
        <v>330</v>
      </c>
      <c r="J1525" s="1" t="s">
        <v>331</v>
      </c>
      <c r="K1525" s="1" t="s">
        <v>332</v>
      </c>
    </row>
    <row r="1526" spans="1:11" ht="12.75" customHeight="1" x14ac:dyDescent="0.2">
      <c r="A1526" s="1" t="s">
        <v>1899</v>
      </c>
      <c r="B1526" s="1" t="s">
        <v>1900</v>
      </c>
      <c r="C1526" s="2">
        <v>112</v>
      </c>
      <c r="D1526" s="2">
        <v>896</v>
      </c>
      <c r="E1526" s="2">
        <v>0</v>
      </c>
      <c r="F1526" s="2">
        <v>0</v>
      </c>
      <c r="G1526" s="2">
        <v>14.1158</v>
      </c>
      <c r="H1526" s="3">
        <v>1580.9695999999999</v>
      </c>
      <c r="I1526" s="1" t="s">
        <v>17</v>
      </c>
      <c r="J1526" s="1" t="s">
        <v>18</v>
      </c>
      <c r="K1526" s="1" t="s">
        <v>19</v>
      </c>
    </row>
    <row r="1527" spans="1:11" ht="12.75" customHeight="1" x14ac:dyDescent="0.2">
      <c r="A1527" s="1" t="s">
        <v>1899</v>
      </c>
      <c r="B1527" s="1" t="s">
        <v>1900</v>
      </c>
      <c r="C1527" s="2">
        <v>405</v>
      </c>
      <c r="D1527" s="2">
        <v>3240</v>
      </c>
      <c r="E1527" s="2">
        <v>0</v>
      </c>
      <c r="F1527" s="2">
        <v>0</v>
      </c>
      <c r="G1527" s="2">
        <v>14.1158</v>
      </c>
      <c r="H1527" s="3">
        <v>5716.8990000000003</v>
      </c>
      <c r="I1527" s="1" t="s">
        <v>330</v>
      </c>
      <c r="J1527" s="1" t="s">
        <v>331</v>
      </c>
      <c r="K1527" s="1" t="s">
        <v>332</v>
      </c>
    </row>
    <row r="1528" spans="1:11" ht="12.75" customHeight="1" x14ac:dyDescent="0.2">
      <c r="A1528" s="1" t="s">
        <v>1901</v>
      </c>
      <c r="B1528" s="1" t="s">
        <v>1902</v>
      </c>
      <c r="C1528" s="2">
        <v>105</v>
      </c>
      <c r="D1528" s="2">
        <v>945</v>
      </c>
      <c r="E1528" s="2">
        <v>0</v>
      </c>
      <c r="F1528" s="2">
        <v>0</v>
      </c>
      <c r="G1528" s="2">
        <v>15.8803</v>
      </c>
      <c r="H1528" s="3">
        <v>1667.4314999999999</v>
      </c>
      <c r="I1528" s="1" t="s">
        <v>17</v>
      </c>
      <c r="J1528" s="1" t="s">
        <v>18</v>
      </c>
      <c r="K1528" s="1" t="s">
        <v>19</v>
      </c>
    </row>
    <row r="1529" spans="1:11" ht="12.75" customHeight="1" x14ac:dyDescent="0.2">
      <c r="A1529" s="1" t="s">
        <v>1904</v>
      </c>
      <c r="B1529" s="1" t="s">
        <v>1090</v>
      </c>
      <c r="C1529" s="2">
        <v>1</v>
      </c>
      <c r="D1529" s="2">
        <v>0</v>
      </c>
      <c r="E1529" s="2">
        <v>0</v>
      </c>
      <c r="F1529" s="2">
        <v>0</v>
      </c>
      <c r="G1529" s="2">
        <v>0.01</v>
      </c>
      <c r="H1529" s="3">
        <v>0.01</v>
      </c>
      <c r="I1529" s="1" t="s">
        <v>12</v>
      </c>
      <c r="J1529" s="1" t="s">
        <v>13</v>
      </c>
      <c r="K1529" s="1" t="s">
        <v>14</v>
      </c>
    </row>
    <row r="1530" spans="1:11" ht="12.75" customHeight="1" x14ac:dyDescent="0.2">
      <c r="A1530" s="1" t="s">
        <v>1905</v>
      </c>
      <c r="B1530" s="1" t="s">
        <v>1906</v>
      </c>
      <c r="C1530" s="2">
        <v>5</v>
      </c>
      <c r="D1530" s="2">
        <v>0</v>
      </c>
      <c r="E1530" s="2">
        <v>0</v>
      </c>
      <c r="F1530" s="2">
        <v>0</v>
      </c>
      <c r="G1530" s="2">
        <v>430.84</v>
      </c>
      <c r="H1530" s="3">
        <v>2154.1999999999998</v>
      </c>
      <c r="I1530" s="1" t="s">
        <v>17</v>
      </c>
      <c r="J1530" s="1" t="s">
        <v>18</v>
      </c>
      <c r="K1530" s="1" t="s">
        <v>19</v>
      </c>
    </row>
    <row r="1531" spans="1:11" ht="12.75" customHeight="1" x14ac:dyDescent="0.2">
      <c r="A1531" s="1" t="s">
        <v>1907</v>
      </c>
      <c r="B1531" s="1" t="s">
        <v>1908</v>
      </c>
      <c r="C1531" s="2">
        <v>117</v>
      </c>
      <c r="D1531" s="2">
        <v>2223</v>
      </c>
      <c r="E1531" s="2">
        <v>0</v>
      </c>
      <c r="F1531" s="2">
        <v>42</v>
      </c>
      <c r="G1531" s="2">
        <v>64.087100000000007</v>
      </c>
      <c r="H1531" s="3">
        <v>7498.1907000000001</v>
      </c>
      <c r="I1531" s="1" t="s">
        <v>17</v>
      </c>
      <c r="J1531" s="1" t="s">
        <v>18</v>
      </c>
      <c r="K1531" s="1" t="s">
        <v>19</v>
      </c>
    </row>
    <row r="1532" spans="1:11" ht="12.75" customHeight="1" x14ac:dyDescent="0.2">
      <c r="A1532" s="1" t="s">
        <v>1907</v>
      </c>
      <c r="B1532" s="1" t="s">
        <v>1908</v>
      </c>
      <c r="C1532" s="2">
        <v>30</v>
      </c>
      <c r="D1532" s="2">
        <v>570</v>
      </c>
      <c r="E1532" s="2">
        <v>0</v>
      </c>
      <c r="F1532" s="2">
        <v>0</v>
      </c>
      <c r="G1532" s="2">
        <v>68.676000000000002</v>
      </c>
      <c r="H1532" s="3">
        <v>2060.2800000000002</v>
      </c>
      <c r="I1532" s="1" t="s">
        <v>6145</v>
      </c>
      <c r="J1532" s="1" t="s">
        <v>6146</v>
      </c>
      <c r="K1532" s="1" t="s">
        <v>6147</v>
      </c>
    </row>
    <row r="1533" spans="1:11" ht="12.75" customHeight="1" x14ac:dyDescent="0.2">
      <c r="A1533" s="1" t="s">
        <v>1909</v>
      </c>
      <c r="B1533" s="1" t="s">
        <v>1910</v>
      </c>
      <c r="C1533" s="2">
        <v>28</v>
      </c>
      <c r="D1533" s="2">
        <v>392</v>
      </c>
      <c r="E1533" s="2">
        <v>0</v>
      </c>
      <c r="F1533" s="2">
        <v>0</v>
      </c>
      <c r="G1533" s="2">
        <v>147.09190000000001</v>
      </c>
      <c r="H1533" s="3">
        <v>4118.5731999999998</v>
      </c>
      <c r="I1533" s="1" t="s">
        <v>17</v>
      </c>
      <c r="J1533" s="1" t="s">
        <v>18</v>
      </c>
      <c r="K1533" s="1" t="s">
        <v>19</v>
      </c>
    </row>
    <row r="1534" spans="1:11" ht="12.75" customHeight="1" x14ac:dyDescent="0.2">
      <c r="A1534" s="1" t="s">
        <v>1911</v>
      </c>
      <c r="B1534" s="1" t="s">
        <v>1912</v>
      </c>
      <c r="C1534" s="2">
        <v>1</v>
      </c>
      <c r="D1534" s="2">
        <v>10</v>
      </c>
      <c r="E1534" s="2">
        <v>0</v>
      </c>
      <c r="F1534" s="2">
        <v>0</v>
      </c>
      <c r="G1534" s="2">
        <v>80.490200000000002</v>
      </c>
      <c r="H1534" s="3">
        <v>80.490200000000002</v>
      </c>
      <c r="I1534" s="1" t="s">
        <v>17</v>
      </c>
      <c r="J1534" s="1" t="s">
        <v>18</v>
      </c>
      <c r="K1534" s="1" t="s">
        <v>19</v>
      </c>
    </row>
    <row r="1535" spans="1:11" ht="12.75" customHeight="1" x14ac:dyDescent="0.2">
      <c r="A1535" s="1" t="s">
        <v>1913</v>
      </c>
      <c r="B1535" s="1" t="s">
        <v>1914</v>
      </c>
      <c r="C1535" s="2">
        <v>1</v>
      </c>
      <c r="D1535" s="2">
        <v>18</v>
      </c>
      <c r="E1535" s="2">
        <v>0</v>
      </c>
      <c r="F1535" s="2">
        <v>0</v>
      </c>
      <c r="G1535" s="2">
        <v>144.88249999999999</v>
      </c>
      <c r="H1535" s="3">
        <v>144.88249999999999</v>
      </c>
      <c r="I1535" s="1" t="s">
        <v>17</v>
      </c>
      <c r="J1535" s="1" t="s">
        <v>18</v>
      </c>
      <c r="K1535" s="1" t="s">
        <v>19</v>
      </c>
    </row>
    <row r="1536" spans="1:11" ht="12.75" customHeight="1" x14ac:dyDescent="0.2">
      <c r="A1536" s="1" t="s">
        <v>1915</v>
      </c>
      <c r="B1536" s="1" t="s">
        <v>1916</v>
      </c>
      <c r="C1536" s="2">
        <v>34</v>
      </c>
      <c r="D1536" s="2">
        <v>680</v>
      </c>
      <c r="E1536" s="2">
        <v>0</v>
      </c>
      <c r="F1536" s="2">
        <v>0</v>
      </c>
      <c r="G1536" s="2">
        <v>77.083200000000005</v>
      </c>
      <c r="H1536" s="3">
        <v>2620.8287999999998</v>
      </c>
      <c r="I1536" s="1" t="s">
        <v>17</v>
      </c>
      <c r="J1536" s="1" t="s">
        <v>18</v>
      </c>
      <c r="K1536" s="1" t="s">
        <v>19</v>
      </c>
    </row>
    <row r="1537" spans="1:11" ht="12.75" customHeight="1" x14ac:dyDescent="0.2">
      <c r="A1537" s="1" t="s">
        <v>1917</v>
      </c>
      <c r="B1537" s="1" t="s">
        <v>1918</v>
      </c>
      <c r="C1537" s="2">
        <v>3</v>
      </c>
      <c r="D1537" s="2">
        <v>12</v>
      </c>
      <c r="E1537" s="2">
        <v>0</v>
      </c>
      <c r="F1537" s="2">
        <v>0</v>
      </c>
      <c r="G1537" s="2">
        <v>0.85450000000000004</v>
      </c>
      <c r="H1537" s="3">
        <v>2.5634999999999999</v>
      </c>
      <c r="I1537" s="1" t="s">
        <v>17</v>
      </c>
      <c r="J1537" s="1" t="s">
        <v>18</v>
      </c>
      <c r="K1537" s="1" t="s">
        <v>19</v>
      </c>
    </row>
    <row r="1538" spans="1:11" ht="12.75" customHeight="1" x14ac:dyDescent="0.2">
      <c r="A1538" s="1" t="s">
        <v>1919</v>
      </c>
      <c r="B1538" s="1" t="s">
        <v>1920</v>
      </c>
      <c r="C1538" s="2">
        <v>2</v>
      </c>
      <c r="D1538" s="2">
        <v>10</v>
      </c>
      <c r="E1538" s="2">
        <v>0</v>
      </c>
      <c r="F1538" s="2">
        <v>0</v>
      </c>
      <c r="G1538" s="2">
        <v>1.0681</v>
      </c>
      <c r="H1538" s="3">
        <v>2.1362000000000001</v>
      </c>
      <c r="I1538" s="1" t="s">
        <v>17</v>
      </c>
      <c r="J1538" s="1" t="s">
        <v>18</v>
      </c>
      <c r="K1538" s="1" t="s">
        <v>19</v>
      </c>
    </row>
    <row r="1539" spans="1:11" ht="12.75" customHeight="1" x14ac:dyDescent="0.2">
      <c r="A1539" s="1" t="s">
        <v>1921</v>
      </c>
      <c r="B1539" s="1" t="s">
        <v>1922</v>
      </c>
      <c r="C1539" s="2">
        <v>5</v>
      </c>
      <c r="D1539" s="2">
        <v>30</v>
      </c>
      <c r="E1539" s="2">
        <v>0</v>
      </c>
      <c r="F1539" s="2">
        <v>0</v>
      </c>
      <c r="G1539" s="2">
        <v>1.2818000000000001</v>
      </c>
      <c r="H1539" s="3">
        <v>6.4089999999999998</v>
      </c>
      <c r="I1539" s="1" t="s">
        <v>17</v>
      </c>
      <c r="J1539" s="1" t="s">
        <v>18</v>
      </c>
      <c r="K1539" s="1" t="s">
        <v>19</v>
      </c>
    </row>
    <row r="1540" spans="1:11" ht="12.75" customHeight="1" x14ac:dyDescent="0.2">
      <c r="A1540" s="1" t="s">
        <v>1923</v>
      </c>
      <c r="B1540" s="1" t="s">
        <v>1924</v>
      </c>
      <c r="C1540" s="2">
        <v>2</v>
      </c>
      <c r="D1540" s="2">
        <v>14</v>
      </c>
      <c r="E1540" s="2">
        <v>0</v>
      </c>
      <c r="F1540" s="2">
        <v>0</v>
      </c>
      <c r="G1540" s="2">
        <v>1.4954000000000001</v>
      </c>
      <c r="H1540" s="3">
        <v>2.9908000000000001</v>
      </c>
      <c r="I1540" s="1" t="s">
        <v>17</v>
      </c>
      <c r="J1540" s="1" t="s">
        <v>18</v>
      </c>
      <c r="K1540" s="1" t="s">
        <v>19</v>
      </c>
    </row>
    <row r="1541" spans="1:11" ht="12.75" customHeight="1" x14ac:dyDescent="0.2">
      <c r="A1541" s="1" t="s">
        <v>1925</v>
      </c>
      <c r="B1541" s="1" t="s">
        <v>1926</v>
      </c>
      <c r="C1541" s="2">
        <v>22</v>
      </c>
      <c r="D1541" s="2">
        <v>440</v>
      </c>
      <c r="E1541" s="2">
        <v>0</v>
      </c>
      <c r="F1541" s="2">
        <v>0</v>
      </c>
      <c r="G1541" s="2">
        <v>81.598500000000001</v>
      </c>
      <c r="H1541" s="3">
        <v>1795.1669999999999</v>
      </c>
      <c r="I1541" s="1" t="s">
        <v>17</v>
      </c>
      <c r="J1541" s="1" t="s">
        <v>18</v>
      </c>
      <c r="K1541" s="1" t="s">
        <v>19</v>
      </c>
    </row>
    <row r="1542" spans="1:11" ht="12.75" customHeight="1" x14ac:dyDescent="0.2">
      <c r="A1542" s="1" t="s">
        <v>1927</v>
      </c>
      <c r="B1542" s="1" t="s">
        <v>1928</v>
      </c>
      <c r="C1542" s="2">
        <v>160</v>
      </c>
      <c r="D1542" s="2">
        <v>0</v>
      </c>
      <c r="E1542" s="2">
        <v>0</v>
      </c>
      <c r="F1542" s="2">
        <v>0</v>
      </c>
      <c r="G1542" s="2">
        <v>40.449399999999997</v>
      </c>
      <c r="H1542" s="3">
        <v>6471.9040000000005</v>
      </c>
      <c r="I1542" s="1" t="s">
        <v>24</v>
      </c>
      <c r="J1542" s="1" t="s">
        <v>25</v>
      </c>
      <c r="K1542" s="1" t="s">
        <v>26</v>
      </c>
    </row>
    <row r="1543" spans="1:11" ht="12.75" customHeight="1" x14ac:dyDescent="0.2">
      <c r="A1543" s="1" t="s">
        <v>1929</v>
      </c>
      <c r="B1543" s="1" t="s">
        <v>1930</v>
      </c>
      <c r="C1543" s="2">
        <v>228</v>
      </c>
      <c r="D1543" s="2">
        <v>0</v>
      </c>
      <c r="E1543" s="2">
        <v>0</v>
      </c>
      <c r="F1543" s="2">
        <v>0</v>
      </c>
      <c r="G1543" s="2">
        <v>46.227899999999998</v>
      </c>
      <c r="H1543" s="3">
        <v>10539.9612</v>
      </c>
      <c r="I1543" s="1" t="s">
        <v>24</v>
      </c>
      <c r="J1543" s="1" t="s">
        <v>25</v>
      </c>
      <c r="K1543" s="1" t="s">
        <v>26</v>
      </c>
    </row>
    <row r="1544" spans="1:11" ht="12.75" customHeight="1" x14ac:dyDescent="0.2">
      <c r="A1544" s="1" t="s">
        <v>1931</v>
      </c>
      <c r="B1544" s="1" t="s">
        <v>1932</v>
      </c>
      <c r="C1544" s="2">
        <v>28</v>
      </c>
      <c r="D1544" s="2">
        <v>616</v>
      </c>
      <c r="E1544" s="2">
        <v>0</v>
      </c>
      <c r="F1544" s="2">
        <v>17</v>
      </c>
      <c r="G1544" s="2">
        <v>209.875</v>
      </c>
      <c r="H1544" s="3">
        <v>5876.5</v>
      </c>
      <c r="I1544" s="1" t="s">
        <v>17</v>
      </c>
      <c r="J1544" s="1" t="s">
        <v>18</v>
      </c>
      <c r="K1544" s="1" t="s">
        <v>19</v>
      </c>
    </row>
    <row r="1545" spans="1:11" ht="12.75" customHeight="1" x14ac:dyDescent="0.2">
      <c r="A1545" s="1" t="s">
        <v>1933</v>
      </c>
      <c r="B1545" s="1" t="s">
        <v>1934</v>
      </c>
      <c r="C1545" s="2">
        <v>24</v>
      </c>
      <c r="D1545" s="2">
        <v>576</v>
      </c>
      <c r="E1545" s="2">
        <v>0</v>
      </c>
      <c r="F1545" s="2">
        <v>0</v>
      </c>
      <c r="G1545" s="2">
        <v>228.9777</v>
      </c>
      <c r="H1545" s="3">
        <v>5495.4647999999997</v>
      </c>
      <c r="I1545" s="1" t="s">
        <v>24</v>
      </c>
      <c r="J1545" s="1" t="s">
        <v>25</v>
      </c>
      <c r="K1545" s="1" t="s">
        <v>26</v>
      </c>
    </row>
    <row r="1546" spans="1:11" ht="12.75" customHeight="1" x14ac:dyDescent="0.2">
      <c r="A1546" s="1" t="s">
        <v>1933</v>
      </c>
      <c r="B1546" s="1" t="s">
        <v>1934</v>
      </c>
      <c r="C1546" s="2">
        <v>27</v>
      </c>
      <c r="D1546" s="2">
        <v>648</v>
      </c>
      <c r="E1546" s="2">
        <v>0</v>
      </c>
      <c r="F1546" s="2">
        <v>0</v>
      </c>
      <c r="G1546" s="2">
        <v>228.9777</v>
      </c>
      <c r="H1546" s="3">
        <v>6182.3978999999999</v>
      </c>
      <c r="I1546" s="1" t="s">
        <v>330</v>
      </c>
      <c r="J1546" s="1" t="s">
        <v>331</v>
      </c>
      <c r="K1546" s="1" t="s">
        <v>332</v>
      </c>
    </row>
    <row r="1547" spans="1:11" ht="12.75" customHeight="1" x14ac:dyDescent="0.2">
      <c r="A1547" s="1" t="s">
        <v>1935</v>
      </c>
      <c r="B1547" s="1" t="s">
        <v>1936</v>
      </c>
      <c r="C1547" s="2">
        <v>70</v>
      </c>
      <c r="D1547" s="2">
        <v>210</v>
      </c>
      <c r="E1547" s="2">
        <v>0</v>
      </c>
      <c r="F1547" s="2">
        <v>0</v>
      </c>
      <c r="G1547" s="2">
        <v>132.66079999999999</v>
      </c>
      <c r="H1547" s="3">
        <v>9286.2559999999994</v>
      </c>
      <c r="I1547" s="1" t="s">
        <v>24</v>
      </c>
      <c r="J1547" s="1" t="s">
        <v>25</v>
      </c>
      <c r="K1547" s="1" t="s">
        <v>26</v>
      </c>
    </row>
    <row r="1548" spans="1:11" ht="12.75" customHeight="1" x14ac:dyDescent="0.2">
      <c r="A1548" s="1" t="s">
        <v>1937</v>
      </c>
      <c r="B1548" s="1" t="s">
        <v>1938</v>
      </c>
      <c r="C1548" s="2">
        <v>5</v>
      </c>
      <c r="D1548" s="2">
        <v>15</v>
      </c>
      <c r="E1548" s="2">
        <v>0</v>
      </c>
      <c r="F1548" s="2">
        <v>0</v>
      </c>
      <c r="G1548" s="2">
        <v>21.701699999999999</v>
      </c>
      <c r="H1548" s="3">
        <v>108.5085</v>
      </c>
      <c r="I1548" s="1" t="s">
        <v>24</v>
      </c>
      <c r="J1548" s="1" t="s">
        <v>25</v>
      </c>
      <c r="K1548" s="1" t="s">
        <v>26</v>
      </c>
    </row>
    <row r="1549" spans="1:11" ht="12.75" customHeight="1" x14ac:dyDescent="0.2">
      <c r="A1549" s="1" t="s">
        <v>1937</v>
      </c>
      <c r="B1549" s="1" t="s">
        <v>1938</v>
      </c>
      <c r="C1549" s="2">
        <v>36</v>
      </c>
      <c r="D1549" s="2">
        <v>108</v>
      </c>
      <c r="E1549" s="2">
        <v>0</v>
      </c>
      <c r="F1549" s="2">
        <v>0</v>
      </c>
      <c r="G1549" s="2">
        <v>21.701699999999999</v>
      </c>
      <c r="H1549" s="3">
        <v>781.26120000000003</v>
      </c>
      <c r="I1549" s="1" t="s">
        <v>330</v>
      </c>
      <c r="J1549" s="1" t="s">
        <v>331</v>
      </c>
      <c r="K1549" s="1" t="s">
        <v>332</v>
      </c>
    </row>
    <row r="1550" spans="1:11" ht="12.75" customHeight="1" x14ac:dyDescent="0.2">
      <c r="A1550" s="1" t="s">
        <v>1939</v>
      </c>
      <c r="B1550" s="1" t="s">
        <v>1940</v>
      </c>
      <c r="C1550" s="2">
        <v>3</v>
      </c>
      <c r="D1550" s="2">
        <v>6</v>
      </c>
      <c r="E1550" s="2">
        <v>0</v>
      </c>
      <c r="F1550" s="2">
        <v>0</v>
      </c>
      <c r="G1550" s="2">
        <v>26.4377</v>
      </c>
      <c r="H1550" s="3">
        <v>79.313100000000006</v>
      </c>
      <c r="I1550" s="1" t="s">
        <v>17</v>
      </c>
      <c r="J1550" s="1" t="s">
        <v>18</v>
      </c>
      <c r="K1550" s="1" t="s">
        <v>19</v>
      </c>
    </row>
    <row r="1551" spans="1:11" ht="12.75" customHeight="1" x14ac:dyDescent="0.2">
      <c r="A1551" s="1" t="s">
        <v>1941</v>
      </c>
      <c r="B1551" s="1" t="s">
        <v>1942</v>
      </c>
      <c r="C1551" s="2">
        <v>6</v>
      </c>
      <c r="D1551" s="2">
        <v>24</v>
      </c>
      <c r="E1551" s="2">
        <v>0</v>
      </c>
      <c r="F1551" s="2">
        <v>0</v>
      </c>
      <c r="G1551" s="2">
        <v>52.300699999999999</v>
      </c>
      <c r="H1551" s="3">
        <v>313.80419999999998</v>
      </c>
      <c r="I1551" s="1" t="s">
        <v>17</v>
      </c>
      <c r="J1551" s="1" t="s">
        <v>18</v>
      </c>
      <c r="K1551" s="1" t="s">
        <v>19</v>
      </c>
    </row>
    <row r="1552" spans="1:11" ht="12.75" customHeight="1" x14ac:dyDescent="0.2">
      <c r="A1552" s="1" t="s">
        <v>1943</v>
      </c>
      <c r="B1552" s="1" t="s">
        <v>1944</v>
      </c>
      <c r="C1552" s="2">
        <v>6</v>
      </c>
      <c r="D1552" s="2">
        <v>30</v>
      </c>
      <c r="E1552" s="2">
        <v>0</v>
      </c>
      <c r="F1552" s="2">
        <v>0</v>
      </c>
      <c r="G1552" s="2">
        <v>65.519599999999997</v>
      </c>
      <c r="H1552" s="3">
        <v>393.11759999999998</v>
      </c>
      <c r="I1552" s="1" t="s">
        <v>17</v>
      </c>
      <c r="J1552" s="1" t="s">
        <v>18</v>
      </c>
      <c r="K1552" s="1" t="s">
        <v>19</v>
      </c>
    </row>
    <row r="1553" spans="1:11" ht="12.75" customHeight="1" x14ac:dyDescent="0.2">
      <c r="A1553" s="1" t="s">
        <v>1945</v>
      </c>
      <c r="B1553" s="1" t="s">
        <v>1946</v>
      </c>
      <c r="C1553" s="2">
        <v>13</v>
      </c>
      <c r="D1553" s="2">
        <v>78</v>
      </c>
      <c r="E1553" s="2">
        <v>0</v>
      </c>
      <c r="F1553" s="2">
        <v>0</v>
      </c>
      <c r="G1553" s="2">
        <v>78.252099999999999</v>
      </c>
      <c r="H1553" s="3">
        <v>1017.2773</v>
      </c>
      <c r="I1553" s="1" t="s">
        <v>17</v>
      </c>
      <c r="J1553" s="1" t="s">
        <v>18</v>
      </c>
      <c r="K1553" s="1" t="s">
        <v>19</v>
      </c>
    </row>
    <row r="1554" spans="1:11" ht="12.75" customHeight="1" x14ac:dyDescent="0.2">
      <c r="A1554" s="1" t="s">
        <v>1947</v>
      </c>
      <c r="B1554" s="1" t="s">
        <v>1948</v>
      </c>
      <c r="C1554" s="2">
        <v>10</v>
      </c>
      <c r="D1554" s="2">
        <v>100</v>
      </c>
      <c r="E1554" s="2">
        <v>0</v>
      </c>
      <c r="F1554" s="2">
        <v>0</v>
      </c>
      <c r="G1554" s="2">
        <v>153.79859999999999</v>
      </c>
      <c r="H1554" s="3">
        <v>1537.9860000000001</v>
      </c>
      <c r="I1554" s="1" t="s">
        <v>17</v>
      </c>
      <c r="J1554" s="1" t="s">
        <v>18</v>
      </c>
      <c r="K1554" s="1" t="s">
        <v>19</v>
      </c>
    </row>
    <row r="1555" spans="1:11" ht="12.75" customHeight="1" x14ac:dyDescent="0.2">
      <c r="A1555" s="1" t="s">
        <v>1949</v>
      </c>
      <c r="B1555" s="1" t="s">
        <v>1950</v>
      </c>
      <c r="C1555" s="2">
        <v>7</v>
      </c>
      <c r="D1555" s="2">
        <v>154</v>
      </c>
      <c r="E1555" s="2">
        <v>0</v>
      </c>
      <c r="F1555" s="2">
        <v>0</v>
      </c>
      <c r="G1555" s="2">
        <v>923.18589999999995</v>
      </c>
      <c r="H1555" s="3">
        <v>6462.3013000000001</v>
      </c>
      <c r="I1555" s="1" t="s">
        <v>17</v>
      </c>
      <c r="J1555" s="1" t="s">
        <v>18</v>
      </c>
      <c r="K1555" s="1" t="s">
        <v>19</v>
      </c>
    </row>
    <row r="1556" spans="1:11" ht="12.75" customHeight="1" x14ac:dyDescent="0.2">
      <c r="A1556" s="1" t="s">
        <v>1951</v>
      </c>
      <c r="B1556" s="1" t="s">
        <v>1952</v>
      </c>
      <c r="C1556" s="2">
        <v>8</v>
      </c>
      <c r="D1556" s="2">
        <v>112</v>
      </c>
      <c r="E1556" s="2">
        <v>0</v>
      </c>
      <c r="F1556" s="2">
        <v>0</v>
      </c>
      <c r="G1556" s="2">
        <v>324.5806</v>
      </c>
      <c r="H1556" s="3">
        <v>2596.6448</v>
      </c>
      <c r="I1556" s="1" t="s">
        <v>17</v>
      </c>
      <c r="J1556" s="1" t="s">
        <v>18</v>
      </c>
      <c r="K1556" s="1" t="s">
        <v>19</v>
      </c>
    </row>
    <row r="1557" spans="1:11" ht="12.75" customHeight="1" x14ac:dyDescent="0.2">
      <c r="A1557" s="1" t="s">
        <v>1953</v>
      </c>
      <c r="B1557" s="1" t="s">
        <v>1954</v>
      </c>
      <c r="C1557" s="2">
        <v>30</v>
      </c>
      <c r="D1557" s="2">
        <v>540</v>
      </c>
      <c r="E1557" s="2">
        <v>0</v>
      </c>
      <c r="F1557" s="2">
        <v>0</v>
      </c>
      <c r="G1557" s="2">
        <v>641.63220000000001</v>
      </c>
      <c r="H1557" s="3">
        <v>19248.966</v>
      </c>
      <c r="I1557" s="1" t="s">
        <v>17</v>
      </c>
      <c r="J1557" s="1" t="s">
        <v>18</v>
      </c>
      <c r="K1557" s="1" t="s">
        <v>19</v>
      </c>
    </row>
    <row r="1558" spans="1:11" ht="12.75" customHeight="1" x14ac:dyDescent="0.2">
      <c r="A1558" s="1" t="s">
        <v>1955</v>
      </c>
      <c r="B1558" s="1" t="s">
        <v>1956</v>
      </c>
      <c r="C1558" s="2">
        <v>22</v>
      </c>
      <c r="D1558" s="2">
        <v>484</v>
      </c>
      <c r="E1558" s="2">
        <v>0</v>
      </c>
      <c r="F1558" s="2">
        <v>0</v>
      </c>
      <c r="G1558" s="2">
        <v>784.19749999999999</v>
      </c>
      <c r="H1558" s="3">
        <v>17252.345000000001</v>
      </c>
      <c r="I1558" s="1" t="s">
        <v>17</v>
      </c>
      <c r="J1558" s="1" t="s">
        <v>18</v>
      </c>
      <c r="K1558" s="1" t="s">
        <v>19</v>
      </c>
    </row>
    <row r="1559" spans="1:11" ht="12.75" customHeight="1" x14ac:dyDescent="0.2">
      <c r="A1559" s="1" t="s">
        <v>1957</v>
      </c>
      <c r="B1559" s="1" t="s">
        <v>964</v>
      </c>
      <c r="C1559" s="2">
        <v>9095</v>
      </c>
      <c r="D1559" s="2">
        <v>0</v>
      </c>
      <c r="E1559" s="2">
        <v>0</v>
      </c>
      <c r="F1559" s="2">
        <v>1640</v>
      </c>
      <c r="G1559" s="2">
        <v>15.5825</v>
      </c>
      <c r="H1559" s="3">
        <v>141722.83749999999</v>
      </c>
      <c r="I1559" s="1" t="s">
        <v>17</v>
      </c>
      <c r="J1559" s="1" t="s">
        <v>18</v>
      </c>
      <c r="K1559" s="1" t="s">
        <v>19</v>
      </c>
    </row>
    <row r="1560" spans="1:11" ht="12.75" customHeight="1" x14ac:dyDescent="0.2">
      <c r="A1560" s="1" t="s">
        <v>1957</v>
      </c>
      <c r="B1560" s="1" t="s">
        <v>964</v>
      </c>
      <c r="C1560" s="2">
        <v>3668</v>
      </c>
      <c r="D1560" s="2">
        <v>0</v>
      </c>
      <c r="E1560" s="2">
        <v>0</v>
      </c>
      <c r="F1560" s="2">
        <v>0</v>
      </c>
      <c r="G1560" s="2">
        <v>14.696199999999999</v>
      </c>
      <c r="H1560" s="3">
        <v>53905.661599999999</v>
      </c>
      <c r="I1560" s="1" t="s">
        <v>24</v>
      </c>
      <c r="J1560" s="1" t="s">
        <v>25</v>
      </c>
      <c r="K1560" s="1" t="s">
        <v>26</v>
      </c>
    </row>
    <row r="1561" spans="1:11" ht="12.75" customHeight="1" x14ac:dyDescent="0.2">
      <c r="A1561" s="1" t="s">
        <v>1958</v>
      </c>
      <c r="B1561" s="1" t="s">
        <v>1096</v>
      </c>
      <c r="C1561" s="2">
        <v>1</v>
      </c>
      <c r="D1561" s="2">
        <v>0</v>
      </c>
      <c r="E1561" s="2">
        <v>0</v>
      </c>
      <c r="F1561" s="2">
        <v>0</v>
      </c>
      <c r="G1561" s="2">
        <v>0.01</v>
      </c>
      <c r="H1561" s="3">
        <v>0.01</v>
      </c>
      <c r="I1561" s="1" t="s">
        <v>12</v>
      </c>
      <c r="J1561" s="1" t="s">
        <v>13</v>
      </c>
      <c r="K1561" s="1" t="s">
        <v>14</v>
      </c>
    </row>
    <row r="1562" spans="1:11" ht="12.75" customHeight="1" x14ac:dyDescent="0.2">
      <c r="A1562" s="1" t="s">
        <v>1959</v>
      </c>
      <c r="B1562" s="1" t="s">
        <v>1960</v>
      </c>
      <c r="C1562" s="2">
        <v>145</v>
      </c>
      <c r="D1562" s="2">
        <v>0</v>
      </c>
      <c r="E1562" s="2">
        <v>0</v>
      </c>
      <c r="F1562" s="2">
        <v>0</v>
      </c>
      <c r="G1562" s="2">
        <v>34.015700000000002</v>
      </c>
      <c r="H1562" s="3">
        <v>4932.2764999999999</v>
      </c>
      <c r="I1562" s="1" t="s">
        <v>17</v>
      </c>
      <c r="J1562" s="1" t="s">
        <v>18</v>
      </c>
      <c r="K1562" s="1" t="s">
        <v>19</v>
      </c>
    </row>
    <row r="1563" spans="1:11" ht="12.75" customHeight="1" x14ac:dyDescent="0.2">
      <c r="A1563" s="1" t="s">
        <v>1961</v>
      </c>
      <c r="B1563" s="1" t="s">
        <v>1962</v>
      </c>
      <c r="C1563" s="2">
        <v>294</v>
      </c>
      <c r="D1563" s="2">
        <v>0</v>
      </c>
      <c r="E1563" s="2">
        <v>0</v>
      </c>
      <c r="F1563" s="2">
        <v>0</v>
      </c>
      <c r="G1563" s="2">
        <v>45.311100000000003</v>
      </c>
      <c r="H1563" s="3">
        <v>13321.463400000001</v>
      </c>
      <c r="I1563" s="1" t="s">
        <v>24</v>
      </c>
      <c r="J1563" s="1" t="s">
        <v>25</v>
      </c>
      <c r="K1563" s="1" t="s">
        <v>26</v>
      </c>
    </row>
    <row r="1564" spans="1:11" ht="12.75" customHeight="1" x14ac:dyDescent="0.2">
      <c r="A1564" t="s">
        <v>1963</v>
      </c>
      <c r="B1564" t="s">
        <v>1964</v>
      </c>
      <c r="C1564">
        <v>39</v>
      </c>
      <c r="D1564">
        <v>273</v>
      </c>
      <c r="E1564">
        <v>0</v>
      </c>
      <c r="F1564">
        <v>28</v>
      </c>
      <c r="G1564">
        <v>27.6464</v>
      </c>
      <c r="H1564">
        <v>1078.2095999999999</v>
      </c>
      <c r="I1564" t="s">
        <v>17</v>
      </c>
      <c r="J1564" t="s">
        <v>18</v>
      </c>
      <c r="K1564" t="s">
        <v>19</v>
      </c>
    </row>
    <row r="1565" spans="1:11" ht="12.75" customHeight="1" x14ac:dyDescent="0.2">
      <c r="A1565" t="s">
        <v>1965</v>
      </c>
      <c r="B1565" t="s">
        <v>1966</v>
      </c>
      <c r="C1565">
        <v>16</v>
      </c>
      <c r="D1565">
        <v>128</v>
      </c>
      <c r="E1565">
        <v>0</v>
      </c>
      <c r="F1565">
        <v>14</v>
      </c>
      <c r="G1565">
        <v>31.595800000000001</v>
      </c>
      <c r="H1565">
        <v>505.53280000000001</v>
      </c>
      <c r="I1565" t="s">
        <v>17</v>
      </c>
      <c r="J1565" t="s">
        <v>18</v>
      </c>
      <c r="K1565" t="s">
        <v>19</v>
      </c>
    </row>
    <row r="1566" spans="1:11" ht="12.75" customHeight="1" x14ac:dyDescent="0.2">
      <c r="A1566" t="s">
        <v>1965</v>
      </c>
      <c r="B1566" t="s">
        <v>1966</v>
      </c>
      <c r="C1566">
        <v>105</v>
      </c>
      <c r="D1566">
        <v>840</v>
      </c>
      <c r="E1566">
        <v>0</v>
      </c>
      <c r="F1566">
        <v>0</v>
      </c>
      <c r="G1566">
        <v>33.858199999999997</v>
      </c>
      <c r="H1566">
        <v>3555.1109999999999</v>
      </c>
      <c r="I1566" t="s">
        <v>6145</v>
      </c>
      <c r="J1566" t="s">
        <v>6146</v>
      </c>
      <c r="K1566" t="s">
        <v>6147</v>
      </c>
    </row>
    <row r="1567" spans="1:11" ht="12.75" customHeight="1" x14ac:dyDescent="0.2">
      <c r="A1567" t="s">
        <v>1967</v>
      </c>
      <c r="B1567" t="s">
        <v>1968</v>
      </c>
      <c r="C1567">
        <v>383</v>
      </c>
      <c r="D1567">
        <v>3447</v>
      </c>
      <c r="E1567">
        <v>0</v>
      </c>
      <c r="F1567">
        <v>287</v>
      </c>
      <c r="G1567">
        <v>35.529499999999999</v>
      </c>
      <c r="H1567">
        <v>13607.798500000001</v>
      </c>
      <c r="I1567" t="s">
        <v>17</v>
      </c>
      <c r="J1567" t="s">
        <v>18</v>
      </c>
      <c r="K1567" t="s">
        <v>19</v>
      </c>
    </row>
    <row r="1568" spans="1:11" ht="12.75" customHeight="1" x14ac:dyDescent="0.2">
      <c r="A1568" t="s">
        <v>1969</v>
      </c>
      <c r="B1568" t="s">
        <v>1970</v>
      </c>
      <c r="C1568">
        <v>196</v>
      </c>
      <c r="D1568">
        <v>1960</v>
      </c>
      <c r="E1568">
        <v>0</v>
      </c>
      <c r="F1568">
        <v>119</v>
      </c>
      <c r="G1568">
        <v>39.483899999999998</v>
      </c>
      <c r="H1568">
        <v>7738.8444</v>
      </c>
      <c r="I1568" t="s">
        <v>17</v>
      </c>
      <c r="J1568" t="s">
        <v>18</v>
      </c>
      <c r="K1568" t="s">
        <v>19</v>
      </c>
    </row>
    <row r="1569" spans="1:11" ht="12.75" customHeight="1" x14ac:dyDescent="0.2">
      <c r="A1569" t="s">
        <v>1969</v>
      </c>
      <c r="B1569" t="s">
        <v>1970</v>
      </c>
      <c r="C1569">
        <v>70</v>
      </c>
      <c r="D1569">
        <v>700</v>
      </c>
      <c r="E1569">
        <v>0</v>
      </c>
      <c r="F1569">
        <v>0</v>
      </c>
      <c r="G1569">
        <v>42.311100000000003</v>
      </c>
      <c r="H1569">
        <v>2961.777</v>
      </c>
      <c r="I1569" t="s">
        <v>6145</v>
      </c>
      <c r="J1569" t="s">
        <v>6146</v>
      </c>
      <c r="K1569" t="s">
        <v>6147</v>
      </c>
    </row>
    <row r="1570" spans="1:11" ht="12.75" customHeight="1" x14ac:dyDescent="0.2">
      <c r="A1570" t="s">
        <v>1969</v>
      </c>
      <c r="B1570" t="s">
        <v>1970</v>
      </c>
      <c r="C1570">
        <v>119</v>
      </c>
      <c r="D1570">
        <v>1190</v>
      </c>
      <c r="E1570">
        <v>0</v>
      </c>
      <c r="F1570">
        <v>0</v>
      </c>
      <c r="G1570">
        <v>40.3874</v>
      </c>
      <c r="H1570">
        <v>4806.1005999999998</v>
      </c>
      <c r="I1570" t="s">
        <v>500</v>
      </c>
      <c r="J1570" t="s">
        <v>501</v>
      </c>
      <c r="K1570" t="s">
        <v>502</v>
      </c>
    </row>
    <row r="1571" spans="1:11" ht="12.75" customHeight="1" x14ac:dyDescent="0.2">
      <c r="A1571" t="s">
        <v>1971</v>
      </c>
      <c r="B1571" t="s">
        <v>1972</v>
      </c>
      <c r="C1571">
        <v>7</v>
      </c>
      <c r="D1571">
        <v>84</v>
      </c>
      <c r="E1571">
        <v>0</v>
      </c>
      <c r="F1571">
        <v>0</v>
      </c>
      <c r="G1571">
        <v>47.358600000000003</v>
      </c>
      <c r="H1571">
        <v>331.5102</v>
      </c>
      <c r="I1571" t="s">
        <v>17</v>
      </c>
      <c r="J1571" t="s">
        <v>18</v>
      </c>
      <c r="K1571" t="s">
        <v>19</v>
      </c>
    </row>
    <row r="1572" spans="1:11" ht="12.75" customHeight="1" x14ac:dyDescent="0.2">
      <c r="A1572" t="s">
        <v>1973</v>
      </c>
      <c r="B1572" t="s">
        <v>1974</v>
      </c>
      <c r="C1572">
        <v>35</v>
      </c>
      <c r="D1572">
        <v>455</v>
      </c>
      <c r="E1572">
        <v>0</v>
      </c>
      <c r="F1572">
        <v>0</v>
      </c>
      <c r="G1572">
        <v>54.979100000000003</v>
      </c>
      <c r="H1572">
        <v>1924.2684999999999</v>
      </c>
      <c r="I1572" t="s">
        <v>6145</v>
      </c>
      <c r="J1572" t="s">
        <v>6146</v>
      </c>
      <c r="K1572" t="s">
        <v>6147</v>
      </c>
    </row>
    <row r="1573" spans="1:11" ht="12.75" customHeight="1" x14ac:dyDescent="0.2">
      <c r="A1573" t="s">
        <v>1973</v>
      </c>
      <c r="B1573" t="s">
        <v>1974</v>
      </c>
      <c r="C1573">
        <v>137</v>
      </c>
      <c r="D1573">
        <v>1781</v>
      </c>
      <c r="E1573">
        <v>0</v>
      </c>
      <c r="F1573">
        <v>0</v>
      </c>
      <c r="G1573">
        <v>52.503599999999999</v>
      </c>
      <c r="H1573">
        <v>7192.9931999999999</v>
      </c>
      <c r="I1573" t="s">
        <v>500</v>
      </c>
      <c r="J1573" t="s">
        <v>501</v>
      </c>
      <c r="K1573" t="s">
        <v>502</v>
      </c>
    </row>
    <row r="1574" spans="1:11" ht="12.75" customHeight="1" x14ac:dyDescent="0.2">
      <c r="A1574" t="s">
        <v>1975</v>
      </c>
      <c r="B1574" t="s">
        <v>1976</v>
      </c>
      <c r="C1574">
        <v>84</v>
      </c>
      <c r="D1574">
        <v>1344</v>
      </c>
      <c r="E1574">
        <v>0</v>
      </c>
      <c r="F1574">
        <v>57</v>
      </c>
      <c r="G1574">
        <v>63.1449</v>
      </c>
      <c r="H1574">
        <v>5304.1715999999997</v>
      </c>
      <c r="I1574" t="s">
        <v>17</v>
      </c>
      <c r="J1574" t="s">
        <v>18</v>
      </c>
      <c r="K1574" t="s">
        <v>19</v>
      </c>
    </row>
    <row r="1575" spans="1:11" ht="12.75" customHeight="1" x14ac:dyDescent="0.2">
      <c r="A1575" t="s">
        <v>1975</v>
      </c>
      <c r="B1575" t="s">
        <v>1976</v>
      </c>
      <c r="C1575">
        <v>35</v>
      </c>
      <c r="D1575">
        <v>560</v>
      </c>
      <c r="E1575">
        <v>0</v>
      </c>
      <c r="F1575">
        <v>0</v>
      </c>
      <c r="G1575">
        <v>67.666300000000007</v>
      </c>
      <c r="H1575">
        <v>2368.3204999999998</v>
      </c>
      <c r="I1575" t="s">
        <v>6145</v>
      </c>
      <c r="J1575" t="s">
        <v>6146</v>
      </c>
      <c r="K1575" t="s">
        <v>6147</v>
      </c>
    </row>
    <row r="1576" spans="1:11" ht="12.75" customHeight="1" x14ac:dyDescent="0.2">
      <c r="A1576" t="s">
        <v>1977</v>
      </c>
      <c r="B1576" t="s">
        <v>1978</v>
      </c>
      <c r="C1576">
        <v>1</v>
      </c>
      <c r="D1576">
        <v>17</v>
      </c>
      <c r="E1576">
        <v>0</v>
      </c>
      <c r="F1576">
        <v>0</v>
      </c>
      <c r="G1576">
        <v>68.66</v>
      </c>
      <c r="H1576">
        <v>68.66</v>
      </c>
      <c r="I1576" t="s">
        <v>500</v>
      </c>
      <c r="J1576" t="s">
        <v>501</v>
      </c>
      <c r="K1576" t="s">
        <v>502</v>
      </c>
    </row>
    <row r="1577" spans="1:11" ht="12.75" customHeight="1" x14ac:dyDescent="0.2">
      <c r="A1577" t="s">
        <v>1979</v>
      </c>
      <c r="B1577" t="s">
        <v>1980</v>
      </c>
      <c r="C1577">
        <v>6</v>
      </c>
      <c r="D1577">
        <v>108</v>
      </c>
      <c r="E1577">
        <v>0</v>
      </c>
      <c r="F1577">
        <v>0</v>
      </c>
      <c r="G1577">
        <v>72.697299999999998</v>
      </c>
      <c r="H1577">
        <v>436.18380000000002</v>
      </c>
      <c r="I1577" t="s">
        <v>500</v>
      </c>
      <c r="J1577" t="s">
        <v>501</v>
      </c>
      <c r="K1577" t="s">
        <v>502</v>
      </c>
    </row>
    <row r="1578" spans="1:11" ht="12.75" customHeight="1" x14ac:dyDescent="0.2">
      <c r="A1578" t="s">
        <v>1981</v>
      </c>
      <c r="B1578" t="s">
        <v>1982</v>
      </c>
      <c r="C1578">
        <v>29</v>
      </c>
      <c r="D1578">
        <v>551</v>
      </c>
      <c r="E1578">
        <v>0</v>
      </c>
      <c r="F1578">
        <v>14</v>
      </c>
      <c r="G1578">
        <v>75.039500000000004</v>
      </c>
      <c r="H1578">
        <v>2176.1455000000001</v>
      </c>
      <c r="I1578" t="s">
        <v>17</v>
      </c>
      <c r="J1578" t="s">
        <v>18</v>
      </c>
      <c r="K1578" t="s">
        <v>19</v>
      </c>
    </row>
    <row r="1579" spans="1:11" ht="12.75" customHeight="1" x14ac:dyDescent="0.2">
      <c r="A1579" t="s">
        <v>1981</v>
      </c>
      <c r="B1579" t="s">
        <v>1982</v>
      </c>
      <c r="C1579">
        <v>28</v>
      </c>
      <c r="D1579">
        <v>532</v>
      </c>
      <c r="E1579">
        <v>0</v>
      </c>
      <c r="F1579">
        <v>0</v>
      </c>
      <c r="G1579">
        <v>80.412899999999993</v>
      </c>
      <c r="H1579">
        <v>2251.5612000000001</v>
      </c>
      <c r="I1579" t="s">
        <v>6145</v>
      </c>
      <c r="J1579" t="s">
        <v>6146</v>
      </c>
      <c r="K1579" t="s">
        <v>6147</v>
      </c>
    </row>
    <row r="1580" spans="1:11" ht="12.75" customHeight="1" x14ac:dyDescent="0.2">
      <c r="A1580" t="s">
        <v>1983</v>
      </c>
      <c r="B1580" t="s">
        <v>1984</v>
      </c>
      <c r="C1580">
        <v>1</v>
      </c>
      <c r="D1580">
        <v>0</v>
      </c>
      <c r="E1580">
        <v>0</v>
      </c>
      <c r="F1580">
        <v>0</v>
      </c>
      <c r="G1580">
        <v>0.01</v>
      </c>
      <c r="H1580">
        <v>0.01</v>
      </c>
      <c r="I1580" t="s">
        <v>12</v>
      </c>
      <c r="J1580" t="s">
        <v>13</v>
      </c>
      <c r="K1580" t="s">
        <v>14</v>
      </c>
    </row>
    <row r="1581" spans="1:11" ht="12.75" customHeight="1" x14ac:dyDescent="0.2">
      <c r="A1581" t="s">
        <v>1985</v>
      </c>
      <c r="B1581" t="s">
        <v>1986</v>
      </c>
      <c r="C1581">
        <v>12</v>
      </c>
      <c r="D1581">
        <v>0</v>
      </c>
      <c r="E1581">
        <v>0</v>
      </c>
      <c r="F1581">
        <v>0</v>
      </c>
      <c r="G1581">
        <v>532.16999999999996</v>
      </c>
      <c r="H1581">
        <v>6386.04</v>
      </c>
      <c r="I1581" t="s">
        <v>17</v>
      </c>
      <c r="J1581" t="s">
        <v>18</v>
      </c>
      <c r="K1581" t="s">
        <v>19</v>
      </c>
    </row>
    <row r="1582" spans="1:11" ht="12.75" customHeight="1" x14ac:dyDescent="0.2">
      <c r="A1582" t="s">
        <v>1985</v>
      </c>
      <c r="B1582" t="s">
        <v>1986</v>
      </c>
      <c r="C1582">
        <v>24</v>
      </c>
      <c r="D1582">
        <v>0</v>
      </c>
      <c r="E1582">
        <v>0</v>
      </c>
      <c r="F1582">
        <v>0</v>
      </c>
      <c r="G1582">
        <v>532.16999999999996</v>
      </c>
      <c r="H1582">
        <v>12772.08</v>
      </c>
      <c r="I1582" t="s">
        <v>24</v>
      </c>
      <c r="J1582" t="s">
        <v>25</v>
      </c>
      <c r="K1582" t="s">
        <v>26</v>
      </c>
    </row>
    <row r="1583" spans="1:11" ht="12.75" customHeight="1" x14ac:dyDescent="0.2">
      <c r="A1583" t="s">
        <v>1985</v>
      </c>
      <c r="B1583" t="s">
        <v>1986</v>
      </c>
      <c r="C1583">
        <v>14</v>
      </c>
      <c r="D1583">
        <v>0</v>
      </c>
      <c r="E1583">
        <v>0</v>
      </c>
      <c r="F1583">
        <v>0</v>
      </c>
      <c r="G1583">
        <v>532.16999999999996</v>
      </c>
      <c r="H1583">
        <v>7450.38</v>
      </c>
      <c r="I1583" t="s">
        <v>330</v>
      </c>
      <c r="J1583" t="s">
        <v>331</v>
      </c>
      <c r="K1583" t="s">
        <v>332</v>
      </c>
    </row>
    <row r="1584" spans="1:11" ht="12.75" customHeight="1" x14ac:dyDescent="0.2">
      <c r="A1584" t="s">
        <v>1987</v>
      </c>
      <c r="B1584" t="s">
        <v>1988</v>
      </c>
      <c r="C1584">
        <v>5</v>
      </c>
      <c r="D1584">
        <v>0</v>
      </c>
      <c r="E1584">
        <v>0</v>
      </c>
      <c r="F1584">
        <v>0</v>
      </c>
      <c r="G1584">
        <v>2757.12</v>
      </c>
      <c r="H1584">
        <v>13785.6</v>
      </c>
      <c r="I1584" t="s">
        <v>17</v>
      </c>
      <c r="J1584" t="s">
        <v>18</v>
      </c>
      <c r="K1584" t="s">
        <v>19</v>
      </c>
    </row>
    <row r="1585" spans="1:11" ht="12.75" customHeight="1" x14ac:dyDescent="0.2">
      <c r="A1585" t="s">
        <v>1987</v>
      </c>
      <c r="B1585" t="s">
        <v>1988</v>
      </c>
      <c r="C1585">
        <v>3</v>
      </c>
      <c r="D1585">
        <v>0</v>
      </c>
      <c r="E1585">
        <v>0</v>
      </c>
      <c r="F1585">
        <v>0</v>
      </c>
      <c r="G1585">
        <v>2757.12</v>
      </c>
      <c r="H1585">
        <v>8271.36</v>
      </c>
      <c r="I1585" t="s">
        <v>24</v>
      </c>
      <c r="J1585" t="s">
        <v>25</v>
      </c>
      <c r="K1585" t="s">
        <v>26</v>
      </c>
    </row>
    <row r="1586" spans="1:11" ht="12.75" customHeight="1" x14ac:dyDescent="0.2">
      <c r="A1586" t="s">
        <v>1987</v>
      </c>
      <c r="B1586" t="s">
        <v>1988</v>
      </c>
      <c r="C1586">
        <v>2</v>
      </c>
      <c r="D1586">
        <v>0</v>
      </c>
      <c r="E1586">
        <v>0</v>
      </c>
      <c r="F1586">
        <v>0</v>
      </c>
      <c r="G1586">
        <v>2757.12</v>
      </c>
      <c r="H1586">
        <v>5514.24</v>
      </c>
      <c r="I1586" t="s">
        <v>125</v>
      </c>
      <c r="J1586" t="s">
        <v>126</v>
      </c>
      <c r="K1586" t="s">
        <v>127</v>
      </c>
    </row>
    <row r="1587" spans="1:11" ht="12.75" customHeight="1" x14ac:dyDescent="0.2">
      <c r="A1587" t="s">
        <v>1987</v>
      </c>
      <c r="B1587" t="s">
        <v>1988</v>
      </c>
      <c r="C1587">
        <v>9</v>
      </c>
      <c r="D1587">
        <v>0</v>
      </c>
      <c r="E1587">
        <v>0</v>
      </c>
      <c r="F1587">
        <v>0</v>
      </c>
      <c r="G1587">
        <v>2757.12</v>
      </c>
      <c r="H1587">
        <v>24814.080000000002</v>
      </c>
      <c r="I1587" t="s">
        <v>330</v>
      </c>
      <c r="J1587" t="s">
        <v>331</v>
      </c>
      <c r="K1587" t="s">
        <v>332</v>
      </c>
    </row>
    <row r="1588" spans="1:11" ht="12.75" customHeight="1" x14ac:dyDescent="0.2">
      <c r="A1588" t="s">
        <v>1989</v>
      </c>
      <c r="B1588" t="s">
        <v>1990</v>
      </c>
      <c r="C1588">
        <v>7</v>
      </c>
      <c r="D1588">
        <v>0</v>
      </c>
      <c r="E1588">
        <v>0</v>
      </c>
      <c r="F1588">
        <v>0</v>
      </c>
      <c r="G1588">
        <v>4822.4457000000002</v>
      </c>
      <c r="H1588">
        <v>33757.119899999998</v>
      </c>
      <c r="I1588" t="s">
        <v>17</v>
      </c>
      <c r="J1588" t="s">
        <v>18</v>
      </c>
      <c r="K1588" t="s">
        <v>19</v>
      </c>
    </row>
    <row r="1589" spans="1:11" ht="12.75" customHeight="1" x14ac:dyDescent="0.2">
      <c r="A1589" t="s">
        <v>1989</v>
      </c>
      <c r="B1589" t="s">
        <v>1990</v>
      </c>
      <c r="C1589">
        <v>5</v>
      </c>
      <c r="D1589">
        <v>0</v>
      </c>
      <c r="E1589">
        <v>0</v>
      </c>
      <c r="F1589">
        <v>0</v>
      </c>
      <c r="G1589">
        <v>2898.03</v>
      </c>
      <c r="H1589">
        <v>14490.15</v>
      </c>
      <c r="I1589" t="s">
        <v>24</v>
      </c>
      <c r="J1589" t="s">
        <v>25</v>
      </c>
      <c r="K1589" t="s">
        <v>26</v>
      </c>
    </row>
    <row r="1590" spans="1:11" ht="12.75" customHeight="1" x14ac:dyDescent="0.2">
      <c r="A1590" t="s">
        <v>1989</v>
      </c>
      <c r="B1590" t="s">
        <v>1990</v>
      </c>
      <c r="C1590">
        <v>4</v>
      </c>
      <c r="D1590">
        <v>0</v>
      </c>
      <c r="E1590">
        <v>0</v>
      </c>
      <c r="F1590">
        <v>0</v>
      </c>
      <c r="G1590">
        <v>2933.2575000000002</v>
      </c>
      <c r="H1590">
        <v>11733.03</v>
      </c>
      <c r="I1590" t="s">
        <v>330</v>
      </c>
      <c r="J1590" t="s">
        <v>331</v>
      </c>
      <c r="K1590" t="s">
        <v>332</v>
      </c>
    </row>
    <row r="1591" spans="1:11" ht="12.75" customHeight="1" x14ac:dyDescent="0.2">
      <c r="A1591" t="s">
        <v>1991</v>
      </c>
      <c r="B1591" t="s">
        <v>1992</v>
      </c>
      <c r="C1591">
        <v>2</v>
      </c>
      <c r="D1591">
        <v>0</v>
      </c>
      <c r="E1591">
        <v>0</v>
      </c>
      <c r="F1591">
        <v>0</v>
      </c>
      <c r="G1591">
        <v>4022.5</v>
      </c>
      <c r="H1591">
        <v>8045</v>
      </c>
      <c r="I1591" t="s">
        <v>17</v>
      </c>
      <c r="J1591" t="s">
        <v>18</v>
      </c>
      <c r="K1591" t="s">
        <v>19</v>
      </c>
    </row>
    <row r="1592" spans="1:11" ht="12.75" customHeight="1" x14ac:dyDescent="0.2">
      <c r="A1592" t="s">
        <v>1993</v>
      </c>
      <c r="B1592" t="s">
        <v>1994</v>
      </c>
      <c r="C1592">
        <v>18</v>
      </c>
      <c r="D1592">
        <v>0</v>
      </c>
      <c r="E1592">
        <v>0</v>
      </c>
      <c r="F1592">
        <v>0</v>
      </c>
      <c r="G1592">
        <v>1090.48</v>
      </c>
      <c r="H1592">
        <v>19628.64</v>
      </c>
      <c r="I1592" t="s">
        <v>24</v>
      </c>
      <c r="J1592" t="s">
        <v>25</v>
      </c>
      <c r="K1592" t="s">
        <v>26</v>
      </c>
    </row>
    <row r="1593" spans="1:11" ht="12.75" customHeight="1" x14ac:dyDescent="0.2">
      <c r="A1593" t="s">
        <v>1993</v>
      </c>
      <c r="B1593" t="s">
        <v>1994</v>
      </c>
      <c r="C1593">
        <v>1</v>
      </c>
      <c r="D1593">
        <v>0</v>
      </c>
      <c r="E1593">
        <v>0</v>
      </c>
      <c r="F1593">
        <v>0</v>
      </c>
      <c r="G1593">
        <v>1090.48</v>
      </c>
      <c r="H1593">
        <v>1090.48</v>
      </c>
      <c r="I1593" t="s">
        <v>125</v>
      </c>
      <c r="J1593" t="s">
        <v>126</v>
      </c>
      <c r="K1593" t="s">
        <v>127</v>
      </c>
    </row>
    <row r="1594" spans="1:11" ht="12.75" customHeight="1" x14ac:dyDescent="0.2">
      <c r="A1594" t="s">
        <v>1993</v>
      </c>
      <c r="B1594" t="s">
        <v>1994</v>
      </c>
      <c r="C1594">
        <v>21</v>
      </c>
      <c r="D1594">
        <v>0</v>
      </c>
      <c r="E1594">
        <v>0</v>
      </c>
      <c r="F1594">
        <v>0</v>
      </c>
      <c r="G1594">
        <v>1090.48</v>
      </c>
      <c r="H1594">
        <v>22900.080000000002</v>
      </c>
      <c r="I1594" t="s">
        <v>330</v>
      </c>
      <c r="J1594" t="s">
        <v>331</v>
      </c>
      <c r="K1594" t="s">
        <v>332</v>
      </c>
    </row>
    <row r="1595" spans="1:11" ht="12.75" customHeight="1" x14ac:dyDescent="0.2">
      <c r="A1595" t="s">
        <v>1995</v>
      </c>
      <c r="B1595" t="s">
        <v>1996</v>
      </c>
      <c r="C1595">
        <v>13</v>
      </c>
      <c r="D1595">
        <v>0</v>
      </c>
      <c r="E1595">
        <v>0</v>
      </c>
      <c r="F1595">
        <v>0</v>
      </c>
      <c r="G1595">
        <v>3402.8784999999998</v>
      </c>
      <c r="H1595">
        <v>44237.4205</v>
      </c>
      <c r="I1595" t="s">
        <v>17</v>
      </c>
      <c r="J1595" t="s">
        <v>18</v>
      </c>
      <c r="K1595" t="s">
        <v>19</v>
      </c>
    </row>
    <row r="1596" spans="1:11" ht="12.75" customHeight="1" x14ac:dyDescent="0.2">
      <c r="A1596" t="s">
        <v>1995</v>
      </c>
      <c r="B1596" t="s">
        <v>1996</v>
      </c>
      <c r="C1596">
        <v>4</v>
      </c>
      <c r="D1596">
        <v>0</v>
      </c>
      <c r="E1596">
        <v>0</v>
      </c>
      <c r="F1596">
        <v>0</v>
      </c>
      <c r="G1596">
        <v>2824.65</v>
      </c>
      <c r="H1596">
        <v>11298.6</v>
      </c>
      <c r="I1596" t="s">
        <v>330</v>
      </c>
      <c r="J1596" t="s">
        <v>331</v>
      </c>
      <c r="K1596" t="s">
        <v>332</v>
      </c>
    </row>
    <row r="1597" spans="1:11" ht="12.75" customHeight="1" x14ac:dyDescent="0.2">
      <c r="A1597" t="s">
        <v>1997</v>
      </c>
      <c r="B1597" t="s">
        <v>1998</v>
      </c>
      <c r="C1597">
        <v>56</v>
      </c>
      <c r="D1597">
        <v>224</v>
      </c>
      <c r="E1597">
        <v>0</v>
      </c>
      <c r="F1597">
        <v>0</v>
      </c>
      <c r="G1597">
        <v>6.6247999999999996</v>
      </c>
      <c r="H1597">
        <v>370.98880000000003</v>
      </c>
      <c r="I1597" t="s">
        <v>330</v>
      </c>
      <c r="J1597" t="s">
        <v>331</v>
      </c>
      <c r="K1597" t="s">
        <v>332</v>
      </c>
    </row>
    <row r="1598" spans="1:11" ht="12.75" customHeight="1" x14ac:dyDescent="0.2">
      <c r="A1598" t="s">
        <v>1999</v>
      </c>
      <c r="B1598" t="s">
        <v>2000</v>
      </c>
      <c r="C1598">
        <v>35</v>
      </c>
      <c r="D1598">
        <v>175</v>
      </c>
      <c r="E1598">
        <v>0</v>
      </c>
      <c r="F1598">
        <v>0</v>
      </c>
      <c r="G1598">
        <v>8.2657000000000007</v>
      </c>
      <c r="H1598">
        <v>289.29950000000002</v>
      </c>
      <c r="I1598" t="s">
        <v>330</v>
      </c>
      <c r="J1598" t="s">
        <v>331</v>
      </c>
      <c r="K1598" t="s">
        <v>332</v>
      </c>
    </row>
    <row r="1599" spans="1:11" ht="12.75" customHeight="1" x14ac:dyDescent="0.2">
      <c r="A1599" t="s">
        <v>2001</v>
      </c>
      <c r="B1599" t="s">
        <v>2002</v>
      </c>
      <c r="C1599">
        <v>70</v>
      </c>
      <c r="D1599">
        <v>420</v>
      </c>
      <c r="E1599">
        <v>0</v>
      </c>
      <c r="F1599">
        <v>0</v>
      </c>
      <c r="G1599">
        <v>9.7871000000000006</v>
      </c>
      <c r="H1599">
        <v>685.09699999999998</v>
      </c>
      <c r="I1599" t="s">
        <v>330</v>
      </c>
      <c r="J1599" t="s">
        <v>331</v>
      </c>
      <c r="K1599" t="s">
        <v>332</v>
      </c>
    </row>
    <row r="1600" spans="1:11" ht="12.75" customHeight="1" x14ac:dyDescent="0.2">
      <c r="A1600" t="s">
        <v>2003</v>
      </c>
      <c r="B1600" t="s">
        <v>2004</v>
      </c>
      <c r="C1600">
        <v>49</v>
      </c>
      <c r="D1600">
        <v>343</v>
      </c>
      <c r="E1600">
        <v>0</v>
      </c>
      <c r="F1600">
        <v>0</v>
      </c>
      <c r="G1600">
        <v>11.458600000000001</v>
      </c>
      <c r="H1600">
        <v>561.47140000000002</v>
      </c>
      <c r="I1600" t="s">
        <v>330</v>
      </c>
      <c r="J1600" t="s">
        <v>331</v>
      </c>
      <c r="K1600" t="s">
        <v>332</v>
      </c>
    </row>
    <row r="1601" spans="1:11" ht="12.75" customHeight="1" x14ac:dyDescent="0.2">
      <c r="A1601" t="s">
        <v>2005</v>
      </c>
      <c r="B1601" t="s">
        <v>2006</v>
      </c>
      <c r="C1601">
        <v>56</v>
      </c>
      <c r="D1601">
        <v>448</v>
      </c>
      <c r="E1601">
        <v>0</v>
      </c>
      <c r="F1601">
        <v>0</v>
      </c>
      <c r="G1601">
        <v>13.196400000000001</v>
      </c>
      <c r="H1601">
        <v>738.99839999999995</v>
      </c>
      <c r="I1601" t="s">
        <v>330</v>
      </c>
      <c r="J1601" t="s">
        <v>331</v>
      </c>
      <c r="K1601" t="s">
        <v>332</v>
      </c>
    </row>
    <row r="1602" spans="1:11" ht="12.75" customHeight="1" x14ac:dyDescent="0.2">
      <c r="A1602" t="s">
        <v>2007</v>
      </c>
      <c r="B1602" t="s">
        <v>2008</v>
      </c>
      <c r="C1602">
        <v>245</v>
      </c>
      <c r="D1602">
        <v>2205</v>
      </c>
      <c r="E1602">
        <v>0</v>
      </c>
      <c r="F1602">
        <v>245</v>
      </c>
      <c r="G1602">
        <v>14.796200000000001</v>
      </c>
      <c r="H1602">
        <v>3625.069</v>
      </c>
      <c r="I1602" t="s">
        <v>17</v>
      </c>
      <c r="J1602" t="s">
        <v>18</v>
      </c>
      <c r="K1602" t="s">
        <v>19</v>
      </c>
    </row>
    <row r="1603" spans="1:11" ht="12.75" customHeight="1" x14ac:dyDescent="0.2">
      <c r="A1603" t="s">
        <v>2007</v>
      </c>
      <c r="B1603" t="s">
        <v>2008</v>
      </c>
      <c r="C1603">
        <v>182</v>
      </c>
      <c r="D1603">
        <v>1638</v>
      </c>
      <c r="E1603">
        <v>0</v>
      </c>
      <c r="F1603">
        <v>0</v>
      </c>
      <c r="G1603">
        <v>14.796200000000001</v>
      </c>
      <c r="H1603">
        <v>2692.9083999999998</v>
      </c>
      <c r="I1603" t="s">
        <v>330</v>
      </c>
      <c r="J1603" t="s">
        <v>331</v>
      </c>
      <c r="K1603" t="s">
        <v>332</v>
      </c>
    </row>
    <row r="1604" spans="1:11" ht="12.75" customHeight="1" x14ac:dyDescent="0.2">
      <c r="A1604" t="s">
        <v>2009</v>
      </c>
      <c r="B1604" t="s">
        <v>2010</v>
      </c>
      <c r="C1604">
        <v>427</v>
      </c>
      <c r="D1604">
        <v>4270</v>
      </c>
      <c r="E1604">
        <v>0</v>
      </c>
      <c r="F1604">
        <v>0</v>
      </c>
      <c r="G1604">
        <v>16.401599999999998</v>
      </c>
      <c r="H1604">
        <v>7003.4831999999997</v>
      </c>
      <c r="I1604" t="s">
        <v>330</v>
      </c>
      <c r="J1604" t="s">
        <v>331</v>
      </c>
      <c r="K1604" t="s">
        <v>332</v>
      </c>
    </row>
    <row r="1605" spans="1:11" ht="12.75" customHeight="1" x14ac:dyDescent="0.2">
      <c r="A1605" t="s">
        <v>2011</v>
      </c>
      <c r="B1605" t="s">
        <v>2012</v>
      </c>
      <c r="C1605">
        <v>112</v>
      </c>
      <c r="D1605">
        <v>1344</v>
      </c>
      <c r="E1605">
        <v>0</v>
      </c>
      <c r="F1605">
        <v>0</v>
      </c>
      <c r="G1605">
        <v>19.642099999999999</v>
      </c>
      <c r="H1605">
        <v>2199.9151999999999</v>
      </c>
      <c r="I1605" t="s">
        <v>330</v>
      </c>
      <c r="J1605" t="s">
        <v>331</v>
      </c>
      <c r="K1605" t="s">
        <v>332</v>
      </c>
    </row>
    <row r="1606" spans="1:11" ht="12.75" customHeight="1" x14ac:dyDescent="0.2">
      <c r="A1606" t="s">
        <v>2013</v>
      </c>
      <c r="B1606" t="s">
        <v>2014</v>
      </c>
      <c r="C1606">
        <v>182</v>
      </c>
      <c r="D1606">
        <v>2366</v>
      </c>
      <c r="E1606">
        <v>0</v>
      </c>
      <c r="F1606">
        <v>0</v>
      </c>
      <c r="G1606">
        <v>21.296399999999998</v>
      </c>
      <c r="H1606">
        <v>3875.9448000000002</v>
      </c>
      <c r="I1606" t="s">
        <v>330</v>
      </c>
      <c r="J1606" t="s">
        <v>331</v>
      </c>
      <c r="K1606" t="s">
        <v>332</v>
      </c>
    </row>
    <row r="1607" spans="1:11" ht="12.75" customHeight="1" x14ac:dyDescent="0.2">
      <c r="A1607" t="s">
        <v>2015</v>
      </c>
      <c r="B1607" t="s">
        <v>1984</v>
      </c>
      <c r="C1607">
        <v>1</v>
      </c>
      <c r="D1607">
        <v>0</v>
      </c>
      <c r="E1607">
        <v>0</v>
      </c>
      <c r="F1607">
        <v>0</v>
      </c>
      <c r="G1607">
        <v>0.01</v>
      </c>
      <c r="H1607">
        <v>0.01</v>
      </c>
      <c r="I1607" t="s">
        <v>12</v>
      </c>
      <c r="J1607" t="s">
        <v>13</v>
      </c>
      <c r="K1607" t="s">
        <v>14</v>
      </c>
    </row>
    <row r="1608" spans="1:11" ht="12.75" customHeight="1" x14ac:dyDescent="0.2">
      <c r="A1608" t="s">
        <v>5884</v>
      </c>
      <c r="B1608" t="s">
        <v>6262</v>
      </c>
      <c r="C1608">
        <v>1</v>
      </c>
      <c r="D1608">
        <v>0</v>
      </c>
      <c r="E1608">
        <v>0</v>
      </c>
      <c r="F1608">
        <v>3</v>
      </c>
      <c r="G1608">
        <v>287.7</v>
      </c>
      <c r="H1608">
        <v>287.7</v>
      </c>
      <c r="I1608" t="s">
        <v>12</v>
      </c>
      <c r="J1608" t="s">
        <v>13</v>
      </c>
      <c r="K1608" t="s">
        <v>14</v>
      </c>
    </row>
    <row r="1609" spans="1:11" ht="12.75" customHeight="1" x14ac:dyDescent="0.2">
      <c r="A1609" t="s">
        <v>2016</v>
      </c>
      <c r="B1609" t="s">
        <v>1984</v>
      </c>
      <c r="C1609">
        <v>1</v>
      </c>
      <c r="D1609">
        <v>0</v>
      </c>
      <c r="E1609">
        <v>0</v>
      </c>
      <c r="F1609">
        <v>0</v>
      </c>
      <c r="G1609">
        <v>0.01</v>
      </c>
      <c r="H1609">
        <v>0.01</v>
      </c>
      <c r="I1609" t="s">
        <v>12</v>
      </c>
      <c r="J1609" t="s">
        <v>13</v>
      </c>
      <c r="K1609" t="s">
        <v>14</v>
      </c>
    </row>
    <row r="1610" spans="1:11" ht="12.75" customHeight="1" x14ac:dyDescent="0.2">
      <c r="A1610" t="s">
        <v>2017</v>
      </c>
      <c r="B1610" t="s">
        <v>2018</v>
      </c>
      <c r="C1610">
        <v>196</v>
      </c>
      <c r="D1610">
        <v>1764</v>
      </c>
      <c r="E1610">
        <v>0</v>
      </c>
      <c r="F1610">
        <v>0</v>
      </c>
      <c r="G1610">
        <v>29.764399999999998</v>
      </c>
      <c r="H1610">
        <v>5833.8224</v>
      </c>
      <c r="I1610" t="s">
        <v>500</v>
      </c>
      <c r="J1610" t="s">
        <v>501</v>
      </c>
      <c r="K1610" t="s">
        <v>502</v>
      </c>
    </row>
    <row r="1611" spans="1:11" ht="12.75" customHeight="1" x14ac:dyDescent="0.2">
      <c r="A1611" t="s">
        <v>2019</v>
      </c>
      <c r="B1611" t="s">
        <v>2020</v>
      </c>
      <c r="C1611">
        <v>88</v>
      </c>
      <c r="D1611">
        <v>880</v>
      </c>
      <c r="E1611">
        <v>0</v>
      </c>
      <c r="F1611">
        <v>0</v>
      </c>
      <c r="G1611">
        <v>32.571800000000003</v>
      </c>
      <c r="H1611">
        <v>2866.3184000000001</v>
      </c>
      <c r="I1611" t="s">
        <v>17</v>
      </c>
      <c r="J1611" t="s">
        <v>18</v>
      </c>
      <c r="K1611" t="s">
        <v>19</v>
      </c>
    </row>
    <row r="1612" spans="1:11" ht="12.75" customHeight="1" x14ac:dyDescent="0.2">
      <c r="A1612" t="s">
        <v>2019</v>
      </c>
      <c r="B1612" t="s">
        <v>2020</v>
      </c>
      <c r="C1612">
        <v>70</v>
      </c>
      <c r="D1612">
        <v>700</v>
      </c>
      <c r="E1612">
        <v>0</v>
      </c>
      <c r="F1612">
        <v>0</v>
      </c>
      <c r="G1612">
        <v>34.9041</v>
      </c>
      <c r="H1612">
        <v>2443.2869999999998</v>
      </c>
      <c r="I1612" t="s">
        <v>6145</v>
      </c>
      <c r="J1612" t="s">
        <v>6146</v>
      </c>
      <c r="K1612" t="s">
        <v>6147</v>
      </c>
    </row>
    <row r="1613" spans="1:11" ht="12.75" customHeight="1" x14ac:dyDescent="0.2">
      <c r="A1613" t="s">
        <v>2021</v>
      </c>
      <c r="B1613" t="s">
        <v>2022</v>
      </c>
      <c r="C1613">
        <v>196</v>
      </c>
      <c r="D1613">
        <v>2156</v>
      </c>
      <c r="E1613">
        <v>0</v>
      </c>
      <c r="F1613">
        <v>0</v>
      </c>
      <c r="G1613">
        <v>35.829099999999997</v>
      </c>
      <c r="H1613">
        <v>7022.5036</v>
      </c>
      <c r="I1613" t="s">
        <v>17</v>
      </c>
      <c r="J1613" t="s">
        <v>18</v>
      </c>
      <c r="K1613" t="s">
        <v>19</v>
      </c>
    </row>
    <row r="1614" spans="1:11" ht="12.75" customHeight="1" x14ac:dyDescent="0.2">
      <c r="A1614" t="s">
        <v>2023</v>
      </c>
      <c r="B1614" t="s">
        <v>2024</v>
      </c>
      <c r="C1614">
        <v>196</v>
      </c>
      <c r="D1614">
        <v>2548</v>
      </c>
      <c r="E1614">
        <v>0</v>
      </c>
      <c r="F1614">
        <v>0</v>
      </c>
      <c r="G1614">
        <v>42.993000000000002</v>
      </c>
      <c r="H1614">
        <v>8426.6280000000006</v>
      </c>
      <c r="I1614" t="s">
        <v>500</v>
      </c>
      <c r="J1614" t="s">
        <v>501</v>
      </c>
      <c r="K1614" t="s">
        <v>502</v>
      </c>
    </row>
    <row r="1615" spans="1:11" ht="12.75" customHeight="1" x14ac:dyDescent="0.2">
      <c r="A1615" t="s">
        <v>2025</v>
      </c>
      <c r="B1615" t="s">
        <v>2026</v>
      </c>
      <c r="C1615">
        <v>301</v>
      </c>
      <c r="D1615">
        <v>4214</v>
      </c>
      <c r="E1615">
        <v>0</v>
      </c>
      <c r="F1615">
        <v>0</v>
      </c>
      <c r="G1615">
        <v>45.6006</v>
      </c>
      <c r="H1615">
        <v>13725.7806</v>
      </c>
      <c r="I1615" t="s">
        <v>17</v>
      </c>
      <c r="J1615" t="s">
        <v>18</v>
      </c>
      <c r="K1615" t="s">
        <v>19</v>
      </c>
    </row>
    <row r="1616" spans="1:11" ht="12.75" customHeight="1" x14ac:dyDescent="0.2">
      <c r="A1616" t="s">
        <v>2025</v>
      </c>
      <c r="B1616" t="s">
        <v>2026</v>
      </c>
      <c r="C1616">
        <v>70</v>
      </c>
      <c r="D1616">
        <v>980</v>
      </c>
      <c r="E1616">
        <v>0</v>
      </c>
      <c r="F1616">
        <v>0</v>
      </c>
      <c r="G1616">
        <v>48.865900000000003</v>
      </c>
      <c r="H1616">
        <v>3420.6129999999998</v>
      </c>
      <c r="I1616" t="s">
        <v>6145</v>
      </c>
      <c r="J1616" t="s">
        <v>6146</v>
      </c>
      <c r="K1616" t="s">
        <v>6147</v>
      </c>
    </row>
    <row r="1617" spans="1:11" ht="12.75" customHeight="1" x14ac:dyDescent="0.2">
      <c r="A1617" t="s">
        <v>2027</v>
      </c>
      <c r="B1617" t="s">
        <v>2028</v>
      </c>
      <c r="C1617">
        <v>8</v>
      </c>
      <c r="D1617">
        <v>128</v>
      </c>
      <c r="E1617">
        <v>0</v>
      </c>
      <c r="F1617">
        <v>0</v>
      </c>
      <c r="G1617">
        <v>52.883099999999999</v>
      </c>
      <c r="H1617">
        <v>423.06479999999999</v>
      </c>
      <c r="I1617" t="s">
        <v>17</v>
      </c>
      <c r="J1617" t="s">
        <v>18</v>
      </c>
      <c r="K1617" t="s">
        <v>19</v>
      </c>
    </row>
    <row r="1618" spans="1:11" ht="12.75" customHeight="1" x14ac:dyDescent="0.2">
      <c r="A1618" t="s">
        <v>2027</v>
      </c>
      <c r="B1618" t="s">
        <v>2028</v>
      </c>
      <c r="C1618">
        <v>196</v>
      </c>
      <c r="D1618">
        <v>3136</v>
      </c>
      <c r="E1618">
        <v>0</v>
      </c>
      <c r="F1618">
        <v>0</v>
      </c>
      <c r="G1618">
        <v>52.883099999999999</v>
      </c>
      <c r="H1618">
        <v>10365.087600000001</v>
      </c>
      <c r="I1618" t="s">
        <v>500</v>
      </c>
      <c r="J1618" t="s">
        <v>501</v>
      </c>
      <c r="K1618" t="s">
        <v>502</v>
      </c>
    </row>
    <row r="1619" spans="1:11" ht="12.75" customHeight="1" x14ac:dyDescent="0.2">
      <c r="A1619" t="s">
        <v>2029</v>
      </c>
      <c r="B1619" t="s">
        <v>2030</v>
      </c>
      <c r="C1619">
        <v>10</v>
      </c>
      <c r="D1619">
        <v>170</v>
      </c>
      <c r="E1619">
        <v>0</v>
      </c>
      <c r="F1619">
        <v>0</v>
      </c>
      <c r="G1619">
        <v>55.372300000000003</v>
      </c>
      <c r="H1619">
        <v>553.72299999999996</v>
      </c>
      <c r="I1619" t="s">
        <v>17</v>
      </c>
      <c r="J1619" t="s">
        <v>18</v>
      </c>
      <c r="K1619" t="s">
        <v>19</v>
      </c>
    </row>
    <row r="1620" spans="1:11" ht="12.75" customHeight="1" x14ac:dyDescent="0.2">
      <c r="A1620" t="s">
        <v>2029</v>
      </c>
      <c r="B1620" t="s">
        <v>2030</v>
      </c>
      <c r="C1620">
        <v>56</v>
      </c>
      <c r="D1620">
        <v>952</v>
      </c>
      <c r="E1620">
        <v>0</v>
      </c>
      <c r="F1620">
        <v>0</v>
      </c>
      <c r="G1620">
        <v>59.337299999999999</v>
      </c>
      <c r="H1620">
        <v>3322.8888000000002</v>
      </c>
      <c r="I1620" t="s">
        <v>6145</v>
      </c>
      <c r="J1620" t="s">
        <v>6146</v>
      </c>
      <c r="K1620" t="s">
        <v>6147</v>
      </c>
    </row>
    <row r="1621" spans="1:11" ht="12.75" customHeight="1" x14ac:dyDescent="0.2">
      <c r="A1621" t="s">
        <v>2031</v>
      </c>
      <c r="B1621" t="s">
        <v>2032</v>
      </c>
      <c r="C1621">
        <v>101</v>
      </c>
      <c r="D1621">
        <v>1818</v>
      </c>
      <c r="E1621">
        <v>0</v>
      </c>
      <c r="F1621">
        <v>0</v>
      </c>
      <c r="G1621">
        <v>58.629399999999997</v>
      </c>
      <c r="H1621">
        <v>5921.5694000000003</v>
      </c>
      <c r="I1621" t="s">
        <v>17</v>
      </c>
      <c r="J1621" t="s">
        <v>18</v>
      </c>
      <c r="K1621" t="s">
        <v>19</v>
      </c>
    </row>
    <row r="1622" spans="1:11" ht="12.75" customHeight="1" x14ac:dyDescent="0.2">
      <c r="A1622" t="s">
        <v>2033</v>
      </c>
      <c r="B1622" t="s">
        <v>2034</v>
      </c>
      <c r="C1622">
        <v>86</v>
      </c>
      <c r="D1622">
        <v>1634</v>
      </c>
      <c r="E1622">
        <v>0</v>
      </c>
      <c r="F1622">
        <v>0</v>
      </c>
      <c r="G1622">
        <v>61.886499999999998</v>
      </c>
      <c r="H1622">
        <v>5322.2389999999996</v>
      </c>
      <c r="I1622" t="s">
        <v>17</v>
      </c>
      <c r="J1622" t="s">
        <v>18</v>
      </c>
      <c r="K1622" t="s">
        <v>19</v>
      </c>
    </row>
    <row r="1623" spans="1:11" ht="12.75" customHeight="1" x14ac:dyDescent="0.2">
      <c r="A1623" t="s">
        <v>2033</v>
      </c>
      <c r="B1623" t="s">
        <v>2034</v>
      </c>
      <c r="C1623">
        <v>35</v>
      </c>
      <c r="D1623">
        <v>665</v>
      </c>
      <c r="E1623">
        <v>0</v>
      </c>
      <c r="F1623">
        <v>0</v>
      </c>
      <c r="G1623">
        <v>66.317999999999998</v>
      </c>
      <c r="H1623">
        <v>2321.13</v>
      </c>
      <c r="I1623" t="s">
        <v>6145</v>
      </c>
      <c r="J1623" t="s">
        <v>6146</v>
      </c>
      <c r="K1623" t="s">
        <v>6147</v>
      </c>
    </row>
    <row r="1624" spans="1:11" ht="12.75" customHeight="1" x14ac:dyDescent="0.2">
      <c r="A1624" t="s">
        <v>5887</v>
      </c>
      <c r="B1624" t="s">
        <v>6263</v>
      </c>
      <c r="C1624">
        <v>2</v>
      </c>
      <c r="D1624">
        <v>0</v>
      </c>
      <c r="E1624">
        <v>0</v>
      </c>
      <c r="F1624">
        <v>0</v>
      </c>
      <c r="G1624">
        <v>75.709999999999994</v>
      </c>
      <c r="H1624">
        <v>151.41999999999999</v>
      </c>
      <c r="I1624" t="s">
        <v>12</v>
      </c>
      <c r="J1624" t="s">
        <v>13</v>
      </c>
      <c r="K1624" t="s">
        <v>14</v>
      </c>
    </row>
    <row r="1625" spans="1:11" ht="12.75" customHeight="1" x14ac:dyDescent="0.2">
      <c r="A1625" t="s">
        <v>2035</v>
      </c>
      <c r="B1625" t="s">
        <v>2036</v>
      </c>
      <c r="C1625">
        <v>2</v>
      </c>
      <c r="D1625">
        <v>0</v>
      </c>
      <c r="E1625">
        <v>0</v>
      </c>
      <c r="F1625">
        <v>0</v>
      </c>
      <c r="G1625">
        <v>343.6</v>
      </c>
      <c r="H1625">
        <v>687.2</v>
      </c>
      <c r="I1625" t="s">
        <v>17</v>
      </c>
      <c r="J1625" t="s">
        <v>18</v>
      </c>
      <c r="K1625" t="s">
        <v>19</v>
      </c>
    </row>
    <row r="1626" spans="1:11" ht="12.75" customHeight="1" x14ac:dyDescent="0.2">
      <c r="A1626" t="s">
        <v>2037</v>
      </c>
      <c r="B1626" t="s">
        <v>1984</v>
      </c>
      <c r="C1626">
        <v>1</v>
      </c>
      <c r="D1626">
        <v>0</v>
      </c>
      <c r="E1626">
        <v>0</v>
      </c>
      <c r="F1626">
        <v>0</v>
      </c>
      <c r="G1626">
        <v>0.01</v>
      </c>
      <c r="H1626">
        <v>0.01</v>
      </c>
      <c r="I1626" t="s">
        <v>12</v>
      </c>
      <c r="J1626" t="s">
        <v>13</v>
      </c>
      <c r="K1626" t="s">
        <v>14</v>
      </c>
    </row>
    <row r="1627" spans="1:11" ht="12.75" customHeight="1" x14ac:dyDescent="0.2">
      <c r="A1627" t="s">
        <v>2042</v>
      </c>
      <c r="B1627" t="s">
        <v>1984</v>
      </c>
      <c r="C1627">
        <v>1</v>
      </c>
      <c r="D1627">
        <v>0</v>
      </c>
      <c r="E1627">
        <v>0</v>
      </c>
      <c r="F1627">
        <v>0</v>
      </c>
      <c r="G1627">
        <v>0.01</v>
      </c>
      <c r="H1627">
        <v>0.01</v>
      </c>
      <c r="I1627" t="s">
        <v>12</v>
      </c>
      <c r="J1627" t="s">
        <v>13</v>
      </c>
      <c r="K1627" t="s">
        <v>14</v>
      </c>
    </row>
    <row r="1628" spans="1:11" ht="12.75" customHeight="1" x14ac:dyDescent="0.2">
      <c r="A1628" t="s">
        <v>2043</v>
      </c>
      <c r="B1628" t="s">
        <v>2044</v>
      </c>
      <c r="C1628">
        <v>300</v>
      </c>
      <c r="D1628">
        <v>2400</v>
      </c>
      <c r="E1628">
        <v>0</v>
      </c>
      <c r="F1628">
        <v>0</v>
      </c>
      <c r="G1628">
        <v>44.584699999999998</v>
      </c>
      <c r="H1628">
        <v>13375.41</v>
      </c>
      <c r="I1628" t="s">
        <v>17</v>
      </c>
      <c r="J1628" t="s">
        <v>18</v>
      </c>
      <c r="K1628" t="s">
        <v>19</v>
      </c>
    </row>
    <row r="1629" spans="1:11" ht="12.75" customHeight="1" x14ac:dyDescent="0.2">
      <c r="A1629" t="s">
        <v>2045</v>
      </c>
      <c r="B1629" t="s">
        <v>2046</v>
      </c>
      <c r="C1629">
        <v>252</v>
      </c>
      <c r="D1629">
        <v>2520</v>
      </c>
      <c r="E1629">
        <v>0</v>
      </c>
      <c r="F1629">
        <v>0</v>
      </c>
      <c r="G1629">
        <v>55.730800000000002</v>
      </c>
      <c r="H1629">
        <v>14044.161599999999</v>
      </c>
      <c r="I1629" t="s">
        <v>17</v>
      </c>
      <c r="J1629" t="s">
        <v>18</v>
      </c>
      <c r="K1629" t="s">
        <v>19</v>
      </c>
    </row>
    <row r="1630" spans="1:11" ht="12.75" customHeight="1" x14ac:dyDescent="0.2">
      <c r="A1630" t="s">
        <v>2047</v>
      </c>
      <c r="B1630" t="s">
        <v>2048</v>
      </c>
      <c r="C1630">
        <v>146</v>
      </c>
      <c r="D1630">
        <v>1752</v>
      </c>
      <c r="E1630">
        <v>0</v>
      </c>
      <c r="F1630">
        <v>0</v>
      </c>
      <c r="G1630">
        <v>66.876999999999995</v>
      </c>
      <c r="H1630">
        <v>9764.0419999999995</v>
      </c>
      <c r="I1630" t="s">
        <v>17</v>
      </c>
      <c r="J1630" t="s">
        <v>18</v>
      </c>
      <c r="K1630" t="s">
        <v>19</v>
      </c>
    </row>
    <row r="1631" spans="1:11" ht="12.75" customHeight="1" x14ac:dyDescent="0.2">
      <c r="A1631" t="s">
        <v>2049</v>
      </c>
      <c r="B1631" t="s">
        <v>2050</v>
      </c>
      <c r="C1631">
        <v>731</v>
      </c>
      <c r="D1631">
        <v>10234</v>
      </c>
      <c r="E1631">
        <v>0</v>
      </c>
      <c r="F1631">
        <v>0</v>
      </c>
      <c r="G1631">
        <v>78.023099999999999</v>
      </c>
      <c r="H1631">
        <v>57034.886100000003</v>
      </c>
      <c r="I1631" t="s">
        <v>17</v>
      </c>
      <c r="J1631" t="s">
        <v>18</v>
      </c>
      <c r="K1631" t="s">
        <v>19</v>
      </c>
    </row>
    <row r="1632" spans="1:11" ht="12.75" customHeight="1" x14ac:dyDescent="0.2">
      <c r="A1632" t="s">
        <v>2051</v>
      </c>
      <c r="B1632" t="s">
        <v>2052</v>
      </c>
      <c r="C1632">
        <v>504</v>
      </c>
      <c r="D1632">
        <v>8064</v>
      </c>
      <c r="E1632">
        <v>0</v>
      </c>
      <c r="F1632">
        <v>0</v>
      </c>
      <c r="G1632">
        <v>89.169399999999996</v>
      </c>
      <c r="H1632">
        <v>44941.3776</v>
      </c>
      <c r="I1632" t="s">
        <v>17</v>
      </c>
      <c r="J1632" t="s">
        <v>18</v>
      </c>
      <c r="K1632" t="s">
        <v>19</v>
      </c>
    </row>
    <row r="1633" spans="1:11" ht="12.75" customHeight="1" x14ac:dyDescent="0.2">
      <c r="A1633" t="s">
        <v>2053</v>
      </c>
      <c r="B1633" t="s">
        <v>2054</v>
      </c>
      <c r="C1633">
        <v>189</v>
      </c>
      <c r="D1633">
        <v>1512</v>
      </c>
      <c r="E1633">
        <v>0</v>
      </c>
      <c r="F1633">
        <v>0</v>
      </c>
      <c r="G1633">
        <v>51.207500000000003</v>
      </c>
      <c r="H1633">
        <v>9678.2175000000007</v>
      </c>
      <c r="I1633" t="s">
        <v>24</v>
      </c>
      <c r="J1633" t="s">
        <v>25</v>
      </c>
      <c r="K1633" t="s">
        <v>26</v>
      </c>
    </row>
    <row r="1634" spans="1:11" ht="12.75" customHeight="1" x14ac:dyDescent="0.2">
      <c r="A1634" t="s">
        <v>2055</v>
      </c>
      <c r="B1634" t="s">
        <v>2056</v>
      </c>
      <c r="C1634">
        <v>203</v>
      </c>
      <c r="D1634">
        <v>2030</v>
      </c>
      <c r="E1634">
        <v>0</v>
      </c>
      <c r="F1634">
        <v>0</v>
      </c>
      <c r="G1634">
        <v>62.091099999999997</v>
      </c>
      <c r="H1634">
        <v>12604.4933</v>
      </c>
      <c r="I1634" t="s">
        <v>17</v>
      </c>
      <c r="J1634" t="s">
        <v>18</v>
      </c>
      <c r="K1634" t="s">
        <v>19</v>
      </c>
    </row>
    <row r="1635" spans="1:11" ht="12.75" customHeight="1" x14ac:dyDescent="0.2">
      <c r="A1635" t="s">
        <v>2055</v>
      </c>
      <c r="B1635" t="s">
        <v>2056</v>
      </c>
      <c r="C1635">
        <v>364</v>
      </c>
      <c r="D1635">
        <v>3640</v>
      </c>
      <c r="E1635">
        <v>0</v>
      </c>
      <c r="F1635">
        <v>0</v>
      </c>
      <c r="G1635">
        <v>64.003200000000007</v>
      </c>
      <c r="H1635">
        <v>23297.164799999999</v>
      </c>
      <c r="I1635" t="s">
        <v>24</v>
      </c>
      <c r="J1635" t="s">
        <v>25</v>
      </c>
      <c r="K1635" t="s">
        <v>26</v>
      </c>
    </row>
    <row r="1636" spans="1:11" ht="12.75" customHeight="1" x14ac:dyDescent="0.2">
      <c r="A1636" t="s">
        <v>2055</v>
      </c>
      <c r="B1636" t="s">
        <v>2056</v>
      </c>
      <c r="C1636">
        <v>362</v>
      </c>
      <c r="D1636">
        <v>3620</v>
      </c>
      <c r="E1636">
        <v>0</v>
      </c>
      <c r="F1636">
        <v>0</v>
      </c>
      <c r="G1636">
        <v>62.650700000000001</v>
      </c>
      <c r="H1636">
        <v>22679.553400000001</v>
      </c>
      <c r="I1636" t="s">
        <v>330</v>
      </c>
      <c r="J1636" t="s">
        <v>331</v>
      </c>
      <c r="K1636" t="s">
        <v>332</v>
      </c>
    </row>
    <row r="1637" spans="1:11" ht="12.75" customHeight="1" x14ac:dyDescent="0.2">
      <c r="A1637" t="s">
        <v>2057</v>
      </c>
      <c r="B1637" t="s">
        <v>2058</v>
      </c>
      <c r="C1637">
        <v>642</v>
      </c>
      <c r="D1637">
        <v>7704</v>
      </c>
      <c r="E1637">
        <v>0</v>
      </c>
      <c r="F1637">
        <v>0</v>
      </c>
      <c r="G1637">
        <v>76.297899999999998</v>
      </c>
      <c r="H1637">
        <v>48983.251799999998</v>
      </c>
      <c r="I1637" t="s">
        <v>17</v>
      </c>
      <c r="J1637" t="s">
        <v>18</v>
      </c>
      <c r="K1637" t="s">
        <v>19</v>
      </c>
    </row>
    <row r="1638" spans="1:11" ht="12.75" customHeight="1" x14ac:dyDescent="0.2">
      <c r="A1638" t="s">
        <v>2057</v>
      </c>
      <c r="B1638" t="s">
        <v>2058</v>
      </c>
      <c r="C1638">
        <v>268</v>
      </c>
      <c r="D1638">
        <v>3216</v>
      </c>
      <c r="E1638">
        <v>0</v>
      </c>
      <c r="F1638">
        <v>0</v>
      </c>
      <c r="G1638">
        <v>76.813400000000001</v>
      </c>
      <c r="H1638">
        <v>20585.9912</v>
      </c>
      <c r="I1638" t="s">
        <v>24</v>
      </c>
      <c r="J1638" t="s">
        <v>25</v>
      </c>
      <c r="K1638" t="s">
        <v>26</v>
      </c>
    </row>
    <row r="1639" spans="1:11" ht="12.75" customHeight="1" x14ac:dyDescent="0.2">
      <c r="A1639" t="s">
        <v>2057</v>
      </c>
      <c r="B1639" t="s">
        <v>2058</v>
      </c>
      <c r="C1639">
        <v>440</v>
      </c>
      <c r="D1639">
        <v>5280</v>
      </c>
      <c r="E1639">
        <v>0</v>
      </c>
      <c r="F1639">
        <v>0</v>
      </c>
      <c r="G1639">
        <v>75.1678</v>
      </c>
      <c r="H1639">
        <v>33073.832000000002</v>
      </c>
      <c r="I1639" t="s">
        <v>330</v>
      </c>
      <c r="J1639" t="s">
        <v>331</v>
      </c>
      <c r="K1639" t="s">
        <v>332</v>
      </c>
    </row>
    <row r="1640" spans="1:11" ht="12.75" customHeight="1" x14ac:dyDescent="0.2">
      <c r="A1640" t="s">
        <v>2059</v>
      </c>
      <c r="B1640" t="s">
        <v>2060</v>
      </c>
      <c r="C1640">
        <v>536</v>
      </c>
      <c r="D1640">
        <v>7504</v>
      </c>
      <c r="E1640">
        <v>0</v>
      </c>
      <c r="F1640">
        <v>0</v>
      </c>
      <c r="G1640">
        <v>86.927700000000002</v>
      </c>
      <c r="H1640">
        <v>46593.247199999998</v>
      </c>
      <c r="I1640" t="s">
        <v>17</v>
      </c>
      <c r="J1640" t="s">
        <v>18</v>
      </c>
      <c r="K1640" t="s">
        <v>19</v>
      </c>
    </row>
    <row r="1641" spans="1:11" ht="12.75" customHeight="1" x14ac:dyDescent="0.2">
      <c r="A1641" t="s">
        <v>2059</v>
      </c>
      <c r="B1641" t="s">
        <v>2060</v>
      </c>
      <c r="C1641">
        <v>306</v>
      </c>
      <c r="D1641">
        <v>4284</v>
      </c>
      <c r="E1641">
        <v>0</v>
      </c>
      <c r="F1641">
        <v>0</v>
      </c>
      <c r="G1641">
        <v>89.599299999999999</v>
      </c>
      <c r="H1641">
        <v>27417.3858</v>
      </c>
      <c r="I1641" t="s">
        <v>24</v>
      </c>
      <c r="J1641" t="s">
        <v>25</v>
      </c>
      <c r="K1641" t="s">
        <v>26</v>
      </c>
    </row>
    <row r="1642" spans="1:11" ht="12.75" customHeight="1" x14ac:dyDescent="0.2">
      <c r="A1642" t="s">
        <v>2059</v>
      </c>
      <c r="B1642" t="s">
        <v>2060</v>
      </c>
      <c r="C1642">
        <v>207</v>
      </c>
      <c r="D1642">
        <v>2898</v>
      </c>
      <c r="E1642">
        <v>0</v>
      </c>
      <c r="F1642">
        <v>0</v>
      </c>
      <c r="G1642">
        <v>87.711699999999993</v>
      </c>
      <c r="H1642">
        <v>18156.321899999999</v>
      </c>
      <c r="I1642" t="s">
        <v>330</v>
      </c>
      <c r="J1642" t="s">
        <v>331</v>
      </c>
      <c r="K1642" t="s">
        <v>332</v>
      </c>
    </row>
    <row r="1643" spans="1:11" ht="12.75" customHeight="1" x14ac:dyDescent="0.2">
      <c r="A1643" t="s">
        <v>2061</v>
      </c>
      <c r="B1643" t="s">
        <v>2062</v>
      </c>
      <c r="C1643">
        <v>713</v>
      </c>
      <c r="D1643">
        <v>11408</v>
      </c>
      <c r="E1643">
        <v>0</v>
      </c>
      <c r="F1643">
        <v>0</v>
      </c>
      <c r="G1643">
        <v>100.4778</v>
      </c>
      <c r="H1643">
        <v>71640.671400000007</v>
      </c>
      <c r="I1643" t="s">
        <v>17</v>
      </c>
      <c r="J1643" t="s">
        <v>18</v>
      </c>
      <c r="K1643" t="s">
        <v>19</v>
      </c>
    </row>
    <row r="1644" spans="1:11" ht="12.75" customHeight="1" x14ac:dyDescent="0.2">
      <c r="A1644" t="s">
        <v>2061</v>
      </c>
      <c r="B1644" t="s">
        <v>2062</v>
      </c>
      <c r="C1644">
        <v>713</v>
      </c>
      <c r="D1644">
        <v>11408</v>
      </c>
      <c r="E1644">
        <v>0</v>
      </c>
      <c r="F1644">
        <v>0</v>
      </c>
      <c r="G1644">
        <v>102.4157</v>
      </c>
      <c r="H1644">
        <v>73022.394100000005</v>
      </c>
      <c r="I1644" t="s">
        <v>24</v>
      </c>
      <c r="J1644" t="s">
        <v>25</v>
      </c>
      <c r="K1644" t="s">
        <v>26</v>
      </c>
    </row>
    <row r="1645" spans="1:11" ht="12.75" customHeight="1" x14ac:dyDescent="0.2">
      <c r="A1645" t="s">
        <v>2061</v>
      </c>
      <c r="B1645" t="s">
        <v>2062</v>
      </c>
      <c r="C1645">
        <v>726</v>
      </c>
      <c r="D1645">
        <v>11616</v>
      </c>
      <c r="E1645">
        <v>0</v>
      </c>
      <c r="F1645">
        <v>0</v>
      </c>
      <c r="G1645">
        <v>100.247</v>
      </c>
      <c r="H1645">
        <v>72779.322</v>
      </c>
      <c r="I1645" t="s">
        <v>330</v>
      </c>
      <c r="J1645" t="s">
        <v>331</v>
      </c>
      <c r="K1645" t="s">
        <v>332</v>
      </c>
    </row>
    <row r="1646" spans="1:11" ht="12.75" customHeight="1" x14ac:dyDescent="0.2">
      <c r="A1646" t="s">
        <v>2063</v>
      </c>
      <c r="B1646" t="s">
        <v>2064</v>
      </c>
      <c r="C1646">
        <v>75</v>
      </c>
      <c r="D1646">
        <v>1500</v>
      </c>
      <c r="E1646">
        <v>0</v>
      </c>
      <c r="F1646">
        <v>0</v>
      </c>
      <c r="G1646">
        <v>65.143699999999995</v>
      </c>
      <c r="H1646">
        <v>4885.7775000000001</v>
      </c>
      <c r="I1646" t="s">
        <v>17</v>
      </c>
      <c r="J1646" t="s">
        <v>18</v>
      </c>
      <c r="K1646" t="s">
        <v>19</v>
      </c>
    </row>
    <row r="1647" spans="1:11" ht="12.75" customHeight="1" x14ac:dyDescent="0.2">
      <c r="A1647" t="s">
        <v>2065</v>
      </c>
      <c r="B1647" t="s">
        <v>2066</v>
      </c>
      <c r="C1647">
        <v>93</v>
      </c>
      <c r="D1647">
        <v>1860</v>
      </c>
      <c r="E1647">
        <v>0</v>
      </c>
      <c r="F1647">
        <v>56</v>
      </c>
      <c r="G1647">
        <v>78.989400000000003</v>
      </c>
      <c r="H1647">
        <v>7346.0141999999996</v>
      </c>
      <c r="I1647" t="s">
        <v>17</v>
      </c>
      <c r="J1647" t="s">
        <v>18</v>
      </c>
      <c r="K1647" t="s">
        <v>19</v>
      </c>
    </row>
    <row r="1648" spans="1:11" ht="12.75" customHeight="1" x14ac:dyDescent="0.2">
      <c r="A1648" t="s">
        <v>5562</v>
      </c>
      <c r="B1648" t="s">
        <v>6233</v>
      </c>
      <c r="C1648">
        <v>2</v>
      </c>
      <c r="D1648">
        <v>16</v>
      </c>
      <c r="E1648">
        <v>0</v>
      </c>
      <c r="F1648">
        <v>0</v>
      </c>
      <c r="G1648">
        <v>15.44</v>
      </c>
      <c r="H1648">
        <v>30.88</v>
      </c>
      <c r="I1648" t="s">
        <v>12</v>
      </c>
      <c r="J1648" t="s">
        <v>13</v>
      </c>
      <c r="K1648" t="s">
        <v>14</v>
      </c>
    </row>
    <row r="1649" spans="1:11" ht="12.75" customHeight="1" x14ac:dyDescent="0.2">
      <c r="A1649" t="s">
        <v>2067</v>
      </c>
      <c r="B1649" t="s">
        <v>2068</v>
      </c>
      <c r="C1649">
        <v>259</v>
      </c>
      <c r="D1649">
        <v>4921</v>
      </c>
      <c r="E1649">
        <v>0</v>
      </c>
      <c r="F1649">
        <v>0</v>
      </c>
      <c r="G1649">
        <v>28.170100000000001</v>
      </c>
      <c r="H1649">
        <v>7296.0559000000003</v>
      </c>
      <c r="I1649" t="s">
        <v>500</v>
      </c>
      <c r="J1649" t="s">
        <v>501</v>
      </c>
      <c r="K1649" t="s">
        <v>502</v>
      </c>
    </row>
    <row r="1650" spans="1:11" ht="12.75" customHeight="1" x14ac:dyDescent="0.2">
      <c r="A1650" t="s">
        <v>2069</v>
      </c>
      <c r="B1650" t="s">
        <v>1984</v>
      </c>
      <c r="C1650">
        <v>1</v>
      </c>
      <c r="D1650">
        <v>0</v>
      </c>
      <c r="E1650">
        <v>0</v>
      </c>
      <c r="F1650">
        <v>0</v>
      </c>
      <c r="G1650">
        <v>0.01</v>
      </c>
      <c r="H1650">
        <v>0.01</v>
      </c>
      <c r="I1650" t="s">
        <v>12</v>
      </c>
      <c r="J1650" t="s">
        <v>13</v>
      </c>
      <c r="K1650" t="s">
        <v>14</v>
      </c>
    </row>
    <row r="1651" spans="1:11" ht="12.75" customHeight="1" x14ac:dyDescent="0.2">
      <c r="A1651" t="s">
        <v>2070</v>
      </c>
      <c r="B1651" t="s">
        <v>1984</v>
      </c>
      <c r="C1651">
        <v>1</v>
      </c>
      <c r="D1651">
        <v>0</v>
      </c>
      <c r="E1651">
        <v>0</v>
      </c>
      <c r="F1651">
        <v>0</v>
      </c>
      <c r="G1651">
        <v>0.01</v>
      </c>
      <c r="H1651">
        <v>0.01</v>
      </c>
      <c r="I1651" t="s">
        <v>12</v>
      </c>
      <c r="J1651" t="s">
        <v>13</v>
      </c>
      <c r="K1651" t="s">
        <v>14</v>
      </c>
    </row>
    <row r="1652" spans="1:11" ht="12.75" customHeight="1" x14ac:dyDescent="0.2">
      <c r="A1652" t="s">
        <v>2071</v>
      </c>
      <c r="B1652" t="s">
        <v>1984</v>
      </c>
      <c r="C1652">
        <v>1</v>
      </c>
      <c r="D1652">
        <v>0</v>
      </c>
      <c r="E1652">
        <v>0</v>
      </c>
      <c r="F1652">
        <v>0</v>
      </c>
      <c r="G1652">
        <v>0.01</v>
      </c>
      <c r="H1652">
        <v>0.01</v>
      </c>
      <c r="I1652" t="s">
        <v>12</v>
      </c>
      <c r="J1652" t="s">
        <v>13</v>
      </c>
      <c r="K1652" t="s">
        <v>14</v>
      </c>
    </row>
    <row r="1653" spans="1:11" ht="12.75" customHeight="1" x14ac:dyDescent="0.2">
      <c r="A1653" t="s">
        <v>2072</v>
      </c>
      <c r="B1653" t="s">
        <v>2073</v>
      </c>
      <c r="C1653">
        <v>14</v>
      </c>
      <c r="D1653">
        <v>266</v>
      </c>
      <c r="E1653">
        <v>0</v>
      </c>
      <c r="F1653">
        <v>14</v>
      </c>
      <c r="G1653">
        <v>20.2</v>
      </c>
      <c r="H1653">
        <v>282.8</v>
      </c>
      <c r="I1653" t="s">
        <v>17</v>
      </c>
      <c r="J1653" t="s">
        <v>18</v>
      </c>
      <c r="K1653" t="s">
        <v>19</v>
      </c>
    </row>
    <row r="1654" spans="1:11" ht="12.75" customHeight="1" x14ac:dyDescent="0.2">
      <c r="A1654" t="s">
        <v>2074</v>
      </c>
      <c r="B1654" t="s">
        <v>1984</v>
      </c>
      <c r="C1654">
        <v>1</v>
      </c>
      <c r="D1654">
        <v>0</v>
      </c>
      <c r="E1654">
        <v>0</v>
      </c>
      <c r="F1654">
        <v>0</v>
      </c>
      <c r="G1654">
        <v>0.01</v>
      </c>
      <c r="H1654">
        <v>0.01</v>
      </c>
      <c r="I1654" t="s">
        <v>12</v>
      </c>
      <c r="J1654" t="s">
        <v>13</v>
      </c>
      <c r="K1654" t="s">
        <v>14</v>
      </c>
    </row>
    <row r="1655" spans="1:11" ht="12.75" customHeight="1" x14ac:dyDescent="0.2">
      <c r="A1655" t="s">
        <v>6127</v>
      </c>
      <c r="B1655" t="s">
        <v>1984</v>
      </c>
      <c r="C1655">
        <v>1</v>
      </c>
      <c r="D1655">
        <v>0</v>
      </c>
      <c r="E1655">
        <v>0</v>
      </c>
      <c r="F1655">
        <v>0</v>
      </c>
      <c r="G1655">
        <v>0.01</v>
      </c>
      <c r="H1655">
        <v>0.01</v>
      </c>
      <c r="I1655" t="s">
        <v>12</v>
      </c>
      <c r="J1655" t="s">
        <v>13</v>
      </c>
      <c r="K1655" t="s">
        <v>14</v>
      </c>
    </row>
    <row r="1656" spans="1:11" ht="12.75" customHeight="1" x14ac:dyDescent="0.2">
      <c r="A1656" t="s">
        <v>6141</v>
      </c>
      <c r="B1656" t="s">
        <v>1984</v>
      </c>
      <c r="C1656">
        <v>1</v>
      </c>
      <c r="D1656">
        <v>0</v>
      </c>
      <c r="E1656">
        <v>0</v>
      </c>
      <c r="F1656">
        <v>0</v>
      </c>
      <c r="G1656">
        <v>0.01</v>
      </c>
      <c r="H1656">
        <v>0.01</v>
      </c>
      <c r="I1656" t="s">
        <v>12</v>
      </c>
      <c r="J1656" t="s">
        <v>13</v>
      </c>
      <c r="K1656" t="s">
        <v>14</v>
      </c>
    </row>
    <row r="1657" spans="1:11" ht="12.75" customHeight="1" x14ac:dyDescent="0.2">
      <c r="A1657" t="s">
        <v>6264</v>
      </c>
      <c r="B1657" t="s">
        <v>6265</v>
      </c>
      <c r="C1657">
        <v>7935</v>
      </c>
      <c r="D1657">
        <v>0</v>
      </c>
      <c r="E1657">
        <v>0</v>
      </c>
      <c r="F1657">
        <v>7935</v>
      </c>
      <c r="G1657">
        <v>0.86929999999999996</v>
      </c>
      <c r="H1657">
        <v>6897.8954999999996</v>
      </c>
      <c r="I1657" t="s">
        <v>12</v>
      </c>
      <c r="J1657" t="s">
        <v>13</v>
      </c>
      <c r="K1657" t="s">
        <v>14</v>
      </c>
    </row>
    <row r="1658" spans="1:11" ht="12.75" customHeight="1" x14ac:dyDescent="0.2">
      <c r="A1658" t="s">
        <v>6142</v>
      </c>
      <c r="B1658" t="s">
        <v>1984</v>
      </c>
      <c r="C1658">
        <v>1</v>
      </c>
      <c r="D1658">
        <v>0</v>
      </c>
      <c r="E1658">
        <v>0</v>
      </c>
      <c r="F1658">
        <v>0</v>
      </c>
      <c r="G1658">
        <v>0.01</v>
      </c>
      <c r="H1658">
        <v>0.01</v>
      </c>
      <c r="I1658" t="s">
        <v>12</v>
      </c>
      <c r="J1658" t="s">
        <v>13</v>
      </c>
      <c r="K1658" t="s">
        <v>14</v>
      </c>
    </row>
    <row r="1659" spans="1:11" ht="12.75" customHeight="1" x14ac:dyDescent="0.2">
      <c r="A1659" t="s">
        <v>6266</v>
      </c>
      <c r="B1659" t="s">
        <v>6267</v>
      </c>
      <c r="C1659">
        <v>4058</v>
      </c>
      <c r="D1659">
        <v>0</v>
      </c>
      <c r="E1659">
        <v>0</v>
      </c>
      <c r="F1659">
        <v>4058</v>
      </c>
      <c r="G1659">
        <v>0.24579999999999999</v>
      </c>
      <c r="H1659">
        <v>997.45640000000003</v>
      </c>
      <c r="I1659" t="s">
        <v>12</v>
      </c>
      <c r="J1659" t="s">
        <v>13</v>
      </c>
      <c r="K1659" t="s">
        <v>14</v>
      </c>
    </row>
    <row r="1660" spans="1:11" ht="12.75" customHeight="1" x14ac:dyDescent="0.2">
      <c r="A1660" t="s">
        <v>6268</v>
      </c>
      <c r="B1660" t="s">
        <v>6269</v>
      </c>
      <c r="C1660">
        <v>4058</v>
      </c>
      <c r="D1660">
        <v>0</v>
      </c>
      <c r="E1660">
        <v>0</v>
      </c>
      <c r="F1660">
        <v>4058</v>
      </c>
      <c r="G1660">
        <v>0.90069999999999995</v>
      </c>
      <c r="H1660">
        <v>3655.0405999999998</v>
      </c>
      <c r="I1660" t="s">
        <v>12</v>
      </c>
      <c r="J1660" t="s">
        <v>13</v>
      </c>
      <c r="K1660" t="s">
        <v>14</v>
      </c>
    </row>
    <row r="1661" spans="1:11" ht="12.75" customHeight="1" x14ac:dyDescent="0.2">
      <c r="A1661" t="s">
        <v>6261</v>
      </c>
      <c r="B1661" t="s">
        <v>1984</v>
      </c>
      <c r="C1661">
        <v>1</v>
      </c>
      <c r="D1661">
        <v>0</v>
      </c>
      <c r="E1661">
        <v>0</v>
      </c>
      <c r="F1661">
        <v>0</v>
      </c>
      <c r="G1661">
        <v>0.01</v>
      </c>
      <c r="H1661">
        <v>0.01</v>
      </c>
      <c r="I1661" t="s">
        <v>12</v>
      </c>
      <c r="J1661" t="s">
        <v>13</v>
      </c>
      <c r="K1661" t="s">
        <v>14</v>
      </c>
    </row>
  </sheetData>
  <pageMargins left="0" right="0" top="0" bottom="0" header="0" footer="0"/>
  <pageSetup paperSize="5" fitToWidth="0" fitToHeight="0" orientation="landscape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B49C-4C80-419B-B12D-B3934A2EC5A4}">
  <sheetPr codeName="Planilha3"/>
  <dimension ref="A1:V1526"/>
  <sheetViews>
    <sheetView tabSelected="1" topLeftCell="A1483" zoomScale="90" zoomScaleNormal="90" workbookViewId="0">
      <selection activeCell="A1526" sqref="A1526"/>
    </sheetView>
  </sheetViews>
  <sheetFormatPr defaultRowHeight="12.75" x14ac:dyDescent="0.2"/>
  <cols>
    <col min="1" max="1" width="22.140625" customWidth="1"/>
    <col min="2" max="2" width="16.7109375" style="5" bestFit="1" customWidth="1"/>
    <col min="3" max="3" width="14.5703125" style="5" bestFit="1" customWidth="1"/>
    <col min="4" max="4" width="14.42578125" style="5" bestFit="1" customWidth="1"/>
    <col min="5" max="5" width="18" style="6" bestFit="1" customWidth="1"/>
    <col min="6" max="6" width="15.85546875" style="6" bestFit="1" customWidth="1"/>
    <col min="7" max="7" width="23.85546875" bestFit="1" customWidth="1"/>
    <col min="8" max="8" width="12.85546875" bestFit="1" customWidth="1"/>
    <col min="9" max="9" width="17.42578125" bestFit="1" customWidth="1"/>
    <col min="10" max="10" width="22.7109375" bestFit="1" customWidth="1"/>
    <col min="11" max="11" width="13.42578125" bestFit="1" customWidth="1"/>
    <col min="12" max="12" width="12.7109375" bestFit="1" customWidth="1"/>
    <col min="13" max="13" width="32.42578125" bestFit="1" customWidth="1"/>
    <col min="14" max="14" width="33.28515625" bestFit="1" customWidth="1"/>
    <col min="15" max="15" width="20" bestFit="1" customWidth="1"/>
    <col min="16" max="16" width="8.85546875" bestFit="1" customWidth="1"/>
    <col min="17" max="17" width="10.5703125" bestFit="1" customWidth="1"/>
    <col min="18" max="18" width="16.140625" style="7" bestFit="1" customWidth="1"/>
    <col min="19" max="19" width="9.85546875" style="8" bestFit="1" customWidth="1"/>
    <col min="20" max="20" width="16.140625" style="7" bestFit="1" customWidth="1"/>
    <col min="21" max="21" width="13.28515625" style="15" bestFit="1" customWidth="1"/>
    <col min="22" max="22" width="12.42578125" bestFit="1" customWidth="1"/>
  </cols>
  <sheetData>
    <row r="1" spans="1:22" ht="15" x14ac:dyDescent="0.25">
      <c r="A1" s="9" t="s">
        <v>0</v>
      </c>
      <c r="B1" s="10" t="s">
        <v>2</v>
      </c>
      <c r="C1" s="10" t="s">
        <v>5</v>
      </c>
      <c r="D1" s="10" t="s">
        <v>6123</v>
      </c>
      <c r="E1" s="11" t="s">
        <v>6</v>
      </c>
      <c r="F1" s="11" t="s">
        <v>6124</v>
      </c>
      <c r="G1" s="9" t="s">
        <v>8</v>
      </c>
      <c r="H1" s="9" t="s">
        <v>10</v>
      </c>
      <c r="I1" s="9" t="s">
        <v>2075</v>
      </c>
      <c r="J1" s="9" t="s">
        <v>2076</v>
      </c>
      <c r="K1" s="9" t="s">
        <v>2077</v>
      </c>
      <c r="L1" s="9" t="s">
        <v>2078</v>
      </c>
      <c r="M1" s="9" t="s">
        <v>2080</v>
      </c>
      <c r="N1" s="9" t="s">
        <v>2081</v>
      </c>
      <c r="O1" s="9" t="s">
        <v>2082</v>
      </c>
      <c r="P1" s="9" t="s">
        <v>2083</v>
      </c>
      <c r="Q1" s="9" t="s">
        <v>2084</v>
      </c>
      <c r="R1" s="12" t="s">
        <v>2092</v>
      </c>
      <c r="S1" s="13" t="s">
        <v>6125</v>
      </c>
      <c r="T1" s="12" t="s">
        <v>6253</v>
      </c>
      <c r="U1" s="14" t="s">
        <v>6254</v>
      </c>
      <c r="V1" s="9" t="s">
        <v>6126</v>
      </c>
    </row>
    <row r="2" spans="1:22" x14ac:dyDescent="0.2">
      <c r="A2" t="s">
        <v>15</v>
      </c>
      <c r="B2" s="5">
        <v>200</v>
      </c>
      <c r="C2" s="5">
        <v>0</v>
      </c>
      <c r="D2" s="5">
        <f t="shared" ref="D2:D65" si="0">B2-C2</f>
        <v>200</v>
      </c>
      <c r="E2" s="6">
        <v>54.46</v>
      </c>
      <c r="F2" s="6">
        <f t="shared" ref="F2:F65" si="1">B2*E2</f>
        <v>10892</v>
      </c>
      <c r="G2" t="s">
        <v>17</v>
      </c>
      <c r="H2">
        <v>9007</v>
      </c>
      <c r="I2" t="str">
        <f>IFERROR(_xlfn.XLOOKUP($A2,'Base SKUs'!$E:$E,'Base SKUs'!A:A),"")</f>
        <v>Abodo</v>
      </c>
      <c r="J2" t="str">
        <f>IFERROR(_xlfn.XLOOKUP($A2,'Base SKUs'!$E:$E,'Base SKUs'!B:B),"")</f>
        <v>Abodo 4L</v>
      </c>
      <c r="K2" t="str">
        <f>IFERROR(_xlfn.XLOOKUP($A2,'Base SKUs'!$E:$E,'Base SKUs'!C:C),"")</f>
        <v>Oil</v>
      </c>
      <c r="L2" t="str">
        <f>IFERROR(_xlfn.XLOOKUP($A2,'Base SKUs'!$E:$E,'Base SKUs'!D:D),"")</f>
        <v>Oil</v>
      </c>
      <c r="M2" t="str">
        <f>IFERROR(_xlfn.XLOOKUP($A2,'Base SKUs'!$E:$E,'Base SKUs'!G:G),"")</f>
        <v>Nero</v>
      </c>
      <c r="N2" t="str">
        <f>IFERROR(_xlfn.XLOOKUP($A2,'Base SKUs'!$E:$E,'Base SKUs'!H:H),"")</f>
        <v>Abodo Protector Water Born</v>
      </c>
      <c r="O2" t="str">
        <f>IFERROR(_xlfn.XLOOKUP($A2,'Base SKUs'!$E:$E,'Base SKUs'!I:I),"")</f>
        <v>-</v>
      </c>
      <c r="P2" t="str">
        <f>IFERROR(_xlfn.XLOOKUP($A2,'Base SKUs'!$E:$E,'Base SKUs'!J:J),"")</f>
        <v>4L</v>
      </c>
      <c r="Q2">
        <f>IFERROR(_xlfn.XLOOKUP($A2,'Base SKUs'!$E:$E,'Base SKUs'!K:K),"")</f>
        <v>0</v>
      </c>
      <c r="R2" s="7">
        <f>IFERROR(_xlfn.XLOOKUP($A2,'Base SKUs'!$E:$E,'Base SKUs'!S:S),"")</f>
        <v>0</v>
      </c>
      <c r="S2" s="8">
        <f t="shared" ref="S2:S65" si="2">IF(OR(L2="Saicos",L2="Oil",L2="US4",L2="Wood Table",L2="Woca",L2="Norx",N2="Tiles"),D2,D2*R2)</f>
        <v>200</v>
      </c>
      <c r="T2" s="7">
        <f>IFERROR(_xlfn.XLOOKUP($A2,'Base SKUs'!$E:$E,'Base SKUs'!R:R),"")</f>
        <v>0</v>
      </c>
      <c r="U2" s="15">
        <f t="shared" ref="U2:U65" si="3">ROUND(IF(OR(L2="Saicos",L2="Oil",L2="US4",L2="Wood Table",L2="Woca",L2="Norx",N2="Tiles"),D2,S2*T2),0)</f>
        <v>200</v>
      </c>
      <c r="V2" t="str">
        <f t="shared" ref="V2:V65" si="4">IF(H2=9007,"Miami",IF(H2=9008,"Texas",IF(H2=9009,"Boston",IF(H2=9010,"BS Detroit",IF(H2=9011,"New York",IF(H2=9012,"HW Perris",IF(H2=9013,"BS Riverside",IF(H2=9014,"On the Way",IF(H2=9015,"Russin",IF(H2=9016,"Palm Beach",""))))))))))</f>
        <v>Miami</v>
      </c>
    </row>
    <row r="3" spans="1:22" x14ac:dyDescent="0.2">
      <c r="A3" t="s">
        <v>20</v>
      </c>
      <c r="B3" s="5">
        <v>200</v>
      </c>
      <c r="C3" s="5">
        <v>0</v>
      </c>
      <c r="D3" s="5">
        <f t="shared" si="0"/>
        <v>200</v>
      </c>
      <c r="E3" s="6">
        <v>54.46</v>
      </c>
      <c r="F3" s="6">
        <f t="shared" si="1"/>
        <v>10892</v>
      </c>
      <c r="G3" t="s">
        <v>17</v>
      </c>
      <c r="H3">
        <v>9007</v>
      </c>
      <c r="I3" t="str">
        <f>IFERROR(_xlfn.XLOOKUP($A3,'Base SKUs'!$E:$E,'Base SKUs'!A:A),"")</f>
        <v>Abodo</v>
      </c>
      <c r="J3" t="str">
        <f>IFERROR(_xlfn.XLOOKUP($A3,'Base SKUs'!$E:$E,'Base SKUs'!B:B),"")</f>
        <v>Abodo 4L</v>
      </c>
      <c r="K3" t="str">
        <f>IFERROR(_xlfn.XLOOKUP($A3,'Base SKUs'!$E:$E,'Base SKUs'!C:C),"")</f>
        <v>Oil</v>
      </c>
      <c r="L3" t="str">
        <f>IFERROR(_xlfn.XLOOKUP($A3,'Base SKUs'!$E:$E,'Base SKUs'!D:D),"")</f>
        <v>Oil</v>
      </c>
      <c r="M3" t="str">
        <f>IFERROR(_xlfn.XLOOKUP($A3,'Base SKUs'!$E:$E,'Base SKUs'!G:G),"")</f>
        <v>White</v>
      </c>
      <c r="N3" t="str">
        <f>IFERROR(_xlfn.XLOOKUP($A3,'Base SKUs'!$E:$E,'Base SKUs'!H:H),"")</f>
        <v>Abodo Protector Water Born</v>
      </c>
      <c r="O3" t="str">
        <f>IFERROR(_xlfn.XLOOKUP($A3,'Base SKUs'!$E:$E,'Base SKUs'!I:I),"")</f>
        <v>-</v>
      </c>
      <c r="P3" t="str">
        <f>IFERROR(_xlfn.XLOOKUP($A3,'Base SKUs'!$E:$E,'Base SKUs'!J:J),"")</f>
        <v>4L</v>
      </c>
      <c r="Q3">
        <f>IFERROR(_xlfn.XLOOKUP($A3,'Base SKUs'!$E:$E,'Base SKUs'!K:K),"")</f>
        <v>0</v>
      </c>
      <c r="R3" s="7">
        <f>IFERROR(_xlfn.XLOOKUP($A3,'Base SKUs'!$E:$E,'Base SKUs'!S:S),"")</f>
        <v>0</v>
      </c>
      <c r="S3" s="8">
        <f t="shared" si="2"/>
        <v>200</v>
      </c>
      <c r="T3" s="7">
        <f>IFERROR(_xlfn.XLOOKUP($A3,'Base SKUs'!$E:$E,'Base SKUs'!R:R),"")</f>
        <v>0</v>
      </c>
      <c r="U3" s="15">
        <f t="shared" si="3"/>
        <v>200</v>
      </c>
      <c r="V3" t="str">
        <f t="shared" si="4"/>
        <v>Miami</v>
      </c>
    </row>
    <row r="4" spans="1:22" x14ac:dyDescent="0.2">
      <c r="A4" t="s">
        <v>22</v>
      </c>
      <c r="B4" s="5">
        <v>127</v>
      </c>
      <c r="C4" s="5">
        <v>0</v>
      </c>
      <c r="D4" s="5">
        <f t="shared" si="0"/>
        <v>127</v>
      </c>
      <c r="E4" s="6">
        <v>13.0913</v>
      </c>
      <c r="F4" s="6">
        <f t="shared" si="1"/>
        <v>1662.5951</v>
      </c>
      <c r="G4" t="s">
        <v>24</v>
      </c>
      <c r="H4">
        <v>9008</v>
      </c>
      <c r="I4" t="str">
        <f>IFERROR(_xlfn.XLOOKUP($A4,'Base SKUs'!$E:$E,'Base SKUs'!A:A),"")</f>
        <v>Angelim</v>
      </c>
      <c r="J4" t="str">
        <f>IFERROR(_xlfn.XLOOKUP($A4,'Base SKUs'!$E:$E,'Base SKUs'!B:B),"")</f>
        <v>Angelim 1.5x6</v>
      </c>
      <c r="K4" t="str">
        <f>IFERROR(_xlfn.XLOOKUP($A4,'Base SKUs'!$E:$E,'Base SKUs'!C:C),"")</f>
        <v>Long</v>
      </c>
      <c r="L4" t="str">
        <f>IFERROR(_xlfn.XLOOKUP($A4,'Base SKUs'!$E:$E,'Base SKUs'!D:D),"")</f>
        <v>Hardwoods</v>
      </c>
      <c r="M4" t="str">
        <f>IFERROR(_xlfn.XLOOKUP($A4,'Base SKUs'!$E:$E,'Base SKUs'!G:G),"")</f>
        <v>Angelim Pedra</v>
      </c>
      <c r="N4" t="str">
        <f>IFERROR(_xlfn.XLOOKUP($A4,'Base SKUs'!$E:$E,'Base SKUs'!H:H),"")</f>
        <v>Rough Sawn</v>
      </c>
      <c r="O4" t="str">
        <f>IFERROR(_xlfn.XLOOKUP($A4,'Base SKUs'!$E:$E,'Base SKUs'!I:I),"")</f>
        <v>-</v>
      </c>
      <c r="P4" t="str">
        <f>IFERROR(_xlfn.XLOOKUP($A4,'Base SKUs'!$E:$E,'Base SKUs'!J:J),"")</f>
        <v>1.5x6</v>
      </c>
      <c r="Q4">
        <f>IFERROR(_xlfn.XLOOKUP($A4,'Base SKUs'!$E:$E,'Base SKUs'!K:K),"")</f>
        <v>10</v>
      </c>
      <c r="R4" s="7">
        <f>IFERROR(_xlfn.XLOOKUP($A4,'Base SKUs'!$E:$E,'Base SKUs'!S:S),"")</f>
        <v>1.7698029120000004E-2</v>
      </c>
      <c r="S4" s="8">
        <f t="shared" si="2"/>
        <v>2.2476496982400005</v>
      </c>
      <c r="T4" s="7">
        <f>IFERROR(_xlfn.XLOOKUP($A4,'Base SKUs'!$E:$E,'Base SKUs'!R:R),"")</f>
        <v>565.03499999999997</v>
      </c>
      <c r="U4" s="15">
        <f t="shared" si="3"/>
        <v>1270</v>
      </c>
      <c r="V4" t="str">
        <f t="shared" si="4"/>
        <v>Texas</v>
      </c>
    </row>
    <row r="5" spans="1:22" x14ac:dyDescent="0.2">
      <c r="A5" t="s">
        <v>27</v>
      </c>
      <c r="B5" s="5">
        <v>177</v>
      </c>
      <c r="C5" s="5">
        <v>0</v>
      </c>
      <c r="D5" s="5">
        <f t="shared" si="0"/>
        <v>177</v>
      </c>
      <c r="E5" s="6">
        <v>14.4054</v>
      </c>
      <c r="F5" s="6">
        <f t="shared" si="1"/>
        <v>2549.7557999999999</v>
      </c>
      <c r="G5" t="s">
        <v>24</v>
      </c>
      <c r="H5">
        <v>9008</v>
      </c>
      <c r="I5" t="str">
        <f>IFERROR(_xlfn.XLOOKUP($A5,'Base SKUs'!$E:$E,'Base SKUs'!A:A),"")</f>
        <v>Angelim</v>
      </c>
      <c r="J5" t="str">
        <f>IFERROR(_xlfn.XLOOKUP($A5,'Base SKUs'!$E:$E,'Base SKUs'!B:B),"")</f>
        <v>Angelim 1.5x6</v>
      </c>
      <c r="K5" t="str">
        <f>IFERROR(_xlfn.XLOOKUP($A5,'Base SKUs'!$E:$E,'Base SKUs'!C:C),"")</f>
        <v>Long</v>
      </c>
      <c r="L5" t="str">
        <f>IFERROR(_xlfn.XLOOKUP($A5,'Base SKUs'!$E:$E,'Base SKUs'!D:D),"")</f>
        <v>Hardwoods</v>
      </c>
      <c r="M5" t="str">
        <f>IFERROR(_xlfn.XLOOKUP($A5,'Base SKUs'!$E:$E,'Base SKUs'!G:G),"")</f>
        <v>Angelim Pedra</v>
      </c>
      <c r="N5" t="str">
        <f>IFERROR(_xlfn.XLOOKUP($A5,'Base SKUs'!$E:$E,'Base SKUs'!H:H),"")</f>
        <v>Rough Sawn</v>
      </c>
      <c r="O5" t="str">
        <f>IFERROR(_xlfn.XLOOKUP($A5,'Base SKUs'!$E:$E,'Base SKUs'!I:I),"")</f>
        <v>-</v>
      </c>
      <c r="P5" t="str">
        <f>IFERROR(_xlfn.XLOOKUP($A5,'Base SKUs'!$E:$E,'Base SKUs'!J:J),"")</f>
        <v>1.5x6</v>
      </c>
      <c r="Q5">
        <f>IFERROR(_xlfn.XLOOKUP($A5,'Base SKUs'!$E:$E,'Base SKUs'!K:K),"")</f>
        <v>11</v>
      </c>
      <c r="R5" s="7">
        <f>IFERROR(_xlfn.XLOOKUP($A5,'Base SKUs'!$E:$E,'Base SKUs'!S:S),"")</f>
        <v>1.9467832032000001E-2</v>
      </c>
      <c r="S5" s="8">
        <f t="shared" si="2"/>
        <v>3.4458062696640002</v>
      </c>
      <c r="T5" s="7">
        <f>IFERROR(_xlfn.XLOOKUP($A5,'Base SKUs'!$E:$E,'Base SKUs'!R:R),"")</f>
        <v>565.03499999999997</v>
      </c>
      <c r="U5" s="15">
        <f t="shared" si="3"/>
        <v>1947</v>
      </c>
      <c r="V5" t="str">
        <f t="shared" si="4"/>
        <v>Texas</v>
      </c>
    </row>
    <row r="6" spans="1:22" x14ac:dyDescent="0.2">
      <c r="A6" t="s">
        <v>29</v>
      </c>
      <c r="B6" s="5">
        <v>538</v>
      </c>
      <c r="C6" s="5">
        <v>0</v>
      </c>
      <c r="D6" s="5">
        <f t="shared" si="0"/>
        <v>538</v>
      </c>
      <c r="E6" s="6">
        <v>19.45</v>
      </c>
      <c r="F6" s="6">
        <f t="shared" si="1"/>
        <v>10464.1</v>
      </c>
      <c r="G6" t="s">
        <v>24</v>
      </c>
      <c r="H6">
        <v>9008</v>
      </c>
      <c r="I6" t="str">
        <f>IFERROR(_xlfn.XLOOKUP($A6,'Base SKUs'!$E:$E,'Base SKUs'!A:A),"")</f>
        <v>Angelim</v>
      </c>
      <c r="J6" t="str">
        <f>IFERROR(_xlfn.XLOOKUP($A6,'Base SKUs'!$E:$E,'Base SKUs'!B:B),"")</f>
        <v>Angelim 1.5x6</v>
      </c>
      <c r="K6" t="str">
        <f>IFERROR(_xlfn.XLOOKUP($A6,'Base SKUs'!$E:$E,'Base SKUs'!C:C),"")</f>
        <v>Long</v>
      </c>
      <c r="L6" t="str">
        <f>IFERROR(_xlfn.XLOOKUP($A6,'Base SKUs'!$E:$E,'Base SKUs'!D:D),"")</f>
        <v>Hardwoods</v>
      </c>
      <c r="M6" t="str">
        <f>IFERROR(_xlfn.XLOOKUP($A6,'Base SKUs'!$E:$E,'Base SKUs'!G:G),"")</f>
        <v>Angelim Pedra</v>
      </c>
      <c r="N6" t="str">
        <f>IFERROR(_xlfn.XLOOKUP($A6,'Base SKUs'!$E:$E,'Base SKUs'!H:H),"")</f>
        <v>Rough Sawn</v>
      </c>
      <c r="O6" t="str">
        <f>IFERROR(_xlfn.XLOOKUP($A6,'Base SKUs'!$E:$E,'Base SKUs'!I:I),"")</f>
        <v>-</v>
      </c>
      <c r="P6" t="str">
        <f>IFERROR(_xlfn.XLOOKUP($A6,'Base SKUs'!$E:$E,'Base SKUs'!J:J),"")</f>
        <v>1.5x6</v>
      </c>
      <c r="Q6">
        <f>IFERROR(_xlfn.XLOOKUP($A6,'Base SKUs'!$E:$E,'Base SKUs'!K:K),"")</f>
        <v>12</v>
      </c>
      <c r="R6" s="7">
        <f>IFERROR(_xlfn.XLOOKUP($A6,'Base SKUs'!$E:$E,'Base SKUs'!S:S),"")</f>
        <v>2.1237634944000001E-2</v>
      </c>
      <c r="S6" s="8">
        <f t="shared" si="2"/>
        <v>11.425847599872</v>
      </c>
      <c r="T6" s="7">
        <f>IFERROR(_xlfn.XLOOKUP($A6,'Base SKUs'!$E:$E,'Base SKUs'!R:R),"")</f>
        <v>565.03499999999997</v>
      </c>
      <c r="U6" s="15">
        <f t="shared" si="3"/>
        <v>6456</v>
      </c>
      <c r="V6" t="str">
        <f t="shared" si="4"/>
        <v>Texas</v>
      </c>
    </row>
    <row r="7" spans="1:22" x14ac:dyDescent="0.2">
      <c r="A7" t="s">
        <v>31</v>
      </c>
      <c r="B7" s="5">
        <v>283</v>
      </c>
      <c r="C7" s="5">
        <v>0</v>
      </c>
      <c r="D7" s="5">
        <f t="shared" si="0"/>
        <v>283</v>
      </c>
      <c r="E7" s="6">
        <v>21.0669</v>
      </c>
      <c r="F7" s="6">
        <f t="shared" si="1"/>
        <v>5961.9327000000003</v>
      </c>
      <c r="G7" t="s">
        <v>24</v>
      </c>
      <c r="H7">
        <v>9008</v>
      </c>
      <c r="I7" t="str">
        <f>IFERROR(_xlfn.XLOOKUP($A7,'Base SKUs'!$E:$E,'Base SKUs'!A:A),"")</f>
        <v>Angelim</v>
      </c>
      <c r="J7" t="str">
        <f>IFERROR(_xlfn.XLOOKUP($A7,'Base SKUs'!$E:$E,'Base SKUs'!B:B),"")</f>
        <v>Angelim 1.5x6</v>
      </c>
      <c r="K7" t="str">
        <f>IFERROR(_xlfn.XLOOKUP($A7,'Base SKUs'!$E:$E,'Base SKUs'!C:C),"")</f>
        <v>Long</v>
      </c>
      <c r="L7" t="str">
        <f>IFERROR(_xlfn.XLOOKUP($A7,'Base SKUs'!$E:$E,'Base SKUs'!D:D),"")</f>
        <v>Hardwoods</v>
      </c>
      <c r="M7" t="str">
        <f>IFERROR(_xlfn.XLOOKUP($A7,'Base SKUs'!$E:$E,'Base SKUs'!G:G),"")</f>
        <v>Angelim Pedra</v>
      </c>
      <c r="N7" t="str">
        <f>IFERROR(_xlfn.XLOOKUP($A7,'Base SKUs'!$E:$E,'Base SKUs'!H:H),"")</f>
        <v>Rough Sawn</v>
      </c>
      <c r="O7" t="str">
        <f>IFERROR(_xlfn.XLOOKUP($A7,'Base SKUs'!$E:$E,'Base SKUs'!I:I),"")</f>
        <v>-</v>
      </c>
      <c r="P7" t="str">
        <f>IFERROR(_xlfn.XLOOKUP($A7,'Base SKUs'!$E:$E,'Base SKUs'!J:J),"")</f>
        <v>1.5x6</v>
      </c>
      <c r="Q7">
        <f>IFERROR(_xlfn.XLOOKUP($A7,'Base SKUs'!$E:$E,'Base SKUs'!K:K),"")</f>
        <v>13</v>
      </c>
      <c r="R7" s="7">
        <f>IFERROR(_xlfn.XLOOKUP($A7,'Base SKUs'!$E:$E,'Base SKUs'!S:S),"")</f>
        <v>2.3007437856000002E-2</v>
      </c>
      <c r="S7" s="8">
        <f t="shared" si="2"/>
        <v>6.5111049132480003</v>
      </c>
      <c r="T7" s="7">
        <f>IFERROR(_xlfn.XLOOKUP($A7,'Base SKUs'!$E:$E,'Base SKUs'!R:R),"")</f>
        <v>565.03499999999997</v>
      </c>
      <c r="U7" s="15">
        <f t="shared" si="3"/>
        <v>3679</v>
      </c>
      <c r="V7" t="str">
        <f t="shared" si="4"/>
        <v>Texas</v>
      </c>
    </row>
    <row r="8" spans="1:22" x14ac:dyDescent="0.2">
      <c r="A8" t="s">
        <v>33</v>
      </c>
      <c r="B8" s="5">
        <v>174</v>
      </c>
      <c r="C8" s="5">
        <v>0</v>
      </c>
      <c r="D8" s="5">
        <f t="shared" si="0"/>
        <v>174</v>
      </c>
      <c r="E8" s="6">
        <v>22.690100000000001</v>
      </c>
      <c r="F8" s="6">
        <f t="shared" si="1"/>
        <v>3948.0774000000001</v>
      </c>
      <c r="G8" t="s">
        <v>24</v>
      </c>
      <c r="H8">
        <v>9008</v>
      </c>
      <c r="I8" t="str">
        <f>IFERROR(_xlfn.XLOOKUP($A8,'Base SKUs'!$E:$E,'Base SKUs'!A:A),"")</f>
        <v>Angelim</v>
      </c>
      <c r="J8" t="str">
        <f>IFERROR(_xlfn.XLOOKUP($A8,'Base SKUs'!$E:$E,'Base SKUs'!B:B),"")</f>
        <v>Angelim 1.5x6</v>
      </c>
      <c r="K8" t="str">
        <f>IFERROR(_xlfn.XLOOKUP($A8,'Base SKUs'!$E:$E,'Base SKUs'!C:C),"")</f>
        <v>Long</v>
      </c>
      <c r="L8" t="str">
        <f>IFERROR(_xlfn.XLOOKUP($A8,'Base SKUs'!$E:$E,'Base SKUs'!D:D),"")</f>
        <v>Hardwoods</v>
      </c>
      <c r="M8" t="str">
        <f>IFERROR(_xlfn.XLOOKUP($A8,'Base SKUs'!$E:$E,'Base SKUs'!G:G),"")</f>
        <v>Angelim Pedra</v>
      </c>
      <c r="N8" t="str">
        <f>IFERROR(_xlfn.XLOOKUP($A8,'Base SKUs'!$E:$E,'Base SKUs'!H:H),"")</f>
        <v>Rough Sawn</v>
      </c>
      <c r="O8" t="str">
        <f>IFERROR(_xlfn.XLOOKUP($A8,'Base SKUs'!$E:$E,'Base SKUs'!I:I),"")</f>
        <v>-</v>
      </c>
      <c r="P8" t="str">
        <f>IFERROR(_xlfn.XLOOKUP($A8,'Base SKUs'!$E:$E,'Base SKUs'!J:J),"")</f>
        <v>1.5x6</v>
      </c>
      <c r="Q8">
        <f>IFERROR(_xlfn.XLOOKUP($A8,'Base SKUs'!$E:$E,'Base SKUs'!K:K),"")</f>
        <v>14</v>
      </c>
      <c r="R8" s="7">
        <f>IFERROR(_xlfn.XLOOKUP($A8,'Base SKUs'!$E:$E,'Base SKUs'!S:S),"")</f>
        <v>2.4777240768000003E-2</v>
      </c>
      <c r="S8" s="8">
        <f t="shared" si="2"/>
        <v>4.3112398936320009</v>
      </c>
      <c r="T8" s="7">
        <f>IFERROR(_xlfn.XLOOKUP($A8,'Base SKUs'!$E:$E,'Base SKUs'!R:R),"")</f>
        <v>565.03499999999997</v>
      </c>
      <c r="U8" s="15">
        <f t="shared" si="3"/>
        <v>2436</v>
      </c>
      <c r="V8" t="str">
        <f t="shared" si="4"/>
        <v>Texas</v>
      </c>
    </row>
    <row r="9" spans="1:22" x14ac:dyDescent="0.2">
      <c r="A9" t="s">
        <v>35</v>
      </c>
      <c r="B9" s="5">
        <v>35</v>
      </c>
      <c r="C9" s="5">
        <v>0</v>
      </c>
      <c r="D9" s="5">
        <f t="shared" si="0"/>
        <v>35</v>
      </c>
      <c r="E9" s="6">
        <v>24.308299999999999</v>
      </c>
      <c r="F9" s="6">
        <f t="shared" si="1"/>
        <v>850.79049999999995</v>
      </c>
      <c r="G9" t="s">
        <v>24</v>
      </c>
      <c r="H9">
        <v>9008</v>
      </c>
      <c r="I9" t="str">
        <f>IFERROR(_xlfn.XLOOKUP($A9,'Base SKUs'!$E:$E,'Base SKUs'!A:A),"")</f>
        <v>Angelim</v>
      </c>
      <c r="J9" t="str">
        <f>IFERROR(_xlfn.XLOOKUP($A9,'Base SKUs'!$E:$E,'Base SKUs'!B:B),"")</f>
        <v>Angelim 1.5x6</v>
      </c>
      <c r="K9" t="str">
        <f>IFERROR(_xlfn.XLOOKUP($A9,'Base SKUs'!$E:$E,'Base SKUs'!C:C),"")</f>
        <v>Long</v>
      </c>
      <c r="L9" t="str">
        <f>IFERROR(_xlfn.XLOOKUP($A9,'Base SKUs'!$E:$E,'Base SKUs'!D:D),"")</f>
        <v>Hardwoods</v>
      </c>
      <c r="M9" t="str">
        <f>IFERROR(_xlfn.XLOOKUP($A9,'Base SKUs'!$E:$E,'Base SKUs'!G:G),"")</f>
        <v>Angelim Pedra</v>
      </c>
      <c r="N9" t="str">
        <f>IFERROR(_xlfn.XLOOKUP($A9,'Base SKUs'!$E:$E,'Base SKUs'!H:H),"")</f>
        <v>Rough Sawn</v>
      </c>
      <c r="O9" t="str">
        <f>IFERROR(_xlfn.XLOOKUP($A9,'Base SKUs'!$E:$E,'Base SKUs'!I:I),"")</f>
        <v>-</v>
      </c>
      <c r="P9" t="str">
        <f>IFERROR(_xlfn.XLOOKUP($A9,'Base SKUs'!$E:$E,'Base SKUs'!J:J),"")</f>
        <v>1.5x6</v>
      </c>
      <c r="Q9">
        <f>IFERROR(_xlfn.XLOOKUP($A9,'Base SKUs'!$E:$E,'Base SKUs'!K:K),"")</f>
        <v>15</v>
      </c>
      <c r="R9" s="7">
        <f>IFERROR(_xlfn.XLOOKUP($A9,'Base SKUs'!$E:$E,'Base SKUs'!S:S),"")</f>
        <v>2.6547043680000004E-2</v>
      </c>
      <c r="S9" s="8">
        <f t="shared" si="2"/>
        <v>0.92914652880000015</v>
      </c>
      <c r="T9" s="7">
        <f>IFERROR(_xlfn.XLOOKUP($A9,'Base SKUs'!$E:$E,'Base SKUs'!R:R),"")</f>
        <v>565.03499999999997</v>
      </c>
      <c r="U9" s="15">
        <f t="shared" si="3"/>
        <v>525</v>
      </c>
      <c r="V9" t="str">
        <f t="shared" si="4"/>
        <v>Texas</v>
      </c>
    </row>
    <row r="10" spans="1:22" x14ac:dyDescent="0.2">
      <c r="A10" t="s">
        <v>37</v>
      </c>
      <c r="B10" s="5">
        <v>156</v>
      </c>
      <c r="C10" s="5">
        <v>0</v>
      </c>
      <c r="D10" s="5">
        <f t="shared" si="0"/>
        <v>156</v>
      </c>
      <c r="E10" s="6">
        <v>25.930399999999999</v>
      </c>
      <c r="F10" s="6">
        <f t="shared" si="1"/>
        <v>4045.1423999999997</v>
      </c>
      <c r="G10" t="s">
        <v>24</v>
      </c>
      <c r="H10">
        <v>9008</v>
      </c>
      <c r="I10" t="str">
        <f>IFERROR(_xlfn.XLOOKUP($A10,'Base SKUs'!$E:$E,'Base SKUs'!A:A),"")</f>
        <v>Angelim</v>
      </c>
      <c r="J10" t="str">
        <f>IFERROR(_xlfn.XLOOKUP($A10,'Base SKUs'!$E:$E,'Base SKUs'!B:B),"")</f>
        <v>Angelim 1.5x6</v>
      </c>
      <c r="K10" t="str">
        <f>IFERROR(_xlfn.XLOOKUP($A10,'Base SKUs'!$E:$E,'Base SKUs'!C:C),"")</f>
        <v>Long</v>
      </c>
      <c r="L10" t="str">
        <f>IFERROR(_xlfn.XLOOKUP($A10,'Base SKUs'!$E:$E,'Base SKUs'!D:D),"")</f>
        <v>Hardwoods</v>
      </c>
      <c r="M10" t="str">
        <f>IFERROR(_xlfn.XLOOKUP($A10,'Base SKUs'!$E:$E,'Base SKUs'!G:G),"")</f>
        <v>Angelim Pedra</v>
      </c>
      <c r="N10" t="str">
        <f>IFERROR(_xlfn.XLOOKUP($A10,'Base SKUs'!$E:$E,'Base SKUs'!H:H),"")</f>
        <v>Rough Sawn</v>
      </c>
      <c r="O10" t="str">
        <f>IFERROR(_xlfn.XLOOKUP($A10,'Base SKUs'!$E:$E,'Base SKUs'!I:I),"")</f>
        <v>-</v>
      </c>
      <c r="P10" t="str">
        <f>IFERROR(_xlfn.XLOOKUP($A10,'Base SKUs'!$E:$E,'Base SKUs'!J:J),"")</f>
        <v>1.5x6</v>
      </c>
      <c r="Q10">
        <f>IFERROR(_xlfn.XLOOKUP($A10,'Base SKUs'!$E:$E,'Base SKUs'!K:K),"")</f>
        <v>16</v>
      </c>
      <c r="R10" s="7">
        <f>IFERROR(_xlfn.XLOOKUP($A10,'Base SKUs'!$E:$E,'Base SKUs'!S:S),"")</f>
        <v>2.8316846592000004E-2</v>
      </c>
      <c r="S10" s="8">
        <f t="shared" si="2"/>
        <v>4.4174280683520006</v>
      </c>
      <c r="T10" s="7">
        <f>IFERROR(_xlfn.XLOOKUP($A10,'Base SKUs'!$E:$E,'Base SKUs'!R:R),"")</f>
        <v>565.03499999999997</v>
      </c>
      <c r="U10" s="15">
        <f t="shared" si="3"/>
        <v>2496</v>
      </c>
      <c r="V10" t="str">
        <f t="shared" si="4"/>
        <v>Texas</v>
      </c>
    </row>
    <row r="11" spans="1:22" x14ac:dyDescent="0.2">
      <c r="A11" t="s">
        <v>39</v>
      </c>
      <c r="B11" s="5">
        <v>40</v>
      </c>
      <c r="C11" s="5">
        <v>0</v>
      </c>
      <c r="D11" s="5">
        <f t="shared" si="0"/>
        <v>40</v>
      </c>
      <c r="E11" s="6">
        <v>27.543099999999999</v>
      </c>
      <c r="F11" s="6">
        <f t="shared" si="1"/>
        <v>1101.7239999999999</v>
      </c>
      <c r="G11" t="s">
        <v>24</v>
      </c>
      <c r="H11">
        <v>9008</v>
      </c>
      <c r="I11" t="str">
        <f>IFERROR(_xlfn.XLOOKUP($A11,'Base SKUs'!$E:$E,'Base SKUs'!A:A),"")</f>
        <v>Angelim</v>
      </c>
      <c r="J11" t="str">
        <f>IFERROR(_xlfn.XLOOKUP($A11,'Base SKUs'!$E:$E,'Base SKUs'!B:B),"")</f>
        <v>Angelim 1.5x6</v>
      </c>
      <c r="K11" t="str">
        <f>IFERROR(_xlfn.XLOOKUP($A11,'Base SKUs'!$E:$E,'Base SKUs'!C:C),"")</f>
        <v>Long</v>
      </c>
      <c r="L11" t="str">
        <f>IFERROR(_xlfn.XLOOKUP($A11,'Base SKUs'!$E:$E,'Base SKUs'!D:D),"")</f>
        <v>Hardwoods</v>
      </c>
      <c r="M11" t="str">
        <f>IFERROR(_xlfn.XLOOKUP($A11,'Base SKUs'!$E:$E,'Base SKUs'!G:G),"")</f>
        <v>Angelim Pedra</v>
      </c>
      <c r="N11" t="str">
        <f>IFERROR(_xlfn.XLOOKUP($A11,'Base SKUs'!$E:$E,'Base SKUs'!H:H),"")</f>
        <v>Rough Sawn</v>
      </c>
      <c r="O11" t="str">
        <f>IFERROR(_xlfn.XLOOKUP($A11,'Base SKUs'!$E:$E,'Base SKUs'!I:I),"")</f>
        <v>-</v>
      </c>
      <c r="P11" t="str">
        <f>IFERROR(_xlfn.XLOOKUP($A11,'Base SKUs'!$E:$E,'Base SKUs'!J:J),"")</f>
        <v>1.5x6</v>
      </c>
      <c r="Q11">
        <f>IFERROR(_xlfn.XLOOKUP($A11,'Base SKUs'!$E:$E,'Base SKUs'!K:K),"")</f>
        <v>17</v>
      </c>
      <c r="R11" s="7">
        <f>IFERROR(_xlfn.XLOOKUP($A11,'Base SKUs'!$E:$E,'Base SKUs'!S:S),"")</f>
        <v>3.0086649504000008E-2</v>
      </c>
      <c r="S11" s="8">
        <f t="shared" si="2"/>
        <v>1.2034659801600003</v>
      </c>
      <c r="T11" s="7">
        <f>IFERROR(_xlfn.XLOOKUP($A11,'Base SKUs'!$E:$E,'Base SKUs'!R:R),"")</f>
        <v>565.03499999999997</v>
      </c>
      <c r="U11" s="15">
        <f t="shared" si="3"/>
        <v>680</v>
      </c>
      <c r="V11" t="str">
        <f t="shared" si="4"/>
        <v>Texas</v>
      </c>
    </row>
    <row r="12" spans="1:22" x14ac:dyDescent="0.2">
      <c r="A12" t="s">
        <v>41</v>
      </c>
      <c r="B12" s="5">
        <v>105</v>
      </c>
      <c r="C12" s="5">
        <v>0</v>
      </c>
      <c r="D12" s="5">
        <f t="shared" si="0"/>
        <v>105</v>
      </c>
      <c r="E12" s="6">
        <v>29.1752</v>
      </c>
      <c r="F12" s="6">
        <f t="shared" si="1"/>
        <v>3063.3960000000002</v>
      </c>
      <c r="G12" t="s">
        <v>24</v>
      </c>
      <c r="H12">
        <v>9008</v>
      </c>
      <c r="I12" t="str">
        <f>IFERROR(_xlfn.XLOOKUP($A12,'Base SKUs'!$E:$E,'Base SKUs'!A:A),"")</f>
        <v>Angelim</v>
      </c>
      <c r="J12" t="str">
        <f>IFERROR(_xlfn.XLOOKUP($A12,'Base SKUs'!$E:$E,'Base SKUs'!B:B),"")</f>
        <v>Angelim 1.5x6</v>
      </c>
      <c r="K12" t="str">
        <f>IFERROR(_xlfn.XLOOKUP($A12,'Base SKUs'!$E:$E,'Base SKUs'!C:C),"")</f>
        <v>Long</v>
      </c>
      <c r="L12" t="str">
        <f>IFERROR(_xlfn.XLOOKUP($A12,'Base SKUs'!$E:$E,'Base SKUs'!D:D),"")</f>
        <v>Hardwoods</v>
      </c>
      <c r="M12" t="str">
        <f>IFERROR(_xlfn.XLOOKUP($A12,'Base SKUs'!$E:$E,'Base SKUs'!G:G),"")</f>
        <v>Angelim Pedra</v>
      </c>
      <c r="N12" t="str">
        <f>IFERROR(_xlfn.XLOOKUP($A12,'Base SKUs'!$E:$E,'Base SKUs'!H:H),"")</f>
        <v>Rough Sawn</v>
      </c>
      <c r="O12" t="str">
        <f>IFERROR(_xlfn.XLOOKUP($A12,'Base SKUs'!$E:$E,'Base SKUs'!I:I),"")</f>
        <v>-</v>
      </c>
      <c r="P12" t="str">
        <f>IFERROR(_xlfn.XLOOKUP($A12,'Base SKUs'!$E:$E,'Base SKUs'!J:J),"")</f>
        <v>1.5x6</v>
      </c>
      <c r="Q12">
        <f>IFERROR(_xlfn.XLOOKUP($A12,'Base SKUs'!$E:$E,'Base SKUs'!K:K),"")</f>
        <v>18</v>
      </c>
      <c r="R12" s="7">
        <f>IFERROR(_xlfn.XLOOKUP($A12,'Base SKUs'!$E:$E,'Base SKUs'!S:S),"")</f>
        <v>3.1856452415999999E-2</v>
      </c>
      <c r="S12" s="8">
        <f t="shared" si="2"/>
        <v>3.3449275036799997</v>
      </c>
      <c r="T12" s="7">
        <f>IFERROR(_xlfn.XLOOKUP($A12,'Base SKUs'!$E:$E,'Base SKUs'!R:R),"")</f>
        <v>565.03499999999997</v>
      </c>
      <c r="U12" s="15">
        <f t="shared" si="3"/>
        <v>1890</v>
      </c>
      <c r="V12" t="str">
        <f t="shared" si="4"/>
        <v>Texas</v>
      </c>
    </row>
    <row r="13" spans="1:22" x14ac:dyDescent="0.2">
      <c r="A13" t="s">
        <v>43</v>
      </c>
      <c r="B13" s="5">
        <v>220</v>
      </c>
      <c r="C13" s="5">
        <v>0</v>
      </c>
      <c r="D13" s="5">
        <f t="shared" si="0"/>
        <v>220</v>
      </c>
      <c r="E13" s="6">
        <v>30.796299999999999</v>
      </c>
      <c r="F13" s="6">
        <f t="shared" si="1"/>
        <v>6775.1859999999997</v>
      </c>
      <c r="G13" t="s">
        <v>24</v>
      </c>
      <c r="H13">
        <v>9008</v>
      </c>
      <c r="I13" t="str">
        <f>IFERROR(_xlfn.XLOOKUP($A13,'Base SKUs'!$E:$E,'Base SKUs'!A:A),"")</f>
        <v>Angelim</v>
      </c>
      <c r="J13" t="str">
        <f>IFERROR(_xlfn.XLOOKUP($A13,'Base SKUs'!$E:$E,'Base SKUs'!B:B),"")</f>
        <v>Angelim 1.5x6</v>
      </c>
      <c r="K13" t="str">
        <f>IFERROR(_xlfn.XLOOKUP($A13,'Base SKUs'!$E:$E,'Base SKUs'!C:C),"")</f>
        <v>Long</v>
      </c>
      <c r="L13" t="str">
        <f>IFERROR(_xlfn.XLOOKUP($A13,'Base SKUs'!$E:$E,'Base SKUs'!D:D),"")</f>
        <v>Hardwoods</v>
      </c>
      <c r="M13" t="str">
        <f>IFERROR(_xlfn.XLOOKUP($A13,'Base SKUs'!$E:$E,'Base SKUs'!G:G),"")</f>
        <v>Angelim Pedra</v>
      </c>
      <c r="N13" t="str">
        <f>IFERROR(_xlfn.XLOOKUP($A13,'Base SKUs'!$E:$E,'Base SKUs'!H:H),"")</f>
        <v>Rough Sawn</v>
      </c>
      <c r="O13" t="str">
        <f>IFERROR(_xlfn.XLOOKUP($A13,'Base SKUs'!$E:$E,'Base SKUs'!I:I),"")</f>
        <v>-</v>
      </c>
      <c r="P13" t="str">
        <f>IFERROR(_xlfn.XLOOKUP($A13,'Base SKUs'!$E:$E,'Base SKUs'!J:J),"")</f>
        <v>1.5x6</v>
      </c>
      <c r="Q13">
        <f>IFERROR(_xlfn.XLOOKUP($A13,'Base SKUs'!$E:$E,'Base SKUs'!K:K),"")</f>
        <v>19</v>
      </c>
      <c r="R13" s="7">
        <f>IFERROR(_xlfn.XLOOKUP($A13,'Base SKUs'!$E:$E,'Base SKUs'!S:S),"")</f>
        <v>3.3626255328000003E-2</v>
      </c>
      <c r="S13" s="8">
        <f t="shared" si="2"/>
        <v>7.3977761721600004</v>
      </c>
      <c r="T13" s="7">
        <f>IFERROR(_xlfn.XLOOKUP($A13,'Base SKUs'!$E:$E,'Base SKUs'!R:R),"")</f>
        <v>565.03499999999997</v>
      </c>
      <c r="U13" s="15">
        <f t="shared" si="3"/>
        <v>4180</v>
      </c>
      <c r="V13" t="str">
        <f t="shared" si="4"/>
        <v>Texas</v>
      </c>
    </row>
    <row r="14" spans="1:22" x14ac:dyDescent="0.2">
      <c r="A14" t="s">
        <v>45</v>
      </c>
      <c r="B14" s="5">
        <v>45</v>
      </c>
      <c r="C14" s="5">
        <v>0</v>
      </c>
      <c r="D14" s="5">
        <f t="shared" si="0"/>
        <v>45</v>
      </c>
      <c r="E14" s="6">
        <v>32.419800000000002</v>
      </c>
      <c r="F14" s="6">
        <f t="shared" si="1"/>
        <v>1458.8910000000001</v>
      </c>
      <c r="G14" t="s">
        <v>24</v>
      </c>
      <c r="H14">
        <v>9008</v>
      </c>
      <c r="I14" t="str">
        <f>IFERROR(_xlfn.XLOOKUP($A14,'Base SKUs'!$E:$E,'Base SKUs'!A:A),"")</f>
        <v>Angelim</v>
      </c>
      <c r="J14" t="str">
        <f>IFERROR(_xlfn.XLOOKUP($A14,'Base SKUs'!$E:$E,'Base SKUs'!B:B),"")</f>
        <v>Angelim 1.5x6</v>
      </c>
      <c r="K14" t="str">
        <f>IFERROR(_xlfn.XLOOKUP($A14,'Base SKUs'!$E:$E,'Base SKUs'!C:C),"")</f>
        <v>Long</v>
      </c>
      <c r="L14" t="str">
        <f>IFERROR(_xlfn.XLOOKUP($A14,'Base SKUs'!$E:$E,'Base SKUs'!D:D),"")</f>
        <v>Hardwoods</v>
      </c>
      <c r="M14" t="str">
        <f>IFERROR(_xlfn.XLOOKUP($A14,'Base SKUs'!$E:$E,'Base SKUs'!G:G),"")</f>
        <v>Angelim Pedra</v>
      </c>
      <c r="N14" t="str">
        <f>IFERROR(_xlfn.XLOOKUP($A14,'Base SKUs'!$E:$E,'Base SKUs'!H:H),"")</f>
        <v>Rough Sawn</v>
      </c>
      <c r="O14" t="str">
        <f>IFERROR(_xlfn.XLOOKUP($A14,'Base SKUs'!$E:$E,'Base SKUs'!I:I),"")</f>
        <v>-</v>
      </c>
      <c r="P14" t="str">
        <f>IFERROR(_xlfn.XLOOKUP($A14,'Base SKUs'!$E:$E,'Base SKUs'!J:J),"")</f>
        <v>1.5x6</v>
      </c>
      <c r="Q14">
        <f>IFERROR(_xlfn.XLOOKUP($A14,'Base SKUs'!$E:$E,'Base SKUs'!K:K),"")</f>
        <v>20</v>
      </c>
      <c r="R14" s="7">
        <f>IFERROR(_xlfn.XLOOKUP($A14,'Base SKUs'!$E:$E,'Base SKUs'!S:S),"")</f>
        <v>3.5396058240000007E-2</v>
      </c>
      <c r="S14" s="8">
        <f t="shared" si="2"/>
        <v>1.5928226208000003</v>
      </c>
      <c r="T14" s="7">
        <f>IFERROR(_xlfn.XLOOKUP($A14,'Base SKUs'!$E:$E,'Base SKUs'!R:R),"")</f>
        <v>565.03499999999997</v>
      </c>
      <c r="U14" s="15">
        <f t="shared" si="3"/>
        <v>900</v>
      </c>
      <c r="V14" t="str">
        <f t="shared" si="4"/>
        <v>Texas</v>
      </c>
    </row>
    <row r="15" spans="1:22" x14ac:dyDescent="0.2">
      <c r="A15" t="s">
        <v>47</v>
      </c>
      <c r="B15" s="5">
        <v>169</v>
      </c>
      <c r="C15" s="5">
        <v>0</v>
      </c>
      <c r="D15" s="5">
        <f t="shared" si="0"/>
        <v>169</v>
      </c>
      <c r="E15" s="6">
        <v>34.042299999999997</v>
      </c>
      <c r="F15" s="6">
        <f t="shared" si="1"/>
        <v>5753.1486999999997</v>
      </c>
      <c r="G15" t="s">
        <v>24</v>
      </c>
      <c r="H15">
        <v>9008</v>
      </c>
      <c r="I15" t="str">
        <f>IFERROR(_xlfn.XLOOKUP($A15,'Base SKUs'!$E:$E,'Base SKUs'!A:A),"")</f>
        <v>Angelim</v>
      </c>
      <c r="J15" t="str">
        <f>IFERROR(_xlfn.XLOOKUP($A15,'Base SKUs'!$E:$E,'Base SKUs'!B:B),"")</f>
        <v>Angelim 1.5x6</v>
      </c>
      <c r="K15" t="str">
        <f>IFERROR(_xlfn.XLOOKUP($A15,'Base SKUs'!$E:$E,'Base SKUs'!C:C),"")</f>
        <v>Long</v>
      </c>
      <c r="L15" t="str">
        <f>IFERROR(_xlfn.XLOOKUP($A15,'Base SKUs'!$E:$E,'Base SKUs'!D:D),"")</f>
        <v>Hardwoods</v>
      </c>
      <c r="M15" t="str">
        <f>IFERROR(_xlfn.XLOOKUP($A15,'Base SKUs'!$E:$E,'Base SKUs'!G:G),"")</f>
        <v>Angelim Pedra</v>
      </c>
      <c r="N15" t="str">
        <f>IFERROR(_xlfn.XLOOKUP($A15,'Base SKUs'!$E:$E,'Base SKUs'!H:H),"")</f>
        <v>Rough Sawn</v>
      </c>
      <c r="O15" t="str">
        <f>IFERROR(_xlfn.XLOOKUP($A15,'Base SKUs'!$E:$E,'Base SKUs'!I:I),"")</f>
        <v>-</v>
      </c>
      <c r="P15" t="str">
        <f>IFERROR(_xlfn.XLOOKUP($A15,'Base SKUs'!$E:$E,'Base SKUs'!J:J),"")</f>
        <v>1.5x6</v>
      </c>
      <c r="Q15">
        <f>IFERROR(_xlfn.XLOOKUP($A15,'Base SKUs'!$E:$E,'Base SKUs'!K:K),"")</f>
        <v>21</v>
      </c>
      <c r="R15" s="7">
        <f>IFERROR(_xlfn.XLOOKUP($A15,'Base SKUs'!$E:$E,'Base SKUs'!S:S),"")</f>
        <v>3.7165861152000004E-2</v>
      </c>
      <c r="S15" s="8">
        <f t="shared" si="2"/>
        <v>6.2810305346880009</v>
      </c>
      <c r="T15" s="7">
        <f>IFERROR(_xlfn.XLOOKUP($A15,'Base SKUs'!$E:$E,'Base SKUs'!R:R),"")</f>
        <v>565.03499999999997</v>
      </c>
      <c r="U15" s="15">
        <f t="shared" si="3"/>
        <v>3549</v>
      </c>
      <c r="V15" t="str">
        <f t="shared" si="4"/>
        <v>Texas</v>
      </c>
    </row>
    <row r="16" spans="1:22" x14ac:dyDescent="0.2">
      <c r="A16" t="s">
        <v>49</v>
      </c>
      <c r="B16" s="5">
        <v>206</v>
      </c>
      <c r="C16" s="5">
        <v>0</v>
      </c>
      <c r="D16" s="5">
        <f t="shared" si="0"/>
        <v>206</v>
      </c>
      <c r="E16" s="6">
        <v>35.658900000000003</v>
      </c>
      <c r="F16" s="6">
        <f t="shared" si="1"/>
        <v>7345.733400000001</v>
      </c>
      <c r="G16" t="s">
        <v>24</v>
      </c>
      <c r="H16">
        <v>9008</v>
      </c>
      <c r="I16" t="str">
        <f>IFERROR(_xlfn.XLOOKUP($A16,'Base SKUs'!$E:$E,'Base SKUs'!A:A),"")</f>
        <v>Angelim</v>
      </c>
      <c r="J16" t="str">
        <f>IFERROR(_xlfn.XLOOKUP($A16,'Base SKUs'!$E:$E,'Base SKUs'!B:B),"")</f>
        <v>Angelim 1.5x6</v>
      </c>
      <c r="K16" t="str">
        <f>IFERROR(_xlfn.XLOOKUP($A16,'Base SKUs'!$E:$E,'Base SKUs'!C:C),"")</f>
        <v>Long</v>
      </c>
      <c r="L16" t="str">
        <f>IFERROR(_xlfn.XLOOKUP($A16,'Base SKUs'!$E:$E,'Base SKUs'!D:D),"")</f>
        <v>Hardwoods</v>
      </c>
      <c r="M16" t="str">
        <f>IFERROR(_xlfn.XLOOKUP($A16,'Base SKUs'!$E:$E,'Base SKUs'!G:G),"")</f>
        <v>Angelim Pedra</v>
      </c>
      <c r="N16" t="str">
        <f>IFERROR(_xlfn.XLOOKUP($A16,'Base SKUs'!$E:$E,'Base SKUs'!H:H),"")</f>
        <v>Rough Sawn</v>
      </c>
      <c r="O16" t="str">
        <f>IFERROR(_xlfn.XLOOKUP($A16,'Base SKUs'!$E:$E,'Base SKUs'!I:I),"")</f>
        <v>-</v>
      </c>
      <c r="P16" t="str">
        <f>IFERROR(_xlfn.XLOOKUP($A16,'Base SKUs'!$E:$E,'Base SKUs'!J:J),"")</f>
        <v>1.5x6</v>
      </c>
      <c r="Q16">
        <f>IFERROR(_xlfn.XLOOKUP($A16,'Base SKUs'!$E:$E,'Base SKUs'!K:K),"")</f>
        <v>22</v>
      </c>
      <c r="R16" s="7">
        <f>IFERROR(_xlfn.XLOOKUP($A16,'Base SKUs'!$E:$E,'Base SKUs'!S:S),"")</f>
        <v>3.8935664064000002E-2</v>
      </c>
      <c r="S16" s="8">
        <f t="shared" si="2"/>
        <v>8.0207467971839996</v>
      </c>
      <c r="T16" s="7">
        <f>IFERROR(_xlfn.XLOOKUP($A16,'Base SKUs'!$E:$E,'Base SKUs'!R:R),"")</f>
        <v>565.03499999999997</v>
      </c>
      <c r="U16" s="15">
        <f t="shared" si="3"/>
        <v>4532</v>
      </c>
      <c r="V16" t="str">
        <f t="shared" si="4"/>
        <v>Texas</v>
      </c>
    </row>
    <row r="17" spans="1:22" x14ac:dyDescent="0.2">
      <c r="A17" t="s">
        <v>51</v>
      </c>
      <c r="B17" s="5">
        <v>40</v>
      </c>
      <c r="C17" s="5">
        <v>0</v>
      </c>
      <c r="D17" s="5">
        <f t="shared" si="0"/>
        <v>40</v>
      </c>
      <c r="E17" s="6">
        <v>17.462</v>
      </c>
      <c r="F17" s="6">
        <f t="shared" si="1"/>
        <v>698.48</v>
      </c>
      <c r="G17" t="s">
        <v>24</v>
      </c>
      <c r="H17">
        <v>9008</v>
      </c>
      <c r="I17" t="str">
        <f>IFERROR(_xlfn.XLOOKUP($A17,'Base SKUs'!$E:$E,'Base SKUs'!A:A),"")</f>
        <v>Angelim</v>
      </c>
      <c r="J17" t="str">
        <f>IFERROR(_xlfn.XLOOKUP($A17,'Base SKUs'!$E:$E,'Base SKUs'!B:B),"")</f>
        <v>Angelim 1.5x8</v>
      </c>
      <c r="K17" t="str">
        <f>IFERROR(_xlfn.XLOOKUP($A17,'Base SKUs'!$E:$E,'Base SKUs'!C:C),"")</f>
        <v>Long</v>
      </c>
      <c r="L17" t="str">
        <f>IFERROR(_xlfn.XLOOKUP($A17,'Base SKUs'!$E:$E,'Base SKUs'!D:D),"")</f>
        <v>Hardwoods</v>
      </c>
      <c r="M17" t="str">
        <f>IFERROR(_xlfn.XLOOKUP($A17,'Base SKUs'!$E:$E,'Base SKUs'!G:G),"")</f>
        <v>Angelim Pedra</v>
      </c>
      <c r="N17" t="str">
        <f>IFERROR(_xlfn.XLOOKUP($A17,'Base SKUs'!$E:$E,'Base SKUs'!H:H),"")</f>
        <v>Rough Sawn</v>
      </c>
      <c r="O17" t="str">
        <f>IFERROR(_xlfn.XLOOKUP($A17,'Base SKUs'!$E:$E,'Base SKUs'!I:I),"")</f>
        <v>-</v>
      </c>
      <c r="P17" t="str">
        <f>IFERROR(_xlfn.XLOOKUP($A17,'Base SKUs'!$E:$E,'Base SKUs'!J:J),"")</f>
        <v>1.5x8</v>
      </c>
      <c r="Q17">
        <f>IFERROR(_xlfn.XLOOKUP($A17,'Base SKUs'!$E:$E,'Base SKUs'!K:K),"")</f>
        <v>10</v>
      </c>
      <c r="R17" s="7">
        <f>IFERROR(_xlfn.XLOOKUP($A17,'Base SKUs'!$E:$E,'Base SKUs'!S:S),"")</f>
        <v>2.3597372160000001E-2</v>
      </c>
      <c r="S17" s="8">
        <f t="shared" si="2"/>
        <v>0.94389488640000008</v>
      </c>
      <c r="T17" s="7">
        <f>IFERROR(_xlfn.XLOOKUP($A17,'Base SKUs'!$E:$E,'Base SKUs'!R:R),"")</f>
        <v>423.77600000000001</v>
      </c>
      <c r="U17" s="15">
        <f t="shared" si="3"/>
        <v>400</v>
      </c>
      <c r="V17" t="str">
        <f t="shared" si="4"/>
        <v>Texas</v>
      </c>
    </row>
    <row r="18" spans="1:22" x14ac:dyDescent="0.2">
      <c r="A18" t="s">
        <v>53</v>
      </c>
      <c r="B18" s="5">
        <v>64</v>
      </c>
      <c r="C18" s="5">
        <v>0</v>
      </c>
      <c r="D18" s="5">
        <f t="shared" si="0"/>
        <v>64</v>
      </c>
      <c r="E18" s="6">
        <v>19.203199999999999</v>
      </c>
      <c r="F18" s="6">
        <f t="shared" si="1"/>
        <v>1229.0047999999999</v>
      </c>
      <c r="G18" t="s">
        <v>24</v>
      </c>
      <c r="H18">
        <v>9008</v>
      </c>
      <c r="I18" t="str">
        <f>IFERROR(_xlfn.XLOOKUP($A18,'Base SKUs'!$E:$E,'Base SKUs'!A:A),"")</f>
        <v>Angelim</v>
      </c>
      <c r="J18" t="str">
        <f>IFERROR(_xlfn.XLOOKUP($A18,'Base SKUs'!$E:$E,'Base SKUs'!B:B),"")</f>
        <v>Angelim 1.5x8</v>
      </c>
      <c r="K18" t="str">
        <f>IFERROR(_xlfn.XLOOKUP($A18,'Base SKUs'!$E:$E,'Base SKUs'!C:C),"")</f>
        <v>Long</v>
      </c>
      <c r="L18" t="str">
        <f>IFERROR(_xlfn.XLOOKUP($A18,'Base SKUs'!$E:$E,'Base SKUs'!D:D),"")</f>
        <v>Hardwoods</v>
      </c>
      <c r="M18" t="str">
        <f>IFERROR(_xlfn.XLOOKUP($A18,'Base SKUs'!$E:$E,'Base SKUs'!G:G),"")</f>
        <v>Angelim Pedra</v>
      </c>
      <c r="N18" t="str">
        <f>IFERROR(_xlfn.XLOOKUP($A18,'Base SKUs'!$E:$E,'Base SKUs'!H:H),"")</f>
        <v>Rough Sawn</v>
      </c>
      <c r="O18" t="str">
        <f>IFERROR(_xlfn.XLOOKUP($A18,'Base SKUs'!$E:$E,'Base SKUs'!I:I),"")</f>
        <v>-</v>
      </c>
      <c r="P18" t="str">
        <f>IFERROR(_xlfn.XLOOKUP($A18,'Base SKUs'!$E:$E,'Base SKUs'!J:J),"")</f>
        <v>1.5x8</v>
      </c>
      <c r="Q18">
        <f>IFERROR(_xlfn.XLOOKUP($A18,'Base SKUs'!$E:$E,'Base SKUs'!K:K),"")</f>
        <v>11</v>
      </c>
      <c r="R18" s="7">
        <f>IFERROR(_xlfn.XLOOKUP($A18,'Base SKUs'!$E:$E,'Base SKUs'!S:S),"")</f>
        <v>2.5957109375999998E-2</v>
      </c>
      <c r="S18" s="8">
        <f t="shared" si="2"/>
        <v>1.6612550000639998</v>
      </c>
      <c r="T18" s="7">
        <f>IFERROR(_xlfn.XLOOKUP($A18,'Base SKUs'!$E:$E,'Base SKUs'!R:R),"")</f>
        <v>423.77600000000001</v>
      </c>
      <c r="U18" s="15">
        <f t="shared" si="3"/>
        <v>704</v>
      </c>
      <c r="V18" t="str">
        <f t="shared" si="4"/>
        <v>Texas</v>
      </c>
    </row>
    <row r="19" spans="1:22" x14ac:dyDescent="0.2">
      <c r="A19" t="s">
        <v>55</v>
      </c>
      <c r="B19" s="5">
        <v>135</v>
      </c>
      <c r="C19" s="5">
        <v>0</v>
      </c>
      <c r="D19" s="5">
        <f t="shared" si="0"/>
        <v>135</v>
      </c>
      <c r="E19" s="6">
        <v>25.9345</v>
      </c>
      <c r="F19" s="6">
        <f t="shared" si="1"/>
        <v>3501.1574999999998</v>
      </c>
      <c r="G19" t="s">
        <v>24</v>
      </c>
      <c r="H19">
        <v>9008</v>
      </c>
      <c r="I19" t="str">
        <f>IFERROR(_xlfn.XLOOKUP($A19,'Base SKUs'!$E:$E,'Base SKUs'!A:A),"")</f>
        <v>Angelim</v>
      </c>
      <c r="J19" t="str">
        <f>IFERROR(_xlfn.XLOOKUP($A19,'Base SKUs'!$E:$E,'Base SKUs'!B:B),"")</f>
        <v>Angelim 1.5x8</v>
      </c>
      <c r="K19" t="str">
        <f>IFERROR(_xlfn.XLOOKUP($A19,'Base SKUs'!$E:$E,'Base SKUs'!C:C),"")</f>
        <v>Long</v>
      </c>
      <c r="L19" t="str">
        <f>IFERROR(_xlfn.XLOOKUP($A19,'Base SKUs'!$E:$E,'Base SKUs'!D:D),"")</f>
        <v>Hardwoods</v>
      </c>
      <c r="M19" t="str">
        <f>IFERROR(_xlfn.XLOOKUP($A19,'Base SKUs'!$E:$E,'Base SKUs'!G:G),"")</f>
        <v>Angelim Pedra</v>
      </c>
      <c r="N19" t="str">
        <f>IFERROR(_xlfn.XLOOKUP($A19,'Base SKUs'!$E:$E,'Base SKUs'!H:H),"")</f>
        <v>Rough Sawn</v>
      </c>
      <c r="O19" t="str">
        <f>IFERROR(_xlfn.XLOOKUP($A19,'Base SKUs'!$E:$E,'Base SKUs'!I:I),"")</f>
        <v>-</v>
      </c>
      <c r="P19" t="str">
        <f>IFERROR(_xlfn.XLOOKUP($A19,'Base SKUs'!$E:$E,'Base SKUs'!J:J),"")</f>
        <v>1.5x8</v>
      </c>
      <c r="Q19">
        <f>IFERROR(_xlfn.XLOOKUP($A19,'Base SKUs'!$E:$E,'Base SKUs'!K:K),"")</f>
        <v>12</v>
      </c>
      <c r="R19" s="7">
        <f>IFERROR(_xlfn.XLOOKUP($A19,'Base SKUs'!$E:$E,'Base SKUs'!S:S),"")</f>
        <v>2.8316846591999997E-2</v>
      </c>
      <c r="S19" s="8">
        <f t="shared" si="2"/>
        <v>3.8227742899199995</v>
      </c>
      <c r="T19" s="7">
        <f>IFERROR(_xlfn.XLOOKUP($A19,'Base SKUs'!$E:$E,'Base SKUs'!R:R),"")</f>
        <v>423.77600000000001</v>
      </c>
      <c r="U19" s="15">
        <f t="shared" si="3"/>
        <v>1620</v>
      </c>
      <c r="V19" t="str">
        <f t="shared" si="4"/>
        <v>Texas</v>
      </c>
    </row>
    <row r="20" spans="1:22" x14ac:dyDescent="0.2">
      <c r="A20" t="s">
        <v>57</v>
      </c>
      <c r="B20" s="5">
        <v>167</v>
      </c>
      <c r="C20" s="5">
        <v>0</v>
      </c>
      <c r="D20" s="5">
        <f t="shared" si="0"/>
        <v>167</v>
      </c>
      <c r="E20" s="6">
        <v>28.099599999999999</v>
      </c>
      <c r="F20" s="6">
        <f t="shared" si="1"/>
        <v>4692.6332000000002</v>
      </c>
      <c r="G20" t="s">
        <v>24</v>
      </c>
      <c r="H20">
        <v>9008</v>
      </c>
      <c r="I20" t="str">
        <f>IFERROR(_xlfn.XLOOKUP($A20,'Base SKUs'!$E:$E,'Base SKUs'!A:A),"")</f>
        <v>Angelim</v>
      </c>
      <c r="J20" t="str">
        <f>IFERROR(_xlfn.XLOOKUP($A20,'Base SKUs'!$E:$E,'Base SKUs'!B:B),"")</f>
        <v>Angelim 1.5x8</v>
      </c>
      <c r="K20" t="str">
        <f>IFERROR(_xlfn.XLOOKUP($A20,'Base SKUs'!$E:$E,'Base SKUs'!C:C),"")</f>
        <v>Long</v>
      </c>
      <c r="L20" t="str">
        <f>IFERROR(_xlfn.XLOOKUP($A20,'Base SKUs'!$E:$E,'Base SKUs'!D:D),"")</f>
        <v>Hardwoods</v>
      </c>
      <c r="M20" t="str">
        <f>IFERROR(_xlfn.XLOOKUP($A20,'Base SKUs'!$E:$E,'Base SKUs'!G:G),"")</f>
        <v>Angelim Pedra</v>
      </c>
      <c r="N20" t="str">
        <f>IFERROR(_xlfn.XLOOKUP($A20,'Base SKUs'!$E:$E,'Base SKUs'!H:H),"")</f>
        <v>Rough Sawn</v>
      </c>
      <c r="O20" t="str">
        <f>IFERROR(_xlfn.XLOOKUP($A20,'Base SKUs'!$E:$E,'Base SKUs'!I:I),"")</f>
        <v>-</v>
      </c>
      <c r="P20" t="str">
        <f>IFERROR(_xlfn.XLOOKUP($A20,'Base SKUs'!$E:$E,'Base SKUs'!J:J),"")</f>
        <v>1.5x8</v>
      </c>
      <c r="Q20">
        <f>IFERROR(_xlfn.XLOOKUP($A20,'Base SKUs'!$E:$E,'Base SKUs'!K:K),"")</f>
        <v>13</v>
      </c>
      <c r="R20" s="7">
        <f>IFERROR(_xlfn.XLOOKUP($A20,'Base SKUs'!$E:$E,'Base SKUs'!S:S),"")</f>
        <v>3.0676583808000001E-2</v>
      </c>
      <c r="S20" s="8">
        <f t="shared" si="2"/>
        <v>5.1229894959360003</v>
      </c>
      <c r="T20" s="7">
        <f>IFERROR(_xlfn.XLOOKUP($A20,'Base SKUs'!$E:$E,'Base SKUs'!R:R),"")</f>
        <v>423.77600000000001</v>
      </c>
      <c r="U20" s="15">
        <f t="shared" si="3"/>
        <v>2171</v>
      </c>
      <c r="V20" t="str">
        <f t="shared" si="4"/>
        <v>Texas</v>
      </c>
    </row>
    <row r="21" spans="1:22" x14ac:dyDescent="0.2">
      <c r="A21" t="s">
        <v>59</v>
      </c>
      <c r="B21" s="5">
        <v>46</v>
      </c>
      <c r="C21" s="5">
        <v>0</v>
      </c>
      <c r="D21" s="5">
        <f t="shared" si="0"/>
        <v>46</v>
      </c>
      <c r="E21" s="6">
        <v>30.261700000000001</v>
      </c>
      <c r="F21" s="6">
        <f t="shared" si="1"/>
        <v>1392.0382</v>
      </c>
      <c r="G21" t="s">
        <v>24</v>
      </c>
      <c r="H21">
        <v>9008</v>
      </c>
      <c r="I21" t="str">
        <f>IFERROR(_xlfn.XLOOKUP($A21,'Base SKUs'!$E:$E,'Base SKUs'!A:A),"")</f>
        <v>Angelim</v>
      </c>
      <c r="J21" t="str">
        <f>IFERROR(_xlfn.XLOOKUP($A21,'Base SKUs'!$E:$E,'Base SKUs'!B:B),"")</f>
        <v>Angelim 1.5x8</v>
      </c>
      <c r="K21" t="str">
        <f>IFERROR(_xlfn.XLOOKUP($A21,'Base SKUs'!$E:$E,'Base SKUs'!C:C),"")</f>
        <v>Long</v>
      </c>
      <c r="L21" t="str">
        <f>IFERROR(_xlfn.XLOOKUP($A21,'Base SKUs'!$E:$E,'Base SKUs'!D:D),"")</f>
        <v>Hardwoods</v>
      </c>
      <c r="M21" t="str">
        <f>IFERROR(_xlfn.XLOOKUP($A21,'Base SKUs'!$E:$E,'Base SKUs'!G:G),"")</f>
        <v>Angelim Pedra</v>
      </c>
      <c r="N21" t="str">
        <f>IFERROR(_xlfn.XLOOKUP($A21,'Base SKUs'!$E:$E,'Base SKUs'!H:H),"")</f>
        <v>Rough Sawn</v>
      </c>
      <c r="O21" t="str">
        <f>IFERROR(_xlfn.XLOOKUP($A21,'Base SKUs'!$E:$E,'Base SKUs'!I:I),"")</f>
        <v>-</v>
      </c>
      <c r="P21" t="str">
        <f>IFERROR(_xlfn.XLOOKUP($A21,'Base SKUs'!$E:$E,'Base SKUs'!J:J),"")</f>
        <v>1.5x8</v>
      </c>
      <c r="Q21">
        <f>IFERROR(_xlfn.XLOOKUP($A21,'Base SKUs'!$E:$E,'Base SKUs'!K:K),"")</f>
        <v>14</v>
      </c>
      <c r="R21" s="7">
        <f>IFERROR(_xlfn.XLOOKUP($A21,'Base SKUs'!$E:$E,'Base SKUs'!S:S),"")</f>
        <v>3.3036321023999997E-2</v>
      </c>
      <c r="S21" s="8">
        <f t="shared" si="2"/>
        <v>1.519670767104</v>
      </c>
      <c r="T21" s="7">
        <f>IFERROR(_xlfn.XLOOKUP($A21,'Base SKUs'!$E:$E,'Base SKUs'!R:R),"")</f>
        <v>423.77600000000001</v>
      </c>
      <c r="U21" s="15">
        <f t="shared" si="3"/>
        <v>644</v>
      </c>
      <c r="V21" t="str">
        <f t="shared" si="4"/>
        <v>Texas</v>
      </c>
    </row>
    <row r="22" spans="1:22" x14ac:dyDescent="0.2">
      <c r="A22" t="s">
        <v>61</v>
      </c>
      <c r="B22" s="5">
        <v>43</v>
      </c>
      <c r="C22" s="5">
        <v>0</v>
      </c>
      <c r="D22" s="5">
        <f t="shared" si="0"/>
        <v>43</v>
      </c>
      <c r="E22" s="6">
        <v>32.415500000000002</v>
      </c>
      <c r="F22" s="6">
        <f t="shared" si="1"/>
        <v>1393.8665000000001</v>
      </c>
      <c r="G22" t="s">
        <v>24</v>
      </c>
      <c r="H22">
        <v>9008</v>
      </c>
      <c r="I22" t="str">
        <f>IFERROR(_xlfn.XLOOKUP($A22,'Base SKUs'!$E:$E,'Base SKUs'!A:A),"")</f>
        <v>Angelim</v>
      </c>
      <c r="J22" t="str">
        <f>IFERROR(_xlfn.XLOOKUP($A22,'Base SKUs'!$E:$E,'Base SKUs'!B:B),"")</f>
        <v>Angelim 1.5x8</v>
      </c>
      <c r="K22" t="str">
        <f>IFERROR(_xlfn.XLOOKUP($A22,'Base SKUs'!$E:$E,'Base SKUs'!C:C),"")</f>
        <v>Long</v>
      </c>
      <c r="L22" t="str">
        <f>IFERROR(_xlfn.XLOOKUP($A22,'Base SKUs'!$E:$E,'Base SKUs'!D:D),"")</f>
        <v>Hardwoods</v>
      </c>
      <c r="M22" t="str">
        <f>IFERROR(_xlfn.XLOOKUP($A22,'Base SKUs'!$E:$E,'Base SKUs'!G:G),"")</f>
        <v>Angelim Pedra</v>
      </c>
      <c r="N22" t="str">
        <f>IFERROR(_xlfn.XLOOKUP($A22,'Base SKUs'!$E:$E,'Base SKUs'!H:H),"")</f>
        <v>Rough Sawn</v>
      </c>
      <c r="O22" t="str">
        <f>IFERROR(_xlfn.XLOOKUP($A22,'Base SKUs'!$E:$E,'Base SKUs'!I:I),"")</f>
        <v>-</v>
      </c>
      <c r="P22" t="str">
        <f>IFERROR(_xlfn.XLOOKUP($A22,'Base SKUs'!$E:$E,'Base SKUs'!J:J),"")</f>
        <v>1.5x8</v>
      </c>
      <c r="Q22">
        <f>IFERROR(_xlfn.XLOOKUP($A22,'Base SKUs'!$E:$E,'Base SKUs'!K:K),"")</f>
        <v>15</v>
      </c>
      <c r="R22" s="7">
        <f>IFERROR(_xlfn.XLOOKUP($A22,'Base SKUs'!$E:$E,'Base SKUs'!S:S),"")</f>
        <v>3.539605824E-2</v>
      </c>
      <c r="S22" s="8">
        <f t="shared" si="2"/>
        <v>1.52203050432</v>
      </c>
      <c r="T22" s="7">
        <f>IFERROR(_xlfn.XLOOKUP($A22,'Base SKUs'!$E:$E,'Base SKUs'!R:R),"")</f>
        <v>423.77600000000001</v>
      </c>
      <c r="U22" s="15">
        <f t="shared" si="3"/>
        <v>645</v>
      </c>
      <c r="V22" t="str">
        <f t="shared" si="4"/>
        <v>Texas</v>
      </c>
    </row>
    <row r="23" spans="1:22" x14ac:dyDescent="0.2">
      <c r="A23" t="s">
        <v>63</v>
      </c>
      <c r="B23" s="5">
        <v>42</v>
      </c>
      <c r="C23" s="5">
        <v>0</v>
      </c>
      <c r="D23" s="5">
        <f t="shared" si="0"/>
        <v>42</v>
      </c>
      <c r="E23" s="6">
        <v>34.582900000000002</v>
      </c>
      <c r="F23" s="6">
        <f t="shared" si="1"/>
        <v>1452.4818</v>
      </c>
      <c r="G23" t="s">
        <v>24</v>
      </c>
      <c r="H23">
        <v>9008</v>
      </c>
      <c r="I23" t="str">
        <f>IFERROR(_xlfn.XLOOKUP($A23,'Base SKUs'!$E:$E,'Base SKUs'!A:A),"")</f>
        <v>Angelim</v>
      </c>
      <c r="J23" t="str">
        <f>IFERROR(_xlfn.XLOOKUP($A23,'Base SKUs'!$E:$E,'Base SKUs'!B:B),"")</f>
        <v>Angelim 1.5x8</v>
      </c>
      <c r="K23" t="str">
        <f>IFERROR(_xlfn.XLOOKUP($A23,'Base SKUs'!$E:$E,'Base SKUs'!C:C),"")</f>
        <v>Long</v>
      </c>
      <c r="L23" t="str">
        <f>IFERROR(_xlfn.XLOOKUP($A23,'Base SKUs'!$E:$E,'Base SKUs'!D:D),"")</f>
        <v>Hardwoods</v>
      </c>
      <c r="M23" t="str">
        <f>IFERROR(_xlfn.XLOOKUP($A23,'Base SKUs'!$E:$E,'Base SKUs'!G:G),"")</f>
        <v>Angelim Pedra</v>
      </c>
      <c r="N23" t="str">
        <f>IFERROR(_xlfn.XLOOKUP($A23,'Base SKUs'!$E:$E,'Base SKUs'!H:H),"")</f>
        <v>Rough Sawn</v>
      </c>
      <c r="O23" t="str">
        <f>IFERROR(_xlfn.XLOOKUP($A23,'Base SKUs'!$E:$E,'Base SKUs'!I:I),"")</f>
        <v>-</v>
      </c>
      <c r="P23" t="str">
        <f>IFERROR(_xlfn.XLOOKUP($A23,'Base SKUs'!$E:$E,'Base SKUs'!J:J),"")</f>
        <v>1.5x8</v>
      </c>
      <c r="Q23">
        <f>IFERROR(_xlfn.XLOOKUP($A23,'Base SKUs'!$E:$E,'Base SKUs'!K:K),"")</f>
        <v>16</v>
      </c>
      <c r="R23" s="7">
        <f>IFERROR(_xlfn.XLOOKUP($A23,'Base SKUs'!$E:$E,'Base SKUs'!S:S),"")</f>
        <v>3.7755795456000003E-2</v>
      </c>
      <c r="S23" s="8">
        <f t="shared" si="2"/>
        <v>1.5857434091520002</v>
      </c>
      <c r="T23" s="7">
        <f>IFERROR(_xlfn.XLOOKUP($A23,'Base SKUs'!$E:$E,'Base SKUs'!R:R),"")</f>
        <v>423.77600000000001</v>
      </c>
      <c r="U23" s="15">
        <f t="shared" si="3"/>
        <v>672</v>
      </c>
      <c r="V23" t="str">
        <f t="shared" si="4"/>
        <v>Texas</v>
      </c>
    </row>
    <row r="24" spans="1:22" x14ac:dyDescent="0.2">
      <c r="A24" t="s">
        <v>65</v>
      </c>
      <c r="B24" s="5">
        <v>30</v>
      </c>
      <c r="C24" s="5">
        <v>0</v>
      </c>
      <c r="D24" s="5">
        <f t="shared" si="0"/>
        <v>30</v>
      </c>
      <c r="E24" s="6">
        <v>36.7241</v>
      </c>
      <c r="F24" s="6">
        <f t="shared" si="1"/>
        <v>1101.723</v>
      </c>
      <c r="G24" t="s">
        <v>24</v>
      </c>
      <c r="H24">
        <v>9008</v>
      </c>
      <c r="I24" t="str">
        <f>IFERROR(_xlfn.XLOOKUP($A24,'Base SKUs'!$E:$E,'Base SKUs'!A:A),"")</f>
        <v>Angelim</v>
      </c>
      <c r="J24" t="str">
        <f>IFERROR(_xlfn.XLOOKUP($A24,'Base SKUs'!$E:$E,'Base SKUs'!B:B),"")</f>
        <v>Angelim 1.5x8</v>
      </c>
      <c r="K24" t="str">
        <f>IFERROR(_xlfn.XLOOKUP($A24,'Base SKUs'!$E:$E,'Base SKUs'!C:C),"")</f>
        <v>Long</v>
      </c>
      <c r="L24" t="str">
        <f>IFERROR(_xlfn.XLOOKUP($A24,'Base SKUs'!$E:$E,'Base SKUs'!D:D),"")</f>
        <v>Hardwoods</v>
      </c>
      <c r="M24" t="str">
        <f>IFERROR(_xlfn.XLOOKUP($A24,'Base SKUs'!$E:$E,'Base SKUs'!G:G),"")</f>
        <v>Angelim Pedra</v>
      </c>
      <c r="N24" t="str">
        <f>IFERROR(_xlfn.XLOOKUP($A24,'Base SKUs'!$E:$E,'Base SKUs'!H:H),"")</f>
        <v>Rough Sawn</v>
      </c>
      <c r="O24" t="str">
        <f>IFERROR(_xlfn.XLOOKUP($A24,'Base SKUs'!$E:$E,'Base SKUs'!I:I),"")</f>
        <v>-</v>
      </c>
      <c r="P24" t="str">
        <f>IFERROR(_xlfn.XLOOKUP($A24,'Base SKUs'!$E:$E,'Base SKUs'!J:J),"")</f>
        <v>1.5x8</v>
      </c>
      <c r="Q24">
        <f>IFERROR(_xlfn.XLOOKUP($A24,'Base SKUs'!$E:$E,'Base SKUs'!K:K),"")</f>
        <v>17</v>
      </c>
      <c r="R24" s="7">
        <f>IFERROR(_xlfn.XLOOKUP($A24,'Base SKUs'!$E:$E,'Base SKUs'!S:S),"")</f>
        <v>4.0115532672000007E-2</v>
      </c>
      <c r="S24" s="8">
        <f t="shared" si="2"/>
        <v>1.2034659801600003</v>
      </c>
      <c r="T24" s="7">
        <f>IFERROR(_xlfn.XLOOKUP($A24,'Base SKUs'!$E:$E,'Base SKUs'!R:R),"")</f>
        <v>423.77600000000001</v>
      </c>
      <c r="U24" s="15">
        <f t="shared" si="3"/>
        <v>510</v>
      </c>
      <c r="V24" t="str">
        <f t="shared" si="4"/>
        <v>Texas</v>
      </c>
    </row>
    <row r="25" spans="1:22" x14ac:dyDescent="0.2">
      <c r="A25" t="s">
        <v>67</v>
      </c>
      <c r="B25" s="5">
        <v>49</v>
      </c>
      <c r="C25" s="5">
        <v>0</v>
      </c>
      <c r="D25" s="5">
        <f t="shared" si="0"/>
        <v>49</v>
      </c>
      <c r="E25" s="6">
        <v>38.893999999999998</v>
      </c>
      <c r="F25" s="6">
        <f t="shared" si="1"/>
        <v>1905.8059999999998</v>
      </c>
      <c r="G25" t="s">
        <v>24</v>
      </c>
      <c r="H25">
        <v>9008</v>
      </c>
      <c r="I25" t="str">
        <f>IFERROR(_xlfn.XLOOKUP($A25,'Base SKUs'!$E:$E,'Base SKUs'!A:A),"")</f>
        <v>Angelim</v>
      </c>
      <c r="J25" t="str">
        <f>IFERROR(_xlfn.XLOOKUP($A25,'Base SKUs'!$E:$E,'Base SKUs'!B:B),"")</f>
        <v>Angelim 1.5x8</v>
      </c>
      <c r="K25" t="str">
        <f>IFERROR(_xlfn.XLOOKUP($A25,'Base SKUs'!$E:$E,'Base SKUs'!C:C),"")</f>
        <v>Long</v>
      </c>
      <c r="L25" t="str">
        <f>IFERROR(_xlfn.XLOOKUP($A25,'Base SKUs'!$E:$E,'Base SKUs'!D:D),"")</f>
        <v>Hardwoods</v>
      </c>
      <c r="M25" t="str">
        <f>IFERROR(_xlfn.XLOOKUP($A25,'Base SKUs'!$E:$E,'Base SKUs'!G:G),"")</f>
        <v>Angelim Pedra</v>
      </c>
      <c r="N25" t="str">
        <f>IFERROR(_xlfn.XLOOKUP($A25,'Base SKUs'!$E:$E,'Base SKUs'!H:H),"")</f>
        <v>Rough Sawn</v>
      </c>
      <c r="O25" t="str">
        <f>IFERROR(_xlfn.XLOOKUP($A25,'Base SKUs'!$E:$E,'Base SKUs'!I:I),"")</f>
        <v>-</v>
      </c>
      <c r="P25" t="str">
        <f>IFERROR(_xlfn.XLOOKUP($A25,'Base SKUs'!$E:$E,'Base SKUs'!J:J),"")</f>
        <v>1.5x8</v>
      </c>
      <c r="Q25">
        <f>IFERROR(_xlfn.XLOOKUP($A25,'Base SKUs'!$E:$E,'Base SKUs'!K:K),"")</f>
        <v>18</v>
      </c>
      <c r="R25" s="7">
        <f>IFERROR(_xlfn.XLOOKUP($A25,'Base SKUs'!$E:$E,'Base SKUs'!S:S),"")</f>
        <v>4.2475269888000003E-2</v>
      </c>
      <c r="S25" s="8">
        <f t="shared" si="2"/>
        <v>2.0812882245120004</v>
      </c>
      <c r="T25" s="7">
        <f>IFERROR(_xlfn.XLOOKUP($A25,'Base SKUs'!$E:$E,'Base SKUs'!R:R),"")</f>
        <v>423.77600000000001</v>
      </c>
      <c r="U25" s="15">
        <f t="shared" si="3"/>
        <v>882</v>
      </c>
      <c r="V25" t="str">
        <f t="shared" si="4"/>
        <v>Texas</v>
      </c>
    </row>
    <row r="26" spans="1:22" x14ac:dyDescent="0.2">
      <c r="A26" t="s">
        <v>69</v>
      </c>
      <c r="B26" s="5">
        <v>104</v>
      </c>
      <c r="C26" s="5">
        <v>0</v>
      </c>
      <c r="D26" s="5">
        <f t="shared" si="0"/>
        <v>104</v>
      </c>
      <c r="E26" s="6">
        <v>41.061900000000001</v>
      </c>
      <c r="F26" s="6">
        <f t="shared" si="1"/>
        <v>4270.4376000000002</v>
      </c>
      <c r="G26" t="s">
        <v>24</v>
      </c>
      <c r="H26">
        <v>9008</v>
      </c>
      <c r="I26" t="str">
        <f>IFERROR(_xlfn.XLOOKUP($A26,'Base SKUs'!$E:$E,'Base SKUs'!A:A),"")</f>
        <v>Angelim</v>
      </c>
      <c r="J26" t="str">
        <f>IFERROR(_xlfn.XLOOKUP($A26,'Base SKUs'!$E:$E,'Base SKUs'!B:B),"")</f>
        <v>Angelim 1.5x8</v>
      </c>
      <c r="K26" t="str">
        <f>IFERROR(_xlfn.XLOOKUP($A26,'Base SKUs'!$E:$E,'Base SKUs'!C:C),"")</f>
        <v>Long</v>
      </c>
      <c r="L26" t="str">
        <f>IFERROR(_xlfn.XLOOKUP($A26,'Base SKUs'!$E:$E,'Base SKUs'!D:D),"")</f>
        <v>Hardwoods</v>
      </c>
      <c r="M26" t="str">
        <f>IFERROR(_xlfn.XLOOKUP($A26,'Base SKUs'!$E:$E,'Base SKUs'!G:G),"")</f>
        <v>Angelim Pedra</v>
      </c>
      <c r="N26" t="str">
        <f>IFERROR(_xlfn.XLOOKUP($A26,'Base SKUs'!$E:$E,'Base SKUs'!H:H),"")</f>
        <v>Rough Sawn</v>
      </c>
      <c r="O26" t="str">
        <f>IFERROR(_xlfn.XLOOKUP($A26,'Base SKUs'!$E:$E,'Base SKUs'!I:I),"")</f>
        <v>-</v>
      </c>
      <c r="P26" t="str">
        <f>IFERROR(_xlfn.XLOOKUP($A26,'Base SKUs'!$E:$E,'Base SKUs'!J:J),"")</f>
        <v>1.5x8</v>
      </c>
      <c r="Q26">
        <f>IFERROR(_xlfn.XLOOKUP($A26,'Base SKUs'!$E:$E,'Base SKUs'!K:K),"")</f>
        <v>19</v>
      </c>
      <c r="R26" s="7">
        <f>IFERROR(_xlfn.XLOOKUP($A26,'Base SKUs'!$E:$E,'Base SKUs'!S:S),"")</f>
        <v>4.4835007103999999E-2</v>
      </c>
      <c r="S26" s="8">
        <f t="shared" si="2"/>
        <v>4.6628407388159996</v>
      </c>
      <c r="T26" s="7">
        <f>IFERROR(_xlfn.XLOOKUP($A26,'Base SKUs'!$E:$E,'Base SKUs'!R:R),"")</f>
        <v>423.77600000000001</v>
      </c>
      <c r="U26" s="15">
        <f t="shared" si="3"/>
        <v>1976</v>
      </c>
      <c r="V26" t="str">
        <f t="shared" si="4"/>
        <v>Texas</v>
      </c>
    </row>
    <row r="27" spans="1:22" x14ac:dyDescent="0.2">
      <c r="A27" t="s">
        <v>71</v>
      </c>
      <c r="B27" s="5">
        <v>52</v>
      </c>
      <c r="C27" s="5">
        <v>0</v>
      </c>
      <c r="D27" s="5">
        <f t="shared" si="0"/>
        <v>52</v>
      </c>
      <c r="E27" s="6">
        <v>43.215000000000003</v>
      </c>
      <c r="F27" s="6">
        <f t="shared" si="1"/>
        <v>2247.1800000000003</v>
      </c>
      <c r="G27" t="s">
        <v>24</v>
      </c>
      <c r="H27">
        <v>9008</v>
      </c>
      <c r="I27" t="str">
        <f>IFERROR(_xlfn.XLOOKUP($A27,'Base SKUs'!$E:$E,'Base SKUs'!A:A),"")</f>
        <v>Angelim</v>
      </c>
      <c r="J27" t="str">
        <f>IFERROR(_xlfn.XLOOKUP($A27,'Base SKUs'!$E:$E,'Base SKUs'!B:B),"")</f>
        <v>Angelim 1.5x8</v>
      </c>
      <c r="K27" t="str">
        <f>IFERROR(_xlfn.XLOOKUP($A27,'Base SKUs'!$E:$E,'Base SKUs'!C:C),"")</f>
        <v>Long</v>
      </c>
      <c r="L27" t="str">
        <f>IFERROR(_xlfn.XLOOKUP($A27,'Base SKUs'!$E:$E,'Base SKUs'!D:D),"")</f>
        <v>Hardwoods</v>
      </c>
      <c r="M27" t="str">
        <f>IFERROR(_xlfn.XLOOKUP($A27,'Base SKUs'!$E:$E,'Base SKUs'!G:G),"")</f>
        <v>Angelim Pedra</v>
      </c>
      <c r="N27" t="str">
        <f>IFERROR(_xlfn.XLOOKUP($A27,'Base SKUs'!$E:$E,'Base SKUs'!H:H),"")</f>
        <v>Rough Sawn</v>
      </c>
      <c r="O27" t="str">
        <f>IFERROR(_xlfn.XLOOKUP($A27,'Base SKUs'!$E:$E,'Base SKUs'!I:I),"")</f>
        <v>-</v>
      </c>
      <c r="P27" t="str">
        <f>IFERROR(_xlfn.XLOOKUP($A27,'Base SKUs'!$E:$E,'Base SKUs'!J:J),"")</f>
        <v>1.5x8</v>
      </c>
      <c r="Q27">
        <f>IFERROR(_xlfn.XLOOKUP($A27,'Base SKUs'!$E:$E,'Base SKUs'!K:K),"")</f>
        <v>20</v>
      </c>
      <c r="R27" s="7">
        <f>IFERROR(_xlfn.XLOOKUP($A27,'Base SKUs'!$E:$E,'Base SKUs'!S:S),"")</f>
        <v>4.7194744320000002E-2</v>
      </c>
      <c r="S27" s="8">
        <f t="shared" si="2"/>
        <v>2.4541267046400002</v>
      </c>
      <c r="T27" s="7">
        <f>IFERROR(_xlfn.XLOOKUP($A27,'Base SKUs'!$E:$E,'Base SKUs'!R:R),"")</f>
        <v>423.77600000000001</v>
      </c>
      <c r="U27" s="15">
        <f t="shared" si="3"/>
        <v>1040</v>
      </c>
      <c r="V27" t="str">
        <f t="shared" si="4"/>
        <v>Texas</v>
      </c>
    </row>
    <row r="28" spans="1:22" x14ac:dyDescent="0.2">
      <c r="A28" t="s">
        <v>73</v>
      </c>
      <c r="B28" s="5">
        <v>12</v>
      </c>
      <c r="C28" s="5">
        <v>0</v>
      </c>
      <c r="D28" s="5">
        <f t="shared" si="0"/>
        <v>12</v>
      </c>
      <c r="E28" s="6">
        <v>45.409100000000002</v>
      </c>
      <c r="F28" s="6">
        <f t="shared" si="1"/>
        <v>544.90920000000006</v>
      </c>
      <c r="G28" t="s">
        <v>24</v>
      </c>
      <c r="H28">
        <v>9008</v>
      </c>
      <c r="I28" t="str">
        <f>IFERROR(_xlfn.XLOOKUP($A28,'Base SKUs'!$E:$E,'Base SKUs'!A:A),"")</f>
        <v>Angelim</v>
      </c>
      <c r="J28" t="str">
        <f>IFERROR(_xlfn.XLOOKUP($A28,'Base SKUs'!$E:$E,'Base SKUs'!B:B),"")</f>
        <v>Angelim 1.5x8</v>
      </c>
      <c r="K28" t="str">
        <f>IFERROR(_xlfn.XLOOKUP($A28,'Base SKUs'!$E:$E,'Base SKUs'!C:C),"")</f>
        <v>Long</v>
      </c>
      <c r="L28" t="str">
        <f>IFERROR(_xlfn.XLOOKUP($A28,'Base SKUs'!$E:$E,'Base SKUs'!D:D),"")</f>
        <v>Hardwoods</v>
      </c>
      <c r="M28" t="str">
        <f>IFERROR(_xlfn.XLOOKUP($A28,'Base SKUs'!$E:$E,'Base SKUs'!G:G),"")</f>
        <v>Angelim Pedra</v>
      </c>
      <c r="N28" t="str">
        <f>IFERROR(_xlfn.XLOOKUP($A28,'Base SKUs'!$E:$E,'Base SKUs'!H:H),"")</f>
        <v>Rough Sawn</v>
      </c>
      <c r="O28" t="str">
        <f>IFERROR(_xlfn.XLOOKUP($A28,'Base SKUs'!$E:$E,'Base SKUs'!I:I),"")</f>
        <v>-</v>
      </c>
      <c r="P28" t="str">
        <f>IFERROR(_xlfn.XLOOKUP($A28,'Base SKUs'!$E:$E,'Base SKUs'!J:J),"")</f>
        <v>1.5x8</v>
      </c>
      <c r="Q28">
        <f>IFERROR(_xlfn.XLOOKUP($A28,'Base SKUs'!$E:$E,'Base SKUs'!K:K),"")</f>
        <v>21</v>
      </c>
      <c r="R28" s="7">
        <f>IFERROR(_xlfn.XLOOKUP($A28,'Base SKUs'!$E:$E,'Base SKUs'!S:S),"")</f>
        <v>4.9554481536000006E-2</v>
      </c>
      <c r="S28" s="8">
        <f t="shared" si="2"/>
        <v>0.59465377843200007</v>
      </c>
      <c r="T28" s="7">
        <f>IFERROR(_xlfn.XLOOKUP($A28,'Base SKUs'!$E:$E,'Base SKUs'!R:R),"")</f>
        <v>423.77600000000001</v>
      </c>
      <c r="U28" s="15">
        <f t="shared" si="3"/>
        <v>252</v>
      </c>
      <c r="V28" t="str">
        <f t="shared" si="4"/>
        <v>Texas</v>
      </c>
    </row>
    <row r="29" spans="1:22" x14ac:dyDescent="0.2">
      <c r="A29" t="s">
        <v>75</v>
      </c>
      <c r="B29" s="5">
        <v>5</v>
      </c>
      <c r="C29" s="5">
        <v>0</v>
      </c>
      <c r="D29" s="5">
        <f t="shared" si="0"/>
        <v>5</v>
      </c>
      <c r="E29" s="6">
        <v>47.622300000000003</v>
      </c>
      <c r="F29" s="6">
        <f t="shared" si="1"/>
        <v>238.11150000000001</v>
      </c>
      <c r="G29" t="s">
        <v>24</v>
      </c>
      <c r="H29">
        <v>9008</v>
      </c>
      <c r="I29" t="str">
        <f>IFERROR(_xlfn.XLOOKUP($A29,'Base SKUs'!$E:$E,'Base SKUs'!A:A),"")</f>
        <v>Angelim</v>
      </c>
      <c r="J29" t="str">
        <f>IFERROR(_xlfn.XLOOKUP($A29,'Base SKUs'!$E:$E,'Base SKUs'!B:B),"")</f>
        <v>Angelim 1.5x8</v>
      </c>
      <c r="K29" t="str">
        <f>IFERROR(_xlfn.XLOOKUP($A29,'Base SKUs'!$E:$E,'Base SKUs'!C:C),"")</f>
        <v>Long</v>
      </c>
      <c r="L29" t="str">
        <f>IFERROR(_xlfn.XLOOKUP($A29,'Base SKUs'!$E:$E,'Base SKUs'!D:D),"")</f>
        <v>Hardwoods</v>
      </c>
      <c r="M29" t="str">
        <f>IFERROR(_xlfn.XLOOKUP($A29,'Base SKUs'!$E:$E,'Base SKUs'!G:G),"")</f>
        <v>Angelim Pedra</v>
      </c>
      <c r="N29" t="str">
        <f>IFERROR(_xlfn.XLOOKUP($A29,'Base SKUs'!$E:$E,'Base SKUs'!H:H),"")</f>
        <v>Rough Sawn</v>
      </c>
      <c r="O29" t="str">
        <f>IFERROR(_xlfn.XLOOKUP($A29,'Base SKUs'!$E:$E,'Base SKUs'!I:I),"")</f>
        <v>-</v>
      </c>
      <c r="P29" t="str">
        <f>IFERROR(_xlfn.XLOOKUP($A29,'Base SKUs'!$E:$E,'Base SKUs'!J:J),"")</f>
        <v>1.5x8</v>
      </c>
      <c r="Q29">
        <f>IFERROR(_xlfn.XLOOKUP($A29,'Base SKUs'!$E:$E,'Base SKUs'!K:K),"")</f>
        <v>22</v>
      </c>
      <c r="R29" s="7">
        <f>IFERROR(_xlfn.XLOOKUP($A29,'Base SKUs'!$E:$E,'Base SKUs'!S:S),"")</f>
        <v>5.1914218751999995E-2</v>
      </c>
      <c r="S29" s="8">
        <f t="shared" si="2"/>
        <v>0.25957109375999998</v>
      </c>
      <c r="T29" s="7">
        <f>IFERROR(_xlfn.XLOOKUP($A29,'Base SKUs'!$E:$E,'Base SKUs'!R:R),"")</f>
        <v>423.77600000000001</v>
      </c>
      <c r="U29" s="15">
        <f t="shared" si="3"/>
        <v>110</v>
      </c>
      <c r="V29" t="str">
        <f t="shared" si="4"/>
        <v>Texas</v>
      </c>
    </row>
    <row r="30" spans="1:22" x14ac:dyDescent="0.2">
      <c r="A30" t="s">
        <v>77</v>
      </c>
      <c r="B30" s="5">
        <v>1</v>
      </c>
      <c r="C30" s="5">
        <v>0</v>
      </c>
      <c r="D30" s="5">
        <f t="shared" si="0"/>
        <v>1</v>
      </c>
      <c r="E30" s="6">
        <v>15.5382</v>
      </c>
      <c r="F30" s="6">
        <f t="shared" si="1"/>
        <v>15.5382</v>
      </c>
      <c r="G30" t="s">
        <v>24</v>
      </c>
      <c r="H30">
        <v>9008</v>
      </c>
      <c r="I30" t="str">
        <f>IFERROR(_xlfn.XLOOKUP($A30,'Base SKUs'!$E:$E,'Base SKUs'!A:A),"")</f>
        <v>Angelim</v>
      </c>
      <c r="J30" t="str">
        <f>IFERROR(_xlfn.XLOOKUP($A30,'Base SKUs'!$E:$E,'Base SKUs'!B:B),"")</f>
        <v>Angelim 1.5x8</v>
      </c>
      <c r="K30" t="str">
        <f>IFERROR(_xlfn.XLOOKUP($A30,'Base SKUs'!$E:$E,'Base SKUs'!C:C),"")</f>
        <v>Long</v>
      </c>
      <c r="L30" t="str">
        <f>IFERROR(_xlfn.XLOOKUP($A30,'Base SKUs'!$E:$E,'Base SKUs'!D:D),"")</f>
        <v>Hardwoods</v>
      </c>
      <c r="M30" t="str">
        <f>IFERROR(_xlfn.XLOOKUP($A30,'Base SKUs'!$E:$E,'Base SKUs'!G:G),"")</f>
        <v>Angelim Pedra</v>
      </c>
      <c r="N30" t="str">
        <f>IFERROR(_xlfn.XLOOKUP($A30,'Base SKUs'!$E:$E,'Base SKUs'!H:H),"")</f>
        <v>Rough Sawn</v>
      </c>
      <c r="O30" t="str">
        <f>IFERROR(_xlfn.XLOOKUP($A30,'Base SKUs'!$E:$E,'Base SKUs'!I:I),"")</f>
        <v>-</v>
      </c>
      <c r="P30" t="str">
        <f>IFERROR(_xlfn.XLOOKUP($A30,'Base SKUs'!$E:$E,'Base SKUs'!J:J),"")</f>
        <v>1.5x8</v>
      </c>
      <c r="Q30">
        <f>IFERROR(_xlfn.XLOOKUP($A30,'Base SKUs'!$E:$E,'Base SKUs'!K:K),"")</f>
        <v>9</v>
      </c>
      <c r="R30" s="7">
        <f>IFERROR(_xlfn.XLOOKUP($A30,'Base SKUs'!$E:$E,'Base SKUs'!S:S),"")</f>
        <v>2.1237634944000001E-2</v>
      </c>
      <c r="S30" s="8">
        <f t="shared" si="2"/>
        <v>2.1237634944000001E-2</v>
      </c>
      <c r="T30" s="7">
        <f>IFERROR(_xlfn.XLOOKUP($A30,'Base SKUs'!$E:$E,'Base SKUs'!R:R),"")</f>
        <v>423.77600000000001</v>
      </c>
      <c r="U30" s="15">
        <f t="shared" si="3"/>
        <v>9</v>
      </c>
      <c r="V30" t="str">
        <f t="shared" si="4"/>
        <v>Texas</v>
      </c>
    </row>
    <row r="31" spans="1:22" x14ac:dyDescent="0.2">
      <c r="A31" t="s">
        <v>79</v>
      </c>
      <c r="B31" s="5">
        <v>61</v>
      </c>
      <c r="C31" s="5">
        <v>0</v>
      </c>
      <c r="D31" s="5">
        <f t="shared" si="0"/>
        <v>61</v>
      </c>
      <c r="E31" s="6">
        <v>17.454799999999999</v>
      </c>
      <c r="F31" s="6">
        <f t="shared" si="1"/>
        <v>1064.7428</v>
      </c>
      <c r="G31" t="s">
        <v>24</v>
      </c>
      <c r="H31">
        <v>9008</v>
      </c>
      <c r="I31" t="str">
        <f>IFERROR(_xlfn.XLOOKUP($A31,'Base SKUs'!$E:$E,'Base SKUs'!A:A),"")</f>
        <v>Angelim</v>
      </c>
      <c r="J31" t="str">
        <f>IFERROR(_xlfn.XLOOKUP($A31,'Base SKUs'!$E:$E,'Base SKUs'!B:B),"")</f>
        <v>Angelim 2x6 A</v>
      </c>
      <c r="K31" t="str">
        <f>IFERROR(_xlfn.XLOOKUP($A31,'Base SKUs'!$E:$E,'Base SKUs'!C:C),"")</f>
        <v>Long</v>
      </c>
      <c r="L31" t="str">
        <f>IFERROR(_xlfn.XLOOKUP($A31,'Base SKUs'!$E:$E,'Base SKUs'!D:D),"")</f>
        <v>Hardwoods</v>
      </c>
      <c r="M31" t="str">
        <f>IFERROR(_xlfn.XLOOKUP($A31,'Base SKUs'!$E:$E,'Base SKUs'!G:G),"")</f>
        <v>Angelim Pedra</v>
      </c>
      <c r="N31" t="str">
        <f>IFERROR(_xlfn.XLOOKUP($A31,'Base SKUs'!$E:$E,'Base SKUs'!H:H),"")</f>
        <v>Rough Sawn</v>
      </c>
      <c r="O31" t="str">
        <f>IFERROR(_xlfn.XLOOKUP($A31,'Base SKUs'!$E:$E,'Base SKUs'!I:I),"")</f>
        <v>-</v>
      </c>
      <c r="P31" t="str">
        <f>IFERROR(_xlfn.XLOOKUP($A31,'Base SKUs'!$E:$E,'Base SKUs'!J:J),"")</f>
        <v>2x6 A</v>
      </c>
      <c r="Q31">
        <f>IFERROR(_xlfn.XLOOKUP($A31,'Base SKUs'!$E:$E,'Base SKUs'!K:K),"")</f>
        <v>10</v>
      </c>
      <c r="R31" s="7">
        <f>IFERROR(_xlfn.XLOOKUP($A31,'Base SKUs'!$E:$E,'Base SKUs'!S:S),"")</f>
        <v>2.3597372160000001E-2</v>
      </c>
      <c r="S31" s="8">
        <f t="shared" si="2"/>
        <v>1.43943970176</v>
      </c>
      <c r="T31" s="7">
        <f>IFERROR(_xlfn.XLOOKUP($A31,'Base SKUs'!$E:$E,'Base SKUs'!R:R),"")</f>
        <v>423.77600000000001</v>
      </c>
      <c r="U31" s="15">
        <f t="shared" si="3"/>
        <v>610</v>
      </c>
      <c r="V31" t="str">
        <f t="shared" si="4"/>
        <v>Texas</v>
      </c>
    </row>
    <row r="32" spans="1:22" x14ac:dyDescent="0.2">
      <c r="A32" t="s">
        <v>81</v>
      </c>
      <c r="B32" s="5">
        <v>376</v>
      </c>
      <c r="C32" s="5">
        <v>0</v>
      </c>
      <c r="D32" s="5">
        <f t="shared" si="0"/>
        <v>376</v>
      </c>
      <c r="E32" s="6">
        <v>19.202400000000001</v>
      </c>
      <c r="F32" s="6">
        <f t="shared" si="1"/>
        <v>7220.1024000000007</v>
      </c>
      <c r="G32" t="s">
        <v>24</v>
      </c>
      <c r="H32">
        <v>9008</v>
      </c>
      <c r="I32" t="str">
        <f>IFERROR(_xlfn.XLOOKUP($A32,'Base SKUs'!$E:$E,'Base SKUs'!A:A),"")</f>
        <v>Angelim</v>
      </c>
      <c r="J32" t="str">
        <f>IFERROR(_xlfn.XLOOKUP($A32,'Base SKUs'!$E:$E,'Base SKUs'!B:B),"")</f>
        <v>Angelim 2x6 A</v>
      </c>
      <c r="K32" t="str">
        <f>IFERROR(_xlfn.XLOOKUP($A32,'Base SKUs'!$E:$E,'Base SKUs'!C:C),"")</f>
        <v>Long</v>
      </c>
      <c r="L32" t="str">
        <f>IFERROR(_xlfn.XLOOKUP($A32,'Base SKUs'!$E:$E,'Base SKUs'!D:D),"")</f>
        <v>Hardwoods</v>
      </c>
      <c r="M32" t="str">
        <f>IFERROR(_xlfn.XLOOKUP($A32,'Base SKUs'!$E:$E,'Base SKUs'!G:G),"")</f>
        <v>Angelim Pedra</v>
      </c>
      <c r="N32" t="str">
        <f>IFERROR(_xlfn.XLOOKUP($A32,'Base SKUs'!$E:$E,'Base SKUs'!H:H),"")</f>
        <v>Rough Sawn</v>
      </c>
      <c r="O32" t="str">
        <f>IFERROR(_xlfn.XLOOKUP($A32,'Base SKUs'!$E:$E,'Base SKUs'!I:I),"")</f>
        <v>-</v>
      </c>
      <c r="P32" t="str">
        <f>IFERROR(_xlfn.XLOOKUP($A32,'Base SKUs'!$E:$E,'Base SKUs'!J:J),"")</f>
        <v>2x6 A</v>
      </c>
      <c r="Q32">
        <f>IFERROR(_xlfn.XLOOKUP($A32,'Base SKUs'!$E:$E,'Base SKUs'!K:K),"")</f>
        <v>11</v>
      </c>
      <c r="R32" s="7">
        <f>IFERROR(_xlfn.XLOOKUP($A32,'Base SKUs'!$E:$E,'Base SKUs'!S:S),"")</f>
        <v>2.5957109375999994E-2</v>
      </c>
      <c r="S32" s="8">
        <f t="shared" si="2"/>
        <v>9.7598731253759983</v>
      </c>
      <c r="T32" s="7">
        <f>IFERROR(_xlfn.XLOOKUP($A32,'Base SKUs'!$E:$E,'Base SKUs'!R:R),"")</f>
        <v>423.77600000000001</v>
      </c>
      <c r="U32" s="15">
        <f t="shared" si="3"/>
        <v>4136</v>
      </c>
      <c r="V32" t="str">
        <f t="shared" si="4"/>
        <v>Texas</v>
      </c>
    </row>
    <row r="33" spans="1:22" x14ac:dyDescent="0.2">
      <c r="A33" t="s">
        <v>83</v>
      </c>
      <c r="B33" s="5">
        <v>465</v>
      </c>
      <c r="C33" s="5">
        <v>0</v>
      </c>
      <c r="D33" s="5">
        <f t="shared" si="0"/>
        <v>465</v>
      </c>
      <c r="E33" s="6">
        <v>25.930299999999999</v>
      </c>
      <c r="F33" s="6">
        <f t="shared" si="1"/>
        <v>12057.5895</v>
      </c>
      <c r="G33" t="s">
        <v>24</v>
      </c>
      <c r="H33">
        <v>9008</v>
      </c>
      <c r="I33" t="str">
        <f>IFERROR(_xlfn.XLOOKUP($A33,'Base SKUs'!$E:$E,'Base SKUs'!A:A),"")</f>
        <v>Angelim</v>
      </c>
      <c r="J33" t="str">
        <f>IFERROR(_xlfn.XLOOKUP($A33,'Base SKUs'!$E:$E,'Base SKUs'!B:B),"")</f>
        <v>Angelim 2x6 A</v>
      </c>
      <c r="K33" t="str">
        <f>IFERROR(_xlfn.XLOOKUP($A33,'Base SKUs'!$E:$E,'Base SKUs'!C:C),"")</f>
        <v>Long</v>
      </c>
      <c r="L33" t="str">
        <f>IFERROR(_xlfn.XLOOKUP($A33,'Base SKUs'!$E:$E,'Base SKUs'!D:D),"")</f>
        <v>Hardwoods</v>
      </c>
      <c r="M33" t="str">
        <f>IFERROR(_xlfn.XLOOKUP($A33,'Base SKUs'!$E:$E,'Base SKUs'!G:G),"")</f>
        <v>Angelim Pedra</v>
      </c>
      <c r="N33" t="str">
        <f>IFERROR(_xlfn.XLOOKUP($A33,'Base SKUs'!$E:$E,'Base SKUs'!H:H),"")</f>
        <v>Rough Sawn</v>
      </c>
      <c r="O33" t="str">
        <f>IFERROR(_xlfn.XLOOKUP($A33,'Base SKUs'!$E:$E,'Base SKUs'!I:I),"")</f>
        <v>-</v>
      </c>
      <c r="P33" t="str">
        <f>IFERROR(_xlfn.XLOOKUP($A33,'Base SKUs'!$E:$E,'Base SKUs'!J:J),"")</f>
        <v>2x6 A</v>
      </c>
      <c r="Q33">
        <f>IFERROR(_xlfn.XLOOKUP($A33,'Base SKUs'!$E:$E,'Base SKUs'!K:K),"")</f>
        <v>12</v>
      </c>
      <c r="R33" s="7">
        <f>IFERROR(_xlfn.XLOOKUP($A33,'Base SKUs'!$E:$E,'Base SKUs'!S:S),"")</f>
        <v>2.8316846591999997E-2</v>
      </c>
      <c r="S33" s="8">
        <f t="shared" si="2"/>
        <v>13.167333665279999</v>
      </c>
      <c r="T33" s="7">
        <f>IFERROR(_xlfn.XLOOKUP($A33,'Base SKUs'!$E:$E,'Base SKUs'!R:R),"")</f>
        <v>423.77600000000001</v>
      </c>
      <c r="U33" s="15">
        <f t="shared" si="3"/>
        <v>5580</v>
      </c>
      <c r="V33" t="str">
        <f t="shared" si="4"/>
        <v>Texas</v>
      </c>
    </row>
    <row r="34" spans="1:22" x14ac:dyDescent="0.2">
      <c r="A34" t="s">
        <v>85</v>
      </c>
      <c r="B34" s="5">
        <v>521</v>
      </c>
      <c r="C34" s="5">
        <v>0</v>
      </c>
      <c r="D34" s="5">
        <f t="shared" si="0"/>
        <v>521</v>
      </c>
      <c r="E34" s="6">
        <v>28.0946</v>
      </c>
      <c r="F34" s="6">
        <f t="shared" si="1"/>
        <v>14637.286599999999</v>
      </c>
      <c r="G34" t="s">
        <v>24</v>
      </c>
      <c r="H34">
        <v>9008</v>
      </c>
      <c r="I34" t="str">
        <f>IFERROR(_xlfn.XLOOKUP($A34,'Base SKUs'!$E:$E,'Base SKUs'!A:A),"")</f>
        <v>Angelim</v>
      </c>
      <c r="J34" t="str">
        <f>IFERROR(_xlfn.XLOOKUP($A34,'Base SKUs'!$E:$E,'Base SKUs'!B:B),"")</f>
        <v>Angelim 2x6 A</v>
      </c>
      <c r="K34" t="str">
        <f>IFERROR(_xlfn.XLOOKUP($A34,'Base SKUs'!$E:$E,'Base SKUs'!C:C),"")</f>
        <v>Long</v>
      </c>
      <c r="L34" t="str">
        <f>IFERROR(_xlfn.XLOOKUP($A34,'Base SKUs'!$E:$E,'Base SKUs'!D:D),"")</f>
        <v>Hardwoods</v>
      </c>
      <c r="M34" t="str">
        <f>IFERROR(_xlfn.XLOOKUP($A34,'Base SKUs'!$E:$E,'Base SKUs'!G:G),"")</f>
        <v>Angelim Pedra</v>
      </c>
      <c r="N34" t="str">
        <f>IFERROR(_xlfn.XLOOKUP($A34,'Base SKUs'!$E:$E,'Base SKUs'!H:H),"")</f>
        <v>Rough Sawn</v>
      </c>
      <c r="O34" t="str">
        <f>IFERROR(_xlfn.XLOOKUP($A34,'Base SKUs'!$E:$E,'Base SKUs'!I:I),"")</f>
        <v>-</v>
      </c>
      <c r="P34" t="str">
        <f>IFERROR(_xlfn.XLOOKUP($A34,'Base SKUs'!$E:$E,'Base SKUs'!J:J),"")</f>
        <v>2x6 A</v>
      </c>
      <c r="Q34">
        <f>IFERROR(_xlfn.XLOOKUP($A34,'Base SKUs'!$E:$E,'Base SKUs'!K:K),"")</f>
        <v>13</v>
      </c>
      <c r="R34" s="7">
        <f>IFERROR(_xlfn.XLOOKUP($A34,'Base SKUs'!$E:$E,'Base SKUs'!S:S),"")</f>
        <v>3.0676583808000001E-2</v>
      </c>
      <c r="S34" s="8">
        <f t="shared" si="2"/>
        <v>15.982500163968</v>
      </c>
      <c r="T34" s="7">
        <f>IFERROR(_xlfn.XLOOKUP($A34,'Base SKUs'!$E:$E,'Base SKUs'!R:R),"")</f>
        <v>423.77600000000001</v>
      </c>
      <c r="U34" s="15">
        <f t="shared" si="3"/>
        <v>6773</v>
      </c>
      <c r="V34" t="str">
        <f t="shared" si="4"/>
        <v>Texas</v>
      </c>
    </row>
    <row r="35" spans="1:22" x14ac:dyDescent="0.2">
      <c r="A35" t="s">
        <v>87</v>
      </c>
      <c r="B35" s="5">
        <v>452</v>
      </c>
      <c r="C35" s="5">
        <v>0</v>
      </c>
      <c r="D35" s="5">
        <f t="shared" si="0"/>
        <v>452</v>
      </c>
      <c r="E35" s="6">
        <v>30.254300000000001</v>
      </c>
      <c r="F35" s="6">
        <f t="shared" si="1"/>
        <v>13674.943600000001</v>
      </c>
      <c r="G35" t="s">
        <v>24</v>
      </c>
      <c r="H35">
        <v>9008</v>
      </c>
      <c r="I35" t="str">
        <f>IFERROR(_xlfn.XLOOKUP($A35,'Base SKUs'!$E:$E,'Base SKUs'!A:A),"")</f>
        <v>Angelim</v>
      </c>
      <c r="J35" t="str">
        <f>IFERROR(_xlfn.XLOOKUP($A35,'Base SKUs'!$E:$E,'Base SKUs'!B:B),"")</f>
        <v>Angelim 2x6 A</v>
      </c>
      <c r="K35" t="str">
        <f>IFERROR(_xlfn.XLOOKUP($A35,'Base SKUs'!$E:$E,'Base SKUs'!C:C),"")</f>
        <v>Long</v>
      </c>
      <c r="L35" t="str">
        <f>IFERROR(_xlfn.XLOOKUP($A35,'Base SKUs'!$E:$E,'Base SKUs'!D:D),"")</f>
        <v>Hardwoods</v>
      </c>
      <c r="M35" t="str">
        <f>IFERROR(_xlfn.XLOOKUP($A35,'Base SKUs'!$E:$E,'Base SKUs'!G:G),"")</f>
        <v>Angelim Pedra</v>
      </c>
      <c r="N35" t="str">
        <f>IFERROR(_xlfn.XLOOKUP($A35,'Base SKUs'!$E:$E,'Base SKUs'!H:H),"")</f>
        <v>Rough Sawn</v>
      </c>
      <c r="O35" t="str">
        <f>IFERROR(_xlfn.XLOOKUP($A35,'Base SKUs'!$E:$E,'Base SKUs'!I:I),"")</f>
        <v>-</v>
      </c>
      <c r="P35" t="str">
        <f>IFERROR(_xlfn.XLOOKUP($A35,'Base SKUs'!$E:$E,'Base SKUs'!J:J),"")</f>
        <v>2x6 A</v>
      </c>
      <c r="Q35">
        <f>IFERROR(_xlfn.XLOOKUP($A35,'Base SKUs'!$E:$E,'Base SKUs'!K:K),"")</f>
        <v>14</v>
      </c>
      <c r="R35" s="7">
        <f>IFERROR(_xlfn.XLOOKUP($A35,'Base SKUs'!$E:$E,'Base SKUs'!S:S),"")</f>
        <v>3.3036321023999997E-2</v>
      </c>
      <c r="S35" s="8">
        <f t="shared" si="2"/>
        <v>14.932417102847998</v>
      </c>
      <c r="T35" s="7">
        <f>IFERROR(_xlfn.XLOOKUP($A35,'Base SKUs'!$E:$E,'Base SKUs'!R:R),"")</f>
        <v>423.77600000000001</v>
      </c>
      <c r="U35" s="15">
        <f t="shared" si="3"/>
        <v>6328</v>
      </c>
      <c r="V35" t="str">
        <f t="shared" si="4"/>
        <v>Texas</v>
      </c>
    </row>
    <row r="36" spans="1:22" x14ac:dyDescent="0.2">
      <c r="A36" t="s">
        <v>89</v>
      </c>
      <c r="B36" s="5">
        <v>305</v>
      </c>
      <c r="C36" s="5">
        <v>0</v>
      </c>
      <c r="D36" s="5">
        <f t="shared" si="0"/>
        <v>305</v>
      </c>
      <c r="E36" s="6">
        <v>32.422800000000002</v>
      </c>
      <c r="F36" s="6">
        <f t="shared" si="1"/>
        <v>9888.9540000000015</v>
      </c>
      <c r="G36" t="s">
        <v>24</v>
      </c>
      <c r="H36">
        <v>9008</v>
      </c>
      <c r="I36" t="str">
        <f>IFERROR(_xlfn.XLOOKUP($A36,'Base SKUs'!$E:$E,'Base SKUs'!A:A),"")</f>
        <v>Angelim</v>
      </c>
      <c r="J36" t="str">
        <f>IFERROR(_xlfn.XLOOKUP($A36,'Base SKUs'!$E:$E,'Base SKUs'!B:B),"")</f>
        <v>Angelim 2x6 A</v>
      </c>
      <c r="K36" t="str">
        <f>IFERROR(_xlfn.XLOOKUP($A36,'Base SKUs'!$E:$E,'Base SKUs'!C:C),"")</f>
        <v>Long</v>
      </c>
      <c r="L36" t="str">
        <f>IFERROR(_xlfn.XLOOKUP($A36,'Base SKUs'!$E:$E,'Base SKUs'!D:D),"")</f>
        <v>Hardwoods</v>
      </c>
      <c r="M36" t="str">
        <f>IFERROR(_xlfn.XLOOKUP($A36,'Base SKUs'!$E:$E,'Base SKUs'!G:G),"")</f>
        <v>Angelim Pedra</v>
      </c>
      <c r="N36" t="str">
        <f>IFERROR(_xlfn.XLOOKUP($A36,'Base SKUs'!$E:$E,'Base SKUs'!H:H),"")</f>
        <v>Rough Sawn</v>
      </c>
      <c r="O36" t="str">
        <f>IFERROR(_xlfn.XLOOKUP($A36,'Base SKUs'!$E:$E,'Base SKUs'!I:I),"")</f>
        <v>-</v>
      </c>
      <c r="P36" t="str">
        <f>IFERROR(_xlfn.XLOOKUP($A36,'Base SKUs'!$E:$E,'Base SKUs'!J:J),"")</f>
        <v>2x6 A</v>
      </c>
      <c r="Q36">
        <f>IFERROR(_xlfn.XLOOKUP($A36,'Base SKUs'!$E:$E,'Base SKUs'!K:K),"")</f>
        <v>15</v>
      </c>
      <c r="R36" s="7">
        <f>IFERROR(_xlfn.XLOOKUP($A36,'Base SKUs'!$E:$E,'Base SKUs'!S:S),"")</f>
        <v>3.539605824E-2</v>
      </c>
      <c r="S36" s="8">
        <f t="shared" si="2"/>
        <v>10.7957977632</v>
      </c>
      <c r="T36" s="7">
        <f>IFERROR(_xlfn.XLOOKUP($A36,'Base SKUs'!$E:$E,'Base SKUs'!R:R),"")</f>
        <v>423.77600000000001</v>
      </c>
      <c r="U36" s="15">
        <f t="shared" si="3"/>
        <v>4575</v>
      </c>
      <c r="V36" t="str">
        <f t="shared" si="4"/>
        <v>Texas</v>
      </c>
    </row>
    <row r="37" spans="1:22" x14ac:dyDescent="0.2">
      <c r="A37" t="s">
        <v>91</v>
      </c>
      <c r="B37" s="5">
        <v>347</v>
      </c>
      <c r="C37" s="5">
        <v>0</v>
      </c>
      <c r="D37" s="5">
        <f t="shared" si="0"/>
        <v>347</v>
      </c>
      <c r="E37" s="6">
        <v>34.576599999999999</v>
      </c>
      <c r="F37" s="6">
        <f t="shared" si="1"/>
        <v>11998.0802</v>
      </c>
      <c r="G37" t="s">
        <v>24</v>
      </c>
      <c r="H37">
        <v>9008</v>
      </c>
      <c r="I37" t="str">
        <f>IFERROR(_xlfn.XLOOKUP($A37,'Base SKUs'!$E:$E,'Base SKUs'!A:A),"")</f>
        <v>Angelim</v>
      </c>
      <c r="J37" t="str">
        <f>IFERROR(_xlfn.XLOOKUP($A37,'Base SKUs'!$E:$E,'Base SKUs'!B:B),"")</f>
        <v>Angelim 2x6 A</v>
      </c>
      <c r="K37" t="str">
        <f>IFERROR(_xlfn.XLOOKUP($A37,'Base SKUs'!$E:$E,'Base SKUs'!C:C),"")</f>
        <v>Long</v>
      </c>
      <c r="L37" t="str">
        <f>IFERROR(_xlfn.XLOOKUP($A37,'Base SKUs'!$E:$E,'Base SKUs'!D:D),"")</f>
        <v>Hardwoods</v>
      </c>
      <c r="M37" t="str">
        <f>IFERROR(_xlfn.XLOOKUP($A37,'Base SKUs'!$E:$E,'Base SKUs'!G:G),"")</f>
        <v>Angelim Pedra</v>
      </c>
      <c r="N37" t="str">
        <f>IFERROR(_xlfn.XLOOKUP($A37,'Base SKUs'!$E:$E,'Base SKUs'!H:H),"")</f>
        <v>Rough Sawn</v>
      </c>
      <c r="O37" t="str">
        <f>IFERROR(_xlfn.XLOOKUP($A37,'Base SKUs'!$E:$E,'Base SKUs'!I:I),"")</f>
        <v>-</v>
      </c>
      <c r="P37" t="str">
        <f>IFERROR(_xlfn.XLOOKUP($A37,'Base SKUs'!$E:$E,'Base SKUs'!J:J),"")</f>
        <v>2x6 A</v>
      </c>
      <c r="Q37">
        <f>IFERROR(_xlfn.XLOOKUP($A37,'Base SKUs'!$E:$E,'Base SKUs'!K:K),"")</f>
        <v>16</v>
      </c>
      <c r="R37" s="7">
        <f>IFERROR(_xlfn.XLOOKUP($A37,'Base SKUs'!$E:$E,'Base SKUs'!S:S),"")</f>
        <v>3.7755795456000003E-2</v>
      </c>
      <c r="S37" s="8">
        <f t="shared" si="2"/>
        <v>13.101261023232</v>
      </c>
      <c r="T37" s="7">
        <f>IFERROR(_xlfn.XLOOKUP($A37,'Base SKUs'!$E:$E,'Base SKUs'!R:R),"")</f>
        <v>423.77600000000001</v>
      </c>
      <c r="U37" s="15">
        <f t="shared" si="3"/>
        <v>5552</v>
      </c>
      <c r="V37" t="str">
        <f t="shared" si="4"/>
        <v>Texas</v>
      </c>
    </row>
    <row r="38" spans="1:22" x14ac:dyDescent="0.2">
      <c r="A38" t="s">
        <v>93</v>
      </c>
      <c r="B38" s="5">
        <v>167</v>
      </c>
      <c r="C38" s="5">
        <v>0</v>
      </c>
      <c r="D38" s="5">
        <f t="shared" si="0"/>
        <v>167</v>
      </c>
      <c r="E38" s="6">
        <v>36.736699999999999</v>
      </c>
      <c r="F38" s="6">
        <f t="shared" si="1"/>
        <v>6135.0289000000002</v>
      </c>
      <c r="G38" t="s">
        <v>24</v>
      </c>
      <c r="H38">
        <v>9008</v>
      </c>
      <c r="I38" t="str">
        <f>IFERROR(_xlfn.XLOOKUP($A38,'Base SKUs'!$E:$E,'Base SKUs'!A:A),"")</f>
        <v>Angelim</v>
      </c>
      <c r="J38" t="str">
        <f>IFERROR(_xlfn.XLOOKUP($A38,'Base SKUs'!$E:$E,'Base SKUs'!B:B),"")</f>
        <v>Angelim 2x6 A</v>
      </c>
      <c r="K38" t="str">
        <f>IFERROR(_xlfn.XLOOKUP($A38,'Base SKUs'!$E:$E,'Base SKUs'!C:C),"")</f>
        <v>Long</v>
      </c>
      <c r="L38" t="str">
        <f>IFERROR(_xlfn.XLOOKUP($A38,'Base SKUs'!$E:$E,'Base SKUs'!D:D),"")</f>
        <v>Hardwoods</v>
      </c>
      <c r="M38" t="str">
        <f>IFERROR(_xlfn.XLOOKUP($A38,'Base SKUs'!$E:$E,'Base SKUs'!G:G),"")</f>
        <v>Angelim Pedra</v>
      </c>
      <c r="N38" t="str">
        <f>IFERROR(_xlfn.XLOOKUP($A38,'Base SKUs'!$E:$E,'Base SKUs'!H:H),"")</f>
        <v>Rough Sawn</v>
      </c>
      <c r="O38" t="str">
        <f>IFERROR(_xlfn.XLOOKUP($A38,'Base SKUs'!$E:$E,'Base SKUs'!I:I),"")</f>
        <v>-</v>
      </c>
      <c r="P38" t="str">
        <f>IFERROR(_xlfn.XLOOKUP($A38,'Base SKUs'!$E:$E,'Base SKUs'!J:J),"")</f>
        <v>2x6 A</v>
      </c>
      <c r="Q38">
        <f>IFERROR(_xlfn.XLOOKUP($A38,'Base SKUs'!$E:$E,'Base SKUs'!K:K),"")</f>
        <v>17</v>
      </c>
      <c r="R38" s="7">
        <f>IFERROR(_xlfn.XLOOKUP($A38,'Base SKUs'!$E:$E,'Base SKUs'!S:S),"")</f>
        <v>4.0115532672E-2</v>
      </c>
      <c r="S38" s="8">
        <f t="shared" si="2"/>
        <v>6.6992939562240004</v>
      </c>
      <c r="T38" s="7">
        <f>IFERROR(_xlfn.XLOOKUP($A38,'Base SKUs'!$E:$E,'Base SKUs'!R:R),"")</f>
        <v>423.77600000000001</v>
      </c>
      <c r="U38" s="15">
        <f t="shared" si="3"/>
        <v>2839</v>
      </c>
      <c r="V38" t="str">
        <f t="shared" si="4"/>
        <v>Texas</v>
      </c>
    </row>
    <row r="39" spans="1:22" x14ac:dyDescent="0.2">
      <c r="A39" t="s">
        <v>95</v>
      </c>
      <c r="B39" s="5">
        <v>365</v>
      </c>
      <c r="C39" s="5">
        <v>0</v>
      </c>
      <c r="D39" s="5">
        <f t="shared" si="0"/>
        <v>365</v>
      </c>
      <c r="E39" s="6">
        <v>38.903300000000002</v>
      </c>
      <c r="F39" s="6">
        <f t="shared" si="1"/>
        <v>14199.7045</v>
      </c>
      <c r="G39" t="s">
        <v>24</v>
      </c>
      <c r="H39">
        <v>9008</v>
      </c>
      <c r="I39" t="str">
        <f>IFERROR(_xlfn.XLOOKUP($A39,'Base SKUs'!$E:$E,'Base SKUs'!A:A),"")</f>
        <v>Angelim</v>
      </c>
      <c r="J39" t="str">
        <f>IFERROR(_xlfn.XLOOKUP($A39,'Base SKUs'!$E:$E,'Base SKUs'!B:B),"")</f>
        <v>Angelim 2x6 A</v>
      </c>
      <c r="K39" t="str">
        <f>IFERROR(_xlfn.XLOOKUP($A39,'Base SKUs'!$E:$E,'Base SKUs'!C:C),"")</f>
        <v>Long</v>
      </c>
      <c r="L39" t="str">
        <f>IFERROR(_xlfn.XLOOKUP($A39,'Base SKUs'!$E:$E,'Base SKUs'!D:D),"")</f>
        <v>Hardwoods</v>
      </c>
      <c r="M39" t="str">
        <f>IFERROR(_xlfn.XLOOKUP($A39,'Base SKUs'!$E:$E,'Base SKUs'!G:G),"")</f>
        <v>Angelim Pedra</v>
      </c>
      <c r="N39" t="str">
        <f>IFERROR(_xlfn.XLOOKUP($A39,'Base SKUs'!$E:$E,'Base SKUs'!H:H),"")</f>
        <v>Rough Sawn</v>
      </c>
      <c r="O39" t="str">
        <f>IFERROR(_xlfn.XLOOKUP($A39,'Base SKUs'!$E:$E,'Base SKUs'!I:I),"")</f>
        <v>-</v>
      </c>
      <c r="P39" t="str">
        <f>IFERROR(_xlfn.XLOOKUP($A39,'Base SKUs'!$E:$E,'Base SKUs'!J:J),"")</f>
        <v>2x6 A</v>
      </c>
      <c r="Q39">
        <f>IFERROR(_xlfn.XLOOKUP($A39,'Base SKUs'!$E:$E,'Base SKUs'!K:K),"")</f>
        <v>18</v>
      </c>
      <c r="R39" s="7">
        <f>IFERROR(_xlfn.XLOOKUP($A39,'Base SKUs'!$E:$E,'Base SKUs'!S:S),"")</f>
        <v>4.2475269888000003E-2</v>
      </c>
      <c r="S39" s="8">
        <f t="shared" si="2"/>
        <v>15.503473509120001</v>
      </c>
      <c r="T39" s="7">
        <f>IFERROR(_xlfn.XLOOKUP($A39,'Base SKUs'!$E:$E,'Base SKUs'!R:R),"")</f>
        <v>423.77600000000001</v>
      </c>
      <c r="U39" s="15">
        <f t="shared" si="3"/>
        <v>6570</v>
      </c>
      <c r="V39" t="str">
        <f t="shared" si="4"/>
        <v>Texas</v>
      </c>
    </row>
    <row r="40" spans="1:22" x14ac:dyDescent="0.2">
      <c r="A40" t="s">
        <v>97</v>
      </c>
      <c r="B40" s="5">
        <v>305</v>
      </c>
      <c r="C40" s="5">
        <v>0</v>
      </c>
      <c r="D40" s="5">
        <f t="shared" si="0"/>
        <v>305</v>
      </c>
      <c r="E40" s="6">
        <v>41.055500000000002</v>
      </c>
      <c r="F40" s="6">
        <f t="shared" si="1"/>
        <v>12521.9275</v>
      </c>
      <c r="G40" t="s">
        <v>24</v>
      </c>
      <c r="H40">
        <v>9008</v>
      </c>
      <c r="I40" t="str">
        <f>IFERROR(_xlfn.XLOOKUP($A40,'Base SKUs'!$E:$E,'Base SKUs'!A:A),"")</f>
        <v>Angelim</v>
      </c>
      <c r="J40" t="str">
        <f>IFERROR(_xlfn.XLOOKUP($A40,'Base SKUs'!$E:$E,'Base SKUs'!B:B),"")</f>
        <v>Angelim 2x6 A</v>
      </c>
      <c r="K40" t="str">
        <f>IFERROR(_xlfn.XLOOKUP($A40,'Base SKUs'!$E:$E,'Base SKUs'!C:C),"")</f>
        <v>Long</v>
      </c>
      <c r="L40" t="str">
        <f>IFERROR(_xlfn.XLOOKUP($A40,'Base SKUs'!$E:$E,'Base SKUs'!D:D),"")</f>
        <v>Hardwoods</v>
      </c>
      <c r="M40" t="str">
        <f>IFERROR(_xlfn.XLOOKUP($A40,'Base SKUs'!$E:$E,'Base SKUs'!G:G),"")</f>
        <v>Angelim Pedra</v>
      </c>
      <c r="N40" t="str">
        <f>IFERROR(_xlfn.XLOOKUP($A40,'Base SKUs'!$E:$E,'Base SKUs'!H:H),"")</f>
        <v>Rough Sawn</v>
      </c>
      <c r="O40" t="str">
        <f>IFERROR(_xlfn.XLOOKUP($A40,'Base SKUs'!$E:$E,'Base SKUs'!I:I),"")</f>
        <v>-</v>
      </c>
      <c r="P40" t="str">
        <f>IFERROR(_xlfn.XLOOKUP($A40,'Base SKUs'!$E:$E,'Base SKUs'!J:J),"")</f>
        <v>2x6 A</v>
      </c>
      <c r="Q40">
        <f>IFERROR(_xlfn.XLOOKUP($A40,'Base SKUs'!$E:$E,'Base SKUs'!K:K),"")</f>
        <v>19</v>
      </c>
      <c r="R40" s="7">
        <f>IFERROR(_xlfn.XLOOKUP($A40,'Base SKUs'!$E:$E,'Base SKUs'!S:S),"")</f>
        <v>4.4835007103999992E-2</v>
      </c>
      <c r="S40" s="8">
        <f t="shared" si="2"/>
        <v>13.674677166719997</v>
      </c>
      <c r="T40" s="7">
        <f>IFERROR(_xlfn.XLOOKUP($A40,'Base SKUs'!$E:$E,'Base SKUs'!R:R),"")</f>
        <v>423.77600000000001</v>
      </c>
      <c r="U40" s="15">
        <f t="shared" si="3"/>
        <v>5795</v>
      </c>
      <c r="V40" t="str">
        <f t="shared" si="4"/>
        <v>Texas</v>
      </c>
    </row>
    <row r="41" spans="1:22" x14ac:dyDescent="0.2">
      <c r="A41" t="s">
        <v>99</v>
      </c>
      <c r="B41" s="5">
        <v>457</v>
      </c>
      <c r="C41" s="5">
        <v>0</v>
      </c>
      <c r="D41" s="5">
        <f t="shared" si="0"/>
        <v>457</v>
      </c>
      <c r="E41" s="6">
        <v>43.2256</v>
      </c>
      <c r="F41" s="6">
        <f t="shared" si="1"/>
        <v>19754.099200000001</v>
      </c>
      <c r="G41" t="s">
        <v>24</v>
      </c>
      <c r="H41">
        <v>9008</v>
      </c>
      <c r="I41" t="str">
        <f>IFERROR(_xlfn.XLOOKUP($A41,'Base SKUs'!$E:$E,'Base SKUs'!A:A),"")</f>
        <v>Angelim</v>
      </c>
      <c r="J41" t="str">
        <f>IFERROR(_xlfn.XLOOKUP($A41,'Base SKUs'!$E:$E,'Base SKUs'!B:B),"")</f>
        <v>Angelim 2x6 A</v>
      </c>
      <c r="K41" t="str">
        <f>IFERROR(_xlfn.XLOOKUP($A41,'Base SKUs'!$E:$E,'Base SKUs'!C:C),"")</f>
        <v>Long</v>
      </c>
      <c r="L41" t="str">
        <f>IFERROR(_xlfn.XLOOKUP($A41,'Base SKUs'!$E:$E,'Base SKUs'!D:D),"")</f>
        <v>Hardwoods</v>
      </c>
      <c r="M41" t="str">
        <f>IFERROR(_xlfn.XLOOKUP($A41,'Base SKUs'!$E:$E,'Base SKUs'!G:G),"")</f>
        <v>Angelim Pedra</v>
      </c>
      <c r="N41" t="str">
        <f>IFERROR(_xlfn.XLOOKUP($A41,'Base SKUs'!$E:$E,'Base SKUs'!H:H),"")</f>
        <v>Rough Sawn</v>
      </c>
      <c r="O41" t="str">
        <f>IFERROR(_xlfn.XLOOKUP($A41,'Base SKUs'!$E:$E,'Base SKUs'!I:I),"")</f>
        <v>-</v>
      </c>
      <c r="P41" t="str">
        <f>IFERROR(_xlfn.XLOOKUP($A41,'Base SKUs'!$E:$E,'Base SKUs'!J:J),"")</f>
        <v>2x6 A</v>
      </c>
      <c r="Q41">
        <f>IFERROR(_xlfn.XLOOKUP($A41,'Base SKUs'!$E:$E,'Base SKUs'!K:K),"")</f>
        <v>20</v>
      </c>
      <c r="R41" s="7">
        <f>IFERROR(_xlfn.XLOOKUP($A41,'Base SKUs'!$E:$E,'Base SKUs'!S:S),"")</f>
        <v>4.7194744320000002E-2</v>
      </c>
      <c r="S41" s="8">
        <f t="shared" si="2"/>
        <v>21.567998154240001</v>
      </c>
      <c r="T41" s="7">
        <f>IFERROR(_xlfn.XLOOKUP($A41,'Base SKUs'!$E:$E,'Base SKUs'!R:R),"")</f>
        <v>423.77600000000001</v>
      </c>
      <c r="U41" s="15">
        <f t="shared" si="3"/>
        <v>9140</v>
      </c>
      <c r="V41" t="str">
        <f t="shared" si="4"/>
        <v>Texas</v>
      </c>
    </row>
    <row r="42" spans="1:22" x14ac:dyDescent="0.2">
      <c r="A42" t="s">
        <v>101</v>
      </c>
      <c r="B42" s="5">
        <v>218</v>
      </c>
      <c r="C42" s="5">
        <v>0</v>
      </c>
      <c r="D42" s="5">
        <f t="shared" si="0"/>
        <v>218</v>
      </c>
      <c r="E42" s="6">
        <v>45.3874</v>
      </c>
      <c r="F42" s="6">
        <f t="shared" si="1"/>
        <v>9894.4531999999999</v>
      </c>
      <c r="G42" t="s">
        <v>24</v>
      </c>
      <c r="H42">
        <v>9008</v>
      </c>
      <c r="I42" t="str">
        <f>IFERROR(_xlfn.XLOOKUP($A42,'Base SKUs'!$E:$E,'Base SKUs'!A:A),"")</f>
        <v>Angelim</v>
      </c>
      <c r="J42" t="str">
        <f>IFERROR(_xlfn.XLOOKUP($A42,'Base SKUs'!$E:$E,'Base SKUs'!B:B),"")</f>
        <v>Angelim 2x6 A</v>
      </c>
      <c r="K42" t="str">
        <f>IFERROR(_xlfn.XLOOKUP($A42,'Base SKUs'!$E:$E,'Base SKUs'!C:C),"")</f>
        <v>Long</v>
      </c>
      <c r="L42" t="str">
        <f>IFERROR(_xlfn.XLOOKUP($A42,'Base SKUs'!$E:$E,'Base SKUs'!D:D),"")</f>
        <v>Hardwoods</v>
      </c>
      <c r="M42" t="str">
        <f>IFERROR(_xlfn.XLOOKUP($A42,'Base SKUs'!$E:$E,'Base SKUs'!G:G),"")</f>
        <v>Angelim Pedra</v>
      </c>
      <c r="N42" t="str">
        <f>IFERROR(_xlfn.XLOOKUP($A42,'Base SKUs'!$E:$E,'Base SKUs'!H:H),"")</f>
        <v>Rough Sawn</v>
      </c>
      <c r="O42" t="str">
        <f>IFERROR(_xlfn.XLOOKUP($A42,'Base SKUs'!$E:$E,'Base SKUs'!I:I),"")</f>
        <v>-</v>
      </c>
      <c r="P42" t="str">
        <f>IFERROR(_xlfn.XLOOKUP($A42,'Base SKUs'!$E:$E,'Base SKUs'!J:J),"")</f>
        <v>2x6 A</v>
      </c>
      <c r="Q42">
        <f>IFERROR(_xlfn.XLOOKUP($A42,'Base SKUs'!$E:$E,'Base SKUs'!K:K),"")</f>
        <v>21</v>
      </c>
      <c r="R42" s="7">
        <f>IFERROR(_xlfn.XLOOKUP($A42,'Base SKUs'!$E:$E,'Base SKUs'!S:S),"")</f>
        <v>4.9554481536000006E-2</v>
      </c>
      <c r="S42" s="8">
        <f t="shared" si="2"/>
        <v>10.802876974848001</v>
      </c>
      <c r="T42" s="7">
        <f>IFERROR(_xlfn.XLOOKUP($A42,'Base SKUs'!$E:$E,'Base SKUs'!R:R),"")</f>
        <v>423.77600000000001</v>
      </c>
      <c r="U42" s="15">
        <f t="shared" si="3"/>
        <v>4578</v>
      </c>
      <c r="V42" t="str">
        <f t="shared" si="4"/>
        <v>Texas</v>
      </c>
    </row>
    <row r="43" spans="1:22" x14ac:dyDescent="0.2">
      <c r="A43" t="s">
        <v>103</v>
      </c>
      <c r="B43" s="5">
        <v>159</v>
      </c>
      <c r="C43" s="5">
        <v>0</v>
      </c>
      <c r="D43" s="5">
        <f t="shared" si="0"/>
        <v>159</v>
      </c>
      <c r="E43" s="6">
        <v>47.547400000000003</v>
      </c>
      <c r="F43" s="6">
        <f t="shared" si="1"/>
        <v>7560.0366000000004</v>
      </c>
      <c r="G43" t="s">
        <v>24</v>
      </c>
      <c r="H43">
        <v>9008</v>
      </c>
      <c r="I43" t="str">
        <f>IFERROR(_xlfn.XLOOKUP($A43,'Base SKUs'!$E:$E,'Base SKUs'!A:A),"")</f>
        <v>Angelim</v>
      </c>
      <c r="J43" t="str">
        <f>IFERROR(_xlfn.XLOOKUP($A43,'Base SKUs'!$E:$E,'Base SKUs'!B:B),"")</f>
        <v>Angelim 2x6 A</v>
      </c>
      <c r="K43" t="str">
        <f>IFERROR(_xlfn.XLOOKUP($A43,'Base SKUs'!$E:$E,'Base SKUs'!C:C),"")</f>
        <v>Long</v>
      </c>
      <c r="L43" t="str">
        <f>IFERROR(_xlfn.XLOOKUP($A43,'Base SKUs'!$E:$E,'Base SKUs'!D:D),"")</f>
        <v>Hardwoods</v>
      </c>
      <c r="M43" t="str">
        <f>IFERROR(_xlfn.XLOOKUP($A43,'Base SKUs'!$E:$E,'Base SKUs'!G:G),"")</f>
        <v>Angelim Pedra</v>
      </c>
      <c r="N43" t="str">
        <f>IFERROR(_xlfn.XLOOKUP($A43,'Base SKUs'!$E:$E,'Base SKUs'!H:H),"")</f>
        <v>Rough Sawn</v>
      </c>
      <c r="O43" t="str">
        <f>IFERROR(_xlfn.XLOOKUP($A43,'Base SKUs'!$E:$E,'Base SKUs'!I:I),"")</f>
        <v>-</v>
      </c>
      <c r="P43" t="str">
        <f>IFERROR(_xlfn.XLOOKUP($A43,'Base SKUs'!$E:$E,'Base SKUs'!J:J),"")</f>
        <v>2x6 A</v>
      </c>
      <c r="Q43">
        <f>IFERROR(_xlfn.XLOOKUP($A43,'Base SKUs'!$E:$E,'Base SKUs'!K:K),"")</f>
        <v>22</v>
      </c>
      <c r="R43" s="7">
        <f>IFERROR(_xlfn.XLOOKUP($A43,'Base SKUs'!$E:$E,'Base SKUs'!S:S),"")</f>
        <v>5.1914218751999988E-2</v>
      </c>
      <c r="S43" s="8">
        <f t="shared" si="2"/>
        <v>8.254360781567998</v>
      </c>
      <c r="T43" s="7">
        <f>IFERROR(_xlfn.XLOOKUP($A43,'Base SKUs'!$E:$E,'Base SKUs'!R:R),"")</f>
        <v>423.77600000000001</v>
      </c>
      <c r="U43" s="15">
        <f t="shared" si="3"/>
        <v>3498</v>
      </c>
      <c r="V43" t="str">
        <f t="shared" si="4"/>
        <v>Texas</v>
      </c>
    </row>
    <row r="44" spans="1:22" x14ac:dyDescent="0.2">
      <c r="A44" t="s">
        <v>105</v>
      </c>
      <c r="B44" s="5">
        <v>98</v>
      </c>
      <c r="C44" s="5">
        <v>0</v>
      </c>
      <c r="D44" s="5">
        <f t="shared" si="0"/>
        <v>98</v>
      </c>
      <c r="E44" s="6">
        <v>49.696899999999999</v>
      </c>
      <c r="F44" s="6">
        <f t="shared" si="1"/>
        <v>4870.2961999999998</v>
      </c>
      <c r="G44" t="s">
        <v>24</v>
      </c>
      <c r="H44">
        <v>9008</v>
      </c>
      <c r="I44" t="str">
        <f>IFERROR(_xlfn.XLOOKUP($A44,'Base SKUs'!$E:$E,'Base SKUs'!A:A),"")</f>
        <v>Angelim</v>
      </c>
      <c r="J44" t="str">
        <f>IFERROR(_xlfn.XLOOKUP($A44,'Base SKUs'!$E:$E,'Base SKUs'!B:B),"")</f>
        <v>Angelim 2x6 A</v>
      </c>
      <c r="K44" t="str">
        <f>IFERROR(_xlfn.XLOOKUP($A44,'Base SKUs'!$E:$E,'Base SKUs'!C:C),"")</f>
        <v>Long</v>
      </c>
      <c r="L44" t="str">
        <f>IFERROR(_xlfn.XLOOKUP($A44,'Base SKUs'!$E:$E,'Base SKUs'!D:D),"")</f>
        <v>Hardwoods</v>
      </c>
      <c r="M44" t="str">
        <f>IFERROR(_xlfn.XLOOKUP($A44,'Base SKUs'!$E:$E,'Base SKUs'!G:G),"")</f>
        <v>Angelim Pedra</v>
      </c>
      <c r="N44" t="str">
        <f>IFERROR(_xlfn.XLOOKUP($A44,'Base SKUs'!$E:$E,'Base SKUs'!H:H),"")</f>
        <v>Rough Sawn</v>
      </c>
      <c r="O44" t="str">
        <f>IFERROR(_xlfn.XLOOKUP($A44,'Base SKUs'!$E:$E,'Base SKUs'!I:I),"")</f>
        <v>-</v>
      </c>
      <c r="P44" t="str">
        <f>IFERROR(_xlfn.XLOOKUP($A44,'Base SKUs'!$E:$E,'Base SKUs'!J:J),"")</f>
        <v>2x6 A</v>
      </c>
      <c r="Q44">
        <f>IFERROR(_xlfn.XLOOKUP($A44,'Base SKUs'!$E:$E,'Base SKUs'!K:K),"")</f>
        <v>23</v>
      </c>
      <c r="R44" s="7">
        <f>IFERROR(_xlfn.XLOOKUP($A44,'Base SKUs'!$E:$E,'Base SKUs'!S:S),"")</f>
        <v>5.4273955968000005E-2</v>
      </c>
      <c r="S44" s="8">
        <f t="shared" si="2"/>
        <v>5.3188476848640009</v>
      </c>
      <c r="T44" s="7">
        <f>IFERROR(_xlfn.XLOOKUP($A44,'Base SKUs'!$E:$E,'Base SKUs'!R:R),"")</f>
        <v>423.77600000000001</v>
      </c>
      <c r="U44" s="15">
        <f t="shared" si="3"/>
        <v>2254</v>
      </c>
      <c r="V44" t="str">
        <f t="shared" si="4"/>
        <v>Texas</v>
      </c>
    </row>
    <row r="45" spans="1:22" x14ac:dyDescent="0.2">
      <c r="A45" t="s">
        <v>107</v>
      </c>
      <c r="B45" s="5">
        <v>216</v>
      </c>
      <c r="C45" s="5">
        <v>0</v>
      </c>
      <c r="D45" s="5">
        <f t="shared" si="0"/>
        <v>216</v>
      </c>
      <c r="E45" s="6">
        <v>29.08</v>
      </c>
      <c r="F45" s="6">
        <f t="shared" si="1"/>
        <v>6281.28</v>
      </c>
      <c r="G45" t="s">
        <v>17</v>
      </c>
      <c r="H45">
        <v>9007</v>
      </c>
      <c r="I45" t="str">
        <f>IFERROR(_xlfn.XLOOKUP($A45,'Base SKUs'!$E:$E,'Base SKUs'!A:A),"")</f>
        <v>Accoya</v>
      </c>
      <c r="J45" t="str">
        <f>IFERROR(_xlfn.XLOOKUP($A45,'Base SKUs'!$E:$E,'Base SKUs'!B:B),"")</f>
        <v>Accoya 1x6</v>
      </c>
      <c r="K45" t="str">
        <f>IFERROR(_xlfn.XLOOKUP($A45,'Base SKUs'!$E:$E,'Base SKUs'!C:C),"")</f>
        <v>Long</v>
      </c>
      <c r="L45" t="str">
        <f>IFERROR(_xlfn.XLOOKUP($A45,'Base SKUs'!$E:$E,'Base SKUs'!D:D),"")</f>
        <v>Acetylated</v>
      </c>
      <c r="M45" t="str">
        <f>IFERROR(_xlfn.XLOOKUP($A45,'Base SKUs'!$E:$E,'Base SKUs'!G:G),"")</f>
        <v>Maximo Accoya</v>
      </c>
      <c r="N45" t="str">
        <f>IFERROR(_xlfn.XLOOKUP($A45,'Base SKUs'!$E:$E,'Base SKUs'!H:H),"")</f>
        <v>S4S E4E</v>
      </c>
      <c r="O45" t="str">
        <f>IFERROR(_xlfn.XLOOKUP($A45,'Base SKUs'!$E:$E,'Base SKUs'!I:I),"")</f>
        <v>-</v>
      </c>
      <c r="P45" t="str">
        <f>IFERROR(_xlfn.XLOOKUP($A45,'Base SKUs'!$E:$E,'Base SKUs'!J:J),"")</f>
        <v>1x6</v>
      </c>
      <c r="Q45">
        <f>IFERROR(_xlfn.XLOOKUP($A45,'Base SKUs'!$E:$E,'Base SKUs'!K:K),"")</f>
        <v>10</v>
      </c>
      <c r="R45" s="7">
        <f>IFERROR(_xlfn.XLOOKUP($A45,'Base SKUs'!$E:$E,'Base SKUs'!S:S),"")</f>
        <v>8.4803056199999997E-3</v>
      </c>
      <c r="S45" s="8">
        <f t="shared" si="2"/>
        <v>1.8317460139199999</v>
      </c>
      <c r="T45" s="7">
        <f>IFERROR(_xlfn.XLOOKUP($A45,'Base SKUs'!$E:$E,'Base SKUs'!R:R),"")</f>
        <v>1179.203</v>
      </c>
      <c r="U45" s="15">
        <f t="shared" si="3"/>
        <v>2160</v>
      </c>
      <c r="V45" t="str">
        <f t="shared" si="4"/>
        <v>Miami</v>
      </c>
    </row>
    <row r="46" spans="1:22" x14ac:dyDescent="0.2">
      <c r="A46" t="s">
        <v>109</v>
      </c>
      <c r="B46" s="5">
        <v>495</v>
      </c>
      <c r="C46" s="5">
        <v>0</v>
      </c>
      <c r="D46" s="5">
        <f t="shared" si="0"/>
        <v>495</v>
      </c>
      <c r="E46" s="6">
        <v>40.712000000000003</v>
      </c>
      <c r="F46" s="6">
        <f t="shared" si="1"/>
        <v>20152.440000000002</v>
      </c>
      <c r="G46" t="s">
        <v>17</v>
      </c>
      <c r="H46">
        <v>9007</v>
      </c>
      <c r="I46" t="str">
        <f>IFERROR(_xlfn.XLOOKUP($A46,'Base SKUs'!$E:$E,'Base SKUs'!A:A),"")</f>
        <v>Accoya</v>
      </c>
      <c r="J46" t="str">
        <f>IFERROR(_xlfn.XLOOKUP($A46,'Base SKUs'!$E:$E,'Base SKUs'!B:B),"")</f>
        <v>Accoya 1x6</v>
      </c>
      <c r="K46" t="str">
        <f>IFERROR(_xlfn.XLOOKUP($A46,'Base SKUs'!$E:$E,'Base SKUs'!C:C),"")</f>
        <v>Long</v>
      </c>
      <c r="L46" t="str">
        <f>IFERROR(_xlfn.XLOOKUP($A46,'Base SKUs'!$E:$E,'Base SKUs'!D:D),"")</f>
        <v>Acetylated</v>
      </c>
      <c r="M46" t="str">
        <f>IFERROR(_xlfn.XLOOKUP($A46,'Base SKUs'!$E:$E,'Base SKUs'!G:G),"")</f>
        <v>Maximo Accoya</v>
      </c>
      <c r="N46" t="str">
        <f>IFERROR(_xlfn.XLOOKUP($A46,'Base SKUs'!$E:$E,'Base SKUs'!H:H),"")</f>
        <v>S4S E4E</v>
      </c>
      <c r="O46" t="str">
        <f>IFERROR(_xlfn.XLOOKUP($A46,'Base SKUs'!$E:$E,'Base SKUs'!I:I),"")</f>
        <v>-</v>
      </c>
      <c r="P46" t="str">
        <f>IFERROR(_xlfn.XLOOKUP($A46,'Base SKUs'!$E:$E,'Base SKUs'!J:J),"")</f>
        <v>1x6</v>
      </c>
      <c r="Q46">
        <f>IFERROR(_xlfn.XLOOKUP($A46,'Base SKUs'!$E:$E,'Base SKUs'!K:K),"")</f>
        <v>14</v>
      </c>
      <c r="R46" s="7">
        <f>IFERROR(_xlfn.XLOOKUP($A46,'Base SKUs'!$E:$E,'Base SKUs'!S:S),"")</f>
        <v>1.1872427868E-2</v>
      </c>
      <c r="S46" s="8">
        <f t="shared" si="2"/>
        <v>5.8768517946599994</v>
      </c>
      <c r="T46" s="7">
        <f>IFERROR(_xlfn.XLOOKUP($A46,'Base SKUs'!$E:$E,'Base SKUs'!R:R),"")</f>
        <v>1179.203</v>
      </c>
      <c r="U46" s="15">
        <f t="shared" si="3"/>
        <v>6930</v>
      </c>
      <c r="V46" t="str">
        <f t="shared" si="4"/>
        <v>Miami</v>
      </c>
    </row>
    <row r="47" spans="1:22" x14ac:dyDescent="0.2">
      <c r="A47" t="s">
        <v>111</v>
      </c>
      <c r="B47" s="5">
        <v>898</v>
      </c>
      <c r="C47" s="5">
        <v>0</v>
      </c>
      <c r="D47" s="5">
        <f t="shared" si="0"/>
        <v>898</v>
      </c>
      <c r="E47" s="6">
        <v>47.975299999999997</v>
      </c>
      <c r="F47" s="6">
        <f t="shared" si="1"/>
        <v>43081.8194</v>
      </c>
      <c r="G47" t="s">
        <v>17</v>
      </c>
      <c r="H47">
        <v>9007</v>
      </c>
      <c r="I47" t="str">
        <f>IFERROR(_xlfn.XLOOKUP($A47,'Base SKUs'!$E:$E,'Base SKUs'!A:A),"")</f>
        <v>Accoya</v>
      </c>
      <c r="J47" t="str">
        <f>IFERROR(_xlfn.XLOOKUP($A47,'Base SKUs'!$E:$E,'Base SKUs'!B:B),"")</f>
        <v>Accoya 1x6</v>
      </c>
      <c r="K47" t="str">
        <f>IFERROR(_xlfn.XLOOKUP($A47,'Base SKUs'!$E:$E,'Base SKUs'!C:C),"")</f>
        <v>Long</v>
      </c>
      <c r="L47" t="str">
        <f>IFERROR(_xlfn.XLOOKUP($A47,'Base SKUs'!$E:$E,'Base SKUs'!D:D),"")</f>
        <v>Acetylated</v>
      </c>
      <c r="M47" t="str">
        <f>IFERROR(_xlfn.XLOOKUP($A47,'Base SKUs'!$E:$E,'Base SKUs'!G:G),"")</f>
        <v>Maximo Accoya</v>
      </c>
      <c r="N47" t="str">
        <f>IFERROR(_xlfn.XLOOKUP($A47,'Base SKUs'!$E:$E,'Base SKUs'!H:H),"")</f>
        <v>S4S E4E</v>
      </c>
      <c r="O47" t="str">
        <f>IFERROR(_xlfn.XLOOKUP($A47,'Base SKUs'!$E:$E,'Base SKUs'!I:I),"")</f>
        <v>-</v>
      </c>
      <c r="P47" t="str">
        <f>IFERROR(_xlfn.XLOOKUP($A47,'Base SKUs'!$E:$E,'Base SKUs'!J:J),"")</f>
        <v>1x6</v>
      </c>
      <c r="Q47">
        <f>IFERROR(_xlfn.XLOOKUP($A47,'Base SKUs'!$E:$E,'Base SKUs'!K:K),"")</f>
        <v>16</v>
      </c>
      <c r="R47" s="7">
        <f>IFERROR(_xlfn.XLOOKUP($A47,'Base SKUs'!$E:$E,'Base SKUs'!S:S),"")</f>
        <v>1.3568488992000001E-2</v>
      </c>
      <c r="S47" s="8">
        <f t="shared" si="2"/>
        <v>12.184503114816001</v>
      </c>
      <c r="T47" s="7">
        <f>IFERROR(_xlfn.XLOOKUP($A47,'Base SKUs'!$E:$E,'Base SKUs'!R:R),"")</f>
        <v>1179.203</v>
      </c>
      <c r="U47" s="15">
        <f t="shared" si="3"/>
        <v>14368</v>
      </c>
      <c r="V47" t="str">
        <f t="shared" si="4"/>
        <v>Miami</v>
      </c>
    </row>
    <row r="48" spans="1:22" x14ac:dyDescent="0.2">
      <c r="A48" t="s">
        <v>113</v>
      </c>
      <c r="B48" s="5">
        <v>257</v>
      </c>
      <c r="C48" s="5">
        <v>0</v>
      </c>
      <c r="D48" s="5">
        <f t="shared" si="0"/>
        <v>257</v>
      </c>
      <c r="E48" s="6">
        <v>57.782899999999998</v>
      </c>
      <c r="F48" s="6">
        <f t="shared" si="1"/>
        <v>14850.2053</v>
      </c>
      <c r="G48" t="s">
        <v>17</v>
      </c>
      <c r="H48">
        <v>9007</v>
      </c>
      <c r="I48" t="str">
        <f>IFERROR(_xlfn.XLOOKUP($A48,'Base SKUs'!$E:$E,'Base SKUs'!A:A),"")</f>
        <v>Accoya</v>
      </c>
      <c r="J48" t="str">
        <f>IFERROR(_xlfn.XLOOKUP($A48,'Base SKUs'!$E:$E,'Base SKUs'!B:B),"")</f>
        <v>Accoya 5/4x6</v>
      </c>
      <c r="K48" t="str">
        <f>IFERROR(_xlfn.XLOOKUP($A48,'Base SKUs'!$E:$E,'Base SKUs'!C:C),"")</f>
        <v>Long</v>
      </c>
      <c r="L48" t="str">
        <f>IFERROR(_xlfn.XLOOKUP($A48,'Base SKUs'!$E:$E,'Base SKUs'!D:D),"")</f>
        <v>Acetylated</v>
      </c>
      <c r="M48" t="str">
        <f>IFERROR(_xlfn.XLOOKUP($A48,'Base SKUs'!$E:$E,'Base SKUs'!G:G),"")</f>
        <v>Maximo Accoya</v>
      </c>
      <c r="N48" t="str">
        <f>IFERROR(_xlfn.XLOOKUP($A48,'Base SKUs'!$E:$E,'Base SKUs'!H:H),"")</f>
        <v>S4S E4E</v>
      </c>
      <c r="O48" t="str">
        <f>IFERROR(_xlfn.XLOOKUP($A48,'Base SKUs'!$E:$E,'Base SKUs'!I:I),"")</f>
        <v>-</v>
      </c>
      <c r="P48" t="str">
        <f>IFERROR(_xlfn.XLOOKUP($A48,'Base SKUs'!$E:$E,'Base SKUs'!J:J),"")</f>
        <v>5/4x6</v>
      </c>
      <c r="Q48">
        <f>IFERROR(_xlfn.XLOOKUP($A48,'Base SKUs'!$E:$E,'Base SKUs'!K:K),"")</f>
        <v>12</v>
      </c>
      <c r="R48" s="7">
        <f>IFERROR(_xlfn.XLOOKUP($A48,'Base SKUs'!$E:$E,'Base SKUs'!S:S),"")</f>
        <v>1.3568488992000001E-2</v>
      </c>
      <c r="S48" s="8">
        <f t="shared" si="2"/>
        <v>3.4871016709440004</v>
      </c>
      <c r="T48" s="7">
        <f>IFERROR(_xlfn.XLOOKUP($A48,'Base SKUs'!$E:$E,'Base SKUs'!R:R),"")</f>
        <v>884.40200000000004</v>
      </c>
      <c r="U48" s="15">
        <f t="shared" si="3"/>
        <v>3084</v>
      </c>
      <c r="V48" t="str">
        <f t="shared" si="4"/>
        <v>Miami</v>
      </c>
    </row>
    <row r="49" spans="1:22" x14ac:dyDescent="0.2">
      <c r="A49" t="s">
        <v>115</v>
      </c>
      <c r="B49" s="5">
        <v>95</v>
      </c>
      <c r="C49" s="5">
        <v>0</v>
      </c>
      <c r="D49" s="5">
        <f t="shared" si="0"/>
        <v>95</v>
      </c>
      <c r="E49" s="6">
        <v>67.413300000000007</v>
      </c>
      <c r="F49" s="6">
        <f t="shared" si="1"/>
        <v>6404.2635000000009</v>
      </c>
      <c r="G49" t="s">
        <v>17</v>
      </c>
      <c r="H49">
        <v>9007</v>
      </c>
      <c r="I49" t="str">
        <f>IFERROR(_xlfn.XLOOKUP($A49,'Base SKUs'!$E:$E,'Base SKUs'!A:A),"")</f>
        <v>Accoya</v>
      </c>
      <c r="J49" t="str">
        <f>IFERROR(_xlfn.XLOOKUP($A49,'Base SKUs'!$E:$E,'Base SKUs'!B:B),"")</f>
        <v>Accoya 5/4x6</v>
      </c>
      <c r="K49" t="str">
        <f>IFERROR(_xlfn.XLOOKUP($A49,'Base SKUs'!$E:$E,'Base SKUs'!C:C),"")</f>
        <v>Long</v>
      </c>
      <c r="L49" t="str">
        <f>IFERROR(_xlfn.XLOOKUP($A49,'Base SKUs'!$E:$E,'Base SKUs'!D:D),"")</f>
        <v>Acetylated</v>
      </c>
      <c r="M49" t="str">
        <f>IFERROR(_xlfn.XLOOKUP($A49,'Base SKUs'!$E:$E,'Base SKUs'!G:G),"")</f>
        <v>Maximo Accoya</v>
      </c>
      <c r="N49" t="str">
        <f>IFERROR(_xlfn.XLOOKUP($A49,'Base SKUs'!$E:$E,'Base SKUs'!H:H),"")</f>
        <v>S4S E4E</v>
      </c>
      <c r="O49" t="str">
        <f>IFERROR(_xlfn.XLOOKUP($A49,'Base SKUs'!$E:$E,'Base SKUs'!I:I),"")</f>
        <v>-</v>
      </c>
      <c r="P49" t="str">
        <f>IFERROR(_xlfn.XLOOKUP($A49,'Base SKUs'!$E:$E,'Base SKUs'!J:J),"")</f>
        <v>5/4x6</v>
      </c>
      <c r="Q49">
        <f>IFERROR(_xlfn.XLOOKUP($A49,'Base SKUs'!$E:$E,'Base SKUs'!K:K),"")</f>
        <v>14</v>
      </c>
      <c r="R49" s="7">
        <f>IFERROR(_xlfn.XLOOKUP($A49,'Base SKUs'!$E:$E,'Base SKUs'!S:S),"")</f>
        <v>1.5829903824E-2</v>
      </c>
      <c r="S49" s="8">
        <f t="shared" si="2"/>
        <v>1.50384086328</v>
      </c>
      <c r="T49" s="7">
        <f>IFERROR(_xlfn.XLOOKUP($A49,'Base SKUs'!$E:$E,'Base SKUs'!R:R),"")</f>
        <v>884.40200000000004</v>
      </c>
      <c r="U49" s="15">
        <f t="shared" si="3"/>
        <v>1330</v>
      </c>
      <c r="V49" t="str">
        <f t="shared" si="4"/>
        <v>Miami</v>
      </c>
    </row>
    <row r="50" spans="1:22" x14ac:dyDescent="0.2">
      <c r="A50" t="s">
        <v>117</v>
      </c>
      <c r="B50" s="5">
        <v>694</v>
      </c>
      <c r="C50" s="5">
        <v>0</v>
      </c>
      <c r="D50" s="5">
        <f t="shared" si="0"/>
        <v>694</v>
      </c>
      <c r="E50" s="6">
        <v>77.043800000000005</v>
      </c>
      <c r="F50" s="6">
        <f t="shared" si="1"/>
        <v>53468.397200000007</v>
      </c>
      <c r="G50" t="s">
        <v>17</v>
      </c>
      <c r="H50">
        <v>9007</v>
      </c>
      <c r="I50" t="str">
        <f>IFERROR(_xlfn.XLOOKUP($A50,'Base SKUs'!$E:$E,'Base SKUs'!A:A),"")</f>
        <v>Accoya</v>
      </c>
      <c r="J50" t="str">
        <f>IFERROR(_xlfn.XLOOKUP($A50,'Base SKUs'!$E:$E,'Base SKUs'!B:B),"")</f>
        <v>Accoya 5/4x6</v>
      </c>
      <c r="K50" t="str">
        <f>IFERROR(_xlfn.XLOOKUP($A50,'Base SKUs'!$E:$E,'Base SKUs'!C:C),"")</f>
        <v>Long</v>
      </c>
      <c r="L50" t="str">
        <f>IFERROR(_xlfn.XLOOKUP($A50,'Base SKUs'!$E:$E,'Base SKUs'!D:D),"")</f>
        <v>Acetylated</v>
      </c>
      <c r="M50" t="str">
        <f>IFERROR(_xlfn.XLOOKUP($A50,'Base SKUs'!$E:$E,'Base SKUs'!G:G),"")</f>
        <v>Maximo Accoya</v>
      </c>
      <c r="N50" t="str">
        <f>IFERROR(_xlfn.XLOOKUP($A50,'Base SKUs'!$E:$E,'Base SKUs'!H:H),"")</f>
        <v>S4S E4E</v>
      </c>
      <c r="O50" t="str">
        <f>IFERROR(_xlfn.XLOOKUP($A50,'Base SKUs'!$E:$E,'Base SKUs'!I:I),"")</f>
        <v>-</v>
      </c>
      <c r="P50" t="str">
        <f>IFERROR(_xlfn.XLOOKUP($A50,'Base SKUs'!$E:$E,'Base SKUs'!J:J),"")</f>
        <v>5/4x6</v>
      </c>
      <c r="Q50">
        <f>IFERROR(_xlfn.XLOOKUP($A50,'Base SKUs'!$E:$E,'Base SKUs'!K:K),"")</f>
        <v>16</v>
      </c>
      <c r="R50" s="7">
        <f>IFERROR(_xlfn.XLOOKUP($A50,'Base SKUs'!$E:$E,'Base SKUs'!S:S),"")</f>
        <v>1.8091318656000003E-2</v>
      </c>
      <c r="S50" s="8">
        <f t="shared" si="2"/>
        <v>12.555375147264002</v>
      </c>
      <c r="T50" s="7">
        <f>IFERROR(_xlfn.XLOOKUP($A50,'Base SKUs'!$E:$E,'Base SKUs'!R:R),"")</f>
        <v>884.40200000000004</v>
      </c>
      <c r="U50" s="15">
        <f t="shared" si="3"/>
        <v>11104</v>
      </c>
      <c r="V50" t="str">
        <f t="shared" si="4"/>
        <v>Miami</v>
      </c>
    </row>
    <row r="51" spans="1:22" x14ac:dyDescent="0.2">
      <c r="A51" t="s">
        <v>119</v>
      </c>
      <c r="B51" s="5">
        <v>97</v>
      </c>
      <c r="C51" s="5">
        <v>0</v>
      </c>
      <c r="D51" s="5">
        <f t="shared" si="0"/>
        <v>97</v>
      </c>
      <c r="E51" s="6">
        <v>29.204000000000001</v>
      </c>
      <c r="F51" s="6">
        <f t="shared" si="1"/>
        <v>2832.788</v>
      </c>
      <c r="G51" t="s">
        <v>24</v>
      </c>
      <c r="H51">
        <v>9008</v>
      </c>
      <c r="I51" t="str">
        <f>IFERROR(_xlfn.XLOOKUP($A51,'Base SKUs'!$E:$E,'Base SKUs'!A:A),"")</f>
        <v>Massaranduba</v>
      </c>
      <c r="J51" t="str">
        <f>IFERROR(_xlfn.XLOOKUP($A51,'Base SKUs'!$E:$E,'Base SKUs'!B:B),"")</f>
        <v>Massaranduba 2x6</v>
      </c>
      <c r="K51" t="str">
        <f>IFERROR(_xlfn.XLOOKUP($A51,'Base SKUs'!$E:$E,'Base SKUs'!C:C),"")</f>
        <v>Long</v>
      </c>
      <c r="L51" t="str">
        <f>IFERROR(_xlfn.XLOOKUP($A51,'Base SKUs'!$E:$E,'Base SKUs'!D:D),"")</f>
        <v>Hardwoods</v>
      </c>
      <c r="M51" t="str">
        <f>IFERROR(_xlfn.XLOOKUP($A51,'Base SKUs'!$E:$E,'Base SKUs'!G:G),"")</f>
        <v>Massaranduba Bullet Wood</v>
      </c>
      <c r="N51" t="str">
        <f>IFERROR(_xlfn.XLOOKUP($A51,'Base SKUs'!$E:$E,'Base SKUs'!H:H),"")</f>
        <v>S4S E4E</v>
      </c>
      <c r="O51" t="str">
        <f>IFERROR(_xlfn.XLOOKUP($A51,'Base SKUs'!$E:$E,'Base SKUs'!I:I),"")</f>
        <v>-</v>
      </c>
      <c r="P51" t="str">
        <f>IFERROR(_xlfn.XLOOKUP($A51,'Base SKUs'!$E:$E,'Base SKUs'!J:J),"")</f>
        <v>2x6</v>
      </c>
      <c r="Q51">
        <f>IFERROR(_xlfn.XLOOKUP($A51,'Base SKUs'!$E:$E,'Base SKUs'!K:K),"")</f>
        <v>10</v>
      </c>
      <c r="R51" s="7">
        <f>IFERROR(_xlfn.XLOOKUP($A51,'Base SKUs'!$E:$E,'Base SKUs'!S:S),"")</f>
        <v>1.6223193359999999E-2</v>
      </c>
      <c r="S51" s="8">
        <f t="shared" si="2"/>
        <v>1.57364975592</v>
      </c>
      <c r="T51" s="7">
        <f>IFERROR(_xlfn.XLOOKUP($A51,'Base SKUs'!$E:$E,'Base SKUs'!R:R),"")</f>
        <v>616.40099999999995</v>
      </c>
      <c r="U51" s="15">
        <f t="shared" si="3"/>
        <v>970</v>
      </c>
      <c r="V51" t="str">
        <f t="shared" si="4"/>
        <v>Texas</v>
      </c>
    </row>
    <row r="52" spans="1:22" x14ac:dyDescent="0.2">
      <c r="A52" t="s">
        <v>121</v>
      </c>
      <c r="B52" s="5">
        <v>60</v>
      </c>
      <c r="C52" s="5">
        <v>0</v>
      </c>
      <c r="D52" s="5">
        <f t="shared" si="0"/>
        <v>60</v>
      </c>
      <c r="E52" s="6">
        <v>52.065899999999999</v>
      </c>
      <c r="F52" s="6">
        <f t="shared" si="1"/>
        <v>3123.9539999999997</v>
      </c>
      <c r="G52" t="s">
        <v>24</v>
      </c>
      <c r="H52">
        <v>9008</v>
      </c>
      <c r="I52" t="str">
        <f>IFERROR(_xlfn.XLOOKUP($A52,'Base SKUs'!$E:$E,'Base SKUs'!A:A),"")</f>
        <v>Massaranduba</v>
      </c>
      <c r="J52" t="str">
        <f>IFERROR(_xlfn.XLOOKUP($A52,'Base SKUs'!$E:$E,'Base SKUs'!B:B),"")</f>
        <v>Massaranduba 4x4</v>
      </c>
      <c r="K52" t="str">
        <f>IFERROR(_xlfn.XLOOKUP($A52,'Base SKUs'!$E:$E,'Base SKUs'!C:C),"")</f>
        <v>Long</v>
      </c>
      <c r="L52" t="str">
        <f>IFERROR(_xlfn.XLOOKUP($A52,'Base SKUs'!$E:$E,'Base SKUs'!D:D),"")</f>
        <v>Hardwoods</v>
      </c>
      <c r="M52" t="str">
        <f>IFERROR(_xlfn.XLOOKUP($A52,'Base SKUs'!$E:$E,'Base SKUs'!G:G),"")</f>
        <v>Massaranduba Bullet Wood</v>
      </c>
      <c r="N52" t="str">
        <f>IFERROR(_xlfn.XLOOKUP($A52,'Base SKUs'!$E:$E,'Base SKUs'!H:H),"")</f>
        <v>S4S E4E</v>
      </c>
      <c r="O52" t="str">
        <f>IFERROR(_xlfn.XLOOKUP($A52,'Base SKUs'!$E:$E,'Base SKUs'!I:I),"")</f>
        <v>-</v>
      </c>
      <c r="P52" t="str">
        <f>IFERROR(_xlfn.XLOOKUP($A52,'Base SKUs'!$E:$E,'Base SKUs'!J:J),"")</f>
        <v>4x4</v>
      </c>
      <c r="Q52">
        <f>IFERROR(_xlfn.XLOOKUP($A52,'Base SKUs'!$E:$E,'Base SKUs'!K:K),"")</f>
        <v>12</v>
      </c>
      <c r="R52" s="7">
        <f>IFERROR(_xlfn.XLOOKUP($A52,'Base SKUs'!$E:$E,'Base SKUs'!S:S),"")</f>
        <v>2.8906780896E-2</v>
      </c>
      <c r="S52" s="8">
        <f t="shared" si="2"/>
        <v>1.7344068537599999</v>
      </c>
      <c r="T52" s="7">
        <f>IFERROR(_xlfn.XLOOKUP($A52,'Base SKUs'!$E:$E,'Base SKUs'!R:R),"")</f>
        <v>415.12799999999999</v>
      </c>
      <c r="U52" s="15">
        <f t="shared" si="3"/>
        <v>720</v>
      </c>
      <c r="V52" t="str">
        <f t="shared" si="4"/>
        <v>Texas</v>
      </c>
    </row>
    <row r="53" spans="1:22" x14ac:dyDescent="0.2">
      <c r="A53" t="s">
        <v>123</v>
      </c>
      <c r="B53" s="5">
        <v>17</v>
      </c>
      <c r="C53" s="5">
        <v>0</v>
      </c>
      <c r="D53" s="5">
        <f t="shared" si="0"/>
        <v>17</v>
      </c>
      <c r="E53" s="6">
        <v>60.730400000000003</v>
      </c>
      <c r="F53" s="6">
        <f t="shared" si="1"/>
        <v>1032.4168</v>
      </c>
      <c r="G53" t="s">
        <v>125</v>
      </c>
      <c r="H53">
        <v>9009</v>
      </c>
      <c r="I53" t="str">
        <f>IFERROR(_xlfn.XLOOKUP($A53,'Base SKUs'!$E:$E,'Base SKUs'!A:A),"")</f>
        <v>Massaranduba</v>
      </c>
      <c r="J53" t="str">
        <f>IFERROR(_xlfn.XLOOKUP($A53,'Base SKUs'!$E:$E,'Base SKUs'!B:B),"")</f>
        <v>Massaranduba 4x4</v>
      </c>
      <c r="K53" t="str">
        <f>IFERROR(_xlfn.XLOOKUP($A53,'Base SKUs'!$E:$E,'Base SKUs'!C:C),"")</f>
        <v>Long</v>
      </c>
      <c r="L53" t="str">
        <f>IFERROR(_xlfn.XLOOKUP($A53,'Base SKUs'!$E:$E,'Base SKUs'!D:D),"")</f>
        <v>Hardwoods</v>
      </c>
      <c r="M53" t="str">
        <f>IFERROR(_xlfn.XLOOKUP($A53,'Base SKUs'!$E:$E,'Base SKUs'!G:G),"")</f>
        <v>Massaranduba Bullet Wood</v>
      </c>
      <c r="N53" t="str">
        <f>IFERROR(_xlfn.XLOOKUP($A53,'Base SKUs'!$E:$E,'Base SKUs'!H:H),"")</f>
        <v>S4S E4E</v>
      </c>
      <c r="O53" t="str">
        <f>IFERROR(_xlfn.XLOOKUP($A53,'Base SKUs'!$E:$E,'Base SKUs'!I:I),"")</f>
        <v>-</v>
      </c>
      <c r="P53" t="str">
        <f>IFERROR(_xlfn.XLOOKUP($A53,'Base SKUs'!$E:$E,'Base SKUs'!J:J),"")</f>
        <v>4x4</v>
      </c>
      <c r="Q53">
        <f>IFERROR(_xlfn.XLOOKUP($A53,'Base SKUs'!$E:$E,'Base SKUs'!K:K),"")</f>
        <v>14</v>
      </c>
      <c r="R53" s="7">
        <f>IFERROR(_xlfn.XLOOKUP($A53,'Base SKUs'!$E:$E,'Base SKUs'!S:S),"")</f>
        <v>3.3724577712000006E-2</v>
      </c>
      <c r="S53" s="8">
        <f t="shared" si="2"/>
        <v>0.57331782110400009</v>
      </c>
      <c r="T53" s="7">
        <f>IFERROR(_xlfn.XLOOKUP($A53,'Base SKUs'!$E:$E,'Base SKUs'!R:R),"")</f>
        <v>415.12799999999999</v>
      </c>
      <c r="U53" s="15">
        <f t="shared" si="3"/>
        <v>238</v>
      </c>
      <c r="V53" t="str">
        <f t="shared" si="4"/>
        <v>Boston</v>
      </c>
    </row>
    <row r="54" spans="1:22" x14ac:dyDescent="0.2">
      <c r="A54" t="s">
        <v>128</v>
      </c>
      <c r="B54" s="5">
        <v>1</v>
      </c>
      <c r="C54" s="5">
        <v>0</v>
      </c>
      <c r="D54" s="5">
        <f t="shared" si="0"/>
        <v>1</v>
      </c>
      <c r="E54" s="6">
        <v>69.34</v>
      </c>
      <c r="F54" s="6">
        <f t="shared" si="1"/>
        <v>69.34</v>
      </c>
      <c r="G54" t="s">
        <v>125</v>
      </c>
      <c r="H54">
        <v>9009</v>
      </c>
      <c r="I54" t="str">
        <f>IFERROR(_xlfn.XLOOKUP($A54,'Base SKUs'!$E:$E,'Base SKUs'!A:A),"")</f>
        <v>Massaranduba</v>
      </c>
      <c r="J54" t="str">
        <f>IFERROR(_xlfn.XLOOKUP($A54,'Base SKUs'!$E:$E,'Base SKUs'!B:B),"")</f>
        <v>Massaranduba 4x4</v>
      </c>
      <c r="K54" t="str">
        <f>IFERROR(_xlfn.XLOOKUP($A54,'Base SKUs'!$E:$E,'Base SKUs'!C:C),"")</f>
        <v>Long</v>
      </c>
      <c r="L54" t="str">
        <f>IFERROR(_xlfn.XLOOKUP($A54,'Base SKUs'!$E:$E,'Base SKUs'!D:D),"")</f>
        <v>Hardwoods</v>
      </c>
      <c r="M54" t="str">
        <f>IFERROR(_xlfn.XLOOKUP($A54,'Base SKUs'!$E:$E,'Base SKUs'!G:G),"")</f>
        <v>Massaranduba Bullet Wood</v>
      </c>
      <c r="N54" t="str">
        <f>IFERROR(_xlfn.XLOOKUP($A54,'Base SKUs'!$E:$E,'Base SKUs'!H:H),"")</f>
        <v>S4S E4E</v>
      </c>
      <c r="O54" t="str">
        <f>IFERROR(_xlfn.XLOOKUP($A54,'Base SKUs'!$E:$E,'Base SKUs'!I:I),"")</f>
        <v>-</v>
      </c>
      <c r="P54" t="str">
        <f>IFERROR(_xlfn.XLOOKUP($A54,'Base SKUs'!$E:$E,'Base SKUs'!J:J),"")</f>
        <v>4x4</v>
      </c>
      <c r="Q54">
        <f>IFERROR(_xlfn.XLOOKUP($A54,'Base SKUs'!$E:$E,'Base SKUs'!K:K),"")</f>
        <v>16</v>
      </c>
      <c r="R54" s="7">
        <f>IFERROR(_xlfn.XLOOKUP($A54,'Base SKUs'!$E:$E,'Base SKUs'!S:S),"")</f>
        <v>3.8542374528000009E-2</v>
      </c>
      <c r="S54" s="8">
        <f t="shared" si="2"/>
        <v>3.8542374528000009E-2</v>
      </c>
      <c r="T54" s="7">
        <f>IFERROR(_xlfn.XLOOKUP($A54,'Base SKUs'!$E:$E,'Base SKUs'!R:R),"")</f>
        <v>415.12799999999999</v>
      </c>
      <c r="U54" s="15">
        <f t="shared" si="3"/>
        <v>16</v>
      </c>
      <c r="V54" t="str">
        <f t="shared" si="4"/>
        <v>Boston</v>
      </c>
    </row>
    <row r="55" spans="1:22" x14ac:dyDescent="0.2">
      <c r="A55" t="s">
        <v>130</v>
      </c>
      <c r="B55" s="5">
        <v>9</v>
      </c>
      <c r="C55" s="5">
        <v>0</v>
      </c>
      <c r="D55" s="5">
        <f t="shared" si="0"/>
        <v>9</v>
      </c>
      <c r="E55" s="6">
        <v>78</v>
      </c>
      <c r="F55" s="6">
        <f t="shared" si="1"/>
        <v>702</v>
      </c>
      <c r="G55" t="s">
        <v>125</v>
      </c>
      <c r="H55">
        <v>9009</v>
      </c>
      <c r="I55" t="str">
        <f>IFERROR(_xlfn.XLOOKUP($A55,'Base SKUs'!$E:$E,'Base SKUs'!A:A),"")</f>
        <v>Massaranduba</v>
      </c>
      <c r="J55" t="str">
        <f>IFERROR(_xlfn.XLOOKUP($A55,'Base SKUs'!$E:$E,'Base SKUs'!B:B),"")</f>
        <v>Massaranduba 4x4</v>
      </c>
      <c r="K55" t="str">
        <f>IFERROR(_xlfn.XLOOKUP($A55,'Base SKUs'!$E:$E,'Base SKUs'!C:C),"")</f>
        <v>Long</v>
      </c>
      <c r="L55" t="str">
        <f>IFERROR(_xlfn.XLOOKUP($A55,'Base SKUs'!$E:$E,'Base SKUs'!D:D),"")</f>
        <v>Hardwoods</v>
      </c>
      <c r="M55" t="str">
        <f>IFERROR(_xlfn.XLOOKUP($A55,'Base SKUs'!$E:$E,'Base SKUs'!G:G),"")</f>
        <v>Massaranduba Bullet Wood</v>
      </c>
      <c r="N55" t="str">
        <f>IFERROR(_xlfn.XLOOKUP($A55,'Base SKUs'!$E:$E,'Base SKUs'!H:H),"")</f>
        <v>S4S E4E</v>
      </c>
      <c r="O55" t="str">
        <f>IFERROR(_xlfn.XLOOKUP($A55,'Base SKUs'!$E:$E,'Base SKUs'!I:I),"")</f>
        <v>-</v>
      </c>
      <c r="P55" t="str">
        <f>IFERROR(_xlfn.XLOOKUP($A55,'Base SKUs'!$E:$E,'Base SKUs'!J:J),"")</f>
        <v>4x4</v>
      </c>
      <c r="Q55">
        <f>IFERROR(_xlfn.XLOOKUP($A55,'Base SKUs'!$E:$E,'Base SKUs'!K:K),"")</f>
        <v>18</v>
      </c>
      <c r="R55" s="7">
        <f>IFERROR(_xlfn.XLOOKUP($A55,'Base SKUs'!$E:$E,'Base SKUs'!S:S),"")</f>
        <v>4.3360171344000005E-2</v>
      </c>
      <c r="S55" s="8">
        <f t="shared" si="2"/>
        <v>0.39024154209600004</v>
      </c>
      <c r="T55" s="7">
        <f>IFERROR(_xlfn.XLOOKUP($A55,'Base SKUs'!$E:$E,'Base SKUs'!R:R),"")</f>
        <v>415.12799999999999</v>
      </c>
      <c r="U55" s="15">
        <f t="shared" si="3"/>
        <v>162</v>
      </c>
      <c r="V55" t="str">
        <f t="shared" si="4"/>
        <v>Boston</v>
      </c>
    </row>
    <row r="56" spans="1:22" x14ac:dyDescent="0.2">
      <c r="A56" t="s">
        <v>132</v>
      </c>
      <c r="B56" s="5">
        <v>23</v>
      </c>
      <c r="C56" s="5">
        <v>0</v>
      </c>
      <c r="D56" s="5">
        <f t="shared" si="0"/>
        <v>23</v>
      </c>
      <c r="E56" s="6">
        <v>86.681200000000004</v>
      </c>
      <c r="F56" s="6">
        <f t="shared" si="1"/>
        <v>1993.6676</v>
      </c>
      <c r="G56" t="s">
        <v>125</v>
      </c>
      <c r="H56">
        <v>9009</v>
      </c>
      <c r="I56" t="str">
        <f>IFERROR(_xlfn.XLOOKUP($A56,'Base SKUs'!$E:$E,'Base SKUs'!A:A),"")</f>
        <v>Massaranduba</v>
      </c>
      <c r="J56" t="str">
        <f>IFERROR(_xlfn.XLOOKUP($A56,'Base SKUs'!$E:$E,'Base SKUs'!B:B),"")</f>
        <v>Massaranduba 4x4</v>
      </c>
      <c r="K56" t="str">
        <f>IFERROR(_xlfn.XLOOKUP($A56,'Base SKUs'!$E:$E,'Base SKUs'!C:C),"")</f>
        <v>Long</v>
      </c>
      <c r="L56" t="str">
        <f>IFERROR(_xlfn.XLOOKUP($A56,'Base SKUs'!$E:$E,'Base SKUs'!D:D),"")</f>
        <v>Hardwoods</v>
      </c>
      <c r="M56" t="str">
        <f>IFERROR(_xlfn.XLOOKUP($A56,'Base SKUs'!$E:$E,'Base SKUs'!G:G),"")</f>
        <v>Massaranduba Bullet Wood</v>
      </c>
      <c r="N56" t="str">
        <f>IFERROR(_xlfn.XLOOKUP($A56,'Base SKUs'!$E:$E,'Base SKUs'!H:H),"")</f>
        <v>S4S E4E</v>
      </c>
      <c r="O56" t="str">
        <f>IFERROR(_xlfn.XLOOKUP($A56,'Base SKUs'!$E:$E,'Base SKUs'!I:I),"")</f>
        <v>-</v>
      </c>
      <c r="P56" t="str">
        <f>IFERROR(_xlfn.XLOOKUP($A56,'Base SKUs'!$E:$E,'Base SKUs'!J:J),"")</f>
        <v>4x4</v>
      </c>
      <c r="Q56">
        <f>IFERROR(_xlfn.XLOOKUP($A56,'Base SKUs'!$E:$E,'Base SKUs'!K:K),"")</f>
        <v>20</v>
      </c>
      <c r="R56" s="7">
        <f>IFERROR(_xlfn.XLOOKUP($A56,'Base SKUs'!$E:$E,'Base SKUs'!S:S),"")</f>
        <v>4.8177968160000015E-2</v>
      </c>
      <c r="S56" s="8">
        <f t="shared" si="2"/>
        <v>1.1080932676800004</v>
      </c>
      <c r="T56" s="7">
        <f>IFERROR(_xlfn.XLOOKUP($A56,'Base SKUs'!$E:$E,'Base SKUs'!R:R),"")</f>
        <v>415.12799999999999</v>
      </c>
      <c r="U56" s="15">
        <f t="shared" si="3"/>
        <v>460</v>
      </c>
      <c r="V56" t="str">
        <f t="shared" si="4"/>
        <v>Boston</v>
      </c>
    </row>
    <row r="57" spans="1:22" x14ac:dyDescent="0.2">
      <c r="A57" t="s">
        <v>134</v>
      </c>
      <c r="B57" s="5">
        <v>16</v>
      </c>
      <c r="C57" s="5">
        <v>0</v>
      </c>
      <c r="D57" s="5">
        <f t="shared" si="0"/>
        <v>16</v>
      </c>
      <c r="E57" s="6">
        <v>95.4</v>
      </c>
      <c r="F57" s="6">
        <f t="shared" si="1"/>
        <v>1526.4</v>
      </c>
      <c r="G57" t="s">
        <v>125</v>
      </c>
      <c r="H57">
        <v>9009</v>
      </c>
      <c r="I57" t="str">
        <f>IFERROR(_xlfn.XLOOKUP($A57,'Base SKUs'!$E:$E,'Base SKUs'!A:A),"")</f>
        <v>Massaranduba</v>
      </c>
      <c r="J57" t="str">
        <f>IFERROR(_xlfn.XLOOKUP($A57,'Base SKUs'!$E:$E,'Base SKUs'!B:B),"")</f>
        <v>Massaranduba 4x4</v>
      </c>
      <c r="K57" t="str">
        <f>IFERROR(_xlfn.XLOOKUP($A57,'Base SKUs'!$E:$E,'Base SKUs'!C:C),"")</f>
        <v>Long</v>
      </c>
      <c r="L57" t="str">
        <f>IFERROR(_xlfn.XLOOKUP($A57,'Base SKUs'!$E:$E,'Base SKUs'!D:D),"")</f>
        <v>Hardwoods</v>
      </c>
      <c r="M57" t="str">
        <f>IFERROR(_xlfn.XLOOKUP($A57,'Base SKUs'!$E:$E,'Base SKUs'!G:G),"")</f>
        <v>Massaranduba Bullet Wood</v>
      </c>
      <c r="N57" t="str">
        <f>IFERROR(_xlfn.XLOOKUP($A57,'Base SKUs'!$E:$E,'Base SKUs'!H:H),"")</f>
        <v>S4S E4E</v>
      </c>
      <c r="O57" t="str">
        <f>IFERROR(_xlfn.XLOOKUP($A57,'Base SKUs'!$E:$E,'Base SKUs'!I:I),"")</f>
        <v>-</v>
      </c>
      <c r="P57" t="str">
        <f>IFERROR(_xlfn.XLOOKUP($A57,'Base SKUs'!$E:$E,'Base SKUs'!J:J),"")</f>
        <v>4x4</v>
      </c>
      <c r="Q57">
        <f>IFERROR(_xlfn.XLOOKUP($A57,'Base SKUs'!$E:$E,'Base SKUs'!K:K),"")</f>
        <v>22</v>
      </c>
      <c r="R57" s="7">
        <f>IFERROR(_xlfn.XLOOKUP($A57,'Base SKUs'!$E:$E,'Base SKUs'!S:S),"")</f>
        <v>5.2995764975999997E-2</v>
      </c>
      <c r="S57" s="8">
        <f t="shared" si="2"/>
        <v>0.84793223961599995</v>
      </c>
      <c r="T57" s="7">
        <f>IFERROR(_xlfn.XLOOKUP($A57,'Base SKUs'!$E:$E,'Base SKUs'!R:R),"")</f>
        <v>415.12799999999999</v>
      </c>
      <c r="U57" s="15">
        <f t="shared" si="3"/>
        <v>352</v>
      </c>
      <c r="V57" t="str">
        <f t="shared" si="4"/>
        <v>Boston</v>
      </c>
    </row>
    <row r="58" spans="1:22" x14ac:dyDescent="0.2">
      <c r="A58" t="s">
        <v>136</v>
      </c>
      <c r="B58" s="5">
        <v>5</v>
      </c>
      <c r="C58" s="5">
        <v>0</v>
      </c>
      <c r="D58" s="5">
        <f t="shared" si="0"/>
        <v>5</v>
      </c>
      <c r="E58" s="6">
        <v>34.731999999999999</v>
      </c>
      <c r="F58" s="6">
        <f t="shared" si="1"/>
        <v>173.66</v>
      </c>
      <c r="G58" t="s">
        <v>125</v>
      </c>
      <c r="H58">
        <v>9009</v>
      </c>
      <c r="I58" t="str">
        <f>IFERROR(_xlfn.XLOOKUP($A58,'Base SKUs'!$E:$E,'Base SKUs'!A:A),"")</f>
        <v>Massaranduba</v>
      </c>
      <c r="J58" t="str">
        <f>IFERROR(_xlfn.XLOOKUP($A58,'Base SKUs'!$E:$E,'Base SKUs'!B:B),"")</f>
        <v>Massaranduba 4x4</v>
      </c>
      <c r="K58" t="str">
        <f>IFERROR(_xlfn.XLOOKUP($A58,'Base SKUs'!$E:$E,'Base SKUs'!C:C),"")</f>
        <v>Long</v>
      </c>
      <c r="L58" t="str">
        <f>IFERROR(_xlfn.XLOOKUP($A58,'Base SKUs'!$E:$E,'Base SKUs'!D:D),"")</f>
        <v>Hardwoods</v>
      </c>
      <c r="M58" t="str">
        <f>IFERROR(_xlfn.XLOOKUP($A58,'Base SKUs'!$E:$E,'Base SKUs'!G:G),"")</f>
        <v>Massaranduba Bullet Wood</v>
      </c>
      <c r="N58" t="str">
        <f>IFERROR(_xlfn.XLOOKUP($A58,'Base SKUs'!$E:$E,'Base SKUs'!H:H),"")</f>
        <v>S4S E4E</v>
      </c>
      <c r="O58" t="str">
        <f>IFERROR(_xlfn.XLOOKUP($A58,'Base SKUs'!$E:$E,'Base SKUs'!I:I),"")</f>
        <v>-</v>
      </c>
      <c r="P58" t="str">
        <f>IFERROR(_xlfn.XLOOKUP($A58,'Base SKUs'!$E:$E,'Base SKUs'!J:J),"")</f>
        <v>4x4</v>
      </c>
      <c r="Q58">
        <f>IFERROR(_xlfn.XLOOKUP($A58,'Base SKUs'!$E:$E,'Base SKUs'!K:K),"")</f>
        <v>8</v>
      </c>
      <c r="R58" s="7">
        <f>IFERROR(_xlfn.XLOOKUP($A58,'Base SKUs'!$E:$E,'Base SKUs'!S:S),"")</f>
        <v>1.9271187264000005E-2</v>
      </c>
      <c r="S58" s="8">
        <f t="shared" si="2"/>
        <v>9.635593632000003E-2</v>
      </c>
      <c r="T58" s="7">
        <f>IFERROR(_xlfn.XLOOKUP($A58,'Base SKUs'!$E:$E,'Base SKUs'!R:R),"")</f>
        <v>415.12799999999999</v>
      </c>
      <c r="U58" s="15">
        <f t="shared" si="3"/>
        <v>40</v>
      </c>
      <c r="V58" t="str">
        <f t="shared" si="4"/>
        <v>Boston</v>
      </c>
    </row>
    <row r="59" spans="1:22" x14ac:dyDescent="0.2">
      <c r="A59" t="s">
        <v>138</v>
      </c>
      <c r="B59" s="5">
        <v>9</v>
      </c>
      <c r="C59" s="5">
        <v>0</v>
      </c>
      <c r="D59" s="5">
        <f t="shared" si="0"/>
        <v>9</v>
      </c>
      <c r="E59" s="6">
        <v>107.1</v>
      </c>
      <c r="F59" s="6">
        <f t="shared" si="1"/>
        <v>963.9</v>
      </c>
      <c r="G59" t="s">
        <v>125</v>
      </c>
      <c r="H59">
        <v>9009</v>
      </c>
      <c r="I59" t="str">
        <f>IFERROR(_xlfn.XLOOKUP($A59,'Base SKUs'!$E:$E,'Base SKUs'!A:A),"")</f>
        <v>Massaranduba</v>
      </c>
      <c r="J59" t="str">
        <f>IFERROR(_xlfn.XLOOKUP($A59,'Base SKUs'!$E:$E,'Base SKUs'!B:B),"")</f>
        <v>Massaranduba 6x6</v>
      </c>
      <c r="K59" t="str">
        <f>IFERROR(_xlfn.XLOOKUP($A59,'Base SKUs'!$E:$E,'Base SKUs'!C:C),"")</f>
        <v>Long</v>
      </c>
      <c r="L59" t="str">
        <f>IFERROR(_xlfn.XLOOKUP($A59,'Base SKUs'!$E:$E,'Base SKUs'!D:D),"")</f>
        <v>Hardwoods</v>
      </c>
      <c r="M59" t="str">
        <f>IFERROR(_xlfn.XLOOKUP($A59,'Base SKUs'!$E:$E,'Base SKUs'!G:G),"")</f>
        <v>Massaranduba Bullet Wood</v>
      </c>
      <c r="N59" t="str">
        <f>IFERROR(_xlfn.XLOOKUP($A59,'Base SKUs'!$E:$E,'Base SKUs'!H:H),"")</f>
        <v>S4S E4E</v>
      </c>
      <c r="O59" t="str">
        <f>IFERROR(_xlfn.XLOOKUP($A59,'Base SKUs'!$E:$E,'Base SKUs'!I:I),"")</f>
        <v>-</v>
      </c>
      <c r="P59" t="str">
        <f>IFERROR(_xlfn.XLOOKUP($A59,'Base SKUs'!$E:$E,'Base SKUs'!J:J),"")</f>
        <v>6x6</v>
      </c>
      <c r="Q59">
        <f>IFERROR(_xlfn.XLOOKUP($A59,'Base SKUs'!$E:$E,'Base SKUs'!K:K),"")</f>
        <v>10</v>
      </c>
      <c r="R59" s="7">
        <f>IFERROR(_xlfn.XLOOKUP($A59,'Base SKUs'!$E:$E,'Base SKUs'!S:S),"")</f>
        <v>5.9485042319999994E-2</v>
      </c>
      <c r="S59" s="8">
        <f t="shared" si="2"/>
        <v>0.53536538087999996</v>
      </c>
      <c r="T59" s="7">
        <f>IFERROR(_xlfn.XLOOKUP($A59,'Base SKUs'!$E:$E,'Base SKUs'!R:R),"")</f>
        <v>168.10900000000001</v>
      </c>
      <c r="U59" s="15">
        <f t="shared" si="3"/>
        <v>90</v>
      </c>
      <c r="V59" t="str">
        <f t="shared" si="4"/>
        <v>Boston</v>
      </c>
    </row>
    <row r="60" spans="1:22" x14ac:dyDescent="0.2">
      <c r="A60" t="s">
        <v>140</v>
      </c>
      <c r="B60" s="5">
        <v>23</v>
      </c>
      <c r="C60" s="5">
        <v>0</v>
      </c>
      <c r="D60" s="5">
        <f t="shared" si="0"/>
        <v>23</v>
      </c>
      <c r="E60" s="6">
        <v>128.5043</v>
      </c>
      <c r="F60" s="6">
        <f t="shared" si="1"/>
        <v>2955.5989</v>
      </c>
      <c r="G60" t="s">
        <v>125</v>
      </c>
      <c r="H60">
        <v>9009</v>
      </c>
      <c r="I60" t="str">
        <f>IFERROR(_xlfn.XLOOKUP($A60,'Base SKUs'!$E:$E,'Base SKUs'!A:A),"")</f>
        <v>Massaranduba</v>
      </c>
      <c r="J60" t="str">
        <f>IFERROR(_xlfn.XLOOKUP($A60,'Base SKUs'!$E:$E,'Base SKUs'!B:B),"")</f>
        <v>Massaranduba 6x6</v>
      </c>
      <c r="K60" t="str">
        <f>IFERROR(_xlfn.XLOOKUP($A60,'Base SKUs'!$E:$E,'Base SKUs'!C:C),"")</f>
        <v>Long</v>
      </c>
      <c r="L60" t="str">
        <f>IFERROR(_xlfn.XLOOKUP($A60,'Base SKUs'!$E:$E,'Base SKUs'!D:D),"")</f>
        <v>Hardwoods</v>
      </c>
      <c r="M60" t="str">
        <f>IFERROR(_xlfn.XLOOKUP($A60,'Base SKUs'!$E:$E,'Base SKUs'!G:G),"")</f>
        <v>Massaranduba Bullet Wood</v>
      </c>
      <c r="N60" t="str">
        <f>IFERROR(_xlfn.XLOOKUP($A60,'Base SKUs'!$E:$E,'Base SKUs'!H:H),"")</f>
        <v>S4S E4E</v>
      </c>
      <c r="O60" t="str">
        <f>IFERROR(_xlfn.XLOOKUP($A60,'Base SKUs'!$E:$E,'Base SKUs'!I:I),"")</f>
        <v>-</v>
      </c>
      <c r="P60" t="str">
        <f>IFERROR(_xlfn.XLOOKUP($A60,'Base SKUs'!$E:$E,'Base SKUs'!J:J),"")</f>
        <v>6x6</v>
      </c>
      <c r="Q60">
        <f>IFERROR(_xlfn.XLOOKUP($A60,'Base SKUs'!$E:$E,'Base SKUs'!K:K),"")</f>
        <v>12</v>
      </c>
      <c r="R60" s="7">
        <f>IFERROR(_xlfn.XLOOKUP($A60,'Base SKUs'!$E:$E,'Base SKUs'!S:S),"")</f>
        <v>7.1382050783999992E-2</v>
      </c>
      <c r="S60" s="8">
        <f t="shared" si="2"/>
        <v>1.6417871680319998</v>
      </c>
      <c r="T60" s="7">
        <f>IFERROR(_xlfn.XLOOKUP($A60,'Base SKUs'!$E:$E,'Base SKUs'!R:R),"")</f>
        <v>168.10900000000001</v>
      </c>
      <c r="U60" s="15">
        <f t="shared" si="3"/>
        <v>276</v>
      </c>
      <c r="V60" t="str">
        <f t="shared" si="4"/>
        <v>Boston</v>
      </c>
    </row>
    <row r="61" spans="1:22" x14ac:dyDescent="0.2">
      <c r="A61" t="s">
        <v>142</v>
      </c>
      <c r="B61" s="5">
        <v>13</v>
      </c>
      <c r="C61" s="5">
        <v>0</v>
      </c>
      <c r="D61" s="5">
        <f t="shared" si="0"/>
        <v>13</v>
      </c>
      <c r="E61" s="6">
        <v>149.9538</v>
      </c>
      <c r="F61" s="6">
        <f t="shared" si="1"/>
        <v>1949.3994</v>
      </c>
      <c r="G61" t="s">
        <v>125</v>
      </c>
      <c r="H61">
        <v>9009</v>
      </c>
      <c r="I61" t="str">
        <f>IFERROR(_xlfn.XLOOKUP($A61,'Base SKUs'!$E:$E,'Base SKUs'!A:A),"")</f>
        <v>Massaranduba</v>
      </c>
      <c r="J61" t="str">
        <f>IFERROR(_xlfn.XLOOKUP($A61,'Base SKUs'!$E:$E,'Base SKUs'!B:B),"")</f>
        <v>Massaranduba 6x6</v>
      </c>
      <c r="K61" t="str">
        <f>IFERROR(_xlfn.XLOOKUP($A61,'Base SKUs'!$E:$E,'Base SKUs'!C:C),"")</f>
        <v>Long</v>
      </c>
      <c r="L61" t="str">
        <f>IFERROR(_xlfn.XLOOKUP($A61,'Base SKUs'!$E:$E,'Base SKUs'!D:D),"")</f>
        <v>Hardwoods</v>
      </c>
      <c r="M61" t="str">
        <f>IFERROR(_xlfn.XLOOKUP($A61,'Base SKUs'!$E:$E,'Base SKUs'!G:G),"")</f>
        <v>Massaranduba Bullet Wood</v>
      </c>
      <c r="N61" t="str">
        <f>IFERROR(_xlfn.XLOOKUP($A61,'Base SKUs'!$E:$E,'Base SKUs'!H:H),"")</f>
        <v>S4S E4E</v>
      </c>
      <c r="O61" t="str">
        <f>IFERROR(_xlfn.XLOOKUP($A61,'Base SKUs'!$E:$E,'Base SKUs'!I:I),"")</f>
        <v>-</v>
      </c>
      <c r="P61" t="str">
        <f>IFERROR(_xlfn.XLOOKUP($A61,'Base SKUs'!$E:$E,'Base SKUs'!J:J),"")</f>
        <v>6x6</v>
      </c>
      <c r="Q61">
        <f>IFERROR(_xlfn.XLOOKUP($A61,'Base SKUs'!$E:$E,'Base SKUs'!K:K),"")</f>
        <v>14</v>
      </c>
      <c r="R61" s="7">
        <f>IFERROR(_xlfn.XLOOKUP($A61,'Base SKUs'!$E:$E,'Base SKUs'!S:S),"")</f>
        <v>8.327905924799997E-2</v>
      </c>
      <c r="S61" s="8">
        <f t="shared" si="2"/>
        <v>1.0826277702239997</v>
      </c>
      <c r="T61" s="7">
        <f>IFERROR(_xlfn.XLOOKUP($A61,'Base SKUs'!$E:$E,'Base SKUs'!R:R),"")</f>
        <v>168.10900000000001</v>
      </c>
      <c r="U61" s="15">
        <f t="shared" si="3"/>
        <v>182</v>
      </c>
      <c r="V61" t="str">
        <f t="shared" si="4"/>
        <v>Boston</v>
      </c>
    </row>
    <row r="62" spans="1:22" x14ac:dyDescent="0.2">
      <c r="A62" t="s">
        <v>144</v>
      </c>
      <c r="B62" s="5">
        <v>3</v>
      </c>
      <c r="C62" s="5">
        <v>0</v>
      </c>
      <c r="D62" s="5">
        <f t="shared" si="0"/>
        <v>3</v>
      </c>
      <c r="E62" s="6">
        <v>171.6</v>
      </c>
      <c r="F62" s="6">
        <f t="shared" si="1"/>
        <v>514.79999999999995</v>
      </c>
      <c r="G62" t="s">
        <v>125</v>
      </c>
      <c r="H62">
        <v>9009</v>
      </c>
      <c r="I62" t="str">
        <f>IFERROR(_xlfn.XLOOKUP($A62,'Base SKUs'!$E:$E,'Base SKUs'!A:A),"")</f>
        <v>Massaranduba</v>
      </c>
      <c r="J62" t="str">
        <f>IFERROR(_xlfn.XLOOKUP($A62,'Base SKUs'!$E:$E,'Base SKUs'!B:B),"")</f>
        <v>Massaranduba 6x6</v>
      </c>
      <c r="K62" t="str">
        <f>IFERROR(_xlfn.XLOOKUP($A62,'Base SKUs'!$E:$E,'Base SKUs'!C:C),"")</f>
        <v>Long</v>
      </c>
      <c r="L62" t="str">
        <f>IFERROR(_xlfn.XLOOKUP($A62,'Base SKUs'!$E:$E,'Base SKUs'!D:D),"")</f>
        <v>Hardwoods</v>
      </c>
      <c r="M62" t="str">
        <f>IFERROR(_xlfn.XLOOKUP($A62,'Base SKUs'!$E:$E,'Base SKUs'!G:G),"")</f>
        <v>Massaranduba Bullet Wood</v>
      </c>
      <c r="N62" t="str">
        <f>IFERROR(_xlfn.XLOOKUP($A62,'Base SKUs'!$E:$E,'Base SKUs'!H:H),"")</f>
        <v>S4S E4E</v>
      </c>
      <c r="O62" t="str">
        <f>IFERROR(_xlfn.XLOOKUP($A62,'Base SKUs'!$E:$E,'Base SKUs'!I:I),"")</f>
        <v>-</v>
      </c>
      <c r="P62" t="str">
        <f>IFERROR(_xlfn.XLOOKUP($A62,'Base SKUs'!$E:$E,'Base SKUs'!J:J),"")</f>
        <v>6x6</v>
      </c>
      <c r="Q62">
        <f>IFERROR(_xlfn.XLOOKUP($A62,'Base SKUs'!$E:$E,'Base SKUs'!K:K),"")</f>
        <v>16</v>
      </c>
      <c r="R62" s="7">
        <f>IFERROR(_xlfn.XLOOKUP($A62,'Base SKUs'!$E:$E,'Base SKUs'!S:S),"")</f>
        <v>9.517606771199999E-2</v>
      </c>
      <c r="S62" s="8">
        <f t="shared" si="2"/>
        <v>0.28552820313599997</v>
      </c>
      <c r="T62" s="7">
        <f>IFERROR(_xlfn.XLOOKUP($A62,'Base SKUs'!$E:$E,'Base SKUs'!R:R),"")</f>
        <v>168.10900000000001</v>
      </c>
      <c r="U62" s="15">
        <f t="shared" si="3"/>
        <v>48</v>
      </c>
      <c r="V62" t="str">
        <f t="shared" si="4"/>
        <v>Boston</v>
      </c>
    </row>
    <row r="63" spans="1:22" x14ac:dyDescent="0.2">
      <c r="A63" t="s">
        <v>146</v>
      </c>
      <c r="B63" s="5">
        <v>3</v>
      </c>
      <c r="C63" s="5">
        <v>0</v>
      </c>
      <c r="D63" s="5">
        <f t="shared" si="0"/>
        <v>3</v>
      </c>
      <c r="E63" s="6">
        <v>192.6</v>
      </c>
      <c r="F63" s="6">
        <f t="shared" si="1"/>
        <v>577.79999999999995</v>
      </c>
      <c r="G63" t="s">
        <v>125</v>
      </c>
      <c r="H63">
        <v>9009</v>
      </c>
      <c r="I63" t="str">
        <f>IFERROR(_xlfn.XLOOKUP($A63,'Base SKUs'!$E:$E,'Base SKUs'!A:A),"")</f>
        <v>Massaranduba</v>
      </c>
      <c r="J63" t="str">
        <f>IFERROR(_xlfn.XLOOKUP($A63,'Base SKUs'!$E:$E,'Base SKUs'!B:B),"")</f>
        <v>Massaranduba 6x6</v>
      </c>
      <c r="K63" t="str">
        <f>IFERROR(_xlfn.XLOOKUP($A63,'Base SKUs'!$E:$E,'Base SKUs'!C:C),"")</f>
        <v>Long</v>
      </c>
      <c r="L63" t="str">
        <f>IFERROR(_xlfn.XLOOKUP($A63,'Base SKUs'!$E:$E,'Base SKUs'!D:D),"")</f>
        <v>Hardwoods</v>
      </c>
      <c r="M63" t="str">
        <f>IFERROR(_xlfn.XLOOKUP($A63,'Base SKUs'!$E:$E,'Base SKUs'!G:G),"")</f>
        <v>Massaranduba Bullet Wood</v>
      </c>
      <c r="N63" t="str">
        <f>IFERROR(_xlfn.XLOOKUP($A63,'Base SKUs'!$E:$E,'Base SKUs'!H:H),"")</f>
        <v>S4S E4E</v>
      </c>
      <c r="O63" t="str">
        <f>IFERROR(_xlfn.XLOOKUP($A63,'Base SKUs'!$E:$E,'Base SKUs'!I:I),"")</f>
        <v>-</v>
      </c>
      <c r="P63" t="str">
        <f>IFERROR(_xlfn.XLOOKUP($A63,'Base SKUs'!$E:$E,'Base SKUs'!J:J),"")</f>
        <v>6x6</v>
      </c>
      <c r="Q63">
        <f>IFERROR(_xlfn.XLOOKUP($A63,'Base SKUs'!$E:$E,'Base SKUs'!K:K),"")</f>
        <v>18</v>
      </c>
      <c r="R63" s="7">
        <f>IFERROR(_xlfn.XLOOKUP($A63,'Base SKUs'!$E:$E,'Base SKUs'!S:S),"")</f>
        <v>0.10707307617599995</v>
      </c>
      <c r="S63" s="8">
        <f t="shared" si="2"/>
        <v>0.32121922852799989</v>
      </c>
      <c r="T63" s="7">
        <f>IFERROR(_xlfn.XLOOKUP($A63,'Base SKUs'!$E:$E,'Base SKUs'!R:R),"")</f>
        <v>168.10900000000001</v>
      </c>
      <c r="U63" s="15">
        <f t="shared" si="3"/>
        <v>54</v>
      </c>
      <c r="V63" t="str">
        <f t="shared" si="4"/>
        <v>Boston</v>
      </c>
    </row>
    <row r="64" spans="1:22" x14ac:dyDescent="0.2">
      <c r="A64" t="s">
        <v>148</v>
      </c>
      <c r="B64" s="5">
        <v>2</v>
      </c>
      <c r="C64" s="5">
        <v>0</v>
      </c>
      <c r="D64" s="5">
        <f t="shared" si="0"/>
        <v>2</v>
      </c>
      <c r="E64" s="6">
        <v>214.2</v>
      </c>
      <c r="F64" s="6">
        <f t="shared" si="1"/>
        <v>428.4</v>
      </c>
      <c r="G64" t="s">
        <v>125</v>
      </c>
      <c r="H64">
        <v>9009</v>
      </c>
      <c r="I64" t="str">
        <f>IFERROR(_xlfn.XLOOKUP($A64,'Base SKUs'!$E:$E,'Base SKUs'!A:A),"")</f>
        <v>Massaranduba</v>
      </c>
      <c r="J64" t="str">
        <f>IFERROR(_xlfn.XLOOKUP($A64,'Base SKUs'!$E:$E,'Base SKUs'!B:B),"")</f>
        <v>Massaranduba 6x6</v>
      </c>
      <c r="K64" t="str">
        <f>IFERROR(_xlfn.XLOOKUP($A64,'Base SKUs'!$E:$E,'Base SKUs'!C:C),"")</f>
        <v>Long</v>
      </c>
      <c r="L64" t="str">
        <f>IFERROR(_xlfn.XLOOKUP($A64,'Base SKUs'!$E:$E,'Base SKUs'!D:D),"")</f>
        <v>Hardwoods</v>
      </c>
      <c r="M64" t="str">
        <f>IFERROR(_xlfn.XLOOKUP($A64,'Base SKUs'!$E:$E,'Base SKUs'!G:G),"")</f>
        <v>Massaranduba Bullet Wood</v>
      </c>
      <c r="N64" t="str">
        <f>IFERROR(_xlfn.XLOOKUP($A64,'Base SKUs'!$E:$E,'Base SKUs'!H:H),"")</f>
        <v>S4S E4E</v>
      </c>
      <c r="O64" t="str">
        <f>IFERROR(_xlfn.XLOOKUP($A64,'Base SKUs'!$E:$E,'Base SKUs'!I:I),"")</f>
        <v>-</v>
      </c>
      <c r="P64" t="str">
        <f>IFERROR(_xlfn.XLOOKUP($A64,'Base SKUs'!$E:$E,'Base SKUs'!J:J),"")</f>
        <v>6x6</v>
      </c>
      <c r="Q64">
        <f>IFERROR(_xlfn.XLOOKUP($A64,'Base SKUs'!$E:$E,'Base SKUs'!K:K),"")</f>
        <v>20</v>
      </c>
      <c r="R64" s="7">
        <f>IFERROR(_xlfn.XLOOKUP($A64,'Base SKUs'!$E:$E,'Base SKUs'!S:S),"")</f>
        <v>0.11897008463999999</v>
      </c>
      <c r="S64" s="8">
        <f t="shared" si="2"/>
        <v>0.23794016927999997</v>
      </c>
      <c r="T64" s="7">
        <f>IFERROR(_xlfn.XLOOKUP($A64,'Base SKUs'!$E:$E,'Base SKUs'!R:R),"")</f>
        <v>168.10900000000001</v>
      </c>
      <c r="U64" s="15">
        <f t="shared" si="3"/>
        <v>40</v>
      </c>
      <c r="V64" t="str">
        <f t="shared" si="4"/>
        <v>Boston</v>
      </c>
    </row>
    <row r="65" spans="1:22" x14ac:dyDescent="0.2">
      <c r="A65" t="s">
        <v>150</v>
      </c>
      <c r="B65" s="5">
        <v>3</v>
      </c>
      <c r="C65" s="5">
        <v>0</v>
      </c>
      <c r="D65" s="5">
        <f t="shared" si="0"/>
        <v>3</v>
      </c>
      <c r="E65" s="6">
        <v>85.8</v>
      </c>
      <c r="F65" s="6">
        <f t="shared" si="1"/>
        <v>257.39999999999998</v>
      </c>
      <c r="G65" t="s">
        <v>125</v>
      </c>
      <c r="H65">
        <v>9009</v>
      </c>
      <c r="I65" t="str">
        <f>IFERROR(_xlfn.XLOOKUP($A65,'Base SKUs'!$E:$E,'Base SKUs'!A:A),"")</f>
        <v>Massaranduba</v>
      </c>
      <c r="J65" t="str">
        <f>IFERROR(_xlfn.XLOOKUP($A65,'Base SKUs'!$E:$E,'Base SKUs'!B:B),"")</f>
        <v>Massaranduba 6x6</v>
      </c>
      <c r="K65" t="str">
        <f>IFERROR(_xlfn.XLOOKUP($A65,'Base SKUs'!$E:$E,'Base SKUs'!C:C),"")</f>
        <v>Long</v>
      </c>
      <c r="L65" t="str">
        <f>IFERROR(_xlfn.XLOOKUP($A65,'Base SKUs'!$E:$E,'Base SKUs'!D:D),"")</f>
        <v>Hardwoods</v>
      </c>
      <c r="M65" t="str">
        <f>IFERROR(_xlfn.XLOOKUP($A65,'Base SKUs'!$E:$E,'Base SKUs'!G:G),"")</f>
        <v>Massaranduba Bullet Wood</v>
      </c>
      <c r="N65" t="str">
        <f>IFERROR(_xlfn.XLOOKUP($A65,'Base SKUs'!$E:$E,'Base SKUs'!H:H),"")</f>
        <v>S4S E4E</v>
      </c>
      <c r="O65" t="str">
        <f>IFERROR(_xlfn.XLOOKUP($A65,'Base SKUs'!$E:$E,'Base SKUs'!I:I),"")</f>
        <v>-</v>
      </c>
      <c r="P65" t="str">
        <f>IFERROR(_xlfn.XLOOKUP($A65,'Base SKUs'!$E:$E,'Base SKUs'!J:J),"")</f>
        <v>6x6</v>
      </c>
      <c r="Q65">
        <f>IFERROR(_xlfn.XLOOKUP($A65,'Base SKUs'!$E:$E,'Base SKUs'!K:K),"")</f>
        <v>8</v>
      </c>
      <c r="R65" s="7">
        <f>IFERROR(_xlfn.XLOOKUP($A65,'Base SKUs'!$E:$E,'Base SKUs'!S:S),"")</f>
        <v>4.7588033855999995E-2</v>
      </c>
      <c r="S65" s="8">
        <f t="shared" si="2"/>
        <v>0.14276410156799998</v>
      </c>
      <c r="T65" s="7">
        <f>IFERROR(_xlfn.XLOOKUP($A65,'Base SKUs'!$E:$E,'Base SKUs'!R:R),"")</f>
        <v>168.10900000000001</v>
      </c>
      <c r="U65" s="15">
        <f t="shared" si="3"/>
        <v>24</v>
      </c>
      <c r="V65" t="str">
        <f t="shared" si="4"/>
        <v>Boston</v>
      </c>
    </row>
    <row r="66" spans="1:22" x14ac:dyDescent="0.2">
      <c r="A66" t="s">
        <v>152</v>
      </c>
      <c r="B66" s="5">
        <v>41</v>
      </c>
      <c r="C66" s="5">
        <v>0</v>
      </c>
      <c r="D66" s="5">
        <f t="shared" ref="D66:D129" si="5">B66-C66</f>
        <v>41</v>
      </c>
      <c r="E66" s="6">
        <v>21.814599999999999</v>
      </c>
      <c r="F66" s="6">
        <f t="shared" ref="F66:F129" si="6">B66*E66</f>
        <v>894.39859999999999</v>
      </c>
      <c r="G66" t="s">
        <v>125</v>
      </c>
      <c r="H66">
        <v>9009</v>
      </c>
      <c r="I66" t="str">
        <f>IFERROR(_xlfn.XLOOKUP($A66,'Base SKUs'!$E:$E,'Base SKUs'!A:A),"")</f>
        <v>Massaranduba</v>
      </c>
      <c r="J66" t="str">
        <f>IFERROR(_xlfn.XLOOKUP($A66,'Base SKUs'!$E:$E,'Base SKUs'!B:B),"")</f>
        <v>Massaranduba 1x10</v>
      </c>
      <c r="K66" t="str">
        <f>IFERROR(_xlfn.XLOOKUP($A66,'Base SKUs'!$E:$E,'Base SKUs'!C:C),"")</f>
        <v>Long</v>
      </c>
      <c r="L66" t="str">
        <f>IFERROR(_xlfn.XLOOKUP($A66,'Base SKUs'!$E:$E,'Base SKUs'!D:D),"")</f>
        <v>Hardwoods</v>
      </c>
      <c r="M66" t="str">
        <f>IFERROR(_xlfn.XLOOKUP($A66,'Base SKUs'!$E:$E,'Base SKUs'!G:G),"")</f>
        <v>Massaranduba Bullet Wood</v>
      </c>
      <c r="N66" t="str">
        <f>IFERROR(_xlfn.XLOOKUP($A66,'Base SKUs'!$E:$E,'Base SKUs'!H:H),"")</f>
        <v>S4S E4E</v>
      </c>
      <c r="O66" t="str">
        <f>IFERROR(_xlfn.XLOOKUP($A66,'Base SKUs'!$E:$E,'Base SKUs'!I:I),"")</f>
        <v>-</v>
      </c>
      <c r="P66" t="str">
        <f>IFERROR(_xlfn.XLOOKUP($A66,'Base SKUs'!$E:$E,'Base SKUs'!J:J),"")</f>
        <v>1x10</v>
      </c>
      <c r="Q66">
        <f>IFERROR(_xlfn.XLOOKUP($A66,'Base SKUs'!$E:$E,'Base SKUs'!K:K),"")</f>
        <v>10</v>
      </c>
      <c r="R66" s="7">
        <f>IFERROR(_xlfn.XLOOKUP($A66,'Base SKUs'!$E:$E,'Base SKUs'!S:S),"")</f>
        <v>1.3642230780000002E-2</v>
      </c>
      <c r="S66" s="8">
        <f t="shared" ref="S66:S129" si="7">IF(OR(L66="Saicos",L66="Oil",L66="US4",L66="Wood Table",L66="Woca",L66="Norx",N66="Tiles"),D66,D66*R66)</f>
        <v>0.55933146198000006</v>
      </c>
      <c r="T66" s="7">
        <f>IFERROR(_xlfn.XLOOKUP($A66,'Base SKUs'!$E:$E,'Base SKUs'!R:R),"")</f>
        <v>733.01800000000003</v>
      </c>
      <c r="U66" s="15">
        <f t="shared" ref="U66:U129" si="8">ROUND(IF(OR(L66="Saicos",L66="Oil",L66="US4",L66="Wood Table",L66="Woca",L66="Norx",N66="Tiles"),D66,S66*T66),0)</f>
        <v>410</v>
      </c>
      <c r="V66" t="str">
        <f t="shared" ref="V66:V129" si="9">IF(H66=9007,"Miami",IF(H66=9008,"Texas",IF(H66=9009,"Boston",IF(H66=9010,"BS Detroit",IF(H66=9011,"New York",IF(H66=9012,"HW Perris",IF(H66=9013,"BS Riverside",IF(H66=9014,"On the Way",IF(H66=9015,"Russin",IF(H66=9016,"Palm Beach",""))))))))))</f>
        <v>Boston</v>
      </c>
    </row>
    <row r="67" spans="1:22" x14ac:dyDescent="0.2">
      <c r="A67" t="s">
        <v>154</v>
      </c>
      <c r="B67" s="5">
        <v>46</v>
      </c>
      <c r="C67" s="5">
        <v>0</v>
      </c>
      <c r="D67" s="5">
        <f t="shared" si="5"/>
        <v>46</v>
      </c>
      <c r="E67" s="6">
        <v>17.4666</v>
      </c>
      <c r="F67" s="6">
        <f t="shared" si="6"/>
        <v>803.46360000000004</v>
      </c>
      <c r="G67" t="s">
        <v>125</v>
      </c>
      <c r="H67">
        <v>9009</v>
      </c>
      <c r="I67" t="str">
        <f>IFERROR(_xlfn.XLOOKUP($A67,'Base SKUs'!$E:$E,'Base SKUs'!A:A),"")</f>
        <v>Massaranduba</v>
      </c>
      <c r="J67" t="str">
        <f>IFERROR(_xlfn.XLOOKUP($A67,'Base SKUs'!$E:$E,'Base SKUs'!B:B),"")</f>
        <v>Massaranduba 1x10</v>
      </c>
      <c r="K67" t="str">
        <f>IFERROR(_xlfn.XLOOKUP($A67,'Base SKUs'!$E:$E,'Base SKUs'!C:C),"")</f>
        <v>Long</v>
      </c>
      <c r="L67" t="str">
        <f>IFERROR(_xlfn.XLOOKUP($A67,'Base SKUs'!$E:$E,'Base SKUs'!D:D),"")</f>
        <v>Hardwoods</v>
      </c>
      <c r="M67" t="str">
        <f>IFERROR(_xlfn.XLOOKUP($A67,'Base SKUs'!$E:$E,'Base SKUs'!G:G),"")</f>
        <v>Massaranduba Bullet Wood</v>
      </c>
      <c r="N67" t="str">
        <f>IFERROR(_xlfn.XLOOKUP($A67,'Base SKUs'!$E:$E,'Base SKUs'!H:H),"")</f>
        <v>S4S E4E</v>
      </c>
      <c r="O67" t="str">
        <f>IFERROR(_xlfn.XLOOKUP($A67,'Base SKUs'!$E:$E,'Base SKUs'!I:I),"")</f>
        <v>-</v>
      </c>
      <c r="P67" t="str">
        <f>IFERROR(_xlfn.XLOOKUP($A67,'Base SKUs'!$E:$E,'Base SKUs'!J:J),"")</f>
        <v>1x10</v>
      </c>
      <c r="Q67">
        <f>IFERROR(_xlfn.XLOOKUP($A67,'Base SKUs'!$E:$E,'Base SKUs'!K:K),"")</f>
        <v>8</v>
      </c>
      <c r="R67" s="7">
        <f>IFERROR(_xlfn.XLOOKUP($A67,'Base SKUs'!$E:$E,'Base SKUs'!S:S),"")</f>
        <v>1.0913784624E-2</v>
      </c>
      <c r="S67" s="8">
        <f t="shared" si="7"/>
        <v>0.50203409270400001</v>
      </c>
      <c r="T67" s="7">
        <f>IFERROR(_xlfn.XLOOKUP($A67,'Base SKUs'!$E:$E,'Base SKUs'!R:R),"")</f>
        <v>733.01800000000003</v>
      </c>
      <c r="U67" s="15">
        <f t="shared" si="8"/>
        <v>368</v>
      </c>
      <c r="V67" t="str">
        <f t="shared" si="9"/>
        <v>Boston</v>
      </c>
    </row>
    <row r="68" spans="1:22" x14ac:dyDescent="0.2">
      <c r="A68" t="s">
        <v>156</v>
      </c>
      <c r="B68" s="5">
        <v>1</v>
      </c>
      <c r="C68" s="5">
        <v>0</v>
      </c>
      <c r="D68" s="5">
        <f t="shared" si="5"/>
        <v>1</v>
      </c>
      <c r="E68" s="6">
        <v>36</v>
      </c>
      <c r="F68" s="6">
        <f t="shared" si="6"/>
        <v>36</v>
      </c>
      <c r="G68" t="s">
        <v>24</v>
      </c>
      <c r="H68">
        <v>9008</v>
      </c>
      <c r="I68" t="str">
        <f>IFERROR(_xlfn.XLOOKUP($A68,'Base SKUs'!$E:$E,'Base SKUs'!A:A),"")</f>
        <v>Massaranduba</v>
      </c>
      <c r="J68" t="str">
        <f>IFERROR(_xlfn.XLOOKUP($A68,'Base SKUs'!$E:$E,'Base SKUs'!B:B),"")</f>
        <v>Massaranduba 1x12</v>
      </c>
      <c r="K68" t="str">
        <f>IFERROR(_xlfn.XLOOKUP($A68,'Base SKUs'!$E:$E,'Base SKUs'!C:C),"")</f>
        <v>Long</v>
      </c>
      <c r="L68" t="str">
        <f>IFERROR(_xlfn.XLOOKUP($A68,'Base SKUs'!$E:$E,'Base SKUs'!D:D),"")</f>
        <v>Hardwoods</v>
      </c>
      <c r="M68" t="str">
        <f>IFERROR(_xlfn.XLOOKUP($A68,'Base SKUs'!$E:$E,'Base SKUs'!G:G),"")</f>
        <v>Massaranduba Bullet Wood</v>
      </c>
      <c r="N68" t="str">
        <f>IFERROR(_xlfn.XLOOKUP($A68,'Base SKUs'!$E:$E,'Base SKUs'!H:H),"")</f>
        <v>S4S E4E</v>
      </c>
      <c r="O68" t="str">
        <f>IFERROR(_xlfn.XLOOKUP($A68,'Base SKUs'!$E:$E,'Base SKUs'!I:I),"")</f>
        <v>-</v>
      </c>
      <c r="P68" t="str">
        <f>IFERROR(_xlfn.XLOOKUP($A68,'Base SKUs'!$E:$E,'Base SKUs'!J:J),"")</f>
        <v>1x12</v>
      </c>
      <c r="Q68">
        <f>IFERROR(_xlfn.XLOOKUP($A68,'Base SKUs'!$E:$E,'Base SKUs'!K:K),"")</f>
        <v>12</v>
      </c>
      <c r="R68" s="7">
        <f>IFERROR(_xlfn.XLOOKUP($A68,'Base SKUs'!$E:$E,'Base SKUs'!S:S),"")</f>
        <v>1.9910282759999998E-2</v>
      </c>
      <c r="S68" s="8">
        <f t="shared" si="7"/>
        <v>1.9910282759999998E-2</v>
      </c>
      <c r="T68" s="7">
        <f>IFERROR(_xlfn.XLOOKUP($A68,'Base SKUs'!$E:$E,'Base SKUs'!R:R),"")</f>
        <v>602.70399999999995</v>
      </c>
      <c r="U68" s="15">
        <f t="shared" si="8"/>
        <v>12</v>
      </c>
      <c r="V68" t="str">
        <f t="shared" si="9"/>
        <v>Texas</v>
      </c>
    </row>
    <row r="69" spans="1:22" x14ac:dyDescent="0.2">
      <c r="A69" t="s">
        <v>158</v>
      </c>
      <c r="B69" s="5">
        <v>2</v>
      </c>
      <c r="C69" s="5">
        <v>0</v>
      </c>
      <c r="D69" s="5">
        <f t="shared" si="5"/>
        <v>2</v>
      </c>
      <c r="E69" s="6">
        <v>41.4</v>
      </c>
      <c r="F69" s="6">
        <f t="shared" si="6"/>
        <v>82.8</v>
      </c>
      <c r="G69" t="s">
        <v>24</v>
      </c>
      <c r="H69">
        <v>9008</v>
      </c>
      <c r="I69" t="str">
        <f>IFERROR(_xlfn.XLOOKUP($A69,'Base SKUs'!$E:$E,'Base SKUs'!A:A),"")</f>
        <v>Massaranduba</v>
      </c>
      <c r="J69" t="str">
        <f>IFERROR(_xlfn.XLOOKUP($A69,'Base SKUs'!$E:$E,'Base SKUs'!B:B),"")</f>
        <v>Massaranduba 1x12</v>
      </c>
      <c r="K69" t="str">
        <f>IFERROR(_xlfn.XLOOKUP($A69,'Base SKUs'!$E:$E,'Base SKUs'!C:C),"")</f>
        <v>Long</v>
      </c>
      <c r="L69" t="str">
        <f>IFERROR(_xlfn.XLOOKUP($A69,'Base SKUs'!$E:$E,'Base SKUs'!D:D),"")</f>
        <v>Hardwoods</v>
      </c>
      <c r="M69" t="str">
        <f>IFERROR(_xlfn.XLOOKUP($A69,'Base SKUs'!$E:$E,'Base SKUs'!G:G),"")</f>
        <v>Massaranduba Bullet Wood</v>
      </c>
      <c r="N69" t="str">
        <f>IFERROR(_xlfn.XLOOKUP($A69,'Base SKUs'!$E:$E,'Base SKUs'!H:H),"")</f>
        <v>S4S E4E</v>
      </c>
      <c r="O69" t="str">
        <f>IFERROR(_xlfn.XLOOKUP($A69,'Base SKUs'!$E:$E,'Base SKUs'!I:I),"")</f>
        <v>-</v>
      </c>
      <c r="P69" t="str">
        <f>IFERROR(_xlfn.XLOOKUP($A69,'Base SKUs'!$E:$E,'Base SKUs'!J:J),"")</f>
        <v>1x12</v>
      </c>
      <c r="Q69">
        <f>IFERROR(_xlfn.XLOOKUP($A69,'Base SKUs'!$E:$E,'Base SKUs'!K:K),"")</f>
        <v>14</v>
      </c>
      <c r="R69" s="7">
        <f>IFERROR(_xlfn.XLOOKUP($A69,'Base SKUs'!$E:$E,'Base SKUs'!S:S),"")</f>
        <v>2.3228663220000001E-2</v>
      </c>
      <c r="S69" s="8">
        <f t="shared" si="7"/>
        <v>4.6457326440000002E-2</v>
      </c>
      <c r="T69" s="7">
        <f>IFERROR(_xlfn.XLOOKUP($A69,'Base SKUs'!$E:$E,'Base SKUs'!R:R),"")</f>
        <v>602.70399999999995</v>
      </c>
      <c r="U69" s="15">
        <f t="shared" si="8"/>
        <v>28</v>
      </c>
      <c r="V69" t="str">
        <f t="shared" si="9"/>
        <v>Texas</v>
      </c>
    </row>
    <row r="70" spans="1:22" x14ac:dyDescent="0.2">
      <c r="A70" t="s">
        <v>160</v>
      </c>
      <c r="B70" s="5">
        <v>374</v>
      </c>
      <c r="C70" s="5">
        <v>0</v>
      </c>
      <c r="D70" s="5">
        <f t="shared" si="5"/>
        <v>374</v>
      </c>
      <c r="E70" s="6">
        <v>5.3681000000000001</v>
      </c>
      <c r="F70" s="6">
        <f t="shared" si="6"/>
        <v>2007.6694</v>
      </c>
      <c r="G70" t="s">
        <v>17</v>
      </c>
      <c r="H70">
        <v>9007</v>
      </c>
      <c r="I70" t="str">
        <f>IFERROR(_xlfn.XLOOKUP($A70,'Base SKUs'!$E:$E,'Base SKUs'!A:A),"")</f>
        <v>Massaranduba</v>
      </c>
      <c r="J70" t="str">
        <f>IFERROR(_xlfn.XLOOKUP($A70,'Base SKUs'!$E:$E,'Base SKUs'!B:B),"")</f>
        <v>Massaranduba 1x4</v>
      </c>
      <c r="K70" t="str">
        <f>IFERROR(_xlfn.XLOOKUP($A70,'Base SKUs'!$E:$E,'Base SKUs'!C:C),"")</f>
        <v>Long</v>
      </c>
      <c r="L70" t="str">
        <f>IFERROR(_xlfn.XLOOKUP($A70,'Base SKUs'!$E:$E,'Base SKUs'!D:D),"")</f>
        <v>Hardwoods</v>
      </c>
      <c r="M70" t="str">
        <f>IFERROR(_xlfn.XLOOKUP($A70,'Base SKUs'!$E:$E,'Base SKUs'!G:G),"")</f>
        <v>Massaranduba Bullet Wood</v>
      </c>
      <c r="N70" t="str">
        <f>IFERROR(_xlfn.XLOOKUP($A70,'Base SKUs'!$E:$E,'Base SKUs'!H:H),"")</f>
        <v>S4S E4E</v>
      </c>
      <c r="O70" t="str">
        <f>IFERROR(_xlfn.XLOOKUP($A70,'Base SKUs'!$E:$E,'Base SKUs'!I:I),"")</f>
        <v>-</v>
      </c>
      <c r="P70" t="str">
        <f>IFERROR(_xlfn.XLOOKUP($A70,'Base SKUs'!$E:$E,'Base SKUs'!J:J),"")</f>
        <v>1x4</v>
      </c>
      <c r="Q70">
        <f>IFERROR(_xlfn.XLOOKUP($A70,'Base SKUs'!$E:$E,'Base SKUs'!K:K),"")</f>
        <v>10</v>
      </c>
      <c r="R70" s="7">
        <f>IFERROR(_xlfn.XLOOKUP($A70,'Base SKUs'!$E:$E,'Base SKUs'!S:S),"")</f>
        <v>5.1619251600000006E-3</v>
      </c>
      <c r="S70" s="8">
        <f t="shared" si="7"/>
        <v>1.9305600098400002</v>
      </c>
      <c r="T70" s="7">
        <f>IFERROR(_xlfn.XLOOKUP($A70,'Base SKUs'!$E:$E,'Base SKUs'!R:R),"")</f>
        <v>1937.2619999999999</v>
      </c>
      <c r="U70" s="15">
        <f t="shared" si="8"/>
        <v>3740</v>
      </c>
      <c r="V70" t="str">
        <f t="shared" si="9"/>
        <v>Miami</v>
      </c>
    </row>
    <row r="71" spans="1:22" x14ac:dyDescent="0.2">
      <c r="A71" t="s">
        <v>160</v>
      </c>
      <c r="B71" s="5">
        <v>546</v>
      </c>
      <c r="C71" s="5">
        <v>163</v>
      </c>
      <c r="D71" s="5">
        <f t="shared" si="5"/>
        <v>383</v>
      </c>
      <c r="E71" s="6">
        <v>5.16</v>
      </c>
      <c r="F71" s="6">
        <f t="shared" si="6"/>
        <v>2817.36</v>
      </c>
      <c r="G71" t="s">
        <v>125</v>
      </c>
      <c r="H71">
        <v>9009</v>
      </c>
      <c r="I71" t="str">
        <f>IFERROR(_xlfn.XLOOKUP($A71,'Base SKUs'!$E:$E,'Base SKUs'!A:A),"")</f>
        <v>Massaranduba</v>
      </c>
      <c r="J71" t="str">
        <f>IFERROR(_xlfn.XLOOKUP($A71,'Base SKUs'!$E:$E,'Base SKUs'!B:B),"")</f>
        <v>Massaranduba 1x4</v>
      </c>
      <c r="K71" t="str">
        <f>IFERROR(_xlfn.XLOOKUP($A71,'Base SKUs'!$E:$E,'Base SKUs'!C:C),"")</f>
        <v>Long</v>
      </c>
      <c r="L71" t="str">
        <f>IFERROR(_xlfn.XLOOKUP($A71,'Base SKUs'!$E:$E,'Base SKUs'!D:D),"")</f>
        <v>Hardwoods</v>
      </c>
      <c r="M71" t="str">
        <f>IFERROR(_xlfn.XLOOKUP($A71,'Base SKUs'!$E:$E,'Base SKUs'!G:G),"")</f>
        <v>Massaranduba Bullet Wood</v>
      </c>
      <c r="N71" t="str">
        <f>IFERROR(_xlfn.XLOOKUP($A71,'Base SKUs'!$E:$E,'Base SKUs'!H:H),"")</f>
        <v>S4S E4E</v>
      </c>
      <c r="O71" t="str">
        <f>IFERROR(_xlfn.XLOOKUP($A71,'Base SKUs'!$E:$E,'Base SKUs'!I:I),"")</f>
        <v>-</v>
      </c>
      <c r="P71" t="str">
        <f>IFERROR(_xlfn.XLOOKUP($A71,'Base SKUs'!$E:$E,'Base SKUs'!J:J),"")</f>
        <v>1x4</v>
      </c>
      <c r="Q71">
        <f>IFERROR(_xlfn.XLOOKUP($A71,'Base SKUs'!$E:$E,'Base SKUs'!K:K),"")</f>
        <v>10</v>
      </c>
      <c r="R71" s="7">
        <f>IFERROR(_xlfn.XLOOKUP($A71,'Base SKUs'!$E:$E,'Base SKUs'!S:S),"")</f>
        <v>5.1619251600000006E-3</v>
      </c>
      <c r="S71" s="8">
        <f t="shared" si="7"/>
        <v>1.9770173362800003</v>
      </c>
      <c r="T71" s="7">
        <f>IFERROR(_xlfn.XLOOKUP($A71,'Base SKUs'!$E:$E,'Base SKUs'!R:R),"")</f>
        <v>1937.2619999999999</v>
      </c>
      <c r="U71" s="15">
        <f t="shared" si="8"/>
        <v>3830</v>
      </c>
      <c r="V71" t="str">
        <f t="shared" si="9"/>
        <v>Boston</v>
      </c>
    </row>
    <row r="72" spans="1:22" x14ac:dyDescent="0.2">
      <c r="A72" t="s">
        <v>162</v>
      </c>
      <c r="B72" s="5">
        <v>220</v>
      </c>
      <c r="C72" s="5">
        <v>0</v>
      </c>
      <c r="D72" s="5">
        <f t="shared" si="5"/>
        <v>220</v>
      </c>
      <c r="E72" s="6">
        <v>5.9048999999999996</v>
      </c>
      <c r="F72" s="6">
        <f t="shared" si="6"/>
        <v>1299.078</v>
      </c>
      <c r="G72" t="s">
        <v>17</v>
      </c>
      <c r="H72">
        <v>9007</v>
      </c>
      <c r="I72" t="str">
        <f>IFERROR(_xlfn.XLOOKUP($A72,'Base SKUs'!$E:$E,'Base SKUs'!A:A),"")</f>
        <v>Massaranduba</v>
      </c>
      <c r="J72" t="str">
        <f>IFERROR(_xlfn.XLOOKUP($A72,'Base SKUs'!$E:$E,'Base SKUs'!B:B),"")</f>
        <v>Massaranduba 1x4</v>
      </c>
      <c r="K72" t="str">
        <f>IFERROR(_xlfn.XLOOKUP($A72,'Base SKUs'!$E:$E,'Base SKUs'!C:C),"")</f>
        <v>Long</v>
      </c>
      <c r="L72" t="str">
        <f>IFERROR(_xlfn.XLOOKUP($A72,'Base SKUs'!$E:$E,'Base SKUs'!D:D),"")</f>
        <v>Hardwoods</v>
      </c>
      <c r="M72" t="str">
        <f>IFERROR(_xlfn.XLOOKUP($A72,'Base SKUs'!$E:$E,'Base SKUs'!G:G),"")</f>
        <v>Massaranduba Bullet Wood</v>
      </c>
      <c r="N72" t="str">
        <f>IFERROR(_xlfn.XLOOKUP($A72,'Base SKUs'!$E:$E,'Base SKUs'!H:H),"")</f>
        <v>S4S E4E</v>
      </c>
      <c r="O72" t="str">
        <f>IFERROR(_xlfn.XLOOKUP($A72,'Base SKUs'!$E:$E,'Base SKUs'!I:I),"")</f>
        <v>-</v>
      </c>
      <c r="P72" t="str">
        <f>IFERROR(_xlfn.XLOOKUP($A72,'Base SKUs'!$E:$E,'Base SKUs'!J:J),"")</f>
        <v>1x4</v>
      </c>
      <c r="Q72">
        <f>IFERROR(_xlfn.XLOOKUP($A72,'Base SKUs'!$E:$E,'Base SKUs'!K:K),"")</f>
        <v>11</v>
      </c>
      <c r="R72" s="7">
        <f>IFERROR(_xlfn.XLOOKUP($A72,'Base SKUs'!$E:$E,'Base SKUs'!S:S),"")</f>
        <v>5.6781176760000007E-3</v>
      </c>
      <c r="S72" s="8">
        <f t="shared" si="7"/>
        <v>1.2491858887200002</v>
      </c>
      <c r="T72" s="7">
        <f>IFERROR(_xlfn.XLOOKUP($A72,'Base SKUs'!$E:$E,'Base SKUs'!R:R),"")</f>
        <v>1937.2619999999999</v>
      </c>
      <c r="U72" s="15">
        <f t="shared" si="8"/>
        <v>2420</v>
      </c>
      <c r="V72" t="str">
        <f t="shared" si="9"/>
        <v>Miami</v>
      </c>
    </row>
    <row r="73" spans="1:22" x14ac:dyDescent="0.2">
      <c r="A73" t="s">
        <v>164</v>
      </c>
      <c r="B73" s="5">
        <v>211</v>
      </c>
      <c r="C73" s="5">
        <v>0</v>
      </c>
      <c r="D73" s="5">
        <f t="shared" si="5"/>
        <v>211</v>
      </c>
      <c r="E73" s="6">
        <v>6.4417999999999997</v>
      </c>
      <c r="F73" s="6">
        <f t="shared" si="6"/>
        <v>1359.2197999999999</v>
      </c>
      <c r="G73" t="s">
        <v>17</v>
      </c>
      <c r="H73">
        <v>9007</v>
      </c>
      <c r="I73" t="str">
        <f>IFERROR(_xlfn.XLOOKUP($A73,'Base SKUs'!$E:$E,'Base SKUs'!A:A),"")</f>
        <v>Massaranduba</v>
      </c>
      <c r="J73" t="str">
        <f>IFERROR(_xlfn.XLOOKUP($A73,'Base SKUs'!$E:$E,'Base SKUs'!B:B),"")</f>
        <v>Massaranduba 1x4</v>
      </c>
      <c r="K73" t="str">
        <f>IFERROR(_xlfn.XLOOKUP($A73,'Base SKUs'!$E:$E,'Base SKUs'!C:C),"")</f>
        <v>Long</v>
      </c>
      <c r="L73" t="str">
        <f>IFERROR(_xlfn.XLOOKUP($A73,'Base SKUs'!$E:$E,'Base SKUs'!D:D),"")</f>
        <v>Hardwoods</v>
      </c>
      <c r="M73" t="str">
        <f>IFERROR(_xlfn.XLOOKUP($A73,'Base SKUs'!$E:$E,'Base SKUs'!G:G),"")</f>
        <v>Massaranduba Bullet Wood</v>
      </c>
      <c r="N73" t="str">
        <f>IFERROR(_xlfn.XLOOKUP($A73,'Base SKUs'!$E:$E,'Base SKUs'!H:H),"")</f>
        <v>S4S E4E</v>
      </c>
      <c r="O73" t="str">
        <f>IFERROR(_xlfn.XLOOKUP($A73,'Base SKUs'!$E:$E,'Base SKUs'!I:I),"")</f>
        <v>-</v>
      </c>
      <c r="P73" t="str">
        <f>IFERROR(_xlfn.XLOOKUP($A73,'Base SKUs'!$E:$E,'Base SKUs'!J:J),"")</f>
        <v>1x4</v>
      </c>
      <c r="Q73">
        <f>IFERROR(_xlfn.XLOOKUP($A73,'Base SKUs'!$E:$E,'Base SKUs'!K:K),"")</f>
        <v>12</v>
      </c>
      <c r="R73" s="7">
        <f>IFERROR(_xlfn.XLOOKUP($A73,'Base SKUs'!$E:$E,'Base SKUs'!S:S),"")</f>
        <v>6.1943101919999998E-3</v>
      </c>
      <c r="S73" s="8">
        <f t="shared" si="7"/>
        <v>1.3069994505119999</v>
      </c>
      <c r="T73" s="7">
        <f>IFERROR(_xlfn.XLOOKUP($A73,'Base SKUs'!$E:$E,'Base SKUs'!R:R),"")</f>
        <v>1937.2619999999999</v>
      </c>
      <c r="U73" s="15">
        <f t="shared" si="8"/>
        <v>2532</v>
      </c>
      <c r="V73" t="str">
        <f t="shared" si="9"/>
        <v>Miami</v>
      </c>
    </row>
    <row r="74" spans="1:22" x14ac:dyDescent="0.2">
      <c r="A74" t="s">
        <v>164</v>
      </c>
      <c r="B74" s="5">
        <v>335</v>
      </c>
      <c r="C74" s="5">
        <v>0</v>
      </c>
      <c r="D74" s="5">
        <f t="shared" si="5"/>
        <v>335</v>
      </c>
      <c r="E74" s="6">
        <v>7.74</v>
      </c>
      <c r="F74" s="6">
        <f t="shared" si="6"/>
        <v>2592.9</v>
      </c>
      <c r="G74" t="s">
        <v>125</v>
      </c>
      <c r="H74">
        <v>9009</v>
      </c>
      <c r="I74" t="str">
        <f>IFERROR(_xlfn.XLOOKUP($A74,'Base SKUs'!$E:$E,'Base SKUs'!A:A),"")</f>
        <v>Massaranduba</v>
      </c>
      <c r="J74" t="str">
        <f>IFERROR(_xlfn.XLOOKUP($A74,'Base SKUs'!$E:$E,'Base SKUs'!B:B),"")</f>
        <v>Massaranduba 1x4</v>
      </c>
      <c r="K74" t="str">
        <f>IFERROR(_xlfn.XLOOKUP($A74,'Base SKUs'!$E:$E,'Base SKUs'!C:C),"")</f>
        <v>Long</v>
      </c>
      <c r="L74" t="str">
        <f>IFERROR(_xlfn.XLOOKUP($A74,'Base SKUs'!$E:$E,'Base SKUs'!D:D),"")</f>
        <v>Hardwoods</v>
      </c>
      <c r="M74" t="str">
        <f>IFERROR(_xlfn.XLOOKUP($A74,'Base SKUs'!$E:$E,'Base SKUs'!G:G),"")</f>
        <v>Massaranduba Bullet Wood</v>
      </c>
      <c r="N74" t="str">
        <f>IFERROR(_xlfn.XLOOKUP($A74,'Base SKUs'!$E:$E,'Base SKUs'!H:H),"")</f>
        <v>S4S E4E</v>
      </c>
      <c r="O74" t="str">
        <f>IFERROR(_xlfn.XLOOKUP($A74,'Base SKUs'!$E:$E,'Base SKUs'!I:I),"")</f>
        <v>-</v>
      </c>
      <c r="P74" t="str">
        <f>IFERROR(_xlfn.XLOOKUP($A74,'Base SKUs'!$E:$E,'Base SKUs'!J:J),"")</f>
        <v>1x4</v>
      </c>
      <c r="Q74">
        <f>IFERROR(_xlfn.XLOOKUP($A74,'Base SKUs'!$E:$E,'Base SKUs'!K:K),"")</f>
        <v>12</v>
      </c>
      <c r="R74" s="7">
        <f>IFERROR(_xlfn.XLOOKUP($A74,'Base SKUs'!$E:$E,'Base SKUs'!S:S),"")</f>
        <v>6.1943101919999998E-3</v>
      </c>
      <c r="S74" s="8">
        <f t="shared" si="7"/>
        <v>2.07509391432</v>
      </c>
      <c r="T74" s="7">
        <f>IFERROR(_xlfn.XLOOKUP($A74,'Base SKUs'!$E:$E,'Base SKUs'!R:R),"")</f>
        <v>1937.2619999999999</v>
      </c>
      <c r="U74" s="15">
        <f t="shared" si="8"/>
        <v>4020</v>
      </c>
      <c r="V74" t="str">
        <f t="shared" si="9"/>
        <v>Boston</v>
      </c>
    </row>
    <row r="75" spans="1:22" x14ac:dyDescent="0.2">
      <c r="A75" t="s">
        <v>166</v>
      </c>
      <c r="B75" s="5">
        <v>235</v>
      </c>
      <c r="C75" s="5">
        <v>0</v>
      </c>
      <c r="D75" s="5">
        <f t="shared" si="5"/>
        <v>235</v>
      </c>
      <c r="E75" s="6">
        <v>6.9786000000000001</v>
      </c>
      <c r="F75" s="6">
        <f t="shared" si="6"/>
        <v>1639.971</v>
      </c>
      <c r="G75" t="s">
        <v>17</v>
      </c>
      <c r="H75">
        <v>9007</v>
      </c>
      <c r="I75" t="str">
        <f>IFERROR(_xlfn.XLOOKUP($A75,'Base SKUs'!$E:$E,'Base SKUs'!A:A),"")</f>
        <v>Massaranduba</v>
      </c>
      <c r="J75" t="str">
        <f>IFERROR(_xlfn.XLOOKUP($A75,'Base SKUs'!$E:$E,'Base SKUs'!B:B),"")</f>
        <v>Massaranduba 1x4</v>
      </c>
      <c r="K75" t="str">
        <f>IFERROR(_xlfn.XLOOKUP($A75,'Base SKUs'!$E:$E,'Base SKUs'!C:C),"")</f>
        <v>Long</v>
      </c>
      <c r="L75" t="str">
        <f>IFERROR(_xlfn.XLOOKUP($A75,'Base SKUs'!$E:$E,'Base SKUs'!D:D),"")</f>
        <v>Hardwoods</v>
      </c>
      <c r="M75" t="str">
        <f>IFERROR(_xlfn.XLOOKUP($A75,'Base SKUs'!$E:$E,'Base SKUs'!G:G),"")</f>
        <v>Massaranduba Bullet Wood</v>
      </c>
      <c r="N75" t="str">
        <f>IFERROR(_xlfn.XLOOKUP($A75,'Base SKUs'!$E:$E,'Base SKUs'!H:H),"")</f>
        <v>S4S E4E</v>
      </c>
      <c r="O75" t="str">
        <f>IFERROR(_xlfn.XLOOKUP($A75,'Base SKUs'!$E:$E,'Base SKUs'!I:I),"")</f>
        <v>-</v>
      </c>
      <c r="P75" t="str">
        <f>IFERROR(_xlfn.XLOOKUP($A75,'Base SKUs'!$E:$E,'Base SKUs'!J:J),"")</f>
        <v>1x4</v>
      </c>
      <c r="Q75">
        <f>IFERROR(_xlfn.XLOOKUP($A75,'Base SKUs'!$E:$E,'Base SKUs'!K:K),"")</f>
        <v>13</v>
      </c>
      <c r="R75" s="7">
        <f>IFERROR(_xlfn.XLOOKUP($A75,'Base SKUs'!$E:$E,'Base SKUs'!S:S),"")</f>
        <v>6.7105027080000008E-3</v>
      </c>
      <c r="S75" s="8">
        <f t="shared" si="7"/>
        <v>1.5769681363800001</v>
      </c>
      <c r="T75" s="7">
        <f>IFERROR(_xlfn.XLOOKUP($A75,'Base SKUs'!$E:$E,'Base SKUs'!R:R),"")</f>
        <v>1937.2619999999999</v>
      </c>
      <c r="U75" s="15">
        <f t="shared" si="8"/>
        <v>3055</v>
      </c>
      <c r="V75" t="str">
        <f t="shared" si="9"/>
        <v>Miami</v>
      </c>
    </row>
    <row r="76" spans="1:22" x14ac:dyDescent="0.2">
      <c r="A76" t="s">
        <v>168</v>
      </c>
      <c r="B76" s="5">
        <v>160</v>
      </c>
      <c r="C76" s="5">
        <v>0</v>
      </c>
      <c r="D76" s="5">
        <f t="shared" si="5"/>
        <v>160</v>
      </c>
      <c r="E76" s="6">
        <v>7.5153999999999996</v>
      </c>
      <c r="F76" s="6">
        <f t="shared" si="6"/>
        <v>1202.4639999999999</v>
      </c>
      <c r="G76" t="s">
        <v>17</v>
      </c>
      <c r="H76">
        <v>9007</v>
      </c>
      <c r="I76" t="str">
        <f>IFERROR(_xlfn.XLOOKUP($A76,'Base SKUs'!$E:$E,'Base SKUs'!A:A),"")</f>
        <v>Massaranduba</v>
      </c>
      <c r="J76" t="str">
        <f>IFERROR(_xlfn.XLOOKUP($A76,'Base SKUs'!$E:$E,'Base SKUs'!B:B),"")</f>
        <v>Massaranduba 1x4</v>
      </c>
      <c r="K76" t="str">
        <f>IFERROR(_xlfn.XLOOKUP($A76,'Base SKUs'!$E:$E,'Base SKUs'!C:C),"")</f>
        <v>Long</v>
      </c>
      <c r="L76" t="str">
        <f>IFERROR(_xlfn.XLOOKUP($A76,'Base SKUs'!$E:$E,'Base SKUs'!D:D),"")</f>
        <v>Hardwoods</v>
      </c>
      <c r="M76" t="str">
        <f>IFERROR(_xlfn.XLOOKUP($A76,'Base SKUs'!$E:$E,'Base SKUs'!G:G),"")</f>
        <v>Massaranduba Bullet Wood</v>
      </c>
      <c r="N76" t="str">
        <f>IFERROR(_xlfn.XLOOKUP($A76,'Base SKUs'!$E:$E,'Base SKUs'!H:H),"")</f>
        <v>S4S E4E</v>
      </c>
      <c r="O76" t="str">
        <f>IFERROR(_xlfn.XLOOKUP($A76,'Base SKUs'!$E:$E,'Base SKUs'!I:I),"")</f>
        <v>-</v>
      </c>
      <c r="P76" t="str">
        <f>IFERROR(_xlfn.XLOOKUP($A76,'Base SKUs'!$E:$E,'Base SKUs'!J:J),"")</f>
        <v>1x4</v>
      </c>
      <c r="Q76">
        <f>IFERROR(_xlfn.XLOOKUP($A76,'Base SKUs'!$E:$E,'Base SKUs'!K:K),"")</f>
        <v>14</v>
      </c>
      <c r="R76" s="7">
        <f>IFERROR(_xlfn.XLOOKUP($A76,'Base SKUs'!$E:$E,'Base SKUs'!S:S),"")</f>
        <v>7.226695224E-3</v>
      </c>
      <c r="S76" s="8">
        <f t="shared" si="7"/>
        <v>1.15627123584</v>
      </c>
      <c r="T76" s="7">
        <f>IFERROR(_xlfn.XLOOKUP($A76,'Base SKUs'!$E:$E,'Base SKUs'!R:R),"")</f>
        <v>1937.2619999999999</v>
      </c>
      <c r="U76" s="15">
        <f t="shared" si="8"/>
        <v>2240</v>
      </c>
      <c r="V76" t="str">
        <f t="shared" si="9"/>
        <v>Miami</v>
      </c>
    </row>
    <row r="77" spans="1:22" x14ac:dyDescent="0.2">
      <c r="A77" t="s">
        <v>168</v>
      </c>
      <c r="B77" s="5">
        <v>220</v>
      </c>
      <c r="C77" s="5">
        <v>0</v>
      </c>
      <c r="D77" s="5">
        <f t="shared" si="5"/>
        <v>220</v>
      </c>
      <c r="E77" s="6">
        <v>8.3102999999999998</v>
      </c>
      <c r="F77" s="6">
        <f t="shared" si="6"/>
        <v>1828.2659999999998</v>
      </c>
      <c r="G77" t="s">
        <v>125</v>
      </c>
      <c r="H77">
        <v>9009</v>
      </c>
      <c r="I77" t="str">
        <f>IFERROR(_xlfn.XLOOKUP($A77,'Base SKUs'!$E:$E,'Base SKUs'!A:A),"")</f>
        <v>Massaranduba</v>
      </c>
      <c r="J77" t="str">
        <f>IFERROR(_xlfn.XLOOKUP($A77,'Base SKUs'!$E:$E,'Base SKUs'!B:B),"")</f>
        <v>Massaranduba 1x4</v>
      </c>
      <c r="K77" t="str">
        <f>IFERROR(_xlfn.XLOOKUP($A77,'Base SKUs'!$E:$E,'Base SKUs'!C:C),"")</f>
        <v>Long</v>
      </c>
      <c r="L77" t="str">
        <f>IFERROR(_xlfn.XLOOKUP($A77,'Base SKUs'!$E:$E,'Base SKUs'!D:D),"")</f>
        <v>Hardwoods</v>
      </c>
      <c r="M77" t="str">
        <f>IFERROR(_xlfn.XLOOKUP($A77,'Base SKUs'!$E:$E,'Base SKUs'!G:G),"")</f>
        <v>Massaranduba Bullet Wood</v>
      </c>
      <c r="N77" t="str">
        <f>IFERROR(_xlfn.XLOOKUP($A77,'Base SKUs'!$E:$E,'Base SKUs'!H:H),"")</f>
        <v>S4S E4E</v>
      </c>
      <c r="O77" t="str">
        <f>IFERROR(_xlfn.XLOOKUP($A77,'Base SKUs'!$E:$E,'Base SKUs'!I:I),"")</f>
        <v>-</v>
      </c>
      <c r="P77" t="str">
        <f>IFERROR(_xlfn.XLOOKUP($A77,'Base SKUs'!$E:$E,'Base SKUs'!J:J),"")</f>
        <v>1x4</v>
      </c>
      <c r="Q77">
        <f>IFERROR(_xlfn.XLOOKUP($A77,'Base SKUs'!$E:$E,'Base SKUs'!K:K),"")</f>
        <v>14</v>
      </c>
      <c r="R77" s="7">
        <f>IFERROR(_xlfn.XLOOKUP($A77,'Base SKUs'!$E:$E,'Base SKUs'!S:S),"")</f>
        <v>7.226695224E-3</v>
      </c>
      <c r="S77" s="8">
        <f t="shared" si="7"/>
        <v>1.5898729492799999</v>
      </c>
      <c r="T77" s="7">
        <f>IFERROR(_xlfn.XLOOKUP($A77,'Base SKUs'!$E:$E,'Base SKUs'!R:R),"")</f>
        <v>1937.2619999999999</v>
      </c>
      <c r="U77" s="15">
        <f t="shared" si="8"/>
        <v>3080</v>
      </c>
      <c r="V77" t="str">
        <f t="shared" si="9"/>
        <v>Boston</v>
      </c>
    </row>
    <row r="78" spans="1:22" x14ac:dyDescent="0.2">
      <c r="A78" t="s">
        <v>170</v>
      </c>
      <c r="B78" s="5">
        <v>220</v>
      </c>
      <c r="C78" s="5">
        <v>0</v>
      </c>
      <c r="D78" s="5">
        <f t="shared" si="5"/>
        <v>220</v>
      </c>
      <c r="E78" s="6">
        <v>8.0520999999999994</v>
      </c>
      <c r="F78" s="6">
        <f t="shared" si="6"/>
        <v>1771.4619999999998</v>
      </c>
      <c r="G78" t="s">
        <v>17</v>
      </c>
      <c r="H78">
        <v>9007</v>
      </c>
      <c r="I78" t="str">
        <f>IFERROR(_xlfn.XLOOKUP($A78,'Base SKUs'!$E:$E,'Base SKUs'!A:A),"")</f>
        <v>Massaranduba</v>
      </c>
      <c r="J78" t="str">
        <f>IFERROR(_xlfn.XLOOKUP($A78,'Base SKUs'!$E:$E,'Base SKUs'!B:B),"")</f>
        <v>Massaranduba 1x4</v>
      </c>
      <c r="K78" t="str">
        <f>IFERROR(_xlfn.XLOOKUP($A78,'Base SKUs'!$E:$E,'Base SKUs'!C:C),"")</f>
        <v>Long</v>
      </c>
      <c r="L78" t="str">
        <f>IFERROR(_xlfn.XLOOKUP($A78,'Base SKUs'!$E:$E,'Base SKUs'!D:D),"")</f>
        <v>Hardwoods</v>
      </c>
      <c r="M78" t="str">
        <f>IFERROR(_xlfn.XLOOKUP($A78,'Base SKUs'!$E:$E,'Base SKUs'!G:G),"")</f>
        <v>Massaranduba Bullet Wood</v>
      </c>
      <c r="N78" t="str">
        <f>IFERROR(_xlfn.XLOOKUP($A78,'Base SKUs'!$E:$E,'Base SKUs'!H:H),"")</f>
        <v>S4S E4E</v>
      </c>
      <c r="O78" t="str">
        <f>IFERROR(_xlfn.XLOOKUP($A78,'Base SKUs'!$E:$E,'Base SKUs'!I:I),"")</f>
        <v>-</v>
      </c>
      <c r="P78" t="str">
        <f>IFERROR(_xlfn.XLOOKUP($A78,'Base SKUs'!$E:$E,'Base SKUs'!J:J),"")</f>
        <v>1x4</v>
      </c>
      <c r="Q78">
        <f>IFERROR(_xlfn.XLOOKUP($A78,'Base SKUs'!$E:$E,'Base SKUs'!K:K),"")</f>
        <v>15</v>
      </c>
      <c r="R78" s="7">
        <f>IFERROR(_xlfn.XLOOKUP($A78,'Base SKUs'!$E:$E,'Base SKUs'!S:S),"")</f>
        <v>7.7428877400000018E-3</v>
      </c>
      <c r="S78" s="8">
        <f t="shared" si="7"/>
        <v>1.7034353028000004</v>
      </c>
      <c r="T78" s="7">
        <f>IFERROR(_xlfn.XLOOKUP($A78,'Base SKUs'!$E:$E,'Base SKUs'!R:R),"")</f>
        <v>1937.2619999999999</v>
      </c>
      <c r="U78" s="15">
        <f t="shared" si="8"/>
        <v>3300</v>
      </c>
      <c r="V78" t="str">
        <f t="shared" si="9"/>
        <v>Miami</v>
      </c>
    </row>
    <row r="79" spans="1:22" x14ac:dyDescent="0.2">
      <c r="A79" t="s">
        <v>172</v>
      </c>
      <c r="B79" s="5">
        <v>155</v>
      </c>
      <c r="C79" s="5">
        <v>0</v>
      </c>
      <c r="D79" s="5">
        <f t="shared" si="5"/>
        <v>155</v>
      </c>
      <c r="E79" s="6">
        <v>9.1258999999999997</v>
      </c>
      <c r="F79" s="6">
        <f t="shared" si="6"/>
        <v>1414.5145</v>
      </c>
      <c r="G79" t="s">
        <v>17</v>
      </c>
      <c r="H79">
        <v>9007</v>
      </c>
      <c r="I79" t="str">
        <f>IFERROR(_xlfn.XLOOKUP($A79,'Base SKUs'!$E:$E,'Base SKUs'!A:A),"")</f>
        <v>Massaranduba</v>
      </c>
      <c r="J79" t="str">
        <f>IFERROR(_xlfn.XLOOKUP($A79,'Base SKUs'!$E:$E,'Base SKUs'!B:B),"")</f>
        <v>Massaranduba 1x4</v>
      </c>
      <c r="K79" t="str">
        <f>IFERROR(_xlfn.XLOOKUP($A79,'Base SKUs'!$E:$E,'Base SKUs'!C:C),"")</f>
        <v>Long</v>
      </c>
      <c r="L79" t="str">
        <f>IFERROR(_xlfn.XLOOKUP($A79,'Base SKUs'!$E:$E,'Base SKUs'!D:D),"")</f>
        <v>Hardwoods</v>
      </c>
      <c r="M79" t="str">
        <f>IFERROR(_xlfn.XLOOKUP($A79,'Base SKUs'!$E:$E,'Base SKUs'!G:G),"")</f>
        <v>Massaranduba Bullet Wood</v>
      </c>
      <c r="N79" t="str">
        <f>IFERROR(_xlfn.XLOOKUP($A79,'Base SKUs'!$E:$E,'Base SKUs'!H:H),"")</f>
        <v>S4S E4E</v>
      </c>
      <c r="O79" t="str">
        <f>IFERROR(_xlfn.XLOOKUP($A79,'Base SKUs'!$E:$E,'Base SKUs'!I:I),"")</f>
        <v>-</v>
      </c>
      <c r="P79" t="str">
        <f>IFERROR(_xlfn.XLOOKUP($A79,'Base SKUs'!$E:$E,'Base SKUs'!J:J),"")</f>
        <v>1x4</v>
      </c>
      <c r="Q79">
        <f>IFERROR(_xlfn.XLOOKUP($A79,'Base SKUs'!$E:$E,'Base SKUs'!K:K),"")</f>
        <v>17</v>
      </c>
      <c r="R79" s="7">
        <f>IFERROR(_xlfn.XLOOKUP($A79,'Base SKUs'!$E:$E,'Base SKUs'!S:S),"")</f>
        <v>8.7752727720000027E-3</v>
      </c>
      <c r="S79" s="8">
        <f t="shared" si="7"/>
        <v>1.3601672796600004</v>
      </c>
      <c r="T79" s="7">
        <f>IFERROR(_xlfn.XLOOKUP($A79,'Base SKUs'!$E:$E,'Base SKUs'!R:R),"")</f>
        <v>1937.2619999999999</v>
      </c>
      <c r="U79" s="15">
        <f t="shared" si="8"/>
        <v>2635</v>
      </c>
      <c r="V79" t="str">
        <f t="shared" si="9"/>
        <v>Miami</v>
      </c>
    </row>
    <row r="80" spans="1:22" x14ac:dyDescent="0.2">
      <c r="A80" t="s">
        <v>174</v>
      </c>
      <c r="B80" s="5">
        <v>138</v>
      </c>
      <c r="C80" s="5">
        <v>0</v>
      </c>
      <c r="D80" s="5">
        <f t="shared" si="5"/>
        <v>138</v>
      </c>
      <c r="E80" s="6">
        <v>10.199400000000001</v>
      </c>
      <c r="F80" s="6">
        <f t="shared" si="6"/>
        <v>1407.5172</v>
      </c>
      <c r="G80" t="s">
        <v>17</v>
      </c>
      <c r="H80">
        <v>9007</v>
      </c>
      <c r="I80" t="str">
        <f>IFERROR(_xlfn.XLOOKUP($A80,'Base SKUs'!$E:$E,'Base SKUs'!A:A),"")</f>
        <v>Massaranduba</v>
      </c>
      <c r="J80" t="str">
        <f>IFERROR(_xlfn.XLOOKUP($A80,'Base SKUs'!$E:$E,'Base SKUs'!B:B),"")</f>
        <v>Massaranduba 1x4</v>
      </c>
      <c r="K80" t="str">
        <f>IFERROR(_xlfn.XLOOKUP($A80,'Base SKUs'!$E:$E,'Base SKUs'!C:C),"")</f>
        <v>Long</v>
      </c>
      <c r="L80" t="str">
        <f>IFERROR(_xlfn.XLOOKUP($A80,'Base SKUs'!$E:$E,'Base SKUs'!D:D),"")</f>
        <v>Hardwoods</v>
      </c>
      <c r="M80" t="str">
        <f>IFERROR(_xlfn.XLOOKUP($A80,'Base SKUs'!$E:$E,'Base SKUs'!G:G),"")</f>
        <v>Massaranduba Bullet Wood</v>
      </c>
      <c r="N80" t="str">
        <f>IFERROR(_xlfn.XLOOKUP($A80,'Base SKUs'!$E:$E,'Base SKUs'!H:H),"")</f>
        <v>S4S E4E</v>
      </c>
      <c r="O80" t="str">
        <f>IFERROR(_xlfn.XLOOKUP($A80,'Base SKUs'!$E:$E,'Base SKUs'!I:I),"")</f>
        <v>-</v>
      </c>
      <c r="P80" t="str">
        <f>IFERROR(_xlfn.XLOOKUP($A80,'Base SKUs'!$E:$E,'Base SKUs'!J:J),"")</f>
        <v>1x4</v>
      </c>
      <c r="Q80">
        <f>IFERROR(_xlfn.XLOOKUP($A80,'Base SKUs'!$E:$E,'Base SKUs'!K:K),"")</f>
        <v>19</v>
      </c>
      <c r="R80" s="7">
        <f>IFERROR(_xlfn.XLOOKUP($A80,'Base SKUs'!$E:$E,'Base SKUs'!S:S),"")</f>
        <v>9.8076578040000011E-3</v>
      </c>
      <c r="S80" s="8">
        <f t="shared" si="7"/>
        <v>1.3534567769520001</v>
      </c>
      <c r="T80" s="7">
        <f>IFERROR(_xlfn.XLOOKUP($A80,'Base SKUs'!$E:$E,'Base SKUs'!R:R),"")</f>
        <v>1937.2619999999999</v>
      </c>
      <c r="U80" s="15">
        <f t="shared" si="8"/>
        <v>2622</v>
      </c>
      <c r="V80" t="str">
        <f t="shared" si="9"/>
        <v>Miami</v>
      </c>
    </row>
    <row r="81" spans="1:22" x14ac:dyDescent="0.2">
      <c r="A81" t="s">
        <v>176</v>
      </c>
      <c r="B81" s="5">
        <v>25</v>
      </c>
      <c r="C81" s="5">
        <v>0</v>
      </c>
      <c r="D81" s="5">
        <f t="shared" si="5"/>
        <v>25</v>
      </c>
      <c r="E81" s="6">
        <v>11.863099999999999</v>
      </c>
      <c r="F81" s="6">
        <f t="shared" si="6"/>
        <v>296.57749999999999</v>
      </c>
      <c r="G81" t="s">
        <v>125</v>
      </c>
      <c r="H81">
        <v>9009</v>
      </c>
      <c r="I81" t="str">
        <f>IFERROR(_xlfn.XLOOKUP($A81,'Base SKUs'!$E:$E,'Base SKUs'!A:A),"")</f>
        <v>Massaranduba</v>
      </c>
      <c r="J81" t="str">
        <f>IFERROR(_xlfn.XLOOKUP($A81,'Base SKUs'!$E:$E,'Base SKUs'!B:B),"")</f>
        <v>Massaranduba 1x4</v>
      </c>
      <c r="K81" t="str">
        <f>IFERROR(_xlfn.XLOOKUP($A81,'Base SKUs'!$E:$E,'Base SKUs'!C:C),"")</f>
        <v>Long</v>
      </c>
      <c r="L81" t="str">
        <f>IFERROR(_xlfn.XLOOKUP($A81,'Base SKUs'!$E:$E,'Base SKUs'!D:D),"")</f>
        <v>Hardwoods</v>
      </c>
      <c r="M81" t="str">
        <f>IFERROR(_xlfn.XLOOKUP($A81,'Base SKUs'!$E:$E,'Base SKUs'!G:G),"")</f>
        <v>Massaranduba Bullet Wood</v>
      </c>
      <c r="N81" t="str">
        <f>IFERROR(_xlfn.XLOOKUP($A81,'Base SKUs'!$E:$E,'Base SKUs'!H:H),"")</f>
        <v>S4S E4E</v>
      </c>
      <c r="O81" t="str">
        <f>IFERROR(_xlfn.XLOOKUP($A81,'Base SKUs'!$E:$E,'Base SKUs'!I:I),"")</f>
        <v>-</v>
      </c>
      <c r="P81" t="str">
        <f>IFERROR(_xlfn.XLOOKUP($A81,'Base SKUs'!$E:$E,'Base SKUs'!J:J),"")</f>
        <v>1x4</v>
      </c>
      <c r="Q81">
        <f>IFERROR(_xlfn.XLOOKUP($A81,'Base SKUs'!$E:$E,'Base SKUs'!K:K),"")</f>
        <v>20</v>
      </c>
      <c r="R81" s="7">
        <f>IFERROR(_xlfn.XLOOKUP($A81,'Base SKUs'!$E:$E,'Base SKUs'!S:S),"")</f>
        <v>1.0323850320000001E-2</v>
      </c>
      <c r="S81" s="8">
        <f t="shared" si="7"/>
        <v>0.25809625800000002</v>
      </c>
      <c r="T81" s="7">
        <f>IFERROR(_xlfn.XLOOKUP($A81,'Base SKUs'!$E:$E,'Base SKUs'!R:R),"")</f>
        <v>1937.2619999999999</v>
      </c>
      <c r="U81" s="15">
        <f t="shared" si="8"/>
        <v>500</v>
      </c>
      <c r="V81" t="str">
        <f t="shared" si="9"/>
        <v>Boston</v>
      </c>
    </row>
    <row r="82" spans="1:22" x14ac:dyDescent="0.2">
      <c r="A82" t="s">
        <v>178</v>
      </c>
      <c r="B82" s="5">
        <v>9</v>
      </c>
      <c r="C82" s="5">
        <v>0</v>
      </c>
      <c r="D82" s="5">
        <f t="shared" si="5"/>
        <v>9</v>
      </c>
      <c r="E82" s="6">
        <v>13.033300000000001</v>
      </c>
      <c r="F82" s="6">
        <f t="shared" si="6"/>
        <v>117.2997</v>
      </c>
      <c r="G82" t="s">
        <v>125</v>
      </c>
      <c r="H82">
        <v>9009</v>
      </c>
      <c r="I82" t="str">
        <f>IFERROR(_xlfn.XLOOKUP($A82,'Base SKUs'!$E:$E,'Base SKUs'!A:A),"")</f>
        <v>Massaranduba</v>
      </c>
      <c r="J82" t="str">
        <f>IFERROR(_xlfn.XLOOKUP($A82,'Base SKUs'!$E:$E,'Base SKUs'!B:B),"")</f>
        <v>Massaranduba 1x4</v>
      </c>
      <c r="K82" t="str">
        <f>IFERROR(_xlfn.XLOOKUP($A82,'Base SKUs'!$E:$E,'Base SKUs'!C:C),"")</f>
        <v>Long</v>
      </c>
      <c r="L82" t="str">
        <f>IFERROR(_xlfn.XLOOKUP($A82,'Base SKUs'!$E:$E,'Base SKUs'!D:D),"")</f>
        <v>Hardwoods</v>
      </c>
      <c r="M82" t="str">
        <f>IFERROR(_xlfn.XLOOKUP($A82,'Base SKUs'!$E:$E,'Base SKUs'!G:G),"")</f>
        <v>Massaranduba Bullet Wood</v>
      </c>
      <c r="N82" t="str">
        <f>IFERROR(_xlfn.XLOOKUP($A82,'Base SKUs'!$E:$E,'Base SKUs'!H:H),"")</f>
        <v>S4S E4E</v>
      </c>
      <c r="O82" t="str">
        <f>IFERROR(_xlfn.XLOOKUP($A82,'Base SKUs'!$E:$E,'Base SKUs'!I:I),"")</f>
        <v>-</v>
      </c>
      <c r="P82" t="str">
        <f>IFERROR(_xlfn.XLOOKUP($A82,'Base SKUs'!$E:$E,'Base SKUs'!J:J),"")</f>
        <v>1x4</v>
      </c>
      <c r="Q82">
        <f>IFERROR(_xlfn.XLOOKUP($A82,'Base SKUs'!$E:$E,'Base SKUs'!K:K),"")</f>
        <v>22</v>
      </c>
      <c r="R82" s="7">
        <f>IFERROR(_xlfn.XLOOKUP($A82,'Base SKUs'!$E:$E,'Base SKUs'!S:S),"")</f>
        <v>1.1356235352000001E-2</v>
      </c>
      <c r="S82" s="8">
        <f t="shared" si="7"/>
        <v>0.10220611816800002</v>
      </c>
      <c r="T82" s="7">
        <f>IFERROR(_xlfn.XLOOKUP($A82,'Base SKUs'!$E:$E,'Base SKUs'!R:R),"")</f>
        <v>1937.2619999999999</v>
      </c>
      <c r="U82" s="15">
        <f t="shared" si="8"/>
        <v>198</v>
      </c>
      <c r="V82" t="str">
        <f t="shared" si="9"/>
        <v>Boston</v>
      </c>
    </row>
    <row r="83" spans="1:22" x14ac:dyDescent="0.2">
      <c r="A83" t="s">
        <v>180</v>
      </c>
      <c r="B83" s="5">
        <v>440</v>
      </c>
      <c r="C83" s="5">
        <v>0</v>
      </c>
      <c r="D83" s="5">
        <f t="shared" si="5"/>
        <v>440</v>
      </c>
      <c r="E83" s="6">
        <v>4.2945000000000002</v>
      </c>
      <c r="F83" s="6">
        <f t="shared" si="6"/>
        <v>1889.5800000000002</v>
      </c>
      <c r="G83" t="s">
        <v>17</v>
      </c>
      <c r="H83">
        <v>9007</v>
      </c>
      <c r="I83" t="str">
        <f>IFERROR(_xlfn.XLOOKUP($A83,'Base SKUs'!$E:$E,'Base SKUs'!A:A),"")</f>
        <v>Massaranduba</v>
      </c>
      <c r="J83" t="str">
        <f>IFERROR(_xlfn.XLOOKUP($A83,'Base SKUs'!$E:$E,'Base SKUs'!B:B),"")</f>
        <v>Massaranduba 1x4</v>
      </c>
      <c r="K83" t="str">
        <f>IFERROR(_xlfn.XLOOKUP($A83,'Base SKUs'!$E:$E,'Base SKUs'!C:C),"")</f>
        <v>Long</v>
      </c>
      <c r="L83" t="str">
        <f>IFERROR(_xlfn.XLOOKUP($A83,'Base SKUs'!$E:$E,'Base SKUs'!D:D),"")</f>
        <v>Hardwoods</v>
      </c>
      <c r="M83" t="str">
        <f>IFERROR(_xlfn.XLOOKUP($A83,'Base SKUs'!$E:$E,'Base SKUs'!G:G),"")</f>
        <v>Massaranduba Bullet Wood</v>
      </c>
      <c r="N83" t="str">
        <f>IFERROR(_xlfn.XLOOKUP($A83,'Base SKUs'!$E:$E,'Base SKUs'!H:H),"")</f>
        <v>S4S E4E</v>
      </c>
      <c r="O83" t="str">
        <f>IFERROR(_xlfn.XLOOKUP($A83,'Base SKUs'!$E:$E,'Base SKUs'!I:I),"")</f>
        <v>-</v>
      </c>
      <c r="P83" t="str">
        <f>IFERROR(_xlfn.XLOOKUP($A83,'Base SKUs'!$E:$E,'Base SKUs'!J:J),"")</f>
        <v>1x4</v>
      </c>
      <c r="Q83">
        <f>IFERROR(_xlfn.XLOOKUP($A83,'Base SKUs'!$E:$E,'Base SKUs'!K:K),"")</f>
        <v>8</v>
      </c>
      <c r="R83" s="7">
        <f>IFERROR(_xlfn.XLOOKUP($A83,'Base SKUs'!$E:$E,'Base SKUs'!S:S),"")</f>
        <v>4.1295401280000005E-3</v>
      </c>
      <c r="S83" s="8">
        <f t="shared" si="7"/>
        <v>1.8169976563200003</v>
      </c>
      <c r="T83" s="7">
        <f>IFERROR(_xlfn.XLOOKUP($A83,'Base SKUs'!$E:$E,'Base SKUs'!R:R),"")</f>
        <v>1937.2619999999999</v>
      </c>
      <c r="U83" s="15">
        <f t="shared" si="8"/>
        <v>3520</v>
      </c>
      <c r="V83" t="str">
        <f t="shared" si="9"/>
        <v>Miami</v>
      </c>
    </row>
    <row r="84" spans="1:22" x14ac:dyDescent="0.2">
      <c r="A84" t="s">
        <v>180</v>
      </c>
      <c r="B84" s="5">
        <v>583</v>
      </c>
      <c r="C84" s="5">
        <v>51</v>
      </c>
      <c r="D84" s="5">
        <f t="shared" si="5"/>
        <v>532</v>
      </c>
      <c r="E84" s="6">
        <v>4.1273</v>
      </c>
      <c r="F84" s="6">
        <f t="shared" si="6"/>
        <v>2406.2159000000001</v>
      </c>
      <c r="G84" t="s">
        <v>125</v>
      </c>
      <c r="H84">
        <v>9009</v>
      </c>
      <c r="I84" t="str">
        <f>IFERROR(_xlfn.XLOOKUP($A84,'Base SKUs'!$E:$E,'Base SKUs'!A:A),"")</f>
        <v>Massaranduba</v>
      </c>
      <c r="J84" t="str">
        <f>IFERROR(_xlfn.XLOOKUP($A84,'Base SKUs'!$E:$E,'Base SKUs'!B:B),"")</f>
        <v>Massaranduba 1x4</v>
      </c>
      <c r="K84" t="str">
        <f>IFERROR(_xlfn.XLOOKUP($A84,'Base SKUs'!$E:$E,'Base SKUs'!C:C),"")</f>
        <v>Long</v>
      </c>
      <c r="L84" t="str">
        <f>IFERROR(_xlfn.XLOOKUP($A84,'Base SKUs'!$E:$E,'Base SKUs'!D:D),"")</f>
        <v>Hardwoods</v>
      </c>
      <c r="M84" t="str">
        <f>IFERROR(_xlfn.XLOOKUP($A84,'Base SKUs'!$E:$E,'Base SKUs'!G:G),"")</f>
        <v>Massaranduba Bullet Wood</v>
      </c>
      <c r="N84" t="str">
        <f>IFERROR(_xlfn.XLOOKUP($A84,'Base SKUs'!$E:$E,'Base SKUs'!H:H),"")</f>
        <v>S4S E4E</v>
      </c>
      <c r="O84" t="str">
        <f>IFERROR(_xlfn.XLOOKUP($A84,'Base SKUs'!$E:$E,'Base SKUs'!I:I),"")</f>
        <v>-</v>
      </c>
      <c r="P84" t="str">
        <f>IFERROR(_xlfn.XLOOKUP($A84,'Base SKUs'!$E:$E,'Base SKUs'!J:J),"")</f>
        <v>1x4</v>
      </c>
      <c r="Q84">
        <f>IFERROR(_xlfn.XLOOKUP($A84,'Base SKUs'!$E:$E,'Base SKUs'!K:K),"")</f>
        <v>8</v>
      </c>
      <c r="R84" s="7">
        <f>IFERROR(_xlfn.XLOOKUP($A84,'Base SKUs'!$E:$E,'Base SKUs'!S:S),"")</f>
        <v>4.1295401280000005E-3</v>
      </c>
      <c r="S84" s="8">
        <f t="shared" si="7"/>
        <v>2.1969153480960002</v>
      </c>
      <c r="T84" s="7">
        <f>IFERROR(_xlfn.XLOOKUP($A84,'Base SKUs'!$E:$E,'Base SKUs'!R:R),"")</f>
        <v>1937.2619999999999</v>
      </c>
      <c r="U84" s="15">
        <f t="shared" si="8"/>
        <v>4256</v>
      </c>
      <c r="V84" t="str">
        <f t="shared" si="9"/>
        <v>Boston</v>
      </c>
    </row>
    <row r="85" spans="1:22" x14ac:dyDescent="0.2">
      <c r="A85" t="s">
        <v>182</v>
      </c>
      <c r="B85" s="5">
        <v>969</v>
      </c>
      <c r="C85" s="5">
        <v>0</v>
      </c>
      <c r="D85" s="5">
        <f t="shared" si="5"/>
        <v>969</v>
      </c>
      <c r="E85" s="6">
        <v>4.8312999999999997</v>
      </c>
      <c r="F85" s="6">
        <f t="shared" si="6"/>
        <v>4681.5297</v>
      </c>
      <c r="G85" t="s">
        <v>17</v>
      </c>
      <c r="H85">
        <v>9007</v>
      </c>
      <c r="I85" t="str">
        <f>IFERROR(_xlfn.XLOOKUP($A85,'Base SKUs'!$E:$E,'Base SKUs'!A:A),"")</f>
        <v>Massaranduba</v>
      </c>
      <c r="J85" t="str">
        <f>IFERROR(_xlfn.XLOOKUP($A85,'Base SKUs'!$E:$E,'Base SKUs'!B:B),"")</f>
        <v>Massaranduba 1x4</v>
      </c>
      <c r="K85" t="str">
        <f>IFERROR(_xlfn.XLOOKUP($A85,'Base SKUs'!$E:$E,'Base SKUs'!C:C),"")</f>
        <v>Long</v>
      </c>
      <c r="L85" t="str">
        <f>IFERROR(_xlfn.XLOOKUP($A85,'Base SKUs'!$E:$E,'Base SKUs'!D:D),"")</f>
        <v>Hardwoods</v>
      </c>
      <c r="M85" t="str">
        <f>IFERROR(_xlfn.XLOOKUP($A85,'Base SKUs'!$E:$E,'Base SKUs'!G:G),"")</f>
        <v>Massaranduba Bullet Wood</v>
      </c>
      <c r="N85" t="str">
        <f>IFERROR(_xlfn.XLOOKUP($A85,'Base SKUs'!$E:$E,'Base SKUs'!H:H),"")</f>
        <v>S4S E4E</v>
      </c>
      <c r="O85" t="str">
        <f>IFERROR(_xlfn.XLOOKUP($A85,'Base SKUs'!$E:$E,'Base SKUs'!I:I),"")</f>
        <v>-</v>
      </c>
      <c r="P85" t="str">
        <f>IFERROR(_xlfn.XLOOKUP($A85,'Base SKUs'!$E:$E,'Base SKUs'!J:J),"")</f>
        <v>1x4</v>
      </c>
      <c r="Q85">
        <f>IFERROR(_xlfn.XLOOKUP($A85,'Base SKUs'!$E:$E,'Base SKUs'!K:K),"")</f>
        <v>9</v>
      </c>
      <c r="R85" s="7">
        <f>IFERROR(_xlfn.XLOOKUP($A85,'Base SKUs'!$E:$E,'Base SKUs'!S:S),"")</f>
        <v>4.6457326440000005E-3</v>
      </c>
      <c r="S85" s="8">
        <f t="shared" si="7"/>
        <v>4.5017149320360001</v>
      </c>
      <c r="T85" s="7">
        <f>IFERROR(_xlfn.XLOOKUP($A85,'Base SKUs'!$E:$E,'Base SKUs'!R:R),"")</f>
        <v>1937.2619999999999</v>
      </c>
      <c r="U85" s="15">
        <f t="shared" si="8"/>
        <v>8721</v>
      </c>
      <c r="V85" t="str">
        <f t="shared" si="9"/>
        <v>Miami</v>
      </c>
    </row>
    <row r="86" spans="1:22" x14ac:dyDescent="0.2">
      <c r="A86" t="s">
        <v>184</v>
      </c>
      <c r="B86" s="5">
        <v>1</v>
      </c>
      <c r="C86" s="5">
        <v>0</v>
      </c>
      <c r="D86" s="5">
        <f t="shared" si="5"/>
        <v>1</v>
      </c>
      <c r="E86" s="6">
        <v>23.4</v>
      </c>
      <c r="F86" s="6">
        <f t="shared" si="6"/>
        <v>23.4</v>
      </c>
      <c r="G86" t="s">
        <v>125</v>
      </c>
      <c r="H86">
        <v>9009</v>
      </c>
      <c r="I86" t="str">
        <f>IFERROR(_xlfn.XLOOKUP($A86,'Base SKUs'!$E:$E,'Base SKUs'!A:A),"")</f>
        <v>Massaranduba</v>
      </c>
      <c r="J86" t="str">
        <f>IFERROR(_xlfn.XLOOKUP($A86,'Base SKUs'!$E:$E,'Base SKUs'!B:B),"")</f>
        <v>Massaranduba 1x8</v>
      </c>
      <c r="K86" t="str">
        <f>IFERROR(_xlfn.XLOOKUP($A86,'Base SKUs'!$E:$E,'Base SKUs'!C:C),"")</f>
        <v>Long</v>
      </c>
      <c r="L86" t="str">
        <f>IFERROR(_xlfn.XLOOKUP($A86,'Base SKUs'!$E:$E,'Base SKUs'!D:D),"")</f>
        <v>Hardwoods</v>
      </c>
      <c r="M86" t="str">
        <f>IFERROR(_xlfn.XLOOKUP($A86,'Base SKUs'!$E:$E,'Base SKUs'!G:G),"")</f>
        <v>Massaranduba Bullet Wood</v>
      </c>
      <c r="N86" t="str">
        <f>IFERROR(_xlfn.XLOOKUP($A86,'Base SKUs'!$E:$E,'Base SKUs'!H:H),"")</f>
        <v>S4S E4E</v>
      </c>
      <c r="O86" t="str">
        <f>IFERROR(_xlfn.XLOOKUP($A86,'Base SKUs'!$E:$E,'Base SKUs'!I:I),"")</f>
        <v>-</v>
      </c>
      <c r="P86" t="str">
        <f>IFERROR(_xlfn.XLOOKUP($A86,'Base SKUs'!$E:$E,'Base SKUs'!J:J),"")</f>
        <v>1x8</v>
      </c>
      <c r="Q86">
        <f>IFERROR(_xlfn.XLOOKUP($A86,'Base SKUs'!$E:$E,'Base SKUs'!K:K),"")</f>
        <v>12</v>
      </c>
      <c r="R86" s="7">
        <f>IFERROR(_xlfn.XLOOKUP($A86,'Base SKUs'!$E:$E,'Base SKUs'!S:S),"")</f>
        <v>1.2831071112000001E-2</v>
      </c>
      <c r="S86" s="8">
        <f t="shared" si="7"/>
        <v>1.2831071112000001E-2</v>
      </c>
      <c r="T86" s="7">
        <f>IFERROR(_xlfn.XLOOKUP($A86,'Base SKUs'!$E:$E,'Base SKUs'!R:R),"")</f>
        <v>935.23</v>
      </c>
      <c r="U86" s="15">
        <f t="shared" si="8"/>
        <v>12</v>
      </c>
      <c r="V86" t="str">
        <f t="shared" si="9"/>
        <v>Boston</v>
      </c>
    </row>
    <row r="87" spans="1:22" x14ac:dyDescent="0.2">
      <c r="A87" t="s">
        <v>186</v>
      </c>
      <c r="B87" s="5">
        <v>1</v>
      </c>
      <c r="C87" s="5">
        <v>0</v>
      </c>
      <c r="D87" s="5">
        <f t="shared" si="5"/>
        <v>1</v>
      </c>
      <c r="E87" s="6">
        <v>27</v>
      </c>
      <c r="F87" s="6">
        <f t="shared" si="6"/>
        <v>27</v>
      </c>
      <c r="G87" t="s">
        <v>125</v>
      </c>
      <c r="H87">
        <v>9009</v>
      </c>
      <c r="I87" t="str">
        <f>IFERROR(_xlfn.XLOOKUP($A87,'Base SKUs'!$E:$E,'Base SKUs'!A:A),"")</f>
        <v>Massaranduba</v>
      </c>
      <c r="J87" t="str">
        <f>IFERROR(_xlfn.XLOOKUP($A87,'Base SKUs'!$E:$E,'Base SKUs'!B:B),"")</f>
        <v>Massaranduba 1x8</v>
      </c>
      <c r="K87" t="str">
        <f>IFERROR(_xlfn.XLOOKUP($A87,'Base SKUs'!$E:$E,'Base SKUs'!C:C),"")</f>
        <v>Long</v>
      </c>
      <c r="L87" t="str">
        <f>IFERROR(_xlfn.XLOOKUP($A87,'Base SKUs'!$E:$E,'Base SKUs'!D:D),"")</f>
        <v>Hardwoods</v>
      </c>
      <c r="M87" t="str">
        <f>IFERROR(_xlfn.XLOOKUP($A87,'Base SKUs'!$E:$E,'Base SKUs'!G:G),"")</f>
        <v>Massaranduba Bullet Wood</v>
      </c>
      <c r="N87" t="str">
        <f>IFERROR(_xlfn.XLOOKUP($A87,'Base SKUs'!$E:$E,'Base SKUs'!H:H),"")</f>
        <v>S4S E4E</v>
      </c>
      <c r="O87" t="str">
        <f>IFERROR(_xlfn.XLOOKUP($A87,'Base SKUs'!$E:$E,'Base SKUs'!I:I),"")</f>
        <v>-</v>
      </c>
      <c r="P87" t="str">
        <f>IFERROR(_xlfn.XLOOKUP($A87,'Base SKUs'!$E:$E,'Base SKUs'!J:J),"")</f>
        <v>1x8</v>
      </c>
      <c r="Q87">
        <f>IFERROR(_xlfn.XLOOKUP($A87,'Base SKUs'!$E:$E,'Base SKUs'!K:K),"")</f>
        <v>14</v>
      </c>
      <c r="R87" s="7">
        <f>IFERROR(_xlfn.XLOOKUP($A87,'Base SKUs'!$E:$E,'Base SKUs'!S:S),"")</f>
        <v>1.4969582964E-2</v>
      </c>
      <c r="S87" s="8">
        <f t="shared" si="7"/>
        <v>1.4969582964E-2</v>
      </c>
      <c r="T87" s="7">
        <f>IFERROR(_xlfn.XLOOKUP($A87,'Base SKUs'!$E:$E,'Base SKUs'!R:R),"")</f>
        <v>935.23</v>
      </c>
      <c r="U87" s="15">
        <f t="shared" si="8"/>
        <v>14</v>
      </c>
      <c r="V87" t="str">
        <f t="shared" si="9"/>
        <v>Boston</v>
      </c>
    </row>
    <row r="88" spans="1:22" x14ac:dyDescent="0.2">
      <c r="A88" t="s">
        <v>188</v>
      </c>
      <c r="B88" s="5">
        <v>44</v>
      </c>
      <c r="C88" s="5">
        <v>0</v>
      </c>
      <c r="D88" s="5">
        <f t="shared" si="5"/>
        <v>44</v>
      </c>
      <c r="E88" s="6">
        <v>4.2382</v>
      </c>
      <c r="F88" s="6">
        <f t="shared" si="6"/>
        <v>186.48079999999999</v>
      </c>
      <c r="G88" t="s">
        <v>125</v>
      </c>
      <c r="H88">
        <v>9009</v>
      </c>
      <c r="I88" t="str">
        <f>IFERROR(_xlfn.XLOOKUP($A88,'Base SKUs'!$E:$E,'Base SKUs'!A:A),"")</f>
        <v>Massaranduba</v>
      </c>
      <c r="J88" t="str">
        <f>IFERROR(_xlfn.XLOOKUP($A88,'Base SKUs'!$E:$E,'Base SKUs'!B:B),"")</f>
        <v>Massaranduba 2x2</v>
      </c>
      <c r="K88" t="str">
        <f>IFERROR(_xlfn.XLOOKUP($A88,'Base SKUs'!$E:$E,'Base SKUs'!C:C),"")</f>
        <v>Long</v>
      </c>
      <c r="L88" t="str">
        <f>IFERROR(_xlfn.XLOOKUP($A88,'Base SKUs'!$E:$E,'Base SKUs'!D:D),"")</f>
        <v>Hardwoods</v>
      </c>
      <c r="M88" t="str">
        <f>IFERROR(_xlfn.XLOOKUP($A88,'Base SKUs'!$E:$E,'Base SKUs'!G:G),"")</f>
        <v>Massaranduba Bullet Wood</v>
      </c>
      <c r="N88" t="str">
        <f>IFERROR(_xlfn.XLOOKUP($A88,'Base SKUs'!$E:$E,'Base SKUs'!H:H),"")</f>
        <v>S4S E4E</v>
      </c>
      <c r="O88" t="str">
        <f>IFERROR(_xlfn.XLOOKUP($A88,'Base SKUs'!$E:$E,'Base SKUs'!I:I),"")</f>
        <v>-</v>
      </c>
      <c r="P88" t="str">
        <f>IFERROR(_xlfn.XLOOKUP($A88,'Base SKUs'!$E:$E,'Base SKUs'!J:J),"")</f>
        <v>2x2</v>
      </c>
      <c r="Q88">
        <f>IFERROR(_xlfn.XLOOKUP($A88,'Base SKUs'!$E:$E,'Base SKUs'!K:K),"")</f>
        <v>8</v>
      </c>
      <c r="R88" s="7">
        <f>IFERROR(_xlfn.XLOOKUP($A88,'Base SKUs'!$E:$E,'Base SKUs'!S:S),"")</f>
        <v>3.5396058240000005E-3</v>
      </c>
      <c r="S88" s="8">
        <f t="shared" si="7"/>
        <v>0.15574265625600003</v>
      </c>
      <c r="T88" s="7">
        <f>IFERROR(_xlfn.XLOOKUP($A88,'Base SKUs'!$E:$E,'Base SKUs'!R:R),"")</f>
        <v>2260.1390000000001</v>
      </c>
      <c r="U88" s="15">
        <f t="shared" si="8"/>
        <v>352</v>
      </c>
      <c r="V88" t="str">
        <f t="shared" si="9"/>
        <v>Boston</v>
      </c>
    </row>
    <row r="89" spans="1:22" x14ac:dyDescent="0.2">
      <c r="A89" t="s">
        <v>190</v>
      </c>
      <c r="B89" s="5">
        <v>16</v>
      </c>
      <c r="C89" s="5">
        <v>0</v>
      </c>
      <c r="D89" s="5">
        <f t="shared" si="5"/>
        <v>16</v>
      </c>
      <c r="E89" s="6">
        <v>4.8</v>
      </c>
      <c r="F89" s="6">
        <f t="shared" si="6"/>
        <v>76.8</v>
      </c>
      <c r="G89" t="s">
        <v>125</v>
      </c>
      <c r="H89">
        <v>9009</v>
      </c>
      <c r="I89" t="str">
        <f>IFERROR(_xlfn.XLOOKUP($A89,'Base SKUs'!$E:$E,'Base SKUs'!A:A),"")</f>
        <v>Massaranduba</v>
      </c>
      <c r="J89" t="str">
        <f>IFERROR(_xlfn.XLOOKUP($A89,'Base SKUs'!$E:$E,'Base SKUs'!B:B),"")</f>
        <v>Massaranduba 2x2</v>
      </c>
      <c r="K89" t="str">
        <f>IFERROR(_xlfn.XLOOKUP($A89,'Base SKUs'!$E:$E,'Base SKUs'!C:C),"")</f>
        <v>Long</v>
      </c>
      <c r="L89" t="str">
        <f>IFERROR(_xlfn.XLOOKUP($A89,'Base SKUs'!$E:$E,'Base SKUs'!D:D),"")</f>
        <v>Hardwoods</v>
      </c>
      <c r="M89" t="str">
        <f>IFERROR(_xlfn.XLOOKUP($A89,'Base SKUs'!$E:$E,'Base SKUs'!G:G),"")</f>
        <v>Massaranduba Bullet Wood</v>
      </c>
      <c r="N89" t="str">
        <f>IFERROR(_xlfn.XLOOKUP($A89,'Base SKUs'!$E:$E,'Base SKUs'!H:H),"")</f>
        <v>S4S E4E</v>
      </c>
      <c r="O89" t="str">
        <f>IFERROR(_xlfn.XLOOKUP($A89,'Base SKUs'!$E:$E,'Base SKUs'!I:I),"")</f>
        <v>-</v>
      </c>
      <c r="P89" t="str">
        <f>IFERROR(_xlfn.XLOOKUP($A89,'Base SKUs'!$E:$E,'Base SKUs'!J:J),"")</f>
        <v>2x2</v>
      </c>
      <c r="Q89">
        <f>IFERROR(_xlfn.XLOOKUP($A89,'Base SKUs'!$E:$E,'Base SKUs'!K:K),"")</f>
        <v>9</v>
      </c>
      <c r="R89" s="7">
        <f>IFERROR(_xlfn.XLOOKUP($A89,'Base SKUs'!$E:$E,'Base SKUs'!S:S),"")</f>
        <v>3.9820565519999998E-3</v>
      </c>
      <c r="S89" s="8">
        <f t="shared" si="7"/>
        <v>6.3712904831999997E-2</v>
      </c>
      <c r="T89" s="7">
        <f>IFERROR(_xlfn.XLOOKUP($A89,'Base SKUs'!$E:$E,'Base SKUs'!R:R),"")</f>
        <v>2260.1390000000001</v>
      </c>
      <c r="U89" s="15">
        <f t="shared" si="8"/>
        <v>144</v>
      </c>
      <c r="V89" t="str">
        <f t="shared" si="9"/>
        <v>Boston</v>
      </c>
    </row>
    <row r="90" spans="1:22" x14ac:dyDescent="0.2">
      <c r="A90" t="s">
        <v>192</v>
      </c>
      <c r="B90" s="5">
        <v>330</v>
      </c>
      <c r="C90" s="5">
        <v>0</v>
      </c>
      <c r="D90" s="5">
        <f t="shared" si="5"/>
        <v>330</v>
      </c>
      <c r="E90" s="6">
        <v>7.4630999999999998</v>
      </c>
      <c r="F90" s="6">
        <f t="shared" si="6"/>
        <v>2462.8229999999999</v>
      </c>
      <c r="G90" t="s">
        <v>24</v>
      </c>
      <c r="H90">
        <v>9008</v>
      </c>
      <c r="I90" t="str">
        <f>IFERROR(_xlfn.XLOOKUP($A90,'Base SKUs'!$E:$E,'Base SKUs'!A:A),"")</f>
        <v>Massaranduba</v>
      </c>
      <c r="J90" t="str">
        <f>IFERROR(_xlfn.XLOOKUP($A90,'Base SKUs'!$E:$E,'Base SKUs'!B:B),"")</f>
        <v>Massaranduba 5/4x4</v>
      </c>
      <c r="K90" t="str">
        <f>IFERROR(_xlfn.XLOOKUP($A90,'Base SKUs'!$E:$E,'Base SKUs'!C:C),"")</f>
        <v>Long</v>
      </c>
      <c r="L90" t="str">
        <f>IFERROR(_xlfn.XLOOKUP($A90,'Base SKUs'!$E:$E,'Base SKUs'!D:D),"")</f>
        <v>Hardwoods</v>
      </c>
      <c r="M90" t="str">
        <f>IFERROR(_xlfn.XLOOKUP($A90,'Base SKUs'!$E:$E,'Base SKUs'!G:G),"")</f>
        <v>Massaranduba Bullet Wood</v>
      </c>
      <c r="N90" t="str">
        <f>IFERROR(_xlfn.XLOOKUP($A90,'Base SKUs'!$E:$E,'Base SKUs'!H:H),"")</f>
        <v>S4S E4E</v>
      </c>
      <c r="O90" t="str">
        <f>IFERROR(_xlfn.XLOOKUP($A90,'Base SKUs'!$E:$E,'Base SKUs'!I:I),"")</f>
        <v>-</v>
      </c>
      <c r="P90" t="str">
        <f>IFERROR(_xlfn.XLOOKUP($A90,'Base SKUs'!$E:$E,'Base SKUs'!J:J),"")</f>
        <v>5/4x4</v>
      </c>
      <c r="Q90">
        <f>IFERROR(_xlfn.XLOOKUP($A90,'Base SKUs'!$E:$E,'Base SKUs'!K:K),"")</f>
        <v>10</v>
      </c>
      <c r="R90" s="7">
        <f>IFERROR(_xlfn.XLOOKUP($A90,'Base SKUs'!$E:$E,'Base SKUs'!S:S),"")</f>
        <v>6.8825668800000014E-3</v>
      </c>
      <c r="S90" s="8">
        <f t="shared" si="7"/>
        <v>2.2712470704000003</v>
      </c>
      <c r="T90" s="7">
        <f>IFERROR(_xlfn.XLOOKUP($A90,'Base SKUs'!$E:$E,'Base SKUs'!R:R),"")</f>
        <v>1452.9459999999999</v>
      </c>
      <c r="U90" s="15">
        <f t="shared" si="8"/>
        <v>3300</v>
      </c>
      <c r="V90" t="str">
        <f t="shared" si="9"/>
        <v>Texas</v>
      </c>
    </row>
    <row r="91" spans="1:22" x14ac:dyDescent="0.2">
      <c r="A91" t="s">
        <v>194</v>
      </c>
      <c r="B91" s="5">
        <v>286</v>
      </c>
      <c r="C91" s="5">
        <v>0</v>
      </c>
      <c r="D91" s="5">
        <f t="shared" si="5"/>
        <v>286</v>
      </c>
      <c r="E91" s="6">
        <v>11.1493</v>
      </c>
      <c r="F91" s="6">
        <f t="shared" si="6"/>
        <v>3188.6997999999999</v>
      </c>
      <c r="G91" t="s">
        <v>24</v>
      </c>
      <c r="H91">
        <v>9008</v>
      </c>
      <c r="I91" t="str">
        <f>IFERROR(_xlfn.XLOOKUP($A91,'Base SKUs'!$E:$E,'Base SKUs'!A:A),"")</f>
        <v>Massaranduba</v>
      </c>
      <c r="J91" t="str">
        <f>IFERROR(_xlfn.XLOOKUP($A91,'Base SKUs'!$E:$E,'Base SKUs'!B:B),"")</f>
        <v>Massaranduba 5/4x4</v>
      </c>
      <c r="K91" t="str">
        <f>IFERROR(_xlfn.XLOOKUP($A91,'Base SKUs'!$E:$E,'Base SKUs'!C:C),"")</f>
        <v>Long</v>
      </c>
      <c r="L91" t="str">
        <f>IFERROR(_xlfn.XLOOKUP($A91,'Base SKUs'!$E:$E,'Base SKUs'!D:D),"")</f>
        <v>Hardwoods</v>
      </c>
      <c r="M91" t="str">
        <f>IFERROR(_xlfn.XLOOKUP($A91,'Base SKUs'!$E:$E,'Base SKUs'!G:G),"")</f>
        <v>Massaranduba Bullet Wood</v>
      </c>
      <c r="N91" t="str">
        <f>IFERROR(_xlfn.XLOOKUP($A91,'Base SKUs'!$E:$E,'Base SKUs'!H:H),"")</f>
        <v>S4S E4E</v>
      </c>
      <c r="O91" t="str">
        <f>IFERROR(_xlfn.XLOOKUP($A91,'Base SKUs'!$E:$E,'Base SKUs'!I:I),"")</f>
        <v>-</v>
      </c>
      <c r="P91" t="str">
        <f>IFERROR(_xlfn.XLOOKUP($A91,'Base SKUs'!$E:$E,'Base SKUs'!J:J),"")</f>
        <v>5/4x4</v>
      </c>
      <c r="Q91">
        <f>IFERROR(_xlfn.XLOOKUP($A91,'Base SKUs'!$E:$E,'Base SKUs'!K:K),"")</f>
        <v>12</v>
      </c>
      <c r="R91" s="7">
        <f>IFERROR(_xlfn.XLOOKUP($A91,'Base SKUs'!$E:$E,'Base SKUs'!S:S),"")</f>
        <v>8.259080256000001E-3</v>
      </c>
      <c r="S91" s="8">
        <f t="shared" si="7"/>
        <v>2.3620969532160001</v>
      </c>
      <c r="T91" s="7">
        <f>IFERROR(_xlfn.XLOOKUP($A91,'Base SKUs'!$E:$E,'Base SKUs'!R:R),"")</f>
        <v>1452.9459999999999</v>
      </c>
      <c r="U91" s="15">
        <f t="shared" si="8"/>
        <v>3432</v>
      </c>
      <c r="V91" t="str">
        <f t="shared" si="9"/>
        <v>Texas</v>
      </c>
    </row>
    <row r="92" spans="1:22" x14ac:dyDescent="0.2">
      <c r="A92" t="s">
        <v>196</v>
      </c>
      <c r="B92" s="5">
        <v>207</v>
      </c>
      <c r="C92" s="5">
        <v>0</v>
      </c>
      <c r="D92" s="5">
        <f t="shared" si="5"/>
        <v>207</v>
      </c>
      <c r="E92" s="6">
        <v>12.0471</v>
      </c>
      <c r="F92" s="6">
        <f t="shared" si="6"/>
        <v>2493.7497000000003</v>
      </c>
      <c r="G92" t="s">
        <v>24</v>
      </c>
      <c r="H92">
        <v>9008</v>
      </c>
      <c r="I92" t="str">
        <f>IFERROR(_xlfn.XLOOKUP($A92,'Base SKUs'!$E:$E,'Base SKUs'!A:A),"")</f>
        <v>Massaranduba</v>
      </c>
      <c r="J92" t="str">
        <f>IFERROR(_xlfn.XLOOKUP($A92,'Base SKUs'!$E:$E,'Base SKUs'!B:B),"")</f>
        <v>Massaranduba 5/4x4</v>
      </c>
      <c r="K92" t="str">
        <f>IFERROR(_xlfn.XLOOKUP($A92,'Base SKUs'!$E:$E,'Base SKUs'!C:C),"")</f>
        <v>Long</v>
      </c>
      <c r="L92" t="str">
        <f>IFERROR(_xlfn.XLOOKUP($A92,'Base SKUs'!$E:$E,'Base SKUs'!D:D),"")</f>
        <v>Hardwoods</v>
      </c>
      <c r="M92" t="str">
        <f>IFERROR(_xlfn.XLOOKUP($A92,'Base SKUs'!$E:$E,'Base SKUs'!G:G),"")</f>
        <v>Massaranduba Bullet Wood</v>
      </c>
      <c r="N92" t="str">
        <f>IFERROR(_xlfn.XLOOKUP($A92,'Base SKUs'!$E:$E,'Base SKUs'!H:H),"")</f>
        <v>S4S E4E</v>
      </c>
      <c r="O92" t="str">
        <f>IFERROR(_xlfn.XLOOKUP($A92,'Base SKUs'!$E:$E,'Base SKUs'!I:I),"")</f>
        <v>-</v>
      </c>
      <c r="P92" t="str">
        <f>IFERROR(_xlfn.XLOOKUP($A92,'Base SKUs'!$E:$E,'Base SKUs'!J:J),"")</f>
        <v>5/4x4</v>
      </c>
      <c r="Q92">
        <f>IFERROR(_xlfn.XLOOKUP($A92,'Base SKUs'!$E:$E,'Base SKUs'!K:K),"")</f>
        <v>14</v>
      </c>
      <c r="R92" s="7">
        <f>IFERROR(_xlfn.XLOOKUP($A92,'Base SKUs'!$E:$E,'Base SKUs'!S:S),"")</f>
        <v>9.6355936319999988E-3</v>
      </c>
      <c r="S92" s="8">
        <f t="shared" si="7"/>
        <v>1.9945678818239998</v>
      </c>
      <c r="T92" s="7">
        <f>IFERROR(_xlfn.XLOOKUP($A92,'Base SKUs'!$E:$E,'Base SKUs'!R:R),"")</f>
        <v>1452.9459999999999</v>
      </c>
      <c r="U92" s="15">
        <f t="shared" si="8"/>
        <v>2898</v>
      </c>
      <c r="V92" t="str">
        <f t="shared" si="9"/>
        <v>Texas</v>
      </c>
    </row>
    <row r="93" spans="1:22" x14ac:dyDescent="0.2">
      <c r="A93" t="s">
        <v>198</v>
      </c>
      <c r="B93" s="5">
        <v>122</v>
      </c>
      <c r="C93" s="5">
        <v>0</v>
      </c>
      <c r="D93" s="5">
        <f t="shared" si="5"/>
        <v>122</v>
      </c>
      <c r="E93" s="6">
        <v>14.861000000000001</v>
      </c>
      <c r="F93" s="6">
        <f t="shared" si="6"/>
        <v>1813.0420000000001</v>
      </c>
      <c r="G93" t="s">
        <v>24</v>
      </c>
      <c r="H93">
        <v>9008</v>
      </c>
      <c r="I93" t="str">
        <f>IFERROR(_xlfn.XLOOKUP($A93,'Base SKUs'!$E:$E,'Base SKUs'!A:A),"")</f>
        <v>Massaranduba</v>
      </c>
      <c r="J93" t="str">
        <f>IFERROR(_xlfn.XLOOKUP($A93,'Base SKUs'!$E:$E,'Base SKUs'!B:B),"")</f>
        <v>Massaranduba 5/4x4</v>
      </c>
      <c r="K93" t="str">
        <f>IFERROR(_xlfn.XLOOKUP($A93,'Base SKUs'!$E:$E,'Base SKUs'!C:C),"")</f>
        <v>Long</v>
      </c>
      <c r="L93" t="str">
        <f>IFERROR(_xlfn.XLOOKUP($A93,'Base SKUs'!$E:$E,'Base SKUs'!D:D),"")</f>
        <v>Hardwoods</v>
      </c>
      <c r="M93" t="str">
        <f>IFERROR(_xlfn.XLOOKUP($A93,'Base SKUs'!$E:$E,'Base SKUs'!G:G),"")</f>
        <v>Massaranduba Bullet Wood</v>
      </c>
      <c r="N93" t="str">
        <f>IFERROR(_xlfn.XLOOKUP($A93,'Base SKUs'!$E:$E,'Base SKUs'!H:H),"")</f>
        <v>S4S E4E</v>
      </c>
      <c r="O93" t="str">
        <f>IFERROR(_xlfn.XLOOKUP($A93,'Base SKUs'!$E:$E,'Base SKUs'!I:I),"")</f>
        <v>-</v>
      </c>
      <c r="P93" t="str">
        <f>IFERROR(_xlfn.XLOOKUP($A93,'Base SKUs'!$E:$E,'Base SKUs'!J:J),"")</f>
        <v>5/4x4</v>
      </c>
      <c r="Q93">
        <f>IFERROR(_xlfn.XLOOKUP($A93,'Base SKUs'!$E:$E,'Base SKUs'!K:K),"")</f>
        <v>16</v>
      </c>
      <c r="R93" s="7">
        <f>IFERROR(_xlfn.XLOOKUP($A93,'Base SKUs'!$E:$E,'Base SKUs'!S:S),"")</f>
        <v>1.1012107008E-2</v>
      </c>
      <c r="S93" s="8">
        <f t="shared" si="7"/>
        <v>1.343477054976</v>
      </c>
      <c r="T93" s="7">
        <f>IFERROR(_xlfn.XLOOKUP($A93,'Base SKUs'!$E:$E,'Base SKUs'!R:R),"")</f>
        <v>1452.9459999999999</v>
      </c>
      <c r="U93" s="15">
        <f t="shared" si="8"/>
        <v>1952</v>
      </c>
      <c r="V93" t="str">
        <f t="shared" si="9"/>
        <v>Texas</v>
      </c>
    </row>
    <row r="94" spans="1:22" x14ac:dyDescent="0.2">
      <c r="A94" t="s">
        <v>200</v>
      </c>
      <c r="B94" s="5">
        <v>41</v>
      </c>
      <c r="C94" s="5">
        <v>0</v>
      </c>
      <c r="D94" s="5">
        <f t="shared" si="5"/>
        <v>41</v>
      </c>
      <c r="E94" s="6">
        <v>15.4878</v>
      </c>
      <c r="F94" s="6">
        <f t="shared" si="6"/>
        <v>634.99980000000005</v>
      </c>
      <c r="G94" t="s">
        <v>24</v>
      </c>
      <c r="H94">
        <v>9008</v>
      </c>
      <c r="I94" t="str">
        <f>IFERROR(_xlfn.XLOOKUP($A94,'Base SKUs'!$E:$E,'Base SKUs'!A:A),"")</f>
        <v>Massaranduba</v>
      </c>
      <c r="J94" t="str">
        <f>IFERROR(_xlfn.XLOOKUP($A94,'Base SKUs'!$E:$E,'Base SKUs'!B:B),"")</f>
        <v>Massaranduba 5/4x4</v>
      </c>
      <c r="K94" t="str">
        <f>IFERROR(_xlfn.XLOOKUP($A94,'Base SKUs'!$E:$E,'Base SKUs'!C:C),"")</f>
        <v>Long</v>
      </c>
      <c r="L94" t="str">
        <f>IFERROR(_xlfn.XLOOKUP($A94,'Base SKUs'!$E:$E,'Base SKUs'!D:D),"")</f>
        <v>Hardwoods</v>
      </c>
      <c r="M94" t="str">
        <f>IFERROR(_xlfn.XLOOKUP($A94,'Base SKUs'!$E:$E,'Base SKUs'!G:G),"")</f>
        <v>Massaranduba Bullet Wood</v>
      </c>
      <c r="N94" t="str">
        <f>IFERROR(_xlfn.XLOOKUP($A94,'Base SKUs'!$E:$E,'Base SKUs'!H:H),"")</f>
        <v>S4S E4E</v>
      </c>
      <c r="O94" t="str">
        <f>IFERROR(_xlfn.XLOOKUP($A94,'Base SKUs'!$E:$E,'Base SKUs'!I:I),"")</f>
        <v>-</v>
      </c>
      <c r="P94" t="str">
        <f>IFERROR(_xlfn.XLOOKUP($A94,'Base SKUs'!$E:$E,'Base SKUs'!J:J),"")</f>
        <v>5/4x4</v>
      </c>
      <c r="Q94">
        <f>IFERROR(_xlfn.XLOOKUP($A94,'Base SKUs'!$E:$E,'Base SKUs'!K:K),"")</f>
        <v>18</v>
      </c>
      <c r="R94" s="7">
        <f>IFERROR(_xlfn.XLOOKUP($A94,'Base SKUs'!$E:$E,'Base SKUs'!S:S),"")</f>
        <v>1.2388620384E-2</v>
      </c>
      <c r="S94" s="8">
        <f t="shared" si="7"/>
        <v>0.50793343574399996</v>
      </c>
      <c r="T94" s="7">
        <f>IFERROR(_xlfn.XLOOKUP($A94,'Base SKUs'!$E:$E,'Base SKUs'!R:R),"")</f>
        <v>1452.9459999999999</v>
      </c>
      <c r="U94" s="15">
        <f t="shared" si="8"/>
        <v>738</v>
      </c>
      <c r="V94" t="str">
        <f t="shared" si="9"/>
        <v>Texas</v>
      </c>
    </row>
    <row r="95" spans="1:22" x14ac:dyDescent="0.2">
      <c r="A95" t="s">
        <v>202</v>
      </c>
      <c r="B95" s="5">
        <v>24</v>
      </c>
      <c r="C95" s="5">
        <v>0</v>
      </c>
      <c r="D95" s="5">
        <f t="shared" si="5"/>
        <v>24</v>
      </c>
      <c r="E95" s="6">
        <v>17.1875</v>
      </c>
      <c r="F95" s="6">
        <f t="shared" si="6"/>
        <v>412.5</v>
      </c>
      <c r="G95" t="s">
        <v>24</v>
      </c>
      <c r="H95">
        <v>9008</v>
      </c>
      <c r="I95" t="str">
        <f>IFERROR(_xlfn.XLOOKUP($A95,'Base SKUs'!$E:$E,'Base SKUs'!A:A),"")</f>
        <v>Massaranduba</v>
      </c>
      <c r="J95" t="str">
        <f>IFERROR(_xlfn.XLOOKUP($A95,'Base SKUs'!$E:$E,'Base SKUs'!B:B),"")</f>
        <v>Massaranduba 5/4x4</v>
      </c>
      <c r="K95" t="str">
        <f>IFERROR(_xlfn.XLOOKUP($A95,'Base SKUs'!$E:$E,'Base SKUs'!C:C),"")</f>
        <v>Long</v>
      </c>
      <c r="L95" t="str">
        <f>IFERROR(_xlfn.XLOOKUP($A95,'Base SKUs'!$E:$E,'Base SKUs'!D:D),"")</f>
        <v>Hardwoods</v>
      </c>
      <c r="M95" t="str">
        <f>IFERROR(_xlfn.XLOOKUP($A95,'Base SKUs'!$E:$E,'Base SKUs'!G:G),"")</f>
        <v>Massaranduba Bullet Wood</v>
      </c>
      <c r="N95" t="str">
        <f>IFERROR(_xlfn.XLOOKUP($A95,'Base SKUs'!$E:$E,'Base SKUs'!H:H),"")</f>
        <v>S4S E4E</v>
      </c>
      <c r="O95" t="str">
        <f>IFERROR(_xlfn.XLOOKUP($A95,'Base SKUs'!$E:$E,'Base SKUs'!I:I),"")</f>
        <v>-</v>
      </c>
      <c r="P95" t="str">
        <f>IFERROR(_xlfn.XLOOKUP($A95,'Base SKUs'!$E:$E,'Base SKUs'!J:J),"")</f>
        <v>5/4x4</v>
      </c>
      <c r="Q95">
        <f>IFERROR(_xlfn.XLOOKUP($A95,'Base SKUs'!$E:$E,'Base SKUs'!K:K),"")</f>
        <v>20</v>
      </c>
      <c r="R95" s="7">
        <f>IFERROR(_xlfn.XLOOKUP($A95,'Base SKUs'!$E:$E,'Base SKUs'!S:S),"")</f>
        <v>1.3765133760000003E-2</v>
      </c>
      <c r="S95" s="8">
        <f t="shared" si="7"/>
        <v>0.33036321024000004</v>
      </c>
      <c r="T95" s="7">
        <f>IFERROR(_xlfn.XLOOKUP($A95,'Base SKUs'!$E:$E,'Base SKUs'!R:R),"")</f>
        <v>1452.9459999999999</v>
      </c>
      <c r="U95" s="15">
        <f t="shared" si="8"/>
        <v>480</v>
      </c>
      <c r="V95" t="str">
        <f t="shared" si="9"/>
        <v>Texas</v>
      </c>
    </row>
    <row r="96" spans="1:22" x14ac:dyDescent="0.2">
      <c r="A96" t="s">
        <v>204</v>
      </c>
      <c r="B96" s="5">
        <v>7</v>
      </c>
      <c r="C96" s="5">
        <v>0</v>
      </c>
      <c r="D96" s="5">
        <f t="shared" si="5"/>
        <v>7</v>
      </c>
      <c r="E96" s="6">
        <v>18.9285</v>
      </c>
      <c r="F96" s="6">
        <f t="shared" si="6"/>
        <v>132.49950000000001</v>
      </c>
      <c r="G96" t="s">
        <v>24</v>
      </c>
      <c r="H96">
        <v>9008</v>
      </c>
      <c r="I96" t="str">
        <f>IFERROR(_xlfn.XLOOKUP($A96,'Base SKUs'!$E:$E,'Base SKUs'!A:A),"")</f>
        <v>Massaranduba</v>
      </c>
      <c r="J96" t="str">
        <f>IFERROR(_xlfn.XLOOKUP($A96,'Base SKUs'!$E:$E,'Base SKUs'!B:B),"")</f>
        <v>Massaranduba 5/4x4</v>
      </c>
      <c r="K96" t="str">
        <f>IFERROR(_xlfn.XLOOKUP($A96,'Base SKUs'!$E:$E,'Base SKUs'!C:C),"")</f>
        <v>Long</v>
      </c>
      <c r="L96" t="str">
        <f>IFERROR(_xlfn.XLOOKUP($A96,'Base SKUs'!$E:$E,'Base SKUs'!D:D),"")</f>
        <v>Hardwoods</v>
      </c>
      <c r="M96" t="str">
        <f>IFERROR(_xlfn.XLOOKUP($A96,'Base SKUs'!$E:$E,'Base SKUs'!G:G),"")</f>
        <v>Massaranduba Bullet Wood</v>
      </c>
      <c r="N96" t="str">
        <f>IFERROR(_xlfn.XLOOKUP($A96,'Base SKUs'!$E:$E,'Base SKUs'!H:H),"")</f>
        <v>S4S E4E</v>
      </c>
      <c r="O96" t="str">
        <f>IFERROR(_xlfn.XLOOKUP($A96,'Base SKUs'!$E:$E,'Base SKUs'!I:I),"")</f>
        <v>-</v>
      </c>
      <c r="P96" t="str">
        <f>IFERROR(_xlfn.XLOOKUP($A96,'Base SKUs'!$E:$E,'Base SKUs'!J:J),"")</f>
        <v>5/4x4</v>
      </c>
      <c r="Q96">
        <f>IFERROR(_xlfn.XLOOKUP($A96,'Base SKUs'!$E:$E,'Base SKUs'!K:K),"")</f>
        <v>22</v>
      </c>
      <c r="R96" s="7">
        <f>IFERROR(_xlfn.XLOOKUP($A96,'Base SKUs'!$E:$E,'Base SKUs'!S:S),"")</f>
        <v>1.5141647135999997E-2</v>
      </c>
      <c r="S96" s="8">
        <f t="shared" si="7"/>
        <v>0.10599152995199998</v>
      </c>
      <c r="T96" s="7">
        <f>IFERROR(_xlfn.XLOOKUP($A96,'Base SKUs'!$E:$E,'Base SKUs'!R:R),"")</f>
        <v>1452.9459999999999</v>
      </c>
      <c r="U96" s="15">
        <f t="shared" si="8"/>
        <v>154</v>
      </c>
      <c r="V96" t="str">
        <f t="shared" si="9"/>
        <v>Texas</v>
      </c>
    </row>
    <row r="97" spans="1:22" x14ac:dyDescent="0.2">
      <c r="A97" t="s">
        <v>206</v>
      </c>
      <c r="B97" s="5">
        <v>429</v>
      </c>
      <c r="C97" s="5">
        <v>0</v>
      </c>
      <c r="D97" s="5">
        <f t="shared" si="5"/>
        <v>429</v>
      </c>
      <c r="E97" s="6">
        <v>5.9709000000000003</v>
      </c>
      <c r="F97" s="6">
        <f t="shared" si="6"/>
        <v>2561.5161000000003</v>
      </c>
      <c r="G97" t="s">
        <v>24</v>
      </c>
      <c r="H97">
        <v>9008</v>
      </c>
      <c r="I97" t="str">
        <f>IFERROR(_xlfn.XLOOKUP($A97,'Base SKUs'!$E:$E,'Base SKUs'!A:A),"")</f>
        <v>Massaranduba</v>
      </c>
      <c r="J97" t="str">
        <f>IFERROR(_xlfn.XLOOKUP($A97,'Base SKUs'!$E:$E,'Base SKUs'!B:B),"")</f>
        <v>Massaranduba 5/4x4</v>
      </c>
      <c r="K97" t="str">
        <f>IFERROR(_xlfn.XLOOKUP($A97,'Base SKUs'!$E:$E,'Base SKUs'!C:C),"")</f>
        <v>Long</v>
      </c>
      <c r="L97" t="str">
        <f>IFERROR(_xlfn.XLOOKUP($A97,'Base SKUs'!$E:$E,'Base SKUs'!D:D),"")</f>
        <v>Hardwoods</v>
      </c>
      <c r="M97" t="str">
        <f>IFERROR(_xlfn.XLOOKUP($A97,'Base SKUs'!$E:$E,'Base SKUs'!G:G),"")</f>
        <v>Massaranduba Bullet Wood</v>
      </c>
      <c r="N97" t="str">
        <f>IFERROR(_xlfn.XLOOKUP($A97,'Base SKUs'!$E:$E,'Base SKUs'!H:H),"")</f>
        <v>S4S E4E</v>
      </c>
      <c r="O97" t="str">
        <f>IFERROR(_xlfn.XLOOKUP($A97,'Base SKUs'!$E:$E,'Base SKUs'!I:I),"")</f>
        <v>-</v>
      </c>
      <c r="P97" t="str">
        <f>IFERROR(_xlfn.XLOOKUP($A97,'Base SKUs'!$E:$E,'Base SKUs'!J:J),"")</f>
        <v>5/4x4</v>
      </c>
      <c r="Q97">
        <f>IFERROR(_xlfn.XLOOKUP($A97,'Base SKUs'!$E:$E,'Base SKUs'!K:K),"")</f>
        <v>8</v>
      </c>
      <c r="R97" s="7">
        <f>IFERROR(_xlfn.XLOOKUP($A97,'Base SKUs'!$E:$E,'Base SKUs'!S:S),"")</f>
        <v>5.5060535040000001E-3</v>
      </c>
      <c r="S97" s="8">
        <f t="shared" si="7"/>
        <v>2.3620969532160001</v>
      </c>
      <c r="T97" s="7">
        <f>IFERROR(_xlfn.XLOOKUP($A97,'Base SKUs'!$E:$E,'Base SKUs'!R:R),"")</f>
        <v>1452.9459999999999</v>
      </c>
      <c r="U97" s="15">
        <f t="shared" si="8"/>
        <v>3432</v>
      </c>
      <c r="V97" t="str">
        <f t="shared" si="9"/>
        <v>Texas</v>
      </c>
    </row>
    <row r="98" spans="1:22" x14ac:dyDescent="0.2">
      <c r="A98" t="s">
        <v>208</v>
      </c>
      <c r="B98" s="5">
        <v>12</v>
      </c>
      <c r="C98" s="5">
        <v>0</v>
      </c>
      <c r="D98" s="5">
        <f t="shared" si="5"/>
        <v>12</v>
      </c>
      <c r="E98" s="6">
        <v>21.9483</v>
      </c>
      <c r="F98" s="6">
        <f t="shared" si="6"/>
        <v>263.37959999999998</v>
      </c>
      <c r="G98" t="s">
        <v>125</v>
      </c>
      <c r="H98">
        <v>9009</v>
      </c>
      <c r="I98" t="str">
        <f>IFERROR(_xlfn.XLOOKUP($A98,'Base SKUs'!$E:$E,'Base SKUs'!A:A),"")</f>
        <v>Massaranduba</v>
      </c>
      <c r="J98" t="str">
        <f>IFERROR(_xlfn.XLOOKUP($A98,'Base SKUs'!$E:$E,'Base SKUs'!B:B),"")</f>
        <v>Massaranduba 5/4x6</v>
      </c>
      <c r="K98" t="str">
        <f>IFERROR(_xlfn.XLOOKUP($A98,'Base SKUs'!$E:$E,'Base SKUs'!C:C),"")</f>
        <v>Long</v>
      </c>
      <c r="L98" t="str">
        <f>IFERROR(_xlfn.XLOOKUP($A98,'Base SKUs'!$E:$E,'Base SKUs'!D:D),"")</f>
        <v>Hardwoods</v>
      </c>
      <c r="M98" t="str">
        <f>IFERROR(_xlfn.XLOOKUP($A98,'Base SKUs'!$E:$E,'Base SKUs'!G:G),"")</f>
        <v>Massaranduba Bullet Wood</v>
      </c>
      <c r="N98" t="str">
        <f>IFERROR(_xlfn.XLOOKUP($A98,'Base SKUs'!$E:$E,'Base SKUs'!H:H),"")</f>
        <v>S4S E4E</v>
      </c>
      <c r="O98" t="str">
        <f>IFERROR(_xlfn.XLOOKUP($A98,'Base SKUs'!$E:$E,'Base SKUs'!I:I),"")</f>
        <v>-</v>
      </c>
      <c r="P98" t="str">
        <f>IFERROR(_xlfn.XLOOKUP($A98,'Base SKUs'!$E:$E,'Base SKUs'!J:J),"")</f>
        <v>5/4x6</v>
      </c>
      <c r="Q98">
        <f>IFERROR(_xlfn.XLOOKUP($A98,'Base SKUs'!$E:$E,'Base SKUs'!K:K),"")</f>
        <v>14</v>
      </c>
      <c r="R98" s="7">
        <f>IFERROR(_xlfn.XLOOKUP($A98,'Base SKUs'!$E:$E,'Base SKUs'!S:S),"")</f>
        <v>1.5141647135999997E-2</v>
      </c>
      <c r="S98" s="8">
        <f t="shared" si="7"/>
        <v>0.18169976563199997</v>
      </c>
      <c r="T98" s="7">
        <f>IFERROR(_xlfn.XLOOKUP($A98,'Base SKUs'!$E:$E,'Base SKUs'!R:R),"")</f>
        <v>924.60199999999998</v>
      </c>
      <c r="U98" s="15">
        <f t="shared" si="8"/>
        <v>168</v>
      </c>
      <c r="V98" t="str">
        <f t="shared" si="9"/>
        <v>Boston</v>
      </c>
    </row>
    <row r="99" spans="1:22" x14ac:dyDescent="0.2">
      <c r="A99" t="s">
        <v>210</v>
      </c>
      <c r="B99" s="5">
        <v>7</v>
      </c>
      <c r="C99" s="5">
        <v>0</v>
      </c>
      <c r="D99" s="5">
        <f t="shared" si="5"/>
        <v>7</v>
      </c>
      <c r="E99" s="6">
        <v>28.23</v>
      </c>
      <c r="F99" s="6">
        <f t="shared" si="6"/>
        <v>197.61</v>
      </c>
      <c r="G99" t="s">
        <v>125</v>
      </c>
      <c r="H99">
        <v>9009</v>
      </c>
      <c r="I99" t="str">
        <f>IFERROR(_xlfn.XLOOKUP($A99,'Base SKUs'!$E:$E,'Base SKUs'!A:A),"")</f>
        <v>Massaranduba</v>
      </c>
      <c r="J99" t="str">
        <f>IFERROR(_xlfn.XLOOKUP($A99,'Base SKUs'!$E:$E,'Base SKUs'!B:B),"")</f>
        <v>Massaranduba 5/4x6</v>
      </c>
      <c r="K99" t="str">
        <f>IFERROR(_xlfn.XLOOKUP($A99,'Base SKUs'!$E:$E,'Base SKUs'!C:C),"")</f>
        <v>Long</v>
      </c>
      <c r="L99" t="str">
        <f>IFERROR(_xlfn.XLOOKUP($A99,'Base SKUs'!$E:$E,'Base SKUs'!D:D),"")</f>
        <v>Hardwoods</v>
      </c>
      <c r="M99" t="str">
        <f>IFERROR(_xlfn.XLOOKUP($A99,'Base SKUs'!$E:$E,'Base SKUs'!G:G),"")</f>
        <v>Massaranduba Bullet Wood</v>
      </c>
      <c r="N99" t="str">
        <f>IFERROR(_xlfn.XLOOKUP($A99,'Base SKUs'!$E:$E,'Base SKUs'!H:H),"")</f>
        <v>S4S E4E</v>
      </c>
      <c r="O99" t="str">
        <f>IFERROR(_xlfn.XLOOKUP($A99,'Base SKUs'!$E:$E,'Base SKUs'!I:I),"")</f>
        <v>-</v>
      </c>
      <c r="P99" t="str">
        <f>IFERROR(_xlfn.XLOOKUP($A99,'Base SKUs'!$E:$E,'Base SKUs'!J:J),"")</f>
        <v>5/4x6</v>
      </c>
      <c r="Q99">
        <f>IFERROR(_xlfn.XLOOKUP($A99,'Base SKUs'!$E:$E,'Base SKUs'!K:K),"")</f>
        <v>18</v>
      </c>
      <c r="R99" s="7">
        <f>IFERROR(_xlfn.XLOOKUP($A99,'Base SKUs'!$E:$E,'Base SKUs'!S:S),"")</f>
        <v>1.9467832031999997E-2</v>
      </c>
      <c r="S99" s="8">
        <f t="shared" si="7"/>
        <v>0.13627482422399997</v>
      </c>
      <c r="T99" s="7">
        <f>IFERROR(_xlfn.XLOOKUP($A99,'Base SKUs'!$E:$E,'Base SKUs'!R:R),"")</f>
        <v>924.60199999999998</v>
      </c>
      <c r="U99" s="15">
        <f t="shared" si="8"/>
        <v>126</v>
      </c>
      <c r="V99" t="str">
        <f t="shared" si="9"/>
        <v>Boston</v>
      </c>
    </row>
    <row r="100" spans="1:22" x14ac:dyDescent="0.2">
      <c r="A100" t="s">
        <v>212</v>
      </c>
      <c r="B100" s="5">
        <v>13</v>
      </c>
      <c r="C100" s="5">
        <v>0</v>
      </c>
      <c r="D100" s="5">
        <f t="shared" si="5"/>
        <v>13</v>
      </c>
      <c r="E100" s="6">
        <v>34.494700000000002</v>
      </c>
      <c r="F100" s="6">
        <f t="shared" si="6"/>
        <v>448.43110000000001</v>
      </c>
      <c r="G100" t="s">
        <v>125</v>
      </c>
      <c r="H100">
        <v>9009</v>
      </c>
      <c r="I100" t="str">
        <f>IFERROR(_xlfn.XLOOKUP($A100,'Base SKUs'!$E:$E,'Base SKUs'!A:A),"")</f>
        <v>Massaranduba</v>
      </c>
      <c r="J100" t="str">
        <f>IFERROR(_xlfn.XLOOKUP($A100,'Base SKUs'!$E:$E,'Base SKUs'!B:B),"")</f>
        <v>Massaranduba 5/4x6</v>
      </c>
      <c r="K100" t="str">
        <f>IFERROR(_xlfn.XLOOKUP($A100,'Base SKUs'!$E:$E,'Base SKUs'!C:C),"")</f>
        <v>Long</v>
      </c>
      <c r="L100" t="str">
        <f>IFERROR(_xlfn.XLOOKUP($A100,'Base SKUs'!$E:$E,'Base SKUs'!D:D),"")</f>
        <v>Hardwoods</v>
      </c>
      <c r="M100" t="str">
        <f>IFERROR(_xlfn.XLOOKUP($A100,'Base SKUs'!$E:$E,'Base SKUs'!G:G),"")</f>
        <v>Massaranduba Bullet Wood</v>
      </c>
      <c r="N100" t="str">
        <f>IFERROR(_xlfn.XLOOKUP($A100,'Base SKUs'!$E:$E,'Base SKUs'!H:H),"")</f>
        <v>S4S E4E</v>
      </c>
      <c r="O100" t="str">
        <f>IFERROR(_xlfn.XLOOKUP($A100,'Base SKUs'!$E:$E,'Base SKUs'!I:I),"")</f>
        <v>-</v>
      </c>
      <c r="P100" t="str">
        <f>IFERROR(_xlfn.XLOOKUP($A100,'Base SKUs'!$E:$E,'Base SKUs'!J:J),"")</f>
        <v>5/4x6</v>
      </c>
      <c r="Q100">
        <f>IFERROR(_xlfn.XLOOKUP($A100,'Base SKUs'!$E:$E,'Base SKUs'!K:K),"")</f>
        <v>22</v>
      </c>
      <c r="R100" s="7">
        <f>IFERROR(_xlfn.XLOOKUP($A100,'Base SKUs'!$E:$E,'Base SKUs'!S:S),"")</f>
        <v>2.3794016927999991E-2</v>
      </c>
      <c r="S100" s="8">
        <f t="shared" si="7"/>
        <v>0.3093222200639999</v>
      </c>
      <c r="T100" s="7">
        <f>IFERROR(_xlfn.XLOOKUP($A100,'Base SKUs'!$E:$E,'Base SKUs'!R:R),"")</f>
        <v>924.60199999999998</v>
      </c>
      <c r="U100" s="15">
        <f t="shared" si="8"/>
        <v>286</v>
      </c>
      <c r="V100" t="str">
        <f t="shared" si="9"/>
        <v>Boston</v>
      </c>
    </row>
    <row r="101" spans="1:22" x14ac:dyDescent="0.2">
      <c r="A101" t="s">
        <v>214</v>
      </c>
      <c r="B101" s="5">
        <v>5</v>
      </c>
      <c r="C101" s="5">
        <v>0</v>
      </c>
      <c r="D101" s="5">
        <f t="shared" si="5"/>
        <v>5</v>
      </c>
      <c r="E101" s="6">
        <v>272.90320000000003</v>
      </c>
      <c r="F101" s="6">
        <f t="shared" si="6"/>
        <v>1364.5160000000001</v>
      </c>
      <c r="G101" t="s">
        <v>17</v>
      </c>
      <c r="H101">
        <v>9007</v>
      </c>
      <c r="I101" t="str">
        <f>IFERROR(_xlfn.XLOOKUP($A101,'Base SKUs'!$E:$E,'Base SKUs'!A:A),"")</f>
        <v>Cumaru</v>
      </c>
      <c r="J101" t="str">
        <f>IFERROR(_xlfn.XLOOKUP($A101,'Base SKUs'!$E:$E,'Base SKUs'!B:B),"")</f>
        <v>Cumaru 3x10</v>
      </c>
      <c r="K101" t="str">
        <f>IFERROR(_xlfn.XLOOKUP($A101,'Base SKUs'!$E:$E,'Base SKUs'!C:C),"")</f>
        <v>Long</v>
      </c>
      <c r="L101" t="str">
        <f>IFERROR(_xlfn.XLOOKUP($A101,'Base SKUs'!$E:$E,'Base SKUs'!D:D),"")</f>
        <v>Hardwoods</v>
      </c>
      <c r="M101" t="str">
        <f>IFERROR(_xlfn.XLOOKUP($A101,'Base SKUs'!$E:$E,'Base SKUs'!G:G),"")</f>
        <v>Cumaru</v>
      </c>
      <c r="N101" t="str">
        <f>IFERROR(_xlfn.XLOOKUP($A101,'Base SKUs'!$E:$E,'Base SKUs'!H:H),"")</f>
        <v>S4S E4E</v>
      </c>
      <c r="O101" t="str">
        <f>IFERROR(_xlfn.XLOOKUP($A101,'Base SKUs'!$E:$E,'Base SKUs'!I:I),"")</f>
        <v>-</v>
      </c>
      <c r="P101" t="str">
        <f>IFERROR(_xlfn.XLOOKUP($A101,'Base SKUs'!$E:$E,'Base SKUs'!J:J),"")</f>
        <v>3x10</v>
      </c>
      <c r="Q101">
        <f>IFERROR(_xlfn.XLOOKUP($A101,'Base SKUs'!$E:$E,'Base SKUs'!K:K),"")</f>
        <v>20</v>
      </c>
      <c r="R101" s="7">
        <f>IFERROR(_xlfn.XLOOKUP($A101,'Base SKUs'!$E:$E,'Base SKUs'!S:S),"")</f>
        <v>9.0948205199999993E-2</v>
      </c>
      <c r="S101" s="8">
        <f t="shared" si="7"/>
        <v>0.45474102599999999</v>
      </c>
      <c r="T101" s="7">
        <f>IFERROR(_xlfn.XLOOKUP($A101,'Base SKUs'!$E:$E,'Base SKUs'!R:R),"")</f>
        <v>219.905</v>
      </c>
      <c r="U101" s="15">
        <f t="shared" si="8"/>
        <v>100</v>
      </c>
      <c r="V101" t="str">
        <f t="shared" si="9"/>
        <v>Miami</v>
      </c>
    </row>
    <row r="102" spans="1:22" x14ac:dyDescent="0.2">
      <c r="A102" t="s">
        <v>216</v>
      </c>
      <c r="B102" s="5">
        <v>3</v>
      </c>
      <c r="C102" s="5">
        <v>0</v>
      </c>
      <c r="D102" s="5">
        <f t="shared" si="5"/>
        <v>3</v>
      </c>
      <c r="E102" s="6">
        <v>109.16119999999999</v>
      </c>
      <c r="F102" s="6">
        <f t="shared" si="6"/>
        <v>327.48359999999997</v>
      </c>
      <c r="G102" t="s">
        <v>17</v>
      </c>
      <c r="H102">
        <v>9007</v>
      </c>
      <c r="I102" t="str">
        <f>IFERROR(_xlfn.XLOOKUP($A102,'Base SKUs'!$E:$E,'Base SKUs'!A:A),"")</f>
        <v>Cumaru</v>
      </c>
      <c r="J102" t="str">
        <f>IFERROR(_xlfn.XLOOKUP($A102,'Base SKUs'!$E:$E,'Base SKUs'!B:B),"")</f>
        <v>Cumaru 3x10</v>
      </c>
      <c r="K102" t="str">
        <f>IFERROR(_xlfn.XLOOKUP($A102,'Base SKUs'!$E:$E,'Base SKUs'!C:C),"")</f>
        <v>Long</v>
      </c>
      <c r="L102" t="str">
        <f>IFERROR(_xlfn.XLOOKUP($A102,'Base SKUs'!$E:$E,'Base SKUs'!D:D),"")</f>
        <v>Hardwoods</v>
      </c>
      <c r="M102" t="str">
        <f>IFERROR(_xlfn.XLOOKUP($A102,'Base SKUs'!$E:$E,'Base SKUs'!G:G),"")</f>
        <v>Cumaru</v>
      </c>
      <c r="N102" t="str">
        <f>IFERROR(_xlfn.XLOOKUP($A102,'Base SKUs'!$E:$E,'Base SKUs'!H:H),"")</f>
        <v>S4S E4E</v>
      </c>
      <c r="O102" t="str">
        <f>IFERROR(_xlfn.XLOOKUP($A102,'Base SKUs'!$E:$E,'Base SKUs'!I:I),"")</f>
        <v>-</v>
      </c>
      <c r="P102" t="str">
        <f>IFERROR(_xlfn.XLOOKUP($A102,'Base SKUs'!$E:$E,'Base SKUs'!J:J),"")</f>
        <v>3x10</v>
      </c>
      <c r="Q102">
        <f>IFERROR(_xlfn.XLOOKUP($A102,'Base SKUs'!$E:$E,'Base SKUs'!K:K),"")</f>
        <v>8</v>
      </c>
      <c r="R102" s="7">
        <f>IFERROR(_xlfn.XLOOKUP($A102,'Base SKUs'!$E:$E,'Base SKUs'!S:S),"")</f>
        <v>3.6379282080000006E-2</v>
      </c>
      <c r="S102" s="8">
        <f t="shared" si="7"/>
        <v>0.10913784624000002</v>
      </c>
      <c r="T102" s="7">
        <f>IFERROR(_xlfn.XLOOKUP($A102,'Base SKUs'!$E:$E,'Base SKUs'!R:R),"")</f>
        <v>219.905</v>
      </c>
      <c r="U102" s="15">
        <f t="shared" si="8"/>
        <v>24</v>
      </c>
      <c r="V102" t="str">
        <f t="shared" si="9"/>
        <v>Miami</v>
      </c>
    </row>
    <row r="103" spans="1:22" x14ac:dyDescent="0.2">
      <c r="A103" t="s">
        <v>218</v>
      </c>
      <c r="B103" s="5">
        <v>48</v>
      </c>
      <c r="C103" s="5">
        <v>0</v>
      </c>
      <c r="D103" s="5">
        <f t="shared" si="5"/>
        <v>48</v>
      </c>
      <c r="E103" s="6">
        <v>168.10499999999999</v>
      </c>
      <c r="F103" s="6">
        <f t="shared" si="6"/>
        <v>8069.0399999999991</v>
      </c>
      <c r="G103" t="s">
        <v>17</v>
      </c>
      <c r="H103">
        <v>9007</v>
      </c>
      <c r="I103" t="str">
        <f>IFERROR(_xlfn.XLOOKUP($A103,'Base SKUs'!$E:$E,'Base SKUs'!A:A),"")</f>
        <v>Cumaru</v>
      </c>
      <c r="J103" t="str">
        <f>IFERROR(_xlfn.XLOOKUP($A103,'Base SKUs'!$E:$E,'Base SKUs'!B:B),"")</f>
        <v>Cumaru 3x12</v>
      </c>
      <c r="K103" t="str">
        <f>IFERROR(_xlfn.XLOOKUP($A103,'Base SKUs'!$E:$E,'Base SKUs'!C:C),"")</f>
        <v>Long</v>
      </c>
      <c r="L103" t="str">
        <f>IFERROR(_xlfn.XLOOKUP($A103,'Base SKUs'!$E:$E,'Base SKUs'!D:D),"")</f>
        <v>Hardwoods</v>
      </c>
      <c r="M103" t="str">
        <f>IFERROR(_xlfn.XLOOKUP($A103,'Base SKUs'!$E:$E,'Base SKUs'!G:G),"")</f>
        <v>Cumaru</v>
      </c>
      <c r="N103" t="str">
        <f>IFERROR(_xlfn.XLOOKUP($A103,'Base SKUs'!$E:$E,'Base SKUs'!H:H),"")</f>
        <v>S4S E4E</v>
      </c>
      <c r="O103" t="str">
        <f>IFERROR(_xlfn.XLOOKUP($A103,'Base SKUs'!$E:$E,'Base SKUs'!I:I),"")</f>
        <v>-</v>
      </c>
      <c r="P103" t="str">
        <f>IFERROR(_xlfn.XLOOKUP($A103,'Base SKUs'!$E:$E,'Base SKUs'!J:J),"")</f>
        <v>3x12</v>
      </c>
      <c r="Q103">
        <f>IFERROR(_xlfn.XLOOKUP($A103,'Base SKUs'!$E:$E,'Base SKUs'!K:K),"")</f>
        <v>16</v>
      </c>
      <c r="R103" s="7">
        <f>IFERROR(_xlfn.XLOOKUP($A103,'Base SKUs'!$E:$E,'Base SKUs'!S:S),"")</f>
        <v>8.84901456E-2</v>
      </c>
      <c r="S103" s="8">
        <f t="shared" si="7"/>
        <v>4.2475269887999998</v>
      </c>
      <c r="T103" s="7">
        <f>IFERROR(_xlfn.XLOOKUP($A103,'Base SKUs'!$E:$E,'Base SKUs'!R:R),"")</f>
        <v>180.81100000000001</v>
      </c>
      <c r="U103" s="15">
        <f t="shared" si="8"/>
        <v>768</v>
      </c>
      <c r="V103" t="str">
        <f t="shared" si="9"/>
        <v>Miami</v>
      </c>
    </row>
    <row r="104" spans="1:22" x14ac:dyDescent="0.2">
      <c r="A104" t="s">
        <v>220</v>
      </c>
      <c r="B104" s="5">
        <v>8</v>
      </c>
      <c r="C104" s="5">
        <v>0</v>
      </c>
      <c r="D104" s="5">
        <f t="shared" si="5"/>
        <v>8</v>
      </c>
      <c r="E104" s="6">
        <v>71.911699999999996</v>
      </c>
      <c r="F104" s="6">
        <f t="shared" si="6"/>
        <v>575.29359999999997</v>
      </c>
      <c r="G104" t="s">
        <v>17</v>
      </c>
      <c r="H104">
        <v>9007</v>
      </c>
      <c r="I104" t="str">
        <f>IFERROR(_xlfn.XLOOKUP($A104,'Base SKUs'!$E:$E,'Base SKUs'!A:A),"")</f>
        <v>Cumaru</v>
      </c>
      <c r="J104" t="str">
        <f>IFERROR(_xlfn.XLOOKUP($A104,'Base SKUs'!$E:$E,'Base SKUs'!B:B),"")</f>
        <v>Cumaru 3x6</v>
      </c>
      <c r="K104" t="str">
        <f>IFERROR(_xlfn.XLOOKUP($A104,'Base SKUs'!$E:$E,'Base SKUs'!C:C),"")</f>
        <v>Long</v>
      </c>
      <c r="L104" t="str">
        <f>IFERROR(_xlfn.XLOOKUP($A104,'Base SKUs'!$E:$E,'Base SKUs'!D:D),"")</f>
        <v>Hardwoods</v>
      </c>
      <c r="M104" t="str">
        <f>IFERROR(_xlfn.XLOOKUP($A104,'Base SKUs'!$E:$E,'Base SKUs'!G:G),"")</f>
        <v>Cumaru</v>
      </c>
      <c r="N104" t="str">
        <f>IFERROR(_xlfn.XLOOKUP($A104,'Base SKUs'!$E:$E,'Base SKUs'!H:H),"")</f>
        <v>S4S E4E</v>
      </c>
      <c r="O104" t="str">
        <f>IFERROR(_xlfn.XLOOKUP($A104,'Base SKUs'!$E:$E,'Base SKUs'!I:I),"")</f>
        <v>-</v>
      </c>
      <c r="P104" t="str">
        <f>IFERROR(_xlfn.XLOOKUP($A104,'Base SKUs'!$E:$E,'Base SKUs'!J:J),"")</f>
        <v>3x6</v>
      </c>
      <c r="Q104">
        <f>IFERROR(_xlfn.XLOOKUP($A104,'Base SKUs'!$E:$E,'Base SKUs'!K:K),"")</f>
        <v>14</v>
      </c>
      <c r="R104" s="7">
        <f>IFERROR(_xlfn.XLOOKUP($A104,'Base SKUs'!$E:$E,'Base SKUs'!S:S),"")</f>
        <v>3.7854117839999993E-2</v>
      </c>
      <c r="S104" s="8">
        <f t="shared" si="7"/>
        <v>0.30283294271999994</v>
      </c>
      <c r="T104" s="7">
        <f>IFERROR(_xlfn.XLOOKUP($A104,'Base SKUs'!$E:$E,'Base SKUs'!R:R),"")</f>
        <v>369.84100000000001</v>
      </c>
      <c r="U104" s="15">
        <f t="shared" si="8"/>
        <v>112</v>
      </c>
      <c r="V104" t="str">
        <f t="shared" si="9"/>
        <v>Miami</v>
      </c>
    </row>
    <row r="105" spans="1:22" x14ac:dyDescent="0.2">
      <c r="A105" t="s">
        <v>222</v>
      </c>
      <c r="B105" s="5">
        <v>17</v>
      </c>
      <c r="C105" s="5">
        <v>0</v>
      </c>
      <c r="D105" s="5">
        <f t="shared" si="5"/>
        <v>17</v>
      </c>
      <c r="E105" s="6">
        <v>82.184799999999996</v>
      </c>
      <c r="F105" s="6">
        <f t="shared" si="6"/>
        <v>1397.1415999999999</v>
      </c>
      <c r="G105" t="s">
        <v>17</v>
      </c>
      <c r="H105">
        <v>9007</v>
      </c>
      <c r="I105" t="str">
        <f>IFERROR(_xlfn.XLOOKUP($A105,'Base SKUs'!$E:$E,'Base SKUs'!A:A),"")</f>
        <v>Cumaru</v>
      </c>
      <c r="J105" t="str">
        <f>IFERROR(_xlfn.XLOOKUP($A105,'Base SKUs'!$E:$E,'Base SKUs'!B:B),"")</f>
        <v>Cumaru 3x6</v>
      </c>
      <c r="K105" t="str">
        <f>IFERROR(_xlfn.XLOOKUP($A105,'Base SKUs'!$E:$E,'Base SKUs'!C:C),"")</f>
        <v>Long</v>
      </c>
      <c r="L105" t="str">
        <f>IFERROR(_xlfn.XLOOKUP($A105,'Base SKUs'!$E:$E,'Base SKUs'!D:D),"")</f>
        <v>Hardwoods</v>
      </c>
      <c r="M105" t="str">
        <f>IFERROR(_xlfn.XLOOKUP($A105,'Base SKUs'!$E:$E,'Base SKUs'!G:G),"")</f>
        <v>Cumaru</v>
      </c>
      <c r="N105" t="str">
        <f>IFERROR(_xlfn.XLOOKUP($A105,'Base SKUs'!$E:$E,'Base SKUs'!H:H),"")</f>
        <v>S4S E4E</v>
      </c>
      <c r="O105" t="str">
        <f>IFERROR(_xlfn.XLOOKUP($A105,'Base SKUs'!$E:$E,'Base SKUs'!I:I),"")</f>
        <v>-</v>
      </c>
      <c r="P105" t="str">
        <f>IFERROR(_xlfn.XLOOKUP($A105,'Base SKUs'!$E:$E,'Base SKUs'!J:J),"")</f>
        <v>3x6</v>
      </c>
      <c r="Q105">
        <f>IFERROR(_xlfn.XLOOKUP($A105,'Base SKUs'!$E:$E,'Base SKUs'!K:K),"")</f>
        <v>16</v>
      </c>
      <c r="R105" s="7">
        <f>IFERROR(_xlfn.XLOOKUP($A105,'Base SKUs'!$E:$E,'Base SKUs'!S:S),"")</f>
        <v>4.3261848960000002E-2</v>
      </c>
      <c r="S105" s="8">
        <f t="shared" si="7"/>
        <v>0.73545143231999999</v>
      </c>
      <c r="T105" s="7">
        <f>IFERROR(_xlfn.XLOOKUP($A105,'Base SKUs'!$E:$E,'Base SKUs'!R:R),"")</f>
        <v>369.84100000000001</v>
      </c>
      <c r="U105" s="15">
        <f t="shared" si="8"/>
        <v>272</v>
      </c>
      <c r="V105" t="str">
        <f t="shared" si="9"/>
        <v>Miami</v>
      </c>
    </row>
    <row r="106" spans="1:22" x14ac:dyDescent="0.2">
      <c r="A106" t="s">
        <v>224</v>
      </c>
      <c r="B106" s="5">
        <v>9</v>
      </c>
      <c r="C106" s="5">
        <v>0</v>
      </c>
      <c r="D106" s="5">
        <f t="shared" si="5"/>
        <v>9</v>
      </c>
      <c r="E106" s="6">
        <v>126.0787</v>
      </c>
      <c r="F106" s="6">
        <f t="shared" si="6"/>
        <v>1134.7083</v>
      </c>
      <c r="G106" t="s">
        <v>17</v>
      </c>
      <c r="H106">
        <v>9007</v>
      </c>
      <c r="I106" t="str">
        <f>IFERROR(_xlfn.XLOOKUP($A106,'Base SKUs'!$E:$E,'Base SKUs'!A:A),"")</f>
        <v>Cumaru</v>
      </c>
      <c r="J106" t="str">
        <f>IFERROR(_xlfn.XLOOKUP($A106,'Base SKUs'!$E:$E,'Base SKUs'!B:B),"")</f>
        <v>Cumaru 3x8</v>
      </c>
      <c r="K106" t="str">
        <f>IFERROR(_xlfn.XLOOKUP($A106,'Base SKUs'!$E:$E,'Base SKUs'!C:C),"")</f>
        <v>Long</v>
      </c>
      <c r="L106" t="str">
        <f>IFERROR(_xlfn.XLOOKUP($A106,'Base SKUs'!$E:$E,'Base SKUs'!D:D),"")</f>
        <v>Hardwoods</v>
      </c>
      <c r="M106" t="str">
        <f>IFERROR(_xlfn.XLOOKUP($A106,'Base SKUs'!$E:$E,'Base SKUs'!G:G),"")</f>
        <v>Cumaru</v>
      </c>
      <c r="N106" t="str">
        <f>IFERROR(_xlfn.XLOOKUP($A106,'Base SKUs'!$E:$E,'Base SKUs'!H:H),"")</f>
        <v>S4S E4E</v>
      </c>
      <c r="O106" t="str">
        <f>IFERROR(_xlfn.XLOOKUP($A106,'Base SKUs'!$E:$E,'Base SKUs'!I:I),"")</f>
        <v>-</v>
      </c>
      <c r="P106" t="str">
        <f>IFERROR(_xlfn.XLOOKUP($A106,'Base SKUs'!$E:$E,'Base SKUs'!J:J),"")</f>
        <v>3x8</v>
      </c>
      <c r="Q106">
        <f>IFERROR(_xlfn.XLOOKUP($A106,'Base SKUs'!$E:$E,'Base SKUs'!K:K),"")</f>
        <v>12</v>
      </c>
      <c r="R106" s="7">
        <f>IFERROR(_xlfn.XLOOKUP($A106,'Base SKUs'!$E:$E,'Base SKUs'!S:S),"")</f>
        <v>4.2770237040000006E-2</v>
      </c>
      <c r="S106" s="8">
        <f t="shared" si="7"/>
        <v>0.38493213336000004</v>
      </c>
      <c r="T106" s="7">
        <f>IFERROR(_xlfn.XLOOKUP($A106,'Base SKUs'!$E:$E,'Base SKUs'!R:R),"")</f>
        <v>280.56900000000002</v>
      </c>
      <c r="U106" s="15">
        <f t="shared" si="8"/>
        <v>108</v>
      </c>
      <c r="V106" t="str">
        <f t="shared" si="9"/>
        <v>Miami</v>
      </c>
    </row>
    <row r="107" spans="1:22" x14ac:dyDescent="0.2">
      <c r="A107" t="s">
        <v>226</v>
      </c>
      <c r="B107" s="5">
        <v>7</v>
      </c>
      <c r="C107" s="5">
        <v>0</v>
      </c>
      <c r="D107" s="5">
        <f t="shared" si="5"/>
        <v>7</v>
      </c>
      <c r="E107" s="6">
        <v>112.68640000000001</v>
      </c>
      <c r="F107" s="6">
        <f t="shared" si="6"/>
        <v>788.8048</v>
      </c>
      <c r="G107" t="s">
        <v>17</v>
      </c>
      <c r="H107">
        <v>9007</v>
      </c>
      <c r="I107" t="str">
        <f>IFERROR(_xlfn.XLOOKUP($A107,'Base SKUs'!$E:$E,'Base SKUs'!A:A),"")</f>
        <v>Cumaru</v>
      </c>
      <c r="J107" t="str">
        <f>IFERROR(_xlfn.XLOOKUP($A107,'Base SKUs'!$E:$E,'Base SKUs'!B:B),"")</f>
        <v>Cumaru 3x8</v>
      </c>
      <c r="K107" t="str">
        <f>IFERROR(_xlfn.XLOOKUP($A107,'Base SKUs'!$E:$E,'Base SKUs'!C:C),"")</f>
        <v>Long</v>
      </c>
      <c r="L107" t="str">
        <f>IFERROR(_xlfn.XLOOKUP($A107,'Base SKUs'!$E:$E,'Base SKUs'!D:D),"")</f>
        <v>Hardwoods</v>
      </c>
      <c r="M107" t="str">
        <f>IFERROR(_xlfn.XLOOKUP($A107,'Base SKUs'!$E:$E,'Base SKUs'!G:G),"")</f>
        <v>Cumaru</v>
      </c>
      <c r="N107" t="str">
        <f>IFERROR(_xlfn.XLOOKUP($A107,'Base SKUs'!$E:$E,'Base SKUs'!H:H),"")</f>
        <v>S4S E4E</v>
      </c>
      <c r="O107" t="str">
        <f>IFERROR(_xlfn.XLOOKUP($A107,'Base SKUs'!$E:$E,'Base SKUs'!I:I),"")</f>
        <v>-</v>
      </c>
      <c r="P107" t="str">
        <f>IFERROR(_xlfn.XLOOKUP($A107,'Base SKUs'!$E:$E,'Base SKUs'!J:J),"")</f>
        <v>3x8</v>
      </c>
      <c r="Q107">
        <f>IFERROR(_xlfn.XLOOKUP($A107,'Base SKUs'!$E:$E,'Base SKUs'!K:K),"")</f>
        <v>14</v>
      </c>
      <c r="R107" s="7">
        <f>IFERROR(_xlfn.XLOOKUP($A107,'Base SKUs'!$E:$E,'Base SKUs'!S:S),"")</f>
        <v>4.9898609879999993E-2</v>
      </c>
      <c r="S107" s="8">
        <f t="shared" si="7"/>
        <v>0.34929026915999994</v>
      </c>
      <c r="T107" s="7">
        <f>IFERROR(_xlfn.XLOOKUP($A107,'Base SKUs'!$E:$E,'Base SKUs'!R:R),"")</f>
        <v>280.56900000000002</v>
      </c>
      <c r="U107" s="15">
        <f t="shared" si="8"/>
        <v>98</v>
      </c>
      <c r="V107" t="str">
        <f t="shared" si="9"/>
        <v>Miami</v>
      </c>
    </row>
    <row r="108" spans="1:22" x14ac:dyDescent="0.2">
      <c r="A108" t="s">
        <v>228</v>
      </c>
      <c r="B108" s="5">
        <v>2</v>
      </c>
      <c r="C108" s="5">
        <v>0</v>
      </c>
      <c r="D108" s="5">
        <f t="shared" si="5"/>
        <v>2</v>
      </c>
      <c r="E108" s="6">
        <v>128.78440000000001</v>
      </c>
      <c r="F108" s="6">
        <f t="shared" si="6"/>
        <v>257.56880000000001</v>
      </c>
      <c r="G108" t="s">
        <v>17</v>
      </c>
      <c r="H108">
        <v>9007</v>
      </c>
      <c r="I108" t="str">
        <f>IFERROR(_xlfn.XLOOKUP($A108,'Base SKUs'!$E:$E,'Base SKUs'!A:A),"")</f>
        <v>Cumaru</v>
      </c>
      <c r="J108" t="str">
        <f>IFERROR(_xlfn.XLOOKUP($A108,'Base SKUs'!$E:$E,'Base SKUs'!B:B),"")</f>
        <v>Cumaru 3x8</v>
      </c>
      <c r="K108" t="str">
        <f>IFERROR(_xlfn.XLOOKUP($A108,'Base SKUs'!$E:$E,'Base SKUs'!C:C),"")</f>
        <v>Long</v>
      </c>
      <c r="L108" t="str">
        <f>IFERROR(_xlfn.XLOOKUP($A108,'Base SKUs'!$E:$E,'Base SKUs'!D:D),"")</f>
        <v>Hardwoods</v>
      </c>
      <c r="M108" t="str">
        <f>IFERROR(_xlfn.XLOOKUP($A108,'Base SKUs'!$E:$E,'Base SKUs'!G:G),"")</f>
        <v>Cumaru</v>
      </c>
      <c r="N108" t="str">
        <f>IFERROR(_xlfn.XLOOKUP($A108,'Base SKUs'!$E:$E,'Base SKUs'!H:H),"")</f>
        <v>S4S E4E</v>
      </c>
      <c r="O108" t="str">
        <f>IFERROR(_xlfn.XLOOKUP($A108,'Base SKUs'!$E:$E,'Base SKUs'!I:I),"")</f>
        <v>-</v>
      </c>
      <c r="P108" t="str">
        <f>IFERROR(_xlfn.XLOOKUP($A108,'Base SKUs'!$E:$E,'Base SKUs'!J:J),"")</f>
        <v>3x8</v>
      </c>
      <c r="Q108">
        <f>IFERROR(_xlfn.XLOOKUP($A108,'Base SKUs'!$E:$E,'Base SKUs'!K:K),"")</f>
        <v>16</v>
      </c>
      <c r="R108" s="7">
        <f>IFERROR(_xlfn.XLOOKUP($A108,'Base SKUs'!$E:$E,'Base SKUs'!S:S),"")</f>
        <v>5.7026982720000008E-2</v>
      </c>
      <c r="S108" s="8">
        <f t="shared" si="7"/>
        <v>0.11405396544000002</v>
      </c>
      <c r="T108" s="7">
        <f>IFERROR(_xlfn.XLOOKUP($A108,'Base SKUs'!$E:$E,'Base SKUs'!R:R),"")</f>
        <v>280.56900000000002</v>
      </c>
      <c r="U108" s="15">
        <f t="shared" si="8"/>
        <v>32</v>
      </c>
      <c r="V108" t="str">
        <f t="shared" si="9"/>
        <v>Miami</v>
      </c>
    </row>
    <row r="109" spans="1:22" x14ac:dyDescent="0.2">
      <c r="A109" t="s">
        <v>230</v>
      </c>
      <c r="B109" s="5">
        <v>2</v>
      </c>
      <c r="C109" s="5">
        <v>0</v>
      </c>
      <c r="D109" s="5">
        <f t="shared" si="5"/>
        <v>2</v>
      </c>
      <c r="E109" s="6">
        <v>160.98050000000001</v>
      </c>
      <c r="F109" s="6">
        <f t="shared" si="6"/>
        <v>321.96100000000001</v>
      </c>
      <c r="G109" t="s">
        <v>17</v>
      </c>
      <c r="H109">
        <v>9007</v>
      </c>
      <c r="I109" t="str">
        <f>IFERROR(_xlfn.XLOOKUP($A109,'Base SKUs'!$E:$E,'Base SKUs'!A:A),"")</f>
        <v>Cumaru</v>
      </c>
      <c r="J109" t="str">
        <f>IFERROR(_xlfn.XLOOKUP($A109,'Base SKUs'!$E:$E,'Base SKUs'!B:B),"")</f>
        <v>Cumaru 3x8</v>
      </c>
      <c r="K109" t="str">
        <f>IFERROR(_xlfn.XLOOKUP($A109,'Base SKUs'!$E:$E,'Base SKUs'!C:C),"")</f>
        <v>Long</v>
      </c>
      <c r="L109" t="str">
        <f>IFERROR(_xlfn.XLOOKUP($A109,'Base SKUs'!$E:$E,'Base SKUs'!D:D),"")</f>
        <v>Hardwoods</v>
      </c>
      <c r="M109" t="str">
        <f>IFERROR(_xlfn.XLOOKUP($A109,'Base SKUs'!$E:$E,'Base SKUs'!G:G),"")</f>
        <v>Cumaru</v>
      </c>
      <c r="N109" t="str">
        <f>IFERROR(_xlfn.XLOOKUP($A109,'Base SKUs'!$E:$E,'Base SKUs'!H:H),"")</f>
        <v>S4S E4E</v>
      </c>
      <c r="O109" t="str">
        <f>IFERROR(_xlfn.XLOOKUP($A109,'Base SKUs'!$E:$E,'Base SKUs'!I:I),"")</f>
        <v>-</v>
      </c>
      <c r="P109" t="str">
        <f>IFERROR(_xlfn.XLOOKUP($A109,'Base SKUs'!$E:$E,'Base SKUs'!J:J),"")</f>
        <v>3x8</v>
      </c>
      <c r="Q109">
        <f>IFERROR(_xlfn.XLOOKUP($A109,'Base SKUs'!$E:$E,'Base SKUs'!K:K),"")</f>
        <v>20</v>
      </c>
      <c r="R109" s="7">
        <f>IFERROR(_xlfn.XLOOKUP($A109,'Base SKUs'!$E:$E,'Base SKUs'!S:S),"")</f>
        <v>7.1283728399999996E-2</v>
      </c>
      <c r="S109" s="8">
        <f t="shared" si="7"/>
        <v>0.14256745679999999</v>
      </c>
      <c r="T109" s="7">
        <f>IFERROR(_xlfn.XLOOKUP($A109,'Base SKUs'!$E:$E,'Base SKUs'!R:R),"")</f>
        <v>280.56900000000002</v>
      </c>
      <c r="U109" s="15">
        <f t="shared" si="8"/>
        <v>40</v>
      </c>
      <c r="V109" t="str">
        <f t="shared" si="9"/>
        <v>Miami</v>
      </c>
    </row>
    <row r="110" spans="1:22" x14ac:dyDescent="0.2">
      <c r="A110" t="s">
        <v>232</v>
      </c>
      <c r="B110" s="5">
        <v>1</v>
      </c>
      <c r="C110" s="5">
        <v>0</v>
      </c>
      <c r="D110" s="5">
        <f t="shared" si="5"/>
        <v>1</v>
      </c>
      <c r="E110" s="6">
        <v>64.392200000000003</v>
      </c>
      <c r="F110" s="6">
        <f t="shared" si="6"/>
        <v>64.392200000000003</v>
      </c>
      <c r="G110" t="s">
        <v>17</v>
      </c>
      <c r="H110">
        <v>9007</v>
      </c>
      <c r="I110" t="str">
        <f>IFERROR(_xlfn.XLOOKUP($A110,'Base SKUs'!$E:$E,'Base SKUs'!A:A),"")</f>
        <v>Cumaru</v>
      </c>
      <c r="J110" t="str">
        <f>IFERROR(_xlfn.XLOOKUP($A110,'Base SKUs'!$E:$E,'Base SKUs'!B:B),"")</f>
        <v>Cumaru 3x8</v>
      </c>
      <c r="K110" t="str">
        <f>IFERROR(_xlfn.XLOOKUP($A110,'Base SKUs'!$E:$E,'Base SKUs'!C:C),"")</f>
        <v>Long</v>
      </c>
      <c r="L110" t="str">
        <f>IFERROR(_xlfn.XLOOKUP($A110,'Base SKUs'!$E:$E,'Base SKUs'!D:D),"")</f>
        <v>Hardwoods</v>
      </c>
      <c r="M110" t="str">
        <f>IFERROR(_xlfn.XLOOKUP($A110,'Base SKUs'!$E:$E,'Base SKUs'!G:G),"")</f>
        <v>Cumaru</v>
      </c>
      <c r="N110" t="str">
        <f>IFERROR(_xlfn.XLOOKUP($A110,'Base SKUs'!$E:$E,'Base SKUs'!H:H),"")</f>
        <v>S4S E4E</v>
      </c>
      <c r="O110" t="str">
        <f>IFERROR(_xlfn.XLOOKUP($A110,'Base SKUs'!$E:$E,'Base SKUs'!I:I),"")</f>
        <v>-</v>
      </c>
      <c r="P110" t="str">
        <f>IFERROR(_xlfn.XLOOKUP($A110,'Base SKUs'!$E:$E,'Base SKUs'!J:J),"")</f>
        <v>3x8</v>
      </c>
      <c r="Q110">
        <f>IFERROR(_xlfn.XLOOKUP($A110,'Base SKUs'!$E:$E,'Base SKUs'!K:K),"")</f>
        <v>8</v>
      </c>
      <c r="R110" s="7">
        <f>IFERROR(_xlfn.XLOOKUP($A110,'Base SKUs'!$E:$E,'Base SKUs'!S:S),"")</f>
        <v>2.8513491360000004E-2</v>
      </c>
      <c r="S110" s="8">
        <f t="shared" si="7"/>
        <v>2.8513491360000004E-2</v>
      </c>
      <c r="T110" s="7">
        <f>IFERROR(_xlfn.XLOOKUP($A110,'Base SKUs'!$E:$E,'Base SKUs'!R:R),"")</f>
        <v>280.56900000000002</v>
      </c>
      <c r="U110" s="15">
        <f t="shared" si="8"/>
        <v>8</v>
      </c>
      <c r="V110" t="str">
        <f t="shared" si="9"/>
        <v>Miami</v>
      </c>
    </row>
    <row r="111" spans="1:22" x14ac:dyDescent="0.2">
      <c r="A111" t="s">
        <v>234</v>
      </c>
      <c r="B111" s="5">
        <v>10</v>
      </c>
      <c r="C111" s="5">
        <v>0</v>
      </c>
      <c r="D111" s="5">
        <f t="shared" si="5"/>
        <v>10</v>
      </c>
      <c r="E111" s="6">
        <v>70.28</v>
      </c>
      <c r="F111" s="6">
        <f t="shared" si="6"/>
        <v>702.8</v>
      </c>
      <c r="G111" t="s">
        <v>17</v>
      </c>
      <c r="H111">
        <v>9007</v>
      </c>
      <c r="I111" t="str">
        <f>IFERROR(_xlfn.XLOOKUP($A111,'Base SKUs'!$E:$E,'Base SKUs'!A:A),"")</f>
        <v>Cumaru</v>
      </c>
      <c r="J111" t="str">
        <f>IFERROR(_xlfn.XLOOKUP($A111,'Base SKUs'!$E:$E,'Base SKUs'!B:B),"")</f>
        <v>Cumaru 3x9</v>
      </c>
      <c r="K111" t="str">
        <f>IFERROR(_xlfn.XLOOKUP($A111,'Base SKUs'!$E:$E,'Base SKUs'!C:C),"")</f>
        <v>Long</v>
      </c>
      <c r="L111" t="str">
        <f>IFERROR(_xlfn.XLOOKUP($A111,'Base SKUs'!$E:$E,'Base SKUs'!D:D),"")</f>
        <v>Hardwoods</v>
      </c>
      <c r="M111" t="str">
        <f>IFERROR(_xlfn.XLOOKUP($A111,'Base SKUs'!$E:$E,'Base SKUs'!G:G),"")</f>
        <v>Cumaru</v>
      </c>
      <c r="N111" t="str">
        <f>IFERROR(_xlfn.XLOOKUP($A111,'Base SKUs'!$E:$E,'Base SKUs'!H:H),"")</f>
        <v>S4S E4E</v>
      </c>
      <c r="O111" t="str">
        <f>IFERROR(_xlfn.XLOOKUP($A111,'Base SKUs'!$E:$E,'Base SKUs'!I:I),"")</f>
        <v>-</v>
      </c>
      <c r="P111" t="str">
        <f>IFERROR(_xlfn.XLOOKUP($A111,'Base SKUs'!$E:$E,'Base SKUs'!J:J),"")</f>
        <v>3x9</v>
      </c>
      <c r="Q111">
        <f>IFERROR(_xlfn.XLOOKUP($A111,'Base SKUs'!$E:$E,'Base SKUs'!K:K),"")</f>
        <v>12</v>
      </c>
      <c r="R111" s="7">
        <f>IFERROR(_xlfn.XLOOKUP($A111,'Base SKUs'!$E:$E,'Base SKUs'!S:S),"")</f>
        <v>5.0144415839999991E-2</v>
      </c>
      <c r="S111" s="8">
        <f t="shared" si="7"/>
        <v>0.5014441583999999</v>
      </c>
      <c r="T111" s="7">
        <f>IFERROR(_xlfn.XLOOKUP($A111,'Base SKUs'!$E:$E,'Base SKUs'!R:R),"")</f>
        <v>239.309</v>
      </c>
      <c r="U111" s="15">
        <f t="shared" si="8"/>
        <v>120</v>
      </c>
      <c r="V111" t="str">
        <f t="shared" si="9"/>
        <v>Miami</v>
      </c>
    </row>
    <row r="112" spans="1:22" x14ac:dyDescent="0.2">
      <c r="A112" t="s">
        <v>236</v>
      </c>
      <c r="B112" s="5">
        <v>103</v>
      </c>
      <c r="C112" s="5">
        <v>0</v>
      </c>
      <c r="D112" s="5">
        <f t="shared" si="5"/>
        <v>103</v>
      </c>
      <c r="E112" s="6">
        <v>38.541600000000003</v>
      </c>
      <c r="F112" s="6">
        <f t="shared" si="6"/>
        <v>3969.7848000000004</v>
      </c>
      <c r="G112" t="s">
        <v>17</v>
      </c>
      <c r="H112">
        <v>9007</v>
      </c>
      <c r="I112" t="str">
        <f>IFERROR(_xlfn.XLOOKUP($A112,'Base SKUs'!$E:$E,'Base SKUs'!A:A),"")</f>
        <v>Cumaru</v>
      </c>
      <c r="J112" t="str">
        <f>IFERROR(_xlfn.XLOOKUP($A112,'Base SKUs'!$E:$E,'Base SKUs'!B:B),"")</f>
        <v>Cumaru 4x4</v>
      </c>
      <c r="K112" t="str">
        <f>IFERROR(_xlfn.XLOOKUP($A112,'Base SKUs'!$E:$E,'Base SKUs'!C:C),"")</f>
        <v>Long</v>
      </c>
      <c r="L112" t="str">
        <f>IFERROR(_xlfn.XLOOKUP($A112,'Base SKUs'!$E:$E,'Base SKUs'!D:D),"")</f>
        <v>Hardwoods</v>
      </c>
      <c r="M112" t="str">
        <f>IFERROR(_xlfn.XLOOKUP($A112,'Base SKUs'!$E:$E,'Base SKUs'!G:G),"")</f>
        <v>Cumaru</v>
      </c>
      <c r="N112" t="str">
        <f>IFERROR(_xlfn.XLOOKUP($A112,'Base SKUs'!$E:$E,'Base SKUs'!H:H),"")</f>
        <v>S4S E4E</v>
      </c>
      <c r="O112" t="str">
        <f>IFERROR(_xlfn.XLOOKUP($A112,'Base SKUs'!$E:$E,'Base SKUs'!I:I),"")</f>
        <v>-</v>
      </c>
      <c r="P112" t="str">
        <f>IFERROR(_xlfn.XLOOKUP($A112,'Base SKUs'!$E:$E,'Base SKUs'!J:J),"")</f>
        <v>4x4</v>
      </c>
      <c r="Q112">
        <f>IFERROR(_xlfn.XLOOKUP($A112,'Base SKUs'!$E:$E,'Base SKUs'!K:K),"")</f>
        <v>10</v>
      </c>
      <c r="R112" s="7">
        <f>IFERROR(_xlfn.XLOOKUP($A112,'Base SKUs'!$E:$E,'Base SKUs'!S:S),"")</f>
        <v>2.4088984080000007E-2</v>
      </c>
      <c r="S112" s="8">
        <f t="shared" si="7"/>
        <v>2.4811653602400008</v>
      </c>
      <c r="T112" s="7">
        <f>IFERROR(_xlfn.XLOOKUP($A112,'Base SKUs'!$E:$E,'Base SKUs'!R:R),"")</f>
        <v>415.12799999999999</v>
      </c>
      <c r="U112" s="15">
        <f t="shared" si="8"/>
        <v>1030</v>
      </c>
      <c r="V112" t="str">
        <f t="shared" si="9"/>
        <v>Miami</v>
      </c>
    </row>
    <row r="113" spans="1:22" x14ac:dyDescent="0.2">
      <c r="A113" t="s">
        <v>238</v>
      </c>
      <c r="B113" s="5">
        <v>47</v>
      </c>
      <c r="C113" s="5">
        <v>0</v>
      </c>
      <c r="D113" s="5">
        <f t="shared" si="5"/>
        <v>47</v>
      </c>
      <c r="E113" s="6">
        <v>53.958199999999998</v>
      </c>
      <c r="F113" s="6">
        <f t="shared" si="6"/>
        <v>2536.0353999999998</v>
      </c>
      <c r="G113" t="s">
        <v>17</v>
      </c>
      <c r="H113">
        <v>9007</v>
      </c>
      <c r="I113" t="str">
        <f>IFERROR(_xlfn.XLOOKUP($A113,'Base SKUs'!$E:$E,'Base SKUs'!A:A),"")</f>
        <v>Cumaru</v>
      </c>
      <c r="J113" t="str">
        <f>IFERROR(_xlfn.XLOOKUP($A113,'Base SKUs'!$E:$E,'Base SKUs'!B:B),"")</f>
        <v>Cumaru 4x4</v>
      </c>
      <c r="K113" t="str">
        <f>IFERROR(_xlfn.XLOOKUP($A113,'Base SKUs'!$E:$E,'Base SKUs'!C:C),"")</f>
        <v>Long</v>
      </c>
      <c r="L113" t="str">
        <f>IFERROR(_xlfn.XLOOKUP($A113,'Base SKUs'!$E:$E,'Base SKUs'!D:D),"")</f>
        <v>Hardwoods</v>
      </c>
      <c r="M113" t="str">
        <f>IFERROR(_xlfn.XLOOKUP($A113,'Base SKUs'!$E:$E,'Base SKUs'!G:G),"")</f>
        <v>Cumaru</v>
      </c>
      <c r="N113" t="str">
        <f>IFERROR(_xlfn.XLOOKUP($A113,'Base SKUs'!$E:$E,'Base SKUs'!H:H),"")</f>
        <v>S4S E4E</v>
      </c>
      <c r="O113" t="str">
        <f>IFERROR(_xlfn.XLOOKUP($A113,'Base SKUs'!$E:$E,'Base SKUs'!I:I),"")</f>
        <v>-</v>
      </c>
      <c r="P113" t="str">
        <f>IFERROR(_xlfn.XLOOKUP($A113,'Base SKUs'!$E:$E,'Base SKUs'!J:J),"")</f>
        <v>4x4</v>
      </c>
      <c r="Q113">
        <f>IFERROR(_xlfn.XLOOKUP($A113,'Base SKUs'!$E:$E,'Base SKUs'!K:K),"")</f>
        <v>14</v>
      </c>
      <c r="R113" s="7">
        <f>IFERROR(_xlfn.XLOOKUP($A113,'Base SKUs'!$E:$E,'Base SKUs'!S:S),"")</f>
        <v>3.3724577712000006E-2</v>
      </c>
      <c r="S113" s="8">
        <f t="shared" si="7"/>
        <v>1.5850551524640002</v>
      </c>
      <c r="T113" s="7">
        <f>IFERROR(_xlfn.XLOOKUP($A113,'Base SKUs'!$E:$E,'Base SKUs'!R:R),"")</f>
        <v>415.12799999999999</v>
      </c>
      <c r="U113" s="15">
        <f t="shared" si="8"/>
        <v>658</v>
      </c>
      <c r="V113" t="str">
        <f t="shared" si="9"/>
        <v>Miami</v>
      </c>
    </row>
    <row r="114" spans="1:22" x14ac:dyDescent="0.2">
      <c r="A114" t="s">
        <v>240</v>
      </c>
      <c r="B114" s="5">
        <v>92</v>
      </c>
      <c r="C114" s="5">
        <v>0</v>
      </c>
      <c r="D114" s="5">
        <f t="shared" si="5"/>
        <v>92</v>
      </c>
      <c r="E114" s="6">
        <v>30.833300000000001</v>
      </c>
      <c r="F114" s="6">
        <f t="shared" si="6"/>
        <v>2836.6636000000003</v>
      </c>
      <c r="G114" t="s">
        <v>17</v>
      </c>
      <c r="H114">
        <v>9007</v>
      </c>
      <c r="I114" t="str">
        <f>IFERROR(_xlfn.XLOOKUP($A114,'Base SKUs'!$E:$E,'Base SKUs'!A:A),"")</f>
        <v>Cumaru</v>
      </c>
      <c r="J114" t="str">
        <f>IFERROR(_xlfn.XLOOKUP($A114,'Base SKUs'!$E:$E,'Base SKUs'!B:B),"")</f>
        <v>Cumaru 4x4</v>
      </c>
      <c r="K114" t="str">
        <f>IFERROR(_xlfn.XLOOKUP($A114,'Base SKUs'!$E:$E,'Base SKUs'!C:C),"")</f>
        <v>Long</v>
      </c>
      <c r="L114" t="str">
        <f>IFERROR(_xlfn.XLOOKUP($A114,'Base SKUs'!$E:$E,'Base SKUs'!D:D),"")</f>
        <v>Hardwoods</v>
      </c>
      <c r="M114" t="str">
        <f>IFERROR(_xlfn.XLOOKUP($A114,'Base SKUs'!$E:$E,'Base SKUs'!G:G),"")</f>
        <v>Cumaru</v>
      </c>
      <c r="N114" t="str">
        <f>IFERROR(_xlfn.XLOOKUP($A114,'Base SKUs'!$E:$E,'Base SKUs'!H:H),"")</f>
        <v>S4S E4E</v>
      </c>
      <c r="O114" t="str">
        <f>IFERROR(_xlfn.XLOOKUP($A114,'Base SKUs'!$E:$E,'Base SKUs'!I:I),"")</f>
        <v>-</v>
      </c>
      <c r="P114" t="str">
        <f>IFERROR(_xlfn.XLOOKUP($A114,'Base SKUs'!$E:$E,'Base SKUs'!J:J),"")</f>
        <v>4x4</v>
      </c>
      <c r="Q114">
        <f>IFERROR(_xlfn.XLOOKUP($A114,'Base SKUs'!$E:$E,'Base SKUs'!K:K),"")</f>
        <v>8</v>
      </c>
      <c r="R114" s="7">
        <f>IFERROR(_xlfn.XLOOKUP($A114,'Base SKUs'!$E:$E,'Base SKUs'!S:S),"")</f>
        <v>1.9271187264000005E-2</v>
      </c>
      <c r="S114" s="8">
        <f t="shared" si="7"/>
        <v>1.7729492282880004</v>
      </c>
      <c r="T114" s="7">
        <f>IFERROR(_xlfn.XLOOKUP($A114,'Base SKUs'!$E:$E,'Base SKUs'!R:R),"")</f>
        <v>415.12799999999999</v>
      </c>
      <c r="U114" s="15">
        <f t="shared" si="8"/>
        <v>736</v>
      </c>
      <c r="V114" t="str">
        <f t="shared" si="9"/>
        <v>Miami</v>
      </c>
    </row>
    <row r="115" spans="1:22" x14ac:dyDescent="0.2">
      <c r="A115" t="s">
        <v>242</v>
      </c>
      <c r="B115" s="5">
        <v>3</v>
      </c>
      <c r="C115" s="5">
        <v>0</v>
      </c>
      <c r="D115" s="5">
        <f t="shared" si="5"/>
        <v>3</v>
      </c>
      <c r="E115" s="6">
        <v>113.76730000000001</v>
      </c>
      <c r="F115" s="6">
        <f t="shared" si="6"/>
        <v>341.30190000000005</v>
      </c>
      <c r="G115" t="s">
        <v>17</v>
      </c>
      <c r="H115">
        <v>9007</v>
      </c>
      <c r="I115" t="str">
        <f>IFERROR(_xlfn.XLOOKUP($A115,'Base SKUs'!$E:$E,'Base SKUs'!A:A),"")</f>
        <v>Cumaru</v>
      </c>
      <c r="J115" t="str">
        <f>IFERROR(_xlfn.XLOOKUP($A115,'Base SKUs'!$E:$E,'Base SKUs'!B:B),"")</f>
        <v>Cumaru 4x8</v>
      </c>
      <c r="K115" t="str">
        <f>IFERROR(_xlfn.XLOOKUP($A115,'Base SKUs'!$E:$E,'Base SKUs'!C:C),"")</f>
        <v>Long</v>
      </c>
      <c r="L115" t="str">
        <f>IFERROR(_xlfn.XLOOKUP($A115,'Base SKUs'!$E:$E,'Base SKUs'!D:D),"")</f>
        <v>Hardwoods</v>
      </c>
      <c r="M115" t="str">
        <f>IFERROR(_xlfn.XLOOKUP($A115,'Base SKUs'!$E:$E,'Base SKUs'!G:G),"")</f>
        <v>Cumaru</v>
      </c>
      <c r="N115" t="str">
        <f>IFERROR(_xlfn.XLOOKUP($A115,'Base SKUs'!$E:$E,'Base SKUs'!H:H),"")</f>
        <v>S4S E4E</v>
      </c>
      <c r="O115" t="str">
        <f>IFERROR(_xlfn.XLOOKUP($A115,'Base SKUs'!$E:$E,'Base SKUs'!I:I),"")</f>
        <v>-</v>
      </c>
      <c r="P115" t="str">
        <f>IFERROR(_xlfn.XLOOKUP($A115,'Base SKUs'!$E:$E,'Base SKUs'!J:J),"")</f>
        <v>4x8</v>
      </c>
      <c r="Q115">
        <f>IFERROR(_xlfn.XLOOKUP($A115,'Base SKUs'!$E:$E,'Base SKUs'!K:K),"")</f>
        <v>12</v>
      </c>
      <c r="R115" s="7">
        <f>IFERROR(_xlfn.XLOOKUP($A115,'Base SKUs'!$E:$E,'Base SKUs'!S:S),"")</f>
        <v>5.9878331856E-2</v>
      </c>
      <c r="S115" s="8">
        <f t="shared" si="7"/>
        <v>0.179634995568</v>
      </c>
      <c r="T115" s="7">
        <f>IFERROR(_xlfn.XLOOKUP($A115,'Base SKUs'!$E:$E,'Base SKUs'!R:R),"")</f>
        <v>200.40600000000001</v>
      </c>
      <c r="U115" s="15">
        <f t="shared" si="8"/>
        <v>36</v>
      </c>
      <c r="V115" t="str">
        <f t="shared" si="9"/>
        <v>Miami</v>
      </c>
    </row>
    <row r="116" spans="1:22" x14ac:dyDescent="0.2">
      <c r="A116" t="s">
        <v>244</v>
      </c>
      <c r="B116" s="5">
        <v>23</v>
      </c>
      <c r="C116" s="5">
        <v>0</v>
      </c>
      <c r="D116" s="5">
        <f t="shared" si="5"/>
        <v>23</v>
      </c>
      <c r="E116" s="6">
        <v>132.7285</v>
      </c>
      <c r="F116" s="6">
        <f t="shared" si="6"/>
        <v>3052.7554999999998</v>
      </c>
      <c r="G116" t="s">
        <v>17</v>
      </c>
      <c r="H116">
        <v>9007</v>
      </c>
      <c r="I116" t="str">
        <f>IFERROR(_xlfn.XLOOKUP($A116,'Base SKUs'!$E:$E,'Base SKUs'!A:A),"")</f>
        <v>Cumaru</v>
      </c>
      <c r="J116" t="str">
        <f>IFERROR(_xlfn.XLOOKUP($A116,'Base SKUs'!$E:$E,'Base SKUs'!B:B),"")</f>
        <v>Cumaru 4x8</v>
      </c>
      <c r="K116" t="str">
        <f>IFERROR(_xlfn.XLOOKUP($A116,'Base SKUs'!$E:$E,'Base SKUs'!C:C),"")</f>
        <v>Long</v>
      </c>
      <c r="L116" t="str">
        <f>IFERROR(_xlfn.XLOOKUP($A116,'Base SKUs'!$E:$E,'Base SKUs'!D:D),"")</f>
        <v>Hardwoods</v>
      </c>
      <c r="M116" t="str">
        <f>IFERROR(_xlfn.XLOOKUP($A116,'Base SKUs'!$E:$E,'Base SKUs'!G:G),"")</f>
        <v>Cumaru</v>
      </c>
      <c r="N116" t="str">
        <f>IFERROR(_xlfn.XLOOKUP($A116,'Base SKUs'!$E:$E,'Base SKUs'!H:H),"")</f>
        <v>S4S E4E</v>
      </c>
      <c r="O116" t="str">
        <f>IFERROR(_xlfn.XLOOKUP($A116,'Base SKUs'!$E:$E,'Base SKUs'!I:I),"")</f>
        <v>-</v>
      </c>
      <c r="P116" t="str">
        <f>IFERROR(_xlfn.XLOOKUP($A116,'Base SKUs'!$E:$E,'Base SKUs'!J:J),"")</f>
        <v>4x8</v>
      </c>
      <c r="Q116">
        <f>IFERROR(_xlfn.XLOOKUP($A116,'Base SKUs'!$E:$E,'Base SKUs'!K:K),"")</f>
        <v>14</v>
      </c>
      <c r="R116" s="7">
        <f>IFERROR(_xlfn.XLOOKUP($A116,'Base SKUs'!$E:$E,'Base SKUs'!S:S),"")</f>
        <v>6.9858053832000014E-2</v>
      </c>
      <c r="S116" s="8">
        <f t="shared" si="7"/>
        <v>1.6067352381360003</v>
      </c>
      <c r="T116" s="7">
        <f>IFERROR(_xlfn.XLOOKUP($A116,'Base SKUs'!$E:$E,'Base SKUs'!R:R),"")</f>
        <v>200.40600000000001</v>
      </c>
      <c r="U116" s="15">
        <f t="shared" si="8"/>
        <v>322</v>
      </c>
      <c r="V116" t="str">
        <f t="shared" si="9"/>
        <v>Miami</v>
      </c>
    </row>
    <row r="117" spans="1:22" x14ac:dyDescent="0.2">
      <c r="A117" t="s">
        <v>246</v>
      </c>
      <c r="B117" s="5">
        <v>18</v>
      </c>
      <c r="C117" s="5">
        <v>0</v>
      </c>
      <c r="D117" s="5">
        <f t="shared" si="5"/>
        <v>18</v>
      </c>
      <c r="E117" s="6">
        <v>151.68969999999999</v>
      </c>
      <c r="F117" s="6">
        <f t="shared" si="6"/>
        <v>2730.4145999999996</v>
      </c>
      <c r="G117" t="s">
        <v>17</v>
      </c>
      <c r="H117">
        <v>9007</v>
      </c>
      <c r="I117" t="str">
        <f>IFERROR(_xlfn.XLOOKUP($A117,'Base SKUs'!$E:$E,'Base SKUs'!A:A),"")</f>
        <v>Cumaru</v>
      </c>
      <c r="J117" t="str">
        <f>IFERROR(_xlfn.XLOOKUP($A117,'Base SKUs'!$E:$E,'Base SKUs'!B:B),"")</f>
        <v>Cumaru 4x8</v>
      </c>
      <c r="K117" t="str">
        <f>IFERROR(_xlfn.XLOOKUP($A117,'Base SKUs'!$E:$E,'Base SKUs'!C:C),"")</f>
        <v>Long</v>
      </c>
      <c r="L117" t="str">
        <f>IFERROR(_xlfn.XLOOKUP($A117,'Base SKUs'!$E:$E,'Base SKUs'!D:D),"")</f>
        <v>Hardwoods</v>
      </c>
      <c r="M117" t="str">
        <f>IFERROR(_xlfn.XLOOKUP($A117,'Base SKUs'!$E:$E,'Base SKUs'!G:G),"")</f>
        <v>Cumaru</v>
      </c>
      <c r="N117" t="str">
        <f>IFERROR(_xlfn.XLOOKUP($A117,'Base SKUs'!$E:$E,'Base SKUs'!H:H),"")</f>
        <v>S4S E4E</v>
      </c>
      <c r="O117" t="str">
        <f>IFERROR(_xlfn.XLOOKUP($A117,'Base SKUs'!$E:$E,'Base SKUs'!I:I),"")</f>
        <v>-</v>
      </c>
      <c r="P117" t="str">
        <f>IFERROR(_xlfn.XLOOKUP($A117,'Base SKUs'!$E:$E,'Base SKUs'!J:J),"")</f>
        <v>4x8</v>
      </c>
      <c r="Q117">
        <f>IFERROR(_xlfn.XLOOKUP($A117,'Base SKUs'!$E:$E,'Base SKUs'!K:K),"")</f>
        <v>16</v>
      </c>
      <c r="R117" s="7">
        <f>IFERROR(_xlfn.XLOOKUP($A117,'Base SKUs'!$E:$E,'Base SKUs'!S:S),"")</f>
        <v>7.9837775808000014E-2</v>
      </c>
      <c r="S117" s="8">
        <f t="shared" si="7"/>
        <v>1.4370799645440002</v>
      </c>
      <c r="T117" s="7">
        <f>IFERROR(_xlfn.XLOOKUP($A117,'Base SKUs'!$E:$E,'Base SKUs'!R:R),"")</f>
        <v>200.40600000000001</v>
      </c>
      <c r="U117" s="15">
        <f t="shared" si="8"/>
        <v>288</v>
      </c>
      <c r="V117" t="str">
        <f t="shared" si="9"/>
        <v>Miami</v>
      </c>
    </row>
    <row r="118" spans="1:22" x14ac:dyDescent="0.2">
      <c r="A118" t="s">
        <v>248</v>
      </c>
      <c r="B118" s="5">
        <v>13</v>
      </c>
      <c r="C118" s="5">
        <v>0</v>
      </c>
      <c r="D118" s="5">
        <f t="shared" si="5"/>
        <v>13</v>
      </c>
      <c r="E118" s="6">
        <v>9.09</v>
      </c>
      <c r="F118" s="6">
        <f t="shared" si="6"/>
        <v>118.17</v>
      </c>
      <c r="G118" t="s">
        <v>17</v>
      </c>
      <c r="H118">
        <v>9007</v>
      </c>
      <c r="I118" t="str">
        <f>IFERROR(_xlfn.XLOOKUP($A118,'Base SKUs'!$E:$E,'Base SKUs'!A:A),"")</f>
        <v>Cumaru</v>
      </c>
      <c r="J118" t="str">
        <f>IFERROR(_xlfn.XLOOKUP($A118,'Base SKUs'!$E:$E,'Base SKUs'!B:B),"")</f>
        <v>Cumaru 50x140</v>
      </c>
      <c r="K118" t="str">
        <f>IFERROR(_xlfn.XLOOKUP($A118,'Base SKUs'!$E:$E,'Base SKUs'!C:C),"")</f>
        <v>Long</v>
      </c>
      <c r="L118" t="str">
        <f>IFERROR(_xlfn.XLOOKUP($A118,'Base SKUs'!$E:$E,'Base SKUs'!D:D),"")</f>
        <v>Hardwoods</v>
      </c>
      <c r="M118" t="str">
        <f>IFERROR(_xlfn.XLOOKUP($A118,'Base SKUs'!$E:$E,'Base SKUs'!G:G),"")</f>
        <v>Cumaru</v>
      </c>
      <c r="N118" t="str">
        <f>IFERROR(_xlfn.XLOOKUP($A118,'Base SKUs'!$E:$E,'Base SKUs'!H:H),"")</f>
        <v>S4S E4E</v>
      </c>
      <c r="O118" t="str">
        <f>IFERROR(_xlfn.XLOOKUP($A118,'Base SKUs'!$E:$E,'Base SKUs'!I:I),"")</f>
        <v>-</v>
      </c>
      <c r="P118" t="str">
        <f>IFERROR(_xlfn.XLOOKUP($A118,'Base SKUs'!$E:$E,'Base SKUs'!J:J),"")</f>
        <v>50x140</v>
      </c>
      <c r="Q118">
        <f>IFERROR(_xlfn.XLOOKUP($A118,'Base SKUs'!$E:$E,'Base SKUs'!K:K),"")</f>
        <v>14</v>
      </c>
      <c r="R118" s="7">
        <f>IFERROR(_xlfn.XLOOKUP($A118,'Base SKUs'!$E:$E,'Base SKUs'!S:S),"")</f>
        <v>2.9870399999999998E-2</v>
      </c>
      <c r="S118" s="8">
        <f t="shared" si="7"/>
        <v>0.38831519999999997</v>
      </c>
      <c r="T118" s="7">
        <f>IFERROR(_xlfn.XLOOKUP($A118,'Base SKUs'!$E:$E,'Base SKUs'!R:R),"")</f>
        <v>468.69099999999997</v>
      </c>
      <c r="U118" s="15">
        <f t="shared" si="8"/>
        <v>182</v>
      </c>
      <c r="V118" t="str">
        <f t="shared" si="9"/>
        <v>Miami</v>
      </c>
    </row>
    <row r="119" spans="1:22" x14ac:dyDescent="0.2">
      <c r="A119" t="s">
        <v>250</v>
      </c>
      <c r="B119" s="5">
        <v>4</v>
      </c>
      <c r="C119" s="5">
        <v>0</v>
      </c>
      <c r="D119" s="5">
        <f t="shared" si="5"/>
        <v>4</v>
      </c>
      <c r="E119" s="6">
        <v>324.47289999999998</v>
      </c>
      <c r="F119" s="6">
        <f t="shared" si="6"/>
        <v>1297.8915999999999</v>
      </c>
      <c r="G119" t="s">
        <v>17</v>
      </c>
      <c r="H119">
        <v>9007</v>
      </c>
      <c r="I119" t="str">
        <f>IFERROR(_xlfn.XLOOKUP($A119,'Base SKUs'!$E:$E,'Base SKUs'!A:A),"")</f>
        <v>Cumaru</v>
      </c>
      <c r="J119" t="str">
        <f>IFERROR(_xlfn.XLOOKUP($A119,'Base SKUs'!$E:$E,'Base SKUs'!B:B),"")</f>
        <v>Cumaru 6x12</v>
      </c>
      <c r="K119" t="str">
        <f>IFERROR(_xlfn.XLOOKUP($A119,'Base SKUs'!$E:$E,'Base SKUs'!C:C),"")</f>
        <v>Long</v>
      </c>
      <c r="L119" t="str">
        <f>IFERROR(_xlfn.XLOOKUP($A119,'Base SKUs'!$E:$E,'Base SKUs'!D:D),"")</f>
        <v>Hardwoods</v>
      </c>
      <c r="M119" t="str">
        <f>IFERROR(_xlfn.XLOOKUP($A119,'Base SKUs'!$E:$E,'Base SKUs'!G:G),"")</f>
        <v>Cumaru</v>
      </c>
      <c r="N119" t="str">
        <f>IFERROR(_xlfn.XLOOKUP($A119,'Base SKUs'!$E:$E,'Base SKUs'!H:H),"")</f>
        <v>S4S E4E</v>
      </c>
      <c r="O119" t="str">
        <f>IFERROR(_xlfn.XLOOKUP($A119,'Base SKUs'!$E:$E,'Base SKUs'!I:I),"")</f>
        <v>-</v>
      </c>
      <c r="P119" t="str">
        <f>IFERROR(_xlfn.XLOOKUP($A119,'Base SKUs'!$E:$E,'Base SKUs'!J:J),"")</f>
        <v>6x12</v>
      </c>
      <c r="Q119">
        <f>IFERROR(_xlfn.XLOOKUP($A119,'Base SKUs'!$E:$E,'Base SKUs'!K:K),"")</f>
        <v>14</v>
      </c>
      <c r="R119" s="7">
        <f>IFERROR(_xlfn.XLOOKUP($A119,'Base SKUs'!$E:$E,'Base SKUs'!S:S),"")</f>
        <v>0.17034353027999996</v>
      </c>
      <c r="S119" s="8">
        <f t="shared" si="7"/>
        <v>0.68137412111999984</v>
      </c>
      <c r="T119" s="7">
        <f>IFERROR(_xlfn.XLOOKUP($A119,'Base SKUs'!$E:$E,'Base SKUs'!R:R),"")</f>
        <v>82.186999999999998</v>
      </c>
      <c r="U119" s="15">
        <f t="shared" si="8"/>
        <v>56</v>
      </c>
      <c r="V119" t="str">
        <f t="shared" si="9"/>
        <v>Miami</v>
      </c>
    </row>
    <row r="120" spans="1:22" x14ac:dyDescent="0.2">
      <c r="A120" t="s">
        <v>252</v>
      </c>
      <c r="B120" s="5">
        <v>23</v>
      </c>
      <c r="C120" s="5">
        <v>0</v>
      </c>
      <c r="D120" s="5">
        <f t="shared" si="5"/>
        <v>23</v>
      </c>
      <c r="E120" s="6">
        <v>370.82619999999997</v>
      </c>
      <c r="F120" s="6">
        <f t="shared" si="6"/>
        <v>8529.0025999999998</v>
      </c>
      <c r="G120" t="s">
        <v>17</v>
      </c>
      <c r="H120">
        <v>9007</v>
      </c>
      <c r="I120" t="str">
        <f>IFERROR(_xlfn.XLOOKUP($A120,'Base SKUs'!$E:$E,'Base SKUs'!A:A),"")</f>
        <v>Cumaru</v>
      </c>
      <c r="J120" t="str">
        <f>IFERROR(_xlfn.XLOOKUP($A120,'Base SKUs'!$E:$E,'Base SKUs'!B:B),"")</f>
        <v>Cumaru 6x12</v>
      </c>
      <c r="K120" t="str">
        <f>IFERROR(_xlfn.XLOOKUP($A120,'Base SKUs'!$E:$E,'Base SKUs'!C:C),"")</f>
        <v>Long</v>
      </c>
      <c r="L120" t="str">
        <f>IFERROR(_xlfn.XLOOKUP($A120,'Base SKUs'!$E:$E,'Base SKUs'!D:D),"")</f>
        <v>Hardwoods</v>
      </c>
      <c r="M120" t="str">
        <f>IFERROR(_xlfn.XLOOKUP($A120,'Base SKUs'!$E:$E,'Base SKUs'!G:G),"")</f>
        <v>Cumaru</v>
      </c>
      <c r="N120" t="str">
        <f>IFERROR(_xlfn.XLOOKUP($A120,'Base SKUs'!$E:$E,'Base SKUs'!H:H),"")</f>
        <v>S4S E4E</v>
      </c>
      <c r="O120" t="str">
        <f>IFERROR(_xlfn.XLOOKUP($A120,'Base SKUs'!$E:$E,'Base SKUs'!I:I),"")</f>
        <v>-</v>
      </c>
      <c r="P120" t="str">
        <f>IFERROR(_xlfn.XLOOKUP($A120,'Base SKUs'!$E:$E,'Base SKUs'!J:J),"")</f>
        <v>6x12</v>
      </c>
      <c r="Q120">
        <f>IFERROR(_xlfn.XLOOKUP($A120,'Base SKUs'!$E:$E,'Base SKUs'!K:K),"")</f>
        <v>16</v>
      </c>
      <c r="R120" s="7">
        <f>IFERROR(_xlfn.XLOOKUP($A120,'Base SKUs'!$E:$E,'Base SKUs'!S:S),"")</f>
        <v>0.19467832031999999</v>
      </c>
      <c r="S120" s="8">
        <f t="shared" si="7"/>
        <v>4.4776013673600001</v>
      </c>
      <c r="T120" s="7">
        <f>IFERROR(_xlfn.XLOOKUP($A120,'Base SKUs'!$E:$E,'Base SKUs'!R:R),"")</f>
        <v>82.186999999999998</v>
      </c>
      <c r="U120" s="15">
        <f t="shared" si="8"/>
        <v>368</v>
      </c>
      <c r="V120" t="str">
        <f t="shared" si="9"/>
        <v>Miami</v>
      </c>
    </row>
    <row r="121" spans="1:22" x14ac:dyDescent="0.2">
      <c r="A121" t="s">
        <v>254</v>
      </c>
      <c r="B121" s="5">
        <v>12</v>
      </c>
      <c r="C121" s="5">
        <v>0</v>
      </c>
      <c r="D121" s="5">
        <f t="shared" si="5"/>
        <v>12</v>
      </c>
      <c r="E121" s="6">
        <v>135.64779999999999</v>
      </c>
      <c r="F121" s="6">
        <f t="shared" si="6"/>
        <v>1627.7736</v>
      </c>
      <c r="G121" t="s">
        <v>17</v>
      </c>
      <c r="H121">
        <v>9007</v>
      </c>
      <c r="I121" t="str">
        <f>IFERROR(_xlfn.XLOOKUP($A121,'Base SKUs'!$E:$E,'Base SKUs'!A:A),"")</f>
        <v>Cumaru</v>
      </c>
      <c r="J121" t="str">
        <f>IFERROR(_xlfn.XLOOKUP($A121,'Base SKUs'!$E:$E,'Base SKUs'!B:B),"")</f>
        <v>Cumaru 6x6</v>
      </c>
      <c r="K121" t="str">
        <f>IFERROR(_xlfn.XLOOKUP($A121,'Base SKUs'!$E:$E,'Base SKUs'!C:C),"")</f>
        <v>Long</v>
      </c>
      <c r="L121" t="str">
        <f>IFERROR(_xlfn.XLOOKUP($A121,'Base SKUs'!$E:$E,'Base SKUs'!D:D),"")</f>
        <v>Hardwoods</v>
      </c>
      <c r="M121" t="str">
        <f>IFERROR(_xlfn.XLOOKUP($A121,'Base SKUs'!$E:$E,'Base SKUs'!G:G),"")</f>
        <v>Cumaru</v>
      </c>
      <c r="N121" t="str">
        <f>IFERROR(_xlfn.XLOOKUP($A121,'Base SKUs'!$E:$E,'Base SKUs'!H:H),"")</f>
        <v>S4S E4E</v>
      </c>
      <c r="O121" t="str">
        <f>IFERROR(_xlfn.XLOOKUP($A121,'Base SKUs'!$E:$E,'Base SKUs'!I:I),"")</f>
        <v>-</v>
      </c>
      <c r="P121" t="str">
        <f>IFERROR(_xlfn.XLOOKUP($A121,'Base SKUs'!$E:$E,'Base SKUs'!J:J),"")</f>
        <v>6x6</v>
      </c>
      <c r="Q121">
        <f>IFERROR(_xlfn.XLOOKUP($A121,'Base SKUs'!$E:$E,'Base SKUs'!K:K),"")</f>
        <v>12</v>
      </c>
      <c r="R121" s="7">
        <f>IFERROR(_xlfn.XLOOKUP($A121,'Base SKUs'!$E:$E,'Base SKUs'!S:S),"")</f>
        <v>7.1382050783999992E-2</v>
      </c>
      <c r="S121" s="8">
        <f t="shared" si="7"/>
        <v>0.85658460940799985</v>
      </c>
      <c r="T121" s="7">
        <f>IFERROR(_xlfn.XLOOKUP($A121,'Base SKUs'!$E:$E,'Base SKUs'!R:R),"")</f>
        <v>168.10900000000001</v>
      </c>
      <c r="U121" s="15">
        <f t="shared" si="8"/>
        <v>144</v>
      </c>
      <c r="V121" t="str">
        <f t="shared" si="9"/>
        <v>Miami</v>
      </c>
    </row>
    <row r="122" spans="1:22" x14ac:dyDescent="0.2">
      <c r="A122" t="s">
        <v>256</v>
      </c>
      <c r="B122" s="5">
        <v>6</v>
      </c>
      <c r="C122" s="5">
        <v>0</v>
      </c>
      <c r="D122" s="5">
        <f t="shared" si="5"/>
        <v>6</v>
      </c>
      <c r="E122" s="6">
        <v>158.25579999999999</v>
      </c>
      <c r="F122" s="6">
        <f t="shared" si="6"/>
        <v>949.5347999999999</v>
      </c>
      <c r="G122" t="s">
        <v>17</v>
      </c>
      <c r="H122">
        <v>9007</v>
      </c>
      <c r="I122" t="str">
        <f>IFERROR(_xlfn.XLOOKUP($A122,'Base SKUs'!$E:$E,'Base SKUs'!A:A),"")</f>
        <v>Cumaru</v>
      </c>
      <c r="J122" t="str">
        <f>IFERROR(_xlfn.XLOOKUP($A122,'Base SKUs'!$E:$E,'Base SKUs'!B:B),"")</f>
        <v>Cumaru 6x6</v>
      </c>
      <c r="K122" t="str">
        <f>IFERROR(_xlfn.XLOOKUP($A122,'Base SKUs'!$E:$E,'Base SKUs'!C:C),"")</f>
        <v>Long</v>
      </c>
      <c r="L122" t="str">
        <f>IFERROR(_xlfn.XLOOKUP($A122,'Base SKUs'!$E:$E,'Base SKUs'!D:D),"")</f>
        <v>Hardwoods</v>
      </c>
      <c r="M122" t="str">
        <f>IFERROR(_xlfn.XLOOKUP($A122,'Base SKUs'!$E:$E,'Base SKUs'!G:G),"")</f>
        <v>Cumaru</v>
      </c>
      <c r="N122" t="str">
        <f>IFERROR(_xlfn.XLOOKUP($A122,'Base SKUs'!$E:$E,'Base SKUs'!H:H),"")</f>
        <v>S4S E4E</v>
      </c>
      <c r="O122" t="str">
        <f>IFERROR(_xlfn.XLOOKUP($A122,'Base SKUs'!$E:$E,'Base SKUs'!I:I),"")</f>
        <v>-</v>
      </c>
      <c r="P122" t="str">
        <f>IFERROR(_xlfn.XLOOKUP($A122,'Base SKUs'!$E:$E,'Base SKUs'!J:J),"")</f>
        <v>6x6</v>
      </c>
      <c r="Q122">
        <f>IFERROR(_xlfn.XLOOKUP($A122,'Base SKUs'!$E:$E,'Base SKUs'!K:K),"")</f>
        <v>14</v>
      </c>
      <c r="R122" s="7">
        <f>IFERROR(_xlfn.XLOOKUP($A122,'Base SKUs'!$E:$E,'Base SKUs'!S:S),"")</f>
        <v>8.327905924799997E-2</v>
      </c>
      <c r="S122" s="8">
        <f t="shared" si="7"/>
        <v>0.49967435548799982</v>
      </c>
      <c r="T122" s="7">
        <f>IFERROR(_xlfn.XLOOKUP($A122,'Base SKUs'!$E:$E,'Base SKUs'!R:R),"")</f>
        <v>168.10900000000001</v>
      </c>
      <c r="U122" s="15">
        <f t="shared" si="8"/>
        <v>84</v>
      </c>
      <c r="V122" t="str">
        <f t="shared" si="9"/>
        <v>Miami</v>
      </c>
    </row>
    <row r="123" spans="1:22" x14ac:dyDescent="0.2">
      <c r="A123" t="s">
        <v>258</v>
      </c>
      <c r="B123" s="5">
        <v>12</v>
      </c>
      <c r="C123" s="5">
        <v>0</v>
      </c>
      <c r="D123" s="5">
        <f t="shared" si="5"/>
        <v>12</v>
      </c>
      <c r="E123" s="6">
        <v>180.8638</v>
      </c>
      <c r="F123" s="6">
        <f t="shared" si="6"/>
        <v>2170.3656000000001</v>
      </c>
      <c r="G123" t="s">
        <v>17</v>
      </c>
      <c r="H123">
        <v>9007</v>
      </c>
      <c r="I123" t="str">
        <f>IFERROR(_xlfn.XLOOKUP($A123,'Base SKUs'!$E:$E,'Base SKUs'!A:A),"")</f>
        <v>Cumaru</v>
      </c>
      <c r="J123" t="str">
        <f>IFERROR(_xlfn.XLOOKUP($A123,'Base SKUs'!$E:$E,'Base SKUs'!B:B),"")</f>
        <v>Cumaru 6x6</v>
      </c>
      <c r="K123" t="str">
        <f>IFERROR(_xlfn.XLOOKUP($A123,'Base SKUs'!$E:$E,'Base SKUs'!C:C),"")</f>
        <v>Long</v>
      </c>
      <c r="L123" t="str">
        <f>IFERROR(_xlfn.XLOOKUP($A123,'Base SKUs'!$E:$E,'Base SKUs'!D:D),"")</f>
        <v>Hardwoods</v>
      </c>
      <c r="M123" t="str">
        <f>IFERROR(_xlfn.XLOOKUP($A123,'Base SKUs'!$E:$E,'Base SKUs'!G:G),"")</f>
        <v>Cumaru</v>
      </c>
      <c r="N123" t="str">
        <f>IFERROR(_xlfn.XLOOKUP($A123,'Base SKUs'!$E:$E,'Base SKUs'!H:H),"")</f>
        <v>S4S E4E</v>
      </c>
      <c r="O123" t="str">
        <f>IFERROR(_xlfn.XLOOKUP($A123,'Base SKUs'!$E:$E,'Base SKUs'!I:I),"")</f>
        <v>-</v>
      </c>
      <c r="P123" t="str">
        <f>IFERROR(_xlfn.XLOOKUP($A123,'Base SKUs'!$E:$E,'Base SKUs'!J:J),"")</f>
        <v>6x6</v>
      </c>
      <c r="Q123">
        <f>IFERROR(_xlfn.XLOOKUP($A123,'Base SKUs'!$E:$E,'Base SKUs'!K:K),"")</f>
        <v>16</v>
      </c>
      <c r="R123" s="7">
        <f>IFERROR(_xlfn.XLOOKUP($A123,'Base SKUs'!$E:$E,'Base SKUs'!S:S),"")</f>
        <v>9.517606771199999E-2</v>
      </c>
      <c r="S123" s="8">
        <f t="shared" si="7"/>
        <v>1.1421128125439999</v>
      </c>
      <c r="T123" s="7">
        <f>IFERROR(_xlfn.XLOOKUP($A123,'Base SKUs'!$E:$E,'Base SKUs'!R:R),"")</f>
        <v>168.10900000000001</v>
      </c>
      <c r="U123" s="15">
        <f t="shared" si="8"/>
        <v>192</v>
      </c>
      <c r="V123" t="str">
        <f t="shared" si="9"/>
        <v>Miami</v>
      </c>
    </row>
    <row r="124" spans="1:22" x14ac:dyDescent="0.2">
      <c r="A124" t="s">
        <v>260</v>
      </c>
      <c r="B124" s="5">
        <v>15</v>
      </c>
      <c r="C124" s="5">
        <v>0</v>
      </c>
      <c r="D124" s="5">
        <f t="shared" si="5"/>
        <v>15</v>
      </c>
      <c r="E124" s="6">
        <v>178.78469999999999</v>
      </c>
      <c r="F124" s="6">
        <f t="shared" si="6"/>
        <v>2681.7704999999996</v>
      </c>
      <c r="G124" t="s">
        <v>17</v>
      </c>
      <c r="H124">
        <v>9007</v>
      </c>
      <c r="I124" t="str">
        <f>IFERROR(_xlfn.XLOOKUP($A124,'Base SKUs'!$E:$E,'Base SKUs'!A:A),"")</f>
        <v>Cumaru</v>
      </c>
      <c r="J124" t="str">
        <f>IFERROR(_xlfn.XLOOKUP($A124,'Base SKUs'!$E:$E,'Base SKUs'!B:B),"")</f>
        <v>Cumaru 6x8</v>
      </c>
      <c r="K124" t="str">
        <f>IFERROR(_xlfn.XLOOKUP($A124,'Base SKUs'!$E:$E,'Base SKUs'!C:C),"")</f>
        <v>Long</v>
      </c>
      <c r="L124" t="str">
        <f>IFERROR(_xlfn.XLOOKUP($A124,'Base SKUs'!$E:$E,'Base SKUs'!D:D),"")</f>
        <v>Hardwoods</v>
      </c>
      <c r="M124" t="str">
        <f>IFERROR(_xlfn.XLOOKUP($A124,'Base SKUs'!$E:$E,'Base SKUs'!G:G),"")</f>
        <v>Cumaru</v>
      </c>
      <c r="N124" t="str">
        <f>IFERROR(_xlfn.XLOOKUP($A124,'Base SKUs'!$E:$E,'Base SKUs'!H:H),"")</f>
        <v>S4S E4E</v>
      </c>
      <c r="O124" t="str">
        <f>IFERROR(_xlfn.XLOOKUP($A124,'Base SKUs'!$E:$E,'Base SKUs'!I:I),"")</f>
        <v>-</v>
      </c>
      <c r="P124" t="str">
        <f>IFERROR(_xlfn.XLOOKUP($A124,'Base SKUs'!$E:$E,'Base SKUs'!J:J),"")</f>
        <v>6x8</v>
      </c>
      <c r="Q124">
        <f>IFERROR(_xlfn.XLOOKUP($A124,'Base SKUs'!$E:$E,'Base SKUs'!K:K),"")</f>
        <v>12</v>
      </c>
      <c r="R124" s="7">
        <f>IFERROR(_xlfn.XLOOKUP($A124,'Base SKUs'!$E:$E,'Base SKUs'!S:S),"")</f>
        <v>9.4094521488000002E-2</v>
      </c>
      <c r="S124" s="8">
        <f t="shared" si="7"/>
        <v>1.41141782232</v>
      </c>
      <c r="T124" s="7">
        <f>IFERROR(_xlfn.XLOOKUP($A124,'Base SKUs'!$E:$E,'Base SKUs'!R:R),"")</f>
        <v>127.53100000000001</v>
      </c>
      <c r="U124" s="15">
        <f t="shared" si="8"/>
        <v>180</v>
      </c>
      <c r="V124" t="str">
        <f t="shared" si="9"/>
        <v>Miami</v>
      </c>
    </row>
    <row r="125" spans="1:22" x14ac:dyDescent="0.2">
      <c r="A125" t="s">
        <v>262</v>
      </c>
      <c r="B125" s="5">
        <v>33</v>
      </c>
      <c r="C125" s="5">
        <v>0</v>
      </c>
      <c r="D125" s="5">
        <f t="shared" si="5"/>
        <v>33</v>
      </c>
      <c r="E125" s="6">
        <v>208.5822</v>
      </c>
      <c r="F125" s="6">
        <f t="shared" si="6"/>
        <v>6883.2125999999998</v>
      </c>
      <c r="G125" t="s">
        <v>17</v>
      </c>
      <c r="H125">
        <v>9007</v>
      </c>
      <c r="I125" t="str">
        <f>IFERROR(_xlfn.XLOOKUP($A125,'Base SKUs'!$E:$E,'Base SKUs'!A:A),"")</f>
        <v>Cumaru</v>
      </c>
      <c r="J125" t="str">
        <f>IFERROR(_xlfn.XLOOKUP($A125,'Base SKUs'!$E:$E,'Base SKUs'!B:B),"")</f>
        <v>Cumaru 6x8</v>
      </c>
      <c r="K125" t="str">
        <f>IFERROR(_xlfn.XLOOKUP($A125,'Base SKUs'!$E:$E,'Base SKUs'!C:C),"")</f>
        <v>Long</v>
      </c>
      <c r="L125" t="str">
        <f>IFERROR(_xlfn.XLOOKUP($A125,'Base SKUs'!$E:$E,'Base SKUs'!D:D),"")</f>
        <v>Hardwoods</v>
      </c>
      <c r="M125" t="str">
        <f>IFERROR(_xlfn.XLOOKUP($A125,'Base SKUs'!$E:$E,'Base SKUs'!G:G),"")</f>
        <v>Cumaru</v>
      </c>
      <c r="N125" t="str">
        <f>IFERROR(_xlfn.XLOOKUP($A125,'Base SKUs'!$E:$E,'Base SKUs'!H:H),"")</f>
        <v>S4S E4E</v>
      </c>
      <c r="O125" t="str">
        <f>IFERROR(_xlfn.XLOOKUP($A125,'Base SKUs'!$E:$E,'Base SKUs'!I:I),"")</f>
        <v>-</v>
      </c>
      <c r="P125" t="str">
        <f>IFERROR(_xlfn.XLOOKUP($A125,'Base SKUs'!$E:$E,'Base SKUs'!J:J),"")</f>
        <v>6x8</v>
      </c>
      <c r="Q125">
        <f>IFERROR(_xlfn.XLOOKUP($A125,'Base SKUs'!$E:$E,'Base SKUs'!K:K),"")</f>
        <v>14</v>
      </c>
      <c r="R125" s="7">
        <f>IFERROR(_xlfn.XLOOKUP($A125,'Base SKUs'!$E:$E,'Base SKUs'!S:S),"")</f>
        <v>0.10977694173599997</v>
      </c>
      <c r="S125" s="8">
        <f t="shared" si="7"/>
        <v>3.6226390772879991</v>
      </c>
      <c r="T125" s="7">
        <f>IFERROR(_xlfn.XLOOKUP($A125,'Base SKUs'!$E:$E,'Base SKUs'!R:R),"")</f>
        <v>127.53100000000001</v>
      </c>
      <c r="U125" s="15">
        <f t="shared" si="8"/>
        <v>462</v>
      </c>
      <c r="V125" t="str">
        <f t="shared" si="9"/>
        <v>Miami</v>
      </c>
    </row>
    <row r="126" spans="1:22" x14ac:dyDescent="0.2">
      <c r="A126" t="s">
        <v>264</v>
      </c>
      <c r="B126" s="5">
        <v>19</v>
      </c>
      <c r="C126" s="5">
        <v>0</v>
      </c>
      <c r="D126" s="5">
        <f t="shared" si="5"/>
        <v>19</v>
      </c>
      <c r="E126" s="6">
        <v>238.37970000000001</v>
      </c>
      <c r="F126" s="6">
        <f t="shared" si="6"/>
        <v>4529.2143000000005</v>
      </c>
      <c r="G126" t="s">
        <v>17</v>
      </c>
      <c r="H126">
        <v>9007</v>
      </c>
      <c r="I126" t="str">
        <f>IFERROR(_xlfn.XLOOKUP($A126,'Base SKUs'!$E:$E,'Base SKUs'!A:A),"")</f>
        <v>Cumaru</v>
      </c>
      <c r="J126" t="str">
        <f>IFERROR(_xlfn.XLOOKUP($A126,'Base SKUs'!$E:$E,'Base SKUs'!B:B),"")</f>
        <v>Cumaru 6x8</v>
      </c>
      <c r="K126" t="str">
        <f>IFERROR(_xlfn.XLOOKUP($A126,'Base SKUs'!$E:$E,'Base SKUs'!C:C),"")</f>
        <v>Long</v>
      </c>
      <c r="L126" t="str">
        <f>IFERROR(_xlfn.XLOOKUP($A126,'Base SKUs'!$E:$E,'Base SKUs'!D:D),"")</f>
        <v>Hardwoods</v>
      </c>
      <c r="M126" t="str">
        <f>IFERROR(_xlfn.XLOOKUP($A126,'Base SKUs'!$E:$E,'Base SKUs'!G:G),"")</f>
        <v>Cumaru</v>
      </c>
      <c r="N126" t="str">
        <f>IFERROR(_xlfn.XLOOKUP($A126,'Base SKUs'!$E:$E,'Base SKUs'!H:H),"")</f>
        <v>S4S E4E</v>
      </c>
      <c r="O126" t="str">
        <f>IFERROR(_xlfn.XLOOKUP($A126,'Base SKUs'!$E:$E,'Base SKUs'!I:I),"")</f>
        <v>-</v>
      </c>
      <c r="P126" t="str">
        <f>IFERROR(_xlfn.XLOOKUP($A126,'Base SKUs'!$E:$E,'Base SKUs'!J:J),"")</f>
        <v>6x8</v>
      </c>
      <c r="Q126">
        <f>IFERROR(_xlfn.XLOOKUP($A126,'Base SKUs'!$E:$E,'Base SKUs'!K:K),"")</f>
        <v>16</v>
      </c>
      <c r="R126" s="7">
        <f>IFERROR(_xlfn.XLOOKUP($A126,'Base SKUs'!$E:$E,'Base SKUs'!S:S),"")</f>
        <v>0.12545936198399998</v>
      </c>
      <c r="S126" s="8">
        <f t="shared" si="7"/>
        <v>2.3837278776959998</v>
      </c>
      <c r="T126" s="7">
        <f>IFERROR(_xlfn.XLOOKUP($A126,'Base SKUs'!$E:$E,'Base SKUs'!R:R),"")</f>
        <v>127.53100000000001</v>
      </c>
      <c r="U126" s="15">
        <f t="shared" si="8"/>
        <v>304</v>
      </c>
      <c r="V126" t="str">
        <f t="shared" si="9"/>
        <v>Miami</v>
      </c>
    </row>
    <row r="127" spans="1:22" x14ac:dyDescent="0.2">
      <c r="A127" t="s">
        <v>266</v>
      </c>
      <c r="B127" s="5">
        <v>5</v>
      </c>
      <c r="C127" s="5">
        <v>0</v>
      </c>
      <c r="D127" s="5">
        <f t="shared" si="5"/>
        <v>5</v>
      </c>
      <c r="E127" s="6">
        <v>314.21969999999999</v>
      </c>
      <c r="F127" s="6">
        <f t="shared" si="6"/>
        <v>1571.0985000000001</v>
      </c>
      <c r="G127" t="s">
        <v>17</v>
      </c>
      <c r="H127">
        <v>9007</v>
      </c>
      <c r="I127" t="str">
        <f>IFERROR(_xlfn.XLOOKUP($A127,'Base SKUs'!$E:$E,'Base SKUs'!A:A),"")</f>
        <v>Cumaru</v>
      </c>
      <c r="J127" t="str">
        <f>IFERROR(_xlfn.XLOOKUP($A127,'Base SKUs'!$E:$E,'Base SKUs'!B:B),"")</f>
        <v>Cumaru 8x8</v>
      </c>
      <c r="K127" t="str">
        <f>IFERROR(_xlfn.XLOOKUP($A127,'Base SKUs'!$E:$E,'Base SKUs'!C:C),"")</f>
        <v>Long</v>
      </c>
      <c r="L127" t="str">
        <f>IFERROR(_xlfn.XLOOKUP($A127,'Base SKUs'!$E:$E,'Base SKUs'!D:D),"")</f>
        <v>Hardwoods</v>
      </c>
      <c r="M127" t="str">
        <f>IFERROR(_xlfn.XLOOKUP($A127,'Base SKUs'!$E:$E,'Base SKUs'!G:G),"")</f>
        <v>Cumaru</v>
      </c>
      <c r="N127" t="str">
        <f>IFERROR(_xlfn.XLOOKUP($A127,'Base SKUs'!$E:$E,'Base SKUs'!H:H),"")</f>
        <v>S4S E4E</v>
      </c>
      <c r="O127" t="str">
        <f>IFERROR(_xlfn.XLOOKUP($A127,'Base SKUs'!$E:$E,'Base SKUs'!I:I),"")</f>
        <v>-</v>
      </c>
      <c r="P127" t="str">
        <f>IFERROR(_xlfn.XLOOKUP($A127,'Base SKUs'!$E:$E,'Base SKUs'!J:J),"")</f>
        <v>8x8</v>
      </c>
      <c r="Q127">
        <f>IFERROR(_xlfn.XLOOKUP($A127,'Base SKUs'!$E:$E,'Base SKUs'!K:K),"")</f>
        <v>16</v>
      </c>
      <c r="R127" s="7">
        <f>IFERROR(_xlfn.XLOOKUP($A127,'Base SKUs'!$E:$E,'Base SKUs'!S:S),"")</f>
        <v>0.16537824988800004</v>
      </c>
      <c r="S127" s="8">
        <f t="shared" si="7"/>
        <v>0.82689124944000025</v>
      </c>
      <c r="T127" s="7">
        <f>IFERROR(_xlfn.XLOOKUP($A127,'Base SKUs'!$E:$E,'Base SKUs'!R:R),"")</f>
        <v>96.748000000000005</v>
      </c>
      <c r="U127" s="15">
        <f t="shared" si="8"/>
        <v>80</v>
      </c>
      <c r="V127" t="str">
        <f t="shared" si="9"/>
        <v>Miami</v>
      </c>
    </row>
    <row r="128" spans="1:22" x14ac:dyDescent="0.2">
      <c r="A128" t="s">
        <v>268</v>
      </c>
      <c r="B128" s="5">
        <v>4</v>
      </c>
      <c r="C128" s="5">
        <v>0</v>
      </c>
      <c r="D128" s="5">
        <f t="shared" si="5"/>
        <v>4</v>
      </c>
      <c r="E128" s="6">
        <v>353.49720000000002</v>
      </c>
      <c r="F128" s="6">
        <f t="shared" si="6"/>
        <v>1413.9888000000001</v>
      </c>
      <c r="G128" t="s">
        <v>17</v>
      </c>
      <c r="H128">
        <v>9007</v>
      </c>
      <c r="I128" t="str">
        <f>IFERROR(_xlfn.XLOOKUP($A128,'Base SKUs'!$E:$E,'Base SKUs'!A:A),"")</f>
        <v>Cumaru</v>
      </c>
      <c r="J128" t="str">
        <f>IFERROR(_xlfn.XLOOKUP($A128,'Base SKUs'!$E:$E,'Base SKUs'!B:B),"")</f>
        <v>Cumaru 8x8</v>
      </c>
      <c r="K128" t="str">
        <f>IFERROR(_xlfn.XLOOKUP($A128,'Base SKUs'!$E:$E,'Base SKUs'!C:C),"")</f>
        <v>Long</v>
      </c>
      <c r="L128" t="str">
        <f>IFERROR(_xlfn.XLOOKUP($A128,'Base SKUs'!$E:$E,'Base SKUs'!D:D),"")</f>
        <v>Hardwoods</v>
      </c>
      <c r="M128" t="str">
        <f>IFERROR(_xlfn.XLOOKUP($A128,'Base SKUs'!$E:$E,'Base SKUs'!G:G),"")</f>
        <v>Cumaru</v>
      </c>
      <c r="N128" t="str">
        <f>IFERROR(_xlfn.XLOOKUP($A128,'Base SKUs'!$E:$E,'Base SKUs'!H:H),"")</f>
        <v>S4S E4E</v>
      </c>
      <c r="O128" t="str">
        <f>IFERROR(_xlfn.XLOOKUP($A128,'Base SKUs'!$E:$E,'Base SKUs'!I:I),"")</f>
        <v>-</v>
      </c>
      <c r="P128" t="str">
        <f>IFERROR(_xlfn.XLOOKUP($A128,'Base SKUs'!$E:$E,'Base SKUs'!J:J),"")</f>
        <v>8x8</v>
      </c>
      <c r="Q128">
        <f>IFERROR(_xlfn.XLOOKUP($A128,'Base SKUs'!$E:$E,'Base SKUs'!K:K),"")</f>
        <v>18</v>
      </c>
      <c r="R128" s="7">
        <f>IFERROR(_xlfn.XLOOKUP($A128,'Base SKUs'!$E:$E,'Base SKUs'!S:S),"")</f>
        <v>0.186050531124</v>
      </c>
      <c r="S128" s="8">
        <f t="shared" si="7"/>
        <v>0.74420212449599998</v>
      </c>
      <c r="T128" s="7">
        <f>IFERROR(_xlfn.XLOOKUP($A128,'Base SKUs'!$E:$E,'Base SKUs'!R:R),"")</f>
        <v>96.748000000000005</v>
      </c>
      <c r="U128" s="15">
        <f t="shared" si="8"/>
        <v>72</v>
      </c>
      <c r="V128" t="str">
        <f t="shared" si="9"/>
        <v>Miami</v>
      </c>
    </row>
    <row r="129" spans="1:22" x14ac:dyDescent="0.2">
      <c r="A129" t="s">
        <v>270</v>
      </c>
      <c r="B129" s="5">
        <v>5</v>
      </c>
      <c r="C129" s="5">
        <v>0</v>
      </c>
      <c r="D129" s="5">
        <f t="shared" si="5"/>
        <v>5</v>
      </c>
      <c r="E129" s="6">
        <v>392.7747</v>
      </c>
      <c r="F129" s="6">
        <f t="shared" si="6"/>
        <v>1963.8734999999999</v>
      </c>
      <c r="G129" t="s">
        <v>17</v>
      </c>
      <c r="H129">
        <v>9007</v>
      </c>
      <c r="I129" t="str">
        <f>IFERROR(_xlfn.XLOOKUP($A129,'Base SKUs'!$E:$E,'Base SKUs'!A:A),"")</f>
        <v>Cumaru</v>
      </c>
      <c r="J129" t="str">
        <f>IFERROR(_xlfn.XLOOKUP($A129,'Base SKUs'!$E:$E,'Base SKUs'!B:B),"")</f>
        <v>Cumaru 8x8</v>
      </c>
      <c r="K129" t="str">
        <f>IFERROR(_xlfn.XLOOKUP($A129,'Base SKUs'!$E:$E,'Base SKUs'!C:C),"")</f>
        <v>Long</v>
      </c>
      <c r="L129" t="str">
        <f>IFERROR(_xlfn.XLOOKUP($A129,'Base SKUs'!$E:$E,'Base SKUs'!D:D),"")</f>
        <v>Hardwoods</v>
      </c>
      <c r="M129" t="str">
        <f>IFERROR(_xlfn.XLOOKUP($A129,'Base SKUs'!$E:$E,'Base SKUs'!G:G),"")</f>
        <v>Cumaru</v>
      </c>
      <c r="N129" t="str">
        <f>IFERROR(_xlfn.XLOOKUP($A129,'Base SKUs'!$E:$E,'Base SKUs'!H:H),"")</f>
        <v>S4S E4E</v>
      </c>
      <c r="O129" t="str">
        <f>IFERROR(_xlfn.XLOOKUP($A129,'Base SKUs'!$E:$E,'Base SKUs'!I:I),"")</f>
        <v>-</v>
      </c>
      <c r="P129" t="str">
        <f>IFERROR(_xlfn.XLOOKUP($A129,'Base SKUs'!$E:$E,'Base SKUs'!J:J),"")</f>
        <v>8x8</v>
      </c>
      <c r="Q129">
        <f>IFERROR(_xlfn.XLOOKUP($A129,'Base SKUs'!$E:$E,'Base SKUs'!K:K),"")</f>
        <v>20</v>
      </c>
      <c r="R129" s="7">
        <f>IFERROR(_xlfn.XLOOKUP($A129,'Base SKUs'!$E:$E,'Base SKUs'!S:S),"")</f>
        <v>0.20672281236000004</v>
      </c>
      <c r="S129" s="8">
        <f t="shared" si="7"/>
        <v>1.0336140618000003</v>
      </c>
      <c r="T129" s="7">
        <f>IFERROR(_xlfn.XLOOKUP($A129,'Base SKUs'!$E:$E,'Base SKUs'!R:R),"")</f>
        <v>96.748000000000005</v>
      </c>
      <c r="U129" s="15">
        <f t="shared" si="8"/>
        <v>100</v>
      </c>
      <c r="V129" t="str">
        <f t="shared" si="9"/>
        <v>Miami</v>
      </c>
    </row>
    <row r="130" spans="1:22" x14ac:dyDescent="0.2">
      <c r="A130" t="s">
        <v>272</v>
      </c>
      <c r="B130" s="5">
        <v>4</v>
      </c>
      <c r="C130" s="5">
        <v>0</v>
      </c>
      <c r="D130" s="5">
        <f t="shared" ref="D130:D193" si="10">B130-C130</f>
        <v>4</v>
      </c>
      <c r="E130" s="6">
        <v>157.10980000000001</v>
      </c>
      <c r="F130" s="6">
        <f t="shared" ref="F130:F193" si="11">B130*E130</f>
        <v>628.43920000000003</v>
      </c>
      <c r="G130" t="s">
        <v>17</v>
      </c>
      <c r="H130">
        <v>9007</v>
      </c>
      <c r="I130" t="str">
        <f>IFERROR(_xlfn.XLOOKUP($A130,'Base SKUs'!$E:$E,'Base SKUs'!A:A),"")</f>
        <v>Cumaru</v>
      </c>
      <c r="J130" t="str">
        <f>IFERROR(_xlfn.XLOOKUP($A130,'Base SKUs'!$E:$E,'Base SKUs'!B:B),"")</f>
        <v>Cumaru 8x8</v>
      </c>
      <c r="K130" t="str">
        <f>IFERROR(_xlfn.XLOOKUP($A130,'Base SKUs'!$E:$E,'Base SKUs'!C:C),"")</f>
        <v>Long</v>
      </c>
      <c r="L130" t="str">
        <f>IFERROR(_xlfn.XLOOKUP($A130,'Base SKUs'!$E:$E,'Base SKUs'!D:D),"")</f>
        <v>Hardwoods</v>
      </c>
      <c r="M130" t="str">
        <f>IFERROR(_xlfn.XLOOKUP($A130,'Base SKUs'!$E:$E,'Base SKUs'!G:G),"")</f>
        <v>Cumaru</v>
      </c>
      <c r="N130" t="str">
        <f>IFERROR(_xlfn.XLOOKUP($A130,'Base SKUs'!$E:$E,'Base SKUs'!H:H),"")</f>
        <v>S4S E4E</v>
      </c>
      <c r="O130" t="str">
        <f>IFERROR(_xlfn.XLOOKUP($A130,'Base SKUs'!$E:$E,'Base SKUs'!I:I),"")</f>
        <v>-</v>
      </c>
      <c r="P130" t="str">
        <f>IFERROR(_xlfn.XLOOKUP($A130,'Base SKUs'!$E:$E,'Base SKUs'!J:J),"")</f>
        <v>8x8</v>
      </c>
      <c r="Q130">
        <f>IFERROR(_xlfn.XLOOKUP($A130,'Base SKUs'!$E:$E,'Base SKUs'!K:K),"")</f>
        <v>8</v>
      </c>
      <c r="R130" s="7">
        <f>IFERROR(_xlfn.XLOOKUP($A130,'Base SKUs'!$E:$E,'Base SKUs'!S:S),"")</f>
        <v>8.268912494400002E-2</v>
      </c>
      <c r="S130" s="8">
        <f t="shared" ref="S130:S193" si="12">IF(OR(L130="Saicos",L130="Oil",L130="US4",L130="Wood Table",L130="Woca",L130="Norx",N130="Tiles"),D130,D130*R130)</f>
        <v>0.33075649977600008</v>
      </c>
      <c r="T130" s="7">
        <f>IFERROR(_xlfn.XLOOKUP($A130,'Base SKUs'!$E:$E,'Base SKUs'!R:R),"")</f>
        <v>96.748000000000005</v>
      </c>
      <c r="U130" s="15">
        <f t="shared" ref="U130:U193" si="13">ROUND(IF(OR(L130="Saicos",L130="Oil",L130="US4",L130="Wood Table",L130="Woca",L130="Norx",N130="Tiles"),D130,S130*T130),0)</f>
        <v>32</v>
      </c>
      <c r="V130" t="str">
        <f t="shared" ref="V130:V193" si="14">IF(H130=9007,"Miami",IF(H130=9008,"Texas",IF(H130=9009,"Boston",IF(H130=9010,"BS Detroit",IF(H130=9011,"New York",IF(H130=9012,"HW Perris",IF(H130=9013,"BS Riverside",IF(H130=9014,"On the Way",IF(H130=9015,"Russin",IF(H130=9016,"Palm Beach",""))))))))))</f>
        <v>Miami</v>
      </c>
    </row>
    <row r="131" spans="1:22" x14ac:dyDescent="0.2">
      <c r="A131" t="s">
        <v>274</v>
      </c>
      <c r="B131" s="5">
        <v>592</v>
      </c>
      <c r="C131" s="5">
        <v>592</v>
      </c>
      <c r="D131" s="5">
        <f t="shared" si="10"/>
        <v>0</v>
      </c>
      <c r="E131" s="6">
        <v>5.7602000000000002</v>
      </c>
      <c r="F131" s="6">
        <f t="shared" si="11"/>
        <v>3410.0383999999999</v>
      </c>
      <c r="G131" t="s">
        <v>24</v>
      </c>
      <c r="H131">
        <v>9008</v>
      </c>
      <c r="I131" t="str">
        <f>IFERROR(_xlfn.XLOOKUP($A131,'Base SKUs'!$E:$E,'Base SKUs'!A:A),"")</f>
        <v>Cumaru</v>
      </c>
      <c r="J131" t="str">
        <f>IFERROR(_xlfn.XLOOKUP($A131,'Base SKUs'!$E:$E,'Base SKUs'!B:B),"")</f>
        <v>Cumaru 1x4 Plus</v>
      </c>
      <c r="K131" t="str">
        <f>IFERROR(_xlfn.XLOOKUP($A131,'Base SKUs'!$E:$E,'Base SKUs'!C:C),"")</f>
        <v>Long</v>
      </c>
      <c r="L131" t="str">
        <f>IFERROR(_xlfn.XLOOKUP($A131,'Base SKUs'!$E:$E,'Base SKUs'!D:D),"")</f>
        <v>Hardwoods</v>
      </c>
      <c r="M131" t="str">
        <f>IFERROR(_xlfn.XLOOKUP($A131,'Base SKUs'!$E:$E,'Base SKUs'!G:G),"")</f>
        <v>Cumaru</v>
      </c>
      <c r="N131" t="str">
        <f>IFERROR(_xlfn.XLOOKUP($A131,'Base SKUs'!$E:$E,'Base SKUs'!H:H),"")</f>
        <v>S4S E4E</v>
      </c>
      <c r="O131" t="str">
        <f>IFERROR(_xlfn.XLOOKUP($A131,'Base SKUs'!$E:$E,'Base SKUs'!I:I),"")</f>
        <v>-</v>
      </c>
      <c r="P131" t="str">
        <f>IFERROR(_xlfn.XLOOKUP($A131,'Base SKUs'!$E:$E,'Base SKUs'!J:J),"")</f>
        <v>1x4 Plus</v>
      </c>
      <c r="Q131">
        <f>IFERROR(_xlfn.XLOOKUP($A131,'Base SKUs'!$E:$E,'Base SKUs'!K:K),"")</f>
        <v>10</v>
      </c>
      <c r="R131" s="7">
        <f>IFERROR(_xlfn.XLOOKUP($A131,'Base SKUs'!$E:$E,'Base SKUs'!S:S),"")</f>
        <v>6.452406449999999E-3</v>
      </c>
      <c r="S131" s="8">
        <f t="shared" si="12"/>
        <v>0</v>
      </c>
      <c r="T131" s="7">
        <f>IFERROR(_xlfn.XLOOKUP($A131,'Base SKUs'!$E:$E,'Base SKUs'!R:R),"")</f>
        <v>1549.809</v>
      </c>
      <c r="U131" s="15">
        <f t="shared" si="13"/>
        <v>0</v>
      </c>
      <c r="V131" t="str">
        <f t="shared" si="14"/>
        <v>Texas</v>
      </c>
    </row>
    <row r="132" spans="1:22" x14ac:dyDescent="0.2">
      <c r="A132" t="s">
        <v>276</v>
      </c>
      <c r="B132" s="5">
        <v>790</v>
      </c>
      <c r="C132" s="5">
        <v>790</v>
      </c>
      <c r="D132" s="5">
        <f t="shared" si="10"/>
        <v>0</v>
      </c>
      <c r="E132" s="6">
        <v>6.3361999999999998</v>
      </c>
      <c r="F132" s="6">
        <f t="shared" si="11"/>
        <v>5005.598</v>
      </c>
      <c r="G132" t="s">
        <v>24</v>
      </c>
      <c r="H132">
        <v>9008</v>
      </c>
      <c r="I132" t="str">
        <f>IFERROR(_xlfn.XLOOKUP($A132,'Base SKUs'!$E:$E,'Base SKUs'!A:A),"")</f>
        <v>Cumaru</v>
      </c>
      <c r="J132" t="str">
        <f>IFERROR(_xlfn.XLOOKUP($A132,'Base SKUs'!$E:$E,'Base SKUs'!B:B),"")</f>
        <v>Cumaru 1x4 Plus</v>
      </c>
      <c r="K132" t="str">
        <f>IFERROR(_xlfn.XLOOKUP($A132,'Base SKUs'!$E:$E,'Base SKUs'!C:C),"")</f>
        <v>Long</v>
      </c>
      <c r="L132" t="str">
        <f>IFERROR(_xlfn.XLOOKUP($A132,'Base SKUs'!$E:$E,'Base SKUs'!D:D),"")</f>
        <v>Hardwoods</v>
      </c>
      <c r="M132" t="str">
        <f>IFERROR(_xlfn.XLOOKUP($A132,'Base SKUs'!$E:$E,'Base SKUs'!G:G),"")</f>
        <v>Cumaru</v>
      </c>
      <c r="N132" t="str">
        <f>IFERROR(_xlfn.XLOOKUP($A132,'Base SKUs'!$E:$E,'Base SKUs'!H:H),"")</f>
        <v>S4S E4E</v>
      </c>
      <c r="O132" t="str">
        <f>IFERROR(_xlfn.XLOOKUP($A132,'Base SKUs'!$E:$E,'Base SKUs'!I:I),"")</f>
        <v>-</v>
      </c>
      <c r="P132" t="str">
        <f>IFERROR(_xlfn.XLOOKUP($A132,'Base SKUs'!$E:$E,'Base SKUs'!J:J),"")</f>
        <v>1x4 Plus</v>
      </c>
      <c r="Q132">
        <f>IFERROR(_xlfn.XLOOKUP($A132,'Base SKUs'!$E:$E,'Base SKUs'!K:K),"")</f>
        <v>11</v>
      </c>
      <c r="R132" s="7">
        <f>IFERROR(_xlfn.XLOOKUP($A132,'Base SKUs'!$E:$E,'Base SKUs'!S:S),"")</f>
        <v>7.0976470949999987E-3</v>
      </c>
      <c r="S132" s="8">
        <f t="shared" si="12"/>
        <v>0</v>
      </c>
      <c r="T132" s="7">
        <f>IFERROR(_xlfn.XLOOKUP($A132,'Base SKUs'!$E:$E,'Base SKUs'!R:R),"")</f>
        <v>1549.809</v>
      </c>
      <c r="U132" s="15">
        <f t="shared" si="13"/>
        <v>0</v>
      </c>
      <c r="V132" t="str">
        <f t="shared" si="14"/>
        <v>Texas</v>
      </c>
    </row>
    <row r="133" spans="1:22" x14ac:dyDescent="0.2">
      <c r="A133" t="s">
        <v>278</v>
      </c>
      <c r="B133" s="5">
        <v>482</v>
      </c>
      <c r="C133" s="5">
        <v>482</v>
      </c>
      <c r="D133" s="5">
        <f t="shared" si="10"/>
        <v>0</v>
      </c>
      <c r="E133" s="6">
        <v>8.7258999999999993</v>
      </c>
      <c r="F133" s="6">
        <f t="shared" si="11"/>
        <v>4205.8837999999996</v>
      </c>
      <c r="G133" t="s">
        <v>24</v>
      </c>
      <c r="H133">
        <v>9008</v>
      </c>
      <c r="I133" t="str">
        <f>IFERROR(_xlfn.XLOOKUP($A133,'Base SKUs'!$E:$E,'Base SKUs'!A:A),"")</f>
        <v>Cumaru</v>
      </c>
      <c r="J133" t="str">
        <f>IFERROR(_xlfn.XLOOKUP($A133,'Base SKUs'!$E:$E,'Base SKUs'!B:B),"")</f>
        <v>Cumaru 1x4 Plus</v>
      </c>
      <c r="K133" t="str">
        <f>IFERROR(_xlfn.XLOOKUP($A133,'Base SKUs'!$E:$E,'Base SKUs'!C:C),"")</f>
        <v>Long</v>
      </c>
      <c r="L133" t="str">
        <f>IFERROR(_xlfn.XLOOKUP($A133,'Base SKUs'!$E:$E,'Base SKUs'!D:D),"")</f>
        <v>Hardwoods</v>
      </c>
      <c r="M133" t="str">
        <f>IFERROR(_xlfn.XLOOKUP($A133,'Base SKUs'!$E:$E,'Base SKUs'!G:G),"")</f>
        <v>Cumaru</v>
      </c>
      <c r="N133" t="str">
        <f>IFERROR(_xlfn.XLOOKUP($A133,'Base SKUs'!$E:$E,'Base SKUs'!H:H),"")</f>
        <v>S4S E4E</v>
      </c>
      <c r="O133" t="str">
        <f>IFERROR(_xlfn.XLOOKUP($A133,'Base SKUs'!$E:$E,'Base SKUs'!I:I),"")</f>
        <v>-</v>
      </c>
      <c r="P133" t="str">
        <f>IFERROR(_xlfn.XLOOKUP($A133,'Base SKUs'!$E:$E,'Base SKUs'!J:J),"")</f>
        <v>1x4 Plus</v>
      </c>
      <c r="Q133">
        <f>IFERROR(_xlfn.XLOOKUP($A133,'Base SKUs'!$E:$E,'Base SKUs'!K:K),"")</f>
        <v>12</v>
      </c>
      <c r="R133" s="7">
        <f>IFERROR(_xlfn.XLOOKUP($A133,'Base SKUs'!$E:$E,'Base SKUs'!S:S),"")</f>
        <v>7.7428877399999983E-3</v>
      </c>
      <c r="S133" s="8">
        <f t="shared" si="12"/>
        <v>0</v>
      </c>
      <c r="T133" s="7">
        <f>IFERROR(_xlfn.XLOOKUP($A133,'Base SKUs'!$E:$E,'Base SKUs'!R:R),"")</f>
        <v>1549.809</v>
      </c>
      <c r="U133" s="15">
        <f t="shared" si="13"/>
        <v>0</v>
      </c>
      <c r="V133" t="str">
        <f t="shared" si="14"/>
        <v>Texas</v>
      </c>
    </row>
    <row r="134" spans="1:22" x14ac:dyDescent="0.2">
      <c r="A134" t="s">
        <v>280</v>
      </c>
      <c r="B134" s="5">
        <v>780</v>
      </c>
      <c r="C134" s="5">
        <v>780</v>
      </c>
      <c r="D134" s="5">
        <f t="shared" si="10"/>
        <v>0</v>
      </c>
      <c r="E134" s="6">
        <v>9.4530999999999992</v>
      </c>
      <c r="F134" s="6">
        <f t="shared" si="11"/>
        <v>7373.4179999999997</v>
      </c>
      <c r="G134" t="s">
        <v>24</v>
      </c>
      <c r="H134">
        <v>9008</v>
      </c>
      <c r="I134" t="str">
        <f>IFERROR(_xlfn.XLOOKUP($A134,'Base SKUs'!$E:$E,'Base SKUs'!A:A),"")</f>
        <v>Cumaru</v>
      </c>
      <c r="J134" t="str">
        <f>IFERROR(_xlfn.XLOOKUP($A134,'Base SKUs'!$E:$E,'Base SKUs'!B:B),"")</f>
        <v>Cumaru 1x4 Plus</v>
      </c>
      <c r="K134" t="str">
        <f>IFERROR(_xlfn.XLOOKUP($A134,'Base SKUs'!$E:$E,'Base SKUs'!C:C),"")</f>
        <v>Long</v>
      </c>
      <c r="L134" t="str">
        <f>IFERROR(_xlfn.XLOOKUP($A134,'Base SKUs'!$E:$E,'Base SKUs'!D:D),"")</f>
        <v>Hardwoods</v>
      </c>
      <c r="M134" t="str">
        <f>IFERROR(_xlfn.XLOOKUP($A134,'Base SKUs'!$E:$E,'Base SKUs'!G:G),"")</f>
        <v>Cumaru</v>
      </c>
      <c r="N134" t="str">
        <f>IFERROR(_xlfn.XLOOKUP($A134,'Base SKUs'!$E:$E,'Base SKUs'!H:H),"")</f>
        <v>S4S E4E</v>
      </c>
      <c r="O134" t="str">
        <f>IFERROR(_xlfn.XLOOKUP($A134,'Base SKUs'!$E:$E,'Base SKUs'!I:I),"")</f>
        <v>-</v>
      </c>
      <c r="P134" t="str">
        <f>IFERROR(_xlfn.XLOOKUP($A134,'Base SKUs'!$E:$E,'Base SKUs'!J:J),"")</f>
        <v>1x4 Plus</v>
      </c>
      <c r="Q134">
        <f>IFERROR(_xlfn.XLOOKUP($A134,'Base SKUs'!$E:$E,'Base SKUs'!K:K),"")</f>
        <v>13</v>
      </c>
      <c r="R134" s="7">
        <f>IFERROR(_xlfn.XLOOKUP($A134,'Base SKUs'!$E:$E,'Base SKUs'!S:S),"")</f>
        <v>8.3881283850000005E-3</v>
      </c>
      <c r="S134" s="8">
        <f t="shared" si="12"/>
        <v>0</v>
      </c>
      <c r="T134" s="7">
        <f>IFERROR(_xlfn.XLOOKUP($A134,'Base SKUs'!$E:$E,'Base SKUs'!R:R),"")</f>
        <v>1549.809</v>
      </c>
      <c r="U134" s="15">
        <f t="shared" si="13"/>
        <v>0</v>
      </c>
      <c r="V134" t="str">
        <f t="shared" si="14"/>
        <v>Texas</v>
      </c>
    </row>
    <row r="135" spans="1:22" x14ac:dyDescent="0.2">
      <c r="A135" t="s">
        <v>282</v>
      </c>
      <c r="B135" s="5">
        <v>241</v>
      </c>
      <c r="C135" s="5">
        <v>241</v>
      </c>
      <c r="D135" s="5">
        <f t="shared" si="10"/>
        <v>0</v>
      </c>
      <c r="E135" s="6">
        <v>10.180300000000001</v>
      </c>
      <c r="F135" s="6">
        <f t="shared" si="11"/>
        <v>2453.4523000000004</v>
      </c>
      <c r="G135" t="s">
        <v>24</v>
      </c>
      <c r="H135">
        <v>9008</v>
      </c>
      <c r="I135" t="str">
        <f>IFERROR(_xlfn.XLOOKUP($A135,'Base SKUs'!$E:$E,'Base SKUs'!A:A),"")</f>
        <v>Cumaru</v>
      </c>
      <c r="J135" t="str">
        <f>IFERROR(_xlfn.XLOOKUP($A135,'Base SKUs'!$E:$E,'Base SKUs'!B:B),"")</f>
        <v>Cumaru 1x4 Plus</v>
      </c>
      <c r="K135" t="str">
        <f>IFERROR(_xlfn.XLOOKUP($A135,'Base SKUs'!$E:$E,'Base SKUs'!C:C),"")</f>
        <v>Long</v>
      </c>
      <c r="L135" t="str">
        <f>IFERROR(_xlfn.XLOOKUP($A135,'Base SKUs'!$E:$E,'Base SKUs'!D:D),"")</f>
        <v>Hardwoods</v>
      </c>
      <c r="M135" t="str">
        <f>IFERROR(_xlfn.XLOOKUP($A135,'Base SKUs'!$E:$E,'Base SKUs'!G:G),"")</f>
        <v>Cumaru</v>
      </c>
      <c r="N135" t="str">
        <f>IFERROR(_xlfn.XLOOKUP($A135,'Base SKUs'!$E:$E,'Base SKUs'!H:H),"")</f>
        <v>S4S E4E</v>
      </c>
      <c r="O135" t="str">
        <f>IFERROR(_xlfn.XLOOKUP($A135,'Base SKUs'!$E:$E,'Base SKUs'!I:I),"")</f>
        <v>-</v>
      </c>
      <c r="P135" t="str">
        <f>IFERROR(_xlfn.XLOOKUP($A135,'Base SKUs'!$E:$E,'Base SKUs'!J:J),"")</f>
        <v>1x4 Plus</v>
      </c>
      <c r="Q135">
        <f>IFERROR(_xlfn.XLOOKUP($A135,'Base SKUs'!$E:$E,'Base SKUs'!K:K),"")</f>
        <v>14</v>
      </c>
      <c r="R135" s="7">
        <f>IFERROR(_xlfn.XLOOKUP($A135,'Base SKUs'!$E:$E,'Base SKUs'!S:S),"")</f>
        <v>9.0333690299999984E-3</v>
      </c>
      <c r="S135" s="8">
        <f t="shared" si="12"/>
        <v>0</v>
      </c>
      <c r="T135" s="7">
        <f>IFERROR(_xlfn.XLOOKUP($A135,'Base SKUs'!$E:$E,'Base SKUs'!R:R),"")</f>
        <v>1549.809</v>
      </c>
      <c r="U135" s="15">
        <f t="shared" si="13"/>
        <v>0</v>
      </c>
      <c r="V135" t="str">
        <f t="shared" si="14"/>
        <v>Texas</v>
      </c>
    </row>
    <row r="136" spans="1:22" x14ac:dyDescent="0.2">
      <c r="A136" t="s">
        <v>284</v>
      </c>
      <c r="B136" s="5">
        <v>497</v>
      </c>
      <c r="C136" s="5">
        <v>497</v>
      </c>
      <c r="D136" s="5">
        <f t="shared" si="10"/>
        <v>0</v>
      </c>
      <c r="E136" s="6">
        <v>10.907400000000001</v>
      </c>
      <c r="F136" s="6">
        <f t="shared" si="11"/>
        <v>5420.9778000000006</v>
      </c>
      <c r="G136" t="s">
        <v>24</v>
      </c>
      <c r="H136">
        <v>9008</v>
      </c>
      <c r="I136" t="str">
        <f>IFERROR(_xlfn.XLOOKUP($A136,'Base SKUs'!$E:$E,'Base SKUs'!A:A),"")</f>
        <v>Cumaru</v>
      </c>
      <c r="J136" t="str">
        <f>IFERROR(_xlfn.XLOOKUP($A136,'Base SKUs'!$E:$E,'Base SKUs'!B:B),"")</f>
        <v>Cumaru 1x4 Plus</v>
      </c>
      <c r="K136" t="str">
        <f>IFERROR(_xlfn.XLOOKUP($A136,'Base SKUs'!$E:$E,'Base SKUs'!C:C),"")</f>
        <v>Long</v>
      </c>
      <c r="L136" t="str">
        <f>IFERROR(_xlfn.XLOOKUP($A136,'Base SKUs'!$E:$E,'Base SKUs'!D:D),"")</f>
        <v>Hardwoods</v>
      </c>
      <c r="M136" t="str">
        <f>IFERROR(_xlfn.XLOOKUP($A136,'Base SKUs'!$E:$E,'Base SKUs'!G:G),"")</f>
        <v>Cumaru</v>
      </c>
      <c r="N136" t="str">
        <f>IFERROR(_xlfn.XLOOKUP($A136,'Base SKUs'!$E:$E,'Base SKUs'!H:H),"")</f>
        <v>S4S E4E</v>
      </c>
      <c r="O136" t="str">
        <f>IFERROR(_xlfn.XLOOKUP($A136,'Base SKUs'!$E:$E,'Base SKUs'!I:I),"")</f>
        <v>-</v>
      </c>
      <c r="P136" t="str">
        <f>IFERROR(_xlfn.XLOOKUP($A136,'Base SKUs'!$E:$E,'Base SKUs'!J:J),"")</f>
        <v>1x4 Plus</v>
      </c>
      <c r="Q136">
        <f>IFERROR(_xlfn.XLOOKUP($A136,'Base SKUs'!$E:$E,'Base SKUs'!K:K),"")</f>
        <v>15</v>
      </c>
      <c r="R136" s="7">
        <f>IFERROR(_xlfn.XLOOKUP($A136,'Base SKUs'!$E:$E,'Base SKUs'!S:S),"")</f>
        <v>9.6786096749999981E-3</v>
      </c>
      <c r="S136" s="8">
        <f t="shared" si="12"/>
        <v>0</v>
      </c>
      <c r="T136" s="7">
        <f>IFERROR(_xlfn.XLOOKUP($A136,'Base SKUs'!$E:$E,'Base SKUs'!R:R),"")</f>
        <v>1549.809</v>
      </c>
      <c r="U136" s="15">
        <f t="shared" si="13"/>
        <v>0</v>
      </c>
      <c r="V136" t="str">
        <f t="shared" si="14"/>
        <v>Texas</v>
      </c>
    </row>
    <row r="137" spans="1:22" x14ac:dyDescent="0.2">
      <c r="A137" t="s">
        <v>286</v>
      </c>
      <c r="B137" s="5">
        <v>450</v>
      </c>
      <c r="C137" s="5">
        <v>450</v>
      </c>
      <c r="D137" s="5">
        <f t="shared" si="10"/>
        <v>0</v>
      </c>
      <c r="E137" s="6">
        <v>11.634600000000001</v>
      </c>
      <c r="F137" s="6">
        <f t="shared" si="11"/>
        <v>5235.5700000000006</v>
      </c>
      <c r="G137" t="s">
        <v>24</v>
      </c>
      <c r="H137">
        <v>9008</v>
      </c>
      <c r="I137" t="str">
        <f>IFERROR(_xlfn.XLOOKUP($A137,'Base SKUs'!$E:$E,'Base SKUs'!A:A),"")</f>
        <v>Cumaru</v>
      </c>
      <c r="J137" t="str">
        <f>IFERROR(_xlfn.XLOOKUP($A137,'Base SKUs'!$E:$E,'Base SKUs'!B:B),"")</f>
        <v>Cumaru 1x4 Plus</v>
      </c>
      <c r="K137" t="str">
        <f>IFERROR(_xlfn.XLOOKUP($A137,'Base SKUs'!$E:$E,'Base SKUs'!C:C),"")</f>
        <v>Long</v>
      </c>
      <c r="L137" t="str">
        <f>IFERROR(_xlfn.XLOOKUP($A137,'Base SKUs'!$E:$E,'Base SKUs'!D:D),"")</f>
        <v>Hardwoods</v>
      </c>
      <c r="M137" t="str">
        <f>IFERROR(_xlfn.XLOOKUP($A137,'Base SKUs'!$E:$E,'Base SKUs'!G:G),"")</f>
        <v>Cumaru</v>
      </c>
      <c r="N137" t="str">
        <f>IFERROR(_xlfn.XLOOKUP($A137,'Base SKUs'!$E:$E,'Base SKUs'!H:H),"")</f>
        <v>S4S E4E</v>
      </c>
      <c r="O137" t="str">
        <f>IFERROR(_xlfn.XLOOKUP($A137,'Base SKUs'!$E:$E,'Base SKUs'!I:I),"")</f>
        <v>-</v>
      </c>
      <c r="P137" t="str">
        <f>IFERROR(_xlfn.XLOOKUP($A137,'Base SKUs'!$E:$E,'Base SKUs'!J:J),"")</f>
        <v>1x4 Plus</v>
      </c>
      <c r="Q137">
        <f>IFERROR(_xlfn.XLOOKUP($A137,'Base SKUs'!$E:$E,'Base SKUs'!K:K),"")</f>
        <v>16</v>
      </c>
      <c r="R137" s="7">
        <f>IFERROR(_xlfn.XLOOKUP($A137,'Base SKUs'!$E:$E,'Base SKUs'!S:S),"")</f>
        <v>1.0323850319999999E-2</v>
      </c>
      <c r="S137" s="8">
        <f t="shared" si="12"/>
        <v>0</v>
      </c>
      <c r="T137" s="7">
        <f>IFERROR(_xlfn.XLOOKUP($A137,'Base SKUs'!$E:$E,'Base SKUs'!R:R),"")</f>
        <v>1549.809</v>
      </c>
      <c r="U137" s="15">
        <f t="shared" si="13"/>
        <v>0</v>
      </c>
      <c r="V137" t="str">
        <f t="shared" si="14"/>
        <v>Texas</v>
      </c>
    </row>
    <row r="138" spans="1:22" x14ac:dyDescent="0.2">
      <c r="A138" t="s">
        <v>288</v>
      </c>
      <c r="B138" s="5">
        <v>263</v>
      </c>
      <c r="C138" s="5">
        <v>263</v>
      </c>
      <c r="D138" s="5">
        <f t="shared" si="10"/>
        <v>0</v>
      </c>
      <c r="E138" s="6">
        <v>12.361800000000001</v>
      </c>
      <c r="F138" s="6">
        <f t="shared" si="11"/>
        <v>3251.1534000000001</v>
      </c>
      <c r="G138" t="s">
        <v>24</v>
      </c>
      <c r="H138">
        <v>9008</v>
      </c>
      <c r="I138" t="str">
        <f>IFERROR(_xlfn.XLOOKUP($A138,'Base SKUs'!$E:$E,'Base SKUs'!A:A),"")</f>
        <v>Cumaru</v>
      </c>
      <c r="J138" t="str">
        <f>IFERROR(_xlfn.XLOOKUP($A138,'Base SKUs'!$E:$E,'Base SKUs'!B:B),"")</f>
        <v>Cumaru 1x4 Plus</v>
      </c>
      <c r="K138" t="str">
        <f>IFERROR(_xlfn.XLOOKUP($A138,'Base SKUs'!$E:$E,'Base SKUs'!C:C),"")</f>
        <v>Long</v>
      </c>
      <c r="L138" t="str">
        <f>IFERROR(_xlfn.XLOOKUP($A138,'Base SKUs'!$E:$E,'Base SKUs'!D:D),"")</f>
        <v>Hardwoods</v>
      </c>
      <c r="M138" t="str">
        <f>IFERROR(_xlfn.XLOOKUP($A138,'Base SKUs'!$E:$E,'Base SKUs'!G:G),"")</f>
        <v>Cumaru</v>
      </c>
      <c r="N138" t="str">
        <f>IFERROR(_xlfn.XLOOKUP($A138,'Base SKUs'!$E:$E,'Base SKUs'!H:H),"")</f>
        <v>S4S E4E</v>
      </c>
      <c r="O138" t="str">
        <f>IFERROR(_xlfn.XLOOKUP($A138,'Base SKUs'!$E:$E,'Base SKUs'!I:I),"")</f>
        <v>-</v>
      </c>
      <c r="P138" t="str">
        <f>IFERROR(_xlfn.XLOOKUP($A138,'Base SKUs'!$E:$E,'Base SKUs'!J:J),"")</f>
        <v>1x4 Plus</v>
      </c>
      <c r="Q138">
        <f>IFERROR(_xlfn.XLOOKUP($A138,'Base SKUs'!$E:$E,'Base SKUs'!K:K),"")</f>
        <v>17</v>
      </c>
      <c r="R138" s="7">
        <f>IFERROR(_xlfn.XLOOKUP($A138,'Base SKUs'!$E:$E,'Base SKUs'!S:S),"")</f>
        <v>1.0969090964999999E-2</v>
      </c>
      <c r="S138" s="8">
        <f t="shared" si="12"/>
        <v>0</v>
      </c>
      <c r="T138" s="7">
        <f>IFERROR(_xlfn.XLOOKUP($A138,'Base SKUs'!$E:$E,'Base SKUs'!R:R),"")</f>
        <v>1549.809</v>
      </c>
      <c r="U138" s="15">
        <f t="shared" si="13"/>
        <v>0</v>
      </c>
      <c r="V138" t="str">
        <f t="shared" si="14"/>
        <v>Texas</v>
      </c>
    </row>
    <row r="139" spans="1:22" x14ac:dyDescent="0.2">
      <c r="A139" t="s">
        <v>290</v>
      </c>
      <c r="B139" s="5">
        <v>115</v>
      </c>
      <c r="C139" s="5">
        <v>115</v>
      </c>
      <c r="D139" s="5">
        <f t="shared" si="10"/>
        <v>0</v>
      </c>
      <c r="E139" s="6">
        <v>13.088900000000001</v>
      </c>
      <c r="F139" s="6">
        <f t="shared" si="11"/>
        <v>1505.2235000000001</v>
      </c>
      <c r="G139" t="s">
        <v>24</v>
      </c>
      <c r="H139">
        <v>9008</v>
      </c>
      <c r="I139" t="str">
        <f>IFERROR(_xlfn.XLOOKUP($A139,'Base SKUs'!$E:$E,'Base SKUs'!A:A),"")</f>
        <v>Cumaru</v>
      </c>
      <c r="J139" t="str">
        <f>IFERROR(_xlfn.XLOOKUP($A139,'Base SKUs'!$E:$E,'Base SKUs'!B:B),"")</f>
        <v>Cumaru 1x4 Plus</v>
      </c>
      <c r="K139" t="str">
        <f>IFERROR(_xlfn.XLOOKUP($A139,'Base SKUs'!$E:$E,'Base SKUs'!C:C),"")</f>
        <v>Long</v>
      </c>
      <c r="L139" t="str">
        <f>IFERROR(_xlfn.XLOOKUP($A139,'Base SKUs'!$E:$E,'Base SKUs'!D:D),"")</f>
        <v>Hardwoods</v>
      </c>
      <c r="M139" t="str">
        <f>IFERROR(_xlfn.XLOOKUP($A139,'Base SKUs'!$E:$E,'Base SKUs'!G:G),"")</f>
        <v>Cumaru</v>
      </c>
      <c r="N139" t="str">
        <f>IFERROR(_xlfn.XLOOKUP($A139,'Base SKUs'!$E:$E,'Base SKUs'!H:H),"")</f>
        <v>S4S E4E</v>
      </c>
      <c r="O139" t="str">
        <f>IFERROR(_xlfn.XLOOKUP($A139,'Base SKUs'!$E:$E,'Base SKUs'!I:I),"")</f>
        <v>-</v>
      </c>
      <c r="P139" t="str">
        <f>IFERROR(_xlfn.XLOOKUP($A139,'Base SKUs'!$E:$E,'Base SKUs'!J:J),"")</f>
        <v>1x4 Plus</v>
      </c>
      <c r="Q139">
        <f>IFERROR(_xlfn.XLOOKUP($A139,'Base SKUs'!$E:$E,'Base SKUs'!K:K),"")</f>
        <v>18</v>
      </c>
      <c r="R139" s="7">
        <f>IFERROR(_xlfn.XLOOKUP($A139,'Base SKUs'!$E:$E,'Base SKUs'!S:S),"")</f>
        <v>1.1614331609999997E-2</v>
      </c>
      <c r="S139" s="8">
        <f t="shared" si="12"/>
        <v>0</v>
      </c>
      <c r="T139" s="7">
        <f>IFERROR(_xlfn.XLOOKUP($A139,'Base SKUs'!$E:$E,'Base SKUs'!R:R),"")</f>
        <v>1549.809</v>
      </c>
      <c r="U139" s="15">
        <f t="shared" si="13"/>
        <v>0</v>
      </c>
      <c r="V139" t="str">
        <f t="shared" si="14"/>
        <v>Texas</v>
      </c>
    </row>
    <row r="140" spans="1:22" x14ac:dyDescent="0.2">
      <c r="A140" t="s">
        <v>292</v>
      </c>
      <c r="B140" s="5">
        <v>178</v>
      </c>
      <c r="C140" s="5">
        <v>178</v>
      </c>
      <c r="D140" s="5">
        <f t="shared" si="10"/>
        <v>0</v>
      </c>
      <c r="E140" s="6">
        <v>13.8161</v>
      </c>
      <c r="F140" s="6">
        <f t="shared" si="11"/>
        <v>2459.2658000000001</v>
      </c>
      <c r="G140" t="s">
        <v>24</v>
      </c>
      <c r="H140">
        <v>9008</v>
      </c>
      <c r="I140" t="str">
        <f>IFERROR(_xlfn.XLOOKUP($A140,'Base SKUs'!$E:$E,'Base SKUs'!A:A),"")</f>
        <v>Cumaru</v>
      </c>
      <c r="J140" t="str">
        <f>IFERROR(_xlfn.XLOOKUP($A140,'Base SKUs'!$E:$E,'Base SKUs'!B:B),"")</f>
        <v>Cumaru 1x4 Plus</v>
      </c>
      <c r="K140" t="str">
        <f>IFERROR(_xlfn.XLOOKUP($A140,'Base SKUs'!$E:$E,'Base SKUs'!C:C),"")</f>
        <v>Long</v>
      </c>
      <c r="L140" t="str">
        <f>IFERROR(_xlfn.XLOOKUP($A140,'Base SKUs'!$E:$E,'Base SKUs'!D:D),"")</f>
        <v>Hardwoods</v>
      </c>
      <c r="M140" t="str">
        <f>IFERROR(_xlfn.XLOOKUP($A140,'Base SKUs'!$E:$E,'Base SKUs'!G:G),"")</f>
        <v>Cumaru</v>
      </c>
      <c r="N140" t="str">
        <f>IFERROR(_xlfn.XLOOKUP($A140,'Base SKUs'!$E:$E,'Base SKUs'!H:H),"")</f>
        <v>S4S E4E</v>
      </c>
      <c r="O140" t="str">
        <f>IFERROR(_xlfn.XLOOKUP($A140,'Base SKUs'!$E:$E,'Base SKUs'!I:I),"")</f>
        <v>-</v>
      </c>
      <c r="P140" t="str">
        <f>IFERROR(_xlfn.XLOOKUP($A140,'Base SKUs'!$E:$E,'Base SKUs'!J:J),"")</f>
        <v>1x4 Plus</v>
      </c>
      <c r="Q140">
        <f>IFERROR(_xlfn.XLOOKUP($A140,'Base SKUs'!$E:$E,'Base SKUs'!K:K),"")</f>
        <v>19</v>
      </c>
      <c r="R140" s="7">
        <f>IFERROR(_xlfn.XLOOKUP($A140,'Base SKUs'!$E:$E,'Base SKUs'!S:S),"")</f>
        <v>1.2259572254999998E-2</v>
      </c>
      <c r="S140" s="8">
        <f t="shared" si="12"/>
        <v>0</v>
      </c>
      <c r="T140" s="7">
        <f>IFERROR(_xlfn.XLOOKUP($A140,'Base SKUs'!$E:$E,'Base SKUs'!R:R),"")</f>
        <v>1549.809</v>
      </c>
      <c r="U140" s="15">
        <f t="shared" si="13"/>
        <v>0</v>
      </c>
      <c r="V140" t="str">
        <f t="shared" si="14"/>
        <v>Texas</v>
      </c>
    </row>
    <row r="141" spans="1:22" x14ac:dyDescent="0.2">
      <c r="A141" t="s">
        <v>294</v>
      </c>
      <c r="B141" s="5">
        <v>158</v>
      </c>
      <c r="C141" s="5">
        <v>158</v>
      </c>
      <c r="D141" s="5">
        <f t="shared" si="10"/>
        <v>0</v>
      </c>
      <c r="E141" s="6">
        <v>14.5433</v>
      </c>
      <c r="F141" s="6">
        <f t="shared" si="11"/>
        <v>2297.8414000000002</v>
      </c>
      <c r="G141" t="s">
        <v>24</v>
      </c>
      <c r="H141">
        <v>9008</v>
      </c>
      <c r="I141" t="str">
        <f>IFERROR(_xlfn.XLOOKUP($A141,'Base SKUs'!$E:$E,'Base SKUs'!A:A),"")</f>
        <v>Cumaru</v>
      </c>
      <c r="J141" t="str">
        <f>IFERROR(_xlfn.XLOOKUP($A141,'Base SKUs'!$E:$E,'Base SKUs'!B:B),"")</f>
        <v>Cumaru 1x4 Plus</v>
      </c>
      <c r="K141" t="str">
        <f>IFERROR(_xlfn.XLOOKUP($A141,'Base SKUs'!$E:$E,'Base SKUs'!C:C),"")</f>
        <v>Long</v>
      </c>
      <c r="L141" t="str">
        <f>IFERROR(_xlfn.XLOOKUP($A141,'Base SKUs'!$E:$E,'Base SKUs'!D:D),"")</f>
        <v>Hardwoods</v>
      </c>
      <c r="M141" t="str">
        <f>IFERROR(_xlfn.XLOOKUP($A141,'Base SKUs'!$E:$E,'Base SKUs'!G:G),"")</f>
        <v>Cumaru</v>
      </c>
      <c r="N141" t="str">
        <f>IFERROR(_xlfn.XLOOKUP($A141,'Base SKUs'!$E:$E,'Base SKUs'!H:H),"")</f>
        <v>S4S E4E</v>
      </c>
      <c r="O141" t="str">
        <f>IFERROR(_xlfn.XLOOKUP($A141,'Base SKUs'!$E:$E,'Base SKUs'!I:I),"")</f>
        <v>-</v>
      </c>
      <c r="P141" t="str">
        <f>IFERROR(_xlfn.XLOOKUP($A141,'Base SKUs'!$E:$E,'Base SKUs'!J:J),"")</f>
        <v>1x4 Plus</v>
      </c>
      <c r="Q141">
        <f>IFERROR(_xlfn.XLOOKUP($A141,'Base SKUs'!$E:$E,'Base SKUs'!K:K),"")</f>
        <v>20</v>
      </c>
      <c r="R141" s="7">
        <f>IFERROR(_xlfn.XLOOKUP($A141,'Base SKUs'!$E:$E,'Base SKUs'!S:S),"")</f>
        <v>1.2904812899999998E-2</v>
      </c>
      <c r="S141" s="8">
        <f t="shared" si="12"/>
        <v>0</v>
      </c>
      <c r="T141" s="7">
        <f>IFERROR(_xlfn.XLOOKUP($A141,'Base SKUs'!$E:$E,'Base SKUs'!R:R),"")</f>
        <v>1549.809</v>
      </c>
      <c r="U141" s="15">
        <f t="shared" si="13"/>
        <v>0</v>
      </c>
      <c r="V141" t="str">
        <f t="shared" si="14"/>
        <v>Texas</v>
      </c>
    </row>
    <row r="142" spans="1:22" x14ac:dyDescent="0.2">
      <c r="A142" t="s">
        <v>296</v>
      </c>
      <c r="B142" s="5">
        <v>26</v>
      </c>
      <c r="C142" s="5">
        <v>26</v>
      </c>
      <c r="D142" s="5">
        <f t="shared" si="10"/>
        <v>0</v>
      </c>
      <c r="E142" s="6">
        <v>15.2704</v>
      </c>
      <c r="F142" s="6">
        <f t="shared" si="11"/>
        <v>397.03039999999999</v>
      </c>
      <c r="G142" t="s">
        <v>24</v>
      </c>
      <c r="H142">
        <v>9008</v>
      </c>
      <c r="I142" t="str">
        <f>IFERROR(_xlfn.XLOOKUP($A142,'Base SKUs'!$E:$E,'Base SKUs'!A:A),"")</f>
        <v>Cumaru</v>
      </c>
      <c r="J142" t="str">
        <f>IFERROR(_xlfn.XLOOKUP($A142,'Base SKUs'!$E:$E,'Base SKUs'!B:B),"")</f>
        <v>Cumaru 1x4 Plus</v>
      </c>
      <c r="K142" t="str">
        <f>IFERROR(_xlfn.XLOOKUP($A142,'Base SKUs'!$E:$E,'Base SKUs'!C:C),"")</f>
        <v>Long</v>
      </c>
      <c r="L142" t="str">
        <f>IFERROR(_xlfn.XLOOKUP($A142,'Base SKUs'!$E:$E,'Base SKUs'!D:D),"")</f>
        <v>Hardwoods</v>
      </c>
      <c r="M142" t="str">
        <f>IFERROR(_xlfn.XLOOKUP($A142,'Base SKUs'!$E:$E,'Base SKUs'!G:G),"")</f>
        <v>Cumaru</v>
      </c>
      <c r="N142" t="str">
        <f>IFERROR(_xlfn.XLOOKUP($A142,'Base SKUs'!$E:$E,'Base SKUs'!H:H),"")</f>
        <v>S4S E4E</v>
      </c>
      <c r="O142" t="str">
        <f>IFERROR(_xlfn.XLOOKUP($A142,'Base SKUs'!$E:$E,'Base SKUs'!I:I),"")</f>
        <v>-</v>
      </c>
      <c r="P142" t="str">
        <f>IFERROR(_xlfn.XLOOKUP($A142,'Base SKUs'!$E:$E,'Base SKUs'!J:J),"")</f>
        <v>1x4 Plus</v>
      </c>
      <c r="Q142">
        <f>IFERROR(_xlfn.XLOOKUP($A142,'Base SKUs'!$E:$E,'Base SKUs'!K:K),"")</f>
        <v>21</v>
      </c>
      <c r="R142" s="7">
        <f>IFERROR(_xlfn.XLOOKUP($A142,'Base SKUs'!$E:$E,'Base SKUs'!S:S),"")</f>
        <v>1.3550053545000001E-2</v>
      </c>
      <c r="S142" s="8">
        <f t="shared" si="12"/>
        <v>0</v>
      </c>
      <c r="T142" s="7">
        <f>IFERROR(_xlfn.XLOOKUP($A142,'Base SKUs'!$E:$E,'Base SKUs'!R:R),"")</f>
        <v>1549.809</v>
      </c>
      <c r="U142" s="15">
        <f t="shared" si="13"/>
        <v>0</v>
      </c>
      <c r="V142" t="str">
        <f t="shared" si="14"/>
        <v>Texas</v>
      </c>
    </row>
    <row r="143" spans="1:22" x14ac:dyDescent="0.2">
      <c r="A143" t="s">
        <v>298</v>
      </c>
      <c r="B143" s="5">
        <v>43</v>
      </c>
      <c r="C143" s="5">
        <v>43</v>
      </c>
      <c r="D143" s="5">
        <f t="shared" si="10"/>
        <v>0</v>
      </c>
      <c r="E143" s="6">
        <v>15.9976</v>
      </c>
      <c r="F143" s="6">
        <f t="shared" si="11"/>
        <v>687.89679999999998</v>
      </c>
      <c r="G143" t="s">
        <v>24</v>
      </c>
      <c r="H143">
        <v>9008</v>
      </c>
      <c r="I143" t="str">
        <f>IFERROR(_xlfn.XLOOKUP($A143,'Base SKUs'!$E:$E,'Base SKUs'!A:A),"")</f>
        <v>Cumaru</v>
      </c>
      <c r="J143" t="str">
        <f>IFERROR(_xlfn.XLOOKUP($A143,'Base SKUs'!$E:$E,'Base SKUs'!B:B),"")</f>
        <v>Cumaru 1x4 Plus</v>
      </c>
      <c r="K143" t="str">
        <f>IFERROR(_xlfn.XLOOKUP($A143,'Base SKUs'!$E:$E,'Base SKUs'!C:C),"")</f>
        <v>Long</v>
      </c>
      <c r="L143" t="str">
        <f>IFERROR(_xlfn.XLOOKUP($A143,'Base SKUs'!$E:$E,'Base SKUs'!D:D),"")</f>
        <v>Hardwoods</v>
      </c>
      <c r="M143" t="str">
        <f>IFERROR(_xlfn.XLOOKUP($A143,'Base SKUs'!$E:$E,'Base SKUs'!G:G),"")</f>
        <v>Cumaru</v>
      </c>
      <c r="N143" t="str">
        <f>IFERROR(_xlfn.XLOOKUP($A143,'Base SKUs'!$E:$E,'Base SKUs'!H:H),"")</f>
        <v>S4S E4E</v>
      </c>
      <c r="O143" t="str">
        <f>IFERROR(_xlfn.XLOOKUP($A143,'Base SKUs'!$E:$E,'Base SKUs'!I:I),"")</f>
        <v>-</v>
      </c>
      <c r="P143" t="str">
        <f>IFERROR(_xlfn.XLOOKUP($A143,'Base SKUs'!$E:$E,'Base SKUs'!J:J),"")</f>
        <v>1x4 Plus</v>
      </c>
      <c r="Q143">
        <f>IFERROR(_xlfn.XLOOKUP($A143,'Base SKUs'!$E:$E,'Base SKUs'!K:K),"")</f>
        <v>22</v>
      </c>
      <c r="R143" s="7">
        <f>IFERROR(_xlfn.XLOOKUP($A143,'Base SKUs'!$E:$E,'Base SKUs'!S:S),"")</f>
        <v>1.4195294189999997E-2</v>
      </c>
      <c r="S143" s="8">
        <f t="shared" si="12"/>
        <v>0</v>
      </c>
      <c r="T143" s="7">
        <f>IFERROR(_xlfn.XLOOKUP($A143,'Base SKUs'!$E:$E,'Base SKUs'!R:R),"")</f>
        <v>1549.809</v>
      </c>
      <c r="U143" s="15">
        <f t="shared" si="13"/>
        <v>0</v>
      </c>
      <c r="V143" t="str">
        <f t="shared" si="14"/>
        <v>Texas</v>
      </c>
    </row>
    <row r="144" spans="1:22" x14ac:dyDescent="0.2">
      <c r="A144" t="s">
        <v>300</v>
      </c>
      <c r="B144" s="5">
        <v>661</v>
      </c>
      <c r="C144" s="5">
        <v>661</v>
      </c>
      <c r="D144" s="5">
        <f t="shared" si="10"/>
        <v>0</v>
      </c>
      <c r="E144" s="6">
        <v>1.9201999999999999</v>
      </c>
      <c r="F144" s="6">
        <f t="shared" si="11"/>
        <v>1269.2521999999999</v>
      </c>
      <c r="G144" t="s">
        <v>24</v>
      </c>
      <c r="H144">
        <v>9008</v>
      </c>
      <c r="I144" t="str">
        <f>IFERROR(_xlfn.XLOOKUP($A144,'Base SKUs'!$E:$E,'Base SKUs'!A:A),"")</f>
        <v>Cumaru</v>
      </c>
      <c r="J144" t="str">
        <f>IFERROR(_xlfn.XLOOKUP($A144,'Base SKUs'!$E:$E,'Base SKUs'!B:B),"")</f>
        <v>Cumaru 1x4 Plus</v>
      </c>
      <c r="K144" t="str">
        <f>IFERROR(_xlfn.XLOOKUP($A144,'Base SKUs'!$E:$E,'Base SKUs'!C:C),"")</f>
        <v>Short</v>
      </c>
      <c r="L144" t="str">
        <f>IFERROR(_xlfn.XLOOKUP($A144,'Base SKUs'!$E:$E,'Base SKUs'!D:D),"")</f>
        <v>Hardwoods</v>
      </c>
      <c r="M144" t="str">
        <f>IFERROR(_xlfn.XLOOKUP($A144,'Base SKUs'!$E:$E,'Base SKUs'!G:G),"")</f>
        <v>Cumaru</v>
      </c>
      <c r="N144" t="str">
        <f>IFERROR(_xlfn.XLOOKUP($A144,'Base SKUs'!$E:$E,'Base SKUs'!H:H),"")</f>
        <v>S4S E4E</v>
      </c>
      <c r="O144" t="str">
        <f>IFERROR(_xlfn.XLOOKUP($A144,'Base SKUs'!$E:$E,'Base SKUs'!I:I),"")</f>
        <v>-</v>
      </c>
      <c r="P144" t="str">
        <f>IFERROR(_xlfn.XLOOKUP($A144,'Base SKUs'!$E:$E,'Base SKUs'!J:J),"")</f>
        <v>1x4 Plus</v>
      </c>
      <c r="Q144">
        <f>IFERROR(_xlfn.XLOOKUP($A144,'Base SKUs'!$E:$E,'Base SKUs'!K:K),"")</f>
        <v>6</v>
      </c>
      <c r="R144" s="7">
        <f>IFERROR(_xlfn.XLOOKUP($A144,'Base SKUs'!$E:$E,'Base SKUs'!S:S),"")</f>
        <v>3.8714438699999991E-3</v>
      </c>
      <c r="S144" s="8">
        <f t="shared" si="12"/>
        <v>0</v>
      </c>
      <c r="T144" s="7">
        <f>IFERROR(_xlfn.XLOOKUP($A144,'Base SKUs'!$E:$E,'Base SKUs'!R:R),"")</f>
        <v>1549.809</v>
      </c>
      <c r="U144" s="15">
        <f t="shared" si="13"/>
        <v>0</v>
      </c>
      <c r="V144" t="str">
        <f t="shared" si="14"/>
        <v>Texas</v>
      </c>
    </row>
    <row r="145" spans="1:22" x14ac:dyDescent="0.2">
      <c r="A145" t="s">
        <v>302</v>
      </c>
      <c r="B145" s="5">
        <v>731</v>
      </c>
      <c r="C145" s="5">
        <v>731</v>
      </c>
      <c r="D145" s="5">
        <f t="shared" si="10"/>
        <v>0</v>
      </c>
      <c r="E145" s="6">
        <v>2.2403</v>
      </c>
      <c r="F145" s="6">
        <f t="shared" si="11"/>
        <v>1637.6593</v>
      </c>
      <c r="G145" t="s">
        <v>24</v>
      </c>
      <c r="H145">
        <v>9008</v>
      </c>
      <c r="I145" t="str">
        <f>IFERROR(_xlfn.XLOOKUP($A145,'Base SKUs'!$E:$E,'Base SKUs'!A:A),"")</f>
        <v>Cumaru</v>
      </c>
      <c r="J145" t="str">
        <f>IFERROR(_xlfn.XLOOKUP($A145,'Base SKUs'!$E:$E,'Base SKUs'!B:B),"")</f>
        <v>Cumaru 1x4 Plus</v>
      </c>
      <c r="K145" t="str">
        <f>IFERROR(_xlfn.XLOOKUP($A145,'Base SKUs'!$E:$E,'Base SKUs'!C:C),"")</f>
        <v>Short</v>
      </c>
      <c r="L145" t="str">
        <f>IFERROR(_xlfn.XLOOKUP($A145,'Base SKUs'!$E:$E,'Base SKUs'!D:D),"")</f>
        <v>Hardwoods</v>
      </c>
      <c r="M145" t="str">
        <f>IFERROR(_xlfn.XLOOKUP($A145,'Base SKUs'!$E:$E,'Base SKUs'!G:G),"")</f>
        <v>Cumaru</v>
      </c>
      <c r="N145" t="str">
        <f>IFERROR(_xlfn.XLOOKUP($A145,'Base SKUs'!$E:$E,'Base SKUs'!H:H),"")</f>
        <v>S4S E4E</v>
      </c>
      <c r="O145" t="str">
        <f>IFERROR(_xlfn.XLOOKUP($A145,'Base SKUs'!$E:$E,'Base SKUs'!I:I),"")</f>
        <v>-</v>
      </c>
      <c r="P145" t="str">
        <f>IFERROR(_xlfn.XLOOKUP($A145,'Base SKUs'!$E:$E,'Base SKUs'!J:J),"")</f>
        <v>1x4 Plus</v>
      </c>
      <c r="Q145">
        <f>IFERROR(_xlfn.XLOOKUP($A145,'Base SKUs'!$E:$E,'Base SKUs'!K:K),"")</f>
        <v>7</v>
      </c>
      <c r="R145" s="7">
        <f>IFERROR(_xlfn.XLOOKUP($A145,'Base SKUs'!$E:$E,'Base SKUs'!S:S),"")</f>
        <v>4.5166845149999992E-3</v>
      </c>
      <c r="S145" s="8">
        <f t="shared" si="12"/>
        <v>0</v>
      </c>
      <c r="T145" s="7">
        <f>IFERROR(_xlfn.XLOOKUP($A145,'Base SKUs'!$E:$E,'Base SKUs'!R:R),"")</f>
        <v>1549.809</v>
      </c>
      <c r="U145" s="15">
        <f t="shared" si="13"/>
        <v>0</v>
      </c>
      <c r="V145" t="str">
        <f t="shared" si="14"/>
        <v>Texas</v>
      </c>
    </row>
    <row r="146" spans="1:22" x14ac:dyDescent="0.2">
      <c r="A146" t="s">
        <v>304</v>
      </c>
      <c r="B146" s="5">
        <v>835</v>
      </c>
      <c r="C146" s="5">
        <v>835</v>
      </c>
      <c r="D146" s="5">
        <f t="shared" si="10"/>
        <v>0</v>
      </c>
      <c r="E146" s="6">
        <v>4.6081000000000003</v>
      </c>
      <c r="F146" s="6">
        <f t="shared" si="11"/>
        <v>3847.7635000000005</v>
      </c>
      <c r="G146" t="s">
        <v>24</v>
      </c>
      <c r="H146">
        <v>9008</v>
      </c>
      <c r="I146" t="str">
        <f>IFERROR(_xlfn.XLOOKUP($A146,'Base SKUs'!$E:$E,'Base SKUs'!A:A),"")</f>
        <v>Cumaru</v>
      </c>
      <c r="J146" t="str">
        <f>IFERROR(_xlfn.XLOOKUP($A146,'Base SKUs'!$E:$E,'Base SKUs'!B:B),"")</f>
        <v>Cumaru 1x4 Plus</v>
      </c>
      <c r="K146" t="str">
        <f>IFERROR(_xlfn.XLOOKUP($A146,'Base SKUs'!$E:$E,'Base SKUs'!C:C),"")</f>
        <v>Long</v>
      </c>
      <c r="L146" t="str">
        <f>IFERROR(_xlfn.XLOOKUP($A146,'Base SKUs'!$E:$E,'Base SKUs'!D:D),"")</f>
        <v>Hardwoods</v>
      </c>
      <c r="M146" t="str">
        <f>IFERROR(_xlfn.XLOOKUP($A146,'Base SKUs'!$E:$E,'Base SKUs'!G:G),"")</f>
        <v>Cumaru</v>
      </c>
      <c r="N146" t="str">
        <f>IFERROR(_xlfn.XLOOKUP($A146,'Base SKUs'!$E:$E,'Base SKUs'!H:H),"")</f>
        <v>S4S E4E</v>
      </c>
      <c r="O146" t="str">
        <f>IFERROR(_xlfn.XLOOKUP($A146,'Base SKUs'!$E:$E,'Base SKUs'!I:I),"")</f>
        <v>-</v>
      </c>
      <c r="P146" t="str">
        <f>IFERROR(_xlfn.XLOOKUP($A146,'Base SKUs'!$E:$E,'Base SKUs'!J:J),"")</f>
        <v>1x4 Plus</v>
      </c>
      <c r="Q146">
        <f>IFERROR(_xlfn.XLOOKUP($A146,'Base SKUs'!$E:$E,'Base SKUs'!K:K),"")</f>
        <v>8</v>
      </c>
      <c r="R146" s="7">
        <f>IFERROR(_xlfn.XLOOKUP($A146,'Base SKUs'!$E:$E,'Base SKUs'!S:S),"")</f>
        <v>5.1619251599999997E-3</v>
      </c>
      <c r="S146" s="8">
        <f t="shared" si="12"/>
        <v>0</v>
      </c>
      <c r="T146" s="7">
        <f>IFERROR(_xlfn.XLOOKUP($A146,'Base SKUs'!$E:$E,'Base SKUs'!R:R),"")</f>
        <v>1549.809</v>
      </c>
      <c r="U146" s="15">
        <f t="shared" si="13"/>
        <v>0</v>
      </c>
      <c r="V146" t="str">
        <f t="shared" si="14"/>
        <v>Texas</v>
      </c>
    </row>
    <row r="147" spans="1:22" x14ac:dyDescent="0.2">
      <c r="A147" t="s">
        <v>306</v>
      </c>
      <c r="B147" s="5">
        <v>960</v>
      </c>
      <c r="C147" s="5">
        <v>960</v>
      </c>
      <c r="D147" s="5">
        <f t="shared" si="10"/>
        <v>0</v>
      </c>
      <c r="E147" s="6">
        <v>5.1841999999999997</v>
      </c>
      <c r="F147" s="6">
        <f t="shared" si="11"/>
        <v>4976.8319999999994</v>
      </c>
      <c r="G147" t="s">
        <v>24</v>
      </c>
      <c r="H147">
        <v>9008</v>
      </c>
      <c r="I147" t="str">
        <f>IFERROR(_xlfn.XLOOKUP($A147,'Base SKUs'!$E:$E,'Base SKUs'!A:A),"")</f>
        <v>Cumaru</v>
      </c>
      <c r="J147" t="str">
        <f>IFERROR(_xlfn.XLOOKUP($A147,'Base SKUs'!$E:$E,'Base SKUs'!B:B),"")</f>
        <v>Cumaru 1x4 Plus</v>
      </c>
      <c r="K147" t="str">
        <f>IFERROR(_xlfn.XLOOKUP($A147,'Base SKUs'!$E:$E,'Base SKUs'!C:C),"")</f>
        <v>Long</v>
      </c>
      <c r="L147" t="str">
        <f>IFERROR(_xlfn.XLOOKUP($A147,'Base SKUs'!$E:$E,'Base SKUs'!D:D),"")</f>
        <v>Hardwoods</v>
      </c>
      <c r="M147" t="str">
        <f>IFERROR(_xlfn.XLOOKUP($A147,'Base SKUs'!$E:$E,'Base SKUs'!G:G),"")</f>
        <v>Cumaru</v>
      </c>
      <c r="N147" t="str">
        <f>IFERROR(_xlfn.XLOOKUP($A147,'Base SKUs'!$E:$E,'Base SKUs'!H:H),"")</f>
        <v>S4S E4E</v>
      </c>
      <c r="O147" t="str">
        <f>IFERROR(_xlfn.XLOOKUP($A147,'Base SKUs'!$E:$E,'Base SKUs'!I:I),"")</f>
        <v>-</v>
      </c>
      <c r="P147" t="str">
        <f>IFERROR(_xlfn.XLOOKUP($A147,'Base SKUs'!$E:$E,'Base SKUs'!J:J),"")</f>
        <v>1x4 Plus</v>
      </c>
      <c r="Q147">
        <f>IFERROR(_xlfn.XLOOKUP($A147,'Base SKUs'!$E:$E,'Base SKUs'!K:K),"")</f>
        <v>9</v>
      </c>
      <c r="R147" s="7">
        <f>IFERROR(_xlfn.XLOOKUP($A147,'Base SKUs'!$E:$E,'Base SKUs'!S:S),"")</f>
        <v>5.8071658049999985E-3</v>
      </c>
      <c r="S147" s="8">
        <f t="shared" si="12"/>
        <v>0</v>
      </c>
      <c r="T147" s="7">
        <f>IFERROR(_xlfn.XLOOKUP($A147,'Base SKUs'!$E:$E,'Base SKUs'!R:R),"")</f>
        <v>1549.809</v>
      </c>
      <c r="U147" s="15">
        <f t="shared" si="13"/>
        <v>0</v>
      </c>
      <c r="V147" t="str">
        <f t="shared" si="14"/>
        <v>Texas</v>
      </c>
    </row>
    <row r="148" spans="1:22" x14ac:dyDescent="0.2">
      <c r="A148" t="s">
        <v>308</v>
      </c>
      <c r="B148" s="5">
        <v>214</v>
      </c>
      <c r="C148" s="5">
        <v>214</v>
      </c>
      <c r="D148" s="5">
        <f t="shared" si="10"/>
        <v>0</v>
      </c>
      <c r="E148" s="6">
        <v>19.453199999999999</v>
      </c>
      <c r="F148" s="6">
        <f t="shared" si="11"/>
        <v>4162.9848000000002</v>
      </c>
      <c r="G148" t="s">
        <v>17</v>
      </c>
      <c r="H148">
        <v>9007</v>
      </c>
      <c r="I148" t="str">
        <f>IFERROR(_xlfn.XLOOKUP($A148,'Base SKUs'!$E:$E,'Base SKUs'!A:A),"")</f>
        <v>Cumaru</v>
      </c>
      <c r="J148" t="str">
        <f>IFERROR(_xlfn.XLOOKUP($A148,'Base SKUs'!$E:$E,'Base SKUs'!B:B),"")</f>
        <v>Cumaru 1x6 Plus</v>
      </c>
      <c r="K148" t="str">
        <f>IFERROR(_xlfn.XLOOKUP($A148,'Base SKUs'!$E:$E,'Base SKUs'!C:C),"")</f>
        <v>Long</v>
      </c>
      <c r="L148" t="str">
        <f>IFERROR(_xlfn.XLOOKUP($A148,'Base SKUs'!$E:$E,'Base SKUs'!D:D),"")</f>
        <v>Hardwoods</v>
      </c>
      <c r="M148" t="str">
        <f>IFERROR(_xlfn.XLOOKUP($A148,'Base SKUs'!$E:$E,'Base SKUs'!G:G),"")</f>
        <v>Cumaru</v>
      </c>
      <c r="N148" t="str">
        <f>IFERROR(_xlfn.XLOOKUP($A148,'Base SKUs'!$E:$E,'Base SKUs'!H:H),"")</f>
        <v>S4S E4E</v>
      </c>
      <c r="O148" t="str">
        <f>IFERROR(_xlfn.XLOOKUP($A148,'Base SKUs'!$E:$E,'Base SKUs'!I:I),"")</f>
        <v>-</v>
      </c>
      <c r="P148" t="str">
        <f>IFERROR(_xlfn.XLOOKUP($A148,'Base SKUs'!$E:$E,'Base SKUs'!J:J),"")</f>
        <v>1x6 Plus</v>
      </c>
      <c r="Q148">
        <f>IFERROR(_xlfn.XLOOKUP($A148,'Base SKUs'!$E:$E,'Base SKUs'!K:K),"")</f>
        <v>10</v>
      </c>
      <c r="R148" s="7">
        <f>IFERROR(_xlfn.XLOOKUP($A148,'Base SKUs'!$E:$E,'Base SKUs'!S:S),"")</f>
        <v>9.893689889999998E-3</v>
      </c>
      <c r="S148" s="8">
        <f t="shared" si="12"/>
        <v>0</v>
      </c>
      <c r="T148" s="7">
        <f>IFERROR(_xlfn.XLOOKUP($A148,'Base SKUs'!$E:$E,'Base SKUs'!R:R),"")</f>
        <v>1010.745</v>
      </c>
      <c r="U148" s="15">
        <f t="shared" si="13"/>
        <v>0</v>
      </c>
      <c r="V148" t="str">
        <f t="shared" si="14"/>
        <v>Miami</v>
      </c>
    </row>
    <row r="149" spans="1:22" x14ac:dyDescent="0.2">
      <c r="A149" t="s">
        <v>308</v>
      </c>
      <c r="B149" s="5">
        <v>981</v>
      </c>
      <c r="C149" s="5">
        <v>981</v>
      </c>
      <c r="D149" s="5">
        <f t="shared" si="10"/>
        <v>0</v>
      </c>
      <c r="E149" s="6">
        <v>17.9237</v>
      </c>
      <c r="F149" s="6">
        <f t="shared" si="11"/>
        <v>17583.149700000002</v>
      </c>
      <c r="G149" t="s">
        <v>24</v>
      </c>
      <c r="H149">
        <v>9008</v>
      </c>
      <c r="I149" t="str">
        <f>IFERROR(_xlfn.XLOOKUP($A149,'Base SKUs'!$E:$E,'Base SKUs'!A:A),"")</f>
        <v>Cumaru</v>
      </c>
      <c r="J149" t="str">
        <f>IFERROR(_xlfn.XLOOKUP($A149,'Base SKUs'!$E:$E,'Base SKUs'!B:B),"")</f>
        <v>Cumaru 1x6 Plus</v>
      </c>
      <c r="K149" t="str">
        <f>IFERROR(_xlfn.XLOOKUP($A149,'Base SKUs'!$E:$E,'Base SKUs'!C:C),"")</f>
        <v>Long</v>
      </c>
      <c r="L149" t="str">
        <f>IFERROR(_xlfn.XLOOKUP($A149,'Base SKUs'!$E:$E,'Base SKUs'!D:D),"")</f>
        <v>Hardwoods</v>
      </c>
      <c r="M149" t="str">
        <f>IFERROR(_xlfn.XLOOKUP($A149,'Base SKUs'!$E:$E,'Base SKUs'!G:G),"")</f>
        <v>Cumaru</v>
      </c>
      <c r="N149" t="str">
        <f>IFERROR(_xlfn.XLOOKUP($A149,'Base SKUs'!$E:$E,'Base SKUs'!H:H),"")</f>
        <v>S4S E4E</v>
      </c>
      <c r="O149" t="str">
        <f>IFERROR(_xlfn.XLOOKUP($A149,'Base SKUs'!$E:$E,'Base SKUs'!I:I),"")</f>
        <v>-</v>
      </c>
      <c r="P149" t="str">
        <f>IFERROR(_xlfn.XLOOKUP($A149,'Base SKUs'!$E:$E,'Base SKUs'!J:J),"")</f>
        <v>1x6 Plus</v>
      </c>
      <c r="Q149">
        <f>IFERROR(_xlfn.XLOOKUP($A149,'Base SKUs'!$E:$E,'Base SKUs'!K:K),"")</f>
        <v>10</v>
      </c>
      <c r="R149" s="7">
        <f>IFERROR(_xlfn.XLOOKUP($A149,'Base SKUs'!$E:$E,'Base SKUs'!S:S),"")</f>
        <v>9.893689889999998E-3</v>
      </c>
      <c r="S149" s="8">
        <f t="shared" si="12"/>
        <v>0</v>
      </c>
      <c r="T149" s="7">
        <f>IFERROR(_xlfn.XLOOKUP($A149,'Base SKUs'!$E:$E,'Base SKUs'!R:R),"")</f>
        <v>1010.745</v>
      </c>
      <c r="U149" s="15">
        <f t="shared" si="13"/>
        <v>0</v>
      </c>
      <c r="V149" t="str">
        <f t="shared" si="14"/>
        <v>Texas</v>
      </c>
    </row>
    <row r="150" spans="1:22" x14ac:dyDescent="0.2">
      <c r="A150" t="s">
        <v>310</v>
      </c>
      <c r="B150" s="5">
        <v>102</v>
      </c>
      <c r="C150" s="5">
        <v>86</v>
      </c>
      <c r="D150" s="5">
        <f t="shared" si="10"/>
        <v>16</v>
      </c>
      <c r="E150" s="6">
        <v>12.1594</v>
      </c>
      <c r="F150" s="6">
        <f t="shared" si="11"/>
        <v>1240.2588000000001</v>
      </c>
      <c r="G150" t="s">
        <v>125</v>
      </c>
      <c r="H150">
        <v>9009</v>
      </c>
      <c r="I150" t="str">
        <f>IFERROR(_xlfn.XLOOKUP($A150,'Base SKUs'!$E:$E,'Base SKUs'!A:A),"")</f>
        <v>Cumaru</v>
      </c>
      <c r="J150" t="str">
        <f>IFERROR(_xlfn.XLOOKUP($A150,'Base SKUs'!$E:$E,'Base SKUs'!B:B),"")</f>
        <v>Cumaru 1x6</v>
      </c>
      <c r="K150" t="str">
        <f>IFERROR(_xlfn.XLOOKUP($A150,'Base SKUs'!$E:$E,'Base SKUs'!C:C),"")</f>
        <v>Long</v>
      </c>
      <c r="L150" t="str">
        <f>IFERROR(_xlfn.XLOOKUP($A150,'Base SKUs'!$E:$E,'Base SKUs'!D:D),"")</f>
        <v>Hardwoods</v>
      </c>
      <c r="M150" t="str">
        <f>IFERROR(_xlfn.XLOOKUP($A150,'Base SKUs'!$E:$E,'Base SKUs'!G:G),"")</f>
        <v>Cumaru</v>
      </c>
      <c r="N150" t="str">
        <f>IFERROR(_xlfn.XLOOKUP($A150,'Base SKUs'!$E:$E,'Base SKUs'!H:H),"")</f>
        <v>S4S E4E</v>
      </c>
      <c r="O150" t="str">
        <f>IFERROR(_xlfn.XLOOKUP($A150,'Base SKUs'!$E:$E,'Base SKUs'!I:I),"")</f>
        <v>-</v>
      </c>
      <c r="P150" t="str">
        <f>IFERROR(_xlfn.XLOOKUP($A150,'Base SKUs'!$E:$E,'Base SKUs'!J:J),"")</f>
        <v>1x6</v>
      </c>
      <c r="Q150">
        <f>IFERROR(_xlfn.XLOOKUP($A150,'Base SKUs'!$E:$E,'Base SKUs'!K:K),"")</f>
        <v>10</v>
      </c>
      <c r="R150" s="7">
        <f>IFERROR(_xlfn.XLOOKUP($A150,'Base SKUs'!$E:$E,'Base SKUs'!S:S),"")</f>
        <v>8.1115966799999994E-3</v>
      </c>
      <c r="S150" s="8">
        <f t="shared" si="12"/>
        <v>0.12978554687999999</v>
      </c>
      <c r="T150" s="7">
        <f>IFERROR(_xlfn.XLOOKUP($A150,'Base SKUs'!$E:$E,'Base SKUs'!R:R),"")</f>
        <v>1232.8030000000001</v>
      </c>
      <c r="U150" s="15">
        <f t="shared" si="13"/>
        <v>160</v>
      </c>
      <c r="V150" t="str">
        <f t="shared" si="14"/>
        <v>Boston</v>
      </c>
    </row>
    <row r="151" spans="1:22" x14ac:dyDescent="0.2">
      <c r="A151" t="s">
        <v>312</v>
      </c>
      <c r="B151" s="5">
        <v>140</v>
      </c>
      <c r="C151" s="5">
        <v>0</v>
      </c>
      <c r="D151" s="5">
        <f t="shared" si="10"/>
        <v>140</v>
      </c>
      <c r="E151" s="6">
        <v>19.716100000000001</v>
      </c>
      <c r="F151" s="6">
        <f t="shared" si="11"/>
        <v>2760.2539999999999</v>
      </c>
      <c r="G151" t="s">
        <v>17</v>
      </c>
      <c r="H151">
        <v>9007</v>
      </c>
      <c r="I151" t="str">
        <f>IFERROR(_xlfn.XLOOKUP($A151,'Base SKUs'!$E:$E,'Base SKUs'!A:A),"")</f>
        <v>Cumaru</v>
      </c>
      <c r="J151" t="str">
        <f>IFERROR(_xlfn.XLOOKUP($A151,'Base SKUs'!$E:$E,'Base SKUs'!B:B),"")</f>
        <v>Cumaru 1x6 Plus</v>
      </c>
      <c r="K151" t="str">
        <f>IFERROR(_xlfn.XLOOKUP($A151,'Base SKUs'!$E:$E,'Base SKUs'!C:C),"")</f>
        <v>Long</v>
      </c>
      <c r="L151" t="str">
        <f>IFERROR(_xlfn.XLOOKUP($A151,'Base SKUs'!$E:$E,'Base SKUs'!D:D),"")</f>
        <v>Hardwoods</v>
      </c>
      <c r="M151" t="str">
        <f>IFERROR(_xlfn.XLOOKUP($A151,'Base SKUs'!$E:$E,'Base SKUs'!G:G),"")</f>
        <v>Cumaru</v>
      </c>
      <c r="N151" t="str">
        <f>IFERROR(_xlfn.XLOOKUP($A151,'Base SKUs'!$E:$E,'Base SKUs'!H:H),"")</f>
        <v>S4S E4E</v>
      </c>
      <c r="O151" t="str">
        <f>IFERROR(_xlfn.XLOOKUP($A151,'Base SKUs'!$E:$E,'Base SKUs'!I:I),"")</f>
        <v>-</v>
      </c>
      <c r="P151" t="str">
        <f>IFERROR(_xlfn.XLOOKUP($A151,'Base SKUs'!$E:$E,'Base SKUs'!J:J),"")</f>
        <v>1x6 Plus</v>
      </c>
      <c r="Q151">
        <f>IFERROR(_xlfn.XLOOKUP($A151,'Base SKUs'!$E:$E,'Base SKUs'!K:K),"")</f>
        <v>11</v>
      </c>
      <c r="R151" s="7">
        <f>IFERROR(_xlfn.XLOOKUP($A151,'Base SKUs'!$E:$E,'Base SKUs'!S:S),"")</f>
        <v>1.0883058878999997E-2</v>
      </c>
      <c r="S151" s="8">
        <f t="shared" si="12"/>
        <v>1.5236282430599997</v>
      </c>
      <c r="T151" s="7">
        <f>IFERROR(_xlfn.XLOOKUP($A151,'Base SKUs'!$E:$E,'Base SKUs'!R:R),"")</f>
        <v>1010.745</v>
      </c>
      <c r="U151" s="15">
        <f t="shared" si="13"/>
        <v>1540</v>
      </c>
      <c r="V151" t="str">
        <f t="shared" si="14"/>
        <v>Miami</v>
      </c>
    </row>
    <row r="152" spans="1:22" x14ac:dyDescent="0.2">
      <c r="A152" t="s">
        <v>314</v>
      </c>
      <c r="B152" s="5">
        <v>439</v>
      </c>
      <c r="C152" s="5">
        <v>236</v>
      </c>
      <c r="D152" s="5">
        <f t="shared" si="10"/>
        <v>203</v>
      </c>
      <c r="E152" s="6">
        <v>26.5352</v>
      </c>
      <c r="F152" s="6">
        <f t="shared" si="11"/>
        <v>11648.952799999999</v>
      </c>
      <c r="G152" t="s">
        <v>17</v>
      </c>
      <c r="H152">
        <v>9007</v>
      </c>
      <c r="I152" t="str">
        <f>IFERROR(_xlfn.XLOOKUP($A152,'Base SKUs'!$E:$E,'Base SKUs'!A:A),"")</f>
        <v>Cumaru</v>
      </c>
      <c r="J152" t="str">
        <f>IFERROR(_xlfn.XLOOKUP($A152,'Base SKUs'!$E:$E,'Base SKUs'!B:B),"")</f>
        <v>Cumaru 1x6 Plus</v>
      </c>
      <c r="K152" t="str">
        <f>IFERROR(_xlfn.XLOOKUP($A152,'Base SKUs'!$E:$E,'Base SKUs'!C:C),"")</f>
        <v>Long</v>
      </c>
      <c r="L152" t="str">
        <f>IFERROR(_xlfn.XLOOKUP($A152,'Base SKUs'!$E:$E,'Base SKUs'!D:D),"")</f>
        <v>Hardwoods</v>
      </c>
      <c r="M152" t="str">
        <f>IFERROR(_xlfn.XLOOKUP($A152,'Base SKUs'!$E:$E,'Base SKUs'!G:G),"")</f>
        <v>Cumaru</v>
      </c>
      <c r="N152" t="str">
        <f>IFERROR(_xlfn.XLOOKUP($A152,'Base SKUs'!$E:$E,'Base SKUs'!H:H),"")</f>
        <v>S4S E4E</v>
      </c>
      <c r="O152" t="str">
        <f>IFERROR(_xlfn.XLOOKUP($A152,'Base SKUs'!$E:$E,'Base SKUs'!I:I),"")</f>
        <v>-</v>
      </c>
      <c r="P152" t="str">
        <f>IFERROR(_xlfn.XLOOKUP($A152,'Base SKUs'!$E:$E,'Base SKUs'!J:J),"")</f>
        <v>1x6 Plus</v>
      </c>
      <c r="Q152">
        <f>IFERROR(_xlfn.XLOOKUP($A152,'Base SKUs'!$E:$E,'Base SKUs'!K:K),"")</f>
        <v>12</v>
      </c>
      <c r="R152" s="7">
        <f>IFERROR(_xlfn.XLOOKUP($A152,'Base SKUs'!$E:$E,'Base SKUs'!S:S),"")</f>
        <v>1.1872427867999998E-2</v>
      </c>
      <c r="S152" s="8">
        <f t="shared" si="12"/>
        <v>2.4101028572039995</v>
      </c>
      <c r="T152" s="7">
        <f>IFERROR(_xlfn.XLOOKUP($A152,'Base SKUs'!$E:$E,'Base SKUs'!R:R),"")</f>
        <v>1010.745</v>
      </c>
      <c r="U152" s="15">
        <f t="shared" si="13"/>
        <v>2436</v>
      </c>
      <c r="V152" t="str">
        <f t="shared" si="14"/>
        <v>Miami</v>
      </c>
    </row>
    <row r="153" spans="1:22" x14ac:dyDescent="0.2">
      <c r="A153" t="s">
        <v>314</v>
      </c>
      <c r="B153" s="5">
        <v>1218</v>
      </c>
      <c r="C153" s="5">
        <v>1218</v>
      </c>
      <c r="D153" s="5">
        <f t="shared" si="10"/>
        <v>0</v>
      </c>
      <c r="E153" s="6">
        <v>24.8843</v>
      </c>
      <c r="F153" s="6">
        <f t="shared" si="11"/>
        <v>30309.077399999998</v>
      </c>
      <c r="G153" t="s">
        <v>24</v>
      </c>
      <c r="H153">
        <v>9008</v>
      </c>
      <c r="I153" t="str">
        <f>IFERROR(_xlfn.XLOOKUP($A153,'Base SKUs'!$E:$E,'Base SKUs'!A:A),"")</f>
        <v>Cumaru</v>
      </c>
      <c r="J153" t="str">
        <f>IFERROR(_xlfn.XLOOKUP($A153,'Base SKUs'!$E:$E,'Base SKUs'!B:B),"")</f>
        <v>Cumaru 1x6 Plus</v>
      </c>
      <c r="K153" t="str">
        <f>IFERROR(_xlfn.XLOOKUP($A153,'Base SKUs'!$E:$E,'Base SKUs'!C:C),"")</f>
        <v>Long</v>
      </c>
      <c r="L153" t="str">
        <f>IFERROR(_xlfn.XLOOKUP($A153,'Base SKUs'!$E:$E,'Base SKUs'!D:D),"")</f>
        <v>Hardwoods</v>
      </c>
      <c r="M153" t="str">
        <f>IFERROR(_xlfn.XLOOKUP($A153,'Base SKUs'!$E:$E,'Base SKUs'!G:G),"")</f>
        <v>Cumaru</v>
      </c>
      <c r="N153" t="str">
        <f>IFERROR(_xlfn.XLOOKUP($A153,'Base SKUs'!$E:$E,'Base SKUs'!H:H),"")</f>
        <v>S4S E4E</v>
      </c>
      <c r="O153" t="str">
        <f>IFERROR(_xlfn.XLOOKUP($A153,'Base SKUs'!$E:$E,'Base SKUs'!I:I),"")</f>
        <v>-</v>
      </c>
      <c r="P153" t="str">
        <f>IFERROR(_xlfn.XLOOKUP($A153,'Base SKUs'!$E:$E,'Base SKUs'!J:J),"")</f>
        <v>1x6 Plus</v>
      </c>
      <c r="Q153">
        <f>IFERROR(_xlfn.XLOOKUP($A153,'Base SKUs'!$E:$E,'Base SKUs'!K:K),"")</f>
        <v>12</v>
      </c>
      <c r="R153" s="7">
        <f>IFERROR(_xlfn.XLOOKUP($A153,'Base SKUs'!$E:$E,'Base SKUs'!S:S),"")</f>
        <v>1.1872427867999998E-2</v>
      </c>
      <c r="S153" s="8">
        <f t="shared" si="12"/>
        <v>0</v>
      </c>
      <c r="T153" s="7">
        <f>IFERROR(_xlfn.XLOOKUP($A153,'Base SKUs'!$E:$E,'Base SKUs'!R:R),"")</f>
        <v>1010.745</v>
      </c>
      <c r="U153" s="15">
        <f t="shared" si="13"/>
        <v>0</v>
      </c>
      <c r="V153" t="str">
        <f t="shared" si="14"/>
        <v>Texas</v>
      </c>
    </row>
    <row r="154" spans="1:22" x14ac:dyDescent="0.2">
      <c r="A154" t="s">
        <v>316</v>
      </c>
      <c r="B154" s="5">
        <v>168</v>
      </c>
      <c r="C154" s="5">
        <v>98</v>
      </c>
      <c r="D154" s="5">
        <f t="shared" si="10"/>
        <v>70</v>
      </c>
      <c r="E154" s="6">
        <v>19.3096</v>
      </c>
      <c r="F154" s="6">
        <f t="shared" si="11"/>
        <v>3244.0128</v>
      </c>
      <c r="G154" t="s">
        <v>125</v>
      </c>
      <c r="H154">
        <v>9009</v>
      </c>
      <c r="I154" t="str">
        <f>IFERROR(_xlfn.XLOOKUP($A154,'Base SKUs'!$E:$E,'Base SKUs'!A:A),"")</f>
        <v>Cumaru</v>
      </c>
      <c r="J154" t="str">
        <f>IFERROR(_xlfn.XLOOKUP($A154,'Base SKUs'!$E:$E,'Base SKUs'!B:B),"")</f>
        <v>Cumaru 1x6</v>
      </c>
      <c r="K154" t="str">
        <f>IFERROR(_xlfn.XLOOKUP($A154,'Base SKUs'!$E:$E,'Base SKUs'!C:C),"")</f>
        <v>Long</v>
      </c>
      <c r="L154" t="str">
        <f>IFERROR(_xlfn.XLOOKUP($A154,'Base SKUs'!$E:$E,'Base SKUs'!D:D),"")</f>
        <v>Hardwoods</v>
      </c>
      <c r="M154" t="str">
        <f>IFERROR(_xlfn.XLOOKUP($A154,'Base SKUs'!$E:$E,'Base SKUs'!G:G),"")</f>
        <v>Cumaru</v>
      </c>
      <c r="N154" t="str">
        <f>IFERROR(_xlfn.XLOOKUP($A154,'Base SKUs'!$E:$E,'Base SKUs'!H:H),"")</f>
        <v>S4S E4E</v>
      </c>
      <c r="O154" t="str">
        <f>IFERROR(_xlfn.XLOOKUP($A154,'Base SKUs'!$E:$E,'Base SKUs'!I:I),"")</f>
        <v>-</v>
      </c>
      <c r="P154" t="str">
        <f>IFERROR(_xlfn.XLOOKUP($A154,'Base SKUs'!$E:$E,'Base SKUs'!J:J),"")</f>
        <v>1x6</v>
      </c>
      <c r="Q154">
        <f>IFERROR(_xlfn.XLOOKUP($A154,'Base SKUs'!$E:$E,'Base SKUs'!K:K),"")</f>
        <v>12</v>
      </c>
      <c r="R154" s="7">
        <f>IFERROR(_xlfn.XLOOKUP($A154,'Base SKUs'!$E:$E,'Base SKUs'!S:S),"")</f>
        <v>9.7339160159999986E-3</v>
      </c>
      <c r="S154" s="8">
        <f t="shared" si="12"/>
        <v>0.68137412111999995</v>
      </c>
      <c r="T154" s="7">
        <f>IFERROR(_xlfn.XLOOKUP($A154,'Base SKUs'!$E:$E,'Base SKUs'!R:R),"")</f>
        <v>1232.8030000000001</v>
      </c>
      <c r="U154" s="15">
        <f t="shared" si="13"/>
        <v>840</v>
      </c>
      <c r="V154" t="str">
        <f t="shared" si="14"/>
        <v>Boston</v>
      </c>
    </row>
    <row r="155" spans="1:22" x14ac:dyDescent="0.2">
      <c r="A155" t="s">
        <v>318</v>
      </c>
      <c r="B155" s="5">
        <v>199</v>
      </c>
      <c r="C155" s="5">
        <v>11</v>
      </c>
      <c r="D155" s="5">
        <f t="shared" si="10"/>
        <v>188</v>
      </c>
      <c r="E155" s="6">
        <v>26.911100000000001</v>
      </c>
      <c r="F155" s="6">
        <f t="shared" si="11"/>
        <v>5355.3089</v>
      </c>
      <c r="G155" t="s">
        <v>17</v>
      </c>
      <c r="H155">
        <v>9007</v>
      </c>
      <c r="I155" t="str">
        <f>IFERROR(_xlfn.XLOOKUP($A155,'Base SKUs'!$E:$E,'Base SKUs'!A:A),"")</f>
        <v>Cumaru</v>
      </c>
      <c r="J155" t="str">
        <f>IFERROR(_xlfn.XLOOKUP($A155,'Base SKUs'!$E:$E,'Base SKUs'!B:B),"")</f>
        <v>Cumaru 1x6 Plus</v>
      </c>
      <c r="K155" t="str">
        <f>IFERROR(_xlfn.XLOOKUP($A155,'Base SKUs'!$E:$E,'Base SKUs'!C:C),"")</f>
        <v>Long</v>
      </c>
      <c r="L155" t="str">
        <f>IFERROR(_xlfn.XLOOKUP($A155,'Base SKUs'!$E:$E,'Base SKUs'!D:D),"")</f>
        <v>Hardwoods</v>
      </c>
      <c r="M155" t="str">
        <f>IFERROR(_xlfn.XLOOKUP($A155,'Base SKUs'!$E:$E,'Base SKUs'!G:G),"")</f>
        <v>Cumaru</v>
      </c>
      <c r="N155" t="str">
        <f>IFERROR(_xlfn.XLOOKUP($A155,'Base SKUs'!$E:$E,'Base SKUs'!H:H),"")</f>
        <v>S4S E4E</v>
      </c>
      <c r="O155" t="str">
        <f>IFERROR(_xlfn.XLOOKUP($A155,'Base SKUs'!$E:$E,'Base SKUs'!I:I),"")</f>
        <v>-</v>
      </c>
      <c r="P155" t="str">
        <f>IFERROR(_xlfn.XLOOKUP($A155,'Base SKUs'!$E:$E,'Base SKUs'!J:J),"")</f>
        <v>1x6 Plus</v>
      </c>
      <c r="Q155">
        <f>IFERROR(_xlfn.XLOOKUP($A155,'Base SKUs'!$E:$E,'Base SKUs'!K:K),"")</f>
        <v>13</v>
      </c>
      <c r="R155" s="7">
        <f>IFERROR(_xlfn.XLOOKUP($A155,'Base SKUs'!$E:$E,'Base SKUs'!S:S),"")</f>
        <v>1.2861796857E-2</v>
      </c>
      <c r="S155" s="8">
        <f t="shared" si="12"/>
        <v>2.4180178091160003</v>
      </c>
      <c r="T155" s="7">
        <f>IFERROR(_xlfn.XLOOKUP($A155,'Base SKUs'!$E:$E,'Base SKUs'!R:R),"")</f>
        <v>1010.745</v>
      </c>
      <c r="U155" s="15">
        <f t="shared" si="13"/>
        <v>2444</v>
      </c>
      <c r="V155" t="str">
        <f t="shared" si="14"/>
        <v>Miami</v>
      </c>
    </row>
    <row r="156" spans="1:22" x14ac:dyDescent="0.2">
      <c r="A156" t="s">
        <v>320</v>
      </c>
      <c r="B156" s="5">
        <v>501</v>
      </c>
      <c r="C156" s="5">
        <v>287</v>
      </c>
      <c r="D156" s="5">
        <f t="shared" si="10"/>
        <v>214</v>
      </c>
      <c r="E156" s="6">
        <v>30.938500000000001</v>
      </c>
      <c r="F156" s="6">
        <f t="shared" si="11"/>
        <v>15500.1885</v>
      </c>
      <c r="G156" t="s">
        <v>17</v>
      </c>
      <c r="H156">
        <v>9007</v>
      </c>
      <c r="I156" t="str">
        <f>IFERROR(_xlfn.XLOOKUP($A156,'Base SKUs'!$E:$E,'Base SKUs'!A:A),"")</f>
        <v>Cumaru</v>
      </c>
      <c r="J156" t="str">
        <f>IFERROR(_xlfn.XLOOKUP($A156,'Base SKUs'!$E:$E,'Base SKUs'!B:B),"")</f>
        <v>Cumaru 1x6 Plus</v>
      </c>
      <c r="K156" t="str">
        <f>IFERROR(_xlfn.XLOOKUP($A156,'Base SKUs'!$E:$E,'Base SKUs'!C:C),"")</f>
        <v>Long</v>
      </c>
      <c r="L156" t="str">
        <f>IFERROR(_xlfn.XLOOKUP($A156,'Base SKUs'!$E:$E,'Base SKUs'!D:D),"")</f>
        <v>Hardwoods</v>
      </c>
      <c r="M156" t="str">
        <f>IFERROR(_xlfn.XLOOKUP($A156,'Base SKUs'!$E:$E,'Base SKUs'!G:G),"")</f>
        <v>Cumaru</v>
      </c>
      <c r="N156" t="str">
        <f>IFERROR(_xlfn.XLOOKUP($A156,'Base SKUs'!$E:$E,'Base SKUs'!H:H),"")</f>
        <v>S4S E4E</v>
      </c>
      <c r="O156" t="str">
        <f>IFERROR(_xlfn.XLOOKUP($A156,'Base SKUs'!$E:$E,'Base SKUs'!I:I),"")</f>
        <v>-</v>
      </c>
      <c r="P156" t="str">
        <f>IFERROR(_xlfn.XLOOKUP($A156,'Base SKUs'!$E:$E,'Base SKUs'!J:J),"")</f>
        <v>1x6 Plus</v>
      </c>
      <c r="Q156">
        <f>IFERROR(_xlfn.XLOOKUP($A156,'Base SKUs'!$E:$E,'Base SKUs'!K:K),"")</f>
        <v>14</v>
      </c>
      <c r="R156" s="7">
        <f>IFERROR(_xlfn.XLOOKUP($A156,'Base SKUs'!$E:$E,'Base SKUs'!S:S),"")</f>
        <v>1.3851165845999996E-2</v>
      </c>
      <c r="S156" s="8">
        <f t="shared" si="12"/>
        <v>2.9641494910439992</v>
      </c>
      <c r="T156" s="7">
        <f>IFERROR(_xlfn.XLOOKUP($A156,'Base SKUs'!$E:$E,'Base SKUs'!R:R),"")</f>
        <v>1010.745</v>
      </c>
      <c r="U156" s="15">
        <f t="shared" si="13"/>
        <v>2996</v>
      </c>
      <c r="V156" t="str">
        <f t="shared" si="14"/>
        <v>Miami</v>
      </c>
    </row>
    <row r="157" spans="1:22" x14ac:dyDescent="0.2">
      <c r="A157" t="s">
        <v>320</v>
      </c>
      <c r="B157" s="5">
        <v>478</v>
      </c>
      <c r="C157" s="5">
        <v>478</v>
      </c>
      <c r="D157" s="5">
        <f t="shared" si="10"/>
        <v>0</v>
      </c>
      <c r="E157" s="6">
        <v>29.13</v>
      </c>
      <c r="F157" s="6">
        <f t="shared" si="11"/>
        <v>13924.14</v>
      </c>
      <c r="G157" t="s">
        <v>24</v>
      </c>
      <c r="H157">
        <v>9008</v>
      </c>
      <c r="I157" t="str">
        <f>IFERROR(_xlfn.XLOOKUP($A157,'Base SKUs'!$E:$E,'Base SKUs'!A:A),"")</f>
        <v>Cumaru</v>
      </c>
      <c r="J157" t="str">
        <f>IFERROR(_xlfn.XLOOKUP($A157,'Base SKUs'!$E:$E,'Base SKUs'!B:B),"")</f>
        <v>Cumaru 1x6 Plus</v>
      </c>
      <c r="K157" t="str">
        <f>IFERROR(_xlfn.XLOOKUP($A157,'Base SKUs'!$E:$E,'Base SKUs'!C:C),"")</f>
        <v>Long</v>
      </c>
      <c r="L157" t="str">
        <f>IFERROR(_xlfn.XLOOKUP($A157,'Base SKUs'!$E:$E,'Base SKUs'!D:D),"")</f>
        <v>Hardwoods</v>
      </c>
      <c r="M157" t="str">
        <f>IFERROR(_xlfn.XLOOKUP($A157,'Base SKUs'!$E:$E,'Base SKUs'!G:G),"")</f>
        <v>Cumaru</v>
      </c>
      <c r="N157" t="str">
        <f>IFERROR(_xlfn.XLOOKUP($A157,'Base SKUs'!$E:$E,'Base SKUs'!H:H),"")</f>
        <v>S4S E4E</v>
      </c>
      <c r="O157" t="str">
        <f>IFERROR(_xlfn.XLOOKUP($A157,'Base SKUs'!$E:$E,'Base SKUs'!I:I),"")</f>
        <v>-</v>
      </c>
      <c r="P157" t="str">
        <f>IFERROR(_xlfn.XLOOKUP($A157,'Base SKUs'!$E:$E,'Base SKUs'!J:J),"")</f>
        <v>1x6 Plus</v>
      </c>
      <c r="Q157">
        <f>IFERROR(_xlfn.XLOOKUP($A157,'Base SKUs'!$E:$E,'Base SKUs'!K:K),"")</f>
        <v>14</v>
      </c>
      <c r="R157" s="7">
        <f>IFERROR(_xlfn.XLOOKUP($A157,'Base SKUs'!$E:$E,'Base SKUs'!S:S),"")</f>
        <v>1.3851165845999996E-2</v>
      </c>
      <c r="S157" s="8">
        <f t="shared" si="12"/>
        <v>0</v>
      </c>
      <c r="T157" s="7">
        <f>IFERROR(_xlfn.XLOOKUP($A157,'Base SKUs'!$E:$E,'Base SKUs'!R:R),"")</f>
        <v>1010.745</v>
      </c>
      <c r="U157" s="15">
        <f t="shared" si="13"/>
        <v>0</v>
      </c>
      <c r="V157" t="str">
        <f t="shared" si="14"/>
        <v>Texas</v>
      </c>
    </row>
    <row r="158" spans="1:22" x14ac:dyDescent="0.2">
      <c r="A158" t="s">
        <v>322</v>
      </c>
      <c r="B158" s="5">
        <v>2</v>
      </c>
      <c r="C158" s="5">
        <v>0</v>
      </c>
      <c r="D158" s="5">
        <f t="shared" si="10"/>
        <v>2</v>
      </c>
      <c r="E158" s="6">
        <v>22.527899999999999</v>
      </c>
      <c r="F158" s="6">
        <f t="shared" si="11"/>
        <v>45.055799999999998</v>
      </c>
      <c r="G158" t="s">
        <v>24</v>
      </c>
      <c r="H158">
        <v>9008</v>
      </c>
      <c r="I158" t="str">
        <f>IFERROR(_xlfn.XLOOKUP($A158,'Base SKUs'!$E:$E,'Base SKUs'!A:A),"")</f>
        <v>Cumaru</v>
      </c>
      <c r="J158" t="str">
        <f>IFERROR(_xlfn.XLOOKUP($A158,'Base SKUs'!$E:$E,'Base SKUs'!B:B),"")</f>
        <v>Cumaru 1x6</v>
      </c>
      <c r="K158" t="str">
        <f>IFERROR(_xlfn.XLOOKUP($A158,'Base SKUs'!$E:$E,'Base SKUs'!C:C),"")</f>
        <v>Long</v>
      </c>
      <c r="L158" t="str">
        <f>IFERROR(_xlfn.XLOOKUP($A158,'Base SKUs'!$E:$E,'Base SKUs'!D:D),"")</f>
        <v>Hardwoods</v>
      </c>
      <c r="M158" t="str">
        <f>IFERROR(_xlfn.XLOOKUP($A158,'Base SKUs'!$E:$E,'Base SKUs'!G:G),"")</f>
        <v>Cumaru</v>
      </c>
      <c r="N158" t="str">
        <f>IFERROR(_xlfn.XLOOKUP($A158,'Base SKUs'!$E:$E,'Base SKUs'!H:H),"")</f>
        <v>S4S E4E</v>
      </c>
      <c r="O158" t="str">
        <f>IFERROR(_xlfn.XLOOKUP($A158,'Base SKUs'!$E:$E,'Base SKUs'!I:I),"")</f>
        <v>-</v>
      </c>
      <c r="P158" t="str">
        <f>IFERROR(_xlfn.XLOOKUP($A158,'Base SKUs'!$E:$E,'Base SKUs'!J:J),"")</f>
        <v>1x6</v>
      </c>
      <c r="Q158">
        <f>IFERROR(_xlfn.XLOOKUP($A158,'Base SKUs'!$E:$E,'Base SKUs'!K:K),"")</f>
        <v>14</v>
      </c>
      <c r="R158" s="7">
        <f>IFERROR(_xlfn.XLOOKUP($A158,'Base SKUs'!$E:$E,'Base SKUs'!S:S),"")</f>
        <v>1.1356235352E-2</v>
      </c>
      <c r="S158" s="8">
        <f t="shared" si="12"/>
        <v>2.2712470703999999E-2</v>
      </c>
      <c r="T158" s="7">
        <f>IFERROR(_xlfn.XLOOKUP($A158,'Base SKUs'!$E:$E,'Base SKUs'!R:R),"")</f>
        <v>1232.8030000000001</v>
      </c>
      <c r="U158" s="15">
        <f t="shared" si="13"/>
        <v>28</v>
      </c>
      <c r="V158" t="str">
        <f t="shared" si="14"/>
        <v>Texas</v>
      </c>
    </row>
    <row r="159" spans="1:22" x14ac:dyDescent="0.2">
      <c r="A159" t="s">
        <v>322</v>
      </c>
      <c r="B159" s="5">
        <v>113</v>
      </c>
      <c r="C159" s="5">
        <v>61</v>
      </c>
      <c r="D159" s="5">
        <f t="shared" si="10"/>
        <v>52</v>
      </c>
      <c r="E159" s="6">
        <v>22.527899999999999</v>
      </c>
      <c r="F159" s="6">
        <f t="shared" si="11"/>
        <v>2545.6527000000001</v>
      </c>
      <c r="G159" t="s">
        <v>125</v>
      </c>
      <c r="H159">
        <v>9009</v>
      </c>
      <c r="I159" t="str">
        <f>IFERROR(_xlfn.XLOOKUP($A159,'Base SKUs'!$E:$E,'Base SKUs'!A:A),"")</f>
        <v>Cumaru</v>
      </c>
      <c r="J159" t="str">
        <f>IFERROR(_xlfn.XLOOKUP($A159,'Base SKUs'!$E:$E,'Base SKUs'!B:B),"")</f>
        <v>Cumaru 1x6</v>
      </c>
      <c r="K159" t="str">
        <f>IFERROR(_xlfn.XLOOKUP($A159,'Base SKUs'!$E:$E,'Base SKUs'!C:C),"")</f>
        <v>Long</v>
      </c>
      <c r="L159" t="str">
        <f>IFERROR(_xlfn.XLOOKUP($A159,'Base SKUs'!$E:$E,'Base SKUs'!D:D),"")</f>
        <v>Hardwoods</v>
      </c>
      <c r="M159" t="str">
        <f>IFERROR(_xlfn.XLOOKUP($A159,'Base SKUs'!$E:$E,'Base SKUs'!G:G),"")</f>
        <v>Cumaru</v>
      </c>
      <c r="N159" t="str">
        <f>IFERROR(_xlfn.XLOOKUP($A159,'Base SKUs'!$E:$E,'Base SKUs'!H:H),"")</f>
        <v>S4S E4E</v>
      </c>
      <c r="O159" t="str">
        <f>IFERROR(_xlfn.XLOOKUP($A159,'Base SKUs'!$E:$E,'Base SKUs'!I:I),"")</f>
        <v>-</v>
      </c>
      <c r="P159" t="str">
        <f>IFERROR(_xlfn.XLOOKUP($A159,'Base SKUs'!$E:$E,'Base SKUs'!J:J),"")</f>
        <v>1x6</v>
      </c>
      <c r="Q159">
        <f>IFERROR(_xlfn.XLOOKUP($A159,'Base SKUs'!$E:$E,'Base SKUs'!K:K),"")</f>
        <v>14</v>
      </c>
      <c r="R159" s="7">
        <f>IFERROR(_xlfn.XLOOKUP($A159,'Base SKUs'!$E:$E,'Base SKUs'!S:S),"")</f>
        <v>1.1356235352E-2</v>
      </c>
      <c r="S159" s="8">
        <f t="shared" si="12"/>
        <v>0.59052423830400003</v>
      </c>
      <c r="T159" s="7">
        <f>IFERROR(_xlfn.XLOOKUP($A159,'Base SKUs'!$E:$E,'Base SKUs'!R:R),"")</f>
        <v>1232.8030000000001</v>
      </c>
      <c r="U159" s="15">
        <f t="shared" si="13"/>
        <v>728</v>
      </c>
      <c r="V159" t="str">
        <f t="shared" si="14"/>
        <v>Boston</v>
      </c>
    </row>
    <row r="160" spans="1:22" x14ac:dyDescent="0.2">
      <c r="A160" t="s">
        <v>324</v>
      </c>
      <c r="B160" s="5">
        <v>92</v>
      </c>
      <c r="C160" s="5">
        <v>92</v>
      </c>
      <c r="D160" s="5">
        <f t="shared" si="10"/>
        <v>0</v>
      </c>
      <c r="E160" s="6">
        <v>29.982500000000002</v>
      </c>
      <c r="F160" s="6">
        <f t="shared" si="11"/>
        <v>2758.3900000000003</v>
      </c>
      <c r="G160" t="s">
        <v>17</v>
      </c>
      <c r="H160">
        <v>9007</v>
      </c>
      <c r="I160" t="str">
        <f>IFERROR(_xlfn.XLOOKUP($A160,'Base SKUs'!$E:$E,'Base SKUs'!A:A),"")</f>
        <v>Cumaru</v>
      </c>
      <c r="J160" t="str">
        <f>IFERROR(_xlfn.XLOOKUP($A160,'Base SKUs'!$E:$E,'Base SKUs'!B:B),"")</f>
        <v>Cumaru 1x6 Plus</v>
      </c>
      <c r="K160" t="str">
        <f>IFERROR(_xlfn.XLOOKUP($A160,'Base SKUs'!$E:$E,'Base SKUs'!C:C),"")</f>
        <v>Long</v>
      </c>
      <c r="L160" t="str">
        <f>IFERROR(_xlfn.XLOOKUP($A160,'Base SKUs'!$E:$E,'Base SKUs'!D:D),"")</f>
        <v>Hardwoods</v>
      </c>
      <c r="M160" t="str">
        <f>IFERROR(_xlfn.XLOOKUP($A160,'Base SKUs'!$E:$E,'Base SKUs'!G:G),"")</f>
        <v>Cumaru</v>
      </c>
      <c r="N160" t="str">
        <f>IFERROR(_xlfn.XLOOKUP($A160,'Base SKUs'!$E:$E,'Base SKUs'!H:H),"")</f>
        <v>S4S E4E</v>
      </c>
      <c r="O160" t="str">
        <f>IFERROR(_xlfn.XLOOKUP($A160,'Base SKUs'!$E:$E,'Base SKUs'!I:I),"")</f>
        <v>-</v>
      </c>
      <c r="P160" t="str">
        <f>IFERROR(_xlfn.XLOOKUP($A160,'Base SKUs'!$E:$E,'Base SKUs'!J:J),"")</f>
        <v>1x6 Plus</v>
      </c>
      <c r="Q160">
        <f>IFERROR(_xlfn.XLOOKUP($A160,'Base SKUs'!$E:$E,'Base SKUs'!K:K),"")</f>
        <v>15</v>
      </c>
      <c r="R160" s="7">
        <f>IFERROR(_xlfn.XLOOKUP($A160,'Base SKUs'!$E:$E,'Base SKUs'!S:S),"")</f>
        <v>1.4840534834999997E-2</v>
      </c>
      <c r="S160" s="8">
        <f t="shared" si="12"/>
        <v>0</v>
      </c>
      <c r="T160" s="7">
        <f>IFERROR(_xlfn.XLOOKUP($A160,'Base SKUs'!$E:$E,'Base SKUs'!R:R),"")</f>
        <v>1010.745</v>
      </c>
      <c r="U160" s="15">
        <f t="shared" si="13"/>
        <v>0</v>
      </c>
      <c r="V160" t="str">
        <f t="shared" si="14"/>
        <v>Miami</v>
      </c>
    </row>
    <row r="161" spans="1:22" x14ac:dyDescent="0.2">
      <c r="A161" t="s">
        <v>326</v>
      </c>
      <c r="B161" s="5">
        <v>231</v>
      </c>
      <c r="C161" s="5">
        <v>231</v>
      </c>
      <c r="D161" s="5">
        <f t="shared" si="10"/>
        <v>0</v>
      </c>
      <c r="E161" s="6">
        <v>34.699800000000003</v>
      </c>
      <c r="F161" s="6">
        <f t="shared" si="11"/>
        <v>8015.653800000001</v>
      </c>
      <c r="G161" t="s">
        <v>17</v>
      </c>
      <c r="H161">
        <v>9007</v>
      </c>
      <c r="I161" t="str">
        <f>IFERROR(_xlfn.XLOOKUP($A161,'Base SKUs'!$E:$E,'Base SKUs'!A:A),"")</f>
        <v>Cumaru</v>
      </c>
      <c r="J161" t="str">
        <f>IFERROR(_xlfn.XLOOKUP($A161,'Base SKUs'!$E:$E,'Base SKUs'!B:B),"")</f>
        <v>Cumaru 1x6 Plus</v>
      </c>
      <c r="K161" t="str">
        <f>IFERROR(_xlfn.XLOOKUP($A161,'Base SKUs'!$E:$E,'Base SKUs'!C:C),"")</f>
        <v>Long</v>
      </c>
      <c r="L161" t="str">
        <f>IFERROR(_xlfn.XLOOKUP($A161,'Base SKUs'!$E:$E,'Base SKUs'!D:D),"")</f>
        <v>Hardwoods</v>
      </c>
      <c r="M161" t="str">
        <f>IFERROR(_xlfn.XLOOKUP($A161,'Base SKUs'!$E:$E,'Base SKUs'!G:G),"")</f>
        <v>Cumaru</v>
      </c>
      <c r="N161" t="str">
        <f>IFERROR(_xlfn.XLOOKUP($A161,'Base SKUs'!$E:$E,'Base SKUs'!H:H),"")</f>
        <v>S4S E4E</v>
      </c>
      <c r="O161" t="str">
        <f>IFERROR(_xlfn.XLOOKUP($A161,'Base SKUs'!$E:$E,'Base SKUs'!I:I),"")</f>
        <v>-</v>
      </c>
      <c r="P161" t="str">
        <f>IFERROR(_xlfn.XLOOKUP($A161,'Base SKUs'!$E:$E,'Base SKUs'!J:J),"")</f>
        <v>1x6 Plus</v>
      </c>
      <c r="Q161">
        <f>IFERROR(_xlfn.XLOOKUP($A161,'Base SKUs'!$E:$E,'Base SKUs'!K:K),"")</f>
        <v>16</v>
      </c>
      <c r="R161" s="7">
        <f>IFERROR(_xlfn.XLOOKUP($A161,'Base SKUs'!$E:$E,'Base SKUs'!S:S),"")</f>
        <v>1.5829903823999996E-2</v>
      </c>
      <c r="S161" s="8">
        <f t="shared" si="12"/>
        <v>0</v>
      </c>
      <c r="T161" s="7">
        <f>IFERROR(_xlfn.XLOOKUP($A161,'Base SKUs'!$E:$E,'Base SKUs'!R:R),"")</f>
        <v>1010.745</v>
      </c>
      <c r="U161" s="15">
        <f t="shared" si="13"/>
        <v>0</v>
      </c>
      <c r="V161" t="str">
        <f t="shared" si="14"/>
        <v>Miami</v>
      </c>
    </row>
    <row r="162" spans="1:22" x14ac:dyDescent="0.2">
      <c r="A162" t="s">
        <v>326</v>
      </c>
      <c r="B162" s="5">
        <v>334</v>
      </c>
      <c r="C162" s="5">
        <v>334</v>
      </c>
      <c r="D162" s="5">
        <f t="shared" si="10"/>
        <v>0</v>
      </c>
      <c r="E162" s="6">
        <v>33.291499999999999</v>
      </c>
      <c r="F162" s="6">
        <f t="shared" si="11"/>
        <v>11119.360999999999</v>
      </c>
      <c r="G162" t="s">
        <v>24</v>
      </c>
      <c r="H162">
        <v>9008</v>
      </c>
      <c r="I162" t="str">
        <f>IFERROR(_xlfn.XLOOKUP($A162,'Base SKUs'!$E:$E,'Base SKUs'!A:A),"")</f>
        <v>Cumaru</v>
      </c>
      <c r="J162" t="str">
        <f>IFERROR(_xlfn.XLOOKUP($A162,'Base SKUs'!$E:$E,'Base SKUs'!B:B),"")</f>
        <v>Cumaru 1x6 Plus</v>
      </c>
      <c r="K162" t="str">
        <f>IFERROR(_xlfn.XLOOKUP($A162,'Base SKUs'!$E:$E,'Base SKUs'!C:C),"")</f>
        <v>Long</v>
      </c>
      <c r="L162" t="str">
        <f>IFERROR(_xlfn.XLOOKUP($A162,'Base SKUs'!$E:$E,'Base SKUs'!D:D),"")</f>
        <v>Hardwoods</v>
      </c>
      <c r="M162" t="str">
        <f>IFERROR(_xlfn.XLOOKUP($A162,'Base SKUs'!$E:$E,'Base SKUs'!G:G),"")</f>
        <v>Cumaru</v>
      </c>
      <c r="N162" t="str">
        <f>IFERROR(_xlfn.XLOOKUP($A162,'Base SKUs'!$E:$E,'Base SKUs'!H:H),"")</f>
        <v>S4S E4E</v>
      </c>
      <c r="O162" t="str">
        <f>IFERROR(_xlfn.XLOOKUP($A162,'Base SKUs'!$E:$E,'Base SKUs'!I:I),"")</f>
        <v>-</v>
      </c>
      <c r="P162" t="str">
        <f>IFERROR(_xlfn.XLOOKUP($A162,'Base SKUs'!$E:$E,'Base SKUs'!J:J),"")</f>
        <v>1x6 Plus</v>
      </c>
      <c r="Q162">
        <f>IFERROR(_xlfn.XLOOKUP($A162,'Base SKUs'!$E:$E,'Base SKUs'!K:K),"")</f>
        <v>16</v>
      </c>
      <c r="R162" s="7">
        <f>IFERROR(_xlfn.XLOOKUP($A162,'Base SKUs'!$E:$E,'Base SKUs'!S:S),"")</f>
        <v>1.5829903823999996E-2</v>
      </c>
      <c r="S162" s="8">
        <f t="shared" si="12"/>
        <v>0</v>
      </c>
      <c r="T162" s="7">
        <f>IFERROR(_xlfn.XLOOKUP($A162,'Base SKUs'!$E:$E,'Base SKUs'!R:R),"")</f>
        <v>1010.745</v>
      </c>
      <c r="U162" s="15">
        <f t="shared" si="13"/>
        <v>0</v>
      </c>
      <c r="V162" t="str">
        <f t="shared" si="14"/>
        <v>Texas</v>
      </c>
    </row>
    <row r="163" spans="1:22" x14ac:dyDescent="0.2">
      <c r="A163" t="s">
        <v>328</v>
      </c>
      <c r="B163" s="5">
        <v>11</v>
      </c>
      <c r="C163" s="5">
        <v>0</v>
      </c>
      <c r="D163" s="5">
        <f t="shared" si="10"/>
        <v>11</v>
      </c>
      <c r="E163" s="6">
        <v>25.746200000000002</v>
      </c>
      <c r="F163" s="6">
        <f t="shared" si="11"/>
        <v>283.20820000000003</v>
      </c>
      <c r="G163" t="s">
        <v>24</v>
      </c>
      <c r="H163">
        <v>9008</v>
      </c>
      <c r="I163" t="str">
        <f>IFERROR(_xlfn.XLOOKUP($A163,'Base SKUs'!$E:$E,'Base SKUs'!A:A),"")</f>
        <v>Cumaru</v>
      </c>
      <c r="J163" t="str">
        <f>IFERROR(_xlfn.XLOOKUP($A163,'Base SKUs'!$E:$E,'Base SKUs'!B:B),"")</f>
        <v>Cumaru 1x6</v>
      </c>
      <c r="K163" t="str">
        <f>IFERROR(_xlfn.XLOOKUP($A163,'Base SKUs'!$E:$E,'Base SKUs'!C:C),"")</f>
        <v>Long</v>
      </c>
      <c r="L163" t="str">
        <f>IFERROR(_xlfn.XLOOKUP($A163,'Base SKUs'!$E:$E,'Base SKUs'!D:D),"")</f>
        <v>Hardwoods</v>
      </c>
      <c r="M163" t="str">
        <f>IFERROR(_xlfn.XLOOKUP($A163,'Base SKUs'!$E:$E,'Base SKUs'!G:G),"")</f>
        <v>Cumaru</v>
      </c>
      <c r="N163" t="str">
        <f>IFERROR(_xlfn.XLOOKUP($A163,'Base SKUs'!$E:$E,'Base SKUs'!H:H),"")</f>
        <v>S4S E4E</v>
      </c>
      <c r="O163" t="str">
        <f>IFERROR(_xlfn.XLOOKUP($A163,'Base SKUs'!$E:$E,'Base SKUs'!I:I),"")</f>
        <v>-</v>
      </c>
      <c r="P163" t="str">
        <f>IFERROR(_xlfn.XLOOKUP($A163,'Base SKUs'!$E:$E,'Base SKUs'!J:J),"")</f>
        <v>1x6</v>
      </c>
      <c r="Q163">
        <f>IFERROR(_xlfn.XLOOKUP($A163,'Base SKUs'!$E:$E,'Base SKUs'!K:K),"")</f>
        <v>16</v>
      </c>
      <c r="R163" s="7">
        <f>IFERROR(_xlfn.XLOOKUP($A163,'Base SKUs'!$E:$E,'Base SKUs'!S:S),"")</f>
        <v>1.2978554687999999E-2</v>
      </c>
      <c r="S163" s="8">
        <f t="shared" si="12"/>
        <v>0.14276410156799998</v>
      </c>
      <c r="T163" s="7">
        <f>IFERROR(_xlfn.XLOOKUP($A163,'Base SKUs'!$E:$E,'Base SKUs'!R:R),"")</f>
        <v>1232.8030000000001</v>
      </c>
      <c r="U163" s="15">
        <f t="shared" si="13"/>
        <v>176</v>
      </c>
      <c r="V163" t="str">
        <f t="shared" si="14"/>
        <v>Texas</v>
      </c>
    </row>
    <row r="164" spans="1:22" x14ac:dyDescent="0.2">
      <c r="A164" t="s">
        <v>328</v>
      </c>
      <c r="B164" s="5">
        <v>71</v>
      </c>
      <c r="C164" s="5">
        <v>71</v>
      </c>
      <c r="D164" s="5">
        <f t="shared" si="10"/>
        <v>0</v>
      </c>
      <c r="E164" s="6">
        <v>25.746200000000002</v>
      </c>
      <c r="F164" s="6">
        <f t="shared" si="11"/>
        <v>1827.9802000000002</v>
      </c>
      <c r="G164" t="s">
        <v>125</v>
      </c>
      <c r="H164">
        <v>9009</v>
      </c>
      <c r="I164" t="str">
        <f>IFERROR(_xlfn.XLOOKUP($A164,'Base SKUs'!$E:$E,'Base SKUs'!A:A),"")</f>
        <v>Cumaru</v>
      </c>
      <c r="J164" t="str">
        <f>IFERROR(_xlfn.XLOOKUP($A164,'Base SKUs'!$E:$E,'Base SKUs'!B:B),"")</f>
        <v>Cumaru 1x6</v>
      </c>
      <c r="K164" t="str">
        <f>IFERROR(_xlfn.XLOOKUP($A164,'Base SKUs'!$E:$E,'Base SKUs'!C:C),"")</f>
        <v>Long</v>
      </c>
      <c r="L164" t="str">
        <f>IFERROR(_xlfn.XLOOKUP($A164,'Base SKUs'!$E:$E,'Base SKUs'!D:D),"")</f>
        <v>Hardwoods</v>
      </c>
      <c r="M164" t="str">
        <f>IFERROR(_xlfn.XLOOKUP($A164,'Base SKUs'!$E:$E,'Base SKUs'!G:G),"")</f>
        <v>Cumaru</v>
      </c>
      <c r="N164" t="str">
        <f>IFERROR(_xlfn.XLOOKUP($A164,'Base SKUs'!$E:$E,'Base SKUs'!H:H),"")</f>
        <v>S4S E4E</v>
      </c>
      <c r="O164" t="str">
        <f>IFERROR(_xlfn.XLOOKUP($A164,'Base SKUs'!$E:$E,'Base SKUs'!I:I),"")</f>
        <v>-</v>
      </c>
      <c r="P164" t="str">
        <f>IFERROR(_xlfn.XLOOKUP($A164,'Base SKUs'!$E:$E,'Base SKUs'!J:J),"")</f>
        <v>1x6</v>
      </c>
      <c r="Q164">
        <f>IFERROR(_xlfn.XLOOKUP($A164,'Base SKUs'!$E:$E,'Base SKUs'!K:K),"")</f>
        <v>16</v>
      </c>
      <c r="R164" s="7">
        <f>IFERROR(_xlfn.XLOOKUP($A164,'Base SKUs'!$E:$E,'Base SKUs'!S:S),"")</f>
        <v>1.2978554687999999E-2</v>
      </c>
      <c r="S164" s="8">
        <f t="shared" si="12"/>
        <v>0</v>
      </c>
      <c r="T164" s="7">
        <f>IFERROR(_xlfn.XLOOKUP($A164,'Base SKUs'!$E:$E,'Base SKUs'!R:R),"")</f>
        <v>1232.8030000000001</v>
      </c>
      <c r="U164" s="15">
        <f t="shared" si="13"/>
        <v>0</v>
      </c>
      <c r="V164" t="str">
        <f t="shared" si="14"/>
        <v>Boston</v>
      </c>
    </row>
    <row r="165" spans="1:22" x14ac:dyDescent="0.2">
      <c r="A165" t="s">
        <v>328</v>
      </c>
      <c r="B165" s="5">
        <v>1</v>
      </c>
      <c r="C165" s="5">
        <v>0</v>
      </c>
      <c r="D165" s="5">
        <f t="shared" si="10"/>
        <v>1</v>
      </c>
      <c r="E165" s="6">
        <v>25.746200000000002</v>
      </c>
      <c r="F165" s="6">
        <f t="shared" si="11"/>
        <v>25.746200000000002</v>
      </c>
      <c r="G165" t="s">
        <v>330</v>
      </c>
      <c r="H165">
        <v>9011</v>
      </c>
      <c r="I165" t="str">
        <f>IFERROR(_xlfn.XLOOKUP($A165,'Base SKUs'!$E:$E,'Base SKUs'!A:A),"")</f>
        <v>Cumaru</v>
      </c>
      <c r="J165" t="str">
        <f>IFERROR(_xlfn.XLOOKUP($A165,'Base SKUs'!$E:$E,'Base SKUs'!B:B),"")</f>
        <v>Cumaru 1x6</v>
      </c>
      <c r="K165" t="str">
        <f>IFERROR(_xlfn.XLOOKUP($A165,'Base SKUs'!$E:$E,'Base SKUs'!C:C),"")</f>
        <v>Long</v>
      </c>
      <c r="L165" t="str">
        <f>IFERROR(_xlfn.XLOOKUP($A165,'Base SKUs'!$E:$E,'Base SKUs'!D:D),"")</f>
        <v>Hardwoods</v>
      </c>
      <c r="M165" t="str">
        <f>IFERROR(_xlfn.XLOOKUP($A165,'Base SKUs'!$E:$E,'Base SKUs'!G:G),"")</f>
        <v>Cumaru</v>
      </c>
      <c r="N165" t="str">
        <f>IFERROR(_xlfn.XLOOKUP($A165,'Base SKUs'!$E:$E,'Base SKUs'!H:H),"")</f>
        <v>S4S E4E</v>
      </c>
      <c r="O165" t="str">
        <f>IFERROR(_xlfn.XLOOKUP($A165,'Base SKUs'!$E:$E,'Base SKUs'!I:I),"")</f>
        <v>-</v>
      </c>
      <c r="P165" t="str">
        <f>IFERROR(_xlfn.XLOOKUP($A165,'Base SKUs'!$E:$E,'Base SKUs'!J:J),"")</f>
        <v>1x6</v>
      </c>
      <c r="Q165">
        <f>IFERROR(_xlfn.XLOOKUP($A165,'Base SKUs'!$E:$E,'Base SKUs'!K:K),"")</f>
        <v>16</v>
      </c>
      <c r="R165" s="7">
        <f>IFERROR(_xlfn.XLOOKUP($A165,'Base SKUs'!$E:$E,'Base SKUs'!S:S),"")</f>
        <v>1.2978554687999999E-2</v>
      </c>
      <c r="S165" s="8">
        <f t="shared" si="12"/>
        <v>1.2978554687999999E-2</v>
      </c>
      <c r="T165" s="7">
        <f>IFERROR(_xlfn.XLOOKUP($A165,'Base SKUs'!$E:$E,'Base SKUs'!R:R),"")</f>
        <v>1232.8030000000001</v>
      </c>
      <c r="U165" s="15">
        <f t="shared" si="13"/>
        <v>16</v>
      </c>
      <c r="V165" t="str">
        <f t="shared" si="14"/>
        <v>New York</v>
      </c>
    </row>
    <row r="166" spans="1:22" x14ac:dyDescent="0.2">
      <c r="A166" t="s">
        <v>333</v>
      </c>
      <c r="B166" s="5">
        <v>102</v>
      </c>
      <c r="C166" s="5">
        <v>102</v>
      </c>
      <c r="D166" s="5">
        <f t="shared" si="10"/>
        <v>0</v>
      </c>
      <c r="E166" s="6">
        <v>35.372199999999999</v>
      </c>
      <c r="F166" s="6">
        <f t="shared" si="11"/>
        <v>3607.9643999999998</v>
      </c>
      <c r="G166" t="s">
        <v>17</v>
      </c>
      <c r="H166">
        <v>9007</v>
      </c>
      <c r="I166" t="str">
        <f>IFERROR(_xlfn.XLOOKUP($A166,'Base SKUs'!$E:$E,'Base SKUs'!A:A),"")</f>
        <v>Cumaru</v>
      </c>
      <c r="J166" t="str">
        <f>IFERROR(_xlfn.XLOOKUP($A166,'Base SKUs'!$E:$E,'Base SKUs'!B:B),"")</f>
        <v>Cumaru 1x6 Plus</v>
      </c>
      <c r="K166" t="str">
        <f>IFERROR(_xlfn.XLOOKUP($A166,'Base SKUs'!$E:$E,'Base SKUs'!C:C),"")</f>
        <v>Long</v>
      </c>
      <c r="L166" t="str">
        <f>IFERROR(_xlfn.XLOOKUP($A166,'Base SKUs'!$E:$E,'Base SKUs'!D:D),"")</f>
        <v>Hardwoods</v>
      </c>
      <c r="M166" t="str">
        <f>IFERROR(_xlfn.XLOOKUP($A166,'Base SKUs'!$E:$E,'Base SKUs'!G:G),"")</f>
        <v>Cumaru</v>
      </c>
      <c r="N166" t="str">
        <f>IFERROR(_xlfn.XLOOKUP($A166,'Base SKUs'!$E:$E,'Base SKUs'!H:H),"")</f>
        <v>S4S E4E</v>
      </c>
      <c r="O166" t="str">
        <f>IFERROR(_xlfn.XLOOKUP($A166,'Base SKUs'!$E:$E,'Base SKUs'!I:I),"")</f>
        <v>-</v>
      </c>
      <c r="P166" t="str">
        <f>IFERROR(_xlfn.XLOOKUP($A166,'Base SKUs'!$E:$E,'Base SKUs'!J:J),"")</f>
        <v>1x6 Plus</v>
      </c>
      <c r="Q166">
        <f>IFERROR(_xlfn.XLOOKUP($A166,'Base SKUs'!$E:$E,'Base SKUs'!K:K),"")</f>
        <v>17</v>
      </c>
      <c r="R166" s="7">
        <f>IFERROR(_xlfn.XLOOKUP($A166,'Base SKUs'!$E:$E,'Base SKUs'!S:S),"")</f>
        <v>1.6819272812999997E-2</v>
      </c>
      <c r="S166" s="8">
        <f t="shared" si="12"/>
        <v>0</v>
      </c>
      <c r="T166" s="7">
        <f>IFERROR(_xlfn.XLOOKUP($A166,'Base SKUs'!$E:$E,'Base SKUs'!R:R),"")</f>
        <v>1010.745</v>
      </c>
      <c r="U166" s="15">
        <f t="shared" si="13"/>
        <v>0</v>
      </c>
      <c r="V166" t="str">
        <f t="shared" si="14"/>
        <v>Miami</v>
      </c>
    </row>
    <row r="167" spans="1:22" x14ac:dyDescent="0.2">
      <c r="A167" t="s">
        <v>335</v>
      </c>
      <c r="B167" s="5">
        <v>14</v>
      </c>
      <c r="C167" s="5">
        <v>14</v>
      </c>
      <c r="D167" s="5">
        <f t="shared" si="10"/>
        <v>0</v>
      </c>
      <c r="E167" s="6">
        <v>32.101399999999998</v>
      </c>
      <c r="F167" s="6">
        <f t="shared" si="11"/>
        <v>449.41959999999995</v>
      </c>
      <c r="G167" t="s">
        <v>17</v>
      </c>
      <c r="H167">
        <v>9007</v>
      </c>
      <c r="I167" t="str">
        <f>IFERROR(_xlfn.XLOOKUP($A167,'Base SKUs'!$E:$E,'Base SKUs'!A:A),"")</f>
        <v>Cumaru</v>
      </c>
      <c r="J167" t="str">
        <f>IFERROR(_xlfn.XLOOKUP($A167,'Base SKUs'!$E:$E,'Base SKUs'!B:B),"")</f>
        <v>Cumaru 1x6</v>
      </c>
      <c r="K167" t="str">
        <f>IFERROR(_xlfn.XLOOKUP($A167,'Base SKUs'!$E:$E,'Base SKUs'!C:C),"")</f>
        <v>Long</v>
      </c>
      <c r="L167" t="str">
        <f>IFERROR(_xlfn.XLOOKUP($A167,'Base SKUs'!$E:$E,'Base SKUs'!D:D),"")</f>
        <v>Hardwoods</v>
      </c>
      <c r="M167" t="str">
        <f>IFERROR(_xlfn.XLOOKUP($A167,'Base SKUs'!$E:$E,'Base SKUs'!G:G),"")</f>
        <v>Cumaru</v>
      </c>
      <c r="N167" t="str">
        <f>IFERROR(_xlfn.XLOOKUP($A167,'Base SKUs'!$E:$E,'Base SKUs'!H:H),"")</f>
        <v>S4S E4E</v>
      </c>
      <c r="O167" t="str">
        <f>IFERROR(_xlfn.XLOOKUP($A167,'Base SKUs'!$E:$E,'Base SKUs'!I:I),"")</f>
        <v>-</v>
      </c>
      <c r="P167" t="str">
        <f>IFERROR(_xlfn.XLOOKUP($A167,'Base SKUs'!$E:$E,'Base SKUs'!J:J),"")</f>
        <v>1x6</v>
      </c>
      <c r="Q167">
        <f>IFERROR(_xlfn.XLOOKUP($A167,'Base SKUs'!$E:$E,'Base SKUs'!K:K),"")</f>
        <v>17</v>
      </c>
      <c r="R167" s="7">
        <f>IFERROR(_xlfn.XLOOKUP($A167,'Base SKUs'!$E:$E,'Base SKUs'!S:S),"")</f>
        <v>1.3789714356000002E-2</v>
      </c>
      <c r="S167" s="8">
        <f t="shared" si="12"/>
        <v>0</v>
      </c>
      <c r="T167" s="7">
        <f>IFERROR(_xlfn.XLOOKUP($A167,'Base SKUs'!$E:$E,'Base SKUs'!R:R),"")</f>
        <v>1232.8030000000001</v>
      </c>
      <c r="U167" s="15">
        <f t="shared" si="13"/>
        <v>0</v>
      </c>
      <c r="V167" t="str">
        <f t="shared" si="14"/>
        <v>Miami</v>
      </c>
    </row>
    <row r="168" spans="1:22" x14ac:dyDescent="0.2">
      <c r="A168" t="s">
        <v>337</v>
      </c>
      <c r="B168" s="5">
        <v>148</v>
      </c>
      <c r="C168" s="5">
        <v>148</v>
      </c>
      <c r="D168" s="5">
        <f t="shared" si="10"/>
        <v>0</v>
      </c>
      <c r="E168" s="6">
        <v>40.463900000000002</v>
      </c>
      <c r="F168" s="6">
        <f t="shared" si="11"/>
        <v>5988.6572000000006</v>
      </c>
      <c r="G168" t="s">
        <v>17</v>
      </c>
      <c r="H168">
        <v>9007</v>
      </c>
      <c r="I168" t="str">
        <f>IFERROR(_xlfn.XLOOKUP($A168,'Base SKUs'!$E:$E,'Base SKUs'!A:A),"")</f>
        <v>Cumaru</v>
      </c>
      <c r="J168" t="str">
        <f>IFERROR(_xlfn.XLOOKUP($A168,'Base SKUs'!$E:$E,'Base SKUs'!B:B),"")</f>
        <v>Cumaru 1x6 Plus</v>
      </c>
      <c r="K168" t="str">
        <f>IFERROR(_xlfn.XLOOKUP($A168,'Base SKUs'!$E:$E,'Base SKUs'!C:C),"")</f>
        <v>Long</v>
      </c>
      <c r="L168" t="str">
        <f>IFERROR(_xlfn.XLOOKUP($A168,'Base SKUs'!$E:$E,'Base SKUs'!D:D),"")</f>
        <v>Hardwoods</v>
      </c>
      <c r="M168" t="str">
        <f>IFERROR(_xlfn.XLOOKUP($A168,'Base SKUs'!$E:$E,'Base SKUs'!G:G),"")</f>
        <v>Cumaru</v>
      </c>
      <c r="N168" t="str">
        <f>IFERROR(_xlfn.XLOOKUP($A168,'Base SKUs'!$E:$E,'Base SKUs'!H:H),"")</f>
        <v>S4S E4E</v>
      </c>
      <c r="O168" t="str">
        <f>IFERROR(_xlfn.XLOOKUP($A168,'Base SKUs'!$E:$E,'Base SKUs'!I:I),"")</f>
        <v>-</v>
      </c>
      <c r="P168" t="str">
        <f>IFERROR(_xlfn.XLOOKUP($A168,'Base SKUs'!$E:$E,'Base SKUs'!J:J),"")</f>
        <v>1x6 Plus</v>
      </c>
      <c r="Q168">
        <f>IFERROR(_xlfn.XLOOKUP($A168,'Base SKUs'!$E:$E,'Base SKUs'!K:K),"")</f>
        <v>18</v>
      </c>
      <c r="R168" s="7">
        <f>IFERROR(_xlfn.XLOOKUP($A168,'Base SKUs'!$E:$E,'Base SKUs'!S:S),"")</f>
        <v>1.7808641801999994E-2</v>
      </c>
      <c r="S168" s="8">
        <f t="shared" si="12"/>
        <v>0</v>
      </c>
      <c r="T168" s="7">
        <f>IFERROR(_xlfn.XLOOKUP($A168,'Base SKUs'!$E:$E,'Base SKUs'!R:R),"")</f>
        <v>1010.745</v>
      </c>
      <c r="U168" s="15">
        <f t="shared" si="13"/>
        <v>0</v>
      </c>
      <c r="V168" t="str">
        <f t="shared" si="14"/>
        <v>Miami</v>
      </c>
    </row>
    <row r="169" spans="1:22" x14ac:dyDescent="0.2">
      <c r="A169" t="s">
        <v>337</v>
      </c>
      <c r="B169" s="5">
        <v>248</v>
      </c>
      <c r="C169" s="5">
        <v>248</v>
      </c>
      <c r="D169" s="5">
        <f t="shared" si="10"/>
        <v>0</v>
      </c>
      <c r="E169" s="6">
        <v>37.4529</v>
      </c>
      <c r="F169" s="6">
        <f t="shared" si="11"/>
        <v>9288.3191999999999</v>
      </c>
      <c r="G169" t="s">
        <v>24</v>
      </c>
      <c r="H169">
        <v>9008</v>
      </c>
      <c r="I169" t="str">
        <f>IFERROR(_xlfn.XLOOKUP($A169,'Base SKUs'!$E:$E,'Base SKUs'!A:A),"")</f>
        <v>Cumaru</v>
      </c>
      <c r="J169" t="str">
        <f>IFERROR(_xlfn.XLOOKUP($A169,'Base SKUs'!$E:$E,'Base SKUs'!B:B),"")</f>
        <v>Cumaru 1x6 Plus</v>
      </c>
      <c r="K169" t="str">
        <f>IFERROR(_xlfn.XLOOKUP($A169,'Base SKUs'!$E:$E,'Base SKUs'!C:C),"")</f>
        <v>Long</v>
      </c>
      <c r="L169" t="str">
        <f>IFERROR(_xlfn.XLOOKUP($A169,'Base SKUs'!$E:$E,'Base SKUs'!D:D),"")</f>
        <v>Hardwoods</v>
      </c>
      <c r="M169" t="str">
        <f>IFERROR(_xlfn.XLOOKUP($A169,'Base SKUs'!$E:$E,'Base SKUs'!G:G),"")</f>
        <v>Cumaru</v>
      </c>
      <c r="N169" t="str">
        <f>IFERROR(_xlfn.XLOOKUP($A169,'Base SKUs'!$E:$E,'Base SKUs'!H:H),"")</f>
        <v>S4S E4E</v>
      </c>
      <c r="O169" t="str">
        <f>IFERROR(_xlfn.XLOOKUP($A169,'Base SKUs'!$E:$E,'Base SKUs'!I:I),"")</f>
        <v>-</v>
      </c>
      <c r="P169" t="str">
        <f>IFERROR(_xlfn.XLOOKUP($A169,'Base SKUs'!$E:$E,'Base SKUs'!J:J),"")</f>
        <v>1x6 Plus</v>
      </c>
      <c r="Q169">
        <f>IFERROR(_xlfn.XLOOKUP($A169,'Base SKUs'!$E:$E,'Base SKUs'!K:K),"")</f>
        <v>18</v>
      </c>
      <c r="R169" s="7">
        <f>IFERROR(_xlfn.XLOOKUP($A169,'Base SKUs'!$E:$E,'Base SKUs'!S:S),"")</f>
        <v>1.7808641801999994E-2</v>
      </c>
      <c r="S169" s="8">
        <f t="shared" si="12"/>
        <v>0</v>
      </c>
      <c r="T169" s="7">
        <f>IFERROR(_xlfn.XLOOKUP($A169,'Base SKUs'!$E:$E,'Base SKUs'!R:R),"")</f>
        <v>1010.745</v>
      </c>
      <c r="U169" s="15">
        <f t="shared" si="13"/>
        <v>0</v>
      </c>
      <c r="V169" t="str">
        <f t="shared" si="14"/>
        <v>Texas</v>
      </c>
    </row>
    <row r="170" spans="1:22" x14ac:dyDescent="0.2">
      <c r="A170" t="s">
        <v>339</v>
      </c>
      <c r="B170" s="5">
        <v>72</v>
      </c>
      <c r="C170" s="5">
        <v>72</v>
      </c>
      <c r="D170" s="5">
        <f t="shared" si="10"/>
        <v>0</v>
      </c>
      <c r="E170" s="6">
        <v>28.964400000000001</v>
      </c>
      <c r="F170" s="6">
        <f t="shared" si="11"/>
        <v>2085.4367999999999</v>
      </c>
      <c r="G170" t="s">
        <v>125</v>
      </c>
      <c r="H170">
        <v>9009</v>
      </c>
      <c r="I170" t="str">
        <f>IFERROR(_xlfn.XLOOKUP($A170,'Base SKUs'!$E:$E,'Base SKUs'!A:A),"")</f>
        <v>Cumaru</v>
      </c>
      <c r="J170" t="str">
        <f>IFERROR(_xlfn.XLOOKUP($A170,'Base SKUs'!$E:$E,'Base SKUs'!B:B),"")</f>
        <v>Cumaru 1x6</v>
      </c>
      <c r="K170" t="str">
        <f>IFERROR(_xlfn.XLOOKUP($A170,'Base SKUs'!$E:$E,'Base SKUs'!C:C),"")</f>
        <v>Long</v>
      </c>
      <c r="L170" t="str">
        <f>IFERROR(_xlfn.XLOOKUP($A170,'Base SKUs'!$E:$E,'Base SKUs'!D:D),"")</f>
        <v>Hardwoods</v>
      </c>
      <c r="M170" t="str">
        <f>IFERROR(_xlfn.XLOOKUP($A170,'Base SKUs'!$E:$E,'Base SKUs'!G:G),"")</f>
        <v>Cumaru</v>
      </c>
      <c r="N170" t="str">
        <f>IFERROR(_xlfn.XLOOKUP($A170,'Base SKUs'!$E:$E,'Base SKUs'!H:H),"")</f>
        <v>S4S E4E</v>
      </c>
      <c r="O170" t="str">
        <f>IFERROR(_xlfn.XLOOKUP($A170,'Base SKUs'!$E:$E,'Base SKUs'!I:I),"")</f>
        <v>-</v>
      </c>
      <c r="P170" t="str">
        <f>IFERROR(_xlfn.XLOOKUP($A170,'Base SKUs'!$E:$E,'Base SKUs'!J:J),"")</f>
        <v>1x6</v>
      </c>
      <c r="Q170">
        <f>IFERROR(_xlfn.XLOOKUP($A170,'Base SKUs'!$E:$E,'Base SKUs'!K:K),"")</f>
        <v>18</v>
      </c>
      <c r="R170" s="7">
        <f>IFERROR(_xlfn.XLOOKUP($A170,'Base SKUs'!$E:$E,'Base SKUs'!S:S),"")</f>
        <v>1.4600874024E-2</v>
      </c>
      <c r="S170" s="8">
        <f t="shared" si="12"/>
        <v>0</v>
      </c>
      <c r="T170" s="7">
        <f>IFERROR(_xlfn.XLOOKUP($A170,'Base SKUs'!$E:$E,'Base SKUs'!R:R),"")</f>
        <v>1232.8030000000001</v>
      </c>
      <c r="U170" s="15">
        <f t="shared" si="13"/>
        <v>0</v>
      </c>
      <c r="V170" t="str">
        <f t="shared" si="14"/>
        <v>Boston</v>
      </c>
    </row>
    <row r="171" spans="1:22" x14ac:dyDescent="0.2">
      <c r="A171" t="s">
        <v>341</v>
      </c>
      <c r="B171" s="5">
        <v>71</v>
      </c>
      <c r="C171" s="5">
        <v>71</v>
      </c>
      <c r="D171" s="5">
        <f t="shared" si="10"/>
        <v>0</v>
      </c>
      <c r="E171" s="6">
        <v>39.5336</v>
      </c>
      <c r="F171" s="6">
        <f t="shared" si="11"/>
        <v>2806.8856000000001</v>
      </c>
      <c r="G171" t="s">
        <v>17</v>
      </c>
      <c r="H171">
        <v>9007</v>
      </c>
      <c r="I171" t="str">
        <f>IFERROR(_xlfn.XLOOKUP($A171,'Base SKUs'!$E:$E,'Base SKUs'!A:A),"")</f>
        <v>Cumaru</v>
      </c>
      <c r="J171" t="str">
        <f>IFERROR(_xlfn.XLOOKUP($A171,'Base SKUs'!$E:$E,'Base SKUs'!B:B),"")</f>
        <v>Cumaru 1x6 Plus</v>
      </c>
      <c r="K171" t="str">
        <f>IFERROR(_xlfn.XLOOKUP($A171,'Base SKUs'!$E:$E,'Base SKUs'!C:C),"")</f>
        <v>Long</v>
      </c>
      <c r="L171" t="str">
        <f>IFERROR(_xlfn.XLOOKUP($A171,'Base SKUs'!$E:$E,'Base SKUs'!D:D),"")</f>
        <v>Hardwoods</v>
      </c>
      <c r="M171" t="str">
        <f>IFERROR(_xlfn.XLOOKUP($A171,'Base SKUs'!$E:$E,'Base SKUs'!G:G),"")</f>
        <v>Cumaru</v>
      </c>
      <c r="N171" t="str">
        <f>IFERROR(_xlfn.XLOOKUP($A171,'Base SKUs'!$E:$E,'Base SKUs'!H:H),"")</f>
        <v>S4S E4E</v>
      </c>
      <c r="O171" t="str">
        <f>IFERROR(_xlfn.XLOOKUP($A171,'Base SKUs'!$E:$E,'Base SKUs'!I:I),"")</f>
        <v>-</v>
      </c>
      <c r="P171" t="str">
        <f>IFERROR(_xlfn.XLOOKUP($A171,'Base SKUs'!$E:$E,'Base SKUs'!J:J),"")</f>
        <v>1x6 Plus</v>
      </c>
      <c r="Q171">
        <f>IFERROR(_xlfn.XLOOKUP($A171,'Base SKUs'!$E:$E,'Base SKUs'!K:K),"")</f>
        <v>19</v>
      </c>
      <c r="R171" s="7">
        <f>IFERROR(_xlfn.XLOOKUP($A171,'Base SKUs'!$E:$E,'Base SKUs'!S:S),"")</f>
        <v>1.8798010790999995E-2</v>
      </c>
      <c r="S171" s="8">
        <f t="shared" si="12"/>
        <v>0</v>
      </c>
      <c r="T171" s="7">
        <f>IFERROR(_xlfn.XLOOKUP($A171,'Base SKUs'!$E:$E,'Base SKUs'!R:R),"")</f>
        <v>1010.745</v>
      </c>
      <c r="U171" s="15">
        <f t="shared" si="13"/>
        <v>0</v>
      </c>
      <c r="V171" t="str">
        <f t="shared" si="14"/>
        <v>Miami</v>
      </c>
    </row>
    <row r="172" spans="1:22" x14ac:dyDescent="0.2">
      <c r="A172" t="s">
        <v>343</v>
      </c>
      <c r="B172" s="5">
        <v>146</v>
      </c>
      <c r="C172" s="5">
        <v>146</v>
      </c>
      <c r="D172" s="5">
        <f t="shared" si="10"/>
        <v>0</v>
      </c>
      <c r="E172" s="6">
        <v>44.354300000000002</v>
      </c>
      <c r="F172" s="6">
        <f t="shared" si="11"/>
        <v>6475.7278000000006</v>
      </c>
      <c r="G172" t="s">
        <v>17</v>
      </c>
      <c r="H172">
        <v>9007</v>
      </c>
      <c r="I172" t="str">
        <f>IFERROR(_xlfn.XLOOKUP($A172,'Base SKUs'!$E:$E,'Base SKUs'!A:A),"")</f>
        <v>Cumaru</v>
      </c>
      <c r="J172" t="str">
        <f>IFERROR(_xlfn.XLOOKUP($A172,'Base SKUs'!$E:$E,'Base SKUs'!B:B),"")</f>
        <v>Cumaru 1x6 Plus</v>
      </c>
      <c r="K172" t="str">
        <f>IFERROR(_xlfn.XLOOKUP($A172,'Base SKUs'!$E:$E,'Base SKUs'!C:C),"")</f>
        <v>Long</v>
      </c>
      <c r="L172" t="str">
        <f>IFERROR(_xlfn.XLOOKUP($A172,'Base SKUs'!$E:$E,'Base SKUs'!D:D),"")</f>
        <v>Hardwoods</v>
      </c>
      <c r="M172" t="str">
        <f>IFERROR(_xlfn.XLOOKUP($A172,'Base SKUs'!$E:$E,'Base SKUs'!G:G),"")</f>
        <v>Cumaru</v>
      </c>
      <c r="N172" t="str">
        <f>IFERROR(_xlfn.XLOOKUP($A172,'Base SKUs'!$E:$E,'Base SKUs'!H:H),"")</f>
        <v>S4S E4E</v>
      </c>
      <c r="O172" t="str">
        <f>IFERROR(_xlfn.XLOOKUP($A172,'Base SKUs'!$E:$E,'Base SKUs'!I:I),"")</f>
        <v>-</v>
      </c>
      <c r="P172" t="str">
        <f>IFERROR(_xlfn.XLOOKUP($A172,'Base SKUs'!$E:$E,'Base SKUs'!J:J),"")</f>
        <v>1x6 Plus</v>
      </c>
      <c r="Q172">
        <f>IFERROR(_xlfn.XLOOKUP($A172,'Base SKUs'!$E:$E,'Base SKUs'!K:K),"")</f>
        <v>20</v>
      </c>
      <c r="R172" s="7">
        <f>IFERROR(_xlfn.XLOOKUP($A172,'Base SKUs'!$E:$E,'Base SKUs'!S:S),"")</f>
        <v>1.9787379779999996E-2</v>
      </c>
      <c r="S172" s="8">
        <f t="shared" si="12"/>
        <v>0</v>
      </c>
      <c r="T172" s="7">
        <f>IFERROR(_xlfn.XLOOKUP($A172,'Base SKUs'!$E:$E,'Base SKUs'!R:R),"")</f>
        <v>1010.745</v>
      </c>
      <c r="U172" s="15">
        <f t="shared" si="13"/>
        <v>0</v>
      </c>
      <c r="V172" t="str">
        <f t="shared" si="14"/>
        <v>Miami</v>
      </c>
    </row>
    <row r="173" spans="1:22" x14ac:dyDescent="0.2">
      <c r="A173" t="s">
        <v>343</v>
      </c>
      <c r="B173" s="5">
        <v>243</v>
      </c>
      <c r="C173" s="5">
        <v>243</v>
      </c>
      <c r="D173" s="5">
        <f t="shared" si="10"/>
        <v>0</v>
      </c>
      <c r="E173" s="6">
        <v>41.614400000000003</v>
      </c>
      <c r="F173" s="6">
        <f t="shared" si="11"/>
        <v>10112.299200000001</v>
      </c>
      <c r="G173" t="s">
        <v>24</v>
      </c>
      <c r="H173">
        <v>9008</v>
      </c>
      <c r="I173" t="str">
        <f>IFERROR(_xlfn.XLOOKUP($A173,'Base SKUs'!$E:$E,'Base SKUs'!A:A),"")</f>
        <v>Cumaru</v>
      </c>
      <c r="J173" t="str">
        <f>IFERROR(_xlfn.XLOOKUP($A173,'Base SKUs'!$E:$E,'Base SKUs'!B:B),"")</f>
        <v>Cumaru 1x6 Plus</v>
      </c>
      <c r="K173" t="str">
        <f>IFERROR(_xlfn.XLOOKUP($A173,'Base SKUs'!$E:$E,'Base SKUs'!C:C),"")</f>
        <v>Long</v>
      </c>
      <c r="L173" t="str">
        <f>IFERROR(_xlfn.XLOOKUP($A173,'Base SKUs'!$E:$E,'Base SKUs'!D:D),"")</f>
        <v>Hardwoods</v>
      </c>
      <c r="M173" t="str">
        <f>IFERROR(_xlfn.XLOOKUP($A173,'Base SKUs'!$E:$E,'Base SKUs'!G:G),"")</f>
        <v>Cumaru</v>
      </c>
      <c r="N173" t="str">
        <f>IFERROR(_xlfn.XLOOKUP($A173,'Base SKUs'!$E:$E,'Base SKUs'!H:H),"")</f>
        <v>S4S E4E</v>
      </c>
      <c r="O173" t="str">
        <f>IFERROR(_xlfn.XLOOKUP($A173,'Base SKUs'!$E:$E,'Base SKUs'!I:I),"")</f>
        <v>-</v>
      </c>
      <c r="P173" t="str">
        <f>IFERROR(_xlfn.XLOOKUP($A173,'Base SKUs'!$E:$E,'Base SKUs'!J:J),"")</f>
        <v>1x6 Plus</v>
      </c>
      <c r="Q173">
        <f>IFERROR(_xlfn.XLOOKUP($A173,'Base SKUs'!$E:$E,'Base SKUs'!K:K),"")</f>
        <v>20</v>
      </c>
      <c r="R173" s="7">
        <f>IFERROR(_xlfn.XLOOKUP($A173,'Base SKUs'!$E:$E,'Base SKUs'!S:S),"")</f>
        <v>1.9787379779999996E-2</v>
      </c>
      <c r="S173" s="8">
        <f t="shared" si="12"/>
        <v>0</v>
      </c>
      <c r="T173" s="7">
        <f>IFERROR(_xlfn.XLOOKUP($A173,'Base SKUs'!$E:$E,'Base SKUs'!R:R),"")</f>
        <v>1010.745</v>
      </c>
      <c r="U173" s="15">
        <f t="shared" si="13"/>
        <v>0</v>
      </c>
      <c r="V173" t="str">
        <f t="shared" si="14"/>
        <v>Texas</v>
      </c>
    </row>
    <row r="174" spans="1:22" x14ac:dyDescent="0.2">
      <c r="A174" t="s">
        <v>345</v>
      </c>
      <c r="B174" s="5">
        <v>876</v>
      </c>
      <c r="C174" s="5">
        <v>0</v>
      </c>
      <c r="D174" s="5">
        <f t="shared" si="10"/>
        <v>876</v>
      </c>
      <c r="E174" s="6">
        <v>1.0961000000000001</v>
      </c>
      <c r="F174" s="6">
        <f t="shared" si="11"/>
        <v>960.18360000000007</v>
      </c>
      <c r="G174" t="s">
        <v>17</v>
      </c>
      <c r="H174">
        <v>9007</v>
      </c>
      <c r="I174" t="str">
        <f>IFERROR(_xlfn.XLOOKUP($A174,'Base SKUs'!$E:$E,'Base SKUs'!A:A),"")</f>
        <v>Cumaru</v>
      </c>
      <c r="J174" t="str">
        <f>IFERROR(_xlfn.XLOOKUP($A174,'Base SKUs'!$E:$E,'Base SKUs'!B:B),"")</f>
        <v>Cumaru 1x6</v>
      </c>
      <c r="K174" t="str">
        <f>IFERROR(_xlfn.XLOOKUP($A174,'Base SKUs'!$E:$E,'Base SKUs'!C:C),"")</f>
        <v>Short</v>
      </c>
      <c r="L174" t="str">
        <f>IFERROR(_xlfn.XLOOKUP($A174,'Base SKUs'!$E:$E,'Base SKUs'!D:D),"")</f>
        <v>Hardwoods</v>
      </c>
      <c r="M174" t="str">
        <f>IFERROR(_xlfn.XLOOKUP($A174,'Base SKUs'!$E:$E,'Base SKUs'!G:G),"")</f>
        <v>Cumaru</v>
      </c>
      <c r="N174" t="str">
        <f>IFERROR(_xlfn.XLOOKUP($A174,'Base SKUs'!$E:$E,'Base SKUs'!H:H),"")</f>
        <v>S4S E4E</v>
      </c>
      <c r="O174" t="str">
        <f>IFERROR(_xlfn.XLOOKUP($A174,'Base SKUs'!$E:$E,'Base SKUs'!I:I),"")</f>
        <v>-</v>
      </c>
      <c r="P174" t="str">
        <f>IFERROR(_xlfn.XLOOKUP($A174,'Base SKUs'!$E:$E,'Base SKUs'!J:J),"")</f>
        <v>1x6</v>
      </c>
      <c r="Q174">
        <f>IFERROR(_xlfn.XLOOKUP($A174,'Base SKUs'!$E:$E,'Base SKUs'!K:K),"")</f>
        <v>3</v>
      </c>
      <c r="R174" s="7">
        <f>IFERROR(_xlfn.XLOOKUP($A174,'Base SKUs'!$E:$E,'Base SKUs'!S:S),"")</f>
        <v>2.4334790039999997E-3</v>
      </c>
      <c r="S174" s="8">
        <f t="shared" si="12"/>
        <v>2.1317276075039997</v>
      </c>
      <c r="T174" s="7">
        <f>IFERROR(_xlfn.XLOOKUP($A174,'Base SKUs'!$E:$E,'Base SKUs'!R:R),"")</f>
        <v>1232.8030000000001</v>
      </c>
      <c r="U174" s="15">
        <f t="shared" si="13"/>
        <v>2628</v>
      </c>
      <c r="V174" t="str">
        <f t="shared" si="14"/>
        <v>Miami</v>
      </c>
    </row>
    <row r="175" spans="1:22" x14ac:dyDescent="0.2">
      <c r="A175" t="s">
        <v>345</v>
      </c>
      <c r="B175" s="5">
        <v>2208</v>
      </c>
      <c r="C175" s="5">
        <v>2208</v>
      </c>
      <c r="D175" s="5">
        <f t="shared" si="10"/>
        <v>0</v>
      </c>
      <c r="E175" s="6">
        <v>1.0961000000000001</v>
      </c>
      <c r="F175" s="6">
        <f t="shared" si="11"/>
        <v>2420.1888000000004</v>
      </c>
      <c r="G175" t="s">
        <v>24</v>
      </c>
      <c r="H175">
        <v>9008</v>
      </c>
      <c r="I175" t="str">
        <f>IFERROR(_xlfn.XLOOKUP($A175,'Base SKUs'!$E:$E,'Base SKUs'!A:A),"")</f>
        <v>Cumaru</v>
      </c>
      <c r="J175" t="str">
        <f>IFERROR(_xlfn.XLOOKUP($A175,'Base SKUs'!$E:$E,'Base SKUs'!B:B),"")</f>
        <v>Cumaru 1x6</v>
      </c>
      <c r="K175" t="str">
        <f>IFERROR(_xlfn.XLOOKUP($A175,'Base SKUs'!$E:$E,'Base SKUs'!C:C),"")</f>
        <v>Short</v>
      </c>
      <c r="L175" t="str">
        <f>IFERROR(_xlfn.XLOOKUP($A175,'Base SKUs'!$E:$E,'Base SKUs'!D:D),"")</f>
        <v>Hardwoods</v>
      </c>
      <c r="M175" t="str">
        <f>IFERROR(_xlfn.XLOOKUP($A175,'Base SKUs'!$E:$E,'Base SKUs'!G:G),"")</f>
        <v>Cumaru</v>
      </c>
      <c r="N175" t="str">
        <f>IFERROR(_xlfn.XLOOKUP($A175,'Base SKUs'!$E:$E,'Base SKUs'!H:H),"")</f>
        <v>S4S E4E</v>
      </c>
      <c r="O175" t="str">
        <f>IFERROR(_xlfn.XLOOKUP($A175,'Base SKUs'!$E:$E,'Base SKUs'!I:I),"")</f>
        <v>-</v>
      </c>
      <c r="P175" t="str">
        <f>IFERROR(_xlfn.XLOOKUP($A175,'Base SKUs'!$E:$E,'Base SKUs'!J:J),"")</f>
        <v>1x6</v>
      </c>
      <c r="Q175">
        <f>IFERROR(_xlfn.XLOOKUP($A175,'Base SKUs'!$E:$E,'Base SKUs'!K:K),"")</f>
        <v>3</v>
      </c>
      <c r="R175" s="7">
        <f>IFERROR(_xlfn.XLOOKUP($A175,'Base SKUs'!$E:$E,'Base SKUs'!S:S),"")</f>
        <v>2.4334790039999997E-3</v>
      </c>
      <c r="S175" s="8">
        <f t="shared" si="12"/>
        <v>0</v>
      </c>
      <c r="T175" s="7">
        <f>IFERROR(_xlfn.XLOOKUP($A175,'Base SKUs'!$E:$E,'Base SKUs'!R:R),"")</f>
        <v>1232.8030000000001</v>
      </c>
      <c r="U175" s="15">
        <f t="shared" si="13"/>
        <v>0</v>
      </c>
      <c r="V175" t="str">
        <f t="shared" si="14"/>
        <v>Texas</v>
      </c>
    </row>
    <row r="176" spans="1:22" x14ac:dyDescent="0.2">
      <c r="A176" t="s">
        <v>347</v>
      </c>
      <c r="B176" s="5">
        <v>9</v>
      </c>
      <c r="C176" s="5">
        <v>0</v>
      </c>
      <c r="D176" s="5">
        <f t="shared" si="10"/>
        <v>9</v>
      </c>
      <c r="E176" s="6">
        <v>1.2977000000000001</v>
      </c>
      <c r="F176" s="6">
        <f t="shared" si="11"/>
        <v>11.679300000000001</v>
      </c>
      <c r="G176" t="s">
        <v>17</v>
      </c>
      <c r="H176">
        <v>9007</v>
      </c>
      <c r="I176" t="str">
        <f>IFERROR(_xlfn.XLOOKUP($A176,'Base SKUs'!$E:$E,'Base SKUs'!A:A),"")</f>
        <v>Cumaru</v>
      </c>
      <c r="J176" t="str">
        <f>IFERROR(_xlfn.XLOOKUP($A176,'Base SKUs'!$E:$E,'Base SKUs'!B:B),"")</f>
        <v>Cumaru 1x6</v>
      </c>
      <c r="K176" t="str">
        <f>IFERROR(_xlfn.XLOOKUP($A176,'Base SKUs'!$E:$E,'Base SKUs'!C:C),"")</f>
        <v>Short</v>
      </c>
      <c r="L176" t="str">
        <f>IFERROR(_xlfn.XLOOKUP($A176,'Base SKUs'!$E:$E,'Base SKUs'!D:D),"")</f>
        <v>Hardwoods</v>
      </c>
      <c r="M176" t="str">
        <f>IFERROR(_xlfn.XLOOKUP($A176,'Base SKUs'!$E:$E,'Base SKUs'!G:G),"")</f>
        <v>Cumaru</v>
      </c>
      <c r="N176" t="str">
        <f>IFERROR(_xlfn.XLOOKUP($A176,'Base SKUs'!$E:$E,'Base SKUs'!H:H),"")</f>
        <v>S4S E4E</v>
      </c>
      <c r="O176" t="str">
        <f>IFERROR(_xlfn.XLOOKUP($A176,'Base SKUs'!$E:$E,'Base SKUs'!I:I),"")</f>
        <v>-</v>
      </c>
      <c r="P176" t="str">
        <f>IFERROR(_xlfn.XLOOKUP($A176,'Base SKUs'!$E:$E,'Base SKUs'!J:J),"")</f>
        <v>1x6</v>
      </c>
      <c r="Q176">
        <f>IFERROR(_xlfn.XLOOKUP($A176,'Base SKUs'!$E:$E,'Base SKUs'!K:K),"")</f>
        <v>4</v>
      </c>
      <c r="R176" s="7">
        <f>IFERROR(_xlfn.XLOOKUP($A176,'Base SKUs'!$E:$E,'Base SKUs'!S:S),"")</f>
        <v>3.2446386719999997E-3</v>
      </c>
      <c r="S176" s="8">
        <f t="shared" si="12"/>
        <v>2.9201748047999996E-2</v>
      </c>
      <c r="T176" s="7">
        <f>IFERROR(_xlfn.XLOOKUP($A176,'Base SKUs'!$E:$E,'Base SKUs'!R:R),"")</f>
        <v>1232.8030000000001</v>
      </c>
      <c r="U176" s="15">
        <f t="shared" si="13"/>
        <v>36</v>
      </c>
      <c r="V176" t="str">
        <f t="shared" si="14"/>
        <v>Miami</v>
      </c>
    </row>
    <row r="177" spans="1:22" x14ac:dyDescent="0.2">
      <c r="A177" t="s">
        <v>347</v>
      </c>
      <c r="B177" s="5">
        <v>757</v>
      </c>
      <c r="C177" s="5">
        <v>757</v>
      </c>
      <c r="D177" s="5">
        <f t="shared" si="10"/>
        <v>0</v>
      </c>
      <c r="E177" s="6">
        <v>1.2977000000000001</v>
      </c>
      <c r="F177" s="6">
        <f t="shared" si="11"/>
        <v>982.35890000000006</v>
      </c>
      <c r="G177" t="s">
        <v>24</v>
      </c>
      <c r="H177">
        <v>9008</v>
      </c>
      <c r="I177" t="str">
        <f>IFERROR(_xlfn.XLOOKUP($A177,'Base SKUs'!$E:$E,'Base SKUs'!A:A),"")</f>
        <v>Cumaru</v>
      </c>
      <c r="J177" t="str">
        <f>IFERROR(_xlfn.XLOOKUP($A177,'Base SKUs'!$E:$E,'Base SKUs'!B:B),"")</f>
        <v>Cumaru 1x6</v>
      </c>
      <c r="K177" t="str">
        <f>IFERROR(_xlfn.XLOOKUP($A177,'Base SKUs'!$E:$E,'Base SKUs'!C:C),"")</f>
        <v>Short</v>
      </c>
      <c r="L177" t="str">
        <f>IFERROR(_xlfn.XLOOKUP($A177,'Base SKUs'!$E:$E,'Base SKUs'!D:D),"")</f>
        <v>Hardwoods</v>
      </c>
      <c r="M177" t="str">
        <f>IFERROR(_xlfn.XLOOKUP($A177,'Base SKUs'!$E:$E,'Base SKUs'!G:G),"")</f>
        <v>Cumaru</v>
      </c>
      <c r="N177" t="str">
        <f>IFERROR(_xlfn.XLOOKUP($A177,'Base SKUs'!$E:$E,'Base SKUs'!H:H),"")</f>
        <v>S4S E4E</v>
      </c>
      <c r="O177" t="str">
        <f>IFERROR(_xlfn.XLOOKUP($A177,'Base SKUs'!$E:$E,'Base SKUs'!I:I),"")</f>
        <v>-</v>
      </c>
      <c r="P177" t="str">
        <f>IFERROR(_xlfn.XLOOKUP($A177,'Base SKUs'!$E:$E,'Base SKUs'!J:J),"")</f>
        <v>1x6</v>
      </c>
      <c r="Q177">
        <f>IFERROR(_xlfn.XLOOKUP($A177,'Base SKUs'!$E:$E,'Base SKUs'!K:K),"")</f>
        <v>4</v>
      </c>
      <c r="R177" s="7">
        <f>IFERROR(_xlfn.XLOOKUP($A177,'Base SKUs'!$E:$E,'Base SKUs'!S:S),"")</f>
        <v>3.2446386719999997E-3</v>
      </c>
      <c r="S177" s="8">
        <f t="shared" si="12"/>
        <v>0</v>
      </c>
      <c r="T177" s="7">
        <f>IFERROR(_xlfn.XLOOKUP($A177,'Base SKUs'!$E:$E,'Base SKUs'!R:R),"")</f>
        <v>1232.8030000000001</v>
      </c>
      <c r="U177" s="15">
        <f t="shared" si="13"/>
        <v>0</v>
      </c>
      <c r="V177" t="str">
        <f t="shared" si="14"/>
        <v>Texas</v>
      </c>
    </row>
    <row r="178" spans="1:22" x14ac:dyDescent="0.2">
      <c r="A178" t="s">
        <v>349</v>
      </c>
      <c r="B178" s="5">
        <v>42</v>
      </c>
      <c r="C178" s="5">
        <v>42</v>
      </c>
      <c r="D178" s="5">
        <f t="shared" si="10"/>
        <v>0</v>
      </c>
      <c r="E178" s="6">
        <v>1.6229</v>
      </c>
      <c r="F178" s="6">
        <f t="shared" si="11"/>
        <v>68.161799999999999</v>
      </c>
      <c r="G178" t="s">
        <v>17</v>
      </c>
      <c r="H178">
        <v>9007</v>
      </c>
      <c r="I178" t="str">
        <f>IFERROR(_xlfn.XLOOKUP($A178,'Base SKUs'!$E:$E,'Base SKUs'!A:A),"")</f>
        <v>Cumaru</v>
      </c>
      <c r="J178" t="str">
        <f>IFERROR(_xlfn.XLOOKUP($A178,'Base SKUs'!$E:$E,'Base SKUs'!B:B),"")</f>
        <v>Cumaru 1x6</v>
      </c>
      <c r="K178" t="str">
        <f>IFERROR(_xlfn.XLOOKUP($A178,'Base SKUs'!$E:$E,'Base SKUs'!C:C),"")</f>
        <v>Short</v>
      </c>
      <c r="L178" t="str">
        <f>IFERROR(_xlfn.XLOOKUP($A178,'Base SKUs'!$E:$E,'Base SKUs'!D:D),"")</f>
        <v>Hardwoods</v>
      </c>
      <c r="M178" t="str">
        <f>IFERROR(_xlfn.XLOOKUP($A178,'Base SKUs'!$E:$E,'Base SKUs'!G:G),"")</f>
        <v>Cumaru</v>
      </c>
      <c r="N178" t="str">
        <f>IFERROR(_xlfn.XLOOKUP($A178,'Base SKUs'!$E:$E,'Base SKUs'!H:H),"")</f>
        <v>S4S E4E</v>
      </c>
      <c r="O178" t="str">
        <f>IFERROR(_xlfn.XLOOKUP($A178,'Base SKUs'!$E:$E,'Base SKUs'!I:I),"")</f>
        <v>-</v>
      </c>
      <c r="P178" t="str">
        <f>IFERROR(_xlfn.XLOOKUP($A178,'Base SKUs'!$E:$E,'Base SKUs'!J:J),"")</f>
        <v>1x6</v>
      </c>
      <c r="Q178">
        <f>IFERROR(_xlfn.XLOOKUP($A178,'Base SKUs'!$E:$E,'Base SKUs'!K:K),"")</f>
        <v>5</v>
      </c>
      <c r="R178" s="7">
        <f>IFERROR(_xlfn.XLOOKUP($A178,'Base SKUs'!$E:$E,'Base SKUs'!S:S),"")</f>
        <v>4.0557983399999997E-3</v>
      </c>
      <c r="S178" s="8">
        <f t="shared" si="12"/>
        <v>0</v>
      </c>
      <c r="T178" s="7">
        <f>IFERROR(_xlfn.XLOOKUP($A178,'Base SKUs'!$E:$E,'Base SKUs'!R:R),"")</f>
        <v>1232.8030000000001</v>
      </c>
      <c r="U178" s="15">
        <f t="shared" si="13"/>
        <v>0</v>
      </c>
      <c r="V178" t="str">
        <f t="shared" si="14"/>
        <v>Miami</v>
      </c>
    </row>
    <row r="179" spans="1:22" x14ac:dyDescent="0.2">
      <c r="A179" t="s">
        <v>349</v>
      </c>
      <c r="B179" s="5">
        <v>1540</v>
      </c>
      <c r="C179" s="5">
        <v>1540</v>
      </c>
      <c r="D179" s="5">
        <f t="shared" si="10"/>
        <v>0</v>
      </c>
      <c r="E179" s="6">
        <v>1.6229</v>
      </c>
      <c r="F179" s="6">
        <f t="shared" si="11"/>
        <v>2499.2660000000001</v>
      </c>
      <c r="G179" t="s">
        <v>24</v>
      </c>
      <c r="H179">
        <v>9008</v>
      </c>
      <c r="I179" t="str">
        <f>IFERROR(_xlfn.XLOOKUP($A179,'Base SKUs'!$E:$E,'Base SKUs'!A:A),"")</f>
        <v>Cumaru</v>
      </c>
      <c r="J179" t="str">
        <f>IFERROR(_xlfn.XLOOKUP($A179,'Base SKUs'!$E:$E,'Base SKUs'!B:B),"")</f>
        <v>Cumaru 1x6</v>
      </c>
      <c r="K179" t="str">
        <f>IFERROR(_xlfn.XLOOKUP($A179,'Base SKUs'!$E:$E,'Base SKUs'!C:C),"")</f>
        <v>Short</v>
      </c>
      <c r="L179" t="str">
        <f>IFERROR(_xlfn.XLOOKUP($A179,'Base SKUs'!$E:$E,'Base SKUs'!D:D),"")</f>
        <v>Hardwoods</v>
      </c>
      <c r="M179" t="str">
        <f>IFERROR(_xlfn.XLOOKUP($A179,'Base SKUs'!$E:$E,'Base SKUs'!G:G),"")</f>
        <v>Cumaru</v>
      </c>
      <c r="N179" t="str">
        <f>IFERROR(_xlfn.XLOOKUP($A179,'Base SKUs'!$E:$E,'Base SKUs'!H:H),"")</f>
        <v>S4S E4E</v>
      </c>
      <c r="O179" t="str">
        <f>IFERROR(_xlfn.XLOOKUP($A179,'Base SKUs'!$E:$E,'Base SKUs'!I:I),"")</f>
        <v>-</v>
      </c>
      <c r="P179" t="str">
        <f>IFERROR(_xlfn.XLOOKUP($A179,'Base SKUs'!$E:$E,'Base SKUs'!J:J),"")</f>
        <v>1x6</v>
      </c>
      <c r="Q179">
        <f>IFERROR(_xlfn.XLOOKUP($A179,'Base SKUs'!$E:$E,'Base SKUs'!K:K),"")</f>
        <v>5</v>
      </c>
      <c r="R179" s="7">
        <f>IFERROR(_xlfn.XLOOKUP($A179,'Base SKUs'!$E:$E,'Base SKUs'!S:S),"")</f>
        <v>4.0557983399999997E-3</v>
      </c>
      <c r="S179" s="8">
        <f t="shared" si="12"/>
        <v>0</v>
      </c>
      <c r="T179" s="7">
        <f>IFERROR(_xlfn.XLOOKUP($A179,'Base SKUs'!$E:$E,'Base SKUs'!R:R),"")</f>
        <v>1232.8030000000001</v>
      </c>
      <c r="U179" s="15">
        <f t="shared" si="13"/>
        <v>0</v>
      </c>
      <c r="V179" t="str">
        <f t="shared" si="14"/>
        <v>Texas</v>
      </c>
    </row>
    <row r="180" spans="1:22" x14ac:dyDescent="0.2">
      <c r="A180" t="s">
        <v>351</v>
      </c>
      <c r="B180" s="5">
        <v>46</v>
      </c>
      <c r="C180" s="5">
        <v>19</v>
      </c>
      <c r="D180" s="5">
        <f t="shared" si="10"/>
        <v>27</v>
      </c>
      <c r="E180" s="6">
        <v>5.4828000000000001</v>
      </c>
      <c r="F180" s="6">
        <f t="shared" si="11"/>
        <v>252.2088</v>
      </c>
      <c r="G180" t="s">
        <v>17</v>
      </c>
      <c r="H180">
        <v>9007</v>
      </c>
      <c r="I180" t="str">
        <f>IFERROR(_xlfn.XLOOKUP($A180,'Base SKUs'!$E:$E,'Base SKUs'!A:A),"")</f>
        <v>Cumaru</v>
      </c>
      <c r="J180" t="str">
        <f>IFERROR(_xlfn.XLOOKUP($A180,'Base SKUs'!$E:$E,'Base SKUs'!B:B),"")</f>
        <v>Cumaru 1x6 Plus</v>
      </c>
      <c r="K180" t="str">
        <f>IFERROR(_xlfn.XLOOKUP($A180,'Base SKUs'!$E:$E,'Base SKUs'!C:C),"")</f>
        <v>Short</v>
      </c>
      <c r="L180" t="str">
        <f>IFERROR(_xlfn.XLOOKUP($A180,'Base SKUs'!$E:$E,'Base SKUs'!D:D),"")</f>
        <v>Hardwoods</v>
      </c>
      <c r="M180" t="str">
        <f>IFERROR(_xlfn.XLOOKUP($A180,'Base SKUs'!$E:$E,'Base SKUs'!G:G),"")</f>
        <v>Cumaru</v>
      </c>
      <c r="N180" t="str">
        <f>IFERROR(_xlfn.XLOOKUP($A180,'Base SKUs'!$E:$E,'Base SKUs'!H:H),"")</f>
        <v>S4S E4E</v>
      </c>
      <c r="O180" t="str">
        <f>IFERROR(_xlfn.XLOOKUP($A180,'Base SKUs'!$E:$E,'Base SKUs'!I:I),"")</f>
        <v>-</v>
      </c>
      <c r="P180" t="str">
        <f>IFERROR(_xlfn.XLOOKUP($A180,'Base SKUs'!$E:$E,'Base SKUs'!J:J),"")</f>
        <v>1x6 Plus</v>
      </c>
      <c r="Q180">
        <f>IFERROR(_xlfn.XLOOKUP($A180,'Base SKUs'!$E:$E,'Base SKUs'!K:K),"")</f>
        <v>6</v>
      </c>
      <c r="R180" s="7">
        <f>IFERROR(_xlfn.XLOOKUP($A180,'Base SKUs'!$E:$E,'Base SKUs'!S:S),"")</f>
        <v>5.9362139339999989E-3</v>
      </c>
      <c r="S180" s="8">
        <f t="shared" si="12"/>
        <v>0.16027777621799996</v>
      </c>
      <c r="T180" s="7">
        <f>IFERROR(_xlfn.XLOOKUP($A180,'Base SKUs'!$E:$E,'Base SKUs'!R:R),"")</f>
        <v>1010.745</v>
      </c>
      <c r="U180" s="15">
        <f t="shared" si="13"/>
        <v>162</v>
      </c>
      <c r="V180" t="str">
        <f t="shared" si="14"/>
        <v>Miami</v>
      </c>
    </row>
    <row r="181" spans="1:22" x14ac:dyDescent="0.2">
      <c r="A181" t="s">
        <v>353</v>
      </c>
      <c r="B181" s="5">
        <v>796</v>
      </c>
      <c r="C181" s="5">
        <v>796</v>
      </c>
      <c r="D181" s="5">
        <f t="shared" si="10"/>
        <v>0</v>
      </c>
      <c r="E181" s="6">
        <v>3.7315</v>
      </c>
      <c r="F181" s="6">
        <f t="shared" si="11"/>
        <v>2970.2739999999999</v>
      </c>
      <c r="G181" t="s">
        <v>24</v>
      </c>
      <c r="H181">
        <v>9008</v>
      </c>
      <c r="I181" t="str">
        <f>IFERROR(_xlfn.XLOOKUP($A181,'Base SKUs'!$E:$E,'Base SKUs'!A:A),"")</f>
        <v>Cumaru</v>
      </c>
      <c r="J181" t="str">
        <f>IFERROR(_xlfn.XLOOKUP($A181,'Base SKUs'!$E:$E,'Base SKUs'!B:B),"")</f>
        <v>Cumaru 1x6</v>
      </c>
      <c r="K181" t="str">
        <f>IFERROR(_xlfn.XLOOKUP($A181,'Base SKUs'!$E:$E,'Base SKUs'!C:C),"")</f>
        <v>Short</v>
      </c>
      <c r="L181" t="str">
        <f>IFERROR(_xlfn.XLOOKUP($A181,'Base SKUs'!$E:$E,'Base SKUs'!D:D),"")</f>
        <v>Hardwoods</v>
      </c>
      <c r="M181" t="str">
        <f>IFERROR(_xlfn.XLOOKUP($A181,'Base SKUs'!$E:$E,'Base SKUs'!G:G),"")</f>
        <v>Cumaru</v>
      </c>
      <c r="N181" t="str">
        <f>IFERROR(_xlfn.XLOOKUP($A181,'Base SKUs'!$E:$E,'Base SKUs'!H:H),"")</f>
        <v>S4S E4E</v>
      </c>
      <c r="O181" t="str">
        <f>IFERROR(_xlfn.XLOOKUP($A181,'Base SKUs'!$E:$E,'Base SKUs'!I:I),"")</f>
        <v>-</v>
      </c>
      <c r="P181" t="str">
        <f>IFERROR(_xlfn.XLOOKUP($A181,'Base SKUs'!$E:$E,'Base SKUs'!J:J),"")</f>
        <v>1x6</v>
      </c>
      <c r="Q181">
        <f>IFERROR(_xlfn.XLOOKUP($A181,'Base SKUs'!$E:$E,'Base SKUs'!K:K),"")</f>
        <v>6</v>
      </c>
      <c r="R181" s="7">
        <f>IFERROR(_xlfn.XLOOKUP($A181,'Base SKUs'!$E:$E,'Base SKUs'!S:S),"")</f>
        <v>4.8669580079999993E-3</v>
      </c>
      <c r="S181" s="8">
        <f t="shared" si="12"/>
        <v>0</v>
      </c>
      <c r="T181" s="7">
        <f>IFERROR(_xlfn.XLOOKUP($A181,'Base SKUs'!$E:$E,'Base SKUs'!R:R),"")</f>
        <v>1232.8030000000001</v>
      </c>
      <c r="U181" s="15">
        <f t="shared" si="13"/>
        <v>0</v>
      </c>
      <c r="V181" t="str">
        <f t="shared" si="14"/>
        <v>Texas</v>
      </c>
    </row>
    <row r="182" spans="1:22" x14ac:dyDescent="0.2">
      <c r="A182" t="s">
        <v>356</v>
      </c>
      <c r="B182" s="5">
        <v>420</v>
      </c>
      <c r="C182" s="5">
        <v>223</v>
      </c>
      <c r="D182" s="5">
        <f t="shared" si="10"/>
        <v>197</v>
      </c>
      <c r="E182" s="6">
        <v>4.3533999999999997</v>
      </c>
      <c r="F182" s="6">
        <f t="shared" si="11"/>
        <v>1828.4279999999999</v>
      </c>
      <c r="G182" t="s">
        <v>24</v>
      </c>
      <c r="H182">
        <v>9008</v>
      </c>
      <c r="I182" t="str">
        <f>IFERROR(_xlfn.XLOOKUP($A182,'Base SKUs'!$E:$E,'Base SKUs'!A:A),"")</f>
        <v>Cumaru</v>
      </c>
      <c r="J182" t="str">
        <f>IFERROR(_xlfn.XLOOKUP($A182,'Base SKUs'!$E:$E,'Base SKUs'!B:B),"")</f>
        <v>Cumaru 1x6</v>
      </c>
      <c r="K182" t="str">
        <f>IFERROR(_xlfn.XLOOKUP($A182,'Base SKUs'!$E:$E,'Base SKUs'!C:C),"")</f>
        <v>Short</v>
      </c>
      <c r="L182" t="str">
        <f>IFERROR(_xlfn.XLOOKUP($A182,'Base SKUs'!$E:$E,'Base SKUs'!D:D),"")</f>
        <v>Hardwoods</v>
      </c>
      <c r="M182" t="str">
        <f>IFERROR(_xlfn.XLOOKUP($A182,'Base SKUs'!$E:$E,'Base SKUs'!G:G),"")</f>
        <v>Cumaru</v>
      </c>
      <c r="N182" t="str">
        <f>IFERROR(_xlfn.XLOOKUP($A182,'Base SKUs'!$E:$E,'Base SKUs'!H:H),"")</f>
        <v>S4S E4E</v>
      </c>
      <c r="O182" t="str">
        <f>IFERROR(_xlfn.XLOOKUP($A182,'Base SKUs'!$E:$E,'Base SKUs'!I:I),"")</f>
        <v>-</v>
      </c>
      <c r="P182" t="str">
        <f>IFERROR(_xlfn.XLOOKUP($A182,'Base SKUs'!$E:$E,'Base SKUs'!J:J),"")</f>
        <v>1x6</v>
      </c>
      <c r="Q182">
        <f>IFERROR(_xlfn.XLOOKUP($A182,'Base SKUs'!$E:$E,'Base SKUs'!K:K),"")</f>
        <v>7</v>
      </c>
      <c r="R182" s="7">
        <f>IFERROR(_xlfn.XLOOKUP($A182,'Base SKUs'!$E:$E,'Base SKUs'!S:S),"")</f>
        <v>5.6781176759999998E-3</v>
      </c>
      <c r="S182" s="8">
        <f t="shared" si="12"/>
        <v>1.118589182172</v>
      </c>
      <c r="T182" s="7">
        <f>IFERROR(_xlfn.XLOOKUP($A182,'Base SKUs'!$E:$E,'Base SKUs'!R:R),"")</f>
        <v>1232.8030000000001</v>
      </c>
      <c r="U182" s="15">
        <f t="shared" si="13"/>
        <v>1379</v>
      </c>
      <c r="V182" t="str">
        <f t="shared" si="14"/>
        <v>Texas</v>
      </c>
    </row>
    <row r="183" spans="1:22" x14ac:dyDescent="0.2">
      <c r="A183" t="s">
        <v>358</v>
      </c>
      <c r="B183" s="5">
        <v>9</v>
      </c>
      <c r="C183" s="5">
        <v>4</v>
      </c>
      <c r="D183" s="5">
        <f t="shared" si="10"/>
        <v>5</v>
      </c>
      <c r="E183" s="6">
        <v>15.3879</v>
      </c>
      <c r="F183" s="6">
        <f t="shared" si="11"/>
        <v>138.49109999999999</v>
      </c>
      <c r="G183" t="s">
        <v>17</v>
      </c>
      <c r="H183">
        <v>9007</v>
      </c>
      <c r="I183" t="str">
        <f>IFERROR(_xlfn.XLOOKUP($A183,'Base SKUs'!$E:$E,'Base SKUs'!A:A),"")</f>
        <v>Cumaru</v>
      </c>
      <c r="J183" t="str">
        <f>IFERROR(_xlfn.XLOOKUP($A183,'Base SKUs'!$E:$E,'Base SKUs'!B:B),"")</f>
        <v>Cumaru 1x6 Plus</v>
      </c>
      <c r="K183" t="str">
        <f>IFERROR(_xlfn.XLOOKUP($A183,'Base SKUs'!$E:$E,'Base SKUs'!C:C),"")</f>
        <v>Long</v>
      </c>
      <c r="L183" t="str">
        <f>IFERROR(_xlfn.XLOOKUP($A183,'Base SKUs'!$E:$E,'Base SKUs'!D:D),"")</f>
        <v>Hardwoods</v>
      </c>
      <c r="M183" t="str">
        <f>IFERROR(_xlfn.XLOOKUP($A183,'Base SKUs'!$E:$E,'Base SKUs'!G:G),"")</f>
        <v>Cumaru</v>
      </c>
      <c r="N183" t="str">
        <f>IFERROR(_xlfn.XLOOKUP($A183,'Base SKUs'!$E:$E,'Base SKUs'!H:H),"")</f>
        <v>S4S E4E</v>
      </c>
      <c r="O183" t="str">
        <f>IFERROR(_xlfn.XLOOKUP($A183,'Base SKUs'!$E:$E,'Base SKUs'!I:I),"")</f>
        <v>-</v>
      </c>
      <c r="P183" t="str">
        <f>IFERROR(_xlfn.XLOOKUP($A183,'Base SKUs'!$E:$E,'Base SKUs'!J:J),"")</f>
        <v>1x6 Plus</v>
      </c>
      <c r="Q183">
        <f>IFERROR(_xlfn.XLOOKUP($A183,'Base SKUs'!$E:$E,'Base SKUs'!K:K),"")</f>
        <v>8</v>
      </c>
      <c r="R183" s="7">
        <f>IFERROR(_xlfn.XLOOKUP($A183,'Base SKUs'!$E:$E,'Base SKUs'!S:S),"")</f>
        <v>7.914951911999998E-3</v>
      </c>
      <c r="S183" s="8">
        <f t="shared" si="12"/>
        <v>3.9574759559999992E-2</v>
      </c>
      <c r="T183" s="7">
        <f>IFERROR(_xlfn.XLOOKUP($A183,'Base SKUs'!$E:$E,'Base SKUs'!R:R),"")</f>
        <v>1010.745</v>
      </c>
      <c r="U183" s="15">
        <f t="shared" si="13"/>
        <v>40</v>
      </c>
      <c r="V183" t="str">
        <f t="shared" si="14"/>
        <v>Miami</v>
      </c>
    </row>
    <row r="184" spans="1:22" x14ac:dyDescent="0.2">
      <c r="A184" t="s">
        <v>358</v>
      </c>
      <c r="B184" s="5">
        <v>735</v>
      </c>
      <c r="C184" s="5">
        <v>735</v>
      </c>
      <c r="D184" s="5">
        <f t="shared" si="10"/>
        <v>0</v>
      </c>
      <c r="E184" s="6">
        <v>14.339</v>
      </c>
      <c r="F184" s="6">
        <f t="shared" si="11"/>
        <v>10539.165000000001</v>
      </c>
      <c r="G184" t="s">
        <v>24</v>
      </c>
      <c r="H184">
        <v>9008</v>
      </c>
      <c r="I184" t="str">
        <f>IFERROR(_xlfn.XLOOKUP($A184,'Base SKUs'!$E:$E,'Base SKUs'!A:A),"")</f>
        <v>Cumaru</v>
      </c>
      <c r="J184" t="str">
        <f>IFERROR(_xlfn.XLOOKUP($A184,'Base SKUs'!$E:$E,'Base SKUs'!B:B),"")</f>
        <v>Cumaru 1x6 Plus</v>
      </c>
      <c r="K184" t="str">
        <f>IFERROR(_xlfn.XLOOKUP($A184,'Base SKUs'!$E:$E,'Base SKUs'!C:C),"")</f>
        <v>Long</v>
      </c>
      <c r="L184" t="str">
        <f>IFERROR(_xlfn.XLOOKUP($A184,'Base SKUs'!$E:$E,'Base SKUs'!D:D),"")</f>
        <v>Hardwoods</v>
      </c>
      <c r="M184" t="str">
        <f>IFERROR(_xlfn.XLOOKUP($A184,'Base SKUs'!$E:$E,'Base SKUs'!G:G),"")</f>
        <v>Cumaru</v>
      </c>
      <c r="N184" t="str">
        <f>IFERROR(_xlfn.XLOOKUP($A184,'Base SKUs'!$E:$E,'Base SKUs'!H:H),"")</f>
        <v>S4S E4E</v>
      </c>
      <c r="O184" t="str">
        <f>IFERROR(_xlfn.XLOOKUP($A184,'Base SKUs'!$E:$E,'Base SKUs'!I:I),"")</f>
        <v>-</v>
      </c>
      <c r="P184" t="str">
        <f>IFERROR(_xlfn.XLOOKUP($A184,'Base SKUs'!$E:$E,'Base SKUs'!J:J),"")</f>
        <v>1x6 Plus</v>
      </c>
      <c r="Q184">
        <f>IFERROR(_xlfn.XLOOKUP($A184,'Base SKUs'!$E:$E,'Base SKUs'!K:K),"")</f>
        <v>8</v>
      </c>
      <c r="R184" s="7">
        <f>IFERROR(_xlfn.XLOOKUP($A184,'Base SKUs'!$E:$E,'Base SKUs'!S:S),"")</f>
        <v>7.914951911999998E-3</v>
      </c>
      <c r="S184" s="8">
        <f t="shared" si="12"/>
        <v>0</v>
      </c>
      <c r="T184" s="7">
        <f>IFERROR(_xlfn.XLOOKUP($A184,'Base SKUs'!$E:$E,'Base SKUs'!R:R),"")</f>
        <v>1010.745</v>
      </c>
      <c r="U184" s="15">
        <f t="shared" si="13"/>
        <v>0</v>
      </c>
      <c r="V184" t="str">
        <f t="shared" si="14"/>
        <v>Texas</v>
      </c>
    </row>
    <row r="185" spans="1:22" x14ac:dyDescent="0.2">
      <c r="A185" t="s">
        <v>360</v>
      </c>
      <c r="B185" s="5">
        <v>366</v>
      </c>
      <c r="C185" s="5">
        <v>366</v>
      </c>
      <c r="D185" s="5">
        <f t="shared" si="10"/>
        <v>0</v>
      </c>
      <c r="E185" s="6">
        <v>9.7274999999999991</v>
      </c>
      <c r="F185" s="6">
        <f t="shared" si="11"/>
        <v>3560.2649999999999</v>
      </c>
      <c r="G185" t="s">
        <v>125</v>
      </c>
      <c r="H185">
        <v>9009</v>
      </c>
      <c r="I185" t="str">
        <f>IFERROR(_xlfn.XLOOKUP($A185,'Base SKUs'!$E:$E,'Base SKUs'!A:A),"")</f>
        <v>Cumaru</v>
      </c>
      <c r="J185" t="str">
        <f>IFERROR(_xlfn.XLOOKUP($A185,'Base SKUs'!$E:$E,'Base SKUs'!B:B),"")</f>
        <v>Cumaru 1x6</v>
      </c>
      <c r="K185" t="str">
        <f>IFERROR(_xlfn.XLOOKUP($A185,'Base SKUs'!$E:$E,'Base SKUs'!C:C),"")</f>
        <v>Long</v>
      </c>
      <c r="L185" t="str">
        <f>IFERROR(_xlfn.XLOOKUP($A185,'Base SKUs'!$E:$E,'Base SKUs'!D:D),"")</f>
        <v>Hardwoods</v>
      </c>
      <c r="M185" t="str">
        <f>IFERROR(_xlfn.XLOOKUP($A185,'Base SKUs'!$E:$E,'Base SKUs'!G:G),"")</f>
        <v>Cumaru</v>
      </c>
      <c r="N185" t="str">
        <f>IFERROR(_xlfn.XLOOKUP($A185,'Base SKUs'!$E:$E,'Base SKUs'!H:H),"")</f>
        <v>S4S E4E</v>
      </c>
      <c r="O185" t="str">
        <f>IFERROR(_xlfn.XLOOKUP($A185,'Base SKUs'!$E:$E,'Base SKUs'!I:I),"")</f>
        <v>-</v>
      </c>
      <c r="P185" t="str">
        <f>IFERROR(_xlfn.XLOOKUP($A185,'Base SKUs'!$E:$E,'Base SKUs'!J:J),"")</f>
        <v>1x6</v>
      </c>
      <c r="Q185">
        <f>IFERROR(_xlfn.XLOOKUP($A185,'Base SKUs'!$E:$E,'Base SKUs'!K:K),"")</f>
        <v>8</v>
      </c>
      <c r="R185" s="7">
        <f>IFERROR(_xlfn.XLOOKUP($A185,'Base SKUs'!$E:$E,'Base SKUs'!S:S),"")</f>
        <v>6.4892773439999994E-3</v>
      </c>
      <c r="S185" s="8">
        <f t="shared" si="12"/>
        <v>0</v>
      </c>
      <c r="T185" s="7">
        <f>IFERROR(_xlfn.XLOOKUP($A185,'Base SKUs'!$E:$E,'Base SKUs'!R:R),"")</f>
        <v>1232.8030000000001</v>
      </c>
      <c r="U185" s="15">
        <f t="shared" si="13"/>
        <v>0</v>
      </c>
      <c r="V185" t="str">
        <f t="shared" si="14"/>
        <v>Boston</v>
      </c>
    </row>
    <row r="186" spans="1:22" x14ac:dyDescent="0.2">
      <c r="A186" t="s">
        <v>362</v>
      </c>
      <c r="B186" s="5">
        <v>204</v>
      </c>
      <c r="C186" s="5">
        <v>0</v>
      </c>
      <c r="D186" s="5">
        <f t="shared" si="10"/>
        <v>204</v>
      </c>
      <c r="E186" s="6">
        <v>15.4391</v>
      </c>
      <c r="F186" s="6">
        <f t="shared" si="11"/>
        <v>3149.5763999999999</v>
      </c>
      <c r="G186" t="s">
        <v>17</v>
      </c>
      <c r="H186">
        <v>9007</v>
      </c>
      <c r="I186" t="str">
        <f>IFERROR(_xlfn.XLOOKUP($A186,'Base SKUs'!$E:$E,'Base SKUs'!A:A),"")</f>
        <v>Cumaru</v>
      </c>
      <c r="J186" t="str">
        <f>IFERROR(_xlfn.XLOOKUP($A186,'Base SKUs'!$E:$E,'Base SKUs'!B:B),"")</f>
        <v>Cumaru 1x6 Plus</v>
      </c>
      <c r="K186" t="str">
        <f>IFERROR(_xlfn.XLOOKUP($A186,'Base SKUs'!$E:$E,'Base SKUs'!C:C),"")</f>
        <v>Long</v>
      </c>
      <c r="L186" t="str">
        <f>IFERROR(_xlfn.XLOOKUP($A186,'Base SKUs'!$E:$E,'Base SKUs'!D:D),"")</f>
        <v>Hardwoods</v>
      </c>
      <c r="M186" t="str">
        <f>IFERROR(_xlfn.XLOOKUP($A186,'Base SKUs'!$E:$E,'Base SKUs'!G:G),"")</f>
        <v>Cumaru</v>
      </c>
      <c r="N186" t="str">
        <f>IFERROR(_xlfn.XLOOKUP($A186,'Base SKUs'!$E:$E,'Base SKUs'!H:H),"")</f>
        <v>S4S E4E</v>
      </c>
      <c r="O186" t="str">
        <f>IFERROR(_xlfn.XLOOKUP($A186,'Base SKUs'!$E:$E,'Base SKUs'!I:I),"")</f>
        <v>-</v>
      </c>
      <c r="P186" t="str">
        <f>IFERROR(_xlfn.XLOOKUP($A186,'Base SKUs'!$E:$E,'Base SKUs'!J:J),"")</f>
        <v>1x6 Plus</v>
      </c>
      <c r="Q186">
        <f>IFERROR(_xlfn.XLOOKUP($A186,'Base SKUs'!$E:$E,'Base SKUs'!K:K),"")</f>
        <v>9</v>
      </c>
      <c r="R186" s="7">
        <f>IFERROR(_xlfn.XLOOKUP($A186,'Base SKUs'!$E:$E,'Base SKUs'!S:S),"")</f>
        <v>8.9043209009999971E-3</v>
      </c>
      <c r="S186" s="8">
        <f t="shared" si="12"/>
        <v>1.8164814638039994</v>
      </c>
      <c r="T186" s="7">
        <f>IFERROR(_xlfn.XLOOKUP($A186,'Base SKUs'!$E:$E,'Base SKUs'!R:R),"")</f>
        <v>1010.745</v>
      </c>
      <c r="U186" s="15">
        <f t="shared" si="13"/>
        <v>1836</v>
      </c>
      <c r="V186" t="str">
        <f t="shared" si="14"/>
        <v>Miami</v>
      </c>
    </row>
    <row r="187" spans="1:22" x14ac:dyDescent="0.2">
      <c r="A187" t="s">
        <v>364</v>
      </c>
      <c r="B187" s="5">
        <v>4</v>
      </c>
      <c r="C187" s="5">
        <v>4</v>
      </c>
      <c r="D187" s="5">
        <f t="shared" si="10"/>
        <v>0</v>
      </c>
      <c r="E187" s="6">
        <v>14.1975</v>
      </c>
      <c r="F187" s="6">
        <f t="shared" si="11"/>
        <v>56.79</v>
      </c>
      <c r="G187" t="s">
        <v>17</v>
      </c>
      <c r="H187">
        <v>9007</v>
      </c>
      <c r="I187" t="str">
        <f>IFERROR(_xlfn.XLOOKUP($A187,'Base SKUs'!$E:$E,'Base SKUs'!A:A),"")</f>
        <v>Cumaru</v>
      </c>
      <c r="J187" t="str">
        <f>IFERROR(_xlfn.XLOOKUP($A187,'Base SKUs'!$E:$E,'Base SKUs'!B:B),"")</f>
        <v>Cumaru 1x6</v>
      </c>
      <c r="K187" t="str">
        <f>IFERROR(_xlfn.XLOOKUP($A187,'Base SKUs'!$E:$E,'Base SKUs'!C:C),"")</f>
        <v>Long</v>
      </c>
      <c r="L187" t="str">
        <f>IFERROR(_xlfn.XLOOKUP($A187,'Base SKUs'!$E:$E,'Base SKUs'!D:D),"")</f>
        <v>Hardwoods</v>
      </c>
      <c r="M187" t="str">
        <f>IFERROR(_xlfn.XLOOKUP($A187,'Base SKUs'!$E:$E,'Base SKUs'!G:G),"")</f>
        <v>Cumaru</v>
      </c>
      <c r="N187" t="str">
        <f>IFERROR(_xlfn.XLOOKUP($A187,'Base SKUs'!$E:$E,'Base SKUs'!H:H),"")</f>
        <v>S4S E4E</v>
      </c>
      <c r="O187" t="str">
        <f>IFERROR(_xlfn.XLOOKUP($A187,'Base SKUs'!$E:$E,'Base SKUs'!I:I),"")</f>
        <v>-</v>
      </c>
      <c r="P187" t="str">
        <f>IFERROR(_xlfn.XLOOKUP($A187,'Base SKUs'!$E:$E,'Base SKUs'!J:J),"")</f>
        <v>1x6</v>
      </c>
      <c r="Q187">
        <f>IFERROR(_xlfn.XLOOKUP($A187,'Base SKUs'!$E:$E,'Base SKUs'!K:K),"")</f>
        <v>9</v>
      </c>
      <c r="R187" s="7">
        <f>IFERROR(_xlfn.XLOOKUP($A187,'Base SKUs'!$E:$E,'Base SKUs'!S:S),"")</f>
        <v>7.3004370119999999E-3</v>
      </c>
      <c r="S187" s="8">
        <f t="shared" si="12"/>
        <v>0</v>
      </c>
      <c r="T187" s="7">
        <f>IFERROR(_xlfn.XLOOKUP($A187,'Base SKUs'!$E:$E,'Base SKUs'!R:R),"")</f>
        <v>1232.8030000000001</v>
      </c>
      <c r="U187" s="15">
        <f t="shared" si="13"/>
        <v>0</v>
      </c>
      <c r="V187" t="str">
        <f t="shared" si="14"/>
        <v>Miami</v>
      </c>
    </row>
    <row r="188" spans="1:22" x14ac:dyDescent="0.2">
      <c r="A188" t="s">
        <v>366</v>
      </c>
      <c r="B188" s="5">
        <v>420</v>
      </c>
      <c r="C188" s="5">
        <v>420</v>
      </c>
      <c r="D188" s="5">
        <f t="shared" si="10"/>
        <v>0</v>
      </c>
      <c r="E188" s="6">
        <v>15.7742</v>
      </c>
      <c r="F188" s="6">
        <f t="shared" si="11"/>
        <v>6625.1639999999998</v>
      </c>
      <c r="G188" t="s">
        <v>24</v>
      </c>
      <c r="H188">
        <v>9008</v>
      </c>
      <c r="I188" t="str">
        <f>IFERROR(_xlfn.XLOOKUP($A188,'Base SKUs'!$E:$E,'Base SKUs'!A:A),"")</f>
        <v>Cumaru</v>
      </c>
      <c r="J188" t="str">
        <f>IFERROR(_xlfn.XLOOKUP($A188,'Base SKUs'!$E:$E,'Base SKUs'!B:B),"")</f>
        <v>Cumaru 21x145</v>
      </c>
      <c r="K188" t="str">
        <f>IFERROR(_xlfn.XLOOKUP($A188,'Base SKUs'!$E:$E,'Base SKUs'!C:C),"")</f>
        <v>Long</v>
      </c>
      <c r="L188" t="str">
        <f>IFERROR(_xlfn.XLOOKUP($A188,'Base SKUs'!$E:$E,'Base SKUs'!D:D),"")</f>
        <v>Hardwoods</v>
      </c>
      <c r="M188" t="str">
        <f>IFERROR(_xlfn.XLOOKUP($A188,'Base SKUs'!$E:$E,'Base SKUs'!G:G),"")</f>
        <v>Cumaru</v>
      </c>
      <c r="N188" t="str">
        <f>IFERROR(_xlfn.XLOOKUP($A188,'Base SKUs'!$E:$E,'Base SKUs'!H:H),"")</f>
        <v>S4S E4E</v>
      </c>
      <c r="O188" t="str">
        <f>IFERROR(_xlfn.XLOOKUP($A188,'Base SKUs'!$E:$E,'Base SKUs'!I:I),"")</f>
        <v>-</v>
      </c>
      <c r="P188" t="str">
        <f>IFERROR(_xlfn.XLOOKUP($A188,'Base SKUs'!$E:$E,'Base SKUs'!J:J),"")</f>
        <v>21x145</v>
      </c>
      <c r="Q188">
        <f>IFERROR(_xlfn.XLOOKUP($A188,'Base SKUs'!$E:$E,'Base SKUs'!K:K),"")</f>
        <v>10</v>
      </c>
      <c r="R188" s="7">
        <f>IFERROR(_xlfn.XLOOKUP($A188,'Base SKUs'!$E:$E,'Base SKUs'!S:S),"")</f>
        <v>9.2811600000000001E-3</v>
      </c>
      <c r="S188" s="8">
        <f t="shared" si="12"/>
        <v>0</v>
      </c>
      <c r="T188" s="7">
        <f>IFERROR(_xlfn.XLOOKUP($A188,'Base SKUs'!$E:$E,'Base SKUs'!R:R),"")</f>
        <v>1077.452</v>
      </c>
      <c r="U188" s="15">
        <f t="shared" si="13"/>
        <v>0</v>
      </c>
      <c r="V188" t="str">
        <f t="shared" si="14"/>
        <v>Texas</v>
      </c>
    </row>
    <row r="189" spans="1:22" x14ac:dyDescent="0.2">
      <c r="A189" t="s">
        <v>368</v>
      </c>
      <c r="B189" s="5">
        <v>77</v>
      </c>
      <c r="C189" s="5">
        <v>0</v>
      </c>
      <c r="D189" s="5">
        <f t="shared" si="10"/>
        <v>77</v>
      </c>
      <c r="E189" s="6">
        <v>19.3796</v>
      </c>
      <c r="F189" s="6">
        <f t="shared" si="11"/>
        <v>1492.2292</v>
      </c>
      <c r="G189" t="s">
        <v>17</v>
      </c>
      <c r="H189">
        <v>9007</v>
      </c>
      <c r="I189" t="str">
        <f>IFERROR(_xlfn.XLOOKUP($A189,'Base SKUs'!$E:$E,'Base SKUs'!A:A),"")</f>
        <v>Cumaru</v>
      </c>
      <c r="J189" t="str">
        <f>IFERROR(_xlfn.XLOOKUP($A189,'Base SKUs'!$E:$E,'Base SKUs'!B:B),"")</f>
        <v>Cumaru 21x145</v>
      </c>
      <c r="K189" t="str">
        <f>IFERROR(_xlfn.XLOOKUP($A189,'Base SKUs'!$E:$E,'Base SKUs'!C:C),"")</f>
        <v>Long</v>
      </c>
      <c r="L189" t="str">
        <f>IFERROR(_xlfn.XLOOKUP($A189,'Base SKUs'!$E:$E,'Base SKUs'!D:D),"")</f>
        <v>Hardwoods</v>
      </c>
      <c r="M189" t="str">
        <f>IFERROR(_xlfn.XLOOKUP($A189,'Base SKUs'!$E:$E,'Base SKUs'!G:G),"")</f>
        <v>Cumaru</v>
      </c>
      <c r="N189" t="str">
        <f>IFERROR(_xlfn.XLOOKUP($A189,'Base SKUs'!$E:$E,'Base SKUs'!H:H),"")</f>
        <v>S4S E4E</v>
      </c>
      <c r="O189" t="str">
        <f>IFERROR(_xlfn.XLOOKUP($A189,'Base SKUs'!$E:$E,'Base SKUs'!I:I),"")</f>
        <v>-</v>
      </c>
      <c r="P189" t="str">
        <f>IFERROR(_xlfn.XLOOKUP($A189,'Base SKUs'!$E:$E,'Base SKUs'!J:J),"")</f>
        <v>21x145</v>
      </c>
      <c r="Q189">
        <f>IFERROR(_xlfn.XLOOKUP($A189,'Base SKUs'!$E:$E,'Base SKUs'!K:K),"")</f>
        <v>11</v>
      </c>
      <c r="R189" s="7">
        <f>IFERROR(_xlfn.XLOOKUP($A189,'Base SKUs'!$E:$E,'Base SKUs'!S:S),"")</f>
        <v>1.0209276E-2</v>
      </c>
      <c r="S189" s="8">
        <f t="shared" si="12"/>
        <v>0.78611425199999996</v>
      </c>
      <c r="T189" s="7">
        <f>IFERROR(_xlfn.XLOOKUP($A189,'Base SKUs'!$E:$E,'Base SKUs'!R:R),"")</f>
        <v>1077.452</v>
      </c>
      <c r="U189" s="15">
        <f t="shared" si="13"/>
        <v>847</v>
      </c>
      <c r="V189" t="str">
        <f t="shared" si="14"/>
        <v>Miami</v>
      </c>
    </row>
    <row r="190" spans="1:22" x14ac:dyDescent="0.2">
      <c r="A190" t="s">
        <v>368</v>
      </c>
      <c r="B190" s="5">
        <v>404</v>
      </c>
      <c r="C190" s="5">
        <v>404</v>
      </c>
      <c r="D190" s="5">
        <f t="shared" si="10"/>
        <v>0</v>
      </c>
      <c r="E190" s="6">
        <v>17.351600000000001</v>
      </c>
      <c r="F190" s="6">
        <f t="shared" si="11"/>
        <v>7010.0464000000002</v>
      </c>
      <c r="G190" t="s">
        <v>24</v>
      </c>
      <c r="H190">
        <v>9008</v>
      </c>
      <c r="I190" t="str">
        <f>IFERROR(_xlfn.XLOOKUP($A190,'Base SKUs'!$E:$E,'Base SKUs'!A:A),"")</f>
        <v>Cumaru</v>
      </c>
      <c r="J190" t="str">
        <f>IFERROR(_xlfn.XLOOKUP($A190,'Base SKUs'!$E:$E,'Base SKUs'!B:B),"")</f>
        <v>Cumaru 21x145</v>
      </c>
      <c r="K190" t="str">
        <f>IFERROR(_xlfn.XLOOKUP($A190,'Base SKUs'!$E:$E,'Base SKUs'!C:C),"")</f>
        <v>Long</v>
      </c>
      <c r="L190" t="str">
        <f>IFERROR(_xlfn.XLOOKUP($A190,'Base SKUs'!$E:$E,'Base SKUs'!D:D),"")</f>
        <v>Hardwoods</v>
      </c>
      <c r="M190" t="str">
        <f>IFERROR(_xlfn.XLOOKUP($A190,'Base SKUs'!$E:$E,'Base SKUs'!G:G),"")</f>
        <v>Cumaru</v>
      </c>
      <c r="N190" t="str">
        <f>IFERROR(_xlfn.XLOOKUP($A190,'Base SKUs'!$E:$E,'Base SKUs'!H:H),"")</f>
        <v>S4S E4E</v>
      </c>
      <c r="O190" t="str">
        <f>IFERROR(_xlfn.XLOOKUP($A190,'Base SKUs'!$E:$E,'Base SKUs'!I:I),"")</f>
        <v>-</v>
      </c>
      <c r="P190" t="str">
        <f>IFERROR(_xlfn.XLOOKUP($A190,'Base SKUs'!$E:$E,'Base SKUs'!J:J),"")</f>
        <v>21x145</v>
      </c>
      <c r="Q190">
        <f>IFERROR(_xlfn.XLOOKUP($A190,'Base SKUs'!$E:$E,'Base SKUs'!K:K),"")</f>
        <v>11</v>
      </c>
      <c r="R190" s="7">
        <f>IFERROR(_xlfn.XLOOKUP($A190,'Base SKUs'!$E:$E,'Base SKUs'!S:S),"")</f>
        <v>1.0209276E-2</v>
      </c>
      <c r="S190" s="8">
        <f t="shared" si="12"/>
        <v>0</v>
      </c>
      <c r="T190" s="7">
        <f>IFERROR(_xlfn.XLOOKUP($A190,'Base SKUs'!$E:$E,'Base SKUs'!R:R),"")</f>
        <v>1077.452</v>
      </c>
      <c r="U190" s="15">
        <f t="shared" si="13"/>
        <v>0</v>
      </c>
      <c r="V190" t="str">
        <f t="shared" si="14"/>
        <v>Texas</v>
      </c>
    </row>
    <row r="191" spans="1:22" x14ac:dyDescent="0.2">
      <c r="A191" t="s">
        <v>370</v>
      </c>
      <c r="B191" s="5">
        <v>228</v>
      </c>
      <c r="C191" s="5">
        <v>0</v>
      </c>
      <c r="D191" s="5">
        <f t="shared" si="10"/>
        <v>228</v>
      </c>
      <c r="E191" s="6">
        <v>22.659600000000001</v>
      </c>
      <c r="F191" s="6">
        <f t="shared" si="11"/>
        <v>5166.3888000000006</v>
      </c>
      <c r="G191" t="s">
        <v>17</v>
      </c>
      <c r="H191">
        <v>9007</v>
      </c>
      <c r="I191" t="str">
        <f>IFERROR(_xlfn.XLOOKUP($A191,'Base SKUs'!$E:$E,'Base SKUs'!A:A),"")</f>
        <v>Cumaru</v>
      </c>
      <c r="J191" t="str">
        <f>IFERROR(_xlfn.XLOOKUP($A191,'Base SKUs'!$E:$E,'Base SKUs'!B:B),"")</f>
        <v>Cumaru 21x145</v>
      </c>
      <c r="K191" t="str">
        <f>IFERROR(_xlfn.XLOOKUP($A191,'Base SKUs'!$E:$E,'Base SKUs'!C:C),"")</f>
        <v>Long</v>
      </c>
      <c r="L191" t="str">
        <f>IFERROR(_xlfn.XLOOKUP($A191,'Base SKUs'!$E:$E,'Base SKUs'!D:D),"")</f>
        <v>Hardwoods</v>
      </c>
      <c r="M191" t="str">
        <f>IFERROR(_xlfn.XLOOKUP($A191,'Base SKUs'!$E:$E,'Base SKUs'!G:G),"")</f>
        <v>Cumaru</v>
      </c>
      <c r="N191" t="str">
        <f>IFERROR(_xlfn.XLOOKUP($A191,'Base SKUs'!$E:$E,'Base SKUs'!H:H),"")</f>
        <v>S4S E4E</v>
      </c>
      <c r="O191" t="str">
        <f>IFERROR(_xlfn.XLOOKUP($A191,'Base SKUs'!$E:$E,'Base SKUs'!I:I),"")</f>
        <v>-</v>
      </c>
      <c r="P191" t="str">
        <f>IFERROR(_xlfn.XLOOKUP($A191,'Base SKUs'!$E:$E,'Base SKUs'!J:J),"")</f>
        <v>21x145</v>
      </c>
      <c r="Q191">
        <f>IFERROR(_xlfn.XLOOKUP($A191,'Base SKUs'!$E:$E,'Base SKUs'!K:K),"")</f>
        <v>12</v>
      </c>
      <c r="R191" s="7">
        <f>IFERROR(_xlfn.XLOOKUP($A191,'Base SKUs'!$E:$E,'Base SKUs'!S:S),"")</f>
        <v>1.1137391999999999E-2</v>
      </c>
      <c r="S191" s="8">
        <f t="shared" si="12"/>
        <v>2.5393253759999999</v>
      </c>
      <c r="T191" s="7">
        <f>IFERROR(_xlfn.XLOOKUP($A191,'Base SKUs'!$E:$E,'Base SKUs'!R:R),"")</f>
        <v>1077.452</v>
      </c>
      <c r="U191" s="15">
        <f t="shared" si="13"/>
        <v>2736</v>
      </c>
      <c r="V191" t="str">
        <f t="shared" si="14"/>
        <v>Miami</v>
      </c>
    </row>
    <row r="192" spans="1:22" x14ac:dyDescent="0.2">
      <c r="A192" t="s">
        <v>370</v>
      </c>
      <c r="B192" s="5">
        <v>210</v>
      </c>
      <c r="C192" s="5">
        <v>210</v>
      </c>
      <c r="D192" s="5">
        <f t="shared" si="10"/>
        <v>0</v>
      </c>
      <c r="E192" s="6">
        <v>22.659600000000001</v>
      </c>
      <c r="F192" s="6">
        <f t="shared" si="11"/>
        <v>4758.5160000000005</v>
      </c>
      <c r="G192" t="s">
        <v>24</v>
      </c>
      <c r="H192">
        <v>9008</v>
      </c>
      <c r="I192" t="str">
        <f>IFERROR(_xlfn.XLOOKUP($A192,'Base SKUs'!$E:$E,'Base SKUs'!A:A),"")</f>
        <v>Cumaru</v>
      </c>
      <c r="J192" t="str">
        <f>IFERROR(_xlfn.XLOOKUP($A192,'Base SKUs'!$E:$E,'Base SKUs'!B:B),"")</f>
        <v>Cumaru 21x145</v>
      </c>
      <c r="K192" t="str">
        <f>IFERROR(_xlfn.XLOOKUP($A192,'Base SKUs'!$E:$E,'Base SKUs'!C:C),"")</f>
        <v>Long</v>
      </c>
      <c r="L192" t="str">
        <f>IFERROR(_xlfn.XLOOKUP($A192,'Base SKUs'!$E:$E,'Base SKUs'!D:D),"")</f>
        <v>Hardwoods</v>
      </c>
      <c r="M192" t="str">
        <f>IFERROR(_xlfn.XLOOKUP($A192,'Base SKUs'!$E:$E,'Base SKUs'!G:G),"")</f>
        <v>Cumaru</v>
      </c>
      <c r="N192" t="str">
        <f>IFERROR(_xlfn.XLOOKUP($A192,'Base SKUs'!$E:$E,'Base SKUs'!H:H),"")</f>
        <v>S4S E4E</v>
      </c>
      <c r="O192" t="str">
        <f>IFERROR(_xlfn.XLOOKUP($A192,'Base SKUs'!$E:$E,'Base SKUs'!I:I),"")</f>
        <v>-</v>
      </c>
      <c r="P192" t="str">
        <f>IFERROR(_xlfn.XLOOKUP($A192,'Base SKUs'!$E:$E,'Base SKUs'!J:J),"")</f>
        <v>21x145</v>
      </c>
      <c r="Q192">
        <f>IFERROR(_xlfn.XLOOKUP($A192,'Base SKUs'!$E:$E,'Base SKUs'!K:K),"")</f>
        <v>12</v>
      </c>
      <c r="R192" s="7">
        <f>IFERROR(_xlfn.XLOOKUP($A192,'Base SKUs'!$E:$E,'Base SKUs'!S:S),"")</f>
        <v>1.1137391999999999E-2</v>
      </c>
      <c r="S192" s="8">
        <f t="shared" si="12"/>
        <v>0</v>
      </c>
      <c r="T192" s="7">
        <f>IFERROR(_xlfn.XLOOKUP($A192,'Base SKUs'!$E:$E,'Base SKUs'!R:R),"")</f>
        <v>1077.452</v>
      </c>
      <c r="U192" s="15">
        <f t="shared" si="13"/>
        <v>0</v>
      </c>
      <c r="V192" t="str">
        <f t="shared" si="14"/>
        <v>Texas</v>
      </c>
    </row>
    <row r="193" spans="1:22" x14ac:dyDescent="0.2">
      <c r="A193" t="s">
        <v>372</v>
      </c>
      <c r="B193" s="5">
        <v>125</v>
      </c>
      <c r="C193" s="5">
        <v>0</v>
      </c>
      <c r="D193" s="5">
        <f t="shared" si="10"/>
        <v>125</v>
      </c>
      <c r="E193" s="6">
        <v>24.547899999999998</v>
      </c>
      <c r="F193" s="6">
        <f t="shared" si="11"/>
        <v>3068.4874999999997</v>
      </c>
      <c r="G193" t="s">
        <v>17</v>
      </c>
      <c r="H193">
        <v>9007</v>
      </c>
      <c r="I193" t="str">
        <f>IFERROR(_xlfn.XLOOKUP($A193,'Base SKUs'!$E:$E,'Base SKUs'!A:A),"")</f>
        <v>Cumaru</v>
      </c>
      <c r="J193" t="str">
        <f>IFERROR(_xlfn.XLOOKUP($A193,'Base SKUs'!$E:$E,'Base SKUs'!B:B),"")</f>
        <v>Cumaru 21x145</v>
      </c>
      <c r="K193" t="str">
        <f>IFERROR(_xlfn.XLOOKUP($A193,'Base SKUs'!$E:$E,'Base SKUs'!C:C),"")</f>
        <v>Long</v>
      </c>
      <c r="L193" t="str">
        <f>IFERROR(_xlfn.XLOOKUP($A193,'Base SKUs'!$E:$E,'Base SKUs'!D:D),"")</f>
        <v>Hardwoods</v>
      </c>
      <c r="M193" t="str">
        <f>IFERROR(_xlfn.XLOOKUP($A193,'Base SKUs'!$E:$E,'Base SKUs'!G:G),"")</f>
        <v>Cumaru</v>
      </c>
      <c r="N193" t="str">
        <f>IFERROR(_xlfn.XLOOKUP($A193,'Base SKUs'!$E:$E,'Base SKUs'!H:H),"")</f>
        <v>S4S E4E</v>
      </c>
      <c r="O193" t="str">
        <f>IFERROR(_xlfn.XLOOKUP($A193,'Base SKUs'!$E:$E,'Base SKUs'!I:I),"")</f>
        <v>-</v>
      </c>
      <c r="P193" t="str">
        <f>IFERROR(_xlfn.XLOOKUP($A193,'Base SKUs'!$E:$E,'Base SKUs'!J:J),"")</f>
        <v>21x145</v>
      </c>
      <c r="Q193">
        <f>IFERROR(_xlfn.XLOOKUP($A193,'Base SKUs'!$E:$E,'Base SKUs'!K:K),"")</f>
        <v>13</v>
      </c>
      <c r="R193" s="7">
        <f>IFERROR(_xlfn.XLOOKUP($A193,'Base SKUs'!$E:$E,'Base SKUs'!S:S),"")</f>
        <v>1.2065508000000001E-2</v>
      </c>
      <c r="S193" s="8">
        <f t="shared" si="12"/>
        <v>1.5081885000000002</v>
      </c>
      <c r="T193" s="7">
        <f>IFERROR(_xlfn.XLOOKUP($A193,'Base SKUs'!$E:$E,'Base SKUs'!R:R),"")</f>
        <v>1077.452</v>
      </c>
      <c r="U193" s="15">
        <f t="shared" si="13"/>
        <v>1625</v>
      </c>
      <c r="V193" t="str">
        <f t="shared" si="14"/>
        <v>Miami</v>
      </c>
    </row>
    <row r="194" spans="1:22" x14ac:dyDescent="0.2">
      <c r="A194" t="s">
        <v>372</v>
      </c>
      <c r="B194" s="5">
        <v>420</v>
      </c>
      <c r="C194" s="5">
        <v>420</v>
      </c>
      <c r="D194" s="5">
        <f t="shared" ref="D194:D257" si="15">B194-C194</f>
        <v>0</v>
      </c>
      <c r="E194" s="6">
        <v>24.547899999999998</v>
      </c>
      <c r="F194" s="6">
        <f t="shared" ref="F194:F257" si="16">B194*E194</f>
        <v>10310.117999999999</v>
      </c>
      <c r="G194" t="s">
        <v>24</v>
      </c>
      <c r="H194">
        <v>9008</v>
      </c>
      <c r="I194" t="str">
        <f>IFERROR(_xlfn.XLOOKUP($A194,'Base SKUs'!$E:$E,'Base SKUs'!A:A),"")</f>
        <v>Cumaru</v>
      </c>
      <c r="J194" t="str">
        <f>IFERROR(_xlfn.XLOOKUP($A194,'Base SKUs'!$E:$E,'Base SKUs'!B:B),"")</f>
        <v>Cumaru 21x145</v>
      </c>
      <c r="K194" t="str">
        <f>IFERROR(_xlfn.XLOOKUP($A194,'Base SKUs'!$E:$E,'Base SKUs'!C:C),"")</f>
        <v>Long</v>
      </c>
      <c r="L194" t="str">
        <f>IFERROR(_xlfn.XLOOKUP($A194,'Base SKUs'!$E:$E,'Base SKUs'!D:D),"")</f>
        <v>Hardwoods</v>
      </c>
      <c r="M194" t="str">
        <f>IFERROR(_xlfn.XLOOKUP($A194,'Base SKUs'!$E:$E,'Base SKUs'!G:G),"")</f>
        <v>Cumaru</v>
      </c>
      <c r="N194" t="str">
        <f>IFERROR(_xlfn.XLOOKUP($A194,'Base SKUs'!$E:$E,'Base SKUs'!H:H),"")</f>
        <v>S4S E4E</v>
      </c>
      <c r="O194" t="str">
        <f>IFERROR(_xlfn.XLOOKUP($A194,'Base SKUs'!$E:$E,'Base SKUs'!I:I),"")</f>
        <v>-</v>
      </c>
      <c r="P194" t="str">
        <f>IFERROR(_xlfn.XLOOKUP($A194,'Base SKUs'!$E:$E,'Base SKUs'!J:J),"")</f>
        <v>21x145</v>
      </c>
      <c r="Q194">
        <f>IFERROR(_xlfn.XLOOKUP($A194,'Base SKUs'!$E:$E,'Base SKUs'!K:K),"")</f>
        <v>13</v>
      </c>
      <c r="R194" s="7">
        <f>IFERROR(_xlfn.XLOOKUP($A194,'Base SKUs'!$E:$E,'Base SKUs'!S:S),"")</f>
        <v>1.2065508000000001E-2</v>
      </c>
      <c r="S194" s="8">
        <f t="shared" ref="S194:S257" si="17">IF(OR(L194="Saicos",L194="Oil",L194="US4",L194="Wood Table",L194="Woca",L194="Norx",N194="Tiles"),D194,D194*R194)</f>
        <v>0</v>
      </c>
      <c r="T194" s="7">
        <f>IFERROR(_xlfn.XLOOKUP($A194,'Base SKUs'!$E:$E,'Base SKUs'!R:R),"")</f>
        <v>1077.452</v>
      </c>
      <c r="U194" s="15">
        <f t="shared" ref="U194:U257" si="18">ROUND(IF(OR(L194="Saicos",L194="Oil",L194="US4",L194="Wood Table",L194="Woca",L194="Norx",N194="Tiles"),D194,S194*T194),0)</f>
        <v>0</v>
      </c>
      <c r="V194" t="str">
        <f t="shared" ref="V194:V257" si="19">IF(H194=9007,"Miami",IF(H194=9008,"Texas",IF(H194=9009,"Boston",IF(H194=9010,"BS Detroit",IF(H194=9011,"New York",IF(H194=9012,"HW Perris",IF(H194=9013,"BS Riverside",IF(H194=9014,"On the Way",IF(H194=9015,"Russin",IF(H194=9016,"Palm Beach",""))))))))))</f>
        <v>Texas</v>
      </c>
    </row>
    <row r="195" spans="1:22" x14ac:dyDescent="0.2">
      <c r="A195" t="s">
        <v>374</v>
      </c>
      <c r="B195" s="5">
        <v>256</v>
      </c>
      <c r="C195" s="5">
        <v>0</v>
      </c>
      <c r="D195" s="5">
        <f t="shared" si="15"/>
        <v>256</v>
      </c>
      <c r="E195" s="6">
        <v>26.436199999999999</v>
      </c>
      <c r="F195" s="6">
        <f t="shared" si="16"/>
        <v>6767.6671999999999</v>
      </c>
      <c r="G195" t="s">
        <v>17</v>
      </c>
      <c r="H195">
        <v>9007</v>
      </c>
      <c r="I195" t="str">
        <f>IFERROR(_xlfn.XLOOKUP($A195,'Base SKUs'!$E:$E,'Base SKUs'!A:A),"")</f>
        <v>Cumaru</v>
      </c>
      <c r="J195" t="str">
        <f>IFERROR(_xlfn.XLOOKUP($A195,'Base SKUs'!$E:$E,'Base SKUs'!B:B),"")</f>
        <v>Cumaru 21x145</v>
      </c>
      <c r="K195" t="str">
        <f>IFERROR(_xlfn.XLOOKUP($A195,'Base SKUs'!$E:$E,'Base SKUs'!C:C),"")</f>
        <v>Long</v>
      </c>
      <c r="L195" t="str">
        <f>IFERROR(_xlfn.XLOOKUP($A195,'Base SKUs'!$E:$E,'Base SKUs'!D:D),"")</f>
        <v>Hardwoods</v>
      </c>
      <c r="M195" t="str">
        <f>IFERROR(_xlfn.XLOOKUP($A195,'Base SKUs'!$E:$E,'Base SKUs'!G:G),"")</f>
        <v>Cumaru</v>
      </c>
      <c r="N195" t="str">
        <f>IFERROR(_xlfn.XLOOKUP($A195,'Base SKUs'!$E:$E,'Base SKUs'!H:H),"")</f>
        <v>S4S E4E</v>
      </c>
      <c r="O195" t="str">
        <f>IFERROR(_xlfn.XLOOKUP($A195,'Base SKUs'!$E:$E,'Base SKUs'!I:I),"")</f>
        <v>-</v>
      </c>
      <c r="P195" t="str">
        <f>IFERROR(_xlfn.XLOOKUP($A195,'Base SKUs'!$E:$E,'Base SKUs'!J:J),"")</f>
        <v>21x145</v>
      </c>
      <c r="Q195">
        <f>IFERROR(_xlfn.XLOOKUP($A195,'Base SKUs'!$E:$E,'Base SKUs'!K:K),"")</f>
        <v>14</v>
      </c>
      <c r="R195" s="7">
        <f>IFERROR(_xlfn.XLOOKUP($A195,'Base SKUs'!$E:$E,'Base SKUs'!S:S),"")</f>
        <v>1.2993624E-2</v>
      </c>
      <c r="S195" s="8">
        <f t="shared" si="17"/>
        <v>3.3263677440000001</v>
      </c>
      <c r="T195" s="7">
        <f>IFERROR(_xlfn.XLOOKUP($A195,'Base SKUs'!$E:$E,'Base SKUs'!R:R),"")</f>
        <v>1077.452</v>
      </c>
      <c r="U195" s="15">
        <f t="shared" si="18"/>
        <v>3584</v>
      </c>
      <c r="V195" t="str">
        <f t="shared" si="19"/>
        <v>Miami</v>
      </c>
    </row>
    <row r="196" spans="1:22" x14ac:dyDescent="0.2">
      <c r="A196" t="s">
        <v>374</v>
      </c>
      <c r="B196" s="5">
        <v>280</v>
      </c>
      <c r="C196" s="5">
        <v>280</v>
      </c>
      <c r="D196" s="5">
        <f t="shared" si="15"/>
        <v>0</v>
      </c>
      <c r="E196" s="6">
        <v>26.436199999999999</v>
      </c>
      <c r="F196" s="6">
        <f t="shared" si="16"/>
        <v>7402.1359999999995</v>
      </c>
      <c r="G196" t="s">
        <v>24</v>
      </c>
      <c r="H196">
        <v>9008</v>
      </c>
      <c r="I196" t="str">
        <f>IFERROR(_xlfn.XLOOKUP($A196,'Base SKUs'!$E:$E,'Base SKUs'!A:A),"")</f>
        <v>Cumaru</v>
      </c>
      <c r="J196" t="str">
        <f>IFERROR(_xlfn.XLOOKUP($A196,'Base SKUs'!$E:$E,'Base SKUs'!B:B),"")</f>
        <v>Cumaru 21x145</v>
      </c>
      <c r="K196" t="str">
        <f>IFERROR(_xlfn.XLOOKUP($A196,'Base SKUs'!$E:$E,'Base SKUs'!C:C),"")</f>
        <v>Long</v>
      </c>
      <c r="L196" t="str">
        <f>IFERROR(_xlfn.XLOOKUP($A196,'Base SKUs'!$E:$E,'Base SKUs'!D:D),"")</f>
        <v>Hardwoods</v>
      </c>
      <c r="M196" t="str">
        <f>IFERROR(_xlfn.XLOOKUP($A196,'Base SKUs'!$E:$E,'Base SKUs'!G:G),"")</f>
        <v>Cumaru</v>
      </c>
      <c r="N196" t="str">
        <f>IFERROR(_xlfn.XLOOKUP($A196,'Base SKUs'!$E:$E,'Base SKUs'!H:H),"")</f>
        <v>S4S E4E</v>
      </c>
      <c r="O196" t="str">
        <f>IFERROR(_xlfn.XLOOKUP($A196,'Base SKUs'!$E:$E,'Base SKUs'!I:I),"")</f>
        <v>-</v>
      </c>
      <c r="P196" t="str">
        <f>IFERROR(_xlfn.XLOOKUP($A196,'Base SKUs'!$E:$E,'Base SKUs'!J:J),"")</f>
        <v>21x145</v>
      </c>
      <c r="Q196">
        <f>IFERROR(_xlfn.XLOOKUP($A196,'Base SKUs'!$E:$E,'Base SKUs'!K:K),"")</f>
        <v>14</v>
      </c>
      <c r="R196" s="7">
        <f>IFERROR(_xlfn.XLOOKUP($A196,'Base SKUs'!$E:$E,'Base SKUs'!S:S),"")</f>
        <v>1.2993624E-2</v>
      </c>
      <c r="S196" s="8">
        <f t="shared" si="17"/>
        <v>0</v>
      </c>
      <c r="T196" s="7">
        <f>IFERROR(_xlfn.XLOOKUP($A196,'Base SKUs'!$E:$E,'Base SKUs'!R:R),"")</f>
        <v>1077.452</v>
      </c>
      <c r="U196" s="15">
        <f t="shared" si="18"/>
        <v>0</v>
      </c>
      <c r="V196" t="str">
        <f t="shared" si="19"/>
        <v>Texas</v>
      </c>
    </row>
    <row r="197" spans="1:22" x14ac:dyDescent="0.2">
      <c r="A197" t="s">
        <v>376</v>
      </c>
      <c r="B197" s="5">
        <v>299</v>
      </c>
      <c r="C197" s="5">
        <v>299</v>
      </c>
      <c r="D197" s="5">
        <f t="shared" si="15"/>
        <v>0</v>
      </c>
      <c r="E197" s="6">
        <v>28.3245</v>
      </c>
      <c r="F197" s="6">
        <f t="shared" si="16"/>
        <v>8469.0254999999997</v>
      </c>
      <c r="G197" t="s">
        <v>24</v>
      </c>
      <c r="H197">
        <v>9008</v>
      </c>
      <c r="I197" t="str">
        <f>IFERROR(_xlfn.XLOOKUP($A197,'Base SKUs'!$E:$E,'Base SKUs'!A:A),"")</f>
        <v>Cumaru</v>
      </c>
      <c r="J197" t="str">
        <f>IFERROR(_xlfn.XLOOKUP($A197,'Base SKUs'!$E:$E,'Base SKUs'!B:B),"")</f>
        <v>Cumaru 21x145</v>
      </c>
      <c r="K197" t="str">
        <f>IFERROR(_xlfn.XLOOKUP($A197,'Base SKUs'!$E:$E,'Base SKUs'!C:C),"")</f>
        <v>Long</v>
      </c>
      <c r="L197" t="str">
        <f>IFERROR(_xlfn.XLOOKUP($A197,'Base SKUs'!$E:$E,'Base SKUs'!D:D),"")</f>
        <v>Hardwoods</v>
      </c>
      <c r="M197" t="str">
        <f>IFERROR(_xlfn.XLOOKUP($A197,'Base SKUs'!$E:$E,'Base SKUs'!G:G),"")</f>
        <v>Cumaru</v>
      </c>
      <c r="N197" t="str">
        <f>IFERROR(_xlfn.XLOOKUP($A197,'Base SKUs'!$E:$E,'Base SKUs'!H:H),"")</f>
        <v>S4S E4E</v>
      </c>
      <c r="O197" t="str">
        <f>IFERROR(_xlfn.XLOOKUP($A197,'Base SKUs'!$E:$E,'Base SKUs'!I:I),"")</f>
        <v>-</v>
      </c>
      <c r="P197" t="str">
        <f>IFERROR(_xlfn.XLOOKUP($A197,'Base SKUs'!$E:$E,'Base SKUs'!J:J),"")</f>
        <v>21x145</v>
      </c>
      <c r="Q197">
        <f>IFERROR(_xlfn.XLOOKUP($A197,'Base SKUs'!$E:$E,'Base SKUs'!K:K),"")</f>
        <v>15</v>
      </c>
      <c r="R197" s="7">
        <f>IFERROR(_xlfn.XLOOKUP($A197,'Base SKUs'!$E:$E,'Base SKUs'!S:S),"")</f>
        <v>1.392174E-2</v>
      </c>
      <c r="S197" s="8">
        <f t="shared" si="17"/>
        <v>0</v>
      </c>
      <c r="T197" s="7">
        <f>IFERROR(_xlfn.XLOOKUP($A197,'Base SKUs'!$E:$E,'Base SKUs'!R:R),"")</f>
        <v>1077.452</v>
      </c>
      <c r="U197" s="15">
        <f t="shared" si="18"/>
        <v>0</v>
      </c>
      <c r="V197" t="str">
        <f t="shared" si="19"/>
        <v>Texas</v>
      </c>
    </row>
    <row r="198" spans="1:22" x14ac:dyDescent="0.2">
      <c r="A198" t="s">
        <v>378</v>
      </c>
      <c r="B198" s="5">
        <v>238</v>
      </c>
      <c r="C198" s="5">
        <v>238</v>
      </c>
      <c r="D198" s="5">
        <f t="shared" si="15"/>
        <v>0</v>
      </c>
      <c r="E198" s="6">
        <v>30.212800000000001</v>
      </c>
      <c r="F198" s="6">
        <f t="shared" si="16"/>
        <v>7190.6464000000005</v>
      </c>
      <c r="G198" t="s">
        <v>24</v>
      </c>
      <c r="H198">
        <v>9008</v>
      </c>
      <c r="I198" t="str">
        <f>IFERROR(_xlfn.XLOOKUP($A198,'Base SKUs'!$E:$E,'Base SKUs'!A:A),"")</f>
        <v>Cumaru</v>
      </c>
      <c r="J198" t="str">
        <f>IFERROR(_xlfn.XLOOKUP($A198,'Base SKUs'!$E:$E,'Base SKUs'!B:B),"")</f>
        <v>Cumaru 21x145</v>
      </c>
      <c r="K198" t="str">
        <f>IFERROR(_xlfn.XLOOKUP($A198,'Base SKUs'!$E:$E,'Base SKUs'!C:C),"")</f>
        <v>Long</v>
      </c>
      <c r="L198" t="str">
        <f>IFERROR(_xlfn.XLOOKUP($A198,'Base SKUs'!$E:$E,'Base SKUs'!D:D),"")</f>
        <v>Hardwoods</v>
      </c>
      <c r="M198" t="str">
        <f>IFERROR(_xlfn.XLOOKUP($A198,'Base SKUs'!$E:$E,'Base SKUs'!G:G),"")</f>
        <v>Cumaru</v>
      </c>
      <c r="N198" t="str">
        <f>IFERROR(_xlfn.XLOOKUP($A198,'Base SKUs'!$E:$E,'Base SKUs'!H:H),"")</f>
        <v>S4S E4E</v>
      </c>
      <c r="O198" t="str">
        <f>IFERROR(_xlfn.XLOOKUP($A198,'Base SKUs'!$E:$E,'Base SKUs'!I:I),"")</f>
        <v>-</v>
      </c>
      <c r="P198" t="str">
        <f>IFERROR(_xlfn.XLOOKUP($A198,'Base SKUs'!$E:$E,'Base SKUs'!J:J),"")</f>
        <v>21x145</v>
      </c>
      <c r="Q198">
        <f>IFERROR(_xlfn.XLOOKUP($A198,'Base SKUs'!$E:$E,'Base SKUs'!K:K),"")</f>
        <v>16</v>
      </c>
      <c r="R198" s="7">
        <f>IFERROR(_xlfn.XLOOKUP($A198,'Base SKUs'!$E:$E,'Base SKUs'!S:S),"")</f>
        <v>1.4849856E-2</v>
      </c>
      <c r="S198" s="8">
        <f t="shared" si="17"/>
        <v>0</v>
      </c>
      <c r="T198" s="7">
        <f>IFERROR(_xlfn.XLOOKUP($A198,'Base SKUs'!$E:$E,'Base SKUs'!R:R),"")</f>
        <v>1077.452</v>
      </c>
      <c r="U198" s="15">
        <f t="shared" si="18"/>
        <v>0</v>
      </c>
      <c r="V198" t="str">
        <f t="shared" si="19"/>
        <v>Texas</v>
      </c>
    </row>
    <row r="199" spans="1:22" x14ac:dyDescent="0.2">
      <c r="A199" t="s">
        <v>380</v>
      </c>
      <c r="B199" s="5">
        <v>57</v>
      </c>
      <c r="C199" s="5">
        <v>57</v>
      </c>
      <c r="D199" s="5">
        <f t="shared" si="15"/>
        <v>0</v>
      </c>
      <c r="E199" s="6">
        <v>32.101100000000002</v>
      </c>
      <c r="F199" s="6">
        <f t="shared" si="16"/>
        <v>1829.7627000000002</v>
      </c>
      <c r="G199" t="s">
        <v>17</v>
      </c>
      <c r="H199">
        <v>9007</v>
      </c>
      <c r="I199" t="str">
        <f>IFERROR(_xlfn.XLOOKUP($A199,'Base SKUs'!$E:$E,'Base SKUs'!A:A),"")</f>
        <v>Cumaru</v>
      </c>
      <c r="J199" t="str">
        <f>IFERROR(_xlfn.XLOOKUP($A199,'Base SKUs'!$E:$E,'Base SKUs'!B:B),"")</f>
        <v>Cumaru 21x145</v>
      </c>
      <c r="K199" t="str">
        <f>IFERROR(_xlfn.XLOOKUP($A199,'Base SKUs'!$E:$E,'Base SKUs'!C:C),"")</f>
        <v>Long</v>
      </c>
      <c r="L199" t="str">
        <f>IFERROR(_xlfn.XLOOKUP($A199,'Base SKUs'!$E:$E,'Base SKUs'!D:D),"")</f>
        <v>Hardwoods</v>
      </c>
      <c r="M199" t="str">
        <f>IFERROR(_xlfn.XLOOKUP($A199,'Base SKUs'!$E:$E,'Base SKUs'!G:G),"")</f>
        <v>Cumaru</v>
      </c>
      <c r="N199" t="str">
        <f>IFERROR(_xlfn.XLOOKUP($A199,'Base SKUs'!$E:$E,'Base SKUs'!H:H),"")</f>
        <v>S4S E4E</v>
      </c>
      <c r="O199" t="str">
        <f>IFERROR(_xlfn.XLOOKUP($A199,'Base SKUs'!$E:$E,'Base SKUs'!I:I),"")</f>
        <v>-</v>
      </c>
      <c r="P199" t="str">
        <f>IFERROR(_xlfn.XLOOKUP($A199,'Base SKUs'!$E:$E,'Base SKUs'!J:J),"")</f>
        <v>21x145</v>
      </c>
      <c r="Q199">
        <f>IFERROR(_xlfn.XLOOKUP($A199,'Base SKUs'!$E:$E,'Base SKUs'!K:K),"")</f>
        <v>17</v>
      </c>
      <c r="R199" s="7">
        <f>IFERROR(_xlfn.XLOOKUP($A199,'Base SKUs'!$E:$E,'Base SKUs'!S:S),"")</f>
        <v>1.5777972000000001E-2</v>
      </c>
      <c r="S199" s="8">
        <f t="shared" si="17"/>
        <v>0</v>
      </c>
      <c r="T199" s="7">
        <f>IFERROR(_xlfn.XLOOKUP($A199,'Base SKUs'!$E:$E,'Base SKUs'!R:R),"")</f>
        <v>1077.452</v>
      </c>
      <c r="U199" s="15">
        <f t="shared" si="18"/>
        <v>0</v>
      </c>
      <c r="V199" t="str">
        <f t="shared" si="19"/>
        <v>Miami</v>
      </c>
    </row>
    <row r="200" spans="1:22" x14ac:dyDescent="0.2">
      <c r="A200" t="s">
        <v>380</v>
      </c>
      <c r="B200" s="5">
        <v>178</v>
      </c>
      <c r="C200" s="5">
        <v>178</v>
      </c>
      <c r="D200" s="5">
        <f t="shared" si="15"/>
        <v>0</v>
      </c>
      <c r="E200" s="6">
        <v>32.101100000000002</v>
      </c>
      <c r="F200" s="6">
        <f t="shared" si="16"/>
        <v>5713.9958000000006</v>
      </c>
      <c r="G200" t="s">
        <v>24</v>
      </c>
      <c r="H200">
        <v>9008</v>
      </c>
      <c r="I200" t="str">
        <f>IFERROR(_xlfn.XLOOKUP($A200,'Base SKUs'!$E:$E,'Base SKUs'!A:A),"")</f>
        <v>Cumaru</v>
      </c>
      <c r="J200" t="str">
        <f>IFERROR(_xlfn.XLOOKUP($A200,'Base SKUs'!$E:$E,'Base SKUs'!B:B),"")</f>
        <v>Cumaru 21x145</v>
      </c>
      <c r="K200" t="str">
        <f>IFERROR(_xlfn.XLOOKUP($A200,'Base SKUs'!$E:$E,'Base SKUs'!C:C),"")</f>
        <v>Long</v>
      </c>
      <c r="L200" t="str">
        <f>IFERROR(_xlfn.XLOOKUP($A200,'Base SKUs'!$E:$E,'Base SKUs'!D:D),"")</f>
        <v>Hardwoods</v>
      </c>
      <c r="M200" t="str">
        <f>IFERROR(_xlfn.XLOOKUP($A200,'Base SKUs'!$E:$E,'Base SKUs'!G:G),"")</f>
        <v>Cumaru</v>
      </c>
      <c r="N200" t="str">
        <f>IFERROR(_xlfn.XLOOKUP($A200,'Base SKUs'!$E:$E,'Base SKUs'!H:H),"")</f>
        <v>S4S E4E</v>
      </c>
      <c r="O200" t="str">
        <f>IFERROR(_xlfn.XLOOKUP($A200,'Base SKUs'!$E:$E,'Base SKUs'!I:I),"")</f>
        <v>-</v>
      </c>
      <c r="P200" t="str">
        <f>IFERROR(_xlfn.XLOOKUP($A200,'Base SKUs'!$E:$E,'Base SKUs'!J:J),"")</f>
        <v>21x145</v>
      </c>
      <c r="Q200">
        <f>IFERROR(_xlfn.XLOOKUP($A200,'Base SKUs'!$E:$E,'Base SKUs'!K:K),"")</f>
        <v>17</v>
      </c>
      <c r="R200" s="7">
        <f>IFERROR(_xlfn.XLOOKUP($A200,'Base SKUs'!$E:$E,'Base SKUs'!S:S),"")</f>
        <v>1.5777972000000001E-2</v>
      </c>
      <c r="S200" s="8">
        <f t="shared" si="17"/>
        <v>0</v>
      </c>
      <c r="T200" s="7">
        <f>IFERROR(_xlfn.XLOOKUP($A200,'Base SKUs'!$E:$E,'Base SKUs'!R:R),"")</f>
        <v>1077.452</v>
      </c>
      <c r="U200" s="15">
        <f t="shared" si="18"/>
        <v>0</v>
      </c>
      <c r="V200" t="str">
        <f t="shared" si="19"/>
        <v>Texas</v>
      </c>
    </row>
    <row r="201" spans="1:22" x14ac:dyDescent="0.2">
      <c r="A201" t="s">
        <v>382</v>
      </c>
      <c r="B201" s="5">
        <v>41</v>
      </c>
      <c r="C201" s="5">
        <v>41</v>
      </c>
      <c r="D201" s="5">
        <f t="shared" si="15"/>
        <v>0</v>
      </c>
      <c r="E201" s="6">
        <v>33.989400000000003</v>
      </c>
      <c r="F201" s="6">
        <f t="shared" si="16"/>
        <v>1393.5654000000002</v>
      </c>
      <c r="G201" t="s">
        <v>17</v>
      </c>
      <c r="H201">
        <v>9007</v>
      </c>
      <c r="I201" t="str">
        <f>IFERROR(_xlfn.XLOOKUP($A201,'Base SKUs'!$E:$E,'Base SKUs'!A:A),"")</f>
        <v>Cumaru</v>
      </c>
      <c r="J201" t="str">
        <f>IFERROR(_xlfn.XLOOKUP($A201,'Base SKUs'!$E:$E,'Base SKUs'!B:B),"")</f>
        <v>Cumaru 21x145</v>
      </c>
      <c r="K201" t="str">
        <f>IFERROR(_xlfn.XLOOKUP($A201,'Base SKUs'!$E:$E,'Base SKUs'!C:C),"")</f>
        <v>Long</v>
      </c>
      <c r="L201" t="str">
        <f>IFERROR(_xlfn.XLOOKUP($A201,'Base SKUs'!$E:$E,'Base SKUs'!D:D),"")</f>
        <v>Hardwoods</v>
      </c>
      <c r="M201" t="str">
        <f>IFERROR(_xlfn.XLOOKUP($A201,'Base SKUs'!$E:$E,'Base SKUs'!G:G),"")</f>
        <v>Cumaru</v>
      </c>
      <c r="N201" t="str">
        <f>IFERROR(_xlfn.XLOOKUP($A201,'Base SKUs'!$E:$E,'Base SKUs'!H:H),"")</f>
        <v>S4S E4E</v>
      </c>
      <c r="O201" t="str">
        <f>IFERROR(_xlfn.XLOOKUP($A201,'Base SKUs'!$E:$E,'Base SKUs'!I:I),"")</f>
        <v>-</v>
      </c>
      <c r="P201" t="str">
        <f>IFERROR(_xlfn.XLOOKUP($A201,'Base SKUs'!$E:$E,'Base SKUs'!J:J),"")</f>
        <v>21x145</v>
      </c>
      <c r="Q201">
        <f>IFERROR(_xlfn.XLOOKUP($A201,'Base SKUs'!$E:$E,'Base SKUs'!K:K),"")</f>
        <v>18</v>
      </c>
      <c r="R201" s="7">
        <f>IFERROR(_xlfn.XLOOKUP($A201,'Base SKUs'!$E:$E,'Base SKUs'!S:S),"")</f>
        <v>1.6706087999999997E-2</v>
      </c>
      <c r="S201" s="8">
        <f t="shared" si="17"/>
        <v>0</v>
      </c>
      <c r="T201" s="7">
        <f>IFERROR(_xlfn.XLOOKUP($A201,'Base SKUs'!$E:$E,'Base SKUs'!R:R),"")</f>
        <v>1077.452</v>
      </c>
      <c r="U201" s="15">
        <f t="shared" si="18"/>
        <v>0</v>
      </c>
      <c r="V201" t="str">
        <f t="shared" si="19"/>
        <v>Miami</v>
      </c>
    </row>
    <row r="202" spans="1:22" x14ac:dyDescent="0.2">
      <c r="A202" t="s">
        <v>382</v>
      </c>
      <c r="B202" s="5">
        <v>137</v>
      </c>
      <c r="C202" s="5">
        <v>137</v>
      </c>
      <c r="D202" s="5">
        <f t="shared" si="15"/>
        <v>0</v>
      </c>
      <c r="E202" s="6">
        <v>33.989400000000003</v>
      </c>
      <c r="F202" s="6">
        <f t="shared" si="16"/>
        <v>4656.5478000000003</v>
      </c>
      <c r="G202" t="s">
        <v>24</v>
      </c>
      <c r="H202">
        <v>9008</v>
      </c>
      <c r="I202" t="str">
        <f>IFERROR(_xlfn.XLOOKUP($A202,'Base SKUs'!$E:$E,'Base SKUs'!A:A),"")</f>
        <v>Cumaru</v>
      </c>
      <c r="J202" t="str">
        <f>IFERROR(_xlfn.XLOOKUP($A202,'Base SKUs'!$E:$E,'Base SKUs'!B:B),"")</f>
        <v>Cumaru 21x145</v>
      </c>
      <c r="K202" t="str">
        <f>IFERROR(_xlfn.XLOOKUP($A202,'Base SKUs'!$E:$E,'Base SKUs'!C:C),"")</f>
        <v>Long</v>
      </c>
      <c r="L202" t="str">
        <f>IFERROR(_xlfn.XLOOKUP($A202,'Base SKUs'!$E:$E,'Base SKUs'!D:D),"")</f>
        <v>Hardwoods</v>
      </c>
      <c r="M202" t="str">
        <f>IFERROR(_xlfn.XLOOKUP($A202,'Base SKUs'!$E:$E,'Base SKUs'!G:G),"")</f>
        <v>Cumaru</v>
      </c>
      <c r="N202" t="str">
        <f>IFERROR(_xlfn.XLOOKUP($A202,'Base SKUs'!$E:$E,'Base SKUs'!H:H),"")</f>
        <v>S4S E4E</v>
      </c>
      <c r="O202" t="str">
        <f>IFERROR(_xlfn.XLOOKUP($A202,'Base SKUs'!$E:$E,'Base SKUs'!I:I),"")</f>
        <v>-</v>
      </c>
      <c r="P202" t="str">
        <f>IFERROR(_xlfn.XLOOKUP($A202,'Base SKUs'!$E:$E,'Base SKUs'!J:J),"")</f>
        <v>21x145</v>
      </c>
      <c r="Q202">
        <f>IFERROR(_xlfn.XLOOKUP($A202,'Base SKUs'!$E:$E,'Base SKUs'!K:K),"")</f>
        <v>18</v>
      </c>
      <c r="R202" s="7">
        <f>IFERROR(_xlfn.XLOOKUP($A202,'Base SKUs'!$E:$E,'Base SKUs'!S:S),"")</f>
        <v>1.6706087999999997E-2</v>
      </c>
      <c r="S202" s="8">
        <f t="shared" si="17"/>
        <v>0</v>
      </c>
      <c r="T202" s="7">
        <f>IFERROR(_xlfn.XLOOKUP($A202,'Base SKUs'!$E:$E,'Base SKUs'!R:R),"")</f>
        <v>1077.452</v>
      </c>
      <c r="U202" s="15">
        <f t="shared" si="18"/>
        <v>0</v>
      </c>
      <c r="V202" t="str">
        <f t="shared" si="19"/>
        <v>Texas</v>
      </c>
    </row>
    <row r="203" spans="1:22" x14ac:dyDescent="0.2">
      <c r="A203" t="s">
        <v>384</v>
      </c>
      <c r="B203" s="5">
        <v>76</v>
      </c>
      <c r="C203" s="5">
        <v>76</v>
      </c>
      <c r="D203" s="5">
        <f t="shared" si="15"/>
        <v>0</v>
      </c>
      <c r="E203" s="6">
        <v>35.877699999999997</v>
      </c>
      <c r="F203" s="6">
        <f t="shared" si="16"/>
        <v>2726.7051999999999</v>
      </c>
      <c r="G203" t="s">
        <v>17</v>
      </c>
      <c r="H203">
        <v>9007</v>
      </c>
      <c r="I203" t="str">
        <f>IFERROR(_xlfn.XLOOKUP($A203,'Base SKUs'!$E:$E,'Base SKUs'!A:A),"")</f>
        <v>Cumaru</v>
      </c>
      <c r="J203" t="str">
        <f>IFERROR(_xlfn.XLOOKUP($A203,'Base SKUs'!$E:$E,'Base SKUs'!B:B),"")</f>
        <v>Cumaru 21x145</v>
      </c>
      <c r="K203" t="str">
        <f>IFERROR(_xlfn.XLOOKUP($A203,'Base SKUs'!$E:$E,'Base SKUs'!C:C),"")</f>
        <v>Long</v>
      </c>
      <c r="L203" t="str">
        <f>IFERROR(_xlfn.XLOOKUP($A203,'Base SKUs'!$E:$E,'Base SKUs'!D:D),"")</f>
        <v>Hardwoods</v>
      </c>
      <c r="M203" t="str">
        <f>IFERROR(_xlfn.XLOOKUP($A203,'Base SKUs'!$E:$E,'Base SKUs'!G:G),"")</f>
        <v>Cumaru</v>
      </c>
      <c r="N203" t="str">
        <f>IFERROR(_xlfn.XLOOKUP($A203,'Base SKUs'!$E:$E,'Base SKUs'!H:H),"")</f>
        <v>S4S E4E</v>
      </c>
      <c r="O203" t="str">
        <f>IFERROR(_xlfn.XLOOKUP($A203,'Base SKUs'!$E:$E,'Base SKUs'!I:I),"")</f>
        <v>-</v>
      </c>
      <c r="P203" t="str">
        <f>IFERROR(_xlfn.XLOOKUP($A203,'Base SKUs'!$E:$E,'Base SKUs'!J:J),"")</f>
        <v>21x145</v>
      </c>
      <c r="Q203">
        <f>IFERROR(_xlfn.XLOOKUP($A203,'Base SKUs'!$E:$E,'Base SKUs'!K:K),"")</f>
        <v>19</v>
      </c>
      <c r="R203" s="7">
        <f>IFERROR(_xlfn.XLOOKUP($A203,'Base SKUs'!$E:$E,'Base SKUs'!S:S),"")</f>
        <v>1.7634204000000001E-2</v>
      </c>
      <c r="S203" s="8">
        <f t="shared" si="17"/>
        <v>0</v>
      </c>
      <c r="T203" s="7">
        <f>IFERROR(_xlfn.XLOOKUP($A203,'Base SKUs'!$E:$E,'Base SKUs'!R:R),"")</f>
        <v>1077.452</v>
      </c>
      <c r="U203" s="15">
        <f t="shared" si="18"/>
        <v>0</v>
      </c>
      <c r="V203" t="str">
        <f t="shared" si="19"/>
        <v>Miami</v>
      </c>
    </row>
    <row r="204" spans="1:22" x14ac:dyDescent="0.2">
      <c r="A204" t="s">
        <v>384</v>
      </c>
      <c r="B204" s="5">
        <v>125</v>
      </c>
      <c r="C204" s="5">
        <v>125</v>
      </c>
      <c r="D204" s="5">
        <f t="shared" si="15"/>
        <v>0</v>
      </c>
      <c r="E204" s="6">
        <v>35.877699999999997</v>
      </c>
      <c r="F204" s="6">
        <f t="shared" si="16"/>
        <v>4484.7124999999996</v>
      </c>
      <c r="G204" t="s">
        <v>24</v>
      </c>
      <c r="H204">
        <v>9008</v>
      </c>
      <c r="I204" t="str">
        <f>IFERROR(_xlfn.XLOOKUP($A204,'Base SKUs'!$E:$E,'Base SKUs'!A:A),"")</f>
        <v>Cumaru</v>
      </c>
      <c r="J204" t="str">
        <f>IFERROR(_xlfn.XLOOKUP($A204,'Base SKUs'!$E:$E,'Base SKUs'!B:B),"")</f>
        <v>Cumaru 21x145</v>
      </c>
      <c r="K204" t="str">
        <f>IFERROR(_xlfn.XLOOKUP($A204,'Base SKUs'!$E:$E,'Base SKUs'!C:C),"")</f>
        <v>Long</v>
      </c>
      <c r="L204" t="str">
        <f>IFERROR(_xlfn.XLOOKUP($A204,'Base SKUs'!$E:$E,'Base SKUs'!D:D),"")</f>
        <v>Hardwoods</v>
      </c>
      <c r="M204" t="str">
        <f>IFERROR(_xlfn.XLOOKUP($A204,'Base SKUs'!$E:$E,'Base SKUs'!G:G),"")</f>
        <v>Cumaru</v>
      </c>
      <c r="N204" t="str">
        <f>IFERROR(_xlfn.XLOOKUP($A204,'Base SKUs'!$E:$E,'Base SKUs'!H:H),"")</f>
        <v>S4S E4E</v>
      </c>
      <c r="O204" t="str">
        <f>IFERROR(_xlfn.XLOOKUP($A204,'Base SKUs'!$E:$E,'Base SKUs'!I:I),"")</f>
        <v>-</v>
      </c>
      <c r="P204" t="str">
        <f>IFERROR(_xlfn.XLOOKUP($A204,'Base SKUs'!$E:$E,'Base SKUs'!J:J),"")</f>
        <v>21x145</v>
      </c>
      <c r="Q204">
        <f>IFERROR(_xlfn.XLOOKUP($A204,'Base SKUs'!$E:$E,'Base SKUs'!K:K),"")</f>
        <v>19</v>
      </c>
      <c r="R204" s="7">
        <f>IFERROR(_xlfn.XLOOKUP($A204,'Base SKUs'!$E:$E,'Base SKUs'!S:S),"")</f>
        <v>1.7634204000000001E-2</v>
      </c>
      <c r="S204" s="8">
        <f t="shared" si="17"/>
        <v>0</v>
      </c>
      <c r="T204" s="7">
        <f>IFERROR(_xlfn.XLOOKUP($A204,'Base SKUs'!$E:$E,'Base SKUs'!R:R),"")</f>
        <v>1077.452</v>
      </c>
      <c r="U204" s="15">
        <f t="shared" si="18"/>
        <v>0</v>
      </c>
      <c r="V204" t="str">
        <f t="shared" si="19"/>
        <v>Texas</v>
      </c>
    </row>
    <row r="205" spans="1:22" x14ac:dyDescent="0.2">
      <c r="A205" t="s">
        <v>386</v>
      </c>
      <c r="B205" s="5">
        <v>53</v>
      </c>
      <c r="C205" s="5">
        <v>53</v>
      </c>
      <c r="D205" s="5">
        <f t="shared" si="15"/>
        <v>0</v>
      </c>
      <c r="E205" s="6">
        <v>37.765999999999998</v>
      </c>
      <c r="F205" s="6">
        <f t="shared" si="16"/>
        <v>2001.598</v>
      </c>
      <c r="G205" t="s">
        <v>17</v>
      </c>
      <c r="H205">
        <v>9007</v>
      </c>
      <c r="I205" t="str">
        <f>IFERROR(_xlfn.XLOOKUP($A205,'Base SKUs'!$E:$E,'Base SKUs'!A:A),"")</f>
        <v>Cumaru</v>
      </c>
      <c r="J205" t="str">
        <f>IFERROR(_xlfn.XLOOKUP($A205,'Base SKUs'!$E:$E,'Base SKUs'!B:B),"")</f>
        <v>Cumaru 21x145</v>
      </c>
      <c r="K205" t="str">
        <f>IFERROR(_xlfn.XLOOKUP($A205,'Base SKUs'!$E:$E,'Base SKUs'!C:C),"")</f>
        <v>Long</v>
      </c>
      <c r="L205" t="str">
        <f>IFERROR(_xlfn.XLOOKUP($A205,'Base SKUs'!$E:$E,'Base SKUs'!D:D),"")</f>
        <v>Hardwoods</v>
      </c>
      <c r="M205" t="str">
        <f>IFERROR(_xlfn.XLOOKUP($A205,'Base SKUs'!$E:$E,'Base SKUs'!G:G),"")</f>
        <v>Cumaru</v>
      </c>
      <c r="N205" t="str">
        <f>IFERROR(_xlfn.XLOOKUP($A205,'Base SKUs'!$E:$E,'Base SKUs'!H:H),"")</f>
        <v>S4S E4E</v>
      </c>
      <c r="O205" t="str">
        <f>IFERROR(_xlfn.XLOOKUP($A205,'Base SKUs'!$E:$E,'Base SKUs'!I:I),"")</f>
        <v>-</v>
      </c>
      <c r="P205" t="str">
        <f>IFERROR(_xlfn.XLOOKUP($A205,'Base SKUs'!$E:$E,'Base SKUs'!J:J),"")</f>
        <v>21x145</v>
      </c>
      <c r="Q205">
        <f>IFERROR(_xlfn.XLOOKUP($A205,'Base SKUs'!$E:$E,'Base SKUs'!K:K),"")</f>
        <v>20</v>
      </c>
      <c r="R205" s="7">
        <f>IFERROR(_xlfn.XLOOKUP($A205,'Base SKUs'!$E:$E,'Base SKUs'!S:S),"")</f>
        <v>1.856232E-2</v>
      </c>
      <c r="S205" s="8">
        <f t="shared" si="17"/>
        <v>0</v>
      </c>
      <c r="T205" s="7">
        <f>IFERROR(_xlfn.XLOOKUP($A205,'Base SKUs'!$E:$E,'Base SKUs'!R:R),"")</f>
        <v>1077.452</v>
      </c>
      <c r="U205" s="15">
        <f t="shared" si="18"/>
        <v>0</v>
      </c>
      <c r="V205" t="str">
        <f t="shared" si="19"/>
        <v>Miami</v>
      </c>
    </row>
    <row r="206" spans="1:22" x14ac:dyDescent="0.2">
      <c r="A206" t="s">
        <v>386</v>
      </c>
      <c r="B206" s="5">
        <v>224</v>
      </c>
      <c r="C206" s="5">
        <v>224</v>
      </c>
      <c r="D206" s="5">
        <f t="shared" si="15"/>
        <v>0</v>
      </c>
      <c r="E206" s="6">
        <v>37.765999999999998</v>
      </c>
      <c r="F206" s="6">
        <f t="shared" si="16"/>
        <v>8459.5839999999989</v>
      </c>
      <c r="G206" t="s">
        <v>24</v>
      </c>
      <c r="H206">
        <v>9008</v>
      </c>
      <c r="I206" t="str">
        <f>IFERROR(_xlfn.XLOOKUP($A206,'Base SKUs'!$E:$E,'Base SKUs'!A:A),"")</f>
        <v>Cumaru</v>
      </c>
      <c r="J206" t="str">
        <f>IFERROR(_xlfn.XLOOKUP($A206,'Base SKUs'!$E:$E,'Base SKUs'!B:B),"")</f>
        <v>Cumaru 21x145</v>
      </c>
      <c r="K206" t="str">
        <f>IFERROR(_xlfn.XLOOKUP($A206,'Base SKUs'!$E:$E,'Base SKUs'!C:C),"")</f>
        <v>Long</v>
      </c>
      <c r="L206" t="str">
        <f>IFERROR(_xlfn.XLOOKUP($A206,'Base SKUs'!$E:$E,'Base SKUs'!D:D),"")</f>
        <v>Hardwoods</v>
      </c>
      <c r="M206" t="str">
        <f>IFERROR(_xlfn.XLOOKUP($A206,'Base SKUs'!$E:$E,'Base SKUs'!G:G),"")</f>
        <v>Cumaru</v>
      </c>
      <c r="N206" t="str">
        <f>IFERROR(_xlfn.XLOOKUP($A206,'Base SKUs'!$E:$E,'Base SKUs'!H:H),"")</f>
        <v>S4S E4E</v>
      </c>
      <c r="O206" t="str">
        <f>IFERROR(_xlfn.XLOOKUP($A206,'Base SKUs'!$E:$E,'Base SKUs'!I:I),"")</f>
        <v>-</v>
      </c>
      <c r="P206" t="str">
        <f>IFERROR(_xlfn.XLOOKUP($A206,'Base SKUs'!$E:$E,'Base SKUs'!J:J),"")</f>
        <v>21x145</v>
      </c>
      <c r="Q206">
        <f>IFERROR(_xlfn.XLOOKUP($A206,'Base SKUs'!$E:$E,'Base SKUs'!K:K),"")</f>
        <v>20</v>
      </c>
      <c r="R206" s="7">
        <f>IFERROR(_xlfn.XLOOKUP($A206,'Base SKUs'!$E:$E,'Base SKUs'!S:S),"")</f>
        <v>1.856232E-2</v>
      </c>
      <c r="S206" s="8">
        <f t="shared" si="17"/>
        <v>0</v>
      </c>
      <c r="T206" s="7">
        <f>IFERROR(_xlfn.XLOOKUP($A206,'Base SKUs'!$E:$E,'Base SKUs'!R:R),"")</f>
        <v>1077.452</v>
      </c>
      <c r="U206" s="15">
        <f t="shared" si="18"/>
        <v>0</v>
      </c>
      <c r="V206" t="str">
        <f t="shared" si="19"/>
        <v>Texas</v>
      </c>
    </row>
    <row r="207" spans="1:22" x14ac:dyDescent="0.2">
      <c r="A207" t="s">
        <v>388</v>
      </c>
      <c r="B207" s="5">
        <v>198</v>
      </c>
      <c r="C207" s="5">
        <v>198</v>
      </c>
      <c r="D207" s="5">
        <f t="shared" si="15"/>
        <v>0</v>
      </c>
      <c r="E207" s="6">
        <v>4.4569999999999999</v>
      </c>
      <c r="F207" s="6">
        <f t="shared" si="16"/>
        <v>882.48599999999999</v>
      </c>
      <c r="G207" t="s">
        <v>24</v>
      </c>
      <c r="H207">
        <v>9008</v>
      </c>
      <c r="I207" t="str">
        <f>IFERROR(_xlfn.XLOOKUP($A207,'Base SKUs'!$E:$E,'Base SKUs'!A:A),"")</f>
        <v>Cumaru</v>
      </c>
      <c r="J207" t="str">
        <f>IFERROR(_xlfn.XLOOKUP($A207,'Base SKUs'!$E:$E,'Base SKUs'!B:B),"")</f>
        <v>Cumaru 21x145</v>
      </c>
      <c r="K207" t="str">
        <f>IFERROR(_xlfn.XLOOKUP($A207,'Base SKUs'!$E:$E,'Base SKUs'!C:C),"")</f>
        <v>Short</v>
      </c>
      <c r="L207" t="str">
        <f>IFERROR(_xlfn.XLOOKUP($A207,'Base SKUs'!$E:$E,'Base SKUs'!D:D),"")</f>
        <v>Hardwoods</v>
      </c>
      <c r="M207" t="str">
        <f>IFERROR(_xlfn.XLOOKUP($A207,'Base SKUs'!$E:$E,'Base SKUs'!G:G),"")</f>
        <v>Cumaru</v>
      </c>
      <c r="N207" t="str">
        <f>IFERROR(_xlfn.XLOOKUP($A207,'Base SKUs'!$E:$E,'Base SKUs'!H:H),"")</f>
        <v>S4S E4E</v>
      </c>
      <c r="O207" t="str">
        <f>IFERROR(_xlfn.XLOOKUP($A207,'Base SKUs'!$E:$E,'Base SKUs'!I:I),"")</f>
        <v>-</v>
      </c>
      <c r="P207" t="str">
        <f>IFERROR(_xlfn.XLOOKUP($A207,'Base SKUs'!$E:$E,'Base SKUs'!J:J),"")</f>
        <v>21x145</v>
      </c>
      <c r="Q207">
        <f>IFERROR(_xlfn.XLOOKUP($A207,'Base SKUs'!$E:$E,'Base SKUs'!K:K),"")</f>
        <v>6</v>
      </c>
      <c r="R207" s="7">
        <f>IFERROR(_xlfn.XLOOKUP($A207,'Base SKUs'!$E:$E,'Base SKUs'!S:S),"")</f>
        <v>5.5686959999999997E-3</v>
      </c>
      <c r="S207" s="8">
        <f t="shared" si="17"/>
        <v>0</v>
      </c>
      <c r="T207" s="7">
        <f>IFERROR(_xlfn.XLOOKUP($A207,'Base SKUs'!$E:$E,'Base SKUs'!R:R),"")</f>
        <v>1077.452</v>
      </c>
      <c r="U207" s="15">
        <f t="shared" si="18"/>
        <v>0</v>
      </c>
      <c r="V207" t="str">
        <f t="shared" si="19"/>
        <v>Texas</v>
      </c>
    </row>
    <row r="208" spans="1:22" x14ac:dyDescent="0.2">
      <c r="A208" t="s">
        <v>390</v>
      </c>
      <c r="B208" s="5">
        <v>140</v>
      </c>
      <c r="C208" s="5">
        <v>140</v>
      </c>
      <c r="D208" s="5">
        <f t="shared" si="15"/>
        <v>0</v>
      </c>
      <c r="E208" s="6">
        <v>5.1997999999999998</v>
      </c>
      <c r="F208" s="6">
        <f t="shared" si="16"/>
        <v>727.97199999999998</v>
      </c>
      <c r="G208" t="s">
        <v>24</v>
      </c>
      <c r="H208">
        <v>9008</v>
      </c>
      <c r="I208" t="str">
        <f>IFERROR(_xlfn.XLOOKUP($A208,'Base SKUs'!$E:$E,'Base SKUs'!A:A),"")</f>
        <v>Cumaru</v>
      </c>
      <c r="J208" t="str">
        <f>IFERROR(_xlfn.XLOOKUP($A208,'Base SKUs'!$E:$E,'Base SKUs'!B:B),"")</f>
        <v>Cumaru 21x145</v>
      </c>
      <c r="K208" t="str">
        <f>IFERROR(_xlfn.XLOOKUP($A208,'Base SKUs'!$E:$E,'Base SKUs'!C:C),"")</f>
        <v>Short</v>
      </c>
      <c r="L208" t="str">
        <f>IFERROR(_xlfn.XLOOKUP($A208,'Base SKUs'!$E:$E,'Base SKUs'!D:D),"")</f>
        <v>Hardwoods</v>
      </c>
      <c r="M208" t="str">
        <f>IFERROR(_xlfn.XLOOKUP($A208,'Base SKUs'!$E:$E,'Base SKUs'!G:G),"")</f>
        <v>Cumaru</v>
      </c>
      <c r="N208" t="str">
        <f>IFERROR(_xlfn.XLOOKUP($A208,'Base SKUs'!$E:$E,'Base SKUs'!H:H),"")</f>
        <v>S4S E4E</v>
      </c>
      <c r="O208" t="str">
        <f>IFERROR(_xlfn.XLOOKUP($A208,'Base SKUs'!$E:$E,'Base SKUs'!I:I),"")</f>
        <v>-</v>
      </c>
      <c r="P208" t="str">
        <f>IFERROR(_xlfn.XLOOKUP($A208,'Base SKUs'!$E:$E,'Base SKUs'!J:J),"")</f>
        <v>21x145</v>
      </c>
      <c r="Q208">
        <f>IFERROR(_xlfn.XLOOKUP($A208,'Base SKUs'!$E:$E,'Base SKUs'!K:K),"")</f>
        <v>7</v>
      </c>
      <c r="R208" s="7">
        <f>IFERROR(_xlfn.XLOOKUP($A208,'Base SKUs'!$E:$E,'Base SKUs'!S:S),"")</f>
        <v>6.4968120000000002E-3</v>
      </c>
      <c r="S208" s="8">
        <f t="shared" si="17"/>
        <v>0</v>
      </c>
      <c r="T208" s="7">
        <f>IFERROR(_xlfn.XLOOKUP($A208,'Base SKUs'!$E:$E,'Base SKUs'!R:R),"")</f>
        <v>1077.452</v>
      </c>
      <c r="U208" s="15">
        <f t="shared" si="18"/>
        <v>0</v>
      </c>
      <c r="V208" t="str">
        <f t="shared" si="19"/>
        <v>Texas</v>
      </c>
    </row>
    <row r="209" spans="1:22" x14ac:dyDescent="0.2">
      <c r="A209" t="s">
        <v>392</v>
      </c>
      <c r="B209" s="5">
        <v>420</v>
      </c>
      <c r="C209" s="5">
        <v>420</v>
      </c>
      <c r="D209" s="5">
        <f t="shared" si="15"/>
        <v>0</v>
      </c>
      <c r="E209" s="6">
        <v>12.619300000000001</v>
      </c>
      <c r="F209" s="6">
        <f t="shared" si="16"/>
        <v>5300.1060000000007</v>
      </c>
      <c r="G209" t="s">
        <v>24</v>
      </c>
      <c r="H209">
        <v>9008</v>
      </c>
      <c r="I209" t="str">
        <f>IFERROR(_xlfn.XLOOKUP($A209,'Base SKUs'!$E:$E,'Base SKUs'!A:A),"")</f>
        <v>Cumaru</v>
      </c>
      <c r="J209" t="str">
        <f>IFERROR(_xlfn.XLOOKUP($A209,'Base SKUs'!$E:$E,'Base SKUs'!B:B),"")</f>
        <v>Cumaru 21x145</v>
      </c>
      <c r="K209" t="str">
        <f>IFERROR(_xlfn.XLOOKUP($A209,'Base SKUs'!$E:$E,'Base SKUs'!C:C),"")</f>
        <v>Long</v>
      </c>
      <c r="L209" t="str">
        <f>IFERROR(_xlfn.XLOOKUP($A209,'Base SKUs'!$E:$E,'Base SKUs'!D:D),"")</f>
        <v>Hardwoods</v>
      </c>
      <c r="M209" t="str">
        <f>IFERROR(_xlfn.XLOOKUP($A209,'Base SKUs'!$E:$E,'Base SKUs'!G:G),"")</f>
        <v>Cumaru</v>
      </c>
      <c r="N209" t="str">
        <f>IFERROR(_xlfn.XLOOKUP($A209,'Base SKUs'!$E:$E,'Base SKUs'!H:H),"")</f>
        <v>S4S E4E</v>
      </c>
      <c r="O209" t="str">
        <f>IFERROR(_xlfn.XLOOKUP($A209,'Base SKUs'!$E:$E,'Base SKUs'!I:I),"")</f>
        <v>-</v>
      </c>
      <c r="P209" t="str">
        <f>IFERROR(_xlfn.XLOOKUP($A209,'Base SKUs'!$E:$E,'Base SKUs'!J:J),"")</f>
        <v>21x145</v>
      </c>
      <c r="Q209">
        <f>IFERROR(_xlfn.XLOOKUP($A209,'Base SKUs'!$E:$E,'Base SKUs'!K:K),"")</f>
        <v>8</v>
      </c>
      <c r="R209" s="7">
        <f>IFERROR(_xlfn.XLOOKUP($A209,'Base SKUs'!$E:$E,'Base SKUs'!S:S),"")</f>
        <v>7.4249279999999999E-3</v>
      </c>
      <c r="S209" s="8">
        <f t="shared" si="17"/>
        <v>0</v>
      </c>
      <c r="T209" s="7">
        <f>IFERROR(_xlfn.XLOOKUP($A209,'Base SKUs'!$E:$E,'Base SKUs'!R:R),"")</f>
        <v>1077.452</v>
      </c>
      <c r="U209" s="15">
        <f t="shared" si="18"/>
        <v>0</v>
      </c>
      <c r="V209" t="str">
        <f t="shared" si="19"/>
        <v>Texas</v>
      </c>
    </row>
    <row r="210" spans="1:22" x14ac:dyDescent="0.2">
      <c r="A210" t="s">
        <v>394</v>
      </c>
      <c r="B210" s="5">
        <v>166</v>
      </c>
      <c r="C210" s="5">
        <v>0</v>
      </c>
      <c r="D210" s="5">
        <f t="shared" si="15"/>
        <v>166</v>
      </c>
      <c r="E210" s="6">
        <v>14.1968</v>
      </c>
      <c r="F210" s="6">
        <f t="shared" si="16"/>
        <v>2356.6687999999999</v>
      </c>
      <c r="G210" t="s">
        <v>17</v>
      </c>
      <c r="H210">
        <v>9007</v>
      </c>
      <c r="I210" t="str">
        <f>IFERROR(_xlfn.XLOOKUP($A210,'Base SKUs'!$E:$E,'Base SKUs'!A:A),"")</f>
        <v>Cumaru</v>
      </c>
      <c r="J210" t="str">
        <f>IFERROR(_xlfn.XLOOKUP($A210,'Base SKUs'!$E:$E,'Base SKUs'!B:B),"")</f>
        <v>Cumaru 21x145</v>
      </c>
      <c r="K210" t="str">
        <f>IFERROR(_xlfn.XLOOKUP($A210,'Base SKUs'!$E:$E,'Base SKUs'!C:C),"")</f>
        <v>Long</v>
      </c>
      <c r="L210" t="str">
        <f>IFERROR(_xlfn.XLOOKUP($A210,'Base SKUs'!$E:$E,'Base SKUs'!D:D),"")</f>
        <v>Hardwoods</v>
      </c>
      <c r="M210" t="str">
        <f>IFERROR(_xlfn.XLOOKUP($A210,'Base SKUs'!$E:$E,'Base SKUs'!G:G),"")</f>
        <v>Cumaru</v>
      </c>
      <c r="N210" t="str">
        <f>IFERROR(_xlfn.XLOOKUP($A210,'Base SKUs'!$E:$E,'Base SKUs'!H:H),"")</f>
        <v>S4S E4E</v>
      </c>
      <c r="O210" t="str">
        <f>IFERROR(_xlfn.XLOOKUP($A210,'Base SKUs'!$E:$E,'Base SKUs'!I:I),"")</f>
        <v>-</v>
      </c>
      <c r="P210" t="str">
        <f>IFERROR(_xlfn.XLOOKUP($A210,'Base SKUs'!$E:$E,'Base SKUs'!J:J),"")</f>
        <v>21x145</v>
      </c>
      <c r="Q210">
        <f>IFERROR(_xlfn.XLOOKUP($A210,'Base SKUs'!$E:$E,'Base SKUs'!K:K),"")</f>
        <v>9</v>
      </c>
      <c r="R210" s="7">
        <f>IFERROR(_xlfn.XLOOKUP($A210,'Base SKUs'!$E:$E,'Base SKUs'!S:S),"")</f>
        <v>8.3530439999999987E-3</v>
      </c>
      <c r="S210" s="8">
        <f t="shared" si="17"/>
        <v>1.3866053039999997</v>
      </c>
      <c r="T210" s="7">
        <f>IFERROR(_xlfn.XLOOKUP($A210,'Base SKUs'!$E:$E,'Base SKUs'!R:R),"")</f>
        <v>1077.452</v>
      </c>
      <c r="U210" s="15">
        <f t="shared" si="18"/>
        <v>1494</v>
      </c>
      <c r="V210" t="str">
        <f t="shared" si="19"/>
        <v>Miami</v>
      </c>
    </row>
    <row r="211" spans="1:22" x14ac:dyDescent="0.2">
      <c r="A211" t="s">
        <v>394</v>
      </c>
      <c r="B211" s="5">
        <v>280</v>
      </c>
      <c r="C211" s="5">
        <v>280</v>
      </c>
      <c r="D211" s="5">
        <f t="shared" si="15"/>
        <v>0</v>
      </c>
      <c r="E211" s="6">
        <v>14.1968</v>
      </c>
      <c r="F211" s="6">
        <f t="shared" si="16"/>
        <v>3975.1039999999998</v>
      </c>
      <c r="G211" t="s">
        <v>24</v>
      </c>
      <c r="H211">
        <v>9008</v>
      </c>
      <c r="I211" t="str">
        <f>IFERROR(_xlfn.XLOOKUP($A211,'Base SKUs'!$E:$E,'Base SKUs'!A:A),"")</f>
        <v>Cumaru</v>
      </c>
      <c r="J211" t="str">
        <f>IFERROR(_xlfn.XLOOKUP($A211,'Base SKUs'!$E:$E,'Base SKUs'!B:B),"")</f>
        <v>Cumaru 21x145</v>
      </c>
      <c r="K211" t="str">
        <f>IFERROR(_xlfn.XLOOKUP($A211,'Base SKUs'!$E:$E,'Base SKUs'!C:C),"")</f>
        <v>Long</v>
      </c>
      <c r="L211" t="str">
        <f>IFERROR(_xlfn.XLOOKUP($A211,'Base SKUs'!$E:$E,'Base SKUs'!D:D),"")</f>
        <v>Hardwoods</v>
      </c>
      <c r="M211" t="str">
        <f>IFERROR(_xlfn.XLOOKUP($A211,'Base SKUs'!$E:$E,'Base SKUs'!G:G),"")</f>
        <v>Cumaru</v>
      </c>
      <c r="N211" t="str">
        <f>IFERROR(_xlfn.XLOOKUP($A211,'Base SKUs'!$E:$E,'Base SKUs'!H:H),"")</f>
        <v>S4S E4E</v>
      </c>
      <c r="O211" t="str">
        <f>IFERROR(_xlfn.XLOOKUP($A211,'Base SKUs'!$E:$E,'Base SKUs'!I:I),"")</f>
        <v>-</v>
      </c>
      <c r="P211" t="str">
        <f>IFERROR(_xlfn.XLOOKUP($A211,'Base SKUs'!$E:$E,'Base SKUs'!J:J),"")</f>
        <v>21x145</v>
      </c>
      <c r="Q211">
        <f>IFERROR(_xlfn.XLOOKUP($A211,'Base SKUs'!$E:$E,'Base SKUs'!K:K),"")</f>
        <v>9</v>
      </c>
      <c r="R211" s="7">
        <f>IFERROR(_xlfn.XLOOKUP($A211,'Base SKUs'!$E:$E,'Base SKUs'!S:S),"")</f>
        <v>8.3530439999999987E-3</v>
      </c>
      <c r="S211" s="8">
        <f t="shared" si="17"/>
        <v>0</v>
      </c>
      <c r="T211" s="7">
        <f>IFERROR(_xlfn.XLOOKUP($A211,'Base SKUs'!$E:$E,'Base SKUs'!R:R),"")</f>
        <v>1077.452</v>
      </c>
      <c r="U211" s="15">
        <f t="shared" si="18"/>
        <v>0</v>
      </c>
      <c r="V211" t="str">
        <f t="shared" si="19"/>
        <v>Texas</v>
      </c>
    </row>
    <row r="212" spans="1:22" x14ac:dyDescent="0.2">
      <c r="A212" t="s">
        <v>396</v>
      </c>
      <c r="B212" s="5">
        <v>27</v>
      </c>
      <c r="C212" s="5">
        <v>0</v>
      </c>
      <c r="D212" s="5">
        <f t="shared" si="15"/>
        <v>27</v>
      </c>
      <c r="E212" s="6">
        <v>12.395</v>
      </c>
      <c r="F212" s="6">
        <f t="shared" si="16"/>
        <v>334.66499999999996</v>
      </c>
      <c r="G212" t="s">
        <v>17</v>
      </c>
      <c r="H212">
        <v>9007</v>
      </c>
      <c r="I212" t="str">
        <f>IFERROR(_xlfn.XLOOKUP($A212,'Base SKUs'!$E:$E,'Base SKUs'!A:A),"")</f>
        <v>Cumaru</v>
      </c>
      <c r="J212" t="str">
        <f>IFERROR(_xlfn.XLOOKUP($A212,'Base SKUs'!$E:$E,'Base SKUs'!B:B),"")</f>
        <v>Cumaru 2x3</v>
      </c>
      <c r="K212" t="str">
        <f>IFERROR(_xlfn.XLOOKUP($A212,'Base SKUs'!$E:$E,'Base SKUs'!C:C),"")</f>
        <v>Long</v>
      </c>
      <c r="L212" t="str">
        <f>IFERROR(_xlfn.XLOOKUP($A212,'Base SKUs'!$E:$E,'Base SKUs'!D:D),"")</f>
        <v>Hardwoods</v>
      </c>
      <c r="M212" t="str">
        <f>IFERROR(_xlfn.XLOOKUP($A212,'Base SKUs'!$E:$E,'Base SKUs'!G:G),"")</f>
        <v>Cumaru</v>
      </c>
      <c r="N212" t="str">
        <f>IFERROR(_xlfn.XLOOKUP($A212,'Base SKUs'!$E:$E,'Base SKUs'!H:H),"")</f>
        <v>S4S E4E</v>
      </c>
      <c r="O212" t="str">
        <f>IFERROR(_xlfn.XLOOKUP($A212,'Base SKUs'!$E:$E,'Base SKUs'!I:I),"")</f>
        <v>-</v>
      </c>
      <c r="P212" t="str">
        <f>IFERROR(_xlfn.XLOOKUP($A212,'Base SKUs'!$E:$E,'Base SKUs'!J:J),"")</f>
        <v>2x3</v>
      </c>
      <c r="Q212">
        <f>IFERROR(_xlfn.XLOOKUP($A212,'Base SKUs'!$E:$E,'Base SKUs'!K:K),"")</f>
        <v>10</v>
      </c>
      <c r="R212" s="7">
        <f>IFERROR(_xlfn.XLOOKUP($A212,'Base SKUs'!$E:$E,'Base SKUs'!S:S),"")</f>
        <v>8.8490145600000018E-3</v>
      </c>
      <c r="S212" s="8">
        <f t="shared" si="17"/>
        <v>0.23892339312000005</v>
      </c>
      <c r="T212" s="7">
        <f>IFERROR(_xlfn.XLOOKUP($A212,'Base SKUs'!$E:$E,'Base SKUs'!R:R),"")</f>
        <v>1130.069</v>
      </c>
      <c r="U212" s="15">
        <f t="shared" si="18"/>
        <v>270</v>
      </c>
      <c r="V212" t="str">
        <f t="shared" si="19"/>
        <v>Miami</v>
      </c>
    </row>
    <row r="213" spans="1:22" x14ac:dyDescent="0.2">
      <c r="A213" t="s">
        <v>398</v>
      </c>
      <c r="B213" s="5">
        <v>101</v>
      </c>
      <c r="C213" s="5">
        <v>0</v>
      </c>
      <c r="D213" s="5">
        <f t="shared" si="15"/>
        <v>101</v>
      </c>
      <c r="E213" s="6">
        <v>14.874000000000001</v>
      </c>
      <c r="F213" s="6">
        <f t="shared" si="16"/>
        <v>1502.2740000000001</v>
      </c>
      <c r="G213" t="s">
        <v>17</v>
      </c>
      <c r="H213">
        <v>9007</v>
      </c>
      <c r="I213" t="str">
        <f>IFERROR(_xlfn.XLOOKUP($A213,'Base SKUs'!$E:$E,'Base SKUs'!A:A),"")</f>
        <v>Cumaru</v>
      </c>
      <c r="J213" t="str">
        <f>IFERROR(_xlfn.XLOOKUP($A213,'Base SKUs'!$E:$E,'Base SKUs'!B:B),"")</f>
        <v>Cumaru 2x3</v>
      </c>
      <c r="K213" t="str">
        <f>IFERROR(_xlfn.XLOOKUP($A213,'Base SKUs'!$E:$E,'Base SKUs'!C:C),"")</f>
        <v>Long</v>
      </c>
      <c r="L213" t="str">
        <f>IFERROR(_xlfn.XLOOKUP($A213,'Base SKUs'!$E:$E,'Base SKUs'!D:D),"")</f>
        <v>Hardwoods</v>
      </c>
      <c r="M213" t="str">
        <f>IFERROR(_xlfn.XLOOKUP($A213,'Base SKUs'!$E:$E,'Base SKUs'!G:G),"")</f>
        <v>Cumaru</v>
      </c>
      <c r="N213" t="str">
        <f>IFERROR(_xlfn.XLOOKUP($A213,'Base SKUs'!$E:$E,'Base SKUs'!H:H),"")</f>
        <v>S4S E4E</v>
      </c>
      <c r="O213" t="str">
        <f>IFERROR(_xlfn.XLOOKUP($A213,'Base SKUs'!$E:$E,'Base SKUs'!I:I),"")</f>
        <v>-</v>
      </c>
      <c r="P213" t="str">
        <f>IFERROR(_xlfn.XLOOKUP($A213,'Base SKUs'!$E:$E,'Base SKUs'!J:J),"")</f>
        <v>2x3</v>
      </c>
      <c r="Q213">
        <f>IFERROR(_xlfn.XLOOKUP($A213,'Base SKUs'!$E:$E,'Base SKUs'!K:K),"")</f>
        <v>12</v>
      </c>
      <c r="R213" s="7">
        <f>IFERROR(_xlfn.XLOOKUP($A213,'Base SKUs'!$E:$E,'Base SKUs'!S:S),"")</f>
        <v>1.0618817472000001E-2</v>
      </c>
      <c r="S213" s="8">
        <f t="shared" si="17"/>
        <v>1.0725005646720001</v>
      </c>
      <c r="T213" s="7">
        <f>IFERROR(_xlfn.XLOOKUP($A213,'Base SKUs'!$E:$E,'Base SKUs'!R:R),"")</f>
        <v>1130.069</v>
      </c>
      <c r="U213" s="15">
        <f t="shared" si="18"/>
        <v>1212</v>
      </c>
      <c r="V213" t="str">
        <f t="shared" si="19"/>
        <v>Miami</v>
      </c>
    </row>
    <row r="214" spans="1:22" x14ac:dyDescent="0.2">
      <c r="A214" t="s">
        <v>400</v>
      </c>
      <c r="B214" s="5">
        <v>15</v>
      </c>
      <c r="C214" s="5">
        <v>0</v>
      </c>
      <c r="D214" s="5">
        <f t="shared" si="15"/>
        <v>15</v>
      </c>
      <c r="E214" s="6">
        <v>7.4665999999999997</v>
      </c>
      <c r="F214" s="6">
        <f t="shared" si="16"/>
        <v>111.999</v>
      </c>
      <c r="G214" t="s">
        <v>17</v>
      </c>
      <c r="H214">
        <v>9007</v>
      </c>
      <c r="I214" t="str">
        <f>IFERROR(_xlfn.XLOOKUP($A214,'Base SKUs'!$E:$E,'Base SKUs'!A:A),"")</f>
        <v>Cumaru</v>
      </c>
      <c r="J214" t="str">
        <f>IFERROR(_xlfn.XLOOKUP($A214,'Base SKUs'!$E:$E,'Base SKUs'!B:B),"")</f>
        <v>Cumaru 2x3</v>
      </c>
      <c r="K214" t="str">
        <f>IFERROR(_xlfn.XLOOKUP($A214,'Base SKUs'!$E:$E,'Base SKUs'!C:C),"")</f>
        <v>Short</v>
      </c>
      <c r="L214" t="str">
        <f>IFERROR(_xlfn.XLOOKUP($A214,'Base SKUs'!$E:$E,'Base SKUs'!D:D),"")</f>
        <v>Hardwoods</v>
      </c>
      <c r="M214" t="str">
        <f>IFERROR(_xlfn.XLOOKUP($A214,'Base SKUs'!$E:$E,'Base SKUs'!G:G),"")</f>
        <v>Cumaru</v>
      </c>
      <c r="N214" t="str">
        <f>IFERROR(_xlfn.XLOOKUP($A214,'Base SKUs'!$E:$E,'Base SKUs'!H:H),"")</f>
        <v>S4S E4E</v>
      </c>
      <c r="O214" t="str">
        <f>IFERROR(_xlfn.XLOOKUP($A214,'Base SKUs'!$E:$E,'Base SKUs'!I:I),"")</f>
        <v>-</v>
      </c>
      <c r="P214" t="str">
        <f>IFERROR(_xlfn.XLOOKUP($A214,'Base SKUs'!$E:$E,'Base SKUs'!J:J),"")</f>
        <v>2x3</v>
      </c>
      <c r="Q214">
        <f>IFERROR(_xlfn.XLOOKUP($A214,'Base SKUs'!$E:$E,'Base SKUs'!K:K),"")</f>
        <v>6</v>
      </c>
      <c r="R214" s="7">
        <f>IFERROR(_xlfn.XLOOKUP($A214,'Base SKUs'!$E:$E,'Base SKUs'!S:S),"")</f>
        <v>5.3094087360000004E-3</v>
      </c>
      <c r="S214" s="8">
        <f t="shared" si="17"/>
        <v>7.9641131040000007E-2</v>
      </c>
      <c r="T214" s="7">
        <f>IFERROR(_xlfn.XLOOKUP($A214,'Base SKUs'!$E:$E,'Base SKUs'!R:R),"")</f>
        <v>1130.069</v>
      </c>
      <c r="U214" s="15">
        <f t="shared" si="18"/>
        <v>90</v>
      </c>
      <c r="V214" t="str">
        <f t="shared" si="19"/>
        <v>Miami</v>
      </c>
    </row>
    <row r="215" spans="1:22" x14ac:dyDescent="0.2">
      <c r="A215" t="s">
        <v>402</v>
      </c>
      <c r="B215" s="5">
        <v>10</v>
      </c>
      <c r="C215" s="5">
        <v>0</v>
      </c>
      <c r="D215" s="5">
        <f t="shared" si="15"/>
        <v>10</v>
      </c>
      <c r="E215" s="6">
        <v>9.9160000000000004</v>
      </c>
      <c r="F215" s="6">
        <f t="shared" si="16"/>
        <v>99.16</v>
      </c>
      <c r="G215" t="s">
        <v>17</v>
      </c>
      <c r="H215">
        <v>9007</v>
      </c>
      <c r="I215" t="str">
        <f>IFERROR(_xlfn.XLOOKUP($A215,'Base SKUs'!$E:$E,'Base SKUs'!A:A),"")</f>
        <v>Cumaru</v>
      </c>
      <c r="J215" t="str">
        <f>IFERROR(_xlfn.XLOOKUP($A215,'Base SKUs'!$E:$E,'Base SKUs'!B:B),"")</f>
        <v>Cumaru 2x3</v>
      </c>
      <c r="K215" t="str">
        <f>IFERROR(_xlfn.XLOOKUP($A215,'Base SKUs'!$E:$E,'Base SKUs'!C:C),"")</f>
        <v>Long</v>
      </c>
      <c r="L215" t="str">
        <f>IFERROR(_xlfn.XLOOKUP($A215,'Base SKUs'!$E:$E,'Base SKUs'!D:D),"")</f>
        <v>Hardwoods</v>
      </c>
      <c r="M215" t="str">
        <f>IFERROR(_xlfn.XLOOKUP($A215,'Base SKUs'!$E:$E,'Base SKUs'!G:G),"")</f>
        <v>Cumaru</v>
      </c>
      <c r="N215" t="str">
        <f>IFERROR(_xlfn.XLOOKUP($A215,'Base SKUs'!$E:$E,'Base SKUs'!H:H),"")</f>
        <v>S4S E4E</v>
      </c>
      <c r="O215" t="str">
        <f>IFERROR(_xlfn.XLOOKUP($A215,'Base SKUs'!$E:$E,'Base SKUs'!I:I),"")</f>
        <v>-</v>
      </c>
      <c r="P215" t="str">
        <f>IFERROR(_xlfn.XLOOKUP($A215,'Base SKUs'!$E:$E,'Base SKUs'!J:J),"")</f>
        <v>2x3</v>
      </c>
      <c r="Q215">
        <f>IFERROR(_xlfn.XLOOKUP($A215,'Base SKUs'!$E:$E,'Base SKUs'!K:K),"")</f>
        <v>8</v>
      </c>
      <c r="R215" s="7">
        <f>IFERROR(_xlfn.XLOOKUP($A215,'Base SKUs'!$E:$E,'Base SKUs'!S:S),"")</f>
        <v>7.0792116480000011E-3</v>
      </c>
      <c r="S215" s="8">
        <f t="shared" si="17"/>
        <v>7.0792116480000014E-2</v>
      </c>
      <c r="T215" s="7">
        <f>IFERROR(_xlfn.XLOOKUP($A215,'Base SKUs'!$E:$E,'Base SKUs'!R:R),"")</f>
        <v>1130.069</v>
      </c>
      <c r="U215" s="15">
        <f t="shared" si="18"/>
        <v>80</v>
      </c>
      <c r="V215" t="str">
        <f t="shared" si="19"/>
        <v>Miami</v>
      </c>
    </row>
    <row r="216" spans="1:22" x14ac:dyDescent="0.2">
      <c r="A216" t="s">
        <v>404</v>
      </c>
      <c r="B216" s="5">
        <v>319</v>
      </c>
      <c r="C216" s="5">
        <v>0</v>
      </c>
      <c r="D216" s="5">
        <f t="shared" si="15"/>
        <v>319</v>
      </c>
      <c r="E216" s="6">
        <v>15.484299999999999</v>
      </c>
      <c r="F216" s="6">
        <f t="shared" si="16"/>
        <v>4939.4916999999996</v>
      </c>
      <c r="G216" t="s">
        <v>330</v>
      </c>
      <c r="H216">
        <v>9011</v>
      </c>
      <c r="I216" t="str">
        <f>IFERROR(_xlfn.XLOOKUP($A216,'Base SKUs'!$E:$E,'Base SKUs'!A:A),"")</f>
        <v>Cumaru</v>
      </c>
      <c r="J216" t="str">
        <f>IFERROR(_xlfn.XLOOKUP($A216,'Base SKUs'!$E:$E,'Base SKUs'!B:B),"")</f>
        <v>Cumaru 2x4</v>
      </c>
      <c r="K216" t="str">
        <f>IFERROR(_xlfn.XLOOKUP($A216,'Base SKUs'!$E:$E,'Base SKUs'!C:C),"")</f>
        <v>Long</v>
      </c>
      <c r="L216" t="str">
        <f>IFERROR(_xlfn.XLOOKUP($A216,'Base SKUs'!$E:$E,'Base SKUs'!D:D),"")</f>
        <v>Hardwoods</v>
      </c>
      <c r="M216" t="str">
        <f>IFERROR(_xlfn.XLOOKUP($A216,'Base SKUs'!$E:$E,'Base SKUs'!G:G),"")</f>
        <v>Cumaru</v>
      </c>
      <c r="N216" t="str">
        <f>IFERROR(_xlfn.XLOOKUP($A216,'Base SKUs'!$E:$E,'Base SKUs'!H:H),"")</f>
        <v>S4S E4E</v>
      </c>
      <c r="O216" t="str">
        <f>IFERROR(_xlfn.XLOOKUP($A216,'Base SKUs'!$E:$E,'Base SKUs'!I:I),"")</f>
        <v>-</v>
      </c>
      <c r="P216" t="str">
        <f>IFERROR(_xlfn.XLOOKUP($A216,'Base SKUs'!$E:$E,'Base SKUs'!J:J),"")</f>
        <v>2x4</v>
      </c>
      <c r="Q216">
        <f>IFERROR(_xlfn.XLOOKUP($A216,'Base SKUs'!$E:$E,'Base SKUs'!K:K),"")</f>
        <v>10</v>
      </c>
      <c r="R216" s="7">
        <f>IFERROR(_xlfn.XLOOKUP($A216,'Base SKUs'!$E:$E,'Base SKUs'!S:S),"")</f>
        <v>1.0323850320000001E-2</v>
      </c>
      <c r="S216" s="8">
        <f t="shared" si="17"/>
        <v>3.2933082520800006</v>
      </c>
      <c r="T216" s="7">
        <f>IFERROR(_xlfn.XLOOKUP($A216,'Base SKUs'!$E:$E,'Base SKUs'!R:R),"")</f>
        <v>968.63099999999997</v>
      </c>
      <c r="U216" s="15">
        <f t="shared" si="18"/>
        <v>3190</v>
      </c>
      <c r="V216" t="str">
        <f t="shared" si="19"/>
        <v>New York</v>
      </c>
    </row>
    <row r="217" spans="1:22" x14ac:dyDescent="0.2">
      <c r="A217" t="s">
        <v>406</v>
      </c>
      <c r="B217" s="5">
        <v>359</v>
      </c>
      <c r="C217" s="5">
        <v>0</v>
      </c>
      <c r="D217" s="5">
        <f t="shared" si="15"/>
        <v>359</v>
      </c>
      <c r="E217" s="6">
        <v>18.581199999999999</v>
      </c>
      <c r="F217" s="6">
        <f t="shared" si="16"/>
        <v>6670.6507999999994</v>
      </c>
      <c r="G217" t="s">
        <v>330</v>
      </c>
      <c r="H217">
        <v>9011</v>
      </c>
      <c r="I217" t="str">
        <f>IFERROR(_xlfn.XLOOKUP($A217,'Base SKUs'!$E:$E,'Base SKUs'!A:A),"")</f>
        <v>Cumaru</v>
      </c>
      <c r="J217" t="str">
        <f>IFERROR(_xlfn.XLOOKUP($A217,'Base SKUs'!$E:$E,'Base SKUs'!B:B),"")</f>
        <v>Cumaru 2x4</v>
      </c>
      <c r="K217" t="str">
        <f>IFERROR(_xlfn.XLOOKUP($A217,'Base SKUs'!$E:$E,'Base SKUs'!C:C),"")</f>
        <v>Long</v>
      </c>
      <c r="L217" t="str">
        <f>IFERROR(_xlfn.XLOOKUP($A217,'Base SKUs'!$E:$E,'Base SKUs'!D:D),"")</f>
        <v>Hardwoods</v>
      </c>
      <c r="M217" t="str">
        <f>IFERROR(_xlfn.XLOOKUP($A217,'Base SKUs'!$E:$E,'Base SKUs'!G:G),"")</f>
        <v>Cumaru</v>
      </c>
      <c r="N217" t="str">
        <f>IFERROR(_xlfn.XLOOKUP($A217,'Base SKUs'!$E:$E,'Base SKUs'!H:H),"")</f>
        <v>S4S E4E</v>
      </c>
      <c r="O217" t="str">
        <f>IFERROR(_xlfn.XLOOKUP($A217,'Base SKUs'!$E:$E,'Base SKUs'!I:I),"")</f>
        <v>-</v>
      </c>
      <c r="P217" t="str">
        <f>IFERROR(_xlfn.XLOOKUP($A217,'Base SKUs'!$E:$E,'Base SKUs'!J:J),"")</f>
        <v>2x4</v>
      </c>
      <c r="Q217">
        <f>IFERROR(_xlfn.XLOOKUP($A217,'Base SKUs'!$E:$E,'Base SKUs'!K:K),"")</f>
        <v>12</v>
      </c>
      <c r="R217" s="7">
        <f>IFERROR(_xlfn.XLOOKUP($A217,'Base SKUs'!$E:$E,'Base SKUs'!S:S),"")</f>
        <v>1.2388620384E-2</v>
      </c>
      <c r="S217" s="8">
        <f t="shared" si="17"/>
        <v>4.4475147178559995</v>
      </c>
      <c r="T217" s="7">
        <f>IFERROR(_xlfn.XLOOKUP($A217,'Base SKUs'!$E:$E,'Base SKUs'!R:R),"")</f>
        <v>968.63099999999997</v>
      </c>
      <c r="U217" s="15">
        <f t="shared" si="18"/>
        <v>4308</v>
      </c>
      <c r="V217" t="str">
        <f t="shared" si="19"/>
        <v>New York</v>
      </c>
    </row>
    <row r="218" spans="1:22" x14ac:dyDescent="0.2">
      <c r="A218" t="s">
        <v>408</v>
      </c>
      <c r="B218" s="5">
        <v>242</v>
      </c>
      <c r="C218" s="5">
        <v>0</v>
      </c>
      <c r="D218" s="5">
        <f t="shared" si="15"/>
        <v>242</v>
      </c>
      <c r="E218" s="6">
        <v>21.678100000000001</v>
      </c>
      <c r="F218" s="6">
        <f t="shared" si="16"/>
        <v>5246.1001999999999</v>
      </c>
      <c r="G218" t="s">
        <v>330</v>
      </c>
      <c r="H218">
        <v>9011</v>
      </c>
      <c r="I218" t="str">
        <f>IFERROR(_xlfn.XLOOKUP($A218,'Base SKUs'!$E:$E,'Base SKUs'!A:A),"")</f>
        <v>Cumaru</v>
      </c>
      <c r="J218" t="str">
        <f>IFERROR(_xlfn.XLOOKUP($A218,'Base SKUs'!$E:$E,'Base SKUs'!B:B),"")</f>
        <v>Cumaru 2x4</v>
      </c>
      <c r="K218" t="str">
        <f>IFERROR(_xlfn.XLOOKUP($A218,'Base SKUs'!$E:$E,'Base SKUs'!C:C),"")</f>
        <v>Long</v>
      </c>
      <c r="L218" t="str">
        <f>IFERROR(_xlfn.XLOOKUP($A218,'Base SKUs'!$E:$E,'Base SKUs'!D:D),"")</f>
        <v>Hardwoods</v>
      </c>
      <c r="M218" t="str">
        <f>IFERROR(_xlfn.XLOOKUP($A218,'Base SKUs'!$E:$E,'Base SKUs'!G:G),"")</f>
        <v>Cumaru</v>
      </c>
      <c r="N218" t="str">
        <f>IFERROR(_xlfn.XLOOKUP($A218,'Base SKUs'!$E:$E,'Base SKUs'!H:H),"")</f>
        <v>S4S E4E</v>
      </c>
      <c r="O218" t="str">
        <f>IFERROR(_xlfn.XLOOKUP($A218,'Base SKUs'!$E:$E,'Base SKUs'!I:I),"")</f>
        <v>-</v>
      </c>
      <c r="P218" t="str">
        <f>IFERROR(_xlfn.XLOOKUP($A218,'Base SKUs'!$E:$E,'Base SKUs'!J:J),"")</f>
        <v>2x4</v>
      </c>
      <c r="Q218">
        <f>IFERROR(_xlfn.XLOOKUP($A218,'Base SKUs'!$E:$E,'Base SKUs'!K:K),"")</f>
        <v>14</v>
      </c>
      <c r="R218" s="7">
        <f>IFERROR(_xlfn.XLOOKUP($A218,'Base SKUs'!$E:$E,'Base SKUs'!S:S),"")</f>
        <v>1.4453390448E-2</v>
      </c>
      <c r="S218" s="8">
        <f t="shared" si="17"/>
        <v>3.4977204884159998</v>
      </c>
      <c r="T218" s="7">
        <f>IFERROR(_xlfn.XLOOKUP($A218,'Base SKUs'!$E:$E,'Base SKUs'!R:R),"")</f>
        <v>968.63099999999997</v>
      </c>
      <c r="U218" s="15">
        <f t="shared" si="18"/>
        <v>3388</v>
      </c>
      <c r="V218" t="str">
        <f t="shared" si="19"/>
        <v>New York</v>
      </c>
    </row>
    <row r="219" spans="1:22" x14ac:dyDescent="0.2">
      <c r="A219" t="s">
        <v>410</v>
      </c>
      <c r="B219" s="5">
        <v>118</v>
      </c>
      <c r="C219" s="5">
        <v>0</v>
      </c>
      <c r="D219" s="5">
        <f t="shared" si="15"/>
        <v>118</v>
      </c>
      <c r="E219" s="6">
        <v>24.774999999999999</v>
      </c>
      <c r="F219" s="6">
        <f t="shared" si="16"/>
        <v>2923.45</v>
      </c>
      <c r="G219" t="s">
        <v>330</v>
      </c>
      <c r="H219">
        <v>9011</v>
      </c>
      <c r="I219" t="str">
        <f>IFERROR(_xlfn.XLOOKUP($A219,'Base SKUs'!$E:$E,'Base SKUs'!A:A),"")</f>
        <v>Cumaru</v>
      </c>
      <c r="J219" t="str">
        <f>IFERROR(_xlfn.XLOOKUP($A219,'Base SKUs'!$E:$E,'Base SKUs'!B:B),"")</f>
        <v>Cumaru 2x4</v>
      </c>
      <c r="K219" t="str">
        <f>IFERROR(_xlfn.XLOOKUP($A219,'Base SKUs'!$E:$E,'Base SKUs'!C:C),"")</f>
        <v>Long</v>
      </c>
      <c r="L219" t="str">
        <f>IFERROR(_xlfn.XLOOKUP($A219,'Base SKUs'!$E:$E,'Base SKUs'!D:D),"")</f>
        <v>Hardwoods</v>
      </c>
      <c r="M219" t="str">
        <f>IFERROR(_xlfn.XLOOKUP($A219,'Base SKUs'!$E:$E,'Base SKUs'!G:G),"")</f>
        <v>Cumaru</v>
      </c>
      <c r="N219" t="str">
        <f>IFERROR(_xlfn.XLOOKUP($A219,'Base SKUs'!$E:$E,'Base SKUs'!H:H),"")</f>
        <v>S4S E4E</v>
      </c>
      <c r="O219" t="str">
        <f>IFERROR(_xlfn.XLOOKUP($A219,'Base SKUs'!$E:$E,'Base SKUs'!I:I),"")</f>
        <v>-</v>
      </c>
      <c r="P219" t="str">
        <f>IFERROR(_xlfn.XLOOKUP($A219,'Base SKUs'!$E:$E,'Base SKUs'!J:J),"")</f>
        <v>2x4</v>
      </c>
      <c r="Q219">
        <f>IFERROR(_xlfn.XLOOKUP($A219,'Base SKUs'!$E:$E,'Base SKUs'!K:K),"")</f>
        <v>16</v>
      </c>
      <c r="R219" s="7">
        <f>IFERROR(_xlfn.XLOOKUP($A219,'Base SKUs'!$E:$E,'Base SKUs'!S:S),"")</f>
        <v>1.6518160512000002E-2</v>
      </c>
      <c r="S219" s="8">
        <f t="shared" si="17"/>
        <v>1.9491429404160003</v>
      </c>
      <c r="T219" s="7">
        <f>IFERROR(_xlfn.XLOOKUP($A219,'Base SKUs'!$E:$E,'Base SKUs'!R:R),"")</f>
        <v>968.63099999999997</v>
      </c>
      <c r="U219" s="15">
        <f t="shared" si="18"/>
        <v>1888</v>
      </c>
      <c r="V219" t="str">
        <f t="shared" si="19"/>
        <v>New York</v>
      </c>
    </row>
    <row r="220" spans="1:22" x14ac:dyDescent="0.2">
      <c r="A220" t="s">
        <v>412</v>
      </c>
      <c r="B220" s="5">
        <v>74</v>
      </c>
      <c r="C220" s="5">
        <v>0</v>
      </c>
      <c r="D220" s="5">
        <f t="shared" si="15"/>
        <v>74</v>
      </c>
      <c r="E220" s="6">
        <v>27.8719</v>
      </c>
      <c r="F220" s="6">
        <f t="shared" si="16"/>
        <v>2062.5205999999998</v>
      </c>
      <c r="G220" t="s">
        <v>330</v>
      </c>
      <c r="H220">
        <v>9011</v>
      </c>
      <c r="I220" t="str">
        <f>IFERROR(_xlfn.XLOOKUP($A220,'Base SKUs'!$E:$E,'Base SKUs'!A:A),"")</f>
        <v>Cumaru</v>
      </c>
      <c r="J220" t="str">
        <f>IFERROR(_xlfn.XLOOKUP($A220,'Base SKUs'!$E:$E,'Base SKUs'!B:B),"")</f>
        <v>Cumaru 2x4</v>
      </c>
      <c r="K220" t="str">
        <f>IFERROR(_xlfn.XLOOKUP($A220,'Base SKUs'!$E:$E,'Base SKUs'!C:C),"")</f>
        <v>Long</v>
      </c>
      <c r="L220" t="str">
        <f>IFERROR(_xlfn.XLOOKUP($A220,'Base SKUs'!$E:$E,'Base SKUs'!D:D),"")</f>
        <v>Hardwoods</v>
      </c>
      <c r="M220" t="str">
        <f>IFERROR(_xlfn.XLOOKUP($A220,'Base SKUs'!$E:$E,'Base SKUs'!G:G),"")</f>
        <v>Cumaru</v>
      </c>
      <c r="N220" t="str">
        <f>IFERROR(_xlfn.XLOOKUP($A220,'Base SKUs'!$E:$E,'Base SKUs'!H:H),"")</f>
        <v>S4S E4E</v>
      </c>
      <c r="O220" t="str">
        <f>IFERROR(_xlfn.XLOOKUP($A220,'Base SKUs'!$E:$E,'Base SKUs'!I:I),"")</f>
        <v>-</v>
      </c>
      <c r="P220" t="str">
        <f>IFERROR(_xlfn.XLOOKUP($A220,'Base SKUs'!$E:$E,'Base SKUs'!J:J),"")</f>
        <v>2x4</v>
      </c>
      <c r="Q220">
        <f>IFERROR(_xlfn.XLOOKUP($A220,'Base SKUs'!$E:$E,'Base SKUs'!K:K),"")</f>
        <v>18</v>
      </c>
      <c r="R220" s="7">
        <f>IFERROR(_xlfn.XLOOKUP($A220,'Base SKUs'!$E:$E,'Base SKUs'!S:S),"")</f>
        <v>1.8582930576000002E-2</v>
      </c>
      <c r="S220" s="8">
        <f t="shared" si="17"/>
        <v>1.3751368626240001</v>
      </c>
      <c r="T220" s="7">
        <f>IFERROR(_xlfn.XLOOKUP($A220,'Base SKUs'!$E:$E,'Base SKUs'!R:R),"")</f>
        <v>968.63099999999997</v>
      </c>
      <c r="U220" s="15">
        <f t="shared" si="18"/>
        <v>1332</v>
      </c>
      <c r="V220" t="str">
        <f t="shared" si="19"/>
        <v>New York</v>
      </c>
    </row>
    <row r="221" spans="1:22" x14ac:dyDescent="0.2">
      <c r="A221" t="s">
        <v>414</v>
      </c>
      <c r="B221" s="5">
        <v>47</v>
      </c>
      <c r="C221" s="5">
        <v>0</v>
      </c>
      <c r="D221" s="5">
        <f t="shared" si="15"/>
        <v>47</v>
      </c>
      <c r="E221" s="6">
        <v>30.968699999999998</v>
      </c>
      <c r="F221" s="6">
        <f t="shared" si="16"/>
        <v>1455.5289</v>
      </c>
      <c r="G221" t="s">
        <v>330</v>
      </c>
      <c r="H221">
        <v>9011</v>
      </c>
      <c r="I221" t="str">
        <f>IFERROR(_xlfn.XLOOKUP($A221,'Base SKUs'!$E:$E,'Base SKUs'!A:A),"")</f>
        <v>Cumaru</v>
      </c>
      <c r="J221" t="str">
        <f>IFERROR(_xlfn.XLOOKUP($A221,'Base SKUs'!$E:$E,'Base SKUs'!B:B),"")</f>
        <v>Cumaru 2x4</v>
      </c>
      <c r="K221" t="str">
        <f>IFERROR(_xlfn.XLOOKUP($A221,'Base SKUs'!$E:$E,'Base SKUs'!C:C),"")</f>
        <v>Long</v>
      </c>
      <c r="L221" t="str">
        <f>IFERROR(_xlfn.XLOOKUP($A221,'Base SKUs'!$E:$E,'Base SKUs'!D:D),"")</f>
        <v>Hardwoods</v>
      </c>
      <c r="M221" t="str">
        <f>IFERROR(_xlfn.XLOOKUP($A221,'Base SKUs'!$E:$E,'Base SKUs'!G:G),"")</f>
        <v>Cumaru</v>
      </c>
      <c r="N221" t="str">
        <f>IFERROR(_xlfn.XLOOKUP($A221,'Base SKUs'!$E:$E,'Base SKUs'!H:H),"")</f>
        <v>S4S E4E</v>
      </c>
      <c r="O221" t="str">
        <f>IFERROR(_xlfn.XLOOKUP($A221,'Base SKUs'!$E:$E,'Base SKUs'!I:I),"")</f>
        <v>-</v>
      </c>
      <c r="P221" t="str">
        <f>IFERROR(_xlfn.XLOOKUP($A221,'Base SKUs'!$E:$E,'Base SKUs'!J:J),"")</f>
        <v>2x4</v>
      </c>
      <c r="Q221">
        <f>IFERROR(_xlfn.XLOOKUP($A221,'Base SKUs'!$E:$E,'Base SKUs'!K:K),"")</f>
        <v>20</v>
      </c>
      <c r="R221" s="7">
        <f>IFERROR(_xlfn.XLOOKUP($A221,'Base SKUs'!$E:$E,'Base SKUs'!S:S),"")</f>
        <v>2.0647700640000002E-2</v>
      </c>
      <c r="S221" s="8">
        <f t="shared" si="17"/>
        <v>0.97044193008000013</v>
      </c>
      <c r="T221" s="7">
        <f>IFERROR(_xlfn.XLOOKUP($A221,'Base SKUs'!$E:$E,'Base SKUs'!R:R),"")</f>
        <v>968.63099999999997</v>
      </c>
      <c r="U221" s="15">
        <f t="shared" si="18"/>
        <v>940</v>
      </c>
      <c r="V221" t="str">
        <f t="shared" si="19"/>
        <v>New York</v>
      </c>
    </row>
    <row r="222" spans="1:22" x14ac:dyDescent="0.2">
      <c r="A222" t="s">
        <v>416</v>
      </c>
      <c r="B222" s="5">
        <v>262</v>
      </c>
      <c r="C222" s="5">
        <v>0</v>
      </c>
      <c r="D222" s="5">
        <f t="shared" si="15"/>
        <v>262</v>
      </c>
      <c r="E222" s="6">
        <v>12.387499999999999</v>
      </c>
      <c r="F222" s="6">
        <f t="shared" si="16"/>
        <v>3245.5249999999996</v>
      </c>
      <c r="G222" t="s">
        <v>330</v>
      </c>
      <c r="H222">
        <v>9011</v>
      </c>
      <c r="I222" t="str">
        <f>IFERROR(_xlfn.XLOOKUP($A222,'Base SKUs'!$E:$E,'Base SKUs'!A:A),"")</f>
        <v>Cumaru</v>
      </c>
      <c r="J222" t="str">
        <f>IFERROR(_xlfn.XLOOKUP($A222,'Base SKUs'!$E:$E,'Base SKUs'!B:B),"")</f>
        <v>Cumaru 2x4</v>
      </c>
      <c r="K222" t="str">
        <f>IFERROR(_xlfn.XLOOKUP($A222,'Base SKUs'!$E:$E,'Base SKUs'!C:C),"")</f>
        <v>Long</v>
      </c>
      <c r="L222" t="str">
        <f>IFERROR(_xlfn.XLOOKUP($A222,'Base SKUs'!$E:$E,'Base SKUs'!D:D),"")</f>
        <v>Hardwoods</v>
      </c>
      <c r="M222" t="str">
        <f>IFERROR(_xlfn.XLOOKUP($A222,'Base SKUs'!$E:$E,'Base SKUs'!G:G),"")</f>
        <v>Cumaru</v>
      </c>
      <c r="N222" t="str">
        <f>IFERROR(_xlfn.XLOOKUP($A222,'Base SKUs'!$E:$E,'Base SKUs'!H:H),"")</f>
        <v>S4S E4E</v>
      </c>
      <c r="O222" t="str">
        <f>IFERROR(_xlfn.XLOOKUP($A222,'Base SKUs'!$E:$E,'Base SKUs'!I:I),"")</f>
        <v>-</v>
      </c>
      <c r="P222" t="str">
        <f>IFERROR(_xlfn.XLOOKUP($A222,'Base SKUs'!$E:$E,'Base SKUs'!J:J),"")</f>
        <v>2x4</v>
      </c>
      <c r="Q222">
        <f>IFERROR(_xlfn.XLOOKUP($A222,'Base SKUs'!$E:$E,'Base SKUs'!K:K),"")</f>
        <v>8</v>
      </c>
      <c r="R222" s="7">
        <f>IFERROR(_xlfn.XLOOKUP($A222,'Base SKUs'!$E:$E,'Base SKUs'!S:S),"")</f>
        <v>8.259080256000001E-3</v>
      </c>
      <c r="S222" s="8">
        <f t="shared" si="17"/>
        <v>2.1638790270720003</v>
      </c>
      <c r="T222" s="7">
        <f>IFERROR(_xlfn.XLOOKUP($A222,'Base SKUs'!$E:$E,'Base SKUs'!R:R),"")</f>
        <v>968.63099999999997</v>
      </c>
      <c r="U222" s="15">
        <f t="shared" si="18"/>
        <v>2096</v>
      </c>
      <c r="V222" t="str">
        <f t="shared" si="19"/>
        <v>New York</v>
      </c>
    </row>
    <row r="223" spans="1:22" x14ac:dyDescent="0.2">
      <c r="A223" t="s">
        <v>418</v>
      </c>
      <c r="B223" s="5">
        <v>41</v>
      </c>
      <c r="C223" s="5">
        <v>0</v>
      </c>
      <c r="D223" s="5">
        <f t="shared" si="15"/>
        <v>41</v>
      </c>
      <c r="E223" s="6">
        <v>30.32</v>
      </c>
      <c r="F223" s="6">
        <f t="shared" si="16"/>
        <v>1243.1200000000001</v>
      </c>
      <c r="G223" t="s">
        <v>24</v>
      </c>
      <c r="H223">
        <v>9008</v>
      </c>
      <c r="I223" t="str">
        <f>IFERROR(_xlfn.XLOOKUP($A223,'Base SKUs'!$E:$E,'Base SKUs'!A:A),"")</f>
        <v>Cumaru</v>
      </c>
      <c r="J223" t="str">
        <f>IFERROR(_xlfn.XLOOKUP($A223,'Base SKUs'!$E:$E,'Base SKUs'!B:B),"")</f>
        <v>Cumaru 2x6</v>
      </c>
      <c r="K223" t="str">
        <f>IFERROR(_xlfn.XLOOKUP($A223,'Base SKUs'!$E:$E,'Base SKUs'!C:C),"")</f>
        <v>Long</v>
      </c>
      <c r="L223" t="str">
        <f>IFERROR(_xlfn.XLOOKUP($A223,'Base SKUs'!$E:$E,'Base SKUs'!D:D),"")</f>
        <v>Hardwoods</v>
      </c>
      <c r="M223" t="str">
        <f>IFERROR(_xlfn.XLOOKUP($A223,'Base SKUs'!$E:$E,'Base SKUs'!G:G),"")</f>
        <v>Cumaru</v>
      </c>
      <c r="N223" t="str">
        <f>IFERROR(_xlfn.XLOOKUP($A223,'Base SKUs'!$E:$E,'Base SKUs'!H:H),"")</f>
        <v>S4S E4E</v>
      </c>
      <c r="O223" t="str">
        <f>IFERROR(_xlfn.XLOOKUP($A223,'Base SKUs'!$E:$E,'Base SKUs'!I:I),"")</f>
        <v>-</v>
      </c>
      <c r="P223" t="str">
        <f>IFERROR(_xlfn.XLOOKUP($A223,'Base SKUs'!$E:$E,'Base SKUs'!J:J),"")</f>
        <v>2x6</v>
      </c>
      <c r="Q223">
        <f>IFERROR(_xlfn.XLOOKUP($A223,'Base SKUs'!$E:$E,'Base SKUs'!K:K),"")</f>
        <v>11</v>
      </c>
      <c r="R223" s="7">
        <f>IFERROR(_xlfn.XLOOKUP($A223,'Base SKUs'!$E:$E,'Base SKUs'!S:S),"")</f>
        <v>1.7845512695999998E-2</v>
      </c>
      <c r="S223" s="8">
        <f t="shared" si="17"/>
        <v>0.73166602053599994</v>
      </c>
      <c r="T223" s="7">
        <f>IFERROR(_xlfn.XLOOKUP($A223,'Base SKUs'!$E:$E,'Base SKUs'!R:R),"")</f>
        <v>616.40099999999995</v>
      </c>
      <c r="U223" s="15">
        <f t="shared" si="18"/>
        <v>451</v>
      </c>
      <c r="V223" t="str">
        <f t="shared" si="19"/>
        <v>Texas</v>
      </c>
    </row>
    <row r="224" spans="1:22" x14ac:dyDescent="0.2">
      <c r="A224" t="s">
        <v>418</v>
      </c>
      <c r="B224" s="5">
        <v>119</v>
      </c>
      <c r="C224" s="5">
        <v>0</v>
      </c>
      <c r="D224" s="5">
        <f t="shared" si="15"/>
        <v>119</v>
      </c>
      <c r="E224" s="6">
        <v>30.8201</v>
      </c>
      <c r="F224" s="6">
        <f t="shared" si="16"/>
        <v>3667.5918999999999</v>
      </c>
      <c r="G224" t="s">
        <v>330</v>
      </c>
      <c r="H224">
        <v>9011</v>
      </c>
      <c r="I224" t="str">
        <f>IFERROR(_xlfn.XLOOKUP($A224,'Base SKUs'!$E:$E,'Base SKUs'!A:A),"")</f>
        <v>Cumaru</v>
      </c>
      <c r="J224" t="str">
        <f>IFERROR(_xlfn.XLOOKUP($A224,'Base SKUs'!$E:$E,'Base SKUs'!B:B),"")</f>
        <v>Cumaru 2x6</v>
      </c>
      <c r="K224" t="str">
        <f>IFERROR(_xlfn.XLOOKUP($A224,'Base SKUs'!$E:$E,'Base SKUs'!C:C),"")</f>
        <v>Long</v>
      </c>
      <c r="L224" t="str">
        <f>IFERROR(_xlfn.XLOOKUP($A224,'Base SKUs'!$E:$E,'Base SKUs'!D:D),"")</f>
        <v>Hardwoods</v>
      </c>
      <c r="M224" t="str">
        <f>IFERROR(_xlfn.XLOOKUP($A224,'Base SKUs'!$E:$E,'Base SKUs'!G:G),"")</f>
        <v>Cumaru</v>
      </c>
      <c r="N224" t="str">
        <f>IFERROR(_xlfn.XLOOKUP($A224,'Base SKUs'!$E:$E,'Base SKUs'!H:H),"")</f>
        <v>S4S E4E</v>
      </c>
      <c r="O224" t="str">
        <f>IFERROR(_xlfn.XLOOKUP($A224,'Base SKUs'!$E:$E,'Base SKUs'!I:I),"")</f>
        <v>-</v>
      </c>
      <c r="P224" t="str">
        <f>IFERROR(_xlfn.XLOOKUP($A224,'Base SKUs'!$E:$E,'Base SKUs'!J:J),"")</f>
        <v>2x6</v>
      </c>
      <c r="Q224">
        <f>IFERROR(_xlfn.XLOOKUP($A224,'Base SKUs'!$E:$E,'Base SKUs'!K:K),"")</f>
        <v>11</v>
      </c>
      <c r="R224" s="7">
        <f>IFERROR(_xlfn.XLOOKUP($A224,'Base SKUs'!$E:$E,'Base SKUs'!S:S),"")</f>
        <v>1.7845512695999998E-2</v>
      </c>
      <c r="S224" s="8">
        <f t="shared" si="17"/>
        <v>2.1236160108239996</v>
      </c>
      <c r="T224" s="7">
        <f>IFERROR(_xlfn.XLOOKUP($A224,'Base SKUs'!$E:$E,'Base SKUs'!R:R),"")</f>
        <v>616.40099999999995</v>
      </c>
      <c r="U224" s="15">
        <f t="shared" si="18"/>
        <v>1309</v>
      </c>
      <c r="V224" t="str">
        <f t="shared" si="19"/>
        <v>New York</v>
      </c>
    </row>
    <row r="225" spans="1:22" x14ac:dyDescent="0.2">
      <c r="A225" t="s">
        <v>420</v>
      </c>
      <c r="B225" s="5">
        <v>56</v>
      </c>
      <c r="C225" s="5">
        <v>0</v>
      </c>
      <c r="D225" s="5">
        <f t="shared" si="15"/>
        <v>56</v>
      </c>
      <c r="E225" s="6">
        <v>33.622</v>
      </c>
      <c r="F225" s="6">
        <f t="shared" si="16"/>
        <v>1882.8319999999999</v>
      </c>
      <c r="G225" t="s">
        <v>330</v>
      </c>
      <c r="H225">
        <v>9011</v>
      </c>
      <c r="I225" t="str">
        <f>IFERROR(_xlfn.XLOOKUP($A225,'Base SKUs'!$E:$E,'Base SKUs'!A:A),"")</f>
        <v>Cumaru</v>
      </c>
      <c r="J225" t="str">
        <f>IFERROR(_xlfn.XLOOKUP($A225,'Base SKUs'!$E:$E,'Base SKUs'!B:B),"")</f>
        <v>Cumaru 2x6</v>
      </c>
      <c r="K225" t="str">
        <f>IFERROR(_xlfn.XLOOKUP($A225,'Base SKUs'!$E:$E,'Base SKUs'!C:C),"")</f>
        <v>Long</v>
      </c>
      <c r="L225" t="str">
        <f>IFERROR(_xlfn.XLOOKUP($A225,'Base SKUs'!$E:$E,'Base SKUs'!D:D),"")</f>
        <v>Hardwoods</v>
      </c>
      <c r="M225" t="str">
        <f>IFERROR(_xlfn.XLOOKUP($A225,'Base SKUs'!$E:$E,'Base SKUs'!G:G),"")</f>
        <v>Cumaru</v>
      </c>
      <c r="N225" t="str">
        <f>IFERROR(_xlfn.XLOOKUP($A225,'Base SKUs'!$E:$E,'Base SKUs'!H:H),"")</f>
        <v>S4S E4E</v>
      </c>
      <c r="O225" t="str">
        <f>IFERROR(_xlfn.XLOOKUP($A225,'Base SKUs'!$E:$E,'Base SKUs'!I:I),"")</f>
        <v>-</v>
      </c>
      <c r="P225" t="str">
        <f>IFERROR(_xlfn.XLOOKUP($A225,'Base SKUs'!$E:$E,'Base SKUs'!J:J),"")</f>
        <v>2x6</v>
      </c>
      <c r="Q225">
        <f>IFERROR(_xlfn.XLOOKUP($A225,'Base SKUs'!$E:$E,'Base SKUs'!K:K),"")</f>
        <v>12</v>
      </c>
      <c r="R225" s="7">
        <f>IFERROR(_xlfn.XLOOKUP($A225,'Base SKUs'!$E:$E,'Base SKUs'!S:S),"")</f>
        <v>1.9467832031999997E-2</v>
      </c>
      <c r="S225" s="8">
        <f t="shared" si="17"/>
        <v>1.0901985937919998</v>
      </c>
      <c r="T225" s="7">
        <f>IFERROR(_xlfn.XLOOKUP($A225,'Base SKUs'!$E:$E,'Base SKUs'!R:R),"")</f>
        <v>616.40099999999995</v>
      </c>
      <c r="U225" s="15">
        <f t="shared" si="18"/>
        <v>672</v>
      </c>
      <c r="V225" t="str">
        <f t="shared" si="19"/>
        <v>New York</v>
      </c>
    </row>
    <row r="226" spans="1:22" x14ac:dyDescent="0.2">
      <c r="A226" t="s">
        <v>422</v>
      </c>
      <c r="B226" s="5">
        <v>27</v>
      </c>
      <c r="C226" s="5">
        <v>0</v>
      </c>
      <c r="D226" s="5">
        <f t="shared" si="15"/>
        <v>27</v>
      </c>
      <c r="E226" s="6">
        <v>58.838500000000003</v>
      </c>
      <c r="F226" s="6">
        <f t="shared" si="16"/>
        <v>1588.6395</v>
      </c>
      <c r="G226" t="s">
        <v>330</v>
      </c>
      <c r="H226">
        <v>9011</v>
      </c>
      <c r="I226" t="str">
        <f>IFERROR(_xlfn.XLOOKUP($A226,'Base SKUs'!$E:$E,'Base SKUs'!A:A),"")</f>
        <v>Cumaru</v>
      </c>
      <c r="J226" t="str">
        <f>IFERROR(_xlfn.XLOOKUP($A226,'Base SKUs'!$E:$E,'Base SKUs'!B:B),"")</f>
        <v>Cumaru 2x6</v>
      </c>
      <c r="K226" t="str">
        <f>IFERROR(_xlfn.XLOOKUP($A226,'Base SKUs'!$E:$E,'Base SKUs'!C:C),"")</f>
        <v>Long</v>
      </c>
      <c r="L226" t="str">
        <f>IFERROR(_xlfn.XLOOKUP($A226,'Base SKUs'!$E:$E,'Base SKUs'!D:D),"")</f>
        <v>Hardwoods</v>
      </c>
      <c r="M226" t="str">
        <f>IFERROR(_xlfn.XLOOKUP($A226,'Base SKUs'!$E:$E,'Base SKUs'!G:G),"")</f>
        <v>Cumaru</v>
      </c>
      <c r="N226" t="str">
        <f>IFERROR(_xlfn.XLOOKUP($A226,'Base SKUs'!$E:$E,'Base SKUs'!H:H),"")</f>
        <v>S4S E4E</v>
      </c>
      <c r="O226" t="str">
        <f>IFERROR(_xlfn.XLOOKUP($A226,'Base SKUs'!$E:$E,'Base SKUs'!I:I),"")</f>
        <v>-</v>
      </c>
      <c r="P226" t="str">
        <f>IFERROR(_xlfn.XLOOKUP($A226,'Base SKUs'!$E:$E,'Base SKUs'!J:J),"")</f>
        <v>2x6</v>
      </c>
      <c r="Q226">
        <f>IFERROR(_xlfn.XLOOKUP($A226,'Base SKUs'!$E:$E,'Base SKUs'!K:K),"")</f>
        <v>21</v>
      </c>
      <c r="R226" s="7">
        <f>IFERROR(_xlfn.XLOOKUP($A226,'Base SKUs'!$E:$E,'Base SKUs'!S:S),"")</f>
        <v>3.4068706056E-2</v>
      </c>
      <c r="S226" s="8">
        <f t="shared" si="17"/>
        <v>0.91985506351199997</v>
      </c>
      <c r="T226" s="7">
        <f>IFERROR(_xlfn.XLOOKUP($A226,'Base SKUs'!$E:$E,'Base SKUs'!R:R),"")</f>
        <v>616.40099999999995</v>
      </c>
      <c r="U226" s="15">
        <f t="shared" si="18"/>
        <v>567</v>
      </c>
      <c r="V226" t="str">
        <f t="shared" si="19"/>
        <v>New York</v>
      </c>
    </row>
    <row r="227" spans="1:22" x14ac:dyDescent="0.2">
      <c r="A227" t="s">
        <v>424</v>
      </c>
      <c r="B227" s="5">
        <v>11</v>
      </c>
      <c r="C227" s="5">
        <v>0</v>
      </c>
      <c r="D227" s="5">
        <f t="shared" si="15"/>
        <v>11</v>
      </c>
      <c r="E227" s="6">
        <v>5.8909000000000002</v>
      </c>
      <c r="F227" s="6">
        <f t="shared" si="16"/>
        <v>64.799900000000008</v>
      </c>
      <c r="G227" t="s">
        <v>24</v>
      </c>
      <c r="H227">
        <v>9008</v>
      </c>
      <c r="I227" t="str">
        <f>IFERROR(_xlfn.XLOOKUP($A227,'Base SKUs'!$E:$E,'Base SKUs'!A:A),"")</f>
        <v>Cumaru</v>
      </c>
      <c r="J227" t="str">
        <f>IFERROR(_xlfn.XLOOKUP($A227,'Base SKUs'!$E:$E,'Base SKUs'!B:B),"")</f>
        <v>Cumaru 2x6</v>
      </c>
      <c r="K227" t="str">
        <f>IFERROR(_xlfn.XLOOKUP($A227,'Base SKUs'!$E:$E,'Base SKUs'!C:C),"")</f>
        <v>Short</v>
      </c>
      <c r="L227" t="str">
        <f>IFERROR(_xlfn.XLOOKUP($A227,'Base SKUs'!$E:$E,'Base SKUs'!D:D),"")</f>
        <v>Hardwoods</v>
      </c>
      <c r="M227" t="str">
        <f>IFERROR(_xlfn.XLOOKUP($A227,'Base SKUs'!$E:$E,'Base SKUs'!G:G),"")</f>
        <v>Cumaru</v>
      </c>
      <c r="N227" t="str">
        <f>IFERROR(_xlfn.XLOOKUP($A227,'Base SKUs'!$E:$E,'Base SKUs'!H:H),"")</f>
        <v>S4S E4E</v>
      </c>
      <c r="O227" t="str">
        <f>IFERROR(_xlfn.XLOOKUP($A227,'Base SKUs'!$E:$E,'Base SKUs'!I:I),"")</f>
        <v>-</v>
      </c>
      <c r="P227" t="str">
        <f>IFERROR(_xlfn.XLOOKUP($A227,'Base SKUs'!$E:$E,'Base SKUs'!J:J),"")</f>
        <v>2x6</v>
      </c>
      <c r="Q227">
        <f>IFERROR(_xlfn.XLOOKUP($A227,'Base SKUs'!$E:$E,'Base SKUs'!K:K),"")</f>
        <v>3</v>
      </c>
      <c r="R227" s="7">
        <f>IFERROR(_xlfn.XLOOKUP($A227,'Base SKUs'!$E:$E,'Base SKUs'!S:S),"")</f>
        <v>4.8669580079999993E-3</v>
      </c>
      <c r="S227" s="8">
        <f t="shared" si="17"/>
        <v>5.3536538087999991E-2</v>
      </c>
      <c r="T227" s="7">
        <f>IFERROR(_xlfn.XLOOKUP($A227,'Base SKUs'!$E:$E,'Base SKUs'!R:R),"")</f>
        <v>616.40099999999995</v>
      </c>
      <c r="U227" s="15">
        <f t="shared" si="18"/>
        <v>33</v>
      </c>
      <c r="V227" t="str">
        <f t="shared" si="19"/>
        <v>Texas</v>
      </c>
    </row>
    <row r="228" spans="1:22" x14ac:dyDescent="0.2">
      <c r="A228" t="s">
        <v>426</v>
      </c>
      <c r="B228" s="5">
        <v>40</v>
      </c>
      <c r="C228" s="5">
        <v>0</v>
      </c>
      <c r="D228" s="5">
        <f t="shared" si="15"/>
        <v>40</v>
      </c>
      <c r="E228" s="6">
        <v>2.91</v>
      </c>
      <c r="F228" s="6">
        <f t="shared" si="16"/>
        <v>116.4</v>
      </c>
      <c r="G228" t="s">
        <v>24</v>
      </c>
      <c r="H228">
        <v>9008</v>
      </c>
      <c r="I228" t="str">
        <f>IFERROR(_xlfn.XLOOKUP($A228,'Base SKUs'!$E:$E,'Base SKUs'!A:A),"")</f>
        <v>Cumaru</v>
      </c>
      <c r="J228" t="str">
        <f>IFERROR(_xlfn.XLOOKUP($A228,'Base SKUs'!$E:$E,'Base SKUs'!B:B),"")</f>
        <v>Cumaru 2x6</v>
      </c>
      <c r="K228" t="str">
        <f>IFERROR(_xlfn.XLOOKUP($A228,'Base SKUs'!$E:$E,'Base SKUs'!C:C),"")</f>
        <v>Short</v>
      </c>
      <c r="L228" t="str">
        <f>IFERROR(_xlfn.XLOOKUP($A228,'Base SKUs'!$E:$E,'Base SKUs'!D:D),"")</f>
        <v>Hardwoods</v>
      </c>
      <c r="M228" t="str">
        <f>IFERROR(_xlfn.XLOOKUP($A228,'Base SKUs'!$E:$E,'Base SKUs'!G:G),"")</f>
        <v>Cumaru</v>
      </c>
      <c r="N228" t="str">
        <f>IFERROR(_xlfn.XLOOKUP($A228,'Base SKUs'!$E:$E,'Base SKUs'!H:H),"")</f>
        <v>S4S E4E</v>
      </c>
      <c r="O228" t="str">
        <f>IFERROR(_xlfn.XLOOKUP($A228,'Base SKUs'!$E:$E,'Base SKUs'!I:I),"")</f>
        <v>-</v>
      </c>
      <c r="P228" t="str">
        <f>IFERROR(_xlfn.XLOOKUP($A228,'Base SKUs'!$E:$E,'Base SKUs'!J:J),"")</f>
        <v>2x6</v>
      </c>
      <c r="Q228">
        <f>IFERROR(_xlfn.XLOOKUP($A228,'Base SKUs'!$E:$E,'Base SKUs'!K:K),"")</f>
        <v>4</v>
      </c>
      <c r="R228" s="7">
        <f>IFERROR(_xlfn.XLOOKUP($A228,'Base SKUs'!$E:$E,'Base SKUs'!S:S),"")</f>
        <v>6.4892773439999994E-3</v>
      </c>
      <c r="S228" s="8">
        <f t="shared" si="17"/>
        <v>0.25957109375999998</v>
      </c>
      <c r="T228" s="7">
        <f>IFERROR(_xlfn.XLOOKUP($A228,'Base SKUs'!$E:$E,'Base SKUs'!R:R),"")</f>
        <v>616.40099999999995</v>
      </c>
      <c r="U228" s="15">
        <f t="shared" si="18"/>
        <v>160</v>
      </c>
      <c r="V228" t="str">
        <f t="shared" si="19"/>
        <v>Texas</v>
      </c>
    </row>
    <row r="229" spans="1:22" x14ac:dyDescent="0.2">
      <c r="A229" t="s">
        <v>428</v>
      </c>
      <c r="B229" s="5">
        <v>23</v>
      </c>
      <c r="C229" s="5">
        <v>0</v>
      </c>
      <c r="D229" s="5">
        <f t="shared" si="15"/>
        <v>23</v>
      </c>
      <c r="E229" s="6">
        <v>22.4146</v>
      </c>
      <c r="F229" s="6">
        <f t="shared" si="16"/>
        <v>515.53579999999999</v>
      </c>
      <c r="G229" t="s">
        <v>17</v>
      </c>
      <c r="H229">
        <v>9007</v>
      </c>
      <c r="I229" t="str">
        <f>IFERROR(_xlfn.XLOOKUP($A229,'Base SKUs'!$E:$E,'Base SKUs'!A:A),"")</f>
        <v>Cumaru</v>
      </c>
      <c r="J229" t="str">
        <f>IFERROR(_xlfn.XLOOKUP($A229,'Base SKUs'!$E:$E,'Base SKUs'!B:B),"")</f>
        <v>Cumaru 2x6</v>
      </c>
      <c r="K229" t="str">
        <f>IFERROR(_xlfn.XLOOKUP($A229,'Base SKUs'!$E:$E,'Base SKUs'!C:C),"")</f>
        <v>Long</v>
      </c>
      <c r="L229" t="str">
        <f>IFERROR(_xlfn.XLOOKUP($A229,'Base SKUs'!$E:$E,'Base SKUs'!D:D),"")</f>
        <v>Hardwoods</v>
      </c>
      <c r="M229" t="str">
        <f>IFERROR(_xlfn.XLOOKUP($A229,'Base SKUs'!$E:$E,'Base SKUs'!G:G),"")</f>
        <v>Cumaru</v>
      </c>
      <c r="N229" t="str">
        <f>IFERROR(_xlfn.XLOOKUP($A229,'Base SKUs'!$E:$E,'Base SKUs'!H:H),"")</f>
        <v>S4S E4E</v>
      </c>
      <c r="O229" t="str">
        <f>IFERROR(_xlfn.XLOOKUP($A229,'Base SKUs'!$E:$E,'Base SKUs'!I:I),"")</f>
        <v>-</v>
      </c>
      <c r="P229" t="str">
        <f>IFERROR(_xlfn.XLOOKUP($A229,'Base SKUs'!$E:$E,'Base SKUs'!J:J),"")</f>
        <v>2x6</v>
      </c>
      <c r="Q229">
        <f>IFERROR(_xlfn.XLOOKUP($A229,'Base SKUs'!$E:$E,'Base SKUs'!K:K),"")</f>
        <v>8</v>
      </c>
      <c r="R229" s="7">
        <f>IFERROR(_xlfn.XLOOKUP($A229,'Base SKUs'!$E:$E,'Base SKUs'!S:S),"")</f>
        <v>1.2978554687999999E-2</v>
      </c>
      <c r="S229" s="8">
        <f t="shared" si="17"/>
        <v>0.29850675782399999</v>
      </c>
      <c r="T229" s="7">
        <f>IFERROR(_xlfn.XLOOKUP($A229,'Base SKUs'!$E:$E,'Base SKUs'!R:R),"")</f>
        <v>616.40099999999995</v>
      </c>
      <c r="U229" s="15">
        <f t="shared" si="18"/>
        <v>184</v>
      </c>
      <c r="V229" t="str">
        <f t="shared" si="19"/>
        <v>Miami</v>
      </c>
    </row>
    <row r="230" spans="1:22" x14ac:dyDescent="0.2">
      <c r="A230" t="s">
        <v>428</v>
      </c>
      <c r="B230" s="5">
        <v>22</v>
      </c>
      <c r="C230" s="5">
        <v>0</v>
      </c>
      <c r="D230" s="5">
        <f t="shared" si="15"/>
        <v>22</v>
      </c>
      <c r="E230" s="6">
        <v>22.4146</v>
      </c>
      <c r="F230" s="6">
        <f t="shared" si="16"/>
        <v>493.12119999999999</v>
      </c>
      <c r="G230" t="s">
        <v>330</v>
      </c>
      <c r="H230">
        <v>9011</v>
      </c>
      <c r="I230" t="str">
        <f>IFERROR(_xlfn.XLOOKUP($A230,'Base SKUs'!$E:$E,'Base SKUs'!A:A),"")</f>
        <v>Cumaru</v>
      </c>
      <c r="J230" t="str">
        <f>IFERROR(_xlfn.XLOOKUP($A230,'Base SKUs'!$E:$E,'Base SKUs'!B:B),"")</f>
        <v>Cumaru 2x6</v>
      </c>
      <c r="K230" t="str">
        <f>IFERROR(_xlfn.XLOOKUP($A230,'Base SKUs'!$E:$E,'Base SKUs'!C:C),"")</f>
        <v>Long</v>
      </c>
      <c r="L230" t="str">
        <f>IFERROR(_xlfn.XLOOKUP($A230,'Base SKUs'!$E:$E,'Base SKUs'!D:D),"")</f>
        <v>Hardwoods</v>
      </c>
      <c r="M230" t="str">
        <f>IFERROR(_xlfn.XLOOKUP($A230,'Base SKUs'!$E:$E,'Base SKUs'!G:G),"")</f>
        <v>Cumaru</v>
      </c>
      <c r="N230" t="str">
        <f>IFERROR(_xlfn.XLOOKUP($A230,'Base SKUs'!$E:$E,'Base SKUs'!H:H),"")</f>
        <v>S4S E4E</v>
      </c>
      <c r="O230" t="str">
        <f>IFERROR(_xlfn.XLOOKUP($A230,'Base SKUs'!$E:$E,'Base SKUs'!I:I),"")</f>
        <v>-</v>
      </c>
      <c r="P230" t="str">
        <f>IFERROR(_xlfn.XLOOKUP($A230,'Base SKUs'!$E:$E,'Base SKUs'!J:J),"")</f>
        <v>2x6</v>
      </c>
      <c r="Q230">
        <f>IFERROR(_xlfn.XLOOKUP($A230,'Base SKUs'!$E:$E,'Base SKUs'!K:K),"")</f>
        <v>8</v>
      </c>
      <c r="R230" s="7">
        <f>IFERROR(_xlfn.XLOOKUP($A230,'Base SKUs'!$E:$E,'Base SKUs'!S:S),"")</f>
        <v>1.2978554687999999E-2</v>
      </c>
      <c r="S230" s="8">
        <f t="shared" si="17"/>
        <v>0.28552820313599997</v>
      </c>
      <c r="T230" s="7">
        <f>IFERROR(_xlfn.XLOOKUP($A230,'Base SKUs'!$E:$E,'Base SKUs'!R:R),"")</f>
        <v>616.40099999999995</v>
      </c>
      <c r="U230" s="15">
        <f t="shared" si="18"/>
        <v>176</v>
      </c>
      <c r="V230" t="str">
        <f t="shared" si="19"/>
        <v>New York</v>
      </c>
    </row>
    <row r="231" spans="1:22" x14ac:dyDescent="0.2">
      <c r="A231" t="s">
        <v>430</v>
      </c>
      <c r="B231" s="5">
        <v>46</v>
      </c>
      <c r="C231" s="5">
        <v>0</v>
      </c>
      <c r="D231" s="5">
        <f t="shared" si="15"/>
        <v>46</v>
      </c>
      <c r="E231" s="6">
        <v>24.81</v>
      </c>
      <c r="F231" s="6">
        <f t="shared" si="16"/>
        <v>1141.26</v>
      </c>
      <c r="G231" t="s">
        <v>24</v>
      </c>
      <c r="H231">
        <v>9008</v>
      </c>
      <c r="I231" t="str">
        <f>IFERROR(_xlfn.XLOOKUP($A231,'Base SKUs'!$E:$E,'Base SKUs'!A:A),"")</f>
        <v>Cumaru</v>
      </c>
      <c r="J231" t="str">
        <f>IFERROR(_xlfn.XLOOKUP($A231,'Base SKUs'!$E:$E,'Base SKUs'!B:B),"")</f>
        <v>Cumaru 2x6</v>
      </c>
      <c r="K231" t="str">
        <f>IFERROR(_xlfn.XLOOKUP($A231,'Base SKUs'!$E:$E,'Base SKUs'!C:C),"")</f>
        <v>Long</v>
      </c>
      <c r="L231" t="str">
        <f>IFERROR(_xlfn.XLOOKUP($A231,'Base SKUs'!$E:$E,'Base SKUs'!D:D),"")</f>
        <v>Hardwoods</v>
      </c>
      <c r="M231" t="str">
        <f>IFERROR(_xlfn.XLOOKUP($A231,'Base SKUs'!$E:$E,'Base SKUs'!G:G),"")</f>
        <v>Cumaru</v>
      </c>
      <c r="N231" t="str">
        <f>IFERROR(_xlfn.XLOOKUP($A231,'Base SKUs'!$E:$E,'Base SKUs'!H:H),"")</f>
        <v>S4S E4E</v>
      </c>
      <c r="O231" t="str">
        <f>IFERROR(_xlfn.XLOOKUP($A231,'Base SKUs'!$E:$E,'Base SKUs'!I:I),"")</f>
        <v>-</v>
      </c>
      <c r="P231" t="str">
        <f>IFERROR(_xlfn.XLOOKUP($A231,'Base SKUs'!$E:$E,'Base SKUs'!J:J),"")</f>
        <v>2x6</v>
      </c>
      <c r="Q231">
        <f>IFERROR(_xlfn.XLOOKUP($A231,'Base SKUs'!$E:$E,'Base SKUs'!K:K),"")</f>
        <v>9</v>
      </c>
      <c r="R231" s="7">
        <f>IFERROR(_xlfn.XLOOKUP($A231,'Base SKUs'!$E:$E,'Base SKUs'!S:S),"")</f>
        <v>1.4600874024E-2</v>
      </c>
      <c r="S231" s="8">
        <f t="shared" si="17"/>
        <v>0.67164020510400002</v>
      </c>
      <c r="T231" s="7">
        <f>IFERROR(_xlfn.XLOOKUP($A231,'Base SKUs'!$E:$E,'Base SKUs'!R:R),"")</f>
        <v>616.40099999999995</v>
      </c>
      <c r="U231" s="15">
        <f t="shared" si="18"/>
        <v>414</v>
      </c>
      <c r="V231" t="str">
        <f t="shared" si="19"/>
        <v>Texas</v>
      </c>
    </row>
    <row r="232" spans="1:22" x14ac:dyDescent="0.2">
      <c r="A232" t="s">
        <v>430</v>
      </c>
      <c r="B232" s="5">
        <v>8</v>
      </c>
      <c r="C232" s="5">
        <v>0</v>
      </c>
      <c r="D232" s="5">
        <f t="shared" si="15"/>
        <v>8</v>
      </c>
      <c r="E232" s="6">
        <v>25.2165</v>
      </c>
      <c r="F232" s="6">
        <f t="shared" si="16"/>
        <v>201.732</v>
      </c>
      <c r="G232" t="s">
        <v>330</v>
      </c>
      <c r="H232">
        <v>9011</v>
      </c>
      <c r="I232" t="str">
        <f>IFERROR(_xlfn.XLOOKUP($A232,'Base SKUs'!$E:$E,'Base SKUs'!A:A),"")</f>
        <v>Cumaru</v>
      </c>
      <c r="J232" t="str">
        <f>IFERROR(_xlfn.XLOOKUP($A232,'Base SKUs'!$E:$E,'Base SKUs'!B:B),"")</f>
        <v>Cumaru 2x6</v>
      </c>
      <c r="K232" t="str">
        <f>IFERROR(_xlfn.XLOOKUP($A232,'Base SKUs'!$E:$E,'Base SKUs'!C:C),"")</f>
        <v>Long</v>
      </c>
      <c r="L232" t="str">
        <f>IFERROR(_xlfn.XLOOKUP($A232,'Base SKUs'!$E:$E,'Base SKUs'!D:D),"")</f>
        <v>Hardwoods</v>
      </c>
      <c r="M232" t="str">
        <f>IFERROR(_xlfn.XLOOKUP($A232,'Base SKUs'!$E:$E,'Base SKUs'!G:G),"")</f>
        <v>Cumaru</v>
      </c>
      <c r="N232" t="str">
        <f>IFERROR(_xlfn.XLOOKUP($A232,'Base SKUs'!$E:$E,'Base SKUs'!H:H),"")</f>
        <v>S4S E4E</v>
      </c>
      <c r="O232" t="str">
        <f>IFERROR(_xlfn.XLOOKUP($A232,'Base SKUs'!$E:$E,'Base SKUs'!I:I),"")</f>
        <v>-</v>
      </c>
      <c r="P232" t="str">
        <f>IFERROR(_xlfn.XLOOKUP($A232,'Base SKUs'!$E:$E,'Base SKUs'!J:J),"")</f>
        <v>2x6</v>
      </c>
      <c r="Q232">
        <f>IFERROR(_xlfn.XLOOKUP($A232,'Base SKUs'!$E:$E,'Base SKUs'!K:K),"")</f>
        <v>9</v>
      </c>
      <c r="R232" s="7">
        <f>IFERROR(_xlfn.XLOOKUP($A232,'Base SKUs'!$E:$E,'Base SKUs'!S:S),"")</f>
        <v>1.4600874024E-2</v>
      </c>
      <c r="S232" s="8">
        <f t="shared" si="17"/>
        <v>0.116806992192</v>
      </c>
      <c r="T232" s="7">
        <f>IFERROR(_xlfn.XLOOKUP($A232,'Base SKUs'!$E:$E,'Base SKUs'!R:R),"")</f>
        <v>616.40099999999995</v>
      </c>
      <c r="U232" s="15">
        <f t="shared" si="18"/>
        <v>72</v>
      </c>
      <c r="V232" t="str">
        <f t="shared" si="19"/>
        <v>New York</v>
      </c>
    </row>
    <row r="233" spans="1:22" x14ac:dyDescent="0.2">
      <c r="A233" t="s">
        <v>432</v>
      </c>
      <c r="B233" s="5">
        <v>364</v>
      </c>
      <c r="C233" s="5">
        <v>0</v>
      </c>
      <c r="D233" s="5">
        <f t="shared" si="15"/>
        <v>364</v>
      </c>
      <c r="E233" s="6">
        <v>48.795099999999998</v>
      </c>
      <c r="F233" s="6">
        <f t="shared" si="16"/>
        <v>17761.416399999998</v>
      </c>
      <c r="G233" t="s">
        <v>17</v>
      </c>
      <c r="H233">
        <v>9007</v>
      </c>
      <c r="I233" t="str">
        <f>IFERROR(_xlfn.XLOOKUP($A233,'Base SKUs'!$E:$E,'Base SKUs'!A:A),"")</f>
        <v>Cumaru</v>
      </c>
      <c r="J233" t="str">
        <f>IFERROR(_xlfn.XLOOKUP($A233,'Base SKUs'!$E:$E,'Base SKUs'!B:B),"")</f>
        <v>Cumaru 2x8</v>
      </c>
      <c r="K233" t="str">
        <f>IFERROR(_xlfn.XLOOKUP($A233,'Base SKUs'!$E:$E,'Base SKUs'!C:C),"")</f>
        <v>Long</v>
      </c>
      <c r="L233" t="str">
        <f>IFERROR(_xlfn.XLOOKUP($A233,'Base SKUs'!$E:$E,'Base SKUs'!D:D),"")</f>
        <v>Hardwoods</v>
      </c>
      <c r="M233" t="str">
        <f>IFERROR(_xlfn.XLOOKUP($A233,'Base SKUs'!$E:$E,'Base SKUs'!G:G),"")</f>
        <v>Cumaru</v>
      </c>
      <c r="N233" t="str">
        <f>IFERROR(_xlfn.XLOOKUP($A233,'Base SKUs'!$E:$E,'Base SKUs'!H:H),"")</f>
        <v>S4S E4E</v>
      </c>
      <c r="O233" t="str">
        <f>IFERROR(_xlfn.XLOOKUP($A233,'Base SKUs'!$E:$E,'Base SKUs'!I:I),"")</f>
        <v>-</v>
      </c>
      <c r="P233" t="str">
        <f>IFERROR(_xlfn.XLOOKUP($A233,'Base SKUs'!$E:$E,'Base SKUs'!J:J),"")</f>
        <v>2x8</v>
      </c>
      <c r="Q233">
        <f>IFERROR(_xlfn.XLOOKUP($A233,'Base SKUs'!$E:$E,'Base SKUs'!K:K),"")</f>
        <v>12</v>
      </c>
      <c r="R233" s="7">
        <f>IFERROR(_xlfn.XLOOKUP($A233,'Base SKUs'!$E:$E,'Base SKUs'!S:S),"")</f>
        <v>2.5662142224000001E-2</v>
      </c>
      <c r="S233" s="8">
        <f t="shared" si="17"/>
        <v>9.3410197695360004</v>
      </c>
      <c r="T233" s="7">
        <f>IFERROR(_xlfn.XLOOKUP($A233,'Base SKUs'!$E:$E,'Base SKUs'!R:R),"")</f>
        <v>467.61500000000001</v>
      </c>
      <c r="U233" s="15">
        <f t="shared" si="18"/>
        <v>4368</v>
      </c>
      <c r="V233" t="str">
        <f t="shared" si="19"/>
        <v>Miami</v>
      </c>
    </row>
    <row r="234" spans="1:22" x14ac:dyDescent="0.2">
      <c r="A234" t="s">
        <v>434</v>
      </c>
      <c r="B234" s="5">
        <v>248</v>
      </c>
      <c r="C234" s="5">
        <v>0</v>
      </c>
      <c r="D234" s="5">
        <f t="shared" si="15"/>
        <v>248</v>
      </c>
      <c r="E234" s="6">
        <v>56.927599999999998</v>
      </c>
      <c r="F234" s="6">
        <f t="shared" si="16"/>
        <v>14118.0448</v>
      </c>
      <c r="G234" t="s">
        <v>17</v>
      </c>
      <c r="H234">
        <v>9007</v>
      </c>
      <c r="I234" t="str">
        <f>IFERROR(_xlfn.XLOOKUP($A234,'Base SKUs'!$E:$E,'Base SKUs'!A:A),"")</f>
        <v>Cumaru</v>
      </c>
      <c r="J234" t="str">
        <f>IFERROR(_xlfn.XLOOKUP($A234,'Base SKUs'!$E:$E,'Base SKUs'!B:B),"")</f>
        <v>Cumaru 2x8</v>
      </c>
      <c r="K234" t="str">
        <f>IFERROR(_xlfn.XLOOKUP($A234,'Base SKUs'!$E:$E,'Base SKUs'!C:C),"")</f>
        <v>Long</v>
      </c>
      <c r="L234" t="str">
        <f>IFERROR(_xlfn.XLOOKUP($A234,'Base SKUs'!$E:$E,'Base SKUs'!D:D),"")</f>
        <v>Hardwoods</v>
      </c>
      <c r="M234" t="str">
        <f>IFERROR(_xlfn.XLOOKUP($A234,'Base SKUs'!$E:$E,'Base SKUs'!G:G),"")</f>
        <v>Cumaru</v>
      </c>
      <c r="N234" t="str">
        <f>IFERROR(_xlfn.XLOOKUP($A234,'Base SKUs'!$E:$E,'Base SKUs'!H:H),"")</f>
        <v>S4S E4E</v>
      </c>
      <c r="O234" t="str">
        <f>IFERROR(_xlfn.XLOOKUP($A234,'Base SKUs'!$E:$E,'Base SKUs'!I:I),"")</f>
        <v>-</v>
      </c>
      <c r="P234" t="str">
        <f>IFERROR(_xlfn.XLOOKUP($A234,'Base SKUs'!$E:$E,'Base SKUs'!J:J),"")</f>
        <v>2x8</v>
      </c>
      <c r="Q234">
        <f>IFERROR(_xlfn.XLOOKUP($A234,'Base SKUs'!$E:$E,'Base SKUs'!K:K),"")</f>
        <v>14</v>
      </c>
      <c r="R234" s="7">
        <f>IFERROR(_xlfn.XLOOKUP($A234,'Base SKUs'!$E:$E,'Base SKUs'!S:S),"")</f>
        <v>2.9939165928E-2</v>
      </c>
      <c r="S234" s="8">
        <f t="shared" si="17"/>
        <v>7.4249131501440004</v>
      </c>
      <c r="T234" s="7">
        <f>IFERROR(_xlfn.XLOOKUP($A234,'Base SKUs'!$E:$E,'Base SKUs'!R:R),"")</f>
        <v>467.61500000000001</v>
      </c>
      <c r="U234" s="15">
        <f t="shared" si="18"/>
        <v>3472</v>
      </c>
      <c r="V234" t="str">
        <f t="shared" si="19"/>
        <v>Miami</v>
      </c>
    </row>
    <row r="235" spans="1:22" x14ac:dyDescent="0.2">
      <c r="A235" t="s">
        <v>436</v>
      </c>
      <c r="B235" s="5">
        <v>2</v>
      </c>
      <c r="C235" s="5">
        <v>0</v>
      </c>
      <c r="D235" s="5">
        <f t="shared" si="15"/>
        <v>2</v>
      </c>
      <c r="E235" s="6">
        <v>32.53</v>
      </c>
      <c r="F235" s="6">
        <f t="shared" si="16"/>
        <v>65.06</v>
      </c>
      <c r="G235" t="s">
        <v>17</v>
      </c>
      <c r="H235">
        <v>9007</v>
      </c>
      <c r="I235" t="str">
        <f>IFERROR(_xlfn.XLOOKUP($A235,'Base SKUs'!$E:$E,'Base SKUs'!A:A),"")</f>
        <v>Cumaru</v>
      </c>
      <c r="J235" t="str">
        <f>IFERROR(_xlfn.XLOOKUP($A235,'Base SKUs'!$E:$E,'Base SKUs'!B:B),"")</f>
        <v>Cumaru 2x8</v>
      </c>
      <c r="K235" t="str">
        <f>IFERROR(_xlfn.XLOOKUP($A235,'Base SKUs'!$E:$E,'Base SKUs'!C:C),"")</f>
        <v>Long</v>
      </c>
      <c r="L235" t="str">
        <f>IFERROR(_xlfn.XLOOKUP($A235,'Base SKUs'!$E:$E,'Base SKUs'!D:D),"")</f>
        <v>Hardwoods</v>
      </c>
      <c r="M235" t="str">
        <f>IFERROR(_xlfn.XLOOKUP($A235,'Base SKUs'!$E:$E,'Base SKUs'!G:G),"")</f>
        <v>Cumaru</v>
      </c>
      <c r="N235" t="str">
        <f>IFERROR(_xlfn.XLOOKUP($A235,'Base SKUs'!$E:$E,'Base SKUs'!H:H),"")</f>
        <v>S4S E4E</v>
      </c>
      <c r="O235" t="str">
        <f>IFERROR(_xlfn.XLOOKUP($A235,'Base SKUs'!$E:$E,'Base SKUs'!I:I),"")</f>
        <v>-</v>
      </c>
      <c r="P235" t="str">
        <f>IFERROR(_xlfn.XLOOKUP($A235,'Base SKUs'!$E:$E,'Base SKUs'!J:J),"")</f>
        <v>2x8</v>
      </c>
      <c r="Q235">
        <f>IFERROR(_xlfn.XLOOKUP($A235,'Base SKUs'!$E:$E,'Base SKUs'!K:K),"")</f>
        <v>8</v>
      </c>
      <c r="R235" s="7">
        <f>IFERROR(_xlfn.XLOOKUP($A235,'Base SKUs'!$E:$E,'Base SKUs'!S:S),"")</f>
        <v>1.7108094816000001E-2</v>
      </c>
      <c r="S235" s="8">
        <f t="shared" si="17"/>
        <v>3.4216189632000002E-2</v>
      </c>
      <c r="T235" s="7">
        <f>IFERROR(_xlfn.XLOOKUP($A235,'Base SKUs'!$E:$E,'Base SKUs'!R:R),"")</f>
        <v>467.61500000000001</v>
      </c>
      <c r="U235" s="15">
        <f t="shared" si="18"/>
        <v>16</v>
      </c>
      <c r="V235" t="str">
        <f t="shared" si="19"/>
        <v>Miami</v>
      </c>
    </row>
    <row r="236" spans="1:22" x14ac:dyDescent="0.2">
      <c r="A236" t="s">
        <v>438</v>
      </c>
      <c r="B236" s="5">
        <v>8</v>
      </c>
      <c r="C236" s="5">
        <v>0</v>
      </c>
      <c r="D236" s="5">
        <f t="shared" si="15"/>
        <v>8</v>
      </c>
      <c r="E236" s="6">
        <v>205.94120000000001</v>
      </c>
      <c r="F236" s="6">
        <f t="shared" si="16"/>
        <v>1647.5296000000001</v>
      </c>
      <c r="G236" t="s">
        <v>17</v>
      </c>
      <c r="H236">
        <v>9007</v>
      </c>
      <c r="I236" t="str">
        <f>IFERROR(_xlfn.XLOOKUP($A236,'Base SKUs'!$E:$E,'Base SKUs'!A:A),"")</f>
        <v>Cumaru</v>
      </c>
      <c r="J236" t="str">
        <f>IFERROR(_xlfn.XLOOKUP($A236,'Base SKUs'!$E:$E,'Base SKUs'!B:B),"")</f>
        <v>Cumaru 4x12</v>
      </c>
      <c r="K236" t="str">
        <f>IFERROR(_xlfn.XLOOKUP($A236,'Base SKUs'!$E:$E,'Base SKUs'!C:C),"")</f>
        <v>Long</v>
      </c>
      <c r="L236" t="str">
        <f>IFERROR(_xlfn.XLOOKUP($A236,'Base SKUs'!$E:$E,'Base SKUs'!D:D),"")</f>
        <v>Hardwoods</v>
      </c>
      <c r="M236" t="str">
        <f>IFERROR(_xlfn.XLOOKUP($A236,'Base SKUs'!$E:$E,'Base SKUs'!G:G),"")</f>
        <v>Cumaru</v>
      </c>
      <c r="N236" t="str">
        <f>IFERROR(_xlfn.XLOOKUP($A236,'Base SKUs'!$E:$E,'Base SKUs'!H:H),"")</f>
        <v>S4S E4E</v>
      </c>
      <c r="O236" t="str">
        <f>IFERROR(_xlfn.XLOOKUP($A236,'Base SKUs'!$E:$E,'Base SKUs'!I:I),"")</f>
        <v>-</v>
      </c>
      <c r="P236" t="str">
        <f>IFERROR(_xlfn.XLOOKUP($A236,'Base SKUs'!$E:$E,'Base SKUs'!J:J),"")</f>
        <v>4x12</v>
      </c>
      <c r="Q236">
        <f>IFERROR(_xlfn.XLOOKUP($A236,'Base SKUs'!$E:$E,'Base SKUs'!K:K),"")</f>
        <v>14</v>
      </c>
      <c r="R236" s="7">
        <f>IFERROR(_xlfn.XLOOKUP($A236,'Base SKUs'!$E:$E,'Base SKUs'!S:S),"")</f>
        <v>0.10840042836000001</v>
      </c>
      <c r="S236" s="8">
        <f t="shared" si="17"/>
        <v>0.86720342688000007</v>
      </c>
      <c r="T236" s="7">
        <f>IFERROR(_xlfn.XLOOKUP($A236,'Base SKUs'!$E:$E,'Base SKUs'!R:R),"")</f>
        <v>129.15100000000001</v>
      </c>
      <c r="U236" s="15">
        <f t="shared" si="18"/>
        <v>112</v>
      </c>
      <c r="V236" t="str">
        <f t="shared" si="19"/>
        <v>Miami</v>
      </c>
    </row>
    <row r="237" spans="1:22" x14ac:dyDescent="0.2">
      <c r="A237" t="s">
        <v>440</v>
      </c>
      <c r="B237" s="5">
        <v>45</v>
      </c>
      <c r="C237" s="5">
        <v>0</v>
      </c>
      <c r="D237" s="5">
        <f t="shared" si="15"/>
        <v>45</v>
      </c>
      <c r="E237" s="6">
        <v>235.3614</v>
      </c>
      <c r="F237" s="6">
        <f t="shared" si="16"/>
        <v>10591.263000000001</v>
      </c>
      <c r="G237" t="s">
        <v>17</v>
      </c>
      <c r="H237">
        <v>9007</v>
      </c>
      <c r="I237" t="str">
        <f>IFERROR(_xlfn.XLOOKUP($A237,'Base SKUs'!$E:$E,'Base SKUs'!A:A),"")</f>
        <v>Cumaru</v>
      </c>
      <c r="J237" t="str">
        <f>IFERROR(_xlfn.XLOOKUP($A237,'Base SKUs'!$E:$E,'Base SKUs'!B:B),"")</f>
        <v>Cumaru 4x12</v>
      </c>
      <c r="K237" t="str">
        <f>IFERROR(_xlfn.XLOOKUP($A237,'Base SKUs'!$E:$E,'Base SKUs'!C:C),"")</f>
        <v>Long</v>
      </c>
      <c r="L237" t="str">
        <f>IFERROR(_xlfn.XLOOKUP($A237,'Base SKUs'!$E:$E,'Base SKUs'!D:D),"")</f>
        <v>Hardwoods</v>
      </c>
      <c r="M237" t="str">
        <f>IFERROR(_xlfn.XLOOKUP($A237,'Base SKUs'!$E:$E,'Base SKUs'!G:G),"")</f>
        <v>Cumaru</v>
      </c>
      <c r="N237" t="str">
        <f>IFERROR(_xlfn.XLOOKUP($A237,'Base SKUs'!$E:$E,'Base SKUs'!H:H),"")</f>
        <v>S4S E4E</v>
      </c>
      <c r="O237" t="str">
        <f>IFERROR(_xlfn.XLOOKUP($A237,'Base SKUs'!$E:$E,'Base SKUs'!I:I),"")</f>
        <v>-</v>
      </c>
      <c r="P237" t="str">
        <f>IFERROR(_xlfn.XLOOKUP($A237,'Base SKUs'!$E:$E,'Base SKUs'!J:J),"")</f>
        <v>4x12</v>
      </c>
      <c r="Q237">
        <f>IFERROR(_xlfn.XLOOKUP($A237,'Base SKUs'!$E:$E,'Base SKUs'!K:K),"")</f>
        <v>16</v>
      </c>
      <c r="R237" s="7">
        <f>IFERROR(_xlfn.XLOOKUP($A237,'Base SKUs'!$E:$E,'Base SKUs'!S:S),"")</f>
        <v>0.12388620384000003</v>
      </c>
      <c r="S237" s="8">
        <f t="shared" si="17"/>
        <v>5.5748791728000011</v>
      </c>
      <c r="T237" s="7">
        <f>IFERROR(_xlfn.XLOOKUP($A237,'Base SKUs'!$E:$E,'Base SKUs'!R:R),"")</f>
        <v>129.15100000000001</v>
      </c>
      <c r="U237" s="15">
        <f t="shared" si="18"/>
        <v>720</v>
      </c>
      <c r="V237" t="str">
        <f t="shared" si="19"/>
        <v>Miami</v>
      </c>
    </row>
    <row r="238" spans="1:22" x14ac:dyDescent="0.2">
      <c r="A238" t="s">
        <v>442</v>
      </c>
      <c r="B238" s="5">
        <v>61</v>
      </c>
      <c r="C238" s="5">
        <v>0</v>
      </c>
      <c r="D238" s="5">
        <f t="shared" si="15"/>
        <v>61</v>
      </c>
      <c r="E238" s="6">
        <v>48.385599999999997</v>
      </c>
      <c r="F238" s="6">
        <f t="shared" si="16"/>
        <v>2951.5215999999996</v>
      </c>
      <c r="G238" t="s">
        <v>17</v>
      </c>
      <c r="H238">
        <v>9007</v>
      </c>
      <c r="I238" t="str">
        <f>IFERROR(_xlfn.XLOOKUP($A238,'Base SKUs'!$E:$E,'Base SKUs'!A:A),"")</f>
        <v>Cumaru</v>
      </c>
      <c r="J238" t="str">
        <f>IFERROR(_xlfn.XLOOKUP($A238,'Base SKUs'!$E:$E,'Base SKUs'!B:B),"")</f>
        <v>Cumaru 5/4x10</v>
      </c>
      <c r="K238" t="str">
        <f>IFERROR(_xlfn.XLOOKUP($A238,'Base SKUs'!$E:$E,'Base SKUs'!C:C),"")</f>
        <v>Long</v>
      </c>
      <c r="L238" t="str">
        <f>IFERROR(_xlfn.XLOOKUP($A238,'Base SKUs'!$E:$E,'Base SKUs'!D:D),"")</f>
        <v>Hardwoods</v>
      </c>
      <c r="M238" t="str">
        <f>IFERROR(_xlfn.XLOOKUP($A238,'Base SKUs'!$E:$E,'Base SKUs'!G:G),"")</f>
        <v>Cumaru</v>
      </c>
      <c r="N238" t="str">
        <f>IFERROR(_xlfn.XLOOKUP($A238,'Base SKUs'!$E:$E,'Base SKUs'!H:H),"")</f>
        <v>S4S E4E</v>
      </c>
      <c r="O238" t="str">
        <f>IFERROR(_xlfn.XLOOKUP($A238,'Base SKUs'!$E:$E,'Base SKUs'!I:I),"")</f>
        <v>-</v>
      </c>
      <c r="P238" t="str">
        <f>IFERROR(_xlfn.XLOOKUP($A238,'Base SKUs'!$E:$E,'Base SKUs'!J:J),"")</f>
        <v>5/4x10</v>
      </c>
      <c r="Q238">
        <f>IFERROR(_xlfn.XLOOKUP($A238,'Base SKUs'!$E:$E,'Base SKUs'!K:K),"")</f>
        <v>14</v>
      </c>
      <c r="R238" s="7">
        <f>IFERROR(_xlfn.XLOOKUP($A238,'Base SKUs'!$E:$E,'Base SKUs'!S:S),"")</f>
        <v>2.5465497455999998E-2</v>
      </c>
      <c r="S238" s="8">
        <f t="shared" si="17"/>
        <v>1.5533953448159998</v>
      </c>
      <c r="T238" s="7">
        <f>IFERROR(_xlfn.XLOOKUP($A238,'Base SKUs'!$E:$E,'Base SKUs'!R:R),"")</f>
        <v>549.76300000000003</v>
      </c>
      <c r="U238" s="15">
        <f t="shared" si="18"/>
        <v>854</v>
      </c>
      <c r="V238" t="str">
        <f t="shared" si="19"/>
        <v>Miami</v>
      </c>
    </row>
    <row r="239" spans="1:22" x14ac:dyDescent="0.2">
      <c r="A239" t="s">
        <v>444</v>
      </c>
      <c r="B239" s="5">
        <v>1</v>
      </c>
      <c r="C239" s="5">
        <v>0</v>
      </c>
      <c r="D239" s="5">
        <f t="shared" si="15"/>
        <v>1</v>
      </c>
      <c r="E239" s="6">
        <v>40.799199999999999</v>
      </c>
      <c r="F239" s="6">
        <f t="shared" si="16"/>
        <v>40.799199999999999</v>
      </c>
      <c r="G239" t="s">
        <v>17</v>
      </c>
      <c r="H239">
        <v>9007</v>
      </c>
      <c r="I239" t="str">
        <f>IFERROR(_xlfn.XLOOKUP($A239,'Base SKUs'!$E:$E,'Base SKUs'!A:A),"")</f>
        <v>Cumaru</v>
      </c>
      <c r="J239" t="str">
        <f>IFERROR(_xlfn.XLOOKUP($A239,'Base SKUs'!$E:$E,'Base SKUs'!B:B),"")</f>
        <v>Cumaru 5/4x12</v>
      </c>
      <c r="K239" t="str">
        <f>IFERROR(_xlfn.XLOOKUP($A239,'Base SKUs'!$E:$E,'Base SKUs'!C:C),"")</f>
        <v>Long</v>
      </c>
      <c r="L239" t="str">
        <f>IFERROR(_xlfn.XLOOKUP($A239,'Base SKUs'!$E:$E,'Base SKUs'!D:D),"")</f>
        <v>Hardwoods</v>
      </c>
      <c r="M239" t="str">
        <f>IFERROR(_xlfn.XLOOKUP($A239,'Base SKUs'!$E:$E,'Base SKUs'!G:G),"")</f>
        <v>Cumaru</v>
      </c>
      <c r="N239" t="str">
        <f>IFERROR(_xlfn.XLOOKUP($A239,'Base SKUs'!$E:$E,'Base SKUs'!H:H),"")</f>
        <v>S4S E4E</v>
      </c>
      <c r="O239" t="str">
        <f>IFERROR(_xlfn.XLOOKUP($A239,'Base SKUs'!$E:$E,'Base SKUs'!I:I),"")</f>
        <v>-</v>
      </c>
      <c r="P239" t="str">
        <f>IFERROR(_xlfn.XLOOKUP($A239,'Base SKUs'!$E:$E,'Base SKUs'!J:J),"")</f>
        <v>5/4x12</v>
      </c>
      <c r="Q239">
        <f>IFERROR(_xlfn.XLOOKUP($A239,'Base SKUs'!$E:$E,'Base SKUs'!K:K),"")</f>
        <v>10</v>
      </c>
      <c r="R239" s="7">
        <f>IFERROR(_xlfn.XLOOKUP($A239,'Base SKUs'!$E:$E,'Base SKUs'!S:S),"")</f>
        <v>2.21225364E-2</v>
      </c>
      <c r="S239" s="8">
        <f t="shared" si="17"/>
        <v>2.21225364E-2</v>
      </c>
      <c r="T239" s="7">
        <f>IFERROR(_xlfn.XLOOKUP($A239,'Base SKUs'!$E:$E,'Base SKUs'!R:R),"")</f>
        <v>452.02800000000002</v>
      </c>
      <c r="U239" s="15">
        <f t="shared" si="18"/>
        <v>10</v>
      </c>
      <c r="V239" t="str">
        <f t="shared" si="19"/>
        <v>Miami</v>
      </c>
    </row>
    <row r="240" spans="1:22" x14ac:dyDescent="0.2">
      <c r="A240" t="s">
        <v>446</v>
      </c>
      <c r="B240" s="5">
        <v>5</v>
      </c>
      <c r="C240" s="5">
        <v>0</v>
      </c>
      <c r="D240" s="5">
        <f t="shared" si="15"/>
        <v>5</v>
      </c>
      <c r="E240" s="6">
        <v>48.959099999999999</v>
      </c>
      <c r="F240" s="6">
        <f t="shared" si="16"/>
        <v>244.7955</v>
      </c>
      <c r="G240" t="s">
        <v>17</v>
      </c>
      <c r="H240">
        <v>9007</v>
      </c>
      <c r="I240" t="str">
        <f>IFERROR(_xlfn.XLOOKUP($A240,'Base SKUs'!$E:$E,'Base SKUs'!A:A),"")</f>
        <v>Cumaru</v>
      </c>
      <c r="J240" t="str">
        <f>IFERROR(_xlfn.XLOOKUP($A240,'Base SKUs'!$E:$E,'Base SKUs'!B:B),"")</f>
        <v>Cumaru 5/4x12</v>
      </c>
      <c r="K240" t="str">
        <f>IFERROR(_xlfn.XLOOKUP($A240,'Base SKUs'!$E:$E,'Base SKUs'!C:C),"")</f>
        <v>Long</v>
      </c>
      <c r="L240" t="str">
        <f>IFERROR(_xlfn.XLOOKUP($A240,'Base SKUs'!$E:$E,'Base SKUs'!D:D),"")</f>
        <v>Hardwoods</v>
      </c>
      <c r="M240" t="str">
        <f>IFERROR(_xlfn.XLOOKUP($A240,'Base SKUs'!$E:$E,'Base SKUs'!G:G),"")</f>
        <v>Cumaru</v>
      </c>
      <c r="N240" t="str">
        <f>IFERROR(_xlfn.XLOOKUP($A240,'Base SKUs'!$E:$E,'Base SKUs'!H:H),"")</f>
        <v>S4S E4E</v>
      </c>
      <c r="O240" t="str">
        <f>IFERROR(_xlfn.XLOOKUP($A240,'Base SKUs'!$E:$E,'Base SKUs'!I:I),"")</f>
        <v>-</v>
      </c>
      <c r="P240" t="str">
        <f>IFERROR(_xlfn.XLOOKUP($A240,'Base SKUs'!$E:$E,'Base SKUs'!J:J),"")</f>
        <v>5/4x12</v>
      </c>
      <c r="Q240">
        <f>IFERROR(_xlfn.XLOOKUP($A240,'Base SKUs'!$E:$E,'Base SKUs'!K:K),"")</f>
        <v>12</v>
      </c>
      <c r="R240" s="7">
        <f>IFERROR(_xlfn.XLOOKUP($A240,'Base SKUs'!$E:$E,'Base SKUs'!S:S),"")</f>
        <v>2.6547043679999997E-2</v>
      </c>
      <c r="S240" s="8">
        <f t="shared" si="17"/>
        <v>0.13273521839999999</v>
      </c>
      <c r="T240" s="7">
        <f>IFERROR(_xlfn.XLOOKUP($A240,'Base SKUs'!$E:$E,'Base SKUs'!R:R),"")</f>
        <v>452.02800000000002</v>
      </c>
      <c r="U240" s="15">
        <f t="shared" si="18"/>
        <v>60</v>
      </c>
      <c r="V240" t="str">
        <f t="shared" si="19"/>
        <v>Miami</v>
      </c>
    </row>
    <row r="241" spans="1:22" x14ac:dyDescent="0.2">
      <c r="A241" t="s">
        <v>448</v>
      </c>
      <c r="B241" s="5">
        <v>72</v>
      </c>
      <c r="C241" s="5">
        <v>0</v>
      </c>
      <c r="D241" s="5">
        <f t="shared" si="15"/>
        <v>72</v>
      </c>
      <c r="E241" s="6">
        <v>57.118899999999996</v>
      </c>
      <c r="F241" s="6">
        <f t="shared" si="16"/>
        <v>4112.5607999999993</v>
      </c>
      <c r="G241" t="s">
        <v>17</v>
      </c>
      <c r="H241">
        <v>9007</v>
      </c>
      <c r="I241" t="str">
        <f>IFERROR(_xlfn.XLOOKUP($A241,'Base SKUs'!$E:$E,'Base SKUs'!A:A),"")</f>
        <v>Cumaru</v>
      </c>
      <c r="J241" t="str">
        <f>IFERROR(_xlfn.XLOOKUP($A241,'Base SKUs'!$E:$E,'Base SKUs'!B:B),"")</f>
        <v>Cumaru 5/4x12</v>
      </c>
      <c r="K241" t="str">
        <f>IFERROR(_xlfn.XLOOKUP($A241,'Base SKUs'!$E:$E,'Base SKUs'!C:C),"")</f>
        <v>Long</v>
      </c>
      <c r="L241" t="str">
        <f>IFERROR(_xlfn.XLOOKUP($A241,'Base SKUs'!$E:$E,'Base SKUs'!D:D),"")</f>
        <v>Hardwoods</v>
      </c>
      <c r="M241" t="str">
        <f>IFERROR(_xlfn.XLOOKUP($A241,'Base SKUs'!$E:$E,'Base SKUs'!G:G),"")</f>
        <v>Cumaru</v>
      </c>
      <c r="N241" t="str">
        <f>IFERROR(_xlfn.XLOOKUP($A241,'Base SKUs'!$E:$E,'Base SKUs'!H:H),"")</f>
        <v>S4S E4E</v>
      </c>
      <c r="O241" t="str">
        <f>IFERROR(_xlfn.XLOOKUP($A241,'Base SKUs'!$E:$E,'Base SKUs'!I:I),"")</f>
        <v>-</v>
      </c>
      <c r="P241" t="str">
        <f>IFERROR(_xlfn.XLOOKUP($A241,'Base SKUs'!$E:$E,'Base SKUs'!J:J),"")</f>
        <v>5/4x12</v>
      </c>
      <c r="Q241">
        <f>IFERROR(_xlfn.XLOOKUP($A241,'Base SKUs'!$E:$E,'Base SKUs'!K:K),"")</f>
        <v>14</v>
      </c>
      <c r="R241" s="7">
        <f>IFERROR(_xlfn.XLOOKUP($A241,'Base SKUs'!$E:$E,'Base SKUs'!S:S),"")</f>
        <v>3.0971550959999997E-2</v>
      </c>
      <c r="S241" s="8">
        <f t="shared" si="17"/>
        <v>2.2299516691199996</v>
      </c>
      <c r="T241" s="7">
        <f>IFERROR(_xlfn.XLOOKUP($A241,'Base SKUs'!$E:$E,'Base SKUs'!R:R),"")</f>
        <v>452.02800000000002</v>
      </c>
      <c r="U241" s="15">
        <f t="shared" si="18"/>
        <v>1008</v>
      </c>
      <c r="V241" t="str">
        <f t="shared" si="19"/>
        <v>Miami</v>
      </c>
    </row>
    <row r="242" spans="1:22" x14ac:dyDescent="0.2">
      <c r="A242" t="s">
        <v>450</v>
      </c>
      <c r="B242" s="5">
        <v>16</v>
      </c>
      <c r="C242" s="5">
        <v>0</v>
      </c>
      <c r="D242" s="5">
        <f t="shared" si="15"/>
        <v>16</v>
      </c>
      <c r="E242" s="6">
        <v>32.639400000000002</v>
      </c>
      <c r="F242" s="6">
        <f t="shared" si="16"/>
        <v>522.23040000000003</v>
      </c>
      <c r="G242" t="s">
        <v>17</v>
      </c>
      <c r="H242">
        <v>9007</v>
      </c>
      <c r="I242" t="str">
        <f>IFERROR(_xlfn.XLOOKUP($A242,'Base SKUs'!$E:$E,'Base SKUs'!A:A),"")</f>
        <v>Cumaru</v>
      </c>
      <c r="J242" t="str">
        <f>IFERROR(_xlfn.XLOOKUP($A242,'Base SKUs'!$E:$E,'Base SKUs'!B:B),"")</f>
        <v>Cumaru 5/4x12</v>
      </c>
      <c r="K242" t="str">
        <f>IFERROR(_xlfn.XLOOKUP($A242,'Base SKUs'!$E:$E,'Base SKUs'!C:C),"")</f>
        <v>Long</v>
      </c>
      <c r="L242" t="str">
        <f>IFERROR(_xlfn.XLOOKUP($A242,'Base SKUs'!$E:$E,'Base SKUs'!D:D),"")</f>
        <v>Hardwoods</v>
      </c>
      <c r="M242" t="str">
        <f>IFERROR(_xlfn.XLOOKUP($A242,'Base SKUs'!$E:$E,'Base SKUs'!G:G),"")</f>
        <v>Cumaru</v>
      </c>
      <c r="N242" t="str">
        <f>IFERROR(_xlfn.XLOOKUP($A242,'Base SKUs'!$E:$E,'Base SKUs'!H:H),"")</f>
        <v>S4S E4E</v>
      </c>
      <c r="O242" t="str">
        <f>IFERROR(_xlfn.XLOOKUP($A242,'Base SKUs'!$E:$E,'Base SKUs'!I:I),"")</f>
        <v>-</v>
      </c>
      <c r="P242" t="str">
        <f>IFERROR(_xlfn.XLOOKUP($A242,'Base SKUs'!$E:$E,'Base SKUs'!J:J),"")</f>
        <v>5/4x12</v>
      </c>
      <c r="Q242">
        <f>IFERROR(_xlfn.XLOOKUP($A242,'Base SKUs'!$E:$E,'Base SKUs'!K:K),"")</f>
        <v>8</v>
      </c>
      <c r="R242" s="7">
        <f>IFERROR(_xlfn.XLOOKUP($A242,'Base SKUs'!$E:$E,'Base SKUs'!S:S),"")</f>
        <v>1.769802912E-2</v>
      </c>
      <c r="S242" s="8">
        <f t="shared" si="17"/>
        <v>0.28316846592</v>
      </c>
      <c r="T242" s="7">
        <f>IFERROR(_xlfn.XLOOKUP($A242,'Base SKUs'!$E:$E,'Base SKUs'!R:R),"")</f>
        <v>452.02800000000002</v>
      </c>
      <c r="U242" s="15">
        <f t="shared" si="18"/>
        <v>128</v>
      </c>
      <c r="V242" t="str">
        <f t="shared" si="19"/>
        <v>Miami</v>
      </c>
    </row>
    <row r="243" spans="1:22" x14ac:dyDescent="0.2">
      <c r="A243" t="s">
        <v>452</v>
      </c>
      <c r="B243" s="5">
        <v>12</v>
      </c>
      <c r="C243" s="5">
        <v>0</v>
      </c>
      <c r="D243" s="5">
        <f t="shared" si="15"/>
        <v>12</v>
      </c>
      <c r="E243" s="6">
        <v>16.222100000000001</v>
      </c>
      <c r="F243" s="6">
        <f t="shared" si="16"/>
        <v>194.66520000000003</v>
      </c>
      <c r="G243" t="s">
        <v>24</v>
      </c>
      <c r="H243">
        <v>9008</v>
      </c>
      <c r="I243" t="str">
        <f>IFERROR(_xlfn.XLOOKUP($A243,'Base SKUs'!$E:$E,'Base SKUs'!A:A),"")</f>
        <v>Cumaru</v>
      </c>
      <c r="J243" t="str">
        <f>IFERROR(_xlfn.XLOOKUP($A243,'Base SKUs'!$E:$E,'Base SKUs'!B:B),"")</f>
        <v>Cumaru 5/4x6</v>
      </c>
      <c r="K243" t="str">
        <f>IFERROR(_xlfn.XLOOKUP($A243,'Base SKUs'!$E:$E,'Base SKUs'!C:C),"")</f>
        <v>Long</v>
      </c>
      <c r="L243" t="str">
        <f>IFERROR(_xlfn.XLOOKUP($A243,'Base SKUs'!$E:$E,'Base SKUs'!D:D),"")</f>
        <v>Hardwoods</v>
      </c>
      <c r="M243" t="str">
        <f>IFERROR(_xlfn.XLOOKUP($A243,'Base SKUs'!$E:$E,'Base SKUs'!G:G),"")</f>
        <v>Cumaru</v>
      </c>
      <c r="N243" t="str">
        <f>IFERROR(_xlfn.XLOOKUP($A243,'Base SKUs'!$E:$E,'Base SKUs'!H:H),"")</f>
        <v>S4S E4E</v>
      </c>
      <c r="O243" t="str">
        <f>IFERROR(_xlfn.XLOOKUP($A243,'Base SKUs'!$E:$E,'Base SKUs'!I:I),"")</f>
        <v>-</v>
      </c>
      <c r="P243" t="str">
        <f>IFERROR(_xlfn.XLOOKUP($A243,'Base SKUs'!$E:$E,'Base SKUs'!J:J),"")</f>
        <v>5/4x6</v>
      </c>
      <c r="Q243">
        <f>IFERROR(_xlfn.XLOOKUP($A243,'Base SKUs'!$E:$E,'Base SKUs'!K:K),"")</f>
        <v>10</v>
      </c>
      <c r="R243" s="7">
        <f>IFERROR(_xlfn.XLOOKUP($A243,'Base SKUs'!$E:$E,'Base SKUs'!S:S),"")</f>
        <v>1.081546224E-2</v>
      </c>
      <c r="S243" s="8">
        <f t="shared" si="17"/>
        <v>0.12978554687999999</v>
      </c>
      <c r="T243" s="7">
        <f>IFERROR(_xlfn.XLOOKUP($A243,'Base SKUs'!$E:$E,'Base SKUs'!R:R),"")</f>
        <v>924.60199999999998</v>
      </c>
      <c r="U243" s="15">
        <f t="shared" si="18"/>
        <v>120</v>
      </c>
      <c r="V243" t="str">
        <f t="shared" si="19"/>
        <v>Texas</v>
      </c>
    </row>
    <row r="244" spans="1:22" x14ac:dyDescent="0.2">
      <c r="A244" t="s">
        <v>452</v>
      </c>
      <c r="B244" s="5">
        <v>210</v>
      </c>
      <c r="C244" s="5">
        <v>0</v>
      </c>
      <c r="D244" s="5">
        <f t="shared" si="15"/>
        <v>210</v>
      </c>
      <c r="E244" s="6">
        <v>16.222100000000001</v>
      </c>
      <c r="F244" s="6">
        <f t="shared" si="16"/>
        <v>3406.6410000000001</v>
      </c>
      <c r="G244" t="s">
        <v>125</v>
      </c>
      <c r="H244">
        <v>9009</v>
      </c>
      <c r="I244" t="str">
        <f>IFERROR(_xlfn.XLOOKUP($A244,'Base SKUs'!$E:$E,'Base SKUs'!A:A),"")</f>
        <v>Cumaru</v>
      </c>
      <c r="J244" t="str">
        <f>IFERROR(_xlfn.XLOOKUP($A244,'Base SKUs'!$E:$E,'Base SKUs'!B:B),"")</f>
        <v>Cumaru 5/4x6</v>
      </c>
      <c r="K244" t="str">
        <f>IFERROR(_xlfn.XLOOKUP($A244,'Base SKUs'!$E:$E,'Base SKUs'!C:C),"")</f>
        <v>Long</v>
      </c>
      <c r="L244" t="str">
        <f>IFERROR(_xlfn.XLOOKUP($A244,'Base SKUs'!$E:$E,'Base SKUs'!D:D),"")</f>
        <v>Hardwoods</v>
      </c>
      <c r="M244" t="str">
        <f>IFERROR(_xlfn.XLOOKUP($A244,'Base SKUs'!$E:$E,'Base SKUs'!G:G),"")</f>
        <v>Cumaru</v>
      </c>
      <c r="N244" t="str">
        <f>IFERROR(_xlfn.XLOOKUP($A244,'Base SKUs'!$E:$E,'Base SKUs'!H:H),"")</f>
        <v>S4S E4E</v>
      </c>
      <c r="O244" t="str">
        <f>IFERROR(_xlfn.XLOOKUP($A244,'Base SKUs'!$E:$E,'Base SKUs'!I:I),"")</f>
        <v>-</v>
      </c>
      <c r="P244" t="str">
        <f>IFERROR(_xlfn.XLOOKUP($A244,'Base SKUs'!$E:$E,'Base SKUs'!J:J),"")</f>
        <v>5/4x6</v>
      </c>
      <c r="Q244">
        <f>IFERROR(_xlfn.XLOOKUP($A244,'Base SKUs'!$E:$E,'Base SKUs'!K:K),"")</f>
        <v>10</v>
      </c>
      <c r="R244" s="7">
        <f>IFERROR(_xlfn.XLOOKUP($A244,'Base SKUs'!$E:$E,'Base SKUs'!S:S),"")</f>
        <v>1.081546224E-2</v>
      </c>
      <c r="S244" s="8">
        <f t="shared" si="17"/>
        <v>2.2712470704000003</v>
      </c>
      <c r="T244" s="7">
        <f>IFERROR(_xlfn.XLOOKUP($A244,'Base SKUs'!$E:$E,'Base SKUs'!R:R),"")</f>
        <v>924.60199999999998</v>
      </c>
      <c r="U244" s="15">
        <f t="shared" si="18"/>
        <v>2100</v>
      </c>
      <c r="V244" t="str">
        <f t="shared" si="19"/>
        <v>Boston</v>
      </c>
    </row>
    <row r="245" spans="1:22" x14ac:dyDescent="0.2">
      <c r="A245" t="s">
        <v>452</v>
      </c>
      <c r="B245" s="5">
        <v>131</v>
      </c>
      <c r="C245" s="5">
        <v>131</v>
      </c>
      <c r="D245" s="5">
        <f t="shared" si="15"/>
        <v>0</v>
      </c>
      <c r="E245" s="6">
        <v>16.222100000000001</v>
      </c>
      <c r="F245" s="6">
        <f t="shared" si="16"/>
        <v>2125.0951</v>
      </c>
      <c r="G245" t="s">
        <v>330</v>
      </c>
      <c r="H245">
        <v>9011</v>
      </c>
      <c r="I245" t="str">
        <f>IFERROR(_xlfn.XLOOKUP($A245,'Base SKUs'!$E:$E,'Base SKUs'!A:A),"")</f>
        <v>Cumaru</v>
      </c>
      <c r="J245" t="str">
        <f>IFERROR(_xlfn.XLOOKUP($A245,'Base SKUs'!$E:$E,'Base SKUs'!B:B),"")</f>
        <v>Cumaru 5/4x6</v>
      </c>
      <c r="K245" t="str">
        <f>IFERROR(_xlfn.XLOOKUP($A245,'Base SKUs'!$E:$E,'Base SKUs'!C:C),"")</f>
        <v>Long</v>
      </c>
      <c r="L245" t="str">
        <f>IFERROR(_xlfn.XLOOKUP($A245,'Base SKUs'!$E:$E,'Base SKUs'!D:D),"")</f>
        <v>Hardwoods</v>
      </c>
      <c r="M245" t="str">
        <f>IFERROR(_xlfn.XLOOKUP($A245,'Base SKUs'!$E:$E,'Base SKUs'!G:G),"")</f>
        <v>Cumaru</v>
      </c>
      <c r="N245" t="str">
        <f>IFERROR(_xlfn.XLOOKUP($A245,'Base SKUs'!$E:$E,'Base SKUs'!H:H),"")</f>
        <v>S4S E4E</v>
      </c>
      <c r="O245" t="str">
        <f>IFERROR(_xlfn.XLOOKUP($A245,'Base SKUs'!$E:$E,'Base SKUs'!I:I),"")</f>
        <v>-</v>
      </c>
      <c r="P245" t="str">
        <f>IFERROR(_xlfn.XLOOKUP($A245,'Base SKUs'!$E:$E,'Base SKUs'!J:J),"")</f>
        <v>5/4x6</v>
      </c>
      <c r="Q245">
        <f>IFERROR(_xlfn.XLOOKUP($A245,'Base SKUs'!$E:$E,'Base SKUs'!K:K),"")</f>
        <v>10</v>
      </c>
      <c r="R245" s="7">
        <f>IFERROR(_xlfn.XLOOKUP($A245,'Base SKUs'!$E:$E,'Base SKUs'!S:S),"")</f>
        <v>1.081546224E-2</v>
      </c>
      <c r="S245" s="8">
        <f t="shared" si="17"/>
        <v>0</v>
      </c>
      <c r="T245" s="7">
        <f>IFERROR(_xlfn.XLOOKUP($A245,'Base SKUs'!$E:$E,'Base SKUs'!R:R),"")</f>
        <v>924.60199999999998</v>
      </c>
      <c r="U245" s="15">
        <f t="shared" si="18"/>
        <v>0</v>
      </c>
      <c r="V245" t="str">
        <f t="shared" si="19"/>
        <v>New York</v>
      </c>
    </row>
    <row r="246" spans="1:22" x14ac:dyDescent="0.2">
      <c r="A246" t="s">
        <v>452</v>
      </c>
      <c r="B246" s="5">
        <v>112</v>
      </c>
      <c r="C246" s="5">
        <v>0</v>
      </c>
      <c r="D246" s="5">
        <f t="shared" si="15"/>
        <v>112</v>
      </c>
      <c r="E246" s="6">
        <v>16.222100000000001</v>
      </c>
      <c r="F246" s="6">
        <f t="shared" si="16"/>
        <v>1816.8752000000002</v>
      </c>
      <c r="G246" t="s">
        <v>454</v>
      </c>
      <c r="H246">
        <v>9013</v>
      </c>
      <c r="I246" t="str">
        <f>IFERROR(_xlfn.XLOOKUP($A246,'Base SKUs'!$E:$E,'Base SKUs'!A:A),"")</f>
        <v>Cumaru</v>
      </c>
      <c r="J246" t="str">
        <f>IFERROR(_xlfn.XLOOKUP($A246,'Base SKUs'!$E:$E,'Base SKUs'!B:B),"")</f>
        <v>Cumaru 5/4x6</v>
      </c>
      <c r="K246" t="str">
        <f>IFERROR(_xlfn.XLOOKUP($A246,'Base SKUs'!$E:$E,'Base SKUs'!C:C),"")</f>
        <v>Long</v>
      </c>
      <c r="L246" t="str">
        <f>IFERROR(_xlfn.XLOOKUP($A246,'Base SKUs'!$E:$E,'Base SKUs'!D:D),"")</f>
        <v>Hardwoods</v>
      </c>
      <c r="M246" t="str">
        <f>IFERROR(_xlfn.XLOOKUP($A246,'Base SKUs'!$E:$E,'Base SKUs'!G:G),"")</f>
        <v>Cumaru</v>
      </c>
      <c r="N246" t="str">
        <f>IFERROR(_xlfn.XLOOKUP($A246,'Base SKUs'!$E:$E,'Base SKUs'!H:H),"")</f>
        <v>S4S E4E</v>
      </c>
      <c r="O246" t="str">
        <f>IFERROR(_xlfn.XLOOKUP($A246,'Base SKUs'!$E:$E,'Base SKUs'!I:I),"")</f>
        <v>-</v>
      </c>
      <c r="P246" t="str">
        <f>IFERROR(_xlfn.XLOOKUP($A246,'Base SKUs'!$E:$E,'Base SKUs'!J:J),"")</f>
        <v>5/4x6</v>
      </c>
      <c r="Q246">
        <f>IFERROR(_xlfn.XLOOKUP($A246,'Base SKUs'!$E:$E,'Base SKUs'!K:K),"")</f>
        <v>10</v>
      </c>
      <c r="R246" s="7">
        <f>IFERROR(_xlfn.XLOOKUP($A246,'Base SKUs'!$E:$E,'Base SKUs'!S:S),"")</f>
        <v>1.081546224E-2</v>
      </c>
      <c r="S246" s="8">
        <f t="shared" si="17"/>
        <v>1.21133177088</v>
      </c>
      <c r="T246" s="7">
        <f>IFERROR(_xlfn.XLOOKUP($A246,'Base SKUs'!$E:$E,'Base SKUs'!R:R),"")</f>
        <v>924.60199999999998</v>
      </c>
      <c r="U246" s="15">
        <f t="shared" si="18"/>
        <v>1120</v>
      </c>
      <c r="V246" t="str">
        <f t="shared" si="19"/>
        <v>BS Riverside</v>
      </c>
    </row>
    <row r="247" spans="1:22" x14ac:dyDescent="0.2">
      <c r="A247" t="s">
        <v>457</v>
      </c>
      <c r="B247" s="5">
        <v>138</v>
      </c>
      <c r="C247" s="5">
        <v>0</v>
      </c>
      <c r="D247" s="5">
        <f t="shared" si="15"/>
        <v>138</v>
      </c>
      <c r="E247" s="6">
        <v>22.467199999999998</v>
      </c>
      <c r="F247" s="6">
        <f t="shared" si="16"/>
        <v>3100.4735999999998</v>
      </c>
      <c r="G247" t="s">
        <v>125</v>
      </c>
      <c r="H247">
        <v>9009</v>
      </c>
      <c r="I247" t="str">
        <f>IFERROR(_xlfn.XLOOKUP($A247,'Base SKUs'!$E:$E,'Base SKUs'!A:A),"")</f>
        <v>Cumaru</v>
      </c>
      <c r="J247" t="str">
        <f>IFERROR(_xlfn.XLOOKUP($A247,'Base SKUs'!$E:$E,'Base SKUs'!B:B),"")</f>
        <v>Cumaru 5/4x6</v>
      </c>
      <c r="K247" t="str">
        <f>IFERROR(_xlfn.XLOOKUP($A247,'Base SKUs'!$E:$E,'Base SKUs'!C:C),"")</f>
        <v>Long</v>
      </c>
      <c r="L247" t="str">
        <f>IFERROR(_xlfn.XLOOKUP($A247,'Base SKUs'!$E:$E,'Base SKUs'!D:D),"")</f>
        <v>Hardwoods</v>
      </c>
      <c r="M247" t="str">
        <f>IFERROR(_xlfn.XLOOKUP($A247,'Base SKUs'!$E:$E,'Base SKUs'!G:G),"")</f>
        <v>Cumaru</v>
      </c>
      <c r="N247" t="str">
        <f>IFERROR(_xlfn.XLOOKUP($A247,'Base SKUs'!$E:$E,'Base SKUs'!H:H),"")</f>
        <v>S4S E4E</v>
      </c>
      <c r="O247" t="str">
        <f>IFERROR(_xlfn.XLOOKUP($A247,'Base SKUs'!$E:$E,'Base SKUs'!I:I),"")</f>
        <v>-</v>
      </c>
      <c r="P247" t="str">
        <f>IFERROR(_xlfn.XLOOKUP($A247,'Base SKUs'!$E:$E,'Base SKUs'!J:J),"")</f>
        <v>5/4x6</v>
      </c>
      <c r="Q247">
        <f>IFERROR(_xlfn.XLOOKUP($A247,'Base SKUs'!$E:$E,'Base SKUs'!K:K),"")</f>
        <v>12</v>
      </c>
      <c r="R247" s="7">
        <f>IFERROR(_xlfn.XLOOKUP($A247,'Base SKUs'!$E:$E,'Base SKUs'!S:S),"")</f>
        <v>1.2978554687999997E-2</v>
      </c>
      <c r="S247" s="8">
        <f t="shared" si="17"/>
        <v>1.7910405469439996</v>
      </c>
      <c r="T247" s="7">
        <f>IFERROR(_xlfn.XLOOKUP($A247,'Base SKUs'!$E:$E,'Base SKUs'!R:R),"")</f>
        <v>924.60199999999998</v>
      </c>
      <c r="U247" s="15">
        <f t="shared" si="18"/>
        <v>1656</v>
      </c>
      <c r="V247" t="str">
        <f t="shared" si="19"/>
        <v>Boston</v>
      </c>
    </row>
    <row r="248" spans="1:22" x14ac:dyDescent="0.2">
      <c r="A248" t="s">
        <v>457</v>
      </c>
      <c r="B248" s="5">
        <v>144</v>
      </c>
      <c r="C248" s="5">
        <v>144</v>
      </c>
      <c r="D248" s="5">
        <f t="shared" si="15"/>
        <v>0</v>
      </c>
      <c r="E248" s="6">
        <v>22.467199999999998</v>
      </c>
      <c r="F248" s="6">
        <f t="shared" si="16"/>
        <v>3235.2767999999996</v>
      </c>
      <c r="G248" t="s">
        <v>330</v>
      </c>
      <c r="H248">
        <v>9011</v>
      </c>
      <c r="I248" t="str">
        <f>IFERROR(_xlfn.XLOOKUP($A248,'Base SKUs'!$E:$E,'Base SKUs'!A:A),"")</f>
        <v>Cumaru</v>
      </c>
      <c r="J248" t="str">
        <f>IFERROR(_xlfn.XLOOKUP($A248,'Base SKUs'!$E:$E,'Base SKUs'!B:B),"")</f>
        <v>Cumaru 5/4x6</v>
      </c>
      <c r="K248" t="str">
        <f>IFERROR(_xlfn.XLOOKUP($A248,'Base SKUs'!$E:$E,'Base SKUs'!C:C),"")</f>
        <v>Long</v>
      </c>
      <c r="L248" t="str">
        <f>IFERROR(_xlfn.XLOOKUP($A248,'Base SKUs'!$E:$E,'Base SKUs'!D:D),"")</f>
        <v>Hardwoods</v>
      </c>
      <c r="M248" t="str">
        <f>IFERROR(_xlfn.XLOOKUP($A248,'Base SKUs'!$E:$E,'Base SKUs'!G:G),"")</f>
        <v>Cumaru</v>
      </c>
      <c r="N248" t="str">
        <f>IFERROR(_xlfn.XLOOKUP($A248,'Base SKUs'!$E:$E,'Base SKUs'!H:H),"")</f>
        <v>S4S E4E</v>
      </c>
      <c r="O248" t="str">
        <f>IFERROR(_xlfn.XLOOKUP($A248,'Base SKUs'!$E:$E,'Base SKUs'!I:I),"")</f>
        <v>-</v>
      </c>
      <c r="P248" t="str">
        <f>IFERROR(_xlfn.XLOOKUP($A248,'Base SKUs'!$E:$E,'Base SKUs'!J:J),"")</f>
        <v>5/4x6</v>
      </c>
      <c r="Q248">
        <f>IFERROR(_xlfn.XLOOKUP($A248,'Base SKUs'!$E:$E,'Base SKUs'!K:K),"")</f>
        <v>12</v>
      </c>
      <c r="R248" s="7">
        <f>IFERROR(_xlfn.XLOOKUP($A248,'Base SKUs'!$E:$E,'Base SKUs'!S:S),"")</f>
        <v>1.2978554687999997E-2</v>
      </c>
      <c r="S248" s="8">
        <f t="shared" si="17"/>
        <v>0</v>
      </c>
      <c r="T248" s="7">
        <f>IFERROR(_xlfn.XLOOKUP($A248,'Base SKUs'!$E:$E,'Base SKUs'!R:R),"")</f>
        <v>924.60199999999998</v>
      </c>
      <c r="U248" s="15">
        <f t="shared" si="18"/>
        <v>0</v>
      </c>
      <c r="V248" t="str">
        <f t="shared" si="19"/>
        <v>New York</v>
      </c>
    </row>
    <row r="249" spans="1:22" x14ac:dyDescent="0.2">
      <c r="A249" t="s">
        <v>457</v>
      </c>
      <c r="B249" s="5">
        <v>63</v>
      </c>
      <c r="C249" s="5">
        <v>0</v>
      </c>
      <c r="D249" s="5">
        <f t="shared" si="15"/>
        <v>63</v>
      </c>
      <c r="E249" s="6">
        <v>22.467199999999998</v>
      </c>
      <c r="F249" s="6">
        <f t="shared" si="16"/>
        <v>1415.4335999999998</v>
      </c>
      <c r="G249" t="s">
        <v>454</v>
      </c>
      <c r="H249">
        <v>9013</v>
      </c>
      <c r="I249" t="str">
        <f>IFERROR(_xlfn.XLOOKUP($A249,'Base SKUs'!$E:$E,'Base SKUs'!A:A),"")</f>
        <v>Cumaru</v>
      </c>
      <c r="J249" t="str">
        <f>IFERROR(_xlfn.XLOOKUP($A249,'Base SKUs'!$E:$E,'Base SKUs'!B:B),"")</f>
        <v>Cumaru 5/4x6</v>
      </c>
      <c r="K249" t="str">
        <f>IFERROR(_xlfn.XLOOKUP($A249,'Base SKUs'!$E:$E,'Base SKUs'!C:C),"")</f>
        <v>Long</v>
      </c>
      <c r="L249" t="str">
        <f>IFERROR(_xlfn.XLOOKUP($A249,'Base SKUs'!$E:$E,'Base SKUs'!D:D),"")</f>
        <v>Hardwoods</v>
      </c>
      <c r="M249" t="str">
        <f>IFERROR(_xlfn.XLOOKUP($A249,'Base SKUs'!$E:$E,'Base SKUs'!G:G),"")</f>
        <v>Cumaru</v>
      </c>
      <c r="N249" t="str">
        <f>IFERROR(_xlfn.XLOOKUP($A249,'Base SKUs'!$E:$E,'Base SKUs'!H:H),"")</f>
        <v>S4S E4E</v>
      </c>
      <c r="O249" t="str">
        <f>IFERROR(_xlfn.XLOOKUP($A249,'Base SKUs'!$E:$E,'Base SKUs'!I:I),"")</f>
        <v>-</v>
      </c>
      <c r="P249" t="str">
        <f>IFERROR(_xlfn.XLOOKUP($A249,'Base SKUs'!$E:$E,'Base SKUs'!J:J),"")</f>
        <v>5/4x6</v>
      </c>
      <c r="Q249">
        <f>IFERROR(_xlfn.XLOOKUP($A249,'Base SKUs'!$E:$E,'Base SKUs'!K:K),"")</f>
        <v>12</v>
      </c>
      <c r="R249" s="7">
        <f>IFERROR(_xlfn.XLOOKUP($A249,'Base SKUs'!$E:$E,'Base SKUs'!S:S),"")</f>
        <v>1.2978554687999997E-2</v>
      </c>
      <c r="S249" s="8">
        <f t="shared" si="17"/>
        <v>0.81764894534399979</v>
      </c>
      <c r="T249" s="7">
        <f>IFERROR(_xlfn.XLOOKUP($A249,'Base SKUs'!$E:$E,'Base SKUs'!R:R),"")</f>
        <v>924.60199999999998</v>
      </c>
      <c r="U249" s="15">
        <f t="shared" si="18"/>
        <v>756</v>
      </c>
      <c r="V249" t="str">
        <f t="shared" si="19"/>
        <v>BS Riverside</v>
      </c>
    </row>
    <row r="250" spans="1:22" x14ac:dyDescent="0.2">
      <c r="A250" t="s">
        <v>459</v>
      </c>
      <c r="B250" s="5">
        <v>18</v>
      </c>
      <c r="C250" s="5">
        <v>0</v>
      </c>
      <c r="D250" s="5">
        <f t="shared" si="15"/>
        <v>18</v>
      </c>
      <c r="E250" s="6">
        <v>26.2118</v>
      </c>
      <c r="F250" s="6">
        <f t="shared" si="16"/>
        <v>471.81240000000003</v>
      </c>
      <c r="G250" t="s">
        <v>17</v>
      </c>
      <c r="H250">
        <v>9007</v>
      </c>
      <c r="I250" t="str">
        <f>IFERROR(_xlfn.XLOOKUP($A250,'Base SKUs'!$E:$E,'Base SKUs'!A:A),"")</f>
        <v>Cumaru</v>
      </c>
      <c r="J250" t="str">
        <f>IFERROR(_xlfn.XLOOKUP($A250,'Base SKUs'!$E:$E,'Base SKUs'!B:B),"")</f>
        <v>Cumaru 5/4x6</v>
      </c>
      <c r="K250" t="str">
        <f>IFERROR(_xlfn.XLOOKUP($A250,'Base SKUs'!$E:$E,'Base SKUs'!C:C),"")</f>
        <v>Long</v>
      </c>
      <c r="L250" t="str">
        <f>IFERROR(_xlfn.XLOOKUP($A250,'Base SKUs'!$E:$E,'Base SKUs'!D:D),"")</f>
        <v>Hardwoods</v>
      </c>
      <c r="M250" t="str">
        <f>IFERROR(_xlfn.XLOOKUP($A250,'Base SKUs'!$E:$E,'Base SKUs'!G:G),"")</f>
        <v>Cumaru</v>
      </c>
      <c r="N250" t="str">
        <f>IFERROR(_xlfn.XLOOKUP($A250,'Base SKUs'!$E:$E,'Base SKUs'!H:H),"")</f>
        <v>S4S E4E</v>
      </c>
      <c r="O250" t="str">
        <f>IFERROR(_xlfn.XLOOKUP($A250,'Base SKUs'!$E:$E,'Base SKUs'!I:I),"")</f>
        <v>-</v>
      </c>
      <c r="P250" t="str">
        <f>IFERROR(_xlfn.XLOOKUP($A250,'Base SKUs'!$E:$E,'Base SKUs'!J:J),"")</f>
        <v>5/4x6</v>
      </c>
      <c r="Q250">
        <f>IFERROR(_xlfn.XLOOKUP($A250,'Base SKUs'!$E:$E,'Base SKUs'!K:K),"")</f>
        <v>14</v>
      </c>
      <c r="R250" s="7">
        <f>IFERROR(_xlfn.XLOOKUP($A250,'Base SKUs'!$E:$E,'Base SKUs'!S:S),"")</f>
        <v>1.5141647135999997E-2</v>
      </c>
      <c r="S250" s="8">
        <f t="shared" si="17"/>
        <v>0.27254964844799995</v>
      </c>
      <c r="T250" s="7">
        <f>IFERROR(_xlfn.XLOOKUP($A250,'Base SKUs'!$E:$E,'Base SKUs'!R:R),"")</f>
        <v>924.60199999999998</v>
      </c>
      <c r="U250" s="15">
        <f t="shared" si="18"/>
        <v>252</v>
      </c>
      <c r="V250" t="str">
        <f t="shared" si="19"/>
        <v>Miami</v>
      </c>
    </row>
    <row r="251" spans="1:22" x14ac:dyDescent="0.2">
      <c r="A251" t="s">
        <v>459</v>
      </c>
      <c r="B251" s="5">
        <v>26</v>
      </c>
      <c r="C251" s="5">
        <v>0</v>
      </c>
      <c r="D251" s="5">
        <f t="shared" si="15"/>
        <v>26</v>
      </c>
      <c r="E251" s="6">
        <v>26.2118</v>
      </c>
      <c r="F251" s="6">
        <f t="shared" si="16"/>
        <v>681.5068</v>
      </c>
      <c r="G251" t="s">
        <v>24</v>
      </c>
      <c r="H251">
        <v>9008</v>
      </c>
      <c r="I251" t="str">
        <f>IFERROR(_xlfn.XLOOKUP($A251,'Base SKUs'!$E:$E,'Base SKUs'!A:A),"")</f>
        <v>Cumaru</v>
      </c>
      <c r="J251" t="str">
        <f>IFERROR(_xlfn.XLOOKUP($A251,'Base SKUs'!$E:$E,'Base SKUs'!B:B),"")</f>
        <v>Cumaru 5/4x6</v>
      </c>
      <c r="K251" t="str">
        <f>IFERROR(_xlfn.XLOOKUP($A251,'Base SKUs'!$E:$E,'Base SKUs'!C:C),"")</f>
        <v>Long</v>
      </c>
      <c r="L251" t="str">
        <f>IFERROR(_xlfn.XLOOKUP($A251,'Base SKUs'!$E:$E,'Base SKUs'!D:D),"")</f>
        <v>Hardwoods</v>
      </c>
      <c r="M251" t="str">
        <f>IFERROR(_xlfn.XLOOKUP($A251,'Base SKUs'!$E:$E,'Base SKUs'!G:G),"")</f>
        <v>Cumaru</v>
      </c>
      <c r="N251" t="str">
        <f>IFERROR(_xlfn.XLOOKUP($A251,'Base SKUs'!$E:$E,'Base SKUs'!H:H),"")</f>
        <v>S4S E4E</v>
      </c>
      <c r="O251" t="str">
        <f>IFERROR(_xlfn.XLOOKUP($A251,'Base SKUs'!$E:$E,'Base SKUs'!I:I),"")</f>
        <v>-</v>
      </c>
      <c r="P251" t="str">
        <f>IFERROR(_xlfn.XLOOKUP($A251,'Base SKUs'!$E:$E,'Base SKUs'!J:J),"")</f>
        <v>5/4x6</v>
      </c>
      <c r="Q251">
        <f>IFERROR(_xlfn.XLOOKUP($A251,'Base SKUs'!$E:$E,'Base SKUs'!K:K),"")</f>
        <v>14</v>
      </c>
      <c r="R251" s="7">
        <f>IFERROR(_xlfn.XLOOKUP($A251,'Base SKUs'!$E:$E,'Base SKUs'!S:S),"")</f>
        <v>1.5141647135999997E-2</v>
      </c>
      <c r="S251" s="8">
        <f t="shared" si="17"/>
        <v>0.39368282553599993</v>
      </c>
      <c r="T251" s="7">
        <f>IFERROR(_xlfn.XLOOKUP($A251,'Base SKUs'!$E:$E,'Base SKUs'!R:R),"")</f>
        <v>924.60199999999998</v>
      </c>
      <c r="U251" s="15">
        <f t="shared" si="18"/>
        <v>364</v>
      </c>
      <c r="V251" t="str">
        <f t="shared" si="19"/>
        <v>Texas</v>
      </c>
    </row>
    <row r="252" spans="1:22" x14ac:dyDescent="0.2">
      <c r="A252" t="s">
        <v>459</v>
      </c>
      <c r="B252" s="5">
        <v>75</v>
      </c>
      <c r="C252" s="5">
        <v>75</v>
      </c>
      <c r="D252" s="5">
        <f t="shared" si="15"/>
        <v>0</v>
      </c>
      <c r="E252" s="6">
        <v>26.2118</v>
      </c>
      <c r="F252" s="6">
        <f t="shared" si="16"/>
        <v>1965.885</v>
      </c>
      <c r="G252" t="s">
        <v>330</v>
      </c>
      <c r="H252">
        <v>9011</v>
      </c>
      <c r="I252" t="str">
        <f>IFERROR(_xlfn.XLOOKUP($A252,'Base SKUs'!$E:$E,'Base SKUs'!A:A),"")</f>
        <v>Cumaru</v>
      </c>
      <c r="J252" t="str">
        <f>IFERROR(_xlfn.XLOOKUP($A252,'Base SKUs'!$E:$E,'Base SKUs'!B:B),"")</f>
        <v>Cumaru 5/4x6</v>
      </c>
      <c r="K252" t="str">
        <f>IFERROR(_xlfn.XLOOKUP($A252,'Base SKUs'!$E:$E,'Base SKUs'!C:C),"")</f>
        <v>Long</v>
      </c>
      <c r="L252" t="str">
        <f>IFERROR(_xlfn.XLOOKUP($A252,'Base SKUs'!$E:$E,'Base SKUs'!D:D),"")</f>
        <v>Hardwoods</v>
      </c>
      <c r="M252" t="str">
        <f>IFERROR(_xlfn.XLOOKUP($A252,'Base SKUs'!$E:$E,'Base SKUs'!G:G),"")</f>
        <v>Cumaru</v>
      </c>
      <c r="N252" t="str">
        <f>IFERROR(_xlfn.XLOOKUP($A252,'Base SKUs'!$E:$E,'Base SKUs'!H:H),"")</f>
        <v>S4S E4E</v>
      </c>
      <c r="O252" t="str">
        <f>IFERROR(_xlfn.XLOOKUP($A252,'Base SKUs'!$E:$E,'Base SKUs'!I:I),"")</f>
        <v>-</v>
      </c>
      <c r="P252" t="str">
        <f>IFERROR(_xlfn.XLOOKUP($A252,'Base SKUs'!$E:$E,'Base SKUs'!J:J),"")</f>
        <v>5/4x6</v>
      </c>
      <c r="Q252">
        <f>IFERROR(_xlfn.XLOOKUP($A252,'Base SKUs'!$E:$E,'Base SKUs'!K:K),"")</f>
        <v>14</v>
      </c>
      <c r="R252" s="7">
        <f>IFERROR(_xlfn.XLOOKUP($A252,'Base SKUs'!$E:$E,'Base SKUs'!S:S),"")</f>
        <v>1.5141647135999997E-2</v>
      </c>
      <c r="S252" s="8">
        <f t="shared" si="17"/>
        <v>0</v>
      </c>
      <c r="T252" s="7">
        <f>IFERROR(_xlfn.XLOOKUP($A252,'Base SKUs'!$E:$E,'Base SKUs'!R:R),"")</f>
        <v>924.60199999999998</v>
      </c>
      <c r="U252" s="15">
        <f t="shared" si="18"/>
        <v>0</v>
      </c>
      <c r="V252" t="str">
        <f t="shared" si="19"/>
        <v>New York</v>
      </c>
    </row>
    <row r="253" spans="1:22" x14ac:dyDescent="0.2">
      <c r="A253" t="s">
        <v>459</v>
      </c>
      <c r="B253" s="5">
        <v>53</v>
      </c>
      <c r="C253" s="5">
        <v>0</v>
      </c>
      <c r="D253" s="5">
        <f t="shared" si="15"/>
        <v>53</v>
      </c>
      <c r="E253" s="6">
        <v>26.2118</v>
      </c>
      <c r="F253" s="6">
        <f t="shared" si="16"/>
        <v>1389.2254</v>
      </c>
      <c r="G253" t="s">
        <v>454</v>
      </c>
      <c r="H253">
        <v>9013</v>
      </c>
      <c r="I253" t="str">
        <f>IFERROR(_xlfn.XLOOKUP($A253,'Base SKUs'!$E:$E,'Base SKUs'!A:A),"")</f>
        <v>Cumaru</v>
      </c>
      <c r="J253" t="str">
        <f>IFERROR(_xlfn.XLOOKUP($A253,'Base SKUs'!$E:$E,'Base SKUs'!B:B),"")</f>
        <v>Cumaru 5/4x6</v>
      </c>
      <c r="K253" t="str">
        <f>IFERROR(_xlfn.XLOOKUP($A253,'Base SKUs'!$E:$E,'Base SKUs'!C:C),"")</f>
        <v>Long</v>
      </c>
      <c r="L253" t="str">
        <f>IFERROR(_xlfn.XLOOKUP($A253,'Base SKUs'!$E:$E,'Base SKUs'!D:D),"")</f>
        <v>Hardwoods</v>
      </c>
      <c r="M253" t="str">
        <f>IFERROR(_xlfn.XLOOKUP($A253,'Base SKUs'!$E:$E,'Base SKUs'!G:G),"")</f>
        <v>Cumaru</v>
      </c>
      <c r="N253" t="str">
        <f>IFERROR(_xlfn.XLOOKUP($A253,'Base SKUs'!$E:$E,'Base SKUs'!H:H),"")</f>
        <v>S4S E4E</v>
      </c>
      <c r="O253" t="str">
        <f>IFERROR(_xlfn.XLOOKUP($A253,'Base SKUs'!$E:$E,'Base SKUs'!I:I),"")</f>
        <v>-</v>
      </c>
      <c r="P253" t="str">
        <f>IFERROR(_xlfn.XLOOKUP($A253,'Base SKUs'!$E:$E,'Base SKUs'!J:J),"")</f>
        <v>5/4x6</v>
      </c>
      <c r="Q253">
        <f>IFERROR(_xlfn.XLOOKUP($A253,'Base SKUs'!$E:$E,'Base SKUs'!K:K),"")</f>
        <v>14</v>
      </c>
      <c r="R253" s="7">
        <f>IFERROR(_xlfn.XLOOKUP($A253,'Base SKUs'!$E:$E,'Base SKUs'!S:S),"")</f>
        <v>1.5141647135999997E-2</v>
      </c>
      <c r="S253" s="8">
        <f t="shared" si="17"/>
        <v>0.80250729820799982</v>
      </c>
      <c r="T253" s="7">
        <f>IFERROR(_xlfn.XLOOKUP($A253,'Base SKUs'!$E:$E,'Base SKUs'!R:R),"")</f>
        <v>924.60199999999998</v>
      </c>
      <c r="U253" s="15">
        <f t="shared" si="18"/>
        <v>742</v>
      </c>
      <c r="V253" t="str">
        <f t="shared" si="19"/>
        <v>BS Riverside</v>
      </c>
    </row>
    <row r="254" spans="1:22" x14ac:dyDescent="0.2">
      <c r="A254" t="s">
        <v>461</v>
      </c>
      <c r="B254" s="5">
        <v>38</v>
      </c>
      <c r="C254" s="5">
        <v>0</v>
      </c>
      <c r="D254" s="5">
        <f t="shared" si="15"/>
        <v>38</v>
      </c>
      <c r="E254" s="6">
        <v>29.956299999999999</v>
      </c>
      <c r="F254" s="6">
        <f t="shared" si="16"/>
        <v>1138.3393999999998</v>
      </c>
      <c r="G254" t="s">
        <v>17</v>
      </c>
      <c r="H254">
        <v>9007</v>
      </c>
      <c r="I254" t="str">
        <f>IFERROR(_xlfn.XLOOKUP($A254,'Base SKUs'!$E:$E,'Base SKUs'!A:A),"")</f>
        <v>Cumaru</v>
      </c>
      <c r="J254" t="str">
        <f>IFERROR(_xlfn.XLOOKUP($A254,'Base SKUs'!$E:$E,'Base SKUs'!B:B),"")</f>
        <v>Cumaru 5/4x6</v>
      </c>
      <c r="K254" t="str">
        <f>IFERROR(_xlfn.XLOOKUP($A254,'Base SKUs'!$E:$E,'Base SKUs'!C:C),"")</f>
        <v>Long</v>
      </c>
      <c r="L254" t="str">
        <f>IFERROR(_xlfn.XLOOKUP($A254,'Base SKUs'!$E:$E,'Base SKUs'!D:D),"")</f>
        <v>Hardwoods</v>
      </c>
      <c r="M254" t="str">
        <f>IFERROR(_xlfn.XLOOKUP($A254,'Base SKUs'!$E:$E,'Base SKUs'!G:G),"")</f>
        <v>Cumaru</v>
      </c>
      <c r="N254" t="str">
        <f>IFERROR(_xlfn.XLOOKUP($A254,'Base SKUs'!$E:$E,'Base SKUs'!H:H),"")</f>
        <v>S4S E4E</v>
      </c>
      <c r="O254" t="str">
        <f>IFERROR(_xlfn.XLOOKUP($A254,'Base SKUs'!$E:$E,'Base SKUs'!I:I),"")</f>
        <v>-</v>
      </c>
      <c r="P254" t="str">
        <f>IFERROR(_xlfn.XLOOKUP($A254,'Base SKUs'!$E:$E,'Base SKUs'!J:J),"")</f>
        <v>5/4x6</v>
      </c>
      <c r="Q254">
        <f>IFERROR(_xlfn.XLOOKUP($A254,'Base SKUs'!$E:$E,'Base SKUs'!K:K),"")</f>
        <v>16</v>
      </c>
      <c r="R254" s="7">
        <f>IFERROR(_xlfn.XLOOKUP($A254,'Base SKUs'!$E:$E,'Base SKUs'!S:S),"")</f>
        <v>1.7304739584000001E-2</v>
      </c>
      <c r="S254" s="8">
        <f t="shared" si="17"/>
        <v>0.65758010419199997</v>
      </c>
      <c r="T254" s="7">
        <f>IFERROR(_xlfn.XLOOKUP($A254,'Base SKUs'!$E:$E,'Base SKUs'!R:R),"")</f>
        <v>924.60199999999998</v>
      </c>
      <c r="U254" s="15">
        <f t="shared" si="18"/>
        <v>608</v>
      </c>
      <c r="V254" t="str">
        <f t="shared" si="19"/>
        <v>Miami</v>
      </c>
    </row>
    <row r="255" spans="1:22" x14ac:dyDescent="0.2">
      <c r="A255" t="s">
        <v>461</v>
      </c>
      <c r="B255" s="5">
        <v>4</v>
      </c>
      <c r="C255" s="5">
        <v>0</v>
      </c>
      <c r="D255" s="5">
        <f t="shared" si="15"/>
        <v>4</v>
      </c>
      <c r="E255" s="6">
        <v>29.956299999999999</v>
      </c>
      <c r="F255" s="6">
        <f t="shared" si="16"/>
        <v>119.8252</v>
      </c>
      <c r="G255" t="s">
        <v>24</v>
      </c>
      <c r="H255">
        <v>9008</v>
      </c>
      <c r="I255" t="str">
        <f>IFERROR(_xlfn.XLOOKUP($A255,'Base SKUs'!$E:$E,'Base SKUs'!A:A),"")</f>
        <v>Cumaru</v>
      </c>
      <c r="J255" t="str">
        <f>IFERROR(_xlfn.XLOOKUP($A255,'Base SKUs'!$E:$E,'Base SKUs'!B:B),"")</f>
        <v>Cumaru 5/4x6</v>
      </c>
      <c r="K255" t="str">
        <f>IFERROR(_xlfn.XLOOKUP($A255,'Base SKUs'!$E:$E,'Base SKUs'!C:C),"")</f>
        <v>Long</v>
      </c>
      <c r="L255" t="str">
        <f>IFERROR(_xlfn.XLOOKUP($A255,'Base SKUs'!$E:$E,'Base SKUs'!D:D),"")</f>
        <v>Hardwoods</v>
      </c>
      <c r="M255" t="str">
        <f>IFERROR(_xlfn.XLOOKUP($A255,'Base SKUs'!$E:$E,'Base SKUs'!G:G),"")</f>
        <v>Cumaru</v>
      </c>
      <c r="N255" t="str">
        <f>IFERROR(_xlfn.XLOOKUP($A255,'Base SKUs'!$E:$E,'Base SKUs'!H:H),"")</f>
        <v>S4S E4E</v>
      </c>
      <c r="O255" t="str">
        <f>IFERROR(_xlfn.XLOOKUP($A255,'Base SKUs'!$E:$E,'Base SKUs'!I:I),"")</f>
        <v>-</v>
      </c>
      <c r="P255" t="str">
        <f>IFERROR(_xlfn.XLOOKUP($A255,'Base SKUs'!$E:$E,'Base SKUs'!J:J),"")</f>
        <v>5/4x6</v>
      </c>
      <c r="Q255">
        <f>IFERROR(_xlfn.XLOOKUP($A255,'Base SKUs'!$E:$E,'Base SKUs'!K:K),"")</f>
        <v>16</v>
      </c>
      <c r="R255" s="7">
        <f>IFERROR(_xlfn.XLOOKUP($A255,'Base SKUs'!$E:$E,'Base SKUs'!S:S),"")</f>
        <v>1.7304739584000001E-2</v>
      </c>
      <c r="S255" s="8">
        <f t="shared" si="17"/>
        <v>6.9218958336000003E-2</v>
      </c>
      <c r="T255" s="7">
        <f>IFERROR(_xlfn.XLOOKUP($A255,'Base SKUs'!$E:$E,'Base SKUs'!R:R),"")</f>
        <v>924.60199999999998</v>
      </c>
      <c r="U255" s="15">
        <f t="shared" si="18"/>
        <v>64</v>
      </c>
      <c r="V255" t="str">
        <f t="shared" si="19"/>
        <v>Texas</v>
      </c>
    </row>
    <row r="256" spans="1:22" x14ac:dyDescent="0.2">
      <c r="A256" t="s">
        <v>461</v>
      </c>
      <c r="B256" s="5">
        <v>44</v>
      </c>
      <c r="C256" s="5">
        <v>21</v>
      </c>
      <c r="D256" s="5">
        <f t="shared" si="15"/>
        <v>23</v>
      </c>
      <c r="E256" s="6">
        <v>29.956299999999999</v>
      </c>
      <c r="F256" s="6">
        <f t="shared" si="16"/>
        <v>1318.0771999999999</v>
      </c>
      <c r="G256" t="s">
        <v>125</v>
      </c>
      <c r="H256">
        <v>9009</v>
      </c>
      <c r="I256" t="str">
        <f>IFERROR(_xlfn.XLOOKUP($A256,'Base SKUs'!$E:$E,'Base SKUs'!A:A),"")</f>
        <v>Cumaru</v>
      </c>
      <c r="J256" t="str">
        <f>IFERROR(_xlfn.XLOOKUP($A256,'Base SKUs'!$E:$E,'Base SKUs'!B:B),"")</f>
        <v>Cumaru 5/4x6</v>
      </c>
      <c r="K256" t="str">
        <f>IFERROR(_xlfn.XLOOKUP($A256,'Base SKUs'!$E:$E,'Base SKUs'!C:C),"")</f>
        <v>Long</v>
      </c>
      <c r="L256" t="str">
        <f>IFERROR(_xlfn.XLOOKUP($A256,'Base SKUs'!$E:$E,'Base SKUs'!D:D),"")</f>
        <v>Hardwoods</v>
      </c>
      <c r="M256" t="str">
        <f>IFERROR(_xlfn.XLOOKUP($A256,'Base SKUs'!$E:$E,'Base SKUs'!G:G),"")</f>
        <v>Cumaru</v>
      </c>
      <c r="N256" t="str">
        <f>IFERROR(_xlfn.XLOOKUP($A256,'Base SKUs'!$E:$E,'Base SKUs'!H:H),"")</f>
        <v>S4S E4E</v>
      </c>
      <c r="O256" t="str">
        <f>IFERROR(_xlfn.XLOOKUP($A256,'Base SKUs'!$E:$E,'Base SKUs'!I:I),"")</f>
        <v>-</v>
      </c>
      <c r="P256" t="str">
        <f>IFERROR(_xlfn.XLOOKUP($A256,'Base SKUs'!$E:$E,'Base SKUs'!J:J),"")</f>
        <v>5/4x6</v>
      </c>
      <c r="Q256">
        <f>IFERROR(_xlfn.XLOOKUP($A256,'Base SKUs'!$E:$E,'Base SKUs'!K:K),"")</f>
        <v>16</v>
      </c>
      <c r="R256" s="7">
        <f>IFERROR(_xlfn.XLOOKUP($A256,'Base SKUs'!$E:$E,'Base SKUs'!S:S),"")</f>
        <v>1.7304739584000001E-2</v>
      </c>
      <c r="S256" s="8">
        <f t="shared" si="17"/>
        <v>0.39800901043199999</v>
      </c>
      <c r="T256" s="7">
        <f>IFERROR(_xlfn.XLOOKUP($A256,'Base SKUs'!$E:$E,'Base SKUs'!R:R),"")</f>
        <v>924.60199999999998</v>
      </c>
      <c r="U256" s="15">
        <f t="shared" si="18"/>
        <v>368</v>
      </c>
      <c r="V256" t="str">
        <f t="shared" si="19"/>
        <v>Boston</v>
      </c>
    </row>
    <row r="257" spans="1:22" x14ac:dyDescent="0.2">
      <c r="A257" t="s">
        <v>461</v>
      </c>
      <c r="B257" s="5">
        <v>102</v>
      </c>
      <c r="C257" s="5">
        <v>102</v>
      </c>
      <c r="D257" s="5">
        <f t="shared" si="15"/>
        <v>0</v>
      </c>
      <c r="E257" s="6">
        <v>29.956299999999999</v>
      </c>
      <c r="F257" s="6">
        <f t="shared" si="16"/>
        <v>3055.5425999999998</v>
      </c>
      <c r="G257" t="s">
        <v>330</v>
      </c>
      <c r="H257">
        <v>9011</v>
      </c>
      <c r="I257" t="str">
        <f>IFERROR(_xlfn.XLOOKUP($A257,'Base SKUs'!$E:$E,'Base SKUs'!A:A),"")</f>
        <v>Cumaru</v>
      </c>
      <c r="J257" t="str">
        <f>IFERROR(_xlfn.XLOOKUP($A257,'Base SKUs'!$E:$E,'Base SKUs'!B:B),"")</f>
        <v>Cumaru 5/4x6</v>
      </c>
      <c r="K257" t="str">
        <f>IFERROR(_xlfn.XLOOKUP($A257,'Base SKUs'!$E:$E,'Base SKUs'!C:C),"")</f>
        <v>Long</v>
      </c>
      <c r="L257" t="str">
        <f>IFERROR(_xlfn.XLOOKUP($A257,'Base SKUs'!$E:$E,'Base SKUs'!D:D),"")</f>
        <v>Hardwoods</v>
      </c>
      <c r="M257" t="str">
        <f>IFERROR(_xlfn.XLOOKUP($A257,'Base SKUs'!$E:$E,'Base SKUs'!G:G),"")</f>
        <v>Cumaru</v>
      </c>
      <c r="N257" t="str">
        <f>IFERROR(_xlfn.XLOOKUP($A257,'Base SKUs'!$E:$E,'Base SKUs'!H:H),"")</f>
        <v>S4S E4E</v>
      </c>
      <c r="O257" t="str">
        <f>IFERROR(_xlfn.XLOOKUP($A257,'Base SKUs'!$E:$E,'Base SKUs'!I:I),"")</f>
        <v>-</v>
      </c>
      <c r="P257" t="str">
        <f>IFERROR(_xlfn.XLOOKUP($A257,'Base SKUs'!$E:$E,'Base SKUs'!J:J),"")</f>
        <v>5/4x6</v>
      </c>
      <c r="Q257">
        <f>IFERROR(_xlfn.XLOOKUP($A257,'Base SKUs'!$E:$E,'Base SKUs'!K:K),"")</f>
        <v>16</v>
      </c>
      <c r="R257" s="7">
        <f>IFERROR(_xlfn.XLOOKUP($A257,'Base SKUs'!$E:$E,'Base SKUs'!S:S),"")</f>
        <v>1.7304739584000001E-2</v>
      </c>
      <c r="S257" s="8">
        <f t="shared" si="17"/>
        <v>0</v>
      </c>
      <c r="T257" s="7">
        <f>IFERROR(_xlfn.XLOOKUP($A257,'Base SKUs'!$E:$E,'Base SKUs'!R:R),"")</f>
        <v>924.60199999999998</v>
      </c>
      <c r="U257" s="15">
        <f t="shared" si="18"/>
        <v>0</v>
      </c>
      <c r="V257" t="str">
        <f t="shared" si="19"/>
        <v>New York</v>
      </c>
    </row>
    <row r="258" spans="1:22" x14ac:dyDescent="0.2">
      <c r="A258" t="s">
        <v>463</v>
      </c>
      <c r="B258" s="5">
        <v>80</v>
      </c>
      <c r="C258" s="5">
        <v>11</v>
      </c>
      <c r="D258" s="5">
        <f t="shared" ref="D258:D321" si="20">B258-C258</f>
        <v>69</v>
      </c>
      <c r="E258" s="6">
        <v>33.700800000000001</v>
      </c>
      <c r="F258" s="6">
        <f t="shared" ref="F258:F321" si="21">B258*E258</f>
        <v>2696.0640000000003</v>
      </c>
      <c r="G258" t="s">
        <v>125</v>
      </c>
      <c r="H258">
        <v>9009</v>
      </c>
      <c r="I258" t="str">
        <f>IFERROR(_xlfn.XLOOKUP($A258,'Base SKUs'!$E:$E,'Base SKUs'!A:A),"")</f>
        <v>Cumaru</v>
      </c>
      <c r="J258" t="str">
        <f>IFERROR(_xlfn.XLOOKUP($A258,'Base SKUs'!$E:$E,'Base SKUs'!B:B),"")</f>
        <v>Cumaru 5/4x6</v>
      </c>
      <c r="K258" t="str">
        <f>IFERROR(_xlfn.XLOOKUP($A258,'Base SKUs'!$E:$E,'Base SKUs'!C:C),"")</f>
        <v>Long</v>
      </c>
      <c r="L258" t="str">
        <f>IFERROR(_xlfn.XLOOKUP($A258,'Base SKUs'!$E:$E,'Base SKUs'!D:D),"")</f>
        <v>Hardwoods</v>
      </c>
      <c r="M258" t="str">
        <f>IFERROR(_xlfn.XLOOKUP($A258,'Base SKUs'!$E:$E,'Base SKUs'!G:G),"")</f>
        <v>Cumaru</v>
      </c>
      <c r="N258" t="str">
        <f>IFERROR(_xlfn.XLOOKUP($A258,'Base SKUs'!$E:$E,'Base SKUs'!H:H),"")</f>
        <v>S4S E4E</v>
      </c>
      <c r="O258" t="str">
        <f>IFERROR(_xlfn.XLOOKUP($A258,'Base SKUs'!$E:$E,'Base SKUs'!I:I),"")</f>
        <v>-</v>
      </c>
      <c r="P258" t="str">
        <f>IFERROR(_xlfn.XLOOKUP($A258,'Base SKUs'!$E:$E,'Base SKUs'!J:J),"")</f>
        <v>5/4x6</v>
      </c>
      <c r="Q258">
        <f>IFERROR(_xlfn.XLOOKUP($A258,'Base SKUs'!$E:$E,'Base SKUs'!K:K),"")</f>
        <v>18</v>
      </c>
      <c r="R258" s="7">
        <f>IFERROR(_xlfn.XLOOKUP($A258,'Base SKUs'!$E:$E,'Base SKUs'!S:S),"")</f>
        <v>1.9467832031999997E-2</v>
      </c>
      <c r="S258" s="8">
        <f t="shared" ref="S258:S321" si="22">IF(OR(L258="Saicos",L258="Oil",L258="US4",L258="Wood Table",L258="Woca",L258="Norx",N258="Tiles"),D258,D258*R258)</f>
        <v>1.3432804102079998</v>
      </c>
      <c r="T258" s="7">
        <f>IFERROR(_xlfn.XLOOKUP($A258,'Base SKUs'!$E:$E,'Base SKUs'!R:R),"")</f>
        <v>924.60199999999998</v>
      </c>
      <c r="U258" s="15">
        <f t="shared" ref="U258:U321" si="23">ROUND(IF(OR(L258="Saicos",L258="Oil",L258="US4",L258="Wood Table",L258="Woca",L258="Norx",N258="Tiles"),D258,S258*T258),0)</f>
        <v>1242</v>
      </c>
      <c r="V258" t="str">
        <f t="shared" ref="V258:V321" si="24">IF(H258=9007,"Miami",IF(H258=9008,"Texas",IF(H258=9009,"Boston",IF(H258=9010,"BS Detroit",IF(H258=9011,"New York",IF(H258=9012,"HW Perris",IF(H258=9013,"BS Riverside",IF(H258=9014,"On the Way",IF(H258=9015,"Russin",IF(H258=9016,"Palm Beach",""))))))))))</f>
        <v>Boston</v>
      </c>
    </row>
    <row r="259" spans="1:22" x14ac:dyDescent="0.2">
      <c r="A259" t="s">
        <v>463</v>
      </c>
      <c r="B259" s="5">
        <v>163</v>
      </c>
      <c r="C259" s="5">
        <v>163</v>
      </c>
      <c r="D259" s="5">
        <f t="shared" si="20"/>
        <v>0</v>
      </c>
      <c r="E259" s="6">
        <v>33.700800000000001</v>
      </c>
      <c r="F259" s="6">
        <f t="shared" si="21"/>
        <v>5493.2304000000004</v>
      </c>
      <c r="G259" t="s">
        <v>330</v>
      </c>
      <c r="H259">
        <v>9011</v>
      </c>
      <c r="I259" t="str">
        <f>IFERROR(_xlfn.XLOOKUP($A259,'Base SKUs'!$E:$E,'Base SKUs'!A:A),"")</f>
        <v>Cumaru</v>
      </c>
      <c r="J259" t="str">
        <f>IFERROR(_xlfn.XLOOKUP($A259,'Base SKUs'!$E:$E,'Base SKUs'!B:B),"")</f>
        <v>Cumaru 5/4x6</v>
      </c>
      <c r="K259" t="str">
        <f>IFERROR(_xlfn.XLOOKUP($A259,'Base SKUs'!$E:$E,'Base SKUs'!C:C),"")</f>
        <v>Long</v>
      </c>
      <c r="L259" t="str">
        <f>IFERROR(_xlfn.XLOOKUP($A259,'Base SKUs'!$E:$E,'Base SKUs'!D:D),"")</f>
        <v>Hardwoods</v>
      </c>
      <c r="M259" t="str">
        <f>IFERROR(_xlfn.XLOOKUP($A259,'Base SKUs'!$E:$E,'Base SKUs'!G:G),"")</f>
        <v>Cumaru</v>
      </c>
      <c r="N259" t="str">
        <f>IFERROR(_xlfn.XLOOKUP($A259,'Base SKUs'!$E:$E,'Base SKUs'!H:H),"")</f>
        <v>S4S E4E</v>
      </c>
      <c r="O259" t="str">
        <f>IFERROR(_xlfn.XLOOKUP($A259,'Base SKUs'!$E:$E,'Base SKUs'!I:I),"")</f>
        <v>-</v>
      </c>
      <c r="P259" t="str">
        <f>IFERROR(_xlfn.XLOOKUP($A259,'Base SKUs'!$E:$E,'Base SKUs'!J:J),"")</f>
        <v>5/4x6</v>
      </c>
      <c r="Q259">
        <f>IFERROR(_xlfn.XLOOKUP($A259,'Base SKUs'!$E:$E,'Base SKUs'!K:K),"")</f>
        <v>18</v>
      </c>
      <c r="R259" s="7">
        <f>IFERROR(_xlfn.XLOOKUP($A259,'Base SKUs'!$E:$E,'Base SKUs'!S:S),"")</f>
        <v>1.9467832031999997E-2</v>
      </c>
      <c r="S259" s="8">
        <f t="shared" si="22"/>
        <v>0</v>
      </c>
      <c r="T259" s="7">
        <f>IFERROR(_xlfn.XLOOKUP($A259,'Base SKUs'!$E:$E,'Base SKUs'!R:R),"")</f>
        <v>924.60199999999998</v>
      </c>
      <c r="U259" s="15">
        <f t="shared" si="23"/>
        <v>0</v>
      </c>
      <c r="V259" t="str">
        <f t="shared" si="24"/>
        <v>New York</v>
      </c>
    </row>
    <row r="260" spans="1:22" x14ac:dyDescent="0.2">
      <c r="A260" t="s">
        <v>465</v>
      </c>
      <c r="B260" s="5">
        <v>43</v>
      </c>
      <c r="C260" s="5">
        <v>0</v>
      </c>
      <c r="D260" s="5">
        <f t="shared" si="20"/>
        <v>43</v>
      </c>
      <c r="E260" s="6">
        <v>41.189900000000002</v>
      </c>
      <c r="F260" s="6">
        <f t="shared" si="21"/>
        <v>1771.1657</v>
      </c>
      <c r="G260" t="s">
        <v>125</v>
      </c>
      <c r="H260">
        <v>9009</v>
      </c>
      <c r="I260" t="str">
        <f>IFERROR(_xlfn.XLOOKUP($A260,'Base SKUs'!$E:$E,'Base SKUs'!A:A),"")</f>
        <v>Cumaru</v>
      </c>
      <c r="J260" t="str">
        <f>IFERROR(_xlfn.XLOOKUP($A260,'Base SKUs'!$E:$E,'Base SKUs'!B:B),"")</f>
        <v>Cumaru 5/4x6</v>
      </c>
      <c r="K260" t="str">
        <f>IFERROR(_xlfn.XLOOKUP($A260,'Base SKUs'!$E:$E,'Base SKUs'!C:C),"")</f>
        <v>Long</v>
      </c>
      <c r="L260" t="str">
        <f>IFERROR(_xlfn.XLOOKUP($A260,'Base SKUs'!$E:$E,'Base SKUs'!D:D),"")</f>
        <v>Hardwoods</v>
      </c>
      <c r="M260" t="str">
        <f>IFERROR(_xlfn.XLOOKUP($A260,'Base SKUs'!$E:$E,'Base SKUs'!G:G),"")</f>
        <v>Cumaru</v>
      </c>
      <c r="N260" t="str">
        <f>IFERROR(_xlfn.XLOOKUP($A260,'Base SKUs'!$E:$E,'Base SKUs'!H:H),"")</f>
        <v>S4S E4E</v>
      </c>
      <c r="O260" t="str">
        <f>IFERROR(_xlfn.XLOOKUP($A260,'Base SKUs'!$E:$E,'Base SKUs'!I:I),"")</f>
        <v>-</v>
      </c>
      <c r="P260" t="str">
        <f>IFERROR(_xlfn.XLOOKUP($A260,'Base SKUs'!$E:$E,'Base SKUs'!J:J),"")</f>
        <v>5/4x6</v>
      </c>
      <c r="Q260">
        <f>IFERROR(_xlfn.XLOOKUP($A260,'Base SKUs'!$E:$E,'Base SKUs'!K:K),"")</f>
        <v>22</v>
      </c>
      <c r="R260" s="7">
        <f>IFERROR(_xlfn.XLOOKUP($A260,'Base SKUs'!$E:$E,'Base SKUs'!S:S),"")</f>
        <v>2.3794016927999991E-2</v>
      </c>
      <c r="S260" s="8">
        <f t="shared" si="22"/>
        <v>1.0231427279039995</v>
      </c>
      <c r="T260" s="7">
        <f>IFERROR(_xlfn.XLOOKUP($A260,'Base SKUs'!$E:$E,'Base SKUs'!R:R),"")</f>
        <v>924.60199999999998</v>
      </c>
      <c r="U260" s="15">
        <f t="shared" si="23"/>
        <v>946</v>
      </c>
      <c r="V260" t="str">
        <f t="shared" si="24"/>
        <v>Boston</v>
      </c>
    </row>
    <row r="261" spans="1:22" x14ac:dyDescent="0.2">
      <c r="A261" t="s">
        <v>467</v>
      </c>
      <c r="B261" s="5">
        <v>125</v>
      </c>
      <c r="C261" s="5">
        <v>0</v>
      </c>
      <c r="D261" s="5">
        <f t="shared" si="20"/>
        <v>125</v>
      </c>
      <c r="E261" s="6">
        <v>12.977600000000001</v>
      </c>
      <c r="F261" s="6">
        <f t="shared" si="21"/>
        <v>1622.2</v>
      </c>
      <c r="G261" t="s">
        <v>24</v>
      </c>
      <c r="H261">
        <v>9008</v>
      </c>
      <c r="I261" t="str">
        <f>IFERROR(_xlfn.XLOOKUP($A261,'Base SKUs'!$E:$E,'Base SKUs'!A:A),"")</f>
        <v>Cumaru</v>
      </c>
      <c r="J261" t="str">
        <f>IFERROR(_xlfn.XLOOKUP($A261,'Base SKUs'!$E:$E,'Base SKUs'!B:B),"")</f>
        <v>Cumaru 5/4x6</v>
      </c>
      <c r="K261" t="str">
        <f>IFERROR(_xlfn.XLOOKUP($A261,'Base SKUs'!$E:$E,'Base SKUs'!C:C),"")</f>
        <v>Long</v>
      </c>
      <c r="L261" t="str">
        <f>IFERROR(_xlfn.XLOOKUP($A261,'Base SKUs'!$E:$E,'Base SKUs'!D:D),"")</f>
        <v>Hardwoods</v>
      </c>
      <c r="M261" t="str">
        <f>IFERROR(_xlfn.XLOOKUP($A261,'Base SKUs'!$E:$E,'Base SKUs'!G:G),"")</f>
        <v>Cumaru</v>
      </c>
      <c r="N261" t="str">
        <f>IFERROR(_xlfn.XLOOKUP($A261,'Base SKUs'!$E:$E,'Base SKUs'!H:H),"")</f>
        <v>S4S E4E</v>
      </c>
      <c r="O261" t="str">
        <f>IFERROR(_xlfn.XLOOKUP($A261,'Base SKUs'!$E:$E,'Base SKUs'!I:I),"")</f>
        <v>-</v>
      </c>
      <c r="P261" t="str">
        <f>IFERROR(_xlfn.XLOOKUP($A261,'Base SKUs'!$E:$E,'Base SKUs'!J:J),"")</f>
        <v>5/4x6</v>
      </c>
      <c r="Q261">
        <f>IFERROR(_xlfn.XLOOKUP($A261,'Base SKUs'!$E:$E,'Base SKUs'!K:K),"")</f>
        <v>8</v>
      </c>
      <c r="R261" s="7">
        <f>IFERROR(_xlfn.XLOOKUP($A261,'Base SKUs'!$E:$E,'Base SKUs'!S:S),"")</f>
        <v>8.6523697920000003E-3</v>
      </c>
      <c r="S261" s="8">
        <f t="shared" si="22"/>
        <v>1.081546224</v>
      </c>
      <c r="T261" s="7">
        <f>IFERROR(_xlfn.XLOOKUP($A261,'Base SKUs'!$E:$E,'Base SKUs'!R:R),"")</f>
        <v>924.60199999999998</v>
      </c>
      <c r="U261" s="15">
        <f t="shared" si="23"/>
        <v>1000</v>
      </c>
      <c r="V261" t="str">
        <f t="shared" si="24"/>
        <v>Texas</v>
      </c>
    </row>
    <row r="262" spans="1:22" x14ac:dyDescent="0.2">
      <c r="A262" t="s">
        <v>467</v>
      </c>
      <c r="B262" s="5">
        <v>190</v>
      </c>
      <c r="C262" s="5">
        <v>190</v>
      </c>
      <c r="D262" s="5">
        <f t="shared" si="20"/>
        <v>0</v>
      </c>
      <c r="E262" s="6">
        <v>12.977600000000001</v>
      </c>
      <c r="F262" s="6">
        <f t="shared" si="21"/>
        <v>2465.7440000000001</v>
      </c>
      <c r="G262" t="s">
        <v>330</v>
      </c>
      <c r="H262">
        <v>9011</v>
      </c>
      <c r="I262" t="str">
        <f>IFERROR(_xlfn.XLOOKUP($A262,'Base SKUs'!$E:$E,'Base SKUs'!A:A),"")</f>
        <v>Cumaru</v>
      </c>
      <c r="J262" t="str">
        <f>IFERROR(_xlfn.XLOOKUP($A262,'Base SKUs'!$E:$E,'Base SKUs'!B:B),"")</f>
        <v>Cumaru 5/4x6</v>
      </c>
      <c r="K262" t="str">
        <f>IFERROR(_xlfn.XLOOKUP($A262,'Base SKUs'!$E:$E,'Base SKUs'!C:C),"")</f>
        <v>Long</v>
      </c>
      <c r="L262" t="str">
        <f>IFERROR(_xlfn.XLOOKUP($A262,'Base SKUs'!$E:$E,'Base SKUs'!D:D),"")</f>
        <v>Hardwoods</v>
      </c>
      <c r="M262" t="str">
        <f>IFERROR(_xlfn.XLOOKUP($A262,'Base SKUs'!$E:$E,'Base SKUs'!G:G),"")</f>
        <v>Cumaru</v>
      </c>
      <c r="N262" t="str">
        <f>IFERROR(_xlfn.XLOOKUP($A262,'Base SKUs'!$E:$E,'Base SKUs'!H:H),"")</f>
        <v>S4S E4E</v>
      </c>
      <c r="O262" t="str">
        <f>IFERROR(_xlfn.XLOOKUP($A262,'Base SKUs'!$E:$E,'Base SKUs'!I:I),"")</f>
        <v>-</v>
      </c>
      <c r="P262" t="str">
        <f>IFERROR(_xlfn.XLOOKUP($A262,'Base SKUs'!$E:$E,'Base SKUs'!J:J),"")</f>
        <v>5/4x6</v>
      </c>
      <c r="Q262">
        <f>IFERROR(_xlfn.XLOOKUP($A262,'Base SKUs'!$E:$E,'Base SKUs'!K:K),"")</f>
        <v>8</v>
      </c>
      <c r="R262" s="7">
        <f>IFERROR(_xlfn.XLOOKUP($A262,'Base SKUs'!$E:$E,'Base SKUs'!S:S),"")</f>
        <v>8.6523697920000003E-3</v>
      </c>
      <c r="S262" s="8">
        <f t="shared" si="22"/>
        <v>0</v>
      </c>
      <c r="T262" s="7">
        <f>IFERROR(_xlfn.XLOOKUP($A262,'Base SKUs'!$E:$E,'Base SKUs'!R:R),"")</f>
        <v>924.60199999999998</v>
      </c>
      <c r="U262" s="15">
        <f t="shared" si="23"/>
        <v>0</v>
      </c>
      <c r="V262" t="str">
        <f t="shared" si="24"/>
        <v>New York</v>
      </c>
    </row>
    <row r="263" spans="1:22" x14ac:dyDescent="0.2">
      <c r="A263" t="s">
        <v>467</v>
      </c>
      <c r="B263" s="5">
        <v>45</v>
      </c>
      <c r="C263" s="5">
        <v>0</v>
      </c>
      <c r="D263" s="5">
        <f t="shared" si="20"/>
        <v>45</v>
      </c>
      <c r="E263" s="6">
        <v>12.977600000000001</v>
      </c>
      <c r="F263" s="6">
        <f t="shared" si="21"/>
        <v>583.99200000000008</v>
      </c>
      <c r="G263" t="s">
        <v>454</v>
      </c>
      <c r="H263">
        <v>9013</v>
      </c>
      <c r="I263" t="str">
        <f>IFERROR(_xlfn.XLOOKUP($A263,'Base SKUs'!$E:$E,'Base SKUs'!A:A),"")</f>
        <v>Cumaru</v>
      </c>
      <c r="J263" t="str">
        <f>IFERROR(_xlfn.XLOOKUP($A263,'Base SKUs'!$E:$E,'Base SKUs'!B:B),"")</f>
        <v>Cumaru 5/4x6</v>
      </c>
      <c r="K263" t="str">
        <f>IFERROR(_xlfn.XLOOKUP($A263,'Base SKUs'!$E:$E,'Base SKUs'!C:C),"")</f>
        <v>Long</v>
      </c>
      <c r="L263" t="str">
        <f>IFERROR(_xlfn.XLOOKUP($A263,'Base SKUs'!$E:$E,'Base SKUs'!D:D),"")</f>
        <v>Hardwoods</v>
      </c>
      <c r="M263" t="str">
        <f>IFERROR(_xlfn.XLOOKUP($A263,'Base SKUs'!$E:$E,'Base SKUs'!G:G),"")</f>
        <v>Cumaru</v>
      </c>
      <c r="N263" t="str">
        <f>IFERROR(_xlfn.XLOOKUP($A263,'Base SKUs'!$E:$E,'Base SKUs'!H:H),"")</f>
        <v>S4S E4E</v>
      </c>
      <c r="O263" t="str">
        <f>IFERROR(_xlfn.XLOOKUP($A263,'Base SKUs'!$E:$E,'Base SKUs'!I:I),"")</f>
        <v>-</v>
      </c>
      <c r="P263" t="str">
        <f>IFERROR(_xlfn.XLOOKUP($A263,'Base SKUs'!$E:$E,'Base SKUs'!J:J),"")</f>
        <v>5/4x6</v>
      </c>
      <c r="Q263">
        <f>IFERROR(_xlfn.XLOOKUP($A263,'Base SKUs'!$E:$E,'Base SKUs'!K:K),"")</f>
        <v>8</v>
      </c>
      <c r="R263" s="7">
        <f>IFERROR(_xlfn.XLOOKUP($A263,'Base SKUs'!$E:$E,'Base SKUs'!S:S),"")</f>
        <v>8.6523697920000003E-3</v>
      </c>
      <c r="S263" s="8">
        <f t="shared" si="22"/>
        <v>0.38935664064000003</v>
      </c>
      <c r="T263" s="7">
        <f>IFERROR(_xlfn.XLOOKUP($A263,'Base SKUs'!$E:$E,'Base SKUs'!R:R),"")</f>
        <v>924.60199999999998</v>
      </c>
      <c r="U263" s="15">
        <f t="shared" si="23"/>
        <v>360</v>
      </c>
      <c r="V263" t="str">
        <f t="shared" si="24"/>
        <v>BS Riverside</v>
      </c>
    </row>
    <row r="264" spans="1:22" x14ac:dyDescent="0.2">
      <c r="A264" t="s">
        <v>469</v>
      </c>
      <c r="B264" s="5">
        <v>66</v>
      </c>
      <c r="C264" s="5">
        <v>0</v>
      </c>
      <c r="D264" s="5">
        <f t="shared" si="20"/>
        <v>66</v>
      </c>
      <c r="E264" s="6">
        <v>24.224299999999999</v>
      </c>
      <c r="F264" s="6">
        <f t="shared" si="21"/>
        <v>1598.8037999999999</v>
      </c>
      <c r="G264" t="s">
        <v>24</v>
      </c>
      <c r="H264">
        <v>9008</v>
      </c>
      <c r="I264" t="str">
        <f>IFERROR(_xlfn.XLOOKUP($A264,'Base SKUs'!$E:$E,'Base SKUs'!A:A),"")</f>
        <v>Cumaru</v>
      </c>
      <c r="J264" t="str">
        <f>IFERROR(_xlfn.XLOOKUP($A264,'Base SKUs'!$E:$E,'Base SKUs'!B:B),"")</f>
        <v>Cumaru 5/4x8</v>
      </c>
      <c r="K264" t="str">
        <f>IFERROR(_xlfn.XLOOKUP($A264,'Base SKUs'!$E:$E,'Base SKUs'!C:C),"")</f>
        <v>Long</v>
      </c>
      <c r="L264" t="str">
        <f>IFERROR(_xlfn.XLOOKUP($A264,'Base SKUs'!$E:$E,'Base SKUs'!D:D),"")</f>
        <v>Hardwoods</v>
      </c>
      <c r="M264" t="str">
        <f>IFERROR(_xlfn.XLOOKUP($A264,'Base SKUs'!$E:$E,'Base SKUs'!G:G),"")</f>
        <v>Cumaru</v>
      </c>
      <c r="N264" t="str">
        <f>IFERROR(_xlfn.XLOOKUP($A264,'Base SKUs'!$E:$E,'Base SKUs'!H:H),"")</f>
        <v>S4S E4E</v>
      </c>
      <c r="O264" t="str">
        <f>IFERROR(_xlfn.XLOOKUP($A264,'Base SKUs'!$E:$E,'Base SKUs'!I:I),"")</f>
        <v>-</v>
      </c>
      <c r="P264" t="str">
        <f>IFERROR(_xlfn.XLOOKUP($A264,'Base SKUs'!$E:$E,'Base SKUs'!J:J),"")</f>
        <v>5/4x8</v>
      </c>
      <c r="Q264">
        <f>IFERROR(_xlfn.XLOOKUP($A264,'Base SKUs'!$E:$E,'Base SKUs'!K:K),"")</f>
        <v>10</v>
      </c>
      <c r="R264" s="7">
        <f>IFERROR(_xlfn.XLOOKUP($A264,'Base SKUs'!$E:$E,'Base SKUs'!S:S),"")</f>
        <v>1.4256745680000002E-2</v>
      </c>
      <c r="S264" s="8">
        <f t="shared" si="22"/>
        <v>0.94094521488000016</v>
      </c>
      <c r="T264" s="7">
        <f>IFERROR(_xlfn.XLOOKUP($A264,'Base SKUs'!$E:$E,'Base SKUs'!R:R),"")</f>
        <v>701.42200000000003</v>
      </c>
      <c r="U264" s="15">
        <f t="shared" si="23"/>
        <v>660</v>
      </c>
      <c r="V264" t="str">
        <f t="shared" si="24"/>
        <v>Texas</v>
      </c>
    </row>
    <row r="265" spans="1:22" x14ac:dyDescent="0.2">
      <c r="A265" t="s">
        <v>471</v>
      </c>
      <c r="B265" s="5">
        <v>226</v>
      </c>
      <c r="C265" s="5">
        <v>0</v>
      </c>
      <c r="D265" s="5">
        <f t="shared" si="20"/>
        <v>226</v>
      </c>
      <c r="E265" s="6">
        <v>29.069199999999999</v>
      </c>
      <c r="F265" s="6">
        <f t="shared" si="21"/>
        <v>6569.6391999999996</v>
      </c>
      <c r="G265" t="s">
        <v>24</v>
      </c>
      <c r="H265">
        <v>9008</v>
      </c>
      <c r="I265" t="str">
        <f>IFERROR(_xlfn.XLOOKUP($A265,'Base SKUs'!$E:$E,'Base SKUs'!A:A),"")</f>
        <v>Cumaru</v>
      </c>
      <c r="J265" t="str">
        <f>IFERROR(_xlfn.XLOOKUP($A265,'Base SKUs'!$E:$E,'Base SKUs'!B:B),"")</f>
        <v>Cumaru 5/4x8</v>
      </c>
      <c r="K265" t="str">
        <f>IFERROR(_xlfn.XLOOKUP($A265,'Base SKUs'!$E:$E,'Base SKUs'!C:C),"")</f>
        <v>Long</v>
      </c>
      <c r="L265" t="str">
        <f>IFERROR(_xlfn.XLOOKUP($A265,'Base SKUs'!$E:$E,'Base SKUs'!D:D),"")</f>
        <v>Hardwoods</v>
      </c>
      <c r="M265" t="str">
        <f>IFERROR(_xlfn.XLOOKUP($A265,'Base SKUs'!$E:$E,'Base SKUs'!G:G),"")</f>
        <v>Cumaru</v>
      </c>
      <c r="N265" t="str">
        <f>IFERROR(_xlfn.XLOOKUP($A265,'Base SKUs'!$E:$E,'Base SKUs'!H:H),"")</f>
        <v>S4S E4E</v>
      </c>
      <c r="O265" t="str">
        <f>IFERROR(_xlfn.XLOOKUP($A265,'Base SKUs'!$E:$E,'Base SKUs'!I:I),"")</f>
        <v>-</v>
      </c>
      <c r="P265" t="str">
        <f>IFERROR(_xlfn.XLOOKUP($A265,'Base SKUs'!$E:$E,'Base SKUs'!J:J),"")</f>
        <v>5/4x8</v>
      </c>
      <c r="Q265">
        <f>IFERROR(_xlfn.XLOOKUP($A265,'Base SKUs'!$E:$E,'Base SKUs'!K:K),"")</f>
        <v>12</v>
      </c>
      <c r="R265" s="7">
        <f>IFERROR(_xlfn.XLOOKUP($A265,'Base SKUs'!$E:$E,'Base SKUs'!S:S),"")</f>
        <v>1.7108094815999998E-2</v>
      </c>
      <c r="S265" s="8">
        <f t="shared" si="22"/>
        <v>3.8664294284159992</v>
      </c>
      <c r="T265" s="7">
        <f>IFERROR(_xlfn.XLOOKUP($A265,'Base SKUs'!$E:$E,'Base SKUs'!R:R),"")</f>
        <v>701.42200000000003</v>
      </c>
      <c r="U265" s="15">
        <f t="shared" si="23"/>
        <v>2712</v>
      </c>
      <c r="V265" t="str">
        <f t="shared" si="24"/>
        <v>Texas</v>
      </c>
    </row>
    <row r="266" spans="1:22" x14ac:dyDescent="0.2">
      <c r="A266" t="s">
        <v>473</v>
      </c>
      <c r="B266" s="5">
        <v>52</v>
      </c>
      <c r="C266" s="5">
        <v>0</v>
      </c>
      <c r="D266" s="5">
        <f t="shared" si="20"/>
        <v>52</v>
      </c>
      <c r="E266" s="6">
        <v>38.758899999999997</v>
      </c>
      <c r="F266" s="6">
        <f t="shared" si="21"/>
        <v>2015.4627999999998</v>
      </c>
      <c r="G266" t="s">
        <v>24</v>
      </c>
      <c r="H266">
        <v>9008</v>
      </c>
      <c r="I266" t="str">
        <f>IFERROR(_xlfn.XLOOKUP($A266,'Base SKUs'!$E:$E,'Base SKUs'!A:A),"")</f>
        <v>Cumaru</v>
      </c>
      <c r="J266" t="str">
        <f>IFERROR(_xlfn.XLOOKUP($A266,'Base SKUs'!$E:$E,'Base SKUs'!B:B),"")</f>
        <v>Cumaru 5/4x8</v>
      </c>
      <c r="K266" t="str">
        <f>IFERROR(_xlfn.XLOOKUP($A266,'Base SKUs'!$E:$E,'Base SKUs'!C:C),"")</f>
        <v>Long</v>
      </c>
      <c r="L266" t="str">
        <f>IFERROR(_xlfn.XLOOKUP($A266,'Base SKUs'!$E:$E,'Base SKUs'!D:D),"")</f>
        <v>Hardwoods</v>
      </c>
      <c r="M266" t="str">
        <f>IFERROR(_xlfn.XLOOKUP($A266,'Base SKUs'!$E:$E,'Base SKUs'!G:G),"")</f>
        <v>Cumaru</v>
      </c>
      <c r="N266" t="str">
        <f>IFERROR(_xlfn.XLOOKUP($A266,'Base SKUs'!$E:$E,'Base SKUs'!H:H),"")</f>
        <v>S4S E4E</v>
      </c>
      <c r="O266" t="str">
        <f>IFERROR(_xlfn.XLOOKUP($A266,'Base SKUs'!$E:$E,'Base SKUs'!I:I),"")</f>
        <v>-</v>
      </c>
      <c r="P266" t="str">
        <f>IFERROR(_xlfn.XLOOKUP($A266,'Base SKUs'!$E:$E,'Base SKUs'!J:J),"")</f>
        <v>5/4x8</v>
      </c>
      <c r="Q266">
        <f>IFERROR(_xlfn.XLOOKUP($A266,'Base SKUs'!$E:$E,'Base SKUs'!K:K),"")</f>
        <v>16</v>
      </c>
      <c r="R266" s="7">
        <f>IFERROR(_xlfn.XLOOKUP($A266,'Base SKUs'!$E:$E,'Base SKUs'!S:S),"")</f>
        <v>2.2810793087999999E-2</v>
      </c>
      <c r="S266" s="8">
        <f t="shared" si="22"/>
        <v>1.186161240576</v>
      </c>
      <c r="T266" s="7">
        <f>IFERROR(_xlfn.XLOOKUP($A266,'Base SKUs'!$E:$E,'Base SKUs'!R:R),"")</f>
        <v>701.42200000000003</v>
      </c>
      <c r="U266" s="15">
        <f t="shared" si="23"/>
        <v>832</v>
      </c>
      <c r="V266" t="str">
        <f t="shared" si="24"/>
        <v>Texas</v>
      </c>
    </row>
    <row r="267" spans="1:22" x14ac:dyDescent="0.2">
      <c r="A267" t="s">
        <v>475</v>
      </c>
      <c r="B267" s="5">
        <v>27</v>
      </c>
      <c r="C267" s="5">
        <v>0</v>
      </c>
      <c r="D267" s="5">
        <f t="shared" si="20"/>
        <v>27</v>
      </c>
      <c r="E267" s="6">
        <v>43.6038</v>
      </c>
      <c r="F267" s="6">
        <f t="shared" si="21"/>
        <v>1177.3026</v>
      </c>
      <c r="G267" t="s">
        <v>24</v>
      </c>
      <c r="H267">
        <v>9008</v>
      </c>
      <c r="I267" t="str">
        <f>IFERROR(_xlfn.XLOOKUP($A267,'Base SKUs'!$E:$E,'Base SKUs'!A:A),"")</f>
        <v>Cumaru</v>
      </c>
      <c r="J267" t="str">
        <f>IFERROR(_xlfn.XLOOKUP($A267,'Base SKUs'!$E:$E,'Base SKUs'!B:B),"")</f>
        <v>Cumaru 5/4x8</v>
      </c>
      <c r="K267" t="str">
        <f>IFERROR(_xlfn.XLOOKUP($A267,'Base SKUs'!$E:$E,'Base SKUs'!C:C),"")</f>
        <v>Long</v>
      </c>
      <c r="L267" t="str">
        <f>IFERROR(_xlfn.XLOOKUP($A267,'Base SKUs'!$E:$E,'Base SKUs'!D:D),"")</f>
        <v>Hardwoods</v>
      </c>
      <c r="M267" t="str">
        <f>IFERROR(_xlfn.XLOOKUP($A267,'Base SKUs'!$E:$E,'Base SKUs'!G:G),"")</f>
        <v>Cumaru</v>
      </c>
      <c r="N267" t="str">
        <f>IFERROR(_xlfn.XLOOKUP($A267,'Base SKUs'!$E:$E,'Base SKUs'!H:H),"")</f>
        <v>S4S E4E</v>
      </c>
      <c r="O267" t="str">
        <f>IFERROR(_xlfn.XLOOKUP($A267,'Base SKUs'!$E:$E,'Base SKUs'!I:I),"")</f>
        <v>-</v>
      </c>
      <c r="P267" t="str">
        <f>IFERROR(_xlfn.XLOOKUP($A267,'Base SKUs'!$E:$E,'Base SKUs'!J:J),"")</f>
        <v>5/4x8</v>
      </c>
      <c r="Q267">
        <f>IFERROR(_xlfn.XLOOKUP($A267,'Base SKUs'!$E:$E,'Base SKUs'!K:K),"")</f>
        <v>18</v>
      </c>
      <c r="R267" s="7">
        <f>IFERROR(_xlfn.XLOOKUP($A267,'Base SKUs'!$E:$E,'Base SKUs'!S:S),"")</f>
        <v>2.5662142224000001E-2</v>
      </c>
      <c r="S267" s="8">
        <f t="shared" si="22"/>
        <v>0.69287784004800002</v>
      </c>
      <c r="T267" s="7">
        <f>IFERROR(_xlfn.XLOOKUP($A267,'Base SKUs'!$E:$E,'Base SKUs'!R:R),"")</f>
        <v>701.42200000000003</v>
      </c>
      <c r="U267" s="15">
        <f t="shared" si="23"/>
        <v>486</v>
      </c>
      <c r="V267" t="str">
        <f t="shared" si="24"/>
        <v>Texas</v>
      </c>
    </row>
    <row r="268" spans="1:22" x14ac:dyDescent="0.2">
      <c r="A268" t="s">
        <v>477</v>
      </c>
      <c r="B268" s="5">
        <v>53</v>
      </c>
      <c r="C268" s="5">
        <v>0</v>
      </c>
      <c r="D268" s="5">
        <f t="shared" si="20"/>
        <v>53</v>
      </c>
      <c r="E268" s="6">
        <v>48.448700000000002</v>
      </c>
      <c r="F268" s="6">
        <f t="shared" si="21"/>
        <v>2567.7811000000002</v>
      </c>
      <c r="G268" t="s">
        <v>24</v>
      </c>
      <c r="H268">
        <v>9008</v>
      </c>
      <c r="I268" t="str">
        <f>IFERROR(_xlfn.XLOOKUP($A268,'Base SKUs'!$E:$E,'Base SKUs'!A:A),"")</f>
        <v>Cumaru</v>
      </c>
      <c r="J268" t="str">
        <f>IFERROR(_xlfn.XLOOKUP($A268,'Base SKUs'!$E:$E,'Base SKUs'!B:B),"")</f>
        <v>Cumaru 5/4x8</v>
      </c>
      <c r="K268" t="str">
        <f>IFERROR(_xlfn.XLOOKUP($A268,'Base SKUs'!$E:$E,'Base SKUs'!C:C),"")</f>
        <v>Long</v>
      </c>
      <c r="L268" t="str">
        <f>IFERROR(_xlfn.XLOOKUP($A268,'Base SKUs'!$E:$E,'Base SKUs'!D:D),"")</f>
        <v>Hardwoods</v>
      </c>
      <c r="M268" t="str">
        <f>IFERROR(_xlfn.XLOOKUP($A268,'Base SKUs'!$E:$E,'Base SKUs'!G:G),"")</f>
        <v>Cumaru</v>
      </c>
      <c r="N268" t="str">
        <f>IFERROR(_xlfn.XLOOKUP($A268,'Base SKUs'!$E:$E,'Base SKUs'!H:H),"")</f>
        <v>S4S E4E</v>
      </c>
      <c r="O268" t="str">
        <f>IFERROR(_xlfn.XLOOKUP($A268,'Base SKUs'!$E:$E,'Base SKUs'!I:I),"")</f>
        <v>-</v>
      </c>
      <c r="P268" t="str">
        <f>IFERROR(_xlfn.XLOOKUP($A268,'Base SKUs'!$E:$E,'Base SKUs'!J:J),"")</f>
        <v>5/4x8</v>
      </c>
      <c r="Q268">
        <f>IFERROR(_xlfn.XLOOKUP($A268,'Base SKUs'!$E:$E,'Base SKUs'!K:K),"")</f>
        <v>20</v>
      </c>
      <c r="R268" s="7">
        <f>IFERROR(_xlfn.XLOOKUP($A268,'Base SKUs'!$E:$E,'Base SKUs'!S:S),"")</f>
        <v>2.8513491360000004E-2</v>
      </c>
      <c r="S268" s="8">
        <f t="shared" si="22"/>
        <v>1.5112150420800001</v>
      </c>
      <c r="T268" s="7">
        <f>IFERROR(_xlfn.XLOOKUP($A268,'Base SKUs'!$E:$E,'Base SKUs'!R:R),"")</f>
        <v>701.42200000000003</v>
      </c>
      <c r="U268" s="15">
        <f t="shared" si="23"/>
        <v>1060</v>
      </c>
      <c r="V268" t="str">
        <f t="shared" si="24"/>
        <v>Texas</v>
      </c>
    </row>
    <row r="269" spans="1:22" x14ac:dyDescent="0.2">
      <c r="A269" t="s">
        <v>479</v>
      </c>
      <c r="B269" s="5">
        <v>56</v>
      </c>
      <c r="C269" s="5">
        <v>0</v>
      </c>
      <c r="D269" s="5">
        <f t="shared" si="20"/>
        <v>56</v>
      </c>
      <c r="E269" s="6">
        <v>53.293599999999998</v>
      </c>
      <c r="F269" s="6">
        <f t="shared" si="21"/>
        <v>2984.4416000000001</v>
      </c>
      <c r="G269" t="s">
        <v>24</v>
      </c>
      <c r="H269">
        <v>9008</v>
      </c>
      <c r="I269" t="str">
        <f>IFERROR(_xlfn.XLOOKUP($A269,'Base SKUs'!$E:$E,'Base SKUs'!A:A),"")</f>
        <v>Cumaru</v>
      </c>
      <c r="J269" t="str">
        <f>IFERROR(_xlfn.XLOOKUP($A269,'Base SKUs'!$E:$E,'Base SKUs'!B:B),"")</f>
        <v>Cumaru 5/4x8</v>
      </c>
      <c r="K269" t="str">
        <f>IFERROR(_xlfn.XLOOKUP($A269,'Base SKUs'!$E:$E,'Base SKUs'!C:C),"")</f>
        <v>Long</v>
      </c>
      <c r="L269" t="str">
        <f>IFERROR(_xlfn.XLOOKUP($A269,'Base SKUs'!$E:$E,'Base SKUs'!D:D),"")</f>
        <v>Hardwoods</v>
      </c>
      <c r="M269" t="str">
        <f>IFERROR(_xlfn.XLOOKUP($A269,'Base SKUs'!$E:$E,'Base SKUs'!G:G),"")</f>
        <v>Cumaru</v>
      </c>
      <c r="N269" t="str">
        <f>IFERROR(_xlfn.XLOOKUP($A269,'Base SKUs'!$E:$E,'Base SKUs'!H:H),"")</f>
        <v>S4S E4E</v>
      </c>
      <c r="O269" t="str">
        <f>IFERROR(_xlfn.XLOOKUP($A269,'Base SKUs'!$E:$E,'Base SKUs'!I:I),"")</f>
        <v>-</v>
      </c>
      <c r="P269" t="str">
        <f>IFERROR(_xlfn.XLOOKUP($A269,'Base SKUs'!$E:$E,'Base SKUs'!J:J),"")</f>
        <v>5/4x8</v>
      </c>
      <c r="Q269">
        <f>IFERROR(_xlfn.XLOOKUP($A269,'Base SKUs'!$E:$E,'Base SKUs'!K:K),"")</f>
        <v>22</v>
      </c>
      <c r="R269" s="7">
        <f>IFERROR(_xlfn.XLOOKUP($A269,'Base SKUs'!$E:$E,'Base SKUs'!S:S),"")</f>
        <v>3.1364840495999989E-2</v>
      </c>
      <c r="S269" s="8">
        <f t="shared" si="22"/>
        <v>1.7564310677759993</v>
      </c>
      <c r="T269" s="7">
        <f>IFERROR(_xlfn.XLOOKUP($A269,'Base SKUs'!$E:$E,'Base SKUs'!R:R),"")</f>
        <v>701.42200000000003</v>
      </c>
      <c r="U269" s="15">
        <f t="shared" si="23"/>
        <v>1232</v>
      </c>
      <c r="V269" t="str">
        <f t="shared" si="24"/>
        <v>Texas</v>
      </c>
    </row>
    <row r="270" spans="1:22" x14ac:dyDescent="0.2">
      <c r="A270" t="s">
        <v>481</v>
      </c>
      <c r="B270" s="5">
        <v>110</v>
      </c>
      <c r="C270" s="5">
        <v>0</v>
      </c>
      <c r="D270" s="5">
        <f t="shared" si="20"/>
        <v>110</v>
      </c>
      <c r="E270" s="6">
        <v>19.3794</v>
      </c>
      <c r="F270" s="6">
        <f t="shared" si="21"/>
        <v>2131.7339999999999</v>
      </c>
      <c r="G270" t="s">
        <v>24</v>
      </c>
      <c r="H270">
        <v>9008</v>
      </c>
      <c r="I270" t="str">
        <f>IFERROR(_xlfn.XLOOKUP($A270,'Base SKUs'!$E:$E,'Base SKUs'!A:A),"")</f>
        <v>Cumaru</v>
      </c>
      <c r="J270" t="str">
        <f>IFERROR(_xlfn.XLOOKUP($A270,'Base SKUs'!$E:$E,'Base SKUs'!B:B),"")</f>
        <v>Cumaru 5/4x8</v>
      </c>
      <c r="K270" t="str">
        <f>IFERROR(_xlfn.XLOOKUP($A270,'Base SKUs'!$E:$E,'Base SKUs'!C:C),"")</f>
        <v>Long</v>
      </c>
      <c r="L270" t="str">
        <f>IFERROR(_xlfn.XLOOKUP($A270,'Base SKUs'!$E:$E,'Base SKUs'!D:D),"")</f>
        <v>Hardwoods</v>
      </c>
      <c r="M270" t="str">
        <f>IFERROR(_xlfn.XLOOKUP($A270,'Base SKUs'!$E:$E,'Base SKUs'!G:G),"")</f>
        <v>Cumaru</v>
      </c>
      <c r="N270" t="str">
        <f>IFERROR(_xlfn.XLOOKUP($A270,'Base SKUs'!$E:$E,'Base SKUs'!H:H),"")</f>
        <v>S4S E4E</v>
      </c>
      <c r="O270" t="str">
        <f>IFERROR(_xlfn.XLOOKUP($A270,'Base SKUs'!$E:$E,'Base SKUs'!I:I),"")</f>
        <v>-</v>
      </c>
      <c r="P270" t="str">
        <f>IFERROR(_xlfn.XLOOKUP($A270,'Base SKUs'!$E:$E,'Base SKUs'!J:J),"")</f>
        <v>5/4x8</v>
      </c>
      <c r="Q270">
        <f>IFERROR(_xlfn.XLOOKUP($A270,'Base SKUs'!$E:$E,'Base SKUs'!K:K),"")</f>
        <v>8</v>
      </c>
      <c r="R270" s="7">
        <f>IFERROR(_xlfn.XLOOKUP($A270,'Base SKUs'!$E:$E,'Base SKUs'!S:S),"")</f>
        <v>1.1405396543999999E-2</v>
      </c>
      <c r="S270" s="8">
        <f t="shared" si="22"/>
        <v>1.2545936198399998</v>
      </c>
      <c r="T270" s="7">
        <f>IFERROR(_xlfn.XLOOKUP($A270,'Base SKUs'!$E:$E,'Base SKUs'!R:R),"")</f>
        <v>701.42200000000003</v>
      </c>
      <c r="U270" s="15">
        <f t="shared" si="23"/>
        <v>880</v>
      </c>
      <c r="V270" t="str">
        <f t="shared" si="24"/>
        <v>Texas</v>
      </c>
    </row>
    <row r="271" spans="1:22" x14ac:dyDescent="0.2">
      <c r="A271" t="s">
        <v>483</v>
      </c>
      <c r="B271" s="5">
        <v>1097</v>
      </c>
      <c r="C271" s="5">
        <v>0</v>
      </c>
      <c r="D271" s="5">
        <f t="shared" si="20"/>
        <v>1097</v>
      </c>
      <c r="E271" s="6">
        <v>9.6260999999999992</v>
      </c>
      <c r="F271" s="6">
        <f t="shared" si="21"/>
        <v>10559.831699999999</v>
      </c>
      <c r="G271" t="s">
        <v>24</v>
      </c>
      <c r="H271">
        <v>9008</v>
      </c>
      <c r="I271" t="str">
        <f>IFERROR(_xlfn.XLOOKUP($A271,'Base SKUs'!$E:$E,'Base SKUs'!A:A),"")</f>
        <v>Cumaru</v>
      </c>
      <c r="J271" t="str">
        <f>IFERROR(_xlfn.XLOOKUP($A271,'Base SKUs'!$E:$E,'Base SKUs'!B:B),"")</f>
        <v>Cumaru 24x24</v>
      </c>
      <c r="K271" t="str">
        <f>IFERROR(_xlfn.XLOOKUP($A271,'Base SKUs'!$E:$E,'Base SKUs'!C:C),"")</f>
        <v>Tiles</v>
      </c>
      <c r="L271" t="str">
        <f>IFERROR(_xlfn.XLOOKUP($A271,'Base SKUs'!$E:$E,'Base SKUs'!D:D),"")</f>
        <v>Hardwoods</v>
      </c>
      <c r="M271" t="str">
        <f>IFERROR(_xlfn.XLOOKUP($A271,'Base SKUs'!$E:$E,'Base SKUs'!G:G),"")</f>
        <v>Cumaru</v>
      </c>
      <c r="N271" t="str">
        <f>IFERROR(_xlfn.XLOOKUP($A271,'Base SKUs'!$E:$E,'Base SKUs'!H:H),"")</f>
        <v>Tiles</v>
      </c>
      <c r="O271" t="str">
        <f>IFERROR(_xlfn.XLOOKUP($A271,'Base SKUs'!$E:$E,'Base SKUs'!I:I),"")</f>
        <v>-</v>
      </c>
      <c r="P271" t="str">
        <f>IFERROR(_xlfn.XLOOKUP($A271,'Base SKUs'!$E:$E,'Base SKUs'!J:J),"")</f>
        <v>24x24</v>
      </c>
      <c r="Q271">
        <f>IFERROR(_xlfn.XLOOKUP($A271,'Base SKUs'!$E:$E,'Base SKUs'!K:K),"")</f>
        <v>24</v>
      </c>
      <c r="R271" s="7">
        <f>IFERROR(_xlfn.XLOOKUP($A271,'Base SKUs'!$E:$E,'Base SKUs'!S:S),"")</f>
        <v>8.1803360000000012E-4</v>
      </c>
      <c r="S271" s="8">
        <f t="shared" si="22"/>
        <v>1097</v>
      </c>
      <c r="T271" s="7">
        <f>IFERROR(_xlfn.XLOOKUP($A271,'Base SKUs'!$E:$E,'Base SKUs'!R:R),"")</f>
        <v>2432.0529999999999</v>
      </c>
      <c r="U271" s="15">
        <f t="shared" si="23"/>
        <v>1097</v>
      </c>
      <c r="V271" t="str">
        <f t="shared" si="24"/>
        <v>Texas</v>
      </c>
    </row>
    <row r="272" spans="1:22" x14ac:dyDescent="0.2">
      <c r="A272" t="s">
        <v>483</v>
      </c>
      <c r="B272" s="5">
        <v>83</v>
      </c>
      <c r="C272" s="5">
        <v>0</v>
      </c>
      <c r="D272" s="5">
        <f t="shared" si="20"/>
        <v>83</v>
      </c>
      <c r="E272" s="6">
        <v>9</v>
      </c>
      <c r="F272" s="6">
        <f t="shared" si="21"/>
        <v>747</v>
      </c>
      <c r="G272" t="s">
        <v>330</v>
      </c>
      <c r="H272">
        <v>9011</v>
      </c>
      <c r="I272" t="str">
        <f>IFERROR(_xlfn.XLOOKUP($A272,'Base SKUs'!$E:$E,'Base SKUs'!A:A),"")</f>
        <v>Cumaru</v>
      </c>
      <c r="J272" t="str">
        <f>IFERROR(_xlfn.XLOOKUP($A272,'Base SKUs'!$E:$E,'Base SKUs'!B:B),"")</f>
        <v>Cumaru 24x24</v>
      </c>
      <c r="K272" t="str">
        <f>IFERROR(_xlfn.XLOOKUP($A272,'Base SKUs'!$E:$E,'Base SKUs'!C:C),"")</f>
        <v>Tiles</v>
      </c>
      <c r="L272" t="str">
        <f>IFERROR(_xlfn.XLOOKUP($A272,'Base SKUs'!$E:$E,'Base SKUs'!D:D),"")</f>
        <v>Hardwoods</v>
      </c>
      <c r="M272" t="str">
        <f>IFERROR(_xlfn.XLOOKUP($A272,'Base SKUs'!$E:$E,'Base SKUs'!G:G),"")</f>
        <v>Cumaru</v>
      </c>
      <c r="N272" t="str">
        <f>IFERROR(_xlfn.XLOOKUP($A272,'Base SKUs'!$E:$E,'Base SKUs'!H:H),"")</f>
        <v>Tiles</v>
      </c>
      <c r="O272" t="str">
        <f>IFERROR(_xlfn.XLOOKUP($A272,'Base SKUs'!$E:$E,'Base SKUs'!I:I),"")</f>
        <v>-</v>
      </c>
      <c r="P272" t="str">
        <f>IFERROR(_xlfn.XLOOKUP($A272,'Base SKUs'!$E:$E,'Base SKUs'!J:J),"")</f>
        <v>24x24</v>
      </c>
      <c r="Q272">
        <f>IFERROR(_xlfn.XLOOKUP($A272,'Base SKUs'!$E:$E,'Base SKUs'!K:K),"")</f>
        <v>24</v>
      </c>
      <c r="R272" s="7">
        <f>IFERROR(_xlfn.XLOOKUP($A272,'Base SKUs'!$E:$E,'Base SKUs'!S:S),"")</f>
        <v>8.1803360000000012E-4</v>
      </c>
      <c r="S272" s="8">
        <f t="shared" si="22"/>
        <v>83</v>
      </c>
      <c r="T272" s="7">
        <f>IFERROR(_xlfn.XLOOKUP($A272,'Base SKUs'!$E:$E,'Base SKUs'!R:R),"")</f>
        <v>2432.0529999999999</v>
      </c>
      <c r="U272" s="15">
        <f t="shared" si="23"/>
        <v>83</v>
      </c>
      <c r="V272" t="str">
        <f t="shared" si="24"/>
        <v>New York</v>
      </c>
    </row>
    <row r="273" spans="1:22" x14ac:dyDescent="0.2">
      <c r="A273" t="s">
        <v>483</v>
      </c>
      <c r="B273" s="5">
        <v>147</v>
      </c>
      <c r="C273" s="5">
        <v>0</v>
      </c>
      <c r="D273" s="5">
        <f t="shared" si="20"/>
        <v>147</v>
      </c>
      <c r="E273" s="6">
        <v>9.6260999999999992</v>
      </c>
      <c r="F273" s="6">
        <f t="shared" si="21"/>
        <v>1415.0366999999999</v>
      </c>
      <c r="G273" t="s">
        <v>454</v>
      </c>
      <c r="H273">
        <v>9013</v>
      </c>
      <c r="I273" t="str">
        <f>IFERROR(_xlfn.XLOOKUP($A273,'Base SKUs'!$E:$E,'Base SKUs'!A:A),"")</f>
        <v>Cumaru</v>
      </c>
      <c r="J273" t="str">
        <f>IFERROR(_xlfn.XLOOKUP($A273,'Base SKUs'!$E:$E,'Base SKUs'!B:B),"")</f>
        <v>Cumaru 24x24</v>
      </c>
      <c r="K273" t="str">
        <f>IFERROR(_xlfn.XLOOKUP($A273,'Base SKUs'!$E:$E,'Base SKUs'!C:C),"")</f>
        <v>Tiles</v>
      </c>
      <c r="L273" t="str">
        <f>IFERROR(_xlfn.XLOOKUP($A273,'Base SKUs'!$E:$E,'Base SKUs'!D:D),"")</f>
        <v>Hardwoods</v>
      </c>
      <c r="M273" t="str">
        <f>IFERROR(_xlfn.XLOOKUP($A273,'Base SKUs'!$E:$E,'Base SKUs'!G:G),"")</f>
        <v>Cumaru</v>
      </c>
      <c r="N273" t="str">
        <f>IFERROR(_xlfn.XLOOKUP($A273,'Base SKUs'!$E:$E,'Base SKUs'!H:H),"")</f>
        <v>Tiles</v>
      </c>
      <c r="O273" t="str">
        <f>IFERROR(_xlfn.XLOOKUP($A273,'Base SKUs'!$E:$E,'Base SKUs'!I:I),"")</f>
        <v>-</v>
      </c>
      <c r="P273" t="str">
        <f>IFERROR(_xlfn.XLOOKUP($A273,'Base SKUs'!$E:$E,'Base SKUs'!J:J),"")</f>
        <v>24x24</v>
      </c>
      <c r="Q273">
        <f>IFERROR(_xlfn.XLOOKUP($A273,'Base SKUs'!$E:$E,'Base SKUs'!K:K),"")</f>
        <v>24</v>
      </c>
      <c r="R273" s="7">
        <f>IFERROR(_xlfn.XLOOKUP($A273,'Base SKUs'!$E:$E,'Base SKUs'!S:S),"")</f>
        <v>8.1803360000000012E-4</v>
      </c>
      <c r="S273" s="8">
        <f t="shared" si="22"/>
        <v>147</v>
      </c>
      <c r="T273" s="7">
        <f>IFERROR(_xlfn.XLOOKUP($A273,'Base SKUs'!$E:$E,'Base SKUs'!R:R),"")</f>
        <v>2432.0529999999999</v>
      </c>
      <c r="U273" s="15">
        <f t="shared" si="23"/>
        <v>147</v>
      </c>
      <c r="V273" t="str">
        <f t="shared" si="24"/>
        <v>BS Riverside</v>
      </c>
    </row>
    <row r="274" spans="1:22" x14ac:dyDescent="0.2">
      <c r="A274" t="s">
        <v>485</v>
      </c>
      <c r="B274" s="5">
        <v>517</v>
      </c>
      <c r="C274" s="5">
        <v>0</v>
      </c>
      <c r="D274" s="5">
        <f t="shared" si="20"/>
        <v>517</v>
      </c>
      <c r="E274" s="6">
        <v>17.712700000000002</v>
      </c>
      <c r="F274" s="6">
        <f t="shared" si="21"/>
        <v>9157.4659000000011</v>
      </c>
      <c r="G274" t="s">
        <v>24</v>
      </c>
      <c r="H274">
        <v>9008</v>
      </c>
      <c r="I274" t="str">
        <f>IFERROR(_xlfn.XLOOKUP($A274,'Base SKUs'!$E:$E,'Base SKUs'!A:A),"")</f>
        <v>Cumaru</v>
      </c>
      <c r="J274" t="str">
        <f>IFERROR(_xlfn.XLOOKUP($A274,'Base SKUs'!$E:$E,'Base SKUs'!B:B),"")</f>
        <v>Cumaru 24x48</v>
      </c>
      <c r="K274" t="str">
        <f>IFERROR(_xlfn.XLOOKUP($A274,'Base SKUs'!$E:$E,'Base SKUs'!C:C),"")</f>
        <v>Tiles</v>
      </c>
      <c r="L274" t="str">
        <f>IFERROR(_xlfn.XLOOKUP($A274,'Base SKUs'!$E:$E,'Base SKUs'!D:D),"")</f>
        <v>Hardwoods</v>
      </c>
      <c r="M274" t="str">
        <f>IFERROR(_xlfn.XLOOKUP($A274,'Base SKUs'!$E:$E,'Base SKUs'!G:G),"")</f>
        <v>Cumaru</v>
      </c>
      <c r="N274" t="str">
        <f>IFERROR(_xlfn.XLOOKUP($A274,'Base SKUs'!$E:$E,'Base SKUs'!H:H),"")</f>
        <v>Tiles</v>
      </c>
      <c r="O274" t="str">
        <f>IFERROR(_xlfn.XLOOKUP($A274,'Base SKUs'!$E:$E,'Base SKUs'!I:I),"")</f>
        <v>-</v>
      </c>
      <c r="P274" t="str">
        <f>IFERROR(_xlfn.XLOOKUP($A274,'Base SKUs'!$E:$E,'Base SKUs'!J:J),"")</f>
        <v>24x48</v>
      </c>
      <c r="Q274">
        <f>IFERROR(_xlfn.XLOOKUP($A274,'Base SKUs'!$E:$E,'Base SKUs'!K:K),"")</f>
        <v>48</v>
      </c>
      <c r="R274" s="7">
        <f>IFERROR(_xlfn.XLOOKUP($A274,'Base SKUs'!$E:$E,'Base SKUs'!S:S),"")</f>
        <v>1.6447007999999999E-3</v>
      </c>
      <c r="S274" s="8">
        <f t="shared" si="22"/>
        <v>517</v>
      </c>
      <c r="T274" s="7">
        <f>IFERROR(_xlfn.XLOOKUP($A274,'Base SKUs'!$E:$E,'Base SKUs'!R:R),"")</f>
        <v>2432.0529999999999</v>
      </c>
      <c r="U274" s="15">
        <f t="shared" si="23"/>
        <v>517</v>
      </c>
      <c r="V274" t="str">
        <f t="shared" si="24"/>
        <v>Texas</v>
      </c>
    </row>
    <row r="275" spans="1:22" x14ac:dyDescent="0.2">
      <c r="A275" t="s">
        <v>487</v>
      </c>
      <c r="B275" s="5">
        <v>126</v>
      </c>
      <c r="C275" s="5">
        <v>0</v>
      </c>
      <c r="D275" s="5">
        <f t="shared" si="20"/>
        <v>126</v>
      </c>
      <c r="E275" s="6">
        <v>16.9998</v>
      </c>
      <c r="F275" s="6">
        <f t="shared" si="21"/>
        <v>2141.9748</v>
      </c>
      <c r="G275" t="s">
        <v>489</v>
      </c>
      <c r="H275">
        <v>9016</v>
      </c>
      <c r="I275" t="str">
        <f>IFERROR(_xlfn.XLOOKUP($A275,'Base SKUs'!$E:$E,'Base SKUs'!A:A),"")</f>
        <v>Composite</v>
      </c>
      <c r="J275" t="str">
        <f>IFERROR(_xlfn.XLOOKUP($A275,'Base SKUs'!$E:$E,'Base SKUs'!B:B),"")</f>
        <v>Eco Duo</v>
      </c>
      <c r="K275" t="str">
        <f>IFERROR(_xlfn.XLOOKUP($A275,'Base SKUs'!$E:$E,'Base SKUs'!C:C),"")</f>
        <v>Long</v>
      </c>
      <c r="L275" t="str">
        <f>IFERROR(_xlfn.XLOOKUP($A275,'Base SKUs'!$E:$E,'Base SKUs'!D:D),"")</f>
        <v>Norx</v>
      </c>
      <c r="M275" t="str">
        <f>IFERROR(_xlfn.XLOOKUP($A275,'Base SKUs'!$E:$E,'Base SKUs'!G:G),"")</f>
        <v>Deck With Texture Ipe</v>
      </c>
      <c r="N275" t="str">
        <f>IFERROR(_xlfn.XLOOKUP($A275,'Base SKUs'!$E:$E,'Base SKUs'!H:H),"")</f>
        <v>Deck</v>
      </c>
      <c r="O275" t="str">
        <f>IFERROR(_xlfn.XLOOKUP($A275,'Base SKUs'!$E:$E,'Base SKUs'!I:I),"")</f>
        <v>-</v>
      </c>
      <c r="P275" t="str">
        <f>IFERROR(_xlfn.XLOOKUP($A275,'Base SKUs'!$E:$E,'Base SKUs'!J:J),"")</f>
        <v>1.25x6</v>
      </c>
      <c r="Q275">
        <f>IFERROR(_xlfn.XLOOKUP($A275,'Base SKUs'!$E:$E,'Base SKUs'!K:K),"")</f>
        <v>16</v>
      </c>
      <c r="R275" s="7">
        <f>IFERROR(_xlfn.XLOOKUP($A275,'Base SKUs'!$E:$E,'Base SKUs'!S:S),"")</f>
        <v>0</v>
      </c>
      <c r="S275" s="8">
        <f t="shared" si="22"/>
        <v>126</v>
      </c>
      <c r="T275" s="7">
        <f>IFERROR(_xlfn.XLOOKUP($A275,'Base SKUs'!$E:$E,'Base SKUs'!R:R),"")</f>
        <v>0</v>
      </c>
      <c r="U275" s="15">
        <f t="shared" si="23"/>
        <v>126</v>
      </c>
      <c r="V275" t="str">
        <f t="shared" si="24"/>
        <v>Palm Beach</v>
      </c>
    </row>
    <row r="276" spans="1:22" x14ac:dyDescent="0.2">
      <c r="A276" t="s">
        <v>492</v>
      </c>
      <c r="B276" s="5">
        <v>56</v>
      </c>
      <c r="C276" s="5">
        <v>0</v>
      </c>
      <c r="D276" s="5">
        <f t="shared" si="20"/>
        <v>56</v>
      </c>
      <c r="E276" s="6">
        <v>13.81</v>
      </c>
      <c r="F276" s="6">
        <f t="shared" si="21"/>
        <v>773.36</v>
      </c>
      <c r="G276" t="s">
        <v>489</v>
      </c>
      <c r="H276">
        <v>9016</v>
      </c>
      <c r="I276" t="str">
        <f>IFERROR(_xlfn.XLOOKUP($A276,'Base SKUs'!$E:$E,'Base SKUs'!A:A),"")</f>
        <v>Composite</v>
      </c>
      <c r="J276" t="str">
        <f>IFERROR(_xlfn.XLOOKUP($A276,'Base SKUs'!$E:$E,'Base SKUs'!B:B),"")</f>
        <v>Eco Duo</v>
      </c>
      <c r="K276" t="str">
        <f>IFERROR(_xlfn.XLOOKUP($A276,'Base SKUs'!$E:$E,'Base SKUs'!C:C),"")</f>
        <v>Long</v>
      </c>
      <c r="L276" t="str">
        <f>IFERROR(_xlfn.XLOOKUP($A276,'Base SKUs'!$E:$E,'Base SKUs'!D:D),"")</f>
        <v>Norx</v>
      </c>
      <c r="M276" t="str">
        <f>IFERROR(_xlfn.XLOOKUP($A276,'Base SKUs'!$E:$E,'Base SKUs'!G:G),"")</f>
        <v>Gray</v>
      </c>
      <c r="N276" t="str">
        <f>IFERROR(_xlfn.XLOOKUP($A276,'Base SKUs'!$E:$E,'Base SKUs'!H:H),"")</f>
        <v>Edge Finishinf</v>
      </c>
      <c r="O276" t="str">
        <f>IFERROR(_xlfn.XLOOKUP($A276,'Base SKUs'!$E:$E,'Base SKUs'!I:I),"")</f>
        <v>-</v>
      </c>
      <c r="P276" t="str">
        <f>IFERROR(_xlfn.XLOOKUP($A276,'Base SKUs'!$E:$E,'Base SKUs'!J:J),"")</f>
        <v>6x6</v>
      </c>
      <c r="Q276">
        <f>IFERROR(_xlfn.XLOOKUP($A276,'Base SKUs'!$E:$E,'Base SKUs'!K:K),"")</f>
        <v>6</v>
      </c>
      <c r="R276" s="7">
        <f>IFERROR(_xlfn.XLOOKUP($A276,'Base SKUs'!$E:$E,'Base SKUs'!S:S),"")</f>
        <v>0</v>
      </c>
      <c r="S276" s="8">
        <f t="shared" si="22"/>
        <v>56</v>
      </c>
      <c r="T276" s="7">
        <f>IFERROR(_xlfn.XLOOKUP($A276,'Base SKUs'!$E:$E,'Base SKUs'!R:R),"")</f>
        <v>0</v>
      </c>
      <c r="U276" s="15">
        <f t="shared" si="23"/>
        <v>56</v>
      </c>
      <c r="V276" t="str">
        <f t="shared" si="24"/>
        <v>Palm Beach</v>
      </c>
    </row>
    <row r="277" spans="1:22" x14ac:dyDescent="0.2">
      <c r="A277" t="s">
        <v>494</v>
      </c>
      <c r="B277" s="5">
        <v>56</v>
      </c>
      <c r="C277" s="5">
        <v>0</v>
      </c>
      <c r="D277" s="5">
        <f t="shared" si="20"/>
        <v>56</v>
      </c>
      <c r="E277" s="6">
        <v>13.81</v>
      </c>
      <c r="F277" s="6">
        <f t="shared" si="21"/>
        <v>773.36</v>
      </c>
      <c r="G277" t="s">
        <v>17</v>
      </c>
      <c r="H277">
        <v>9007</v>
      </c>
      <c r="I277" t="str">
        <f>IFERROR(_xlfn.XLOOKUP($A277,'Base SKUs'!$E:$E,'Base SKUs'!A:A),"")</f>
        <v>Composite</v>
      </c>
      <c r="J277" t="str">
        <f>IFERROR(_xlfn.XLOOKUP($A277,'Base SKUs'!$E:$E,'Base SKUs'!B:B),"")</f>
        <v>Eco Duo</v>
      </c>
      <c r="K277" t="str">
        <f>IFERROR(_xlfn.XLOOKUP($A277,'Base SKUs'!$E:$E,'Base SKUs'!C:C),"")</f>
        <v>Long</v>
      </c>
      <c r="L277" t="str">
        <f>IFERROR(_xlfn.XLOOKUP($A277,'Base SKUs'!$E:$E,'Base SKUs'!D:D),"")</f>
        <v>Norx</v>
      </c>
      <c r="M277" t="str">
        <f>IFERROR(_xlfn.XLOOKUP($A277,'Base SKUs'!$E:$E,'Base SKUs'!G:G),"")</f>
        <v>Gray</v>
      </c>
      <c r="N277" t="str">
        <f>IFERROR(_xlfn.XLOOKUP($A277,'Base SKUs'!$E:$E,'Base SKUs'!H:H),"")</f>
        <v>Edge Finishinf</v>
      </c>
      <c r="O277" t="str">
        <f>IFERROR(_xlfn.XLOOKUP($A277,'Base SKUs'!$E:$E,'Base SKUs'!I:I),"")</f>
        <v>-</v>
      </c>
      <c r="P277" t="str">
        <f>IFERROR(_xlfn.XLOOKUP($A277,'Base SKUs'!$E:$E,'Base SKUs'!J:J),"")</f>
        <v>6x6</v>
      </c>
      <c r="Q277">
        <f>IFERROR(_xlfn.XLOOKUP($A277,'Base SKUs'!$E:$E,'Base SKUs'!K:K),"")</f>
        <v>6</v>
      </c>
      <c r="R277" s="7">
        <f>IFERROR(_xlfn.XLOOKUP($A277,'Base SKUs'!$E:$E,'Base SKUs'!S:S),"")</f>
        <v>0</v>
      </c>
      <c r="S277" s="8">
        <f t="shared" si="22"/>
        <v>56</v>
      </c>
      <c r="T277" s="7">
        <f>IFERROR(_xlfn.XLOOKUP($A277,'Base SKUs'!$E:$E,'Base SKUs'!R:R),"")</f>
        <v>0</v>
      </c>
      <c r="U277" s="15">
        <f t="shared" si="23"/>
        <v>56</v>
      </c>
      <c r="V277" t="str">
        <f t="shared" si="24"/>
        <v>Miami</v>
      </c>
    </row>
    <row r="278" spans="1:22" x14ac:dyDescent="0.2">
      <c r="A278" t="s">
        <v>496</v>
      </c>
      <c r="B278" s="5">
        <v>112</v>
      </c>
      <c r="C278" s="5">
        <v>0</v>
      </c>
      <c r="D278" s="5">
        <f t="shared" si="20"/>
        <v>112</v>
      </c>
      <c r="E278" s="6">
        <v>13.81</v>
      </c>
      <c r="F278" s="6">
        <f t="shared" si="21"/>
        <v>1546.72</v>
      </c>
      <c r="G278" t="s">
        <v>17</v>
      </c>
      <c r="H278">
        <v>9007</v>
      </c>
      <c r="I278" t="str">
        <f>IFERROR(_xlfn.XLOOKUP($A278,'Base SKUs'!$E:$E,'Base SKUs'!A:A),"")</f>
        <v>Composite</v>
      </c>
      <c r="J278" t="str">
        <f>IFERROR(_xlfn.XLOOKUP($A278,'Base SKUs'!$E:$E,'Base SKUs'!B:B),"")</f>
        <v>Eco Duo</v>
      </c>
      <c r="K278" t="str">
        <f>IFERROR(_xlfn.XLOOKUP($A278,'Base SKUs'!$E:$E,'Base SKUs'!C:C),"")</f>
        <v>Long</v>
      </c>
      <c r="L278" t="str">
        <f>IFERROR(_xlfn.XLOOKUP($A278,'Base SKUs'!$E:$E,'Base SKUs'!D:D),"")</f>
        <v>Norx</v>
      </c>
      <c r="M278" t="str">
        <f>IFERROR(_xlfn.XLOOKUP($A278,'Base SKUs'!$E:$E,'Base SKUs'!G:G),"")</f>
        <v>Ipe</v>
      </c>
      <c r="N278" t="str">
        <f>IFERROR(_xlfn.XLOOKUP($A278,'Base SKUs'!$E:$E,'Base SKUs'!H:H),"")</f>
        <v>Board</v>
      </c>
      <c r="O278" t="str">
        <f>IFERROR(_xlfn.XLOOKUP($A278,'Base SKUs'!$E:$E,'Base SKUs'!I:I),"")</f>
        <v>-</v>
      </c>
      <c r="P278" t="str">
        <f>IFERROR(_xlfn.XLOOKUP($A278,'Base SKUs'!$E:$E,'Base SKUs'!J:J),"")</f>
        <v>1.25x5.5</v>
      </c>
      <c r="Q278">
        <f>IFERROR(_xlfn.XLOOKUP($A278,'Base SKUs'!$E:$E,'Base SKUs'!K:K),"")</f>
        <v>16</v>
      </c>
      <c r="R278" s="7">
        <f>IFERROR(_xlfn.XLOOKUP($A278,'Base SKUs'!$E:$E,'Base SKUs'!S:S),"")</f>
        <v>0</v>
      </c>
      <c r="S278" s="8">
        <f t="shared" si="22"/>
        <v>112</v>
      </c>
      <c r="T278" s="7">
        <f>IFERROR(_xlfn.XLOOKUP($A278,'Base SKUs'!$E:$E,'Base SKUs'!R:R),"")</f>
        <v>0</v>
      </c>
      <c r="U278" s="15">
        <f t="shared" si="23"/>
        <v>112</v>
      </c>
      <c r="V278" t="str">
        <f t="shared" si="24"/>
        <v>Miami</v>
      </c>
    </row>
    <row r="279" spans="1:22" x14ac:dyDescent="0.2">
      <c r="A279" t="s">
        <v>498</v>
      </c>
      <c r="B279" s="5">
        <v>176</v>
      </c>
      <c r="C279" s="5">
        <v>0</v>
      </c>
      <c r="D279" s="5">
        <f t="shared" si="20"/>
        <v>176</v>
      </c>
      <c r="E279" s="6">
        <v>8.3942999999999994</v>
      </c>
      <c r="F279" s="6">
        <f t="shared" si="21"/>
        <v>1477.3968</v>
      </c>
      <c r="G279" t="s">
        <v>17</v>
      </c>
      <c r="H279">
        <v>9007</v>
      </c>
      <c r="I279" t="str">
        <f>IFERROR(_xlfn.XLOOKUP($A279,'Base SKUs'!$E:$E,'Base SKUs'!A:A),"")</f>
        <v>Garapa</v>
      </c>
      <c r="J279" t="str">
        <f>IFERROR(_xlfn.XLOOKUP($A279,'Base SKUs'!$E:$E,'Base SKUs'!B:B),"")</f>
        <v>Garapa 1x6</v>
      </c>
      <c r="K279" t="str">
        <f>IFERROR(_xlfn.XLOOKUP($A279,'Base SKUs'!$E:$E,'Base SKUs'!C:C),"")</f>
        <v>Long</v>
      </c>
      <c r="L279" t="str">
        <f>IFERROR(_xlfn.XLOOKUP($A279,'Base SKUs'!$E:$E,'Base SKUs'!D:D),"")</f>
        <v>Hardwoods</v>
      </c>
      <c r="M279" t="str">
        <f>IFERROR(_xlfn.XLOOKUP($A279,'Base SKUs'!$E:$E,'Base SKUs'!G:G),"")</f>
        <v>Garapa</v>
      </c>
      <c r="N279" t="str">
        <f>IFERROR(_xlfn.XLOOKUP($A279,'Base SKUs'!$E:$E,'Base SKUs'!H:H),"")</f>
        <v>S4S E4E</v>
      </c>
      <c r="O279" t="str">
        <f>IFERROR(_xlfn.XLOOKUP($A279,'Base SKUs'!$E:$E,'Base SKUs'!I:I),"")</f>
        <v>-</v>
      </c>
      <c r="P279" t="str">
        <f>IFERROR(_xlfn.XLOOKUP($A279,'Base SKUs'!$E:$E,'Base SKUs'!J:J),"")</f>
        <v>1x6</v>
      </c>
      <c r="Q279">
        <f>IFERROR(_xlfn.XLOOKUP($A279,'Base SKUs'!$E:$E,'Base SKUs'!K:K),"")</f>
        <v>10</v>
      </c>
      <c r="R279" s="7">
        <f>IFERROR(_xlfn.XLOOKUP($A279,'Base SKUs'!$E:$E,'Base SKUs'!S:S),"")</f>
        <v>8.1115966799999994E-3</v>
      </c>
      <c r="S279" s="8">
        <f t="shared" si="22"/>
        <v>1.4276410156799999</v>
      </c>
      <c r="T279" s="7">
        <f>IFERROR(_xlfn.XLOOKUP($A279,'Base SKUs'!$E:$E,'Base SKUs'!R:R),"")</f>
        <v>1232.8030000000001</v>
      </c>
      <c r="U279" s="15">
        <f t="shared" si="23"/>
        <v>1760</v>
      </c>
      <c r="V279" t="str">
        <f t="shared" si="24"/>
        <v>Miami</v>
      </c>
    </row>
    <row r="280" spans="1:22" x14ac:dyDescent="0.2">
      <c r="A280" t="s">
        <v>498</v>
      </c>
      <c r="B280" s="5">
        <v>67</v>
      </c>
      <c r="C280" s="5">
        <v>0</v>
      </c>
      <c r="D280" s="5">
        <f t="shared" si="20"/>
        <v>67</v>
      </c>
      <c r="E280" s="6">
        <v>8.3942999999999994</v>
      </c>
      <c r="F280" s="6">
        <f t="shared" si="21"/>
        <v>562.41809999999998</v>
      </c>
      <c r="G280" t="s">
        <v>24</v>
      </c>
      <c r="H280">
        <v>9008</v>
      </c>
      <c r="I280" t="str">
        <f>IFERROR(_xlfn.XLOOKUP($A280,'Base SKUs'!$E:$E,'Base SKUs'!A:A),"")</f>
        <v>Garapa</v>
      </c>
      <c r="J280" t="str">
        <f>IFERROR(_xlfn.XLOOKUP($A280,'Base SKUs'!$E:$E,'Base SKUs'!B:B),"")</f>
        <v>Garapa 1x6</v>
      </c>
      <c r="K280" t="str">
        <f>IFERROR(_xlfn.XLOOKUP($A280,'Base SKUs'!$E:$E,'Base SKUs'!C:C),"")</f>
        <v>Long</v>
      </c>
      <c r="L280" t="str">
        <f>IFERROR(_xlfn.XLOOKUP($A280,'Base SKUs'!$E:$E,'Base SKUs'!D:D),"")</f>
        <v>Hardwoods</v>
      </c>
      <c r="M280" t="str">
        <f>IFERROR(_xlfn.XLOOKUP($A280,'Base SKUs'!$E:$E,'Base SKUs'!G:G),"")</f>
        <v>Garapa</v>
      </c>
      <c r="N280" t="str">
        <f>IFERROR(_xlfn.XLOOKUP($A280,'Base SKUs'!$E:$E,'Base SKUs'!H:H),"")</f>
        <v>S4S E4E</v>
      </c>
      <c r="O280" t="str">
        <f>IFERROR(_xlfn.XLOOKUP($A280,'Base SKUs'!$E:$E,'Base SKUs'!I:I),"")</f>
        <v>-</v>
      </c>
      <c r="P280" t="str">
        <f>IFERROR(_xlfn.XLOOKUP($A280,'Base SKUs'!$E:$E,'Base SKUs'!J:J),"")</f>
        <v>1x6</v>
      </c>
      <c r="Q280">
        <f>IFERROR(_xlfn.XLOOKUP($A280,'Base SKUs'!$E:$E,'Base SKUs'!K:K),"")</f>
        <v>10</v>
      </c>
      <c r="R280" s="7">
        <f>IFERROR(_xlfn.XLOOKUP($A280,'Base SKUs'!$E:$E,'Base SKUs'!S:S),"")</f>
        <v>8.1115966799999994E-3</v>
      </c>
      <c r="S280" s="8">
        <f t="shared" si="22"/>
        <v>0.54347697755999991</v>
      </c>
      <c r="T280" s="7">
        <f>IFERROR(_xlfn.XLOOKUP($A280,'Base SKUs'!$E:$E,'Base SKUs'!R:R),"")</f>
        <v>1232.8030000000001</v>
      </c>
      <c r="U280" s="15">
        <f t="shared" si="23"/>
        <v>670</v>
      </c>
      <c r="V280" t="str">
        <f t="shared" si="24"/>
        <v>Texas</v>
      </c>
    </row>
    <row r="281" spans="1:22" x14ac:dyDescent="0.2">
      <c r="A281" t="s">
        <v>498</v>
      </c>
      <c r="B281" s="5">
        <v>67</v>
      </c>
      <c r="C281" s="5">
        <v>0</v>
      </c>
      <c r="D281" s="5">
        <f t="shared" si="20"/>
        <v>67</v>
      </c>
      <c r="E281" s="6">
        <v>10.38</v>
      </c>
      <c r="F281" s="6">
        <f t="shared" si="21"/>
        <v>695.46</v>
      </c>
      <c r="G281" t="s">
        <v>500</v>
      </c>
      <c r="H281">
        <v>9012</v>
      </c>
      <c r="I281" t="str">
        <f>IFERROR(_xlfn.XLOOKUP($A281,'Base SKUs'!$E:$E,'Base SKUs'!A:A),"")</f>
        <v>Garapa</v>
      </c>
      <c r="J281" t="str">
        <f>IFERROR(_xlfn.XLOOKUP($A281,'Base SKUs'!$E:$E,'Base SKUs'!B:B),"")</f>
        <v>Garapa 1x6</v>
      </c>
      <c r="K281" t="str">
        <f>IFERROR(_xlfn.XLOOKUP($A281,'Base SKUs'!$E:$E,'Base SKUs'!C:C),"")</f>
        <v>Long</v>
      </c>
      <c r="L281" t="str">
        <f>IFERROR(_xlfn.XLOOKUP($A281,'Base SKUs'!$E:$E,'Base SKUs'!D:D),"")</f>
        <v>Hardwoods</v>
      </c>
      <c r="M281" t="str">
        <f>IFERROR(_xlfn.XLOOKUP($A281,'Base SKUs'!$E:$E,'Base SKUs'!G:G),"")</f>
        <v>Garapa</v>
      </c>
      <c r="N281" t="str">
        <f>IFERROR(_xlfn.XLOOKUP($A281,'Base SKUs'!$E:$E,'Base SKUs'!H:H),"")</f>
        <v>S4S E4E</v>
      </c>
      <c r="O281" t="str">
        <f>IFERROR(_xlfn.XLOOKUP($A281,'Base SKUs'!$E:$E,'Base SKUs'!I:I),"")</f>
        <v>-</v>
      </c>
      <c r="P281" t="str">
        <f>IFERROR(_xlfn.XLOOKUP($A281,'Base SKUs'!$E:$E,'Base SKUs'!J:J),"")</f>
        <v>1x6</v>
      </c>
      <c r="Q281">
        <f>IFERROR(_xlfn.XLOOKUP($A281,'Base SKUs'!$E:$E,'Base SKUs'!K:K),"")</f>
        <v>10</v>
      </c>
      <c r="R281" s="7">
        <f>IFERROR(_xlfn.XLOOKUP($A281,'Base SKUs'!$E:$E,'Base SKUs'!S:S),"")</f>
        <v>8.1115966799999994E-3</v>
      </c>
      <c r="S281" s="8">
        <f t="shared" si="22"/>
        <v>0.54347697755999991</v>
      </c>
      <c r="T281" s="7">
        <f>IFERROR(_xlfn.XLOOKUP($A281,'Base SKUs'!$E:$E,'Base SKUs'!R:R),"")</f>
        <v>1232.8030000000001</v>
      </c>
      <c r="U281" s="15">
        <f t="shared" si="23"/>
        <v>670</v>
      </c>
      <c r="V281" t="str">
        <f t="shared" si="24"/>
        <v>HW Perris</v>
      </c>
    </row>
    <row r="282" spans="1:22" x14ac:dyDescent="0.2">
      <c r="A282" t="s">
        <v>503</v>
      </c>
      <c r="B282" s="5">
        <v>139</v>
      </c>
      <c r="C282" s="5">
        <v>0</v>
      </c>
      <c r="D282" s="5">
        <f t="shared" si="20"/>
        <v>139</v>
      </c>
      <c r="E282" s="6">
        <v>9.2512000000000008</v>
      </c>
      <c r="F282" s="6">
        <f t="shared" si="21"/>
        <v>1285.9168000000002</v>
      </c>
      <c r="G282" t="s">
        <v>17</v>
      </c>
      <c r="H282">
        <v>9007</v>
      </c>
      <c r="I282" t="str">
        <f>IFERROR(_xlfn.XLOOKUP($A282,'Base SKUs'!$E:$E,'Base SKUs'!A:A),"")</f>
        <v>Garapa</v>
      </c>
      <c r="J282" t="str">
        <f>IFERROR(_xlfn.XLOOKUP($A282,'Base SKUs'!$E:$E,'Base SKUs'!B:B),"")</f>
        <v>Garapa 1x6</v>
      </c>
      <c r="K282" t="str">
        <f>IFERROR(_xlfn.XLOOKUP($A282,'Base SKUs'!$E:$E,'Base SKUs'!C:C),"")</f>
        <v>Long</v>
      </c>
      <c r="L282" t="str">
        <f>IFERROR(_xlfn.XLOOKUP($A282,'Base SKUs'!$E:$E,'Base SKUs'!D:D),"")</f>
        <v>Hardwoods</v>
      </c>
      <c r="M282" t="str">
        <f>IFERROR(_xlfn.XLOOKUP($A282,'Base SKUs'!$E:$E,'Base SKUs'!G:G),"")</f>
        <v>Garapa</v>
      </c>
      <c r="N282" t="str">
        <f>IFERROR(_xlfn.XLOOKUP($A282,'Base SKUs'!$E:$E,'Base SKUs'!H:H),"")</f>
        <v>S4S E4E</v>
      </c>
      <c r="O282" t="str">
        <f>IFERROR(_xlfn.XLOOKUP($A282,'Base SKUs'!$E:$E,'Base SKUs'!I:I),"")</f>
        <v>-</v>
      </c>
      <c r="P282" t="str">
        <f>IFERROR(_xlfn.XLOOKUP($A282,'Base SKUs'!$E:$E,'Base SKUs'!J:J),"")</f>
        <v>1x6</v>
      </c>
      <c r="Q282">
        <f>IFERROR(_xlfn.XLOOKUP($A282,'Base SKUs'!$E:$E,'Base SKUs'!K:K),"")</f>
        <v>11</v>
      </c>
      <c r="R282" s="7">
        <f>IFERROR(_xlfn.XLOOKUP($A282,'Base SKUs'!$E:$E,'Base SKUs'!S:S),"")</f>
        <v>8.922756347999999E-3</v>
      </c>
      <c r="S282" s="8">
        <f t="shared" si="22"/>
        <v>1.2402631323719999</v>
      </c>
      <c r="T282" s="7">
        <f>IFERROR(_xlfn.XLOOKUP($A282,'Base SKUs'!$E:$E,'Base SKUs'!R:R),"")</f>
        <v>1232.8030000000001</v>
      </c>
      <c r="U282" s="15">
        <f t="shared" si="23"/>
        <v>1529</v>
      </c>
      <c r="V282" t="str">
        <f t="shared" si="24"/>
        <v>Miami</v>
      </c>
    </row>
    <row r="283" spans="1:22" x14ac:dyDescent="0.2">
      <c r="A283" t="s">
        <v>506</v>
      </c>
      <c r="B283" s="5">
        <v>151</v>
      </c>
      <c r="C283" s="5">
        <v>0</v>
      </c>
      <c r="D283" s="5">
        <f t="shared" si="20"/>
        <v>151</v>
      </c>
      <c r="E283" s="6">
        <v>13.759499999999999</v>
      </c>
      <c r="F283" s="6">
        <f t="shared" si="21"/>
        <v>2077.6844999999998</v>
      </c>
      <c r="G283" t="s">
        <v>17</v>
      </c>
      <c r="H283">
        <v>9007</v>
      </c>
      <c r="I283" t="str">
        <f>IFERROR(_xlfn.XLOOKUP($A283,'Base SKUs'!$E:$E,'Base SKUs'!A:A),"")</f>
        <v>Garapa</v>
      </c>
      <c r="J283" t="str">
        <f>IFERROR(_xlfn.XLOOKUP($A283,'Base SKUs'!$E:$E,'Base SKUs'!B:B),"")</f>
        <v>Garapa 1x6</v>
      </c>
      <c r="K283" t="str">
        <f>IFERROR(_xlfn.XLOOKUP($A283,'Base SKUs'!$E:$E,'Base SKUs'!C:C),"")</f>
        <v>Long</v>
      </c>
      <c r="L283" t="str">
        <f>IFERROR(_xlfn.XLOOKUP($A283,'Base SKUs'!$E:$E,'Base SKUs'!D:D),"")</f>
        <v>Hardwoods</v>
      </c>
      <c r="M283" t="str">
        <f>IFERROR(_xlfn.XLOOKUP($A283,'Base SKUs'!$E:$E,'Base SKUs'!G:G),"")</f>
        <v>Garapa</v>
      </c>
      <c r="N283" t="str">
        <f>IFERROR(_xlfn.XLOOKUP($A283,'Base SKUs'!$E:$E,'Base SKUs'!H:H),"")</f>
        <v>S4S E4E</v>
      </c>
      <c r="O283" t="str">
        <f>IFERROR(_xlfn.XLOOKUP($A283,'Base SKUs'!$E:$E,'Base SKUs'!I:I),"")</f>
        <v>-</v>
      </c>
      <c r="P283" t="str">
        <f>IFERROR(_xlfn.XLOOKUP($A283,'Base SKUs'!$E:$E,'Base SKUs'!J:J),"")</f>
        <v>1x6</v>
      </c>
      <c r="Q283">
        <f>IFERROR(_xlfn.XLOOKUP($A283,'Base SKUs'!$E:$E,'Base SKUs'!K:K),"")</f>
        <v>13</v>
      </c>
      <c r="R283" s="7">
        <f>IFERROR(_xlfn.XLOOKUP($A283,'Base SKUs'!$E:$E,'Base SKUs'!S:S),"")</f>
        <v>1.0545075684E-2</v>
      </c>
      <c r="S283" s="8">
        <f t="shared" si="22"/>
        <v>1.592306428284</v>
      </c>
      <c r="T283" s="7">
        <f>IFERROR(_xlfn.XLOOKUP($A283,'Base SKUs'!$E:$E,'Base SKUs'!R:R),"")</f>
        <v>1232.8030000000001</v>
      </c>
      <c r="U283" s="15">
        <f t="shared" si="23"/>
        <v>1963</v>
      </c>
      <c r="V283" t="str">
        <f t="shared" si="24"/>
        <v>Miami</v>
      </c>
    </row>
    <row r="284" spans="1:22" x14ac:dyDescent="0.2">
      <c r="A284" t="s">
        <v>508</v>
      </c>
      <c r="B284" s="5">
        <v>168</v>
      </c>
      <c r="C284" s="5">
        <v>0</v>
      </c>
      <c r="D284" s="5">
        <f t="shared" si="20"/>
        <v>168</v>
      </c>
      <c r="E284" s="6">
        <v>14.54</v>
      </c>
      <c r="F284" s="6">
        <f t="shared" si="21"/>
        <v>2442.7199999999998</v>
      </c>
      <c r="G284" t="s">
        <v>500</v>
      </c>
      <c r="H284">
        <v>9012</v>
      </c>
      <c r="I284" t="str">
        <f>IFERROR(_xlfn.XLOOKUP($A284,'Base SKUs'!$E:$E,'Base SKUs'!A:A),"")</f>
        <v>Garapa</v>
      </c>
      <c r="J284" t="str">
        <f>IFERROR(_xlfn.XLOOKUP($A284,'Base SKUs'!$E:$E,'Base SKUs'!B:B),"")</f>
        <v>Garapa 1x6</v>
      </c>
      <c r="K284" t="str">
        <f>IFERROR(_xlfn.XLOOKUP($A284,'Base SKUs'!$E:$E,'Base SKUs'!C:C),"")</f>
        <v>Long</v>
      </c>
      <c r="L284" t="str">
        <f>IFERROR(_xlfn.XLOOKUP($A284,'Base SKUs'!$E:$E,'Base SKUs'!D:D),"")</f>
        <v>Hardwoods</v>
      </c>
      <c r="M284" t="str">
        <f>IFERROR(_xlfn.XLOOKUP($A284,'Base SKUs'!$E:$E,'Base SKUs'!G:G),"")</f>
        <v>Garapa</v>
      </c>
      <c r="N284" t="str">
        <f>IFERROR(_xlfn.XLOOKUP($A284,'Base SKUs'!$E:$E,'Base SKUs'!H:H),"")</f>
        <v>S4S E4E</v>
      </c>
      <c r="O284" t="str">
        <f>IFERROR(_xlfn.XLOOKUP($A284,'Base SKUs'!$E:$E,'Base SKUs'!I:I),"")</f>
        <v>-</v>
      </c>
      <c r="P284" t="str">
        <f>IFERROR(_xlfn.XLOOKUP($A284,'Base SKUs'!$E:$E,'Base SKUs'!J:J),"")</f>
        <v>1x6</v>
      </c>
      <c r="Q284">
        <f>IFERROR(_xlfn.XLOOKUP($A284,'Base SKUs'!$E:$E,'Base SKUs'!K:K),"")</f>
        <v>14</v>
      </c>
      <c r="R284" s="7">
        <f>IFERROR(_xlfn.XLOOKUP($A284,'Base SKUs'!$E:$E,'Base SKUs'!S:S),"")</f>
        <v>1.1356235352E-2</v>
      </c>
      <c r="S284" s="8">
        <f t="shared" si="22"/>
        <v>1.9078475391359999</v>
      </c>
      <c r="T284" s="7">
        <f>IFERROR(_xlfn.XLOOKUP($A284,'Base SKUs'!$E:$E,'Base SKUs'!R:R),"")</f>
        <v>1232.8030000000001</v>
      </c>
      <c r="U284" s="15">
        <f t="shared" si="23"/>
        <v>2352</v>
      </c>
      <c r="V284" t="str">
        <f t="shared" si="24"/>
        <v>HW Perris</v>
      </c>
    </row>
    <row r="285" spans="1:22" x14ac:dyDescent="0.2">
      <c r="A285" t="s">
        <v>510</v>
      </c>
      <c r="B285" s="5">
        <v>154</v>
      </c>
      <c r="C285" s="5">
        <v>0</v>
      </c>
      <c r="D285" s="5">
        <f t="shared" si="20"/>
        <v>154</v>
      </c>
      <c r="E285" s="6">
        <v>15.0885</v>
      </c>
      <c r="F285" s="6">
        <f t="shared" si="21"/>
        <v>2323.6289999999999</v>
      </c>
      <c r="G285" t="s">
        <v>17</v>
      </c>
      <c r="H285">
        <v>9007</v>
      </c>
      <c r="I285" t="str">
        <f>IFERROR(_xlfn.XLOOKUP($A285,'Base SKUs'!$E:$E,'Base SKUs'!A:A),"")</f>
        <v>Garapa</v>
      </c>
      <c r="J285" t="str">
        <f>IFERROR(_xlfn.XLOOKUP($A285,'Base SKUs'!$E:$E,'Base SKUs'!B:B),"")</f>
        <v>Garapa 1x6</v>
      </c>
      <c r="K285" t="str">
        <f>IFERROR(_xlfn.XLOOKUP($A285,'Base SKUs'!$E:$E,'Base SKUs'!C:C),"")</f>
        <v>Long</v>
      </c>
      <c r="L285" t="str">
        <f>IFERROR(_xlfn.XLOOKUP($A285,'Base SKUs'!$E:$E,'Base SKUs'!D:D),"")</f>
        <v>Hardwoods</v>
      </c>
      <c r="M285" t="str">
        <f>IFERROR(_xlfn.XLOOKUP($A285,'Base SKUs'!$E:$E,'Base SKUs'!G:G),"")</f>
        <v>Garapa</v>
      </c>
      <c r="N285" t="str">
        <f>IFERROR(_xlfn.XLOOKUP($A285,'Base SKUs'!$E:$E,'Base SKUs'!H:H),"")</f>
        <v>S4S E4E</v>
      </c>
      <c r="O285" t="str">
        <f>IFERROR(_xlfn.XLOOKUP($A285,'Base SKUs'!$E:$E,'Base SKUs'!I:I),"")</f>
        <v>-</v>
      </c>
      <c r="P285" t="str">
        <f>IFERROR(_xlfn.XLOOKUP($A285,'Base SKUs'!$E:$E,'Base SKUs'!J:J),"")</f>
        <v>1x6</v>
      </c>
      <c r="Q285">
        <f>IFERROR(_xlfn.XLOOKUP($A285,'Base SKUs'!$E:$E,'Base SKUs'!K:K),"")</f>
        <v>15</v>
      </c>
      <c r="R285" s="7">
        <f>IFERROR(_xlfn.XLOOKUP($A285,'Base SKUs'!$E:$E,'Base SKUs'!S:S),"")</f>
        <v>1.2167395020000001E-2</v>
      </c>
      <c r="S285" s="8">
        <f t="shared" si="22"/>
        <v>1.87377883308</v>
      </c>
      <c r="T285" s="7">
        <f>IFERROR(_xlfn.XLOOKUP($A285,'Base SKUs'!$E:$E,'Base SKUs'!R:R),"")</f>
        <v>1232.8030000000001</v>
      </c>
      <c r="U285" s="15">
        <f t="shared" si="23"/>
        <v>2310</v>
      </c>
      <c r="V285" t="str">
        <f t="shared" si="24"/>
        <v>Miami</v>
      </c>
    </row>
    <row r="286" spans="1:22" x14ac:dyDescent="0.2">
      <c r="A286" t="s">
        <v>512</v>
      </c>
      <c r="B286" s="5">
        <v>96</v>
      </c>
      <c r="C286" s="5">
        <v>0</v>
      </c>
      <c r="D286" s="5">
        <f t="shared" si="20"/>
        <v>96</v>
      </c>
      <c r="E286" s="6">
        <v>18.091000000000001</v>
      </c>
      <c r="F286" s="6">
        <f t="shared" si="21"/>
        <v>1736.7360000000001</v>
      </c>
      <c r="G286" t="s">
        <v>24</v>
      </c>
      <c r="H286">
        <v>9008</v>
      </c>
      <c r="I286" t="str">
        <f>IFERROR(_xlfn.XLOOKUP($A286,'Base SKUs'!$E:$E,'Base SKUs'!A:A),"")</f>
        <v>Garapa</v>
      </c>
      <c r="J286" t="str">
        <f>IFERROR(_xlfn.XLOOKUP($A286,'Base SKUs'!$E:$E,'Base SKUs'!B:B),"")</f>
        <v>Garapa 1x6</v>
      </c>
      <c r="K286" t="str">
        <f>IFERROR(_xlfn.XLOOKUP($A286,'Base SKUs'!$E:$E,'Base SKUs'!C:C),"")</f>
        <v>Long</v>
      </c>
      <c r="L286" t="str">
        <f>IFERROR(_xlfn.XLOOKUP($A286,'Base SKUs'!$E:$E,'Base SKUs'!D:D),"")</f>
        <v>Hardwoods</v>
      </c>
      <c r="M286" t="str">
        <f>IFERROR(_xlfn.XLOOKUP($A286,'Base SKUs'!$E:$E,'Base SKUs'!G:G),"")</f>
        <v>Garapa</v>
      </c>
      <c r="N286" t="str">
        <f>IFERROR(_xlfn.XLOOKUP($A286,'Base SKUs'!$E:$E,'Base SKUs'!H:H),"")</f>
        <v>S4S E4E</v>
      </c>
      <c r="O286" t="str">
        <f>IFERROR(_xlfn.XLOOKUP($A286,'Base SKUs'!$E:$E,'Base SKUs'!I:I),"")</f>
        <v>-</v>
      </c>
      <c r="P286" t="str">
        <f>IFERROR(_xlfn.XLOOKUP($A286,'Base SKUs'!$E:$E,'Base SKUs'!J:J),"")</f>
        <v>1x6</v>
      </c>
      <c r="Q286">
        <f>IFERROR(_xlfn.XLOOKUP($A286,'Base SKUs'!$E:$E,'Base SKUs'!K:K),"")</f>
        <v>18</v>
      </c>
      <c r="R286" s="7">
        <f>IFERROR(_xlfn.XLOOKUP($A286,'Base SKUs'!$E:$E,'Base SKUs'!S:S),"")</f>
        <v>1.4600874024E-2</v>
      </c>
      <c r="S286" s="8">
        <f t="shared" si="22"/>
        <v>1.4016839063040001</v>
      </c>
      <c r="T286" s="7">
        <f>IFERROR(_xlfn.XLOOKUP($A286,'Base SKUs'!$E:$E,'Base SKUs'!R:R),"")</f>
        <v>1232.8030000000001</v>
      </c>
      <c r="U286" s="15">
        <f t="shared" si="23"/>
        <v>1728</v>
      </c>
      <c r="V286" t="str">
        <f t="shared" si="24"/>
        <v>Texas</v>
      </c>
    </row>
    <row r="287" spans="1:22" x14ac:dyDescent="0.2">
      <c r="A287" t="s">
        <v>515</v>
      </c>
      <c r="B287" s="5">
        <v>472</v>
      </c>
      <c r="C287" s="5">
        <v>0</v>
      </c>
      <c r="D287" s="5">
        <f t="shared" si="20"/>
        <v>472</v>
      </c>
      <c r="E287" s="6">
        <v>6.7282999999999999</v>
      </c>
      <c r="F287" s="6">
        <f t="shared" si="21"/>
        <v>3175.7575999999999</v>
      </c>
      <c r="G287" t="s">
        <v>17</v>
      </c>
      <c r="H287">
        <v>9007</v>
      </c>
      <c r="I287" t="str">
        <f>IFERROR(_xlfn.XLOOKUP($A287,'Base SKUs'!$E:$E,'Base SKUs'!A:A),"")</f>
        <v>Garapa</v>
      </c>
      <c r="J287" t="str">
        <f>IFERROR(_xlfn.XLOOKUP($A287,'Base SKUs'!$E:$E,'Base SKUs'!B:B),"")</f>
        <v>Garapa 1x6</v>
      </c>
      <c r="K287" t="str">
        <f>IFERROR(_xlfn.XLOOKUP($A287,'Base SKUs'!$E:$E,'Base SKUs'!C:C),"")</f>
        <v>Long</v>
      </c>
      <c r="L287" t="str">
        <f>IFERROR(_xlfn.XLOOKUP($A287,'Base SKUs'!$E:$E,'Base SKUs'!D:D),"")</f>
        <v>Hardwoods</v>
      </c>
      <c r="M287" t="str">
        <f>IFERROR(_xlfn.XLOOKUP($A287,'Base SKUs'!$E:$E,'Base SKUs'!G:G),"")</f>
        <v>Garapa</v>
      </c>
      <c r="N287" t="str">
        <f>IFERROR(_xlfn.XLOOKUP($A287,'Base SKUs'!$E:$E,'Base SKUs'!H:H),"")</f>
        <v>S4S E4E</v>
      </c>
      <c r="O287" t="str">
        <f>IFERROR(_xlfn.XLOOKUP($A287,'Base SKUs'!$E:$E,'Base SKUs'!I:I),"")</f>
        <v>-</v>
      </c>
      <c r="P287" t="str">
        <f>IFERROR(_xlfn.XLOOKUP($A287,'Base SKUs'!$E:$E,'Base SKUs'!J:J),"")</f>
        <v>1x6</v>
      </c>
      <c r="Q287">
        <f>IFERROR(_xlfn.XLOOKUP($A287,'Base SKUs'!$E:$E,'Base SKUs'!K:K),"")</f>
        <v>8</v>
      </c>
      <c r="R287" s="7">
        <f>IFERROR(_xlfn.XLOOKUP($A287,'Base SKUs'!$E:$E,'Base SKUs'!S:S),"")</f>
        <v>6.4892773439999994E-3</v>
      </c>
      <c r="S287" s="8">
        <f t="shared" si="22"/>
        <v>3.0629389063679997</v>
      </c>
      <c r="T287" s="7">
        <f>IFERROR(_xlfn.XLOOKUP($A287,'Base SKUs'!$E:$E,'Base SKUs'!R:R),"")</f>
        <v>1232.8030000000001</v>
      </c>
      <c r="U287" s="15">
        <f t="shared" si="23"/>
        <v>3776</v>
      </c>
      <c r="V287" t="str">
        <f t="shared" si="24"/>
        <v>Miami</v>
      </c>
    </row>
    <row r="288" spans="1:22" x14ac:dyDescent="0.2">
      <c r="A288" t="s">
        <v>515</v>
      </c>
      <c r="B288" s="5">
        <v>180</v>
      </c>
      <c r="C288" s="5">
        <v>0</v>
      </c>
      <c r="D288" s="5">
        <f t="shared" si="20"/>
        <v>180</v>
      </c>
      <c r="E288" s="6">
        <v>8.31</v>
      </c>
      <c r="F288" s="6">
        <f t="shared" si="21"/>
        <v>1495.8000000000002</v>
      </c>
      <c r="G288" t="s">
        <v>500</v>
      </c>
      <c r="H288">
        <v>9012</v>
      </c>
      <c r="I288" t="str">
        <f>IFERROR(_xlfn.XLOOKUP($A288,'Base SKUs'!$E:$E,'Base SKUs'!A:A),"")</f>
        <v>Garapa</v>
      </c>
      <c r="J288" t="str">
        <f>IFERROR(_xlfn.XLOOKUP($A288,'Base SKUs'!$E:$E,'Base SKUs'!B:B),"")</f>
        <v>Garapa 1x6</v>
      </c>
      <c r="K288" t="str">
        <f>IFERROR(_xlfn.XLOOKUP($A288,'Base SKUs'!$E:$E,'Base SKUs'!C:C),"")</f>
        <v>Long</v>
      </c>
      <c r="L288" t="str">
        <f>IFERROR(_xlfn.XLOOKUP($A288,'Base SKUs'!$E:$E,'Base SKUs'!D:D),"")</f>
        <v>Hardwoods</v>
      </c>
      <c r="M288" t="str">
        <f>IFERROR(_xlfn.XLOOKUP($A288,'Base SKUs'!$E:$E,'Base SKUs'!G:G),"")</f>
        <v>Garapa</v>
      </c>
      <c r="N288" t="str">
        <f>IFERROR(_xlfn.XLOOKUP($A288,'Base SKUs'!$E:$E,'Base SKUs'!H:H),"")</f>
        <v>S4S E4E</v>
      </c>
      <c r="O288" t="str">
        <f>IFERROR(_xlfn.XLOOKUP($A288,'Base SKUs'!$E:$E,'Base SKUs'!I:I),"")</f>
        <v>-</v>
      </c>
      <c r="P288" t="str">
        <f>IFERROR(_xlfn.XLOOKUP($A288,'Base SKUs'!$E:$E,'Base SKUs'!J:J),"")</f>
        <v>1x6</v>
      </c>
      <c r="Q288">
        <f>IFERROR(_xlfn.XLOOKUP($A288,'Base SKUs'!$E:$E,'Base SKUs'!K:K),"")</f>
        <v>8</v>
      </c>
      <c r="R288" s="7">
        <f>IFERROR(_xlfn.XLOOKUP($A288,'Base SKUs'!$E:$E,'Base SKUs'!S:S),"")</f>
        <v>6.4892773439999994E-3</v>
      </c>
      <c r="S288" s="8">
        <f t="shared" si="22"/>
        <v>1.1680699219199999</v>
      </c>
      <c r="T288" s="7">
        <f>IFERROR(_xlfn.XLOOKUP($A288,'Base SKUs'!$E:$E,'Base SKUs'!R:R),"")</f>
        <v>1232.8030000000001</v>
      </c>
      <c r="U288" s="15">
        <f t="shared" si="23"/>
        <v>1440</v>
      </c>
      <c r="V288" t="str">
        <f t="shared" si="24"/>
        <v>HW Perris</v>
      </c>
    </row>
    <row r="289" spans="1:22" x14ac:dyDescent="0.2">
      <c r="A289" t="s">
        <v>517</v>
      </c>
      <c r="B289" s="5">
        <v>852</v>
      </c>
      <c r="C289" s="5">
        <v>0</v>
      </c>
      <c r="D289" s="5">
        <f t="shared" si="20"/>
        <v>852</v>
      </c>
      <c r="E289" s="6">
        <v>13.0709</v>
      </c>
      <c r="F289" s="6">
        <f t="shared" si="21"/>
        <v>11136.406800000001</v>
      </c>
      <c r="G289" t="s">
        <v>24</v>
      </c>
      <c r="H289">
        <v>9008</v>
      </c>
      <c r="I289" t="str">
        <f>IFERROR(_xlfn.XLOOKUP($A289,'Base SKUs'!$E:$E,'Base SKUs'!A:A),"")</f>
        <v>Garapa</v>
      </c>
      <c r="J289" t="str">
        <f>IFERROR(_xlfn.XLOOKUP($A289,'Base SKUs'!$E:$E,'Base SKUs'!B:B),"")</f>
        <v>Garapa 5/4x6</v>
      </c>
      <c r="K289" t="str">
        <f>IFERROR(_xlfn.XLOOKUP($A289,'Base SKUs'!$E:$E,'Base SKUs'!C:C),"")</f>
        <v>Long</v>
      </c>
      <c r="L289" t="str">
        <f>IFERROR(_xlfn.XLOOKUP($A289,'Base SKUs'!$E:$E,'Base SKUs'!D:D),"")</f>
        <v>Hardwoods</v>
      </c>
      <c r="M289" t="str">
        <f>IFERROR(_xlfn.XLOOKUP($A289,'Base SKUs'!$E:$E,'Base SKUs'!G:G),"")</f>
        <v>Garapa</v>
      </c>
      <c r="N289" t="str">
        <f>IFERROR(_xlfn.XLOOKUP($A289,'Base SKUs'!$E:$E,'Base SKUs'!H:H),"")</f>
        <v>S4S E4E</v>
      </c>
      <c r="O289" t="str">
        <f>IFERROR(_xlfn.XLOOKUP($A289,'Base SKUs'!$E:$E,'Base SKUs'!I:I),"")</f>
        <v>-</v>
      </c>
      <c r="P289" t="str">
        <f>IFERROR(_xlfn.XLOOKUP($A289,'Base SKUs'!$E:$E,'Base SKUs'!J:J),"")</f>
        <v>5/4x6</v>
      </c>
      <c r="Q289">
        <f>IFERROR(_xlfn.XLOOKUP($A289,'Base SKUs'!$E:$E,'Base SKUs'!K:K),"")</f>
        <v>10</v>
      </c>
      <c r="R289" s="7">
        <f>IFERROR(_xlfn.XLOOKUP($A289,'Base SKUs'!$E:$E,'Base SKUs'!S:S),"")</f>
        <v>1.081546224E-2</v>
      </c>
      <c r="S289" s="8">
        <f t="shared" si="22"/>
        <v>9.2147738284800003</v>
      </c>
      <c r="T289" s="7">
        <f>IFERROR(_xlfn.XLOOKUP($A289,'Base SKUs'!$E:$E,'Base SKUs'!R:R),"")</f>
        <v>924.60199999999998</v>
      </c>
      <c r="U289" s="15">
        <f t="shared" si="23"/>
        <v>8520</v>
      </c>
      <c r="V289" t="str">
        <f t="shared" si="24"/>
        <v>Texas</v>
      </c>
    </row>
    <row r="290" spans="1:22" x14ac:dyDescent="0.2">
      <c r="A290" t="s">
        <v>519</v>
      </c>
      <c r="B290" s="5">
        <v>26</v>
      </c>
      <c r="C290" s="5">
        <v>0</v>
      </c>
      <c r="D290" s="5">
        <f t="shared" si="20"/>
        <v>26</v>
      </c>
      <c r="E290" s="6">
        <v>14.5099</v>
      </c>
      <c r="F290" s="6">
        <f t="shared" si="21"/>
        <v>377.25740000000002</v>
      </c>
      <c r="G290" t="s">
        <v>24</v>
      </c>
      <c r="H290">
        <v>9008</v>
      </c>
      <c r="I290" t="str">
        <f>IFERROR(_xlfn.XLOOKUP($A290,'Base SKUs'!$E:$E,'Base SKUs'!A:A),"")</f>
        <v>Garapa</v>
      </c>
      <c r="J290" t="str">
        <f>IFERROR(_xlfn.XLOOKUP($A290,'Base SKUs'!$E:$E,'Base SKUs'!B:B),"")</f>
        <v>Garapa 5/4x6</v>
      </c>
      <c r="K290" t="str">
        <f>IFERROR(_xlfn.XLOOKUP($A290,'Base SKUs'!$E:$E,'Base SKUs'!C:C),"")</f>
        <v>Long</v>
      </c>
      <c r="L290" t="str">
        <f>IFERROR(_xlfn.XLOOKUP($A290,'Base SKUs'!$E:$E,'Base SKUs'!D:D),"")</f>
        <v>Hardwoods</v>
      </c>
      <c r="M290" t="str">
        <f>IFERROR(_xlfn.XLOOKUP($A290,'Base SKUs'!$E:$E,'Base SKUs'!G:G),"")</f>
        <v>Garapa</v>
      </c>
      <c r="N290" t="str">
        <f>IFERROR(_xlfn.XLOOKUP($A290,'Base SKUs'!$E:$E,'Base SKUs'!H:H),"")</f>
        <v>S4S E4E</v>
      </c>
      <c r="O290" t="str">
        <f>IFERROR(_xlfn.XLOOKUP($A290,'Base SKUs'!$E:$E,'Base SKUs'!I:I),"")</f>
        <v>-</v>
      </c>
      <c r="P290" t="str">
        <f>IFERROR(_xlfn.XLOOKUP($A290,'Base SKUs'!$E:$E,'Base SKUs'!J:J),"")</f>
        <v>5/4x6</v>
      </c>
      <c r="Q290">
        <f>IFERROR(_xlfn.XLOOKUP($A290,'Base SKUs'!$E:$E,'Base SKUs'!K:K),"")</f>
        <v>11</v>
      </c>
      <c r="R290" s="7">
        <f>IFERROR(_xlfn.XLOOKUP($A290,'Base SKUs'!$E:$E,'Base SKUs'!S:S),"")</f>
        <v>1.1897008463999995E-2</v>
      </c>
      <c r="S290" s="8">
        <f t="shared" si="22"/>
        <v>0.3093222200639999</v>
      </c>
      <c r="T290" s="7">
        <f>IFERROR(_xlfn.XLOOKUP($A290,'Base SKUs'!$E:$E,'Base SKUs'!R:R),"")</f>
        <v>924.60199999999998</v>
      </c>
      <c r="U290" s="15">
        <f t="shared" si="23"/>
        <v>286</v>
      </c>
      <c r="V290" t="str">
        <f t="shared" si="24"/>
        <v>Texas</v>
      </c>
    </row>
    <row r="291" spans="1:22" x14ac:dyDescent="0.2">
      <c r="A291" t="s">
        <v>521</v>
      </c>
      <c r="B291" s="5">
        <v>170</v>
      </c>
      <c r="C291" s="5">
        <v>47</v>
      </c>
      <c r="D291" s="5">
        <f t="shared" si="20"/>
        <v>123</v>
      </c>
      <c r="E291" s="6">
        <v>22.689699999999998</v>
      </c>
      <c r="F291" s="6">
        <f t="shared" si="21"/>
        <v>3857.2489999999998</v>
      </c>
      <c r="G291" t="s">
        <v>17</v>
      </c>
      <c r="H291">
        <v>9007</v>
      </c>
      <c r="I291" t="str">
        <f>IFERROR(_xlfn.XLOOKUP($A291,'Base SKUs'!$E:$E,'Base SKUs'!A:A),"")</f>
        <v>Garapa</v>
      </c>
      <c r="J291" t="str">
        <f>IFERROR(_xlfn.XLOOKUP($A291,'Base SKUs'!$E:$E,'Base SKUs'!B:B),"")</f>
        <v>Garapa 5/4x6</v>
      </c>
      <c r="K291" t="str">
        <f>IFERROR(_xlfn.XLOOKUP($A291,'Base SKUs'!$E:$E,'Base SKUs'!C:C),"")</f>
        <v>Long</v>
      </c>
      <c r="L291" t="str">
        <f>IFERROR(_xlfn.XLOOKUP($A291,'Base SKUs'!$E:$E,'Base SKUs'!D:D),"")</f>
        <v>Hardwoods</v>
      </c>
      <c r="M291" t="str">
        <f>IFERROR(_xlfn.XLOOKUP($A291,'Base SKUs'!$E:$E,'Base SKUs'!G:G),"")</f>
        <v>Garapa</v>
      </c>
      <c r="N291" t="str">
        <f>IFERROR(_xlfn.XLOOKUP($A291,'Base SKUs'!$E:$E,'Base SKUs'!H:H),"")</f>
        <v>S4S E4E</v>
      </c>
      <c r="O291" t="str">
        <f>IFERROR(_xlfn.XLOOKUP($A291,'Base SKUs'!$E:$E,'Base SKUs'!I:I),"")</f>
        <v>-</v>
      </c>
      <c r="P291" t="str">
        <f>IFERROR(_xlfn.XLOOKUP($A291,'Base SKUs'!$E:$E,'Base SKUs'!J:J),"")</f>
        <v>5/4x6</v>
      </c>
      <c r="Q291">
        <f>IFERROR(_xlfn.XLOOKUP($A291,'Base SKUs'!$E:$E,'Base SKUs'!K:K),"")</f>
        <v>12</v>
      </c>
      <c r="R291" s="7">
        <f>IFERROR(_xlfn.XLOOKUP($A291,'Base SKUs'!$E:$E,'Base SKUs'!S:S),"")</f>
        <v>1.2978554687999997E-2</v>
      </c>
      <c r="S291" s="8">
        <f t="shared" si="22"/>
        <v>1.5963622266239996</v>
      </c>
      <c r="T291" s="7">
        <f>IFERROR(_xlfn.XLOOKUP($A291,'Base SKUs'!$E:$E,'Base SKUs'!R:R),"")</f>
        <v>924.60199999999998</v>
      </c>
      <c r="U291" s="15">
        <f t="shared" si="23"/>
        <v>1476</v>
      </c>
      <c r="V291" t="str">
        <f t="shared" si="24"/>
        <v>Miami</v>
      </c>
    </row>
    <row r="292" spans="1:22" x14ac:dyDescent="0.2">
      <c r="A292" t="s">
        <v>523</v>
      </c>
      <c r="B292" s="5">
        <v>168</v>
      </c>
      <c r="C292" s="5">
        <v>0</v>
      </c>
      <c r="D292" s="5">
        <f t="shared" si="20"/>
        <v>168</v>
      </c>
      <c r="E292" s="6">
        <v>24.738399999999999</v>
      </c>
      <c r="F292" s="6">
        <f t="shared" si="21"/>
        <v>4156.0511999999999</v>
      </c>
      <c r="G292" t="s">
        <v>17</v>
      </c>
      <c r="H292">
        <v>9007</v>
      </c>
      <c r="I292" t="str">
        <f>IFERROR(_xlfn.XLOOKUP($A292,'Base SKUs'!$E:$E,'Base SKUs'!A:A),"")</f>
        <v>Garapa</v>
      </c>
      <c r="J292" t="str">
        <f>IFERROR(_xlfn.XLOOKUP($A292,'Base SKUs'!$E:$E,'Base SKUs'!B:B),"")</f>
        <v>Garapa 5/4x6</v>
      </c>
      <c r="K292" t="str">
        <f>IFERROR(_xlfn.XLOOKUP($A292,'Base SKUs'!$E:$E,'Base SKUs'!C:C),"")</f>
        <v>Long</v>
      </c>
      <c r="L292" t="str">
        <f>IFERROR(_xlfn.XLOOKUP($A292,'Base SKUs'!$E:$E,'Base SKUs'!D:D),"")</f>
        <v>Hardwoods</v>
      </c>
      <c r="M292" t="str">
        <f>IFERROR(_xlfn.XLOOKUP($A292,'Base SKUs'!$E:$E,'Base SKUs'!G:G),"")</f>
        <v>Garapa</v>
      </c>
      <c r="N292" t="str">
        <f>IFERROR(_xlfn.XLOOKUP($A292,'Base SKUs'!$E:$E,'Base SKUs'!H:H),"")</f>
        <v>S4S E4E</v>
      </c>
      <c r="O292" t="str">
        <f>IFERROR(_xlfn.XLOOKUP($A292,'Base SKUs'!$E:$E,'Base SKUs'!I:I),"")</f>
        <v>-</v>
      </c>
      <c r="P292" t="str">
        <f>IFERROR(_xlfn.XLOOKUP($A292,'Base SKUs'!$E:$E,'Base SKUs'!J:J),"")</f>
        <v>5/4x6</v>
      </c>
      <c r="Q292">
        <f>IFERROR(_xlfn.XLOOKUP($A292,'Base SKUs'!$E:$E,'Base SKUs'!K:K),"")</f>
        <v>13</v>
      </c>
      <c r="R292" s="7">
        <f>IFERROR(_xlfn.XLOOKUP($A292,'Base SKUs'!$E:$E,'Base SKUs'!S:S),"")</f>
        <v>1.4060100911999997E-2</v>
      </c>
      <c r="S292" s="8">
        <f t="shared" si="22"/>
        <v>2.3620969532159997</v>
      </c>
      <c r="T292" s="7">
        <f>IFERROR(_xlfn.XLOOKUP($A292,'Base SKUs'!$E:$E,'Base SKUs'!R:R),"")</f>
        <v>924.60199999999998</v>
      </c>
      <c r="U292" s="15">
        <f t="shared" si="23"/>
        <v>2184</v>
      </c>
      <c r="V292" t="str">
        <f t="shared" si="24"/>
        <v>Miami</v>
      </c>
    </row>
    <row r="293" spans="1:22" x14ac:dyDescent="0.2">
      <c r="A293" t="s">
        <v>526</v>
      </c>
      <c r="B293" s="5">
        <v>11</v>
      </c>
      <c r="C293" s="5">
        <v>11</v>
      </c>
      <c r="D293" s="5">
        <f t="shared" si="20"/>
        <v>0</v>
      </c>
      <c r="E293" s="6">
        <v>26.183900000000001</v>
      </c>
      <c r="F293" s="6">
        <f t="shared" si="21"/>
        <v>288.02289999999999</v>
      </c>
      <c r="G293" t="s">
        <v>330</v>
      </c>
      <c r="H293">
        <v>9011</v>
      </c>
      <c r="I293" t="str">
        <f>IFERROR(_xlfn.XLOOKUP($A293,'Base SKUs'!$E:$E,'Base SKUs'!A:A),"")</f>
        <v>Garapa</v>
      </c>
      <c r="J293" t="str">
        <f>IFERROR(_xlfn.XLOOKUP($A293,'Base SKUs'!$E:$E,'Base SKUs'!B:B),"")</f>
        <v>Garapa 5/4x6</v>
      </c>
      <c r="K293" t="str">
        <f>IFERROR(_xlfn.XLOOKUP($A293,'Base SKUs'!$E:$E,'Base SKUs'!C:C),"")</f>
        <v>Long</v>
      </c>
      <c r="L293" t="str">
        <f>IFERROR(_xlfn.XLOOKUP($A293,'Base SKUs'!$E:$E,'Base SKUs'!D:D),"")</f>
        <v>Hardwoods</v>
      </c>
      <c r="M293" t="str">
        <f>IFERROR(_xlfn.XLOOKUP($A293,'Base SKUs'!$E:$E,'Base SKUs'!G:G),"")</f>
        <v>Garapa</v>
      </c>
      <c r="N293" t="str">
        <f>IFERROR(_xlfn.XLOOKUP($A293,'Base SKUs'!$E:$E,'Base SKUs'!H:H),"")</f>
        <v>S4S E4E</v>
      </c>
      <c r="O293" t="str">
        <f>IFERROR(_xlfn.XLOOKUP($A293,'Base SKUs'!$E:$E,'Base SKUs'!I:I),"")</f>
        <v>-</v>
      </c>
      <c r="P293" t="str">
        <f>IFERROR(_xlfn.XLOOKUP($A293,'Base SKUs'!$E:$E,'Base SKUs'!J:J),"")</f>
        <v>5/4x6</v>
      </c>
      <c r="Q293">
        <f>IFERROR(_xlfn.XLOOKUP($A293,'Base SKUs'!$E:$E,'Base SKUs'!K:K),"")</f>
        <v>16</v>
      </c>
      <c r="R293" s="7">
        <f>IFERROR(_xlfn.XLOOKUP($A293,'Base SKUs'!$E:$E,'Base SKUs'!S:S),"")</f>
        <v>1.7304739584000001E-2</v>
      </c>
      <c r="S293" s="8">
        <f t="shared" si="22"/>
        <v>0</v>
      </c>
      <c r="T293" s="7">
        <f>IFERROR(_xlfn.XLOOKUP($A293,'Base SKUs'!$E:$E,'Base SKUs'!R:R),"")</f>
        <v>924.60199999999998</v>
      </c>
      <c r="U293" s="15">
        <f t="shared" si="23"/>
        <v>0</v>
      </c>
      <c r="V293" t="str">
        <f t="shared" si="24"/>
        <v>New York</v>
      </c>
    </row>
    <row r="294" spans="1:22" x14ac:dyDescent="0.2">
      <c r="A294" t="s">
        <v>528</v>
      </c>
      <c r="B294" s="5">
        <v>41</v>
      </c>
      <c r="C294" s="5">
        <v>41</v>
      </c>
      <c r="D294" s="5">
        <f t="shared" si="20"/>
        <v>0</v>
      </c>
      <c r="E294" s="6">
        <v>27.741199999999999</v>
      </c>
      <c r="F294" s="6">
        <f t="shared" si="21"/>
        <v>1137.3892000000001</v>
      </c>
      <c r="G294" t="s">
        <v>330</v>
      </c>
      <c r="H294">
        <v>9011</v>
      </c>
      <c r="I294" t="str">
        <f>IFERROR(_xlfn.XLOOKUP($A294,'Base SKUs'!$E:$E,'Base SKUs'!A:A),"")</f>
        <v>Garapa</v>
      </c>
      <c r="J294" t="str">
        <f>IFERROR(_xlfn.XLOOKUP($A294,'Base SKUs'!$E:$E,'Base SKUs'!B:B),"")</f>
        <v>Garapa 5/4x6</v>
      </c>
      <c r="K294" t="str">
        <f>IFERROR(_xlfn.XLOOKUP($A294,'Base SKUs'!$E:$E,'Base SKUs'!C:C),"")</f>
        <v>Long</v>
      </c>
      <c r="L294" t="str">
        <f>IFERROR(_xlfn.XLOOKUP($A294,'Base SKUs'!$E:$E,'Base SKUs'!D:D),"")</f>
        <v>Hardwoods</v>
      </c>
      <c r="M294" t="str">
        <f>IFERROR(_xlfn.XLOOKUP($A294,'Base SKUs'!$E:$E,'Base SKUs'!G:G),"")</f>
        <v>Garapa</v>
      </c>
      <c r="N294" t="str">
        <f>IFERROR(_xlfn.XLOOKUP($A294,'Base SKUs'!$E:$E,'Base SKUs'!H:H),"")</f>
        <v>S4S E4E</v>
      </c>
      <c r="O294" t="str">
        <f>IFERROR(_xlfn.XLOOKUP($A294,'Base SKUs'!$E:$E,'Base SKUs'!I:I),"")</f>
        <v>-</v>
      </c>
      <c r="P294" t="str">
        <f>IFERROR(_xlfn.XLOOKUP($A294,'Base SKUs'!$E:$E,'Base SKUs'!J:J),"")</f>
        <v>5/4x6</v>
      </c>
      <c r="Q294">
        <f>IFERROR(_xlfn.XLOOKUP($A294,'Base SKUs'!$E:$E,'Base SKUs'!K:K),"")</f>
        <v>18</v>
      </c>
      <c r="R294" s="7">
        <f>IFERROR(_xlfn.XLOOKUP($A294,'Base SKUs'!$E:$E,'Base SKUs'!S:S),"")</f>
        <v>1.9467832031999997E-2</v>
      </c>
      <c r="S294" s="8">
        <f t="shared" si="22"/>
        <v>0</v>
      </c>
      <c r="T294" s="7">
        <f>IFERROR(_xlfn.XLOOKUP($A294,'Base SKUs'!$E:$E,'Base SKUs'!R:R),"")</f>
        <v>924.60199999999998</v>
      </c>
      <c r="U294" s="15">
        <f t="shared" si="23"/>
        <v>0</v>
      </c>
      <c r="V294" t="str">
        <f t="shared" si="24"/>
        <v>New York</v>
      </c>
    </row>
    <row r="295" spans="1:22" x14ac:dyDescent="0.2">
      <c r="A295" t="s">
        <v>530</v>
      </c>
      <c r="B295" s="5">
        <v>3</v>
      </c>
      <c r="C295" s="5">
        <v>3</v>
      </c>
      <c r="D295" s="5">
        <f t="shared" si="20"/>
        <v>0</v>
      </c>
      <c r="E295" s="6">
        <v>30.751100000000001</v>
      </c>
      <c r="F295" s="6">
        <f t="shared" si="21"/>
        <v>92.253299999999996</v>
      </c>
      <c r="G295" t="s">
        <v>24</v>
      </c>
      <c r="H295">
        <v>9008</v>
      </c>
      <c r="I295" t="str">
        <f>IFERROR(_xlfn.XLOOKUP($A295,'Base SKUs'!$E:$E,'Base SKUs'!A:A),"")</f>
        <v>Garapa</v>
      </c>
      <c r="J295" t="str">
        <f>IFERROR(_xlfn.XLOOKUP($A295,'Base SKUs'!$E:$E,'Base SKUs'!B:B),"")</f>
        <v>Garapa 5/4x6</v>
      </c>
      <c r="K295" t="str">
        <f>IFERROR(_xlfn.XLOOKUP($A295,'Base SKUs'!$E:$E,'Base SKUs'!C:C),"")</f>
        <v>Long</v>
      </c>
      <c r="L295" t="str">
        <f>IFERROR(_xlfn.XLOOKUP($A295,'Base SKUs'!$E:$E,'Base SKUs'!D:D),"")</f>
        <v>Hardwoods</v>
      </c>
      <c r="M295" t="str">
        <f>IFERROR(_xlfn.XLOOKUP($A295,'Base SKUs'!$E:$E,'Base SKUs'!G:G),"")</f>
        <v>Garapa</v>
      </c>
      <c r="N295" t="str">
        <f>IFERROR(_xlfn.XLOOKUP($A295,'Base SKUs'!$E:$E,'Base SKUs'!H:H),"")</f>
        <v>S4S E4E</v>
      </c>
      <c r="O295" t="str">
        <f>IFERROR(_xlfn.XLOOKUP($A295,'Base SKUs'!$E:$E,'Base SKUs'!I:I),"")</f>
        <v>-</v>
      </c>
      <c r="P295" t="str">
        <f>IFERROR(_xlfn.XLOOKUP($A295,'Base SKUs'!$E:$E,'Base SKUs'!J:J),"")</f>
        <v>5/4x6</v>
      </c>
      <c r="Q295">
        <f>IFERROR(_xlfn.XLOOKUP($A295,'Base SKUs'!$E:$E,'Base SKUs'!K:K),"")</f>
        <v>20</v>
      </c>
      <c r="R295" s="7">
        <f>IFERROR(_xlfn.XLOOKUP($A295,'Base SKUs'!$E:$E,'Base SKUs'!S:S),"")</f>
        <v>2.1630924480000001E-2</v>
      </c>
      <c r="S295" s="8">
        <f t="shared" si="22"/>
        <v>0</v>
      </c>
      <c r="T295" s="7">
        <f>IFERROR(_xlfn.XLOOKUP($A295,'Base SKUs'!$E:$E,'Base SKUs'!R:R),"")</f>
        <v>924.60199999999998</v>
      </c>
      <c r="U295" s="15">
        <f t="shared" si="23"/>
        <v>0</v>
      </c>
      <c r="V295" t="str">
        <f t="shared" si="24"/>
        <v>Texas</v>
      </c>
    </row>
    <row r="296" spans="1:22" x14ac:dyDescent="0.2">
      <c r="A296" t="s">
        <v>532</v>
      </c>
      <c r="B296" s="5">
        <v>466</v>
      </c>
      <c r="C296" s="5">
        <v>0</v>
      </c>
      <c r="D296" s="5">
        <f t="shared" si="20"/>
        <v>466</v>
      </c>
      <c r="E296" s="6">
        <v>5.2089999999999996</v>
      </c>
      <c r="F296" s="6">
        <f t="shared" si="21"/>
        <v>2427.3939999999998</v>
      </c>
      <c r="G296" t="s">
        <v>24</v>
      </c>
      <c r="H296">
        <v>9008</v>
      </c>
      <c r="I296" t="str">
        <f>IFERROR(_xlfn.XLOOKUP($A296,'Base SKUs'!$E:$E,'Base SKUs'!A:A),"")</f>
        <v>Garapa</v>
      </c>
      <c r="J296" t="str">
        <f>IFERROR(_xlfn.XLOOKUP($A296,'Base SKUs'!$E:$E,'Base SKUs'!B:B),"")</f>
        <v>Garapa 5/4x6</v>
      </c>
      <c r="K296" t="str">
        <f>IFERROR(_xlfn.XLOOKUP($A296,'Base SKUs'!$E:$E,'Base SKUs'!C:C),"")</f>
        <v>Short</v>
      </c>
      <c r="L296" t="str">
        <f>IFERROR(_xlfn.XLOOKUP($A296,'Base SKUs'!$E:$E,'Base SKUs'!D:D),"")</f>
        <v>Hardwoods</v>
      </c>
      <c r="M296" t="str">
        <f>IFERROR(_xlfn.XLOOKUP($A296,'Base SKUs'!$E:$E,'Base SKUs'!G:G),"")</f>
        <v>Garapa</v>
      </c>
      <c r="N296" t="str">
        <f>IFERROR(_xlfn.XLOOKUP($A296,'Base SKUs'!$E:$E,'Base SKUs'!H:H),"")</f>
        <v>S4S E4E</v>
      </c>
      <c r="O296" t="str">
        <f>IFERROR(_xlfn.XLOOKUP($A296,'Base SKUs'!$E:$E,'Base SKUs'!I:I),"")</f>
        <v>-</v>
      </c>
      <c r="P296" t="str">
        <f>IFERROR(_xlfn.XLOOKUP($A296,'Base SKUs'!$E:$E,'Base SKUs'!J:J),"")</f>
        <v>5/4x6</v>
      </c>
      <c r="Q296">
        <f>IFERROR(_xlfn.XLOOKUP($A296,'Base SKUs'!$E:$E,'Base SKUs'!K:K),"")</f>
        <v>6</v>
      </c>
      <c r="R296" s="7">
        <f>IFERROR(_xlfn.XLOOKUP($A296,'Base SKUs'!$E:$E,'Base SKUs'!S:S),"")</f>
        <v>6.4892773439999985E-3</v>
      </c>
      <c r="S296" s="8">
        <f t="shared" si="22"/>
        <v>3.0240032423039995</v>
      </c>
      <c r="T296" s="7">
        <f>IFERROR(_xlfn.XLOOKUP($A296,'Base SKUs'!$E:$E,'Base SKUs'!R:R),"")</f>
        <v>924.60199999999998</v>
      </c>
      <c r="U296" s="15">
        <f t="shared" si="23"/>
        <v>2796</v>
      </c>
      <c r="V296" t="str">
        <f t="shared" si="24"/>
        <v>Texas</v>
      </c>
    </row>
    <row r="297" spans="1:22" x14ac:dyDescent="0.2">
      <c r="A297" t="s">
        <v>534</v>
      </c>
      <c r="B297" s="5">
        <v>574</v>
      </c>
      <c r="C297" s="5">
        <v>0</v>
      </c>
      <c r="D297" s="5">
        <f t="shared" si="20"/>
        <v>574</v>
      </c>
      <c r="E297" s="6">
        <v>6.0792999999999999</v>
      </c>
      <c r="F297" s="6">
        <f t="shared" si="21"/>
        <v>3489.5182</v>
      </c>
      <c r="G297" t="s">
        <v>24</v>
      </c>
      <c r="H297">
        <v>9008</v>
      </c>
      <c r="I297" t="str">
        <f>IFERROR(_xlfn.XLOOKUP($A297,'Base SKUs'!$E:$E,'Base SKUs'!A:A),"")</f>
        <v>Garapa</v>
      </c>
      <c r="J297" t="str">
        <f>IFERROR(_xlfn.XLOOKUP($A297,'Base SKUs'!$E:$E,'Base SKUs'!B:B),"")</f>
        <v>Garapa 5/4x6</v>
      </c>
      <c r="K297" t="str">
        <f>IFERROR(_xlfn.XLOOKUP($A297,'Base SKUs'!$E:$E,'Base SKUs'!C:C),"")</f>
        <v>Short</v>
      </c>
      <c r="L297" t="str">
        <f>IFERROR(_xlfn.XLOOKUP($A297,'Base SKUs'!$E:$E,'Base SKUs'!D:D),"")</f>
        <v>Hardwoods</v>
      </c>
      <c r="M297" t="str">
        <f>IFERROR(_xlfn.XLOOKUP($A297,'Base SKUs'!$E:$E,'Base SKUs'!G:G),"")</f>
        <v>Garapa</v>
      </c>
      <c r="N297" t="str">
        <f>IFERROR(_xlfn.XLOOKUP($A297,'Base SKUs'!$E:$E,'Base SKUs'!H:H),"")</f>
        <v>S4S E4E</v>
      </c>
      <c r="O297" t="str">
        <f>IFERROR(_xlfn.XLOOKUP($A297,'Base SKUs'!$E:$E,'Base SKUs'!I:I),"")</f>
        <v>-</v>
      </c>
      <c r="P297" t="str">
        <f>IFERROR(_xlfn.XLOOKUP($A297,'Base SKUs'!$E:$E,'Base SKUs'!J:J),"")</f>
        <v>5/4x6</v>
      </c>
      <c r="Q297">
        <f>IFERROR(_xlfn.XLOOKUP($A297,'Base SKUs'!$E:$E,'Base SKUs'!K:K),"")</f>
        <v>7</v>
      </c>
      <c r="R297" s="7">
        <f>IFERROR(_xlfn.XLOOKUP($A297,'Base SKUs'!$E:$E,'Base SKUs'!S:S),"")</f>
        <v>7.5708235679999986E-3</v>
      </c>
      <c r="S297" s="8">
        <f t="shared" si="22"/>
        <v>4.3456527280319994</v>
      </c>
      <c r="T297" s="7">
        <f>IFERROR(_xlfn.XLOOKUP($A297,'Base SKUs'!$E:$E,'Base SKUs'!R:R),"")</f>
        <v>924.60199999999998</v>
      </c>
      <c r="U297" s="15">
        <f t="shared" si="23"/>
        <v>4018</v>
      </c>
      <c r="V297" t="str">
        <f t="shared" si="24"/>
        <v>Texas</v>
      </c>
    </row>
    <row r="298" spans="1:22" x14ac:dyDescent="0.2">
      <c r="A298" t="s">
        <v>536</v>
      </c>
      <c r="B298" s="5">
        <v>1035</v>
      </c>
      <c r="C298" s="5">
        <v>22</v>
      </c>
      <c r="D298" s="5">
        <f t="shared" si="20"/>
        <v>1013</v>
      </c>
      <c r="E298" s="6">
        <v>10.4945</v>
      </c>
      <c r="F298" s="6">
        <f t="shared" si="21"/>
        <v>10861.807500000001</v>
      </c>
      <c r="G298" t="s">
        <v>24</v>
      </c>
      <c r="H298">
        <v>9008</v>
      </c>
      <c r="I298" t="str">
        <f>IFERROR(_xlfn.XLOOKUP($A298,'Base SKUs'!$E:$E,'Base SKUs'!A:A),"")</f>
        <v>Garapa</v>
      </c>
      <c r="J298" t="str">
        <f>IFERROR(_xlfn.XLOOKUP($A298,'Base SKUs'!$E:$E,'Base SKUs'!B:B),"")</f>
        <v>Garapa 5/4x6</v>
      </c>
      <c r="K298" t="str">
        <f>IFERROR(_xlfn.XLOOKUP($A298,'Base SKUs'!$E:$E,'Base SKUs'!C:C),"")</f>
        <v>Long</v>
      </c>
      <c r="L298" t="str">
        <f>IFERROR(_xlfn.XLOOKUP($A298,'Base SKUs'!$E:$E,'Base SKUs'!D:D),"")</f>
        <v>Hardwoods</v>
      </c>
      <c r="M298" t="str">
        <f>IFERROR(_xlfn.XLOOKUP($A298,'Base SKUs'!$E:$E,'Base SKUs'!G:G),"")</f>
        <v>Garapa</v>
      </c>
      <c r="N298" t="str">
        <f>IFERROR(_xlfn.XLOOKUP($A298,'Base SKUs'!$E:$E,'Base SKUs'!H:H),"")</f>
        <v>S4S E4E</v>
      </c>
      <c r="O298" t="str">
        <f>IFERROR(_xlfn.XLOOKUP($A298,'Base SKUs'!$E:$E,'Base SKUs'!I:I),"")</f>
        <v>-</v>
      </c>
      <c r="P298" t="str">
        <f>IFERROR(_xlfn.XLOOKUP($A298,'Base SKUs'!$E:$E,'Base SKUs'!J:J),"")</f>
        <v>5/4x6</v>
      </c>
      <c r="Q298">
        <f>IFERROR(_xlfn.XLOOKUP($A298,'Base SKUs'!$E:$E,'Base SKUs'!K:K),"")</f>
        <v>8</v>
      </c>
      <c r="R298" s="7">
        <f>IFERROR(_xlfn.XLOOKUP($A298,'Base SKUs'!$E:$E,'Base SKUs'!S:S),"")</f>
        <v>8.6523697920000003E-3</v>
      </c>
      <c r="S298" s="8">
        <f t="shared" si="22"/>
        <v>8.7648505992960004</v>
      </c>
      <c r="T298" s="7">
        <f>IFERROR(_xlfn.XLOOKUP($A298,'Base SKUs'!$E:$E,'Base SKUs'!R:R),"")</f>
        <v>924.60199999999998</v>
      </c>
      <c r="U298" s="15">
        <f t="shared" si="23"/>
        <v>8104</v>
      </c>
      <c r="V298" t="str">
        <f t="shared" si="24"/>
        <v>Texas</v>
      </c>
    </row>
    <row r="299" spans="1:22" x14ac:dyDescent="0.2">
      <c r="A299" t="s">
        <v>538</v>
      </c>
      <c r="B299" s="5">
        <v>280</v>
      </c>
      <c r="C299" s="5">
        <v>0</v>
      </c>
      <c r="D299" s="5">
        <f t="shared" si="20"/>
        <v>280</v>
      </c>
      <c r="E299" s="6">
        <v>11.871</v>
      </c>
      <c r="F299" s="6">
        <f t="shared" si="21"/>
        <v>3323.88</v>
      </c>
      <c r="G299" t="s">
        <v>24</v>
      </c>
      <c r="H299">
        <v>9008</v>
      </c>
      <c r="I299" t="str">
        <f>IFERROR(_xlfn.XLOOKUP($A299,'Base SKUs'!$E:$E,'Base SKUs'!A:A),"")</f>
        <v>Garapa</v>
      </c>
      <c r="J299" t="str">
        <f>IFERROR(_xlfn.XLOOKUP($A299,'Base SKUs'!$E:$E,'Base SKUs'!B:B),"")</f>
        <v>Garapa 5/4x6</v>
      </c>
      <c r="K299" t="str">
        <f>IFERROR(_xlfn.XLOOKUP($A299,'Base SKUs'!$E:$E,'Base SKUs'!C:C),"")</f>
        <v>Long</v>
      </c>
      <c r="L299" t="str">
        <f>IFERROR(_xlfn.XLOOKUP($A299,'Base SKUs'!$E:$E,'Base SKUs'!D:D),"")</f>
        <v>Hardwoods</v>
      </c>
      <c r="M299" t="str">
        <f>IFERROR(_xlfn.XLOOKUP($A299,'Base SKUs'!$E:$E,'Base SKUs'!G:G),"")</f>
        <v>Garapa</v>
      </c>
      <c r="N299" t="str">
        <f>IFERROR(_xlfn.XLOOKUP($A299,'Base SKUs'!$E:$E,'Base SKUs'!H:H),"")</f>
        <v>S4S E4E</v>
      </c>
      <c r="O299" t="str">
        <f>IFERROR(_xlfn.XLOOKUP($A299,'Base SKUs'!$E:$E,'Base SKUs'!I:I),"")</f>
        <v>-</v>
      </c>
      <c r="P299" t="str">
        <f>IFERROR(_xlfn.XLOOKUP($A299,'Base SKUs'!$E:$E,'Base SKUs'!J:J),"")</f>
        <v>5/4x6</v>
      </c>
      <c r="Q299">
        <f>IFERROR(_xlfn.XLOOKUP($A299,'Base SKUs'!$E:$E,'Base SKUs'!K:K),"")</f>
        <v>9</v>
      </c>
      <c r="R299" s="7">
        <f>IFERROR(_xlfn.XLOOKUP($A299,'Base SKUs'!$E:$E,'Base SKUs'!S:S),"")</f>
        <v>9.7339160159999986E-3</v>
      </c>
      <c r="S299" s="8">
        <f t="shared" si="22"/>
        <v>2.7254964844799998</v>
      </c>
      <c r="T299" s="7">
        <f>IFERROR(_xlfn.XLOOKUP($A299,'Base SKUs'!$E:$E,'Base SKUs'!R:R),"")</f>
        <v>924.60199999999998</v>
      </c>
      <c r="U299" s="15">
        <f t="shared" si="23"/>
        <v>2520</v>
      </c>
      <c r="V299" t="str">
        <f t="shared" si="24"/>
        <v>Texas</v>
      </c>
    </row>
    <row r="300" spans="1:22" x14ac:dyDescent="0.2">
      <c r="A300" t="s">
        <v>540</v>
      </c>
      <c r="B300" s="5">
        <v>2082</v>
      </c>
      <c r="C300" s="5">
        <v>0</v>
      </c>
      <c r="D300" s="5">
        <f t="shared" si="20"/>
        <v>2082</v>
      </c>
      <c r="E300" s="6">
        <v>8.0571000000000002</v>
      </c>
      <c r="F300" s="6">
        <f t="shared" si="21"/>
        <v>16774.8822</v>
      </c>
      <c r="G300" t="s">
        <v>17</v>
      </c>
      <c r="H300">
        <v>9007</v>
      </c>
      <c r="I300" t="str">
        <f>IFERROR(_xlfn.XLOOKUP($A300,'Base SKUs'!$E:$E,'Base SKUs'!A:A),"")</f>
        <v>Garapa</v>
      </c>
      <c r="J300" t="str">
        <f>IFERROR(_xlfn.XLOOKUP($A300,'Base SKUs'!$E:$E,'Base SKUs'!B:B),"")</f>
        <v>Garapa 24x24</v>
      </c>
      <c r="K300" t="str">
        <f>IFERROR(_xlfn.XLOOKUP($A300,'Base SKUs'!$E:$E,'Base SKUs'!C:C),"")</f>
        <v>Tiles</v>
      </c>
      <c r="L300" t="str">
        <f>IFERROR(_xlfn.XLOOKUP($A300,'Base SKUs'!$E:$E,'Base SKUs'!D:D),"")</f>
        <v>Hardwoods</v>
      </c>
      <c r="M300" t="str">
        <f>IFERROR(_xlfn.XLOOKUP($A300,'Base SKUs'!$E:$E,'Base SKUs'!G:G),"")</f>
        <v>Garapa</v>
      </c>
      <c r="N300" t="str">
        <f>IFERROR(_xlfn.XLOOKUP($A300,'Base SKUs'!$E:$E,'Base SKUs'!H:H),"")</f>
        <v>Tiles</v>
      </c>
      <c r="O300" t="str">
        <f>IFERROR(_xlfn.XLOOKUP($A300,'Base SKUs'!$E:$E,'Base SKUs'!I:I),"")</f>
        <v>-</v>
      </c>
      <c r="P300" t="str">
        <f>IFERROR(_xlfn.XLOOKUP($A300,'Base SKUs'!$E:$E,'Base SKUs'!J:J),"")</f>
        <v>24x24</v>
      </c>
      <c r="Q300">
        <f>IFERROR(_xlfn.XLOOKUP($A300,'Base SKUs'!$E:$E,'Base SKUs'!K:K),"")</f>
        <v>24</v>
      </c>
      <c r="R300" s="7">
        <f>IFERROR(_xlfn.XLOOKUP($A300,'Base SKUs'!$E:$E,'Base SKUs'!S:S),"")</f>
        <v>8.1803360000000012E-4</v>
      </c>
      <c r="S300" s="8">
        <f t="shared" si="22"/>
        <v>2082</v>
      </c>
      <c r="T300" s="7">
        <f>IFERROR(_xlfn.XLOOKUP($A300,'Base SKUs'!$E:$E,'Base SKUs'!R:R),"")</f>
        <v>2432.0529999999999</v>
      </c>
      <c r="U300" s="15">
        <f t="shared" si="23"/>
        <v>2082</v>
      </c>
      <c r="V300" t="str">
        <f t="shared" si="24"/>
        <v>Miami</v>
      </c>
    </row>
    <row r="301" spans="1:22" x14ac:dyDescent="0.2">
      <c r="A301" t="s">
        <v>540</v>
      </c>
      <c r="B301" s="5">
        <v>136</v>
      </c>
      <c r="C301" s="5">
        <v>136</v>
      </c>
      <c r="D301" s="5">
        <f t="shared" si="20"/>
        <v>0</v>
      </c>
      <c r="E301" s="6">
        <v>8.0571000000000002</v>
      </c>
      <c r="F301" s="6">
        <f t="shared" si="21"/>
        <v>1095.7655999999999</v>
      </c>
      <c r="G301" t="s">
        <v>125</v>
      </c>
      <c r="H301">
        <v>9009</v>
      </c>
      <c r="I301" t="str">
        <f>IFERROR(_xlfn.XLOOKUP($A301,'Base SKUs'!$E:$E,'Base SKUs'!A:A),"")</f>
        <v>Garapa</v>
      </c>
      <c r="J301" t="str">
        <f>IFERROR(_xlfn.XLOOKUP($A301,'Base SKUs'!$E:$E,'Base SKUs'!B:B),"")</f>
        <v>Garapa 24x24</v>
      </c>
      <c r="K301" t="str">
        <f>IFERROR(_xlfn.XLOOKUP($A301,'Base SKUs'!$E:$E,'Base SKUs'!C:C),"")</f>
        <v>Tiles</v>
      </c>
      <c r="L301" t="str">
        <f>IFERROR(_xlfn.XLOOKUP($A301,'Base SKUs'!$E:$E,'Base SKUs'!D:D),"")</f>
        <v>Hardwoods</v>
      </c>
      <c r="M301" t="str">
        <f>IFERROR(_xlfn.XLOOKUP($A301,'Base SKUs'!$E:$E,'Base SKUs'!G:G),"")</f>
        <v>Garapa</v>
      </c>
      <c r="N301" t="str">
        <f>IFERROR(_xlfn.XLOOKUP($A301,'Base SKUs'!$E:$E,'Base SKUs'!H:H),"")</f>
        <v>Tiles</v>
      </c>
      <c r="O301" t="str">
        <f>IFERROR(_xlfn.XLOOKUP($A301,'Base SKUs'!$E:$E,'Base SKUs'!I:I),"")</f>
        <v>-</v>
      </c>
      <c r="P301" t="str">
        <f>IFERROR(_xlfn.XLOOKUP($A301,'Base SKUs'!$E:$E,'Base SKUs'!J:J),"")</f>
        <v>24x24</v>
      </c>
      <c r="Q301">
        <f>IFERROR(_xlfn.XLOOKUP($A301,'Base SKUs'!$E:$E,'Base SKUs'!K:K),"")</f>
        <v>24</v>
      </c>
      <c r="R301" s="7">
        <f>IFERROR(_xlfn.XLOOKUP($A301,'Base SKUs'!$E:$E,'Base SKUs'!S:S),"")</f>
        <v>8.1803360000000012E-4</v>
      </c>
      <c r="S301" s="8">
        <f t="shared" si="22"/>
        <v>0</v>
      </c>
      <c r="T301" s="7">
        <f>IFERROR(_xlfn.XLOOKUP($A301,'Base SKUs'!$E:$E,'Base SKUs'!R:R),"")</f>
        <v>2432.0529999999999</v>
      </c>
      <c r="U301" s="15">
        <f t="shared" si="23"/>
        <v>0</v>
      </c>
      <c r="V301" t="str">
        <f t="shared" si="24"/>
        <v>Boston</v>
      </c>
    </row>
    <row r="302" spans="1:22" x14ac:dyDescent="0.2">
      <c r="A302" t="s">
        <v>540</v>
      </c>
      <c r="B302" s="5">
        <v>89</v>
      </c>
      <c r="C302" s="5">
        <v>0</v>
      </c>
      <c r="D302" s="5">
        <f t="shared" si="20"/>
        <v>89</v>
      </c>
      <c r="E302" s="6">
        <v>8.06</v>
      </c>
      <c r="F302" s="6">
        <f t="shared" si="21"/>
        <v>717.34</v>
      </c>
      <c r="G302" t="s">
        <v>330</v>
      </c>
      <c r="H302">
        <v>9011</v>
      </c>
      <c r="I302" t="str">
        <f>IFERROR(_xlfn.XLOOKUP($A302,'Base SKUs'!$E:$E,'Base SKUs'!A:A),"")</f>
        <v>Garapa</v>
      </c>
      <c r="J302" t="str">
        <f>IFERROR(_xlfn.XLOOKUP($A302,'Base SKUs'!$E:$E,'Base SKUs'!B:B),"")</f>
        <v>Garapa 24x24</v>
      </c>
      <c r="K302" t="str">
        <f>IFERROR(_xlfn.XLOOKUP($A302,'Base SKUs'!$E:$E,'Base SKUs'!C:C),"")</f>
        <v>Tiles</v>
      </c>
      <c r="L302" t="str">
        <f>IFERROR(_xlfn.XLOOKUP($A302,'Base SKUs'!$E:$E,'Base SKUs'!D:D),"")</f>
        <v>Hardwoods</v>
      </c>
      <c r="M302" t="str">
        <f>IFERROR(_xlfn.XLOOKUP($A302,'Base SKUs'!$E:$E,'Base SKUs'!G:G),"")</f>
        <v>Garapa</v>
      </c>
      <c r="N302" t="str">
        <f>IFERROR(_xlfn.XLOOKUP($A302,'Base SKUs'!$E:$E,'Base SKUs'!H:H),"")</f>
        <v>Tiles</v>
      </c>
      <c r="O302" t="str">
        <f>IFERROR(_xlfn.XLOOKUP($A302,'Base SKUs'!$E:$E,'Base SKUs'!I:I),"")</f>
        <v>-</v>
      </c>
      <c r="P302" t="str">
        <f>IFERROR(_xlfn.XLOOKUP($A302,'Base SKUs'!$E:$E,'Base SKUs'!J:J),"")</f>
        <v>24x24</v>
      </c>
      <c r="Q302">
        <f>IFERROR(_xlfn.XLOOKUP($A302,'Base SKUs'!$E:$E,'Base SKUs'!K:K),"")</f>
        <v>24</v>
      </c>
      <c r="R302" s="7">
        <f>IFERROR(_xlfn.XLOOKUP($A302,'Base SKUs'!$E:$E,'Base SKUs'!S:S),"")</f>
        <v>8.1803360000000012E-4</v>
      </c>
      <c r="S302" s="8">
        <f t="shared" si="22"/>
        <v>89</v>
      </c>
      <c r="T302" s="7">
        <f>IFERROR(_xlfn.XLOOKUP($A302,'Base SKUs'!$E:$E,'Base SKUs'!R:R),"")</f>
        <v>2432.0529999999999</v>
      </c>
      <c r="U302" s="15">
        <f t="shared" si="23"/>
        <v>89</v>
      </c>
      <c r="V302" t="str">
        <f t="shared" si="24"/>
        <v>New York</v>
      </c>
    </row>
    <row r="303" spans="1:22" x14ac:dyDescent="0.2">
      <c r="A303" t="s">
        <v>540</v>
      </c>
      <c r="B303" s="5">
        <v>1019</v>
      </c>
      <c r="C303" s="5">
        <v>0</v>
      </c>
      <c r="D303" s="5">
        <f t="shared" si="20"/>
        <v>1019</v>
      </c>
      <c r="E303" s="6">
        <v>8.06</v>
      </c>
      <c r="F303" s="6">
        <f t="shared" si="21"/>
        <v>8213.1400000000012</v>
      </c>
      <c r="G303" t="s">
        <v>454</v>
      </c>
      <c r="H303">
        <v>9013</v>
      </c>
      <c r="I303" t="str">
        <f>IFERROR(_xlfn.XLOOKUP($A303,'Base SKUs'!$E:$E,'Base SKUs'!A:A),"")</f>
        <v>Garapa</v>
      </c>
      <c r="J303" t="str">
        <f>IFERROR(_xlfn.XLOOKUP($A303,'Base SKUs'!$E:$E,'Base SKUs'!B:B),"")</f>
        <v>Garapa 24x24</v>
      </c>
      <c r="K303" t="str">
        <f>IFERROR(_xlfn.XLOOKUP($A303,'Base SKUs'!$E:$E,'Base SKUs'!C:C),"")</f>
        <v>Tiles</v>
      </c>
      <c r="L303" t="str">
        <f>IFERROR(_xlfn.XLOOKUP($A303,'Base SKUs'!$E:$E,'Base SKUs'!D:D),"")</f>
        <v>Hardwoods</v>
      </c>
      <c r="M303" t="str">
        <f>IFERROR(_xlfn.XLOOKUP($A303,'Base SKUs'!$E:$E,'Base SKUs'!G:G),"")</f>
        <v>Garapa</v>
      </c>
      <c r="N303" t="str">
        <f>IFERROR(_xlfn.XLOOKUP($A303,'Base SKUs'!$E:$E,'Base SKUs'!H:H),"")</f>
        <v>Tiles</v>
      </c>
      <c r="O303" t="str">
        <f>IFERROR(_xlfn.XLOOKUP($A303,'Base SKUs'!$E:$E,'Base SKUs'!I:I),"")</f>
        <v>-</v>
      </c>
      <c r="P303" t="str">
        <f>IFERROR(_xlfn.XLOOKUP($A303,'Base SKUs'!$E:$E,'Base SKUs'!J:J),"")</f>
        <v>24x24</v>
      </c>
      <c r="Q303">
        <f>IFERROR(_xlfn.XLOOKUP($A303,'Base SKUs'!$E:$E,'Base SKUs'!K:K),"")</f>
        <v>24</v>
      </c>
      <c r="R303" s="7">
        <f>IFERROR(_xlfn.XLOOKUP($A303,'Base SKUs'!$E:$E,'Base SKUs'!S:S),"")</f>
        <v>8.1803360000000012E-4</v>
      </c>
      <c r="S303" s="8">
        <f t="shared" si="22"/>
        <v>1019</v>
      </c>
      <c r="T303" s="7">
        <f>IFERROR(_xlfn.XLOOKUP($A303,'Base SKUs'!$E:$E,'Base SKUs'!R:R),"")</f>
        <v>2432.0529999999999</v>
      </c>
      <c r="U303" s="15">
        <f t="shared" si="23"/>
        <v>1019</v>
      </c>
      <c r="V303" t="str">
        <f t="shared" si="24"/>
        <v>BS Riverside</v>
      </c>
    </row>
    <row r="304" spans="1:22" x14ac:dyDescent="0.2">
      <c r="A304" t="s">
        <v>542</v>
      </c>
      <c r="B304" s="5">
        <v>1</v>
      </c>
      <c r="C304" s="5">
        <v>1</v>
      </c>
      <c r="D304" s="5">
        <f t="shared" si="20"/>
        <v>0</v>
      </c>
      <c r="E304" s="6">
        <v>112.87350000000001</v>
      </c>
      <c r="F304" s="6">
        <f t="shared" si="21"/>
        <v>112.87350000000001</v>
      </c>
      <c r="G304" t="s">
        <v>330</v>
      </c>
      <c r="H304">
        <v>9011</v>
      </c>
      <c r="I304" t="str">
        <f>IFERROR(_xlfn.XLOOKUP($A304,'Base SKUs'!$E:$E,'Base SKUs'!A:A),"")</f>
        <v>Ipe</v>
      </c>
      <c r="J304" t="str">
        <f>IFERROR(_xlfn.XLOOKUP($A304,'Base SKUs'!$E:$E,'Base SKUs'!B:B),"")</f>
        <v>Ipe 2x10</v>
      </c>
      <c r="K304" t="str">
        <f>IFERROR(_xlfn.XLOOKUP($A304,'Base SKUs'!$E:$E,'Base SKUs'!C:C),"")</f>
        <v>Long</v>
      </c>
      <c r="L304" t="str">
        <f>IFERROR(_xlfn.XLOOKUP($A304,'Base SKUs'!$E:$E,'Base SKUs'!D:D),"")</f>
        <v>Hardwoods</v>
      </c>
      <c r="M304" t="str">
        <f>IFERROR(_xlfn.XLOOKUP($A304,'Base SKUs'!$E:$E,'Base SKUs'!G:G),"")</f>
        <v>Ipe</v>
      </c>
      <c r="N304" t="str">
        <f>IFERROR(_xlfn.XLOOKUP($A304,'Base SKUs'!$E:$E,'Base SKUs'!H:H),"")</f>
        <v>S4S E4E</v>
      </c>
      <c r="O304" t="str">
        <f>IFERROR(_xlfn.XLOOKUP($A304,'Base SKUs'!$E:$E,'Base SKUs'!I:I),"")</f>
        <v>-</v>
      </c>
      <c r="P304" t="str">
        <f>IFERROR(_xlfn.XLOOKUP($A304,'Base SKUs'!$E:$E,'Base SKUs'!J:J),"")</f>
        <v>2x10</v>
      </c>
      <c r="Q304">
        <f>IFERROR(_xlfn.XLOOKUP($A304,'Base SKUs'!$E:$E,'Base SKUs'!K:K),"")</f>
        <v>12</v>
      </c>
      <c r="R304" s="7">
        <f>IFERROR(_xlfn.XLOOKUP($A304,'Base SKUs'!$E:$E,'Base SKUs'!S:S),"")</f>
        <v>3.2741353872000001E-2</v>
      </c>
      <c r="S304" s="8">
        <f t="shared" si="22"/>
        <v>0</v>
      </c>
      <c r="T304" s="7">
        <f>IFERROR(_xlfn.XLOOKUP($A304,'Base SKUs'!$E:$E,'Base SKUs'!R:R),"")</f>
        <v>366.50900000000001</v>
      </c>
      <c r="U304" s="15">
        <f t="shared" si="23"/>
        <v>0</v>
      </c>
      <c r="V304" t="str">
        <f t="shared" si="24"/>
        <v>New York</v>
      </c>
    </row>
    <row r="305" spans="1:22" x14ac:dyDescent="0.2">
      <c r="A305" t="s">
        <v>544</v>
      </c>
      <c r="B305" s="5">
        <v>4</v>
      </c>
      <c r="C305" s="5">
        <v>0</v>
      </c>
      <c r="D305" s="5">
        <f t="shared" si="20"/>
        <v>4</v>
      </c>
      <c r="E305" s="6">
        <v>130.63999999999999</v>
      </c>
      <c r="F305" s="6">
        <f t="shared" si="21"/>
        <v>522.55999999999995</v>
      </c>
      <c r="G305" t="s">
        <v>125</v>
      </c>
      <c r="H305">
        <v>9009</v>
      </c>
      <c r="I305" t="str">
        <f>IFERROR(_xlfn.XLOOKUP($A305,'Base SKUs'!$E:$E,'Base SKUs'!A:A),"")</f>
        <v>Ipe</v>
      </c>
      <c r="J305" t="str">
        <f>IFERROR(_xlfn.XLOOKUP($A305,'Base SKUs'!$E:$E,'Base SKUs'!B:B),"")</f>
        <v>Ipe 2x10</v>
      </c>
      <c r="K305" t="str">
        <f>IFERROR(_xlfn.XLOOKUP($A305,'Base SKUs'!$E:$E,'Base SKUs'!C:C),"")</f>
        <v>Long</v>
      </c>
      <c r="L305" t="str">
        <f>IFERROR(_xlfn.XLOOKUP($A305,'Base SKUs'!$E:$E,'Base SKUs'!D:D),"")</f>
        <v>Hardwoods</v>
      </c>
      <c r="M305" t="str">
        <f>IFERROR(_xlfn.XLOOKUP($A305,'Base SKUs'!$E:$E,'Base SKUs'!G:G),"")</f>
        <v>Ipe</v>
      </c>
      <c r="N305" t="str">
        <f>IFERROR(_xlfn.XLOOKUP($A305,'Base SKUs'!$E:$E,'Base SKUs'!H:H),"")</f>
        <v>S4S E4E</v>
      </c>
      <c r="O305" t="str">
        <f>IFERROR(_xlfn.XLOOKUP($A305,'Base SKUs'!$E:$E,'Base SKUs'!I:I),"")</f>
        <v>-</v>
      </c>
      <c r="P305" t="str">
        <f>IFERROR(_xlfn.XLOOKUP($A305,'Base SKUs'!$E:$E,'Base SKUs'!J:J),"")</f>
        <v>2x10</v>
      </c>
      <c r="Q305">
        <f>IFERROR(_xlfn.XLOOKUP($A305,'Base SKUs'!$E:$E,'Base SKUs'!K:K),"")</f>
        <v>14</v>
      </c>
      <c r="R305" s="7">
        <f>IFERROR(_xlfn.XLOOKUP($A305,'Base SKUs'!$E:$E,'Base SKUs'!S:S),"")</f>
        <v>3.8198246184000001E-2</v>
      </c>
      <c r="S305" s="8">
        <f t="shared" si="22"/>
        <v>0.152792984736</v>
      </c>
      <c r="T305" s="7">
        <f>IFERROR(_xlfn.XLOOKUP($A305,'Base SKUs'!$E:$E,'Base SKUs'!R:R),"")</f>
        <v>366.50900000000001</v>
      </c>
      <c r="U305" s="15">
        <f t="shared" si="23"/>
        <v>56</v>
      </c>
      <c r="V305" t="str">
        <f t="shared" si="24"/>
        <v>Boston</v>
      </c>
    </row>
    <row r="306" spans="1:22" x14ac:dyDescent="0.2">
      <c r="A306" t="s">
        <v>546</v>
      </c>
      <c r="B306" s="5">
        <v>1</v>
      </c>
      <c r="C306" s="5">
        <v>1</v>
      </c>
      <c r="D306" s="5">
        <f t="shared" si="20"/>
        <v>0</v>
      </c>
      <c r="E306" s="6">
        <v>188.14060000000001</v>
      </c>
      <c r="F306" s="6">
        <f t="shared" si="21"/>
        <v>188.14060000000001</v>
      </c>
      <c r="G306" t="s">
        <v>330</v>
      </c>
      <c r="H306">
        <v>9011</v>
      </c>
      <c r="I306" t="str">
        <f>IFERROR(_xlfn.XLOOKUP($A306,'Base SKUs'!$E:$E,'Base SKUs'!A:A),"")</f>
        <v>Ipe</v>
      </c>
      <c r="J306" t="str">
        <f>IFERROR(_xlfn.XLOOKUP($A306,'Base SKUs'!$E:$E,'Base SKUs'!B:B),"")</f>
        <v>Ipe 2x10</v>
      </c>
      <c r="K306" t="str">
        <f>IFERROR(_xlfn.XLOOKUP($A306,'Base SKUs'!$E:$E,'Base SKUs'!C:C),"")</f>
        <v>Long</v>
      </c>
      <c r="L306" t="str">
        <f>IFERROR(_xlfn.XLOOKUP($A306,'Base SKUs'!$E:$E,'Base SKUs'!D:D),"")</f>
        <v>Hardwoods</v>
      </c>
      <c r="M306" t="str">
        <f>IFERROR(_xlfn.XLOOKUP($A306,'Base SKUs'!$E:$E,'Base SKUs'!G:G),"")</f>
        <v>Ipe</v>
      </c>
      <c r="N306" t="str">
        <f>IFERROR(_xlfn.XLOOKUP($A306,'Base SKUs'!$E:$E,'Base SKUs'!H:H),"")</f>
        <v>S4S E4E</v>
      </c>
      <c r="O306" t="str">
        <f>IFERROR(_xlfn.XLOOKUP($A306,'Base SKUs'!$E:$E,'Base SKUs'!I:I),"")</f>
        <v>-</v>
      </c>
      <c r="P306" t="str">
        <f>IFERROR(_xlfn.XLOOKUP($A306,'Base SKUs'!$E:$E,'Base SKUs'!J:J),"")</f>
        <v>2x10</v>
      </c>
      <c r="Q306">
        <f>IFERROR(_xlfn.XLOOKUP($A306,'Base SKUs'!$E:$E,'Base SKUs'!K:K),"")</f>
        <v>20</v>
      </c>
      <c r="R306" s="7">
        <f>IFERROR(_xlfn.XLOOKUP($A306,'Base SKUs'!$E:$E,'Base SKUs'!S:S),"")</f>
        <v>5.4568923120000008E-2</v>
      </c>
      <c r="S306" s="8">
        <f t="shared" si="22"/>
        <v>0</v>
      </c>
      <c r="T306" s="7">
        <f>IFERROR(_xlfn.XLOOKUP($A306,'Base SKUs'!$E:$E,'Base SKUs'!R:R),"")</f>
        <v>366.50900000000001</v>
      </c>
      <c r="U306" s="15">
        <f t="shared" si="23"/>
        <v>0</v>
      </c>
      <c r="V306" t="str">
        <f t="shared" si="24"/>
        <v>New York</v>
      </c>
    </row>
    <row r="307" spans="1:22" x14ac:dyDescent="0.2">
      <c r="A307" t="s">
        <v>548</v>
      </c>
      <c r="B307" s="5">
        <v>84</v>
      </c>
      <c r="C307" s="5">
        <v>0</v>
      </c>
      <c r="D307" s="5">
        <f t="shared" si="20"/>
        <v>84</v>
      </c>
      <c r="E307" s="6">
        <v>95.393100000000004</v>
      </c>
      <c r="F307" s="6">
        <f t="shared" si="21"/>
        <v>8013.0204000000003</v>
      </c>
      <c r="G307" t="s">
        <v>17</v>
      </c>
      <c r="H307">
        <v>9007</v>
      </c>
      <c r="I307" t="str">
        <f>IFERROR(_xlfn.XLOOKUP($A307,'Base SKUs'!$E:$E,'Base SKUs'!A:A),"")</f>
        <v>Ipe</v>
      </c>
      <c r="J307" t="str">
        <f>IFERROR(_xlfn.XLOOKUP($A307,'Base SKUs'!$E:$E,'Base SKUs'!B:B),"")</f>
        <v>Ipe 2x12</v>
      </c>
      <c r="K307" t="str">
        <f>IFERROR(_xlfn.XLOOKUP($A307,'Base SKUs'!$E:$E,'Base SKUs'!C:C),"")</f>
        <v>Long</v>
      </c>
      <c r="L307" t="str">
        <f>IFERROR(_xlfn.XLOOKUP($A307,'Base SKUs'!$E:$E,'Base SKUs'!D:D),"")</f>
        <v>Hardwoods</v>
      </c>
      <c r="M307" t="str">
        <f>IFERROR(_xlfn.XLOOKUP($A307,'Base SKUs'!$E:$E,'Base SKUs'!G:G),"")</f>
        <v>Ipe</v>
      </c>
      <c r="N307" t="str">
        <f>IFERROR(_xlfn.XLOOKUP($A307,'Base SKUs'!$E:$E,'Base SKUs'!H:H),"")</f>
        <v>S4S E4E</v>
      </c>
      <c r="O307" t="str">
        <f>IFERROR(_xlfn.XLOOKUP($A307,'Base SKUs'!$E:$E,'Base SKUs'!I:I),"")</f>
        <v>-</v>
      </c>
      <c r="P307" t="str">
        <f>IFERROR(_xlfn.XLOOKUP($A307,'Base SKUs'!$E:$E,'Base SKUs'!J:J),"")</f>
        <v>2x12</v>
      </c>
      <c r="Q307">
        <f>IFERROR(_xlfn.XLOOKUP($A307,'Base SKUs'!$E:$E,'Base SKUs'!K:K),"")</f>
        <v>10</v>
      </c>
      <c r="R307" s="7">
        <f>IFERROR(_xlfn.XLOOKUP($A307,'Base SKUs'!$E:$E,'Base SKUs'!S:S),"")</f>
        <v>3.3183804600000005E-2</v>
      </c>
      <c r="S307" s="8">
        <f t="shared" si="22"/>
        <v>2.7874395864000006</v>
      </c>
      <c r="T307" s="7">
        <f>IFERROR(_xlfn.XLOOKUP($A307,'Base SKUs'!$E:$E,'Base SKUs'!R:R),"")</f>
        <v>301.35199999999998</v>
      </c>
      <c r="U307" s="15">
        <f t="shared" si="23"/>
        <v>840</v>
      </c>
      <c r="V307" t="str">
        <f t="shared" si="24"/>
        <v>Miami</v>
      </c>
    </row>
    <row r="308" spans="1:22" x14ac:dyDescent="0.2">
      <c r="A308" t="s">
        <v>550</v>
      </c>
      <c r="B308" s="5">
        <v>29</v>
      </c>
      <c r="C308" s="5">
        <v>0</v>
      </c>
      <c r="D308" s="5">
        <f t="shared" si="20"/>
        <v>29</v>
      </c>
      <c r="E308" s="6">
        <v>114.52079999999999</v>
      </c>
      <c r="F308" s="6">
        <f t="shared" si="21"/>
        <v>3321.1032</v>
      </c>
      <c r="G308" t="s">
        <v>24</v>
      </c>
      <c r="H308">
        <v>9008</v>
      </c>
      <c r="I308" t="str">
        <f>IFERROR(_xlfn.XLOOKUP($A308,'Base SKUs'!$E:$E,'Base SKUs'!A:A),"")</f>
        <v>Ipe</v>
      </c>
      <c r="J308" t="str">
        <f>IFERROR(_xlfn.XLOOKUP($A308,'Base SKUs'!$E:$E,'Base SKUs'!B:B),"")</f>
        <v>Ipe 2x12</v>
      </c>
      <c r="K308" t="str">
        <f>IFERROR(_xlfn.XLOOKUP($A308,'Base SKUs'!$E:$E,'Base SKUs'!C:C),"")</f>
        <v>Long</v>
      </c>
      <c r="L308" t="str">
        <f>IFERROR(_xlfn.XLOOKUP($A308,'Base SKUs'!$E:$E,'Base SKUs'!D:D),"")</f>
        <v>Hardwoods</v>
      </c>
      <c r="M308" t="str">
        <f>IFERROR(_xlfn.XLOOKUP($A308,'Base SKUs'!$E:$E,'Base SKUs'!G:G),"")</f>
        <v>Ipe</v>
      </c>
      <c r="N308" t="str">
        <f>IFERROR(_xlfn.XLOOKUP($A308,'Base SKUs'!$E:$E,'Base SKUs'!H:H),"")</f>
        <v>S4S E4E</v>
      </c>
      <c r="O308" t="str">
        <f>IFERROR(_xlfn.XLOOKUP($A308,'Base SKUs'!$E:$E,'Base SKUs'!I:I),"")</f>
        <v>-</v>
      </c>
      <c r="P308" t="str">
        <f>IFERROR(_xlfn.XLOOKUP($A308,'Base SKUs'!$E:$E,'Base SKUs'!J:J),"")</f>
        <v>2x12</v>
      </c>
      <c r="Q308">
        <f>IFERROR(_xlfn.XLOOKUP($A308,'Base SKUs'!$E:$E,'Base SKUs'!K:K),"")</f>
        <v>12</v>
      </c>
      <c r="R308" s="7">
        <f>IFERROR(_xlfn.XLOOKUP($A308,'Base SKUs'!$E:$E,'Base SKUs'!S:S),"")</f>
        <v>3.9820565519999997E-2</v>
      </c>
      <c r="S308" s="8">
        <f t="shared" si="22"/>
        <v>1.15479640008</v>
      </c>
      <c r="T308" s="7">
        <f>IFERROR(_xlfn.XLOOKUP($A308,'Base SKUs'!$E:$E,'Base SKUs'!R:R),"")</f>
        <v>301.35199999999998</v>
      </c>
      <c r="U308" s="15">
        <f t="shared" si="23"/>
        <v>348</v>
      </c>
      <c r="V308" t="str">
        <f t="shared" si="24"/>
        <v>Texas</v>
      </c>
    </row>
    <row r="309" spans="1:22" x14ac:dyDescent="0.2">
      <c r="A309" t="s">
        <v>552</v>
      </c>
      <c r="B309" s="5">
        <v>14</v>
      </c>
      <c r="C309" s="5">
        <v>0</v>
      </c>
      <c r="D309" s="5">
        <f t="shared" si="20"/>
        <v>14</v>
      </c>
      <c r="E309" s="6">
        <v>133.58090000000001</v>
      </c>
      <c r="F309" s="6">
        <f t="shared" si="21"/>
        <v>1870.1326000000001</v>
      </c>
      <c r="G309" t="s">
        <v>17</v>
      </c>
      <c r="H309">
        <v>9007</v>
      </c>
      <c r="I309" t="str">
        <f>IFERROR(_xlfn.XLOOKUP($A309,'Base SKUs'!$E:$E,'Base SKUs'!A:A),"")</f>
        <v>Ipe</v>
      </c>
      <c r="J309" t="str">
        <f>IFERROR(_xlfn.XLOOKUP($A309,'Base SKUs'!$E:$E,'Base SKUs'!B:B),"")</f>
        <v>Ipe 2x12</v>
      </c>
      <c r="K309" t="str">
        <f>IFERROR(_xlfn.XLOOKUP($A309,'Base SKUs'!$E:$E,'Base SKUs'!C:C),"")</f>
        <v>Long</v>
      </c>
      <c r="L309" t="str">
        <f>IFERROR(_xlfn.XLOOKUP($A309,'Base SKUs'!$E:$E,'Base SKUs'!D:D),"")</f>
        <v>Hardwoods</v>
      </c>
      <c r="M309" t="str">
        <f>IFERROR(_xlfn.XLOOKUP($A309,'Base SKUs'!$E:$E,'Base SKUs'!G:G),"")</f>
        <v>Ipe</v>
      </c>
      <c r="N309" t="str">
        <f>IFERROR(_xlfn.XLOOKUP($A309,'Base SKUs'!$E:$E,'Base SKUs'!H:H),"")</f>
        <v>S4S E4E</v>
      </c>
      <c r="O309" t="str">
        <f>IFERROR(_xlfn.XLOOKUP($A309,'Base SKUs'!$E:$E,'Base SKUs'!I:I),"")</f>
        <v>-</v>
      </c>
      <c r="P309" t="str">
        <f>IFERROR(_xlfn.XLOOKUP($A309,'Base SKUs'!$E:$E,'Base SKUs'!J:J),"")</f>
        <v>2x12</v>
      </c>
      <c r="Q309">
        <f>IFERROR(_xlfn.XLOOKUP($A309,'Base SKUs'!$E:$E,'Base SKUs'!K:K),"")</f>
        <v>14</v>
      </c>
      <c r="R309" s="7">
        <f>IFERROR(_xlfn.XLOOKUP($A309,'Base SKUs'!$E:$E,'Base SKUs'!S:S),"")</f>
        <v>4.6457326440000002E-2</v>
      </c>
      <c r="S309" s="8">
        <f t="shared" si="22"/>
        <v>0.65040257016000003</v>
      </c>
      <c r="T309" s="7">
        <f>IFERROR(_xlfn.XLOOKUP($A309,'Base SKUs'!$E:$E,'Base SKUs'!R:R),"")</f>
        <v>301.35199999999998</v>
      </c>
      <c r="U309" s="15">
        <f t="shared" si="23"/>
        <v>196</v>
      </c>
      <c r="V309" t="str">
        <f t="shared" si="24"/>
        <v>Miami</v>
      </c>
    </row>
    <row r="310" spans="1:22" x14ac:dyDescent="0.2">
      <c r="A310" t="s">
        <v>552</v>
      </c>
      <c r="B310" s="5">
        <v>22</v>
      </c>
      <c r="C310" s="5">
        <v>0</v>
      </c>
      <c r="D310" s="5">
        <f t="shared" si="20"/>
        <v>22</v>
      </c>
      <c r="E310" s="6">
        <v>133.64109999999999</v>
      </c>
      <c r="F310" s="6">
        <f t="shared" si="21"/>
        <v>2940.1041999999998</v>
      </c>
      <c r="G310" t="s">
        <v>125</v>
      </c>
      <c r="H310">
        <v>9009</v>
      </c>
      <c r="I310" t="str">
        <f>IFERROR(_xlfn.XLOOKUP($A310,'Base SKUs'!$E:$E,'Base SKUs'!A:A),"")</f>
        <v>Ipe</v>
      </c>
      <c r="J310" t="str">
        <f>IFERROR(_xlfn.XLOOKUP($A310,'Base SKUs'!$E:$E,'Base SKUs'!B:B),"")</f>
        <v>Ipe 2x12</v>
      </c>
      <c r="K310" t="str">
        <f>IFERROR(_xlfn.XLOOKUP($A310,'Base SKUs'!$E:$E,'Base SKUs'!C:C),"")</f>
        <v>Long</v>
      </c>
      <c r="L310" t="str">
        <f>IFERROR(_xlfn.XLOOKUP($A310,'Base SKUs'!$E:$E,'Base SKUs'!D:D),"")</f>
        <v>Hardwoods</v>
      </c>
      <c r="M310" t="str">
        <f>IFERROR(_xlfn.XLOOKUP($A310,'Base SKUs'!$E:$E,'Base SKUs'!G:G),"")</f>
        <v>Ipe</v>
      </c>
      <c r="N310" t="str">
        <f>IFERROR(_xlfn.XLOOKUP($A310,'Base SKUs'!$E:$E,'Base SKUs'!H:H),"")</f>
        <v>S4S E4E</v>
      </c>
      <c r="O310" t="str">
        <f>IFERROR(_xlfn.XLOOKUP($A310,'Base SKUs'!$E:$E,'Base SKUs'!I:I),"")</f>
        <v>-</v>
      </c>
      <c r="P310" t="str">
        <f>IFERROR(_xlfn.XLOOKUP($A310,'Base SKUs'!$E:$E,'Base SKUs'!J:J),"")</f>
        <v>2x12</v>
      </c>
      <c r="Q310">
        <f>IFERROR(_xlfn.XLOOKUP($A310,'Base SKUs'!$E:$E,'Base SKUs'!K:K),"")</f>
        <v>14</v>
      </c>
      <c r="R310" s="7">
        <f>IFERROR(_xlfn.XLOOKUP($A310,'Base SKUs'!$E:$E,'Base SKUs'!S:S),"")</f>
        <v>4.6457326440000002E-2</v>
      </c>
      <c r="S310" s="8">
        <f t="shared" si="22"/>
        <v>1.02206118168</v>
      </c>
      <c r="T310" s="7">
        <f>IFERROR(_xlfn.XLOOKUP($A310,'Base SKUs'!$E:$E,'Base SKUs'!R:R),"")</f>
        <v>301.35199999999998</v>
      </c>
      <c r="U310" s="15">
        <f t="shared" si="23"/>
        <v>308</v>
      </c>
      <c r="V310" t="str">
        <f t="shared" si="24"/>
        <v>Boston</v>
      </c>
    </row>
    <row r="311" spans="1:22" x14ac:dyDescent="0.2">
      <c r="A311" t="s">
        <v>555</v>
      </c>
      <c r="B311" s="5">
        <v>30</v>
      </c>
      <c r="C311" s="5">
        <v>0</v>
      </c>
      <c r="D311" s="5">
        <f t="shared" si="20"/>
        <v>30</v>
      </c>
      <c r="E311" s="6">
        <v>171.7482</v>
      </c>
      <c r="F311" s="6">
        <f t="shared" si="21"/>
        <v>5152.4459999999999</v>
      </c>
      <c r="G311" t="s">
        <v>24</v>
      </c>
      <c r="H311">
        <v>9008</v>
      </c>
      <c r="I311" t="str">
        <f>IFERROR(_xlfn.XLOOKUP($A311,'Base SKUs'!$E:$E,'Base SKUs'!A:A),"")</f>
        <v>Ipe</v>
      </c>
      <c r="J311" t="str">
        <f>IFERROR(_xlfn.XLOOKUP($A311,'Base SKUs'!$E:$E,'Base SKUs'!B:B),"")</f>
        <v>Ipe 2x12</v>
      </c>
      <c r="K311" t="str">
        <f>IFERROR(_xlfn.XLOOKUP($A311,'Base SKUs'!$E:$E,'Base SKUs'!C:C),"")</f>
        <v>Long</v>
      </c>
      <c r="L311" t="str">
        <f>IFERROR(_xlfn.XLOOKUP($A311,'Base SKUs'!$E:$E,'Base SKUs'!D:D),"")</f>
        <v>Hardwoods</v>
      </c>
      <c r="M311" t="str">
        <f>IFERROR(_xlfn.XLOOKUP($A311,'Base SKUs'!$E:$E,'Base SKUs'!G:G),"")</f>
        <v>Ipe</v>
      </c>
      <c r="N311" t="str">
        <f>IFERROR(_xlfn.XLOOKUP($A311,'Base SKUs'!$E:$E,'Base SKUs'!H:H),"")</f>
        <v>S4S E4E</v>
      </c>
      <c r="O311" t="str">
        <f>IFERROR(_xlfn.XLOOKUP($A311,'Base SKUs'!$E:$E,'Base SKUs'!I:I),"")</f>
        <v>-</v>
      </c>
      <c r="P311" t="str">
        <f>IFERROR(_xlfn.XLOOKUP($A311,'Base SKUs'!$E:$E,'Base SKUs'!J:J),"")</f>
        <v>2x12</v>
      </c>
      <c r="Q311">
        <f>IFERROR(_xlfn.XLOOKUP($A311,'Base SKUs'!$E:$E,'Base SKUs'!K:K),"")</f>
        <v>18</v>
      </c>
      <c r="R311" s="7">
        <f>IFERROR(_xlfn.XLOOKUP($A311,'Base SKUs'!$E:$E,'Base SKUs'!S:S),"")</f>
        <v>5.9730848279999998E-2</v>
      </c>
      <c r="S311" s="8">
        <f t="shared" si="22"/>
        <v>1.7919254484</v>
      </c>
      <c r="T311" s="7">
        <f>IFERROR(_xlfn.XLOOKUP($A311,'Base SKUs'!$E:$E,'Base SKUs'!R:R),"")</f>
        <v>301.35199999999998</v>
      </c>
      <c r="U311" s="15">
        <f t="shared" si="23"/>
        <v>540</v>
      </c>
      <c r="V311" t="str">
        <f t="shared" si="24"/>
        <v>Texas</v>
      </c>
    </row>
    <row r="312" spans="1:22" x14ac:dyDescent="0.2">
      <c r="A312" t="s">
        <v>557</v>
      </c>
      <c r="B312" s="5">
        <v>45</v>
      </c>
      <c r="C312" s="5">
        <v>0</v>
      </c>
      <c r="D312" s="5">
        <f t="shared" si="20"/>
        <v>45</v>
      </c>
      <c r="E312" s="6">
        <v>190.839</v>
      </c>
      <c r="F312" s="6">
        <f t="shared" si="21"/>
        <v>8587.7549999999992</v>
      </c>
      <c r="G312" t="s">
        <v>24</v>
      </c>
      <c r="H312">
        <v>9008</v>
      </c>
      <c r="I312" t="str">
        <f>IFERROR(_xlfn.XLOOKUP($A312,'Base SKUs'!$E:$E,'Base SKUs'!A:A),"")</f>
        <v>Ipe</v>
      </c>
      <c r="J312" t="str">
        <f>IFERROR(_xlfn.XLOOKUP($A312,'Base SKUs'!$E:$E,'Base SKUs'!B:B),"")</f>
        <v>Ipe 2x12</v>
      </c>
      <c r="K312" t="str">
        <f>IFERROR(_xlfn.XLOOKUP($A312,'Base SKUs'!$E:$E,'Base SKUs'!C:C),"")</f>
        <v>Long</v>
      </c>
      <c r="L312" t="str">
        <f>IFERROR(_xlfn.XLOOKUP($A312,'Base SKUs'!$E:$E,'Base SKUs'!D:D),"")</f>
        <v>Hardwoods</v>
      </c>
      <c r="M312" t="str">
        <f>IFERROR(_xlfn.XLOOKUP($A312,'Base SKUs'!$E:$E,'Base SKUs'!G:G),"")</f>
        <v>Ipe</v>
      </c>
      <c r="N312" t="str">
        <f>IFERROR(_xlfn.XLOOKUP($A312,'Base SKUs'!$E:$E,'Base SKUs'!H:H),"")</f>
        <v>S4S E4E</v>
      </c>
      <c r="O312" t="str">
        <f>IFERROR(_xlfn.XLOOKUP($A312,'Base SKUs'!$E:$E,'Base SKUs'!I:I),"")</f>
        <v>-</v>
      </c>
      <c r="P312" t="str">
        <f>IFERROR(_xlfn.XLOOKUP($A312,'Base SKUs'!$E:$E,'Base SKUs'!J:J),"")</f>
        <v>2x12</v>
      </c>
      <c r="Q312">
        <f>IFERROR(_xlfn.XLOOKUP($A312,'Base SKUs'!$E:$E,'Base SKUs'!K:K),"")</f>
        <v>20</v>
      </c>
      <c r="R312" s="7">
        <f>IFERROR(_xlfn.XLOOKUP($A312,'Base SKUs'!$E:$E,'Base SKUs'!S:S),"")</f>
        <v>6.6367609200000011E-2</v>
      </c>
      <c r="S312" s="8">
        <f t="shared" si="22"/>
        <v>2.9865424140000005</v>
      </c>
      <c r="T312" s="7">
        <f>IFERROR(_xlfn.XLOOKUP($A312,'Base SKUs'!$E:$E,'Base SKUs'!R:R),"")</f>
        <v>301.35199999999998</v>
      </c>
      <c r="U312" s="15">
        <f t="shared" si="23"/>
        <v>900</v>
      </c>
      <c r="V312" t="str">
        <f t="shared" si="24"/>
        <v>Texas</v>
      </c>
    </row>
    <row r="313" spans="1:22" x14ac:dyDescent="0.2">
      <c r="A313" t="s">
        <v>559</v>
      </c>
      <c r="B313" s="5">
        <v>1</v>
      </c>
      <c r="C313" s="5">
        <v>0</v>
      </c>
      <c r="D313" s="5">
        <f t="shared" si="20"/>
        <v>1</v>
      </c>
      <c r="E313" s="6">
        <v>97.052700000000002</v>
      </c>
      <c r="F313" s="6">
        <f t="shared" si="21"/>
        <v>97.052700000000002</v>
      </c>
      <c r="G313" t="s">
        <v>24</v>
      </c>
      <c r="H313">
        <v>9008</v>
      </c>
      <c r="I313" t="str">
        <f>IFERROR(_xlfn.XLOOKUP($A313,'Base SKUs'!$E:$E,'Base SKUs'!A:A),"")</f>
        <v>Ipe</v>
      </c>
      <c r="J313" t="str">
        <f>IFERROR(_xlfn.XLOOKUP($A313,'Base SKUs'!$E:$E,'Base SKUs'!B:B),"")</f>
        <v>Ipe 2x12</v>
      </c>
      <c r="K313" t="str">
        <f>IFERROR(_xlfn.XLOOKUP($A313,'Base SKUs'!$E:$E,'Base SKUs'!C:C),"")</f>
        <v>Long</v>
      </c>
      <c r="L313" t="str">
        <f>IFERROR(_xlfn.XLOOKUP($A313,'Base SKUs'!$E:$E,'Base SKUs'!D:D),"")</f>
        <v>Hardwoods</v>
      </c>
      <c r="M313" t="str">
        <f>IFERROR(_xlfn.XLOOKUP($A313,'Base SKUs'!$E:$E,'Base SKUs'!G:G),"")</f>
        <v>Ipe</v>
      </c>
      <c r="N313" t="str">
        <f>IFERROR(_xlfn.XLOOKUP($A313,'Base SKUs'!$E:$E,'Base SKUs'!H:H),"")</f>
        <v>S4S E4E</v>
      </c>
      <c r="O313" t="str">
        <f>IFERROR(_xlfn.XLOOKUP($A313,'Base SKUs'!$E:$E,'Base SKUs'!I:I),"")</f>
        <v>-</v>
      </c>
      <c r="P313" t="str">
        <f>IFERROR(_xlfn.XLOOKUP($A313,'Base SKUs'!$E:$E,'Base SKUs'!J:J),"")</f>
        <v>2x12</v>
      </c>
      <c r="Q313">
        <f>IFERROR(_xlfn.XLOOKUP($A313,'Base SKUs'!$E:$E,'Base SKUs'!K:K),"")</f>
        <v>8</v>
      </c>
      <c r="R313" s="7">
        <f>IFERROR(_xlfn.XLOOKUP($A313,'Base SKUs'!$E:$E,'Base SKUs'!S:S),"")</f>
        <v>2.654704368E-2</v>
      </c>
      <c r="S313" s="8">
        <f t="shared" si="22"/>
        <v>2.654704368E-2</v>
      </c>
      <c r="T313" s="7">
        <f>IFERROR(_xlfn.XLOOKUP($A313,'Base SKUs'!$E:$E,'Base SKUs'!R:R),"")</f>
        <v>301.35199999999998</v>
      </c>
      <c r="U313" s="15">
        <f t="shared" si="23"/>
        <v>8</v>
      </c>
      <c r="V313" t="str">
        <f t="shared" si="24"/>
        <v>Texas</v>
      </c>
    </row>
    <row r="314" spans="1:22" x14ac:dyDescent="0.2">
      <c r="A314" t="s">
        <v>561</v>
      </c>
      <c r="B314" s="5">
        <v>1067</v>
      </c>
      <c r="C314" s="5">
        <v>0</v>
      </c>
      <c r="D314" s="5">
        <f t="shared" si="20"/>
        <v>1067</v>
      </c>
      <c r="E314" s="6">
        <v>7.2214999999999998</v>
      </c>
      <c r="F314" s="6">
        <f t="shared" si="21"/>
        <v>7705.3405000000002</v>
      </c>
      <c r="G314" t="s">
        <v>17</v>
      </c>
      <c r="H314">
        <v>9007</v>
      </c>
      <c r="I314" t="str">
        <f>IFERROR(_xlfn.XLOOKUP($A314,'Base SKUs'!$E:$E,'Base SKUs'!A:A),"")</f>
        <v>Ipe</v>
      </c>
      <c r="J314" t="str">
        <f>IFERROR(_xlfn.XLOOKUP($A314,'Base SKUs'!$E:$E,'Base SKUs'!B:B),"")</f>
        <v>Ipe 2x2</v>
      </c>
      <c r="K314" t="str">
        <f>IFERROR(_xlfn.XLOOKUP($A314,'Base SKUs'!$E:$E,'Base SKUs'!C:C),"")</f>
        <v>Long</v>
      </c>
      <c r="L314" t="str">
        <f>IFERROR(_xlfn.XLOOKUP($A314,'Base SKUs'!$E:$E,'Base SKUs'!D:D),"")</f>
        <v>Hardwoods</v>
      </c>
      <c r="M314" t="str">
        <f>IFERROR(_xlfn.XLOOKUP($A314,'Base SKUs'!$E:$E,'Base SKUs'!G:G),"")</f>
        <v>Ipe</v>
      </c>
      <c r="N314" t="str">
        <f>IFERROR(_xlfn.XLOOKUP($A314,'Base SKUs'!$E:$E,'Base SKUs'!H:H),"")</f>
        <v>S4S E4E</v>
      </c>
      <c r="O314" t="str">
        <f>IFERROR(_xlfn.XLOOKUP($A314,'Base SKUs'!$E:$E,'Base SKUs'!I:I),"")</f>
        <v>-</v>
      </c>
      <c r="P314" t="str">
        <f>IFERROR(_xlfn.XLOOKUP($A314,'Base SKUs'!$E:$E,'Base SKUs'!J:J),"")</f>
        <v>2x2</v>
      </c>
      <c r="Q314">
        <f>IFERROR(_xlfn.XLOOKUP($A314,'Base SKUs'!$E:$E,'Base SKUs'!K:K),"")</f>
        <v>10</v>
      </c>
      <c r="R314" s="7">
        <f>IFERROR(_xlfn.XLOOKUP($A314,'Base SKUs'!$E:$E,'Base SKUs'!S:S),"")</f>
        <v>4.4245072800000009E-3</v>
      </c>
      <c r="S314" s="8">
        <f t="shared" si="22"/>
        <v>4.7209492677600009</v>
      </c>
      <c r="T314" s="7">
        <f>IFERROR(_xlfn.XLOOKUP($A314,'Base SKUs'!$E:$E,'Base SKUs'!R:R),"")</f>
        <v>2260.1390000000001</v>
      </c>
      <c r="U314" s="15">
        <f t="shared" si="23"/>
        <v>10670</v>
      </c>
      <c r="V314" t="str">
        <f t="shared" si="24"/>
        <v>Miami</v>
      </c>
    </row>
    <row r="315" spans="1:22" x14ac:dyDescent="0.2">
      <c r="A315" t="s">
        <v>561</v>
      </c>
      <c r="B315" s="5">
        <v>1030</v>
      </c>
      <c r="C315" s="5">
        <v>0</v>
      </c>
      <c r="D315" s="5">
        <f t="shared" si="20"/>
        <v>1030</v>
      </c>
      <c r="E315" s="6">
        <v>6.6433</v>
      </c>
      <c r="F315" s="6">
        <f t="shared" si="21"/>
        <v>6842.5990000000002</v>
      </c>
      <c r="G315" t="s">
        <v>24</v>
      </c>
      <c r="H315">
        <v>9008</v>
      </c>
      <c r="I315" t="str">
        <f>IFERROR(_xlfn.XLOOKUP($A315,'Base SKUs'!$E:$E,'Base SKUs'!A:A),"")</f>
        <v>Ipe</v>
      </c>
      <c r="J315" t="str">
        <f>IFERROR(_xlfn.XLOOKUP($A315,'Base SKUs'!$E:$E,'Base SKUs'!B:B),"")</f>
        <v>Ipe 2x2</v>
      </c>
      <c r="K315" t="str">
        <f>IFERROR(_xlfn.XLOOKUP($A315,'Base SKUs'!$E:$E,'Base SKUs'!C:C),"")</f>
        <v>Long</v>
      </c>
      <c r="L315" t="str">
        <f>IFERROR(_xlfn.XLOOKUP($A315,'Base SKUs'!$E:$E,'Base SKUs'!D:D),"")</f>
        <v>Hardwoods</v>
      </c>
      <c r="M315" t="str">
        <f>IFERROR(_xlfn.XLOOKUP($A315,'Base SKUs'!$E:$E,'Base SKUs'!G:G),"")</f>
        <v>Ipe</v>
      </c>
      <c r="N315" t="str">
        <f>IFERROR(_xlfn.XLOOKUP($A315,'Base SKUs'!$E:$E,'Base SKUs'!H:H),"")</f>
        <v>S4S E4E</v>
      </c>
      <c r="O315" t="str">
        <f>IFERROR(_xlfn.XLOOKUP($A315,'Base SKUs'!$E:$E,'Base SKUs'!I:I),"")</f>
        <v>-</v>
      </c>
      <c r="P315" t="str">
        <f>IFERROR(_xlfn.XLOOKUP($A315,'Base SKUs'!$E:$E,'Base SKUs'!J:J),"")</f>
        <v>2x2</v>
      </c>
      <c r="Q315">
        <f>IFERROR(_xlfn.XLOOKUP($A315,'Base SKUs'!$E:$E,'Base SKUs'!K:K),"")</f>
        <v>10</v>
      </c>
      <c r="R315" s="7">
        <f>IFERROR(_xlfn.XLOOKUP($A315,'Base SKUs'!$E:$E,'Base SKUs'!S:S),"")</f>
        <v>4.4245072800000009E-3</v>
      </c>
      <c r="S315" s="8">
        <f t="shared" si="22"/>
        <v>4.5572424984000008</v>
      </c>
      <c r="T315" s="7">
        <f>IFERROR(_xlfn.XLOOKUP($A315,'Base SKUs'!$E:$E,'Base SKUs'!R:R),"")</f>
        <v>2260.1390000000001</v>
      </c>
      <c r="U315" s="15">
        <f t="shared" si="23"/>
        <v>10300</v>
      </c>
      <c r="V315" t="str">
        <f t="shared" si="24"/>
        <v>Texas</v>
      </c>
    </row>
    <row r="316" spans="1:22" x14ac:dyDescent="0.2">
      <c r="A316" t="s">
        <v>561</v>
      </c>
      <c r="B316" s="5">
        <v>402</v>
      </c>
      <c r="C316" s="5">
        <v>0</v>
      </c>
      <c r="D316" s="5">
        <f t="shared" si="20"/>
        <v>402</v>
      </c>
      <c r="E316" s="6">
        <v>7.3952</v>
      </c>
      <c r="F316" s="6">
        <f t="shared" si="21"/>
        <v>2972.8703999999998</v>
      </c>
      <c r="G316" t="s">
        <v>330</v>
      </c>
      <c r="H316">
        <v>9011</v>
      </c>
      <c r="I316" t="str">
        <f>IFERROR(_xlfn.XLOOKUP($A316,'Base SKUs'!$E:$E,'Base SKUs'!A:A),"")</f>
        <v>Ipe</v>
      </c>
      <c r="J316" t="str">
        <f>IFERROR(_xlfn.XLOOKUP($A316,'Base SKUs'!$E:$E,'Base SKUs'!B:B),"")</f>
        <v>Ipe 2x2</v>
      </c>
      <c r="K316" t="str">
        <f>IFERROR(_xlfn.XLOOKUP($A316,'Base SKUs'!$E:$E,'Base SKUs'!C:C),"")</f>
        <v>Long</v>
      </c>
      <c r="L316" t="str">
        <f>IFERROR(_xlfn.XLOOKUP($A316,'Base SKUs'!$E:$E,'Base SKUs'!D:D),"")</f>
        <v>Hardwoods</v>
      </c>
      <c r="M316" t="str">
        <f>IFERROR(_xlfn.XLOOKUP($A316,'Base SKUs'!$E:$E,'Base SKUs'!G:G),"")</f>
        <v>Ipe</v>
      </c>
      <c r="N316" t="str">
        <f>IFERROR(_xlfn.XLOOKUP($A316,'Base SKUs'!$E:$E,'Base SKUs'!H:H),"")</f>
        <v>S4S E4E</v>
      </c>
      <c r="O316" t="str">
        <f>IFERROR(_xlfn.XLOOKUP($A316,'Base SKUs'!$E:$E,'Base SKUs'!I:I),"")</f>
        <v>-</v>
      </c>
      <c r="P316" t="str">
        <f>IFERROR(_xlfn.XLOOKUP($A316,'Base SKUs'!$E:$E,'Base SKUs'!J:J),"")</f>
        <v>2x2</v>
      </c>
      <c r="Q316">
        <f>IFERROR(_xlfn.XLOOKUP($A316,'Base SKUs'!$E:$E,'Base SKUs'!K:K),"")</f>
        <v>10</v>
      </c>
      <c r="R316" s="7">
        <f>IFERROR(_xlfn.XLOOKUP($A316,'Base SKUs'!$E:$E,'Base SKUs'!S:S),"")</f>
        <v>4.4245072800000009E-3</v>
      </c>
      <c r="S316" s="8">
        <f t="shared" si="22"/>
        <v>1.7786519265600003</v>
      </c>
      <c r="T316" s="7">
        <f>IFERROR(_xlfn.XLOOKUP($A316,'Base SKUs'!$E:$E,'Base SKUs'!R:R),"")</f>
        <v>2260.1390000000001</v>
      </c>
      <c r="U316" s="15">
        <f t="shared" si="23"/>
        <v>4020</v>
      </c>
      <c r="V316" t="str">
        <f t="shared" si="24"/>
        <v>New York</v>
      </c>
    </row>
    <row r="317" spans="1:22" x14ac:dyDescent="0.2">
      <c r="A317" t="s">
        <v>563</v>
      </c>
      <c r="B317" s="5">
        <v>359</v>
      </c>
      <c r="C317" s="5">
        <v>0</v>
      </c>
      <c r="D317" s="5">
        <f t="shared" si="20"/>
        <v>359</v>
      </c>
      <c r="E317" s="6">
        <v>8.6395</v>
      </c>
      <c r="F317" s="6">
        <f t="shared" si="21"/>
        <v>3101.5805</v>
      </c>
      <c r="G317" t="s">
        <v>17</v>
      </c>
      <c r="H317">
        <v>9007</v>
      </c>
      <c r="I317" t="str">
        <f>IFERROR(_xlfn.XLOOKUP($A317,'Base SKUs'!$E:$E,'Base SKUs'!A:A),"")</f>
        <v>Ipe</v>
      </c>
      <c r="J317" t="str">
        <f>IFERROR(_xlfn.XLOOKUP($A317,'Base SKUs'!$E:$E,'Base SKUs'!B:B),"")</f>
        <v>Ipe 2x2</v>
      </c>
      <c r="K317" t="str">
        <f>IFERROR(_xlfn.XLOOKUP($A317,'Base SKUs'!$E:$E,'Base SKUs'!C:C),"")</f>
        <v>Long</v>
      </c>
      <c r="L317" t="str">
        <f>IFERROR(_xlfn.XLOOKUP($A317,'Base SKUs'!$E:$E,'Base SKUs'!D:D),"")</f>
        <v>Hardwoods</v>
      </c>
      <c r="M317" t="str">
        <f>IFERROR(_xlfn.XLOOKUP($A317,'Base SKUs'!$E:$E,'Base SKUs'!G:G),"")</f>
        <v>Ipe</v>
      </c>
      <c r="N317" t="str">
        <f>IFERROR(_xlfn.XLOOKUP($A317,'Base SKUs'!$E:$E,'Base SKUs'!H:H),"")</f>
        <v>S4S E4E</v>
      </c>
      <c r="O317" t="str">
        <f>IFERROR(_xlfn.XLOOKUP($A317,'Base SKUs'!$E:$E,'Base SKUs'!I:I),"")</f>
        <v>-</v>
      </c>
      <c r="P317" t="str">
        <f>IFERROR(_xlfn.XLOOKUP($A317,'Base SKUs'!$E:$E,'Base SKUs'!J:J),"")</f>
        <v>2x2</v>
      </c>
      <c r="Q317">
        <f>IFERROR(_xlfn.XLOOKUP($A317,'Base SKUs'!$E:$E,'Base SKUs'!K:K),"")</f>
        <v>12</v>
      </c>
      <c r="R317" s="7">
        <f>IFERROR(_xlfn.XLOOKUP($A317,'Base SKUs'!$E:$E,'Base SKUs'!S:S),"")</f>
        <v>5.3094087360000004E-3</v>
      </c>
      <c r="S317" s="8">
        <f t="shared" si="22"/>
        <v>1.9060777362240002</v>
      </c>
      <c r="T317" s="7">
        <f>IFERROR(_xlfn.XLOOKUP($A317,'Base SKUs'!$E:$E,'Base SKUs'!R:R),"")</f>
        <v>2260.1390000000001</v>
      </c>
      <c r="U317" s="15">
        <f t="shared" si="23"/>
        <v>4308</v>
      </c>
      <c r="V317" t="str">
        <f t="shared" si="24"/>
        <v>Miami</v>
      </c>
    </row>
    <row r="318" spans="1:22" x14ac:dyDescent="0.2">
      <c r="A318" t="s">
        <v>563</v>
      </c>
      <c r="B318" s="5">
        <v>1067</v>
      </c>
      <c r="C318" s="5">
        <v>0</v>
      </c>
      <c r="D318" s="5">
        <f t="shared" si="20"/>
        <v>1067</v>
      </c>
      <c r="E318" s="6">
        <v>12.1828</v>
      </c>
      <c r="F318" s="6">
        <f t="shared" si="21"/>
        <v>12999.0476</v>
      </c>
      <c r="G318" t="s">
        <v>330</v>
      </c>
      <c r="H318">
        <v>9011</v>
      </c>
      <c r="I318" t="str">
        <f>IFERROR(_xlfn.XLOOKUP($A318,'Base SKUs'!$E:$E,'Base SKUs'!A:A),"")</f>
        <v>Ipe</v>
      </c>
      <c r="J318" t="str">
        <f>IFERROR(_xlfn.XLOOKUP($A318,'Base SKUs'!$E:$E,'Base SKUs'!B:B),"")</f>
        <v>Ipe 2x2</v>
      </c>
      <c r="K318" t="str">
        <f>IFERROR(_xlfn.XLOOKUP($A318,'Base SKUs'!$E:$E,'Base SKUs'!C:C),"")</f>
        <v>Long</v>
      </c>
      <c r="L318" t="str">
        <f>IFERROR(_xlfn.XLOOKUP($A318,'Base SKUs'!$E:$E,'Base SKUs'!D:D),"")</f>
        <v>Hardwoods</v>
      </c>
      <c r="M318" t="str">
        <f>IFERROR(_xlfn.XLOOKUP($A318,'Base SKUs'!$E:$E,'Base SKUs'!G:G),"")</f>
        <v>Ipe</v>
      </c>
      <c r="N318" t="str">
        <f>IFERROR(_xlfn.XLOOKUP($A318,'Base SKUs'!$E:$E,'Base SKUs'!H:H),"")</f>
        <v>S4S E4E</v>
      </c>
      <c r="O318" t="str">
        <f>IFERROR(_xlfn.XLOOKUP($A318,'Base SKUs'!$E:$E,'Base SKUs'!I:I),"")</f>
        <v>-</v>
      </c>
      <c r="P318" t="str">
        <f>IFERROR(_xlfn.XLOOKUP($A318,'Base SKUs'!$E:$E,'Base SKUs'!J:J),"")</f>
        <v>2x2</v>
      </c>
      <c r="Q318">
        <f>IFERROR(_xlfn.XLOOKUP($A318,'Base SKUs'!$E:$E,'Base SKUs'!K:K),"")</f>
        <v>12</v>
      </c>
      <c r="R318" s="7">
        <f>IFERROR(_xlfn.XLOOKUP($A318,'Base SKUs'!$E:$E,'Base SKUs'!S:S),"")</f>
        <v>5.3094087360000004E-3</v>
      </c>
      <c r="S318" s="8">
        <f t="shared" si="22"/>
        <v>5.6651391213120004</v>
      </c>
      <c r="T318" s="7">
        <f>IFERROR(_xlfn.XLOOKUP($A318,'Base SKUs'!$E:$E,'Base SKUs'!R:R),"")</f>
        <v>2260.1390000000001</v>
      </c>
      <c r="U318" s="15">
        <f t="shared" si="23"/>
        <v>12804</v>
      </c>
      <c r="V318" t="str">
        <f t="shared" si="24"/>
        <v>New York</v>
      </c>
    </row>
    <row r="319" spans="1:22" x14ac:dyDescent="0.2">
      <c r="A319" t="s">
        <v>565</v>
      </c>
      <c r="B319" s="5">
        <v>562</v>
      </c>
      <c r="C319" s="5">
        <v>0</v>
      </c>
      <c r="D319" s="5">
        <f t="shared" si="20"/>
        <v>562</v>
      </c>
      <c r="E319" s="6">
        <v>12.3454</v>
      </c>
      <c r="F319" s="6">
        <f t="shared" si="21"/>
        <v>6938.1148000000003</v>
      </c>
      <c r="G319" t="s">
        <v>17</v>
      </c>
      <c r="H319">
        <v>9007</v>
      </c>
      <c r="I319" t="str">
        <f>IFERROR(_xlfn.XLOOKUP($A319,'Base SKUs'!$E:$E,'Base SKUs'!A:A),"")</f>
        <v>Ipe</v>
      </c>
      <c r="J319" t="str">
        <f>IFERROR(_xlfn.XLOOKUP($A319,'Base SKUs'!$E:$E,'Base SKUs'!B:B),"")</f>
        <v>Ipe 2x2</v>
      </c>
      <c r="K319" t="str">
        <f>IFERROR(_xlfn.XLOOKUP($A319,'Base SKUs'!$E:$E,'Base SKUs'!C:C),"")</f>
        <v>Long</v>
      </c>
      <c r="L319" t="str">
        <f>IFERROR(_xlfn.XLOOKUP($A319,'Base SKUs'!$E:$E,'Base SKUs'!D:D),"")</f>
        <v>Hardwoods</v>
      </c>
      <c r="M319" t="str">
        <f>IFERROR(_xlfn.XLOOKUP($A319,'Base SKUs'!$E:$E,'Base SKUs'!G:G),"")</f>
        <v>Ipe</v>
      </c>
      <c r="N319" t="str">
        <f>IFERROR(_xlfn.XLOOKUP($A319,'Base SKUs'!$E:$E,'Base SKUs'!H:H),"")</f>
        <v>S4S E4E</v>
      </c>
      <c r="O319" t="str">
        <f>IFERROR(_xlfn.XLOOKUP($A319,'Base SKUs'!$E:$E,'Base SKUs'!I:I),"")</f>
        <v>-</v>
      </c>
      <c r="P319" t="str">
        <f>IFERROR(_xlfn.XLOOKUP($A319,'Base SKUs'!$E:$E,'Base SKUs'!J:J),"")</f>
        <v>2x2</v>
      </c>
      <c r="Q319">
        <f>IFERROR(_xlfn.XLOOKUP($A319,'Base SKUs'!$E:$E,'Base SKUs'!K:K),"")</f>
        <v>14</v>
      </c>
      <c r="R319" s="7">
        <f>IFERROR(_xlfn.XLOOKUP($A319,'Base SKUs'!$E:$E,'Base SKUs'!S:S),"")</f>
        <v>6.1943101920000007E-3</v>
      </c>
      <c r="S319" s="8">
        <f t="shared" si="22"/>
        <v>3.4812023279040005</v>
      </c>
      <c r="T319" s="7">
        <f>IFERROR(_xlfn.XLOOKUP($A319,'Base SKUs'!$E:$E,'Base SKUs'!R:R),"")</f>
        <v>2260.1390000000001</v>
      </c>
      <c r="U319" s="15">
        <f t="shared" si="23"/>
        <v>7868</v>
      </c>
      <c r="V319" t="str">
        <f t="shared" si="24"/>
        <v>Miami</v>
      </c>
    </row>
    <row r="320" spans="1:22" x14ac:dyDescent="0.2">
      <c r="A320" t="s">
        <v>565</v>
      </c>
      <c r="B320" s="5">
        <v>429</v>
      </c>
      <c r="C320" s="5">
        <v>0</v>
      </c>
      <c r="D320" s="5">
        <f t="shared" si="20"/>
        <v>429</v>
      </c>
      <c r="E320" s="6">
        <v>13.824999999999999</v>
      </c>
      <c r="F320" s="6">
        <f t="shared" si="21"/>
        <v>5930.9249999999993</v>
      </c>
      <c r="G320" t="s">
        <v>24</v>
      </c>
      <c r="H320">
        <v>9008</v>
      </c>
      <c r="I320" t="str">
        <f>IFERROR(_xlfn.XLOOKUP($A320,'Base SKUs'!$E:$E,'Base SKUs'!A:A),"")</f>
        <v>Ipe</v>
      </c>
      <c r="J320" t="str">
        <f>IFERROR(_xlfn.XLOOKUP($A320,'Base SKUs'!$E:$E,'Base SKUs'!B:B),"")</f>
        <v>Ipe 2x2</v>
      </c>
      <c r="K320" t="str">
        <f>IFERROR(_xlfn.XLOOKUP($A320,'Base SKUs'!$E:$E,'Base SKUs'!C:C),"")</f>
        <v>Long</v>
      </c>
      <c r="L320" t="str">
        <f>IFERROR(_xlfn.XLOOKUP($A320,'Base SKUs'!$E:$E,'Base SKUs'!D:D),"")</f>
        <v>Hardwoods</v>
      </c>
      <c r="M320" t="str">
        <f>IFERROR(_xlfn.XLOOKUP($A320,'Base SKUs'!$E:$E,'Base SKUs'!G:G),"")</f>
        <v>Ipe</v>
      </c>
      <c r="N320" t="str">
        <f>IFERROR(_xlfn.XLOOKUP($A320,'Base SKUs'!$E:$E,'Base SKUs'!H:H),"")</f>
        <v>S4S E4E</v>
      </c>
      <c r="O320" t="str">
        <f>IFERROR(_xlfn.XLOOKUP($A320,'Base SKUs'!$E:$E,'Base SKUs'!I:I),"")</f>
        <v>-</v>
      </c>
      <c r="P320" t="str">
        <f>IFERROR(_xlfn.XLOOKUP($A320,'Base SKUs'!$E:$E,'Base SKUs'!J:J),"")</f>
        <v>2x2</v>
      </c>
      <c r="Q320">
        <f>IFERROR(_xlfn.XLOOKUP($A320,'Base SKUs'!$E:$E,'Base SKUs'!K:K),"")</f>
        <v>14</v>
      </c>
      <c r="R320" s="7">
        <f>IFERROR(_xlfn.XLOOKUP($A320,'Base SKUs'!$E:$E,'Base SKUs'!S:S),"")</f>
        <v>6.1943101920000007E-3</v>
      </c>
      <c r="S320" s="8">
        <f t="shared" si="22"/>
        <v>2.6573590723680005</v>
      </c>
      <c r="T320" s="7">
        <f>IFERROR(_xlfn.XLOOKUP($A320,'Base SKUs'!$E:$E,'Base SKUs'!R:R),"")</f>
        <v>2260.1390000000001</v>
      </c>
      <c r="U320" s="15">
        <f t="shared" si="23"/>
        <v>6006</v>
      </c>
      <c r="V320" t="str">
        <f t="shared" si="24"/>
        <v>Texas</v>
      </c>
    </row>
    <row r="321" spans="1:22" x14ac:dyDescent="0.2">
      <c r="A321" t="s">
        <v>565</v>
      </c>
      <c r="B321" s="5">
        <v>815</v>
      </c>
      <c r="C321" s="5">
        <v>0</v>
      </c>
      <c r="D321" s="5">
        <f t="shared" si="20"/>
        <v>815</v>
      </c>
      <c r="E321" s="6">
        <v>14.4755</v>
      </c>
      <c r="F321" s="6">
        <f t="shared" si="21"/>
        <v>11797.532499999999</v>
      </c>
      <c r="G321" t="s">
        <v>330</v>
      </c>
      <c r="H321">
        <v>9011</v>
      </c>
      <c r="I321" t="str">
        <f>IFERROR(_xlfn.XLOOKUP($A321,'Base SKUs'!$E:$E,'Base SKUs'!A:A),"")</f>
        <v>Ipe</v>
      </c>
      <c r="J321" t="str">
        <f>IFERROR(_xlfn.XLOOKUP($A321,'Base SKUs'!$E:$E,'Base SKUs'!B:B),"")</f>
        <v>Ipe 2x2</v>
      </c>
      <c r="K321" t="str">
        <f>IFERROR(_xlfn.XLOOKUP($A321,'Base SKUs'!$E:$E,'Base SKUs'!C:C),"")</f>
        <v>Long</v>
      </c>
      <c r="L321" t="str">
        <f>IFERROR(_xlfn.XLOOKUP($A321,'Base SKUs'!$E:$E,'Base SKUs'!D:D),"")</f>
        <v>Hardwoods</v>
      </c>
      <c r="M321" t="str">
        <f>IFERROR(_xlfn.XLOOKUP($A321,'Base SKUs'!$E:$E,'Base SKUs'!G:G),"")</f>
        <v>Ipe</v>
      </c>
      <c r="N321" t="str">
        <f>IFERROR(_xlfn.XLOOKUP($A321,'Base SKUs'!$E:$E,'Base SKUs'!H:H),"")</f>
        <v>S4S E4E</v>
      </c>
      <c r="O321" t="str">
        <f>IFERROR(_xlfn.XLOOKUP($A321,'Base SKUs'!$E:$E,'Base SKUs'!I:I),"")</f>
        <v>-</v>
      </c>
      <c r="P321" t="str">
        <f>IFERROR(_xlfn.XLOOKUP($A321,'Base SKUs'!$E:$E,'Base SKUs'!J:J),"")</f>
        <v>2x2</v>
      </c>
      <c r="Q321">
        <f>IFERROR(_xlfn.XLOOKUP($A321,'Base SKUs'!$E:$E,'Base SKUs'!K:K),"")</f>
        <v>14</v>
      </c>
      <c r="R321" s="7">
        <f>IFERROR(_xlfn.XLOOKUP($A321,'Base SKUs'!$E:$E,'Base SKUs'!S:S),"")</f>
        <v>6.1943101920000007E-3</v>
      </c>
      <c r="S321" s="8">
        <f t="shared" si="22"/>
        <v>5.048362806480001</v>
      </c>
      <c r="T321" s="7">
        <f>IFERROR(_xlfn.XLOOKUP($A321,'Base SKUs'!$E:$E,'Base SKUs'!R:R),"")</f>
        <v>2260.1390000000001</v>
      </c>
      <c r="U321" s="15">
        <f t="shared" si="23"/>
        <v>11410</v>
      </c>
      <c r="V321" t="str">
        <f t="shared" si="24"/>
        <v>New York</v>
      </c>
    </row>
    <row r="322" spans="1:22" x14ac:dyDescent="0.2">
      <c r="A322" t="s">
        <v>567</v>
      </c>
      <c r="B322" s="5">
        <v>153</v>
      </c>
      <c r="C322" s="5">
        <v>0</v>
      </c>
      <c r="D322" s="5">
        <f t="shared" ref="D322:D385" si="25">B322-C322</f>
        <v>153</v>
      </c>
      <c r="E322" s="6">
        <v>14.3988</v>
      </c>
      <c r="F322" s="6">
        <f t="shared" ref="F322:F385" si="26">B322*E322</f>
        <v>2203.0164</v>
      </c>
      <c r="G322" t="s">
        <v>17</v>
      </c>
      <c r="H322">
        <v>9007</v>
      </c>
      <c r="I322" t="str">
        <f>IFERROR(_xlfn.XLOOKUP($A322,'Base SKUs'!$E:$E,'Base SKUs'!A:A),"")</f>
        <v>Ipe</v>
      </c>
      <c r="J322" t="str">
        <f>IFERROR(_xlfn.XLOOKUP($A322,'Base SKUs'!$E:$E,'Base SKUs'!B:B),"")</f>
        <v>Ipe 2x2</v>
      </c>
      <c r="K322" t="str">
        <f>IFERROR(_xlfn.XLOOKUP($A322,'Base SKUs'!$E:$E,'Base SKUs'!C:C),"")</f>
        <v>Long</v>
      </c>
      <c r="L322" t="str">
        <f>IFERROR(_xlfn.XLOOKUP($A322,'Base SKUs'!$E:$E,'Base SKUs'!D:D),"")</f>
        <v>Hardwoods</v>
      </c>
      <c r="M322" t="str">
        <f>IFERROR(_xlfn.XLOOKUP($A322,'Base SKUs'!$E:$E,'Base SKUs'!G:G),"")</f>
        <v>Ipe</v>
      </c>
      <c r="N322" t="str">
        <f>IFERROR(_xlfn.XLOOKUP($A322,'Base SKUs'!$E:$E,'Base SKUs'!H:H),"")</f>
        <v>S4S E4E</v>
      </c>
      <c r="O322" t="str">
        <f>IFERROR(_xlfn.XLOOKUP($A322,'Base SKUs'!$E:$E,'Base SKUs'!I:I),"")</f>
        <v>-</v>
      </c>
      <c r="P322" t="str">
        <f>IFERROR(_xlfn.XLOOKUP($A322,'Base SKUs'!$E:$E,'Base SKUs'!J:J),"")</f>
        <v>2x2</v>
      </c>
      <c r="Q322">
        <f>IFERROR(_xlfn.XLOOKUP($A322,'Base SKUs'!$E:$E,'Base SKUs'!K:K),"")</f>
        <v>16</v>
      </c>
      <c r="R322" s="7">
        <f>IFERROR(_xlfn.XLOOKUP($A322,'Base SKUs'!$E:$E,'Base SKUs'!S:S),"")</f>
        <v>7.0792116480000011E-3</v>
      </c>
      <c r="S322" s="8">
        <f t="shared" ref="S322:S385" si="27">IF(OR(L322="Saicos",L322="Oil",L322="US4",L322="Wood Table",L322="Woca",L322="Norx",N322="Tiles"),D322,D322*R322)</f>
        <v>1.0831193821440002</v>
      </c>
      <c r="T322" s="7">
        <f>IFERROR(_xlfn.XLOOKUP($A322,'Base SKUs'!$E:$E,'Base SKUs'!R:R),"")</f>
        <v>2260.1390000000001</v>
      </c>
      <c r="U322" s="15">
        <f t="shared" ref="U322:U385" si="28">ROUND(IF(OR(L322="Saicos",L322="Oil",L322="US4",L322="Wood Table",L322="Woca",L322="Norx",N322="Tiles"),D322,S322*T322),0)</f>
        <v>2448</v>
      </c>
      <c r="V322" t="str">
        <f t="shared" ref="V322:V385" si="29">IF(H322=9007,"Miami",IF(H322=9008,"Texas",IF(H322=9009,"Boston",IF(H322=9010,"BS Detroit",IF(H322=9011,"New York",IF(H322=9012,"HW Perris",IF(H322=9013,"BS Riverside",IF(H322=9014,"On the Way",IF(H322=9015,"Russin",IF(H322=9016,"Palm Beach",""))))))))))</f>
        <v>Miami</v>
      </c>
    </row>
    <row r="323" spans="1:22" x14ac:dyDescent="0.2">
      <c r="A323" t="s">
        <v>567</v>
      </c>
      <c r="B323" s="5">
        <v>658</v>
      </c>
      <c r="C323" s="5">
        <v>0</v>
      </c>
      <c r="D323" s="5">
        <f t="shared" si="25"/>
        <v>658</v>
      </c>
      <c r="E323" s="6">
        <v>15.8011</v>
      </c>
      <c r="F323" s="6">
        <f t="shared" si="26"/>
        <v>10397.123799999999</v>
      </c>
      <c r="G323" t="s">
        <v>24</v>
      </c>
      <c r="H323">
        <v>9008</v>
      </c>
      <c r="I323" t="str">
        <f>IFERROR(_xlfn.XLOOKUP($A323,'Base SKUs'!$E:$E,'Base SKUs'!A:A),"")</f>
        <v>Ipe</v>
      </c>
      <c r="J323" t="str">
        <f>IFERROR(_xlfn.XLOOKUP($A323,'Base SKUs'!$E:$E,'Base SKUs'!B:B),"")</f>
        <v>Ipe 2x2</v>
      </c>
      <c r="K323" t="str">
        <f>IFERROR(_xlfn.XLOOKUP($A323,'Base SKUs'!$E:$E,'Base SKUs'!C:C),"")</f>
        <v>Long</v>
      </c>
      <c r="L323" t="str">
        <f>IFERROR(_xlfn.XLOOKUP($A323,'Base SKUs'!$E:$E,'Base SKUs'!D:D),"")</f>
        <v>Hardwoods</v>
      </c>
      <c r="M323" t="str">
        <f>IFERROR(_xlfn.XLOOKUP($A323,'Base SKUs'!$E:$E,'Base SKUs'!G:G),"")</f>
        <v>Ipe</v>
      </c>
      <c r="N323" t="str">
        <f>IFERROR(_xlfn.XLOOKUP($A323,'Base SKUs'!$E:$E,'Base SKUs'!H:H),"")</f>
        <v>S4S E4E</v>
      </c>
      <c r="O323" t="str">
        <f>IFERROR(_xlfn.XLOOKUP($A323,'Base SKUs'!$E:$E,'Base SKUs'!I:I),"")</f>
        <v>-</v>
      </c>
      <c r="P323" t="str">
        <f>IFERROR(_xlfn.XLOOKUP($A323,'Base SKUs'!$E:$E,'Base SKUs'!J:J),"")</f>
        <v>2x2</v>
      </c>
      <c r="Q323">
        <f>IFERROR(_xlfn.XLOOKUP($A323,'Base SKUs'!$E:$E,'Base SKUs'!K:K),"")</f>
        <v>16</v>
      </c>
      <c r="R323" s="7">
        <f>IFERROR(_xlfn.XLOOKUP($A323,'Base SKUs'!$E:$E,'Base SKUs'!S:S),"")</f>
        <v>7.0792116480000011E-3</v>
      </c>
      <c r="S323" s="8">
        <f t="shared" si="27"/>
        <v>4.6581212643840004</v>
      </c>
      <c r="T323" s="7">
        <f>IFERROR(_xlfn.XLOOKUP($A323,'Base SKUs'!$E:$E,'Base SKUs'!R:R),"")</f>
        <v>2260.1390000000001</v>
      </c>
      <c r="U323" s="15">
        <f t="shared" si="28"/>
        <v>10528</v>
      </c>
      <c r="V323" t="str">
        <f t="shared" si="29"/>
        <v>Texas</v>
      </c>
    </row>
    <row r="324" spans="1:22" x14ac:dyDescent="0.2">
      <c r="A324" t="s">
        <v>567</v>
      </c>
      <c r="B324" s="5">
        <v>479</v>
      </c>
      <c r="C324" s="5">
        <v>0</v>
      </c>
      <c r="D324" s="5">
        <f t="shared" si="25"/>
        <v>479</v>
      </c>
      <c r="E324" s="6">
        <v>17.016300000000001</v>
      </c>
      <c r="F324" s="6">
        <f t="shared" si="26"/>
        <v>8150.8077000000003</v>
      </c>
      <c r="G324" t="s">
        <v>330</v>
      </c>
      <c r="H324">
        <v>9011</v>
      </c>
      <c r="I324" t="str">
        <f>IFERROR(_xlfn.XLOOKUP($A324,'Base SKUs'!$E:$E,'Base SKUs'!A:A),"")</f>
        <v>Ipe</v>
      </c>
      <c r="J324" t="str">
        <f>IFERROR(_xlfn.XLOOKUP($A324,'Base SKUs'!$E:$E,'Base SKUs'!B:B),"")</f>
        <v>Ipe 2x2</v>
      </c>
      <c r="K324" t="str">
        <f>IFERROR(_xlfn.XLOOKUP($A324,'Base SKUs'!$E:$E,'Base SKUs'!C:C),"")</f>
        <v>Long</v>
      </c>
      <c r="L324" t="str">
        <f>IFERROR(_xlfn.XLOOKUP($A324,'Base SKUs'!$E:$E,'Base SKUs'!D:D),"")</f>
        <v>Hardwoods</v>
      </c>
      <c r="M324" t="str">
        <f>IFERROR(_xlfn.XLOOKUP($A324,'Base SKUs'!$E:$E,'Base SKUs'!G:G),"")</f>
        <v>Ipe</v>
      </c>
      <c r="N324" t="str">
        <f>IFERROR(_xlfn.XLOOKUP($A324,'Base SKUs'!$E:$E,'Base SKUs'!H:H),"")</f>
        <v>S4S E4E</v>
      </c>
      <c r="O324" t="str">
        <f>IFERROR(_xlfn.XLOOKUP($A324,'Base SKUs'!$E:$E,'Base SKUs'!I:I),"")</f>
        <v>-</v>
      </c>
      <c r="P324" t="str">
        <f>IFERROR(_xlfn.XLOOKUP($A324,'Base SKUs'!$E:$E,'Base SKUs'!J:J),"")</f>
        <v>2x2</v>
      </c>
      <c r="Q324">
        <f>IFERROR(_xlfn.XLOOKUP($A324,'Base SKUs'!$E:$E,'Base SKUs'!K:K),"")</f>
        <v>16</v>
      </c>
      <c r="R324" s="7">
        <f>IFERROR(_xlfn.XLOOKUP($A324,'Base SKUs'!$E:$E,'Base SKUs'!S:S),"")</f>
        <v>7.0792116480000011E-3</v>
      </c>
      <c r="S324" s="8">
        <f t="shared" si="27"/>
        <v>3.3909423793920004</v>
      </c>
      <c r="T324" s="7">
        <f>IFERROR(_xlfn.XLOOKUP($A324,'Base SKUs'!$E:$E,'Base SKUs'!R:R),"")</f>
        <v>2260.1390000000001</v>
      </c>
      <c r="U324" s="15">
        <f t="shared" si="28"/>
        <v>7664</v>
      </c>
      <c r="V324" t="str">
        <f t="shared" si="29"/>
        <v>New York</v>
      </c>
    </row>
    <row r="325" spans="1:22" x14ac:dyDescent="0.2">
      <c r="A325" t="s">
        <v>569</v>
      </c>
      <c r="B325" s="5">
        <v>82</v>
      </c>
      <c r="C325" s="5">
        <v>0</v>
      </c>
      <c r="D325" s="5">
        <f t="shared" si="25"/>
        <v>82</v>
      </c>
      <c r="E325" s="6">
        <v>15.8398</v>
      </c>
      <c r="F325" s="6">
        <f t="shared" si="26"/>
        <v>1298.8636000000001</v>
      </c>
      <c r="G325" t="s">
        <v>17</v>
      </c>
      <c r="H325">
        <v>9007</v>
      </c>
      <c r="I325" t="str">
        <f>IFERROR(_xlfn.XLOOKUP($A325,'Base SKUs'!$E:$E,'Base SKUs'!A:A),"")</f>
        <v>Ipe</v>
      </c>
      <c r="J325" t="str">
        <f>IFERROR(_xlfn.XLOOKUP($A325,'Base SKUs'!$E:$E,'Base SKUs'!B:B),"")</f>
        <v>Ipe 2x2</v>
      </c>
      <c r="K325" t="str">
        <f>IFERROR(_xlfn.XLOOKUP($A325,'Base SKUs'!$E:$E,'Base SKUs'!C:C),"")</f>
        <v>Long</v>
      </c>
      <c r="L325" t="str">
        <f>IFERROR(_xlfn.XLOOKUP($A325,'Base SKUs'!$E:$E,'Base SKUs'!D:D),"")</f>
        <v>Hardwoods</v>
      </c>
      <c r="M325" t="str">
        <f>IFERROR(_xlfn.XLOOKUP($A325,'Base SKUs'!$E:$E,'Base SKUs'!G:G),"")</f>
        <v>Ipe</v>
      </c>
      <c r="N325" t="str">
        <f>IFERROR(_xlfn.XLOOKUP($A325,'Base SKUs'!$E:$E,'Base SKUs'!H:H),"")</f>
        <v>S4S E4E</v>
      </c>
      <c r="O325" t="str">
        <f>IFERROR(_xlfn.XLOOKUP($A325,'Base SKUs'!$E:$E,'Base SKUs'!I:I),"")</f>
        <v>-</v>
      </c>
      <c r="P325" t="str">
        <f>IFERROR(_xlfn.XLOOKUP($A325,'Base SKUs'!$E:$E,'Base SKUs'!J:J),"")</f>
        <v>2x2</v>
      </c>
      <c r="Q325">
        <f>IFERROR(_xlfn.XLOOKUP($A325,'Base SKUs'!$E:$E,'Base SKUs'!K:K),"")</f>
        <v>18</v>
      </c>
      <c r="R325" s="7">
        <f>IFERROR(_xlfn.XLOOKUP($A325,'Base SKUs'!$E:$E,'Base SKUs'!S:S),"")</f>
        <v>7.9641131039999997E-3</v>
      </c>
      <c r="S325" s="8">
        <f t="shared" si="27"/>
        <v>0.653057274528</v>
      </c>
      <c r="T325" s="7">
        <f>IFERROR(_xlfn.XLOOKUP($A325,'Base SKUs'!$E:$E,'Base SKUs'!R:R),"")</f>
        <v>2260.1390000000001</v>
      </c>
      <c r="U325" s="15">
        <f t="shared" si="28"/>
        <v>1476</v>
      </c>
      <c r="V325" t="str">
        <f t="shared" si="29"/>
        <v>Miami</v>
      </c>
    </row>
    <row r="326" spans="1:22" x14ac:dyDescent="0.2">
      <c r="A326" t="s">
        <v>569</v>
      </c>
      <c r="B326" s="5">
        <v>451</v>
      </c>
      <c r="C326" s="5">
        <v>0</v>
      </c>
      <c r="D326" s="5">
        <f t="shared" si="25"/>
        <v>451</v>
      </c>
      <c r="E326" s="6">
        <v>17.766400000000001</v>
      </c>
      <c r="F326" s="6">
        <f t="shared" si="26"/>
        <v>8012.6464000000005</v>
      </c>
      <c r="G326" t="s">
        <v>24</v>
      </c>
      <c r="H326">
        <v>9008</v>
      </c>
      <c r="I326" t="str">
        <f>IFERROR(_xlfn.XLOOKUP($A326,'Base SKUs'!$E:$E,'Base SKUs'!A:A),"")</f>
        <v>Ipe</v>
      </c>
      <c r="J326" t="str">
        <f>IFERROR(_xlfn.XLOOKUP($A326,'Base SKUs'!$E:$E,'Base SKUs'!B:B),"")</f>
        <v>Ipe 2x2</v>
      </c>
      <c r="K326" t="str">
        <f>IFERROR(_xlfn.XLOOKUP($A326,'Base SKUs'!$E:$E,'Base SKUs'!C:C),"")</f>
        <v>Long</v>
      </c>
      <c r="L326" t="str">
        <f>IFERROR(_xlfn.XLOOKUP($A326,'Base SKUs'!$E:$E,'Base SKUs'!D:D),"")</f>
        <v>Hardwoods</v>
      </c>
      <c r="M326" t="str">
        <f>IFERROR(_xlfn.XLOOKUP($A326,'Base SKUs'!$E:$E,'Base SKUs'!G:G),"")</f>
        <v>Ipe</v>
      </c>
      <c r="N326" t="str">
        <f>IFERROR(_xlfn.XLOOKUP($A326,'Base SKUs'!$E:$E,'Base SKUs'!H:H),"")</f>
        <v>S4S E4E</v>
      </c>
      <c r="O326" t="str">
        <f>IFERROR(_xlfn.XLOOKUP($A326,'Base SKUs'!$E:$E,'Base SKUs'!I:I),"")</f>
        <v>-</v>
      </c>
      <c r="P326" t="str">
        <f>IFERROR(_xlfn.XLOOKUP($A326,'Base SKUs'!$E:$E,'Base SKUs'!J:J),"")</f>
        <v>2x2</v>
      </c>
      <c r="Q326">
        <f>IFERROR(_xlfn.XLOOKUP($A326,'Base SKUs'!$E:$E,'Base SKUs'!K:K),"")</f>
        <v>18</v>
      </c>
      <c r="R326" s="7">
        <f>IFERROR(_xlfn.XLOOKUP($A326,'Base SKUs'!$E:$E,'Base SKUs'!S:S),"")</f>
        <v>7.9641131039999997E-3</v>
      </c>
      <c r="S326" s="8">
        <f t="shared" si="27"/>
        <v>3.5918150099039998</v>
      </c>
      <c r="T326" s="7">
        <f>IFERROR(_xlfn.XLOOKUP($A326,'Base SKUs'!$E:$E,'Base SKUs'!R:R),"")</f>
        <v>2260.1390000000001</v>
      </c>
      <c r="U326" s="15">
        <f t="shared" si="28"/>
        <v>8118</v>
      </c>
      <c r="V326" t="str">
        <f t="shared" si="29"/>
        <v>Texas</v>
      </c>
    </row>
    <row r="327" spans="1:22" x14ac:dyDescent="0.2">
      <c r="A327" t="s">
        <v>569</v>
      </c>
      <c r="B327" s="5">
        <v>768</v>
      </c>
      <c r="C327" s="5">
        <v>0</v>
      </c>
      <c r="D327" s="5">
        <f t="shared" si="25"/>
        <v>768</v>
      </c>
      <c r="E327" s="6">
        <v>19.525200000000002</v>
      </c>
      <c r="F327" s="6">
        <f t="shared" si="26"/>
        <v>14995.353600000002</v>
      </c>
      <c r="G327" t="s">
        <v>330</v>
      </c>
      <c r="H327">
        <v>9011</v>
      </c>
      <c r="I327" t="str">
        <f>IFERROR(_xlfn.XLOOKUP($A327,'Base SKUs'!$E:$E,'Base SKUs'!A:A),"")</f>
        <v>Ipe</v>
      </c>
      <c r="J327" t="str">
        <f>IFERROR(_xlfn.XLOOKUP($A327,'Base SKUs'!$E:$E,'Base SKUs'!B:B),"")</f>
        <v>Ipe 2x2</v>
      </c>
      <c r="K327" t="str">
        <f>IFERROR(_xlfn.XLOOKUP($A327,'Base SKUs'!$E:$E,'Base SKUs'!C:C),"")</f>
        <v>Long</v>
      </c>
      <c r="L327" t="str">
        <f>IFERROR(_xlfn.XLOOKUP($A327,'Base SKUs'!$E:$E,'Base SKUs'!D:D),"")</f>
        <v>Hardwoods</v>
      </c>
      <c r="M327" t="str">
        <f>IFERROR(_xlfn.XLOOKUP($A327,'Base SKUs'!$E:$E,'Base SKUs'!G:G),"")</f>
        <v>Ipe</v>
      </c>
      <c r="N327" t="str">
        <f>IFERROR(_xlfn.XLOOKUP($A327,'Base SKUs'!$E:$E,'Base SKUs'!H:H),"")</f>
        <v>S4S E4E</v>
      </c>
      <c r="O327" t="str">
        <f>IFERROR(_xlfn.XLOOKUP($A327,'Base SKUs'!$E:$E,'Base SKUs'!I:I),"")</f>
        <v>-</v>
      </c>
      <c r="P327" t="str">
        <f>IFERROR(_xlfn.XLOOKUP($A327,'Base SKUs'!$E:$E,'Base SKUs'!J:J),"")</f>
        <v>2x2</v>
      </c>
      <c r="Q327">
        <f>IFERROR(_xlfn.XLOOKUP($A327,'Base SKUs'!$E:$E,'Base SKUs'!K:K),"")</f>
        <v>18</v>
      </c>
      <c r="R327" s="7">
        <f>IFERROR(_xlfn.XLOOKUP($A327,'Base SKUs'!$E:$E,'Base SKUs'!S:S),"")</f>
        <v>7.9641131039999997E-3</v>
      </c>
      <c r="S327" s="8">
        <f t="shared" si="27"/>
        <v>6.1164388638720002</v>
      </c>
      <c r="T327" s="7">
        <f>IFERROR(_xlfn.XLOOKUP($A327,'Base SKUs'!$E:$E,'Base SKUs'!R:R),"")</f>
        <v>2260.1390000000001</v>
      </c>
      <c r="U327" s="15">
        <f t="shared" si="28"/>
        <v>13824</v>
      </c>
      <c r="V327" t="str">
        <f t="shared" si="29"/>
        <v>New York</v>
      </c>
    </row>
    <row r="328" spans="1:22" x14ac:dyDescent="0.2">
      <c r="A328" t="s">
        <v>571</v>
      </c>
      <c r="B328" s="5">
        <v>73</v>
      </c>
      <c r="C328" s="5">
        <v>0</v>
      </c>
      <c r="D328" s="5">
        <f t="shared" si="25"/>
        <v>73</v>
      </c>
      <c r="E328" s="6">
        <v>14.3992</v>
      </c>
      <c r="F328" s="6">
        <f t="shared" si="26"/>
        <v>1051.1415999999999</v>
      </c>
      <c r="G328" t="s">
        <v>17</v>
      </c>
      <c r="H328">
        <v>9007</v>
      </c>
      <c r="I328" t="str">
        <f>IFERROR(_xlfn.XLOOKUP($A328,'Base SKUs'!$E:$E,'Base SKUs'!A:A),"")</f>
        <v>Ipe</v>
      </c>
      <c r="J328" t="str">
        <f>IFERROR(_xlfn.XLOOKUP($A328,'Base SKUs'!$E:$E,'Base SKUs'!B:B),"")</f>
        <v>Ipe 2x2</v>
      </c>
      <c r="K328" t="str">
        <f>IFERROR(_xlfn.XLOOKUP($A328,'Base SKUs'!$E:$E,'Base SKUs'!C:C),"")</f>
        <v>Long</v>
      </c>
      <c r="L328" t="str">
        <f>IFERROR(_xlfn.XLOOKUP($A328,'Base SKUs'!$E:$E,'Base SKUs'!D:D),"")</f>
        <v>Hardwoods</v>
      </c>
      <c r="M328" t="str">
        <f>IFERROR(_xlfn.XLOOKUP($A328,'Base SKUs'!$E:$E,'Base SKUs'!G:G),"")</f>
        <v>Ipe</v>
      </c>
      <c r="N328" t="str">
        <f>IFERROR(_xlfn.XLOOKUP($A328,'Base SKUs'!$E:$E,'Base SKUs'!H:H),"")</f>
        <v>S4S E4E</v>
      </c>
      <c r="O328" t="str">
        <f>IFERROR(_xlfn.XLOOKUP($A328,'Base SKUs'!$E:$E,'Base SKUs'!I:I),"")</f>
        <v>-</v>
      </c>
      <c r="P328" t="str">
        <f>IFERROR(_xlfn.XLOOKUP($A328,'Base SKUs'!$E:$E,'Base SKUs'!J:J),"")</f>
        <v>2x2</v>
      </c>
      <c r="Q328">
        <f>IFERROR(_xlfn.XLOOKUP($A328,'Base SKUs'!$E:$E,'Base SKUs'!K:K),"")</f>
        <v>20</v>
      </c>
      <c r="R328" s="7">
        <f>IFERROR(_xlfn.XLOOKUP($A328,'Base SKUs'!$E:$E,'Base SKUs'!S:S),"")</f>
        <v>8.8490145600000018E-3</v>
      </c>
      <c r="S328" s="8">
        <f t="shared" si="27"/>
        <v>0.64597806288000015</v>
      </c>
      <c r="T328" s="7">
        <f>IFERROR(_xlfn.XLOOKUP($A328,'Base SKUs'!$E:$E,'Base SKUs'!R:R),"")</f>
        <v>2260.1390000000001</v>
      </c>
      <c r="U328" s="15">
        <f t="shared" si="28"/>
        <v>1460</v>
      </c>
      <c r="V328" t="str">
        <f t="shared" si="29"/>
        <v>Miami</v>
      </c>
    </row>
    <row r="329" spans="1:22" x14ac:dyDescent="0.2">
      <c r="A329" t="s">
        <v>571</v>
      </c>
      <c r="B329" s="5">
        <v>65</v>
      </c>
      <c r="C329" s="5">
        <v>0</v>
      </c>
      <c r="D329" s="5">
        <f t="shared" si="25"/>
        <v>65</v>
      </c>
      <c r="E329" s="6">
        <v>19.721</v>
      </c>
      <c r="F329" s="6">
        <f t="shared" si="26"/>
        <v>1281.865</v>
      </c>
      <c r="G329" t="s">
        <v>24</v>
      </c>
      <c r="H329">
        <v>9008</v>
      </c>
      <c r="I329" t="str">
        <f>IFERROR(_xlfn.XLOOKUP($A329,'Base SKUs'!$E:$E,'Base SKUs'!A:A),"")</f>
        <v>Ipe</v>
      </c>
      <c r="J329" t="str">
        <f>IFERROR(_xlfn.XLOOKUP($A329,'Base SKUs'!$E:$E,'Base SKUs'!B:B),"")</f>
        <v>Ipe 2x2</v>
      </c>
      <c r="K329" t="str">
        <f>IFERROR(_xlfn.XLOOKUP($A329,'Base SKUs'!$E:$E,'Base SKUs'!C:C),"")</f>
        <v>Long</v>
      </c>
      <c r="L329" t="str">
        <f>IFERROR(_xlfn.XLOOKUP($A329,'Base SKUs'!$E:$E,'Base SKUs'!D:D),"")</f>
        <v>Hardwoods</v>
      </c>
      <c r="M329" t="str">
        <f>IFERROR(_xlfn.XLOOKUP($A329,'Base SKUs'!$E:$E,'Base SKUs'!G:G),"")</f>
        <v>Ipe</v>
      </c>
      <c r="N329" t="str">
        <f>IFERROR(_xlfn.XLOOKUP($A329,'Base SKUs'!$E:$E,'Base SKUs'!H:H),"")</f>
        <v>S4S E4E</v>
      </c>
      <c r="O329" t="str">
        <f>IFERROR(_xlfn.XLOOKUP($A329,'Base SKUs'!$E:$E,'Base SKUs'!I:I),"")</f>
        <v>-</v>
      </c>
      <c r="P329" t="str">
        <f>IFERROR(_xlfn.XLOOKUP($A329,'Base SKUs'!$E:$E,'Base SKUs'!J:J),"")</f>
        <v>2x2</v>
      </c>
      <c r="Q329">
        <f>IFERROR(_xlfn.XLOOKUP($A329,'Base SKUs'!$E:$E,'Base SKUs'!K:K),"")</f>
        <v>20</v>
      </c>
      <c r="R329" s="7">
        <f>IFERROR(_xlfn.XLOOKUP($A329,'Base SKUs'!$E:$E,'Base SKUs'!S:S),"")</f>
        <v>8.8490145600000018E-3</v>
      </c>
      <c r="S329" s="8">
        <f t="shared" si="27"/>
        <v>0.57518594640000009</v>
      </c>
      <c r="T329" s="7">
        <f>IFERROR(_xlfn.XLOOKUP($A329,'Base SKUs'!$E:$E,'Base SKUs'!R:R),"")</f>
        <v>2260.1390000000001</v>
      </c>
      <c r="U329" s="15">
        <f t="shared" si="28"/>
        <v>1300</v>
      </c>
      <c r="V329" t="str">
        <f t="shared" si="29"/>
        <v>Texas</v>
      </c>
    </row>
    <row r="330" spans="1:22" x14ac:dyDescent="0.2">
      <c r="A330" t="s">
        <v>573</v>
      </c>
      <c r="B330" s="5">
        <v>3727</v>
      </c>
      <c r="C330" s="5">
        <v>0</v>
      </c>
      <c r="D330" s="5">
        <f t="shared" si="25"/>
        <v>3727</v>
      </c>
      <c r="E330" s="6">
        <v>1.3601000000000001</v>
      </c>
      <c r="F330" s="6">
        <f t="shared" si="26"/>
        <v>5069.0927000000001</v>
      </c>
      <c r="G330" t="s">
        <v>330</v>
      </c>
      <c r="H330">
        <v>9011</v>
      </c>
      <c r="I330" t="str">
        <f>IFERROR(_xlfn.XLOOKUP($A330,'Base SKUs'!$E:$E,'Base SKUs'!A:A),"")</f>
        <v>Ipe</v>
      </c>
      <c r="J330" t="str">
        <f>IFERROR(_xlfn.XLOOKUP($A330,'Base SKUs'!$E:$E,'Base SKUs'!B:B),"")</f>
        <v>Ipe 2x2</v>
      </c>
      <c r="K330" t="str">
        <f>IFERROR(_xlfn.XLOOKUP($A330,'Base SKUs'!$E:$E,'Base SKUs'!C:C),"")</f>
        <v>Short</v>
      </c>
      <c r="L330" t="str">
        <f>IFERROR(_xlfn.XLOOKUP($A330,'Base SKUs'!$E:$E,'Base SKUs'!D:D),"")</f>
        <v>Hardwoods</v>
      </c>
      <c r="M330" t="str">
        <f>IFERROR(_xlfn.XLOOKUP($A330,'Base SKUs'!$E:$E,'Base SKUs'!G:G),"")</f>
        <v>Ipe</v>
      </c>
      <c r="N330" t="str">
        <f>IFERROR(_xlfn.XLOOKUP($A330,'Base SKUs'!$E:$E,'Base SKUs'!H:H),"")</f>
        <v>S4S E4E</v>
      </c>
      <c r="O330" t="str">
        <f>IFERROR(_xlfn.XLOOKUP($A330,'Base SKUs'!$E:$E,'Base SKUs'!I:I),"")</f>
        <v>-</v>
      </c>
      <c r="P330" t="str">
        <f>IFERROR(_xlfn.XLOOKUP($A330,'Base SKUs'!$E:$E,'Base SKUs'!J:J),"")</f>
        <v>2x2</v>
      </c>
      <c r="Q330">
        <f>IFERROR(_xlfn.XLOOKUP($A330,'Base SKUs'!$E:$E,'Base SKUs'!K:K),"")</f>
        <v>3</v>
      </c>
      <c r="R330" s="7">
        <f>IFERROR(_xlfn.XLOOKUP($A330,'Base SKUs'!$E:$E,'Base SKUs'!S:S),"")</f>
        <v>1.3273521840000001E-3</v>
      </c>
      <c r="S330" s="8">
        <f t="shared" si="27"/>
        <v>4.9470415897680002</v>
      </c>
      <c r="T330" s="7">
        <f>IFERROR(_xlfn.XLOOKUP($A330,'Base SKUs'!$E:$E,'Base SKUs'!R:R),"")</f>
        <v>2260.1390000000001</v>
      </c>
      <c r="U330" s="15">
        <f t="shared" si="28"/>
        <v>11181</v>
      </c>
      <c r="V330" t="str">
        <f t="shared" si="29"/>
        <v>New York</v>
      </c>
    </row>
    <row r="331" spans="1:22" x14ac:dyDescent="0.2">
      <c r="A331" t="s">
        <v>575</v>
      </c>
      <c r="B331" s="5">
        <v>1128</v>
      </c>
      <c r="C331" s="5">
        <v>0</v>
      </c>
      <c r="D331" s="5">
        <f t="shared" si="25"/>
        <v>1128</v>
      </c>
      <c r="E331" s="6">
        <v>1.7689999999999999</v>
      </c>
      <c r="F331" s="6">
        <f t="shared" si="26"/>
        <v>1995.4319999999998</v>
      </c>
      <c r="G331" t="s">
        <v>330</v>
      </c>
      <c r="H331">
        <v>9011</v>
      </c>
      <c r="I331" t="str">
        <f>IFERROR(_xlfn.XLOOKUP($A331,'Base SKUs'!$E:$E,'Base SKUs'!A:A),"")</f>
        <v>Ipe</v>
      </c>
      <c r="J331" t="str">
        <f>IFERROR(_xlfn.XLOOKUP($A331,'Base SKUs'!$E:$E,'Base SKUs'!B:B),"")</f>
        <v>Ipe 2x2</v>
      </c>
      <c r="K331" t="str">
        <f>IFERROR(_xlfn.XLOOKUP($A331,'Base SKUs'!$E:$E,'Base SKUs'!C:C),"")</f>
        <v>Short</v>
      </c>
      <c r="L331" t="str">
        <f>IFERROR(_xlfn.XLOOKUP($A331,'Base SKUs'!$E:$E,'Base SKUs'!D:D),"")</f>
        <v>Hardwoods</v>
      </c>
      <c r="M331" t="str">
        <f>IFERROR(_xlfn.XLOOKUP($A331,'Base SKUs'!$E:$E,'Base SKUs'!G:G),"")</f>
        <v>Ipe</v>
      </c>
      <c r="N331" t="str">
        <f>IFERROR(_xlfn.XLOOKUP($A331,'Base SKUs'!$E:$E,'Base SKUs'!H:H),"")</f>
        <v>S4S E4E</v>
      </c>
      <c r="O331" t="str">
        <f>IFERROR(_xlfn.XLOOKUP($A331,'Base SKUs'!$E:$E,'Base SKUs'!I:I),"")</f>
        <v>-</v>
      </c>
      <c r="P331" t="str">
        <f>IFERROR(_xlfn.XLOOKUP($A331,'Base SKUs'!$E:$E,'Base SKUs'!J:J),"")</f>
        <v>2x2</v>
      </c>
      <c r="Q331">
        <f>IFERROR(_xlfn.XLOOKUP($A331,'Base SKUs'!$E:$E,'Base SKUs'!K:K),"")</f>
        <v>4</v>
      </c>
      <c r="R331" s="7">
        <f>IFERROR(_xlfn.XLOOKUP($A331,'Base SKUs'!$E:$E,'Base SKUs'!S:S),"")</f>
        <v>1.7698029120000003E-3</v>
      </c>
      <c r="S331" s="8">
        <f t="shared" si="27"/>
        <v>1.9963376847360004</v>
      </c>
      <c r="T331" s="7">
        <f>IFERROR(_xlfn.XLOOKUP($A331,'Base SKUs'!$E:$E,'Base SKUs'!R:R),"")</f>
        <v>2260.1390000000001</v>
      </c>
      <c r="U331" s="15">
        <f t="shared" si="28"/>
        <v>4512</v>
      </c>
      <c r="V331" t="str">
        <f t="shared" si="29"/>
        <v>New York</v>
      </c>
    </row>
    <row r="332" spans="1:22" x14ac:dyDescent="0.2">
      <c r="A332" t="s">
        <v>577</v>
      </c>
      <c r="B332" s="5">
        <v>988</v>
      </c>
      <c r="C332" s="5">
        <v>0</v>
      </c>
      <c r="D332" s="5">
        <f t="shared" si="25"/>
        <v>988</v>
      </c>
      <c r="E332" s="6">
        <v>2.2130999999999998</v>
      </c>
      <c r="F332" s="6">
        <f t="shared" si="26"/>
        <v>2186.5427999999997</v>
      </c>
      <c r="G332" t="s">
        <v>330</v>
      </c>
      <c r="H332">
        <v>9011</v>
      </c>
      <c r="I332" t="str">
        <f>IFERROR(_xlfn.XLOOKUP($A332,'Base SKUs'!$E:$E,'Base SKUs'!A:A),"")</f>
        <v>Ipe</v>
      </c>
      <c r="J332" t="str">
        <f>IFERROR(_xlfn.XLOOKUP($A332,'Base SKUs'!$E:$E,'Base SKUs'!B:B),"")</f>
        <v>Ipe 2x2</v>
      </c>
      <c r="K332" t="str">
        <f>IFERROR(_xlfn.XLOOKUP($A332,'Base SKUs'!$E:$E,'Base SKUs'!C:C),"")</f>
        <v>Short</v>
      </c>
      <c r="L332" t="str">
        <f>IFERROR(_xlfn.XLOOKUP($A332,'Base SKUs'!$E:$E,'Base SKUs'!D:D),"")</f>
        <v>Hardwoods</v>
      </c>
      <c r="M332" t="str">
        <f>IFERROR(_xlfn.XLOOKUP($A332,'Base SKUs'!$E:$E,'Base SKUs'!G:G),"")</f>
        <v>Ipe</v>
      </c>
      <c r="N332" t="str">
        <f>IFERROR(_xlfn.XLOOKUP($A332,'Base SKUs'!$E:$E,'Base SKUs'!H:H),"")</f>
        <v>S4S E4E</v>
      </c>
      <c r="O332" t="str">
        <f>IFERROR(_xlfn.XLOOKUP($A332,'Base SKUs'!$E:$E,'Base SKUs'!I:I),"")</f>
        <v>-</v>
      </c>
      <c r="P332" t="str">
        <f>IFERROR(_xlfn.XLOOKUP($A332,'Base SKUs'!$E:$E,'Base SKUs'!J:J),"")</f>
        <v>2x2</v>
      </c>
      <c r="Q332">
        <f>IFERROR(_xlfn.XLOOKUP($A332,'Base SKUs'!$E:$E,'Base SKUs'!K:K),"")</f>
        <v>5</v>
      </c>
      <c r="R332" s="7">
        <f>IFERROR(_xlfn.XLOOKUP($A332,'Base SKUs'!$E:$E,'Base SKUs'!S:S),"")</f>
        <v>2.2122536400000004E-3</v>
      </c>
      <c r="S332" s="8">
        <f t="shared" si="27"/>
        <v>2.1857065963200006</v>
      </c>
      <c r="T332" s="7">
        <f>IFERROR(_xlfn.XLOOKUP($A332,'Base SKUs'!$E:$E,'Base SKUs'!R:R),"")</f>
        <v>2260.1390000000001</v>
      </c>
      <c r="U332" s="15">
        <f t="shared" si="28"/>
        <v>4940</v>
      </c>
      <c r="V332" t="str">
        <f t="shared" si="29"/>
        <v>New York</v>
      </c>
    </row>
    <row r="333" spans="1:22" x14ac:dyDescent="0.2">
      <c r="A333" t="s">
        <v>579</v>
      </c>
      <c r="B333" s="5">
        <v>1077</v>
      </c>
      <c r="C333" s="5">
        <v>0</v>
      </c>
      <c r="D333" s="5">
        <f t="shared" si="25"/>
        <v>1077</v>
      </c>
      <c r="E333" s="6">
        <v>4.3197000000000001</v>
      </c>
      <c r="F333" s="6">
        <f t="shared" si="26"/>
        <v>4652.3168999999998</v>
      </c>
      <c r="G333" t="s">
        <v>17</v>
      </c>
      <c r="H333">
        <v>9007</v>
      </c>
      <c r="I333" t="str">
        <f>IFERROR(_xlfn.XLOOKUP($A333,'Base SKUs'!$E:$E,'Base SKUs'!A:A),"")</f>
        <v>Ipe</v>
      </c>
      <c r="J333" t="str">
        <f>IFERROR(_xlfn.XLOOKUP($A333,'Base SKUs'!$E:$E,'Base SKUs'!B:B),"")</f>
        <v>Ipe 2x2</v>
      </c>
      <c r="K333" t="str">
        <f>IFERROR(_xlfn.XLOOKUP($A333,'Base SKUs'!$E:$E,'Base SKUs'!C:C),"")</f>
        <v>Short</v>
      </c>
      <c r="L333" t="str">
        <f>IFERROR(_xlfn.XLOOKUP($A333,'Base SKUs'!$E:$E,'Base SKUs'!D:D),"")</f>
        <v>Hardwoods</v>
      </c>
      <c r="M333" t="str">
        <f>IFERROR(_xlfn.XLOOKUP($A333,'Base SKUs'!$E:$E,'Base SKUs'!G:G),"")</f>
        <v>Ipe</v>
      </c>
      <c r="N333" t="str">
        <f>IFERROR(_xlfn.XLOOKUP($A333,'Base SKUs'!$E:$E,'Base SKUs'!H:H),"")</f>
        <v>S4S E4E</v>
      </c>
      <c r="O333" t="str">
        <f>IFERROR(_xlfn.XLOOKUP($A333,'Base SKUs'!$E:$E,'Base SKUs'!I:I),"")</f>
        <v>-</v>
      </c>
      <c r="P333" t="str">
        <f>IFERROR(_xlfn.XLOOKUP($A333,'Base SKUs'!$E:$E,'Base SKUs'!J:J),"")</f>
        <v>2x2</v>
      </c>
      <c r="Q333">
        <f>IFERROR(_xlfn.XLOOKUP($A333,'Base SKUs'!$E:$E,'Base SKUs'!K:K),"")</f>
        <v>6</v>
      </c>
      <c r="R333" s="7">
        <f>IFERROR(_xlfn.XLOOKUP($A333,'Base SKUs'!$E:$E,'Base SKUs'!S:S),"")</f>
        <v>2.6547043680000002E-3</v>
      </c>
      <c r="S333" s="8">
        <f t="shared" si="27"/>
        <v>2.8591166043360001</v>
      </c>
      <c r="T333" s="7">
        <f>IFERROR(_xlfn.XLOOKUP($A333,'Base SKUs'!$E:$E,'Base SKUs'!R:R),"")</f>
        <v>2260.1390000000001</v>
      </c>
      <c r="U333" s="15">
        <f t="shared" si="28"/>
        <v>6462</v>
      </c>
      <c r="V333" t="str">
        <f t="shared" si="29"/>
        <v>Miami</v>
      </c>
    </row>
    <row r="334" spans="1:22" x14ac:dyDescent="0.2">
      <c r="A334" t="s">
        <v>579</v>
      </c>
      <c r="B334" s="5">
        <v>2228</v>
      </c>
      <c r="C334" s="5">
        <v>0</v>
      </c>
      <c r="D334" s="5">
        <f t="shared" si="25"/>
        <v>2228</v>
      </c>
      <c r="E334" s="6">
        <v>2.6876000000000002</v>
      </c>
      <c r="F334" s="6">
        <f t="shared" si="26"/>
        <v>5987.9728000000005</v>
      </c>
      <c r="G334" t="s">
        <v>330</v>
      </c>
      <c r="H334">
        <v>9011</v>
      </c>
      <c r="I334" t="str">
        <f>IFERROR(_xlfn.XLOOKUP($A334,'Base SKUs'!$E:$E,'Base SKUs'!A:A),"")</f>
        <v>Ipe</v>
      </c>
      <c r="J334" t="str">
        <f>IFERROR(_xlfn.XLOOKUP($A334,'Base SKUs'!$E:$E,'Base SKUs'!B:B),"")</f>
        <v>Ipe 2x2</v>
      </c>
      <c r="K334" t="str">
        <f>IFERROR(_xlfn.XLOOKUP($A334,'Base SKUs'!$E:$E,'Base SKUs'!C:C),"")</f>
        <v>Short</v>
      </c>
      <c r="L334" t="str">
        <f>IFERROR(_xlfn.XLOOKUP($A334,'Base SKUs'!$E:$E,'Base SKUs'!D:D),"")</f>
        <v>Hardwoods</v>
      </c>
      <c r="M334" t="str">
        <f>IFERROR(_xlfn.XLOOKUP($A334,'Base SKUs'!$E:$E,'Base SKUs'!G:G),"")</f>
        <v>Ipe</v>
      </c>
      <c r="N334" t="str">
        <f>IFERROR(_xlfn.XLOOKUP($A334,'Base SKUs'!$E:$E,'Base SKUs'!H:H),"")</f>
        <v>S4S E4E</v>
      </c>
      <c r="O334" t="str">
        <f>IFERROR(_xlfn.XLOOKUP($A334,'Base SKUs'!$E:$E,'Base SKUs'!I:I),"")</f>
        <v>-</v>
      </c>
      <c r="P334" t="str">
        <f>IFERROR(_xlfn.XLOOKUP($A334,'Base SKUs'!$E:$E,'Base SKUs'!J:J),"")</f>
        <v>2x2</v>
      </c>
      <c r="Q334">
        <f>IFERROR(_xlfn.XLOOKUP($A334,'Base SKUs'!$E:$E,'Base SKUs'!K:K),"")</f>
        <v>6</v>
      </c>
      <c r="R334" s="7">
        <f>IFERROR(_xlfn.XLOOKUP($A334,'Base SKUs'!$E:$E,'Base SKUs'!S:S),"")</f>
        <v>2.6547043680000002E-3</v>
      </c>
      <c r="S334" s="8">
        <f t="shared" si="27"/>
        <v>5.9146813319040001</v>
      </c>
      <c r="T334" s="7">
        <f>IFERROR(_xlfn.XLOOKUP($A334,'Base SKUs'!$E:$E,'Base SKUs'!R:R),"")</f>
        <v>2260.1390000000001</v>
      </c>
      <c r="U334" s="15">
        <f t="shared" si="28"/>
        <v>13368</v>
      </c>
      <c r="V334" t="str">
        <f t="shared" si="29"/>
        <v>New York</v>
      </c>
    </row>
    <row r="335" spans="1:22" x14ac:dyDescent="0.2">
      <c r="A335" t="s">
        <v>581</v>
      </c>
      <c r="B335" s="5">
        <v>834</v>
      </c>
      <c r="C335" s="5">
        <v>0</v>
      </c>
      <c r="D335" s="5">
        <f t="shared" si="25"/>
        <v>834</v>
      </c>
      <c r="E335" s="6">
        <v>5.0396999999999998</v>
      </c>
      <c r="F335" s="6">
        <f t="shared" si="26"/>
        <v>4203.1098000000002</v>
      </c>
      <c r="G335" t="s">
        <v>17</v>
      </c>
      <c r="H335">
        <v>9007</v>
      </c>
      <c r="I335" t="str">
        <f>IFERROR(_xlfn.XLOOKUP($A335,'Base SKUs'!$E:$E,'Base SKUs'!A:A),"")</f>
        <v>Ipe</v>
      </c>
      <c r="J335" t="str">
        <f>IFERROR(_xlfn.XLOOKUP($A335,'Base SKUs'!$E:$E,'Base SKUs'!B:B),"")</f>
        <v>Ipe 2x2</v>
      </c>
      <c r="K335" t="str">
        <f>IFERROR(_xlfn.XLOOKUP($A335,'Base SKUs'!$E:$E,'Base SKUs'!C:C),"")</f>
        <v>Short</v>
      </c>
      <c r="L335" t="str">
        <f>IFERROR(_xlfn.XLOOKUP($A335,'Base SKUs'!$E:$E,'Base SKUs'!D:D),"")</f>
        <v>Hardwoods</v>
      </c>
      <c r="M335" t="str">
        <f>IFERROR(_xlfn.XLOOKUP($A335,'Base SKUs'!$E:$E,'Base SKUs'!G:G),"")</f>
        <v>Ipe</v>
      </c>
      <c r="N335" t="str">
        <f>IFERROR(_xlfn.XLOOKUP($A335,'Base SKUs'!$E:$E,'Base SKUs'!H:H),"")</f>
        <v>S4S E4E</v>
      </c>
      <c r="O335" t="str">
        <f>IFERROR(_xlfn.XLOOKUP($A335,'Base SKUs'!$E:$E,'Base SKUs'!I:I),"")</f>
        <v>-</v>
      </c>
      <c r="P335" t="str">
        <f>IFERROR(_xlfn.XLOOKUP($A335,'Base SKUs'!$E:$E,'Base SKUs'!J:J),"")</f>
        <v>2x2</v>
      </c>
      <c r="Q335">
        <f>IFERROR(_xlfn.XLOOKUP($A335,'Base SKUs'!$E:$E,'Base SKUs'!K:K),"")</f>
        <v>7</v>
      </c>
      <c r="R335" s="7">
        <f>IFERROR(_xlfn.XLOOKUP($A335,'Base SKUs'!$E:$E,'Base SKUs'!S:S),"")</f>
        <v>3.0971550960000004E-3</v>
      </c>
      <c r="S335" s="8">
        <f t="shared" si="27"/>
        <v>2.5830273500640004</v>
      </c>
      <c r="T335" s="7">
        <f>IFERROR(_xlfn.XLOOKUP($A335,'Base SKUs'!$E:$E,'Base SKUs'!R:R),"")</f>
        <v>2260.1390000000001</v>
      </c>
      <c r="U335" s="15">
        <f t="shared" si="28"/>
        <v>5838</v>
      </c>
      <c r="V335" t="str">
        <f t="shared" si="29"/>
        <v>Miami</v>
      </c>
    </row>
    <row r="336" spans="1:22" x14ac:dyDescent="0.2">
      <c r="A336" t="s">
        <v>581</v>
      </c>
      <c r="B336" s="5">
        <v>206</v>
      </c>
      <c r="C336" s="5">
        <v>0</v>
      </c>
      <c r="D336" s="5">
        <f t="shared" si="25"/>
        <v>206</v>
      </c>
      <c r="E336" s="6">
        <v>3.097</v>
      </c>
      <c r="F336" s="6">
        <f t="shared" si="26"/>
        <v>637.98199999999997</v>
      </c>
      <c r="G336" t="s">
        <v>330</v>
      </c>
      <c r="H336">
        <v>9011</v>
      </c>
      <c r="I336" t="str">
        <f>IFERROR(_xlfn.XLOOKUP($A336,'Base SKUs'!$E:$E,'Base SKUs'!A:A),"")</f>
        <v>Ipe</v>
      </c>
      <c r="J336" t="str">
        <f>IFERROR(_xlfn.XLOOKUP($A336,'Base SKUs'!$E:$E,'Base SKUs'!B:B),"")</f>
        <v>Ipe 2x2</v>
      </c>
      <c r="K336" t="str">
        <f>IFERROR(_xlfn.XLOOKUP($A336,'Base SKUs'!$E:$E,'Base SKUs'!C:C),"")</f>
        <v>Short</v>
      </c>
      <c r="L336" t="str">
        <f>IFERROR(_xlfn.XLOOKUP($A336,'Base SKUs'!$E:$E,'Base SKUs'!D:D),"")</f>
        <v>Hardwoods</v>
      </c>
      <c r="M336" t="str">
        <f>IFERROR(_xlfn.XLOOKUP($A336,'Base SKUs'!$E:$E,'Base SKUs'!G:G),"")</f>
        <v>Ipe</v>
      </c>
      <c r="N336" t="str">
        <f>IFERROR(_xlfn.XLOOKUP($A336,'Base SKUs'!$E:$E,'Base SKUs'!H:H),"")</f>
        <v>S4S E4E</v>
      </c>
      <c r="O336" t="str">
        <f>IFERROR(_xlfn.XLOOKUP($A336,'Base SKUs'!$E:$E,'Base SKUs'!I:I),"")</f>
        <v>-</v>
      </c>
      <c r="P336" t="str">
        <f>IFERROR(_xlfn.XLOOKUP($A336,'Base SKUs'!$E:$E,'Base SKUs'!J:J),"")</f>
        <v>2x2</v>
      </c>
      <c r="Q336">
        <f>IFERROR(_xlfn.XLOOKUP($A336,'Base SKUs'!$E:$E,'Base SKUs'!K:K),"")</f>
        <v>7</v>
      </c>
      <c r="R336" s="7">
        <f>IFERROR(_xlfn.XLOOKUP($A336,'Base SKUs'!$E:$E,'Base SKUs'!S:S),"")</f>
        <v>3.0971550960000004E-3</v>
      </c>
      <c r="S336" s="8">
        <f t="shared" si="27"/>
        <v>0.63801394977600012</v>
      </c>
      <c r="T336" s="7">
        <f>IFERROR(_xlfn.XLOOKUP($A336,'Base SKUs'!$E:$E,'Base SKUs'!R:R),"")</f>
        <v>2260.1390000000001</v>
      </c>
      <c r="U336" s="15">
        <f t="shared" si="28"/>
        <v>1442</v>
      </c>
      <c r="V336" t="str">
        <f t="shared" si="29"/>
        <v>New York</v>
      </c>
    </row>
    <row r="337" spans="1:22" x14ac:dyDescent="0.2">
      <c r="A337" t="s">
        <v>583</v>
      </c>
      <c r="B337" s="5">
        <v>593</v>
      </c>
      <c r="C337" s="5">
        <v>0</v>
      </c>
      <c r="D337" s="5">
        <f t="shared" si="25"/>
        <v>593</v>
      </c>
      <c r="E337" s="6">
        <v>5.6862000000000004</v>
      </c>
      <c r="F337" s="6">
        <f t="shared" si="26"/>
        <v>3371.9166</v>
      </c>
      <c r="G337" t="s">
        <v>330</v>
      </c>
      <c r="H337">
        <v>9011</v>
      </c>
      <c r="I337" t="str">
        <f>IFERROR(_xlfn.XLOOKUP($A337,'Base SKUs'!$E:$E,'Base SKUs'!A:A),"")</f>
        <v>Ipe</v>
      </c>
      <c r="J337" t="str">
        <f>IFERROR(_xlfn.XLOOKUP($A337,'Base SKUs'!$E:$E,'Base SKUs'!B:B),"")</f>
        <v>Ipe 2x2</v>
      </c>
      <c r="K337" t="str">
        <f>IFERROR(_xlfn.XLOOKUP($A337,'Base SKUs'!$E:$E,'Base SKUs'!C:C),"")</f>
        <v>Long</v>
      </c>
      <c r="L337" t="str">
        <f>IFERROR(_xlfn.XLOOKUP($A337,'Base SKUs'!$E:$E,'Base SKUs'!D:D),"")</f>
        <v>Hardwoods</v>
      </c>
      <c r="M337" t="str">
        <f>IFERROR(_xlfn.XLOOKUP($A337,'Base SKUs'!$E:$E,'Base SKUs'!G:G),"")</f>
        <v>Ipe</v>
      </c>
      <c r="N337" t="str">
        <f>IFERROR(_xlfn.XLOOKUP($A337,'Base SKUs'!$E:$E,'Base SKUs'!H:H),"")</f>
        <v>S4S E4E</v>
      </c>
      <c r="O337" t="str">
        <f>IFERROR(_xlfn.XLOOKUP($A337,'Base SKUs'!$E:$E,'Base SKUs'!I:I),"")</f>
        <v>-</v>
      </c>
      <c r="P337" t="str">
        <f>IFERROR(_xlfn.XLOOKUP($A337,'Base SKUs'!$E:$E,'Base SKUs'!J:J),"")</f>
        <v>2x2</v>
      </c>
      <c r="Q337">
        <f>IFERROR(_xlfn.XLOOKUP($A337,'Base SKUs'!$E:$E,'Base SKUs'!K:K),"")</f>
        <v>8</v>
      </c>
      <c r="R337" s="7">
        <f>IFERROR(_xlfn.XLOOKUP($A337,'Base SKUs'!$E:$E,'Base SKUs'!S:S),"")</f>
        <v>3.5396058240000005E-3</v>
      </c>
      <c r="S337" s="8">
        <f t="shared" si="27"/>
        <v>2.0989862536320003</v>
      </c>
      <c r="T337" s="7">
        <f>IFERROR(_xlfn.XLOOKUP($A337,'Base SKUs'!$E:$E,'Base SKUs'!R:R),"")</f>
        <v>2260.1390000000001</v>
      </c>
      <c r="U337" s="15">
        <f t="shared" si="28"/>
        <v>4744</v>
      </c>
      <c r="V337" t="str">
        <f t="shared" si="29"/>
        <v>New York</v>
      </c>
    </row>
    <row r="338" spans="1:22" x14ac:dyDescent="0.2">
      <c r="A338" t="s">
        <v>585</v>
      </c>
      <c r="B338" s="5">
        <v>895</v>
      </c>
      <c r="C338" s="5">
        <v>341</v>
      </c>
      <c r="D338" s="5">
        <f t="shared" si="25"/>
        <v>554</v>
      </c>
      <c r="E338" s="6">
        <v>25.6722</v>
      </c>
      <c r="F338" s="6">
        <f t="shared" si="26"/>
        <v>22976.618999999999</v>
      </c>
      <c r="G338" t="s">
        <v>17</v>
      </c>
      <c r="H338">
        <v>9007</v>
      </c>
      <c r="I338" t="str">
        <f>IFERROR(_xlfn.XLOOKUP($A338,'Base SKUs'!$E:$E,'Base SKUs'!A:A),"")</f>
        <v>Ipe</v>
      </c>
      <c r="J338" t="str">
        <f>IFERROR(_xlfn.XLOOKUP($A338,'Base SKUs'!$E:$E,'Base SKUs'!B:B),"")</f>
        <v>Ipe 2x4</v>
      </c>
      <c r="K338" t="str">
        <f>IFERROR(_xlfn.XLOOKUP($A338,'Base SKUs'!$E:$E,'Base SKUs'!C:C),"")</f>
        <v>Long</v>
      </c>
      <c r="L338" t="str">
        <f>IFERROR(_xlfn.XLOOKUP($A338,'Base SKUs'!$E:$E,'Base SKUs'!D:D),"")</f>
        <v>Hardwoods</v>
      </c>
      <c r="M338" t="str">
        <f>IFERROR(_xlfn.XLOOKUP($A338,'Base SKUs'!$E:$E,'Base SKUs'!G:G),"")</f>
        <v>Ipe</v>
      </c>
      <c r="N338" t="str">
        <f>IFERROR(_xlfn.XLOOKUP($A338,'Base SKUs'!$E:$E,'Base SKUs'!H:H),"")</f>
        <v>S4S E4E</v>
      </c>
      <c r="O338" t="str">
        <f>IFERROR(_xlfn.XLOOKUP($A338,'Base SKUs'!$E:$E,'Base SKUs'!I:I),"")</f>
        <v>-</v>
      </c>
      <c r="P338" t="str">
        <f>IFERROR(_xlfn.XLOOKUP($A338,'Base SKUs'!$E:$E,'Base SKUs'!J:J),"")</f>
        <v>2x4</v>
      </c>
      <c r="Q338">
        <f>IFERROR(_xlfn.XLOOKUP($A338,'Base SKUs'!$E:$E,'Base SKUs'!K:K),"")</f>
        <v>10</v>
      </c>
      <c r="R338" s="7">
        <f>IFERROR(_xlfn.XLOOKUP($A338,'Base SKUs'!$E:$E,'Base SKUs'!S:S),"")</f>
        <v>1.0323850320000001E-2</v>
      </c>
      <c r="S338" s="8">
        <f t="shared" si="27"/>
        <v>5.7194130772800005</v>
      </c>
      <c r="T338" s="7">
        <f>IFERROR(_xlfn.XLOOKUP($A338,'Base SKUs'!$E:$E,'Base SKUs'!R:R),"")</f>
        <v>968.63099999999997</v>
      </c>
      <c r="U338" s="15">
        <f t="shared" si="28"/>
        <v>5540</v>
      </c>
      <c r="V338" t="str">
        <f t="shared" si="29"/>
        <v>Miami</v>
      </c>
    </row>
    <row r="339" spans="1:22" x14ac:dyDescent="0.2">
      <c r="A339" t="s">
        <v>585</v>
      </c>
      <c r="B339" s="5">
        <v>707</v>
      </c>
      <c r="C339" s="5">
        <v>0</v>
      </c>
      <c r="D339" s="5">
        <f t="shared" si="25"/>
        <v>707</v>
      </c>
      <c r="E339" s="6">
        <v>24.4986</v>
      </c>
      <c r="F339" s="6">
        <f t="shared" si="26"/>
        <v>17320.510200000001</v>
      </c>
      <c r="G339" t="s">
        <v>24</v>
      </c>
      <c r="H339">
        <v>9008</v>
      </c>
      <c r="I339" t="str">
        <f>IFERROR(_xlfn.XLOOKUP($A339,'Base SKUs'!$E:$E,'Base SKUs'!A:A),"")</f>
        <v>Ipe</v>
      </c>
      <c r="J339" t="str">
        <f>IFERROR(_xlfn.XLOOKUP($A339,'Base SKUs'!$E:$E,'Base SKUs'!B:B),"")</f>
        <v>Ipe 2x4</v>
      </c>
      <c r="K339" t="str">
        <f>IFERROR(_xlfn.XLOOKUP($A339,'Base SKUs'!$E:$E,'Base SKUs'!C:C),"")</f>
        <v>Long</v>
      </c>
      <c r="L339" t="str">
        <f>IFERROR(_xlfn.XLOOKUP($A339,'Base SKUs'!$E:$E,'Base SKUs'!D:D),"")</f>
        <v>Hardwoods</v>
      </c>
      <c r="M339" t="str">
        <f>IFERROR(_xlfn.XLOOKUP($A339,'Base SKUs'!$E:$E,'Base SKUs'!G:G),"")</f>
        <v>Ipe</v>
      </c>
      <c r="N339" t="str">
        <f>IFERROR(_xlfn.XLOOKUP($A339,'Base SKUs'!$E:$E,'Base SKUs'!H:H),"")</f>
        <v>S4S E4E</v>
      </c>
      <c r="O339" t="str">
        <f>IFERROR(_xlfn.XLOOKUP($A339,'Base SKUs'!$E:$E,'Base SKUs'!I:I),"")</f>
        <v>-</v>
      </c>
      <c r="P339" t="str">
        <f>IFERROR(_xlfn.XLOOKUP($A339,'Base SKUs'!$E:$E,'Base SKUs'!J:J),"")</f>
        <v>2x4</v>
      </c>
      <c r="Q339">
        <f>IFERROR(_xlfn.XLOOKUP($A339,'Base SKUs'!$E:$E,'Base SKUs'!K:K),"")</f>
        <v>10</v>
      </c>
      <c r="R339" s="7">
        <f>IFERROR(_xlfn.XLOOKUP($A339,'Base SKUs'!$E:$E,'Base SKUs'!S:S),"")</f>
        <v>1.0323850320000001E-2</v>
      </c>
      <c r="S339" s="8">
        <f t="shared" si="27"/>
        <v>7.2989621762400008</v>
      </c>
      <c r="T339" s="7">
        <f>IFERROR(_xlfn.XLOOKUP($A339,'Base SKUs'!$E:$E,'Base SKUs'!R:R),"")</f>
        <v>968.63099999999997</v>
      </c>
      <c r="U339" s="15">
        <f t="shared" si="28"/>
        <v>7070</v>
      </c>
      <c r="V339" t="str">
        <f t="shared" si="29"/>
        <v>Texas</v>
      </c>
    </row>
    <row r="340" spans="1:22" x14ac:dyDescent="0.2">
      <c r="A340" t="s">
        <v>585</v>
      </c>
      <c r="B340" s="5">
        <v>397</v>
      </c>
      <c r="C340" s="5">
        <v>0</v>
      </c>
      <c r="D340" s="5">
        <f t="shared" si="25"/>
        <v>397</v>
      </c>
      <c r="E340" s="6">
        <v>24.265699999999999</v>
      </c>
      <c r="F340" s="6">
        <f t="shared" si="26"/>
        <v>9633.4828999999991</v>
      </c>
      <c r="G340" t="s">
        <v>125</v>
      </c>
      <c r="H340">
        <v>9009</v>
      </c>
      <c r="I340" t="str">
        <f>IFERROR(_xlfn.XLOOKUP($A340,'Base SKUs'!$E:$E,'Base SKUs'!A:A),"")</f>
        <v>Ipe</v>
      </c>
      <c r="J340" t="str">
        <f>IFERROR(_xlfn.XLOOKUP($A340,'Base SKUs'!$E:$E,'Base SKUs'!B:B),"")</f>
        <v>Ipe 2x4</v>
      </c>
      <c r="K340" t="str">
        <f>IFERROR(_xlfn.XLOOKUP($A340,'Base SKUs'!$E:$E,'Base SKUs'!C:C),"")</f>
        <v>Long</v>
      </c>
      <c r="L340" t="str">
        <f>IFERROR(_xlfn.XLOOKUP($A340,'Base SKUs'!$E:$E,'Base SKUs'!D:D),"")</f>
        <v>Hardwoods</v>
      </c>
      <c r="M340" t="str">
        <f>IFERROR(_xlfn.XLOOKUP($A340,'Base SKUs'!$E:$E,'Base SKUs'!G:G),"")</f>
        <v>Ipe</v>
      </c>
      <c r="N340" t="str">
        <f>IFERROR(_xlfn.XLOOKUP($A340,'Base SKUs'!$E:$E,'Base SKUs'!H:H),"")</f>
        <v>S4S E4E</v>
      </c>
      <c r="O340" t="str">
        <f>IFERROR(_xlfn.XLOOKUP($A340,'Base SKUs'!$E:$E,'Base SKUs'!I:I),"")</f>
        <v>-</v>
      </c>
      <c r="P340" t="str">
        <f>IFERROR(_xlfn.XLOOKUP($A340,'Base SKUs'!$E:$E,'Base SKUs'!J:J),"")</f>
        <v>2x4</v>
      </c>
      <c r="Q340">
        <f>IFERROR(_xlfn.XLOOKUP($A340,'Base SKUs'!$E:$E,'Base SKUs'!K:K),"")</f>
        <v>10</v>
      </c>
      <c r="R340" s="7">
        <f>IFERROR(_xlfn.XLOOKUP($A340,'Base SKUs'!$E:$E,'Base SKUs'!S:S),"")</f>
        <v>1.0323850320000001E-2</v>
      </c>
      <c r="S340" s="8">
        <f t="shared" si="27"/>
        <v>4.0985685770400009</v>
      </c>
      <c r="T340" s="7">
        <f>IFERROR(_xlfn.XLOOKUP($A340,'Base SKUs'!$E:$E,'Base SKUs'!R:R),"")</f>
        <v>968.63099999999997</v>
      </c>
      <c r="U340" s="15">
        <f t="shared" si="28"/>
        <v>3970</v>
      </c>
      <c r="V340" t="str">
        <f t="shared" si="29"/>
        <v>Boston</v>
      </c>
    </row>
    <row r="341" spans="1:22" x14ac:dyDescent="0.2">
      <c r="A341" t="s">
        <v>585</v>
      </c>
      <c r="B341" s="5">
        <v>386</v>
      </c>
      <c r="C341" s="5">
        <v>88</v>
      </c>
      <c r="D341" s="5">
        <f t="shared" si="25"/>
        <v>298</v>
      </c>
      <c r="E341" s="6">
        <v>28.6325</v>
      </c>
      <c r="F341" s="6">
        <f t="shared" si="26"/>
        <v>11052.145</v>
      </c>
      <c r="G341" t="s">
        <v>330</v>
      </c>
      <c r="H341">
        <v>9011</v>
      </c>
      <c r="I341" t="str">
        <f>IFERROR(_xlfn.XLOOKUP($A341,'Base SKUs'!$E:$E,'Base SKUs'!A:A),"")</f>
        <v>Ipe</v>
      </c>
      <c r="J341" t="str">
        <f>IFERROR(_xlfn.XLOOKUP($A341,'Base SKUs'!$E:$E,'Base SKUs'!B:B),"")</f>
        <v>Ipe 2x4</v>
      </c>
      <c r="K341" t="str">
        <f>IFERROR(_xlfn.XLOOKUP($A341,'Base SKUs'!$E:$E,'Base SKUs'!C:C),"")</f>
        <v>Long</v>
      </c>
      <c r="L341" t="str">
        <f>IFERROR(_xlfn.XLOOKUP($A341,'Base SKUs'!$E:$E,'Base SKUs'!D:D),"")</f>
        <v>Hardwoods</v>
      </c>
      <c r="M341" t="str">
        <f>IFERROR(_xlfn.XLOOKUP($A341,'Base SKUs'!$E:$E,'Base SKUs'!G:G),"")</f>
        <v>Ipe</v>
      </c>
      <c r="N341" t="str">
        <f>IFERROR(_xlfn.XLOOKUP($A341,'Base SKUs'!$E:$E,'Base SKUs'!H:H),"")</f>
        <v>S4S E4E</v>
      </c>
      <c r="O341" t="str">
        <f>IFERROR(_xlfn.XLOOKUP($A341,'Base SKUs'!$E:$E,'Base SKUs'!I:I),"")</f>
        <v>-</v>
      </c>
      <c r="P341" t="str">
        <f>IFERROR(_xlfn.XLOOKUP($A341,'Base SKUs'!$E:$E,'Base SKUs'!J:J),"")</f>
        <v>2x4</v>
      </c>
      <c r="Q341">
        <f>IFERROR(_xlfn.XLOOKUP($A341,'Base SKUs'!$E:$E,'Base SKUs'!K:K),"")</f>
        <v>10</v>
      </c>
      <c r="R341" s="7">
        <f>IFERROR(_xlfn.XLOOKUP($A341,'Base SKUs'!$E:$E,'Base SKUs'!S:S),"")</f>
        <v>1.0323850320000001E-2</v>
      </c>
      <c r="S341" s="8">
        <f t="shared" si="27"/>
        <v>3.0765073953600002</v>
      </c>
      <c r="T341" s="7">
        <f>IFERROR(_xlfn.XLOOKUP($A341,'Base SKUs'!$E:$E,'Base SKUs'!R:R),"")</f>
        <v>968.63099999999997</v>
      </c>
      <c r="U341" s="15">
        <f t="shared" si="28"/>
        <v>2980</v>
      </c>
      <c r="V341" t="str">
        <f t="shared" si="29"/>
        <v>New York</v>
      </c>
    </row>
    <row r="342" spans="1:22" x14ac:dyDescent="0.2">
      <c r="A342" t="s">
        <v>587</v>
      </c>
      <c r="B342" s="5">
        <v>5</v>
      </c>
      <c r="C342" s="5">
        <v>0</v>
      </c>
      <c r="D342" s="5">
        <f t="shared" si="25"/>
        <v>5</v>
      </c>
      <c r="E342" s="6">
        <v>34.910499999999999</v>
      </c>
      <c r="F342" s="6">
        <f t="shared" si="26"/>
        <v>174.55250000000001</v>
      </c>
      <c r="G342" t="s">
        <v>17</v>
      </c>
      <c r="H342">
        <v>9007</v>
      </c>
      <c r="I342" t="str">
        <f>IFERROR(_xlfn.XLOOKUP($A342,'Base SKUs'!$E:$E,'Base SKUs'!A:A),"")</f>
        <v>Ipe</v>
      </c>
      <c r="J342" t="str">
        <f>IFERROR(_xlfn.XLOOKUP($A342,'Base SKUs'!$E:$E,'Base SKUs'!B:B),"")</f>
        <v>Ipe 2x4</v>
      </c>
      <c r="K342" t="str">
        <f>IFERROR(_xlfn.XLOOKUP($A342,'Base SKUs'!$E:$E,'Base SKUs'!C:C),"")</f>
        <v>Long</v>
      </c>
      <c r="L342" t="str">
        <f>IFERROR(_xlfn.XLOOKUP($A342,'Base SKUs'!$E:$E,'Base SKUs'!D:D),"")</f>
        <v>Hardwoods</v>
      </c>
      <c r="M342" t="str">
        <f>IFERROR(_xlfn.XLOOKUP($A342,'Base SKUs'!$E:$E,'Base SKUs'!G:G),"")</f>
        <v>Ipe</v>
      </c>
      <c r="N342" t="str">
        <f>IFERROR(_xlfn.XLOOKUP($A342,'Base SKUs'!$E:$E,'Base SKUs'!H:H),"")</f>
        <v>S4S E4E</v>
      </c>
      <c r="O342" t="str">
        <f>IFERROR(_xlfn.XLOOKUP($A342,'Base SKUs'!$E:$E,'Base SKUs'!I:I),"")</f>
        <v>-</v>
      </c>
      <c r="P342" t="str">
        <f>IFERROR(_xlfn.XLOOKUP($A342,'Base SKUs'!$E:$E,'Base SKUs'!J:J),"")</f>
        <v>2x4</v>
      </c>
      <c r="Q342">
        <f>IFERROR(_xlfn.XLOOKUP($A342,'Base SKUs'!$E:$E,'Base SKUs'!K:K),"")</f>
        <v>12</v>
      </c>
      <c r="R342" s="7">
        <f>IFERROR(_xlfn.XLOOKUP($A342,'Base SKUs'!$E:$E,'Base SKUs'!S:S),"")</f>
        <v>1.2388620384E-2</v>
      </c>
      <c r="S342" s="8">
        <f t="shared" si="27"/>
        <v>6.194310192E-2</v>
      </c>
      <c r="T342" s="7">
        <f>IFERROR(_xlfn.XLOOKUP($A342,'Base SKUs'!$E:$E,'Base SKUs'!R:R),"")</f>
        <v>968.63099999999997</v>
      </c>
      <c r="U342" s="15">
        <f t="shared" si="28"/>
        <v>60</v>
      </c>
      <c r="V342" t="str">
        <f t="shared" si="29"/>
        <v>Miami</v>
      </c>
    </row>
    <row r="343" spans="1:22" x14ac:dyDescent="0.2">
      <c r="A343" t="s">
        <v>587</v>
      </c>
      <c r="B343" s="5">
        <v>517</v>
      </c>
      <c r="C343" s="5">
        <v>363</v>
      </c>
      <c r="D343" s="5">
        <f t="shared" si="25"/>
        <v>154</v>
      </c>
      <c r="E343" s="6">
        <v>36.299100000000003</v>
      </c>
      <c r="F343" s="6">
        <f t="shared" si="26"/>
        <v>18766.634700000002</v>
      </c>
      <c r="G343" t="s">
        <v>24</v>
      </c>
      <c r="H343">
        <v>9008</v>
      </c>
      <c r="I343" t="str">
        <f>IFERROR(_xlfn.XLOOKUP($A343,'Base SKUs'!$E:$E,'Base SKUs'!A:A),"")</f>
        <v>Ipe</v>
      </c>
      <c r="J343" t="str">
        <f>IFERROR(_xlfn.XLOOKUP($A343,'Base SKUs'!$E:$E,'Base SKUs'!B:B),"")</f>
        <v>Ipe 2x4</v>
      </c>
      <c r="K343" t="str">
        <f>IFERROR(_xlfn.XLOOKUP($A343,'Base SKUs'!$E:$E,'Base SKUs'!C:C),"")</f>
        <v>Long</v>
      </c>
      <c r="L343" t="str">
        <f>IFERROR(_xlfn.XLOOKUP($A343,'Base SKUs'!$E:$E,'Base SKUs'!D:D),"")</f>
        <v>Hardwoods</v>
      </c>
      <c r="M343" t="str">
        <f>IFERROR(_xlfn.XLOOKUP($A343,'Base SKUs'!$E:$E,'Base SKUs'!G:G),"")</f>
        <v>Ipe</v>
      </c>
      <c r="N343" t="str">
        <f>IFERROR(_xlfn.XLOOKUP($A343,'Base SKUs'!$E:$E,'Base SKUs'!H:H),"")</f>
        <v>S4S E4E</v>
      </c>
      <c r="O343" t="str">
        <f>IFERROR(_xlfn.XLOOKUP($A343,'Base SKUs'!$E:$E,'Base SKUs'!I:I),"")</f>
        <v>-</v>
      </c>
      <c r="P343" t="str">
        <f>IFERROR(_xlfn.XLOOKUP($A343,'Base SKUs'!$E:$E,'Base SKUs'!J:J),"")</f>
        <v>2x4</v>
      </c>
      <c r="Q343">
        <f>IFERROR(_xlfn.XLOOKUP($A343,'Base SKUs'!$E:$E,'Base SKUs'!K:K),"")</f>
        <v>12</v>
      </c>
      <c r="R343" s="7">
        <f>IFERROR(_xlfn.XLOOKUP($A343,'Base SKUs'!$E:$E,'Base SKUs'!S:S),"")</f>
        <v>1.2388620384E-2</v>
      </c>
      <c r="S343" s="8">
        <f t="shared" si="27"/>
        <v>1.9078475391359999</v>
      </c>
      <c r="T343" s="7">
        <f>IFERROR(_xlfn.XLOOKUP($A343,'Base SKUs'!$E:$E,'Base SKUs'!R:R),"")</f>
        <v>968.63099999999997</v>
      </c>
      <c r="U343" s="15">
        <f t="shared" si="28"/>
        <v>1848</v>
      </c>
      <c r="V343" t="str">
        <f t="shared" si="29"/>
        <v>Texas</v>
      </c>
    </row>
    <row r="344" spans="1:22" x14ac:dyDescent="0.2">
      <c r="A344" t="s">
        <v>587</v>
      </c>
      <c r="B344" s="5">
        <v>84</v>
      </c>
      <c r="C344" s="5">
        <v>0</v>
      </c>
      <c r="D344" s="5">
        <f t="shared" si="25"/>
        <v>84</v>
      </c>
      <c r="E344" s="6">
        <v>38.410400000000003</v>
      </c>
      <c r="F344" s="6">
        <f t="shared" si="26"/>
        <v>3226.4736000000003</v>
      </c>
      <c r="G344" t="s">
        <v>125</v>
      </c>
      <c r="H344">
        <v>9009</v>
      </c>
      <c r="I344" t="str">
        <f>IFERROR(_xlfn.XLOOKUP($A344,'Base SKUs'!$E:$E,'Base SKUs'!A:A),"")</f>
        <v>Ipe</v>
      </c>
      <c r="J344" t="str">
        <f>IFERROR(_xlfn.XLOOKUP($A344,'Base SKUs'!$E:$E,'Base SKUs'!B:B),"")</f>
        <v>Ipe 2x4</v>
      </c>
      <c r="K344" t="str">
        <f>IFERROR(_xlfn.XLOOKUP($A344,'Base SKUs'!$E:$E,'Base SKUs'!C:C),"")</f>
        <v>Long</v>
      </c>
      <c r="L344" t="str">
        <f>IFERROR(_xlfn.XLOOKUP($A344,'Base SKUs'!$E:$E,'Base SKUs'!D:D),"")</f>
        <v>Hardwoods</v>
      </c>
      <c r="M344" t="str">
        <f>IFERROR(_xlfn.XLOOKUP($A344,'Base SKUs'!$E:$E,'Base SKUs'!G:G),"")</f>
        <v>Ipe</v>
      </c>
      <c r="N344" t="str">
        <f>IFERROR(_xlfn.XLOOKUP($A344,'Base SKUs'!$E:$E,'Base SKUs'!H:H),"")</f>
        <v>S4S E4E</v>
      </c>
      <c r="O344" t="str">
        <f>IFERROR(_xlfn.XLOOKUP($A344,'Base SKUs'!$E:$E,'Base SKUs'!I:I),"")</f>
        <v>-</v>
      </c>
      <c r="P344" t="str">
        <f>IFERROR(_xlfn.XLOOKUP($A344,'Base SKUs'!$E:$E,'Base SKUs'!J:J),"")</f>
        <v>2x4</v>
      </c>
      <c r="Q344">
        <f>IFERROR(_xlfn.XLOOKUP($A344,'Base SKUs'!$E:$E,'Base SKUs'!K:K),"")</f>
        <v>12</v>
      </c>
      <c r="R344" s="7">
        <f>IFERROR(_xlfn.XLOOKUP($A344,'Base SKUs'!$E:$E,'Base SKUs'!S:S),"")</f>
        <v>1.2388620384E-2</v>
      </c>
      <c r="S344" s="8">
        <f t="shared" si="27"/>
        <v>1.040644112256</v>
      </c>
      <c r="T344" s="7">
        <f>IFERROR(_xlfn.XLOOKUP($A344,'Base SKUs'!$E:$E,'Base SKUs'!R:R),"")</f>
        <v>968.63099999999997</v>
      </c>
      <c r="U344" s="15">
        <f t="shared" si="28"/>
        <v>1008</v>
      </c>
      <c r="V344" t="str">
        <f t="shared" si="29"/>
        <v>Boston</v>
      </c>
    </row>
    <row r="345" spans="1:22" x14ac:dyDescent="0.2">
      <c r="A345" t="s">
        <v>587</v>
      </c>
      <c r="B345" s="5">
        <v>1</v>
      </c>
      <c r="C345" s="5">
        <v>0</v>
      </c>
      <c r="D345" s="5">
        <f t="shared" si="25"/>
        <v>1</v>
      </c>
      <c r="E345" s="6">
        <v>51.24</v>
      </c>
      <c r="F345" s="6">
        <f t="shared" si="26"/>
        <v>51.24</v>
      </c>
      <c r="G345" t="s">
        <v>330</v>
      </c>
      <c r="H345">
        <v>9011</v>
      </c>
      <c r="I345" t="str">
        <f>IFERROR(_xlfn.XLOOKUP($A345,'Base SKUs'!$E:$E,'Base SKUs'!A:A),"")</f>
        <v>Ipe</v>
      </c>
      <c r="J345" t="str">
        <f>IFERROR(_xlfn.XLOOKUP($A345,'Base SKUs'!$E:$E,'Base SKUs'!B:B),"")</f>
        <v>Ipe 2x4</v>
      </c>
      <c r="K345" t="str">
        <f>IFERROR(_xlfn.XLOOKUP($A345,'Base SKUs'!$E:$E,'Base SKUs'!C:C),"")</f>
        <v>Long</v>
      </c>
      <c r="L345" t="str">
        <f>IFERROR(_xlfn.XLOOKUP($A345,'Base SKUs'!$E:$E,'Base SKUs'!D:D),"")</f>
        <v>Hardwoods</v>
      </c>
      <c r="M345" t="str">
        <f>IFERROR(_xlfn.XLOOKUP($A345,'Base SKUs'!$E:$E,'Base SKUs'!G:G),"")</f>
        <v>Ipe</v>
      </c>
      <c r="N345" t="str">
        <f>IFERROR(_xlfn.XLOOKUP($A345,'Base SKUs'!$E:$E,'Base SKUs'!H:H),"")</f>
        <v>S4S E4E</v>
      </c>
      <c r="O345" t="str">
        <f>IFERROR(_xlfn.XLOOKUP($A345,'Base SKUs'!$E:$E,'Base SKUs'!I:I),"")</f>
        <v>-</v>
      </c>
      <c r="P345" t="str">
        <f>IFERROR(_xlfn.XLOOKUP($A345,'Base SKUs'!$E:$E,'Base SKUs'!J:J),"")</f>
        <v>2x4</v>
      </c>
      <c r="Q345">
        <f>IFERROR(_xlfn.XLOOKUP($A345,'Base SKUs'!$E:$E,'Base SKUs'!K:K),"")</f>
        <v>12</v>
      </c>
      <c r="R345" s="7">
        <f>IFERROR(_xlfn.XLOOKUP($A345,'Base SKUs'!$E:$E,'Base SKUs'!S:S),"")</f>
        <v>1.2388620384E-2</v>
      </c>
      <c r="S345" s="8">
        <f t="shared" si="27"/>
        <v>1.2388620384E-2</v>
      </c>
      <c r="T345" s="7">
        <f>IFERROR(_xlfn.XLOOKUP($A345,'Base SKUs'!$E:$E,'Base SKUs'!R:R),"")</f>
        <v>968.63099999999997</v>
      </c>
      <c r="U345" s="15">
        <f t="shared" si="28"/>
        <v>12</v>
      </c>
      <c r="V345" t="str">
        <f t="shared" si="29"/>
        <v>New York</v>
      </c>
    </row>
    <row r="346" spans="1:22" x14ac:dyDescent="0.2">
      <c r="A346" t="s">
        <v>589</v>
      </c>
      <c r="B346" s="5">
        <v>193</v>
      </c>
      <c r="C346" s="5">
        <v>88</v>
      </c>
      <c r="D346" s="5">
        <f t="shared" si="25"/>
        <v>105</v>
      </c>
      <c r="E346" s="6">
        <v>41.731400000000001</v>
      </c>
      <c r="F346" s="6">
        <f t="shared" si="26"/>
        <v>8054.1602000000003</v>
      </c>
      <c r="G346" t="s">
        <v>17</v>
      </c>
      <c r="H346">
        <v>9007</v>
      </c>
      <c r="I346" t="str">
        <f>IFERROR(_xlfn.XLOOKUP($A346,'Base SKUs'!$E:$E,'Base SKUs'!A:A),"")</f>
        <v>Ipe</v>
      </c>
      <c r="J346" t="str">
        <f>IFERROR(_xlfn.XLOOKUP($A346,'Base SKUs'!$E:$E,'Base SKUs'!B:B),"")</f>
        <v>Ipe 2x4</v>
      </c>
      <c r="K346" t="str">
        <f>IFERROR(_xlfn.XLOOKUP($A346,'Base SKUs'!$E:$E,'Base SKUs'!C:C),"")</f>
        <v>Long</v>
      </c>
      <c r="L346" t="str">
        <f>IFERROR(_xlfn.XLOOKUP($A346,'Base SKUs'!$E:$E,'Base SKUs'!D:D),"")</f>
        <v>Hardwoods</v>
      </c>
      <c r="M346" t="str">
        <f>IFERROR(_xlfn.XLOOKUP($A346,'Base SKUs'!$E:$E,'Base SKUs'!G:G),"")</f>
        <v>Ipe</v>
      </c>
      <c r="N346" t="str">
        <f>IFERROR(_xlfn.XLOOKUP($A346,'Base SKUs'!$E:$E,'Base SKUs'!H:H),"")</f>
        <v>S4S E4E</v>
      </c>
      <c r="O346" t="str">
        <f>IFERROR(_xlfn.XLOOKUP($A346,'Base SKUs'!$E:$E,'Base SKUs'!I:I),"")</f>
        <v>-</v>
      </c>
      <c r="P346" t="str">
        <f>IFERROR(_xlfn.XLOOKUP($A346,'Base SKUs'!$E:$E,'Base SKUs'!J:J),"")</f>
        <v>2x4</v>
      </c>
      <c r="Q346">
        <f>IFERROR(_xlfn.XLOOKUP($A346,'Base SKUs'!$E:$E,'Base SKUs'!K:K),"")</f>
        <v>14</v>
      </c>
      <c r="R346" s="7">
        <f>IFERROR(_xlfn.XLOOKUP($A346,'Base SKUs'!$E:$E,'Base SKUs'!S:S),"")</f>
        <v>1.4453390448E-2</v>
      </c>
      <c r="S346" s="8">
        <f t="shared" si="27"/>
        <v>1.51760599704</v>
      </c>
      <c r="T346" s="7">
        <f>IFERROR(_xlfn.XLOOKUP($A346,'Base SKUs'!$E:$E,'Base SKUs'!R:R),"")</f>
        <v>968.63099999999997</v>
      </c>
      <c r="U346" s="15">
        <f t="shared" si="28"/>
        <v>1470</v>
      </c>
      <c r="V346" t="str">
        <f t="shared" si="29"/>
        <v>Miami</v>
      </c>
    </row>
    <row r="347" spans="1:22" x14ac:dyDescent="0.2">
      <c r="A347" t="s">
        <v>589</v>
      </c>
      <c r="B347" s="5">
        <v>580</v>
      </c>
      <c r="C347" s="5">
        <v>308</v>
      </c>
      <c r="D347" s="5">
        <f t="shared" si="25"/>
        <v>272</v>
      </c>
      <c r="E347" s="6">
        <v>42.825099999999999</v>
      </c>
      <c r="F347" s="6">
        <f t="shared" si="26"/>
        <v>24838.558000000001</v>
      </c>
      <c r="G347" t="s">
        <v>24</v>
      </c>
      <c r="H347">
        <v>9008</v>
      </c>
      <c r="I347" t="str">
        <f>IFERROR(_xlfn.XLOOKUP($A347,'Base SKUs'!$E:$E,'Base SKUs'!A:A),"")</f>
        <v>Ipe</v>
      </c>
      <c r="J347" t="str">
        <f>IFERROR(_xlfn.XLOOKUP($A347,'Base SKUs'!$E:$E,'Base SKUs'!B:B),"")</f>
        <v>Ipe 2x4</v>
      </c>
      <c r="K347" t="str">
        <f>IFERROR(_xlfn.XLOOKUP($A347,'Base SKUs'!$E:$E,'Base SKUs'!C:C),"")</f>
        <v>Long</v>
      </c>
      <c r="L347" t="str">
        <f>IFERROR(_xlfn.XLOOKUP($A347,'Base SKUs'!$E:$E,'Base SKUs'!D:D),"")</f>
        <v>Hardwoods</v>
      </c>
      <c r="M347" t="str">
        <f>IFERROR(_xlfn.XLOOKUP($A347,'Base SKUs'!$E:$E,'Base SKUs'!G:G),"")</f>
        <v>Ipe</v>
      </c>
      <c r="N347" t="str">
        <f>IFERROR(_xlfn.XLOOKUP($A347,'Base SKUs'!$E:$E,'Base SKUs'!H:H),"")</f>
        <v>S4S E4E</v>
      </c>
      <c r="O347" t="str">
        <f>IFERROR(_xlfn.XLOOKUP($A347,'Base SKUs'!$E:$E,'Base SKUs'!I:I),"")</f>
        <v>-</v>
      </c>
      <c r="P347" t="str">
        <f>IFERROR(_xlfn.XLOOKUP($A347,'Base SKUs'!$E:$E,'Base SKUs'!J:J),"")</f>
        <v>2x4</v>
      </c>
      <c r="Q347">
        <f>IFERROR(_xlfn.XLOOKUP($A347,'Base SKUs'!$E:$E,'Base SKUs'!K:K),"")</f>
        <v>14</v>
      </c>
      <c r="R347" s="7">
        <f>IFERROR(_xlfn.XLOOKUP($A347,'Base SKUs'!$E:$E,'Base SKUs'!S:S),"")</f>
        <v>1.4453390448E-2</v>
      </c>
      <c r="S347" s="8">
        <f t="shared" si="27"/>
        <v>3.9313222018560001</v>
      </c>
      <c r="T347" s="7">
        <f>IFERROR(_xlfn.XLOOKUP($A347,'Base SKUs'!$E:$E,'Base SKUs'!R:R),"")</f>
        <v>968.63099999999997</v>
      </c>
      <c r="U347" s="15">
        <f t="shared" si="28"/>
        <v>3808</v>
      </c>
      <c r="V347" t="str">
        <f t="shared" si="29"/>
        <v>Texas</v>
      </c>
    </row>
    <row r="348" spans="1:22" x14ac:dyDescent="0.2">
      <c r="A348" t="s">
        <v>589</v>
      </c>
      <c r="B348" s="5">
        <v>418</v>
      </c>
      <c r="C348" s="5">
        <v>0</v>
      </c>
      <c r="D348" s="5">
        <f t="shared" si="25"/>
        <v>418</v>
      </c>
      <c r="E348" s="6">
        <v>43.3643</v>
      </c>
      <c r="F348" s="6">
        <f t="shared" si="26"/>
        <v>18126.277399999999</v>
      </c>
      <c r="G348" t="s">
        <v>125</v>
      </c>
      <c r="H348">
        <v>9009</v>
      </c>
      <c r="I348" t="str">
        <f>IFERROR(_xlfn.XLOOKUP($A348,'Base SKUs'!$E:$E,'Base SKUs'!A:A),"")</f>
        <v>Ipe</v>
      </c>
      <c r="J348" t="str">
        <f>IFERROR(_xlfn.XLOOKUP($A348,'Base SKUs'!$E:$E,'Base SKUs'!B:B),"")</f>
        <v>Ipe 2x4</v>
      </c>
      <c r="K348" t="str">
        <f>IFERROR(_xlfn.XLOOKUP($A348,'Base SKUs'!$E:$E,'Base SKUs'!C:C),"")</f>
        <v>Long</v>
      </c>
      <c r="L348" t="str">
        <f>IFERROR(_xlfn.XLOOKUP($A348,'Base SKUs'!$E:$E,'Base SKUs'!D:D),"")</f>
        <v>Hardwoods</v>
      </c>
      <c r="M348" t="str">
        <f>IFERROR(_xlfn.XLOOKUP($A348,'Base SKUs'!$E:$E,'Base SKUs'!G:G),"")</f>
        <v>Ipe</v>
      </c>
      <c r="N348" t="str">
        <f>IFERROR(_xlfn.XLOOKUP($A348,'Base SKUs'!$E:$E,'Base SKUs'!H:H),"")</f>
        <v>S4S E4E</v>
      </c>
      <c r="O348" t="str">
        <f>IFERROR(_xlfn.XLOOKUP($A348,'Base SKUs'!$E:$E,'Base SKUs'!I:I),"")</f>
        <v>-</v>
      </c>
      <c r="P348" t="str">
        <f>IFERROR(_xlfn.XLOOKUP($A348,'Base SKUs'!$E:$E,'Base SKUs'!J:J),"")</f>
        <v>2x4</v>
      </c>
      <c r="Q348">
        <f>IFERROR(_xlfn.XLOOKUP($A348,'Base SKUs'!$E:$E,'Base SKUs'!K:K),"")</f>
        <v>14</v>
      </c>
      <c r="R348" s="7">
        <f>IFERROR(_xlfn.XLOOKUP($A348,'Base SKUs'!$E:$E,'Base SKUs'!S:S),"")</f>
        <v>1.4453390448E-2</v>
      </c>
      <c r="S348" s="8">
        <f t="shared" si="27"/>
        <v>6.0415172072639995</v>
      </c>
      <c r="T348" s="7">
        <f>IFERROR(_xlfn.XLOOKUP($A348,'Base SKUs'!$E:$E,'Base SKUs'!R:R),"")</f>
        <v>968.63099999999997</v>
      </c>
      <c r="U348" s="15">
        <f t="shared" si="28"/>
        <v>5852</v>
      </c>
      <c r="V348" t="str">
        <f t="shared" si="29"/>
        <v>Boston</v>
      </c>
    </row>
    <row r="349" spans="1:22" x14ac:dyDescent="0.2">
      <c r="A349" t="s">
        <v>589</v>
      </c>
      <c r="B349" s="5">
        <v>183</v>
      </c>
      <c r="C349" s="5">
        <v>0</v>
      </c>
      <c r="D349" s="5">
        <f t="shared" si="25"/>
        <v>183</v>
      </c>
      <c r="E349" s="6">
        <v>45.060600000000001</v>
      </c>
      <c r="F349" s="6">
        <f t="shared" si="26"/>
        <v>8246.0897999999997</v>
      </c>
      <c r="G349" t="s">
        <v>330</v>
      </c>
      <c r="H349">
        <v>9011</v>
      </c>
      <c r="I349" t="str">
        <f>IFERROR(_xlfn.XLOOKUP($A349,'Base SKUs'!$E:$E,'Base SKUs'!A:A),"")</f>
        <v>Ipe</v>
      </c>
      <c r="J349" t="str">
        <f>IFERROR(_xlfn.XLOOKUP($A349,'Base SKUs'!$E:$E,'Base SKUs'!B:B),"")</f>
        <v>Ipe 2x4</v>
      </c>
      <c r="K349" t="str">
        <f>IFERROR(_xlfn.XLOOKUP($A349,'Base SKUs'!$E:$E,'Base SKUs'!C:C),"")</f>
        <v>Long</v>
      </c>
      <c r="L349" t="str">
        <f>IFERROR(_xlfn.XLOOKUP($A349,'Base SKUs'!$E:$E,'Base SKUs'!D:D),"")</f>
        <v>Hardwoods</v>
      </c>
      <c r="M349" t="str">
        <f>IFERROR(_xlfn.XLOOKUP($A349,'Base SKUs'!$E:$E,'Base SKUs'!G:G),"")</f>
        <v>Ipe</v>
      </c>
      <c r="N349" t="str">
        <f>IFERROR(_xlfn.XLOOKUP($A349,'Base SKUs'!$E:$E,'Base SKUs'!H:H),"")</f>
        <v>S4S E4E</v>
      </c>
      <c r="O349" t="str">
        <f>IFERROR(_xlfn.XLOOKUP($A349,'Base SKUs'!$E:$E,'Base SKUs'!I:I),"")</f>
        <v>-</v>
      </c>
      <c r="P349" t="str">
        <f>IFERROR(_xlfn.XLOOKUP($A349,'Base SKUs'!$E:$E,'Base SKUs'!J:J),"")</f>
        <v>2x4</v>
      </c>
      <c r="Q349">
        <f>IFERROR(_xlfn.XLOOKUP($A349,'Base SKUs'!$E:$E,'Base SKUs'!K:K),"")</f>
        <v>14</v>
      </c>
      <c r="R349" s="7">
        <f>IFERROR(_xlfn.XLOOKUP($A349,'Base SKUs'!$E:$E,'Base SKUs'!S:S),"")</f>
        <v>1.4453390448E-2</v>
      </c>
      <c r="S349" s="8">
        <f t="shared" si="27"/>
        <v>2.6449704519839998</v>
      </c>
      <c r="T349" s="7">
        <f>IFERROR(_xlfn.XLOOKUP($A349,'Base SKUs'!$E:$E,'Base SKUs'!R:R),"")</f>
        <v>968.63099999999997</v>
      </c>
      <c r="U349" s="15">
        <f t="shared" si="28"/>
        <v>2562</v>
      </c>
      <c r="V349" t="str">
        <f t="shared" si="29"/>
        <v>New York</v>
      </c>
    </row>
    <row r="350" spans="1:22" x14ac:dyDescent="0.2">
      <c r="A350" t="s">
        <v>591</v>
      </c>
      <c r="B350" s="5">
        <v>17</v>
      </c>
      <c r="C350" s="5">
        <v>0</v>
      </c>
      <c r="D350" s="5">
        <f t="shared" si="25"/>
        <v>17</v>
      </c>
      <c r="E350" s="6">
        <v>47.9998</v>
      </c>
      <c r="F350" s="6">
        <f t="shared" si="26"/>
        <v>815.99660000000006</v>
      </c>
      <c r="G350" t="s">
        <v>17</v>
      </c>
      <c r="H350">
        <v>9007</v>
      </c>
      <c r="I350" t="str">
        <f>IFERROR(_xlfn.XLOOKUP($A350,'Base SKUs'!$E:$E,'Base SKUs'!A:A),"")</f>
        <v>Ipe</v>
      </c>
      <c r="J350" t="str">
        <f>IFERROR(_xlfn.XLOOKUP($A350,'Base SKUs'!$E:$E,'Base SKUs'!B:B),"")</f>
        <v>Ipe 2x4</v>
      </c>
      <c r="K350" t="str">
        <f>IFERROR(_xlfn.XLOOKUP($A350,'Base SKUs'!$E:$E,'Base SKUs'!C:C),"")</f>
        <v>Long</v>
      </c>
      <c r="L350" t="str">
        <f>IFERROR(_xlfn.XLOOKUP($A350,'Base SKUs'!$E:$E,'Base SKUs'!D:D),"")</f>
        <v>Hardwoods</v>
      </c>
      <c r="M350" t="str">
        <f>IFERROR(_xlfn.XLOOKUP($A350,'Base SKUs'!$E:$E,'Base SKUs'!G:G),"")</f>
        <v>Ipe</v>
      </c>
      <c r="N350" t="str">
        <f>IFERROR(_xlfn.XLOOKUP($A350,'Base SKUs'!$E:$E,'Base SKUs'!H:H),"")</f>
        <v>S4S E4E</v>
      </c>
      <c r="O350" t="str">
        <f>IFERROR(_xlfn.XLOOKUP($A350,'Base SKUs'!$E:$E,'Base SKUs'!I:I),"")</f>
        <v>-</v>
      </c>
      <c r="P350" t="str">
        <f>IFERROR(_xlfn.XLOOKUP($A350,'Base SKUs'!$E:$E,'Base SKUs'!J:J),"")</f>
        <v>2x4</v>
      </c>
      <c r="Q350">
        <f>IFERROR(_xlfn.XLOOKUP($A350,'Base SKUs'!$E:$E,'Base SKUs'!K:K),"")</f>
        <v>16</v>
      </c>
      <c r="R350" s="7">
        <f>IFERROR(_xlfn.XLOOKUP($A350,'Base SKUs'!$E:$E,'Base SKUs'!S:S),"")</f>
        <v>1.6518160512000002E-2</v>
      </c>
      <c r="S350" s="8">
        <f t="shared" si="27"/>
        <v>0.28080872870400003</v>
      </c>
      <c r="T350" s="7">
        <f>IFERROR(_xlfn.XLOOKUP($A350,'Base SKUs'!$E:$E,'Base SKUs'!R:R),"")</f>
        <v>968.63099999999997</v>
      </c>
      <c r="U350" s="15">
        <f t="shared" si="28"/>
        <v>272</v>
      </c>
      <c r="V350" t="str">
        <f t="shared" si="29"/>
        <v>Miami</v>
      </c>
    </row>
    <row r="351" spans="1:22" x14ac:dyDescent="0.2">
      <c r="A351" t="s">
        <v>591</v>
      </c>
      <c r="B351" s="5">
        <v>189</v>
      </c>
      <c r="C351" s="5">
        <v>121</v>
      </c>
      <c r="D351" s="5">
        <f t="shared" si="25"/>
        <v>68</v>
      </c>
      <c r="E351" s="6">
        <v>49.775300000000001</v>
      </c>
      <c r="F351" s="6">
        <f t="shared" si="26"/>
        <v>9407.5316999999995</v>
      </c>
      <c r="G351" t="s">
        <v>24</v>
      </c>
      <c r="H351">
        <v>9008</v>
      </c>
      <c r="I351" t="str">
        <f>IFERROR(_xlfn.XLOOKUP($A351,'Base SKUs'!$E:$E,'Base SKUs'!A:A),"")</f>
        <v>Ipe</v>
      </c>
      <c r="J351" t="str">
        <f>IFERROR(_xlfn.XLOOKUP($A351,'Base SKUs'!$E:$E,'Base SKUs'!B:B),"")</f>
        <v>Ipe 2x4</v>
      </c>
      <c r="K351" t="str">
        <f>IFERROR(_xlfn.XLOOKUP($A351,'Base SKUs'!$E:$E,'Base SKUs'!C:C),"")</f>
        <v>Long</v>
      </c>
      <c r="L351" t="str">
        <f>IFERROR(_xlfn.XLOOKUP($A351,'Base SKUs'!$E:$E,'Base SKUs'!D:D),"")</f>
        <v>Hardwoods</v>
      </c>
      <c r="M351" t="str">
        <f>IFERROR(_xlfn.XLOOKUP($A351,'Base SKUs'!$E:$E,'Base SKUs'!G:G),"")</f>
        <v>Ipe</v>
      </c>
      <c r="N351" t="str">
        <f>IFERROR(_xlfn.XLOOKUP($A351,'Base SKUs'!$E:$E,'Base SKUs'!H:H),"")</f>
        <v>S4S E4E</v>
      </c>
      <c r="O351" t="str">
        <f>IFERROR(_xlfn.XLOOKUP($A351,'Base SKUs'!$E:$E,'Base SKUs'!I:I),"")</f>
        <v>-</v>
      </c>
      <c r="P351" t="str">
        <f>IFERROR(_xlfn.XLOOKUP($A351,'Base SKUs'!$E:$E,'Base SKUs'!J:J),"")</f>
        <v>2x4</v>
      </c>
      <c r="Q351">
        <f>IFERROR(_xlfn.XLOOKUP($A351,'Base SKUs'!$E:$E,'Base SKUs'!K:K),"")</f>
        <v>16</v>
      </c>
      <c r="R351" s="7">
        <f>IFERROR(_xlfn.XLOOKUP($A351,'Base SKUs'!$E:$E,'Base SKUs'!S:S),"")</f>
        <v>1.6518160512000002E-2</v>
      </c>
      <c r="S351" s="8">
        <f t="shared" si="27"/>
        <v>1.1232349148160001</v>
      </c>
      <c r="T351" s="7">
        <f>IFERROR(_xlfn.XLOOKUP($A351,'Base SKUs'!$E:$E,'Base SKUs'!R:R),"")</f>
        <v>968.63099999999997</v>
      </c>
      <c r="U351" s="15">
        <f t="shared" si="28"/>
        <v>1088</v>
      </c>
      <c r="V351" t="str">
        <f t="shared" si="29"/>
        <v>Texas</v>
      </c>
    </row>
    <row r="352" spans="1:22" x14ac:dyDescent="0.2">
      <c r="A352" t="s">
        <v>593</v>
      </c>
      <c r="B352" s="5">
        <v>16</v>
      </c>
      <c r="C352" s="5">
        <v>0</v>
      </c>
      <c r="D352" s="5">
        <f t="shared" si="25"/>
        <v>16</v>
      </c>
      <c r="E352" s="6">
        <v>56.027099999999997</v>
      </c>
      <c r="F352" s="6">
        <f t="shared" si="26"/>
        <v>896.43359999999996</v>
      </c>
      <c r="G352" t="s">
        <v>17</v>
      </c>
      <c r="H352">
        <v>9007</v>
      </c>
      <c r="I352" t="str">
        <f>IFERROR(_xlfn.XLOOKUP($A352,'Base SKUs'!$E:$E,'Base SKUs'!A:A),"")</f>
        <v>Ipe</v>
      </c>
      <c r="J352" t="str">
        <f>IFERROR(_xlfn.XLOOKUP($A352,'Base SKUs'!$E:$E,'Base SKUs'!B:B),"")</f>
        <v>Ipe 2x4</v>
      </c>
      <c r="K352" t="str">
        <f>IFERROR(_xlfn.XLOOKUP($A352,'Base SKUs'!$E:$E,'Base SKUs'!C:C),"")</f>
        <v>Long</v>
      </c>
      <c r="L352" t="str">
        <f>IFERROR(_xlfn.XLOOKUP($A352,'Base SKUs'!$E:$E,'Base SKUs'!D:D),"")</f>
        <v>Hardwoods</v>
      </c>
      <c r="M352" t="str">
        <f>IFERROR(_xlfn.XLOOKUP($A352,'Base SKUs'!$E:$E,'Base SKUs'!G:G),"")</f>
        <v>Ipe</v>
      </c>
      <c r="N352" t="str">
        <f>IFERROR(_xlfn.XLOOKUP($A352,'Base SKUs'!$E:$E,'Base SKUs'!H:H),"")</f>
        <v>S4S E4E</v>
      </c>
      <c r="O352" t="str">
        <f>IFERROR(_xlfn.XLOOKUP($A352,'Base SKUs'!$E:$E,'Base SKUs'!I:I),"")</f>
        <v>-</v>
      </c>
      <c r="P352" t="str">
        <f>IFERROR(_xlfn.XLOOKUP($A352,'Base SKUs'!$E:$E,'Base SKUs'!J:J),"")</f>
        <v>2x4</v>
      </c>
      <c r="Q352">
        <f>IFERROR(_xlfn.XLOOKUP($A352,'Base SKUs'!$E:$E,'Base SKUs'!K:K),"")</f>
        <v>18</v>
      </c>
      <c r="R352" s="7">
        <f>IFERROR(_xlfn.XLOOKUP($A352,'Base SKUs'!$E:$E,'Base SKUs'!S:S),"")</f>
        <v>1.8582930576000002E-2</v>
      </c>
      <c r="S352" s="8">
        <f t="shared" si="27"/>
        <v>0.29732688921600003</v>
      </c>
      <c r="T352" s="7">
        <f>IFERROR(_xlfn.XLOOKUP($A352,'Base SKUs'!$E:$E,'Base SKUs'!R:R),"")</f>
        <v>968.63099999999997</v>
      </c>
      <c r="U352" s="15">
        <f t="shared" si="28"/>
        <v>288</v>
      </c>
      <c r="V352" t="str">
        <f t="shared" si="29"/>
        <v>Miami</v>
      </c>
    </row>
    <row r="353" spans="1:22" x14ac:dyDescent="0.2">
      <c r="A353" t="s">
        <v>593</v>
      </c>
      <c r="B353" s="5">
        <v>297</v>
      </c>
      <c r="C353" s="5">
        <v>142</v>
      </c>
      <c r="D353" s="5">
        <f t="shared" si="25"/>
        <v>155</v>
      </c>
      <c r="E353" s="6">
        <v>55.458300000000001</v>
      </c>
      <c r="F353" s="6">
        <f t="shared" si="26"/>
        <v>16471.115099999999</v>
      </c>
      <c r="G353" t="s">
        <v>24</v>
      </c>
      <c r="H353">
        <v>9008</v>
      </c>
      <c r="I353" t="str">
        <f>IFERROR(_xlfn.XLOOKUP($A353,'Base SKUs'!$E:$E,'Base SKUs'!A:A),"")</f>
        <v>Ipe</v>
      </c>
      <c r="J353" t="str">
        <f>IFERROR(_xlfn.XLOOKUP($A353,'Base SKUs'!$E:$E,'Base SKUs'!B:B),"")</f>
        <v>Ipe 2x4</v>
      </c>
      <c r="K353" t="str">
        <f>IFERROR(_xlfn.XLOOKUP($A353,'Base SKUs'!$E:$E,'Base SKUs'!C:C),"")</f>
        <v>Long</v>
      </c>
      <c r="L353" t="str">
        <f>IFERROR(_xlfn.XLOOKUP($A353,'Base SKUs'!$E:$E,'Base SKUs'!D:D),"")</f>
        <v>Hardwoods</v>
      </c>
      <c r="M353" t="str">
        <f>IFERROR(_xlfn.XLOOKUP($A353,'Base SKUs'!$E:$E,'Base SKUs'!G:G),"")</f>
        <v>Ipe</v>
      </c>
      <c r="N353" t="str">
        <f>IFERROR(_xlfn.XLOOKUP($A353,'Base SKUs'!$E:$E,'Base SKUs'!H:H),"")</f>
        <v>S4S E4E</v>
      </c>
      <c r="O353" t="str">
        <f>IFERROR(_xlfn.XLOOKUP($A353,'Base SKUs'!$E:$E,'Base SKUs'!I:I),"")</f>
        <v>-</v>
      </c>
      <c r="P353" t="str">
        <f>IFERROR(_xlfn.XLOOKUP($A353,'Base SKUs'!$E:$E,'Base SKUs'!J:J),"")</f>
        <v>2x4</v>
      </c>
      <c r="Q353">
        <f>IFERROR(_xlfn.XLOOKUP($A353,'Base SKUs'!$E:$E,'Base SKUs'!K:K),"")</f>
        <v>18</v>
      </c>
      <c r="R353" s="7">
        <f>IFERROR(_xlfn.XLOOKUP($A353,'Base SKUs'!$E:$E,'Base SKUs'!S:S),"")</f>
        <v>1.8582930576000002E-2</v>
      </c>
      <c r="S353" s="8">
        <f t="shared" si="27"/>
        <v>2.8803542392800003</v>
      </c>
      <c r="T353" s="7">
        <f>IFERROR(_xlfn.XLOOKUP($A353,'Base SKUs'!$E:$E,'Base SKUs'!R:R),"")</f>
        <v>968.63099999999997</v>
      </c>
      <c r="U353" s="15">
        <f t="shared" si="28"/>
        <v>2790</v>
      </c>
      <c r="V353" t="str">
        <f t="shared" si="29"/>
        <v>Texas</v>
      </c>
    </row>
    <row r="354" spans="1:22" x14ac:dyDescent="0.2">
      <c r="A354" t="s">
        <v>593</v>
      </c>
      <c r="B354" s="5">
        <v>61</v>
      </c>
      <c r="C354" s="5">
        <v>0</v>
      </c>
      <c r="D354" s="5">
        <f t="shared" si="25"/>
        <v>61</v>
      </c>
      <c r="E354" s="6">
        <v>55.746699999999997</v>
      </c>
      <c r="F354" s="6">
        <f t="shared" si="26"/>
        <v>3400.5486999999998</v>
      </c>
      <c r="G354" t="s">
        <v>125</v>
      </c>
      <c r="H354">
        <v>9009</v>
      </c>
      <c r="I354" t="str">
        <f>IFERROR(_xlfn.XLOOKUP($A354,'Base SKUs'!$E:$E,'Base SKUs'!A:A),"")</f>
        <v>Ipe</v>
      </c>
      <c r="J354" t="str">
        <f>IFERROR(_xlfn.XLOOKUP($A354,'Base SKUs'!$E:$E,'Base SKUs'!B:B),"")</f>
        <v>Ipe 2x4</v>
      </c>
      <c r="K354" t="str">
        <f>IFERROR(_xlfn.XLOOKUP($A354,'Base SKUs'!$E:$E,'Base SKUs'!C:C),"")</f>
        <v>Long</v>
      </c>
      <c r="L354" t="str">
        <f>IFERROR(_xlfn.XLOOKUP($A354,'Base SKUs'!$E:$E,'Base SKUs'!D:D),"")</f>
        <v>Hardwoods</v>
      </c>
      <c r="M354" t="str">
        <f>IFERROR(_xlfn.XLOOKUP($A354,'Base SKUs'!$E:$E,'Base SKUs'!G:G),"")</f>
        <v>Ipe</v>
      </c>
      <c r="N354" t="str">
        <f>IFERROR(_xlfn.XLOOKUP($A354,'Base SKUs'!$E:$E,'Base SKUs'!H:H),"")</f>
        <v>S4S E4E</v>
      </c>
      <c r="O354" t="str">
        <f>IFERROR(_xlfn.XLOOKUP($A354,'Base SKUs'!$E:$E,'Base SKUs'!I:I),"")</f>
        <v>-</v>
      </c>
      <c r="P354" t="str">
        <f>IFERROR(_xlfn.XLOOKUP($A354,'Base SKUs'!$E:$E,'Base SKUs'!J:J),"")</f>
        <v>2x4</v>
      </c>
      <c r="Q354">
        <f>IFERROR(_xlfn.XLOOKUP($A354,'Base SKUs'!$E:$E,'Base SKUs'!K:K),"")</f>
        <v>18</v>
      </c>
      <c r="R354" s="7">
        <f>IFERROR(_xlfn.XLOOKUP($A354,'Base SKUs'!$E:$E,'Base SKUs'!S:S),"")</f>
        <v>1.8582930576000002E-2</v>
      </c>
      <c r="S354" s="8">
        <f t="shared" si="27"/>
        <v>1.1335587651360002</v>
      </c>
      <c r="T354" s="7">
        <f>IFERROR(_xlfn.XLOOKUP($A354,'Base SKUs'!$E:$E,'Base SKUs'!R:R),"")</f>
        <v>968.63099999999997</v>
      </c>
      <c r="U354" s="15">
        <f t="shared" si="28"/>
        <v>1098</v>
      </c>
      <c r="V354" t="str">
        <f t="shared" si="29"/>
        <v>Boston</v>
      </c>
    </row>
    <row r="355" spans="1:22" x14ac:dyDescent="0.2">
      <c r="A355" t="s">
        <v>593</v>
      </c>
      <c r="B355" s="5">
        <v>382</v>
      </c>
      <c r="C355" s="5">
        <v>66</v>
      </c>
      <c r="D355" s="5">
        <f t="shared" si="25"/>
        <v>316</v>
      </c>
      <c r="E355" s="6">
        <v>58.625399999999999</v>
      </c>
      <c r="F355" s="6">
        <f t="shared" si="26"/>
        <v>22394.9028</v>
      </c>
      <c r="G355" t="s">
        <v>330</v>
      </c>
      <c r="H355">
        <v>9011</v>
      </c>
      <c r="I355" t="str">
        <f>IFERROR(_xlfn.XLOOKUP($A355,'Base SKUs'!$E:$E,'Base SKUs'!A:A),"")</f>
        <v>Ipe</v>
      </c>
      <c r="J355" t="str">
        <f>IFERROR(_xlfn.XLOOKUP($A355,'Base SKUs'!$E:$E,'Base SKUs'!B:B),"")</f>
        <v>Ipe 2x4</v>
      </c>
      <c r="K355" t="str">
        <f>IFERROR(_xlfn.XLOOKUP($A355,'Base SKUs'!$E:$E,'Base SKUs'!C:C),"")</f>
        <v>Long</v>
      </c>
      <c r="L355" t="str">
        <f>IFERROR(_xlfn.XLOOKUP($A355,'Base SKUs'!$E:$E,'Base SKUs'!D:D),"")</f>
        <v>Hardwoods</v>
      </c>
      <c r="M355" t="str">
        <f>IFERROR(_xlfn.XLOOKUP($A355,'Base SKUs'!$E:$E,'Base SKUs'!G:G),"")</f>
        <v>Ipe</v>
      </c>
      <c r="N355" t="str">
        <f>IFERROR(_xlfn.XLOOKUP($A355,'Base SKUs'!$E:$E,'Base SKUs'!H:H),"")</f>
        <v>S4S E4E</v>
      </c>
      <c r="O355" t="str">
        <f>IFERROR(_xlfn.XLOOKUP($A355,'Base SKUs'!$E:$E,'Base SKUs'!I:I),"")</f>
        <v>-</v>
      </c>
      <c r="P355" t="str">
        <f>IFERROR(_xlfn.XLOOKUP($A355,'Base SKUs'!$E:$E,'Base SKUs'!J:J),"")</f>
        <v>2x4</v>
      </c>
      <c r="Q355">
        <f>IFERROR(_xlfn.XLOOKUP($A355,'Base SKUs'!$E:$E,'Base SKUs'!K:K),"")</f>
        <v>18</v>
      </c>
      <c r="R355" s="7">
        <f>IFERROR(_xlfn.XLOOKUP($A355,'Base SKUs'!$E:$E,'Base SKUs'!S:S),"")</f>
        <v>1.8582930576000002E-2</v>
      </c>
      <c r="S355" s="8">
        <f t="shared" si="27"/>
        <v>5.8722060620160006</v>
      </c>
      <c r="T355" s="7">
        <f>IFERROR(_xlfn.XLOOKUP($A355,'Base SKUs'!$E:$E,'Base SKUs'!R:R),"")</f>
        <v>968.63099999999997</v>
      </c>
      <c r="U355" s="15">
        <f t="shared" si="28"/>
        <v>5688</v>
      </c>
      <c r="V355" t="str">
        <f t="shared" si="29"/>
        <v>New York</v>
      </c>
    </row>
    <row r="356" spans="1:22" x14ac:dyDescent="0.2">
      <c r="A356" t="s">
        <v>595</v>
      </c>
      <c r="B356" s="5">
        <v>17</v>
      </c>
      <c r="C356" s="5">
        <v>12</v>
      </c>
      <c r="D356" s="5">
        <f t="shared" si="25"/>
        <v>5</v>
      </c>
      <c r="E356" s="6">
        <v>58.564599999999999</v>
      </c>
      <c r="F356" s="6">
        <f t="shared" si="26"/>
        <v>995.59820000000002</v>
      </c>
      <c r="G356" t="s">
        <v>17</v>
      </c>
      <c r="H356">
        <v>9007</v>
      </c>
      <c r="I356" t="str">
        <f>IFERROR(_xlfn.XLOOKUP($A356,'Base SKUs'!$E:$E,'Base SKUs'!A:A),"")</f>
        <v>Ipe</v>
      </c>
      <c r="J356" t="str">
        <f>IFERROR(_xlfn.XLOOKUP($A356,'Base SKUs'!$E:$E,'Base SKUs'!B:B),"")</f>
        <v>Ipe 2x4</v>
      </c>
      <c r="K356" t="str">
        <f>IFERROR(_xlfn.XLOOKUP($A356,'Base SKUs'!$E:$E,'Base SKUs'!C:C),"")</f>
        <v>Long</v>
      </c>
      <c r="L356" t="str">
        <f>IFERROR(_xlfn.XLOOKUP($A356,'Base SKUs'!$E:$E,'Base SKUs'!D:D),"")</f>
        <v>Hardwoods</v>
      </c>
      <c r="M356" t="str">
        <f>IFERROR(_xlfn.XLOOKUP($A356,'Base SKUs'!$E:$E,'Base SKUs'!G:G),"")</f>
        <v>Ipe</v>
      </c>
      <c r="N356" t="str">
        <f>IFERROR(_xlfn.XLOOKUP($A356,'Base SKUs'!$E:$E,'Base SKUs'!H:H),"")</f>
        <v>S4S E4E</v>
      </c>
      <c r="O356" t="str">
        <f>IFERROR(_xlfn.XLOOKUP($A356,'Base SKUs'!$E:$E,'Base SKUs'!I:I),"")</f>
        <v>-</v>
      </c>
      <c r="P356" t="str">
        <f>IFERROR(_xlfn.XLOOKUP($A356,'Base SKUs'!$E:$E,'Base SKUs'!J:J),"")</f>
        <v>2x4</v>
      </c>
      <c r="Q356">
        <f>IFERROR(_xlfn.XLOOKUP($A356,'Base SKUs'!$E:$E,'Base SKUs'!K:K),"")</f>
        <v>20</v>
      </c>
      <c r="R356" s="7">
        <f>IFERROR(_xlfn.XLOOKUP($A356,'Base SKUs'!$E:$E,'Base SKUs'!S:S),"")</f>
        <v>2.0647700640000002E-2</v>
      </c>
      <c r="S356" s="8">
        <f t="shared" si="27"/>
        <v>0.10323850320000001</v>
      </c>
      <c r="T356" s="7">
        <f>IFERROR(_xlfn.XLOOKUP($A356,'Base SKUs'!$E:$E,'Base SKUs'!R:R),"")</f>
        <v>968.63099999999997</v>
      </c>
      <c r="U356" s="15">
        <f t="shared" si="28"/>
        <v>100</v>
      </c>
      <c r="V356" t="str">
        <f t="shared" si="29"/>
        <v>Miami</v>
      </c>
    </row>
    <row r="357" spans="1:22" x14ac:dyDescent="0.2">
      <c r="A357" t="s">
        <v>595</v>
      </c>
      <c r="B357" s="5">
        <v>208</v>
      </c>
      <c r="C357" s="5">
        <v>132</v>
      </c>
      <c r="D357" s="5">
        <f t="shared" si="25"/>
        <v>76</v>
      </c>
      <c r="E357" s="6">
        <v>61.558300000000003</v>
      </c>
      <c r="F357" s="6">
        <f t="shared" si="26"/>
        <v>12804.126400000001</v>
      </c>
      <c r="G357" t="s">
        <v>24</v>
      </c>
      <c r="H357">
        <v>9008</v>
      </c>
      <c r="I357" t="str">
        <f>IFERROR(_xlfn.XLOOKUP($A357,'Base SKUs'!$E:$E,'Base SKUs'!A:A),"")</f>
        <v>Ipe</v>
      </c>
      <c r="J357" t="str">
        <f>IFERROR(_xlfn.XLOOKUP($A357,'Base SKUs'!$E:$E,'Base SKUs'!B:B),"")</f>
        <v>Ipe 2x4</v>
      </c>
      <c r="K357" t="str">
        <f>IFERROR(_xlfn.XLOOKUP($A357,'Base SKUs'!$E:$E,'Base SKUs'!C:C),"")</f>
        <v>Long</v>
      </c>
      <c r="L357" t="str">
        <f>IFERROR(_xlfn.XLOOKUP($A357,'Base SKUs'!$E:$E,'Base SKUs'!D:D),"")</f>
        <v>Hardwoods</v>
      </c>
      <c r="M357" t="str">
        <f>IFERROR(_xlfn.XLOOKUP($A357,'Base SKUs'!$E:$E,'Base SKUs'!G:G),"")</f>
        <v>Ipe</v>
      </c>
      <c r="N357" t="str">
        <f>IFERROR(_xlfn.XLOOKUP($A357,'Base SKUs'!$E:$E,'Base SKUs'!H:H),"")</f>
        <v>S4S E4E</v>
      </c>
      <c r="O357" t="str">
        <f>IFERROR(_xlfn.XLOOKUP($A357,'Base SKUs'!$E:$E,'Base SKUs'!I:I),"")</f>
        <v>-</v>
      </c>
      <c r="P357" t="str">
        <f>IFERROR(_xlfn.XLOOKUP($A357,'Base SKUs'!$E:$E,'Base SKUs'!J:J),"")</f>
        <v>2x4</v>
      </c>
      <c r="Q357">
        <f>IFERROR(_xlfn.XLOOKUP($A357,'Base SKUs'!$E:$E,'Base SKUs'!K:K),"")</f>
        <v>20</v>
      </c>
      <c r="R357" s="7">
        <f>IFERROR(_xlfn.XLOOKUP($A357,'Base SKUs'!$E:$E,'Base SKUs'!S:S),"")</f>
        <v>2.0647700640000002E-2</v>
      </c>
      <c r="S357" s="8">
        <f t="shared" si="27"/>
        <v>1.5692252486400002</v>
      </c>
      <c r="T357" s="7">
        <f>IFERROR(_xlfn.XLOOKUP($A357,'Base SKUs'!$E:$E,'Base SKUs'!R:R),"")</f>
        <v>968.63099999999997</v>
      </c>
      <c r="U357" s="15">
        <f t="shared" si="28"/>
        <v>1520</v>
      </c>
      <c r="V357" t="str">
        <f t="shared" si="29"/>
        <v>Texas</v>
      </c>
    </row>
    <row r="358" spans="1:22" x14ac:dyDescent="0.2">
      <c r="A358" t="s">
        <v>595</v>
      </c>
      <c r="B358" s="5">
        <v>25</v>
      </c>
      <c r="C358" s="5">
        <v>0</v>
      </c>
      <c r="D358" s="5">
        <f t="shared" si="25"/>
        <v>25</v>
      </c>
      <c r="E358" s="6">
        <v>61.9392</v>
      </c>
      <c r="F358" s="6">
        <f t="shared" si="26"/>
        <v>1548.48</v>
      </c>
      <c r="G358" t="s">
        <v>125</v>
      </c>
      <c r="H358">
        <v>9009</v>
      </c>
      <c r="I358" t="str">
        <f>IFERROR(_xlfn.XLOOKUP($A358,'Base SKUs'!$E:$E,'Base SKUs'!A:A),"")</f>
        <v>Ipe</v>
      </c>
      <c r="J358" t="str">
        <f>IFERROR(_xlfn.XLOOKUP($A358,'Base SKUs'!$E:$E,'Base SKUs'!B:B),"")</f>
        <v>Ipe 2x4</v>
      </c>
      <c r="K358" t="str">
        <f>IFERROR(_xlfn.XLOOKUP($A358,'Base SKUs'!$E:$E,'Base SKUs'!C:C),"")</f>
        <v>Long</v>
      </c>
      <c r="L358" t="str">
        <f>IFERROR(_xlfn.XLOOKUP($A358,'Base SKUs'!$E:$E,'Base SKUs'!D:D),"")</f>
        <v>Hardwoods</v>
      </c>
      <c r="M358" t="str">
        <f>IFERROR(_xlfn.XLOOKUP($A358,'Base SKUs'!$E:$E,'Base SKUs'!G:G),"")</f>
        <v>Ipe</v>
      </c>
      <c r="N358" t="str">
        <f>IFERROR(_xlfn.XLOOKUP($A358,'Base SKUs'!$E:$E,'Base SKUs'!H:H),"")</f>
        <v>S4S E4E</v>
      </c>
      <c r="O358" t="str">
        <f>IFERROR(_xlfn.XLOOKUP($A358,'Base SKUs'!$E:$E,'Base SKUs'!I:I),"")</f>
        <v>-</v>
      </c>
      <c r="P358" t="str">
        <f>IFERROR(_xlfn.XLOOKUP($A358,'Base SKUs'!$E:$E,'Base SKUs'!J:J),"")</f>
        <v>2x4</v>
      </c>
      <c r="Q358">
        <f>IFERROR(_xlfn.XLOOKUP($A358,'Base SKUs'!$E:$E,'Base SKUs'!K:K),"")</f>
        <v>20</v>
      </c>
      <c r="R358" s="7">
        <f>IFERROR(_xlfn.XLOOKUP($A358,'Base SKUs'!$E:$E,'Base SKUs'!S:S),"")</f>
        <v>2.0647700640000002E-2</v>
      </c>
      <c r="S358" s="8">
        <f t="shared" si="27"/>
        <v>0.51619251600000005</v>
      </c>
      <c r="T358" s="7">
        <f>IFERROR(_xlfn.XLOOKUP($A358,'Base SKUs'!$E:$E,'Base SKUs'!R:R),"")</f>
        <v>968.63099999999997</v>
      </c>
      <c r="U358" s="15">
        <f t="shared" si="28"/>
        <v>500</v>
      </c>
      <c r="V358" t="str">
        <f t="shared" si="29"/>
        <v>Boston</v>
      </c>
    </row>
    <row r="359" spans="1:22" x14ac:dyDescent="0.2">
      <c r="A359" t="s">
        <v>595</v>
      </c>
      <c r="B359" s="5">
        <v>299</v>
      </c>
      <c r="C359" s="5">
        <v>0</v>
      </c>
      <c r="D359" s="5">
        <f t="shared" si="25"/>
        <v>299</v>
      </c>
      <c r="E359" s="6">
        <v>61.9392</v>
      </c>
      <c r="F359" s="6">
        <f t="shared" si="26"/>
        <v>18519.820800000001</v>
      </c>
      <c r="G359" t="s">
        <v>330</v>
      </c>
      <c r="H359">
        <v>9011</v>
      </c>
      <c r="I359" t="str">
        <f>IFERROR(_xlfn.XLOOKUP($A359,'Base SKUs'!$E:$E,'Base SKUs'!A:A),"")</f>
        <v>Ipe</v>
      </c>
      <c r="J359" t="str">
        <f>IFERROR(_xlfn.XLOOKUP($A359,'Base SKUs'!$E:$E,'Base SKUs'!B:B),"")</f>
        <v>Ipe 2x4</v>
      </c>
      <c r="K359" t="str">
        <f>IFERROR(_xlfn.XLOOKUP($A359,'Base SKUs'!$E:$E,'Base SKUs'!C:C),"")</f>
        <v>Long</v>
      </c>
      <c r="L359" t="str">
        <f>IFERROR(_xlfn.XLOOKUP($A359,'Base SKUs'!$E:$E,'Base SKUs'!D:D),"")</f>
        <v>Hardwoods</v>
      </c>
      <c r="M359" t="str">
        <f>IFERROR(_xlfn.XLOOKUP($A359,'Base SKUs'!$E:$E,'Base SKUs'!G:G),"")</f>
        <v>Ipe</v>
      </c>
      <c r="N359" t="str">
        <f>IFERROR(_xlfn.XLOOKUP($A359,'Base SKUs'!$E:$E,'Base SKUs'!H:H),"")</f>
        <v>S4S E4E</v>
      </c>
      <c r="O359" t="str">
        <f>IFERROR(_xlfn.XLOOKUP($A359,'Base SKUs'!$E:$E,'Base SKUs'!I:I),"")</f>
        <v>-</v>
      </c>
      <c r="P359" t="str">
        <f>IFERROR(_xlfn.XLOOKUP($A359,'Base SKUs'!$E:$E,'Base SKUs'!J:J),"")</f>
        <v>2x4</v>
      </c>
      <c r="Q359">
        <f>IFERROR(_xlfn.XLOOKUP($A359,'Base SKUs'!$E:$E,'Base SKUs'!K:K),"")</f>
        <v>20</v>
      </c>
      <c r="R359" s="7">
        <f>IFERROR(_xlfn.XLOOKUP($A359,'Base SKUs'!$E:$E,'Base SKUs'!S:S),"")</f>
        <v>2.0647700640000002E-2</v>
      </c>
      <c r="S359" s="8">
        <f t="shared" si="27"/>
        <v>6.1736624913600009</v>
      </c>
      <c r="T359" s="7">
        <f>IFERROR(_xlfn.XLOOKUP($A359,'Base SKUs'!$E:$E,'Base SKUs'!R:R),"")</f>
        <v>968.63099999999997</v>
      </c>
      <c r="U359" s="15">
        <f t="shared" si="28"/>
        <v>5980</v>
      </c>
      <c r="V359" t="str">
        <f t="shared" si="29"/>
        <v>New York</v>
      </c>
    </row>
    <row r="360" spans="1:22" x14ac:dyDescent="0.2">
      <c r="A360" t="s">
        <v>597</v>
      </c>
      <c r="B360" s="5">
        <v>39</v>
      </c>
      <c r="C360" s="5">
        <v>29</v>
      </c>
      <c r="D360" s="5">
        <f t="shared" si="25"/>
        <v>10</v>
      </c>
      <c r="E360" s="6">
        <v>66.796800000000005</v>
      </c>
      <c r="F360" s="6">
        <f t="shared" si="26"/>
        <v>2605.0752000000002</v>
      </c>
      <c r="G360" t="s">
        <v>17</v>
      </c>
      <c r="H360">
        <v>9007</v>
      </c>
      <c r="I360" t="str">
        <f>IFERROR(_xlfn.XLOOKUP($A360,'Base SKUs'!$E:$E,'Base SKUs'!A:A),"")</f>
        <v>Ipe</v>
      </c>
      <c r="J360" t="str">
        <f>IFERROR(_xlfn.XLOOKUP($A360,'Base SKUs'!$E:$E,'Base SKUs'!B:B),"")</f>
        <v>Ipe 2x4</v>
      </c>
      <c r="K360" t="str">
        <f>IFERROR(_xlfn.XLOOKUP($A360,'Base SKUs'!$E:$E,'Base SKUs'!C:C),"")</f>
        <v>Long</v>
      </c>
      <c r="L360" t="str">
        <f>IFERROR(_xlfn.XLOOKUP($A360,'Base SKUs'!$E:$E,'Base SKUs'!D:D),"")</f>
        <v>Hardwoods</v>
      </c>
      <c r="M360" t="str">
        <f>IFERROR(_xlfn.XLOOKUP($A360,'Base SKUs'!$E:$E,'Base SKUs'!G:G),"")</f>
        <v>Ipe</v>
      </c>
      <c r="N360" t="str">
        <f>IFERROR(_xlfn.XLOOKUP($A360,'Base SKUs'!$E:$E,'Base SKUs'!H:H),"")</f>
        <v>S4S E4E</v>
      </c>
      <c r="O360" t="str">
        <f>IFERROR(_xlfn.XLOOKUP($A360,'Base SKUs'!$E:$E,'Base SKUs'!I:I),"")</f>
        <v>-</v>
      </c>
      <c r="P360" t="str">
        <f>IFERROR(_xlfn.XLOOKUP($A360,'Base SKUs'!$E:$E,'Base SKUs'!J:J),"")</f>
        <v>2x4</v>
      </c>
      <c r="Q360">
        <f>IFERROR(_xlfn.XLOOKUP($A360,'Base SKUs'!$E:$E,'Base SKUs'!K:K),"")</f>
        <v>22</v>
      </c>
      <c r="R360" s="7">
        <f>IFERROR(_xlfn.XLOOKUP($A360,'Base SKUs'!$E:$E,'Base SKUs'!S:S),"")</f>
        <v>2.2712470704000003E-2</v>
      </c>
      <c r="S360" s="8">
        <f t="shared" si="27"/>
        <v>0.22712470704000004</v>
      </c>
      <c r="T360" s="7">
        <f>IFERROR(_xlfn.XLOOKUP($A360,'Base SKUs'!$E:$E,'Base SKUs'!R:R),"")</f>
        <v>968.63099999999997</v>
      </c>
      <c r="U360" s="15">
        <f t="shared" si="28"/>
        <v>220</v>
      </c>
      <c r="V360" t="str">
        <f t="shared" si="29"/>
        <v>Miami</v>
      </c>
    </row>
    <row r="361" spans="1:22" x14ac:dyDescent="0.2">
      <c r="A361" t="s">
        <v>597</v>
      </c>
      <c r="B361" s="5">
        <v>130</v>
      </c>
      <c r="C361" s="5">
        <v>88</v>
      </c>
      <c r="D361" s="5">
        <f t="shared" si="25"/>
        <v>42</v>
      </c>
      <c r="E361" s="6">
        <v>68.1267</v>
      </c>
      <c r="F361" s="6">
        <f t="shared" si="26"/>
        <v>8856.4709999999995</v>
      </c>
      <c r="G361" t="s">
        <v>24</v>
      </c>
      <c r="H361">
        <v>9008</v>
      </c>
      <c r="I361" t="str">
        <f>IFERROR(_xlfn.XLOOKUP($A361,'Base SKUs'!$E:$E,'Base SKUs'!A:A),"")</f>
        <v>Ipe</v>
      </c>
      <c r="J361" t="str">
        <f>IFERROR(_xlfn.XLOOKUP($A361,'Base SKUs'!$E:$E,'Base SKUs'!B:B),"")</f>
        <v>Ipe 2x4</v>
      </c>
      <c r="K361" t="str">
        <f>IFERROR(_xlfn.XLOOKUP($A361,'Base SKUs'!$E:$E,'Base SKUs'!C:C),"")</f>
        <v>Long</v>
      </c>
      <c r="L361" t="str">
        <f>IFERROR(_xlfn.XLOOKUP($A361,'Base SKUs'!$E:$E,'Base SKUs'!D:D),"")</f>
        <v>Hardwoods</v>
      </c>
      <c r="M361" t="str">
        <f>IFERROR(_xlfn.XLOOKUP($A361,'Base SKUs'!$E:$E,'Base SKUs'!G:G),"")</f>
        <v>Ipe</v>
      </c>
      <c r="N361" t="str">
        <f>IFERROR(_xlfn.XLOOKUP($A361,'Base SKUs'!$E:$E,'Base SKUs'!H:H),"")</f>
        <v>S4S E4E</v>
      </c>
      <c r="O361" t="str">
        <f>IFERROR(_xlfn.XLOOKUP($A361,'Base SKUs'!$E:$E,'Base SKUs'!I:I),"")</f>
        <v>-</v>
      </c>
      <c r="P361" t="str">
        <f>IFERROR(_xlfn.XLOOKUP($A361,'Base SKUs'!$E:$E,'Base SKUs'!J:J),"")</f>
        <v>2x4</v>
      </c>
      <c r="Q361">
        <f>IFERROR(_xlfn.XLOOKUP($A361,'Base SKUs'!$E:$E,'Base SKUs'!K:K),"")</f>
        <v>22</v>
      </c>
      <c r="R361" s="7">
        <f>IFERROR(_xlfn.XLOOKUP($A361,'Base SKUs'!$E:$E,'Base SKUs'!S:S),"")</f>
        <v>2.2712470704000003E-2</v>
      </c>
      <c r="S361" s="8">
        <f t="shared" si="27"/>
        <v>0.95392376956800007</v>
      </c>
      <c r="T361" s="7">
        <f>IFERROR(_xlfn.XLOOKUP($A361,'Base SKUs'!$E:$E,'Base SKUs'!R:R),"")</f>
        <v>968.63099999999997</v>
      </c>
      <c r="U361" s="15">
        <f t="shared" si="28"/>
        <v>924</v>
      </c>
      <c r="V361" t="str">
        <f t="shared" si="29"/>
        <v>Texas</v>
      </c>
    </row>
    <row r="362" spans="1:22" x14ac:dyDescent="0.2">
      <c r="A362" t="s">
        <v>597</v>
      </c>
      <c r="B362" s="5">
        <v>75</v>
      </c>
      <c r="C362" s="5">
        <v>0</v>
      </c>
      <c r="D362" s="5">
        <f t="shared" si="25"/>
        <v>75</v>
      </c>
      <c r="E362" s="6">
        <v>68.1267</v>
      </c>
      <c r="F362" s="6">
        <f t="shared" si="26"/>
        <v>5109.5024999999996</v>
      </c>
      <c r="G362" t="s">
        <v>330</v>
      </c>
      <c r="H362">
        <v>9011</v>
      </c>
      <c r="I362" t="str">
        <f>IFERROR(_xlfn.XLOOKUP($A362,'Base SKUs'!$E:$E,'Base SKUs'!A:A),"")</f>
        <v>Ipe</v>
      </c>
      <c r="J362" t="str">
        <f>IFERROR(_xlfn.XLOOKUP($A362,'Base SKUs'!$E:$E,'Base SKUs'!B:B),"")</f>
        <v>Ipe 2x4</v>
      </c>
      <c r="K362" t="str">
        <f>IFERROR(_xlfn.XLOOKUP($A362,'Base SKUs'!$E:$E,'Base SKUs'!C:C),"")</f>
        <v>Long</v>
      </c>
      <c r="L362" t="str">
        <f>IFERROR(_xlfn.XLOOKUP($A362,'Base SKUs'!$E:$E,'Base SKUs'!D:D),"")</f>
        <v>Hardwoods</v>
      </c>
      <c r="M362" t="str">
        <f>IFERROR(_xlfn.XLOOKUP($A362,'Base SKUs'!$E:$E,'Base SKUs'!G:G),"")</f>
        <v>Ipe</v>
      </c>
      <c r="N362" t="str">
        <f>IFERROR(_xlfn.XLOOKUP($A362,'Base SKUs'!$E:$E,'Base SKUs'!H:H),"")</f>
        <v>S4S E4E</v>
      </c>
      <c r="O362" t="str">
        <f>IFERROR(_xlfn.XLOOKUP($A362,'Base SKUs'!$E:$E,'Base SKUs'!I:I),"")</f>
        <v>-</v>
      </c>
      <c r="P362" t="str">
        <f>IFERROR(_xlfn.XLOOKUP($A362,'Base SKUs'!$E:$E,'Base SKUs'!J:J),"")</f>
        <v>2x4</v>
      </c>
      <c r="Q362">
        <f>IFERROR(_xlfn.XLOOKUP($A362,'Base SKUs'!$E:$E,'Base SKUs'!K:K),"")</f>
        <v>22</v>
      </c>
      <c r="R362" s="7">
        <f>IFERROR(_xlfn.XLOOKUP($A362,'Base SKUs'!$E:$E,'Base SKUs'!S:S),"")</f>
        <v>2.2712470704000003E-2</v>
      </c>
      <c r="S362" s="8">
        <f t="shared" si="27"/>
        <v>1.7034353028000002</v>
      </c>
      <c r="T362" s="7">
        <f>IFERROR(_xlfn.XLOOKUP($A362,'Base SKUs'!$E:$E,'Base SKUs'!R:R),"")</f>
        <v>968.63099999999997</v>
      </c>
      <c r="U362" s="15">
        <f t="shared" si="28"/>
        <v>1650</v>
      </c>
      <c r="V362" t="str">
        <f t="shared" si="29"/>
        <v>New York</v>
      </c>
    </row>
    <row r="363" spans="1:22" x14ac:dyDescent="0.2">
      <c r="A363" t="s">
        <v>599</v>
      </c>
      <c r="B363" s="5">
        <v>57</v>
      </c>
      <c r="C363" s="5">
        <v>0</v>
      </c>
      <c r="D363" s="5">
        <f t="shared" si="25"/>
        <v>57</v>
      </c>
      <c r="E363" s="6">
        <v>2.7818000000000001</v>
      </c>
      <c r="F363" s="6">
        <f t="shared" si="26"/>
        <v>158.5626</v>
      </c>
      <c r="G363" t="s">
        <v>17</v>
      </c>
      <c r="H363">
        <v>9007</v>
      </c>
      <c r="I363" t="str">
        <f>IFERROR(_xlfn.XLOOKUP($A363,'Base SKUs'!$E:$E,'Base SKUs'!A:A),"")</f>
        <v>Ipe</v>
      </c>
      <c r="J363" t="str">
        <f>IFERROR(_xlfn.XLOOKUP($A363,'Base SKUs'!$E:$E,'Base SKUs'!B:B),"")</f>
        <v>Ipe 2x4</v>
      </c>
      <c r="K363" t="str">
        <f>IFERROR(_xlfn.XLOOKUP($A363,'Base SKUs'!$E:$E,'Base SKUs'!C:C),"")</f>
        <v>Short</v>
      </c>
      <c r="L363" t="str">
        <f>IFERROR(_xlfn.XLOOKUP($A363,'Base SKUs'!$E:$E,'Base SKUs'!D:D),"")</f>
        <v>Hardwoods</v>
      </c>
      <c r="M363" t="str">
        <f>IFERROR(_xlfn.XLOOKUP($A363,'Base SKUs'!$E:$E,'Base SKUs'!G:G),"")</f>
        <v>Ipe</v>
      </c>
      <c r="N363" t="str">
        <f>IFERROR(_xlfn.XLOOKUP($A363,'Base SKUs'!$E:$E,'Base SKUs'!H:H),"")</f>
        <v>S4S E4E</v>
      </c>
      <c r="O363" t="str">
        <f>IFERROR(_xlfn.XLOOKUP($A363,'Base SKUs'!$E:$E,'Base SKUs'!I:I),"")</f>
        <v>-</v>
      </c>
      <c r="P363" t="str">
        <f>IFERROR(_xlfn.XLOOKUP($A363,'Base SKUs'!$E:$E,'Base SKUs'!J:J),"")</f>
        <v>2x4</v>
      </c>
      <c r="Q363">
        <f>IFERROR(_xlfn.XLOOKUP($A363,'Base SKUs'!$E:$E,'Base SKUs'!K:K),"")</f>
        <v>3</v>
      </c>
      <c r="R363" s="7">
        <f>IFERROR(_xlfn.XLOOKUP($A363,'Base SKUs'!$E:$E,'Base SKUs'!S:S),"")</f>
        <v>3.0971550959999999E-3</v>
      </c>
      <c r="S363" s="8">
        <f t="shared" si="27"/>
        <v>0.176537840472</v>
      </c>
      <c r="T363" s="7">
        <f>IFERROR(_xlfn.XLOOKUP($A363,'Base SKUs'!$E:$E,'Base SKUs'!R:R),"")</f>
        <v>968.63099999999997</v>
      </c>
      <c r="U363" s="15">
        <f t="shared" si="28"/>
        <v>171</v>
      </c>
      <c r="V363" t="str">
        <f t="shared" si="29"/>
        <v>Miami</v>
      </c>
    </row>
    <row r="364" spans="1:22" x14ac:dyDescent="0.2">
      <c r="A364" t="s">
        <v>601</v>
      </c>
      <c r="B364" s="5">
        <v>164</v>
      </c>
      <c r="C364" s="5">
        <v>0</v>
      </c>
      <c r="D364" s="5">
        <f t="shared" si="25"/>
        <v>164</v>
      </c>
      <c r="E364" s="6">
        <v>3.7159</v>
      </c>
      <c r="F364" s="6">
        <f t="shared" si="26"/>
        <v>609.4076</v>
      </c>
      <c r="G364" t="s">
        <v>17</v>
      </c>
      <c r="H364">
        <v>9007</v>
      </c>
      <c r="I364" t="str">
        <f>IFERROR(_xlfn.XLOOKUP($A364,'Base SKUs'!$E:$E,'Base SKUs'!A:A),"")</f>
        <v>Ipe</v>
      </c>
      <c r="J364" t="str">
        <f>IFERROR(_xlfn.XLOOKUP($A364,'Base SKUs'!$E:$E,'Base SKUs'!B:B),"")</f>
        <v>Ipe 2x4</v>
      </c>
      <c r="K364" t="str">
        <f>IFERROR(_xlfn.XLOOKUP($A364,'Base SKUs'!$E:$E,'Base SKUs'!C:C),"")</f>
        <v>Short</v>
      </c>
      <c r="L364" t="str">
        <f>IFERROR(_xlfn.XLOOKUP($A364,'Base SKUs'!$E:$E,'Base SKUs'!D:D),"")</f>
        <v>Hardwoods</v>
      </c>
      <c r="M364" t="str">
        <f>IFERROR(_xlfn.XLOOKUP($A364,'Base SKUs'!$E:$E,'Base SKUs'!G:G),"")</f>
        <v>Ipe</v>
      </c>
      <c r="N364" t="str">
        <f>IFERROR(_xlfn.XLOOKUP($A364,'Base SKUs'!$E:$E,'Base SKUs'!H:H),"")</f>
        <v>S4S E4E</v>
      </c>
      <c r="O364" t="str">
        <f>IFERROR(_xlfn.XLOOKUP($A364,'Base SKUs'!$E:$E,'Base SKUs'!I:I),"")</f>
        <v>-</v>
      </c>
      <c r="P364" t="str">
        <f>IFERROR(_xlfn.XLOOKUP($A364,'Base SKUs'!$E:$E,'Base SKUs'!J:J),"")</f>
        <v>2x4</v>
      </c>
      <c r="Q364">
        <f>IFERROR(_xlfn.XLOOKUP($A364,'Base SKUs'!$E:$E,'Base SKUs'!K:K),"")</f>
        <v>4</v>
      </c>
      <c r="R364" s="7">
        <f>IFERROR(_xlfn.XLOOKUP($A364,'Base SKUs'!$E:$E,'Base SKUs'!S:S),"")</f>
        <v>4.1295401280000005E-3</v>
      </c>
      <c r="S364" s="8">
        <f t="shared" si="27"/>
        <v>0.67724458099200002</v>
      </c>
      <c r="T364" s="7">
        <f>IFERROR(_xlfn.XLOOKUP($A364,'Base SKUs'!$E:$E,'Base SKUs'!R:R),"")</f>
        <v>968.63099999999997</v>
      </c>
      <c r="U364" s="15">
        <f t="shared" si="28"/>
        <v>656</v>
      </c>
      <c r="V364" t="str">
        <f t="shared" si="29"/>
        <v>Miami</v>
      </c>
    </row>
    <row r="365" spans="1:22" x14ac:dyDescent="0.2">
      <c r="A365" t="s">
        <v>603</v>
      </c>
      <c r="B365" s="5">
        <v>90</v>
      </c>
      <c r="C365" s="5">
        <v>0</v>
      </c>
      <c r="D365" s="5">
        <f t="shared" si="25"/>
        <v>90</v>
      </c>
      <c r="E365" s="6">
        <v>4.6500000000000004</v>
      </c>
      <c r="F365" s="6">
        <f t="shared" si="26"/>
        <v>418.50000000000006</v>
      </c>
      <c r="G365" t="s">
        <v>17</v>
      </c>
      <c r="H365">
        <v>9007</v>
      </c>
      <c r="I365" t="str">
        <f>IFERROR(_xlfn.XLOOKUP($A365,'Base SKUs'!$E:$E,'Base SKUs'!A:A),"")</f>
        <v>Ipe</v>
      </c>
      <c r="J365" t="str">
        <f>IFERROR(_xlfn.XLOOKUP($A365,'Base SKUs'!$E:$E,'Base SKUs'!B:B),"")</f>
        <v>Ipe 2x4</v>
      </c>
      <c r="K365" t="str">
        <f>IFERROR(_xlfn.XLOOKUP($A365,'Base SKUs'!$E:$E,'Base SKUs'!C:C),"")</f>
        <v>Short</v>
      </c>
      <c r="L365" t="str">
        <f>IFERROR(_xlfn.XLOOKUP($A365,'Base SKUs'!$E:$E,'Base SKUs'!D:D),"")</f>
        <v>Hardwoods</v>
      </c>
      <c r="M365" t="str">
        <f>IFERROR(_xlfn.XLOOKUP($A365,'Base SKUs'!$E:$E,'Base SKUs'!G:G),"")</f>
        <v>Ipe</v>
      </c>
      <c r="N365" t="str">
        <f>IFERROR(_xlfn.XLOOKUP($A365,'Base SKUs'!$E:$E,'Base SKUs'!H:H),"")</f>
        <v>S4S E4E</v>
      </c>
      <c r="O365" t="str">
        <f>IFERROR(_xlfn.XLOOKUP($A365,'Base SKUs'!$E:$E,'Base SKUs'!I:I),"")</f>
        <v>-</v>
      </c>
      <c r="P365" t="str">
        <f>IFERROR(_xlfn.XLOOKUP($A365,'Base SKUs'!$E:$E,'Base SKUs'!J:J),"")</f>
        <v>2x4</v>
      </c>
      <c r="Q365">
        <f>IFERROR(_xlfn.XLOOKUP($A365,'Base SKUs'!$E:$E,'Base SKUs'!K:K),"")</f>
        <v>5</v>
      </c>
      <c r="R365" s="7">
        <f>IFERROR(_xlfn.XLOOKUP($A365,'Base SKUs'!$E:$E,'Base SKUs'!S:S),"")</f>
        <v>5.1619251600000006E-3</v>
      </c>
      <c r="S365" s="8">
        <f t="shared" si="27"/>
        <v>0.46457326440000007</v>
      </c>
      <c r="T365" s="7">
        <f>IFERROR(_xlfn.XLOOKUP($A365,'Base SKUs'!$E:$E,'Base SKUs'!R:R),"")</f>
        <v>968.63099999999997</v>
      </c>
      <c r="U365" s="15">
        <f t="shared" si="28"/>
        <v>450</v>
      </c>
      <c r="V365" t="str">
        <f t="shared" si="29"/>
        <v>Miami</v>
      </c>
    </row>
    <row r="366" spans="1:22" x14ac:dyDescent="0.2">
      <c r="A366" t="s">
        <v>605</v>
      </c>
      <c r="B366" s="5">
        <v>1791</v>
      </c>
      <c r="C366" s="5">
        <v>0</v>
      </c>
      <c r="D366" s="5">
        <f t="shared" si="25"/>
        <v>1791</v>
      </c>
      <c r="E366" s="6">
        <v>9.2927999999999997</v>
      </c>
      <c r="F366" s="6">
        <f t="shared" si="26"/>
        <v>16643.4048</v>
      </c>
      <c r="G366" t="s">
        <v>24</v>
      </c>
      <c r="H366">
        <v>9008</v>
      </c>
      <c r="I366" t="str">
        <f>IFERROR(_xlfn.XLOOKUP($A366,'Base SKUs'!$E:$E,'Base SKUs'!A:A),"")</f>
        <v>Ipe</v>
      </c>
      <c r="J366" t="str">
        <f>IFERROR(_xlfn.XLOOKUP($A366,'Base SKUs'!$E:$E,'Base SKUs'!B:B),"")</f>
        <v>Ipe 2x4</v>
      </c>
      <c r="K366" t="str">
        <f>IFERROR(_xlfn.XLOOKUP($A366,'Base SKUs'!$E:$E,'Base SKUs'!C:C),"")</f>
        <v>Short</v>
      </c>
      <c r="L366" t="str">
        <f>IFERROR(_xlfn.XLOOKUP($A366,'Base SKUs'!$E:$E,'Base SKUs'!D:D),"")</f>
        <v>Hardwoods</v>
      </c>
      <c r="M366" t="str">
        <f>IFERROR(_xlfn.XLOOKUP($A366,'Base SKUs'!$E:$E,'Base SKUs'!G:G),"")</f>
        <v>Ipe</v>
      </c>
      <c r="N366" t="str">
        <f>IFERROR(_xlfn.XLOOKUP($A366,'Base SKUs'!$E:$E,'Base SKUs'!H:H),"")</f>
        <v>S4S E4E</v>
      </c>
      <c r="O366" t="str">
        <f>IFERROR(_xlfn.XLOOKUP($A366,'Base SKUs'!$E:$E,'Base SKUs'!I:I),"")</f>
        <v>-</v>
      </c>
      <c r="P366" t="str">
        <f>IFERROR(_xlfn.XLOOKUP($A366,'Base SKUs'!$E:$E,'Base SKUs'!J:J),"")</f>
        <v>2x4</v>
      </c>
      <c r="Q366">
        <f>IFERROR(_xlfn.XLOOKUP($A366,'Base SKUs'!$E:$E,'Base SKUs'!K:K),"")</f>
        <v>6</v>
      </c>
      <c r="R366" s="7">
        <f>IFERROR(_xlfn.XLOOKUP($A366,'Base SKUs'!$E:$E,'Base SKUs'!S:S),"")</f>
        <v>6.1943101919999998E-3</v>
      </c>
      <c r="S366" s="8">
        <f t="shared" si="27"/>
        <v>11.094009553872</v>
      </c>
      <c r="T366" s="7">
        <f>IFERROR(_xlfn.XLOOKUP($A366,'Base SKUs'!$E:$E,'Base SKUs'!R:R),"")</f>
        <v>968.63099999999997</v>
      </c>
      <c r="U366" s="15">
        <f t="shared" si="28"/>
        <v>10746</v>
      </c>
      <c r="V366" t="str">
        <f t="shared" si="29"/>
        <v>Texas</v>
      </c>
    </row>
    <row r="367" spans="1:22" x14ac:dyDescent="0.2">
      <c r="A367" t="s">
        <v>605</v>
      </c>
      <c r="B367" s="5">
        <v>8</v>
      </c>
      <c r="C367" s="5">
        <v>1</v>
      </c>
      <c r="D367" s="5">
        <f t="shared" si="25"/>
        <v>7</v>
      </c>
      <c r="E367" s="6">
        <v>12.29</v>
      </c>
      <c r="F367" s="6">
        <f t="shared" si="26"/>
        <v>98.32</v>
      </c>
      <c r="G367" t="s">
        <v>330</v>
      </c>
      <c r="H367">
        <v>9011</v>
      </c>
      <c r="I367" t="str">
        <f>IFERROR(_xlfn.XLOOKUP($A367,'Base SKUs'!$E:$E,'Base SKUs'!A:A),"")</f>
        <v>Ipe</v>
      </c>
      <c r="J367" t="str">
        <f>IFERROR(_xlfn.XLOOKUP($A367,'Base SKUs'!$E:$E,'Base SKUs'!B:B),"")</f>
        <v>Ipe 2x4</v>
      </c>
      <c r="K367" t="str">
        <f>IFERROR(_xlfn.XLOOKUP($A367,'Base SKUs'!$E:$E,'Base SKUs'!C:C),"")</f>
        <v>Short</v>
      </c>
      <c r="L367" t="str">
        <f>IFERROR(_xlfn.XLOOKUP($A367,'Base SKUs'!$E:$E,'Base SKUs'!D:D),"")</f>
        <v>Hardwoods</v>
      </c>
      <c r="M367" t="str">
        <f>IFERROR(_xlfn.XLOOKUP($A367,'Base SKUs'!$E:$E,'Base SKUs'!G:G),"")</f>
        <v>Ipe</v>
      </c>
      <c r="N367" t="str">
        <f>IFERROR(_xlfn.XLOOKUP($A367,'Base SKUs'!$E:$E,'Base SKUs'!H:H),"")</f>
        <v>S4S E4E</v>
      </c>
      <c r="O367" t="str">
        <f>IFERROR(_xlfn.XLOOKUP($A367,'Base SKUs'!$E:$E,'Base SKUs'!I:I),"")</f>
        <v>-</v>
      </c>
      <c r="P367" t="str">
        <f>IFERROR(_xlfn.XLOOKUP($A367,'Base SKUs'!$E:$E,'Base SKUs'!J:J),"")</f>
        <v>2x4</v>
      </c>
      <c r="Q367">
        <f>IFERROR(_xlfn.XLOOKUP($A367,'Base SKUs'!$E:$E,'Base SKUs'!K:K),"")</f>
        <v>6</v>
      </c>
      <c r="R367" s="7">
        <f>IFERROR(_xlfn.XLOOKUP($A367,'Base SKUs'!$E:$E,'Base SKUs'!S:S),"")</f>
        <v>6.1943101919999998E-3</v>
      </c>
      <c r="S367" s="8">
        <f t="shared" si="27"/>
        <v>4.3360171343999998E-2</v>
      </c>
      <c r="T367" s="7">
        <f>IFERROR(_xlfn.XLOOKUP($A367,'Base SKUs'!$E:$E,'Base SKUs'!R:R),"")</f>
        <v>968.63099999999997</v>
      </c>
      <c r="U367" s="15">
        <f t="shared" si="28"/>
        <v>42</v>
      </c>
      <c r="V367" t="str">
        <f t="shared" si="29"/>
        <v>New York</v>
      </c>
    </row>
    <row r="368" spans="1:22" x14ac:dyDescent="0.2">
      <c r="A368" t="s">
        <v>607</v>
      </c>
      <c r="B368" s="5">
        <v>1153</v>
      </c>
      <c r="C368" s="5">
        <v>0</v>
      </c>
      <c r="D368" s="5">
        <f t="shared" si="25"/>
        <v>1153</v>
      </c>
      <c r="E368" s="6">
        <v>10.8422</v>
      </c>
      <c r="F368" s="6">
        <f t="shared" si="26"/>
        <v>12501.0566</v>
      </c>
      <c r="G368" t="s">
        <v>24</v>
      </c>
      <c r="H368">
        <v>9008</v>
      </c>
      <c r="I368" t="str">
        <f>IFERROR(_xlfn.XLOOKUP($A368,'Base SKUs'!$E:$E,'Base SKUs'!A:A),"")</f>
        <v>Ipe</v>
      </c>
      <c r="J368" t="str">
        <f>IFERROR(_xlfn.XLOOKUP($A368,'Base SKUs'!$E:$E,'Base SKUs'!B:B),"")</f>
        <v>Ipe 2x4</v>
      </c>
      <c r="K368" t="str">
        <f>IFERROR(_xlfn.XLOOKUP($A368,'Base SKUs'!$E:$E,'Base SKUs'!C:C),"")</f>
        <v>Short</v>
      </c>
      <c r="L368" t="str">
        <f>IFERROR(_xlfn.XLOOKUP($A368,'Base SKUs'!$E:$E,'Base SKUs'!D:D),"")</f>
        <v>Hardwoods</v>
      </c>
      <c r="M368" t="str">
        <f>IFERROR(_xlfn.XLOOKUP($A368,'Base SKUs'!$E:$E,'Base SKUs'!G:G),"")</f>
        <v>Ipe</v>
      </c>
      <c r="N368" t="str">
        <f>IFERROR(_xlfn.XLOOKUP($A368,'Base SKUs'!$E:$E,'Base SKUs'!H:H),"")</f>
        <v>S4S E4E</v>
      </c>
      <c r="O368" t="str">
        <f>IFERROR(_xlfn.XLOOKUP($A368,'Base SKUs'!$E:$E,'Base SKUs'!I:I),"")</f>
        <v>-</v>
      </c>
      <c r="P368" t="str">
        <f>IFERROR(_xlfn.XLOOKUP($A368,'Base SKUs'!$E:$E,'Base SKUs'!J:J),"")</f>
        <v>2x4</v>
      </c>
      <c r="Q368">
        <f>IFERROR(_xlfn.XLOOKUP($A368,'Base SKUs'!$E:$E,'Base SKUs'!K:K),"")</f>
        <v>7</v>
      </c>
      <c r="R368" s="7">
        <f>IFERROR(_xlfn.XLOOKUP($A368,'Base SKUs'!$E:$E,'Base SKUs'!S:S),"")</f>
        <v>7.226695224E-3</v>
      </c>
      <c r="S368" s="8">
        <f t="shared" si="27"/>
        <v>8.332379593272</v>
      </c>
      <c r="T368" s="7">
        <f>IFERROR(_xlfn.XLOOKUP($A368,'Base SKUs'!$E:$E,'Base SKUs'!R:R),"")</f>
        <v>968.63099999999997</v>
      </c>
      <c r="U368" s="15">
        <f t="shared" si="28"/>
        <v>8071</v>
      </c>
      <c r="V368" t="str">
        <f t="shared" si="29"/>
        <v>Texas</v>
      </c>
    </row>
    <row r="369" spans="1:22" x14ac:dyDescent="0.2">
      <c r="A369" t="s">
        <v>609</v>
      </c>
      <c r="B369" s="5">
        <v>1812</v>
      </c>
      <c r="C369" s="5">
        <v>620</v>
      </c>
      <c r="D369" s="5">
        <f t="shared" si="25"/>
        <v>1192</v>
      </c>
      <c r="E369" s="6">
        <v>20.3062</v>
      </c>
      <c r="F369" s="6">
        <f t="shared" si="26"/>
        <v>36794.8344</v>
      </c>
      <c r="G369" t="s">
        <v>17</v>
      </c>
      <c r="H369">
        <v>9007</v>
      </c>
      <c r="I369" t="str">
        <f>IFERROR(_xlfn.XLOOKUP($A369,'Base SKUs'!$E:$E,'Base SKUs'!A:A),"")</f>
        <v>Ipe</v>
      </c>
      <c r="J369" t="str">
        <f>IFERROR(_xlfn.XLOOKUP($A369,'Base SKUs'!$E:$E,'Base SKUs'!B:B),"")</f>
        <v>Ipe 2x4</v>
      </c>
      <c r="K369" t="str">
        <f>IFERROR(_xlfn.XLOOKUP($A369,'Base SKUs'!$E:$E,'Base SKUs'!C:C),"")</f>
        <v>Long</v>
      </c>
      <c r="L369" t="str">
        <f>IFERROR(_xlfn.XLOOKUP($A369,'Base SKUs'!$E:$E,'Base SKUs'!D:D),"")</f>
        <v>Hardwoods</v>
      </c>
      <c r="M369" t="str">
        <f>IFERROR(_xlfn.XLOOKUP($A369,'Base SKUs'!$E:$E,'Base SKUs'!G:G),"")</f>
        <v>Ipe</v>
      </c>
      <c r="N369" t="str">
        <f>IFERROR(_xlfn.XLOOKUP($A369,'Base SKUs'!$E:$E,'Base SKUs'!H:H),"")</f>
        <v>S4S E4E</v>
      </c>
      <c r="O369" t="str">
        <f>IFERROR(_xlfn.XLOOKUP($A369,'Base SKUs'!$E:$E,'Base SKUs'!I:I),"")</f>
        <v>-</v>
      </c>
      <c r="P369" t="str">
        <f>IFERROR(_xlfn.XLOOKUP($A369,'Base SKUs'!$E:$E,'Base SKUs'!J:J),"")</f>
        <v>2x4</v>
      </c>
      <c r="Q369">
        <f>IFERROR(_xlfn.XLOOKUP($A369,'Base SKUs'!$E:$E,'Base SKUs'!K:K),"")</f>
        <v>8</v>
      </c>
      <c r="R369" s="7">
        <f>IFERROR(_xlfn.XLOOKUP($A369,'Base SKUs'!$E:$E,'Base SKUs'!S:S),"")</f>
        <v>8.259080256000001E-3</v>
      </c>
      <c r="S369" s="8">
        <f t="shared" si="27"/>
        <v>9.8448236651520009</v>
      </c>
      <c r="T369" s="7">
        <f>IFERROR(_xlfn.XLOOKUP($A369,'Base SKUs'!$E:$E,'Base SKUs'!R:R),"")</f>
        <v>968.63099999999997</v>
      </c>
      <c r="U369" s="15">
        <f t="shared" si="28"/>
        <v>9536</v>
      </c>
      <c r="V369" t="str">
        <f t="shared" si="29"/>
        <v>Miami</v>
      </c>
    </row>
    <row r="370" spans="1:22" x14ac:dyDescent="0.2">
      <c r="A370" t="s">
        <v>609</v>
      </c>
      <c r="B370" s="5">
        <v>1197</v>
      </c>
      <c r="C370" s="5">
        <v>0</v>
      </c>
      <c r="D370" s="5">
        <f t="shared" si="25"/>
        <v>1197</v>
      </c>
      <c r="E370" s="6">
        <v>19.556000000000001</v>
      </c>
      <c r="F370" s="6">
        <f t="shared" si="26"/>
        <v>23408.532000000003</v>
      </c>
      <c r="G370" t="s">
        <v>24</v>
      </c>
      <c r="H370">
        <v>9008</v>
      </c>
      <c r="I370" t="str">
        <f>IFERROR(_xlfn.XLOOKUP($A370,'Base SKUs'!$E:$E,'Base SKUs'!A:A),"")</f>
        <v>Ipe</v>
      </c>
      <c r="J370" t="str">
        <f>IFERROR(_xlfn.XLOOKUP($A370,'Base SKUs'!$E:$E,'Base SKUs'!B:B),"")</f>
        <v>Ipe 2x4</v>
      </c>
      <c r="K370" t="str">
        <f>IFERROR(_xlfn.XLOOKUP($A370,'Base SKUs'!$E:$E,'Base SKUs'!C:C),"")</f>
        <v>Long</v>
      </c>
      <c r="L370" t="str">
        <f>IFERROR(_xlfn.XLOOKUP($A370,'Base SKUs'!$E:$E,'Base SKUs'!D:D),"")</f>
        <v>Hardwoods</v>
      </c>
      <c r="M370" t="str">
        <f>IFERROR(_xlfn.XLOOKUP($A370,'Base SKUs'!$E:$E,'Base SKUs'!G:G),"")</f>
        <v>Ipe</v>
      </c>
      <c r="N370" t="str">
        <f>IFERROR(_xlfn.XLOOKUP($A370,'Base SKUs'!$E:$E,'Base SKUs'!H:H),"")</f>
        <v>S4S E4E</v>
      </c>
      <c r="O370" t="str">
        <f>IFERROR(_xlfn.XLOOKUP($A370,'Base SKUs'!$E:$E,'Base SKUs'!I:I),"")</f>
        <v>-</v>
      </c>
      <c r="P370" t="str">
        <f>IFERROR(_xlfn.XLOOKUP($A370,'Base SKUs'!$E:$E,'Base SKUs'!J:J),"")</f>
        <v>2x4</v>
      </c>
      <c r="Q370">
        <f>IFERROR(_xlfn.XLOOKUP($A370,'Base SKUs'!$E:$E,'Base SKUs'!K:K),"")</f>
        <v>8</v>
      </c>
      <c r="R370" s="7">
        <f>IFERROR(_xlfn.XLOOKUP($A370,'Base SKUs'!$E:$E,'Base SKUs'!S:S),"")</f>
        <v>8.259080256000001E-3</v>
      </c>
      <c r="S370" s="8">
        <f t="shared" si="27"/>
        <v>9.886119066432002</v>
      </c>
      <c r="T370" s="7">
        <f>IFERROR(_xlfn.XLOOKUP($A370,'Base SKUs'!$E:$E,'Base SKUs'!R:R),"")</f>
        <v>968.63099999999997</v>
      </c>
      <c r="U370" s="15">
        <f t="shared" si="28"/>
        <v>9576</v>
      </c>
      <c r="V370" t="str">
        <f t="shared" si="29"/>
        <v>Texas</v>
      </c>
    </row>
    <row r="371" spans="1:22" x14ac:dyDescent="0.2">
      <c r="A371" t="s">
        <v>609</v>
      </c>
      <c r="B371" s="5">
        <v>304</v>
      </c>
      <c r="C371" s="5">
        <v>18</v>
      </c>
      <c r="D371" s="5">
        <f t="shared" si="25"/>
        <v>286</v>
      </c>
      <c r="E371" s="6">
        <v>19.821100000000001</v>
      </c>
      <c r="F371" s="6">
        <f t="shared" si="26"/>
        <v>6025.6144000000004</v>
      </c>
      <c r="G371" t="s">
        <v>125</v>
      </c>
      <c r="H371">
        <v>9009</v>
      </c>
      <c r="I371" t="str">
        <f>IFERROR(_xlfn.XLOOKUP($A371,'Base SKUs'!$E:$E,'Base SKUs'!A:A),"")</f>
        <v>Ipe</v>
      </c>
      <c r="J371" t="str">
        <f>IFERROR(_xlfn.XLOOKUP($A371,'Base SKUs'!$E:$E,'Base SKUs'!B:B),"")</f>
        <v>Ipe 2x4</v>
      </c>
      <c r="K371" t="str">
        <f>IFERROR(_xlfn.XLOOKUP($A371,'Base SKUs'!$E:$E,'Base SKUs'!C:C),"")</f>
        <v>Long</v>
      </c>
      <c r="L371" t="str">
        <f>IFERROR(_xlfn.XLOOKUP($A371,'Base SKUs'!$E:$E,'Base SKUs'!D:D),"")</f>
        <v>Hardwoods</v>
      </c>
      <c r="M371" t="str">
        <f>IFERROR(_xlfn.XLOOKUP($A371,'Base SKUs'!$E:$E,'Base SKUs'!G:G),"")</f>
        <v>Ipe</v>
      </c>
      <c r="N371" t="str">
        <f>IFERROR(_xlfn.XLOOKUP($A371,'Base SKUs'!$E:$E,'Base SKUs'!H:H),"")</f>
        <v>S4S E4E</v>
      </c>
      <c r="O371" t="str">
        <f>IFERROR(_xlfn.XLOOKUP($A371,'Base SKUs'!$E:$E,'Base SKUs'!I:I),"")</f>
        <v>-</v>
      </c>
      <c r="P371" t="str">
        <f>IFERROR(_xlfn.XLOOKUP($A371,'Base SKUs'!$E:$E,'Base SKUs'!J:J),"")</f>
        <v>2x4</v>
      </c>
      <c r="Q371">
        <f>IFERROR(_xlfn.XLOOKUP($A371,'Base SKUs'!$E:$E,'Base SKUs'!K:K),"")</f>
        <v>8</v>
      </c>
      <c r="R371" s="7">
        <f>IFERROR(_xlfn.XLOOKUP($A371,'Base SKUs'!$E:$E,'Base SKUs'!S:S),"")</f>
        <v>8.259080256000001E-3</v>
      </c>
      <c r="S371" s="8">
        <f t="shared" si="27"/>
        <v>2.3620969532160001</v>
      </c>
      <c r="T371" s="7">
        <f>IFERROR(_xlfn.XLOOKUP($A371,'Base SKUs'!$E:$E,'Base SKUs'!R:R),"")</f>
        <v>968.63099999999997</v>
      </c>
      <c r="U371" s="15">
        <f t="shared" si="28"/>
        <v>2288</v>
      </c>
      <c r="V371" t="str">
        <f t="shared" si="29"/>
        <v>Boston</v>
      </c>
    </row>
    <row r="372" spans="1:22" x14ac:dyDescent="0.2">
      <c r="A372" t="s">
        <v>609</v>
      </c>
      <c r="B372" s="5">
        <v>376</v>
      </c>
      <c r="C372" s="5">
        <v>0</v>
      </c>
      <c r="D372" s="5">
        <f t="shared" si="25"/>
        <v>376</v>
      </c>
      <c r="E372" s="6">
        <v>23.302</v>
      </c>
      <c r="F372" s="6">
        <f t="shared" si="26"/>
        <v>8761.5519999999997</v>
      </c>
      <c r="G372" t="s">
        <v>330</v>
      </c>
      <c r="H372">
        <v>9011</v>
      </c>
      <c r="I372" t="str">
        <f>IFERROR(_xlfn.XLOOKUP($A372,'Base SKUs'!$E:$E,'Base SKUs'!A:A),"")</f>
        <v>Ipe</v>
      </c>
      <c r="J372" t="str">
        <f>IFERROR(_xlfn.XLOOKUP($A372,'Base SKUs'!$E:$E,'Base SKUs'!B:B),"")</f>
        <v>Ipe 2x4</v>
      </c>
      <c r="K372" t="str">
        <f>IFERROR(_xlfn.XLOOKUP($A372,'Base SKUs'!$E:$E,'Base SKUs'!C:C),"")</f>
        <v>Long</v>
      </c>
      <c r="L372" t="str">
        <f>IFERROR(_xlfn.XLOOKUP($A372,'Base SKUs'!$E:$E,'Base SKUs'!D:D),"")</f>
        <v>Hardwoods</v>
      </c>
      <c r="M372" t="str">
        <f>IFERROR(_xlfn.XLOOKUP($A372,'Base SKUs'!$E:$E,'Base SKUs'!G:G),"")</f>
        <v>Ipe</v>
      </c>
      <c r="N372" t="str">
        <f>IFERROR(_xlfn.XLOOKUP($A372,'Base SKUs'!$E:$E,'Base SKUs'!H:H),"")</f>
        <v>S4S E4E</v>
      </c>
      <c r="O372" t="str">
        <f>IFERROR(_xlfn.XLOOKUP($A372,'Base SKUs'!$E:$E,'Base SKUs'!I:I),"")</f>
        <v>-</v>
      </c>
      <c r="P372" t="str">
        <f>IFERROR(_xlfn.XLOOKUP($A372,'Base SKUs'!$E:$E,'Base SKUs'!J:J),"")</f>
        <v>2x4</v>
      </c>
      <c r="Q372">
        <f>IFERROR(_xlfn.XLOOKUP($A372,'Base SKUs'!$E:$E,'Base SKUs'!K:K),"")</f>
        <v>8</v>
      </c>
      <c r="R372" s="7">
        <f>IFERROR(_xlfn.XLOOKUP($A372,'Base SKUs'!$E:$E,'Base SKUs'!S:S),"")</f>
        <v>8.259080256000001E-3</v>
      </c>
      <c r="S372" s="8">
        <f t="shared" si="27"/>
        <v>3.1054141762560006</v>
      </c>
      <c r="T372" s="7">
        <f>IFERROR(_xlfn.XLOOKUP($A372,'Base SKUs'!$E:$E,'Base SKUs'!R:R),"")</f>
        <v>968.63099999999997</v>
      </c>
      <c r="U372" s="15">
        <f t="shared" si="28"/>
        <v>3008</v>
      </c>
      <c r="V372" t="str">
        <f t="shared" si="29"/>
        <v>New York</v>
      </c>
    </row>
    <row r="373" spans="1:22" x14ac:dyDescent="0.2">
      <c r="A373" t="s">
        <v>611</v>
      </c>
      <c r="B373" s="5">
        <v>249</v>
      </c>
      <c r="C373" s="5">
        <v>63</v>
      </c>
      <c r="D373" s="5">
        <f t="shared" si="25"/>
        <v>186</v>
      </c>
      <c r="E373" s="6">
        <v>50.193199999999997</v>
      </c>
      <c r="F373" s="6">
        <f t="shared" si="26"/>
        <v>12498.1068</v>
      </c>
      <c r="G373" t="s">
        <v>17</v>
      </c>
      <c r="H373">
        <v>9007</v>
      </c>
      <c r="I373" t="str">
        <f>IFERROR(_xlfn.XLOOKUP($A373,'Base SKUs'!$E:$E,'Base SKUs'!A:A),"")</f>
        <v>Ipe</v>
      </c>
      <c r="J373" t="str">
        <f>IFERROR(_xlfn.XLOOKUP($A373,'Base SKUs'!$E:$E,'Base SKUs'!B:B),"")</f>
        <v>Ipe 2x6</v>
      </c>
      <c r="K373" t="str">
        <f>IFERROR(_xlfn.XLOOKUP($A373,'Base SKUs'!$E:$E,'Base SKUs'!C:C),"")</f>
        <v>Long</v>
      </c>
      <c r="L373" t="str">
        <f>IFERROR(_xlfn.XLOOKUP($A373,'Base SKUs'!$E:$E,'Base SKUs'!D:D),"")</f>
        <v>Hardwoods</v>
      </c>
      <c r="M373" t="str">
        <f>IFERROR(_xlfn.XLOOKUP($A373,'Base SKUs'!$E:$E,'Base SKUs'!G:G),"")</f>
        <v>Ipe</v>
      </c>
      <c r="N373" t="str">
        <f>IFERROR(_xlfn.XLOOKUP($A373,'Base SKUs'!$E:$E,'Base SKUs'!H:H),"")</f>
        <v>S4S E4E</v>
      </c>
      <c r="O373" t="str">
        <f>IFERROR(_xlfn.XLOOKUP($A373,'Base SKUs'!$E:$E,'Base SKUs'!I:I),"")</f>
        <v>-</v>
      </c>
      <c r="P373" t="str">
        <f>IFERROR(_xlfn.XLOOKUP($A373,'Base SKUs'!$E:$E,'Base SKUs'!J:J),"")</f>
        <v>2x6</v>
      </c>
      <c r="Q373">
        <f>IFERROR(_xlfn.XLOOKUP($A373,'Base SKUs'!$E:$E,'Base SKUs'!K:K),"")</f>
        <v>10</v>
      </c>
      <c r="R373" s="7">
        <f>IFERROR(_xlfn.XLOOKUP($A373,'Base SKUs'!$E:$E,'Base SKUs'!S:S),"")</f>
        <v>1.6223193359999999E-2</v>
      </c>
      <c r="S373" s="8">
        <f t="shared" si="27"/>
        <v>3.01751396496</v>
      </c>
      <c r="T373" s="7">
        <f>IFERROR(_xlfn.XLOOKUP($A373,'Base SKUs'!$E:$E,'Base SKUs'!R:R),"")</f>
        <v>616.40099999999995</v>
      </c>
      <c r="U373" s="15">
        <f t="shared" si="28"/>
        <v>1860</v>
      </c>
      <c r="V373" t="str">
        <f t="shared" si="29"/>
        <v>Miami</v>
      </c>
    </row>
    <row r="374" spans="1:22" x14ac:dyDescent="0.2">
      <c r="A374" t="s">
        <v>611</v>
      </c>
      <c r="B374" s="5">
        <v>355</v>
      </c>
      <c r="C374" s="5">
        <v>0</v>
      </c>
      <c r="D374" s="5">
        <f t="shared" si="25"/>
        <v>355</v>
      </c>
      <c r="E374" s="6">
        <v>48.497900000000001</v>
      </c>
      <c r="F374" s="6">
        <f t="shared" si="26"/>
        <v>17216.754499999999</v>
      </c>
      <c r="G374" t="s">
        <v>24</v>
      </c>
      <c r="H374">
        <v>9008</v>
      </c>
      <c r="I374" t="str">
        <f>IFERROR(_xlfn.XLOOKUP($A374,'Base SKUs'!$E:$E,'Base SKUs'!A:A),"")</f>
        <v>Ipe</v>
      </c>
      <c r="J374" t="str">
        <f>IFERROR(_xlfn.XLOOKUP($A374,'Base SKUs'!$E:$E,'Base SKUs'!B:B),"")</f>
        <v>Ipe 2x6</v>
      </c>
      <c r="K374" t="str">
        <f>IFERROR(_xlfn.XLOOKUP($A374,'Base SKUs'!$E:$E,'Base SKUs'!C:C),"")</f>
        <v>Long</v>
      </c>
      <c r="L374" t="str">
        <f>IFERROR(_xlfn.XLOOKUP($A374,'Base SKUs'!$E:$E,'Base SKUs'!D:D),"")</f>
        <v>Hardwoods</v>
      </c>
      <c r="M374" t="str">
        <f>IFERROR(_xlfn.XLOOKUP($A374,'Base SKUs'!$E:$E,'Base SKUs'!G:G),"")</f>
        <v>Ipe</v>
      </c>
      <c r="N374" t="str">
        <f>IFERROR(_xlfn.XLOOKUP($A374,'Base SKUs'!$E:$E,'Base SKUs'!H:H),"")</f>
        <v>S4S E4E</v>
      </c>
      <c r="O374" t="str">
        <f>IFERROR(_xlfn.XLOOKUP($A374,'Base SKUs'!$E:$E,'Base SKUs'!I:I),"")</f>
        <v>-</v>
      </c>
      <c r="P374" t="str">
        <f>IFERROR(_xlfn.XLOOKUP($A374,'Base SKUs'!$E:$E,'Base SKUs'!J:J),"")</f>
        <v>2x6</v>
      </c>
      <c r="Q374">
        <f>IFERROR(_xlfn.XLOOKUP($A374,'Base SKUs'!$E:$E,'Base SKUs'!K:K),"")</f>
        <v>10</v>
      </c>
      <c r="R374" s="7">
        <f>IFERROR(_xlfn.XLOOKUP($A374,'Base SKUs'!$E:$E,'Base SKUs'!S:S),"")</f>
        <v>1.6223193359999999E-2</v>
      </c>
      <c r="S374" s="8">
        <f t="shared" si="27"/>
        <v>5.7592336427999999</v>
      </c>
      <c r="T374" s="7">
        <f>IFERROR(_xlfn.XLOOKUP($A374,'Base SKUs'!$E:$E,'Base SKUs'!R:R),"")</f>
        <v>616.40099999999995</v>
      </c>
      <c r="U374" s="15">
        <f t="shared" si="28"/>
        <v>3550</v>
      </c>
      <c r="V374" t="str">
        <f t="shared" si="29"/>
        <v>Texas</v>
      </c>
    </row>
    <row r="375" spans="1:22" x14ac:dyDescent="0.2">
      <c r="A375" t="s">
        <v>611</v>
      </c>
      <c r="B375" s="5">
        <v>457</v>
      </c>
      <c r="C375" s="5">
        <v>294</v>
      </c>
      <c r="D375" s="5">
        <f t="shared" si="25"/>
        <v>163</v>
      </c>
      <c r="E375" s="6">
        <v>43.151800000000001</v>
      </c>
      <c r="F375" s="6">
        <f t="shared" si="26"/>
        <v>19720.372600000002</v>
      </c>
      <c r="G375" t="s">
        <v>125</v>
      </c>
      <c r="H375">
        <v>9009</v>
      </c>
      <c r="I375" t="str">
        <f>IFERROR(_xlfn.XLOOKUP($A375,'Base SKUs'!$E:$E,'Base SKUs'!A:A),"")</f>
        <v>Ipe</v>
      </c>
      <c r="J375" t="str">
        <f>IFERROR(_xlfn.XLOOKUP($A375,'Base SKUs'!$E:$E,'Base SKUs'!B:B),"")</f>
        <v>Ipe 2x6</v>
      </c>
      <c r="K375" t="str">
        <f>IFERROR(_xlfn.XLOOKUP($A375,'Base SKUs'!$E:$E,'Base SKUs'!C:C),"")</f>
        <v>Long</v>
      </c>
      <c r="L375" t="str">
        <f>IFERROR(_xlfn.XLOOKUP($A375,'Base SKUs'!$E:$E,'Base SKUs'!D:D),"")</f>
        <v>Hardwoods</v>
      </c>
      <c r="M375" t="str">
        <f>IFERROR(_xlfn.XLOOKUP($A375,'Base SKUs'!$E:$E,'Base SKUs'!G:G),"")</f>
        <v>Ipe</v>
      </c>
      <c r="N375" t="str">
        <f>IFERROR(_xlfn.XLOOKUP($A375,'Base SKUs'!$E:$E,'Base SKUs'!H:H),"")</f>
        <v>S4S E4E</v>
      </c>
      <c r="O375" t="str">
        <f>IFERROR(_xlfn.XLOOKUP($A375,'Base SKUs'!$E:$E,'Base SKUs'!I:I),"")</f>
        <v>-</v>
      </c>
      <c r="P375" t="str">
        <f>IFERROR(_xlfn.XLOOKUP($A375,'Base SKUs'!$E:$E,'Base SKUs'!J:J),"")</f>
        <v>2x6</v>
      </c>
      <c r="Q375">
        <f>IFERROR(_xlfn.XLOOKUP($A375,'Base SKUs'!$E:$E,'Base SKUs'!K:K),"")</f>
        <v>10</v>
      </c>
      <c r="R375" s="7">
        <f>IFERROR(_xlfn.XLOOKUP($A375,'Base SKUs'!$E:$E,'Base SKUs'!S:S),"")</f>
        <v>1.6223193359999999E-2</v>
      </c>
      <c r="S375" s="8">
        <f t="shared" si="27"/>
        <v>2.6443805176799997</v>
      </c>
      <c r="T375" s="7">
        <f>IFERROR(_xlfn.XLOOKUP($A375,'Base SKUs'!$E:$E,'Base SKUs'!R:R),"")</f>
        <v>616.40099999999995</v>
      </c>
      <c r="U375" s="15">
        <f t="shared" si="28"/>
        <v>1630</v>
      </c>
      <c r="V375" t="str">
        <f t="shared" si="29"/>
        <v>Boston</v>
      </c>
    </row>
    <row r="376" spans="1:22" x14ac:dyDescent="0.2">
      <c r="A376" t="s">
        <v>611</v>
      </c>
      <c r="B376" s="5">
        <v>100</v>
      </c>
      <c r="C376" s="5">
        <v>77</v>
      </c>
      <c r="D376" s="5">
        <f t="shared" si="25"/>
        <v>23</v>
      </c>
      <c r="E376" s="6">
        <v>47.628700000000002</v>
      </c>
      <c r="F376" s="6">
        <f t="shared" si="26"/>
        <v>4762.87</v>
      </c>
      <c r="G376" t="s">
        <v>330</v>
      </c>
      <c r="H376">
        <v>9011</v>
      </c>
      <c r="I376" t="str">
        <f>IFERROR(_xlfn.XLOOKUP($A376,'Base SKUs'!$E:$E,'Base SKUs'!A:A),"")</f>
        <v>Ipe</v>
      </c>
      <c r="J376" t="str">
        <f>IFERROR(_xlfn.XLOOKUP($A376,'Base SKUs'!$E:$E,'Base SKUs'!B:B),"")</f>
        <v>Ipe 2x6</v>
      </c>
      <c r="K376" t="str">
        <f>IFERROR(_xlfn.XLOOKUP($A376,'Base SKUs'!$E:$E,'Base SKUs'!C:C),"")</f>
        <v>Long</v>
      </c>
      <c r="L376" t="str">
        <f>IFERROR(_xlfn.XLOOKUP($A376,'Base SKUs'!$E:$E,'Base SKUs'!D:D),"")</f>
        <v>Hardwoods</v>
      </c>
      <c r="M376" t="str">
        <f>IFERROR(_xlfn.XLOOKUP($A376,'Base SKUs'!$E:$E,'Base SKUs'!G:G),"")</f>
        <v>Ipe</v>
      </c>
      <c r="N376" t="str">
        <f>IFERROR(_xlfn.XLOOKUP($A376,'Base SKUs'!$E:$E,'Base SKUs'!H:H),"")</f>
        <v>S4S E4E</v>
      </c>
      <c r="O376" t="str">
        <f>IFERROR(_xlfn.XLOOKUP($A376,'Base SKUs'!$E:$E,'Base SKUs'!I:I),"")</f>
        <v>-</v>
      </c>
      <c r="P376" t="str">
        <f>IFERROR(_xlfn.XLOOKUP($A376,'Base SKUs'!$E:$E,'Base SKUs'!J:J),"")</f>
        <v>2x6</v>
      </c>
      <c r="Q376">
        <f>IFERROR(_xlfn.XLOOKUP($A376,'Base SKUs'!$E:$E,'Base SKUs'!K:K),"")</f>
        <v>10</v>
      </c>
      <c r="R376" s="7">
        <f>IFERROR(_xlfn.XLOOKUP($A376,'Base SKUs'!$E:$E,'Base SKUs'!S:S),"")</f>
        <v>1.6223193359999999E-2</v>
      </c>
      <c r="S376" s="8">
        <f t="shared" si="27"/>
        <v>0.37313344727999997</v>
      </c>
      <c r="T376" s="7">
        <f>IFERROR(_xlfn.XLOOKUP($A376,'Base SKUs'!$E:$E,'Base SKUs'!R:R),"")</f>
        <v>616.40099999999995</v>
      </c>
      <c r="U376" s="15">
        <f t="shared" si="28"/>
        <v>230</v>
      </c>
      <c r="V376" t="str">
        <f t="shared" si="29"/>
        <v>New York</v>
      </c>
    </row>
    <row r="377" spans="1:22" x14ac:dyDescent="0.2">
      <c r="A377" t="s">
        <v>611</v>
      </c>
      <c r="B377" s="5">
        <v>5</v>
      </c>
      <c r="C377" s="5">
        <v>0</v>
      </c>
      <c r="D377" s="5">
        <f t="shared" si="25"/>
        <v>5</v>
      </c>
      <c r="E377" s="6">
        <v>43.151800000000001</v>
      </c>
      <c r="F377" s="6">
        <f t="shared" si="26"/>
        <v>215.75900000000001</v>
      </c>
      <c r="G377" t="s">
        <v>454</v>
      </c>
      <c r="H377">
        <v>9013</v>
      </c>
      <c r="I377" t="str">
        <f>IFERROR(_xlfn.XLOOKUP($A377,'Base SKUs'!$E:$E,'Base SKUs'!A:A),"")</f>
        <v>Ipe</v>
      </c>
      <c r="J377" t="str">
        <f>IFERROR(_xlfn.XLOOKUP($A377,'Base SKUs'!$E:$E,'Base SKUs'!B:B),"")</f>
        <v>Ipe 2x6</v>
      </c>
      <c r="K377" t="str">
        <f>IFERROR(_xlfn.XLOOKUP($A377,'Base SKUs'!$E:$E,'Base SKUs'!C:C),"")</f>
        <v>Long</v>
      </c>
      <c r="L377" t="str">
        <f>IFERROR(_xlfn.XLOOKUP($A377,'Base SKUs'!$E:$E,'Base SKUs'!D:D),"")</f>
        <v>Hardwoods</v>
      </c>
      <c r="M377" t="str">
        <f>IFERROR(_xlfn.XLOOKUP($A377,'Base SKUs'!$E:$E,'Base SKUs'!G:G),"")</f>
        <v>Ipe</v>
      </c>
      <c r="N377" t="str">
        <f>IFERROR(_xlfn.XLOOKUP($A377,'Base SKUs'!$E:$E,'Base SKUs'!H:H),"")</f>
        <v>S4S E4E</v>
      </c>
      <c r="O377" t="str">
        <f>IFERROR(_xlfn.XLOOKUP($A377,'Base SKUs'!$E:$E,'Base SKUs'!I:I),"")</f>
        <v>-</v>
      </c>
      <c r="P377" t="str">
        <f>IFERROR(_xlfn.XLOOKUP($A377,'Base SKUs'!$E:$E,'Base SKUs'!J:J),"")</f>
        <v>2x6</v>
      </c>
      <c r="Q377">
        <f>IFERROR(_xlfn.XLOOKUP($A377,'Base SKUs'!$E:$E,'Base SKUs'!K:K),"")</f>
        <v>10</v>
      </c>
      <c r="R377" s="7">
        <f>IFERROR(_xlfn.XLOOKUP($A377,'Base SKUs'!$E:$E,'Base SKUs'!S:S),"")</f>
        <v>1.6223193359999999E-2</v>
      </c>
      <c r="S377" s="8">
        <f t="shared" si="27"/>
        <v>8.1115966799999994E-2</v>
      </c>
      <c r="T377" s="7">
        <f>IFERROR(_xlfn.XLOOKUP($A377,'Base SKUs'!$E:$E,'Base SKUs'!R:R),"")</f>
        <v>616.40099999999995</v>
      </c>
      <c r="U377" s="15">
        <f t="shared" si="28"/>
        <v>50</v>
      </c>
      <c r="V377" t="str">
        <f t="shared" si="29"/>
        <v>BS Riverside</v>
      </c>
    </row>
    <row r="378" spans="1:22" x14ac:dyDescent="0.2">
      <c r="A378" t="s">
        <v>616</v>
      </c>
      <c r="B378" s="5">
        <v>9</v>
      </c>
      <c r="C378" s="5">
        <v>0</v>
      </c>
      <c r="D378" s="5">
        <f t="shared" si="25"/>
        <v>9</v>
      </c>
      <c r="E378" s="6">
        <v>61.739199999999997</v>
      </c>
      <c r="F378" s="6">
        <f t="shared" si="26"/>
        <v>555.65279999999996</v>
      </c>
      <c r="G378" t="s">
        <v>24</v>
      </c>
      <c r="H378">
        <v>9008</v>
      </c>
      <c r="I378" t="str">
        <f>IFERROR(_xlfn.XLOOKUP($A378,'Base SKUs'!$E:$E,'Base SKUs'!A:A),"")</f>
        <v>Ipe</v>
      </c>
      <c r="J378" t="str">
        <f>IFERROR(_xlfn.XLOOKUP($A378,'Base SKUs'!$E:$E,'Base SKUs'!B:B),"")</f>
        <v>Ipe 2x6</v>
      </c>
      <c r="K378" t="str">
        <f>IFERROR(_xlfn.XLOOKUP($A378,'Base SKUs'!$E:$E,'Base SKUs'!C:C),"")</f>
        <v>Long</v>
      </c>
      <c r="L378" t="str">
        <f>IFERROR(_xlfn.XLOOKUP($A378,'Base SKUs'!$E:$E,'Base SKUs'!D:D),"")</f>
        <v>Hardwoods</v>
      </c>
      <c r="M378" t="str">
        <f>IFERROR(_xlfn.XLOOKUP($A378,'Base SKUs'!$E:$E,'Base SKUs'!G:G),"")</f>
        <v>Ipe</v>
      </c>
      <c r="N378" t="str">
        <f>IFERROR(_xlfn.XLOOKUP($A378,'Base SKUs'!$E:$E,'Base SKUs'!H:H),"")</f>
        <v>S4S E4E</v>
      </c>
      <c r="O378" t="str">
        <f>IFERROR(_xlfn.XLOOKUP($A378,'Base SKUs'!$E:$E,'Base SKUs'!I:I),"")</f>
        <v>-</v>
      </c>
      <c r="P378" t="str">
        <f>IFERROR(_xlfn.XLOOKUP($A378,'Base SKUs'!$E:$E,'Base SKUs'!J:J),"")</f>
        <v>2x6</v>
      </c>
      <c r="Q378">
        <f>IFERROR(_xlfn.XLOOKUP($A378,'Base SKUs'!$E:$E,'Base SKUs'!K:K),"")</f>
        <v>12</v>
      </c>
      <c r="R378" s="7">
        <f>IFERROR(_xlfn.XLOOKUP($A378,'Base SKUs'!$E:$E,'Base SKUs'!S:S),"")</f>
        <v>1.9467832031999997E-2</v>
      </c>
      <c r="S378" s="8">
        <f t="shared" si="27"/>
        <v>0.17521048828799998</v>
      </c>
      <c r="T378" s="7">
        <f>IFERROR(_xlfn.XLOOKUP($A378,'Base SKUs'!$E:$E,'Base SKUs'!R:R),"")</f>
        <v>616.40099999999995</v>
      </c>
      <c r="U378" s="15">
        <f t="shared" si="28"/>
        <v>108</v>
      </c>
      <c r="V378" t="str">
        <f t="shared" si="29"/>
        <v>Texas</v>
      </c>
    </row>
    <row r="379" spans="1:22" x14ac:dyDescent="0.2">
      <c r="A379" t="s">
        <v>616</v>
      </c>
      <c r="B379" s="5">
        <v>483</v>
      </c>
      <c r="C379" s="5">
        <v>278</v>
      </c>
      <c r="D379" s="5">
        <f t="shared" si="25"/>
        <v>205</v>
      </c>
      <c r="E379" s="6">
        <v>65.797899999999998</v>
      </c>
      <c r="F379" s="6">
        <f t="shared" si="26"/>
        <v>31780.385699999999</v>
      </c>
      <c r="G379" t="s">
        <v>125</v>
      </c>
      <c r="H379">
        <v>9009</v>
      </c>
      <c r="I379" t="str">
        <f>IFERROR(_xlfn.XLOOKUP($A379,'Base SKUs'!$E:$E,'Base SKUs'!A:A),"")</f>
        <v>Ipe</v>
      </c>
      <c r="J379" t="str">
        <f>IFERROR(_xlfn.XLOOKUP($A379,'Base SKUs'!$E:$E,'Base SKUs'!B:B),"")</f>
        <v>Ipe 2x6</v>
      </c>
      <c r="K379" t="str">
        <f>IFERROR(_xlfn.XLOOKUP($A379,'Base SKUs'!$E:$E,'Base SKUs'!C:C),"")</f>
        <v>Long</v>
      </c>
      <c r="L379" t="str">
        <f>IFERROR(_xlfn.XLOOKUP($A379,'Base SKUs'!$E:$E,'Base SKUs'!D:D),"")</f>
        <v>Hardwoods</v>
      </c>
      <c r="M379" t="str">
        <f>IFERROR(_xlfn.XLOOKUP($A379,'Base SKUs'!$E:$E,'Base SKUs'!G:G),"")</f>
        <v>Ipe</v>
      </c>
      <c r="N379" t="str">
        <f>IFERROR(_xlfn.XLOOKUP($A379,'Base SKUs'!$E:$E,'Base SKUs'!H:H),"")</f>
        <v>S4S E4E</v>
      </c>
      <c r="O379" t="str">
        <f>IFERROR(_xlfn.XLOOKUP($A379,'Base SKUs'!$E:$E,'Base SKUs'!I:I),"")</f>
        <v>-</v>
      </c>
      <c r="P379" t="str">
        <f>IFERROR(_xlfn.XLOOKUP($A379,'Base SKUs'!$E:$E,'Base SKUs'!J:J),"")</f>
        <v>2x6</v>
      </c>
      <c r="Q379">
        <f>IFERROR(_xlfn.XLOOKUP($A379,'Base SKUs'!$E:$E,'Base SKUs'!K:K),"")</f>
        <v>12</v>
      </c>
      <c r="R379" s="7">
        <f>IFERROR(_xlfn.XLOOKUP($A379,'Base SKUs'!$E:$E,'Base SKUs'!S:S),"")</f>
        <v>1.9467832031999997E-2</v>
      </c>
      <c r="S379" s="8">
        <f t="shared" si="27"/>
        <v>3.9909055665599995</v>
      </c>
      <c r="T379" s="7">
        <f>IFERROR(_xlfn.XLOOKUP($A379,'Base SKUs'!$E:$E,'Base SKUs'!R:R),"")</f>
        <v>616.40099999999995</v>
      </c>
      <c r="U379" s="15">
        <f t="shared" si="28"/>
        <v>2460</v>
      </c>
      <c r="V379" t="str">
        <f t="shared" si="29"/>
        <v>Boston</v>
      </c>
    </row>
    <row r="380" spans="1:22" x14ac:dyDescent="0.2">
      <c r="A380" t="s">
        <v>616</v>
      </c>
      <c r="B380" s="5">
        <v>148</v>
      </c>
      <c r="C380" s="5">
        <v>0</v>
      </c>
      <c r="D380" s="5">
        <f t="shared" si="25"/>
        <v>148</v>
      </c>
      <c r="E380" s="6">
        <v>54.514000000000003</v>
      </c>
      <c r="F380" s="6">
        <f t="shared" si="26"/>
        <v>8068.0720000000001</v>
      </c>
      <c r="G380" t="s">
        <v>330</v>
      </c>
      <c r="H380">
        <v>9011</v>
      </c>
      <c r="I380" t="str">
        <f>IFERROR(_xlfn.XLOOKUP($A380,'Base SKUs'!$E:$E,'Base SKUs'!A:A),"")</f>
        <v>Ipe</v>
      </c>
      <c r="J380" t="str">
        <f>IFERROR(_xlfn.XLOOKUP($A380,'Base SKUs'!$E:$E,'Base SKUs'!B:B),"")</f>
        <v>Ipe 2x6</v>
      </c>
      <c r="K380" t="str">
        <f>IFERROR(_xlfn.XLOOKUP($A380,'Base SKUs'!$E:$E,'Base SKUs'!C:C),"")</f>
        <v>Long</v>
      </c>
      <c r="L380" t="str">
        <f>IFERROR(_xlfn.XLOOKUP($A380,'Base SKUs'!$E:$E,'Base SKUs'!D:D),"")</f>
        <v>Hardwoods</v>
      </c>
      <c r="M380" t="str">
        <f>IFERROR(_xlfn.XLOOKUP($A380,'Base SKUs'!$E:$E,'Base SKUs'!G:G),"")</f>
        <v>Ipe</v>
      </c>
      <c r="N380" t="str">
        <f>IFERROR(_xlfn.XLOOKUP($A380,'Base SKUs'!$E:$E,'Base SKUs'!H:H),"")</f>
        <v>S4S E4E</v>
      </c>
      <c r="O380" t="str">
        <f>IFERROR(_xlfn.XLOOKUP($A380,'Base SKUs'!$E:$E,'Base SKUs'!I:I),"")</f>
        <v>-</v>
      </c>
      <c r="P380" t="str">
        <f>IFERROR(_xlfn.XLOOKUP($A380,'Base SKUs'!$E:$E,'Base SKUs'!J:J),"")</f>
        <v>2x6</v>
      </c>
      <c r="Q380">
        <f>IFERROR(_xlfn.XLOOKUP($A380,'Base SKUs'!$E:$E,'Base SKUs'!K:K),"")</f>
        <v>12</v>
      </c>
      <c r="R380" s="7">
        <f>IFERROR(_xlfn.XLOOKUP($A380,'Base SKUs'!$E:$E,'Base SKUs'!S:S),"")</f>
        <v>1.9467832031999997E-2</v>
      </c>
      <c r="S380" s="8">
        <f t="shared" si="27"/>
        <v>2.8812391407359996</v>
      </c>
      <c r="T380" s="7">
        <f>IFERROR(_xlfn.XLOOKUP($A380,'Base SKUs'!$E:$E,'Base SKUs'!R:R),"")</f>
        <v>616.40099999999995</v>
      </c>
      <c r="U380" s="15">
        <f t="shared" si="28"/>
        <v>1776</v>
      </c>
      <c r="V380" t="str">
        <f t="shared" si="29"/>
        <v>New York</v>
      </c>
    </row>
    <row r="381" spans="1:22" x14ac:dyDescent="0.2">
      <c r="A381" t="s">
        <v>618</v>
      </c>
      <c r="B381" s="5">
        <v>123</v>
      </c>
      <c r="C381" s="5">
        <v>28</v>
      </c>
      <c r="D381" s="5">
        <f t="shared" si="25"/>
        <v>95</v>
      </c>
      <c r="E381" s="6">
        <v>73.0959</v>
      </c>
      <c r="F381" s="6">
        <f t="shared" si="26"/>
        <v>8990.7957000000006</v>
      </c>
      <c r="G381" t="s">
        <v>17</v>
      </c>
      <c r="H381">
        <v>9007</v>
      </c>
      <c r="I381" t="str">
        <f>IFERROR(_xlfn.XLOOKUP($A381,'Base SKUs'!$E:$E,'Base SKUs'!A:A),"")</f>
        <v>Ipe</v>
      </c>
      <c r="J381" t="str">
        <f>IFERROR(_xlfn.XLOOKUP($A381,'Base SKUs'!$E:$E,'Base SKUs'!B:B),"")</f>
        <v>Ipe 2x6</v>
      </c>
      <c r="K381" t="str">
        <f>IFERROR(_xlfn.XLOOKUP($A381,'Base SKUs'!$E:$E,'Base SKUs'!C:C),"")</f>
        <v>Long</v>
      </c>
      <c r="L381" t="str">
        <f>IFERROR(_xlfn.XLOOKUP($A381,'Base SKUs'!$E:$E,'Base SKUs'!D:D),"")</f>
        <v>Hardwoods</v>
      </c>
      <c r="M381" t="str">
        <f>IFERROR(_xlfn.XLOOKUP($A381,'Base SKUs'!$E:$E,'Base SKUs'!G:G),"")</f>
        <v>Ipe</v>
      </c>
      <c r="N381" t="str">
        <f>IFERROR(_xlfn.XLOOKUP($A381,'Base SKUs'!$E:$E,'Base SKUs'!H:H),"")</f>
        <v>S4S E4E</v>
      </c>
      <c r="O381" t="str">
        <f>IFERROR(_xlfn.XLOOKUP($A381,'Base SKUs'!$E:$E,'Base SKUs'!I:I),"")</f>
        <v>-</v>
      </c>
      <c r="P381" t="str">
        <f>IFERROR(_xlfn.XLOOKUP($A381,'Base SKUs'!$E:$E,'Base SKUs'!J:J),"")</f>
        <v>2x6</v>
      </c>
      <c r="Q381">
        <f>IFERROR(_xlfn.XLOOKUP($A381,'Base SKUs'!$E:$E,'Base SKUs'!K:K),"")</f>
        <v>14</v>
      </c>
      <c r="R381" s="7">
        <f>IFERROR(_xlfn.XLOOKUP($A381,'Base SKUs'!$E:$E,'Base SKUs'!S:S),"")</f>
        <v>2.2712470703999999E-2</v>
      </c>
      <c r="S381" s="8">
        <f t="shared" si="27"/>
        <v>2.15768471688</v>
      </c>
      <c r="T381" s="7">
        <f>IFERROR(_xlfn.XLOOKUP($A381,'Base SKUs'!$E:$E,'Base SKUs'!R:R),"")</f>
        <v>616.40099999999995</v>
      </c>
      <c r="U381" s="15">
        <f t="shared" si="28"/>
        <v>1330</v>
      </c>
      <c r="V381" t="str">
        <f t="shared" si="29"/>
        <v>Miami</v>
      </c>
    </row>
    <row r="382" spans="1:22" x14ac:dyDescent="0.2">
      <c r="A382" t="s">
        <v>618</v>
      </c>
      <c r="B382" s="5">
        <v>78</v>
      </c>
      <c r="C382" s="5">
        <v>0</v>
      </c>
      <c r="D382" s="5">
        <f t="shared" si="25"/>
        <v>78</v>
      </c>
      <c r="E382" s="6">
        <v>71.415999999999997</v>
      </c>
      <c r="F382" s="6">
        <f t="shared" si="26"/>
        <v>5570.4479999999994</v>
      </c>
      <c r="G382" t="s">
        <v>24</v>
      </c>
      <c r="H382">
        <v>9008</v>
      </c>
      <c r="I382" t="str">
        <f>IFERROR(_xlfn.XLOOKUP($A382,'Base SKUs'!$E:$E,'Base SKUs'!A:A),"")</f>
        <v>Ipe</v>
      </c>
      <c r="J382" t="str">
        <f>IFERROR(_xlfn.XLOOKUP($A382,'Base SKUs'!$E:$E,'Base SKUs'!B:B),"")</f>
        <v>Ipe 2x6</v>
      </c>
      <c r="K382" t="str">
        <f>IFERROR(_xlfn.XLOOKUP($A382,'Base SKUs'!$E:$E,'Base SKUs'!C:C),"")</f>
        <v>Long</v>
      </c>
      <c r="L382" t="str">
        <f>IFERROR(_xlfn.XLOOKUP($A382,'Base SKUs'!$E:$E,'Base SKUs'!D:D),"")</f>
        <v>Hardwoods</v>
      </c>
      <c r="M382" t="str">
        <f>IFERROR(_xlfn.XLOOKUP($A382,'Base SKUs'!$E:$E,'Base SKUs'!G:G),"")</f>
        <v>Ipe</v>
      </c>
      <c r="N382" t="str">
        <f>IFERROR(_xlfn.XLOOKUP($A382,'Base SKUs'!$E:$E,'Base SKUs'!H:H),"")</f>
        <v>S4S E4E</v>
      </c>
      <c r="O382" t="str">
        <f>IFERROR(_xlfn.XLOOKUP($A382,'Base SKUs'!$E:$E,'Base SKUs'!I:I),"")</f>
        <v>-</v>
      </c>
      <c r="P382" t="str">
        <f>IFERROR(_xlfn.XLOOKUP($A382,'Base SKUs'!$E:$E,'Base SKUs'!J:J),"")</f>
        <v>2x6</v>
      </c>
      <c r="Q382">
        <f>IFERROR(_xlfn.XLOOKUP($A382,'Base SKUs'!$E:$E,'Base SKUs'!K:K),"")</f>
        <v>14</v>
      </c>
      <c r="R382" s="7">
        <f>IFERROR(_xlfn.XLOOKUP($A382,'Base SKUs'!$E:$E,'Base SKUs'!S:S),"")</f>
        <v>2.2712470703999999E-2</v>
      </c>
      <c r="S382" s="8">
        <f t="shared" si="27"/>
        <v>1.771572714912</v>
      </c>
      <c r="T382" s="7">
        <f>IFERROR(_xlfn.XLOOKUP($A382,'Base SKUs'!$E:$E,'Base SKUs'!R:R),"")</f>
        <v>616.40099999999995</v>
      </c>
      <c r="U382" s="15">
        <f t="shared" si="28"/>
        <v>1092</v>
      </c>
      <c r="V382" t="str">
        <f t="shared" si="29"/>
        <v>Texas</v>
      </c>
    </row>
    <row r="383" spans="1:22" x14ac:dyDescent="0.2">
      <c r="A383" t="s">
        <v>618</v>
      </c>
      <c r="B383" s="5">
        <v>2</v>
      </c>
      <c r="C383" s="5">
        <v>2</v>
      </c>
      <c r="D383" s="5">
        <f t="shared" si="25"/>
        <v>0</v>
      </c>
      <c r="E383" s="6">
        <v>74.502799999999993</v>
      </c>
      <c r="F383" s="6">
        <f t="shared" si="26"/>
        <v>149.00559999999999</v>
      </c>
      <c r="G383" t="s">
        <v>125</v>
      </c>
      <c r="H383">
        <v>9009</v>
      </c>
      <c r="I383" t="str">
        <f>IFERROR(_xlfn.XLOOKUP($A383,'Base SKUs'!$E:$E,'Base SKUs'!A:A),"")</f>
        <v>Ipe</v>
      </c>
      <c r="J383" t="str">
        <f>IFERROR(_xlfn.XLOOKUP($A383,'Base SKUs'!$E:$E,'Base SKUs'!B:B),"")</f>
        <v>Ipe 2x6</v>
      </c>
      <c r="K383" t="str">
        <f>IFERROR(_xlfn.XLOOKUP($A383,'Base SKUs'!$E:$E,'Base SKUs'!C:C),"")</f>
        <v>Long</v>
      </c>
      <c r="L383" t="str">
        <f>IFERROR(_xlfn.XLOOKUP($A383,'Base SKUs'!$E:$E,'Base SKUs'!D:D),"")</f>
        <v>Hardwoods</v>
      </c>
      <c r="M383" t="str">
        <f>IFERROR(_xlfn.XLOOKUP($A383,'Base SKUs'!$E:$E,'Base SKUs'!G:G),"")</f>
        <v>Ipe</v>
      </c>
      <c r="N383" t="str">
        <f>IFERROR(_xlfn.XLOOKUP($A383,'Base SKUs'!$E:$E,'Base SKUs'!H:H),"")</f>
        <v>S4S E4E</v>
      </c>
      <c r="O383" t="str">
        <f>IFERROR(_xlfn.XLOOKUP($A383,'Base SKUs'!$E:$E,'Base SKUs'!I:I),"")</f>
        <v>-</v>
      </c>
      <c r="P383" t="str">
        <f>IFERROR(_xlfn.XLOOKUP($A383,'Base SKUs'!$E:$E,'Base SKUs'!J:J),"")</f>
        <v>2x6</v>
      </c>
      <c r="Q383">
        <f>IFERROR(_xlfn.XLOOKUP($A383,'Base SKUs'!$E:$E,'Base SKUs'!K:K),"")</f>
        <v>14</v>
      </c>
      <c r="R383" s="7">
        <f>IFERROR(_xlfn.XLOOKUP($A383,'Base SKUs'!$E:$E,'Base SKUs'!S:S),"")</f>
        <v>2.2712470703999999E-2</v>
      </c>
      <c r="S383" s="8">
        <f t="shared" si="27"/>
        <v>0</v>
      </c>
      <c r="T383" s="7">
        <f>IFERROR(_xlfn.XLOOKUP($A383,'Base SKUs'!$E:$E,'Base SKUs'!R:R),"")</f>
        <v>616.40099999999995</v>
      </c>
      <c r="U383" s="15">
        <f t="shared" si="28"/>
        <v>0</v>
      </c>
      <c r="V383" t="str">
        <f t="shared" si="29"/>
        <v>Boston</v>
      </c>
    </row>
    <row r="384" spans="1:22" x14ac:dyDescent="0.2">
      <c r="A384" t="s">
        <v>618</v>
      </c>
      <c r="B384" s="5">
        <v>176</v>
      </c>
      <c r="C384" s="5">
        <v>70</v>
      </c>
      <c r="D384" s="5">
        <f t="shared" si="25"/>
        <v>106</v>
      </c>
      <c r="E384" s="6">
        <v>63.599699999999999</v>
      </c>
      <c r="F384" s="6">
        <f t="shared" si="26"/>
        <v>11193.547199999999</v>
      </c>
      <c r="G384" t="s">
        <v>330</v>
      </c>
      <c r="H384">
        <v>9011</v>
      </c>
      <c r="I384" t="str">
        <f>IFERROR(_xlfn.XLOOKUP($A384,'Base SKUs'!$E:$E,'Base SKUs'!A:A),"")</f>
        <v>Ipe</v>
      </c>
      <c r="J384" t="str">
        <f>IFERROR(_xlfn.XLOOKUP($A384,'Base SKUs'!$E:$E,'Base SKUs'!B:B),"")</f>
        <v>Ipe 2x6</v>
      </c>
      <c r="K384" t="str">
        <f>IFERROR(_xlfn.XLOOKUP($A384,'Base SKUs'!$E:$E,'Base SKUs'!C:C),"")</f>
        <v>Long</v>
      </c>
      <c r="L384" t="str">
        <f>IFERROR(_xlfn.XLOOKUP($A384,'Base SKUs'!$E:$E,'Base SKUs'!D:D),"")</f>
        <v>Hardwoods</v>
      </c>
      <c r="M384" t="str">
        <f>IFERROR(_xlfn.XLOOKUP($A384,'Base SKUs'!$E:$E,'Base SKUs'!G:G),"")</f>
        <v>Ipe</v>
      </c>
      <c r="N384" t="str">
        <f>IFERROR(_xlfn.XLOOKUP($A384,'Base SKUs'!$E:$E,'Base SKUs'!H:H),"")</f>
        <v>S4S E4E</v>
      </c>
      <c r="O384" t="str">
        <f>IFERROR(_xlfn.XLOOKUP($A384,'Base SKUs'!$E:$E,'Base SKUs'!I:I),"")</f>
        <v>-</v>
      </c>
      <c r="P384" t="str">
        <f>IFERROR(_xlfn.XLOOKUP($A384,'Base SKUs'!$E:$E,'Base SKUs'!J:J),"")</f>
        <v>2x6</v>
      </c>
      <c r="Q384">
        <f>IFERROR(_xlfn.XLOOKUP($A384,'Base SKUs'!$E:$E,'Base SKUs'!K:K),"")</f>
        <v>14</v>
      </c>
      <c r="R384" s="7">
        <f>IFERROR(_xlfn.XLOOKUP($A384,'Base SKUs'!$E:$E,'Base SKUs'!S:S),"")</f>
        <v>2.2712470703999999E-2</v>
      </c>
      <c r="S384" s="8">
        <f t="shared" si="27"/>
        <v>2.4075218946239998</v>
      </c>
      <c r="T384" s="7">
        <f>IFERROR(_xlfn.XLOOKUP($A384,'Base SKUs'!$E:$E,'Base SKUs'!R:R),"")</f>
        <v>616.40099999999995</v>
      </c>
      <c r="U384" s="15">
        <f t="shared" si="28"/>
        <v>1484</v>
      </c>
      <c r="V384" t="str">
        <f t="shared" si="29"/>
        <v>New York</v>
      </c>
    </row>
    <row r="385" spans="1:22" x14ac:dyDescent="0.2">
      <c r="A385" t="s">
        <v>620</v>
      </c>
      <c r="B385" s="5">
        <v>141</v>
      </c>
      <c r="C385" s="5">
        <v>21</v>
      </c>
      <c r="D385" s="5">
        <f t="shared" si="25"/>
        <v>120</v>
      </c>
      <c r="E385" s="6">
        <v>83.510599999999997</v>
      </c>
      <c r="F385" s="6">
        <f t="shared" si="26"/>
        <v>11774.9946</v>
      </c>
      <c r="G385" t="s">
        <v>17</v>
      </c>
      <c r="H385">
        <v>9007</v>
      </c>
      <c r="I385" t="str">
        <f>IFERROR(_xlfn.XLOOKUP($A385,'Base SKUs'!$E:$E,'Base SKUs'!A:A),"")</f>
        <v>Ipe</v>
      </c>
      <c r="J385" t="str">
        <f>IFERROR(_xlfn.XLOOKUP($A385,'Base SKUs'!$E:$E,'Base SKUs'!B:B),"")</f>
        <v>Ipe 2x6</v>
      </c>
      <c r="K385" t="str">
        <f>IFERROR(_xlfn.XLOOKUP($A385,'Base SKUs'!$E:$E,'Base SKUs'!C:C),"")</f>
        <v>Long</v>
      </c>
      <c r="L385" t="str">
        <f>IFERROR(_xlfn.XLOOKUP($A385,'Base SKUs'!$E:$E,'Base SKUs'!D:D),"")</f>
        <v>Hardwoods</v>
      </c>
      <c r="M385" t="str">
        <f>IFERROR(_xlfn.XLOOKUP($A385,'Base SKUs'!$E:$E,'Base SKUs'!G:G),"")</f>
        <v>Ipe</v>
      </c>
      <c r="N385" t="str">
        <f>IFERROR(_xlfn.XLOOKUP($A385,'Base SKUs'!$E:$E,'Base SKUs'!H:H),"")</f>
        <v>S4S E4E</v>
      </c>
      <c r="O385" t="str">
        <f>IFERROR(_xlfn.XLOOKUP($A385,'Base SKUs'!$E:$E,'Base SKUs'!I:I),"")</f>
        <v>-</v>
      </c>
      <c r="P385" t="str">
        <f>IFERROR(_xlfn.XLOOKUP($A385,'Base SKUs'!$E:$E,'Base SKUs'!J:J),"")</f>
        <v>2x6</v>
      </c>
      <c r="Q385">
        <f>IFERROR(_xlfn.XLOOKUP($A385,'Base SKUs'!$E:$E,'Base SKUs'!K:K),"")</f>
        <v>16</v>
      </c>
      <c r="R385" s="7">
        <f>IFERROR(_xlfn.XLOOKUP($A385,'Base SKUs'!$E:$E,'Base SKUs'!S:S),"")</f>
        <v>2.5957109375999998E-2</v>
      </c>
      <c r="S385" s="8">
        <f t="shared" si="27"/>
        <v>3.1148531251199998</v>
      </c>
      <c r="T385" s="7">
        <f>IFERROR(_xlfn.XLOOKUP($A385,'Base SKUs'!$E:$E,'Base SKUs'!R:R),"")</f>
        <v>616.40099999999995</v>
      </c>
      <c r="U385" s="15">
        <f t="shared" si="28"/>
        <v>1920</v>
      </c>
      <c r="V385" t="str">
        <f t="shared" si="29"/>
        <v>Miami</v>
      </c>
    </row>
    <row r="386" spans="1:22" x14ac:dyDescent="0.2">
      <c r="A386" t="s">
        <v>620</v>
      </c>
      <c r="B386" s="5">
        <v>221</v>
      </c>
      <c r="C386" s="5">
        <v>0</v>
      </c>
      <c r="D386" s="5">
        <f t="shared" ref="D386:D449" si="30">B386-C386</f>
        <v>221</v>
      </c>
      <c r="E386" s="6">
        <v>85.981999999999999</v>
      </c>
      <c r="F386" s="6">
        <f t="shared" ref="F386:F449" si="31">B386*E386</f>
        <v>19002.022000000001</v>
      </c>
      <c r="G386" t="s">
        <v>24</v>
      </c>
      <c r="H386">
        <v>9008</v>
      </c>
      <c r="I386" t="str">
        <f>IFERROR(_xlfn.XLOOKUP($A386,'Base SKUs'!$E:$E,'Base SKUs'!A:A),"")</f>
        <v>Ipe</v>
      </c>
      <c r="J386" t="str">
        <f>IFERROR(_xlfn.XLOOKUP($A386,'Base SKUs'!$E:$E,'Base SKUs'!B:B),"")</f>
        <v>Ipe 2x6</v>
      </c>
      <c r="K386" t="str">
        <f>IFERROR(_xlfn.XLOOKUP($A386,'Base SKUs'!$E:$E,'Base SKUs'!C:C),"")</f>
        <v>Long</v>
      </c>
      <c r="L386" t="str">
        <f>IFERROR(_xlfn.XLOOKUP($A386,'Base SKUs'!$E:$E,'Base SKUs'!D:D),"")</f>
        <v>Hardwoods</v>
      </c>
      <c r="M386" t="str">
        <f>IFERROR(_xlfn.XLOOKUP($A386,'Base SKUs'!$E:$E,'Base SKUs'!G:G),"")</f>
        <v>Ipe</v>
      </c>
      <c r="N386" t="str">
        <f>IFERROR(_xlfn.XLOOKUP($A386,'Base SKUs'!$E:$E,'Base SKUs'!H:H),"")</f>
        <v>S4S E4E</v>
      </c>
      <c r="O386" t="str">
        <f>IFERROR(_xlfn.XLOOKUP($A386,'Base SKUs'!$E:$E,'Base SKUs'!I:I),"")</f>
        <v>-</v>
      </c>
      <c r="P386" t="str">
        <f>IFERROR(_xlfn.XLOOKUP($A386,'Base SKUs'!$E:$E,'Base SKUs'!J:J),"")</f>
        <v>2x6</v>
      </c>
      <c r="Q386">
        <f>IFERROR(_xlfn.XLOOKUP($A386,'Base SKUs'!$E:$E,'Base SKUs'!K:K),"")</f>
        <v>16</v>
      </c>
      <c r="R386" s="7">
        <f>IFERROR(_xlfn.XLOOKUP($A386,'Base SKUs'!$E:$E,'Base SKUs'!S:S),"")</f>
        <v>2.5957109375999998E-2</v>
      </c>
      <c r="S386" s="8">
        <f t="shared" ref="S386:S449" si="32">IF(OR(L386="Saicos",L386="Oil",L386="US4",L386="Wood Table",L386="Woca",L386="Norx",N386="Tiles"),D386,D386*R386)</f>
        <v>5.7365211720959994</v>
      </c>
      <c r="T386" s="7">
        <f>IFERROR(_xlfn.XLOOKUP($A386,'Base SKUs'!$E:$E,'Base SKUs'!R:R),"")</f>
        <v>616.40099999999995</v>
      </c>
      <c r="U386" s="15">
        <f t="shared" ref="U386:U449" si="33">ROUND(IF(OR(L386="Saicos",L386="Oil",L386="US4",L386="Wood Table",L386="Woca",L386="Norx",N386="Tiles"),D386,S386*T386),0)</f>
        <v>3536</v>
      </c>
      <c r="V386" t="str">
        <f t="shared" ref="V386:V449" si="34">IF(H386=9007,"Miami",IF(H386=9008,"Texas",IF(H386=9009,"Boston",IF(H386=9010,"BS Detroit",IF(H386=9011,"New York",IF(H386=9012,"HW Perris",IF(H386=9013,"BS Riverside",IF(H386=9014,"On the Way",IF(H386=9015,"Russin",IF(H386=9016,"Palm Beach",""))))))))))</f>
        <v>Texas</v>
      </c>
    </row>
    <row r="387" spans="1:22" x14ac:dyDescent="0.2">
      <c r="A387" t="s">
        <v>620</v>
      </c>
      <c r="B387" s="5">
        <v>263</v>
      </c>
      <c r="C387" s="5">
        <v>263</v>
      </c>
      <c r="D387" s="5">
        <f t="shared" si="30"/>
        <v>0</v>
      </c>
      <c r="E387" s="6">
        <v>87.737399999999994</v>
      </c>
      <c r="F387" s="6">
        <f t="shared" si="31"/>
        <v>23074.9362</v>
      </c>
      <c r="G387" t="s">
        <v>125</v>
      </c>
      <c r="H387">
        <v>9009</v>
      </c>
      <c r="I387" t="str">
        <f>IFERROR(_xlfn.XLOOKUP($A387,'Base SKUs'!$E:$E,'Base SKUs'!A:A),"")</f>
        <v>Ipe</v>
      </c>
      <c r="J387" t="str">
        <f>IFERROR(_xlfn.XLOOKUP($A387,'Base SKUs'!$E:$E,'Base SKUs'!B:B),"")</f>
        <v>Ipe 2x6</v>
      </c>
      <c r="K387" t="str">
        <f>IFERROR(_xlfn.XLOOKUP($A387,'Base SKUs'!$E:$E,'Base SKUs'!C:C),"")</f>
        <v>Long</v>
      </c>
      <c r="L387" t="str">
        <f>IFERROR(_xlfn.XLOOKUP($A387,'Base SKUs'!$E:$E,'Base SKUs'!D:D),"")</f>
        <v>Hardwoods</v>
      </c>
      <c r="M387" t="str">
        <f>IFERROR(_xlfn.XLOOKUP($A387,'Base SKUs'!$E:$E,'Base SKUs'!G:G),"")</f>
        <v>Ipe</v>
      </c>
      <c r="N387" t="str">
        <f>IFERROR(_xlfn.XLOOKUP($A387,'Base SKUs'!$E:$E,'Base SKUs'!H:H),"")</f>
        <v>S4S E4E</v>
      </c>
      <c r="O387" t="str">
        <f>IFERROR(_xlfn.XLOOKUP($A387,'Base SKUs'!$E:$E,'Base SKUs'!I:I),"")</f>
        <v>-</v>
      </c>
      <c r="P387" t="str">
        <f>IFERROR(_xlfn.XLOOKUP($A387,'Base SKUs'!$E:$E,'Base SKUs'!J:J),"")</f>
        <v>2x6</v>
      </c>
      <c r="Q387">
        <f>IFERROR(_xlfn.XLOOKUP($A387,'Base SKUs'!$E:$E,'Base SKUs'!K:K),"")</f>
        <v>16</v>
      </c>
      <c r="R387" s="7">
        <f>IFERROR(_xlfn.XLOOKUP($A387,'Base SKUs'!$E:$E,'Base SKUs'!S:S),"")</f>
        <v>2.5957109375999998E-2</v>
      </c>
      <c r="S387" s="8">
        <f t="shared" si="32"/>
        <v>0</v>
      </c>
      <c r="T387" s="7">
        <f>IFERROR(_xlfn.XLOOKUP($A387,'Base SKUs'!$E:$E,'Base SKUs'!R:R),"")</f>
        <v>616.40099999999995</v>
      </c>
      <c r="U387" s="15">
        <f t="shared" si="33"/>
        <v>0</v>
      </c>
      <c r="V387" t="str">
        <f t="shared" si="34"/>
        <v>Boston</v>
      </c>
    </row>
    <row r="388" spans="1:22" x14ac:dyDescent="0.2">
      <c r="A388" t="s">
        <v>620</v>
      </c>
      <c r="B388" s="5">
        <v>140</v>
      </c>
      <c r="C388" s="5">
        <v>0</v>
      </c>
      <c r="D388" s="5">
        <f t="shared" si="30"/>
        <v>140</v>
      </c>
      <c r="E388" s="6">
        <v>77.983500000000006</v>
      </c>
      <c r="F388" s="6">
        <f t="shared" si="31"/>
        <v>10917.69</v>
      </c>
      <c r="G388" t="s">
        <v>330</v>
      </c>
      <c r="H388">
        <v>9011</v>
      </c>
      <c r="I388" t="str">
        <f>IFERROR(_xlfn.XLOOKUP($A388,'Base SKUs'!$E:$E,'Base SKUs'!A:A),"")</f>
        <v>Ipe</v>
      </c>
      <c r="J388" t="str">
        <f>IFERROR(_xlfn.XLOOKUP($A388,'Base SKUs'!$E:$E,'Base SKUs'!B:B),"")</f>
        <v>Ipe 2x6</v>
      </c>
      <c r="K388" t="str">
        <f>IFERROR(_xlfn.XLOOKUP($A388,'Base SKUs'!$E:$E,'Base SKUs'!C:C),"")</f>
        <v>Long</v>
      </c>
      <c r="L388" t="str">
        <f>IFERROR(_xlfn.XLOOKUP($A388,'Base SKUs'!$E:$E,'Base SKUs'!D:D),"")</f>
        <v>Hardwoods</v>
      </c>
      <c r="M388" t="str">
        <f>IFERROR(_xlfn.XLOOKUP($A388,'Base SKUs'!$E:$E,'Base SKUs'!G:G),"")</f>
        <v>Ipe</v>
      </c>
      <c r="N388" t="str">
        <f>IFERROR(_xlfn.XLOOKUP($A388,'Base SKUs'!$E:$E,'Base SKUs'!H:H),"")</f>
        <v>S4S E4E</v>
      </c>
      <c r="O388" t="str">
        <f>IFERROR(_xlfn.XLOOKUP($A388,'Base SKUs'!$E:$E,'Base SKUs'!I:I),"")</f>
        <v>-</v>
      </c>
      <c r="P388" t="str">
        <f>IFERROR(_xlfn.XLOOKUP($A388,'Base SKUs'!$E:$E,'Base SKUs'!J:J),"")</f>
        <v>2x6</v>
      </c>
      <c r="Q388">
        <f>IFERROR(_xlfn.XLOOKUP($A388,'Base SKUs'!$E:$E,'Base SKUs'!K:K),"")</f>
        <v>16</v>
      </c>
      <c r="R388" s="7">
        <f>IFERROR(_xlfn.XLOOKUP($A388,'Base SKUs'!$E:$E,'Base SKUs'!S:S),"")</f>
        <v>2.5957109375999998E-2</v>
      </c>
      <c r="S388" s="8">
        <f t="shared" si="32"/>
        <v>3.6339953126399998</v>
      </c>
      <c r="T388" s="7">
        <f>IFERROR(_xlfn.XLOOKUP($A388,'Base SKUs'!$E:$E,'Base SKUs'!R:R),"")</f>
        <v>616.40099999999995</v>
      </c>
      <c r="U388" s="15">
        <f t="shared" si="33"/>
        <v>2240</v>
      </c>
      <c r="V388" t="str">
        <f t="shared" si="34"/>
        <v>New York</v>
      </c>
    </row>
    <row r="389" spans="1:22" x14ac:dyDescent="0.2">
      <c r="A389" t="s">
        <v>622</v>
      </c>
      <c r="B389" s="5">
        <v>401</v>
      </c>
      <c r="C389" s="5">
        <v>154</v>
      </c>
      <c r="D389" s="5">
        <f t="shared" si="30"/>
        <v>247</v>
      </c>
      <c r="E389" s="6">
        <v>99.939599999999999</v>
      </c>
      <c r="F389" s="6">
        <f t="shared" si="31"/>
        <v>40075.779600000002</v>
      </c>
      <c r="G389" t="s">
        <v>17</v>
      </c>
      <c r="H389">
        <v>9007</v>
      </c>
      <c r="I389" t="str">
        <f>IFERROR(_xlfn.XLOOKUP($A389,'Base SKUs'!$E:$E,'Base SKUs'!A:A),"")</f>
        <v>Ipe</v>
      </c>
      <c r="J389" t="str">
        <f>IFERROR(_xlfn.XLOOKUP($A389,'Base SKUs'!$E:$E,'Base SKUs'!B:B),"")</f>
        <v>Ipe 2x6</v>
      </c>
      <c r="K389" t="str">
        <f>IFERROR(_xlfn.XLOOKUP($A389,'Base SKUs'!$E:$E,'Base SKUs'!C:C),"")</f>
        <v>Long</v>
      </c>
      <c r="L389" t="str">
        <f>IFERROR(_xlfn.XLOOKUP($A389,'Base SKUs'!$E:$E,'Base SKUs'!D:D),"")</f>
        <v>Hardwoods</v>
      </c>
      <c r="M389" t="str">
        <f>IFERROR(_xlfn.XLOOKUP($A389,'Base SKUs'!$E:$E,'Base SKUs'!G:G),"")</f>
        <v>Ipe</v>
      </c>
      <c r="N389" t="str">
        <f>IFERROR(_xlfn.XLOOKUP($A389,'Base SKUs'!$E:$E,'Base SKUs'!H:H),"")</f>
        <v>S4S E4E</v>
      </c>
      <c r="O389" t="str">
        <f>IFERROR(_xlfn.XLOOKUP($A389,'Base SKUs'!$E:$E,'Base SKUs'!I:I),"")</f>
        <v>-</v>
      </c>
      <c r="P389" t="str">
        <f>IFERROR(_xlfn.XLOOKUP($A389,'Base SKUs'!$E:$E,'Base SKUs'!J:J),"")</f>
        <v>2x6</v>
      </c>
      <c r="Q389">
        <f>IFERROR(_xlfn.XLOOKUP($A389,'Base SKUs'!$E:$E,'Base SKUs'!K:K),"")</f>
        <v>18</v>
      </c>
      <c r="R389" s="7">
        <f>IFERROR(_xlfn.XLOOKUP($A389,'Base SKUs'!$E:$E,'Base SKUs'!S:S),"")</f>
        <v>2.9201748047999999E-2</v>
      </c>
      <c r="S389" s="8">
        <f t="shared" si="32"/>
        <v>7.2128317678559997</v>
      </c>
      <c r="T389" s="7">
        <f>IFERROR(_xlfn.XLOOKUP($A389,'Base SKUs'!$E:$E,'Base SKUs'!R:R),"")</f>
        <v>616.40099999999995</v>
      </c>
      <c r="U389" s="15">
        <f t="shared" si="33"/>
        <v>4446</v>
      </c>
      <c r="V389" t="str">
        <f t="shared" si="34"/>
        <v>Miami</v>
      </c>
    </row>
    <row r="390" spans="1:22" x14ac:dyDescent="0.2">
      <c r="A390" t="s">
        <v>622</v>
      </c>
      <c r="B390" s="5">
        <v>276</v>
      </c>
      <c r="C390" s="5">
        <v>0</v>
      </c>
      <c r="D390" s="5">
        <f t="shared" si="30"/>
        <v>276</v>
      </c>
      <c r="E390" s="6">
        <v>89.435599999999994</v>
      </c>
      <c r="F390" s="6">
        <f t="shared" si="31"/>
        <v>24684.225599999998</v>
      </c>
      <c r="G390" t="s">
        <v>24</v>
      </c>
      <c r="H390">
        <v>9008</v>
      </c>
      <c r="I390" t="str">
        <f>IFERROR(_xlfn.XLOOKUP($A390,'Base SKUs'!$E:$E,'Base SKUs'!A:A),"")</f>
        <v>Ipe</v>
      </c>
      <c r="J390" t="str">
        <f>IFERROR(_xlfn.XLOOKUP($A390,'Base SKUs'!$E:$E,'Base SKUs'!B:B),"")</f>
        <v>Ipe 2x6</v>
      </c>
      <c r="K390" t="str">
        <f>IFERROR(_xlfn.XLOOKUP($A390,'Base SKUs'!$E:$E,'Base SKUs'!C:C),"")</f>
        <v>Long</v>
      </c>
      <c r="L390" t="str">
        <f>IFERROR(_xlfn.XLOOKUP($A390,'Base SKUs'!$E:$E,'Base SKUs'!D:D),"")</f>
        <v>Hardwoods</v>
      </c>
      <c r="M390" t="str">
        <f>IFERROR(_xlfn.XLOOKUP($A390,'Base SKUs'!$E:$E,'Base SKUs'!G:G),"")</f>
        <v>Ipe</v>
      </c>
      <c r="N390" t="str">
        <f>IFERROR(_xlfn.XLOOKUP($A390,'Base SKUs'!$E:$E,'Base SKUs'!H:H),"")</f>
        <v>S4S E4E</v>
      </c>
      <c r="O390" t="str">
        <f>IFERROR(_xlfn.XLOOKUP($A390,'Base SKUs'!$E:$E,'Base SKUs'!I:I),"")</f>
        <v>-</v>
      </c>
      <c r="P390" t="str">
        <f>IFERROR(_xlfn.XLOOKUP($A390,'Base SKUs'!$E:$E,'Base SKUs'!J:J),"")</f>
        <v>2x6</v>
      </c>
      <c r="Q390">
        <f>IFERROR(_xlfn.XLOOKUP($A390,'Base SKUs'!$E:$E,'Base SKUs'!K:K),"")</f>
        <v>18</v>
      </c>
      <c r="R390" s="7">
        <f>IFERROR(_xlfn.XLOOKUP($A390,'Base SKUs'!$E:$E,'Base SKUs'!S:S),"")</f>
        <v>2.9201748047999999E-2</v>
      </c>
      <c r="S390" s="8">
        <f t="shared" si="32"/>
        <v>8.0596824612480003</v>
      </c>
      <c r="T390" s="7">
        <f>IFERROR(_xlfn.XLOOKUP($A390,'Base SKUs'!$E:$E,'Base SKUs'!R:R),"")</f>
        <v>616.40099999999995</v>
      </c>
      <c r="U390" s="15">
        <f t="shared" si="33"/>
        <v>4968</v>
      </c>
      <c r="V390" t="str">
        <f t="shared" si="34"/>
        <v>Texas</v>
      </c>
    </row>
    <row r="391" spans="1:22" x14ac:dyDescent="0.2">
      <c r="A391" t="s">
        <v>622</v>
      </c>
      <c r="B391" s="5">
        <v>422</v>
      </c>
      <c r="C391" s="5">
        <v>352</v>
      </c>
      <c r="D391" s="5">
        <f t="shared" si="30"/>
        <v>70</v>
      </c>
      <c r="E391" s="6">
        <v>95.791899999999998</v>
      </c>
      <c r="F391" s="6">
        <f t="shared" si="31"/>
        <v>40424.181799999998</v>
      </c>
      <c r="G391" t="s">
        <v>125</v>
      </c>
      <c r="H391">
        <v>9009</v>
      </c>
      <c r="I391" t="str">
        <f>IFERROR(_xlfn.XLOOKUP($A391,'Base SKUs'!$E:$E,'Base SKUs'!A:A),"")</f>
        <v>Ipe</v>
      </c>
      <c r="J391" t="str">
        <f>IFERROR(_xlfn.XLOOKUP($A391,'Base SKUs'!$E:$E,'Base SKUs'!B:B),"")</f>
        <v>Ipe 2x6</v>
      </c>
      <c r="K391" t="str">
        <f>IFERROR(_xlfn.XLOOKUP($A391,'Base SKUs'!$E:$E,'Base SKUs'!C:C),"")</f>
        <v>Long</v>
      </c>
      <c r="L391" t="str">
        <f>IFERROR(_xlfn.XLOOKUP($A391,'Base SKUs'!$E:$E,'Base SKUs'!D:D),"")</f>
        <v>Hardwoods</v>
      </c>
      <c r="M391" t="str">
        <f>IFERROR(_xlfn.XLOOKUP($A391,'Base SKUs'!$E:$E,'Base SKUs'!G:G),"")</f>
        <v>Ipe</v>
      </c>
      <c r="N391" t="str">
        <f>IFERROR(_xlfn.XLOOKUP($A391,'Base SKUs'!$E:$E,'Base SKUs'!H:H),"")</f>
        <v>S4S E4E</v>
      </c>
      <c r="O391" t="str">
        <f>IFERROR(_xlfn.XLOOKUP($A391,'Base SKUs'!$E:$E,'Base SKUs'!I:I),"")</f>
        <v>-</v>
      </c>
      <c r="P391" t="str">
        <f>IFERROR(_xlfn.XLOOKUP($A391,'Base SKUs'!$E:$E,'Base SKUs'!J:J),"")</f>
        <v>2x6</v>
      </c>
      <c r="Q391">
        <f>IFERROR(_xlfn.XLOOKUP($A391,'Base SKUs'!$E:$E,'Base SKUs'!K:K),"")</f>
        <v>18</v>
      </c>
      <c r="R391" s="7">
        <f>IFERROR(_xlfn.XLOOKUP($A391,'Base SKUs'!$E:$E,'Base SKUs'!S:S),"")</f>
        <v>2.9201748047999999E-2</v>
      </c>
      <c r="S391" s="8">
        <f t="shared" si="32"/>
        <v>2.0441223633600001</v>
      </c>
      <c r="T391" s="7">
        <f>IFERROR(_xlfn.XLOOKUP($A391,'Base SKUs'!$E:$E,'Base SKUs'!R:R),"")</f>
        <v>616.40099999999995</v>
      </c>
      <c r="U391" s="15">
        <f t="shared" si="33"/>
        <v>1260</v>
      </c>
      <c r="V391" t="str">
        <f t="shared" si="34"/>
        <v>Boston</v>
      </c>
    </row>
    <row r="392" spans="1:22" x14ac:dyDescent="0.2">
      <c r="A392" t="s">
        <v>622</v>
      </c>
      <c r="B392" s="5">
        <v>287</v>
      </c>
      <c r="C392" s="5">
        <v>42</v>
      </c>
      <c r="D392" s="5">
        <f t="shared" si="30"/>
        <v>245</v>
      </c>
      <c r="E392" s="6">
        <v>104.1931</v>
      </c>
      <c r="F392" s="6">
        <f t="shared" si="31"/>
        <v>29903.419699999999</v>
      </c>
      <c r="G392" t="s">
        <v>330</v>
      </c>
      <c r="H392">
        <v>9011</v>
      </c>
      <c r="I392" t="str">
        <f>IFERROR(_xlfn.XLOOKUP($A392,'Base SKUs'!$E:$E,'Base SKUs'!A:A),"")</f>
        <v>Ipe</v>
      </c>
      <c r="J392" t="str">
        <f>IFERROR(_xlfn.XLOOKUP($A392,'Base SKUs'!$E:$E,'Base SKUs'!B:B),"")</f>
        <v>Ipe 2x6</v>
      </c>
      <c r="K392" t="str">
        <f>IFERROR(_xlfn.XLOOKUP($A392,'Base SKUs'!$E:$E,'Base SKUs'!C:C),"")</f>
        <v>Long</v>
      </c>
      <c r="L392" t="str">
        <f>IFERROR(_xlfn.XLOOKUP($A392,'Base SKUs'!$E:$E,'Base SKUs'!D:D),"")</f>
        <v>Hardwoods</v>
      </c>
      <c r="M392" t="str">
        <f>IFERROR(_xlfn.XLOOKUP($A392,'Base SKUs'!$E:$E,'Base SKUs'!G:G),"")</f>
        <v>Ipe</v>
      </c>
      <c r="N392" t="str">
        <f>IFERROR(_xlfn.XLOOKUP($A392,'Base SKUs'!$E:$E,'Base SKUs'!H:H),"")</f>
        <v>S4S E4E</v>
      </c>
      <c r="O392" t="str">
        <f>IFERROR(_xlfn.XLOOKUP($A392,'Base SKUs'!$E:$E,'Base SKUs'!I:I),"")</f>
        <v>-</v>
      </c>
      <c r="P392" t="str">
        <f>IFERROR(_xlfn.XLOOKUP($A392,'Base SKUs'!$E:$E,'Base SKUs'!J:J),"")</f>
        <v>2x6</v>
      </c>
      <c r="Q392">
        <f>IFERROR(_xlfn.XLOOKUP($A392,'Base SKUs'!$E:$E,'Base SKUs'!K:K),"")</f>
        <v>18</v>
      </c>
      <c r="R392" s="7">
        <f>IFERROR(_xlfn.XLOOKUP($A392,'Base SKUs'!$E:$E,'Base SKUs'!S:S),"")</f>
        <v>2.9201748047999999E-2</v>
      </c>
      <c r="S392" s="8">
        <f t="shared" si="32"/>
        <v>7.1544282717599996</v>
      </c>
      <c r="T392" s="7">
        <f>IFERROR(_xlfn.XLOOKUP($A392,'Base SKUs'!$E:$E,'Base SKUs'!R:R),"")</f>
        <v>616.40099999999995</v>
      </c>
      <c r="U392" s="15">
        <f t="shared" si="33"/>
        <v>4410</v>
      </c>
      <c r="V392" t="str">
        <f t="shared" si="34"/>
        <v>New York</v>
      </c>
    </row>
    <row r="393" spans="1:22" x14ac:dyDescent="0.2">
      <c r="A393" t="s">
        <v>624</v>
      </c>
      <c r="B393" s="5">
        <v>53</v>
      </c>
      <c r="C393" s="5">
        <v>14</v>
      </c>
      <c r="D393" s="5">
        <f t="shared" si="30"/>
        <v>39</v>
      </c>
      <c r="E393" s="6">
        <v>110.3875</v>
      </c>
      <c r="F393" s="6">
        <f t="shared" si="31"/>
        <v>5850.5375000000004</v>
      </c>
      <c r="G393" t="s">
        <v>17</v>
      </c>
      <c r="H393">
        <v>9007</v>
      </c>
      <c r="I393" t="str">
        <f>IFERROR(_xlfn.XLOOKUP($A393,'Base SKUs'!$E:$E,'Base SKUs'!A:A),"")</f>
        <v>Ipe</v>
      </c>
      <c r="J393" t="str">
        <f>IFERROR(_xlfn.XLOOKUP($A393,'Base SKUs'!$E:$E,'Base SKUs'!B:B),"")</f>
        <v>Ipe 2x6</v>
      </c>
      <c r="K393" t="str">
        <f>IFERROR(_xlfn.XLOOKUP($A393,'Base SKUs'!$E:$E,'Base SKUs'!C:C),"")</f>
        <v>Long</v>
      </c>
      <c r="L393" t="str">
        <f>IFERROR(_xlfn.XLOOKUP($A393,'Base SKUs'!$E:$E,'Base SKUs'!D:D),"")</f>
        <v>Hardwoods</v>
      </c>
      <c r="M393" t="str">
        <f>IFERROR(_xlfn.XLOOKUP($A393,'Base SKUs'!$E:$E,'Base SKUs'!G:G),"")</f>
        <v>Ipe</v>
      </c>
      <c r="N393" t="str">
        <f>IFERROR(_xlfn.XLOOKUP($A393,'Base SKUs'!$E:$E,'Base SKUs'!H:H),"")</f>
        <v>S4S E4E</v>
      </c>
      <c r="O393" t="str">
        <f>IFERROR(_xlfn.XLOOKUP($A393,'Base SKUs'!$E:$E,'Base SKUs'!I:I),"")</f>
        <v>-</v>
      </c>
      <c r="P393" t="str">
        <f>IFERROR(_xlfn.XLOOKUP($A393,'Base SKUs'!$E:$E,'Base SKUs'!J:J),"")</f>
        <v>2x6</v>
      </c>
      <c r="Q393">
        <f>IFERROR(_xlfn.XLOOKUP($A393,'Base SKUs'!$E:$E,'Base SKUs'!K:K),"")</f>
        <v>20</v>
      </c>
      <c r="R393" s="7">
        <f>IFERROR(_xlfn.XLOOKUP($A393,'Base SKUs'!$E:$E,'Base SKUs'!S:S),"")</f>
        <v>3.2446386719999998E-2</v>
      </c>
      <c r="S393" s="8">
        <f t="shared" si="32"/>
        <v>1.2654090820799999</v>
      </c>
      <c r="T393" s="7">
        <f>IFERROR(_xlfn.XLOOKUP($A393,'Base SKUs'!$E:$E,'Base SKUs'!R:R),"")</f>
        <v>616.40099999999995</v>
      </c>
      <c r="U393" s="15">
        <f t="shared" si="33"/>
        <v>780</v>
      </c>
      <c r="V393" t="str">
        <f t="shared" si="34"/>
        <v>Miami</v>
      </c>
    </row>
    <row r="394" spans="1:22" x14ac:dyDescent="0.2">
      <c r="A394" t="s">
        <v>624</v>
      </c>
      <c r="B394" s="5">
        <v>119</v>
      </c>
      <c r="C394" s="5">
        <v>0</v>
      </c>
      <c r="D394" s="5">
        <f t="shared" si="30"/>
        <v>119</v>
      </c>
      <c r="E394" s="6">
        <v>104.2413</v>
      </c>
      <c r="F394" s="6">
        <f t="shared" si="31"/>
        <v>12404.714699999999</v>
      </c>
      <c r="G394" t="s">
        <v>24</v>
      </c>
      <c r="H394">
        <v>9008</v>
      </c>
      <c r="I394" t="str">
        <f>IFERROR(_xlfn.XLOOKUP($A394,'Base SKUs'!$E:$E,'Base SKUs'!A:A),"")</f>
        <v>Ipe</v>
      </c>
      <c r="J394" t="str">
        <f>IFERROR(_xlfn.XLOOKUP($A394,'Base SKUs'!$E:$E,'Base SKUs'!B:B),"")</f>
        <v>Ipe 2x6</v>
      </c>
      <c r="K394" t="str">
        <f>IFERROR(_xlfn.XLOOKUP($A394,'Base SKUs'!$E:$E,'Base SKUs'!C:C),"")</f>
        <v>Long</v>
      </c>
      <c r="L394" t="str">
        <f>IFERROR(_xlfn.XLOOKUP($A394,'Base SKUs'!$E:$E,'Base SKUs'!D:D),"")</f>
        <v>Hardwoods</v>
      </c>
      <c r="M394" t="str">
        <f>IFERROR(_xlfn.XLOOKUP($A394,'Base SKUs'!$E:$E,'Base SKUs'!G:G),"")</f>
        <v>Ipe</v>
      </c>
      <c r="N394" t="str">
        <f>IFERROR(_xlfn.XLOOKUP($A394,'Base SKUs'!$E:$E,'Base SKUs'!H:H),"")</f>
        <v>S4S E4E</v>
      </c>
      <c r="O394" t="str">
        <f>IFERROR(_xlfn.XLOOKUP($A394,'Base SKUs'!$E:$E,'Base SKUs'!I:I),"")</f>
        <v>-</v>
      </c>
      <c r="P394" t="str">
        <f>IFERROR(_xlfn.XLOOKUP($A394,'Base SKUs'!$E:$E,'Base SKUs'!J:J),"")</f>
        <v>2x6</v>
      </c>
      <c r="Q394">
        <f>IFERROR(_xlfn.XLOOKUP($A394,'Base SKUs'!$E:$E,'Base SKUs'!K:K),"")</f>
        <v>20</v>
      </c>
      <c r="R394" s="7">
        <f>IFERROR(_xlfn.XLOOKUP($A394,'Base SKUs'!$E:$E,'Base SKUs'!S:S),"")</f>
        <v>3.2446386719999998E-2</v>
      </c>
      <c r="S394" s="8">
        <f t="shared" si="32"/>
        <v>3.8611200196799995</v>
      </c>
      <c r="T394" s="7">
        <f>IFERROR(_xlfn.XLOOKUP($A394,'Base SKUs'!$E:$E,'Base SKUs'!R:R),"")</f>
        <v>616.40099999999995</v>
      </c>
      <c r="U394" s="15">
        <f t="shared" si="33"/>
        <v>2380</v>
      </c>
      <c r="V394" t="str">
        <f t="shared" si="34"/>
        <v>Texas</v>
      </c>
    </row>
    <row r="395" spans="1:22" x14ac:dyDescent="0.2">
      <c r="A395" t="s">
        <v>624</v>
      </c>
      <c r="B395" s="5">
        <v>413</v>
      </c>
      <c r="C395" s="5">
        <v>218</v>
      </c>
      <c r="D395" s="5">
        <f t="shared" si="30"/>
        <v>195</v>
      </c>
      <c r="E395" s="6">
        <v>106.4132</v>
      </c>
      <c r="F395" s="6">
        <f t="shared" si="31"/>
        <v>43948.651600000005</v>
      </c>
      <c r="G395" t="s">
        <v>125</v>
      </c>
      <c r="H395">
        <v>9009</v>
      </c>
      <c r="I395" t="str">
        <f>IFERROR(_xlfn.XLOOKUP($A395,'Base SKUs'!$E:$E,'Base SKUs'!A:A),"")</f>
        <v>Ipe</v>
      </c>
      <c r="J395" t="str">
        <f>IFERROR(_xlfn.XLOOKUP($A395,'Base SKUs'!$E:$E,'Base SKUs'!B:B),"")</f>
        <v>Ipe 2x6</v>
      </c>
      <c r="K395" t="str">
        <f>IFERROR(_xlfn.XLOOKUP($A395,'Base SKUs'!$E:$E,'Base SKUs'!C:C),"")</f>
        <v>Long</v>
      </c>
      <c r="L395" t="str">
        <f>IFERROR(_xlfn.XLOOKUP($A395,'Base SKUs'!$E:$E,'Base SKUs'!D:D),"")</f>
        <v>Hardwoods</v>
      </c>
      <c r="M395" t="str">
        <f>IFERROR(_xlfn.XLOOKUP($A395,'Base SKUs'!$E:$E,'Base SKUs'!G:G),"")</f>
        <v>Ipe</v>
      </c>
      <c r="N395" t="str">
        <f>IFERROR(_xlfn.XLOOKUP($A395,'Base SKUs'!$E:$E,'Base SKUs'!H:H),"")</f>
        <v>S4S E4E</v>
      </c>
      <c r="O395" t="str">
        <f>IFERROR(_xlfn.XLOOKUP($A395,'Base SKUs'!$E:$E,'Base SKUs'!I:I),"")</f>
        <v>-</v>
      </c>
      <c r="P395" t="str">
        <f>IFERROR(_xlfn.XLOOKUP($A395,'Base SKUs'!$E:$E,'Base SKUs'!J:J),"")</f>
        <v>2x6</v>
      </c>
      <c r="Q395">
        <f>IFERROR(_xlfn.XLOOKUP($A395,'Base SKUs'!$E:$E,'Base SKUs'!K:K),"")</f>
        <v>20</v>
      </c>
      <c r="R395" s="7">
        <f>IFERROR(_xlfn.XLOOKUP($A395,'Base SKUs'!$E:$E,'Base SKUs'!S:S),"")</f>
        <v>3.2446386719999998E-2</v>
      </c>
      <c r="S395" s="8">
        <f t="shared" si="32"/>
        <v>6.3270454103999993</v>
      </c>
      <c r="T395" s="7">
        <f>IFERROR(_xlfn.XLOOKUP($A395,'Base SKUs'!$E:$E,'Base SKUs'!R:R),"")</f>
        <v>616.40099999999995</v>
      </c>
      <c r="U395" s="15">
        <f t="shared" si="33"/>
        <v>3900</v>
      </c>
      <c r="V395" t="str">
        <f t="shared" si="34"/>
        <v>Boston</v>
      </c>
    </row>
    <row r="396" spans="1:22" x14ac:dyDescent="0.2">
      <c r="A396" t="s">
        <v>624</v>
      </c>
      <c r="B396" s="5">
        <v>111</v>
      </c>
      <c r="C396" s="5">
        <v>0</v>
      </c>
      <c r="D396" s="5">
        <f t="shared" si="30"/>
        <v>111</v>
      </c>
      <c r="E396" s="6">
        <v>101.9846</v>
      </c>
      <c r="F396" s="6">
        <f t="shared" si="31"/>
        <v>11320.2906</v>
      </c>
      <c r="G396" t="s">
        <v>330</v>
      </c>
      <c r="H396">
        <v>9011</v>
      </c>
      <c r="I396" t="str">
        <f>IFERROR(_xlfn.XLOOKUP($A396,'Base SKUs'!$E:$E,'Base SKUs'!A:A),"")</f>
        <v>Ipe</v>
      </c>
      <c r="J396" t="str">
        <f>IFERROR(_xlfn.XLOOKUP($A396,'Base SKUs'!$E:$E,'Base SKUs'!B:B),"")</f>
        <v>Ipe 2x6</v>
      </c>
      <c r="K396" t="str">
        <f>IFERROR(_xlfn.XLOOKUP($A396,'Base SKUs'!$E:$E,'Base SKUs'!C:C),"")</f>
        <v>Long</v>
      </c>
      <c r="L396" t="str">
        <f>IFERROR(_xlfn.XLOOKUP($A396,'Base SKUs'!$E:$E,'Base SKUs'!D:D),"")</f>
        <v>Hardwoods</v>
      </c>
      <c r="M396" t="str">
        <f>IFERROR(_xlfn.XLOOKUP($A396,'Base SKUs'!$E:$E,'Base SKUs'!G:G),"")</f>
        <v>Ipe</v>
      </c>
      <c r="N396" t="str">
        <f>IFERROR(_xlfn.XLOOKUP($A396,'Base SKUs'!$E:$E,'Base SKUs'!H:H),"")</f>
        <v>S4S E4E</v>
      </c>
      <c r="O396" t="str">
        <f>IFERROR(_xlfn.XLOOKUP($A396,'Base SKUs'!$E:$E,'Base SKUs'!I:I),"")</f>
        <v>-</v>
      </c>
      <c r="P396" t="str">
        <f>IFERROR(_xlfn.XLOOKUP($A396,'Base SKUs'!$E:$E,'Base SKUs'!J:J),"")</f>
        <v>2x6</v>
      </c>
      <c r="Q396">
        <f>IFERROR(_xlfn.XLOOKUP($A396,'Base SKUs'!$E:$E,'Base SKUs'!K:K),"")</f>
        <v>20</v>
      </c>
      <c r="R396" s="7">
        <f>IFERROR(_xlfn.XLOOKUP($A396,'Base SKUs'!$E:$E,'Base SKUs'!S:S),"")</f>
        <v>3.2446386719999998E-2</v>
      </c>
      <c r="S396" s="8">
        <f t="shared" si="32"/>
        <v>3.6015489259199995</v>
      </c>
      <c r="T396" s="7">
        <f>IFERROR(_xlfn.XLOOKUP($A396,'Base SKUs'!$E:$E,'Base SKUs'!R:R),"")</f>
        <v>616.40099999999995</v>
      </c>
      <c r="U396" s="15">
        <f t="shared" si="33"/>
        <v>2220</v>
      </c>
      <c r="V396" t="str">
        <f t="shared" si="34"/>
        <v>New York</v>
      </c>
    </row>
    <row r="397" spans="1:22" x14ac:dyDescent="0.2">
      <c r="A397" t="s">
        <v>626</v>
      </c>
      <c r="B397" s="5">
        <v>25</v>
      </c>
      <c r="C397" s="5">
        <v>0</v>
      </c>
      <c r="D397" s="5">
        <f t="shared" si="30"/>
        <v>25</v>
      </c>
      <c r="E397" s="6">
        <v>124.75960000000001</v>
      </c>
      <c r="F397" s="6">
        <f t="shared" si="31"/>
        <v>3118.9900000000002</v>
      </c>
      <c r="G397" t="s">
        <v>17</v>
      </c>
      <c r="H397">
        <v>9007</v>
      </c>
      <c r="I397" t="str">
        <f>IFERROR(_xlfn.XLOOKUP($A397,'Base SKUs'!$E:$E,'Base SKUs'!A:A),"")</f>
        <v>Ipe</v>
      </c>
      <c r="J397" t="str">
        <f>IFERROR(_xlfn.XLOOKUP($A397,'Base SKUs'!$E:$E,'Base SKUs'!B:B),"")</f>
        <v>Ipe 2x6</v>
      </c>
      <c r="K397" t="str">
        <f>IFERROR(_xlfn.XLOOKUP($A397,'Base SKUs'!$E:$E,'Base SKUs'!C:C),"")</f>
        <v>Long</v>
      </c>
      <c r="L397" t="str">
        <f>IFERROR(_xlfn.XLOOKUP($A397,'Base SKUs'!$E:$E,'Base SKUs'!D:D),"")</f>
        <v>Hardwoods</v>
      </c>
      <c r="M397" t="str">
        <f>IFERROR(_xlfn.XLOOKUP($A397,'Base SKUs'!$E:$E,'Base SKUs'!G:G),"")</f>
        <v>Ipe</v>
      </c>
      <c r="N397" t="str">
        <f>IFERROR(_xlfn.XLOOKUP($A397,'Base SKUs'!$E:$E,'Base SKUs'!H:H),"")</f>
        <v>S4S E4E</v>
      </c>
      <c r="O397" t="str">
        <f>IFERROR(_xlfn.XLOOKUP($A397,'Base SKUs'!$E:$E,'Base SKUs'!I:I),"")</f>
        <v>-</v>
      </c>
      <c r="P397" t="str">
        <f>IFERROR(_xlfn.XLOOKUP($A397,'Base SKUs'!$E:$E,'Base SKUs'!J:J),"")</f>
        <v>2x6</v>
      </c>
      <c r="Q397">
        <f>IFERROR(_xlfn.XLOOKUP($A397,'Base SKUs'!$E:$E,'Base SKUs'!K:K),"")</f>
        <v>22</v>
      </c>
      <c r="R397" s="7">
        <f>IFERROR(_xlfn.XLOOKUP($A397,'Base SKUs'!$E:$E,'Base SKUs'!S:S),"")</f>
        <v>3.5691025391999996E-2</v>
      </c>
      <c r="S397" s="8">
        <f t="shared" si="32"/>
        <v>0.89227563479999994</v>
      </c>
      <c r="T397" s="7">
        <f>IFERROR(_xlfn.XLOOKUP($A397,'Base SKUs'!$E:$E,'Base SKUs'!R:R),"")</f>
        <v>616.40099999999995</v>
      </c>
      <c r="U397" s="15">
        <f t="shared" si="33"/>
        <v>550</v>
      </c>
      <c r="V397" t="str">
        <f t="shared" si="34"/>
        <v>Miami</v>
      </c>
    </row>
    <row r="398" spans="1:22" x14ac:dyDescent="0.2">
      <c r="A398" t="s">
        <v>626</v>
      </c>
      <c r="B398" s="5">
        <v>64</v>
      </c>
      <c r="C398" s="5">
        <v>0</v>
      </c>
      <c r="D398" s="5">
        <f t="shared" si="30"/>
        <v>64</v>
      </c>
      <c r="E398" s="6">
        <v>115.68600000000001</v>
      </c>
      <c r="F398" s="6">
        <f t="shared" si="31"/>
        <v>7403.9040000000005</v>
      </c>
      <c r="G398" t="s">
        <v>24</v>
      </c>
      <c r="H398">
        <v>9008</v>
      </c>
      <c r="I398" t="str">
        <f>IFERROR(_xlfn.XLOOKUP($A398,'Base SKUs'!$E:$E,'Base SKUs'!A:A),"")</f>
        <v>Ipe</v>
      </c>
      <c r="J398" t="str">
        <f>IFERROR(_xlfn.XLOOKUP($A398,'Base SKUs'!$E:$E,'Base SKUs'!B:B),"")</f>
        <v>Ipe 2x6</v>
      </c>
      <c r="K398" t="str">
        <f>IFERROR(_xlfn.XLOOKUP($A398,'Base SKUs'!$E:$E,'Base SKUs'!C:C),"")</f>
        <v>Long</v>
      </c>
      <c r="L398" t="str">
        <f>IFERROR(_xlfn.XLOOKUP($A398,'Base SKUs'!$E:$E,'Base SKUs'!D:D),"")</f>
        <v>Hardwoods</v>
      </c>
      <c r="M398" t="str">
        <f>IFERROR(_xlfn.XLOOKUP($A398,'Base SKUs'!$E:$E,'Base SKUs'!G:G),"")</f>
        <v>Ipe</v>
      </c>
      <c r="N398" t="str">
        <f>IFERROR(_xlfn.XLOOKUP($A398,'Base SKUs'!$E:$E,'Base SKUs'!H:H),"")</f>
        <v>S4S E4E</v>
      </c>
      <c r="O398" t="str">
        <f>IFERROR(_xlfn.XLOOKUP($A398,'Base SKUs'!$E:$E,'Base SKUs'!I:I),"")</f>
        <v>-</v>
      </c>
      <c r="P398" t="str">
        <f>IFERROR(_xlfn.XLOOKUP($A398,'Base SKUs'!$E:$E,'Base SKUs'!J:J),"")</f>
        <v>2x6</v>
      </c>
      <c r="Q398">
        <f>IFERROR(_xlfn.XLOOKUP($A398,'Base SKUs'!$E:$E,'Base SKUs'!K:K),"")</f>
        <v>22</v>
      </c>
      <c r="R398" s="7">
        <f>IFERROR(_xlfn.XLOOKUP($A398,'Base SKUs'!$E:$E,'Base SKUs'!S:S),"")</f>
        <v>3.5691025391999996E-2</v>
      </c>
      <c r="S398" s="8">
        <f t="shared" si="32"/>
        <v>2.2842256250879998</v>
      </c>
      <c r="T398" s="7">
        <f>IFERROR(_xlfn.XLOOKUP($A398,'Base SKUs'!$E:$E,'Base SKUs'!R:R),"")</f>
        <v>616.40099999999995</v>
      </c>
      <c r="U398" s="15">
        <f t="shared" si="33"/>
        <v>1408</v>
      </c>
      <c r="V398" t="str">
        <f t="shared" si="34"/>
        <v>Texas</v>
      </c>
    </row>
    <row r="399" spans="1:22" x14ac:dyDescent="0.2">
      <c r="A399" t="s">
        <v>626</v>
      </c>
      <c r="B399" s="5">
        <v>53</v>
      </c>
      <c r="C399" s="5">
        <v>0</v>
      </c>
      <c r="D399" s="5">
        <f t="shared" si="30"/>
        <v>53</v>
      </c>
      <c r="E399" s="6">
        <v>117.0595</v>
      </c>
      <c r="F399" s="6">
        <f t="shared" si="31"/>
        <v>6204.1535000000003</v>
      </c>
      <c r="G399" t="s">
        <v>125</v>
      </c>
      <c r="H399">
        <v>9009</v>
      </c>
      <c r="I399" t="str">
        <f>IFERROR(_xlfn.XLOOKUP($A399,'Base SKUs'!$E:$E,'Base SKUs'!A:A),"")</f>
        <v>Ipe</v>
      </c>
      <c r="J399" t="str">
        <f>IFERROR(_xlfn.XLOOKUP($A399,'Base SKUs'!$E:$E,'Base SKUs'!B:B),"")</f>
        <v>Ipe 2x6</v>
      </c>
      <c r="K399" t="str">
        <f>IFERROR(_xlfn.XLOOKUP($A399,'Base SKUs'!$E:$E,'Base SKUs'!C:C),"")</f>
        <v>Long</v>
      </c>
      <c r="L399" t="str">
        <f>IFERROR(_xlfn.XLOOKUP($A399,'Base SKUs'!$E:$E,'Base SKUs'!D:D),"")</f>
        <v>Hardwoods</v>
      </c>
      <c r="M399" t="str">
        <f>IFERROR(_xlfn.XLOOKUP($A399,'Base SKUs'!$E:$E,'Base SKUs'!G:G),"")</f>
        <v>Ipe</v>
      </c>
      <c r="N399" t="str">
        <f>IFERROR(_xlfn.XLOOKUP($A399,'Base SKUs'!$E:$E,'Base SKUs'!H:H),"")</f>
        <v>S4S E4E</v>
      </c>
      <c r="O399" t="str">
        <f>IFERROR(_xlfn.XLOOKUP($A399,'Base SKUs'!$E:$E,'Base SKUs'!I:I),"")</f>
        <v>-</v>
      </c>
      <c r="P399" t="str">
        <f>IFERROR(_xlfn.XLOOKUP($A399,'Base SKUs'!$E:$E,'Base SKUs'!J:J),"")</f>
        <v>2x6</v>
      </c>
      <c r="Q399">
        <f>IFERROR(_xlfn.XLOOKUP($A399,'Base SKUs'!$E:$E,'Base SKUs'!K:K),"")</f>
        <v>22</v>
      </c>
      <c r="R399" s="7">
        <f>IFERROR(_xlfn.XLOOKUP($A399,'Base SKUs'!$E:$E,'Base SKUs'!S:S),"")</f>
        <v>3.5691025391999996E-2</v>
      </c>
      <c r="S399" s="8">
        <f t="shared" si="32"/>
        <v>1.8916243457759998</v>
      </c>
      <c r="T399" s="7">
        <f>IFERROR(_xlfn.XLOOKUP($A399,'Base SKUs'!$E:$E,'Base SKUs'!R:R),"")</f>
        <v>616.40099999999995</v>
      </c>
      <c r="U399" s="15">
        <f t="shared" si="33"/>
        <v>1166</v>
      </c>
      <c r="V399" t="str">
        <f t="shared" si="34"/>
        <v>Boston</v>
      </c>
    </row>
    <row r="400" spans="1:22" x14ac:dyDescent="0.2">
      <c r="A400" t="s">
        <v>626</v>
      </c>
      <c r="B400" s="5">
        <v>14</v>
      </c>
      <c r="C400" s="5">
        <v>0</v>
      </c>
      <c r="D400" s="5">
        <f t="shared" si="30"/>
        <v>14</v>
      </c>
      <c r="E400" s="6">
        <v>117.0595</v>
      </c>
      <c r="F400" s="6">
        <f t="shared" si="31"/>
        <v>1638.8330000000001</v>
      </c>
      <c r="G400" t="s">
        <v>330</v>
      </c>
      <c r="H400">
        <v>9011</v>
      </c>
      <c r="I400" t="str">
        <f>IFERROR(_xlfn.XLOOKUP($A400,'Base SKUs'!$E:$E,'Base SKUs'!A:A),"")</f>
        <v>Ipe</v>
      </c>
      <c r="J400" t="str">
        <f>IFERROR(_xlfn.XLOOKUP($A400,'Base SKUs'!$E:$E,'Base SKUs'!B:B),"")</f>
        <v>Ipe 2x6</v>
      </c>
      <c r="K400" t="str">
        <f>IFERROR(_xlfn.XLOOKUP($A400,'Base SKUs'!$E:$E,'Base SKUs'!C:C),"")</f>
        <v>Long</v>
      </c>
      <c r="L400" t="str">
        <f>IFERROR(_xlfn.XLOOKUP($A400,'Base SKUs'!$E:$E,'Base SKUs'!D:D),"")</f>
        <v>Hardwoods</v>
      </c>
      <c r="M400" t="str">
        <f>IFERROR(_xlfn.XLOOKUP($A400,'Base SKUs'!$E:$E,'Base SKUs'!G:G),"")</f>
        <v>Ipe</v>
      </c>
      <c r="N400" t="str">
        <f>IFERROR(_xlfn.XLOOKUP($A400,'Base SKUs'!$E:$E,'Base SKUs'!H:H),"")</f>
        <v>S4S E4E</v>
      </c>
      <c r="O400" t="str">
        <f>IFERROR(_xlfn.XLOOKUP($A400,'Base SKUs'!$E:$E,'Base SKUs'!I:I),"")</f>
        <v>-</v>
      </c>
      <c r="P400" t="str">
        <f>IFERROR(_xlfn.XLOOKUP($A400,'Base SKUs'!$E:$E,'Base SKUs'!J:J),"")</f>
        <v>2x6</v>
      </c>
      <c r="Q400">
        <f>IFERROR(_xlfn.XLOOKUP($A400,'Base SKUs'!$E:$E,'Base SKUs'!K:K),"")</f>
        <v>22</v>
      </c>
      <c r="R400" s="7">
        <f>IFERROR(_xlfn.XLOOKUP($A400,'Base SKUs'!$E:$E,'Base SKUs'!S:S),"")</f>
        <v>3.5691025391999996E-2</v>
      </c>
      <c r="S400" s="8">
        <f t="shared" si="32"/>
        <v>0.49967435548799993</v>
      </c>
      <c r="T400" s="7">
        <f>IFERROR(_xlfn.XLOOKUP($A400,'Base SKUs'!$E:$E,'Base SKUs'!R:R),"")</f>
        <v>616.40099999999995</v>
      </c>
      <c r="U400" s="15">
        <f t="shared" si="33"/>
        <v>308</v>
      </c>
      <c r="V400" t="str">
        <f t="shared" si="34"/>
        <v>New York</v>
      </c>
    </row>
    <row r="401" spans="1:22" x14ac:dyDescent="0.2">
      <c r="A401" t="s">
        <v>630</v>
      </c>
      <c r="B401" s="5">
        <v>847</v>
      </c>
      <c r="C401" s="5">
        <v>0</v>
      </c>
      <c r="D401" s="5">
        <f t="shared" si="30"/>
        <v>847</v>
      </c>
      <c r="E401" s="6">
        <v>15.575799999999999</v>
      </c>
      <c r="F401" s="6">
        <f t="shared" si="31"/>
        <v>13192.702599999999</v>
      </c>
      <c r="G401" t="s">
        <v>24</v>
      </c>
      <c r="H401">
        <v>9008</v>
      </c>
      <c r="I401" t="str">
        <f>IFERROR(_xlfn.XLOOKUP($A401,'Base SKUs'!$E:$E,'Base SKUs'!A:A),"")</f>
        <v>Ipe</v>
      </c>
      <c r="J401" t="str">
        <f>IFERROR(_xlfn.XLOOKUP($A401,'Base SKUs'!$E:$E,'Base SKUs'!B:B),"")</f>
        <v>Ipe 2x6</v>
      </c>
      <c r="K401" t="str">
        <f>IFERROR(_xlfn.XLOOKUP($A401,'Base SKUs'!$E:$E,'Base SKUs'!C:C),"")</f>
        <v>Short</v>
      </c>
      <c r="L401" t="str">
        <f>IFERROR(_xlfn.XLOOKUP($A401,'Base SKUs'!$E:$E,'Base SKUs'!D:D),"")</f>
        <v>Hardwoods</v>
      </c>
      <c r="M401" t="str">
        <f>IFERROR(_xlfn.XLOOKUP($A401,'Base SKUs'!$E:$E,'Base SKUs'!G:G),"")</f>
        <v>Ipe</v>
      </c>
      <c r="N401" t="str">
        <f>IFERROR(_xlfn.XLOOKUP($A401,'Base SKUs'!$E:$E,'Base SKUs'!H:H),"")</f>
        <v>S4S E4E</v>
      </c>
      <c r="O401" t="str">
        <f>IFERROR(_xlfn.XLOOKUP($A401,'Base SKUs'!$E:$E,'Base SKUs'!I:I),"")</f>
        <v>-</v>
      </c>
      <c r="P401" t="str">
        <f>IFERROR(_xlfn.XLOOKUP($A401,'Base SKUs'!$E:$E,'Base SKUs'!J:J),"")</f>
        <v>2x6</v>
      </c>
      <c r="Q401">
        <f>IFERROR(_xlfn.XLOOKUP($A401,'Base SKUs'!$E:$E,'Base SKUs'!K:K),"")</f>
        <v>6</v>
      </c>
      <c r="R401" s="7">
        <f>IFERROR(_xlfn.XLOOKUP($A401,'Base SKUs'!$E:$E,'Base SKUs'!S:S),"")</f>
        <v>9.7339160159999986E-3</v>
      </c>
      <c r="S401" s="8">
        <f t="shared" si="32"/>
        <v>8.2446268655519983</v>
      </c>
      <c r="T401" s="7">
        <f>IFERROR(_xlfn.XLOOKUP($A401,'Base SKUs'!$E:$E,'Base SKUs'!R:R),"")</f>
        <v>616.40099999999995</v>
      </c>
      <c r="U401" s="15">
        <f t="shared" si="33"/>
        <v>5082</v>
      </c>
      <c r="V401" t="str">
        <f t="shared" si="34"/>
        <v>Texas</v>
      </c>
    </row>
    <row r="402" spans="1:22" x14ac:dyDescent="0.2">
      <c r="A402" t="s">
        <v>630</v>
      </c>
      <c r="B402" s="5">
        <v>1154</v>
      </c>
      <c r="C402" s="5">
        <v>0</v>
      </c>
      <c r="D402" s="5">
        <f t="shared" si="30"/>
        <v>1154</v>
      </c>
      <c r="E402" s="6">
        <v>15.575799999999999</v>
      </c>
      <c r="F402" s="6">
        <f t="shared" si="31"/>
        <v>17974.4732</v>
      </c>
      <c r="G402" t="s">
        <v>330</v>
      </c>
      <c r="H402">
        <v>9011</v>
      </c>
      <c r="I402" t="str">
        <f>IFERROR(_xlfn.XLOOKUP($A402,'Base SKUs'!$E:$E,'Base SKUs'!A:A),"")</f>
        <v>Ipe</v>
      </c>
      <c r="J402" t="str">
        <f>IFERROR(_xlfn.XLOOKUP($A402,'Base SKUs'!$E:$E,'Base SKUs'!B:B),"")</f>
        <v>Ipe 2x6</v>
      </c>
      <c r="K402" t="str">
        <f>IFERROR(_xlfn.XLOOKUP($A402,'Base SKUs'!$E:$E,'Base SKUs'!C:C),"")</f>
        <v>Short</v>
      </c>
      <c r="L402" t="str">
        <f>IFERROR(_xlfn.XLOOKUP($A402,'Base SKUs'!$E:$E,'Base SKUs'!D:D),"")</f>
        <v>Hardwoods</v>
      </c>
      <c r="M402" t="str">
        <f>IFERROR(_xlfn.XLOOKUP($A402,'Base SKUs'!$E:$E,'Base SKUs'!G:G),"")</f>
        <v>Ipe</v>
      </c>
      <c r="N402" t="str">
        <f>IFERROR(_xlfn.XLOOKUP($A402,'Base SKUs'!$E:$E,'Base SKUs'!H:H),"")</f>
        <v>S4S E4E</v>
      </c>
      <c r="O402" t="str">
        <f>IFERROR(_xlfn.XLOOKUP($A402,'Base SKUs'!$E:$E,'Base SKUs'!I:I),"")</f>
        <v>-</v>
      </c>
      <c r="P402" t="str">
        <f>IFERROR(_xlfn.XLOOKUP($A402,'Base SKUs'!$E:$E,'Base SKUs'!J:J),"")</f>
        <v>2x6</v>
      </c>
      <c r="Q402">
        <f>IFERROR(_xlfn.XLOOKUP($A402,'Base SKUs'!$E:$E,'Base SKUs'!K:K),"")</f>
        <v>6</v>
      </c>
      <c r="R402" s="7">
        <f>IFERROR(_xlfn.XLOOKUP($A402,'Base SKUs'!$E:$E,'Base SKUs'!S:S),"")</f>
        <v>9.7339160159999986E-3</v>
      </c>
      <c r="S402" s="8">
        <f t="shared" si="32"/>
        <v>11.232939082463998</v>
      </c>
      <c r="T402" s="7">
        <f>IFERROR(_xlfn.XLOOKUP($A402,'Base SKUs'!$E:$E,'Base SKUs'!R:R),"")</f>
        <v>616.40099999999995</v>
      </c>
      <c r="U402" s="15">
        <f t="shared" si="33"/>
        <v>6924</v>
      </c>
      <c r="V402" t="str">
        <f t="shared" si="34"/>
        <v>New York</v>
      </c>
    </row>
    <row r="403" spans="1:22" x14ac:dyDescent="0.2">
      <c r="A403" t="s">
        <v>632</v>
      </c>
      <c r="B403" s="5">
        <v>335</v>
      </c>
      <c r="C403" s="5">
        <v>0</v>
      </c>
      <c r="D403" s="5">
        <f t="shared" si="30"/>
        <v>335</v>
      </c>
      <c r="E403" s="6">
        <v>18.170400000000001</v>
      </c>
      <c r="F403" s="6">
        <f t="shared" si="31"/>
        <v>6087.0839999999998</v>
      </c>
      <c r="G403" t="s">
        <v>330</v>
      </c>
      <c r="H403">
        <v>9011</v>
      </c>
      <c r="I403" t="str">
        <f>IFERROR(_xlfn.XLOOKUP($A403,'Base SKUs'!$E:$E,'Base SKUs'!A:A),"")</f>
        <v>Ipe</v>
      </c>
      <c r="J403" t="str">
        <f>IFERROR(_xlfn.XLOOKUP($A403,'Base SKUs'!$E:$E,'Base SKUs'!B:B),"")</f>
        <v>Ipe 2x6</v>
      </c>
      <c r="K403" t="str">
        <f>IFERROR(_xlfn.XLOOKUP($A403,'Base SKUs'!$E:$E,'Base SKUs'!C:C),"")</f>
        <v>Short</v>
      </c>
      <c r="L403" t="str">
        <f>IFERROR(_xlfn.XLOOKUP($A403,'Base SKUs'!$E:$E,'Base SKUs'!D:D),"")</f>
        <v>Hardwoods</v>
      </c>
      <c r="M403" t="str">
        <f>IFERROR(_xlfn.XLOOKUP($A403,'Base SKUs'!$E:$E,'Base SKUs'!G:G),"")</f>
        <v>Ipe</v>
      </c>
      <c r="N403" t="str">
        <f>IFERROR(_xlfn.XLOOKUP($A403,'Base SKUs'!$E:$E,'Base SKUs'!H:H),"")</f>
        <v>S4S E4E</v>
      </c>
      <c r="O403" t="str">
        <f>IFERROR(_xlfn.XLOOKUP($A403,'Base SKUs'!$E:$E,'Base SKUs'!I:I),"")</f>
        <v>-</v>
      </c>
      <c r="P403" t="str">
        <f>IFERROR(_xlfn.XLOOKUP($A403,'Base SKUs'!$E:$E,'Base SKUs'!J:J),"")</f>
        <v>2x6</v>
      </c>
      <c r="Q403">
        <f>IFERROR(_xlfn.XLOOKUP($A403,'Base SKUs'!$E:$E,'Base SKUs'!K:K),"")</f>
        <v>7</v>
      </c>
      <c r="R403" s="7">
        <f>IFERROR(_xlfn.XLOOKUP($A403,'Base SKUs'!$E:$E,'Base SKUs'!S:S),"")</f>
        <v>1.1356235352E-2</v>
      </c>
      <c r="S403" s="8">
        <f t="shared" si="32"/>
        <v>3.80433884292</v>
      </c>
      <c r="T403" s="7">
        <f>IFERROR(_xlfn.XLOOKUP($A403,'Base SKUs'!$E:$E,'Base SKUs'!R:R),"")</f>
        <v>616.40099999999995</v>
      </c>
      <c r="U403" s="15">
        <f t="shared" si="33"/>
        <v>2345</v>
      </c>
      <c r="V403" t="str">
        <f t="shared" si="34"/>
        <v>New York</v>
      </c>
    </row>
    <row r="404" spans="1:22" x14ac:dyDescent="0.2">
      <c r="A404" t="s">
        <v>634</v>
      </c>
      <c r="B404" s="5">
        <v>215</v>
      </c>
      <c r="C404" s="5">
        <v>56</v>
      </c>
      <c r="D404" s="5">
        <f t="shared" si="30"/>
        <v>159</v>
      </c>
      <c r="E404" s="6">
        <v>40.2376</v>
      </c>
      <c r="F404" s="6">
        <f t="shared" si="31"/>
        <v>8651.0840000000007</v>
      </c>
      <c r="G404" t="s">
        <v>17</v>
      </c>
      <c r="H404">
        <v>9007</v>
      </c>
      <c r="I404" t="str">
        <f>IFERROR(_xlfn.XLOOKUP($A404,'Base SKUs'!$E:$E,'Base SKUs'!A:A),"")</f>
        <v>Ipe</v>
      </c>
      <c r="J404" t="str">
        <f>IFERROR(_xlfn.XLOOKUP($A404,'Base SKUs'!$E:$E,'Base SKUs'!B:B),"")</f>
        <v>Ipe 2x6</v>
      </c>
      <c r="K404" t="str">
        <f>IFERROR(_xlfn.XLOOKUP($A404,'Base SKUs'!$E:$E,'Base SKUs'!C:C),"")</f>
        <v>Long</v>
      </c>
      <c r="L404" t="str">
        <f>IFERROR(_xlfn.XLOOKUP($A404,'Base SKUs'!$E:$E,'Base SKUs'!D:D),"")</f>
        <v>Hardwoods</v>
      </c>
      <c r="M404" t="str">
        <f>IFERROR(_xlfn.XLOOKUP($A404,'Base SKUs'!$E:$E,'Base SKUs'!G:G),"")</f>
        <v>Ipe</v>
      </c>
      <c r="N404" t="str">
        <f>IFERROR(_xlfn.XLOOKUP($A404,'Base SKUs'!$E:$E,'Base SKUs'!H:H),"")</f>
        <v>S4S E4E</v>
      </c>
      <c r="O404" t="str">
        <f>IFERROR(_xlfn.XLOOKUP($A404,'Base SKUs'!$E:$E,'Base SKUs'!I:I),"")</f>
        <v>-</v>
      </c>
      <c r="P404" t="str">
        <f>IFERROR(_xlfn.XLOOKUP($A404,'Base SKUs'!$E:$E,'Base SKUs'!J:J),"")</f>
        <v>2x6</v>
      </c>
      <c r="Q404">
        <f>IFERROR(_xlfn.XLOOKUP($A404,'Base SKUs'!$E:$E,'Base SKUs'!K:K),"")</f>
        <v>8</v>
      </c>
      <c r="R404" s="7">
        <f>IFERROR(_xlfn.XLOOKUP($A404,'Base SKUs'!$E:$E,'Base SKUs'!S:S),"")</f>
        <v>1.2978554687999999E-2</v>
      </c>
      <c r="S404" s="8">
        <f t="shared" si="32"/>
        <v>2.0635901953919999</v>
      </c>
      <c r="T404" s="7">
        <f>IFERROR(_xlfn.XLOOKUP($A404,'Base SKUs'!$E:$E,'Base SKUs'!R:R),"")</f>
        <v>616.40099999999995</v>
      </c>
      <c r="U404" s="15">
        <f t="shared" si="33"/>
        <v>1272</v>
      </c>
      <c r="V404" t="str">
        <f t="shared" si="34"/>
        <v>Miami</v>
      </c>
    </row>
    <row r="405" spans="1:22" x14ac:dyDescent="0.2">
      <c r="A405" t="s">
        <v>634</v>
      </c>
      <c r="B405" s="5">
        <v>116</v>
      </c>
      <c r="C405" s="5">
        <v>14</v>
      </c>
      <c r="D405" s="5">
        <f t="shared" si="30"/>
        <v>102</v>
      </c>
      <c r="E405" s="6">
        <v>39.983800000000002</v>
      </c>
      <c r="F405" s="6">
        <f t="shared" si="31"/>
        <v>4638.1208000000006</v>
      </c>
      <c r="G405" t="s">
        <v>24</v>
      </c>
      <c r="H405">
        <v>9008</v>
      </c>
      <c r="I405" t="str">
        <f>IFERROR(_xlfn.XLOOKUP($A405,'Base SKUs'!$E:$E,'Base SKUs'!A:A),"")</f>
        <v>Ipe</v>
      </c>
      <c r="J405" t="str">
        <f>IFERROR(_xlfn.XLOOKUP($A405,'Base SKUs'!$E:$E,'Base SKUs'!B:B),"")</f>
        <v>Ipe 2x6</v>
      </c>
      <c r="K405" t="str">
        <f>IFERROR(_xlfn.XLOOKUP($A405,'Base SKUs'!$E:$E,'Base SKUs'!C:C),"")</f>
        <v>Long</v>
      </c>
      <c r="L405" t="str">
        <f>IFERROR(_xlfn.XLOOKUP($A405,'Base SKUs'!$E:$E,'Base SKUs'!D:D),"")</f>
        <v>Hardwoods</v>
      </c>
      <c r="M405" t="str">
        <f>IFERROR(_xlfn.XLOOKUP($A405,'Base SKUs'!$E:$E,'Base SKUs'!G:G),"")</f>
        <v>Ipe</v>
      </c>
      <c r="N405" t="str">
        <f>IFERROR(_xlfn.XLOOKUP($A405,'Base SKUs'!$E:$E,'Base SKUs'!H:H),"")</f>
        <v>S4S E4E</v>
      </c>
      <c r="O405" t="str">
        <f>IFERROR(_xlfn.XLOOKUP($A405,'Base SKUs'!$E:$E,'Base SKUs'!I:I),"")</f>
        <v>-</v>
      </c>
      <c r="P405" t="str">
        <f>IFERROR(_xlfn.XLOOKUP($A405,'Base SKUs'!$E:$E,'Base SKUs'!J:J),"")</f>
        <v>2x6</v>
      </c>
      <c r="Q405">
        <f>IFERROR(_xlfn.XLOOKUP($A405,'Base SKUs'!$E:$E,'Base SKUs'!K:K),"")</f>
        <v>8</v>
      </c>
      <c r="R405" s="7">
        <f>IFERROR(_xlfn.XLOOKUP($A405,'Base SKUs'!$E:$E,'Base SKUs'!S:S),"")</f>
        <v>1.2978554687999999E-2</v>
      </c>
      <c r="S405" s="8">
        <f t="shared" si="32"/>
        <v>1.323812578176</v>
      </c>
      <c r="T405" s="7">
        <f>IFERROR(_xlfn.XLOOKUP($A405,'Base SKUs'!$E:$E,'Base SKUs'!R:R),"")</f>
        <v>616.40099999999995</v>
      </c>
      <c r="U405" s="15">
        <f t="shared" si="33"/>
        <v>816</v>
      </c>
      <c r="V405" t="str">
        <f t="shared" si="34"/>
        <v>Texas</v>
      </c>
    </row>
    <row r="406" spans="1:22" x14ac:dyDescent="0.2">
      <c r="A406" t="s">
        <v>634</v>
      </c>
      <c r="B406" s="5">
        <v>410</v>
      </c>
      <c r="C406" s="5">
        <v>380</v>
      </c>
      <c r="D406" s="5">
        <f t="shared" si="30"/>
        <v>30</v>
      </c>
      <c r="E406" s="6">
        <v>34.5242</v>
      </c>
      <c r="F406" s="6">
        <f t="shared" si="31"/>
        <v>14154.922</v>
      </c>
      <c r="G406" t="s">
        <v>125</v>
      </c>
      <c r="H406">
        <v>9009</v>
      </c>
      <c r="I406" t="str">
        <f>IFERROR(_xlfn.XLOOKUP($A406,'Base SKUs'!$E:$E,'Base SKUs'!A:A),"")</f>
        <v>Ipe</v>
      </c>
      <c r="J406" t="str">
        <f>IFERROR(_xlfn.XLOOKUP($A406,'Base SKUs'!$E:$E,'Base SKUs'!B:B),"")</f>
        <v>Ipe 2x6</v>
      </c>
      <c r="K406" t="str">
        <f>IFERROR(_xlfn.XLOOKUP($A406,'Base SKUs'!$E:$E,'Base SKUs'!C:C),"")</f>
        <v>Long</v>
      </c>
      <c r="L406" t="str">
        <f>IFERROR(_xlfn.XLOOKUP($A406,'Base SKUs'!$E:$E,'Base SKUs'!D:D),"")</f>
        <v>Hardwoods</v>
      </c>
      <c r="M406" t="str">
        <f>IFERROR(_xlfn.XLOOKUP($A406,'Base SKUs'!$E:$E,'Base SKUs'!G:G),"")</f>
        <v>Ipe</v>
      </c>
      <c r="N406" t="str">
        <f>IFERROR(_xlfn.XLOOKUP($A406,'Base SKUs'!$E:$E,'Base SKUs'!H:H),"")</f>
        <v>S4S E4E</v>
      </c>
      <c r="O406" t="str">
        <f>IFERROR(_xlfn.XLOOKUP($A406,'Base SKUs'!$E:$E,'Base SKUs'!I:I),"")</f>
        <v>-</v>
      </c>
      <c r="P406" t="str">
        <f>IFERROR(_xlfn.XLOOKUP($A406,'Base SKUs'!$E:$E,'Base SKUs'!J:J),"")</f>
        <v>2x6</v>
      </c>
      <c r="Q406">
        <f>IFERROR(_xlfn.XLOOKUP($A406,'Base SKUs'!$E:$E,'Base SKUs'!K:K),"")</f>
        <v>8</v>
      </c>
      <c r="R406" s="7">
        <f>IFERROR(_xlfn.XLOOKUP($A406,'Base SKUs'!$E:$E,'Base SKUs'!S:S),"")</f>
        <v>1.2978554687999999E-2</v>
      </c>
      <c r="S406" s="8">
        <f t="shared" si="32"/>
        <v>0.38935664063999997</v>
      </c>
      <c r="T406" s="7">
        <f>IFERROR(_xlfn.XLOOKUP($A406,'Base SKUs'!$E:$E,'Base SKUs'!R:R),"")</f>
        <v>616.40099999999995</v>
      </c>
      <c r="U406" s="15">
        <f t="shared" si="33"/>
        <v>240</v>
      </c>
      <c r="V406" t="str">
        <f t="shared" si="34"/>
        <v>Boston</v>
      </c>
    </row>
    <row r="407" spans="1:22" x14ac:dyDescent="0.2">
      <c r="A407" t="s">
        <v>634</v>
      </c>
      <c r="B407" s="5">
        <v>214</v>
      </c>
      <c r="C407" s="5">
        <v>63</v>
      </c>
      <c r="D407" s="5">
        <f t="shared" si="30"/>
        <v>151</v>
      </c>
      <c r="E407" s="6">
        <v>37.030099999999997</v>
      </c>
      <c r="F407" s="6">
        <f t="shared" si="31"/>
        <v>7924.4413999999997</v>
      </c>
      <c r="G407" t="s">
        <v>330</v>
      </c>
      <c r="H407">
        <v>9011</v>
      </c>
      <c r="I407" t="str">
        <f>IFERROR(_xlfn.XLOOKUP($A407,'Base SKUs'!$E:$E,'Base SKUs'!A:A),"")</f>
        <v>Ipe</v>
      </c>
      <c r="J407" t="str">
        <f>IFERROR(_xlfn.XLOOKUP($A407,'Base SKUs'!$E:$E,'Base SKUs'!B:B),"")</f>
        <v>Ipe 2x6</v>
      </c>
      <c r="K407" t="str">
        <f>IFERROR(_xlfn.XLOOKUP($A407,'Base SKUs'!$E:$E,'Base SKUs'!C:C),"")</f>
        <v>Long</v>
      </c>
      <c r="L407" t="str">
        <f>IFERROR(_xlfn.XLOOKUP($A407,'Base SKUs'!$E:$E,'Base SKUs'!D:D),"")</f>
        <v>Hardwoods</v>
      </c>
      <c r="M407" t="str">
        <f>IFERROR(_xlfn.XLOOKUP($A407,'Base SKUs'!$E:$E,'Base SKUs'!G:G),"")</f>
        <v>Ipe</v>
      </c>
      <c r="N407" t="str">
        <f>IFERROR(_xlfn.XLOOKUP($A407,'Base SKUs'!$E:$E,'Base SKUs'!H:H),"")</f>
        <v>S4S E4E</v>
      </c>
      <c r="O407" t="str">
        <f>IFERROR(_xlfn.XLOOKUP($A407,'Base SKUs'!$E:$E,'Base SKUs'!I:I),"")</f>
        <v>-</v>
      </c>
      <c r="P407" t="str">
        <f>IFERROR(_xlfn.XLOOKUP($A407,'Base SKUs'!$E:$E,'Base SKUs'!J:J),"")</f>
        <v>2x6</v>
      </c>
      <c r="Q407">
        <f>IFERROR(_xlfn.XLOOKUP($A407,'Base SKUs'!$E:$E,'Base SKUs'!K:K),"")</f>
        <v>8</v>
      </c>
      <c r="R407" s="7">
        <f>IFERROR(_xlfn.XLOOKUP($A407,'Base SKUs'!$E:$E,'Base SKUs'!S:S),"")</f>
        <v>1.2978554687999999E-2</v>
      </c>
      <c r="S407" s="8">
        <f t="shared" si="32"/>
        <v>1.9597617578879998</v>
      </c>
      <c r="T407" s="7">
        <f>IFERROR(_xlfn.XLOOKUP($A407,'Base SKUs'!$E:$E,'Base SKUs'!R:R),"")</f>
        <v>616.40099999999995</v>
      </c>
      <c r="U407" s="15">
        <f t="shared" si="33"/>
        <v>1208</v>
      </c>
      <c r="V407" t="str">
        <f t="shared" si="34"/>
        <v>New York</v>
      </c>
    </row>
    <row r="408" spans="1:22" x14ac:dyDescent="0.2">
      <c r="A408" t="s">
        <v>636</v>
      </c>
      <c r="B408" s="5">
        <v>27</v>
      </c>
      <c r="C408" s="5">
        <v>0</v>
      </c>
      <c r="D408" s="5">
        <f t="shared" si="30"/>
        <v>27</v>
      </c>
      <c r="E408" s="6">
        <v>60.284100000000002</v>
      </c>
      <c r="F408" s="6">
        <f t="shared" si="31"/>
        <v>1627.6707000000001</v>
      </c>
      <c r="G408" t="s">
        <v>330</v>
      </c>
      <c r="H408">
        <v>9011</v>
      </c>
      <c r="I408" t="str">
        <f>IFERROR(_xlfn.XLOOKUP($A408,'Base SKUs'!$E:$E,'Base SKUs'!A:A),"")</f>
        <v>Ipe</v>
      </c>
      <c r="J408" t="str">
        <f>IFERROR(_xlfn.XLOOKUP($A408,'Base SKUs'!$E:$E,'Base SKUs'!B:B),"")</f>
        <v>Ipe 2x8</v>
      </c>
      <c r="K408" t="str">
        <f>IFERROR(_xlfn.XLOOKUP($A408,'Base SKUs'!$E:$E,'Base SKUs'!C:C),"")</f>
        <v>Long</v>
      </c>
      <c r="L408" t="str">
        <f>IFERROR(_xlfn.XLOOKUP($A408,'Base SKUs'!$E:$E,'Base SKUs'!D:D),"")</f>
        <v>Hardwoods</v>
      </c>
      <c r="M408" t="str">
        <f>IFERROR(_xlfn.XLOOKUP($A408,'Base SKUs'!$E:$E,'Base SKUs'!G:G),"")</f>
        <v>Ipe</v>
      </c>
      <c r="N408" t="str">
        <f>IFERROR(_xlfn.XLOOKUP($A408,'Base SKUs'!$E:$E,'Base SKUs'!H:H),"")</f>
        <v>S4S E4E</v>
      </c>
      <c r="O408" t="str">
        <f>IFERROR(_xlfn.XLOOKUP($A408,'Base SKUs'!$E:$E,'Base SKUs'!I:I),"")</f>
        <v>-</v>
      </c>
      <c r="P408" t="str">
        <f>IFERROR(_xlfn.XLOOKUP($A408,'Base SKUs'!$E:$E,'Base SKUs'!J:J),"")</f>
        <v>2x8</v>
      </c>
      <c r="Q408">
        <f>IFERROR(_xlfn.XLOOKUP($A408,'Base SKUs'!$E:$E,'Base SKUs'!K:K),"")</f>
        <v>10</v>
      </c>
      <c r="R408" s="7">
        <f>IFERROR(_xlfn.XLOOKUP($A408,'Base SKUs'!$E:$E,'Base SKUs'!S:S),"")</f>
        <v>2.1385118520000003E-2</v>
      </c>
      <c r="S408" s="8">
        <f t="shared" si="32"/>
        <v>0.57739820004000009</v>
      </c>
      <c r="T408" s="7">
        <f>IFERROR(_xlfn.XLOOKUP($A408,'Base SKUs'!$E:$E,'Base SKUs'!R:R),"")</f>
        <v>467.61500000000001</v>
      </c>
      <c r="U408" s="15">
        <f t="shared" si="33"/>
        <v>270</v>
      </c>
      <c r="V408" t="str">
        <f t="shared" si="34"/>
        <v>New York</v>
      </c>
    </row>
    <row r="409" spans="1:22" x14ac:dyDescent="0.2">
      <c r="A409" t="s">
        <v>638</v>
      </c>
      <c r="B409" s="5">
        <v>20</v>
      </c>
      <c r="C409" s="5">
        <v>0</v>
      </c>
      <c r="D409" s="5">
        <f t="shared" si="30"/>
        <v>20</v>
      </c>
      <c r="E409" s="6">
        <v>72.358599999999996</v>
      </c>
      <c r="F409" s="6">
        <f t="shared" si="31"/>
        <v>1447.172</v>
      </c>
      <c r="G409" t="s">
        <v>24</v>
      </c>
      <c r="H409">
        <v>9008</v>
      </c>
      <c r="I409" t="str">
        <f>IFERROR(_xlfn.XLOOKUP($A409,'Base SKUs'!$E:$E,'Base SKUs'!A:A),"")</f>
        <v>Ipe</v>
      </c>
      <c r="J409" t="str">
        <f>IFERROR(_xlfn.XLOOKUP($A409,'Base SKUs'!$E:$E,'Base SKUs'!B:B),"")</f>
        <v>Ipe 2x8</v>
      </c>
      <c r="K409" t="str">
        <f>IFERROR(_xlfn.XLOOKUP($A409,'Base SKUs'!$E:$E,'Base SKUs'!C:C),"")</f>
        <v>Long</v>
      </c>
      <c r="L409" t="str">
        <f>IFERROR(_xlfn.XLOOKUP($A409,'Base SKUs'!$E:$E,'Base SKUs'!D:D),"")</f>
        <v>Hardwoods</v>
      </c>
      <c r="M409" t="str">
        <f>IFERROR(_xlfn.XLOOKUP($A409,'Base SKUs'!$E:$E,'Base SKUs'!G:G),"")</f>
        <v>Ipe</v>
      </c>
      <c r="N409" t="str">
        <f>IFERROR(_xlfn.XLOOKUP($A409,'Base SKUs'!$E:$E,'Base SKUs'!H:H),"")</f>
        <v>S4S E4E</v>
      </c>
      <c r="O409" t="str">
        <f>IFERROR(_xlfn.XLOOKUP($A409,'Base SKUs'!$E:$E,'Base SKUs'!I:I),"")</f>
        <v>-</v>
      </c>
      <c r="P409" t="str">
        <f>IFERROR(_xlfn.XLOOKUP($A409,'Base SKUs'!$E:$E,'Base SKUs'!J:J),"")</f>
        <v>2x8</v>
      </c>
      <c r="Q409">
        <f>IFERROR(_xlfn.XLOOKUP($A409,'Base SKUs'!$E:$E,'Base SKUs'!K:K),"")</f>
        <v>12</v>
      </c>
      <c r="R409" s="7">
        <f>IFERROR(_xlfn.XLOOKUP($A409,'Base SKUs'!$E:$E,'Base SKUs'!S:S),"")</f>
        <v>2.5662142224000001E-2</v>
      </c>
      <c r="S409" s="8">
        <f t="shared" si="32"/>
        <v>0.51324284448000002</v>
      </c>
      <c r="T409" s="7">
        <f>IFERROR(_xlfn.XLOOKUP($A409,'Base SKUs'!$E:$E,'Base SKUs'!R:R),"")</f>
        <v>467.61500000000001</v>
      </c>
      <c r="U409" s="15">
        <f t="shared" si="33"/>
        <v>240</v>
      </c>
      <c r="V409" t="str">
        <f t="shared" si="34"/>
        <v>Texas</v>
      </c>
    </row>
    <row r="410" spans="1:22" x14ac:dyDescent="0.2">
      <c r="A410" t="s">
        <v>640</v>
      </c>
      <c r="B410" s="5">
        <v>182</v>
      </c>
      <c r="C410" s="5">
        <v>0</v>
      </c>
      <c r="D410" s="5">
        <f t="shared" si="30"/>
        <v>182</v>
      </c>
      <c r="E410" s="6">
        <v>87.051199999999994</v>
      </c>
      <c r="F410" s="6">
        <f t="shared" si="31"/>
        <v>15843.318399999998</v>
      </c>
      <c r="G410" t="s">
        <v>17</v>
      </c>
      <c r="H410">
        <v>9007</v>
      </c>
      <c r="I410" t="str">
        <f>IFERROR(_xlfn.XLOOKUP($A410,'Base SKUs'!$E:$E,'Base SKUs'!A:A),"")</f>
        <v>Ipe</v>
      </c>
      <c r="J410" t="str">
        <f>IFERROR(_xlfn.XLOOKUP($A410,'Base SKUs'!$E:$E,'Base SKUs'!B:B),"")</f>
        <v>Ipe 2x8</v>
      </c>
      <c r="K410" t="str">
        <f>IFERROR(_xlfn.XLOOKUP($A410,'Base SKUs'!$E:$E,'Base SKUs'!C:C),"")</f>
        <v>Long</v>
      </c>
      <c r="L410" t="str">
        <f>IFERROR(_xlfn.XLOOKUP($A410,'Base SKUs'!$E:$E,'Base SKUs'!D:D),"")</f>
        <v>Hardwoods</v>
      </c>
      <c r="M410" t="str">
        <f>IFERROR(_xlfn.XLOOKUP($A410,'Base SKUs'!$E:$E,'Base SKUs'!G:G),"")</f>
        <v>Ipe</v>
      </c>
      <c r="N410" t="str">
        <f>IFERROR(_xlfn.XLOOKUP($A410,'Base SKUs'!$E:$E,'Base SKUs'!H:H),"")</f>
        <v>S4S E4E</v>
      </c>
      <c r="O410" t="str">
        <f>IFERROR(_xlfn.XLOOKUP($A410,'Base SKUs'!$E:$E,'Base SKUs'!I:I),"")</f>
        <v>-</v>
      </c>
      <c r="P410" t="str">
        <f>IFERROR(_xlfn.XLOOKUP($A410,'Base SKUs'!$E:$E,'Base SKUs'!J:J),"")</f>
        <v>2x8</v>
      </c>
      <c r="Q410">
        <f>IFERROR(_xlfn.XLOOKUP($A410,'Base SKUs'!$E:$E,'Base SKUs'!K:K),"")</f>
        <v>14</v>
      </c>
      <c r="R410" s="7">
        <f>IFERROR(_xlfn.XLOOKUP($A410,'Base SKUs'!$E:$E,'Base SKUs'!S:S),"")</f>
        <v>2.9939165928E-2</v>
      </c>
      <c r="S410" s="8">
        <f t="shared" si="32"/>
        <v>5.4489281988959997</v>
      </c>
      <c r="T410" s="7">
        <f>IFERROR(_xlfn.XLOOKUP($A410,'Base SKUs'!$E:$E,'Base SKUs'!R:R),"")</f>
        <v>467.61500000000001</v>
      </c>
      <c r="U410" s="15">
        <f t="shared" si="33"/>
        <v>2548</v>
      </c>
      <c r="V410" t="str">
        <f t="shared" si="34"/>
        <v>Miami</v>
      </c>
    </row>
    <row r="411" spans="1:22" x14ac:dyDescent="0.2">
      <c r="A411" t="s">
        <v>640</v>
      </c>
      <c r="B411" s="5">
        <v>21</v>
      </c>
      <c r="C411" s="5">
        <v>0</v>
      </c>
      <c r="D411" s="5">
        <f t="shared" si="30"/>
        <v>21</v>
      </c>
      <c r="E411" s="6">
        <v>84.451499999999996</v>
      </c>
      <c r="F411" s="6">
        <f t="shared" si="31"/>
        <v>1773.4814999999999</v>
      </c>
      <c r="G411" t="s">
        <v>330</v>
      </c>
      <c r="H411">
        <v>9011</v>
      </c>
      <c r="I411" t="str">
        <f>IFERROR(_xlfn.XLOOKUP($A411,'Base SKUs'!$E:$E,'Base SKUs'!A:A),"")</f>
        <v>Ipe</v>
      </c>
      <c r="J411" t="str">
        <f>IFERROR(_xlfn.XLOOKUP($A411,'Base SKUs'!$E:$E,'Base SKUs'!B:B),"")</f>
        <v>Ipe 2x8</v>
      </c>
      <c r="K411" t="str">
        <f>IFERROR(_xlfn.XLOOKUP($A411,'Base SKUs'!$E:$E,'Base SKUs'!C:C),"")</f>
        <v>Long</v>
      </c>
      <c r="L411" t="str">
        <f>IFERROR(_xlfn.XLOOKUP($A411,'Base SKUs'!$E:$E,'Base SKUs'!D:D),"")</f>
        <v>Hardwoods</v>
      </c>
      <c r="M411" t="str">
        <f>IFERROR(_xlfn.XLOOKUP($A411,'Base SKUs'!$E:$E,'Base SKUs'!G:G),"")</f>
        <v>Ipe</v>
      </c>
      <c r="N411" t="str">
        <f>IFERROR(_xlfn.XLOOKUP($A411,'Base SKUs'!$E:$E,'Base SKUs'!H:H),"")</f>
        <v>S4S E4E</v>
      </c>
      <c r="O411" t="str">
        <f>IFERROR(_xlfn.XLOOKUP($A411,'Base SKUs'!$E:$E,'Base SKUs'!I:I),"")</f>
        <v>-</v>
      </c>
      <c r="P411" t="str">
        <f>IFERROR(_xlfn.XLOOKUP($A411,'Base SKUs'!$E:$E,'Base SKUs'!J:J),"")</f>
        <v>2x8</v>
      </c>
      <c r="Q411">
        <f>IFERROR(_xlfn.XLOOKUP($A411,'Base SKUs'!$E:$E,'Base SKUs'!K:K),"")</f>
        <v>14</v>
      </c>
      <c r="R411" s="7">
        <f>IFERROR(_xlfn.XLOOKUP($A411,'Base SKUs'!$E:$E,'Base SKUs'!S:S),"")</f>
        <v>2.9939165928E-2</v>
      </c>
      <c r="S411" s="8">
        <f t="shared" si="32"/>
        <v>0.62872248448799994</v>
      </c>
      <c r="T411" s="7">
        <f>IFERROR(_xlfn.XLOOKUP($A411,'Base SKUs'!$E:$E,'Base SKUs'!R:R),"")</f>
        <v>467.61500000000001</v>
      </c>
      <c r="U411" s="15">
        <f t="shared" si="33"/>
        <v>294</v>
      </c>
      <c r="V411" t="str">
        <f t="shared" si="34"/>
        <v>New York</v>
      </c>
    </row>
    <row r="412" spans="1:22" x14ac:dyDescent="0.2">
      <c r="A412" t="s">
        <v>642</v>
      </c>
      <c r="B412" s="5">
        <v>104</v>
      </c>
      <c r="C412" s="5">
        <v>0</v>
      </c>
      <c r="D412" s="5">
        <f t="shared" si="30"/>
        <v>104</v>
      </c>
      <c r="E412" s="6">
        <v>101.3982</v>
      </c>
      <c r="F412" s="6">
        <f t="shared" si="31"/>
        <v>10545.4128</v>
      </c>
      <c r="G412" t="s">
        <v>17</v>
      </c>
      <c r="H412">
        <v>9007</v>
      </c>
      <c r="I412" t="str">
        <f>IFERROR(_xlfn.XLOOKUP($A412,'Base SKUs'!$E:$E,'Base SKUs'!A:A),"")</f>
        <v>Ipe</v>
      </c>
      <c r="J412" t="str">
        <f>IFERROR(_xlfn.XLOOKUP($A412,'Base SKUs'!$E:$E,'Base SKUs'!B:B),"")</f>
        <v>Ipe 2x8</v>
      </c>
      <c r="K412" t="str">
        <f>IFERROR(_xlfn.XLOOKUP($A412,'Base SKUs'!$E:$E,'Base SKUs'!C:C),"")</f>
        <v>Long</v>
      </c>
      <c r="L412" t="str">
        <f>IFERROR(_xlfn.XLOOKUP($A412,'Base SKUs'!$E:$E,'Base SKUs'!D:D),"")</f>
        <v>Hardwoods</v>
      </c>
      <c r="M412" t="str">
        <f>IFERROR(_xlfn.XLOOKUP($A412,'Base SKUs'!$E:$E,'Base SKUs'!G:G),"")</f>
        <v>Ipe</v>
      </c>
      <c r="N412" t="str">
        <f>IFERROR(_xlfn.XLOOKUP($A412,'Base SKUs'!$E:$E,'Base SKUs'!H:H),"")</f>
        <v>S4S E4E</v>
      </c>
      <c r="O412" t="str">
        <f>IFERROR(_xlfn.XLOOKUP($A412,'Base SKUs'!$E:$E,'Base SKUs'!I:I),"")</f>
        <v>-</v>
      </c>
      <c r="P412" t="str">
        <f>IFERROR(_xlfn.XLOOKUP($A412,'Base SKUs'!$E:$E,'Base SKUs'!J:J),"")</f>
        <v>2x8</v>
      </c>
      <c r="Q412">
        <f>IFERROR(_xlfn.XLOOKUP($A412,'Base SKUs'!$E:$E,'Base SKUs'!K:K),"")</f>
        <v>16</v>
      </c>
      <c r="R412" s="7">
        <f>IFERROR(_xlfn.XLOOKUP($A412,'Base SKUs'!$E:$E,'Base SKUs'!S:S),"")</f>
        <v>3.4216189632000002E-2</v>
      </c>
      <c r="S412" s="8">
        <f t="shared" si="32"/>
        <v>3.5584837217280003</v>
      </c>
      <c r="T412" s="7">
        <f>IFERROR(_xlfn.XLOOKUP($A412,'Base SKUs'!$E:$E,'Base SKUs'!R:R),"")</f>
        <v>467.61500000000001</v>
      </c>
      <c r="U412" s="15">
        <f t="shared" si="33"/>
        <v>1664</v>
      </c>
      <c r="V412" t="str">
        <f t="shared" si="34"/>
        <v>Miami</v>
      </c>
    </row>
    <row r="413" spans="1:22" x14ac:dyDescent="0.2">
      <c r="A413" t="s">
        <v>642</v>
      </c>
      <c r="B413" s="5">
        <v>24</v>
      </c>
      <c r="C413" s="5">
        <v>0</v>
      </c>
      <c r="D413" s="5">
        <f t="shared" si="30"/>
        <v>24</v>
      </c>
      <c r="E413" s="6">
        <v>96.498999999999995</v>
      </c>
      <c r="F413" s="6">
        <f t="shared" si="31"/>
        <v>2315.9759999999997</v>
      </c>
      <c r="G413" t="s">
        <v>24</v>
      </c>
      <c r="H413">
        <v>9008</v>
      </c>
      <c r="I413" t="str">
        <f>IFERROR(_xlfn.XLOOKUP($A413,'Base SKUs'!$E:$E,'Base SKUs'!A:A),"")</f>
        <v>Ipe</v>
      </c>
      <c r="J413" t="str">
        <f>IFERROR(_xlfn.XLOOKUP($A413,'Base SKUs'!$E:$E,'Base SKUs'!B:B),"")</f>
        <v>Ipe 2x8</v>
      </c>
      <c r="K413" t="str">
        <f>IFERROR(_xlfn.XLOOKUP($A413,'Base SKUs'!$E:$E,'Base SKUs'!C:C),"")</f>
        <v>Long</v>
      </c>
      <c r="L413" t="str">
        <f>IFERROR(_xlfn.XLOOKUP($A413,'Base SKUs'!$E:$E,'Base SKUs'!D:D),"")</f>
        <v>Hardwoods</v>
      </c>
      <c r="M413" t="str">
        <f>IFERROR(_xlfn.XLOOKUP($A413,'Base SKUs'!$E:$E,'Base SKUs'!G:G),"")</f>
        <v>Ipe</v>
      </c>
      <c r="N413" t="str">
        <f>IFERROR(_xlfn.XLOOKUP($A413,'Base SKUs'!$E:$E,'Base SKUs'!H:H),"")</f>
        <v>S4S E4E</v>
      </c>
      <c r="O413" t="str">
        <f>IFERROR(_xlfn.XLOOKUP($A413,'Base SKUs'!$E:$E,'Base SKUs'!I:I),"")</f>
        <v>-</v>
      </c>
      <c r="P413" t="str">
        <f>IFERROR(_xlfn.XLOOKUP($A413,'Base SKUs'!$E:$E,'Base SKUs'!J:J),"")</f>
        <v>2x8</v>
      </c>
      <c r="Q413">
        <f>IFERROR(_xlfn.XLOOKUP($A413,'Base SKUs'!$E:$E,'Base SKUs'!K:K),"")</f>
        <v>16</v>
      </c>
      <c r="R413" s="7">
        <f>IFERROR(_xlfn.XLOOKUP($A413,'Base SKUs'!$E:$E,'Base SKUs'!S:S),"")</f>
        <v>3.4216189632000002E-2</v>
      </c>
      <c r="S413" s="8">
        <f t="shared" si="32"/>
        <v>0.82118855116800005</v>
      </c>
      <c r="T413" s="7">
        <f>IFERROR(_xlfn.XLOOKUP($A413,'Base SKUs'!$E:$E,'Base SKUs'!R:R),"")</f>
        <v>467.61500000000001</v>
      </c>
      <c r="U413" s="15">
        <f t="shared" si="33"/>
        <v>384</v>
      </c>
      <c r="V413" t="str">
        <f t="shared" si="34"/>
        <v>Texas</v>
      </c>
    </row>
    <row r="414" spans="1:22" x14ac:dyDescent="0.2">
      <c r="A414" t="s">
        <v>644</v>
      </c>
      <c r="B414" s="5">
        <v>70</v>
      </c>
      <c r="C414" s="5">
        <v>0</v>
      </c>
      <c r="D414" s="5">
        <f t="shared" si="30"/>
        <v>70</v>
      </c>
      <c r="E414" s="6">
        <v>108.5569</v>
      </c>
      <c r="F414" s="6">
        <f t="shared" si="31"/>
        <v>7598.9830000000002</v>
      </c>
      <c r="G414" t="s">
        <v>24</v>
      </c>
      <c r="H414">
        <v>9008</v>
      </c>
      <c r="I414" t="str">
        <f>IFERROR(_xlfn.XLOOKUP($A414,'Base SKUs'!$E:$E,'Base SKUs'!A:A),"")</f>
        <v>Ipe</v>
      </c>
      <c r="J414" t="str">
        <f>IFERROR(_xlfn.XLOOKUP($A414,'Base SKUs'!$E:$E,'Base SKUs'!B:B),"")</f>
        <v>Ipe 2x8</v>
      </c>
      <c r="K414" t="str">
        <f>IFERROR(_xlfn.XLOOKUP($A414,'Base SKUs'!$E:$E,'Base SKUs'!C:C),"")</f>
        <v>Long</v>
      </c>
      <c r="L414" t="str">
        <f>IFERROR(_xlfn.XLOOKUP($A414,'Base SKUs'!$E:$E,'Base SKUs'!D:D),"")</f>
        <v>Hardwoods</v>
      </c>
      <c r="M414" t="str">
        <f>IFERROR(_xlfn.XLOOKUP($A414,'Base SKUs'!$E:$E,'Base SKUs'!G:G),"")</f>
        <v>Ipe</v>
      </c>
      <c r="N414" t="str">
        <f>IFERROR(_xlfn.XLOOKUP($A414,'Base SKUs'!$E:$E,'Base SKUs'!H:H),"")</f>
        <v>S4S E4E</v>
      </c>
      <c r="O414" t="str">
        <f>IFERROR(_xlfn.XLOOKUP($A414,'Base SKUs'!$E:$E,'Base SKUs'!I:I),"")</f>
        <v>-</v>
      </c>
      <c r="P414" t="str">
        <f>IFERROR(_xlfn.XLOOKUP($A414,'Base SKUs'!$E:$E,'Base SKUs'!J:J),"")</f>
        <v>2x8</v>
      </c>
      <c r="Q414">
        <f>IFERROR(_xlfn.XLOOKUP($A414,'Base SKUs'!$E:$E,'Base SKUs'!K:K),"")</f>
        <v>18</v>
      </c>
      <c r="R414" s="7">
        <f>IFERROR(_xlfn.XLOOKUP($A414,'Base SKUs'!$E:$E,'Base SKUs'!S:S),"")</f>
        <v>3.8493213336000004E-2</v>
      </c>
      <c r="S414" s="8">
        <f t="shared" si="32"/>
        <v>2.6945249335200003</v>
      </c>
      <c r="T414" s="7">
        <f>IFERROR(_xlfn.XLOOKUP($A414,'Base SKUs'!$E:$E,'Base SKUs'!R:R),"")</f>
        <v>467.61500000000001</v>
      </c>
      <c r="U414" s="15">
        <f t="shared" si="33"/>
        <v>1260</v>
      </c>
      <c r="V414" t="str">
        <f t="shared" si="34"/>
        <v>Texas</v>
      </c>
    </row>
    <row r="415" spans="1:22" x14ac:dyDescent="0.2">
      <c r="A415" t="s">
        <v>644</v>
      </c>
      <c r="B415" s="5">
        <v>65</v>
      </c>
      <c r="C415" s="5">
        <v>0</v>
      </c>
      <c r="D415" s="5">
        <f t="shared" si="30"/>
        <v>65</v>
      </c>
      <c r="E415" s="6">
        <v>108.5569</v>
      </c>
      <c r="F415" s="6">
        <f t="shared" si="31"/>
        <v>7056.1984999999995</v>
      </c>
      <c r="G415" t="s">
        <v>330</v>
      </c>
      <c r="H415">
        <v>9011</v>
      </c>
      <c r="I415" t="str">
        <f>IFERROR(_xlfn.XLOOKUP($A415,'Base SKUs'!$E:$E,'Base SKUs'!A:A),"")</f>
        <v>Ipe</v>
      </c>
      <c r="J415" t="str">
        <f>IFERROR(_xlfn.XLOOKUP($A415,'Base SKUs'!$E:$E,'Base SKUs'!B:B),"")</f>
        <v>Ipe 2x8</v>
      </c>
      <c r="K415" t="str">
        <f>IFERROR(_xlfn.XLOOKUP($A415,'Base SKUs'!$E:$E,'Base SKUs'!C:C),"")</f>
        <v>Long</v>
      </c>
      <c r="L415" t="str">
        <f>IFERROR(_xlfn.XLOOKUP($A415,'Base SKUs'!$E:$E,'Base SKUs'!D:D),"")</f>
        <v>Hardwoods</v>
      </c>
      <c r="M415" t="str">
        <f>IFERROR(_xlfn.XLOOKUP($A415,'Base SKUs'!$E:$E,'Base SKUs'!G:G),"")</f>
        <v>Ipe</v>
      </c>
      <c r="N415" t="str">
        <f>IFERROR(_xlfn.XLOOKUP($A415,'Base SKUs'!$E:$E,'Base SKUs'!H:H),"")</f>
        <v>S4S E4E</v>
      </c>
      <c r="O415" t="str">
        <f>IFERROR(_xlfn.XLOOKUP($A415,'Base SKUs'!$E:$E,'Base SKUs'!I:I),"")</f>
        <v>-</v>
      </c>
      <c r="P415" t="str">
        <f>IFERROR(_xlfn.XLOOKUP($A415,'Base SKUs'!$E:$E,'Base SKUs'!J:J),"")</f>
        <v>2x8</v>
      </c>
      <c r="Q415">
        <f>IFERROR(_xlfn.XLOOKUP($A415,'Base SKUs'!$E:$E,'Base SKUs'!K:K),"")</f>
        <v>18</v>
      </c>
      <c r="R415" s="7">
        <f>IFERROR(_xlfn.XLOOKUP($A415,'Base SKUs'!$E:$E,'Base SKUs'!S:S),"")</f>
        <v>3.8493213336000004E-2</v>
      </c>
      <c r="S415" s="8">
        <f t="shared" si="32"/>
        <v>2.5020588668400001</v>
      </c>
      <c r="T415" s="7">
        <f>IFERROR(_xlfn.XLOOKUP($A415,'Base SKUs'!$E:$E,'Base SKUs'!R:R),"")</f>
        <v>467.61500000000001</v>
      </c>
      <c r="U415" s="15">
        <f t="shared" si="33"/>
        <v>1170</v>
      </c>
      <c r="V415" t="str">
        <f t="shared" si="34"/>
        <v>New York</v>
      </c>
    </row>
    <row r="416" spans="1:22" x14ac:dyDescent="0.2">
      <c r="A416" t="s">
        <v>644</v>
      </c>
      <c r="B416" s="5">
        <v>77</v>
      </c>
      <c r="C416" s="5">
        <v>0</v>
      </c>
      <c r="D416" s="5">
        <f t="shared" si="30"/>
        <v>77</v>
      </c>
      <c r="E416" s="6">
        <v>108.5569</v>
      </c>
      <c r="F416" s="6">
        <f t="shared" si="31"/>
        <v>8358.8812999999991</v>
      </c>
      <c r="G416" t="s">
        <v>454</v>
      </c>
      <c r="H416">
        <v>9013</v>
      </c>
      <c r="I416" t="str">
        <f>IFERROR(_xlfn.XLOOKUP($A416,'Base SKUs'!$E:$E,'Base SKUs'!A:A),"")</f>
        <v>Ipe</v>
      </c>
      <c r="J416" t="str">
        <f>IFERROR(_xlfn.XLOOKUP($A416,'Base SKUs'!$E:$E,'Base SKUs'!B:B),"")</f>
        <v>Ipe 2x8</v>
      </c>
      <c r="K416" t="str">
        <f>IFERROR(_xlfn.XLOOKUP($A416,'Base SKUs'!$E:$E,'Base SKUs'!C:C),"")</f>
        <v>Long</v>
      </c>
      <c r="L416" t="str">
        <f>IFERROR(_xlfn.XLOOKUP($A416,'Base SKUs'!$E:$E,'Base SKUs'!D:D),"")</f>
        <v>Hardwoods</v>
      </c>
      <c r="M416" t="str">
        <f>IFERROR(_xlfn.XLOOKUP($A416,'Base SKUs'!$E:$E,'Base SKUs'!G:G),"")</f>
        <v>Ipe</v>
      </c>
      <c r="N416" t="str">
        <f>IFERROR(_xlfn.XLOOKUP($A416,'Base SKUs'!$E:$E,'Base SKUs'!H:H),"")</f>
        <v>S4S E4E</v>
      </c>
      <c r="O416" t="str">
        <f>IFERROR(_xlfn.XLOOKUP($A416,'Base SKUs'!$E:$E,'Base SKUs'!I:I),"")</f>
        <v>-</v>
      </c>
      <c r="P416" t="str">
        <f>IFERROR(_xlfn.XLOOKUP($A416,'Base SKUs'!$E:$E,'Base SKUs'!J:J),"")</f>
        <v>2x8</v>
      </c>
      <c r="Q416">
        <f>IFERROR(_xlfn.XLOOKUP($A416,'Base SKUs'!$E:$E,'Base SKUs'!K:K),"")</f>
        <v>18</v>
      </c>
      <c r="R416" s="7">
        <f>IFERROR(_xlfn.XLOOKUP($A416,'Base SKUs'!$E:$E,'Base SKUs'!S:S),"")</f>
        <v>3.8493213336000004E-2</v>
      </c>
      <c r="S416" s="8">
        <f t="shared" si="32"/>
        <v>2.9639774268720003</v>
      </c>
      <c r="T416" s="7">
        <f>IFERROR(_xlfn.XLOOKUP($A416,'Base SKUs'!$E:$E,'Base SKUs'!R:R),"")</f>
        <v>467.61500000000001</v>
      </c>
      <c r="U416" s="15">
        <f t="shared" si="33"/>
        <v>1386</v>
      </c>
      <c r="V416" t="str">
        <f t="shared" si="34"/>
        <v>BS Riverside</v>
      </c>
    </row>
    <row r="417" spans="1:22" x14ac:dyDescent="0.2">
      <c r="A417" t="s">
        <v>646</v>
      </c>
      <c r="B417" s="5">
        <v>26</v>
      </c>
      <c r="C417" s="5">
        <v>0</v>
      </c>
      <c r="D417" s="5">
        <f t="shared" si="30"/>
        <v>26</v>
      </c>
      <c r="E417" s="6">
        <v>124.97</v>
      </c>
      <c r="F417" s="6">
        <f t="shared" si="31"/>
        <v>3249.22</v>
      </c>
      <c r="G417" t="s">
        <v>17</v>
      </c>
      <c r="H417">
        <v>9007</v>
      </c>
      <c r="I417" t="str">
        <f>IFERROR(_xlfn.XLOOKUP($A417,'Base SKUs'!$E:$E,'Base SKUs'!A:A),"")</f>
        <v>Ipe</v>
      </c>
      <c r="J417" t="str">
        <f>IFERROR(_xlfn.XLOOKUP($A417,'Base SKUs'!$E:$E,'Base SKUs'!B:B),"")</f>
        <v>Ipe 2x8</v>
      </c>
      <c r="K417" t="str">
        <f>IFERROR(_xlfn.XLOOKUP($A417,'Base SKUs'!$E:$E,'Base SKUs'!C:C),"")</f>
        <v>Long</v>
      </c>
      <c r="L417" t="str">
        <f>IFERROR(_xlfn.XLOOKUP($A417,'Base SKUs'!$E:$E,'Base SKUs'!D:D),"")</f>
        <v>Hardwoods</v>
      </c>
      <c r="M417" t="str">
        <f>IFERROR(_xlfn.XLOOKUP($A417,'Base SKUs'!$E:$E,'Base SKUs'!G:G),"")</f>
        <v>Ipe</v>
      </c>
      <c r="N417" t="str">
        <f>IFERROR(_xlfn.XLOOKUP($A417,'Base SKUs'!$E:$E,'Base SKUs'!H:H),"")</f>
        <v>S4S E4E</v>
      </c>
      <c r="O417" t="str">
        <f>IFERROR(_xlfn.XLOOKUP($A417,'Base SKUs'!$E:$E,'Base SKUs'!I:I),"")</f>
        <v>-</v>
      </c>
      <c r="P417" t="str">
        <f>IFERROR(_xlfn.XLOOKUP($A417,'Base SKUs'!$E:$E,'Base SKUs'!J:J),"")</f>
        <v>2x8</v>
      </c>
      <c r="Q417">
        <f>IFERROR(_xlfn.XLOOKUP($A417,'Base SKUs'!$E:$E,'Base SKUs'!K:K),"")</f>
        <v>20</v>
      </c>
      <c r="R417" s="7">
        <f>IFERROR(_xlfn.XLOOKUP($A417,'Base SKUs'!$E:$E,'Base SKUs'!S:S),"")</f>
        <v>4.2770237040000006E-2</v>
      </c>
      <c r="S417" s="8">
        <f t="shared" si="32"/>
        <v>1.1120261630400001</v>
      </c>
      <c r="T417" s="7">
        <f>IFERROR(_xlfn.XLOOKUP($A417,'Base SKUs'!$E:$E,'Base SKUs'!R:R),"")</f>
        <v>467.61500000000001</v>
      </c>
      <c r="U417" s="15">
        <f t="shared" si="33"/>
        <v>520</v>
      </c>
      <c r="V417" t="str">
        <f t="shared" si="34"/>
        <v>Miami</v>
      </c>
    </row>
    <row r="418" spans="1:22" x14ac:dyDescent="0.2">
      <c r="A418" t="s">
        <v>646</v>
      </c>
      <c r="B418" s="5">
        <v>58</v>
      </c>
      <c r="C418" s="5">
        <v>0</v>
      </c>
      <c r="D418" s="5">
        <f t="shared" si="30"/>
        <v>58</v>
      </c>
      <c r="E418" s="6">
        <v>120.6114</v>
      </c>
      <c r="F418" s="6">
        <f t="shared" si="31"/>
        <v>6995.4611999999997</v>
      </c>
      <c r="G418" t="s">
        <v>330</v>
      </c>
      <c r="H418">
        <v>9011</v>
      </c>
      <c r="I418" t="str">
        <f>IFERROR(_xlfn.XLOOKUP($A418,'Base SKUs'!$E:$E,'Base SKUs'!A:A),"")</f>
        <v>Ipe</v>
      </c>
      <c r="J418" t="str">
        <f>IFERROR(_xlfn.XLOOKUP($A418,'Base SKUs'!$E:$E,'Base SKUs'!B:B),"")</f>
        <v>Ipe 2x8</v>
      </c>
      <c r="K418" t="str">
        <f>IFERROR(_xlfn.XLOOKUP($A418,'Base SKUs'!$E:$E,'Base SKUs'!C:C),"")</f>
        <v>Long</v>
      </c>
      <c r="L418" t="str">
        <f>IFERROR(_xlfn.XLOOKUP($A418,'Base SKUs'!$E:$E,'Base SKUs'!D:D),"")</f>
        <v>Hardwoods</v>
      </c>
      <c r="M418" t="str">
        <f>IFERROR(_xlfn.XLOOKUP($A418,'Base SKUs'!$E:$E,'Base SKUs'!G:G),"")</f>
        <v>Ipe</v>
      </c>
      <c r="N418" t="str">
        <f>IFERROR(_xlfn.XLOOKUP($A418,'Base SKUs'!$E:$E,'Base SKUs'!H:H),"")</f>
        <v>S4S E4E</v>
      </c>
      <c r="O418" t="str">
        <f>IFERROR(_xlfn.XLOOKUP($A418,'Base SKUs'!$E:$E,'Base SKUs'!I:I),"")</f>
        <v>-</v>
      </c>
      <c r="P418" t="str">
        <f>IFERROR(_xlfn.XLOOKUP($A418,'Base SKUs'!$E:$E,'Base SKUs'!J:J),"")</f>
        <v>2x8</v>
      </c>
      <c r="Q418">
        <f>IFERROR(_xlfn.XLOOKUP($A418,'Base SKUs'!$E:$E,'Base SKUs'!K:K),"")</f>
        <v>20</v>
      </c>
      <c r="R418" s="7">
        <f>IFERROR(_xlfn.XLOOKUP($A418,'Base SKUs'!$E:$E,'Base SKUs'!S:S),"")</f>
        <v>4.2770237040000006E-2</v>
      </c>
      <c r="S418" s="8">
        <f t="shared" si="32"/>
        <v>2.4806737483200005</v>
      </c>
      <c r="T418" s="7">
        <f>IFERROR(_xlfn.XLOOKUP($A418,'Base SKUs'!$E:$E,'Base SKUs'!R:R),"")</f>
        <v>467.61500000000001</v>
      </c>
      <c r="U418" s="15">
        <f t="shared" si="33"/>
        <v>1160</v>
      </c>
      <c r="V418" t="str">
        <f t="shared" si="34"/>
        <v>New York</v>
      </c>
    </row>
    <row r="419" spans="1:22" x14ac:dyDescent="0.2">
      <c r="A419" t="s">
        <v>648</v>
      </c>
      <c r="B419" s="5">
        <v>1</v>
      </c>
      <c r="C419" s="5">
        <v>0</v>
      </c>
      <c r="D419" s="5">
        <f t="shared" si="30"/>
        <v>1</v>
      </c>
      <c r="E419" s="6">
        <v>38.01</v>
      </c>
      <c r="F419" s="6">
        <f t="shared" si="31"/>
        <v>38.01</v>
      </c>
      <c r="G419" t="s">
        <v>17</v>
      </c>
      <c r="H419">
        <v>9007</v>
      </c>
      <c r="I419" t="str">
        <f>IFERROR(_xlfn.XLOOKUP($A419,'Base SKUs'!$E:$E,'Base SKUs'!A:A),"")</f>
        <v>Ipe</v>
      </c>
      <c r="J419" t="str">
        <f>IFERROR(_xlfn.XLOOKUP($A419,'Base SKUs'!$E:$E,'Base SKUs'!B:B),"")</f>
        <v>Ipe 2x8</v>
      </c>
      <c r="K419" t="str">
        <f>IFERROR(_xlfn.XLOOKUP($A419,'Base SKUs'!$E:$E,'Base SKUs'!C:C),"")</f>
        <v>Short</v>
      </c>
      <c r="L419" t="str">
        <f>IFERROR(_xlfn.XLOOKUP($A419,'Base SKUs'!$E:$E,'Base SKUs'!D:D),"")</f>
        <v>Hardwoods</v>
      </c>
      <c r="M419" t="str">
        <f>IFERROR(_xlfn.XLOOKUP($A419,'Base SKUs'!$E:$E,'Base SKUs'!G:G),"")</f>
        <v>Ipe</v>
      </c>
      <c r="N419" t="str">
        <f>IFERROR(_xlfn.XLOOKUP($A419,'Base SKUs'!$E:$E,'Base SKUs'!H:H),"")</f>
        <v>S4S E4E</v>
      </c>
      <c r="O419" t="str">
        <f>IFERROR(_xlfn.XLOOKUP($A419,'Base SKUs'!$E:$E,'Base SKUs'!I:I),"")</f>
        <v>-</v>
      </c>
      <c r="P419" t="str">
        <f>IFERROR(_xlfn.XLOOKUP($A419,'Base SKUs'!$E:$E,'Base SKUs'!J:J),"")</f>
        <v>2x8</v>
      </c>
      <c r="Q419">
        <f>IFERROR(_xlfn.XLOOKUP($A419,'Base SKUs'!$E:$E,'Base SKUs'!K:K),"")</f>
        <v>5</v>
      </c>
      <c r="R419" s="7">
        <f>IFERROR(_xlfn.XLOOKUP($A419,'Base SKUs'!$E:$E,'Base SKUs'!S:S),"")</f>
        <v>1.0692559260000001E-2</v>
      </c>
      <c r="S419" s="8">
        <f t="shared" si="32"/>
        <v>1.0692559260000001E-2</v>
      </c>
      <c r="T419" s="7">
        <f>IFERROR(_xlfn.XLOOKUP($A419,'Base SKUs'!$E:$E,'Base SKUs'!R:R),"")</f>
        <v>467.61500000000001</v>
      </c>
      <c r="U419" s="15">
        <f t="shared" si="33"/>
        <v>5</v>
      </c>
      <c r="V419" t="str">
        <f t="shared" si="34"/>
        <v>Miami</v>
      </c>
    </row>
    <row r="420" spans="1:22" x14ac:dyDescent="0.2">
      <c r="A420" t="s">
        <v>651</v>
      </c>
      <c r="B420" s="5">
        <v>196</v>
      </c>
      <c r="C420" s="5">
        <v>4</v>
      </c>
      <c r="D420" s="5">
        <f t="shared" si="30"/>
        <v>192</v>
      </c>
      <c r="E420" s="6">
        <v>50.768799999999999</v>
      </c>
      <c r="F420" s="6">
        <f t="shared" si="31"/>
        <v>9950.6847999999991</v>
      </c>
      <c r="G420" t="s">
        <v>17</v>
      </c>
      <c r="H420">
        <v>9007</v>
      </c>
      <c r="I420" t="str">
        <f>IFERROR(_xlfn.XLOOKUP($A420,'Base SKUs'!$E:$E,'Base SKUs'!A:A),"")</f>
        <v>Ipe</v>
      </c>
      <c r="J420" t="str">
        <f>IFERROR(_xlfn.XLOOKUP($A420,'Base SKUs'!$E:$E,'Base SKUs'!B:B),"")</f>
        <v>Ipe 2x8</v>
      </c>
      <c r="K420" t="str">
        <f>IFERROR(_xlfn.XLOOKUP($A420,'Base SKUs'!$E:$E,'Base SKUs'!C:C),"")</f>
        <v>Long</v>
      </c>
      <c r="L420" t="str">
        <f>IFERROR(_xlfn.XLOOKUP($A420,'Base SKUs'!$E:$E,'Base SKUs'!D:D),"")</f>
        <v>Hardwoods</v>
      </c>
      <c r="M420" t="str">
        <f>IFERROR(_xlfn.XLOOKUP($A420,'Base SKUs'!$E:$E,'Base SKUs'!G:G),"")</f>
        <v>Ipe</v>
      </c>
      <c r="N420" t="str">
        <f>IFERROR(_xlfn.XLOOKUP($A420,'Base SKUs'!$E:$E,'Base SKUs'!H:H),"")</f>
        <v>S4S E4E</v>
      </c>
      <c r="O420" t="str">
        <f>IFERROR(_xlfn.XLOOKUP($A420,'Base SKUs'!$E:$E,'Base SKUs'!I:I),"")</f>
        <v>-</v>
      </c>
      <c r="P420" t="str">
        <f>IFERROR(_xlfn.XLOOKUP($A420,'Base SKUs'!$E:$E,'Base SKUs'!J:J),"")</f>
        <v>2x8</v>
      </c>
      <c r="Q420">
        <f>IFERROR(_xlfn.XLOOKUP($A420,'Base SKUs'!$E:$E,'Base SKUs'!K:K),"")</f>
        <v>8</v>
      </c>
      <c r="R420" s="7">
        <f>IFERROR(_xlfn.XLOOKUP($A420,'Base SKUs'!$E:$E,'Base SKUs'!S:S),"")</f>
        <v>1.7108094816000001E-2</v>
      </c>
      <c r="S420" s="8">
        <f t="shared" si="32"/>
        <v>3.2847542046720002</v>
      </c>
      <c r="T420" s="7">
        <f>IFERROR(_xlfn.XLOOKUP($A420,'Base SKUs'!$E:$E,'Base SKUs'!R:R),"")</f>
        <v>467.61500000000001</v>
      </c>
      <c r="U420" s="15">
        <f t="shared" si="33"/>
        <v>1536</v>
      </c>
      <c r="V420" t="str">
        <f t="shared" si="34"/>
        <v>Miami</v>
      </c>
    </row>
    <row r="421" spans="1:22" x14ac:dyDescent="0.2">
      <c r="A421" t="s">
        <v>651</v>
      </c>
      <c r="B421" s="5">
        <v>12</v>
      </c>
      <c r="C421" s="5">
        <v>0</v>
      </c>
      <c r="D421" s="5">
        <f t="shared" si="30"/>
        <v>12</v>
      </c>
      <c r="E421" s="6">
        <v>48.1569</v>
      </c>
      <c r="F421" s="6">
        <f t="shared" si="31"/>
        <v>577.88279999999997</v>
      </c>
      <c r="G421" t="s">
        <v>24</v>
      </c>
      <c r="H421">
        <v>9008</v>
      </c>
      <c r="I421" t="str">
        <f>IFERROR(_xlfn.XLOOKUP($A421,'Base SKUs'!$E:$E,'Base SKUs'!A:A),"")</f>
        <v>Ipe</v>
      </c>
      <c r="J421" t="str">
        <f>IFERROR(_xlfn.XLOOKUP($A421,'Base SKUs'!$E:$E,'Base SKUs'!B:B),"")</f>
        <v>Ipe 2x8</v>
      </c>
      <c r="K421" t="str">
        <f>IFERROR(_xlfn.XLOOKUP($A421,'Base SKUs'!$E:$E,'Base SKUs'!C:C),"")</f>
        <v>Long</v>
      </c>
      <c r="L421" t="str">
        <f>IFERROR(_xlfn.XLOOKUP($A421,'Base SKUs'!$E:$E,'Base SKUs'!D:D),"")</f>
        <v>Hardwoods</v>
      </c>
      <c r="M421" t="str">
        <f>IFERROR(_xlfn.XLOOKUP($A421,'Base SKUs'!$E:$E,'Base SKUs'!G:G),"")</f>
        <v>Ipe</v>
      </c>
      <c r="N421" t="str">
        <f>IFERROR(_xlfn.XLOOKUP($A421,'Base SKUs'!$E:$E,'Base SKUs'!H:H),"")</f>
        <v>S4S E4E</v>
      </c>
      <c r="O421" t="str">
        <f>IFERROR(_xlfn.XLOOKUP($A421,'Base SKUs'!$E:$E,'Base SKUs'!I:I),"")</f>
        <v>-</v>
      </c>
      <c r="P421" t="str">
        <f>IFERROR(_xlfn.XLOOKUP($A421,'Base SKUs'!$E:$E,'Base SKUs'!J:J),"")</f>
        <v>2x8</v>
      </c>
      <c r="Q421">
        <f>IFERROR(_xlfn.XLOOKUP($A421,'Base SKUs'!$E:$E,'Base SKUs'!K:K),"")</f>
        <v>8</v>
      </c>
      <c r="R421" s="7">
        <f>IFERROR(_xlfn.XLOOKUP($A421,'Base SKUs'!$E:$E,'Base SKUs'!S:S),"")</f>
        <v>1.7108094816000001E-2</v>
      </c>
      <c r="S421" s="8">
        <f t="shared" si="32"/>
        <v>0.20529713779200001</v>
      </c>
      <c r="T421" s="7">
        <f>IFERROR(_xlfn.XLOOKUP($A421,'Base SKUs'!$E:$E,'Base SKUs'!R:R),"")</f>
        <v>467.61500000000001</v>
      </c>
      <c r="U421" s="15">
        <f t="shared" si="33"/>
        <v>96</v>
      </c>
      <c r="V421" t="str">
        <f t="shared" si="34"/>
        <v>Texas</v>
      </c>
    </row>
    <row r="422" spans="1:22" x14ac:dyDescent="0.2">
      <c r="A422" t="s">
        <v>651</v>
      </c>
      <c r="B422" s="5">
        <v>4</v>
      </c>
      <c r="C422" s="5">
        <v>0</v>
      </c>
      <c r="D422" s="5">
        <f t="shared" si="30"/>
        <v>4</v>
      </c>
      <c r="E422" s="6">
        <v>48.204999999999998</v>
      </c>
      <c r="F422" s="6">
        <f t="shared" si="31"/>
        <v>192.82</v>
      </c>
      <c r="G422" t="s">
        <v>330</v>
      </c>
      <c r="H422">
        <v>9011</v>
      </c>
      <c r="I422" t="str">
        <f>IFERROR(_xlfn.XLOOKUP($A422,'Base SKUs'!$E:$E,'Base SKUs'!A:A),"")</f>
        <v>Ipe</v>
      </c>
      <c r="J422" t="str">
        <f>IFERROR(_xlfn.XLOOKUP($A422,'Base SKUs'!$E:$E,'Base SKUs'!B:B),"")</f>
        <v>Ipe 2x8</v>
      </c>
      <c r="K422" t="str">
        <f>IFERROR(_xlfn.XLOOKUP($A422,'Base SKUs'!$E:$E,'Base SKUs'!C:C),"")</f>
        <v>Long</v>
      </c>
      <c r="L422" t="str">
        <f>IFERROR(_xlfn.XLOOKUP($A422,'Base SKUs'!$E:$E,'Base SKUs'!D:D),"")</f>
        <v>Hardwoods</v>
      </c>
      <c r="M422" t="str">
        <f>IFERROR(_xlfn.XLOOKUP($A422,'Base SKUs'!$E:$E,'Base SKUs'!G:G),"")</f>
        <v>Ipe</v>
      </c>
      <c r="N422" t="str">
        <f>IFERROR(_xlfn.XLOOKUP($A422,'Base SKUs'!$E:$E,'Base SKUs'!H:H),"")</f>
        <v>S4S E4E</v>
      </c>
      <c r="O422" t="str">
        <f>IFERROR(_xlfn.XLOOKUP($A422,'Base SKUs'!$E:$E,'Base SKUs'!I:I),"")</f>
        <v>-</v>
      </c>
      <c r="P422" t="str">
        <f>IFERROR(_xlfn.XLOOKUP($A422,'Base SKUs'!$E:$E,'Base SKUs'!J:J),"")</f>
        <v>2x8</v>
      </c>
      <c r="Q422">
        <f>IFERROR(_xlfn.XLOOKUP($A422,'Base SKUs'!$E:$E,'Base SKUs'!K:K),"")</f>
        <v>8</v>
      </c>
      <c r="R422" s="7">
        <f>IFERROR(_xlfn.XLOOKUP($A422,'Base SKUs'!$E:$E,'Base SKUs'!S:S),"")</f>
        <v>1.7108094816000001E-2</v>
      </c>
      <c r="S422" s="8">
        <f t="shared" si="32"/>
        <v>6.8432379264000004E-2</v>
      </c>
      <c r="T422" s="7">
        <f>IFERROR(_xlfn.XLOOKUP($A422,'Base SKUs'!$E:$E,'Base SKUs'!R:R),"")</f>
        <v>467.61500000000001</v>
      </c>
      <c r="U422" s="15">
        <f t="shared" si="33"/>
        <v>32</v>
      </c>
      <c r="V422" t="str">
        <f t="shared" si="34"/>
        <v>New York</v>
      </c>
    </row>
    <row r="423" spans="1:22" x14ac:dyDescent="0.2">
      <c r="A423" t="s">
        <v>653</v>
      </c>
      <c r="B423" s="5">
        <v>1</v>
      </c>
      <c r="C423" s="5">
        <v>0</v>
      </c>
      <c r="D423" s="5">
        <f t="shared" si="30"/>
        <v>1</v>
      </c>
      <c r="E423" s="6">
        <v>156.8383</v>
      </c>
      <c r="F423" s="6">
        <f t="shared" si="31"/>
        <v>156.8383</v>
      </c>
      <c r="G423" t="s">
        <v>17</v>
      </c>
      <c r="H423">
        <v>9007</v>
      </c>
      <c r="I423" t="str">
        <f>IFERROR(_xlfn.XLOOKUP($A423,'Base SKUs'!$E:$E,'Base SKUs'!A:A),"")</f>
        <v>Ipe</v>
      </c>
      <c r="J423" t="str">
        <f>IFERROR(_xlfn.XLOOKUP($A423,'Base SKUs'!$E:$E,'Base SKUs'!B:B),"")</f>
        <v>Ipe 3x10</v>
      </c>
      <c r="K423" t="str">
        <f>IFERROR(_xlfn.XLOOKUP($A423,'Base SKUs'!$E:$E,'Base SKUs'!C:C),"")</f>
        <v>Long</v>
      </c>
      <c r="L423" t="str">
        <f>IFERROR(_xlfn.XLOOKUP($A423,'Base SKUs'!$E:$E,'Base SKUs'!D:D),"")</f>
        <v>Hardwoods</v>
      </c>
      <c r="M423" t="str">
        <f>IFERROR(_xlfn.XLOOKUP($A423,'Base SKUs'!$E:$E,'Base SKUs'!G:G),"")</f>
        <v>Ipe</v>
      </c>
      <c r="N423" t="str">
        <f>IFERROR(_xlfn.XLOOKUP($A423,'Base SKUs'!$E:$E,'Base SKUs'!H:H),"")</f>
        <v>S4S E4E</v>
      </c>
      <c r="O423" t="str">
        <f>IFERROR(_xlfn.XLOOKUP($A423,'Base SKUs'!$E:$E,'Base SKUs'!I:I),"")</f>
        <v>-</v>
      </c>
      <c r="P423" t="str">
        <f>IFERROR(_xlfn.XLOOKUP($A423,'Base SKUs'!$E:$E,'Base SKUs'!J:J),"")</f>
        <v>3x10</v>
      </c>
      <c r="Q423">
        <f>IFERROR(_xlfn.XLOOKUP($A423,'Base SKUs'!$E:$E,'Base SKUs'!K:K),"")</f>
        <v>10</v>
      </c>
      <c r="R423" s="7">
        <f>IFERROR(_xlfn.XLOOKUP($A423,'Base SKUs'!$E:$E,'Base SKUs'!S:S),"")</f>
        <v>4.5474102599999996E-2</v>
      </c>
      <c r="S423" s="8">
        <f t="shared" si="32"/>
        <v>4.5474102599999996E-2</v>
      </c>
      <c r="T423" s="7">
        <f>IFERROR(_xlfn.XLOOKUP($A423,'Base SKUs'!$E:$E,'Base SKUs'!R:R),"")</f>
        <v>219.905</v>
      </c>
      <c r="U423" s="15">
        <f t="shared" si="33"/>
        <v>10</v>
      </c>
      <c r="V423" t="str">
        <f t="shared" si="34"/>
        <v>Miami</v>
      </c>
    </row>
    <row r="424" spans="1:22" x14ac:dyDescent="0.2">
      <c r="A424" t="s">
        <v>655</v>
      </c>
      <c r="B424" s="5">
        <v>37</v>
      </c>
      <c r="C424" s="5">
        <v>0</v>
      </c>
      <c r="D424" s="5">
        <f t="shared" si="30"/>
        <v>37</v>
      </c>
      <c r="E424" s="6">
        <v>188.1841</v>
      </c>
      <c r="F424" s="6">
        <f t="shared" si="31"/>
        <v>6962.8117000000002</v>
      </c>
      <c r="G424" t="s">
        <v>17</v>
      </c>
      <c r="H424">
        <v>9007</v>
      </c>
      <c r="I424" t="str">
        <f>IFERROR(_xlfn.XLOOKUP($A424,'Base SKUs'!$E:$E,'Base SKUs'!A:A),"")</f>
        <v>Ipe</v>
      </c>
      <c r="J424" t="str">
        <f>IFERROR(_xlfn.XLOOKUP($A424,'Base SKUs'!$E:$E,'Base SKUs'!B:B),"")</f>
        <v>Ipe 3x10</v>
      </c>
      <c r="K424" t="str">
        <f>IFERROR(_xlfn.XLOOKUP($A424,'Base SKUs'!$E:$E,'Base SKUs'!C:C),"")</f>
        <v>Long</v>
      </c>
      <c r="L424" t="str">
        <f>IFERROR(_xlfn.XLOOKUP($A424,'Base SKUs'!$E:$E,'Base SKUs'!D:D),"")</f>
        <v>Hardwoods</v>
      </c>
      <c r="M424" t="str">
        <f>IFERROR(_xlfn.XLOOKUP($A424,'Base SKUs'!$E:$E,'Base SKUs'!G:G),"")</f>
        <v>Ipe</v>
      </c>
      <c r="N424" t="str">
        <f>IFERROR(_xlfn.XLOOKUP($A424,'Base SKUs'!$E:$E,'Base SKUs'!H:H),"")</f>
        <v>S4S E4E</v>
      </c>
      <c r="O424" t="str">
        <f>IFERROR(_xlfn.XLOOKUP($A424,'Base SKUs'!$E:$E,'Base SKUs'!I:I),"")</f>
        <v>-</v>
      </c>
      <c r="P424" t="str">
        <f>IFERROR(_xlfn.XLOOKUP($A424,'Base SKUs'!$E:$E,'Base SKUs'!J:J),"")</f>
        <v>3x10</v>
      </c>
      <c r="Q424">
        <f>IFERROR(_xlfn.XLOOKUP($A424,'Base SKUs'!$E:$E,'Base SKUs'!K:K),"")</f>
        <v>12</v>
      </c>
      <c r="R424" s="7">
        <f>IFERROR(_xlfn.XLOOKUP($A424,'Base SKUs'!$E:$E,'Base SKUs'!S:S),"")</f>
        <v>5.4568923120000001E-2</v>
      </c>
      <c r="S424" s="8">
        <f t="shared" si="32"/>
        <v>2.01905015544</v>
      </c>
      <c r="T424" s="7">
        <f>IFERROR(_xlfn.XLOOKUP($A424,'Base SKUs'!$E:$E,'Base SKUs'!R:R),"")</f>
        <v>219.905</v>
      </c>
      <c r="U424" s="15">
        <f t="shared" si="33"/>
        <v>444</v>
      </c>
      <c r="V424" t="str">
        <f t="shared" si="34"/>
        <v>Miami</v>
      </c>
    </row>
    <row r="425" spans="1:22" x14ac:dyDescent="0.2">
      <c r="A425" t="s">
        <v>657</v>
      </c>
      <c r="B425" s="5">
        <v>5</v>
      </c>
      <c r="C425" s="5">
        <v>0</v>
      </c>
      <c r="D425" s="5">
        <f t="shared" si="30"/>
        <v>5</v>
      </c>
      <c r="E425" s="6">
        <v>219.54810000000001</v>
      </c>
      <c r="F425" s="6">
        <f t="shared" si="31"/>
        <v>1097.7405000000001</v>
      </c>
      <c r="G425" t="s">
        <v>17</v>
      </c>
      <c r="H425">
        <v>9007</v>
      </c>
      <c r="I425" t="str">
        <f>IFERROR(_xlfn.XLOOKUP($A425,'Base SKUs'!$E:$E,'Base SKUs'!A:A),"")</f>
        <v>Ipe</v>
      </c>
      <c r="J425" t="str">
        <f>IFERROR(_xlfn.XLOOKUP($A425,'Base SKUs'!$E:$E,'Base SKUs'!B:B),"")</f>
        <v>Ipe 3x10</v>
      </c>
      <c r="K425" t="str">
        <f>IFERROR(_xlfn.XLOOKUP($A425,'Base SKUs'!$E:$E,'Base SKUs'!C:C),"")</f>
        <v>Long</v>
      </c>
      <c r="L425" t="str">
        <f>IFERROR(_xlfn.XLOOKUP($A425,'Base SKUs'!$E:$E,'Base SKUs'!D:D),"")</f>
        <v>Hardwoods</v>
      </c>
      <c r="M425" t="str">
        <f>IFERROR(_xlfn.XLOOKUP($A425,'Base SKUs'!$E:$E,'Base SKUs'!G:G),"")</f>
        <v>Ipe</v>
      </c>
      <c r="N425" t="str">
        <f>IFERROR(_xlfn.XLOOKUP($A425,'Base SKUs'!$E:$E,'Base SKUs'!H:H),"")</f>
        <v>S4S E4E</v>
      </c>
      <c r="O425" t="str">
        <f>IFERROR(_xlfn.XLOOKUP($A425,'Base SKUs'!$E:$E,'Base SKUs'!I:I),"")</f>
        <v>-</v>
      </c>
      <c r="P425" t="str">
        <f>IFERROR(_xlfn.XLOOKUP($A425,'Base SKUs'!$E:$E,'Base SKUs'!J:J),"")</f>
        <v>3x10</v>
      </c>
      <c r="Q425">
        <f>IFERROR(_xlfn.XLOOKUP($A425,'Base SKUs'!$E:$E,'Base SKUs'!K:K),"")</f>
        <v>14</v>
      </c>
      <c r="R425" s="7">
        <f>IFERROR(_xlfn.XLOOKUP($A425,'Base SKUs'!$E:$E,'Base SKUs'!S:S),"")</f>
        <v>6.3663743639999992E-2</v>
      </c>
      <c r="S425" s="8">
        <f t="shared" si="32"/>
        <v>0.31831871819999996</v>
      </c>
      <c r="T425" s="7">
        <f>IFERROR(_xlfn.XLOOKUP($A425,'Base SKUs'!$E:$E,'Base SKUs'!R:R),"")</f>
        <v>219.905</v>
      </c>
      <c r="U425" s="15">
        <f t="shared" si="33"/>
        <v>70</v>
      </c>
      <c r="V425" t="str">
        <f t="shared" si="34"/>
        <v>Miami</v>
      </c>
    </row>
    <row r="426" spans="1:22" x14ac:dyDescent="0.2">
      <c r="A426" t="s">
        <v>657</v>
      </c>
      <c r="B426" s="5">
        <v>24</v>
      </c>
      <c r="C426" s="5">
        <v>0</v>
      </c>
      <c r="D426" s="5">
        <f t="shared" si="30"/>
        <v>24</v>
      </c>
      <c r="E426" s="6">
        <v>219.54810000000001</v>
      </c>
      <c r="F426" s="6">
        <f t="shared" si="31"/>
        <v>5269.1544000000004</v>
      </c>
      <c r="G426" t="s">
        <v>330</v>
      </c>
      <c r="H426">
        <v>9011</v>
      </c>
      <c r="I426" t="str">
        <f>IFERROR(_xlfn.XLOOKUP($A426,'Base SKUs'!$E:$E,'Base SKUs'!A:A),"")</f>
        <v>Ipe</v>
      </c>
      <c r="J426" t="str">
        <f>IFERROR(_xlfn.XLOOKUP($A426,'Base SKUs'!$E:$E,'Base SKUs'!B:B),"")</f>
        <v>Ipe 3x10</v>
      </c>
      <c r="K426" t="str">
        <f>IFERROR(_xlfn.XLOOKUP($A426,'Base SKUs'!$E:$E,'Base SKUs'!C:C),"")</f>
        <v>Long</v>
      </c>
      <c r="L426" t="str">
        <f>IFERROR(_xlfn.XLOOKUP($A426,'Base SKUs'!$E:$E,'Base SKUs'!D:D),"")</f>
        <v>Hardwoods</v>
      </c>
      <c r="M426" t="str">
        <f>IFERROR(_xlfn.XLOOKUP($A426,'Base SKUs'!$E:$E,'Base SKUs'!G:G),"")</f>
        <v>Ipe</v>
      </c>
      <c r="N426" t="str">
        <f>IFERROR(_xlfn.XLOOKUP($A426,'Base SKUs'!$E:$E,'Base SKUs'!H:H),"")</f>
        <v>S4S E4E</v>
      </c>
      <c r="O426" t="str">
        <f>IFERROR(_xlfn.XLOOKUP($A426,'Base SKUs'!$E:$E,'Base SKUs'!I:I),"")</f>
        <v>-</v>
      </c>
      <c r="P426" t="str">
        <f>IFERROR(_xlfn.XLOOKUP($A426,'Base SKUs'!$E:$E,'Base SKUs'!J:J),"")</f>
        <v>3x10</v>
      </c>
      <c r="Q426">
        <f>IFERROR(_xlfn.XLOOKUP($A426,'Base SKUs'!$E:$E,'Base SKUs'!K:K),"")</f>
        <v>14</v>
      </c>
      <c r="R426" s="7">
        <f>IFERROR(_xlfn.XLOOKUP($A426,'Base SKUs'!$E:$E,'Base SKUs'!S:S),"")</f>
        <v>6.3663743639999992E-2</v>
      </c>
      <c r="S426" s="8">
        <f t="shared" si="32"/>
        <v>1.5279298473599998</v>
      </c>
      <c r="T426" s="7">
        <f>IFERROR(_xlfn.XLOOKUP($A426,'Base SKUs'!$E:$E,'Base SKUs'!R:R),"")</f>
        <v>219.905</v>
      </c>
      <c r="U426" s="15">
        <f t="shared" si="33"/>
        <v>336</v>
      </c>
      <c r="V426" t="str">
        <f t="shared" si="34"/>
        <v>New York</v>
      </c>
    </row>
    <row r="427" spans="1:22" x14ac:dyDescent="0.2">
      <c r="A427" t="s">
        <v>659</v>
      </c>
      <c r="B427" s="5">
        <v>29</v>
      </c>
      <c r="C427" s="5">
        <v>0</v>
      </c>
      <c r="D427" s="5">
        <f t="shared" si="30"/>
        <v>29</v>
      </c>
      <c r="E427" s="6">
        <v>282.29539999999997</v>
      </c>
      <c r="F427" s="6">
        <f t="shared" si="31"/>
        <v>8186.5665999999992</v>
      </c>
      <c r="G427" t="s">
        <v>17</v>
      </c>
      <c r="H427">
        <v>9007</v>
      </c>
      <c r="I427" t="str">
        <f>IFERROR(_xlfn.XLOOKUP($A427,'Base SKUs'!$E:$E,'Base SKUs'!A:A),"")</f>
        <v>Ipe</v>
      </c>
      <c r="J427" t="str">
        <f>IFERROR(_xlfn.XLOOKUP($A427,'Base SKUs'!$E:$E,'Base SKUs'!B:B),"")</f>
        <v>Ipe 3x10</v>
      </c>
      <c r="K427" t="str">
        <f>IFERROR(_xlfn.XLOOKUP($A427,'Base SKUs'!$E:$E,'Base SKUs'!C:C),"")</f>
        <v>Long</v>
      </c>
      <c r="L427" t="str">
        <f>IFERROR(_xlfn.XLOOKUP($A427,'Base SKUs'!$E:$E,'Base SKUs'!D:D),"")</f>
        <v>Hardwoods</v>
      </c>
      <c r="M427" t="str">
        <f>IFERROR(_xlfn.XLOOKUP($A427,'Base SKUs'!$E:$E,'Base SKUs'!G:G),"")</f>
        <v>Ipe</v>
      </c>
      <c r="N427" t="str">
        <f>IFERROR(_xlfn.XLOOKUP($A427,'Base SKUs'!$E:$E,'Base SKUs'!H:H),"")</f>
        <v>S4S E4E</v>
      </c>
      <c r="O427" t="str">
        <f>IFERROR(_xlfn.XLOOKUP($A427,'Base SKUs'!$E:$E,'Base SKUs'!I:I),"")</f>
        <v>-</v>
      </c>
      <c r="P427" t="str">
        <f>IFERROR(_xlfn.XLOOKUP($A427,'Base SKUs'!$E:$E,'Base SKUs'!J:J),"")</f>
        <v>3x10</v>
      </c>
      <c r="Q427">
        <f>IFERROR(_xlfn.XLOOKUP($A427,'Base SKUs'!$E:$E,'Base SKUs'!K:K),"")</f>
        <v>18</v>
      </c>
      <c r="R427" s="7">
        <f>IFERROR(_xlfn.XLOOKUP($A427,'Base SKUs'!$E:$E,'Base SKUs'!S:S),"")</f>
        <v>8.1853384679999988E-2</v>
      </c>
      <c r="S427" s="8">
        <f t="shared" si="32"/>
        <v>2.3737481557199995</v>
      </c>
      <c r="T427" s="7">
        <f>IFERROR(_xlfn.XLOOKUP($A427,'Base SKUs'!$E:$E,'Base SKUs'!R:R),"")</f>
        <v>219.905</v>
      </c>
      <c r="U427" s="15">
        <f t="shared" si="33"/>
        <v>522</v>
      </c>
      <c r="V427" t="str">
        <f t="shared" si="34"/>
        <v>Miami</v>
      </c>
    </row>
    <row r="428" spans="1:22" x14ac:dyDescent="0.2">
      <c r="A428" t="s">
        <v>661</v>
      </c>
      <c r="B428" s="5">
        <v>48</v>
      </c>
      <c r="C428" s="5">
        <v>0</v>
      </c>
      <c r="D428" s="5">
        <f t="shared" si="30"/>
        <v>48</v>
      </c>
      <c r="E428" s="6">
        <v>313.66070000000002</v>
      </c>
      <c r="F428" s="6">
        <f t="shared" si="31"/>
        <v>15055.713600000001</v>
      </c>
      <c r="G428" t="s">
        <v>17</v>
      </c>
      <c r="H428">
        <v>9007</v>
      </c>
      <c r="I428" t="str">
        <f>IFERROR(_xlfn.XLOOKUP($A428,'Base SKUs'!$E:$E,'Base SKUs'!A:A),"")</f>
        <v>Ipe</v>
      </c>
      <c r="J428" t="str">
        <f>IFERROR(_xlfn.XLOOKUP($A428,'Base SKUs'!$E:$E,'Base SKUs'!B:B),"")</f>
        <v>Ipe 3x10</v>
      </c>
      <c r="K428" t="str">
        <f>IFERROR(_xlfn.XLOOKUP($A428,'Base SKUs'!$E:$E,'Base SKUs'!C:C),"")</f>
        <v>Long</v>
      </c>
      <c r="L428" t="str">
        <f>IFERROR(_xlfn.XLOOKUP($A428,'Base SKUs'!$E:$E,'Base SKUs'!D:D),"")</f>
        <v>Hardwoods</v>
      </c>
      <c r="M428" t="str">
        <f>IFERROR(_xlfn.XLOOKUP($A428,'Base SKUs'!$E:$E,'Base SKUs'!G:G),"")</f>
        <v>Ipe</v>
      </c>
      <c r="N428" t="str">
        <f>IFERROR(_xlfn.XLOOKUP($A428,'Base SKUs'!$E:$E,'Base SKUs'!H:H),"")</f>
        <v>S4S E4E</v>
      </c>
      <c r="O428" t="str">
        <f>IFERROR(_xlfn.XLOOKUP($A428,'Base SKUs'!$E:$E,'Base SKUs'!I:I),"")</f>
        <v>-</v>
      </c>
      <c r="P428" t="str">
        <f>IFERROR(_xlfn.XLOOKUP($A428,'Base SKUs'!$E:$E,'Base SKUs'!J:J),"")</f>
        <v>3x10</v>
      </c>
      <c r="Q428">
        <f>IFERROR(_xlfn.XLOOKUP($A428,'Base SKUs'!$E:$E,'Base SKUs'!K:K),"")</f>
        <v>20</v>
      </c>
      <c r="R428" s="7">
        <f>IFERROR(_xlfn.XLOOKUP($A428,'Base SKUs'!$E:$E,'Base SKUs'!S:S),"")</f>
        <v>9.0948205199999993E-2</v>
      </c>
      <c r="S428" s="8">
        <f t="shared" si="32"/>
        <v>4.3655138495999992</v>
      </c>
      <c r="T428" s="7">
        <f>IFERROR(_xlfn.XLOOKUP($A428,'Base SKUs'!$E:$E,'Base SKUs'!R:R),"")</f>
        <v>219.905</v>
      </c>
      <c r="U428" s="15">
        <f t="shared" si="33"/>
        <v>960</v>
      </c>
      <c r="V428" t="str">
        <f t="shared" si="34"/>
        <v>Miami</v>
      </c>
    </row>
    <row r="429" spans="1:22" x14ac:dyDescent="0.2">
      <c r="A429" t="s">
        <v>663</v>
      </c>
      <c r="B429" s="5">
        <v>2</v>
      </c>
      <c r="C429" s="5">
        <v>0</v>
      </c>
      <c r="D429" s="5">
        <f t="shared" si="30"/>
        <v>2</v>
      </c>
      <c r="E429" s="6">
        <v>112.0911</v>
      </c>
      <c r="F429" s="6">
        <f t="shared" si="31"/>
        <v>224.18219999999999</v>
      </c>
      <c r="G429" t="s">
        <v>17</v>
      </c>
      <c r="H429">
        <v>9007</v>
      </c>
      <c r="I429" t="str">
        <f>IFERROR(_xlfn.XLOOKUP($A429,'Base SKUs'!$E:$E,'Base SKUs'!A:A),"")</f>
        <v>Ipe</v>
      </c>
      <c r="J429" t="str">
        <f>IFERROR(_xlfn.XLOOKUP($A429,'Base SKUs'!$E:$E,'Base SKUs'!B:B),"")</f>
        <v>Ipe 3x10</v>
      </c>
      <c r="K429" t="str">
        <f>IFERROR(_xlfn.XLOOKUP($A429,'Base SKUs'!$E:$E,'Base SKUs'!C:C),"")</f>
        <v>Long</v>
      </c>
      <c r="L429" t="str">
        <f>IFERROR(_xlfn.XLOOKUP($A429,'Base SKUs'!$E:$E,'Base SKUs'!D:D),"")</f>
        <v>Hardwoods</v>
      </c>
      <c r="M429" t="str">
        <f>IFERROR(_xlfn.XLOOKUP($A429,'Base SKUs'!$E:$E,'Base SKUs'!G:G),"")</f>
        <v>Ipe</v>
      </c>
      <c r="N429" t="str">
        <f>IFERROR(_xlfn.XLOOKUP($A429,'Base SKUs'!$E:$E,'Base SKUs'!H:H),"")</f>
        <v>S4S E4E</v>
      </c>
      <c r="O429" t="str">
        <f>IFERROR(_xlfn.XLOOKUP($A429,'Base SKUs'!$E:$E,'Base SKUs'!I:I),"")</f>
        <v>-</v>
      </c>
      <c r="P429" t="str">
        <f>IFERROR(_xlfn.XLOOKUP($A429,'Base SKUs'!$E:$E,'Base SKUs'!J:J),"")</f>
        <v>3x10</v>
      </c>
      <c r="Q429">
        <f>IFERROR(_xlfn.XLOOKUP($A429,'Base SKUs'!$E:$E,'Base SKUs'!K:K),"")</f>
        <v>8</v>
      </c>
      <c r="R429" s="7">
        <f>IFERROR(_xlfn.XLOOKUP($A429,'Base SKUs'!$E:$E,'Base SKUs'!S:S),"")</f>
        <v>3.6379282080000006E-2</v>
      </c>
      <c r="S429" s="8">
        <f t="shared" si="32"/>
        <v>7.2758564160000011E-2</v>
      </c>
      <c r="T429" s="7">
        <f>IFERROR(_xlfn.XLOOKUP($A429,'Base SKUs'!$E:$E,'Base SKUs'!R:R),"")</f>
        <v>219.905</v>
      </c>
      <c r="U429" s="15">
        <f t="shared" si="33"/>
        <v>16</v>
      </c>
      <c r="V429" t="str">
        <f t="shared" si="34"/>
        <v>Miami</v>
      </c>
    </row>
    <row r="430" spans="1:22" x14ac:dyDescent="0.2">
      <c r="A430" t="s">
        <v>665</v>
      </c>
      <c r="B430" s="5">
        <v>12</v>
      </c>
      <c r="C430" s="5">
        <v>0</v>
      </c>
      <c r="D430" s="5">
        <f t="shared" si="30"/>
        <v>12</v>
      </c>
      <c r="E430" s="6">
        <v>190.6677</v>
      </c>
      <c r="F430" s="6">
        <f t="shared" si="31"/>
        <v>2288.0124000000001</v>
      </c>
      <c r="G430" t="s">
        <v>17</v>
      </c>
      <c r="H430">
        <v>9007</v>
      </c>
      <c r="I430" t="str">
        <f>IFERROR(_xlfn.XLOOKUP($A430,'Base SKUs'!$E:$E,'Base SKUs'!A:A),"")</f>
        <v>Ipe</v>
      </c>
      <c r="J430" t="str">
        <f>IFERROR(_xlfn.XLOOKUP($A430,'Base SKUs'!$E:$E,'Base SKUs'!B:B),"")</f>
        <v>Ipe 3x12</v>
      </c>
      <c r="K430" t="str">
        <f>IFERROR(_xlfn.XLOOKUP($A430,'Base SKUs'!$E:$E,'Base SKUs'!C:C),"")</f>
        <v>Long</v>
      </c>
      <c r="L430" t="str">
        <f>IFERROR(_xlfn.XLOOKUP($A430,'Base SKUs'!$E:$E,'Base SKUs'!D:D),"")</f>
        <v>Hardwoods</v>
      </c>
      <c r="M430" t="str">
        <f>IFERROR(_xlfn.XLOOKUP($A430,'Base SKUs'!$E:$E,'Base SKUs'!G:G),"")</f>
        <v>Ipe</v>
      </c>
      <c r="N430" t="str">
        <f>IFERROR(_xlfn.XLOOKUP($A430,'Base SKUs'!$E:$E,'Base SKUs'!H:H),"")</f>
        <v>S4S E4E</v>
      </c>
      <c r="O430" t="str">
        <f>IFERROR(_xlfn.XLOOKUP($A430,'Base SKUs'!$E:$E,'Base SKUs'!I:I),"")</f>
        <v>-</v>
      </c>
      <c r="P430" t="str">
        <f>IFERROR(_xlfn.XLOOKUP($A430,'Base SKUs'!$E:$E,'Base SKUs'!J:J),"")</f>
        <v>3x12</v>
      </c>
      <c r="Q430">
        <f>IFERROR(_xlfn.XLOOKUP($A430,'Base SKUs'!$E:$E,'Base SKUs'!K:K),"")</f>
        <v>10</v>
      </c>
      <c r="R430" s="7">
        <f>IFERROR(_xlfn.XLOOKUP($A430,'Base SKUs'!$E:$E,'Base SKUs'!S:S),"")</f>
        <v>5.5306340999999995E-2</v>
      </c>
      <c r="S430" s="8">
        <f t="shared" si="32"/>
        <v>0.663676092</v>
      </c>
      <c r="T430" s="7">
        <f>IFERROR(_xlfn.XLOOKUP($A430,'Base SKUs'!$E:$E,'Base SKUs'!R:R),"")</f>
        <v>180.81100000000001</v>
      </c>
      <c r="U430" s="15">
        <f t="shared" si="33"/>
        <v>120</v>
      </c>
      <c r="V430" t="str">
        <f t="shared" si="34"/>
        <v>Miami</v>
      </c>
    </row>
    <row r="431" spans="1:22" x14ac:dyDescent="0.2">
      <c r="A431" t="s">
        <v>665</v>
      </c>
      <c r="B431" s="5">
        <v>8</v>
      </c>
      <c r="C431" s="5">
        <v>0</v>
      </c>
      <c r="D431" s="5">
        <f t="shared" si="30"/>
        <v>8</v>
      </c>
      <c r="E431" s="6">
        <v>190.6677</v>
      </c>
      <c r="F431" s="6">
        <f t="shared" si="31"/>
        <v>1525.3416</v>
      </c>
      <c r="G431" t="s">
        <v>330</v>
      </c>
      <c r="H431">
        <v>9011</v>
      </c>
      <c r="I431" t="str">
        <f>IFERROR(_xlfn.XLOOKUP($A431,'Base SKUs'!$E:$E,'Base SKUs'!A:A),"")</f>
        <v>Ipe</v>
      </c>
      <c r="J431" t="str">
        <f>IFERROR(_xlfn.XLOOKUP($A431,'Base SKUs'!$E:$E,'Base SKUs'!B:B),"")</f>
        <v>Ipe 3x12</v>
      </c>
      <c r="K431" t="str">
        <f>IFERROR(_xlfn.XLOOKUP($A431,'Base SKUs'!$E:$E,'Base SKUs'!C:C),"")</f>
        <v>Long</v>
      </c>
      <c r="L431" t="str">
        <f>IFERROR(_xlfn.XLOOKUP($A431,'Base SKUs'!$E:$E,'Base SKUs'!D:D),"")</f>
        <v>Hardwoods</v>
      </c>
      <c r="M431" t="str">
        <f>IFERROR(_xlfn.XLOOKUP($A431,'Base SKUs'!$E:$E,'Base SKUs'!G:G),"")</f>
        <v>Ipe</v>
      </c>
      <c r="N431" t="str">
        <f>IFERROR(_xlfn.XLOOKUP($A431,'Base SKUs'!$E:$E,'Base SKUs'!H:H),"")</f>
        <v>S4S E4E</v>
      </c>
      <c r="O431" t="str">
        <f>IFERROR(_xlfn.XLOOKUP($A431,'Base SKUs'!$E:$E,'Base SKUs'!I:I),"")</f>
        <v>-</v>
      </c>
      <c r="P431" t="str">
        <f>IFERROR(_xlfn.XLOOKUP($A431,'Base SKUs'!$E:$E,'Base SKUs'!J:J),"")</f>
        <v>3x12</v>
      </c>
      <c r="Q431">
        <f>IFERROR(_xlfn.XLOOKUP($A431,'Base SKUs'!$E:$E,'Base SKUs'!K:K),"")</f>
        <v>10</v>
      </c>
      <c r="R431" s="7">
        <f>IFERROR(_xlfn.XLOOKUP($A431,'Base SKUs'!$E:$E,'Base SKUs'!S:S),"")</f>
        <v>5.5306340999999995E-2</v>
      </c>
      <c r="S431" s="8">
        <f t="shared" si="32"/>
        <v>0.44245072799999996</v>
      </c>
      <c r="T431" s="7">
        <f>IFERROR(_xlfn.XLOOKUP($A431,'Base SKUs'!$E:$E,'Base SKUs'!R:R),"")</f>
        <v>180.81100000000001</v>
      </c>
      <c r="U431" s="15">
        <f t="shared" si="33"/>
        <v>80</v>
      </c>
      <c r="V431" t="str">
        <f t="shared" si="34"/>
        <v>New York</v>
      </c>
    </row>
    <row r="432" spans="1:22" x14ac:dyDescent="0.2">
      <c r="A432" t="s">
        <v>665</v>
      </c>
      <c r="B432" s="5">
        <v>3</v>
      </c>
      <c r="C432" s="5">
        <v>0</v>
      </c>
      <c r="D432" s="5">
        <f t="shared" si="30"/>
        <v>3</v>
      </c>
      <c r="E432" s="6">
        <v>190.6677</v>
      </c>
      <c r="F432" s="6">
        <f t="shared" si="31"/>
        <v>572.00310000000002</v>
      </c>
      <c r="G432" t="s">
        <v>454</v>
      </c>
      <c r="H432">
        <v>9013</v>
      </c>
      <c r="I432" t="str">
        <f>IFERROR(_xlfn.XLOOKUP($A432,'Base SKUs'!$E:$E,'Base SKUs'!A:A),"")</f>
        <v>Ipe</v>
      </c>
      <c r="J432" t="str">
        <f>IFERROR(_xlfn.XLOOKUP($A432,'Base SKUs'!$E:$E,'Base SKUs'!B:B),"")</f>
        <v>Ipe 3x12</v>
      </c>
      <c r="K432" t="str">
        <f>IFERROR(_xlfn.XLOOKUP($A432,'Base SKUs'!$E:$E,'Base SKUs'!C:C),"")</f>
        <v>Long</v>
      </c>
      <c r="L432" t="str">
        <f>IFERROR(_xlfn.XLOOKUP($A432,'Base SKUs'!$E:$E,'Base SKUs'!D:D),"")</f>
        <v>Hardwoods</v>
      </c>
      <c r="M432" t="str">
        <f>IFERROR(_xlfn.XLOOKUP($A432,'Base SKUs'!$E:$E,'Base SKUs'!G:G),"")</f>
        <v>Ipe</v>
      </c>
      <c r="N432" t="str">
        <f>IFERROR(_xlfn.XLOOKUP($A432,'Base SKUs'!$E:$E,'Base SKUs'!H:H),"")</f>
        <v>S4S E4E</v>
      </c>
      <c r="O432" t="str">
        <f>IFERROR(_xlfn.XLOOKUP($A432,'Base SKUs'!$E:$E,'Base SKUs'!I:I),"")</f>
        <v>-</v>
      </c>
      <c r="P432" t="str">
        <f>IFERROR(_xlfn.XLOOKUP($A432,'Base SKUs'!$E:$E,'Base SKUs'!J:J),"")</f>
        <v>3x12</v>
      </c>
      <c r="Q432">
        <f>IFERROR(_xlfn.XLOOKUP($A432,'Base SKUs'!$E:$E,'Base SKUs'!K:K),"")</f>
        <v>10</v>
      </c>
      <c r="R432" s="7">
        <f>IFERROR(_xlfn.XLOOKUP($A432,'Base SKUs'!$E:$E,'Base SKUs'!S:S),"")</f>
        <v>5.5306340999999995E-2</v>
      </c>
      <c r="S432" s="8">
        <f t="shared" si="32"/>
        <v>0.165919023</v>
      </c>
      <c r="T432" s="7">
        <f>IFERROR(_xlfn.XLOOKUP($A432,'Base SKUs'!$E:$E,'Base SKUs'!R:R),"")</f>
        <v>180.81100000000001</v>
      </c>
      <c r="U432" s="15">
        <f t="shared" si="33"/>
        <v>30</v>
      </c>
      <c r="V432" t="str">
        <f t="shared" si="34"/>
        <v>BS Riverside</v>
      </c>
    </row>
    <row r="433" spans="1:22" x14ac:dyDescent="0.2">
      <c r="A433" t="s">
        <v>667</v>
      </c>
      <c r="B433" s="5">
        <v>12</v>
      </c>
      <c r="C433" s="5">
        <v>0</v>
      </c>
      <c r="D433" s="5">
        <f t="shared" si="30"/>
        <v>12</v>
      </c>
      <c r="E433" s="6">
        <v>260.74250000000001</v>
      </c>
      <c r="F433" s="6">
        <f t="shared" si="31"/>
        <v>3128.91</v>
      </c>
      <c r="G433" t="s">
        <v>330</v>
      </c>
      <c r="H433">
        <v>9011</v>
      </c>
      <c r="I433" t="str">
        <f>IFERROR(_xlfn.XLOOKUP($A433,'Base SKUs'!$E:$E,'Base SKUs'!A:A),"")</f>
        <v>Ipe</v>
      </c>
      <c r="J433" t="str">
        <f>IFERROR(_xlfn.XLOOKUP($A433,'Base SKUs'!$E:$E,'Base SKUs'!B:B),"")</f>
        <v>Ipe 3x12</v>
      </c>
      <c r="K433" t="str">
        <f>IFERROR(_xlfn.XLOOKUP($A433,'Base SKUs'!$E:$E,'Base SKUs'!C:C),"")</f>
        <v>Long</v>
      </c>
      <c r="L433" t="str">
        <f>IFERROR(_xlfn.XLOOKUP($A433,'Base SKUs'!$E:$E,'Base SKUs'!D:D),"")</f>
        <v>Hardwoods</v>
      </c>
      <c r="M433" t="str">
        <f>IFERROR(_xlfn.XLOOKUP($A433,'Base SKUs'!$E:$E,'Base SKUs'!G:G),"")</f>
        <v>Ipe</v>
      </c>
      <c r="N433" t="str">
        <f>IFERROR(_xlfn.XLOOKUP($A433,'Base SKUs'!$E:$E,'Base SKUs'!H:H),"")</f>
        <v>S4S E4E</v>
      </c>
      <c r="O433" t="str">
        <f>IFERROR(_xlfn.XLOOKUP($A433,'Base SKUs'!$E:$E,'Base SKUs'!I:I),"")</f>
        <v>-</v>
      </c>
      <c r="P433" t="str">
        <f>IFERROR(_xlfn.XLOOKUP($A433,'Base SKUs'!$E:$E,'Base SKUs'!J:J),"")</f>
        <v>3x12</v>
      </c>
      <c r="Q433">
        <f>IFERROR(_xlfn.XLOOKUP($A433,'Base SKUs'!$E:$E,'Base SKUs'!K:K),"")</f>
        <v>12</v>
      </c>
      <c r="R433" s="7">
        <f>IFERROR(_xlfn.XLOOKUP($A433,'Base SKUs'!$E:$E,'Base SKUs'!S:S),"")</f>
        <v>6.6367609200000011E-2</v>
      </c>
      <c r="S433" s="8">
        <f t="shared" si="32"/>
        <v>0.79641131040000013</v>
      </c>
      <c r="T433" s="7">
        <f>IFERROR(_xlfn.XLOOKUP($A433,'Base SKUs'!$E:$E,'Base SKUs'!R:R),"")</f>
        <v>180.81100000000001</v>
      </c>
      <c r="U433" s="15">
        <f t="shared" si="33"/>
        <v>144</v>
      </c>
      <c r="V433" t="str">
        <f t="shared" si="34"/>
        <v>New York</v>
      </c>
    </row>
    <row r="434" spans="1:22" x14ac:dyDescent="0.2">
      <c r="A434" t="s">
        <v>669</v>
      </c>
      <c r="B434" s="5">
        <v>30</v>
      </c>
      <c r="C434" s="5">
        <v>0</v>
      </c>
      <c r="D434" s="5">
        <f t="shared" si="30"/>
        <v>30</v>
      </c>
      <c r="E434" s="6">
        <v>304.07830000000001</v>
      </c>
      <c r="F434" s="6">
        <f t="shared" si="31"/>
        <v>9122.3490000000002</v>
      </c>
      <c r="G434" t="s">
        <v>330</v>
      </c>
      <c r="H434">
        <v>9011</v>
      </c>
      <c r="I434" t="str">
        <f>IFERROR(_xlfn.XLOOKUP($A434,'Base SKUs'!$E:$E,'Base SKUs'!A:A),"")</f>
        <v>Ipe</v>
      </c>
      <c r="J434" t="str">
        <f>IFERROR(_xlfn.XLOOKUP($A434,'Base SKUs'!$E:$E,'Base SKUs'!B:B),"")</f>
        <v>Ipe 3x12</v>
      </c>
      <c r="K434" t="str">
        <f>IFERROR(_xlfn.XLOOKUP($A434,'Base SKUs'!$E:$E,'Base SKUs'!C:C),"")</f>
        <v>Long</v>
      </c>
      <c r="L434" t="str">
        <f>IFERROR(_xlfn.XLOOKUP($A434,'Base SKUs'!$E:$E,'Base SKUs'!D:D),"")</f>
        <v>Hardwoods</v>
      </c>
      <c r="M434" t="str">
        <f>IFERROR(_xlfn.XLOOKUP($A434,'Base SKUs'!$E:$E,'Base SKUs'!G:G),"")</f>
        <v>Ipe</v>
      </c>
      <c r="N434" t="str">
        <f>IFERROR(_xlfn.XLOOKUP($A434,'Base SKUs'!$E:$E,'Base SKUs'!H:H),"")</f>
        <v>S4S E4E</v>
      </c>
      <c r="O434" t="str">
        <f>IFERROR(_xlfn.XLOOKUP($A434,'Base SKUs'!$E:$E,'Base SKUs'!I:I),"")</f>
        <v>-</v>
      </c>
      <c r="P434" t="str">
        <f>IFERROR(_xlfn.XLOOKUP($A434,'Base SKUs'!$E:$E,'Base SKUs'!J:J),"")</f>
        <v>3x12</v>
      </c>
      <c r="Q434">
        <f>IFERROR(_xlfn.XLOOKUP($A434,'Base SKUs'!$E:$E,'Base SKUs'!K:K),"")</f>
        <v>14</v>
      </c>
      <c r="R434" s="7">
        <f>IFERROR(_xlfn.XLOOKUP($A434,'Base SKUs'!$E:$E,'Base SKUs'!S:S),"")</f>
        <v>7.7428877399999985E-2</v>
      </c>
      <c r="S434" s="8">
        <f t="shared" si="32"/>
        <v>2.3228663219999994</v>
      </c>
      <c r="T434" s="7">
        <f>IFERROR(_xlfn.XLOOKUP($A434,'Base SKUs'!$E:$E,'Base SKUs'!R:R),"")</f>
        <v>180.81100000000001</v>
      </c>
      <c r="U434" s="15">
        <f t="shared" si="33"/>
        <v>420</v>
      </c>
      <c r="V434" t="str">
        <f t="shared" si="34"/>
        <v>New York</v>
      </c>
    </row>
    <row r="435" spans="1:22" x14ac:dyDescent="0.2">
      <c r="A435" t="s">
        <v>669</v>
      </c>
      <c r="B435" s="5">
        <v>23</v>
      </c>
      <c r="C435" s="5">
        <v>0</v>
      </c>
      <c r="D435" s="5">
        <f t="shared" si="30"/>
        <v>23</v>
      </c>
      <c r="E435" s="6">
        <v>266.95819999999998</v>
      </c>
      <c r="F435" s="6">
        <f t="shared" si="31"/>
        <v>6140.0385999999999</v>
      </c>
      <c r="G435" t="s">
        <v>454</v>
      </c>
      <c r="H435">
        <v>9013</v>
      </c>
      <c r="I435" t="str">
        <f>IFERROR(_xlfn.XLOOKUP($A435,'Base SKUs'!$E:$E,'Base SKUs'!A:A),"")</f>
        <v>Ipe</v>
      </c>
      <c r="J435" t="str">
        <f>IFERROR(_xlfn.XLOOKUP($A435,'Base SKUs'!$E:$E,'Base SKUs'!B:B),"")</f>
        <v>Ipe 3x12</v>
      </c>
      <c r="K435" t="str">
        <f>IFERROR(_xlfn.XLOOKUP($A435,'Base SKUs'!$E:$E,'Base SKUs'!C:C),"")</f>
        <v>Long</v>
      </c>
      <c r="L435" t="str">
        <f>IFERROR(_xlfn.XLOOKUP($A435,'Base SKUs'!$E:$E,'Base SKUs'!D:D),"")</f>
        <v>Hardwoods</v>
      </c>
      <c r="M435" t="str">
        <f>IFERROR(_xlfn.XLOOKUP($A435,'Base SKUs'!$E:$E,'Base SKUs'!G:G),"")</f>
        <v>Ipe</v>
      </c>
      <c r="N435" t="str">
        <f>IFERROR(_xlfn.XLOOKUP($A435,'Base SKUs'!$E:$E,'Base SKUs'!H:H),"")</f>
        <v>S4S E4E</v>
      </c>
      <c r="O435" t="str">
        <f>IFERROR(_xlfn.XLOOKUP($A435,'Base SKUs'!$E:$E,'Base SKUs'!I:I),"")</f>
        <v>-</v>
      </c>
      <c r="P435" t="str">
        <f>IFERROR(_xlfn.XLOOKUP($A435,'Base SKUs'!$E:$E,'Base SKUs'!J:J),"")</f>
        <v>3x12</v>
      </c>
      <c r="Q435">
        <f>IFERROR(_xlfn.XLOOKUP($A435,'Base SKUs'!$E:$E,'Base SKUs'!K:K),"")</f>
        <v>14</v>
      </c>
      <c r="R435" s="7">
        <f>IFERROR(_xlfn.XLOOKUP($A435,'Base SKUs'!$E:$E,'Base SKUs'!S:S),"")</f>
        <v>7.7428877399999985E-2</v>
      </c>
      <c r="S435" s="8">
        <f t="shared" si="32"/>
        <v>1.7808641801999996</v>
      </c>
      <c r="T435" s="7">
        <f>IFERROR(_xlfn.XLOOKUP($A435,'Base SKUs'!$E:$E,'Base SKUs'!R:R),"")</f>
        <v>180.81100000000001</v>
      </c>
      <c r="U435" s="15">
        <f t="shared" si="33"/>
        <v>322</v>
      </c>
      <c r="V435" t="str">
        <f t="shared" si="34"/>
        <v>BS Riverside</v>
      </c>
    </row>
    <row r="436" spans="1:22" x14ac:dyDescent="0.2">
      <c r="A436" t="s">
        <v>671</v>
      </c>
      <c r="B436" s="5">
        <v>12</v>
      </c>
      <c r="C436" s="5">
        <v>0</v>
      </c>
      <c r="D436" s="5">
        <f t="shared" si="30"/>
        <v>12</v>
      </c>
      <c r="E436" s="6">
        <v>347.48750000000001</v>
      </c>
      <c r="F436" s="6">
        <f t="shared" si="31"/>
        <v>4169.8500000000004</v>
      </c>
      <c r="G436" t="s">
        <v>330</v>
      </c>
      <c r="H436">
        <v>9011</v>
      </c>
      <c r="I436" t="str">
        <f>IFERROR(_xlfn.XLOOKUP($A436,'Base SKUs'!$E:$E,'Base SKUs'!A:A),"")</f>
        <v>Ipe</v>
      </c>
      <c r="J436" t="str">
        <f>IFERROR(_xlfn.XLOOKUP($A436,'Base SKUs'!$E:$E,'Base SKUs'!B:B),"")</f>
        <v>Ipe 3x12</v>
      </c>
      <c r="K436" t="str">
        <f>IFERROR(_xlfn.XLOOKUP($A436,'Base SKUs'!$E:$E,'Base SKUs'!C:C),"")</f>
        <v>Long</v>
      </c>
      <c r="L436" t="str">
        <f>IFERROR(_xlfn.XLOOKUP($A436,'Base SKUs'!$E:$E,'Base SKUs'!D:D),"")</f>
        <v>Hardwoods</v>
      </c>
      <c r="M436" t="str">
        <f>IFERROR(_xlfn.XLOOKUP($A436,'Base SKUs'!$E:$E,'Base SKUs'!G:G),"")</f>
        <v>Ipe</v>
      </c>
      <c r="N436" t="str">
        <f>IFERROR(_xlfn.XLOOKUP($A436,'Base SKUs'!$E:$E,'Base SKUs'!H:H),"")</f>
        <v>S4S E4E</v>
      </c>
      <c r="O436" t="str">
        <f>IFERROR(_xlfn.XLOOKUP($A436,'Base SKUs'!$E:$E,'Base SKUs'!I:I),"")</f>
        <v>-</v>
      </c>
      <c r="P436" t="str">
        <f>IFERROR(_xlfn.XLOOKUP($A436,'Base SKUs'!$E:$E,'Base SKUs'!J:J),"")</f>
        <v>3x12</v>
      </c>
      <c r="Q436">
        <f>IFERROR(_xlfn.XLOOKUP($A436,'Base SKUs'!$E:$E,'Base SKUs'!K:K),"")</f>
        <v>16</v>
      </c>
      <c r="R436" s="7">
        <f>IFERROR(_xlfn.XLOOKUP($A436,'Base SKUs'!$E:$E,'Base SKUs'!S:S),"")</f>
        <v>8.84901456E-2</v>
      </c>
      <c r="S436" s="8">
        <f t="shared" si="32"/>
        <v>1.0618817471999999</v>
      </c>
      <c r="T436" s="7">
        <f>IFERROR(_xlfn.XLOOKUP($A436,'Base SKUs'!$E:$E,'Base SKUs'!R:R),"")</f>
        <v>180.81100000000001</v>
      </c>
      <c r="U436" s="15">
        <f t="shared" si="33"/>
        <v>192</v>
      </c>
      <c r="V436" t="str">
        <f t="shared" si="34"/>
        <v>New York</v>
      </c>
    </row>
    <row r="437" spans="1:22" x14ac:dyDescent="0.2">
      <c r="A437" t="s">
        <v>671</v>
      </c>
      <c r="B437" s="5">
        <v>3</v>
      </c>
      <c r="C437" s="5">
        <v>0</v>
      </c>
      <c r="D437" s="5">
        <f t="shared" si="30"/>
        <v>3</v>
      </c>
      <c r="E437" s="6">
        <v>305.0684</v>
      </c>
      <c r="F437" s="6">
        <f t="shared" si="31"/>
        <v>915.20519999999999</v>
      </c>
      <c r="G437" t="s">
        <v>454</v>
      </c>
      <c r="H437">
        <v>9013</v>
      </c>
      <c r="I437" t="str">
        <f>IFERROR(_xlfn.XLOOKUP($A437,'Base SKUs'!$E:$E,'Base SKUs'!A:A),"")</f>
        <v>Ipe</v>
      </c>
      <c r="J437" t="str">
        <f>IFERROR(_xlfn.XLOOKUP($A437,'Base SKUs'!$E:$E,'Base SKUs'!B:B),"")</f>
        <v>Ipe 3x12</v>
      </c>
      <c r="K437" t="str">
        <f>IFERROR(_xlfn.XLOOKUP($A437,'Base SKUs'!$E:$E,'Base SKUs'!C:C),"")</f>
        <v>Long</v>
      </c>
      <c r="L437" t="str">
        <f>IFERROR(_xlfn.XLOOKUP($A437,'Base SKUs'!$E:$E,'Base SKUs'!D:D),"")</f>
        <v>Hardwoods</v>
      </c>
      <c r="M437" t="str">
        <f>IFERROR(_xlfn.XLOOKUP($A437,'Base SKUs'!$E:$E,'Base SKUs'!G:G),"")</f>
        <v>Ipe</v>
      </c>
      <c r="N437" t="str">
        <f>IFERROR(_xlfn.XLOOKUP($A437,'Base SKUs'!$E:$E,'Base SKUs'!H:H),"")</f>
        <v>S4S E4E</v>
      </c>
      <c r="O437" t="str">
        <f>IFERROR(_xlfn.XLOOKUP($A437,'Base SKUs'!$E:$E,'Base SKUs'!I:I),"")</f>
        <v>-</v>
      </c>
      <c r="P437" t="str">
        <f>IFERROR(_xlfn.XLOOKUP($A437,'Base SKUs'!$E:$E,'Base SKUs'!J:J),"")</f>
        <v>3x12</v>
      </c>
      <c r="Q437">
        <f>IFERROR(_xlfn.XLOOKUP($A437,'Base SKUs'!$E:$E,'Base SKUs'!K:K),"")</f>
        <v>16</v>
      </c>
      <c r="R437" s="7">
        <f>IFERROR(_xlfn.XLOOKUP($A437,'Base SKUs'!$E:$E,'Base SKUs'!S:S),"")</f>
        <v>8.84901456E-2</v>
      </c>
      <c r="S437" s="8">
        <f t="shared" si="32"/>
        <v>0.26547043679999999</v>
      </c>
      <c r="T437" s="7">
        <f>IFERROR(_xlfn.XLOOKUP($A437,'Base SKUs'!$E:$E,'Base SKUs'!R:R),"")</f>
        <v>180.81100000000001</v>
      </c>
      <c r="U437" s="15">
        <f t="shared" si="33"/>
        <v>48</v>
      </c>
      <c r="V437" t="str">
        <f t="shared" si="34"/>
        <v>BS Riverside</v>
      </c>
    </row>
    <row r="438" spans="1:22" x14ac:dyDescent="0.2">
      <c r="A438" t="s">
        <v>673</v>
      </c>
      <c r="B438" s="5">
        <v>21</v>
      </c>
      <c r="C438" s="5">
        <v>0</v>
      </c>
      <c r="D438" s="5">
        <f t="shared" si="30"/>
        <v>21</v>
      </c>
      <c r="E438" s="6">
        <v>384.21289999999999</v>
      </c>
      <c r="F438" s="6">
        <f t="shared" si="31"/>
        <v>8068.4709000000003</v>
      </c>
      <c r="G438" t="s">
        <v>330</v>
      </c>
      <c r="H438">
        <v>9011</v>
      </c>
      <c r="I438" t="str">
        <f>IFERROR(_xlfn.XLOOKUP($A438,'Base SKUs'!$E:$E,'Base SKUs'!A:A),"")</f>
        <v>Ipe</v>
      </c>
      <c r="J438" t="str">
        <f>IFERROR(_xlfn.XLOOKUP($A438,'Base SKUs'!$E:$E,'Base SKUs'!B:B),"")</f>
        <v>Ipe 3x12</v>
      </c>
      <c r="K438" t="str">
        <f>IFERROR(_xlfn.XLOOKUP($A438,'Base SKUs'!$E:$E,'Base SKUs'!C:C),"")</f>
        <v>Long</v>
      </c>
      <c r="L438" t="str">
        <f>IFERROR(_xlfn.XLOOKUP($A438,'Base SKUs'!$E:$E,'Base SKUs'!D:D),"")</f>
        <v>Hardwoods</v>
      </c>
      <c r="M438" t="str">
        <f>IFERROR(_xlfn.XLOOKUP($A438,'Base SKUs'!$E:$E,'Base SKUs'!G:G),"")</f>
        <v>Ipe</v>
      </c>
      <c r="N438" t="str">
        <f>IFERROR(_xlfn.XLOOKUP($A438,'Base SKUs'!$E:$E,'Base SKUs'!H:H),"")</f>
        <v>S4S E4E</v>
      </c>
      <c r="O438" t="str">
        <f>IFERROR(_xlfn.XLOOKUP($A438,'Base SKUs'!$E:$E,'Base SKUs'!I:I),"")</f>
        <v>-</v>
      </c>
      <c r="P438" t="str">
        <f>IFERROR(_xlfn.XLOOKUP($A438,'Base SKUs'!$E:$E,'Base SKUs'!J:J),"")</f>
        <v>3x12</v>
      </c>
      <c r="Q438">
        <f>IFERROR(_xlfn.XLOOKUP($A438,'Base SKUs'!$E:$E,'Base SKUs'!K:K),"")</f>
        <v>18</v>
      </c>
      <c r="R438" s="7">
        <f>IFERROR(_xlfn.XLOOKUP($A438,'Base SKUs'!$E:$E,'Base SKUs'!S:S),"")</f>
        <v>9.9551413799999988E-2</v>
      </c>
      <c r="S438" s="8">
        <f t="shared" si="32"/>
        <v>2.0905796897999998</v>
      </c>
      <c r="T438" s="7">
        <f>IFERROR(_xlfn.XLOOKUP($A438,'Base SKUs'!$E:$E,'Base SKUs'!R:R),"")</f>
        <v>180.81100000000001</v>
      </c>
      <c r="U438" s="15">
        <f t="shared" si="33"/>
        <v>378</v>
      </c>
      <c r="V438" t="str">
        <f t="shared" si="34"/>
        <v>New York</v>
      </c>
    </row>
    <row r="439" spans="1:22" x14ac:dyDescent="0.2">
      <c r="A439" t="s">
        <v>673</v>
      </c>
      <c r="B439" s="5">
        <v>17</v>
      </c>
      <c r="C439" s="5">
        <v>0</v>
      </c>
      <c r="D439" s="5">
        <f t="shared" si="30"/>
        <v>17</v>
      </c>
      <c r="E439" s="6">
        <v>343.29719999999998</v>
      </c>
      <c r="F439" s="6">
        <f t="shared" si="31"/>
        <v>5836.0523999999996</v>
      </c>
      <c r="G439" t="s">
        <v>454</v>
      </c>
      <c r="H439">
        <v>9013</v>
      </c>
      <c r="I439" t="str">
        <f>IFERROR(_xlfn.XLOOKUP($A439,'Base SKUs'!$E:$E,'Base SKUs'!A:A),"")</f>
        <v>Ipe</v>
      </c>
      <c r="J439" t="str">
        <f>IFERROR(_xlfn.XLOOKUP($A439,'Base SKUs'!$E:$E,'Base SKUs'!B:B),"")</f>
        <v>Ipe 3x12</v>
      </c>
      <c r="K439" t="str">
        <f>IFERROR(_xlfn.XLOOKUP($A439,'Base SKUs'!$E:$E,'Base SKUs'!C:C),"")</f>
        <v>Long</v>
      </c>
      <c r="L439" t="str">
        <f>IFERROR(_xlfn.XLOOKUP($A439,'Base SKUs'!$E:$E,'Base SKUs'!D:D),"")</f>
        <v>Hardwoods</v>
      </c>
      <c r="M439" t="str">
        <f>IFERROR(_xlfn.XLOOKUP($A439,'Base SKUs'!$E:$E,'Base SKUs'!G:G),"")</f>
        <v>Ipe</v>
      </c>
      <c r="N439" t="str">
        <f>IFERROR(_xlfn.XLOOKUP($A439,'Base SKUs'!$E:$E,'Base SKUs'!H:H),"")</f>
        <v>S4S E4E</v>
      </c>
      <c r="O439" t="str">
        <f>IFERROR(_xlfn.XLOOKUP($A439,'Base SKUs'!$E:$E,'Base SKUs'!I:I),"")</f>
        <v>-</v>
      </c>
      <c r="P439" t="str">
        <f>IFERROR(_xlfn.XLOOKUP($A439,'Base SKUs'!$E:$E,'Base SKUs'!J:J),"")</f>
        <v>3x12</v>
      </c>
      <c r="Q439">
        <f>IFERROR(_xlfn.XLOOKUP($A439,'Base SKUs'!$E:$E,'Base SKUs'!K:K),"")</f>
        <v>18</v>
      </c>
      <c r="R439" s="7">
        <f>IFERROR(_xlfn.XLOOKUP($A439,'Base SKUs'!$E:$E,'Base SKUs'!S:S),"")</f>
        <v>9.9551413799999988E-2</v>
      </c>
      <c r="S439" s="8">
        <f t="shared" si="32"/>
        <v>1.6923740345999998</v>
      </c>
      <c r="T439" s="7">
        <f>IFERROR(_xlfn.XLOOKUP($A439,'Base SKUs'!$E:$E,'Base SKUs'!R:R),"")</f>
        <v>180.81100000000001</v>
      </c>
      <c r="U439" s="15">
        <f t="shared" si="33"/>
        <v>306</v>
      </c>
      <c r="V439" t="str">
        <f t="shared" si="34"/>
        <v>BS Riverside</v>
      </c>
    </row>
    <row r="440" spans="1:22" x14ac:dyDescent="0.2">
      <c r="A440" t="s">
        <v>675</v>
      </c>
      <c r="B440" s="5">
        <v>9</v>
      </c>
      <c r="C440" s="5">
        <v>0</v>
      </c>
      <c r="D440" s="5">
        <f t="shared" si="30"/>
        <v>9</v>
      </c>
      <c r="E440" s="6">
        <v>434.68779999999998</v>
      </c>
      <c r="F440" s="6">
        <f t="shared" si="31"/>
        <v>3912.1902</v>
      </c>
      <c r="G440" t="s">
        <v>330</v>
      </c>
      <c r="H440">
        <v>9011</v>
      </c>
      <c r="I440" t="str">
        <f>IFERROR(_xlfn.XLOOKUP($A440,'Base SKUs'!$E:$E,'Base SKUs'!A:A),"")</f>
        <v>Ipe</v>
      </c>
      <c r="J440" t="str">
        <f>IFERROR(_xlfn.XLOOKUP($A440,'Base SKUs'!$E:$E,'Base SKUs'!B:B),"")</f>
        <v>Ipe 3x12</v>
      </c>
      <c r="K440" t="str">
        <f>IFERROR(_xlfn.XLOOKUP($A440,'Base SKUs'!$E:$E,'Base SKUs'!C:C),"")</f>
        <v>Long</v>
      </c>
      <c r="L440" t="str">
        <f>IFERROR(_xlfn.XLOOKUP($A440,'Base SKUs'!$E:$E,'Base SKUs'!D:D),"")</f>
        <v>Hardwoods</v>
      </c>
      <c r="M440" t="str">
        <f>IFERROR(_xlfn.XLOOKUP($A440,'Base SKUs'!$E:$E,'Base SKUs'!G:G),"")</f>
        <v>Ipe</v>
      </c>
      <c r="N440" t="str">
        <f>IFERROR(_xlfn.XLOOKUP($A440,'Base SKUs'!$E:$E,'Base SKUs'!H:H),"")</f>
        <v>S4S E4E</v>
      </c>
      <c r="O440" t="str">
        <f>IFERROR(_xlfn.XLOOKUP($A440,'Base SKUs'!$E:$E,'Base SKUs'!I:I),"")</f>
        <v>-</v>
      </c>
      <c r="P440" t="str">
        <f>IFERROR(_xlfn.XLOOKUP($A440,'Base SKUs'!$E:$E,'Base SKUs'!J:J),"")</f>
        <v>3x12</v>
      </c>
      <c r="Q440">
        <f>IFERROR(_xlfn.XLOOKUP($A440,'Base SKUs'!$E:$E,'Base SKUs'!K:K),"")</f>
        <v>20</v>
      </c>
      <c r="R440" s="7">
        <f>IFERROR(_xlfn.XLOOKUP($A440,'Base SKUs'!$E:$E,'Base SKUs'!S:S),"")</f>
        <v>0.11061268199999999</v>
      </c>
      <c r="S440" s="8">
        <f t="shared" si="32"/>
        <v>0.99551413799999988</v>
      </c>
      <c r="T440" s="7">
        <f>IFERROR(_xlfn.XLOOKUP($A440,'Base SKUs'!$E:$E,'Base SKUs'!R:R),"")</f>
        <v>180.81100000000001</v>
      </c>
      <c r="U440" s="15">
        <f t="shared" si="33"/>
        <v>180</v>
      </c>
      <c r="V440" t="str">
        <f t="shared" si="34"/>
        <v>New York</v>
      </c>
    </row>
    <row r="441" spans="1:22" x14ac:dyDescent="0.2">
      <c r="A441" t="s">
        <v>677</v>
      </c>
      <c r="B441" s="5">
        <v>46</v>
      </c>
      <c r="C441" s="5">
        <v>0</v>
      </c>
      <c r="D441" s="5">
        <f t="shared" si="30"/>
        <v>46</v>
      </c>
      <c r="E441" s="6">
        <v>152.5478</v>
      </c>
      <c r="F441" s="6">
        <f t="shared" si="31"/>
        <v>7017.1988000000001</v>
      </c>
      <c r="G441" t="s">
        <v>17</v>
      </c>
      <c r="H441">
        <v>9007</v>
      </c>
      <c r="I441" t="str">
        <f>IFERROR(_xlfn.XLOOKUP($A441,'Base SKUs'!$E:$E,'Base SKUs'!A:A),"")</f>
        <v>Ipe</v>
      </c>
      <c r="J441" t="str">
        <f>IFERROR(_xlfn.XLOOKUP($A441,'Base SKUs'!$E:$E,'Base SKUs'!B:B),"")</f>
        <v>Ipe 3x12</v>
      </c>
      <c r="K441" t="str">
        <f>IFERROR(_xlfn.XLOOKUP($A441,'Base SKUs'!$E:$E,'Base SKUs'!C:C),"")</f>
        <v>Long</v>
      </c>
      <c r="L441" t="str">
        <f>IFERROR(_xlfn.XLOOKUP($A441,'Base SKUs'!$E:$E,'Base SKUs'!D:D),"")</f>
        <v>Hardwoods</v>
      </c>
      <c r="M441" t="str">
        <f>IFERROR(_xlfn.XLOOKUP($A441,'Base SKUs'!$E:$E,'Base SKUs'!G:G),"")</f>
        <v>Ipe</v>
      </c>
      <c r="N441" t="str">
        <f>IFERROR(_xlfn.XLOOKUP($A441,'Base SKUs'!$E:$E,'Base SKUs'!H:H),"")</f>
        <v>S4S E4E</v>
      </c>
      <c r="O441" t="str">
        <f>IFERROR(_xlfn.XLOOKUP($A441,'Base SKUs'!$E:$E,'Base SKUs'!I:I),"")</f>
        <v>-</v>
      </c>
      <c r="P441" t="str">
        <f>IFERROR(_xlfn.XLOOKUP($A441,'Base SKUs'!$E:$E,'Base SKUs'!J:J),"")</f>
        <v>3x12</v>
      </c>
      <c r="Q441">
        <f>IFERROR(_xlfn.XLOOKUP($A441,'Base SKUs'!$E:$E,'Base SKUs'!K:K),"")</f>
        <v>8</v>
      </c>
      <c r="R441" s="7">
        <f>IFERROR(_xlfn.XLOOKUP($A441,'Base SKUs'!$E:$E,'Base SKUs'!S:S),"")</f>
        <v>4.42450728E-2</v>
      </c>
      <c r="S441" s="8">
        <f t="shared" si="32"/>
        <v>2.0352733488000001</v>
      </c>
      <c r="T441" s="7">
        <f>IFERROR(_xlfn.XLOOKUP($A441,'Base SKUs'!$E:$E,'Base SKUs'!R:R),"")</f>
        <v>180.81100000000001</v>
      </c>
      <c r="U441" s="15">
        <f t="shared" si="33"/>
        <v>368</v>
      </c>
      <c r="V441" t="str">
        <f t="shared" si="34"/>
        <v>Miami</v>
      </c>
    </row>
    <row r="442" spans="1:22" x14ac:dyDescent="0.2">
      <c r="A442" t="s">
        <v>677</v>
      </c>
      <c r="B442" s="5">
        <v>9</v>
      </c>
      <c r="C442" s="5">
        <v>0</v>
      </c>
      <c r="D442" s="5">
        <f t="shared" si="30"/>
        <v>9</v>
      </c>
      <c r="E442" s="6">
        <v>152.5478</v>
      </c>
      <c r="F442" s="6">
        <f t="shared" si="31"/>
        <v>1372.9302</v>
      </c>
      <c r="G442" t="s">
        <v>330</v>
      </c>
      <c r="H442">
        <v>9011</v>
      </c>
      <c r="I442" t="str">
        <f>IFERROR(_xlfn.XLOOKUP($A442,'Base SKUs'!$E:$E,'Base SKUs'!A:A),"")</f>
        <v>Ipe</v>
      </c>
      <c r="J442" t="str">
        <f>IFERROR(_xlfn.XLOOKUP($A442,'Base SKUs'!$E:$E,'Base SKUs'!B:B),"")</f>
        <v>Ipe 3x12</v>
      </c>
      <c r="K442" t="str">
        <f>IFERROR(_xlfn.XLOOKUP($A442,'Base SKUs'!$E:$E,'Base SKUs'!C:C),"")</f>
        <v>Long</v>
      </c>
      <c r="L442" t="str">
        <f>IFERROR(_xlfn.XLOOKUP($A442,'Base SKUs'!$E:$E,'Base SKUs'!D:D),"")</f>
        <v>Hardwoods</v>
      </c>
      <c r="M442" t="str">
        <f>IFERROR(_xlfn.XLOOKUP($A442,'Base SKUs'!$E:$E,'Base SKUs'!G:G),"")</f>
        <v>Ipe</v>
      </c>
      <c r="N442" t="str">
        <f>IFERROR(_xlfn.XLOOKUP($A442,'Base SKUs'!$E:$E,'Base SKUs'!H:H),"")</f>
        <v>S4S E4E</v>
      </c>
      <c r="O442" t="str">
        <f>IFERROR(_xlfn.XLOOKUP($A442,'Base SKUs'!$E:$E,'Base SKUs'!I:I),"")</f>
        <v>-</v>
      </c>
      <c r="P442" t="str">
        <f>IFERROR(_xlfn.XLOOKUP($A442,'Base SKUs'!$E:$E,'Base SKUs'!J:J),"")</f>
        <v>3x12</v>
      </c>
      <c r="Q442">
        <f>IFERROR(_xlfn.XLOOKUP($A442,'Base SKUs'!$E:$E,'Base SKUs'!K:K),"")</f>
        <v>8</v>
      </c>
      <c r="R442" s="7">
        <f>IFERROR(_xlfn.XLOOKUP($A442,'Base SKUs'!$E:$E,'Base SKUs'!S:S),"")</f>
        <v>4.42450728E-2</v>
      </c>
      <c r="S442" s="8">
        <f t="shared" si="32"/>
        <v>0.39820565520000001</v>
      </c>
      <c r="T442" s="7">
        <f>IFERROR(_xlfn.XLOOKUP($A442,'Base SKUs'!$E:$E,'Base SKUs'!R:R),"")</f>
        <v>180.81100000000001</v>
      </c>
      <c r="U442" s="15">
        <f t="shared" si="33"/>
        <v>72</v>
      </c>
      <c r="V442" t="str">
        <f t="shared" si="34"/>
        <v>New York</v>
      </c>
    </row>
    <row r="443" spans="1:22" x14ac:dyDescent="0.2">
      <c r="A443" t="s">
        <v>677</v>
      </c>
      <c r="B443" s="5">
        <v>3</v>
      </c>
      <c r="C443" s="5">
        <v>0</v>
      </c>
      <c r="D443" s="5">
        <f t="shared" si="30"/>
        <v>3</v>
      </c>
      <c r="E443" s="6">
        <v>152.5478</v>
      </c>
      <c r="F443" s="6">
        <f t="shared" si="31"/>
        <v>457.64339999999999</v>
      </c>
      <c r="G443" t="s">
        <v>454</v>
      </c>
      <c r="H443">
        <v>9013</v>
      </c>
      <c r="I443" t="str">
        <f>IFERROR(_xlfn.XLOOKUP($A443,'Base SKUs'!$E:$E,'Base SKUs'!A:A),"")</f>
        <v>Ipe</v>
      </c>
      <c r="J443" t="str">
        <f>IFERROR(_xlfn.XLOOKUP($A443,'Base SKUs'!$E:$E,'Base SKUs'!B:B),"")</f>
        <v>Ipe 3x12</v>
      </c>
      <c r="K443" t="str">
        <f>IFERROR(_xlfn.XLOOKUP($A443,'Base SKUs'!$E:$E,'Base SKUs'!C:C),"")</f>
        <v>Long</v>
      </c>
      <c r="L443" t="str">
        <f>IFERROR(_xlfn.XLOOKUP($A443,'Base SKUs'!$E:$E,'Base SKUs'!D:D),"")</f>
        <v>Hardwoods</v>
      </c>
      <c r="M443" t="str">
        <f>IFERROR(_xlfn.XLOOKUP($A443,'Base SKUs'!$E:$E,'Base SKUs'!G:G),"")</f>
        <v>Ipe</v>
      </c>
      <c r="N443" t="str">
        <f>IFERROR(_xlfn.XLOOKUP($A443,'Base SKUs'!$E:$E,'Base SKUs'!H:H),"")</f>
        <v>S4S E4E</v>
      </c>
      <c r="O443" t="str">
        <f>IFERROR(_xlfn.XLOOKUP($A443,'Base SKUs'!$E:$E,'Base SKUs'!I:I),"")</f>
        <v>-</v>
      </c>
      <c r="P443" t="str">
        <f>IFERROR(_xlfn.XLOOKUP($A443,'Base SKUs'!$E:$E,'Base SKUs'!J:J),"")</f>
        <v>3x12</v>
      </c>
      <c r="Q443">
        <f>IFERROR(_xlfn.XLOOKUP($A443,'Base SKUs'!$E:$E,'Base SKUs'!K:K),"")</f>
        <v>8</v>
      </c>
      <c r="R443" s="7">
        <f>IFERROR(_xlfn.XLOOKUP($A443,'Base SKUs'!$E:$E,'Base SKUs'!S:S),"")</f>
        <v>4.42450728E-2</v>
      </c>
      <c r="S443" s="8">
        <f t="shared" si="32"/>
        <v>0.13273521839999999</v>
      </c>
      <c r="T443" s="7">
        <f>IFERROR(_xlfn.XLOOKUP($A443,'Base SKUs'!$E:$E,'Base SKUs'!R:R),"")</f>
        <v>180.81100000000001</v>
      </c>
      <c r="U443" s="15">
        <f t="shared" si="33"/>
        <v>24</v>
      </c>
      <c r="V443" t="str">
        <f t="shared" si="34"/>
        <v>BS Riverside</v>
      </c>
    </row>
    <row r="444" spans="1:22" x14ac:dyDescent="0.2">
      <c r="A444" t="s">
        <v>679</v>
      </c>
      <c r="B444" s="5">
        <v>7</v>
      </c>
      <c r="C444" s="5">
        <v>0</v>
      </c>
      <c r="D444" s="5">
        <f t="shared" si="30"/>
        <v>7</v>
      </c>
      <c r="E444" s="6">
        <v>9.5500000000000007</v>
      </c>
      <c r="F444" s="6">
        <f t="shared" si="31"/>
        <v>66.850000000000009</v>
      </c>
      <c r="G444" t="s">
        <v>17</v>
      </c>
      <c r="H444">
        <v>9007</v>
      </c>
      <c r="I444" t="str">
        <f>IFERROR(_xlfn.XLOOKUP($A444,'Base SKUs'!$E:$E,'Base SKUs'!A:A),"")</f>
        <v>Ipe</v>
      </c>
      <c r="J444" t="str">
        <f>IFERROR(_xlfn.XLOOKUP($A444,'Base SKUs'!$E:$E,'Base SKUs'!B:B),"")</f>
        <v>Ipe 3x3</v>
      </c>
      <c r="K444" t="str">
        <f>IFERROR(_xlfn.XLOOKUP($A444,'Base SKUs'!$E:$E,'Base SKUs'!C:C),"")</f>
        <v>Long</v>
      </c>
      <c r="L444" t="str">
        <f>IFERROR(_xlfn.XLOOKUP($A444,'Base SKUs'!$E:$E,'Base SKUs'!D:D),"")</f>
        <v>Hardwoods</v>
      </c>
      <c r="M444" t="str">
        <f>IFERROR(_xlfn.XLOOKUP($A444,'Base SKUs'!$E:$E,'Base SKUs'!G:G),"")</f>
        <v>Ipe</v>
      </c>
      <c r="N444" t="str">
        <f>IFERROR(_xlfn.XLOOKUP($A444,'Base SKUs'!$E:$E,'Base SKUs'!H:H),"")</f>
        <v>S4S E4E</v>
      </c>
      <c r="O444" t="str">
        <f>IFERROR(_xlfn.XLOOKUP($A444,'Base SKUs'!$E:$E,'Base SKUs'!I:I),"")</f>
        <v>-</v>
      </c>
      <c r="P444" t="str">
        <f>IFERROR(_xlfn.XLOOKUP($A444,'Base SKUs'!$E:$E,'Base SKUs'!J:J),"")</f>
        <v>3x3</v>
      </c>
      <c r="Q444">
        <f>IFERROR(_xlfn.XLOOKUP($A444,'Base SKUs'!$E:$E,'Base SKUs'!K:K),"")</f>
        <v>18</v>
      </c>
      <c r="R444" s="7">
        <f>IFERROR(_xlfn.XLOOKUP($A444,'Base SKUs'!$E:$E,'Base SKUs'!S:S),"")</f>
        <v>2.2122536399999997E-2</v>
      </c>
      <c r="S444" s="8">
        <f t="shared" si="32"/>
        <v>0.15485775479999997</v>
      </c>
      <c r="T444" s="7">
        <f>IFERROR(_xlfn.XLOOKUP($A444,'Base SKUs'!$E:$E,'Base SKUs'!R:R),"")</f>
        <v>813.65</v>
      </c>
      <c r="U444" s="15">
        <f t="shared" si="33"/>
        <v>126</v>
      </c>
      <c r="V444" t="str">
        <f t="shared" si="34"/>
        <v>Miami</v>
      </c>
    </row>
    <row r="445" spans="1:22" x14ac:dyDescent="0.2">
      <c r="A445" t="s">
        <v>681</v>
      </c>
      <c r="B445" s="5">
        <v>12</v>
      </c>
      <c r="C445" s="5">
        <v>0</v>
      </c>
      <c r="D445" s="5">
        <f t="shared" si="30"/>
        <v>12</v>
      </c>
      <c r="E445" s="6">
        <v>106.26</v>
      </c>
      <c r="F445" s="6">
        <f t="shared" si="31"/>
        <v>1275.1200000000001</v>
      </c>
      <c r="G445" t="s">
        <v>330</v>
      </c>
      <c r="H445">
        <v>9011</v>
      </c>
      <c r="I445" t="str">
        <f>IFERROR(_xlfn.XLOOKUP($A445,'Base SKUs'!$E:$E,'Base SKUs'!A:A),"")</f>
        <v>Ipe</v>
      </c>
      <c r="J445" t="str">
        <f>IFERROR(_xlfn.XLOOKUP($A445,'Base SKUs'!$E:$E,'Base SKUs'!B:B),"")</f>
        <v>Ipe 3x6</v>
      </c>
      <c r="K445" t="str">
        <f>IFERROR(_xlfn.XLOOKUP($A445,'Base SKUs'!$E:$E,'Base SKUs'!C:C),"")</f>
        <v>Long</v>
      </c>
      <c r="L445" t="str">
        <f>IFERROR(_xlfn.XLOOKUP($A445,'Base SKUs'!$E:$E,'Base SKUs'!D:D),"")</f>
        <v>Hardwoods</v>
      </c>
      <c r="M445" t="str">
        <f>IFERROR(_xlfn.XLOOKUP($A445,'Base SKUs'!$E:$E,'Base SKUs'!G:G),"")</f>
        <v>Ipe</v>
      </c>
      <c r="N445" t="str">
        <f>IFERROR(_xlfn.XLOOKUP($A445,'Base SKUs'!$E:$E,'Base SKUs'!H:H),"")</f>
        <v>S4S E4E</v>
      </c>
      <c r="O445" t="str">
        <f>IFERROR(_xlfn.XLOOKUP($A445,'Base SKUs'!$E:$E,'Base SKUs'!I:I),"")</f>
        <v>-</v>
      </c>
      <c r="P445" t="str">
        <f>IFERROR(_xlfn.XLOOKUP($A445,'Base SKUs'!$E:$E,'Base SKUs'!J:J),"")</f>
        <v>3x6</v>
      </c>
      <c r="Q445">
        <f>IFERROR(_xlfn.XLOOKUP($A445,'Base SKUs'!$E:$E,'Base SKUs'!K:K),"")</f>
        <v>10</v>
      </c>
      <c r="R445" s="7">
        <f>IFERROR(_xlfn.XLOOKUP($A445,'Base SKUs'!$E:$E,'Base SKUs'!S:S),"")</f>
        <v>2.7038655599999999E-2</v>
      </c>
      <c r="S445" s="8">
        <f t="shared" si="32"/>
        <v>0.32446386719999998</v>
      </c>
      <c r="T445" s="7">
        <f>IFERROR(_xlfn.XLOOKUP($A445,'Base SKUs'!$E:$E,'Base SKUs'!R:R),"")</f>
        <v>369.84100000000001</v>
      </c>
      <c r="U445" s="15">
        <f t="shared" si="33"/>
        <v>120</v>
      </c>
      <c r="V445" t="str">
        <f t="shared" si="34"/>
        <v>New York</v>
      </c>
    </row>
    <row r="446" spans="1:22" x14ac:dyDescent="0.2">
      <c r="A446" t="s">
        <v>683</v>
      </c>
      <c r="B446" s="5">
        <v>24</v>
      </c>
      <c r="C446" s="5">
        <v>0</v>
      </c>
      <c r="D446" s="5">
        <f t="shared" si="30"/>
        <v>24</v>
      </c>
      <c r="E446" s="6">
        <v>105.36</v>
      </c>
      <c r="F446" s="6">
        <f t="shared" si="31"/>
        <v>2528.64</v>
      </c>
      <c r="G446" t="s">
        <v>17</v>
      </c>
      <c r="H446">
        <v>9007</v>
      </c>
      <c r="I446" t="str">
        <f>IFERROR(_xlfn.XLOOKUP($A446,'Base SKUs'!$E:$E,'Base SKUs'!A:A),"")</f>
        <v>Ipe</v>
      </c>
      <c r="J446" t="str">
        <f>IFERROR(_xlfn.XLOOKUP($A446,'Base SKUs'!$E:$E,'Base SKUs'!B:B),"")</f>
        <v>Ipe 3x6</v>
      </c>
      <c r="K446" t="str">
        <f>IFERROR(_xlfn.XLOOKUP($A446,'Base SKUs'!$E:$E,'Base SKUs'!C:C),"")</f>
        <v>Long</v>
      </c>
      <c r="L446" t="str">
        <f>IFERROR(_xlfn.XLOOKUP($A446,'Base SKUs'!$E:$E,'Base SKUs'!D:D),"")</f>
        <v>Hardwoods</v>
      </c>
      <c r="M446" t="str">
        <f>IFERROR(_xlfn.XLOOKUP($A446,'Base SKUs'!$E:$E,'Base SKUs'!G:G),"")</f>
        <v>Ipe</v>
      </c>
      <c r="N446" t="str">
        <f>IFERROR(_xlfn.XLOOKUP($A446,'Base SKUs'!$E:$E,'Base SKUs'!H:H),"")</f>
        <v>S4S E4E</v>
      </c>
      <c r="O446" t="str">
        <f>IFERROR(_xlfn.XLOOKUP($A446,'Base SKUs'!$E:$E,'Base SKUs'!I:I),"")</f>
        <v>-</v>
      </c>
      <c r="P446" t="str">
        <f>IFERROR(_xlfn.XLOOKUP($A446,'Base SKUs'!$E:$E,'Base SKUs'!J:J),"")</f>
        <v>3x6</v>
      </c>
      <c r="Q446">
        <f>IFERROR(_xlfn.XLOOKUP($A446,'Base SKUs'!$E:$E,'Base SKUs'!K:K),"")</f>
        <v>12</v>
      </c>
      <c r="R446" s="7">
        <f>IFERROR(_xlfn.XLOOKUP($A446,'Base SKUs'!$E:$E,'Base SKUs'!S:S),"")</f>
        <v>3.2446386719999998E-2</v>
      </c>
      <c r="S446" s="8">
        <f t="shared" si="32"/>
        <v>0.77871328127999995</v>
      </c>
      <c r="T446" s="7">
        <f>IFERROR(_xlfn.XLOOKUP($A446,'Base SKUs'!$E:$E,'Base SKUs'!R:R),"")</f>
        <v>369.84100000000001</v>
      </c>
      <c r="U446" s="15">
        <f t="shared" si="33"/>
        <v>288</v>
      </c>
      <c r="V446" t="str">
        <f t="shared" si="34"/>
        <v>Miami</v>
      </c>
    </row>
    <row r="447" spans="1:22" x14ac:dyDescent="0.2">
      <c r="A447" t="s">
        <v>685</v>
      </c>
      <c r="B447" s="5">
        <v>57</v>
      </c>
      <c r="C447" s="5">
        <v>0</v>
      </c>
      <c r="D447" s="5">
        <f t="shared" si="30"/>
        <v>57</v>
      </c>
      <c r="E447" s="6">
        <v>122.92</v>
      </c>
      <c r="F447" s="6">
        <f t="shared" si="31"/>
        <v>7006.4400000000005</v>
      </c>
      <c r="G447" t="s">
        <v>17</v>
      </c>
      <c r="H447">
        <v>9007</v>
      </c>
      <c r="I447" t="str">
        <f>IFERROR(_xlfn.XLOOKUP($A447,'Base SKUs'!$E:$E,'Base SKUs'!A:A),"")</f>
        <v>Ipe</v>
      </c>
      <c r="J447" t="str">
        <f>IFERROR(_xlfn.XLOOKUP($A447,'Base SKUs'!$E:$E,'Base SKUs'!B:B),"")</f>
        <v>Ipe 3x6</v>
      </c>
      <c r="K447" t="str">
        <f>IFERROR(_xlfn.XLOOKUP($A447,'Base SKUs'!$E:$E,'Base SKUs'!C:C),"")</f>
        <v>Long</v>
      </c>
      <c r="L447" t="str">
        <f>IFERROR(_xlfn.XLOOKUP($A447,'Base SKUs'!$E:$E,'Base SKUs'!D:D),"")</f>
        <v>Hardwoods</v>
      </c>
      <c r="M447" t="str">
        <f>IFERROR(_xlfn.XLOOKUP($A447,'Base SKUs'!$E:$E,'Base SKUs'!G:G),"")</f>
        <v>Ipe</v>
      </c>
      <c r="N447" t="str">
        <f>IFERROR(_xlfn.XLOOKUP($A447,'Base SKUs'!$E:$E,'Base SKUs'!H:H),"")</f>
        <v>S4S E4E</v>
      </c>
      <c r="O447" t="str">
        <f>IFERROR(_xlfn.XLOOKUP($A447,'Base SKUs'!$E:$E,'Base SKUs'!I:I),"")</f>
        <v>-</v>
      </c>
      <c r="P447" t="str">
        <f>IFERROR(_xlfn.XLOOKUP($A447,'Base SKUs'!$E:$E,'Base SKUs'!J:J),"")</f>
        <v>3x6</v>
      </c>
      <c r="Q447">
        <f>IFERROR(_xlfn.XLOOKUP($A447,'Base SKUs'!$E:$E,'Base SKUs'!K:K),"")</f>
        <v>14</v>
      </c>
      <c r="R447" s="7">
        <f>IFERROR(_xlfn.XLOOKUP($A447,'Base SKUs'!$E:$E,'Base SKUs'!S:S),"")</f>
        <v>3.7854117839999993E-2</v>
      </c>
      <c r="S447" s="8">
        <f t="shared" si="32"/>
        <v>2.1576847168799995</v>
      </c>
      <c r="T447" s="7">
        <f>IFERROR(_xlfn.XLOOKUP($A447,'Base SKUs'!$E:$E,'Base SKUs'!R:R),"")</f>
        <v>369.84100000000001</v>
      </c>
      <c r="U447" s="15">
        <f t="shared" si="33"/>
        <v>798</v>
      </c>
      <c r="V447" t="str">
        <f t="shared" si="34"/>
        <v>Miami</v>
      </c>
    </row>
    <row r="448" spans="1:22" x14ac:dyDescent="0.2">
      <c r="A448" t="s">
        <v>685</v>
      </c>
      <c r="B448" s="5">
        <v>33</v>
      </c>
      <c r="C448" s="5">
        <v>0</v>
      </c>
      <c r="D448" s="5">
        <f t="shared" si="30"/>
        <v>33</v>
      </c>
      <c r="E448" s="6">
        <v>148.69880000000001</v>
      </c>
      <c r="F448" s="6">
        <f t="shared" si="31"/>
        <v>4907.0604000000003</v>
      </c>
      <c r="G448" t="s">
        <v>330</v>
      </c>
      <c r="H448">
        <v>9011</v>
      </c>
      <c r="I448" t="str">
        <f>IFERROR(_xlfn.XLOOKUP($A448,'Base SKUs'!$E:$E,'Base SKUs'!A:A),"")</f>
        <v>Ipe</v>
      </c>
      <c r="J448" t="str">
        <f>IFERROR(_xlfn.XLOOKUP($A448,'Base SKUs'!$E:$E,'Base SKUs'!B:B),"")</f>
        <v>Ipe 3x6</v>
      </c>
      <c r="K448" t="str">
        <f>IFERROR(_xlfn.XLOOKUP($A448,'Base SKUs'!$E:$E,'Base SKUs'!C:C),"")</f>
        <v>Long</v>
      </c>
      <c r="L448" t="str">
        <f>IFERROR(_xlfn.XLOOKUP($A448,'Base SKUs'!$E:$E,'Base SKUs'!D:D),"")</f>
        <v>Hardwoods</v>
      </c>
      <c r="M448" t="str">
        <f>IFERROR(_xlfn.XLOOKUP($A448,'Base SKUs'!$E:$E,'Base SKUs'!G:G),"")</f>
        <v>Ipe</v>
      </c>
      <c r="N448" t="str">
        <f>IFERROR(_xlfn.XLOOKUP($A448,'Base SKUs'!$E:$E,'Base SKUs'!H:H),"")</f>
        <v>S4S E4E</v>
      </c>
      <c r="O448" t="str">
        <f>IFERROR(_xlfn.XLOOKUP($A448,'Base SKUs'!$E:$E,'Base SKUs'!I:I),"")</f>
        <v>-</v>
      </c>
      <c r="P448" t="str">
        <f>IFERROR(_xlfn.XLOOKUP($A448,'Base SKUs'!$E:$E,'Base SKUs'!J:J),"")</f>
        <v>3x6</v>
      </c>
      <c r="Q448">
        <f>IFERROR(_xlfn.XLOOKUP($A448,'Base SKUs'!$E:$E,'Base SKUs'!K:K),"")</f>
        <v>14</v>
      </c>
      <c r="R448" s="7">
        <f>IFERROR(_xlfn.XLOOKUP($A448,'Base SKUs'!$E:$E,'Base SKUs'!S:S),"")</f>
        <v>3.7854117839999993E-2</v>
      </c>
      <c r="S448" s="8">
        <f t="shared" si="32"/>
        <v>1.2491858887199998</v>
      </c>
      <c r="T448" s="7">
        <f>IFERROR(_xlfn.XLOOKUP($A448,'Base SKUs'!$E:$E,'Base SKUs'!R:R),"")</f>
        <v>369.84100000000001</v>
      </c>
      <c r="U448" s="15">
        <f t="shared" si="33"/>
        <v>462</v>
      </c>
      <c r="V448" t="str">
        <f t="shared" si="34"/>
        <v>New York</v>
      </c>
    </row>
    <row r="449" spans="1:22" x14ac:dyDescent="0.2">
      <c r="A449" t="s">
        <v>687</v>
      </c>
      <c r="B449" s="5">
        <v>31</v>
      </c>
      <c r="C449" s="5">
        <v>0</v>
      </c>
      <c r="D449" s="5">
        <f t="shared" si="30"/>
        <v>31</v>
      </c>
      <c r="E449" s="6">
        <v>140.47999999999999</v>
      </c>
      <c r="F449" s="6">
        <f t="shared" si="31"/>
        <v>4354.88</v>
      </c>
      <c r="G449" t="s">
        <v>17</v>
      </c>
      <c r="H449">
        <v>9007</v>
      </c>
      <c r="I449" t="str">
        <f>IFERROR(_xlfn.XLOOKUP($A449,'Base SKUs'!$E:$E,'Base SKUs'!A:A),"")</f>
        <v>Ipe</v>
      </c>
      <c r="J449" t="str">
        <f>IFERROR(_xlfn.XLOOKUP($A449,'Base SKUs'!$E:$E,'Base SKUs'!B:B),"")</f>
        <v>Ipe 3x6</v>
      </c>
      <c r="K449" t="str">
        <f>IFERROR(_xlfn.XLOOKUP($A449,'Base SKUs'!$E:$E,'Base SKUs'!C:C),"")</f>
        <v>Long</v>
      </c>
      <c r="L449" t="str">
        <f>IFERROR(_xlfn.XLOOKUP($A449,'Base SKUs'!$E:$E,'Base SKUs'!D:D),"")</f>
        <v>Hardwoods</v>
      </c>
      <c r="M449" t="str">
        <f>IFERROR(_xlfn.XLOOKUP($A449,'Base SKUs'!$E:$E,'Base SKUs'!G:G),"")</f>
        <v>Ipe</v>
      </c>
      <c r="N449" t="str">
        <f>IFERROR(_xlfn.XLOOKUP($A449,'Base SKUs'!$E:$E,'Base SKUs'!H:H),"")</f>
        <v>S4S E4E</v>
      </c>
      <c r="O449" t="str">
        <f>IFERROR(_xlfn.XLOOKUP($A449,'Base SKUs'!$E:$E,'Base SKUs'!I:I),"")</f>
        <v>-</v>
      </c>
      <c r="P449" t="str">
        <f>IFERROR(_xlfn.XLOOKUP($A449,'Base SKUs'!$E:$E,'Base SKUs'!J:J),"")</f>
        <v>3x6</v>
      </c>
      <c r="Q449">
        <f>IFERROR(_xlfn.XLOOKUP($A449,'Base SKUs'!$E:$E,'Base SKUs'!K:K),"")</f>
        <v>16</v>
      </c>
      <c r="R449" s="7">
        <f>IFERROR(_xlfn.XLOOKUP($A449,'Base SKUs'!$E:$E,'Base SKUs'!S:S),"")</f>
        <v>4.3261848960000002E-2</v>
      </c>
      <c r="S449" s="8">
        <f t="shared" si="32"/>
        <v>1.34111731776</v>
      </c>
      <c r="T449" s="7">
        <f>IFERROR(_xlfn.XLOOKUP($A449,'Base SKUs'!$E:$E,'Base SKUs'!R:R),"")</f>
        <v>369.84100000000001</v>
      </c>
      <c r="U449" s="15">
        <f t="shared" si="33"/>
        <v>496</v>
      </c>
      <c r="V449" t="str">
        <f t="shared" si="34"/>
        <v>Miami</v>
      </c>
    </row>
    <row r="450" spans="1:22" x14ac:dyDescent="0.2">
      <c r="A450" t="s">
        <v>687</v>
      </c>
      <c r="B450" s="5">
        <v>13</v>
      </c>
      <c r="C450" s="5">
        <v>0</v>
      </c>
      <c r="D450" s="5">
        <f t="shared" ref="D450:D513" si="35">B450-C450</f>
        <v>13</v>
      </c>
      <c r="E450" s="6">
        <v>169.88149999999999</v>
      </c>
      <c r="F450" s="6">
        <f t="shared" ref="F450:F513" si="36">B450*E450</f>
        <v>2208.4594999999999</v>
      </c>
      <c r="G450" t="s">
        <v>330</v>
      </c>
      <c r="H450">
        <v>9011</v>
      </c>
      <c r="I450" t="str">
        <f>IFERROR(_xlfn.XLOOKUP($A450,'Base SKUs'!$E:$E,'Base SKUs'!A:A),"")</f>
        <v>Ipe</v>
      </c>
      <c r="J450" t="str">
        <f>IFERROR(_xlfn.XLOOKUP($A450,'Base SKUs'!$E:$E,'Base SKUs'!B:B),"")</f>
        <v>Ipe 3x6</v>
      </c>
      <c r="K450" t="str">
        <f>IFERROR(_xlfn.XLOOKUP($A450,'Base SKUs'!$E:$E,'Base SKUs'!C:C),"")</f>
        <v>Long</v>
      </c>
      <c r="L450" t="str">
        <f>IFERROR(_xlfn.XLOOKUP($A450,'Base SKUs'!$E:$E,'Base SKUs'!D:D),"")</f>
        <v>Hardwoods</v>
      </c>
      <c r="M450" t="str">
        <f>IFERROR(_xlfn.XLOOKUP($A450,'Base SKUs'!$E:$E,'Base SKUs'!G:G),"")</f>
        <v>Ipe</v>
      </c>
      <c r="N450" t="str">
        <f>IFERROR(_xlfn.XLOOKUP($A450,'Base SKUs'!$E:$E,'Base SKUs'!H:H),"")</f>
        <v>S4S E4E</v>
      </c>
      <c r="O450" t="str">
        <f>IFERROR(_xlfn.XLOOKUP($A450,'Base SKUs'!$E:$E,'Base SKUs'!I:I),"")</f>
        <v>-</v>
      </c>
      <c r="P450" t="str">
        <f>IFERROR(_xlfn.XLOOKUP($A450,'Base SKUs'!$E:$E,'Base SKUs'!J:J),"")</f>
        <v>3x6</v>
      </c>
      <c r="Q450">
        <f>IFERROR(_xlfn.XLOOKUP($A450,'Base SKUs'!$E:$E,'Base SKUs'!K:K),"")</f>
        <v>16</v>
      </c>
      <c r="R450" s="7">
        <f>IFERROR(_xlfn.XLOOKUP($A450,'Base SKUs'!$E:$E,'Base SKUs'!S:S),"")</f>
        <v>4.3261848960000002E-2</v>
      </c>
      <c r="S450" s="8">
        <f t="shared" ref="S450:S513" si="37">IF(OR(L450="Saicos",L450="Oil",L450="US4",L450="Wood Table",L450="Woca",L450="Norx",N450="Tiles"),D450,D450*R450)</f>
        <v>0.56240403648000004</v>
      </c>
      <c r="T450" s="7">
        <f>IFERROR(_xlfn.XLOOKUP($A450,'Base SKUs'!$E:$E,'Base SKUs'!R:R),"")</f>
        <v>369.84100000000001</v>
      </c>
      <c r="U450" s="15">
        <f t="shared" ref="U450:U513" si="38">ROUND(IF(OR(L450="Saicos",L450="Oil",L450="US4",L450="Wood Table",L450="Woca",L450="Norx",N450="Tiles"),D450,S450*T450),0)</f>
        <v>208</v>
      </c>
      <c r="V450" t="str">
        <f t="shared" ref="V450:V513" si="39">IF(H450=9007,"Miami",IF(H450=9008,"Texas",IF(H450=9009,"Boston",IF(H450=9010,"BS Detroit",IF(H450=9011,"New York",IF(H450=9012,"HW Perris",IF(H450=9013,"BS Riverside",IF(H450=9014,"On the Way",IF(H450=9015,"Russin",IF(H450=9016,"Palm Beach",""))))))))))</f>
        <v>New York</v>
      </c>
    </row>
    <row r="451" spans="1:22" x14ac:dyDescent="0.2">
      <c r="A451" t="s">
        <v>689</v>
      </c>
      <c r="B451" s="5">
        <v>1</v>
      </c>
      <c r="C451" s="5">
        <v>0</v>
      </c>
      <c r="D451" s="5">
        <f t="shared" si="35"/>
        <v>1</v>
      </c>
      <c r="E451" s="6">
        <v>158.04</v>
      </c>
      <c r="F451" s="6">
        <f t="shared" si="36"/>
        <v>158.04</v>
      </c>
      <c r="G451" t="s">
        <v>17</v>
      </c>
      <c r="H451">
        <v>9007</v>
      </c>
      <c r="I451" t="str">
        <f>IFERROR(_xlfn.XLOOKUP($A451,'Base SKUs'!$E:$E,'Base SKUs'!A:A),"")</f>
        <v>Ipe</v>
      </c>
      <c r="J451" t="str">
        <f>IFERROR(_xlfn.XLOOKUP($A451,'Base SKUs'!$E:$E,'Base SKUs'!B:B),"")</f>
        <v>Ipe 3x6</v>
      </c>
      <c r="K451" t="str">
        <f>IFERROR(_xlfn.XLOOKUP($A451,'Base SKUs'!$E:$E,'Base SKUs'!C:C),"")</f>
        <v>Long</v>
      </c>
      <c r="L451" t="str">
        <f>IFERROR(_xlfn.XLOOKUP($A451,'Base SKUs'!$E:$E,'Base SKUs'!D:D),"")</f>
        <v>Hardwoods</v>
      </c>
      <c r="M451" t="str">
        <f>IFERROR(_xlfn.XLOOKUP($A451,'Base SKUs'!$E:$E,'Base SKUs'!G:G),"")</f>
        <v>Ipe</v>
      </c>
      <c r="N451" t="str">
        <f>IFERROR(_xlfn.XLOOKUP($A451,'Base SKUs'!$E:$E,'Base SKUs'!H:H),"")</f>
        <v>S4S E4E</v>
      </c>
      <c r="O451" t="str">
        <f>IFERROR(_xlfn.XLOOKUP($A451,'Base SKUs'!$E:$E,'Base SKUs'!I:I),"")</f>
        <v>-</v>
      </c>
      <c r="P451" t="str">
        <f>IFERROR(_xlfn.XLOOKUP($A451,'Base SKUs'!$E:$E,'Base SKUs'!J:J),"")</f>
        <v>3x6</v>
      </c>
      <c r="Q451">
        <f>IFERROR(_xlfn.XLOOKUP($A451,'Base SKUs'!$E:$E,'Base SKUs'!K:K),"")</f>
        <v>18</v>
      </c>
      <c r="R451" s="7">
        <f>IFERROR(_xlfn.XLOOKUP($A451,'Base SKUs'!$E:$E,'Base SKUs'!S:S),"")</f>
        <v>4.8669580079999997E-2</v>
      </c>
      <c r="S451" s="8">
        <f t="shared" si="37"/>
        <v>4.8669580079999997E-2</v>
      </c>
      <c r="T451" s="7">
        <f>IFERROR(_xlfn.XLOOKUP($A451,'Base SKUs'!$E:$E,'Base SKUs'!R:R),"")</f>
        <v>369.84100000000001</v>
      </c>
      <c r="U451" s="15">
        <f t="shared" si="38"/>
        <v>18</v>
      </c>
      <c r="V451" t="str">
        <f t="shared" si="39"/>
        <v>Miami</v>
      </c>
    </row>
    <row r="452" spans="1:22" x14ac:dyDescent="0.2">
      <c r="A452" t="s">
        <v>689</v>
      </c>
      <c r="B452" s="5">
        <v>94</v>
      </c>
      <c r="C452" s="5">
        <v>0</v>
      </c>
      <c r="D452" s="5">
        <f t="shared" si="35"/>
        <v>94</v>
      </c>
      <c r="E452" s="6">
        <v>191.1576</v>
      </c>
      <c r="F452" s="6">
        <f t="shared" si="36"/>
        <v>17968.814399999999</v>
      </c>
      <c r="G452" t="s">
        <v>330</v>
      </c>
      <c r="H452">
        <v>9011</v>
      </c>
      <c r="I452" t="str">
        <f>IFERROR(_xlfn.XLOOKUP($A452,'Base SKUs'!$E:$E,'Base SKUs'!A:A),"")</f>
        <v>Ipe</v>
      </c>
      <c r="J452" t="str">
        <f>IFERROR(_xlfn.XLOOKUP($A452,'Base SKUs'!$E:$E,'Base SKUs'!B:B),"")</f>
        <v>Ipe 3x6</v>
      </c>
      <c r="K452" t="str">
        <f>IFERROR(_xlfn.XLOOKUP($A452,'Base SKUs'!$E:$E,'Base SKUs'!C:C),"")</f>
        <v>Long</v>
      </c>
      <c r="L452" t="str">
        <f>IFERROR(_xlfn.XLOOKUP($A452,'Base SKUs'!$E:$E,'Base SKUs'!D:D),"")</f>
        <v>Hardwoods</v>
      </c>
      <c r="M452" t="str">
        <f>IFERROR(_xlfn.XLOOKUP($A452,'Base SKUs'!$E:$E,'Base SKUs'!G:G),"")</f>
        <v>Ipe</v>
      </c>
      <c r="N452" t="str">
        <f>IFERROR(_xlfn.XLOOKUP($A452,'Base SKUs'!$E:$E,'Base SKUs'!H:H),"")</f>
        <v>S4S E4E</v>
      </c>
      <c r="O452" t="str">
        <f>IFERROR(_xlfn.XLOOKUP($A452,'Base SKUs'!$E:$E,'Base SKUs'!I:I),"")</f>
        <v>-</v>
      </c>
      <c r="P452" t="str">
        <f>IFERROR(_xlfn.XLOOKUP($A452,'Base SKUs'!$E:$E,'Base SKUs'!J:J),"")</f>
        <v>3x6</v>
      </c>
      <c r="Q452">
        <f>IFERROR(_xlfn.XLOOKUP($A452,'Base SKUs'!$E:$E,'Base SKUs'!K:K),"")</f>
        <v>18</v>
      </c>
      <c r="R452" s="7">
        <f>IFERROR(_xlfn.XLOOKUP($A452,'Base SKUs'!$E:$E,'Base SKUs'!S:S),"")</f>
        <v>4.8669580079999997E-2</v>
      </c>
      <c r="S452" s="8">
        <f t="shared" si="37"/>
        <v>4.5749405275199999</v>
      </c>
      <c r="T452" s="7">
        <f>IFERROR(_xlfn.XLOOKUP($A452,'Base SKUs'!$E:$E,'Base SKUs'!R:R),"")</f>
        <v>369.84100000000001</v>
      </c>
      <c r="U452" s="15">
        <f t="shared" si="38"/>
        <v>1692</v>
      </c>
      <c r="V452" t="str">
        <f t="shared" si="39"/>
        <v>New York</v>
      </c>
    </row>
    <row r="453" spans="1:22" x14ac:dyDescent="0.2">
      <c r="A453" t="s">
        <v>691</v>
      </c>
      <c r="B453" s="5">
        <v>17</v>
      </c>
      <c r="C453" s="5">
        <v>0</v>
      </c>
      <c r="D453" s="5">
        <f t="shared" si="35"/>
        <v>17</v>
      </c>
      <c r="E453" s="6">
        <v>212.39709999999999</v>
      </c>
      <c r="F453" s="6">
        <f t="shared" si="36"/>
        <v>3610.7507000000001</v>
      </c>
      <c r="G453" t="s">
        <v>330</v>
      </c>
      <c r="H453">
        <v>9011</v>
      </c>
      <c r="I453" t="str">
        <f>IFERROR(_xlfn.XLOOKUP($A453,'Base SKUs'!$E:$E,'Base SKUs'!A:A),"")</f>
        <v>Ipe</v>
      </c>
      <c r="J453" t="str">
        <f>IFERROR(_xlfn.XLOOKUP($A453,'Base SKUs'!$E:$E,'Base SKUs'!B:B),"")</f>
        <v>Ipe 3x6</v>
      </c>
      <c r="K453" t="str">
        <f>IFERROR(_xlfn.XLOOKUP($A453,'Base SKUs'!$E:$E,'Base SKUs'!C:C),"")</f>
        <v>Long</v>
      </c>
      <c r="L453" t="str">
        <f>IFERROR(_xlfn.XLOOKUP($A453,'Base SKUs'!$E:$E,'Base SKUs'!D:D),"")</f>
        <v>Hardwoods</v>
      </c>
      <c r="M453" t="str">
        <f>IFERROR(_xlfn.XLOOKUP($A453,'Base SKUs'!$E:$E,'Base SKUs'!G:G),"")</f>
        <v>Ipe</v>
      </c>
      <c r="N453" t="str">
        <f>IFERROR(_xlfn.XLOOKUP($A453,'Base SKUs'!$E:$E,'Base SKUs'!H:H),"")</f>
        <v>S4S E4E</v>
      </c>
      <c r="O453" t="str">
        <f>IFERROR(_xlfn.XLOOKUP($A453,'Base SKUs'!$E:$E,'Base SKUs'!I:I),"")</f>
        <v>-</v>
      </c>
      <c r="P453" t="str">
        <f>IFERROR(_xlfn.XLOOKUP($A453,'Base SKUs'!$E:$E,'Base SKUs'!J:J),"")</f>
        <v>3x6</v>
      </c>
      <c r="Q453">
        <f>IFERROR(_xlfn.XLOOKUP($A453,'Base SKUs'!$E:$E,'Base SKUs'!K:K),"")</f>
        <v>20</v>
      </c>
      <c r="R453" s="7">
        <f>IFERROR(_xlfn.XLOOKUP($A453,'Base SKUs'!$E:$E,'Base SKUs'!S:S),"")</f>
        <v>5.4077311199999999E-2</v>
      </c>
      <c r="S453" s="8">
        <f t="shared" si="37"/>
        <v>0.91931429040000001</v>
      </c>
      <c r="T453" s="7">
        <f>IFERROR(_xlfn.XLOOKUP($A453,'Base SKUs'!$E:$E,'Base SKUs'!R:R),"")</f>
        <v>369.84100000000001</v>
      </c>
      <c r="U453" s="15">
        <f t="shared" si="38"/>
        <v>340</v>
      </c>
      <c r="V453" t="str">
        <f t="shared" si="39"/>
        <v>New York</v>
      </c>
    </row>
    <row r="454" spans="1:22" x14ac:dyDescent="0.2">
      <c r="A454" t="s">
        <v>693</v>
      </c>
      <c r="B454" s="5">
        <v>18</v>
      </c>
      <c r="C454" s="5">
        <v>0</v>
      </c>
      <c r="D454" s="5">
        <f t="shared" si="35"/>
        <v>18</v>
      </c>
      <c r="E454" s="6">
        <v>70.239999999999995</v>
      </c>
      <c r="F454" s="6">
        <f t="shared" si="36"/>
        <v>1264.32</v>
      </c>
      <c r="G454" t="s">
        <v>17</v>
      </c>
      <c r="H454">
        <v>9007</v>
      </c>
      <c r="I454" t="str">
        <f>IFERROR(_xlfn.XLOOKUP($A454,'Base SKUs'!$E:$E,'Base SKUs'!A:A),"")</f>
        <v>Ipe</v>
      </c>
      <c r="J454" t="str">
        <f>IFERROR(_xlfn.XLOOKUP($A454,'Base SKUs'!$E:$E,'Base SKUs'!B:B),"")</f>
        <v>Ipe 3x6</v>
      </c>
      <c r="K454" t="str">
        <f>IFERROR(_xlfn.XLOOKUP($A454,'Base SKUs'!$E:$E,'Base SKUs'!C:C),"")</f>
        <v>Long</v>
      </c>
      <c r="L454" t="str">
        <f>IFERROR(_xlfn.XLOOKUP($A454,'Base SKUs'!$E:$E,'Base SKUs'!D:D),"")</f>
        <v>Hardwoods</v>
      </c>
      <c r="M454" t="str">
        <f>IFERROR(_xlfn.XLOOKUP($A454,'Base SKUs'!$E:$E,'Base SKUs'!G:G),"")</f>
        <v>Ipe</v>
      </c>
      <c r="N454" t="str">
        <f>IFERROR(_xlfn.XLOOKUP($A454,'Base SKUs'!$E:$E,'Base SKUs'!H:H),"")</f>
        <v>S4S E4E</v>
      </c>
      <c r="O454" t="str">
        <f>IFERROR(_xlfn.XLOOKUP($A454,'Base SKUs'!$E:$E,'Base SKUs'!I:I),"")</f>
        <v>-</v>
      </c>
      <c r="P454" t="str">
        <f>IFERROR(_xlfn.XLOOKUP($A454,'Base SKUs'!$E:$E,'Base SKUs'!J:J),"")</f>
        <v>3x6</v>
      </c>
      <c r="Q454">
        <f>IFERROR(_xlfn.XLOOKUP($A454,'Base SKUs'!$E:$E,'Base SKUs'!K:K),"")</f>
        <v>8</v>
      </c>
      <c r="R454" s="7">
        <f>IFERROR(_xlfn.XLOOKUP($A454,'Base SKUs'!$E:$E,'Base SKUs'!S:S),"")</f>
        <v>2.1630924480000001E-2</v>
      </c>
      <c r="S454" s="8">
        <f t="shared" si="37"/>
        <v>0.38935664064000003</v>
      </c>
      <c r="T454" s="7">
        <f>IFERROR(_xlfn.XLOOKUP($A454,'Base SKUs'!$E:$E,'Base SKUs'!R:R),"")</f>
        <v>369.84100000000001</v>
      </c>
      <c r="U454" s="15">
        <f t="shared" si="38"/>
        <v>144</v>
      </c>
      <c r="V454" t="str">
        <f t="shared" si="39"/>
        <v>Miami</v>
      </c>
    </row>
    <row r="455" spans="1:22" x14ac:dyDescent="0.2">
      <c r="A455" t="s">
        <v>695</v>
      </c>
      <c r="B455" s="5">
        <v>82</v>
      </c>
      <c r="C455" s="5">
        <v>0</v>
      </c>
      <c r="D455" s="5">
        <f t="shared" si="35"/>
        <v>82</v>
      </c>
      <c r="E455" s="6">
        <v>122.9418</v>
      </c>
      <c r="F455" s="6">
        <f t="shared" si="36"/>
        <v>10081.2276</v>
      </c>
      <c r="G455" t="s">
        <v>17</v>
      </c>
      <c r="H455">
        <v>9007</v>
      </c>
      <c r="I455" t="str">
        <f>IFERROR(_xlfn.XLOOKUP($A455,'Base SKUs'!$E:$E,'Base SKUs'!A:A),"")</f>
        <v>Ipe</v>
      </c>
      <c r="J455" t="str">
        <f>IFERROR(_xlfn.XLOOKUP($A455,'Base SKUs'!$E:$E,'Base SKUs'!B:B),"")</f>
        <v>Ipe 3x8</v>
      </c>
      <c r="K455" t="str">
        <f>IFERROR(_xlfn.XLOOKUP($A455,'Base SKUs'!$E:$E,'Base SKUs'!C:C),"")</f>
        <v>Long</v>
      </c>
      <c r="L455" t="str">
        <f>IFERROR(_xlfn.XLOOKUP($A455,'Base SKUs'!$E:$E,'Base SKUs'!D:D),"")</f>
        <v>Hardwoods</v>
      </c>
      <c r="M455" t="str">
        <f>IFERROR(_xlfn.XLOOKUP($A455,'Base SKUs'!$E:$E,'Base SKUs'!G:G),"")</f>
        <v>Ipe</v>
      </c>
      <c r="N455" t="str">
        <f>IFERROR(_xlfn.XLOOKUP($A455,'Base SKUs'!$E:$E,'Base SKUs'!H:H),"")</f>
        <v>S4S E4E</v>
      </c>
      <c r="O455" t="str">
        <f>IFERROR(_xlfn.XLOOKUP($A455,'Base SKUs'!$E:$E,'Base SKUs'!I:I),"")</f>
        <v>-</v>
      </c>
      <c r="P455" t="str">
        <f>IFERROR(_xlfn.XLOOKUP($A455,'Base SKUs'!$E:$E,'Base SKUs'!J:J),"")</f>
        <v>3x8</v>
      </c>
      <c r="Q455">
        <f>IFERROR(_xlfn.XLOOKUP($A455,'Base SKUs'!$E:$E,'Base SKUs'!K:K),"")</f>
        <v>10</v>
      </c>
      <c r="R455" s="7">
        <f>IFERROR(_xlfn.XLOOKUP($A455,'Base SKUs'!$E:$E,'Base SKUs'!S:S),"")</f>
        <v>3.5641864199999998E-2</v>
      </c>
      <c r="S455" s="8">
        <f t="shared" si="37"/>
        <v>2.9226328643999997</v>
      </c>
      <c r="T455" s="7">
        <f>IFERROR(_xlfn.XLOOKUP($A455,'Base SKUs'!$E:$E,'Base SKUs'!R:R),"")</f>
        <v>280.56900000000002</v>
      </c>
      <c r="U455" s="15">
        <f t="shared" si="38"/>
        <v>820</v>
      </c>
      <c r="V455" t="str">
        <f t="shared" si="39"/>
        <v>Miami</v>
      </c>
    </row>
    <row r="456" spans="1:22" x14ac:dyDescent="0.2">
      <c r="A456" t="s">
        <v>695</v>
      </c>
      <c r="B456" s="5">
        <v>1</v>
      </c>
      <c r="C456" s="5">
        <v>0</v>
      </c>
      <c r="D456" s="5">
        <f t="shared" si="35"/>
        <v>1</v>
      </c>
      <c r="E456" s="6">
        <v>122.9418</v>
      </c>
      <c r="F456" s="6">
        <f t="shared" si="36"/>
        <v>122.9418</v>
      </c>
      <c r="G456" t="s">
        <v>330</v>
      </c>
      <c r="H456">
        <v>9011</v>
      </c>
      <c r="I456" t="str">
        <f>IFERROR(_xlfn.XLOOKUP($A456,'Base SKUs'!$E:$E,'Base SKUs'!A:A),"")</f>
        <v>Ipe</v>
      </c>
      <c r="J456" t="str">
        <f>IFERROR(_xlfn.XLOOKUP($A456,'Base SKUs'!$E:$E,'Base SKUs'!B:B),"")</f>
        <v>Ipe 3x8</v>
      </c>
      <c r="K456" t="str">
        <f>IFERROR(_xlfn.XLOOKUP($A456,'Base SKUs'!$E:$E,'Base SKUs'!C:C),"")</f>
        <v>Long</v>
      </c>
      <c r="L456" t="str">
        <f>IFERROR(_xlfn.XLOOKUP($A456,'Base SKUs'!$E:$E,'Base SKUs'!D:D),"")</f>
        <v>Hardwoods</v>
      </c>
      <c r="M456" t="str">
        <f>IFERROR(_xlfn.XLOOKUP($A456,'Base SKUs'!$E:$E,'Base SKUs'!G:G),"")</f>
        <v>Ipe</v>
      </c>
      <c r="N456" t="str">
        <f>IFERROR(_xlfn.XLOOKUP($A456,'Base SKUs'!$E:$E,'Base SKUs'!H:H),"")</f>
        <v>S4S E4E</v>
      </c>
      <c r="O456" t="str">
        <f>IFERROR(_xlfn.XLOOKUP($A456,'Base SKUs'!$E:$E,'Base SKUs'!I:I),"")</f>
        <v>-</v>
      </c>
      <c r="P456" t="str">
        <f>IFERROR(_xlfn.XLOOKUP($A456,'Base SKUs'!$E:$E,'Base SKUs'!J:J),"")</f>
        <v>3x8</v>
      </c>
      <c r="Q456">
        <f>IFERROR(_xlfn.XLOOKUP($A456,'Base SKUs'!$E:$E,'Base SKUs'!K:K),"")</f>
        <v>10</v>
      </c>
      <c r="R456" s="7">
        <f>IFERROR(_xlfn.XLOOKUP($A456,'Base SKUs'!$E:$E,'Base SKUs'!S:S),"")</f>
        <v>3.5641864199999998E-2</v>
      </c>
      <c r="S456" s="8">
        <f t="shared" si="37"/>
        <v>3.5641864199999998E-2</v>
      </c>
      <c r="T456" s="7">
        <f>IFERROR(_xlfn.XLOOKUP($A456,'Base SKUs'!$E:$E,'Base SKUs'!R:R),"")</f>
        <v>280.56900000000002</v>
      </c>
      <c r="U456" s="15">
        <f t="shared" si="38"/>
        <v>10</v>
      </c>
      <c r="V456" t="str">
        <f t="shared" si="39"/>
        <v>New York</v>
      </c>
    </row>
    <row r="457" spans="1:22" x14ac:dyDescent="0.2">
      <c r="A457" t="s">
        <v>695</v>
      </c>
      <c r="B457" s="5">
        <v>40</v>
      </c>
      <c r="C457" s="5">
        <v>0</v>
      </c>
      <c r="D457" s="5">
        <f t="shared" si="35"/>
        <v>40</v>
      </c>
      <c r="E457" s="6">
        <v>122.9418</v>
      </c>
      <c r="F457" s="6">
        <f t="shared" si="36"/>
        <v>4917.6720000000005</v>
      </c>
      <c r="G457" t="s">
        <v>454</v>
      </c>
      <c r="H457">
        <v>9013</v>
      </c>
      <c r="I457" t="str">
        <f>IFERROR(_xlfn.XLOOKUP($A457,'Base SKUs'!$E:$E,'Base SKUs'!A:A),"")</f>
        <v>Ipe</v>
      </c>
      <c r="J457" t="str">
        <f>IFERROR(_xlfn.XLOOKUP($A457,'Base SKUs'!$E:$E,'Base SKUs'!B:B),"")</f>
        <v>Ipe 3x8</v>
      </c>
      <c r="K457" t="str">
        <f>IFERROR(_xlfn.XLOOKUP($A457,'Base SKUs'!$E:$E,'Base SKUs'!C:C),"")</f>
        <v>Long</v>
      </c>
      <c r="L457" t="str">
        <f>IFERROR(_xlfn.XLOOKUP($A457,'Base SKUs'!$E:$E,'Base SKUs'!D:D),"")</f>
        <v>Hardwoods</v>
      </c>
      <c r="M457" t="str">
        <f>IFERROR(_xlfn.XLOOKUP($A457,'Base SKUs'!$E:$E,'Base SKUs'!G:G),"")</f>
        <v>Ipe</v>
      </c>
      <c r="N457" t="str">
        <f>IFERROR(_xlfn.XLOOKUP($A457,'Base SKUs'!$E:$E,'Base SKUs'!H:H),"")</f>
        <v>S4S E4E</v>
      </c>
      <c r="O457" t="str">
        <f>IFERROR(_xlfn.XLOOKUP($A457,'Base SKUs'!$E:$E,'Base SKUs'!I:I),"")</f>
        <v>-</v>
      </c>
      <c r="P457" t="str">
        <f>IFERROR(_xlfn.XLOOKUP($A457,'Base SKUs'!$E:$E,'Base SKUs'!J:J),"")</f>
        <v>3x8</v>
      </c>
      <c r="Q457">
        <f>IFERROR(_xlfn.XLOOKUP($A457,'Base SKUs'!$E:$E,'Base SKUs'!K:K),"")</f>
        <v>10</v>
      </c>
      <c r="R457" s="7">
        <f>IFERROR(_xlfn.XLOOKUP($A457,'Base SKUs'!$E:$E,'Base SKUs'!S:S),"")</f>
        <v>3.5641864199999998E-2</v>
      </c>
      <c r="S457" s="8">
        <f t="shared" si="37"/>
        <v>1.4256745679999998</v>
      </c>
      <c r="T457" s="7">
        <f>IFERROR(_xlfn.XLOOKUP($A457,'Base SKUs'!$E:$E,'Base SKUs'!R:R),"")</f>
        <v>280.56900000000002</v>
      </c>
      <c r="U457" s="15">
        <f t="shared" si="38"/>
        <v>400</v>
      </c>
      <c r="V457" t="str">
        <f t="shared" si="39"/>
        <v>BS Riverside</v>
      </c>
    </row>
    <row r="458" spans="1:22" x14ac:dyDescent="0.2">
      <c r="A458" t="s">
        <v>697</v>
      </c>
      <c r="B458" s="5">
        <v>26</v>
      </c>
      <c r="C458" s="5">
        <v>0</v>
      </c>
      <c r="D458" s="5">
        <f t="shared" si="35"/>
        <v>26</v>
      </c>
      <c r="E458" s="6">
        <v>147.52250000000001</v>
      </c>
      <c r="F458" s="6">
        <f t="shared" si="36"/>
        <v>3835.585</v>
      </c>
      <c r="G458" t="s">
        <v>17</v>
      </c>
      <c r="H458">
        <v>9007</v>
      </c>
      <c r="I458" t="str">
        <f>IFERROR(_xlfn.XLOOKUP($A458,'Base SKUs'!$E:$E,'Base SKUs'!A:A),"")</f>
        <v>Ipe</v>
      </c>
      <c r="J458" t="str">
        <f>IFERROR(_xlfn.XLOOKUP($A458,'Base SKUs'!$E:$E,'Base SKUs'!B:B),"")</f>
        <v>Ipe 3x8</v>
      </c>
      <c r="K458" t="str">
        <f>IFERROR(_xlfn.XLOOKUP($A458,'Base SKUs'!$E:$E,'Base SKUs'!C:C),"")</f>
        <v>Long</v>
      </c>
      <c r="L458" t="str">
        <f>IFERROR(_xlfn.XLOOKUP($A458,'Base SKUs'!$E:$E,'Base SKUs'!D:D),"")</f>
        <v>Hardwoods</v>
      </c>
      <c r="M458" t="str">
        <f>IFERROR(_xlfn.XLOOKUP($A458,'Base SKUs'!$E:$E,'Base SKUs'!G:G),"")</f>
        <v>Ipe</v>
      </c>
      <c r="N458" t="str">
        <f>IFERROR(_xlfn.XLOOKUP($A458,'Base SKUs'!$E:$E,'Base SKUs'!H:H),"")</f>
        <v>S4S E4E</v>
      </c>
      <c r="O458" t="str">
        <f>IFERROR(_xlfn.XLOOKUP($A458,'Base SKUs'!$E:$E,'Base SKUs'!I:I),"")</f>
        <v>-</v>
      </c>
      <c r="P458" t="str">
        <f>IFERROR(_xlfn.XLOOKUP($A458,'Base SKUs'!$E:$E,'Base SKUs'!J:J),"")</f>
        <v>3x8</v>
      </c>
      <c r="Q458">
        <f>IFERROR(_xlfn.XLOOKUP($A458,'Base SKUs'!$E:$E,'Base SKUs'!K:K),"")</f>
        <v>12</v>
      </c>
      <c r="R458" s="7">
        <f>IFERROR(_xlfn.XLOOKUP($A458,'Base SKUs'!$E:$E,'Base SKUs'!S:S),"")</f>
        <v>4.2770237040000006E-2</v>
      </c>
      <c r="S458" s="8">
        <f t="shared" si="37"/>
        <v>1.1120261630400001</v>
      </c>
      <c r="T458" s="7">
        <f>IFERROR(_xlfn.XLOOKUP($A458,'Base SKUs'!$E:$E,'Base SKUs'!R:R),"")</f>
        <v>280.56900000000002</v>
      </c>
      <c r="U458" s="15">
        <f t="shared" si="38"/>
        <v>312</v>
      </c>
      <c r="V458" t="str">
        <f t="shared" si="39"/>
        <v>Miami</v>
      </c>
    </row>
    <row r="459" spans="1:22" x14ac:dyDescent="0.2">
      <c r="A459" t="s">
        <v>697</v>
      </c>
      <c r="B459" s="5">
        <v>9</v>
      </c>
      <c r="C459" s="5">
        <v>0</v>
      </c>
      <c r="D459" s="5">
        <f t="shared" si="35"/>
        <v>9</v>
      </c>
      <c r="E459" s="6">
        <v>147.52250000000001</v>
      </c>
      <c r="F459" s="6">
        <f t="shared" si="36"/>
        <v>1327.7025000000001</v>
      </c>
      <c r="G459" t="s">
        <v>330</v>
      </c>
      <c r="H459">
        <v>9011</v>
      </c>
      <c r="I459" t="str">
        <f>IFERROR(_xlfn.XLOOKUP($A459,'Base SKUs'!$E:$E,'Base SKUs'!A:A),"")</f>
        <v>Ipe</v>
      </c>
      <c r="J459" t="str">
        <f>IFERROR(_xlfn.XLOOKUP($A459,'Base SKUs'!$E:$E,'Base SKUs'!B:B),"")</f>
        <v>Ipe 3x8</v>
      </c>
      <c r="K459" t="str">
        <f>IFERROR(_xlfn.XLOOKUP($A459,'Base SKUs'!$E:$E,'Base SKUs'!C:C),"")</f>
        <v>Long</v>
      </c>
      <c r="L459" t="str">
        <f>IFERROR(_xlfn.XLOOKUP($A459,'Base SKUs'!$E:$E,'Base SKUs'!D:D),"")</f>
        <v>Hardwoods</v>
      </c>
      <c r="M459" t="str">
        <f>IFERROR(_xlfn.XLOOKUP($A459,'Base SKUs'!$E:$E,'Base SKUs'!G:G),"")</f>
        <v>Ipe</v>
      </c>
      <c r="N459" t="str">
        <f>IFERROR(_xlfn.XLOOKUP($A459,'Base SKUs'!$E:$E,'Base SKUs'!H:H),"")</f>
        <v>S4S E4E</v>
      </c>
      <c r="O459" t="str">
        <f>IFERROR(_xlfn.XLOOKUP($A459,'Base SKUs'!$E:$E,'Base SKUs'!I:I),"")</f>
        <v>-</v>
      </c>
      <c r="P459" t="str">
        <f>IFERROR(_xlfn.XLOOKUP($A459,'Base SKUs'!$E:$E,'Base SKUs'!J:J),"")</f>
        <v>3x8</v>
      </c>
      <c r="Q459">
        <f>IFERROR(_xlfn.XLOOKUP($A459,'Base SKUs'!$E:$E,'Base SKUs'!K:K),"")</f>
        <v>12</v>
      </c>
      <c r="R459" s="7">
        <f>IFERROR(_xlfn.XLOOKUP($A459,'Base SKUs'!$E:$E,'Base SKUs'!S:S),"")</f>
        <v>4.2770237040000006E-2</v>
      </c>
      <c r="S459" s="8">
        <f t="shared" si="37"/>
        <v>0.38493213336000004</v>
      </c>
      <c r="T459" s="7">
        <f>IFERROR(_xlfn.XLOOKUP($A459,'Base SKUs'!$E:$E,'Base SKUs'!R:R),"")</f>
        <v>280.56900000000002</v>
      </c>
      <c r="U459" s="15">
        <f t="shared" si="38"/>
        <v>108</v>
      </c>
      <c r="V459" t="str">
        <f t="shared" si="39"/>
        <v>New York</v>
      </c>
    </row>
    <row r="460" spans="1:22" x14ac:dyDescent="0.2">
      <c r="A460" t="s">
        <v>697</v>
      </c>
      <c r="B460" s="5">
        <v>13</v>
      </c>
      <c r="C460" s="5">
        <v>0</v>
      </c>
      <c r="D460" s="5">
        <f t="shared" si="35"/>
        <v>13</v>
      </c>
      <c r="E460" s="6">
        <v>147.52250000000001</v>
      </c>
      <c r="F460" s="6">
        <f t="shared" si="36"/>
        <v>1917.7925</v>
      </c>
      <c r="G460" t="s">
        <v>454</v>
      </c>
      <c r="H460">
        <v>9013</v>
      </c>
      <c r="I460" t="str">
        <f>IFERROR(_xlfn.XLOOKUP($A460,'Base SKUs'!$E:$E,'Base SKUs'!A:A),"")</f>
        <v>Ipe</v>
      </c>
      <c r="J460" t="str">
        <f>IFERROR(_xlfn.XLOOKUP($A460,'Base SKUs'!$E:$E,'Base SKUs'!B:B),"")</f>
        <v>Ipe 3x8</v>
      </c>
      <c r="K460" t="str">
        <f>IFERROR(_xlfn.XLOOKUP($A460,'Base SKUs'!$E:$E,'Base SKUs'!C:C),"")</f>
        <v>Long</v>
      </c>
      <c r="L460" t="str">
        <f>IFERROR(_xlfn.XLOOKUP($A460,'Base SKUs'!$E:$E,'Base SKUs'!D:D),"")</f>
        <v>Hardwoods</v>
      </c>
      <c r="M460" t="str">
        <f>IFERROR(_xlfn.XLOOKUP($A460,'Base SKUs'!$E:$E,'Base SKUs'!G:G),"")</f>
        <v>Ipe</v>
      </c>
      <c r="N460" t="str">
        <f>IFERROR(_xlfn.XLOOKUP($A460,'Base SKUs'!$E:$E,'Base SKUs'!H:H),"")</f>
        <v>S4S E4E</v>
      </c>
      <c r="O460" t="str">
        <f>IFERROR(_xlfn.XLOOKUP($A460,'Base SKUs'!$E:$E,'Base SKUs'!I:I),"")</f>
        <v>-</v>
      </c>
      <c r="P460" t="str">
        <f>IFERROR(_xlfn.XLOOKUP($A460,'Base SKUs'!$E:$E,'Base SKUs'!J:J),"")</f>
        <v>3x8</v>
      </c>
      <c r="Q460">
        <f>IFERROR(_xlfn.XLOOKUP($A460,'Base SKUs'!$E:$E,'Base SKUs'!K:K),"")</f>
        <v>12</v>
      </c>
      <c r="R460" s="7">
        <f>IFERROR(_xlfn.XLOOKUP($A460,'Base SKUs'!$E:$E,'Base SKUs'!S:S),"")</f>
        <v>4.2770237040000006E-2</v>
      </c>
      <c r="S460" s="8">
        <f t="shared" si="37"/>
        <v>0.55601308152000006</v>
      </c>
      <c r="T460" s="7">
        <f>IFERROR(_xlfn.XLOOKUP($A460,'Base SKUs'!$E:$E,'Base SKUs'!R:R),"")</f>
        <v>280.56900000000002</v>
      </c>
      <c r="U460" s="15">
        <f t="shared" si="38"/>
        <v>156</v>
      </c>
      <c r="V460" t="str">
        <f t="shared" si="39"/>
        <v>BS Riverside</v>
      </c>
    </row>
    <row r="461" spans="1:22" x14ac:dyDescent="0.2">
      <c r="A461" t="s">
        <v>699</v>
      </c>
      <c r="B461" s="5">
        <v>80</v>
      </c>
      <c r="C461" s="5">
        <v>0</v>
      </c>
      <c r="D461" s="5">
        <f t="shared" si="35"/>
        <v>80</v>
      </c>
      <c r="E461" s="6">
        <v>172.06540000000001</v>
      </c>
      <c r="F461" s="6">
        <f t="shared" si="36"/>
        <v>13765.232</v>
      </c>
      <c r="G461" t="s">
        <v>330</v>
      </c>
      <c r="H461">
        <v>9011</v>
      </c>
      <c r="I461" t="str">
        <f>IFERROR(_xlfn.XLOOKUP($A461,'Base SKUs'!$E:$E,'Base SKUs'!A:A),"")</f>
        <v>Ipe</v>
      </c>
      <c r="J461" t="str">
        <f>IFERROR(_xlfn.XLOOKUP($A461,'Base SKUs'!$E:$E,'Base SKUs'!B:B),"")</f>
        <v>Ipe 3x8</v>
      </c>
      <c r="K461" t="str">
        <f>IFERROR(_xlfn.XLOOKUP($A461,'Base SKUs'!$E:$E,'Base SKUs'!C:C),"")</f>
        <v>Long</v>
      </c>
      <c r="L461" t="str">
        <f>IFERROR(_xlfn.XLOOKUP($A461,'Base SKUs'!$E:$E,'Base SKUs'!D:D),"")</f>
        <v>Hardwoods</v>
      </c>
      <c r="M461" t="str">
        <f>IFERROR(_xlfn.XLOOKUP($A461,'Base SKUs'!$E:$E,'Base SKUs'!G:G),"")</f>
        <v>Ipe</v>
      </c>
      <c r="N461" t="str">
        <f>IFERROR(_xlfn.XLOOKUP($A461,'Base SKUs'!$E:$E,'Base SKUs'!H:H),"")</f>
        <v>S4S E4E</v>
      </c>
      <c r="O461" t="str">
        <f>IFERROR(_xlfn.XLOOKUP($A461,'Base SKUs'!$E:$E,'Base SKUs'!I:I),"")</f>
        <v>-</v>
      </c>
      <c r="P461" t="str">
        <f>IFERROR(_xlfn.XLOOKUP($A461,'Base SKUs'!$E:$E,'Base SKUs'!J:J),"")</f>
        <v>3x8</v>
      </c>
      <c r="Q461">
        <f>IFERROR(_xlfn.XLOOKUP($A461,'Base SKUs'!$E:$E,'Base SKUs'!K:K),"")</f>
        <v>14</v>
      </c>
      <c r="R461" s="7">
        <f>IFERROR(_xlfn.XLOOKUP($A461,'Base SKUs'!$E:$E,'Base SKUs'!S:S),"")</f>
        <v>4.9898609879999993E-2</v>
      </c>
      <c r="S461" s="8">
        <f t="shared" si="37"/>
        <v>3.9918887903999996</v>
      </c>
      <c r="T461" s="7">
        <f>IFERROR(_xlfn.XLOOKUP($A461,'Base SKUs'!$E:$E,'Base SKUs'!R:R),"")</f>
        <v>280.56900000000002</v>
      </c>
      <c r="U461" s="15">
        <f t="shared" si="38"/>
        <v>1120</v>
      </c>
      <c r="V461" t="str">
        <f t="shared" si="39"/>
        <v>New York</v>
      </c>
    </row>
    <row r="462" spans="1:22" x14ac:dyDescent="0.2">
      <c r="A462" t="s">
        <v>699</v>
      </c>
      <c r="B462" s="5">
        <v>18</v>
      </c>
      <c r="C462" s="5">
        <v>0</v>
      </c>
      <c r="D462" s="5">
        <f t="shared" si="35"/>
        <v>18</v>
      </c>
      <c r="E462" s="6">
        <v>172.06540000000001</v>
      </c>
      <c r="F462" s="6">
        <f t="shared" si="36"/>
        <v>3097.1772000000001</v>
      </c>
      <c r="G462" t="s">
        <v>454</v>
      </c>
      <c r="H462">
        <v>9013</v>
      </c>
      <c r="I462" t="str">
        <f>IFERROR(_xlfn.XLOOKUP($A462,'Base SKUs'!$E:$E,'Base SKUs'!A:A),"")</f>
        <v>Ipe</v>
      </c>
      <c r="J462" t="str">
        <f>IFERROR(_xlfn.XLOOKUP($A462,'Base SKUs'!$E:$E,'Base SKUs'!B:B),"")</f>
        <v>Ipe 3x8</v>
      </c>
      <c r="K462" t="str">
        <f>IFERROR(_xlfn.XLOOKUP($A462,'Base SKUs'!$E:$E,'Base SKUs'!C:C),"")</f>
        <v>Long</v>
      </c>
      <c r="L462" t="str">
        <f>IFERROR(_xlfn.XLOOKUP($A462,'Base SKUs'!$E:$E,'Base SKUs'!D:D),"")</f>
        <v>Hardwoods</v>
      </c>
      <c r="M462" t="str">
        <f>IFERROR(_xlfn.XLOOKUP($A462,'Base SKUs'!$E:$E,'Base SKUs'!G:G),"")</f>
        <v>Ipe</v>
      </c>
      <c r="N462" t="str">
        <f>IFERROR(_xlfn.XLOOKUP($A462,'Base SKUs'!$E:$E,'Base SKUs'!H:H),"")</f>
        <v>S4S E4E</v>
      </c>
      <c r="O462" t="str">
        <f>IFERROR(_xlfn.XLOOKUP($A462,'Base SKUs'!$E:$E,'Base SKUs'!I:I),"")</f>
        <v>-</v>
      </c>
      <c r="P462" t="str">
        <f>IFERROR(_xlfn.XLOOKUP($A462,'Base SKUs'!$E:$E,'Base SKUs'!J:J),"")</f>
        <v>3x8</v>
      </c>
      <c r="Q462">
        <f>IFERROR(_xlfn.XLOOKUP($A462,'Base SKUs'!$E:$E,'Base SKUs'!K:K),"")</f>
        <v>14</v>
      </c>
      <c r="R462" s="7">
        <f>IFERROR(_xlfn.XLOOKUP($A462,'Base SKUs'!$E:$E,'Base SKUs'!S:S),"")</f>
        <v>4.9898609879999993E-2</v>
      </c>
      <c r="S462" s="8">
        <f t="shared" si="37"/>
        <v>0.89817497783999989</v>
      </c>
      <c r="T462" s="7">
        <f>IFERROR(_xlfn.XLOOKUP($A462,'Base SKUs'!$E:$E,'Base SKUs'!R:R),"")</f>
        <v>280.56900000000002</v>
      </c>
      <c r="U462" s="15">
        <f t="shared" si="38"/>
        <v>252</v>
      </c>
      <c r="V462" t="str">
        <f t="shared" si="39"/>
        <v>BS Riverside</v>
      </c>
    </row>
    <row r="463" spans="1:22" x14ac:dyDescent="0.2">
      <c r="A463" t="s">
        <v>701</v>
      </c>
      <c r="B463" s="5">
        <v>35</v>
      </c>
      <c r="C463" s="5">
        <v>0</v>
      </c>
      <c r="D463" s="5">
        <f t="shared" si="35"/>
        <v>35</v>
      </c>
      <c r="E463" s="6">
        <v>196.65729999999999</v>
      </c>
      <c r="F463" s="6">
        <f t="shared" si="36"/>
        <v>6883.0054999999993</v>
      </c>
      <c r="G463" t="s">
        <v>330</v>
      </c>
      <c r="H463">
        <v>9011</v>
      </c>
      <c r="I463" t="str">
        <f>IFERROR(_xlfn.XLOOKUP($A463,'Base SKUs'!$E:$E,'Base SKUs'!A:A),"")</f>
        <v>Ipe</v>
      </c>
      <c r="J463" t="str">
        <f>IFERROR(_xlfn.XLOOKUP($A463,'Base SKUs'!$E:$E,'Base SKUs'!B:B),"")</f>
        <v>Ipe 3x8</v>
      </c>
      <c r="K463" t="str">
        <f>IFERROR(_xlfn.XLOOKUP($A463,'Base SKUs'!$E:$E,'Base SKUs'!C:C),"")</f>
        <v>Long</v>
      </c>
      <c r="L463" t="str">
        <f>IFERROR(_xlfn.XLOOKUP($A463,'Base SKUs'!$E:$E,'Base SKUs'!D:D),"")</f>
        <v>Hardwoods</v>
      </c>
      <c r="M463" t="str">
        <f>IFERROR(_xlfn.XLOOKUP($A463,'Base SKUs'!$E:$E,'Base SKUs'!G:G),"")</f>
        <v>Ipe</v>
      </c>
      <c r="N463" t="str">
        <f>IFERROR(_xlfn.XLOOKUP($A463,'Base SKUs'!$E:$E,'Base SKUs'!H:H),"")</f>
        <v>S4S E4E</v>
      </c>
      <c r="O463" t="str">
        <f>IFERROR(_xlfn.XLOOKUP($A463,'Base SKUs'!$E:$E,'Base SKUs'!I:I),"")</f>
        <v>-</v>
      </c>
      <c r="P463" t="str">
        <f>IFERROR(_xlfn.XLOOKUP($A463,'Base SKUs'!$E:$E,'Base SKUs'!J:J),"")</f>
        <v>3x8</v>
      </c>
      <c r="Q463">
        <f>IFERROR(_xlfn.XLOOKUP($A463,'Base SKUs'!$E:$E,'Base SKUs'!K:K),"")</f>
        <v>16</v>
      </c>
      <c r="R463" s="7">
        <f>IFERROR(_xlfn.XLOOKUP($A463,'Base SKUs'!$E:$E,'Base SKUs'!S:S),"")</f>
        <v>5.7026982720000008E-2</v>
      </c>
      <c r="S463" s="8">
        <f t="shared" si="37"/>
        <v>1.9959443952000002</v>
      </c>
      <c r="T463" s="7">
        <f>IFERROR(_xlfn.XLOOKUP($A463,'Base SKUs'!$E:$E,'Base SKUs'!R:R),"")</f>
        <v>280.56900000000002</v>
      </c>
      <c r="U463" s="15">
        <f t="shared" si="38"/>
        <v>560</v>
      </c>
      <c r="V463" t="str">
        <f t="shared" si="39"/>
        <v>New York</v>
      </c>
    </row>
    <row r="464" spans="1:22" x14ac:dyDescent="0.2">
      <c r="A464" t="s">
        <v>703</v>
      </c>
      <c r="B464" s="5">
        <v>24</v>
      </c>
      <c r="C464" s="5">
        <v>0</v>
      </c>
      <c r="D464" s="5">
        <f t="shared" si="35"/>
        <v>24</v>
      </c>
      <c r="E464" s="6">
        <v>221.2467</v>
      </c>
      <c r="F464" s="6">
        <f t="shared" si="36"/>
        <v>5309.9207999999999</v>
      </c>
      <c r="G464" t="s">
        <v>17</v>
      </c>
      <c r="H464">
        <v>9007</v>
      </c>
      <c r="I464" t="str">
        <f>IFERROR(_xlfn.XLOOKUP($A464,'Base SKUs'!$E:$E,'Base SKUs'!A:A),"")</f>
        <v>Ipe</v>
      </c>
      <c r="J464" t="str">
        <f>IFERROR(_xlfn.XLOOKUP($A464,'Base SKUs'!$E:$E,'Base SKUs'!B:B),"")</f>
        <v>Ipe 3x8</v>
      </c>
      <c r="K464" t="str">
        <f>IFERROR(_xlfn.XLOOKUP($A464,'Base SKUs'!$E:$E,'Base SKUs'!C:C),"")</f>
        <v>Long</v>
      </c>
      <c r="L464" t="str">
        <f>IFERROR(_xlfn.XLOOKUP($A464,'Base SKUs'!$E:$E,'Base SKUs'!D:D),"")</f>
        <v>Hardwoods</v>
      </c>
      <c r="M464" t="str">
        <f>IFERROR(_xlfn.XLOOKUP($A464,'Base SKUs'!$E:$E,'Base SKUs'!G:G),"")</f>
        <v>Ipe</v>
      </c>
      <c r="N464" t="str">
        <f>IFERROR(_xlfn.XLOOKUP($A464,'Base SKUs'!$E:$E,'Base SKUs'!H:H),"")</f>
        <v>S4S E4E</v>
      </c>
      <c r="O464" t="str">
        <f>IFERROR(_xlfn.XLOOKUP($A464,'Base SKUs'!$E:$E,'Base SKUs'!I:I),"")</f>
        <v>-</v>
      </c>
      <c r="P464" t="str">
        <f>IFERROR(_xlfn.XLOOKUP($A464,'Base SKUs'!$E:$E,'Base SKUs'!J:J),"")</f>
        <v>3x8</v>
      </c>
      <c r="Q464">
        <f>IFERROR(_xlfn.XLOOKUP($A464,'Base SKUs'!$E:$E,'Base SKUs'!K:K),"")</f>
        <v>18</v>
      </c>
      <c r="R464" s="7">
        <f>IFERROR(_xlfn.XLOOKUP($A464,'Base SKUs'!$E:$E,'Base SKUs'!S:S),"")</f>
        <v>6.4155355560000002E-2</v>
      </c>
      <c r="S464" s="8">
        <f t="shared" si="37"/>
        <v>1.5397285334399999</v>
      </c>
      <c r="T464" s="7">
        <f>IFERROR(_xlfn.XLOOKUP($A464,'Base SKUs'!$E:$E,'Base SKUs'!R:R),"")</f>
        <v>280.56900000000002</v>
      </c>
      <c r="U464" s="15">
        <f t="shared" si="38"/>
        <v>432</v>
      </c>
      <c r="V464" t="str">
        <f t="shared" si="39"/>
        <v>Miami</v>
      </c>
    </row>
    <row r="465" spans="1:22" x14ac:dyDescent="0.2">
      <c r="A465" t="s">
        <v>703</v>
      </c>
      <c r="B465" s="5">
        <v>77</v>
      </c>
      <c r="C465" s="5">
        <v>0</v>
      </c>
      <c r="D465" s="5">
        <f t="shared" si="35"/>
        <v>77</v>
      </c>
      <c r="E465" s="6">
        <v>221.2467</v>
      </c>
      <c r="F465" s="6">
        <f t="shared" si="36"/>
        <v>17035.995900000002</v>
      </c>
      <c r="G465" t="s">
        <v>330</v>
      </c>
      <c r="H465">
        <v>9011</v>
      </c>
      <c r="I465" t="str">
        <f>IFERROR(_xlfn.XLOOKUP($A465,'Base SKUs'!$E:$E,'Base SKUs'!A:A),"")</f>
        <v>Ipe</v>
      </c>
      <c r="J465" t="str">
        <f>IFERROR(_xlfn.XLOOKUP($A465,'Base SKUs'!$E:$E,'Base SKUs'!B:B),"")</f>
        <v>Ipe 3x8</v>
      </c>
      <c r="K465" t="str">
        <f>IFERROR(_xlfn.XLOOKUP($A465,'Base SKUs'!$E:$E,'Base SKUs'!C:C),"")</f>
        <v>Long</v>
      </c>
      <c r="L465" t="str">
        <f>IFERROR(_xlfn.XLOOKUP($A465,'Base SKUs'!$E:$E,'Base SKUs'!D:D),"")</f>
        <v>Hardwoods</v>
      </c>
      <c r="M465" t="str">
        <f>IFERROR(_xlfn.XLOOKUP($A465,'Base SKUs'!$E:$E,'Base SKUs'!G:G),"")</f>
        <v>Ipe</v>
      </c>
      <c r="N465" t="str">
        <f>IFERROR(_xlfn.XLOOKUP($A465,'Base SKUs'!$E:$E,'Base SKUs'!H:H),"")</f>
        <v>S4S E4E</v>
      </c>
      <c r="O465" t="str">
        <f>IFERROR(_xlfn.XLOOKUP($A465,'Base SKUs'!$E:$E,'Base SKUs'!I:I),"")</f>
        <v>-</v>
      </c>
      <c r="P465" t="str">
        <f>IFERROR(_xlfn.XLOOKUP($A465,'Base SKUs'!$E:$E,'Base SKUs'!J:J),"")</f>
        <v>3x8</v>
      </c>
      <c r="Q465">
        <f>IFERROR(_xlfn.XLOOKUP($A465,'Base SKUs'!$E:$E,'Base SKUs'!K:K),"")</f>
        <v>18</v>
      </c>
      <c r="R465" s="7">
        <f>IFERROR(_xlfn.XLOOKUP($A465,'Base SKUs'!$E:$E,'Base SKUs'!S:S),"")</f>
        <v>6.4155355560000002E-2</v>
      </c>
      <c r="S465" s="8">
        <f t="shared" si="37"/>
        <v>4.9399623781199997</v>
      </c>
      <c r="T465" s="7">
        <f>IFERROR(_xlfn.XLOOKUP($A465,'Base SKUs'!$E:$E,'Base SKUs'!R:R),"")</f>
        <v>280.56900000000002</v>
      </c>
      <c r="U465" s="15">
        <f t="shared" si="38"/>
        <v>1386</v>
      </c>
      <c r="V465" t="str">
        <f t="shared" si="39"/>
        <v>New York</v>
      </c>
    </row>
    <row r="466" spans="1:22" x14ac:dyDescent="0.2">
      <c r="A466" t="s">
        <v>703</v>
      </c>
      <c r="B466" s="5">
        <v>29</v>
      </c>
      <c r="C466" s="5">
        <v>0</v>
      </c>
      <c r="D466" s="5">
        <f t="shared" si="35"/>
        <v>29</v>
      </c>
      <c r="E466" s="6">
        <v>221.2467</v>
      </c>
      <c r="F466" s="6">
        <f t="shared" si="36"/>
        <v>6416.1543000000001</v>
      </c>
      <c r="G466" t="s">
        <v>454</v>
      </c>
      <c r="H466">
        <v>9013</v>
      </c>
      <c r="I466" t="str">
        <f>IFERROR(_xlfn.XLOOKUP($A466,'Base SKUs'!$E:$E,'Base SKUs'!A:A),"")</f>
        <v>Ipe</v>
      </c>
      <c r="J466" t="str">
        <f>IFERROR(_xlfn.XLOOKUP($A466,'Base SKUs'!$E:$E,'Base SKUs'!B:B),"")</f>
        <v>Ipe 3x8</v>
      </c>
      <c r="K466" t="str">
        <f>IFERROR(_xlfn.XLOOKUP($A466,'Base SKUs'!$E:$E,'Base SKUs'!C:C),"")</f>
        <v>Long</v>
      </c>
      <c r="L466" t="str">
        <f>IFERROR(_xlfn.XLOOKUP($A466,'Base SKUs'!$E:$E,'Base SKUs'!D:D),"")</f>
        <v>Hardwoods</v>
      </c>
      <c r="M466" t="str">
        <f>IFERROR(_xlfn.XLOOKUP($A466,'Base SKUs'!$E:$E,'Base SKUs'!G:G),"")</f>
        <v>Ipe</v>
      </c>
      <c r="N466" t="str">
        <f>IFERROR(_xlfn.XLOOKUP($A466,'Base SKUs'!$E:$E,'Base SKUs'!H:H),"")</f>
        <v>S4S E4E</v>
      </c>
      <c r="O466" t="str">
        <f>IFERROR(_xlfn.XLOOKUP($A466,'Base SKUs'!$E:$E,'Base SKUs'!I:I),"")</f>
        <v>-</v>
      </c>
      <c r="P466" t="str">
        <f>IFERROR(_xlfn.XLOOKUP($A466,'Base SKUs'!$E:$E,'Base SKUs'!J:J),"")</f>
        <v>3x8</v>
      </c>
      <c r="Q466">
        <f>IFERROR(_xlfn.XLOOKUP($A466,'Base SKUs'!$E:$E,'Base SKUs'!K:K),"")</f>
        <v>18</v>
      </c>
      <c r="R466" s="7">
        <f>IFERROR(_xlfn.XLOOKUP($A466,'Base SKUs'!$E:$E,'Base SKUs'!S:S),"")</f>
        <v>6.4155355560000002E-2</v>
      </c>
      <c r="S466" s="8">
        <f t="shared" si="37"/>
        <v>1.8605053112400001</v>
      </c>
      <c r="T466" s="7">
        <f>IFERROR(_xlfn.XLOOKUP($A466,'Base SKUs'!$E:$E,'Base SKUs'!R:R),"")</f>
        <v>280.56900000000002</v>
      </c>
      <c r="U466" s="15">
        <f t="shared" si="38"/>
        <v>522</v>
      </c>
      <c r="V466" t="str">
        <f t="shared" si="39"/>
        <v>BS Riverside</v>
      </c>
    </row>
    <row r="467" spans="1:22" x14ac:dyDescent="0.2">
      <c r="A467" t="s">
        <v>705</v>
      </c>
      <c r="B467" s="5">
        <v>5</v>
      </c>
      <c r="C467" s="5">
        <v>0</v>
      </c>
      <c r="D467" s="5">
        <f t="shared" si="35"/>
        <v>5</v>
      </c>
      <c r="E467" s="6">
        <v>245.7329</v>
      </c>
      <c r="F467" s="6">
        <f t="shared" si="36"/>
        <v>1228.6645000000001</v>
      </c>
      <c r="G467" t="s">
        <v>17</v>
      </c>
      <c r="H467">
        <v>9007</v>
      </c>
      <c r="I467" t="str">
        <f>IFERROR(_xlfn.XLOOKUP($A467,'Base SKUs'!$E:$E,'Base SKUs'!A:A),"")</f>
        <v>Ipe</v>
      </c>
      <c r="J467" t="str">
        <f>IFERROR(_xlfn.XLOOKUP($A467,'Base SKUs'!$E:$E,'Base SKUs'!B:B),"")</f>
        <v>Ipe 3x8</v>
      </c>
      <c r="K467" t="str">
        <f>IFERROR(_xlfn.XLOOKUP($A467,'Base SKUs'!$E:$E,'Base SKUs'!C:C),"")</f>
        <v>Long</v>
      </c>
      <c r="L467" t="str">
        <f>IFERROR(_xlfn.XLOOKUP($A467,'Base SKUs'!$E:$E,'Base SKUs'!D:D),"")</f>
        <v>Hardwoods</v>
      </c>
      <c r="M467" t="str">
        <f>IFERROR(_xlfn.XLOOKUP($A467,'Base SKUs'!$E:$E,'Base SKUs'!G:G),"")</f>
        <v>Ipe</v>
      </c>
      <c r="N467" t="str">
        <f>IFERROR(_xlfn.XLOOKUP($A467,'Base SKUs'!$E:$E,'Base SKUs'!H:H),"")</f>
        <v>S4S E4E</v>
      </c>
      <c r="O467" t="str">
        <f>IFERROR(_xlfn.XLOOKUP($A467,'Base SKUs'!$E:$E,'Base SKUs'!I:I),"")</f>
        <v>-</v>
      </c>
      <c r="P467" t="str">
        <f>IFERROR(_xlfn.XLOOKUP($A467,'Base SKUs'!$E:$E,'Base SKUs'!J:J),"")</f>
        <v>3x8</v>
      </c>
      <c r="Q467">
        <f>IFERROR(_xlfn.XLOOKUP($A467,'Base SKUs'!$E:$E,'Base SKUs'!K:K),"")</f>
        <v>20</v>
      </c>
      <c r="R467" s="7">
        <f>IFERROR(_xlfn.XLOOKUP($A467,'Base SKUs'!$E:$E,'Base SKUs'!S:S),"")</f>
        <v>7.1283728399999996E-2</v>
      </c>
      <c r="S467" s="8">
        <f t="shared" si="37"/>
        <v>0.35641864199999995</v>
      </c>
      <c r="T467" s="7">
        <f>IFERROR(_xlfn.XLOOKUP($A467,'Base SKUs'!$E:$E,'Base SKUs'!R:R),"")</f>
        <v>280.56900000000002</v>
      </c>
      <c r="U467" s="15">
        <f t="shared" si="38"/>
        <v>100</v>
      </c>
      <c r="V467" t="str">
        <f t="shared" si="39"/>
        <v>Miami</v>
      </c>
    </row>
    <row r="468" spans="1:22" x14ac:dyDescent="0.2">
      <c r="A468" t="s">
        <v>705</v>
      </c>
      <c r="B468" s="5">
        <v>84</v>
      </c>
      <c r="C468" s="5">
        <v>0</v>
      </c>
      <c r="D468" s="5">
        <f t="shared" si="35"/>
        <v>84</v>
      </c>
      <c r="E468" s="6">
        <v>245.7329</v>
      </c>
      <c r="F468" s="6">
        <f t="shared" si="36"/>
        <v>20641.563600000001</v>
      </c>
      <c r="G468" t="s">
        <v>330</v>
      </c>
      <c r="H468">
        <v>9011</v>
      </c>
      <c r="I468" t="str">
        <f>IFERROR(_xlfn.XLOOKUP($A468,'Base SKUs'!$E:$E,'Base SKUs'!A:A),"")</f>
        <v>Ipe</v>
      </c>
      <c r="J468" t="str">
        <f>IFERROR(_xlfn.XLOOKUP($A468,'Base SKUs'!$E:$E,'Base SKUs'!B:B),"")</f>
        <v>Ipe 3x8</v>
      </c>
      <c r="K468" t="str">
        <f>IFERROR(_xlfn.XLOOKUP($A468,'Base SKUs'!$E:$E,'Base SKUs'!C:C),"")</f>
        <v>Long</v>
      </c>
      <c r="L468" t="str">
        <f>IFERROR(_xlfn.XLOOKUP($A468,'Base SKUs'!$E:$E,'Base SKUs'!D:D),"")</f>
        <v>Hardwoods</v>
      </c>
      <c r="M468" t="str">
        <f>IFERROR(_xlfn.XLOOKUP($A468,'Base SKUs'!$E:$E,'Base SKUs'!G:G),"")</f>
        <v>Ipe</v>
      </c>
      <c r="N468" t="str">
        <f>IFERROR(_xlfn.XLOOKUP($A468,'Base SKUs'!$E:$E,'Base SKUs'!H:H),"")</f>
        <v>S4S E4E</v>
      </c>
      <c r="O468" t="str">
        <f>IFERROR(_xlfn.XLOOKUP($A468,'Base SKUs'!$E:$E,'Base SKUs'!I:I),"")</f>
        <v>-</v>
      </c>
      <c r="P468" t="str">
        <f>IFERROR(_xlfn.XLOOKUP($A468,'Base SKUs'!$E:$E,'Base SKUs'!J:J),"")</f>
        <v>3x8</v>
      </c>
      <c r="Q468">
        <f>IFERROR(_xlfn.XLOOKUP($A468,'Base SKUs'!$E:$E,'Base SKUs'!K:K),"")</f>
        <v>20</v>
      </c>
      <c r="R468" s="7">
        <f>IFERROR(_xlfn.XLOOKUP($A468,'Base SKUs'!$E:$E,'Base SKUs'!S:S),"")</f>
        <v>7.1283728399999996E-2</v>
      </c>
      <c r="S468" s="8">
        <f t="shared" si="37"/>
        <v>5.9878331855999996</v>
      </c>
      <c r="T468" s="7">
        <f>IFERROR(_xlfn.XLOOKUP($A468,'Base SKUs'!$E:$E,'Base SKUs'!R:R),"")</f>
        <v>280.56900000000002</v>
      </c>
      <c r="U468" s="15">
        <f t="shared" si="38"/>
        <v>1680</v>
      </c>
      <c r="V468" t="str">
        <f t="shared" si="39"/>
        <v>New York</v>
      </c>
    </row>
    <row r="469" spans="1:22" x14ac:dyDescent="0.2">
      <c r="A469" t="s">
        <v>705</v>
      </c>
      <c r="B469" s="5">
        <v>11</v>
      </c>
      <c r="C469" s="5">
        <v>0</v>
      </c>
      <c r="D469" s="5">
        <f t="shared" si="35"/>
        <v>11</v>
      </c>
      <c r="E469" s="6">
        <v>245.7329</v>
      </c>
      <c r="F469" s="6">
        <f t="shared" si="36"/>
        <v>2703.0619000000002</v>
      </c>
      <c r="G469" t="s">
        <v>454</v>
      </c>
      <c r="H469">
        <v>9013</v>
      </c>
      <c r="I469" t="str">
        <f>IFERROR(_xlfn.XLOOKUP($A469,'Base SKUs'!$E:$E,'Base SKUs'!A:A),"")</f>
        <v>Ipe</v>
      </c>
      <c r="J469" t="str">
        <f>IFERROR(_xlfn.XLOOKUP($A469,'Base SKUs'!$E:$E,'Base SKUs'!B:B),"")</f>
        <v>Ipe 3x8</v>
      </c>
      <c r="K469" t="str">
        <f>IFERROR(_xlfn.XLOOKUP($A469,'Base SKUs'!$E:$E,'Base SKUs'!C:C),"")</f>
        <v>Long</v>
      </c>
      <c r="L469" t="str">
        <f>IFERROR(_xlfn.XLOOKUP($A469,'Base SKUs'!$E:$E,'Base SKUs'!D:D),"")</f>
        <v>Hardwoods</v>
      </c>
      <c r="M469" t="str">
        <f>IFERROR(_xlfn.XLOOKUP($A469,'Base SKUs'!$E:$E,'Base SKUs'!G:G),"")</f>
        <v>Ipe</v>
      </c>
      <c r="N469" t="str">
        <f>IFERROR(_xlfn.XLOOKUP($A469,'Base SKUs'!$E:$E,'Base SKUs'!H:H),"")</f>
        <v>S4S E4E</v>
      </c>
      <c r="O469" t="str">
        <f>IFERROR(_xlfn.XLOOKUP($A469,'Base SKUs'!$E:$E,'Base SKUs'!I:I),"")</f>
        <v>-</v>
      </c>
      <c r="P469" t="str">
        <f>IFERROR(_xlfn.XLOOKUP($A469,'Base SKUs'!$E:$E,'Base SKUs'!J:J),"")</f>
        <v>3x8</v>
      </c>
      <c r="Q469">
        <f>IFERROR(_xlfn.XLOOKUP($A469,'Base SKUs'!$E:$E,'Base SKUs'!K:K),"")</f>
        <v>20</v>
      </c>
      <c r="R469" s="7">
        <f>IFERROR(_xlfn.XLOOKUP($A469,'Base SKUs'!$E:$E,'Base SKUs'!S:S),"")</f>
        <v>7.1283728399999996E-2</v>
      </c>
      <c r="S469" s="8">
        <f t="shared" si="37"/>
        <v>0.78412101239999998</v>
      </c>
      <c r="T469" s="7">
        <f>IFERROR(_xlfn.XLOOKUP($A469,'Base SKUs'!$E:$E,'Base SKUs'!R:R),"")</f>
        <v>280.56900000000002</v>
      </c>
      <c r="U469" s="15">
        <f t="shared" si="38"/>
        <v>220</v>
      </c>
      <c r="V469" t="str">
        <f t="shared" si="39"/>
        <v>BS Riverside</v>
      </c>
    </row>
    <row r="470" spans="1:22" x14ac:dyDescent="0.2">
      <c r="A470" t="s">
        <v>707</v>
      </c>
      <c r="B470" s="5">
        <v>20</v>
      </c>
      <c r="C470" s="5">
        <v>0</v>
      </c>
      <c r="D470" s="5">
        <f t="shared" si="35"/>
        <v>20</v>
      </c>
      <c r="E470" s="6">
        <v>270.37090000000001</v>
      </c>
      <c r="F470" s="6">
        <f t="shared" si="36"/>
        <v>5407.4179999999997</v>
      </c>
      <c r="G470" t="s">
        <v>17</v>
      </c>
      <c r="H470">
        <v>9007</v>
      </c>
      <c r="I470" t="str">
        <f>IFERROR(_xlfn.XLOOKUP($A470,'Base SKUs'!$E:$E,'Base SKUs'!A:A),"")</f>
        <v>Ipe</v>
      </c>
      <c r="J470" t="str">
        <f>IFERROR(_xlfn.XLOOKUP($A470,'Base SKUs'!$E:$E,'Base SKUs'!B:B),"")</f>
        <v>Ipe 3x8</v>
      </c>
      <c r="K470" t="str">
        <f>IFERROR(_xlfn.XLOOKUP($A470,'Base SKUs'!$E:$E,'Base SKUs'!C:C),"")</f>
        <v>Long</v>
      </c>
      <c r="L470" t="str">
        <f>IFERROR(_xlfn.XLOOKUP($A470,'Base SKUs'!$E:$E,'Base SKUs'!D:D),"")</f>
        <v>Hardwoods</v>
      </c>
      <c r="M470" t="str">
        <f>IFERROR(_xlfn.XLOOKUP($A470,'Base SKUs'!$E:$E,'Base SKUs'!G:G),"")</f>
        <v>Ipe</v>
      </c>
      <c r="N470" t="str">
        <f>IFERROR(_xlfn.XLOOKUP($A470,'Base SKUs'!$E:$E,'Base SKUs'!H:H),"")</f>
        <v>S4S E4E</v>
      </c>
      <c r="O470" t="str">
        <f>IFERROR(_xlfn.XLOOKUP($A470,'Base SKUs'!$E:$E,'Base SKUs'!I:I),"")</f>
        <v>-</v>
      </c>
      <c r="P470" t="str">
        <f>IFERROR(_xlfn.XLOOKUP($A470,'Base SKUs'!$E:$E,'Base SKUs'!J:J),"")</f>
        <v>3x8</v>
      </c>
      <c r="Q470">
        <f>IFERROR(_xlfn.XLOOKUP($A470,'Base SKUs'!$E:$E,'Base SKUs'!K:K),"")</f>
        <v>22</v>
      </c>
      <c r="R470" s="7">
        <f>IFERROR(_xlfn.XLOOKUP($A470,'Base SKUs'!$E:$E,'Base SKUs'!S:S),"")</f>
        <v>7.8412101240000004E-2</v>
      </c>
      <c r="S470" s="8">
        <f t="shared" si="37"/>
        <v>1.5682420248</v>
      </c>
      <c r="T470" s="7">
        <f>IFERROR(_xlfn.XLOOKUP($A470,'Base SKUs'!$E:$E,'Base SKUs'!R:R),"")</f>
        <v>280.56900000000002</v>
      </c>
      <c r="U470" s="15">
        <f t="shared" si="38"/>
        <v>440</v>
      </c>
      <c r="V470" t="str">
        <f t="shared" si="39"/>
        <v>Miami</v>
      </c>
    </row>
    <row r="471" spans="1:22" x14ac:dyDescent="0.2">
      <c r="A471" t="s">
        <v>707</v>
      </c>
      <c r="B471" s="5">
        <v>61</v>
      </c>
      <c r="C471" s="5">
        <v>59</v>
      </c>
      <c r="D471" s="5">
        <f t="shared" si="35"/>
        <v>2</v>
      </c>
      <c r="E471" s="6">
        <v>270.37090000000001</v>
      </c>
      <c r="F471" s="6">
        <f t="shared" si="36"/>
        <v>16492.624899999999</v>
      </c>
      <c r="G471" t="s">
        <v>330</v>
      </c>
      <c r="H471">
        <v>9011</v>
      </c>
      <c r="I471" t="str">
        <f>IFERROR(_xlfn.XLOOKUP($A471,'Base SKUs'!$E:$E,'Base SKUs'!A:A),"")</f>
        <v>Ipe</v>
      </c>
      <c r="J471" t="str">
        <f>IFERROR(_xlfn.XLOOKUP($A471,'Base SKUs'!$E:$E,'Base SKUs'!B:B),"")</f>
        <v>Ipe 3x8</v>
      </c>
      <c r="K471" t="str">
        <f>IFERROR(_xlfn.XLOOKUP($A471,'Base SKUs'!$E:$E,'Base SKUs'!C:C),"")</f>
        <v>Long</v>
      </c>
      <c r="L471" t="str">
        <f>IFERROR(_xlfn.XLOOKUP($A471,'Base SKUs'!$E:$E,'Base SKUs'!D:D),"")</f>
        <v>Hardwoods</v>
      </c>
      <c r="M471" t="str">
        <f>IFERROR(_xlfn.XLOOKUP($A471,'Base SKUs'!$E:$E,'Base SKUs'!G:G),"")</f>
        <v>Ipe</v>
      </c>
      <c r="N471" t="str">
        <f>IFERROR(_xlfn.XLOOKUP($A471,'Base SKUs'!$E:$E,'Base SKUs'!H:H),"")</f>
        <v>S4S E4E</v>
      </c>
      <c r="O471" t="str">
        <f>IFERROR(_xlfn.XLOOKUP($A471,'Base SKUs'!$E:$E,'Base SKUs'!I:I),"")</f>
        <v>-</v>
      </c>
      <c r="P471" t="str">
        <f>IFERROR(_xlfn.XLOOKUP($A471,'Base SKUs'!$E:$E,'Base SKUs'!J:J),"")</f>
        <v>3x8</v>
      </c>
      <c r="Q471">
        <f>IFERROR(_xlfn.XLOOKUP($A471,'Base SKUs'!$E:$E,'Base SKUs'!K:K),"")</f>
        <v>22</v>
      </c>
      <c r="R471" s="7">
        <f>IFERROR(_xlfn.XLOOKUP($A471,'Base SKUs'!$E:$E,'Base SKUs'!S:S),"")</f>
        <v>7.8412101240000004E-2</v>
      </c>
      <c r="S471" s="8">
        <f t="shared" si="37"/>
        <v>0.15682420248000001</v>
      </c>
      <c r="T471" s="7">
        <f>IFERROR(_xlfn.XLOOKUP($A471,'Base SKUs'!$E:$E,'Base SKUs'!R:R),"")</f>
        <v>280.56900000000002</v>
      </c>
      <c r="U471" s="15">
        <f t="shared" si="38"/>
        <v>44</v>
      </c>
      <c r="V471" t="str">
        <f t="shared" si="39"/>
        <v>New York</v>
      </c>
    </row>
    <row r="472" spans="1:22" x14ac:dyDescent="0.2">
      <c r="A472" t="s">
        <v>707</v>
      </c>
      <c r="B472" s="5">
        <v>3</v>
      </c>
      <c r="C472" s="5">
        <v>0</v>
      </c>
      <c r="D472" s="5">
        <f t="shared" si="35"/>
        <v>3</v>
      </c>
      <c r="E472" s="6">
        <v>270.37090000000001</v>
      </c>
      <c r="F472" s="6">
        <f t="shared" si="36"/>
        <v>811.11270000000002</v>
      </c>
      <c r="G472" t="s">
        <v>454</v>
      </c>
      <c r="H472">
        <v>9013</v>
      </c>
      <c r="I472" t="str">
        <f>IFERROR(_xlfn.XLOOKUP($A472,'Base SKUs'!$E:$E,'Base SKUs'!A:A),"")</f>
        <v>Ipe</v>
      </c>
      <c r="J472" t="str">
        <f>IFERROR(_xlfn.XLOOKUP($A472,'Base SKUs'!$E:$E,'Base SKUs'!B:B),"")</f>
        <v>Ipe 3x8</v>
      </c>
      <c r="K472" t="str">
        <f>IFERROR(_xlfn.XLOOKUP($A472,'Base SKUs'!$E:$E,'Base SKUs'!C:C),"")</f>
        <v>Long</v>
      </c>
      <c r="L472" t="str">
        <f>IFERROR(_xlfn.XLOOKUP($A472,'Base SKUs'!$E:$E,'Base SKUs'!D:D),"")</f>
        <v>Hardwoods</v>
      </c>
      <c r="M472" t="str">
        <f>IFERROR(_xlfn.XLOOKUP($A472,'Base SKUs'!$E:$E,'Base SKUs'!G:G),"")</f>
        <v>Ipe</v>
      </c>
      <c r="N472" t="str">
        <f>IFERROR(_xlfn.XLOOKUP($A472,'Base SKUs'!$E:$E,'Base SKUs'!H:H),"")</f>
        <v>S4S E4E</v>
      </c>
      <c r="O472" t="str">
        <f>IFERROR(_xlfn.XLOOKUP($A472,'Base SKUs'!$E:$E,'Base SKUs'!I:I),"")</f>
        <v>-</v>
      </c>
      <c r="P472" t="str">
        <f>IFERROR(_xlfn.XLOOKUP($A472,'Base SKUs'!$E:$E,'Base SKUs'!J:J),"")</f>
        <v>3x8</v>
      </c>
      <c r="Q472">
        <f>IFERROR(_xlfn.XLOOKUP($A472,'Base SKUs'!$E:$E,'Base SKUs'!K:K),"")</f>
        <v>22</v>
      </c>
      <c r="R472" s="7">
        <f>IFERROR(_xlfn.XLOOKUP($A472,'Base SKUs'!$E:$E,'Base SKUs'!S:S),"")</f>
        <v>7.8412101240000004E-2</v>
      </c>
      <c r="S472" s="8">
        <f t="shared" si="37"/>
        <v>0.23523630372000001</v>
      </c>
      <c r="T472" s="7">
        <f>IFERROR(_xlfn.XLOOKUP($A472,'Base SKUs'!$E:$E,'Base SKUs'!R:R),"")</f>
        <v>280.56900000000002</v>
      </c>
      <c r="U472" s="15">
        <f t="shared" si="38"/>
        <v>66</v>
      </c>
      <c r="V472" t="str">
        <f t="shared" si="39"/>
        <v>BS Riverside</v>
      </c>
    </row>
    <row r="473" spans="1:22" x14ac:dyDescent="0.2">
      <c r="A473" t="s">
        <v>709</v>
      </c>
      <c r="B473" s="5">
        <v>53</v>
      </c>
      <c r="C473" s="5">
        <v>0</v>
      </c>
      <c r="D473" s="5">
        <f t="shared" si="35"/>
        <v>53</v>
      </c>
      <c r="E473" s="6">
        <v>99.435599999999994</v>
      </c>
      <c r="F473" s="6">
        <f t="shared" si="36"/>
        <v>5270.0868</v>
      </c>
      <c r="G473" t="s">
        <v>17</v>
      </c>
      <c r="H473">
        <v>9007</v>
      </c>
      <c r="I473" t="str">
        <f>IFERROR(_xlfn.XLOOKUP($A473,'Base SKUs'!$E:$E,'Base SKUs'!A:A),"")</f>
        <v>Ipe</v>
      </c>
      <c r="J473" t="str">
        <f>IFERROR(_xlfn.XLOOKUP($A473,'Base SKUs'!$E:$E,'Base SKUs'!B:B),"")</f>
        <v>Ipe 3x8</v>
      </c>
      <c r="K473" t="str">
        <f>IFERROR(_xlfn.XLOOKUP($A473,'Base SKUs'!$E:$E,'Base SKUs'!C:C),"")</f>
        <v>Long</v>
      </c>
      <c r="L473" t="str">
        <f>IFERROR(_xlfn.XLOOKUP($A473,'Base SKUs'!$E:$E,'Base SKUs'!D:D),"")</f>
        <v>Hardwoods</v>
      </c>
      <c r="M473" t="str">
        <f>IFERROR(_xlfn.XLOOKUP($A473,'Base SKUs'!$E:$E,'Base SKUs'!G:G),"")</f>
        <v>Ipe</v>
      </c>
      <c r="N473" t="str">
        <f>IFERROR(_xlfn.XLOOKUP($A473,'Base SKUs'!$E:$E,'Base SKUs'!H:H),"")</f>
        <v>S4S E4E</v>
      </c>
      <c r="O473" t="str">
        <f>IFERROR(_xlfn.XLOOKUP($A473,'Base SKUs'!$E:$E,'Base SKUs'!I:I),"")</f>
        <v>-</v>
      </c>
      <c r="P473" t="str">
        <f>IFERROR(_xlfn.XLOOKUP($A473,'Base SKUs'!$E:$E,'Base SKUs'!J:J),"")</f>
        <v>3x8</v>
      </c>
      <c r="Q473">
        <f>IFERROR(_xlfn.XLOOKUP($A473,'Base SKUs'!$E:$E,'Base SKUs'!K:K),"")</f>
        <v>8</v>
      </c>
      <c r="R473" s="7">
        <f>IFERROR(_xlfn.XLOOKUP($A473,'Base SKUs'!$E:$E,'Base SKUs'!S:S),"")</f>
        <v>2.8513491360000004E-2</v>
      </c>
      <c r="S473" s="8">
        <f t="shared" si="37"/>
        <v>1.5112150420800001</v>
      </c>
      <c r="T473" s="7">
        <f>IFERROR(_xlfn.XLOOKUP($A473,'Base SKUs'!$E:$E,'Base SKUs'!R:R),"")</f>
        <v>280.56900000000002</v>
      </c>
      <c r="U473" s="15">
        <f t="shared" si="38"/>
        <v>424</v>
      </c>
      <c r="V473" t="str">
        <f t="shared" si="39"/>
        <v>Miami</v>
      </c>
    </row>
    <row r="474" spans="1:22" x14ac:dyDescent="0.2">
      <c r="A474" t="s">
        <v>709</v>
      </c>
      <c r="B474" s="5">
        <v>18</v>
      </c>
      <c r="C474" s="5">
        <v>0</v>
      </c>
      <c r="D474" s="5">
        <f t="shared" si="35"/>
        <v>18</v>
      </c>
      <c r="E474" s="6">
        <v>99.435599999999994</v>
      </c>
      <c r="F474" s="6">
        <f t="shared" si="36"/>
        <v>1789.8407999999999</v>
      </c>
      <c r="G474" t="s">
        <v>330</v>
      </c>
      <c r="H474">
        <v>9011</v>
      </c>
      <c r="I474" t="str">
        <f>IFERROR(_xlfn.XLOOKUP($A474,'Base SKUs'!$E:$E,'Base SKUs'!A:A),"")</f>
        <v>Ipe</v>
      </c>
      <c r="J474" t="str">
        <f>IFERROR(_xlfn.XLOOKUP($A474,'Base SKUs'!$E:$E,'Base SKUs'!B:B),"")</f>
        <v>Ipe 3x8</v>
      </c>
      <c r="K474" t="str">
        <f>IFERROR(_xlfn.XLOOKUP($A474,'Base SKUs'!$E:$E,'Base SKUs'!C:C),"")</f>
        <v>Long</v>
      </c>
      <c r="L474" t="str">
        <f>IFERROR(_xlfn.XLOOKUP($A474,'Base SKUs'!$E:$E,'Base SKUs'!D:D),"")</f>
        <v>Hardwoods</v>
      </c>
      <c r="M474" t="str">
        <f>IFERROR(_xlfn.XLOOKUP($A474,'Base SKUs'!$E:$E,'Base SKUs'!G:G),"")</f>
        <v>Ipe</v>
      </c>
      <c r="N474" t="str">
        <f>IFERROR(_xlfn.XLOOKUP($A474,'Base SKUs'!$E:$E,'Base SKUs'!H:H),"")</f>
        <v>S4S E4E</v>
      </c>
      <c r="O474" t="str">
        <f>IFERROR(_xlfn.XLOOKUP($A474,'Base SKUs'!$E:$E,'Base SKUs'!I:I),"")</f>
        <v>-</v>
      </c>
      <c r="P474" t="str">
        <f>IFERROR(_xlfn.XLOOKUP($A474,'Base SKUs'!$E:$E,'Base SKUs'!J:J),"")</f>
        <v>3x8</v>
      </c>
      <c r="Q474">
        <f>IFERROR(_xlfn.XLOOKUP($A474,'Base SKUs'!$E:$E,'Base SKUs'!K:K),"")</f>
        <v>8</v>
      </c>
      <c r="R474" s="7">
        <f>IFERROR(_xlfn.XLOOKUP($A474,'Base SKUs'!$E:$E,'Base SKUs'!S:S),"")</f>
        <v>2.8513491360000004E-2</v>
      </c>
      <c r="S474" s="8">
        <f t="shared" si="37"/>
        <v>0.51324284448000013</v>
      </c>
      <c r="T474" s="7">
        <f>IFERROR(_xlfn.XLOOKUP($A474,'Base SKUs'!$E:$E,'Base SKUs'!R:R),"")</f>
        <v>280.56900000000002</v>
      </c>
      <c r="U474" s="15">
        <f t="shared" si="38"/>
        <v>144</v>
      </c>
      <c r="V474" t="str">
        <f t="shared" si="39"/>
        <v>New York</v>
      </c>
    </row>
    <row r="475" spans="1:22" x14ac:dyDescent="0.2">
      <c r="A475" t="s">
        <v>709</v>
      </c>
      <c r="B475" s="5">
        <v>14</v>
      </c>
      <c r="C475" s="5">
        <v>0</v>
      </c>
      <c r="D475" s="5">
        <f t="shared" si="35"/>
        <v>14</v>
      </c>
      <c r="E475" s="6">
        <v>99.435599999999994</v>
      </c>
      <c r="F475" s="6">
        <f t="shared" si="36"/>
        <v>1392.0983999999999</v>
      </c>
      <c r="G475" t="s">
        <v>454</v>
      </c>
      <c r="H475">
        <v>9013</v>
      </c>
      <c r="I475" t="str">
        <f>IFERROR(_xlfn.XLOOKUP($A475,'Base SKUs'!$E:$E,'Base SKUs'!A:A),"")</f>
        <v>Ipe</v>
      </c>
      <c r="J475" t="str">
        <f>IFERROR(_xlfn.XLOOKUP($A475,'Base SKUs'!$E:$E,'Base SKUs'!B:B),"")</f>
        <v>Ipe 3x8</v>
      </c>
      <c r="K475" t="str">
        <f>IFERROR(_xlfn.XLOOKUP($A475,'Base SKUs'!$E:$E,'Base SKUs'!C:C),"")</f>
        <v>Long</v>
      </c>
      <c r="L475" t="str">
        <f>IFERROR(_xlfn.XLOOKUP($A475,'Base SKUs'!$E:$E,'Base SKUs'!D:D),"")</f>
        <v>Hardwoods</v>
      </c>
      <c r="M475" t="str">
        <f>IFERROR(_xlfn.XLOOKUP($A475,'Base SKUs'!$E:$E,'Base SKUs'!G:G),"")</f>
        <v>Ipe</v>
      </c>
      <c r="N475" t="str">
        <f>IFERROR(_xlfn.XLOOKUP($A475,'Base SKUs'!$E:$E,'Base SKUs'!H:H),"")</f>
        <v>S4S E4E</v>
      </c>
      <c r="O475" t="str">
        <f>IFERROR(_xlfn.XLOOKUP($A475,'Base SKUs'!$E:$E,'Base SKUs'!I:I),"")</f>
        <v>-</v>
      </c>
      <c r="P475" t="str">
        <f>IFERROR(_xlfn.XLOOKUP($A475,'Base SKUs'!$E:$E,'Base SKUs'!J:J),"")</f>
        <v>3x8</v>
      </c>
      <c r="Q475">
        <f>IFERROR(_xlfn.XLOOKUP($A475,'Base SKUs'!$E:$E,'Base SKUs'!K:K),"")</f>
        <v>8</v>
      </c>
      <c r="R475" s="7">
        <f>IFERROR(_xlfn.XLOOKUP($A475,'Base SKUs'!$E:$E,'Base SKUs'!S:S),"")</f>
        <v>2.8513491360000004E-2</v>
      </c>
      <c r="S475" s="8">
        <f t="shared" si="37"/>
        <v>0.39918887904000006</v>
      </c>
      <c r="T475" s="7">
        <f>IFERROR(_xlfn.XLOOKUP($A475,'Base SKUs'!$E:$E,'Base SKUs'!R:R),"")</f>
        <v>280.56900000000002</v>
      </c>
      <c r="U475" s="15">
        <f t="shared" si="38"/>
        <v>112</v>
      </c>
      <c r="V475" t="str">
        <f t="shared" si="39"/>
        <v>BS Riverside</v>
      </c>
    </row>
    <row r="476" spans="1:22" x14ac:dyDescent="0.2">
      <c r="A476" t="s">
        <v>711</v>
      </c>
      <c r="B476" s="5">
        <v>9</v>
      </c>
      <c r="C476" s="5">
        <v>0</v>
      </c>
      <c r="D476" s="5">
        <f t="shared" si="35"/>
        <v>9</v>
      </c>
      <c r="E476" s="6">
        <v>219.54810000000001</v>
      </c>
      <c r="F476" s="6">
        <f t="shared" si="36"/>
        <v>1975.9329</v>
      </c>
      <c r="G476" t="s">
        <v>17</v>
      </c>
      <c r="H476">
        <v>9007</v>
      </c>
      <c r="I476" t="str">
        <f>IFERROR(_xlfn.XLOOKUP($A476,'Base SKUs'!$E:$E,'Base SKUs'!A:A),"")</f>
        <v>Ipe</v>
      </c>
      <c r="J476" t="str">
        <f>IFERROR(_xlfn.XLOOKUP($A476,'Base SKUs'!$E:$E,'Base SKUs'!B:B),"")</f>
        <v>Ipe 4x10</v>
      </c>
      <c r="K476" t="str">
        <f>IFERROR(_xlfn.XLOOKUP($A476,'Base SKUs'!$E:$E,'Base SKUs'!C:C),"")</f>
        <v>Long</v>
      </c>
      <c r="L476" t="str">
        <f>IFERROR(_xlfn.XLOOKUP($A476,'Base SKUs'!$E:$E,'Base SKUs'!D:D),"")</f>
        <v>Hardwoods</v>
      </c>
      <c r="M476" t="str">
        <f>IFERROR(_xlfn.XLOOKUP($A476,'Base SKUs'!$E:$E,'Base SKUs'!G:G),"")</f>
        <v>Ipe</v>
      </c>
      <c r="N476" t="str">
        <f>IFERROR(_xlfn.XLOOKUP($A476,'Base SKUs'!$E:$E,'Base SKUs'!H:H),"")</f>
        <v>S4S E4E</v>
      </c>
      <c r="O476" t="str">
        <f>IFERROR(_xlfn.XLOOKUP($A476,'Base SKUs'!$E:$E,'Base SKUs'!I:I),"")</f>
        <v>-</v>
      </c>
      <c r="P476" t="str">
        <f>IFERROR(_xlfn.XLOOKUP($A476,'Base SKUs'!$E:$E,'Base SKUs'!J:J),"")</f>
        <v>4x10</v>
      </c>
      <c r="Q476">
        <f>IFERROR(_xlfn.XLOOKUP($A476,'Base SKUs'!$E:$E,'Base SKUs'!K:K),"")</f>
        <v>10</v>
      </c>
      <c r="R476" s="7">
        <f>IFERROR(_xlfn.XLOOKUP($A476,'Base SKUs'!$E:$E,'Base SKUs'!S:S),"")</f>
        <v>6.366374364000002E-2</v>
      </c>
      <c r="S476" s="8">
        <f t="shared" si="37"/>
        <v>0.57297369276000021</v>
      </c>
      <c r="T476" s="7">
        <f>IFERROR(_xlfn.XLOOKUP($A476,'Base SKUs'!$E:$E,'Base SKUs'!R:R),"")</f>
        <v>157.07499999999999</v>
      </c>
      <c r="U476" s="15">
        <f t="shared" si="38"/>
        <v>90</v>
      </c>
      <c r="V476" t="str">
        <f t="shared" si="39"/>
        <v>Miami</v>
      </c>
    </row>
    <row r="477" spans="1:22" x14ac:dyDescent="0.2">
      <c r="A477" t="s">
        <v>713</v>
      </c>
      <c r="B477" s="5">
        <v>2</v>
      </c>
      <c r="C477" s="5">
        <v>0</v>
      </c>
      <c r="D477" s="5">
        <f t="shared" si="35"/>
        <v>2</v>
      </c>
      <c r="E477" s="6">
        <v>394.84179999999998</v>
      </c>
      <c r="F477" s="6">
        <f t="shared" si="36"/>
        <v>789.68359999999996</v>
      </c>
      <c r="G477" t="s">
        <v>17</v>
      </c>
      <c r="H477">
        <v>9007</v>
      </c>
      <c r="I477" t="str">
        <f>IFERROR(_xlfn.XLOOKUP($A477,'Base SKUs'!$E:$E,'Base SKUs'!A:A),"")</f>
        <v>Ipe</v>
      </c>
      <c r="J477" t="str">
        <f>IFERROR(_xlfn.XLOOKUP($A477,'Base SKUs'!$E:$E,'Base SKUs'!B:B),"")</f>
        <v>Ipe 4x10</v>
      </c>
      <c r="K477" t="str">
        <f>IFERROR(_xlfn.XLOOKUP($A477,'Base SKUs'!$E:$E,'Base SKUs'!C:C),"")</f>
        <v>Long</v>
      </c>
      <c r="L477" t="str">
        <f>IFERROR(_xlfn.XLOOKUP($A477,'Base SKUs'!$E:$E,'Base SKUs'!D:D),"")</f>
        <v>Hardwoods</v>
      </c>
      <c r="M477" t="str">
        <f>IFERROR(_xlfn.XLOOKUP($A477,'Base SKUs'!$E:$E,'Base SKUs'!G:G),"")</f>
        <v>Ipe</v>
      </c>
      <c r="N477" t="str">
        <f>IFERROR(_xlfn.XLOOKUP($A477,'Base SKUs'!$E:$E,'Base SKUs'!H:H),"")</f>
        <v>S4S E4E</v>
      </c>
      <c r="O477" t="str">
        <f>IFERROR(_xlfn.XLOOKUP($A477,'Base SKUs'!$E:$E,'Base SKUs'!I:I),"")</f>
        <v>-</v>
      </c>
      <c r="P477" t="str">
        <f>IFERROR(_xlfn.XLOOKUP($A477,'Base SKUs'!$E:$E,'Base SKUs'!J:J),"")</f>
        <v>4x10</v>
      </c>
      <c r="Q477">
        <f>IFERROR(_xlfn.XLOOKUP($A477,'Base SKUs'!$E:$E,'Base SKUs'!K:K),"")</f>
        <v>18</v>
      </c>
      <c r="R477" s="7">
        <f>IFERROR(_xlfn.XLOOKUP($A477,'Base SKUs'!$E:$E,'Base SKUs'!S:S),"")</f>
        <v>0.114594738552</v>
      </c>
      <c r="S477" s="8">
        <f t="shared" si="37"/>
        <v>0.22918947710400001</v>
      </c>
      <c r="T477" s="7">
        <f>IFERROR(_xlfn.XLOOKUP($A477,'Base SKUs'!$E:$E,'Base SKUs'!R:R),"")</f>
        <v>157.07499999999999</v>
      </c>
      <c r="U477" s="15">
        <f t="shared" si="38"/>
        <v>36</v>
      </c>
      <c r="V477" t="str">
        <f t="shared" si="39"/>
        <v>Miami</v>
      </c>
    </row>
    <row r="478" spans="1:22" x14ac:dyDescent="0.2">
      <c r="A478" t="s">
        <v>716</v>
      </c>
      <c r="B478" s="5">
        <v>6</v>
      </c>
      <c r="C478" s="5">
        <v>0</v>
      </c>
      <c r="D478" s="5">
        <f t="shared" si="35"/>
        <v>6</v>
      </c>
      <c r="E478" s="6">
        <v>267.0942</v>
      </c>
      <c r="F478" s="6">
        <f t="shared" si="36"/>
        <v>1602.5652</v>
      </c>
      <c r="G478" t="s">
        <v>17</v>
      </c>
      <c r="H478">
        <v>9007</v>
      </c>
      <c r="I478" t="str">
        <f>IFERROR(_xlfn.XLOOKUP($A478,'Base SKUs'!$E:$E,'Base SKUs'!A:A),"")</f>
        <v>Ipe</v>
      </c>
      <c r="J478" t="str">
        <f>IFERROR(_xlfn.XLOOKUP($A478,'Base SKUs'!$E:$E,'Base SKUs'!B:B),"")</f>
        <v>Ipe 4x12</v>
      </c>
      <c r="K478" t="str">
        <f>IFERROR(_xlfn.XLOOKUP($A478,'Base SKUs'!$E:$E,'Base SKUs'!C:C),"")</f>
        <v>Long</v>
      </c>
      <c r="L478" t="str">
        <f>IFERROR(_xlfn.XLOOKUP($A478,'Base SKUs'!$E:$E,'Base SKUs'!D:D),"")</f>
        <v>Hardwoods</v>
      </c>
      <c r="M478" t="str">
        <f>IFERROR(_xlfn.XLOOKUP($A478,'Base SKUs'!$E:$E,'Base SKUs'!G:G),"")</f>
        <v>Ipe</v>
      </c>
      <c r="N478" t="str">
        <f>IFERROR(_xlfn.XLOOKUP($A478,'Base SKUs'!$E:$E,'Base SKUs'!H:H),"")</f>
        <v>S4S E4E</v>
      </c>
      <c r="O478" t="str">
        <f>IFERROR(_xlfn.XLOOKUP($A478,'Base SKUs'!$E:$E,'Base SKUs'!I:I),"")</f>
        <v>-</v>
      </c>
      <c r="P478" t="str">
        <f>IFERROR(_xlfn.XLOOKUP($A478,'Base SKUs'!$E:$E,'Base SKUs'!J:J),"")</f>
        <v>4x12</v>
      </c>
      <c r="Q478">
        <f>IFERROR(_xlfn.XLOOKUP($A478,'Base SKUs'!$E:$E,'Base SKUs'!K:K),"")</f>
        <v>10</v>
      </c>
      <c r="R478" s="7">
        <f>IFERROR(_xlfn.XLOOKUP($A478,'Base SKUs'!$E:$E,'Base SKUs'!S:S),"")</f>
        <v>7.7428877400000012E-2</v>
      </c>
      <c r="S478" s="8">
        <f t="shared" si="37"/>
        <v>0.46457326440000007</v>
      </c>
      <c r="T478" s="7">
        <f>IFERROR(_xlfn.XLOOKUP($A478,'Base SKUs'!$E:$E,'Base SKUs'!R:R),"")</f>
        <v>129.15100000000001</v>
      </c>
      <c r="U478" s="15">
        <f t="shared" si="38"/>
        <v>60</v>
      </c>
      <c r="V478" t="str">
        <f t="shared" si="39"/>
        <v>Miami</v>
      </c>
    </row>
    <row r="479" spans="1:22" x14ac:dyDescent="0.2">
      <c r="A479" t="s">
        <v>716</v>
      </c>
      <c r="B479" s="5">
        <v>18</v>
      </c>
      <c r="C479" s="5">
        <v>0</v>
      </c>
      <c r="D479" s="5">
        <f t="shared" si="35"/>
        <v>18</v>
      </c>
      <c r="E479" s="6">
        <v>267.0942</v>
      </c>
      <c r="F479" s="6">
        <f t="shared" si="36"/>
        <v>4807.6956</v>
      </c>
      <c r="G479" t="s">
        <v>330</v>
      </c>
      <c r="H479">
        <v>9011</v>
      </c>
      <c r="I479" t="str">
        <f>IFERROR(_xlfn.XLOOKUP($A479,'Base SKUs'!$E:$E,'Base SKUs'!A:A),"")</f>
        <v>Ipe</v>
      </c>
      <c r="J479" t="str">
        <f>IFERROR(_xlfn.XLOOKUP($A479,'Base SKUs'!$E:$E,'Base SKUs'!B:B),"")</f>
        <v>Ipe 4x12</v>
      </c>
      <c r="K479" t="str">
        <f>IFERROR(_xlfn.XLOOKUP($A479,'Base SKUs'!$E:$E,'Base SKUs'!C:C),"")</f>
        <v>Long</v>
      </c>
      <c r="L479" t="str">
        <f>IFERROR(_xlfn.XLOOKUP($A479,'Base SKUs'!$E:$E,'Base SKUs'!D:D),"")</f>
        <v>Hardwoods</v>
      </c>
      <c r="M479" t="str">
        <f>IFERROR(_xlfn.XLOOKUP($A479,'Base SKUs'!$E:$E,'Base SKUs'!G:G),"")</f>
        <v>Ipe</v>
      </c>
      <c r="N479" t="str">
        <f>IFERROR(_xlfn.XLOOKUP($A479,'Base SKUs'!$E:$E,'Base SKUs'!H:H),"")</f>
        <v>S4S E4E</v>
      </c>
      <c r="O479" t="str">
        <f>IFERROR(_xlfn.XLOOKUP($A479,'Base SKUs'!$E:$E,'Base SKUs'!I:I),"")</f>
        <v>-</v>
      </c>
      <c r="P479" t="str">
        <f>IFERROR(_xlfn.XLOOKUP($A479,'Base SKUs'!$E:$E,'Base SKUs'!J:J),"")</f>
        <v>4x12</v>
      </c>
      <c r="Q479">
        <f>IFERROR(_xlfn.XLOOKUP($A479,'Base SKUs'!$E:$E,'Base SKUs'!K:K),"")</f>
        <v>10</v>
      </c>
      <c r="R479" s="7">
        <f>IFERROR(_xlfn.XLOOKUP($A479,'Base SKUs'!$E:$E,'Base SKUs'!S:S),"")</f>
        <v>7.7428877400000012E-2</v>
      </c>
      <c r="S479" s="8">
        <f t="shared" si="37"/>
        <v>1.3937197932000003</v>
      </c>
      <c r="T479" s="7">
        <f>IFERROR(_xlfn.XLOOKUP($A479,'Base SKUs'!$E:$E,'Base SKUs'!R:R),"")</f>
        <v>129.15100000000001</v>
      </c>
      <c r="U479" s="15">
        <f t="shared" si="38"/>
        <v>180</v>
      </c>
      <c r="V479" t="str">
        <f t="shared" si="39"/>
        <v>New York</v>
      </c>
    </row>
    <row r="480" spans="1:22" x14ac:dyDescent="0.2">
      <c r="A480" t="s">
        <v>716</v>
      </c>
      <c r="B480" s="5">
        <v>9</v>
      </c>
      <c r="C480" s="5">
        <v>0</v>
      </c>
      <c r="D480" s="5">
        <f t="shared" si="35"/>
        <v>9</v>
      </c>
      <c r="E480" s="6">
        <v>267.0942</v>
      </c>
      <c r="F480" s="6">
        <f t="shared" si="36"/>
        <v>2403.8478</v>
      </c>
      <c r="G480" t="s">
        <v>454</v>
      </c>
      <c r="H480">
        <v>9013</v>
      </c>
      <c r="I480" t="str">
        <f>IFERROR(_xlfn.XLOOKUP($A480,'Base SKUs'!$E:$E,'Base SKUs'!A:A),"")</f>
        <v>Ipe</v>
      </c>
      <c r="J480" t="str">
        <f>IFERROR(_xlfn.XLOOKUP($A480,'Base SKUs'!$E:$E,'Base SKUs'!B:B),"")</f>
        <v>Ipe 4x12</v>
      </c>
      <c r="K480" t="str">
        <f>IFERROR(_xlfn.XLOOKUP($A480,'Base SKUs'!$E:$E,'Base SKUs'!C:C),"")</f>
        <v>Long</v>
      </c>
      <c r="L480" t="str">
        <f>IFERROR(_xlfn.XLOOKUP($A480,'Base SKUs'!$E:$E,'Base SKUs'!D:D),"")</f>
        <v>Hardwoods</v>
      </c>
      <c r="M480" t="str">
        <f>IFERROR(_xlfn.XLOOKUP($A480,'Base SKUs'!$E:$E,'Base SKUs'!G:G),"")</f>
        <v>Ipe</v>
      </c>
      <c r="N480" t="str">
        <f>IFERROR(_xlfn.XLOOKUP($A480,'Base SKUs'!$E:$E,'Base SKUs'!H:H),"")</f>
        <v>S4S E4E</v>
      </c>
      <c r="O480" t="str">
        <f>IFERROR(_xlfn.XLOOKUP($A480,'Base SKUs'!$E:$E,'Base SKUs'!I:I),"")</f>
        <v>-</v>
      </c>
      <c r="P480" t="str">
        <f>IFERROR(_xlfn.XLOOKUP($A480,'Base SKUs'!$E:$E,'Base SKUs'!J:J),"")</f>
        <v>4x12</v>
      </c>
      <c r="Q480">
        <f>IFERROR(_xlfn.XLOOKUP($A480,'Base SKUs'!$E:$E,'Base SKUs'!K:K),"")</f>
        <v>10</v>
      </c>
      <c r="R480" s="7">
        <f>IFERROR(_xlfn.XLOOKUP($A480,'Base SKUs'!$E:$E,'Base SKUs'!S:S),"")</f>
        <v>7.7428877400000012E-2</v>
      </c>
      <c r="S480" s="8">
        <f t="shared" si="37"/>
        <v>0.69685989660000014</v>
      </c>
      <c r="T480" s="7">
        <f>IFERROR(_xlfn.XLOOKUP($A480,'Base SKUs'!$E:$E,'Base SKUs'!R:R),"")</f>
        <v>129.15100000000001</v>
      </c>
      <c r="U480" s="15">
        <f t="shared" si="38"/>
        <v>90</v>
      </c>
      <c r="V480" t="str">
        <f t="shared" si="39"/>
        <v>BS Riverside</v>
      </c>
    </row>
    <row r="481" spans="1:22" x14ac:dyDescent="0.2">
      <c r="A481" t="s">
        <v>718</v>
      </c>
      <c r="B481" s="5">
        <v>11</v>
      </c>
      <c r="C481" s="5">
        <v>0</v>
      </c>
      <c r="D481" s="5">
        <f t="shared" si="35"/>
        <v>11</v>
      </c>
      <c r="E481" s="6">
        <v>320.47129999999999</v>
      </c>
      <c r="F481" s="6">
        <f t="shared" si="36"/>
        <v>3525.1842999999999</v>
      </c>
      <c r="G481" t="s">
        <v>17</v>
      </c>
      <c r="H481">
        <v>9007</v>
      </c>
      <c r="I481" t="str">
        <f>IFERROR(_xlfn.XLOOKUP($A481,'Base SKUs'!$E:$E,'Base SKUs'!A:A),"")</f>
        <v>Ipe</v>
      </c>
      <c r="J481" t="str">
        <f>IFERROR(_xlfn.XLOOKUP($A481,'Base SKUs'!$E:$E,'Base SKUs'!B:B),"")</f>
        <v>Ipe 4x12</v>
      </c>
      <c r="K481" t="str">
        <f>IFERROR(_xlfn.XLOOKUP($A481,'Base SKUs'!$E:$E,'Base SKUs'!C:C),"")</f>
        <v>Long</v>
      </c>
      <c r="L481" t="str">
        <f>IFERROR(_xlfn.XLOOKUP($A481,'Base SKUs'!$E:$E,'Base SKUs'!D:D),"")</f>
        <v>Hardwoods</v>
      </c>
      <c r="M481" t="str">
        <f>IFERROR(_xlfn.XLOOKUP($A481,'Base SKUs'!$E:$E,'Base SKUs'!G:G),"")</f>
        <v>Ipe</v>
      </c>
      <c r="N481" t="str">
        <f>IFERROR(_xlfn.XLOOKUP($A481,'Base SKUs'!$E:$E,'Base SKUs'!H:H),"")</f>
        <v>S4S E4E</v>
      </c>
      <c r="O481" t="str">
        <f>IFERROR(_xlfn.XLOOKUP($A481,'Base SKUs'!$E:$E,'Base SKUs'!I:I),"")</f>
        <v>-</v>
      </c>
      <c r="P481" t="str">
        <f>IFERROR(_xlfn.XLOOKUP($A481,'Base SKUs'!$E:$E,'Base SKUs'!J:J),"")</f>
        <v>4x12</v>
      </c>
      <c r="Q481">
        <f>IFERROR(_xlfn.XLOOKUP($A481,'Base SKUs'!$E:$E,'Base SKUs'!K:K),"")</f>
        <v>12</v>
      </c>
      <c r="R481" s="7">
        <f>IFERROR(_xlfn.XLOOKUP($A481,'Base SKUs'!$E:$E,'Base SKUs'!S:S),"")</f>
        <v>9.2914652880000004E-2</v>
      </c>
      <c r="S481" s="8">
        <f t="shared" si="37"/>
        <v>1.02206118168</v>
      </c>
      <c r="T481" s="7">
        <f>IFERROR(_xlfn.XLOOKUP($A481,'Base SKUs'!$E:$E,'Base SKUs'!R:R),"")</f>
        <v>129.15100000000001</v>
      </c>
      <c r="U481" s="15">
        <f t="shared" si="38"/>
        <v>132</v>
      </c>
      <c r="V481" t="str">
        <f t="shared" si="39"/>
        <v>Miami</v>
      </c>
    </row>
    <row r="482" spans="1:22" x14ac:dyDescent="0.2">
      <c r="A482" t="s">
        <v>720</v>
      </c>
      <c r="B482" s="5">
        <v>3</v>
      </c>
      <c r="C482" s="5">
        <v>0</v>
      </c>
      <c r="D482" s="5">
        <f t="shared" si="35"/>
        <v>3</v>
      </c>
      <c r="E482" s="6">
        <v>373.80650000000003</v>
      </c>
      <c r="F482" s="6">
        <f t="shared" si="36"/>
        <v>1121.4195</v>
      </c>
      <c r="G482" t="s">
        <v>454</v>
      </c>
      <c r="H482">
        <v>9013</v>
      </c>
      <c r="I482" t="str">
        <f>IFERROR(_xlfn.XLOOKUP($A482,'Base SKUs'!$E:$E,'Base SKUs'!A:A),"")</f>
        <v>Ipe</v>
      </c>
      <c r="J482" t="str">
        <f>IFERROR(_xlfn.XLOOKUP($A482,'Base SKUs'!$E:$E,'Base SKUs'!B:B),"")</f>
        <v>Ipe 4x12</v>
      </c>
      <c r="K482" t="str">
        <f>IFERROR(_xlfn.XLOOKUP($A482,'Base SKUs'!$E:$E,'Base SKUs'!C:C),"")</f>
        <v>Long</v>
      </c>
      <c r="L482" t="str">
        <f>IFERROR(_xlfn.XLOOKUP($A482,'Base SKUs'!$E:$E,'Base SKUs'!D:D),"")</f>
        <v>Hardwoods</v>
      </c>
      <c r="M482" t="str">
        <f>IFERROR(_xlfn.XLOOKUP($A482,'Base SKUs'!$E:$E,'Base SKUs'!G:G),"")</f>
        <v>Ipe</v>
      </c>
      <c r="N482" t="str">
        <f>IFERROR(_xlfn.XLOOKUP($A482,'Base SKUs'!$E:$E,'Base SKUs'!H:H),"")</f>
        <v>S4S E4E</v>
      </c>
      <c r="O482" t="str">
        <f>IFERROR(_xlfn.XLOOKUP($A482,'Base SKUs'!$E:$E,'Base SKUs'!I:I),"")</f>
        <v>-</v>
      </c>
      <c r="P482" t="str">
        <f>IFERROR(_xlfn.XLOOKUP($A482,'Base SKUs'!$E:$E,'Base SKUs'!J:J),"")</f>
        <v>4x12</v>
      </c>
      <c r="Q482">
        <f>IFERROR(_xlfn.XLOOKUP($A482,'Base SKUs'!$E:$E,'Base SKUs'!K:K),"")</f>
        <v>14</v>
      </c>
      <c r="R482" s="7">
        <f>IFERROR(_xlfn.XLOOKUP($A482,'Base SKUs'!$E:$E,'Base SKUs'!S:S),"")</f>
        <v>0.10840042836000001</v>
      </c>
      <c r="S482" s="8">
        <f t="shared" si="37"/>
        <v>0.32520128508000001</v>
      </c>
      <c r="T482" s="7">
        <f>IFERROR(_xlfn.XLOOKUP($A482,'Base SKUs'!$E:$E,'Base SKUs'!R:R),"")</f>
        <v>129.15100000000001</v>
      </c>
      <c r="U482" s="15">
        <f t="shared" si="38"/>
        <v>42</v>
      </c>
      <c r="V482" t="str">
        <f t="shared" si="39"/>
        <v>BS Riverside</v>
      </c>
    </row>
    <row r="483" spans="1:22" x14ac:dyDescent="0.2">
      <c r="A483" t="s">
        <v>722</v>
      </c>
      <c r="B483" s="5">
        <v>6</v>
      </c>
      <c r="C483" s="5">
        <v>0</v>
      </c>
      <c r="D483" s="5">
        <f t="shared" si="35"/>
        <v>6</v>
      </c>
      <c r="E483" s="6">
        <v>427.21839999999997</v>
      </c>
      <c r="F483" s="6">
        <f t="shared" si="36"/>
        <v>2563.3103999999998</v>
      </c>
      <c r="G483" t="s">
        <v>454</v>
      </c>
      <c r="H483">
        <v>9013</v>
      </c>
      <c r="I483" t="str">
        <f>IFERROR(_xlfn.XLOOKUP($A483,'Base SKUs'!$E:$E,'Base SKUs'!A:A),"")</f>
        <v>Ipe</v>
      </c>
      <c r="J483" t="str">
        <f>IFERROR(_xlfn.XLOOKUP($A483,'Base SKUs'!$E:$E,'Base SKUs'!B:B),"")</f>
        <v>Ipe 4x12</v>
      </c>
      <c r="K483" t="str">
        <f>IFERROR(_xlfn.XLOOKUP($A483,'Base SKUs'!$E:$E,'Base SKUs'!C:C),"")</f>
        <v>Long</v>
      </c>
      <c r="L483" t="str">
        <f>IFERROR(_xlfn.XLOOKUP($A483,'Base SKUs'!$E:$E,'Base SKUs'!D:D),"")</f>
        <v>Hardwoods</v>
      </c>
      <c r="M483" t="str">
        <f>IFERROR(_xlfn.XLOOKUP($A483,'Base SKUs'!$E:$E,'Base SKUs'!G:G),"")</f>
        <v>Ipe</v>
      </c>
      <c r="N483" t="str">
        <f>IFERROR(_xlfn.XLOOKUP($A483,'Base SKUs'!$E:$E,'Base SKUs'!H:H),"")</f>
        <v>S4S E4E</v>
      </c>
      <c r="O483" t="str">
        <f>IFERROR(_xlfn.XLOOKUP($A483,'Base SKUs'!$E:$E,'Base SKUs'!I:I),"")</f>
        <v>-</v>
      </c>
      <c r="P483" t="str">
        <f>IFERROR(_xlfn.XLOOKUP($A483,'Base SKUs'!$E:$E,'Base SKUs'!J:J),"")</f>
        <v>4x12</v>
      </c>
      <c r="Q483">
        <f>IFERROR(_xlfn.XLOOKUP($A483,'Base SKUs'!$E:$E,'Base SKUs'!K:K),"")</f>
        <v>16</v>
      </c>
      <c r="R483" s="7">
        <f>IFERROR(_xlfn.XLOOKUP($A483,'Base SKUs'!$E:$E,'Base SKUs'!S:S),"")</f>
        <v>0.12388620384000003</v>
      </c>
      <c r="S483" s="8">
        <f t="shared" si="37"/>
        <v>0.74331722304000014</v>
      </c>
      <c r="T483" s="7">
        <f>IFERROR(_xlfn.XLOOKUP($A483,'Base SKUs'!$E:$E,'Base SKUs'!R:R),"")</f>
        <v>129.15100000000001</v>
      </c>
      <c r="U483" s="15">
        <f t="shared" si="38"/>
        <v>96</v>
      </c>
      <c r="V483" t="str">
        <f t="shared" si="39"/>
        <v>BS Riverside</v>
      </c>
    </row>
    <row r="484" spans="1:22" x14ac:dyDescent="0.2">
      <c r="A484" t="s">
        <v>724</v>
      </c>
      <c r="B484" s="5">
        <v>24</v>
      </c>
      <c r="C484" s="5">
        <v>0</v>
      </c>
      <c r="D484" s="5">
        <f t="shared" si="35"/>
        <v>24</v>
      </c>
      <c r="E484" s="6">
        <v>480.64420000000001</v>
      </c>
      <c r="F484" s="6">
        <f t="shared" si="36"/>
        <v>11535.460800000001</v>
      </c>
      <c r="G484" t="s">
        <v>17</v>
      </c>
      <c r="H484">
        <v>9007</v>
      </c>
      <c r="I484" t="str">
        <f>IFERROR(_xlfn.XLOOKUP($A484,'Base SKUs'!$E:$E,'Base SKUs'!A:A),"")</f>
        <v>Ipe</v>
      </c>
      <c r="J484" t="str">
        <f>IFERROR(_xlfn.XLOOKUP($A484,'Base SKUs'!$E:$E,'Base SKUs'!B:B),"")</f>
        <v>Ipe 4x12</v>
      </c>
      <c r="K484" t="str">
        <f>IFERROR(_xlfn.XLOOKUP($A484,'Base SKUs'!$E:$E,'Base SKUs'!C:C),"")</f>
        <v>Long</v>
      </c>
      <c r="L484" t="str">
        <f>IFERROR(_xlfn.XLOOKUP($A484,'Base SKUs'!$E:$E,'Base SKUs'!D:D),"")</f>
        <v>Hardwoods</v>
      </c>
      <c r="M484" t="str">
        <f>IFERROR(_xlfn.XLOOKUP($A484,'Base SKUs'!$E:$E,'Base SKUs'!G:G),"")</f>
        <v>Ipe</v>
      </c>
      <c r="N484" t="str">
        <f>IFERROR(_xlfn.XLOOKUP($A484,'Base SKUs'!$E:$E,'Base SKUs'!H:H),"")</f>
        <v>S4S E4E</v>
      </c>
      <c r="O484" t="str">
        <f>IFERROR(_xlfn.XLOOKUP($A484,'Base SKUs'!$E:$E,'Base SKUs'!I:I),"")</f>
        <v>-</v>
      </c>
      <c r="P484" t="str">
        <f>IFERROR(_xlfn.XLOOKUP($A484,'Base SKUs'!$E:$E,'Base SKUs'!J:J),"")</f>
        <v>4x12</v>
      </c>
      <c r="Q484">
        <f>IFERROR(_xlfn.XLOOKUP($A484,'Base SKUs'!$E:$E,'Base SKUs'!K:K),"")</f>
        <v>18</v>
      </c>
      <c r="R484" s="7">
        <f>IFERROR(_xlfn.XLOOKUP($A484,'Base SKUs'!$E:$E,'Base SKUs'!S:S),"")</f>
        <v>0.13937197932000001</v>
      </c>
      <c r="S484" s="8">
        <f t="shared" si="37"/>
        <v>3.3449275036800001</v>
      </c>
      <c r="T484" s="7">
        <f>IFERROR(_xlfn.XLOOKUP($A484,'Base SKUs'!$E:$E,'Base SKUs'!R:R),"")</f>
        <v>129.15100000000001</v>
      </c>
      <c r="U484" s="15">
        <f t="shared" si="38"/>
        <v>432</v>
      </c>
      <c r="V484" t="str">
        <f t="shared" si="39"/>
        <v>Miami</v>
      </c>
    </row>
    <row r="485" spans="1:22" x14ac:dyDescent="0.2">
      <c r="A485" t="s">
        <v>724</v>
      </c>
      <c r="B485" s="5">
        <v>6</v>
      </c>
      <c r="C485" s="5">
        <v>0</v>
      </c>
      <c r="D485" s="5">
        <f t="shared" si="35"/>
        <v>6</v>
      </c>
      <c r="E485" s="6">
        <v>480.64420000000001</v>
      </c>
      <c r="F485" s="6">
        <f t="shared" si="36"/>
        <v>2883.8652000000002</v>
      </c>
      <c r="G485" t="s">
        <v>330</v>
      </c>
      <c r="H485">
        <v>9011</v>
      </c>
      <c r="I485" t="str">
        <f>IFERROR(_xlfn.XLOOKUP($A485,'Base SKUs'!$E:$E,'Base SKUs'!A:A),"")</f>
        <v>Ipe</v>
      </c>
      <c r="J485" t="str">
        <f>IFERROR(_xlfn.XLOOKUP($A485,'Base SKUs'!$E:$E,'Base SKUs'!B:B),"")</f>
        <v>Ipe 4x12</v>
      </c>
      <c r="K485" t="str">
        <f>IFERROR(_xlfn.XLOOKUP($A485,'Base SKUs'!$E:$E,'Base SKUs'!C:C),"")</f>
        <v>Long</v>
      </c>
      <c r="L485" t="str">
        <f>IFERROR(_xlfn.XLOOKUP($A485,'Base SKUs'!$E:$E,'Base SKUs'!D:D),"")</f>
        <v>Hardwoods</v>
      </c>
      <c r="M485" t="str">
        <f>IFERROR(_xlfn.XLOOKUP($A485,'Base SKUs'!$E:$E,'Base SKUs'!G:G),"")</f>
        <v>Ipe</v>
      </c>
      <c r="N485" t="str">
        <f>IFERROR(_xlfn.XLOOKUP($A485,'Base SKUs'!$E:$E,'Base SKUs'!H:H),"")</f>
        <v>S4S E4E</v>
      </c>
      <c r="O485" t="str">
        <f>IFERROR(_xlfn.XLOOKUP($A485,'Base SKUs'!$E:$E,'Base SKUs'!I:I),"")</f>
        <v>-</v>
      </c>
      <c r="P485" t="str">
        <f>IFERROR(_xlfn.XLOOKUP($A485,'Base SKUs'!$E:$E,'Base SKUs'!J:J),"")</f>
        <v>4x12</v>
      </c>
      <c r="Q485">
        <f>IFERROR(_xlfn.XLOOKUP($A485,'Base SKUs'!$E:$E,'Base SKUs'!K:K),"")</f>
        <v>18</v>
      </c>
      <c r="R485" s="7">
        <f>IFERROR(_xlfn.XLOOKUP($A485,'Base SKUs'!$E:$E,'Base SKUs'!S:S),"")</f>
        <v>0.13937197932000001</v>
      </c>
      <c r="S485" s="8">
        <f t="shared" si="37"/>
        <v>0.83623187592000003</v>
      </c>
      <c r="T485" s="7">
        <f>IFERROR(_xlfn.XLOOKUP($A485,'Base SKUs'!$E:$E,'Base SKUs'!R:R),"")</f>
        <v>129.15100000000001</v>
      </c>
      <c r="U485" s="15">
        <f t="shared" si="38"/>
        <v>108</v>
      </c>
      <c r="V485" t="str">
        <f t="shared" si="39"/>
        <v>New York</v>
      </c>
    </row>
    <row r="486" spans="1:22" x14ac:dyDescent="0.2">
      <c r="A486" t="s">
        <v>724</v>
      </c>
      <c r="B486" s="5">
        <v>19</v>
      </c>
      <c r="C486" s="5">
        <v>0</v>
      </c>
      <c r="D486" s="5">
        <f t="shared" si="35"/>
        <v>19</v>
      </c>
      <c r="E486" s="6">
        <v>480.64420000000001</v>
      </c>
      <c r="F486" s="6">
        <f t="shared" si="36"/>
        <v>9132.2397999999994</v>
      </c>
      <c r="G486" t="s">
        <v>454</v>
      </c>
      <c r="H486">
        <v>9013</v>
      </c>
      <c r="I486" t="str">
        <f>IFERROR(_xlfn.XLOOKUP($A486,'Base SKUs'!$E:$E,'Base SKUs'!A:A),"")</f>
        <v>Ipe</v>
      </c>
      <c r="J486" t="str">
        <f>IFERROR(_xlfn.XLOOKUP($A486,'Base SKUs'!$E:$E,'Base SKUs'!B:B),"")</f>
        <v>Ipe 4x12</v>
      </c>
      <c r="K486" t="str">
        <f>IFERROR(_xlfn.XLOOKUP($A486,'Base SKUs'!$E:$E,'Base SKUs'!C:C),"")</f>
        <v>Long</v>
      </c>
      <c r="L486" t="str">
        <f>IFERROR(_xlfn.XLOOKUP($A486,'Base SKUs'!$E:$E,'Base SKUs'!D:D),"")</f>
        <v>Hardwoods</v>
      </c>
      <c r="M486" t="str">
        <f>IFERROR(_xlfn.XLOOKUP($A486,'Base SKUs'!$E:$E,'Base SKUs'!G:G),"")</f>
        <v>Ipe</v>
      </c>
      <c r="N486" t="str">
        <f>IFERROR(_xlfn.XLOOKUP($A486,'Base SKUs'!$E:$E,'Base SKUs'!H:H),"")</f>
        <v>S4S E4E</v>
      </c>
      <c r="O486" t="str">
        <f>IFERROR(_xlfn.XLOOKUP($A486,'Base SKUs'!$E:$E,'Base SKUs'!I:I),"")</f>
        <v>-</v>
      </c>
      <c r="P486" t="str">
        <f>IFERROR(_xlfn.XLOOKUP($A486,'Base SKUs'!$E:$E,'Base SKUs'!J:J),"")</f>
        <v>4x12</v>
      </c>
      <c r="Q486">
        <f>IFERROR(_xlfn.XLOOKUP($A486,'Base SKUs'!$E:$E,'Base SKUs'!K:K),"")</f>
        <v>18</v>
      </c>
      <c r="R486" s="7">
        <f>IFERROR(_xlfn.XLOOKUP($A486,'Base SKUs'!$E:$E,'Base SKUs'!S:S),"")</f>
        <v>0.13937197932000001</v>
      </c>
      <c r="S486" s="8">
        <f t="shared" si="37"/>
        <v>2.6480676070800002</v>
      </c>
      <c r="T486" s="7">
        <f>IFERROR(_xlfn.XLOOKUP($A486,'Base SKUs'!$E:$E,'Base SKUs'!R:R),"")</f>
        <v>129.15100000000001</v>
      </c>
      <c r="U486" s="15">
        <f t="shared" si="38"/>
        <v>342</v>
      </c>
      <c r="V486" t="str">
        <f t="shared" si="39"/>
        <v>BS Riverside</v>
      </c>
    </row>
    <row r="487" spans="1:22" x14ac:dyDescent="0.2">
      <c r="A487" t="s">
        <v>726</v>
      </c>
      <c r="B487" s="5">
        <v>2</v>
      </c>
      <c r="C487" s="5">
        <v>0</v>
      </c>
      <c r="D487" s="5">
        <f t="shared" si="35"/>
        <v>2</v>
      </c>
      <c r="E487" s="6">
        <v>406.07249999999999</v>
      </c>
      <c r="F487" s="6">
        <f t="shared" si="36"/>
        <v>812.14499999999998</v>
      </c>
      <c r="G487" t="s">
        <v>17</v>
      </c>
      <c r="H487">
        <v>9007</v>
      </c>
      <c r="I487" t="str">
        <f>IFERROR(_xlfn.XLOOKUP($A487,'Base SKUs'!$E:$E,'Base SKUs'!A:A),"")</f>
        <v>Ipe</v>
      </c>
      <c r="J487" t="str">
        <f>IFERROR(_xlfn.XLOOKUP($A487,'Base SKUs'!$E:$E,'Base SKUs'!B:B),"")</f>
        <v>Ipe 4x12</v>
      </c>
      <c r="K487" t="str">
        <f>IFERROR(_xlfn.XLOOKUP($A487,'Base SKUs'!$E:$E,'Base SKUs'!C:C),"")</f>
        <v>Long</v>
      </c>
      <c r="L487" t="str">
        <f>IFERROR(_xlfn.XLOOKUP($A487,'Base SKUs'!$E:$E,'Base SKUs'!D:D),"")</f>
        <v>Hardwoods</v>
      </c>
      <c r="M487" t="str">
        <f>IFERROR(_xlfn.XLOOKUP($A487,'Base SKUs'!$E:$E,'Base SKUs'!G:G),"")</f>
        <v>Ipe</v>
      </c>
      <c r="N487" t="str">
        <f>IFERROR(_xlfn.XLOOKUP($A487,'Base SKUs'!$E:$E,'Base SKUs'!H:H),"")</f>
        <v>S4S E4E</v>
      </c>
      <c r="O487" t="str">
        <f>IFERROR(_xlfn.XLOOKUP($A487,'Base SKUs'!$E:$E,'Base SKUs'!I:I),"")</f>
        <v>-</v>
      </c>
      <c r="P487" t="str">
        <f>IFERROR(_xlfn.XLOOKUP($A487,'Base SKUs'!$E:$E,'Base SKUs'!J:J),"")</f>
        <v>4x12</v>
      </c>
      <c r="Q487">
        <f>IFERROR(_xlfn.XLOOKUP($A487,'Base SKUs'!$E:$E,'Base SKUs'!K:K),"")</f>
        <v>20</v>
      </c>
      <c r="R487" s="7">
        <f>IFERROR(_xlfn.XLOOKUP($A487,'Base SKUs'!$E:$E,'Base SKUs'!S:S),"")</f>
        <v>0.15485775480000002</v>
      </c>
      <c r="S487" s="8">
        <f t="shared" si="37"/>
        <v>0.30971550960000005</v>
      </c>
      <c r="T487" s="7">
        <f>IFERROR(_xlfn.XLOOKUP($A487,'Base SKUs'!$E:$E,'Base SKUs'!R:R),"")</f>
        <v>129.15100000000001</v>
      </c>
      <c r="U487" s="15">
        <f t="shared" si="38"/>
        <v>40</v>
      </c>
      <c r="V487" t="str">
        <f t="shared" si="39"/>
        <v>Miami</v>
      </c>
    </row>
    <row r="488" spans="1:22" x14ac:dyDescent="0.2">
      <c r="A488" t="s">
        <v>726</v>
      </c>
      <c r="B488" s="5">
        <v>15</v>
      </c>
      <c r="C488" s="5">
        <v>0</v>
      </c>
      <c r="D488" s="5">
        <f t="shared" si="35"/>
        <v>15</v>
      </c>
      <c r="E488" s="6">
        <v>534.12350000000004</v>
      </c>
      <c r="F488" s="6">
        <f t="shared" si="36"/>
        <v>8011.8525000000009</v>
      </c>
      <c r="G488" t="s">
        <v>24</v>
      </c>
      <c r="H488">
        <v>9008</v>
      </c>
      <c r="I488" t="str">
        <f>IFERROR(_xlfn.XLOOKUP($A488,'Base SKUs'!$E:$E,'Base SKUs'!A:A),"")</f>
        <v>Ipe</v>
      </c>
      <c r="J488" t="str">
        <f>IFERROR(_xlfn.XLOOKUP($A488,'Base SKUs'!$E:$E,'Base SKUs'!B:B),"")</f>
        <v>Ipe 4x12</v>
      </c>
      <c r="K488" t="str">
        <f>IFERROR(_xlfn.XLOOKUP($A488,'Base SKUs'!$E:$E,'Base SKUs'!C:C),"")</f>
        <v>Long</v>
      </c>
      <c r="L488" t="str">
        <f>IFERROR(_xlfn.XLOOKUP($A488,'Base SKUs'!$E:$E,'Base SKUs'!D:D),"")</f>
        <v>Hardwoods</v>
      </c>
      <c r="M488" t="str">
        <f>IFERROR(_xlfn.XLOOKUP($A488,'Base SKUs'!$E:$E,'Base SKUs'!G:G),"")</f>
        <v>Ipe</v>
      </c>
      <c r="N488" t="str">
        <f>IFERROR(_xlfn.XLOOKUP($A488,'Base SKUs'!$E:$E,'Base SKUs'!H:H),"")</f>
        <v>S4S E4E</v>
      </c>
      <c r="O488" t="str">
        <f>IFERROR(_xlfn.XLOOKUP($A488,'Base SKUs'!$E:$E,'Base SKUs'!I:I),"")</f>
        <v>-</v>
      </c>
      <c r="P488" t="str">
        <f>IFERROR(_xlfn.XLOOKUP($A488,'Base SKUs'!$E:$E,'Base SKUs'!J:J),"")</f>
        <v>4x12</v>
      </c>
      <c r="Q488">
        <f>IFERROR(_xlfn.XLOOKUP($A488,'Base SKUs'!$E:$E,'Base SKUs'!K:K),"")</f>
        <v>20</v>
      </c>
      <c r="R488" s="7">
        <f>IFERROR(_xlfn.XLOOKUP($A488,'Base SKUs'!$E:$E,'Base SKUs'!S:S),"")</f>
        <v>0.15485775480000002</v>
      </c>
      <c r="S488" s="8">
        <f t="shared" si="37"/>
        <v>2.3228663220000003</v>
      </c>
      <c r="T488" s="7">
        <f>IFERROR(_xlfn.XLOOKUP($A488,'Base SKUs'!$E:$E,'Base SKUs'!R:R),"")</f>
        <v>129.15100000000001</v>
      </c>
      <c r="U488" s="15">
        <f t="shared" si="38"/>
        <v>300</v>
      </c>
      <c r="V488" t="str">
        <f t="shared" si="39"/>
        <v>Texas</v>
      </c>
    </row>
    <row r="489" spans="1:22" x14ac:dyDescent="0.2">
      <c r="A489" t="s">
        <v>726</v>
      </c>
      <c r="B489" s="5">
        <v>39</v>
      </c>
      <c r="C489" s="5">
        <v>8</v>
      </c>
      <c r="D489" s="5">
        <f t="shared" si="35"/>
        <v>31</v>
      </c>
      <c r="E489" s="6">
        <v>534.12350000000004</v>
      </c>
      <c r="F489" s="6">
        <f t="shared" si="36"/>
        <v>20830.816500000001</v>
      </c>
      <c r="G489" t="s">
        <v>330</v>
      </c>
      <c r="H489">
        <v>9011</v>
      </c>
      <c r="I489" t="str">
        <f>IFERROR(_xlfn.XLOOKUP($A489,'Base SKUs'!$E:$E,'Base SKUs'!A:A),"")</f>
        <v>Ipe</v>
      </c>
      <c r="J489" t="str">
        <f>IFERROR(_xlfn.XLOOKUP($A489,'Base SKUs'!$E:$E,'Base SKUs'!B:B),"")</f>
        <v>Ipe 4x12</v>
      </c>
      <c r="K489" t="str">
        <f>IFERROR(_xlfn.XLOOKUP($A489,'Base SKUs'!$E:$E,'Base SKUs'!C:C),"")</f>
        <v>Long</v>
      </c>
      <c r="L489" t="str">
        <f>IFERROR(_xlfn.XLOOKUP($A489,'Base SKUs'!$E:$E,'Base SKUs'!D:D),"")</f>
        <v>Hardwoods</v>
      </c>
      <c r="M489" t="str">
        <f>IFERROR(_xlfn.XLOOKUP($A489,'Base SKUs'!$E:$E,'Base SKUs'!G:G),"")</f>
        <v>Ipe</v>
      </c>
      <c r="N489" t="str">
        <f>IFERROR(_xlfn.XLOOKUP($A489,'Base SKUs'!$E:$E,'Base SKUs'!H:H),"")</f>
        <v>S4S E4E</v>
      </c>
      <c r="O489" t="str">
        <f>IFERROR(_xlfn.XLOOKUP($A489,'Base SKUs'!$E:$E,'Base SKUs'!I:I),"")</f>
        <v>-</v>
      </c>
      <c r="P489" t="str">
        <f>IFERROR(_xlfn.XLOOKUP($A489,'Base SKUs'!$E:$E,'Base SKUs'!J:J),"")</f>
        <v>4x12</v>
      </c>
      <c r="Q489">
        <f>IFERROR(_xlfn.XLOOKUP($A489,'Base SKUs'!$E:$E,'Base SKUs'!K:K),"")</f>
        <v>20</v>
      </c>
      <c r="R489" s="7">
        <f>IFERROR(_xlfn.XLOOKUP($A489,'Base SKUs'!$E:$E,'Base SKUs'!S:S),"")</f>
        <v>0.15485775480000002</v>
      </c>
      <c r="S489" s="8">
        <f t="shared" si="37"/>
        <v>4.8005903988000007</v>
      </c>
      <c r="T489" s="7">
        <f>IFERROR(_xlfn.XLOOKUP($A489,'Base SKUs'!$E:$E,'Base SKUs'!R:R),"")</f>
        <v>129.15100000000001</v>
      </c>
      <c r="U489" s="15">
        <f t="shared" si="38"/>
        <v>620</v>
      </c>
      <c r="V489" t="str">
        <f t="shared" si="39"/>
        <v>New York</v>
      </c>
    </row>
    <row r="490" spans="1:22" x14ac:dyDescent="0.2">
      <c r="A490" t="s">
        <v>726</v>
      </c>
      <c r="B490" s="5">
        <v>24</v>
      </c>
      <c r="C490" s="5">
        <v>0</v>
      </c>
      <c r="D490" s="5">
        <f t="shared" si="35"/>
        <v>24</v>
      </c>
      <c r="E490" s="6">
        <v>534.12350000000004</v>
      </c>
      <c r="F490" s="6">
        <f t="shared" si="36"/>
        <v>12818.964</v>
      </c>
      <c r="G490" t="s">
        <v>454</v>
      </c>
      <c r="H490">
        <v>9013</v>
      </c>
      <c r="I490" t="str">
        <f>IFERROR(_xlfn.XLOOKUP($A490,'Base SKUs'!$E:$E,'Base SKUs'!A:A),"")</f>
        <v>Ipe</v>
      </c>
      <c r="J490" t="str">
        <f>IFERROR(_xlfn.XLOOKUP($A490,'Base SKUs'!$E:$E,'Base SKUs'!B:B),"")</f>
        <v>Ipe 4x12</v>
      </c>
      <c r="K490" t="str">
        <f>IFERROR(_xlfn.XLOOKUP($A490,'Base SKUs'!$E:$E,'Base SKUs'!C:C),"")</f>
        <v>Long</v>
      </c>
      <c r="L490" t="str">
        <f>IFERROR(_xlfn.XLOOKUP($A490,'Base SKUs'!$E:$E,'Base SKUs'!D:D),"")</f>
        <v>Hardwoods</v>
      </c>
      <c r="M490" t="str">
        <f>IFERROR(_xlfn.XLOOKUP($A490,'Base SKUs'!$E:$E,'Base SKUs'!G:G),"")</f>
        <v>Ipe</v>
      </c>
      <c r="N490" t="str">
        <f>IFERROR(_xlfn.XLOOKUP($A490,'Base SKUs'!$E:$E,'Base SKUs'!H:H),"")</f>
        <v>S4S E4E</v>
      </c>
      <c r="O490" t="str">
        <f>IFERROR(_xlfn.XLOOKUP($A490,'Base SKUs'!$E:$E,'Base SKUs'!I:I),"")</f>
        <v>-</v>
      </c>
      <c r="P490" t="str">
        <f>IFERROR(_xlfn.XLOOKUP($A490,'Base SKUs'!$E:$E,'Base SKUs'!J:J),"")</f>
        <v>4x12</v>
      </c>
      <c r="Q490">
        <f>IFERROR(_xlfn.XLOOKUP($A490,'Base SKUs'!$E:$E,'Base SKUs'!K:K),"")</f>
        <v>20</v>
      </c>
      <c r="R490" s="7">
        <f>IFERROR(_xlfn.XLOOKUP($A490,'Base SKUs'!$E:$E,'Base SKUs'!S:S),"")</f>
        <v>0.15485775480000002</v>
      </c>
      <c r="S490" s="8">
        <f t="shared" si="37"/>
        <v>3.7165861152000006</v>
      </c>
      <c r="T490" s="7">
        <f>IFERROR(_xlfn.XLOOKUP($A490,'Base SKUs'!$E:$E,'Base SKUs'!R:R),"")</f>
        <v>129.15100000000001</v>
      </c>
      <c r="U490" s="15">
        <f t="shared" si="38"/>
        <v>480</v>
      </c>
      <c r="V490" t="str">
        <f t="shared" si="39"/>
        <v>BS Riverside</v>
      </c>
    </row>
    <row r="491" spans="1:22" x14ac:dyDescent="0.2">
      <c r="A491" t="s">
        <v>728</v>
      </c>
      <c r="B491" s="5">
        <v>10</v>
      </c>
      <c r="C491" s="5">
        <v>0</v>
      </c>
      <c r="D491" s="5">
        <f t="shared" si="35"/>
        <v>10</v>
      </c>
      <c r="E491" s="6">
        <v>587.30560000000003</v>
      </c>
      <c r="F491" s="6">
        <f t="shared" si="36"/>
        <v>5873.0560000000005</v>
      </c>
      <c r="G491" t="s">
        <v>454</v>
      </c>
      <c r="H491">
        <v>9013</v>
      </c>
      <c r="I491" t="str">
        <f>IFERROR(_xlfn.XLOOKUP($A491,'Base SKUs'!$E:$E,'Base SKUs'!A:A),"")</f>
        <v>Ipe</v>
      </c>
      <c r="J491" t="str">
        <f>IFERROR(_xlfn.XLOOKUP($A491,'Base SKUs'!$E:$E,'Base SKUs'!B:B),"")</f>
        <v>Ipe 4x12</v>
      </c>
      <c r="K491" t="str">
        <f>IFERROR(_xlfn.XLOOKUP($A491,'Base SKUs'!$E:$E,'Base SKUs'!C:C),"")</f>
        <v>Long</v>
      </c>
      <c r="L491" t="str">
        <f>IFERROR(_xlfn.XLOOKUP($A491,'Base SKUs'!$E:$E,'Base SKUs'!D:D),"")</f>
        <v>Hardwoods</v>
      </c>
      <c r="M491" t="str">
        <f>IFERROR(_xlfn.XLOOKUP($A491,'Base SKUs'!$E:$E,'Base SKUs'!G:G),"")</f>
        <v>Ipe</v>
      </c>
      <c r="N491" t="str">
        <f>IFERROR(_xlfn.XLOOKUP($A491,'Base SKUs'!$E:$E,'Base SKUs'!H:H),"")</f>
        <v>S4S E4E</v>
      </c>
      <c r="O491" t="str">
        <f>IFERROR(_xlfn.XLOOKUP($A491,'Base SKUs'!$E:$E,'Base SKUs'!I:I),"")</f>
        <v>-</v>
      </c>
      <c r="P491" t="str">
        <f>IFERROR(_xlfn.XLOOKUP($A491,'Base SKUs'!$E:$E,'Base SKUs'!J:J),"")</f>
        <v>4x12</v>
      </c>
      <c r="Q491">
        <f>IFERROR(_xlfn.XLOOKUP($A491,'Base SKUs'!$E:$E,'Base SKUs'!K:K),"")</f>
        <v>22</v>
      </c>
      <c r="R491" s="7">
        <f>IFERROR(_xlfn.XLOOKUP($A491,'Base SKUs'!$E:$E,'Base SKUs'!S:S),"")</f>
        <v>0.17034353027999999</v>
      </c>
      <c r="S491" s="8">
        <f t="shared" si="37"/>
        <v>1.7034353028</v>
      </c>
      <c r="T491" s="7">
        <f>IFERROR(_xlfn.XLOOKUP($A491,'Base SKUs'!$E:$E,'Base SKUs'!R:R),"")</f>
        <v>129.15100000000001</v>
      </c>
      <c r="U491" s="15">
        <f t="shared" si="38"/>
        <v>220</v>
      </c>
      <c r="V491" t="str">
        <f t="shared" si="39"/>
        <v>BS Riverside</v>
      </c>
    </row>
    <row r="492" spans="1:22" x14ac:dyDescent="0.2">
      <c r="A492" t="s">
        <v>730</v>
      </c>
      <c r="B492" s="5">
        <v>2</v>
      </c>
      <c r="C492" s="5">
        <v>0</v>
      </c>
      <c r="D492" s="5">
        <f t="shared" si="35"/>
        <v>2</v>
      </c>
      <c r="E492" s="6">
        <v>213.80080000000001</v>
      </c>
      <c r="F492" s="6">
        <f t="shared" si="36"/>
        <v>427.60160000000002</v>
      </c>
      <c r="G492" t="s">
        <v>17</v>
      </c>
      <c r="H492">
        <v>9007</v>
      </c>
      <c r="I492" t="str">
        <f>IFERROR(_xlfn.XLOOKUP($A492,'Base SKUs'!$E:$E,'Base SKUs'!A:A),"")</f>
        <v>Ipe</v>
      </c>
      <c r="J492" t="str">
        <f>IFERROR(_xlfn.XLOOKUP($A492,'Base SKUs'!$E:$E,'Base SKUs'!B:B),"")</f>
        <v>Ipe 4x12</v>
      </c>
      <c r="K492" t="str">
        <f>IFERROR(_xlfn.XLOOKUP($A492,'Base SKUs'!$E:$E,'Base SKUs'!C:C),"")</f>
        <v>Long</v>
      </c>
      <c r="L492" t="str">
        <f>IFERROR(_xlfn.XLOOKUP($A492,'Base SKUs'!$E:$E,'Base SKUs'!D:D),"")</f>
        <v>Hardwoods</v>
      </c>
      <c r="M492" t="str">
        <f>IFERROR(_xlfn.XLOOKUP($A492,'Base SKUs'!$E:$E,'Base SKUs'!G:G),"")</f>
        <v>Ipe</v>
      </c>
      <c r="N492" t="str">
        <f>IFERROR(_xlfn.XLOOKUP($A492,'Base SKUs'!$E:$E,'Base SKUs'!H:H),"")</f>
        <v>S4S E4E</v>
      </c>
      <c r="O492" t="str">
        <f>IFERROR(_xlfn.XLOOKUP($A492,'Base SKUs'!$E:$E,'Base SKUs'!I:I),"")</f>
        <v>-</v>
      </c>
      <c r="P492" t="str">
        <f>IFERROR(_xlfn.XLOOKUP($A492,'Base SKUs'!$E:$E,'Base SKUs'!J:J),"")</f>
        <v>4x12</v>
      </c>
      <c r="Q492">
        <f>IFERROR(_xlfn.XLOOKUP($A492,'Base SKUs'!$E:$E,'Base SKUs'!K:K),"")</f>
        <v>8</v>
      </c>
      <c r="R492" s="7">
        <f>IFERROR(_xlfn.XLOOKUP($A492,'Base SKUs'!$E:$E,'Base SKUs'!S:S),"")</f>
        <v>6.1943101920000014E-2</v>
      </c>
      <c r="S492" s="8">
        <f t="shared" si="37"/>
        <v>0.12388620384000003</v>
      </c>
      <c r="T492" s="7">
        <f>IFERROR(_xlfn.XLOOKUP($A492,'Base SKUs'!$E:$E,'Base SKUs'!R:R),"")</f>
        <v>129.15100000000001</v>
      </c>
      <c r="U492" s="15">
        <f t="shared" si="38"/>
        <v>16</v>
      </c>
      <c r="V492" t="str">
        <f t="shared" si="39"/>
        <v>Miami</v>
      </c>
    </row>
    <row r="493" spans="1:22" x14ac:dyDescent="0.2">
      <c r="A493" t="s">
        <v>732</v>
      </c>
      <c r="B493" s="5">
        <v>67</v>
      </c>
      <c r="C493" s="5">
        <v>0</v>
      </c>
      <c r="D493" s="5">
        <f t="shared" si="35"/>
        <v>67</v>
      </c>
      <c r="E493" s="6">
        <v>73.412800000000004</v>
      </c>
      <c r="F493" s="6">
        <f t="shared" si="36"/>
        <v>4918.6576000000005</v>
      </c>
      <c r="G493" t="s">
        <v>17</v>
      </c>
      <c r="H493">
        <v>9007</v>
      </c>
      <c r="I493" t="str">
        <f>IFERROR(_xlfn.XLOOKUP($A493,'Base SKUs'!$E:$E,'Base SKUs'!A:A),"")</f>
        <v>Ipe</v>
      </c>
      <c r="J493" t="str">
        <f>IFERROR(_xlfn.XLOOKUP($A493,'Base SKUs'!$E:$E,'Base SKUs'!B:B),"")</f>
        <v>Ipe 4x4</v>
      </c>
      <c r="K493" t="str">
        <f>IFERROR(_xlfn.XLOOKUP($A493,'Base SKUs'!$E:$E,'Base SKUs'!C:C),"")</f>
        <v>Long</v>
      </c>
      <c r="L493" t="str">
        <f>IFERROR(_xlfn.XLOOKUP($A493,'Base SKUs'!$E:$E,'Base SKUs'!D:D),"")</f>
        <v>Hardwoods</v>
      </c>
      <c r="M493" t="str">
        <f>IFERROR(_xlfn.XLOOKUP($A493,'Base SKUs'!$E:$E,'Base SKUs'!G:G),"")</f>
        <v>Ipe</v>
      </c>
      <c r="N493" t="str">
        <f>IFERROR(_xlfn.XLOOKUP($A493,'Base SKUs'!$E:$E,'Base SKUs'!H:H),"")</f>
        <v>S4S E4E</v>
      </c>
      <c r="O493" t="str">
        <f>IFERROR(_xlfn.XLOOKUP($A493,'Base SKUs'!$E:$E,'Base SKUs'!I:I),"")</f>
        <v>-</v>
      </c>
      <c r="P493" t="str">
        <f>IFERROR(_xlfn.XLOOKUP($A493,'Base SKUs'!$E:$E,'Base SKUs'!J:J),"")</f>
        <v>4x4</v>
      </c>
      <c r="Q493">
        <f>IFERROR(_xlfn.XLOOKUP($A493,'Base SKUs'!$E:$E,'Base SKUs'!K:K),"")</f>
        <v>10</v>
      </c>
      <c r="R493" s="7">
        <f>IFERROR(_xlfn.XLOOKUP($A493,'Base SKUs'!$E:$E,'Base SKUs'!S:S),"")</f>
        <v>2.4088984080000007E-2</v>
      </c>
      <c r="S493" s="8">
        <f t="shared" si="37"/>
        <v>1.6139619333600006</v>
      </c>
      <c r="T493" s="7">
        <f>IFERROR(_xlfn.XLOOKUP($A493,'Base SKUs'!$E:$E,'Base SKUs'!R:R),"")</f>
        <v>415.12799999999999</v>
      </c>
      <c r="U493" s="15">
        <f t="shared" si="38"/>
        <v>670</v>
      </c>
      <c r="V493" t="str">
        <f t="shared" si="39"/>
        <v>Miami</v>
      </c>
    </row>
    <row r="494" spans="1:22" x14ac:dyDescent="0.2">
      <c r="A494" t="s">
        <v>732</v>
      </c>
      <c r="B494" s="5">
        <v>12</v>
      </c>
      <c r="C494" s="5">
        <v>0</v>
      </c>
      <c r="D494" s="5">
        <f t="shared" si="35"/>
        <v>12</v>
      </c>
      <c r="E494" s="6">
        <v>79.4666</v>
      </c>
      <c r="F494" s="6">
        <f t="shared" si="36"/>
        <v>953.5992</v>
      </c>
      <c r="G494" t="s">
        <v>24</v>
      </c>
      <c r="H494">
        <v>9008</v>
      </c>
      <c r="I494" t="str">
        <f>IFERROR(_xlfn.XLOOKUP($A494,'Base SKUs'!$E:$E,'Base SKUs'!A:A),"")</f>
        <v>Ipe</v>
      </c>
      <c r="J494" t="str">
        <f>IFERROR(_xlfn.XLOOKUP($A494,'Base SKUs'!$E:$E,'Base SKUs'!B:B),"")</f>
        <v>Ipe 4x4</v>
      </c>
      <c r="K494" t="str">
        <f>IFERROR(_xlfn.XLOOKUP($A494,'Base SKUs'!$E:$E,'Base SKUs'!C:C),"")</f>
        <v>Long</v>
      </c>
      <c r="L494" t="str">
        <f>IFERROR(_xlfn.XLOOKUP($A494,'Base SKUs'!$E:$E,'Base SKUs'!D:D),"")</f>
        <v>Hardwoods</v>
      </c>
      <c r="M494" t="str">
        <f>IFERROR(_xlfn.XLOOKUP($A494,'Base SKUs'!$E:$E,'Base SKUs'!G:G),"")</f>
        <v>Ipe</v>
      </c>
      <c r="N494" t="str">
        <f>IFERROR(_xlfn.XLOOKUP($A494,'Base SKUs'!$E:$E,'Base SKUs'!H:H),"")</f>
        <v>S4S E4E</v>
      </c>
      <c r="O494" t="str">
        <f>IFERROR(_xlfn.XLOOKUP($A494,'Base SKUs'!$E:$E,'Base SKUs'!I:I),"")</f>
        <v>-</v>
      </c>
      <c r="P494" t="str">
        <f>IFERROR(_xlfn.XLOOKUP($A494,'Base SKUs'!$E:$E,'Base SKUs'!J:J),"")</f>
        <v>4x4</v>
      </c>
      <c r="Q494">
        <f>IFERROR(_xlfn.XLOOKUP($A494,'Base SKUs'!$E:$E,'Base SKUs'!K:K),"")</f>
        <v>10</v>
      </c>
      <c r="R494" s="7">
        <f>IFERROR(_xlfn.XLOOKUP($A494,'Base SKUs'!$E:$E,'Base SKUs'!S:S),"")</f>
        <v>2.4088984080000007E-2</v>
      </c>
      <c r="S494" s="8">
        <f t="shared" si="37"/>
        <v>0.28906780896000006</v>
      </c>
      <c r="T494" s="7">
        <f>IFERROR(_xlfn.XLOOKUP($A494,'Base SKUs'!$E:$E,'Base SKUs'!R:R),"")</f>
        <v>415.12799999999999</v>
      </c>
      <c r="U494" s="15">
        <f t="shared" si="38"/>
        <v>120</v>
      </c>
      <c r="V494" t="str">
        <f t="shared" si="39"/>
        <v>Texas</v>
      </c>
    </row>
    <row r="495" spans="1:22" x14ac:dyDescent="0.2">
      <c r="A495" t="s">
        <v>734</v>
      </c>
      <c r="B495" s="5">
        <v>37</v>
      </c>
      <c r="C495" s="5">
        <v>0</v>
      </c>
      <c r="D495" s="5">
        <f t="shared" si="35"/>
        <v>37</v>
      </c>
      <c r="E495" s="6">
        <v>88.08</v>
      </c>
      <c r="F495" s="6">
        <f t="shared" si="36"/>
        <v>3258.96</v>
      </c>
      <c r="G495" t="s">
        <v>17</v>
      </c>
      <c r="H495">
        <v>9007</v>
      </c>
      <c r="I495" t="str">
        <f>IFERROR(_xlfn.XLOOKUP($A495,'Base SKUs'!$E:$E,'Base SKUs'!A:A),"")</f>
        <v>Ipe</v>
      </c>
      <c r="J495" t="str">
        <f>IFERROR(_xlfn.XLOOKUP($A495,'Base SKUs'!$E:$E,'Base SKUs'!B:B),"")</f>
        <v>Ipe 4x4</v>
      </c>
      <c r="K495" t="str">
        <f>IFERROR(_xlfn.XLOOKUP($A495,'Base SKUs'!$E:$E,'Base SKUs'!C:C),"")</f>
        <v>Long</v>
      </c>
      <c r="L495" t="str">
        <f>IFERROR(_xlfn.XLOOKUP($A495,'Base SKUs'!$E:$E,'Base SKUs'!D:D),"")</f>
        <v>Hardwoods</v>
      </c>
      <c r="M495" t="str">
        <f>IFERROR(_xlfn.XLOOKUP($A495,'Base SKUs'!$E:$E,'Base SKUs'!G:G),"")</f>
        <v>Ipe</v>
      </c>
      <c r="N495" t="str">
        <f>IFERROR(_xlfn.XLOOKUP($A495,'Base SKUs'!$E:$E,'Base SKUs'!H:H),"")</f>
        <v>S4S E4E</v>
      </c>
      <c r="O495" t="str">
        <f>IFERROR(_xlfn.XLOOKUP($A495,'Base SKUs'!$E:$E,'Base SKUs'!I:I),"")</f>
        <v>-</v>
      </c>
      <c r="P495" t="str">
        <f>IFERROR(_xlfn.XLOOKUP($A495,'Base SKUs'!$E:$E,'Base SKUs'!J:J),"")</f>
        <v>4x4</v>
      </c>
      <c r="Q495">
        <f>IFERROR(_xlfn.XLOOKUP($A495,'Base SKUs'!$E:$E,'Base SKUs'!K:K),"")</f>
        <v>12</v>
      </c>
      <c r="R495" s="7">
        <f>IFERROR(_xlfn.XLOOKUP($A495,'Base SKUs'!$E:$E,'Base SKUs'!S:S),"")</f>
        <v>2.8906780896E-2</v>
      </c>
      <c r="S495" s="8">
        <f t="shared" si="37"/>
        <v>1.0695508931519999</v>
      </c>
      <c r="T495" s="7">
        <f>IFERROR(_xlfn.XLOOKUP($A495,'Base SKUs'!$E:$E,'Base SKUs'!R:R),"")</f>
        <v>415.12799999999999</v>
      </c>
      <c r="U495" s="15">
        <f t="shared" si="38"/>
        <v>444</v>
      </c>
      <c r="V495" t="str">
        <f t="shared" si="39"/>
        <v>Miami</v>
      </c>
    </row>
    <row r="496" spans="1:22" x14ac:dyDescent="0.2">
      <c r="A496" t="s">
        <v>736</v>
      </c>
      <c r="B496" s="5">
        <v>139</v>
      </c>
      <c r="C496" s="5">
        <v>0</v>
      </c>
      <c r="D496" s="5">
        <f t="shared" si="35"/>
        <v>139</v>
      </c>
      <c r="E496" s="6">
        <v>102.76</v>
      </c>
      <c r="F496" s="6">
        <f t="shared" si="36"/>
        <v>14283.640000000001</v>
      </c>
      <c r="G496" t="s">
        <v>17</v>
      </c>
      <c r="H496">
        <v>9007</v>
      </c>
      <c r="I496" t="str">
        <f>IFERROR(_xlfn.XLOOKUP($A496,'Base SKUs'!$E:$E,'Base SKUs'!A:A),"")</f>
        <v>Ipe</v>
      </c>
      <c r="J496" t="str">
        <f>IFERROR(_xlfn.XLOOKUP($A496,'Base SKUs'!$E:$E,'Base SKUs'!B:B),"")</f>
        <v>Ipe 4x4</v>
      </c>
      <c r="K496" t="str">
        <f>IFERROR(_xlfn.XLOOKUP($A496,'Base SKUs'!$E:$E,'Base SKUs'!C:C),"")</f>
        <v>Long</v>
      </c>
      <c r="L496" t="str">
        <f>IFERROR(_xlfn.XLOOKUP($A496,'Base SKUs'!$E:$E,'Base SKUs'!D:D),"")</f>
        <v>Hardwoods</v>
      </c>
      <c r="M496" t="str">
        <f>IFERROR(_xlfn.XLOOKUP($A496,'Base SKUs'!$E:$E,'Base SKUs'!G:G),"")</f>
        <v>Ipe</v>
      </c>
      <c r="N496" t="str">
        <f>IFERROR(_xlfn.XLOOKUP($A496,'Base SKUs'!$E:$E,'Base SKUs'!H:H),"")</f>
        <v>S4S E4E</v>
      </c>
      <c r="O496" t="str">
        <f>IFERROR(_xlfn.XLOOKUP($A496,'Base SKUs'!$E:$E,'Base SKUs'!I:I),"")</f>
        <v>-</v>
      </c>
      <c r="P496" t="str">
        <f>IFERROR(_xlfn.XLOOKUP($A496,'Base SKUs'!$E:$E,'Base SKUs'!J:J),"")</f>
        <v>4x4</v>
      </c>
      <c r="Q496">
        <f>IFERROR(_xlfn.XLOOKUP($A496,'Base SKUs'!$E:$E,'Base SKUs'!K:K),"")</f>
        <v>14</v>
      </c>
      <c r="R496" s="7">
        <f>IFERROR(_xlfn.XLOOKUP($A496,'Base SKUs'!$E:$E,'Base SKUs'!S:S),"")</f>
        <v>3.3724577712000006E-2</v>
      </c>
      <c r="S496" s="8">
        <f t="shared" si="37"/>
        <v>4.6877163019680008</v>
      </c>
      <c r="T496" s="7">
        <f>IFERROR(_xlfn.XLOOKUP($A496,'Base SKUs'!$E:$E,'Base SKUs'!R:R),"")</f>
        <v>415.12799999999999</v>
      </c>
      <c r="U496" s="15">
        <f t="shared" si="38"/>
        <v>1946</v>
      </c>
      <c r="V496" t="str">
        <f t="shared" si="39"/>
        <v>Miami</v>
      </c>
    </row>
    <row r="497" spans="1:22" x14ac:dyDescent="0.2">
      <c r="A497" t="s">
        <v>736</v>
      </c>
      <c r="B497" s="5">
        <v>21</v>
      </c>
      <c r="C497" s="5">
        <v>0</v>
      </c>
      <c r="D497" s="5">
        <f t="shared" si="35"/>
        <v>21</v>
      </c>
      <c r="E497" s="6">
        <v>111.2833</v>
      </c>
      <c r="F497" s="6">
        <f t="shared" si="36"/>
        <v>2336.9492999999998</v>
      </c>
      <c r="G497" t="s">
        <v>125</v>
      </c>
      <c r="H497">
        <v>9009</v>
      </c>
      <c r="I497" t="str">
        <f>IFERROR(_xlfn.XLOOKUP($A497,'Base SKUs'!$E:$E,'Base SKUs'!A:A),"")</f>
        <v>Ipe</v>
      </c>
      <c r="J497" t="str">
        <f>IFERROR(_xlfn.XLOOKUP($A497,'Base SKUs'!$E:$E,'Base SKUs'!B:B),"")</f>
        <v>Ipe 4x4</v>
      </c>
      <c r="K497" t="str">
        <f>IFERROR(_xlfn.XLOOKUP($A497,'Base SKUs'!$E:$E,'Base SKUs'!C:C),"")</f>
        <v>Long</v>
      </c>
      <c r="L497" t="str">
        <f>IFERROR(_xlfn.XLOOKUP($A497,'Base SKUs'!$E:$E,'Base SKUs'!D:D),"")</f>
        <v>Hardwoods</v>
      </c>
      <c r="M497" t="str">
        <f>IFERROR(_xlfn.XLOOKUP($A497,'Base SKUs'!$E:$E,'Base SKUs'!G:G),"")</f>
        <v>Ipe</v>
      </c>
      <c r="N497" t="str">
        <f>IFERROR(_xlfn.XLOOKUP($A497,'Base SKUs'!$E:$E,'Base SKUs'!H:H),"")</f>
        <v>S4S E4E</v>
      </c>
      <c r="O497" t="str">
        <f>IFERROR(_xlfn.XLOOKUP($A497,'Base SKUs'!$E:$E,'Base SKUs'!I:I),"")</f>
        <v>-</v>
      </c>
      <c r="P497" t="str">
        <f>IFERROR(_xlfn.XLOOKUP($A497,'Base SKUs'!$E:$E,'Base SKUs'!J:J),"")</f>
        <v>4x4</v>
      </c>
      <c r="Q497">
        <f>IFERROR(_xlfn.XLOOKUP($A497,'Base SKUs'!$E:$E,'Base SKUs'!K:K),"")</f>
        <v>14</v>
      </c>
      <c r="R497" s="7">
        <f>IFERROR(_xlfn.XLOOKUP($A497,'Base SKUs'!$E:$E,'Base SKUs'!S:S),"")</f>
        <v>3.3724577712000006E-2</v>
      </c>
      <c r="S497" s="8">
        <f t="shared" si="37"/>
        <v>0.70821613195200017</v>
      </c>
      <c r="T497" s="7">
        <f>IFERROR(_xlfn.XLOOKUP($A497,'Base SKUs'!$E:$E,'Base SKUs'!R:R),"")</f>
        <v>415.12799999999999</v>
      </c>
      <c r="U497" s="15">
        <f t="shared" si="38"/>
        <v>294</v>
      </c>
      <c r="V497" t="str">
        <f t="shared" si="39"/>
        <v>Boston</v>
      </c>
    </row>
    <row r="498" spans="1:22" x14ac:dyDescent="0.2">
      <c r="A498" t="s">
        <v>738</v>
      </c>
      <c r="B498" s="5">
        <v>41</v>
      </c>
      <c r="C498" s="5">
        <v>0</v>
      </c>
      <c r="D498" s="5">
        <f t="shared" si="35"/>
        <v>41</v>
      </c>
      <c r="E498" s="6">
        <v>117.44</v>
      </c>
      <c r="F498" s="6">
        <f t="shared" si="36"/>
        <v>4815.04</v>
      </c>
      <c r="G498" t="s">
        <v>17</v>
      </c>
      <c r="H498">
        <v>9007</v>
      </c>
      <c r="I498" t="str">
        <f>IFERROR(_xlfn.XLOOKUP($A498,'Base SKUs'!$E:$E,'Base SKUs'!A:A),"")</f>
        <v>Ipe</v>
      </c>
      <c r="J498" t="str">
        <f>IFERROR(_xlfn.XLOOKUP($A498,'Base SKUs'!$E:$E,'Base SKUs'!B:B),"")</f>
        <v>Ipe 4x4</v>
      </c>
      <c r="K498" t="str">
        <f>IFERROR(_xlfn.XLOOKUP($A498,'Base SKUs'!$E:$E,'Base SKUs'!C:C),"")</f>
        <v>Long</v>
      </c>
      <c r="L498" t="str">
        <f>IFERROR(_xlfn.XLOOKUP($A498,'Base SKUs'!$E:$E,'Base SKUs'!D:D),"")</f>
        <v>Hardwoods</v>
      </c>
      <c r="M498" t="str">
        <f>IFERROR(_xlfn.XLOOKUP($A498,'Base SKUs'!$E:$E,'Base SKUs'!G:G),"")</f>
        <v>Ipe</v>
      </c>
      <c r="N498" t="str">
        <f>IFERROR(_xlfn.XLOOKUP($A498,'Base SKUs'!$E:$E,'Base SKUs'!H:H),"")</f>
        <v>S4S E4E</v>
      </c>
      <c r="O498" t="str">
        <f>IFERROR(_xlfn.XLOOKUP($A498,'Base SKUs'!$E:$E,'Base SKUs'!I:I),"")</f>
        <v>-</v>
      </c>
      <c r="P498" t="str">
        <f>IFERROR(_xlfn.XLOOKUP($A498,'Base SKUs'!$E:$E,'Base SKUs'!J:J),"")</f>
        <v>4x4</v>
      </c>
      <c r="Q498">
        <f>IFERROR(_xlfn.XLOOKUP($A498,'Base SKUs'!$E:$E,'Base SKUs'!K:K),"")</f>
        <v>16</v>
      </c>
      <c r="R498" s="7">
        <f>IFERROR(_xlfn.XLOOKUP($A498,'Base SKUs'!$E:$E,'Base SKUs'!S:S),"")</f>
        <v>3.8542374528000009E-2</v>
      </c>
      <c r="S498" s="8">
        <f t="shared" si="37"/>
        <v>1.5802373556480003</v>
      </c>
      <c r="T498" s="7">
        <f>IFERROR(_xlfn.XLOOKUP($A498,'Base SKUs'!$E:$E,'Base SKUs'!R:R),"")</f>
        <v>415.12799999999999</v>
      </c>
      <c r="U498" s="15">
        <f t="shared" si="38"/>
        <v>656</v>
      </c>
      <c r="V498" t="str">
        <f t="shared" si="39"/>
        <v>Miami</v>
      </c>
    </row>
    <row r="499" spans="1:22" x14ac:dyDescent="0.2">
      <c r="A499" t="s">
        <v>740</v>
      </c>
      <c r="B499" s="5">
        <v>24</v>
      </c>
      <c r="C499" s="5">
        <v>0</v>
      </c>
      <c r="D499" s="5">
        <f t="shared" si="35"/>
        <v>24</v>
      </c>
      <c r="E499" s="6">
        <v>132.12</v>
      </c>
      <c r="F499" s="6">
        <f t="shared" si="36"/>
        <v>3170.88</v>
      </c>
      <c r="G499" t="s">
        <v>17</v>
      </c>
      <c r="H499">
        <v>9007</v>
      </c>
      <c r="I499" t="str">
        <f>IFERROR(_xlfn.XLOOKUP($A499,'Base SKUs'!$E:$E,'Base SKUs'!A:A),"")</f>
        <v>Ipe</v>
      </c>
      <c r="J499" t="str">
        <f>IFERROR(_xlfn.XLOOKUP($A499,'Base SKUs'!$E:$E,'Base SKUs'!B:B),"")</f>
        <v>Ipe 4x4</v>
      </c>
      <c r="K499" t="str">
        <f>IFERROR(_xlfn.XLOOKUP($A499,'Base SKUs'!$E:$E,'Base SKUs'!C:C),"")</f>
        <v>Long</v>
      </c>
      <c r="L499" t="str">
        <f>IFERROR(_xlfn.XLOOKUP($A499,'Base SKUs'!$E:$E,'Base SKUs'!D:D),"")</f>
        <v>Hardwoods</v>
      </c>
      <c r="M499" t="str">
        <f>IFERROR(_xlfn.XLOOKUP($A499,'Base SKUs'!$E:$E,'Base SKUs'!G:G),"")</f>
        <v>Ipe</v>
      </c>
      <c r="N499" t="str">
        <f>IFERROR(_xlfn.XLOOKUP($A499,'Base SKUs'!$E:$E,'Base SKUs'!H:H),"")</f>
        <v>S4S E4E</v>
      </c>
      <c r="O499" t="str">
        <f>IFERROR(_xlfn.XLOOKUP($A499,'Base SKUs'!$E:$E,'Base SKUs'!I:I),"")</f>
        <v>-</v>
      </c>
      <c r="P499" t="str">
        <f>IFERROR(_xlfn.XLOOKUP($A499,'Base SKUs'!$E:$E,'Base SKUs'!J:J),"")</f>
        <v>4x4</v>
      </c>
      <c r="Q499">
        <f>IFERROR(_xlfn.XLOOKUP($A499,'Base SKUs'!$E:$E,'Base SKUs'!K:K),"")</f>
        <v>18</v>
      </c>
      <c r="R499" s="7">
        <f>IFERROR(_xlfn.XLOOKUP($A499,'Base SKUs'!$E:$E,'Base SKUs'!S:S),"")</f>
        <v>4.3360171344000005E-2</v>
      </c>
      <c r="S499" s="8">
        <f t="shared" si="37"/>
        <v>1.0406441122560002</v>
      </c>
      <c r="T499" s="7">
        <f>IFERROR(_xlfn.XLOOKUP($A499,'Base SKUs'!$E:$E,'Base SKUs'!R:R),"")</f>
        <v>415.12799999999999</v>
      </c>
      <c r="U499" s="15">
        <f t="shared" si="38"/>
        <v>432</v>
      </c>
      <c r="V499" t="str">
        <f t="shared" si="39"/>
        <v>Miami</v>
      </c>
    </row>
    <row r="500" spans="1:22" x14ac:dyDescent="0.2">
      <c r="A500" t="s">
        <v>742</v>
      </c>
      <c r="B500" s="5">
        <v>48</v>
      </c>
      <c r="C500" s="5">
        <v>0</v>
      </c>
      <c r="D500" s="5">
        <f t="shared" si="35"/>
        <v>48</v>
      </c>
      <c r="E500" s="6">
        <v>146.80000000000001</v>
      </c>
      <c r="F500" s="6">
        <f t="shared" si="36"/>
        <v>7046.4000000000005</v>
      </c>
      <c r="G500" t="s">
        <v>17</v>
      </c>
      <c r="H500">
        <v>9007</v>
      </c>
      <c r="I500" t="str">
        <f>IFERROR(_xlfn.XLOOKUP($A500,'Base SKUs'!$E:$E,'Base SKUs'!A:A),"")</f>
        <v>Ipe</v>
      </c>
      <c r="J500" t="str">
        <f>IFERROR(_xlfn.XLOOKUP($A500,'Base SKUs'!$E:$E,'Base SKUs'!B:B),"")</f>
        <v>Ipe 4x4</v>
      </c>
      <c r="K500" t="str">
        <f>IFERROR(_xlfn.XLOOKUP($A500,'Base SKUs'!$E:$E,'Base SKUs'!C:C),"")</f>
        <v>Long</v>
      </c>
      <c r="L500" t="str">
        <f>IFERROR(_xlfn.XLOOKUP($A500,'Base SKUs'!$E:$E,'Base SKUs'!D:D),"")</f>
        <v>Hardwoods</v>
      </c>
      <c r="M500" t="str">
        <f>IFERROR(_xlfn.XLOOKUP($A500,'Base SKUs'!$E:$E,'Base SKUs'!G:G),"")</f>
        <v>Ipe</v>
      </c>
      <c r="N500" t="str">
        <f>IFERROR(_xlfn.XLOOKUP($A500,'Base SKUs'!$E:$E,'Base SKUs'!H:H),"")</f>
        <v>S4S E4E</v>
      </c>
      <c r="O500" t="str">
        <f>IFERROR(_xlfn.XLOOKUP($A500,'Base SKUs'!$E:$E,'Base SKUs'!I:I),"")</f>
        <v>-</v>
      </c>
      <c r="P500" t="str">
        <f>IFERROR(_xlfn.XLOOKUP($A500,'Base SKUs'!$E:$E,'Base SKUs'!J:J),"")</f>
        <v>4x4</v>
      </c>
      <c r="Q500">
        <f>IFERROR(_xlfn.XLOOKUP($A500,'Base SKUs'!$E:$E,'Base SKUs'!K:K),"")</f>
        <v>20</v>
      </c>
      <c r="R500" s="7">
        <f>IFERROR(_xlfn.XLOOKUP($A500,'Base SKUs'!$E:$E,'Base SKUs'!S:S),"")</f>
        <v>4.8177968160000015E-2</v>
      </c>
      <c r="S500" s="8">
        <f t="shared" si="37"/>
        <v>2.3125424716800005</v>
      </c>
      <c r="T500" s="7">
        <f>IFERROR(_xlfn.XLOOKUP($A500,'Base SKUs'!$E:$E,'Base SKUs'!R:R),"")</f>
        <v>415.12799999999999</v>
      </c>
      <c r="U500" s="15">
        <f t="shared" si="38"/>
        <v>960</v>
      </c>
      <c r="V500" t="str">
        <f t="shared" si="39"/>
        <v>Miami</v>
      </c>
    </row>
    <row r="501" spans="1:22" x14ac:dyDescent="0.2">
      <c r="A501" t="s">
        <v>742</v>
      </c>
      <c r="B501" s="5">
        <v>22</v>
      </c>
      <c r="C501" s="5">
        <v>0</v>
      </c>
      <c r="D501" s="5">
        <f t="shared" si="35"/>
        <v>22</v>
      </c>
      <c r="E501" s="6">
        <v>159</v>
      </c>
      <c r="F501" s="6">
        <f t="shared" si="36"/>
        <v>3498</v>
      </c>
      <c r="G501" t="s">
        <v>125</v>
      </c>
      <c r="H501">
        <v>9009</v>
      </c>
      <c r="I501" t="str">
        <f>IFERROR(_xlfn.XLOOKUP($A501,'Base SKUs'!$E:$E,'Base SKUs'!A:A),"")</f>
        <v>Ipe</v>
      </c>
      <c r="J501" t="str">
        <f>IFERROR(_xlfn.XLOOKUP($A501,'Base SKUs'!$E:$E,'Base SKUs'!B:B),"")</f>
        <v>Ipe 4x4</v>
      </c>
      <c r="K501" t="str">
        <f>IFERROR(_xlfn.XLOOKUP($A501,'Base SKUs'!$E:$E,'Base SKUs'!C:C),"")</f>
        <v>Long</v>
      </c>
      <c r="L501" t="str">
        <f>IFERROR(_xlfn.XLOOKUP($A501,'Base SKUs'!$E:$E,'Base SKUs'!D:D),"")</f>
        <v>Hardwoods</v>
      </c>
      <c r="M501" t="str">
        <f>IFERROR(_xlfn.XLOOKUP($A501,'Base SKUs'!$E:$E,'Base SKUs'!G:G),"")</f>
        <v>Ipe</v>
      </c>
      <c r="N501" t="str">
        <f>IFERROR(_xlfn.XLOOKUP($A501,'Base SKUs'!$E:$E,'Base SKUs'!H:H),"")</f>
        <v>S4S E4E</v>
      </c>
      <c r="O501" t="str">
        <f>IFERROR(_xlfn.XLOOKUP($A501,'Base SKUs'!$E:$E,'Base SKUs'!I:I),"")</f>
        <v>-</v>
      </c>
      <c r="P501" t="str">
        <f>IFERROR(_xlfn.XLOOKUP($A501,'Base SKUs'!$E:$E,'Base SKUs'!J:J),"")</f>
        <v>4x4</v>
      </c>
      <c r="Q501">
        <f>IFERROR(_xlfn.XLOOKUP($A501,'Base SKUs'!$E:$E,'Base SKUs'!K:K),"")</f>
        <v>20</v>
      </c>
      <c r="R501" s="7">
        <f>IFERROR(_xlfn.XLOOKUP($A501,'Base SKUs'!$E:$E,'Base SKUs'!S:S),"")</f>
        <v>4.8177968160000015E-2</v>
      </c>
      <c r="S501" s="8">
        <f t="shared" si="37"/>
        <v>1.0599152995200003</v>
      </c>
      <c r="T501" s="7">
        <f>IFERROR(_xlfn.XLOOKUP($A501,'Base SKUs'!$E:$E,'Base SKUs'!R:R),"")</f>
        <v>415.12799999999999</v>
      </c>
      <c r="U501" s="15">
        <f t="shared" si="38"/>
        <v>440</v>
      </c>
      <c r="V501" t="str">
        <f t="shared" si="39"/>
        <v>Boston</v>
      </c>
    </row>
    <row r="502" spans="1:22" x14ac:dyDescent="0.2">
      <c r="A502" t="s">
        <v>744</v>
      </c>
      <c r="B502" s="5">
        <v>1</v>
      </c>
      <c r="C502" s="5">
        <v>0</v>
      </c>
      <c r="D502" s="5">
        <f t="shared" si="35"/>
        <v>1</v>
      </c>
      <c r="E502" s="6">
        <v>130.54650000000001</v>
      </c>
      <c r="F502" s="6">
        <f t="shared" si="36"/>
        <v>130.54650000000001</v>
      </c>
      <c r="G502" t="s">
        <v>17</v>
      </c>
      <c r="H502">
        <v>9007</v>
      </c>
      <c r="I502" t="str">
        <f>IFERROR(_xlfn.XLOOKUP($A502,'Base SKUs'!$E:$E,'Base SKUs'!A:A),"")</f>
        <v>Ipe</v>
      </c>
      <c r="J502" t="str">
        <f>IFERROR(_xlfn.XLOOKUP($A502,'Base SKUs'!$E:$E,'Base SKUs'!B:B),"")</f>
        <v>Ipe 4x6</v>
      </c>
      <c r="K502" t="str">
        <f>IFERROR(_xlfn.XLOOKUP($A502,'Base SKUs'!$E:$E,'Base SKUs'!C:C),"")</f>
        <v>Long</v>
      </c>
      <c r="L502" t="str">
        <f>IFERROR(_xlfn.XLOOKUP($A502,'Base SKUs'!$E:$E,'Base SKUs'!D:D),"")</f>
        <v>Hardwoods</v>
      </c>
      <c r="M502" t="str">
        <f>IFERROR(_xlfn.XLOOKUP($A502,'Base SKUs'!$E:$E,'Base SKUs'!G:G),"")</f>
        <v>Ipe</v>
      </c>
      <c r="N502" t="str">
        <f>IFERROR(_xlfn.XLOOKUP($A502,'Base SKUs'!$E:$E,'Base SKUs'!H:H),"")</f>
        <v>S4S E4E</v>
      </c>
      <c r="O502" t="str">
        <f>IFERROR(_xlfn.XLOOKUP($A502,'Base SKUs'!$E:$E,'Base SKUs'!I:I),"")</f>
        <v>-</v>
      </c>
      <c r="P502" t="str">
        <f>IFERROR(_xlfn.XLOOKUP($A502,'Base SKUs'!$E:$E,'Base SKUs'!J:J),"")</f>
        <v>4x6</v>
      </c>
      <c r="Q502">
        <f>IFERROR(_xlfn.XLOOKUP($A502,'Base SKUs'!$E:$E,'Base SKUs'!K:K),"")</f>
        <v>10</v>
      </c>
      <c r="R502" s="7">
        <f>IFERROR(_xlfn.XLOOKUP($A502,'Base SKUs'!$E:$E,'Base SKUs'!S:S),"")</f>
        <v>3.7854117840000007E-2</v>
      </c>
      <c r="S502" s="8">
        <f t="shared" si="37"/>
        <v>3.7854117840000007E-2</v>
      </c>
      <c r="T502" s="7">
        <f>IFERROR(_xlfn.XLOOKUP($A502,'Base SKUs'!$E:$E,'Base SKUs'!R:R),"")</f>
        <v>264.17200000000003</v>
      </c>
      <c r="U502" s="15">
        <f t="shared" si="38"/>
        <v>10</v>
      </c>
      <c r="V502" t="str">
        <f t="shared" si="39"/>
        <v>Miami</v>
      </c>
    </row>
    <row r="503" spans="1:22" x14ac:dyDescent="0.2">
      <c r="A503" t="s">
        <v>744</v>
      </c>
      <c r="B503" s="5">
        <v>36</v>
      </c>
      <c r="C503" s="5">
        <v>0</v>
      </c>
      <c r="D503" s="5">
        <f t="shared" si="35"/>
        <v>36</v>
      </c>
      <c r="E503" s="6">
        <v>130.54650000000001</v>
      </c>
      <c r="F503" s="6">
        <f t="shared" si="36"/>
        <v>4699.674</v>
      </c>
      <c r="G503" t="s">
        <v>454</v>
      </c>
      <c r="H503">
        <v>9013</v>
      </c>
      <c r="I503" t="str">
        <f>IFERROR(_xlfn.XLOOKUP($A503,'Base SKUs'!$E:$E,'Base SKUs'!A:A),"")</f>
        <v>Ipe</v>
      </c>
      <c r="J503" t="str">
        <f>IFERROR(_xlfn.XLOOKUP($A503,'Base SKUs'!$E:$E,'Base SKUs'!B:B),"")</f>
        <v>Ipe 4x6</v>
      </c>
      <c r="K503" t="str">
        <f>IFERROR(_xlfn.XLOOKUP($A503,'Base SKUs'!$E:$E,'Base SKUs'!C:C),"")</f>
        <v>Long</v>
      </c>
      <c r="L503" t="str">
        <f>IFERROR(_xlfn.XLOOKUP($A503,'Base SKUs'!$E:$E,'Base SKUs'!D:D),"")</f>
        <v>Hardwoods</v>
      </c>
      <c r="M503" t="str">
        <f>IFERROR(_xlfn.XLOOKUP($A503,'Base SKUs'!$E:$E,'Base SKUs'!G:G),"")</f>
        <v>Ipe</v>
      </c>
      <c r="N503" t="str">
        <f>IFERROR(_xlfn.XLOOKUP($A503,'Base SKUs'!$E:$E,'Base SKUs'!H:H),"")</f>
        <v>S4S E4E</v>
      </c>
      <c r="O503" t="str">
        <f>IFERROR(_xlfn.XLOOKUP($A503,'Base SKUs'!$E:$E,'Base SKUs'!I:I),"")</f>
        <v>-</v>
      </c>
      <c r="P503" t="str">
        <f>IFERROR(_xlfn.XLOOKUP($A503,'Base SKUs'!$E:$E,'Base SKUs'!J:J),"")</f>
        <v>4x6</v>
      </c>
      <c r="Q503">
        <f>IFERROR(_xlfn.XLOOKUP($A503,'Base SKUs'!$E:$E,'Base SKUs'!K:K),"")</f>
        <v>10</v>
      </c>
      <c r="R503" s="7">
        <f>IFERROR(_xlfn.XLOOKUP($A503,'Base SKUs'!$E:$E,'Base SKUs'!S:S),"")</f>
        <v>3.7854117840000007E-2</v>
      </c>
      <c r="S503" s="8">
        <f t="shared" si="37"/>
        <v>1.3627482422400004</v>
      </c>
      <c r="T503" s="7">
        <f>IFERROR(_xlfn.XLOOKUP($A503,'Base SKUs'!$E:$E,'Base SKUs'!R:R),"")</f>
        <v>264.17200000000003</v>
      </c>
      <c r="U503" s="15">
        <f t="shared" si="38"/>
        <v>360</v>
      </c>
      <c r="V503" t="str">
        <f t="shared" si="39"/>
        <v>BS Riverside</v>
      </c>
    </row>
    <row r="504" spans="1:22" x14ac:dyDescent="0.2">
      <c r="A504" t="s">
        <v>746</v>
      </c>
      <c r="B504" s="5">
        <v>9</v>
      </c>
      <c r="C504" s="5">
        <v>0</v>
      </c>
      <c r="D504" s="5">
        <f t="shared" si="35"/>
        <v>9</v>
      </c>
      <c r="E504" s="6">
        <v>156.63910000000001</v>
      </c>
      <c r="F504" s="6">
        <f t="shared" si="36"/>
        <v>1409.7519000000002</v>
      </c>
      <c r="G504" t="s">
        <v>17</v>
      </c>
      <c r="H504">
        <v>9007</v>
      </c>
      <c r="I504" t="str">
        <f>IFERROR(_xlfn.XLOOKUP($A504,'Base SKUs'!$E:$E,'Base SKUs'!A:A),"")</f>
        <v>Ipe</v>
      </c>
      <c r="J504" t="str">
        <f>IFERROR(_xlfn.XLOOKUP($A504,'Base SKUs'!$E:$E,'Base SKUs'!B:B),"")</f>
        <v>Ipe 4x6</v>
      </c>
      <c r="K504" t="str">
        <f>IFERROR(_xlfn.XLOOKUP($A504,'Base SKUs'!$E:$E,'Base SKUs'!C:C),"")</f>
        <v>Long</v>
      </c>
      <c r="L504" t="str">
        <f>IFERROR(_xlfn.XLOOKUP($A504,'Base SKUs'!$E:$E,'Base SKUs'!D:D),"")</f>
        <v>Hardwoods</v>
      </c>
      <c r="M504" t="str">
        <f>IFERROR(_xlfn.XLOOKUP($A504,'Base SKUs'!$E:$E,'Base SKUs'!G:G),"")</f>
        <v>Ipe</v>
      </c>
      <c r="N504" t="str">
        <f>IFERROR(_xlfn.XLOOKUP($A504,'Base SKUs'!$E:$E,'Base SKUs'!H:H),"")</f>
        <v>S4S E4E</v>
      </c>
      <c r="O504" t="str">
        <f>IFERROR(_xlfn.XLOOKUP($A504,'Base SKUs'!$E:$E,'Base SKUs'!I:I),"")</f>
        <v>-</v>
      </c>
      <c r="P504" t="str">
        <f>IFERROR(_xlfn.XLOOKUP($A504,'Base SKUs'!$E:$E,'Base SKUs'!J:J),"")</f>
        <v>4x6</v>
      </c>
      <c r="Q504">
        <f>IFERROR(_xlfn.XLOOKUP($A504,'Base SKUs'!$E:$E,'Base SKUs'!K:K),"")</f>
        <v>12</v>
      </c>
      <c r="R504" s="7">
        <f>IFERROR(_xlfn.XLOOKUP($A504,'Base SKUs'!$E:$E,'Base SKUs'!S:S),"")</f>
        <v>4.5424941407999998E-2</v>
      </c>
      <c r="S504" s="8">
        <f t="shared" si="37"/>
        <v>0.40882447267200001</v>
      </c>
      <c r="T504" s="7">
        <f>IFERROR(_xlfn.XLOOKUP($A504,'Base SKUs'!$E:$E,'Base SKUs'!R:R),"")</f>
        <v>264.17200000000003</v>
      </c>
      <c r="U504" s="15">
        <f t="shared" si="38"/>
        <v>108</v>
      </c>
      <c r="V504" t="str">
        <f t="shared" si="39"/>
        <v>Miami</v>
      </c>
    </row>
    <row r="505" spans="1:22" x14ac:dyDescent="0.2">
      <c r="A505" t="s">
        <v>746</v>
      </c>
      <c r="B505" s="5">
        <v>50</v>
      </c>
      <c r="C505" s="5">
        <v>0</v>
      </c>
      <c r="D505" s="5">
        <f t="shared" si="35"/>
        <v>50</v>
      </c>
      <c r="E505" s="6">
        <v>156.63910000000001</v>
      </c>
      <c r="F505" s="6">
        <f t="shared" si="36"/>
        <v>7831.9550000000008</v>
      </c>
      <c r="G505" t="s">
        <v>454</v>
      </c>
      <c r="H505">
        <v>9013</v>
      </c>
      <c r="I505" t="str">
        <f>IFERROR(_xlfn.XLOOKUP($A505,'Base SKUs'!$E:$E,'Base SKUs'!A:A),"")</f>
        <v>Ipe</v>
      </c>
      <c r="J505" t="str">
        <f>IFERROR(_xlfn.XLOOKUP($A505,'Base SKUs'!$E:$E,'Base SKUs'!B:B),"")</f>
        <v>Ipe 4x6</v>
      </c>
      <c r="K505" t="str">
        <f>IFERROR(_xlfn.XLOOKUP($A505,'Base SKUs'!$E:$E,'Base SKUs'!C:C),"")</f>
        <v>Long</v>
      </c>
      <c r="L505" t="str">
        <f>IFERROR(_xlfn.XLOOKUP($A505,'Base SKUs'!$E:$E,'Base SKUs'!D:D),"")</f>
        <v>Hardwoods</v>
      </c>
      <c r="M505" t="str">
        <f>IFERROR(_xlfn.XLOOKUP($A505,'Base SKUs'!$E:$E,'Base SKUs'!G:G),"")</f>
        <v>Ipe</v>
      </c>
      <c r="N505" t="str">
        <f>IFERROR(_xlfn.XLOOKUP($A505,'Base SKUs'!$E:$E,'Base SKUs'!H:H),"")</f>
        <v>S4S E4E</v>
      </c>
      <c r="O505" t="str">
        <f>IFERROR(_xlfn.XLOOKUP($A505,'Base SKUs'!$E:$E,'Base SKUs'!I:I),"")</f>
        <v>-</v>
      </c>
      <c r="P505" t="str">
        <f>IFERROR(_xlfn.XLOOKUP($A505,'Base SKUs'!$E:$E,'Base SKUs'!J:J),"")</f>
        <v>4x6</v>
      </c>
      <c r="Q505">
        <f>IFERROR(_xlfn.XLOOKUP($A505,'Base SKUs'!$E:$E,'Base SKUs'!K:K),"")</f>
        <v>12</v>
      </c>
      <c r="R505" s="7">
        <f>IFERROR(_xlfn.XLOOKUP($A505,'Base SKUs'!$E:$E,'Base SKUs'!S:S),"")</f>
        <v>4.5424941407999998E-2</v>
      </c>
      <c r="S505" s="8">
        <f t="shared" si="37"/>
        <v>2.2712470703999998</v>
      </c>
      <c r="T505" s="7">
        <f>IFERROR(_xlfn.XLOOKUP($A505,'Base SKUs'!$E:$E,'Base SKUs'!R:R),"")</f>
        <v>264.17200000000003</v>
      </c>
      <c r="U505" s="15">
        <f t="shared" si="38"/>
        <v>600</v>
      </c>
      <c r="V505" t="str">
        <f t="shared" si="39"/>
        <v>BS Riverside</v>
      </c>
    </row>
    <row r="506" spans="1:22" x14ac:dyDescent="0.2">
      <c r="A506" t="s">
        <v>748</v>
      </c>
      <c r="B506" s="5">
        <v>24</v>
      </c>
      <c r="C506" s="5">
        <v>0</v>
      </c>
      <c r="D506" s="5">
        <f t="shared" si="35"/>
        <v>24</v>
      </c>
      <c r="E506" s="6">
        <v>182.76519999999999</v>
      </c>
      <c r="F506" s="6">
        <f t="shared" si="36"/>
        <v>4386.3647999999994</v>
      </c>
      <c r="G506" t="s">
        <v>17</v>
      </c>
      <c r="H506">
        <v>9007</v>
      </c>
      <c r="I506" t="str">
        <f>IFERROR(_xlfn.XLOOKUP($A506,'Base SKUs'!$E:$E,'Base SKUs'!A:A),"")</f>
        <v>Ipe</v>
      </c>
      <c r="J506" t="str">
        <f>IFERROR(_xlfn.XLOOKUP($A506,'Base SKUs'!$E:$E,'Base SKUs'!B:B),"")</f>
        <v>Ipe 4x6</v>
      </c>
      <c r="K506" t="str">
        <f>IFERROR(_xlfn.XLOOKUP($A506,'Base SKUs'!$E:$E,'Base SKUs'!C:C),"")</f>
        <v>Long</v>
      </c>
      <c r="L506" t="str">
        <f>IFERROR(_xlfn.XLOOKUP($A506,'Base SKUs'!$E:$E,'Base SKUs'!D:D),"")</f>
        <v>Hardwoods</v>
      </c>
      <c r="M506" t="str">
        <f>IFERROR(_xlfn.XLOOKUP($A506,'Base SKUs'!$E:$E,'Base SKUs'!G:G),"")</f>
        <v>Ipe</v>
      </c>
      <c r="N506" t="str">
        <f>IFERROR(_xlfn.XLOOKUP($A506,'Base SKUs'!$E:$E,'Base SKUs'!H:H),"")</f>
        <v>S4S E4E</v>
      </c>
      <c r="O506" t="str">
        <f>IFERROR(_xlfn.XLOOKUP($A506,'Base SKUs'!$E:$E,'Base SKUs'!I:I),"")</f>
        <v>-</v>
      </c>
      <c r="P506" t="str">
        <f>IFERROR(_xlfn.XLOOKUP($A506,'Base SKUs'!$E:$E,'Base SKUs'!J:J),"")</f>
        <v>4x6</v>
      </c>
      <c r="Q506">
        <f>IFERROR(_xlfn.XLOOKUP($A506,'Base SKUs'!$E:$E,'Base SKUs'!K:K),"")</f>
        <v>14</v>
      </c>
      <c r="R506" s="7">
        <f>IFERROR(_xlfn.XLOOKUP($A506,'Base SKUs'!$E:$E,'Base SKUs'!S:S),"")</f>
        <v>5.2995764976000004E-2</v>
      </c>
      <c r="S506" s="8">
        <f t="shared" si="37"/>
        <v>1.2718983594240001</v>
      </c>
      <c r="T506" s="7">
        <f>IFERROR(_xlfn.XLOOKUP($A506,'Base SKUs'!$E:$E,'Base SKUs'!R:R),"")</f>
        <v>264.17200000000003</v>
      </c>
      <c r="U506" s="15">
        <f t="shared" si="38"/>
        <v>336</v>
      </c>
      <c r="V506" t="str">
        <f t="shared" si="39"/>
        <v>Miami</v>
      </c>
    </row>
    <row r="507" spans="1:22" x14ac:dyDescent="0.2">
      <c r="A507" t="s">
        <v>748</v>
      </c>
      <c r="B507" s="5">
        <v>72</v>
      </c>
      <c r="C507" s="5">
        <v>0</v>
      </c>
      <c r="D507" s="5">
        <f t="shared" si="35"/>
        <v>72</v>
      </c>
      <c r="E507" s="6">
        <v>182.76519999999999</v>
      </c>
      <c r="F507" s="6">
        <f t="shared" si="36"/>
        <v>13159.0944</v>
      </c>
      <c r="G507" t="s">
        <v>454</v>
      </c>
      <c r="H507">
        <v>9013</v>
      </c>
      <c r="I507" t="str">
        <f>IFERROR(_xlfn.XLOOKUP($A507,'Base SKUs'!$E:$E,'Base SKUs'!A:A),"")</f>
        <v>Ipe</v>
      </c>
      <c r="J507" t="str">
        <f>IFERROR(_xlfn.XLOOKUP($A507,'Base SKUs'!$E:$E,'Base SKUs'!B:B),"")</f>
        <v>Ipe 4x6</v>
      </c>
      <c r="K507" t="str">
        <f>IFERROR(_xlfn.XLOOKUP($A507,'Base SKUs'!$E:$E,'Base SKUs'!C:C),"")</f>
        <v>Long</v>
      </c>
      <c r="L507" t="str">
        <f>IFERROR(_xlfn.XLOOKUP($A507,'Base SKUs'!$E:$E,'Base SKUs'!D:D),"")</f>
        <v>Hardwoods</v>
      </c>
      <c r="M507" t="str">
        <f>IFERROR(_xlfn.XLOOKUP($A507,'Base SKUs'!$E:$E,'Base SKUs'!G:G),"")</f>
        <v>Ipe</v>
      </c>
      <c r="N507" t="str">
        <f>IFERROR(_xlfn.XLOOKUP($A507,'Base SKUs'!$E:$E,'Base SKUs'!H:H),"")</f>
        <v>S4S E4E</v>
      </c>
      <c r="O507" t="str">
        <f>IFERROR(_xlfn.XLOOKUP($A507,'Base SKUs'!$E:$E,'Base SKUs'!I:I),"")</f>
        <v>-</v>
      </c>
      <c r="P507" t="str">
        <f>IFERROR(_xlfn.XLOOKUP($A507,'Base SKUs'!$E:$E,'Base SKUs'!J:J),"")</f>
        <v>4x6</v>
      </c>
      <c r="Q507">
        <f>IFERROR(_xlfn.XLOOKUP($A507,'Base SKUs'!$E:$E,'Base SKUs'!K:K),"")</f>
        <v>14</v>
      </c>
      <c r="R507" s="7">
        <f>IFERROR(_xlfn.XLOOKUP($A507,'Base SKUs'!$E:$E,'Base SKUs'!S:S),"")</f>
        <v>5.2995764976000004E-2</v>
      </c>
      <c r="S507" s="8">
        <f t="shared" si="37"/>
        <v>3.8156950782720003</v>
      </c>
      <c r="T507" s="7">
        <f>IFERROR(_xlfn.XLOOKUP($A507,'Base SKUs'!$E:$E,'Base SKUs'!R:R),"")</f>
        <v>264.17200000000003</v>
      </c>
      <c r="U507" s="15">
        <f t="shared" si="38"/>
        <v>1008</v>
      </c>
      <c r="V507" t="str">
        <f t="shared" si="39"/>
        <v>BS Riverside</v>
      </c>
    </row>
    <row r="508" spans="1:22" x14ac:dyDescent="0.2">
      <c r="A508" t="s">
        <v>750</v>
      </c>
      <c r="B508" s="5">
        <v>43</v>
      </c>
      <c r="C508" s="5">
        <v>0</v>
      </c>
      <c r="D508" s="5">
        <f t="shared" si="35"/>
        <v>43</v>
      </c>
      <c r="E508" s="6">
        <v>234.9614</v>
      </c>
      <c r="F508" s="6">
        <f t="shared" si="36"/>
        <v>10103.340200000001</v>
      </c>
      <c r="G508" t="s">
        <v>454</v>
      </c>
      <c r="H508">
        <v>9013</v>
      </c>
      <c r="I508" t="str">
        <f>IFERROR(_xlfn.XLOOKUP($A508,'Base SKUs'!$E:$E,'Base SKUs'!A:A),"")</f>
        <v>Ipe</v>
      </c>
      <c r="J508" t="str">
        <f>IFERROR(_xlfn.XLOOKUP($A508,'Base SKUs'!$E:$E,'Base SKUs'!B:B),"")</f>
        <v>Ipe 4x6</v>
      </c>
      <c r="K508" t="str">
        <f>IFERROR(_xlfn.XLOOKUP($A508,'Base SKUs'!$E:$E,'Base SKUs'!C:C),"")</f>
        <v>Long</v>
      </c>
      <c r="L508" t="str">
        <f>IFERROR(_xlfn.XLOOKUP($A508,'Base SKUs'!$E:$E,'Base SKUs'!D:D),"")</f>
        <v>Hardwoods</v>
      </c>
      <c r="M508" t="str">
        <f>IFERROR(_xlfn.XLOOKUP($A508,'Base SKUs'!$E:$E,'Base SKUs'!G:G),"")</f>
        <v>Ipe</v>
      </c>
      <c r="N508" t="str">
        <f>IFERROR(_xlfn.XLOOKUP($A508,'Base SKUs'!$E:$E,'Base SKUs'!H:H),"")</f>
        <v>S4S E4E</v>
      </c>
      <c r="O508" t="str">
        <f>IFERROR(_xlfn.XLOOKUP($A508,'Base SKUs'!$E:$E,'Base SKUs'!I:I),"")</f>
        <v>-</v>
      </c>
      <c r="P508" t="str">
        <f>IFERROR(_xlfn.XLOOKUP($A508,'Base SKUs'!$E:$E,'Base SKUs'!J:J),"")</f>
        <v>4x6</v>
      </c>
      <c r="Q508">
        <f>IFERROR(_xlfn.XLOOKUP($A508,'Base SKUs'!$E:$E,'Base SKUs'!K:K),"")</f>
        <v>18</v>
      </c>
      <c r="R508" s="7">
        <f>IFERROR(_xlfn.XLOOKUP($A508,'Base SKUs'!$E:$E,'Base SKUs'!S:S),"")</f>
        <v>6.8137412112000001E-2</v>
      </c>
      <c r="S508" s="8">
        <f t="shared" si="37"/>
        <v>2.929908720816</v>
      </c>
      <c r="T508" s="7">
        <f>IFERROR(_xlfn.XLOOKUP($A508,'Base SKUs'!$E:$E,'Base SKUs'!R:R),"")</f>
        <v>264.17200000000003</v>
      </c>
      <c r="U508" s="15">
        <f t="shared" si="38"/>
        <v>774</v>
      </c>
      <c r="V508" t="str">
        <f t="shared" si="39"/>
        <v>BS Riverside</v>
      </c>
    </row>
    <row r="509" spans="1:22" x14ac:dyDescent="0.2">
      <c r="A509" t="s">
        <v>752</v>
      </c>
      <c r="B509" s="5">
        <v>4</v>
      </c>
      <c r="C509" s="5">
        <v>0</v>
      </c>
      <c r="D509" s="5">
        <f t="shared" si="35"/>
        <v>4</v>
      </c>
      <c r="E509" s="6">
        <v>261.0566</v>
      </c>
      <c r="F509" s="6">
        <f t="shared" si="36"/>
        <v>1044.2264</v>
      </c>
      <c r="G509" t="s">
        <v>17</v>
      </c>
      <c r="H509">
        <v>9007</v>
      </c>
      <c r="I509" t="str">
        <f>IFERROR(_xlfn.XLOOKUP($A509,'Base SKUs'!$E:$E,'Base SKUs'!A:A),"")</f>
        <v>Ipe</v>
      </c>
      <c r="J509" t="str">
        <f>IFERROR(_xlfn.XLOOKUP($A509,'Base SKUs'!$E:$E,'Base SKUs'!B:B),"")</f>
        <v>Ipe 4x6</v>
      </c>
      <c r="K509" t="str">
        <f>IFERROR(_xlfn.XLOOKUP($A509,'Base SKUs'!$E:$E,'Base SKUs'!C:C),"")</f>
        <v>Long</v>
      </c>
      <c r="L509" t="str">
        <f>IFERROR(_xlfn.XLOOKUP($A509,'Base SKUs'!$E:$E,'Base SKUs'!D:D),"")</f>
        <v>Hardwoods</v>
      </c>
      <c r="M509" t="str">
        <f>IFERROR(_xlfn.XLOOKUP($A509,'Base SKUs'!$E:$E,'Base SKUs'!G:G),"")</f>
        <v>Ipe</v>
      </c>
      <c r="N509" t="str">
        <f>IFERROR(_xlfn.XLOOKUP($A509,'Base SKUs'!$E:$E,'Base SKUs'!H:H),"")</f>
        <v>S4S E4E</v>
      </c>
      <c r="O509" t="str">
        <f>IFERROR(_xlfn.XLOOKUP($A509,'Base SKUs'!$E:$E,'Base SKUs'!I:I),"")</f>
        <v>-</v>
      </c>
      <c r="P509" t="str">
        <f>IFERROR(_xlfn.XLOOKUP($A509,'Base SKUs'!$E:$E,'Base SKUs'!J:J),"")</f>
        <v>4x6</v>
      </c>
      <c r="Q509">
        <f>IFERROR(_xlfn.XLOOKUP($A509,'Base SKUs'!$E:$E,'Base SKUs'!K:K),"")</f>
        <v>20</v>
      </c>
      <c r="R509" s="7">
        <f>IFERROR(_xlfn.XLOOKUP($A509,'Base SKUs'!$E:$E,'Base SKUs'!S:S),"")</f>
        <v>7.5708235680000013E-2</v>
      </c>
      <c r="S509" s="8">
        <f t="shared" si="37"/>
        <v>0.30283294272000005</v>
      </c>
      <c r="T509" s="7">
        <f>IFERROR(_xlfn.XLOOKUP($A509,'Base SKUs'!$E:$E,'Base SKUs'!R:R),"")</f>
        <v>264.17200000000003</v>
      </c>
      <c r="U509" s="15">
        <f t="shared" si="38"/>
        <v>80</v>
      </c>
      <c r="V509" t="str">
        <f t="shared" si="39"/>
        <v>Miami</v>
      </c>
    </row>
    <row r="510" spans="1:22" x14ac:dyDescent="0.2">
      <c r="A510" t="s">
        <v>752</v>
      </c>
      <c r="B510" s="5">
        <v>7</v>
      </c>
      <c r="C510" s="5">
        <v>0</v>
      </c>
      <c r="D510" s="5">
        <f t="shared" si="35"/>
        <v>7</v>
      </c>
      <c r="E510" s="6">
        <v>261.0566</v>
      </c>
      <c r="F510" s="6">
        <f t="shared" si="36"/>
        <v>1827.3962000000001</v>
      </c>
      <c r="G510" t="s">
        <v>454</v>
      </c>
      <c r="H510">
        <v>9013</v>
      </c>
      <c r="I510" t="str">
        <f>IFERROR(_xlfn.XLOOKUP($A510,'Base SKUs'!$E:$E,'Base SKUs'!A:A),"")</f>
        <v>Ipe</v>
      </c>
      <c r="J510" t="str">
        <f>IFERROR(_xlfn.XLOOKUP($A510,'Base SKUs'!$E:$E,'Base SKUs'!B:B),"")</f>
        <v>Ipe 4x6</v>
      </c>
      <c r="K510" t="str">
        <f>IFERROR(_xlfn.XLOOKUP($A510,'Base SKUs'!$E:$E,'Base SKUs'!C:C),"")</f>
        <v>Long</v>
      </c>
      <c r="L510" t="str">
        <f>IFERROR(_xlfn.XLOOKUP($A510,'Base SKUs'!$E:$E,'Base SKUs'!D:D),"")</f>
        <v>Hardwoods</v>
      </c>
      <c r="M510" t="str">
        <f>IFERROR(_xlfn.XLOOKUP($A510,'Base SKUs'!$E:$E,'Base SKUs'!G:G),"")</f>
        <v>Ipe</v>
      </c>
      <c r="N510" t="str">
        <f>IFERROR(_xlfn.XLOOKUP($A510,'Base SKUs'!$E:$E,'Base SKUs'!H:H),"")</f>
        <v>S4S E4E</v>
      </c>
      <c r="O510" t="str">
        <f>IFERROR(_xlfn.XLOOKUP($A510,'Base SKUs'!$E:$E,'Base SKUs'!I:I),"")</f>
        <v>-</v>
      </c>
      <c r="P510" t="str">
        <f>IFERROR(_xlfn.XLOOKUP($A510,'Base SKUs'!$E:$E,'Base SKUs'!J:J),"")</f>
        <v>4x6</v>
      </c>
      <c r="Q510">
        <f>IFERROR(_xlfn.XLOOKUP($A510,'Base SKUs'!$E:$E,'Base SKUs'!K:K),"")</f>
        <v>20</v>
      </c>
      <c r="R510" s="7">
        <f>IFERROR(_xlfn.XLOOKUP($A510,'Base SKUs'!$E:$E,'Base SKUs'!S:S),"")</f>
        <v>7.5708235680000013E-2</v>
      </c>
      <c r="S510" s="8">
        <f t="shared" si="37"/>
        <v>0.52995764976000004</v>
      </c>
      <c r="T510" s="7">
        <f>IFERROR(_xlfn.XLOOKUP($A510,'Base SKUs'!$E:$E,'Base SKUs'!R:R),"")</f>
        <v>264.17200000000003</v>
      </c>
      <c r="U510" s="15">
        <f t="shared" si="38"/>
        <v>140</v>
      </c>
      <c r="V510" t="str">
        <f t="shared" si="39"/>
        <v>BS Riverside</v>
      </c>
    </row>
    <row r="511" spans="1:22" x14ac:dyDescent="0.2">
      <c r="A511" t="s">
        <v>754</v>
      </c>
      <c r="B511" s="5">
        <v>5</v>
      </c>
      <c r="C511" s="5">
        <v>0</v>
      </c>
      <c r="D511" s="5">
        <f t="shared" si="35"/>
        <v>5</v>
      </c>
      <c r="E511" s="6">
        <v>286.90679999999998</v>
      </c>
      <c r="F511" s="6">
        <f t="shared" si="36"/>
        <v>1434.5339999999999</v>
      </c>
      <c r="G511" t="s">
        <v>17</v>
      </c>
      <c r="H511">
        <v>9007</v>
      </c>
      <c r="I511" t="str">
        <f>IFERROR(_xlfn.XLOOKUP($A511,'Base SKUs'!$E:$E,'Base SKUs'!A:A),"")</f>
        <v>Ipe</v>
      </c>
      <c r="J511" t="str">
        <f>IFERROR(_xlfn.XLOOKUP($A511,'Base SKUs'!$E:$E,'Base SKUs'!B:B),"")</f>
        <v>Ipe 4x6</v>
      </c>
      <c r="K511" t="str">
        <f>IFERROR(_xlfn.XLOOKUP($A511,'Base SKUs'!$E:$E,'Base SKUs'!C:C),"")</f>
        <v>Long</v>
      </c>
      <c r="L511" t="str">
        <f>IFERROR(_xlfn.XLOOKUP($A511,'Base SKUs'!$E:$E,'Base SKUs'!D:D),"")</f>
        <v>Hardwoods</v>
      </c>
      <c r="M511" t="str">
        <f>IFERROR(_xlfn.XLOOKUP($A511,'Base SKUs'!$E:$E,'Base SKUs'!G:G),"")</f>
        <v>Ipe</v>
      </c>
      <c r="N511" t="str">
        <f>IFERROR(_xlfn.XLOOKUP($A511,'Base SKUs'!$E:$E,'Base SKUs'!H:H),"")</f>
        <v>S4S E4E</v>
      </c>
      <c r="O511" t="str">
        <f>IFERROR(_xlfn.XLOOKUP($A511,'Base SKUs'!$E:$E,'Base SKUs'!I:I),"")</f>
        <v>-</v>
      </c>
      <c r="P511" t="str">
        <f>IFERROR(_xlfn.XLOOKUP($A511,'Base SKUs'!$E:$E,'Base SKUs'!J:J),"")</f>
        <v>4x6</v>
      </c>
      <c r="Q511">
        <f>IFERROR(_xlfn.XLOOKUP($A511,'Base SKUs'!$E:$E,'Base SKUs'!K:K),"")</f>
        <v>22</v>
      </c>
      <c r="R511" s="7">
        <f>IFERROR(_xlfn.XLOOKUP($A511,'Base SKUs'!$E:$E,'Base SKUs'!S:S),"")</f>
        <v>8.3279059247999984E-2</v>
      </c>
      <c r="S511" s="8">
        <f t="shared" si="37"/>
        <v>0.41639529623999993</v>
      </c>
      <c r="T511" s="7">
        <f>IFERROR(_xlfn.XLOOKUP($A511,'Base SKUs'!$E:$E,'Base SKUs'!R:R),"")</f>
        <v>264.17200000000003</v>
      </c>
      <c r="U511" s="15">
        <f t="shared" si="38"/>
        <v>110</v>
      </c>
      <c r="V511" t="str">
        <f t="shared" si="39"/>
        <v>Miami</v>
      </c>
    </row>
    <row r="512" spans="1:22" x14ac:dyDescent="0.2">
      <c r="A512" t="s">
        <v>756</v>
      </c>
      <c r="B512" s="5">
        <v>6</v>
      </c>
      <c r="C512" s="5">
        <v>0</v>
      </c>
      <c r="D512" s="5">
        <f t="shared" si="35"/>
        <v>6</v>
      </c>
      <c r="E512" s="6">
        <v>91.382599999999996</v>
      </c>
      <c r="F512" s="6">
        <f t="shared" si="36"/>
        <v>548.29559999999992</v>
      </c>
      <c r="G512" t="s">
        <v>17</v>
      </c>
      <c r="H512">
        <v>9007</v>
      </c>
      <c r="I512" t="str">
        <f>IFERROR(_xlfn.XLOOKUP($A512,'Base SKUs'!$E:$E,'Base SKUs'!A:A),"")</f>
        <v>Ipe</v>
      </c>
      <c r="J512" t="str">
        <f>IFERROR(_xlfn.XLOOKUP($A512,'Base SKUs'!$E:$E,'Base SKUs'!B:B),"")</f>
        <v>Ipe 4x6</v>
      </c>
      <c r="K512" t="str">
        <f>IFERROR(_xlfn.XLOOKUP($A512,'Base SKUs'!$E:$E,'Base SKUs'!C:C),"")</f>
        <v>Short</v>
      </c>
      <c r="L512" t="str">
        <f>IFERROR(_xlfn.XLOOKUP($A512,'Base SKUs'!$E:$E,'Base SKUs'!D:D),"")</f>
        <v>Hardwoods</v>
      </c>
      <c r="M512" t="str">
        <f>IFERROR(_xlfn.XLOOKUP($A512,'Base SKUs'!$E:$E,'Base SKUs'!G:G),"")</f>
        <v>Ipe</v>
      </c>
      <c r="N512" t="str">
        <f>IFERROR(_xlfn.XLOOKUP($A512,'Base SKUs'!$E:$E,'Base SKUs'!H:H),"")</f>
        <v>S4S E4E</v>
      </c>
      <c r="O512" t="str">
        <f>IFERROR(_xlfn.XLOOKUP($A512,'Base SKUs'!$E:$E,'Base SKUs'!I:I),"")</f>
        <v>-</v>
      </c>
      <c r="P512" t="str">
        <f>IFERROR(_xlfn.XLOOKUP($A512,'Base SKUs'!$E:$E,'Base SKUs'!J:J),"")</f>
        <v>4x6</v>
      </c>
      <c r="Q512">
        <f>IFERROR(_xlfn.XLOOKUP($A512,'Base SKUs'!$E:$E,'Base SKUs'!K:K),"")</f>
        <v>7</v>
      </c>
      <c r="R512" s="7">
        <f>IFERROR(_xlfn.XLOOKUP($A512,'Base SKUs'!$E:$E,'Base SKUs'!S:S),"")</f>
        <v>2.6497882488000002E-2</v>
      </c>
      <c r="S512" s="8">
        <f t="shared" si="37"/>
        <v>0.15898729492800001</v>
      </c>
      <c r="T512" s="7">
        <f>IFERROR(_xlfn.XLOOKUP($A512,'Base SKUs'!$E:$E,'Base SKUs'!R:R),"")</f>
        <v>264.17200000000003</v>
      </c>
      <c r="U512" s="15">
        <f t="shared" si="38"/>
        <v>42</v>
      </c>
      <c r="V512" t="str">
        <f t="shared" si="39"/>
        <v>Miami</v>
      </c>
    </row>
    <row r="513" spans="1:22" x14ac:dyDescent="0.2">
      <c r="A513" t="s">
        <v>758</v>
      </c>
      <c r="B513" s="5">
        <v>28</v>
      </c>
      <c r="C513" s="5">
        <v>0</v>
      </c>
      <c r="D513" s="5">
        <f t="shared" si="35"/>
        <v>28</v>
      </c>
      <c r="E513" s="6">
        <v>172.08349999999999</v>
      </c>
      <c r="F513" s="6">
        <f t="shared" si="36"/>
        <v>4818.3379999999997</v>
      </c>
      <c r="G513" t="s">
        <v>454</v>
      </c>
      <c r="H513">
        <v>9013</v>
      </c>
      <c r="I513" t="str">
        <f>IFERROR(_xlfn.XLOOKUP($A513,'Base SKUs'!$E:$E,'Base SKUs'!A:A),"")</f>
        <v>Ipe</v>
      </c>
      <c r="J513" t="str">
        <f>IFERROR(_xlfn.XLOOKUP($A513,'Base SKUs'!$E:$E,'Base SKUs'!B:B),"")</f>
        <v>Ipe 4x8</v>
      </c>
      <c r="K513" t="str">
        <f>IFERROR(_xlfn.XLOOKUP($A513,'Base SKUs'!$E:$E,'Base SKUs'!C:C),"")</f>
        <v>Long</v>
      </c>
      <c r="L513" t="str">
        <f>IFERROR(_xlfn.XLOOKUP($A513,'Base SKUs'!$E:$E,'Base SKUs'!D:D),"")</f>
        <v>Hardwoods</v>
      </c>
      <c r="M513" t="str">
        <f>IFERROR(_xlfn.XLOOKUP($A513,'Base SKUs'!$E:$E,'Base SKUs'!G:G),"")</f>
        <v>Ipe</v>
      </c>
      <c r="N513" t="str">
        <f>IFERROR(_xlfn.XLOOKUP($A513,'Base SKUs'!$E:$E,'Base SKUs'!H:H),"")</f>
        <v>S4S E4E</v>
      </c>
      <c r="O513" t="str">
        <f>IFERROR(_xlfn.XLOOKUP($A513,'Base SKUs'!$E:$E,'Base SKUs'!I:I),"")</f>
        <v>-</v>
      </c>
      <c r="P513" t="str">
        <f>IFERROR(_xlfn.XLOOKUP($A513,'Base SKUs'!$E:$E,'Base SKUs'!J:J),"")</f>
        <v>4x8</v>
      </c>
      <c r="Q513">
        <f>IFERROR(_xlfn.XLOOKUP($A513,'Base SKUs'!$E:$E,'Base SKUs'!K:K),"")</f>
        <v>10</v>
      </c>
      <c r="R513" s="7">
        <f>IFERROR(_xlfn.XLOOKUP($A513,'Base SKUs'!$E:$E,'Base SKUs'!S:S),"")</f>
        <v>4.9898609880000014E-2</v>
      </c>
      <c r="S513" s="8">
        <f t="shared" si="37"/>
        <v>1.3971610766400004</v>
      </c>
      <c r="T513" s="7">
        <f>IFERROR(_xlfn.XLOOKUP($A513,'Base SKUs'!$E:$E,'Base SKUs'!R:R),"")</f>
        <v>200.40600000000001</v>
      </c>
      <c r="U513" s="15">
        <f t="shared" si="38"/>
        <v>280</v>
      </c>
      <c r="V513" t="str">
        <f t="shared" si="39"/>
        <v>BS Riverside</v>
      </c>
    </row>
    <row r="514" spans="1:22" x14ac:dyDescent="0.2">
      <c r="A514" t="s">
        <v>760</v>
      </c>
      <c r="B514" s="5">
        <v>23</v>
      </c>
      <c r="C514" s="5">
        <v>0</v>
      </c>
      <c r="D514" s="5">
        <f t="shared" ref="D514:D577" si="40">B514-C514</f>
        <v>23</v>
      </c>
      <c r="E514" s="6">
        <v>206.4442</v>
      </c>
      <c r="F514" s="6">
        <f t="shared" ref="F514:F577" si="41">B514*E514</f>
        <v>4748.2165999999997</v>
      </c>
      <c r="G514" t="s">
        <v>17</v>
      </c>
      <c r="H514">
        <v>9007</v>
      </c>
      <c r="I514" t="str">
        <f>IFERROR(_xlfn.XLOOKUP($A514,'Base SKUs'!$E:$E,'Base SKUs'!A:A),"")</f>
        <v>Ipe</v>
      </c>
      <c r="J514" t="str">
        <f>IFERROR(_xlfn.XLOOKUP($A514,'Base SKUs'!$E:$E,'Base SKUs'!B:B),"")</f>
        <v>Ipe 4x8</v>
      </c>
      <c r="K514" t="str">
        <f>IFERROR(_xlfn.XLOOKUP($A514,'Base SKUs'!$E:$E,'Base SKUs'!C:C),"")</f>
        <v>Long</v>
      </c>
      <c r="L514" t="str">
        <f>IFERROR(_xlfn.XLOOKUP($A514,'Base SKUs'!$E:$E,'Base SKUs'!D:D),"")</f>
        <v>Hardwoods</v>
      </c>
      <c r="M514" t="str">
        <f>IFERROR(_xlfn.XLOOKUP($A514,'Base SKUs'!$E:$E,'Base SKUs'!G:G),"")</f>
        <v>Ipe</v>
      </c>
      <c r="N514" t="str">
        <f>IFERROR(_xlfn.XLOOKUP($A514,'Base SKUs'!$E:$E,'Base SKUs'!H:H),"")</f>
        <v>S4S E4E</v>
      </c>
      <c r="O514" t="str">
        <f>IFERROR(_xlfn.XLOOKUP($A514,'Base SKUs'!$E:$E,'Base SKUs'!I:I),"")</f>
        <v>-</v>
      </c>
      <c r="P514" t="str">
        <f>IFERROR(_xlfn.XLOOKUP($A514,'Base SKUs'!$E:$E,'Base SKUs'!J:J),"")</f>
        <v>4x8</v>
      </c>
      <c r="Q514">
        <f>IFERROR(_xlfn.XLOOKUP($A514,'Base SKUs'!$E:$E,'Base SKUs'!K:K),"")</f>
        <v>12</v>
      </c>
      <c r="R514" s="7">
        <f>IFERROR(_xlfn.XLOOKUP($A514,'Base SKUs'!$E:$E,'Base SKUs'!S:S),"")</f>
        <v>5.9878331856E-2</v>
      </c>
      <c r="S514" s="8">
        <f t="shared" ref="S514:S577" si="42">IF(OR(L514="Saicos",L514="Oil",L514="US4",L514="Wood Table",L514="Woca",L514="Norx",N514="Tiles"),D514,D514*R514)</f>
        <v>1.3772016326880001</v>
      </c>
      <c r="T514" s="7">
        <f>IFERROR(_xlfn.XLOOKUP($A514,'Base SKUs'!$E:$E,'Base SKUs'!R:R),"")</f>
        <v>200.40600000000001</v>
      </c>
      <c r="U514" s="15">
        <f t="shared" ref="U514:U577" si="43">ROUND(IF(OR(L514="Saicos",L514="Oil",L514="US4",L514="Wood Table",L514="Woca",L514="Norx",N514="Tiles"),D514,S514*T514),0)</f>
        <v>276</v>
      </c>
      <c r="V514" t="str">
        <f t="shared" ref="V514:V577" si="44">IF(H514=9007,"Miami",IF(H514=9008,"Texas",IF(H514=9009,"Boston",IF(H514=9010,"BS Detroit",IF(H514=9011,"New York",IF(H514=9012,"HW Perris",IF(H514=9013,"BS Riverside",IF(H514=9014,"On the Way",IF(H514=9015,"Russin",IF(H514=9016,"Palm Beach",""))))))))))</f>
        <v>Miami</v>
      </c>
    </row>
    <row r="515" spans="1:22" x14ac:dyDescent="0.2">
      <c r="A515" t="s">
        <v>762</v>
      </c>
      <c r="B515" s="5">
        <v>2</v>
      </c>
      <c r="C515" s="5">
        <v>0</v>
      </c>
      <c r="D515" s="5">
        <f t="shared" si="40"/>
        <v>2</v>
      </c>
      <c r="E515" s="6">
        <v>240.95689999999999</v>
      </c>
      <c r="F515" s="6">
        <f t="shared" si="41"/>
        <v>481.91379999999998</v>
      </c>
      <c r="G515" t="s">
        <v>17</v>
      </c>
      <c r="H515">
        <v>9007</v>
      </c>
      <c r="I515" t="str">
        <f>IFERROR(_xlfn.XLOOKUP($A515,'Base SKUs'!$E:$E,'Base SKUs'!A:A),"")</f>
        <v>Ipe</v>
      </c>
      <c r="J515" t="str">
        <f>IFERROR(_xlfn.XLOOKUP($A515,'Base SKUs'!$E:$E,'Base SKUs'!B:B),"")</f>
        <v>Ipe 4x8</v>
      </c>
      <c r="K515" t="str">
        <f>IFERROR(_xlfn.XLOOKUP($A515,'Base SKUs'!$E:$E,'Base SKUs'!C:C),"")</f>
        <v>Long</v>
      </c>
      <c r="L515" t="str">
        <f>IFERROR(_xlfn.XLOOKUP($A515,'Base SKUs'!$E:$E,'Base SKUs'!D:D),"")</f>
        <v>Hardwoods</v>
      </c>
      <c r="M515" t="str">
        <f>IFERROR(_xlfn.XLOOKUP($A515,'Base SKUs'!$E:$E,'Base SKUs'!G:G),"")</f>
        <v>Ipe</v>
      </c>
      <c r="N515" t="str">
        <f>IFERROR(_xlfn.XLOOKUP($A515,'Base SKUs'!$E:$E,'Base SKUs'!H:H),"")</f>
        <v>S4S E4E</v>
      </c>
      <c r="O515" t="str">
        <f>IFERROR(_xlfn.XLOOKUP($A515,'Base SKUs'!$E:$E,'Base SKUs'!I:I),"")</f>
        <v>-</v>
      </c>
      <c r="P515" t="str">
        <f>IFERROR(_xlfn.XLOOKUP($A515,'Base SKUs'!$E:$E,'Base SKUs'!J:J),"")</f>
        <v>4x8</v>
      </c>
      <c r="Q515">
        <f>IFERROR(_xlfn.XLOOKUP($A515,'Base SKUs'!$E:$E,'Base SKUs'!K:K),"")</f>
        <v>14</v>
      </c>
      <c r="R515" s="7">
        <f>IFERROR(_xlfn.XLOOKUP($A515,'Base SKUs'!$E:$E,'Base SKUs'!S:S),"")</f>
        <v>6.9858053832000014E-2</v>
      </c>
      <c r="S515" s="8">
        <f t="shared" si="42"/>
        <v>0.13971610766400003</v>
      </c>
      <c r="T515" s="7">
        <f>IFERROR(_xlfn.XLOOKUP($A515,'Base SKUs'!$E:$E,'Base SKUs'!R:R),"")</f>
        <v>200.40600000000001</v>
      </c>
      <c r="U515" s="15">
        <f t="shared" si="43"/>
        <v>28</v>
      </c>
      <c r="V515" t="str">
        <f t="shared" si="44"/>
        <v>Miami</v>
      </c>
    </row>
    <row r="516" spans="1:22" x14ac:dyDescent="0.2">
      <c r="A516" t="s">
        <v>762</v>
      </c>
      <c r="B516" s="5">
        <v>6</v>
      </c>
      <c r="C516" s="5">
        <v>0</v>
      </c>
      <c r="D516" s="5">
        <f t="shared" si="40"/>
        <v>6</v>
      </c>
      <c r="E516" s="6">
        <v>240.95689999999999</v>
      </c>
      <c r="F516" s="6">
        <f t="shared" si="41"/>
        <v>1445.7413999999999</v>
      </c>
      <c r="G516" t="s">
        <v>454</v>
      </c>
      <c r="H516">
        <v>9013</v>
      </c>
      <c r="I516" t="str">
        <f>IFERROR(_xlfn.XLOOKUP($A516,'Base SKUs'!$E:$E,'Base SKUs'!A:A),"")</f>
        <v>Ipe</v>
      </c>
      <c r="J516" t="str">
        <f>IFERROR(_xlfn.XLOOKUP($A516,'Base SKUs'!$E:$E,'Base SKUs'!B:B),"")</f>
        <v>Ipe 4x8</v>
      </c>
      <c r="K516" t="str">
        <f>IFERROR(_xlfn.XLOOKUP($A516,'Base SKUs'!$E:$E,'Base SKUs'!C:C),"")</f>
        <v>Long</v>
      </c>
      <c r="L516" t="str">
        <f>IFERROR(_xlfn.XLOOKUP($A516,'Base SKUs'!$E:$E,'Base SKUs'!D:D),"")</f>
        <v>Hardwoods</v>
      </c>
      <c r="M516" t="str">
        <f>IFERROR(_xlfn.XLOOKUP($A516,'Base SKUs'!$E:$E,'Base SKUs'!G:G),"")</f>
        <v>Ipe</v>
      </c>
      <c r="N516" t="str">
        <f>IFERROR(_xlfn.XLOOKUP($A516,'Base SKUs'!$E:$E,'Base SKUs'!H:H),"")</f>
        <v>S4S E4E</v>
      </c>
      <c r="O516" t="str">
        <f>IFERROR(_xlfn.XLOOKUP($A516,'Base SKUs'!$E:$E,'Base SKUs'!I:I),"")</f>
        <v>-</v>
      </c>
      <c r="P516" t="str">
        <f>IFERROR(_xlfn.XLOOKUP($A516,'Base SKUs'!$E:$E,'Base SKUs'!J:J),"")</f>
        <v>4x8</v>
      </c>
      <c r="Q516">
        <f>IFERROR(_xlfn.XLOOKUP($A516,'Base SKUs'!$E:$E,'Base SKUs'!K:K),"")</f>
        <v>14</v>
      </c>
      <c r="R516" s="7">
        <f>IFERROR(_xlfn.XLOOKUP($A516,'Base SKUs'!$E:$E,'Base SKUs'!S:S),"")</f>
        <v>6.9858053832000014E-2</v>
      </c>
      <c r="S516" s="8">
        <f t="shared" si="42"/>
        <v>0.41914832299200011</v>
      </c>
      <c r="T516" s="7">
        <f>IFERROR(_xlfn.XLOOKUP($A516,'Base SKUs'!$E:$E,'Base SKUs'!R:R),"")</f>
        <v>200.40600000000001</v>
      </c>
      <c r="U516" s="15">
        <f t="shared" si="43"/>
        <v>84</v>
      </c>
      <c r="V516" t="str">
        <f t="shared" si="44"/>
        <v>BS Riverside</v>
      </c>
    </row>
    <row r="517" spans="1:22" x14ac:dyDescent="0.2">
      <c r="A517" t="s">
        <v>764</v>
      </c>
      <c r="B517" s="5">
        <v>18</v>
      </c>
      <c r="C517" s="5">
        <v>0</v>
      </c>
      <c r="D517" s="5">
        <f t="shared" si="40"/>
        <v>18</v>
      </c>
      <c r="E517" s="6">
        <v>275.29719999999998</v>
      </c>
      <c r="F517" s="6">
        <f t="shared" si="41"/>
        <v>4955.3495999999996</v>
      </c>
      <c r="G517" t="s">
        <v>454</v>
      </c>
      <c r="H517">
        <v>9013</v>
      </c>
      <c r="I517" t="str">
        <f>IFERROR(_xlfn.XLOOKUP($A517,'Base SKUs'!$E:$E,'Base SKUs'!A:A),"")</f>
        <v>Ipe</v>
      </c>
      <c r="J517" t="str">
        <f>IFERROR(_xlfn.XLOOKUP($A517,'Base SKUs'!$E:$E,'Base SKUs'!B:B),"")</f>
        <v>Ipe 4x8</v>
      </c>
      <c r="K517" t="str">
        <f>IFERROR(_xlfn.XLOOKUP($A517,'Base SKUs'!$E:$E,'Base SKUs'!C:C),"")</f>
        <v>Long</v>
      </c>
      <c r="L517" t="str">
        <f>IFERROR(_xlfn.XLOOKUP($A517,'Base SKUs'!$E:$E,'Base SKUs'!D:D),"")</f>
        <v>Hardwoods</v>
      </c>
      <c r="M517" t="str">
        <f>IFERROR(_xlfn.XLOOKUP($A517,'Base SKUs'!$E:$E,'Base SKUs'!G:G),"")</f>
        <v>Ipe</v>
      </c>
      <c r="N517" t="str">
        <f>IFERROR(_xlfn.XLOOKUP($A517,'Base SKUs'!$E:$E,'Base SKUs'!H:H),"")</f>
        <v>S4S E4E</v>
      </c>
      <c r="O517" t="str">
        <f>IFERROR(_xlfn.XLOOKUP($A517,'Base SKUs'!$E:$E,'Base SKUs'!I:I),"")</f>
        <v>-</v>
      </c>
      <c r="P517" t="str">
        <f>IFERROR(_xlfn.XLOOKUP($A517,'Base SKUs'!$E:$E,'Base SKUs'!J:J),"")</f>
        <v>4x8</v>
      </c>
      <c r="Q517">
        <f>IFERROR(_xlfn.XLOOKUP($A517,'Base SKUs'!$E:$E,'Base SKUs'!K:K),"")</f>
        <v>16</v>
      </c>
      <c r="R517" s="7">
        <f>IFERROR(_xlfn.XLOOKUP($A517,'Base SKUs'!$E:$E,'Base SKUs'!S:S),"")</f>
        <v>7.9837775808000014E-2</v>
      </c>
      <c r="S517" s="8">
        <f t="shared" si="42"/>
        <v>1.4370799645440002</v>
      </c>
      <c r="T517" s="7">
        <f>IFERROR(_xlfn.XLOOKUP($A517,'Base SKUs'!$E:$E,'Base SKUs'!R:R),"")</f>
        <v>200.40600000000001</v>
      </c>
      <c r="U517" s="15">
        <f t="shared" si="43"/>
        <v>288</v>
      </c>
      <c r="V517" t="str">
        <f t="shared" si="44"/>
        <v>BS Riverside</v>
      </c>
    </row>
    <row r="518" spans="1:22" x14ac:dyDescent="0.2">
      <c r="A518" t="s">
        <v>766</v>
      </c>
      <c r="B518" s="5">
        <v>39</v>
      </c>
      <c r="C518" s="5">
        <v>0</v>
      </c>
      <c r="D518" s="5">
        <f t="shared" si="40"/>
        <v>39</v>
      </c>
      <c r="E518" s="6">
        <v>309.73700000000002</v>
      </c>
      <c r="F518" s="6">
        <f t="shared" si="41"/>
        <v>12079.743</v>
      </c>
      <c r="G518" t="s">
        <v>454</v>
      </c>
      <c r="H518">
        <v>9013</v>
      </c>
      <c r="I518" t="str">
        <f>IFERROR(_xlfn.XLOOKUP($A518,'Base SKUs'!$E:$E,'Base SKUs'!A:A),"")</f>
        <v>Ipe</v>
      </c>
      <c r="J518" t="str">
        <f>IFERROR(_xlfn.XLOOKUP($A518,'Base SKUs'!$E:$E,'Base SKUs'!B:B),"")</f>
        <v>Ipe 4x8</v>
      </c>
      <c r="K518" t="str">
        <f>IFERROR(_xlfn.XLOOKUP($A518,'Base SKUs'!$E:$E,'Base SKUs'!C:C),"")</f>
        <v>Long</v>
      </c>
      <c r="L518" t="str">
        <f>IFERROR(_xlfn.XLOOKUP($A518,'Base SKUs'!$E:$E,'Base SKUs'!D:D),"")</f>
        <v>Hardwoods</v>
      </c>
      <c r="M518" t="str">
        <f>IFERROR(_xlfn.XLOOKUP($A518,'Base SKUs'!$E:$E,'Base SKUs'!G:G),"")</f>
        <v>Ipe</v>
      </c>
      <c r="N518" t="str">
        <f>IFERROR(_xlfn.XLOOKUP($A518,'Base SKUs'!$E:$E,'Base SKUs'!H:H),"")</f>
        <v>S4S E4E</v>
      </c>
      <c r="O518" t="str">
        <f>IFERROR(_xlfn.XLOOKUP($A518,'Base SKUs'!$E:$E,'Base SKUs'!I:I),"")</f>
        <v>-</v>
      </c>
      <c r="P518" t="str">
        <f>IFERROR(_xlfn.XLOOKUP($A518,'Base SKUs'!$E:$E,'Base SKUs'!J:J),"")</f>
        <v>4x8</v>
      </c>
      <c r="Q518">
        <f>IFERROR(_xlfn.XLOOKUP($A518,'Base SKUs'!$E:$E,'Base SKUs'!K:K),"")</f>
        <v>18</v>
      </c>
      <c r="R518" s="7">
        <f>IFERROR(_xlfn.XLOOKUP($A518,'Base SKUs'!$E:$E,'Base SKUs'!S:S),"")</f>
        <v>8.9817497784000014E-2</v>
      </c>
      <c r="S518" s="8">
        <f t="shared" si="42"/>
        <v>3.5028824135760006</v>
      </c>
      <c r="T518" s="7">
        <f>IFERROR(_xlfn.XLOOKUP($A518,'Base SKUs'!$E:$E,'Base SKUs'!R:R),"")</f>
        <v>200.40600000000001</v>
      </c>
      <c r="U518" s="15">
        <f t="shared" si="43"/>
        <v>702</v>
      </c>
      <c r="V518" t="str">
        <f t="shared" si="44"/>
        <v>BS Riverside</v>
      </c>
    </row>
    <row r="519" spans="1:22" x14ac:dyDescent="0.2">
      <c r="A519" t="s">
        <v>768</v>
      </c>
      <c r="B519" s="5">
        <v>31</v>
      </c>
      <c r="C519" s="5">
        <v>0</v>
      </c>
      <c r="D519" s="5">
        <f t="shared" si="40"/>
        <v>31</v>
      </c>
      <c r="E519" s="6">
        <v>344.17250000000001</v>
      </c>
      <c r="F519" s="6">
        <f t="shared" si="41"/>
        <v>10669.3475</v>
      </c>
      <c r="G519" t="s">
        <v>454</v>
      </c>
      <c r="H519">
        <v>9013</v>
      </c>
      <c r="I519" t="str">
        <f>IFERROR(_xlfn.XLOOKUP($A519,'Base SKUs'!$E:$E,'Base SKUs'!A:A),"")</f>
        <v>Ipe</v>
      </c>
      <c r="J519" t="str">
        <f>IFERROR(_xlfn.XLOOKUP($A519,'Base SKUs'!$E:$E,'Base SKUs'!B:B),"")</f>
        <v>Ipe 4x8</v>
      </c>
      <c r="K519" t="str">
        <f>IFERROR(_xlfn.XLOOKUP($A519,'Base SKUs'!$E:$E,'Base SKUs'!C:C),"")</f>
        <v>Long</v>
      </c>
      <c r="L519" t="str">
        <f>IFERROR(_xlfn.XLOOKUP($A519,'Base SKUs'!$E:$E,'Base SKUs'!D:D),"")</f>
        <v>Hardwoods</v>
      </c>
      <c r="M519" t="str">
        <f>IFERROR(_xlfn.XLOOKUP($A519,'Base SKUs'!$E:$E,'Base SKUs'!G:G),"")</f>
        <v>Ipe</v>
      </c>
      <c r="N519" t="str">
        <f>IFERROR(_xlfn.XLOOKUP($A519,'Base SKUs'!$E:$E,'Base SKUs'!H:H),"")</f>
        <v>S4S E4E</v>
      </c>
      <c r="O519" t="str">
        <f>IFERROR(_xlfn.XLOOKUP($A519,'Base SKUs'!$E:$E,'Base SKUs'!I:I),"")</f>
        <v>-</v>
      </c>
      <c r="P519" t="str">
        <f>IFERROR(_xlfn.XLOOKUP($A519,'Base SKUs'!$E:$E,'Base SKUs'!J:J),"")</f>
        <v>4x8</v>
      </c>
      <c r="Q519">
        <f>IFERROR(_xlfn.XLOOKUP($A519,'Base SKUs'!$E:$E,'Base SKUs'!K:K),"")</f>
        <v>20</v>
      </c>
      <c r="R519" s="7">
        <f>IFERROR(_xlfn.XLOOKUP($A519,'Base SKUs'!$E:$E,'Base SKUs'!S:S),"")</f>
        <v>9.9797219760000028E-2</v>
      </c>
      <c r="S519" s="8">
        <f t="shared" si="42"/>
        <v>3.0937138125600008</v>
      </c>
      <c r="T519" s="7">
        <f>IFERROR(_xlfn.XLOOKUP($A519,'Base SKUs'!$E:$E,'Base SKUs'!R:R),"")</f>
        <v>200.40600000000001</v>
      </c>
      <c r="U519" s="15">
        <f t="shared" si="43"/>
        <v>620</v>
      </c>
      <c r="V519" t="str">
        <f t="shared" si="44"/>
        <v>BS Riverside</v>
      </c>
    </row>
    <row r="520" spans="1:22" x14ac:dyDescent="0.2">
      <c r="A520" t="s">
        <v>770</v>
      </c>
      <c r="B520" s="5">
        <v>11</v>
      </c>
      <c r="C520" s="5">
        <v>0</v>
      </c>
      <c r="D520" s="5">
        <f t="shared" si="40"/>
        <v>11</v>
      </c>
      <c r="E520" s="6">
        <v>378.6671</v>
      </c>
      <c r="F520" s="6">
        <f t="shared" si="41"/>
        <v>4165.3380999999999</v>
      </c>
      <c r="G520" t="s">
        <v>17</v>
      </c>
      <c r="H520">
        <v>9007</v>
      </c>
      <c r="I520" t="str">
        <f>IFERROR(_xlfn.XLOOKUP($A520,'Base SKUs'!$E:$E,'Base SKUs'!A:A),"")</f>
        <v>Ipe</v>
      </c>
      <c r="J520" t="str">
        <f>IFERROR(_xlfn.XLOOKUP($A520,'Base SKUs'!$E:$E,'Base SKUs'!B:B),"")</f>
        <v>Ipe 4x8</v>
      </c>
      <c r="K520" t="str">
        <f>IFERROR(_xlfn.XLOOKUP($A520,'Base SKUs'!$E:$E,'Base SKUs'!C:C),"")</f>
        <v>Long</v>
      </c>
      <c r="L520" t="str">
        <f>IFERROR(_xlfn.XLOOKUP($A520,'Base SKUs'!$E:$E,'Base SKUs'!D:D),"")</f>
        <v>Hardwoods</v>
      </c>
      <c r="M520" t="str">
        <f>IFERROR(_xlfn.XLOOKUP($A520,'Base SKUs'!$E:$E,'Base SKUs'!G:G),"")</f>
        <v>Ipe</v>
      </c>
      <c r="N520" t="str">
        <f>IFERROR(_xlfn.XLOOKUP($A520,'Base SKUs'!$E:$E,'Base SKUs'!H:H),"")</f>
        <v>S4S E4E</v>
      </c>
      <c r="O520" t="str">
        <f>IFERROR(_xlfn.XLOOKUP($A520,'Base SKUs'!$E:$E,'Base SKUs'!I:I),"")</f>
        <v>-</v>
      </c>
      <c r="P520" t="str">
        <f>IFERROR(_xlfn.XLOOKUP($A520,'Base SKUs'!$E:$E,'Base SKUs'!J:J),"")</f>
        <v>4x8</v>
      </c>
      <c r="Q520">
        <f>IFERROR(_xlfn.XLOOKUP($A520,'Base SKUs'!$E:$E,'Base SKUs'!K:K),"")</f>
        <v>22</v>
      </c>
      <c r="R520" s="7">
        <f>IFERROR(_xlfn.XLOOKUP($A520,'Base SKUs'!$E:$E,'Base SKUs'!S:S),"")</f>
        <v>0.109776941736</v>
      </c>
      <c r="S520" s="8">
        <f t="shared" si="42"/>
        <v>1.2075463590960001</v>
      </c>
      <c r="T520" s="7">
        <f>IFERROR(_xlfn.XLOOKUP($A520,'Base SKUs'!$E:$E,'Base SKUs'!R:R),"")</f>
        <v>200.40600000000001</v>
      </c>
      <c r="U520" s="15">
        <f t="shared" si="43"/>
        <v>242</v>
      </c>
      <c r="V520" t="str">
        <f t="shared" si="44"/>
        <v>Miami</v>
      </c>
    </row>
    <row r="521" spans="1:22" x14ac:dyDescent="0.2">
      <c r="A521" t="s">
        <v>770</v>
      </c>
      <c r="B521" s="5">
        <v>10</v>
      </c>
      <c r="C521" s="5">
        <v>0</v>
      </c>
      <c r="D521" s="5">
        <f t="shared" si="40"/>
        <v>10</v>
      </c>
      <c r="E521" s="6">
        <v>378.6671</v>
      </c>
      <c r="F521" s="6">
        <f t="shared" si="41"/>
        <v>3786.6710000000003</v>
      </c>
      <c r="G521" t="s">
        <v>454</v>
      </c>
      <c r="H521">
        <v>9013</v>
      </c>
      <c r="I521" t="str">
        <f>IFERROR(_xlfn.XLOOKUP($A521,'Base SKUs'!$E:$E,'Base SKUs'!A:A),"")</f>
        <v>Ipe</v>
      </c>
      <c r="J521" t="str">
        <f>IFERROR(_xlfn.XLOOKUP($A521,'Base SKUs'!$E:$E,'Base SKUs'!B:B),"")</f>
        <v>Ipe 4x8</v>
      </c>
      <c r="K521" t="str">
        <f>IFERROR(_xlfn.XLOOKUP($A521,'Base SKUs'!$E:$E,'Base SKUs'!C:C),"")</f>
        <v>Long</v>
      </c>
      <c r="L521" t="str">
        <f>IFERROR(_xlfn.XLOOKUP($A521,'Base SKUs'!$E:$E,'Base SKUs'!D:D),"")</f>
        <v>Hardwoods</v>
      </c>
      <c r="M521" t="str">
        <f>IFERROR(_xlfn.XLOOKUP($A521,'Base SKUs'!$E:$E,'Base SKUs'!G:G),"")</f>
        <v>Ipe</v>
      </c>
      <c r="N521" t="str">
        <f>IFERROR(_xlfn.XLOOKUP($A521,'Base SKUs'!$E:$E,'Base SKUs'!H:H),"")</f>
        <v>S4S E4E</v>
      </c>
      <c r="O521" t="str">
        <f>IFERROR(_xlfn.XLOOKUP($A521,'Base SKUs'!$E:$E,'Base SKUs'!I:I),"")</f>
        <v>-</v>
      </c>
      <c r="P521" t="str">
        <f>IFERROR(_xlfn.XLOOKUP($A521,'Base SKUs'!$E:$E,'Base SKUs'!J:J),"")</f>
        <v>4x8</v>
      </c>
      <c r="Q521">
        <f>IFERROR(_xlfn.XLOOKUP($A521,'Base SKUs'!$E:$E,'Base SKUs'!K:K),"")</f>
        <v>22</v>
      </c>
      <c r="R521" s="7">
        <f>IFERROR(_xlfn.XLOOKUP($A521,'Base SKUs'!$E:$E,'Base SKUs'!S:S),"")</f>
        <v>0.109776941736</v>
      </c>
      <c r="S521" s="8">
        <f t="shared" si="42"/>
        <v>1.0977694173599999</v>
      </c>
      <c r="T521" s="7">
        <f>IFERROR(_xlfn.XLOOKUP($A521,'Base SKUs'!$E:$E,'Base SKUs'!R:R),"")</f>
        <v>200.40600000000001</v>
      </c>
      <c r="U521" s="15">
        <f t="shared" si="43"/>
        <v>220</v>
      </c>
      <c r="V521" t="str">
        <f t="shared" si="44"/>
        <v>BS Riverside</v>
      </c>
    </row>
    <row r="522" spans="1:22" x14ac:dyDescent="0.2">
      <c r="A522" t="s">
        <v>772</v>
      </c>
      <c r="B522" s="5">
        <v>2</v>
      </c>
      <c r="C522" s="5">
        <v>0</v>
      </c>
      <c r="D522" s="5">
        <f t="shared" si="40"/>
        <v>2</v>
      </c>
      <c r="E522" s="6">
        <v>755.19960000000003</v>
      </c>
      <c r="F522" s="6">
        <f t="shared" si="41"/>
        <v>1510.3992000000001</v>
      </c>
      <c r="G522" t="s">
        <v>17</v>
      </c>
      <c r="H522">
        <v>9007</v>
      </c>
      <c r="I522" t="str">
        <f>IFERROR(_xlfn.XLOOKUP($A522,'Base SKUs'!$E:$E,'Base SKUs'!A:A),"")</f>
        <v>Ipe</v>
      </c>
      <c r="J522" t="str">
        <f>IFERROR(_xlfn.XLOOKUP($A522,'Base SKUs'!$E:$E,'Base SKUs'!B:B),"")</f>
        <v>Ipe 6x12</v>
      </c>
      <c r="K522" t="str">
        <f>IFERROR(_xlfn.XLOOKUP($A522,'Base SKUs'!$E:$E,'Base SKUs'!C:C),"")</f>
        <v>Long</v>
      </c>
      <c r="L522" t="str">
        <f>IFERROR(_xlfn.XLOOKUP($A522,'Base SKUs'!$E:$E,'Base SKUs'!D:D),"")</f>
        <v>Hardwoods</v>
      </c>
      <c r="M522" t="str">
        <f>IFERROR(_xlfn.XLOOKUP($A522,'Base SKUs'!$E:$E,'Base SKUs'!G:G),"")</f>
        <v>Ipe</v>
      </c>
      <c r="N522" t="str">
        <f>IFERROR(_xlfn.XLOOKUP($A522,'Base SKUs'!$E:$E,'Base SKUs'!H:H),"")</f>
        <v>S4S E4E</v>
      </c>
      <c r="O522" t="str">
        <f>IFERROR(_xlfn.XLOOKUP($A522,'Base SKUs'!$E:$E,'Base SKUs'!I:I),"")</f>
        <v>-</v>
      </c>
      <c r="P522" t="str">
        <f>IFERROR(_xlfn.XLOOKUP($A522,'Base SKUs'!$E:$E,'Base SKUs'!J:J),"")</f>
        <v>6x12</v>
      </c>
      <c r="Q522">
        <f>IFERROR(_xlfn.XLOOKUP($A522,'Base SKUs'!$E:$E,'Base SKUs'!K:K),"")</f>
        <v>18</v>
      </c>
      <c r="R522" s="7">
        <f>IFERROR(_xlfn.XLOOKUP($A522,'Base SKUs'!$E:$E,'Base SKUs'!S:S),"")</f>
        <v>0.21901311035999996</v>
      </c>
      <c r="S522" s="8">
        <f t="shared" si="42"/>
        <v>0.43802622071999991</v>
      </c>
      <c r="T522" s="7">
        <f>IFERROR(_xlfn.XLOOKUP($A522,'Base SKUs'!$E:$E,'Base SKUs'!R:R),"")</f>
        <v>82.186999999999998</v>
      </c>
      <c r="U522" s="15">
        <f t="shared" si="43"/>
        <v>36</v>
      </c>
      <c r="V522" t="str">
        <f t="shared" si="44"/>
        <v>Miami</v>
      </c>
    </row>
    <row r="523" spans="1:22" x14ac:dyDescent="0.2">
      <c r="A523" t="s">
        <v>774</v>
      </c>
      <c r="B523" s="5">
        <v>4</v>
      </c>
      <c r="C523" s="5">
        <v>0</v>
      </c>
      <c r="D523" s="5">
        <f t="shared" si="40"/>
        <v>4</v>
      </c>
      <c r="E523" s="6">
        <v>838.82330000000002</v>
      </c>
      <c r="F523" s="6">
        <f t="shared" si="41"/>
        <v>3355.2932000000001</v>
      </c>
      <c r="G523" t="s">
        <v>17</v>
      </c>
      <c r="H523">
        <v>9007</v>
      </c>
      <c r="I523" t="str">
        <f>IFERROR(_xlfn.XLOOKUP($A523,'Base SKUs'!$E:$E,'Base SKUs'!A:A),"")</f>
        <v>Ipe</v>
      </c>
      <c r="J523" t="str">
        <f>IFERROR(_xlfn.XLOOKUP($A523,'Base SKUs'!$E:$E,'Base SKUs'!B:B),"")</f>
        <v>Ipe 6x12</v>
      </c>
      <c r="K523" t="str">
        <f>IFERROR(_xlfn.XLOOKUP($A523,'Base SKUs'!$E:$E,'Base SKUs'!C:C),"")</f>
        <v>Long</v>
      </c>
      <c r="L523" t="str">
        <f>IFERROR(_xlfn.XLOOKUP($A523,'Base SKUs'!$E:$E,'Base SKUs'!D:D),"")</f>
        <v>Hardwoods</v>
      </c>
      <c r="M523" t="str">
        <f>IFERROR(_xlfn.XLOOKUP($A523,'Base SKUs'!$E:$E,'Base SKUs'!G:G),"")</f>
        <v>Ipe</v>
      </c>
      <c r="N523" t="str">
        <f>IFERROR(_xlfn.XLOOKUP($A523,'Base SKUs'!$E:$E,'Base SKUs'!H:H),"")</f>
        <v>S4S E4E</v>
      </c>
      <c r="O523" t="str">
        <f>IFERROR(_xlfn.XLOOKUP($A523,'Base SKUs'!$E:$E,'Base SKUs'!I:I),"")</f>
        <v>-</v>
      </c>
      <c r="P523" t="str">
        <f>IFERROR(_xlfn.XLOOKUP($A523,'Base SKUs'!$E:$E,'Base SKUs'!J:J),"")</f>
        <v>6x12</v>
      </c>
      <c r="Q523">
        <f>IFERROR(_xlfn.XLOOKUP($A523,'Base SKUs'!$E:$E,'Base SKUs'!K:K),"")</f>
        <v>20</v>
      </c>
      <c r="R523" s="7">
        <f>IFERROR(_xlfn.XLOOKUP($A523,'Base SKUs'!$E:$E,'Base SKUs'!S:S),"")</f>
        <v>0.24334790039999996</v>
      </c>
      <c r="S523" s="8">
        <f t="shared" si="42"/>
        <v>0.97339160159999982</v>
      </c>
      <c r="T523" s="7">
        <f>IFERROR(_xlfn.XLOOKUP($A523,'Base SKUs'!$E:$E,'Base SKUs'!R:R),"")</f>
        <v>82.186999999999998</v>
      </c>
      <c r="U523" s="15">
        <f t="shared" si="43"/>
        <v>80</v>
      </c>
      <c r="V523" t="str">
        <f t="shared" si="44"/>
        <v>Miami</v>
      </c>
    </row>
    <row r="524" spans="1:22" x14ac:dyDescent="0.2">
      <c r="A524" t="s">
        <v>776</v>
      </c>
      <c r="B524" s="5">
        <v>2</v>
      </c>
      <c r="C524" s="5">
        <v>0</v>
      </c>
      <c r="D524" s="5">
        <f t="shared" si="40"/>
        <v>2</v>
      </c>
      <c r="E524" s="6">
        <v>204.14519999999999</v>
      </c>
      <c r="F524" s="6">
        <f t="shared" si="41"/>
        <v>408.29039999999998</v>
      </c>
      <c r="G524" t="s">
        <v>24</v>
      </c>
      <c r="H524">
        <v>9008</v>
      </c>
      <c r="I524" t="str">
        <f>IFERROR(_xlfn.XLOOKUP($A524,'Base SKUs'!$E:$E,'Base SKUs'!A:A),"")</f>
        <v>Ipe</v>
      </c>
      <c r="J524" t="str">
        <f>IFERROR(_xlfn.XLOOKUP($A524,'Base SKUs'!$E:$E,'Base SKUs'!B:B),"")</f>
        <v>Ipe 6x6</v>
      </c>
      <c r="K524" t="str">
        <f>IFERROR(_xlfn.XLOOKUP($A524,'Base SKUs'!$E:$E,'Base SKUs'!C:C),"")</f>
        <v>Long</v>
      </c>
      <c r="L524" t="str">
        <f>IFERROR(_xlfn.XLOOKUP($A524,'Base SKUs'!$E:$E,'Base SKUs'!D:D),"")</f>
        <v>Hardwoods</v>
      </c>
      <c r="M524" t="str">
        <f>IFERROR(_xlfn.XLOOKUP($A524,'Base SKUs'!$E:$E,'Base SKUs'!G:G),"")</f>
        <v>Ipe</v>
      </c>
      <c r="N524" t="str">
        <f>IFERROR(_xlfn.XLOOKUP($A524,'Base SKUs'!$E:$E,'Base SKUs'!H:H),"")</f>
        <v>S4S E4E</v>
      </c>
      <c r="O524" t="str">
        <f>IFERROR(_xlfn.XLOOKUP($A524,'Base SKUs'!$E:$E,'Base SKUs'!I:I),"")</f>
        <v>-</v>
      </c>
      <c r="P524" t="str">
        <f>IFERROR(_xlfn.XLOOKUP($A524,'Base SKUs'!$E:$E,'Base SKUs'!J:J),"")</f>
        <v>6x6</v>
      </c>
      <c r="Q524">
        <f>IFERROR(_xlfn.XLOOKUP($A524,'Base SKUs'!$E:$E,'Base SKUs'!K:K),"")</f>
        <v>10</v>
      </c>
      <c r="R524" s="7">
        <f>IFERROR(_xlfn.XLOOKUP($A524,'Base SKUs'!$E:$E,'Base SKUs'!S:S),"")</f>
        <v>5.9485042319999994E-2</v>
      </c>
      <c r="S524" s="8">
        <f t="shared" si="42"/>
        <v>0.11897008463999999</v>
      </c>
      <c r="T524" s="7">
        <f>IFERROR(_xlfn.XLOOKUP($A524,'Base SKUs'!$E:$E,'Base SKUs'!R:R),"")</f>
        <v>168.10900000000001</v>
      </c>
      <c r="U524" s="15">
        <f t="shared" si="43"/>
        <v>20</v>
      </c>
      <c r="V524" t="str">
        <f t="shared" si="44"/>
        <v>Texas</v>
      </c>
    </row>
    <row r="525" spans="1:22" x14ac:dyDescent="0.2">
      <c r="A525" t="s">
        <v>776</v>
      </c>
      <c r="B525" s="5">
        <v>1</v>
      </c>
      <c r="C525" s="5">
        <v>0</v>
      </c>
      <c r="D525" s="5">
        <f t="shared" si="40"/>
        <v>1</v>
      </c>
      <c r="E525" s="6">
        <v>204.14519999999999</v>
      </c>
      <c r="F525" s="6">
        <f t="shared" si="41"/>
        <v>204.14519999999999</v>
      </c>
      <c r="G525" t="s">
        <v>330</v>
      </c>
      <c r="H525">
        <v>9011</v>
      </c>
      <c r="I525" t="str">
        <f>IFERROR(_xlfn.XLOOKUP($A525,'Base SKUs'!$E:$E,'Base SKUs'!A:A),"")</f>
        <v>Ipe</v>
      </c>
      <c r="J525" t="str">
        <f>IFERROR(_xlfn.XLOOKUP($A525,'Base SKUs'!$E:$E,'Base SKUs'!B:B),"")</f>
        <v>Ipe 6x6</v>
      </c>
      <c r="K525" t="str">
        <f>IFERROR(_xlfn.XLOOKUP($A525,'Base SKUs'!$E:$E,'Base SKUs'!C:C),"")</f>
        <v>Long</v>
      </c>
      <c r="L525" t="str">
        <f>IFERROR(_xlfn.XLOOKUP($A525,'Base SKUs'!$E:$E,'Base SKUs'!D:D),"")</f>
        <v>Hardwoods</v>
      </c>
      <c r="M525" t="str">
        <f>IFERROR(_xlfn.XLOOKUP($A525,'Base SKUs'!$E:$E,'Base SKUs'!G:G),"")</f>
        <v>Ipe</v>
      </c>
      <c r="N525" t="str">
        <f>IFERROR(_xlfn.XLOOKUP($A525,'Base SKUs'!$E:$E,'Base SKUs'!H:H),"")</f>
        <v>S4S E4E</v>
      </c>
      <c r="O525" t="str">
        <f>IFERROR(_xlfn.XLOOKUP($A525,'Base SKUs'!$E:$E,'Base SKUs'!I:I),"")</f>
        <v>-</v>
      </c>
      <c r="P525" t="str">
        <f>IFERROR(_xlfn.XLOOKUP($A525,'Base SKUs'!$E:$E,'Base SKUs'!J:J),"")</f>
        <v>6x6</v>
      </c>
      <c r="Q525">
        <f>IFERROR(_xlfn.XLOOKUP($A525,'Base SKUs'!$E:$E,'Base SKUs'!K:K),"")</f>
        <v>10</v>
      </c>
      <c r="R525" s="7">
        <f>IFERROR(_xlfn.XLOOKUP($A525,'Base SKUs'!$E:$E,'Base SKUs'!S:S),"")</f>
        <v>5.9485042319999994E-2</v>
      </c>
      <c r="S525" s="8">
        <f t="shared" si="42"/>
        <v>5.9485042319999994E-2</v>
      </c>
      <c r="T525" s="7">
        <f>IFERROR(_xlfn.XLOOKUP($A525,'Base SKUs'!$E:$E,'Base SKUs'!R:R),"")</f>
        <v>168.10900000000001</v>
      </c>
      <c r="U525" s="15">
        <f t="shared" si="43"/>
        <v>10</v>
      </c>
      <c r="V525" t="str">
        <f t="shared" si="44"/>
        <v>New York</v>
      </c>
    </row>
    <row r="526" spans="1:22" x14ac:dyDescent="0.2">
      <c r="A526" t="s">
        <v>778</v>
      </c>
      <c r="B526" s="5">
        <v>7</v>
      </c>
      <c r="C526" s="5">
        <v>0</v>
      </c>
      <c r="D526" s="5">
        <f t="shared" si="40"/>
        <v>7</v>
      </c>
      <c r="E526" s="6">
        <v>246.11349999999999</v>
      </c>
      <c r="F526" s="6">
        <f t="shared" si="41"/>
        <v>1722.7945</v>
      </c>
      <c r="G526" t="s">
        <v>125</v>
      </c>
      <c r="H526">
        <v>9009</v>
      </c>
      <c r="I526" t="str">
        <f>IFERROR(_xlfn.XLOOKUP($A526,'Base SKUs'!$E:$E,'Base SKUs'!A:A),"")</f>
        <v>Ipe</v>
      </c>
      <c r="J526" t="str">
        <f>IFERROR(_xlfn.XLOOKUP($A526,'Base SKUs'!$E:$E,'Base SKUs'!B:B),"")</f>
        <v>Ipe 6x6</v>
      </c>
      <c r="K526" t="str">
        <f>IFERROR(_xlfn.XLOOKUP($A526,'Base SKUs'!$E:$E,'Base SKUs'!C:C),"")</f>
        <v>Long</v>
      </c>
      <c r="L526" t="str">
        <f>IFERROR(_xlfn.XLOOKUP($A526,'Base SKUs'!$E:$E,'Base SKUs'!D:D),"")</f>
        <v>Hardwoods</v>
      </c>
      <c r="M526" t="str">
        <f>IFERROR(_xlfn.XLOOKUP($A526,'Base SKUs'!$E:$E,'Base SKUs'!G:G),"")</f>
        <v>Ipe</v>
      </c>
      <c r="N526" t="str">
        <f>IFERROR(_xlfn.XLOOKUP($A526,'Base SKUs'!$E:$E,'Base SKUs'!H:H),"")</f>
        <v>S4S E4E</v>
      </c>
      <c r="O526" t="str">
        <f>IFERROR(_xlfn.XLOOKUP($A526,'Base SKUs'!$E:$E,'Base SKUs'!I:I),"")</f>
        <v>-</v>
      </c>
      <c r="P526" t="str">
        <f>IFERROR(_xlfn.XLOOKUP($A526,'Base SKUs'!$E:$E,'Base SKUs'!J:J),"")</f>
        <v>6x6</v>
      </c>
      <c r="Q526">
        <f>IFERROR(_xlfn.XLOOKUP($A526,'Base SKUs'!$E:$E,'Base SKUs'!K:K),"")</f>
        <v>12</v>
      </c>
      <c r="R526" s="7">
        <f>IFERROR(_xlfn.XLOOKUP($A526,'Base SKUs'!$E:$E,'Base SKUs'!S:S),"")</f>
        <v>7.1382050783999992E-2</v>
      </c>
      <c r="S526" s="8">
        <f t="shared" si="42"/>
        <v>0.49967435548799993</v>
      </c>
      <c r="T526" s="7">
        <f>IFERROR(_xlfn.XLOOKUP($A526,'Base SKUs'!$E:$E,'Base SKUs'!R:R),"")</f>
        <v>168.10900000000001</v>
      </c>
      <c r="U526" s="15">
        <f t="shared" si="43"/>
        <v>84</v>
      </c>
      <c r="V526" t="str">
        <f t="shared" si="44"/>
        <v>Boston</v>
      </c>
    </row>
    <row r="527" spans="1:22" x14ac:dyDescent="0.2">
      <c r="A527" t="s">
        <v>778</v>
      </c>
      <c r="B527" s="5">
        <v>34</v>
      </c>
      <c r="C527" s="5">
        <v>2</v>
      </c>
      <c r="D527" s="5">
        <f t="shared" si="40"/>
        <v>32</v>
      </c>
      <c r="E527" s="6">
        <v>246.11349999999999</v>
      </c>
      <c r="F527" s="6">
        <f t="shared" si="41"/>
        <v>8367.8590000000004</v>
      </c>
      <c r="G527" t="s">
        <v>330</v>
      </c>
      <c r="H527">
        <v>9011</v>
      </c>
      <c r="I527" t="str">
        <f>IFERROR(_xlfn.XLOOKUP($A527,'Base SKUs'!$E:$E,'Base SKUs'!A:A),"")</f>
        <v>Ipe</v>
      </c>
      <c r="J527" t="str">
        <f>IFERROR(_xlfn.XLOOKUP($A527,'Base SKUs'!$E:$E,'Base SKUs'!B:B),"")</f>
        <v>Ipe 6x6</v>
      </c>
      <c r="K527" t="str">
        <f>IFERROR(_xlfn.XLOOKUP($A527,'Base SKUs'!$E:$E,'Base SKUs'!C:C),"")</f>
        <v>Long</v>
      </c>
      <c r="L527" t="str">
        <f>IFERROR(_xlfn.XLOOKUP($A527,'Base SKUs'!$E:$E,'Base SKUs'!D:D),"")</f>
        <v>Hardwoods</v>
      </c>
      <c r="M527" t="str">
        <f>IFERROR(_xlfn.XLOOKUP($A527,'Base SKUs'!$E:$E,'Base SKUs'!G:G),"")</f>
        <v>Ipe</v>
      </c>
      <c r="N527" t="str">
        <f>IFERROR(_xlfn.XLOOKUP($A527,'Base SKUs'!$E:$E,'Base SKUs'!H:H),"")</f>
        <v>S4S E4E</v>
      </c>
      <c r="O527" t="str">
        <f>IFERROR(_xlfn.XLOOKUP($A527,'Base SKUs'!$E:$E,'Base SKUs'!I:I),"")</f>
        <v>-</v>
      </c>
      <c r="P527" t="str">
        <f>IFERROR(_xlfn.XLOOKUP($A527,'Base SKUs'!$E:$E,'Base SKUs'!J:J),"")</f>
        <v>6x6</v>
      </c>
      <c r="Q527">
        <f>IFERROR(_xlfn.XLOOKUP($A527,'Base SKUs'!$E:$E,'Base SKUs'!K:K),"")</f>
        <v>12</v>
      </c>
      <c r="R527" s="7">
        <f>IFERROR(_xlfn.XLOOKUP($A527,'Base SKUs'!$E:$E,'Base SKUs'!S:S),"")</f>
        <v>7.1382050783999992E-2</v>
      </c>
      <c r="S527" s="8">
        <f t="shared" si="42"/>
        <v>2.2842256250879998</v>
      </c>
      <c r="T527" s="7">
        <f>IFERROR(_xlfn.XLOOKUP($A527,'Base SKUs'!$E:$E,'Base SKUs'!R:R),"")</f>
        <v>168.10900000000001</v>
      </c>
      <c r="U527" s="15">
        <f t="shared" si="43"/>
        <v>384</v>
      </c>
      <c r="V527" t="str">
        <f t="shared" si="44"/>
        <v>New York</v>
      </c>
    </row>
    <row r="528" spans="1:22" x14ac:dyDescent="0.2">
      <c r="A528" t="s">
        <v>778</v>
      </c>
      <c r="B528" s="5">
        <v>83</v>
      </c>
      <c r="C528" s="5">
        <v>0</v>
      </c>
      <c r="D528" s="5">
        <f t="shared" si="40"/>
        <v>83</v>
      </c>
      <c r="E528" s="6">
        <v>246.11349999999999</v>
      </c>
      <c r="F528" s="6">
        <f t="shared" si="41"/>
        <v>20427.4205</v>
      </c>
      <c r="G528" t="s">
        <v>454</v>
      </c>
      <c r="H528">
        <v>9013</v>
      </c>
      <c r="I528" t="str">
        <f>IFERROR(_xlfn.XLOOKUP($A528,'Base SKUs'!$E:$E,'Base SKUs'!A:A),"")</f>
        <v>Ipe</v>
      </c>
      <c r="J528" t="str">
        <f>IFERROR(_xlfn.XLOOKUP($A528,'Base SKUs'!$E:$E,'Base SKUs'!B:B),"")</f>
        <v>Ipe 6x6</v>
      </c>
      <c r="K528" t="str">
        <f>IFERROR(_xlfn.XLOOKUP($A528,'Base SKUs'!$E:$E,'Base SKUs'!C:C),"")</f>
        <v>Long</v>
      </c>
      <c r="L528" t="str">
        <f>IFERROR(_xlfn.XLOOKUP($A528,'Base SKUs'!$E:$E,'Base SKUs'!D:D),"")</f>
        <v>Hardwoods</v>
      </c>
      <c r="M528" t="str">
        <f>IFERROR(_xlfn.XLOOKUP($A528,'Base SKUs'!$E:$E,'Base SKUs'!G:G),"")</f>
        <v>Ipe</v>
      </c>
      <c r="N528" t="str">
        <f>IFERROR(_xlfn.XLOOKUP($A528,'Base SKUs'!$E:$E,'Base SKUs'!H:H),"")</f>
        <v>S4S E4E</v>
      </c>
      <c r="O528" t="str">
        <f>IFERROR(_xlfn.XLOOKUP($A528,'Base SKUs'!$E:$E,'Base SKUs'!I:I),"")</f>
        <v>-</v>
      </c>
      <c r="P528" t="str">
        <f>IFERROR(_xlfn.XLOOKUP($A528,'Base SKUs'!$E:$E,'Base SKUs'!J:J),"")</f>
        <v>6x6</v>
      </c>
      <c r="Q528">
        <f>IFERROR(_xlfn.XLOOKUP($A528,'Base SKUs'!$E:$E,'Base SKUs'!K:K),"")</f>
        <v>12</v>
      </c>
      <c r="R528" s="7">
        <f>IFERROR(_xlfn.XLOOKUP($A528,'Base SKUs'!$E:$E,'Base SKUs'!S:S),"")</f>
        <v>7.1382050783999992E-2</v>
      </c>
      <c r="S528" s="8">
        <f t="shared" si="42"/>
        <v>5.9247102150719995</v>
      </c>
      <c r="T528" s="7">
        <f>IFERROR(_xlfn.XLOOKUP($A528,'Base SKUs'!$E:$E,'Base SKUs'!R:R),"")</f>
        <v>168.10900000000001</v>
      </c>
      <c r="U528" s="15">
        <f t="shared" si="43"/>
        <v>996</v>
      </c>
      <c r="V528" t="str">
        <f t="shared" si="44"/>
        <v>BS Riverside</v>
      </c>
    </row>
    <row r="529" spans="1:22" x14ac:dyDescent="0.2">
      <c r="A529" t="s">
        <v>780</v>
      </c>
      <c r="B529" s="5">
        <v>17</v>
      </c>
      <c r="C529" s="5">
        <v>0</v>
      </c>
      <c r="D529" s="5">
        <f t="shared" si="40"/>
        <v>17</v>
      </c>
      <c r="E529" s="6">
        <v>287.32560000000001</v>
      </c>
      <c r="F529" s="6">
        <f t="shared" si="41"/>
        <v>4884.5352000000003</v>
      </c>
      <c r="G529" t="s">
        <v>24</v>
      </c>
      <c r="H529">
        <v>9008</v>
      </c>
      <c r="I529" t="str">
        <f>IFERROR(_xlfn.XLOOKUP($A529,'Base SKUs'!$E:$E,'Base SKUs'!A:A),"")</f>
        <v>Ipe</v>
      </c>
      <c r="J529" t="str">
        <f>IFERROR(_xlfn.XLOOKUP($A529,'Base SKUs'!$E:$E,'Base SKUs'!B:B),"")</f>
        <v>Ipe 6x6</v>
      </c>
      <c r="K529" t="str">
        <f>IFERROR(_xlfn.XLOOKUP($A529,'Base SKUs'!$E:$E,'Base SKUs'!C:C),"")</f>
        <v>Long</v>
      </c>
      <c r="L529" t="str">
        <f>IFERROR(_xlfn.XLOOKUP($A529,'Base SKUs'!$E:$E,'Base SKUs'!D:D),"")</f>
        <v>Hardwoods</v>
      </c>
      <c r="M529" t="str">
        <f>IFERROR(_xlfn.XLOOKUP($A529,'Base SKUs'!$E:$E,'Base SKUs'!G:G),"")</f>
        <v>Ipe</v>
      </c>
      <c r="N529" t="str">
        <f>IFERROR(_xlfn.XLOOKUP($A529,'Base SKUs'!$E:$E,'Base SKUs'!H:H),"")</f>
        <v>S4S E4E</v>
      </c>
      <c r="O529" t="str">
        <f>IFERROR(_xlfn.XLOOKUP($A529,'Base SKUs'!$E:$E,'Base SKUs'!I:I),"")</f>
        <v>-</v>
      </c>
      <c r="P529" t="str">
        <f>IFERROR(_xlfn.XLOOKUP($A529,'Base SKUs'!$E:$E,'Base SKUs'!J:J),"")</f>
        <v>6x6</v>
      </c>
      <c r="Q529">
        <f>IFERROR(_xlfn.XLOOKUP($A529,'Base SKUs'!$E:$E,'Base SKUs'!K:K),"")</f>
        <v>14</v>
      </c>
      <c r="R529" s="7">
        <f>IFERROR(_xlfn.XLOOKUP($A529,'Base SKUs'!$E:$E,'Base SKUs'!S:S),"")</f>
        <v>8.327905924799997E-2</v>
      </c>
      <c r="S529" s="8">
        <f t="shared" si="42"/>
        <v>1.4157440072159995</v>
      </c>
      <c r="T529" s="7">
        <f>IFERROR(_xlfn.XLOOKUP($A529,'Base SKUs'!$E:$E,'Base SKUs'!R:R),"")</f>
        <v>168.10900000000001</v>
      </c>
      <c r="U529" s="15">
        <f t="shared" si="43"/>
        <v>238</v>
      </c>
      <c r="V529" t="str">
        <f t="shared" si="44"/>
        <v>Texas</v>
      </c>
    </row>
    <row r="530" spans="1:22" x14ac:dyDescent="0.2">
      <c r="A530" t="s">
        <v>780</v>
      </c>
      <c r="B530" s="5">
        <v>6</v>
      </c>
      <c r="C530" s="5">
        <v>2</v>
      </c>
      <c r="D530" s="5">
        <f t="shared" si="40"/>
        <v>4</v>
      </c>
      <c r="E530" s="6">
        <v>287.32560000000001</v>
      </c>
      <c r="F530" s="6">
        <f t="shared" si="41"/>
        <v>1723.9536000000001</v>
      </c>
      <c r="G530" t="s">
        <v>330</v>
      </c>
      <c r="H530">
        <v>9011</v>
      </c>
      <c r="I530" t="str">
        <f>IFERROR(_xlfn.XLOOKUP($A530,'Base SKUs'!$E:$E,'Base SKUs'!A:A),"")</f>
        <v>Ipe</v>
      </c>
      <c r="J530" t="str">
        <f>IFERROR(_xlfn.XLOOKUP($A530,'Base SKUs'!$E:$E,'Base SKUs'!B:B),"")</f>
        <v>Ipe 6x6</v>
      </c>
      <c r="K530" t="str">
        <f>IFERROR(_xlfn.XLOOKUP($A530,'Base SKUs'!$E:$E,'Base SKUs'!C:C),"")</f>
        <v>Long</v>
      </c>
      <c r="L530" t="str">
        <f>IFERROR(_xlfn.XLOOKUP($A530,'Base SKUs'!$E:$E,'Base SKUs'!D:D),"")</f>
        <v>Hardwoods</v>
      </c>
      <c r="M530" t="str">
        <f>IFERROR(_xlfn.XLOOKUP($A530,'Base SKUs'!$E:$E,'Base SKUs'!G:G),"")</f>
        <v>Ipe</v>
      </c>
      <c r="N530" t="str">
        <f>IFERROR(_xlfn.XLOOKUP($A530,'Base SKUs'!$E:$E,'Base SKUs'!H:H),"")</f>
        <v>S4S E4E</v>
      </c>
      <c r="O530" t="str">
        <f>IFERROR(_xlfn.XLOOKUP($A530,'Base SKUs'!$E:$E,'Base SKUs'!I:I),"")</f>
        <v>-</v>
      </c>
      <c r="P530" t="str">
        <f>IFERROR(_xlfn.XLOOKUP($A530,'Base SKUs'!$E:$E,'Base SKUs'!J:J),"")</f>
        <v>6x6</v>
      </c>
      <c r="Q530">
        <f>IFERROR(_xlfn.XLOOKUP($A530,'Base SKUs'!$E:$E,'Base SKUs'!K:K),"")</f>
        <v>14</v>
      </c>
      <c r="R530" s="7">
        <f>IFERROR(_xlfn.XLOOKUP($A530,'Base SKUs'!$E:$E,'Base SKUs'!S:S),"")</f>
        <v>8.327905924799997E-2</v>
      </c>
      <c r="S530" s="8">
        <f t="shared" si="42"/>
        <v>0.33311623699199988</v>
      </c>
      <c r="T530" s="7">
        <f>IFERROR(_xlfn.XLOOKUP($A530,'Base SKUs'!$E:$E,'Base SKUs'!R:R),"")</f>
        <v>168.10900000000001</v>
      </c>
      <c r="U530" s="15">
        <f t="shared" si="43"/>
        <v>56</v>
      </c>
      <c r="V530" t="str">
        <f t="shared" si="44"/>
        <v>New York</v>
      </c>
    </row>
    <row r="531" spans="1:22" x14ac:dyDescent="0.2">
      <c r="A531" t="s">
        <v>782</v>
      </c>
      <c r="B531" s="5">
        <v>14</v>
      </c>
      <c r="C531" s="5">
        <v>0</v>
      </c>
      <c r="D531" s="5">
        <f t="shared" si="40"/>
        <v>14</v>
      </c>
      <c r="E531" s="6">
        <v>328.20650000000001</v>
      </c>
      <c r="F531" s="6">
        <f t="shared" si="41"/>
        <v>4594.8909999999996</v>
      </c>
      <c r="G531" t="s">
        <v>24</v>
      </c>
      <c r="H531">
        <v>9008</v>
      </c>
      <c r="I531" t="str">
        <f>IFERROR(_xlfn.XLOOKUP($A531,'Base SKUs'!$E:$E,'Base SKUs'!A:A),"")</f>
        <v>Ipe</v>
      </c>
      <c r="J531" t="str">
        <f>IFERROR(_xlfn.XLOOKUP($A531,'Base SKUs'!$E:$E,'Base SKUs'!B:B),"")</f>
        <v>Ipe 6x6</v>
      </c>
      <c r="K531" t="str">
        <f>IFERROR(_xlfn.XLOOKUP($A531,'Base SKUs'!$E:$E,'Base SKUs'!C:C),"")</f>
        <v>Long</v>
      </c>
      <c r="L531" t="str">
        <f>IFERROR(_xlfn.XLOOKUP($A531,'Base SKUs'!$E:$E,'Base SKUs'!D:D),"")</f>
        <v>Hardwoods</v>
      </c>
      <c r="M531" t="str">
        <f>IFERROR(_xlfn.XLOOKUP($A531,'Base SKUs'!$E:$E,'Base SKUs'!G:G),"")</f>
        <v>Ipe</v>
      </c>
      <c r="N531" t="str">
        <f>IFERROR(_xlfn.XLOOKUP($A531,'Base SKUs'!$E:$E,'Base SKUs'!H:H),"")</f>
        <v>S4S E4E</v>
      </c>
      <c r="O531" t="str">
        <f>IFERROR(_xlfn.XLOOKUP($A531,'Base SKUs'!$E:$E,'Base SKUs'!I:I),"")</f>
        <v>-</v>
      </c>
      <c r="P531" t="str">
        <f>IFERROR(_xlfn.XLOOKUP($A531,'Base SKUs'!$E:$E,'Base SKUs'!J:J),"")</f>
        <v>6x6</v>
      </c>
      <c r="Q531">
        <f>IFERROR(_xlfn.XLOOKUP($A531,'Base SKUs'!$E:$E,'Base SKUs'!K:K),"")</f>
        <v>16</v>
      </c>
      <c r="R531" s="7">
        <f>IFERROR(_xlfn.XLOOKUP($A531,'Base SKUs'!$E:$E,'Base SKUs'!S:S),"")</f>
        <v>9.517606771199999E-2</v>
      </c>
      <c r="S531" s="8">
        <f t="shared" si="42"/>
        <v>1.332464947968</v>
      </c>
      <c r="T531" s="7">
        <f>IFERROR(_xlfn.XLOOKUP($A531,'Base SKUs'!$E:$E,'Base SKUs'!R:R),"")</f>
        <v>168.10900000000001</v>
      </c>
      <c r="U531" s="15">
        <f t="shared" si="43"/>
        <v>224</v>
      </c>
      <c r="V531" t="str">
        <f t="shared" si="44"/>
        <v>Texas</v>
      </c>
    </row>
    <row r="532" spans="1:22" x14ac:dyDescent="0.2">
      <c r="A532" t="s">
        <v>782</v>
      </c>
      <c r="B532" s="5">
        <v>6</v>
      </c>
      <c r="C532" s="5">
        <v>0</v>
      </c>
      <c r="D532" s="5">
        <f t="shared" si="40"/>
        <v>6</v>
      </c>
      <c r="E532" s="6">
        <v>328.20580000000001</v>
      </c>
      <c r="F532" s="6">
        <f t="shared" si="41"/>
        <v>1969.2348000000002</v>
      </c>
      <c r="G532" t="s">
        <v>330</v>
      </c>
      <c r="H532">
        <v>9011</v>
      </c>
      <c r="I532" t="str">
        <f>IFERROR(_xlfn.XLOOKUP($A532,'Base SKUs'!$E:$E,'Base SKUs'!A:A),"")</f>
        <v>Ipe</v>
      </c>
      <c r="J532" t="str">
        <f>IFERROR(_xlfn.XLOOKUP($A532,'Base SKUs'!$E:$E,'Base SKUs'!B:B),"")</f>
        <v>Ipe 6x6</v>
      </c>
      <c r="K532" t="str">
        <f>IFERROR(_xlfn.XLOOKUP($A532,'Base SKUs'!$E:$E,'Base SKUs'!C:C),"")</f>
        <v>Long</v>
      </c>
      <c r="L532" t="str">
        <f>IFERROR(_xlfn.XLOOKUP($A532,'Base SKUs'!$E:$E,'Base SKUs'!D:D),"")</f>
        <v>Hardwoods</v>
      </c>
      <c r="M532" t="str">
        <f>IFERROR(_xlfn.XLOOKUP($A532,'Base SKUs'!$E:$E,'Base SKUs'!G:G),"")</f>
        <v>Ipe</v>
      </c>
      <c r="N532" t="str">
        <f>IFERROR(_xlfn.XLOOKUP($A532,'Base SKUs'!$E:$E,'Base SKUs'!H:H),"")</f>
        <v>S4S E4E</v>
      </c>
      <c r="O532" t="str">
        <f>IFERROR(_xlfn.XLOOKUP($A532,'Base SKUs'!$E:$E,'Base SKUs'!I:I),"")</f>
        <v>-</v>
      </c>
      <c r="P532" t="str">
        <f>IFERROR(_xlfn.XLOOKUP($A532,'Base SKUs'!$E:$E,'Base SKUs'!J:J),"")</f>
        <v>6x6</v>
      </c>
      <c r="Q532">
        <f>IFERROR(_xlfn.XLOOKUP($A532,'Base SKUs'!$E:$E,'Base SKUs'!K:K),"")</f>
        <v>16</v>
      </c>
      <c r="R532" s="7">
        <f>IFERROR(_xlfn.XLOOKUP($A532,'Base SKUs'!$E:$E,'Base SKUs'!S:S),"")</f>
        <v>9.517606771199999E-2</v>
      </c>
      <c r="S532" s="8">
        <f t="shared" si="42"/>
        <v>0.57105640627199994</v>
      </c>
      <c r="T532" s="7">
        <f>IFERROR(_xlfn.XLOOKUP($A532,'Base SKUs'!$E:$E,'Base SKUs'!R:R),"")</f>
        <v>168.10900000000001</v>
      </c>
      <c r="U532" s="15">
        <f t="shared" si="43"/>
        <v>96</v>
      </c>
      <c r="V532" t="str">
        <f t="shared" si="44"/>
        <v>New York</v>
      </c>
    </row>
    <row r="533" spans="1:22" x14ac:dyDescent="0.2">
      <c r="A533" t="s">
        <v>784</v>
      </c>
      <c r="B533" s="5">
        <v>7</v>
      </c>
      <c r="C533" s="5">
        <v>0</v>
      </c>
      <c r="D533" s="5">
        <f t="shared" si="40"/>
        <v>7</v>
      </c>
      <c r="E533" s="6">
        <v>369.36189999999999</v>
      </c>
      <c r="F533" s="6">
        <f t="shared" si="41"/>
        <v>2585.5333000000001</v>
      </c>
      <c r="G533" t="s">
        <v>17</v>
      </c>
      <c r="H533">
        <v>9007</v>
      </c>
      <c r="I533" t="str">
        <f>IFERROR(_xlfn.XLOOKUP($A533,'Base SKUs'!$E:$E,'Base SKUs'!A:A),"")</f>
        <v>Ipe</v>
      </c>
      <c r="J533" t="str">
        <f>IFERROR(_xlfn.XLOOKUP($A533,'Base SKUs'!$E:$E,'Base SKUs'!B:B),"")</f>
        <v>Ipe 6x6</v>
      </c>
      <c r="K533" t="str">
        <f>IFERROR(_xlfn.XLOOKUP($A533,'Base SKUs'!$E:$E,'Base SKUs'!C:C),"")</f>
        <v>Long</v>
      </c>
      <c r="L533" t="str">
        <f>IFERROR(_xlfn.XLOOKUP($A533,'Base SKUs'!$E:$E,'Base SKUs'!D:D),"")</f>
        <v>Hardwoods</v>
      </c>
      <c r="M533" t="str">
        <f>IFERROR(_xlfn.XLOOKUP($A533,'Base SKUs'!$E:$E,'Base SKUs'!G:G),"")</f>
        <v>Ipe</v>
      </c>
      <c r="N533" t="str">
        <f>IFERROR(_xlfn.XLOOKUP($A533,'Base SKUs'!$E:$E,'Base SKUs'!H:H),"")</f>
        <v>S4S E4E</v>
      </c>
      <c r="O533" t="str">
        <f>IFERROR(_xlfn.XLOOKUP($A533,'Base SKUs'!$E:$E,'Base SKUs'!I:I),"")</f>
        <v>-</v>
      </c>
      <c r="P533" t="str">
        <f>IFERROR(_xlfn.XLOOKUP($A533,'Base SKUs'!$E:$E,'Base SKUs'!J:J),"")</f>
        <v>6x6</v>
      </c>
      <c r="Q533">
        <f>IFERROR(_xlfn.XLOOKUP($A533,'Base SKUs'!$E:$E,'Base SKUs'!K:K),"")</f>
        <v>18</v>
      </c>
      <c r="R533" s="7">
        <f>IFERROR(_xlfn.XLOOKUP($A533,'Base SKUs'!$E:$E,'Base SKUs'!S:S),"")</f>
        <v>0.10707307617599995</v>
      </c>
      <c r="S533" s="8">
        <f t="shared" si="42"/>
        <v>0.7495115332319997</v>
      </c>
      <c r="T533" s="7">
        <f>IFERROR(_xlfn.XLOOKUP($A533,'Base SKUs'!$E:$E,'Base SKUs'!R:R),"")</f>
        <v>168.10900000000001</v>
      </c>
      <c r="U533" s="15">
        <f t="shared" si="43"/>
        <v>126</v>
      </c>
      <c r="V533" t="str">
        <f t="shared" si="44"/>
        <v>Miami</v>
      </c>
    </row>
    <row r="534" spans="1:22" x14ac:dyDescent="0.2">
      <c r="A534" t="s">
        <v>784</v>
      </c>
      <c r="B534" s="5">
        <v>8</v>
      </c>
      <c r="C534" s="5">
        <v>0</v>
      </c>
      <c r="D534" s="5">
        <f t="shared" si="40"/>
        <v>8</v>
      </c>
      <c r="E534" s="6">
        <v>369.36189999999999</v>
      </c>
      <c r="F534" s="6">
        <f t="shared" si="41"/>
        <v>2954.8951999999999</v>
      </c>
      <c r="G534" t="s">
        <v>330</v>
      </c>
      <c r="H534">
        <v>9011</v>
      </c>
      <c r="I534" t="str">
        <f>IFERROR(_xlfn.XLOOKUP($A534,'Base SKUs'!$E:$E,'Base SKUs'!A:A),"")</f>
        <v>Ipe</v>
      </c>
      <c r="J534" t="str">
        <f>IFERROR(_xlfn.XLOOKUP($A534,'Base SKUs'!$E:$E,'Base SKUs'!B:B),"")</f>
        <v>Ipe 6x6</v>
      </c>
      <c r="K534" t="str">
        <f>IFERROR(_xlfn.XLOOKUP($A534,'Base SKUs'!$E:$E,'Base SKUs'!C:C),"")</f>
        <v>Long</v>
      </c>
      <c r="L534" t="str">
        <f>IFERROR(_xlfn.XLOOKUP($A534,'Base SKUs'!$E:$E,'Base SKUs'!D:D),"")</f>
        <v>Hardwoods</v>
      </c>
      <c r="M534" t="str">
        <f>IFERROR(_xlfn.XLOOKUP($A534,'Base SKUs'!$E:$E,'Base SKUs'!G:G),"")</f>
        <v>Ipe</v>
      </c>
      <c r="N534" t="str">
        <f>IFERROR(_xlfn.XLOOKUP($A534,'Base SKUs'!$E:$E,'Base SKUs'!H:H),"")</f>
        <v>S4S E4E</v>
      </c>
      <c r="O534" t="str">
        <f>IFERROR(_xlfn.XLOOKUP($A534,'Base SKUs'!$E:$E,'Base SKUs'!I:I),"")</f>
        <v>-</v>
      </c>
      <c r="P534" t="str">
        <f>IFERROR(_xlfn.XLOOKUP($A534,'Base SKUs'!$E:$E,'Base SKUs'!J:J),"")</f>
        <v>6x6</v>
      </c>
      <c r="Q534">
        <f>IFERROR(_xlfn.XLOOKUP($A534,'Base SKUs'!$E:$E,'Base SKUs'!K:K),"")</f>
        <v>18</v>
      </c>
      <c r="R534" s="7">
        <f>IFERROR(_xlfn.XLOOKUP($A534,'Base SKUs'!$E:$E,'Base SKUs'!S:S),"")</f>
        <v>0.10707307617599995</v>
      </c>
      <c r="S534" s="8">
        <f t="shared" si="42"/>
        <v>0.85658460940799963</v>
      </c>
      <c r="T534" s="7">
        <f>IFERROR(_xlfn.XLOOKUP($A534,'Base SKUs'!$E:$E,'Base SKUs'!R:R),"")</f>
        <v>168.10900000000001</v>
      </c>
      <c r="U534" s="15">
        <f t="shared" si="43"/>
        <v>144</v>
      </c>
      <c r="V534" t="str">
        <f t="shared" si="44"/>
        <v>New York</v>
      </c>
    </row>
    <row r="535" spans="1:22" x14ac:dyDescent="0.2">
      <c r="A535" t="s">
        <v>786</v>
      </c>
      <c r="B535" s="5">
        <v>23</v>
      </c>
      <c r="C535" s="5">
        <v>0</v>
      </c>
      <c r="D535" s="5">
        <f t="shared" si="40"/>
        <v>23</v>
      </c>
      <c r="E535" s="6">
        <v>410.2269</v>
      </c>
      <c r="F535" s="6">
        <f t="shared" si="41"/>
        <v>9435.2186999999994</v>
      </c>
      <c r="G535" t="s">
        <v>24</v>
      </c>
      <c r="H535">
        <v>9008</v>
      </c>
      <c r="I535" t="str">
        <f>IFERROR(_xlfn.XLOOKUP($A535,'Base SKUs'!$E:$E,'Base SKUs'!A:A),"")</f>
        <v>Ipe</v>
      </c>
      <c r="J535" t="str">
        <f>IFERROR(_xlfn.XLOOKUP($A535,'Base SKUs'!$E:$E,'Base SKUs'!B:B),"")</f>
        <v>Ipe 6x6</v>
      </c>
      <c r="K535" t="str">
        <f>IFERROR(_xlfn.XLOOKUP($A535,'Base SKUs'!$E:$E,'Base SKUs'!C:C),"")</f>
        <v>Long</v>
      </c>
      <c r="L535" t="str">
        <f>IFERROR(_xlfn.XLOOKUP($A535,'Base SKUs'!$E:$E,'Base SKUs'!D:D),"")</f>
        <v>Hardwoods</v>
      </c>
      <c r="M535" t="str">
        <f>IFERROR(_xlfn.XLOOKUP($A535,'Base SKUs'!$E:$E,'Base SKUs'!G:G),"")</f>
        <v>Ipe</v>
      </c>
      <c r="N535" t="str">
        <f>IFERROR(_xlfn.XLOOKUP($A535,'Base SKUs'!$E:$E,'Base SKUs'!H:H),"")</f>
        <v>S4S E4E</v>
      </c>
      <c r="O535" t="str">
        <f>IFERROR(_xlfn.XLOOKUP($A535,'Base SKUs'!$E:$E,'Base SKUs'!I:I),"")</f>
        <v>-</v>
      </c>
      <c r="P535" t="str">
        <f>IFERROR(_xlfn.XLOOKUP($A535,'Base SKUs'!$E:$E,'Base SKUs'!J:J),"")</f>
        <v>6x6</v>
      </c>
      <c r="Q535">
        <f>IFERROR(_xlfn.XLOOKUP($A535,'Base SKUs'!$E:$E,'Base SKUs'!K:K),"")</f>
        <v>20</v>
      </c>
      <c r="R535" s="7">
        <f>IFERROR(_xlfn.XLOOKUP($A535,'Base SKUs'!$E:$E,'Base SKUs'!S:S),"")</f>
        <v>0.11897008463999999</v>
      </c>
      <c r="S535" s="8">
        <f t="shared" si="42"/>
        <v>2.7363119467199999</v>
      </c>
      <c r="T535" s="7">
        <f>IFERROR(_xlfn.XLOOKUP($A535,'Base SKUs'!$E:$E,'Base SKUs'!R:R),"")</f>
        <v>168.10900000000001</v>
      </c>
      <c r="U535" s="15">
        <f t="shared" si="43"/>
        <v>460</v>
      </c>
      <c r="V535" t="str">
        <f t="shared" si="44"/>
        <v>Texas</v>
      </c>
    </row>
    <row r="536" spans="1:22" x14ac:dyDescent="0.2">
      <c r="A536" t="s">
        <v>786</v>
      </c>
      <c r="B536" s="5">
        <v>1</v>
      </c>
      <c r="C536" s="5">
        <v>0</v>
      </c>
      <c r="D536" s="5">
        <f t="shared" si="40"/>
        <v>1</v>
      </c>
      <c r="E536" s="6">
        <v>410.2269</v>
      </c>
      <c r="F536" s="6">
        <f t="shared" si="41"/>
        <v>410.2269</v>
      </c>
      <c r="G536" t="s">
        <v>330</v>
      </c>
      <c r="H536">
        <v>9011</v>
      </c>
      <c r="I536" t="str">
        <f>IFERROR(_xlfn.XLOOKUP($A536,'Base SKUs'!$E:$E,'Base SKUs'!A:A),"")</f>
        <v>Ipe</v>
      </c>
      <c r="J536" t="str">
        <f>IFERROR(_xlfn.XLOOKUP($A536,'Base SKUs'!$E:$E,'Base SKUs'!B:B),"")</f>
        <v>Ipe 6x6</v>
      </c>
      <c r="K536" t="str">
        <f>IFERROR(_xlfn.XLOOKUP($A536,'Base SKUs'!$E:$E,'Base SKUs'!C:C),"")</f>
        <v>Long</v>
      </c>
      <c r="L536" t="str">
        <f>IFERROR(_xlfn.XLOOKUP($A536,'Base SKUs'!$E:$E,'Base SKUs'!D:D),"")</f>
        <v>Hardwoods</v>
      </c>
      <c r="M536" t="str">
        <f>IFERROR(_xlfn.XLOOKUP($A536,'Base SKUs'!$E:$E,'Base SKUs'!G:G),"")</f>
        <v>Ipe</v>
      </c>
      <c r="N536" t="str">
        <f>IFERROR(_xlfn.XLOOKUP($A536,'Base SKUs'!$E:$E,'Base SKUs'!H:H),"")</f>
        <v>S4S E4E</v>
      </c>
      <c r="O536" t="str">
        <f>IFERROR(_xlfn.XLOOKUP($A536,'Base SKUs'!$E:$E,'Base SKUs'!I:I),"")</f>
        <v>-</v>
      </c>
      <c r="P536" t="str">
        <f>IFERROR(_xlfn.XLOOKUP($A536,'Base SKUs'!$E:$E,'Base SKUs'!J:J),"")</f>
        <v>6x6</v>
      </c>
      <c r="Q536">
        <f>IFERROR(_xlfn.XLOOKUP($A536,'Base SKUs'!$E:$E,'Base SKUs'!K:K),"")</f>
        <v>20</v>
      </c>
      <c r="R536" s="7">
        <f>IFERROR(_xlfn.XLOOKUP($A536,'Base SKUs'!$E:$E,'Base SKUs'!S:S),"")</f>
        <v>0.11897008463999999</v>
      </c>
      <c r="S536" s="8">
        <f t="shared" si="42"/>
        <v>0.11897008463999999</v>
      </c>
      <c r="T536" s="7">
        <f>IFERROR(_xlfn.XLOOKUP($A536,'Base SKUs'!$E:$E,'Base SKUs'!R:R),"")</f>
        <v>168.10900000000001</v>
      </c>
      <c r="U536" s="15">
        <f t="shared" si="43"/>
        <v>20</v>
      </c>
      <c r="V536" t="str">
        <f t="shared" si="44"/>
        <v>New York</v>
      </c>
    </row>
    <row r="537" spans="1:22" x14ac:dyDescent="0.2">
      <c r="A537" t="s">
        <v>786</v>
      </c>
      <c r="B537" s="5">
        <v>2</v>
      </c>
      <c r="C537" s="5">
        <v>0</v>
      </c>
      <c r="D537" s="5">
        <f t="shared" si="40"/>
        <v>2</v>
      </c>
      <c r="E537" s="6">
        <v>410.2269</v>
      </c>
      <c r="F537" s="6">
        <f t="shared" si="41"/>
        <v>820.4538</v>
      </c>
      <c r="G537" t="s">
        <v>454</v>
      </c>
      <c r="H537">
        <v>9013</v>
      </c>
      <c r="I537" t="str">
        <f>IFERROR(_xlfn.XLOOKUP($A537,'Base SKUs'!$E:$E,'Base SKUs'!A:A),"")</f>
        <v>Ipe</v>
      </c>
      <c r="J537" t="str">
        <f>IFERROR(_xlfn.XLOOKUP($A537,'Base SKUs'!$E:$E,'Base SKUs'!B:B),"")</f>
        <v>Ipe 6x6</v>
      </c>
      <c r="K537" t="str">
        <f>IFERROR(_xlfn.XLOOKUP($A537,'Base SKUs'!$E:$E,'Base SKUs'!C:C),"")</f>
        <v>Long</v>
      </c>
      <c r="L537" t="str">
        <f>IFERROR(_xlfn.XLOOKUP($A537,'Base SKUs'!$E:$E,'Base SKUs'!D:D),"")</f>
        <v>Hardwoods</v>
      </c>
      <c r="M537" t="str">
        <f>IFERROR(_xlfn.XLOOKUP($A537,'Base SKUs'!$E:$E,'Base SKUs'!G:G),"")</f>
        <v>Ipe</v>
      </c>
      <c r="N537" t="str">
        <f>IFERROR(_xlfn.XLOOKUP($A537,'Base SKUs'!$E:$E,'Base SKUs'!H:H),"")</f>
        <v>S4S E4E</v>
      </c>
      <c r="O537" t="str">
        <f>IFERROR(_xlfn.XLOOKUP($A537,'Base SKUs'!$E:$E,'Base SKUs'!I:I),"")</f>
        <v>-</v>
      </c>
      <c r="P537" t="str">
        <f>IFERROR(_xlfn.XLOOKUP($A537,'Base SKUs'!$E:$E,'Base SKUs'!J:J),"")</f>
        <v>6x6</v>
      </c>
      <c r="Q537">
        <f>IFERROR(_xlfn.XLOOKUP($A537,'Base SKUs'!$E:$E,'Base SKUs'!K:K),"")</f>
        <v>20</v>
      </c>
      <c r="R537" s="7">
        <f>IFERROR(_xlfn.XLOOKUP($A537,'Base SKUs'!$E:$E,'Base SKUs'!S:S),"")</f>
        <v>0.11897008463999999</v>
      </c>
      <c r="S537" s="8">
        <f t="shared" si="42"/>
        <v>0.23794016927999997</v>
      </c>
      <c r="T537" s="7">
        <f>IFERROR(_xlfn.XLOOKUP($A537,'Base SKUs'!$E:$E,'Base SKUs'!R:R),"")</f>
        <v>168.10900000000001</v>
      </c>
      <c r="U537" s="15">
        <f t="shared" si="43"/>
        <v>40</v>
      </c>
      <c r="V537" t="str">
        <f t="shared" si="44"/>
        <v>BS Riverside</v>
      </c>
    </row>
    <row r="538" spans="1:22" x14ac:dyDescent="0.2">
      <c r="A538" t="s">
        <v>788</v>
      </c>
      <c r="B538" s="5">
        <v>5</v>
      </c>
      <c r="C538" s="5">
        <v>0</v>
      </c>
      <c r="D538" s="5">
        <f t="shared" si="40"/>
        <v>5</v>
      </c>
      <c r="E538" s="6">
        <v>451.30930000000001</v>
      </c>
      <c r="F538" s="6">
        <f t="shared" si="41"/>
        <v>2256.5464999999999</v>
      </c>
      <c r="G538" t="s">
        <v>17</v>
      </c>
      <c r="H538">
        <v>9007</v>
      </c>
      <c r="I538" t="str">
        <f>IFERROR(_xlfn.XLOOKUP($A538,'Base SKUs'!$E:$E,'Base SKUs'!A:A),"")</f>
        <v>Ipe</v>
      </c>
      <c r="J538" t="str">
        <f>IFERROR(_xlfn.XLOOKUP($A538,'Base SKUs'!$E:$E,'Base SKUs'!B:B),"")</f>
        <v>Ipe 6x6</v>
      </c>
      <c r="K538" t="str">
        <f>IFERROR(_xlfn.XLOOKUP($A538,'Base SKUs'!$E:$E,'Base SKUs'!C:C),"")</f>
        <v>Long</v>
      </c>
      <c r="L538" t="str">
        <f>IFERROR(_xlfn.XLOOKUP($A538,'Base SKUs'!$E:$E,'Base SKUs'!D:D),"")</f>
        <v>Hardwoods</v>
      </c>
      <c r="M538" t="str">
        <f>IFERROR(_xlfn.XLOOKUP($A538,'Base SKUs'!$E:$E,'Base SKUs'!G:G),"")</f>
        <v>Ipe</v>
      </c>
      <c r="N538" t="str">
        <f>IFERROR(_xlfn.XLOOKUP($A538,'Base SKUs'!$E:$E,'Base SKUs'!H:H),"")</f>
        <v>S4S E4E</v>
      </c>
      <c r="O538" t="str">
        <f>IFERROR(_xlfn.XLOOKUP($A538,'Base SKUs'!$E:$E,'Base SKUs'!I:I),"")</f>
        <v>-</v>
      </c>
      <c r="P538" t="str">
        <f>IFERROR(_xlfn.XLOOKUP($A538,'Base SKUs'!$E:$E,'Base SKUs'!J:J),"")</f>
        <v>6x6</v>
      </c>
      <c r="Q538">
        <f>IFERROR(_xlfn.XLOOKUP($A538,'Base SKUs'!$E:$E,'Base SKUs'!K:K),"")</f>
        <v>22</v>
      </c>
      <c r="R538" s="7">
        <f>IFERROR(_xlfn.XLOOKUP($A538,'Base SKUs'!$E:$E,'Base SKUs'!S:S),"")</f>
        <v>0.13086709310399997</v>
      </c>
      <c r="S538" s="8">
        <f t="shared" si="42"/>
        <v>0.65433546551999977</v>
      </c>
      <c r="T538" s="7">
        <f>IFERROR(_xlfn.XLOOKUP($A538,'Base SKUs'!$E:$E,'Base SKUs'!R:R),"")</f>
        <v>168.10900000000001</v>
      </c>
      <c r="U538" s="15">
        <f t="shared" si="43"/>
        <v>110</v>
      </c>
      <c r="V538" t="str">
        <f t="shared" si="44"/>
        <v>Miami</v>
      </c>
    </row>
    <row r="539" spans="1:22" x14ac:dyDescent="0.2">
      <c r="A539" t="s">
        <v>788</v>
      </c>
      <c r="B539" s="5">
        <v>23</v>
      </c>
      <c r="C539" s="5">
        <v>0</v>
      </c>
      <c r="D539" s="5">
        <f t="shared" si="40"/>
        <v>23</v>
      </c>
      <c r="E539" s="6">
        <v>451.30930000000001</v>
      </c>
      <c r="F539" s="6">
        <f t="shared" si="41"/>
        <v>10380.1139</v>
      </c>
      <c r="G539" t="s">
        <v>24</v>
      </c>
      <c r="H539">
        <v>9008</v>
      </c>
      <c r="I539" t="str">
        <f>IFERROR(_xlfn.XLOOKUP($A539,'Base SKUs'!$E:$E,'Base SKUs'!A:A),"")</f>
        <v>Ipe</v>
      </c>
      <c r="J539" t="str">
        <f>IFERROR(_xlfn.XLOOKUP($A539,'Base SKUs'!$E:$E,'Base SKUs'!B:B),"")</f>
        <v>Ipe 6x6</v>
      </c>
      <c r="K539" t="str">
        <f>IFERROR(_xlfn.XLOOKUP($A539,'Base SKUs'!$E:$E,'Base SKUs'!C:C),"")</f>
        <v>Long</v>
      </c>
      <c r="L539" t="str">
        <f>IFERROR(_xlfn.XLOOKUP($A539,'Base SKUs'!$E:$E,'Base SKUs'!D:D),"")</f>
        <v>Hardwoods</v>
      </c>
      <c r="M539" t="str">
        <f>IFERROR(_xlfn.XLOOKUP($A539,'Base SKUs'!$E:$E,'Base SKUs'!G:G),"")</f>
        <v>Ipe</v>
      </c>
      <c r="N539" t="str">
        <f>IFERROR(_xlfn.XLOOKUP($A539,'Base SKUs'!$E:$E,'Base SKUs'!H:H),"")</f>
        <v>S4S E4E</v>
      </c>
      <c r="O539" t="str">
        <f>IFERROR(_xlfn.XLOOKUP($A539,'Base SKUs'!$E:$E,'Base SKUs'!I:I),"")</f>
        <v>-</v>
      </c>
      <c r="P539" t="str">
        <f>IFERROR(_xlfn.XLOOKUP($A539,'Base SKUs'!$E:$E,'Base SKUs'!J:J),"")</f>
        <v>6x6</v>
      </c>
      <c r="Q539">
        <f>IFERROR(_xlfn.XLOOKUP($A539,'Base SKUs'!$E:$E,'Base SKUs'!K:K),"")</f>
        <v>22</v>
      </c>
      <c r="R539" s="7">
        <f>IFERROR(_xlfn.XLOOKUP($A539,'Base SKUs'!$E:$E,'Base SKUs'!S:S),"")</f>
        <v>0.13086709310399997</v>
      </c>
      <c r="S539" s="8">
        <f t="shared" si="42"/>
        <v>3.0099431413919993</v>
      </c>
      <c r="T539" s="7">
        <f>IFERROR(_xlfn.XLOOKUP($A539,'Base SKUs'!$E:$E,'Base SKUs'!R:R),"")</f>
        <v>168.10900000000001</v>
      </c>
      <c r="U539" s="15">
        <f t="shared" si="43"/>
        <v>506</v>
      </c>
      <c r="V539" t="str">
        <f t="shared" si="44"/>
        <v>Texas</v>
      </c>
    </row>
    <row r="540" spans="1:22" x14ac:dyDescent="0.2">
      <c r="A540" t="s">
        <v>788</v>
      </c>
      <c r="B540" s="5">
        <v>10</v>
      </c>
      <c r="C540" s="5">
        <v>0</v>
      </c>
      <c r="D540" s="5">
        <f t="shared" si="40"/>
        <v>10</v>
      </c>
      <c r="E540" s="6">
        <v>451.30930000000001</v>
      </c>
      <c r="F540" s="6">
        <f t="shared" si="41"/>
        <v>4513.0929999999998</v>
      </c>
      <c r="G540" t="s">
        <v>330</v>
      </c>
      <c r="H540">
        <v>9011</v>
      </c>
      <c r="I540" t="str">
        <f>IFERROR(_xlfn.XLOOKUP($A540,'Base SKUs'!$E:$E,'Base SKUs'!A:A),"")</f>
        <v>Ipe</v>
      </c>
      <c r="J540" t="str">
        <f>IFERROR(_xlfn.XLOOKUP($A540,'Base SKUs'!$E:$E,'Base SKUs'!B:B),"")</f>
        <v>Ipe 6x6</v>
      </c>
      <c r="K540" t="str">
        <f>IFERROR(_xlfn.XLOOKUP($A540,'Base SKUs'!$E:$E,'Base SKUs'!C:C),"")</f>
        <v>Long</v>
      </c>
      <c r="L540" t="str">
        <f>IFERROR(_xlfn.XLOOKUP($A540,'Base SKUs'!$E:$E,'Base SKUs'!D:D),"")</f>
        <v>Hardwoods</v>
      </c>
      <c r="M540" t="str">
        <f>IFERROR(_xlfn.XLOOKUP($A540,'Base SKUs'!$E:$E,'Base SKUs'!G:G),"")</f>
        <v>Ipe</v>
      </c>
      <c r="N540" t="str">
        <f>IFERROR(_xlfn.XLOOKUP($A540,'Base SKUs'!$E:$E,'Base SKUs'!H:H),"")</f>
        <v>S4S E4E</v>
      </c>
      <c r="O540" t="str">
        <f>IFERROR(_xlfn.XLOOKUP($A540,'Base SKUs'!$E:$E,'Base SKUs'!I:I),"")</f>
        <v>-</v>
      </c>
      <c r="P540" t="str">
        <f>IFERROR(_xlfn.XLOOKUP($A540,'Base SKUs'!$E:$E,'Base SKUs'!J:J),"")</f>
        <v>6x6</v>
      </c>
      <c r="Q540">
        <f>IFERROR(_xlfn.XLOOKUP($A540,'Base SKUs'!$E:$E,'Base SKUs'!K:K),"")</f>
        <v>22</v>
      </c>
      <c r="R540" s="7">
        <f>IFERROR(_xlfn.XLOOKUP($A540,'Base SKUs'!$E:$E,'Base SKUs'!S:S),"")</f>
        <v>0.13086709310399997</v>
      </c>
      <c r="S540" s="8">
        <f t="shared" si="42"/>
        <v>1.3086709310399995</v>
      </c>
      <c r="T540" s="7">
        <f>IFERROR(_xlfn.XLOOKUP($A540,'Base SKUs'!$E:$E,'Base SKUs'!R:R),"")</f>
        <v>168.10900000000001</v>
      </c>
      <c r="U540" s="15">
        <f t="shared" si="43"/>
        <v>220</v>
      </c>
      <c r="V540" t="str">
        <f t="shared" si="44"/>
        <v>New York</v>
      </c>
    </row>
    <row r="541" spans="1:22" x14ac:dyDescent="0.2">
      <c r="A541" t="s">
        <v>791</v>
      </c>
      <c r="B541" s="5">
        <v>14</v>
      </c>
      <c r="C541" s="5">
        <v>0</v>
      </c>
      <c r="D541" s="5">
        <f t="shared" si="40"/>
        <v>14</v>
      </c>
      <c r="E541" s="6">
        <v>378.58499999999998</v>
      </c>
      <c r="F541" s="6">
        <f t="shared" si="41"/>
        <v>5300.19</v>
      </c>
      <c r="G541" t="s">
        <v>17</v>
      </c>
      <c r="H541">
        <v>9007</v>
      </c>
      <c r="I541" t="str">
        <f>IFERROR(_xlfn.XLOOKUP($A541,'Base SKUs'!$E:$E,'Base SKUs'!A:A),"")</f>
        <v>Ipe</v>
      </c>
      <c r="J541" t="str">
        <f>IFERROR(_xlfn.XLOOKUP($A541,'Base SKUs'!$E:$E,'Base SKUs'!B:B),"")</f>
        <v>Ipe 6x8</v>
      </c>
      <c r="K541" t="str">
        <f>IFERROR(_xlfn.XLOOKUP($A541,'Base SKUs'!$E:$E,'Base SKUs'!C:C),"")</f>
        <v>Long</v>
      </c>
      <c r="L541" t="str">
        <f>IFERROR(_xlfn.XLOOKUP($A541,'Base SKUs'!$E:$E,'Base SKUs'!D:D),"")</f>
        <v>Hardwoods</v>
      </c>
      <c r="M541" t="str">
        <f>IFERROR(_xlfn.XLOOKUP($A541,'Base SKUs'!$E:$E,'Base SKUs'!G:G),"")</f>
        <v>Ipe</v>
      </c>
      <c r="N541" t="str">
        <f>IFERROR(_xlfn.XLOOKUP($A541,'Base SKUs'!$E:$E,'Base SKUs'!H:H),"")</f>
        <v>S4S E4E</v>
      </c>
      <c r="O541" t="str">
        <f>IFERROR(_xlfn.XLOOKUP($A541,'Base SKUs'!$E:$E,'Base SKUs'!I:I),"")</f>
        <v>-</v>
      </c>
      <c r="P541" t="str">
        <f>IFERROR(_xlfn.XLOOKUP($A541,'Base SKUs'!$E:$E,'Base SKUs'!J:J),"")</f>
        <v>6x8</v>
      </c>
      <c r="Q541">
        <f>IFERROR(_xlfn.XLOOKUP($A541,'Base SKUs'!$E:$E,'Base SKUs'!K:K),"")</f>
        <v>14</v>
      </c>
      <c r="R541" s="7">
        <f>IFERROR(_xlfn.XLOOKUP($A541,'Base SKUs'!$E:$E,'Base SKUs'!S:S),"")</f>
        <v>0.10977694173599997</v>
      </c>
      <c r="S541" s="8">
        <f t="shared" si="42"/>
        <v>1.5368771843039997</v>
      </c>
      <c r="T541" s="7">
        <f>IFERROR(_xlfn.XLOOKUP($A541,'Base SKUs'!$E:$E,'Base SKUs'!R:R),"")</f>
        <v>127.53100000000001</v>
      </c>
      <c r="U541" s="15">
        <f t="shared" si="43"/>
        <v>196</v>
      </c>
      <c r="V541" t="str">
        <f t="shared" si="44"/>
        <v>Miami</v>
      </c>
    </row>
    <row r="542" spans="1:22" x14ac:dyDescent="0.2">
      <c r="A542" t="s">
        <v>793</v>
      </c>
      <c r="B542" s="5">
        <v>36</v>
      </c>
      <c r="C542" s="5">
        <v>0</v>
      </c>
      <c r="D542" s="5">
        <f t="shared" si="40"/>
        <v>36</v>
      </c>
      <c r="E542" s="6">
        <v>486.70330000000001</v>
      </c>
      <c r="F542" s="6">
        <f t="shared" si="41"/>
        <v>17521.318800000001</v>
      </c>
      <c r="G542" t="s">
        <v>17</v>
      </c>
      <c r="H542">
        <v>9007</v>
      </c>
      <c r="I542" t="str">
        <f>IFERROR(_xlfn.XLOOKUP($A542,'Base SKUs'!$E:$E,'Base SKUs'!A:A),"")</f>
        <v>Ipe</v>
      </c>
      <c r="J542" t="str">
        <f>IFERROR(_xlfn.XLOOKUP($A542,'Base SKUs'!$E:$E,'Base SKUs'!B:B),"")</f>
        <v>Ipe 6x8</v>
      </c>
      <c r="K542" t="str">
        <f>IFERROR(_xlfn.XLOOKUP($A542,'Base SKUs'!$E:$E,'Base SKUs'!C:C),"")</f>
        <v>Long</v>
      </c>
      <c r="L542" t="str">
        <f>IFERROR(_xlfn.XLOOKUP($A542,'Base SKUs'!$E:$E,'Base SKUs'!D:D),"")</f>
        <v>Hardwoods</v>
      </c>
      <c r="M542" t="str">
        <f>IFERROR(_xlfn.XLOOKUP($A542,'Base SKUs'!$E:$E,'Base SKUs'!G:G),"")</f>
        <v>Ipe</v>
      </c>
      <c r="N542" t="str">
        <f>IFERROR(_xlfn.XLOOKUP($A542,'Base SKUs'!$E:$E,'Base SKUs'!H:H),"")</f>
        <v>S4S E4E</v>
      </c>
      <c r="O542" t="str">
        <f>IFERROR(_xlfn.XLOOKUP($A542,'Base SKUs'!$E:$E,'Base SKUs'!I:I),"")</f>
        <v>-</v>
      </c>
      <c r="P542" t="str">
        <f>IFERROR(_xlfn.XLOOKUP($A542,'Base SKUs'!$E:$E,'Base SKUs'!J:J),"")</f>
        <v>6x8</v>
      </c>
      <c r="Q542">
        <f>IFERROR(_xlfn.XLOOKUP($A542,'Base SKUs'!$E:$E,'Base SKUs'!K:K),"")</f>
        <v>18</v>
      </c>
      <c r="R542" s="7">
        <f>IFERROR(_xlfn.XLOOKUP($A542,'Base SKUs'!$E:$E,'Base SKUs'!S:S),"")</f>
        <v>0.14114178223199997</v>
      </c>
      <c r="S542" s="8">
        <f t="shared" si="42"/>
        <v>5.0811041603519991</v>
      </c>
      <c r="T542" s="7">
        <f>IFERROR(_xlfn.XLOOKUP($A542,'Base SKUs'!$E:$E,'Base SKUs'!R:R),"")</f>
        <v>127.53100000000001</v>
      </c>
      <c r="U542" s="15">
        <f t="shared" si="43"/>
        <v>648</v>
      </c>
      <c r="V542" t="str">
        <f t="shared" si="44"/>
        <v>Miami</v>
      </c>
    </row>
    <row r="543" spans="1:22" x14ac:dyDescent="0.2">
      <c r="A543" t="s">
        <v>795</v>
      </c>
      <c r="B543" s="5">
        <v>30</v>
      </c>
      <c r="C543" s="5">
        <v>0</v>
      </c>
      <c r="D543" s="5">
        <f t="shared" si="40"/>
        <v>30</v>
      </c>
      <c r="E543" s="6">
        <v>540.68880000000001</v>
      </c>
      <c r="F543" s="6">
        <f t="shared" si="41"/>
        <v>16220.664000000001</v>
      </c>
      <c r="G543" t="s">
        <v>17</v>
      </c>
      <c r="H543">
        <v>9007</v>
      </c>
      <c r="I543" t="str">
        <f>IFERROR(_xlfn.XLOOKUP($A543,'Base SKUs'!$E:$E,'Base SKUs'!A:A),"")</f>
        <v>Ipe</v>
      </c>
      <c r="J543" t="str">
        <f>IFERROR(_xlfn.XLOOKUP($A543,'Base SKUs'!$E:$E,'Base SKUs'!B:B),"")</f>
        <v>Ipe 6x8</v>
      </c>
      <c r="K543" t="str">
        <f>IFERROR(_xlfn.XLOOKUP($A543,'Base SKUs'!$E:$E,'Base SKUs'!C:C),"")</f>
        <v>Long</v>
      </c>
      <c r="L543" t="str">
        <f>IFERROR(_xlfn.XLOOKUP($A543,'Base SKUs'!$E:$E,'Base SKUs'!D:D),"")</f>
        <v>Hardwoods</v>
      </c>
      <c r="M543" t="str">
        <f>IFERROR(_xlfn.XLOOKUP($A543,'Base SKUs'!$E:$E,'Base SKUs'!G:G),"")</f>
        <v>Ipe</v>
      </c>
      <c r="N543" t="str">
        <f>IFERROR(_xlfn.XLOOKUP($A543,'Base SKUs'!$E:$E,'Base SKUs'!H:H),"")</f>
        <v>S4S E4E</v>
      </c>
      <c r="O543" t="str">
        <f>IFERROR(_xlfn.XLOOKUP($A543,'Base SKUs'!$E:$E,'Base SKUs'!I:I),"")</f>
        <v>-</v>
      </c>
      <c r="P543" t="str">
        <f>IFERROR(_xlfn.XLOOKUP($A543,'Base SKUs'!$E:$E,'Base SKUs'!J:J),"")</f>
        <v>6x8</v>
      </c>
      <c r="Q543">
        <f>IFERROR(_xlfn.XLOOKUP($A543,'Base SKUs'!$E:$E,'Base SKUs'!K:K),"")</f>
        <v>20</v>
      </c>
      <c r="R543" s="7">
        <f>IFERROR(_xlfn.XLOOKUP($A543,'Base SKUs'!$E:$E,'Base SKUs'!S:S),"")</f>
        <v>0.15682420248000001</v>
      </c>
      <c r="S543" s="8">
        <f t="shared" si="42"/>
        <v>4.7047260743999999</v>
      </c>
      <c r="T543" s="7">
        <f>IFERROR(_xlfn.XLOOKUP($A543,'Base SKUs'!$E:$E,'Base SKUs'!R:R),"")</f>
        <v>127.53100000000001</v>
      </c>
      <c r="U543" s="15">
        <f t="shared" si="43"/>
        <v>600</v>
      </c>
      <c r="V543" t="str">
        <f t="shared" si="44"/>
        <v>Miami</v>
      </c>
    </row>
    <row r="544" spans="1:22" x14ac:dyDescent="0.2">
      <c r="A544" t="s">
        <v>797</v>
      </c>
      <c r="B544" s="5">
        <v>22</v>
      </c>
      <c r="C544" s="5">
        <v>0</v>
      </c>
      <c r="D544" s="5">
        <f t="shared" si="40"/>
        <v>22</v>
      </c>
      <c r="E544" s="6">
        <v>594.84900000000005</v>
      </c>
      <c r="F544" s="6">
        <f t="shared" si="41"/>
        <v>13086.678000000002</v>
      </c>
      <c r="G544" t="s">
        <v>17</v>
      </c>
      <c r="H544">
        <v>9007</v>
      </c>
      <c r="I544" t="str">
        <f>IFERROR(_xlfn.XLOOKUP($A544,'Base SKUs'!$E:$E,'Base SKUs'!A:A),"")</f>
        <v>Ipe</v>
      </c>
      <c r="J544" t="str">
        <f>IFERROR(_xlfn.XLOOKUP($A544,'Base SKUs'!$E:$E,'Base SKUs'!B:B),"")</f>
        <v>Ipe 6x8</v>
      </c>
      <c r="K544" t="str">
        <f>IFERROR(_xlfn.XLOOKUP($A544,'Base SKUs'!$E:$E,'Base SKUs'!C:C),"")</f>
        <v>Long</v>
      </c>
      <c r="L544" t="str">
        <f>IFERROR(_xlfn.XLOOKUP($A544,'Base SKUs'!$E:$E,'Base SKUs'!D:D),"")</f>
        <v>Hardwoods</v>
      </c>
      <c r="M544" t="str">
        <f>IFERROR(_xlfn.XLOOKUP($A544,'Base SKUs'!$E:$E,'Base SKUs'!G:G),"")</f>
        <v>Ipe</v>
      </c>
      <c r="N544" t="str">
        <f>IFERROR(_xlfn.XLOOKUP($A544,'Base SKUs'!$E:$E,'Base SKUs'!H:H),"")</f>
        <v>S4S E4E</v>
      </c>
      <c r="O544" t="str">
        <f>IFERROR(_xlfn.XLOOKUP($A544,'Base SKUs'!$E:$E,'Base SKUs'!I:I),"")</f>
        <v>-</v>
      </c>
      <c r="P544" t="str">
        <f>IFERROR(_xlfn.XLOOKUP($A544,'Base SKUs'!$E:$E,'Base SKUs'!J:J),"")</f>
        <v>6x8</v>
      </c>
      <c r="Q544">
        <f>IFERROR(_xlfn.XLOOKUP($A544,'Base SKUs'!$E:$E,'Base SKUs'!K:K),"")</f>
        <v>22</v>
      </c>
      <c r="R544" s="7">
        <f>IFERROR(_xlfn.XLOOKUP($A544,'Base SKUs'!$E:$E,'Base SKUs'!S:S),"")</f>
        <v>0.17250662272799996</v>
      </c>
      <c r="S544" s="8">
        <f t="shared" si="42"/>
        <v>3.7951457000159992</v>
      </c>
      <c r="T544" s="7">
        <f>IFERROR(_xlfn.XLOOKUP($A544,'Base SKUs'!$E:$E,'Base SKUs'!R:R),"")</f>
        <v>127.53100000000001</v>
      </c>
      <c r="U544" s="15">
        <f t="shared" si="43"/>
        <v>484</v>
      </c>
      <c r="V544" t="str">
        <f t="shared" si="44"/>
        <v>Miami</v>
      </c>
    </row>
    <row r="545" spans="1:22" x14ac:dyDescent="0.2">
      <c r="A545" t="s">
        <v>799</v>
      </c>
      <c r="B545" s="5">
        <v>1</v>
      </c>
      <c r="C545" s="5">
        <v>0</v>
      </c>
      <c r="D545" s="5">
        <f t="shared" si="40"/>
        <v>1</v>
      </c>
      <c r="E545" s="6">
        <v>355.18520000000001</v>
      </c>
      <c r="F545" s="6">
        <f t="shared" si="41"/>
        <v>355.18520000000001</v>
      </c>
      <c r="G545" t="s">
        <v>17</v>
      </c>
      <c r="H545">
        <v>9007</v>
      </c>
      <c r="I545" t="str">
        <f>IFERROR(_xlfn.XLOOKUP($A545,'Base SKUs'!$E:$E,'Base SKUs'!A:A),"")</f>
        <v>Ipe</v>
      </c>
      <c r="J545" t="str">
        <f>IFERROR(_xlfn.XLOOKUP($A545,'Base SKUs'!$E:$E,'Base SKUs'!B:B),"")</f>
        <v>Ipe 8x8</v>
      </c>
      <c r="K545" t="str">
        <f>IFERROR(_xlfn.XLOOKUP($A545,'Base SKUs'!$E:$E,'Base SKUs'!C:C),"")</f>
        <v>Long</v>
      </c>
      <c r="L545" t="str">
        <f>IFERROR(_xlfn.XLOOKUP($A545,'Base SKUs'!$E:$E,'Base SKUs'!D:D),"")</f>
        <v>Hardwoods</v>
      </c>
      <c r="M545" t="str">
        <f>IFERROR(_xlfn.XLOOKUP($A545,'Base SKUs'!$E:$E,'Base SKUs'!G:G),"")</f>
        <v>Ipe</v>
      </c>
      <c r="N545" t="str">
        <f>IFERROR(_xlfn.XLOOKUP($A545,'Base SKUs'!$E:$E,'Base SKUs'!H:H),"")</f>
        <v>S4S E4E</v>
      </c>
      <c r="O545" t="str">
        <f>IFERROR(_xlfn.XLOOKUP($A545,'Base SKUs'!$E:$E,'Base SKUs'!I:I),"")</f>
        <v>-</v>
      </c>
      <c r="P545" t="str">
        <f>IFERROR(_xlfn.XLOOKUP($A545,'Base SKUs'!$E:$E,'Base SKUs'!J:J),"")</f>
        <v>8x8</v>
      </c>
      <c r="Q545">
        <f>IFERROR(_xlfn.XLOOKUP($A545,'Base SKUs'!$E:$E,'Base SKUs'!K:K),"")</f>
        <v>10</v>
      </c>
      <c r="R545" s="7">
        <f>IFERROR(_xlfn.XLOOKUP($A545,'Base SKUs'!$E:$E,'Base SKUs'!S:S),"")</f>
        <v>0.10336140618000002</v>
      </c>
      <c r="S545" s="8">
        <f t="shared" si="42"/>
        <v>0.10336140618000002</v>
      </c>
      <c r="T545" s="7">
        <f>IFERROR(_xlfn.XLOOKUP($A545,'Base SKUs'!$E:$E,'Base SKUs'!R:R),"")</f>
        <v>96.748000000000005</v>
      </c>
      <c r="U545" s="15">
        <f t="shared" si="43"/>
        <v>10</v>
      </c>
      <c r="V545" t="str">
        <f t="shared" si="44"/>
        <v>Miami</v>
      </c>
    </row>
    <row r="546" spans="1:22" x14ac:dyDescent="0.2">
      <c r="A546" t="s">
        <v>801</v>
      </c>
      <c r="B546" s="5">
        <v>5</v>
      </c>
      <c r="C546" s="5">
        <v>0</v>
      </c>
      <c r="D546" s="5">
        <f t="shared" si="40"/>
        <v>5</v>
      </c>
      <c r="E546" s="6">
        <v>427.60160000000002</v>
      </c>
      <c r="F546" s="6">
        <f t="shared" si="41"/>
        <v>2138.0080000000003</v>
      </c>
      <c r="G546" t="s">
        <v>17</v>
      </c>
      <c r="H546">
        <v>9007</v>
      </c>
      <c r="I546" t="str">
        <f>IFERROR(_xlfn.XLOOKUP($A546,'Base SKUs'!$E:$E,'Base SKUs'!A:A),"")</f>
        <v>Ipe</v>
      </c>
      <c r="J546" t="str">
        <f>IFERROR(_xlfn.XLOOKUP($A546,'Base SKUs'!$E:$E,'Base SKUs'!B:B),"")</f>
        <v>Ipe 8x8</v>
      </c>
      <c r="K546" t="str">
        <f>IFERROR(_xlfn.XLOOKUP($A546,'Base SKUs'!$E:$E,'Base SKUs'!C:C),"")</f>
        <v>Long</v>
      </c>
      <c r="L546" t="str">
        <f>IFERROR(_xlfn.XLOOKUP($A546,'Base SKUs'!$E:$E,'Base SKUs'!D:D),"")</f>
        <v>Hardwoods</v>
      </c>
      <c r="M546" t="str">
        <f>IFERROR(_xlfn.XLOOKUP($A546,'Base SKUs'!$E:$E,'Base SKUs'!G:G),"")</f>
        <v>Ipe</v>
      </c>
      <c r="N546" t="str">
        <f>IFERROR(_xlfn.XLOOKUP($A546,'Base SKUs'!$E:$E,'Base SKUs'!H:H),"")</f>
        <v>S4S E4E</v>
      </c>
      <c r="O546" t="str">
        <f>IFERROR(_xlfn.XLOOKUP($A546,'Base SKUs'!$E:$E,'Base SKUs'!I:I),"")</f>
        <v>-</v>
      </c>
      <c r="P546" t="str">
        <f>IFERROR(_xlfn.XLOOKUP($A546,'Base SKUs'!$E:$E,'Base SKUs'!J:J),"")</f>
        <v>8x8</v>
      </c>
      <c r="Q546">
        <f>IFERROR(_xlfn.XLOOKUP($A546,'Base SKUs'!$E:$E,'Base SKUs'!K:K),"")</f>
        <v>12</v>
      </c>
      <c r="R546" s="7">
        <f>IFERROR(_xlfn.XLOOKUP($A546,'Base SKUs'!$E:$E,'Base SKUs'!S:S),"")</f>
        <v>0.124033687416</v>
      </c>
      <c r="S546" s="8">
        <f t="shared" si="42"/>
        <v>0.62016843708000002</v>
      </c>
      <c r="T546" s="7">
        <f>IFERROR(_xlfn.XLOOKUP($A546,'Base SKUs'!$E:$E,'Base SKUs'!R:R),"")</f>
        <v>96.748000000000005</v>
      </c>
      <c r="U546" s="15">
        <f t="shared" si="43"/>
        <v>60</v>
      </c>
      <c r="V546" t="str">
        <f t="shared" si="44"/>
        <v>Miami</v>
      </c>
    </row>
    <row r="547" spans="1:22" x14ac:dyDescent="0.2">
      <c r="A547" t="s">
        <v>803</v>
      </c>
      <c r="B547" s="5">
        <v>17</v>
      </c>
      <c r="C547" s="5">
        <v>0</v>
      </c>
      <c r="D547" s="5">
        <f t="shared" si="40"/>
        <v>17</v>
      </c>
      <c r="E547" s="6">
        <v>499.06009999999998</v>
      </c>
      <c r="F547" s="6">
        <f t="shared" si="41"/>
        <v>8484.0216999999993</v>
      </c>
      <c r="G547" t="s">
        <v>17</v>
      </c>
      <c r="H547">
        <v>9007</v>
      </c>
      <c r="I547" t="str">
        <f>IFERROR(_xlfn.XLOOKUP($A547,'Base SKUs'!$E:$E,'Base SKUs'!A:A),"")</f>
        <v>Ipe</v>
      </c>
      <c r="J547" t="str">
        <f>IFERROR(_xlfn.XLOOKUP($A547,'Base SKUs'!$E:$E,'Base SKUs'!B:B),"")</f>
        <v>Ipe 8x8</v>
      </c>
      <c r="K547" t="str">
        <f>IFERROR(_xlfn.XLOOKUP($A547,'Base SKUs'!$E:$E,'Base SKUs'!C:C),"")</f>
        <v>Long</v>
      </c>
      <c r="L547" t="str">
        <f>IFERROR(_xlfn.XLOOKUP($A547,'Base SKUs'!$E:$E,'Base SKUs'!D:D),"")</f>
        <v>Hardwoods</v>
      </c>
      <c r="M547" t="str">
        <f>IFERROR(_xlfn.XLOOKUP($A547,'Base SKUs'!$E:$E,'Base SKUs'!G:G),"")</f>
        <v>Ipe</v>
      </c>
      <c r="N547" t="str">
        <f>IFERROR(_xlfn.XLOOKUP($A547,'Base SKUs'!$E:$E,'Base SKUs'!H:H),"")</f>
        <v>S4S E4E</v>
      </c>
      <c r="O547" t="str">
        <f>IFERROR(_xlfn.XLOOKUP($A547,'Base SKUs'!$E:$E,'Base SKUs'!I:I),"")</f>
        <v>-</v>
      </c>
      <c r="P547" t="str">
        <f>IFERROR(_xlfn.XLOOKUP($A547,'Base SKUs'!$E:$E,'Base SKUs'!J:J),"")</f>
        <v>8x8</v>
      </c>
      <c r="Q547">
        <f>IFERROR(_xlfn.XLOOKUP($A547,'Base SKUs'!$E:$E,'Base SKUs'!K:K),"")</f>
        <v>14</v>
      </c>
      <c r="R547" s="7">
        <f>IFERROR(_xlfn.XLOOKUP($A547,'Base SKUs'!$E:$E,'Base SKUs'!S:S),"")</f>
        <v>0.14470596865200003</v>
      </c>
      <c r="S547" s="8">
        <f t="shared" si="42"/>
        <v>2.4600014670840005</v>
      </c>
      <c r="T547" s="7">
        <f>IFERROR(_xlfn.XLOOKUP($A547,'Base SKUs'!$E:$E,'Base SKUs'!R:R),"")</f>
        <v>96.748000000000005</v>
      </c>
      <c r="U547" s="15">
        <f t="shared" si="43"/>
        <v>238</v>
      </c>
      <c r="V547" t="str">
        <f t="shared" si="44"/>
        <v>Miami</v>
      </c>
    </row>
    <row r="548" spans="1:22" x14ac:dyDescent="0.2">
      <c r="A548" t="s">
        <v>805</v>
      </c>
      <c r="B548" s="5">
        <v>31</v>
      </c>
      <c r="C548" s="5">
        <v>0</v>
      </c>
      <c r="D548" s="5">
        <f t="shared" si="40"/>
        <v>31</v>
      </c>
      <c r="E548" s="6">
        <v>712.87829999999997</v>
      </c>
      <c r="F548" s="6">
        <f t="shared" si="41"/>
        <v>22099.227299999999</v>
      </c>
      <c r="G548" t="s">
        <v>17</v>
      </c>
      <c r="H548">
        <v>9007</v>
      </c>
      <c r="I548" t="str">
        <f>IFERROR(_xlfn.XLOOKUP($A548,'Base SKUs'!$E:$E,'Base SKUs'!A:A),"")</f>
        <v>Ipe</v>
      </c>
      <c r="J548" t="str">
        <f>IFERROR(_xlfn.XLOOKUP($A548,'Base SKUs'!$E:$E,'Base SKUs'!B:B),"")</f>
        <v>Ipe 8x8</v>
      </c>
      <c r="K548" t="str">
        <f>IFERROR(_xlfn.XLOOKUP($A548,'Base SKUs'!$E:$E,'Base SKUs'!C:C),"")</f>
        <v>Long</v>
      </c>
      <c r="L548" t="str">
        <f>IFERROR(_xlfn.XLOOKUP($A548,'Base SKUs'!$E:$E,'Base SKUs'!D:D),"")</f>
        <v>Hardwoods</v>
      </c>
      <c r="M548" t="str">
        <f>IFERROR(_xlfn.XLOOKUP($A548,'Base SKUs'!$E:$E,'Base SKUs'!G:G),"")</f>
        <v>Ipe</v>
      </c>
      <c r="N548" t="str">
        <f>IFERROR(_xlfn.XLOOKUP($A548,'Base SKUs'!$E:$E,'Base SKUs'!H:H),"")</f>
        <v>S4S E4E</v>
      </c>
      <c r="O548" t="str">
        <f>IFERROR(_xlfn.XLOOKUP($A548,'Base SKUs'!$E:$E,'Base SKUs'!I:I),"")</f>
        <v>-</v>
      </c>
      <c r="P548" t="str">
        <f>IFERROR(_xlfn.XLOOKUP($A548,'Base SKUs'!$E:$E,'Base SKUs'!J:J),"")</f>
        <v>8x8</v>
      </c>
      <c r="Q548">
        <f>IFERROR(_xlfn.XLOOKUP($A548,'Base SKUs'!$E:$E,'Base SKUs'!K:K),"")</f>
        <v>20</v>
      </c>
      <c r="R548" s="7">
        <f>IFERROR(_xlfn.XLOOKUP($A548,'Base SKUs'!$E:$E,'Base SKUs'!S:S),"")</f>
        <v>0.20672281236000004</v>
      </c>
      <c r="S548" s="8">
        <f t="shared" si="42"/>
        <v>6.4084071831600014</v>
      </c>
      <c r="T548" s="7">
        <f>IFERROR(_xlfn.XLOOKUP($A548,'Base SKUs'!$E:$E,'Base SKUs'!R:R),"")</f>
        <v>96.748000000000005</v>
      </c>
      <c r="U548" s="15">
        <f t="shared" si="43"/>
        <v>620</v>
      </c>
      <c r="V548" t="str">
        <f t="shared" si="44"/>
        <v>Miami</v>
      </c>
    </row>
    <row r="549" spans="1:22" x14ac:dyDescent="0.2">
      <c r="A549" t="s">
        <v>807</v>
      </c>
      <c r="B549" s="5">
        <v>10</v>
      </c>
      <c r="C549" s="5">
        <v>0</v>
      </c>
      <c r="D549" s="5">
        <f t="shared" si="40"/>
        <v>10</v>
      </c>
      <c r="E549" s="6">
        <v>68.654499999999999</v>
      </c>
      <c r="F549" s="6">
        <f t="shared" si="41"/>
        <v>686.54499999999996</v>
      </c>
      <c r="G549" t="s">
        <v>125</v>
      </c>
      <c r="H549">
        <v>9009</v>
      </c>
      <c r="I549" t="str">
        <f>IFERROR(_xlfn.XLOOKUP($A549,'Base SKUs'!$E:$E,'Base SKUs'!A:A),"")</f>
        <v>Ipe</v>
      </c>
      <c r="J549" t="str">
        <f>IFERROR(_xlfn.XLOOKUP($A549,'Base SKUs'!$E:$E,'Base SKUs'!B:B),"")</f>
        <v>Ipe 1x12</v>
      </c>
      <c r="K549" t="str">
        <f>IFERROR(_xlfn.XLOOKUP($A549,'Base SKUs'!$E:$E,'Base SKUs'!C:C),"")</f>
        <v>Long</v>
      </c>
      <c r="L549" t="str">
        <f>IFERROR(_xlfn.XLOOKUP($A549,'Base SKUs'!$E:$E,'Base SKUs'!D:D),"")</f>
        <v>Hardwoods</v>
      </c>
      <c r="M549" t="str">
        <f>IFERROR(_xlfn.XLOOKUP($A549,'Base SKUs'!$E:$E,'Base SKUs'!G:G),"")</f>
        <v>Ipe</v>
      </c>
      <c r="N549" t="str">
        <f>IFERROR(_xlfn.XLOOKUP($A549,'Base SKUs'!$E:$E,'Base SKUs'!H:H),"")</f>
        <v>S4S E4E</v>
      </c>
      <c r="O549" t="str">
        <f>IFERROR(_xlfn.XLOOKUP($A549,'Base SKUs'!$E:$E,'Base SKUs'!I:I),"")</f>
        <v>-</v>
      </c>
      <c r="P549" t="str">
        <f>IFERROR(_xlfn.XLOOKUP($A549,'Base SKUs'!$E:$E,'Base SKUs'!J:J),"")</f>
        <v>1x12</v>
      </c>
      <c r="Q549">
        <f>IFERROR(_xlfn.XLOOKUP($A549,'Base SKUs'!$E:$E,'Base SKUs'!K:K),"")</f>
        <v>12</v>
      </c>
      <c r="R549" s="7">
        <f>IFERROR(_xlfn.XLOOKUP($A549,'Base SKUs'!$E:$E,'Base SKUs'!S:S),"")</f>
        <v>1.9910282759999998E-2</v>
      </c>
      <c r="S549" s="8">
        <f t="shared" si="42"/>
        <v>0.19910282759999998</v>
      </c>
      <c r="T549" s="7">
        <f>IFERROR(_xlfn.XLOOKUP($A549,'Base SKUs'!$E:$E,'Base SKUs'!R:R),"")</f>
        <v>602.70399999999995</v>
      </c>
      <c r="U549" s="15">
        <f t="shared" si="43"/>
        <v>120</v>
      </c>
      <c r="V549" t="str">
        <f t="shared" si="44"/>
        <v>Boston</v>
      </c>
    </row>
    <row r="550" spans="1:22" x14ac:dyDescent="0.2">
      <c r="A550" t="s">
        <v>809</v>
      </c>
      <c r="B550" s="5">
        <v>33</v>
      </c>
      <c r="C550" s="5">
        <v>0</v>
      </c>
      <c r="D550" s="5">
        <f t="shared" si="40"/>
        <v>33</v>
      </c>
      <c r="E550" s="6">
        <v>114.4395</v>
      </c>
      <c r="F550" s="6">
        <f t="shared" si="41"/>
        <v>3776.5034999999998</v>
      </c>
      <c r="G550" t="s">
        <v>125</v>
      </c>
      <c r="H550">
        <v>9009</v>
      </c>
      <c r="I550" t="str">
        <f>IFERROR(_xlfn.XLOOKUP($A550,'Base SKUs'!$E:$E,'Base SKUs'!A:A),"")</f>
        <v>Ipe</v>
      </c>
      <c r="J550" t="str">
        <f>IFERROR(_xlfn.XLOOKUP($A550,'Base SKUs'!$E:$E,'Base SKUs'!B:B),"")</f>
        <v>Ipe 1x12</v>
      </c>
      <c r="K550" t="str">
        <f>IFERROR(_xlfn.XLOOKUP($A550,'Base SKUs'!$E:$E,'Base SKUs'!C:C),"")</f>
        <v>Long</v>
      </c>
      <c r="L550" t="str">
        <f>IFERROR(_xlfn.XLOOKUP($A550,'Base SKUs'!$E:$E,'Base SKUs'!D:D),"")</f>
        <v>Hardwoods</v>
      </c>
      <c r="M550" t="str">
        <f>IFERROR(_xlfn.XLOOKUP($A550,'Base SKUs'!$E:$E,'Base SKUs'!G:G),"")</f>
        <v>Ipe</v>
      </c>
      <c r="N550" t="str">
        <f>IFERROR(_xlfn.XLOOKUP($A550,'Base SKUs'!$E:$E,'Base SKUs'!H:H),"")</f>
        <v>S4S E4E</v>
      </c>
      <c r="O550" t="str">
        <f>IFERROR(_xlfn.XLOOKUP($A550,'Base SKUs'!$E:$E,'Base SKUs'!I:I),"")</f>
        <v>-</v>
      </c>
      <c r="P550" t="str">
        <f>IFERROR(_xlfn.XLOOKUP($A550,'Base SKUs'!$E:$E,'Base SKUs'!J:J),"")</f>
        <v>1x12</v>
      </c>
      <c r="Q550">
        <f>IFERROR(_xlfn.XLOOKUP($A550,'Base SKUs'!$E:$E,'Base SKUs'!K:K),"")</f>
        <v>20</v>
      </c>
      <c r="R550" s="7">
        <f>IFERROR(_xlfn.XLOOKUP($A550,'Base SKUs'!$E:$E,'Base SKUs'!S:S),"")</f>
        <v>3.3183804600000005E-2</v>
      </c>
      <c r="S550" s="8">
        <f t="shared" si="42"/>
        <v>1.0950655518000001</v>
      </c>
      <c r="T550" s="7">
        <f>IFERROR(_xlfn.XLOOKUP($A550,'Base SKUs'!$E:$E,'Base SKUs'!R:R),"")</f>
        <v>602.70399999999995</v>
      </c>
      <c r="U550" s="15">
        <f t="shared" si="43"/>
        <v>660</v>
      </c>
      <c r="V550" t="str">
        <f t="shared" si="44"/>
        <v>Boston</v>
      </c>
    </row>
    <row r="551" spans="1:22" x14ac:dyDescent="0.2">
      <c r="A551" t="s">
        <v>811</v>
      </c>
      <c r="B551" s="5">
        <v>781</v>
      </c>
      <c r="C551" s="5">
        <v>0</v>
      </c>
      <c r="D551" s="5">
        <f t="shared" si="40"/>
        <v>781</v>
      </c>
      <c r="E551" s="6">
        <v>5.2891000000000004</v>
      </c>
      <c r="F551" s="6">
        <f t="shared" si="41"/>
        <v>4130.7871000000005</v>
      </c>
      <c r="G551" t="s">
        <v>17</v>
      </c>
      <c r="H551">
        <v>9007</v>
      </c>
      <c r="I551" t="str">
        <f>IFERROR(_xlfn.XLOOKUP($A551,'Base SKUs'!$E:$E,'Base SKUs'!A:A),"")</f>
        <v>Ipe</v>
      </c>
      <c r="J551" t="str">
        <f>IFERROR(_xlfn.XLOOKUP($A551,'Base SKUs'!$E:$E,'Base SKUs'!B:B),"")</f>
        <v>Ipe 1x3</v>
      </c>
      <c r="K551" t="str">
        <f>IFERROR(_xlfn.XLOOKUP($A551,'Base SKUs'!$E:$E,'Base SKUs'!C:C),"")</f>
        <v>Long</v>
      </c>
      <c r="L551" t="str">
        <f>IFERROR(_xlfn.XLOOKUP($A551,'Base SKUs'!$E:$E,'Base SKUs'!D:D),"")</f>
        <v>Hardwoods</v>
      </c>
      <c r="M551" t="str">
        <f>IFERROR(_xlfn.XLOOKUP($A551,'Base SKUs'!$E:$E,'Base SKUs'!G:G),"")</f>
        <v>Ipe</v>
      </c>
      <c r="N551" t="str">
        <f>IFERROR(_xlfn.XLOOKUP($A551,'Base SKUs'!$E:$E,'Base SKUs'!H:H),"")</f>
        <v>S4S E4E</v>
      </c>
      <c r="O551" t="str">
        <f>IFERROR(_xlfn.XLOOKUP($A551,'Base SKUs'!$E:$E,'Base SKUs'!I:I),"")</f>
        <v>-</v>
      </c>
      <c r="P551" t="str">
        <f>IFERROR(_xlfn.XLOOKUP($A551,'Base SKUs'!$E:$E,'Base SKUs'!J:J),"")</f>
        <v>1x3</v>
      </c>
      <c r="Q551">
        <f>IFERROR(_xlfn.XLOOKUP($A551,'Base SKUs'!$E:$E,'Base SKUs'!K:K),"")</f>
        <v>10</v>
      </c>
      <c r="R551" s="7">
        <f>IFERROR(_xlfn.XLOOKUP($A551,'Base SKUs'!$E:$E,'Base SKUs'!S:S),"")</f>
        <v>4.0645080000000005E-3</v>
      </c>
      <c r="S551" s="8">
        <f t="shared" si="42"/>
        <v>3.1743807480000004</v>
      </c>
      <c r="T551" s="7">
        <f>IFERROR(_xlfn.XLOOKUP($A551,'Base SKUs'!$E:$E,'Base SKUs'!R:R),"")</f>
        <v>2460.3220000000001</v>
      </c>
      <c r="U551" s="15">
        <f t="shared" si="43"/>
        <v>7810</v>
      </c>
      <c r="V551" t="str">
        <f t="shared" si="44"/>
        <v>Miami</v>
      </c>
    </row>
    <row r="552" spans="1:22" x14ac:dyDescent="0.2">
      <c r="A552" t="s">
        <v>813</v>
      </c>
      <c r="B552" s="5">
        <v>591</v>
      </c>
      <c r="C552" s="5">
        <v>0</v>
      </c>
      <c r="D552" s="5">
        <f t="shared" si="40"/>
        <v>591</v>
      </c>
      <c r="E552" s="6">
        <v>5.7961</v>
      </c>
      <c r="F552" s="6">
        <f t="shared" si="41"/>
        <v>3425.4951000000001</v>
      </c>
      <c r="G552" t="s">
        <v>17</v>
      </c>
      <c r="H552">
        <v>9007</v>
      </c>
      <c r="I552" t="str">
        <f>IFERROR(_xlfn.XLOOKUP($A552,'Base SKUs'!$E:$E,'Base SKUs'!A:A),"")</f>
        <v>Ipe</v>
      </c>
      <c r="J552" t="str">
        <f>IFERROR(_xlfn.XLOOKUP($A552,'Base SKUs'!$E:$E,'Base SKUs'!B:B),"")</f>
        <v>Ipe 1x3</v>
      </c>
      <c r="K552" t="str">
        <f>IFERROR(_xlfn.XLOOKUP($A552,'Base SKUs'!$E:$E,'Base SKUs'!C:C),"")</f>
        <v>Long</v>
      </c>
      <c r="L552" t="str">
        <f>IFERROR(_xlfn.XLOOKUP($A552,'Base SKUs'!$E:$E,'Base SKUs'!D:D),"")</f>
        <v>Hardwoods</v>
      </c>
      <c r="M552" t="str">
        <f>IFERROR(_xlfn.XLOOKUP($A552,'Base SKUs'!$E:$E,'Base SKUs'!G:G),"")</f>
        <v>Ipe</v>
      </c>
      <c r="N552" t="str">
        <f>IFERROR(_xlfn.XLOOKUP($A552,'Base SKUs'!$E:$E,'Base SKUs'!H:H),"")</f>
        <v>S4S E4E</v>
      </c>
      <c r="O552" t="str">
        <f>IFERROR(_xlfn.XLOOKUP($A552,'Base SKUs'!$E:$E,'Base SKUs'!I:I),"")</f>
        <v>-</v>
      </c>
      <c r="P552" t="str">
        <f>IFERROR(_xlfn.XLOOKUP($A552,'Base SKUs'!$E:$E,'Base SKUs'!J:J),"")</f>
        <v>1x3</v>
      </c>
      <c r="Q552">
        <f>IFERROR(_xlfn.XLOOKUP($A552,'Base SKUs'!$E:$E,'Base SKUs'!K:K),"")</f>
        <v>11</v>
      </c>
      <c r="R552" s="7">
        <f>IFERROR(_xlfn.XLOOKUP($A552,'Base SKUs'!$E:$E,'Base SKUs'!S:S),"")</f>
        <v>4.4709588E-3</v>
      </c>
      <c r="S552" s="8">
        <f t="shared" si="42"/>
        <v>2.6423366507999999</v>
      </c>
      <c r="T552" s="7">
        <f>IFERROR(_xlfn.XLOOKUP($A552,'Base SKUs'!$E:$E,'Base SKUs'!R:R),"")</f>
        <v>2460.3220000000001</v>
      </c>
      <c r="U552" s="15">
        <f t="shared" si="43"/>
        <v>6501</v>
      </c>
      <c r="V552" t="str">
        <f t="shared" si="44"/>
        <v>Miami</v>
      </c>
    </row>
    <row r="553" spans="1:22" x14ac:dyDescent="0.2">
      <c r="A553" t="s">
        <v>815</v>
      </c>
      <c r="B553" s="5">
        <v>221</v>
      </c>
      <c r="C553" s="5">
        <v>0</v>
      </c>
      <c r="D553" s="5">
        <f t="shared" si="40"/>
        <v>221</v>
      </c>
      <c r="E553" s="6">
        <v>7.2923</v>
      </c>
      <c r="F553" s="6">
        <f t="shared" si="41"/>
        <v>1611.5983000000001</v>
      </c>
      <c r="G553" t="s">
        <v>17</v>
      </c>
      <c r="H553">
        <v>9007</v>
      </c>
      <c r="I553" t="str">
        <f>IFERROR(_xlfn.XLOOKUP($A553,'Base SKUs'!$E:$E,'Base SKUs'!A:A),"")</f>
        <v>Ipe</v>
      </c>
      <c r="J553" t="str">
        <f>IFERROR(_xlfn.XLOOKUP($A553,'Base SKUs'!$E:$E,'Base SKUs'!B:B),"")</f>
        <v>Ipe 1x3</v>
      </c>
      <c r="K553" t="str">
        <f>IFERROR(_xlfn.XLOOKUP($A553,'Base SKUs'!$E:$E,'Base SKUs'!C:C),"")</f>
        <v>Long</v>
      </c>
      <c r="L553" t="str">
        <f>IFERROR(_xlfn.XLOOKUP($A553,'Base SKUs'!$E:$E,'Base SKUs'!D:D),"")</f>
        <v>Hardwoods</v>
      </c>
      <c r="M553" t="str">
        <f>IFERROR(_xlfn.XLOOKUP($A553,'Base SKUs'!$E:$E,'Base SKUs'!G:G),"")</f>
        <v>Ipe</v>
      </c>
      <c r="N553" t="str">
        <f>IFERROR(_xlfn.XLOOKUP($A553,'Base SKUs'!$E:$E,'Base SKUs'!H:H),"")</f>
        <v>S4S E4E</v>
      </c>
      <c r="O553" t="str">
        <f>IFERROR(_xlfn.XLOOKUP($A553,'Base SKUs'!$E:$E,'Base SKUs'!I:I),"")</f>
        <v>-</v>
      </c>
      <c r="P553" t="str">
        <f>IFERROR(_xlfn.XLOOKUP($A553,'Base SKUs'!$E:$E,'Base SKUs'!J:J),"")</f>
        <v>1x3</v>
      </c>
      <c r="Q553">
        <f>IFERROR(_xlfn.XLOOKUP($A553,'Base SKUs'!$E:$E,'Base SKUs'!K:K),"")</f>
        <v>12</v>
      </c>
      <c r="R553" s="7">
        <f>IFERROR(_xlfn.XLOOKUP($A553,'Base SKUs'!$E:$E,'Base SKUs'!S:S),"")</f>
        <v>4.8774096000000003E-3</v>
      </c>
      <c r="S553" s="8">
        <f t="shared" si="42"/>
        <v>1.0779075216</v>
      </c>
      <c r="T553" s="7">
        <f>IFERROR(_xlfn.XLOOKUP($A553,'Base SKUs'!$E:$E,'Base SKUs'!R:R),"")</f>
        <v>2460.3220000000001</v>
      </c>
      <c r="U553" s="15">
        <f t="shared" si="43"/>
        <v>2652</v>
      </c>
      <c r="V553" t="str">
        <f t="shared" si="44"/>
        <v>Miami</v>
      </c>
    </row>
    <row r="554" spans="1:22" x14ac:dyDescent="0.2">
      <c r="A554" t="s">
        <v>817</v>
      </c>
      <c r="B554" s="5">
        <v>244</v>
      </c>
      <c r="C554" s="5">
        <v>0</v>
      </c>
      <c r="D554" s="5">
        <f t="shared" si="40"/>
        <v>244</v>
      </c>
      <c r="E554" s="6">
        <v>7.9057000000000004</v>
      </c>
      <c r="F554" s="6">
        <f t="shared" si="41"/>
        <v>1928.9908</v>
      </c>
      <c r="G554" t="s">
        <v>17</v>
      </c>
      <c r="H554">
        <v>9007</v>
      </c>
      <c r="I554" t="str">
        <f>IFERROR(_xlfn.XLOOKUP($A554,'Base SKUs'!$E:$E,'Base SKUs'!A:A),"")</f>
        <v>Ipe</v>
      </c>
      <c r="J554" t="str">
        <f>IFERROR(_xlfn.XLOOKUP($A554,'Base SKUs'!$E:$E,'Base SKUs'!B:B),"")</f>
        <v>Ipe 1x3</v>
      </c>
      <c r="K554" t="str">
        <f>IFERROR(_xlfn.XLOOKUP($A554,'Base SKUs'!$E:$E,'Base SKUs'!C:C),"")</f>
        <v>Long</v>
      </c>
      <c r="L554" t="str">
        <f>IFERROR(_xlfn.XLOOKUP($A554,'Base SKUs'!$E:$E,'Base SKUs'!D:D),"")</f>
        <v>Hardwoods</v>
      </c>
      <c r="M554" t="str">
        <f>IFERROR(_xlfn.XLOOKUP($A554,'Base SKUs'!$E:$E,'Base SKUs'!G:G),"")</f>
        <v>Ipe</v>
      </c>
      <c r="N554" t="str">
        <f>IFERROR(_xlfn.XLOOKUP($A554,'Base SKUs'!$E:$E,'Base SKUs'!H:H),"")</f>
        <v>S4S E4E</v>
      </c>
      <c r="O554" t="str">
        <f>IFERROR(_xlfn.XLOOKUP($A554,'Base SKUs'!$E:$E,'Base SKUs'!I:I),"")</f>
        <v>-</v>
      </c>
      <c r="P554" t="str">
        <f>IFERROR(_xlfn.XLOOKUP($A554,'Base SKUs'!$E:$E,'Base SKUs'!J:J),"")</f>
        <v>1x3</v>
      </c>
      <c r="Q554">
        <f>IFERROR(_xlfn.XLOOKUP($A554,'Base SKUs'!$E:$E,'Base SKUs'!K:K),"")</f>
        <v>13</v>
      </c>
      <c r="R554" s="7">
        <f>IFERROR(_xlfn.XLOOKUP($A554,'Base SKUs'!$E:$E,'Base SKUs'!S:S),"")</f>
        <v>5.2838603999999997E-3</v>
      </c>
      <c r="S554" s="8">
        <f t="shared" si="42"/>
        <v>1.2892619375999999</v>
      </c>
      <c r="T554" s="7">
        <f>IFERROR(_xlfn.XLOOKUP($A554,'Base SKUs'!$E:$E,'Base SKUs'!R:R),"")</f>
        <v>2460.3220000000001</v>
      </c>
      <c r="U554" s="15">
        <f t="shared" si="43"/>
        <v>3172</v>
      </c>
      <c r="V554" t="str">
        <f t="shared" si="44"/>
        <v>Miami</v>
      </c>
    </row>
    <row r="555" spans="1:22" x14ac:dyDescent="0.2">
      <c r="A555" t="s">
        <v>819</v>
      </c>
      <c r="B555" s="5">
        <v>123</v>
      </c>
      <c r="C555" s="5">
        <v>0</v>
      </c>
      <c r="D555" s="5">
        <f t="shared" si="40"/>
        <v>123</v>
      </c>
      <c r="E555" s="6">
        <v>8.5243000000000002</v>
      </c>
      <c r="F555" s="6">
        <f t="shared" si="41"/>
        <v>1048.4889000000001</v>
      </c>
      <c r="G555" t="s">
        <v>17</v>
      </c>
      <c r="H555">
        <v>9007</v>
      </c>
      <c r="I555" t="str">
        <f>IFERROR(_xlfn.XLOOKUP($A555,'Base SKUs'!$E:$E,'Base SKUs'!A:A),"")</f>
        <v>Ipe</v>
      </c>
      <c r="J555" t="str">
        <f>IFERROR(_xlfn.XLOOKUP($A555,'Base SKUs'!$E:$E,'Base SKUs'!B:B),"")</f>
        <v>Ipe 1x3</v>
      </c>
      <c r="K555" t="str">
        <f>IFERROR(_xlfn.XLOOKUP($A555,'Base SKUs'!$E:$E,'Base SKUs'!C:C),"")</f>
        <v>Long</v>
      </c>
      <c r="L555" t="str">
        <f>IFERROR(_xlfn.XLOOKUP($A555,'Base SKUs'!$E:$E,'Base SKUs'!D:D),"")</f>
        <v>Hardwoods</v>
      </c>
      <c r="M555" t="str">
        <f>IFERROR(_xlfn.XLOOKUP($A555,'Base SKUs'!$E:$E,'Base SKUs'!G:G),"")</f>
        <v>Ipe</v>
      </c>
      <c r="N555" t="str">
        <f>IFERROR(_xlfn.XLOOKUP($A555,'Base SKUs'!$E:$E,'Base SKUs'!H:H),"")</f>
        <v>S4S E4E</v>
      </c>
      <c r="O555" t="str">
        <f>IFERROR(_xlfn.XLOOKUP($A555,'Base SKUs'!$E:$E,'Base SKUs'!I:I),"")</f>
        <v>-</v>
      </c>
      <c r="P555" t="str">
        <f>IFERROR(_xlfn.XLOOKUP($A555,'Base SKUs'!$E:$E,'Base SKUs'!J:J),"")</f>
        <v>1x3</v>
      </c>
      <c r="Q555">
        <f>IFERROR(_xlfn.XLOOKUP($A555,'Base SKUs'!$E:$E,'Base SKUs'!K:K),"")</f>
        <v>14</v>
      </c>
      <c r="R555" s="7">
        <f>IFERROR(_xlfn.XLOOKUP($A555,'Base SKUs'!$E:$E,'Base SKUs'!S:S),"")</f>
        <v>5.6903112E-3</v>
      </c>
      <c r="S555" s="8">
        <f t="shared" si="42"/>
        <v>0.69990827759999996</v>
      </c>
      <c r="T555" s="7">
        <f>IFERROR(_xlfn.XLOOKUP($A555,'Base SKUs'!$E:$E,'Base SKUs'!R:R),"")</f>
        <v>2460.3220000000001</v>
      </c>
      <c r="U555" s="15">
        <f t="shared" si="43"/>
        <v>1722</v>
      </c>
      <c r="V555" t="str">
        <f t="shared" si="44"/>
        <v>Miami</v>
      </c>
    </row>
    <row r="556" spans="1:22" x14ac:dyDescent="0.2">
      <c r="A556" t="s">
        <v>821</v>
      </c>
      <c r="B556" s="5">
        <v>128</v>
      </c>
      <c r="C556" s="5">
        <v>0</v>
      </c>
      <c r="D556" s="5">
        <f t="shared" si="40"/>
        <v>128</v>
      </c>
      <c r="E556" s="6">
        <v>9.1171000000000006</v>
      </c>
      <c r="F556" s="6">
        <f t="shared" si="41"/>
        <v>1166.9888000000001</v>
      </c>
      <c r="G556" t="s">
        <v>17</v>
      </c>
      <c r="H556">
        <v>9007</v>
      </c>
      <c r="I556" t="str">
        <f>IFERROR(_xlfn.XLOOKUP($A556,'Base SKUs'!$E:$E,'Base SKUs'!A:A),"")</f>
        <v>Ipe</v>
      </c>
      <c r="J556" t="str">
        <f>IFERROR(_xlfn.XLOOKUP($A556,'Base SKUs'!$E:$E,'Base SKUs'!B:B),"")</f>
        <v>Ipe 1x3</v>
      </c>
      <c r="K556" t="str">
        <f>IFERROR(_xlfn.XLOOKUP($A556,'Base SKUs'!$E:$E,'Base SKUs'!C:C),"")</f>
        <v>Long</v>
      </c>
      <c r="L556" t="str">
        <f>IFERROR(_xlfn.XLOOKUP($A556,'Base SKUs'!$E:$E,'Base SKUs'!D:D),"")</f>
        <v>Hardwoods</v>
      </c>
      <c r="M556" t="str">
        <f>IFERROR(_xlfn.XLOOKUP($A556,'Base SKUs'!$E:$E,'Base SKUs'!G:G),"")</f>
        <v>Ipe</v>
      </c>
      <c r="N556" t="str">
        <f>IFERROR(_xlfn.XLOOKUP($A556,'Base SKUs'!$E:$E,'Base SKUs'!H:H),"")</f>
        <v>S4S E4E</v>
      </c>
      <c r="O556" t="str">
        <f>IFERROR(_xlfn.XLOOKUP($A556,'Base SKUs'!$E:$E,'Base SKUs'!I:I),"")</f>
        <v>-</v>
      </c>
      <c r="P556" t="str">
        <f>IFERROR(_xlfn.XLOOKUP($A556,'Base SKUs'!$E:$E,'Base SKUs'!J:J),"")</f>
        <v>1x3</v>
      </c>
      <c r="Q556">
        <f>IFERROR(_xlfn.XLOOKUP($A556,'Base SKUs'!$E:$E,'Base SKUs'!K:K),"")</f>
        <v>15</v>
      </c>
      <c r="R556" s="7">
        <f>IFERROR(_xlfn.XLOOKUP($A556,'Base SKUs'!$E:$E,'Base SKUs'!S:S),"")</f>
        <v>6.0967620000000012E-3</v>
      </c>
      <c r="S556" s="8">
        <f t="shared" si="42"/>
        <v>0.78038553600000016</v>
      </c>
      <c r="T556" s="7">
        <f>IFERROR(_xlfn.XLOOKUP($A556,'Base SKUs'!$E:$E,'Base SKUs'!R:R),"")</f>
        <v>2460.3220000000001</v>
      </c>
      <c r="U556" s="15">
        <f t="shared" si="43"/>
        <v>1920</v>
      </c>
      <c r="V556" t="str">
        <f t="shared" si="44"/>
        <v>Miami</v>
      </c>
    </row>
    <row r="557" spans="1:22" x14ac:dyDescent="0.2">
      <c r="A557" t="s">
        <v>823</v>
      </c>
      <c r="B557" s="5">
        <v>201</v>
      </c>
      <c r="C557" s="5">
        <v>0</v>
      </c>
      <c r="D557" s="5">
        <f t="shared" si="40"/>
        <v>201</v>
      </c>
      <c r="E557" s="6">
        <v>9.7312999999999992</v>
      </c>
      <c r="F557" s="6">
        <f t="shared" si="41"/>
        <v>1955.9912999999999</v>
      </c>
      <c r="G557" t="s">
        <v>17</v>
      </c>
      <c r="H557">
        <v>9007</v>
      </c>
      <c r="I557" t="str">
        <f>IFERROR(_xlfn.XLOOKUP($A557,'Base SKUs'!$E:$E,'Base SKUs'!A:A),"")</f>
        <v>Ipe</v>
      </c>
      <c r="J557" t="str">
        <f>IFERROR(_xlfn.XLOOKUP($A557,'Base SKUs'!$E:$E,'Base SKUs'!B:B),"")</f>
        <v>Ipe 1x3</v>
      </c>
      <c r="K557" t="str">
        <f>IFERROR(_xlfn.XLOOKUP($A557,'Base SKUs'!$E:$E,'Base SKUs'!C:C),"")</f>
        <v>Long</v>
      </c>
      <c r="L557" t="str">
        <f>IFERROR(_xlfn.XLOOKUP($A557,'Base SKUs'!$E:$E,'Base SKUs'!D:D),"")</f>
        <v>Hardwoods</v>
      </c>
      <c r="M557" t="str">
        <f>IFERROR(_xlfn.XLOOKUP($A557,'Base SKUs'!$E:$E,'Base SKUs'!G:G),"")</f>
        <v>Ipe</v>
      </c>
      <c r="N557" t="str">
        <f>IFERROR(_xlfn.XLOOKUP($A557,'Base SKUs'!$E:$E,'Base SKUs'!H:H),"")</f>
        <v>S4S E4E</v>
      </c>
      <c r="O557" t="str">
        <f>IFERROR(_xlfn.XLOOKUP($A557,'Base SKUs'!$E:$E,'Base SKUs'!I:I),"")</f>
        <v>-</v>
      </c>
      <c r="P557" t="str">
        <f>IFERROR(_xlfn.XLOOKUP($A557,'Base SKUs'!$E:$E,'Base SKUs'!J:J),"")</f>
        <v>1x3</v>
      </c>
      <c r="Q557">
        <f>IFERROR(_xlfn.XLOOKUP($A557,'Base SKUs'!$E:$E,'Base SKUs'!K:K),"")</f>
        <v>16</v>
      </c>
      <c r="R557" s="7">
        <f>IFERROR(_xlfn.XLOOKUP($A557,'Base SKUs'!$E:$E,'Base SKUs'!S:S),"")</f>
        <v>6.5032127999999998E-3</v>
      </c>
      <c r="S557" s="8">
        <f t="shared" si="42"/>
        <v>1.3071457728</v>
      </c>
      <c r="T557" s="7">
        <f>IFERROR(_xlfn.XLOOKUP($A557,'Base SKUs'!$E:$E,'Base SKUs'!R:R),"")</f>
        <v>2460.3220000000001</v>
      </c>
      <c r="U557" s="15">
        <f t="shared" si="43"/>
        <v>3216</v>
      </c>
      <c r="V557" t="str">
        <f t="shared" si="44"/>
        <v>Miami</v>
      </c>
    </row>
    <row r="558" spans="1:22" x14ac:dyDescent="0.2">
      <c r="A558" t="s">
        <v>825</v>
      </c>
      <c r="B558" s="5">
        <v>102</v>
      </c>
      <c r="C558" s="5">
        <v>0</v>
      </c>
      <c r="D558" s="5">
        <f t="shared" si="40"/>
        <v>102</v>
      </c>
      <c r="E558" s="6">
        <v>10.338200000000001</v>
      </c>
      <c r="F558" s="6">
        <f t="shared" si="41"/>
        <v>1054.4964</v>
      </c>
      <c r="G558" t="s">
        <v>17</v>
      </c>
      <c r="H558">
        <v>9007</v>
      </c>
      <c r="I558" t="str">
        <f>IFERROR(_xlfn.XLOOKUP($A558,'Base SKUs'!$E:$E,'Base SKUs'!A:A),"")</f>
        <v>Ipe</v>
      </c>
      <c r="J558" t="str">
        <f>IFERROR(_xlfn.XLOOKUP($A558,'Base SKUs'!$E:$E,'Base SKUs'!B:B),"")</f>
        <v>Ipe 1x3</v>
      </c>
      <c r="K558" t="str">
        <f>IFERROR(_xlfn.XLOOKUP($A558,'Base SKUs'!$E:$E,'Base SKUs'!C:C),"")</f>
        <v>Long</v>
      </c>
      <c r="L558" t="str">
        <f>IFERROR(_xlfn.XLOOKUP($A558,'Base SKUs'!$E:$E,'Base SKUs'!D:D),"")</f>
        <v>Hardwoods</v>
      </c>
      <c r="M558" t="str">
        <f>IFERROR(_xlfn.XLOOKUP($A558,'Base SKUs'!$E:$E,'Base SKUs'!G:G),"")</f>
        <v>Ipe</v>
      </c>
      <c r="N558" t="str">
        <f>IFERROR(_xlfn.XLOOKUP($A558,'Base SKUs'!$E:$E,'Base SKUs'!H:H),"")</f>
        <v>S4S E4E</v>
      </c>
      <c r="O558" t="str">
        <f>IFERROR(_xlfn.XLOOKUP($A558,'Base SKUs'!$E:$E,'Base SKUs'!I:I),"")</f>
        <v>-</v>
      </c>
      <c r="P558" t="str">
        <f>IFERROR(_xlfn.XLOOKUP($A558,'Base SKUs'!$E:$E,'Base SKUs'!J:J),"")</f>
        <v>1x3</v>
      </c>
      <c r="Q558">
        <f>IFERROR(_xlfn.XLOOKUP($A558,'Base SKUs'!$E:$E,'Base SKUs'!K:K),"")</f>
        <v>17</v>
      </c>
      <c r="R558" s="7">
        <f>IFERROR(_xlfn.XLOOKUP($A558,'Base SKUs'!$E:$E,'Base SKUs'!S:S),"")</f>
        <v>6.909663600000001E-3</v>
      </c>
      <c r="S558" s="8">
        <f t="shared" si="42"/>
        <v>0.70478568720000012</v>
      </c>
      <c r="T558" s="7">
        <f>IFERROR(_xlfn.XLOOKUP($A558,'Base SKUs'!$E:$E,'Base SKUs'!R:R),"")</f>
        <v>2460.3220000000001</v>
      </c>
      <c r="U558" s="15">
        <f t="shared" si="43"/>
        <v>1734</v>
      </c>
      <c r="V558" t="str">
        <f t="shared" si="44"/>
        <v>Miami</v>
      </c>
    </row>
    <row r="559" spans="1:22" x14ac:dyDescent="0.2">
      <c r="A559" t="s">
        <v>827</v>
      </c>
      <c r="B559" s="5">
        <v>124</v>
      </c>
      <c r="C559" s="5">
        <v>0</v>
      </c>
      <c r="D559" s="5">
        <f t="shared" si="40"/>
        <v>124</v>
      </c>
      <c r="E559" s="6">
        <v>10.9354</v>
      </c>
      <c r="F559" s="6">
        <f t="shared" si="41"/>
        <v>1355.9895999999999</v>
      </c>
      <c r="G559" t="s">
        <v>17</v>
      </c>
      <c r="H559">
        <v>9007</v>
      </c>
      <c r="I559" t="str">
        <f>IFERROR(_xlfn.XLOOKUP($A559,'Base SKUs'!$E:$E,'Base SKUs'!A:A),"")</f>
        <v>Ipe</v>
      </c>
      <c r="J559" t="str">
        <f>IFERROR(_xlfn.XLOOKUP($A559,'Base SKUs'!$E:$E,'Base SKUs'!B:B),"")</f>
        <v>Ipe 1x3</v>
      </c>
      <c r="K559" t="str">
        <f>IFERROR(_xlfn.XLOOKUP($A559,'Base SKUs'!$E:$E,'Base SKUs'!C:C),"")</f>
        <v>Long</v>
      </c>
      <c r="L559" t="str">
        <f>IFERROR(_xlfn.XLOOKUP($A559,'Base SKUs'!$E:$E,'Base SKUs'!D:D),"")</f>
        <v>Hardwoods</v>
      </c>
      <c r="M559" t="str">
        <f>IFERROR(_xlfn.XLOOKUP($A559,'Base SKUs'!$E:$E,'Base SKUs'!G:G),"")</f>
        <v>Ipe</v>
      </c>
      <c r="N559" t="str">
        <f>IFERROR(_xlfn.XLOOKUP($A559,'Base SKUs'!$E:$E,'Base SKUs'!H:H),"")</f>
        <v>S4S E4E</v>
      </c>
      <c r="O559" t="str">
        <f>IFERROR(_xlfn.XLOOKUP($A559,'Base SKUs'!$E:$E,'Base SKUs'!I:I),"")</f>
        <v>-</v>
      </c>
      <c r="P559" t="str">
        <f>IFERROR(_xlfn.XLOOKUP($A559,'Base SKUs'!$E:$E,'Base SKUs'!J:J),"")</f>
        <v>1x3</v>
      </c>
      <c r="Q559">
        <f>IFERROR(_xlfn.XLOOKUP($A559,'Base SKUs'!$E:$E,'Base SKUs'!K:K),"")</f>
        <v>18</v>
      </c>
      <c r="R559" s="7">
        <f>IFERROR(_xlfn.XLOOKUP($A559,'Base SKUs'!$E:$E,'Base SKUs'!S:S),"")</f>
        <v>7.3161144000000004E-3</v>
      </c>
      <c r="S559" s="8">
        <f t="shared" si="42"/>
        <v>0.9071981856000001</v>
      </c>
      <c r="T559" s="7">
        <f>IFERROR(_xlfn.XLOOKUP($A559,'Base SKUs'!$E:$E,'Base SKUs'!R:R),"")</f>
        <v>2460.3220000000001</v>
      </c>
      <c r="U559" s="15">
        <f t="shared" si="43"/>
        <v>2232</v>
      </c>
      <c r="V559" t="str">
        <f t="shared" si="44"/>
        <v>Miami</v>
      </c>
    </row>
    <row r="560" spans="1:22" x14ac:dyDescent="0.2">
      <c r="A560" t="s">
        <v>829</v>
      </c>
      <c r="B560" s="5">
        <v>72</v>
      </c>
      <c r="C560" s="5">
        <v>0</v>
      </c>
      <c r="D560" s="5">
        <f t="shared" si="40"/>
        <v>72</v>
      </c>
      <c r="E560" s="6">
        <v>11.5625</v>
      </c>
      <c r="F560" s="6">
        <f t="shared" si="41"/>
        <v>832.5</v>
      </c>
      <c r="G560" t="s">
        <v>17</v>
      </c>
      <c r="H560">
        <v>9007</v>
      </c>
      <c r="I560" t="str">
        <f>IFERROR(_xlfn.XLOOKUP($A560,'Base SKUs'!$E:$E,'Base SKUs'!A:A),"")</f>
        <v>Ipe</v>
      </c>
      <c r="J560" t="str">
        <f>IFERROR(_xlfn.XLOOKUP($A560,'Base SKUs'!$E:$E,'Base SKUs'!B:B),"")</f>
        <v>Ipe 1x3</v>
      </c>
      <c r="K560" t="str">
        <f>IFERROR(_xlfn.XLOOKUP($A560,'Base SKUs'!$E:$E,'Base SKUs'!C:C),"")</f>
        <v>Long</v>
      </c>
      <c r="L560" t="str">
        <f>IFERROR(_xlfn.XLOOKUP($A560,'Base SKUs'!$E:$E,'Base SKUs'!D:D),"")</f>
        <v>Hardwoods</v>
      </c>
      <c r="M560" t="str">
        <f>IFERROR(_xlfn.XLOOKUP($A560,'Base SKUs'!$E:$E,'Base SKUs'!G:G),"")</f>
        <v>Ipe</v>
      </c>
      <c r="N560" t="str">
        <f>IFERROR(_xlfn.XLOOKUP($A560,'Base SKUs'!$E:$E,'Base SKUs'!H:H),"")</f>
        <v>S4S E4E</v>
      </c>
      <c r="O560" t="str">
        <f>IFERROR(_xlfn.XLOOKUP($A560,'Base SKUs'!$E:$E,'Base SKUs'!I:I),"")</f>
        <v>-</v>
      </c>
      <c r="P560" t="str">
        <f>IFERROR(_xlfn.XLOOKUP($A560,'Base SKUs'!$E:$E,'Base SKUs'!J:J),"")</f>
        <v>1x3</v>
      </c>
      <c r="Q560">
        <f>IFERROR(_xlfn.XLOOKUP($A560,'Base SKUs'!$E:$E,'Base SKUs'!K:K),"")</f>
        <v>19</v>
      </c>
      <c r="R560" s="7">
        <f>IFERROR(_xlfn.XLOOKUP($A560,'Base SKUs'!$E:$E,'Base SKUs'!S:S),"")</f>
        <v>7.7225652000000007E-3</v>
      </c>
      <c r="S560" s="8">
        <f t="shared" si="42"/>
        <v>0.55602469440000002</v>
      </c>
      <c r="T560" s="7">
        <f>IFERROR(_xlfn.XLOOKUP($A560,'Base SKUs'!$E:$E,'Base SKUs'!R:R),"")</f>
        <v>2460.3220000000001</v>
      </c>
      <c r="U560" s="15">
        <f t="shared" si="43"/>
        <v>1368</v>
      </c>
      <c r="V560" t="str">
        <f t="shared" si="44"/>
        <v>Miami</v>
      </c>
    </row>
    <row r="561" spans="1:22" x14ac:dyDescent="0.2">
      <c r="A561" t="s">
        <v>831</v>
      </c>
      <c r="B561" s="5">
        <v>120</v>
      </c>
      <c r="C561" s="5">
        <v>0</v>
      </c>
      <c r="D561" s="5">
        <f t="shared" si="40"/>
        <v>120</v>
      </c>
      <c r="E561" s="6">
        <v>12.15</v>
      </c>
      <c r="F561" s="6">
        <f t="shared" si="41"/>
        <v>1458</v>
      </c>
      <c r="G561" t="s">
        <v>17</v>
      </c>
      <c r="H561">
        <v>9007</v>
      </c>
      <c r="I561" t="str">
        <f>IFERROR(_xlfn.XLOOKUP($A561,'Base SKUs'!$E:$E,'Base SKUs'!A:A),"")</f>
        <v>Ipe</v>
      </c>
      <c r="J561" t="str">
        <f>IFERROR(_xlfn.XLOOKUP($A561,'Base SKUs'!$E:$E,'Base SKUs'!B:B),"")</f>
        <v>Ipe 1x3</v>
      </c>
      <c r="K561" t="str">
        <f>IFERROR(_xlfn.XLOOKUP($A561,'Base SKUs'!$E:$E,'Base SKUs'!C:C),"")</f>
        <v>Long</v>
      </c>
      <c r="L561" t="str">
        <f>IFERROR(_xlfn.XLOOKUP($A561,'Base SKUs'!$E:$E,'Base SKUs'!D:D),"")</f>
        <v>Hardwoods</v>
      </c>
      <c r="M561" t="str">
        <f>IFERROR(_xlfn.XLOOKUP($A561,'Base SKUs'!$E:$E,'Base SKUs'!G:G),"")</f>
        <v>Ipe</v>
      </c>
      <c r="N561" t="str">
        <f>IFERROR(_xlfn.XLOOKUP($A561,'Base SKUs'!$E:$E,'Base SKUs'!H:H),"")</f>
        <v>S4S E4E</v>
      </c>
      <c r="O561" t="str">
        <f>IFERROR(_xlfn.XLOOKUP($A561,'Base SKUs'!$E:$E,'Base SKUs'!I:I),"")</f>
        <v>-</v>
      </c>
      <c r="P561" t="str">
        <f>IFERROR(_xlfn.XLOOKUP($A561,'Base SKUs'!$E:$E,'Base SKUs'!J:J),"")</f>
        <v>1x3</v>
      </c>
      <c r="Q561">
        <f>IFERROR(_xlfn.XLOOKUP($A561,'Base SKUs'!$E:$E,'Base SKUs'!K:K),"")</f>
        <v>20</v>
      </c>
      <c r="R561" s="7">
        <f>IFERROR(_xlfn.XLOOKUP($A561,'Base SKUs'!$E:$E,'Base SKUs'!S:S),"")</f>
        <v>8.1290160000000011E-3</v>
      </c>
      <c r="S561" s="8">
        <f t="shared" si="42"/>
        <v>0.97548192000000011</v>
      </c>
      <c r="T561" s="7">
        <f>IFERROR(_xlfn.XLOOKUP($A561,'Base SKUs'!$E:$E,'Base SKUs'!R:R),"")</f>
        <v>2460.3220000000001</v>
      </c>
      <c r="U561" s="15">
        <f t="shared" si="43"/>
        <v>2400</v>
      </c>
      <c r="V561" t="str">
        <f t="shared" si="44"/>
        <v>Miami</v>
      </c>
    </row>
    <row r="562" spans="1:22" x14ac:dyDescent="0.2">
      <c r="A562" t="s">
        <v>833</v>
      </c>
      <c r="B562" s="5">
        <v>2</v>
      </c>
      <c r="C562" s="5">
        <v>0</v>
      </c>
      <c r="D562" s="5">
        <f t="shared" si="40"/>
        <v>2</v>
      </c>
      <c r="E562" s="6">
        <v>12.75</v>
      </c>
      <c r="F562" s="6">
        <f t="shared" si="41"/>
        <v>25.5</v>
      </c>
      <c r="G562" t="s">
        <v>17</v>
      </c>
      <c r="H562">
        <v>9007</v>
      </c>
      <c r="I562" t="str">
        <f>IFERROR(_xlfn.XLOOKUP($A562,'Base SKUs'!$E:$E,'Base SKUs'!A:A),"")</f>
        <v>Ipe</v>
      </c>
      <c r="J562" t="str">
        <f>IFERROR(_xlfn.XLOOKUP($A562,'Base SKUs'!$E:$E,'Base SKUs'!B:B),"")</f>
        <v>Ipe 1x3</v>
      </c>
      <c r="K562" t="str">
        <f>IFERROR(_xlfn.XLOOKUP($A562,'Base SKUs'!$E:$E,'Base SKUs'!C:C),"")</f>
        <v>Long</v>
      </c>
      <c r="L562" t="str">
        <f>IFERROR(_xlfn.XLOOKUP($A562,'Base SKUs'!$E:$E,'Base SKUs'!D:D),"")</f>
        <v>Hardwoods</v>
      </c>
      <c r="M562" t="str">
        <f>IFERROR(_xlfn.XLOOKUP($A562,'Base SKUs'!$E:$E,'Base SKUs'!G:G),"")</f>
        <v>Ipe</v>
      </c>
      <c r="N562" t="str">
        <f>IFERROR(_xlfn.XLOOKUP($A562,'Base SKUs'!$E:$E,'Base SKUs'!H:H),"")</f>
        <v>S4S E4E</v>
      </c>
      <c r="O562" t="str">
        <f>IFERROR(_xlfn.XLOOKUP($A562,'Base SKUs'!$E:$E,'Base SKUs'!I:I),"")</f>
        <v>-</v>
      </c>
      <c r="P562" t="str">
        <f>IFERROR(_xlfn.XLOOKUP($A562,'Base SKUs'!$E:$E,'Base SKUs'!J:J),"")</f>
        <v>1x3</v>
      </c>
      <c r="Q562">
        <f>IFERROR(_xlfn.XLOOKUP($A562,'Base SKUs'!$E:$E,'Base SKUs'!K:K),"")</f>
        <v>21</v>
      </c>
      <c r="R562" s="7">
        <f>IFERROR(_xlfn.XLOOKUP($A562,'Base SKUs'!$E:$E,'Base SKUs'!S:S),"")</f>
        <v>8.5354668000000022E-3</v>
      </c>
      <c r="S562" s="8">
        <f t="shared" si="42"/>
        <v>1.7070933600000004E-2</v>
      </c>
      <c r="T562" s="7">
        <f>IFERROR(_xlfn.XLOOKUP($A562,'Base SKUs'!$E:$E,'Base SKUs'!R:R),"")</f>
        <v>2460.3220000000001</v>
      </c>
      <c r="U562" s="15">
        <f t="shared" si="43"/>
        <v>42</v>
      </c>
      <c r="V562" t="str">
        <f t="shared" si="44"/>
        <v>Miami</v>
      </c>
    </row>
    <row r="563" spans="1:22" x14ac:dyDescent="0.2">
      <c r="A563" t="s">
        <v>835</v>
      </c>
      <c r="B563" s="5">
        <v>8</v>
      </c>
      <c r="C563" s="5">
        <v>0</v>
      </c>
      <c r="D563" s="5">
        <f t="shared" si="40"/>
        <v>8</v>
      </c>
      <c r="E563" s="6">
        <v>13.3125</v>
      </c>
      <c r="F563" s="6">
        <f t="shared" si="41"/>
        <v>106.5</v>
      </c>
      <c r="G563" t="s">
        <v>17</v>
      </c>
      <c r="H563">
        <v>9007</v>
      </c>
      <c r="I563" t="str">
        <f>IFERROR(_xlfn.XLOOKUP($A563,'Base SKUs'!$E:$E,'Base SKUs'!A:A),"")</f>
        <v>Ipe</v>
      </c>
      <c r="J563" t="str">
        <f>IFERROR(_xlfn.XLOOKUP($A563,'Base SKUs'!$E:$E,'Base SKUs'!B:B),"")</f>
        <v>Ipe 1x3</v>
      </c>
      <c r="K563" t="str">
        <f>IFERROR(_xlfn.XLOOKUP($A563,'Base SKUs'!$E:$E,'Base SKUs'!C:C),"")</f>
        <v>Long</v>
      </c>
      <c r="L563" t="str">
        <f>IFERROR(_xlfn.XLOOKUP($A563,'Base SKUs'!$E:$E,'Base SKUs'!D:D),"")</f>
        <v>Hardwoods</v>
      </c>
      <c r="M563" t="str">
        <f>IFERROR(_xlfn.XLOOKUP($A563,'Base SKUs'!$E:$E,'Base SKUs'!G:G),"")</f>
        <v>Ipe</v>
      </c>
      <c r="N563" t="str">
        <f>IFERROR(_xlfn.XLOOKUP($A563,'Base SKUs'!$E:$E,'Base SKUs'!H:H),"")</f>
        <v>S4S E4E</v>
      </c>
      <c r="O563" t="str">
        <f>IFERROR(_xlfn.XLOOKUP($A563,'Base SKUs'!$E:$E,'Base SKUs'!I:I),"")</f>
        <v>-</v>
      </c>
      <c r="P563" t="str">
        <f>IFERROR(_xlfn.XLOOKUP($A563,'Base SKUs'!$E:$E,'Base SKUs'!J:J),"")</f>
        <v>1x3</v>
      </c>
      <c r="Q563">
        <f>IFERROR(_xlfn.XLOOKUP($A563,'Base SKUs'!$E:$E,'Base SKUs'!K:K),"")</f>
        <v>22</v>
      </c>
      <c r="R563" s="7">
        <f>IFERROR(_xlfn.XLOOKUP($A563,'Base SKUs'!$E:$E,'Base SKUs'!S:S),"")</f>
        <v>8.9419176E-3</v>
      </c>
      <c r="S563" s="8">
        <f t="shared" si="42"/>
        <v>7.15353408E-2</v>
      </c>
      <c r="T563" s="7">
        <f>IFERROR(_xlfn.XLOOKUP($A563,'Base SKUs'!$E:$E,'Base SKUs'!R:R),"")</f>
        <v>2460.3220000000001</v>
      </c>
      <c r="U563" s="15">
        <f t="shared" si="43"/>
        <v>176</v>
      </c>
      <c r="V563" t="str">
        <f t="shared" si="44"/>
        <v>Miami</v>
      </c>
    </row>
    <row r="564" spans="1:22" x14ac:dyDescent="0.2">
      <c r="A564" t="s">
        <v>837</v>
      </c>
      <c r="B564" s="5">
        <v>537</v>
      </c>
      <c r="C564" s="5">
        <v>0</v>
      </c>
      <c r="D564" s="5">
        <f t="shared" si="40"/>
        <v>537</v>
      </c>
      <c r="E564" s="6">
        <v>2.6745999999999999</v>
      </c>
      <c r="F564" s="6">
        <f t="shared" si="41"/>
        <v>1436.2601999999999</v>
      </c>
      <c r="G564" t="s">
        <v>17</v>
      </c>
      <c r="H564">
        <v>9007</v>
      </c>
      <c r="I564" t="str">
        <f>IFERROR(_xlfn.XLOOKUP($A564,'Base SKUs'!$E:$E,'Base SKUs'!A:A),"")</f>
        <v>Ipe</v>
      </c>
      <c r="J564" t="str">
        <f>IFERROR(_xlfn.XLOOKUP($A564,'Base SKUs'!$E:$E,'Base SKUs'!B:B),"")</f>
        <v>Ipe 1x3</v>
      </c>
      <c r="K564" t="str">
        <f>IFERROR(_xlfn.XLOOKUP($A564,'Base SKUs'!$E:$E,'Base SKUs'!C:C),"")</f>
        <v>Short</v>
      </c>
      <c r="L564" t="str">
        <f>IFERROR(_xlfn.XLOOKUP($A564,'Base SKUs'!$E:$E,'Base SKUs'!D:D),"")</f>
        <v>Hardwoods</v>
      </c>
      <c r="M564" t="str">
        <f>IFERROR(_xlfn.XLOOKUP($A564,'Base SKUs'!$E:$E,'Base SKUs'!G:G),"")</f>
        <v>Ipe</v>
      </c>
      <c r="N564" t="str">
        <f>IFERROR(_xlfn.XLOOKUP($A564,'Base SKUs'!$E:$E,'Base SKUs'!H:H),"")</f>
        <v>S4S E4E</v>
      </c>
      <c r="O564" t="str">
        <f>IFERROR(_xlfn.XLOOKUP($A564,'Base SKUs'!$E:$E,'Base SKUs'!I:I),"")</f>
        <v>-</v>
      </c>
      <c r="P564" t="str">
        <f>IFERROR(_xlfn.XLOOKUP($A564,'Base SKUs'!$E:$E,'Base SKUs'!J:J),"")</f>
        <v>1x3</v>
      </c>
      <c r="Q564">
        <f>IFERROR(_xlfn.XLOOKUP($A564,'Base SKUs'!$E:$E,'Base SKUs'!K:K),"")</f>
        <v>6</v>
      </c>
      <c r="R564" s="7">
        <f>IFERROR(_xlfn.XLOOKUP($A564,'Base SKUs'!$E:$E,'Base SKUs'!S:S),"")</f>
        <v>2.4387048000000001E-3</v>
      </c>
      <c r="S564" s="8">
        <f t="shared" si="42"/>
        <v>1.3095844776000001</v>
      </c>
      <c r="T564" s="7">
        <f>IFERROR(_xlfn.XLOOKUP($A564,'Base SKUs'!$E:$E,'Base SKUs'!R:R),"")</f>
        <v>2460.3220000000001</v>
      </c>
      <c r="U564" s="15">
        <f t="shared" si="43"/>
        <v>3222</v>
      </c>
      <c r="V564" t="str">
        <f t="shared" si="44"/>
        <v>Miami</v>
      </c>
    </row>
    <row r="565" spans="1:22" x14ac:dyDescent="0.2">
      <c r="A565" t="s">
        <v>839</v>
      </c>
      <c r="B565" s="5">
        <v>518</v>
      </c>
      <c r="C565" s="5">
        <v>0</v>
      </c>
      <c r="D565" s="5">
        <f t="shared" si="40"/>
        <v>518</v>
      </c>
      <c r="E565" s="6">
        <v>3.1513</v>
      </c>
      <c r="F565" s="6">
        <f t="shared" si="41"/>
        <v>1632.3733999999999</v>
      </c>
      <c r="G565" t="s">
        <v>17</v>
      </c>
      <c r="H565">
        <v>9007</v>
      </c>
      <c r="I565" t="str">
        <f>IFERROR(_xlfn.XLOOKUP($A565,'Base SKUs'!$E:$E,'Base SKUs'!A:A),"")</f>
        <v>Ipe</v>
      </c>
      <c r="J565" t="str">
        <f>IFERROR(_xlfn.XLOOKUP($A565,'Base SKUs'!$E:$E,'Base SKUs'!B:B),"")</f>
        <v>Ipe 1x3</v>
      </c>
      <c r="K565" t="str">
        <f>IFERROR(_xlfn.XLOOKUP($A565,'Base SKUs'!$E:$E,'Base SKUs'!C:C),"")</f>
        <v>Short</v>
      </c>
      <c r="L565" t="str">
        <f>IFERROR(_xlfn.XLOOKUP($A565,'Base SKUs'!$E:$E,'Base SKUs'!D:D),"")</f>
        <v>Hardwoods</v>
      </c>
      <c r="M565" t="str">
        <f>IFERROR(_xlfn.XLOOKUP($A565,'Base SKUs'!$E:$E,'Base SKUs'!G:G),"")</f>
        <v>Ipe</v>
      </c>
      <c r="N565" t="str">
        <f>IFERROR(_xlfn.XLOOKUP($A565,'Base SKUs'!$E:$E,'Base SKUs'!H:H),"")</f>
        <v>S4S E4E</v>
      </c>
      <c r="O565" t="str">
        <f>IFERROR(_xlfn.XLOOKUP($A565,'Base SKUs'!$E:$E,'Base SKUs'!I:I),"")</f>
        <v>-</v>
      </c>
      <c r="P565" t="str">
        <f>IFERROR(_xlfn.XLOOKUP($A565,'Base SKUs'!$E:$E,'Base SKUs'!J:J),"")</f>
        <v>1x3</v>
      </c>
      <c r="Q565">
        <f>IFERROR(_xlfn.XLOOKUP($A565,'Base SKUs'!$E:$E,'Base SKUs'!K:K),"")</f>
        <v>7</v>
      </c>
      <c r="R565" s="7">
        <f>IFERROR(_xlfn.XLOOKUP($A565,'Base SKUs'!$E:$E,'Base SKUs'!S:S),"")</f>
        <v>2.8451556E-3</v>
      </c>
      <c r="S565" s="8">
        <f t="shared" si="42"/>
        <v>1.4737906007999999</v>
      </c>
      <c r="T565" s="7">
        <f>IFERROR(_xlfn.XLOOKUP($A565,'Base SKUs'!$E:$E,'Base SKUs'!R:R),"")</f>
        <v>2460.3220000000001</v>
      </c>
      <c r="U565" s="15">
        <f t="shared" si="43"/>
        <v>3626</v>
      </c>
      <c r="V565" t="str">
        <f t="shared" si="44"/>
        <v>Miami</v>
      </c>
    </row>
    <row r="566" spans="1:22" x14ac:dyDescent="0.2">
      <c r="A566" t="s">
        <v>841</v>
      </c>
      <c r="B566" s="5">
        <v>1441</v>
      </c>
      <c r="C566" s="5">
        <v>0</v>
      </c>
      <c r="D566" s="5">
        <f t="shared" si="40"/>
        <v>1441</v>
      </c>
      <c r="E566" s="6">
        <v>4.2264999999999997</v>
      </c>
      <c r="F566" s="6">
        <f t="shared" si="41"/>
        <v>6090.3864999999996</v>
      </c>
      <c r="G566" t="s">
        <v>17</v>
      </c>
      <c r="H566">
        <v>9007</v>
      </c>
      <c r="I566" t="str">
        <f>IFERROR(_xlfn.XLOOKUP($A566,'Base SKUs'!$E:$E,'Base SKUs'!A:A),"")</f>
        <v>Ipe</v>
      </c>
      <c r="J566" t="str">
        <f>IFERROR(_xlfn.XLOOKUP($A566,'Base SKUs'!$E:$E,'Base SKUs'!B:B),"")</f>
        <v>Ipe 1x3</v>
      </c>
      <c r="K566" t="str">
        <f>IFERROR(_xlfn.XLOOKUP($A566,'Base SKUs'!$E:$E,'Base SKUs'!C:C),"")</f>
        <v>Long</v>
      </c>
      <c r="L566" t="str">
        <f>IFERROR(_xlfn.XLOOKUP($A566,'Base SKUs'!$E:$E,'Base SKUs'!D:D),"")</f>
        <v>Hardwoods</v>
      </c>
      <c r="M566" t="str">
        <f>IFERROR(_xlfn.XLOOKUP($A566,'Base SKUs'!$E:$E,'Base SKUs'!G:G),"")</f>
        <v>Ipe</v>
      </c>
      <c r="N566" t="str">
        <f>IFERROR(_xlfn.XLOOKUP($A566,'Base SKUs'!$E:$E,'Base SKUs'!H:H),"")</f>
        <v>S4S E4E</v>
      </c>
      <c r="O566" t="str">
        <f>IFERROR(_xlfn.XLOOKUP($A566,'Base SKUs'!$E:$E,'Base SKUs'!I:I),"")</f>
        <v>-</v>
      </c>
      <c r="P566" t="str">
        <f>IFERROR(_xlfn.XLOOKUP($A566,'Base SKUs'!$E:$E,'Base SKUs'!J:J),"")</f>
        <v>1x3</v>
      </c>
      <c r="Q566">
        <f>IFERROR(_xlfn.XLOOKUP($A566,'Base SKUs'!$E:$E,'Base SKUs'!K:K),"")</f>
        <v>8</v>
      </c>
      <c r="R566" s="7">
        <f>IFERROR(_xlfn.XLOOKUP($A566,'Base SKUs'!$E:$E,'Base SKUs'!S:S),"")</f>
        <v>3.2516063999999999E-3</v>
      </c>
      <c r="S566" s="8">
        <f t="shared" si="42"/>
        <v>4.6855648223999999</v>
      </c>
      <c r="T566" s="7">
        <f>IFERROR(_xlfn.XLOOKUP($A566,'Base SKUs'!$E:$E,'Base SKUs'!R:R),"")</f>
        <v>2460.3220000000001</v>
      </c>
      <c r="U566" s="15">
        <f t="shared" si="43"/>
        <v>11528</v>
      </c>
      <c r="V566" t="str">
        <f t="shared" si="44"/>
        <v>Miami</v>
      </c>
    </row>
    <row r="567" spans="1:22" x14ac:dyDescent="0.2">
      <c r="A567" t="s">
        <v>843</v>
      </c>
      <c r="B567" s="5">
        <v>736</v>
      </c>
      <c r="C567" s="5">
        <v>0</v>
      </c>
      <c r="D567" s="5">
        <f t="shared" si="40"/>
        <v>736</v>
      </c>
      <c r="E567" s="6">
        <v>4.7416</v>
      </c>
      <c r="F567" s="6">
        <f t="shared" si="41"/>
        <v>3489.8175999999999</v>
      </c>
      <c r="G567" t="s">
        <v>17</v>
      </c>
      <c r="H567">
        <v>9007</v>
      </c>
      <c r="I567" t="str">
        <f>IFERROR(_xlfn.XLOOKUP($A567,'Base SKUs'!$E:$E,'Base SKUs'!A:A),"")</f>
        <v>Ipe</v>
      </c>
      <c r="J567" t="str">
        <f>IFERROR(_xlfn.XLOOKUP($A567,'Base SKUs'!$E:$E,'Base SKUs'!B:B),"")</f>
        <v>Ipe 1x3</v>
      </c>
      <c r="K567" t="str">
        <f>IFERROR(_xlfn.XLOOKUP($A567,'Base SKUs'!$E:$E,'Base SKUs'!C:C),"")</f>
        <v>Long</v>
      </c>
      <c r="L567" t="str">
        <f>IFERROR(_xlfn.XLOOKUP($A567,'Base SKUs'!$E:$E,'Base SKUs'!D:D),"")</f>
        <v>Hardwoods</v>
      </c>
      <c r="M567" t="str">
        <f>IFERROR(_xlfn.XLOOKUP($A567,'Base SKUs'!$E:$E,'Base SKUs'!G:G),"")</f>
        <v>Ipe</v>
      </c>
      <c r="N567" t="str">
        <f>IFERROR(_xlfn.XLOOKUP($A567,'Base SKUs'!$E:$E,'Base SKUs'!H:H),"")</f>
        <v>S4S E4E</v>
      </c>
      <c r="O567" t="str">
        <f>IFERROR(_xlfn.XLOOKUP($A567,'Base SKUs'!$E:$E,'Base SKUs'!I:I),"")</f>
        <v>-</v>
      </c>
      <c r="P567" t="str">
        <f>IFERROR(_xlfn.XLOOKUP($A567,'Base SKUs'!$E:$E,'Base SKUs'!J:J),"")</f>
        <v>1x3</v>
      </c>
      <c r="Q567">
        <f>IFERROR(_xlfn.XLOOKUP($A567,'Base SKUs'!$E:$E,'Base SKUs'!K:K),"")</f>
        <v>9</v>
      </c>
      <c r="R567" s="7">
        <f>IFERROR(_xlfn.XLOOKUP($A567,'Base SKUs'!$E:$E,'Base SKUs'!S:S),"")</f>
        <v>3.6580572000000002E-3</v>
      </c>
      <c r="S567" s="8">
        <f t="shared" si="42"/>
        <v>2.6923300992000003</v>
      </c>
      <c r="T567" s="7">
        <f>IFERROR(_xlfn.XLOOKUP($A567,'Base SKUs'!$E:$E,'Base SKUs'!R:R),"")</f>
        <v>2460.3220000000001</v>
      </c>
      <c r="U567" s="15">
        <f t="shared" si="43"/>
        <v>6624</v>
      </c>
      <c r="V567" t="str">
        <f t="shared" si="44"/>
        <v>Miami</v>
      </c>
    </row>
    <row r="568" spans="1:22" x14ac:dyDescent="0.2">
      <c r="A568" t="s">
        <v>845</v>
      </c>
      <c r="B568" s="5">
        <v>440</v>
      </c>
      <c r="C568" s="5">
        <v>220</v>
      </c>
      <c r="D568" s="5">
        <f t="shared" si="40"/>
        <v>220</v>
      </c>
      <c r="E568" s="6">
        <v>9.6179000000000006</v>
      </c>
      <c r="F568" s="6">
        <f t="shared" si="41"/>
        <v>4231.8760000000002</v>
      </c>
      <c r="G568" t="s">
        <v>24</v>
      </c>
      <c r="H568">
        <v>9008</v>
      </c>
      <c r="I568" t="str">
        <f>IFERROR(_xlfn.XLOOKUP($A568,'Base SKUs'!$E:$E,'Base SKUs'!A:A),"")</f>
        <v>Ipe</v>
      </c>
      <c r="J568" t="str">
        <f>IFERROR(_xlfn.XLOOKUP($A568,'Base SKUs'!$E:$E,'Base SKUs'!B:B),"")</f>
        <v>Ipe 1x4</v>
      </c>
      <c r="K568" t="str">
        <f>IFERROR(_xlfn.XLOOKUP($A568,'Base SKUs'!$E:$E,'Base SKUs'!C:C),"")</f>
        <v>Long</v>
      </c>
      <c r="L568" t="str">
        <f>IFERROR(_xlfn.XLOOKUP($A568,'Base SKUs'!$E:$E,'Base SKUs'!D:D),"")</f>
        <v>Hardwoods</v>
      </c>
      <c r="M568" t="str">
        <f>IFERROR(_xlfn.XLOOKUP($A568,'Base SKUs'!$E:$E,'Base SKUs'!G:G),"")</f>
        <v>Ipe</v>
      </c>
      <c r="N568" t="str">
        <f>IFERROR(_xlfn.XLOOKUP($A568,'Base SKUs'!$E:$E,'Base SKUs'!H:H),"")</f>
        <v>S4S E4E</v>
      </c>
      <c r="O568" t="str">
        <f>IFERROR(_xlfn.XLOOKUP($A568,'Base SKUs'!$E:$E,'Base SKUs'!I:I),"")</f>
        <v>-</v>
      </c>
      <c r="P568" t="str">
        <f>IFERROR(_xlfn.XLOOKUP($A568,'Base SKUs'!$E:$E,'Base SKUs'!J:J),"")</f>
        <v>1x4</v>
      </c>
      <c r="Q568">
        <f>IFERROR(_xlfn.XLOOKUP($A568,'Base SKUs'!$E:$E,'Base SKUs'!K:K),"")</f>
        <v>10</v>
      </c>
      <c r="R568" s="7">
        <f>IFERROR(_xlfn.XLOOKUP($A568,'Base SKUs'!$E:$E,'Base SKUs'!S:S),"")</f>
        <v>5.1619251600000006E-3</v>
      </c>
      <c r="S568" s="8">
        <f t="shared" si="42"/>
        <v>1.1356235352000001</v>
      </c>
      <c r="T568" s="7">
        <f>IFERROR(_xlfn.XLOOKUP($A568,'Base SKUs'!$E:$E,'Base SKUs'!R:R),"")</f>
        <v>1937.2619999999999</v>
      </c>
      <c r="U568" s="15">
        <f t="shared" si="43"/>
        <v>2200</v>
      </c>
      <c r="V568" t="str">
        <f t="shared" si="44"/>
        <v>Texas</v>
      </c>
    </row>
    <row r="569" spans="1:22" x14ac:dyDescent="0.2">
      <c r="A569" t="s">
        <v>845</v>
      </c>
      <c r="B569" s="5">
        <v>565</v>
      </c>
      <c r="C569" s="5">
        <v>70</v>
      </c>
      <c r="D569" s="5">
        <f t="shared" si="40"/>
        <v>495</v>
      </c>
      <c r="E569" s="6">
        <v>8.7197999999999993</v>
      </c>
      <c r="F569" s="6">
        <f t="shared" si="41"/>
        <v>4926.6869999999999</v>
      </c>
      <c r="G569" t="s">
        <v>125</v>
      </c>
      <c r="H569">
        <v>9009</v>
      </c>
      <c r="I569" t="str">
        <f>IFERROR(_xlfn.XLOOKUP($A569,'Base SKUs'!$E:$E,'Base SKUs'!A:A),"")</f>
        <v>Ipe</v>
      </c>
      <c r="J569" t="str">
        <f>IFERROR(_xlfn.XLOOKUP($A569,'Base SKUs'!$E:$E,'Base SKUs'!B:B),"")</f>
        <v>Ipe 1x4</v>
      </c>
      <c r="K569" t="str">
        <f>IFERROR(_xlfn.XLOOKUP($A569,'Base SKUs'!$E:$E,'Base SKUs'!C:C),"")</f>
        <v>Long</v>
      </c>
      <c r="L569" t="str">
        <f>IFERROR(_xlfn.XLOOKUP($A569,'Base SKUs'!$E:$E,'Base SKUs'!D:D),"")</f>
        <v>Hardwoods</v>
      </c>
      <c r="M569" t="str">
        <f>IFERROR(_xlfn.XLOOKUP($A569,'Base SKUs'!$E:$E,'Base SKUs'!G:G),"")</f>
        <v>Ipe</v>
      </c>
      <c r="N569" t="str">
        <f>IFERROR(_xlfn.XLOOKUP($A569,'Base SKUs'!$E:$E,'Base SKUs'!H:H),"")</f>
        <v>S4S E4E</v>
      </c>
      <c r="O569" t="str">
        <f>IFERROR(_xlfn.XLOOKUP($A569,'Base SKUs'!$E:$E,'Base SKUs'!I:I),"")</f>
        <v>-</v>
      </c>
      <c r="P569" t="str">
        <f>IFERROR(_xlfn.XLOOKUP($A569,'Base SKUs'!$E:$E,'Base SKUs'!J:J),"")</f>
        <v>1x4</v>
      </c>
      <c r="Q569">
        <f>IFERROR(_xlfn.XLOOKUP($A569,'Base SKUs'!$E:$E,'Base SKUs'!K:K),"")</f>
        <v>10</v>
      </c>
      <c r="R569" s="7">
        <f>IFERROR(_xlfn.XLOOKUP($A569,'Base SKUs'!$E:$E,'Base SKUs'!S:S),"")</f>
        <v>5.1619251600000006E-3</v>
      </c>
      <c r="S569" s="8">
        <f t="shared" si="42"/>
        <v>2.5551529542000004</v>
      </c>
      <c r="T569" s="7">
        <f>IFERROR(_xlfn.XLOOKUP($A569,'Base SKUs'!$E:$E,'Base SKUs'!R:R),"")</f>
        <v>1937.2619999999999</v>
      </c>
      <c r="U569" s="15">
        <f t="shared" si="43"/>
        <v>4950</v>
      </c>
      <c r="V569" t="str">
        <f t="shared" si="44"/>
        <v>Boston</v>
      </c>
    </row>
    <row r="570" spans="1:22" x14ac:dyDescent="0.2">
      <c r="A570" t="s">
        <v>845</v>
      </c>
      <c r="B570" s="5">
        <v>2367</v>
      </c>
      <c r="C570" s="5">
        <v>242</v>
      </c>
      <c r="D570" s="5">
        <f t="shared" si="40"/>
        <v>2125</v>
      </c>
      <c r="E570" s="6">
        <v>8.5963999999999992</v>
      </c>
      <c r="F570" s="6">
        <f t="shared" si="41"/>
        <v>20347.678799999998</v>
      </c>
      <c r="G570" t="s">
        <v>330</v>
      </c>
      <c r="H570">
        <v>9011</v>
      </c>
      <c r="I570" t="str">
        <f>IFERROR(_xlfn.XLOOKUP($A570,'Base SKUs'!$E:$E,'Base SKUs'!A:A),"")</f>
        <v>Ipe</v>
      </c>
      <c r="J570" t="str">
        <f>IFERROR(_xlfn.XLOOKUP($A570,'Base SKUs'!$E:$E,'Base SKUs'!B:B),"")</f>
        <v>Ipe 1x4</v>
      </c>
      <c r="K570" t="str">
        <f>IFERROR(_xlfn.XLOOKUP($A570,'Base SKUs'!$E:$E,'Base SKUs'!C:C),"")</f>
        <v>Long</v>
      </c>
      <c r="L570" t="str">
        <f>IFERROR(_xlfn.XLOOKUP($A570,'Base SKUs'!$E:$E,'Base SKUs'!D:D),"")</f>
        <v>Hardwoods</v>
      </c>
      <c r="M570" t="str">
        <f>IFERROR(_xlfn.XLOOKUP($A570,'Base SKUs'!$E:$E,'Base SKUs'!G:G),"")</f>
        <v>Ipe</v>
      </c>
      <c r="N570" t="str">
        <f>IFERROR(_xlfn.XLOOKUP($A570,'Base SKUs'!$E:$E,'Base SKUs'!H:H),"")</f>
        <v>S4S E4E</v>
      </c>
      <c r="O570" t="str">
        <f>IFERROR(_xlfn.XLOOKUP($A570,'Base SKUs'!$E:$E,'Base SKUs'!I:I),"")</f>
        <v>-</v>
      </c>
      <c r="P570" t="str">
        <f>IFERROR(_xlfn.XLOOKUP($A570,'Base SKUs'!$E:$E,'Base SKUs'!J:J),"")</f>
        <v>1x4</v>
      </c>
      <c r="Q570">
        <f>IFERROR(_xlfn.XLOOKUP($A570,'Base SKUs'!$E:$E,'Base SKUs'!K:K),"")</f>
        <v>10</v>
      </c>
      <c r="R570" s="7">
        <f>IFERROR(_xlfn.XLOOKUP($A570,'Base SKUs'!$E:$E,'Base SKUs'!S:S),"")</f>
        <v>5.1619251600000006E-3</v>
      </c>
      <c r="S570" s="8">
        <f t="shared" si="42"/>
        <v>10.969090965000001</v>
      </c>
      <c r="T570" s="7">
        <f>IFERROR(_xlfn.XLOOKUP($A570,'Base SKUs'!$E:$E,'Base SKUs'!R:R),"")</f>
        <v>1937.2619999999999</v>
      </c>
      <c r="U570" s="15">
        <f t="shared" si="43"/>
        <v>21250</v>
      </c>
      <c r="V570" t="str">
        <f t="shared" si="44"/>
        <v>New York</v>
      </c>
    </row>
    <row r="571" spans="1:22" x14ac:dyDescent="0.2">
      <c r="A571" t="s">
        <v>846</v>
      </c>
      <c r="B571" s="5">
        <v>311</v>
      </c>
      <c r="C571" s="5">
        <v>121</v>
      </c>
      <c r="D571" s="5">
        <f t="shared" si="40"/>
        <v>190</v>
      </c>
      <c r="E571" s="6">
        <v>17.518699999999999</v>
      </c>
      <c r="F571" s="6">
        <f t="shared" si="41"/>
        <v>5448.3157000000001</v>
      </c>
      <c r="G571" t="s">
        <v>24</v>
      </c>
      <c r="H571">
        <v>9008</v>
      </c>
      <c r="I571" t="str">
        <f>IFERROR(_xlfn.XLOOKUP($A571,'Base SKUs'!$E:$E,'Base SKUs'!A:A),"")</f>
        <v>Ipe</v>
      </c>
      <c r="J571" t="str">
        <f>IFERROR(_xlfn.XLOOKUP($A571,'Base SKUs'!$E:$E,'Base SKUs'!B:B),"")</f>
        <v>Ipe 1x4</v>
      </c>
      <c r="K571" t="str">
        <f>IFERROR(_xlfn.XLOOKUP($A571,'Base SKUs'!$E:$E,'Base SKUs'!C:C),"")</f>
        <v>Long</v>
      </c>
      <c r="L571" t="str">
        <f>IFERROR(_xlfn.XLOOKUP($A571,'Base SKUs'!$E:$E,'Base SKUs'!D:D),"")</f>
        <v>Hardwoods</v>
      </c>
      <c r="M571" t="str">
        <f>IFERROR(_xlfn.XLOOKUP($A571,'Base SKUs'!$E:$E,'Base SKUs'!G:G),"")</f>
        <v>Ipe</v>
      </c>
      <c r="N571" t="str">
        <f>IFERROR(_xlfn.XLOOKUP($A571,'Base SKUs'!$E:$E,'Base SKUs'!H:H),"")</f>
        <v>S4S E4E</v>
      </c>
      <c r="O571" t="str">
        <f>IFERROR(_xlfn.XLOOKUP($A571,'Base SKUs'!$E:$E,'Base SKUs'!I:I),"")</f>
        <v>-</v>
      </c>
      <c r="P571" t="str">
        <f>IFERROR(_xlfn.XLOOKUP($A571,'Base SKUs'!$E:$E,'Base SKUs'!J:J),"")</f>
        <v>1x4</v>
      </c>
      <c r="Q571">
        <f>IFERROR(_xlfn.XLOOKUP($A571,'Base SKUs'!$E:$E,'Base SKUs'!K:K),"")</f>
        <v>12</v>
      </c>
      <c r="R571" s="7">
        <f>IFERROR(_xlfn.XLOOKUP($A571,'Base SKUs'!$E:$E,'Base SKUs'!S:S),"")</f>
        <v>6.1943101919999998E-3</v>
      </c>
      <c r="S571" s="8">
        <f t="shared" si="42"/>
        <v>1.1769189364799999</v>
      </c>
      <c r="T571" s="7">
        <f>IFERROR(_xlfn.XLOOKUP($A571,'Base SKUs'!$E:$E,'Base SKUs'!R:R),"")</f>
        <v>1937.2619999999999</v>
      </c>
      <c r="U571" s="15">
        <f t="shared" si="43"/>
        <v>2280</v>
      </c>
      <c r="V571" t="str">
        <f t="shared" si="44"/>
        <v>Texas</v>
      </c>
    </row>
    <row r="572" spans="1:22" x14ac:dyDescent="0.2">
      <c r="A572" t="s">
        <v>846</v>
      </c>
      <c r="B572" s="5">
        <v>169</v>
      </c>
      <c r="C572" s="5">
        <v>0</v>
      </c>
      <c r="D572" s="5">
        <f t="shared" si="40"/>
        <v>169</v>
      </c>
      <c r="E572" s="6">
        <v>17.518699999999999</v>
      </c>
      <c r="F572" s="6">
        <f t="shared" si="41"/>
        <v>2960.6603</v>
      </c>
      <c r="G572" t="s">
        <v>125</v>
      </c>
      <c r="H572">
        <v>9009</v>
      </c>
      <c r="I572" t="str">
        <f>IFERROR(_xlfn.XLOOKUP($A572,'Base SKUs'!$E:$E,'Base SKUs'!A:A),"")</f>
        <v>Ipe</v>
      </c>
      <c r="J572" t="str">
        <f>IFERROR(_xlfn.XLOOKUP($A572,'Base SKUs'!$E:$E,'Base SKUs'!B:B),"")</f>
        <v>Ipe 1x4</v>
      </c>
      <c r="K572" t="str">
        <f>IFERROR(_xlfn.XLOOKUP($A572,'Base SKUs'!$E:$E,'Base SKUs'!C:C),"")</f>
        <v>Long</v>
      </c>
      <c r="L572" t="str">
        <f>IFERROR(_xlfn.XLOOKUP($A572,'Base SKUs'!$E:$E,'Base SKUs'!D:D),"")</f>
        <v>Hardwoods</v>
      </c>
      <c r="M572" t="str">
        <f>IFERROR(_xlfn.XLOOKUP($A572,'Base SKUs'!$E:$E,'Base SKUs'!G:G),"")</f>
        <v>Ipe</v>
      </c>
      <c r="N572" t="str">
        <f>IFERROR(_xlfn.XLOOKUP($A572,'Base SKUs'!$E:$E,'Base SKUs'!H:H),"")</f>
        <v>S4S E4E</v>
      </c>
      <c r="O572" t="str">
        <f>IFERROR(_xlfn.XLOOKUP($A572,'Base SKUs'!$E:$E,'Base SKUs'!I:I),"")</f>
        <v>-</v>
      </c>
      <c r="P572" t="str">
        <f>IFERROR(_xlfn.XLOOKUP($A572,'Base SKUs'!$E:$E,'Base SKUs'!J:J),"")</f>
        <v>1x4</v>
      </c>
      <c r="Q572">
        <f>IFERROR(_xlfn.XLOOKUP($A572,'Base SKUs'!$E:$E,'Base SKUs'!K:K),"")</f>
        <v>12</v>
      </c>
      <c r="R572" s="7">
        <f>IFERROR(_xlfn.XLOOKUP($A572,'Base SKUs'!$E:$E,'Base SKUs'!S:S),"")</f>
        <v>6.1943101919999998E-3</v>
      </c>
      <c r="S572" s="8">
        <f t="shared" si="42"/>
        <v>1.0468384224480001</v>
      </c>
      <c r="T572" s="7">
        <f>IFERROR(_xlfn.XLOOKUP($A572,'Base SKUs'!$E:$E,'Base SKUs'!R:R),"")</f>
        <v>1937.2619999999999</v>
      </c>
      <c r="U572" s="15">
        <f t="shared" si="43"/>
        <v>2028</v>
      </c>
      <c r="V572" t="str">
        <f t="shared" si="44"/>
        <v>Boston</v>
      </c>
    </row>
    <row r="573" spans="1:22" x14ac:dyDescent="0.2">
      <c r="A573" t="s">
        <v>847</v>
      </c>
      <c r="B573" s="5">
        <v>82</v>
      </c>
      <c r="C573" s="5">
        <v>82</v>
      </c>
      <c r="D573" s="5">
        <f t="shared" si="40"/>
        <v>0</v>
      </c>
      <c r="E573" s="6">
        <v>26.538599999999999</v>
      </c>
      <c r="F573" s="6">
        <f t="shared" si="41"/>
        <v>2176.1651999999999</v>
      </c>
      <c r="G573" t="s">
        <v>24</v>
      </c>
      <c r="H573">
        <v>9008</v>
      </c>
      <c r="I573" t="str">
        <f>IFERROR(_xlfn.XLOOKUP($A573,'Base SKUs'!$E:$E,'Base SKUs'!A:A),"")</f>
        <v>Ipe</v>
      </c>
      <c r="J573" t="str">
        <f>IFERROR(_xlfn.XLOOKUP($A573,'Base SKUs'!$E:$E,'Base SKUs'!B:B),"")</f>
        <v>Ipe 1x4</v>
      </c>
      <c r="K573" t="str">
        <f>IFERROR(_xlfn.XLOOKUP($A573,'Base SKUs'!$E:$E,'Base SKUs'!C:C),"")</f>
        <v>Long</v>
      </c>
      <c r="L573" t="str">
        <f>IFERROR(_xlfn.XLOOKUP($A573,'Base SKUs'!$E:$E,'Base SKUs'!D:D),"")</f>
        <v>Hardwoods</v>
      </c>
      <c r="M573" t="str">
        <f>IFERROR(_xlfn.XLOOKUP($A573,'Base SKUs'!$E:$E,'Base SKUs'!G:G),"")</f>
        <v>Ipe</v>
      </c>
      <c r="N573" t="str">
        <f>IFERROR(_xlfn.XLOOKUP($A573,'Base SKUs'!$E:$E,'Base SKUs'!H:H),"")</f>
        <v>S4S E4E</v>
      </c>
      <c r="O573" t="str">
        <f>IFERROR(_xlfn.XLOOKUP($A573,'Base SKUs'!$E:$E,'Base SKUs'!I:I),"")</f>
        <v>-</v>
      </c>
      <c r="P573" t="str">
        <f>IFERROR(_xlfn.XLOOKUP($A573,'Base SKUs'!$E:$E,'Base SKUs'!J:J),"")</f>
        <v>1x4</v>
      </c>
      <c r="Q573">
        <f>IFERROR(_xlfn.XLOOKUP($A573,'Base SKUs'!$E:$E,'Base SKUs'!K:K),"")</f>
        <v>18</v>
      </c>
      <c r="R573" s="7">
        <f>IFERROR(_xlfn.XLOOKUP($A573,'Base SKUs'!$E:$E,'Base SKUs'!S:S),"")</f>
        <v>9.2914652880000011E-3</v>
      </c>
      <c r="S573" s="8">
        <f t="shared" si="42"/>
        <v>0</v>
      </c>
      <c r="T573" s="7">
        <f>IFERROR(_xlfn.XLOOKUP($A573,'Base SKUs'!$E:$E,'Base SKUs'!R:R),"")</f>
        <v>1937.2619999999999</v>
      </c>
      <c r="U573" s="15">
        <f t="shared" si="43"/>
        <v>0</v>
      </c>
      <c r="V573" t="str">
        <f t="shared" si="44"/>
        <v>Texas</v>
      </c>
    </row>
    <row r="574" spans="1:22" x14ac:dyDescent="0.2">
      <c r="A574" t="s">
        <v>849</v>
      </c>
      <c r="B574" s="5">
        <v>14</v>
      </c>
      <c r="C574" s="5">
        <v>0</v>
      </c>
      <c r="D574" s="5">
        <f t="shared" si="40"/>
        <v>14</v>
      </c>
      <c r="E574" s="6">
        <v>29.285799999999998</v>
      </c>
      <c r="F574" s="6">
        <f t="shared" si="41"/>
        <v>410.00119999999998</v>
      </c>
      <c r="G574" t="s">
        <v>125</v>
      </c>
      <c r="H574">
        <v>9009</v>
      </c>
      <c r="I574" t="str">
        <f>IFERROR(_xlfn.XLOOKUP($A574,'Base SKUs'!$E:$E,'Base SKUs'!A:A),"")</f>
        <v>Ipe</v>
      </c>
      <c r="J574" t="str">
        <f>IFERROR(_xlfn.XLOOKUP($A574,'Base SKUs'!$E:$E,'Base SKUs'!B:B),"")</f>
        <v>Ipe 1x4</v>
      </c>
      <c r="K574" t="str">
        <f>IFERROR(_xlfn.XLOOKUP($A574,'Base SKUs'!$E:$E,'Base SKUs'!C:C),"")</f>
        <v>Long</v>
      </c>
      <c r="L574" t="str">
        <f>IFERROR(_xlfn.XLOOKUP($A574,'Base SKUs'!$E:$E,'Base SKUs'!D:D),"")</f>
        <v>Hardwoods</v>
      </c>
      <c r="M574" t="str">
        <f>IFERROR(_xlfn.XLOOKUP($A574,'Base SKUs'!$E:$E,'Base SKUs'!G:G),"")</f>
        <v>Ipe</v>
      </c>
      <c r="N574" t="str">
        <f>IFERROR(_xlfn.XLOOKUP($A574,'Base SKUs'!$E:$E,'Base SKUs'!H:H),"")</f>
        <v>S4S E4E</v>
      </c>
      <c r="O574" t="str">
        <f>IFERROR(_xlfn.XLOOKUP($A574,'Base SKUs'!$E:$E,'Base SKUs'!I:I),"")</f>
        <v>-</v>
      </c>
      <c r="P574" t="str">
        <f>IFERROR(_xlfn.XLOOKUP($A574,'Base SKUs'!$E:$E,'Base SKUs'!J:J),"")</f>
        <v>1x4</v>
      </c>
      <c r="Q574">
        <f>IFERROR(_xlfn.XLOOKUP($A574,'Base SKUs'!$E:$E,'Base SKUs'!K:K),"")</f>
        <v>20</v>
      </c>
      <c r="R574" s="7">
        <f>IFERROR(_xlfn.XLOOKUP($A574,'Base SKUs'!$E:$E,'Base SKUs'!S:S),"")</f>
        <v>1.0323850320000001E-2</v>
      </c>
      <c r="S574" s="8">
        <f t="shared" si="42"/>
        <v>0.14453390448000003</v>
      </c>
      <c r="T574" s="7">
        <f>IFERROR(_xlfn.XLOOKUP($A574,'Base SKUs'!$E:$E,'Base SKUs'!R:R),"")</f>
        <v>1937.2619999999999</v>
      </c>
      <c r="U574" s="15">
        <f t="shared" si="43"/>
        <v>280</v>
      </c>
      <c r="V574" t="str">
        <f t="shared" si="44"/>
        <v>Boston</v>
      </c>
    </row>
    <row r="575" spans="1:22" x14ac:dyDescent="0.2">
      <c r="A575" t="s">
        <v>850</v>
      </c>
      <c r="B575" s="5">
        <v>130</v>
      </c>
      <c r="C575" s="5">
        <v>0</v>
      </c>
      <c r="D575" s="5">
        <f t="shared" si="40"/>
        <v>130</v>
      </c>
      <c r="E575" s="6">
        <v>6.9595000000000002</v>
      </c>
      <c r="F575" s="6">
        <f t="shared" si="41"/>
        <v>904.73500000000001</v>
      </c>
      <c r="G575" t="s">
        <v>17</v>
      </c>
      <c r="H575">
        <v>9007</v>
      </c>
      <c r="I575" t="str">
        <f>IFERROR(_xlfn.XLOOKUP($A575,'Base SKUs'!$E:$E,'Base SKUs'!A:A),"")</f>
        <v>Ipe</v>
      </c>
      <c r="J575" t="str">
        <f>IFERROR(_xlfn.XLOOKUP($A575,'Base SKUs'!$E:$E,'Base SKUs'!B:B),"")</f>
        <v>Ipe 1x4</v>
      </c>
      <c r="K575" t="str">
        <f>IFERROR(_xlfn.XLOOKUP($A575,'Base SKUs'!$E:$E,'Base SKUs'!C:C),"")</f>
        <v>Long</v>
      </c>
      <c r="L575" t="str">
        <f>IFERROR(_xlfn.XLOOKUP($A575,'Base SKUs'!$E:$E,'Base SKUs'!D:D),"")</f>
        <v>Hardwoods</v>
      </c>
      <c r="M575" t="str">
        <f>IFERROR(_xlfn.XLOOKUP($A575,'Base SKUs'!$E:$E,'Base SKUs'!G:G),"")</f>
        <v>Ipe</v>
      </c>
      <c r="N575" t="str">
        <f>IFERROR(_xlfn.XLOOKUP($A575,'Base SKUs'!$E:$E,'Base SKUs'!H:H),"")</f>
        <v>S4S E4E</v>
      </c>
      <c r="O575" t="str">
        <f>IFERROR(_xlfn.XLOOKUP($A575,'Base SKUs'!$E:$E,'Base SKUs'!I:I),"")</f>
        <v>-</v>
      </c>
      <c r="P575" t="str">
        <f>IFERROR(_xlfn.XLOOKUP($A575,'Base SKUs'!$E:$E,'Base SKUs'!J:J),"")</f>
        <v>1x4</v>
      </c>
      <c r="Q575">
        <f>IFERROR(_xlfn.XLOOKUP($A575,'Base SKUs'!$E:$E,'Base SKUs'!K:K),"")</f>
        <v>8</v>
      </c>
      <c r="R575" s="7">
        <f>IFERROR(_xlfn.XLOOKUP($A575,'Base SKUs'!$E:$E,'Base SKUs'!S:S),"")</f>
        <v>4.1295401280000005E-3</v>
      </c>
      <c r="S575" s="8">
        <f t="shared" si="42"/>
        <v>0.53684021664000003</v>
      </c>
      <c r="T575" s="7">
        <f>IFERROR(_xlfn.XLOOKUP($A575,'Base SKUs'!$E:$E,'Base SKUs'!R:R),"")</f>
        <v>1937.2619999999999</v>
      </c>
      <c r="U575" s="15">
        <f t="shared" si="43"/>
        <v>1040</v>
      </c>
      <c r="V575" t="str">
        <f t="shared" si="44"/>
        <v>Miami</v>
      </c>
    </row>
    <row r="576" spans="1:22" x14ac:dyDescent="0.2">
      <c r="A576" t="s">
        <v>850</v>
      </c>
      <c r="B576" s="5">
        <v>623</v>
      </c>
      <c r="C576" s="5">
        <v>297</v>
      </c>
      <c r="D576" s="5">
        <f t="shared" si="40"/>
        <v>326</v>
      </c>
      <c r="E576" s="6">
        <v>6.6677999999999997</v>
      </c>
      <c r="F576" s="6">
        <f t="shared" si="41"/>
        <v>4154.0393999999997</v>
      </c>
      <c r="G576" t="s">
        <v>125</v>
      </c>
      <c r="H576">
        <v>9009</v>
      </c>
      <c r="I576" t="str">
        <f>IFERROR(_xlfn.XLOOKUP($A576,'Base SKUs'!$E:$E,'Base SKUs'!A:A),"")</f>
        <v>Ipe</v>
      </c>
      <c r="J576" t="str">
        <f>IFERROR(_xlfn.XLOOKUP($A576,'Base SKUs'!$E:$E,'Base SKUs'!B:B),"")</f>
        <v>Ipe 1x4</v>
      </c>
      <c r="K576" t="str">
        <f>IFERROR(_xlfn.XLOOKUP($A576,'Base SKUs'!$E:$E,'Base SKUs'!C:C),"")</f>
        <v>Long</v>
      </c>
      <c r="L576" t="str">
        <f>IFERROR(_xlfn.XLOOKUP($A576,'Base SKUs'!$E:$E,'Base SKUs'!D:D),"")</f>
        <v>Hardwoods</v>
      </c>
      <c r="M576" t="str">
        <f>IFERROR(_xlfn.XLOOKUP($A576,'Base SKUs'!$E:$E,'Base SKUs'!G:G),"")</f>
        <v>Ipe</v>
      </c>
      <c r="N576" t="str">
        <f>IFERROR(_xlfn.XLOOKUP($A576,'Base SKUs'!$E:$E,'Base SKUs'!H:H),"")</f>
        <v>S4S E4E</v>
      </c>
      <c r="O576" t="str">
        <f>IFERROR(_xlfn.XLOOKUP($A576,'Base SKUs'!$E:$E,'Base SKUs'!I:I),"")</f>
        <v>-</v>
      </c>
      <c r="P576" t="str">
        <f>IFERROR(_xlfn.XLOOKUP($A576,'Base SKUs'!$E:$E,'Base SKUs'!J:J),"")</f>
        <v>1x4</v>
      </c>
      <c r="Q576">
        <f>IFERROR(_xlfn.XLOOKUP($A576,'Base SKUs'!$E:$E,'Base SKUs'!K:K),"")</f>
        <v>8</v>
      </c>
      <c r="R576" s="7">
        <f>IFERROR(_xlfn.XLOOKUP($A576,'Base SKUs'!$E:$E,'Base SKUs'!S:S),"")</f>
        <v>4.1295401280000005E-3</v>
      </c>
      <c r="S576" s="8">
        <f t="shared" si="42"/>
        <v>1.3462300817280002</v>
      </c>
      <c r="T576" s="7">
        <f>IFERROR(_xlfn.XLOOKUP($A576,'Base SKUs'!$E:$E,'Base SKUs'!R:R),"")</f>
        <v>1937.2619999999999</v>
      </c>
      <c r="U576" s="15">
        <f t="shared" si="43"/>
        <v>2608</v>
      </c>
      <c r="V576" t="str">
        <f t="shared" si="44"/>
        <v>Boston</v>
      </c>
    </row>
    <row r="577" spans="1:22" x14ac:dyDescent="0.2">
      <c r="A577" t="s">
        <v>850</v>
      </c>
      <c r="B577" s="5">
        <v>2553</v>
      </c>
      <c r="C577" s="5">
        <v>242</v>
      </c>
      <c r="D577" s="5">
        <f t="shared" si="40"/>
        <v>2311</v>
      </c>
      <c r="E577" s="6">
        <v>6.6677999999999997</v>
      </c>
      <c r="F577" s="6">
        <f t="shared" si="41"/>
        <v>17022.893400000001</v>
      </c>
      <c r="G577" t="s">
        <v>330</v>
      </c>
      <c r="H577">
        <v>9011</v>
      </c>
      <c r="I577" t="str">
        <f>IFERROR(_xlfn.XLOOKUP($A577,'Base SKUs'!$E:$E,'Base SKUs'!A:A),"")</f>
        <v>Ipe</v>
      </c>
      <c r="J577" t="str">
        <f>IFERROR(_xlfn.XLOOKUP($A577,'Base SKUs'!$E:$E,'Base SKUs'!B:B),"")</f>
        <v>Ipe 1x4</v>
      </c>
      <c r="K577" t="str">
        <f>IFERROR(_xlfn.XLOOKUP($A577,'Base SKUs'!$E:$E,'Base SKUs'!C:C),"")</f>
        <v>Long</v>
      </c>
      <c r="L577" t="str">
        <f>IFERROR(_xlfn.XLOOKUP($A577,'Base SKUs'!$E:$E,'Base SKUs'!D:D),"")</f>
        <v>Hardwoods</v>
      </c>
      <c r="M577" t="str">
        <f>IFERROR(_xlfn.XLOOKUP($A577,'Base SKUs'!$E:$E,'Base SKUs'!G:G),"")</f>
        <v>Ipe</v>
      </c>
      <c r="N577" t="str">
        <f>IFERROR(_xlfn.XLOOKUP($A577,'Base SKUs'!$E:$E,'Base SKUs'!H:H),"")</f>
        <v>S4S E4E</v>
      </c>
      <c r="O577" t="str">
        <f>IFERROR(_xlfn.XLOOKUP($A577,'Base SKUs'!$E:$E,'Base SKUs'!I:I),"")</f>
        <v>-</v>
      </c>
      <c r="P577" t="str">
        <f>IFERROR(_xlfn.XLOOKUP($A577,'Base SKUs'!$E:$E,'Base SKUs'!J:J),"")</f>
        <v>1x4</v>
      </c>
      <c r="Q577">
        <f>IFERROR(_xlfn.XLOOKUP($A577,'Base SKUs'!$E:$E,'Base SKUs'!K:K),"")</f>
        <v>8</v>
      </c>
      <c r="R577" s="7">
        <f>IFERROR(_xlfn.XLOOKUP($A577,'Base SKUs'!$E:$E,'Base SKUs'!S:S),"")</f>
        <v>4.1295401280000005E-3</v>
      </c>
      <c r="S577" s="8">
        <f t="shared" si="42"/>
        <v>9.5433672358080006</v>
      </c>
      <c r="T577" s="7">
        <f>IFERROR(_xlfn.XLOOKUP($A577,'Base SKUs'!$E:$E,'Base SKUs'!R:R),"")</f>
        <v>1937.2619999999999</v>
      </c>
      <c r="U577" s="15">
        <f t="shared" si="43"/>
        <v>18488</v>
      </c>
      <c r="V577" t="str">
        <f t="shared" si="44"/>
        <v>New York</v>
      </c>
    </row>
    <row r="578" spans="1:22" x14ac:dyDescent="0.2">
      <c r="A578" t="s">
        <v>851</v>
      </c>
      <c r="B578" s="5">
        <v>25</v>
      </c>
      <c r="C578" s="5">
        <v>0</v>
      </c>
      <c r="D578" s="5">
        <f t="shared" ref="D578:D641" si="45">B578-C578</f>
        <v>25</v>
      </c>
      <c r="E578" s="6">
        <v>31.818300000000001</v>
      </c>
      <c r="F578" s="6">
        <f t="shared" ref="F578:F641" si="46">B578*E578</f>
        <v>795.45749999999998</v>
      </c>
      <c r="G578" t="s">
        <v>17</v>
      </c>
      <c r="H578">
        <v>9007</v>
      </c>
      <c r="I578" t="str">
        <f>IFERROR(_xlfn.XLOOKUP($A578,'Base SKUs'!$E:$E,'Base SKUs'!A:A),"")</f>
        <v>Ipe</v>
      </c>
      <c r="J578" t="str">
        <f>IFERROR(_xlfn.XLOOKUP($A578,'Base SKUs'!$E:$E,'Base SKUs'!B:B),"")</f>
        <v>Ipe 1x6</v>
      </c>
      <c r="K578" t="str">
        <f>IFERROR(_xlfn.XLOOKUP($A578,'Base SKUs'!$E:$E,'Base SKUs'!C:C),"")</f>
        <v>Long</v>
      </c>
      <c r="L578" t="str">
        <f>IFERROR(_xlfn.XLOOKUP($A578,'Base SKUs'!$E:$E,'Base SKUs'!D:D),"")</f>
        <v>Hardwoods</v>
      </c>
      <c r="M578" t="str">
        <f>IFERROR(_xlfn.XLOOKUP($A578,'Base SKUs'!$E:$E,'Base SKUs'!G:G),"")</f>
        <v>Ipe</v>
      </c>
      <c r="N578" t="str">
        <f>IFERROR(_xlfn.XLOOKUP($A578,'Base SKUs'!$E:$E,'Base SKUs'!H:H),"")</f>
        <v>S4S E4E</v>
      </c>
      <c r="O578" t="str">
        <f>IFERROR(_xlfn.XLOOKUP($A578,'Base SKUs'!$E:$E,'Base SKUs'!I:I),"")</f>
        <v>-</v>
      </c>
      <c r="P578" t="str">
        <f>IFERROR(_xlfn.XLOOKUP($A578,'Base SKUs'!$E:$E,'Base SKUs'!J:J),"")</f>
        <v>1x6</v>
      </c>
      <c r="Q578">
        <f>IFERROR(_xlfn.XLOOKUP($A578,'Base SKUs'!$E:$E,'Base SKUs'!K:K),"")</f>
        <v>10</v>
      </c>
      <c r="R578" s="7">
        <f>IFERROR(_xlfn.XLOOKUP($A578,'Base SKUs'!$E:$E,'Base SKUs'!S:S),"")</f>
        <v>8.1115966799999994E-3</v>
      </c>
      <c r="S578" s="8">
        <f t="shared" ref="S578:S641" si="47">IF(OR(L578="Saicos",L578="Oil",L578="US4",L578="Wood Table",L578="Woca",L578="Norx",N578="Tiles"),D578,D578*R578)</f>
        <v>0.20278991699999999</v>
      </c>
      <c r="T578" s="7">
        <f>IFERROR(_xlfn.XLOOKUP($A578,'Base SKUs'!$E:$E,'Base SKUs'!R:R),"")</f>
        <v>1232.8030000000001</v>
      </c>
      <c r="U578" s="15">
        <f t="shared" ref="U578:U641" si="48">ROUND(IF(OR(L578="Saicos",L578="Oil",L578="US4",L578="Wood Table",L578="Woca",L578="Norx",N578="Tiles"),D578,S578*T578),0)</f>
        <v>250</v>
      </c>
      <c r="V578" t="str">
        <f t="shared" ref="V578:V641" si="49">IF(H578=9007,"Miami",IF(H578=9008,"Texas",IF(H578=9009,"Boston",IF(H578=9010,"BS Detroit",IF(H578=9011,"New York",IF(H578=9012,"HW Perris",IF(H578=9013,"BS Riverside",IF(H578=9014,"On the Way",IF(H578=9015,"Russin",IF(H578=9016,"Palm Beach",""))))))))))</f>
        <v>Miami</v>
      </c>
    </row>
    <row r="579" spans="1:22" x14ac:dyDescent="0.2">
      <c r="A579" t="s">
        <v>851</v>
      </c>
      <c r="B579" s="5">
        <v>397</v>
      </c>
      <c r="C579" s="5">
        <v>0</v>
      </c>
      <c r="D579" s="5">
        <f t="shared" si="45"/>
        <v>397</v>
      </c>
      <c r="E579" s="6">
        <v>28.897300000000001</v>
      </c>
      <c r="F579" s="6">
        <f t="shared" si="46"/>
        <v>11472.2281</v>
      </c>
      <c r="G579" t="s">
        <v>24</v>
      </c>
      <c r="H579">
        <v>9008</v>
      </c>
      <c r="I579" t="str">
        <f>IFERROR(_xlfn.XLOOKUP($A579,'Base SKUs'!$E:$E,'Base SKUs'!A:A),"")</f>
        <v>Ipe</v>
      </c>
      <c r="J579" t="str">
        <f>IFERROR(_xlfn.XLOOKUP($A579,'Base SKUs'!$E:$E,'Base SKUs'!B:B),"")</f>
        <v>Ipe 1x6</v>
      </c>
      <c r="K579" t="str">
        <f>IFERROR(_xlfn.XLOOKUP($A579,'Base SKUs'!$E:$E,'Base SKUs'!C:C),"")</f>
        <v>Long</v>
      </c>
      <c r="L579" t="str">
        <f>IFERROR(_xlfn.XLOOKUP($A579,'Base SKUs'!$E:$E,'Base SKUs'!D:D),"")</f>
        <v>Hardwoods</v>
      </c>
      <c r="M579" t="str">
        <f>IFERROR(_xlfn.XLOOKUP($A579,'Base SKUs'!$E:$E,'Base SKUs'!G:G),"")</f>
        <v>Ipe</v>
      </c>
      <c r="N579" t="str">
        <f>IFERROR(_xlfn.XLOOKUP($A579,'Base SKUs'!$E:$E,'Base SKUs'!H:H),"")</f>
        <v>S4S E4E</v>
      </c>
      <c r="O579" t="str">
        <f>IFERROR(_xlfn.XLOOKUP($A579,'Base SKUs'!$E:$E,'Base SKUs'!I:I),"")</f>
        <v>-</v>
      </c>
      <c r="P579" t="str">
        <f>IFERROR(_xlfn.XLOOKUP($A579,'Base SKUs'!$E:$E,'Base SKUs'!J:J),"")</f>
        <v>1x6</v>
      </c>
      <c r="Q579">
        <f>IFERROR(_xlfn.XLOOKUP($A579,'Base SKUs'!$E:$E,'Base SKUs'!K:K),"")</f>
        <v>10</v>
      </c>
      <c r="R579" s="7">
        <f>IFERROR(_xlfn.XLOOKUP($A579,'Base SKUs'!$E:$E,'Base SKUs'!S:S),"")</f>
        <v>8.1115966799999994E-3</v>
      </c>
      <c r="S579" s="8">
        <f t="shared" si="47"/>
        <v>3.2203038819599996</v>
      </c>
      <c r="T579" s="7">
        <f>IFERROR(_xlfn.XLOOKUP($A579,'Base SKUs'!$E:$E,'Base SKUs'!R:R),"")</f>
        <v>1232.8030000000001</v>
      </c>
      <c r="U579" s="15">
        <f t="shared" si="48"/>
        <v>3970</v>
      </c>
      <c r="V579" t="str">
        <f t="shared" si="49"/>
        <v>Texas</v>
      </c>
    </row>
    <row r="580" spans="1:22" x14ac:dyDescent="0.2">
      <c r="A580" t="s">
        <v>851</v>
      </c>
      <c r="B580" s="5">
        <v>1691</v>
      </c>
      <c r="C580" s="5">
        <v>0</v>
      </c>
      <c r="D580" s="5">
        <f t="shared" si="45"/>
        <v>1691</v>
      </c>
      <c r="E580" s="6">
        <v>31.3035</v>
      </c>
      <c r="F580" s="6">
        <f t="shared" si="46"/>
        <v>52934.218500000003</v>
      </c>
      <c r="G580" t="s">
        <v>330</v>
      </c>
      <c r="H580">
        <v>9011</v>
      </c>
      <c r="I580" t="str">
        <f>IFERROR(_xlfn.XLOOKUP($A580,'Base SKUs'!$E:$E,'Base SKUs'!A:A),"")</f>
        <v>Ipe</v>
      </c>
      <c r="J580" t="str">
        <f>IFERROR(_xlfn.XLOOKUP($A580,'Base SKUs'!$E:$E,'Base SKUs'!B:B),"")</f>
        <v>Ipe 1x6</v>
      </c>
      <c r="K580" t="str">
        <f>IFERROR(_xlfn.XLOOKUP($A580,'Base SKUs'!$E:$E,'Base SKUs'!C:C),"")</f>
        <v>Long</v>
      </c>
      <c r="L580" t="str">
        <f>IFERROR(_xlfn.XLOOKUP($A580,'Base SKUs'!$E:$E,'Base SKUs'!D:D),"")</f>
        <v>Hardwoods</v>
      </c>
      <c r="M580" t="str">
        <f>IFERROR(_xlfn.XLOOKUP($A580,'Base SKUs'!$E:$E,'Base SKUs'!G:G),"")</f>
        <v>Ipe</v>
      </c>
      <c r="N580" t="str">
        <f>IFERROR(_xlfn.XLOOKUP($A580,'Base SKUs'!$E:$E,'Base SKUs'!H:H),"")</f>
        <v>S4S E4E</v>
      </c>
      <c r="O580" t="str">
        <f>IFERROR(_xlfn.XLOOKUP($A580,'Base SKUs'!$E:$E,'Base SKUs'!I:I),"")</f>
        <v>-</v>
      </c>
      <c r="P580" t="str">
        <f>IFERROR(_xlfn.XLOOKUP($A580,'Base SKUs'!$E:$E,'Base SKUs'!J:J),"")</f>
        <v>1x6</v>
      </c>
      <c r="Q580">
        <f>IFERROR(_xlfn.XLOOKUP($A580,'Base SKUs'!$E:$E,'Base SKUs'!K:K),"")</f>
        <v>10</v>
      </c>
      <c r="R580" s="7">
        <f>IFERROR(_xlfn.XLOOKUP($A580,'Base SKUs'!$E:$E,'Base SKUs'!S:S),"")</f>
        <v>8.1115966799999994E-3</v>
      </c>
      <c r="S580" s="8">
        <f t="shared" si="47"/>
        <v>13.71670998588</v>
      </c>
      <c r="T580" s="7">
        <f>IFERROR(_xlfn.XLOOKUP($A580,'Base SKUs'!$E:$E,'Base SKUs'!R:R),"")</f>
        <v>1232.8030000000001</v>
      </c>
      <c r="U580" s="15">
        <f t="shared" si="48"/>
        <v>16910</v>
      </c>
      <c r="V580" t="str">
        <f t="shared" si="49"/>
        <v>New York</v>
      </c>
    </row>
    <row r="581" spans="1:22" x14ac:dyDescent="0.2">
      <c r="A581" t="s">
        <v>853</v>
      </c>
      <c r="B581" s="5">
        <v>148</v>
      </c>
      <c r="C581" s="5">
        <v>0</v>
      </c>
      <c r="D581" s="5">
        <f t="shared" si="45"/>
        <v>148</v>
      </c>
      <c r="E581" s="6">
        <v>39.678100000000001</v>
      </c>
      <c r="F581" s="6">
        <f t="shared" si="46"/>
        <v>5872.3588</v>
      </c>
      <c r="G581" t="s">
        <v>17</v>
      </c>
      <c r="H581">
        <v>9007</v>
      </c>
      <c r="I581" t="str">
        <f>IFERROR(_xlfn.XLOOKUP($A581,'Base SKUs'!$E:$E,'Base SKUs'!A:A),"")</f>
        <v>Ipe</v>
      </c>
      <c r="J581" t="str">
        <f>IFERROR(_xlfn.XLOOKUP($A581,'Base SKUs'!$E:$E,'Base SKUs'!B:B),"")</f>
        <v>Ipe 1x6</v>
      </c>
      <c r="K581" t="str">
        <f>IFERROR(_xlfn.XLOOKUP($A581,'Base SKUs'!$E:$E,'Base SKUs'!C:C),"")</f>
        <v>Long</v>
      </c>
      <c r="L581" t="str">
        <f>IFERROR(_xlfn.XLOOKUP($A581,'Base SKUs'!$E:$E,'Base SKUs'!D:D),"")</f>
        <v>Hardwoods</v>
      </c>
      <c r="M581" t="str">
        <f>IFERROR(_xlfn.XLOOKUP($A581,'Base SKUs'!$E:$E,'Base SKUs'!G:G),"")</f>
        <v>Ipe</v>
      </c>
      <c r="N581" t="str">
        <f>IFERROR(_xlfn.XLOOKUP($A581,'Base SKUs'!$E:$E,'Base SKUs'!H:H),"")</f>
        <v>S4S E4E</v>
      </c>
      <c r="O581" t="str">
        <f>IFERROR(_xlfn.XLOOKUP($A581,'Base SKUs'!$E:$E,'Base SKUs'!I:I),"")</f>
        <v>-</v>
      </c>
      <c r="P581" t="str">
        <f>IFERROR(_xlfn.XLOOKUP($A581,'Base SKUs'!$E:$E,'Base SKUs'!J:J),"")</f>
        <v>1x6</v>
      </c>
      <c r="Q581">
        <f>IFERROR(_xlfn.XLOOKUP($A581,'Base SKUs'!$E:$E,'Base SKUs'!K:K),"")</f>
        <v>12</v>
      </c>
      <c r="R581" s="7">
        <f>IFERROR(_xlfn.XLOOKUP($A581,'Base SKUs'!$E:$E,'Base SKUs'!S:S),"")</f>
        <v>9.7339160159999986E-3</v>
      </c>
      <c r="S581" s="8">
        <f t="shared" si="47"/>
        <v>1.4406195703679998</v>
      </c>
      <c r="T581" s="7">
        <f>IFERROR(_xlfn.XLOOKUP($A581,'Base SKUs'!$E:$E,'Base SKUs'!R:R),"")</f>
        <v>1232.8030000000001</v>
      </c>
      <c r="U581" s="15">
        <f t="shared" si="48"/>
        <v>1776</v>
      </c>
      <c r="V581" t="str">
        <f t="shared" si="49"/>
        <v>Miami</v>
      </c>
    </row>
    <row r="582" spans="1:22" x14ac:dyDescent="0.2">
      <c r="A582" t="s">
        <v>853</v>
      </c>
      <c r="B582" s="5">
        <v>164</v>
      </c>
      <c r="C582" s="5">
        <v>0</v>
      </c>
      <c r="D582" s="5">
        <f t="shared" si="45"/>
        <v>164</v>
      </c>
      <c r="E582" s="6">
        <v>38.371899999999997</v>
      </c>
      <c r="F582" s="6">
        <f t="shared" si="46"/>
        <v>6292.9915999999994</v>
      </c>
      <c r="G582" t="s">
        <v>24</v>
      </c>
      <c r="H582">
        <v>9008</v>
      </c>
      <c r="I582" t="str">
        <f>IFERROR(_xlfn.XLOOKUP($A582,'Base SKUs'!$E:$E,'Base SKUs'!A:A),"")</f>
        <v>Ipe</v>
      </c>
      <c r="J582" t="str">
        <f>IFERROR(_xlfn.XLOOKUP($A582,'Base SKUs'!$E:$E,'Base SKUs'!B:B),"")</f>
        <v>Ipe 1x6</v>
      </c>
      <c r="K582" t="str">
        <f>IFERROR(_xlfn.XLOOKUP($A582,'Base SKUs'!$E:$E,'Base SKUs'!C:C),"")</f>
        <v>Long</v>
      </c>
      <c r="L582" t="str">
        <f>IFERROR(_xlfn.XLOOKUP($A582,'Base SKUs'!$E:$E,'Base SKUs'!D:D),"")</f>
        <v>Hardwoods</v>
      </c>
      <c r="M582" t="str">
        <f>IFERROR(_xlfn.XLOOKUP($A582,'Base SKUs'!$E:$E,'Base SKUs'!G:G),"")</f>
        <v>Ipe</v>
      </c>
      <c r="N582" t="str">
        <f>IFERROR(_xlfn.XLOOKUP($A582,'Base SKUs'!$E:$E,'Base SKUs'!H:H),"")</f>
        <v>S4S E4E</v>
      </c>
      <c r="O582" t="str">
        <f>IFERROR(_xlfn.XLOOKUP($A582,'Base SKUs'!$E:$E,'Base SKUs'!I:I),"")</f>
        <v>-</v>
      </c>
      <c r="P582" t="str">
        <f>IFERROR(_xlfn.XLOOKUP($A582,'Base SKUs'!$E:$E,'Base SKUs'!J:J),"")</f>
        <v>1x6</v>
      </c>
      <c r="Q582">
        <f>IFERROR(_xlfn.XLOOKUP($A582,'Base SKUs'!$E:$E,'Base SKUs'!K:K),"")</f>
        <v>12</v>
      </c>
      <c r="R582" s="7">
        <f>IFERROR(_xlfn.XLOOKUP($A582,'Base SKUs'!$E:$E,'Base SKUs'!S:S),"")</f>
        <v>9.7339160159999986E-3</v>
      </c>
      <c r="S582" s="8">
        <f t="shared" si="47"/>
        <v>1.5963622266239998</v>
      </c>
      <c r="T582" s="7">
        <f>IFERROR(_xlfn.XLOOKUP($A582,'Base SKUs'!$E:$E,'Base SKUs'!R:R),"")</f>
        <v>1232.8030000000001</v>
      </c>
      <c r="U582" s="15">
        <f t="shared" si="48"/>
        <v>1968</v>
      </c>
      <c r="V582" t="str">
        <f t="shared" si="49"/>
        <v>Texas</v>
      </c>
    </row>
    <row r="583" spans="1:22" x14ac:dyDescent="0.2">
      <c r="A583" t="s">
        <v>853</v>
      </c>
      <c r="B583" s="5">
        <v>590</v>
      </c>
      <c r="C583" s="5">
        <v>0</v>
      </c>
      <c r="D583" s="5">
        <f t="shared" si="45"/>
        <v>590</v>
      </c>
      <c r="E583" s="6">
        <v>39.798400000000001</v>
      </c>
      <c r="F583" s="6">
        <f t="shared" si="46"/>
        <v>23481.056</v>
      </c>
      <c r="G583" t="s">
        <v>330</v>
      </c>
      <c r="H583">
        <v>9011</v>
      </c>
      <c r="I583" t="str">
        <f>IFERROR(_xlfn.XLOOKUP($A583,'Base SKUs'!$E:$E,'Base SKUs'!A:A),"")</f>
        <v>Ipe</v>
      </c>
      <c r="J583" t="str">
        <f>IFERROR(_xlfn.XLOOKUP($A583,'Base SKUs'!$E:$E,'Base SKUs'!B:B),"")</f>
        <v>Ipe 1x6</v>
      </c>
      <c r="K583" t="str">
        <f>IFERROR(_xlfn.XLOOKUP($A583,'Base SKUs'!$E:$E,'Base SKUs'!C:C),"")</f>
        <v>Long</v>
      </c>
      <c r="L583" t="str">
        <f>IFERROR(_xlfn.XLOOKUP($A583,'Base SKUs'!$E:$E,'Base SKUs'!D:D),"")</f>
        <v>Hardwoods</v>
      </c>
      <c r="M583" t="str">
        <f>IFERROR(_xlfn.XLOOKUP($A583,'Base SKUs'!$E:$E,'Base SKUs'!G:G),"")</f>
        <v>Ipe</v>
      </c>
      <c r="N583" t="str">
        <f>IFERROR(_xlfn.XLOOKUP($A583,'Base SKUs'!$E:$E,'Base SKUs'!H:H),"")</f>
        <v>S4S E4E</v>
      </c>
      <c r="O583" t="str">
        <f>IFERROR(_xlfn.XLOOKUP($A583,'Base SKUs'!$E:$E,'Base SKUs'!I:I),"")</f>
        <v>-</v>
      </c>
      <c r="P583" t="str">
        <f>IFERROR(_xlfn.XLOOKUP($A583,'Base SKUs'!$E:$E,'Base SKUs'!J:J),"")</f>
        <v>1x6</v>
      </c>
      <c r="Q583">
        <f>IFERROR(_xlfn.XLOOKUP($A583,'Base SKUs'!$E:$E,'Base SKUs'!K:K),"")</f>
        <v>12</v>
      </c>
      <c r="R583" s="7">
        <f>IFERROR(_xlfn.XLOOKUP($A583,'Base SKUs'!$E:$E,'Base SKUs'!S:S),"")</f>
        <v>9.7339160159999986E-3</v>
      </c>
      <c r="S583" s="8">
        <f t="shared" si="47"/>
        <v>5.7430104494399989</v>
      </c>
      <c r="T583" s="7">
        <f>IFERROR(_xlfn.XLOOKUP($A583,'Base SKUs'!$E:$E,'Base SKUs'!R:R),"")</f>
        <v>1232.8030000000001</v>
      </c>
      <c r="U583" s="15">
        <f t="shared" si="48"/>
        <v>7080</v>
      </c>
      <c r="V583" t="str">
        <f t="shared" si="49"/>
        <v>New York</v>
      </c>
    </row>
    <row r="584" spans="1:22" x14ac:dyDescent="0.2">
      <c r="A584" t="s">
        <v>855</v>
      </c>
      <c r="B584" s="5">
        <v>14</v>
      </c>
      <c r="C584" s="5">
        <v>0</v>
      </c>
      <c r="D584" s="5">
        <f t="shared" si="45"/>
        <v>14</v>
      </c>
      <c r="E584" s="6">
        <v>45.129600000000003</v>
      </c>
      <c r="F584" s="6">
        <f t="shared" si="46"/>
        <v>631.81440000000009</v>
      </c>
      <c r="G584" t="s">
        <v>24</v>
      </c>
      <c r="H584">
        <v>9008</v>
      </c>
      <c r="I584" t="str">
        <f>IFERROR(_xlfn.XLOOKUP($A584,'Base SKUs'!$E:$E,'Base SKUs'!A:A),"")</f>
        <v>Ipe</v>
      </c>
      <c r="J584" t="str">
        <f>IFERROR(_xlfn.XLOOKUP($A584,'Base SKUs'!$E:$E,'Base SKUs'!B:B),"")</f>
        <v>Ipe 1x6</v>
      </c>
      <c r="K584" t="str">
        <f>IFERROR(_xlfn.XLOOKUP($A584,'Base SKUs'!$E:$E,'Base SKUs'!C:C),"")</f>
        <v>Long</v>
      </c>
      <c r="L584" t="str">
        <f>IFERROR(_xlfn.XLOOKUP($A584,'Base SKUs'!$E:$E,'Base SKUs'!D:D),"")</f>
        <v>Hardwoods</v>
      </c>
      <c r="M584" t="str">
        <f>IFERROR(_xlfn.XLOOKUP($A584,'Base SKUs'!$E:$E,'Base SKUs'!G:G),"")</f>
        <v>Ipe</v>
      </c>
      <c r="N584" t="str">
        <f>IFERROR(_xlfn.XLOOKUP($A584,'Base SKUs'!$E:$E,'Base SKUs'!H:H),"")</f>
        <v>S4S E4E</v>
      </c>
      <c r="O584" t="str">
        <f>IFERROR(_xlfn.XLOOKUP($A584,'Base SKUs'!$E:$E,'Base SKUs'!I:I),"")</f>
        <v>-</v>
      </c>
      <c r="P584" t="str">
        <f>IFERROR(_xlfn.XLOOKUP($A584,'Base SKUs'!$E:$E,'Base SKUs'!J:J),"")</f>
        <v>1x6</v>
      </c>
      <c r="Q584">
        <f>IFERROR(_xlfn.XLOOKUP($A584,'Base SKUs'!$E:$E,'Base SKUs'!K:K),"")</f>
        <v>14</v>
      </c>
      <c r="R584" s="7">
        <f>IFERROR(_xlfn.XLOOKUP($A584,'Base SKUs'!$E:$E,'Base SKUs'!S:S),"")</f>
        <v>1.1356235352E-2</v>
      </c>
      <c r="S584" s="8">
        <f t="shared" si="47"/>
        <v>0.15898729492799998</v>
      </c>
      <c r="T584" s="7">
        <f>IFERROR(_xlfn.XLOOKUP($A584,'Base SKUs'!$E:$E,'Base SKUs'!R:R),"")</f>
        <v>1232.8030000000001</v>
      </c>
      <c r="U584" s="15">
        <f t="shared" si="48"/>
        <v>196</v>
      </c>
      <c r="V584" t="str">
        <f t="shared" si="49"/>
        <v>Texas</v>
      </c>
    </row>
    <row r="585" spans="1:22" x14ac:dyDescent="0.2">
      <c r="A585" t="s">
        <v>855</v>
      </c>
      <c r="B585" s="5">
        <v>355</v>
      </c>
      <c r="C585" s="5">
        <v>355</v>
      </c>
      <c r="D585" s="5">
        <f t="shared" si="45"/>
        <v>0</v>
      </c>
      <c r="E585" s="6">
        <v>46.930100000000003</v>
      </c>
      <c r="F585" s="6">
        <f t="shared" si="46"/>
        <v>16660.1855</v>
      </c>
      <c r="G585" t="s">
        <v>330</v>
      </c>
      <c r="H585">
        <v>9011</v>
      </c>
      <c r="I585" t="str">
        <f>IFERROR(_xlfn.XLOOKUP($A585,'Base SKUs'!$E:$E,'Base SKUs'!A:A),"")</f>
        <v>Ipe</v>
      </c>
      <c r="J585" t="str">
        <f>IFERROR(_xlfn.XLOOKUP($A585,'Base SKUs'!$E:$E,'Base SKUs'!B:B),"")</f>
        <v>Ipe 1x6</v>
      </c>
      <c r="K585" t="str">
        <f>IFERROR(_xlfn.XLOOKUP($A585,'Base SKUs'!$E:$E,'Base SKUs'!C:C),"")</f>
        <v>Long</v>
      </c>
      <c r="L585" t="str">
        <f>IFERROR(_xlfn.XLOOKUP($A585,'Base SKUs'!$E:$E,'Base SKUs'!D:D),"")</f>
        <v>Hardwoods</v>
      </c>
      <c r="M585" t="str">
        <f>IFERROR(_xlfn.XLOOKUP($A585,'Base SKUs'!$E:$E,'Base SKUs'!G:G),"")</f>
        <v>Ipe</v>
      </c>
      <c r="N585" t="str">
        <f>IFERROR(_xlfn.XLOOKUP($A585,'Base SKUs'!$E:$E,'Base SKUs'!H:H),"")</f>
        <v>S4S E4E</v>
      </c>
      <c r="O585" t="str">
        <f>IFERROR(_xlfn.XLOOKUP($A585,'Base SKUs'!$E:$E,'Base SKUs'!I:I),"")</f>
        <v>-</v>
      </c>
      <c r="P585" t="str">
        <f>IFERROR(_xlfn.XLOOKUP($A585,'Base SKUs'!$E:$E,'Base SKUs'!J:J),"")</f>
        <v>1x6</v>
      </c>
      <c r="Q585">
        <f>IFERROR(_xlfn.XLOOKUP($A585,'Base SKUs'!$E:$E,'Base SKUs'!K:K),"")</f>
        <v>14</v>
      </c>
      <c r="R585" s="7">
        <f>IFERROR(_xlfn.XLOOKUP($A585,'Base SKUs'!$E:$E,'Base SKUs'!S:S),"")</f>
        <v>1.1356235352E-2</v>
      </c>
      <c r="S585" s="8">
        <f t="shared" si="47"/>
        <v>0</v>
      </c>
      <c r="T585" s="7">
        <f>IFERROR(_xlfn.XLOOKUP($A585,'Base SKUs'!$E:$E,'Base SKUs'!R:R),"")</f>
        <v>1232.8030000000001</v>
      </c>
      <c r="U585" s="15">
        <f t="shared" si="48"/>
        <v>0</v>
      </c>
      <c r="V585" t="str">
        <f t="shared" si="49"/>
        <v>New York</v>
      </c>
    </row>
    <row r="586" spans="1:22" x14ac:dyDescent="0.2">
      <c r="A586" t="s">
        <v>857</v>
      </c>
      <c r="B586" s="5">
        <v>27</v>
      </c>
      <c r="C586" s="5">
        <v>0</v>
      </c>
      <c r="D586" s="5">
        <f t="shared" si="45"/>
        <v>27</v>
      </c>
      <c r="E586" s="6">
        <v>52.144199999999998</v>
      </c>
      <c r="F586" s="6">
        <f t="shared" si="46"/>
        <v>1407.8933999999999</v>
      </c>
      <c r="G586" t="s">
        <v>17</v>
      </c>
      <c r="H586">
        <v>9007</v>
      </c>
      <c r="I586" t="str">
        <f>IFERROR(_xlfn.XLOOKUP($A586,'Base SKUs'!$E:$E,'Base SKUs'!A:A),"")</f>
        <v>Ipe</v>
      </c>
      <c r="J586" t="str">
        <f>IFERROR(_xlfn.XLOOKUP($A586,'Base SKUs'!$E:$E,'Base SKUs'!B:B),"")</f>
        <v>Ipe 1x6</v>
      </c>
      <c r="K586" t="str">
        <f>IFERROR(_xlfn.XLOOKUP($A586,'Base SKUs'!$E:$E,'Base SKUs'!C:C),"")</f>
        <v>Long</v>
      </c>
      <c r="L586" t="str">
        <f>IFERROR(_xlfn.XLOOKUP($A586,'Base SKUs'!$E:$E,'Base SKUs'!D:D),"")</f>
        <v>Hardwoods</v>
      </c>
      <c r="M586" t="str">
        <f>IFERROR(_xlfn.XLOOKUP($A586,'Base SKUs'!$E:$E,'Base SKUs'!G:G),"")</f>
        <v>Ipe</v>
      </c>
      <c r="N586" t="str">
        <f>IFERROR(_xlfn.XLOOKUP($A586,'Base SKUs'!$E:$E,'Base SKUs'!H:H),"")</f>
        <v>S4S E4E</v>
      </c>
      <c r="O586" t="str">
        <f>IFERROR(_xlfn.XLOOKUP($A586,'Base SKUs'!$E:$E,'Base SKUs'!I:I),"")</f>
        <v>-</v>
      </c>
      <c r="P586" t="str">
        <f>IFERROR(_xlfn.XLOOKUP($A586,'Base SKUs'!$E:$E,'Base SKUs'!J:J),"")</f>
        <v>1x6</v>
      </c>
      <c r="Q586">
        <f>IFERROR(_xlfn.XLOOKUP($A586,'Base SKUs'!$E:$E,'Base SKUs'!K:K),"")</f>
        <v>16</v>
      </c>
      <c r="R586" s="7">
        <f>IFERROR(_xlfn.XLOOKUP($A586,'Base SKUs'!$E:$E,'Base SKUs'!S:S),"")</f>
        <v>1.2978554687999999E-2</v>
      </c>
      <c r="S586" s="8">
        <f t="shared" si="47"/>
        <v>0.35042097657599997</v>
      </c>
      <c r="T586" s="7">
        <f>IFERROR(_xlfn.XLOOKUP($A586,'Base SKUs'!$E:$E,'Base SKUs'!R:R),"")</f>
        <v>1232.8030000000001</v>
      </c>
      <c r="U586" s="15">
        <f t="shared" si="48"/>
        <v>432</v>
      </c>
      <c r="V586" t="str">
        <f t="shared" si="49"/>
        <v>Miami</v>
      </c>
    </row>
    <row r="587" spans="1:22" x14ac:dyDescent="0.2">
      <c r="A587" t="s">
        <v>857</v>
      </c>
      <c r="B587" s="5">
        <v>1</v>
      </c>
      <c r="C587" s="5">
        <v>0</v>
      </c>
      <c r="D587" s="5">
        <f t="shared" si="45"/>
        <v>1</v>
      </c>
      <c r="E587" s="6">
        <v>50.2483</v>
      </c>
      <c r="F587" s="6">
        <f t="shared" si="46"/>
        <v>50.2483</v>
      </c>
      <c r="G587" t="s">
        <v>24</v>
      </c>
      <c r="H587">
        <v>9008</v>
      </c>
      <c r="I587" t="str">
        <f>IFERROR(_xlfn.XLOOKUP($A587,'Base SKUs'!$E:$E,'Base SKUs'!A:A),"")</f>
        <v>Ipe</v>
      </c>
      <c r="J587" t="str">
        <f>IFERROR(_xlfn.XLOOKUP($A587,'Base SKUs'!$E:$E,'Base SKUs'!B:B),"")</f>
        <v>Ipe 1x6</v>
      </c>
      <c r="K587" t="str">
        <f>IFERROR(_xlfn.XLOOKUP($A587,'Base SKUs'!$E:$E,'Base SKUs'!C:C),"")</f>
        <v>Long</v>
      </c>
      <c r="L587" t="str">
        <f>IFERROR(_xlfn.XLOOKUP($A587,'Base SKUs'!$E:$E,'Base SKUs'!D:D),"")</f>
        <v>Hardwoods</v>
      </c>
      <c r="M587" t="str">
        <f>IFERROR(_xlfn.XLOOKUP($A587,'Base SKUs'!$E:$E,'Base SKUs'!G:G),"")</f>
        <v>Ipe</v>
      </c>
      <c r="N587" t="str">
        <f>IFERROR(_xlfn.XLOOKUP($A587,'Base SKUs'!$E:$E,'Base SKUs'!H:H),"")</f>
        <v>S4S E4E</v>
      </c>
      <c r="O587" t="str">
        <f>IFERROR(_xlfn.XLOOKUP($A587,'Base SKUs'!$E:$E,'Base SKUs'!I:I),"")</f>
        <v>-</v>
      </c>
      <c r="P587" t="str">
        <f>IFERROR(_xlfn.XLOOKUP($A587,'Base SKUs'!$E:$E,'Base SKUs'!J:J),"")</f>
        <v>1x6</v>
      </c>
      <c r="Q587">
        <f>IFERROR(_xlfn.XLOOKUP($A587,'Base SKUs'!$E:$E,'Base SKUs'!K:K),"")</f>
        <v>16</v>
      </c>
      <c r="R587" s="7">
        <f>IFERROR(_xlfn.XLOOKUP($A587,'Base SKUs'!$E:$E,'Base SKUs'!S:S),"")</f>
        <v>1.2978554687999999E-2</v>
      </c>
      <c r="S587" s="8">
        <f t="shared" si="47"/>
        <v>1.2978554687999999E-2</v>
      </c>
      <c r="T587" s="7">
        <f>IFERROR(_xlfn.XLOOKUP($A587,'Base SKUs'!$E:$E,'Base SKUs'!R:R),"")</f>
        <v>1232.8030000000001</v>
      </c>
      <c r="U587" s="15">
        <f t="shared" si="48"/>
        <v>16</v>
      </c>
      <c r="V587" t="str">
        <f t="shared" si="49"/>
        <v>Texas</v>
      </c>
    </row>
    <row r="588" spans="1:22" x14ac:dyDescent="0.2">
      <c r="A588" t="s">
        <v>857</v>
      </c>
      <c r="B588" s="5">
        <v>385</v>
      </c>
      <c r="C588" s="5">
        <v>369</v>
      </c>
      <c r="D588" s="5">
        <f t="shared" si="45"/>
        <v>16</v>
      </c>
      <c r="E588" s="6">
        <v>48.900500000000001</v>
      </c>
      <c r="F588" s="6">
        <f t="shared" si="46"/>
        <v>18826.692500000001</v>
      </c>
      <c r="G588" t="s">
        <v>330</v>
      </c>
      <c r="H588">
        <v>9011</v>
      </c>
      <c r="I588" t="str">
        <f>IFERROR(_xlfn.XLOOKUP($A588,'Base SKUs'!$E:$E,'Base SKUs'!A:A),"")</f>
        <v>Ipe</v>
      </c>
      <c r="J588" t="str">
        <f>IFERROR(_xlfn.XLOOKUP($A588,'Base SKUs'!$E:$E,'Base SKUs'!B:B),"")</f>
        <v>Ipe 1x6</v>
      </c>
      <c r="K588" t="str">
        <f>IFERROR(_xlfn.XLOOKUP($A588,'Base SKUs'!$E:$E,'Base SKUs'!C:C),"")</f>
        <v>Long</v>
      </c>
      <c r="L588" t="str">
        <f>IFERROR(_xlfn.XLOOKUP($A588,'Base SKUs'!$E:$E,'Base SKUs'!D:D),"")</f>
        <v>Hardwoods</v>
      </c>
      <c r="M588" t="str">
        <f>IFERROR(_xlfn.XLOOKUP($A588,'Base SKUs'!$E:$E,'Base SKUs'!G:G),"")</f>
        <v>Ipe</v>
      </c>
      <c r="N588" t="str">
        <f>IFERROR(_xlfn.XLOOKUP($A588,'Base SKUs'!$E:$E,'Base SKUs'!H:H),"")</f>
        <v>S4S E4E</v>
      </c>
      <c r="O588" t="str">
        <f>IFERROR(_xlfn.XLOOKUP($A588,'Base SKUs'!$E:$E,'Base SKUs'!I:I),"")</f>
        <v>-</v>
      </c>
      <c r="P588" t="str">
        <f>IFERROR(_xlfn.XLOOKUP($A588,'Base SKUs'!$E:$E,'Base SKUs'!J:J),"")</f>
        <v>1x6</v>
      </c>
      <c r="Q588">
        <f>IFERROR(_xlfn.XLOOKUP($A588,'Base SKUs'!$E:$E,'Base SKUs'!K:K),"")</f>
        <v>16</v>
      </c>
      <c r="R588" s="7">
        <f>IFERROR(_xlfn.XLOOKUP($A588,'Base SKUs'!$E:$E,'Base SKUs'!S:S),"")</f>
        <v>1.2978554687999999E-2</v>
      </c>
      <c r="S588" s="8">
        <f t="shared" si="47"/>
        <v>0.20765687500799998</v>
      </c>
      <c r="T588" s="7">
        <f>IFERROR(_xlfn.XLOOKUP($A588,'Base SKUs'!$E:$E,'Base SKUs'!R:R),"")</f>
        <v>1232.8030000000001</v>
      </c>
      <c r="U588" s="15">
        <f t="shared" si="48"/>
        <v>256</v>
      </c>
      <c r="V588" t="str">
        <f t="shared" si="49"/>
        <v>New York</v>
      </c>
    </row>
    <row r="589" spans="1:22" x14ac:dyDescent="0.2">
      <c r="A589" t="s">
        <v>859</v>
      </c>
      <c r="B589" s="5">
        <v>63</v>
      </c>
      <c r="C589" s="5">
        <v>0</v>
      </c>
      <c r="D589" s="5">
        <f t="shared" si="45"/>
        <v>63</v>
      </c>
      <c r="E589" s="6">
        <v>58.4848</v>
      </c>
      <c r="F589" s="6">
        <f t="shared" si="46"/>
        <v>3684.5423999999998</v>
      </c>
      <c r="G589" t="s">
        <v>17</v>
      </c>
      <c r="H589">
        <v>9007</v>
      </c>
      <c r="I589" t="str">
        <f>IFERROR(_xlfn.XLOOKUP($A589,'Base SKUs'!$E:$E,'Base SKUs'!A:A),"")</f>
        <v>Ipe</v>
      </c>
      <c r="J589" t="str">
        <f>IFERROR(_xlfn.XLOOKUP($A589,'Base SKUs'!$E:$E,'Base SKUs'!B:B),"")</f>
        <v>Ipe 1x6</v>
      </c>
      <c r="K589" t="str">
        <f>IFERROR(_xlfn.XLOOKUP($A589,'Base SKUs'!$E:$E,'Base SKUs'!C:C),"")</f>
        <v>Long</v>
      </c>
      <c r="L589" t="str">
        <f>IFERROR(_xlfn.XLOOKUP($A589,'Base SKUs'!$E:$E,'Base SKUs'!D:D),"")</f>
        <v>Hardwoods</v>
      </c>
      <c r="M589" t="str">
        <f>IFERROR(_xlfn.XLOOKUP($A589,'Base SKUs'!$E:$E,'Base SKUs'!G:G),"")</f>
        <v>Ipe</v>
      </c>
      <c r="N589" t="str">
        <f>IFERROR(_xlfn.XLOOKUP($A589,'Base SKUs'!$E:$E,'Base SKUs'!H:H),"")</f>
        <v>S4S E4E</v>
      </c>
      <c r="O589" t="str">
        <f>IFERROR(_xlfn.XLOOKUP($A589,'Base SKUs'!$E:$E,'Base SKUs'!I:I),"")</f>
        <v>-</v>
      </c>
      <c r="P589" t="str">
        <f>IFERROR(_xlfn.XLOOKUP($A589,'Base SKUs'!$E:$E,'Base SKUs'!J:J),"")</f>
        <v>1x6</v>
      </c>
      <c r="Q589">
        <f>IFERROR(_xlfn.XLOOKUP($A589,'Base SKUs'!$E:$E,'Base SKUs'!K:K),"")</f>
        <v>18</v>
      </c>
      <c r="R589" s="7">
        <f>IFERROR(_xlfn.XLOOKUP($A589,'Base SKUs'!$E:$E,'Base SKUs'!S:S),"")</f>
        <v>1.4600874024E-2</v>
      </c>
      <c r="S589" s="8">
        <f t="shared" si="47"/>
        <v>0.91985506351199997</v>
      </c>
      <c r="T589" s="7">
        <f>IFERROR(_xlfn.XLOOKUP($A589,'Base SKUs'!$E:$E,'Base SKUs'!R:R),"")</f>
        <v>1232.8030000000001</v>
      </c>
      <c r="U589" s="15">
        <f t="shared" si="48"/>
        <v>1134</v>
      </c>
      <c r="V589" t="str">
        <f t="shared" si="49"/>
        <v>Miami</v>
      </c>
    </row>
    <row r="590" spans="1:22" x14ac:dyDescent="0.2">
      <c r="A590" t="s">
        <v>859</v>
      </c>
      <c r="B590" s="5">
        <v>38</v>
      </c>
      <c r="C590" s="5">
        <v>0</v>
      </c>
      <c r="D590" s="5">
        <f t="shared" si="45"/>
        <v>38</v>
      </c>
      <c r="E590" s="6">
        <v>56.130099999999999</v>
      </c>
      <c r="F590" s="6">
        <f t="shared" si="46"/>
        <v>2132.9438</v>
      </c>
      <c r="G590" t="s">
        <v>24</v>
      </c>
      <c r="H590">
        <v>9008</v>
      </c>
      <c r="I590" t="str">
        <f>IFERROR(_xlfn.XLOOKUP($A590,'Base SKUs'!$E:$E,'Base SKUs'!A:A),"")</f>
        <v>Ipe</v>
      </c>
      <c r="J590" t="str">
        <f>IFERROR(_xlfn.XLOOKUP($A590,'Base SKUs'!$E:$E,'Base SKUs'!B:B),"")</f>
        <v>Ipe 1x6</v>
      </c>
      <c r="K590" t="str">
        <f>IFERROR(_xlfn.XLOOKUP($A590,'Base SKUs'!$E:$E,'Base SKUs'!C:C),"")</f>
        <v>Long</v>
      </c>
      <c r="L590" t="str">
        <f>IFERROR(_xlfn.XLOOKUP($A590,'Base SKUs'!$E:$E,'Base SKUs'!D:D),"")</f>
        <v>Hardwoods</v>
      </c>
      <c r="M590" t="str">
        <f>IFERROR(_xlfn.XLOOKUP($A590,'Base SKUs'!$E:$E,'Base SKUs'!G:G),"")</f>
        <v>Ipe</v>
      </c>
      <c r="N590" t="str">
        <f>IFERROR(_xlfn.XLOOKUP($A590,'Base SKUs'!$E:$E,'Base SKUs'!H:H),"")</f>
        <v>S4S E4E</v>
      </c>
      <c r="O590" t="str">
        <f>IFERROR(_xlfn.XLOOKUP($A590,'Base SKUs'!$E:$E,'Base SKUs'!I:I),"")</f>
        <v>-</v>
      </c>
      <c r="P590" t="str">
        <f>IFERROR(_xlfn.XLOOKUP($A590,'Base SKUs'!$E:$E,'Base SKUs'!J:J),"")</f>
        <v>1x6</v>
      </c>
      <c r="Q590">
        <f>IFERROR(_xlfn.XLOOKUP($A590,'Base SKUs'!$E:$E,'Base SKUs'!K:K),"")</f>
        <v>18</v>
      </c>
      <c r="R590" s="7">
        <f>IFERROR(_xlfn.XLOOKUP($A590,'Base SKUs'!$E:$E,'Base SKUs'!S:S),"")</f>
        <v>1.4600874024E-2</v>
      </c>
      <c r="S590" s="8">
        <f t="shared" si="47"/>
        <v>0.55483321291199994</v>
      </c>
      <c r="T590" s="7">
        <f>IFERROR(_xlfn.XLOOKUP($A590,'Base SKUs'!$E:$E,'Base SKUs'!R:R),"")</f>
        <v>1232.8030000000001</v>
      </c>
      <c r="U590" s="15">
        <f t="shared" si="48"/>
        <v>684</v>
      </c>
      <c r="V590" t="str">
        <f t="shared" si="49"/>
        <v>Texas</v>
      </c>
    </row>
    <row r="591" spans="1:22" x14ac:dyDescent="0.2">
      <c r="A591" t="s">
        <v>859</v>
      </c>
      <c r="B591" s="5">
        <v>407</v>
      </c>
      <c r="C591" s="5">
        <v>375</v>
      </c>
      <c r="D591" s="5">
        <f t="shared" si="45"/>
        <v>32</v>
      </c>
      <c r="E591" s="6">
        <v>58.239400000000003</v>
      </c>
      <c r="F591" s="6">
        <f t="shared" si="46"/>
        <v>23703.435800000003</v>
      </c>
      <c r="G591" t="s">
        <v>330</v>
      </c>
      <c r="H591">
        <v>9011</v>
      </c>
      <c r="I591" t="str">
        <f>IFERROR(_xlfn.XLOOKUP($A591,'Base SKUs'!$E:$E,'Base SKUs'!A:A),"")</f>
        <v>Ipe</v>
      </c>
      <c r="J591" t="str">
        <f>IFERROR(_xlfn.XLOOKUP($A591,'Base SKUs'!$E:$E,'Base SKUs'!B:B),"")</f>
        <v>Ipe 1x6</v>
      </c>
      <c r="K591" t="str">
        <f>IFERROR(_xlfn.XLOOKUP($A591,'Base SKUs'!$E:$E,'Base SKUs'!C:C),"")</f>
        <v>Long</v>
      </c>
      <c r="L591" t="str">
        <f>IFERROR(_xlfn.XLOOKUP($A591,'Base SKUs'!$E:$E,'Base SKUs'!D:D),"")</f>
        <v>Hardwoods</v>
      </c>
      <c r="M591" t="str">
        <f>IFERROR(_xlfn.XLOOKUP($A591,'Base SKUs'!$E:$E,'Base SKUs'!G:G),"")</f>
        <v>Ipe</v>
      </c>
      <c r="N591" t="str">
        <f>IFERROR(_xlfn.XLOOKUP($A591,'Base SKUs'!$E:$E,'Base SKUs'!H:H),"")</f>
        <v>S4S E4E</v>
      </c>
      <c r="O591" t="str">
        <f>IFERROR(_xlfn.XLOOKUP($A591,'Base SKUs'!$E:$E,'Base SKUs'!I:I),"")</f>
        <v>-</v>
      </c>
      <c r="P591" t="str">
        <f>IFERROR(_xlfn.XLOOKUP($A591,'Base SKUs'!$E:$E,'Base SKUs'!J:J),"")</f>
        <v>1x6</v>
      </c>
      <c r="Q591">
        <f>IFERROR(_xlfn.XLOOKUP($A591,'Base SKUs'!$E:$E,'Base SKUs'!K:K),"")</f>
        <v>18</v>
      </c>
      <c r="R591" s="7">
        <f>IFERROR(_xlfn.XLOOKUP($A591,'Base SKUs'!$E:$E,'Base SKUs'!S:S),"")</f>
        <v>1.4600874024E-2</v>
      </c>
      <c r="S591" s="8">
        <f t="shared" si="47"/>
        <v>0.46722796876799999</v>
      </c>
      <c r="T591" s="7">
        <f>IFERROR(_xlfn.XLOOKUP($A591,'Base SKUs'!$E:$E,'Base SKUs'!R:R),"")</f>
        <v>1232.8030000000001</v>
      </c>
      <c r="U591" s="15">
        <f t="shared" si="48"/>
        <v>576</v>
      </c>
      <c r="V591" t="str">
        <f t="shared" si="49"/>
        <v>New York</v>
      </c>
    </row>
    <row r="592" spans="1:22" x14ac:dyDescent="0.2">
      <c r="A592" t="s">
        <v>861</v>
      </c>
      <c r="B592" s="5">
        <v>210</v>
      </c>
      <c r="C592" s="5">
        <v>210</v>
      </c>
      <c r="D592" s="5">
        <f t="shared" si="45"/>
        <v>0</v>
      </c>
      <c r="E592" s="6">
        <v>68.096400000000003</v>
      </c>
      <c r="F592" s="6">
        <f t="shared" si="46"/>
        <v>14300.244000000001</v>
      </c>
      <c r="G592" t="s">
        <v>330</v>
      </c>
      <c r="H592">
        <v>9011</v>
      </c>
      <c r="I592" t="str">
        <f>IFERROR(_xlfn.XLOOKUP($A592,'Base SKUs'!$E:$E,'Base SKUs'!A:A),"")</f>
        <v>Ipe</v>
      </c>
      <c r="J592" t="str">
        <f>IFERROR(_xlfn.XLOOKUP($A592,'Base SKUs'!$E:$E,'Base SKUs'!B:B),"")</f>
        <v>Ipe 1x6</v>
      </c>
      <c r="K592" t="str">
        <f>IFERROR(_xlfn.XLOOKUP($A592,'Base SKUs'!$E:$E,'Base SKUs'!C:C),"")</f>
        <v>Long</v>
      </c>
      <c r="L592" t="str">
        <f>IFERROR(_xlfn.XLOOKUP($A592,'Base SKUs'!$E:$E,'Base SKUs'!D:D),"")</f>
        <v>Hardwoods</v>
      </c>
      <c r="M592" t="str">
        <f>IFERROR(_xlfn.XLOOKUP($A592,'Base SKUs'!$E:$E,'Base SKUs'!G:G),"")</f>
        <v>Ipe</v>
      </c>
      <c r="N592" t="str">
        <f>IFERROR(_xlfn.XLOOKUP($A592,'Base SKUs'!$E:$E,'Base SKUs'!H:H),"")</f>
        <v>S4S E4E</v>
      </c>
      <c r="O592" t="str">
        <f>IFERROR(_xlfn.XLOOKUP($A592,'Base SKUs'!$E:$E,'Base SKUs'!I:I),"")</f>
        <v>-</v>
      </c>
      <c r="P592" t="str">
        <f>IFERROR(_xlfn.XLOOKUP($A592,'Base SKUs'!$E:$E,'Base SKUs'!J:J),"")</f>
        <v>1x6</v>
      </c>
      <c r="Q592">
        <f>IFERROR(_xlfn.XLOOKUP($A592,'Base SKUs'!$E:$E,'Base SKUs'!K:K),"")</f>
        <v>20</v>
      </c>
      <c r="R592" s="7">
        <f>IFERROR(_xlfn.XLOOKUP($A592,'Base SKUs'!$E:$E,'Base SKUs'!S:S),"")</f>
        <v>1.6223193359999999E-2</v>
      </c>
      <c r="S592" s="8">
        <f t="shared" si="47"/>
        <v>0</v>
      </c>
      <c r="T592" s="7">
        <f>IFERROR(_xlfn.XLOOKUP($A592,'Base SKUs'!$E:$E,'Base SKUs'!R:R),"")</f>
        <v>1232.8030000000001</v>
      </c>
      <c r="U592" s="15">
        <f t="shared" si="48"/>
        <v>0</v>
      </c>
      <c r="V592" t="str">
        <f t="shared" si="49"/>
        <v>New York</v>
      </c>
    </row>
    <row r="593" spans="1:22" x14ac:dyDescent="0.2">
      <c r="A593" t="s">
        <v>863</v>
      </c>
      <c r="B593" s="5">
        <v>21</v>
      </c>
      <c r="C593" s="5">
        <v>0</v>
      </c>
      <c r="D593" s="5">
        <f t="shared" si="45"/>
        <v>21</v>
      </c>
      <c r="E593" s="6">
        <v>73.646699999999996</v>
      </c>
      <c r="F593" s="6">
        <f t="shared" si="46"/>
        <v>1546.5807</v>
      </c>
      <c r="G593" t="s">
        <v>17</v>
      </c>
      <c r="H593">
        <v>9007</v>
      </c>
      <c r="I593" t="str">
        <f>IFERROR(_xlfn.XLOOKUP($A593,'Base SKUs'!$E:$E,'Base SKUs'!A:A),"")</f>
        <v>Ipe</v>
      </c>
      <c r="J593" t="str">
        <f>IFERROR(_xlfn.XLOOKUP($A593,'Base SKUs'!$E:$E,'Base SKUs'!B:B),"")</f>
        <v>Ipe 1x6</v>
      </c>
      <c r="K593" t="str">
        <f>IFERROR(_xlfn.XLOOKUP($A593,'Base SKUs'!$E:$E,'Base SKUs'!C:C),"")</f>
        <v>Long</v>
      </c>
      <c r="L593" t="str">
        <f>IFERROR(_xlfn.XLOOKUP($A593,'Base SKUs'!$E:$E,'Base SKUs'!D:D),"")</f>
        <v>Hardwoods</v>
      </c>
      <c r="M593" t="str">
        <f>IFERROR(_xlfn.XLOOKUP($A593,'Base SKUs'!$E:$E,'Base SKUs'!G:G),"")</f>
        <v>Ipe</v>
      </c>
      <c r="N593" t="str">
        <f>IFERROR(_xlfn.XLOOKUP($A593,'Base SKUs'!$E:$E,'Base SKUs'!H:H),"")</f>
        <v>S4S E4E</v>
      </c>
      <c r="O593" t="str">
        <f>IFERROR(_xlfn.XLOOKUP($A593,'Base SKUs'!$E:$E,'Base SKUs'!I:I),"")</f>
        <v>-</v>
      </c>
      <c r="P593" t="str">
        <f>IFERROR(_xlfn.XLOOKUP($A593,'Base SKUs'!$E:$E,'Base SKUs'!J:J),"")</f>
        <v>1x6</v>
      </c>
      <c r="Q593">
        <f>IFERROR(_xlfn.XLOOKUP($A593,'Base SKUs'!$E:$E,'Base SKUs'!K:K),"")</f>
        <v>22</v>
      </c>
      <c r="R593" s="7">
        <f>IFERROR(_xlfn.XLOOKUP($A593,'Base SKUs'!$E:$E,'Base SKUs'!S:S),"")</f>
        <v>1.7845512695999998E-2</v>
      </c>
      <c r="S593" s="8">
        <f t="shared" si="47"/>
        <v>0.37475576661599996</v>
      </c>
      <c r="T593" s="7">
        <f>IFERROR(_xlfn.XLOOKUP($A593,'Base SKUs'!$E:$E,'Base SKUs'!R:R),"")</f>
        <v>1232.8030000000001</v>
      </c>
      <c r="U593" s="15">
        <f t="shared" si="48"/>
        <v>462</v>
      </c>
      <c r="V593" t="str">
        <f t="shared" si="49"/>
        <v>Miami</v>
      </c>
    </row>
    <row r="594" spans="1:22" x14ac:dyDescent="0.2">
      <c r="A594" t="s">
        <v>863</v>
      </c>
      <c r="B594" s="5">
        <v>21</v>
      </c>
      <c r="C594" s="5">
        <v>0</v>
      </c>
      <c r="D594" s="5">
        <f t="shared" si="45"/>
        <v>21</v>
      </c>
      <c r="E594" s="6">
        <v>69.329300000000003</v>
      </c>
      <c r="F594" s="6">
        <f t="shared" si="46"/>
        <v>1455.9153000000001</v>
      </c>
      <c r="G594" t="s">
        <v>24</v>
      </c>
      <c r="H594">
        <v>9008</v>
      </c>
      <c r="I594" t="str">
        <f>IFERROR(_xlfn.XLOOKUP($A594,'Base SKUs'!$E:$E,'Base SKUs'!A:A),"")</f>
        <v>Ipe</v>
      </c>
      <c r="J594" t="str">
        <f>IFERROR(_xlfn.XLOOKUP($A594,'Base SKUs'!$E:$E,'Base SKUs'!B:B),"")</f>
        <v>Ipe 1x6</v>
      </c>
      <c r="K594" t="str">
        <f>IFERROR(_xlfn.XLOOKUP($A594,'Base SKUs'!$E:$E,'Base SKUs'!C:C),"")</f>
        <v>Long</v>
      </c>
      <c r="L594" t="str">
        <f>IFERROR(_xlfn.XLOOKUP($A594,'Base SKUs'!$E:$E,'Base SKUs'!D:D),"")</f>
        <v>Hardwoods</v>
      </c>
      <c r="M594" t="str">
        <f>IFERROR(_xlfn.XLOOKUP($A594,'Base SKUs'!$E:$E,'Base SKUs'!G:G),"")</f>
        <v>Ipe</v>
      </c>
      <c r="N594" t="str">
        <f>IFERROR(_xlfn.XLOOKUP($A594,'Base SKUs'!$E:$E,'Base SKUs'!H:H),"")</f>
        <v>S4S E4E</v>
      </c>
      <c r="O594" t="str">
        <f>IFERROR(_xlfn.XLOOKUP($A594,'Base SKUs'!$E:$E,'Base SKUs'!I:I),"")</f>
        <v>-</v>
      </c>
      <c r="P594" t="str">
        <f>IFERROR(_xlfn.XLOOKUP($A594,'Base SKUs'!$E:$E,'Base SKUs'!J:J),"")</f>
        <v>1x6</v>
      </c>
      <c r="Q594">
        <f>IFERROR(_xlfn.XLOOKUP($A594,'Base SKUs'!$E:$E,'Base SKUs'!K:K),"")</f>
        <v>22</v>
      </c>
      <c r="R594" s="7">
        <f>IFERROR(_xlfn.XLOOKUP($A594,'Base SKUs'!$E:$E,'Base SKUs'!S:S),"")</f>
        <v>1.7845512695999998E-2</v>
      </c>
      <c r="S594" s="8">
        <f t="shared" si="47"/>
        <v>0.37475576661599996</v>
      </c>
      <c r="T594" s="7">
        <f>IFERROR(_xlfn.XLOOKUP($A594,'Base SKUs'!$E:$E,'Base SKUs'!R:R),"")</f>
        <v>1232.8030000000001</v>
      </c>
      <c r="U594" s="15">
        <f t="shared" si="48"/>
        <v>462</v>
      </c>
      <c r="V594" t="str">
        <f t="shared" si="49"/>
        <v>Texas</v>
      </c>
    </row>
    <row r="595" spans="1:22" x14ac:dyDescent="0.2">
      <c r="A595" t="s">
        <v>865</v>
      </c>
      <c r="B595" s="5">
        <v>1671</v>
      </c>
      <c r="C595" s="5">
        <v>0</v>
      </c>
      <c r="D595" s="5">
        <f t="shared" si="45"/>
        <v>1671</v>
      </c>
      <c r="E595" s="6">
        <v>3.4304999999999999</v>
      </c>
      <c r="F595" s="6">
        <f t="shared" si="46"/>
        <v>5732.3654999999999</v>
      </c>
      <c r="G595" t="s">
        <v>17</v>
      </c>
      <c r="H595">
        <v>9007</v>
      </c>
      <c r="I595" t="str">
        <f>IFERROR(_xlfn.XLOOKUP($A595,'Base SKUs'!$E:$E,'Base SKUs'!A:A),"")</f>
        <v>Ipe</v>
      </c>
      <c r="J595" t="str">
        <f>IFERROR(_xlfn.XLOOKUP($A595,'Base SKUs'!$E:$E,'Base SKUs'!B:B),"")</f>
        <v>Ipe 1x6</v>
      </c>
      <c r="K595" t="str">
        <f>IFERROR(_xlfn.XLOOKUP($A595,'Base SKUs'!$E:$E,'Base SKUs'!C:C),"")</f>
        <v>Short</v>
      </c>
      <c r="L595" t="str">
        <f>IFERROR(_xlfn.XLOOKUP($A595,'Base SKUs'!$E:$E,'Base SKUs'!D:D),"")</f>
        <v>Hardwoods</v>
      </c>
      <c r="M595" t="str">
        <f>IFERROR(_xlfn.XLOOKUP($A595,'Base SKUs'!$E:$E,'Base SKUs'!G:G),"")</f>
        <v>Ipe</v>
      </c>
      <c r="N595" t="str">
        <f>IFERROR(_xlfn.XLOOKUP($A595,'Base SKUs'!$E:$E,'Base SKUs'!H:H),"")</f>
        <v>S4S E4E</v>
      </c>
      <c r="O595" t="str">
        <f>IFERROR(_xlfn.XLOOKUP($A595,'Base SKUs'!$E:$E,'Base SKUs'!I:I),"")</f>
        <v>-</v>
      </c>
      <c r="P595" t="str">
        <f>IFERROR(_xlfn.XLOOKUP($A595,'Base SKUs'!$E:$E,'Base SKUs'!J:J),"")</f>
        <v>1x6</v>
      </c>
      <c r="Q595">
        <f>IFERROR(_xlfn.XLOOKUP($A595,'Base SKUs'!$E:$E,'Base SKUs'!K:K),"")</f>
        <v>4</v>
      </c>
      <c r="R595" s="7">
        <f>IFERROR(_xlfn.XLOOKUP($A595,'Base SKUs'!$E:$E,'Base SKUs'!S:S),"")</f>
        <v>3.2446386719999997E-3</v>
      </c>
      <c r="S595" s="8">
        <f t="shared" si="47"/>
        <v>5.4217912209119996</v>
      </c>
      <c r="T595" s="7">
        <f>IFERROR(_xlfn.XLOOKUP($A595,'Base SKUs'!$E:$E,'Base SKUs'!R:R),"")</f>
        <v>1232.8030000000001</v>
      </c>
      <c r="U595" s="15">
        <f t="shared" si="48"/>
        <v>6684</v>
      </c>
      <c r="V595" t="str">
        <f t="shared" si="49"/>
        <v>Miami</v>
      </c>
    </row>
    <row r="596" spans="1:22" x14ac:dyDescent="0.2">
      <c r="A596" t="s">
        <v>865</v>
      </c>
      <c r="B596" s="5">
        <v>7113</v>
      </c>
      <c r="C596" s="5">
        <v>0</v>
      </c>
      <c r="D596" s="5">
        <f t="shared" si="45"/>
        <v>7113</v>
      </c>
      <c r="E596" s="6">
        <v>3.4775999999999998</v>
      </c>
      <c r="F596" s="6">
        <f t="shared" si="46"/>
        <v>24736.168799999999</v>
      </c>
      <c r="G596" t="s">
        <v>330</v>
      </c>
      <c r="H596">
        <v>9011</v>
      </c>
      <c r="I596" t="str">
        <f>IFERROR(_xlfn.XLOOKUP($A596,'Base SKUs'!$E:$E,'Base SKUs'!A:A),"")</f>
        <v>Ipe</v>
      </c>
      <c r="J596" t="str">
        <f>IFERROR(_xlfn.XLOOKUP($A596,'Base SKUs'!$E:$E,'Base SKUs'!B:B),"")</f>
        <v>Ipe 1x6</v>
      </c>
      <c r="K596" t="str">
        <f>IFERROR(_xlfn.XLOOKUP($A596,'Base SKUs'!$E:$E,'Base SKUs'!C:C),"")</f>
        <v>Short</v>
      </c>
      <c r="L596" t="str">
        <f>IFERROR(_xlfn.XLOOKUP($A596,'Base SKUs'!$E:$E,'Base SKUs'!D:D),"")</f>
        <v>Hardwoods</v>
      </c>
      <c r="M596" t="str">
        <f>IFERROR(_xlfn.XLOOKUP($A596,'Base SKUs'!$E:$E,'Base SKUs'!G:G),"")</f>
        <v>Ipe</v>
      </c>
      <c r="N596" t="str">
        <f>IFERROR(_xlfn.XLOOKUP($A596,'Base SKUs'!$E:$E,'Base SKUs'!H:H),"")</f>
        <v>S4S E4E</v>
      </c>
      <c r="O596" t="str">
        <f>IFERROR(_xlfn.XLOOKUP($A596,'Base SKUs'!$E:$E,'Base SKUs'!I:I),"")</f>
        <v>-</v>
      </c>
      <c r="P596" t="str">
        <f>IFERROR(_xlfn.XLOOKUP($A596,'Base SKUs'!$E:$E,'Base SKUs'!J:J),"")</f>
        <v>1x6</v>
      </c>
      <c r="Q596">
        <f>IFERROR(_xlfn.XLOOKUP($A596,'Base SKUs'!$E:$E,'Base SKUs'!K:K),"")</f>
        <v>4</v>
      </c>
      <c r="R596" s="7">
        <f>IFERROR(_xlfn.XLOOKUP($A596,'Base SKUs'!$E:$E,'Base SKUs'!S:S),"")</f>
        <v>3.2446386719999997E-3</v>
      </c>
      <c r="S596" s="8">
        <f t="shared" si="47"/>
        <v>23.079114873935996</v>
      </c>
      <c r="T596" s="7">
        <f>IFERROR(_xlfn.XLOOKUP($A596,'Base SKUs'!$E:$E,'Base SKUs'!R:R),"")</f>
        <v>1232.8030000000001</v>
      </c>
      <c r="U596" s="15">
        <f t="shared" si="48"/>
        <v>28452</v>
      </c>
      <c r="V596" t="str">
        <f t="shared" si="49"/>
        <v>New York</v>
      </c>
    </row>
    <row r="597" spans="1:22" x14ac:dyDescent="0.2">
      <c r="A597" t="s">
        <v>867</v>
      </c>
      <c r="B597" s="5">
        <v>1188</v>
      </c>
      <c r="C597" s="5">
        <v>0</v>
      </c>
      <c r="D597" s="5">
        <f t="shared" si="45"/>
        <v>1188</v>
      </c>
      <c r="E597" s="6">
        <v>4.2861000000000002</v>
      </c>
      <c r="F597" s="6">
        <f t="shared" si="46"/>
        <v>5091.8868000000002</v>
      </c>
      <c r="G597" t="s">
        <v>17</v>
      </c>
      <c r="H597">
        <v>9007</v>
      </c>
      <c r="I597" t="str">
        <f>IFERROR(_xlfn.XLOOKUP($A597,'Base SKUs'!$E:$E,'Base SKUs'!A:A),"")</f>
        <v>Ipe</v>
      </c>
      <c r="J597" t="str">
        <f>IFERROR(_xlfn.XLOOKUP($A597,'Base SKUs'!$E:$E,'Base SKUs'!B:B),"")</f>
        <v>Ipe 1x6</v>
      </c>
      <c r="K597" t="str">
        <f>IFERROR(_xlfn.XLOOKUP($A597,'Base SKUs'!$E:$E,'Base SKUs'!C:C),"")</f>
        <v>Short</v>
      </c>
      <c r="L597" t="str">
        <f>IFERROR(_xlfn.XLOOKUP($A597,'Base SKUs'!$E:$E,'Base SKUs'!D:D),"")</f>
        <v>Hardwoods</v>
      </c>
      <c r="M597" t="str">
        <f>IFERROR(_xlfn.XLOOKUP($A597,'Base SKUs'!$E:$E,'Base SKUs'!G:G),"")</f>
        <v>Ipe</v>
      </c>
      <c r="N597" t="str">
        <f>IFERROR(_xlfn.XLOOKUP($A597,'Base SKUs'!$E:$E,'Base SKUs'!H:H),"")</f>
        <v>S4S E4E</v>
      </c>
      <c r="O597" t="str">
        <f>IFERROR(_xlfn.XLOOKUP($A597,'Base SKUs'!$E:$E,'Base SKUs'!I:I),"")</f>
        <v>-</v>
      </c>
      <c r="P597" t="str">
        <f>IFERROR(_xlfn.XLOOKUP($A597,'Base SKUs'!$E:$E,'Base SKUs'!J:J),"")</f>
        <v>1x6</v>
      </c>
      <c r="Q597">
        <f>IFERROR(_xlfn.XLOOKUP($A597,'Base SKUs'!$E:$E,'Base SKUs'!K:K),"")</f>
        <v>5</v>
      </c>
      <c r="R597" s="7">
        <f>IFERROR(_xlfn.XLOOKUP($A597,'Base SKUs'!$E:$E,'Base SKUs'!S:S),"")</f>
        <v>4.0557983399999997E-3</v>
      </c>
      <c r="S597" s="8">
        <f t="shared" si="47"/>
        <v>4.8182884279199998</v>
      </c>
      <c r="T597" s="7">
        <f>IFERROR(_xlfn.XLOOKUP($A597,'Base SKUs'!$E:$E,'Base SKUs'!R:R),"")</f>
        <v>1232.8030000000001</v>
      </c>
      <c r="U597" s="15">
        <f t="shared" si="48"/>
        <v>5940</v>
      </c>
      <c r="V597" t="str">
        <f t="shared" si="49"/>
        <v>Miami</v>
      </c>
    </row>
    <row r="598" spans="1:22" x14ac:dyDescent="0.2">
      <c r="A598" t="s">
        <v>867</v>
      </c>
      <c r="B598" s="5">
        <v>5790</v>
      </c>
      <c r="C598" s="5">
        <v>0</v>
      </c>
      <c r="D598" s="5">
        <f t="shared" si="45"/>
        <v>5790</v>
      </c>
      <c r="E598" s="6">
        <v>4.3410000000000002</v>
      </c>
      <c r="F598" s="6">
        <f t="shared" si="46"/>
        <v>25134.39</v>
      </c>
      <c r="G598" t="s">
        <v>330</v>
      </c>
      <c r="H598">
        <v>9011</v>
      </c>
      <c r="I598" t="str">
        <f>IFERROR(_xlfn.XLOOKUP($A598,'Base SKUs'!$E:$E,'Base SKUs'!A:A),"")</f>
        <v>Ipe</v>
      </c>
      <c r="J598" t="str">
        <f>IFERROR(_xlfn.XLOOKUP($A598,'Base SKUs'!$E:$E,'Base SKUs'!B:B),"")</f>
        <v>Ipe 1x6</v>
      </c>
      <c r="K598" t="str">
        <f>IFERROR(_xlfn.XLOOKUP($A598,'Base SKUs'!$E:$E,'Base SKUs'!C:C),"")</f>
        <v>Short</v>
      </c>
      <c r="L598" t="str">
        <f>IFERROR(_xlfn.XLOOKUP($A598,'Base SKUs'!$E:$E,'Base SKUs'!D:D),"")</f>
        <v>Hardwoods</v>
      </c>
      <c r="M598" t="str">
        <f>IFERROR(_xlfn.XLOOKUP($A598,'Base SKUs'!$E:$E,'Base SKUs'!G:G),"")</f>
        <v>Ipe</v>
      </c>
      <c r="N598" t="str">
        <f>IFERROR(_xlfn.XLOOKUP($A598,'Base SKUs'!$E:$E,'Base SKUs'!H:H),"")</f>
        <v>S4S E4E</v>
      </c>
      <c r="O598" t="str">
        <f>IFERROR(_xlfn.XLOOKUP($A598,'Base SKUs'!$E:$E,'Base SKUs'!I:I),"")</f>
        <v>-</v>
      </c>
      <c r="P598" t="str">
        <f>IFERROR(_xlfn.XLOOKUP($A598,'Base SKUs'!$E:$E,'Base SKUs'!J:J),"")</f>
        <v>1x6</v>
      </c>
      <c r="Q598">
        <f>IFERROR(_xlfn.XLOOKUP($A598,'Base SKUs'!$E:$E,'Base SKUs'!K:K),"")</f>
        <v>5</v>
      </c>
      <c r="R598" s="7">
        <f>IFERROR(_xlfn.XLOOKUP($A598,'Base SKUs'!$E:$E,'Base SKUs'!S:S),"")</f>
        <v>4.0557983399999997E-3</v>
      </c>
      <c r="S598" s="8">
        <f t="shared" si="47"/>
        <v>23.4830723886</v>
      </c>
      <c r="T598" s="7">
        <f>IFERROR(_xlfn.XLOOKUP($A598,'Base SKUs'!$E:$E,'Base SKUs'!R:R),"")</f>
        <v>1232.8030000000001</v>
      </c>
      <c r="U598" s="15">
        <f t="shared" si="48"/>
        <v>28950</v>
      </c>
      <c r="V598" t="str">
        <f t="shared" si="49"/>
        <v>New York</v>
      </c>
    </row>
    <row r="599" spans="1:22" x14ac:dyDescent="0.2">
      <c r="A599" t="s">
        <v>869</v>
      </c>
      <c r="B599" s="5">
        <v>3600</v>
      </c>
      <c r="C599" s="5">
        <v>0</v>
      </c>
      <c r="D599" s="5">
        <f t="shared" si="45"/>
        <v>3600</v>
      </c>
      <c r="E599" s="6">
        <v>6.1635999999999997</v>
      </c>
      <c r="F599" s="6">
        <f t="shared" si="46"/>
        <v>22188.959999999999</v>
      </c>
      <c r="G599" t="s">
        <v>330</v>
      </c>
      <c r="H599">
        <v>9011</v>
      </c>
      <c r="I599" t="str">
        <f>IFERROR(_xlfn.XLOOKUP($A599,'Base SKUs'!$E:$E,'Base SKUs'!A:A),"")</f>
        <v>Ipe</v>
      </c>
      <c r="J599" t="str">
        <f>IFERROR(_xlfn.XLOOKUP($A599,'Base SKUs'!$E:$E,'Base SKUs'!B:B),"")</f>
        <v>Ipe 1x6</v>
      </c>
      <c r="K599" t="str">
        <f>IFERROR(_xlfn.XLOOKUP($A599,'Base SKUs'!$E:$E,'Base SKUs'!C:C),"")</f>
        <v>Short</v>
      </c>
      <c r="L599" t="str">
        <f>IFERROR(_xlfn.XLOOKUP($A599,'Base SKUs'!$E:$E,'Base SKUs'!D:D),"")</f>
        <v>Hardwoods</v>
      </c>
      <c r="M599" t="str">
        <f>IFERROR(_xlfn.XLOOKUP($A599,'Base SKUs'!$E:$E,'Base SKUs'!G:G),"")</f>
        <v>Ipe</v>
      </c>
      <c r="N599" t="str">
        <f>IFERROR(_xlfn.XLOOKUP($A599,'Base SKUs'!$E:$E,'Base SKUs'!H:H),"")</f>
        <v>S4S E4E</v>
      </c>
      <c r="O599" t="str">
        <f>IFERROR(_xlfn.XLOOKUP($A599,'Base SKUs'!$E:$E,'Base SKUs'!I:I),"")</f>
        <v>-</v>
      </c>
      <c r="P599" t="str">
        <f>IFERROR(_xlfn.XLOOKUP($A599,'Base SKUs'!$E:$E,'Base SKUs'!J:J),"")</f>
        <v>1x6</v>
      </c>
      <c r="Q599">
        <f>IFERROR(_xlfn.XLOOKUP($A599,'Base SKUs'!$E:$E,'Base SKUs'!K:K),"")</f>
        <v>6</v>
      </c>
      <c r="R599" s="7">
        <f>IFERROR(_xlfn.XLOOKUP($A599,'Base SKUs'!$E:$E,'Base SKUs'!S:S),"")</f>
        <v>4.8669580079999993E-3</v>
      </c>
      <c r="S599" s="8">
        <f t="shared" si="47"/>
        <v>17.521048828799998</v>
      </c>
      <c r="T599" s="7">
        <f>IFERROR(_xlfn.XLOOKUP($A599,'Base SKUs'!$E:$E,'Base SKUs'!R:R),"")</f>
        <v>1232.8030000000001</v>
      </c>
      <c r="U599" s="15">
        <f t="shared" si="48"/>
        <v>21600</v>
      </c>
      <c r="V599" t="str">
        <f t="shared" si="49"/>
        <v>New York</v>
      </c>
    </row>
    <row r="600" spans="1:22" x14ac:dyDescent="0.2">
      <c r="A600" t="s">
        <v>871</v>
      </c>
      <c r="B600" s="5">
        <v>27</v>
      </c>
      <c r="C600" s="5">
        <v>0</v>
      </c>
      <c r="D600" s="5">
        <f t="shared" si="45"/>
        <v>27</v>
      </c>
      <c r="E600" s="6">
        <v>25.040700000000001</v>
      </c>
      <c r="F600" s="6">
        <f t="shared" si="46"/>
        <v>676.09890000000007</v>
      </c>
      <c r="G600" t="s">
        <v>17</v>
      </c>
      <c r="H600">
        <v>9007</v>
      </c>
      <c r="I600" t="str">
        <f>IFERROR(_xlfn.XLOOKUP($A600,'Base SKUs'!$E:$E,'Base SKUs'!A:A),"")</f>
        <v>Ipe</v>
      </c>
      <c r="J600" t="str">
        <f>IFERROR(_xlfn.XLOOKUP($A600,'Base SKUs'!$E:$E,'Base SKUs'!B:B),"")</f>
        <v>Ipe 1x6</v>
      </c>
      <c r="K600" t="str">
        <f>IFERROR(_xlfn.XLOOKUP($A600,'Base SKUs'!$E:$E,'Base SKUs'!C:C),"")</f>
        <v>Long</v>
      </c>
      <c r="L600" t="str">
        <f>IFERROR(_xlfn.XLOOKUP($A600,'Base SKUs'!$E:$E,'Base SKUs'!D:D),"")</f>
        <v>Hardwoods</v>
      </c>
      <c r="M600" t="str">
        <f>IFERROR(_xlfn.XLOOKUP($A600,'Base SKUs'!$E:$E,'Base SKUs'!G:G),"")</f>
        <v>Ipe</v>
      </c>
      <c r="N600" t="str">
        <f>IFERROR(_xlfn.XLOOKUP($A600,'Base SKUs'!$E:$E,'Base SKUs'!H:H),"")</f>
        <v>S4S E4E</v>
      </c>
      <c r="O600" t="str">
        <f>IFERROR(_xlfn.XLOOKUP($A600,'Base SKUs'!$E:$E,'Base SKUs'!I:I),"")</f>
        <v>-</v>
      </c>
      <c r="P600" t="str">
        <f>IFERROR(_xlfn.XLOOKUP($A600,'Base SKUs'!$E:$E,'Base SKUs'!J:J),"")</f>
        <v>1x6</v>
      </c>
      <c r="Q600">
        <f>IFERROR(_xlfn.XLOOKUP($A600,'Base SKUs'!$E:$E,'Base SKUs'!K:K),"")</f>
        <v>8</v>
      </c>
      <c r="R600" s="7">
        <f>IFERROR(_xlfn.XLOOKUP($A600,'Base SKUs'!$E:$E,'Base SKUs'!S:S),"")</f>
        <v>6.4892773439999994E-3</v>
      </c>
      <c r="S600" s="8">
        <f t="shared" si="47"/>
        <v>0.17521048828799998</v>
      </c>
      <c r="T600" s="7">
        <f>IFERROR(_xlfn.XLOOKUP($A600,'Base SKUs'!$E:$E,'Base SKUs'!R:R),"")</f>
        <v>1232.8030000000001</v>
      </c>
      <c r="U600" s="15">
        <f t="shared" si="48"/>
        <v>216</v>
      </c>
      <c r="V600" t="str">
        <f t="shared" si="49"/>
        <v>Miami</v>
      </c>
    </row>
    <row r="601" spans="1:22" x14ac:dyDescent="0.2">
      <c r="A601" t="s">
        <v>871</v>
      </c>
      <c r="B601" s="5">
        <v>189</v>
      </c>
      <c r="C601" s="5">
        <v>56</v>
      </c>
      <c r="D601" s="5">
        <f t="shared" si="45"/>
        <v>133</v>
      </c>
      <c r="E601" s="6">
        <v>22.922000000000001</v>
      </c>
      <c r="F601" s="6">
        <f t="shared" si="46"/>
        <v>4332.2579999999998</v>
      </c>
      <c r="G601" t="s">
        <v>24</v>
      </c>
      <c r="H601">
        <v>9008</v>
      </c>
      <c r="I601" t="str">
        <f>IFERROR(_xlfn.XLOOKUP($A601,'Base SKUs'!$E:$E,'Base SKUs'!A:A),"")</f>
        <v>Ipe</v>
      </c>
      <c r="J601" t="str">
        <f>IFERROR(_xlfn.XLOOKUP($A601,'Base SKUs'!$E:$E,'Base SKUs'!B:B),"")</f>
        <v>Ipe 1x6</v>
      </c>
      <c r="K601" t="str">
        <f>IFERROR(_xlfn.XLOOKUP($A601,'Base SKUs'!$E:$E,'Base SKUs'!C:C),"")</f>
        <v>Long</v>
      </c>
      <c r="L601" t="str">
        <f>IFERROR(_xlfn.XLOOKUP($A601,'Base SKUs'!$E:$E,'Base SKUs'!D:D),"")</f>
        <v>Hardwoods</v>
      </c>
      <c r="M601" t="str">
        <f>IFERROR(_xlfn.XLOOKUP($A601,'Base SKUs'!$E:$E,'Base SKUs'!G:G),"")</f>
        <v>Ipe</v>
      </c>
      <c r="N601" t="str">
        <f>IFERROR(_xlfn.XLOOKUP($A601,'Base SKUs'!$E:$E,'Base SKUs'!H:H),"")</f>
        <v>S4S E4E</v>
      </c>
      <c r="O601" t="str">
        <f>IFERROR(_xlfn.XLOOKUP($A601,'Base SKUs'!$E:$E,'Base SKUs'!I:I),"")</f>
        <v>-</v>
      </c>
      <c r="P601" t="str">
        <f>IFERROR(_xlfn.XLOOKUP($A601,'Base SKUs'!$E:$E,'Base SKUs'!J:J),"")</f>
        <v>1x6</v>
      </c>
      <c r="Q601">
        <f>IFERROR(_xlfn.XLOOKUP($A601,'Base SKUs'!$E:$E,'Base SKUs'!K:K),"")</f>
        <v>8</v>
      </c>
      <c r="R601" s="7">
        <f>IFERROR(_xlfn.XLOOKUP($A601,'Base SKUs'!$E:$E,'Base SKUs'!S:S),"")</f>
        <v>6.4892773439999994E-3</v>
      </c>
      <c r="S601" s="8">
        <f t="shared" si="47"/>
        <v>0.86307388675199992</v>
      </c>
      <c r="T601" s="7">
        <f>IFERROR(_xlfn.XLOOKUP($A601,'Base SKUs'!$E:$E,'Base SKUs'!R:R),"")</f>
        <v>1232.8030000000001</v>
      </c>
      <c r="U601" s="15">
        <f t="shared" si="48"/>
        <v>1064</v>
      </c>
      <c r="V601" t="str">
        <f t="shared" si="49"/>
        <v>Texas</v>
      </c>
    </row>
    <row r="602" spans="1:22" x14ac:dyDescent="0.2">
      <c r="A602" t="s">
        <v>871</v>
      </c>
      <c r="B602" s="5">
        <v>3091</v>
      </c>
      <c r="C602" s="5">
        <v>0</v>
      </c>
      <c r="D602" s="5">
        <f t="shared" si="45"/>
        <v>3091</v>
      </c>
      <c r="E602" s="6">
        <v>23.937200000000001</v>
      </c>
      <c r="F602" s="6">
        <f t="shared" si="46"/>
        <v>73989.885200000004</v>
      </c>
      <c r="G602" t="s">
        <v>330</v>
      </c>
      <c r="H602">
        <v>9011</v>
      </c>
      <c r="I602" t="str">
        <f>IFERROR(_xlfn.XLOOKUP($A602,'Base SKUs'!$E:$E,'Base SKUs'!A:A),"")</f>
        <v>Ipe</v>
      </c>
      <c r="J602" t="str">
        <f>IFERROR(_xlfn.XLOOKUP($A602,'Base SKUs'!$E:$E,'Base SKUs'!B:B),"")</f>
        <v>Ipe 1x6</v>
      </c>
      <c r="K602" t="str">
        <f>IFERROR(_xlfn.XLOOKUP($A602,'Base SKUs'!$E:$E,'Base SKUs'!C:C),"")</f>
        <v>Long</v>
      </c>
      <c r="L602" t="str">
        <f>IFERROR(_xlfn.XLOOKUP($A602,'Base SKUs'!$E:$E,'Base SKUs'!D:D),"")</f>
        <v>Hardwoods</v>
      </c>
      <c r="M602" t="str">
        <f>IFERROR(_xlfn.XLOOKUP($A602,'Base SKUs'!$E:$E,'Base SKUs'!G:G),"")</f>
        <v>Ipe</v>
      </c>
      <c r="N602" t="str">
        <f>IFERROR(_xlfn.XLOOKUP($A602,'Base SKUs'!$E:$E,'Base SKUs'!H:H),"")</f>
        <v>S4S E4E</v>
      </c>
      <c r="O602" t="str">
        <f>IFERROR(_xlfn.XLOOKUP($A602,'Base SKUs'!$E:$E,'Base SKUs'!I:I),"")</f>
        <v>-</v>
      </c>
      <c r="P602" t="str">
        <f>IFERROR(_xlfn.XLOOKUP($A602,'Base SKUs'!$E:$E,'Base SKUs'!J:J),"")</f>
        <v>1x6</v>
      </c>
      <c r="Q602">
        <f>IFERROR(_xlfn.XLOOKUP($A602,'Base SKUs'!$E:$E,'Base SKUs'!K:K),"")</f>
        <v>8</v>
      </c>
      <c r="R602" s="7">
        <f>IFERROR(_xlfn.XLOOKUP($A602,'Base SKUs'!$E:$E,'Base SKUs'!S:S),"")</f>
        <v>6.4892773439999994E-3</v>
      </c>
      <c r="S602" s="8">
        <f t="shared" si="47"/>
        <v>20.058356270303999</v>
      </c>
      <c r="T602" s="7">
        <f>IFERROR(_xlfn.XLOOKUP($A602,'Base SKUs'!$E:$E,'Base SKUs'!R:R),"")</f>
        <v>1232.8030000000001</v>
      </c>
      <c r="U602" s="15">
        <f t="shared" si="48"/>
        <v>24728</v>
      </c>
      <c r="V602" t="str">
        <f t="shared" si="49"/>
        <v>New York</v>
      </c>
    </row>
    <row r="603" spans="1:22" x14ac:dyDescent="0.2">
      <c r="A603" t="s">
        <v>873</v>
      </c>
      <c r="B603" s="5">
        <v>328</v>
      </c>
      <c r="C603" s="5">
        <v>4</v>
      </c>
      <c r="D603" s="5">
        <f t="shared" si="45"/>
        <v>324</v>
      </c>
      <c r="E603" s="6">
        <v>32.371299999999998</v>
      </c>
      <c r="F603" s="6">
        <f t="shared" si="46"/>
        <v>10617.786399999999</v>
      </c>
      <c r="G603" t="s">
        <v>17</v>
      </c>
      <c r="H603">
        <v>9007</v>
      </c>
      <c r="I603" t="str">
        <f>IFERROR(_xlfn.XLOOKUP($A603,'Base SKUs'!$E:$E,'Base SKUs'!A:A),"")</f>
        <v>Ipe</v>
      </c>
      <c r="J603" t="str">
        <f>IFERROR(_xlfn.XLOOKUP($A603,'Base SKUs'!$E:$E,'Base SKUs'!B:B),"")</f>
        <v>Ipe 1x8</v>
      </c>
      <c r="K603" t="str">
        <f>IFERROR(_xlfn.XLOOKUP($A603,'Base SKUs'!$E:$E,'Base SKUs'!C:C),"")</f>
        <v>Long</v>
      </c>
      <c r="L603" t="str">
        <f>IFERROR(_xlfn.XLOOKUP($A603,'Base SKUs'!$E:$E,'Base SKUs'!D:D),"")</f>
        <v>Hardwoods</v>
      </c>
      <c r="M603" t="str">
        <f>IFERROR(_xlfn.XLOOKUP($A603,'Base SKUs'!$E:$E,'Base SKUs'!G:G),"")</f>
        <v>Ipe</v>
      </c>
      <c r="N603" t="str">
        <f>IFERROR(_xlfn.XLOOKUP($A603,'Base SKUs'!$E:$E,'Base SKUs'!H:H),"")</f>
        <v>S4S E4E</v>
      </c>
      <c r="O603" t="str">
        <f>IFERROR(_xlfn.XLOOKUP($A603,'Base SKUs'!$E:$E,'Base SKUs'!I:I),"")</f>
        <v>-</v>
      </c>
      <c r="P603" t="str">
        <f>IFERROR(_xlfn.XLOOKUP($A603,'Base SKUs'!$E:$E,'Base SKUs'!J:J),"")</f>
        <v>1x8</v>
      </c>
      <c r="Q603">
        <f>IFERROR(_xlfn.XLOOKUP($A603,'Base SKUs'!$E:$E,'Base SKUs'!K:K),"")</f>
        <v>10</v>
      </c>
      <c r="R603" s="7">
        <f>IFERROR(_xlfn.XLOOKUP($A603,'Base SKUs'!$E:$E,'Base SKUs'!S:S),"")</f>
        <v>1.0692559260000001E-2</v>
      </c>
      <c r="S603" s="8">
        <f t="shared" si="47"/>
        <v>3.4643892002400003</v>
      </c>
      <c r="T603" s="7">
        <f>IFERROR(_xlfn.XLOOKUP($A603,'Base SKUs'!$E:$E,'Base SKUs'!R:R),"")</f>
        <v>935.23</v>
      </c>
      <c r="U603" s="15">
        <f t="shared" si="48"/>
        <v>3240</v>
      </c>
      <c r="V603" t="str">
        <f t="shared" si="49"/>
        <v>Miami</v>
      </c>
    </row>
    <row r="604" spans="1:22" x14ac:dyDescent="0.2">
      <c r="A604" t="s">
        <v>875</v>
      </c>
      <c r="B604" s="5">
        <v>331</v>
      </c>
      <c r="C604" s="5">
        <v>0</v>
      </c>
      <c r="D604" s="5">
        <f t="shared" si="45"/>
        <v>331</v>
      </c>
      <c r="E604" s="6">
        <v>39.311599999999999</v>
      </c>
      <c r="F604" s="6">
        <f t="shared" si="46"/>
        <v>13012.139599999999</v>
      </c>
      <c r="G604" t="s">
        <v>17</v>
      </c>
      <c r="H604">
        <v>9007</v>
      </c>
      <c r="I604" t="str">
        <f>IFERROR(_xlfn.XLOOKUP($A604,'Base SKUs'!$E:$E,'Base SKUs'!A:A),"")</f>
        <v>Ipe</v>
      </c>
      <c r="J604" t="str">
        <f>IFERROR(_xlfn.XLOOKUP($A604,'Base SKUs'!$E:$E,'Base SKUs'!B:B),"")</f>
        <v>Ipe 1x8</v>
      </c>
      <c r="K604" t="str">
        <f>IFERROR(_xlfn.XLOOKUP($A604,'Base SKUs'!$E:$E,'Base SKUs'!C:C),"")</f>
        <v>Long</v>
      </c>
      <c r="L604" t="str">
        <f>IFERROR(_xlfn.XLOOKUP($A604,'Base SKUs'!$E:$E,'Base SKUs'!D:D),"")</f>
        <v>Hardwoods</v>
      </c>
      <c r="M604" t="str">
        <f>IFERROR(_xlfn.XLOOKUP($A604,'Base SKUs'!$E:$E,'Base SKUs'!G:G),"")</f>
        <v>Ipe</v>
      </c>
      <c r="N604" t="str">
        <f>IFERROR(_xlfn.XLOOKUP($A604,'Base SKUs'!$E:$E,'Base SKUs'!H:H),"")</f>
        <v>S4S E4E</v>
      </c>
      <c r="O604" t="str">
        <f>IFERROR(_xlfn.XLOOKUP($A604,'Base SKUs'!$E:$E,'Base SKUs'!I:I),"")</f>
        <v>-</v>
      </c>
      <c r="P604" t="str">
        <f>IFERROR(_xlfn.XLOOKUP($A604,'Base SKUs'!$E:$E,'Base SKUs'!J:J),"")</f>
        <v>1x8</v>
      </c>
      <c r="Q604">
        <f>IFERROR(_xlfn.XLOOKUP($A604,'Base SKUs'!$E:$E,'Base SKUs'!K:K),"")</f>
        <v>12</v>
      </c>
      <c r="R604" s="7">
        <f>IFERROR(_xlfn.XLOOKUP($A604,'Base SKUs'!$E:$E,'Base SKUs'!S:S),"")</f>
        <v>1.2831071112000001E-2</v>
      </c>
      <c r="S604" s="8">
        <f t="shared" si="47"/>
        <v>4.2470845380720004</v>
      </c>
      <c r="T604" s="7">
        <f>IFERROR(_xlfn.XLOOKUP($A604,'Base SKUs'!$E:$E,'Base SKUs'!R:R),"")</f>
        <v>935.23</v>
      </c>
      <c r="U604" s="15">
        <f t="shared" si="48"/>
        <v>3972</v>
      </c>
      <c r="V604" t="str">
        <f t="shared" si="49"/>
        <v>Miami</v>
      </c>
    </row>
    <row r="605" spans="1:22" x14ac:dyDescent="0.2">
      <c r="A605" t="s">
        <v>877</v>
      </c>
      <c r="B605" s="5">
        <v>474</v>
      </c>
      <c r="C605" s="5">
        <v>1</v>
      </c>
      <c r="D605" s="5">
        <f t="shared" si="45"/>
        <v>473</v>
      </c>
      <c r="E605" s="6">
        <v>45.5398</v>
      </c>
      <c r="F605" s="6">
        <f t="shared" si="46"/>
        <v>21585.8652</v>
      </c>
      <c r="G605" t="s">
        <v>17</v>
      </c>
      <c r="H605">
        <v>9007</v>
      </c>
      <c r="I605" t="str">
        <f>IFERROR(_xlfn.XLOOKUP($A605,'Base SKUs'!$E:$E,'Base SKUs'!A:A),"")</f>
        <v>Ipe</v>
      </c>
      <c r="J605" t="str">
        <f>IFERROR(_xlfn.XLOOKUP($A605,'Base SKUs'!$E:$E,'Base SKUs'!B:B),"")</f>
        <v>Ipe 1x8</v>
      </c>
      <c r="K605" t="str">
        <f>IFERROR(_xlfn.XLOOKUP($A605,'Base SKUs'!$E:$E,'Base SKUs'!C:C),"")</f>
        <v>Long</v>
      </c>
      <c r="L605" t="str">
        <f>IFERROR(_xlfn.XLOOKUP($A605,'Base SKUs'!$E:$E,'Base SKUs'!D:D),"")</f>
        <v>Hardwoods</v>
      </c>
      <c r="M605" t="str">
        <f>IFERROR(_xlfn.XLOOKUP($A605,'Base SKUs'!$E:$E,'Base SKUs'!G:G),"")</f>
        <v>Ipe</v>
      </c>
      <c r="N605" t="str">
        <f>IFERROR(_xlfn.XLOOKUP($A605,'Base SKUs'!$E:$E,'Base SKUs'!H:H),"")</f>
        <v>S4S E4E</v>
      </c>
      <c r="O605" t="str">
        <f>IFERROR(_xlfn.XLOOKUP($A605,'Base SKUs'!$E:$E,'Base SKUs'!I:I),"")</f>
        <v>-</v>
      </c>
      <c r="P605" t="str">
        <f>IFERROR(_xlfn.XLOOKUP($A605,'Base SKUs'!$E:$E,'Base SKUs'!J:J),"")</f>
        <v>1x8</v>
      </c>
      <c r="Q605">
        <f>IFERROR(_xlfn.XLOOKUP($A605,'Base SKUs'!$E:$E,'Base SKUs'!K:K),"")</f>
        <v>14</v>
      </c>
      <c r="R605" s="7">
        <f>IFERROR(_xlfn.XLOOKUP($A605,'Base SKUs'!$E:$E,'Base SKUs'!S:S),"")</f>
        <v>1.4969582964E-2</v>
      </c>
      <c r="S605" s="8">
        <f t="shared" si="47"/>
        <v>7.0806127419719997</v>
      </c>
      <c r="T605" s="7">
        <f>IFERROR(_xlfn.XLOOKUP($A605,'Base SKUs'!$E:$E,'Base SKUs'!R:R),"")</f>
        <v>935.23</v>
      </c>
      <c r="U605" s="15">
        <f t="shared" si="48"/>
        <v>6622</v>
      </c>
      <c r="V605" t="str">
        <f t="shared" si="49"/>
        <v>Miami</v>
      </c>
    </row>
    <row r="606" spans="1:22" x14ac:dyDescent="0.2">
      <c r="A606" t="s">
        <v>879</v>
      </c>
      <c r="B606" s="5">
        <v>198</v>
      </c>
      <c r="C606" s="5">
        <v>0</v>
      </c>
      <c r="D606" s="5">
        <f t="shared" si="45"/>
        <v>198</v>
      </c>
      <c r="E606" s="6">
        <v>52.143999999999998</v>
      </c>
      <c r="F606" s="6">
        <f t="shared" si="46"/>
        <v>10324.511999999999</v>
      </c>
      <c r="G606" t="s">
        <v>17</v>
      </c>
      <c r="H606">
        <v>9007</v>
      </c>
      <c r="I606" t="str">
        <f>IFERROR(_xlfn.XLOOKUP($A606,'Base SKUs'!$E:$E,'Base SKUs'!A:A),"")</f>
        <v>Ipe</v>
      </c>
      <c r="J606" t="str">
        <f>IFERROR(_xlfn.XLOOKUP($A606,'Base SKUs'!$E:$E,'Base SKUs'!B:B),"")</f>
        <v>Ipe 1x8</v>
      </c>
      <c r="K606" t="str">
        <f>IFERROR(_xlfn.XLOOKUP($A606,'Base SKUs'!$E:$E,'Base SKUs'!C:C),"")</f>
        <v>Long</v>
      </c>
      <c r="L606" t="str">
        <f>IFERROR(_xlfn.XLOOKUP($A606,'Base SKUs'!$E:$E,'Base SKUs'!D:D),"")</f>
        <v>Hardwoods</v>
      </c>
      <c r="M606" t="str">
        <f>IFERROR(_xlfn.XLOOKUP($A606,'Base SKUs'!$E:$E,'Base SKUs'!G:G),"")</f>
        <v>Ipe</v>
      </c>
      <c r="N606" t="str">
        <f>IFERROR(_xlfn.XLOOKUP($A606,'Base SKUs'!$E:$E,'Base SKUs'!H:H),"")</f>
        <v>S4S E4E</v>
      </c>
      <c r="O606" t="str">
        <f>IFERROR(_xlfn.XLOOKUP($A606,'Base SKUs'!$E:$E,'Base SKUs'!I:I),"")</f>
        <v>-</v>
      </c>
      <c r="P606" t="str">
        <f>IFERROR(_xlfn.XLOOKUP($A606,'Base SKUs'!$E:$E,'Base SKUs'!J:J),"")</f>
        <v>1x8</v>
      </c>
      <c r="Q606">
        <f>IFERROR(_xlfn.XLOOKUP($A606,'Base SKUs'!$E:$E,'Base SKUs'!K:K),"")</f>
        <v>16</v>
      </c>
      <c r="R606" s="7">
        <f>IFERROR(_xlfn.XLOOKUP($A606,'Base SKUs'!$E:$E,'Base SKUs'!S:S),"")</f>
        <v>1.7108094816000001E-2</v>
      </c>
      <c r="S606" s="8">
        <f t="shared" si="47"/>
        <v>3.3874027735680001</v>
      </c>
      <c r="T606" s="7">
        <f>IFERROR(_xlfn.XLOOKUP($A606,'Base SKUs'!$E:$E,'Base SKUs'!R:R),"")</f>
        <v>935.23</v>
      </c>
      <c r="U606" s="15">
        <f t="shared" si="48"/>
        <v>3168</v>
      </c>
      <c r="V606" t="str">
        <f t="shared" si="49"/>
        <v>Miami</v>
      </c>
    </row>
    <row r="607" spans="1:22" x14ac:dyDescent="0.2">
      <c r="A607" t="s">
        <v>881</v>
      </c>
      <c r="B607" s="5">
        <v>4</v>
      </c>
      <c r="C607" s="5">
        <v>0</v>
      </c>
      <c r="D607" s="5">
        <f t="shared" si="45"/>
        <v>4</v>
      </c>
      <c r="E607" s="6">
        <v>58.562600000000003</v>
      </c>
      <c r="F607" s="6">
        <f t="shared" si="46"/>
        <v>234.25040000000001</v>
      </c>
      <c r="G607" t="s">
        <v>17</v>
      </c>
      <c r="H607">
        <v>9007</v>
      </c>
      <c r="I607" t="str">
        <f>IFERROR(_xlfn.XLOOKUP($A607,'Base SKUs'!$E:$E,'Base SKUs'!A:A),"")</f>
        <v>Ipe</v>
      </c>
      <c r="J607" t="str">
        <f>IFERROR(_xlfn.XLOOKUP($A607,'Base SKUs'!$E:$E,'Base SKUs'!B:B),"")</f>
        <v>Ipe 1x8</v>
      </c>
      <c r="K607" t="str">
        <f>IFERROR(_xlfn.XLOOKUP($A607,'Base SKUs'!$E:$E,'Base SKUs'!C:C),"")</f>
        <v>Long</v>
      </c>
      <c r="L607" t="str">
        <f>IFERROR(_xlfn.XLOOKUP($A607,'Base SKUs'!$E:$E,'Base SKUs'!D:D),"")</f>
        <v>Hardwoods</v>
      </c>
      <c r="M607" t="str">
        <f>IFERROR(_xlfn.XLOOKUP($A607,'Base SKUs'!$E:$E,'Base SKUs'!G:G),"")</f>
        <v>Ipe</v>
      </c>
      <c r="N607" t="str">
        <f>IFERROR(_xlfn.XLOOKUP($A607,'Base SKUs'!$E:$E,'Base SKUs'!H:H),"")</f>
        <v>S4S E4E</v>
      </c>
      <c r="O607" t="str">
        <f>IFERROR(_xlfn.XLOOKUP($A607,'Base SKUs'!$E:$E,'Base SKUs'!I:I),"")</f>
        <v>-</v>
      </c>
      <c r="P607" t="str">
        <f>IFERROR(_xlfn.XLOOKUP($A607,'Base SKUs'!$E:$E,'Base SKUs'!J:J),"")</f>
        <v>1x8</v>
      </c>
      <c r="Q607">
        <f>IFERROR(_xlfn.XLOOKUP($A607,'Base SKUs'!$E:$E,'Base SKUs'!K:K),"")</f>
        <v>18</v>
      </c>
      <c r="R607" s="7">
        <f>IFERROR(_xlfn.XLOOKUP($A607,'Base SKUs'!$E:$E,'Base SKUs'!S:S),"")</f>
        <v>1.9246606668000002E-2</v>
      </c>
      <c r="S607" s="8">
        <f t="shared" si="47"/>
        <v>7.6986426672000008E-2</v>
      </c>
      <c r="T607" s="7">
        <f>IFERROR(_xlfn.XLOOKUP($A607,'Base SKUs'!$E:$E,'Base SKUs'!R:R),"")</f>
        <v>935.23</v>
      </c>
      <c r="U607" s="15">
        <f t="shared" si="48"/>
        <v>72</v>
      </c>
      <c r="V607" t="str">
        <f t="shared" si="49"/>
        <v>Miami</v>
      </c>
    </row>
    <row r="608" spans="1:22" x14ac:dyDescent="0.2">
      <c r="A608" t="s">
        <v>883</v>
      </c>
      <c r="B608" s="5">
        <v>232</v>
      </c>
      <c r="C608" s="5">
        <v>0</v>
      </c>
      <c r="D608" s="5">
        <f t="shared" si="45"/>
        <v>232</v>
      </c>
      <c r="E608" s="6">
        <v>65.034000000000006</v>
      </c>
      <c r="F608" s="6">
        <f t="shared" si="46"/>
        <v>15087.888000000001</v>
      </c>
      <c r="G608" t="s">
        <v>17</v>
      </c>
      <c r="H608">
        <v>9007</v>
      </c>
      <c r="I608" t="str">
        <f>IFERROR(_xlfn.XLOOKUP($A608,'Base SKUs'!$E:$E,'Base SKUs'!A:A),"")</f>
        <v>Ipe</v>
      </c>
      <c r="J608" t="str">
        <f>IFERROR(_xlfn.XLOOKUP($A608,'Base SKUs'!$E:$E,'Base SKUs'!B:B),"")</f>
        <v>Ipe 1x8</v>
      </c>
      <c r="K608" t="str">
        <f>IFERROR(_xlfn.XLOOKUP($A608,'Base SKUs'!$E:$E,'Base SKUs'!C:C),"")</f>
        <v>Long</v>
      </c>
      <c r="L608" t="str">
        <f>IFERROR(_xlfn.XLOOKUP($A608,'Base SKUs'!$E:$E,'Base SKUs'!D:D),"")</f>
        <v>Hardwoods</v>
      </c>
      <c r="M608" t="str">
        <f>IFERROR(_xlfn.XLOOKUP($A608,'Base SKUs'!$E:$E,'Base SKUs'!G:G),"")</f>
        <v>Ipe</v>
      </c>
      <c r="N608" t="str">
        <f>IFERROR(_xlfn.XLOOKUP($A608,'Base SKUs'!$E:$E,'Base SKUs'!H:H),"")</f>
        <v>S4S E4E</v>
      </c>
      <c r="O608" t="str">
        <f>IFERROR(_xlfn.XLOOKUP($A608,'Base SKUs'!$E:$E,'Base SKUs'!I:I),"")</f>
        <v>-</v>
      </c>
      <c r="P608" t="str">
        <f>IFERROR(_xlfn.XLOOKUP($A608,'Base SKUs'!$E:$E,'Base SKUs'!J:J),"")</f>
        <v>1x8</v>
      </c>
      <c r="Q608">
        <f>IFERROR(_xlfn.XLOOKUP($A608,'Base SKUs'!$E:$E,'Base SKUs'!K:K),"")</f>
        <v>20</v>
      </c>
      <c r="R608" s="7">
        <f>IFERROR(_xlfn.XLOOKUP($A608,'Base SKUs'!$E:$E,'Base SKUs'!S:S),"")</f>
        <v>2.1385118520000003E-2</v>
      </c>
      <c r="S608" s="8">
        <f t="shared" si="47"/>
        <v>4.9613474966400011</v>
      </c>
      <c r="T608" s="7">
        <f>IFERROR(_xlfn.XLOOKUP($A608,'Base SKUs'!$E:$E,'Base SKUs'!R:R),"")</f>
        <v>935.23</v>
      </c>
      <c r="U608" s="15">
        <f t="shared" si="48"/>
        <v>4640</v>
      </c>
      <c r="V608" t="str">
        <f t="shared" si="49"/>
        <v>Miami</v>
      </c>
    </row>
    <row r="609" spans="1:22" x14ac:dyDescent="0.2">
      <c r="A609" t="s">
        <v>885</v>
      </c>
      <c r="B609" s="5">
        <v>132</v>
      </c>
      <c r="C609" s="5">
        <v>0</v>
      </c>
      <c r="D609" s="5">
        <f t="shared" si="45"/>
        <v>132</v>
      </c>
      <c r="E609" s="6">
        <v>26.557700000000001</v>
      </c>
      <c r="F609" s="6">
        <f t="shared" si="46"/>
        <v>3505.6163999999999</v>
      </c>
      <c r="G609" t="s">
        <v>17</v>
      </c>
      <c r="H609">
        <v>9007</v>
      </c>
      <c r="I609" t="str">
        <f>IFERROR(_xlfn.XLOOKUP($A609,'Base SKUs'!$E:$E,'Base SKUs'!A:A),"")</f>
        <v>Ipe</v>
      </c>
      <c r="J609" t="str">
        <f>IFERROR(_xlfn.XLOOKUP($A609,'Base SKUs'!$E:$E,'Base SKUs'!B:B),"")</f>
        <v>Ipe 1x8</v>
      </c>
      <c r="K609" t="str">
        <f>IFERROR(_xlfn.XLOOKUP($A609,'Base SKUs'!$E:$E,'Base SKUs'!C:C),"")</f>
        <v>Long</v>
      </c>
      <c r="L609" t="str">
        <f>IFERROR(_xlfn.XLOOKUP($A609,'Base SKUs'!$E:$E,'Base SKUs'!D:D),"")</f>
        <v>Hardwoods</v>
      </c>
      <c r="M609" t="str">
        <f>IFERROR(_xlfn.XLOOKUP($A609,'Base SKUs'!$E:$E,'Base SKUs'!G:G),"")</f>
        <v>Ipe</v>
      </c>
      <c r="N609" t="str">
        <f>IFERROR(_xlfn.XLOOKUP($A609,'Base SKUs'!$E:$E,'Base SKUs'!H:H),"")</f>
        <v>S4S E4E</v>
      </c>
      <c r="O609" t="str">
        <f>IFERROR(_xlfn.XLOOKUP($A609,'Base SKUs'!$E:$E,'Base SKUs'!I:I),"")</f>
        <v>-</v>
      </c>
      <c r="P609" t="str">
        <f>IFERROR(_xlfn.XLOOKUP($A609,'Base SKUs'!$E:$E,'Base SKUs'!J:J),"")</f>
        <v>1x8</v>
      </c>
      <c r="Q609">
        <f>IFERROR(_xlfn.XLOOKUP($A609,'Base SKUs'!$E:$E,'Base SKUs'!K:K),"")</f>
        <v>8</v>
      </c>
      <c r="R609" s="7">
        <f>IFERROR(_xlfn.XLOOKUP($A609,'Base SKUs'!$E:$E,'Base SKUs'!S:S),"")</f>
        <v>8.5540474080000005E-3</v>
      </c>
      <c r="S609" s="8">
        <f t="shared" si="47"/>
        <v>1.129134257856</v>
      </c>
      <c r="T609" s="7">
        <f>IFERROR(_xlfn.XLOOKUP($A609,'Base SKUs'!$E:$E,'Base SKUs'!R:R),"")</f>
        <v>935.23</v>
      </c>
      <c r="U609" s="15">
        <f t="shared" si="48"/>
        <v>1056</v>
      </c>
      <c r="V609" t="str">
        <f t="shared" si="49"/>
        <v>Miami</v>
      </c>
    </row>
    <row r="610" spans="1:22" x14ac:dyDescent="0.2">
      <c r="A610" t="s">
        <v>887</v>
      </c>
      <c r="B610" s="5">
        <v>2</v>
      </c>
      <c r="C610" s="5">
        <v>0</v>
      </c>
      <c r="D610" s="5">
        <f t="shared" si="45"/>
        <v>2</v>
      </c>
      <c r="E610" s="6">
        <v>57.35</v>
      </c>
      <c r="F610" s="6">
        <f t="shared" si="46"/>
        <v>114.7</v>
      </c>
      <c r="G610" t="s">
        <v>330</v>
      </c>
      <c r="H610">
        <v>9011</v>
      </c>
      <c r="I610" t="str">
        <f>IFERROR(_xlfn.XLOOKUP($A610,'Base SKUs'!$E:$E,'Base SKUs'!A:A),"")</f>
        <v>Ipe</v>
      </c>
      <c r="J610" t="str">
        <f>IFERROR(_xlfn.XLOOKUP($A610,'Base SKUs'!$E:$E,'Base SKUs'!B:B),"")</f>
        <v>Ipe 5/4x10</v>
      </c>
      <c r="K610" t="str">
        <f>IFERROR(_xlfn.XLOOKUP($A610,'Base SKUs'!$E:$E,'Base SKUs'!C:C),"")</f>
        <v>Long</v>
      </c>
      <c r="L610" t="str">
        <f>IFERROR(_xlfn.XLOOKUP($A610,'Base SKUs'!$E:$E,'Base SKUs'!D:D),"")</f>
        <v>Hardwoods</v>
      </c>
      <c r="M610" t="str">
        <f>IFERROR(_xlfn.XLOOKUP($A610,'Base SKUs'!$E:$E,'Base SKUs'!G:G),"")</f>
        <v>Ipe</v>
      </c>
      <c r="N610" t="str">
        <f>IFERROR(_xlfn.XLOOKUP($A610,'Base SKUs'!$E:$E,'Base SKUs'!H:H),"")</f>
        <v>S4S E4E</v>
      </c>
      <c r="O610" t="str">
        <f>IFERROR(_xlfn.XLOOKUP($A610,'Base SKUs'!$E:$E,'Base SKUs'!I:I),"")</f>
        <v>-</v>
      </c>
      <c r="P610" t="str">
        <f>IFERROR(_xlfn.XLOOKUP($A610,'Base SKUs'!$E:$E,'Base SKUs'!J:J),"")</f>
        <v>5/4x10</v>
      </c>
      <c r="Q610">
        <f>IFERROR(_xlfn.XLOOKUP($A610,'Base SKUs'!$E:$E,'Base SKUs'!K:K),"")</f>
        <v>10</v>
      </c>
      <c r="R610" s="7">
        <f>IFERROR(_xlfn.XLOOKUP($A610,'Base SKUs'!$E:$E,'Base SKUs'!S:S),"")</f>
        <v>1.8189641040000003E-2</v>
      </c>
      <c r="S610" s="8">
        <f t="shared" si="47"/>
        <v>3.6379282080000006E-2</v>
      </c>
      <c r="T610" s="7">
        <f>IFERROR(_xlfn.XLOOKUP($A610,'Base SKUs'!$E:$E,'Base SKUs'!R:R),"")</f>
        <v>549.76300000000003</v>
      </c>
      <c r="U610" s="15">
        <f t="shared" si="48"/>
        <v>20</v>
      </c>
      <c r="V610" t="str">
        <f t="shared" si="49"/>
        <v>New York</v>
      </c>
    </row>
    <row r="611" spans="1:22" x14ac:dyDescent="0.2">
      <c r="A611" t="s">
        <v>889</v>
      </c>
      <c r="B611" s="5">
        <v>1</v>
      </c>
      <c r="C611" s="5">
        <v>1</v>
      </c>
      <c r="D611" s="5">
        <f t="shared" si="45"/>
        <v>0</v>
      </c>
      <c r="E611" s="6">
        <v>86.723299999999995</v>
      </c>
      <c r="F611" s="6">
        <f t="shared" si="46"/>
        <v>86.723299999999995</v>
      </c>
      <c r="G611" t="s">
        <v>17</v>
      </c>
      <c r="H611">
        <v>9007</v>
      </c>
      <c r="I611" t="str">
        <f>IFERROR(_xlfn.XLOOKUP($A611,'Base SKUs'!$E:$E,'Base SKUs'!A:A),"")</f>
        <v>Ipe</v>
      </c>
      <c r="J611" t="str">
        <f>IFERROR(_xlfn.XLOOKUP($A611,'Base SKUs'!$E:$E,'Base SKUs'!B:B),"")</f>
        <v>Ipe 5/4x12</v>
      </c>
      <c r="K611" t="str">
        <f>IFERROR(_xlfn.XLOOKUP($A611,'Base SKUs'!$E:$E,'Base SKUs'!C:C),"")</f>
        <v>Long</v>
      </c>
      <c r="L611" t="str">
        <f>IFERROR(_xlfn.XLOOKUP($A611,'Base SKUs'!$E:$E,'Base SKUs'!D:D),"")</f>
        <v>Hardwoods</v>
      </c>
      <c r="M611" t="str">
        <f>IFERROR(_xlfn.XLOOKUP($A611,'Base SKUs'!$E:$E,'Base SKUs'!G:G),"")</f>
        <v>Ipe</v>
      </c>
      <c r="N611" t="str">
        <f>IFERROR(_xlfn.XLOOKUP($A611,'Base SKUs'!$E:$E,'Base SKUs'!H:H),"")</f>
        <v>S4S E4E</v>
      </c>
      <c r="O611" t="str">
        <f>IFERROR(_xlfn.XLOOKUP($A611,'Base SKUs'!$E:$E,'Base SKUs'!I:I),"")</f>
        <v>-</v>
      </c>
      <c r="P611" t="str">
        <f>IFERROR(_xlfn.XLOOKUP($A611,'Base SKUs'!$E:$E,'Base SKUs'!J:J),"")</f>
        <v>5/4x12</v>
      </c>
      <c r="Q611">
        <f>IFERROR(_xlfn.XLOOKUP($A611,'Base SKUs'!$E:$E,'Base SKUs'!K:K),"")</f>
        <v>14</v>
      </c>
      <c r="R611" s="7">
        <f>IFERROR(_xlfn.XLOOKUP($A611,'Base SKUs'!$E:$E,'Base SKUs'!S:S),"")</f>
        <v>3.0971550959999997E-2</v>
      </c>
      <c r="S611" s="8">
        <f t="shared" si="47"/>
        <v>0</v>
      </c>
      <c r="T611" s="7">
        <f>IFERROR(_xlfn.XLOOKUP($A611,'Base SKUs'!$E:$E,'Base SKUs'!R:R),"")</f>
        <v>452.02800000000002</v>
      </c>
      <c r="U611" s="15">
        <f t="shared" si="48"/>
        <v>0</v>
      </c>
      <c r="V611" t="str">
        <f t="shared" si="49"/>
        <v>Miami</v>
      </c>
    </row>
    <row r="612" spans="1:22" x14ac:dyDescent="0.2">
      <c r="A612" t="s">
        <v>891</v>
      </c>
      <c r="B612" s="5">
        <v>4</v>
      </c>
      <c r="C612" s="5">
        <v>4</v>
      </c>
      <c r="D612" s="5">
        <f t="shared" si="45"/>
        <v>0</v>
      </c>
      <c r="E612" s="6">
        <v>99.102099999999993</v>
      </c>
      <c r="F612" s="6">
        <f t="shared" si="46"/>
        <v>396.40839999999997</v>
      </c>
      <c r="G612" t="s">
        <v>17</v>
      </c>
      <c r="H612">
        <v>9007</v>
      </c>
      <c r="I612" t="str">
        <f>IFERROR(_xlfn.XLOOKUP($A612,'Base SKUs'!$E:$E,'Base SKUs'!A:A),"")</f>
        <v>Ipe</v>
      </c>
      <c r="J612" t="str">
        <f>IFERROR(_xlfn.XLOOKUP($A612,'Base SKUs'!$E:$E,'Base SKUs'!B:B),"")</f>
        <v>Ipe 5/4x12</v>
      </c>
      <c r="K612" t="str">
        <f>IFERROR(_xlfn.XLOOKUP($A612,'Base SKUs'!$E:$E,'Base SKUs'!C:C),"")</f>
        <v>Long</v>
      </c>
      <c r="L612" t="str">
        <f>IFERROR(_xlfn.XLOOKUP($A612,'Base SKUs'!$E:$E,'Base SKUs'!D:D),"")</f>
        <v>Hardwoods</v>
      </c>
      <c r="M612" t="str">
        <f>IFERROR(_xlfn.XLOOKUP($A612,'Base SKUs'!$E:$E,'Base SKUs'!G:G),"")</f>
        <v>Ipe</v>
      </c>
      <c r="N612" t="str">
        <f>IFERROR(_xlfn.XLOOKUP($A612,'Base SKUs'!$E:$E,'Base SKUs'!H:H),"")</f>
        <v>S4S E4E</v>
      </c>
      <c r="O612" t="str">
        <f>IFERROR(_xlfn.XLOOKUP($A612,'Base SKUs'!$E:$E,'Base SKUs'!I:I),"")</f>
        <v>-</v>
      </c>
      <c r="P612" t="str">
        <f>IFERROR(_xlfn.XLOOKUP($A612,'Base SKUs'!$E:$E,'Base SKUs'!J:J),"")</f>
        <v>5/4x12</v>
      </c>
      <c r="Q612">
        <f>IFERROR(_xlfn.XLOOKUP($A612,'Base SKUs'!$E:$E,'Base SKUs'!K:K),"")</f>
        <v>16</v>
      </c>
      <c r="R612" s="7">
        <f>IFERROR(_xlfn.XLOOKUP($A612,'Base SKUs'!$E:$E,'Base SKUs'!S:S),"")</f>
        <v>3.539605824E-2</v>
      </c>
      <c r="S612" s="8">
        <f t="shared" si="47"/>
        <v>0</v>
      </c>
      <c r="T612" s="7">
        <f>IFERROR(_xlfn.XLOOKUP($A612,'Base SKUs'!$E:$E,'Base SKUs'!R:R),"")</f>
        <v>452.02800000000002</v>
      </c>
      <c r="U612" s="15">
        <f t="shared" si="48"/>
        <v>0</v>
      </c>
      <c r="V612" t="str">
        <f t="shared" si="49"/>
        <v>Miami</v>
      </c>
    </row>
    <row r="613" spans="1:22" x14ac:dyDescent="0.2">
      <c r="A613" t="s">
        <v>893</v>
      </c>
      <c r="B613" s="5">
        <v>20</v>
      </c>
      <c r="C613" s="5">
        <v>20</v>
      </c>
      <c r="D613" s="5">
        <f t="shared" si="45"/>
        <v>0</v>
      </c>
      <c r="E613" s="6">
        <v>111.5031</v>
      </c>
      <c r="F613" s="6">
        <f t="shared" si="46"/>
        <v>2230.0619999999999</v>
      </c>
      <c r="G613" t="s">
        <v>17</v>
      </c>
      <c r="H613">
        <v>9007</v>
      </c>
      <c r="I613" t="str">
        <f>IFERROR(_xlfn.XLOOKUP($A613,'Base SKUs'!$E:$E,'Base SKUs'!A:A),"")</f>
        <v>Ipe</v>
      </c>
      <c r="J613" t="str">
        <f>IFERROR(_xlfn.XLOOKUP($A613,'Base SKUs'!$E:$E,'Base SKUs'!B:B),"")</f>
        <v>Ipe 5/4x12</v>
      </c>
      <c r="K613" t="str">
        <f>IFERROR(_xlfn.XLOOKUP($A613,'Base SKUs'!$E:$E,'Base SKUs'!C:C),"")</f>
        <v>Long</v>
      </c>
      <c r="L613" t="str">
        <f>IFERROR(_xlfn.XLOOKUP($A613,'Base SKUs'!$E:$E,'Base SKUs'!D:D),"")</f>
        <v>Hardwoods</v>
      </c>
      <c r="M613" t="str">
        <f>IFERROR(_xlfn.XLOOKUP($A613,'Base SKUs'!$E:$E,'Base SKUs'!G:G),"")</f>
        <v>Ipe</v>
      </c>
      <c r="N613" t="str">
        <f>IFERROR(_xlfn.XLOOKUP($A613,'Base SKUs'!$E:$E,'Base SKUs'!H:H),"")</f>
        <v>S4S E4E</v>
      </c>
      <c r="O613" t="str">
        <f>IFERROR(_xlfn.XLOOKUP($A613,'Base SKUs'!$E:$E,'Base SKUs'!I:I),"")</f>
        <v>-</v>
      </c>
      <c r="P613" t="str">
        <f>IFERROR(_xlfn.XLOOKUP($A613,'Base SKUs'!$E:$E,'Base SKUs'!J:J),"")</f>
        <v>5/4x12</v>
      </c>
      <c r="Q613">
        <f>IFERROR(_xlfn.XLOOKUP($A613,'Base SKUs'!$E:$E,'Base SKUs'!K:K),"")</f>
        <v>18</v>
      </c>
      <c r="R613" s="7">
        <f>IFERROR(_xlfn.XLOOKUP($A613,'Base SKUs'!$E:$E,'Base SKUs'!S:S),"")</f>
        <v>3.9820565519999997E-2</v>
      </c>
      <c r="S613" s="8">
        <f t="shared" si="47"/>
        <v>0</v>
      </c>
      <c r="T613" s="7">
        <f>IFERROR(_xlfn.XLOOKUP($A613,'Base SKUs'!$E:$E,'Base SKUs'!R:R),"")</f>
        <v>452.02800000000002</v>
      </c>
      <c r="U613" s="15">
        <f t="shared" si="48"/>
        <v>0</v>
      </c>
      <c r="V613" t="str">
        <f t="shared" si="49"/>
        <v>Miami</v>
      </c>
    </row>
    <row r="614" spans="1:22" x14ac:dyDescent="0.2">
      <c r="A614" t="s">
        <v>895</v>
      </c>
      <c r="B614" s="5">
        <v>114</v>
      </c>
      <c r="C614" s="5">
        <v>0</v>
      </c>
      <c r="D614" s="5">
        <f t="shared" si="45"/>
        <v>114</v>
      </c>
      <c r="E614" s="6">
        <v>1.77</v>
      </c>
      <c r="F614" s="6">
        <f t="shared" si="46"/>
        <v>201.78</v>
      </c>
      <c r="G614" t="s">
        <v>17</v>
      </c>
      <c r="H614">
        <v>9007</v>
      </c>
      <c r="I614" t="str">
        <f>IFERROR(_xlfn.XLOOKUP($A614,'Base SKUs'!$E:$E,'Base SKUs'!A:A),"")</f>
        <v>Ipe</v>
      </c>
      <c r="J614" t="str">
        <f>IFERROR(_xlfn.XLOOKUP($A614,'Base SKUs'!$E:$E,'Base SKUs'!B:B),"")</f>
        <v>Ipe 5/4x3</v>
      </c>
      <c r="K614" t="str">
        <f>IFERROR(_xlfn.XLOOKUP($A614,'Base SKUs'!$E:$E,'Base SKUs'!C:C),"")</f>
        <v>Long</v>
      </c>
      <c r="L614" t="str">
        <f>IFERROR(_xlfn.XLOOKUP($A614,'Base SKUs'!$E:$E,'Base SKUs'!D:D),"")</f>
        <v>Hardwoods</v>
      </c>
      <c r="M614" t="str">
        <f>IFERROR(_xlfn.XLOOKUP($A614,'Base SKUs'!$E:$E,'Base SKUs'!G:G),"")</f>
        <v>Ipe</v>
      </c>
      <c r="N614" t="str">
        <f>IFERROR(_xlfn.XLOOKUP($A614,'Base SKUs'!$E:$E,'Base SKUs'!H:H),"")</f>
        <v>S4S E4E</v>
      </c>
      <c r="O614" t="str">
        <f>IFERROR(_xlfn.XLOOKUP($A614,'Base SKUs'!$E:$E,'Base SKUs'!I:I),"")</f>
        <v>-</v>
      </c>
      <c r="P614" t="str">
        <f>IFERROR(_xlfn.XLOOKUP($A614,'Base SKUs'!$E:$E,'Base SKUs'!J:J),"")</f>
        <v>5/4x3</v>
      </c>
      <c r="Q614">
        <f>IFERROR(_xlfn.XLOOKUP($A614,'Base SKUs'!$E:$E,'Base SKUs'!K:K),"")</f>
        <v>10</v>
      </c>
      <c r="R614" s="7">
        <f>IFERROR(_xlfn.XLOOKUP($A614,'Base SKUs'!$E:$E,'Base SKUs'!S:S),"")</f>
        <v>5.8993430399999994E-3</v>
      </c>
      <c r="S614" s="8">
        <f t="shared" si="47"/>
        <v>0.67252510655999997</v>
      </c>
      <c r="T614" s="7">
        <f>IFERROR(_xlfn.XLOOKUP($A614,'Base SKUs'!$E:$E,'Base SKUs'!R:R),"")</f>
        <v>1695.104</v>
      </c>
      <c r="U614" s="15">
        <f t="shared" si="48"/>
        <v>1140</v>
      </c>
      <c r="V614" t="str">
        <f t="shared" si="49"/>
        <v>Miami</v>
      </c>
    </row>
    <row r="615" spans="1:22" x14ac:dyDescent="0.2">
      <c r="A615" t="s">
        <v>897</v>
      </c>
      <c r="B615" s="5">
        <v>3</v>
      </c>
      <c r="C615" s="5">
        <v>0</v>
      </c>
      <c r="D615" s="5">
        <f t="shared" si="45"/>
        <v>3</v>
      </c>
      <c r="E615" s="6">
        <v>12.8018</v>
      </c>
      <c r="F615" s="6">
        <f t="shared" si="46"/>
        <v>38.4054</v>
      </c>
      <c r="G615" t="s">
        <v>17</v>
      </c>
      <c r="H615">
        <v>9007</v>
      </c>
      <c r="I615" t="str">
        <f>IFERROR(_xlfn.XLOOKUP($A615,'Base SKUs'!$E:$E,'Base SKUs'!A:A),"")</f>
        <v>Ipe</v>
      </c>
      <c r="J615" t="str">
        <f>IFERROR(_xlfn.XLOOKUP($A615,'Base SKUs'!$E:$E,'Base SKUs'!B:B),"")</f>
        <v>Ipe 5/4x4</v>
      </c>
      <c r="K615" t="str">
        <f>IFERROR(_xlfn.XLOOKUP($A615,'Base SKUs'!$E:$E,'Base SKUs'!C:C),"")</f>
        <v>Long</v>
      </c>
      <c r="L615" t="str">
        <f>IFERROR(_xlfn.XLOOKUP($A615,'Base SKUs'!$E:$E,'Base SKUs'!D:D),"")</f>
        <v>Hardwoods</v>
      </c>
      <c r="M615" t="str">
        <f>IFERROR(_xlfn.XLOOKUP($A615,'Base SKUs'!$E:$E,'Base SKUs'!G:G),"")</f>
        <v>Ipe</v>
      </c>
      <c r="N615" t="str">
        <f>IFERROR(_xlfn.XLOOKUP($A615,'Base SKUs'!$E:$E,'Base SKUs'!H:H),"")</f>
        <v>Grooved</v>
      </c>
      <c r="O615" t="str">
        <f>IFERROR(_xlfn.XLOOKUP($A615,'Base SKUs'!$E:$E,'Base SKUs'!I:I),"")</f>
        <v>-</v>
      </c>
      <c r="P615" t="str">
        <f>IFERROR(_xlfn.XLOOKUP($A615,'Base SKUs'!$E:$E,'Base SKUs'!J:J),"")</f>
        <v>5/4x4</v>
      </c>
      <c r="Q615">
        <f>IFERROR(_xlfn.XLOOKUP($A615,'Base SKUs'!$E:$E,'Base SKUs'!K:K),"")</f>
        <v>10</v>
      </c>
      <c r="R615" s="7">
        <f>IFERROR(_xlfn.XLOOKUP($A615,'Base SKUs'!$E:$E,'Base SKUs'!S:S),"")</f>
        <v>6.8825668800000014E-3</v>
      </c>
      <c r="S615" s="8">
        <f t="shared" si="47"/>
        <v>2.0647700640000002E-2</v>
      </c>
      <c r="T615" s="7">
        <f>IFERROR(_xlfn.XLOOKUP($A615,'Base SKUs'!$E:$E,'Base SKUs'!R:R),"")</f>
        <v>1452.9459999999999</v>
      </c>
      <c r="U615" s="15">
        <f t="shared" si="48"/>
        <v>30</v>
      </c>
      <c r="V615" t="str">
        <f t="shared" si="49"/>
        <v>Miami</v>
      </c>
    </row>
    <row r="616" spans="1:22" x14ac:dyDescent="0.2">
      <c r="A616" t="s">
        <v>897</v>
      </c>
      <c r="B616" s="5">
        <v>440</v>
      </c>
      <c r="C616" s="5">
        <v>0</v>
      </c>
      <c r="D616" s="5">
        <f t="shared" si="45"/>
        <v>440</v>
      </c>
      <c r="E616" s="6">
        <v>12.8018</v>
      </c>
      <c r="F616" s="6">
        <f t="shared" si="46"/>
        <v>5632.7920000000004</v>
      </c>
      <c r="G616" t="s">
        <v>24</v>
      </c>
      <c r="H616">
        <v>9008</v>
      </c>
      <c r="I616" t="str">
        <f>IFERROR(_xlfn.XLOOKUP($A616,'Base SKUs'!$E:$E,'Base SKUs'!A:A),"")</f>
        <v>Ipe</v>
      </c>
      <c r="J616" t="str">
        <f>IFERROR(_xlfn.XLOOKUP($A616,'Base SKUs'!$E:$E,'Base SKUs'!B:B),"")</f>
        <v>Ipe 5/4x4</v>
      </c>
      <c r="K616" t="str">
        <f>IFERROR(_xlfn.XLOOKUP($A616,'Base SKUs'!$E:$E,'Base SKUs'!C:C),"")</f>
        <v>Long</v>
      </c>
      <c r="L616" t="str">
        <f>IFERROR(_xlfn.XLOOKUP($A616,'Base SKUs'!$E:$E,'Base SKUs'!D:D),"")</f>
        <v>Hardwoods</v>
      </c>
      <c r="M616" t="str">
        <f>IFERROR(_xlfn.XLOOKUP($A616,'Base SKUs'!$E:$E,'Base SKUs'!G:G),"")</f>
        <v>Ipe</v>
      </c>
      <c r="N616" t="str">
        <f>IFERROR(_xlfn.XLOOKUP($A616,'Base SKUs'!$E:$E,'Base SKUs'!H:H),"")</f>
        <v>Grooved</v>
      </c>
      <c r="O616" t="str">
        <f>IFERROR(_xlfn.XLOOKUP($A616,'Base SKUs'!$E:$E,'Base SKUs'!I:I),"")</f>
        <v>-</v>
      </c>
      <c r="P616" t="str">
        <f>IFERROR(_xlfn.XLOOKUP($A616,'Base SKUs'!$E:$E,'Base SKUs'!J:J),"")</f>
        <v>5/4x4</v>
      </c>
      <c r="Q616">
        <f>IFERROR(_xlfn.XLOOKUP($A616,'Base SKUs'!$E:$E,'Base SKUs'!K:K),"")</f>
        <v>10</v>
      </c>
      <c r="R616" s="7">
        <f>IFERROR(_xlfn.XLOOKUP($A616,'Base SKUs'!$E:$E,'Base SKUs'!S:S),"")</f>
        <v>6.8825668800000014E-3</v>
      </c>
      <c r="S616" s="8">
        <f t="shared" si="47"/>
        <v>3.0283294272000005</v>
      </c>
      <c r="T616" s="7">
        <f>IFERROR(_xlfn.XLOOKUP($A616,'Base SKUs'!$E:$E,'Base SKUs'!R:R),"")</f>
        <v>1452.9459999999999</v>
      </c>
      <c r="U616" s="15">
        <f t="shared" si="48"/>
        <v>4400</v>
      </c>
      <c r="V616" t="str">
        <f t="shared" si="49"/>
        <v>Texas</v>
      </c>
    </row>
    <row r="617" spans="1:22" x14ac:dyDescent="0.2">
      <c r="A617" t="s">
        <v>897</v>
      </c>
      <c r="B617" s="5">
        <v>2647</v>
      </c>
      <c r="C617" s="5">
        <v>0</v>
      </c>
      <c r="D617" s="5">
        <f t="shared" si="45"/>
        <v>2647</v>
      </c>
      <c r="E617" s="6">
        <v>14.0168</v>
      </c>
      <c r="F617" s="6">
        <f t="shared" si="46"/>
        <v>37102.469599999997</v>
      </c>
      <c r="G617" t="s">
        <v>330</v>
      </c>
      <c r="H617">
        <v>9011</v>
      </c>
      <c r="I617" t="str">
        <f>IFERROR(_xlfn.XLOOKUP($A617,'Base SKUs'!$E:$E,'Base SKUs'!A:A),"")</f>
        <v>Ipe</v>
      </c>
      <c r="J617" t="str">
        <f>IFERROR(_xlfn.XLOOKUP($A617,'Base SKUs'!$E:$E,'Base SKUs'!B:B),"")</f>
        <v>Ipe 5/4x4</v>
      </c>
      <c r="K617" t="str">
        <f>IFERROR(_xlfn.XLOOKUP($A617,'Base SKUs'!$E:$E,'Base SKUs'!C:C),"")</f>
        <v>Long</v>
      </c>
      <c r="L617" t="str">
        <f>IFERROR(_xlfn.XLOOKUP($A617,'Base SKUs'!$E:$E,'Base SKUs'!D:D),"")</f>
        <v>Hardwoods</v>
      </c>
      <c r="M617" t="str">
        <f>IFERROR(_xlfn.XLOOKUP($A617,'Base SKUs'!$E:$E,'Base SKUs'!G:G),"")</f>
        <v>Ipe</v>
      </c>
      <c r="N617" t="str">
        <f>IFERROR(_xlfn.XLOOKUP($A617,'Base SKUs'!$E:$E,'Base SKUs'!H:H),"")</f>
        <v>Grooved</v>
      </c>
      <c r="O617" t="str">
        <f>IFERROR(_xlfn.XLOOKUP($A617,'Base SKUs'!$E:$E,'Base SKUs'!I:I),"")</f>
        <v>-</v>
      </c>
      <c r="P617" t="str">
        <f>IFERROR(_xlfn.XLOOKUP($A617,'Base SKUs'!$E:$E,'Base SKUs'!J:J),"")</f>
        <v>5/4x4</v>
      </c>
      <c r="Q617">
        <f>IFERROR(_xlfn.XLOOKUP($A617,'Base SKUs'!$E:$E,'Base SKUs'!K:K),"")</f>
        <v>10</v>
      </c>
      <c r="R617" s="7">
        <f>IFERROR(_xlfn.XLOOKUP($A617,'Base SKUs'!$E:$E,'Base SKUs'!S:S),"")</f>
        <v>6.8825668800000014E-3</v>
      </c>
      <c r="S617" s="8">
        <f t="shared" si="47"/>
        <v>18.218154531360003</v>
      </c>
      <c r="T617" s="7">
        <f>IFERROR(_xlfn.XLOOKUP($A617,'Base SKUs'!$E:$E,'Base SKUs'!R:R),"")</f>
        <v>1452.9459999999999</v>
      </c>
      <c r="U617" s="15">
        <f t="shared" si="48"/>
        <v>26470</v>
      </c>
      <c r="V617" t="str">
        <f t="shared" si="49"/>
        <v>New York</v>
      </c>
    </row>
    <row r="618" spans="1:22" x14ac:dyDescent="0.2">
      <c r="A618" t="s">
        <v>899</v>
      </c>
      <c r="B618" s="5">
        <v>110</v>
      </c>
      <c r="C618" s="5">
        <v>0</v>
      </c>
      <c r="D618" s="5">
        <f t="shared" si="45"/>
        <v>110</v>
      </c>
      <c r="E618" s="6">
        <v>12.8018</v>
      </c>
      <c r="F618" s="6">
        <f t="shared" si="46"/>
        <v>1408.1980000000001</v>
      </c>
      <c r="G618" t="s">
        <v>24</v>
      </c>
      <c r="H618">
        <v>9008</v>
      </c>
      <c r="I618" t="str">
        <f>IFERROR(_xlfn.XLOOKUP($A618,'Base SKUs'!$E:$E,'Base SKUs'!A:A),"")</f>
        <v>Ipe</v>
      </c>
      <c r="J618" t="str">
        <f>IFERROR(_xlfn.XLOOKUP($A618,'Base SKUs'!$E:$E,'Base SKUs'!B:B),"")</f>
        <v>Ipe 5/4x4</v>
      </c>
      <c r="K618" t="str">
        <f>IFERROR(_xlfn.XLOOKUP($A618,'Base SKUs'!$E:$E,'Base SKUs'!C:C),"")</f>
        <v>Long</v>
      </c>
      <c r="L618" t="str">
        <f>IFERROR(_xlfn.XLOOKUP($A618,'Base SKUs'!$E:$E,'Base SKUs'!D:D),"")</f>
        <v>Hardwoods</v>
      </c>
      <c r="M618" t="str">
        <f>IFERROR(_xlfn.XLOOKUP($A618,'Base SKUs'!$E:$E,'Base SKUs'!G:G),"")</f>
        <v>Ipe</v>
      </c>
      <c r="N618" t="str">
        <f>IFERROR(_xlfn.XLOOKUP($A618,'Base SKUs'!$E:$E,'Base SKUs'!H:H),"")</f>
        <v>S4S E4E</v>
      </c>
      <c r="O618" t="str">
        <f>IFERROR(_xlfn.XLOOKUP($A618,'Base SKUs'!$E:$E,'Base SKUs'!I:I),"")</f>
        <v>-</v>
      </c>
      <c r="P618" t="str">
        <f>IFERROR(_xlfn.XLOOKUP($A618,'Base SKUs'!$E:$E,'Base SKUs'!J:J),"")</f>
        <v>5/4x4</v>
      </c>
      <c r="Q618">
        <f>IFERROR(_xlfn.XLOOKUP($A618,'Base SKUs'!$E:$E,'Base SKUs'!K:K),"")</f>
        <v>10</v>
      </c>
      <c r="R618" s="7">
        <f>IFERROR(_xlfn.XLOOKUP($A618,'Base SKUs'!$E:$E,'Base SKUs'!S:S),"")</f>
        <v>6.8825668800000014E-3</v>
      </c>
      <c r="S618" s="8">
        <f t="shared" si="47"/>
        <v>0.75708235680000013</v>
      </c>
      <c r="T618" s="7">
        <f>IFERROR(_xlfn.XLOOKUP($A618,'Base SKUs'!$E:$E,'Base SKUs'!R:R),"")</f>
        <v>1452.9459999999999</v>
      </c>
      <c r="U618" s="15">
        <f t="shared" si="48"/>
        <v>1100</v>
      </c>
      <c r="V618" t="str">
        <f t="shared" si="49"/>
        <v>Texas</v>
      </c>
    </row>
    <row r="619" spans="1:22" x14ac:dyDescent="0.2">
      <c r="A619" t="s">
        <v>899</v>
      </c>
      <c r="B619" s="5">
        <v>1380</v>
      </c>
      <c r="C619" s="5">
        <v>67</v>
      </c>
      <c r="D619" s="5">
        <f t="shared" si="45"/>
        <v>1313</v>
      </c>
      <c r="E619" s="6">
        <v>12.8018</v>
      </c>
      <c r="F619" s="6">
        <f t="shared" si="46"/>
        <v>17666.484</v>
      </c>
      <c r="G619" t="s">
        <v>125</v>
      </c>
      <c r="H619">
        <v>9009</v>
      </c>
      <c r="I619" t="str">
        <f>IFERROR(_xlfn.XLOOKUP($A619,'Base SKUs'!$E:$E,'Base SKUs'!A:A),"")</f>
        <v>Ipe</v>
      </c>
      <c r="J619" t="str">
        <f>IFERROR(_xlfn.XLOOKUP($A619,'Base SKUs'!$E:$E,'Base SKUs'!B:B),"")</f>
        <v>Ipe 5/4x4</v>
      </c>
      <c r="K619" t="str">
        <f>IFERROR(_xlfn.XLOOKUP($A619,'Base SKUs'!$E:$E,'Base SKUs'!C:C),"")</f>
        <v>Long</v>
      </c>
      <c r="L619" t="str">
        <f>IFERROR(_xlfn.XLOOKUP($A619,'Base SKUs'!$E:$E,'Base SKUs'!D:D),"")</f>
        <v>Hardwoods</v>
      </c>
      <c r="M619" t="str">
        <f>IFERROR(_xlfn.XLOOKUP($A619,'Base SKUs'!$E:$E,'Base SKUs'!G:G),"")</f>
        <v>Ipe</v>
      </c>
      <c r="N619" t="str">
        <f>IFERROR(_xlfn.XLOOKUP($A619,'Base SKUs'!$E:$E,'Base SKUs'!H:H),"")</f>
        <v>S4S E4E</v>
      </c>
      <c r="O619" t="str">
        <f>IFERROR(_xlfn.XLOOKUP($A619,'Base SKUs'!$E:$E,'Base SKUs'!I:I),"")</f>
        <v>-</v>
      </c>
      <c r="P619" t="str">
        <f>IFERROR(_xlfn.XLOOKUP($A619,'Base SKUs'!$E:$E,'Base SKUs'!J:J),"")</f>
        <v>5/4x4</v>
      </c>
      <c r="Q619">
        <f>IFERROR(_xlfn.XLOOKUP($A619,'Base SKUs'!$E:$E,'Base SKUs'!K:K),"")</f>
        <v>10</v>
      </c>
      <c r="R619" s="7">
        <f>IFERROR(_xlfn.XLOOKUP($A619,'Base SKUs'!$E:$E,'Base SKUs'!S:S),"")</f>
        <v>6.8825668800000014E-3</v>
      </c>
      <c r="S619" s="8">
        <f t="shared" si="47"/>
        <v>9.036810313440002</v>
      </c>
      <c r="T619" s="7">
        <f>IFERROR(_xlfn.XLOOKUP($A619,'Base SKUs'!$E:$E,'Base SKUs'!R:R),"")</f>
        <v>1452.9459999999999</v>
      </c>
      <c r="U619" s="15">
        <f t="shared" si="48"/>
        <v>13130</v>
      </c>
      <c r="V619" t="str">
        <f t="shared" si="49"/>
        <v>Boston</v>
      </c>
    </row>
    <row r="620" spans="1:22" x14ac:dyDescent="0.2">
      <c r="A620" t="s">
        <v>899</v>
      </c>
      <c r="B620" s="5">
        <v>1048</v>
      </c>
      <c r="C620" s="5">
        <v>0</v>
      </c>
      <c r="D620" s="5">
        <f t="shared" si="45"/>
        <v>1048</v>
      </c>
      <c r="E620" s="6">
        <v>14.378299999999999</v>
      </c>
      <c r="F620" s="6">
        <f t="shared" si="46"/>
        <v>15068.4584</v>
      </c>
      <c r="G620" t="s">
        <v>330</v>
      </c>
      <c r="H620">
        <v>9011</v>
      </c>
      <c r="I620" t="str">
        <f>IFERROR(_xlfn.XLOOKUP($A620,'Base SKUs'!$E:$E,'Base SKUs'!A:A),"")</f>
        <v>Ipe</v>
      </c>
      <c r="J620" t="str">
        <f>IFERROR(_xlfn.XLOOKUP($A620,'Base SKUs'!$E:$E,'Base SKUs'!B:B),"")</f>
        <v>Ipe 5/4x4</v>
      </c>
      <c r="K620" t="str">
        <f>IFERROR(_xlfn.XLOOKUP($A620,'Base SKUs'!$E:$E,'Base SKUs'!C:C),"")</f>
        <v>Long</v>
      </c>
      <c r="L620" t="str">
        <f>IFERROR(_xlfn.XLOOKUP($A620,'Base SKUs'!$E:$E,'Base SKUs'!D:D),"")</f>
        <v>Hardwoods</v>
      </c>
      <c r="M620" t="str">
        <f>IFERROR(_xlfn.XLOOKUP($A620,'Base SKUs'!$E:$E,'Base SKUs'!G:G),"")</f>
        <v>Ipe</v>
      </c>
      <c r="N620" t="str">
        <f>IFERROR(_xlfn.XLOOKUP($A620,'Base SKUs'!$E:$E,'Base SKUs'!H:H),"")</f>
        <v>S4S E4E</v>
      </c>
      <c r="O620" t="str">
        <f>IFERROR(_xlfn.XLOOKUP($A620,'Base SKUs'!$E:$E,'Base SKUs'!I:I),"")</f>
        <v>-</v>
      </c>
      <c r="P620" t="str">
        <f>IFERROR(_xlfn.XLOOKUP($A620,'Base SKUs'!$E:$E,'Base SKUs'!J:J),"")</f>
        <v>5/4x4</v>
      </c>
      <c r="Q620">
        <f>IFERROR(_xlfn.XLOOKUP($A620,'Base SKUs'!$E:$E,'Base SKUs'!K:K),"")</f>
        <v>10</v>
      </c>
      <c r="R620" s="7">
        <f>IFERROR(_xlfn.XLOOKUP($A620,'Base SKUs'!$E:$E,'Base SKUs'!S:S),"")</f>
        <v>6.8825668800000014E-3</v>
      </c>
      <c r="S620" s="8">
        <f t="shared" si="47"/>
        <v>7.2129300902400013</v>
      </c>
      <c r="T620" s="7">
        <f>IFERROR(_xlfn.XLOOKUP($A620,'Base SKUs'!$E:$E,'Base SKUs'!R:R),"")</f>
        <v>1452.9459999999999</v>
      </c>
      <c r="U620" s="15">
        <f t="shared" si="48"/>
        <v>10480</v>
      </c>
      <c r="V620" t="str">
        <f t="shared" si="49"/>
        <v>New York</v>
      </c>
    </row>
    <row r="621" spans="1:22" x14ac:dyDescent="0.2">
      <c r="A621" t="s">
        <v>901</v>
      </c>
      <c r="B621" s="5">
        <v>10</v>
      </c>
      <c r="C621" s="5">
        <v>0</v>
      </c>
      <c r="D621" s="5">
        <f t="shared" si="45"/>
        <v>10</v>
      </c>
      <c r="E621" s="6">
        <v>21.509</v>
      </c>
      <c r="F621" s="6">
        <f t="shared" si="46"/>
        <v>215.09</v>
      </c>
      <c r="G621" t="s">
        <v>17</v>
      </c>
      <c r="H621">
        <v>9007</v>
      </c>
      <c r="I621" t="str">
        <f>IFERROR(_xlfn.XLOOKUP($A621,'Base SKUs'!$E:$E,'Base SKUs'!A:A),"")</f>
        <v>Ipe</v>
      </c>
      <c r="J621" t="str">
        <f>IFERROR(_xlfn.XLOOKUP($A621,'Base SKUs'!$E:$E,'Base SKUs'!B:B),"")</f>
        <v>Ipe 5/4x4</v>
      </c>
      <c r="K621" t="str">
        <f>IFERROR(_xlfn.XLOOKUP($A621,'Base SKUs'!$E:$E,'Base SKUs'!C:C),"")</f>
        <v>Long</v>
      </c>
      <c r="L621" t="str">
        <f>IFERROR(_xlfn.XLOOKUP($A621,'Base SKUs'!$E:$E,'Base SKUs'!D:D),"")</f>
        <v>Hardwoods</v>
      </c>
      <c r="M621" t="str">
        <f>IFERROR(_xlfn.XLOOKUP($A621,'Base SKUs'!$E:$E,'Base SKUs'!G:G),"")</f>
        <v>Ipe</v>
      </c>
      <c r="N621" t="str">
        <f>IFERROR(_xlfn.XLOOKUP($A621,'Base SKUs'!$E:$E,'Base SKUs'!H:H),"")</f>
        <v>Grooved</v>
      </c>
      <c r="O621" t="str">
        <f>IFERROR(_xlfn.XLOOKUP($A621,'Base SKUs'!$E:$E,'Base SKUs'!I:I),"")</f>
        <v>-</v>
      </c>
      <c r="P621" t="str">
        <f>IFERROR(_xlfn.XLOOKUP($A621,'Base SKUs'!$E:$E,'Base SKUs'!J:J),"")</f>
        <v>5/4x4</v>
      </c>
      <c r="Q621">
        <f>IFERROR(_xlfn.XLOOKUP($A621,'Base SKUs'!$E:$E,'Base SKUs'!K:K),"")</f>
        <v>12</v>
      </c>
      <c r="R621" s="7">
        <f>IFERROR(_xlfn.XLOOKUP($A621,'Base SKUs'!$E:$E,'Base SKUs'!S:S),"")</f>
        <v>8.259080256000001E-3</v>
      </c>
      <c r="S621" s="8">
        <f t="shared" si="47"/>
        <v>8.259080256000001E-2</v>
      </c>
      <c r="T621" s="7">
        <f>IFERROR(_xlfn.XLOOKUP($A621,'Base SKUs'!$E:$E,'Base SKUs'!R:R),"")</f>
        <v>1452.9459999999999</v>
      </c>
      <c r="U621" s="15">
        <f t="shared" si="48"/>
        <v>120</v>
      </c>
      <c r="V621" t="str">
        <f t="shared" si="49"/>
        <v>Miami</v>
      </c>
    </row>
    <row r="622" spans="1:22" x14ac:dyDescent="0.2">
      <c r="A622" t="s">
        <v>901</v>
      </c>
      <c r="B622" s="5">
        <v>550</v>
      </c>
      <c r="C622" s="5">
        <v>0</v>
      </c>
      <c r="D622" s="5">
        <f t="shared" si="45"/>
        <v>550</v>
      </c>
      <c r="E622" s="6">
        <v>21.3565</v>
      </c>
      <c r="F622" s="6">
        <f t="shared" si="46"/>
        <v>11746.075000000001</v>
      </c>
      <c r="G622" t="s">
        <v>330</v>
      </c>
      <c r="H622">
        <v>9011</v>
      </c>
      <c r="I622" t="str">
        <f>IFERROR(_xlfn.XLOOKUP($A622,'Base SKUs'!$E:$E,'Base SKUs'!A:A),"")</f>
        <v>Ipe</v>
      </c>
      <c r="J622" t="str">
        <f>IFERROR(_xlfn.XLOOKUP($A622,'Base SKUs'!$E:$E,'Base SKUs'!B:B),"")</f>
        <v>Ipe 5/4x4</v>
      </c>
      <c r="K622" t="str">
        <f>IFERROR(_xlfn.XLOOKUP($A622,'Base SKUs'!$E:$E,'Base SKUs'!C:C),"")</f>
        <v>Long</v>
      </c>
      <c r="L622" t="str">
        <f>IFERROR(_xlfn.XLOOKUP($A622,'Base SKUs'!$E:$E,'Base SKUs'!D:D),"")</f>
        <v>Hardwoods</v>
      </c>
      <c r="M622" t="str">
        <f>IFERROR(_xlfn.XLOOKUP($A622,'Base SKUs'!$E:$E,'Base SKUs'!G:G),"")</f>
        <v>Ipe</v>
      </c>
      <c r="N622" t="str">
        <f>IFERROR(_xlfn.XLOOKUP($A622,'Base SKUs'!$E:$E,'Base SKUs'!H:H),"")</f>
        <v>Grooved</v>
      </c>
      <c r="O622" t="str">
        <f>IFERROR(_xlfn.XLOOKUP($A622,'Base SKUs'!$E:$E,'Base SKUs'!I:I),"")</f>
        <v>-</v>
      </c>
      <c r="P622" t="str">
        <f>IFERROR(_xlfn.XLOOKUP($A622,'Base SKUs'!$E:$E,'Base SKUs'!J:J),"")</f>
        <v>5/4x4</v>
      </c>
      <c r="Q622">
        <f>IFERROR(_xlfn.XLOOKUP($A622,'Base SKUs'!$E:$E,'Base SKUs'!K:K),"")</f>
        <v>12</v>
      </c>
      <c r="R622" s="7">
        <f>IFERROR(_xlfn.XLOOKUP($A622,'Base SKUs'!$E:$E,'Base SKUs'!S:S),"")</f>
        <v>8.259080256000001E-3</v>
      </c>
      <c r="S622" s="8">
        <f t="shared" si="47"/>
        <v>4.5424941408000006</v>
      </c>
      <c r="T622" s="7">
        <f>IFERROR(_xlfn.XLOOKUP($A622,'Base SKUs'!$E:$E,'Base SKUs'!R:R),"")</f>
        <v>1452.9459999999999</v>
      </c>
      <c r="U622" s="15">
        <f t="shared" si="48"/>
        <v>6600</v>
      </c>
      <c r="V622" t="str">
        <f t="shared" si="49"/>
        <v>New York</v>
      </c>
    </row>
    <row r="623" spans="1:22" x14ac:dyDescent="0.2">
      <c r="A623" t="s">
        <v>903</v>
      </c>
      <c r="B623" s="5">
        <v>243</v>
      </c>
      <c r="C623" s="5">
        <v>243</v>
      </c>
      <c r="D623" s="5">
        <f t="shared" si="45"/>
        <v>0</v>
      </c>
      <c r="E623" s="6">
        <v>21.4696</v>
      </c>
      <c r="F623" s="6">
        <f t="shared" si="46"/>
        <v>5217.1127999999999</v>
      </c>
      <c r="G623" t="s">
        <v>125</v>
      </c>
      <c r="H623">
        <v>9009</v>
      </c>
      <c r="I623" t="str">
        <f>IFERROR(_xlfn.XLOOKUP($A623,'Base SKUs'!$E:$E,'Base SKUs'!A:A),"")</f>
        <v>Ipe</v>
      </c>
      <c r="J623" t="str">
        <f>IFERROR(_xlfn.XLOOKUP($A623,'Base SKUs'!$E:$E,'Base SKUs'!B:B),"")</f>
        <v>Ipe 5/4x4</v>
      </c>
      <c r="K623" t="str">
        <f>IFERROR(_xlfn.XLOOKUP($A623,'Base SKUs'!$E:$E,'Base SKUs'!C:C),"")</f>
        <v>Long</v>
      </c>
      <c r="L623" t="str">
        <f>IFERROR(_xlfn.XLOOKUP($A623,'Base SKUs'!$E:$E,'Base SKUs'!D:D),"")</f>
        <v>Hardwoods</v>
      </c>
      <c r="M623" t="str">
        <f>IFERROR(_xlfn.XLOOKUP($A623,'Base SKUs'!$E:$E,'Base SKUs'!G:G),"")</f>
        <v>Ipe</v>
      </c>
      <c r="N623" t="str">
        <f>IFERROR(_xlfn.XLOOKUP($A623,'Base SKUs'!$E:$E,'Base SKUs'!H:H),"")</f>
        <v>S4S E4E</v>
      </c>
      <c r="O623" t="str">
        <f>IFERROR(_xlfn.XLOOKUP($A623,'Base SKUs'!$E:$E,'Base SKUs'!I:I),"")</f>
        <v>-</v>
      </c>
      <c r="P623" t="str">
        <f>IFERROR(_xlfn.XLOOKUP($A623,'Base SKUs'!$E:$E,'Base SKUs'!J:J),"")</f>
        <v>5/4x4</v>
      </c>
      <c r="Q623">
        <f>IFERROR(_xlfn.XLOOKUP($A623,'Base SKUs'!$E:$E,'Base SKUs'!K:K),"")</f>
        <v>12</v>
      </c>
      <c r="R623" s="7">
        <f>IFERROR(_xlfn.XLOOKUP($A623,'Base SKUs'!$E:$E,'Base SKUs'!S:S),"")</f>
        <v>8.259080256000001E-3</v>
      </c>
      <c r="S623" s="8">
        <f t="shared" si="47"/>
        <v>0</v>
      </c>
      <c r="T623" s="7">
        <f>IFERROR(_xlfn.XLOOKUP($A623,'Base SKUs'!$E:$E,'Base SKUs'!R:R),"")</f>
        <v>1452.9459999999999</v>
      </c>
      <c r="U623" s="15">
        <f t="shared" si="48"/>
        <v>0</v>
      </c>
      <c r="V623" t="str">
        <f t="shared" si="49"/>
        <v>Boston</v>
      </c>
    </row>
    <row r="624" spans="1:22" x14ac:dyDescent="0.2">
      <c r="A624" t="s">
        <v>903</v>
      </c>
      <c r="B624" s="5">
        <v>62</v>
      </c>
      <c r="C624" s="5">
        <v>0</v>
      </c>
      <c r="D624" s="5">
        <f t="shared" si="45"/>
        <v>62</v>
      </c>
      <c r="E624" s="6">
        <v>21.3565</v>
      </c>
      <c r="F624" s="6">
        <f t="shared" si="46"/>
        <v>1324.1030000000001</v>
      </c>
      <c r="G624" t="s">
        <v>330</v>
      </c>
      <c r="H624">
        <v>9011</v>
      </c>
      <c r="I624" t="str">
        <f>IFERROR(_xlfn.XLOOKUP($A624,'Base SKUs'!$E:$E,'Base SKUs'!A:A),"")</f>
        <v>Ipe</v>
      </c>
      <c r="J624" t="str">
        <f>IFERROR(_xlfn.XLOOKUP($A624,'Base SKUs'!$E:$E,'Base SKUs'!B:B),"")</f>
        <v>Ipe 5/4x4</v>
      </c>
      <c r="K624" t="str">
        <f>IFERROR(_xlfn.XLOOKUP($A624,'Base SKUs'!$E:$E,'Base SKUs'!C:C),"")</f>
        <v>Long</v>
      </c>
      <c r="L624" t="str">
        <f>IFERROR(_xlfn.XLOOKUP($A624,'Base SKUs'!$E:$E,'Base SKUs'!D:D),"")</f>
        <v>Hardwoods</v>
      </c>
      <c r="M624" t="str">
        <f>IFERROR(_xlfn.XLOOKUP($A624,'Base SKUs'!$E:$E,'Base SKUs'!G:G),"")</f>
        <v>Ipe</v>
      </c>
      <c r="N624" t="str">
        <f>IFERROR(_xlfn.XLOOKUP($A624,'Base SKUs'!$E:$E,'Base SKUs'!H:H),"")</f>
        <v>S4S E4E</v>
      </c>
      <c r="O624" t="str">
        <f>IFERROR(_xlfn.XLOOKUP($A624,'Base SKUs'!$E:$E,'Base SKUs'!I:I),"")</f>
        <v>-</v>
      </c>
      <c r="P624" t="str">
        <f>IFERROR(_xlfn.XLOOKUP($A624,'Base SKUs'!$E:$E,'Base SKUs'!J:J),"")</f>
        <v>5/4x4</v>
      </c>
      <c r="Q624">
        <f>IFERROR(_xlfn.XLOOKUP($A624,'Base SKUs'!$E:$E,'Base SKUs'!K:K),"")</f>
        <v>12</v>
      </c>
      <c r="R624" s="7">
        <f>IFERROR(_xlfn.XLOOKUP($A624,'Base SKUs'!$E:$E,'Base SKUs'!S:S),"")</f>
        <v>8.259080256000001E-3</v>
      </c>
      <c r="S624" s="8">
        <f t="shared" si="47"/>
        <v>0.51206297587200011</v>
      </c>
      <c r="T624" s="7">
        <f>IFERROR(_xlfn.XLOOKUP($A624,'Base SKUs'!$E:$E,'Base SKUs'!R:R),"")</f>
        <v>1452.9459999999999</v>
      </c>
      <c r="U624" s="15">
        <f t="shared" si="48"/>
        <v>744</v>
      </c>
      <c r="V624" t="str">
        <f t="shared" si="49"/>
        <v>New York</v>
      </c>
    </row>
    <row r="625" spans="1:22" x14ac:dyDescent="0.2">
      <c r="A625" t="s">
        <v>3652</v>
      </c>
      <c r="B625" s="5">
        <v>251</v>
      </c>
      <c r="C625" s="5">
        <v>0</v>
      </c>
      <c r="D625" s="5">
        <f t="shared" si="45"/>
        <v>251</v>
      </c>
      <c r="E625" s="6">
        <v>24.915900000000001</v>
      </c>
      <c r="F625" s="6">
        <f t="shared" si="46"/>
        <v>6253.8909000000003</v>
      </c>
      <c r="G625" t="s">
        <v>330</v>
      </c>
      <c r="H625">
        <v>9011</v>
      </c>
      <c r="I625" t="str">
        <f>IFERROR(_xlfn.XLOOKUP($A625,'Base SKUs'!$E:$E,'Base SKUs'!A:A),"")</f>
        <v>Ipe</v>
      </c>
      <c r="J625" t="str">
        <f>IFERROR(_xlfn.XLOOKUP($A625,'Base SKUs'!$E:$E,'Base SKUs'!B:B),"")</f>
        <v>Ipe 5/4x4</v>
      </c>
      <c r="K625" t="str">
        <f>IFERROR(_xlfn.XLOOKUP($A625,'Base SKUs'!$E:$E,'Base SKUs'!C:C),"")</f>
        <v>Long</v>
      </c>
      <c r="L625" t="str">
        <f>IFERROR(_xlfn.XLOOKUP($A625,'Base SKUs'!$E:$E,'Base SKUs'!D:D),"")</f>
        <v>Hardwoods</v>
      </c>
      <c r="M625" t="str">
        <f>IFERROR(_xlfn.XLOOKUP($A625,'Base SKUs'!$E:$E,'Base SKUs'!G:G),"")</f>
        <v>Ipe</v>
      </c>
      <c r="N625" t="str">
        <f>IFERROR(_xlfn.XLOOKUP($A625,'Base SKUs'!$E:$E,'Base SKUs'!H:H),"")</f>
        <v>Grooved</v>
      </c>
      <c r="O625" t="str">
        <f>IFERROR(_xlfn.XLOOKUP($A625,'Base SKUs'!$E:$E,'Base SKUs'!I:I),"")</f>
        <v>-</v>
      </c>
      <c r="P625" t="str">
        <f>IFERROR(_xlfn.XLOOKUP($A625,'Base SKUs'!$E:$E,'Base SKUs'!J:J),"")</f>
        <v>5/4x4</v>
      </c>
      <c r="Q625">
        <f>IFERROR(_xlfn.XLOOKUP($A625,'Base SKUs'!$E:$E,'Base SKUs'!K:K),"")</f>
        <v>14</v>
      </c>
      <c r="R625" s="7">
        <f>IFERROR(_xlfn.XLOOKUP($A625,'Base SKUs'!$E:$E,'Base SKUs'!S:S),"")</f>
        <v>9.6355936319999988E-3</v>
      </c>
      <c r="S625" s="8">
        <f t="shared" si="47"/>
        <v>2.4185340016319996</v>
      </c>
      <c r="T625" s="7">
        <f>IFERROR(_xlfn.XLOOKUP($A625,'Base SKUs'!$E:$E,'Base SKUs'!R:R),"")</f>
        <v>1452.9459999999999</v>
      </c>
      <c r="U625" s="15">
        <f t="shared" si="48"/>
        <v>3514</v>
      </c>
      <c r="V625" t="str">
        <f t="shared" si="49"/>
        <v>New York</v>
      </c>
    </row>
    <row r="626" spans="1:22" x14ac:dyDescent="0.2">
      <c r="A626" t="s">
        <v>905</v>
      </c>
      <c r="B626" s="5">
        <v>193</v>
      </c>
      <c r="C626" s="5">
        <v>10</v>
      </c>
      <c r="D626" s="5">
        <f t="shared" si="45"/>
        <v>183</v>
      </c>
      <c r="E626" s="6">
        <v>24.872299999999999</v>
      </c>
      <c r="F626" s="6">
        <f t="shared" si="46"/>
        <v>4800.3539000000001</v>
      </c>
      <c r="G626" t="s">
        <v>330</v>
      </c>
      <c r="H626">
        <v>9011</v>
      </c>
      <c r="I626" t="str">
        <f>IFERROR(_xlfn.XLOOKUP($A626,'Base SKUs'!$E:$E,'Base SKUs'!A:A),"")</f>
        <v>Ipe</v>
      </c>
      <c r="J626" t="str">
        <f>IFERROR(_xlfn.XLOOKUP($A626,'Base SKUs'!$E:$E,'Base SKUs'!B:B),"")</f>
        <v>Ipe 5/4x4</v>
      </c>
      <c r="K626" t="str">
        <f>IFERROR(_xlfn.XLOOKUP($A626,'Base SKUs'!$E:$E,'Base SKUs'!C:C),"")</f>
        <v>Long</v>
      </c>
      <c r="L626" t="str">
        <f>IFERROR(_xlfn.XLOOKUP($A626,'Base SKUs'!$E:$E,'Base SKUs'!D:D),"")</f>
        <v>Hardwoods</v>
      </c>
      <c r="M626" t="str">
        <f>IFERROR(_xlfn.XLOOKUP($A626,'Base SKUs'!$E:$E,'Base SKUs'!G:G),"")</f>
        <v>Ipe</v>
      </c>
      <c r="N626" t="str">
        <f>IFERROR(_xlfn.XLOOKUP($A626,'Base SKUs'!$E:$E,'Base SKUs'!H:H),"")</f>
        <v>S4S E4E</v>
      </c>
      <c r="O626" t="str">
        <f>IFERROR(_xlfn.XLOOKUP($A626,'Base SKUs'!$E:$E,'Base SKUs'!I:I),"")</f>
        <v>-</v>
      </c>
      <c r="P626" t="str">
        <f>IFERROR(_xlfn.XLOOKUP($A626,'Base SKUs'!$E:$E,'Base SKUs'!J:J),"")</f>
        <v>5/4x4</v>
      </c>
      <c r="Q626">
        <f>IFERROR(_xlfn.XLOOKUP($A626,'Base SKUs'!$E:$E,'Base SKUs'!K:K),"")</f>
        <v>14</v>
      </c>
      <c r="R626" s="7">
        <f>IFERROR(_xlfn.XLOOKUP($A626,'Base SKUs'!$E:$E,'Base SKUs'!S:S),"")</f>
        <v>9.6355936319999988E-3</v>
      </c>
      <c r="S626" s="8">
        <f t="shared" si="47"/>
        <v>1.7633136346559999</v>
      </c>
      <c r="T626" s="7">
        <f>IFERROR(_xlfn.XLOOKUP($A626,'Base SKUs'!$E:$E,'Base SKUs'!R:R),"")</f>
        <v>1452.9459999999999</v>
      </c>
      <c r="U626" s="15">
        <f t="shared" si="48"/>
        <v>2562</v>
      </c>
      <c r="V626" t="str">
        <f t="shared" si="49"/>
        <v>New York</v>
      </c>
    </row>
    <row r="627" spans="1:22" x14ac:dyDescent="0.2">
      <c r="A627" t="s">
        <v>3655</v>
      </c>
      <c r="B627" s="5">
        <v>131</v>
      </c>
      <c r="C627" s="5">
        <v>0</v>
      </c>
      <c r="D627" s="5">
        <f t="shared" si="45"/>
        <v>131</v>
      </c>
      <c r="E627" s="6">
        <v>28.475300000000001</v>
      </c>
      <c r="F627" s="6">
        <f t="shared" si="46"/>
        <v>3730.2643000000003</v>
      </c>
      <c r="G627" t="s">
        <v>330</v>
      </c>
      <c r="H627">
        <v>9011</v>
      </c>
      <c r="I627" t="str">
        <f>IFERROR(_xlfn.XLOOKUP($A627,'Base SKUs'!$E:$E,'Base SKUs'!A:A),"")</f>
        <v>Ipe</v>
      </c>
      <c r="J627" t="str">
        <f>IFERROR(_xlfn.XLOOKUP($A627,'Base SKUs'!$E:$E,'Base SKUs'!B:B),"")</f>
        <v>Ipe 5/4x4</v>
      </c>
      <c r="K627" t="str">
        <f>IFERROR(_xlfn.XLOOKUP($A627,'Base SKUs'!$E:$E,'Base SKUs'!C:C),"")</f>
        <v>Long</v>
      </c>
      <c r="L627" t="str">
        <f>IFERROR(_xlfn.XLOOKUP($A627,'Base SKUs'!$E:$E,'Base SKUs'!D:D),"")</f>
        <v>Hardwoods</v>
      </c>
      <c r="M627" t="str">
        <f>IFERROR(_xlfn.XLOOKUP($A627,'Base SKUs'!$E:$E,'Base SKUs'!G:G),"")</f>
        <v>Ipe</v>
      </c>
      <c r="N627" t="str">
        <f>IFERROR(_xlfn.XLOOKUP($A627,'Base SKUs'!$E:$E,'Base SKUs'!H:H),"")</f>
        <v>Grooved</v>
      </c>
      <c r="O627" t="str">
        <f>IFERROR(_xlfn.XLOOKUP($A627,'Base SKUs'!$E:$E,'Base SKUs'!I:I),"")</f>
        <v>-</v>
      </c>
      <c r="P627" t="str">
        <f>IFERROR(_xlfn.XLOOKUP($A627,'Base SKUs'!$E:$E,'Base SKUs'!J:J),"")</f>
        <v>5/4x4</v>
      </c>
      <c r="Q627">
        <f>IFERROR(_xlfn.XLOOKUP($A627,'Base SKUs'!$E:$E,'Base SKUs'!K:K),"")</f>
        <v>16</v>
      </c>
      <c r="R627" s="7">
        <f>IFERROR(_xlfn.XLOOKUP($A627,'Base SKUs'!$E:$E,'Base SKUs'!S:S),"")</f>
        <v>1.1012107008E-2</v>
      </c>
      <c r="S627" s="8">
        <f t="shared" si="47"/>
        <v>1.4425860180479999</v>
      </c>
      <c r="T627" s="7">
        <f>IFERROR(_xlfn.XLOOKUP($A627,'Base SKUs'!$E:$E,'Base SKUs'!R:R),"")</f>
        <v>1452.9459999999999</v>
      </c>
      <c r="U627" s="15">
        <f t="shared" si="48"/>
        <v>2096</v>
      </c>
      <c r="V627" t="str">
        <f t="shared" si="49"/>
        <v>New York</v>
      </c>
    </row>
    <row r="628" spans="1:22" x14ac:dyDescent="0.2">
      <c r="A628" t="s">
        <v>907</v>
      </c>
      <c r="B628" s="5">
        <v>23</v>
      </c>
      <c r="C628" s="5">
        <v>0</v>
      </c>
      <c r="D628" s="5">
        <f t="shared" si="45"/>
        <v>23</v>
      </c>
      <c r="E628" s="6">
        <v>28.647200000000002</v>
      </c>
      <c r="F628" s="6">
        <f t="shared" si="46"/>
        <v>658.88560000000007</v>
      </c>
      <c r="G628" t="s">
        <v>24</v>
      </c>
      <c r="H628">
        <v>9008</v>
      </c>
      <c r="I628" t="str">
        <f>IFERROR(_xlfn.XLOOKUP($A628,'Base SKUs'!$E:$E,'Base SKUs'!A:A),"")</f>
        <v>Ipe</v>
      </c>
      <c r="J628" t="str">
        <f>IFERROR(_xlfn.XLOOKUP($A628,'Base SKUs'!$E:$E,'Base SKUs'!B:B),"")</f>
        <v>Ipe 5/4x4</v>
      </c>
      <c r="K628" t="str">
        <f>IFERROR(_xlfn.XLOOKUP($A628,'Base SKUs'!$E:$E,'Base SKUs'!C:C),"")</f>
        <v>Long</v>
      </c>
      <c r="L628" t="str">
        <f>IFERROR(_xlfn.XLOOKUP($A628,'Base SKUs'!$E:$E,'Base SKUs'!D:D),"")</f>
        <v>Hardwoods</v>
      </c>
      <c r="M628" t="str">
        <f>IFERROR(_xlfn.XLOOKUP($A628,'Base SKUs'!$E:$E,'Base SKUs'!G:G),"")</f>
        <v>Ipe</v>
      </c>
      <c r="N628" t="str">
        <f>IFERROR(_xlfn.XLOOKUP($A628,'Base SKUs'!$E:$E,'Base SKUs'!H:H),"")</f>
        <v>S4S E4E</v>
      </c>
      <c r="O628" t="str">
        <f>IFERROR(_xlfn.XLOOKUP($A628,'Base SKUs'!$E:$E,'Base SKUs'!I:I),"")</f>
        <v>-</v>
      </c>
      <c r="P628" t="str">
        <f>IFERROR(_xlfn.XLOOKUP($A628,'Base SKUs'!$E:$E,'Base SKUs'!J:J),"")</f>
        <v>5/4x4</v>
      </c>
      <c r="Q628">
        <f>IFERROR(_xlfn.XLOOKUP($A628,'Base SKUs'!$E:$E,'Base SKUs'!K:K),"")</f>
        <v>16</v>
      </c>
      <c r="R628" s="7">
        <f>IFERROR(_xlfn.XLOOKUP($A628,'Base SKUs'!$E:$E,'Base SKUs'!S:S),"")</f>
        <v>1.1012107008E-2</v>
      </c>
      <c r="S628" s="8">
        <f t="shared" si="47"/>
        <v>0.25327846118399999</v>
      </c>
      <c r="T628" s="7">
        <f>IFERROR(_xlfn.XLOOKUP($A628,'Base SKUs'!$E:$E,'Base SKUs'!R:R),"")</f>
        <v>1452.9459999999999</v>
      </c>
      <c r="U628" s="15">
        <f t="shared" si="48"/>
        <v>368</v>
      </c>
      <c r="V628" t="str">
        <f t="shared" si="49"/>
        <v>Texas</v>
      </c>
    </row>
    <row r="629" spans="1:22" x14ac:dyDescent="0.2">
      <c r="A629" t="s">
        <v>907</v>
      </c>
      <c r="B629" s="5">
        <v>96</v>
      </c>
      <c r="C629" s="5">
        <v>0</v>
      </c>
      <c r="D629" s="5">
        <f t="shared" si="45"/>
        <v>96</v>
      </c>
      <c r="E629" s="6">
        <v>28.475300000000001</v>
      </c>
      <c r="F629" s="6">
        <f t="shared" si="46"/>
        <v>2733.6288</v>
      </c>
      <c r="G629" t="s">
        <v>330</v>
      </c>
      <c r="H629">
        <v>9011</v>
      </c>
      <c r="I629" t="str">
        <f>IFERROR(_xlfn.XLOOKUP($A629,'Base SKUs'!$E:$E,'Base SKUs'!A:A),"")</f>
        <v>Ipe</v>
      </c>
      <c r="J629" t="str">
        <f>IFERROR(_xlfn.XLOOKUP($A629,'Base SKUs'!$E:$E,'Base SKUs'!B:B),"")</f>
        <v>Ipe 5/4x4</v>
      </c>
      <c r="K629" t="str">
        <f>IFERROR(_xlfn.XLOOKUP($A629,'Base SKUs'!$E:$E,'Base SKUs'!C:C),"")</f>
        <v>Long</v>
      </c>
      <c r="L629" t="str">
        <f>IFERROR(_xlfn.XLOOKUP($A629,'Base SKUs'!$E:$E,'Base SKUs'!D:D),"")</f>
        <v>Hardwoods</v>
      </c>
      <c r="M629" t="str">
        <f>IFERROR(_xlfn.XLOOKUP($A629,'Base SKUs'!$E:$E,'Base SKUs'!G:G),"")</f>
        <v>Ipe</v>
      </c>
      <c r="N629" t="str">
        <f>IFERROR(_xlfn.XLOOKUP($A629,'Base SKUs'!$E:$E,'Base SKUs'!H:H),"")</f>
        <v>S4S E4E</v>
      </c>
      <c r="O629" t="str">
        <f>IFERROR(_xlfn.XLOOKUP($A629,'Base SKUs'!$E:$E,'Base SKUs'!I:I),"")</f>
        <v>-</v>
      </c>
      <c r="P629" t="str">
        <f>IFERROR(_xlfn.XLOOKUP($A629,'Base SKUs'!$E:$E,'Base SKUs'!J:J),"")</f>
        <v>5/4x4</v>
      </c>
      <c r="Q629">
        <f>IFERROR(_xlfn.XLOOKUP($A629,'Base SKUs'!$E:$E,'Base SKUs'!K:K),"")</f>
        <v>16</v>
      </c>
      <c r="R629" s="7">
        <f>IFERROR(_xlfn.XLOOKUP($A629,'Base SKUs'!$E:$E,'Base SKUs'!S:S),"")</f>
        <v>1.1012107008E-2</v>
      </c>
      <c r="S629" s="8">
        <f t="shared" si="47"/>
        <v>1.0571622727680001</v>
      </c>
      <c r="T629" s="7">
        <f>IFERROR(_xlfn.XLOOKUP($A629,'Base SKUs'!$E:$E,'Base SKUs'!R:R),"")</f>
        <v>1452.9459999999999</v>
      </c>
      <c r="U629" s="15">
        <f t="shared" si="48"/>
        <v>1536</v>
      </c>
      <c r="V629" t="str">
        <f t="shared" si="49"/>
        <v>New York</v>
      </c>
    </row>
    <row r="630" spans="1:22" x14ac:dyDescent="0.2">
      <c r="A630" t="s">
        <v>3658</v>
      </c>
      <c r="B630" s="5">
        <v>31</v>
      </c>
      <c r="C630" s="5">
        <v>0</v>
      </c>
      <c r="D630" s="5">
        <f t="shared" si="45"/>
        <v>31</v>
      </c>
      <c r="E630" s="6">
        <v>32.035200000000003</v>
      </c>
      <c r="F630" s="6">
        <f t="shared" si="46"/>
        <v>993.09120000000007</v>
      </c>
      <c r="G630" t="s">
        <v>330</v>
      </c>
      <c r="H630">
        <v>9011</v>
      </c>
      <c r="I630" t="str">
        <f>IFERROR(_xlfn.XLOOKUP($A630,'Base SKUs'!$E:$E,'Base SKUs'!A:A),"")</f>
        <v>Ipe</v>
      </c>
      <c r="J630" t="str">
        <f>IFERROR(_xlfn.XLOOKUP($A630,'Base SKUs'!$E:$E,'Base SKUs'!B:B),"")</f>
        <v>Ipe 5/4x4</v>
      </c>
      <c r="K630" t="str">
        <f>IFERROR(_xlfn.XLOOKUP($A630,'Base SKUs'!$E:$E,'Base SKUs'!C:C),"")</f>
        <v>Long</v>
      </c>
      <c r="L630" t="str">
        <f>IFERROR(_xlfn.XLOOKUP($A630,'Base SKUs'!$E:$E,'Base SKUs'!D:D),"")</f>
        <v>Hardwoods</v>
      </c>
      <c r="M630" t="str">
        <f>IFERROR(_xlfn.XLOOKUP($A630,'Base SKUs'!$E:$E,'Base SKUs'!G:G),"")</f>
        <v>Ipe</v>
      </c>
      <c r="N630" t="str">
        <f>IFERROR(_xlfn.XLOOKUP($A630,'Base SKUs'!$E:$E,'Base SKUs'!H:H),"")</f>
        <v>Grooved</v>
      </c>
      <c r="O630" t="str">
        <f>IFERROR(_xlfn.XLOOKUP($A630,'Base SKUs'!$E:$E,'Base SKUs'!I:I),"")</f>
        <v>-</v>
      </c>
      <c r="P630" t="str">
        <f>IFERROR(_xlfn.XLOOKUP($A630,'Base SKUs'!$E:$E,'Base SKUs'!J:J),"")</f>
        <v>5/4x4</v>
      </c>
      <c r="Q630">
        <f>IFERROR(_xlfn.XLOOKUP($A630,'Base SKUs'!$E:$E,'Base SKUs'!K:K),"")</f>
        <v>18</v>
      </c>
      <c r="R630" s="7">
        <f>IFERROR(_xlfn.XLOOKUP($A630,'Base SKUs'!$E:$E,'Base SKUs'!S:S),"")</f>
        <v>1.2388620384E-2</v>
      </c>
      <c r="S630" s="8">
        <f t="shared" si="47"/>
        <v>0.38404723190399997</v>
      </c>
      <c r="T630" s="7">
        <f>IFERROR(_xlfn.XLOOKUP($A630,'Base SKUs'!$E:$E,'Base SKUs'!R:R),"")</f>
        <v>1452.9459999999999</v>
      </c>
      <c r="U630" s="15">
        <f t="shared" si="48"/>
        <v>558</v>
      </c>
      <c r="V630" t="str">
        <f t="shared" si="49"/>
        <v>New York</v>
      </c>
    </row>
    <row r="631" spans="1:22" x14ac:dyDescent="0.2">
      <c r="A631" t="s">
        <v>909</v>
      </c>
      <c r="B631" s="5">
        <v>29</v>
      </c>
      <c r="C631" s="5">
        <v>29</v>
      </c>
      <c r="D631" s="5">
        <f t="shared" si="45"/>
        <v>0</v>
      </c>
      <c r="E631" s="6">
        <v>30.976099999999999</v>
      </c>
      <c r="F631" s="6">
        <f t="shared" si="46"/>
        <v>898.30689999999993</v>
      </c>
      <c r="G631" t="s">
        <v>125</v>
      </c>
      <c r="H631">
        <v>9009</v>
      </c>
      <c r="I631" t="str">
        <f>IFERROR(_xlfn.XLOOKUP($A631,'Base SKUs'!$E:$E,'Base SKUs'!A:A),"")</f>
        <v>Ipe</v>
      </c>
      <c r="J631" t="str">
        <f>IFERROR(_xlfn.XLOOKUP($A631,'Base SKUs'!$E:$E,'Base SKUs'!B:B),"")</f>
        <v>Ipe 5/4x4</v>
      </c>
      <c r="K631" t="str">
        <f>IFERROR(_xlfn.XLOOKUP($A631,'Base SKUs'!$E:$E,'Base SKUs'!C:C),"")</f>
        <v>Long</v>
      </c>
      <c r="L631" t="str">
        <f>IFERROR(_xlfn.XLOOKUP($A631,'Base SKUs'!$E:$E,'Base SKUs'!D:D),"")</f>
        <v>Hardwoods</v>
      </c>
      <c r="M631" t="str">
        <f>IFERROR(_xlfn.XLOOKUP($A631,'Base SKUs'!$E:$E,'Base SKUs'!G:G),"")</f>
        <v>Ipe</v>
      </c>
      <c r="N631" t="str">
        <f>IFERROR(_xlfn.XLOOKUP($A631,'Base SKUs'!$E:$E,'Base SKUs'!H:H),"")</f>
        <v>S4S E4E</v>
      </c>
      <c r="O631" t="str">
        <f>IFERROR(_xlfn.XLOOKUP($A631,'Base SKUs'!$E:$E,'Base SKUs'!I:I),"")</f>
        <v>-</v>
      </c>
      <c r="P631" t="str">
        <f>IFERROR(_xlfn.XLOOKUP($A631,'Base SKUs'!$E:$E,'Base SKUs'!J:J),"")</f>
        <v>5/4x4</v>
      </c>
      <c r="Q631">
        <f>IFERROR(_xlfn.XLOOKUP($A631,'Base SKUs'!$E:$E,'Base SKUs'!K:K),"")</f>
        <v>18</v>
      </c>
      <c r="R631" s="7">
        <f>IFERROR(_xlfn.XLOOKUP($A631,'Base SKUs'!$E:$E,'Base SKUs'!S:S),"")</f>
        <v>1.2388620384E-2</v>
      </c>
      <c r="S631" s="8">
        <f t="shared" si="47"/>
        <v>0</v>
      </c>
      <c r="T631" s="7">
        <f>IFERROR(_xlfn.XLOOKUP($A631,'Base SKUs'!$E:$E,'Base SKUs'!R:R),"")</f>
        <v>1452.9459999999999</v>
      </c>
      <c r="U631" s="15">
        <f t="shared" si="48"/>
        <v>0</v>
      </c>
      <c r="V631" t="str">
        <f t="shared" si="49"/>
        <v>Boston</v>
      </c>
    </row>
    <row r="632" spans="1:22" x14ac:dyDescent="0.2">
      <c r="A632" t="s">
        <v>909</v>
      </c>
      <c r="B632" s="5">
        <v>77</v>
      </c>
      <c r="C632" s="5">
        <v>0</v>
      </c>
      <c r="D632" s="5">
        <f t="shared" si="45"/>
        <v>77</v>
      </c>
      <c r="E632" s="6">
        <v>32.034799999999997</v>
      </c>
      <c r="F632" s="6">
        <f t="shared" si="46"/>
        <v>2466.6795999999999</v>
      </c>
      <c r="G632" t="s">
        <v>330</v>
      </c>
      <c r="H632">
        <v>9011</v>
      </c>
      <c r="I632" t="str">
        <f>IFERROR(_xlfn.XLOOKUP($A632,'Base SKUs'!$E:$E,'Base SKUs'!A:A),"")</f>
        <v>Ipe</v>
      </c>
      <c r="J632" t="str">
        <f>IFERROR(_xlfn.XLOOKUP($A632,'Base SKUs'!$E:$E,'Base SKUs'!B:B),"")</f>
        <v>Ipe 5/4x4</v>
      </c>
      <c r="K632" t="str">
        <f>IFERROR(_xlfn.XLOOKUP($A632,'Base SKUs'!$E:$E,'Base SKUs'!C:C),"")</f>
        <v>Long</v>
      </c>
      <c r="L632" t="str">
        <f>IFERROR(_xlfn.XLOOKUP($A632,'Base SKUs'!$E:$E,'Base SKUs'!D:D),"")</f>
        <v>Hardwoods</v>
      </c>
      <c r="M632" t="str">
        <f>IFERROR(_xlfn.XLOOKUP($A632,'Base SKUs'!$E:$E,'Base SKUs'!G:G),"")</f>
        <v>Ipe</v>
      </c>
      <c r="N632" t="str">
        <f>IFERROR(_xlfn.XLOOKUP($A632,'Base SKUs'!$E:$E,'Base SKUs'!H:H),"")</f>
        <v>S4S E4E</v>
      </c>
      <c r="O632" t="str">
        <f>IFERROR(_xlfn.XLOOKUP($A632,'Base SKUs'!$E:$E,'Base SKUs'!I:I),"")</f>
        <v>-</v>
      </c>
      <c r="P632" t="str">
        <f>IFERROR(_xlfn.XLOOKUP($A632,'Base SKUs'!$E:$E,'Base SKUs'!J:J),"")</f>
        <v>5/4x4</v>
      </c>
      <c r="Q632">
        <f>IFERROR(_xlfn.XLOOKUP($A632,'Base SKUs'!$E:$E,'Base SKUs'!K:K),"")</f>
        <v>18</v>
      </c>
      <c r="R632" s="7">
        <f>IFERROR(_xlfn.XLOOKUP($A632,'Base SKUs'!$E:$E,'Base SKUs'!S:S),"")</f>
        <v>1.2388620384E-2</v>
      </c>
      <c r="S632" s="8">
        <f t="shared" si="47"/>
        <v>0.95392376956799996</v>
      </c>
      <c r="T632" s="7">
        <f>IFERROR(_xlfn.XLOOKUP($A632,'Base SKUs'!$E:$E,'Base SKUs'!R:R),"")</f>
        <v>1452.9459999999999</v>
      </c>
      <c r="U632" s="15">
        <f t="shared" si="48"/>
        <v>1386</v>
      </c>
      <c r="V632" t="str">
        <f t="shared" si="49"/>
        <v>New York</v>
      </c>
    </row>
    <row r="633" spans="1:22" x14ac:dyDescent="0.2">
      <c r="A633" t="s">
        <v>3662</v>
      </c>
      <c r="B633" s="5">
        <v>8</v>
      </c>
      <c r="C633" s="5">
        <v>0</v>
      </c>
      <c r="D633" s="5">
        <f t="shared" si="45"/>
        <v>8</v>
      </c>
      <c r="E633" s="6">
        <v>35.593800000000002</v>
      </c>
      <c r="F633" s="6">
        <f t="shared" si="46"/>
        <v>284.75040000000001</v>
      </c>
      <c r="G633" t="s">
        <v>330</v>
      </c>
      <c r="H633">
        <v>9011</v>
      </c>
      <c r="I633" t="str">
        <f>IFERROR(_xlfn.XLOOKUP($A633,'Base SKUs'!$E:$E,'Base SKUs'!A:A),"")</f>
        <v>Ipe</v>
      </c>
      <c r="J633" t="str">
        <f>IFERROR(_xlfn.XLOOKUP($A633,'Base SKUs'!$E:$E,'Base SKUs'!B:B),"")</f>
        <v>Ipe 5/4x4</v>
      </c>
      <c r="K633" t="str">
        <f>IFERROR(_xlfn.XLOOKUP($A633,'Base SKUs'!$E:$E,'Base SKUs'!C:C),"")</f>
        <v>Long</v>
      </c>
      <c r="L633" t="str">
        <f>IFERROR(_xlfn.XLOOKUP($A633,'Base SKUs'!$E:$E,'Base SKUs'!D:D),"")</f>
        <v>Hardwoods</v>
      </c>
      <c r="M633" t="str">
        <f>IFERROR(_xlfn.XLOOKUP($A633,'Base SKUs'!$E:$E,'Base SKUs'!G:G),"")</f>
        <v>Ipe</v>
      </c>
      <c r="N633" t="str">
        <f>IFERROR(_xlfn.XLOOKUP($A633,'Base SKUs'!$E:$E,'Base SKUs'!H:H),"")</f>
        <v>Grooved</v>
      </c>
      <c r="O633" t="str">
        <f>IFERROR(_xlfn.XLOOKUP($A633,'Base SKUs'!$E:$E,'Base SKUs'!I:I),"")</f>
        <v>-</v>
      </c>
      <c r="P633" t="str">
        <f>IFERROR(_xlfn.XLOOKUP($A633,'Base SKUs'!$E:$E,'Base SKUs'!J:J),"")</f>
        <v>5/4x4</v>
      </c>
      <c r="Q633">
        <f>IFERROR(_xlfn.XLOOKUP($A633,'Base SKUs'!$E:$E,'Base SKUs'!K:K),"")</f>
        <v>20</v>
      </c>
      <c r="R633" s="7">
        <f>IFERROR(_xlfn.XLOOKUP($A633,'Base SKUs'!$E:$E,'Base SKUs'!S:S),"")</f>
        <v>1.3765133760000003E-2</v>
      </c>
      <c r="S633" s="8">
        <f t="shared" si="47"/>
        <v>0.11012107008000002</v>
      </c>
      <c r="T633" s="7">
        <f>IFERROR(_xlfn.XLOOKUP($A633,'Base SKUs'!$E:$E,'Base SKUs'!R:R),"")</f>
        <v>1452.9459999999999</v>
      </c>
      <c r="U633" s="15">
        <f t="shared" si="48"/>
        <v>160</v>
      </c>
      <c r="V633" t="str">
        <f t="shared" si="49"/>
        <v>New York</v>
      </c>
    </row>
    <row r="634" spans="1:22" x14ac:dyDescent="0.2">
      <c r="A634" t="s">
        <v>3661</v>
      </c>
      <c r="B634" s="5">
        <v>169</v>
      </c>
      <c r="C634" s="5">
        <v>0</v>
      </c>
      <c r="D634" s="5">
        <f t="shared" si="45"/>
        <v>169</v>
      </c>
      <c r="E634" s="6">
        <v>35.594200000000001</v>
      </c>
      <c r="F634" s="6">
        <f t="shared" si="46"/>
        <v>6015.4197999999997</v>
      </c>
      <c r="G634" t="s">
        <v>330</v>
      </c>
      <c r="H634">
        <v>9011</v>
      </c>
      <c r="I634" t="str">
        <f>IFERROR(_xlfn.XLOOKUP($A634,'Base SKUs'!$E:$E,'Base SKUs'!A:A),"")</f>
        <v>Ipe</v>
      </c>
      <c r="J634" t="str">
        <f>IFERROR(_xlfn.XLOOKUP($A634,'Base SKUs'!$E:$E,'Base SKUs'!B:B),"")</f>
        <v>Ipe 5/4x4</v>
      </c>
      <c r="K634" t="str">
        <f>IFERROR(_xlfn.XLOOKUP($A634,'Base SKUs'!$E:$E,'Base SKUs'!C:C),"")</f>
        <v>Long</v>
      </c>
      <c r="L634" t="str">
        <f>IFERROR(_xlfn.XLOOKUP($A634,'Base SKUs'!$E:$E,'Base SKUs'!D:D),"")</f>
        <v>Hardwoods</v>
      </c>
      <c r="M634" t="str">
        <f>IFERROR(_xlfn.XLOOKUP($A634,'Base SKUs'!$E:$E,'Base SKUs'!G:G),"")</f>
        <v>Ipe</v>
      </c>
      <c r="N634" t="str">
        <f>IFERROR(_xlfn.XLOOKUP($A634,'Base SKUs'!$E:$E,'Base SKUs'!H:H),"")</f>
        <v>S4S E4E</v>
      </c>
      <c r="O634" t="str">
        <f>IFERROR(_xlfn.XLOOKUP($A634,'Base SKUs'!$E:$E,'Base SKUs'!I:I),"")</f>
        <v>-</v>
      </c>
      <c r="P634" t="str">
        <f>IFERROR(_xlfn.XLOOKUP($A634,'Base SKUs'!$E:$E,'Base SKUs'!J:J),"")</f>
        <v>5/4x4</v>
      </c>
      <c r="Q634">
        <f>IFERROR(_xlfn.XLOOKUP($A634,'Base SKUs'!$E:$E,'Base SKUs'!K:K),"")</f>
        <v>20</v>
      </c>
      <c r="R634" s="7">
        <f>IFERROR(_xlfn.XLOOKUP($A634,'Base SKUs'!$E:$E,'Base SKUs'!S:S),"")</f>
        <v>1.3765133760000003E-2</v>
      </c>
      <c r="S634" s="8">
        <f t="shared" si="47"/>
        <v>2.3263076054400003</v>
      </c>
      <c r="T634" s="7">
        <f>IFERROR(_xlfn.XLOOKUP($A634,'Base SKUs'!$E:$E,'Base SKUs'!R:R),"")</f>
        <v>1452.9459999999999</v>
      </c>
      <c r="U634" s="15">
        <f t="shared" si="48"/>
        <v>3380</v>
      </c>
      <c r="V634" t="str">
        <f t="shared" si="49"/>
        <v>New York</v>
      </c>
    </row>
    <row r="635" spans="1:22" x14ac:dyDescent="0.2">
      <c r="A635" t="s">
        <v>911</v>
      </c>
      <c r="B635" s="5">
        <v>440</v>
      </c>
      <c r="C635" s="5">
        <v>0</v>
      </c>
      <c r="D635" s="5">
        <f t="shared" si="45"/>
        <v>440</v>
      </c>
      <c r="E635" s="6">
        <v>10.239000000000001</v>
      </c>
      <c r="F635" s="6">
        <f t="shared" si="46"/>
        <v>4505.1600000000008</v>
      </c>
      <c r="G635" t="s">
        <v>24</v>
      </c>
      <c r="H635">
        <v>9008</v>
      </c>
      <c r="I635" t="str">
        <f>IFERROR(_xlfn.XLOOKUP($A635,'Base SKUs'!$E:$E,'Base SKUs'!A:A),"")</f>
        <v>Ipe</v>
      </c>
      <c r="J635" t="str">
        <f>IFERROR(_xlfn.XLOOKUP($A635,'Base SKUs'!$E:$E,'Base SKUs'!B:B),"")</f>
        <v>Ipe 5/4x4</v>
      </c>
      <c r="K635" t="str">
        <f>IFERROR(_xlfn.XLOOKUP($A635,'Base SKUs'!$E:$E,'Base SKUs'!C:C),"")</f>
        <v>Long</v>
      </c>
      <c r="L635" t="str">
        <f>IFERROR(_xlfn.XLOOKUP($A635,'Base SKUs'!$E:$E,'Base SKUs'!D:D),"")</f>
        <v>Hardwoods</v>
      </c>
      <c r="M635" t="str">
        <f>IFERROR(_xlfn.XLOOKUP($A635,'Base SKUs'!$E:$E,'Base SKUs'!G:G),"")</f>
        <v>Ipe</v>
      </c>
      <c r="N635" t="str">
        <f>IFERROR(_xlfn.XLOOKUP($A635,'Base SKUs'!$E:$E,'Base SKUs'!H:H),"")</f>
        <v>Grooved</v>
      </c>
      <c r="O635" t="str">
        <f>IFERROR(_xlfn.XLOOKUP($A635,'Base SKUs'!$E:$E,'Base SKUs'!I:I),"")</f>
        <v>-</v>
      </c>
      <c r="P635" t="str">
        <f>IFERROR(_xlfn.XLOOKUP($A635,'Base SKUs'!$E:$E,'Base SKUs'!J:J),"")</f>
        <v>5/4x4</v>
      </c>
      <c r="Q635">
        <f>IFERROR(_xlfn.XLOOKUP($A635,'Base SKUs'!$E:$E,'Base SKUs'!K:K),"")</f>
        <v>8</v>
      </c>
      <c r="R635" s="7">
        <f>IFERROR(_xlfn.XLOOKUP($A635,'Base SKUs'!$E:$E,'Base SKUs'!S:S),"")</f>
        <v>5.5060535040000001E-3</v>
      </c>
      <c r="S635" s="8">
        <f t="shared" si="47"/>
        <v>2.42266354176</v>
      </c>
      <c r="T635" s="7">
        <f>IFERROR(_xlfn.XLOOKUP($A635,'Base SKUs'!$E:$E,'Base SKUs'!R:R),"")</f>
        <v>1452.9459999999999</v>
      </c>
      <c r="U635" s="15">
        <f t="shared" si="48"/>
        <v>3520</v>
      </c>
      <c r="V635" t="str">
        <f t="shared" si="49"/>
        <v>Texas</v>
      </c>
    </row>
    <row r="636" spans="1:22" x14ac:dyDescent="0.2">
      <c r="A636" t="s">
        <v>911</v>
      </c>
      <c r="B636" s="5">
        <v>5214</v>
      </c>
      <c r="C636" s="5">
        <v>0</v>
      </c>
      <c r="D636" s="5">
        <f t="shared" si="45"/>
        <v>5214</v>
      </c>
      <c r="E636" s="6">
        <v>10.0303</v>
      </c>
      <c r="F636" s="6">
        <f t="shared" si="46"/>
        <v>52297.984199999999</v>
      </c>
      <c r="G636" t="s">
        <v>330</v>
      </c>
      <c r="H636">
        <v>9011</v>
      </c>
      <c r="I636" t="str">
        <f>IFERROR(_xlfn.XLOOKUP($A636,'Base SKUs'!$E:$E,'Base SKUs'!A:A),"")</f>
        <v>Ipe</v>
      </c>
      <c r="J636" t="str">
        <f>IFERROR(_xlfn.XLOOKUP($A636,'Base SKUs'!$E:$E,'Base SKUs'!B:B),"")</f>
        <v>Ipe 5/4x4</v>
      </c>
      <c r="K636" t="str">
        <f>IFERROR(_xlfn.XLOOKUP($A636,'Base SKUs'!$E:$E,'Base SKUs'!C:C),"")</f>
        <v>Long</v>
      </c>
      <c r="L636" t="str">
        <f>IFERROR(_xlfn.XLOOKUP($A636,'Base SKUs'!$E:$E,'Base SKUs'!D:D),"")</f>
        <v>Hardwoods</v>
      </c>
      <c r="M636" t="str">
        <f>IFERROR(_xlfn.XLOOKUP($A636,'Base SKUs'!$E:$E,'Base SKUs'!G:G),"")</f>
        <v>Ipe</v>
      </c>
      <c r="N636" t="str">
        <f>IFERROR(_xlfn.XLOOKUP($A636,'Base SKUs'!$E:$E,'Base SKUs'!H:H),"")</f>
        <v>Grooved</v>
      </c>
      <c r="O636" t="str">
        <f>IFERROR(_xlfn.XLOOKUP($A636,'Base SKUs'!$E:$E,'Base SKUs'!I:I),"")</f>
        <v>-</v>
      </c>
      <c r="P636" t="str">
        <f>IFERROR(_xlfn.XLOOKUP($A636,'Base SKUs'!$E:$E,'Base SKUs'!J:J),"")</f>
        <v>5/4x4</v>
      </c>
      <c r="Q636">
        <f>IFERROR(_xlfn.XLOOKUP($A636,'Base SKUs'!$E:$E,'Base SKUs'!K:K),"")</f>
        <v>8</v>
      </c>
      <c r="R636" s="7">
        <f>IFERROR(_xlfn.XLOOKUP($A636,'Base SKUs'!$E:$E,'Base SKUs'!S:S),"")</f>
        <v>5.5060535040000001E-3</v>
      </c>
      <c r="S636" s="8">
        <f t="shared" si="47"/>
        <v>28.708562969856001</v>
      </c>
      <c r="T636" s="7">
        <f>IFERROR(_xlfn.XLOOKUP($A636,'Base SKUs'!$E:$E,'Base SKUs'!R:R),"")</f>
        <v>1452.9459999999999</v>
      </c>
      <c r="U636" s="15">
        <f t="shared" si="48"/>
        <v>41712</v>
      </c>
      <c r="V636" t="str">
        <f t="shared" si="49"/>
        <v>New York</v>
      </c>
    </row>
    <row r="637" spans="1:22" x14ac:dyDescent="0.2">
      <c r="A637" t="s">
        <v>913</v>
      </c>
      <c r="B637" s="5">
        <v>1785</v>
      </c>
      <c r="C637" s="5">
        <v>36</v>
      </c>
      <c r="D637" s="5">
        <f t="shared" si="45"/>
        <v>1749</v>
      </c>
      <c r="E637" s="6">
        <v>10.238899999999999</v>
      </c>
      <c r="F637" s="6">
        <f t="shared" si="46"/>
        <v>18276.4365</v>
      </c>
      <c r="G637" t="s">
        <v>125</v>
      </c>
      <c r="H637">
        <v>9009</v>
      </c>
      <c r="I637" t="str">
        <f>IFERROR(_xlfn.XLOOKUP($A637,'Base SKUs'!$E:$E,'Base SKUs'!A:A),"")</f>
        <v>Ipe</v>
      </c>
      <c r="J637" t="str">
        <f>IFERROR(_xlfn.XLOOKUP($A637,'Base SKUs'!$E:$E,'Base SKUs'!B:B),"")</f>
        <v>Ipe 5/4x4</v>
      </c>
      <c r="K637" t="str">
        <f>IFERROR(_xlfn.XLOOKUP($A637,'Base SKUs'!$E:$E,'Base SKUs'!C:C),"")</f>
        <v>Long</v>
      </c>
      <c r="L637" t="str">
        <f>IFERROR(_xlfn.XLOOKUP($A637,'Base SKUs'!$E:$E,'Base SKUs'!D:D),"")</f>
        <v>Hardwoods</v>
      </c>
      <c r="M637" t="str">
        <f>IFERROR(_xlfn.XLOOKUP($A637,'Base SKUs'!$E:$E,'Base SKUs'!G:G),"")</f>
        <v>Ipe</v>
      </c>
      <c r="N637" t="str">
        <f>IFERROR(_xlfn.XLOOKUP($A637,'Base SKUs'!$E:$E,'Base SKUs'!H:H),"")</f>
        <v>S4S E4E</v>
      </c>
      <c r="O637" t="str">
        <f>IFERROR(_xlfn.XLOOKUP($A637,'Base SKUs'!$E:$E,'Base SKUs'!I:I),"")</f>
        <v>-</v>
      </c>
      <c r="P637" t="str">
        <f>IFERROR(_xlfn.XLOOKUP($A637,'Base SKUs'!$E:$E,'Base SKUs'!J:J),"")</f>
        <v>5/4x4</v>
      </c>
      <c r="Q637">
        <f>IFERROR(_xlfn.XLOOKUP($A637,'Base SKUs'!$E:$E,'Base SKUs'!K:K),"")</f>
        <v>8</v>
      </c>
      <c r="R637" s="7">
        <f>IFERROR(_xlfn.XLOOKUP($A637,'Base SKUs'!$E:$E,'Base SKUs'!S:S),"")</f>
        <v>5.5060535040000001E-3</v>
      </c>
      <c r="S637" s="8">
        <f t="shared" si="47"/>
        <v>9.6300875784960009</v>
      </c>
      <c r="T637" s="7">
        <f>IFERROR(_xlfn.XLOOKUP($A637,'Base SKUs'!$E:$E,'Base SKUs'!R:R),"")</f>
        <v>1452.9459999999999</v>
      </c>
      <c r="U637" s="15">
        <f t="shared" si="48"/>
        <v>13992</v>
      </c>
      <c r="V637" t="str">
        <f t="shared" si="49"/>
        <v>Boston</v>
      </c>
    </row>
    <row r="638" spans="1:22" x14ac:dyDescent="0.2">
      <c r="A638" t="s">
        <v>913</v>
      </c>
      <c r="B638" s="5">
        <v>3802</v>
      </c>
      <c r="C638" s="5">
        <v>0</v>
      </c>
      <c r="D638" s="5">
        <f t="shared" si="45"/>
        <v>3802</v>
      </c>
      <c r="E638" s="6">
        <v>9.8861000000000008</v>
      </c>
      <c r="F638" s="6">
        <f t="shared" si="46"/>
        <v>37586.9522</v>
      </c>
      <c r="G638" t="s">
        <v>330</v>
      </c>
      <c r="H638">
        <v>9011</v>
      </c>
      <c r="I638" t="str">
        <f>IFERROR(_xlfn.XLOOKUP($A638,'Base SKUs'!$E:$E,'Base SKUs'!A:A),"")</f>
        <v>Ipe</v>
      </c>
      <c r="J638" t="str">
        <f>IFERROR(_xlfn.XLOOKUP($A638,'Base SKUs'!$E:$E,'Base SKUs'!B:B),"")</f>
        <v>Ipe 5/4x4</v>
      </c>
      <c r="K638" t="str">
        <f>IFERROR(_xlfn.XLOOKUP($A638,'Base SKUs'!$E:$E,'Base SKUs'!C:C),"")</f>
        <v>Long</v>
      </c>
      <c r="L638" t="str">
        <f>IFERROR(_xlfn.XLOOKUP($A638,'Base SKUs'!$E:$E,'Base SKUs'!D:D),"")</f>
        <v>Hardwoods</v>
      </c>
      <c r="M638" t="str">
        <f>IFERROR(_xlfn.XLOOKUP($A638,'Base SKUs'!$E:$E,'Base SKUs'!G:G),"")</f>
        <v>Ipe</v>
      </c>
      <c r="N638" t="str">
        <f>IFERROR(_xlfn.XLOOKUP($A638,'Base SKUs'!$E:$E,'Base SKUs'!H:H),"")</f>
        <v>S4S E4E</v>
      </c>
      <c r="O638" t="str">
        <f>IFERROR(_xlfn.XLOOKUP($A638,'Base SKUs'!$E:$E,'Base SKUs'!I:I),"")</f>
        <v>-</v>
      </c>
      <c r="P638" t="str">
        <f>IFERROR(_xlfn.XLOOKUP($A638,'Base SKUs'!$E:$E,'Base SKUs'!J:J),"")</f>
        <v>5/4x4</v>
      </c>
      <c r="Q638">
        <f>IFERROR(_xlfn.XLOOKUP($A638,'Base SKUs'!$E:$E,'Base SKUs'!K:K),"")</f>
        <v>8</v>
      </c>
      <c r="R638" s="7">
        <f>IFERROR(_xlfn.XLOOKUP($A638,'Base SKUs'!$E:$E,'Base SKUs'!S:S),"")</f>
        <v>5.5060535040000001E-3</v>
      </c>
      <c r="S638" s="8">
        <f t="shared" si="47"/>
        <v>20.934015422207999</v>
      </c>
      <c r="T638" s="7">
        <f>IFERROR(_xlfn.XLOOKUP($A638,'Base SKUs'!$E:$E,'Base SKUs'!R:R),"")</f>
        <v>1452.9459999999999</v>
      </c>
      <c r="U638" s="15">
        <f t="shared" si="48"/>
        <v>30416</v>
      </c>
      <c r="V638" t="str">
        <f t="shared" si="49"/>
        <v>New York</v>
      </c>
    </row>
    <row r="639" spans="1:22" x14ac:dyDescent="0.2">
      <c r="A639" t="s">
        <v>915</v>
      </c>
      <c r="B639" s="5">
        <v>113</v>
      </c>
      <c r="C639" s="5">
        <v>0</v>
      </c>
      <c r="D639" s="5">
        <f t="shared" si="45"/>
        <v>113</v>
      </c>
      <c r="E639" s="6">
        <v>32.001899999999999</v>
      </c>
      <c r="F639" s="6">
        <f t="shared" si="46"/>
        <v>3616.2147</v>
      </c>
      <c r="G639" t="s">
        <v>17</v>
      </c>
      <c r="H639">
        <v>9007</v>
      </c>
      <c r="I639" t="str">
        <f>IFERROR(_xlfn.XLOOKUP($A639,'Base SKUs'!$E:$E,'Base SKUs'!A:A),"")</f>
        <v>Ipe</v>
      </c>
      <c r="J639" t="str">
        <f>IFERROR(_xlfn.XLOOKUP($A639,'Base SKUs'!$E:$E,'Base SKUs'!B:B),"")</f>
        <v>Ipe 5/4x6</v>
      </c>
      <c r="K639" t="str">
        <f>IFERROR(_xlfn.XLOOKUP($A639,'Base SKUs'!$E:$E,'Base SKUs'!C:C),"")</f>
        <v>Long</v>
      </c>
      <c r="L639" t="str">
        <f>IFERROR(_xlfn.XLOOKUP($A639,'Base SKUs'!$E:$E,'Base SKUs'!D:D),"")</f>
        <v>Hardwoods</v>
      </c>
      <c r="M639" t="str">
        <f>IFERROR(_xlfn.XLOOKUP($A639,'Base SKUs'!$E:$E,'Base SKUs'!G:G),"")</f>
        <v>Ipe</v>
      </c>
      <c r="N639" t="str">
        <f>IFERROR(_xlfn.XLOOKUP($A639,'Base SKUs'!$E:$E,'Base SKUs'!H:H),"")</f>
        <v>Grooved</v>
      </c>
      <c r="O639" t="str">
        <f>IFERROR(_xlfn.XLOOKUP($A639,'Base SKUs'!$E:$E,'Base SKUs'!I:I),"")</f>
        <v>-</v>
      </c>
      <c r="P639" t="str">
        <f>IFERROR(_xlfn.XLOOKUP($A639,'Base SKUs'!$E:$E,'Base SKUs'!J:J),"")</f>
        <v>5/4x6</v>
      </c>
      <c r="Q639">
        <f>IFERROR(_xlfn.XLOOKUP($A639,'Base SKUs'!$E:$E,'Base SKUs'!K:K),"")</f>
        <v>10</v>
      </c>
      <c r="R639" s="7">
        <f>IFERROR(_xlfn.XLOOKUP($A639,'Base SKUs'!$E:$E,'Base SKUs'!S:S),"")</f>
        <v>1.081546224E-2</v>
      </c>
      <c r="S639" s="8">
        <f t="shared" si="47"/>
        <v>1.2221472331200001</v>
      </c>
      <c r="T639" s="7">
        <f>IFERROR(_xlfn.XLOOKUP($A639,'Base SKUs'!$E:$E,'Base SKUs'!R:R),"")</f>
        <v>924.60199999999998</v>
      </c>
      <c r="U639" s="15">
        <f t="shared" si="48"/>
        <v>1130</v>
      </c>
      <c r="V639" t="str">
        <f t="shared" si="49"/>
        <v>Miami</v>
      </c>
    </row>
    <row r="640" spans="1:22" x14ac:dyDescent="0.2">
      <c r="A640" t="s">
        <v>915</v>
      </c>
      <c r="B640" s="5">
        <v>877</v>
      </c>
      <c r="C640" s="5">
        <v>0</v>
      </c>
      <c r="D640" s="5">
        <f t="shared" si="45"/>
        <v>877</v>
      </c>
      <c r="E640" s="6">
        <v>32.528500000000001</v>
      </c>
      <c r="F640" s="6">
        <f t="shared" si="46"/>
        <v>28527.494500000001</v>
      </c>
      <c r="G640" t="s">
        <v>330</v>
      </c>
      <c r="H640">
        <v>9011</v>
      </c>
      <c r="I640" t="str">
        <f>IFERROR(_xlfn.XLOOKUP($A640,'Base SKUs'!$E:$E,'Base SKUs'!A:A),"")</f>
        <v>Ipe</v>
      </c>
      <c r="J640" t="str">
        <f>IFERROR(_xlfn.XLOOKUP($A640,'Base SKUs'!$E:$E,'Base SKUs'!B:B),"")</f>
        <v>Ipe 5/4x6</v>
      </c>
      <c r="K640" t="str">
        <f>IFERROR(_xlfn.XLOOKUP($A640,'Base SKUs'!$E:$E,'Base SKUs'!C:C),"")</f>
        <v>Long</v>
      </c>
      <c r="L640" t="str">
        <f>IFERROR(_xlfn.XLOOKUP($A640,'Base SKUs'!$E:$E,'Base SKUs'!D:D),"")</f>
        <v>Hardwoods</v>
      </c>
      <c r="M640" t="str">
        <f>IFERROR(_xlfn.XLOOKUP($A640,'Base SKUs'!$E:$E,'Base SKUs'!G:G),"")</f>
        <v>Ipe</v>
      </c>
      <c r="N640" t="str">
        <f>IFERROR(_xlfn.XLOOKUP($A640,'Base SKUs'!$E:$E,'Base SKUs'!H:H),"")</f>
        <v>Grooved</v>
      </c>
      <c r="O640" t="str">
        <f>IFERROR(_xlfn.XLOOKUP($A640,'Base SKUs'!$E:$E,'Base SKUs'!I:I),"")</f>
        <v>-</v>
      </c>
      <c r="P640" t="str">
        <f>IFERROR(_xlfn.XLOOKUP($A640,'Base SKUs'!$E:$E,'Base SKUs'!J:J),"")</f>
        <v>5/4x6</v>
      </c>
      <c r="Q640">
        <f>IFERROR(_xlfn.XLOOKUP($A640,'Base SKUs'!$E:$E,'Base SKUs'!K:K),"")</f>
        <v>10</v>
      </c>
      <c r="R640" s="7">
        <f>IFERROR(_xlfn.XLOOKUP($A640,'Base SKUs'!$E:$E,'Base SKUs'!S:S),"")</f>
        <v>1.081546224E-2</v>
      </c>
      <c r="S640" s="8">
        <f t="shared" si="47"/>
        <v>9.4851603844800003</v>
      </c>
      <c r="T640" s="7">
        <f>IFERROR(_xlfn.XLOOKUP($A640,'Base SKUs'!$E:$E,'Base SKUs'!R:R),"")</f>
        <v>924.60199999999998</v>
      </c>
      <c r="U640" s="15">
        <f t="shared" si="48"/>
        <v>8770</v>
      </c>
      <c r="V640" t="str">
        <f t="shared" si="49"/>
        <v>New York</v>
      </c>
    </row>
    <row r="641" spans="1:22" x14ac:dyDescent="0.2">
      <c r="A641" t="s">
        <v>917</v>
      </c>
      <c r="B641" s="5">
        <v>673</v>
      </c>
      <c r="C641" s="5">
        <v>0</v>
      </c>
      <c r="D641" s="5">
        <f t="shared" si="45"/>
        <v>673</v>
      </c>
      <c r="E641" s="6">
        <v>36.529499999999999</v>
      </c>
      <c r="F641" s="6">
        <f t="shared" si="46"/>
        <v>24584.353499999997</v>
      </c>
      <c r="G641" t="s">
        <v>17</v>
      </c>
      <c r="H641">
        <v>9007</v>
      </c>
      <c r="I641" t="str">
        <f>IFERROR(_xlfn.XLOOKUP($A641,'Base SKUs'!$E:$E,'Base SKUs'!A:A),"")</f>
        <v>Ipe</v>
      </c>
      <c r="J641" t="str">
        <f>IFERROR(_xlfn.XLOOKUP($A641,'Base SKUs'!$E:$E,'Base SKUs'!B:B),"")</f>
        <v>Ipe 5/4x6</v>
      </c>
      <c r="K641" t="str">
        <f>IFERROR(_xlfn.XLOOKUP($A641,'Base SKUs'!$E:$E,'Base SKUs'!C:C),"")</f>
        <v>Long</v>
      </c>
      <c r="L641" t="str">
        <f>IFERROR(_xlfn.XLOOKUP($A641,'Base SKUs'!$E:$E,'Base SKUs'!D:D),"")</f>
        <v>Hardwoods</v>
      </c>
      <c r="M641" t="str">
        <f>IFERROR(_xlfn.XLOOKUP($A641,'Base SKUs'!$E:$E,'Base SKUs'!G:G),"")</f>
        <v>Ipe</v>
      </c>
      <c r="N641" t="str">
        <f>IFERROR(_xlfn.XLOOKUP($A641,'Base SKUs'!$E:$E,'Base SKUs'!H:H),"")</f>
        <v>S4S E4E</v>
      </c>
      <c r="O641" t="str">
        <f>IFERROR(_xlfn.XLOOKUP($A641,'Base SKUs'!$E:$E,'Base SKUs'!I:I),"")</f>
        <v>-</v>
      </c>
      <c r="P641" t="str">
        <f>IFERROR(_xlfn.XLOOKUP($A641,'Base SKUs'!$E:$E,'Base SKUs'!J:J),"")</f>
        <v>5/4x6</v>
      </c>
      <c r="Q641">
        <f>IFERROR(_xlfn.XLOOKUP($A641,'Base SKUs'!$E:$E,'Base SKUs'!K:K),"")</f>
        <v>10</v>
      </c>
      <c r="R641" s="7">
        <f>IFERROR(_xlfn.XLOOKUP($A641,'Base SKUs'!$E:$E,'Base SKUs'!S:S),"")</f>
        <v>1.081546224E-2</v>
      </c>
      <c r="S641" s="8">
        <f t="shared" si="47"/>
        <v>7.2788060875200005</v>
      </c>
      <c r="T641" s="7">
        <f>IFERROR(_xlfn.XLOOKUP($A641,'Base SKUs'!$E:$E,'Base SKUs'!R:R),"")</f>
        <v>924.60199999999998</v>
      </c>
      <c r="U641" s="15">
        <f t="shared" si="48"/>
        <v>6730</v>
      </c>
      <c r="V641" t="str">
        <f t="shared" si="49"/>
        <v>Miami</v>
      </c>
    </row>
    <row r="642" spans="1:22" x14ac:dyDescent="0.2">
      <c r="A642" t="s">
        <v>917</v>
      </c>
      <c r="B642" s="5">
        <v>2726</v>
      </c>
      <c r="C642" s="5">
        <v>728</v>
      </c>
      <c r="D642" s="5">
        <f t="shared" ref="D642:D705" si="50">B642-C642</f>
        <v>1998</v>
      </c>
      <c r="E642" s="6">
        <v>37.814700000000002</v>
      </c>
      <c r="F642" s="6">
        <f t="shared" ref="F642:F705" si="51">B642*E642</f>
        <v>103082.87220000001</v>
      </c>
      <c r="G642" t="s">
        <v>330</v>
      </c>
      <c r="H642">
        <v>9011</v>
      </c>
      <c r="I642" t="str">
        <f>IFERROR(_xlfn.XLOOKUP($A642,'Base SKUs'!$E:$E,'Base SKUs'!A:A),"")</f>
        <v>Ipe</v>
      </c>
      <c r="J642" t="str">
        <f>IFERROR(_xlfn.XLOOKUP($A642,'Base SKUs'!$E:$E,'Base SKUs'!B:B),"")</f>
        <v>Ipe 5/4x6</v>
      </c>
      <c r="K642" t="str">
        <f>IFERROR(_xlfn.XLOOKUP($A642,'Base SKUs'!$E:$E,'Base SKUs'!C:C),"")</f>
        <v>Long</v>
      </c>
      <c r="L642" t="str">
        <f>IFERROR(_xlfn.XLOOKUP($A642,'Base SKUs'!$E:$E,'Base SKUs'!D:D),"")</f>
        <v>Hardwoods</v>
      </c>
      <c r="M642" t="str">
        <f>IFERROR(_xlfn.XLOOKUP($A642,'Base SKUs'!$E:$E,'Base SKUs'!G:G),"")</f>
        <v>Ipe</v>
      </c>
      <c r="N642" t="str">
        <f>IFERROR(_xlfn.XLOOKUP($A642,'Base SKUs'!$E:$E,'Base SKUs'!H:H),"")</f>
        <v>S4S E4E</v>
      </c>
      <c r="O642" t="str">
        <f>IFERROR(_xlfn.XLOOKUP($A642,'Base SKUs'!$E:$E,'Base SKUs'!I:I),"")</f>
        <v>-</v>
      </c>
      <c r="P642" t="str">
        <f>IFERROR(_xlfn.XLOOKUP($A642,'Base SKUs'!$E:$E,'Base SKUs'!J:J),"")</f>
        <v>5/4x6</v>
      </c>
      <c r="Q642">
        <f>IFERROR(_xlfn.XLOOKUP($A642,'Base SKUs'!$E:$E,'Base SKUs'!K:K),"")</f>
        <v>10</v>
      </c>
      <c r="R642" s="7">
        <f>IFERROR(_xlfn.XLOOKUP($A642,'Base SKUs'!$E:$E,'Base SKUs'!S:S),"")</f>
        <v>1.081546224E-2</v>
      </c>
      <c r="S642" s="8">
        <f t="shared" ref="S642:S705" si="52">IF(OR(L642="Saicos",L642="Oil",L642="US4",L642="Wood Table",L642="Woca",L642="Norx",N642="Tiles"),D642,D642*R642)</f>
        <v>21.609293555520001</v>
      </c>
      <c r="T642" s="7">
        <f>IFERROR(_xlfn.XLOOKUP($A642,'Base SKUs'!$E:$E,'Base SKUs'!R:R),"")</f>
        <v>924.60199999999998</v>
      </c>
      <c r="U642" s="15">
        <f t="shared" ref="U642:U705" si="53">ROUND(IF(OR(L642="Saicos",L642="Oil",L642="US4",L642="Wood Table",L642="Woca",L642="Norx",N642="Tiles"),D642,S642*T642),0)</f>
        <v>19980</v>
      </c>
      <c r="V642" t="str">
        <f t="shared" ref="V642:V705" si="54">IF(H642=9007,"Miami",IF(H642=9008,"Texas",IF(H642=9009,"Boston",IF(H642=9010,"BS Detroit",IF(H642=9011,"New York",IF(H642=9012,"HW Perris",IF(H642=9013,"BS Riverside",IF(H642=9014,"On the Way",IF(H642=9015,"Russin",IF(H642=9016,"Palm Beach",""))))))))))</f>
        <v>New York</v>
      </c>
    </row>
    <row r="643" spans="1:22" x14ac:dyDescent="0.2">
      <c r="A643" t="s">
        <v>919</v>
      </c>
      <c r="B643" s="5">
        <v>35</v>
      </c>
      <c r="C643" s="5">
        <v>0</v>
      </c>
      <c r="D643" s="5">
        <f t="shared" si="50"/>
        <v>35</v>
      </c>
      <c r="E643" s="6">
        <v>20.943999999999999</v>
      </c>
      <c r="F643" s="6">
        <f t="shared" si="51"/>
        <v>733.04</v>
      </c>
      <c r="G643" t="s">
        <v>17</v>
      </c>
      <c r="H643">
        <v>9007</v>
      </c>
      <c r="I643" t="str">
        <f>IFERROR(_xlfn.XLOOKUP($A643,'Base SKUs'!$E:$E,'Base SKUs'!A:A),"")</f>
        <v>Ipe</v>
      </c>
      <c r="J643" t="str">
        <f>IFERROR(_xlfn.XLOOKUP($A643,'Base SKUs'!$E:$E,'Base SKUs'!B:B),"")</f>
        <v>Ipe 7/8x6</v>
      </c>
      <c r="K643" t="str">
        <f>IFERROR(_xlfn.XLOOKUP($A643,'Base SKUs'!$E:$E,'Base SKUs'!C:C),"")</f>
        <v>Long</v>
      </c>
      <c r="L643" t="str">
        <f>IFERROR(_xlfn.XLOOKUP($A643,'Base SKUs'!$E:$E,'Base SKUs'!D:D),"")</f>
        <v>Hardwoods</v>
      </c>
      <c r="M643" t="str">
        <f>IFERROR(_xlfn.XLOOKUP($A643,'Base SKUs'!$E:$E,'Base SKUs'!G:G),"")</f>
        <v>Ipe</v>
      </c>
      <c r="N643" t="str">
        <f>IFERROR(_xlfn.XLOOKUP($A643,'Base SKUs'!$E:$E,'Base SKUs'!H:H),"")</f>
        <v>S4S E4E - TK 23</v>
      </c>
      <c r="O643" t="str">
        <f>IFERROR(_xlfn.XLOOKUP($A643,'Base SKUs'!$E:$E,'Base SKUs'!I:I),"")</f>
        <v>-</v>
      </c>
      <c r="P643" t="str">
        <f>IFERROR(_xlfn.XLOOKUP($A643,'Base SKUs'!$E:$E,'Base SKUs'!J:J),"")</f>
        <v>7/8x6</v>
      </c>
      <c r="Q643">
        <f>IFERROR(_xlfn.XLOOKUP($A643,'Base SKUs'!$E:$E,'Base SKUs'!K:K),"")</f>
        <v>10</v>
      </c>
      <c r="R643" s="7">
        <f>IFERROR(_xlfn.XLOOKUP($A643,'Base SKUs'!$E:$E,'Base SKUs'!S:S),"")</f>
        <v>9.7935287999999995E-3</v>
      </c>
      <c r="S643" s="8">
        <f t="shared" si="52"/>
        <v>0.342773508</v>
      </c>
      <c r="T643" s="7">
        <f>IFERROR(_xlfn.XLOOKUP($A643,'Base SKUs'!$E:$E,'Base SKUs'!R:R),"")</f>
        <v>1021.082</v>
      </c>
      <c r="U643" s="15">
        <f t="shared" si="53"/>
        <v>350</v>
      </c>
      <c r="V643" t="str">
        <f t="shared" si="54"/>
        <v>Miami</v>
      </c>
    </row>
    <row r="644" spans="1:22" x14ac:dyDescent="0.2">
      <c r="A644" t="s">
        <v>919</v>
      </c>
      <c r="B644" s="5">
        <v>617</v>
      </c>
      <c r="C644" s="5">
        <v>0</v>
      </c>
      <c r="D644" s="5">
        <f t="shared" si="50"/>
        <v>617</v>
      </c>
      <c r="E644" s="6">
        <v>19.466000000000001</v>
      </c>
      <c r="F644" s="6">
        <f t="shared" si="51"/>
        <v>12010.522000000001</v>
      </c>
      <c r="G644" t="s">
        <v>125</v>
      </c>
      <c r="H644">
        <v>9009</v>
      </c>
      <c r="I644" t="str">
        <f>IFERROR(_xlfn.XLOOKUP($A644,'Base SKUs'!$E:$E,'Base SKUs'!A:A),"")</f>
        <v>Ipe</v>
      </c>
      <c r="J644" t="str">
        <f>IFERROR(_xlfn.XLOOKUP($A644,'Base SKUs'!$E:$E,'Base SKUs'!B:B),"")</f>
        <v>Ipe 7/8x6</v>
      </c>
      <c r="K644" t="str">
        <f>IFERROR(_xlfn.XLOOKUP($A644,'Base SKUs'!$E:$E,'Base SKUs'!C:C),"")</f>
        <v>Long</v>
      </c>
      <c r="L644" t="str">
        <f>IFERROR(_xlfn.XLOOKUP($A644,'Base SKUs'!$E:$E,'Base SKUs'!D:D),"")</f>
        <v>Hardwoods</v>
      </c>
      <c r="M644" t="str">
        <f>IFERROR(_xlfn.XLOOKUP($A644,'Base SKUs'!$E:$E,'Base SKUs'!G:G),"")</f>
        <v>Ipe</v>
      </c>
      <c r="N644" t="str">
        <f>IFERROR(_xlfn.XLOOKUP($A644,'Base SKUs'!$E:$E,'Base SKUs'!H:H),"")</f>
        <v>S4S E4E - TK 23</v>
      </c>
      <c r="O644" t="str">
        <f>IFERROR(_xlfn.XLOOKUP($A644,'Base SKUs'!$E:$E,'Base SKUs'!I:I),"")</f>
        <v>-</v>
      </c>
      <c r="P644" t="str">
        <f>IFERROR(_xlfn.XLOOKUP($A644,'Base SKUs'!$E:$E,'Base SKUs'!J:J),"")</f>
        <v>7/8x6</v>
      </c>
      <c r="Q644">
        <f>IFERROR(_xlfn.XLOOKUP($A644,'Base SKUs'!$E:$E,'Base SKUs'!K:K),"")</f>
        <v>10</v>
      </c>
      <c r="R644" s="7">
        <f>IFERROR(_xlfn.XLOOKUP($A644,'Base SKUs'!$E:$E,'Base SKUs'!S:S),"")</f>
        <v>9.7935287999999995E-3</v>
      </c>
      <c r="S644" s="8">
        <f t="shared" si="52"/>
        <v>6.0426072695999995</v>
      </c>
      <c r="T644" s="7">
        <f>IFERROR(_xlfn.XLOOKUP($A644,'Base SKUs'!$E:$E,'Base SKUs'!R:R),"")</f>
        <v>1021.082</v>
      </c>
      <c r="U644" s="15">
        <f t="shared" si="53"/>
        <v>6170</v>
      </c>
      <c r="V644" t="str">
        <f t="shared" si="54"/>
        <v>Boston</v>
      </c>
    </row>
    <row r="645" spans="1:22" x14ac:dyDescent="0.2">
      <c r="A645" t="s">
        <v>919</v>
      </c>
      <c r="B645" s="5">
        <v>1195</v>
      </c>
      <c r="C645" s="5">
        <v>0</v>
      </c>
      <c r="D645" s="5">
        <f t="shared" si="50"/>
        <v>1195</v>
      </c>
      <c r="E645" s="6">
        <v>19.466000000000001</v>
      </c>
      <c r="F645" s="6">
        <f t="shared" si="51"/>
        <v>23261.870000000003</v>
      </c>
      <c r="G645" t="s">
        <v>330</v>
      </c>
      <c r="H645">
        <v>9011</v>
      </c>
      <c r="I645" t="str">
        <f>IFERROR(_xlfn.XLOOKUP($A645,'Base SKUs'!$E:$E,'Base SKUs'!A:A),"")</f>
        <v>Ipe</v>
      </c>
      <c r="J645" t="str">
        <f>IFERROR(_xlfn.XLOOKUP($A645,'Base SKUs'!$E:$E,'Base SKUs'!B:B),"")</f>
        <v>Ipe 7/8x6</v>
      </c>
      <c r="K645" t="str">
        <f>IFERROR(_xlfn.XLOOKUP($A645,'Base SKUs'!$E:$E,'Base SKUs'!C:C),"")</f>
        <v>Long</v>
      </c>
      <c r="L645" t="str">
        <f>IFERROR(_xlfn.XLOOKUP($A645,'Base SKUs'!$E:$E,'Base SKUs'!D:D),"")</f>
        <v>Hardwoods</v>
      </c>
      <c r="M645" t="str">
        <f>IFERROR(_xlfn.XLOOKUP($A645,'Base SKUs'!$E:$E,'Base SKUs'!G:G),"")</f>
        <v>Ipe</v>
      </c>
      <c r="N645" t="str">
        <f>IFERROR(_xlfn.XLOOKUP($A645,'Base SKUs'!$E:$E,'Base SKUs'!H:H),"")</f>
        <v>S4S E4E - TK 23</v>
      </c>
      <c r="O645" t="str">
        <f>IFERROR(_xlfn.XLOOKUP($A645,'Base SKUs'!$E:$E,'Base SKUs'!I:I),"")</f>
        <v>-</v>
      </c>
      <c r="P645" t="str">
        <f>IFERROR(_xlfn.XLOOKUP($A645,'Base SKUs'!$E:$E,'Base SKUs'!J:J),"")</f>
        <v>7/8x6</v>
      </c>
      <c r="Q645">
        <f>IFERROR(_xlfn.XLOOKUP($A645,'Base SKUs'!$E:$E,'Base SKUs'!K:K),"")</f>
        <v>10</v>
      </c>
      <c r="R645" s="7">
        <f>IFERROR(_xlfn.XLOOKUP($A645,'Base SKUs'!$E:$E,'Base SKUs'!S:S),"")</f>
        <v>9.7935287999999995E-3</v>
      </c>
      <c r="S645" s="8">
        <f t="shared" si="52"/>
        <v>11.703266915999999</v>
      </c>
      <c r="T645" s="7">
        <f>IFERROR(_xlfn.XLOOKUP($A645,'Base SKUs'!$E:$E,'Base SKUs'!R:R),"")</f>
        <v>1021.082</v>
      </c>
      <c r="U645" s="15">
        <f t="shared" si="53"/>
        <v>11950</v>
      </c>
      <c r="V645" t="str">
        <f t="shared" si="54"/>
        <v>New York</v>
      </c>
    </row>
    <row r="646" spans="1:22" x14ac:dyDescent="0.2">
      <c r="A646" t="s">
        <v>921</v>
      </c>
      <c r="B646" s="5">
        <v>212</v>
      </c>
      <c r="C646" s="5">
        <v>0</v>
      </c>
      <c r="D646" s="5">
        <f t="shared" si="50"/>
        <v>212</v>
      </c>
      <c r="E646" s="6">
        <v>38.402200000000001</v>
      </c>
      <c r="F646" s="6">
        <f t="shared" si="51"/>
        <v>8141.2664000000004</v>
      </c>
      <c r="G646" t="s">
        <v>17</v>
      </c>
      <c r="H646">
        <v>9007</v>
      </c>
      <c r="I646" t="str">
        <f>IFERROR(_xlfn.XLOOKUP($A646,'Base SKUs'!$E:$E,'Base SKUs'!A:A),"")</f>
        <v>Ipe</v>
      </c>
      <c r="J646" t="str">
        <f>IFERROR(_xlfn.XLOOKUP($A646,'Base SKUs'!$E:$E,'Base SKUs'!B:B),"")</f>
        <v>Ipe 5/4x6</v>
      </c>
      <c r="K646" t="str">
        <f>IFERROR(_xlfn.XLOOKUP($A646,'Base SKUs'!$E:$E,'Base SKUs'!C:C),"")</f>
        <v>Long</v>
      </c>
      <c r="L646" t="str">
        <f>IFERROR(_xlfn.XLOOKUP($A646,'Base SKUs'!$E:$E,'Base SKUs'!D:D),"")</f>
        <v>Hardwoods</v>
      </c>
      <c r="M646" t="str">
        <f>IFERROR(_xlfn.XLOOKUP($A646,'Base SKUs'!$E:$E,'Base SKUs'!G:G),"")</f>
        <v>Ipe</v>
      </c>
      <c r="N646" t="str">
        <f>IFERROR(_xlfn.XLOOKUP($A646,'Base SKUs'!$E:$E,'Base SKUs'!H:H),"")</f>
        <v>Grooved</v>
      </c>
      <c r="O646" t="str">
        <f>IFERROR(_xlfn.XLOOKUP($A646,'Base SKUs'!$E:$E,'Base SKUs'!I:I),"")</f>
        <v>-</v>
      </c>
      <c r="P646" t="str">
        <f>IFERROR(_xlfn.XLOOKUP($A646,'Base SKUs'!$E:$E,'Base SKUs'!J:J),"")</f>
        <v>5/4x6</v>
      </c>
      <c r="Q646">
        <f>IFERROR(_xlfn.XLOOKUP($A646,'Base SKUs'!$E:$E,'Base SKUs'!K:K),"")</f>
        <v>12</v>
      </c>
      <c r="R646" s="7">
        <f>IFERROR(_xlfn.XLOOKUP($A646,'Base SKUs'!$E:$E,'Base SKUs'!S:S),"")</f>
        <v>1.2978554687999997E-2</v>
      </c>
      <c r="S646" s="8">
        <f t="shared" si="52"/>
        <v>2.7514535938559992</v>
      </c>
      <c r="T646" s="7">
        <f>IFERROR(_xlfn.XLOOKUP($A646,'Base SKUs'!$E:$E,'Base SKUs'!R:R),"")</f>
        <v>924.60199999999998</v>
      </c>
      <c r="U646" s="15">
        <f t="shared" si="53"/>
        <v>2544</v>
      </c>
      <c r="V646" t="str">
        <f t="shared" si="54"/>
        <v>Miami</v>
      </c>
    </row>
    <row r="647" spans="1:22" x14ac:dyDescent="0.2">
      <c r="A647" t="s">
        <v>921</v>
      </c>
      <c r="B647" s="5">
        <v>179</v>
      </c>
      <c r="C647" s="5">
        <v>45</v>
      </c>
      <c r="D647" s="5">
        <f t="shared" si="50"/>
        <v>134</v>
      </c>
      <c r="E647" s="6">
        <v>31.022600000000001</v>
      </c>
      <c r="F647" s="6">
        <f t="shared" si="51"/>
        <v>5553.0454</v>
      </c>
      <c r="G647" t="s">
        <v>125</v>
      </c>
      <c r="H647">
        <v>9009</v>
      </c>
      <c r="I647" t="str">
        <f>IFERROR(_xlfn.XLOOKUP($A647,'Base SKUs'!$E:$E,'Base SKUs'!A:A),"")</f>
        <v>Ipe</v>
      </c>
      <c r="J647" t="str">
        <f>IFERROR(_xlfn.XLOOKUP($A647,'Base SKUs'!$E:$E,'Base SKUs'!B:B),"")</f>
        <v>Ipe 5/4x6</v>
      </c>
      <c r="K647" t="str">
        <f>IFERROR(_xlfn.XLOOKUP($A647,'Base SKUs'!$E:$E,'Base SKUs'!C:C),"")</f>
        <v>Long</v>
      </c>
      <c r="L647" t="str">
        <f>IFERROR(_xlfn.XLOOKUP($A647,'Base SKUs'!$E:$E,'Base SKUs'!D:D),"")</f>
        <v>Hardwoods</v>
      </c>
      <c r="M647" t="str">
        <f>IFERROR(_xlfn.XLOOKUP($A647,'Base SKUs'!$E:$E,'Base SKUs'!G:G),"")</f>
        <v>Ipe</v>
      </c>
      <c r="N647" t="str">
        <f>IFERROR(_xlfn.XLOOKUP($A647,'Base SKUs'!$E:$E,'Base SKUs'!H:H),"")</f>
        <v>Grooved</v>
      </c>
      <c r="O647" t="str">
        <f>IFERROR(_xlfn.XLOOKUP($A647,'Base SKUs'!$E:$E,'Base SKUs'!I:I),"")</f>
        <v>-</v>
      </c>
      <c r="P647" t="str">
        <f>IFERROR(_xlfn.XLOOKUP($A647,'Base SKUs'!$E:$E,'Base SKUs'!J:J),"")</f>
        <v>5/4x6</v>
      </c>
      <c r="Q647">
        <f>IFERROR(_xlfn.XLOOKUP($A647,'Base SKUs'!$E:$E,'Base SKUs'!K:K),"")</f>
        <v>12</v>
      </c>
      <c r="R647" s="7">
        <f>IFERROR(_xlfn.XLOOKUP($A647,'Base SKUs'!$E:$E,'Base SKUs'!S:S),"")</f>
        <v>1.2978554687999997E-2</v>
      </c>
      <c r="S647" s="8">
        <f t="shared" si="52"/>
        <v>1.7391263281919995</v>
      </c>
      <c r="T647" s="7">
        <f>IFERROR(_xlfn.XLOOKUP($A647,'Base SKUs'!$E:$E,'Base SKUs'!R:R),"")</f>
        <v>924.60199999999998</v>
      </c>
      <c r="U647" s="15">
        <f t="shared" si="53"/>
        <v>1608</v>
      </c>
      <c r="V647" t="str">
        <f t="shared" si="54"/>
        <v>Boston</v>
      </c>
    </row>
    <row r="648" spans="1:22" x14ac:dyDescent="0.2">
      <c r="A648" t="s">
        <v>921</v>
      </c>
      <c r="B648" s="5">
        <v>1319</v>
      </c>
      <c r="C648" s="5">
        <v>0</v>
      </c>
      <c r="D648" s="5">
        <f t="shared" si="50"/>
        <v>1319</v>
      </c>
      <c r="E648" s="6">
        <v>39.068300000000001</v>
      </c>
      <c r="F648" s="6">
        <f t="shared" si="51"/>
        <v>51531.087700000004</v>
      </c>
      <c r="G648" t="s">
        <v>330</v>
      </c>
      <c r="H648">
        <v>9011</v>
      </c>
      <c r="I648" t="str">
        <f>IFERROR(_xlfn.XLOOKUP($A648,'Base SKUs'!$E:$E,'Base SKUs'!A:A),"")</f>
        <v>Ipe</v>
      </c>
      <c r="J648" t="str">
        <f>IFERROR(_xlfn.XLOOKUP($A648,'Base SKUs'!$E:$E,'Base SKUs'!B:B),"")</f>
        <v>Ipe 5/4x6</v>
      </c>
      <c r="K648" t="str">
        <f>IFERROR(_xlfn.XLOOKUP($A648,'Base SKUs'!$E:$E,'Base SKUs'!C:C),"")</f>
        <v>Long</v>
      </c>
      <c r="L648" t="str">
        <f>IFERROR(_xlfn.XLOOKUP($A648,'Base SKUs'!$E:$E,'Base SKUs'!D:D),"")</f>
        <v>Hardwoods</v>
      </c>
      <c r="M648" t="str">
        <f>IFERROR(_xlfn.XLOOKUP($A648,'Base SKUs'!$E:$E,'Base SKUs'!G:G),"")</f>
        <v>Ipe</v>
      </c>
      <c r="N648" t="str">
        <f>IFERROR(_xlfn.XLOOKUP($A648,'Base SKUs'!$E:$E,'Base SKUs'!H:H),"")</f>
        <v>Grooved</v>
      </c>
      <c r="O648" t="str">
        <f>IFERROR(_xlfn.XLOOKUP($A648,'Base SKUs'!$E:$E,'Base SKUs'!I:I),"")</f>
        <v>-</v>
      </c>
      <c r="P648" t="str">
        <f>IFERROR(_xlfn.XLOOKUP($A648,'Base SKUs'!$E:$E,'Base SKUs'!J:J),"")</f>
        <v>5/4x6</v>
      </c>
      <c r="Q648">
        <f>IFERROR(_xlfn.XLOOKUP($A648,'Base SKUs'!$E:$E,'Base SKUs'!K:K),"")</f>
        <v>12</v>
      </c>
      <c r="R648" s="7">
        <f>IFERROR(_xlfn.XLOOKUP($A648,'Base SKUs'!$E:$E,'Base SKUs'!S:S),"")</f>
        <v>1.2978554687999997E-2</v>
      </c>
      <c r="S648" s="8">
        <f t="shared" si="52"/>
        <v>17.118713633471994</v>
      </c>
      <c r="T648" s="7">
        <f>IFERROR(_xlfn.XLOOKUP($A648,'Base SKUs'!$E:$E,'Base SKUs'!R:R),"")</f>
        <v>924.60199999999998</v>
      </c>
      <c r="U648" s="15">
        <f t="shared" si="53"/>
        <v>15828</v>
      </c>
      <c r="V648" t="str">
        <f t="shared" si="54"/>
        <v>New York</v>
      </c>
    </row>
    <row r="649" spans="1:22" x14ac:dyDescent="0.2">
      <c r="A649" t="s">
        <v>923</v>
      </c>
      <c r="B649" s="5">
        <v>686</v>
      </c>
      <c r="C649" s="5">
        <v>0</v>
      </c>
      <c r="D649" s="5">
        <f t="shared" si="50"/>
        <v>686</v>
      </c>
      <c r="E649" s="6">
        <v>43.209200000000003</v>
      </c>
      <c r="F649" s="6">
        <f t="shared" si="51"/>
        <v>29641.511200000001</v>
      </c>
      <c r="G649" t="s">
        <v>17</v>
      </c>
      <c r="H649">
        <v>9007</v>
      </c>
      <c r="I649" t="str">
        <f>IFERROR(_xlfn.XLOOKUP($A649,'Base SKUs'!$E:$E,'Base SKUs'!A:A),"")</f>
        <v>Ipe</v>
      </c>
      <c r="J649" t="str">
        <f>IFERROR(_xlfn.XLOOKUP($A649,'Base SKUs'!$E:$E,'Base SKUs'!B:B),"")</f>
        <v>Ipe 5/4x6</v>
      </c>
      <c r="K649" t="str">
        <f>IFERROR(_xlfn.XLOOKUP($A649,'Base SKUs'!$E:$E,'Base SKUs'!C:C),"")</f>
        <v>Long</v>
      </c>
      <c r="L649" t="str">
        <f>IFERROR(_xlfn.XLOOKUP($A649,'Base SKUs'!$E:$E,'Base SKUs'!D:D),"")</f>
        <v>Hardwoods</v>
      </c>
      <c r="M649" t="str">
        <f>IFERROR(_xlfn.XLOOKUP($A649,'Base SKUs'!$E:$E,'Base SKUs'!G:G),"")</f>
        <v>Ipe</v>
      </c>
      <c r="N649" t="str">
        <f>IFERROR(_xlfn.XLOOKUP($A649,'Base SKUs'!$E:$E,'Base SKUs'!H:H),"")</f>
        <v>S4S E4E</v>
      </c>
      <c r="O649" t="str">
        <f>IFERROR(_xlfn.XLOOKUP($A649,'Base SKUs'!$E:$E,'Base SKUs'!I:I),"")</f>
        <v>-</v>
      </c>
      <c r="P649" t="str">
        <f>IFERROR(_xlfn.XLOOKUP($A649,'Base SKUs'!$E:$E,'Base SKUs'!J:J),"")</f>
        <v>5/4x6</v>
      </c>
      <c r="Q649">
        <f>IFERROR(_xlfn.XLOOKUP($A649,'Base SKUs'!$E:$E,'Base SKUs'!K:K),"")</f>
        <v>12</v>
      </c>
      <c r="R649" s="7">
        <f>IFERROR(_xlfn.XLOOKUP($A649,'Base SKUs'!$E:$E,'Base SKUs'!S:S),"")</f>
        <v>1.2978554687999997E-2</v>
      </c>
      <c r="S649" s="8">
        <f t="shared" si="52"/>
        <v>8.9032885159679971</v>
      </c>
      <c r="T649" s="7">
        <f>IFERROR(_xlfn.XLOOKUP($A649,'Base SKUs'!$E:$E,'Base SKUs'!R:R),"")</f>
        <v>924.60199999999998</v>
      </c>
      <c r="U649" s="15">
        <f t="shared" si="53"/>
        <v>8232</v>
      </c>
      <c r="V649" t="str">
        <f t="shared" si="54"/>
        <v>Miami</v>
      </c>
    </row>
    <row r="650" spans="1:22" x14ac:dyDescent="0.2">
      <c r="A650" t="s">
        <v>923</v>
      </c>
      <c r="B650" s="5">
        <v>3700</v>
      </c>
      <c r="C650" s="5">
        <v>1511</v>
      </c>
      <c r="D650" s="5">
        <f t="shared" si="50"/>
        <v>2189</v>
      </c>
      <c r="E650" s="6">
        <v>48.055399999999999</v>
      </c>
      <c r="F650" s="6">
        <f t="shared" si="51"/>
        <v>177804.97999999998</v>
      </c>
      <c r="G650" t="s">
        <v>330</v>
      </c>
      <c r="H650">
        <v>9011</v>
      </c>
      <c r="I650" t="str">
        <f>IFERROR(_xlfn.XLOOKUP($A650,'Base SKUs'!$E:$E,'Base SKUs'!A:A),"")</f>
        <v>Ipe</v>
      </c>
      <c r="J650" t="str">
        <f>IFERROR(_xlfn.XLOOKUP($A650,'Base SKUs'!$E:$E,'Base SKUs'!B:B),"")</f>
        <v>Ipe 5/4x6</v>
      </c>
      <c r="K650" t="str">
        <f>IFERROR(_xlfn.XLOOKUP($A650,'Base SKUs'!$E:$E,'Base SKUs'!C:C),"")</f>
        <v>Long</v>
      </c>
      <c r="L650" t="str">
        <f>IFERROR(_xlfn.XLOOKUP($A650,'Base SKUs'!$E:$E,'Base SKUs'!D:D),"")</f>
        <v>Hardwoods</v>
      </c>
      <c r="M650" t="str">
        <f>IFERROR(_xlfn.XLOOKUP($A650,'Base SKUs'!$E:$E,'Base SKUs'!G:G),"")</f>
        <v>Ipe</v>
      </c>
      <c r="N650" t="str">
        <f>IFERROR(_xlfn.XLOOKUP($A650,'Base SKUs'!$E:$E,'Base SKUs'!H:H),"")</f>
        <v>S4S E4E</v>
      </c>
      <c r="O650" t="str">
        <f>IFERROR(_xlfn.XLOOKUP($A650,'Base SKUs'!$E:$E,'Base SKUs'!I:I),"")</f>
        <v>-</v>
      </c>
      <c r="P650" t="str">
        <f>IFERROR(_xlfn.XLOOKUP($A650,'Base SKUs'!$E:$E,'Base SKUs'!J:J),"")</f>
        <v>5/4x6</v>
      </c>
      <c r="Q650">
        <f>IFERROR(_xlfn.XLOOKUP($A650,'Base SKUs'!$E:$E,'Base SKUs'!K:K),"")</f>
        <v>12</v>
      </c>
      <c r="R650" s="7">
        <f>IFERROR(_xlfn.XLOOKUP($A650,'Base SKUs'!$E:$E,'Base SKUs'!S:S),"")</f>
        <v>1.2978554687999997E-2</v>
      </c>
      <c r="S650" s="8">
        <f t="shared" si="52"/>
        <v>28.410056212031993</v>
      </c>
      <c r="T650" s="7">
        <f>IFERROR(_xlfn.XLOOKUP($A650,'Base SKUs'!$E:$E,'Base SKUs'!R:R),"")</f>
        <v>924.60199999999998</v>
      </c>
      <c r="U650" s="15">
        <f t="shared" si="53"/>
        <v>26268</v>
      </c>
      <c r="V650" t="str">
        <f t="shared" si="54"/>
        <v>New York</v>
      </c>
    </row>
    <row r="651" spans="1:22" x14ac:dyDescent="0.2">
      <c r="A651" t="s">
        <v>925</v>
      </c>
      <c r="B651" s="5">
        <v>145</v>
      </c>
      <c r="C651" s="5">
        <v>0</v>
      </c>
      <c r="D651" s="5">
        <f t="shared" si="50"/>
        <v>145</v>
      </c>
      <c r="E651" s="6">
        <v>44.802599999999998</v>
      </c>
      <c r="F651" s="6">
        <f t="shared" si="51"/>
        <v>6496.3769999999995</v>
      </c>
      <c r="G651" t="s">
        <v>17</v>
      </c>
      <c r="H651">
        <v>9007</v>
      </c>
      <c r="I651" t="str">
        <f>IFERROR(_xlfn.XLOOKUP($A651,'Base SKUs'!$E:$E,'Base SKUs'!A:A),"")</f>
        <v>Ipe</v>
      </c>
      <c r="J651" t="str">
        <f>IFERROR(_xlfn.XLOOKUP($A651,'Base SKUs'!$E:$E,'Base SKUs'!B:B),"")</f>
        <v>Ipe 5/4x6</v>
      </c>
      <c r="K651" t="str">
        <f>IFERROR(_xlfn.XLOOKUP($A651,'Base SKUs'!$E:$E,'Base SKUs'!C:C),"")</f>
        <v>Long</v>
      </c>
      <c r="L651" t="str">
        <f>IFERROR(_xlfn.XLOOKUP($A651,'Base SKUs'!$E:$E,'Base SKUs'!D:D),"")</f>
        <v>Hardwoods</v>
      </c>
      <c r="M651" t="str">
        <f>IFERROR(_xlfn.XLOOKUP($A651,'Base SKUs'!$E:$E,'Base SKUs'!G:G),"")</f>
        <v>Ipe</v>
      </c>
      <c r="N651" t="str">
        <f>IFERROR(_xlfn.XLOOKUP($A651,'Base SKUs'!$E:$E,'Base SKUs'!H:H),"")</f>
        <v>Grooved</v>
      </c>
      <c r="O651" t="str">
        <f>IFERROR(_xlfn.XLOOKUP($A651,'Base SKUs'!$E:$E,'Base SKUs'!I:I),"")</f>
        <v>-</v>
      </c>
      <c r="P651" t="str">
        <f>IFERROR(_xlfn.XLOOKUP($A651,'Base SKUs'!$E:$E,'Base SKUs'!J:J),"")</f>
        <v>5/4x6</v>
      </c>
      <c r="Q651">
        <f>IFERROR(_xlfn.XLOOKUP($A651,'Base SKUs'!$E:$E,'Base SKUs'!K:K),"")</f>
        <v>14</v>
      </c>
      <c r="R651" s="7">
        <f>IFERROR(_xlfn.XLOOKUP($A651,'Base SKUs'!$E:$E,'Base SKUs'!S:S),"")</f>
        <v>1.5141647135999997E-2</v>
      </c>
      <c r="S651" s="8">
        <f t="shared" si="52"/>
        <v>2.1955388347199998</v>
      </c>
      <c r="T651" s="7">
        <f>IFERROR(_xlfn.XLOOKUP($A651,'Base SKUs'!$E:$E,'Base SKUs'!R:R),"")</f>
        <v>924.60199999999998</v>
      </c>
      <c r="U651" s="15">
        <f t="shared" si="53"/>
        <v>2030</v>
      </c>
      <c r="V651" t="str">
        <f t="shared" si="54"/>
        <v>Miami</v>
      </c>
    </row>
    <row r="652" spans="1:22" x14ac:dyDescent="0.2">
      <c r="A652" t="s">
        <v>925</v>
      </c>
      <c r="B652" s="5">
        <v>35</v>
      </c>
      <c r="C652" s="5">
        <v>0</v>
      </c>
      <c r="D652" s="5">
        <f t="shared" si="50"/>
        <v>35</v>
      </c>
      <c r="E652" s="6">
        <v>42.426000000000002</v>
      </c>
      <c r="F652" s="6">
        <f t="shared" si="51"/>
        <v>1484.91</v>
      </c>
      <c r="G652" t="s">
        <v>125</v>
      </c>
      <c r="H652">
        <v>9009</v>
      </c>
      <c r="I652" t="str">
        <f>IFERROR(_xlfn.XLOOKUP($A652,'Base SKUs'!$E:$E,'Base SKUs'!A:A),"")</f>
        <v>Ipe</v>
      </c>
      <c r="J652" t="str">
        <f>IFERROR(_xlfn.XLOOKUP($A652,'Base SKUs'!$E:$E,'Base SKUs'!B:B),"")</f>
        <v>Ipe 5/4x6</v>
      </c>
      <c r="K652" t="str">
        <f>IFERROR(_xlfn.XLOOKUP($A652,'Base SKUs'!$E:$E,'Base SKUs'!C:C),"")</f>
        <v>Long</v>
      </c>
      <c r="L652" t="str">
        <f>IFERROR(_xlfn.XLOOKUP($A652,'Base SKUs'!$E:$E,'Base SKUs'!D:D),"")</f>
        <v>Hardwoods</v>
      </c>
      <c r="M652" t="str">
        <f>IFERROR(_xlfn.XLOOKUP($A652,'Base SKUs'!$E:$E,'Base SKUs'!G:G),"")</f>
        <v>Ipe</v>
      </c>
      <c r="N652" t="str">
        <f>IFERROR(_xlfn.XLOOKUP($A652,'Base SKUs'!$E:$E,'Base SKUs'!H:H),"")</f>
        <v>Grooved</v>
      </c>
      <c r="O652" t="str">
        <f>IFERROR(_xlfn.XLOOKUP($A652,'Base SKUs'!$E:$E,'Base SKUs'!I:I),"")</f>
        <v>-</v>
      </c>
      <c r="P652" t="str">
        <f>IFERROR(_xlfn.XLOOKUP($A652,'Base SKUs'!$E:$E,'Base SKUs'!J:J),"")</f>
        <v>5/4x6</v>
      </c>
      <c r="Q652">
        <f>IFERROR(_xlfn.XLOOKUP($A652,'Base SKUs'!$E:$E,'Base SKUs'!K:K),"")</f>
        <v>14</v>
      </c>
      <c r="R652" s="7">
        <f>IFERROR(_xlfn.XLOOKUP($A652,'Base SKUs'!$E:$E,'Base SKUs'!S:S),"")</f>
        <v>1.5141647135999997E-2</v>
      </c>
      <c r="S652" s="8">
        <f t="shared" si="52"/>
        <v>0.52995764975999993</v>
      </c>
      <c r="T652" s="7">
        <f>IFERROR(_xlfn.XLOOKUP($A652,'Base SKUs'!$E:$E,'Base SKUs'!R:R),"")</f>
        <v>924.60199999999998</v>
      </c>
      <c r="U652" s="15">
        <f t="shared" si="53"/>
        <v>490</v>
      </c>
      <c r="V652" t="str">
        <f t="shared" si="54"/>
        <v>Boston</v>
      </c>
    </row>
    <row r="653" spans="1:22" x14ac:dyDescent="0.2">
      <c r="A653" t="s">
        <v>925</v>
      </c>
      <c r="B653" s="5">
        <v>749</v>
      </c>
      <c r="C653" s="5">
        <v>0</v>
      </c>
      <c r="D653" s="5">
        <f t="shared" si="50"/>
        <v>749</v>
      </c>
      <c r="E653" s="6">
        <v>45.707700000000003</v>
      </c>
      <c r="F653" s="6">
        <f t="shared" si="51"/>
        <v>34235.067300000002</v>
      </c>
      <c r="G653" t="s">
        <v>330</v>
      </c>
      <c r="H653">
        <v>9011</v>
      </c>
      <c r="I653" t="str">
        <f>IFERROR(_xlfn.XLOOKUP($A653,'Base SKUs'!$E:$E,'Base SKUs'!A:A),"")</f>
        <v>Ipe</v>
      </c>
      <c r="J653" t="str">
        <f>IFERROR(_xlfn.XLOOKUP($A653,'Base SKUs'!$E:$E,'Base SKUs'!B:B),"")</f>
        <v>Ipe 5/4x6</v>
      </c>
      <c r="K653" t="str">
        <f>IFERROR(_xlfn.XLOOKUP($A653,'Base SKUs'!$E:$E,'Base SKUs'!C:C),"")</f>
        <v>Long</v>
      </c>
      <c r="L653" t="str">
        <f>IFERROR(_xlfn.XLOOKUP($A653,'Base SKUs'!$E:$E,'Base SKUs'!D:D),"")</f>
        <v>Hardwoods</v>
      </c>
      <c r="M653" t="str">
        <f>IFERROR(_xlfn.XLOOKUP($A653,'Base SKUs'!$E:$E,'Base SKUs'!G:G),"")</f>
        <v>Ipe</v>
      </c>
      <c r="N653" t="str">
        <f>IFERROR(_xlfn.XLOOKUP($A653,'Base SKUs'!$E:$E,'Base SKUs'!H:H),"")</f>
        <v>Grooved</v>
      </c>
      <c r="O653" t="str">
        <f>IFERROR(_xlfn.XLOOKUP($A653,'Base SKUs'!$E:$E,'Base SKUs'!I:I),"")</f>
        <v>-</v>
      </c>
      <c r="P653" t="str">
        <f>IFERROR(_xlfn.XLOOKUP($A653,'Base SKUs'!$E:$E,'Base SKUs'!J:J),"")</f>
        <v>5/4x6</v>
      </c>
      <c r="Q653">
        <f>IFERROR(_xlfn.XLOOKUP($A653,'Base SKUs'!$E:$E,'Base SKUs'!K:K),"")</f>
        <v>14</v>
      </c>
      <c r="R653" s="7">
        <f>IFERROR(_xlfn.XLOOKUP($A653,'Base SKUs'!$E:$E,'Base SKUs'!S:S),"")</f>
        <v>1.5141647135999997E-2</v>
      </c>
      <c r="S653" s="8">
        <f t="shared" si="52"/>
        <v>11.341093704863997</v>
      </c>
      <c r="T653" s="7">
        <f>IFERROR(_xlfn.XLOOKUP($A653,'Base SKUs'!$E:$E,'Base SKUs'!R:R),"")</f>
        <v>924.60199999999998</v>
      </c>
      <c r="U653" s="15">
        <f t="shared" si="53"/>
        <v>10486</v>
      </c>
      <c r="V653" t="str">
        <f t="shared" si="54"/>
        <v>New York</v>
      </c>
    </row>
    <row r="654" spans="1:22" x14ac:dyDescent="0.2">
      <c r="A654" t="s">
        <v>927</v>
      </c>
      <c r="B654" s="5">
        <v>336</v>
      </c>
      <c r="C654" s="5">
        <v>0</v>
      </c>
      <c r="D654" s="5">
        <f t="shared" si="50"/>
        <v>336</v>
      </c>
      <c r="E654" s="6">
        <v>50.497900000000001</v>
      </c>
      <c r="F654" s="6">
        <f t="shared" si="51"/>
        <v>16967.294399999999</v>
      </c>
      <c r="G654" t="s">
        <v>17</v>
      </c>
      <c r="H654">
        <v>9007</v>
      </c>
      <c r="I654" t="str">
        <f>IFERROR(_xlfn.XLOOKUP($A654,'Base SKUs'!$E:$E,'Base SKUs'!A:A),"")</f>
        <v>Ipe</v>
      </c>
      <c r="J654" t="str">
        <f>IFERROR(_xlfn.XLOOKUP($A654,'Base SKUs'!$E:$E,'Base SKUs'!B:B),"")</f>
        <v>Ipe 5/4x6</v>
      </c>
      <c r="K654" t="str">
        <f>IFERROR(_xlfn.XLOOKUP($A654,'Base SKUs'!$E:$E,'Base SKUs'!C:C),"")</f>
        <v>Long</v>
      </c>
      <c r="L654" t="str">
        <f>IFERROR(_xlfn.XLOOKUP($A654,'Base SKUs'!$E:$E,'Base SKUs'!D:D),"")</f>
        <v>Hardwoods</v>
      </c>
      <c r="M654" t="str">
        <f>IFERROR(_xlfn.XLOOKUP($A654,'Base SKUs'!$E:$E,'Base SKUs'!G:G),"")</f>
        <v>Ipe</v>
      </c>
      <c r="N654" t="str">
        <f>IFERROR(_xlfn.XLOOKUP($A654,'Base SKUs'!$E:$E,'Base SKUs'!H:H),"")</f>
        <v>S4S E4E</v>
      </c>
      <c r="O654" t="str">
        <f>IFERROR(_xlfn.XLOOKUP($A654,'Base SKUs'!$E:$E,'Base SKUs'!I:I),"")</f>
        <v>-</v>
      </c>
      <c r="P654" t="str">
        <f>IFERROR(_xlfn.XLOOKUP($A654,'Base SKUs'!$E:$E,'Base SKUs'!J:J),"")</f>
        <v>5/4x6</v>
      </c>
      <c r="Q654">
        <f>IFERROR(_xlfn.XLOOKUP($A654,'Base SKUs'!$E:$E,'Base SKUs'!K:K),"")</f>
        <v>14</v>
      </c>
      <c r="R654" s="7">
        <f>IFERROR(_xlfn.XLOOKUP($A654,'Base SKUs'!$E:$E,'Base SKUs'!S:S),"")</f>
        <v>1.5141647135999997E-2</v>
      </c>
      <c r="S654" s="8">
        <f t="shared" si="52"/>
        <v>5.0875934376959986</v>
      </c>
      <c r="T654" s="7">
        <f>IFERROR(_xlfn.XLOOKUP($A654,'Base SKUs'!$E:$E,'Base SKUs'!R:R),"")</f>
        <v>924.60199999999998</v>
      </c>
      <c r="U654" s="15">
        <f t="shared" si="53"/>
        <v>4704</v>
      </c>
      <c r="V654" t="str">
        <f t="shared" si="54"/>
        <v>Miami</v>
      </c>
    </row>
    <row r="655" spans="1:22" x14ac:dyDescent="0.2">
      <c r="A655" t="s">
        <v>927</v>
      </c>
      <c r="B655" s="5">
        <v>2238</v>
      </c>
      <c r="C655" s="5">
        <v>602</v>
      </c>
      <c r="D655" s="5">
        <f t="shared" si="50"/>
        <v>1636</v>
      </c>
      <c r="E655" s="6">
        <v>59.096800000000002</v>
      </c>
      <c r="F655" s="6">
        <f t="shared" si="51"/>
        <v>132258.6384</v>
      </c>
      <c r="G655" t="s">
        <v>330</v>
      </c>
      <c r="H655">
        <v>9011</v>
      </c>
      <c r="I655" t="str">
        <f>IFERROR(_xlfn.XLOOKUP($A655,'Base SKUs'!$E:$E,'Base SKUs'!A:A),"")</f>
        <v>Ipe</v>
      </c>
      <c r="J655" t="str">
        <f>IFERROR(_xlfn.XLOOKUP($A655,'Base SKUs'!$E:$E,'Base SKUs'!B:B),"")</f>
        <v>Ipe 5/4x6</v>
      </c>
      <c r="K655" t="str">
        <f>IFERROR(_xlfn.XLOOKUP($A655,'Base SKUs'!$E:$E,'Base SKUs'!C:C),"")</f>
        <v>Long</v>
      </c>
      <c r="L655" t="str">
        <f>IFERROR(_xlfn.XLOOKUP($A655,'Base SKUs'!$E:$E,'Base SKUs'!D:D),"")</f>
        <v>Hardwoods</v>
      </c>
      <c r="M655" t="str">
        <f>IFERROR(_xlfn.XLOOKUP($A655,'Base SKUs'!$E:$E,'Base SKUs'!G:G),"")</f>
        <v>Ipe</v>
      </c>
      <c r="N655" t="str">
        <f>IFERROR(_xlfn.XLOOKUP($A655,'Base SKUs'!$E:$E,'Base SKUs'!H:H),"")</f>
        <v>S4S E4E</v>
      </c>
      <c r="O655" t="str">
        <f>IFERROR(_xlfn.XLOOKUP($A655,'Base SKUs'!$E:$E,'Base SKUs'!I:I),"")</f>
        <v>-</v>
      </c>
      <c r="P655" t="str">
        <f>IFERROR(_xlfn.XLOOKUP($A655,'Base SKUs'!$E:$E,'Base SKUs'!J:J),"")</f>
        <v>5/4x6</v>
      </c>
      <c r="Q655">
        <f>IFERROR(_xlfn.XLOOKUP($A655,'Base SKUs'!$E:$E,'Base SKUs'!K:K),"")</f>
        <v>14</v>
      </c>
      <c r="R655" s="7">
        <f>IFERROR(_xlfn.XLOOKUP($A655,'Base SKUs'!$E:$E,'Base SKUs'!S:S),"")</f>
        <v>1.5141647135999997E-2</v>
      </c>
      <c r="S655" s="8">
        <f t="shared" si="52"/>
        <v>24.771734714495995</v>
      </c>
      <c r="T655" s="7">
        <f>IFERROR(_xlfn.XLOOKUP($A655,'Base SKUs'!$E:$E,'Base SKUs'!R:R),"")</f>
        <v>924.60199999999998</v>
      </c>
      <c r="U655" s="15">
        <f t="shared" si="53"/>
        <v>22904</v>
      </c>
      <c r="V655" t="str">
        <f t="shared" si="54"/>
        <v>New York</v>
      </c>
    </row>
    <row r="656" spans="1:22" x14ac:dyDescent="0.2">
      <c r="A656" t="s">
        <v>929</v>
      </c>
      <c r="B656" s="5">
        <v>189</v>
      </c>
      <c r="C656" s="5">
        <v>0</v>
      </c>
      <c r="D656" s="5">
        <f t="shared" si="50"/>
        <v>189</v>
      </c>
      <c r="E656" s="6">
        <v>51.203000000000003</v>
      </c>
      <c r="F656" s="6">
        <f t="shared" si="51"/>
        <v>9677.3670000000002</v>
      </c>
      <c r="G656" t="s">
        <v>17</v>
      </c>
      <c r="H656">
        <v>9007</v>
      </c>
      <c r="I656" t="str">
        <f>IFERROR(_xlfn.XLOOKUP($A656,'Base SKUs'!$E:$E,'Base SKUs'!A:A),"")</f>
        <v>Ipe</v>
      </c>
      <c r="J656" t="str">
        <f>IFERROR(_xlfn.XLOOKUP($A656,'Base SKUs'!$E:$E,'Base SKUs'!B:B),"")</f>
        <v>Ipe 5/4x6</v>
      </c>
      <c r="K656" t="str">
        <f>IFERROR(_xlfn.XLOOKUP($A656,'Base SKUs'!$E:$E,'Base SKUs'!C:C),"")</f>
        <v>Long</v>
      </c>
      <c r="L656" t="str">
        <f>IFERROR(_xlfn.XLOOKUP($A656,'Base SKUs'!$E:$E,'Base SKUs'!D:D),"")</f>
        <v>Hardwoods</v>
      </c>
      <c r="M656" t="str">
        <f>IFERROR(_xlfn.XLOOKUP($A656,'Base SKUs'!$E:$E,'Base SKUs'!G:G),"")</f>
        <v>Ipe</v>
      </c>
      <c r="N656" t="str">
        <f>IFERROR(_xlfn.XLOOKUP($A656,'Base SKUs'!$E:$E,'Base SKUs'!H:H),"")</f>
        <v>Grooved</v>
      </c>
      <c r="O656" t="str">
        <f>IFERROR(_xlfn.XLOOKUP($A656,'Base SKUs'!$E:$E,'Base SKUs'!I:I),"")</f>
        <v>-</v>
      </c>
      <c r="P656" t="str">
        <f>IFERROR(_xlfn.XLOOKUP($A656,'Base SKUs'!$E:$E,'Base SKUs'!J:J),"")</f>
        <v>5/4x6</v>
      </c>
      <c r="Q656">
        <f>IFERROR(_xlfn.XLOOKUP($A656,'Base SKUs'!$E:$E,'Base SKUs'!K:K),"")</f>
        <v>16</v>
      </c>
      <c r="R656" s="7">
        <f>IFERROR(_xlfn.XLOOKUP($A656,'Base SKUs'!$E:$E,'Base SKUs'!S:S),"")</f>
        <v>1.7304739584000001E-2</v>
      </c>
      <c r="S656" s="8">
        <f t="shared" si="52"/>
        <v>3.270595781376</v>
      </c>
      <c r="T656" s="7">
        <f>IFERROR(_xlfn.XLOOKUP($A656,'Base SKUs'!$E:$E,'Base SKUs'!R:R),"")</f>
        <v>924.60199999999998</v>
      </c>
      <c r="U656" s="15">
        <f t="shared" si="53"/>
        <v>3024</v>
      </c>
      <c r="V656" t="str">
        <f t="shared" si="54"/>
        <v>Miami</v>
      </c>
    </row>
    <row r="657" spans="1:22" x14ac:dyDescent="0.2">
      <c r="A657" t="s">
        <v>929</v>
      </c>
      <c r="B657" s="5">
        <v>50</v>
      </c>
      <c r="C657" s="5">
        <v>0</v>
      </c>
      <c r="D657" s="5">
        <f t="shared" si="50"/>
        <v>50</v>
      </c>
      <c r="E657" s="6">
        <v>85.6233</v>
      </c>
      <c r="F657" s="6">
        <f t="shared" si="51"/>
        <v>4281.165</v>
      </c>
      <c r="G657" t="s">
        <v>125</v>
      </c>
      <c r="H657">
        <v>9009</v>
      </c>
      <c r="I657" t="str">
        <f>IFERROR(_xlfn.XLOOKUP($A657,'Base SKUs'!$E:$E,'Base SKUs'!A:A),"")</f>
        <v>Ipe</v>
      </c>
      <c r="J657" t="str">
        <f>IFERROR(_xlfn.XLOOKUP($A657,'Base SKUs'!$E:$E,'Base SKUs'!B:B),"")</f>
        <v>Ipe 5/4x6</v>
      </c>
      <c r="K657" t="str">
        <f>IFERROR(_xlfn.XLOOKUP($A657,'Base SKUs'!$E:$E,'Base SKUs'!C:C),"")</f>
        <v>Long</v>
      </c>
      <c r="L657" t="str">
        <f>IFERROR(_xlfn.XLOOKUP($A657,'Base SKUs'!$E:$E,'Base SKUs'!D:D),"")</f>
        <v>Hardwoods</v>
      </c>
      <c r="M657" t="str">
        <f>IFERROR(_xlfn.XLOOKUP($A657,'Base SKUs'!$E:$E,'Base SKUs'!G:G),"")</f>
        <v>Ipe</v>
      </c>
      <c r="N657" t="str">
        <f>IFERROR(_xlfn.XLOOKUP($A657,'Base SKUs'!$E:$E,'Base SKUs'!H:H),"")</f>
        <v>Grooved</v>
      </c>
      <c r="O657" t="str">
        <f>IFERROR(_xlfn.XLOOKUP($A657,'Base SKUs'!$E:$E,'Base SKUs'!I:I),"")</f>
        <v>-</v>
      </c>
      <c r="P657" t="str">
        <f>IFERROR(_xlfn.XLOOKUP($A657,'Base SKUs'!$E:$E,'Base SKUs'!J:J),"")</f>
        <v>5/4x6</v>
      </c>
      <c r="Q657">
        <f>IFERROR(_xlfn.XLOOKUP($A657,'Base SKUs'!$E:$E,'Base SKUs'!K:K),"")</f>
        <v>16</v>
      </c>
      <c r="R657" s="7">
        <f>IFERROR(_xlfn.XLOOKUP($A657,'Base SKUs'!$E:$E,'Base SKUs'!S:S),"")</f>
        <v>1.7304739584000001E-2</v>
      </c>
      <c r="S657" s="8">
        <f t="shared" si="52"/>
        <v>0.86523697920000009</v>
      </c>
      <c r="T657" s="7">
        <f>IFERROR(_xlfn.XLOOKUP($A657,'Base SKUs'!$E:$E,'Base SKUs'!R:R),"")</f>
        <v>924.60199999999998</v>
      </c>
      <c r="U657" s="15">
        <f t="shared" si="53"/>
        <v>800</v>
      </c>
      <c r="V657" t="str">
        <f t="shared" si="54"/>
        <v>Boston</v>
      </c>
    </row>
    <row r="658" spans="1:22" x14ac:dyDescent="0.2">
      <c r="A658" t="s">
        <v>929</v>
      </c>
      <c r="B658" s="5">
        <v>294</v>
      </c>
      <c r="C658" s="5">
        <v>0</v>
      </c>
      <c r="D658" s="5">
        <f t="shared" si="50"/>
        <v>294</v>
      </c>
      <c r="E658" s="6">
        <v>58.791800000000002</v>
      </c>
      <c r="F658" s="6">
        <f t="shared" si="51"/>
        <v>17284.789199999999</v>
      </c>
      <c r="G658" t="s">
        <v>330</v>
      </c>
      <c r="H658">
        <v>9011</v>
      </c>
      <c r="I658" t="str">
        <f>IFERROR(_xlfn.XLOOKUP($A658,'Base SKUs'!$E:$E,'Base SKUs'!A:A),"")</f>
        <v>Ipe</v>
      </c>
      <c r="J658" t="str">
        <f>IFERROR(_xlfn.XLOOKUP($A658,'Base SKUs'!$E:$E,'Base SKUs'!B:B),"")</f>
        <v>Ipe 5/4x6</v>
      </c>
      <c r="K658" t="str">
        <f>IFERROR(_xlfn.XLOOKUP($A658,'Base SKUs'!$E:$E,'Base SKUs'!C:C),"")</f>
        <v>Long</v>
      </c>
      <c r="L658" t="str">
        <f>IFERROR(_xlfn.XLOOKUP($A658,'Base SKUs'!$E:$E,'Base SKUs'!D:D),"")</f>
        <v>Hardwoods</v>
      </c>
      <c r="M658" t="str">
        <f>IFERROR(_xlfn.XLOOKUP($A658,'Base SKUs'!$E:$E,'Base SKUs'!G:G),"")</f>
        <v>Ipe</v>
      </c>
      <c r="N658" t="str">
        <f>IFERROR(_xlfn.XLOOKUP($A658,'Base SKUs'!$E:$E,'Base SKUs'!H:H),"")</f>
        <v>Grooved</v>
      </c>
      <c r="O658" t="str">
        <f>IFERROR(_xlfn.XLOOKUP($A658,'Base SKUs'!$E:$E,'Base SKUs'!I:I),"")</f>
        <v>-</v>
      </c>
      <c r="P658" t="str">
        <f>IFERROR(_xlfn.XLOOKUP($A658,'Base SKUs'!$E:$E,'Base SKUs'!J:J),"")</f>
        <v>5/4x6</v>
      </c>
      <c r="Q658">
        <f>IFERROR(_xlfn.XLOOKUP($A658,'Base SKUs'!$E:$E,'Base SKUs'!K:K),"")</f>
        <v>16</v>
      </c>
      <c r="R658" s="7">
        <f>IFERROR(_xlfn.XLOOKUP($A658,'Base SKUs'!$E:$E,'Base SKUs'!S:S),"")</f>
        <v>1.7304739584000001E-2</v>
      </c>
      <c r="S658" s="8">
        <f t="shared" si="52"/>
        <v>5.0875934376960004</v>
      </c>
      <c r="T658" s="7">
        <f>IFERROR(_xlfn.XLOOKUP($A658,'Base SKUs'!$E:$E,'Base SKUs'!R:R),"")</f>
        <v>924.60199999999998</v>
      </c>
      <c r="U658" s="15">
        <f t="shared" si="53"/>
        <v>4704</v>
      </c>
      <c r="V658" t="str">
        <f t="shared" si="54"/>
        <v>New York</v>
      </c>
    </row>
    <row r="659" spans="1:22" x14ac:dyDescent="0.2">
      <c r="A659" t="s">
        <v>931</v>
      </c>
      <c r="B659" s="5">
        <v>280</v>
      </c>
      <c r="C659" s="5">
        <v>0</v>
      </c>
      <c r="D659" s="5">
        <f t="shared" si="50"/>
        <v>280</v>
      </c>
      <c r="E659" s="6">
        <v>58.773600000000002</v>
      </c>
      <c r="F659" s="6">
        <f t="shared" si="51"/>
        <v>16456.608</v>
      </c>
      <c r="G659" t="s">
        <v>17</v>
      </c>
      <c r="H659">
        <v>9007</v>
      </c>
      <c r="I659" t="str">
        <f>IFERROR(_xlfn.XLOOKUP($A659,'Base SKUs'!$E:$E,'Base SKUs'!A:A),"")</f>
        <v>Ipe</v>
      </c>
      <c r="J659" t="str">
        <f>IFERROR(_xlfn.XLOOKUP($A659,'Base SKUs'!$E:$E,'Base SKUs'!B:B),"")</f>
        <v>Ipe 5/4x6</v>
      </c>
      <c r="K659" t="str">
        <f>IFERROR(_xlfn.XLOOKUP($A659,'Base SKUs'!$E:$E,'Base SKUs'!C:C),"")</f>
        <v>Long</v>
      </c>
      <c r="L659" t="str">
        <f>IFERROR(_xlfn.XLOOKUP($A659,'Base SKUs'!$E:$E,'Base SKUs'!D:D),"")</f>
        <v>Hardwoods</v>
      </c>
      <c r="M659" t="str">
        <f>IFERROR(_xlfn.XLOOKUP($A659,'Base SKUs'!$E:$E,'Base SKUs'!G:G),"")</f>
        <v>Ipe</v>
      </c>
      <c r="N659" t="str">
        <f>IFERROR(_xlfn.XLOOKUP($A659,'Base SKUs'!$E:$E,'Base SKUs'!H:H),"")</f>
        <v>S4S E4E</v>
      </c>
      <c r="O659" t="str">
        <f>IFERROR(_xlfn.XLOOKUP($A659,'Base SKUs'!$E:$E,'Base SKUs'!I:I),"")</f>
        <v>-</v>
      </c>
      <c r="P659" t="str">
        <f>IFERROR(_xlfn.XLOOKUP($A659,'Base SKUs'!$E:$E,'Base SKUs'!J:J),"")</f>
        <v>5/4x6</v>
      </c>
      <c r="Q659">
        <f>IFERROR(_xlfn.XLOOKUP($A659,'Base SKUs'!$E:$E,'Base SKUs'!K:K),"")</f>
        <v>16</v>
      </c>
      <c r="R659" s="7">
        <f>IFERROR(_xlfn.XLOOKUP($A659,'Base SKUs'!$E:$E,'Base SKUs'!S:S),"")</f>
        <v>1.7304739584000001E-2</v>
      </c>
      <c r="S659" s="8">
        <f t="shared" si="52"/>
        <v>4.84532708352</v>
      </c>
      <c r="T659" s="7">
        <f>IFERROR(_xlfn.XLOOKUP($A659,'Base SKUs'!$E:$E,'Base SKUs'!R:R),"")</f>
        <v>924.60199999999998</v>
      </c>
      <c r="U659" s="15">
        <f t="shared" si="53"/>
        <v>4480</v>
      </c>
      <c r="V659" t="str">
        <f t="shared" si="54"/>
        <v>Miami</v>
      </c>
    </row>
    <row r="660" spans="1:22" x14ac:dyDescent="0.2">
      <c r="A660" t="s">
        <v>931</v>
      </c>
      <c r="B660" s="5">
        <v>21</v>
      </c>
      <c r="C660" s="5">
        <v>0</v>
      </c>
      <c r="D660" s="5">
        <f t="shared" si="50"/>
        <v>21</v>
      </c>
      <c r="E660" s="6">
        <v>87.151799999999994</v>
      </c>
      <c r="F660" s="6">
        <f t="shared" si="51"/>
        <v>1830.1877999999999</v>
      </c>
      <c r="G660" t="s">
        <v>24</v>
      </c>
      <c r="H660">
        <v>9008</v>
      </c>
      <c r="I660" t="str">
        <f>IFERROR(_xlfn.XLOOKUP($A660,'Base SKUs'!$E:$E,'Base SKUs'!A:A),"")</f>
        <v>Ipe</v>
      </c>
      <c r="J660" t="str">
        <f>IFERROR(_xlfn.XLOOKUP($A660,'Base SKUs'!$E:$E,'Base SKUs'!B:B),"")</f>
        <v>Ipe 5/4x6</v>
      </c>
      <c r="K660" t="str">
        <f>IFERROR(_xlfn.XLOOKUP($A660,'Base SKUs'!$E:$E,'Base SKUs'!C:C),"")</f>
        <v>Long</v>
      </c>
      <c r="L660" t="str">
        <f>IFERROR(_xlfn.XLOOKUP($A660,'Base SKUs'!$E:$E,'Base SKUs'!D:D),"")</f>
        <v>Hardwoods</v>
      </c>
      <c r="M660" t="str">
        <f>IFERROR(_xlfn.XLOOKUP($A660,'Base SKUs'!$E:$E,'Base SKUs'!G:G),"")</f>
        <v>Ipe</v>
      </c>
      <c r="N660" t="str">
        <f>IFERROR(_xlfn.XLOOKUP($A660,'Base SKUs'!$E:$E,'Base SKUs'!H:H),"")</f>
        <v>S4S E4E</v>
      </c>
      <c r="O660" t="str">
        <f>IFERROR(_xlfn.XLOOKUP($A660,'Base SKUs'!$E:$E,'Base SKUs'!I:I),"")</f>
        <v>-</v>
      </c>
      <c r="P660" t="str">
        <f>IFERROR(_xlfn.XLOOKUP($A660,'Base SKUs'!$E:$E,'Base SKUs'!J:J),"")</f>
        <v>5/4x6</v>
      </c>
      <c r="Q660">
        <f>IFERROR(_xlfn.XLOOKUP($A660,'Base SKUs'!$E:$E,'Base SKUs'!K:K),"")</f>
        <v>16</v>
      </c>
      <c r="R660" s="7">
        <f>IFERROR(_xlfn.XLOOKUP($A660,'Base SKUs'!$E:$E,'Base SKUs'!S:S),"")</f>
        <v>1.7304739584000001E-2</v>
      </c>
      <c r="S660" s="8">
        <f t="shared" si="52"/>
        <v>0.36339953126400004</v>
      </c>
      <c r="T660" s="7">
        <f>IFERROR(_xlfn.XLOOKUP($A660,'Base SKUs'!$E:$E,'Base SKUs'!R:R),"")</f>
        <v>924.60199999999998</v>
      </c>
      <c r="U660" s="15">
        <f t="shared" si="53"/>
        <v>336</v>
      </c>
      <c r="V660" t="str">
        <f t="shared" si="54"/>
        <v>Texas</v>
      </c>
    </row>
    <row r="661" spans="1:22" x14ac:dyDescent="0.2">
      <c r="A661" t="s">
        <v>931</v>
      </c>
      <c r="B661" s="5">
        <v>1353</v>
      </c>
      <c r="C661" s="5">
        <v>580</v>
      </c>
      <c r="D661" s="5">
        <f t="shared" si="50"/>
        <v>773</v>
      </c>
      <c r="E661" s="6">
        <v>69.605699999999999</v>
      </c>
      <c r="F661" s="6">
        <f t="shared" si="51"/>
        <v>94176.512099999993</v>
      </c>
      <c r="G661" t="s">
        <v>330</v>
      </c>
      <c r="H661">
        <v>9011</v>
      </c>
      <c r="I661" t="str">
        <f>IFERROR(_xlfn.XLOOKUP($A661,'Base SKUs'!$E:$E,'Base SKUs'!A:A),"")</f>
        <v>Ipe</v>
      </c>
      <c r="J661" t="str">
        <f>IFERROR(_xlfn.XLOOKUP($A661,'Base SKUs'!$E:$E,'Base SKUs'!B:B),"")</f>
        <v>Ipe 5/4x6</v>
      </c>
      <c r="K661" t="str">
        <f>IFERROR(_xlfn.XLOOKUP($A661,'Base SKUs'!$E:$E,'Base SKUs'!C:C),"")</f>
        <v>Long</v>
      </c>
      <c r="L661" t="str">
        <f>IFERROR(_xlfn.XLOOKUP($A661,'Base SKUs'!$E:$E,'Base SKUs'!D:D),"")</f>
        <v>Hardwoods</v>
      </c>
      <c r="M661" t="str">
        <f>IFERROR(_xlfn.XLOOKUP($A661,'Base SKUs'!$E:$E,'Base SKUs'!G:G),"")</f>
        <v>Ipe</v>
      </c>
      <c r="N661" t="str">
        <f>IFERROR(_xlfn.XLOOKUP($A661,'Base SKUs'!$E:$E,'Base SKUs'!H:H),"")</f>
        <v>S4S E4E</v>
      </c>
      <c r="O661" t="str">
        <f>IFERROR(_xlfn.XLOOKUP($A661,'Base SKUs'!$E:$E,'Base SKUs'!I:I),"")</f>
        <v>-</v>
      </c>
      <c r="P661" t="str">
        <f>IFERROR(_xlfn.XLOOKUP($A661,'Base SKUs'!$E:$E,'Base SKUs'!J:J),"")</f>
        <v>5/4x6</v>
      </c>
      <c r="Q661">
        <f>IFERROR(_xlfn.XLOOKUP($A661,'Base SKUs'!$E:$E,'Base SKUs'!K:K),"")</f>
        <v>16</v>
      </c>
      <c r="R661" s="7">
        <f>IFERROR(_xlfn.XLOOKUP($A661,'Base SKUs'!$E:$E,'Base SKUs'!S:S),"")</f>
        <v>1.7304739584000001E-2</v>
      </c>
      <c r="S661" s="8">
        <f t="shared" si="52"/>
        <v>13.376563698432001</v>
      </c>
      <c r="T661" s="7">
        <f>IFERROR(_xlfn.XLOOKUP($A661,'Base SKUs'!$E:$E,'Base SKUs'!R:R),"")</f>
        <v>924.60199999999998</v>
      </c>
      <c r="U661" s="15">
        <f t="shared" si="53"/>
        <v>12368</v>
      </c>
      <c r="V661" t="str">
        <f t="shared" si="54"/>
        <v>New York</v>
      </c>
    </row>
    <row r="662" spans="1:22" x14ac:dyDescent="0.2">
      <c r="A662" t="s">
        <v>933</v>
      </c>
      <c r="B662" s="5">
        <v>321</v>
      </c>
      <c r="C662" s="5">
        <v>0</v>
      </c>
      <c r="D662" s="5">
        <f t="shared" si="50"/>
        <v>321</v>
      </c>
      <c r="E662" s="6">
        <v>61.071100000000001</v>
      </c>
      <c r="F662" s="6">
        <f t="shared" si="51"/>
        <v>19603.823100000001</v>
      </c>
      <c r="G662" t="s">
        <v>17</v>
      </c>
      <c r="H662">
        <v>9007</v>
      </c>
      <c r="I662" t="str">
        <f>IFERROR(_xlfn.XLOOKUP($A662,'Base SKUs'!$E:$E,'Base SKUs'!A:A),"")</f>
        <v>Ipe</v>
      </c>
      <c r="J662" t="str">
        <f>IFERROR(_xlfn.XLOOKUP($A662,'Base SKUs'!$E:$E,'Base SKUs'!B:B),"")</f>
        <v>Ipe 5/4x6</v>
      </c>
      <c r="K662" t="str">
        <f>IFERROR(_xlfn.XLOOKUP($A662,'Base SKUs'!$E:$E,'Base SKUs'!C:C),"")</f>
        <v>Long</v>
      </c>
      <c r="L662" t="str">
        <f>IFERROR(_xlfn.XLOOKUP($A662,'Base SKUs'!$E:$E,'Base SKUs'!D:D),"")</f>
        <v>Hardwoods</v>
      </c>
      <c r="M662" t="str">
        <f>IFERROR(_xlfn.XLOOKUP($A662,'Base SKUs'!$E:$E,'Base SKUs'!G:G),"")</f>
        <v>Ipe</v>
      </c>
      <c r="N662" t="str">
        <f>IFERROR(_xlfn.XLOOKUP($A662,'Base SKUs'!$E:$E,'Base SKUs'!H:H),"")</f>
        <v>Grooved</v>
      </c>
      <c r="O662" t="str">
        <f>IFERROR(_xlfn.XLOOKUP($A662,'Base SKUs'!$E:$E,'Base SKUs'!I:I),"")</f>
        <v>-</v>
      </c>
      <c r="P662" t="str">
        <f>IFERROR(_xlfn.XLOOKUP($A662,'Base SKUs'!$E:$E,'Base SKUs'!J:J),"")</f>
        <v>5/4x6</v>
      </c>
      <c r="Q662">
        <f>IFERROR(_xlfn.XLOOKUP($A662,'Base SKUs'!$E:$E,'Base SKUs'!K:K),"")</f>
        <v>18</v>
      </c>
      <c r="R662" s="7">
        <f>IFERROR(_xlfn.XLOOKUP($A662,'Base SKUs'!$E:$E,'Base SKUs'!S:S),"")</f>
        <v>1.9467832031999997E-2</v>
      </c>
      <c r="S662" s="8">
        <f t="shared" si="52"/>
        <v>6.249174082271999</v>
      </c>
      <c r="T662" s="7">
        <f>IFERROR(_xlfn.XLOOKUP($A662,'Base SKUs'!$E:$E,'Base SKUs'!R:R),"")</f>
        <v>924.60199999999998</v>
      </c>
      <c r="U662" s="15">
        <f t="shared" si="53"/>
        <v>5778</v>
      </c>
      <c r="V662" t="str">
        <f t="shared" si="54"/>
        <v>Miami</v>
      </c>
    </row>
    <row r="663" spans="1:22" x14ac:dyDescent="0.2">
      <c r="A663" t="s">
        <v>933</v>
      </c>
      <c r="B663" s="5">
        <v>276</v>
      </c>
      <c r="C663" s="5">
        <v>0</v>
      </c>
      <c r="D663" s="5">
        <f t="shared" si="50"/>
        <v>276</v>
      </c>
      <c r="E663" s="6">
        <v>68.725499999999997</v>
      </c>
      <c r="F663" s="6">
        <f t="shared" si="51"/>
        <v>18968.237999999998</v>
      </c>
      <c r="G663" t="s">
        <v>330</v>
      </c>
      <c r="H663">
        <v>9011</v>
      </c>
      <c r="I663" t="str">
        <f>IFERROR(_xlfn.XLOOKUP($A663,'Base SKUs'!$E:$E,'Base SKUs'!A:A),"")</f>
        <v>Ipe</v>
      </c>
      <c r="J663" t="str">
        <f>IFERROR(_xlfn.XLOOKUP($A663,'Base SKUs'!$E:$E,'Base SKUs'!B:B),"")</f>
        <v>Ipe 5/4x6</v>
      </c>
      <c r="K663" t="str">
        <f>IFERROR(_xlfn.XLOOKUP($A663,'Base SKUs'!$E:$E,'Base SKUs'!C:C),"")</f>
        <v>Long</v>
      </c>
      <c r="L663" t="str">
        <f>IFERROR(_xlfn.XLOOKUP($A663,'Base SKUs'!$E:$E,'Base SKUs'!D:D),"")</f>
        <v>Hardwoods</v>
      </c>
      <c r="M663" t="str">
        <f>IFERROR(_xlfn.XLOOKUP($A663,'Base SKUs'!$E:$E,'Base SKUs'!G:G),"")</f>
        <v>Ipe</v>
      </c>
      <c r="N663" t="str">
        <f>IFERROR(_xlfn.XLOOKUP($A663,'Base SKUs'!$E:$E,'Base SKUs'!H:H),"")</f>
        <v>Grooved</v>
      </c>
      <c r="O663" t="str">
        <f>IFERROR(_xlfn.XLOOKUP($A663,'Base SKUs'!$E:$E,'Base SKUs'!I:I),"")</f>
        <v>-</v>
      </c>
      <c r="P663" t="str">
        <f>IFERROR(_xlfn.XLOOKUP($A663,'Base SKUs'!$E:$E,'Base SKUs'!J:J),"")</f>
        <v>5/4x6</v>
      </c>
      <c r="Q663">
        <f>IFERROR(_xlfn.XLOOKUP($A663,'Base SKUs'!$E:$E,'Base SKUs'!K:K),"")</f>
        <v>18</v>
      </c>
      <c r="R663" s="7">
        <f>IFERROR(_xlfn.XLOOKUP($A663,'Base SKUs'!$E:$E,'Base SKUs'!S:S),"")</f>
        <v>1.9467832031999997E-2</v>
      </c>
      <c r="S663" s="8">
        <f t="shared" si="52"/>
        <v>5.3731216408319993</v>
      </c>
      <c r="T663" s="7">
        <f>IFERROR(_xlfn.XLOOKUP($A663,'Base SKUs'!$E:$E,'Base SKUs'!R:R),"")</f>
        <v>924.60199999999998</v>
      </c>
      <c r="U663" s="15">
        <f t="shared" si="53"/>
        <v>4968</v>
      </c>
      <c r="V663" t="str">
        <f t="shared" si="54"/>
        <v>New York</v>
      </c>
    </row>
    <row r="664" spans="1:22" x14ac:dyDescent="0.2">
      <c r="A664" t="s">
        <v>935</v>
      </c>
      <c r="B664" s="5">
        <v>237</v>
      </c>
      <c r="C664" s="5">
        <v>0</v>
      </c>
      <c r="D664" s="5">
        <f t="shared" si="50"/>
        <v>237</v>
      </c>
      <c r="E664" s="6">
        <v>64.743499999999997</v>
      </c>
      <c r="F664" s="6">
        <f t="shared" si="51"/>
        <v>15344.209499999999</v>
      </c>
      <c r="G664" t="s">
        <v>17</v>
      </c>
      <c r="H664">
        <v>9007</v>
      </c>
      <c r="I664" t="str">
        <f>IFERROR(_xlfn.XLOOKUP($A664,'Base SKUs'!$E:$E,'Base SKUs'!A:A),"")</f>
        <v>Ipe</v>
      </c>
      <c r="J664" t="str">
        <f>IFERROR(_xlfn.XLOOKUP($A664,'Base SKUs'!$E:$E,'Base SKUs'!B:B),"")</f>
        <v>Ipe 5/4x6</v>
      </c>
      <c r="K664" t="str">
        <f>IFERROR(_xlfn.XLOOKUP($A664,'Base SKUs'!$E:$E,'Base SKUs'!C:C),"")</f>
        <v>Long</v>
      </c>
      <c r="L664" t="str">
        <f>IFERROR(_xlfn.XLOOKUP($A664,'Base SKUs'!$E:$E,'Base SKUs'!D:D),"")</f>
        <v>Hardwoods</v>
      </c>
      <c r="M664" t="str">
        <f>IFERROR(_xlfn.XLOOKUP($A664,'Base SKUs'!$E:$E,'Base SKUs'!G:G),"")</f>
        <v>Ipe</v>
      </c>
      <c r="N664" t="str">
        <f>IFERROR(_xlfn.XLOOKUP($A664,'Base SKUs'!$E:$E,'Base SKUs'!H:H),"")</f>
        <v>S4S E4E</v>
      </c>
      <c r="O664" t="str">
        <f>IFERROR(_xlfn.XLOOKUP($A664,'Base SKUs'!$E:$E,'Base SKUs'!I:I),"")</f>
        <v>-</v>
      </c>
      <c r="P664" t="str">
        <f>IFERROR(_xlfn.XLOOKUP($A664,'Base SKUs'!$E:$E,'Base SKUs'!J:J),"")</f>
        <v>5/4x6</v>
      </c>
      <c r="Q664">
        <f>IFERROR(_xlfn.XLOOKUP($A664,'Base SKUs'!$E:$E,'Base SKUs'!K:K),"")</f>
        <v>18</v>
      </c>
      <c r="R664" s="7">
        <f>IFERROR(_xlfn.XLOOKUP($A664,'Base SKUs'!$E:$E,'Base SKUs'!S:S),"")</f>
        <v>1.9467832031999997E-2</v>
      </c>
      <c r="S664" s="8">
        <f t="shared" si="52"/>
        <v>4.6138761915839996</v>
      </c>
      <c r="T664" s="7">
        <f>IFERROR(_xlfn.XLOOKUP($A664,'Base SKUs'!$E:$E,'Base SKUs'!R:R),"")</f>
        <v>924.60199999999998</v>
      </c>
      <c r="U664" s="15">
        <f t="shared" si="53"/>
        <v>4266</v>
      </c>
      <c r="V664" t="str">
        <f t="shared" si="54"/>
        <v>Miami</v>
      </c>
    </row>
    <row r="665" spans="1:22" x14ac:dyDescent="0.2">
      <c r="A665" t="s">
        <v>935</v>
      </c>
      <c r="B665" s="5">
        <v>1300</v>
      </c>
      <c r="C665" s="5">
        <v>336</v>
      </c>
      <c r="D665" s="5">
        <f t="shared" si="50"/>
        <v>964</v>
      </c>
      <c r="E665" s="6">
        <v>81.587400000000002</v>
      </c>
      <c r="F665" s="6">
        <f t="shared" si="51"/>
        <v>106063.62000000001</v>
      </c>
      <c r="G665" t="s">
        <v>330</v>
      </c>
      <c r="H665">
        <v>9011</v>
      </c>
      <c r="I665" t="str">
        <f>IFERROR(_xlfn.XLOOKUP($A665,'Base SKUs'!$E:$E,'Base SKUs'!A:A),"")</f>
        <v>Ipe</v>
      </c>
      <c r="J665" t="str">
        <f>IFERROR(_xlfn.XLOOKUP($A665,'Base SKUs'!$E:$E,'Base SKUs'!B:B),"")</f>
        <v>Ipe 5/4x6</v>
      </c>
      <c r="K665" t="str">
        <f>IFERROR(_xlfn.XLOOKUP($A665,'Base SKUs'!$E:$E,'Base SKUs'!C:C),"")</f>
        <v>Long</v>
      </c>
      <c r="L665" t="str">
        <f>IFERROR(_xlfn.XLOOKUP($A665,'Base SKUs'!$E:$E,'Base SKUs'!D:D),"")</f>
        <v>Hardwoods</v>
      </c>
      <c r="M665" t="str">
        <f>IFERROR(_xlfn.XLOOKUP($A665,'Base SKUs'!$E:$E,'Base SKUs'!G:G),"")</f>
        <v>Ipe</v>
      </c>
      <c r="N665" t="str">
        <f>IFERROR(_xlfn.XLOOKUP($A665,'Base SKUs'!$E:$E,'Base SKUs'!H:H),"")</f>
        <v>S4S E4E</v>
      </c>
      <c r="O665" t="str">
        <f>IFERROR(_xlfn.XLOOKUP($A665,'Base SKUs'!$E:$E,'Base SKUs'!I:I),"")</f>
        <v>-</v>
      </c>
      <c r="P665" t="str">
        <f>IFERROR(_xlfn.XLOOKUP($A665,'Base SKUs'!$E:$E,'Base SKUs'!J:J),"")</f>
        <v>5/4x6</v>
      </c>
      <c r="Q665">
        <f>IFERROR(_xlfn.XLOOKUP($A665,'Base SKUs'!$E:$E,'Base SKUs'!K:K),"")</f>
        <v>18</v>
      </c>
      <c r="R665" s="7">
        <f>IFERROR(_xlfn.XLOOKUP($A665,'Base SKUs'!$E:$E,'Base SKUs'!S:S),"")</f>
        <v>1.9467832031999997E-2</v>
      </c>
      <c r="S665" s="8">
        <f t="shared" si="52"/>
        <v>18.766990078847996</v>
      </c>
      <c r="T665" s="7">
        <f>IFERROR(_xlfn.XLOOKUP($A665,'Base SKUs'!$E:$E,'Base SKUs'!R:R),"")</f>
        <v>924.60199999999998</v>
      </c>
      <c r="U665" s="15">
        <f t="shared" si="53"/>
        <v>17352</v>
      </c>
      <c r="V665" t="str">
        <f t="shared" si="54"/>
        <v>New York</v>
      </c>
    </row>
    <row r="666" spans="1:22" x14ac:dyDescent="0.2">
      <c r="A666" t="s">
        <v>937</v>
      </c>
      <c r="B666" s="5">
        <v>142</v>
      </c>
      <c r="C666" s="5">
        <v>0</v>
      </c>
      <c r="D666" s="5">
        <f t="shared" si="50"/>
        <v>142</v>
      </c>
      <c r="E666" s="6">
        <v>64.003799999999998</v>
      </c>
      <c r="F666" s="6">
        <f t="shared" si="51"/>
        <v>9088.5396000000001</v>
      </c>
      <c r="G666" t="s">
        <v>17</v>
      </c>
      <c r="H666">
        <v>9007</v>
      </c>
      <c r="I666" t="str">
        <f>IFERROR(_xlfn.XLOOKUP($A666,'Base SKUs'!$E:$E,'Base SKUs'!A:A),"")</f>
        <v>Ipe</v>
      </c>
      <c r="J666" t="str">
        <f>IFERROR(_xlfn.XLOOKUP($A666,'Base SKUs'!$E:$E,'Base SKUs'!B:B),"")</f>
        <v>Ipe 5/4x6</v>
      </c>
      <c r="K666" t="str">
        <f>IFERROR(_xlfn.XLOOKUP($A666,'Base SKUs'!$E:$E,'Base SKUs'!C:C),"")</f>
        <v>Long</v>
      </c>
      <c r="L666" t="str">
        <f>IFERROR(_xlfn.XLOOKUP($A666,'Base SKUs'!$E:$E,'Base SKUs'!D:D),"")</f>
        <v>Hardwoods</v>
      </c>
      <c r="M666" t="str">
        <f>IFERROR(_xlfn.XLOOKUP($A666,'Base SKUs'!$E:$E,'Base SKUs'!G:G),"")</f>
        <v>Ipe</v>
      </c>
      <c r="N666" t="str">
        <f>IFERROR(_xlfn.XLOOKUP($A666,'Base SKUs'!$E:$E,'Base SKUs'!H:H),"")</f>
        <v>Grooved</v>
      </c>
      <c r="O666" t="str">
        <f>IFERROR(_xlfn.XLOOKUP($A666,'Base SKUs'!$E:$E,'Base SKUs'!I:I),"")</f>
        <v>-</v>
      </c>
      <c r="P666" t="str">
        <f>IFERROR(_xlfn.XLOOKUP($A666,'Base SKUs'!$E:$E,'Base SKUs'!J:J),"")</f>
        <v>5/4x6</v>
      </c>
      <c r="Q666">
        <f>IFERROR(_xlfn.XLOOKUP($A666,'Base SKUs'!$E:$E,'Base SKUs'!K:K),"")</f>
        <v>20</v>
      </c>
      <c r="R666" s="7">
        <f>IFERROR(_xlfn.XLOOKUP($A666,'Base SKUs'!$E:$E,'Base SKUs'!S:S),"")</f>
        <v>2.1630924480000001E-2</v>
      </c>
      <c r="S666" s="8">
        <f t="shared" si="52"/>
        <v>3.0715912761599999</v>
      </c>
      <c r="T666" s="7">
        <f>IFERROR(_xlfn.XLOOKUP($A666,'Base SKUs'!$E:$E,'Base SKUs'!R:R),"")</f>
        <v>924.60199999999998</v>
      </c>
      <c r="U666" s="15">
        <f t="shared" si="53"/>
        <v>2840</v>
      </c>
      <c r="V666" t="str">
        <f t="shared" si="54"/>
        <v>Miami</v>
      </c>
    </row>
    <row r="667" spans="1:22" x14ac:dyDescent="0.2">
      <c r="A667" t="s">
        <v>937</v>
      </c>
      <c r="B667" s="5">
        <v>116</v>
      </c>
      <c r="C667" s="5">
        <v>0</v>
      </c>
      <c r="D667" s="5">
        <f t="shared" si="50"/>
        <v>116</v>
      </c>
      <c r="E667" s="6">
        <v>97.754300000000001</v>
      </c>
      <c r="F667" s="6">
        <f t="shared" si="51"/>
        <v>11339.498799999999</v>
      </c>
      <c r="G667" t="s">
        <v>125</v>
      </c>
      <c r="H667">
        <v>9009</v>
      </c>
      <c r="I667" t="str">
        <f>IFERROR(_xlfn.XLOOKUP($A667,'Base SKUs'!$E:$E,'Base SKUs'!A:A),"")</f>
        <v>Ipe</v>
      </c>
      <c r="J667" t="str">
        <f>IFERROR(_xlfn.XLOOKUP($A667,'Base SKUs'!$E:$E,'Base SKUs'!B:B),"")</f>
        <v>Ipe 5/4x6</v>
      </c>
      <c r="K667" t="str">
        <f>IFERROR(_xlfn.XLOOKUP($A667,'Base SKUs'!$E:$E,'Base SKUs'!C:C),"")</f>
        <v>Long</v>
      </c>
      <c r="L667" t="str">
        <f>IFERROR(_xlfn.XLOOKUP($A667,'Base SKUs'!$E:$E,'Base SKUs'!D:D),"")</f>
        <v>Hardwoods</v>
      </c>
      <c r="M667" t="str">
        <f>IFERROR(_xlfn.XLOOKUP($A667,'Base SKUs'!$E:$E,'Base SKUs'!G:G),"")</f>
        <v>Ipe</v>
      </c>
      <c r="N667" t="str">
        <f>IFERROR(_xlfn.XLOOKUP($A667,'Base SKUs'!$E:$E,'Base SKUs'!H:H),"")</f>
        <v>Grooved</v>
      </c>
      <c r="O667" t="str">
        <f>IFERROR(_xlfn.XLOOKUP($A667,'Base SKUs'!$E:$E,'Base SKUs'!I:I),"")</f>
        <v>-</v>
      </c>
      <c r="P667" t="str">
        <f>IFERROR(_xlfn.XLOOKUP($A667,'Base SKUs'!$E:$E,'Base SKUs'!J:J),"")</f>
        <v>5/4x6</v>
      </c>
      <c r="Q667">
        <f>IFERROR(_xlfn.XLOOKUP($A667,'Base SKUs'!$E:$E,'Base SKUs'!K:K),"")</f>
        <v>20</v>
      </c>
      <c r="R667" s="7">
        <f>IFERROR(_xlfn.XLOOKUP($A667,'Base SKUs'!$E:$E,'Base SKUs'!S:S),"")</f>
        <v>2.1630924480000001E-2</v>
      </c>
      <c r="S667" s="8">
        <f t="shared" si="52"/>
        <v>2.5091872396800001</v>
      </c>
      <c r="T667" s="7">
        <f>IFERROR(_xlfn.XLOOKUP($A667,'Base SKUs'!$E:$E,'Base SKUs'!R:R),"")</f>
        <v>924.60199999999998</v>
      </c>
      <c r="U667" s="15">
        <f t="shared" si="53"/>
        <v>2320</v>
      </c>
      <c r="V667" t="str">
        <f t="shared" si="54"/>
        <v>Boston</v>
      </c>
    </row>
    <row r="668" spans="1:22" x14ac:dyDescent="0.2">
      <c r="A668" t="s">
        <v>937</v>
      </c>
      <c r="B668" s="5">
        <v>378</v>
      </c>
      <c r="C668" s="5">
        <v>0</v>
      </c>
      <c r="D668" s="5">
        <f t="shared" si="50"/>
        <v>378</v>
      </c>
      <c r="E668" s="6">
        <v>67.536199999999994</v>
      </c>
      <c r="F668" s="6">
        <f t="shared" si="51"/>
        <v>25528.683599999997</v>
      </c>
      <c r="G668" t="s">
        <v>330</v>
      </c>
      <c r="H668">
        <v>9011</v>
      </c>
      <c r="I668" t="str">
        <f>IFERROR(_xlfn.XLOOKUP($A668,'Base SKUs'!$E:$E,'Base SKUs'!A:A),"")</f>
        <v>Ipe</v>
      </c>
      <c r="J668" t="str">
        <f>IFERROR(_xlfn.XLOOKUP($A668,'Base SKUs'!$E:$E,'Base SKUs'!B:B),"")</f>
        <v>Ipe 5/4x6</v>
      </c>
      <c r="K668" t="str">
        <f>IFERROR(_xlfn.XLOOKUP($A668,'Base SKUs'!$E:$E,'Base SKUs'!C:C),"")</f>
        <v>Long</v>
      </c>
      <c r="L668" t="str">
        <f>IFERROR(_xlfn.XLOOKUP($A668,'Base SKUs'!$E:$E,'Base SKUs'!D:D),"")</f>
        <v>Hardwoods</v>
      </c>
      <c r="M668" t="str">
        <f>IFERROR(_xlfn.XLOOKUP($A668,'Base SKUs'!$E:$E,'Base SKUs'!G:G),"")</f>
        <v>Ipe</v>
      </c>
      <c r="N668" t="str">
        <f>IFERROR(_xlfn.XLOOKUP($A668,'Base SKUs'!$E:$E,'Base SKUs'!H:H),"")</f>
        <v>Grooved</v>
      </c>
      <c r="O668" t="str">
        <f>IFERROR(_xlfn.XLOOKUP($A668,'Base SKUs'!$E:$E,'Base SKUs'!I:I),"")</f>
        <v>-</v>
      </c>
      <c r="P668" t="str">
        <f>IFERROR(_xlfn.XLOOKUP($A668,'Base SKUs'!$E:$E,'Base SKUs'!J:J),"")</f>
        <v>5/4x6</v>
      </c>
      <c r="Q668">
        <f>IFERROR(_xlfn.XLOOKUP($A668,'Base SKUs'!$E:$E,'Base SKUs'!K:K),"")</f>
        <v>20</v>
      </c>
      <c r="R668" s="7">
        <f>IFERROR(_xlfn.XLOOKUP($A668,'Base SKUs'!$E:$E,'Base SKUs'!S:S),"")</f>
        <v>2.1630924480000001E-2</v>
      </c>
      <c r="S668" s="8">
        <f t="shared" si="52"/>
        <v>8.1764894534400003</v>
      </c>
      <c r="T668" s="7">
        <f>IFERROR(_xlfn.XLOOKUP($A668,'Base SKUs'!$E:$E,'Base SKUs'!R:R),"")</f>
        <v>924.60199999999998</v>
      </c>
      <c r="U668" s="15">
        <f t="shared" si="53"/>
        <v>7560</v>
      </c>
      <c r="V668" t="str">
        <f t="shared" si="54"/>
        <v>New York</v>
      </c>
    </row>
    <row r="669" spans="1:22" x14ac:dyDescent="0.2">
      <c r="A669" t="s">
        <v>939</v>
      </c>
      <c r="B669" s="5">
        <v>210</v>
      </c>
      <c r="C669" s="5">
        <v>0</v>
      </c>
      <c r="D669" s="5">
        <f t="shared" si="50"/>
        <v>210</v>
      </c>
      <c r="E669" s="6">
        <v>71.307400000000001</v>
      </c>
      <c r="F669" s="6">
        <f t="shared" si="51"/>
        <v>14974.554</v>
      </c>
      <c r="G669" t="s">
        <v>17</v>
      </c>
      <c r="H669">
        <v>9007</v>
      </c>
      <c r="I669" t="str">
        <f>IFERROR(_xlfn.XLOOKUP($A669,'Base SKUs'!$E:$E,'Base SKUs'!A:A),"")</f>
        <v>Ipe</v>
      </c>
      <c r="J669" t="str">
        <f>IFERROR(_xlfn.XLOOKUP($A669,'Base SKUs'!$E:$E,'Base SKUs'!B:B),"")</f>
        <v>Ipe 5/4x6</v>
      </c>
      <c r="K669" t="str">
        <f>IFERROR(_xlfn.XLOOKUP($A669,'Base SKUs'!$E:$E,'Base SKUs'!C:C),"")</f>
        <v>Long</v>
      </c>
      <c r="L669" t="str">
        <f>IFERROR(_xlfn.XLOOKUP($A669,'Base SKUs'!$E:$E,'Base SKUs'!D:D),"")</f>
        <v>Hardwoods</v>
      </c>
      <c r="M669" t="str">
        <f>IFERROR(_xlfn.XLOOKUP($A669,'Base SKUs'!$E:$E,'Base SKUs'!G:G),"")</f>
        <v>Ipe</v>
      </c>
      <c r="N669" t="str">
        <f>IFERROR(_xlfn.XLOOKUP($A669,'Base SKUs'!$E:$E,'Base SKUs'!H:H),"")</f>
        <v>S4S E4E</v>
      </c>
      <c r="O669" t="str">
        <f>IFERROR(_xlfn.XLOOKUP($A669,'Base SKUs'!$E:$E,'Base SKUs'!I:I),"")</f>
        <v>-</v>
      </c>
      <c r="P669" t="str">
        <f>IFERROR(_xlfn.XLOOKUP($A669,'Base SKUs'!$E:$E,'Base SKUs'!J:J),"")</f>
        <v>5/4x6</v>
      </c>
      <c r="Q669">
        <f>IFERROR(_xlfn.XLOOKUP($A669,'Base SKUs'!$E:$E,'Base SKUs'!K:K),"")</f>
        <v>20</v>
      </c>
      <c r="R669" s="7">
        <f>IFERROR(_xlfn.XLOOKUP($A669,'Base SKUs'!$E:$E,'Base SKUs'!S:S),"")</f>
        <v>2.1630924480000001E-2</v>
      </c>
      <c r="S669" s="8">
        <f t="shared" si="52"/>
        <v>4.5424941408000006</v>
      </c>
      <c r="T669" s="7">
        <f>IFERROR(_xlfn.XLOOKUP($A669,'Base SKUs'!$E:$E,'Base SKUs'!R:R),"")</f>
        <v>924.60199999999998</v>
      </c>
      <c r="U669" s="15">
        <f t="shared" si="53"/>
        <v>4200</v>
      </c>
      <c r="V669" t="str">
        <f t="shared" si="54"/>
        <v>Miami</v>
      </c>
    </row>
    <row r="670" spans="1:22" x14ac:dyDescent="0.2">
      <c r="A670" t="s">
        <v>939</v>
      </c>
      <c r="B670" s="5">
        <v>1358</v>
      </c>
      <c r="C670" s="5">
        <v>1138</v>
      </c>
      <c r="D670" s="5">
        <f t="shared" si="50"/>
        <v>220</v>
      </c>
      <c r="E670" s="6">
        <v>93.137600000000006</v>
      </c>
      <c r="F670" s="6">
        <f t="shared" si="51"/>
        <v>126480.86080000001</v>
      </c>
      <c r="G670" t="s">
        <v>330</v>
      </c>
      <c r="H670">
        <v>9011</v>
      </c>
      <c r="I670" t="str">
        <f>IFERROR(_xlfn.XLOOKUP($A670,'Base SKUs'!$E:$E,'Base SKUs'!A:A),"")</f>
        <v>Ipe</v>
      </c>
      <c r="J670" t="str">
        <f>IFERROR(_xlfn.XLOOKUP($A670,'Base SKUs'!$E:$E,'Base SKUs'!B:B),"")</f>
        <v>Ipe 5/4x6</v>
      </c>
      <c r="K670" t="str">
        <f>IFERROR(_xlfn.XLOOKUP($A670,'Base SKUs'!$E:$E,'Base SKUs'!C:C),"")</f>
        <v>Long</v>
      </c>
      <c r="L670" t="str">
        <f>IFERROR(_xlfn.XLOOKUP($A670,'Base SKUs'!$E:$E,'Base SKUs'!D:D),"")</f>
        <v>Hardwoods</v>
      </c>
      <c r="M670" t="str">
        <f>IFERROR(_xlfn.XLOOKUP($A670,'Base SKUs'!$E:$E,'Base SKUs'!G:G),"")</f>
        <v>Ipe</v>
      </c>
      <c r="N670" t="str">
        <f>IFERROR(_xlfn.XLOOKUP($A670,'Base SKUs'!$E:$E,'Base SKUs'!H:H),"")</f>
        <v>S4S E4E</v>
      </c>
      <c r="O670" t="str">
        <f>IFERROR(_xlfn.XLOOKUP($A670,'Base SKUs'!$E:$E,'Base SKUs'!I:I),"")</f>
        <v>-</v>
      </c>
      <c r="P670" t="str">
        <f>IFERROR(_xlfn.XLOOKUP($A670,'Base SKUs'!$E:$E,'Base SKUs'!J:J),"")</f>
        <v>5/4x6</v>
      </c>
      <c r="Q670">
        <f>IFERROR(_xlfn.XLOOKUP($A670,'Base SKUs'!$E:$E,'Base SKUs'!K:K),"")</f>
        <v>20</v>
      </c>
      <c r="R670" s="7">
        <f>IFERROR(_xlfn.XLOOKUP($A670,'Base SKUs'!$E:$E,'Base SKUs'!S:S),"")</f>
        <v>2.1630924480000001E-2</v>
      </c>
      <c r="S670" s="8">
        <f t="shared" si="52"/>
        <v>4.7588033856000003</v>
      </c>
      <c r="T670" s="7">
        <f>IFERROR(_xlfn.XLOOKUP($A670,'Base SKUs'!$E:$E,'Base SKUs'!R:R),"")</f>
        <v>924.60199999999998</v>
      </c>
      <c r="U670" s="15">
        <f t="shared" si="53"/>
        <v>4400</v>
      </c>
      <c r="V670" t="str">
        <f t="shared" si="54"/>
        <v>New York</v>
      </c>
    </row>
    <row r="671" spans="1:22" x14ac:dyDescent="0.2">
      <c r="A671" t="s">
        <v>3729</v>
      </c>
      <c r="B671" s="5">
        <v>16</v>
      </c>
      <c r="C671" s="5">
        <v>0</v>
      </c>
      <c r="D671" s="5">
        <f t="shared" si="50"/>
        <v>16</v>
      </c>
      <c r="E671" s="6">
        <v>70.403099999999995</v>
      </c>
      <c r="F671" s="6">
        <f t="shared" si="51"/>
        <v>1126.4495999999999</v>
      </c>
      <c r="G671" t="s">
        <v>17</v>
      </c>
      <c r="H671">
        <v>9007</v>
      </c>
      <c r="I671" t="str">
        <f>IFERROR(_xlfn.XLOOKUP($A671,'Base SKUs'!$E:$E,'Base SKUs'!A:A),"")</f>
        <v>Ipe</v>
      </c>
      <c r="J671" t="str">
        <f>IFERROR(_xlfn.XLOOKUP($A671,'Base SKUs'!$E:$E,'Base SKUs'!B:B),"")</f>
        <v>Ipe 5/4x6</v>
      </c>
      <c r="K671" t="str">
        <f>IFERROR(_xlfn.XLOOKUP($A671,'Base SKUs'!$E:$E,'Base SKUs'!C:C),"")</f>
        <v>Long</v>
      </c>
      <c r="L671" t="str">
        <f>IFERROR(_xlfn.XLOOKUP($A671,'Base SKUs'!$E:$E,'Base SKUs'!D:D),"")</f>
        <v>Hardwoods</v>
      </c>
      <c r="M671" t="str">
        <f>IFERROR(_xlfn.XLOOKUP($A671,'Base SKUs'!$E:$E,'Base SKUs'!G:G),"")</f>
        <v>Ipe</v>
      </c>
      <c r="N671" t="str">
        <f>IFERROR(_xlfn.XLOOKUP($A671,'Base SKUs'!$E:$E,'Base SKUs'!H:H),"")</f>
        <v>Grooved</v>
      </c>
      <c r="O671" t="str">
        <f>IFERROR(_xlfn.XLOOKUP($A671,'Base SKUs'!$E:$E,'Base SKUs'!I:I),"")</f>
        <v>-</v>
      </c>
      <c r="P671" t="str">
        <f>IFERROR(_xlfn.XLOOKUP($A671,'Base SKUs'!$E:$E,'Base SKUs'!J:J),"")</f>
        <v>5/4x6</v>
      </c>
      <c r="Q671">
        <f>IFERROR(_xlfn.XLOOKUP($A671,'Base SKUs'!$E:$E,'Base SKUs'!K:K),"")</f>
        <v>22</v>
      </c>
      <c r="R671" s="7">
        <f>IFERROR(_xlfn.XLOOKUP($A671,'Base SKUs'!$E:$E,'Base SKUs'!S:S),"")</f>
        <v>2.3794016927999991E-2</v>
      </c>
      <c r="S671" s="8">
        <f t="shared" si="52"/>
        <v>0.38070427084799985</v>
      </c>
      <c r="T671" s="7">
        <f>IFERROR(_xlfn.XLOOKUP($A671,'Base SKUs'!$E:$E,'Base SKUs'!R:R),"")</f>
        <v>924.60199999999998</v>
      </c>
      <c r="U671" s="15">
        <f t="shared" si="53"/>
        <v>352</v>
      </c>
      <c r="V671" t="str">
        <f t="shared" si="54"/>
        <v>Miami</v>
      </c>
    </row>
    <row r="672" spans="1:22" x14ac:dyDescent="0.2">
      <c r="A672" t="s">
        <v>3728</v>
      </c>
      <c r="B672" s="5">
        <v>105</v>
      </c>
      <c r="C672" s="5">
        <v>0</v>
      </c>
      <c r="D672" s="5">
        <f t="shared" si="50"/>
        <v>105</v>
      </c>
      <c r="E672" s="6">
        <v>93.176900000000003</v>
      </c>
      <c r="F672" s="6">
        <f t="shared" si="51"/>
        <v>9783.5745000000006</v>
      </c>
      <c r="G672" t="s">
        <v>17</v>
      </c>
      <c r="H672">
        <v>9007</v>
      </c>
      <c r="I672" t="str">
        <f>IFERROR(_xlfn.XLOOKUP($A672,'Base SKUs'!$E:$E,'Base SKUs'!A:A),"")</f>
        <v>Ipe</v>
      </c>
      <c r="J672" t="str">
        <f>IFERROR(_xlfn.XLOOKUP($A672,'Base SKUs'!$E:$E,'Base SKUs'!B:B),"")</f>
        <v>Ipe 5/4x6</v>
      </c>
      <c r="K672" t="str">
        <f>IFERROR(_xlfn.XLOOKUP($A672,'Base SKUs'!$E:$E,'Base SKUs'!C:C),"")</f>
        <v>Long</v>
      </c>
      <c r="L672" t="str">
        <f>IFERROR(_xlfn.XLOOKUP($A672,'Base SKUs'!$E:$E,'Base SKUs'!D:D),"")</f>
        <v>Hardwoods</v>
      </c>
      <c r="M672" t="str">
        <f>IFERROR(_xlfn.XLOOKUP($A672,'Base SKUs'!$E:$E,'Base SKUs'!G:G),"")</f>
        <v>Ipe</v>
      </c>
      <c r="N672" t="str">
        <f>IFERROR(_xlfn.XLOOKUP($A672,'Base SKUs'!$E:$E,'Base SKUs'!H:H),"")</f>
        <v>S4S E4E</v>
      </c>
      <c r="O672" t="str">
        <f>IFERROR(_xlfn.XLOOKUP($A672,'Base SKUs'!$E:$E,'Base SKUs'!I:I),"")</f>
        <v>-</v>
      </c>
      <c r="P672" t="str">
        <f>IFERROR(_xlfn.XLOOKUP($A672,'Base SKUs'!$E:$E,'Base SKUs'!J:J),"")</f>
        <v>5/4x6</v>
      </c>
      <c r="Q672">
        <f>IFERROR(_xlfn.XLOOKUP($A672,'Base SKUs'!$E:$E,'Base SKUs'!K:K),"")</f>
        <v>22</v>
      </c>
      <c r="R672" s="7">
        <f>IFERROR(_xlfn.XLOOKUP($A672,'Base SKUs'!$E:$E,'Base SKUs'!S:S),"")</f>
        <v>2.3794016927999991E-2</v>
      </c>
      <c r="S672" s="8">
        <f t="shared" si="52"/>
        <v>2.4983717774399992</v>
      </c>
      <c r="T672" s="7">
        <f>IFERROR(_xlfn.XLOOKUP($A672,'Base SKUs'!$E:$E,'Base SKUs'!R:R),"")</f>
        <v>924.60199999999998</v>
      </c>
      <c r="U672" s="15">
        <f t="shared" si="53"/>
        <v>2310</v>
      </c>
      <c r="V672" t="str">
        <f t="shared" si="54"/>
        <v>Miami</v>
      </c>
    </row>
    <row r="673" spans="1:22" x14ac:dyDescent="0.2">
      <c r="A673" t="s">
        <v>3728</v>
      </c>
      <c r="B673" s="5">
        <v>196</v>
      </c>
      <c r="C673" s="5">
        <v>196</v>
      </c>
      <c r="D673" s="5">
        <f t="shared" si="50"/>
        <v>0</v>
      </c>
      <c r="E673" s="6">
        <v>99.967100000000002</v>
      </c>
      <c r="F673" s="6">
        <f t="shared" si="51"/>
        <v>19593.551599999999</v>
      </c>
      <c r="G673" t="s">
        <v>330</v>
      </c>
      <c r="H673">
        <v>9011</v>
      </c>
      <c r="I673" t="str">
        <f>IFERROR(_xlfn.XLOOKUP($A673,'Base SKUs'!$E:$E,'Base SKUs'!A:A),"")</f>
        <v>Ipe</v>
      </c>
      <c r="J673" t="str">
        <f>IFERROR(_xlfn.XLOOKUP($A673,'Base SKUs'!$E:$E,'Base SKUs'!B:B),"")</f>
        <v>Ipe 5/4x6</v>
      </c>
      <c r="K673" t="str">
        <f>IFERROR(_xlfn.XLOOKUP($A673,'Base SKUs'!$E:$E,'Base SKUs'!C:C),"")</f>
        <v>Long</v>
      </c>
      <c r="L673" t="str">
        <f>IFERROR(_xlfn.XLOOKUP($A673,'Base SKUs'!$E:$E,'Base SKUs'!D:D),"")</f>
        <v>Hardwoods</v>
      </c>
      <c r="M673" t="str">
        <f>IFERROR(_xlfn.XLOOKUP($A673,'Base SKUs'!$E:$E,'Base SKUs'!G:G),"")</f>
        <v>Ipe</v>
      </c>
      <c r="N673" t="str">
        <f>IFERROR(_xlfn.XLOOKUP($A673,'Base SKUs'!$E:$E,'Base SKUs'!H:H),"")</f>
        <v>S4S E4E</v>
      </c>
      <c r="O673" t="str">
        <f>IFERROR(_xlfn.XLOOKUP($A673,'Base SKUs'!$E:$E,'Base SKUs'!I:I),"")</f>
        <v>-</v>
      </c>
      <c r="P673" t="str">
        <f>IFERROR(_xlfn.XLOOKUP($A673,'Base SKUs'!$E:$E,'Base SKUs'!J:J),"")</f>
        <v>5/4x6</v>
      </c>
      <c r="Q673">
        <f>IFERROR(_xlfn.XLOOKUP($A673,'Base SKUs'!$E:$E,'Base SKUs'!K:K),"")</f>
        <v>22</v>
      </c>
      <c r="R673" s="7">
        <f>IFERROR(_xlfn.XLOOKUP($A673,'Base SKUs'!$E:$E,'Base SKUs'!S:S),"")</f>
        <v>2.3794016927999991E-2</v>
      </c>
      <c r="S673" s="8">
        <f t="shared" si="52"/>
        <v>0</v>
      </c>
      <c r="T673" s="7">
        <f>IFERROR(_xlfn.XLOOKUP($A673,'Base SKUs'!$E:$E,'Base SKUs'!R:R),"")</f>
        <v>924.60199999999998</v>
      </c>
      <c r="U673" s="15">
        <f t="shared" si="53"/>
        <v>0</v>
      </c>
      <c r="V673" t="str">
        <f t="shared" si="54"/>
        <v>New York</v>
      </c>
    </row>
    <row r="674" spans="1:22" x14ac:dyDescent="0.2">
      <c r="A674" t="s">
        <v>941</v>
      </c>
      <c r="B674" s="5">
        <v>965</v>
      </c>
      <c r="C674" s="5">
        <v>0</v>
      </c>
      <c r="D674" s="5">
        <f t="shared" si="50"/>
        <v>965</v>
      </c>
      <c r="E674" s="6">
        <v>4.0293000000000001</v>
      </c>
      <c r="F674" s="6">
        <f t="shared" si="51"/>
        <v>3888.2745</v>
      </c>
      <c r="G674" t="s">
        <v>17</v>
      </c>
      <c r="H674">
        <v>9007</v>
      </c>
      <c r="I674" t="str">
        <f>IFERROR(_xlfn.XLOOKUP($A674,'Base SKUs'!$E:$E,'Base SKUs'!A:A),"")</f>
        <v>Ipe</v>
      </c>
      <c r="J674" t="str">
        <f>IFERROR(_xlfn.XLOOKUP($A674,'Base SKUs'!$E:$E,'Base SKUs'!B:B),"")</f>
        <v>Ipe 5/4x6</v>
      </c>
      <c r="K674" t="str">
        <f>IFERROR(_xlfn.XLOOKUP($A674,'Base SKUs'!$E:$E,'Base SKUs'!C:C),"")</f>
        <v>Short</v>
      </c>
      <c r="L674" t="str">
        <f>IFERROR(_xlfn.XLOOKUP($A674,'Base SKUs'!$E:$E,'Base SKUs'!D:D),"")</f>
        <v>Hardwoods</v>
      </c>
      <c r="M674" t="str">
        <f>IFERROR(_xlfn.XLOOKUP($A674,'Base SKUs'!$E:$E,'Base SKUs'!G:G),"")</f>
        <v>Ipe</v>
      </c>
      <c r="N674" t="str">
        <f>IFERROR(_xlfn.XLOOKUP($A674,'Base SKUs'!$E:$E,'Base SKUs'!H:H),"")</f>
        <v>Grooved</v>
      </c>
      <c r="O674" t="str">
        <f>IFERROR(_xlfn.XLOOKUP($A674,'Base SKUs'!$E:$E,'Base SKUs'!I:I),"")</f>
        <v>-</v>
      </c>
      <c r="P674" t="str">
        <f>IFERROR(_xlfn.XLOOKUP($A674,'Base SKUs'!$E:$E,'Base SKUs'!J:J),"")</f>
        <v>5/4x6</v>
      </c>
      <c r="Q674">
        <f>IFERROR(_xlfn.XLOOKUP($A674,'Base SKUs'!$E:$E,'Base SKUs'!K:K),"")</f>
        <v>4</v>
      </c>
      <c r="R674" s="7">
        <f>IFERROR(_xlfn.XLOOKUP($A674,'Base SKUs'!$E:$E,'Base SKUs'!S:S),"")</f>
        <v>4.3261848960000002E-3</v>
      </c>
      <c r="S674" s="8">
        <f t="shared" si="52"/>
        <v>4.1747684246399999</v>
      </c>
      <c r="T674" s="7">
        <f>IFERROR(_xlfn.XLOOKUP($A674,'Base SKUs'!$E:$E,'Base SKUs'!R:R),"")</f>
        <v>924.60199999999998</v>
      </c>
      <c r="U674" s="15">
        <f t="shared" si="53"/>
        <v>3860</v>
      </c>
      <c r="V674" t="str">
        <f t="shared" si="54"/>
        <v>Miami</v>
      </c>
    </row>
    <row r="675" spans="1:22" x14ac:dyDescent="0.2">
      <c r="A675" t="s">
        <v>941</v>
      </c>
      <c r="B675" s="5">
        <v>691</v>
      </c>
      <c r="C675" s="5">
        <v>0</v>
      </c>
      <c r="D675" s="5">
        <f t="shared" si="50"/>
        <v>691</v>
      </c>
      <c r="E675" s="6">
        <v>3.8729</v>
      </c>
      <c r="F675" s="6">
        <f t="shared" si="51"/>
        <v>2676.1739000000002</v>
      </c>
      <c r="G675" t="s">
        <v>24</v>
      </c>
      <c r="H675">
        <v>9008</v>
      </c>
      <c r="I675" t="str">
        <f>IFERROR(_xlfn.XLOOKUP($A675,'Base SKUs'!$E:$E,'Base SKUs'!A:A),"")</f>
        <v>Ipe</v>
      </c>
      <c r="J675" t="str">
        <f>IFERROR(_xlfn.XLOOKUP($A675,'Base SKUs'!$E:$E,'Base SKUs'!B:B),"")</f>
        <v>Ipe 5/4x6</v>
      </c>
      <c r="K675" t="str">
        <f>IFERROR(_xlfn.XLOOKUP($A675,'Base SKUs'!$E:$E,'Base SKUs'!C:C),"")</f>
        <v>Short</v>
      </c>
      <c r="L675" t="str">
        <f>IFERROR(_xlfn.XLOOKUP($A675,'Base SKUs'!$E:$E,'Base SKUs'!D:D),"")</f>
        <v>Hardwoods</v>
      </c>
      <c r="M675" t="str">
        <f>IFERROR(_xlfn.XLOOKUP($A675,'Base SKUs'!$E:$E,'Base SKUs'!G:G),"")</f>
        <v>Ipe</v>
      </c>
      <c r="N675" t="str">
        <f>IFERROR(_xlfn.XLOOKUP($A675,'Base SKUs'!$E:$E,'Base SKUs'!H:H),"")</f>
        <v>Grooved</v>
      </c>
      <c r="O675" t="str">
        <f>IFERROR(_xlfn.XLOOKUP($A675,'Base SKUs'!$E:$E,'Base SKUs'!I:I),"")</f>
        <v>-</v>
      </c>
      <c r="P675" t="str">
        <f>IFERROR(_xlfn.XLOOKUP($A675,'Base SKUs'!$E:$E,'Base SKUs'!J:J),"")</f>
        <v>5/4x6</v>
      </c>
      <c r="Q675">
        <f>IFERROR(_xlfn.XLOOKUP($A675,'Base SKUs'!$E:$E,'Base SKUs'!K:K),"")</f>
        <v>4</v>
      </c>
      <c r="R675" s="7">
        <f>IFERROR(_xlfn.XLOOKUP($A675,'Base SKUs'!$E:$E,'Base SKUs'!S:S),"")</f>
        <v>4.3261848960000002E-3</v>
      </c>
      <c r="S675" s="8">
        <f t="shared" si="52"/>
        <v>2.9893937631359999</v>
      </c>
      <c r="T675" s="7">
        <f>IFERROR(_xlfn.XLOOKUP($A675,'Base SKUs'!$E:$E,'Base SKUs'!R:R),"")</f>
        <v>924.60199999999998</v>
      </c>
      <c r="U675" s="15">
        <f t="shared" si="53"/>
        <v>2764</v>
      </c>
      <c r="V675" t="str">
        <f t="shared" si="54"/>
        <v>Texas</v>
      </c>
    </row>
    <row r="676" spans="1:22" x14ac:dyDescent="0.2">
      <c r="A676" t="s">
        <v>941</v>
      </c>
      <c r="B676" s="5">
        <v>99</v>
      </c>
      <c r="C676" s="5">
        <v>0</v>
      </c>
      <c r="D676" s="5">
        <f t="shared" si="50"/>
        <v>99</v>
      </c>
      <c r="E676" s="6">
        <v>4.9593999999999996</v>
      </c>
      <c r="F676" s="6">
        <f t="shared" si="51"/>
        <v>490.98059999999998</v>
      </c>
      <c r="G676" t="s">
        <v>125</v>
      </c>
      <c r="H676">
        <v>9009</v>
      </c>
      <c r="I676" t="str">
        <f>IFERROR(_xlfn.XLOOKUP($A676,'Base SKUs'!$E:$E,'Base SKUs'!A:A),"")</f>
        <v>Ipe</v>
      </c>
      <c r="J676" t="str">
        <f>IFERROR(_xlfn.XLOOKUP($A676,'Base SKUs'!$E:$E,'Base SKUs'!B:B),"")</f>
        <v>Ipe 5/4x6</v>
      </c>
      <c r="K676" t="str">
        <f>IFERROR(_xlfn.XLOOKUP($A676,'Base SKUs'!$E:$E,'Base SKUs'!C:C),"")</f>
        <v>Short</v>
      </c>
      <c r="L676" t="str">
        <f>IFERROR(_xlfn.XLOOKUP($A676,'Base SKUs'!$E:$E,'Base SKUs'!D:D),"")</f>
        <v>Hardwoods</v>
      </c>
      <c r="M676" t="str">
        <f>IFERROR(_xlfn.XLOOKUP($A676,'Base SKUs'!$E:$E,'Base SKUs'!G:G),"")</f>
        <v>Ipe</v>
      </c>
      <c r="N676" t="str">
        <f>IFERROR(_xlfn.XLOOKUP($A676,'Base SKUs'!$E:$E,'Base SKUs'!H:H),"")</f>
        <v>Grooved</v>
      </c>
      <c r="O676" t="str">
        <f>IFERROR(_xlfn.XLOOKUP($A676,'Base SKUs'!$E:$E,'Base SKUs'!I:I),"")</f>
        <v>-</v>
      </c>
      <c r="P676" t="str">
        <f>IFERROR(_xlfn.XLOOKUP($A676,'Base SKUs'!$E:$E,'Base SKUs'!J:J),"")</f>
        <v>5/4x6</v>
      </c>
      <c r="Q676">
        <f>IFERROR(_xlfn.XLOOKUP($A676,'Base SKUs'!$E:$E,'Base SKUs'!K:K),"")</f>
        <v>4</v>
      </c>
      <c r="R676" s="7">
        <f>IFERROR(_xlfn.XLOOKUP($A676,'Base SKUs'!$E:$E,'Base SKUs'!S:S),"")</f>
        <v>4.3261848960000002E-3</v>
      </c>
      <c r="S676" s="8">
        <f t="shared" si="52"/>
        <v>0.42829230470400004</v>
      </c>
      <c r="T676" s="7">
        <f>IFERROR(_xlfn.XLOOKUP($A676,'Base SKUs'!$E:$E,'Base SKUs'!R:R),"")</f>
        <v>924.60199999999998</v>
      </c>
      <c r="U676" s="15">
        <f t="shared" si="53"/>
        <v>396</v>
      </c>
      <c r="V676" t="str">
        <f t="shared" si="54"/>
        <v>Boston</v>
      </c>
    </row>
    <row r="677" spans="1:22" x14ac:dyDescent="0.2">
      <c r="A677" t="s">
        <v>941</v>
      </c>
      <c r="B677" s="5">
        <v>1993</v>
      </c>
      <c r="C677" s="5">
        <v>0</v>
      </c>
      <c r="D677" s="5">
        <f t="shared" si="50"/>
        <v>1993</v>
      </c>
      <c r="E677" s="6">
        <v>3.8729</v>
      </c>
      <c r="F677" s="6">
        <f t="shared" si="51"/>
        <v>7718.6896999999999</v>
      </c>
      <c r="G677" t="s">
        <v>330</v>
      </c>
      <c r="H677">
        <v>9011</v>
      </c>
      <c r="I677" t="str">
        <f>IFERROR(_xlfn.XLOOKUP($A677,'Base SKUs'!$E:$E,'Base SKUs'!A:A),"")</f>
        <v>Ipe</v>
      </c>
      <c r="J677" t="str">
        <f>IFERROR(_xlfn.XLOOKUP($A677,'Base SKUs'!$E:$E,'Base SKUs'!B:B),"")</f>
        <v>Ipe 5/4x6</v>
      </c>
      <c r="K677" t="str">
        <f>IFERROR(_xlfn.XLOOKUP($A677,'Base SKUs'!$E:$E,'Base SKUs'!C:C),"")</f>
        <v>Short</v>
      </c>
      <c r="L677" t="str">
        <f>IFERROR(_xlfn.XLOOKUP($A677,'Base SKUs'!$E:$E,'Base SKUs'!D:D),"")</f>
        <v>Hardwoods</v>
      </c>
      <c r="M677" t="str">
        <f>IFERROR(_xlfn.XLOOKUP($A677,'Base SKUs'!$E:$E,'Base SKUs'!G:G),"")</f>
        <v>Ipe</v>
      </c>
      <c r="N677" t="str">
        <f>IFERROR(_xlfn.XLOOKUP($A677,'Base SKUs'!$E:$E,'Base SKUs'!H:H),"")</f>
        <v>Grooved</v>
      </c>
      <c r="O677" t="str">
        <f>IFERROR(_xlfn.XLOOKUP($A677,'Base SKUs'!$E:$E,'Base SKUs'!I:I),"")</f>
        <v>-</v>
      </c>
      <c r="P677" t="str">
        <f>IFERROR(_xlfn.XLOOKUP($A677,'Base SKUs'!$E:$E,'Base SKUs'!J:J),"")</f>
        <v>5/4x6</v>
      </c>
      <c r="Q677">
        <f>IFERROR(_xlfn.XLOOKUP($A677,'Base SKUs'!$E:$E,'Base SKUs'!K:K),"")</f>
        <v>4</v>
      </c>
      <c r="R677" s="7">
        <f>IFERROR(_xlfn.XLOOKUP($A677,'Base SKUs'!$E:$E,'Base SKUs'!S:S),"")</f>
        <v>4.3261848960000002E-3</v>
      </c>
      <c r="S677" s="8">
        <f t="shared" si="52"/>
        <v>8.6220864977280005</v>
      </c>
      <c r="T677" s="7">
        <f>IFERROR(_xlfn.XLOOKUP($A677,'Base SKUs'!$E:$E,'Base SKUs'!R:R),"")</f>
        <v>924.60199999999998</v>
      </c>
      <c r="U677" s="15">
        <f t="shared" si="53"/>
        <v>7972</v>
      </c>
      <c r="V677" t="str">
        <f t="shared" si="54"/>
        <v>New York</v>
      </c>
    </row>
    <row r="678" spans="1:22" x14ac:dyDescent="0.2">
      <c r="A678" t="s">
        <v>943</v>
      </c>
      <c r="B678" s="5">
        <v>1762</v>
      </c>
      <c r="C678" s="5">
        <v>0</v>
      </c>
      <c r="D678" s="5">
        <f t="shared" si="50"/>
        <v>1762</v>
      </c>
      <c r="E678" s="6">
        <v>5.8437000000000001</v>
      </c>
      <c r="F678" s="6">
        <f t="shared" si="51"/>
        <v>10296.599400000001</v>
      </c>
      <c r="G678" t="s">
        <v>17</v>
      </c>
      <c r="H678">
        <v>9007</v>
      </c>
      <c r="I678" t="str">
        <f>IFERROR(_xlfn.XLOOKUP($A678,'Base SKUs'!$E:$E,'Base SKUs'!A:A),"")</f>
        <v>Ipe</v>
      </c>
      <c r="J678" t="str">
        <f>IFERROR(_xlfn.XLOOKUP($A678,'Base SKUs'!$E:$E,'Base SKUs'!B:B),"")</f>
        <v>Ipe 5/4x6</v>
      </c>
      <c r="K678" t="str">
        <f>IFERROR(_xlfn.XLOOKUP($A678,'Base SKUs'!$E:$E,'Base SKUs'!C:C),"")</f>
        <v>Short</v>
      </c>
      <c r="L678" t="str">
        <f>IFERROR(_xlfn.XLOOKUP($A678,'Base SKUs'!$E:$E,'Base SKUs'!D:D),"")</f>
        <v>Hardwoods</v>
      </c>
      <c r="M678" t="str">
        <f>IFERROR(_xlfn.XLOOKUP($A678,'Base SKUs'!$E:$E,'Base SKUs'!G:G),"")</f>
        <v>Ipe</v>
      </c>
      <c r="N678" t="str">
        <f>IFERROR(_xlfn.XLOOKUP($A678,'Base SKUs'!$E:$E,'Base SKUs'!H:H),"")</f>
        <v>S4S E4E</v>
      </c>
      <c r="O678" t="str">
        <f>IFERROR(_xlfn.XLOOKUP($A678,'Base SKUs'!$E:$E,'Base SKUs'!I:I),"")</f>
        <v>-</v>
      </c>
      <c r="P678" t="str">
        <f>IFERROR(_xlfn.XLOOKUP($A678,'Base SKUs'!$E:$E,'Base SKUs'!J:J),"")</f>
        <v>5/4x6</v>
      </c>
      <c r="Q678">
        <f>IFERROR(_xlfn.XLOOKUP($A678,'Base SKUs'!$E:$E,'Base SKUs'!K:K),"")</f>
        <v>4</v>
      </c>
      <c r="R678" s="7">
        <f>IFERROR(_xlfn.XLOOKUP($A678,'Base SKUs'!$E:$E,'Base SKUs'!S:S),"")</f>
        <v>4.3261848960000002E-3</v>
      </c>
      <c r="S678" s="8">
        <f t="shared" si="52"/>
        <v>7.6227377867520003</v>
      </c>
      <c r="T678" s="7">
        <f>IFERROR(_xlfn.XLOOKUP($A678,'Base SKUs'!$E:$E,'Base SKUs'!R:R),"")</f>
        <v>924.60199999999998</v>
      </c>
      <c r="U678" s="15">
        <f t="shared" si="53"/>
        <v>7048</v>
      </c>
      <c r="V678" t="str">
        <f t="shared" si="54"/>
        <v>Miami</v>
      </c>
    </row>
    <row r="679" spans="1:22" x14ac:dyDescent="0.2">
      <c r="A679" t="s">
        <v>943</v>
      </c>
      <c r="B679" s="5">
        <v>140</v>
      </c>
      <c r="C679" s="5">
        <v>0</v>
      </c>
      <c r="D679" s="5">
        <f t="shared" si="50"/>
        <v>140</v>
      </c>
      <c r="E679" s="6">
        <v>4.9593999999999996</v>
      </c>
      <c r="F679" s="6">
        <f t="shared" si="51"/>
        <v>694.31599999999992</v>
      </c>
      <c r="G679" t="s">
        <v>24</v>
      </c>
      <c r="H679">
        <v>9008</v>
      </c>
      <c r="I679" t="str">
        <f>IFERROR(_xlfn.XLOOKUP($A679,'Base SKUs'!$E:$E,'Base SKUs'!A:A),"")</f>
        <v>Ipe</v>
      </c>
      <c r="J679" t="str">
        <f>IFERROR(_xlfn.XLOOKUP($A679,'Base SKUs'!$E:$E,'Base SKUs'!B:B),"")</f>
        <v>Ipe 5/4x6</v>
      </c>
      <c r="K679" t="str">
        <f>IFERROR(_xlfn.XLOOKUP($A679,'Base SKUs'!$E:$E,'Base SKUs'!C:C),"")</f>
        <v>Short</v>
      </c>
      <c r="L679" t="str">
        <f>IFERROR(_xlfn.XLOOKUP($A679,'Base SKUs'!$E:$E,'Base SKUs'!D:D),"")</f>
        <v>Hardwoods</v>
      </c>
      <c r="M679" t="str">
        <f>IFERROR(_xlfn.XLOOKUP($A679,'Base SKUs'!$E:$E,'Base SKUs'!G:G),"")</f>
        <v>Ipe</v>
      </c>
      <c r="N679" t="str">
        <f>IFERROR(_xlfn.XLOOKUP($A679,'Base SKUs'!$E:$E,'Base SKUs'!H:H),"")</f>
        <v>S4S E4E</v>
      </c>
      <c r="O679" t="str">
        <f>IFERROR(_xlfn.XLOOKUP($A679,'Base SKUs'!$E:$E,'Base SKUs'!I:I),"")</f>
        <v>-</v>
      </c>
      <c r="P679" t="str">
        <f>IFERROR(_xlfn.XLOOKUP($A679,'Base SKUs'!$E:$E,'Base SKUs'!J:J),"")</f>
        <v>5/4x6</v>
      </c>
      <c r="Q679">
        <f>IFERROR(_xlfn.XLOOKUP($A679,'Base SKUs'!$E:$E,'Base SKUs'!K:K),"")</f>
        <v>4</v>
      </c>
      <c r="R679" s="7">
        <f>IFERROR(_xlfn.XLOOKUP($A679,'Base SKUs'!$E:$E,'Base SKUs'!S:S),"")</f>
        <v>4.3261848960000002E-3</v>
      </c>
      <c r="S679" s="8">
        <f t="shared" si="52"/>
        <v>0.60566588544</v>
      </c>
      <c r="T679" s="7">
        <f>IFERROR(_xlfn.XLOOKUP($A679,'Base SKUs'!$E:$E,'Base SKUs'!R:R),"")</f>
        <v>924.60199999999998</v>
      </c>
      <c r="U679" s="15">
        <f t="shared" si="53"/>
        <v>560</v>
      </c>
      <c r="V679" t="str">
        <f t="shared" si="54"/>
        <v>Texas</v>
      </c>
    </row>
    <row r="680" spans="1:22" x14ac:dyDescent="0.2">
      <c r="A680" t="s">
        <v>943</v>
      </c>
      <c r="B680" s="5">
        <v>1537</v>
      </c>
      <c r="C680" s="5">
        <v>0</v>
      </c>
      <c r="D680" s="5">
        <f t="shared" si="50"/>
        <v>1537</v>
      </c>
      <c r="E680" s="6">
        <v>5.7030000000000003</v>
      </c>
      <c r="F680" s="6">
        <f t="shared" si="51"/>
        <v>8765.5110000000004</v>
      </c>
      <c r="G680" t="s">
        <v>330</v>
      </c>
      <c r="H680">
        <v>9011</v>
      </c>
      <c r="I680" t="str">
        <f>IFERROR(_xlfn.XLOOKUP($A680,'Base SKUs'!$E:$E,'Base SKUs'!A:A),"")</f>
        <v>Ipe</v>
      </c>
      <c r="J680" t="str">
        <f>IFERROR(_xlfn.XLOOKUP($A680,'Base SKUs'!$E:$E,'Base SKUs'!B:B),"")</f>
        <v>Ipe 5/4x6</v>
      </c>
      <c r="K680" t="str">
        <f>IFERROR(_xlfn.XLOOKUP($A680,'Base SKUs'!$E:$E,'Base SKUs'!C:C),"")</f>
        <v>Short</v>
      </c>
      <c r="L680" t="str">
        <f>IFERROR(_xlfn.XLOOKUP($A680,'Base SKUs'!$E:$E,'Base SKUs'!D:D),"")</f>
        <v>Hardwoods</v>
      </c>
      <c r="M680" t="str">
        <f>IFERROR(_xlfn.XLOOKUP($A680,'Base SKUs'!$E:$E,'Base SKUs'!G:G),"")</f>
        <v>Ipe</v>
      </c>
      <c r="N680" t="str">
        <f>IFERROR(_xlfn.XLOOKUP($A680,'Base SKUs'!$E:$E,'Base SKUs'!H:H),"")</f>
        <v>S4S E4E</v>
      </c>
      <c r="O680" t="str">
        <f>IFERROR(_xlfn.XLOOKUP($A680,'Base SKUs'!$E:$E,'Base SKUs'!I:I),"")</f>
        <v>-</v>
      </c>
      <c r="P680" t="str">
        <f>IFERROR(_xlfn.XLOOKUP($A680,'Base SKUs'!$E:$E,'Base SKUs'!J:J),"")</f>
        <v>5/4x6</v>
      </c>
      <c r="Q680">
        <f>IFERROR(_xlfn.XLOOKUP($A680,'Base SKUs'!$E:$E,'Base SKUs'!K:K),"")</f>
        <v>4</v>
      </c>
      <c r="R680" s="7">
        <f>IFERROR(_xlfn.XLOOKUP($A680,'Base SKUs'!$E:$E,'Base SKUs'!S:S),"")</f>
        <v>4.3261848960000002E-3</v>
      </c>
      <c r="S680" s="8">
        <f t="shared" si="52"/>
        <v>6.6493461851519999</v>
      </c>
      <c r="T680" s="7">
        <f>IFERROR(_xlfn.XLOOKUP($A680,'Base SKUs'!$E:$E,'Base SKUs'!R:R),"")</f>
        <v>924.60199999999998</v>
      </c>
      <c r="U680" s="15">
        <f t="shared" si="53"/>
        <v>6148</v>
      </c>
      <c r="V680" t="str">
        <f t="shared" si="54"/>
        <v>New York</v>
      </c>
    </row>
    <row r="681" spans="1:22" x14ac:dyDescent="0.2">
      <c r="A681" t="s">
        <v>945</v>
      </c>
      <c r="B681" s="5">
        <v>3276</v>
      </c>
      <c r="C681" s="5">
        <v>0</v>
      </c>
      <c r="D681" s="5">
        <f t="shared" si="50"/>
        <v>3276</v>
      </c>
      <c r="E681" s="6">
        <v>5.2824999999999998</v>
      </c>
      <c r="F681" s="6">
        <f t="shared" si="51"/>
        <v>17305.469999999998</v>
      </c>
      <c r="G681" t="s">
        <v>17</v>
      </c>
      <c r="H681">
        <v>9007</v>
      </c>
      <c r="I681" t="str">
        <f>IFERROR(_xlfn.XLOOKUP($A681,'Base SKUs'!$E:$E,'Base SKUs'!A:A),"")</f>
        <v>Ipe</v>
      </c>
      <c r="J681" t="str">
        <f>IFERROR(_xlfn.XLOOKUP($A681,'Base SKUs'!$E:$E,'Base SKUs'!B:B),"")</f>
        <v>Ipe 5/4x6</v>
      </c>
      <c r="K681" t="str">
        <f>IFERROR(_xlfn.XLOOKUP($A681,'Base SKUs'!$E:$E,'Base SKUs'!C:C),"")</f>
        <v>Short</v>
      </c>
      <c r="L681" t="str">
        <f>IFERROR(_xlfn.XLOOKUP($A681,'Base SKUs'!$E:$E,'Base SKUs'!D:D),"")</f>
        <v>Hardwoods</v>
      </c>
      <c r="M681" t="str">
        <f>IFERROR(_xlfn.XLOOKUP($A681,'Base SKUs'!$E:$E,'Base SKUs'!G:G),"")</f>
        <v>Ipe</v>
      </c>
      <c r="N681" t="str">
        <f>IFERROR(_xlfn.XLOOKUP($A681,'Base SKUs'!$E:$E,'Base SKUs'!H:H),"")</f>
        <v>Grooved</v>
      </c>
      <c r="O681" t="str">
        <f>IFERROR(_xlfn.XLOOKUP($A681,'Base SKUs'!$E:$E,'Base SKUs'!I:I),"")</f>
        <v>-</v>
      </c>
      <c r="P681" t="str">
        <f>IFERROR(_xlfn.XLOOKUP($A681,'Base SKUs'!$E:$E,'Base SKUs'!J:J),"")</f>
        <v>5/4x6</v>
      </c>
      <c r="Q681">
        <f>IFERROR(_xlfn.XLOOKUP($A681,'Base SKUs'!$E:$E,'Base SKUs'!K:K),"")</f>
        <v>5</v>
      </c>
      <c r="R681" s="7">
        <f>IFERROR(_xlfn.XLOOKUP($A681,'Base SKUs'!$E:$E,'Base SKUs'!S:S),"")</f>
        <v>5.4077311200000002E-3</v>
      </c>
      <c r="S681" s="8">
        <f t="shared" si="52"/>
        <v>17.715727149119999</v>
      </c>
      <c r="T681" s="7">
        <f>IFERROR(_xlfn.XLOOKUP($A681,'Base SKUs'!$E:$E,'Base SKUs'!R:R),"")</f>
        <v>924.60199999999998</v>
      </c>
      <c r="U681" s="15">
        <f t="shared" si="53"/>
        <v>16380</v>
      </c>
      <c r="V681" t="str">
        <f t="shared" si="54"/>
        <v>Miami</v>
      </c>
    </row>
    <row r="682" spans="1:22" x14ac:dyDescent="0.2">
      <c r="A682" t="s">
        <v>945</v>
      </c>
      <c r="B682" s="5">
        <v>773</v>
      </c>
      <c r="C682" s="5">
        <v>0</v>
      </c>
      <c r="D682" s="5">
        <f t="shared" si="50"/>
        <v>773</v>
      </c>
      <c r="E682" s="6">
        <v>4.8421000000000003</v>
      </c>
      <c r="F682" s="6">
        <f t="shared" si="51"/>
        <v>3742.9433000000004</v>
      </c>
      <c r="G682" t="s">
        <v>24</v>
      </c>
      <c r="H682">
        <v>9008</v>
      </c>
      <c r="I682" t="str">
        <f>IFERROR(_xlfn.XLOOKUP($A682,'Base SKUs'!$E:$E,'Base SKUs'!A:A),"")</f>
        <v>Ipe</v>
      </c>
      <c r="J682" t="str">
        <f>IFERROR(_xlfn.XLOOKUP($A682,'Base SKUs'!$E:$E,'Base SKUs'!B:B),"")</f>
        <v>Ipe 5/4x6</v>
      </c>
      <c r="K682" t="str">
        <f>IFERROR(_xlfn.XLOOKUP($A682,'Base SKUs'!$E:$E,'Base SKUs'!C:C),"")</f>
        <v>Short</v>
      </c>
      <c r="L682" t="str">
        <f>IFERROR(_xlfn.XLOOKUP($A682,'Base SKUs'!$E:$E,'Base SKUs'!D:D),"")</f>
        <v>Hardwoods</v>
      </c>
      <c r="M682" t="str">
        <f>IFERROR(_xlfn.XLOOKUP($A682,'Base SKUs'!$E:$E,'Base SKUs'!G:G),"")</f>
        <v>Ipe</v>
      </c>
      <c r="N682" t="str">
        <f>IFERROR(_xlfn.XLOOKUP($A682,'Base SKUs'!$E:$E,'Base SKUs'!H:H),"")</f>
        <v>Grooved</v>
      </c>
      <c r="O682" t="str">
        <f>IFERROR(_xlfn.XLOOKUP($A682,'Base SKUs'!$E:$E,'Base SKUs'!I:I),"")</f>
        <v>-</v>
      </c>
      <c r="P682" t="str">
        <f>IFERROR(_xlfn.XLOOKUP($A682,'Base SKUs'!$E:$E,'Base SKUs'!J:J),"")</f>
        <v>5/4x6</v>
      </c>
      <c r="Q682">
        <f>IFERROR(_xlfn.XLOOKUP($A682,'Base SKUs'!$E:$E,'Base SKUs'!K:K),"")</f>
        <v>5</v>
      </c>
      <c r="R682" s="7">
        <f>IFERROR(_xlfn.XLOOKUP($A682,'Base SKUs'!$E:$E,'Base SKUs'!S:S),"")</f>
        <v>5.4077311200000002E-3</v>
      </c>
      <c r="S682" s="8">
        <f t="shared" si="52"/>
        <v>4.1801761557599999</v>
      </c>
      <c r="T682" s="7">
        <f>IFERROR(_xlfn.XLOOKUP($A682,'Base SKUs'!$E:$E,'Base SKUs'!R:R),"")</f>
        <v>924.60199999999998</v>
      </c>
      <c r="U682" s="15">
        <f t="shared" si="53"/>
        <v>3865</v>
      </c>
      <c r="V682" t="str">
        <f t="shared" si="54"/>
        <v>Texas</v>
      </c>
    </row>
    <row r="683" spans="1:22" x14ac:dyDescent="0.2">
      <c r="A683" t="s">
        <v>945</v>
      </c>
      <c r="B683" s="5">
        <v>112</v>
      </c>
      <c r="C683" s="5">
        <v>0</v>
      </c>
      <c r="D683" s="5">
        <f t="shared" si="50"/>
        <v>112</v>
      </c>
      <c r="E683" s="6">
        <v>6.1763000000000003</v>
      </c>
      <c r="F683" s="6">
        <f t="shared" si="51"/>
        <v>691.74560000000008</v>
      </c>
      <c r="G683" t="s">
        <v>125</v>
      </c>
      <c r="H683">
        <v>9009</v>
      </c>
      <c r="I683" t="str">
        <f>IFERROR(_xlfn.XLOOKUP($A683,'Base SKUs'!$E:$E,'Base SKUs'!A:A),"")</f>
        <v>Ipe</v>
      </c>
      <c r="J683" t="str">
        <f>IFERROR(_xlfn.XLOOKUP($A683,'Base SKUs'!$E:$E,'Base SKUs'!B:B),"")</f>
        <v>Ipe 5/4x6</v>
      </c>
      <c r="K683" t="str">
        <f>IFERROR(_xlfn.XLOOKUP($A683,'Base SKUs'!$E:$E,'Base SKUs'!C:C),"")</f>
        <v>Short</v>
      </c>
      <c r="L683" t="str">
        <f>IFERROR(_xlfn.XLOOKUP($A683,'Base SKUs'!$E:$E,'Base SKUs'!D:D),"")</f>
        <v>Hardwoods</v>
      </c>
      <c r="M683" t="str">
        <f>IFERROR(_xlfn.XLOOKUP($A683,'Base SKUs'!$E:$E,'Base SKUs'!G:G),"")</f>
        <v>Ipe</v>
      </c>
      <c r="N683" t="str">
        <f>IFERROR(_xlfn.XLOOKUP($A683,'Base SKUs'!$E:$E,'Base SKUs'!H:H),"")</f>
        <v>Grooved</v>
      </c>
      <c r="O683" t="str">
        <f>IFERROR(_xlfn.XLOOKUP($A683,'Base SKUs'!$E:$E,'Base SKUs'!I:I),"")</f>
        <v>-</v>
      </c>
      <c r="P683" t="str">
        <f>IFERROR(_xlfn.XLOOKUP($A683,'Base SKUs'!$E:$E,'Base SKUs'!J:J),"")</f>
        <v>5/4x6</v>
      </c>
      <c r="Q683">
        <f>IFERROR(_xlfn.XLOOKUP($A683,'Base SKUs'!$E:$E,'Base SKUs'!K:K),"")</f>
        <v>5</v>
      </c>
      <c r="R683" s="7">
        <f>IFERROR(_xlfn.XLOOKUP($A683,'Base SKUs'!$E:$E,'Base SKUs'!S:S),"")</f>
        <v>5.4077311200000002E-3</v>
      </c>
      <c r="S683" s="8">
        <f t="shared" si="52"/>
        <v>0.60566588544</v>
      </c>
      <c r="T683" s="7">
        <f>IFERROR(_xlfn.XLOOKUP($A683,'Base SKUs'!$E:$E,'Base SKUs'!R:R),"")</f>
        <v>924.60199999999998</v>
      </c>
      <c r="U683" s="15">
        <f t="shared" si="53"/>
        <v>560</v>
      </c>
      <c r="V683" t="str">
        <f t="shared" si="54"/>
        <v>Boston</v>
      </c>
    </row>
    <row r="684" spans="1:22" x14ac:dyDescent="0.2">
      <c r="A684" t="s">
        <v>945</v>
      </c>
      <c r="B684" s="5">
        <v>2961</v>
      </c>
      <c r="C684" s="5">
        <v>0</v>
      </c>
      <c r="D684" s="5">
        <f t="shared" si="50"/>
        <v>2961</v>
      </c>
      <c r="E684" s="6">
        <v>4.8421000000000003</v>
      </c>
      <c r="F684" s="6">
        <f t="shared" si="51"/>
        <v>14337.458100000002</v>
      </c>
      <c r="G684" t="s">
        <v>330</v>
      </c>
      <c r="H684">
        <v>9011</v>
      </c>
      <c r="I684" t="str">
        <f>IFERROR(_xlfn.XLOOKUP($A684,'Base SKUs'!$E:$E,'Base SKUs'!A:A),"")</f>
        <v>Ipe</v>
      </c>
      <c r="J684" t="str">
        <f>IFERROR(_xlfn.XLOOKUP($A684,'Base SKUs'!$E:$E,'Base SKUs'!B:B),"")</f>
        <v>Ipe 5/4x6</v>
      </c>
      <c r="K684" t="str">
        <f>IFERROR(_xlfn.XLOOKUP($A684,'Base SKUs'!$E:$E,'Base SKUs'!C:C),"")</f>
        <v>Short</v>
      </c>
      <c r="L684" t="str">
        <f>IFERROR(_xlfn.XLOOKUP($A684,'Base SKUs'!$E:$E,'Base SKUs'!D:D),"")</f>
        <v>Hardwoods</v>
      </c>
      <c r="M684" t="str">
        <f>IFERROR(_xlfn.XLOOKUP($A684,'Base SKUs'!$E:$E,'Base SKUs'!G:G),"")</f>
        <v>Ipe</v>
      </c>
      <c r="N684" t="str">
        <f>IFERROR(_xlfn.XLOOKUP($A684,'Base SKUs'!$E:$E,'Base SKUs'!H:H),"")</f>
        <v>Grooved</v>
      </c>
      <c r="O684" t="str">
        <f>IFERROR(_xlfn.XLOOKUP($A684,'Base SKUs'!$E:$E,'Base SKUs'!I:I),"")</f>
        <v>-</v>
      </c>
      <c r="P684" t="str">
        <f>IFERROR(_xlfn.XLOOKUP($A684,'Base SKUs'!$E:$E,'Base SKUs'!J:J),"")</f>
        <v>5/4x6</v>
      </c>
      <c r="Q684">
        <f>IFERROR(_xlfn.XLOOKUP($A684,'Base SKUs'!$E:$E,'Base SKUs'!K:K),"")</f>
        <v>5</v>
      </c>
      <c r="R684" s="7">
        <f>IFERROR(_xlfn.XLOOKUP($A684,'Base SKUs'!$E:$E,'Base SKUs'!S:S),"")</f>
        <v>5.4077311200000002E-3</v>
      </c>
      <c r="S684" s="8">
        <f t="shared" si="52"/>
        <v>16.01229184632</v>
      </c>
      <c r="T684" s="7">
        <f>IFERROR(_xlfn.XLOOKUP($A684,'Base SKUs'!$E:$E,'Base SKUs'!R:R),"")</f>
        <v>924.60199999999998</v>
      </c>
      <c r="U684" s="15">
        <f t="shared" si="53"/>
        <v>14805</v>
      </c>
      <c r="V684" t="str">
        <f t="shared" si="54"/>
        <v>New York</v>
      </c>
    </row>
    <row r="685" spans="1:22" x14ac:dyDescent="0.2">
      <c r="A685" t="s">
        <v>947</v>
      </c>
      <c r="B685" s="5">
        <v>1986</v>
      </c>
      <c r="C685" s="5">
        <v>0</v>
      </c>
      <c r="D685" s="5">
        <f t="shared" si="50"/>
        <v>1986</v>
      </c>
      <c r="E685" s="6">
        <v>7.2455999999999996</v>
      </c>
      <c r="F685" s="6">
        <f t="shared" si="51"/>
        <v>14389.7616</v>
      </c>
      <c r="G685" t="s">
        <v>17</v>
      </c>
      <c r="H685">
        <v>9007</v>
      </c>
      <c r="I685" t="str">
        <f>IFERROR(_xlfn.XLOOKUP($A685,'Base SKUs'!$E:$E,'Base SKUs'!A:A),"")</f>
        <v>Ipe</v>
      </c>
      <c r="J685" t="str">
        <f>IFERROR(_xlfn.XLOOKUP($A685,'Base SKUs'!$E:$E,'Base SKUs'!B:B),"")</f>
        <v>Ipe 5/4x6</v>
      </c>
      <c r="K685" t="str">
        <f>IFERROR(_xlfn.XLOOKUP($A685,'Base SKUs'!$E:$E,'Base SKUs'!C:C),"")</f>
        <v>Short</v>
      </c>
      <c r="L685" t="str">
        <f>IFERROR(_xlfn.XLOOKUP($A685,'Base SKUs'!$E:$E,'Base SKUs'!D:D),"")</f>
        <v>Hardwoods</v>
      </c>
      <c r="M685" t="str">
        <f>IFERROR(_xlfn.XLOOKUP($A685,'Base SKUs'!$E:$E,'Base SKUs'!G:G),"")</f>
        <v>Ipe</v>
      </c>
      <c r="N685" t="str">
        <f>IFERROR(_xlfn.XLOOKUP($A685,'Base SKUs'!$E:$E,'Base SKUs'!H:H),"")</f>
        <v>S4S E4E</v>
      </c>
      <c r="O685" t="str">
        <f>IFERROR(_xlfn.XLOOKUP($A685,'Base SKUs'!$E:$E,'Base SKUs'!I:I),"")</f>
        <v>-</v>
      </c>
      <c r="P685" t="str">
        <f>IFERROR(_xlfn.XLOOKUP($A685,'Base SKUs'!$E:$E,'Base SKUs'!J:J),"")</f>
        <v>5/4x6</v>
      </c>
      <c r="Q685">
        <f>IFERROR(_xlfn.XLOOKUP($A685,'Base SKUs'!$E:$E,'Base SKUs'!K:K),"")</f>
        <v>5</v>
      </c>
      <c r="R685" s="7">
        <f>IFERROR(_xlfn.XLOOKUP($A685,'Base SKUs'!$E:$E,'Base SKUs'!S:S),"")</f>
        <v>5.4077311200000002E-3</v>
      </c>
      <c r="S685" s="8">
        <f t="shared" si="52"/>
        <v>10.73975400432</v>
      </c>
      <c r="T685" s="7">
        <f>IFERROR(_xlfn.XLOOKUP($A685,'Base SKUs'!$E:$E,'Base SKUs'!R:R),"")</f>
        <v>924.60199999999998</v>
      </c>
      <c r="U685" s="15">
        <f t="shared" si="53"/>
        <v>9930</v>
      </c>
      <c r="V685" t="str">
        <f t="shared" si="54"/>
        <v>Miami</v>
      </c>
    </row>
    <row r="686" spans="1:22" x14ac:dyDescent="0.2">
      <c r="A686" t="s">
        <v>947</v>
      </c>
      <c r="B686" s="5">
        <v>140</v>
      </c>
      <c r="C686" s="5">
        <v>0</v>
      </c>
      <c r="D686" s="5">
        <f t="shared" si="50"/>
        <v>140</v>
      </c>
      <c r="E686" s="6">
        <v>6.1763000000000003</v>
      </c>
      <c r="F686" s="6">
        <f t="shared" si="51"/>
        <v>864.68200000000002</v>
      </c>
      <c r="G686" t="s">
        <v>24</v>
      </c>
      <c r="H686">
        <v>9008</v>
      </c>
      <c r="I686" t="str">
        <f>IFERROR(_xlfn.XLOOKUP($A686,'Base SKUs'!$E:$E,'Base SKUs'!A:A),"")</f>
        <v>Ipe</v>
      </c>
      <c r="J686" t="str">
        <f>IFERROR(_xlfn.XLOOKUP($A686,'Base SKUs'!$E:$E,'Base SKUs'!B:B),"")</f>
        <v>Ipe 5/4x6</v>
      </c>
      <c r="K686" t="str">
        <f>IFERROR(_xlfn.XLOOKUP($A686,'Base SKUs'!$E:$E,'Base SKUs'!C:C),"")</f>
        <v>Short</v>
      </c>
      <c r="L686" t="str">
        <f>IFERROR(_xlfn.XLOOKUP($A686,'Base SKUs'!$E:$E,'Base SKUs'!D:D),"")</f>
        <v>Hardwoods</v>
      </c>
      <c r="M686" t="str">
        <f>IFERROR(_xlfn.XLOOKUP($A686,'Base SKUs'!$E:$E,'Base SKUs'!G:G),"")</f>
        <v>Ipe</v>
      </c>
      <c r="N686" t="str">
        <f>IFERROR(_xlfn.XLOOKUP($A686,'Base SKUs'!$E:$E,'Base SKUs'!H:H),"")</f>
        <v>S4S E4E</v>
      </c>
      <c r="O686" t="str">
        <f>IFERROR(_xlfn.XLOOKUP($A686,'Base SKUs'!$E:$E,'Base SKUs'!I:I),"")</f>
        <v>-</v>
      </c>
      <c r="P686" t="str">
        <f>IFERROR(_xlfn.XLOOKUP($A686,'Base SKUs'!$E:$E,'Base SKUs'!J:J),"")</f>
        <v>5/4x6</v>
      </c>
      <c r="Q686">
        <f>IFERROR(_xlfn.XLOOKUP($A686,'Base SKUs'!$E:$E,'Base SKUs'!K:K),"")</f>
        <v>5</v>
      </c>
      <c r="R686" s="7">
        <f>IFERROR(_xlfn.XLOOKUP($A686,'Base SKUs'!$E:$E,'Base SKUs'!S:S),"")</f>
        <v>5.4077311200000002E-3</v>
      </c>
      <c r="S686" s="8">
        <f t="shared" si="52"/>
        <v>0.75708235680000002</v>
      </c>
      <c r="T686" s="7">
        <f>IFERROR(_xlfn.XLOOKUP($A686,'Base SKUs'!$E:$E,'Base SKUs'!R:R),"")</f>
        <v>924.60199999999998</v>
      </c>
      <c r="U686" s="15">
        <f t="shared" si="53"/>
        <v>700</v>
      </c>
      <c r="V686" t="str">
        <f t="shared" si="54"/>
        <v>Texas</v>
      </c>
    </row>
    <row r="687" spans="1:22" x14ac:dyDescent="0.2">
      <c r="A687" t="s">
        <v>949</v>
      </c>
      <c r="B687" s="5">
        <v>155</v>
      </c>
      <c r="C687" s="5">
        <v>0</v>
      </c>
      <c r="D687" s="5">
        <f t="shared" si="50"/>
        <v>155</v>
      </c>
      <c r="E687" s="6">
        <v>7.1742999999999997</v>
      </c>
      <c r="F687" s="6">
        <f t="shared" si="51"/>
        <v>1112.0165</v>
      </c>
      <c r="G687" t="s">
        <v>17</v>
      </c>
      <c r="H687">
        <v>9007</v>
      </c>
      <c r="I687" t="str">
        <f>IFERROR(_xlfn.XLOOKUP($A687,'Base SKUs'!$E:$E,'Base SKUs'!A:A),"")</f>
        <v>Ipe</v>
      </c>
      <c r="J687" t="str">
        <f>IFERROR(_xlfn.XLOOKUP($A687,'Base SKUs'!$E:$E,'Base SKUs'!B:B),"")</f>
        <v>Ipe 5/4x6</v>
      </c>
      <c r="K687" t="str">
        <f>IFERROR(_xlfn.XLOOKUP($A687,'Base SKUs'!$E:$E,'Base SKUs'!C:C),"")</f>
        <v>Short</v>
      </c>
      <c r="L687" t="str">
        <f>IFERROR(_xlfn.XLOOKUP($A687,'Base SKUs'!$E:$E,'Base SKUs'!D:D),"")</f>
        <v>Hardwoods</v>
      </c>
      <c r="M687" t="str">
        <f>IFERROR(_xlfn.XLOOKUP($A687,'Base SKUs'!$E:$E,'Base SKUs'!G:G),"")</f>
        <v>Ipe</v>
      </c>
      <c r="N687" t="str">
        <f>IFERROR(_xlfn.XLOOKUP($A687,'Base SKUs'!$E:$E,'Base SKUs'!H:H),"")</f>
        <v>Grooved</v>
      </c>
      <c r="O687" t="str">
        <f>IFERROR(_xlfn.XLOOKUP($A687,'Base SKUs'!$E:$E,'Base SKUs'!I:I),"")</f>
        <v>-</v>
      </c>
      <c r="P687" t="str">
        <f>IFERROR(_xlfn.XLOOKUP($A687,'Base SKUs'!$E:$E,'Base SKUs'!J:J),"")</f>
        <v>5/4x6</v>
      </c>
      <c r="Q687">
        <f>IFERROR(_xlfn.XLOOKUP($A687,'Base SKUs'!$E:$E,'Base SKUs'!K:K),"")</f>
        <v>6</v>
      </c>
      <c r="R687" s="7">
        <f>IFERROR(_xlfn.XLOOKUP($A687,'Base SKUs'!$E:$E,'Base SKUs'!S:S),"")</f>
        <v>6.4892773439999985E-3</v>
      </c>
      <c r="S687" s="8">
        <f t="shared" si="52"/>
        <v>1.0058379883199997</v>
      </c>
      <c r="T687" s="7">
        <f>IFERROR(_xlfn.XLOOKUP($A687,'Base SKUs'!$E:$E,'Base SKUs'!R:R),"")</f>
        <v>924.60199999999998</v>
      </c>
      <c r="U687" s="15">
        <f t="shared" si="53"/>
        <v>930</v>
      </c>
      <c r="V687" t="str">
        <f t="shared" si="54"/>
        <v>Miami</v>
      </c>
    </row>
    <row r="688" spans="1:22" x14ac:dyDescent="0.2">
      <c r="A688" t="s">
        <v>949</v>
      </c>
      <c r="B688" s="5">
        <v>197</v>
      </c>
      <c r="C688" s="5">
        <v>0</v>
      </c>
      <c r="D688" s="5">
        <f t="shared" si="50"/>
        <v>197</v>
      </c>
      <c r="E688" s="6">
        <v>6.8029000000000002</v>
      </c>
      <c r="F688" s="6">
        <f t="shared" si="51"/>
        <v>1340.1713</v>
      </c>
      <c r="G688" t="s">
        <v>24</v>
      </c>
      <c r="H688">
        <v>9008</v>
      </c>
      <c r="I688" t="str">
        <f>IFERROR(_xlfn.XLOOKUP($A688,'Base SKUs'!$E:$E,'Base SKUs'!A:A),"")</f>
        <v>Ipe</v>
      </c>
      <c r="J688" t="str">
        <f>IFERROR(_xlfn.XLOOKUP($A688,'Base SKUs'!$E:$E,'Base SKUs'!B:B),"")</f>
        <v>Ipe 5/4x6</v>
      </c>
      <c r="K688" t="str">
        <f>IFERROR(_xlfn.XLOOKUP($A688,'Base SKUs'!$E:$E,'Base SKUs'!C:C),"")</f>
        <v>Short</v>
      </c>
      <c r="L688" t="str">
        <f>IFERROR(_xlfn.XLOOKUP($A688,'Base SKUs'!$E:$E,'Base SKUs'!D:D),"")</f>
        <v>Hardwoods</v>
      </c>
      <c r="M688" t="str">
        <f>IFERROR(_xlfn.XLOOKUP($A688,'Base SKUs'!$E:$E,'Base SKUs'!G:G),"")</f>
        <v>Ipe</v>
      </c>
      <c r="N688" t="str">
        <f>IFERROR(_xlfn.XLOOKUP($A688,'Base SKUs'!$E:$E,'Base SKUs'!H:H),"")</f>
        <v>Grooved</v>
      </c>
      <c r="O688" t="str">
        <f>IFERROR(_xlfn.XLOOKUP($A688,'Base SKUs'!$E:$E,'Base SKUs'!I:I),"")</f>
        <v>-</v>
      </c>
      <c r="P688" t="str">
        <f>IFERROR(_xlfn.XLOOKUP($A688,'Base SKUs'!$E:$E,'Base SKUs'!J:J),"")</f>
        <v>5/4x6</v>
      </c>
      <c r="Q688">
        <f>IFERROR(_xlfn.XLOOKUP($A688,'Base SKUs'!$E:$E,'Base SKUs'!K:K),"")</f>
        <v>6</v>
      </c>
      <c r="R688" s="7">
        <f>IFERROR(_xlfn.XLOOKUP($A688,'Base SKUs'!$E:$E,'Base SKUs'!S:S),"")</f>
        <v>6.4892773439999985E-3</v>
      </c>
      <c r="S688" s="8">
        <f t="shared" si="52"/>
        <v>1.2783876367679996</v>
      </c>
      <c r="T688" s="7">
        <f>IFERROR(_xlfn.XLOOKUP($A688,'Base SKUs'!$E:$E,'Base SKUs'!R:R),"")</f>
        <v>924.60199999999998</v>
      </c>
      <c r="U688" s="15">
        <f t="shared" si="53"/>
        <v>1182</v>
      </c>
      <c r="V688" t="str">
        <f t="shared" si="54"/>
        <v>Texas</v>
      </c>
    </row>
    <row r="689" spans="1:22" x14ac:dyDescent="0.2">
      <c r="A689" t="s">
        <v>949</v>
      </c>
      <c r="B689" s="5">
        <v>3381</v>
      </c>
      <c r="C689" s="5">
        <v>0</v>
      </c>
      <c r="D689" s="5">
        <f t="shared" si="50"/>
        <v>3381</v>
      </c>
      <c r="E689" s="6">
        <v>6.8029000000000002</v>
      </c>
      <c r="F689" s="6">
        <f t="shared" si="51"/>
        <v>23000.604900000002</v>
      </c>
      <c r="G689" t="s">
        <v>330</v>
      </c>
      <c r="H689">
        <v>9011</v>
      </c>
      <c r="I689" t="str">
        <f>IFERROR(_xlfn.XLOOKUP($A689,'Base SKUs'!$E:$E,'Base SKUs'!A:A),"")</f>
        <v>Ipe</v>
      </c>
      <c r="J689" t="str">
        <f>IFERROR(_xlfn.XLOOKUP($A689,'Base SKUs'!$E:$E,'Base SKUs'!B:B),"")</f>
        <v>Ipe 5/4x6</v>
      </c>
      <c r="K689" t="str">
        <f>IFERROR(_xlfn.XLOOKUP($A689,'Base SKUs'!$E:$E,'Base SKUs'!C:C),"")</f>
        <v>Short</v>
      </c>
      <c r="L689" t="str">
        <f>IFERROR(_xlfn.XLOOKUP($A689,'Base SKUs'!$E:$E,'Base SKUs'!D:D),"")</f>
        <v>Hardwoods</v>
      </c>
      <c r="M689" t="str">
        <f>IFERROR(_xlfn.XLOOKUP($A689,'Base SKUs'!$E:$E,'Base SKUs'!G:G),"")</f>
        <v>Ipe</v>
      </c>
      <c r="N689" t="str">
        <f>IFERROR(_xlfn.XLOOKUP($A689,'Base SKUs'!$E:$E,'Base SKUs'!H:H),"")</f>
        <v>Grooved</v>
      </c>
      <c r="O689" t="str">
        <f>IFERROR(_xlfn.XLOOKUP($A689,'Base SKUs'!$E:$E,'Base SKUs'!I:I),"")</f>
        <v>-</v>
      </c>
      <c r="P689" t="str">
        <f>IFERROR(_xlfn.XLOOKUP($A689,'Base SKUs'!$E:$E,'Base SKUs'!J:J),"")</f>
        <v>5/4x6</v>
      </c>
      <c r="Q689">
        <f>IFERROR(_xlfn.XLOOKUP($A689,'Base SKUs'!$E:$E,'Base SKUs'!K:K),"")</f>
        <v>6</v>
      </c>
      <c r="R689" s="7">
        <f>IFERROR(_xlfn.XLOOKUP($A689,'Base SKUs'!$E:$E,'Base SKUs'!S:S),"")</f>
        <v>6.4892773439999985E-3</v>
      </c>
      <c r="S689" s="8">
        <f t="shared" si="52"/>
        <v>21.940246700063994</v>
      </c>
      <c r="T689" s="7">
        <f>IFERROR(_xlfn.XLOOKUP($A689,'Base SKUs'!$E:$E,'Base SKUs'!R:R),"")</f>
        <v>924.60199999999998</v>
      </c>
      <c r="U689" s="15">
        <f t="shared" si="53"/>
        <v>20286</v>
      </c>
      <c r="V689" t="str">
        <f t="shared" si="54"/>
        <v>New York</v>
      </c>
    </row>
    <row r="690" spans="1:22" x14ac:dyDescent="0.2">
      <c r="A690" t="s">
        <v>951</v>
      </c>
      <c r="B690" s="5">
        <v>1087</v>
      </c>
      <c r="C690" s="5">
        <v>0</v>
      </c>
      <c r="D690" s="5">
        <f t="shared" si="50"/>
        <v>1087</v>
      </c>
      <c r="E690" s="6">
        <v>8.7571999999999992</v>
      </c>
      <c r="F690" s="6">
        <f t="shared" si="51"/>
        <v>9519.0763999999999</v>
      </c>
      <c r="G690" t="s">
        <v>17</v>
      </c>
      <c r="H690">
        <v>9007</v>
      </c>
      <c r="I690" t="str">
        <f>IFERROR(_xlfn.XLOOKUP($A690,'Base SKUs'!$E:$E,'Base SKUs'!A:A),"")</f>
        <v>Ipe</v>
      </c>
      <c r="J690" t="str">
        <f>IFERROR(_xlfn.XLOOKUP($A690,'Base SKUs'!$E:$E,'Base SKUs'!B:B),"")</f>
        <v>Ipe 5/4x6</v>
      </c>
      <c r="K690" t="str">
        <f>IFERROR(_xlfn.XLOOKUP($A690,'Base SKUs'!$E:$E,'Base SKUs'!C:C),"")</f>
        <v>Short</v>
      </c>
      <c r="L690" t="str">
        <f>IFERROR(_xlfn.XLOOKUP($A690,'Base SKUs'!$E:$E,'Base SKUs'!D:D),"")</f>
        <v>Hardwoods</v>
      </c>
      <c r="M690" t="str">
        <f>IFERROR(_xlfn.XLOOKUP($A690,'Base SKUs'!$E:$E,'Base SKUs'!G:G),"")</f>
        <v>Ipe</v>
      </c>
      <c r="N690" t="str">
        <f>IFERROR(_xlfn.XLOOKUP($A690,'Base SKUs'!$E:$E,'Base SKUs'!H:H),"")</f>
        <v>S4S E4E</v>
      </c>
      <c r="O690" t="str">
        <f>IFERROR(_xlfn.XLOOKUP($A690,'Base SKUs'!$E:$E,'Base SKUs'!I:I),"")</f>
        <v>-</v>
      </c>
      <c r="P690" t="str">
        <f>IFERROR(_xlfn.XLOOKUP($A690,'Base SKUs'!$E:$E,'Base SKUs'!J:J),"")</f>
        <v>5/4x6</v>
      </c>
      <c r="Q690">
        <f>IFERROR(_xlfn.XLOOKUP($A690,'Base SKUs'!$E:$E,'Base SKUs'!K:K),"")</f>
        <v>6</v>
      </c>
      <c r="R690" s="7">
        <f>IFERROR(_xlfn.XLOOKUP($A690,'Base SKUs'!$E:$E,'Base SKUs'!S:S),"")</f>
        <v>6.4892773439999985E-3</v>
      </c>
      <c r="S690" s="8">
        <f t="shared" si="52"/>
        <v>7.0538444729279988</v>
      </c>
      <c r="T690" s="7">
        <f>IFERROR(_xlfn.XLOOKUP($A690,'Base SKUs'!$E:$E,'Base SKUs'!R:R),"")</f>
        <v>924.60199999999998</v>
      </c>
      <c r="U690" s="15">
        <f t="shared" si="53"/>
        <v>6522</v>
      </c>
      <c r="V690" t="str">
        <f t="shared" si="54"/>
        <v>Miami</v>
      </c>
    </row>
    <row r="691" spans="1:22" x14ac:dyDescent="0.2">
      <c r="A691" t="s">
        <v>951</v>
      </c>
      <c r="B691" s="5">
        <v>79</v>
      </c>
      <c r="C691" s="5">
        <v>0</v>
      </c>
      <c r="D691" s="5">
        <f t="shared" si="50"/>
        <v>79</v>
      </c>
      <c r="E691" s="6">
        <v>9.2555999999999994</v>
      </c>
      <c r="F691" s="6">
        <f t="shared" si="51"/>
        <v>731.19239999999991</v>
      </c>
      <c r="G691" t="s">
        <v>330</v>
      </c>
      <c r="H691">
        <v>9011</v>
      </c>
      <c r="I691" t="str">
        <f>IFERROR(_xlfn.XLOOKUP($A691,'Base SKUs'!$E:$E,'Base SKUs'!A:A),"")</f>
        <v>Ipe</v>
      </c>
      <c r="J691" t="str">
        <f>IFERROR(_xlfn.XLOOKUP($A691,'Base SKUs'!$E:$E,'Base SKUs'!B:B),"")</f>
        <v>Ipe 5/4x6</v>
      </c>
      <c r="K691" t="str">
        <f>IFERROR(_xlfn.XLOOKUP($A691,'Base SKUs'!$E:$E,'Base SKUs'!C:C),"")</f>
        <v>Short</v>
      </c>
      <c r="L691" t="str">
        <f>IFERROR(_xlfn.XLOOKUP($A691,'Base SKUs'!$E:$E,'Base SKUs'!D:D),"")</f>
        <v>Hardwoods</v>
      </c>
      <c r="M691" t="str">
        <f>IFERROR(_xlfn.XLOOKUP($A691,'Base SKUs'!$E:$E,'Base SKUs'!G:G),"")</f>
        <v>Ipe</v>
      </c>
      <c r="N691" t="str">
        <f>IFERROR(_xlfn.XLOOKUP($A691,'Base SKUs'!$E:$E,'Base SKUs'!H:H),"")</f>
        <v>S4S E4E</v>
      </c>
      <c r="O691" t="str">
        <f>IFERROR(_xlfn.XLOOKUP($A691,'Base SKUs'!$E:$E,'Base SKUs'!I:I),"")</f>
        <v>-</v>
      </c>
      <c r="P691" t="str">
        <f>IFERROR(_xlfn.XLOOKUP($A691,'Base SKUs'!$E:$E,'Base SKUs'!J:J),"")</f>
        <v>5/4x6</v>
      </c>
      <c r="Q691">
        <f>IFERROR(_xlfn.XLOOKUP($A691,'Base SKUs'!$E:$E,'Base SKUs'!K:K),"")</f>
        <v>6</v>
      </c>
      <c r="R691" s="7">
        <f>IFERROR(_xlfn.XLOOKUP($A691,'Base SKUs'!$E:$E,'Base SKUs'!S:S),"")</f>
        <v>6.4892773439999985E-3</v>
      </c>
      <c r="S691" s="8">
        <f t="shared" si="52"/>
        <v>0.5126529101759999</v>
      </c>
      <c r="T691" s="7">
        <f>IFERROR(_xlfn.XLOOKUP($A691,'Base SKUs'!$E:$E,'Base SKUs'!R:R),"")</f>
        <v>924.60199999999998</v>
      </c>
      <c r="U691" s="15">
        <f t="shared" si="53"/>
        <v>474</v>
      </c>
      <c r="V691" t="str">
        <f t="shared" si="54"/>
        <v>New York</v>
      </c>
    </row>
    <row r="692" spans="1:22" x14ac:dyDescent="0.2">
      <c r="A692" t="s">
        <v>953</v>
      </c>
      <c r="B692" s="5">
        <v>1053</v>
      </c>
      <c r="C692" s="5">
        <v>0</v>
      </c>
      <c r="D692" s="5">
        <f t="shared" si="50"/>
        <v>1053</v>
      </c>
      <c r="E692" s="6">
        <v>7.9501999999999997</v>
      </c>
      <c r="F692" s="6">
        <f t="shared" si="51"/>
        <v>8371.5605999999989</v>
      </c>
      <c r="G692" t="s">
        <v>330</v>
      </c>
      <c r="H692">
        <v>9011</v>
      </c>
      <c r="I692" t="str">
        <f>IFERROR(_xlfn.XLOOKUP($A692,'Base SKUs'!$E:$E,'Base SKUs'!A:A),"")</f>
        <v>Ipe</v>
      </c>
      <c r="J692" t="str">
        <f>IFERROR(_xlfn.XLOOKUP($A692,'Base SKUs'!$E:$E,'Base SKUs'!B:B),"")</f>
        <v>Ipe 5/4x6</v>
      </c>
      <c r="K692" t="str">
        <f>IFERROR(_xlfn.XLOOKUP($A692,'Base SKUs'!$E:$E,'Base SKUs'!C:C),"")</f>
        <v>Short</v>
      </c>
      <c r="L692" t="str">
        <f>IFERROR(_xlfn.XLOOKUP($A692,'Base SKUs'!$E:$E,'Base SKUs'!D:D),"")</f>
        <v>Hardwoods</v>
      </c>
      <c r="M692" t="str">
        <f>IFERROR(_xlfn.XLOOKUP($A692,'Base SKUs'!$E:$E,'Base SKUs'!G:G),"")</f>
        <v>Ipe</v>
      </c>
      <c r="N692" t="str">
        <f>IFERROR(_xlfn.XLOOKUP($A692,'Base SKUs'!$E:$E,'Base SKUs'!H:H),"")</f>
        <v>Grooved</v>
      </c>
      <c r="O692" t="str">
        <f>IFERROR(_xlfn.XLOOKUP($A692,'Base SKUs'!$E:$E,'Base SKUs'!I:I),"")</f>
        <v>-</v>
      </c>
      <c r="P692" t="str">
        <f>IFERROR(_xlfn.XLOOKUP($A692,'Base SKUs'!$E:$E,'Base SKUs'!J:J),"")</f>
        <v>5/4x6</v>
      </c>
      <c r="Q692">
        <f>IFERROR(_xlfn.XLOOKUP($A692,'Base SKUs'!$E:$E,'Base SKUs'!K:K),"")</f>
        <v>7</v>
      </c>
      <c r="R692" s="7">
        <f>IFERROR(_xlfn.XLOOKUP($A692,'Base SKUs'!$E:$E,'Base SKUs'!S:S),"")</f>
        <v>7.5708235679999986E-3</v>
      </c>
      <c r="S692" s="8">
        <f t="shared" si="52"/>
        <v>7.9720772171039984</v>
      </c>
      <c r="T692" s="7">
        <f>IFERROR(_xlfn.XLOOKUP($A692,'Base SKUs'!$E:$E,'Base SKUs'!R:R),"")</f>
        <v>924.60199999999998</v>
      </c>
      <c r="U692" s="15">
        <f t="shared" si="53"/>
        <v>7371</v>
      </c>
      <c r="V692" t="str">
        <f t="shared" si="54"/>
        <v>New York</v>
      </c>
    </row>
    <row r="693" spans="1:22" x14ac:dyDescent="0.2">
      <c r="A693" t="s">
        <v>955</v>
      </c>
      <c r="B693" s="5">
        <v>422</v>
      </c>
      <c r="C693" s="5">
        <v>0</v>
      </c>
      <c r="D693" s="5">
        <f t="shared" si="50"/>
        <v>422</v>
      </c>
      <c r="E693" s="6">
        <v>10.1576</v>
      </c>
      <c r="F693" s="6">
        <f t="shared" si="51"/>
        <v>4286.5072</v>
      </c>
      <c r="G693" t="s">
        <v>17</v>
      </c>
      <c r="H693">
        <v>9007</v>
      </c>
      <c r="I693" t="str">
        <f>IFERROR(_xlfn.XLOOKUP($A693,'Base SKUs'!$E:$E,'Base SKUs'!A:A),"")</f>
        <v>Ipe</v>
      </c>
      <c r="J693" t="str">
        <f>IFERROR(_xlfn.XLOOKUP($A693,'Base SKUs'!$E:$E,'Base SKUs'!B:B),"")</f>
        <v>Ipe 5/4x6</v>
      </c>
      <c r="K693" t="str">
        <f>IFERROR(_xlfn.XLOOKUP($A693,'Base SKUs'!$E:$E,'Base SKUs'!C:C),"")</f>
        <v>Short</v>
      </c>
      <c r="L693" t="str">
        <f>IFERROR(_xlfn.XLOOKUP($A693,'Base SKUs'!$E:$E,'Base SKUs'!D:D),"")</f>
        <v>Hardwoods</v>
      </c>
      <c r="M693" t="str">
        <f>IFERROR(_xlfn.XLOOKUP($A693,'Base SKUs'!$E:$E,'Base SKUs'!G:G),"")</f>
        <v>Ipe</v>
      </c>
      <c r="N693" t="str">
        <f>IFERROR(_xlfn.XLOOKUP($A693,'Base SKUs'!$E:$E,'Base SKUs'!H:H),"")</f>
        <v>S4S E4E</v>
      </c>
      <c r="O693" t="str">
        <f>IFERROR(_xlfn.XLOOKUP($A693,'Base SKUs'!$E:$E,'Base SKUs'!I:I),"")</f>
        <v>-</v>
      </c>
      <c r="P693" t="str">
        <f>IFERROR(_xlfn.XLOOKUP($A693,'Base SKUs'!$E:$E,'Base SKUs'!J:J),"")</f>
        <v>5/4x6</v>
      </c>
      <c r="Q693">
        <f>IFERROR(_xlfn.XLOOKUP($A693,'Base SKUs'!$E:$E,'Base SKUs'!K:K),"")</f>
        <v>7</v>
      </c>
      <c r="R693" s="7">
        <f>IFERROR(_xlfn.XLOOKUP($A693,'Base SKUs'!$E:$E,'Base SKUs'!S:S),"")</f>
        <v>7.5708235679999986E-3</v>
      </c>
      <c r="S693" s="8">
        <f t="shared" si="52"/>
        <v>3.1948875456959995</v>
      </c>
      <c r="T693" s="7">
        <f>IFERROR(_xlfn.XLOOKUP($A693,'Base SKUs'!$E:$E,'Base SKUs'!R:R),"")</f>
        <v>924.60199999999998</v>
      </c>
      <c r="U693" s="15">
        <f t="shared" si="53"/>
        <v>2954</v>
      </c>
      <c r="V693" t="str">
        <f t="shared" si="54"/>
        <v>Miami</v>
      </c>
    </row>
    <row r="694" spans="1:22" x14ac:dyDescent="0.2">
      <c r="A694" t="s">
        <v>955</v>
      </c>
      <c r="B694" s="5">
        <v>18</v>
      </c>
      <c r="C694" s="5">
        <v>0</v>
      </c>
      <c r="D694" s="5">
        <f t="shared" si="50"/>
        <v>18</v>
      </c>
      <c r="E694" s="6">
        <v>10.2043</v>
      </c>
      <c r="F694" s="6">
        <f t="shared" si="51"/>
        <v>183.67740000000001</v>
      </c>
      <c r="G694" t="s">
        <v>125</v>
      </c>
      <c r="H694">
        <v>9009</v>
      </c>
      <c r="I694" t="str">
        <f>IFERROR(_xlfn.XLOOKUP($A694,'Base SKUs'!$E:$E,'Base SKUs'!A:A),"")</f>
        <v>Ipe</v>
      </c>
      <c r="J694" t="str">
        <f>IFERROR(_xlfn.XLOOKUP($A694,'Base SKUs'!$E:$E,'Base SKUs'!B:B),"")</f>
        <v>Ipe 5/4x6</v>
      </c>
      <c r="K694" t="str">
        <f>IFERROR(_xlfn.XLOOKUP($A694,'Base SKUs'!$E:$E,'Base SKUs'!C:C),"")</f>
        <v>Short</v>
      </c>
      <c r="L694" t="str">
        <f>IFERROR(_xlfn.XLOOKUP($A694,'Base SKUs'!$E:$E,'Base SKUs'!D:D),"")</f>
        <v>Hardwoods</v>
      </c>
      <c r="M694" t="str">
        <f>IFERROR(_xlfn.XLOOKUP($A694,'Base SKUs'!$E:$E,'Base SKUs'!G:G),"")</f>
        <v>Ipe</v>
      </c>
      <c r="N694" t="str">
        <f>IFERROR(_xlfn.XLOOKUP($A694,'Base SKUs'!$E:$E,'Base SKUs'!H:H),"")</f>
        <v>S4S E4E</v>
      </c>
      <c r="O694" t="str">
        <f>IFERROR(_xlfn.XLOOKUP($A694,'Base SKUs'!$E:$E,'Base SKUs'!I:I),"")</f>
        <v>-</v>
      </c>
      <c r="P694" t="str">
        <f>IFERROR(_xlfn.XLOOKUP($A694,'Base SKUs'!$E:$E,'Base SKUs'!J:J),"")</f>
        <v>5/4x6</v>
      </c>
      <c r="Q694">
        <f>IFERROR(_xlfn.XLOOKUP($A694,'Base SKUs'!$E:$E,'Base SKUs'!K:K),"")</f>
        <v>7</v>
      </c>
      <c r="R694" s="7">
        <f>IFERROR(_xlfn.XLOOKUP($A694,'Base SKUs'!$E:$E,'Base SKUs'!S:S),"")</f>
        <v>7.5708235679999986E-3</v>
      </c>
      <c r="S694" s="8">
        <f t="shared" si="52"/>
        <v>0.13627482422399997</v>
      </c>
      <c r="T694" s="7">
        <f>IFERROR(_xlfn.XLOOKUP($A694,'Base SKUs'!$E:$E,'Base SKUs'!R:R),"")</f>
        <v>924.60199999999998</v>
      </c>
      <c r="U694" s="15">
        <f t="shared" si="53"/>
        <v>126</v>
      </c>
      <c r="V694" t="str">
        <f t="shared" si="54"/>
        <v>Boston</v>
      </c>
    </row>
    <row r="695" spans="1:22" x14ac:dyDescent="0.2">
      <c r="A695" t="s">
        <v>955</v>
      </c>
      <c r="B695" s="5">
        <v>231</v>
      </c>
      <c r="C695" s="5">
        <v>0</v>
      </c>
      <c r="D695" s="5">
        <f t="shared" si="50"/>
        <v>231</v>
      </c>
      <c r="E695" s="6">
        <v>10.0634</v>
      </c>
      <c r="F695" s="6">
        <f t="shared" si="51"/>
        <v>2324.6453999999999</v>
      </c>
      <c r="G695" t="s">
        <v>330</v>
      </c>
      <c r="H695">
        <v>9011</v>
      </c>
      <c r="I695" t="str">
        <f>IFERROR(_xlfn.XLOOKUP($A695,'Base SKUs'!$E:$E,'Base SKUs'!A:A),"")</f>
        <v>Ipe</v>
      </c>
      <c r="J695" t="str">
        <f>IFERROR(_xlfn.XLOOKUP($A695,'Base SKUs'!$E:$E,'Base SKUs'!B:B),"")</f>
        <v>Ipe 5/4x6</v>
      </c>
      <c r="K695" t="str">
        <f>IFERROR(_xlfn.XLOOKUP($A695,'Base SKUs'!$E:$E,'Base SKUs'!C:C),"")</f>
        <v>Short</v>
      </c>
      <c r="L695" t="str">
        <f>IFERROR(_xlfn.XLOOKUP($A695,'Base SKUs'!$E:$E,'Base SKUs'!D:D),"")</f>
        <v>Hardwoods</v>
      </c>
      <c r="M695" t="str">
        <f>IFERROR(_xlfn.XLOOKUP($A695,'Base SKUs'!$E:$E,'Base SKUs'!G:G),"")</f>
        <v>Ipe</v>
      </c>
      <c r="N695" t="str">
        <f>IFERROR(_xlfn.XLOOKUP($A695,'Base SKUs'!$E:$E,'Base SKUs'!H:H),"")</f>
        <v>S4S E4E</v>
      </c>
      <c r="O695" t="str">
        <f>IFERROR(_xlfn.XLOOKUP($A695,'Base SKUs'!$E:$E,'Base SKUs'!I:I),"")</f>
        <v>-</v>
      </c>
      <c r="P695" t="str">
        <f>IFERROR(_xlfn.XLOOKUP($A695,'Base SKUs'!$E:$E,'Base SKUs'!J:J),"")</f>
        <v>5/4x6</v>
      </c>
      <c r="Q695">
        <f>IFERROR(_xlfn.XLOOKUP($A695,'Base SKUs'!$E:$E,'Base SKUs'!K:K),"")</f>
        <v>7</v>
      </c>
      <c r="R695" s="7">
        <f>IFERROR(_xlfn.XLOOKUP($A695,'Base SKUs'!$E:$E,'Base SKUs'!S:S),"")</f>
        <v>7.5708235679999986E-3</v>
      </c>
      <c r="S695" s="8">
        <f t="shared" si="52"/>
        <v>1.7488602442079997</v>
      </c>
      <c r="T695" s="7">
        <f>IFERROR(_xlfn.XLOOKUP($A695,'Base SKUs'!$E:$E,'Base SKUs'!R:R),"")</f>
        <v>924.60199999999998</v>
      </c>
      <c r="U695" s="15">
        <f t="shared" si="53"/>
        <v>1617</v>
      </c>
      <c r="V695" t="str">
        <f t="shared" si="54"/>
        <v>New York</v>
      </c>
    </row>
    <row r="696" spans="1:22" x14ac:dyDescent="0.2">
      <c r="A696" t="s">
        <v>957</v>
      </c>
      <c r="B696" s="5">
        <v>430</v>
      </c>
      <c r="C696" s="5">
        <v>0</v>
      </c>
      <c r="D696" s="5">
        <f t="shared" si="50"/>
        <v>430</v>
      </c>
      <c r="E696" s="6">
        <v>25.601500000000001</v>
      </c>
      <c r="F696" s="6">
        <f t="shared" si="51"/>
        <v>11008.645</v>
      </c>
      <c r="G696" t="s">
        <v>17</v>
      </c>
      <c r="H696">
        <v>9007</v>
      </c>
      <c r="I696" t="str">
        <f>IFERROR(_xlfn.XLOOKUP($A696,'Base SKUs'!$E:$E,'Base SKUs'!A:A),"")</f>
        <v>Ipe</v>
      </c>
      <c r="J696" t="str">
        <f>IFERROR(_xlfn.XLOOKUP($A696,'Base SKUs'!$E:$E,'Base SKUs'!B:B),"")</f>
        <v>Ipe 5/4x6</v>
      </c>
      <c r="K696" t="str">
        <f>IFERROR(_xlfn.XLOOKUP($A696,'Base SKUs'!$E:$E,'Base SKUs'!C:C),"")</f>
        <v>Long</v>
      </c>
      <c r="L696" t="str">
        <f>IFERROR(_xlfn.XLOOKUP($A696,'Base SKUs'!$E:$E,'Base SKUs'!D:D),"")</f>
        <v>Hardwoods</v>
      </c>
      <c r="M696" t="str">
        <f>IFERROR(_xlfn.XLOOKUP($A696,'Base SKUs'!$E:$E,'Base SKUs'!G:G),"")</f>
        <v>Ipe</v>
      </c>
      <c r="N696" t="str">
        <f>IFERROR(_xlfn.XLOOKUP($A696,'Base SKUs'!$E:$E,'Base SKUs'!H:H),"")</f>
        <v>Grooved</v>
      </c>
      <c r="O696" t="str">
        <f>IFERROR(_xlfn.XLOOKUP($A696,'Base SKUs'!$E:$E,'Base SKUs'!I:I),"")</f>
        <v>-</v>
      </c>
      <c r="P696" t="str">
        <f>IFERROR(_xlfn.XLOOKUP($A696,'Base SKUs'!$E:$E,'Base SKUs'!J:J),"")</f>
        <v>5/4x6</v>
      </c>
      <c r="Q696">
        <f>IFERROR(_xlfn.XLOOKUP($A696,'Base SKUs'!$E:$E,'Base SKUs'!K:K),"")</f>
        <v>8</v>
      </c>
      <c r="R696" s="7">
        <f>IFERROR(_xlfn.XLOOKUP($A696,'Base SKUs'!$E:$E,'Base SKUs'!S:S),"")</f>
        <v>8.6523697920000003E-3</v>
      </c>
      <c r="S696" s="8">
        <f t="shared" si="52"/>
        <v>3.7205190105600003</v>
      </c>
      <c r="T696" s="7">
        <f>IFERROR(_xlfn.XLOOKUP($A696,'Base SKUs'!$E:$E,'Base SKUs'!R:R),"")</f>
        <v>924.60199999999998</v>
      </c>
      <c r="U696" s="15">
        <f t="shared" si="53"/>
        <v>3440</v>
      </c>
      <c r="V696" t="str">
        <f t="shared" si="54"/>
        <v>Miami</v>
      </c>
    </row>
    <row r="697" spans="1:22" x14ac:dyDescent="0.2">
      <c r="A697" t="s">
        <v>957</v>
      </c>
      <c r="B697" s="5">
        <v>105</v>
      </c>
      <c r="C697" s="5">
        <v>0</v>
      </c>
      <c r="D697" s="5">
        <f t="shared" si="50"/>
        <v>105</v>
      </c>
      <c r="E697" s="6">
        <v>26.6997</v>
      </c>
      <c r="F697" s="6">
        <f t="shared" si="51"/>
        <v>2803.4684999999999</v>
      </c>
      <c r="G697" t="s">
        <v>125</v>
      </c>
      <c r="H697">
        <v>9009</v>
      </c>
      <c r="I697" t="str">
        <f>IFERROR(_xlfn.XLOOKUP($A697,'Base SKUs'!$E:$E,'Base SKUs'!A:A),"")</f>
        <v>Ipe</v>
      </c>
      <c r="J697" t="str">
        <f>IFERROR(_xlfn.XLOOKUP($A697,'Base SKUs'!$E:$E,'Base SKUs'!B:B),"")</f>
        <v>Ipe 5/4x6</v>
      </c>
      <c r="K697" t="str">
        <f>IFERROR(_xlfn.XLOOKUP($A697,'Base SKUs'!$E:$E,'Base SKUs'!C:C),"")</f>
        <v>Long</v>
      </c>
      <c r="L697" t="str">
        <f>IFERROR(_xlfn.XLOOKUP($A697,'Base SKUs'!$E:$E,'Base SKUs'!D:D),"")</f>
        <v>Hardwoods</v>
      </c>
      <c r="M697" t="str">
        <f>IFERROR(_xlfn.XLOOKUP($A697,'Base SKUs'!$E:$E,'Base SKUs'!G:G),"")</f>
        <v>Ipe</v>
      </c>
      <c r="N697" t="str">
        <f>IFERROR(_xlfn.XLOOKUP($A697,'Base SKUs'!$E:$E,'Base SKUs'!H:H),"")</f>
        <v>Grooved</v>
      </c>
      <c r="O697" t="str">
        <f>IFERROR(_xlfn.XLOOKUP($A697,'Base SKUs'!$E:$E,'Base SKUs'!I:I),"")</f>
        <v>-</v>
      </c>
      <c r="P697" t="str">
        <f>IFERROR(_xlfn.XLOOKUP($A697,'Base SKUs'!$E:$E,'Base SKUs'!J:J),"")</f>
        <v>5/4x6</v>
      </c>
      <c r="Q697">
        <f>IFERROR(_xlfn.XLOOKUP($A697,'Base SKUs'!$E:$E,'Base SKUs'!K:K),"")</f>
        <v>8</v>
      </c>
      <c r="R697" s="7">
        <f>IFERROR(_xlfn.XLOOKUP($A697,'Base SKUs'!$E:$E,'Base SKUs'!S:S),"")</f>
        <v>8.6523697920000003E-3</v>
      </c>
      <c r="S697" s="8">
        <f t="shared" si="52"/>
        <v>0.90849882816000005</v>
      </c>
      <c r="T697" s="7">
        <f>IFERROR(_xlfn.XLOOKUP($A697,'Base SKUs'!$E:$E,'Base SKUs'!R:R),"")</f>
        <v>924.60199999999998</v>
      </c>
      <c r="U697" s="15">
        <f t="shared" si="53"/>
        <v>840</v>
      </c>
      <c r="V697" t="str">
        <f t="shared" si="54"/>
        <v>Boston</v>
      </c>
    </row>
    <row r="698" spans="1:22" x14ac:dyDescent="0.2">
      <c r="A698" t="s">
        <v>957</v>
      </c>
      <c r="B698" s="5">
        <v>819</v>
      </c>
      <c r="C698" s="5">
        <v>0</v>
      </c>
      <c r="D698" s="5">
        <f t="shared" si="50"/>
        <v>819</v>
      </c>
      <c r="E698" s="6">
        <v>26.1402</v>
      </c>
      <c r="F698" s="6">
        <f t="shared" si="51"/>
        <v>21408.823799999998</v>
      </c>
      <c r="G698" t="s">
        <v>330</v>
      </c>
      <c r="H698">
        <v>9011</v>
      </c>
      <c r="I698" t="str">
        <f>IFERROR(_xlfn.XLOOKUP($A698,'Base SKUs'!$E:$E,'Base SKUs'!A:A),"")</f>
        <v>Ipe</v>
      </c>
      <c r="J698" t="str">
        <f>IFERROR(_xlfn.XLOOKUP($A698,'Base SKUs'!$E:$E,'Base SKUs'!B:B),"")</f>
        <v>Ipe 5/4x6</v>
      </c>
      <c r="K698" t="str">
        <f>IFERROR(_xlfn.XLOOKUP($A698,'Base SKUs'!$E:$E,'Base SKUs'!C:C),"")</f>
        <v>Long</v>
      </c>
      <c r="L698" t="str">
        <f>IFERROR(_xlfn.XLOOKUP($A698,'Base SKUs'!$E:$E,'Base SKUs'!D:D),"")</f>
        <v>Hardwoods</v>
      </c>
      <c r="M698" t="str">
        <f>IFERROR(_xlfn.XLOOKUP($A698,'Base SKUs'!$E:$E,'Base SKUs'!G:G),"")</f>
        <v>Ipe</v>
      </c>
      <c r="N698" t="str">
        <f>IFERROR(_xlfn.XLOOKUP($A698,'Base SKUs'!$E:$E,'Base SKUs'!H:H),"")</f>
        <v>Grooved</v>
      </c>
      <c r="O698" t="str">
        <f>IFERROR(_xlfn.XLOOKUP($A698,'Base SKUs'!$E:$E,'Base SKUs'!I:I),"")</f>
        <v>-</v>
      </c>
      <c r="P698" t="str">
        <f>IFERROR(_xlfn.XLOOKUP($A698,'Base SKUs'!$E:$E,'Base SKUs'!J:J),"")</f>
        <v>5/4x6</v>
      </c>
      <c r="Q698">
        <f>IFERROR(_xlfn.XLOOKUP($A698,'Base SKUs'!$E:$E,'Base SKUs'!K:K),"")</f>
        <v>8</v>
      </c>
      <c r="R698" s="7">
        <f>IFERROR(_xlfn.XLOOKUP($A698,'Base SKUs'!$E:$E,'Base SKUs'!S:S),"")</f>
        <v>8.6523697920000003E-3</v>
      </c>
      <c r="S698" s="8">
        <f t="shared" si="52"/>
        <v>7.0862908596479999</v>
      </c>
      <c r="T698" s="7">
        <f>IFERROR(_xlfn.XLOOKUP($A698,'Base SKUs'!$E:$E,'Base SKUs'!R:R),"")</f>
        <v>924.60199999999998</v>
      </c>
      <c r="U698" s="15">
        <f t="shared" si="53"/>
        <v>6552</v>
      </c>
      <c r="V698" t="str">
        <f t="shared" si="54"/>
        <v>New York</v>
      </c>
    </row>
    <row r="699" spans="1:22" x14ac:dyDescent="0.2">
      <c r="A699" t="s">
        <v>959</v>
      </c>
      <c r="B699" s="5">
        <v>709</v>
      </c>
      <c r="C699" s="5">
        <v>0</v>
      </c>
      <c r="D699" s="5">
        <f t="shared" si="50"/>
        <v>709</v>
      </c>
      <c r="E699" s="6">
        <v>29.6889</v>
      </c>
      <c r="F699" s="6">
        <f t="shared" si="51"/>
        <v>21049.430100000001</v>
      </c>
      <c r="G699" t="s">
        <v>17</v>
      </c>
      <c r="H699">
        <v>9007</v>
      </c>
      <c r="I699" t="str">
        <f>IFERROR(_xlfn.XLOOKUP($A699,'Base SKUs'!$E:$E,'Base SKUs'!A:A),"")</f>
        <v>Ipe</v>
      </c>
      <c r="J699" t="str">
        <f>IFERROR(_xlfn.XLOOKUP($A699,'Base SKUs'!$E:$E,'Base SKUs'!B:B),"")</f>
        <v>Ipe 5/4x6</v>
      </c>
      <c r="K699" t="str">
        <f>IFERROR(_xlfn.XLOOKUP($A699,'Base SKUs'!$E:$E,'Base SKUs'!C:C),"")</f>
        <v>Long</v>
      </c>
      <c r="L699" t="str">
        <f>IFERROR(_xlfn.XLOOKUP($A699,'Base SKUs'!$E:$E,'Base SKUs'!D:D),"")</f>
        <v>Hardwoods</v>
      </c>
      <c r="M699" t="str">
        <f>IFERROR(_xlfn.XLOOKUP($A699,'Base SKUs'!$E:$E,'Base SKUs'!G:G),"")</f>
        <v>Ipe</v>
      </c>
      <c r="N699" t="str">
        <f>IFERROR(_xlfn.XLOOKUP($A699,'Base SKUs'!$E:$E,'Base SKUs'!H:H),"")</f>
        <v>S4S E4E</v>
      </c>
      <c r="O699" t="str">
        <f>IFERROR(_xlfn.XLOOKUP($A699,'Base SKUs'!$E:$E,'Base SKUs'!I:I),"")</f>
        <v>-</v>
      </c>
      <c r="P699" t="str">
        <f>IFERROR(_xlfn.XLOOKUP($A699,'Base SKUs'!$E:$E,'Base SKUs'!J:J),"")</f>
        <v>5/4x6</v>
      </c>
      <c r="Q699">
        <f>IFERROR(_xlfn.XLOOKUP($A699,'Base SKUs'!$E:$E,'Base SKUs'!K:K),"")</f>
        <v>8</v>
      </c>
      <c r="R699" s="7">
        <f>IFERROR(_xlfn.XLOOKUP($A699,'Base SKUs'!$E:$E,'Base SKUs'!S:S),"")</f>
        <v>8.6523697920000003E-3</v>
      </c>
      <c r="S699" s="8">
        <f t="shared" si="52"/>
        <v>6.1345301825280005</v>
      </c>
      <c r="T699" s="7">
        <f>IFERROR(_xlfn.XLOOKUP($A699,'Base SKUs'!$E:$E,'Base SKUs'!R:R),"")</f>
        <v>924.60199999999998</v>
      </c>
      <c r="U699" s="15">
        <f t="shared" si="53"/>
        <v>5672</v>
      </c>
      <c r="V699" t="str">
        <f t="shared" si="54"/>
        <v>Miami</v>
      </c>
    </row>
    <row r="700" spans="1:22" x14ac:dyDescent="0.2">
      <c r="A700" t="s">
        <v>959</v>
      </c>
      <c r="B700" s="5">
        <v>147</v>
      </c>
      <c r="C700" s="5">
        <v>0</v>
      </c>
      <c r="D700" s="5">
        <f t="shared" si="50"/>
        <v>147</v>
      </c>
      <c r="E700" s="6">
        <v>28.547599999999999</v>
      </c>
      <c r="F700" s="6">
        <f t="shared" si="51"/>
        <v>4196.4971999999998</v>
      </c>
      <c r="G700" t="s">
        <v>24</v>
      </c>
      <c r="H700">
        <v>9008</v>
      </c>
      <c r="I700" t="str">
        <f>IFERROR(_xlfn.XLOOKUP($A700,'Base SKUs'!$E:$E,'Base SKUs'!A:A),"")</f>
        <v>Ipe</v>
      </c>
      <c r="J700" t="str">
        <f>IFERROR(_xlfn.XLOOKUP($A700,'Base SKUs'!$E:$E,'Base SKUs'!B:B),"")</f>
        <v>Ipe 5/4x6</v>
      </c>
      <c r="K700" t="str">
        <f>IFERROR(_xlfn.XLOOKUP($A700,'Base SKUs'!$E:$E,'Base SKUs'!C:C),"")</f>
        <v>Long</v>
      </c>
      <c r="L700" t="str">
        <f>IFERROR(_xlfn.XLOOKUP($A700,'Base SKUs'!$E:$E,'Base SKUs'!D:D),"")</f>
        <v>Hardwoods</v>
      </c>
      <c r="M700" t="str">
        <f>IFERROR(_xlfn.XLOOKUP($A700,'Base SKUs'!$E:$E,'Base SKUs'!G:G),"")</f>
        <v>Ipe</v>
      </c>
      <c r="N700" t="str">
        <f>IFERROR(_xlfn.XLOOKUP($A700,'Base SKUs'!$E:$E,'Base SKUs'!H:H),"")</f>
        <v>S4S E4E</v>
      </c>
      <c r="O700" t="str">
        <f>IFERROR(_xlfn.XLOOKUP($A700,'Base SKUs'!$E:$E,'Base SKUs'!I:I),"")</f>
        <v>-</v>
      </c>
      <c r="P700" t="str">
        <f>IFERROR(_xlfn.XLOOKUP($A700,'Base SKUs'!$E:$E,'Base SKUs'!J:J),"")</f>
        <v>5/4x6</v>
      </c>
      <c r="Q700">
        <f>IFERROR(_xlfn.XLOOKUP($A700,'Base SKUs'!$E:$E,'Base SKUs'!K:K),"")</f>
        <v>8</v>
      </c>
      <c r="R700" s="7">
        <f>IFERROR(_xlfn.XLOOKUP($A700,'Base SKUs'!$E:$E,'Base SKUs'!S:S),"")</f>
        <v>8.6523697920000003E-3</v>
      </c>
      <c r="S700" s="8">
        <f t="shared" si="52"/>
        <v>1.2718983594240001</v>
      </c>
      <c r="T700" s="7">
        <f>IFERROR(_xlfn.XLOOKUP($A700,'Base SKUs'!$E:$E,'Base SKUs'!R:R),"")</f>
        <v>924.60199999999998</v>
      </c>
      <c r="U700" s="15">
        <f t="shared" si="53"/>
        <v>1176</v>
      </c>
      <c r="V700" t="str">
        <f t="shared" si="54"/>
        <v>Texas</v>
      </c>
    </row>
    <row r="701" spans="1:22" x14ac:dyDescent="0.2">
      <c r="A701" t="s">
        <v>959</v>
      </c>
      <c r="B701" s="5">
        <v>2956</v>
      </c>
      <c r="C701" s="5">
        <v>763</v>
      </c>
      <c r="D701" s="5">
        <f t="shared" si="50"/>
        <v>2193</v>
      </c>
      <c r="E701" s="6">
        <v>30.443200000000001</v>
      </c>
      <c r="F701" s="6">
        <f t="shared" si="51"/>
        <v>89990.099199999997</v>
      </c>
      <c r="G701" t="s">
        <v>330</v>
      </c>
      <c r="H701">
        <v>9011</v>
      </c>
      <c r="I701" t="str">
        <f>IFERROR(_xlfn.XLOOKUP($A701,'Base SKUs'!$E:$E,'Base SKUs'!A:A),"")</f>
        <v>Ipe</v>
      </c>
      <c r="J701" t="str">
        <f>IFERROR(_xlfn.XLOOKUP($A701,'Base SKUs'!$E:$E,'Base SKUs'!B:B),"")</f>
        <v>Ipe 5/4x6</v>
      </c>
      <c r="K701" t="str">
        <f>IFERROR(_xlfn.XLOOKUP($A701,'Base SKUs'!$E:$E,'Base SKUs'!C:C),"")</f>
        <v>Long</v>
      </c>
      <c r="L701" t="str">
        <f>IFERROR(_xlfn.XLOOKUP($A701,'Base SKUs'!$E:$E,'Base SKUs'!D:D),"")</f>
        <v>Hardwoods</v>
      </c>
      <c r="M701" t="str">
        <f>IFERROR(_xlfn.XLOOKUP($A701,'Base SKUs'!$E:$E,'Base SKUs'!G:G),"")</f>
        <v>Ipe</v>
      </c>
      <c r="N701" t="str">
        <f>IFERROR(_xlfn.XLOOKUP($A701,'Base SKUs'!$E:$E,'Base SKUs'!H:H),"")</f>
        <v>S4S E4E</v>
      </c>
      <c r="O701" t="str">
        <f>IFERROR(_xlfn.XLOOKUP($A701,'Base SKUs'!$E:$E,'Base SKUs'!I:I),"")</f>
        <v>-</v>
      </c>
      <c r="P701" t="str">
        <f>IFERROR(_xlfn.XLOOKUP($A701,'Base SKUs'!$E:$E,'Base SKUs'!J:J),"")</f>
        <v>5/4x6</v>
      </c>
      <c r="Q701">
        <f>IFERROR(_xlfn.XLOOKUP($A701,'Base SKUs'!$E:$E,'Base SKUs'!K:K),"")</f>
        <v>8</v>
      </c>
      <c r="R701" s="7">
        <f>IFERROR(_xlfn.XLOOKUP($A701,'Base SKUs'!$E:$E,'Base SKUs'!S:S),"")</f>
        <v>8.6523697920000003E-3</v>
      </c>
      <c r="S701" s="8">
        <f t="shared" si="52"/>
        <v>18.974646953856002</v>
      </c>
      <c r="T701" s="7">
        <f>IFERROR(_xlfn.XLOOKUP($A701,'Base SKUs'!$E:$E,'Base SKUs'!R:R),"")</f>
        <v>924.60199999999998</v>
      </c>
      <c r="U701" s="15">
        <f t="shared" si="53"/>
        <v>17544</v>
      </c>
      <c r="V701" t="str">
        <f t="shared" si="54"/>
        <v>New York</v>
      </c>
    </row>
    <row r="702" spans="1:22" x14ac:dyDescent="0.2">
      <c r="A702" t="s">
        <v>961</v>
      </c>
      <c r="B702" s="5">
        <v>42</v>
      </c>
      <c r="C702" s="5">
        <v>0</v>
      </c>
      <c r="D702" s="5">
        <f t="shared" si="50"/>
        <v>42</v>
      </c>
      <c r="E702" s="6">
        <v>16.698799999999999</v>
      </c>
      <c r="F702" s="6">
        <f t="shared" si="51"/>
        <v>701.3495999999999</v>
      </c>
      <c r="G702" t="s">
        <v>17</v>
      </c>
      <c r="H702">
        <v>9007</v>
      </c>
      <c r="I702" t="str">
        <f>IFERROR(_xlfn.XLOOKUP($A702,'Base SKUs'!$E:$E,'Base SKUs'!A:A),"")</f>
        <v>Ipe</v>
      </c>
      <c r="J702" t="str">
        <f>IFERROR(_xlfn.XLOOKUP($A702,'Base SKUs'!$E:$E,'Base SKUs'!B:B),"")</f>
        <v>Ipe 7/8x6</v>
      </c>
      <c r="K702" t="str">
        <f>IFERROR(_xlfn.XLOOKUP($A702,'Base SKUs'!$E:$E,'Base SKUs'!C:C),"")</f>
        <v>Long</v>
      </c>
      <c r="L702" t="str">
        <f>IFERROR(_xlfn.XLOOKUP($A702,'Base SKUs'!$E:$E,'Base SKUs'!D:D),"")</f>
        <v>Hardwoods</v>
      </c>
      <c r="M702" t="str">
        <f>IFERROR(_xlfn.XLOOKUP($A702,'Base SKUs'!$E:$E,'Base SKUs'!G:G),"")</f>
        <v>Ipe</v>
      </c>
      <c r="N702" t="str">
        <f>IFERROR(_xlfn.XLOOKUP($A702,'Base SKUs'!$E:$E,'Base SKUs'!H:H),"")</f>
        <v>S4S E4E - TK 23</v>
      </c>
      <c r="O702" t="str">
        <f>IFERROR(_xlfn.XLOOKUP($A702,'Base SKUs'!$E:$E,'Base SKUs'!I:I),"")</f>
        <v>-</v>
      </c>
      <c r="P702" t="str">
        <f>IFERROR(_xlfn.XLOOKUP($A702,'Base SKUs'!$E:$E,'Base SKUs'!J:J),"")</f>
        <v>7/8x6</v>
      </c>
      <c r="Q702">
        <f>IFERROR(_xlfn.XLOOKUP($A702,'Base SKUs'!$E:$E,'Base SKUs'!K:K),"")</f>
        <v>8</v>
      </c>
      <c r="R702" s="7">
        <f>IFERROR(_xlfn.XLOOKUP($A702,'Base SKUs'!$E:$E,'Base SKUs'!S:S),"")</f>
        <v>7.8348230399999993E-3</v>
      </c>
      <c r="S702" s="8">
        <f t="shared" si="52"/>
        <v>0.32906256767999997</v>
      </c>
      <c r="T702" s="7">
        <f>IFERROR(_xlfn.XLOOKUP($A702,'Base SKUs'!$E:$E,'Base SKUs'!R:R),"")</f>
        <v>1021.082</v>
      </c>
      <c r="U702" s="15">
        <f t="shared" si="53"/>
        <v>336</v>
      </c>
      <c r="V702" t="str">
        <f t="shared" si="54"/>
        <v>Miami</v>
      </c>
    </row>
    <row r="703" spans="1:22" x14ac:dyDescent="0.2">
      <c r="A703" t="s">
        <v>961</v>
      </c>
      <c r="B703" s="5">
        <v>774</v>
      </c>
      <c r="C703" s="5">
        <v>0</v>
      </c>
      <c r="D703" s="5">
        <f t="shared" si="50"/>
        <v>774</v>
      </c>
      <c r="E703" s="6">
        <v>15.5703</v>
      </c>
      <c r="F703" s="6">
        <f t="shared" si="51"/>
        <v>12051.412199999999</v>
      </c>
      <c r="G703" t="s">
        <v>125</v>
      </c>
      <c r="H703">
        <v>9009</v>
      </c>
      <c r="I703" t="str">
        <f>IFERROR(_xlfn.XLOOKUP($A703,'Base SKUs'!$E:$E,'Base SKUs'!A:A),"")</f>
        <v>Ipe</v>
      </c>
      <c r="J703" t="str">
        <f>IFERROR(_xlfn.XLOOKUP($A703,'Base SKUs'!$E:$E,'Base SKUs'!B:B),"")</f>
        <v>Ipe 7/8x6</v>
      </c>
      <c r="K703" t="str">
        <f>IFERROR(_xlfn.XLOOKUP($A703,'Base SKUs'!$E:$E,'Base SKUs'!C:C),"")</f>
        <v>Long</v>
      </c>
      <c r="L703" t="str">
        <f>IFERROR(_xlfn.XLOOKUP($A703,'Base SKUs'!$E:$E,'Base SKUs'!D:D),"")</f>
        <v>Hardwoods</v>
      </c>
      <c r="M703" t="str">
        <f>IFERROR(_xlfn.XLOOKUP($A703,'Base SKUs'!$E:$E,'Base SKUs'!G:G),"")</f>
        <v>Ipe</v>
      </c>
      <c r="N703" t="str">
        <f>IFERROR(_xlfn.XLOOKUP($A703,'Base SKUs'!$E:$E,'Base SKUs'!H:H),"")</f>
        <v>S4S E4E - TK 23</v>
      </c>
      <c r="O703" t="str">
        <f>IFERROR(_xlfn.XLOOKUP($A703,'Base SKUs'!$E:$E,'Base SKUs'!I:I),"")</f>
        <v>-</v>
      </c>
      <c r="P703" t="str">
        <f>IFERROR(_xlfn.XLOOKUP($A703,'Base SKUs'!$E:$E,'Base SKUs'!J:J),"")</f>
        <v>7/8x6</v>
      </c>
      <c r="Q703">
        <f>IFERROR(_xlfn.XLOOKUP($A703,'Base SKUs'!$E:$E,'Base SKUs'!K:K),"")</f>
        <v>8</v>
      </c>
      <c r="R703" s="7">
        <f>IFERROR(_xlfn.XLOOKUP($A703,'Base SKUs'!$E:$E,'Base SKUs'!S:S),"")</f>
        <v>7.8348230399999993E-3</v>
      </c>
      <c r="S703" s="8">
        <f t="shared" si="52"/>
        <v>6.0641530329599993</v>
      </c>
      <c r="T703" s="7">
        <f>IFERROR(_xlfn.XLOOKUP($A703,'Base SKUs'!$E:$E,'Base SKUs'!R:R),"")</f>
        <v>1021.082</v>
      </c>
      <c r="U703" s="15">
        <f t="shared" si="53"/>
        <v>6192</v>
      </c>
      <c r="V703" t="str">
        <f t="shared" si="54"/>
        <v>Boston</v>
      </c>
    </row>
    <row r="704" spans="1:22" x14ac:dyDescent="0.2">
      <c r="A704" t="s">
        <v>961</v>
      </c>
      <c r="B704" s="5">
        <v>874</v>
      </c>
      <c r="C704" s="5">
        <v>0</v>
      </c>
      <c r="D704" s="5">
        <f t="shared" si="50"/>
        <v>874</v>
      </c>
      <c r="E704" s="6">
        <v>15.5703</v>
      </c>
      <c r="F704" s="6">
        <f t="shared" si="51"/>
        <v>13608.4422</v>
      </c>
      <c r="G704" t="s">
        <v>330</v>
      </c>
      <c r="H704">
        <v>9011</v>
      </c>
      <c r="I704" t="str">
        <f>IFERROR(_xlfn.XLOOKUP($A704,'Base SKUs'!$E:$E,'Base SKUs'!A:A),"")</f>
        <v>Ipe</v>
      </c>
      <c r="J704" t="str">
        <f>IFERROR(_xlfn.XLOOKUP($A704,'Base SKUs'!$E:$E,'Base SKUs'!B:B),"")</f>
        <v>Ipe 7/8x6</v>
      </c>
      <c r="K704" t="str">
        <f>IFERROR(_xlfn.XLOOKUP($A704,'Base SKUs'!$E:$E,'Base SKUs'!C:C),"")</f>
        <v>Long</v>
      </c>
      <c r="L704" t="str">
        <f>IFERROR(_xlfn.XLOOKUP($A704,'Base SKUs'!$E:$E,'Base SKUs'!D:D),"")</f>
        <v>Hardwoods</v>
      </c>
      <c r="M704" t="str">
        <f>IFERROR(_xlfn.XLOOKUP($A704,'Base SKUs'!$E:$E,'Base SKUs'!G:G),"")</f>
        <v>Ipe</v>
      </c>
      <c r="N704" t="str">
        <f>IFERROR(_xlfn.XLOOKUP($A704,'Base SKUs'!$E:$E,'Base SKUs'!H:H),"")</f>
        <v>S4S E4E - TK 23</v>
      </c>
      <c r="O704" t="str">
        <f>IFERROR(_xlfn.XLOOKUP($A704,'Base SKUs'!$E:$E,'Base SKUs'!I:I),"")</f>
        <v>-</v>
      </c>
      <c r="P704" t="str">
        <f>IFERROR(_xlfn.XLOOKUP($A704,'Base SKUs'!$E:$E,'Base SKUs'!J:J),"")</f>
        <v>7/8x6</v>
      </c>
      <c r="Q704">
        <f>IFERROR(_xlfn.XLOOKUP($A704,'Base SKUs'!$E:$E,'Base SKUs'!K:K),"")</f>
        <v>8</v>
      </c>
      <c r="R704" s="7">
        <f>IFERROR(_xlfn.XLOOKUP($A704,'Base SKUs'!$E:$E,'Base SKUs'!S:S),"")</f>
        <v>7.8348230399999993E-3</v>
      </c>
      <c r="S704" s="8">
        <f t="shared" si="52"/>
        <v>6.8476353369599989</v>
      </c>
      <c r="T704" s="7">
        <f>IFERROR(_xlfn.XLOOKUP($A704,'Base SKUs'!$E:$E,'Base SKUs'!R:R),"")</f>
        <v>1021.082</v>
      </c>
      <c r="U704" s="15">
        <f t="shared" si="53"/>
        <v>6992</v>
      </c>
      <c r="V704" t="str">
        <f t="shared" si="54"/>
        <v>New York</v>
      </c>
    </row>
    <row r="705" spans="1:22" x14ac:dyDescent="0.2">
      <c r="A705" t="s">
        <v>963</v>
      </c>
      <c r="B705" s="5">
        <v>30</v>
      </c>
      <c r="C705" s="5">
        <v>0</v>
      </c>
      <c r="D705" s="5">
        <f t="shared" si="50"/>
        <v>30</v>
      </c>
      <c r="E705" s="6">
        <v>12.9</v>
      </c>
      <c r="F705" s="6">
        <f t="shared" si="51"/>
        <v>387</v>
      </c>
      <c r="G705" t="s">
        <v>125</v>
      </c>
      <c r="H705">
        <v>9009</v>
      </c>
      <c r="I705" t="str">
        <f>IFERROR(_xlfn.XLOOKUP($A705,'Base SKUs'!$E:$E,'Base SKUs'!A:A),"")</f>
        <v>Ipe</v>
      </c>
      <c r="J705" t="str">
        <f>IFERROR(_xlfn.XLOOKUP($A705,'Base SKUs'!$E:$E,'Base SKUs'!B:B),"")</f>
        <v>Ipe 24x24</v>
      </c>
      <c r="K705" t="str">
        <f>IFERROR(_xlfn.XLOOKUP($A705,'Base SKUs'!$E:$E,'Base SKUs'!C:C),"")</f>
        <v>Tiles</v>
      </c>
      <c r="L705" t="str">
        <f>IFERROR(_xlfn.XLOOKUP($A705,'Base SKUs'!$E:$E,'Base SKUs'!D:D),"")</f>
        <v>Hardwoods</v>
      </c>
      <c r="M705" t="str">
        <f>IFERROR(_xlfn.XLOOKUP($A705,'Base SKUs'!$E:$E,'Base SKUs'!G:G),"")</f>
        <v>Ipe</v>
      </c>
      <c r="N705" t="str">
        <f>IFERROR(_xlfn.XLOOKUP($A705,'Base SKUs'!$E:$E,'Base SKUs'!H:H),"")</f>
        <v>Tiles</v>
      </c>
      <c r="O705" t="str">
        <f>IFERROR(_xlfn.XLOOKUP($A705,'Base SKUs'!$E:$E,'Base SKUs'!I:I),"")</f>
        <v>-</v>
      </c>
      <c r="P705" t="str">
        <f>IFERROR(_xlfn.XLOOKUP($A705,'Base SKUs'!$E:$E,'Base SKUs'!J:J),"")</f>
        <v>24x24</v>
      </c>
      <c r="Q705">
        <f>IFERROR(_xlfn.XLOOKUP($A705,'Base SKUs'!$E:$E,'Base SKUs'!K:K),"")</f>
        <v>24</v>
      </c>
      <c r="R705" s="7">
        <f>IFERROR(_xlfn.XLOOKUP($A705,'Base SKUs'!$E:$E,'Base SKUs'!S:S),"")</f>
        <v>8.1803360000000012E-4</v>
      </c>
      <c r="S705" s="8">
        <f t="shared" si="52"/>
        <v>30</v>
      </c>
      <c r="T705" s="7">
        <f>IFERROR(_xlfn.XLOOKUP($A705,'Base SKUs'!$E:$E,'Base SKUs'!R:R),"")</f>
        <v>2432.0529999999999</v>
      </c>
      <c r="U705" s="15">
        <f t="shared" si="53"/>
        <v>30</v>
      </c>
      <c r="V705" t="str">
        <f t="shared" si="54"/>
        <v>Boston</v>
      </c>
    </row>
    <row r="706" spans="1:22" x14ac:dyDescent="0.2">
      <c r="A706" t="s">
        <v>965</v>
      </c>
      <c r="B706" s="5">
        <v>24</v>
      </c>
      <c r="C706" s="5">
        <v>0</v>
      </c>
      <c r="D706" s="5">
        <f t="shared" ref="D706:D769" si="55">B706-C706</f>
        <v>24</v>
      </c>
      <c r="E706" s="6">
        <v>123.01819999999999</v>
      </c>
      <c r="F706" s="6">
        <f t="shared" ref="F706:F769" si="56">B706*E706</f>
        <v>2952.4367999999999</v>
      </c>
      <c r="G706" t="s">
        <v>17</v>
      </c>
      <c r="H706">
        <v>9007</v>
      </c>
      <c r="I706" t="str">
        <f>IFERROR(_xlfn.XLOOKUP($A706,'Base SKUs'!$E:$E,'Base SKUs'!A:A),"")</f>
        <v>Ipe</v>
      </c>
      <c r="J706" t="str">
        <f>IFERROR(_xlfn.XLOOKUP($A706,'Base SKUs'!$E:$E,'Base SKUs'!B:B),"")</f>
        <v>Ipe 24x96</v>
      </c>
      <c r="K706" t="str">
        <f>IFERROR(_xlfn.XLOOKUP($A706,'Base SKUs'!$E:$E,'Base SKUs'!C:C),"")</f>
        <v>Tiles</v>
      </c>
      <c r="L706" t="str">
        <f>IFERROR(_xlfn.XLOOKUP($A706,'Base SKUs'!$E:$E,'Base SKUs'!D:D),"")</f>
        <v>Hardwoods</v>
      </c>
      <c r="M706" t="str">
        <f>IFERROR(_xlfn.XLOOKUP($A706,'Base SKUs'!$E:$E,'Base SKUs'!G:G),"")</f>
        <v>Ipe</v>
      </c>
      <c r="N706" t="str">
        <f>IFERROR(_xlfn.XLOOKUP($A706,'Base SKUs'!$E:$E,'Base SKUs'!H:H),"")</f>
        <v>Tiles</v>
      </c>
      <c r="O706" t="str">
        <f>IFERROR(_xlfn.XLOOKUP($A706,'Base SKUs'!$E:$E,'Base SKUs'!I:I),"")</f>
        <v>-</v>
      </c>
      <c r="P706" t="str">
        <f>IFERROR(_xlfn.XLOOKUP($A706,'Base SKUs'!$E:$E,'Base SKUs'!J:J),"")</f>
        <v>24x96</v>
      </c>
      <c r="Q706">
        <f>IFERROR(_xlfn.XLOOKUP($A706,'Base SKUs'!$E:$E,'Base SKUs'!K:K),"")</f>
        <v>96</v>
      </c>
      <c r="R706" s="7">
        <f>IFERROR(_xlfn.XLOOKUP($A706,'Base SKUs'!$E:$E,'Base SKUs'!S:S),"")</f>
        <v>3.2894015999999997E-3</v>
      </c>
      <c r="S706" s="8">
        <f t="shared" ref="S706:S769" si="57">IF(OR(L706="Saicos",L706="Oil",L706="US4",L706="Wood Table",L706="Woca",L706="Norx",N706="Tiles"),D706,D706*R706)</f>
        <v>24</v>
      </c>
      <c r="T706" s="7">
        <f>IFERROR(_xlfn.XLOOKUP($A706,'Base SKUs'!$E:$E,'Base SKUs'!R:R),"")</f>
        <v>2432.0529999999999</v>
      </c>
      <c r="U706" s="15">
        <f t="shared" ref="U706:U769" si="58">ROUND(IF(OR(L706="Saicos",L706="Oil",L706="US4",L706="Wood Table",L706="Woca",L706="Norx",N706="Tiles"),D706,S706*T706),0)</f>
        <v>24</v>
      </c>
      <c r="V706" t="str">
        <f t="shared" ref="V706:V769" si="59">IF(H706=9007,"Miami",IF(H706=9008,"Texas",IF(H706=9009,"Boston",IF(H706=9010,"BS Detroit",IF(H706=9011,"New York",IF(H706=9012,"HW Perris",IF(H706=9013,"BS Riverside",IF(H706=9014,"On the Way",IF(H706=9015,"Russin",IF(H706=9016,"Palm Beach",""))))))))))</f>
        <v>Miami</v>
      </c>
    </row>
    <row r="707" spans="1:22" x14ac:dyDescent="0.2">
      <c r="A707" t="s">
        <v>967</v>
      </c>
      <c r="B707" s="5">
        <v>32</v>
      </c>
      <c r="C707" s="5">
        <v>0</v>
      </c>
      <c r="D707" s="5">
        <f t="shared" si="55"/>
        <v>32</v>
      </c>
      <c r="E707" s="6">
        <v>32.301000000000002</v>
      </c>
      <c r="F707" s="6">
        <f t="shared" si="56"/>
        <v>1033.6320000000001</v>
      </c>
      <c r="G707" t="s">
        <v>17</v>
      </c>
      <c r="H707">
        <v>9007</v>
      </c>
      <c r="I707" t="str">
        <f>IFERROR(_xlfn.XLOOKUP($A707,'Base SKUs'!$E:$E,'Base SKUs'!A:A),"")</f>
        <v>Ironthermo</v>
      </c>
      <c r="J707" t="str">
        <f>IFERROR(_xlfn.XLOOKUP($A707,'Base SKUs'!$E:$E,'Base SKUs'!B:B),"")</f>
        <v>Ironthermo 1x6</v>
      </c>
      <c r="K707" t="str">
        <f>IFERROR(_xlfn.XLOOKUP($A707,'Base SKUs'!$E:$E,'Base SKUs'!C:C),"")</f>
        <v>Long</v>
      </c>
      <c r="L707" t="str">
        <f>IFERROR(_xlfn.XLOOKUP($A707,'Base SKUs'!$E:$E,'Base SKUs'!D:D),"")</f>
        <v>Thermowood</v>
      </c>
      <c r="M707" t="str">
        <f>IFERROR(_xlfn.XLOOKUP($A707,'Base SKUs'!$E:$E,'Base SKUs'!G:G),"")</f>
        <v>Ironthermo</v>
      </c>
      <c r="N707" t="str">
        <f>IFERROR(_xlfn.XLOOKUP($A707,'Base SKUs'!$E:$E,'Base SKUs'!H:H),"")</f>
        <v>S4S E4E</v>
      </c>
      <c r="O707" t="str">
        <f>IFERROR(_xlfn.XLOOKUP($A707,'Base SKUs'!$E:$E,'Base SKUs'!I:I),"")</f>
        <v>-</v>
      </c>
      <c r="P707" t="str">
        <f>IFERROR(_xlfn.XLOOKUP($A707,'Base SKUs'!$E:$E,'Base SKUs'!J:J),"")</f>
        <v>1x6</v>
      </c>
      <c r="Q707">
        <f>IFERROR(_xlfn.XLOOKUP($A707,'Base SKUs'!$E:$E,'Base SKUs'!K:K),"")</f>
        <v>13</v>
      </c>
      <c r="R707" s="7">
        <f>IFERROR(_xlfn.XLOOKUP($A707,'Base SKUs'!$E:$E,'Base SKUs'!S:S),"")</f>
        <v>1.0545075683999998E-2</v>
      </c>
      <c r="S707" s="8">
        <f t="shared" si="57"/>
        <v>0.33744242188799994</v>
      </c>
      <c r="T707" s="7">
        <f>IFERROR(_xlfn.XLOOKUP($A707,'Base SKUs'!$E:$E,'Base SKUs'!R:R),"")</f>
        <v>1232.8030000000001</v>
      </c>
      <c r="U707" s="15">
        <f t="shared" si="58"/>
        <v>416</v>
      </c>
      <c r="V707" t="str">
        <f t="shared" si="59"/>
        <v>Miami</v>
      </c>
    </row>
    <row r="708" spans="1:22" x14ac:dyDescent="0.2">
      <c r="A708" t="s">
        <v>969</v>
      </c>
      <c r="B708" s="5">
        <v>230</v>
      </c>
      <c r="C708" s="5">
        <v>0</v>
      </c>
      <c r="D708" s="5">
        <f t="shared" si="55"/>
        <v>230</v>
      </c>
      <c r="E708" s="6">
        <v>39.501600000000003</v>
      </c>
      <c r="F708" s="6">
        <f t="shared" si="56"/>
        <v>9085.3680000000004</v>
      </c>
      <c r="G708" t="s">
        <v>330</v>
      </c>
      <c r="H708">
        <v>9011</v>
      </c>
      <c r="I708" t="str">
        <f>IFERROR(_xlfn.XLOOKUP($A708,'Base SKUs'!$E:$E,'Base SKUs'!A:A),"")</f>
        <v>Architecture</v>
      </c>
      <c r="J708" t="str">
        <f>IFERROR(_xlfn.XLOOKUP($A708,'Base SKUs'!$E:$E,'Base SKUs'!B:B),"")</f>
        <v>London</v>
      </c>
      <c r="K708" t="str">
        <f>IFERROR(_xlfn.XLOOKUP($A708,'Base SKUs'!$E:$E,'Base SKUs'!C:C),"")</f>
        <v>Long</v>
      </c>
      <c r="L708" t="str">
        <f>IFERROR(_xlfn.XLOOKUP($A708,'Base SKUs'!$E:$E,'Base SKUs'!D:D),"")</f>
        <v>Norx</v>
      </c>
      <c r="M708" t="str">
        <f>IFERROR(_xlfn.XLOOKUP($A708,'Base SKUs'!$E:$E,'Base SKUs'!G:G),"")</f>
        <v>Big Ben</v>
      </c>
      <c r="N708" t="str">
        <f>IFERROR(_xlfn.XLOOKUP($A708,'Base SKUs'!$E:$E,'Base SKUs'!H:H),"")</f>
        <v>Profile</v>
      </c>
      <c r="O708" t="str">
        <f>IFERROR(_xlfn.XLOOKUP($A708,'Base SKUs'!$E:$E,'Base SKUs'!I:I),"")</f>
        <v>-</v>
      </c>
      <c r="P708" t="str">
        <f>IFERROR(_xlfn.XLOOKUP($A708,'Base SKUs'!$E:$E,'Base SKUs'!J:J),"")</f>
        <v>1x8</v>
      </c>
      <c r="Q708">
        <f>IFERROR(_xlfn.XLOOKUP($A708,'Base SKUs'!$E:$E,'Base SKUs'!K:K),"")</f>
        <v>16</v>
      </c>
      <c r="R708" s="7">
        <f>IFERROR(_xlfn.XLOOKUP($A708,'Base SKUs'!$E:$E,'Base SKUs'!S:S),"")</f>
        <v>0</v>
      </c>
      <c r="S708" s="8">
        <f t="shared" si="57"/>
        <v>230</v>
      </c>
      <c r="T708" s="7">
        <f>IFERROR(_xlfn.XLOOKUP($A708,'Base SKUs'!$E:$E,'Base SKUs'!R:R),"")</f>
        <v>0</v>
      </c>
      <c r="U708" s="15">
        <f t="shared" si="58"/>
        <v>230</v>
      </c>
      <c r="V708" t="str">
        <f t="shared" si="59"/>
        <v>New York</v>
      </c>
    </row>
    <row r="709" spans="1:22" x14ac:dyDescent="0.2">
      <c r="A709" t="s">
        <v>969</v>
      </c>
      <c r="B709" s="5">
        <v>230</v>
      </c>
      <c r="C709" s="5">
        <v>0</v>
      </c>
      <c r="D709" s="5">
        <f t="shared" si="55"/>
        <v>230</v>
      </c>
      <c r="E709" s="6">
        <v>39.501600000000003</v>
      </c>
      <c r="F709" s="6">
        <f t="shared" si="56"/>
        <v>9085.3680000000004</v>
      </c>
      <c r="G709" t="s">
        <v>6129</v>
      </c>
      <c r="H709">
        <v>9015</v>
      </c>
      <c r="I709" t="str">
        <f>IFERROR(_xlfn.XLOOKUP($A709,'Base SKUs'!$E:$E,'Base SKUs'!A:A),"")</f>
        <v>Architecture</v>
      </c>
      <c r="J709" t="str">
        <f>IFERROR(_xlfn.XLOOKUP($A709,'Base SKUs'!$E:$E,'Base SKUs'!B:B),"")</f>
        <v>London</v>
      </c>
      <c r="K709" t="str">
        <f>IFERROR(_xlfn.XLOOKUP($A709,'Base SKUs'!$E:$E,'Base SKUs'!C:C),"")</f>
        <v>Long</v>
      </c>
      <c r="L709" t="str">
        <f>IFERROR(_xlfn.XLOOKUP($A709,'Base SKUs'!$E:$E,'Base SKUs'!D:D),"")</f>
        <v>Norx</v>
      </c>
      <c r="M709" t="str">
        <f>IFERROR(_xlfn.XLOOKUP($A709,'Base SKUs'!$E:$E,'Base SKUs'!G:G),"")</f>
        <v>Big Ben</v>
      </c>
      <c r="N709" t="str">
        <f>IFERROR(_xlfn.XLOOKUP($A709,'Base SKUs'!$E:$E,'Base SKUs'!H:H),"")</f>
        <v>Profile</v>
      </c>
      <c r="O709" t="str">
        <f>IFERROR(_xlfn.XLOOKUP($A709,'Base SKUs'!$E:$E,'Base SKUs'!I:I),"")</f>
        <v>-</v>
      </c>
      <c r="P709" t="str">
        <f>IFERROR(_xlfn.XLOOKUP($A709,'Base SKUs'!$E:$E,'Base SKUs'!J:J),"")</f>
        <v>1x8</v>
      </c>
      <c r="Q709">
        <f>IFERROR(_xlfn.XLOOKUP($A709,'Base SKUs'!$E:$E,'Base SKUs'!K:K),"")</f>
        <v>16</v>
      </c>
      <c r="R709" s="7">
        <f>IFERROR(_xlfn.XLOOKUP($A709,'Base SKUs'!$E:$E,'Base SKUs'!S:S),"")</f>
        <v>0</v>
      </c>
      <c r="S709" s="8">
        <f t="shared" si="57"/>
        <v>230</v>
      </c>
      <c r="T709" s="7">
        <f>IFERROR(_xlfn.XLOOKUP($A709,'Base SKUs'!$E:$E,'Base SKUs'!R:R),"")</f>
        <v>0</v>
      </c>
      <c r="U709" s="15">
        <f t="shared" si="58"/>
        <v>230</v>
      </c>
      <c r="V709" t="str">
        <f t="shared" si="59"/>
        <v>Russin</v>
      </c>
    </row>
    <row r="710" spans="1:22" x14ac:dyDescent="0.2">
      <c r="A710" t="s">
        <v>971</v>
      </c>
      <c r="B710" s="5">
        <v>45</v>
      </c>
      <c r="C710" s="5">
        <v>0</v>
      </c>
      <c r="D710" s="5">
        <f t="shared" si="55"/>
        <v>45</v>
      </c>
      <c r="E710" s="6">
        <v>23.135100000000001</v>
      </c>
      <c r="F710" s="6">
        <f t="shared" si="56"/>
        <v>1041.0795000000001</v>
      </c>
      <c r="G710" t="s">
        <v>17</v>
      </c>
      <c r="H710">
        <v>9007</v>
      </c>
      <c r="I710" t="str">
        <f>IFERROR(_xlfn.XLOOKUP($A710,'Base SKUs'!$E:$E,'Base SKUs'!A:A),"")</f>
        <v>Architecture</v>
      </c>
      <c r="J710" t="str">
        <f>IFERROR(_xlfn.XLOOKUP($A710,'Base SKUs'!$E:$E,'Base SKUs'!B:B),"")</f>
        <v>Los Angeles</v>
      </c>
      <c r="K710" t="str">
        <f>IFERROR(_xlfn.XLOOKUP($A710,'Base SKUs'!$E:$E,'Base SKUs'!C:C),"")</f>
        <v>Long</v>
      </c>
      <c r="L710" t="str">
        <f>IFERROR(_xlfn.XLOOKUP($A710,'Base SKUs'!$E:$E,'Base SKUs'!D:D),"")</f>
        <v>Norx</v>
      </c>
      <c r="M710" t="str">
        <f>IFERROR(_xlfn.XLOOKUP($A710,'Base SKUs'!$E:$E,'Base SKUs'!G:G),"")</f>
        <v>Brooklyn</v>
      </c>
      <c r="N710" t="str">
        <f>IFERROR(_xlfn.XLOOKUP($A710,'Base SKUs'!$E:$E,'Base SKUs'!H:H),"")</f>
        <v>Profile</v>
      </c>
      <c r="O710" t="str">
        <f>IFERROR(_xlfn.XLOOKUP($A710,'Base SKUs'!$E:$E,'Base SKUs'!I:I),"")</f>
        <v>-</v>
      </c>
      <c r="P710" t="str">
        <f>IFERROR(_xlfn.XLOOKUP($A710,'Base SKUs'!$E:$E,'Base SKUs'!J:J),"")</f>
        <v>1x6</v>
      </c>
      <c r="Q710">
        <f>IFERROR(_xlfn.XLOOKUP($A710,'Base SKUs'!$E:$E,'Base SKUs'!K:K),"")</f>
        <v>16</v>
      </c>
      <c r="R710" s="7">
        <f>IFERROR(_xlfn.XLOOKUP($A710,'Base SKUs'!$E:$E,'Base SKUs'!S:S),"")</f>
        <v>0</v>
      </c>
      <c r="S710" s="8">
        <f t="shared" si="57"/>
        <v>45</v>
      </c>
      <c r="T710" s="7">
        <f>IFERROR(_xlfn.XLOOKUP($A710,'Base SKUs'!$E:$E,'Base SKUs'!R:R),"")</f>
        <v>0</v>
      </c>
      <c r="U710" s="15">
        <f t="shared" si="58"/>
        <v>45</v>
      </c>
      <c r="V710" t="str">
        <f t="shared" si="59"/>
        <v>Miami</v>
      </c>
    </row>
    <row r="711" spans="1:22" x14ac:dyDescent="0.2">
      <c r="A711" t="s">
        <v>973</v>
      </c>
      <c r="B711" s="5">
        <v>958</v>
      </c>
      <c r="C711" s="5">
        <v>0</v>
      </c>
      <c r="D711" s="5">
        <f t="shared" si="55"/>
        <v>958</v>
      </c>
      <c r="E711" s="6">
        <v>28.864599999999999</v>
      </c>
      <c r="F711" s="6">
        <f t="shared" si="56"/>
        <v>27652.286799999998</v>
      </c>
      <c r="G711" t="s">
        <v>330</v>
      </c>
      <c r="H711">
        <v>9011</v>
      </c>
      <c r="I711" t="str">
        <f>IFERROR(_xlfn.XLOOKUP($A711,'Base SKUs'!$E:$E,'Base SKUs'!A:A),"")</f>
        <v>Architecture</v>
      </c>
      <c r="J711" t="str">
        <f>IFERROR(_xlfn.XLOOKUP($A711,'Base SKUs'!$E:$E,'Base SKUs'!B:B),"")</f>
        <v>Rome</v>
      </c>
      <c r="K711" t="str">
        <f>IFERROR(_xlfn.XLOOKUP($A711,'Base SKUs'!$E:$E,'Base SKUs'!C:C),"")</f>
        <v>Long</v>
      </c>
      <c r="L711" t="str">
        <f>IFERROR(_xlfn.XLOOKUP($A711,'Base SKUs'!$E:$E,'Base SKUs'!D:D),"")</f>
        <v>Norx</v>
      </c>
      <c r="M711" t="str">
        <f>IFERROR(_xlfn.XLOOKUP($A711,'Base SKUs'!$E:$E,'Base SKUs'!G:G),"")</f>
        <v>Colosseum</v>
      </c>
      <c r="N711" t="str">
        <f>IFERROR(_xlfn.XLOOKUP($A711,'Base SKUs'!$E:$E,'Base SKUs'!H:H),"")</f>
        <v>Profile</v>
      </c>
      <c r="O711" t="str">
        <f>IFERROR(_xlfn.XLOOKUP($A711,'Base SKUs'!$E:$E,'Base SKUs'!I:I),"")</f>
        <v>-</v>
      </c>
      <c r="P711" t="str">
        <f>IFERROR(_xlfn.XLOOKUP($A711,'Base SKUs'!$E:$E,'Base SKUs'!J:J),"")</f>
        <v>1x7</v>
      </c>
      <c r="Q711">
        <f>IFERROR(_xlfn.XLOOKUP($A711,'Base SKUs'!$E:$E,'Base SKUs'!K:K),"")</f>
        <v>16</v>
      </c>
      <c r="R711" s="7">
        <f>IFERROR(_xlfn.XLOOKUP($A711,'Base SKUs'!$E:$E,'Base SKUs'!S:S),"")</f>
        <v>0</v>
      </c>
      <c r="S711" s="8">
        <f t="shared" si="57"/>
        <v>958</v>
      </c>
      <c r="T711" s="7">
        <f>IFERROR(_xlfn.XLOOKUP($A711,'Base SKUs'!$E:$E,'Base SKUs'!R:R),"")</f>
        <v>0</v>
      </c>
      <c r="U711" s="15">
        <f t="shared" si="58"/>
        <v>958</v>
      </c>
      <c r="V711" t="str">
        <f t="shared" si="59"/>
        <v>New York</v>
      </c>
    </row>
    <row r="712" spans="1:22" x14ac:dyDescent="0.2">
      <c r="A712" t="s">
        <v>973</v>
      </c>
      <c r="B712" s="5">
        <v>276</v>
      </c>
      <c r="C712" s="5">
        <v>0</v>
      </c>
      <c r="D712" s="5">
        <f t="shared" si="55"/>
        <v>276</v>
      </c>
      <c r="E712" s="6">
        <v>28.864599999999999</v>
      </c>
      <c r="F712" s="6">
        <f t="shared" si="56"/>
        <v>7966.6296000000002</v>
      </c>
      <c r="G712" t="s">
        <v>6129</v>
      </c>
      <c r="H712">
        <v>9015</v>
      </c>
      <c r="I712" t="str">
        <f>IFERROR(_xlfn.XLOOKUP($A712,'Base SKUs'!$E:$E,'Base SKUs'!A:A),"")</f>
        <v>Architecture</v>
      </c>
      <c r="J712" t="str">
        <f>IFERROR(_xlfn.XLOOKUP($A712,'Base SKUs'!$E:$E,'Base SKUs'!B:B),"")</f>
        <v>Rome</v>
      </c>
      <c r="K712" t="str">
        <f>IFERROR(_xlfn.XLOOKUP($A712,'Base SKUs'!$E:$E,'Base SKUs'!C:C),"")</f>
        <v>Long</v>
      </c>
      <c r="L712" t="str">
        <f>IFERROR(_xlfn.XLOOKUP($A712,'Base SKUs'!$E:$E,'Base SKUs'!D:D),"")</f>
        <v>Norx</v>
      </c>
      <c r="M712" t="str">
        <f>IFERROR(_xlfn.XLOOKUP($A712,'Base SKUs'!$E:$E,'Base SKUs'!G:G),"")</f>
        <v>Colosseum</v>
      </c>
      <c r="N712" t="str">
        <f>IFERROR(_xlfn.XLOOKUP($A712,'Base SKUs'!$E:$E,'Base SKUs'!H:H),"")</f>
        <v>Profile</v>
      </c>
      <c r="O712" t="str">
        <f>IFERROR(_xlfn.XLOOKUP($A712,'Base SKUs'!$E:$E,'Base SKUs'!I:I),"")</f>
        <v>-</v>
      </c>
      <c r="P712" t="str">
        <f>IFERROR(_xlfn.XLOOKUP($A712,'Base SKUs'!$E:$E,'Base SKUs'!J:J),"")</f>
        <v>1x7</v>
      </c>
      <c r="Q712">
        <f>IFERROR(_xlfn.XLOOKUP($A712,'Base SKUs'!$E:$E,'Base SKUs'!K:K),"")</f>
        <v>16</v>
      </c>
      <c r="R712" s="7">
        <f>IFERROR(_xlfn.XLOOKUP($A712,'Base SKUs'!$E:$E,'Base SKUs'!S:S),"")</f>
        <v>0</v>
      </c>
      <c r="S712" s="8">
        <f t="shared" si="57"/>
        <v>276</v>
      </c>
      <c r="T712" s="7">
        <f>IFERROR(_xlfn.XLOOKUP($A712,'Base SKUs'!$E:$E,'Base SKUs'!R:R),"")</f>
        <v>0</v>
      </c>
      <c r="U712" s="15">
        <f t="shared" si="58"/>
        <v>276</v>
      </c>
      <c r="V712" t="str">
        <f t="shared" si="59"/>
        <v>Russin</v>
      </c>
    </row>
    <row r="713" spans="1:22" x14ac:dyDescent="0.2">
      <c r="A713" t="s">
        <v>975</v>
      </c>
      <c r="B713" s="5">
        <v>115</v>
      </c>
      <c r="C713" s="5">
        <v>0</v>
      </c>
      <c r="D713" s="5">
        <f t="shared" si="55"/>
        <v>115</v>
      </c>
      <c r="E713" s="6">
        <v>5.8586</v>
      </c>
      <c r="F713" s="6">
        <f t="shared" si="56"/>
        <v>673.73900000000003</v>
      </c>
      <c r="G713" t="s">
        <v>17</v>
      </c>
      <c r="H713">
        <v>9007</v>
      </c>
      <c r="I713" t="str">
        <f>IFERROR(_xlfn.XLOOKUP($A713,'Base SKUs'!$E:$E,'Base SKUs'!A:A),"")</f>
        <v>Architecture</v>
      </c>
      <c r="J713" t="str">
        <f>IFERROR(_xlfn.XLOOKUP($A713,'Base SKUs'!$E:$E,'Base SKUs'!B:B),"")</f>
        <v>New York</v>
      </c>
      <c r="K713" t="str">
        <f>IFERROR(_xlfn.XLOOKUP($A713,'Base SKUs'!$E:$E,'Base SKUs'!C:C),"")</f>
        <v>Clip</v>
      </c>
      <c r="L713" t="str">
        <f>IFERROR(_xlfn.XLOOKUP($A713,'Base SKUs'!$E:$E,'Base SKUs'!D:D),"")</f>
        <v>Norx</v>
      </c>
      <c r="M713" t="str">
        <f>IFERROR(_xlfn.XLOOKUP($A713,'Base SKUs'!$E:$E,'Base SKUs'!G:G),"")</f>
        <v>Steel Clip and 40mm Screw</v>
      </c>
      <c r="N713" t="str">
        <f>IFERROR(_xlfn.XLOOKUP($A713,'Base SKUs'!$E:$E,'Base SKUs'!H:H),"")</f>
        <v>Box</v>
      </c>
      <c r="O713" t="str">
        <f>IFERROR(_xlfn.XLOOKUP($A713,'Base SKUs'!$E:$E,'Base SKUs'!I:I),"")</f>
        <v>-</v>
      </c>
      <c r="P713" t="str">
        <f>IFERROR(_xlfn.XLOOKUP($A713,'Base SKUs'!$E:$E,'Base SKUs'!J:J),"")</f>
        <v>Box</v>
      </c>
      <c r="Q713">
        <f>IFERROR(_xlfn.XLOOKUP($A713,'Base SKUs'!$E:$E,'Base SKUs'!K:K),"")</f>
        <v>0</v>
      </c>
      <c r="R713" s="7">
        <f>IFERROR(_xlfn.XLOOKUP($A713,'Base SKUs'!$E:$E,'Base SKUs'!S:S),"")</f>
        <v>0</v>
      </c>
      <c r="S713" s="8">
        <f t="shared" si="57"/>
        <v>115</v>
      </c>
      <c r="T713" s="7">
        <f>IFERROR(_xlfn.XLOOKUP($A713,'Base SKUs'!$E:$E,'Base SKUs'!R:R),"")</f>
        <v>0</v>
      </c>
      <c r="U713" s="15">
        <f t="shared" si="58"/>
        <v>115</v>
      </c>
      <c r="V713" t="str">
        <f t="shared" si="59"/>
        <v>Miami</v>
      </c>
    </row>
    <row r="714" spans="1:22" x14ac:dyDescent="0.2">
      <c r="A714" t="s">
        <v>977</v>
      </c>
      <c r="B714" s="5">
        <v>180</v>
      </c>
      <c r="C714" s="5">
        <v>0</v>
      </c>
      <c r="D714" s="5">
        <f t="shared" si="55"/>
        <v>180</v>
      </c>
      <c r="E714" s="6">
        <v>13.65</v>
      </c>
      <c r="F714" s="6">
        <f t="shared" si="56"/>
        <v>2457</v>
      </c>
      <c r="G714" t="s">
        <v>17</v>
      </c>
      <c r="H714">
        <v>9007</v>
      </c>
      <c r="I714" t="str">
        <f>IFERROR(_xlfn.XLOOKUP($A714,'Base SKUs'!$E:$E,'Base SKUs'!A:A),"")</f>
        <v>Architecture</v>
      </c>
      <c r="J714" t="str">
        <f>IFERROR(_xlfn.XLOOKUP($A714,'Base SKUs'!$E:$E,'Base SKUs'!B:B),"")</f>
        <v>New York</v>
      </c>
      <c r="K714" t="str">
        <f>IFERROR(_xlfn.XLOOKUP($A714,'Base SKUs'!$E:$E,'Base SKUs'!C:C),"")</f>
        <v>Clip</v>
      </c>
      <c r="L714" t="str">
        <f>IFERROR(_xlfn.XLOOKUP($A714,'Base SKUs'!$E:$E,'Base SKUs'!D:D),"")</f>
        <v>Norx</v>
      </c>
      <c r="M714" t="str">
        <f>IFERROR(_xlfn.XLOOKUP($A714,'Base SKUs'!$E:$E,'Base SKUs'!G:G),"")</f>
        <v>Steel Clip and 40mm Screw</v>
      </c>
      <c r="N714" t="str">
        <f>IFERROR(_xlfn.XLOOKUP($A714,'Base SKUs'!$E:$E,'Base SKUs'!H:H),"")</f>
        <v>Box</v>
      </c>
      <c r="O714" t="str">
        <f>IFERROR(_xlfn.XLOOKUP($A714,'Base SKUs'!$E:$E,'Base SKUs'!I:I),"")</f>
        <v>-</v>
      </c>
      <c r="P714" t="str">
        <f>IFERROR(_xlfn.XLOOKUP($A714,'Base SKUs'!$E:$E,'Base SKUs'!J:J),"")</f>
        <v>Box</v>
      </c>
      <c r="Q714">
        <f>IFERROR(_xlfn.XLOOKUP($A714,'Base SKUs'!$E:$E,'Base SKUs'!K:K),"")</f>
        <v>0</v>
      </c>
      <c r="R714" s="7">
        <f>IFERROR(_xlfn.XLOOKUP($A714,'Base SKUs'!$E:$E,'Base SKUs'!S:S),"")</f>
        <v>0</v>
      </c>
      <c r="S714" s="8">
        <f t="shared" si="57"/>
        <v>180</v>
      </c>
      <c r="T714" s="7">
        <f>IFERROR(_xlfn.XLOOKUP($A714,'Base SKUs'!$E:$E,'Base SKUs'!R:R),"")</f>
        <v>0</v>
      </c>
      <c r="U714" s="15">
        <f t="shared" si="58"/>
        <v>180</v>
      </c>
      <c r="V714" t="str">
        <f t="shared" si="59"/>
        <v>Miami</v>
      </c>
    </row>
    <row r="715" spans="1:22" x14ac:dyDescent="0.2">
      <c r="A715" t="s">
        <v>979</v>
      </c>
      <c r="B715" s="5">
        <v>37</v>
      </c>
      <c r="C715" s="5">
        <v>0</v>
      </c>
      <c r="D715" s="5">
        <f t="shared" si="55"/>
        <v>37</v>
      </c>
      <c r="E715" s="6">
        <v>7.8281000000000001</v>
      </c>
      <c r="F715" s="6">
        <f t="shared" si="56"/>
        <v>289.6397</v>
      </c>
      <c r="G715" t="s">
        <v>17</v>
      </c>
      <c r="H715">
        <v>9007</v>
      </c>
      <c r="I715" t="str">
        <f>IFERROR(_xlfn.XLOOKUP($A715,'Base SKUs'!$E:$E,'Base SKUs'!A:A),"")</f>
        <v>Architecture</v>
      </c>
      <c r="J715" t="str">
        <f>IFERROR(_xlfn.XLOOKUP($A715,'Base SKUs'!$E:$E,'Base SKUs'!B:B),"")</f>
        <v>New York</v>
      </c>
      <c r="K715" t="str">
        <f>IFERROR(_xlfn.XLOOKUP($A715,'Base SKUs'!$E:$E,'Base SKUs'!C:C),"")</f>
        <v>Clip</v>
      </c>
      <c r="L715" t="str">
        <f>IFERROR(_xlfn.XLOOKUP($A715,'Base SKUs'!$E:$E,'Base SKUs'!D:D),"")</f>
        <v>Norx</v>
      </c>
      <c r="M715" t="str">
        <f>IFERROR(_xlfn.XLOOKUP($A715,'Base SKUs'!$E:$E,'Base SKUs'!G:G),"")</f>
        <v>Steel Clip and 40mm Screw</v>
      </c>
      <c r="N715" t="str">
        <f>IFERROR(_xlfn.XLOOKUP($A715,'Base SKUs'!$E:$E,'Base SKUs'!H:H),"")</f>
        <v>Box</v>
      </c>
      <c r="O715" t="str">
        <f>IFERROR(_xlfn.XLOOKUP($A715,'Base SKUs'!$E:$E,'Base SKUs'!I:I),"")</f>
        <v>-</v>
      </c>
      <c r="P715" t="str">
        <f>IFERROR(_xlfn.XLOOKUP($A715,'Base SKUs'!$E:$E,'Base SKUs'!J:J),"")</f>
        <v>Box</v>
      </c>
      <c r="Q715">
        <f>IFERROR(_xlfn.XLOOKUP($A715,'Base SKUs'!$E:$E,'Base SKUs'!K:K),"")</f>
        <v>0</v>
      </c>
      <c r="R715" s="7">
        <f>IFERROR(_xlfn.XLOOKUP($A715,'Base SKUs'!$E:$E,'Base SKUs'!S:S),"")</f>
        <v>0</v>
      </c>
      <c r="S715" s="8">
        <f t="shared" si="57"/>
        <v>37</v>
      </c>
      <c r="T715" s="7">
        <f>IFERROR(_xlfn.XLOOKUP($A715,'Base SKUs'!$E:$E,'Base SKUs'!R:R),"")</f>
        <v>0</v>
      </c>
      <c r="U715" s="15">
        <f t="shared" si="58"/>
        <v>37</v>
      </c>
      <c r="V715" t="str">
        <f t="shared" si="59"/>
        <v>Miami</v>
      </c>
    </row>
    <row r="716" spans="1:22" x14ac:dyDescent="0.2">
      <c r="A716" t="s">
        <v>981</v>
      </c>
      <c r="B716" s="5">
        <v>5</v>
      </c>
      <c r="C716" s="5">
        <v>0</v>
      </c>
      <c r="D716" s="5">
        <f t="shared" si="55"/>
        <v>5</v>
      </c>
      <c r="E716" s="6">
        <v>31.912400000000002</v>
      </c>
      <c r="F716" s="6">
        <f t="shared" si="56"/>
        <v>159.56200000000001</v>
      </c>
      <c r="G716" t="s">
        <v>330</v>
      </c>
      <c r="H716">
        <v>9011</v>
      </c>
      <c r="I716" t="str">
        <f>IFERROR(_xlfn.XLOOKUP($A716,'Base SKUs'!$E:$E,'Base SKUs'!A:A),"")</f>
        <v>Architecture</v>
      </c>
      <c r="J716" t="str">
        <f>IFERROR(_xlfn.XLOOKUP($A716,'Base SKUs'!$E:$E,'Base SKUs'!B:B),"")</f>
        <v>London</v>
      </c>
      <c r="K716" t="str">
        <f>IFERROR(_xlfn.XLOOKUP($A716,'Base SKUs'!$E:$E,'Base SKUs'!C:C),"")</f>
        <v>Long</v>
      </c>
      <c r="L716" t="str">
        <f>IFERROR(_xlfn.XLOOKUP($A716,'Base SKUs'!$E:$E,'Base SKUs'!D:D),"")</f>
        <v>Norx</v>
      </c>
      <c r="M716" t="str">
        <f>IFERROR(_xlfn.XLOOKUP($A716,'Base SKUs'!$E:$E,'Base SKUs'!G:G),"")</f>
        <v>Charcoal</v>
      </c>
      <c r="N716" t="str">
        <f>IFERROR(_xlfn.XLOOKUP($A716,'Base SKUs'!$E:$E,'Base SKUs'!H:H),"")</f>
        <v>Corner Trim</v>
      </c>
      <c r="O716" t="str">
        <f>IFERROR(_xlfn.XLOOKUP($A716,'Base SKUs'!$E:$E,'Base SKUs'!I:I),"")</f>
        <v>-</v>
      </c>
      <c r="P716" t="str">
        <f>IFERROR(_xlfn.XLOOKUP($A716,'Base SKUs'!$E:$E,'Base SKUs'!J:J),"")</f>
        <v>1.5x3.9</v>
      </c>
      <c r="Q716">
        <f>IFERROR(_xlfn.XLOOKUP($A716,'Base SKUs'!$E:$E,'Base SKUs'!K:K),"")</f>
        <v>16</v>
      </c>
      <c r="R716" s="7">
        <f>IFERROR(_xlfn.XLOOKUP($A716,'Base SKUs'!$E:$E,'Base SKUs'!S:S),"")</f>
        <v>0</v>
      </c>
      <c r="S716" s="8">
        <f t="shared" si="57"/>
        <v>5</v>
      </c>
      <c r="T716" s="7">
        <f>IFERROR(_xlfn.XLOOKUP($A716,'Base SKUs'!$E:$E,'Base SKUs'!R:R),"")</f>
        <v>0</v>
      </c>
      <c r="U716" s="15">
        <f t="shared" si="58"/>
        <v>5</v>
      </c>
      <c r="V716" t="str">
        <f t="shared" si="59"/>
        <v>New York</v>
      </c>
    </row>
    <row r="717" spans="1:22" x14ac:dyDescent="0.2">
      <c r="A717" t="s">
        <v>981</v>
      </c>
      <c r="B717" s="5">
        <v>20</v>
      </c>
      <c r="C717" s="5">
        <v>0</v>
      </c>
      <c r="D717" s="5">
        <f t="shared" si="55"/>
        <v>20</v>
      </c>
      <c r="E717" s="6">
        <v>31.912400000000002</v>
      </c>
      <c r="F717" s="6">
        <f t="shared" si="56"/>
        <v>638.24800000000005</v>
      </c>
      <c r="G717" t="s">
        <v>6129</v>
      </c>
      <c r="H717">
        <v>9015</v>
      </c>
      <c r="I717" t="str">
        <f>IFERROR(_xlfn.XLOOKUP($A717,'Base SKUs'!$E:$E,'Base SKUs'!A:A),"")</f>
        <v>Architecture</v>
      </c>
      <c r="J717" t="str">
        <f>IFERROR(_xlfn.XLOOKUP($A717,'Base SKUs'!$E:$E,'Base SKUs'!B:B),"")</f>
        <v>London</v>
      </c>
      <c r="K717" t="str">
        <f>IFERROR(_xlfn.XLOOKUP($A717,'Base SKUs'!$E:$E,'Base SKUs'!C:C),"")</f>
        <v>Long</v>
      </c>
      <c r="L717" t="str">
        <f>IFERROR(_xlfn.XLOOKUP($A717,'Base SKUs'!$E:$E,'Base SKUs'!D:D),"")</f>
        <v>Norx</v>
      </c>
      <c r="M717" t="str">
        <f>IFERROR(_xlfn.XLOOKUP($A717,'Base SKUs'!$E:$E,'Base SKUs'!G:G),"")</f>
        <v>Charcoal</v>
      </c>
      <c r="N717" t="str">
        <f>IFERROR(_xlfn.XLOOKUP($A717,'Base SKUs'!$E:$E,'Base SKUs'!H:H),"")</f>
        <v>Corner Trim</v>
      </c>
      <c r="O717" t="str">
        <f>IFERROR(_xlfn.XLOOKUP($A717,'Base SKUs'!$E:$E,'Base SKUs'!I:I),"")</f>
        <v>-</v>
      </c>
      <c r="P717" t="str">
        <f>IFERROR(_xlfn.XLOOKUP($A717,'Base SKUs'!$E:$E,'Base SKUs'!J:J),"")</f>
        <v>1.5x3.9</v>
      </c>
      <c r="Q717">
        <f>IFERROR(_xlfn.XLOOKUP($A717,'Base SKUs'!$E:$E,'Base SKUs'!K:K),"")</f>
        <v>16</v>
      </c>
      <c r="R717" s="7">
        <f>IFERROR(_xlfn.XLOOKUP($A717,'Base SKUs'!$E:$E,'Base SKUs'!S:S),"")</f>
        <v>0</v>
      </c>
      <c r="S717" s="8">
        <f t="shared" si="57"/>
        <v>20</v>
      </c>
      <c r="T717" s="7">
        <f>IFERROR(_xlfn.XLOOKUP($A717,'Base SKUs'!$E:$E,'Base SKUs'!R:R),"")</f>
        <v>0</v>
      </c>
      <c r="U717" s="15">
        <f t="shared" si="58"/>
        <v>20</v>
      </c>
      <c r="V717" t="str">
        <f t="shared" si="59"/>
        <v>Russin</v>
      </c>
    </row>
    <row r="718" spans="1:22" x14ac:dyDescent="0.2">
      <c r="A718" t="s">
        <v>983</v>
      </c>
      <c r="B718" s="5">
        <v>65</v>
      </c>
      <c r="C718" s="5">
        <v>0</v>
      </c>
      <c r="D718" s="5">
        <f t="shared" si="55"/>
        <v>65</v>
      </c>
      <c r="E718" s="6">
        <v>6.7251000000000003</v>
      </c>
      <c r="F718" s="6">
        <f t="shared" si="56"/>
        <v>437.13150000000002</v>
      </c>
      <c r="G718" t="s">
        <v>330</v>
      </c>
      <c r="H718">
        <v>9011</v>
      </c>
      <c r="I718" t="str">
        <f>IFERROR(_xlfn.XLOOKUP($A718,'Base SKUs'!$E:$E,'Base SKUs'!A:A),"")</f>
        <v>Architecture</v>
      </c>
      <c r="J718" t="str">
        <f>IFERROR(_xlfn.XLOOKUP($A718,'Base SKUs'!$E:$E,'Base SKUs'!B:B),"")</f>
        <v>New York</v>
      </c>
      <c r="K718" t="str">
        <f>IFERROR(_xlfn.XLOOKUP($A718,'Base SKUs'!$E:$E,'Base SKUs'!C:C),"")</f>
        <v>Long</v>
      </c>
      <c r="L718" t="str">
        <f>IFERROR(_xlfn.XLOOKUP($A718,'Base SKUs'!$E:$E,'Base SKUs'!D:D),"")</f>
        <v>Norx</v>
      </c>
      <c r="M718" t="str">
        <f>IFERROR(_xlfn.XLOOKUP($A718,'Base SKUs'!$E:$E,'Base SKUs'!G:G),"")</f>
        <v>Light Brown</v>
      </c>
      <c r="N718" t="str">
        <f>IFERROR(_xlfn.XLOOKUP($A718,'Base SKUs'!$E:$E,'Base SKUs'!H:H),"")</f>
        <v>Corner Trim</v>
      </c>
      <c r="O718" t="str">
        <f>IFERROR(_xlfn.XLOOKUP($A718,'Base SKUs'!$E:$E,'Base SKUs'!I:I),"")</f>
        <v>-</v>
      </c>
      <c r="P718" t="str">
        <f>IFERROR(_xlfn.XLOOKUP($A718,'Base SKUs'!$E:$E,'Base SKUs'!J:J),"")</f>
        <v>1x1</v>
      </c>
      <c r="Q718">
        <f>IFERROR(_xlfn.XLOOKUP($A718,'Base SKUs'!$E:$E,'Base SKUs'!K:K),"")</f>
        <v>16</v>
      </c>
      <c r="R718" s="7">
        <f>IFERROR(_xlfn.XLOOKUP($A718,'Base SKUs'!$E:$E,'Base SKUs'!S:S),"")</f>
        <v>0</v>
      </c>
      <c r="S718" s="8">
        <f t="shared" si="57"/>
        <v>65</v>
      </c>
      <c r="T718" s="7">
        <f>IFERROR(_xlfn.XLOOKUP($A718,'Base SKUs'!$E:$E,'Base SKUs'!R:R),"")</f>
        <v>0</v>
      </c>
      <c r="U718" s="15">
        <f t="shared" si="58"/>
        <v>65</v>
      </c>
      <c r="V718" t="str">
        <f t="shared" si="59"/>
        <v>New York</v>
      </c>
    </row>
    <row r="719" spans="1:22" x14ac:dyDescent="0.2">
      <c r="A719" t="s">
        <v>985</v>
      </c>
      <c r="B719" s="5">
        <v>5</v>
      </c>
      <c r="C719" s="5">
        <v>0</v>
      </c>
      <c r="D719" s="5">
        <f t="shared" si="55"/>
        <v>5</v>
      </c>
      <c r="E719" s="6">
        <v>21.209599999999998</v>
      </c>
      <c r="F719" s="6">
        <f t="shared" si="56"/>
        <v>106.04799999999999</v>
      </c>
      <c r="G719" t="s">
        <v>330</v>
      </c>
      <c r="H719">
        <v>9011</v>
      </c>
      <c r="I719" t="str">
        <f>IFERROR(_xlfn.XLOOKUP($A719,'Base SKUs'!$E:$E,'Base SKUs'!A:A),"")</f>
        <v>Architecture</v>
      </c>
      <c r="J719" t="str">
        <f>IFERROR(_xlfn.XLOOKUP($A719,'Base SKUs'!$E:$E,'Base SKUs'!B:B),"")</f>
        <v>Rome</v>
      </c>
      <c r="K719" t="str">
        <f>IFERROR(_xlfn.XLOOKUP($A719,'Base SKUs'!$E:$E,'Base SKUs'!C:C),"")</f>
        <v>Long</v>
      </c>
      <c r="L719" t="str">
        <f>IFERROR(_xlfn.XLOOKUP($A719,'Base SKUs'!$E:$E,'Base SKUs'!D:D),"")</f>
        <v>Norx</v>
      </c>
      <c r="M719" t="str">
        <f>IFERROR(_xlfn.XLOOKUP($A719,'Base SKUs'!$E:$E,'Base SKUs'!G:G),"")</f>
        <v>Light Brown</v>
      </c>
      <c r="N719" t="str">
        <f>IFERROR(_xlfn.XLOOKUP($A719,'Base SKUs'!$E:$E,'Base SKUs'!H:H),"")</f>
        <v>Corner Trim</v>
      </c>
      <c r="O719" t="str">
        <f>IFERROR(_xlfn.XLOOKUP($A719,'Base SKUs'!$E:$E,'Base SKUs'!I:I),"")</f>
        <v>-</v>
      </c>
      <c r="P719" t="str">
        <f>IFERROR(_xlfn.XLOOKUP($A719,'Base SKUs'!$E:$E,'Base SKUs'!J:J),"")</f>
        <v>1.5x3</v>
      </c>
      <c r="Q719">
        <f>IFERROR(_xlfn.XLOOKUP($A719,'Base SKUs'!$E:$E,'Base SKUs'!K:K),"")</f>
        <v>16</v>
      </c>
      <c r="R719" s="7">
        <f>IFERROR(_xlfn.XLOOKUP($A719,'Base SKUs'!$E:$E,'Base SKUs'!S:S),"")</f>
        <v>0</v>
      </c>
      <c r="S719" s="8">
        <f t="shared" si="57"/>
        <v>5</v>
      </c>
      <c r="T719" s="7">
        <f>IFERROR(_xlfn.XLOOKUP($A719,'Base SKUs'!$E:$E,'Base SKUs'!R:R),"")</f>
        <v>0</v>
      </c>
      <c r="U719" s="15">
        <f t="shared" si="58"/>
        <v>5</v>
      </c>
      <c r="V719" t="str">
        <f t="shared" si="59"/>
        <v>New York</v>
      </c>
    </row>
    <row r="720" spans="1:22" x14ac:dyDescent="0.2">
      <c r="A720" t="s">
        <v>985</v>
      </c>
      <c r="B720" s="5">
        <v>20</v>
      </c>
      <c r="C720" s="5">
        <v>0</v>
      </c>
      <c r="D720" s="5">
        <f t="shared" si="55"/>
        <v>20</v>
      </c>
      <c r="E720" s="6">
        <v>21.209599999999998</v>
      </c>
      <c r="F720" s="6">
        <f t="shared" si="56"/>
        <v>424.19199999999995</v>
      </c>
      <c r="G720" t="s">
        <v>6129</v>
      </c>
      <c r="H720">
        <v>9015</v>
      </c>
      <c r="I720" t="str">
        <f>IFERROR(_xlfn.XLOOKUP($A720,'Base SKUs'!$E:$E,'Base SKUs'!A:A),"")</f>
        <v>Architecture</v>
      </c>
      <c r="J720" t="str">
        <f>IFERROR(_xlfn.XLOOKUP($A720,'Base SKUs'!$E:$E,'Base SKUs'!B:B),"")</f>
        <v>Rome</v>
      </c>
      <c r="K720" t="str">
        <f>IFERROR(_xlfn.XLOOKUP($A720,'Base SKUs'!$E:$E,'Base SKUs'!C:C),"")</f>
        <v>Long</v>
      </c>
      <c r="L720" t="str">
        <f>IFERROR(_xlfn.XLOOKUP($A720,'Base SKUs'!$E:$E,'Base SKUs'!D:D),"")</f>
        <v>Norx</v>
      </c>
      <c r="M720" t="str">
        <f>IFERROR(_xlfn.XLOOKUP($A720,'Base SKUs'!$E:$E,'Base SKUs'!G:G),"")</f>
        <v>Light Brown</v>
      </c>
      <c r="N720" t="str">
        <f>IFERROR(_xlfn.XLOOKUP($A720,'Base SKUs'!$E:$E,'Base SKUs'!H:H),"")</f>
        <v>Corner Trim</v>
      </c>
      <c r="O720" t="str">
        <f>IFERROR(_xlfn.XLOOKUP($A720,'Base SKUs'!$E:$E,'Base SKUs'!I:I),"")</f>
        <v>-</v>
      </c>
      <c r="P720" t="str">
        <f>IFERROR(_xlfn.XLOOKUP($A720,'Base SKUs'!$E:$E,'Base SKUs'!J:J),"")</f>
        <v>1.5x3</v>
      </c>
      <c r="Q720">
        <f>IFERROR(_xlfn.XLOOKUP($A720,'Base SKUs'!$E:$E,'Base SKUs'!K:K),"")</f>
        <v>16</v>
      </c>
      <c r="R720" s="7">
        <f>IFERROR(_xlfn.XLOOKUP($A720,'Base SKUs'!$E:$E,'Base SKUs'!S:S),"")</f>
        <v>0</v>
      </c>
      <c r="S720" s="8">
        <f t="shared" si="57"/>
        <v>20</v>
      </c>
      <c r="T720" s="7">
        <f>IFERROR(_xlfn.XLOOKUP($A720,'Base SKUs'!$E:$E,'Base SKUs'!R:R),"")</f>
        <v>0</v>
      </c>
      <c r="U720" s="15">
        <f t="shared" si="58"/>
        <v>20</v>
      </c>
      <c r="V720" t="str">
        <f t="shared" si="59"/>
        <v>Russin</v>
      </c>
    </row>
    <row r="721" spans="1:22" x14ac:dyDescent="0.2">
      <c r="A721" t="s">
        <v>987</v>
      </c>
      <c r="B721" s="5">
        <v>65</v>
      </c>
      <c r="C721" s="5">
        <v>0</v>
      </c>
      <c r="D721" s="5">
        <f t="shared" si="55"/>
        <v>65</v>
      </c>
      <c r="E721" s="6">
        <v>6.7251000000000003</v>
      </c>
      <c r="F721" s="6">
        <f t="shared" si="56"/>
        <v>437.13150000000002</v>
      </c>
      <c r="G721" t="s">
        <v>330</v>
      </c>
      <c r="H721">
        <v>9011</v>
      </c>
      <c r="I721" t="str">
        <f>IFERROR(_xlfn.XLOOKUP($A721,'Base SKUs'!$E:$E,'Base SKUs'!A:A),"")</f>
        <v>Architecture</v>
      </c>
      <c r="J721" t="str">
        <f>IFERROR(_xlfn.XLOOKUP($A721,'Base SKUs'!$E:$E,'Base SKUs'!B:B),"")</f>
        <v>New York</v>
      </c>
      <c r="K721" t="str">
        <f>IFERROR(_xlfn.XLOOKUP($A721,'Base SKUs'!$E:$E,'Base SKUs'!C:C),"")</f>
        <v>Long</v>
      </c>
      <c r="L721" t="str">
        <f>IFERROR(_xlfn.XLOOKUP($A721,'Base SKUs'!$E:$E,'Base SKUs'!D:D),"")</f>
        <v>Norx</v>
      </c>
      <c r="M721" t="str">
        <f>IFERROR(_xlfn.XLOOKUP($A721,'Base SKUs'!$E:$E,'Base SKUs'!G:G),"")</f>
        <v>Dark Brown</v>
      </c>
      <c r="N721" t="str">
        <f>IFERROR(_xlfn.XLOOKUP($A721,'Base SKUs'!$E:$E,'Base SKUs'!H:H),"")</f>
        <v>Corner Trim</v>
      </c>
      <c r="O721" t="str">
        <f>IFERROR(_xlfn.XLOOKUP($A721,'Base SKUs'!$E:$E,'Base SKUs'!I:I),"")</f>
        <v>-</v>
      </c>
      <c r="P721" t="str">
        <f>IFERROR(_xlfn.XLOOKUP($A721,'Base SKUs'!$E:$E,'Base SKUs'!J:J),"")</f>
        <v>1x1</v>
      </c>
      <c r="Q721">
        <f>IFERROR(_xlfn.XLOOKUP($A721,'Base SKUs'!$E:$E,'Base SKUs'!K:K),"")</f>
        <v>16</v>
      </c>
      <c r="R721" s="7">
        <f>IFERROR(_xlfn.XLOOKUP($A721,'Base SKUs'!$E:$E,'Base SKUs'!S:S),"")</f>
        <v>0</v>
      </c>
      <c r="S721" s="8">
        <f t="shared" si="57"/>
        <v>65</v>
      </c>
      <c r="T721" s="7">
        <f>IFERROR(_xlfn.XLOOKUP($A721,'Base SKUs'!$E:$E,'Base SKUs'!R:R),"")</f>
        <v>0</v>
      </c>
      <c r="U721" s="15">
        <f t="shared" si="58"/>
        <v>65</v>
      </c>
      <c r="V721" t="str">
        <f t="shared" si="59"/>
        <v>New York</v>
      </c>
    </row>
    <row r="722" spans="1:22" x14ac:dyDescent="0.2">
      <c r="A722" t="s">
        <v>989</v>
      </c>
      <c r="B722" s="5">
        <v>25</v>
      </c>
      <c r="C722" s="5">
        <v>0</v>
      </c>
      <c r="D722" s="5">
        <f t="shared" si="55"/>
        <v>25</v>
      </c>
      <c r="E722" s="6">
        <v>34.427599999999998</v>
      </c>
      <c r="F722" s="6">
        <f t="shared" si="56"/>
        <v>860.68999999999994</v>
      </c>
      <c r="G722" t="s">
        <v>24</v>
      </c>
      <c r="H722">
        <v>9008</v>
      </c>
      <c r="I722" t="str">
        <f>IFERROR(_xlfn.XLOOKUP($A722,'Base SKUs'!$E:$E,'Base SKUs'!A:A),"")</f>
        <v>Architecture</v>
      </c>
      <c r="J722" t="str">
        <f>IFERROR(_xlfn.XLOOKUP($A722,'Base SKUs'!$E:$E,'Base SKUs'!B:B),"")</f>
        <v>London</v>
      </c>
      <c r="K722" t="str">
        <f>IFERROR(_xlfn.XLOOKUP($A722,'Base SKUs'!$E:$E,'Base SKUs'!C:C),"")</f>
        <v>Long</v>
      </c>
      <c r="L722" t="str">
        <f>IFERROR(_xlfn.XLOOKUP($A722,'Base SKUs'!$E:$E,'Base SKUs'!D:D),"")</f>
        <v>Norx</v>
      </c>
      <c r="M722" t="str">
        <f>IFERROR(_xlfn.XLOOKUP($A722,'Base SKUs'!$E:$E,'Base SKUs'!G:G),"")</f>
        <v>Dark Brown</v>
      </c>
      <c r="N722" t="str">
        <f>IFERROR(_xlfn.XLOOKUP($A722,'Base SKUs'!$E:$E,'Base SKUs'!H:H),"")</f>
        <v>Corner Trim</v>
      </c>
      <c r="O722" t="str">
        <f>IFERROR(_xlfn.XLOOKUP($A722,'Base SKUs'!$E:$E,'Base SKUs'!I:I),"")</f>
        <v>-</v>
      </c>
      <c r="P722" t="str">
        <f>IFERROR(_xlfn.XLOOKUP($A722,'Base SKUs'!$E:$E,'Base SKUs'!J:J),"")</f>
        <v>1.5x3.9</v>
      </c>
      <c r="Q722">
        <f>IFERROR(_xlfn.XLOOKUP($A722,'Base SKUs'!$E:$E,'Base SKUs'!K:K),"")</f>
        <v>16</v>
      </c>
      <c r="R722" s="7">
        <f>IFERROR(_xlfn.XLOOKUP($A722,'Base SKUs'!$E:$E,'Base SKUs'!S:S),"")</f>
        <v>0</v>
      </c>
      <c r="S722" s="8">
        <f t="shared" si="57"/>
        <v>25</v>
      </c>
      <c r="T722" s="7">
        <f>IFERROR(_xlfn.XLOOKUP($A722,'Base SKUs'!$E:$E,'Base SKUs'!R:R),"")</f>
        <v>0</v>
      </c>
      <c r="U722" s="15">
        <f t="shared" si="58"/>
        <v>25</v>
      </c>
      <c r="V722" t="str">
        <f t="shared" si="59"/>
        <v>Texas</v>
      </c>
    </row>
    <row r="723" spans="1:22" x14ac:dyDescent="0.2">
      <c r="A723" t="s">
        <v>989</v>
      </c>
      <c r="B723" s="5">
        <v>20</v>
      </c>
      <c r="C723" s="5">
        <v>0</v>
      </c>
      <c r="D723" s="5">
        <f t="shared" si="55"/>
        <v>20</v>
      </c>
      <c r="E723" s="6">
        <v>38.723999999999997</v>
      </c>
      <c r="F723" s="6">
        <f t="shared" si="56"/>
        <v>774.4799999999999</v>
      </c>
      <c r="G723" t="s">
        <v>6129</v>
      </c>
      <c r="H723">
        <v>9015</v>
      </c>
      <c r="I723" t="str">
        <f>IFERROR(_xlfn.XLOOKUP($A723,'Base SKUs'!$E:$E,'Base SKUs'!A:A),"")</f>
        <v>Architecture</v>
      </c>
      <c r="J723" t="str">
        <f>IFERROR(_xlfn.XLOOKUP($A723,'Base SKUs'!$E:$E,'Base SKUs'!B:B),"")</f>
        <v>London</v>
      </c>
      <c r="K723" t="str">
        <f>IFERROR(_xlfn.XLOOKUP($A723,'Base SKUs'!$E:$E,'Base SKUs'!C:C),"")</f>
        <v>Long</v>
      </c>
      <c r="L723" t="str">
        <f>IFERROR(_xlfn.XLOOKUP($A723,'Base SKUs'!$E:$E,'Base SKUs'!D:D),"")</f>
        <v>Norx</v>
      </c>
      <c r="M723" t="str">
        <f>IFERROR(_xlfn.XLOOKUP($A723,'Base SKUs'!$E:$E,'Base SKUs'!G:G),"")</f>
        <v>Dark Brown</v>
      </c>
      <c r="N723" t="str">
        <f>IFERROR(_xlfn.XLOOKUP($A723,'Base SKUs'!$E:$E,'Base SKUs'!H:H),"")</f>
        <v>Corner Trim</v>
      </c>
      <c r="O723" t="str">
        <f>IFERROR(_xlfn.XLOOKUP($A723,'Base SKUs'!$E:$E,'Base SKUs'!I:I),"")</f>
        <v>-</v>
      </c>
      <c r="P723" t="str">
        <f>IFERROR(_xlfn.XLOOKUP($A723,'Base SKUs'!$E:$E,'Base SKUs'!J:J),"")</f>
        <v>1.5x3.9</v>
      </c>
      <c r="Q723">
        <f>IFERROR(_xlfn.XLOOKUP($A723,'Base SKUs'!$E:$E,'Base SKUs'!K:K),"")</f>
        <v>16</v>
      </c>
      <c r="R723" s="7">
        <f>IFERROR(_xlfn.XLOOKUP($A723,'Base SKUs'!$E:$E,'Base SKUs'!S:S),"")</f>
        <v>0</v>
      </c>
      <c r="S723" s="8">
        <f t="shared" si="57"/>
        <v>20</v>
      </c>
      <c r="T723" s="7">
        <f>IFERROR(_xlfn.XLOOKUP($A723,'Base SKUs'!$E:$E,'Base SKUs'!R:R),"")</f>
        <v>0</v>
      </c>
      <c r="U723" s="15">
        <f t="shared" si="58"/>
        <v>20</v>
      </c>
      <c r="V723" t="str">
        <f t="shared" si="59"/>
        <v>Russin</v>
      </c>
    </row>
    <row r="724" spans="1:22" x14ac:dyDescent="0.2">
      <c r="A724" t="s">
        <v>991</v>
      </c>
      <c r="B724" s="5">
        <v>20</v>
      </c>
      <c r="C724" s="5">
        <v>0</v>
      </c>
      <c r="D724" s="5">
        <f t="shared" si="55"/>
        <v>20</v>
      </c>
      <c r="E724" s="6">
        <v>37.512</v>
      </c>
      <c r="F724" s="6">
        <f t="shared" si="56"/>
        <v>750.24</v>
      </c>
      <c r="G724" t="s">
        <v>6129</v>
      </c>
      <c r="H724">
        <v>9015</v>
      </c>
      <c r="I724" t="str">
        <f>IFERROR(_xlfn.XLOOKUP($A724,'Base SKUs'!$E:$E,'Base SKUs'!A:A),"")</f>
        <v>Architecture</v>
      </c>
      <c r="J724" t="str">
        <f>IFERROR(_xlfn.XLOOKUP($A724,'Base SKUs'!$E:$E,'Base SKUs'!B:B),"")</f>
        <v>London</v>
      </c>
      <c r="K724" t="str">
        <f>IFERROR(_xlfn.XLOOKUP($A724,'Base SKUs'!$E:$E,'Base SKUs'!C:C),"")</f>
        <v>Long</v>
      </c>
      <c r="L724" t="str">
        <f>IFERROR(_xlfn.XLOOKUP($A724,'Base SKUs'!$E:$E,'Base SKUs'!D:D),"")</f>
        <v>Norx</v>
      </c>
      <c r="M724" t="str">
        <f>IFERROR(_xlfn.XLOOKUP($A724,'Base SKUs'!$E:$E,'Base SKUs'!G:G),"")</f>
        <v>Light Brown</v>
      </c>
      <c r="N724" t="str">
        <f>IFERROR(_xlfn.XLOOKUP($A724,'Base SKUs'!$E:$E,'Base SKUs'!H:H),"")</f>
        <v>Corner Trim</v>
      </c>
      <c r="O724" t="str">
        <f>IFERROR(_xlfn.XLOOKUP($A724,'Base SKUs'!$E:$E,'Base SKUs'!I:I),"")</f>
        <v>-</v>
      </c>
      <c r="P724" t="str">
        <f>IFERROR(_xlfn.XLOOKUP($A724,'Base SKUs'!$E:$E,'Base SKUs'!J:J),"")</f>
        <v>1.5x3.9</v>
      </c>
      <c r="Q724">
        <f>IFERROR(_xlfn.XLOOKUP($A724,'Base SKUs'!$E:$E,'Base SKUs'!K:K),"")</f>
        <v>16</v>
      </c>
      <c r="R724" s="7">
        <f>IFERROR(_xlfn.XLOOKUP($A724,'Base SKUs'!$E:$E,'Base SKUs'!S:S),"")</f>
        <v>0</v>
      </c>
      <c r="S724" s="8">
        <f t="shared" si="57"/>
        <v>20</v>
      </c>
      <c r="T724" s="7">
        <f>IFERROR(_xlfn.XLOOKUP($A724,'Base SKUs'!$E:$E,'Base SKUs'!R:R),"")</f>
        <v>0</v>
      </c>
      <c r="U724" s="15">
        <f t="shared" si="58"/>
        <v>20</v>
      </c>
      <c r="V724" t="str">
        <f t="shared" si="59"/>
        <v>Russin</v>
      </c>
    </row>
    <row r="725" spans="1:22" x14ac:dyDescent="0.2">
      <c r="A725" t="s">
        <v>993</v>
      </c>
      <c r="B725" s="5">
        <v>5</v>
      </c>
      <c r="C725" s="5">
        <v>0</v>
      </c>
      <c r="D725" s="5">
        <f t="shared" si="55"/>
        <v>5</v>
      </c>
      <c r="E725" s="6">
        <v>21.262799999999999</v>
      </c>
      <c r="F725" s="6">
        <f t="shared" si="56"/>
        <v>106.31399999999999</v>
      </c>
      <c r="G725" t="s">
        <v>330</v>
      </c>
      <c r="H725">
        <v>9011</v>
      </c>
      <c r="I725" t="str">
        <f>IFERROR(_xlfn.XLOOKUP($A725,'Base SKUs'!$E:$E,'Base SKUs'!A:A),"")</f>
        <v>Architecture</v>
      </c>
      <c r="J725" t="str">
        <f>IFERROR(_xlfn.XLOOKUP($A725,'Base SKUs'!$E:$E,'Base SKUs'!B:B),"")</f>
        <v>Rome</v>
      </c>
      <c r="K725" t="str">
        <f>IFERROR(_xlfn.XLOOKUP($A725,'Base SKUs'!$E:$E,'Base SKUs'!C:C),"")</f>
        <v>Long</v>
      </c>
      <c r="L725" t="str">
        <f>IFERROR(_xlfn.XLOOKUP($A725,'Base SKUs'!$E:$E,'Base SKUs'!D:D),"")</f>
        <v>Norx</v>
      </c>
      <c r="M725" t="str">
        <f>IFERROR(_xlfn.XLOOKUP($A725,'Base SKUs'!$E:$E,'Base SKUs'!G:G),"")</f>
        <v>Charcoal</v>
      </c>
      <c r="N725" t="str">
        <f>IFERROR(_xlfn.XLOOKUP($A725,'Base SKUs'!$E:$E,'Base SKUs'!H:H),"")</f>
        <v>Corner Trim</v>
      </c>
      <c r="O725" t="str">
        <f>IFERROR(_xlfn.XLOOKUP($A725,'Base SKUs'!$E:$E,'Base SKUs'!I:I),"")</f>
        <v>-</v>
      </c>
      <c r="P725" t="str">
        <f>IFERROR(_xlfn.XLOOKUP($A725,'Base SKUs'!$E:$E,'Base SKUs'!J:J),"")</f>
        <v>1.5x3</v>
      </c>
      <c r="Q725">
        <f>IFERROR(_xlfn.XLOOKUP($A725,'Base SKUs'!$E:$E,'Base SKUs'!K:K),"")</f>
        <v>16</v>
      </c>
      <c r="R725" s="7">
        <f>IFERROR(_xlfn.XLOOKUP($A725,'Base SKUs'!$E:$E,'Base SKUs'!S:S),"")</f>
        <v>0</v>
      </c>
      <c r="S725" s="8">
        <f t="shared" si="57"/>
        <v>5</v>
      </c>
      <c r="T725" s="7">
        <f>IFERROR(_xlfn.XLOOKUP($A725,'Base SKUs'!$E:$E,'Base SKUs'!R:R),"")</f>
        <v>0</v>
      </c>
      <c r="U725" s="15">
        <f t="shared" si="58"/>
        <v>5</v>
      </c>
      <c r="V725" t="str">
        <f t="shared" si="59"/>
        <v>New York</v>
      </c>
    </row>
    <row r="726" spans="1:22" x14ac:dyDescent="0.2">
      <c r="A726" t="s">
        <v>993</v>
      </c>
      <c r="B726" s="5">
        <v>20</v>
      </c>
      <c r="C726" s="5">
        <v>0</v>
      </c>
      <c r="D726" s="5">
        <f t="shared" si="55"/>
        <v>20</v>
      </c>
      <c r="E726" s="6">
        <v>21.262799999999999</v>
      </c>
      <c r="F726" s="6">
        <f t="shared" si="56"/>
        <v>425.25599999999997</v>
      </c>
      <c r="G726" t="s">
        <v>6129</v>
      </c>
      <c r="H726">
        <v>9015</v>
      </c>
      <c r="I726" t="str">
        <f>IFERROR(_xlfn.XLOOKUP($A726,'Base SKUs'!$E:$E,'Base SKUs'!A:A),"")</f>
        <v>Architecture</v>
      </c>
      <c r="J726" t="str">
        <f>IFERROR(_xlfn.XLOOKUP($A726,'Base SKUs'!$E:$E,'Base SKUs'!B:B),"")</f>
        <v>Rome</v>
      </c>
      <c r="K726" t="str">
        <f>IFERROR(_xlfn.XLOOKUP($A726,'Base SKUs'!$E:$E,'Base SKUs'!C:C),"")</f>
        <v>Long</v>
      </c>
      <c r="L726" t="str">
        <f>IFERROR(_xlfn.XLOOKUP($A726,'Base SKUs'!$E:$E,'Base SKUs'!D:D),"")</f>
        <v>Norx</v>
      </c>
      <c r="M726" t="str">
        <f>IFERROR(_xlfn.XLOOKUP($A726,'Base SKUs'!$E:$E,'Base SKUs'!G:G),"")</f>
        <v>Charcoal</v>
      </c>
      <c r="N726" t="str">
        <f>IFERROR(_xlfn.XLOOKUP($A726,'Base SKUs'!$E:$E,'Base SKUs'!H:H),"")</f>
        <v>Corner Trim</v>
      </c>
      <c r="O726" t="str">
        <f>IFERROR(_xlfn.XLOOKUP($A726,'Base SKUs'!$E:$E,'Base SKUs'!I:I),"")</f>
        <v>-</v>
      </c>
      <c r="P726" t="str">
        <f>IFERROR(_xlfn.XLOOKUP($A726,'Base SKUs'!$E:$E,'Base SKUs'!J:J),"")</f>
        <v>1.5x3</v>
      </c>
      <c r="Q726">
        <f>IFERROR(_xlfn.XLOOKUP($A726,'Base SKUs'!$E:$E,'Base SKUs'!K:K),"")</f>
        <v>16</v>
      </c>
      <c r="R726" s="7">
        <f>IFERROR(_xlfn.XLOOKUP($A726,'Base SKUs'!$E:$E,'Base SKUs'!S:S),"")</f>
        <v>0</v>
      </c>
      <c r="S726" s="8">
        <f t="shared" si="57"/>
        <v>20</v>
      </c>
      <c r="T726" s="7">
        <f>IFERROR(_xlfn.XLOOKUP($A726,'Base SKUs'!$E:$E,'Base SKUs'!R:R),"")</f>
        <v>0</v>
      </c>
      <c r="U726" s="15">
        <f t="shared" si="58"/>
        <v>20</v>
      </c>
      <c r="V726" t="str">
        <f t="shared" si="59"/>
        <v>Russin</v>
      </c>
    </row>
    <row r="727" spans="1:22" x14ac:dyDescent="0.2">
      <c r="A727" t="s">
        <v>995</v>
      </c>
      <c r="B727" s="5">
        <v>5</v>
      </c>
      <c r="C727" s="5">
        <v>0</v>
      </c>
      <c r="D727" s="5">
        <f t="shared" si="55"/>
        <v>5</v>
      </c>
      <c r="E727" s="6">
        <v>31.912400000000002</v>
      </c>
      <c r="F727" s="6">
        <f t="shared" si="56"/>
        <v>159.56200000000001</v>
      </c>
      <c r="G727" t="s">
        <v>330</v>
      </c>
      <c r="H727">
        <v>9011</v>
      </c>
      <c r="I727" t="str">
        <f>IFERROR(_xlfn.XLOOKUP($A727,'Base SKUs'!$E:$E,'Base SKUs'!A:A),"")</f>
        <v>Architecture</v>
      </c>
      <c r="J727" t="str">
        <f>IFERROR(_xlfn.XLOOKUP($A727,'Base SKUs'!$E:$E,'Base SKUs'!B:B),"")</f>
        <v>London</v>
      </c>
      <c r="K727" t="str">
        <f>IFERROR(_xlfn.XLOOKUP($A727,'Base SKUs'!$E:$E,'Base SKUs'!C:C),"")</f>
        <v>Long</v>
      </c>
      <c r="L727" t="str">
        <f>IFERROR(_xlfn.XLOOKUP($A727,'Base SKUs'!$E:$E,'Base SKUs'!D:D),"")</f>
        <v>Norx</v>
      </c>
      <c r="M727" t="str">
        <f>IFERROR(_xlfn.XLOOKUP($A727,'Base SKUs'!$E:$E,'Base SKUs'!G:G),"")</f>
        <v>Gray</v>
      </c>
      <c r="N727" t="str">
        <f>IFERROR(_xlfn.XLOOKUP($A727,'Base SKUs'!$E:$E,'Base SKUs'!H:H),"")</f>
        <v>Corner Trim</v>
      </c>
      <c r="O727" t="str">
        <f>IFERROR(_xlfn.XLOOKUP($A727,'Base SKUs'!$E:$E,'Base SKUs'!I:I),"")</f>
        <v>-</v>
      </c>
      <c r="P727" t="str">
        <f>IFERROR(_xlfn.XLOOKUP($A727,'Base SKUs'!$E:$E,'Base SKUs'!J:J),"")</f>
        <v>1.5x3.9</v>
      </c>
      <c r="Q727">
        <f>IFERROR(_xlfn.XLOOKUP($A727,'Base SKUs'!$E:$E,'Base SKUs'!K:K),"")</f>
        <v>16</v>
      </c>
      <c r="R727" s="7">
        <f>IFERROR(_xlfn.XLOOKUP($A727,'Base SKUs'!$E:$E,'Base SKUs'!S:S),"")</f>
        <v>0</v>
      </c>
      <c r="S727" s="8">
        <f t="shared" si="57"/>
        <v>5</v>
      </c>
      <c r="T727" s="7">
        <f>IFERROR(_xlfn.XLOOKUP($A727,'Base SKUs'!$E:$E,'Base SKUs'!R:R),"")</f>
        <v>0</v>
      </c>
      <c r="U727" s="15">
        <f t="shared" si="58"/>
        <v>5</v>
      </c>
      <c r="V727" t="str">
        <f t="shared" si="59"/>
        <v>New York</v>
      </c>
    </row>
    <row r="728" spans="1:22" x14ac:dyDescent="0.2">
      <c r="A728" t="s">
        <v>995</v>
      </c>
      <c r="B728" s="5">
        <v>20</v>
      </c>
      <c r="C728" s="5">
        <v>0</v>
      </c>
      <c r="D728" s="5">
        <f t="shared" si="55"/>
        <v>20</v>
      </c>
      <c r="E728" s="6">
        <v>31.912400000000002</v>
      </c>
      <c r="F728" s="6">
        <f t="shared" si="56"/>
        <v>638.24800000000005</v>
      </c>
      <c r="G728" t="s">
        <v>6129</v>
      </c>
      <c r="H728">
        <v>9015</v>
      </c>
      <c r="I728" t="str">
        <f>IFERROR(_xlfn.XLOOKUP($A728,'Base SKUs'!$E:$E,'Base SKUs'!A:A),"")</f>
        <v>Architecture</v>
      </c>
      <c r="J728" t="str">
        <f>IFERROR(_xlfn.XLOOKUP($A728,'Base SKUs'!$E:$E,'Base SKUs'!B:B),"")</f>
        <v>London</v>
      </c>
      <c r="K728" t="str">
        <f>IFERROR(_xlfn.XLOOKUP($A728,'Base SKUs'!$E:$E,'Base SKUs'!C:C),"")</f>
        <v>Long</v>
      </c>
      <c r="L728" t="str">
        <f>IFERROR(_xlfn.XLOOKUP($A728,'Base SKUs'!$E:$E,'Base SKUs'!D:D),"")</f>
        <v>Norx</v>
      </c>
      <c r="M728" t="str">
        <f>IFERROR(_xlfn.XLOOKUP($A728,'Base SKUs'!$E:$E,'Base SKUs'!G:G),"")</f>
        <v>Gray</v>
      </c>
      <c r="N728" t="str">
        <f>IFERROR(_xlfn.XLOOKUP($A728,'Base SKUs'!$E:$E,'Base SKUs'!H:H),"")</f>
        <v>Corner Trim</v>
      </c>
      <c r="O728" t="str">
        <f>IFERROR(_xlfn.XLOOKUP($A728,'Base SKUs'!$E:$E,'Base SKUs'!I:I),"")</f>
        <v>-</v>
      </c>
      <c r="P728" t="str">
        <f>IFERROR(_xlfn.XLOOKUP($A728,'Base SKUs'!$E:$E,'Base SKUs'!J:J),"")</f>
        <v>1.5x3.9</v>
      </c>
      <c r="Q728">
        <f>IFERROR(_xlfn.XLOOKUP($A728,'Base SKUs'!$E:$E,'Base SKUs'!K:K),"")</f>
        <v>16</v>
      </c>
      <c r="R728" s="7">
        <f>IFERROR(_xlfn.XLOOKUP($A728,'Base SKUs'!$E:$E,'Base SKUs'!S:S),"")</f>
        <v>0</v>
      </c>
      <c r="S728" s="8">
        <f t="shared" si="57"/>
        <v>20</v>
      </c>
      <c r="T728" s="7">
        <f>IFERROR(_xlfn.XLOOKUP($A728,'Base SKUs'!$E:$E,'Base SKUs'!R:R),"")</f>
        <v>0</v>
      </c>
      <c r="U728" s="15">
        <f t="shared" si="58"/>
        <v>20</v>
      </c>
      <c r="V728" t="str">
        <f t="shared" si="59"/>
        <v>Russin</v>
      </c>
    </row>
    <row r="729" spans="1:22" x14ac:dyDescent="0.2">
      <c r="A729" t="s">
        <v>997</v>
      </c>
      <c r="B729" s="5">
        <v>5</v>
      </c>
      <c r="C729" s="5">
        <v>0</v>
      </c>
      <c r="D729" s="5">
        <f t="shared" si="55"/>
        <v>5</v>
      </c>
      <c r="E729" s="6">
        <v>21.209599999999998</v>
      </c>
      <c r="F729" s="6">
        <f t="shared" si="56"/>
        <v>106.04799999999999</v>
      </c>
      <c r="G729" t="s">
        <v>330</v>
      </c>
      <c r="H729">
        <v>9011</v>
      </c>
      <c r="I729" t="str">
        <f>IFERROR(_xlfn.XLOOKUP($A729,'Base SKUs'!$E:$E,'Base SKUs'!A:A),"")</f>
        <v>Architecture</v>
      </c>
      <c r="J729" t="str">
        <f>IFERROR(_xlfn.XLOOKUP($A729,'Base SKUs'!$E:$E,'Base SKUs'!B:B),"")</f>
        <v>Rome</v>
      </c>
      <c r="K729" t="str">
        <f>IFERROR(_xlfn.XLOOKUP($A729,'Base SKUs'!$E:$E,'Base SKUs'!C:C),"")</f>
        <v>Long</v>
      </c>
      <c r="L729" t="str">
        <f>IFERROR(_xlfn.XLOOKUP($A729,'Base SKUs'!$E:$E,'Base SKUs'!D:D),"")</f>
        <v>Norx</v>
      </c>
      <c r="M729" t="str">
        <f>IFERROR(_xlfn.XLOOKUP($A729,'Base SKUs'!$E:$E,'Base SKUs'!G:G),"")</f>
        <v>Dark Brown</v>
      </c>
      <c r="N729" t="str">
        <f>IFERROR(_xlfn.XLOOKUP($A729,'Base SKUs'!$E:$E,'Base SKUs'!H:H),"")</f>
        <v>Corner Trim</v>
      </c>
      <c r="O729" t="str">
        <f>IFERROR(_xlfn.XLOOKUP($A729,'Base SKUs'!$E:$E,'Base SKUs'!I:I),"")</f>
        <v>-</v>
      </c>
      <c r="P729" t="str">
        <f>IFERROR(_xlfn.XLOOKUP($A729,'Base SKUs'!$E:$E,'Base SKUs'!J:J),"")</f>
        <v>1.5x3</v>
      </c>
      <c r="Q729">
        <f>IFERROR(_xlfn.XLOOKUP($A729,'Base SKUs'!$E:$E,'Base SKUs'!K:K),"")</f>
        <v>16</v>
      </c>
      <c r="R729" s="7">
        <f>IFERROR(_xlfn.XLOOKUP($A729,'Base SKUs'!$E:$E,'Base SKUs'!S:S),"")</f>
        <v>0</v>
      </c>
      <c r="S729" s="8">
        <f t="shared" si="57"/>
        <v>5</v>
      </c>
      <c r="T729" s="7">
        <f>IFERROR(_xlfn.XLOOKUP($A729,'Base SKUs'!$E:$E,'Base SKUs'!R:R),"")</f>
        <v>0</v>
      </c>
      <c r="U729" s="15">
        <f t="shared" si="58"/>
        <v>5</v>
      </c>
      <c r="V729" t="str">
        <f t="shared" si="59"/>
        <v>New York</v>
      </c>
    </row>
    <row r="730" spans="1:22" x14ac:dyDescent="0.2">
      <c r="A730" t="s">
        <v>997</v>
      </c>
      <c r="B730" s="5">
        <v>20</v>
      </c>
      <c r="C730" s="5">
        <v>0</v>
      </c>
      <c r="D730" s="5">
        <f t="shared" si="55"/>
        <v>20</v>
      </c>
      <c r="E730" s="6">
        <v>21.209599999999998</v>
      </c>
      <c r="F730" s="6">
        <f t="shared" si="56"/>
        <v>424.19199999999995</v>
      </c>
      <c r="G730" t="s">
        <v>6129</v>
      </c>
      <c r="H730">
        <v>9015</v>
      </c>
      <c r="I730" t="str">
        <f>IFERROR(_xlfn.XLOOKUP($A730,'Base SKUs'!$E:$E,'Base SKUs'!A:A),"")</f>
        <v>Architecture</v>
      </c>
      <c r="J730" t="str">
        <f>IFERROR(_xlfn.XLOOKUP($A730,'Base SKUs'!$E:$E,'Base SKUs'!B:B),"")</f>
        <v>Rome</v>
      </c>
      <c r="K730" t="str">
        <f>IFERROR(_xlfn.XLOOKUP($A730,'Base SKUs'!$E:$E,'Base SKUs'!C:C),"")</f>
        <v>Long</v>
      </c>
      <c r="L730" t="str">
        <f>IFERROR(_xlfn.XLOOKUP($A730,'Base SKUs'!$E:$E,'Base SKUs'!D:D),"")</f>
        <v>Norx</v>
      </c>
      <c r="M730" t="str">
        <f>IFERROR(_xlfn.XLOOKUP($A730,'Base SKUs'!$E:$E,'Base SKUs'!G:G),"")</f>
        <v>Dark Brown</v>
      </c>
      <c r="N730" t="str">
        <f>IFERROR(_xlfn.XLOOKUP($A730,'Base SKUs'!$E:$E,'Base SKUs'!H:H),"")</f>
        <v>Corner Trim</v>
      </c>
      <c r="O730" t="str">
        <f>IFERROR(_xlfn.XLOOKUP($A730,'Base SKUs'!$E:$E,'Base SKUs'!I:I),"")</f>
        <v>-</v>
      </c>
      <c r="P730" t="str">
        <f>IFERROR(_xlfn.XLOOKUP($A730,'Base SKUs'!$E:$E,'Base SKUs'!J:J),"")</f>
        <v>1.5x3</v>
      </c>
      <c r="Q730">
        <f>IFERROR(_xlfn.XLOOKUP($A730,'Base SKUs'!$E:$E,'Base SKUs'!K:K),"")</f>
        <v>16</v>
      </c>
      <c r="R730" s="7">
        <f>IFERROR(_xlfn.XLOOKUP($A730,'Base SKUs'!$E:$E,'Base SKUs'!S:S),"")</f>
        <v>0</v>
      </c>
      <c r="S730" s="8">
        <f t="shared" si="57"/>
        <v>20</v>
      </c>
      <c r="T730" s="7">
        <f>IFERROR(_xlfn.XLOOKUP($A730,'Base SKUs'!$E:$E,'Base SKUs'!R:R),"")</f>
        <v>0</v>
      </c>
      <c r="U730" s="15">
        <f t="shared" si="58"/>
        <v>20</v>
      </c>
      <c r="V730" t="str">
        <f t="shared" si="59"/>
        <v>Russin</v>
      </c>
    </row>
    <row r="731" spans="1:22" x14ac:dyDescent="0.2">
      <c r="A731" t="s">
        <v>999</v>
      </c>
      <c r="B731" s="5">
        <v>65</v>
      </c>
      <c r="C731" s="5">
        <v>0</v>
      </c>
      <c r="D731" s="5">
        <f t="shared" si="55"/>
        <v>65</v>
      </c>
      <c r="E731" s="6">
        <v>6.7248000000000001</v>
      </c>
      <c r="F731" s="6">
        <f t="shared" si="56"/>
        <v>437.11200000000002</v>
      </c>
      <c r="G731" t="s">
        <v>330</v>
      </c>
      <c r="H731">
        <v>9011</v>
      </c>
      <c r="I731" t="str">
        <f>IFERROR(_xlfn.XLOOKUP($A731,'Base SKUs'!$E:$E,'Base SKUs'!A:A),"")</f>
        <v>Architecture</v>
      </c>
      <c r="J731" t="str">
        <f>IFERROR(_xlfn.XLOOKUP($A731,'Base SKUs'!$E:$E,'Base SKUs'!B:B),"")</f>
        <v>New York</v>
      </c>
      <c r="K731" t="str">
        <f>IFERROR(_xlfn.XLOOKUP($A731,'Base SKUs'!$E:$E,'Base SKUs'!C:C),"")</f>
        <v>Long</v>
      </c>
      <c r="L731" t="str">
        <f>IFERROR(_xlfn.XLOOKUP($A731,'Base SKUs'!$E:$E,'Base SKUs'!D:D),"")</f>
        <v>Norx</v>
      </c>
      <c r="M731" t="str">
        <f>IFERROR(_xlfn.XLOOKUP($A731,'Base SKUs'!$E:$E,'Base SKUs'!G:G),"")</f>
        <v>Gray</v>
      </c>
      <c r="N731" t="str">
        <f>IFERROR(_xlfn.XLOOKUP($A731,'Base SKUs'!$E:$E,'Base SKUs'!H:H),"")</f>
        <v>Corner Trim</v>
      </c>
      <c r="O731" t="str">
        <f>IFERROR(_xlfn.XLOOKUP($A731,'Base SKUs'!$E:$E,'Base SKUs'!I:I),"")</f>
        <v>-</v>
      </c>
      <c r="P731" t="str">
        <f>IFERROR(_xlfn.XLOOKUP($A731,'Base SKUs'!$E:$E,'Base SKUs'!J:J),"")</f>
        <v>1x1</v>
      </c>
      <c r="Q731">
        <f>IFERROR(_xlfn.XLOOKUP($A731,'Base SKUs'!$E:$E,'Base SKUs'!K:K),"")</f>
        <v>16</v>
      </c>
      <c r="R731" s="7">
        <f>IFERROR(_xlfn.XLOOKUP($A731,'Base SKUs'!$E:$E,'Base SKUs'!S:S),"")</f>
        <v>0</v>
      </c>
      <c r="S731" s="8">
        <f t="shared" si="57"/>
        <v>65</v>
      </c>
      <c r="T731" s="7">
        <f>IFERROR(_xlfn.XLOOKUP($A731,'Base SKUs'!$E:$E,'Base SKUs'!R:R),"")</f>
        <v>0</v>
      </c>
      <c r="U731" s="15">
        <f t="shared" si="58"/>
        <v>65</v>
      </c>
      <c r="V731" t="str">
        <f t="shared" si="59"/>
        <v>New York</v>
      </c>
    </row>
    <row r="732" spans="1:22" x14ac:dyDescent="0.2">
      <c r="A732" t="s">
        <v>1001</v>
      </c>
      <c r="B732" s="5">
        <v>5</v>
      </c>
      <c r="C732" s="5">
        <v>0</v>
      </c>
      <c r="D732" s="5">
        <f t="shared" si="55"/>
        <v>5</v>
      </c>
      <c r="E732" s="6">
        <v>21.2624</v>
      </c>
      <c r="F732" s="6">
        <f t="shared" si="56"/>
        <v>106.312</v>
      </c>
      <c r="G732" t="s">
        <v>330</v>
      </c>
      <c r="H732">
        <v>9011</v>
      </c>
      <c r="I732" t="str">
        <f>IFERROR(_xlfn.XLOOKUP($A732,'Base SKUs'!$E:$E,'Base SKUs'!A:A),"")</f>
        <v>Architecture</v>
      </c>
      <c r="J732" t="str">
        <f>IFERROR(_xlfn.XLOOKUP($A732,'Base SKUs'!$E:$E,'Base SKUs'!B:B),"")</f>
        <v>Rome</v>
      </c>
      <c r="K732" t="str">
        <f>IFERROR(_xlfn.XLOOKUP($A732,'Base SKUs'!$E:$E,'Base SKUs'!C:C),"")</f>
        <v>Long</v>
      </c>
      <c r="L732" t="str">
        <f>IFERROR(_xlfn.XLOOKUP($A732,'Base SKUs'!$E:$E,'Base SKUs'!D:D),"")</f>
        <v>Norx</v>
      </c>
      <c r="M732" t="str">
        <f>IFERROR(_xlfn.XLOOKUP($A732,'Base SKUs'!$E:$E,'Base SKUs'!G:G),"")</f>
        <v>Gray</v>
      </c>
      <c r="N732" t="str">
        <f>IFERROR(_xlfn.XLOOKUP($A732,'Base SKUs'!$E:$E,'Base SKUs'!H:H),"")</f>
        <v>Corner Trim</v>
      </c>
      <c r="O732" t="str">
        <f>IFERROR(_xlfn.XLOOKUP($A732,'Base SKUs'!$E:$E,'Base SKUs'!I:I),"")</f>
        <v>-</v>
      </c>
      <c r="P732" t="str">
        <f>IFERROR(_xlfn.XLOOKUP($A732,'Base SKUs'!$E:$E,'Base SKUs'!J:J),"")</f>
        <v>1.5x3</v>
      </c>
      <c r="Q732">
        <f>IFERROR(_xlfn.XLOOKUP($A732,'Base SKUs'!$E:$E,'Base SKUs'!K:K),"")</f>
        <v>16</v>
      </c>
      <c r="R732" s="7">
        <f>IFERROR(_xlfn.XLOOKUP($A732,'Base SKUs'!$E:$E,'Base SKUs'!S:S),"")</f>
        <v>0</v>
      </c>
      <c r="S732" s="8">
        <f t="shared" si="57"/>
        <v>5</v>
      </c>
      <c r="T732" s="7">
        <f>IFERROR(_xlfn.XLOOKUP($A732,'Base SKUs'!$E:$E,'Base SKUs'!R:R),"")</f>
        <v>0</v>
      </c>
      <c r="U732" s="15">
        <f t="shared" si="58"/>
        <v>5</v>
      </c>
      <c r="V732" t="str">
        <f t="shared" si="59"/>
        <v>New York</v>
      </c>
    </row>
    <row r="733" spans="1:22" x14ac:dyDescent="0.2">
      <c r="A733" t="s">
        <v>1001</v>
      </c>
      <c r="B733" s="5">
        <v>20</v>
      </c>
      <c r="C733" s="5">
        <v>0</v>
      </c>
      <c r="D733" s="5">
        <f t="shared" si="55"/>
        <v>20</v>
      </c>
      <c r="E733" s="6">
        <v>21.2624</v>
      </c>
      <c r="F733" s="6">
        <f t="shared" si="56"/>
        <v>425.24799999999999</v>
      </c>
      <c r="G733" t="s">
        <v>6129</v>
      </c>
      <c r="H733">
        <v>9015</v>
      </c>
      <c r="I733" t="str">
        <f>IFERROR(_xlfn.XLOOKUP($A733,'Base SKUs'!$E:$E,'Base SKUs'!A:A),"")</f>
        <v>Architecture</v>
      </c>
      <c r="J733" t="str">
        <f>IFERROR(_xlfn.XLOOKUP($A733,'Base SKUs'!$E:$E,'Base SKUs'!B:B),"")</f>
        <v>Rome</v>
      </c>
      <c r="K733" t="str">
        <f>IFERROR(_xlfn.XLOOKUP($A733,'Base SKUs'!$E:$E,'Base SKUs'!C:C),"")</f>
        <v>Long</v>
      </c>
      <c r="L733" t="str">
        <f>IFERROR(_xlfn.XLOOKUP($A733,'Base SKUs'!$E:$E,'Base SKUs'!D:D),"")</f>
        <v>Norx</v>
      </c>
      <c r="M733" t="str">
        <f>IFERROR(_xlfn.XLOOKUP($A733,'Base SKUs'!$E:$E,'Base SKUs'!G:G),"")</f>
        <v>Gray</v>
      </c>
      <c r="N733" t="str">
        <f>IFERROR(_xlfn.XLOOKUP($A733,'Base SKUs'!$E:$E,'Base SKUs'!H:H),"")</f>
        <v>Corner Trim</v>
      </c>
      <c r="O733" t="str">
        <f>IFERROR(_xlfn.XLOOKUP($A733,'Base SKUs'!$E:$E,'Base SKUs'!I:I),"")</f>
        <v>-</v>
      </c>
      <c r="P733" t="str">
        <f>IFERROR(_xlfn.XLOOKUP($A733,'Base SKUs'!$E:$E,'Base SKUs'!J:J),"")</f>
        <v>1.5x3</v>
      </c>
      <c r="Q733">
        <f>IFERROR(_xlfn.XLOOKUP($A733,'Base SKUs'!$E:$E,'Base SKUs'!K:K),"")</f>
        <v>16</v>
      </c>
      <c r="R733" s="7">
        <f>IFERROR(_xlfn.XLOOKUP($A733,'Base SKUs'!$E:$E,'Base SKUs'!S:S),"")</f>
        <v>0</v>
      </c>
      <c r="S733" s="8">
        <f t="shared" si="57"/>
        <v>20</v>
      </c>
      <c r="T733" s="7">
        <f>IFERROR(_xlfn.XLOOKUP($A733,'Base SKUs'!$E:$E,'Base SKUs'!R:R),"")</f>
        <v>0</v>
      </c>
      <c r="U733" s="15">
        <f t="shared" si="58"/>
        <v>20</v>
      </c>
      <c r="V733" t="str">
        <f t="shared" si="59"/>
        <v>Russin</v>
      </c>
    </row>
    <row r="734" spans="1:22" x14ac:dyDescent="0.2">
      <c r="A734" t="s">
        <v>1003</v>
      </c>
      <c r="B734" s="5">
        <v>672</v>
      </c>
      <c r="C734" s="5">
        <v>0</v>
      </c>
      <c r="D734" s="5">
        <f t="shared" si="55"/>
        <v>672</v>
      </c>
      <c r="E734" s="6">
        <v>20.404599999999999</v>
      </c>
      <c r="F734" s="6">
        <f t="shared" si="56"/>
        <v>13711.891199999998</v>
      </c>
      <c r="G734" t="s">
        <v>24</v>
      </c>
      <c r="H734">
        <v>9008</v>
      </c>
      <c r="I734" t="str">
        <f>IFERROR(_xlfn.XLOOKUP($A734,'Base SKUs'!$E:$E,'Base SKUs'!A:A),"")</f>
        <v>Architecture</v>
      </c>
      <c r="J734" t="str">
        <f>IFERROR(_xlfn.XLOOKUP($A734,'Base SKUs'!$E:$E,'Base SKUs'!B:B),"")</f>
        <v>New York</v>
      </c>
      <c r="K734" t="str">
        <f>IFERROR(_xlfn.XLOOKUP($A734,'Base SKUs'!$E:$E,'Base SKUs'!C:C),"")</f>
        <v>Long</v>
      </c>
      <c r="L734" t="str">
        <f>IFERROR(_xlfn.XLOOKUP($A734,'Base SKUs'!$E:$E,'Base SKUs'!D:D),"")</f>
        <v>Norx</v>
      </c>
      <c r="M734" t="str">
        <f>IFERROR(_xlfn.XLOOKUP($A734,'Base SKUs'!$E:$E,'Base SKUs'!G:G),"")</f>
        <v>Empire State</v>
      </c>
      <c r="N734" t="str">
        <f>IFERROR(_xlfn.XLOOKUP($A734,'Base SKUs'!$E:$E,'Base SKUs'!H:H),"")</f>
        <v>Profile</v>
      </c>
      <c r="O734" t="str">
        <f>IFERROR(_xlfn.XLOOKUP($A734,'Base SKUs'!$E:$E,'Base SKUs'!I:I),"")</f>
        <v>-</v>
      </c>
      <c r="P734" t="str">
        <f>IFERROR(_xlfn.XLOOKUP($A734,'Base SKUs'!$E:$E,'Base SKUs'!J:J),"")</f>
        <v>1x6</v>
      </c>
      <c r="Q734">
        <f>IFERROR(_xlfn.XLOOKUP($A734,'Base SKUs'!$E:$E,'Base SKUs'!K:K),"")</f>
        <v>16</v>
      </c>
      <c r="R734" s="7">
        <f>IFERROR(_xlfn.XLOOKUP($A734,'Base SKUs'!$E:$E,'Base SKUs'!S:S),"")</f>
        <v>0</v>
      </c>
      <c r="S734" s="8">
        <f t="shared" si="57"/>
        <v>672</v>
      </c>
      <c r="T734" s="7">
        <f>IFERROR(_xlfn.XLOOKUP($A734,'Base SKUs'!$E:$E,'Base SKUs'!R:R),"")</f>
        <v>0</v>
      </c>
      <c r="U734" s="15">
        <f t="shared" si="58"/>
        <v>672</v>
      </c>
      <c r="V734" t="str">
        <f t="shared" si="59"/>
        <v>Texas</v>
      </c>
    </row>
    <row r="735" spans="1:22" x14ac:dyDescent="0.2">
      <c r="A735" t="s">
        <v>1003</v>
      </c>
      <c r="B735" s="5">
        <v>596</v>
      </c>
      <c r="C735" s="5">
        <v>0</v>
      </c>
      <c r="D735" s="5">
        <f t="shared" si="55"/>
        <v>596</v>
      </c>
      <c r="E735" s="6">
        <v>18.892700000000001</v>
      </c>
      <c r="F735" s="6">
        <f t="shared" si="56"/>
        <v>11260.049200000001</v>
      </c>
      <c r="G735" t="s">
        <v>330</v>
      </c>
      <c r="H735">
        <v>9011</v>
      </c>
      <c r="I735" t="str">
        <f>IFERROR(_xlfn.XLOOKUP($A735,'Base SKUs'!$E:$E,'Base SKUs'!A:A),"")</f>
        <v>Architecture</v>
      </c>
      <c r="J735" t="str">
        <f>IFERROR(_xlfn.XLOOKUP($A735,'Base SKUs'!$E:$E,'Base SKUs'!B:B),"")</f>
        <v>New York</v>
      </c>
      <c r="K735" t="str">
        <f>IFERROR(_xlfn.XLOOKUP($A735,'Base SKUs'!$E:$E,'Base SKUs'!C:C),"")</f>
        <v>Long</v>
      </c>
      <c r="L735" t="str">
        <f>IFERROR(_xlfn.XLOOKUP($A735,'Base SKUs'!$E:$E,'Base SKUs'!D:D),"")</f>
        <v>Norx</v>
      </c>
      <c r="M735" t="str">
        <f>IFERROR(_xlfn.XLOOKUP($A735,'Base SKUs'!$E:$E,'Base SKUs'!G:G),"")</f>
        <v>Empire State</v>
      </c>
      <c r="N735" t="str">
        <f>IFERROR(_xlfn.XLOOKUP($A735,'Base SKUs'!$E:$E,'Base SKUs'!H:H),"")</f>
        <v>Profile</v>
      </c>
      <c r="O735" t="str">
        <f>IFERROR(_xlfn.XLOOKUP($A735,'Base SKUs'!$E:$E,'Base SKUs'!I:I),"")</f>
        <v>-</v>
      </c>
      <c r="P735" t="str">
        <f>IFERROR(_xlfn.XLOOKUP($A735,'Base SKUs'!$E:$E,'Base SKUs'!J:J),"")</f>
        <v>1x6</v>
      </c>
      <c r="Q735">
        <f>IFERROR(_xlfn.XLOOKUP($A735,'Base SKUs'!$E:$E,'Base SKUs'!K:K),"")</f>
        <v>16</v>
      </c>
      <c r="R735" s="7">
        <f>IFERROR(_xlfn.XLOOKUP($A735,'Base SKUs'!$E:$E,'Base SKUs'!S:S),"")</f>
        <v>0</v>
      </c>
      <c r="S735" s="8">
        <f t="shared" si="57"/>
        <v>596</v>
      </c>
      <c r="T735" s="7">
        <f>IFERROR(_xlfn.XLOOKUP($A735,'Base SKUs'!$E:$E,'Base SKUs'!R:R),"")</f>
        <v>0</v>
      </c>
      <c r="U735" s="15">
        <f t="shared" si="58"/>
        <v>596</v>
      </c>
      <c r="V735" t="str">
        <f t="shared" si="59"/>
        <v>New York</v>
      </c>
    </row>
    <row r="736" spans="1:22" x14ac:dyDescent="0.2">
      <c r="A736" t="s">
        <v>1005</v>
      </c>
      <c r="B736" s="5">
        <v>50</v>
      </c>
      <c r="C736" s="5">
        <v>0</v>
      </c>
      <c r="D736" s="5">
        <f t="shared" si="55"/>
        <v>50</v>
      </c>
      <c r="E736" s="6">
        <v>24.369</v>
      </c>
      <c r="F736" s="6">
        <f t="shared" si="56"/>
        <v>1218.45</v>
      </c>
      <c r="G736" t="s">
        <v>330</v>
      </c>
      <c r="H736">
        <v>9011</v>
      </c>
      <c r="I736" t="str">
        <f>IFERROR(_xlfn.XLOOKUP($A736,'Base SKUs'!$E:$E,'Base SKUs'!A:A),"")</f>
        <v>Architecture</v>
      </c>
      <c r="J736" t="str">
        <f>IFERROR(_xlfn.XLOOKUP($A736,'Base SKUs'!$E:$E,'Base SKUs'!B:B),"")</f>
        <v>Fascia</v>
      </c>
      <c r="K736" t="str">
        <f>IFERROR(_xlfn.XLOOKUP($A736,'Base SKUs'!$E:$E,'Base SKUs'!C:C),"")</f>
        <v>Long</v>
      </c>
      <c r="L736" t="str">
        <f>IFERROR(_xlfn.XLOOKUP($A736,'Base SKUs'!$E:$E,'Base SKUs'!D:D),"")</f>
        <v>Norx</v>
      </c>
      <c r="M736" t="str">
        <f>IFERROR(_xlfn.XLOOKUP($A736,'Base SKUs'!$E:$E,'Base SKUs'!G:G),"")</f>
        <v>Fascia Charcoal</v>
      </c>
      <c r="N736" t="str">
        <f>IFERROR(_xlfn.XLOOKUP($A736,'Base SKUs'!$E:$E,'Base SKUs'!H:H),"")</f>
        <v>Profile</v>
      </c>
      <c r="O736" t="str">
        <f>IFERROR(_xlfn.XLOOKUP($A736,'Base SKUs'!$E:$E,'Base SKUs'!I:I),"")</f>
        <v>-</v>
      </c>
      <c r="P736" t="str">
        <f>IFERROR(_xlfn.XLOOKUP($A736,'Base SKUs'!$E:$E,'Base SKUs'!J:J),"")</f>
        <v>1x6</v>
      </c>
      <c r="Q736">
        <f>IFERROR(_xlfn.XLOOKUP($A736,'Base SKUs'!$E:$E,'Base SKUs'!K:K),"")</f>
        <v>16</v>
      </c>
      <c r="R736" s="7">
        <f>IFERROR(_xlfn.XLOOKUP($A736,'Base SKUs'!$E:$E,'Base SKUs'!S:S),"")</f>
        <v>0</v>
      </c>
      <c r="S736" s="8">
        <f t="shared" si="57"/>
        <v>50</v>
      </c>
      <c r="T736" s="7">
        <f>IFERROR(_xlfn.XLOOKUP($A736,'Base SKUs'!$E:$E,'Base SKUs'!R:R),"")</f>
        <v>0</v>
      </c>
      <c r="U736" s="15">
        <f t="shared" si="58"/>
        <v>50</v>
      </c>
      <c r="V736" t="str">
        <f t="shared" si="59"/>
        <v>New York</v>
      </c>
    </row>
    <row r="737" spans="1:22" x14ac:dyDescent="0.2">
      <c r="A737" t="s">
        <v>1007</v>
      </c>
      <c r="B737" s="5">
        <v>50</v>
      </c>
      <c r="C737" s="5">
        <v>0</v>
      </c>
      <c r="D737" s="5">
        <f t="shared" si="55"/>
        <v>50</v>
      </c>
      <c r="E737" s="6">
        <v>24.369</v>
      </c>
      <c r="F737" s="6">
        <f t="shared" si="56"/>
        <v>1218.45</v>
      </c>
      <c r="G737" t="s">
        <v>330</v>
      </c>
      <c r="H737">
        <v>9011</v>
      </c>
      <c r="I737" t="str">
        <f>IFERROR(_xlfn.XLOOKUP($A737,'Base SKUs'!$E:$E,'Base SKUs'!A:A),"")</f>
        <v>Architecture</v>
      </c>
      <c r="J737" t="str">
        <f>IFERROR(_xlfn.XLOOKUP($A737,'Base SKUs'!$E:$E,'Base SKUs'!B:B),"")</f>
        <v>Fascia</v>
      </c>
      <c r="K737" t="str">
        <f>IFERROR(_xlfn.XLOOKUP($A737,'Base SKUs'!$E:$E,'Base SKUs'!C:C),"")</f>
        <v>Long</v>
      </c>
      <c r="L737" t="str">
        <f>IFERROR(_xlfn.XLOOKUP($A737,'Base SKUs'!$E:$E,'Base SKUs'!D:D),"")</f>
        <v>Norx</v>
      </c>
      <c r="M737" t="str">
        <f>IFERROR(_xlfn.XLOOKUP($A737,'Base SKUs'!$E:$E,'Base SKUs'!G:G),"")</f>
        <v>Fascia Dark Brown</v>
      </c>
      <c r="N737" t="str">
        <f>IFERROR(_xlfn.XLOOKUP($A737,'Base SKUs'!$E:$E,'Base SKUs'!H:H),"")</f>
        <v>Profile</v>
      </c>
      <c r="O737" t="str">
        <f>IFERROR(_xlfn.XLOOKUP($A737,'Base SKUs'!$E:$E,'Base SKUs'!I:I),"")</f>
        <v>-</v>
      </c>
      <c r="P737" t="str">
        <f>IFERROR(_xlfn.XLOOKUP($A737,'Base SKUs'!$E:$E,'Base SKUs'!J:J),"")</f>
        <v>1x6</v>
      </c>
      <c r="Q737">
        <f>IFERROR(_xlfn.XLOOKUP($A737,'Base SKUs'!$E:$E,'Base SKUs'!K:K),"")</f>
        <v>16</v>
      </c>
      <c r="R737" s="7">
        <f>IFERROR(_xlfn.XLOOKUP($A737,'Base SKUs'!$E:$E,'Base SKUs'!S:S),"")</f>
        <v>0</v>
      </c>
      <c r="S737" s="8">
        <f t="shared" si="57"/>
        <v>50</v>
      </c>
      <c r="T737" s="7">
        <f>IFERROR(_xlfn.XLOOKUP($A737,'Base SKUs'!$E:$E,'Base SKUs'!R:R),"")</f>
        <v>0</v>
      </c>
      <c r="U737" s="15">
        <f t="shared" si="58"/>
        <v>50</v>
      </c>
      <c r="V737" t="str">
        <f t="shared" si="59"/>
        <v>New York</v>
      </c>
    </row>
    <row r="738" spans="1:22" x14ac:dyDescent="0.2">
      <c r="A738" t="s">
        <v>1009</v>
      </c>
      <c r="B738" s="5">
        <v>50</v>
      </c>
      <c r="C738" s="5">
        <v>0</v>
      </c>
      <c r="D738" s="5">
        <f t="shared" si="55"/>
        <v>50</v>
      </c>
      <c r="E738" s="6">
        <v>24.369</v>
      </c>
      <c r="F738" s="6">
        <f t="shared" si="56"/>
        <v>1218.45</v>
      </c>
      <c r="G738" t="s">
        <v>330</v>
      </c>
      <c r="H738">
        <v>9011</v>
      </c>
      <c r="I738" t="str">
        <f>IFERROR(_xlfn.XLOOKUP($A738,'Base SKUs'!$E:$E,'Base SKUs'!A:A),"")</f>
        <v>Architecture</v>
      </c>
      <c r="J738" t="str">
        <f>IFERROR(_xlfn.XLOOKUP($A738,'Base SKUs'!$E:$E,'Base SKUs'!B:B),"")</f>
        <v>Fascia</v>
      </c>
      <c r="K738" t="str">
        <f>IFERROR(_xlfn.XLOOKUP($A738,'Base SKUs'!$E:$E,'Base SKUs'!C:C),"")</f>
        <v>Long</v>
      </c>
      <c r="L738" t="str">
        <f>IFERROR(_xlfn.XLOOKUP($A738,'Base SKUs'!$E:$E,'Base SKUs'!D:D),"")</f>
        <v>Norx</v>
      </c>
      <c r="M738" t="str">
        <f>IFERROR(_xlfn.XLOOKUP($A738,'Base SKUs'!$E:$E,'Base SKUs'!G:G),"")</f>
        <v>Fascia Gray</v>
      </c>
      <c r="N738" t="str">
        <f>IFERROR(_xlfn.XLOOKUP($A738,'Base SKUs'!$E:$E,'Base SKUs'!H:H),"")</f>
        <v>Profile</v>
      </c>
      <c r="O738" t="str">
        <f>IFERROR(_xlfn.XLOOKUP($A738,'Base SKUs'!$E:$E,'Base SKUs'!I:I),"")</f>
        <v>-</v>
      </c>
      <c r="P738" t="str">
        <f>IFERROR(_xlfn.XLOOKUP($A738,'Base SKUs'!$E:$E,'Base SKUs'!J:J),"")</f>
        <v>1x6</v>
      </c>
      <c r="Q738">
        <f>IFERROR(_xlfn.XLOOKUP($A738,'Base SKUs'!$E:$E,'Base SKUs'!K:K),"")</f>
        <v>16</v>
      </c>
      <c r="R738" s="7">
        <f>IFERROR(_xlfn.XLOOKUP($A738,'Base SKUs'!$E:$E,'Base SKUs'!S:S),"")</f>
        <v>0</v>
      </c>
      <c r="S738" s="8">
        <f t="shared" si="57"/>
        <v>50</v>
      </c>
      <c r="T738" s="7">
        <f>IFERROR(_xlfn.XLOOKUP($A738,'Base SKUs'!$E:$E,'Base SKUs'!R:R),"")</f>
        <v>0</v>
      </c>
      <c r="U738" s="15">
        <f t="shared" si="58"/>
        <v>50</v>
      </c>
      <c r="V738" t="str">
        <f t="shared" si="59"/>
        <v>New York</v>
      </c>
    </row>
    <row r="739" spans="1:22" x14ac:dyDescent="0.2">
      <c r="A739" t="s">
        <v>1011</v>
      </c>
      <c r="B739" s="5">
        <v>50</v>
      </c>
      <c r="C739" s="5">
        <v>0</v>
      </c>
      <c r="D739" s="5">
        <f t="shared" si="55"/>
        <v>50</v>
      </c>
      <c r="E739" s="6">
        <v>24.369</v>
      </c>
      <c r="F739" s="6">
        <f t="shared" si="56"/>
        <v>1218.45</v>
      </c>
      <c r="G739" t="s">
        <v>330</v>
      </c>
      <c r="H739">
        <v>9011</v>
      </c>
      <c r="I739" t="str">
        <f>IFERROR(_xlfn.XLOOKUP($A739,'Base SKUs'!$E:$E,'Base SKUs'!A:A),"")</f>
        <v>Architecture</v>
      </c>
      <c r="J739" t="str">
        <f>IFERROR(_xlfn.XLOOKUP($A739,'Base SKUs'!$E:$E,'Base SKUs'!B:B),"")</f>
        <v>Fascia</v>
      </c>
      <c r="K739" t="str">
        <f>IFERROR(_xlfn.XLOOKUP($A739,'Base SKUs'!$E:$E,'Base SKUs'!C:C),"")</f>
        <v>Long</v>
      </c>
      <c r="L739" t="str">
        <f>IFERROR(_xlfn.XLOOKUP($A739,'Base SKUs'!$E:$E,'Base SKUs'!D:D),"")</f>
        <v>Norx</v>
      </c>
      <c r="M739" t="str">
        <f>IFERROR(_xlfn.XLOOKUP($A739,'Base SKUs'!$E:$E,'Base SKUs'!G:G),"")</f>
        <v>Fascia Light Brown</v>
      </c>
      <c r="N739" t="str">
        <f>IFERROR(_xlfn.XLOOKUP($A739,'Base SKUs'!$E:$E,'Base SKUs'!H:H),"")</f>
        <v>Profile</v>
      </c>
      <c r="O739" t="str">
        <f>IFERROR(_xlfn.XLOOKUP($A739,'Base SKUs'!$E:$E,'Base SKUs'!I:I),"")</f>
        <v>-</v>
      </c>
      <c r="P739" t="str">
        <f>IFERROR(_xlfn.XLOOKUP($A739,'Base SKUs'!$E:$E,'Base SKUs'!J:J),"")</f>
        <v>1x6</v>
      </c>
      <c r="Q739">
        <f>IFERROR(_xlfn.XLOOKUP($A739,'Base SKUs'!$E:$E,'Base SKUs'!K:K),"")</f>
        <v>16</v>
      </c>
      <c r="R739" s="7">
        <f>IFERROR(_xlfn.XLOOKUP($A739,'Base SKUs'!$E:$E,'Base SKUs'!S:S),"")</f>
        <v>0</v>
      </c>
      <c r="S739" s="8">
        <f t="shared" si="57"/>
        <v>50</v>
      </c>
      <c r="T739" s="7">
        <f>IFERROR(_xlfn.XLOOKUP($A739,'Base SKUs'!$E:$E,'Base SKUs'!R:R),"")</f>
        <v>0</v>
      </c>
      <c r="U739" s="15">
        <f t="shared" si="58"/>
        <v>50</v>
      </c>
      <c r="V739" t="str">
        <f t="shared" si="59"/>
        <v>New York</v>
      </c>
    </row>
    <row r="740" spans="1:22" x14ac:dyDescent="0.2">
      <c r="A740" t="s">
        <v>1013</v>
      </c>
      <c r="B740" s="5">
        <v>690</v>
      </c>
      <c r="C740" s="5">
        <v>0</v>
      </c>
      <c r="D740" s="5">
        <f t="shared" si="55"/>
        <v>690</v>
      </c>
      <c r="E740" s="6">
        <v>43.015799999999999</v>
      </c>
      <c r="F740" s="6">
        <f t="shared" si="56"/>
        <v>29680.901999999998</v>
      </c>
      <c r="G740" t="s">
        <v>24</v>
      </c>
      <c r="H740">
        <v>9008</v>
      </c>
      <c r="I740" t="str">
        <f>IFERROR(_xlfn.XLOOKUP($A740,'Base SKUs'!$E:$E,'Base SKUs'!A:A),"")</f>
        <v>Architecture</v>
      </c>
      <c r="J740" t="str">
        <f>IFERROR(_xlfn.XLOOKUP($A740,'Base SKUs'!$E:$E,'Base SKUs'!B:B),"")</f>
        <v>London</v>
      </c>
      <c r="K740" t="str">
        <f>IFERROR(_xlfn.XLOOKUP($A740,'Base SKUs'!$E:$E,'Base SKUs'!C:C),"")</f>
        <v>Long</v>
      </c>
      <c r="L740" t="str">
        <f>IFERROR(_xlfn.XLOOKUP($A740,'Base SKUs'!$E:$E,'Base SKUs'!D:D),"")</f>
        <v>Norx</v>
      </c>
      <c r="M740" t="str">
        <f>IFERROR(_xlfn.XLOOKUP($A740,'Base SKUs'!$E:$E,'Base SKUs'!G:G),"")</f>
        <v>Hyde Park</v>
      </c>
      <c r="N740" t="str">
        <f>IFERROR(_xlfn.XLOOKUP($A740,'Base SKUs'!$E:$E,'Base SKUs'!H:H),"")</f>
        <v>Profile</v>
      </c>
      <c r="O740" t="str">
        <f>IFERROR(_xlfn.XLOOKUP($A740,'Base SKUs'!$E:$E,'Base SKUs'!I:I),"")</f>
        <v>-</v>
      </c>
      <c r="P740" t="str">
        <f>IFERROR(_xlfn.XLOOKUP($A740,'Base SKUs'!$E:$E,'Base SKUs'!J:J),"")</f>
        <v>1x8</v>
      </c>
      <c r="Q740">
        <f>IFERROR(_xlfn.XLOOKUP($A740,'Base SKUs'!$E:$E,'Base SKUs'!K:K),"")</f>
        <v>16</v>
      </c>
      <c r="R740" s="7">
        <f>IFERROR(_xlfn.XLOOKUP($A740,'Base SKUs'!$E:$E,'Base SKUs'!S:S),"")</f>
        <v>0</v>
      </c>
      <c r="S740" s="8">
        <f t="shared" si="57"/>
        <v>690</v>
      </c>
      <c r="T740" s="7">
        <f>IFERROR(_xlfn.XLOOKUP($A740,'Base SKUs'!$E:$E,'Base SKUs'!R:R),"")</f>
        <v>0</v>
      </c>
      <c r="U740" s="15">
        <f t="shared" si="58"/>
        <v>690</v>
      </c>
      <c r="V740" t="str">
        <f t="shared" si="59"/>
        <v>Texas</v>
      </c>
    </row>
    <row r="741" spans="1:22" x14ac:dyDescent="0.2">
      <c r="A741" t="s">
        <v>1013</v>
      </c>
      <c r="B741" s="5">
        <v>240</v>
      </c>
      <c r="C741" s="5">
        <v>0</v>
      </c>
      <c r="D741" s="5">
        <f t="shared" si="55"/>
        <v>240</v>
      </c>
      <c r="E741" s="6">
        <v>59.934399999999997</v>
      </c>
      <c r="F741" s="6">
        <f t="shared" si="56"/>
        <v>14384.255999999999</v>
      </c>
      <c r="G741" t="s">
        <v>6129</v>
      </c>
      <c r="H741">
        <v>9015</v>
      </c>
      <c r="I741" t="str">
        <f>IFERROR(_xlfn.XLOOKUP($A741,'Base SKUs'!$E:$E,'Base SKUs'!A:A),"")</f>
        <v>Architecture</v>
      </c>
      <c r="J741" t="str">
        <f>IFERROR(_xlfn.XLOOKUP($A741,'Base SKUs'!$E:$E,'Base SKUs'!B:B),"")</f>
        <v>London</v>
      </c>
      <c r="K741" t="str">
        <f>IFERROR(_xlfn.XLOOKUP($A741,'Base SKUs'!$E:$E,'Base SKUs'!C:C),"")</f>
        <v>Long</v>
      </c>
      <c r="L741" t="str">
        <f>IFERROR(_xlfn.XLOOKUP($A741,'Base SKUs'!$E:$E,'Base SKUs'!D:D),"")</f>
        <v>Norx</v>
      </c>
      <c r="M741" t="str">
        <f>IFERROR(_xlfn.XLOOKUP($A741,'Base SKUs'!$E:$E,'Base SKUs'!G:G),"")</f>
        <v>Hyde Park</v>
      </c>
      <c r="N741" t="str">
        <f>IFERROR(_xlfn.XLOOKUP($A741,'Base SKUs'!$E:$E,'Base SKUs'!H:H),"")</f>
        <v>Profile</v>
      </c>
      <c r="O741" t="str">
        <f>IFERROR(_xlfn.XLOOKUP($A741,'Base SKUs'!$E:$E,'Base SKUs'!I:I),"")</f>
        <v>-</v>
      </c>
      <c r="P741" t="str">
        <f>IFERROR(_xlfn.XLOOKUP($A741,'Base SKUs'!$E:$E,'Base SKUs'!J:J),"")</f>
        <v>1x8</v>
      </c>
      <c r="Q741">
        <f>IFERROR(_xlfn.XLOOKUP($A741,'Base SKUs'!$E:$E,'Base SKUs'!K:K),"")</f>
        <v>16</v>
      </c>
      <c r="R741" s="7">
        <f>IFERROR(_xlfn.XLOOKUP($A741,'Base SKUs'!$E:$E,'Base SKUs'!S:S),"")</f>
        <v>0</v>
      </c>
      <c r="S741" s="8">
        <f t="shared" si="57"/>
        <v>240</v>
      </c>
      <c r="T741" s="7">
        <f>IFERROR(_xlfn.XLOOKUP($A741,'Base SKUs'!$E:$E,'Base SKUs'!R:R),"")</f>
        <v>0</v>
      </c>
      <c r="U741" s="15">
        <f t="shared" si="58"/>
        <v>240</v>
      </c>
      <c r="V741" t="str">
        <f t="shared" si="59"/>
        <v>Russin</v>
      </c>
    </row>
    <row r="742" spans="1:22" x14ac:dyDescent="0.2">
      <c r="A742" t="s">
        <v>1015</v>
      </c>
      <c r="B742" s="5">
        <v>240</v>
      </c>
      <c r="C742" s="5">
        <v>0</v>
      </c>
      <c r="D742" s="5">
        <f t="shared" si="55"/>
        <v>240</v>
      </c>
      <c r="E742" s="6">
        <v>61.738300000000002</v>
      </c>
      <c r="F742" s="6">
        <f t="shared" si="56"/>
        <v>14817.192000000001</v>
      </c>
      <c r="G742" t="s">
        <v>6129</v>
      </c>
      <c r="H742">
        <v>9015</v>
      </c>
      <c r="I742" t="str">
        <f>IFERROR(_xlfn.XLOOKUP($A742,'Base SKUs'!$E:$E,'Base SKUs'!A:A),"")</f>
        <v>Architecture</v>
      </c>
      <c r="J742" t="str">
        <f>IFERROR(_xlfn.XLOOKUP($A742,'Base SKUs'!$E:$E,'Base SKUs'!B:B),"")</f>
        <v>London</v>
      </c>
      <c r="K742" t="str">
        <f>IFERROR(_xlfn.XLOOKUP($A742,'Base SKUs'!$E:$E,'Base SKUs'!C:C),"")</f>
        <v>Long</v>
      </c>
      <c r="L742" t="str">
        <f>IFERROR(_xlfn.XLOOKUP($A742,'Base SKUs'!$E:$E,'Base SKUs'!D:D),"")</f>
        <v>Norx</v>
      </c>
      <c r="M742" t="str">
        <f>IFERROR(_xlfn.XLOOKUP($A742,'Base SKUs'!$E:$E,'Base SKUs'!G:G),"")</f>
        <v>Mayfair</v>
      </c>
      <c r="N742" t="str">
        <f>IFERROR(_xlfn.XLOOKUP($A742,'Base SKUs'!$E:$E,'Base SKUs'!H:H),"")</f>
        <v>Profile</v>
      </c>
      <c r="O742" t="str">
        <f>IFERROR(_xlfn.XLOOKUP($A742,'Base SKUs'!$E:$E,'Base SKUs'!I:I),"")</f>
        <v>-</v>
      </c>
      <c r="P742" t="str">
        <f>IFERROR(_xlfn.XLOOKUP($A742,'Base SKUs'!$E:$E,'Base SKUs'!J:J),"")</f>
        <v>1x8</v>
      </c>
      <c r="Q742">
        <f>IFERROR(_xlfn.XLOOKUP($A742,'Base SKUs'!$E:$E,'Base SKUs'!K:K),"")</f>
        <v>16</v>
      </c>
      <c r="R742" s="7">
        <f>IFERROR(_xlfn.XLOOKUP($A742,'Base SKUs'!$E:$E,'Base SKUs'!S:S),"")</f>
        <v>0</v>
      </c>
      <c r="S742" s="8">
        <f t="shared" si="57"/>
        <v>240</v>
      </c>
      <c r="T742" s="7">
        <f>IFERROR(_xlfn.XLOOKUP($A742,'Base SKUs'!$E:$E,'Base SKUs'!R:R),"")</f>
        <v>0</v>
      </c>
      <c r="U742" s="15">
        <f t="shared" si="58"/>
        <v>240</v>
      </c>
      <c r="V742" t="str">
        <f t="shared" si="59"/>
        <v>Russin</v>
      </c>
    </row>
    <row r="743" spans="1:22" x14ac:dyDescent="0.2">
      <c r="A743" t="s">
        <v>1017</v>
      </c>
      <c r="B743" s="5">
        <v>414</v>
      </c>
      <c r="C743" s="5">
        <v>0</v>
      </c>
      <c r="D743" s="5">
        <f t="shared" si="55"/>
        <v>414</v>
      </c>
      <c r="E743" s="6">
        <v>34.4039</v>
      </c>
      <c r="F743" s="6">
        <f t="shared" si="56"/>
        <v>14243.214599999999</v>
      </c>
      <c r="G743" t="s">
        <v>330</v>
      </c>
      <c r="H743">
        <v>9011</v>
      </c>
      <c r="I743" t="str">
        <f>IFERROR(_xlfn.XLOOKUP($A743,'Base SKUs'!$E:$E,'Base SKUs'!A:A),"")</f>
        <v>Architecture</v>
      </c>
      <c r="J743" t="str">
        <f>IFERROR(_xlfn.XLOOKUP($A743,'Base SKUs'!$E:$E,'Base SKUs'!B:B),"")</f>
        <v>Rome</v>
      </c>
      <c r="K743" t="str">
        <f>IFERROR(_xlfn.XLOOKUP($A743,'Base SKUs'!$E:$E,'Base SKUs'!C:C),"")</f>
        <v>Long</v>
      </c>
      <c r="L743" t="str">
        <f>IFERROR(_xlfn.XLOOKUP($A743,'Base SKUs'!$E:$E,'Base SKUs'!D:D),"")</f>
        <v>Norx</v>
      </c>
      <c r="M743" t="str">
        <f>IFERROR(_xlfn.XLOOKUP($A743,'Base SKUs'!$E:$E,'Base SKUs'!G:G),"")</f>
        <v>Navona</v>
      </c>
      <c r="N743" t="str">
        <f>IFERROR(_xlfn.XLOOKUP($A743,'Base SKUs'!$E:$E,'Base SKUs'!H:H),"")</f>
        <v>Profile</v>
      </c>
      <c r="O743" t="str">
        <f>IFERROR(_xlfn.XLOOKUP($A743,'Base SKUs'!$E:$E,'Base SKUs'!I:I),"")</f>
        <v>-</v>
      </c>
      <c r="P743" t="str">
        <f>IFERROR(_xlfn.XLOOKUP($A743,'Base SKUs'!$E:$E,'Base SKUs'!J:J),"")</f>
        <v>1x7</v>
      </c>
      <c r="Q743">
        <f>IFERROR(_xlfn.XLOOKUP($A743,'Base SKUs'!$E:$E,'Base SKUs'!K:K),"")</f>
        <v>16</v>
      </c>
      <c r="R743" s="7">
        <f>IFERROR(_xlfn.XLOOKUP($A743,'Base SKUs'!$E:$E,'Base SKUs'!S:S),"")</f>
        <v>0</v>
      </c>
      <c r="S743" s="8">
        <f t="shared" si="57"/>
        <v>414</v>
      </c>
      <c r="T743" s="7">
        <f>IFERROR(_xlfn.XLOOKUP($A743,'Base SKUs'!$E:$E,'Base SKUs'!R:R),"")</f>
        <v>0</v>
      </c>
      <c r="U743" s="15">
        <f t="shared" si="58"/>
        <v>414</v>
      </c>
      <c r="V743" t="str">
        <f t="shared" si="59"/>
        <v>New York</v>
      </c>
    </row>
    <row r="744" spans="1:22" x14ac:dyDescent="0.2">
      <c r="A744" t="s">
        <v>1019</v>
      </c>
      <c r="B744" s="5">
        <v>85</v>
      </c>
      <c r="C744" s="5">
        <v>0</v>
      </c>
      <c r="D744" s="5">
        <f t="shared" si="55"/>
        <v>85</v>
      </c>
      <c r="E744" s="6">
        <v>13.290699999999999</v>
      </c>
      <c r="F744" s="6">
        <f t="shared" si="56"/>
        <v>1129.7094999999999</v>
      </c>
      <c r="G744" t="s">
        <v>17</v>
      </c>
      <c r="H744">
        <v>9007</v>
      </c>
      <c r="I744" t="str">
        <f>IFERROR(_xlfn.XLOOKUP($A744,'Base SKUs'!$E:$E,'Base SKUs'!A:A),"")</f>
        <v>Architecture</v>
      </c>
      <c r="J744" t="str">
        <f>IFERROR(_xlfn.XLOOKUP($A744,'Base SKUs'!$E:$E,'Base SKUs'!B:B),"")</f>
        <v>New York</v>
      </c>
      <c r="K744" t="str">
        <f>IFERROR(_xlfn.XLOOKUP($A744,'Base SKUs'!$E:$E,'Base SKUs'!C:C),"")</f>
        <v>Clip</v>
      </c>
      <c r="L744" t="str">
        <f>IFERROR(_xlfn.XLOOKUP($A744,'Base SKUs'!$E:$E,'Base SKUs'!D:D),"")</f>
        <v>Norx</v>
      </c>
      <c r="M744" t="str">
        <f>IFERROR(_xlfn.XLOOKUP($A744,'Base SKUs'!$E:$E,'Base SKUs'!G:G),"")</f>
        <v>Steel Clip and 40mm Screw</v>
      </c>
      <c r="N744" t="str">
        <f>IFERROR(_xlfn.XLOOKUP($A744,'Base SKUs'!$E:$E,'Base SKUs'!H:H),"")</f>
        <v>Box</v>
      </c>
      <c r="O744" t="str">
        <f>IFERROR(_xlfn.XLOOKUP($A744,'Base SKUs'!$E:$E,'Base SKUs'!I:I),"")</f>
        <v>-</v>
      </c>
      <c r="P744" t="str">
        <f>IFERROR(_xlfn.XLOOKUP($A744,'Base SKUs'!$E:$E,'Base SKUs'!J:J),"")</f>
        <v>Box</v>
      </c>
      <c r="Q744">
        <f>IFERROR(_xlfn.XLOOKUP($A744,'Base SKUs'!$E:$E,'Base SKUs'!K:K),"")</f>
        <v>0</v>
      </c>
      <c r="R744" s="7">
        <f>IFERROR(_xlfn.XLOOKUP($A744,'Base SKUs'!$E:$E,'Base SKUs'!S:S),"")</f>
        <v>0</v>
      </c>
      <c r="S744" s="8">
        <f t="shared" si="57"/>
        <v>85</v>
      </c>
      <c r="T744" s="7">
        <f>IFERROR(_xlfn.XLOOKUP($A744,'Base SKUs'!$E:$E,'Base SKUs'!R:R),"")</f>
        <v>0</v>
      </c>
      <c r="U744" s="15">
        <f t="shared" si="58"/>
        <v>85</v>
      </c>
      <c r="V744" t="str">
        <f t="shared" si="59"/>
        <v>Miami</v>
      </c>
    </row>
    <row r="745" spans="1:22" x14ac:dyDescent="0.2">
      <c r="A745" t="s">
        <v>1021</v>
      </c>
      <c r="B745" s="5">
        <v>115</v>
      </c>
      <c r="C745" s="5">
        <v>0</v>
      </c>
      <c r="D745" s="5">
        <f t="shared" si="55"/>
        <v>115</v>
      </c>
      <c r="E745" s="6">
        <v>22.05</v>
      </c>
      <c r="F745" s="6">
        <f t="shared" si="56"/>
        <v>2535.75</v>
      </c>
      <c r="G745" t="s">
        <v>17</v>
      </c>
      <c r="H745">
        <v>9007</v>
      </c>
      <c r="I745" t="str">
        <f>IFERROR(_xlfn.XLOOKUP($A745,'Base SKUs'!$E:$E,'Base SKUs'!A:A),"")</f>
        <v>Architecture</v>
      </c>
      <c r="J745" t="str">
        <f>IFERROR(_xlfn.XLOOKUP($A745,'Base SKUs'!$E:$E,'Base SKUs'!B:B),"")</f>
        <v>New York</v>
      </c>
      <c r="K745" t="str">
        <f>IFERROR(_xlfn.XLOOKUP($A745,'Base SKUs'!$E:$E,'Base SKUs'!C:C),"")</f>
        <v>Clip</v>
      </c>
      <c r="L745" t="str">
        <f>IFERROR(_xlfn.XLOOKUP($A745,'Base SKUs'!$E:$E,'Base SKUs'!D:D),"")</f>
        <v>Norx</v>
      </c>
      <c r="M745" t="str">
        <f>IFERROR(_xlfn.XLOOKUP($A745,'Base SKUs'!$E:$E,'Base SKUs'!G:G),"")</f>
        <v>Steel Starter Clip</v>
      </c>
      <c r="N745" t="str">
        <f>IFERROR(_xlfn.XLOOKUP($A745,'Base SKUs'!$E:$E,'Base SKUs'!H:H),"")</f>
        <v>Box</v>
      </c>
      <c r="O745" t="str">
        <f>IFERROR(_xlfn.XLOOKUP($A745,'Base SKUs'!$E:$E,'Base SKUs'!I:I),"")</f>
        <v>-</v>
      </c>
      <c r="P745" t="str">
        <f>IFERROR(_xlfn.XLOOKUP($A745,'Base SKUs'!$E:$E,'Base SKUs'!J:J),"")</f>
        <v>Box</v>
      </c>
      <c r="Q745">
        <f>IFERROR(_xlfn.XLOOKUP($A745,'Base SKUs'!$E:$E,'Base SKUs'!K:K),"")</f>
        <v>0</v>
      </c>
      <c r="R745" s="7">
        <f>IFERROR(_xlfn.XLOOKUP($A745,'Base SKUs'!$E:$E,'Base SKUs'!S:S),"")</f>
        <v>0</v>
      </c>
      <c r="S745" s="8">
        <f t="shared" si="57"/>
        <v>115</v>
      </c>
      <c r="T745" s="7">
        <f>IFERROR(_xlfn.XLOOKUP($A745,'Base SKUs'!$E:$E,'Base SKUs'!R:R),"")</f>
        <v>0</v>
      </c>
      <c r="U745" s="15">
        <f t="shared" si="58"/>
        <v>115</v>
      </c>
      <c r="V745" t="str">
        <f t="shared" si="59"/>
        <v>Miami</v>
      </c>
    </row>
    <row r="746" spans="1:22" x14ac:dyDescent="0.2">
      <c r="A746" t="s">
        <v>1023</v>
      </c>
      <c r="B746" s="5">
        <v>180</v>
      </c>
      <c r="C746" s="5">
        <v>0</v>
      </c>
      <c r="D746" s="5">
        <f t="shared" si="55"/>
        <v>180</v>
      </c>
      <c r="E746" s="6">
        <v>13.65</v>
      </c>
      <c r="F746" s="6">
        <f t="shared" si="56"/>
        <v>2457</v>
      </c>
      <c r="G746" t="s">
        <v>17</v>
      </c>
      <c r="H746">
        <v>9007</v>
      </c>
      <c r="I746" t="str">
        <f>IFERROR(_xlfn.XLOOKUP($A746,'Base SKUs'!$E:$E,'Base SKUs'!A:A),"")</f>
        <v>Architecture</v>
      </c>
      <c r="J746" t="str">
        <f>IFERROR(_xlfn.XLOOKUP($A746,'Base SKUs'!$E:$E,'Base SKUs'!B:B),"")</f>
        <v>New York</v>
      </c>
      <c r="K746" t="str">
        <f>IFERROR(_xlfn.XLOOKUP($A746,'Base SKUs'!$E:$E,'Base SKUs'!C:C),"")</f>
        <v>Clip</v>
      </c>
      <c r="L746" t="str">
        <f>IFERROR(_xlfn.XLOOKUP($A746,'Base SKUs'!$E:$E,'Base SKUs'!D:D),"")</f>
        <v>Norx</v>
      </c>
      <c r="M746" t="str">
        <f>IFERROR(_xlfn.XLOOKUP($A746,'Base SKUs'!$E:$E,'Base SKUs'!G:G),"")</f>
        <v>Steel Starter Clip</v>
      </c>
      <c r="N746" t="str">
        <f>IFERROR(_xlfn.XLOOKUP($A746,'Base SKUs'!$E:$E,'Base SKUs'!H:H),"")</f>
        <v>Box</v>
      </c>
      <c r="O746" t="str">
        <f>IFERROR(_xlfn.XLOOKUP($A746,'Base SKUs'!$E:$E,'Base SKUs'!I:I),"")</f>
        <v>-</v>
      </c>
      <c r="P746" t="str">
        <f>IFERROR(_xlfn.XLOOKUP($A746,'Base SKUs'!$E:$E,'Base SKUs'!J:J),"")</f>
        <v>Box</v>
      </c>
      <c r="Q746">
        <f>IFERROR(_xlfn.XLOOKUP($A746,'Base SKUs'!$E:$E,'Base SKUs'!K:K),"")</f>
        <v>0</v>
      </c>
      <c r="R746" s="7">
        <f>IFERROR(_xlfn.XLOOKUP($A746,'Base SKUs'!$E:$E,'Base SKUs'!S:S),"")</f>
        <v>0</v>
      </c>
      <c r="S746" s="8">
        <f t="shared" si="57"/>
        <v>180</v>
      </c>
      <c r="T746" s="7">
        <f>IFERROR(_xlfn.XLOOKUP($A746,'Base SKUs'!$E:$E,'Base SKUs'!R:R),"")</f>
        <v>0</v>
      </c>
      <c r="U746" s="15">
        <f t="shared" si="58"/>
        <v>180</v>
      </c>
      <c r="V746" t="str">
        <f t="shared" si="59"/>
        <v>Miami</v>
      </c>
    </row>
    <row r="747" spans="1:22" x14ac:dyDescent="0.2">
      <c r="A747" t="s">
        <v>1025</v>
      </c>
      <c r="B747" s="5">
        <v>140</v>
      </c>
      <c r="C747" s="5">
        <v>0</v>
      </c>
      <c r="D747" s="5">
        <f t="shared" si="55"/>
        <v>140</v>
      </c>
      <c r="E747" s="6">
        <v>7.3060999999999998</v>
      </c>
      <c r="F747" s="6">
        <f t="shared" si="56"/>
        <v>1022.8539999999999</v>
      </c>
      <c r="G747" t="s">
        <v>17</v>
      </c>
      <c r="H747">
        <v>9007</v>
      </c>
      <c r="I747" t="str">
        <f>IFERROR(_xlfn.XLOOKUP($A747,'Base SKUs'!$E:$E,'Base SKUs'!A:A),"")</f>
        <v>Architecture</v>
      </c>
      <c r="J747" t="str">
        <f>IFERROR(_xlfn.XLOOKUP($A747,'Base SKUs'!$E:$E,'Base SKUs'!B:B),"")</f>
        <v>New York</v>
      </c>
      <c r="K747" t="str">
        <f>IFERROR(_xlfn.XLOOKUP($A747,'Base SKUs'!$E:$E,'Base SKUs'!C:C),"")</f>
        <v>Clip</v>
      </c>
      <c r="L747" t="str">
        <f>IFERROR(_xlfn.XLOOKUP($A747,'Base SKUs'!$E:$E,'Base SKUs'!D:D),"")</f>
        <v>Norx</v>
      </c>
      <c r="M747" t="str">
        <f>IFERROR(_xlfn.XLOOKUP($A747,'Base SKUs'!$E:$E,'Base SKUs'!G:G),"")</f>
        <v>Steel Starter Clip</v>
      </c>
      <c r="N747" t="str">
        <f>IFERROR(_xlfn.XLOOKUP($A747,'Base SKUs'!$E:$E,'Base SKUs'!H:H),"")</f>
        <v>Box</v>
      </c>
      <c r="O747" t="str">
        <f>IFERROR(_xlfn.XLOOKUP($A747,'Base SKUs'!$E:$E,'Base SKUs'!I:I),"")</f>
        <v>-</v>
      </c>
      <c r="P747" t="str">
        <f>IFERROR(_xlfn.XLOOKUP($A747,'Base SKUs'!$E:$E,'Base SKUs'!J:J),"")</f>
        <v>Box</v>
      </c>
      <c r="Q747">
        <f>IFERROR(_xlfn.XLOOKUP($A747,'Base SKUs'!$E:$E,'Base SKUs'!K:K),"")</f>
        <v>0</v>
      </c>
      <c r="R747" s="7">
        <f>IFERROR(_xlfn.XLOOKUP($A747,'Base SKUs'!$E:$E,'Base SKUs'!S:S),"")</f>
        <v>0</v>
      </c>
      <c r="S747" s="8">
        <f t="shared" si="57"/>
        <v>140</v>
      </c>
      <c r="T747" s="7">
        <f>IFERROR(_xlfn.XLOOKUP($A747,'Base SKUs'!$E:$E,'Base SKUs'!R:R),"")</f>
        <v>0</v>
      </c>
      <c r="U747" s="15">
        <f t="shared" si="58"/>
        <v>140</v>
      </c>
      <c r="V747" t="str">
        <f t="shared" si="59"/>
        <v>Miami</v>
      </c>
    </row>
    <row r="748" spans="1:22" x14ac:dyDescent="0.2">
      <c r="A748" t="s">
        <v>1027</v>
      </c>
      <c r="B748" s="5">
        <v>38</v>
      </c>
      <c r="C748" s="5">
        <v>0</v>
      </c>
      <c r="D748" s="5">
        <f t="shared" si="55"/>
        <v>38</v>
      </c>
      <c r="E748" s="6">
        <v>39.774799999999999</v>
      </c>
      <c r="F748" s="6">
        <f t="shared" si="56"/>
        <v>1511.4423999999999</v>
      </c>
      <c r="G748" t="s">
        <v>330</v>
      </c>
      <c r="H748">
        <v>9011</v>
      </c>
      <c r="I748" t="str">
        <f>IFERROR(_xlfn.XLOOKUP($A748,'Base SKUs'!$E:$E,'Base SKUs'!A:A),"")</f>
        <v>Architecture</v>
      </c>
      <c r="J748" t="str">
        <f>IFERROR(_xlfn.XLOOKUP($A748,'Base SKUs'!$E:$E,'Base SKUs'!B:B),"")</f>
        <v>London</v>
      </c>
      <c r="K748" t="str">
        <f>IFERROR(_xlfn.XLOOKUP($A748,'Base SKUs'!$E:$E,'Base SKUs'!C:C),"")</f>
        <v>Long</v>
      </c>
      <c r="L748" t="str">
        <f>IFERROR(_xlfn.XLOOKUP($A748,'Base SKUs'!$E:$E,'Base SKUs'!D:D),"")</f>
        <v>Norx</v>
      </c>
      <c r="M748" t="str">
        <f>IFERROR(_xlfn.XLOOKUP($A748,'Base SKUs'!$E:$E,'Base SKUs'!G:G),"")</f>
        <v>Oxford</v>
      </c>
      <c r="N748" t="str">
        <f>IFERROR(_xlfn.XLOOKUP($A748,'Base SKUs'!$E:$E,'Base SKUs'!H:H),"")</f>
        <v>Profile</v>
      </c>
      <c r="O748" t="str">
        <f>IFERROR(_xlfn.XLOOKUP($A748,'Base SKUs'!$E:$E,'Base SKUs'!I:I),"")</f>
        <v>-</v>
      </c>
      <c r="P748" t="str">
        <f>IFERROR(_xlfn.XLOOKUP($A748,'Base SKUs'!$E:$E,'Base SKUs'!J:J),"")</f>
        <v>1x8</v>
      </c>
      <c r="Q748">
        <f>IFERROR(_xlfn.XLOOKUP($A748,'Base SKUs'!$E:$E,'Base SKUs'!K:K),"")</f>
        <v>16</v>
      </c>
      <c r="R748" s="7">
        <f>IFERROR(_xlfn.XLOOKUP($A748,'Base SKUs'!$E:$E,'Base SKUs'!S:S),"")</f>
        <v>0</v>
      </c>
      <c r="S748" s="8">
        <f t="shared" si="57"/>
        <v>38</v>
      </c>
      <c r="T748" s="7">
        <f>IFERROR(_xlfn.XLOOKUP($A748,'Base SKUs'!$E:$E,'Base SKUs'!R:R),"")</f>
        <v>0</v>
      </c>
      <c r="U748" s="15">
        <f t="shared" si="58"/>
        <v>38</v>
      </c>
      <c r="V748" t="str">
        <f t="shared" si="59"/>
        <v>New York</v>
      </c>
    </row>
    <row r="749" spans="1:22" x14ac:dyDescent="0.2">
      <c r="A749" t="s">
        <v>1027</v>
      </c>
      <c r="B749" s="5">
        <v>230</v>
      </c>
      <c r="C749" s="5">
        <v>0</v>
      </c>
      <c r="D749" s="5">
        <f t="shared" si="55"/>
        <v>230</v>
      </c>
      <c r="E749" s="6">
        <v>39.774799999999999</v>
      </c>
      <c r="F749" s="6">
        <f t="shared" si="56"/>
        <v>9148.2039999999997</v>
      </c>
      <c r="G749" t="s">
        <v>6129</v>
      </c>
      <c r="H749">
        <v>9015</v>
      </c>
      <c r="I749" t="str">
        <f>IFERROR(_xlfn.XLOOKUP($A749,'Base SKUs'!$E:$E,'Base SKUs'!A:A),"")</f>
        <v>Architecture</v>
      </c>
      <c r="J749" t="str">
        <f>IFERROR(_xlfn.XLOOKUP($A749,'Base SKUs'!$E:$E,'Base SKUs'!B:B),"")</f>
        <v>London</v>
      </c>
      <c r="K749" t="str">
        <f>IFERROR(_xlfn.XLOOKUP($A749,'Base SKUs'!$E:$E,'Base SKUs'!C:C),"")</f>
        <v>Long</v>
      </c>
      <c r="L749" t="str">
        <f>IFERROR(_xlfn.XLOOKUP($A749,'Base SKUs'!$E:$E,'Base SKUs'!D:D),"")</f>
        <v>Norx</v>
      </c>
      <c r="M749" t="str">
        <f>IFERROR(_xlfn.XLOOKUP($A749,'Base SKUs'!$E:$E,'Base SKUs'!G:G),"")</f>
        <v>Oxford</v>
      </c>
      <c r="N749" t="str">
        <f>IFERROR(_xlfn.XLOOKUP($A749,'Base SKUs'!$E:$E,'Base SKUs'!H:H),"")</f>
        <v>Profile</v>
      </c>
      <c r="O749" t="str">
        <f>IFERROR(_xlfn.XLOOKUP($A749,'Base SKUs'!$E:$E,'Base SKUs'!I:I),"")</f>
        <v>-</v>
      </c>
      <c r="P749" t="str">
        <f>IFERROR(_xlfn.XLOOKUP($A749,'Base SKUs'!$E:$E,'Base SKUs'!J:J),"")</f>
        <v>1x8</v>
      </c>
      <c r="Q749">
        <f>IFERROR(_xlfn.XLOOKUP($A749,'Base SKUs'!$E:$E,'Base SKUs'!K:K),"")</f>
        <v>16</v>
      </c>
      <c r="R749" s="7">
        <f>IFERROR(_xlfn.XLOOKUP($A749,'Base SKUs'!$E:$E,'Base SKUs'!S:S),"")</f>
        <v>0</v>
      </c>
      <c r="S749" s="8">
        <f t="shared" si="57"/>
        <v>230</v>
      </c>
      <c r="T749" s="7">
        <f>IFERROR(_xlfn.XLOOKUP($A749,'Base SKUs'!$E:$E,'Base SKUs'!R:R),"")</f>
        <v>0</v>
      </c>
      <c r="U749" s="15">
        <f t="shared" si="58"/>
        <v>230</v>
      </c>
      <c r="V749" t="str">
        <f t="shared" si="59"/>
        <v>Russin</v>
      </c>
    </row>
    <row r="750" spans="1:22" x14ac:dyDescent="0.2">
      <c r="A750" t="s">
        <v>1029</v>
      </c>
      <c r="B750" s="5">
        <v>399</v>
      </c>
      <c r="C750" s="5">
        <v>0</v>
      </c>
      <c r="D750" s="5">
        <f t="shared" si="55"/>
        <v>399</v>
      </c>
      <c r="E750" s="6">
        <v>18.439800000000002</v>
      </c>
      <c r="F750" s="6">
        <f t="shared" si="56"/>
        <v>7357.4802000000009</v>
      </c>
      <c r="G750" t="s">
        <v>125</v>
      </c>
      <c r="H750">
        <v>9009</v>
      </c>
      <c r="I750" t="str">
        <f>IFERROR(_xlfn.XLOOKUP($A750,'Base SKUs'!$E:$E,'Base SKUs'!A:A),"")</f>
        <v>Architecture</v>
      </c>
      <c r="J750" t="str">
        <f>IFERROR(_xlfn.XLOOKUP($A750,'Base SKUs'!$E:$E,'Base SKUs'!B:B),"")</f>
        <v>Rome</v>
      </c>
      <c r="K750" t="str">
        <f>IFERROR(_xlfn.XLOOKUP($A750,'Base SKUs'!$E:$E,'Base SKUs'!C:C),"")</f>
        <v>Long</v>
      </c>
      <c r="L750" t="str">
        <f>IFERROR(_xlfn.XLOOKUP($A750,'Base SKUs'!$E:$E,'Base SKUs'!D:D),"")</f>
        <v>Norx</v>
      </c>
      <c r="M750" t="str">
        <f>IFERROR(_xlfn.XLOOKUP($A750,'Base SKUs'!$E:$E,'Base SKUs'!G:G),"")</f>
        <v>Pantheon</v>
      </c>
      <c r="N750" t="str">
        <f>IFERROR(_xlfn.XLOOKUP($A750,'Base SKUs'!$E:$E,'Base SKUs'!H:H),"")</f>
        <v>Profile</v>
      </c>
      <c r="O750" t="str">
        <f>IFERROR(_xlfn.XLOOKUP($A750,'Base SKUs'!$E:$E,'Base SKUs'!I:I),"")</f>
        <v>-</v>
      </c>
      <c r="P750" t="str">
        <f>IFERROR(_xlfn.XLOOKUP($A750,'Base SKUs'!$E:$E,'Base SKUs'!J:J),"")</f>
        <v>1x7</v>
      </c>
      <c r="Q750">
        <f>IFERROR(_xlfn.XLOOKUP($A750,'Base SKUs'!$E:$E,'Base SKUs'!K:K),"")</f>
        <v>16</v>
      </c>
      <c r="R750" s="7">
        <f>IFERROR(_xlfn.XLOOKUP($A750,'Base SKUs'!$E:$E,'Base SKUs'!S:S),"")</f>
        <v>0</v>
      </c>
      <c r="S750" s="8">
        <f t="shared" si="57"/>
        <v>399</v>
      </c>
      <c r="T750" s="7">
        <f>IFERROR(_xlfn.XLOOKUP($A750,'Base SKUs'!$E:$E,'Base SKUs'!R:R),"")</f>
        <v>0</v>
      </c>
      <c r="U750" s="15">
        <f t="shared" si="58"/>
        <v>399</v>
      </c>
      <c r="V750" t="str">
        <f t="shared" si="59"/>
        <v>Boston</v>
      </c>
    </row>
    <row r="751" spans="1:22" x14ac:dyDescent="0.2">
      <c r="A751" t="s">
        <v>1029</v>
      </c>
      <c r="B751" s="5">
        <v>252</v>
      </c>
      <c r="C751" s="5">
        <v>0</v>
      </c>
      <c r="D751" s="5">
        <f t="shared" si="55"/>
        <v>252</v>
      </c>
      <c r="E751" s="6">
        <v>34.113799999999998</v>
      </c>
      <c r="F751" s="6">
        <f t="shared" si="56"/>
        <v>8596.6775999999991</v>
      </c>
      <c r="G751" t="s">
        <v>330</v>
      </c>
      <c r="H751">
        <v>9011</v>
      </c>
      <c r="I751" t="str">
        <f>IFERROR(_xlfn.XLOOKUP($A751,'Base SKUs'!$E:$E,'Base SKUs'!A:A),"")</f>
        <v>Architecture</v>
      </c>
      <c r="J751" t="str">
        <f>IFERROR(_xlfn.XLOOKUP($A751,'Base SKUs'!$E:$E,'Base SKUs'!B:B),"")</f>
        <v>Rome</v>
      </c>
      <c r="K751" t="str">
        <f>IFERROR(_xlfn.XLOOKUP($A751,'Base SKUs'!$E:$E,'Base SKUs'!C:C),"")</f>
        <v>Long</v>
      </c>
      <c r="L751" t="str">
        <f>IFERROR(_xlfn.XLOOKUP($A751,'Base SKUs'!$E:$E,'Base SKUs'!D:D),"")</f>
        <v>Norx</v>
      </c>
      <c r="M751" t="str">
        <f>IFERROR(_xlfn.XLOOKUP($A751,'Base SKUs'!$E:$E,'Base SKUs'!G:G),"")</f>
        <v>Pantheon</v>
      </c>
      <c r="N751" t="str">
        <f>IFERROR(_xlfn.XLOOKUP($A751,'Base SKUs'!$E:$E,'Base SKUs'!H:H),"")</f>
        <v>Profile</v>
      </c>
      <c r="O751" t="str">
        <f>IFERROR(_xlfn.XLOOKUP($A751,'Base SKUs'!$E:$E,'Base SKUs'!I:I),"")</f>
        <v>-</v>
      </c>
      <c r="P751" t="str">
        <f>IFERROR(_xlfn.XLOOKUP($A751,'Base SKUs'!$E:$E,'Base SKUs'!J:J),"")</f>
        <v>1x7</v>
      </c>
      <c r="Q751">
        <f>IFERROR(_xlfn.XLOOKUP($A751,'Base SKUs'!$E:$E,'Base SKUs'!K:K),"")</f>
        <v>16</v>
      </c>
      <c r="R751" s="7">
        <f>IFERROR(_xlfn.XLOOKUP($A751,'Base SKUs'!$E:$E,'Base SKUs'!S:S),"")</f>
        <v>0</v>
      </c>
      <c r="S751" s="8">
        <f t="shared" si="57"/>
        <v>252</v>
      </c>
      <c r="T751" s="7">
        <f>IFERROR(_xlfn.XLOOKUP($A751,'Base SKUs'!$E:$E,'Base SKUs'!R:R),"")</f>
        <v>0</v>
      </c>
      <c r="U751" s="15">
        <f t="shared" si="58"/>
        <v>252</v>
      </c>
      <c r="V751" t="str">
        <f t="shared" si="59"/>
        <v>New York</v>
      </c>
    </row>
    <row r="752" spans="1:22" x14ac:dyDescent="0.2">
      <c r="A752" t="s">
        <v>1029</v>
      </c>
      <c r="B752" s="5">
        <v>552</v>
      </c>
      <c r="C752" s="5">
        <v>0</v>
      </c>
      <c r="D752" s="5">
        <f t="shared" si="55"/>
        <v>552</v>
      </c>
      <c r="E752" s="6">
        <v>34.113799999999998</v>
      </c>
      <c r="F752" s="6">
        <f t="shared" si="56"/>
        <v>18830.817599999998</v>
      </c>
      <c r="G752" t="s">
        <v>6129</v>
      </c>
      <c r="H752">
        <v>9015</v>
      </c>
      <c r="I752" t="str">
        <f>IFERROR(_xlfn.XLOOKUP($A752,'Base SKUs'!$E:$E,'Base SKUs'!A:A),"")</f>
        <v>Architecture</v>
      </c>
      <c r="J752" t="str">
        <f>IFERROR(_xlfn.XLOOKUP($A752,'Base SKUs'!$E:$E,'Base SKUs'!B:B),"")</f>
        <v>Rome</v>
      </c>
      <c r="K752" t="str">
        <f>IFERROR(_xlfn.XLOOKUP($A752,'Base SKUs'!$E:$E,'Base SKUs'!C:C),"")</f>
        <v>Long</v>
      </c>
      <c r="L752" t="str">
        <f>IFERROR(_xlfn.XLOOKUP($A752,'Base SKUs'!$E:$E,'Base SKUs'!D:D),"")</f>
        <v>Norx</v>
      </c>
      <c r="M752" t="str">
        <f>IFERROR(_xlfn.XLOOKUP($A752,'Base SKUs'!$E:$E,'Base SKUs'!G:G),"")</f>
        <v>Pantheon</v>
      </c>
      <c r="N752" t="str">
        <f>IFERROR(_xlfn.XLOOKUP($A752,'Base SKUs'!$E:$E,'Base SKUs'!H:H),"")</f>
        <v>Profile</v>
      </c>
      <c r="O752" t="str">
        <f>IFERROR(_xlfn.XLOOKUP($A752,'Base SKUs'!$E:$E,'Base SKUs'!I:I),"")</f>
        <v>-</v>
      </c>
      <c r="P752" t="str">
        <f>IFERROR(_xlfn.XLOOKUP($A752,'Base SKUs'!$E:$E,'Base SKUs'!J:J),"")</f>
        <v>1x7</v>
      </c>
      <c r="Q752">
        <f>IFERROR(_xlfn.XLOOKUP($A752,'Base SKUs'!$E:$E,'Base SKUs'!K:K),"")</f>
        <v>16</v>
      </c>
      <c r="R752" s="7">
        <f>IFERROR(_xlfn.XLOOKUP($A752,'Base SKUs'!$E:$E,'Base SKUs'!S:S),"")</f>
        <v>0</v>
      </c>
      <c r="S752" s="8">
        <f t="shared" si="57"/>
        <v>552</v>
      </c>
      <c r="T752" s="7">
        <f>IFERROR(_xlfn.XLOOKUP($A752,'Base SKUs'!$E:$E,'Base SKUs'!R:R),"")</f>
        <v>0</v>
      </c>
      <c r="U752" s="15">
        <f t="shared" si="58"/>
        <v>552</v>
      </c>
      <c r="V752" t="str">
        <f t="shared" si="59"/>
        <v>Russin</v>
      </c>
    </row>
    <row r="753" spans="1:22" x14ac:dyDescent="0.2">
      <c r="A753" t="s">
        <v>1031</v>
      </c>
      <c r="B753" s="5">
        <v>1120</v>
      </c>
      <c r="C753" s="5">
        <v>0</v>
      </c>
      <c r="D753" s="5">
        <f t="shared" si="55"/>
        <v>1120</v>
      </c>
      <c r="E753" s="6">
        <v>18.238099999999999</v>
      </c>
      <c r="F753" s="6">
        <f t="shared" si="56"/>
        <v>20426.671999999999</v>
      </c>
      <c r="G753" t="s">
        <v>330</v>
      </c>
      <c r="H753">
        <v>9011</v>
      </c>
      <c r="I753" t="str">
        <f>IFERROR(_xlfn.XLOOKUP($A753,'Base SKUs'!$E:$E,'Base SKUs'!A:A),"")</f>
        <v>Architecture</v>
      </c>
      <c r="J753" t="str">
        <f>IFERROR(_xlfn.XLOOKUP($A753,'Base SKUs'!$E:$E,'Base SKUs'!B:B),"")</f>
        <v>New York</v>
      </c>
      <c r="K753" t="str">
        <f>IFERROR(_xlfn.XLOOKUP($A753,'Base SKUs'!$E:$E,'Base SKUs'!C:C),"")</f>
        <v>Long</v>
      </c>
      <c r="L753" t="str">
        <f>IFERROR(_xlfn.XLOOKUP($A753,'Base SKUs'!$E:$E,'Base SKUs'!D:D),"")</f>
        <v>Norx</v>
      </c>
      <c r="M753" t="str">
        <f>IFERROR(_xlfn.XLOOKUP($A753,'Base SKUs'!$E:$E,'Base SKUs'!G:G),"")</f>
        <v>Rockefeller</v>
      </c>
      <c r="N753" t="str">
        <f>IFERROR(_xlfn.XLOOKUP($A753,'Base SKUs'!$E:$E,'Base SKUs'!H:H),"")</f>
        <v>Profile</v>
      </c>
      <c r="O753" t="str">
        <f>IFERROR(_xlfn.XLOOKUP($A753,'Base SKUs'!$E:$E,'Base SKUs'!I:I),"")</f>
        <v>-</v>
      </c>
      <c r="P753" t="str">
        <f>IFERROR(_xlfn.XLOOKUP($A753,'Base SKUs'!$E:$E,'Base SKUs'!J:J),"")</f>
        <v>1x6</v>
      </c>
      <c r="Q753">
        <f>IFERROR(_xlfn.XLOOKUP($A753,'Base SKUs'!$E:$E,'Base SKUs'!K:K),"")</f>
        <v>16</v>
      </c>
      <c r="R753" s="7">
        <f>IFERROR(_xlfn.XLOOKUP($A753,'Base SKUs'!$E:$E,'Base SKUs'!S:S),"")</f>
        <v>0</v>
      </c>
      <c r="S753" s="8">
        <f t="shared" si="57"/>
        <v>1120</v>
      </c>
      <c r="T753" s="7">
        <f>IFERROR(_xlfn.XLOOKUP($A753,'Base SKUs'!$E:$E,'Base SKUs'!R:R),"")</f>
        <v>0</v>
      </c>
      <c r="U753" s="15">
        <f t="shared" si="58"/>
        <v>1120</v>
      </c>
      <c r="V753" t="str">
        <f t="shared" si="59"/>
        <v>New York</v>
      </c>
    </row>
    <row r="754" spans="1:22" x14ac:dyDescent="0.2">
      <c r="A754" t="s">
        <v>1033</v>
      </c>
      <c r="B754" s="5">
        <v>7</v>
      </c>
      <c r="C754" s="5">
        <v>0</v>
      </c>
      <c r="D754" s="5">
        <f t="shared" si="55"/>
        <v>7</v>
      </c>
      <c r="E754" s="6">
        <v>17.677199999999999</v>
      </c>
      <c r="F754" s="6">
        <f t="shared" si="56"/>
        <v>123.74039999999999</v>
      </c>
      <c r="G754" t="s">
        <v>330</v>
      </c>
      <c r="H754">
        <v>9011</v>
      </c>
      <c r="I754" t="str">
        <f>IFERROR(_xlfn.XLOOKUP($A754,'Base SKUs'!$E:$E,'Base SKUs'!A:A),"")</f>
        <v>Architecture</v>
      </c>
      <c r="J754" t="str">
        <f>IFERROR(_xlfn.XLOOKUP($A754,'Base SKUs'!$E:$E,'Base SKUs'!B:B),"")</f>
        <v>L Trim 2x2</v>
      </c>
      <c r="K754" t="str">
        <f>IFERROR(_xlfn.XLOOKUP($A754,'Base SKUs'!$E:$E,'Base SKUs'!C:C),"")</f>
        <v>Long</v>
      </c>
      <c r="L754" t="str">
        <f>IFERROR(_xlfn.XLOOKUP($A754,'Base SKUs'!$E:$E,'Base SKUs'!D:D),"")</f>
        <v>Norx</v>
      </c>
      <c r="M754" t="str">
        <f>IFERROR(_xlfn.XLOOKUP($A754,'Base SKUs'!$E:$E,'Base SKUs'!G:G),"")</f>
        <v>Charcoal</v>
      </c>
      <c r="N754" t="str">
        <f>IFERROR(_xlfn.XLOOKUP($A754,'Base SKUs'!$E:$E,'Base SKUs'!H:H),"")</f>
        <v>L Trim</v>
      </c>
      <c r="O754" t="str">
        <f>IFERROR(_xlfn.XLOOKUP($A754,'Base SKUs'!$E:$E,'Base SKUs'!I:I),"")</f>
        <v>-</v>
      </c>
      <c r="P754" t="str">
        <f>IFERROR(_xlfn.XLOOKUP($A754,'Base SKUs'!$E:$E,'Base SKUs'!J:J),"")</f>
        <v>2x2</v>
      </c>
      <c r="Q754">
        <f>IFERROR(_xlfn.XLOOKUP($A754,'Base SKUs'!$E:$E,'Base SKUs'!K:K),"")</f>
        <v>16</v>
      </c>
      <c r="R754" s="7">
        <f>IFERROR(_xlfn.XLOOKUP($A754,'Base SKUs'!$E:$E,'Base SKUs'!S:S),"")</f>
        <v>0</v>
      </c>
      <c r="S754" s="8">
        <f t="shared" si="57"/>
        <v>7</v>
      </c>
      <c r="T754" s="7">
        <f>IFERROR(_xlfn.XLOOKUP($A754,'Base SKUs'!$E:$E,'Base SKUs'!R:R),"")</f>
        <v>0</v>
      </c>
      <c r="U754" s="15">
        <f t="shared" si="58"/>
        <v>7</v>
      </c>
      <c r="V754" t="str">
        <f t="shared" si="59"/>
        <v>New York</v>
      </c>
    </row>
    <row r="755" spans="1:22" x14ac:dyDescent="0.2">
      <c r="A755" t="s">
        <v>1033</v>
      </c>
      <c r="B755" s="5">
        <v>40</v>
      </c>
      <c r="C755" s="5">
        <v>0</v>
      </c>
      <c r="D755" s="5">
        <f t="shared" si="55"/>
        <v>40</v>
      </c>
      <c r="E755" s="6">
        <v>17.677</v>
      </c>
      <c r="F755" s="6">
        <f t="shared" si="56"/>
        <v>707.07999999999993</v>
      </c>
      <c r="G755" t="s">
        <v>6129</v>
      </c>
      <c r="H755">
        <v>9015</v>
      </c>
      <c r="I755" t="str">
        <f>IFERROR(_xlfn.XLOOKUP($A755,'Base SKUs'!$E:$E,'Base SKUs'!A:A),"")</f>
        <v>Architecture</v>
      </c>
      <c r="J755" t="str">
        <f>IFERROR(_xlfn.XLOOKUP($A755,'Base SKUs'!$E:$E,'Base SKUs'!B:B),"")</f>
        <v>L Trim 2x2</v>
      </c>
      <c r="K755" t="str">
        <f>IFERROR(_xlfn.XLOOKUP($A755,'Base SKUs'!$E:$E,'Base SKUs'!C:C),"")</f>
        <v>Long</v>
      </c>
      <c r="L755" t="str">
        <f>IFERROR(_xlfn.XLOOKUP($A755,'Base SKUs'!$E:$E,'Base SKUs'!D:D),"")</f>
        <v>Norx</v>
      </c>
      <c r="M755" t="str">
        <f>IFERROR(_xlfn.XLOOKUP($A755,'Base SKUs'!$E:$E,'Base SKUs'!G:G),"")</f>
        <v>Charcoal</v>
      </c>
      <c r="N755" t="str">
        <f>IFERROR(_xlfn.XLOOKUP($A755,'Base SKUs'!$E:$E,'Base SKUs'!H:H),"")</f>
        <v>L Trim</v>
      </c>
      <c r="O755" t="str">
        <f>IFERROR(_xlfn.XLOOKUP($A755,'Base SKUs'!$E:$E,'Base SKUs'!I:I),"")</f>
        <v>-</v>
      </c>
      <c r="P755" t="str">
        <f>IFERROR(_xlfn.XLOOKUP($A755,'Base SKUs'!$E:$E,'Base SKUs'!J:J),"")</f>
        <v>2x2</v>
      </c>
      <c r="Q755">
        <f>IFERROR(_xlfn.XLOOKUP($A755,'Base SKUs'!$E:$E,'Base SKUs'!K:K),"")</f>
        <v>16</v>
      </c>
      <c r="R755" s="7">
        <f>IFERROR(_xlfn.XLOOKUP($A755,'Base SKUs'!$E:$E,'Base SKUs'!S:S),"")</f>
        <v>0</v>
      </c>
      <c r="S755" s="8">
        <f t="shared" si="57"/>
        <v>40</v>
      </c>
      <c r="T755" s="7">
        <f>IFERROR(_xlfn.XLOOKUP($A755,'Base SKUs'!$E:$E,'Base SKUs'!R:R),"")</f>
        <v>0</v>
      </c>
      <c r="U755" s="15">
        <f t="shared" si="58"/>
        <v>40</v>
      </c>
      <c r="V755" t="str">
        <f t="shared" si="59"/>
        <v>Russin</v>
      </c>
    </row>
    <row r="756" spans="1:22" x14ac:dyDescent="0.2">
      <c r="A756" t="s">
        <v>1035</v>
      </c>
      <c r="B756" s="5">
        <v>58</v>
      </c>
      <c r="C756" s="5">
        <v>0</v>
      </c>
      <c r="D756" s="5">
        <f t="shared" si="55"/>
        <v>58</v>
      </c>
      <c r="E756" s="6">
        <v>19.517800000000001</v>
      </c>
      <c r="F756" s="6">
        <f t="shared" si="56"/>
        <v>1132.0324000000001</v>
      </c>
      <c r="G756" t="s">
        <v>330</v>
      </c>
      <c r="H756">
        <v>9011</v>
      </c>
      <c r="I756" t="str">
        <f>IFERROR(_xlfn.XLOOKUP($A756,'Base SKUs'!$E:$E,'Base SKUs'!A:A),"")</f>
        <v>Architecture</v>
      </c>
      <c r="J756" t="str">
        <f>IFERROR(_xlfn.XLOOKUP($A756,'Base SKUs'!$E:$E,'Base SKUs'!B:B),"")</f>
        <v>L Trim 2x2</v>
      </c>
      <c r="K756" t="str">
        <f>IFERROR(_xlfn.XLOOKUP($A756,'Base SKUs'!$E:$E,'Base SKUs'!C:C),"")</f>
        <v>Long</v>
      </c>
      <c r="L756" t="str">
        <f>IFERROR(_xlfn.XLOOKUP($A756,'Base SKUs'!$E:$E,'Base SKUs'!D:D),"")</f>
        <v>Norx</v>
      </c>
      <c r="M756" t="str">
        <f>IFERROR(_xlfn.XLOOKUP($A756,'Base SKUs'!$E:$E,'Base SKUs'!G:G),"")</f>
        <v>Dark Brown</v>
      </c>
      <c r="N756" t="str">
        <f>IFERROR(_xlfn.XLOOKUP($A756,'Base SKUs'!$E:$E,'Base SKUs'!H:H),"")</f>
        <v>L Trim</v>
      </c>
      <c r="O756" t="str">
        <f>IFERROR(_xlfn.XLOOKUP($A756,'Base SKUs'!$E:$E,'Base SKUs'!I:I),"")</f>
        <v>-</v>
      </c>
      <c r="P756" t="str">
        <f>IFERROR(_xlfn.XLOOKUP($A756,'Base SKUs'!$E:$E,'Base SKUs'!J:J),"")</f>
        <v>2x2</v>
      </c>
      <c r="Q756">
        <f>IFERROR(_xlfn.XLOOKUP($A756,'Base SKUs'!$E:$E,'Base SKUs'!K:K),"")</f>
        <v>16</v>
      </c>
      <c r="R756" s="7">
        <f>IFERROR(_xlfn.XLOOKUP($A756,'Base SKUs'!$E:$E,'Base SKUs'!S:S),"")</f>
        <v>0</v>
      </c>
      <c r="S756" s="8">
        <f t="shared" si="57"/>
        <v>58</v>
      </c>
      <c r="T756" s="7">
        <f>IFERROR(_xlfn.XLOOKUP($A756,'Base SKUs'!$E:$E,'Base SKUs'!R:R),"")</f>
        <v>0</v>
      </c>
      <c r="U756" s="15">
        <f t="shared" si="58"/>
        <v>58</v>
      </c>
      <c r="V756" t="str">
        <f t="shared" si="59"/>
        <v>New York</v>
      </c>
    </row>
    <row r="757" spans="1:22" x14ac:dyDescent="0.2">
      <c r="A757" t="s">
        <v>1035</v>
      </c>
      <c r="B757" s="5">
        <v>40</v>
      </c>
      <c r="C757" s="5">
        <v>0</v>
      </c>
      <c r="D757" s="5">
        <f t="shared" si="55"/>
        <v>40</v>
      </c>
      <c r="E757" s="6">
        <v>19.518000000000001</v>
      </c>
      <c r="F757" s="6">
        <f t="shared" si="56"/>
        <v>780.72</v>
      </c>
      <c r="G757" t="s">
        <v>6129</v>
      </c>
      <c r="H757">
        <v>9015</v>
      </c>
      <c r="I757" t="str">
        <f>IFERROR(_xlfn.XLOOKUP($A757,'Base SKUs'!$E:$E,'Base SKUs'!A:A),"")</f>
        <v>Architecture</v>
      </c>
      <c r="J757" t="str">
        <f>IFERROR(_xlfn.XLOOKUP($A757,'Base SKUs'!$E:$E,'Base SKUs'!B:B),"")</f>
        <v>L Trim 2x2</v>
      </c>
      <c r="K757" t="str">
        <f>IFERROR(_xlfn.XLOOKUP($A757,'Base SKUs'!$E:$E,'Base SKUs'!C:C),"")</f>
        <v>Long</v>
      </c>
      <c r="L757" t="str">
        <f>IFERROR(_xlfn.XLOOKUP($A757,'Base SKUs'!$E:$E,'Base SKUs'!D:D),"")</f>
        <v>Norx</v>
      </c>
      <c r="M757" t="str">
        <f>IFERROR(_xlfn.XLOOKUP($A757,'Base SKUs'!$E:$E,'Base SKUs'!G:G),"")</f>
        <v>Dark Brown</v>
      </c>
      <c r="N757" t="str">
        <f>IFERROR(_xlfn.XLOOKUP($A757,'Base SKUs'!$E:$E,'Base SKUs'!H:H),"")</f>
        <v>L Trim</v>
      </c>
      <c r="O757" t="str">
        <f>IFERROR(_xlfn.XLOOKUP($A757,'Base SKUs'!$E:$E,'Base SKUs'!I:I),"")</f>
        <v>-</v>
      </c>
      <c r="P757" t="str">
        <f>IFERROR(_xlfn.XLOOKUP($A757,'Base SKUs'!$E:$E,'Base SKUs'!J:J),"")</f>
        <v>2x2</v>
      </c>
      <c r="Q757">
        <f>IFERROR(_xlfn.XLOOKUP($A757,'Base SKUs'!$E:$E,'Base SKUs'!K:K),"")</f>
        <v>16</v>
      </c>
      <c r="R757" s="7">
        <f>IFERROR(_xlfn.XLOOKUP($A757,'Base SKUs'!$E:$E,'Base SKUs'!S:S),"")</f>
        <v>0</v>
      </c>
      <c r="S757" s="8">
        <f t="shared" si="57"/>
        <v>40</v>
      </c>
      <c r="T757" s="7">
        <f>IFERROR(_xlfn.XLOOKUP($A757,'Base SKUs'!$E:$E,'Base SKUs'!R:R),"")</f>
        <v>0</v>
      </c>
      <c r="U757" s="15">
        <f t="shared" si="58"/>
        <v>40</v>
      </c>
      <c r="V757" t="str">
        <f t="shared" si="59"/>
        <v>Russin</v>
      </c>
    </row>
    <row r="758" spans="1:22" x14ac:dyDescent="0.2">
      <c r="A758" t="s">
        <v>1037</v>
      </c>
      <c r="B758" s="5">
        <v>56</v>
      </c>
      <c r="C758" s="5">
        <v>0</v>
      </c>
      <c r="D758" s="5">
        <f t="shared" si="55"/>
        <v>56</v>
      </c>
      <c r="E758" s="6">
        <v>17.590599999999998</v>
      </c>
      <c r="F758" s="6">
        <f t="shared" si="56"/>
        <v>985.07359999999994</v>
      </c>
      <c r="G758" t="s">
        <v>330</v>
      </c>
      <c r="H758">
        <v>9011</v>
      </c>
      <c r="I758" t="str">
        <f>IFERROR(_xlfn.XLOOKUP($A758,'Base SKUs'!$E:$E,'Base SKUs'!A:A),"")</f>
        <v>Architecture</v>
      </c>
      <c r="J758" t="str">
        <f>IFERROR(_xlfn.XLOOKUP($A758,'Base SKUs'!$E:$E,'Base SKUs'!B:B),"")</f>
        <v>L Trim 2x2</v>
      </c>
      <c r="K758" t="str">
        <f>IFERROR(_xlfn.XLOOKUP($A758,'Base SKUs'!$E:$E,'Base SKUs'!C:C),"")</f>
        <v>Long</v>
      </c>
      <c r="L758" t="str">
        <f>IFERROR(_xlfn.XLOOKUP($A758,'Base SKUs'!$E:$E,'Base SKUs'!D:D),"")</f>
        <v>Norx</v>
      </c>
      <c r="M758" t="str">
        <f>IFERROR(_xlfn.XLOOKUP($A758,'Base SKUs'!$E:$E,'Base SKUs'!G:G),"")</f>
        <v>Gray</v>
      </c>
      <c r="N758" t="str">
        <f>IFERROR(_xlfn.XLOOKUP($A758,'Base SKUs'!$E:$E,'Base SKUs'!H:H),"")</f>
        <v>L Trim</v>
      </c>
      <c r="O758" t="str">
        <f>IFERROR(_xlfn.XLOOKUP($A758,'Base SKUs'!$E:$E,'Base SKUs'!I:I),"")</f>
        <v>-</v>
      </c>
      <c r="P758" t="str">
        <f>IFERROR(_xlfn.XLOOKUP($A758,'Base SKUs'!$E:$E,'Base SKUs'!J:J),"")</f>
        <v>2x2</v>
      </c>
      <c r="Q758">
        <f>IFERROR(_xlfn.XLOOKUP($A758,'Base SKUs'!$E:$E,'Base SKUs'!K:K),"")</f>
        <v>16</v>
      </c>
      <c r="R758" s="7">
        <f>IFERROR(_xlfn.XLOOKUP($A758,'Base SKUs'!$E:$E,'Base SKUs'!S:S),"")</f>
        <v>0</v>
      </c>
      <c r="S758" s="8">
        <f t="shared" si="57"/>
        <v>56</v>
      </c>
      <c r="T758" s="7">
        <f>IFERROR(_xlfn.XLOOKUP($A758,'Base SKUs'!$E:$E,'Base SKUs'!R:R),"")</f>
        <v>0</v>
      </c>
      <c r="U758" s="15">
        <f t="shared" si="58"/>
        <v>56</v>
      </c>
      <c r="V758" t="str">
        <f t="shared" si="59"/>
        <v>New York</v>
      </c>
    </row>
    <row r="759" spans="1:22" x14ac:dyDescent="0.2">
      <c r="A759" t="s">
        <v>1037</v>
      </c>
      <c r="B759" s="5">
        <v>40</v>
      </c>
      <c r="C759" s="5">
        <v>0</v>
      </c>
      <c r="D759" s="5">
        <f t="shared" si="55"/>
        <v>40</v>
      </c>
      <c r="E759" s="6">
        <v>17.590599999999998</v>
      </c>
      <c r="F759" s="6">
        <f t="shared" si="56"/>
        <v>703.62399999999991</v>
      </c>
      <c r="G759" t="s">
        <v>6129</v>
      </c>
      <c r="H759">
        <v>9015</v>
      </c>
      <c r="I759" t="str">
        <f>IFERROR(_xlfn.XLOOKUP($A759,'Base SKUs'!$E:$E,'Base SKUs'!A:A),"")</f>
        <v>Architecture</v>
      </c>
      <c r="J759" t="str">
        <f>IFERROR(_xlfn.XLOOKUP($A759,'Base SKUs'!$E:$E,'Base SKUs'!B:B),"")</f>
        <v>L Trim 2x2</v>
      </c>
      <c r="K759" t="str">
        <f>IFERROR(_xlfn.XLOOKUP($A759,'Base SKUs'!$E:$E,'Base SKUs'!C:C),"")</f>
        <v>Long</v>
      </c>
      <c r="L759" t="str">
        <f>IFERROR(_xlfn.XLOOKUP($A759,'Base SKUs'!$E:$E,'Base SKUs'!D:D),"")</f>
        <v>Norx</v>
      </c>
      <c r="M759" t="str">
        <f>IFERROR(_xlfn.XLOOKUP($A759,'Base SKUs'!$E:$E,'Base SKUs'!G:G),"")</f>
        <v>Gray</v>
      </c>
      <c r="N759" t="str">
        <f>IFERROR(_xlfn.XLOOKUP($A759,'Base SKUs'!$E:$E,'Base SKUs'!H:H),"")</f>
        <v>L Trim</v>
      </c>
      <c r="O759" t="str">
        <f>IFERROR(_xlfn.XLOOKUP($A759,'Base SKUs'!$E:$E,'Base SKUs'!I:I),"")</f>
        <v>-</v>
      </c>
      <c r="P759" t="str">
        <f>IFERROR(_xlfn.XLOOKUP($A759,'Base SKUs'!$E:$E,'Base SKUs'!J:J),"")</f>
        <v>2x2</v>
      </c>
      <c r="Q759">
        <f>IFERROR(_xlfn.XLOOKUP($A759,'Base SKUs'!$E:$E,'Base SKUs'!K:K),"")</f>
        <v>16</v>
      </c>
      <c r="R759" s="7">
        <f>IFERROR(_xlfn.XLOOKUP($A759,'Base SKUs'!$E:$E,'Base SKUs'!S:S),"")</f>
        <v>0</v>
      </c>
      <c r="S759" s="8">
        <f t="shared" si="57"/>
        <v>40</v>
      </c>
      <c r="T759" s="7">
        <f>IFERROR(_xlfn.XLOOKUP($A759,'Base SKUs'!$E:$E,'Base SKUs'!R:R),"")</f>
        <v>0</v>
      </c>
      <c r="U759" s="15">
        <f t="shared" si="58"/>
        <v>40</v>
      </c>
      <c r="V759" t="str">
        <f t="shared" si="59"/>
        <v>Russin</v>
      </c>
    </row>
    <row r="760" spans="1:22" x14ac:dyDescent="0.2">
      <c r="A760" t="s">
        <v>1039</v>
      </c>
      <c r="B760" s="5">
        <v>10</v>
      </c>
      <c r="C760" s="5">
        <v>0</v>
      </c>
      <c r="D760" s="5">
        <f t="shared" si="55"/>
        <v>10</v>
      </c>
      <c r="E760" s="6">
        <v>25.481000000000002</v>
      </c>
      <c r="F760" s="6">
        <f t="shared" si="56"/>
        <v>254.81</v>
      </c>
      <c r="G760" t="s">
        <v>330</v>
      </c>
      <c r="H760">
        <v>9011</v>
      </c>
      <c r="I760" t="str">
        <f>IFERROR(_xlfn.XLOOKUP($A760,'Base SKUs'!$E:$E,'Base SKUs'!A:A),"")</f>
        <v>Architecture</v>
      </c>
      <c r="J760" t="str">
        <f>IFERROR(_xlfn.XLOOKUP($A760,'Base SKUs'!$E:$E,'Base SKUs'!B:B),"")</f>
        <v>L Trim 2x2</v>
      </c>
      <c r="K760" t="str">
        <f>IFERROR(_xlfn.XLOOKUP($A760,'Base SKUs'!$E:$E,'Base SKUs'!C:C),"")</f>
        <v>Long</v>
      </c>
      <c r="L760" t="str">
        <f>IFERROR(_xlfn.XLOOKUP($A760,'Base SKUs'!$E:$E,'Base SKUs'!D:D),"")</f>
        <v>Norx</v>
      </c>
      <c r="M760" t="str">
        <f>IFERROR(_xlfn.XLOOKUP($A760,'Base SKUs'!$E:$E,'Base SKUs'!G:G),"")</f>
        <v>Light Brown</v>
      </c>
      <c r="N760" t="str">
        <f>IFERROR(_xlfn.XLOOKUP($A760,'Base SKUs'!$E:$E,'Base SKUs'!H:H),"")</f>
        <v>L Trim</v>
      </c>
      <c r="O760" t="str">
        <f>IFERROR(_xlfn.XLOOKUP($A760,'Base SKUs'!$E:$E,'Base SKUs'!I:I),"")</f>
        <v>-</v>
      </c>
      <c r="P760" t="str">
        <f>IFERROR(_xlfn.XLOOKUP($A760,'Base SKUs'!$E:$E,'Base SKUs'!J:J),"")</f>
        <v>2x2</v>
      </c>
      <c r="Q760">
        <f>IFERROR(_xlfn.XLOOKUP($A760,'Base SKUs'!$E:$E,'Base SKUs'!K:K),"")</f>
        <v>16</v>
      </c>
      <c r="R760" s="7">
        <f>IFERROR(_xlfn.XLOOKUP($A760,'Base SKUs'!$E:$E,'Base SKUs'!S:S),"")</f>
        <v>0</v>
      </c>
      <c r="S760" s="8">
        <f t="shared" si="57"/>
        <v>10</v>
      </c>
      <c r="T760" s="7">
        <f>IFERROR(_xlfn.XLOOKUP($A760,'Base SKUs'!$E:$E,'Base SKUs'!R:R),"")</f>
        <v>0</v>
      </c>
      <c r="U760" s="15">
        <f t="shared" si="58"/>
        <v>10</v>
      </c>
      <c r="V760" t="str">
        <f t="shared" si="59"/>
        <v>New York</v>
      </c>
    </row>
    <row r="761" spans="1:22" x14ac:dyDescent="0.2">
      <c r="A761" t="s">
        <v>1039</v>
      </c>
      <c r="B761" s="5">
        <v>40</v>
      </c>
      <c r="C761" s="5">
        <v>0</v>
      </c>
      <c r="D761" s="5">
        <f t="shared" si="55"/>
        <v>40</v>
      </c>
      <c r="E761" s="6">
        <v>25.481000000000002</v>
      </c>
      <c r="F761" s="6">
        <f t="shared" si="56"/>
        <v>1019.24</v>
      </c>
      <c r="G761" t="s">
        <v>6129</v>
      </c>
      <c r="H761">
        <v>9015</v>
      </c>
      <c r="I761" t="str">
        <f>IFERROR(_xlfn.XLOOKUP($A761,'Base SKUs'!$E:$E,'Base SKUs'!A:A),"")</f>
        <v>Architecture</v>
      </c>
      <c r="J761" t="str">
        <f>IFERROR(_xlfn.XLOOKUP($A761,'Base SKUs'!$E:$E,'Base SKUs'!B:B),"")</f>
        <v>L Trim 2x2</v>
      </c>
      <c r="K761" t="str">
        <f>IFERROR(_xlfn.XLOOKUP($A761,'Base SKUs'!$E:$E,'Base SKUs'!C:C),"")</f>
        <v>Long</v>
      </c>
      <c r="L761" t="str">
        <f>IFERROR(_xlfn.XLOOKUP($A761,'Base SKUs'!$E:$E,'Base SKUs'!D:D),"")</f>
        <v>Norx</v>
      </c>
      <c r="M761" t="str">
        <f>IFERROR(_xlfn.XLOOKUP($A761,'Base SKUs'!$E:$E,'Base SKUs'!G:G),"")</f>
        <v>Light Brown</v>
      </c>
      <c r="N761" t="str">
        <f>IFERROR(_xlfn.XLOOKUP($A761,'Base SKUs'!$E:$E,'Base SKUs'!H:H),"")</f>
        <v>L Trim</v>
      </c>
      <c r="O761" t="str">
        <f>IFERROR(_xlfn.XLOOKUP($A761,'Base SKUs'!$E:$E,'Base SKUs'!I:I),"")</f>
        <v>-</v>
      </c>
      <c r="P761" t="str">
        <f>IFERROR(_xlfn.XLOOKUP($A761,'Base SKUs'!$E:$E,'Base SKUs'!J:J),"")</f>
        <v>2x2</v>
      </c>
      <c r="Q761">
        <f>IFERROR(_xlfn.XLOOKUP($A761,'Base SKUs'!$E:$E,'Base SKUs'!K:K),"")</f>
        <v>16</v>
      </c>
      <c r="R761" s="7">
        <f>IFERROR(_xlfn.XLOOKUP($A761,'Base SKUs'!$E:$E,'Base SKUs'!S:S),"")</f>
        <v>0</v>
      </c>
      <c r="S761" s="8">
        <f t="shared" si="57"/>
        <v>40</v>
      </c>
      <c r="T761" s="7">
        <f>IFERROR(_xlfn.XLOOKUP($A761,'Base SKUs'!$E:$E,'Base SKUs'!R:R),"")</f>
        <v>0</v>
      </c>
      <c r="U761" s="15">
        <f t="shared" si="58"/>
        <v>40</v>
      </c>
      <c r="V761" t="str">
        <f t="shared" si="59"/>
        <v>Russin</v>
      </c>
    </row>
    <row r="762" spans="1:22" x14ac:dyDescent="0.2">
      <c r="A762" t="s">
        <v>1041</v>
      </c>
      <c r="B762" s="5">
        <v>552</v>
      </c>
      <c r="C762" s="5">
        <v>0</v>
      </c>
      <c r="D762" s="5">
        <f t="shared" si="55"/>
        <v>552</v>
      </c>
      <c r="E762" s="6">
        <v>34.192</v>
      </c>
      <c r="F762" s="6">
        <f t="shared" si="56"/>
        <v>18873.984</v>
      </c>
      <c r="G762" t="s">
        <v>330</v>
      </c>
      <c r="H762">
        <v>9011</v>
      </c>
      <c r="I762" t="str">
        <f>IFERROR(_xlfn.XLOOKUP($A762,'Base SKUs'!$E:$E,'Base SKUs'!A:A),"")</f>
        <v>Architecture</v>
      </c>
      <c r="J762" t="str">
        <f>IFERROR(_xlfn.XLOOKUP($A762,'Base SKUs'!$E:$E,'Base SKUs'!B:B),"")</f>
        <v>Rome</v>
      </c>
      <c r="K762" t="str">
        <f>IFERROR(_xlfn.XLOOKUP($A762,'Base SKUs'!$E:$E,'Base SKUs'!C:C),"")</f>
        <v>Long</v>
      </c>
      <c r="L762" t="str">
        <f>IFERROR(_xlfn.XLOOKUP($A762,'Base SKUs'!$E:$E,'Base SKUs'!D:D),"")</f>
        <v>Norx</v>
      </c>
      <c r="M762" t="str">
        <f>IFERROR(_xlfn.XLOOKUP($A762,'Base SKUs'!$E:$E,'Base SKUs'!G:G),"")</f>
        <v>Trevi</v>
      </c>
      <c r="N762" t="str">
        <f>IFERROR(_xlfn.XLOOKUP($A762,'Base SKUs'!$E:$E,'Base SKUs'!H:H),"")</f>
        <v>Profile</v>
      </c>
      <c r="O762" t="str">
        <f>IFERROR(_xlfn.XLOOKUP($A762,'Base SKUs'!$E:$E,'Base SKUs'!I:I),"")</f>
        <v>-</v>
      </c>
      <c r="P762" t="str">
        <f>IFERROR(_xlfn.XLOOKUP($A762,'Base SKUs'!$E:$E,'Base SKUs'!J:J),"")</f>
        <v>1x7</v>
      </c>
      <c r="Q762">
        <f>IFERROR(_xlfn.XLOOKUP($A762,'Base SKUs'!$E:$E,'Base SKUs'!K:K),"")</f>
        <v>16</v>
      </c>
      <c r="R762" s="7">
        <f>IFERROR(_xlfn.XLOOKUP($A762,'Base SKUs'!$E:$E,'Base SKUs'!S:S),"")</f>
        <v>0</v>
      </c>
      <c r="S762" s="8">
        <f t="shared" si="57"/>
        <v>552</v>
      </c>
      <c r="T762" s="7">
        <f>IFERROR(_xlfn.XLOOKUP($A762,'Base SKUs'!$E:$E,'Base SKUs'!R:R),"")</f>
        <v>0</v>
      </c>
      <c r="U762" s="15">
        <f t="shared" si="58"/>
        <v>552</v>
      </c>
      <c r="V762" t="str">
        <f t="shared" si="59"/>
        <v>New York</v>
      </c>
    </row>
    <row r="763" spans="1:22" x14ac:dyDescent="0.2">
      <c r="A763" t="s">
        <v>1041</v>
      </c>
      <c r="B763" s="5">
        <v>276</v>
      </c>
      <c r="C763" s="5">
        <v>0</v>
      </c>
      <c r="D763" s="5">
        <f t="shared" si="55"/>
        <v>276</v>
      </c>
      <c r="E763" s="6">
        <v>34.192</v>
      </c>
      <c r="F763" s="6">
        <f t="shared" si="56"/>
        <v>9436.9920000000002</v>
      </c>
      <c r="G763" t="s">
        <v>6129</v>
      </c>
      <c r="H763">
        <v>9015</v>
      </c>
      <c r="I763" t="str">
        <f>IFERROR(_xlfn.XLOOKUP($A763,'Base SKUs'!$E:$E,'Base SKUs'!A:A),"")</f>
        <v>Architecture</v>
      </c>
      <c r="J763" t="str">
        <f>IFERROR(_xlfn.XLOOKUP($A763,'Base SKUs'!$E:$E,'Base SKUs'!B:B),"")</f>
        <v>Rome</v>
      </c>
      <c r="K763" t="str">
        <f>IFERROR(_xlfn.XLOOKUP($A763,'Base SKUs'!$E:$E,'Base SKUs'!C:C),"")</f>
        <v>Long</v>
      </c>
      <c r="L763" t="str">
        <f>IFERROR(_xlfn.XLOOKUP($A763,'Base SKUs'!$E:$E,'Base SKUs'!D:D),"")</f>
        <v>Norx</v>
      </c>
      <c r="M763" t="str">
        <f>IFERROR(_xlfn.XLOOKUP($A763,'Base SKUs'!$E:$E,'Base SKUs'!G:G),"")</f>
        <v>Trevi</v>
      </c>
      <c r="N763" t="str">
        <f>IFERROR(_xlfn.XLOOKUP($A763,'Base SKUs'!$E:$E,'Base SKUs'!H:H),"")</f>
        <v>Profile</v>
      </c>
      <c r="O763" t="str">
        <f>IFERROR(_xlfn.XLOOKUP($A763,'Base SKUs'!$E:$E,'Base SKUs'!I:I),"")</f>
        <v>-</v>
      </c>
      <c r="P763" t="str">
        <f>IFERROR(_xlfn.XLOOKUP($A763,'Base SKUs'!$E:$E,'Base SKUs'!J:J),"")</f>
        <v>1x7</v>
      </c>
      <c r="Q763">
        <f>IFERROR(_xlfn.XLOOKUP($A763,'Base SKUs'!$E:$E,'Base SKUs'!K:K),"")</f>
        <v>16</v>
      </c>
      <c r="R763" s="7">
        <f>IFERROR(_xlfn.XLOOKUP($A763,'Base SKUs'!$E:$E,'Base SKUs'!S:S),"")</f>
        <v>0</v>
      </c>
      <c r="S763" s="8">
        <f t="shared" si="57"/>
        <v>276</v>
      </c>
      <c r="T763" s="7">
        <f>IFERROR(_xlfn.XLOOKUP($A763,'Base SKUs'!$E:$E,'Base SKUs'!R:R),"")</f>
        <v>0</v>
      </c>
      <c r="U763" s="15">
        <f t="shared" si="58"/>
        <v>276</v>
      </c>
      <c r="V763" t="str">
        <f t="shared" si="59"/>
        <v>Russin</v>
      </c>
    </row>
    <row r="764" spans="1:22" x14ac:dyDescent="0.2">
      <c r="A764" t="s">
        <v>1043</v>
      </c>
      <c r="B764" s="5">
        <v>20</v>
      </c>
      <c r="C764" s="5">
        <v>0</v>
      </c>
      <c r="D764" s="5">
        <f t="shared" si="55"/>
        <v>20</v>
      </c>
      <c r="E764" s="6">
        <v>11.4155</v>
      </c>
      <c r="F764" s="6">
        <f t="shared" si="56"/>
        <v>228.31</v>
      </c>
      <c r="G764" t="s">
        <v>330</v>
      </c>
      <c r="H764">
        <v>9011</v>
      </c>
      <c r="I764" t="str">
        <f>IFERROR(_xlfn.XLOOKUP($A764,'Base SKUs'!$E:$E,'Base SKUs'!A:A),"")</f>
        <v>Architecture</v>
      </c>
      <c r="J764" t="str">
        <f>IFERROR(_xlfn.XLOOKUP($A764,'Base SKUs'!$E:$E,'Base SKUs'!B:B),"")</f>
        <v>L Trim 2x2</v>
      </c>
      <c r="K764" t="str">
        <f>IFERROR(_xlfn.XLOOKUP($A764,'Base SKUs'!$E:$E,'Base SKUs'!C:C),"")</f>
        <v>Long</v>
      </c>
      <c r="L764" t="str">
        <f>IFERROR(_xlfn.XLOOKUP($A764,'Base SKUs'!$E:$E,'Base SKUs'!D:D),"")</f>
        <v>Norx</v>
      </c>
      <c r="M764" t="str">
        <f>IFERROR(_xlfn.XLOOKUP($A764,'Base SKUs'!$E:$E,'Base SKUs'!G:G),"")</f>
        <v>Light Brown</v>
      </c>
      <c r="N764" t="str">
        <f>IFERROR(_xlfn.XLOOKUP($A764,'Base SKUs'!$E:$E,'Base SKUs'!H:H),"")</f>
        <v>L Trim</v>
      </c>
      <c r="O764" t="str">
        <f>IFERROR(_xlfn.XLOOKUP($A764,'Base SKUs'!$E:$E,'Base SKUs'!I:I),"")</f>
        <v>-</v>
      </c>
      <c r="P764" t="str">
        <f>IFERROR(_xlfn.XLOOKUP($A764,'Base SKUs'!$E:$E,'Base SKUs'!J:J),"")</f>
        <v>2x2</v>
      </c>
      <c r="Q764">
        <f>IFERROR(_xlfn.XLOOKUP($A764,'Base SKUs'!$E:$E,'Base SKUs'!K:K),"")</f>
        <v>16</v>
      </c>
      <c r="R764" s="7">
        <f>IFERROR(_xlfn.XLOOKUP($A764,'Base SKUs'!$E:$E,'Base SKUs'!S:S),"")</f>
        <v>0</v>
      </c>
      <c r="S764" s="8">
        <f t="shared" si="57"/>
        <v>20</v>
      </c>
      <c r="T764" s="7">
        <f>IFERROR(_xlfn.XLOOKUP($A764,'Base SKUs'!$E:$E,'Base SKUs'!R:R),"")</f>
        <v>0</v>
      </c>
      <c r="U764" s="15">
        <f t="shared" si="58"/>
        <v>20</v>
      </c>
      <c r="V764" t="str">
        <f t="shared" si="59"/>
        <v>New York</v>
      </c>
    </row>
    <row r="765" spans="1:22" x14ac:dyDescent="0.2">
      <c r="A765" t="s">
        <v>1045</v>
      </c>
      <c r="B765" s="5">
        <v>241</v>
      </c>
      <c r="C765" s="5">
        <v>0</v>
      </c>
      <c r="D765" s="5">
        <f t="shared" si="55"/>
        <v>241</v>
      </c>
      <c r="E765" s="6">
        <v>17.225899999999999</v>
      </c>
      <c r="F765" s="6">
        <f t="shared" si="56"/>
        <v>4151.4418999999998</v>
      </c>
      <c r="G765" t="s">
        <v>330</v>
      </c>
      <c r="H765">
        <v>9011</v>
      </c>
      <c r="I765" t="str">
        <f>IFERROR(_xlfn.XLOOKUP($A765,'Base SKUs'!$E:$E,'Base SKUs'!A:A),"")</f>
        <v>Performance 1</v>
      </c>
      <c r="J765" t="str">
        <f>IFERROR(_xlfn.XLOOKUP($A765,'Base SKUs'!$E:$E,'Base SKUs'!B:B),"")</f>
        <v>Profile 1x8</v>
      </c>
      <c r="K765" t="str">
        <f>IFERROR(_xlfn.XLOOKUP($A765,'Base SKUs'!$E:$E,'Base SKUs'!C:C),"")</f>
        <v>Long</v>
      </c>
      <c r="L765" t="str">
        <f>IFERROR(_xlfn.XLOOKUP($A765,'Base SKUs'!$E:$E,'Base SKUs'!D:D),"")</f>
        <v>Norx</v>
      </c>
      <c r="M765" t="str">
        <f>IFERROR(_xlfn.XLOOKUP($A765,'Base SKUs'!$E:$E,'Base SKUs'!G:G),"")</f>
        <v>Ebony</v>
      </c>
      <c r="N765" t="str">
        <f>IFERROR(_xlfn.XLOOKUP($A765,'Base SKUs'!$E:$E,'Base SKUs'!H:H),"")</f>
        <v>Profile</v>
      </c>
      <c r="O765" t="str">
        <f>IFERROR(_xlfn.XLOOKUP($A765,'Base SKUs'!$E:$E,'Base SKUs'!I:I),"")</f>
        <v>-</v>
      </c>
      <c r="P765" t="str">
        <f>IFERROR(_xlfn.XLOOKUP($A765,'Base SKUs'!$E:$E,'Base SKUs'!J:J),"")</f>
        <v>1x8</v>
      </c>
      <c r="Q765">
        <f>IFERROR(_xlfn.XLOOKUP($A765,'Base SKUs'!$E:$E,'Base SKUs'!K:K),"")</f>
        <v>16</v>
      </c>
      <c r="R765" s="7">
        <f>IFERROR(_xlfn.XLOOKUP($A765,'Base SKUs'!$E:$E,'Base SKUs'!S:S),"")</f>
        <v>0</v>
      </c>
      <c r="S765" s="8">
        <f t="shared" si="57"/>
        <v>241</v>
      </c>
      <c r="T765" s="7">
        <f>IFERROR(_xlfn.XLOOKUP($A765,'Base SKUs'!$E:$E,'Base SKUs'!R:R),"")</f>
        <v>0</v>
      </c>
      <c r="U765" s="15">
        <f t="shared" si="58"/>
        <v>241</v>
      </c>
      <c r="V765" t="str">
        <f t="shared" si="59"/>
        <v>New York</v>
      </c>
    </row>
    <row r="766" spans="1:22" x14ac:dyDescent="0.2">
      <c r="A766" t="s">
        <v>1047</v>
      </c>
      <c r="B766" s="5">
        <v>2433</v>
      </c>
      <c r="C766" s="5">
        <v>0</v>
      </c>
      <c r="D766" s="5">
        <f t="shared" si="55"/>
        <v>2433</v>
      </c>
      <c r="E766" s="6">
        <v>11.185700000000001</v>
      </c>
      <c r="F766" s="6">
        <f t="shared" si="56"/>
        <v>27214.808100000002</v>
      </c>
      <c r="G766" t="s">
        <v>330</v>
      </c>
      <c r="H766">
        <v>9011</v>
      </c>
      <c r="I766" t="str">
        <f>IFERROR(_xlfn.XLOOKUP($A766,'Base SKUs'!$E:$E,'Base SKUs'!A:A),"")</f>
        <v>Performance 1</v>
      </c>
      <c r="J766" t="str">
        <f>IFERROR(_xlfn.XLOOKUP($A766,'Base SKUs'!$E:$E,'Base SKUs'!B:B),"")</f>
        <v>Profile 1x6</v>
      </c>
      <c r="K766" t="str">
        <f>IFERROR(_xlfn.XLOOKUP($A766,'Base SKUs'!$E:$E,'Base SKUs'!C:C),"")</f>
        <v>Long</v>
      </c>
      <c r="L766" t="str">
        <f>IFERROR(_xlfn.XLOOKUP($A766,'Base SKUs'!$E:$E,'Base SKUs'!D:D),"")</f>
        <v>Norx</v>
      </c>
      <c r="M766" t="str">
        <f>IFERROR(_xlfn.XLOOKUP($A766,'Base SKUs'!$E:$E,'Base SKUs'!G:G),"")</f>
        <v>Ipe</v>
      </c>
      <c r="N766" t="str">
        <f>IFERROR(_xlfn.XLOOKUP($A766,'Base SKUs'!$E:$E,'Base SKUs'!H:H),"")</f>
        <v>Profile</v>
      </c>
      <c r="O766" t="str">
        <f>IFERROR(_xlfn.XLOOKUP($A766,'Base SKUs'!$E:$E,'Base SKUs'!I:I),"")</f>
        <v>-</v>
      </c>
      <c r="P766" t="str">
        <f>IFERROR(_xlfn.XLOOKUP($A766,'Base SKUs'!$E:$E,'Base SKUs'!J:J),"")</f>
        <v>1x6</v>
      </c>
      <c r="Q766">
        <f>IFERROR(_xlfn.XLOOKUP($A766,'Base SKUs'!$E:$E,'Base SKUs'!K:K),"")</f>
        <v>16</v>
      </c>
      <c r="R766" s="7">
        <f>IFERROR(_xlfn.XLOOKUP($A766,'Base SKUs'!$E:$E,'Base SKUs'!S:S),"")</f>
        <v>0</v>
      </c>
      <c r="S766" s="8">
        <f t="shared" si="57"/>
        <v>2433</v>
      </c>
      <c r="T766" s="7">
        <f>IFERROR(_xlfn.XLOOKUP($A766,'Base SKUs'!$E:$E,'Base SKUs'!R:R),"")</f>
        <v>0</v>
      </c>
      <c r="U766" s="15">
        <f t="shared" si="58"/>
        <v>2433</v>
      </c>
      <c r="V766" t="str">
        <f t="shared" si="59"/>
        <v>New York</v>
      </c>
    </row>
    <row r="767" spans="1:22" x14ac:dyDescent="0.2">
      <c r="A767" t="s">
        <v>1049</v>
      </c>
      <c r="B767" s="5">
        <v>356</v>
      </c>
      <c r="C767" s="5">
        <v>0</v>
      </c>
      <c r="D767" s="5">
        <f t="shared" si="55"/>
        <v>356</v>
      </c>
      <c r="E767" s="6">
        <v>17.57</v>
      </c>
      <c r="F767" s="6">
        <f t="shared" si="56"/>
        <v>6254.92</v>
      </c>
      <c r="G767" t="s">
        <v>330</v>
      </c>
      <c r="H767">
        <v>9011</v>
      </c>
      <c r="I767" t="str">
        <f>IFERROR(_xlfn.XLOOKUP($A767,'Base SKUs'!$E:$E,'Base SKUs'!A:A),"")</f>
        <v>Performance 1</v>
      </c>
      <c r="J767" t="str">
        <f>IFERROR(_xlfn.XLOOKUP($A767,'Base SKUs'!$E:$E,'Base SKUs'!B:B),"")</f>
        <v>Profile 1x8</v>
      </c>
      <c r="K767" t="str">
        <f>IFERROR(_xlfn.XLOOKUP($A767,'Base SKUs'!$E:$E,'Base SKUs'!C:C),"")</f>
        <v>Long</v>
      </c>
      <c r="L767" t="str">
        <f>IFERROR(_xlfn.XLOOKUP($A767,'Base SKUs'!$E:$E,'Base SKUs'!D:D),"")</f>
        <v>Norx</v>
      </c>
      <c r="M767" t="str">
        <f>IFERROR(_xlfn.XLOOKUP($A767,'Base SKUs'!$E:$E,'Base SKUs'!G:G),"")</f>
        <v>Ipe</v>
      </c>
      <c r="N767" t="str">
        <f>IFERROR(_xlfn.XLOOKUP($A767,'Base SKUs'!$E:$E,'Base SKUs'!H:H),"")</f>
        <v>Profile</v>
      </c>
      <c r="O767" t="str">
        <f>IFERROR(_xlfn.XLOOKUP($A767,'Base SKUs'!$E:$E,'Base SKUs'!I:I),"")</f>
        <v>-</v>
      </c>
      <c r="P767" t="str">
        <f>IFERROR(_xlfn.XLOOKUP($A767,'Base SKUs'!$E:$E,'Base SKUs'!J:J),"")</f>
        <v>1x8</v>
      </c>
      <c r="Q767">
        <f>IFERROR(_xlfn.XLOOKUP($A767,'Base SKUs'!$E:$E,'Base SKUs'!K:K),"")</f>
        <v>16</v>
      </c>
      <c r="R767" s="7">
        <f>IFERROR(_xlfn.XLOOKUP($A767,'Base SKUs'!$E:$E,'Base SKUs'!S:S),"")</f>
        <v>0</v>
      </c>
      <c r="S767" s="8">
        <f t="shared" si="57"/>
        <v>356</v>
      </c>
      <c r="T767" s="7">
        <f>IFERROR(_xlfn.XLOOKUP($A767,'Base SKUs'!$E:$E,'Base SKUs'!R:R),"")</f>
        <v>0</v>
      </c>
      <c r="U767" s="15">
        <f t="shared" si="58"/>
        <v>356</v>
      </c>
      <c r="V767" t="str">
        <f t="shared" si="59"/>
        <v>New York</v>
      </c>
    </row>
    <row r="768" spans="1:22" x14ac:dyDescent="0.2">
      <c r="A768" t="s">
        <v>1051</v>
      </c>
      <c r="B768" s="5">
        <v>945</v>
      </c>
      <c r="C768" s="5">
        <v>0</v>
      </c>
      <c r="D768" s="5">
        <f t="shared" si="55"/>
        <v>945</v>
      </c>
      <c r="E768" s="6">
        <v>12.457000000000001</v>
      </c>
      <c r="F768" s="6">
        <f t="shared" si="56"/>
        <v>11771.865000000002</v>
      </c>
      <c r="G768" t="s">
        <v>125</v>
      </c>
      <c r="H768">
        <v>9009</v>
      </c>
      <c r="I768" t="str">
        <f>IFERROR(_xlfn.XLOOKUP($A768,'Base SKUs'!$E:$E,'Base SKUs'!A:A),"")</f>
        <v>Performance 1</v>
      </c>
      <c r="J768" t="str">
        <f>IFERROR(_xlfn.XLOOKUP($A768,'Base SKUs'!$E:$E,'Base SKUs'!B:B),"")</f>
        <v>Profile 1x6</v>
      </c>
      <c r="K768" t="str">
        <f>IFERROR(_xlfn.XLOOKUP($A768,'Base SKUs'!$E:$E,'Base SKUs'!C:C),"")</f>
        <v>Long</v>
      </c>
      <c r="L768" t="str">
        <f>IFERROR(_xlfn.XLOOKUP($A768,'Base SKUs'!$E:$E,'Base SKUs'!D:D),"")</f>
        <v>Norx</v>
      </c>
      <c r="M768" t="str">
        <f>IFERROR(_xlfn.XLOOKUP($A768,'Base SKUs'!$E:$E,'Base SKUs'!G:G),"")</f>
        <v>Teak</v>
      </c>
      <c r="N768" t="str">
        <f>IFERROR(_xlfn.XLOOKUP($A768,'Base SKUs'!$E:$E,'Base SKUs'!H:H),"")</f>
        <v>Profile</v>
      </c>
      <c r="O768" t="str">
        <f>IFERROR(_xlfn.XLOOKUP($A768,'Base SKUs'!$E:$E,'Base SKUs'!I:I),"")</f>
        <v>-</v>
      </c>
      <c r="P768" t="str">
        <f>IFERROR(_xlfn.XLOOKUP($A768,'Base SKUs'!$E:$E,'Base SKUs'!J:J),"")</f>
        <v>1x6</v>
      </c>
      <c r="Q768">
        <f>IFERROR(_xlfn.XLOOKUP($A768,'Base SKUs'!$E:$E,'Base SKUs'!K:K),"")</f>
        <v>16</v>
      </c>
      <c r="R768" s="7">
        <f>IFERROR(_xlfn.XLOOKUP($A768,'Base SKUs'!$E:$E,'Base SKUs'!S:S),"")</f>
        <v>0</v>
      </c>
      <c r="S768" s="8">
        <f t="shared" si="57"/>
        <v>945</v>
      </c>
      <c r="T768" s="7">
        <f>IFERROR(_xlfn.XLOOKUP($A768,'Base SKUs'!$E:$E,'Base SKUs'!R:R),"")</f>
        <v>0</v>
      </c>
      <c r="U768" s="15">
        <f t="shared" si="58"/>
        <v>945</v>
      </c>
      <c r="V768" t="str">
        <f t="shared" si="59"/>
        <v>Boston</v>
      </c>
    </row>
    <row r="769" spans="1:22" x14ac:dyDescent="0.2">
      <c r="A769" t="s">
        <v>1051</v>
      </c>
      <c r="B769" s="5">
        <v>1320</v>
      </c>
      <c r="C769" s="5">
        <v>0</v>
      </c>
      <c r="D769" s="5">
        <f t="shared" si="55"/>
        <v>1320</v>
      </c>
      <c r="E769" s="6">
        <v>11.1929</v>
      </c>
      <c r="F769" s="6">
        <f t="shared" si="56"/>
        <v>14774.628000000001</v>
      </c>
      <c r="G769" t="s">
        <v>330</v>
      </c>
      <c r="H769">
        <v>9011</v>
      </c>
      <c r="I769" t="str">
        <f>IFERROR(_xlfn.XLOOKUP($A769,'Base SKUs'!$E:$E,'Base SKUs'!A:A),"")</f>
        <v>Performance 1</v>
      </c>
      <c r="J769" t="str">
        <f>IFERROR(_xlfn.XLOOKUP($A769,'Base SKUs'!$E:$E,'Base SKUs'!B:B),"")</f>
        <v>Profile 1x6</v>
      </c>
      <c r="K769" t="str">
        <f>IFERROR(_xlfn.XLOOKUP($A769,'Base SKUs'!$E:$E,'Base SKUs'!C:C),"")</f>
        <v>Long</v>
      </c>
      <c r="L769" t="str">
        <f>IFERROR(_xlfn.XLOOKUP($A769,'Base SKUs'!$E:$E,'Base SKUs'!D:D),"")</f>
        <v>Norx</v>
      </c>
      <c r="M769" t="str">
        <f>IFERROR(_xlfn.XLOOKUP($A769,'Base SKUs'!$E:$E,'Base SKUs'!G:G),"")</f>
        <v>Teak</v>
      </c>
      <c r="N769" t="str">
        <f>IFERROR(_xlfn.XLOOKUP($A769,'Base SKUs'!$E:$E,'Base SKUs'!H:H),"")</f>
        <v>Profile</v>
      </c>
      <c r="O769" t="str">
        <f>IFERROR(_xlfn.XLOOKUP($A769,'Base SKUs'!$E:$E,'Base SKUs'!I:I),"")</f>
        <v>-</v>
      </c>
      <c r="P769" t="str">
        <f>IFERROR(_xlfn.XLOOKUP($A769,'Base SKUs'!$E:$E,'Base SKUs'!J:J),"")</f>
        <v>1x6</v>
      </c>
      <c r="Q769">
        <f>IFERROR(_xlfn.XLOOKUP($A769,'Base SKUs'!$E:$E,'Base SKUs'!K:K),"")</f>
        <v>16</v>
      </c>
      <c r="R769" s="7">
        <f>IFERROR(_xlfn.XLOOKUP($A769,'Base SKUs'!$E:$E,'Base SKUs'!S:S),"")</f>
        <v>0</v>
      </c>
      <c r="S769" s="8">
        <f t="shared" si="57"/>
        <v>1320</v>
      </c>
      <c r="T769" s="7">
        <f>IFERROR(_xlfn.XLOOKUP($A769,'Base SKUs'!$E:$E,'Base SKUs'!R:R),"")</f>
        <v>0</v>
      </c>
      <c r="U769" s="15">
        <f t="shared" si="58"/>
        <v>1320</v>
      </c>
      <c r="V769" t="str">
        <f t="shared" si="59"/>
        <v>New York</v>
      </c>
    </row>
    <row r="770" spans="1:22" x14ac:dyDescent="0.2">
      <c r="A770" t="s">
        <v>1053</v>
      </c>
      <c r="B770" s="5">
        <v>37</v>
      </c>
      <c r="C770" s="5">
        <v>0</v>
      </c>
      <c r="D770" s="5">
        <f t="shared" ref="D770:D833" si="60">B770-C770</f>
        <v>37</v>
      </c>
      <c r="E770" s="6">
        <v>17.226099999999999</v>
      </c>
      <c r="F770" s="6">
        <f t="shared" ref="F770:F833" si="61">B770*E770</f>
        <v>637.36569999999995</v>
      </c>
      <c r="G770" t="s">
        <v>330</v>
      </c>
      <c r="H770">
        <v>9011</v>
      </c>
      <c r="I770" t="str">
        <f>IFERROR(_xlfn.XLOOKUP($A770,'Base SKUs'!$E:$E,'Base SKUs'!A:A),"")</f>
        <v>Performance 1</v>
      </c>
      <c r="J770" t="str">
        <f>IFERROR(_xlfn.XLOOKUP($A770,'Base SKUs'!$E:$E,'Base SKUs'!B:B),"")</f>
        <v>Profile 1x8</v>
      </c>
      <c r="K770" t="str">
        <f>IFERROR(_xlfn.XLOOKUP($A770,'Base SKUs'!$E:$E,'Base SKUs'!C:C),"")</f>
        <v>Long</v>
      </c>
      <c r="L770" t="str">
        <f>IFERROR(_xlfn.XLOOKUP($A770,'Base SKUs'!$E:$E,'Base SKUs'!D:D),"")</f>
        <v>Norx</v>
      </c>
      <c r="M770" t="str">
        <f>IFERROR(_xlfn.XLOOKUP($A770,'Base SKUs'!$E:$E,'Base SKUs'!G:G),"")</f>
        <v>Tigerwood</v>
      </c>
      <c r="N770" t="str">
        <f>IFERROR(_xlfn.XLOOKUP($A770,'Base SKUs'!$E:$E,'Base SKUs'!H:H),"")</f>
        <v>Profile</v>
      </c>
      <c r="O770" t="str">
        <f>IFERROR(_xlfn.XLOOKUP($A770,'Base SKUs'!$E:$E,'Base SKUs'!I:I),"")</f>
        <v>-</v>
      </c>
      <c r="P770" t="str">
        <f>IFERROR(_xlfn.XLOOKUP($A770,'Base SKUs'!$E:$E,'Base SKUs'!J:J),"")</f>
        <v>1x8</v>
      </c>
      <c r="Q770">
        <f>IFERROR(_xlfn.XLOOKUP($A770,'Base SKUs'!$E:$E,'Base SKUs'!K:K),"")</f>
        <v>16</v>
      </c>
      <c r="R770" s="7">
        <f>IFERROR(_xlfn.XLOOKUP($A770,'Base SKUs'!$E:$E,'Base SKUs'!S:S),"")</f>
        <v>0</v>
      </c>
      <c r="S770" s="8">
        <f t="shared" ref="S770:S833" si="62">IF(OR(L770="Saicos",L770="Oil",L770="US4",L770="Wood Table",L770="Woca",L770="Norx",N770="Tiles"),D770,D770*R770)</f>
        <v>37</v>
      </c>
      <c r="T770" s="7">
        <f>IFERROR(_xlfn.XLOOKUP($A770,'Base SKUs'!$E:$E,'Base SKUs'!R:R),"")</f>
        <v>0</v>
      </c>
      <c r="U770" s="15">
        <f t="shared" ref="U770:U833" si="63">ROUND(IF(OR(L770="Saicos",L770="Oil",L770="US4",L770="Wood Table",L770="Woca",L770="Norx",N770="Tiles"),D770,S770*T770),0)</f>
        <v>37</v>
      </c>
      <c r="V770" t="str">
        <f t="shared" ref="V770:V833" si="64">IF(H770=9007,"Miami",IF(H770=9008,"Texas",IF(H770=9009,"Boston",IF(H770=9010,"BS Detroit",IF(H770=9011,"New York",IF(H770=9012,"HW Perris",IF(H770=9013,"BS Riverside",IF(H770=9014,"On the Way",IF(H770=9015,"Russin",IF(H770=9016,"Palm Beach",""))))))))))</f>
        <v>New York</v>
      </c>
    </row>
    <row r="771" spans="1:22" x14ac:dyDescent="0.2">
      <c r="A771" t="s">
        <v>1055</v>
      </c>
      <c r="B771" s="5">
        <v>33</v>
      </c>
      <c r="C771" s="5">
        <v>0</v>
      </c>
      <c r="D771" s="5">
        <f t="shared" si="60"/>
        <v>33</v>
      </c>
      <c r="E771" s="6">
        <v>8.5</v>
      </c>
      <c r="F771" s="6">
        <f t="shared" si="61"/>
        <v>280.5</v>
      </c>
      <c r="G771" t="s">
        <v>330</v>
      </c>
      <c r="H771">
        <v>9011</v>
      </c>
      <c r="I771" t="str">
        <f>IFERROR(_xlfn.XLOOKUP($A771,'Base SKUs'!$E:$E,'Base SKUs'!A:A),"")</f>
        <v>Performance 1</v>
      </c>
      <c r="J771" t="str">
        <f>IFERROR(_xlfn.XLOOKUP($A771,'Base SKUs'!$E:$E,'Base SKUs'!B:B),"")</f>
        <v>Corner Trim 1.5x3</v>
      </c>
      <c r="K771" t="str">
        <f>IFERROR(_xlfn.XLOOKUP($A771,'Base SKUs'!$E:$E,'Base SKUs'!C:C),"")</f>
        <v>Long</v>
      </c>
      <c r="L771" t="str">
        <f>IFERROR(_xlfn.XLOOKUP($A771,'Base SKUs'!$E:$E,'Base SKUs'!D:D),"")</f>
        <v>Norx</v>
      </c>
      <c r="M771" t="str">
        <f>IFERROR(_xlfn.XLOOKUP($A771,'Base SKUs'!$E:$E,'Base SKUs'!G:G),"")</f>
        <v>Ebony</v>
      </c>
      <c r="N771" t="str">
        <f>IFERROR(_xlfn.XLOOKUP($A771,'Base SKUs'!$E:$E,'Base SKUs'!H:H),"")</f>
        <v>Corner Trim</v>
      </c>
      <c r="O771" t="str">
        <f>IFERROR(_xlfn.XLOOKUP($A771,'Base SKUs'!$E:$E,'Base SKUs'!I:I),"")</f>
        <v>-</v>
      </c>
      <c r="P771" t="str">
        <f>IFERROR(_xlfn.XLOOKUP($A771,'Base SKUs'!$E:$E,'Base SKUs'!J:J),"")</f>
        <v>1.5x3</v>
      </c>
      <c r="Q771">
        <f>IFERROR(_xlfn.XLOOKUP($A771,'Base SKUs'!$E:$E,'Base SKUs'!K:K),"")</f>
        <v>16</v>
      </c>
      <c r="R771" s="7">
        <f>IFERROR(_xlfn.XLOOKUP($A771,'Base SKUs'!$E:$E,'Base SKUs'!S:S),"")</f>
        <v>0</v>
      </c>
      <c r="S771" s="8">
        <f t="shared" si="62"/>
        <v>33</v>
      </c>
      <c r="T771" s="7">
        <f>IFERROR(_xlfn.XLOOKUP($A771,'Base SKUs'!$E:$E,'Base SKUs'!R:R),"")</f>
        <v>0</v>
      </c>
      <c r="U771" s="15">
        <f t="shared" si="63"/>
        <v>33</v>
      </c>
      <c r="V771" t="str">
        <f t="shared" si="64"/>
        <v>New York</v>
      </c>
    </row>
    <row r="772" spans="1:22" x14ac:dyDescent="0.2">
      <c r="A772" t="s">
        <v>1057</v>
      </c>
      <c r="B772" s="5">
        <v>10</v>
      </c>
      <c r="C772" s="5">
        <v>0</v>
      </c>
      <c r="D772" s="5">
        <f t="shared" si="60"/>
        <v>10</v>
      </c>
      <c r="E772" s="6">
        <v>11.414999999999999</v>
      </c>
      <c r="F772" s="6">
        <f t="shared" si="61"/>
        <v>114.14999999999999</v>
      </c>
      <c r="G772" t="s">
        <v>330</v>
      </c>
      <c r="H772">
        <v>9011</v>
      </c>
      <c r="I772" t="str">
        <f>IFERROR(_xlfn.XLOOKUP($A772,'Base SKUs'!$E:$E,'Base SKUs'!A:A),"")</f>
        <v>Performance 1</v>
      </c>
      <c r="J772" t="str">
        <f>IFERROR(_xlfn.XLOOKUP($A772,'Base SKUs'!$E:$E,'Base SKUs'!B:B),"")</f>
        <v>Corner Trim 3x3</v>
      </c>
      <c r="K772" t="str">
        <f>IFERROR(_xlfn.XLOOKUP($A772,'Base SKUs'!$E:$E,'Base SKUs'!C:C),"")</f>
        <v>Long</v>
      </c>
      <c r="L772" t="str">
        <f>IFERROR(_xlfn.XLOOKUP($A772,'Base SKUs'!$E:$E,'Base SKUs'!D:D),"")</f>
        <v>Norx</v>
      </c>
      <c r="M772" t="str">
        <f>IFERROR(_xlfn.XLOOKUP($A772,'Base SKUs'!$E:$E,'Base SKUs'!G:G),"")</f>
        <v>Ipe</v>
      </c>
      <c r="N772" t="str">
        <f>IFERROR(_xlfn.XLOOKUP($A772,'Base SKUs'!$E:$E,'Base SKUs'!H:H),"")</f>
        <v>Corner Trim</v>
      </c>
      <c r="O772" t="str">
        <f>IFERROR(_xlfn.XLOOKUP($A772,'Base SKUs'!$E:$E,'Base SKUs'!I:I),"")</f>
        <v>-</v>
      </c>
      <c r="P772" t="str">
        <f>IFERROR(_xlfn.XLOOKUP($A772,'Base SKUs'!$E:$E,'Base SKUs'!J:J),"")</f>
        <v>3x3</v>
      </c>
      <c r="Q772">
        <f>IFERROR(_xlfn.XLOOKUP($A772,'Base SKUs'!$E:$E,'Base SKUs'!K:K),"")</f>
        <v>16</v>
      </c>
      <c r="R772" s="7">
        <f>IFERROR(_xlfn.XLOOKUP($A772,'Base SKUs'!$E:$E,'Base SKUs'!S:S),"")</f>
        <v>0</v>
      </c>
      <c r="S772" s="8">
        <f t="shared" si="62"/>
        <v>10</v>
      </c>
      <c r="T772" s="7">
        <f>IFERROR(_xlfn.XLOOKUP($A772,'Base SKUs'!$E:$E,'Base SKUs'!R:R),"")</f>
        <v>0</v>
      </c>
      <c r="U772" s="15">
        <f t="shared" si="63"/>
        <v>10</v>
      </c>
      <c r="V772" t="str">
        <f t="shared" si="64"/>
        <v>New York</v>
      </c>
    </row>
    <row r="773" spans="1:22" x14ac:dyDescent="0.2">
      <c r="A773" t="s">
        <v>1059</v>
      </c>
      <c r="B773" s="5">
        <v>180</v>
      </c>
      <c r="C773" s="5">
        <v>0</v>
      </c>
      <c r="D773" s="5">
        <f t="shared" si="60"/>
        <v>180</v>
      </c>
      <c r="E773" s="6">
        <v>8.7833000000000006</v>
      </c>
      <c r="F773" s="6">
        <f t="shared" si="61"/>
        <v>1580.9940000000001</v>
      </c>
      <c r="G773" t="s">
        <v>330</v>
      </c>
      <c r="H773">
        <v>9011</v>
      </c>
      <c r="I773" t="str">
        <f>IFERROR(_xlfn.XLOOKUP($A773,'Base SKUs'!$E:$E,'Base SKUs'!A:A),"")</f>
        <v>Performance 1</v>
      </c>
      <c r="J773" t="str">
        <f>IFERROR(_xlfn.XLOOKUP($A773,'Base SKUs'!$E:$E,'Base SKUs'!B:B),"")</f>
        <v>Corner Trim 1.5x3.9</v>
      </c>
      <c r="K773" t="str">
        <f>IFERROR(_xlfn.XLOOKUP($A773,'Base SKUs'!$E:$E,'Base SKUs'!C:C),"")</f>
        <v>Long</v>
      </c>
      <c r="L773" t="str">
        <f>IFERROR(_xlfn.XLOOKUP($A773,'Base SKUs'!$E:$E,'Base SKUs'!D:D),"")</f>
        <v>Norx</v>
      </c>
      <c r="M773" t="str">
        <f>IFERROR(_xlfn.XLOOKUP($A773,'Base SKUs'!$E:$E,'Base SKUs'!G:G),"")</f>
        <v>Ipe</v>
      </c>
      <c r="N773" t="str">
        <f>IFERROR(_xlfn.XLOOKUP($A773,'Base SKUs'!$E:$E,'Base SKUs'!H:H),"")</f>
        <v>Corner Trim</v>
      </c>
      <c r="O773" t="str">
        <f>IFERROR(_xlfn.XLOOKUP($A773,'Base SKUs'!$E:$E,'Base SKUs'!I:I),"")</f>
        <v>-</v>
      </c>
      <c r="P773" t="str">
        <f>IFERROR(_xlfn.XLOOKUP($A773,'Base SKUs'!$E:$E,'Base SKUs'!J:J),"")</f>
        <v>1.5x3.9</v>
      </c>
      <c r="Q773">
        <f>IFERROR(_xlfn.XLOOKUP($A773,'Base SKUs'!$E:$E,'Base SKUs'!K:K),"")</f>
        <v>16</v>
      </c>
      <c r="R773" s="7">
        <f>IFERROR(_xlfn.XLOOKUP($A773,'Base SKUs'!$E:$E,'Base SKUs'!S:S),"")</f>
        <v>0</v>
      </c>
      <c r="S773" s="8">
        <f t="shared" si="62"/>
        <v>180</v>
      </c>
      <c r="T773" s="7">
        <f>IFERROR(_xlfn.XLOOKUP($A773,'Base SKUs'!$E:$E,'Base SKUs'!R:R),"")</f>
        <v>0</v>
      </c>
      <c r="U773" s="15">
        <f t="shared" si="63"/>
        <v>180</v>
      </c>
      <c r="V773" t="str">
        <f t="shared" si="64"/>
        <v>New York</v>
      </c>
    </row>
    <row r="774" spans="1:22" x14ac:dyDescent="0.2">
      <c r="A774" t="s">
        <v>1061</v>
      </c>
      <c r="B774" s="5">
        <v>30</v>
      </c>
      <c r="C774" s="5">
        <v>0</v>
      </c>
      <c r="D774" s="5">
        <f t="shared" si="60"/>
        <v>30</v>
      </c>
      <c r="E774" s="6">
        <v>17.451599999999999</v>
      </c>
      <c r="F774" s="6">
        <f t="shared" si="61"/>
        <v>523.548</v>
      </c>
      <c r="G774" t="s">
        <v>17</v>
      </c>
      <c r="H774">
        <v>9007</v>
      </c>
      <c r="I774" t="str">
        <f>IFERROR(_xlfn.XLOOKUP($A774,'Base SKUs'!$E:$E,'Base SKUs'!A:A),"")</f>
        <v>Performance 1</v>
      </c>
      <c r="J774" t="str">
        <f>IFERROR(_xlfn.XLOOKUP($A774,'Base SKUs'!$E:$E,'Base SKUs'!B:B),"")</f>
        <v>Corner Trim 1.5x3</v>
      </c>
      <c r="K774" t="str">
        <f>IFERROR(_xlfn.XLOOKUP($A774,'Base SKUs'!$E:$E,'Base SKUs'!C:C),"")</f>
        <v>Long</v>
      </c>
      <c r="L774" t="str">
        <f>IFERROR(_xlfn.XLOOKUP($A774,'Base SKUs'!$E:$E,'Base SKUs'!D:D),"")</f>
        <v>Norx</v>
      </c>
      <c r="M774" t="str">
        <f>IFERROR(_xlfn.XLOOKUP($A774,'Base SKUs'!$E:$E,'Base SKUs'!G:G),"")</f>
        <v>Teak</v>
      </c>
      <c r="N774" t="str">
        <f>IFERROR(_xlfn.XLOOKUP($A774,'Base SKUs'!$E:$E,'Base SKUs'!H:H),"")</f>
        <v>Corner Trim</v>
      </c>
      <c r="O774" t="str">
        <f>IFERROR(_xlfn.XLOOKUP($A774,'Base SKUs'!$E:$E,'Base SKUs'!I:I),"")</f>
        <v>-</v>
      </c>
      <c r="P774" t="str">
        <f>IFERROR(_xlfn.XLOOKUP($A774,'Base SKUs'!$E:$E,'Base SKUs'!J:J),"")</f>
        <v>1.5x3</v>
      </c>
      <c r="Q774">
        <f>IFERROR(_xlfn.XLOOKUP($A774,'Base SKUs'!$E:$E,'Base SKUs'!K:K),"")</f>
        <v>16</v>
      </c>
      <c r="R774" s="7">
        <f>IFERROR(_xlfn.XLOOKUP($A774,'Base SKUs'!$E:$E,'Base SKUs'!S:S),"")</f>
        <v>0</v>
      </c>
      <c r="S774" s="8">
        <f t="shared" si="62"/>
        <v>30</v>
      </c>
      <c r="T774" s="7">
        <f>IFERROR(_xlfn.XLOOKUP($A774,'Base SKUs'!$E:$E,'Base SKUs'!R:R),"")</f>
        <v>0</v>
      </c>
      <c r="U774" s="15">
        <f t="shared" si="63"/>
        <v>30</v>
      </c>
      <c r="V774" t="str">
        <f t="shared" si="64"/>
        <v>Miami</v>
      </c>
    </row>
    <row r="775" spans="1:22" x14ac:dyDescent="0.2">
      <c r="A775" t="s">
        <v>1061</v>
      </c>
      <c r="B775" s="5">
        <v>60</v>
      </c>
      <c r="C775" s="5">
        <v>0</v>
      </c>
      <c r="D775" s="5">
        <f t="shared" si="60"/>
        <v>60</v>
      </c>
      <c r="E775" s="6">
        <v>9.7752999999999997</v>
      </c>
      <c r="F775" s="6">
        <f t="shared" si="61"/>
        <v>586.51800000000003</v>
      </c>
      <c r="G775" t="s">
        <v>125</v>
      </c>
      <c r="H775">
        <v>9009</v>
      </c>
      <c r="I775" t="str">
        <f>IFERROR(_xlfn.XLOOKUP($A775,'Base SKUs'!$E:$E,'Base SKUs'!A:A),"")</f>
        <v>Performance 1</v>
      </c>
      <c r="J775" t="str">
        <f>IFERROR(_xlfn.XLOOKUP($A775,'Base SKUs'!$E:$E,'Base SKUs'!B:B),"")</f>
        <v>Corner Trim 1.5x3</v>
      </c>
      <c r="K775" t="str">
        <f>IFERROR(_xlfn.XLOOKUP($A775,'Base SKUs'!$E:$E,'Base SKUs'!C:C),"")</f>
        <v>Long</v>
      </c>
      <c r="L775" t="str">
        <f>IFERROR(_xlfn.XLOOKUP($A775,'Base SKUs'!$E:$E,'Base SKUs'!D:D),"")</f>
        <v>Norx</v>
      </c>
      <c r="M775" t="str">
        <f>IFERROR(_xlfn.XLOOKUP($A775,'Base SKUs'!$E:$E,'Base SKUs'!G:G),"")</f>
        <v>Teak</v>
      </c>
      <c r="N775" t="str">
        <f>IFERROR(_xlfn.XLOOKUP($A775,'Base SKUs'!$E:$E,'Base SKUs'!H:H),"")</f>
        <v>Corner Trim</v>
      </c>
      <c r="O775" t="str">
        <f>IFERROR(_xlfn.XLOOKUP($A775,'Base SKUs'!$E:$E,'Base SKUs'!I:I),"")</f>
        <v>-</v>
      </c>
      <c r="P775" t="str">
        <f>IFERROR(_xlfn.XLOOKUP($A775,'Base SKUs'!$E:$E,'Base SKUs'!J:J),"")</f>
        <v>1.5x3</v>
      </c>
      <c r="Q775">
        <f>IFERROR(_xlfn.XLOOKUP($A775,'Base SKUs'!$E:$E,'Base SKUs'!K:K),"")</f>
        <v>16</v>
      </c>
      <c r="R775" s="7">
        <f>IFERROR(_xlfn.XLOOKUP($A775,'Base SKUs'!$E:$E,'Base SKUs'!S:S),"")</f>
        <v>0</v>
      </c>
      <c r="S775" s="8">
        <f t="shared" si="62"/>
        <v>60</v>
      </c>
      <c r="T775" s="7">
        <f>IFERROR(_xlfn.XLOOKUP($A775,'Base SKUs'!$E:$E,'Base SKUs'!R:R),"")</f>
        <v>0</v>
      </c>
      <c r="U775" s="15">
        <f t="shared" si="63"/>
        <v>60</v>
      </c>
      <c r="V775" t="str">
        <f t="shared" si="64"/>
        <v>Boston</v>
      </c>
    </row>
    <row r="776" spans="1:22" x14ac:dyDescent="0.2">
      <c r="A776" t="s">
        <v>1061</v>
      </c>
      <c r="B776" s="5">
        <v>120</v>
      </c>
      <c r="C776" s="5">
        <v>0</v>
      </c>
      <c r="D776" s="5">
        <f t="shared" si="60"/>
        <v>120</v>
      </c>
      <c r="E776" s="6">
        <v>8.7833000000000006</v>
      </c>
      <c r="F776" s="6">
        <f t="shared" si="61"/>
        <v>1053.9960000000001</v>
      </c>
      <c r="G776" t="s">
        <v>330</v>
      </c>
      <c r="H776">
        <v>9011</v>
      </c>
      <c r="I776" t="str">
        <f>IFERROR(_xlfn.XLOOKUP($A776,'Base SKUs'!$E:$E,'Base SKUs'!A:A),"")</f>
        <v>Performance 1</v>
      </c>
      <c r="J776" t="str">
        <f>IFERROR(_xlfn.XLOOKUP($A776,'Base SKUs'!$E:$E,'Base SKUs'!B:B),"")</f>
        <v>Corner Trim 1.5x3</v>
      </c>
      <c r="K776" t="str">
        <f>IFERROR(_xlfn.XLOOKUP($A776,'Base SKUs'!$E:$E,'Base SKUs'!C:C),"")</f>
        <v>Long</v>
      </c>
      <c r="L776" t="str">
        <f>IFERROR(_xlfn.XLOOKUP($A776,'Base SKUs'!$E:$E,'Base SKUs'!D:D),"")</f>
        <v>Norx</v>
      </c>
      <c r="M776" t="str">
        <f>IFERROR(_xlfn.XLOOKUP($A776,'Base SKUs'!$E:$E,'Base SKUs'!G:G),"")</f>
        <v>Teak</v>
      </c>
      <c r="N776" t="str">
        <f>IFERROR(_xlfn.XLOOKUP($A776,'Base SKUs'!$E:$E,'Base SKUs'!H:H),"")</f>
        <v>Corner Trim</v>
      </c>
      <c r="O776" t="str">
        <f>IFERROR(_xlfn.XLOOKUP($A776,'Base SKUs'!$E:$E,'Base SKUs'!I:I),"")</f>
        <v>-</v>
      </c>
      <c r="P776" t="str">
        <f>IFERROR(_xlfn.XLOOKUP($A776,'Base SKUs'!$E:$E,'Base SKUs'!J:J),"")</f>
        <v>1.5x3</v>
      </c>
      <c r="Q776">
        <f>IFERROR(_xlfn.XLOOKUP($A776,'Base SKUs'!$E:$E,'Base SKUs'!K:K),"")</f>
        <v>16</v>
      </c>
      <c r="R776" s="7">
        <f>IFERROR(_xlfn.XLOOKUP($A776,'Base SKUs'!$E:$E,'Base SKUs'!S:S),"")</f>
        <v>0</v>
      </c>
      <c r="S776" s="8">
        <f t="shared" si="62"/>
        <v>120</v>
      </c>
      <c r="T776" s="7">
        <f>IFERROR(_xlfn.XLOOKUP($A776,'Base SKUs'!$E:$E,'Base SKUs'!R:R),"")</f>
        <v>0</v>
      </c>
      <c r="U776" s="15">
        <f t="shared" si="63"/>
        <v>120</v>
      </c>
      <c r="V776" t="str">
        <f t="shared" si="64"/>
        <v>New York</v>
      </c>
    </row>
    <row r="777" spans="1:22" x14ac:dyDescent="0.2">
      <c r="A777" t="s">
        <v>1063</v>
      </c>
      <c r="B777" s="5">
        <v>6</v>
      </c>
      <c r="C777" s="5">
        <v>0</v>
      </c>
      <c r="D777" s="5">
        <f t="shared" si="60"/>
        <v>6</v>
      </c>
      <c r="E777" s="6">
        <v>8.5</v>
      </c>
      <c r="F777" s="6">
        <f t="shared" si="61"/>
        <v>51</v>
      </c>
      <c r="G777" t="s">
        <v>330</v>
      </c>
      <c r="H777">
        <v>9011</v>
      </c>
      <c r="I777" t="str">
        <f>IFERROR(_xlfn.XLOOKUP($A777,'Base SKUs'!$E:$E,'Base SKUs'!A:A),"")</f>
        <v>Performance 1</v>
      </c>
      <c r="J777" t="str">
        <f>IFERROR(_xlfn.XLOOKUP($A777,'Base SKUs'!$E:$E,'Base SKUs'!B:B),"")</f>
        <v>Corner Trim 1.5x3</v>
      </c>
      <c r="K777" t="str">
        <f>IFERROR(_xlfn.XLOOKUP($A777,'Base SKUs'!$E:$E,'Base SKUs'!C:C),"")</f>
        <v>Long</v>
      </c>
      <c r="L777" t="str">
        <f>IFERROR(_xlfn.XLOOKUP($A777,'Base SKUs'!$E:$E,'Base SKUs'!D:D),"")</f>
        <v>Norx</v>
      </c>
      <c r="M777" t="str">
        <f>IFERROR(_xlfn.XLOOKUP($A777,'Base SKUs'!$E:$E,'Base SKUs'!G:G),"")</f>
        <v>Tigerwood</v>
      </c>
      <c r="N777" t="str">
        <f>IFERROR(_xlfn.XLOOKUP($A777,'Base SKUs'!$E:$E,'Base SKUs'!H:H),"")</f>
        <v>Corner Trim</v>
      </c>
      <c r="O777" t="str">
        <f>IFERROR(_xlfn.XLOOKUP($A777,'Base SKUs'!$E:$E,'Base SKUs'!I:I),"")</f>
        <v>-</v>
      </c>
      <c r="P777" t="str">
        <f>IFERROR(_xlfn.XLOOKUP($A777,'Base SKUs'!$E:$E,'Base SKUs'!J:J),"")</f>
        <v>1.5x3</v>
      </c>
      <c r="Q777">
        <f>IFERROR(_xlfn.XLOOKUP($A777,'Base SKUs'!$E:$E,'Base SKUs'!K:K),"")</f>
        <v>16</v>
      </c>
      <c r="R777" s="7">
        <f>IFERROR(_xlfn.XLOOKUP($A777,'Base SKUs'!$E:$E,'Base SKUs'!S:S),"")</f>
        <v>0</v>
      </c>
      <c r="S777" s="8">
        <f t="shared" si="62"/>
        <v>6</v>
      </c>
      <c r="T777" s="7">
        <f>IFERROR(_xlfn.XLOOKUP($A777,'Base SKUs'!$E:$E,'Base SKUs'!R:R),"")</f>
        <v>0</v>
      </c>
      <c r="U777" s="15">
        <f t="shared" si="63"/>
        <v>6</v>
      </c>
      <c r="V777" t="str">
        <f t="shared" si="64"/>
        <v>New York</v>
      </c>
    </row>
    <row r="778" spans="1:22" x14ac:dyDescent="0.2">
      <c r="A778" t="s">
        <v>1065</v>
      </c>
      <c r="B778" s="5">
        <v>29</v>
      </c>
      <c r="C778" s="5">
        <v>0</v>
      </c>
      <c r="D778" s="5">
        <f t="shared" si="60"/>
        <v>29</v>
      </c>
      <c r="E778" s="6">
        <v>8.3445999999999998</v>
      </c>
      <c r="F778" s="6">
        <f t="shared" si="61"/>
        <v>241.99340000000001</v>
      </c>
      <c r="G778" t="s">
        <v>330</v>
      </c>
      <c r="H778">
        <v>9011</v>
      </c>
      <c r="I778" t="str">
        <f>IFERROR(_xlfn.XLOOKUP($A778,'Base SKUs'!$E:$E,'Base SKUs'!A:A),"")</f>
        <v>Performance 1</v>
      </c>
      <c r="J778" t="str">
        <f>IFERROR(_xlfn.XLOOKUP($A778,'Base SKUs'!$E:$E,'Base SKUs'!B:B),"")</f>
        <v>L Trim 2x2</v>
      </c>
      <c r="K778" t="str">
        <f>IFERROR(_xlfn.XLOOKUP($A778,'Base SKUs'!$E:$E,'Base SKUs'!C:C),"")</f>
        <v>Long</v>
      </c>
      <c r="L778" t="str">
        <f>IFERROR(_xlfn.XLOOKUP($A778,'Base SKUs'!$E:$E,'Base SKUs'!D:D),"")</f>
        <v>Norx</v>
      </c>
      <c r="M778" t="str">
        <f>IFERROR(_xlfn.XLOOKUP($A778,'Base SKUs'!$E:$E,'Base SKUs'!G:G),"")</f>
        <v>Ebony</v>
      </c>
      <c r="N778" t="str">
        <f>IFERROR(_xlfn.XLOOKUP($A778,'Base SKUs'!$E:$E,'Base SKUs'!H:H),"")</f>
        <v>L Trim</v>
      </c>
      <c r="O778" t="str">
        <f>IFERROR(_xlfn.XLOOKUP($A778,'Base SKUs'!$E:$E,'Base SKUs'!I:I),"")</f>
        <v>-</v>
      </c>
      <c r="P778" t="str">
        <f>IFERROR(_xlfn.XLOOKUP($A778,'Base SKUs'!$E:$E,'Base SKUs'!J:J),"")</f>
        <v>2x2</v>
      </c>
      <c r="Q778">
        <f>IFERROR(_xlfn.XLOOKUP($A778,'Base SKUs'!$E:$E,'Base SKUs'!K:K),"")</f>
        <v>16</v>
      </c>
      <c r="R778" s="7">
        <f>IFERROR(_xlfn.XLOOKUP($A778,'Base SKUs'!$E:$E,'Base SKUs'!S:S),"")</f>
        <v>0</v>
      </c>
      <c r="S778" s="8">
        <f t="shared" si="62"/>
        <v>29</v>
      </c>
      <c r="T778" s="7">
        <f>IFERROR(_xlfn.XLOOKUP($A778,'Base SKUs'!$E:$E,'Base SKUs'!R:R),"")</f>
        <v>0</v>
      </c>
      <c r="U778" s="15">
        <f t="shared" si="63"/>
        <v>29</v>
      </c>
      <c r="V778" t="str">
        <f t="shared" si="64"/>
        <v>New York</v>
      </c>
    </row>
    <row r="779" spans="1:22" x14ac:dyDescent="0.2">
      <c r="A779" t="s">
        <v>1067</v>
      </c>
      <c r="B779" s="5">
        <v>16</v>
      </c>
      <c r="C779" s="5">
        <v>0</v>
      </c>
      <c r="D779" s="5">
        <f t="shared" si="60"/>
        <v>16</v>
      </c>
      <c r="E779" s="6">
        <v>8.3451000000000004</v>
      </c>
      <c r="F779" s="6">
        <f t="shared" si="61"/>
        <v>133.52160000000001</v>
      </c>
      <c r="G779" t="s">
        <v>330</v>
      </c>
      <c r="H779">
        <v>9011</v>
      </c>
      <c r="I779" t="str">
        <f>IFERROR(_xlfn.XLOOKUP($A779,'Base SKUs'!$E:$E,'Base SKUs'!A:A),"")</f>
        <v>Performance 1</v>
      </c>
      <c r="J779" t="str">
        <f>IFERROR(_xlfn.XLOOKUP($A779,'Base SKUs'!$E:$E,'Base SKUs'!B:B),"")</f>
        <v>L Trim 2x2</v>
      </c>
      <c r="K779" t="str">
        <f>IFERROR(_xlfn.XLOOKUP($A779,'Base SKUs'!$E:$E,'Base SKUs'!C:C),"")</f>
        <v>Long</v>
      </c>
      <c r="L779" t="str">
        <f>IFERROR(_xlfn.XLOOKUP($A779,'Base SKUs'!$E:$E,'Base SKUs'!D:D),"")</f>
        <v>Norx</v>
      </c>
      <c r="M779" t="str">
        <f>IFERROR(_xlfn.XLOOKUP($A779,'Base SKUs'!$E:$E,'Base SKUs'!G:G),"")</f>
        <v>Ipe</v>
      </c>
      <c r="N779" t="str">
        <f>IFERROR(_xlfn.XLOOKUP($A779,'Base SKUs'!$E:$E,'Base SKUs'!H:H),"")</f>
        <v>L Trim</v>
      </c>
      <c r="O779" t="str">
        <f>IFERROR(_xlfn.XLOOKUP($A779,'Base SKUs'!$E:$E,'Base SKUs'!I:I),"")</f>
        <v>-</v>
      </c>
      <c r="P779" t="str">
        <f>IFERROR(_xlfn.XLOOKUP($A779,'Base SKUs'!$E:$E,'Base SKUs'!J:J),"")</f>
        <v>2x2</v>
      </c>
      <c r="Q779">
        <f>IFERROR(_xlfn.XLOOKUP($A779,'Base SKUs'!$E:$E,'Base SKUs'!K:K),"")</f>
        <v>16</v>
      </c>
      <c r="R779" s="7">
        <f>IFERROR(_xlfn.XLOOKUP($A779,'Base SKUs'!$E:$E,'Base SKUs'!S:S),"")</f>
        <v>0</v>
      </c>
      <c r="S779" s="8">
        <f t="shared" si="62"/>
        <v>16</v>
      </c>
      <c r="T779" s="7">
        <f>IFERROR(_xlfn.XLOOKUP($A779,'Base SKUs'!$E:$E,'Base SKUs'!R:R),"")</f>
        <v>0</v>
      </c>
      <c r="U779" s="15">
        <f t="shared" si="63"/>
        <v>16</v>
      </c>
      <c r="V779" t="str">
        <f t="shared" si="64"/>
        <v>New York</v>
      </c>
    </row>
    <row r="780" spans="1:22" x14ac:dyDescent="0.2">
      <c r="A780" t="s">
        <v>1069</v>
      </c>
      <c r="B780" s="5">
        <v>39</v>
      </c>
      <c r="C780" s="5">
        <v>0</v>
      </c>
      <c r="D780" s="5">
        <f t="shared" si="60"/>
        <v>39</v>
      </c>
      <c r="E780" s="6">
        <v>9.4248999999999992</v>
      </c>
      <c r="F780" s="6">
        <f t="shared" si="61"/>
        <v>367.57109999999994</v>
      </c>
      <c r="G780" t="s">
        <v>17</v>
      </c>
      <c r="H780">
        <v>9007</v>
      </c>
      <c r="I780" t="str">
        <f>IFERROR(_xlfn.XLOOKUP($A780,'Base SKUs'!$E:$E,'Base SKUs'!A:A),"")</f>
        <v>Performance 1</v>
      </c>
      <c r="J780" t="str">
        <f>IFERROR(_xlfn.XLOOKUP($A780,'Base SKUs'!$E:$E,'Base SKUs'!B:B),"")</f>
        <v>L Trim 2x2</v>
      </c>
      <c r="K780" t="str">
        <f>IFERROR(_xlfn.XLOOKUP($A780,'Base SKUs'!$E:$E,'Base SKUs'!C:C),"")</f>
        <v>Long</v>
      </c>
      <c r="L780" t="str">
        <f>IFERROR(_xlfn.XLOOKUP($A780,'Base SKUs'!$E:$E,'Base SKUs'!D:D),"")</f>
        <v>Norx</v>
      </c>
      <c r="M780" t="str">
        <f>IFERROR(_xlfn.XLOOKUP($A780,'Base SKUs'!$E:$E,'Base SKUs'!G:G),"")</f>
        <v>Teak</v>
      </c>
      <c r="N780" t="str">
        <f>IFERROR(_xlfn.XLOOKUP($A780,'Base SKUs'!$E:$E,'Base SKUs'!H:H),"")</f>
        <v>L Trim</v>
      </c>
      <c r="O780" t="str">
        <f>IFERROR(_xlfn.XLOOKUP($A780,'Base SKUs'!$E:$E,'Base SKUs'!I:I),"")</f>
        <v>-</v>
      </c>
      <c r="P780" t="str">
        <f>IFERROR(_xlfn.XLOOKUP($A780,'Base SKUs'!$E:$E,'Base SKUs'!J:J),"")</f>
        <v>2x2</v>
      </c>
      <c r="Q780">
        <f>IFERROR(_xlfn.XLOOKUP($A780,'Base SKUs'!$E:$E,'Base SKUs'!K:K),"")</f>
        <v>16</v>
      </c>
      <c r="R780" s="7">
        <f>IFERROR(_xlfn.XLOOKUP($A780,'Base SKUs'!$E:$E,'Base SKUs'!S:S),"")</f>
        <v>0</v>
      </c>
      <c r="S780" s="8">
        <f t="shared" si="62"/>
        <v>39</v>
      </c>
      <c r="T780" s="7">
        <f>IFERROR(_xlfn.XLOOKUP($A780,'Base SKUs'!$E:$E,'Base SKUs'!R:R),"")</f>
        <v>0</v>
      </c>
      <c r="U780" s="15">
        <f t="shared" si="63"/>
        <v>39</v>
      </c>
      <c r="V780" t="str">
        <f t="shared" si="64"/>
        <v>Miami</v>
      </c>
    </row>
    <row r="781" spans="1:22" x14ac:dyDescent="0.2">
      <c r="A781" t="s">
        <v>1069</v>
      </c>
      <c r="B781" s="5">
        <v>12</v>
      </c>
      <c r="C781" s="5">
        <v>12</v>
      </c>
      <c r="D781" s="5">
        <f t="shared" si="60"/>
        <v>0</v>
      </c>
      <c r="E781" s="6">
        <v>8.3447999999999993</v>
      </c>
      <c r="F781" s="6">
        <f t="shared" si="61"/>
        <v>100.13759999999999</v>
      </c>
      <c r="G781" t="s">
        <v>330</v>
      </c>
      <c r="H781">
        <v>9011</v>
      </c>
      <c r="I781" t="str">
        <f>IFERROR(_xlfn.XLOOKUP($A781,'Base SKUs'!$E:$E,'Base SKUs'!A:A),"")</f>
        <v>Performance 1</v>
      </c>
      <c r="J781" t="str">
        <f>IFERROR(_xlfn.XLOOKUP($A781,'Base SKUs'!$E:$E,'Base SKUs'!B:B),"")</f>
        <v>L Trim 2x2</v>
      </c>
      <c r="K781" t="str">
        <f>IFERROR(_xlfn.XLOOKUP($A781,'Base SKUs'!$E:$E,'Base SKUs'!C:C),"")</f>
        <v>Long</v>
      </c>
      <c r="L781" t="str">
        <f>IFERROR(_xlfn.XLOOKUP($A781,'Base SKUs'!$E:$E,'Base SKUs'!D:D),"")</f>
        <v>Norx</v>
      </c>
      <c r="M781" t="str">
        <f>IFERROR(_xlfn.XLOOKUP($A781,'Base SKUs'!$E:$E,'Base SKUs'!G:G),"")</f>
        <v>Teak</v>
      </c>
      <c r="N781" t="str">
        <f>IFERROR(_xlfn.XLOOKUP($A781,'Base SKUs'!$E:$E,'Base SKUs'!H:H),"")</f>
        <v>L Trim</v>
      </c>
      <c r="O781" t="str">
        <f>IFERROR(_xlfn.XLOOKUP($A781,'Base SKUs'!$E:$E,'Base SKUs'!I:I),"")</f>
        <v>-</v>
      </c>
      <c r="P781" t="str">
        <f>IFERROR(_xlfn.XLOOKUP($A781,'Base SKUs'!$E:$E,'Base SKUs'!J:J),"")</f>
        <v>2x2</v>
      </c>
      <c r="Q781">
        <f>IFERROR(_xlfn.XLOOKUP($A781,'Base SKUs'!$E:$E,'Base SKUs'!K:K),"")</f>
        <v>16</v>
      </c>
      <c r="R781" s="7">
        <f>IFERROR(_xlfn.XLOOKUP($A781,'Base SKUs'!$E:$E,'Base SKUs'!S:S),"")</f>
        <v>0</v>
      </c>
      <c r="S781" s="8">
        <f t="shared" si="62"/>
        <v>0</v>
      </c>
      <c r="T781" s="7">
        <f>IFERROR(_xlfn.XLOOKUP($A781,'Base SKUs'!$E:$E,'Base SKUs'!R:R),"")</f>
        <v>0</v>
      </c>
      <c r="U781" s="15">
        <f t="shared" si="63"/>
        <v>0</v>
      </c>
      <c r="V781" t="str">
        <f t="shared" si="64"/>
        <v>New York</v>
      </c>
    </row>
    <row r="782" spans="1:22" x14ac:dyDescent="0.2">
      <c r="A782" t="s">
        <v>1071</v>
      </c>
      <c r="B782" s="5">
        <v>10</v>
      </c>
      <c r="C782" s="5">
        <v>0</v>
      </c>
      <c r="D782" s="5">
        <f t="shared" si="60"/>
        <v>10</v>
      </c>
      <c r="E782" s="6">
        <v>8.3445999999999998</v>
      </c>
      <c r="F782" s="6">
        <f t="shared" si="61"/>
        <v>83.445999999999998</v>
      </c>
      <c r="G782" t="s">
        <v>330</v>
      </c>
      <c r="H782">
        <v>9011</v>
      </c>
      <c r="I782" t="str">
        <f>IFERROR(_xlfn.XLOOKUP($A782,'Base SKUs'!$E:$E,'Base SKUs'!A:A),"")</f>
        <v>Performance 1</v>
      </c>
      <c r="J782" t="str">
        <f>IFERROR(_xlfn.XLOOKUP($A782,'Base SKUs'!$E:$E,'Base SKUs'!B:B),"")</f>
        <v>L Trim 2x2</v>
      </c>
      <c r="K782" t="str">
        <f>IFERROR(_xlfn.XLOOKUP($A782,'Base SKUs'!$E:$E,'Base SKUs'!C:C),"")</f>
        <v>Long</v>
      </c>
      <c r="L782" t="str">
        <f>IFERROR(_xlfn.XLOOKUP($A782,'Base SKUs'!$E:$E,'Base SKUs'!D:D),"")</f>
        <v>Norx</v>
      </c>
      <c r="M782" t="str">
        <f>IFERROR(_xlfn.XLOOKUP($A782,'Base SKUs'!$E:$E,'Base SKUs'!G:G),"")</f>
        <v>Tigerwood</v>
      </c>
      <c r="N782" t="str">
        <f>IFERROR(_xlfn.XLOOKUP($A782,'Base SKUs'!$E:$E,'Base SKUs'!H:H),"")</f>
        <v>L Trim</v>
      </c>
      <c r="O782" t="str">
        <f>IFERROR(_xlfn.XLOOKUP($A782,'Base SKUs'!$E:$E,'Base SKUs'!I:I),"")</f>
        <v>-</v>
      </c>
      <c r="P782" t="str">
        <f>IFERROR(_xlfn.XLOOKUP($A782,'Base SKUs'!$E:$E,'Base SKUs'!J:J),"")</f>
        <v>2x2</v>
      </c>
      <c r="Q782">
        <f>IFERROR(_xlfn.XLOOKUP($A782,'Base SKUs'!$E:$E,'Base SKUs'!K:K),"")</f>
        <v>16</v>
      </c>
      <c r="R782" s="7">
        <f>IFERROR(_xlfn.XLOOKUP($A782,'Base SKUs'!$E:$E,'Base SKUs'!S:S),"")</f>
        <v>0</v>
      </c>
      <c r="S782" s="8">
        <f t="shared" si="62"/>
        <v>10</v>
      </c>
      <c r="T782" s="7">
        <f>IFERROR(_xlfn.XLOOKUP($A782,'Base SKUs'!$E:$E,'Base SKUs'!R:R),"")</f>
        <v>0</v>
      </c>
      <c r="U782" s="15">
        <f t="shared" si="63"/>
        <v>10</v>
      </c>
      <c r="V782" t="str">
        <f t="shared" si="64"/>
        <v>New York</v>
      </c>
    </row>
    <row r="783" spans="1:22" x14ac:dyDescent="0.2">
      <c r="A783" t="s">
        <v>1073</v>
      </c>
      <c r="B783" s="5">
        <v>15</v>
      </c>
      <c r="C783" s="5">
        <v>0</v>
      </c>
      <c r="D783" s="5">
        <f t="shared" si="60"/>
        <v>15</v>
      </c>
      <c r="E783" s="6">
        <v>14.2393</v>
      </c>
      <c r="F783" s="6">
        <f t="shared" si="61"/>
        <v>213.58949999999999</v>
      </c>
      <c r="G783" t="s">
        <v>17</v>
      </c>
      <c r="H783">
        <v>9007</v>
      </c>
      <c r="I783" t="str">
        <f>IFERROR(_xlfn.XLOOKUP($A783,'Base SKUs'!$E:$E,'Base SKUs'!A:A),"")</f>
        <v>Architecture</v>
      </c>
      <c r="J783" t="str">
        <f>IFERROR(_xlfn.XLOOKUP($A783,'Base SKUs'!$E:$E,'Base SKUs'!B:B),"")</f>
        <v>New York</v>
      </c>
      <c r="K783" t="str">
        <f>IFERROR(_xlfn.XLOOKUP($A783,'Base SKUs'!$E:$E,'Base SKUs'!C:C),"")</f>
        <v>Clip</v>
      </c>
      <c r="L783" t="str">
        <f>IFERROR(_xlfn.XLOOKUP($A783,'Base SKUs'!$E:$E,'Base SKUs'!D:D),"")</f>
        <v>Norx</v>
      </c>
      <c r="M783" t="str">
        <f>IFERROR(_xlfn.XLOOKUP($A783,'Base SKUs'!$E:$E,'Base SKUs'!G:G),"")</f>
        <v>Steel Starter Clip</v>
      </c>
      <c r="N783" t="str">
        <f>IFERROR(_xlfn.XLOOKUP($A783,'Base SKUs'!$E:$E,'Base SKUs'!H:H),"")</f>
        <v>Box</v>
      </c>
      <c r="O783" t="str">
        <f>IFERROR(_xlfn.XLOOKUP($A783,'Base SKUs'!$E:$E,'Base SKUs'!I:I),"")</f>
        <v>-</v>
      </c>
      <c r="P783" t="str">
        <f>IFERROR(_xlfn.XLOOKUP($A783,'Base SKUs'!$E:$E,'Base SKUs'!J:J),"")</f>
        <v>Box</v>
      </c>
      <c r="Q783">
        <f>IFERROR(_xlfn.XLOOKUP($A783,'Base SKUs'!$E:$E,'Base SKUs'!K:K),"")</f>
        <v>0</v>
      </c>
      <c r="R783" s="7">
        <f>IFERROR(_xlfn.XLOOKUP($A783,'Base SKUs'!$E:$E,'Base SKUs'!S:S),"")</f>
        <v>0</v>
      </c>
      <c r="S783" s="8">
        <f t="shared" si="62"/>
        <v>15</v>
      </c>
      <c r="T783" s="7">
        <f>IFERROR(_xlfn.XLOOKUP($A783,'Base SKUs'!$E:$E,'Base SKUs'!R:R),"")</f>
        <v>0</v>
      </c>
      <c r="U783" s="15">
        <f t="shared" si="63"/>
        <v>15</v>
      </c>
      <c r="V783" t="str">
        <f t="shared" si="64"/>
        <v>Miami</v>
      </c>
    </row>
    <row r="784" spans="1:22" x14ac:dyDescent="0.2">
      <c r="A784" t="s">
        <v>1075</v>
      </c>
      <c r="B784" s="5">
        <v>161</v>
      </c>
      <c r="C784" s="5">
        <v>0</v>
      </c>
      <c r="D784" s="5">
        <f t="shared" si="60"/>
        <v>161</v>
      </c>
      <c r="E784" s="6">
        <v>18.0396</v>
      </c>
      <c r="F784" s="6">
        <f t="shared" si="61"/>
        <v>2904.3755999999998</v>
      </c>
      <c r="G784" t="s">
        <v>17</v>
      </c>
      <c r="H784">
        <v>9007</v>
      </c>
      <c r="I784" t="str">
        <f>IFERROR(_xlfn.XLOOKUP($A784,'Base SKUs'!$E:$E,'Base SKUs'!A:A),"")</f>
        <v>Performance 1</v>
      </c>
      <c r="J784" t="str">
        <f>IFERROR(_xlfn.XLOOKUP($A784,'Base SKUs'!$E:$E,'Base SKUs'!B:B),"")</f>
        <v>Profile 23x140</v>
      </c>
      <c r="K784" t="str">
        <f>IFERROR(_xlfn.XLOOKUP($A784,'Base SKUs'!$E:$E,'Base SKUs'!C:C),"")</f>
        <v>Long</v>
      </c>
      <c r="L784" t="str">
        <f>IFERROR(_xlfn.XLOOKUP($A784,'Base SKUs'!$E:$E,'Base SKUs'!D:D),"")</f>
        <v>Norx</v>
      </c>
      <c r="M784" t="str">
        <f>IFERROR(_xlfn.XLOOKUP($A784,'Base SKUs'!$E:$E,'Base SKUs'!G:G),"")</f>
        <v>White</v>
      </c>
      <c r="N784" t="str">
        <f>IFERROR(_xlfn.XLOOKUP($A784,'Base SKUs'!$E:$E,'Base SKUs'!H:H),"")</f>
        <v>Profile</v>
      </c>
      <c r="O784" t="str">
        <f>IFERROR(_xlfn.XLOOKUP($A784,'Base SKUs'!$E:$E,'Base SKUs'!I:I),"")</f>
        <v>-</v>
      </c>
      <c r="P784" t="str">
        <f>IFERROR(_xlfn.XLOOKUP($A784,'Base SKUs'!$E:$E,'Base SKUs'!J:J),"")</f>
        <v>23x140</v>
      </c>
      <c r="Q784">
        <f>IFERROR(_xlfn.XLOOKUP($A784,'Base SKUs'!$E:$E,'Base SKUs'!K:K),"")</f>
        <v>16</v>
      </c>
      <c r="R784" s="7">
        <f>IFERROR(_xlfn.XLOOKUP($A784,'Base SKUs'!$E:$E,'Base SKUs'!S:S),"")</f>
        <v>0</v>
      </c>
      <c r="S784" s="8">
        <f t="shared" si="62"/>
        <v>161</v>
      </c>
      <c r="T784" s="7">
        <f>IFERROR(_xlfn.XLOOKUP($A784,'Base SKUs'!$E:$E,'Base SKUs'!R:R),"")</f>
        <v>0</v>
      </c>
      <c r="U784" s="15">
        <f t="shared" si="63"/>
        <v>161</v>
      </c>
      <c r="V784" t="str">
        <f t="shared" si="64"/>
        <v>Miami</v>
      </c>
    </row>
    <row r="785" spans="1:22" x14ac:dyDescent="0.2">
      <c r="A785" t="s">
        <v>1077</v>
      </c>
      <c r="B785" s="5">
        <v>33</v>
      </c>
      <c r="C785" s="5">
        <v>0</v>
      </c>
      <c r="D785" s="5">
        <f t="shared" si="60"/>
        <v>33</v>
      </c>
      <c r="E785" s="6">
        <v>6.7706</v>
      </c>
      <c r="F785" s="6">
        <f t="shared" si="61"/>
        <v>223.4298</v>
      </c>
      <c r="G785" t="s">
        <v>17</v>
      </c>
      <c r="H785">
        <v>9007</v>
      </c>
      <c r="I785" t="str">
        <f>IFERROR(_xlfn.XLOOKUP($A785,'Base SKUs'!$E:$E,'Base SKUs'!A:A),"")</f>
        <v>Saicos</v>
      </c>
      <c r="J785" t="str">
        <f>IFERROR(_xlfn.XLOOKUP($A785,'Base SKUs'!$E:$E,'Base SKUs'!B:B),"")</f>
        <v>Flat Brush 100 mm</v>
      </c>
      <c r="K785" t="str">
        <f>IFERROR(_xlfn.XLOOKUP($A785,'Base SKUs'!$E:$E,'Base SKUs'!C:C),"")</f>
        <v>Flat Brush</v>
      </c>
      <c r="L785" t="str">
        <f>IFERROR(_xlfn.XLOOKUP($A785,'Base SKUs'!$E:$E,'Base SKUs'!D:D),"")</f>
        <v>Saicos</v>
      </c>
      <c r="M785" t="str">
        <f>IFERROR(_xlfn.XLOOKUP($A785,'Base SKUs'!$E:$E,'Base SKUs'!G:G),"")</f>
        <v>Flat Brush</v>
      </c>
      <c r="N785" t="str">
        <f>IFERROR(_xlfn.XLOOKUP($A785,'Base SKUs'!$E:$E,'Base SKUs'!H:H),"")</f>
        <v>For Water &amp; Oil</v>
      </c>
      <c r="O785" t="str">
        <f>IFERROR(_xlfn.XLOOKUP($A785,'Base SKUs'!$E:$E,'Base SKUs'!I:I),"")</f>
        <v>-</v>
      </c>
      <c r="P785" t="str">
        <f>IFERROR(_xlfn.XLOOKUP($A785,'Base SKUs'!$E:$E,'Base SKUs'!J:J),"")</f>
        <v>100 mm</v>
      </c>
      <c r="Q785">
        <f>IFERROR(_xlfn.XLOOKUP($A785,'Base SKUs'!$E:$E,'Base SKUs'!K:K),"")</f>
        <v>0</v>
      </c>
      <c r="R785" s="7">
        <f>IFERROR(_xlfn.XLOOKUP($A785,'Base SKUs'!$E:$E,'Base SKUs'!S:S),"")</f>
        <v>0</v>
      </c>
      <c r="S785" s="8">
        <f t="shared" si="62"/>
        <v>33</v>
      </c>
      <c r="T785" s="7">
        <f>IFERROR(_xlfn.XLOOKUP($A785,'Base SKUs'!$E:$E,'Base SKUs'!R:R),"")</f>
        <v>0</v>
      </c>
      <c r="U785" s="15">
        <f t="shared" si="63"/>
        <v>33</v>
      </c>
      <c r="V785" t="str">
        <f t="shared" si="64"/>
        <v>Miami</v>
      </c>
    </row>
    <row r="786" spans="1:22" x14ac:dyDescent="0.2">
      <c r="A786" t="s">
        <v>1079</v>
      </c>
      <c r="B786" s="5">
        <v>35</v>
      </c>
      <c r="C786" s="5">
        <v>0</v>
      </c>
      <c r="D786" s="5">
        <f t="shared" si="60"/>
        <v>35</v>
      </c>
      <c r="E786" s="6">
        <v>1.6546000000000001</v>
      </c>
      <c r="F786" s="6">
        <f t="shared" si="61"/>
        <v>57.911000000000001</v>
      </c>
      <c r="G786" t="s">
        <v>17</v>
      </c>
      <c r="H786">
        <v>9007</v>
      </c>
      <c r="I786" t="str">
        <f>IFERROR(_xlfn.XLOOKUP($A786,'Base SKUs'!$E:$E,'Base SKUs'!A:A),"")</f>
        <v>Saicos</v>
      </c>
      <c r="J786" t="str">
        <f>IFERROR(_xlfn.XLOOKUP($A786,'Base SKUs'!$E:$E,'Base SKUs'!B:B),"")</f>
        <v>Flat Brush 30 mm</v>
      </c>
      <c r="K786" t="str">
        <f>IFERROR(_xlfn.XLOOKUP($A786,'Base SKUs'!$E:$E,'Base SKUs'!C:C),"")</f>
        <v>Flat Brush</v>
      </c>
      <c r="L786" t="str">
        <f>IFERROR(_xlfn.XLOOKUP($A786,'Base SKUs'!$E:$E,'Base SKUs'!D:D),"")</f>
        <v>Saicos</v>
      </c>
      <c r="M786" t="str">
        <f>IFERROR(_xlfn.XLOOKUP($A786,'Base SKUs'!$E:$E,'Base SKUs'!G:G),"")</f>
        <v>Flat Brush</v>
      </c>
      <c r="N786" t="str">
        <f>IFERROR(_xlfn.XLOOKUP($A786,'Base SKUs'!$E:$E,'Base SKUs'!H:H),"")</f>
        <v>For Water &amp; Oil</v>
      </c>
      <c r="O786" t="str">
        <f>IFERROR(_xlfn.XLOOKUP($A786,'Base SKUs'!$E:$E,'Base SKUs'!I:I),"")</f>
        <v>-</v>
      </c>
      <c r="P786" t="str">
        <f>IFERROR(_xlfn.XLOOKUP($A786,'Base SKUs'!$E:$E,'Base SKUs'!J:J),"")</f>
        <v>30 mm</v>
      </c>
      <c r="Q786">
        <f>IFERROR(_xlfn.XLOOKUP($A786,'Base SKUs'!$E:$E,'Base SKUs'!K:K),"")</f>
        <v>0</v>
      </c>
      <c r="R786" s="7">
        <f>IFERROR(_xlfn.XLOOKUP($A786,'Base SKUs'!$E:$E,'Base SKUs'!S:S),"")</f>
        <v>0</v>
      </c>
      <c r="S786" s="8">
        <f t="shared" si="62"/>
        <v>35</v>
      </c>
      <c r="T786" s="7">
        <f>IFERROR(_xlfn.XLOOKUP($A786,'Base SKUs'!$E:$E,'Base SKUs'!R:R),"")</f>
        <v>0</v>
      </c>
      <c r="U786" s="15">
        <f t="shared" si="63"/>
        <v>35</v>
      </c>
      <c r="V786" t="str">
        <f t="shared" si="64"/>
        <v>Miami</v>
      </c>
    </row>
    <row r="787" spans="1:22" x14ac:dyDescent="0.2">
      <c r="A787" t="s">
        <v>1081</v>
      </c>
      <c r="B787" s="5">
        <v>35</v>
      </c>
      <c r="C787" s="5">
        <v>0</v>
      </c>
      <c r="D787" s="5">
        <f t="shared" si="60"/>
        <v>35</v>
      </c>
      <c r="E787" s="6">
        <v>3.3088000000000002</v>
      </c>
      <c r="F787" s="6">
        <f t="shared" si="61"/>
        <v>115.80800000000001</v>
      </c>
      <c r="G787" t="s">
        <v>17</v>
      </c>
      <c r="H787">
        <v>9007</v>
      </c>
      <c r="I787" t="str">
        <f>IFERROR(_xlfn.XLOOKUP($A787,'Base SKUs'!$E:$E,'Base SKUs'!A:A),"")</f>
        <v>Saicos</v>
      </c>
      <c r="J787" t="str">
        <f>IFERROR(_xlfn.XLOOKUP($A787,'Base SKUs'!$E:$E,'Base SKUs'!B:B),"")</f>
        <v>Flat Brush 50 mm</v>
      </c>
      <c r="K787" t="str">
        <f>IFERROR(_xlfn.XLOOKUP($A787,'Base SKUs'!$E:$E,'Base SKUs'!C:C),"")</f>
        <v>Flat Brush</v>
      </c>
      <c r="L787" t="str">
        <f>IFERROR(_xlfn.XLOOKUP($A787,'Base SKUs'!$E:$E,'Base SKUs'!D:D),"")</f>
        <v>Saicos</v>
      </c>
      <c r="M787" t="str">
        <f>IFERROR(_xlfn.XLOOKUP($A787,'Base SKUs'!$E:$E,'Base SKUs'!G:G),"")</f>
        <v>Flat Brush</v>
      </c>
      <c r="N787" t="str">
        <f>IFERROR(_xlfn.XLOOKUP($A787,'Base SKUs'!$E:$E,'Base SKUs'!H:H),"")</f>
        <v>For Water &amp; Oil</v>
      </c>
      <c r="O787" t="str">
        <f>IFERROR(_xlfn.XLOOKUP($A787,'Base SKUs'!$E:$E,'Base SKUs'!I:I),"")</f>
        <v>-</v>
      </c>
      <c r="P787" t="str">
        <f>IFERROR(_xlfn.XLOOKUP($A787,'Base SKUs'!$E:$E,'Base SKUs'!J:J),"")</f>
        <v>50 mm</v>
      </c>
      <c r="Q787">
        <f>IFERROR(_xlfn.XLOOKUP($A787,'Base SKUs'!$E:$E,'Base SKUs'!K:K),"")</f>
        <v>0</v>
      </c>
      <c r="R787" s="7">
        <f>IFERROR(_xlfn.XLOOKUP($A787,'Base SKUs'!$E:$E,'Base SKUs'!S:S),"")</f>
        <v>0</v>
      </c>
      <c r="S787" s="8">
        <f t="shared" si="62"/>
        <v>35</v>
      </c>
      <c r="T787" s="7">
        <f>IFERROR(_xlfn.XLOOKUP($A787,'Base SKUs'!$E:$E,'Base SKUs'!R:R),"")</f>
        <v>0</v>
      </c>
      <c r="U787" s="15">
        <f t="shared" si="63"/>
        <v>35</v>
      </c>
      <c r="V787" t="str">
        <f t="shared" si="64"/>
        <v>Miami</v>
      </c>
    </row>
    <row r="788" spans="1:22" x14ac:dyDescent="0.2">
      <c r="A788" t="s">
        <v>1083</v>
      </c>
      <c r="B788" s="5">
        <v>35</v>
      </c>
      <c r="C788" s="5">
        <v>0</v>
      </c>
      <c r="D788" s="5">
        <f t="shared" si="60"/>
        <v>35</v>
      </c>
      <c r="E788" s="6">
        <v>4.0456000000000003</v>
      </c>
      <c r="F788" s="6">
        <f t="shared" si="61"/>
        <v>141.596</v>
      </c>
      <c r="G788" t="s">
        <v>17</v>
      </c>
      <c r="H788">
        <v>9007</v>
      </c>
      <c r="I788" t="str">
        <f>IFERROR(_xlfn.XLOOKUP($A788,'Base SKUs'!$E:$E,'Base SKUs'!A:A),"")</f>
        <v>Saicos</v>
      </c>
      <c r="J788" t="str">
        <f>IFERROR(_xlfn.XLOOKUP($A788,'Base SKUs'!$E:$E,'Base SKUs'!B:B),"")</f>
        <v>Flat Brush 60 mm</v>
      </c>
      <c r="K788" t="str">
        <f>IFERROR(_xlfn.XLOOKUP($A788,'Base SKUs'!$E:$E,'Base SKUs'!C:C),"")</f>
        <v>Flat Brush</v>
      </c>
      <c r="L788" t="str">
        <f>IFERROR(_xlfn.XLOOKUP($A788,'Base SKUs'!$E:$E,'Base SKUs'!D:D),"")</f>
        <v>Saicos</v>
      </c>
      <c r="M788" t="str">
        <f>IFERROR(_xlfn.XLOOKUP($A788,'Base SKUs'!$E:$E,'Base SKUs'!G:G),"")</f>
        <v>Flat Brush</v>
      </c>
      <c r="N788" t="str">
        <f>IFERROR(_xlfn.XLOOKUP($A788,'Base SKUs'!$E:$E,'Base SKUs'!H:H),"")</f>
        <v>For Water &amp; Oil</v>
      </c>
      <c r="O788" t="str">
        <f>IFERROR(_xlfn.XLOOKUP($A788,'Base SKUs'!$E:$E,'Base SKUs'!I:I),"")</f>
        <v>-</v>
      </c>
      <c r="P788" t="str">
        <f>IFERROR(_xlfn.XLOOKUP($A788,'Base SKUs'!$E:$E,'Base SKUs'!J:J),"")</f>
        <v>60 mm</v>
      </c>
      <c r="Q788">
        <f>IFERROR(_xlfn.XLOOKUP($A788,'Base SKUs'!$E:$E,'Base SKUs'!K:K),"")</f>
        <v>0</v>
      </c>
      <c r="R788" s="7">
        <f>IFERROR(_xlfn.XLOOKUP($A788,'Base SKUs'!$E:$E,'Base SKUs'!S:S),"")</f>
        <v>0</v>
      </c>
      <c r="S788" s="8">
        <f t="shared" si="62"/>
        <v>35</v>
      </c>
      <c r="T788" s="7">
        <f>IFERROR(_xlfn.XLOOKUP($A788,'Base SKUs'!$E:$E,'Base SKUs'!R:R),"")</f>
        <v>0</v>
      </c>
      <c r="U788" s="15">
        <f t="shared" si="63"/>
        <v>35</v>
      </c>
      <c r="V788" t="str">
        <f t="shared" si="64"/>
        <v>Miami</v>
      </c>
    </row>
    <row r="789" spans="1:22" x14ac:dyDescent="0.2">
      <c r="A789" t="s">
        <v>1085</v>
      </c>
      <c r="B789" s="5">
        <v>45</v>
      </c>
      <c r="C789" s="5">
        <v>0</v>
      </c>
      <c r="D789" s="5">
        <f t="shared" si="60"/>
        <v>45</v>
      </c>
      <c r="E789" s="6">
        <v>18.7822</v>
      </c>
      <c r="F789" s="6">
        <f t="shared" si="61"/>
        <v>845.19899999999996</v>
      </c>
      <c r="G789" t="s">
        <v>17</v>
      </c>
      <c r="H789">
        <v>9007</v>
      </c>
      <c r="I789" t="str">
        <f>IFERROR(_xlfn.XLOOKUP($A789,'Base SKUs'!$E:$E,'Base SKUs'!A:A),"")</f>
        <v>Saicos</v>
      </c>
      <c r="J789" t="str">
        <f>IFERROR(_xlfn.XLOOKUP($A789,'Base SKUs'!$E:$E,'Base SKUs'!B:B),"")</f>
        <v>Flat Brush 150 mm</v>
      </c>
      <c r="K789" t="str">
        <f>IFERROR(_xlfn.XLOOKUP($A789,'Base SKUs'!$E:$E,'Base SKUs'!C:C),"")</f>
        <v>Flat Brush</v>
      </c>
      <c r="L789" t="str">
        <f>IFERROR(_xlfn.XLOOKUP($A789,'Base SKUs'!$E:$E,'Base SKUs'!D:D),"")</f>
        <v>Saicos</v>
      </c>
      <c r="M789" t="str">
        <f>IFERROR(_xlfn.XLOOKUP($A789,'Base SKUs'!$E:$E,'Base SKUs'!G:G),"")</f>
        <v>Flat Brush</v>
      </c>
      <c r="N789" t="str">
        <f>IFERROR(_xlfn.XLOOKUP($A789,'Base SKUs'!$E:$E,'Base SKUs'!H:H),"")</f>
        <v>For Water &amp; Oil</v>
      </c>
      <c r="O789" t="str">
        <f>IFERROR(_xlfn.XLOOKUP($A789,'Base SKUs'!$E:$E,'Base SKUs'!I:I),"")</f>
        <v>-</v>
      </c>
      <c r="P789" t="str">
        <f>IFERROR(_xlfn.XLOOKUP($A789,'Base SKUs'!$E:$E,'Base SKUs'!J:J),"")</f>
        <v>150 mm</v>
      </c>
      <c r="Q789">
        <f>IFERROR(_xlfn.XLOOKUP($A789,'Base SKUs'!$E:$E,'Base SKUs'!K:K),"")</f>
        <v>0</v>
      </c>
      <c r="R789" s="7">
        <f>IFERROR(_xlfn.XLOOKUP($A789,'Base SKUs'!$E:$E,'Base SKUs'!S:S),"")</f>
        <v>0</v>
      </c>
      <c r="S789" s="8">
        <f t="shared" si="62"/>
        <v>45</v>
      </c>
      <c r="T789" s="7">
        <f>IFERROR(_xlfn.XLOOKUP($A789,'Base SKUs'!$E:$E,'Base SKUs'!R:R),"")</f>
        <v>0</v>
      </c>
      <c r="U789" s="15">
        <f t="shared" si="63"/>
        <v>45</v>
      </c>
      <c r="V789" t="str">
        <f t="shared" si="64"/>
        <v>Miami</v>
      </c>
    </row>
    <row r="790" spans="1:22" x14ac:dyDescent="0.2">
      <c r="A790" t="s">
        <v>1087</v>
      </c>
      <c r="B790" s="5">
        <v>45</v>
      </c>
      <c r="C790" s="5">
        <v>0</v>
      </c>
      <c r="D790" s="5">
        <f t="shared" si="60"/>
        <v>45</v>
      </c>
      <c r="E790" s="6">
        <v>20.9788</v>
      </c>
      <c r="F790" s="6">
        <f t="shared" si="61"/>
        <v>944.04599999999994</v>
      </c>
      <c r="G790" t="s">
        <v>17</v>
      </c>
      <c r="H790">
        <v>9007</v>
      </c>
      <c r="I790" t="str">
        <f>IFERROR(_xlfn.XLOOKUP($A790,'Base SKUs'!$E:$E,'Base SKUs'!A:A),"")</f>
        <v>Saicos</v>
      </c>
      <c r="J790" t="str">
        <f>IFERROR(_xlfn.XLOOKUP($A790,'Base SKUs'!$E:$E,'Base SKUs'!B:B),"")</f>
        <v>Flat Brush 210 mm</v>
      </c>
      <c r="K790" t="str">
        <f>IFERROR(_xlfn.XLOOKUP($A790,'Base SKUs'!$E:$E,'Base SKUs'!C:C),"")</f>
        <v>Flat Brush</v>
      </c>
      <c r="L790" t="str">
        <f>IFERROR(_xlfn.XLOOKUP($A790,'Base SKUs'!$E:$E,'Base SKUs'!D:D),"")</f>
        <v>Saicos</v>
      </c>
      <c r="M790" t="str">
        <f>IFERROR(_xlfn.XLOOKUP($A790,'Base SKUs'!$E:$E,'Base SKUs'!G:G),"")</f>
        <v>Flat Brush</v>
      </c>
      <c r="N790" t="str">
        <f>IFERROR(_xlfn.XLOOKUP($A790,'Base SKUs'!$E:$E,'Base SKUs'!H:H),"")</f>
        <v>For Water &amp; Oil</v>
      </c>
      <c r="O790" t="str">
        <f>IFERROR(_xlfn.XLOOKUP($A790,'Base SKUs'!$E:$E,'Base SKUs'!I:I),"")</f>
        <v>-</v>
      </c>
      <c r="P790" t="str">
        <f>IFERROR(_xlfn.XLOOKUP($A790,'Base SKUs'!$E:$E,'Base SKUs'!J:J),"")</f>
        <v>210 mm</v>
      </c>
      <c r="Q790">
        <f>IFERROR(_xlfn.XLOOKUP($A790,'Base SKUs'!$E:$E,'Base SKUs'!K:K),"")</f>
        <v>0</v>
      </c>
      <c r="R790" s="7">
        <f>IFERROR(_xlfn.XLOOKUP($A790,'Base SKUs'!$E:$E,'Base SKUs'!S:S),"")</f>
        <v>0</v>
      </c>
      <c r="S790" s="8">
        <f t="shared" si="62"/>
        <v>45</v>
      </c>
      <c r="T790" s="7">
        <f>IFERROR(_xlfn.XLOOKUP($A790,'Base SKUs'!$E:$E,'Base SKUs'!R:R),"")</f>
        <v>0</v>
      </c>
      <c r="U790" s="15">
        <f t="shared" si="63"/>
        <v>45</v>
      </c>
      <c r="V790" t="str">
        <f t="shared" si="64"/>
        <v>Miami</v>
      </c>
    </row>
    <row r="791" spans="1:22" x14ac:dyDescent="0.2">
      <c r="A791" t="s">
        <v>1098</v>
      </c>
      <c r="B791" s="5">
        <v>195</v>
      </c>
      <c r="C791" s="5">
        <v>0</v>
      </c>
      <c r="D791" s="5">
        <f t="shared" si="60"/>
        <v>195</v>
      </c>
      <c r="E791" s="6">
        <v>63.2</v>
      </c>
      <c r="F791" s="6">
        <f t="shared" si="61"/>
        <v>12324</v>
      </c>
      <c r="G791" t="s">
        <v>17</v>
      </c>
      <c r="H791">
        <v>9007</v>
      </c>
      <c r="I791" t="str">
        <f>IFERROR(_xlfn.XLOOKUP($A791,'Base SKUs'!$E:$E,'Base SKUs'!A:A),"")</f>
        <v>Ash</v>
      </c>
      <c r="J791" t="str">
        <f>IFERROR(_xlfn.XLOOKUP($A791,'Base SKUs'!$E:$E,'Base SKUs'!B:B),"")</f>
        <v>Ash 1x10</v>
      </c>
      <c r="K791" t="str">
        <f>IFERROR(_xlfn.XLOOKUP($A791,'Base SKUs'!$E:$E,'Base SKUs'!C:C),"")</f>
        <v>Long</v>
      </c>
      <c r="L791" t="str">
        <f>IFERROR(_xlfn.XLOOKUP($A791,'Base SKUs'!$E:$E,'Base SKUs'!D:D),"")</f>
        <v>Thermowood</v>
      </c>
      <c r="M791" t="str">
        <f>IFERROR(_xlfn.XLOOKUP($A791,'Base SKUs'!$E:$E,'Base SKUs'!G:G),"")</f>
        <v>Maximo Thermo Ash</v>
      </c>
      <c r="N791" t="str">
        <f>IFERROR(_xlfn.XLOOKUP($A791,'Base SKUs'!$E:$E,'Base SKUs'!H:H),"")</f>
        <v>S4S E4E</v>
      </c>
      <c r="O791" t="str">
        <f>IFERROR(_xlfn.XLOOKUP($A791,'Base SKUs'!$E:$E,'Base SKUs'!I:I),"")</f>
        <v>-</v>
      </c>
      <c r="P791" t="str">
        <f>IFERROR(_xlfn.XLOOKUP($A791,'Base SKUs'!$E:$E,'Base SKUs'!J:J),"")</f>
        <v>1x10</v>
      </c>
      <c r="Q791">
        <f>IFERROR(_xlfn.XLOOKUP($A791,'Base SKUs'!$E:$E,'Base SKUs'!K:K),"")</f>
        <v>10</v>
      </c>
      <c r="R791" s="7">
        <f>IFERROR(_xlfn.XLOOKUP($A791,'Base SKUs'!$E:$E,'Base SKUs'!S:S),"")</f>
        <v>1.4999999999999999E-2</v>
      </c>
      <c r="S791" s="8">
        <f t="shared" si="62"/>
        <v>2.9249999999999998</v>
      </c>
      <c r="T791" s="7">
        <f>IFERROR(_xlfn.XLOOKUP($A791,'Base SKUs'!$E:$E,'Base SKUs'!R:R),"")</f>
        <v>656.16800000000001</v>
      </c>
      <c r="U791" s="15">
        <f t="shared" si="63"/>
        <v>1919</v>
      </c>
      <c r="V791" t="str">
        <f t="shared" si="64"/>
        <v>Miami</v>
      </c>
    </row>
    <row r="792" spans="1:22" x14ac:dyDescent="0.2">
      <c r="A792" t="s">
        <v>1100</v>
      </c>
      <c r="B792" s="5">
        <v>49</v>
      </c>
      <c r="C792" s="5">
        <v>0</v>
      </c>
      <c r="D792" s="5">
        <f t="shared" si="60"/>
        <v>49</v>
      </c>
      <c r="E792" s="6">
        <v>69.52</v>
      </c>
      <c r="F792" s="6">
        <f t="shared" si="61"/>
        <v>3406.48</v>
      </c>
      <c r="G792" t="s">
        <v>17</v>
      </c>
      <c r="H792">
        <v>9007</v>
      </c>
      <c r="I792" t="str">
        <f>IFERROR(_xlfn.XLOOKUP($A792,'Base SKUs'!$E:$E,'Base SKUs'!A:A),"")</f>
        <v>Ash</v>
      </c>
      <c r="J792" t="str">
        <f>IFERROR(_xlfn.XLOOKUP($A792,'Base SKUs'!$E:$E,'Base SKUs'!B:B),"")</f>
        <v>Ash 1x10</v>
      </c>
      <c r="K792" t="str">
        <f>IFERROR(_xlfn.XLOOKUP($A792,'Base SKUs'!$E:$E,'Base SKUs'!C:C),"")</f>
        <v>Long</v>
      </c>
      <c r="L792" t="str">
        <f>IFERROR(_xlfn.XLOOKUP($A792,'Base SKUs'!$E:$E,'Base SKUs'!D:D),"")</f>
        <v>Thermowood</v>
      </c>
      <c r="M792" t="str">
        <f>IFERROR(_xlfn.XLOOKUP($A792,'Base SKUs'!$E:$E,'Base SKUs'!G:G),"")</f>
        <v>Maximo Thermo Ash</v>
      </c>
      <c r="N792" t="str">
        <f>IFERROR(_xlfn.XLOOKUP($A792,'Base SKUs'!$E:$E,'Base SKUs'!H:H),"")</f>
        <v>S4S E4E</v>
      </c>
      <c r="O792" t="str">
        <f>IFERROR(_xlfn.XLOOKUP($A792,'Base SKUs'!$E:$E,'Base SKUs'!I:I),"")</f>
        <v>-</v>
      </c>
      <c r="P792" t="str">
        <f>IFERROR(_xlfn.XLOOKUP($A792,'Base SKUs'!$E:$E,'Base SKUs'!J:J),"")</f>
        <v>1x10</v>
      </c>
      <c r="Q792">
        <f>IFERROR(_xlfn.XLOOKUP($A792,'Base SKUs'!$E:$E,'Base SKUs'!K:K),"")</f>
        <v>11</v>
      </c>
      <c r="R792" s="7">
        <f>IFERROR(_xlfn.XLOOKUP($A792,'Base SKUs'!$E:$E,'Base SKUs'!S:S),"")</f>
        <v>1.6500000000000001E-2</v>
      </c>
      <c r="S792" s="8">
        <f t="shared" si="62"/>
        <v>0.8085</v>
      </c>
      <c r="T792" s="7">
        <f>IFERROR(_xlfn.XLOOKUP($A792,'Base SKUs'!$E:$E,'Base SKUs'!R:R),"")</f>
        <v>656.16800000000001</v>
      </c>
      <c r="U792" s="15">
        <f t="shared" si="63"/>
        <v>531</v>
      </c>
      <c r="V792" t="str">
        <f t="shared" si="64"/>
        <v>Miami</v>
      </c>
    </row>
    <row r="793" spans="1:22" x14ac:dyDescent="0.2">
      <c r="A793" t="s">
        <v>1102</v>
      </c>
      <c r="B793" s="5">
        <v>6</v>
      </c>
      <c r="C793" s="5">
        <v>0</v>
      </c>
      <c r="D793" s="5">
        <f t="shared" si="60"/>
        <v>6</v>
      </c>
      <c r="E793" s="6">
        <v>75.84</v>
      </c>
      <c r="F793" s="6">
        <f t="shared" si="61"/>
        <v>455.04</v>
      </c>
      <c r="G793" t="s">
        <v>17</v>
      </c>
      <c r="H793">
        <v>9007</v>
      </c>
      <c r="I793" t="str">
        <f>IFERROR(_xlfn.XLOOKUP($A793,'Base SKUs'!$E:$E,'Base SKUs'!A:A),"")</f>
        <v>Ash</v>
      </c>
      <c r="J793" t="str">
        <f>IFERROR(_xlfn.XLOOKUP($A793,'Base SKUs'!$E:$E,'Base SKUs'!B:B),"")</f>
        <v>Ash 1x10</v>
      </c>
      <c r="K793" t="str">
        <f>IFERROR(_xlfn.XLOOKUP($A793,'Base SKUs'!$E:$E,'Base SKUs'!C:C),"")</f>
        <v>Long</v>
      </c>
      <c r="L793" t="str">
        <f>IFERROR(_xlfn.XLOOKUP($A793,'Base SKUs'!$E:$E,'Base SKUs'!D:D),"")</f>
        <v>Thermowood</v>
      </c>
      <c r="M793" t="str">
        <f>IFERROR(_xlfn.XLOOKUP($A793,'Base SKUs'!$E:$E,'Base SKUs'!G:G),"")</f>
        <v>Maximo Thermo Ash</v>
      </c>
      <c r="N793" t="str">
        <f>IFERROR(_xlfn.XLOOKUP($A793,'Base SKUs'!$E:$E,'Base SKUs'!H:H),"")</f>
        <v>S4S E4E</v>
      </c>
      <c r="O793" t="str">
        <f>IFERROR(_xlfn.XLOOKUP($A793,'Base SKUs'!$E:$E,'Base SKUs'!I:I),"")</f>
        <v>-</v>
      </c>
      <c r="P793" t="str">
        <f>IFERROR(_xlfn.XLOOKUP($A793,'Base SKUs'!$E:$E,'Base SKUs'!J:J),"")</f>
        <v>1x10</v>
      </c>
      <c r="Q793">
        <f>IFERROR(_xlfn.XLOOKUP($A793,'Base SKUs'!$E:$E,'Base SKUs'!K:K),"")</f>
        <v>12</v>
      </c>
      <c r="R793" s="7">
        <f>IFERROR(_xlfn.XLOOKUP($A793,'Base SKUs'!$E:$E,'Base SKUs'!S:S),"")</f>
        <v>1.7999999999999999E-2</v>
      </c>
      <c r="S793" s="8">
        <f t="shared" si="62"/>
        <v>0.10799999999999998</v>
      </c>
      <c r="T793" s="7">
        <f>IFERROR(_xlfn.XLOOKUP($A793,'Base SKUs'!$E:$E,'Base SKUs'!R:R),"")</f>
        <v>656.16800000000001</v>
      </c>
      <c r="U793" s="15">
        <f t="shared" si="63"/>
        <v>71</v>
      </c>
      <c r="V793" t="str">
        <f t="shared" si="64"/>
        <v>Miami</v>
      </c>
    </row>
    <row r="794" spans="1:22" x14ac:dyDescent="0.2">
      <c r="A794" t="s">
        <v>1104</v>
      </c>
      <c r="B794" s="5">
        <v>28</v>
      </c>
      <c r="C794" s="5">
        <v>0</v>
      </c>
      <c r="D794" s="5">
        <f t="shared" si="60"/>
        <v>28</v>
      </c>
      <c r="E794" s="6">
        <v>82.16</v>
      </c>
      <c r="F794" s="6">
        <f t="shared" si="61"/>
        <v>2300.48</v>
      </c>
      <c r="G794" t="s">
        <v>17</v>
      </c>
      <c r="H794">
        <v>9007</v>
      </c>
      <c r="I794" t="str">
        <f>IFERROR(_xlfn.XLOOKUP($A794,'Base SKUs'!$E:$E,'Base SKUs'!A:A),"")</f>
        <v>Ash</v>
      </c>
      <c r="J794" t="str">
        <f>IFERROR(_xlfn.XLOOKUP($A794,'Base SKUs'!$E:$E,'Base SKUs'!B:B),"")</f>
        <v>Ash 1x10</v>
      </c>
      <c r="K794" t="str">
        <f>IFERROR(_xlfn.XLOOKUP($A794,'Base SKUs'!$E:$E,'Base SKUs'!C:C),"")</f>
        <v>Long</v>
      </c>
      <c r="L794" t="str">
        <f>IFERROR(_xlfn.XLOOKUP($A794,'Base SKUs'!$E:$E,'Base SKUs'!D:D),"")</f>
        <v>Thermowood</v>
      </c>
      <c r="M794" t="str">
        <f>IFERROR(_xlfn.XLOOKUP($A794,'Base SKUs'!$E:$E,'Base SKUs'!G:G),"")</f>
        <v>Maximo Thermo Ash</v>
      </c>
      <c r="N794" t="str">
        <f>IFERROR(_xlfn.XLOOKUP($A794,'Base SKUs'!$E:$E,'Base SKUs'!H:H),"")</f>
        <v>S4S E4E</v>
      </c>
      <c r="O794" t="str">
        <f>IFERROR(_xlfn.XLOOKUP($A794,'Base SKUs'!$E:$E,'Base SKUs'!I:I),"")</f>
        <v>-</v>
      </c>
      <c r="P794" t="str">
        <f>IFERROR(_xlfn.XLOOKUP($A794,'Base SKUs'!$E:$E,'Base SKUs'!J:J),"")</f>
        <v>1x10</v>
      </c>
      <c r="Q794">
        <f>IFERROR(_xlfn.XLOOKUP($A794,'Base SKUs'!$E:$E,'Base SKUs'!K:K),"")</f>
        <v>13</v>
      </c>
      <c r="R794" s="7">
        <f>IFERROR(_xlfn.XLOOKUP($A794,'Base SKUs'!$E:$E,'Base SKUs'!S:S),"")</f>
        <v>1.95E-2</v>
      </c>
      <c r="S794" s="8">
        <f t="shared" si="62"/>
        <v>0.54600000000000004</v>
      </c>
      <c r="T794" s="7">
        <f>IFERROR(_xlfn.XLOOKUP($A794,'Base SKUs'!$E:$E,'Base SKUs'!R:R),"")</f>
        <v>656.16800000000001</v>
      </c>
      <c r="U794" s="15">
        <f t="shared" si="63"/>
        <v>358</v>
      </c>
      <c r="V794" t="str">
        <f t="shared" si="64"/>
        <v>Miami</v>
      </c>
    </row>
    <row r="795" spans="1:22" x14ac:dyDescent="0.2">
      <c r="A795" t="s">
        <v>1106</v>
      </c>
      <c r="B795" s="5">
        <v>10</v>
      </c>
      <c r="C795" s="5">
        <v>0</v>
      </c>
      <c r="D795" s="5">
        <f t="shared" si="60"/>
        <v>10</v>
      </c>
      <c r="E795" s="6">
        <v>88.48</v>
      </c>
      <c r="F795" s="6">
        <f t="shared" si="61"/>
        <v>884.80000000000007</v>
      </c>
      <c r="G795" t="s">
        <v>17</v>
      </c>
      <c r="H795">
        <v>9007</v>
      </c>
      <c r="I795" t="str">
        <f>IFERROR(_xlfn.XLOOKUP($A795,'Base SKUs'!$E:$E,'Base SKUs'!A:A),"")</f>
        <v>Ash</v>
      </c>
      <c r="J795" t="str">
        <f>IFERROR(_xlfn.XLOOKUP($A795,'Base SKUs'!$E:$E,'Base SKUs'!B:B),"")</f>
        <v>Ash 1x10</v>
      </c>
      <c r="K795" t="str">
        <f>IFERROR(_xlfn.XLOOKUP($A795,'Base SKUs'!$E:$E,'Base SKUs'!C:C),"")</f>
        <v>Long</v>
      </c>
      <c r="L795" t="str">
        <f>IFERROR(_xlfn.XLOOKUP($A795,'Base SKUs'!$E:$E,'Base SKUs'!D:D),"")</f>
        <v>Thermowood</v>
      </c>
      <c r="M795" t="str">
        <f>IFERROR(_xlfn.XLOOKUP($A795,'Base SKUs'!$E:$E,'Base SKUs'!G:G),"")</f>
        <v>Maximo Thermo Ash</v>
      </c>
      <c r="N795" t="str">
        <f>IFERROR(_xlfn.XLOOKUP($A795,'Base SKUs'!$E:$E,'Base SKUs'!H:H),"")</f>
        <v>S4S E4E</v>
      </c>
      <c r="O795" t="str">
        <f>IFERROR(_xlfn.XLOOKUP($A795,'Base SKUs'!$E:$E,'Base SKUs'!I:I),"")</f>
        <v>-</v>
      </c>
      <c r="P795" t="str">
        <f>IFERROR(_xlfn.XLOOKUP($A795,'Base SKUs'!$E:$E,'Base SKUs'!J:J),"")</f>
        <v>1x10</v>
      </c>
      <c r="Q795">
        <f>IFERROR(_xlfn.XLOOKUP($A795,'Base SKUs'!$E:$E,'Base SKUs'!K:K),"")</f>
        <v>14</v>
      </c>
      <c r="R795" s="7">
        <f>IFERROR(_xlfn.XLOOKUP($A795,'Base SKUs'!$E:$E,'Base SKUs'!S:S),"")</f>
        <v>2.1000000000000001E-2</v>
      </c>
      <c r="S795" s="8">
        <f t="shared" si="62"/>
        <v>0.21000000000000002</v>
      </c>
      <c r="T795" s="7">
        <f>IFERROR(_xlfn.XLOOKUP($A795,'Base SKUs'!$E:$E,'Base SKUs'!R:R),"")</f>
        <v>656.16800000000001</v>
      </c>
      <c r="U795" s="15">
        <f t="shared" si="63"/>
        <v>138</v>
      </c>
      <c r="V795" t="str">
        <f t="shared" si="64"/>
        <v>Miami</v>
      </c>
    </row>
    <row r="796" spans="1:22" x14ac:dyDescent="0.2">
      <c r="A796" t="s">
        <v>1108</v>
      </c>
      <c r="B796" s="5">
        <v>35</v>
      </c>
      <c r="C796" s="5">
        <v>0</v>
      </c>
      <c r="D796" s="5">
        <f t="shared" si="60"/>
        <v>35</v>
      </c>
      <c r="E796" s="6">
        <v>25.28</v>
      </c>
      <c r="F796" s="6">
        <f t="shared" si="61"/>
        <v>884.80000000000007</v>
      </c>
      <c r="G796" t="s">
        <v>17</v>
      </c>
      <c r="H796">
        <v>9007</v>
      </c>
      <c r="I796" t="str">
        <f>IFERROR(_xlfn.XLOOKUP($A796,'Base SKUs'!$E:$E,'Base SKUs'!A:A),"")</f>
        <v>Ash</v>
      </c>
      <c r="J796" t="str">
        <f>IFERROR(_xlfn.XLOOKUP($A796,'Base SKUs'!$E:$E,'Base SKUs'!B:B),"")</f>
        <v>Ash 1x10</v>
      </c>
      <c r="K796" t="str">
        <f>IFERROR(_xlfn.XLOOKUP($A796,'Base SKUs'!$E:$E,'Base SKUs'!C:C),"")</f>
        <v>Short</v>
      </c>
      <c r="L796" t="str">
        <f>IFERROR(_xlfn.XLOOKUP($A796,'Base SKUs'!$E:$E,'Base SKUs'!D:D),"")</f>
        <v>Thermowood</v>
      </c>
      <c r="M796" t="str">
        <f>IFERROR(_xlfn.XLOOKUP($A796,'Base SKUs'!$E:$E,'Base SKUs'!G:G),"")</f>
        <v>Maximo Thermo Ash</v>
      </c>
      <c r="N796" t="str">
        <f>IFERROR(_xlfn.XLOOKUP($A796,'Base SKUs'!$E:$E,'Base SKUs'!H:H),"")</f>
        <v>S4S E4E</v>
      </c>
      <c r="O796" t="str">
        <f>IFERROR(_xlfn.XLOOKUP($A796,'Base SKUs'!$E:$E,'Base SKUs'!I:I),"")</f>
        <v>-</v>
      </c>
      <c r="P796" t="str">
        <f>IFERROR(_xlfn.XLOOKUP($A796,'Base SKUs'!$E:$E,'Base SKUs'!J:J),"")</f>
        <v>1x10</v>
      </c>
      <c r="Q796">
        <f>IFERROR(_xlfn.XLOOKUP($A796,'Base SKUs'!$E:$E,'Base SKUs'!K:K),"")</f>
        <v>4</v>
      </c>
      <c r="R796" s="7">
        <f>IFERROR(_xlfn.XLOOKUP($A796,'Base SKUs'!$E:$E,'Base SKUs'!S:S),"")</f>
        <v>6.0000000000000001E-3</v>
      </c>
      <c r="S796" s="8">
        <f t="shared" si="62"/>
        <v>0.21</v>
      </c>
      <c r="T796" s="7">
        <f>IFERROR(_xlfn.XLOOKUP($A796,'Base SKUs'!$E:$E,'Base SKUs'!R:R),"")</f>
        <v>656.16800000000001</v>
      </c>
      <c r="U796" s="15">
        <f t="shared" si="63"/>
        <v>138</v>
      </c>
      <c r="V796" t="str">
        <f t="shared" si="64"/>
        <v>Miami</v>
      </c>
    </row>
    <row r="797" spans="1:22" x14ac:dyDescent="0.2">
      <c r="A797" t="s">
        <v>1110</v>
      </c>
      <c r="B797" s="5">
        <v>42</v>
      </c>
      <c r="C797" s="5">
        <v>0</v>
      </c>
      <c r="D797" s="5">
        <f t="shared" si="60"/>
        <v>42</v>
      </c>
      <c r="E797" s="6">
        <v>31.6</v>
      </c>
      <c r="F797" s="6">
        <f t="shared" si="61"/>
        <v>1327.2</v>
      </c>
      <c r="G797" t="s">
        <v>17</v>
      </c>
      <c r="H797">
        <v>9007</v>
      </c>
      <c r="I797" t="str">
        <f>IFERROR(_xlfn.XLOOKUP($A797,'Base SKUs'!$E:$E,'Base SKUs'!A:A),"")</f>
        <v>Ash</v>
      </c>
      <c r="J797" t="str">
        <f>IFERROR(_xlfn.XLOOKUP($A797,'Base SKUs'!$E:$E,'Base SKUs'!B:B),"")</f>
        <v>Ash 1x10</v>
      </c>
      <c r="K797" t="str">
        <f>IFERROR(_xlfn.XLOOKUP($A797,'Base SKUs'!$E:$E,'Base SKUs'!C:C),"")</f>
        <v>Short</v>
      </c>
      <c r="L797" t="str">
        <f>IFERROR(_xlfn.XLOOKUP($A797,'Base SKUs'!$E:$E,'Base SKUs'!D:D),"")</f>
        <v>Thermowood</v>
      </c>
      <c r="M797" t="str">
        <f>IFERROR(_xlfn.XLOOKUP($A797,'Base SKUs'!$E:$E,'Base SKUs'!G:G),"")</f>
        <v>Maximo Thermo Ash</v>
      </c>
      <c r="N797" t="str">
        <f>IFERROR(_xlfn.XLOOKUP($A797,'Base SKUs'!$E:$E,'Base SKUs'!H:H),"")</f>
        <v>S4S E4E</v>
      </c>
      <c r="O797" t="str">
        <f>IFERROR(_xlfn.XLOOKUP($A797,'Base SKUs'!$E:$E,'Base SKUs'!I:I),"")</f>
        <v>-</v>
      </c>
      <c r="P797" t="str">
        <f>IFERROR(_xlfn.XLOOKUP($A797,'Base SKUs'!$E:$E,'Base SKUs'!J:J),"")</f>
        <v>1x10</v>
      </c>
      <c r="Q797">
        <f>IFERROR(_xlfn.XLOOKUP($A797,'Base SKUs'!$E:$E,'Base SKUs'!K:K),"")</f>
        <v>5</v>
      </c>
      <c r="R797" s="7">
        <f>IFERROR(_xlfn.XLOOKUP($A797,'Base SKUs'!$E:$E,'Base SKUs'!S:S),"")</f>
        <v>7.4999999999999997E-3</v>
      </c>
      <c r="S797" s="8">
        <f t="shared" si="62"/>
        <v>0.315</v>
      </c>
      <c r="T797" s="7">
        <f>IFERROR(_xlfn.XLOOKUP($A797,'Base SKUs'!$E:$E,'Base SKUs'!R:R),"")</f>
        <v>656.16800000000001</v>
      </c>
      <c r="U797" s="15">
        <f t="shared" si="63"/>
        <v>207</v>
      </c>
      <c r="V797" t="str">
        <f t="shared" si="64"/>
        <v>Miami</v>
      </c>
    </row>
    <row r="798" spans="1:22" x14ac:dyDescent="0.2">
      <c r="A798" t="s">
        <v>1112</v>
      </c>
      <c r="B798" s="5">
        <v>119</v>
      </c>
      <c r="C798" s="5">
        <v>0</v>
      </c>
      <c r="D798" s="5">
        <f t="shared" si="60"/>
        <v>119</v>
      </c>
      <c r="E798" s="6">
        <v>37.92</v>
      </c>
      <c r="F798" s="6">
        <f t="shared" si="61"/>
        <v>4512.4800000000005</v>
      </c>
      <c r="G798" t="s">
        <v>17</v>
      </c>
      <c r="H798">
        <v>9007</v>
      </c>
      <c r="I798" t="str">
        <f>IFERROR(_xlfn.XLOOKUP($A798,'Base SKUs'!$E:$E,'Base SKUs'!A:A),"")</f>
        <v>Ash</v>
      </c>
      <c r="J798" t="str">
        <f>IFERROR(_xlfn.XLOOKUP($A798,'Base SKUs'!$E:$E,'Base SKUs'!B:B),"")</f>
        <v>Ash 1x10</v>
      </c>
      <c r="K798" t="str">
        <f>IFERROR(_xlfn.XLOOKUP($A798,'Base SKUs'!$E:$E,'Base SKUs'!C:C),"")</f>
        <v>Short</v>
      </c>
      <c r="L798" t="str">
        <f>IFERROR(_xlfn.XLOOKUP($A798,'Base SKUs'!$E:$E,'Base SKUs'!D:D),"")</f>
        <v>Thermowood</v>
      </c>
      <c r="M798" t="str">
        <f>IFERROR(_xlfn.XLOOKUP($A798,'Base SKUs'!$E:$E,'Base SKUs'!G:G),"")</f>
        <v>Maximo Thermo Ash</v>
      </c>
      <c r="N798" t="str">
        <f>IFERROR(_xlfn.XLOOKUP($A798,'Base SKUs'!$E:$E,'Base SKUs'!H:H),"")</f>
        <v>S4S E4E</v>
      </c>
      <c r="O798" t="str">
        <f>IFERROR(_xlfn.XLOOKUP($A798,'Base SKUs'!$E:$E,'Base SKUs'!I:I),"")</f>
        <v>-</v>
      </c>
      <c r="P798" t="str">
        <f>IFERROR(_xlfn.XLOOKUP($A798,'Base SKUs'!$E:$E,'Base SKUs'!J:J),"")</f>
        <v>1x10</v>
      </c>
      <c r="Q798">
        <f>IFERROR(_xlfn.XLOOKUP($A798,'Base SKUs'!$E:$E,'Base SKUs'!K:K),"")</f>
        <v>6</v>
      </c>
      <c r="R798" s="7">
        <f>IFERROR(_xlfn.XLOOKUP($A798,'Base SKUs'!$E:$E,'Base SKUs'!S:S),"")</f>
        <v>8.9999999999999993E-3</v>
      </c>
      <c r="S798" s="8">
        <f t="shared" si="62"/>
        <v>1.071</v>
      </c>
      <c r="T798" s="7">
        <f>IFERROR(_xlfn.XLOOKUP($A798,'Base SKUs'!$E:$E,'Base SKUs'!R:R),"")</f>
        <v>656.16800000000001</v>
      </c>
      <c r="U798" s="15">
        <f t="shared" si="63"/>
        <v>703</v>
      </c>
      <c r="V798" t="str">
        <f t="shared" si="64"/>
        <v>Miami</v>
      </c>
    </row>
    <row r="799" spans="1:22" x14ac:dyDescent="0.2">
      <c r="A799" t="s">
        <v>1114</v>
      </c>
      <c r="B799" s="5">
        <v>105</v>
      </c>
      <c r="C799" s="5">
        <v>0</v>
      </c>
      <c r="D799" s="5">
        <f t="shared" si="60"/>
        <v>105</v>
      </c>
      <c r="E799" s="6">
        <v>44.24</v>
      </c>
      <c r="F799" s="6">
        <f t="shared" si="61"/>
        <v>4645.2</v>
      </c>
      <c r="G799" t="s">
        <v>17</v>
      </c>
      <c r="H799">
        <v>9007</v>
      </c>
      <c r="I799" t="str">
        <f>IFERROR(_xlfn.XLOOKUP($A799,'Base SKUs'!$E:$E,'Base SKUs'!A:A),"")</f>
        <v>Ash</v>
      </c>
      <c r="J799" t="str">
        <f>IFERROR(_xlfn.XLOOKUP($A799,'Base SKUs'!$E:$E,'Base SKUs'!B:B),"")</f>
        <v>Ash 1x10</v>
      </c>
      <c r="K799" t="str">
        <f>IFERROR(_xlfn.XLOOKUP($A799,'Base SKUs'!$E:$E,'Base SKUs'!C:C),"")</f>
        <v>Short</v>
      </c>
      <c r="L799" t="str">
        <f>IFERROR(_xlfn.XLOOKUP($A799,'Base SKUs'!$E:$E,'Base SKUs'!D:D),"")</f>
        <v>Thermowood</v>
      </c>
      <c r="M799" t="str">
        <f>IFERROR(_xlfn.XLOOKUP($A799,'Base SKUs'!$E:$E,'Base SKUs'!G:G),"")</f>
        <v>Maximo Thermo Ash</v>
      </c>
      <c r="N799" t="str">
        <f>IFERROR(_xlfn.XLOOKUP($A799,'Base SKUs'!$E:$E,'Base SKUs'!H:H),"")</f>
        <v>S4S E4E</v>
      </c>
      <c r="O799" t="str">
        <f>IFERROR(_xlfn.XLOOKUP($A799,'Base SKUs'!$E:$E,'Base SKUs'!I:I),"")</f>
        <v>-</v>
      </c>
      <c r="P799" t="str">
        <f>IFERROR(_xlfn.XLOOKUP($A799,'Base SKUs'!$E:$E,'Base SKUs'!J:J),"")</f>
        <v>1x10</v>
      </c>
      <c r="Q799">
        <f>IFERROR(_xlfn.XLOOKUP($A799,'Base SKUs'!$E:$E,'Base SKUs'!K:K),"")</f>
        <v>7</v>
      </c>
      <c r="R799" s="7">
        <f>IFERROR(_xlfn.XLOOKUP($A799,'Base SKUs'!$E:$E,'Base SKUs'!S:S),"")</f>
        <v>1.0500000000000001E-2</v>
      </c>
      <c r="S799" s="8">
        <f t="shared" si="62"/>
        <v>1.1025</v>
      </c>
      <c r="T799" s="7">
        <f>IFERROR(_xlfn.XLOOKUP($A799,'Base SKUs'!$E:$E,'Base SKUs'!R:R),"")</f>
        <v>656.16800000000001</v>
      </c>
      <c r="U799" s="15">
        <f t="shared" si="63"/>
        <v>723</v>
      </c>
      <c r="V799" t="str">
        <f t="shared" si="64"/>
        <v>Miami</v>
      </c>
    </row>
    <row r="800" spans="1:22" x14ac:dyDescent="0.2">
      <c r="A800" t="s">
        <v>1116</v>
      </c>
      <c r="B800" s="5">
        <v>160</v>
      </c>
      <c r="C800" s="5">
        <v>0</v>
      </c>
      <c r="D800" s="5">
        <f t="shared" si="60"/>
        <v>160</v>
      </c>
      <c r="E800" s="6">
        <v>50.56</v>
      </c>
      <c r="F800" s="6">
        <f t="shared" si="61"/>
        <v>8089.6</v>
      </c>
      <c r="G800" t="s">
        <v>17</v>
      </c>
      <c r="H800">
        <v>9007</v>
      </c>
      <c r="I800" t="str">
        <f>IFERROR(_xlfn.XLOOKUP($A800,'Base SKUs'!$E:$E,'Base SKUs'!A:A),"")</f>
        <v>Ash</v>
      </c>
      <c r="J800" t="str">
        <f>IFERROR(_xlfn.XLOOKUP($A800,'Base SKUs'!$E:$E,'Base SKUs'!B:B),"")</f>
        <v>Ash 1x10</v>
      </c>
      <c r="K800" t="str">
        <f>IFERROR(_xlfn.XLOOKUP($A800,'Base SKUs'!$E:$E,'Base SKUs'!C:C),"")</f>
        <v>Long</v>
      </c>
      <c r="L800" t="str">
        <f>IFERROR(_xlfn.XLOOKUP($A800,'Base SKUs'!$E:$E,'Base SKUs'!D:D),"")</f>
        <v>Thermowood</v>
      </c>
      <c r="M800" t="str">
        <f>IFERROR(_xlfn.XLOOKUP($A800,'Base SKUs'!$E:$E,'Base SKUs'!G:G),"")</f>
        <v>Maximo Thermo Ash</v>
      </c>
      <c r="N800" t="str">
        <f>IFERROR(_xlfn.XLOOKUP($A800,'Base SKUs'!$E:$E,'Base SKUs'!H:H),"")</f>
        <v>S4S E4E</v>
      </c>
      <c r="O800" t="str">
        <f>IFERROR(_xlfn.XLOOKUP($A800,'Base SKUs'!$E:$E,'Base SKUs'!I:I),"")</f>
        <v>-</v>
      </c>
      <c r="P800" t="str">
        <f>IFERROR(_xlfn.XLOOKUP($A800,'Base SKUs'!$E:$E,'Base SKUs'!J:J),"")</f>
        <v>1x10</v>
      </c>
      <c r="Q800">
        <f>IFERROR(_xlfn.XLOOKUP($A800,'Base SKUs'!$E:$E,'Base SKUs'!K:K),"")</f>
        <v>8</v>
      </c>
      <c r="R800" s="7">
        <f>IFERROR(_xlfn.XLOOKUP($A800,'Base SKUs'!$E:$E,'Base SKUs'!S:S),"")</f>
        <v>1.2E-2</v>
      </c>
      <c r="S800" s="8">
        <f t="shared" si="62"/>
        <v>1.92</v>
      </c>
      <c r="T800" s="7">
        <f>IFERROR(_xlfn.XLOOKUP($A800,'Base SKUs'!$E:$E,'Base SKUs'!R:R),"")</f>
        <v>656.16800000000001</v>
      </c>
      <c r="U800" s="15">
        <f t="shared" si="63"/>
        <v>1260</v>
      </c>
      <c r="V800" t="str">
        <f t="shared" si="64"/>
        <v>Miami</v>
      </c>
    </row>
    <row r="801" spans="1:22" x14ac:dyDescent="0.2">
      <c r="A801" t="s">
        <v>1118</v>
      </c>
      <c r="B801" s="5">
        <v>154</v>
      </c>
      <c r="C801" s="5">
        <v>0</v>
      </c>
      <c r="D801" s="5">
        <f t="shared" si="60"/>
        <v>154</v>
      </c>
      <c r="E801" s="6">
        <v>56.88</v>
      </c>
      <c r="F801" s="6">
        <f t="shared" si="61"/>
        <v>8759.52</v>
      </c>
      <c r="G801" t="s">
        <v>17</v>
      </c>
      <c r="H801">
        <v>9007</v>
      </c>
      <c r="I801" t="str">
        <f>IFERROR(_xlfn.XLOOKUP($A801,'Base SKUs'!$E:$E,'Base SKUs'!A:A),"")</f>
        <v>Ash</v>
      </c>
      <c r="J801" t="str">
        <f>IFERROR(_xlfn.XLOOKUP($A801,'Base SKUs'!$E:$E,'Base SKUs'!B:B),"")</f>
        <v>Ash 1x10</v>
      </c>
      <c r="K801" t="str">
        <f>IFERROR(_xlfn.XLOOKUP($A801,'Base SKUs'!$E:$E,'Base SKUs'!C:C),"")</f>
        <v>Long</v>
      </c>
      <c r="L801" t="str">
        <f>IFERROR(_xlfn.XLOOKUP($A801,'Base SKUs'!$E:$E,'Base SKUs'!D:D),"")</f>
        <v>Thermowood</v>
      </c>
      <c r="M801" t="str">
        <f>IFERROR(_xlfn.XLOOKUP($A801,'Base SKUs'!$E:$E,'Base SKUs'!G:G),"")</f>
        <v>Maximo Thermo Ash</v>
      </c>
      <c r="N801" t="str">
        <f>IFERROR(_xlfn.XLOOKUP($A801,'Base SKUs'!$E:$E,'Base SKUs'!H:H),"")</f>
        <v>S4S E4E</v>
      </c>
      <c r="O801" t="str">
        <f>IFERROR(_xlfn.XLOOKUP($A801,'Base SKUs'!$E:$E,'Base SKUs'!I:I),"")</f>
        <v>-</v>
      </c>
      <c r="P801" t="str">
        <f>IFERROR(_xlfn.XLOOKUP($A801,'Base SKUs'!$E:$E,'Base SKUs'!J:J),"")</f>
        <v>1x10</v>
      </c>
      <c r="Q801">
        <f>IFERROR(_xlfn.XLOOKUP($A801,'Base SKUs'!$E:$E,'Base SKUs'!K:K),"")</f>
        <v>9</v>
      </c>
      <c r="R801" s="7">
        <f>IFERROR(_xlfn.XLOOKUP($A801,'Base SKUs'!$E:$E,'Base SKUs'!S:S),"")</f>
        <v>1.35E-2</v>
      </c>
      <c r="S801" s="8">
        <f t="shared" si="62"/>
        <v>2.0790000000000002</v>
      </c>
      <c r="T801" s="7">
        <f>IFERROR(_xlfn.XLOOKUP($A801,'Base SKUs'!$E:$E,'Base SKUs'!R:R),"")</f>
        <v>656.16800000000001</v>
      </c>
      <c r="U801" s="15">
        <f t="shared" si="63"/>
        <v>1364</v>
      </c>
      <c r="V801" t="str">
        <f t="shared" si="64"/>
        <v>Miami</v>
      </c>
    </row>
    <row r="802" spans="1:22" x14ac:dyDescent="0.2">
      <c r="A802" t="s">
        <v>1120</v>
      </c>
      <c r="B802" s="5">
        <v>9</v>
      </c>
      <c r="C802" s="5">
        <v>0</v>
      </c>
      <c r="D802" s="5">
        <f t="shared" si="60"/>
        <v>9</v>
      </c>
      <c r="E802" s="6">
        <v>16.036899999999999</v>
      </c>
      <c r="F802" s="6">
        <f t="shared" si="61"/>
        <v>144.3321</v>
      </c>
      <c r="G802" t="s">
        <v>17</v>
      </c>
      <c r="H802">
        <v>9007</v>
      </c>
      <c r="I802" t="str">
        <f>IFERROR(_xlfn.XLOOKUP($A802,'Base SKUs'!$E:$E,'Base SKUs'!A:A),"")</f>
        <v>Ash</v>
      </c>
      <c r="J802" t="str">
        <f>IFERROR(_xlfn.XLOOKUP($A802,'Base SKUs'!$E:$E,'Base SKUs'!B:B),"")</f>
        <v>Ash 1x5 1/4</v>
      </c>
      <c r="K802" t="str">
        <f>IFERROR(_xlfn.XLOOKUP($A802,'Base SKUs'!$E:$E,'Base SKUs'!C:C),"")</f>
        <v>Short</v>
      </c>
      <c r="L802" t="str">
        <f>IFERROR(_xlfn.XLOOKUP($A802,'Base SKUs'!$E:$E,'Base SKUs'!D:D),"")</f>
        <v>Thermowood</v>
      </c>
      <c r="M802" t="str">
        <f>IFERROR(_xlfn.XLOOKUP($A802,'Base SKUs'!$E:$E,'Base SKUs'!G:G),"")</f>
        <v>Maximo Thermo Ash</v>
      </c>
      <c r="N802" t="str">
        <f>IFERROR(_xlfn.XLOOKUP($A802,'Base SKUs'!$E:$E,'Base SKUs'!H:H),"")</f>
        <v>S4S E4E</v>
      </c>
      <c r="O802" t="str">
        <f>IFERROR(_xlfn.XLOOKUP($A802,'Base SKUs'!$E:$E,'Base SKUs'!I:I),"")</f>
        <v>End Match</v>
      </c>
      <c r="P802" t="str">
        <f>IFERROR(_xlfn.XLOOKUP($A802,'Base SKUs'!$E:$E,'Base SKUs'!J:J),"")</f>
        <v>1x5 1/4</v>
      </c>
      <c r="Q802">
        <f>IFERROR(_xlfn.XLOOKUP($A802,'Base SKUs'!$E:$E,'Base SKUs'!K:K),"")</f>
        <v>6</v>
      </c>
      <c r="R802" s="7">
        <f>IFERROR(_xlfn.XLOOKUP($A802,'Base SKUs'!$E:$E,'Base SKUs'!S:S),"")</f>
        <v>4.9140000000000008E-3</v>
      </c>
      <c r="S802" s="8">
        <f t="shared" si="62"/>
        <v>4.4226000000000008E-2</v>
      </c>
      <c r="T802" s="7">
        <f>IFERROR(_xlfn.XLOOKUP($A802,'Base SKUs'!$E:$E,'Base SKUs'!R:R),"")</f>
        <v>1201.7729999999999</v>
      </c>
      <c r="U802" s="15">
        <f t="shared" si="63"/>
        <v>53</v>
      </c>
      <c r="V802" t="str">
        <f t="shared" si="64"/>
        <v>Miami</v>
      </c>
    </row>
    <row r="803" spans="1:22" x14ac:dyDescent="0.2">
      <c r="A803" t="s">
        <v>1122</v>
      </c>
      <c r="B803" s="5">
        <v>7</v>
      </c>
      <c r="C803" s="5">
        <v>0</v>
      </c>
      <c r="D803" s="5">
        <f t="shared" si="60"/>
        <v>7</v>
      </c>
      <c r="E803" s="6">
        <v>18.709800000000001</v>
      </c>
      <c r="F803" s="6">
        <f t="shared" si="61"/>
        <v>130.96860000000001</v>
      </c>
      <c r="G803" t="s">
        <v>17</v>
      </c>
      <c r="H803">
        <v>9007</v>
      </c>
      <c r="I803" t="str">
        <f>IFERROR(_xlfn.XLOOKUP($A803,'Base SKUs'!$E:$E,'Base SKUs'!A:A),"")</f>
        <v>Ash</v>
      </c>
      <c r="J803" t="str">
        <f>IFERROR(_xlfn.XLOOKUP($A803,'Base SKUs'!$E:$E,'Base SKUs'!B:B),"")</f>
        <v>Ash 1x5 1/4</v>
      </c>
      <c r="K803" t="str">
        <f>IFERROR(_xlfn.XLOOKUP($A803,'Base SKUs'!$E:$E,'Base SKUs'!C:C),"")</f>
        <v>Short</v>
      </c>
      <c r="L803" t="str">
        <f>IFERROR(_xlfn.XLOOKUP($A803,'Base SKUs'!$E:$E,'Base SKUs'!D:D),"")</f>
        <v>Thermowood</v>
      </c>
      <c r="M803" t="str">
        <f>IFERROR(_xlfn.XLOOKUP($A803,'Base SKUs'!$E:$E,'Base SKUs'!G:G),"")</f>
        <v>Maximo Thermo Ash</v>
      </c>
      <c r="N803" t="str">
        <f>IFERROR(_xlfn.XLOOKUP($A803,'Base SKUs'!$E:$E,'Base SKUs'!H:H),"")</f>
        <v>S4S E4E</v>
      </c>
      <c r="O803" t="str">
        <f>IFERROR(_xlfn.XLOOKUP($A803,'Base SKUs'!$E:$E,'Base SKUs'!I:I),"")</f>
        <v>End Match</v>
      </c>
      <c r="P803" t="str">
        <f>IFERROR(_xlfn.XLOOKUP($A803,'Base SKUs'!$E:$E,'Base SKUs'!J:J),"")</f>
        <v>1x5 1/4</v>
      </c>
      <c r="Q803">
        <f>IFERROR(_xlfn.XLOOKUP($A803,'Base SKUs'!$E:$E,'Base SKUs'!K:K),"")</f>
        <v>7</v>
      </c>
      <c r="R803" s="7">
        <f>IFERROR(_xlfn.XLOOKUP($A803,'Base SKUs'!$E:$E,'Base SKUs'!S:S),"")</f>
        <v>5.7329999999999994E-3</v>
      </c>
      <c r="S803" s="8">
        <f t="shared" si="62"/>
        <v>4.0130999999999993E-2</v>
      </c>
      <c r="T803" s="7">
        <f>IFERROR(_xlfn.XLOOKUP($A803,'Base SKUs'!$E:$E,'Base SKUs'!R:R),"")</f>
        <v>1201.7729999999999</v>
      </c>
      <c r="U803" s="15">
        <f t="shared" si="63"/>
        <v>48</v>
      </c>
      <c r="V803" t="str">
        <f t="shared" si="64"/>
        <v>Miami</v>
      </c>
    </row>
    <row r="804" spans="1:22" x14ac:dyDescent="0.2">
      <c r="A804" t="s">
        <v>1124</v>
      </c>
      <c r="B804" s="5">
        <v>222</v>
      </c>
      <c r="C804" s="5">
        <v>20</v>
      </c>
      <c r="D804" s="5">
        <f t="shared" si="60"/>
        <v>202</v>
      </c>
      <c r="E804" s="6">
        <v>28.715199999999999</v>
      </c>
      <c r="F804" s="6">
        <f t="shared" si="61"/>
        <v>6374.7744000000002</v>
      </c>
      <c r="G804" t="s">
        <v>17</v>
      </c>
      <c r="H804">
        <v>9007</v>
      </c>
      <c r="I804" t="str">
        <f>IFERROR(_xlfn.XLOOKUP($A804,'Base SKUs'!$E:$E,'Base SKUs'!A:A),"")</f>
        <v>Ash</v>
      </c>
      <c r="J804" t="str">
        <f>IFERROR(_xlfn.XLOOKUP($A804,'Base SKUs'!$E:$E,'Base SKUs'!B:B),"")</f>
        <v>Ash 1x6 Plus</v>
      </c>
      <c r="K804" t="str">
        <f>IFERROR(_xlfn.XLOOKUP($A804,'Base SKUs'!$E:$E,'Base SKUs'!C:C),"")</f>
        <v>Long</v>
      </c>
      <c r="L804" t="str">
        <f>IFERROR(_xlfn.XLOOKUP($A804,'Base SKUs'!$E:$E,'Base SKUs'!D:D),"")</f>
        <v>Thermowood</v>
      </c>
      <c r="M804" t="str">
        <f>IFERROR(_xlfn.XLOOKUP($A804,'Base SKUs'!$E:$E,'Base SKUs'!G:G),"")</f>
        <v>Maximo Thermo Ash</v>
      </c>
      <c r="N804" t="str">
        <f>IFERROR(_xlfn.XLOOKUP($A804,'Base SKUs'!$E:$E,'Base SKUs'!H:H),"")</f>
        <v>S4S E4E</v>
      </c>
      <c r="O804" t="str">
        <f>IFERROR(_xlfn.XLOOKUP($A804,'Base SKUs'!$E:$E,'Base SKUs'!I:I),"")</f>
        <v>End Match</v>
      </c>
      <c r="P804" t="str">
        <f>IFERROR(_xlfn.XLOOKUP($A804,'Base SKUs'!$E:$E,'Base SKUs'!J:J),"")</f>
        <v>1x6 Plus</v>
      </c>
      <c r="Q804">
        <f>IFERROR(_xlfn.XLOOKUP($A804,'Base SKUs'!$E:$E,'Base SKUs'!K:K),"")</f>
        <v>10</v>
      </c>
      <c r="R804" s="7">
        <f>IFERROR(_xlfn.XLOOKUP($A804,'Base SKUs'!$E:$E,'Base SKUs'!S:S),"")</f>
        <v>8.8199999999999997E-3</v>
      </c>
      <c r="S804" s="8">
        <f t="shared" si="62"/>
        <v>1.7816399999999999</v>
      </c>
      <c r="T804" s="7">
        <f>IFERROR(_xlfn.XLOOKUP($A804,'Base SKUs'!$E:$E,'Base SKUs'!R:R),"")</f>
        <v>1115.932</v>
      </c>
      <c r="U804" s="15">
        <f t="shared" si="63"/>
        <v>1988</v>
      </c>
      <c r="V804" t="str">
        <f t="shared" si="64"/>
        <v>Miami</v>
      </c>
    </row>
    <row r="805" spans="1:22" x14ac:dyDescent="0.2">
      <c r="A805" t="s">
        <v>1124</v>
      </c>
      <c r="B805" s="5">
        <v>239</v>
      </c>
      <c r="C805" s="5">
        <v>0</v>
      </c>
      <c r="D805" s="5">
        <f t="shared" si="60"/>
        <v>239</v>
      </c>
      <c r="E805" s="6">
        <v>27.46</v>
      </c>
      <c r="F805" s="6">
        <f t="shared" si="61"/>
        <v>6562.9400000000005</v>
      </c>
      <c r="G805" t="s">
        <v>24</v>
      </c>
      <c r="H805">
        <v>9008</v>
      </c>
      <c r="I805" t="str">
        <f>IFERROR(_xlfn.XLOOKUP($A805,'Base SKUs'!$E:$E,'Base SKUs'!A:A),"")</f>
        <v>Ash</v>
      </c>
      <c r="J805" t="str">
        <f>IFERROR(_xlfn.XLOOKUP($A805,'Base SKUs'!$E:$E,'Base SKUs'!B:B),"")</f>
        <v>Ash 1x6 Plus</v>
      </c>
      <c r="K805" t="str">
        <f>IFERROR(_xlfn.XLOOKUP($A805,'Base SKUs'!$E:$E,'Base SKUs'!C:C),"")</f>
        <v>Long</v>
      </c>
      <c r="L805" t="str">
        <f>IFERROR(_xlfn.XLOOKUP($A805,'Base SKUs'!$E:$E,'Base SKUs'!D:D),"")</f>
        <v>Thermowood</v>
      </c>
      <c r="M805" t="str">
        <f>IFERROR(_xlfn.XLOOKUP($A805,'Base SKUs'!$E:$E,'Base SKUs'!G:G),"")</f>
        <v>Maximo Thermo Ash</v>
      </c>
      <c r="N805" t="str">
        <f>IFERROR(_xlfn.XLOOKUP($A805,'Base SKUs'!$E:$E,'Base SKUs'!H:H),"")</f>
        <v>S4S E4E</v>
      </c>
      <c r="O805" t="str">
        <f>IFERROR(_xlfn.XLOOKUP($A805,'Base SKUs'!$E:$E,'Base SKUs'!I:I),"")</f>
        <v>End Match</v>
      </c>
      <c r="P805" t="str">
        <f>IFERROR(_xlfn.XLOOKUP($A805,'Base SKUs'!$E:$E,'Base SKUs'!J:J),"")</f>
        <v>1x6 Plus</v>
      </c>
      <c r="Q805">
        <f>IFERROR(_xlfn.XLOOKUP($A805,'Base SKUs'!$E:$E,'Base SKUs'!K:K),"")</f>
        <v>10</v>
      </c>
      <c r="R805" s="7">
        <f>IFERROR(_xlfn.XLOOKUP($A805,'Base SKUs'!$E:$E,'Base SKUs'!S:S),"")</f>
        <v>8.8199999999999997E-3</v>
      </c>
      <c r="S805" s="8">
        <f t="shared" si="62"/>
        <v>2.10798</v>
      </c>
      <c r="T805" s="7">
        <f>IFERROR(_xlfn.XLOOKUP($A805,'Base SKUs'!$E:$E,'Base SKUs'!R:R),"")</f>
        <v>1115.932</v>
      </c>
      <c r="U805" s="15">
        <f t="shared" si="63"/>
        <v>2352</v>
      </c>
      <c r="V805" t="str">
        <f t="shared" si="64"/>
        <v>Texas</v>
      </c>
    </row>
    <row r="806" spans="1:22" x14ac:dyDescent="0.2">
      <c r="A806" t="s">
        <v>1126</v>
      </c>
      <c r="B806" s="5">
        <v>401</v>
      </c>
      <c r="C806" s="5">
        <v>25</v>
      </c>
      <c r="D806" s="5">
        <f t="shared" si="60"/>
        <v>376</v>
      </c>
      <c r="E806" s="6">
        <v>31.371300000000002</v>
      </c>
      <c r="F806" s="6">
        <f t="shared" si="61"/>
        <v>12579.891300000001</v>
      </c>
      <c r="G806" t="s">
        <v>17</v>
      </c>
      <c r="H806">
        <v>9007</v>
      </c>
      <c r="I806" t="str">
        <f>IFERROR(_xlfn.XLOOKUP($A806,'Base SKUs'!$E:$E,'Base SKUs'!A:A),"")</f>
        <v>Ash</v>
      </c>
      <c r="J806" t="str">
        <f>IFERROR(_xlfn.XLOOKUP($A806,'Base SKUs'!$E:$E,'Base SKUs'!B:B),"")</f>
        <v>Ash 1x6 Plus</v>
      </c>
      <c r="K806" t="str">
        <f>IFERROR(_xlfn.XLOOKUP($A806,'Base SKUs'!$E:$E,'Base SKUs'!C:C),"")</f>
        <v>Long</v>
      </c>
      <c r="L806" t="str">
        <f>IFERROR(_xlfn.XLOOKUP($A806,'Base SKUs'!$E:$E,'Base SKUs'!D:D),"")</f>
        <v>Thermowood</v>
      </c>
      <c r="M806" t="str">
        <f>IFERROR(_xlfn.XLOOKUP($A806,'Base SKUs'!$E:$E,'Base SKUs'!G:G),"")</f>
        <v>Maximo Thermo Ash</v>
      </c>
      <c r="N806" t="str">
        <f>IFERROR(_xlfn.XLOOKUP($A806,'Base SKUs'!$E:$E,'Base SKUs'!H:H),"")</f>
        <v>S4S E4E</v>
      </c>
      <c r="O806" t="str">
        <f>IFERROR(_xlfn.XLOOKUP($A806,'Base SKUs'!$E:$E,'Base SKUs'!I:I),"")</f>
        <v>End Match</v>
      </c>
      <c r="P806" t="str">
        <f>IFERROR(_xlfn.XLOOKUP($A806,'Base SKUs'!$E:$E,'Base SKUs'!J:J),"")</f>
        <v>1x6 Plus</v>
      </c>
      <c r="Q806">
        <f>IFERROR(_xlfn.XLOOKUP($A806,'Base SKUs'!$E:$E,'Base SKUs'!K:K),"")</f>
        <v>11</v>
      </c>
      <c r="R806" s="7">
        <f>IFERROR(_xlfn.XLOOKUP($A806,'Base SKUs'!$E:$E,'Base SKUs'!S:S),"")</f>
        <v>9.7020000000000006E-3</v>
      </c>
      <c r="S806" s="8">
        <f t="shared" si="62"/>
        <v>3.6479520000000001</v>
      </c>
      <c r="T806" s="7">
        <f>IFERROR(_xlfn.XLOOKUP($A806,'Base SKUs'!$E:$E,'Base SKUs'!R:R),"")</f>
        <v>1115.932</v>
      </c>
      <c r="U806" s="15">
        <f t="shared" si="63"/>
        <v>4071</v>
      </c>
      <c r="V806" t="str">
        <f t="shared" si="64"/>
        <v>Miami</v>
      </c>
    </row>
    <row r="807" spans="1:22" x14ac:dyDescent="0.2">
      <c r="A807" t="s">
        <v>1126</v>
      </c>
      <c r="B807" s="5">
        <v>189</v>
      </c>
      <c r="C807" s="5">
        <v>0</v>
      </c>
      <c r="D807" s="5">
        <f t="shared" si="60"/>
        <v>189</v>
      </c>
      <c r="E807" s="6">
        <v>28.543700000000001</v>
      </c>
      <c r="F807" s="6">
        <f t="shared" si="61"/>
        <v>5394.7593000000006</v>
      </c>
      <c r="G807" t="s">
        <v>24</v>
      </c>
      <c r="H807">
        <v>9008</v>
      </c>
      <c r="I807" t="str">
        <f>IFERROR(_xlfn.XLOOKUP($A807,'Base SKUs'!$E:$E,'Base SKUs'!A:A),"")</f>
        <v>Ash</v>
      </c>
      <c r="J807" t="str">
        <f>IFERROR(_xlfn.XLOOKUP($A807,'Base SKUs'!$E:$E,'Base SKUs'!B:B),"")</f>
        <v>Ash 1x6 Plus</v>
      </c>
      <c r="K807" t="str">
        <f>IFERROR(_xlfn.XLOOKUP($A807,'Base SKUs'!$E:$E,'Base SKUs'!C:C),"")</f>
        <v>Long</v>
      </c>
      <c r="L807" t="str">
        <f>IFERROR(_xlfn.XLOOKUP($A807,'Base SKUs'!$E:$E,'Base SKUs'!D:D),"")</f>
        <v>Thermowood</v>
      </c>
      <c r="M807" t="str">
        <f>IFERROR(_xlfn.XLOOKUP($A807,'Base SKUs'!$E:$E,'Base SKUs'!G:G),"")</f>
        <v>Maximo Thermo Ash</v>
      </c>
      <c r="N807" t="str">
        <f>IFERROR(_xlfn.XLOOKUP($A807,'Base SKUs'!$E:$E,'Base SKUs'!H:H),"")</f>
        <v>S4S E4E</v>
      </c>
      <c r="O807" t="str">
        <f>IFERROR(_xlfn.XLOOKUP($A807,'Base SKUs'!$E:$E,'Base SKUs'!I:I),"")</f>
        <v>End Match</v>
      </c>
      <c r="P807" t="str">
        <f>IFERROR(_xlfn.XLOOKUP($A807,'Base SKUs'!$E:$E,'Base SKUs'!J:J),"")</f>
        <v>1x6 Plus</v>
      </c>
      <c r="Q807">
        <f>IFERROR(_xlfn.XLOOKUP($A807,'Base SKUs'!$E:$E,'Base SKUs'!K:K),"")</f>
        <v>11</v>
      </c>
      <c r="R807" s="7">
        <f>IFERROR(_xlfn.XLOOKUP($A807,'Base SKUs'!$E:$E,'Base SKUs'!S:S),"")</f>
        <v>9.7020000000000006E-3</v>
      </c>
      <c r="S807" s="8">
        <f t="shared" si="62"/>
        <v>1.8336780000000001</v>
      </c>
      <c r="T807" s="7">
        <f>IFERROR(_xlfn.XLOOKUP($A807,'Base SKUs'!$E:$E,'Base SKUs'!R:R),"")</f>
        <v>1115.932</v>
      </c>
      <c r="U807" s="15">
        <f t="shared" si="63"/>
        <v>2046</v>
      </c>
      <c r="V807" t="str">
        <f t="shared" si="64"/>
        <v>Texas</v>
      </c>
    </row>
    <row r="808" spans="1:22" x14ac:dyDescent="0.2">
      <c r="A808" t="s">
        <v>1128</v>
      </c>
      <c r="B808" s="5">
        <v>245</v>
      </c>
      <c r="C808" s="5">
        <v>11</v>
      </c>
      <c r="D808" s="5">
        <f t="shared" si="60"/>
        <v>234</v>
      </c>
      <c r="E808" s="6">
        <v>34.240200000000002</v>
      </c>
      <c r="F808" s="6">
        <f t="shared" si="61"/>
        <v>8388.8490000000002</v>
      </c>
      <c r="G808" t="s">
        <v>17</v>
      </c>
      <c r="H808">
        <v>9007</v>
      </c>
      <c r="I808" t="str">
        <f>IFERROR(_xlfn.XLOOKUP($A808,'Base SKUs'!$E:$E,'Base SKUs'!A:A),"")</f>
        <v>Ash</v>
      </c>
      <c r="J808" t="str">
        <f>IFERROR(_xlfn.XLOOKUP($A808,'Base SKUs'!$E:$E,'Base SKUs'!B:B),"")</f>
        <v>Ash 1x6 Plus</v>
      </c>
      <c r="K808" t="str">
        <f>IFERROR(_xlfn.XLOOKUP($A808,'Base SKUs'!$E:$E,'Base SKUs'!C:C),"")</f>
        <v>Long</v>
      </c>
      <c r="L808" t="str">
        <f>IFERROR(_xlfn.XLOOKUP($A808,'Base SKUs'!$E:$E,'Base SKUs'!D:D),"")</f>
        <v>Thermowood</v>
      </c>
      <c r="M808" t="str">
        <f>IFERROR(_xlfn.XLOOKUP($A808,'Base SKUs'!$E:$E,'Base SKUs'!G:G),"")</f>
        <v>Maximo Thermo Ash</v>
      </c>
      <c r="N808" t="str">
        <f>IFERROR(_xlfn.XLOOKUP($A808,'Base SKUs'!$E:$E,'Base SKUs'!H:H),"")</f>
        <v>S4S E4E</v>
      </c>
      <c r="O808" t="str">
        <f>IFERROR(_xlfn.XLOOKUP($A808,'Base SKUs'!$E:$E,'Base SKUs'!I:I),"")</f>
        <v>End Match</v>
      </c>
      <c r="P808" t="str">
        <f>IFERROR(_xlfn.XLOOKUP($A808,'Base SKUs'!$E:$E,'Base SKUs'!J:J),"")</f>
        <v>1x6 Plus</v>
      </c>
      <c r="Q808">
        <f>IFERROR(_xlfn.XLOOKUP($A808,'Base SKUs'!$E:$E,'Base SKUs'!K:K),"")</f>
        <v>12</v>
      </c>
      <c r="R808" s="7">
        <f>IFERROR(_xlfn.XLOOKUP($A808,'Base SKUs'!$E:$E,'Base SKUs'!S:S),"")</f>
        <v>1.0584000000000001E-2</v>
      </c>
      <c r="S808" s="8">
        <f t="shared" si="62"/>
        <v>2.4766560000000002</v>
      </c>
      <c r="T808" s="7">
        <f>IFERROR(_xlfn.XLOOKUP($A808,'Base SKUs'!$E:$E,'Base SKUs'!R:R),"")</f>
        <v>1115.932</v>
      </c>
      <c r="U808" s="15">
        <f t="shared" si="63"/>
        <v>2764</v>
      </c>
      <c r="V808" t="str">
        <f t="shared" si="64"/>
        <v>Miami</v>
      </c>
    </row>
    <row r="809" spans="1:22" x14ac:dyDescent="0.2">
      <c r="A809" t="s">
        <v>1128</v>
      </c>
      <c r="B809" s="5">
        <v>271</v>
      </c>
      <c r="C809" s="5">
        <v>0</v>
      </c>
      <c r="D809" s="5">
        <f t="shared" si="60"/>
        <v>271</v>
      </c>
      <c r="E809" s="6">
        <v>31.6723</v>
      </c>
      <c r="F809" s="6">
        <f t="shared" si="61"/>
        <v>8583.1933000000008</v>
      </c>
      <c r="G809" t="s">
        <v>24</v>
      </c>
      <c r="H809">
        <v>9008</v>
      </c>
      <c r="I809" t="str">
        <f>IFERROR(_xlfn.XLOOKUP($A809,'Base SKUs'!$E:$E,'Base SKUs'!A:A),"")</f>
        <v>Ash</v>
      </c>
      <c r="J809" t="str">
        <f>IFERROR(_xlfn.XLOOKUP($A809,'Base SKUs'!$E:$E,'Base SKUs'!B:B),"")</f>
        <v>Ash 1x6 Plus</v>
      </c>
      <c r="K809" t="str">
        <f>IFERROR(_xlfn.XLOOKUP($A809,'Base SKUs'!$E:$E,'Base SKUs'!C:C),"")</f>
        <v>Long</v>
      </c>
      <c r="L809" t="str">
        <f>IFERROR(_xlfn.XLOOKUP($A809,'Base SKUs'!$E:$E,'Base SKUs'!D:D),"")</f>
        <v>Thermowood</v>
      </c>
      <c r="M809" t="str">
        <f>IFERROR(_xlfn.XLOOKUP($A809,'Base SKUs'!$E:$E,'Base SKUs'!G:G),"")</f>
        <v>Maximo Thermo Ash</v>
      </c>
      <c r="N809" t="str">
        <f>IFERROR(_xlfn.XLOOKUP($A809,'Base SKUs'!$E:$E,'Base SKUs'!H:H),"")</f>
        <v>S4S E4E</v>
      </c>
      <c r="O809" t="str">
        <f>IFERROR(_xlfn.XLOOKUP($A809,'Base SKUs'!$E:$E,'Base SKUs'!I:I),"")</f>
        <v>End Match</v>
      </c>
      <c r="P809" t="str">
        <f>IFERROR(_xlfn.XLOOKUP($A809,'Base SKUs'!$E:$E,'Base SKUs'!J:J),"")</f>
        <v>1x6 Plus</v>
      </c>
      <c r="Q809">
        <f>IFERROR(_xlfn.XLOOKUP($A809,'Base SKUs'!$E:$E,'Base SKUs'!K:K),"")</f>
        <v>12</v>
      </c>
      <c r="R809" s="7">
        <f>IFERROR(_xlfn.XLOOKUP($A809,'Base SKUs'!$E:$E,'Base SKUs'!S:S),"")</f>
        <v>1.0584000000000001E-2</v>
      </c>
      <c r="S809" s="8">
        <f t="shared" si="62"/>
        <v>2.8682640000000004</v>
      </c>
      <c r="T809" s="7">
        <f>IFERROR(_xlfn.XLOOKUP($A809,'Base SKUs'!$E:$E,'Base SKUs'!R:R),"")</f>
        <v>1115.932</v>
      </c>
      <c r="U809" s="15">
        <f t="shared" si="63"/>
        <v>3201</v>
      </c>
      <c r="V809" t="str">
        <f t="shared" si="64"/>
        <v>Texas</v>
      </c>
    </row>
    <row r="810" spans="1:22" x14ac:dyDescent="0.2">
      <c r="A810" t="s">
        <v>1130</v>
      </c>
      <c r="B810" s="5">
        <v>575</v>
      </c>
      <c r="C810" s="5">
        <v>27</v>
      </c>
      <c r="D810" s="5">
        <f t="shared" si="60"/>
        <v>548</v>
      </c>
      <c r="E810" s="6">
        <v>36.967199999999998</v>
      </c>
      <c r="F810" s="6">
        <f t="shared" si="61"/>
        <v>21256.14</v>
      </c>
      <c r="G810" t="s">
        <v>17</v>
      </c>
      <c r="H810">
        <v>9007</v>
      </c>
      <c r="I810" t="str">
        <f>IFERROR(_xlfn.XLOOKUP($A810,'Base SKUs'!$E:$E,'Base SKUs'!A:A),"")</f>
        <v>Ash</v>
      </c>
      <c r="J810" t="str">
        <f>IFERROR(_xlfn.XLOOKUP($A810,'Base SKUs'!$E:$E,'Base SKUs'!B:B),"")</f>
        <v>Ash 1x6 Plus</v>
      </c>
      <c r="K810" t="str">
        <f>IFERROR(_xlfn.XLOOKUP($A810,'Base SKUs'!$E:$E,'Base SKUs'!C:C),"")</f>
        <v>Long</v>
      </c>
      <c r="L810" t="str">
        <f>IFERROR(_xlfn.XLOOKUP($A810,'Base SKUs'!$E:$E,'Base SKUs'!D:D),"")</f>
        <v>Thermowood</v>
      </c>
      <c r="M810" t="str">
        <f>IFERROR(_xlfn.XLOOKUP($A810,'Base SKUs'!$E:$E,'Base SKUs'!G:G),"")</f>
        <v>Maximo Thermo Ash</v>
      </c>
      <c r="N810" t="str">
        <f>IFERROR(_xlfn.XLOOKUP($A810,'Base SKUs'!$E:$E,'Base SKUs'!H:H),"")</f>
        <v>S4S E4E</v>
      </c>
      <c r="O810" t="str">
        <f>IFERROR(_xlfn.XLOOKUP($A810,'Base SKUs'!$E:$E,'Base SKUs'!I:I),"")</f>
        <v>End Match</v>
      </c>
      <c r="P810" t="str">
        <f>IFERROR(_xlfn.XLOOKUP($A810,'Base SKUs'!$E:$E,'Base SKUs'!J:J),"")</f>
        <v>1x6 Plus</v>
      </c>
      <c r="Q810">
        <f>IFERROR(_xlfn.XLOOKUP($A810,'Base SKUs'!$E:$E,'Base SKUs'!K:K),"")</f>
        <v>13</v>
      </c>
      <c r="R810" s="7">
        <f>IFERROR(_xlfn.XLOOKUP($A810,'Base SKUs'!$E:$E,'Base SKUs'!S:S),"")</f>
        <v>1.1465999999999997E-2</v>
      </c>
      <c r="S810" s="8">
        <f t="shared" si="62"/>
        <v>6.2833679999999985</v>
      </c>
      <c r="T810" s="7">
        <f>IFERROR(_xlfn.XLOOKUP($A810,'Base SKUs'!$E:$E,'Base SKUs'!R:R),"")</f>
        <v>1115.932</v>
      </c>
      <c r="U810" s="15">
        <f t="shared" si="63"/>
        <v>7012</v>
      </c>
      <c r="V810" t="str">
        <f t="shared" si="64"/>
        <v>Miami</v>
      </c>
    </row>
    <row r="811" spans="1:22" x14ac:dyDescent="0.2">
      <c r="A811" t="s">
        <v>1130</v>
      </c>
      <c r="B811" s="5">
        <v>118</v>
      </c>
      <c r="C811" s="5">
        <v>0</v>
      </c>
      <c r="D811" s="5">
        <f t="shared" si="60"/>
        <v>118</v>
      </c>
      <c r="E811" s="6">
        <v>36.307600000000001</v>
      </c>
      <c r="F811" s="6">
        <f t="shared" si="61"/>
        <v>4284.2968000000001</v>
      </c>
      <c r="G811" t="s">
        <v>24</v>
      </c>
      <c r="H811">
        <v>9008</v>
      </c>
      <c r="I811" t="str">
        <f>IFERROR(_xlfn.XLOOKUP($A811,'Base SKUs'!$E:$E,'Base SKUs'!A:A),"")</f>
        <v>Ash</v>
      </c>
      <c r="J811" t="str">
        <f>IFERROR(_xlfn.XLOOKUP($A811,'Base SKUs'!$E:$E,'Base SKUs'!B:B),"")</f>
        <v>Ash 1x6 Plus</v>
      </c>
      <c r="K811" t="str">
        <f>IFERROR(_xlfn.XLOOKUP($A811,'Base SKUs'!$E:$E,'Base SKUs'!C:C),"")</f>
        <v>Long</v>
      </c>
      <c r="L811" t="str">
        <f>IFERROR(_xlfn.XLOOKUP($A811,'Base SKUs'!$E:$E,'Base SKUs'!D:D),"")</f>
        <v>Thermowood</v>
      </c>
      <c r="M811" t="str">
        <f>IFERROR(_xlfn.XLOOKUP($A811,'Base SKUs'!$E:$E,'Base SKUs'!G:G),"")</f>
        <v>Maximo Thermo Ash</v>
      </c>
      <c r="N811" t="str">
        <f>IFERROR(_xlfn.XLOOKUP($A811,'Base SKUs'!$E:$E,'Base SKUs'!H:H),"")</f>
        <v>S4S E4E</v>
      </c>
      <c r="O811" t="str">
        <f>IFERROR(_xlfn.XLOOKUP($A811,'Base SKUs'!$E:$E,'Base SKUs'!I:I),"")</f>
        <v>End Match</v>
      </c>
      <c r="P811" t="str">
        <f>IFERROR(_xlfn.XLOOKUP($A811,'Base SKUs'!$E:$E,'Base SKUs'!J:J),"")</f>
        <v>1x6 Plus</v>
      </c>
      <c r="Q811">
        <f>IFERROR(_xlfn.XLOOKUP($A811,'Base SKUs'!$E:$E,'Base SKUs'!K:K),"")</f>
        <v>13</v>
      </c>
      <c r="R811" s="7">
        <f>IFERROR(_xlfn.XLOOKUP($A811,'Base SKUs'!$E:$E,'Base SKUs'!S:S),"")</f>
        <v>1.1465999999999997E-2</v>
      </c>
      <c r="S811" s="8">
        <f t="shared" si="62"/>
        <v>1.3529879999999996</v>
      </c>
      <c r="T811" s="7">
        <f>IFERROR(_xlfn.XLOOKUP($A811,'Base SKUs'!$E:$E,'Base SKUs'!R:R),"")</f>
        <v>1115.932</v>
      </c>
      <c r="U811" s="15">
        <f t="shared" si="63"/>
        <v>1510</v>
      </c>
      <c r="V811" t="str">
        <f t="shared" si="64"/>
        <v>Texas</v>
      </c>
    </row>
    <row r="812" spans="1:22" x14ac:dyDescent="0.2">
      <c r="A812" t="s">
        <v>1132</v>
      </c>
      <c r="B812" s="5">
        <v>78</v>
      </c>
      <c r="C812" s="5">
        <v>0</v>
      </c>
      <c r="D812" s="5">
        <f t="shared" si="60"/>
        <v>78</v>
      </c>
      <c r="E812" s="6">
        <v>39.1</v>
      </c>
      <c r="F812" s="6">
        <f t="shared" si="61"/>
        <v>3049.8</v>
      </c>
      <c r="G812" t="s">
        <v>24</v>
      </c>
      <c r="H812">
        <v>9008</v>
      </c>
      <c r="I812" t="str">
        <f>IFERROR(_xlfn.XLOOKUP($A812,'Base SKUs'!$E:$E,'Base SKUs'!A:A),"")</f>
        <v>Ash</v>
      </c>
      <c r="J812" t="str">
        <f>IFERROR(_xlfn.XLOOKUP($A812,'Base SKUs'!$E:$E,'Base SKUs'!B:B),"")</f>
        <v>Ash 1x6 Plus</v>
      </c>
      <c r="K812" t="str">
        <f>IFERROR(_xlfn.XLOOKUP($A812,'Base SKUs'!$E:$E,'Base SKUs'!C:C),"")</f>
        <v>Long</v>
      </c>
      <c r="L812" t="str">
        <f>IFERROR(_xlfn.XLOOKUP($A812,'Base SKUs'!$E:$E,'Base SKUs'!D:D),"")</f>
        <v>Thermowood</v>
      </c>
      <c r="M812" t="str">
        <f>IFERROR(_xlfn.XLOOKUP($A812,'Base SKUs'!$E:$E,'Base SKUs'!G:G),"")</f>
        <v>Maximo Thermo Ash</v>
      </c>
      <c r="N812" t="str">
        <f>IFERROR(_xlfn.XLOOKUP($A812,'Base SKUs'!$E:$E,'Base SKUs'!H:H),"")</f>
        <v>S4S E4E</v>
      </c>
      <c r="O812" t="str">
        <f>IFERROR(_xlfn.XLOOKUP($A812,'Base SKUs'!$E:$E,'Base SKUs'!I:I),"")</f>
        <v>End Match</v>
      </c>
      <c r="P812" t="str">
        <f>IFERROR(_xlfn.XLOOKUP($A812,'Base SKUs'!$E:$E,'Base SKUs'!J:J),"")</f>
        <v>1x6 Plus</v>
      </c>
      <c r="Q812">
        <f>IFERROR(_xlfn.XLOOKUP($A812,'Base SKUs'!$E:$E,'Base SKUs'!K:K),"")</f>
        <v>14</v>
      </c>
      <c r="R812" s="7">
        <f>IFERROR(_xlfn.XLOOKUP($A812,'Base SKUs'!$E:$E,'Base SKUs'!S:S),"")</f>
        <v>1.2348000000000001E-2</v>
      </c>
      <c r="S812" s="8">
        <f t="shared" si="62"/>
        <v>0.96314400000000011</v>
      </c>
      <c r="T812" s="7">
        <f>IFERROR(_xlfn.XLOOKUP($A812,'Base SKUs'!$E:$E,'Base SKUs'!R:R),"")</f>
        <v>1115.932</v>
      </c>
      <c r="U812" s="15">
        <f t="shared" si="63"/>
        <v>1075</v>
      </c>
      <c r="V812" t="str">
        <f t="shared" si="64"/>
        <v>Texas</v>
      </c>
    </row>
    <row r="813" spans="1:22" x14ac:dyDescent="0.2">
      <c r="A813" t="s">
        <v>1134</v>
      </c>
      <c r="B813" s="5">
        <v>73</v>
      </c>
      <c r="C813" s="5">
        <v>0</v>
      </c>
      <c r="D813" s="5">
        <f t="shared" si="60"/>
        <v>73</v>
      </c>
      <c r="E813" s="6">
        <v>44.6858</v>
      </c>
      <c r="F813" s="6">
        <f t="shared" si="61"/>
        <v>3262.0634</v>
      </c>
      <c r="G813" t="s">
        <v>24</v>
      </c>
      <c r="H813">
        <v>9008</v>
      </c>
      <c r="I813" t="str">
        <f>IFERROR(_xlfn.XLOOKUP($A813,'Base SKUs'!$E:$E,'Base SKUs'!A:A),"")</f>
        <v>Ash</v>
      </c>
      <c r="J813" t="str">
        <f>IFERROR(_xlfn.XLOOKUP($A813,'Base SKUs'!$E:$E,'Base SKUs'!B:B),"")</f>
        <v>Ash 1x6 Plus</v>
      </c>
      <c r="K813" t="str">
        <f>IFERROR(_xlfn.XLOOKUP($A813,'Base SKUs'!$E:$E,'Base SKUs'!C:C),"")</f>
        <v>Long</v>
      </c>
      <c r="L813" t="str">
        <f>IFERROR(_xlfn.XLOOKUP($A813,'Base SKUs'!$E:$E,'Base SKUs'!D:D),"")</f>
        <v>Thermowood</v>
      </c>
      <c r="M813" t="str">
        <f>IFERROR(_xlfn.XLOOKUP($A813,'Base SKUs'!$E:$E,'Base SKUs'!G:G),"")</f>
        <v>Maximo Thermo Ash</v>
      </c>
      <c r="N813" t="str">
        <f>IFERROR(_xlfn.XLOOKUP($A813,'Base SKUs'!$E:$E,'Base SKUs'!H:H),"")</f>
        <v>S4S E4E</v>
      </c>
      <c r="O813" t="str">
        <f>IFERROR(_xlfn.XLOOKUP($A813,'Base SKUs'!$E:$E,'Base SKUs'!I:I),"")</f>
        <v>End Match</v>
      </c>
      <c r="P813" t="str">
        <f>IFERROR(_xlfn.XLOOKUP($A813,'Base SKUs'!$E:$E,'Base SKUs'!J:J),"")</f>
        <v>1x6 Plus</v>
      </c>
      <c r="Q813">
        <f>IFERROR(_xlfn.XLOOKUP($A813,'Base SKUs'!$E:$E,'Base SKUs'!K:K),"")</f>
        <v>16</v>
      </c>
      <c r="R813" s="7">
        <f>IFERROR(_xlfn.XLOOKUP($A813,'Base SKUs'!$E:$E,'Base SKUs'!S:S),"")</f>
        <v>1.4112E-2</v>
      </c>
      <c r="S813" s="8">
        <f t="shared" si="62"/>
        <v>1.030176</v>
      </c>
      <c r="T813" s="7">
        <f>IFERROR(_xlfn.XLOOKUP($A813,'Base SKUs'!$E:$E,'Base SKUs'!R:R),"")</f>
        <v>1115.932</v>
      </c>
      <c r="U813" s="15">
        <f t="shared" si="63"/>
        <v>1150</v>
      </c>
      <c r="V813" t="str">
        <f t="shared" si="64"/>
        <v>Texas</v>
      </c>
    </row>
    <row r="814" spans="1:22" x14ac:dyDescent="0.2">
      <c r="A814" t="s">
        <v>1136</v>
      </c>
      <c r="B814" s="5">
        <v>806</v>
      </c>
      <c r="C814" s="5">
        <v>45</v>
      </c>
      <c r="D814" s="5">
        <f t="shared" si="60"/>
        <v>761</v>
      </c>
      <c r="E814" s="6">
        <v>17.25</v>
      </c>
      <c r="F814" s="6">
        <f t="shared" si="61"/>
        <v>13903.5</v>
      </c>
      <c r="G814" t="s">
        <v>17</v>
      </c>
      <c r="H814">
        <v>9007</v>
      </c>
      <c r="I814" t="str">
        <f>IFERROR(_xlfn.XLOOKUP($A814,'Base SKUs'!$E:$E,'Base SKUs'!A:A),"")</f>
        <v>Ash</v>
      </c>
      <c r="J814" t="str">
        <f>IFERROR(_xlfn.XLOOKUP($A814,'Base SKUs'!$E:$E,'Base SKUs'!B:B),"")</f>
        <v>Ash 1x6 Plus</v>
      </c>
      <c r="K814" t="str">
        <f>IFERROR(_xlfn.XLOOKUP($A814,'Base SKUs'!$E:$E,'Base SKUs'!C:C),"")</f>
        <v>Short</v>
      </c>
      <c r="L814" t="str">
        <f>IFERROR(_xlfn.XLOOKUP($A814,'Base SKUs'!$E:$E,'Base SKUs'!D:D),"")</f>
        <v>Thermowood</v>
      </c>
      <c r="M814" t="str">
        <f>IFERROR(_xlfn.XLOOKUP($A814,'Base SKUs'!$E:$E,'Base SKUs'!G:G),"")</f>
        <v>Maximo Thermo Ash</v>
      </c>
      <c r="N814" t="str">
        <f>IFERROR(_xlfn.XLOOKUP($A814,'Base SKUs'!$E:$E,'Base SKUs'!H:H),"")</f>
        <v>S4S E4E</v>
      </c>
      <c r="O814" t="str">
        <f>IFERROR(_xlfn.XLOOKUP($A814,'Base SKUs'!$E:$E,'Base SKUs'!I:I),"")</f>
        <v>End Match</v>
      </c>
      <c r="P814" t="str">
        <f>IFERROR(_xlfn.XLOOKUP($A814,'Base SKUs'!$E:$E,'Base SKUs'!J:J),"")</f>
        <v>1x6 Plus</v>
      </c>
      <c r="Q814">
        <f>IFERROR(_xlfn.XLOOKUP($A814,'Base SKUs'!$E:$E,'Base SKUs'!K:K),"")</f>
        <v>6</v>
      </c>
      <c r="R814" s="7">
        <f>IFERROR(_xlfn.XLOOKUP($A814,'Base SKUs'!$E:$E,'Base SKUs'!S:S),"")</f>
        <v>5.2920000000000007E-3</v>
      </c>
      <c r="S814" s="8">
        <f t="shared" si="62"/>
        <v>4.0272120000000005</v>
      </c>
      <c r="T814" s="7">
        <f>IFERROR(_xlfn.XLOOKUP($A814,'Base SKUs'!$E:$E,'Base SKUs'!R:R),"")</f>
        <v>1115.932</v>
      </c>
      <c r="U814" s="15">
        <f t="shared" si="63"/>
        <v>4494</v>
      </c>
      <c r="V814" t="str">
        <f t="shared" si="64"/>
        <v>Miami</v>
      </c>
    </row>
    <row r="815" spans="1:22" x14ac:dyDescent="0.2">
      <c r="A815" t="s">
        <v>1136</v>
      </c>
      <c r="B815" s="5">
        <v>1068</v>
      </c>
      <c r="C815" s="5">
        <v>0</v>
      </c>
      <c r="D815" s="5">
        <f t="shared" si="60"/>
        <v>1068</v>
      </c>
      <c r="E815" s="6">
        <v>19.529599999999999</v>
      </c>
      <c r="F815" s="6">
        <f t="shared" si="61"/>
        <v>20857.612799999999</v>
      </c>
      <c r="G815" t="s">
        <v>24</v>
      </c>
      <c r="H815">
        <v>9008</v>
      </c>
      <c r="I815" t="str">
        <f>IFERROR(_xlfn.XLOOKUP($A815,'Base SKUs'!$E:$E,'Base SKUs'!A:A),"")</f>
        <v>Ash</v>
      </c>
      <c r="J815" t="str">
        <f>IFERROR(_xlfn.XLOOKUP($A815,'Base SKUs'!$E:$E,'Base SKUs'!B:B),"")</f>
        <v>Ash 1x6 Plus</v>
      </c>
      <c r="K815" t="str">
        <f>IFERROR(_xlfn.XLOOKUP($A815,'Base SKUs'!$E:$E,'Base SKUs'!C:C),"")</f>
        <v>Short</v>
      </c>
      <c r="L815" t="str">
        <f>IFERROR(_xlfn.XLOOKUP($A815,'Base SKUs'!$E:$E,'Base SKUs'!D:D),"")</f>
        <v>Thermowood</v>
      </c>
      <c r="M815" t="str">
        <f>IFERROR(_xlfn.XLOOKUP($A815,'Base SKUs'!$E:$E,'Base SKUs'!G:G),"")</f>
        <v>Maximo Thermo Ash</v>
      </c>
      <c r="N815" t="str">
        <f>IFERROR(_xlfn.XLOOKUP($A815,'Base SKUs'!$E:$E,'Base SKUs'!H:H),"")</f>
        <v>S4S E4E</v>
      </c>
      <c r="O815" t="str">
        <f>IFERROR(_xlfn.XLOOKUP($A815,'Base SKUs'!$E:$E,'Base SKUs'!I:I),"")</f>
        <v>End Match</v>
      </c>
      <c r="P815" t="str">
        <f>IFERROR(_xlfn.XLOOKUP($A815,'Base SKUs'!$E:$E,'Base SKUs'!J:J),"")</f>
        <v>1x6 Plus</v>
      </c>
      <c r="Q815">
        <f>IFERROR(_xlfn.XLOOKUP($A815,'Base SKUs'!$E:$E,'Base SKUs'!K:K),"")</f>
        <v>6</v>
      </c>
      <c r="R815" s="7">
        <f>IFERROR(_xlfn.XLOOKUP($A815,'Base SKUs'!$E:$E,'Base SKUs'!S:S),"")</f>
        <v>5.2920000000000007E-3</v>
      </c>
      <c r="S815" s="8">
        <f t="shared" si="62"/>
        <v>5.6518560000000004</v>
      </c>
      <c r="T815" s="7">
        <f>IFERROR(_xlfn.XLOOKUP($A815,'Base SKUs'!$E:$E,'Base SKUs'!R:R),"")</f>
        <v>1115.932</v>
      </c>
      <c r="U815" s="15">
        <f t="shared" si="63"/>
        <v>6307</v>
      </c>
      <c r="V815" t="str">
        <f t="shared" si="64"/>
        <v>Texas</v>
      </c>
    </row>
    <row r="816" spans="1:22" x14ac:dyDescent="0.2">
      <c r="A816" t="s">
        <v>1138</v>
      </c>
      <c r="B816" s="5">
        <v>1499</v>
      </c>
      <c r="C816" s="5">
        <v>56</v>
      </c>
      <c r="D816" s="5">
        <f t="shared" si="60"/>
        <v>1443</v>
      </c>
      <c r="E816" s="6">
        <v>20.091100000000001</v>
      </c>
      <c r="F816" s="6">
        <f t="shared" si="61"/>
        <v>30116.5589</v>
      </c>
      <c r="G816" t="s">
        <v>17</v>
      </c>
      <c r="H816">
        <v>9007</v>
      </c>
      <c r="I816" t="str">
        <f>IFERROR(_xlfn.XLOOKUP($A816,'Base SKUs'!$E:$E,'Base SKUs'!A:A),"")</f>
        <v>Ash</v>
      </c>
      <c r="J816" t="str">
        <f>IFERROR(_xlfn.XLOOKUP($A816,'Base SKUs'!$E:$E,'Base SKUs'!B:B),"")</f>
        <v>Ash 1x6 Plus</v>
      </c>
      <c r="K816" t="str">
        <f>IFERROR(_xlfn.XLOOKUP($A816,'Base SKUs'!$E:$E,'Base SKUs'!C:C),"")</f>
        <v>Short</v>
      </c>
      <c r="L816" t="str">
        <f>IFERROR(_xlfn.XLOOKUP($A816,'Base SKUs'!$E:$E,'Base SKUs'!D:D),"")</f>
        <v>Thermowood</v>
      </c>
      <c r="M816" t="str">
        <f>IFERROR(_xlfn.XLOOKUP($A816,'Base SKUs'!$E:$E,'Base SKUs'!G:G),"")</f>
        <v>Maximo Thermo Ash</v>
      </c>
      <c r="N816" t="str">
        <f>IFERROR(_xlfn.XLOOKUP($A816,'Base SKUs'!$E:$E,'Base SKUs'!H:H),"")</f>
        <v>S4S E4E</v>
      </c>
      <c r="O816" t="str">
        <f>IFERROR(_xlfn.XLOOKUP($A816,'Base SKUs'!$E:$E,'Base SKUs'!I:I),"")</f>
        <v>End Match</v>
      </c>
      <c r="P816" t="str">
        <f>IFERROR(_xlfn.XLOOKUP($A816,'Base SKUs'!$E:$E,'Base SKUs'!J:J),"")</f>
        <v>1x6 Plus</v>
      </c>
      <c r="Q816">
        <f>IFERROR(_xlfn.XLOOKUP($A816,'Base SKUs'!$E:$E,'Base SKUs'!K:K),"")</f>
        <v>7</v>
      </c>
      <c r="R816" s="7">
        <f>IFERROR(_xlfn.XLOOKUP($A816,'Base SKUs'!$E:$E,'Base SKUs'!S:S),"")</f>
        <v>6.1740000000000007E-3</v>
      </c>
      <c r="S816" s="8">
        <f t="shared" si="62"/>
        <v>8.9090820000000015</v>
      </c>
      <c r="T816" s="7">
        <f>IFERROR(_xlfn.XLOOKUP($A816,'Base SKUs'!$E:$E,'Base SKUs'!R:R),"")</f>
        <v>1115.932</v>
      </c>
      <c r="U816" s="15">
        <f t="shared" si="63"/>
        <v>9942</v>
      </c>
      <c r="V816" t="str">
        <f t="shared" si="64"/>
        <v>Miami</v>
      </c>
    </row>
    <row r="817" spans="1:22" x14ac:dyDescent="0.2">
      <c r="A817" t="s">
        <v>1138</v>
      </c>
      <c r="B817" s="5">
        <v>1968</v>
      </c>
      <c r="C817" s="5">
        <v>0</v>
      </c>
      <c r="D817" s="5">
        <f t="shared" si="60"/>
        <v>1968</v>
      </c>
      <c r="E817" s="6">
        <v>20.983699999999999</v>
      </c>
      <c r="F817" s="6">
        <f t="shared" si="61"/>
        <v>41295.921600000001</v>
      </c>
      <c r="G817" t="s">
        <v>24</v>
      </c>
      <c r="H817">
        <v>9008</v>
      </c>
      <c r="I817" t="str">
        <f>IFERROR(_xlfn.XLOOKUP($A817,'Base SKUs'!$E:$E,'Base SKUs'!A:A),"")</f>
        <v>Ash</v>
      </c>
      <c r="J817" t="str">
        <f>IFERROR(_xlfn.XLOOKUP($A817,'Base SKUs'!$E:$E,'Base SKUs'!B:B),"")</f>
        <v>Ash 1x6 Plus</v>
      </c>
      <c r="K817" t="str">
        <f>IFERROR(_xlfn.XLOOKUP($A817,'Base SKUs'!$E:$E,'Base SKUs'!C:C),"")</f>
        <v>Short</v>
      </c>
      <c r="L817" t="str">
        <f>IFERROR(_xlfn.XLOOKUP($A817,'Base SKUs'!$E:$E,'Base SKUs'!D:D),"")</f>
        <v>Thermowood</v>
      </c>
      <c r="M817" t="str">
        <f>IFERROR(_xlfn.XLOOKUP($A817,'Base SKUs'!$E:$E,'Base SKUs'!G:G),"")</f>
        <v>Maximo Thermo Ash</v>
      </c>
      <c r="N817" t="str">
        <f>IFERROR(_xlfn.XLOOKUP($A817,'Base SKUs'!$E:$E,'Base SKUs'!H:H),"")</f>
        <v>S4S E4E</v>
      </c>
      <c r="O817" t="str">
        <f>IFERROR(_xlfn.XLOOKUP($A817,'Base SKUs'!$E:$E,'Base SKUs'!I:I),"")</f>
        <v>End Match</v>
      </c>
      <c r="P817" t="str">
        <f>IFERROR(_xlfn.XLOOKUP($A817,'Base SKUs'!$E:$E,'Base SKUs'!J:J),"")</f>
        <v>1x6 Plus</v>
      </c>
      <c r="Q817">
        <f>IFERROR(_xlfn.XLOOKUP($A817,'Base SKUs'!$E:$E,'Base SKUs'!K:K),"")</f>
        <v>7</v>
      </c>
      <c r="R817" s="7">
        <f>IFERROR(_xlfn.XLOOKUP($A817,'Base SKUs'!$E:$E,'Base SKUs'!S:S),"")</f>
        <v>6.1740000000000007E-3</v>
      </c>
      <c r="S817" s="8">
        <f t="shared" si="62"/>
        <v>12.150432000000002</v>
      </c>
      <c r="T817" s="7">
        <f>IFERROR(_xlfn.XLOOKUP($A817,'Base SKUs'!$E:$E,'Base SKUs'!R:R),"")</f>
        <v>1115.932</v>
      </c>
      <c r="U817" s="15">
        <f t="shared" si="63"/>
        <v>13559</v>
      </c>
      <c r="V817" t="str">
        <f t="shared" si="64"/>
        <v>Texas</v>
      </c>
    </row>
    <row r="818" spans="1:22" x14ac:dyDescent="0.2">
      <c r="A818" t="s">
        <v>1140</v>
      </c>
      <c r="B818" s="5">
        <v>1175</v>
      </c>
      <c r="C818" s="5">
        <v>48</v>
      </c>
      <c r="D818" s="5">
        <f t="shared" si="60"/>
        <v>1127</v>
      </c>
      <c r="E818" s="6">
        <v>22.894100000000002</v>
      </c>
      <c r="F818" s="6">
        <f t="shared" si="61"/>
        <v>26900.567500000001</v>
      </c>
      <c r="G818" t="s">
        <v>17</v>
      </c>
      <c r="H818">
        <v>9007</v>
      </c>
      <c r="I818" t="str">
        <f>IFERROR(_xlfn.XLOOKUP($A818,'Base SKUs'!$E:$E,'Base SKUs'!A:A),"")</f>
        <v>Ash</v>
      </c>
      <c r="J818" t="str">
        <f>IFERROR(_xlfn.XLOOKUP($A818,'Base SKUs'!$E:$E,'Base SKUs'!B:B),"")</f>
        <v>Ash 1x6 Plus</v>
      </c>
      <c r="K818" t="str">
        <f>IFERROR(_xlfn.XLOOKUP($A818,'Base SKUs'!$E:$E,'Base SKUs'!C:C),"")</f>
        <v>Long</v>
      </c>
      <c r="L818" t="str">
        <f>IFERROR(_xlfn.XLOOKUP($A818,'Base SKUs'!$E:$E,'Base SKUs'!D:D),"")</f>
        <v>Thermowood</v>
      </c>
      <c r="M818" t="str">
        <f>IFERROR(_xlfn.XLOOKUP($A818,'Base SKUs'!$E:$E,'Base SKUs'!G:G),"")</f>
        <v>Maximo Thermo Ash</v>
      </c>
      <c r="N818" t="str">
        <f>IFERROR(_xlfn.XLOOKUP($A818,'Base SKUs'!$E:$E,'Base SKUs'!H:H),"")</f>
        <v>S4S E4E</v>
      </c>
      <c r="O818" t="str">
        <f>IFERROR(_xlfn.XLOOKUP($A818,'Base SKUs'!$E:$E,'Base SKUs'!I:I),"")</f>
        <v>End Match</v>
      </c>
      <c r="P818" t="str">
        <f>IFERROR(_xlfn.XLOOKUP($A818,'Base SKUs'!$E:$E,'Base SKUs'!J:J),"")</f>
        <v>1x6 Plus</v>
      </c>
      <c r="Q818">
        <f>IFERROR(_xlfn.XLOOKUP($A818,'Base SKUs'!$E:$E,'Base SKUs'!K:K),"")</f>
        <v>8</v>
      </c>
      <c r="R818" s="7">
        <f>IFERROR(_xlfn.XLOOKUP($A818,'Base SKUs'!$E:$E,'Base SKUs'!S:S),"")</f>
        <v>7.0559999999999998E-3</v>
      </c>
      <c r="S818" s="8">
        <f t="shared" si="62"/>
        <v>7.9521119999999996</v>
      </c>
      <c r="T818" s="7">
        <f>IFERROR(_xlfn.XLOOKUP($A818,'Base SKUs'!$E:$E,'Base SKUs'!R:R),"")</f>
        <v>1115.932</v>
      </c>
      <c r="U818" s="15">
        <f t="shared" si="63"/>
        <v>8874</v>
      </c>
      <c r="V818" t="str">
        <f t="shared" si="64"/>
        <v>Miami</v>
      </c>
    </row>
    <row r="819" spans="1:22" x14ac:dyDescent="0.2">
      <c r="A819" t="s">
        <v>1140</v>
      </c>
      <c r="B819" s="5">
        <v>1649</v>
      </c>
      <c r="C819" s="5">
        <v>0</v>
      </c>
      <c r="D819" s="5">
        <f t="shared" si="60"/>
        <v>1649</v>
      </c>
      <c r="E819" s="6">
        <v>23.126999999999999</v>
      </c>
      <c r="F819" s="6">
        <f t="shared" si="61"/>
        <v>38136.422999999995</v>
      </c>
      <c r="G819" t="s">
        <v>24</v>
      </c>
      <c r="H819">
        <v>9008</v>
      </c>
      <c r="I819" t="str">
        <f>IFERROR(_xlfn.XLOOKUP($A819,'Base SKUs'!$E:$E,'Base SKUs'!A:A),"")</f>
        <v>Ash</v>
      </c>
      <c r="J819" t="str">
        <f>IFERROR(_xlfn.XLOOKUP($A819,'Base SKUs'!$E:$E,'Base SKUs'!B:B),"")</f>
        <v>Ash 1x6 Plus</v>
      </c>
      <c r="K819" t="str">
        <f>IFERROR(_xlfn.XLOOKUP($A819,'Base SKUs'!$E:$E,'Base SKUs'!C:C),"")</f>
        <v>Long</v>
      </c>
      <c r="L819" t="str">
        <f>IFERROR(_xlfn.XLOOKUP($A819,'Base SKUs'!$E:$E,'Base SKUs'!D:D),"")</f>
        <v>Thermowood</v>
      </c>
      <c r="M819" t="str">
        <f>IFERROR(_xlfn.XLOOKUP($A819,'Base SKUs'!$E:$E,'Base SKUs'!G:G),"")</f>
        <v>Maximo Thermo Ash</v>
      </c>
      <c r="N819" t="str">
        <f>IFERROR(_xlfn.XLOOKUP($A819,'Base SKUs'!$E:$E,'Base SKUs'!H:H),"")</f>
        <v>S4S E4E</v>
      </c>
      <c r="O819" t="str">
        <f>IFERROR(_xlfn.XLOOKUP($A819,'Base SKUs'!$E:$E,'Base SKUs'!I:I),"")</f>
        <v>End Match</v>
      </c>
      <c r="P819" t="str">
        <f>IFERROR(_xlfn.XLOOKUP($A819,'Base SKUs'!$E:$E,'Base SKUs'!J:J),"")</f>
        <v>1x6 Plus</v>
      </c>
      <c r="Q819">
        <f>IFERROR(_xlfn.XLOOKUP($A819,'Base SKUs'!$E:$E,'Base SKUs'!K:K),"")</f>
        <v>8</v>
      </c>
      <c r="R819" s="7">
        <f>IFERROR(_xlfn.XLOOKUP($A819,'Base SKUs'!$E:$E,'Base SKUs'!S:S),"")</f>
        <v>7.0559999999999998E-3</v>
      </c>
      <c r="S819" s="8">
        <f t="shared" si="62"/>
        <v>11.635344</v>
      </c>
      <c r="T819" s="7">
        <f>IFERROR(_xlfn.XLOOKUP($A819,'Base SKUs'!$E:$E,'Base SKUs'!R:R),"")</f>
        <v>1115.932</v>
      </c>
      <c r="U819" s="15">
        <f t="shared" si="63"/>
        <v>12984</v>
      </c>
      <c r="V819" t="str">
        <f t="shared" si="64"/>
        <v>Texas</v>
      </c>
    </row>
    <row r="820" spans="1:22" x14ac:dyDescent="0.2">
      <c r="A820" t="s">
        <v>1142</v>
      </c>
      <c r="B820" s="5">
        <v>1637</v>
      </c>
      <c r="C820" s="5">
        <v>70</v>
      </c>
      <c r="D820" s="5">
        <f t="shared" si="60"/>
        <v>1567</v>
      </c>
      <c r="E820" s="6">
        <v>25.775300000000001</v>
      </c>
      <c r="F820" s="6">
        <f t="shared" si="61"/>
        <v>42194.166100000002</v>
      </c>
      <c r="G820" t="s">
        <v>17</v>
      </c>
      <c r="H820">
        <v>9007</v>
      </c>
      <c r="I820" t="str">
        <f>IFERROR(_xlfn.XLOOKUP($A820,'Base SKUs'!$E:$E,'Base SKUs'!A:A),"")</f>
        <v>Ash</v>
      </c>
      <c r="J820" t="str">
        <f>IFERROR(_xlfn.XLOOKUP($A820,'Base SKUs'!$E:$E,'Base SKUs'!B:B),"")</f>
        <v>Ash 1x6 Plus</v>
      </c>
      <c r="K820" t="str">
        <f>IFERROR(_xlfn.XLOOKUP($A820,'Base SKUs'!$E:$E,'Base SKUs'!C:C),"")</f>
        <v>Long</v>
      </c>
      <c r="L820" t="str">
        <f>IFERROR(_xlfn.XLOOKUP($A820,'Base SKUs'!$E:$E,'Base SKUs'!D:D),"")</f>
        <v>Thermowood</v>
      </c>
      <c r="M820" t="str">
        <f>IFERROR(_xlfn.XLOOKUP($A820,'Base SKUs'!$E:$E,'Base SKUs'!G:G),"")</f>
        <v>Maximo Thermo Ash</v>
      </c>
      <c r="N820" t="str">
        <f>IFERROR(_xlfn.XLOOKUP($A820,'Base SKUs'!$E:$E,'Base SKUs'!H:H),"")</f>
        <v>S4S E4E</v>
      </c>
      <c r="O820" t="str">
        <f>IFERROR(_xlfn.XLOOKUP($A820,'Base SKUs'!$E:$E,'Base SKUs'!I:I),"")</f>
        <v>End Match</v>
      </c>
      <c r="P820" t="str">
        <f>IFERROR(_xlfn.XLOOKUP($A820,'Base SKUs'!$E:$E,'Base SKUs'!J:J),"")</f>
        <v>1x6 Plus</v>
      </c>
      <c r="Q820">
        <f>IFERROR(_xlfn.XLOOKUP($A820,'Base SKUs'!$E:$E,'Base SKUs'!K:K),"")</f>
        <v>9</v>
      </c>
      <c r="R820" s="7">
        <f>IFERROR(_xlfn.XLOOKUP($A820,'Base SKUs'!$E:$E,'Base SKUs'!S:S),"")</f>
        <v>7.9379999999999989E-3</v>
      </c>
      <c r="S820" s="8">
        <f t="shared" si="62"/>
        <v>12.438845999999998</v>
      </c>
      <c r="T820" s="7">
        <f>IFERROR(_xlfn.XLOOKUP($A820,'Base SKUs'!$E:$E,'Base SKUs'!R:R),"")</f>
        <v>1115.932</v>
      </c>
      <c r="U820" s="15">
        <f t="shared" si="63"/>
        <v>13881</v>
      </c>
      <c r="V820" t="str">
        <f t="shared" si="64"/>
        <v>Miami</v>
      </c>
    </row>
    <row r="821" spans="1:22" x14ac:dyDescent="0.2">
      <c r="A821" t="s">
        <v>1142</v>
      </c>
      <c r="B821" s="5">
        <v>1590</v>
      </c>
      <c r="C821" s="5">
        <v>10</v>
      </c>
      <c r="D821" s="5">
        <f t="shared" si="60"/>
        <v>1580</v>
      </c>
      <c r="E821" s="6">
        <v>24.804200000000002</v>
      </c>
      <c r="F821" s="6">
        <f t="shared" si="61"/>
        <v>39438.678</v>
      </c>
      <c r="G821" t="s">
        <v>24</v>
      </c>
      <c r="H821">
        <v>9008</v>
      </c>
      <c r="I821" t="str">
        <f>IFERROR(_xlfn.XLOOKUP($A821,'Base SKUs'!$E:$E,'Base SKUs'!A:A),"")</f>
        <v>Ash</v>
      </c>
      <c r="J821" t="str">
        <f>IFERROR(_xlfn.XLOOKUP($A821,'Base SKUs'!$E:$E,'Base SKUs'!B:B),"")</f>
        <v>Ash 1x6 Plus</v>
      </c>
      <c r="K821" t="str">
        <f>IFERROR(_xlfn.XLOOKUP($A821,'Base SKUs'!$E:$E,'Base SKUs'!C:C),"")</f>
        <v>Long</v>
      </c>
      <c r="L821" t="str">
        <f>IFERROR(_xlfn.XLOOKUP($A821,'Base SKUs'!$E:$E,'Base SKUs'!D:D),"")</f>
        <v>Thermowood</v>
      </c>
      <c r="M821" t="str">
        <f>IFERROR(_xlfn.XLOOKUP($A821,'Base SKUs'!$E:$E,'Base SKUs'!G:G),"")</f>
        <v>Maximo Thermo Ash</v>
      </c>
      <c r="N821" t="str">
        <f>IFERROR(_xlfn.XLOOKUP($A821,'Base SKUs'!$E:$E,'Base SKUs'!H:H),"")</f>
        <v>S4S E4E</v>
      </c>
      <c r="O821" t="str">
        <f>IFERROR(_xlfn.XLOOKUP($A821,'Base SKUs'!$E:$E,'Base SKUs'!I:I),"")</f>
        <v>End Match</v>
      </c>
      <c r="P821" t="str">
        <f>IFERROR(_xlfn.XLOOKUP($A821,'Base SKUs'!$E:$E,'Base SKUs'!J:J),"")</f>
        <v>1x6 Plus</v>
      </c>
      <c r="Q821">
        <f>IFERROR(_xlfn.XLOOKUP($A821,'Base SKUs'!$E:$E,'Base SKUs'!K:K),"")</f>
        <v>9</v>
      </c>
      <c r="R821" s="7">
        <f>IFERROR(_xlfn.XLOOKUP($A821,'Base SKUs'!$E:$E,'Base SKUs'!S:S),"")</f>
        <v>7.9379999999999989E-3</v>
      </c>
      <c r="S821" s="8">
        <f t="shared" si="62"/>
        <v>12.542039999999998</v>
      </c>
      <c r="T821" s="7">
        <f>IFERROR(_xlfn.XLOOKUP($A821,'Base SKUs'!$E:$E,'Base SKUs'!R:R),"")</f>
        <v>1115.932</v>
      </c>
      <c r="U821" s="15">
        <f t="shared" si="63"/>
        <v>13996</v>
      </c>
      <c r="V821" t="str">
        <f t="shared" si="64"/>
        <v>Texas</v>
      </c>
    </row>
    <row r="822" spans="1:22" x14ac:dyDescent="0.2">
      <c r="A822" t="s">
        <v>1144</v>
      </c>
      <c r="B822" s="5">
        <v>154</v>
      </c>
      <c r="C822" s="5">
        <v>0</v>
      </c>
      <c r="D822" s="5">
        <f t="shared" si="60"/>
        <v>154</v>
      </c>
      <c r="E822" s="6">
        <v>18.920000000000002</v>
      </c>
      <c r="F822" s="6">
        <f t="shared" si="61"/>
        <v>2913.6800000000003</v>
      </c>
      <c r="G822" t="s">
        <v>17</v>
      </c>
      <c r="H822">
        <v>9007</v>
      </c>
      <c r="I822" t="str">
        <f>IFERROR(_xlfn.XLOOKUP($A822,'Base SKUs'!$E:$E,'Base SKUs'!A:A),"")</f>
        <v>Ash</v>
      </c>
      <c r="J822" t="str">
        <f>IFERROR(_xlfn.XLOOKUP($A822,'Base SKUs'!$E:$E,'Base SKUs'!B:B),"")</f>
        <v>Ash 1x8</v>
      </c>
      <c r="K822" t="str">
        <f>IFERROR(_xlfn.XLOOKUP($A822,'Base SKUs'!$E:$E,'Base SKUs'!C:C),"")</f>
        <v>Short</v>
      </c>
      <c r="L822" t="str">
        <f>IFERROR(_xlfn.XLOOKUP($A822,'Base SKUs'!$E:$E,'Base SKUs'!D:D),"")</f>
        <v>Thermowood</v>
      </c>
      <c r="M822" t="str">
        <f>IFERROR(_xlfn.XLOOKUP($A822,'Base SKUs'!$E:$E,'Base SKUs'!G:G),"")</f>
        <v>Maximo Thermo Ash</v>
      </c>
      <c r="N822" t="str">
        <f>IFERROR(_xlfn.XLOOKUP($A822,'Base SKUs'!$E:$E,'Base SKUs'!H:H),"")</f>
        <v>S4S E4E</v>
      </c>
      <c r="O822" t="str">
        <f>IFERROR(_xlfn.XLOOKUP($A822,'Base SKUs'!$E:$E,'Base SKUs'!I:I),"")</f>
        <v>-</v>
      </c>
      <c r="P822" t="str">
        <f>IFERROR(_xlfn.XLOOKUP($A822,'Base SKUs'!$E:$E,'Base SKUs'!J:J),"")</f>
        <v>1x8</v>
      </c>
      <c r="Q822">
        <f>IFERROR(_xlfn.XLOOKUP($A822,'Base SKUs'!$E:$E,'Base SKUs'!K:K),"")</f>
        <v>4</v>
      </c>
      <c r="R822" s="7">
        <f>IFERROR(_xlfn.XLOOKUP($A822,'Base SKUs'!$E:$E,'Base SKUs'!S:S),"")</f>
        <v>4.3200000000000001E-3</v>
      </c>
      <c r="S822" s="8">
        <f t="shared" si="62"/>
        <v>0.66527999999999998</v>
      </c>
      <c r="T822" s="7">
        <f>IFERROR(_xlfn.XLOOKUP($A822,'Base SKUs'!$E:$E,'Base SKUs'!R:R),"")</f>
        <v>911.34400000000005</v>
      </c>
      <c r="U822" s="15">
        <f t="shared" si="63"/>
        <v>606</v>
      </c>
      <c r="V822" t="str">
        <f t="shared" si="64"/>
        <v>Miami</v>
      </c>
    </row>
    <row r="823" spans="1:22" x14ac:dyDescent="0.2">
      <c r="A823" t="s">
        <v>1146</v>
      </c>
      <c r="B823" s="5">
        <v>217</v>
      </c>
      <c r="C823" s="5">
        <v>0</v>
      </c>
      <c r="D823" s="5">
        <f t="shared" si="60"/>
        <v>217</v>
      </c>
      <c r="E823" s="6">
        <v>23.65</v>
      </c>
      <c r="F823" s="6">
        <f t="shared" si="61"/>
        <v>5132.0499999999993</v>
      </c>
      <c r="G823" t="s">
        <v>17</v>
      </c>
      <c r="H823">
        <v>9007</v>
      </c>
      <c r="I823" t="str">
        <f>IFERROR(_xlfn.XLOOKUP($A823,'Base SKUs'!$E:$E,'Base SKUs'!A:A),"")</f>
        <v>Ash</v>
      </c>
      <c r="J823" t="str">
        <f>IFERROR(_xlfn.XLOOKUP($A823,'Base SKUs'!$E:$E,'Base SKUs'!B:B),"")</f>
        <v>Ash 1x8</v>
      </c>
      <c r="K823" t="str">
        <f>IFERROR(_xlfn.XLOOKUP($A823,'Base SKUs'!$E:$E,'Base SKUs'!C:C),"")</f>
        <v>Short</v>
      </c>
      <c r="L823" t="str">
        <f>IFERROR(_xlfn.XLOOKUP($A823,'Base SKUs'!$E:$E,'Base SKUs'!D:D),"")</f>
        <v>Thermowood</v>
      </c>
      <c r="M823" t="str">
        <f>IFERROR(_xlfn.XLOOKUP($A823,'Base SKUs'!$E:$E,'Base SKUs'!G:G),"")</f>
        <v>Maximo Thermo Ash</v>
      </c>
      <c r="N823" t="str">
        <f>IFERROR(_xlfn.XLOOKUP($A823,'Base SKUs'!$E:$E,'Base SKUs'!H:H),"")</f>
        <v>S4S E4E</v>
      </c>
      <c r="O823" t="str">
        <f>IFERROR(_xlfn.XLOOKUP($A823,'Base SKUs'!$E:$E,'Base SKUs'!I:I),"")</f>
        <v>-</v>
      </c>
      <c r="P823" t="str">
        <f>IFERROR(_xlfn.XLOOKUP($A823,'Base SKUs'!$E:$E,'Base SKUs'!J:J),"")</f>
        <v>1x8</v>
      </c>
      <c r="Q823">
        <f>IFERROR(_xlfn.XLOOKUP($A823,'Base SKUs'!$E:$E,'Base SKUs'!K:K),"")</f>
        <v>5</v>
      </c>
      <c r="R823" s="7">
        <f>IFERROR(_xlfn.XLOOKUP($A823,'Base SKUs'!$E:$E,'Base SKUs'!S:S),"")</f>
        <v>5.3999999999999994E-3</v>
      </c>
      <c r="S823" s="8">
        <f t="shared" si="62"/>
        <v>1.1718</v>
      </c>
      <c r="T823" s="7">
        <f>IFERROR(_xlfn.XLOOKUP($A823,'Base SKUs'!$E:$E,'Base SKUs'!R:R),"")</f>
        <v>911.34400000000005</v>
      </c>
      <c r="U823" s="15">
        <f t="shared" si="63"/>
        <v>1068</v>
      </c>
      <c r="V823" t="str">
        <f t="shared" si="64"/>
        <v>Miami</v>
      </c>
    </row>
    <row r="824" spans="1:22" x14ac:dyDescent="0.2">
      <c r="A824" t="s">
        <v>1148</v>
      </c>
      <c r="B824" s="5">
        <v>281</v>
      </c>
      <c r="C824" s="5">
        <v>0</v>
      </c>
      <c r="D824" s="5">
        <f t="shared" si="60"/>
        <v>281</v>
      </c>
      <c r="E824" s="6">
        <v>28.38</v>
      </c>
      <c r="F824" s="6">
        <f t="shared" si="61"/>
        <v>7974.78</v>
      </c>
      <c r="G824" t="s">
        <v>17</v>
      </c>
      <c r="H824">
        <v>9007</v>
      </c>
      <c r="I824" t="str">
        <f>IFERROR(_xlfn.XLOOKUP($A824,'Base SKUs'!$E:$E,'Base SKUs'!A:A),"")</f>
        <v>Ash</v>
      </c>
      <c r="J824" t="str">
        <f>IFERROR(_xlfn.XLOOKUP($A824,'Base SKUs'!$E:$E,'Base SKUs'!B:B),"")</f>
        <v>Ash 1x8</v>
      </c>
      <c r="K824" t="str">
        <f>IFERROR(_xlfn.XLOOKUP($A824,'Base SKUs'!$E:$E,'Base SKUs'!C:C),"")</f>
        <v>Short</v>
      </c>
      <c r="L824" t="str">
        <f>IFERROR(_xlfn.XLOOKUP($A824,'Base SKUs'!$E:$E,'Base SKUs'!D:D),"")</f>
        <v>Thermowood</v>
      </c>
      <c r="M824" t="str">
        <f>IFERROR(_xlfn.XLOOKUP($A824,'Base SKUs'!$E:$E,'Base SKUs'!G:G),"")</f>
        <v>Maximo Thermo Ash</v>
      </c>
      <c r="N824" t="str">
        <f>IFERROR(_xlfn.XLOOKUP($A824,'Base SKUs'!$E:$E,'Base SKUs'!H:H),"")</f>
        <v>S4S E4E</v>
      </c>
      <c r="O824" t="str">
        <f>IFERROR(_xlfn.XLOOKUP($A824,'Base SKUs'!$E:$E,'Base SKUs'!I:I),"")</f>
        <v>-</v>
      </c>
      <c r="P824" t="str">
        <f>IFERROR(_xlfn.XLOOKUP($A824,'Base SKUs'!$E:$E,'Base SKUs'!J:J),"")</f>
        <v>1x8</v>
      </c>
      <c r="Q824">
        <f>IFERROR(_xlfn.XLOOKUP($A824,'Base SKUs'!$E:$E,'Base SKUs'!K:K),"")</f>
        <v>6</v>
      </c>
      <c r="R824" s="7">
        <f>IFERROR(_xlfn.XLOOKUP($A824,'Base SKUs'!$E:$E,'Base SKUs'!S:S),"")</f>
        <v>6.4799999999999996E-3</v>
      </c>
      <c r="S824" s="8">
        <f t="shared" si="62"/>
        <v>1.8208799999999998</v>
      </c>
      <c r="T824" s="7">
        <f>IFERROR(_xlfn.XLOOKUP($A824,'Base SKUs'!$E:$E,'Base SKUs'!R:R),"")</f>
        <v>911.34400000000005</v>
      </c>
      <c r="U824" s="15">
        <f t="shared" si="63"/>
        <v>1659</v>
      </c>
      <c r="V824" t="str">
        <f t="shared" si="64"/>
        <v>Miami</v>
      </c>
    </row>
    <row r="825" spans="1:22" x14ac:dyDescent="0.2">
      <c r="A825" t="s">
        <v>1150</v>
      </c>
      <c r="B825" s="5">
        <v>426</v>
      </c>
      <c r="C825" s="5">
        <v>0</v>
      </c>
      <c r="D825" s="5">
        <f t="shared" si="60"/>
        <v>426</v>
      </c>
      <c r="E825" s="6">
        <v>33.11</v>
      </c>
      <c r="F825" s="6">
        <f t="shared" si="61"/>
        <v>14104.86</v>
      </c>
      <c r="G825" t="s">
        <v>17</v>
      </c>
      <c r="H825">
        <v>9007</v>
      </c>
      <c r="I825" t="str">
        <f>IFERROR(_xlfn.XLOOKUP($A825,'Base SKUs'!$E:$E,'Base SKUs'!A:A),"")</f>
        <v>Ash</v>
      </c>
      <c r="J825" t="str">
        <f>IFERROR(_xlfn.XLOOKUP($A825,'Base SKUs'!$E:$E,'Base SKUs'!B:B),"")</f>
        <v>Ash 1x8</v>
      </c>
      <c r="K825" t="str">
        <f>IFERROR(_xlfn.XLOOKUP($A825,'Base SKUs'!$E:$E,'Base SKUs'!C:C),"")</f>
        <v>Short</v>
      </c>
      <c r="L825" t="str">
        <f>IFERROR(_xlfn.XLOOKUP($A825,'Base SKUs'!$E:$E,'Base SKUs'!D:D),"")</f>
        <v>Thermowood</v>
      </c>
      <c r="M825" t="str">
        <f>IFERROR(_xlfn.XLOOKUP($A825,'Base SKUs'!$E:$E,'Base SKUs'!G:G),"")</f>
        <v>Maximo Thermo Ash</v>
      </c>
      <c r="N825" t="str">
        <f>IFERROR(_xlfn.XLOOKUP($A825,'Base SKUs'!$E:$E,'Base SKUs'!H:H),"")</f>
        <v>S4S E4E</v>
      </c>
      <c r="O825" t="str">
        <f>IFERROR(_xlfn.XLOOKUP($A825,'Base SKUs'!$E:$E,'Base SKUs'!I:I),"")</f>
        <v>-</v>
      </c>
      <c r="P825" t="str">
        <f>IFERROR(_xlfn.XLOOKUP($A825,'Base SKUs'!$E:$E,'Base SKUs'!J:J),"")</f>
        <v>1x8</v>
      </c>
      <c r="Q825">
        <f>IFERROR(_xlfn.XLOOKUP($A825,'Base SKUs'!$E:$E,'Base SKUs'!K:K),"")</f>
        <v>7</v>
      </c>
      <c r="R825" s="7">
        <f>IFERROR(_xlfn.XLOOKUP($A825,'Base SKUs'!$E:$E,'Base SKUs'!S:S),"")</f>
        <v>7.5600000000000007E-3</v>
      </c>
      <c r="S825" s="8">
        <f t="shared" si="62"/>
        <v>3.2205600000000003</v>
      </c>
      <c r="T825" s="7">
        <f>IFERROR(_xlfn.XLOOKUP($A825,'Base SKUs'!$E:$E,'Base SKUs'!R:R),"")</f>
        <v>911.34400000000005</v>
      </c>
      <c r="U825" s="15">
        <f t="shared" si="63"/>
        <v>2935</v>
      </c>
      <c r="V825" t="str">
        <f t="shared" si="64"/>
        <v>Miami</v>
      </c>
    </row>
    <row r="826" spans="1:22" x14ac:dyDescent="0.2">
      <c r="A826" t="s">
        <v>1152</v>
      </c>
      <c r="B826" s="5">
        <v>100</v>
      </c>
      <c r="C826" s="5">
        <v>0</v>
      </c>
      <c r="D826" s="5">
        <f t="shared" si="60"/>
        <v>100</v>
      </c>
      <c r="E826" s="6">
        <v>37.840000000000003</v>
      </c>
      <c r="F826" s="6">
        <f t="shared" si="61"/>
        <v>3784.0000000000005</v>
      </c>
      <c r="G826" t="s">
        <v>17</v>
      </c>
      <c r="H826">
        <v>9007</v>
      </c>
      <c r="I826" t="str">
        <f>IFERROR(_xlfn.XLOOKUP($A826,'Base SKUs'!$E:$E,'Base SKUs'!A:A),"")</f>
        <v>Ash</v>
      </c>
      <c r="J826" t="str">
        <f>IFERROR(_xlfn.XLOOKUP($A826,'Base SKUs'!$E:$E,'Base SKUs'!B:B),"")</f>
        <v>Ash 1x8</v>
      </c>
      <c r="K826" t="str">
        <f>IFERROR(_xlfn.XLOOKUP($A826,'Base SKUs'!$E:$E,'Base SKUs'!C:C),"")</f>
        <v>Long</v>
      </c>
      <c r="L826" t="str">
        <f>IFERROR(_xlfn.XLOOKUP($A826,'Base SKUs'!$E:$E,'Base SKUs'!D:D),"")</f>
        <v>Thermowood</v>
      </c>
      <c r="M826" t="str">
        <f>IFERROR(_xlfn.XLOOKUP($A826,'Base SKUs'!$E:$E,'Base SKUs'!G:G),"")</f>
        <v>Maximo Thermo Ash</v>
      </c>
      <c r="N826" t="str">
        <f>IFERROR(_xlfn.XLOOKUP($A826,'Base SKUs'!$E:$E,'Base SKUs'!H:H),"")</f>
        <v>S4S E4E</v>
      </c>
      <c r="O826" t="str">
        <f>IFERROR(_xlfn.XLOOKUP($A826,'Base SKUs'!$E:$E,'Base SKUs'!I:I),"")</f>
        <v>-</v>
      </c>
      <c r="P826" t="str">
        <f>IFERROR(_xlfn.XLOOKUP($A826,'Base SKUs'!$E:$E,'Base SKUs'!J:J),"")</f>
        <v>1x8</v>
      </c>
      <c r="Q826">
        <f>IFERROR(_xlfn.XLOOKUP($A826,'Base SKUs'!$E:$E,'Base SKUs'!K:K),"")</f>
        <v>8</v>
      </c>
      <c r="R826" s="7">
        <f>IFERROR(_xlfn.XLOOKUP($A826,'Base SKUs'!$E:$E,'Base SKUs'!S:S),"")</f>
        <v>8.6400000000000001E-3</v>
      </c>
      <c r="S826" s="8">
        <f t="shared" si="62"/>
        <v>0.86399999999999999</v>
      </c>
      <c r="T826" s="7">
        <f>IFERROR(_xlfn.XLOOKUP($A826,'Base SKUs'!$E:$E,'Base SKUs'!R:R),"")</f>
        <v>911.34400000000005</v>
      </c>
      <c r="U826" s="15">
        <f t="shared" si="63"/>
        <v>787</v>
      </c>
      <c r="V826" t="str">
        <f t="shared" si="64"/>
        <v>Miami</v>
      </c>
    </row>
    <row r="827" spans="1:22" x14ac:dyDescent="0.2">
      <c r="A827" t="s">
        <v>1154</v>
      </c>
      <c r="B827" s="5">
        <v>99</v>
      </c>
      <c r="C827" s="5">
        <v>0</v>
      </c>
      <c r="D827" s="5">
        <f t="shared" si="60"/>
        <v>99</v>
      </c>
      <c r="E827" s="6">
        <v>43</v>
      </c>
      <c r="F827" s="6">
        <f t="shared" si="61"/>
        <v>4257</v>
      </c>
      <c r="G827" t="s">
        <v>17</v>
      </c>
      <c r="H827">
        <v>9007</v>
      </c>
      <c r="I827" t="str">
        <f>IFERROR(_xlfn.XLOOKUP($A827,'Base SKUs'!$E:$E,'Base SKUs'!A:A),"")</f>
        <v>Ash</v>
      </c>
      <c r="J827" t="str">
        <f>IFERROR(_xlfn.XLOOKUP($A827,'Base SKUs'!$E:$E,'Base SKUs'!B:B),"")</f>
        <v>Ash 2x4</v>
      </c>
      <c r="K827" t="str">
        <f>IFERROR(_xlfn.XLOOKUP($A827,'Base SKUs'!$E:$E,'Base SKUs'!C:C),"")</f>
        <v>Long</v>
      </c>
      <c r="L827" t="str">
        <f>IFERROR(_xlfn.XLOOKUP($A827,'Base SKUs'!$E:$E,'Base SKUs'!D:D),"")</f>
        <v>Thermowood</v>
      </c>
      <c r="M827" t="str">
        <f>IFERROR(_xlfn.XLOOKUP($A827,'Base SKUs'!$E:$E,'Base SKUs'!G:G),"")</f>
        <v>Maximo Thermo Ash</v>
      </c>
      <c r="N827" t="str">
        <f>IFERROR(_xlfn.XLOOKUP($A827,'Base SKUs'!$E:$E,'Base SKUs'!H:H),"")</f>
        <v>S4S E4E</v>
      </c>
      <c r="O827" t="str">
        <f>IFERROR(_xlfn.XLOOKUP($A827,'Base SKUs'!$E:$E,'Base SKUs'!I:I),"")</f>
        <v>-</v>
      </c>
      <c r="P827" t="str">
        <f>IFERROR(_xlfn.XLOOKUP($A827,'Base SKUs'!$E:$E,'Base SKUs'!J:J),"")</f>
        <v>2x4</v>
      </c>
      <c r="Q827">
        <f>IFERROR(_xlfn.XLOOKUP($A827,'Base SKUs'!$E:$E,'Base SKUs'!K:K),"")</f>
        <v>10</v>
      </c>
      <c r="R827" s="7">
        <f>IFERROR(_xlfn.XLOOKUP($A827,'Base SKUs'!$E:$E,'Base SKUs'!S:S),"")</f>
        <v>1.0799999999999999E-2</v>
      </c>
      <c r="S827" s="8">
        <f t="shared" si="62"/>
        <v>1.0691999999999999</v>
      </c>
      <c r="T827" s="7">
        <f>IFERROR(_xlfn.XLOOKUP($A827,'Base SKUs'!$E:$E,'Base SKUs'!R:R),"")</f>
        <v>911.34400000000005</v>
      </c>
      <c r="U827" s="15">
        <f t="shared" si="63"/>
        <v>974</v>
      </c>
      <c r="V827" t="str">
        <f t="shared" si="64"/>
        <v>Miami</v>
      </c>
    </row>
    <row r="828" spans="1:22" x14ac:dyDescent="0.2">
      <c r="A828" t="s">
        <v>1156</v>
      </c>
      <c r="B828" s="5">
        <v>93</v>
      </c>
      <c r="C828" s="5">
        <v>0</v>
      </c>
      <c r="D828" s="5">
        <f t="shared" si="60"/>
        <v>93</v>
      </c>
      <c r="E828" s="6">
        <v>47.3</v>
      </c>
      <c r="F828" s="6">
        <f t="shared" si="61"/>
        <v>4398.8999999999996</v>
      </c>
      <c r="G828" t="s">
        <v>17</v>
      </c>
      <c r="H828">
        <v>9007</v>
      </c>
      <c r="I828" t="str">
        <f>IFERROR(_xlfn.XLOOKUP($A828,'Base SKUs'!$E:$E,'Base SKUs'!A:A),"")</f>
        <v>Ash</v>
      </c>
      <c r="J828" t="str">
        <f>IFERROR(_xlfn.XLOOKUP($A828,'Base SKUs'!$E:$E,'Base SKUs'!B:B),"")</f>
        <v>Ash 2x4</v>
      </c>
      <c r="K828" t="str">
        <f>IFERROR(_xlfn.XLOOKUP($A828,'Base SKUs'!$E:$E,'Base SKUs'!C:C),"")</f>
        <v>Long</v>
      </c>
      <c r="L828" t="str">
        <f>IFERROR(_xlfn.XLOOKUP($A828,'Base SKUs'!$E:$E,'Base SKUs'!D:D),"")</f>
        <v>Thermowood</v>
      </c>
      <c r="M828" t="str">
        <f>IFERROR(_xlfn.XLOOKUP($A828,'Base SKUs'!$E:$E,'Base SKUs'!G:G),"")</f>
        <v>Maximo Thermo Ash</v>
      </c>
      <c r="N828" t="str">
        <f>IFERROR(_xlfn.XLOOKUP($A828,'Base SKUs'!$E:$E,'Base SKUs'!H:H),"")</f>
        <v>S4S E4E</v>
      </c>
      <c r="O828" t="str">
        <f>IFERROR(_xlfn.XLOOKUP($A828,'Base SKUs'!$E:$E,'Base SKUs'!I:I),"")</f>
        <v>-</v>
      </c>
      <c r="P828" t="str">
        <f>IFERROR(_xlfn.XLOOKUP($A828,'Base SKUs'!$E:$E,'Base SKUs'!J:J),"")</f>
        <v>2x4</v>
      </c>
      <c r="Q828">
        <f>IFERROR(_xlfn.XLOOKUP($A828,'Base SKUs'!$E:$E,'Base SKUs'!K:K),"")</f>
        <v>11</v>
      </c>
      <c r="R828" s="7">
        <f>IFERROR(_xlfn.XLOOKUP($A828,'Base SKUs'!$E:$E,'Base SKUs'!S:S),"")</f>
        <v>1.188E-2</v>
      </c>
      <c r="S828" s="8">
        <f t="shared" si="62"/>
        <v>1.10484</v>
      </c>
      <c r="T828" s="7">
        <f>IFERROR(_xlfn.XLOOKUP($A828,'Base SKUs'!$E:$E,'Base SKUs'!R:R),"")</f>
        <v>911.34400000000005</v>
      </c>
      <c r="U828" s="15">
        <f t="shared" si="63"/>
        <v>1007</v>
      </c>
      <c r="V828" t="str">
        <f t="shared" si="64"/>
        <v>Miami</v>
      </c>
    </row>
    <row r="829" spans="1:22" x14ac:dyDescent="0.2">
      <c r="A829" t="s">
        <v>1158</v>
      </c>
      <c r="B829" s="5">
        <v>66</v>
      </c>
      <c r="C829" s="5">
        <v>0</v>
      </c>
      <c r="D829" s="5">
        <f t="shared" si="60"/>
        <v>66</v>
      </c>
      <c r="E829" s="6">
        <v>51.6</v>
      </c>
      <c r="F829" s="6">
        <f t="shared" si="61"/>
        <v>3405.6</v>
      </c>
      <c r="G829" t="s">
        <v>17</v>
      </c>
      <c r="H829">
        <v>9007</v>
      </c>
      <c r="I829" t="str">
        <f>IFERROR(_xlfn.XLOOKUP($A829,'Base SKUs'!$E:$E,'Base SKUs'!A:A),"")</f>
        <v>Ash</v>
      </c>
      <c r="J829" t="str">
        <f>IFERROR(_xlfn.XLOOKUP($A829,'Base SKUs'!$E:$E,'Base SKUs'!B:B),"")</f>
        <v>Ash 2x4</v>
      </c>
      <c r="K829" t="str">
        <f>IFERROR(_xlfn.XLOOKUP($A829,'Base SKUs'!$E:$E,'Base SKUs'!C:C),"")</f>
        <v>Long</v>
      </c>
      <c r="L829" t="str">
        <f>IFERROR(_xlfn.XLOOKUP($A829,'Base SKUs'!$E:$E,'Base SKUs'!D:D),"")</f>
        <v>Thermowood</v>
      </c>
      <c r="M829" t="str">
        <f>IFERROR(_xlfn.XLOOKUP($A829,'Base SKUs'!$E:$E,'Base SKUs'!G:G),"")</f>
        <v>Maximo Thermo Ash</v>
      </c>
      <c r="N829" t="str">
        <f>IFERROR(_xlfn.XLOOKUP($A829,'Base SKUs'!$E:$E,'Base SKUs'!H:H),"")</f>
        <v>S4S E4E</v>
      </c>
      <c r="O829" t="str">
        <f>IFERROR(_xlfn.XLOOKUP($A829,'Base SKUs'!$E:$E,'Base SKUs'!I:I),"")</f>
        <v>-</v>
      </c>
      <c r="P829" t="str">
        <f>IFERROR(_xlfn.XLOOKUP($A829,'Base SKUs'!$E:$E,'Base SKUs'!J:J),"")</f>
        <v>2x4</v>
      </c>
      <c r="Q829">
        <f>IFERROR(_xlfn.XLOOKUP($A829,'Base SKUs'!$E:$E,'Base SKUs'!K:K),"")</f>
        <v>12</v>
      </c>
      <c r="R829" s="7">
        <f>IFERROR(_xlfn.XLOOKUP($A829,'Base SKUs'!$E:$E,'Base SKUs'!S:S),"")</f>
        <v>1.2959999999999999E-2</v>
      </c>
      <c r="S829" s="8">
        <f t="shared" si="62"/>
        <v>0.8553599999999999</v>
      </c>
      <c r="T829" s="7">
        <f>IFERROR(_xlfn.XLOOKUP($A829,'Base SKUs'!$E:$E,'Base SKUs'!R:R),"")</f>
        <v>911.34400000000005</v>
      </c>
      <c r="U829" s="15">
        <f t="shared" si="63"/>
        <v>780</v>
      </c>
      <c r="V829" t="str">
        <f t="shared" si="64"/>
        <v>Miami</v>
      </c>
    </row>
    <row r="830" spans="1:22" x14ac:dyDescent="0.2">
      <c r="A830" t="s">
        <v>1160</v>
      </c>
      <c r="B830" s="5">
        <v>27</v>
      </c>
      <c r="C830" s="5">
        <v>0</v>
      </c>
      <c r="D830" s="5">
        <f t="shared" si="60"/>
        <v>27</v>
      </c>
      <c r="E830" s="6">
        <v>55.9</v>
      </c>
      <c r="F830" s="6">
        <f t="shared" si="61"/>
        <v>1509.3</v>
      </c>
      <c r="G830" t="s">
        <v>17</v>
      </c>
      <c r="H830">
        <v>9007</v>
      </c>
      <c r="I830" t="str">
        <f>IFERROR(_xlfn.XLOOKUP($A830,'Base SKUs'!$E:$E,'Base SKUs'!A:A),"")</f>
        <v>Ash</v>
      </c>
      <c r="J830" t="str">
        <f>IFERROR(_xlfn.XLOOKUP($A830,'Base SKUs'!$E:$E,'Base SKUs'!B:B),"")</f>
        <v>Ash 2x4</v>
      </c>
      <c r="K830" t="str">
        <f>IFERROR(_xlfn.XLOOKUP($A830,'Base SKUs'!$E:$E,'Base SKUs'!C:C),"")</f>
        <v>Long</v>
      </c>
      <c r="L830" t="str">
        <f>IFERROR(_xlfn.XLOOKUP($A830,'Base SKUs'!$E:$E,'Base SKUs'!D:D),"")</f>
        <v>Thermowood</v>
      </c>
      <c r="M830" t="str">
        <f>IFERROR(_xlfn.XLOOKUP($A830,'Base SKUs'!$E:$E,'Base SKUs'!G:G),"")</f>
        <v>Maximo Thermo Ash</v>
      </c>
      <c r="N830" t="str">
        <f>IFERROR(_xlfn.XLOOKUP($A830,'Base SKUs'!$E:$E,'Base SKUs'!H:H),"")</f>
        <v>S4S E4E</v>
      </c>
      <c r="O830" t="str">
        <f>IFERROR(_xlfn.XLOOKUP($A830,'Base SKUs'!$E:$E,'Base SKUs'!I:I),"")</f>
        <v>-</v>
      </c>
      <c r="P830" t="str">
        <f>IFERROR(_xlfn.XLOOKUP($A830,'Base SKUs'!$E:$E,'Base SKUs'!J:J),"")</f>
        <v>2x4</v>
      </c>
      <c r="Q830">
        <f>IFERROR(_xlfn.XLOOKUP($A830,'Base SKUs'!$E:$E,'Base SKUs'!K:K),"")</f>
        <v>13</v>
      </c>
      <c r="R830" s="7">
        <f>IFERROR(_xlfn.XLOOKUP($A830,'Base SKUs'!$E:$E,'Base SKUs'!S:S),"")</f>
        <v>1.4039999999999999E-2</v>
      </c>
      <c r="S830" s="8">
        <f t="shared" si="62"/>
        <v>0.37907999999999997</v>
      </c>
      <c r="T830" s="7">
        <f>IFERROR(_xlfn.XLOOKUP($A830,'Base SKUs'!$E:$E,'Base SKUs'!R:R),"")</f>
        <v>911.34400000000005</v>
      </c>
      <c r="U830" s="15">
        <f t="shared" si="63"/>
        <v>345</v>
      </c>
      <c r="V830" t="str">
        <f t="shared" si="64"/>
        <v>Miami</v>
      </c>
    </row>
    <row r="831" spans="1:22" x14ac:dyDescent="0.2">
      <c r="A831" t="s">
        <v>1162</v>
      </c>
      <c r="B831" s="5">
        <v>33</v>
      </c>
      <c r="C831" s="5">
        <v>0</v>
      </c>
      <c r="D831" s="5">
        <f t="shared" si="60"/>
        <v>33</v>
      </c>
      <c r="E831" s="6">
        <v>60.2</v>
      </c>
      <c r="F831" s="6">
        <f t="shared" si="61"/>
        <v>1986.6000000000001</v>
      </c>
      <c r="G831" t="s">
        <v>17</v>
      </c>
      <c r="H831">
        <v>9007</v>
      </c>
      <c r="I831" t="str">
        <f>IFERROR(_xlfn.XLOOKUP($A831,'Base SKUs'!$E:$E,'Base SKUs'!A:A),"")</f>
        <v>Ash</v>
      </c>
      <c r="J831" t="str">
        <f>IFERROR(_xlfn.XLOOKUP($A831,'Base SKUs'!$E:$E,'Base SKUs'!B:B),"")</f>
        <v>Ash 2x4</v>
      </c>
      <c r="K831" t="str">
        <f>IFERROR(_xlfn.XLOOKUP($A831,'Base SKUs'!$E:$E,'Base SKUs'!C:C),"")</f>
        <v>Long</v>
      </c>
      <c r="L831" t="str">
        <f>IFERROR(_xlfn.XLOOKUP($A831,'Base SKUs'!$E:$E,'Base SKUs'!D:D),"")</f>
        <v>Thermowood</v>
      </c>
      <c r="M831" t="str">
        <f>IFERROR(_xlfn.XLOOKUP($A831,'Base SKUs'!$E:$E,'Base SKUs'!G:G),"")</f>
        <v>Maximo Thermo Ash</v>
      </c>
      <c r="N831" t="str">
        <f>IFERROR(_xlfn.XLOOKUP($A831,'Base SKUs'!$E:$E,'Base SKUs'!H:H),"")</f>
        <v>S4S E4E</v>
      </c>
      <c r="O831" t="str">
        <f>IFERROR(_xlfn.XLOOKUP($A831,'Base SKUs'!$E:$E,'Base SKUs'!I:I),"")</f>
        <v>-</v>
      </c>
      <c r="P831" t="str">
        <f>IFERROR(_xlfn.XLOOKUP($A831,'Base SKUs'!$E:$E,'Base SKUs'!J:J),"")</f>
        <v>2x4</v>
      </c>
      <c r="Q831">
        <f>IFERROR(_xlfn.XLOOKUP($A831,'Base SKUs'!$E:$E,'Base SKUs'!K:K),"")</f>
        <v>14</v>
      </c>
      <c r="R831" s="7">
        <f>IFERROR(_xlfn.XLOOKUP($A831,'Base SKUs'!$E:$E,'Base SKUs'!S:S),"")</f>
        <v>1.5120000000000001E-2</v>
      </c>
      <c r="S831" s="8">
        <f t="shared" si="62"/>
        <v>0.49896000000000007</v>
      </c>
      <c r="T831" s="7">
        <f>IFERROR(_xlfn.XLOOKUP($A831,'Base SKUs'!$E:$E,'Base SKUs'!R:R),"")</f>
        <v>911.34400000000005</v>
      </c>
      <c r="U831" s="15">
        <f t="shared" si="63"/>
        <v>455</v>
      </c>
      <c r="V831" t="str">
        <f t="shared" si="64"/>
        <v>Miami</v>
      </c>
    </row>
    <row r="832" spans="1:22" x14ac:dyDescent="0.2">
      <c r="A832" t="s">
        <v>1164</v>
      </c>
      <c r="B832" s="5">
        <v>44</v>
      </c>
      <c r="C832" s="5">
        <v>0</v>
      </c>
      <c r="D832" s="5">
        <f t="shared" si="60"/>
        <v>44</v>
      </c>
      <c r="E832" s="6">
        <v>17.2</v>
      </c>
      <c r="F832" s="6">
        <f t="shared" si="61"/>
        <v>756.8</v>
      </c>
      <c r="G832" t="s">
        <v>17</v>
      </c>
      <c r="H832">
        <v>9007</v>
      </c>
      <c r="I832" t="str">
        <f>IFERROR(_xlfn.XLOOKUP($A832,'Base SKUs'!$E:$E,'Base SKUs'!A:A),"")</f>
        <v>Ash</v>
      </c>
      <c r="J832" t="str">
        <f>IFERROR(_xlfn.XLOOKUP($A832,'Base SKUs'!$E:$E,'Base SKUs'!B:B),"")</f>
        <v>Ash 2x4</v>
      </c>
      <c r="K832" t="str">
        <f>IFERROR(_xlfn.XLOOKUP($A832,'Base SKUs'!$E:$E,'Base SKUs'!C:C),"")</f>
        <v>Short</v>
      </c>
      <c r="L832" t="str">
        <f>IFERROR(_xlfn.XLOOKUP($A832,'Base SKUs'!$E:$E,'Base SKUs'!D:D),"")</f>
        <v>Thermowood</v>
      </c>
      <c r="M832" t="str">
        <f>IFERROR(_xlfn.XLOOKUP($A832,'Base SKUs'!$E:$E,'Base SKUs'!G:G),"")</f>
        <v>Maximo Thermo Ash</v>
      </c>
      <c r="N832" t="str">
        <f>IFERROR(_xlfn.XLOOKUP($A832,'Base SKUs'!$E:$E,'Base SKUs'!H:H),"")</f>
        <v>S4S E4E</v>
      </c>
      <c r="O832" t="str">
        <f>IFERROR(_xlfn.XLOOKUP($A832,'Base SKUs'!$E:$E,'Base SKUs'!I:I),"")</f>
        <v>-</v>
      </c>
      <c r="P832" t="str">
        <f>IFERROR(_xlfn.XLOOKUP($A832,'Base SKUs'!$E:$E,'Base SKUs'!J:J),"")</f>
        <v>2x4</v>
      </c>
      <c r="Q832">
        <f>IFERROR(_xlfn.XLOOKUP($A832,'Base SKUs'!$E:$E,'Base SKUs'!K:K),"")</f>
        <v>4</v>
      </c>
      <c r="R832" s="7">
        <f>IFERROR(_xlfn.XLOOKUP($A832,'Base SKUs'!$E:$E,'Base SKUs'!S:S),"")</f>
        <v>4.3200000000000001E-3</v>
      </c>
      <c r="S832" s="8">
        <f t="shared" si="62"/>
        <v>0.19008</v>
      </c>
      <c r="T832" s="7">
        <f>IFERROR(_xlfn.XLOOKUP($A832,'Base SKUs'!$E:$E,'Base SKUs'!R:R),"")</f>
        <v>911.34400000000005</v>
      </c>
      <c r="U832" s="15">
        <f t="shared" si="63"/>
        <v>173</v>
      </c>
      <c r="V832" t="str">
        <f t="shared" si="64"/>
        <v>Miami</v>
      </c>
    </row>
    <row r="833" spans="1:22" x14ac:dyDescent="0.2">
      <c r="A833" t="s">
        <v>1166</v>
      </c>
      <c r="B833" s="5">
        <v>53</v>
      </c>
      <c r="C833" s="5">
        <v>0</v>
      </c>
      <c r="D833" s="5">
        <f t="shared" si="60"/>
        <v>53</v>
      </c>
      <c r="E833" s="6">
        <v>21.5</v>
      </c>
      <c r="F833" s="6">
        <f t="shared" si="61"/>
        <v>1139.5</v>
      </c>
      <c r="G833" t="s">
        <v>17</v>
      </c>
      <c r="H833">
        <v>9007</v>
      </c>
      <c r="I833" t="str">
        <f>IFERROR(_xlfn.XLOOKUP($A833,'Base SKUs'!$E:$E,'Base SKUs'!A:A),"")</f>
        <v>Ash</v>
      </c>
      <c r="J833" t="str">
        <f>IFERROR(_xlfn.XLOOKUP($A833,'Base SKUs'!$E:$E,'Base SKUs'!B:B),"")</f>
        <v>Ash 2x4</v>
      </c>
      <c r="K833" t="str">
        <f>IFERROR(_xlfn.XLOOKUP($A833,'Base SKUs'!$E:$E,'Base SKUs'!C:C),"")</f>
        <v>Short</v>
      </c>
      <c r="L833" t="str">
        <f>IFERROR(_xlfn.XLOOKUP($A833,'Base SKUs'!$E:$E,'Base SKUs'!D:D),"")</f>
        <v>Thermowood</v>
      </c>
      <c r="M833" t="str">
        <f>IFERROR(_xlfn.XLOOKUP($A833,'Base SKUs'!$E:$E,'Base SKUs'!G:G),"")</f>
        <v>Maximo Thermo Ash</v>
      </c>
      <c r="N833" t="str">
        <f>IFERROR(_xlfn.XLOOKUP($A833,'Base SKUs'!$E:$E,'Base SKUs'!H:H),"")</f>
        <v>S4S E4E</v>
      </c>
      <c r="O833" t="str">
        <f>IFERROR(_xlfn.XLOOKUP($A833,'Base SKUs'!$E:$E,'Base SKUs'!I:I),"")</f>
        <v>-</v>
      </c>
      <c r="P833" t="str">
        <f>IFERROR(_xlfn.XLOOKUP($A833,'Base SKUs'!$E:$E,'Base SKUs'!J:J),"")</f>
        <v>2x4</v>
      </c>
      <c r="Q833">
        <f>IFERROR(_xlfn.XLOOKUP($A833,'Base SKUs'!$E:$E,'Base SKUs'!K:K),"")</f>
        <v>5</v>
      </c>
      <c r="R833" s="7">
        <f>IFERROR(_xlfn.XLOOKUP($A833,'Base SKUs'!$E:$E,'Base SKUs'!S:S),"")</f>
        <v>5.3999999999999994E-3</v>
      </c>
      <c r="S833" s="8">
        <f t="shared" si="62"/>
        <v>0.28619999999999995</v>
      </c>
      <c r="T833" s="7">
        <f>IFERROR(_xlfn.XLOOKUP($A833,'Base SKUs'!$E:$E,'Base SKUs'!R:R),"")</f>
        <v>911.34400000000005</v>
      </c>
      <c r="U833" s="15">
        <f t="shared" si="63"/>
        <v>261</v>
      </c>
      <c r="V833" t="str">
        <f t="shared" si="64"/>
        <v>Miami</v>
      </c>
    </row>
    <row r="834" spans="1:22" x14ac:dyDescent="0.2">
      <c r="A834" t="s">
        <v>1168</v>
      </c>
      <c r="B834" s="5">
        <v>117</v>
      </c>
      <c r="C834" s="5">
        <v>0</v>
      </c>
      <c r="D834" s="5">
        <f t="shared" ref="D834:D897" si="65">B834-C834</f>
        <v>117</v>
      </c>
      <c r="E834" s="6">
        <v>25.8</v>
      </c>
      <c r="F834" s="6">
        <f t="shared" ref="F834:F897" si="66">B834*E834</f>
        <v>3018.6</v>
      </c>
      <c r="G834" t="s">
        <v>17</v>
      </c>
      <c r="H834">
        <v>9007</v>
      </c>
      <c r="I834" t="str">
        <f>IFERROR(_xlfn.XLOOKUP($A834,'Base SKUs'!$E:$E,'Base SKUs'!A:A),"")</f>
        <v>Ash</v>
      </c>
      <c r="J834" t="str">
        <f>IFERROR(_xlfn.XLOOKUP($A834,'Base SKUs'!$E:$E,'Base SKUs'!B:B),"")</f>
        <v>Ash 2x4</v>
      </c>
      <c r="K834" t="str">
        <f>IFERROR(_xlfn.XLOOKUP($A834,'Base SKUs'!$E:$E,'Base SKUs'!C:C),"")</f>
        <v>Short</v>
      </c>
      <c r="L834" t="str">
        <f>IFERROR(_xlfn.XLOOKUP($A834,'Base SKUs'!$E:$E,'Base SKUs'!D:D),"")</f>
        <v>Thermowood</v>
      </c>
      <c r="M834" t="str">
        <f>IFERROR(_xlfn.XLOOKUP($A834,'Base SKUs'!$E:$E,'Base SKUs'!G:G),"")</f>
        <v>Maximo Thermo Ash</v>
      </c>
      <c r="N834" t="str">
        <f>IFERROR(_xlfn.XLOOKUP($A834,'Base SKUs'!$E:$E,'Base SKUs'!H:H),"")</f>
        <v>S4S E4E</v>
      </c>
      <c r="O834" t="str">
        <f>IFERROR(_xlfn.XLOOKUP($A834,'Base SKUs'!$E:$E,'Base SKUs'!I:I),"")</f>
        <v>-</v>
      </c>
      <c r="P834" t="str">
        <f>IFERROR(_xlfn.XLOOKUP($A834,'Base SKUs'!$E:$E,'Base SKUs'!J:J),"")</f>
        <v>2x4</v>
      </c>
      <c r="Q834">
        <f>IFERROR(_xlfn.XLOOKUP($A834,'Base SKUs'!$E:$E,'Base SKUs'!K:K),"")</f>
        <v>6</v>
      </c>
      <c r="R834" s="7">
        <f>IFERROR(_xlfn.XLOOKUP($A834,'Base SKUs'!$E:$E,'Base SKUs'!S:S),"")</f>
        <v>6.4799999999999996E-3</v>
      </c>
      <c r="S834" s="8">
        <f t="shared" ref="S834:S897" si="67">IF(OR(L834="Saicos",L834="Oil",L834="US4",L834="Wood Table",L834="Woca",L834="Norx",N834="Tiles"),D834,D834*R834)</f>
        <v>0.75815999999999995</v>
      </c>
      <c r="T834" s="7">
        <f>IFERROR(_xlfn.XLOOKUP($A834,'Base SKUs'!$E:$E,'Base SKUs'!R:R),"")</f>
        <v>911.34400000000005</v>
      </c>
      <c r="U834" s="15">
        <f t="shared" ref="U834:U897" si="68">ROUND(IF(OR(L834="Saicos",L834="Oil",L834="US4",L834="Wood Table",L834="Woca",L834="Norx",N834="Tiles"),D834,S834*T834),0)</f>
        <v>691</v>
      </c>
      <c r="V834" t="str">
        <f t="shared" ref="V834:V897" si="69">IF(H834=9007,"Miami",IF(H834=9008,"Texas",IF(H834=9009,"Boston",IF(H834=9010,"BS Detroit",IF(H834=9011,"New York",IF(H834=9012,"HW Perris",IF(H834=9013,"BS Riverside",IF(H834=9014,"On the Way",IF(H834=9015,"Russin",IF(H834=9016,"Palm Beach",""))))))))))</f>
        <v>Miami</v>
      </c>
    </row>
    <row r="835" spans="1:22" x14ac:dyDescent="0.2">
      <c r="A835" t="s">
        <v>1170</v>
      </c>
      <c r="B835" s="5">
        <v>138</v>
      </c>
      <c r="C835" s="5">
        <v>0</v>
      </c>
      <c r="D835" s="5">
        <f t="shared" si="65"/>
        <v>138</v>
      </c>
      <c r="E835" s="6">
        <v>30.1</v>
      </c>
      <c r="F835" s="6">
        <f t="shared" si="66"/>
        <v>4153.8</v>
      </c>
      <c r="G835" t="s">
        <v>17</v>
      </c>
      <c r="H835">
        <v>9007</v>
      </c>
      <c r="I835" t="str">
        <f>IFERROR(_xlfn.XLOOKUP($A835,'Base SKUs'!$E:$E,'Base SKUs'!A:A),"")</f>
        <v>Ash</v>
      </c>
      <c r="J835" t="str">
        <f>IFERROR(_xlfn.XLOOKUP($A835,'Base SKUs'!$E:$E,'Base SKUs'!B:B),"")</f>
        <v>Ash 2x4</v>
      </c>
      <c r="K835" t="str">
        <f>IFERROR(_xlfn.XLOOKUP($A835,'Base SKUs'!$E:$E,'Base SKUs'!C:C),"")</f>
        <v>Short</v>
      </c>
      <c r="L835" t="str">
        <f>IFERROR(_xlfn.XLOOKUP($A835,'Base SKUs'!$E:$E,'Base SKUs'!D:D),"")</f>
        <v>Thermowood</v>
      </c>
      <c r="M835" t="str">
        <f>IFERROR(_xlfn.XLOOKUP($A835,'Base SKUs'!$E:$E,'Base SKUs'!G:G),"")</f>
        <v>Maximo Thermo Ash</v>
      </c>
      <c r="N835" t="str">
        <f>IFERROR(_xlfn.XLOOKUP($A835,'Base SKUs'!$E:$E,'Base SKUs'!H:H),"")</f>
        <v>S4S E4E</v>
      </c>
      <c r="O835" t="str">
        <f>IFERROR(_xlfn.XLOOKUP($A835,'Base SKUs'!$E:$E,'Base SKUs'!I:I),"")</f>
        <v>-</v>
      </c>
      <c r="P835" t="str">
        <f>IFERROR(_xlfn.XLOOKUP($A835,'Base SKUs'!$E:$E,'Base SKUs'!J:J),"")</f>
        <v>2x4</v>
      </c>
      <c r="Q835">
        <f>IFERROR(_xlfn.XLOOKUP($A835,'Base SKUs'!$E:$E,'Base SKUs'!K:K),"")</f>
        <v>7</v>
      </c>
      <c r="R835" s="7">
        <f>IFERROR(_xlfn.XLOOKUP($A835,'Base SKUs'!$E:$E,'Base SKUs'!S:S),"")</f>
        <v>7.5600000000000007E-3</v>
      </c>
      <c r="S835" s="8">
        <f t="shared" si="67"/>
        <v>1.0432800000000002</v>
      </c>
      <c r="T835" s="7">
        <f>IFERROR(_xlfn.XLOOKUP($A835,'Base SKUs'!$E:$E,'Base SKUs'!R:R),"")</f>
        <v>911.34400000000005</v>
      </c>
      <c r="U835" s="15">
        <f t="shared" si="68"/>
        <v>951</v>
      </c>
      <c r="V835" t="str">
        <f t="shared" si="69"/>
        <v>Miami</v>
      </c>
    </row>
    <row r="836" spans="1:22" x14ac:dyDescent="0.2">
      <c r="A836" t="s">
        <v>1172</v>
      </c>
      <c r="B836" s="5">
        <v>147</v>
      </c>
      <c r="C836" s="5">
        <v>0</v>
      </c>
      <c r="D836" s="5">
        <f t="shared" si="65"/>
        <v>147</v>
      </c>
      <c r="E836" s="6">
        <v>34.4</v>
      </c>
      <c r="F836" s="6">
        <f t="shared" si="66"/>
        <v>5056.8</v>
      </c>
      <c r="G836" t="s">
        <v>17</v>
      </c>
      <c r="H836">
        <v>9007</v>
      </c>
      <c r="I836" t="str">
        <f>IFERROR(_xlfn.XLOOKUP($A836,'Base SKUs'!$E:$E,'Base SKUs'!A:A),"")</f>
        <v>Ash</v>
      </c>
      <c r="J836" t="str">
        <f>IFERROR(_xlfn.XLOOKUP($A836,'Base SKUs'!$E:$E,'Base SKUs'!B:B),"")</f>
        <v>Ash 2x4</v>
      </c>
      <c r="K836" t="str">
        <f>IFERROR(_xlfn.XLOOKUP($A836,'Base SKUs'!$E:$E,'Base SKUs'!C:C),"")</f>
        <v>Long</v>
      </c>
      <c r="L836" t="str">
        <f>IFERROR(_xlfn.XLOOKUP($A836,'Base SKUs'!$E:$E,'Base SKUs'!D:D),"")</f>
        <v>Thermowood</v>
      </c>
      <c r="M836" t="str">
        <f>IFERROR(_xlfn.XLOOKUP($A836,'Base SKUs'!$E:$E,'Base SKUs'!G:G),"")</f>
        <v>Maximo Thermo Ash</v>
      </c>
      <c r="N836" t="str">
        <f>IFERROR(_xlfn.XLOOKUP($A836,'Base SKUs'!$E:$E,'Base SKUs'!H:H),"")</f>
        <v>S4S E4E</v>
      </c>
      <c r="O836" t="str">
        <f>IFERROR(_xlfn.XLOOKUP($A836,'Base SKUs'!$E:$E,'Base SKUs'!I:I),"")</f>
        <v>-</v>
      </c>
      <c r="P836" t="str">
        <f>IFERROR(_xlfn.XLOOKUP($A836,'Base SKUs'!$E:$E,'Base SKUs'!J:J),"")</f>
        <v>2x4</v>
      </c>
      <c r="Q836">
        <f>IFERROR(_xlfn.XLOOKUP($A836,'Base SKUs'!$E:$E,'Base SKUs'!K:K),"")</f>
        <v>8</v>
      </c>
      <c r="R836" s="7">
        <f>IFERROR(_xlfn.XLOOKUP($A836,'Base SKUs'!$E:$E,'Base SKUs'!S:S),"")</f>
        <v>8.6400000000000001E-3</v>
      </c>
      <c r="S836" s="8">
        <f t="shared" si="67"/>
        <v>1.2700800000000001</v>
      </c>
      <c r="T836" s="7">
        <f>IFERROR(_xlfn.XLOOKUP($A836,'Base SKUs'!$E:$E,'Base SKUs'!R:R),"")</f>
        <v>911.34400000000005</v>
      </c>
      <c r="U836" s="15">
        <f t="shared" si="68"/>
        <v>1157</v>
      </c>
      <c r="V836" t="str">
        <f t="shared" si="69"/>
        <v>Miami</v>
      </c>
    </row>
    <row r="837" spans="1:22" x14ac:dyDescent="0.2">
      <c r="A837" t="s">
        <v>1174</v>
      </c>
      <c r="B837" s="5">
        <v>113</v>
      </c>
      <c r="C837" s="5">
        <v>0</v>
      </c>
      <c r="D837" s="5">
        <f t="shared" si="65"/>
        <v>113</v>
      </c>
      <c r="E837" s="6">
        <v>38.700000000000003</v>
      </c>
      <c r="F837" s="6">
        <f t="shared" si="66"/>
        <v>4373.1000000000004</v>
      </c>
      <c r="G837" t="s">
        <v>17</v>
      </c>
      <c r="H837">
        <v>9007</v>
      </c>
      <c r="I837" t="str">
        <f>IFERROR(_xlfn.XLOOKUP($A837,'Base SKUs'!$E:$E,'Base SKUs'!A:A),"")</f>
        <v>Ash</v>
      </c>
      <c r="J837" t="str">
        <f>IFERROR(_xlfn.XLOOKUP($A837,'Base SKUs'!$E:$E,'Base SKUs'!B:B),"")</f>
        <v>Ash 2x4</v>
      </c>
      <c r="K837" t="str">
        <f>IFERROR(_xlfn.XLOOKUP($A837,'Base SKUs'!$E:$E,'Base SKUs'!C:C),"")</f>
        <v>Long</v>
      </c>
      <c r="L837" t="str">
        <f>IFERROR(_xlfn.XLOOKUP($A837,'Base SKUs'!$E:$E,'Base SKUs'!D:D),"")</f>
        <v>Thermowood</v>
      </c>
      <c r="M837" t="str">
        <f>IFERROR(_xlfn.XLOOKUP($A837,'Base SKUs'!$E:$E,'Base SKUs'!G:G),"")</f>
        <v>Maximo Thermo Ash</v>
      </c>
      <c r="N837" t="str">
        <f>IFERROR(_xlfn.XLOOKUP($A837,'Base SKUs'!$E:$E,'Base SKUs'!H:H),"")</f>
        <v>S4S E4E</v>
      </c>
      <c r="O837" t="str">
        <f>IFERROR(_xlfn.XLOOKUP($A837,'Base SKUs'!$E:$E,'Base SKUs'!I:I),"")</f>
        <v>-</v>
      </c>
      <c r="P837" t="str">
        <f>IFERROR(_xlfn.XLOOKUP($A837,'Base SKUs'!$E:$E,'Base SKUs'!J:J),"")</f>
        <v>2x4</v>
      </c>
      <c r="Q837">
        <f>IFERROR(_xlfn.XLOOKUP($A837,'Base SKUs'!$E:$E,'Base SKUs'!K:K),"")</f>
        <v>9</v>
      </c>
      <c r="R837" s="7">
        <f>IFERROR(_xlfn.XLOOKUP($A837,'Base SKUs'!$E:$E,'Base SKUs'!S:S),"")</f>
        <v>9.7200000000000012E-3</v>
      </c>
      <c r="S837" s="8">
        <f t="shared" si="67"/>
        <v>1.0983600000000002</v>
      </c>
      <c r="T837" s="7">
        <f>IFERROR(_xlfn.XLOOKUP($A837,'Base SKUs'!$E:$E,'Base SKUs'!R:R),"")</f>
        <v>911.34400000000005</v>
      </c>
      <c r="U837" s="15">
        <f t="shared" si="68"/>
        <v>1001</v>
      </c>
      <c r="V837" t="str">
        <f t="shared" si="69"/>
        <v>Miami</v>
      </c>
    </row>
    <row r="838" spans="1:22" x14ac:dyDescent="0.2">
      <c r="A838" t="s">
        <v>1182</v>
      </c>
      <c r="B838" s="5">
        <v>334</v>
      </c>
      <c r="C838" s="5">
        <v>0</v>
      </c>
      <c r="D838" s="5">
        <f t="shared" si="65"/>
        <v>334</v>
      </c>
      <c r="E838" s="6">
        <v>31.220199999999998</v>
      </c>
      <c r="F838" s="6">
        <f t="shared" si="66"/>
        <v>10427.5468</v>
      </c>
      <c r="G838" t="s">
        <v>17</v>
      </c>
      <c r="H838">
        <v>9007</v>
      </c>
      <c r="I838" t="str">
        <f>IFERROR(_xlfn.XLOOKUP($A838,'Base SKUs'!$E:$E,'Base SKUs'!A:A),"")</f>
        <v>Ash</v>
      </c>
      <c r="J838" t="str">
        <f>IFERROR(_xlfn.XLOOKUP($A838,'Base SKUs'!$E:$E,'Base SKUs'!B:B),"")</f>
        <v>Ash 5/4x5 1/4</v>
      </c>
      <c r="K838" t="str">
        <f>IFERROR(_xlfn.XLOOKUP($A838,'Base SKUs'!$E:$E,'Base SKUs'!C:C),"")</f>
        <v>Long</v>
      </c>
      <c r="L838" t="str">
        <f>IFERROR(_xlfn.XLOOKUP($A838,'Base SKUs'!$E:$E,'Base SKUs'!D:D),"")</f>
        <v>Thermowood</v>
      </c>
      <c r="M838" t="str">
        <f>IFERROR(_xlfn.XLOOKUP($A838,'Base SKUs'!$E:$E,'Base SKUs'!G:G),"")</f>
        <v>Maximo Thermo Ash</v>
      </c>
      <c r="N838" t="str">
        <f>IFERROR(_xlfn.XLOOKUP($A838,'Base SKUs'!$E:$E,'Base SKUs'!H:H),"")</f>
        <v>S4S E4E</v>
      </c>
      <c r="O838" t="str">
        <f>IFERROR(_xlfn.XLOOKUP($A838,'Base SKUs'!$E:$E,'Base SKUs'!I:I),"")</f>
        <v>End Match</v>
      </c>
      <c r="P838" t="str">
        <f>IFERROR(_xlfn.XLOOKUP($A838,'Base SKUs'!$E:$E,'Base SKUs'!J:J),"")</f>
        <v>5/4x5 1/4</v>
      </c>
      <c r="Q838">
        <f>IFERROR(_xlfn.XLOOKUP($A838,'Base SKUs'!$E:$E,'Base SKUs'!K:K),"")</f>
        <v>10</v>
      </c>
      <c r="R838" s="7">
        <f>IFERROR(_xlfn.XLOOKUP($A838,'Base SKUs'!$E:$E,'Base SKUs'!S:S),"")</f>
        <v>9.75E-3</v>
      </c>
      <c r="S838" s="8">
        <f t="shared" si="67"/>
        <v>3.2565</v>
      </c>
      <c r="T838" s="7">
        <f>IFERROR(_xlfn.XLOOKUP($A838,'Base SKUs'!$E:$E,'Base SKUs'!R:R),"")</f>
        <v>1009.489</v>
      </c>
      <c r="U838" s="15">
        <f t="shared" si="68"/>
        <v>3287</v>
      </c>
      <c r="V838" t="str">
        <f t="shared" si="69"/>
        <v>Miami</v>
      </c>
    </row>
    <row r="839" spans="1:22" x14ac:dyDescent="0.2">
      <c r="A839" t="s">
        <v>1184</v>
      </c>
      <c r="B839" s="5">
        <v>350</v>
      </c>
      <c r="C839" s="5">
        <v>0</v>
      </c>
      <c r="D839" s="5">
        <f t="shared" si="65"/>
        <v>350</v>
      </c>
      <c r="E839" s="6">
        <v>18.732099999999999</v>
      </c>
      <c r="F839" s="6">
        <f t="shared" si="66"/>
        <v>6556.2349999999997</v>
      </c>
      <c r="G839" t="s">
        <v>17</v>
      </c>
      <c r="H839">
        <v>9007</v>
      </c>
      <c r="I839" t="str">
        <f>IFERROR(_xlfn.XLOOKUP($A839,'Base SKUs'!$E:$E,'Base SKUs'!A:A),"")</f>
        <v>Ash</v>
      </c>
      <c r="J839" t="str">
        <f>IFERROR(_xlfn.XLOOKUP($A839,'Base SKUs'!$E:$E,'Base SKUs'!B:B),"")</f>
        <v>Ash 5/4x5 1/4</v>
      </c>
      <c r="K839" t="str">
        <f>IFERROR(_xlfn.XLOOKUP($A839,'Base SKUs'!$E:$E,'Base SKUs'!C:C),"")</f>
        <v>Short</v>
      </c>
      <c r="L839" t="str">
        <f>IFERROR(_xlfn.XLOOKUP($A839,'Base SKUs'!$E:$E,'Base SKUs'!D:D),"")</f>
        <v>Thermowood</v>
      </c>
      <c r="M839" t="str">
        <f>IFERROR(_xlfn.XLOOKUP($A839,'Base SKUs'!$E:$E,'Base SKUs'!G:G),"")</f>
        <v>Maximo Thermo Ash</v>
      </c>
      <c r="N839" t="str">
        <f>IFERROR(_xlfn.XLOOKUP($A839,'Base SKUs'!$E:$E,'Base SKUs'!H:H),"")</f>
        <v>S4S E4E</v>
      </c>
      <c r="O839" t="str">
        <f>IFERROR(_xlfn.XLOOKUP($A839,'Base SKUs'!$E:$E,'Base SKUs'!I:I),"")</f>
        <v>End Match</v>
      </c>
      <c r="P839" t="str">
        <f>IFERROR(_xlfn.XLOOKUP($A839,'Base SKUs'!$E:$E,'Base SKUs'!J:J),"")</f>
        <v>5/4x5 1/4</v>
      </c>
      <c r="Q839">
        <f>IFERROR(_xlfn.XLOOKUP($A839,'Base SKUs'!$E:$E,'Base SKUs'!K:K),"")</f>
        <v>6</v>
      </c>
      <c r="R839" s="7">
        <f>IFERROR(_xlfn.XLOOKUP($A839,'Base SKUs'!$E:$E,'Base SKUs'!S:S),"")</f>
        <v>5.8499999999999993E-3</v>
      </c>
      <c r="S839" s="8">
        <f t="shared" si="67"/>
        <v>2.0474999999999999</v>
      </c>
      <c r="T839" s="7">
        <f>IFERROR(_xlfn.XLOOKUP($A839,'Base SKUs'!$E:$E,'Base SKUs'!R:R),"")</f>
        <v>1009.489</v>
      </c>
      <c r="U839" s="15">
        <f t="shared" si="68"/>
        <v>2067</v>
      </c>
      <c r="V839" t="str">
        <f t="shared" si="69"/>
        <v>Miami</v>
      </c>
    </row>
    <row r="840" spans="1:22" x14ac:dyDescent="0.2">
      <c r="A840" t="s">
        <v>1186</v>
      </c>
      <c r="B840" s="5">
        <v>350</v>
      </c>
      <c r="C840" s="5">
        <v>0</v>
      </c>
      <c r="D840" s="5">
        <f t="shared" si="65"/>
        <v>350</v>
      </c>
      <c r="E840" s="6">
        <v>24.976099999999999</v>
      </c>
      <c r="F840" s="6">
        <f t="shared" si="66"/>
        <v>8741.6350000000002</v>
      </c>
      <c r="G840" t="s">
        <v>17</v>
      </c>
      <c r="H840">
        <v>9007</v>
      </c>
      <c r="I840" t="str">
        <f>IFERROR(_xlfn.XLOOKUP($A840,'Base SKUs'!$E:$E,'Base SKUs'!A:A),"")</f>
        <v>Ash</v>
      </c>
      <c r="J840" t="str">
        <f>IFERROR(_xlfn.XLOOKUP($A840,'Base SKUs'!$E:$E,'Base SKUs'!B:B),"")</f>
        <v>Ash 5/4x5 1/4</v>
      </c>
      <c r="K840" t="str">
        <f>IFERROR(_xlfn.XLOOKUP($A840,'Base SKUs'!$E:$E,'Base SKUs'!C:C),"")</f>
        <v>Long</v>
      </c>
      <c r="L840" t="str">
        <f>IFERROR(_xlfn.XLOOKUP($A840,'Base SKUs'!$E:$E,'Base SKUs'!D:D),"")</f>
        <v>Thermowood</v>
      </c>
      <c r="M840" t="str">
        <f>IFERROR(_xlfn.XLOOKUP($A840,'Base SKUs'!$E:$E,'Base SKUs'!G:G),"")</f>
        <v>Maximo Thermo Ash</v>
      </c>
      <c r="N840" t="str">
        <f>IFERROR(_xlfn.XLOOKUP($A840,'Base SKUs'!$E:$E,'Base SKUs'!H:H),"")</f>
        <v>S4S E4E</v>
      </c>
      <c r="O840" t="str">
        <f>IFERROR(_xlfn.XLOOKUP($A840,'Base SKUs'!$E:$E,'Base SKUs'!I:I),"")</f>
        <v>End Match</v>
      </c>
      <c r="P840" t="str">
        <f>IFERROR(_xlfn.XLOOKUP($A840,'Base SKUs'!$E:$E,'Base SKUs'!J:J),"")</f>
        <v>5/4x5 1/4</v>
      </c>
      <c r="Q840">
        <f>IFERROR(_xlfn.XLOOKUP($A840,'Base SKUs'!$E:$E,'Base SKUs'!K:K),"")</f>
        <v>8</v>
      </c>
      <c r="R840" s="7">
        <f>IFERROR(_xlfn.XLOOKUP($A840,'Base SKUs'!$E:$E,'Base SKUs'!S:S),"")</f>
        <v>7.7999999999999996E-3</v>
      </c>
      <c r="S840" s="8">
        <f t="shared" si="67"/>
        <v>2.73</v>
      </c>
      <c r="T840" s="7">
        <f>IFERROR(_xlfn.XLOOKUP($A840,'Base SKUs'!$E:$E,'Base SKUs'!R:R),"")</f>
        <v>1009.489</v>
      </c>
      <c r="U840" s="15">
        <f t="shared" si="68"/>
        <v>2756</v>
      </c>
      <c r="V840" t="str">
        <f t="shared" si="69"/>
        <v>Miami</v>
      </c>
    </row>
    <row r="841" spans="1:22" x14ac:dyDescent="0.2">
      <c r="A841" t="s">
        <v>1188</v>
      </c>
      <c r="B841" s="5">
        <v>175</v>
      </c>
      <c r="C841" s="5">
        <v>0</v>
      </c>
      <c r="D841" s="5">
        <f t="shared" si="65"/>
        <v>175</v>
      </c>
      <c r="E841" s="6">
        <v>28.098199999999999</v>
      </c>
      <c r="F841" s="6">
        <f t="shared" si="66"/>
        <v>4917.1849999999995</v>
      </c>
      <c r="G841" t="s">
        <v>17</v>
      </c>
      <c r="H841">
        <v>9007</v>
      </c>
      <c r="I841" t="str">
        <f>IFERROR(_xlfn.XLOOKUP($A841,'Base SKUs'!$E:$E,'Base SKUs'!A:A),"")</f>
        <v>Ash</v>
      </c>
      <c r="J841" t="str">
        <f>IFERROR(_xlfn.XLOOKUP($A841,'Base SKUs'!$E:$E,'Base SKUs'!B:B),"")</f>
        <v>Ash 5/4x5 1/4</v>
      </c>
      <c r="K841" t="str">
        <f>IFERROR(_xlfn.XLOOKUP($A841,'Base SKUs'!$E:$E,'Base SKUs'!C:C),"")</f>
        <v>Long</v>
      </c>
      <c r="L841" t="str">
        <f>IFERROR(_xlfn.XLOOKUP($A841,'Base SKUs'!$E:$E,'Base SKUs'!D:D),"")</f>
        <v>Thermowood</v>
      </c>
      <c r="M841" t="str">
        <f>IFERROR(_xlfn.XLOOKUP($A841,'Base SKUs'!$E:$E,'Base SKUs'!G:G),"")</f>
        <v>Maximo Thermo Ash</v>
      </c>
      <c r="N841" t="str">
        <f>IFERROR(_xlfn.XLOOKUP($A841,'Base SKUs'!$E:$E,'Base SKUs'!H:H),"")</f>
        <v>S4S E4E</v>
      </c>
      <c r="O841" t="str">
        <f>IFERROR(_xlfn.XLOOKUP($A841,'Base SKUs'!$E:$E,'Base SKUs'!I:I),"")</f>
        <v>End Match</v>
      </c>
      <c r="P841" t="str">
        <f>IFERROR(_xlfn.XLOOKUP($A841,'Base SKUs'!$E:$E,'Base SKUs'!J:J),"")</f>
        <v>5/4x5 1/4</v>
      </c>
      <c r="Q841">
        <f>IFERROR(_xlfn.XLOOKUP($A841,'Base SKUs'!$E:$E,'Base SKUs'!K:K),"")</f>
        <v>9</v>
      </c>
      <c r="R841" s="7">
        <f>IFERROR(_xlfn.XLOOKUP($A841,'Base SKUs'!$E:$E,'Base SKUs'!S:S),"")</f>
        <v>8.7749999999999998E-3</v>
      </c>
      <c r="S841" s="8">
        <f t="shared" si="67"/>
        <v>1.535625</v>
      </c>
      <c r="T841" s="7">
        <f>IFERROR(_xlfn.XLOOKUP($A841,'Base SKUs'!$E:$E,'Base SKUs'!R:R),"")</f>
        <v>1009.489</v>
      </c>
      <c r="U841" s="15">
        <f t="shared" si="68"/>
        <v>1550</v>
      </c>
      <c r="V841" t="str">
        <f t="shared" si="69"/>
        <v>Miami</v>
      </c>
    </row>
    <row r="842" spans="1:22" x14ac:dyDescent="0.2">
      <c r="A842" t="s">
        <v>1190</v>
      </c>
      <c r="B842" s="5">
        <v>242</v>
      </c>
      <c r="C842" s="5">
        <v>4</v>
      </c>
      <c r="D842" s="5">
        <f t="shared" si="65"/>
        <v>238</v>
      </c>
      <c r="E842" s="6">
        <v>34.879800000000003</v>
      </c>
      <c r="F842" s="6">
        <f t="shared" si="66"/>
        <v>8440.9116000000013</v>
      </c>
      <c r="G842" t="s">
        <v>17</v>
      </c>
      <c r="H842">
        <v>9007</v>
      </c>
      <c r="I842" t="str">
        <f>IFERROR(_xlfn.XLOOKUP($A842,'Base SKUs'!$E:$E,'Base SKUs'!A:A),"")</f>
        <v>Ash</v>
      </c>
      <c r="J842" t="str">
        <f>IFERROR(_xlfn.XLOOKUP($A842,'Base SKUs'!$E:$E,'Base SKUs'!B:B),"")</f>
        <v>Ash 5/4x6</v>
      </c>
      <c r="K842" t="str">
        <f>IFERROR(_xlfn.XLOOKUP($A842,'Base SKUs'!$E:$E,'Base SKUs'!C:C),"")</f>
        <v>Long</v>
      </c>
      <c r="L842" t="str">
        <f>IFERROR(_xlfn.XLOOKUP($A842,'Base SKUs'!$E:$E,'Base SKUs'!D:D),"")</f>
        <v>Thermowood</v>
      </c>
      <c r="M842" t="str">
        <f>IFERROR(_xlfn.XLOOKUP($A842,'Base SKUs'!$E:$E,'Base SKUs'!G:G),"")</f>
        <v>Maximo Thermo Ash</v>
      </c>
      <c r="N842" t="str">
        <f>IFERROR(_xlfn.XLOOKUP($A842,'Base SKUs'!$E:$E,'Base SKUs'!H:H),"")</f>
        <v>S4S E4E</v>
      </c>
      <c r="O842" t="str">
        <f>IFERROR(_xlfn.XLOOKUP($A842,'Base SKUs'!$E:$E,'Base SKUs'!I:I),"")</f>
        <v>End Match</v>
      </c>
      <c r="P842" t="str">
        <f>IFERROR(_xlfn.XLOOKUP($A842,'Base SKUs'!$E:$E,'Base SKUs'!J:J),"")</f>
        <v>5/4x6</v>
      </c>
      <c r="Q842">
        <f>IFERROR(_xlfn.XLOOKUP($A842,'Base SKUs'!$E:$E,'Base SKUs'!K:K),"")</f>
        <v>10</v>
      </c>
      <c r="R842" s="7">
        <f>IFERROR(_xlfn.XLOOKUP($A842,'Base SKUs'!$E:$E,'Base SKUs'!S:S),"")</f>
        <v>1.0500000000000001E-2</v>
      </c>
      <c r="S842" s="8">
        <f t="shared" si="67"/>
        <v>2.4990000000000001</v>
      </c>
      <c r="T842" s="7">
        <f>IFERROR(_xlfn.XLOOKUP($A842,'Base SKUs'!$E:$E,'Base SKUs'!R:R),"")</f>
        <v>937.38300000000004</v>
      </c>
      <c r="U842" s="15">
        <f t="shared" si="68"/>
        <v>2343</v>
      </c>
      <c r="V842" t="str">
        <f t="shared" si="69"/>
        <v>Miami</v>
      </c>
    </row>
    <row r="843" spans="1:22" x14ac:dyDescent="0.2">
      <c r="A843" t="s">
        <v>1194</v>
      </c>
      <c r="B843" s="5">
        <v>2</v>
      </c>
      <c r="C843" s="5">
        <v>2</v>
      </c>
      <c r="D843" s="5">
        <f t="shared" si="65"/>
        <v>0</v>
      </c>
      <c r="E843" s="6">
        <v>19.8977</v>
      </c>
      <c r="F843" s="6">
        <f t="shared" si="66"/>
        <v>39.795400000000001</v>
      </c>
      <c r="G843" t="s">
        <v>330</v>
      </c>
      <c r="H843">
        <v>9011</v>
      </c>
      <c r="I843" t="str">
        <f>IFERROR(_xlfn.XLOOKUP($A843,'Base SKUs'!$E:$E,'Base SKUs'!A:A),"")</f>
        <v>Ash</v>
      </c>
      <c r="J843" t="str">
        <f>IFERROR(_xlfn.XLOOKUP($A843,'Base SKUs'!$E:$E,'Base SKUs'!B:B),"")</f>
        <v>Ash 5/4x6</v>
      </c>
      <c r="K843" t="str">
        <f>IFERROR(_xlfn.XLOOKUP($A843,'Base SKUs'!$E:$E,'Base SKUs'!C:C),"")</f>
        <v>Short</v>
      </c>
      <c r="L843" t="str">
        <f>IFERROR(_xlfn.XLOOKUP($A843,'Base SKUs'!$E:$E,'Base SKUs'!D:D),"")</f>
        <v>Thermowood</v>
      </c>
      <c r="M843" t="str">
        <f>IFERROR(_xlfn.XLOOKUP($A843,'Base SKUs'!$E:$E,'Base SKUs'!G:G),"")</f>
        <v>Maximo Thermo Ash</v>
      </c>
      <c r="N843" t="str">
        <f>IFERROR(_xlfn.XLOOKUP($A843,'Base SKUs'!$E:$E,'Base SKUs'!H:H),"")</f>
        <v>S4S E4E</v>
      </c>
      <c r="O843" t="str">
        <f>IFERROR(_xlfn.XLOOKUP($A843,'Base SKUs'!$E:$E,'Base SKUs'!I:I),"")</f>
        <v>End Match</v>
      </c>
      <c r="P843" t="str">
        <f>IFERROR(_xlfn.XLOOKUP($A843,'Base SKUs'!$E:$E,'Base SKUs'!J:J),"")</f>
        <v>5/4x6</v>
      </c>
      <c r="Q843">
        <f>IFERROR(_xlfn.XLOOKUP($A843,'Base SKUs'!$E:$E,'Base SKUs'!K:K),"")</f>
        <v>6</v>
      </c>
      <c r="R843" s="7">
        <f>IFERROR(_xlfn.XLOOKUP($A843,'Base SKUs'!$E:$E,'Base SKUs'!S:S),"")</f>
        <v>6.3E-3</v>
      </c>
      <c r="S843" s="8">
        <f t="shared" si="67"/>
        <v>0</v>
      </c>
      <c r="T843" s="7">
        <f>IFERROR(_xlfn.XLOOKUP($A843,'Base SKUs'!$E:$E,'Base SKUs'!R:R),"")</f>
        <v>937.38300000000004</v>
      </c>
      <c r="U843" s="15">
        <f t="shared" si="68"/>
        <v>0</v>
      </c>
      <c r="V843" t="str">
        <f t="shared" si="69"/>
        <v>New York</v>
      </c>
    </row>
    <row r="844" spans="1:22" x14ac:dyDescent="0.2">
      <c r="A844" t="s">
        <v>1196</v>
      </c>
      <c r="B844" s="5">
        <v>5</v>
      </c>
      <c r="C844" s="5">
        <v>0</v>
      </c>
      <c r="D844" s="5">
        <f t="shared" si="65"/>
        <v>5</v>
      </c>
      <c r="E844" s="6">
        <v>23.213999999999999</v>
      </c>
      <c r="F844" s="6">
        <f t="shared" si="66"/>
        <v>116.07</v>
      </c>
      <c r="G844" t="s">
        <v>17</v>
      </c>
      <c r="H844">
        <v>9007</v>
      </c>
      <c r="I844" t="str">
        <f>IFERROR(_xlfn.XLOOKUP($A844,'Base SKUs'!$E:$E,'Base SKUs'!A:A),"")</f>
        <v>Ash</v>
      </c>
      <c r="J844" t="str">
        <f>IFERROR(_xlfn.XLOOKUP($A844,'Base SKUs'!$E:$E,'Base SKUs'!B:B),"")</f>
        <v>Ash 5/4x6</v>
      </c>
      <c r="K844" t="str">
        <f>IFERROR(_xlfn.XLOOKUP($A844,'Base SKUs'!$E:$E,'Base SKUs'!C:C),"")</f>
        <v>Short</v>
      </c>
      <c r="L844" t="str">
        <f>IFERROR(_xlfn.XLOOKUP($A844,'Base SKUs'!$E:$E,'Base SKUs'!D:D),"")</f>
        <v>Thermowood</v>
      </c>
      <c r="M844" t="str">
        <f>IFERROR(_xlfn.XLOOKUP($A844,'Base SKUs'!$E:$E,'Base SKUs'!G:G),"")</f>
        <v>Maximo Thermo Ash</v>
      </c>
      <c r="N844" t="str">
        <f>IFERROR(_xlfn.XLOOKUP($A844,'Base SKUs'!$E:$E,'Base SKUs'!H:H),"")</f>
        <v>S4S E4E</v>
      </c>
      <c r="O844" t="str">
        <f>IFERROR(_xlfn.XLOOKUP($A844,'Base SKUs'!$E:$E,'Base SKUs'!I:I),"")</f>
        <v>End Match</v>
      </c>
      <c r="P844" t="str">
        <f>IFERROR(_xlfn.XLOOKUP($A844,'Base SKUs'!$E:$E,'Base SKUs'!J:J),"")</f>
        <v>5/4x6</v>
      </c>
      <c r="Q844">
        <f>IFERROR(_xlfn.XLOOKUP($A844,'Base SKUs'!$E:$E,'Base SKUs'!K:K),"")</f>
        <v>7</v>
      </c>
      <c r="R844" s="7">
        <f>IFERROR(_xlfn.XLOOKUP($A844,'Base SKUs'!$E:$E,'Base SKUs'!S:S),"")</f>
        <v>7.3499999999999998E-3</v>
      </c>
      <c r="S844" s="8">
        <f t="shared" si="67"/>
        <v>3.6749999999999998E-2</v>
      </c>
      <c r="T844" s="7">
        <f>IFERROR(_xlfn.XLOOKUP($A844,'Base SKUs'!$E:$E,'Base SKUs'!R:R),"")</f>
        <v>937.38300000000004</v>
      </c>
      <c r="U844" s="15">
        <f t="shared" si="68"/>
        <v>34</v>
      </c>
      <c r="V844" t="str">
        <f t="shared" si="69"/>
        <v>Miami</v>
      </c>
    </row>
    <row r="845" spans="1:22" x14ac:dyDescent="0.2">
      <c r="A845" t="s">
        <v>1196</v>
      </c>
      <c r="B845" s="5">
        <v>1</v>
      </c>
      <c r="C845" s="5">
        <v>1</v>
      </c>
      <c r="D845" s="5">
        <f t="shared" si="65"/>
        <v>0</v>
      </c>
      <c r="E845" s="6">
        <v>23.213999999999999</v>
      </c>
      <c r="F845" s="6">
        <f t="shared" si="66"/>
        <v>23.213999999999999</v>
      </c>
      <c r="G845" t="s">
        <v>330</v>
      </c>
      <c r="H845">
        <v>9011</v>
      </c>
      <c r="I845" t="str">
        <f>IFERROR(_xlfn.XLOOKUP($A845,'Base SKUs'!$E:$E,'Base SKUs'!A:A),"")</f>
        <v>Ash</v>
      </c>
      <c r="J845" t="str">
        <f>IFERROR(_xlfn.XLOOKUP($A845,'Base SKUs'!$E:$E,'Base SKUs'!B:B),"")</f>
        <v>Ash 5/4x6</v>
      </c>
      <c r="K845" t="str">
        <f>IFERROR(_xlfn.XLOOKUP($A845,'Base SKUs'!$E:$E,'Base SKUs'!C:C),"")</f>
        <v>Short</v>
      </c>
      <c r="L845" t="str">
        <f>IFERROR(_xlfn.XLOOKUP($A845,'Base SKUs'!$E:$E,'Base SKUs'!D:D),"")</f>
        <v>Thermowood</v>
      </c>
      <c r="M845" t="str">
        <f>IFERROR(_xlfn.XLOOKUP($A845,'Base SKUs'!$E:$E,'Base SKUs'!G:G),"")</f>
        <v>Maximo Thermo Ash</v>
      </c>
      <c r="N845" t="str">
        <f>IFERROR(_xlfn.XLOOKUP($A845,'Base SKUs'!$E:$E,'Base SKUs'!H:H),"")</f>
        <v>S4S E4E</v>
      </c>
      <c r="O845" t="str">
        <f>IFERROR(_xlfn.XLOOKUP($A845,'Base SKUs'!$E:$E,'Base SKUs'!I:I),"")</f>
        <v>End Match</v>
      </c>
      <c r="P845" t="str">
        <f>IFERROR(_xlfn.XLOOKUP($A845,'Base SKUs'!$E:$E,'Base SKUs'!J:J),"")</f>
        <v>5/4x6</v>
      </c>
      <c r="Q845">
        <f>IFERROR(_xlfn.XLOOKUP($A845,'Base SKUs'!$E:$E,'Base SKUs'!K:K),"")</f>
        <v>7</v>
      </c>
      <c r="R845" s="7">
        <f>IFERROR(_xlfn.XLOOKUP($A845,'Base SKUs'!$E:$E,'Base SKUs'!S:S),"")</f>
        <v>7.3499999999999998E-3</v>
      </c>
      <c r="S845" s="8">
        <f t="shared" si="67"/>
        <v>0</v>
      </c>
      <c r="T845" s="7">
        <f>IFERROR(_xlfn.XLOOKUP($A845,'Base SKUs'!$E:$E,'Base SKUs'!R:R),"")</f>
        <v>937.38300000000004</v>
      </c>
      <c r="U845" s="15">
        <f t="shared" si="68"/>
        <v>0</v>
      </c>
      <c r="V845" t="str">
        <f t="shared" si="69"/>
        <v>New York</v>
      </c>
    </row>
    <row r="846" spans="1:22" x14ac:dyDescent="0.2">
      <c r="A846" t="s">
        <v>1198</v>
      </c>
      <c r="B846" s="5">
        <v>890</v>
      </c>
      <c r="C846" s="5">
        <v>8</v>
      </c>
      <c r="D846" s="5">
        <f t="shared" si="65"/>
        <v>882</v>
      </c>
      <c r="E846" s="6">
        <v>26.957599999999999</v>
      </c>
      <c r="F846" s="6">
        <f t="shared" si="66"/>
        <v>23992.263999999999</v>
      </c>
      <c r="G846" t="s">
        <v>17</v>
      </c>
      <c r="H846">
        <v>9007</v>
      </c>
      <c r="I846" t="str">
        <f>IFERROR(_xlfn.XLOOKUP($A846,'Base SKUs'!$E:$E,'Base SKUs'!A:A),"")</f>
        <v>Ash</v>
      </c>
      <c r="J846" t="str">
        <f>IFERROR(_xlfn.XLOOKUP($A846,'Base SKUs'!$E:$E,'Base SKUs'!B:B),"")</f>
        <v>Ash 5/4x6</v>
      </c>
      <c r="K846" t="str">
        <f>IFERROR(_xlfn.XLOOKUP($A846,'Base SKUs'!$E:$E,'Base SKUs'!C:C),"")</f>
        <v>Long</v>
      </c>
      <c r="L846" t="str">
        <f>IFERROR(_xlfn.XLOOKUP($A846,'Base SKUs'!$E:$E,'Base SKUs'!D:D),"")</f>
        <v>Thermowood</v>
      </c>
      <c r="M846" t="str">
        <f>IFERROR(_xlfn.XLOOKUP($A846,'Base SKUs'!$E:$E,'Base SKUs'!G:G),"")</f>
        <v>Maximo Thermo Ash</v>
      </c>
      <c r="N846" t="str">
        <f>IFERROR(_xlfn.XLOOKUP($A846,'Base SKUs'!$E:$E,'Base SKUs'!H:H),"")</f>
        <v>S4S E4E</v>
      </c>
      <c r="O846" t="str">
        <f>IFERROR(_xlfn.XLOOKUP($A846,'Base SKUs'!$E:$E,'Base SKUs'!I:I),"")</f>
        <v>End Match</v>
      </c>
      <c r="P846" t="str">
        <f>IFERROR(_xlfn.XLOOKUP($A846,'Base SKUs'!$E:$E,'Base SKUs'!J:J),"")</f>
        <v>5/4x6</v>
      </c>
      <c r="Q846">
        <f>IFERROR(_xlfn.XLOOKUP($A846,'Base SKUs'!$E:$E,'Base SKUs'!K:K),"")</f>
        <v>8</v>
      </c>
      <c r="R846" s="7">
        <f>IFERROR(_xlfn.XLOOKUP($A846,'Base SKUs'!$E:$E,'Base SKUs'!S:S),"")</f>
        <v>8.4000000000000012E-3</v>
      </c>
      <c r="S846" s="8">
        <f t="shared" si="67"/>
        <v>7.4088000000000012</v>
      </c>
      <c r="T846" s="7">
        <f>IFERROR(_xlfn.XLOOKUP($A846,'Base SKUs'!$E:$E,'Base SKUs'!R:R),"")</f>
        <v>937.38300000000004</v>
      </c>
      <c r="U846" s="15">
        <f t="shared" si="68"/>
        <v>6945</v>
      </c>
      <c r="V846" t="str">
        <f t="shared" si="69"/>
        <v>Miami</v>
      </c>
    </row>
    <row r="847" spans="1:22" x14ac:dyDescent="0.2">
      <c r="A847" t="s">
        <v>1198</v>
      </c>
      <c r="B847" s="5">
        <v>109</v>
      </c>
      <c r="C847" s="5">
        <v>0</v>
      </c>
      <c r="D847" s="5">
        <f t="shared" si="65"/>
        <v>109</v>
      </c>
      <c r="E847" s="6">
        <v>26.5303</v>
      </c>
      <c r="F847" s="6">
        <f t="shared" si="66"/>
        <v>2891.8027000000002</v>
      </c>
      <c r="G847" t="s">
        <v>24</v>
      </c>
      <c r="H847">
        <v>9008</v>
      </c>
      <c r="I847" t="str">
        <f>IFERROR(_xlfn.XLOOKUP($A847,'Base SKUs'!$E:$E,'Base SKUs'!A:A),"")</f>
        <v>Ash</v>
      </c>
      <c r="J847" t="str">
        <f>IFERROR(_xlfn.XLOOKUP($A847,'Base SKUs'!$E:$E,'Base SKUs'!B:B),"")</f>
        <v>Ash 5/4x6</v>
      </c>
      <c r="K847" t="str">
        <f>IFERROR(_xlfn.XLOOKUP($A847,'Base SKUs'!$E:$E,'Base SKUs'!C:C),"")</f>
        <v>Long</v>
      </c>
      <c r="L847" t="str">
        <f>IFERROR(_xlfn.XLOOKUP($A847,'Base SKUs'!$E:$E,'Base SKUs'!D:D),"")</f>
        <v>Thermowood</v>
      </c>
      <c r="M847" t="str">
        <f>IFERROR(_xlfn.XLOOKUP($A847,'Base SKUs'!$E:$E,'Base SKUs'!G:G),"")</f>
        <v>Maximo Thermo Ash</v>
      </c>
      <c r="N847" t="str">
        <f>IFERROR(_xlfn.XLOOKUP($A847,'Base SKUs'!$E:$E,'Base SKUs'!H:H),"")</f>
        <v>S4S E4E</v>
      </c>
      <c r="O847" t="str">
        <f>IFERROR(_xlfn.XLOOKUP($A847,'Base SKUs'!$E:$E,'Base SKUs'!I:I),"")</f>
        <v>End Match</v>
      </c>
      <c r="P847" t="str">
        <f>IFERROR(_xlfn.XLOOKUP($A847,'Base SKUs'!$E:$E,'Base SKUs'!J:J),"")</f>
        <v>5/4x6</v>
      </c>
      <c r="Q847">
        <f>IFERROR(_xlfn.XLOOKUP($A847,'Base SKUs'!$E:$E,'Base SKUs'!K:K),"")</f>
        <v>8</v>
      </c>
      <c r="R847" s="7">
        <f>IFERROR(_xlfn.XLOOKUP($A847,'Base SKUs'!$E:$E,'Base SKUs'!S:S),"")</f>
        <v>8.4000000000000012E-3</v>
      </c>
      <c r="S847" s="8">
        <f t="shared" si="67"/>
        <v>0.91560000000000008</v>
      </c>
      <c r="T847" s="7">
        <f>IFERROR(_xlfn.XLOOKUP($A847,'Base SKUs'!$E:$E,'Base SKUs'!R:R),"")</f>
        <v>937.38300000000004</v>
      </c>
      <c r="U847" s="15">
        <f t="shared" si="68"/>
        <v>858</v>
      </c>
      <c r="V847" t="str">
        <f t="shared" si="69"/>
        <v>Texas</v>
      </c>
    </row>
    <row r="848" spans="1:22" x14ac:dyDescent="0.2">
      <c r="A848" t="s">
        <v>1200</v>
      </c>
      <c r="B848" s="5">
        <v>121</v>
      </c>
      <c r="C848" s="5">
        <v>12</v>
      </c>
      <c r="D848" s="5">
        <f t="shared" si="65"/>
        <v>109</v>
      </c>
      <c r="E848" s="6">
        <v>31.111599999999999</v>
      </c>
      <c r="F848" s="6">
        <f t="shared" si="66"/>
        <v>3764.5036</v>
      </c>
      <c r="G848" t="s">
        <v>17</v>
      </c>
      <c r="H848">
        <v>9007</v>
      </c>
      <c r="I848" t="str">
        <f>IFERROR(_xlfn.XLOOKUP($A848,'Base SKUs'!$E:$E,'Base SKUs'!A:A),"")</f>
        <v>Ash</v>
      </c>
      <c r="J848" t="str">
        <f>IFERROR(_xlfn.XLOOKUP($A848,'Base SKUs'!$E:$E,'Base SKUs'!B:B),"")</f>
        <v>Ash 5/4x6</v>
      </c>
      <c r="K848" t="str">
        <f>IFERROR(_xlfn.XLOOKUP($A848,'Base SKUs'!$E:$E,'Base SKUs'!C:C),"")</f>
        <v>Long</v>
      </c>
      <c r="L848" t="str">
        <f>IFERROR(_xlfn.XLOOKUP($A848,'Base SKUs'!$E:$E,'Base SKUs'!D:D),"")</f>
        <v>Thermowood</v>
      </c>
      <c r="M848" t="str">
        <f>IFERROR(_xlfn.XLOOKUP($A848,'Base SKUs'!$E:$E,'Base SKUs'!G:G),"")</f>
        <v>Maximo Thermo Ash</v>
      </c>
      <c r="N848" t="str">
        <f>IFERROR(_xlfn.XLOOKUP($A848,'Base SKUs'!$E:$E,'Base SKUs'!H:H),"")</f>
        <v>S4S E4E</v>
      </c>
      <c r="O848" t="str">
        <f>IFERROR(_xlfn.XLOOKUP($A848,'Base SKUs'!$E:$E,'Base SKUs'!I:I),"")</f>
        <v>End Match</v>
      </c>
      <c r="P848" t="str">
        <f>IFERROR(_xlfn.XLOOKUP($A848,'Base SKUs'!$E:$E,'Base SKUs'!J:J),"")</f>
        <v>5/4x6</v>
      </c>
      <c r="Q848">
        <f>IFERROR(_xlfn.XLOOKUP($A848,'Base SKUs'!$E:$E,'Base SKUs'!K:K),"")</f>
        <v>9</v>
      </c>
      <c r="R848" s="7">
        <f>IFERROR(_xlfn.XLOOKUP($A848,'Base SKUs'!$E:$E,'Base SKUs'!S:S),"")</f>
        <v>9.4500000000000018E-3</v>
      </c>
      <c r="S848" s="8">
        <f t="shared" si="67"/>
        <v>1.0300500000000001</v>
      </c>
      <c r="T848" s="7">
        <f>IFERROR(_xlfn.XLOOKUP($A848,'Base SKUs'!$E:$E,'Base SKUs'!R:R),"")</f>
        <v>937.38300000000004</v>
      </c>
      <c r="U848" s="15">
        <f t="shared" si="68"/>
        <v>966</v>
      </c>
      <c r="V848" t="str">
        <f t="shared" si="69"/>
        <v>Miami</v>
      </c>
    </row>
    <row r="849" spans="1:22" x14ac:dyDescent="0.2">
      <c r="A849" t="s">
        <v>1200</v>
      </c>
      <c r="B849" s="5">
        <v>133</v>
      </c>
      <c r="C849" s="5">
        <v>0</v>
      </c>
      <c r="D849" s="5">
        <f t="shared" si="65"/>
        <v>133</v>
      </c>
      <c r="E849" s="6">
        <v>29.846599999999999</v>
      </c>
      <c r="F849" s="6">
        <f t="shared" si="66"/>
        <v>3969.5978</v>
      </c>
      <c r="G849" t="s">
        <v>24</v>
      </c>
      <c r="H849">
        <v>9008</v>
      </c>
      <c r="I849" t="str">
        <f>IFERROR(_xlfn.XLOOKUP($A849,'Base SKUs'!$E:$E,'Base SKUs'!A:A),"")</f>
        <v>Ash</v>
      </c>
      <c r="J849" t="str">
        <f>IFERROR(_xlfn.XLOOKUP($A849,'Base SKUs'!$E:$E,'Base SKUs'!B:B),"")</f>
        <v>Ash 5/4x6</v>
      </c>
      <c r="K849" t="str">
        <f>IFERROR(_xlfn.XLOOKUP($A849,'Base SKUs'!$E:$E,'Base SKUs'!C:C),"")</f>
        <v>Long</v>
      </c>
      <c r="L849" t="str">
        <f>IFERROR(_xlfn.XLOOKUP($A849,'Base SKUs'!$E:$E,'Base SKUs'!D:D),"")</f>
        <v>Thermowood</v>
      </c>
      <c r="M849" t="str">
        <f>IFERROR(_xlfn.XLOOKUP($A849,'Base SKUs'!$E:$E,'Base SKUs'!G:G),"")</f>
        <v>Maximo Thermo Ash</v>
      </c>
      <c r="N849" t="str">
        <f>IFERROR(_xlfn.XLOOKUP($A849,'Base SKUs'!$E:$E,'Base SKUs'!H:H),"")</f>
        <v>S4S E4E</v>
      </c>
      <c r="O849" t="str">
        <f>IFERROR(_xlfn.XLOOKUP($A849,'Base SKUs'!$E:$E,'Base SKUs'!I:I),"")</f>
        <v>End Match</v>
      </c>
      <c r="P849" t="str">
        <f>IFERROR(_xlfn.XLOOKUP($A849,'Base SKUs'!$E:$E,'Base SKUs'!J:J),"")</f>
        <v>5/4x6</v>
      </c>
      <c r="Q849">
        <f>IFERROR(_xlfn.XLOOKUP($A849,'Base SKUs'!$E:$E,'Base SKUs'!K:K),"")</f>
        <v>9</v>
      </c>
      <c r="R849" s="7">
        <f>IFERROR(_xlfn.XLOOKUP($A849,'Base SKUs'!$E:$E,'Base SKUs'!S:S),"")</f>
        <v>9.4500000000000018E-3</v>
      </c>
      <c r="S849" s="8">
        <f t="shared" si="67"/>
        <v>1.2568500000000002</v>
      </c>
      <c r="T849" s="7">
        <f>IFERROR(_xlfn.XLOOKUP($A849,'Base SKUs'!$E:$E,'Base SKUs'!R:R),"")</f>
        <v>937.38300000000004</v>
      </c>
      <c r="U849" s="15">
        <f t="shared" si="68"/>
        <v>1178</v>
      </c>
      <c r="V849" t="str">
        <f t="shared" si="69"/>
        <v>Texas</v>
      </c>
    </row>
    <row r="850" spans="1:22" x14ac:dyDescent="0.2">
      <c r="A850" t="s">
        <v>1207</v>
      </c>
      <c r="B850" s="5">
        <v>151</v>
      </c>
      <c r="C850" s="5">
        <v>0</v>
      </c>
      <c r="D850" s="5">
        <f t="shared" si="65"/>
        <v>151</v>
      </c>
      <c r="E850" s="6">
        <v>18.739000000000001</v>
      </c>
      <c r="F850" s="6">
        <f t="shared" si="66"/>
        <v>2829.5889999999999</v>
      </c>
      <c r="G850" t="s">
        <v>330</v>
      </c>
      <c r="H850">
        <v>9011</v>
      </c>
      <c r="I850" t="str">
        <f>IFERROR(_xlfn.XLOOKUP($A850,'Base SKUs'!$E:$E,'Base SKUs'!A:A),"")</f>
        <v>Ayous</v>
      </c>
      <c r="J850" t="str">
        <f>IFERROR(_xlfn.XLOOKUP($A850,'Base SKUs'!$E:$E,'Base SKUs'!B:B),"")</f>
        <v>Ayous 2x3</v>
      </c>
      <c r="K850" t="str">
        <f>IFERROR(_xlfn.XLOOKUP($A850,'Base SKUs'!$E:$E,'Base SKUs'!C:C),"")</f>
        <v>Long</v>
      </c>
      <c r="L850" t="str">
        <f>IFERROR(_xlfn.XLOOKUP($A850,'Base SKUs'!$E:$E,'Base SKUs'!D:D),"")</f>
        <v>Thermowood</v>
      </c>
      <c r="M850" t="str">
        <f>IFERROR(_xlfn.XLOOKUP($A850,'Base SKUs'!$E:$E,'Base SKUs'!G:G),"")</f>
        <v>Maximo Thermo Ayous</v>
      </c>
      <c r="N850" t="str">
        <f>IFERROR(_xlfn.XLOOKUP($A850,'Base SKUs'!$E:$E,'Base SKUs'!H:H),"")</f>
        <v>S4S E4E</v>
      </c>
      <c r="O850" t="str">
        <f>IFERROR(_xlfn.XLOOKUP($A850,'Base SKUs'!$E:$E,'Base SKUs'!I:I),"")</f>
        <v>-</v>
      </c>
      <c r="P850" t="str">
        <f>IFERROR(_xlfn.XLOOKUP($A850,'Base SKUs'!$E:$E,'Base SKUs'!J:J),"")</f>
        <v>2x3</v>
      </c>
      <c r="Q850">
        <f>IFERROR(_xlfn.XLOOKUP($A850,'Base SKUs'!$E:$E,'Base SKUs'!K:K),"")</f>
        <v>11</v>
      </c>
      <c r="R850" s="7">
        <f>IFERROR(_xlfn.XLOOKUP($A850,'Base SKUs'!$E:$E,'Base SKUs'!S:S),"")</f>
        <v>8.5800000000000008E-3</v>
      </c>
      <c r="S850" s="8">
        <f t="shared" si="67"/>
        <v>1.2955800000000002</v>
      </c>
      <c r="T850" s="7">
        <f>IFERROR(_xlfn.XLOOKUP($A850,'Base SKUs'!$E:$E,'Base SKUs'!R:R),"")</f>
        <v>1261.8610000000001</v>
      </c>
      <c r="U850" s="15">
        <f t="shared" si="68"/>
        <v>1635</v>
      </c>
      <c r="V850" t="str">
        <f t="shared" si="69"/>
        <v>New York</v>
      </c>
    </row>
    <row r="851" spans="1:22" x14ac:dyDescent="0.2">
      <c r="A851" t="s">
        <v>1209</v>
      </c>
      <c r="B851" s="5">
        <v>6</v>
      </c>
      <c r="C851" s="5">
        <v>0</v>
      </c>
      <c r="D851" s="5">
        <f t="shared" si="65"/>
        <v>6</v>
      </c>
      <c r="E851" s="6">
        <v>13.628399999999999</v>
      </c>
      <c r="F851" s="6">
        <f t="shared" si="66"/>
        <v>81.770399999999995</v>
      </c>
      <c r="G851" t="s">
        <v>330</v>
      </c>
      <c r="H851">
        <v>9011</v>
      </c>
      <c r="I851" t="str">
        <f>IFERROR(_xlfn.XLOOKUP($A851,'Base SKUs'!$E:$E,'Base SKUs'!A:A),"")</f>
        <v>Ayous</v>
      </c>
      <c r="J851" t="str">
        <f>IFERROR(_xlfn.XLOOKUP($A851,'Base SKUs'!$E:$E,'Base SKUs'!B:B),"")</f>
        <v>Ayous 2x3</v>
      </c>
      <c r="K851" t="str">
        <f>IFERROR(_xlfn.XLOOKUP($A851,'Base SKUs'!$E:$E,'Base SKUs'!C:C),"")</f>
        <v>Long</v>
      </c>
      <c r="L851" t="str">
        <f>IFERROR(_xlfn.XLOOKUP($A851,'Base SKUs'!$E:$E,'Base SKUs'!D:D),"")</f>
        <v>Thermowood</v>
      </c>
      <c r="M851" t="str">
        <f>IFERROR(_xlfn.XLOOKUP($A851,'Base SKUs'!$E:$E,'Base SKUs'!G:G),"")</f>
        <v>Maximo Thermo Ayous</v>
      </c>
      <c r="N851" t="str">
        <f>IFERROR(_xlfn.XLOOKUP($A851,'Base SKUs'!$E:$E,'Base SKUs'!H:H),"")</f>
        <v>S4S E4E</v>
      </c>
      <c r="O851" t="str">
        <f>IFERROR(_xlfn.XLOOKUP($A851,'Base SKUs'!$E:$E,'Base SKUs'!I:I),"")</f>
        <v>-</v>
      </c>
      <c r="P851" t="str">
        <f>IFERROR(_xlfn.XLOOKUP($A851,'Base SKUs'!$E:$E,'Base SKUs'!J:J),"")</f>
        <v>2x3</v>
      </c>
      <c r="Q851">
        <f>IFERROR(_xlfn.XLOOKUP($A851,'Base SKUs'!$E:$E,'Base SKUs'!K:K),"")</f>
        <v>8</v>
      </c>
      <c r="R851" s="7">
        <f>IFERROR(_xlfn.XLOOKUP($A851,'Base SKUs'!$E:$E,'Base SKUs'!S:S),"")</f>
        <v>6.2399999999999999E-3</v>
      </c>
      <c r="S851" s="8">
        <f t="shared" si="67"/>
        <v>3.7440000000000001E-2</v>
      </c>
      <c r="T851" s="7">
        <f>IFERROR(_xlfn.XLOOKUP($A851,'Base SKUs'!$E:$E,'Base SKUs'!R:R),"")</f>
        <v>1261.8610000000001</v>
      </c>
      <c r="U851" s="15">
        <f t="shared" si="68"/>
        <v>47</v>
      </c>
      <c r="V851" t="str">
        <f t="shared" si="69"/>
        <v>New York</v>
      </c>
    </row>
    <row r="852" spans="1:22" x14ac:dyDescent="0.2">
      <c r="A852" t="s">
        <v>1211</v>
      </c>
      <c r="B852" s="5">
        <v>6</v>
      </c>
      <c r="C852" s="5">
        <v>0</v>
      </c>
      <c r="D852" s="5">
        <f t="shared" si="65"/>
        <v>6</v>
      </c>
      <c r="E852" s="6">
        <v>15.331899999999999</v>
      </c>
      <c r="F852" s="6">
        <f t="shared" si="66"/>
        <v>91.991399999999999</v>
      </c>
      <c r="G852" t="s">
        <v>330</v>
      </c>
      <c r="H852">
        <v>9011</v>
      </c>
      <c r="I852" t="str">
        <f>IFERROR(_xlfn.XLOOKUP($A852,'Base SKUs'!$E:$E,'Base SKUs'!A:A),"")</f>
        <v>Ayous</v>
      </c>
      <c r="J852" t="str">
        <f>IFERROR(_xlfn.XLOOKUP($A852,'Base SKUs'!$E:$E,'Base SKUs'!B:B),"")</f>
        <v>Ayous 2x3</v>
      </c>
      <c r="K852" t="str">
        <f>IFERROR(_xlfn.XLOOKUP($A852,'Base SKUs'!$E:$E,'Base SKUs'!C:C),"")</f>
        <v>Long</v>
      </c>
      <c r="L852" t="str">
        <f>IFERROR(_xlfn.XLOOKUP($A852,'Base SKUs'!$E:$E,'Base SKUs'!D:D),"")</f>
        <v>Thermowood</v>
      </c>
      <c r="M852" t="str">
        <f>IFERROR(_xlfn.XLOOKUP($A852,'Base SKUs'!$E:$E,'Base SKUs'!G:G),"")</f>
        <v>Maximo Thermo Ayous</v>
      </c>
      <c r="N852" t="str">
        <f>IFERROR(_xlfn.XLOOKUP($A852,'Base SKUs'!$E:$E,'Base SKUs'!H:H),"")</f>
        <v>S4S E4E</v>
      </c>
      <c r="O852" t="str">
        <f>IFERROR(_xlfn.XLOOKUP($A852,'Base SKUs'!$E:$E,'Base SKUs'!I:I),"")</f>
        <v>-</v>
      </c>
      <c r="P852" t="str">
        <f>IFERROR(_xlfn.XLOOKUP($A852,'Base SKUs'!$E:$E,'Base SKUs'!J:J),"")</f>
        <v>2x3</v>
      </c>
      <c r="Q852">
        <f>IFERROR(_xlfn.XLOOKUP($A852,'Base SKUs'!$E:$E,'Base SKUs'!K:K),"")</f>
        <v>9</v>
      </c>
      <c r="R852" s="7">
        <f>IFERROR(_xlfn.XLOOKUP($A852,'Base SKUs'!$E:$E,'Base SKUs'!S:S),"")</f>
        <v>7.0199999999999993E-3</v>
      </c>
      <c r="S852" s="8">
        <f t="shared" si="67"/>
        <v>4.2119999999999998E-2</v>
      </c>
      <c r="T852" s="7">
        <f>IFERROR(_xlfn.XLOOKUP($A852,'Base SKUs'!$E:$E,'Base SKUs'!R:R),"")</f>
        <v>1261.8610000000001</v>
      </c>
      <c r="U852" s="15">
        <f t="shared" si="68"/>
        <v>53</v>
      </c>
      <c r="V852" t="str">
        <f t="shared" si="69"/>
        <v>New York</v>
      </c>
    </row>
    <row r="853" spans="1:22" x14ac:dyDescent="0.2">
      <c r="A853" t="s">
        <v>1213</v>
      </c>
      <c r="B853" s="5">
        <v>602</v>
      </c>
      <c r="C853" s="5">
        <v>0</v>
      </c>
      <c r="D853" s="5">
        <f t="shared" si="65"/>
        <v>602</v>
      </c>
      <c r="E853" s="6">
        <v>16.072399999999998</v>
      </c>
      <c r="F853" s="6">
        <f t="shared" si="66"/>
        <v>9675.5847999999987</v>
      </c>
      <c r="G853" t="s">
        <v>125</v>
      </c>
      <c r="H853">
        <v>9009</v>
      </c>
      <c r="I853" t="str">
        <f>IFERROR(_xlfn.XLOOKUP($A853,'Base SKUs'!$E:$E,'Base SKUs'!A:A),"")</f>
        <v>Ayous</v>
      </c>
      <c r="J853" t="str">
        <f>IFERROR(_xlfn.XLOOKUP($A853,'Base SKUs'!$E:$E,'Base SKUs'!B:B),"")</f>
        <v>Ayous 5/4x4</v>
      </c>
      <c r="K853" t="str">
        <f>IFERROR(_xlfn.XLOOKUP($A853,'Base SKUs'!$E:$E,'Base SKUs'!C:C),"")</f>
        <v>Long</v>
      </c>
      <c r="L853" t="str">
        <f>IFERROR(_xlfn.XLOOKUP($A853,'Base SKUs'!$E:$E,'Base SKUs'!D:D),"")</f>
        <v>Thermowood</v>
      </c>
      <c r="M853" t="str">
        <f>IFERROR(_xlfn.XLOOKUP($A853,'Base SKUs'!$E:$E,'Base SKUs'!G:G),"")</f>
        <v>Maximo Thermo Ayous</v>
      </c>
      <c r="N853" t="str">
        <f>IFERROR(_xlfn.XLOOKUP($A853,'Base SKUs'!$E:$E,'Base SKUs'!H:H),"")</f>
        <v>S4S E4E</v>
      </c>
      <c r="O853" t="str">
        <f>IFERROR(_xlfn.XLOOKUP($A853,'Base SKUs'!$E:$E,'Base SKUs'!I:I),"")</f>
        <v>-</v>
      </c>
      <c r="P853" t="str">
        <f>IFERROR(_xlfn.XLOOKUP($A853,'Base SKUs'!$E:$E,'Base SKUs'!J:J),"")</f>
        <v>5/4x4</v>
      </c>
      <c r="Q853">
        <f>IFERROR(_xlfn.XLOOKUP($A853,'Base SKUs'!$E:$E,'Base SKUs'!K:K),"")</f>
        <v>10</v>
      </c>
      <c r="R853" s="7">
        <f>IFERROR(_xlfn.XLOOKUP($A853,'Base SKUs'!$E:$E,'Base SKUs'!S:S),"")</f>
        <v>6.7499999999999999E-3</v>
      </c>
      <c r="S853" s="8">
        <f t="shared" si="67"/>
        <v>4.0635000000000003</v>
      </c>
      <c r="T853" s="7">
        <f>IFERROR(_xlfn.XLOOKUP($A853,'Base SKUs'!$E:$E,'Base SKUs'!R:R),"")</f>
        <v>1458.1510000000001</v>
      </c>
      <c r="U853" s="15">
        <f t="shared" si="68"/>
        <v>5925</v>
      </c>
      <c r="V853" t="str">
        <f t="shared" si="69"/>
        <v>Boston</v>
      </c>
    </row>
    <row r="854" spans="1:22" x14ac:dyDescent="0.2">
      <c r="A854" t="s">
        <v>1215</v>
      </c>
      <c r="B854" s="5">
        <v>422</v>
      </c>
      <c r="C854" s="5">
        <v>398</v>
      </c>
      <c r="D854" s="5">
        <f t="shared" si="65"/>
        <v>24</v>
      </c>
      <c r="E854" s="6">
        <v>17.6797</v>
      </c>
      <c r="F854" s="6">
        <f t="shared" si="66"/>
        <v>7460.8334000000004</v>
      </c>
      <c r="G854" t="s">
        <v>125</v>
      </c>
      <c r="H854">
        <v>9009</v>
      </c>
      <c r="I854" t="str">
        <f>IFERROR(_xlfn.XLOOKUP($A854,'Base SKUs'!$E:$E,'Base SKUs'!A:A),"")</f>
        <v>Ayous</v>
      </c>
      <c r="J854" t="str">
        <f>IFERROR(_xlfn.XLOOKUP($A854,'Base SKUs'!$E:$E,'Base SKUs'!B:B),"")</f>
        <v>Ayous 5/4x4</v>
      </c>
      <c r="K854" t="str">
        <f>IFERROR(_xlfn.XLOOKUP($A854,'Base SKUs'!$E:$E,'Base SKUs'!C:C),"")</f>
        <v>Long</v>
      </c>
      <c r="L854" t="str">
        <f>IFERROR(_xlfn.XLOOKUP($A854,'Base SKUs'!$E:$E,'Base SKUs'!D:D),"")</f>
        <v>Thermowood</v>
      </c>
      <c r="M854" t="str">
        <f>IFERROR(_xlfn.XLOOKUP($A854,'Base SKUs'!$E:$E,'Base SKUs'!G:G),"")</f>
        <v>Maximo Thermo Ayous</v>
      </c>
      <c r="N854" t="str">
        <f>IFERROR(_xlfn.XLOOKUP($A854,'Base SKUs'!$E:$E,'Base SKUs'!H:H),"")</f>
        <v>S4S E4E</v>
      </c>
      <c r="O854" t="str">
        <f>IFERROR(_xlfn.XLOOKUP($A854,'Base SKUs'!$E:$E,'Base SKUs'!I:I),"")</f>
        <v>-</v>
      </c>
      <c r="P854" t="str">
        <f>IFERROR(_xlfn.XLOOKUP($A854,'Base SKUs'!$E:$E,'Base SKUs'!J:J),"")</f>
        <v>5/4x4</v>
      </c>
      <c r="Q854">
        <f>IFERROR(_xlfn.XLOOKUP($A854,'Base SKUs'!$E:$E,'Base SKUs'!K:K),"")</f>
        <v>11</v>
      </c>
      <c r="R854" s="7">
        <f>IFERROR(_xlfn.XLOOKUP($A854,'Base SKUs'!$E:$E,'Base SKUs'!S:S),"")</f>
        <v>7.425000000000001E-3</v>
      </c>
      <c r="S854" s="8">
        <f t="shared" si="67"/>
        <v>0.17820000000000003</v>
      </c>
      <c r="T854" s="7">
        <f>IFERROR(_xlfn.XLOOKUP($A854,'Base SKUs'!$E:$E,'Base SKUs'!R:R),"")</f>
        <v>1458.1510000000001</v>
      </c>
      <c r="U854" s="15">
        <f t="shared" si="68"/>
        <v>260</v>
      </c>
      <c r="V854" t="str">
        <f t="shared" si="69"/>
        <v>Boston</v>
      </c>
    </row>
    <row r="855" spans="1:22" x14ac:dyDescent="0.2">
      <c r="A855" t="s">
        <v>1217</v>
      </c>
      <c r="B855" s="5">
        <v>46</v>
      </c>
      <c r="C855" s="5">
        <v>0</v>
      </c>
      <c r="D855" s="5">
        <f t="shared" si="65"/>
        <v>46</v>
      </c>
      <c r="E855" s="6">
        <v>9.6433999999999997</v>
      </c>
      <c r="F855" s="6">
        <f t="shared" si="66"/>
        <v>443.59640000000002</v>
      </c>
      <c r="G855" t="s">
        <v>125</v>
      </c>
      <c r="H855">
        <v>9009</v>
      </c>
      <c r="I855" t="str">
        <f>IFERROR(_xlfn.XLOOKUP($A855,'Base SKUs'!$E:$E,'Base SKUs'!A:A),"")</f>
        <v>Ayous</v>
      </c>
      <c r="J855" t="str">
        <f>IFERROR(_xlfn.XLOOKUP($A855,'Base SKUs'!$E:$E,'Base SKUs'!B:B),"")</f>
        <v>Ayous 5/4x4</v>
      </c>
      <c r="K855" t="str">
        <f>IFERROR(_xlfn.XLOOKUP($A855,'Base SKUs'!$E:$E,'Base SKUs'!C:C),"")</f>
        <v>Short</v>
      </c>
      <c r="L855" t="str">
        <f>IFERROR(_xlfn.XLOOKUP($A855,'Base SKUs'!$E:$E,'Base SKUs'!D:D),"")</f>
        <v>Thermowood</v>
      </c>
      <c r="M855" t="str">
        <f>IFERROR(_xlfn.XLOOKUP($A855,'Base SKUs'!$E:$E,'Base SKUs'!G:G),"")</f>
        <v>Maximo Thermo Ayous</v>
      </c>
      <c r="N855" t="str">
        <f>IFERROR(_xlfn.XLOOKUP($A855,'Base SKUs'!$E:$E,'Base SKUs'!H:H),"")</f>
        <v>S4S E4E</v>
      </c>
      <c r="O855" t="str">
        <f>IFERROR(_xlfn.XLOOKUP($A855,'Base SKUs'!$E:$E,'Base SKUs'!I:I),"")</f>
        <v>-</v>
      </c>
      <c r="P855" t="str">
        <f>IFERROR(_xlfn.XLOOKUP($A855,'Base SKUs'!$E:$E,'Base SKUs'!J:J),"")</f>
        <v>5/4x4</v>
      </c>
      <c r="Q855">
        <f>IFERROR(_xlfn.XLOOKUP($A855,'Base SKUs'!$E:$E,'Base SKUs'!K:K),"")</f>
        <v>6</v>
      </c>
      <c r="R855" s="7">
        <f>IFERROR(_xlfn.XLOOKUP($A855,'Base SKUs'!$E:$E,'Base SKUs'!S:S),"")</f>
        <v>4.0499999999999998E-3</v>
      </c>
      <c r="S855" s="8">
        <f t="shared" si="67"/>
        <v>0.18629999999999999</v>
      </c>
      <c r="T855" s="7">
        <f>IFERROR(_xlfn.XLOOKUP($A855,'Base SKUs'!$E:$E,'Base SKUs'!R:R),"")</f>
        <v>1458.1510000000001</v>
      </c>
      <c r="U855" s="15">
        <f t="shared" si="68"/>
        <v>272</v>
      </c>
      <c r="V855" t="str">
        <f t="shared" si="69"/>
        <v>Boston</v>
      </c>
    </row>
    <row r="856" spans="1:22" x14ac:dyDescent="0.2">
      <c r="A856" t="s">
        <v>1219</v>
      </c>
      <c r="B856" s="5">
        <v>210</v>
      </c>
      <c r="C856" s="5">
        <v>0</v>
      </c>
      <c r="D856" s="5">
        <f t="shared" si="65"/>
        <v>210</v>
      </c>
      <c r="E856" s="6">
        <v>11.2507</v>
      </c>
      <c r="F856" s="6">
        <f t="shared" si="66"/>
        <v>2362.6469999999999</v>
      </c>
      <c r="G856" t="s">
        <v>125</v>
      </c>
      <c r="H856">
        <v>9009</v>
      </c>
      <c r="I856" t="str">
        <f>IFERROR(_xlfn.XLOOKUP($A856,'Base SKUs'!$E:$E,'Base SKUs'!A:A),"")</f>
        <v>Ayous</v>
      </c>
      <c r="J856" t="str">
        <f>IFERROR(_xlfn.XLOOKUP($A856,'Base SKUs'!$E:$E,'Base SKUs'!B:B),"")</f>
        <v>Ayous 5/4x4</v>
      </c>
      <c r="K856" t="str">
        <f>IFERROR(_xlfn.XLOOKUP($A856,'Base SKUs'!$E:$E,'Base SKUs'!C:C),"")</f>
        <v>Short</v>
      </c>
      <c r="L856" t="str">
        <f>IFERROR(_xlfn.XLOOKUP($A856,'Base SKUs'!$E:$E,'Base SKUs'!D:D),"")</f>
        <v>Thermowood</v>
      </c>
      <c r="M856" t="str">
        <f>IFERROR(_xlfn.XLOOKUP($A856,'Base SKUs'!$E:$E,'Base SKUs'!G:G),"")</f>
        <v>Maximo Thermo Ayous</v>
      </c>
      <c r="N856" t="str">
        <f>IFERROR(_xlfn.XLOOKUP($A856,'Base SKUs'!$E:$E,'Base SKUs'!H:H),"")</f>
        <v>S4S E4E</v>
      </c>
      <c r="O856" t="str">
        <f>IFERROR(_xlfn.XLOOKUP($A856,'Base SKUs'!$E:$E,'Base SKUs'!I:I),"")</f>
        <v>-</v>
      </c>
      <c r="P856" t="str">
        <f>IFERROR(_xlfn.XLOOKUP($A856,'Base SKUs'!$E:$E,'Base SKUs'!J:J),"")</f>
        <v>5/4x4</v>
      </c>
      <c r="Q856">
        <f>IFERROR(_xlfn.XLOOKUP($A856,'Base SKUs'!$E:$E,'Base SKUs'!K:K),"")</f>
        <v>7</v>
      </c>
      <c r="R856" s="7">
        <f>IFERROR(_xlfn.XLOOKUP($A856,'Base SKUs'!$E:$E,'Base SKUs'!S:S),"")</f>
        <v>4.725E-3</v>
      </c>
      <c r="S856" s="8">
        <f t="shared" si="67"/>
        <v>0.99224999999999997</v>
      </c>
      <c r="T856" s="7">
        <f>IFERROR(_xlfn.XLOOKUP($A856,'Base SKUs'!$E:$E,'Base SKUs'!R:R),"")</f>
        <v>1458.1510000000001</v>
      </c>
      <c r="U856" s="15">
        <f t="shared" si="68"/>
        <v>1447</v>
      </c>
      <c r="V856" t="str">
        <f t="shared" si="69"/>
        <v>Boston</v>
      </c>
    </row>
    <row r="857" spans="1:22" x14ac:dyDescent="0.2">
      <c r="A857" t="s">
        <v>1221</v>
      </c>
      <c r="B857" s="5">
        <v>338</v>
      </c>
      <c r="C857" s="5">
        <v>0</v>
      </c>
      <c r="D857" s="5">
        <f t="shared" si="65"/>
        <v>338</v>
      </c>
      <c r="E857" s="6">
        <v>12.857900000000001</v>
      </c>
      <c r="F857" s="6">
        <f t="shared" si="66"/>
        <v>4345.9702000000007</v>
      </c>
      <c r="G857" t="s">
        <v>125</v>
      </c>
      <c r="H857">
        <v>9009</v>
      </c>
      <c r="I857" t="str">
        <f>IFERROR(_xlfn.XLOOKUP($A857,'Base SKUs'!$E:$E,'Base SKUs'!A:A),"")</f>
        <v>Ayous</v>
      </c>
      <c r="J857" t="str">
        <f>IFERROR(_xlfn.XLOOKUP($A857,'Base SKUs'!$E:$E,'Base SKUs'!B:B),"")</f>
        <v>Ayous 5/4x4</v>
      </c>
      <c r="K857" t="str">
        <f>IFERROR(_xlfn.XLOOKUP($A857,'Base SKUs'!$E:$E,'Base SKUs'!C:C),"")</f>
        <v>Long</v>
      </c>
      <c r="L857" t="str">
        <f>IFERROR(_xlfn.XLOOKUP($A857,'Base SKUs'!$E:$E,'Base SKUs'!D:D),"")</f>
        <v>Thermowood</v>
      </c>
      <c r="M857" t="str">
        <f>IFERROR(_xlfn.XLOOKUP($A857,'Base SKUs'!$E:$E,'Base SKUs'!G:G),"")</f>
        <v>Maximo Thermo Ayous</v>
      </c>
      <c r="N857" t="str">
        <f>IFERROR(_xlfn.XLOOKUP($A857,'Base SKUs'!$E:$E,'Base SKUs'!H:H),"")</f>
        <v>S4S E4E</v>
      </c>
      <c r="O857" t="str">
        <f>IFERROR(_xlfn.XLOOKUP($A857,'Base SKUs'!$E:$E,'Base SKUs'!I:I),"")</f>
        <v>-</v>
      </c>
      <c r="P857" t="str">
        <f>IFERROR(_xlfn.XLOOKUP($A857,'Base SKUs'!$E:$E,'Base SKUs'!J:J),"")</f>
        <v>5/4x4</v>
      </c>
      <c r="Q857">
        <f>IFERROR(_xlfn.XLOOKUP($A857,'Base SKUs'!$E:$E,'Base SKUs'!K:K),"")</f>
        <v>8</v>
      </c>
      <c r="R857" s="7">
        <f>IFERROR(_xlfn.XLOOKUP($A857,'Base SKUs'!$E:$E,'Base SKUs'!S:S),"")</f>
        <v>5.3999999999999994E-3</v>
      </c>
      <c r="S857" s="8">
        <f t="shared" si="67"/>
        <v>1.8251999999999997</v>
      </c>
      <c r="T857" s="7">
        <f>IFERROR(_xlfn.XLOOKUP($A857,'Base SKUs'!$E:$E,'Base SKUs'!R:R),"")</f>
        <v>1458.1510000000001</v>
      </c>
      <c r="U857" s="15">
        <f t="shared" si="68"/>
        <v>2661</v>
      </c>
      <c r="V857" t="str">
        <f t="shared" si="69"/>
        <v>Boston</v>
      </c>
    </row>
    <row r="858" spans="1:22" x14ac:dyDescent="0.2">
      <c r="A858" t="s">
        <v>1223</v>
      </c>
      <c r="B858" s="5">
        <v>1011</v>
      </c>
      <c r="C858" s="5">
        <v>0</v>
      </c>
      <c r="D858" s="5">
        <f t="shared" si="65"/>
        <v>1011</v>
      </c>
      <c r="E858" s="6">
        <v>14.465199999999999</v>
      </c>
      <c r="F858" s="6">
        <f t="shared" si="66"/>
        <v>14624.3172</v>
      </c>
      <c r="G858" t="s">
        <v>125</v>
      </c>
      <c r="H858">
        <v>9009</v>
      </c>
      <c r="I858" t="str">
        <f>IFERROR(_xlfn.XLOOKUP($A858,'Base SKUs'!$E:$E,'Base SKUs'!A:A),"")</f>
        <v>Ayous</v>
      </c>
      <c r="J858" t="str">
        <f>IFERROR(_xlfn.XLOOKUP($A858,'Base SKUs'!$E:$E,'Base SKUs'!B:B),"")</f>
        <v>Ayous 5/4x4</v>
      </c>
      <c r="K858" t="str">
        <f>IFERROR(_xlfn.XLOOKUP($A858,'Base SKUs'!$E:$E,'Base SKUs'!C:C),"")</f>
        <v>Long</v>
      </c>
      <c r="L858" t="str">
        <f>IFERROR(_xlfn.XLOOKUP($A858,'Base SKUs'!$E:$E,'Base SKUs'!D:D),"")</f>
        <v>Thermowood</v>
      </c>
      <c r="M858" t="str">
        <f>IFERROR(_xlfn.XLOOKUP($A858,'Base SKUs'!$E:$E,'Base SKUs'!G:G),"")</f>
        <v>Maximo Thermo Ayous</v>
      </c>
      <c r="N858" t="str">
        <f>IFERROR(_xlfn.XLOOKUP($A858,'Base SKUs'!$E:$E,'Base SKUs'!H:H),"")</f>
        <v>S4S E4E</v>
      </c>
      <c r="O858" t="str">
        <f>IFERROR(_xlfn.XLOOKUP($A858,'Base SKUs'!$E:$E,'Base SKUs'!I:I),"")</f>
        <v>-</v>
      </c>
      <c r="P858" t="str">
        <f>IFERROR(_xlfn.XLOOKUP($A858,'Base SKUs'!$E:$E,'Base SKUs'!J:J),"")</f>
        <v>5/4x4</v>
      </c>
      <c r="Q858">
        <f>IFERROR(_xlfn.XLOOKUP($A858,'Base SKUs'!$E:$E,'Base SKUs'!K:K),"")</f>
        <v>9</v>
      </c>
      <c r="R858" s="7">
        <f>IFERROR(_xlfn.XLOOKUP($A858,'Base SKUs'!$E:$E,'Base SKUs'!S:S),"")</f>
        <v>6.0750000000000005E-3</v>
      </c>
      <c r="S858" s="8">
        <f t="shared" si="67"/>
        <v>6.1418250000000008</v>
      </c>
      <c r="T858" s="7">
        <f>IFERROR(_xlfn.XLOOKUP($A858,'Base SKUs'!$E:$E,'Base SKUs'!R:R),"")</f>
        <v>1458.1510000000001</v>
      </c>
      <c r="U858" s="15">
        <f t="shared" si="68"/>
        <v>8956</v>
      </c>
      <c r="V858" t="str">
        <f t="shared" si="69"/>
        <v>Boston</v>
      </c>
    </row>
    <row r="859" spans="1:22" x14ac:dyDescent="0.2">
      <c r="A859" t="s">
        <v>1225</v>
      </c>
      <c r="B859" s="5">
        <v>528</v>
      </c>
      <c r="C859" s="5">
        <v>0</v>
      </c>
      <c r="D859" s="5">
        <f t="shared" si="65"/>
        <v>528</v>
      </c>
      <c r="E859" s="6">
        <v>25.603999999999999</v>
      </c>
      <c r="F859" s="6">
        <f t="shared" si="66"/>
        <v>13518.912</v>
      </c>
      <c r="G859" t="s">
        <v>125</v>
      </c>
      <c r="H859">
        <v>9009</v>
      </c>
      <c r="I859" t="str">
        <f>IFERROR(_xlfn.XLOOKUP($A859,'Base SKUs'!$E:$E,'Base SKUs'!A:A),"")</f>
        <v>Ayous</v>
      </c>
      <c r="J859" t="str">
        <f>IFERROR(_xlfn.XLOOKUP($A859,'Base SKUs'!$E:$E,'Base SKUs'!B:B),"")</f>
        <v>Ayous 5/4x6</v>
      </c>
      <c r="K859" t="str">
        <f>IFERROR(_xlfn.XLOOKUP($A859,'Base SKUs'!$E:$E,'Base SKUs'!C:C),"")</f>
        <v>Long</v>
      </c>
      <c r="L859" t="str">
        <f>IFERROR(_xlfn.XLOOKUP($A859,'Base SKUs'!$E:$E,'Base SKUs'!D:D),"")</f>
        <v>Thermowood</v>
      </c>
      <c r="M859" t="str">
        <f>IFERROR(_xlfn.XLOOKUP($A859,'Base SKUs'!$E:$E,'Base SKUs'!G:G),"")</f>
        <v>Maximo Thermo Ayous</v>
      </c>
      <c r="N859" t="str">
        <f>IFERROR(_xlfn.XLOOKUP($A859,'Base SKUs'!$E:$E,'Base SKUs'!H:H),"")</f>
        <v>S4S E4E</v>
      </c>
      <c r="O859" t="str">
        <f>IFERROR(_xlfn.XLOOKUP($A859,'Base SKUs'!$E:$E,'Base SKUs'!I:I),"")</f>
        <v>-</v>
      </c>
      <c r="P859" t="str">
        <f>IFERROR(_xlfn.XLOOKUP($A859,'Base SKUs'!$E:$E,'Base SKUs'!J:J),"")</f>
        <v>5/4x6</v>
      </c>
      <c r="Q859">
        <f>IFERROR(_xlfn.XLOOKUP($A859,'Base SKUs'!$E:$E,'Base SKUs'!K:K),"")</f>
        <v>10</v>
      </c>
      <c r="R859" s="7">
        <f>IFERROR(_xlfn.XLOOKUP($A859,'Base SKUs'!$E:$E,'Base SKUs'!S:S),"")</f>
        <v>1.0500000000000001E-2</v>
      </c>
      <c r="S859" s="8">
        <f t="shared" si="67"/>
        <v>5.5440000000000005</v>
      </c>
      <c r="T859" s="7">
        <f>IFERROR(_xlfn.XLOOKUP($A859,'Base SKUs'!$E:$E,'Base SKUs'!R:R),"")</f>
        <v>937.38300000000004</v>
      </c>
      <c r="U859" s="15">
        <f t="shared" si="68"/>
        <v>5197</v>
      </c>
      <c r="V859" t="str">
        <f t="shared" si="69"/>
        <v>Boston</v>
      </c>
    </row>
    <row r="860" spans="1:22" x14ac:dyDescent="0.2">
      <c r="A860" t="s">
        <v>1225</v>
      </c>
      <c r="B860" s="5">
        <v>29</v>
      </c>
      <c r="C860" s="5">
        <v>0</v>
      </c>
      <c r="D860" s="5">
        <f t="shared" si="65"/>
        <v>29</v>
      </c>
      <c r="E860" s="6">
        <v>25.603999999999999</v>
      </c>
      <c r="F860" s="6">
        <f t="shared" si="66"/>
        <v>742.51599999999996</v>
      </c>
      <c r="G860" t="s">
        <v>330</v>
      </c>
      <c r="H860">
        <v>9011</v>
      </c>
      <c r="I860" t="str">
        <f>IFERROR(_xlfn.XLOOKUP($A860,'Base SKUs'!$E:$E,'Base SKUs'!A:A),"")</f>
        <v>Ayous</v>
      </c>
      <c r="J860" t="str">
        <f>IFERROR(_xlfn.XLOOKUP($A860,'Base SKUs'!$E:$E,'Base SKUs'!B:B),"")</f>
        <v>Ayous 5/4x6</v>
      </c>
      <c r="K860" t="str">
        <f>IFERROR(_xlfn.XLOOKUP($A860,'Base SKUs'!$E:$E,'Base SKUs'!C:C),"")</f>
        <v>Long</v>
      </c>
      <c r="L860" t="str">
        <f>IFERROR(_xlfn.XLOOKUP($A860,'Base SKUs'!$E:$E,'Base SKUs'!D:D),"")</f>
        <v>Thermowood</v>
      </c>
      <c r="M860" t="str">
        <f>IFERROR(_xlfn.XLOOKUP($A860,'Base SKUs'!$E:$E,'Base SKUs'!G:G),"")</f>
        <v>Maximo Thermo Ayous</v>
      </c>
      <c r="N860" t="str">
        <f>IFERROR(_xlfn.XLOOKUP($A860,'Base SKUs'!$E:$E,'Base SKUs'!H:H),"")</f>
        <v>S4S E4E</v>
      </c>
      <c r="O860" t="str">
        <f>IFERROR(_xlfn.XLOOKUP($A860,'Base SKUs'!$E:$E,'Base SKUs'!I:I),"")</f>
        <v>-</v>
      </c>
      <c r="P860" t="str">
        <f>IFERROR(_xlfn.XLOOKUP($A860,'Base SKUs'!$E:$E,'Base SKUs'!J:J),"")</f>
        <v>5/4x6</v>
      </c>
      <c r="Q860">
        <f>IFERROR(_xlfn.XLOOKUP($A860,'Base SKUs'!$E:$E,'Base SKUs'!K:K),"")</f>
        <v>10</v>
      </c>
      <c r="R860" s="7">
        <f>IFERROR(_xlfn.XLOOKUP($A860,'Base SKUs'!$E:$E,'Base SKUs'!S:S),"")</f>
        <v>1.0500000000000001E-2</v>
      </c>
      <c r="S860" s="8">
        <f t="shared" si="67"/>
        <v>0.30449999999999999</v>
      </c>
      <c r="T860" s="7">
        <f>IFERROR(_xlfn.XLOOKUP($A860,'Base SKUs'!$E:$E,'Base SKUs'!R:R),"")</f>
        <v>937.38300000000004</v>
      </c>
      <c r="U860" s="15">
        <f t="shared" si="68"/>
        <v>285</v>
      </c>
      <c r="V860" t="str">
        <f t="shared" si="69"/>
        <v>New York</v>
      </c>
    </row>
    <row r="861" spans="1:22" x14ac:dyDescent="0.2">
      <c r="A861" t="s">
        <v>1227</v>
      </c>
      <c r="B861" s="5">
        <v>24</v>
      </c>
      <c r="C861" s="5">
        <v>0</v>
      </c>
      <c r="D861" s="5">
        <f t="shared" si="65"/>
        <v>24</v>
      </c>
      <c r="E861" s="6">
        <v>28.164400000000001</v>
      </c>
      <c r="F861" s="6">
        <f t="shared" si="66"/>
        <v>675.94560000000001</v>
      </c>
      <c r="G861" t="s">
        <v>330</v>
      </c>
      <c r="H861">
        <v>9011</v>
      </c>
      <c r="I861" t="str">
        <f>IFERROR(_xlfn.XLOOKUP($A861,'Base SKUs'!$E:$E,'Base SKUs'!A:A),"")</f>
        <v>Ayous</v>
      </c>
      <c r="J861" t="str">
        <f>IFERROR(_xlfn.XLOOKUP($A861,'Base SKUs'!$E:$E,'Base SKUs'!B:B),"")</f>
        <v>Ayous 5/4x6</v>
      </c>
      <c r="K861" t="str">
        <f>IFERROR(_xlfn.XLOOKUP($A861,'Base SKUs'!$E:$E,'Base SKUs'!C:C),"")</f>
        <v>Long</v>
      </c>
      <c r="L861" t="str">
        <f>IFERROR(_xlfn.XLOOKUP($A861,'Base SKUs'!$E:$E,'Base SKUs'!D:D),"")</f>
        <v>Thermowood</v>
      </c>
      <c r="M861" t="str">
        <f>IFERROR(_xlfn.XLOOKUP($A861,'Base SKUs'!$E:$E,'Base SKUs'!G:G),"")</f>
        <v>Maximo Thermo Ayous</v>
      </c>
      <c r="N861" t="str">
        <f>IFERROR(_xlfn.XLOOKUP($A861,'Base SKUs'!$E:$E,'Base SKUs'!H:H),"")</f>
        <v>S4S E4E</v>
      </c>
      <c r="O861" t="str">
        <f>IFERROR(_xlfn.XLOOKUP($A861,'Base SKUs'!$E:$E,'Base SKUs'!I:I),"")</f>
        <v>-</v>
      </c>
      <c r="P861" t="str">
        <f>IFERROR(_xlfn.XLOOKUP($A861,'Base SKUs'!$E:$E,'Base SKUs'!J:J),"")</f>
        <v>5/4x6</v>
      </c>
      <c r="Q861">
        <f>IFERROR(_xlfn.XLOOKUP($A861,'Base SKUs'!$E:$E,'Base SKUs'!K:K),"")</f>
        <v>11</v>
      </c>
      <c r="R861" s="7">
        <f>IFERROR(_xlfn.XLOOKUP($A861,'Base SKUs'!$E:$E,'Base SKUs'!S:S),"")</f>
        <v>1.1550000000000001E-2</v>
      </c>
      <c r="S861" s="8">
        <f t="shared" si="67"/>
        <v>0.2772</v>
      </c>
      <c r="T861" s="7">
        <f>IFERROR(_xlfn.XLOOKUP($A861,'Base SKUs'!$E:$E,'Base SKUs'!R:R),"")</f>
        <v>937.38300000000004</v>
      </c>
      <c r="U861" s="15">
        <f t="shared" si="68"/>
        <v>260</v>
      </c>
      <c r="V861" t="str">
        <f t="shared" si="69"/>
        <v>New York</v>
      </c>
    </row>
    <row r="862" spans="1:22" x14ac:dyDescent="0.2">
      <c r="A862" t="s">
        <v>1229</v>
      </c>
      <c r="B862" s="5">
        <v>23</v>
      </c>
      <c r="C862" s="5">
        <v>0</v>
      </c>
      <c r="D862" s="5">
        <f t="shared" si="65"/>
        <v>23</v>
      </c>
      <c r="E862" s="6">
        <v>35.845599999999997</v>
      </c>
      <c r="F862" s="6">
        <f t="shared" si="66"/>
        <v>824.44879999999989</v>
      </c>
      <c r="G862" t="s">
        <v>330</v>
      </c>
      <c r="H862">
        <v>9011</v>
      </c>
      <c r="I862" t="str">
        <f>IFERROR(_xlfn.XLOOKUP($A862,'Base SKUs'!$E:$E,'Base SKUs'!A:A),"")</f>
        <v>Ayous</v>
      </c>
      <c r="J862" t="str">
        <f>IFERROR(_xlfn.XLOOKUP($A862,'Base SKUs'!$E:$E,'Base SKUs'!B:B),"")</f>
        <v>Ayous 5/4x6</v>
      </c>
      <c r="K862" t="str">
        <f>IFERROR(_xlfn.XLOOKUP($A862,'Base SKUs'!$E:$E,'Base SKUs'!C:C),"")</f>
        <v>Long</v>
      </c>
      <c r="L862" t="str">
        <f>IFERROR(_xlfn.XLOOKUP($A862,'Base SKUs'!$E:$E,'Base SKUs'!D:D),"")</f>
        <v>Thermowood</v>
      </c>
      <c r="M862" t="str">
        <f>IFERROR(_xlfn.XLOOKUP($A862,'Base SKUs'!$E:$E,'Base SKUs'!G:G),"")</f>
        <v>Maximo Thermo Ayous</v>
      </c>
      <c r="N862" t="str">
        <f>IFERROR(_xlfn.XLOOKUP($A862,'Base SKUs'!$E:$E,'Base SKUs'!H:H),"")</f>
        <v>S4S E4E</v>
      </c>
      <c r="O862" t="str">
        <f>IFERROR(_xlfn.XLOOKUP($A862,'Base SKUs'!$E:$E,'Base SKUs'!I:I),"")</f>
        <v>-</v>
      </c>
      <c r="P862" t="str">
        <f>IFERROR(_xlfn.XLOOKUP($A862,'Base SKUs'!$E:$E,'Base SKUs'!J:J),"")</f>
        <v>5/4x6</v>
      </c>
      <c r="Q862">
        <f>IFERROR(_xlfn.XLOOKUP($A862,'Base SKUs'!$E:$E,'Base SKUs'!K:K),"")</f>
        <v>14</v>
      </c>
      <c r="R862" s="7">
        <f>IFERROR(_xlfn.XLOOKUP($A862,'Base SKUs'!$E:$E,'Base SKUs'!S:S),"")</f>
        <v>1.47E-2</v>
      </c>
      <c r="S862" s="8">
        <f t="shared" si="67"/>
        <v>0.33810000000000001</v>
      </c>
      <c r="T862" s="7">
        <f>IFERROR(_xlfn.XLOOKUP($A862,'Base SKUs'!$E:$E,'Base SKUs'!R:R),"")</f>
        <v>937.38300000000004</v>
      </c>
      <c r="U862" s="15">
        <f t="shared" si="68"/>
        <v>317</v>
      </c>
      <c r="V862" t="str">
        <f t="shared" si="69"/>
        <v>New York</v>
      </c>
    </row>
    <row r="863" spans="1:22" x14ac:dyDescent="0.2">
      <c r="A863" t="s">
        <v>1231</v>
      </c>
      <c r="B863" s="5">
        <v>100</v>
      </c>
      <c r="C863" s="5">
        <v>0</v>
      </c>
      <c r="D863" s="5">
        <f t="shared" si="65"/>
        <v>100</v>
      </c>
      <c r="E863" s="6">
        <v>40.9664</v>
      </c>
      <c r="F863" s="6">
        <f t="shared" si="66"/>
        <v>4096.6400000000003</v>
      </c>
      <c r="G863" t="s">
        <v>125</v>
      </c>
      <c r="H863">
        <v>9009</v>
      </c>
      <c r="I863" t="str">
        <f>IFERROR(_xlfn.XLOOKUP($A863,'Base SKUs'!$E:$E,'Base SKUs'!A:A),"")</f>
        <v>Ayous</v>
      </c>
      <c r="J863" t="str">
        <f>IFERROR(_xlfn.XLOOKUP($A863,'Base SKUs'!$E:$E,'Base SKUs'!B:B),"")</f>
        <v>Ayous 5/4x6</v>
      </c>
      <c r="K863" t="str">
        <f>IFERROR(_xlfn.XLOOKUP($A863,'Base SKUs'!$E:$E,'Base SKUs'!C:C),"")</f>
        <v>Long</v>
      </c>
      <c r="L863" t="str">
        <f>IFERROR(_xlfn.XLOOKUP($A863,'Base SKUs'!$E:$E,'Base SKUs'!D:D),"")</f>
        <v>Thermowood</v>
      </c>
      <c r="M863" t="str">
        <f>IFERROR(_xlfn.XLOOKUP($A863,'Base SKUs'!$E:$E,'Base SKUs'!G:G),"")</f>
        <v>Maximo Thermo Ayous</v>
      </c>
      <c r="N863" t="str">
        <f>IFERROR(_xlfn.XLOOKUP($A863,'Base SKUs'!$E:$E,'Base SKUs'!H:H),"")</f>
        <v>S4S E4E</v>
      </c>
      <c r="O863" t="str">
        <f>IFERROR(_xlfn.XLOOKUP($A863,'Base SKUs'!$E:$E,'Base SKUs'!I:I),"")</f>
        <v>-</v>
      </c>
      <c r="P863" t="str">
        <f>IFERROR(_xlfn.XLOOKUP($A863,'Base SKUs'!$E:$E,'Base SKUs'!J:J),"")</f>
        <v>5/4x6</v>
      </c>
      <c r="Q863">
        <f>IFERROR(_xlfn.XLOOKUP($A863,'Base SKUs'!$E:$E,'Base SKUs'!K:K),"")</f>
        <v>16</v>
      </c>
      <c r="R863" s="7">
        <f>IFERROR(_xlfn.XLOOKUP($A863,'Base SKUs'!$E:$E,'Base SKUs'!S:S),"")</f>
        <v>1.6800000000000002E-2</v>
      </c>
      <c r="S863" s="8">
        <f t="shared" si="67"/>
        <v>1.6800000000000002</v>
      </c>
      <c r="T863" s="7">
        <f>IFERROR(_xlfn.XLOOKUP($A863,'Base SKUs'!$E:$E,'Base SKUs'!R:R),"")</f>
        <v>937.38300000000004</v>
      </c>
      <c r="U863" s="15">
        <f t="shared" si="68"/>
        <v>1575</v>
      </c>
      <c r="V863" t="str">
        <f t="shared" si="69"/>
        <v>Boston</v>
      </c>
    </row>
    <row r="864" spans="1:22" x14ac:dyDescent="0.2">
      <c r="A864" t="s">
        <v>1233</v>
      </c>
      <c r="B864" s="5">
        <v>242</v>
      </c>
      <c r="C864" s="5">
        <v>0</v>
      </c>
      <c r="D864" s="5">
        <f t="shared" si="65"/>
        <v>242</v>
      </c>
      <c r="E864" s="6">
        <v>43.526800000000001</v>
      </c>
      <c r="F864" s="6">
        <f t="shared" si="66"/>
        <v>10533.4856</v>
      </c>
      <c r="G864" t="s">
        <v>125</v>
      </c>
      <c r="H864">
        <v>9009</v>
      </c>
      <c r="I864" t="str">
        <f>IFERROR(_xlfn.XLOOKUP($A864,'Base SKUs'!$E:$E,'Base SKUs'!A:A),"")</f>
        <v>Ayous</v>
      </c>
      <c r="J864" t="str">
        <f>IFERROR(_xlfn.XLOOKUP($A864,'Base SKUs'!$E:$E,'Base SKUs'!B:B),"")</f>
        <v>Ayous 5/4x6</v>
      </c>
      <c r="K864" t="str">
        <f>IFERROR(_xlfn.XLOOKUP($A864,'Base SKUs'!$E:$E,'Base SKUs'!C:C),"")</f>
        <v>Long</v>
      </c>
      <c r="L864" t="str">
        <f>IFERROR(_xlfn.XLOOKUP($A864,'Base SKUs'!$E:$E,'Base SKUs'!D:D),"")</f>
        <v>Thermowood</v>
      </c>
      <c r="M864" t="str">
        <f>IFERROR(_xlfn.XLOOKUP($A864,'Base SKUs'!$E:$E,'Base SKUs'!G:G),"")</f>
        <v>Maximo Thermo Ayous</v>
      </c>
      <c r="N864" t="str">
        <f>IFERROR(_xlfn.XLOOKUP($A864,'Base SKUs'!$E:$E,'Base SKUs'!H:H),"")</f>
        <v>S4S E4E</v>
      </c>
      <c r="O864" t="str">
        <f>IFERROR(_xlfn.XLOOKUP($A864,'Base SKUs'!$E:$E,'Base SKUs'!I:I),"")</f>
        <v>-</v>
      </c>
      <c r="P864" t="str">
        <f>IFERROR(_xlfn.XLOOKUP($A864,'Base SKUs'!$E:$E,'Base SKUs'!J:J),"")</f>
        <v>5/4x6</v>
      </c>
      <c r="Q864">
        <f>IFERROR(_xlfn.XLOOKUP($A864,'Base SKUs'!$E:$E,'Base SKUs'!K:K),"")</f>
        <v>17</v>
      </c>
      <c r="R864" s="7">
        <f>IFERROR(_xlfn.XLOOKUP($A864,'Base SKUs'!$E:$E,'Base SKUs'!S:S),"")</f>
        <v>1.7849999999999998E-2</v>
      </c>
      <c r="S864" s="8">
        <f t="shared" si="67"/>
        <v>4.3196999999999992</v>
      </c>
      <c r="T864" s="7">
        <f>IFERROR(_xlfn.XLOOKUP($A864,'Base SKUs'!$E:$E,'Base SKUs'!R:R),"")</f>
        <v>937.38300000000004</v>
      </c>
      <c r="U864" s="15">
        <f t="shared" si="68"/>
        <v>4049</v>
      </c>
      <c r="V864" t="str">
        <f t="shared" si="69"/>
        <v>Boston</v>
      </c>
    </row>
    <row r="865" spans="1:22" x14ac:dyDescent="0.2">
      <c r="A865" t="s">
        <v>1233</v>
      </c>
      <c r="B865" s="5">
        <v>175</v>
      </c>
      <c r="C865" s="5">
        <v>0</v>
      </c>
      <c r="D865" s="5">
        <f t="shared" si="65"/>
        <v>175</v>
      </c>
      <c r="E865" s="6">
        <v>43.526800000000001</v>
      </c>
      <c r="F865" s="6">
        <f t="shared" si="66"/>
        <v>7617.1900000000005</v>
      </c>
      <c r="G865" t="s">
        <v>330</v>
      </c>
      <c r="H865">
        <v>9011</v>
      </c>
      <c r="I865" t="str">
        <f>IFERROR(_xlfn.XLOOKUP($A865,'Base SKUs'!$E:$E,'Base SKUs'!A:A),"")</f>
        <v>Ayous</v>
      </c>
      <c r="J865" t="str">
        <f>IFERROR(_xlfn.XLOOKUP($A865,'Base SKUs'!$E:$E,'Base SKUs'!B:B),"")</f>
        <v>Ayous 5/4x6</v>
      </c>
      <c r="K865" t="str">
        <f>IFERROR(_xlfn.XLOOKUP($A865,'Base SKUs'!$E:$E,'Base SKUs'!C:C),"")</f>
        <v>Long</v>
      </c>
      <c r="L865" t="str">
        <f>IFERROR(_xlfn.XLOOKUP($A865,'Base SKUs'!$E:$E,'Base SKUs'!D:D),"")</f>
        <v>Thermowood</v>
      </c>
      <c r="M865" t="str">
        <f>IFERROR(_xlfn.XLOOKUP($A865,'Base SKUs'!$E:$E,'Base SKUs'!G:G),"")</f>
        <v>Maximo Thermo Ayous</v>
      </c>
      <c r="N865" t="str">
        <f>IFERROR(_xlfn.XLOOKUP($A865,'Base SKUs'!$E:$E,'Base SKUs'!H:H),"")</f>
        <v>S4S E4E</v>
      </c>
      <c r="O865" t="str">
        <f>IFERROR(_xlfn.XLOOKUP($A865,'Base SKUs'!$E:$E,'Base SKUs'!I:I),"")</f>
        <v>-</v>
      </c>
      <c r="P865" t="str">
        <f>IFERROR(_xlfn.XLOOKUP($A865,'Base SKUs'!$E:$E,'Base SKUs'!J:J),"")</f>
        <v>5/4x6</v>
      </c>
      <c r="Q865">
        <f>IFERROR(_xlfn.XLOOKUP($A865,'Base SKUs'!$E:$E,'Base SKUs'!K:K),"")</f>
        <v>17</v>
      </c>
      <c r="R865" s="7">
        <f>IFERROR(_xlfn.XLOOKUP($A865,'Base SKUs'!$E:$E,'Base SKUs'!S:S),"")</f>
        <v>1.7849999999999998E-2</v>
      </c>
      <c r="S865" s="8">
        <f t="shared" si="67"/>
        <v>3.1237499999999998</v>
      </c>
      <c r="T865" s="7">
        <f>IFERROR(_xlfn.XLOOKUP($A865,'Base SKUs'!$E:$E,'Base SKUs'!R:R),"")</f>
        <v>937.38300000000004</v>
      </c>
      <c r="U865" s="15">
        <f t="shared" si="68"/>
        <v>2928</v>
      </c>
      <c r="V865" t="str">
        <f t="shared" si="69"/>
        <v>New York</v>
      </c>
    </row>
    <row r="866" spans="1:22" x14ac:dyDescent="0.2">
      <c r="A866" t="s">
        <v>1235</v>
      </c>
      <c r="B866" s="5">
        <v>75</v>
      </c>
      <c r="C866" s="5">
        <v>0</v>
      </c>
      <c r="D866" s="5">
        <f t="shared" si="65"/>
        <v>75</v>
      </c>
      <c r="E866" s="6">
        <v>23.043600000000001</v>
      </c>
      <c r="F866" s="6">
        <f t="shared" si="66"/>
        <v>1728.2700000000002</v>
      </c>
      <c r="G866" t="s">
        <v>125</v>
      </c>
      <c r="H866">
        <v>9009</v>
      </c>
      <c r="I866" t="str">
        <f>IFERROR(_xlfn.XLOOKUP($A866,'Base SKUs'!$E:$E,'Base SKUs'!A:A),"")</f>
        <v>Ayous</v>
      </c>
      <c r="J866" t="str">
        <f>IFERROR(_xlfn.XLOOKUP($A866,'Base SKUs'!$E:$E,'Base SKUs'!B:B),"")</f>
        <v>Ayous 5/4x6</v>
      </c>
      <c r="K866" t="str">
        <f>IFERROR(_xlfn.XLOOKUP($A866,'Base SKUs'!$E:$E,'Base SKUs'!C:C),"")</f>
        <v>Long</v>
      </c>
      <c r="L866" t="str">
        <f>IFERROR(_xlfn.XLOOKUP($A866,'Base SKUs'!$E:$E,'Base SKUs'!D:D),"")</f>
        <v>Thermowood</v>
      </c>
      <c r="M866" t="str">
        <f>IFERROR(_xlfn.XLOOKUP($A866,'Base SKUs'!$E:$E,'Base SKUs'!G:G),"")</f>
        <v>Maximo Thermo Ayous</v>
      </c>
      <c r="N866" t="str">
        <f>IFERROR(_xlfn.XLOOKUP($A866,'Base SKUs'!$E:$E,'Base SKUs'!H:H),"")</f>
        <v>S4S E4E</v>
      </c>
      <c r="O866" t="str">
        <f>IFERROR(_xlfn.XLOOKUP($A866,'Base SKUs'!$E:$E,'Base SKUs'!I:I),"")</f>
        <v>-</v>
      </c>
      <c r="P866" t="str">
        <f>IFERROR(_xlfn.XLOOKUP($A866,'Base SKUs'!$E:$E,'Base SKUs'!J:J),"")</f>
        <v>5/4x6</v>
      </c>
      <c r="Q866">
        <f>IFERROR(_xlfn.XLOOKUP($A866,'Base SKUs'!$E:$E,'Base SKUs'!K:K),"")</f>
        <v>9</v>
      </c>
      <c r="R866" s="7">
        <f>IFERROR(_xlfn.XLOOKUP($A866,'Base SKUs'!$E:$E,'Base SKUs'!S:S),"")</f>
        <v>9.4500000000000018E-3</v>
      </c>
      <c r="S866" s="8">
        <f t="shared" si="67"/>
        <v>0.7087500000000001</v>
      </c>
      <c r="T866" s="7">
        <f>IFERROR(_xlfn.XLOOKUP($A866,'Base SKUs'!$E:$E,'Base SKUs'!R:R),"")</f>
        <v>937.38300000000004</v>
      </c>
      <c r="U866" s="15">
        <f t="shared" si="68"/>
        <v>664</v>
      </c>
      <c r="V866" t="str">
        <f t="shared" si="69"/>
        <v>Boston</v>
      </c>
    </row>
    <row r="867" spans="1:22" x14ac:dyDescent="0.2">
      <c r="A867" t="s">
        <v>1237</v>
      </c>
      <c r="B867" s="5">
        <v>33</v>
      </c>
      <c r="C867" s="5">
        <v>0</v>
      </c>
      <c r="D867" s="5">
        <f t="shared" si="65"/>
        <v>33</v>
      </c>
      <c r="E867" s="6">
        <v>19.022600000000001</v>
      </c>
      <c r="F867" s="6">
        <f t="shared" si="66"/>
        <v>627.74580000000003</v>
      </c>
      <c r="G867" t="s">
        <v>17</v>
      </c>
      <c r="H867">
        <v>9007</v>
      </c>
      <c r="I867" t="str">
        <f>IFERROR(_xlfn.XLOOKUP($A867,'Base SKUs'!$E:$E,'Base SKUs'!A:A),"")</f>
        <v>Ayous</v>
      </c>
      <c r="J867" t="str">
        <f>IFERROR(_xlfn.XLOOKUP($A867,'Base SKUs'!$E:$E,'Base SKUs'!B:B),"")</f>
        <v>Ayous 1x6</v>
      </c>
      <c r="K867" t="str">
        <f>IFERROR(_xlfn.XLOOKUP($A867,'Base SKUs'!$E:$E,'Base SKUs'!C:C),"")</f>
        <v>Long</v>
      </c>
      <c r="L867" t="str">
        <f>IFERROR(_xlfn.XLOOKUP($A867,'Base SKUs'!$E:$E,'Base SKUs'!D:D),"")</f>
        <v>Thermowood</v>
      </c>
      <c r="M867" t="str">
        <f>IFERROR(_xlfn.XLOOKUP($A867,'Base SKUs'!$E:$E,'Base SKUs'!G:G),"")</f>
        <v>Maximo Thermo Ayous</v>
      </c>
      <c r="N867" t="str">
        <f>IFERROR(_xlfn.XLOOKUP($A867,'Base SKUs'!$E:$E,'Base SKUs'!H:H),"")</f>
        <v>VJoint - Nickel Gap</v>
      </c>
      <c r="O867" t="str">
        <f>IFERROR(_xlfn.XLOOKUP($A867,'Base SKUs'!$E:$E,'Base SKUs'!I:I),"")</f>
        <v>Pre Finished - Hemel</v>
      </c>
      <c r="P867" t="str">
        <f>IFERROR(_xlfn.XLOOKUP($A867,'Base SKUs'!$E:$E,'Base SKUs'!J:J),"")</f>
        <v>1x6</v>
      </c>
      <c r="Q867">
        <f>IFERROR(_xlfn.XLOOKUP($A867,'Base SKUs'!$E:$E,'Base SKUs'!K:K),"")</f>
        <v>10</v>
      </c>
      <c r="R867" s="7">
        <f>IFERROR(_xlfn.XLOOKUP($A867,'Base SKUs'!$E:$E,'Base SKUs'!S:S),"")</f>
        <v>7.980000000000001E-3</v>
      </c>
      <c r="S867" s="8">
        <f t="shared" si="67"/>
        <v>0.26334000000000002</v>
      </c>
      <c r="T867" s="7">
        <f>IFERROR(_xlfn.XLOOKUP($A867,'Base SKUs'!$E:$E,'Base SKUs'!R:R),"")</f>
        <v>1233.3979999999999</v>
      </c>
      <c r="U867" s="15">
        <f t="shared" si="68"/>
        <v>325</v>
      </c>
      <c r="V867" t="str">
        <f t="shared" si="69"/>
        <v>Miami</v>
      </c>
    </row>
    <row r="868" spans="1:22" x14ac:dyDescent="0.2">
      <c r="A868" t="s">
        <v>1237</v>
      </c>
      <c r="B868" s="5">
        <v>77</v>
      </c>
      <c r="C868" s="5">
        <v>0</v>
      </c>
      <c r="D868" s="5">
        <f t="shared" si="65"/>
        <v>77</v>
      </c>
      <c r="E868" s="6">
        <v>19.022600000000001</v>
      </c>
      <c r="F868" s="6">
        <f t="shared" si="66"/>
        <v>1464.7402</v>
      </c>
      <c r="G868" t="s">
        <v>330</v>
      </c>
      <c r="H868">
        <v>9011</v>
      </c>
      <c r="I868" t="str">
        <f>IFERROR(_xlfn.XLOOKUP($A868,'Base SKUs'!$E:$E,'Base SKUs'!A:A),"")</f>
        <v>Ayous</v>
      </c>
      <c r="J868" t="str">
        <f>IFERROR(_xlfn.XLOOKUP($A868,'Base SKUs'!$E:$E,'Base SKUs'!B:B),"")</f>
        <v>Ayous 1x6</v>
      </c>
      <c r="K868" t="str">
        <f>IFERROR(_xlfn.XLOOKUP($A868,'Base SKUs'!$E:$E,'Base SKUs'!C:C),"")</f>
        <v>Long</v>
      </c>
      <c r="L868" t="str">
        <f>IFERROR(_xlfn.XLOOKUP($A868,'Base SKUs'!$E:$E,'Base SKUs'!D:D),"")</f>
        <v>Thermowood</v>
      </c>
      <c r="M868" t="str">
        <f>IFERROR(_xlfn.XLOOKUP($A868,'Base SKUs'!$E:$E,'Base SKUs'!G:G),"")</f>
        <v>Maximo Thermo Ayous</v>
      </c>
      <c r="N868" t="str">
        <f>IFERROR(_xlfn.XLOOKUP($A868,'Base SKUs'!$E:$E,'Base SKUs'!H:H),"")</f>
        <v>VJoint - Nickel Gap</v>
      </c>
      <c r="O868" t="str">
        <f>IFERROR(_xlfn.XLOOKUP($A868,'Base SKUs'!$E:$E,'Base SKUs'!I:I),"")</f>
        <v>Pre Finished - Hemel</v>
      </c>
      <c r="P868" t="str">
        <f>IFERROR(_xlfn.XLOOKUP($A868,'Base SKUs'!$E:$E,'Base SKUs'!J:J),"")</f>
        <v>1x6</v>
      </c>
      <c r="Q868">
        <f>IFERROR(_xlfn.XLOOKUP($A868,'Base SKUs'!$E:$E,'Base SKUs'!K:K),"")</f>
        <v>10</v>
      </c>
      <c r="R868" s="7">
        <f>IFERROR(_xlfn.XLOOKUP($A868,'Base SKUs'!$E:$E,'Base SKUs'!S:S),"")</f>
        <v>7.980000000000001E-3</v>
      </c>
      <c r="S868" s="8">
        <f t="shared" si="67"/>
        <v>0.61446000000000012</v>
      </c>
      <c r="T868" s="7">
        <f>IFERROR(_xlfn.XLOOKUP($A868,'Base SKUs'!$E:$E,'Base SKUs'!R:R),"")</f>
        <v>1233.3979999999999</v>
      </c>
      <c r="U868" s="15">
        <f t="shared" si="68"/>
        <v>758</v>
      </c>
      <c r="V868" t="str">
        <f t="shared" si="69"/>
        <v>New York</v>
      </c>
    </row>
    <row r="869" spans="1:22" x14ac:dyDescent="0.2">
      <c r="A869" t="s">
        <v>1239</v>
      </c>
      <c r="B869" s="5">
        <v>89</v>
      </c>
      <c r="C869" s="5">
        <v>0</v>
      </c>
      <c r="D869" s="5">
        <f t="shared" si="65"/>
        <v>89</v>
      </c>
      <c r="E869" s="6">
        <v>20.924800000000001</v>
      </c>
      <c r="F869" s="6">
        <f t="shared" si="66"/>
        <v>1862.3072000000002</v>
      </c>
      <c r="G869" t="s">
        <v>17</v>
      </c>
      <c r="H869">
        <v>9007</v>
      </c>
      <c r="I869" t="str">
        <f>IFERROR(_xlfn.XLOOKUP($A869,'Base SKUs'!$E:$E,'Base SKUs'!A:A),"")</f>
        <v>Ayous</v>
      </c>
      <c r="J869" t="str">
        <f>IFERROR(_xlfn.XLOOKUP($A869,'Base SKUs'!$E:$E,'Base SKUs'!B:B),"")</f>
        <v>Ayous 1x6</v>
      </c>
      <c r="K869" t="str">
        <f>IFERROR(_xlfn.XLOOKUP($A869,'Base SKUs'!$E:$E,'Base SKUs'!C:C),"")</f>
        <v>Long</v>
      </c>
      <c r="L869" t="str">
        <f>IFERROR(_xlfn.XLOOKUP($A869,'Base SKUs'!$E:$E,'Base SKUs'!D:D),"")</f>
        <v>Thermowood</v>
      </c>
      <c r="M869" t="str">
        <f>IFERROR(_xlfn.XLOOKUP($A869,'Base SKUs'!$E:$E,'Base SKUs'!G:G),"")</f>
        <v>Maximo Thermo Ayous</v>
      </c>
      <c r="N869" t="str">
        <f>IFERROR(_xlfn.XLOOKUP($A869,'Base SKUs'!$E:$E,'Base SKUs'!H:H),"")</f>
        <v>VJoint - Nickel Gap</v>
      </c>
      <c r="O869" t="str">
        <f>IFERROR(_xlfn.XLOOKUP($A869,'Base SKUs'!$E:$E,'Base SKUs'!I:I),"")</f>
        <v>Pre Finished - Hemel</v>
      </c>
      <c r="P869" t="str">
        <f>IFERROR(_xlfn.XLOOKUP($A869,'Base SKUs'!$E:$E,'Base SKUs'!J:J),"")</f>
        <v>1x6</v>
      </c>
      <c r="Q869">
        <f>IFERROR(_xlfn.XLOOKUP($A869,'Base SKUs'!$E:$E,'Base SKUs'!K:K),"")</f>
        <v>11</v>
      </c>
      <c r="R869" s="7">
        <f>IFERROR(_xlfn.XLOOKUP($A869,'Base SKUs'!$E:$E,'Base SKUs'!S:S),"")</f>
        <v>8.7779999999999993E-3</v>
      </c>
      <c r="S869" s="8">
        <f t="shared" si="67"/>
        <v>0.78124199999999999</v>
      </c>
      <c r="T869" s="7">
        <f>IFERROR(_xlfn.XLOOKUP($A869,'Base SKUs'!$E:$E,'Base SKUs'!R:R),"")</f>
        <v>1233.3979999999999</v>
      </c>
      <c r="U869" s="15">
        <f t="shared" si="68"/>
        <v>964</v>
      </c>
      <c r="V869" t="str">
        <f t="shared" si="69"/>
        <v>Miami</v>
      </c>
    </row>
    <row r="870" spans="1:22" x14ac:dyDescent="0.2">
      <c r="A870" t="s">
        <v>1239</v>
      </c>
      <c r="B870" s="5">
        <v>105</v>
      </c>
      <c r="C870" s="5">
        <v>0</v>
      </c>
      <c r="D870" s="5">
        <f t="shared" si="65"/>
        <v>105</v>
      </c>
      <c r="E870" s="6">
        <v>20.924800000000001</v>
      </c>
      <c r="F870" s="6">
        <f t="shared" si="66"/>
        <v>2197.1040000000003</v>
      </c>
      <c r="G870" t="s">
        <v>330</v>
      </c>
      <c r="H870">
        <v>9011</v>
      </c>
      <c r="I870" t="str">
        <f>IFERROR(_xlfn.XLOOKUP($A870,'Base SKUs'!$E:$E,'Base SKUs'!A:A),"")</f>
        <v>Ayous</v>
      </c>
      <c r="J870" t="str">
        <f>IFERROR(_xlfn.XLOOKUP($A870,'Base SKUs'!$E:$E,'Base SKUs'!B:B),"")</f>
        <v>Ayous 1x6</v>
      </c>
      <c r="K870" t="str">
        <f>IFERROR(_xlfn.XLOOKUP($A870,'Base SKUs'!$E:$E,'Base SKUs'!C:C),"")</f>
        <v>Long</v>
      </c>
      <c r="L870" t="str">
        <f>IFERROR(_xlfn.XLOOKUP($A870,'Base SKUs'!$E:$E,'Base SKUs'!D:D),"")</f>
        <v>Thermowood</v>
      </c>
      <c r="M870" t="str">
        <f>IFERROR(_xlfn.XLOOKUP($A870,'Base SKUs'!$E:$E,'Base SKUs'!G:G),"")</f>
        <v>Maximo Thermo Ayous</v>
      </c>
      <c r="N870" t="str">
        <f>IFERROR(_xlfn.XLOOKUP($A870,'Base SKUs'!$E:$E,'Base SKUs'!H:H),"")</f>
        <v>VJoint - Nickel Gap</v>
      </c>
      <c r="O870" t="str">
        <f>IFERROR(_xlfn.XLOOKUP($A870,'Base SKUs'!$E:$E,'Base SKUs'!I:I),"")</f>
        <v>Pre Finished - Hemel</v>
      </c>
      <c r="P870" t="str">
        <f>IFERROR(_xlfn.XLOOKUP($A870,'Base SKUs'!$E:$E,'Base SKUs'!J:J),"")</f>
        <v>1x6</v>
      </c>
      <c r="Q870">
        <f>IFERROR(_xlfn.XLOOKUP($A870,'Base SKUs'!$E:$E,'Base SKUs'!K:K),"")</f>
        <v>11</v>
      </c>
      <c r="R870" s="7">
        <f>IFERROR(_xlfn.XLOOKUP($A870,'Base SKUs'!$E:$E,'Base SKUs'!S:S),"")</f>
        <v>8.7779999999999993E-3</v>
      </c>
      <c r="S870" s="8">
        <f t="shared" si="67"/>
        <v>0.9216899999999999</v>
      </c>
      <c r="T870" s="7">
        <f>IFERROR(_xlfn.XLOOKUP($A870,'Base SKUs'!$E:$E,'Base SKUs'!R:R),"")</f>
        <v>1233.3979999999999</v>
      </c>
      <c r="U870" s="15">
        <f t="shared" si="68"/>
        <v>1137</v>
      </c>
      <c r="V870" t="str">
        <f t="shared" si="69"/>
        <v>New York</v>
      </c>
    </row>
    <row r="871" spans="1:22" x14ac:dyDescent="0.2">
      <c r="A871" t="s">
        <v>1241</v>
      </c>
      <c r="B871" s="5">
        <v>82</v>
      </c>
      <c r="C871" s="5">
        <v>0</v>
      </c>
      <c r="D871" s="5">
        <f t="shared" si="65"/>
        <v>82</v>
      </c>
      <c r="E871" s="6">
        <v>22.827100000000002</v>
      </c>
      <c r="F871" s="6">
        <f t="shared" si="66"/>
        <v>1871.8222000000001</v>
      </c>
      <c r="G871" t="s">
        <v>17</v>
      </c>
      <c r="H871">
        <v>9007</v>
      </c>
      <c r="I871" t="str">
        <f>IFERROR(_xlfn.XLOOKUP($A871,'Base SKUs'!$E:$E,'Base SKUs'!A:A),"")</f>
        <v>Ayous</v>
      </c>
      <c r="J871" t="str">
        <f>IFERROR(_xlfn.XLOOKUP($A871,'Base SKUs'!$E:$E,'Base SKUs'!B:B),"")</f>
        <v>Ayous 1x6</v>
      </c>
      <c r="K871" t="str">
        <f>IFERROR(_xlfn.XLOOKUP($A871,'Base SKUs'!$E:$E,'Base SKUs'!C:C),"")</f>
        <v>Long</v>
      </c>
      <c r="L871" t="str">
        <f>IFERROR(_xlfn.XLOOKUP($A871,'Base SKUs'!$E:$E,'Base SKUs'!D:D),"")</f>
        <v>Thermowood</v>
      </c>
      <c r="M871" t="str">
        <f>IFERROR(_xlfn.XLOOKUP($A871,'Base SKUs'!$E:$E,'Base SKUs'!G:G),"")</f>
        <v>Maximo Thermo Ayous</v>
      </c>
      <c r="N871" t="str">
        <f>IFERROR(_xlfn.XLOOKUP($A871,'Base SKUs'!$E:$E,'Base SKUs'!H:H),"")</f>
        <v>VJoint - Nickel Gap</v>
      </c>
      <c r="O871" t="str">
        <f>IFERROR(_xlfn.XLOOKUP($A871,'Base SKUs'!$E:$E,'Base SKUs'!I:I),"")</f>
        <v>Pre Finished - Hemel</v>
      </c>
      <c r="P871" t="str">
        <f>IFERROR(_xlfn.XLOOKUP($A871,'Base SKUs'!$E:$E,'Base SKUs'!J:J),"")</f>
        <v>1x6</v>
      </c>
      <c r="Q871">
        <f>IFERROR(_xlfn.XLOOKUP($A871,'Base SKUs'!$E:$E,'Base SKUs'!K:K),"")</f>
        <v>12</v>
      </c>
      <c r="R871" s="7">
        <f>IFERROR(_xlfn.XLOOKUP($A871,'Base SKUs'!$E:$E,'Base SKUs'!S:S),"")</f>
        <v>9.5760000000000012E-3</v>
      </c>
      <c r="S871" s="8">
        <f t="shared" si="67"/>
        <v>0.78523200000000015</v>
      </c>
      <c r="T871" s="7">
        <f>IFERROR(_xlfn.XLOOKUP($A871,'Base SKUs'!$E:$E,'Base SKUs'!R:R),"")</f>
        <v>1233.3979999999999</v>
      </c>
      <c r="U871" s="15">
        <f t="shared" si="68"/>
        <v>969</v>
      </c>
      <c r="V871" t="str">
        <f t="shared" si="69"/>
        <v>Miami</v>
      </c>
    </row>
    <row r="872" spans="1:22" x14ac:dyDescent="0.2">
      <c r="A872" t="s">
        <v>1241</v>
      </c>
      <c r="B872" s="5">
        <v>245</v>
      </c>
      <c r="C872" s="5">
        <v>0</v>
      </c>
      <c r="D872" s="5">
        <f t="shared" si="65"/>
        <v>245</v>
      </c>
      <c r="E872" s="6">
        <v>22.827100000000002</v>
      </c>
      <c r="F872" s="6">
        <f t="shared" si="66"/>
        <v>5592.6395000000002</v>
      </c>
      <c r="G872" t="s">
        <v>330</v>
      </c>
      <c r="H872">
        <v>9011</v>
      </c>
      <c r="I872" t="str">
        <f>IFERROR(_xlfn.XLOOKUP($A872,'Base SKUs'!$E:$E,'Base SKUs'!A:A),"")</f>
        <v>Ayous</v>
      </c>
      <c r="J872" t="str">
        <f>IFERROR(_xlfn.XLOOKUP($A872,'Base SKUs'!$E:$E,'Base SKUs'!B:B),"")</f>
        <v>Ayous 1x6</v>
      </c>
      <c r="K872" t="str">
        <f>IFERROR(_xlfn.XLOOKUP($A872,'Base SKUs'!$E:$E,'Base SKUs'!C:C),"")</f>
        <v>Long</v>
      </c>
      <c r="L872" t="str">
        <f>IFERROR(_xlfn.XLOOKUP($A872,'Base SKUs'!$E:$E,'Base SKUs'!D:D),"")</f>
        <v>Thermowood</v>
      </c>
      <c r="M872" t="str">
        <f>IFERROR(_xlfn.XLOOKUP($A872,'Base SKUs'!$E:$E,'Base SKUs'!G:G),"")</f>
        <v>Maximo Thermo Ayous</v>
      </c>
      <c r="N872" t="str">
        <f>IFERROR(_xlfn.XLOOKUP($A872,'Base SKUs'!$E:$E,'Base SKUs'!H:H),"")</f>
        <v>VJoint - Nickel Gap</v>
      </c>
      <c r="O872" t="str">
        <f>IFERROR(_xlfn.XLOOKUP($A872,'Base SKUs'!$E:$E,'Base SKUs'!I:I),"")</f>
        <v>Pre Finished - Hemel</v>
      </c>
      <c r="P872" t="str">
        <f>IFERROR(_xlfn.XLOOKUP($A872,'Base SKUs'!$E:$E,'Base SKUs'!J:J),"")</f>
        <v>1x6</v>
      </c>
      <c r="Q872">
        <f>IFERROR(_xlfn.XLOOKUP($A872,'Base SKUs'!$E:$E,'Base SKUs'!K:K),"")</f>
        <v>12</v>
      </c>
      <c r="R872" s="7">
        <f>IFERROR(_xlfn.XLOOKUP($A872,'Base SKUs'!$E:$E,'Base SKUs'!S:S),"")</f>
        <v>9.5760000000000012E-3</v>
      </c>
      <c r="S872" s="8">
        <f t="shared" si="67"/>
        <v>2.3461200000000004</v>
      </c>
      <c r="T872" s="7">
        <f>IFERROR(_xlfn.XLOOKUP($A872,'Base SKUs'!$E:$E,'Base SKUs'!R:R),"")</f>
        <v>1233.3979999999999</v>
      </c>
      <c r="U872" s="15">
        <f t="shared" si="68"/>
        <v>2894</v>
      </c>
      <c r="V872" t="str">
        <f t="shared" si="69"/>
        <v>New York</v>
      </c>
    </row>
    <row r="873" spans="1:22" x14ac:dyDescent="0.2">
      <c r="A873" t="s">
        <v>1243</v>
      </c>
      <c r="B873" s="5">
        <v>69</v>
      </c>
      <c r="C873" s="5">
        <v>0</v>
      </c>
      <c r="D873" s="5">
        <f t="shared" si="65"/>
        <v>69</v>
      </c>
      <c r="E873" s="6">
        <v>24.729299999999999</v>
      </c>
      <c r="F873" s="6">
        <f t="shared" si="66"/>
        <v>1706.3217</v>
      </c>
      <c r="G873" t="s">
        <v>17</v>
      </c>
      <c r="H873">
        <v>9007</v>
      </c>
      <c r="I873" t="str">
        <f>IFERROR(_xlfn.XLOOKUP($A873,'Base SKUs'!$E:$E,'Base SKUs'!A:A),"")</f>
        <v>Ayous</v>
      </c>
      <c r="J873" t="str">
        <f>IFERROR(_xlfn.XLOOKUP($A873,'Base SKUs'!$E:$E,'Base SKUs'!B:B),"")</f>
        <v>Ayous 1x6</v>
      </c>
      <c r="K873" t="str">
        <f>IFERROR(_xlfn.XLOOKUP($A873,'Base SKUs'!$E:$E,'Base SKUs'!C:C),"")</f>
        <v>Long</v>
      </c>
      <c r="L873" t="str">
        <f>IFERROR(_xlfn.XLOOKUP($A873,'Base SKUs'!$E:$E,'Base SKUs'!D:D),"")</f>
        <v>Thermowood</v>
      </c>
      <c r="M873" t="str">
        <f>IFERROR(_xlfn.XLOOKUP($A873,'Base SKUs'!$E:$E,'Base SKUs'!G:G),"")</f>
        <v>Maximo Thermo Ayous</v>
      </c>
      <c r="N873" t="str">
        <f>IFERROR(_xlfn.XLOOKUP($A873,'Base SKUs'!$E:$E,'Base SKUs'!H:H),"")</f>
        <v>VJoint - Nickel Gap</v>
      </c>
      <c r="O873" t="str">
        <f>IFERROR(_xlfn.XLOOKUP($A873,'Base SKUs'!$E:$E,'Base SKUs'!I:I),"")</f>
        <v>Pre Finished - Hemel</v>
      </c>
      <c r="P873" t="str">
        <f>IFERROR(_xlfn.XLOOKUP($A873,'Base SKUs'!$E:$E,'Base SKUs'!J:J),"")</f>
        <v>1x6</v>
      </c>
      <c r="Q873">
        <f>IFERROR(_xlfn.XLOOKUP($A873,'Base SKUs'!$E:$E,'Base SKUs'!K:K),"")</f>
        <v>13</v>
      </c>
      <c r="R873" s="7">
        <f>IFERROR(_xlfn.XLOOKUP($A873,'Base SKUs'!$E:$E,'Base SKUs'!S:S),"")</f>
        <v>1.0374000000000001E-2</v>
      </c>
      <c r="S873" s="8">
        <f t="shared" si="67"/>
        <v>0.71580600000000005</v>
      </c>
      <c r="T873" s="7">
        <f>IFERROR(_xlfn.XLOOKUP($A873,'Base SKUs'!$E:$E,'Base SKUs'!R:R),"")</f>
        <v>1233.3979999999999</v>
      </c>
      <c r="U873" s="15">
        <f t="shared" si="68"/>
        <v>883</v>
      </c>
      <c r="V873" t="str">
        <f t="shared" si="69"/>
        <v>Miami</v>
      </c>
    </row>
    <row r="874" spans="1:22" x14ac:dyDescent="0.2">
      <c r="A874" t="s">
        <v>1243</v>
      </c>
      <c r="B874" s="5">
        <v>245</v>
      </c>
      <c r="C874" s="5">
        <v>0</v>
      </c>
      <c r="D874" s="5">
        <f t="shared" si="65"/>
        <v>245</v>
      </c>
      <c r="E874" s="6">
        <v>24.729299999999999</v>
      </c>
      <c r="F874" s="6">
        <f t="shared" si="66"/>
        <v>6058.6785</v>
      </c>
      <c r="G874" t="s">
        <v>330</v>
      </c>
      <c r="H874">
        <v>9011</v>
      </c>
      <c r="I874" t="str">
        <f>IFERROR(_xlfn.XLOOKUP($A874,'Base SKUs'!$E:$E,'Base SKUs'!A:A),"")</f>
        <v>Ayous</v>
      </c>
      <c r="J874" t="str">
        <f>IFERROR(_xlfn.XLOOKUP($A874,'Base SKUs'!$E:$E,'Base SKUs'!B:B),"")</f>
        <v>Ayous 1x6</v>
      </c>
      <c r="K874" t="str">
        <f>IFERROR(_xlfn.XLOOKUP($A874,'Base SKUs'!$E:$E,'Base SKUs'!C:C),"")</f>
        <v>Long</v>
      </c>
      <c r="L874" t="str">
        <f>IFERROR(_xlfn.XLOOKUP($A874,'Base SKUs'!$E:$E,'Base SKUs'!D:D),"")</f>
        <v>Thermowood</v>
      </c>
      <c r="M874" t="str">
        <f>IFERROR(_xlfn.XLOOKUP($A874,'Base SKUs'!$E:$E,'Base SKUs'!G:G),"")</f>
        <v>Maximo Thermo Ayous</v>
      </c>
      <c r="N874" t="str">
        <f>IFERROR(_xlfn.XLOOKUP($A874,'Base SKUs'!$E:$E,'Base SKUs'!H:H),"")</f>
        <v>VJoint - Nickel Gap</v>
      </c>
      <c r="O874" t="str">
        <f>IFERROR(_xlfn.XLOOKUP($A874,'Base SKUs'!$E:$E,'Base SKUs'!I:I),"")</f>
        <v>Pre Finished - Hemel</v>
      </c>
      <c r="P874" t="str">
        <f>IFERROR(_xlfn.XLOOKUP($A874,'Base SKUs'!$E:$E,'Base SKUs'!J:J),"")</f>
        <v>1x6</v>
      </c>
      <c r="Q874">
        <f>IFERROR(_xlfn.XLOOKUP($A874,'Base SKUs'!$E:$E,'Base SKUs'!K:K),"")</f>
        <v>13</v>
      </c>
      <c r="R874" s="7">
        <f>IFERROR(_xlfn.XLOOKUP($A874,'Base SKUs'!$E:$E,'Base SKUs'!S:S),"")</f>
        <v>1.0374000000000001E-2</v>
      </c>
      <c r="S874" s="8">
        <f t="shared" si="67"/>
        <v>2.5416300000000005</v>
      </c>
      <c r="T874" s="7">
        <f>IFERROR(_xlfn.XLOOKUP($A874,'Base SKUs'!$E:$E,'Base SKUs'!R:R),"")</f>
        <v>1233.3979999999999</v>
      </c>
      <c r="U874" s="15">
        <f t="shared" si="68"/>
        <v>3135</v>
      </c>
      <c r="V874" t="str">
        <f t="shared" si="69"/>
        <v>New York</v>
      </c>
    </row>
    <row r="875" spans="1:22" x14ac:dyDescent="0.2">
      <c r="A875" t="s">
        <v>1245</v>
      </c>
      <c r="B875" s="5">
        <v>1344</v>
      </c>
      <c r="C875" s="5">
        <v>0</v>
      </c>
      <c r="D875" s="5">
        <f t="shared" si="65"/>
        <v>1344</v>
      </c>
      <c r="E875" s="6">
        <v>26.631599999999999</v>
      </c>
      <c r="F875" s="6">
        <f t="shared" si="66"/>
        <v>35792.8704</v>
      </c>
      <c r="G875" t="s">
        <v>330</v>
      </c>
      <c r="H875">
        <v>9011</v>
      </c>
      <c r="I875" t="str">
        <f>IFERROR(_xlfn.XLOOKUP($A875,'Base SKUs'!$E:$E,'Base SKUs'!A:A),"")</f>
        <v>Ayous</v>
      </c>
      <c r="J875" t="str">
        <f>IFERROR(_xlfn.XLOOKUP($A875,'Base SKUs'!$E:$E,'Base SKUs'!B:B),"")</f>
        <v>Ayous 1x6</v>
      </c>
      <c r="K875" t="str">
        <f>IFERROR(_xlfn.XLOOKUP($A875,'Base SKUs'!$E:$E,'Base SKUs'!C:C),"")</f>
        <v>Long</v>
      </c>
      <c r="L875" t="str">
        <f>IFERROR(_xlfn.XLOOKUP($A875,'Base SKUs'!$E:$E,'Base SKUs'!D:D),"")</f>
        <v>Thermowood</v>
      </c>
      <c r="M875" t="str">
        <f>IFERROR(_xlfn.XLOOKUP($A875,'Base SKUs'!$E:$E,'Base SKUs'!G:G),"")</f>
        <v>Maximo Thermo Ayous</v>
      </c>
      <c r="N875" t="str">
        <f>IFERROR(_xlfn.XLOOKUP($A875,'Base SKUs'!$E:$E,'Base SKUs'!H:H),"")</f>
        <v>VJoint - Nickel Gap</v>
      </c>
      <c r="O875" t="str">
        <f>IFERROR(_xlfn.XLOOKUP($A875,'Base SKUs'!$E:$E,'Base SKUs'!I:I),"")</f>
        <v>Pre Finished - Hemel</v>
      </c>
      <c r="P875" t="str">
        <f>IFERROR(_xlfn.XLOOKUP($A875,'Base SKUs'!$E:$E,'Base SKUs'!J:J),"")</f>
        <v>1x6</v>
      </c>
      <c r="Q875">
        <f>IFERROR(_xlfn.XLOOKUP($A875,'Base SKUs'!$E:$E,'Base SKUs'!K:K),"")</f>
        <v>14</v>
      </c>
      <c r="R875" s="7">
        <f>IFERROR(_xlfn.XLOOKUP($A875,'Base SKUs'!$E:$E,'Base SKUs'!S:S),"")</f>
        <v>1.1172E-2</v>
      </c>
      <c r="S875" s="8">
        <f t="shared" si="67"/>
        <v>15.015167999999999</v>
      </c>
      <c r="T875" s="7">
        <f>IFERROR(_xlfn.XLOOKUP($A875,'Base SKUs'!$E:$E,'Base SKUs'!R:R),"")</f>
        <v>1233.3979999999999</v>
      </c>
      <c r="U875" s="15">
        <f t="shared" si="68"/>
        <v>18520</v>
      </c>
      <c r="V875" t="str">
        <f t="shared" si="69"/>
        <v>New York</v>
      </c>
    </row>
    <row r="876" spans="1:22" x14ac:dyDescent="0.2">
      <c r="A876" t="s">
        <v>1247</v>
      </c>
      <c r="B876" s="5">
        <v>16</v>
      </c>
      <c r="C876" s="5">
        <v>0</v>
      </c>
      <c r="D876" s="5">
        <f t="shared" si="65"/>
        <v>16</v>
      </c>
      <c r="E876" s="6">
        <v>28.533899999999999</v>
      </c>
      <c r="F876" s="6">
        <f t="shared" si="66"/>
        <v>456.54239999999999</v>
      </c>
      <c r="G876" t="s">
        <v>17</v>
      </c>
      <c r="H876">
        <v>9007</v>
      </c>
      <c r="I876" t="str">
        <f>IFERROR(_xlfn.XLOOKUP($A876,'Base SKUs'!$E:$E,'Base SKUs'!A:A),"")</f>
        <v>Ayous</v>
      </c>
      <c r="J876" t="str">
        <f>IFERROR(_xlfn.XLOOKUP($A876,'Base SKUs'!$E:$E,'Base SKUs'!B:B),"")</f>
        <v>Ayous 1x6</v>
      </c>
      <c r="K876" t="str">
        <f>IFERROR(_xlfn.XLOOKUP($A876,'Base SKUs'!$E:$E,'Base SKUs'!C:C),"")</f>
        <v>Long</v>
      </c>
      <c r="L876" t="str">
        <f>IFERROR(_xlfn.XLOOKUP($A876,'Base SKUs'!$E:$E,'Base SKUs'!D:D),"")</f>
        <v>Thermowood</v>
      </c>
      <c r="M876" t="str">
        <f>IFERROR(_xlfn.XLOOKUP($A876,'Base SKUs'!$E:$E,'Base SKUs'!G:G),"")</f>
        <v>Maximo Thermo Ayous</v>
      </c>
      <c r="N876" t="str">
        <f>IFERROR(_xlfn.XLOOKUP($A876,'Base SKUs'!$E:$E,'Base SKUs'!H:H),"")</f>
        <v>VJoint - Nickel Gap</v>
      </c>
      <c r="O876" t="str">
        <f>IFERROR(_xlfn.XLOOKUP($A876,'Base SKUs'!$E:$E,'Base SKUs'!I:I),"")</f>
        <v>Pre Finished - Hemel</v>
      </c>
      <c r="P876" t="str">
        <f>IFERROR(_xlfn.XLOOKUP($A876,'Base SKUs'!$E:$E,'Base SKUs'!J:J),"")</f>
        <v>1x6</v>
      </c>
      <c r="Q876">
        <f>IFERROR(_xlfn.XLOOKUP($A876,'Base SKUs'!$E:$E,'Base SKUs'!K:K),"")</f>
        <v>15</v>
      </c>
      <c r="R876" s="7">
        <f>IFERROR(_xlfn.XLOOKUP($A876,'Base SKUs'!$E:$E,'Base SKUs'!S:S),"")</f>
        <v>1.1970000000000001E-2</v>
      </c>
      <c r="S876" s="8">
        <f t="shared" si="67"/>
        <v>0.19152000000000002</v>
      </c>
      <c r="T876" s="7">
        <f>IFERROR(_xlfn.XLOOKUP($A876,'Base SKUs'!$E:$E,'Base SKUs'!R:R),"")</f>
        <v>1233.3979999999999</v>
      </c>
      <c r="U876" s="15">
        <f t="shared" si="68"/>
        <v>236</v>
      </c>
      <c r="V876" t="str">
        <f t="shared" si="69"/>
        <v>Miami</v>
      </c>
    </row>
    <row r="877" spans="1:22" x14ac:dyDescent="0.2">
      <c r="A877" t="s">
        <v>1249</v>
      </c>
      <c r="B877" s="5">
        <v>23</v>
      </c>
      <c r="C877" s="5">
        <v>0</v>
      </c>
      <c r="D877" s="5">
        <f t="shared" si="65"/>
        <v>23</v>
      </c>
      <c r="E877" s="6">
        <v>30.4361</v>
      </c>
      <c r="F877" s="6">
        <f t="shared" si="66"/>
        <v>700.03030000000001</v>
      </c>
      <c r="G877" t="s">
        <v>17</v>
      </c>
      <c r="H877">
        <v>9007</v>
      </c>
      <c r="I877" t="str">
        <f>IFERROR(_xlfn.XLOOKUP($A877,'Base SKUs'!$E:$E,'Base SKUs'!A:A),"")</f>
        <v>Ayous</v>
      </c>
      <c r="J877" t="str">
        <f>IFERROR(_xlfn.XLOOKUP($A877,'Base SKUs'!$E:$E,'Base SKUs'!B:B),"")</f>
        <v>Ayous 1x6</v>
      </c>
      <c r="K877" t="str">
        <f>IFERROR(_xlfn.XLOOKUP($A877,'Base SKUs'!$E:$E,'Base SKUs'!C:C),"")</f>
        <v>Long</v>
      </c>
      <c r="L877" t="str">
        <f>IFERROR(_xlfn.XLOOKUP($A877,'Base SKUs'!$E:$E,'Base SKUs'!D:D),"")</f>
        <v>Thermowood</v>
      </c>
      <c r="M877" t="str">
        <f>IFERROR(_xlfn.XLOOKUP($A877,'Base SKUs'!$E:$E,'Base SKUs'!G:G),"")</f>
        <v>Maximo Thermo Ayous</v>
      </c>
      <c r="N877" t="str">
        <f>IFERROR(_xlfn.XLOOKUP($A877,'Base SKUs'!$E:$E,'Base SKUs'!H:H),"")</f>
        <v>VJoint - Nickel Gap</v>
      </c>
      <c r="O877" t="str">
        <f>IFERROR(_xlfn.XLOOKUP($A877,'Base SKUs'!$E:$E,'Base SKUs'!I:I),"")</f>
        <v>Pre Finished - Hemel</v>
      </c>
      <c r="P877" t="str">
        <f>IFERROR(_xlfn.XLOOKUP($A877,'Base SKUs'!$E:$E,'Base SKUs'!J:J),"")</f>
        <v>1x6</v>
      </c>
      <c r="Q877">
        <f>IFERROR(_xlfn.XLOOKUP($A877,'Base SKUs'!$E:$E,'Base SKUs'!K:K),"")</f>
        <v>16</v>
      </c>
      <c r="R877" s="7">
        <f>IFERROR(_xlfn.XLOOKUP($A877,'Base SKUs'!$E:$E,'Base SKUs'!S:S),"")</f>
        <v>1.2768E-2</v>
      </c>
      <c r="S877" s="8">
        <f t="shared" si="67"/>
        <v>0.29366399999999998</v>
      </c>
      <c r="T877" s="7">
        <f>IFERROR(_xlfn.XLOOKUP($A877,'Base SKUs'!$E:$E,'Base SKUs'!R:R),"")</f>
        <v>1233.3979999999999</v>
      </c>
      <c r="U877" s="15">
        <f t="shared" si="68"/>
        <v>362</v>
      </c>
      <c r="V877" t="str">
        <f t="shared" si="69"/>
        <v>Miami</v>
      </c>
    </row>
    <row r="878" spans="1:22" x14ac:dyDescent="0.2">
      <c r="A878" t="s">
        <v>1249</v>
      </c>
      <c r="B878" s="5">
        <v>329</v>
      </c>
      <c r="C878" s="5">
        <v>0</v>
      </c>
      <c r="D878" s="5">
        <f t="shared" si="65"/>
        <v>329</v>
      </c>
      <c r="E878" s="6">
        <v>30.4361</v>
      </c>
      <c r="F878" s="6">
        <f t="shared" si="66"/>
        <v>10013.4769</v>
      </c>
      <c r="G878" t="s">
        <v>330</v>
      </c>
      <c r="H878">
        <v>9011</v>
      </c>
      <c r="I878" t="str">
        <f>IFERROR(_xlfn.XLOOKUP($A878,'Base SKUs'!$E:$E,'Base SKUs'!A:A),"")</f>
        <v>Ayous</v>
      </c>
      <c r="J878" t="str">
        <f>IFERROR(_xlfn.XLOOKUP($A878,'Base SKUs'!$E:$E,'Base SKUs'!B:B),"")</f>
        <v>Ayous 1x6</v>
      </c>
      <c r="K878" t="str">
        <f>IFERROR(_xlfn.XLOOKUP($A878,'Base SKUs'!$E:$E,'Base SKUs'!C:C),"")</f>
        <v>Long</v>
      </c>
      <c r="L878" t="str">
        <f>IFERROR(_xlfn.XLOOKUP($A878,'Base SKUs'!$E:$E,'Base SKUs'!D:D),"")</f>
        <v>Thermowood</v>
      </c>
      <c r="M878" t="str">
        <f>IFERROR(_xlfn.XLOOKUP($A878,'Base SKUs'!$E:$E,'Base SKUs'!G:G),"")</f>
        <v>Maximo Thermo Ayous</v>
      </c>
      <c r="N878" t="str">
        <f>IFERROR(_xlfn.XLOOKUP($A878,'Base SKUs'!$E:$E,'Base SKUs'!H:H),"")</f>
        <v>VJoint - Nickel Gap</v>
      </c>
      <c r="O878" t="str">
        <f>IFERROR(_xlfn.XLOOKUP($A878,'Base SKUs'!$E:$E,'Base SKUs'!I:I),"")</f>
        <v>Pre Finished - Hemel</v>
      </c>
      <c r="P878" t="str">
        <f>IFERROR(_xlfn.XLOOKUP($A878,'Base SKUs'!$E:$E,'Base SKUs'!J:J),"")</f>
        <v>1x6</v>
      </c>
      <c r="Q878">
        <f>IFERROR(_xlfn.XLOOKUP($A878,'Base SKUs'!$E:$E,'Base SKUs'!K:K),"")</f>
        <v>16</v>
      </c>
      <c r="R878" s="7">
        <f>IFERROR(_xlfn.XLOOKUP($A878,'Base SKUs'!$E:$E,'Base SKUs'!S:S),"")</f>
        <v>1.2768E-2</v>
      </c>
      <c r="S878" s="8">
        <f t="shared" si="67"/>
        <v>4.200672</v>
      </c>
      <c r="T878" s="7">
        <f>IFERROR(_xlfn.XLOOKUP($A878,'Base SKUs'!$E:$E,'Base SKUs'!R:R),"")</f>
        <v>1233.3979999999999</v>
      </c>
      <c r="U878" s="15">
        <f t="shared" si="68"/>
        <v>5181</v>
      </c>
      <c r="V878" t="str">
        <f t="shared" si="69"/>
        <v>New York</v>
      </c>
    </row>
    <row r="879" spans="1:22" x14ac:dyDescent="0.2">
      <c r="A879" t="s">
        <v>1251</v>
      </c>
      <c r="B879" s="5">
        <v>427</v>
      </c>
      <c r="C879" s="5">
        <v>0</v>
      </c>
      <c r="D879" s="5">
        <f t="shared" si="65"/>
        <v>427</v>
      </c>
      <c r="E879" s="6">
        <v>7.609</v>
      </c>
      <c r="F879" s="6">
        <f t="shared" si="66"/>
        <v>3249.0430000000001</v>
      </c>
      <c r="G879" t="s">
        <v>330</v>
      </c>
      <c r="H879">
        <v>9011</v>
      </c>
      <c r="I879" t="str">
        <f>IFERROR(_xlfn.XLOOKUP($A879,'Base SKUs'!$E:$E,'Base SKUs'!A:A),"")</f>
        <v>Ayous</v>
      </c>
      <c r="J879" t="str">
        <f>IFERROR(_xlfn.XLOOKUP($A879,'Base SKUs'!$E:$E,'Base SKUs'!B:B),"")</f>
        <v>Ayous 1x6</v>
      </c>
      <c r="K879" t="str">
        <f>IFERROR(_xlfn.XLOOKUP($A879,'Base SKUs'!$E:$E,'Base SKUs'!C:C),"")</f>
        <v>Short</v>
      </c>
      <c r="L879" t="str">
        <f>IFERROR(_xlfn.XLOOKUP($A879,'Base SKUs'!$E:$E,'Base SKUs'!D:D),"")</f>
        <v>Thermowood</v>
      </c>
      <c r="M879" t="str">
        <f>IFERROR(_xlfn.XLOOKUP($A879,'Base SKUs'!$E:$E,'Base SKUs'!G:G),"")</f>
        <v>Maximo Thermo Ayous</v>
      </c>
      <c r="N879" t="str">
        <f>IFERROR(_xlfn.XLOOKUP($A879,'Base SKUs'!$E:$E,'Base SKUs'!H:H),"")</f>
        <v>VJoint - Nickel Gap</v>
      </c>
      <c r="O879" t="str">
        <f>IFERROR(_xlfn.XLOOKUP($A879,'Base SKUs'!$E:$E,'Base SKUs'!I:I),"")</f>
        <v>Pre Finished - Hemel</v>
      </c>
      <c r="P879" t="str">
        <f>IFERROR(_xlfn.XLOOKUP($A879,'Base SKUs'!$E:$E,'Base SKUs'!J:J),"")</f>
        <v>1x6</v>
      </c>
      <c r="Q879">
        <f>IFERROR(_xlfn.XLOOKUP($A879,'Base SKUs'!$E:$E,'Base SKUs'!K:K),"")</f>
        <v>4</v>
      </c>
      <c r="R879" s="7">
        <f>IFERROR(_xlfn.XLOOKUP($A879,'Base SKUs'!$E:$E,'Base SKUs'!S:S),"")</f>
        <v>3.192E-3</v>
      </c>
      <c r="S879" s="8">
        <f t="shared" si="67"/>
        <v>1.362984</v>
      </c>
      <c r="T879" s="7">
        <f>IFERROR(_xlfn.XLOOKUP($A879,'Base SKUs'!$E:$E,'Base SKUs'!R:R),"")</f>
        <v>1233.3979999999999</v>
      </c>
      <c r="U879" s="15">
        <f t="shared" si="68"/>
        <v>1681</v>
      </c>
      <c r="V879" t="str">
        <f t="shared" si="69"/>
        <v>New York</v>
      </c>
    </row>
    <row r="880" spans="1:22" x14ac:dyDescent="0.2">
      <c r="A880" t="s">
        <v>1253</v>
      </c>
      <c r="B880" s="5">
        <v>245</v>
      </c>
      <c r="C880" s="5">
        <v>0</v>
      </c>
      <c r="D880" s="5">
        <f t="shared" si="65"/>
        <v>245</v>
      </c>
      <c r="E880" s="6">
        <v>9.5113000000000003</v>
      </c>
      <c r="F880" s="6">
        <f t="shared" si="66"/>
        <v>2330.2685000000001</v>
      </c>
      <c r="G880" t="s">
        <v>330</v>
      </c>
      <c r="H880">
        <v>9011</v>
      </c>
      <c r="I880" t="str">
        <f>IFERROR(_xlfn.XLOOKUP($A880,'Base SKUs'!$E:$E,'Base SKUs'!A:A),"")</f>
        <v>Ayous</v>
      </c>
      <c r="J880" t="str">
        <f>IFERROR(_xlfn.XLOOKUP($A880,'Base SKUs'!$E:$E,'Base SKUs'!B:B),"")</f>
        <v>Ayous 1x6</v>
      </c>
      <c r="K880" t="str">
        <f>IFERROR(_xlfn.XLOOKUP($A880,'Base SKUs'!$E:$E,'Base SKUs'!C:C),"")</f>
        <v>Short</v>
      </c>
      <c r="L880" t="str">
        <f>IFERROR(_xlfn.XLOOKUP($A880,'Base SKUs'!$E:$E,'Base SKUs'!D:D),"")</f>
        <v>Thermowood</v>
      </c>
      <c r="M880" t="str">
        <f>IFERROR(_xlfn.XLOOKUP($A880,'Base SKUs'!$E:$E,'Base SKUs'!G:G),"")</f>
        <v>Maximo Thermo Ayous</v>
      </c>
      <c r="N880" t="str">
        <f>IFERROR(_xlfn.XLOOKUP($A880,'Base SKUs'!$E:$E,'Base SKUs'!H:H),"")</f>
        <v>VJoint - Nickel Gap</v>
      </c>
      <c r="O880" t="str">
        <f>IFERROR(_xlfn.XLOOKUP($A880,'Base SKUs'!$E:$E,'Base SKUs'!I:I),"")</f>
        <v>Pre Finished - Hemel</v>
      </c>
      <c r="P880" t="str">
        <f>IFERROR(_xlfn.XLOOKUP($A880,'Base SKUs'!$E:$E,'Base SKUs'!J:J),"")</f>
        <v>1x6</v>
      </c>
      <c r="Q880">
        <f>IFERROR(_xlfn.XLOOKUP($A880,'Base SKUs'!$E:$E,'Base SKUs'!K:K),"")</f>
        <v>5</v>
      </c>
      <c r="R880" s="7">
        <f>IFERROR(_xlfn.XLOOKUP($A880,'Base SKUs'!$E:$E,'Base SKUs'!S:S),"")</f>
        <v>3.9900000000000005E-3</v>
      </c>
      <c r="S880" s="8">
        <f t="shared" si="67"/>
        <v>0.97755000000000014</v>
      </c>
      <c r="T880" s="7">
        <f>IFERROR(_xlfn.XLOOKUP($A880,'Base SKUs'!$E:$E,'Base SKUs'!R:R),"")</f>
        <v>1233.3979999999999</v>
      </c>
      <c r="U880" s="15">
        <f t="shared" si="68"/>
        <v>1206</v>
      </c>
      <c r="V880" t="str">
        <f t="shared" si="69"/>
        <v>New York</v>
      </c>
    </row>
    <row r="881" spans="1:22" x14ac:dyDescent="0.2">
      <c r="A881" t="s">
        <v>1255</v>
      </c>
      <c r="B881" s="5">
        <v>77</v>
      </c>
      <c r="C881" s="5">
        <v>0</v>
      </c>
      <c r="D881" s="5">
        <f t="shared" si="65"/>
        <v>77</v>
      </c>
      <c r="E881" s="6">
        <v>11.413500000000001</v>
      </c>
      <c r="F881" s="6">
        <f t="shared" si="66"/>
        <v>878.83950000000004</v>
      </c>
      <c r="G881" t="s">
        <v>17</v>
      </c>
      <c r="H881">
        <v>9007</v>
      </c>
      <c r="I881" t="str">
        <f>IFERROR(_xlfn.XLOOKUP($A881,'Base SKUs'!$E:$E,'Base SKUs'!A:A),"")</f>
        <v>Ayous</v>
      </c>
      <c r="J881" t="str">
        <f>IFERROR(_xlfn.XLOOKUP($A881,'Base SKUs'!$E:$E,'Base SKUs'!B:B),"")</f>
        <v>Ayous 1x6</v>
      </c>
      <c r="K881" t="str">
        <f>IFERROR(_xlfn.XLOOKUP($A881,'Base SKUs'!$E:$E,'Base SKUs'!C:C),"")</f>
        <v>Short</v>
      </c>
      <c r="L881" t="str">
        <f>IFERROR(_xlfn.XLOOKUP($A881,'Base SKUs'!$E:$E,'Base SKUs'!D:D),"")</f>
        <v>Thermowood</v>
      </c>
      <c r="M881" t="str">
        <f>IFERROR(_xlfn.XLOOKUP($A881,'Base SKUs'!$E:$E,'Base SKUs'!G:G),"")</f>
        <v>Maximo Thermo Ayous</v>
      </c>
      <c r="N881" t="str">
        <f>IFERROR(_xlfn.XLOOKUP($A881,'Base SKUs'!$E:$E,'Base SKUs'!H:H),"")</f>
        <v>VJoint - Nickel Gap</v>
      </c>
      <c r="O881" t="str">
        <f>IFERROR(_xlfn.XLOOKUP($A881,'Base SKUs'!$E:$E,'Base SKUs'!I:I),"")</f>
        <v>Pre Finished - Hemel</v>
      </c>
      <c r="P881" t="str">
        <f>IFERROR(_xlfn.XLOOKUP($A881,'Base SKUs'!$E:$E,'Base SKUs'!J:J),"")</f>
        <v>1x6</v>
      </c>
      <c r="Q881">
        <f>IFERROR(_xlfn.XLOOKUP($A881,'Base SKUs'!$E:$E,'Base SKUs'!K:K),"")</f>
        <v>6</v>
      </c>
      <c r="R881" s="7">
        <f>IFERROR(_xlfn.XLOOKUP($A881,'Base SKUs'!$E:$E,'Base SKUs'!S:S),"")</f>
        <v>4.7880000000000006E-3</v>
      </c>
      <c r="S881" s="8">
        <f t="shared" si="67"/>
        <v>0.36867600000000006</v>
      </c>
      <c r="T881" s="7">
        <f>IFERROR(_xlfn.XLOOKUP($A881,'Base SKUs'!$E:$E,'Base SKUs'!R:R),"")</f>
        <v>1233.3979999999999</v>
      </c>
      <c r="U881" s="15">
        <f t="shared" si="68"/>
        <v>455</v>
      </c>
      <c r="V881" t="str">
        <f t="shared" si="69"/>
        <v>Miami</v>
      </c>
    </row>
    <row r="882" spans="1:22" x14ac:dyDescent="0.2">
      <c r="A882" t="s">
        <v>1255</v>
      </c>
      <c r="B882" s="5">
        <v>343</v>
      </c>
      <c r="C882" s="5">
        <v>0</v>
      </c>
      <c r="D882" s="5">
        <f t="shared" si="65"/>
        <v>343</v>
      </c>
      <c r="E882" s="6">
        <v>11.413500000000001</v>
      </c>
      <c r="F882" s="6">
        <f t="shared" si="66"/>
        <v>3914.8305000000005</v>
      </c>
      <c r="G882" t="s">
        <v>330</v>
      </c>
      <c r="H882">
        <v>9011</v>
      </c>
      <c r="I882" t="str">
        <f>IFERROR(_xlfn.XLOOKUP($A882,'Base SKUs'!$E:$E,'Base SKUs'!A:A),"")</f>
        <v>Ayous</v>
      </c>
      <c r="J882" t="str">
        <f>IFERROR(_xlfn.XLOOKUP($A882,'Base SKUs'!$E:$E,'Base SKUs'!B:B),"")</f>
        <v>Ayous 1x6</v>
      </c>
      <c r="K882" t="str">
        <f>IFERROR(_xlfn.XLOOKUP($A882,'Base SKUs'!$E:$E,'Base SKUs'!C:C),"")</f>
        <v>Short</v>
      </c>
      <c r="L882" t="str">
        <f>IFERROR(_xlfn.XLOOKUP($A882,'Base SKUs'!$E:$E,'Base SKUs'!D:D),"")</f>
        <v>Thermowood</v>
      </c>
      <c r="M882" t="str">
        <f>IFERROR(_xlfn.XLOOKUP($A882,'Base SKUs'!$E:$E,'Base SKUs'!G:G),"")</f>
        <v>Maximo Thermo Ayous</v>
      </c>
      <c r="N882" t="str">
        <f>IFERROR(_xlfn.XLOOKUP($A882,'Base SKUs'!$E:$E,'Base SKUs'!H:H),"")</f>
        <v>VJoint - Nickel Gap</v>
      </c>
      <c r="O882" t="str">
        <f>IFERROR(_xlfn.XLOOKUP($A882,'Base SKUs'!$E:$E,'Base SKUs'!I:I),"")</f>
        <v>Pre Finished - Hemel</v>
      </c>
      <c r="P882" t="str">
        <f>IFERROR(_xlfn.XLOOKUP($A882,'Base SKUs'!$E:$E,'Base SKUs'!J:J),"")</f>
        <v>1x6</v>
      </c>
      <c r="Q882">
        <f>IFERROR(_xlfn.XLOOKUP($A882,'Base SKUs'!$E:$E,'Base SKUs'!K:K),"")</f>
        <v>6</v>
      </c>
      <c r="R882" s="7">
        <f>IFERROR(_xlfn.XLOOKUP($A882,'Base SKUs'!$E:$E,'Base SKUs'!S:S),"")</f>
        <v>4.7880000000000006E-3</v>
      </c>
      <c r="S882" s="8">
        <f t="shared" si="67"/>
        <v>1.6422840000000003</v>
      </c>
      <c r="T882" s="7">
        <f>IFERROR(_xlfn.XLOOKUP($A882,'Base SKUs'!$E:$E,'Base SKUs'!R:R),"")</f>
        <v>1233.3979999999999</v>
      </c>
      <c r="U882" s="15">
        <f t="shared" si="68"/>
        <v>2026</v>
      </c>
      <c r="V882" t="str">
        <f t="shared" si="69"/>
        <v>New York</v>
      </c>
    </row>
    <row r="883" spans="1:22" x14ac:dyDescent="0.2">
      <c r="A883" t="s">
        <v>1257</v>
      </c>
      <c r="B883" s="5">
        <v>406</v>
      </c>
      <c r="C883" s="5">
        <v>0</v>
      </c>
      <c r="D883" s="5">
        <f t="shared" si="65"/>
        <v>406</v>
      </c>
      <c r="E883" s="6">
        <v>13.315799999999999</v>
      </c>
      <c r="F883" s="6">
        <f t="shared" si="66"/>
        <v>5406.2147999999997</v>
      </c>
      <c r="G883" t="s">
        <v>17</v>
      </c>
      <c r="H883">
        <v>9007</v>
      </c>
      <c r="I883" t="str">
        <f>IFERROR(_xlfn.XLOOKUP($A883,'Base SKUs'!$E:$E,'Base SKUs'!A:A),"")</f>
        <v>Ayous</v>
      </c>
      <c r="J883" t="str">
        <f>IFERROR(_xlfn.XLOOKUP($A883,'Base SKUs'!$E:$E,'Base SKUs'!B:B),"")</f>
        <v>Ayous 1x6</v>
      </c>
      <c r="K883" t="str">
        <f>IFERROR(_xlfn.XLOOKUP($A883,'Base SKUs'!$E:$E,'Base SKUs'!C:C),"")</f>
        <v>Short</v>
      </c>
      <c r="L883" t="str">
        <f>IFERROR(_xlfn.XLOOKUP($A883,'Base SKUs'!$E:$E,'Base SKUs'!D:D),"")</f>
        <v>Thermowood</v>
      </c>
      <c r="M883" t="str">
        <f>IFERROR(_xlfn.XLOOKUP($A883,'Base SKUs'!$E:$E,'Base SKUs'!G:G),"")</f>
        <v>Maximo Thermo Ayous</v>
      </c>
      <c r="N883" t="str">
        <f>IFERROR(_xlfn.XLOOKUP($A883,'Base SKUs'!$E:$E,'Base SKUs'!H:H),"")</f>
        <v>VJoint - Nickel Gap</v>
      </c>
      <c r="O883" t="str">
        <f>IFERROR(_xlfn.XLOOKUP($A883,'Base SKUs'!$E:$E,'Base SKUs'!I:I),"")</f>
        <v>Pre Finished - Hemel</v>
      </c>
      <c r="P883" t="str">
        <f>IFERROR(_xlfn.XLOOKUP($A883,'Base SKUs'!$E:$E,'Base SKUs'!J:J),"")</f>
        <v>1x6</v>
      </c>
      <c r="Q883">
        <f>IFERROR(_xlfn.XLOOKUP($A883,'Base SKUs'!$E:$E,'Base SKUs'!K:K),"")</f>
        <v>7</v>
      </c>
      <c r="R883" s="7">
        <f>IFERROR(_xlfn.XLOOKUP($A883,'Base SKUs'!$E:$E,'Base SKUs'!S:S),"")</f>
        <v>5.5859999999999998E-3</v>
      </c>
      <c r="S883" s="8">
        <f t="shared" si="67"/>
        <v>2.267916</v>
      </c>
      <c r="T883" s="7">
        <f>IFERROR(_xlfn.XLOOKUP($A883,'Base SKUs'!$E:$E,'Base SKUs'!R:R),"")</f>
        <v>1233.3979999999999</v>
      </c>
      <c r="U883" s="15">
        <f t="shared" si="68"/>
        <v>2797</v>
      </c>
      <c r="V883" t="str">
        <f t="shared" si="69"/>
        <v>Miami</v>
      </c>
    </row>
    <row r="884" spans="1:22" x14ac:dyDescent="0.2">
      <c r="A884" t="s">
        <v>1257</v>
      </c>
      <c r="B884" s="5">
        <v>1302</v>
      </c>
      <c r="C884" s="5">
        <v>0</v>
      </c>
      <c r="D884" s="5">
        <f t="shared" si="65"/>
        <v>1302</v>
      </c>
      <c r="E884" s="6">
        <v>13.315799999999999</v>
      </c>
      <c r="F884" s="6">
        <f t="shared" si="66"/>
        <v>17337.171599999998</v>
      </c>
      <c r="G884" t="s">
        <v>330</v>
      </c>
      <c r="H884">
        <v>9011</v>
      </c>
      <c r="I884" t="str">
        <f>IFERROR(_xlfn.XLOOKUP($A884,'Base SKUs'!$E:$E,'Base SKUs'!A:A),"")</f>
        <v>Ayous</v>
      </c>
      <c r="J884" t="str">
        <f>IFERROR(_xlfn.XLOOKUP($A884,'Base SKUs'!$E:$E,'Base SKUs'!B:B),"")</f>
        <v>Ayous 1x6</v>
      </c>
      <c r="K884" t="str">
        <f>IFERROR(_xlfn.XLOOKUP($A884,'Base SKUs'!$E:$E,'Base SKUs'!C:C),"")</f>
        <v>Short</v>
      </c>
      <c r="L884" t="str">
        <f>IFERROR(_xlfn.XLOOKUP($A884,'Base SKUs'!$E:$E,'Base SKUs'!D:D),"")</f>
        <v>Thermowood</v>
      </c>
      <c r="M884" t="str">
        <f>IFERROR(_xlfn.XLOOKUP($A884,'Base SKUs'!$E:$E,'Base SKUs'!G:G),"")</f>
        <v>Maximo Thermo Ayous</v>
      </c>
      <c r="N884" t="str">
        <f>IFERROR(_xlfn.XLOOKUP($A884,'Base SKUs'!$E:$E,'Base SKUs'!H:H),"")</f>
        <v>VJoint - Nickel Gap</v>
      </c>
      <c r="O884" t="str">
        <f>IFERROR(_xlfn.XLOOKUP($A884,'Base SKUs'!$E:$E,'Base SKUs'!I:I),"")</f>
        <v>Pre Finished - Hemel</v>
      </c>
      <c r="P884" t="str">
        <f>IFERROR(_xlfn.XLOOKUP($A884,'Base SKUs'!$E:$E,'Base SKUs'!J:J),"")</f>
        <v>1x6</v>
      </c>
      <c r="Q884">
        <f>IFERROR(_xlfn.XLOOKUP($A884,'Base SKUs'!$E:$E,'Base SKUs'!K:K),"")</f>
        <v>7</v>
      </c>
      <c r="R884" s="7">
        <f>IFERROR(_xlfn.XLOOKUP($A884,'Base SKUs'!$E:$E,'Base SKUs'!S:S),"")</f>
        <v>5.5859999999999998E-3</v>
      </c>
      <c r="S884" s="8">
        <f t="shared" si="67"/>
        <v>7.2729719999999993</v>
      </c>
      <c r="T884" s="7">
        <f>IFERROR(_xlfn.XLOOKUP($A884,'Base SKUs'!$E:$E,'Base SKUs'!R:R),"")</f>
        <v>1233.3979999999999</v>
      </c>
      <c r="U884" s="15">
        <f t="shared" si="68"/>
        <v>8970</v>
      </c>
      <c r="V884" t="str">
        <f t="shared" si="69"/>
        <v>New York</v>
      </c>
    </row>
    <row r="885" spans="1:22" x14ac:dyDescent="0.2">
      <c r="A885" t="s">
        <v>1259</v>
      </c>
      <c r="B885" s="5">
        <v>1141</v>
      </c>
      <c r="C885" s="5">
        <v>0</v>
      </c>
      <c r="D885" s="5">
        <f t="shared" si="65"/>
        <v>1141</v>
      </c>
      <c r="E885" s="6">
        <v>15.218</v>
      </c>
      <c r="F885" s="6">
        <f t="shared" si="66"/>
        <v>17363.738000000001</v>
      </c>
      <c r="G885" t="s">
        <v>17</v>
      </c>
      <c r="H885">
        <v>9007</v>
      </c>
      <c r="I885" t="str">
        <f>IFERROR(_xlfn.XLOOKUP($A885,'Base SKUs'!$E:$E,'Base SKUs'!A:A),"")</f>
        <v>Ayous</v>
      </c>
      <c r="J885" t="str">
        <f>IFERROR(_xlfn.XLOOKUP($A885,'Base SKUs'!$E:$E,'Base SKUs'!B:B),"")</f>
        <v>Ayous 1x6</v>
      </c>
      <c r="K885" t="str">
        <f>IFERROR(_xlfn.XLOOKUP($A885,'Base SKUs'!$E:$E,'Base SKUs'!C:C),"")</f>
        <v>Long</v>
      </c>
      <c r="L885" t="str">
        <f>IFERROR(_xlfn.XLOOKUP($A885,'Base SKUs'!$E:$E,'Base SKUs'!D:D),"")</f>
        <v>Thermowood</v>
      </c>
      <c r="M885" t="str">
        <f>IFERROR(_xlfn.XLOOKUP($A885,'Base SKUs'!$E:$E,'Base SKUs'!G:G),"")</f>
        <v>Maximo Thermo Ayous</v>
      </c>
      <c r="N885" t="str">
        <f>IFERROR(_xlfn.XLOOKUP($A885,'Base SKUs'!$E:$E,'Base SKUs'!H:H),"")</f>
        <v>VJoint - Nickel Gap</v>
      </c>
      <c r="O885" t="str">
        <f>IFERROR(_xlfn.XLOOKUP($A885,'Base SKUs'!$E:$E,'Base SKUs'!I:I),"")</f>
        <v>Pre Finished - Hemel</v>
      </c>
      <c r="P885" t="str">
        <f>IFERROR(_xlfn.XLOOKUP($A885,'Base SKUs'!$E:$E,'Base SKUs'!J:J),"")</f>
        <v>1x6</v>
      </c>
      <c r="Q885">
        <f>IFERROR(_xlfn.XLOOKUP($A885,'Base SKUs'!$E:$E,'Base SKUs'!K:K),"")</f>
        <v>8</v>
      </c>
      <c r="R885" s="7">
        <f>IFERROR(_xlfn.XLOOKUP($A885,'Base SKUs'!$E:$E,'Base SKUs'!S:S),"")</f>
        <v>6.3839999999999999E-3</v>
      </c>
      <c r="S885" s="8">
        <f t="shared" si="67"/>
        <v>7.2841439999999995</v>
      </c>
      <c r="T885" s="7">
        <f>IFERROR(_xlfn.XLOOKUP($A885,'Base SKUs'!$E:$E,'Base SKUs'!R:R),"")</f>
        <v>1233.3979999999999</v>
      </c>
      <c r="U885" s="15">
        <f t="shared" si="68"/>
        <v>8984</v>
      </c>
      <c r="V885" t="str">
        <f t="shared" si="69"/>
        <v>Miami</v>
      </c>
    </row>
    <row r="886" spans="1:22" x14ac:dyDescent="0.2">
      <c r="A886" t="s">
        <v>1259</v>
      </c>
      <c r="B886" s="5">
        <v>651</v>
      </c>
      <c r="C886" s="5">
        <v>0</v>
      </c>
      <c r="D886" s="5">
        <f t="shared" si="65"/>
        <v>651</v>
      </c>
      <c r="E886" s="6">
        <v>15.218</v>
      </c>
      <c r="F886" s="6">
        <f t="shared" si="66"/>
        <v>9906.9179999999997</v>
      </c>
      <c r="G886" t="s">
        <v>330</v>
      </c>
      <c r="H886">
        <v>9011</v>
      </c>
      <c r="I886" t="str">
        <f>IFERROR(_xlfn.XLOOKUP($A886,'Base SKUs'!$E:$E,'Base SKUs'!A:A),"")</f>
        <v>Ayous</v>
      </c>
      <c r="J886" t="str">
        <f>IFERROR(_xlfn.XLOOKUP($A886,'Base SKUs'!$E:$E,'Base SKUs'!B:B),"")</f>
        <v>Ayous 1x6</v>
      </c>
      <c r="K886" t="str">
        <f>IFERROR(_xlfn.XLOOKUP($A886,'Base SKUs'!$E:$E,'Base SKUs'!C:C),"")</f>
        <v>Long</v>
      </c>
      <c r="L886" t="str">
        <f>IFERROR(_xlfn.XLOOKUP($A886,'Base SKUs'!$E:$E,'Base SKUs'!D:D),"")</f>
        <v>Thermowood</v>
      </c>
      <c r="M886" t="str">
        <f>IFERROR(_xlfn.XLOOKUP($A886,'Base SKUs'!$E:$E,'Base SKUs'!G:G),"")</f>
        <v>Maximo Thermo Ayous</v>
      </c>
      <c r="N886" t="str">
        <f>IFERROR(_xlfn.XLOOKUP($A886,'Base SKUs'!$E:$E,'Base SKUs'!H:H),"")</f>
        <v>VJoint - Nickel Gap</v>
      </c>
      <c r="O886" t="str">
        <f>IFERROR(_xlfn.XLOOKUP($A886,'Base SKUs'!$E:$E,'Base SKUs'!I:I),"")</f>
        <v>Pre Finished - Hemel</v>
      </c>
      <c r="P886" t="str">
        <f>IFERROR(_xlfn.XLOOKUP($A886,'Base SKUs'!$E:$E,'Base SKUs'!J:J),"")</f>
        <v>1x6</v>
      </c>
      <c r="Q886">
        <f>IFERROR(_xlfn.XLOOKUP($A886,'Base SKUs'!$E:$E,'Base SKUs'!K:K),"")</f>
        <v>8</v>
      </c>
      <c r="R886" s="7">
        <f>IFERROR(_xlfn.XLOOKUP($A886,'Base SKUs'!$E:$E,'Base SKUs'!S:S),"")</f>
        <v>6.3839999999999999E-3</v>
      </c>
      <c r="S886" s="8">
        <f t="shared" si="67"/>
        <v>4.1559840000000001</v>
      </c>
      <c r="T886" s="7">
        <f>IFERROR(_xlfn.XLOOKUP($A886,'Base SKUs'!$E:$E,'Base SKUs'!R:R),"")</f>
        <v>1233.3979999999999</v>
      </c>
      <c r="U886" s="15">
        <f t="shared" si="68"/>
        <v>5126</v>
      </c>
      <c r="V886" t="str">
        <f t="shared" si="69"/>
        <v>New York</v>
      </c>
    </row>
    <row r="887" spans="1:22" x14ac:dyDescent="0.2">
      <c r="A887" t="s">
        <v>1261</v>
      </c>
      <c r="B887" s="5">
        <v>710</v>
      </c>
      <c r="C887" s="5">
        <v>0</v>
      </c>
      <c r="D887" s="5">
        <f t="shared" si="65"/>
        <v>710</v>
      </c>
      <c r="E887" s="6">
        <v>17.1203</v>
      </c>
      <c r="F887" s="6">
        <f t="shared" si="66"/>
        <v>12155.413</v>
      </c>
      <c r="G887" t="s">
        <v>17</v>
      </c>
      <c r="H887">
        <v>9007</v>
      </c>
      <c r="I887" t="str">
        <f>IFERROR(_xlfn.XLOOKUP($A887,'Base SKUs'!$E:$E,'Base SKUs'!A:A),"")</f>
        <v>Ayous</v>
      </c>
      <c r="J887" t="str">
        <f>IFERROR(_xlfn.XLOOKUP($A887,'Base SKUs'!$E:$E,'Base SKUs'!B:B),"")</f>
        <v>Ayous 1x6</v>
      </c>
      <c r="K887" t="str">
        <f>IFERROR(_xlfn.XLOOKUP($A887,'Base SKUs'!$E:$E,'Base SKUs'!C:C),"")</f>
        <v>Long</v>
      </c>
      <c r="L887" t="str">
        <f>IFERROR(_xlfn.XLOOKUP($A887,'Base SKUs'!$E:$E,'Base SKUs'!D:D),"")</f>
        <v>Thermowood</v>
      </c>
      <c r="M887" t="str">
        <f>IFERROR(_xlfn.XLOOKUP($A887,'Base SKUs'!$E:$E,'Base SKUs'!G:G),"")</f>
        <v>Maximo Thermo Ayous</v>
      </c>
      <c r="N887" t="str">
        <f>IFERROR(_xlfn.XLOOKUP($A887,'Base SKUs'!$E:$E,'Base SKUs'!H:H),"")</f>
        <v>VJoint - Nickel Gap</v>
      </c>
      <c r="O887" t="str">
        <f>IFERROR(_xlfn.XLOOKUP($A887,'Base SKUs'!$E:$E,'Base SKUs'!I:I),"")</f>
        <v>Pre Finished - Hemel</v>
      </c>
      <c r="P887" t="str">
        <f>IFERROR(_xlfn.XLOOKUP($A887,'Base SKUs'!$E:$E,'Base SKUs'!J:J),"")</f>
        <v>1x6</v>
      </c>
      <c r="Q887">
        <f>IFERROR(_xlfn.XLOOKUP($A887,'Base SKUs'!$E:$E,'Base SKUs'!K:K),"")</f>
        <v>9</v>
      </c>
      <c r="R887" s="7">
        <f>IFERROR(_xlfn.XLOOKUP($A887,'Base SKUs'!$E:$E,'Base SKUs'!S:S),"")</f>
        <v>7.182E-3</v>
      </c>
      <c r="S887" s="8">
        <f t="shared" si="67"/>
        <v>5.0992199999999999</v>
      </c>
      <c r="T887" s="7">
        <f>IFERROR(_xlfn.XLOOKUP($A887,'Base SKUs'!$E:$E,'Base SKUs'!R:R),"")</f>
        <v>1233.3979999999999</v>
      </c>
      <c r="U887" s="15">
        <f t="shared" si="68"/>
        <v>6289</v>
      </c>
      <c r="V887" t="str">
        <f t="shared" si="69"/>
        <v>Miami</v>
      </c>
    </row>
    <row r="888" spans="1:22" x14ac:dyDescent="0.2">
      <c r="A888" t="s">
        <v>1261</v>
      </c>
      <c r="B888" s="5">
        <v>154</v>
      </c>
      <c r="C888" s="5">
        <v>0</v>
      </c>
      <c r="D888" s="5">
        <f t="shared" si="65"/>
        <v>154</v>
      </c>
      <c r="E888" s="6">
        <v>17.1203</v>
      </c>
      <c r="F888" s="6">
        <f t="shared" si="66"/>
        <v>2636.5262000000002</v>
      </c>
      <c r="G888" t="s">
        <v>330</v>
      </c>
      <c r="H888">
        <v>9011</v>
      </c>
      <c r="I888" t="str">
        <f>IFERROR(_xlfn.XLOOKUP($A888,'Base SKUs'!$E:$E,'Base SKUs'!A:A),"")</f>
        <v>Ayous</v>
      </c>
      <c r="J888" t="str">
        <f>IFERROR(_xlfn.XLOOKUP($A888,'Base SKUs'!$E:$E,'Base SKUs'!B:B),"")</f>
        <v>Ayous 1x6</v>
      </c>
      <c r="K888" t="str">
        <f>IFERROR(_xlfn.XLOOKUP($A888,'Base SKUs'!$E:$E,'Base SKUs'!C:C),"")</f>
        <v>Long</v>
      </c>
      <c r="L888" t="str">
        <f>IFERROR(_xlfn.XLOOKUP($A888,'Base SKUs'!$E:$E,'Base SKUs'!D:D),"")</f>
        <v>Thermowood</v>
      </c>
      <c r="M888" t="str">
        <f>IFERROR(_xlfn.XLOOKUP($A888,'Base SKUs'!$E:$E,'Base SKUs'!G:G),"")</f>
        <v>Maximo Thermo Ayous</v>
      </c>
      <c r="N888" t="str">
        <f>IFERROR(_xlfn.XLOOKUP($A888,'Base SKUs'!$E:$E,'Base SKUs'!H:H),"")</f>
        <v>VJoint - Nickel Gap</v>
      </c>
      <c r="O888" t="str">
        <f>IFERROR(_xlfn.XLOOKUP($A888,'Base SKUs'!$E:$E,'Base SKUs'!I:I),"")</f>
        <v>Pre Finished - Hemel</v>
      </c>
      <c r="P888" t="str">
        <f>IFERROR(_xlfn.XLOOKUP($A888,'Base SKUs'!$E:$E,'Base SKUs'!J:J),"")</f>
        <v>1x6</v>
      </c>
      <c r="Q888">
        <f>IFERROR(_xlfn.XLOOKUP($A888,'Base SKUs'!$E:$E,'Base SKUs'!K:K),"")</f>
        <v>9</v>
      </c>
      <c r="R888" s="7">
        <f>IFERROR(_xlfn.XLOOKUP($A888,'Base SKUs'!$E:$E,'Base SKUs'!S:S),"")</f>
        <v>7.182E-3</v>
      </c>
      <c r="S888" s="8">
        <f t="shared" si="67"/>
        <v>1.106028</v>
      </c>
      <c r="T888" s="7">
        <f>IFERROR(_xlfn.XLOOKUP($A888,'Base SKUs'!$E:$E,'Base SKUs'!R:R),"")</f>
        <v>1233.3979999999999</v>
      </c>
      <c r="U888" s="15">
        <f t="shared" si="68"/>
        <v>1364</v>
      </c>
      <c r="V888" t="str">
        <f t="shared" si="69"/>
        <v>New York</v>
      </c>
    </row>
    <row r="889" spans="1:22" x14ac:dyDescent="0.2">
      <c r="A889" t="s">
        <v>1263</v>
      </c>
      <c r="B889" s="5">
        <v>14</v>
      </c>
      <c r="C889" s="5">
        <v>0</v>
      </c>
      <c r="D889" s="5">
        <f t="shared" si="65"/>
        <v>14</v>
      </c>
      <c r="E889" s="6">
        <v>15.8207</v>
      </c>
      <c r="F889" s="6">
        <f t="shared" si="66"/>
        <v>221.4898</v>
      </c>
      <c r="G889" t="s">
        <v>17</v>
      </c>
      <c r="H889">
        <v>9007</v>
      </c>
      <c r="I889" t="str">
        <f>IFERROR(_xlfn.XLOOKUP($A889,'Base SKUs'!$E:$E,'Base SKUs'!A:A),"")</f>
        <v>Ayous Dark</v>
      </c>
      <c r="J889" t="str">
        <f>IFERROR(_xlfn.XLOOKUP($A889,'Base SKUs'!$E:$E,'Base SKUs'!B:B),"")</f>
        <v>Ayous Dark 2x4</v>
      </c>
      <c r="K889" t="str">
        <f>IFERROR(_xlfn.XLOOKUP($A889,'Base SKUs'!$E:$E,'Base SKUs'!C:C),"")</f>
        <v>Short</v>
      </c>
      <c r="L889" t="str">
        <f>IFERROR(_xlfn.XLOOKUP($A889,'Base SKUs'!$E:$E,'Base SKUs'!D:D),"")</f>
        <v>Thermowood</v>
      </c>
      <c r="M889" t="str">
        <f>IFERROR(_xlfn.XLOOKUP($A889,'Base SKUs'!$E:$E,'Base SKUs'!G:G),"")</f>
        <v>Maximo Thermo Ayous Dark</v>
      </c>
      <c r="N889" t="str">
        <f>IFERROR(_xlfn.XLOOKUP($A889,'Base SKUs'!$E:$E,'Base SKUs'!H:H),"")</f>
        <v>S4S E4E</v>
      </c>
      <c r="O889" t="str">
        <f>IFERROR(_xlfn.XLOOKUP($A889,'Base SKUs'!$E:$E,'Base SKUs'!I:I),"")</f>
        <v>-</v>
      </c>
      <c r="P889" t="str">
        <f>IFERROR(_xlfn.XLOOKUP($A889,'Base SKUs'!$E:$E,'Base SKUs'!J:J),"")</f>
        <v>2x4</v>
      </c>
      <c r="Q889">
        <f>IFERROR(_xlfn.XLOOKUP($A889,'Base SKUs'!$E:$E,'Base SKUs'!K:K),"")</f>
        <v>5</v>
      </c>
      <c r="R889" s="7">
        <f>IFERROR(_xlfn.XLOOKUP($A889,'Base SKUs'!$E:$E,'Base SKUs'!S:S),"")</f>
        <v>5.3999999999999994E-3</v>
      </c>
      <c r="S889" s="8">
        <f t="shared" si="67"/>
        <v>7.5599999999999987E-2</v>
      </c>
      <c r="T889" s="7">
        <f>IFERROR(_xlfn.XLOOKUP($A889,'Base SKUs'!$E:$E,'Base SKUs'!R:R),"")</f>
        <v>911.34400000000005</v>
      </c>
      <c r="U889" s="15">
        <f t="shared" si="68"/>
        <v>69</v>
      </c>
      <c r="V889" t="str">
        <f t="shared" si="69"/>
        <v>Miami</v>
      </c>
    </row>
    <row r="890" spans="1:22" x14ac:dyDescent="0.2">
      <c r="A890" t="s">
        <v>1265</v>
      </c>
      <c r="B890" s="5">
        <v>57</v>
      </c>
      <c r="C890" s="5">
        <v>0</v>
      </c>
      <c r="D890" s="5">
        <f t="shared" si="65"/>
        <v>57</v>
      </c>
      <c r="E890" s="6">
        <v>18.9848</v>
      </c>
      <c r="F890" s="6">
        <f t="shared" si="66"/>
        <v>1082.1335999999999</v>
      </c>
      <c r="G890" t="s">
        <v>17</v>
      </c>
      <c r="H890">
        <v>9007</v>
      </c>
      <c r="I890" t="str">
        <f>IFERROR(_xlfn.XLOOKUP($A890,'Base SKUs'!$E:$E,'Base SKUs'!A:A),"")</f>
        <v>Ayous Dark</v>
      </c>
      <c r="J890" t="str">
        <f>IFERROR(_xlfn.XLOOKUP($A890,'Base SKUs'!$E:$E,'Base SKUs'!B:B),"")</f>
        <v>Ayous Dark 2x4</v>
      </c>
      <c r="K890" t="str">
        <f>IFERROR(_xlfn.XLOOKUP($A890,'Base SKUs'!$E:$E,'Base SKUs'!C:C),"")</f>
        <v>Short</v>
      </c>
      <c r="L890" t="str">
        <f>IFERROR(_xlfn.XLOOKUP($A890,'Base SKUs'!$E:$E,'Base SKUs'!D:D),"")</f>
        <v>Thermowood</v>
      </c>
      <c r="M890" t="str">
        <f>IFERROR(_xlfn.XLOOKUP($A890,'Base SKUs'!$E:$E,'Base SKUs'!G:G),"")</f>
        <v>Maximo Thermo Ayous Dark</v>
      </c>
      <c r="N890" t="str">
        <f>IFERROR(_xlfn.XLOOKUP($A890,'Base SKUs'!$E:$E,'Base SKUs'!H:H),"")</f>
        <v>S4S E4E</v>
      </c>
      <c r="O890" t="str">
        <f>IFERROR(_xlfn.XLOOKUP($A890,'Base SKUs'!$E:$E,'Base SKUs'!I:I),"")</f>
        <v>-</v>
      </c>
      <c r="P890" t="str">
        <f>IFERROR(_xlfn.XLOOKUP($A890,'Base SKUs'!$E:$E,'Base SKUs'!J:J),"")</f>
        <v>2x4</v>
      </c>
      <c r="Q890">
        <f>IFERROR(_xlfn.XLOOKUP($A890,'Base SKUs'!$E:$E,'Base SKUs'!K:K),"")</f>
        <v>6</v>
      </c>
      <c r="R890" s="7">
        <f>IFERROR(_xlfn.XLOOKUP($A890,'Base SKUs'!$E:$E,'Base SKUs'!S:S),"")</f>
        <v>6.4799999999999996E-3</v>
      </c>
      <c r="S890" s="8">
        <f t="shared" si="67"/>
        <v>0.36935999999999997</v>
      </c>
      <c r="T890" s="7">
        <f>IFERROR(_xlfn.XLOOKUP($A890,'Base SKUs'!$E:$E,'Base SKUs'!R:R),"")</f>
        <v>911.34400000000005</v>
      </c>
      <c r="U890" s="15">
        <f t="shared" si="68"/>
        <v>337</v>
      </c>
      <c r="V890" t="str">
        <f t="shared" si="69"/>
        <v>Miami</v>
      </c>
    </row>
    <row r="891" spans="1:22" x14ac:dyDescent="0.2">
      <c r="A891" t="s">
        <v>1267</v>
      </c>
      <c r="B891" s="5">
        <v>12</v>
      </c>
      <c r="C891" s="5">
        <v>0</v>
      </c>
      <c r="D891" s="5">
        <f t="shared" si="65"/>
        <v>12</v>
      </c>
      <c r="E891" s="6">
        <v>22.149000000000001</v>
      </c>
      <c r="F891" s="6">
        <f t="shared" si="66"/>
        <v>265.78800000000001</v>
      </c>
      <c r="G891" t="s">
        <v>17</v>
      </c>
      <c r="H891">
        <v>9007</v>
      </c>
      <c r="I891" t="str">
        <f>IFERROR(_xlfn.XLOOKUP($A891,'Base SKUs'!$E:$E,'Base SKUs'!A:A),"")</f>
        <v>Ayous Dark</v>
      </c>
      <c r="J891" t="str">
        <f>IFERROR(_xlfn.XLOOKUP($A891,'Base SKUs'!$E:$E,'Base SKUs'!B:B),"")</f>
        <v>Ayous Dark 2x4</v>
      </c>
      <c r="K891" t="str">
        <f>IFERROR(_xlfn.XLOOKUP($A891,'Base SKUs'!$E:$E,'Base SKUs'!C:C),"")</f>
        <v>Short</v>
      </c>
      <c r="L891" t="str">
        <f>IFERROR(_xlfn.XLOOKUP($A891,'Base SKUs'!$E:$E,'Base SKUs'!D:D),"")</f>
        <v>Thermowood</v>
      </c>
      <c r="M891" t="str">
        <f>IFERROR(_xlfn.XLOOKUP($A891,'Base SKUs'!$E:$E,'Base SKUs'!G:G),"")</f>
        <v>Maximo Thermo Ayous Dark</v>
      </c>
      <c r="N891" t="str">
        <f>IFERROR(_xlfn.XLOOKUP($A891,'Base SKUs'!$E:$E,'Base SKUs'!H:H),"")</f>
        <v>S4S E4E</v>
      </c>
      <c r="O891" t="str">
        <f>IFERROR(_xlfn.XLOOKUP($A891,'Base SKUs'!$E:$E,'Base SKUs'!I:I),"")</f>
        <v>-</v>
      </c>
      <c r="P891" t="str">
        <f>IFERROR(_xlfn.XLOOKUP($A891,'Base SKUs'!$E:$E,'Base SKUs'!J:J),"")</f>
        <v>2x4</v>
      </c>
      <c r="Q891">
        <f>IFERROR(_xlfn.XLOOKUP($A891,'Base SKUs'!$E:$E,'Base SKUs'!K:K),"")</f>
        <v>7</v>
      </c>
      <c r="R891" s="7">
        <f>IFERROR(_xlfn.XLOOKUP($A891,'Base SKUs'!$E:$E,'Base SKUs'!S:S),"")</f>
        <v>7.5600000000000007E-3</v>
      </c>
      <c r="S891" s="8">
        <f t="shared" si="67"/>
        <v>9.0720000000000009E-2</v>
      </c>
      <c r="T891" s="7">
        <f>IFERROR(_xlfn.XLOOKUP($A891,'Base SKUs'!$E:$E,'Base SKUs'!R:R),"")</f>
        <v>911.34400000000005</v>
      </c>
      <c r="U891" s="15">
        <f t="shared" si="68"/>
        <v>83</v>
      </c>
      <c r="V891" t="str">
        <f t="shared" si="69"/>
        <v>Miami</v>
      </c>
    </row>
    <row r="892" spans="1:22" x14ac:dyDescent="0.2">
      <c r="A892" t="s">
        <v>1269</v>
      </c>
      <c r="B892" s="5">
        <v>49</v>
      </c>
      <c r="C892" s="5">
        <v>0</v>
      </c>
      <c r="D892" s="5">
        <f t="shared" si="65"/>
        <v>49</v>
      </c>
      <c r="E892" s="6">
        <v>17.067799999999998</v>
      </c>
      <c r="F892" s="6">
        <f t="shared" si="66"/>
        <v>836.32219999999995</v>
      </c>
      <c r="G892" t="s">
        <v>17</v>
      </c>
      <c r="H892">
        <v>9007</v>
      </c>
      <c r="I892" t="str">
        <f>IFERROR(_xlfn.XLOOKUP($A892,'Base SKUs'!$E:$E,'Base SKUs'!A:A),"")</f>
        <v>Ayous Dark</v>
      </c>
      <c r="J892" t="str">
        <f>IFERROR(_xlfn.XLOOKUP($A892,'Base SKUs'!$E:$E,'Base SKUs'!B:B),"")</f>
        <v>Ayous Dark 1x6</v>
      </c>
      <c r="K892" t="str">
        <f>IFERROR(_xlfn.XLOOKUP($A892,'Base SKUs'!$E:$E,'Base SKUs'!C:C),"")</f>
        <v>Long</v>
      </c>
      <c r="L892" t="str">
        <f>IFERROR(_xlfn.XLOOKUP($A892,'Base SKUs'!$E:$E,'Base SKUs'!D:D),"")</f>
        <v>Thermowood</v>
      </c>
      <c r="M892" t="str">
        <f>IFERROR(_xlfn.XLOOKUP($A892,'Base SKUs'!$E:$E,'Base SKUs'!G:G),"")</f>
        <v>Maximo Thermo Ayous Dark</v>
      </c>
      <c r="N892" t="str">
        <f>IFERROR(_xlfn.XLOOKUP($A892,'Base SKUs'!$E:$E,'Base SKUs'!H:H),"")</f>
        <v>VJoint - Square Back</v>
      </c>
      <c r="O892" t="str">
        <f>IFERROR(_xlfn.XLOOKUP($A892,'Base SKUs'!$E:$E,'Base SKUs'!I:I),"")</f>
        <v>-</v>
      </c>
      <c r="P892" t="str">
        <f>IFERROR(_xlfn.XLOOKUP($A892,'Base SKUs'!$E:$E,'Base SKUs'!J:J),"")</f>
        <v>1x6</v>
      </c>
      <c r="Q892">
        <f>IFERROR(_xlfn.XLOOKUP($A892,'Base SKUs'!$E:$E,'Base SKUs'!K:K),"")</f>
        <v>10</v>
      </c>
      <c r="R892" s="7">
        <f>IFERROR(_xlfn.XLOOKUP($A892,'Base SKUs'!$E:$E,'Base SKUs'!S:S),"")</f>
        <v>7.980000000000001E-3</v>
      </c>
      <c r="S892" s="8">
        <f t="shared" si="67"/>
        <v>0.39102000000000003</v>
      </c>
      <c r="T892" s="7">
        <f>IFERROR(_xlfn.XLOOKUP($A892,'Base SKUs'!$E:$E,'Base SKUs'!R:R),"")</f>
        <v>1233.3979999999999</v>
      </c>
      <c r="U892" s="15">
        <f t="shared" si="68"/>
        <v>482</v>
      </c>
      <c r="V892" t="str">
        <f t="shared" si="69"/>
        <v>Miami</v>
      </c>
    </row>
    <row r="893" spans="1:22" x14ac:dyDescent="0.2">
      <c r="A893" t="s">
        <v>1269</v>
      </c>
      <c r="B893" s="5">
        <v>770</v>
      </c>
      <c r="C893" s="5">
        <v>0</v>
      </c>
      <c r="D893" s="5">
        <f t="shared" si="65"/>
        <v>770</v>
      </c>
      <c r="E893" s="6">
        <v>17.067799999999998</v>
      </c>
      <c r="F893" s="6">
        <f t="shared" si="66"/>
        <v>13142.205999999998</v>
      </c>
      <c r="G893" t="s">
        <v>24</v>
      </c>
      <c r="H893">
        <v>9008</v>
      </c>
      <c r="I893" t="str">
        <f>IFERROR(_xlfn.XLOOKUP($A893,'Base SKUs'!$E:$E,'Base SKUs'!A:A),"")</f>
        <v>Ayous Dark</v>
      </c>
      <c r="J893" t="str">
        <f>IFERROR(_xlfn.XLOOKUP($A893,'Base SKUs'!$E:$E,'Base SKUs'!B:B),"")</f>
        <v>Ayous Dark 1x6</v>
      </c>
      <c r="K893" t="str">
        <f>IFERROR(_xlfn.XLOOKUP($A893,'Base SKUs'!$E:$E,'Base SKUs'!C:C),"")</f>
        <v>Long</v>
      </c>
      <c r="L893" t="str">
        <f>IFERROR(_xlfn.XLOOKUP($A893,'Base SKUs'!$E:$E,'Base SKUs'!D:D),"")</f>
        <v>Thermowood</v>
      </c>
      <c r="M893" t="str">
        <f>IFERROR(_xlfn.XLOOKUP($A893,'Base SKUs'!$E:$E,'Base SKUs'!G:G),"")</f>
        <v>Maximo Thermo Ayous Dark</v>
      </c>
      <c r="N893" t="str">
        <f>IFERROR(_xlfn.XLOOKUP($A893,'Base SKUs'!$E:$E,'Base SKUs'!H:H),"")</f>
        <v>VJoint - Square Back</v>
      </c>
      <c r="O893" t="str">
        <f>IFERROR(_xlfn.XLOOKUP($A893,'Base SKUs'!$E:$E,'Base SKUs'!I:I),"")</f>
        <v>-</v>
      </c>
      <c r="P893" t="str">
        <f>IFERROR(_xlfn.XLOOKUP($A893,'Base SKUs'!$E:$E,'Base SKUs'!J:J),"")</f>
        <v>1x6</v>
      </c>
      <c r="Q893">
        <f>IFERROR(_xlfn.XLOOKUP($A893,'Base SKUs'!$E:$E,'Base SKUs'!K:K),"")</f>
        <v>10</v>
      </c>
      <c r="R893" s="7">
        <f>IFERROR(_xlfn.XLOOKUP($A893,'Base SKUs'!$E:$E,'Base SKUs'!S:S),"")</f>
        <v>7.980000000000001E-3</v>
      </c>
      <c r="S893" s="8">
        <f t="shared" si="67"/>
        <v>6.1446000000000005</v>
      </c>
      <c r="T893" s="7">
        <f>IFERROR(_xlfn.XLOOKUP($A893,'Base SKUs'!$E:$E,'Base SKUs'!R:R),"")</f>
        <v>1233.3979999999999</v>
      </c>
      <c r="U893" s="15">
        <f t="shared" si="68"/>
        <v>7579</v>
      </c>
      <c r="V893" t="str">
        <f t="shared" si="69"/>
        <v>Texas</v>
      </c>
    </row>
    <row r="894" spans="1:22" x14ac:dyDescent="0.2">
      <c r="A894" t="s">
        <v>1269</v>
      </c>
      <c r="B894" s="5">
        <v>445</v>
      </c>
      <c r="C894" s="5">
        <v>37</v>
      </c>
      <c r="D894" s="5">
        <f t="shared" si="65"/>
        <v>408</v>
      </c>
      <c r="E894" s="6">
        <v>17.067799999999998</v>
      </c>
      <c r="F894" s="6">
        <f t="shared" si="66"/>
        <v>7595.1709999999994</v>
      </c>
      <c r="G894" t="s">
        <v>330</v>
      </c>
      <c r="H894">
        <v>9011</v>
      </c>
      <c r="I894" t="str">
        <f>IFERROR(_xlfn.XLOOKUP($A894,'Base SKUs'!$E:$E,'Base SKUs'!A:A),"")</f>
        <v>Ayous Dark</v>
      </c>
      <c r="J894" t="str">
        <f>IFERROR(_xlfn.XLOOKUP($A894,'Base SKUs'!$E:$E,'Base SKUs'!B:B),"")</f>
        <v>Ayous Dark 1x6</v>
      </c>
      <c r="K894" t="str">
        <f>IFERROR(_xlfn.XLOOKUP($A894,'Base SKUs'!$E:$E,'Base SKUs'!C:C),"")</f>
        <v>Long</v>
      </c>
      <c r="L894" t="str">
        <f>IFERROR(_xlfn.XLOOKUP($A894,'Base SKUs'!$E:$E,'Base SKUs'!D:D),"")</f>
        <v>Thermowood</v>
      </c>
      <c r="M894" t="str">
        <f>IFERROR(_xlfn.XLOOKUP($A894,'Base SKUs'!$E:$E,'Base SKUs'!G:G),"")</f>
        <v>Maximo Thermo Ayous Dark</v>
      </c>
      <c r="N894" t="str">
        <f>IFERROR(_xlfn.XLOOKUP($A894,'Base SKUs'!$E:$E,'Base SKUs'!H:H),"")</f>
        <v>VJoint - Square Back</v>
      </c>
      <c r="O894" t="str">
        <f>IFERROR(_xlfn.XLOOKUP($A894,'Base SKUs'!$E:$E,'Base SKUs'!I:I),"")</f>
        <v>-</v>
      </c>
      <c r="P894" t="str">
        <f>IFERROR(_xlfn.XLOOKUP($A894,'Base SKUs'!$E:$E,'Base SKUs'!J:J),"")</f>
        <v>1x6</v>
      </c>
      <c r="Q894">
        <f>IFERROR(_xlfn.XLOOKUP($A894,'Base SKUs'!$E:$E,'Base SKUs'!K:K),"")</f>
        <v>10</v>
      </c>
      <c r="R894" s="7">
        <f>IFERROR(_xlfn.XLOOKUP($A894,'Base SKUs'!$E:$E,'Base SKUs'!S:S),"")</f>
        <v>7.980000000000001E-3</v>
      </c>
      <c r="S894" s="8">
        <f t="shared" si="67"/>
        <v>3.2558400000000005</v>
      </c>
      <c r="T894" s="7">
        <f>IFERROR(_xlfn.XLOOKUP($A894,'Base SKUs'!$E:$E,'Base SKUs'!R:R),"")</f>
        <v>1233.3979999999999</v>
      </c>
      <c r="U894" s="15">
        <f t="shared" si="68"/>
        <v>4016</v>
      </c>
      <c r="V894" t="str">
        <f t="shared" si="69"/>
        <v>New York</v>
      </c>
    </row>
    <row r="895" spans="1:22" x14ac:dyDescent="0.2">
      <c r="A895" t="s">
        <v>1271</v>
      </c>
      <c r="B895" s="5">
        <v>532</v>
      </c>
      <c r="C895" s="5">
        <v>0</v>
      </c>
      <c r="D895" s="5">
        <f t="shared" si="65"/>
        <v>532</v>
      </c>
      <c r="E895" s="6">
        <v>18.7746</v>
      </c>
      <c r="F895" s="6">
        <f t="shared" si="66"/>
        <v>9988.0871999999999</v>
      </c>
      <c r="G895" t="s">
        <v>24</v>
      </c>
      <c r="H895">
        <v>9008</v>
      </c>
      <c r="I895" t="str">
        <f>IFERROR(_xlfn.XLOOKUP($A895,'Base SKUs'!$E:$E,'Base SKUs'!A:A),"")</f>
        <v>Ayous Dark</v>
      </c>
      <c r="J895" t="str">
        <f>IFERROR(_xlfn.XLOOKUP($A895,'Base SKUs'!$E:$E,'Base SKUs'!B:B),"")</f>
        <v>Ayous Dark 1x6</v>
      </c>
      <c r="K895" t="str">
        <f>IFERROR(_xlfn.XLOOKUP($A895,'Base SKUs'!$E:$E,'Base SKUs'!C:C),"")</f>
        <v>Long</v>
      </c>
      <c r="L895" t="str">
        <f>IFERROR(_xlfn.XLOOKUP($A895,'Base SKUs'!$E:$E,'Base SKUs'!D:D),"")</f>
        <v>Thermowood</v>
      </c>
      <c r="M895" t="str">
        <f>IFERROR(_xlfn.XLOOKUP($A895,'Base SKUs'!$E:$E,'Base SKUs'!G:G),"")</f>
        <v>Maximo Thermo Ayous Dark</v>
      </c>
      <c r="N895" t="str">
        <f>IFERROR(_xlfn.XLOOKUP($A895,'Base SKUs'!$E:$E,'Base SKUs'!H:H),"")</f>
        <v>VJoint - Square Back</v>
      </c>
      <c r="O895" t="str">
        <f>IFERROR(_xlfn.XLOOKUP($A895,'Base SKUs'!$E:$E,'Base SKUs'!I:I),"")</f>
        <v>-</v>
      </c>
      <c r="P895" t="str">
        <f>IFERROR(_xlfn.XLOOKUP($A895,'Base SKUs'!$E:$E,'Base SKUs'!J:J),"")</f>
        <v>1x6</v>
      </c>
      <c r="Q895">
        <f>IFERROR(_xlfn.XLOOKUP($A895,'Base SKUs'!$E:$E,'Base SKUs'!K:K),"")</f>
        <v>11</v>
      </c>
      <c r="R895" s="7">
        <f>IFERROR(_xlfn.XLOOKUP($A895,'Base SKUs'!$E:$E,'Base SKUs'!S:S),"")</f>
        <v>8.7779999999999993E-3</v>
      </c>
      <c r="S895" s="8">
        <f t="shared" si="67"/>
        <v>4.6698959999999996</v>
      </c>
      <c r="T895" s="7">
        <f>IFERROR(_xlfn.XLOOKUP($A895,'Base SKUs'!$E:$E,'Base SKUs'!R:R),"")</f>
        <v>1233.3979999999999</v>
      </c>
      <c r="U895" s="15">
        <f t="shared" si="68"/>
        <v>5760</v>
      </c>
      <c r="V895" t="str">
        <f t="shared" si="69"/>
        <v>Texas</v>
      </c>
    </row>
    <row r="896" spans="1:22" x14ac:dyDescent="0.2">
      <c r="A896" t="s">
        <v>1271</v>
      </c>
      <c r="B896" s="5">
        <v>452</v>
      </c>
      <c r="C896" s="5">
        <v>35</v>
      </c>
      <c r="D896" s="5">
        <f t="shared" si="65"/>
        <v>417</v>
      </c>
      <c r="E896" s="6">
        <v>18.7746</v>
      </c>
      <c r="F896" s="6">
        <f t="shared" si="66"/>
        <v>8486.1191999999992</v>
      </c>
      <c r="G896" t="s">
        <v>330</v>
      </c>
      <c r="H896">
        <v>9011</v>
      </c>
      <c r="I896" t="str">
        <f>IFERROR(_xlfn.XLOOKUP($A896,'Base SKUs'!$E:$E,'Base SKUs'!A:A),"")</f>
        <v>Ayous Dark</v>
      </c>
      <c r="J896" t="str">
        <f>IFERROR(_xlfn.XLOOKUP($A896,'Base SKUs'!$E:$E,'Base SKUs'!B:B),"")</f>
        <v>Ayous Dark 1x6</v>
      </c>
      <c r="K896" t="str">
        <f>IFERROR(_xlfn.XLOOKUP($A896,'Base SKUs'!$E:$E,'Base SKUs'!C:C),"")</f>
        <v>Long</v>
      </c>
      <c r="L896" t="str">
        <f>IFERROR(_xlfn.XLOOKUP($A896,'Base SKUs'!$E:$E,'Base SKUs'!D:D),"")</f>
        <v>Thermowood</v>
      </c>
      <c r="M896" t="str">
        <f>IFERROR(_xlfn.XLOOKUP($A896,'Base SKUs'!$E:$E,'Base SKUs'!G:G),"")</f>
        <v>Maximo Thermo Ayous Dark</v>
      </c>
      <c r="N896" t="str">
        <f>IFERROR(_xlfn.XLOOKUP($A896,'Base SKUs'!$E:$E,'Base SKUs'!H:H),"")</f>
        <v>VJoint - Square Back</v>
      </c>
      <c r="O896" t="str">
        <f>IFERROR(_xlfn.XLOOKUP($A896,'Base SKUs'!$E:$E,'Base SKUs'!I:I),"")</f>
        <v>-</v>
      </c>
      <c r="P896" t="str">
        <f>IFERROR(_xlfn.XLOOKUP($A896,'Base SKUs'!$E:$E,'Base SKUs'!J:J),"")</f>
        <v>1x6</v>
      </c>
      <c r="Q896">
        <f>IFERROR(_xlfn.XLOOKUP($A896,'Base SKUs'!$E:$E,'Base SKUs'!K:K),"")</f>
        <v>11</v>
      </c>
      <c r="R896" s="7">
        <f>IFERROR(_xlfn.XLOOKUP($A896,'Base SKUs'!$E:$E,'Base SKUs'!S:S),"")</f>
        <v>8.7779999999999993E-3</v>
      </c>
      <c r="S896" s="8">
        <f t="shared" si="67"/>
        <v>3.6604259999999997</v>
      </c>
      <c r="T896" s="7">
        <f>IFERROR(_xlfn.XLOOKUP($A896,'Base SKUs'!$E:$E,'Base SKUs'!R:R),"")</f>
        <v>1233.3979999999999</v>
      </c>
      <c r="U896" s="15">
        <f t="shared" si="68"/>
        <v>4515</v>
      </c>
      <c r="V896" t="str">
        <f t="shared" si="69"/>
        <v>New York</v>
      </c>
    </row>
    <row r="897" spans="1:22" x14ac:dyDescent="0.2">
      <c r="A897" t="s">
        <v>1273</v>
      </c>
      <c r="B897" s="5">
        <v>24</v>
      </c>
      <c r="C897" s="5">
        <v>0</v>
      </c>
      <c r="D897" s="5">
        <f t="shared" si="65"/>
        <v>24</v>
      </c>
      <c r="E897" s="6">
        <v>20.481400000000001</v>
      </c>
      <c r="F897" s="6">
        <f t="shared" si="66"/>
        <v>491.55360000000002</v>
      </c>
      <c r="G897" t="s">
        <v>17</v>
      </c>
      <c r="H897">
        <v>9007</v>
      </c>
      <c r="I897" t="str">
        <f>IFERROR(_xlfn.XLOOKUP($A897,'Base SKUs'!$E:$E,'Base SKUs'!A:A),"")</f>
        <v>Ayous Dark</v>
      </c>
      <c r="J897" t="str">
        <f>IFERROR(_xlfn.XLOOKUP($A897,'Base SKUs'!$E:$E,'Base SKUs'!B:B),"")</f>
        <v>Ayous Dark 1x6</v>
      </c>
      <c r="K897" t="str">
        <f>IFERROR(_xlfn.XLOOKUP($A897,'Base SKUs'!$E:$E,'Base SKUs'!C:C),"")</f>
        <v>Long</v>
      </c>
      <c r="L897" t="str">
        <f>IFERROR(_xlfn.XLOOKUP($A897,'Base SKUs'!$E:$E,'Base SKUs'!D:D),"")</f>
        <v>Thermowood</v>
      </c>
      <c r="M897" t="str">
        <f>IFERROR(_xlfn.XLOOKUP($A897,'Base SKUs'!$E:$E,'Base SKUs'!G:G),"")</f>
        <v>Maximo Thermo Ayous Dark</v>
      </c>
      <c r="N897" t="str">
        <f>IFERROR(_xlfn.XLOOKUP($A897,'Base SKUs'!$E:$E,'Base SKUs'!H:H),"")</f>
        <v>VJoint - Square Back</v>
      </c>
      <c r="O897" t="str">
        <f>IFERROR(_xlfn.XLOOKUP($A897,'Base SKUs'!$E:$E,'Base SKUs'!I:I),"")</f>
        <v>-</v>
      </c>
      <c r="P897" t="str">
        <f>IFERROR(_xlfn.XLOOKUP($A897,'Base SKUs'!$E:$E,'Base SKUs'!J:J),"")</f>
        <v>1x6</v>
      </c>
      <c r="Q897">
        <f>IFERROR(_xlfn.XLOOKUP($A897,'Base SKUs'!$E:$E,'Base SKUs'!K:K),"")</f>
        <v>12</v>
      </c>
      <c r="R897" s="7">
        <f>IFERROR(_xlfn.XLOOKUP($A897,'Base SKUs'!$E:$E,'Base SKUs'!S:S),"")</f>
        <v>9.5760000000000012E-3</v>
      </c>
      <c r="S897" s="8">
        <f t="shared" si="67"/>
        <v>0.22982400000000003</v>
      </c>
      <c r="T897" s="7">
        <f>IFERROR(_xlfn.XLOOKUP($A897,'Base SKUs'!$E:$E,'Base SKUs'!R:R),"")</f>
        <v>1233.3979999999999</v>
      </c>
      <c r="U897" s="15">
        <f t="shared" si="68"/>
        <v>283</v>
      </c>
      <c r="V897" t="str">
        <f t="shared" si="69"/>
        <v>Miami</v>
      </c>
    </row>
    <row r="898" spans="1:22" x14ac:dyDescent="0.2">
      <c r="A898" t="s">
        <v>1273</v>
      </c>
      <c r="B898" s="5">
        <v>77</v>
      </c>
      <c r="C898" s="5">
        <v>0</v>
      </c>
      <c r="D898" s="5">
        <f t="shared" ref="D898:D961" si="70">B898-C898</f>
        <v>77</v>
      </c>
      <c r="E898" s="6">
        <v>20.481400000000001</v>
      </c>
      <c r="F898" s="6">
        <f t="shared" ref="F898:F961" si="71">B898*E898</f>
        <v>1577.0678</v>
      </c>
      <c r="G898" t="s">
        <v>24</v>
      </c>
      <c r="H898">
        <v>9008</v>
      </c>
      <c r="I898" t="str">
        <f>IFERROR(_xlfn.XLOOKUP($A898,'Base SKUs'!$E:$E,'Base SKUs'!A:A),"")</f>
        <v>Ayous Dark</v>
      </c>
      <c r="J898" t="str">
        <f>IFERROR(_xlfn.XLOOKUP($A898,'Base SKUs'!$E:$E,'Base SKUs'!B:B),"")</f>
        <v>Ayous Dark 1x6</v>
      </c>
      <c r="K898" t="str">
        <f>IFERROR(_xlfn.XLOOKUP($A898,'Base SKUs'!$E:$E,'Base SKUs'!C:C),"")</f>
        <v>Long</v>
      </c>
      <c r="L898" t="str">
        <f>IFERROR(_xlfn.XLOOKUP($A898,'Base SKUs'!$E:$E,'Base SKUs'!D:D),"")</f>
        <v>Thermowood</v>
      </c>
      <c r="M898" t="str">
        <f>IFERROR(_xlfn.XLOOKUP($A898,'Base SKUs'!$E:$E,'Base SKUs'!G:G),"")</f>
        <v>Maximo Thermo Ayous Dark</v>
      </c>
      <c r="N898" t="str">
        <f>IFERROR(_xlfn.XLOOKUP($A898,'Base SKUs'!$E:$E,'Base SKUs'!H:H),"")</f>
        <v>VJoint - Square Back</v>
      </c>
      <c r="O898" t="str">
        <f>IFERROR(_xlfn.XLOOKUP($A898,'Base SKUs'!$E:$E,'Base SKUs'!I:I),"")</f>
        <v>-</v>
      </c>
      <c r="P898" t="str">
        <f>IFERROR(_xlfn.XLOOKUP($A898,'Base SKUs'!$E:$E,'Base SKUs'!J:J),"")</f>
        <v>1x6</v>
      </c>
      <c r="Q898">
        <f>IFERROR(_xlfn.XLOOKUP($A898,'Base SKUs'!$E:$E,'Base SKUs'!K:K),"")</f>
        <v>12</v>
      </c>
      <c r="R898" s="7">
        <f>IFERROR(_xlfn.XLOOKUP($A898,'Base SKUs'!$E:$E,'Base SKUs'!S:S),"")</f>
        <v>9.5760000000000012E-3</v>
      </c>
      <c r="S898" s="8">
        <f t="shared" ref="S898:S961" si="72">IF(OR(L898="Saicos",L898="Oil",L898="US4",L898="Wood Table",L898="Woca",L898="Norx",N898="Tiles"),D898,D898*R898)</f>
        <v>0.73735200000000012</v>
      </c>
      <c r="T898" s="7">
        <f>IFERROR(_xlfn.XLOOKUP($A898,'Base SKUs'!$E:$E,'Base SKUs'!R:R),"")</f>
        <v>1233.3979999999999</v>
      </c>
      <c r="U898" s="15">
        <f t="shared" ref="U898:U961" si="73">ROUND(IF(OR(L898="Saicos",L898="Oil",L898="US4",L898="Wood Table",L898="Woca",L898="Norx",N898="Tiles"),D898,S898*T898),0)</f>
        <v>909</v>
      </c>
      <c r="V898" t="str">
        <f t="shared" ref="V898:V961" si="74">IF(H898=9007,"Miami",IF(H898=9008,"Texas",IF(H898=9009,"Boston",IF(H898=9010,"BS Detroit",IF(H898=9011,"New York",IF(H898=9012,"HW Perris",IF(H898=9013,"BS Riverside",IF(H898=9014,"On the Way",IF(H898=9015,"Russin",IF(H898=9016,"Palm Beach",""))))))))))</f>
        <v>Texas</v>
      </c>
    </row>
    <row r="899" spans="1:22" x14ac:dyDescent="0.2">
      <c r="A899" t="s">
        <v>1273</v>
      </c>
      <c r="B899" s="5">
        <v>284</v>
      </c>
      <c r="C899" s="5">
        <v>0</v>
      </c>
      <c r="D899" s="5">
        <f t="shared" si="70"/>
        <v>284</v>
      </c>
      <c r="E899" s="6">
        <v>20.481400000000001</v>
      </c>
      <c r="F899" s="6">
        <f t="shared" si="71"/>
        <v>5816.7175999999999</v>
      </c>
      <c r="G899" t="s">
        <v>330</v>
      </c>
      <c r="H899">
        <v>9011</v>
      </c>
      <c r="I899" t="str">
        <f>IFERROR(_xlfn.XLOOKUP($A899,'Base SKUs'!$E:$E,'Base SKUs'!A:A),"")</f>
        <v>Ayous Dark</v>
      </c>
      <c r="J899" t="str">
        <f>IFERROR(_xlfn.XLOOKUP($A899,'Base SKUs'!$E:$E,'Base SKUs'!B:B),"")</f>
        <v>Ayous Dark 1x6</v>
      </c>
      <c r="K899" t="str">
        <f>IFERROR(_xlfn.XLOOKUP($A899,'Base SKUs'!$E:$E,'Base SKUs'!C:C),"")</f>
        <v>Long</v>
      </c>
      <c r="L899" t="str">
        <f>IFERROR(_xlfn.XLOOKUP($A899,'Base SKUs'!$E:$E,'Base SKUs'!D:D),"")</f>
        <v>Thermowood</v>
      </c>
      <c r="M899" t="str">
        <f>IFERROR(_xlfn.XLOOKUP($A899,'Base SKUs'!$E:$E,'Base SKUs'!G:G),"")</f>
        <v>Maximo Thermo Ayous Dark</v>
      </c>
      <c r="N899" t="str">
        <f>IFERROR(_xlfn.XLOOKUP($A899,'Base SKUs'!$E:$E,'Base SKUs'!H:H),"")</f>
        <v>VJoint - Square Back</v>
      </c>
      <c r="O899" t="str">
        <f>IFERROR(_xlfn.XLOOKUP($A899,'Base SKUs'!$E:$E,'Base SKUs'!I:I),"")</f>
        <v>-</v>
      </c>
      <c r="P899" t="str">
        <f>IFERROR(_xlfn.XLOOKUP($A899,'Base SKUs'!$E:$E,'Base SKUs'!J:J),"")</f>
        <v>1x6</v>
      </c>
      <c r="Q899">
        <f>IFERROR(_xlfn.XLOOKUP($A899,'Base SKUs'!$E:$E,'Base SKUs'!K:K),"")</f>
        <v>12</v>
      </c>
      <c r="R899" s="7">
        <f>IFERROR(_xlfn.XLOOKUP($A899,'Base SKUs'!$E:$E,'Base SKUs'!S:S),"")</f>
        <v>9.5760000000000012E-3</v>
      </c>
      <c r="S899" s="8">
        <f t="shared" si="72"/>
        <v>2.7195840000000002</v>
      </c>
      <c r="T899" s="7">
        <f>IFERROR(_xlfn.XLOOKUP($A899,'Base SKUs'!$E:$E,'Base SKUs'!R:R),"")</f>
        <v>1233.3979999999999</v>
      </c>
      <c r="U899" s="15">
        <f t="shared" si="73"/>
        <v>3354</v>
      </c>
      <c r="V899" t="str">
        <f t="shared" si="74"/>
        <v>New York</v>
      </c>
    </row>
    <row r="900" spans="1:22" x14ac:dyDescent="0.2">
      <c r="A900" t="s">
        <v>1275</v>
      </c>
      <c r="B900" s="5">
        <v>325</v>
      </c>
      <c r="C900" s="5">
        <v>0</v>
      </c>
      <c r="D900" s="5">
        <f t="shared" si="70"/>
        <v>325</v>
      </c>
      <c r="E900" s="6">
        <v>22.188199999999998</v>
      </c>
      <c r="F900" s="6">
        <f t="shared" si="71"/>
        <v>7211.1649999999991</v>
      </c>
      <c r="G900" t="s">
        <v>17</v>
      </c>
      <c r="H900">
        <v>9007</v>
      </c>
      <c r="I900" t="str">
        <f>IFERROR(_xlfn.XLOOKUP($A900,'Base SKUs'!$E:$E,'Base SKUs'!A:A),"")</f>
        <v>Ayous Dark</v>
      </c>
      <c r="J900" t="str">
        <f>IFERROR(_xlfn.XLOOKUP($A900,'Base SKUs'!$E:$E,'Base SKUs'!B:B),"")</f>
        <v>Ayous Dark 1x6</v>
      </c>
      <c r="K900" t="str">
        <f>IFERROR(_xlfn.XLOOKUP($A900,'Base SKUs'!$E:$E,'Base SKUs'!C:C),"")</f>
        <v>Long</v>
      </c>
      <c r="L900" t="str">
        <f>IFERROR(_xlfn.XLOOKUP($A900,'Base SKUs'!$E:$E,'Base SKUs'!D:D),"")</f>
        <v>Thermowood</v>
      </c>
      <c r="M900" t="str">
        <f>IFERROR(_xlfn.XLOOKUP($A900,'Base SKUs'!$E:$E,'Base SKUs'!G:G),"")</f>
        <v>Maximo Thermo Ayous Dark</v>
      </c>
      <c r="N900" t="str">
        <f>IFERROR(_xlfn.XLOOKUP($A900,'Base SKUs'!$E:$E,'Base SKUs'!H:H),"")</f>
        <v>VJoint - Square Back</v>
      </c>
      <c r="O900" t="str">
        <f>IFERROR(_xlfn.XLOOKUP($A900,'Base SKUs'!$E:$E,'Base SKUs'!I:I),"")</f>
        <v>-</v>
      </c>
      <c r="P900" t="str">
        <f>IFERROR(_xlfn.XLOOKUP($A900,'Base SKUs'!$E:$E,'Base SKUs'!J:J),"")</f>
        <v>1x6</v>
      </c>
      <c r="Q900">
        <f>IFERROR(_xlfn.XLOOKUP($A900,'Base SKUs'!$E:$E,'Base SKUs'!K:K),"")</f>
        <v>13</v>
      </c>
      <c r="R900" s="7">
        <f>IFERROR(_xlfn.XLOOKUP($A900,'Base SKUs'!$E:$E,'Base SKUs'!S:S),"")</f>
        <v>1.0374000000000001E-2</v>
      </c>
      <c r="S900" s="8">
        <f t="shared" si="72"/>
        <v>3.3715500000000005</v>
      </c>
      <c r="T900" s="7">
        <f>IFERROR(_xlfn.XLOOKUP($A900,'Base SKUs'!$E:$E,'Base SKUs'!R:R),"")</f>
        <v>1233.3979999999999</v>
      </c>
      <c r="U900" s="15">
        <f t="shared" si="73"/>
        <v>4158</v>
      </c>
      <c r="V900" t="str">
        <f t="shared" si="74"/>
        <v>Miami</v>
      </c>
    </row>
    <row r="901" spans="1:22" x14ac:dyDescent="0.2">
      <c r="A901" t="s">
        <v>1275</v>
      </c>
      <c r="B901" s="5">
        <v>497</v>
      </c>
      <c r="C901" s="5">
        <v>0</v>
      </c>
      <c r="D901" s="5">
        <f t="shared" si="70"/>
        <v>497</v>
      </c>
      <c r="E901" s="6">
        <v>22.188199999999998</v>
      </c>
      <c r="F901" s="6">
        <f t="shared" si="71"/>
        <v>11027.535399999999</v>
      </c>
      <c r="G901" t="s">
        <v>24</v>
      </c>
      <c r="H901">
        <v>9008</v>
      </c>
      <c r="I901" t="str">
        <f>IFERROR(_xlfn.XLOOKUP($A901,'Base SKUs'!$E:$E,'Base SKUs'!A:A),"")</f>
        <v>Ayous Dark</v>
      </c>
      <c r="J901" t="str">
        <f>IFERROR(_xlfn.XLOOKUP($A901,'Base SKUs'!$E:$E,'Base SKUs'!B:B),"")</f>
        <v>Ayous Dark 1x6</v>
      </c>
      <c r="K901" t="str">
        <f>IFERROR(_xlfn.XLOOKUP($A901,'Base SKUs'!$E:$E,'Base SKUs'!C:C),"")</f>
        <v>Long</v>
      </c>
      <c r="L901" t="str">
        <f>IFERROR(_xlfn.XLOOKUP($A901,'Base SKUs'!$E:$E,'Base SKUs'!D:D),"")</f>
        <v>Thermowood</v>
      </c>
      <c r="M901" t="str">
        <f>IFERROR(_xlfn.XLOOKUP($A901,'Base SKUs'!$E:$E,'Base SKUs'!G:G),"")</f>
        <v>Maximo Thermo Ayous Dark</v>
      </c>
      <c r="N901" t="str">
        <f>IFERROR(_xlfn.XLOOKUP($A901,'Base SKUs'!$E:$E,'Base SKUs'!H:H),"")</f>
        <v>VJoint - Square Back</v>
      </c>
      <c r="O901" t="str">
        <f>IFERROR(_xlfn.XLOOKUP($A901,'Base SKUs'!$E:$E,'Base SKUs'!I:I),"")</f>
        <v>-</v>
      </c>
      <c r="P901" t="str">
        <f>IFERROR(_xlfn.XLOOKUP($A901,'Base SKUs'!$E:$E,'Base SKUs'!J:J),"")</f>
        <v>1x6</v>
      </c>
      <c r="Q901">
        <f>IFERROR(_xlfn.XLOOKUP($A901,'Base SKUs'!$E:$E,'Base SKUs'!K:K),"")</f>
        <v>13</v>
      </c>
      <c r="R901" s="7">
        <f>IFERROR(_xlfn.XLOOKUP($A901,'Base SKUs'!$E:$E,'Base SKUs'!S:S),"")</f>
        <v>1.0374000000000001E-2</v>
      </c>
      <c r="S901" s="8">
        <f t="shared" si="72"/>
        <v>5.1558780000000004</v>
      </c>
      <c r="T901" s="7">
        <f>IFERROR(_xlfn.XLOOKUP($A901,'Base SKUs'!$E:$E,'Base SKUs'!R:R),"")</f>
        <v>1233.3979999999999</v>
      </c>
      <c r="U901" s="15">
        <f t="shared" si="73"/>
        <v>6359</v>
      </c>
      <c r="V901" t="str">
        <f t="shared" si="74"/>
        <v>Texas</v>
      </c>
    </row>
    <row r="902" spans="1:22" x14ac:dyDescent="0.2">
      <c r="A902" t="s">
        <v>1275</v>
      </c>
      <c r="B902" s="5">
        <v>149</v>
      </c>
      <c r="C902" s="5">
        <v>1</v>
      </c>
      <c r="D902" s="5">
        <f t="shared" si="70"/>
        <v>148</v>
      </c>
      <c r="E902" s="6">
        <v>22.188199999999998</v>
      </c>
      <c r="F902" s="6">
        <f t="shared" si="71"/>
        <v>3306.0418</v>
      </c>
      <c r="G902" t="s">
        <v>330</v>
      </c>
      <c r="H902">
        <v>9011</v>
      </c>
      <c r="I902" t="str">
        <f>IFERROR(_xlfn.XLOOKUP($A902,'Base SKUs'!$E:$E,'Base SKUs'!A:A),"")</f>
        <v>Ayous Dark</v>
      </c>
      <c r="J902" t="str">
        <f>IFERROR(_xlfn.XLOOKUP($A902,'Base SKUs'!$E:$E,'Base SKUs'!B:B),"")</f>
        <v>Ayous Dark 1x6</v>
      </c>
      <c r="K902" t="str">
        <f>IFERROR(_xlfn.XLOOKUP($A902,'Base SKUs'!$E:$E,'Base SKUs'!C:C),"")</f>
        <v>Long</v>
      </c>
      <c r="L902" t="str">
        <f>IFERROR(_xlfn.XLOOKUP($A902,'Base SKUs'!$E:$E,'Base SKUs'!D:D),"")</f>
        <v>Thermowood</v>
      </c>
      <c r="M902" t="str">
        <f>IFERROR(_xlfn.XLOOKUP($A902,'Base SKUs'!$E:$E,'Base SKUs'!G:G),"")</f>
        <v>Maximo Thermo Ayous Dark</v>
      </c>
      <c r="N902" t="str">
        <f>IFERROR(_xlfn.XLOOKUP($A902,'Base SKUs'!$E:$E,'Base SKUs'!H:H),"")</f>
        <v>VJoint - Square Back</v>
      </c>
      <c r="O902" t="str">
        <f>IFERROR(_xlfn.XLOOKUP($A902,'Base SKUs'!$E:$E,'Base SKUs'!I:I),"")</f>
        <v>-</v>
      </c>
      <c r="P902" t="str">
        <f>IFERROR(_xlfn.XLOOKUP($A902,'Base SKUs'!$E:$E,'Base SKUs'!J:J),"")</f>
        <v>1x6</v>
      </c>
      <c r="Q902">
        <f>IFERROR(_xlfn.XLOOKUP($A902,'Base SKUs'!$E:$E,'Base SKUs'!K:K),"")</f>
        <v>13</v>
      </c>
      <c r="R902" s="7">
        <f>IFERROR(_xlfn.XLOOKUP($A902,'Base SKUs'!$E:$E,'Base SKUs'!S:S),"")</f>
        <v>1.0374000000000001E-2</v>
      </c>
      <c r="S902" s="8">
        <f t="shared" si="72"/>
        <v>1.5353520000000003</v>
      </c>
      <c r="T902" s="7">
        <f>IFERROR(_xlfn.XLOOKUP($A902,'Base SKUs'!$E:$E,'Base SKUs'!R:R),"")</f>
        <v>1233.3979999999999</v>
      </c>
      <c r="U902" s="15">
        <f t="shared" si="73"/>
        <v>1894</v>
      </c>
      <c r="V902" t="str">
        <f t="shared" si="74"/>
        <v>New York</v>
      </c>
    </row>
    <row r="903" spans="1:22" x14ac:dyDescent="0.2">
      <c r="A903" t="s">
        <v>1277</v>
      </c>
      <c r="B903" s="5">
        <v>63</v>
      </c>
      <c r="C903" s="5">
        <v>0</v>
      </c>
      <c r="D903" s="5">
        <f t="shared" si="70"/>
        <v>63</v>
      </c>
      <c r="E903" s="6">
        <v>23.895</v>
      </c>
      <c r="F903" s="6">
        <f t="shared" si="71"/>
        <v>1505.385</v>
      </c>
      <c r="G903" t="s">
        <v>24</v>
      </c>
      <c r="H903">
        <v>9008</v>
      </c>
      <c r="I903" t="str">
        <f>IFERROR(_xlfn.XLOOKUP($A903,'Base SKUs'!$E:$E,'Base SKUs'!A:A),"")</f>
        <v>Ayous Dark</v>
      </c>
      <c r="J903" t="str">
        <f>IFERROR(_xlfn.XLOOKUP($A903,'Base SKUs'!$E:$E,'Base SKUs'!B:B),"")</f>
        <v>Ayous Dark 1x6</v>
      </c>
      <c r="K903" t="str">
        <f>IFERROR(_xlfn.XLOOKUP($A903,'Base SKUs'!$E:$E,'Base SKUs'!C:C),"")</f>
        <v>Long</v>
      </c>
      <c r="L903" t="str">
        <f>IFERROR(_xlfn.XLOOKUP($A903,'Base SKUs'!$E:$E,'Base SKUs'!D:D),"")</f>
        <v>Thermowood</v>
      </c>
      <c r="M903" t="str">
        <f>IFERROR(_xlfn.XLOOKUP($A903,'Base SKUs'!$E:$E,'Base SKUs'!G:G),"")</f>
        <v>Maximo Thermo Ayous Dark</v>
      </c>
      <c r="N903" t="str">
        <f>IFERROR(_xlfn.XLOOKUP($A903,'Base SKUs'!$E:$E,'Base SKUs'!H:H),"")</f>
        <v>VJoint - Square Back</v>
      </c>
      <c r="O903" t="str">
        <f>IFERROR(_xlfn.XLOOKUP($A903,'Base SKUs'!$E:$E,'Base SKUs'!I:I),"")</f>
        <v>-</v>
      </c>
      <c r="P903" t="str">
        <f>IFERROR(_xlfn.XLOOKUP($A903,'Base SKUs'!$E:$E,'Base SKUs'!J:J),"")</f>
        <v>1x6</v>
      </c>
      <c r="Q903">
        <f>IFERROR(_xlfn.XLOOKUP($A903,'Base SKUs'!$E:$E,'Base SKUs'!K:K),"")</f>
        <v>14</v>
      </c>
      <c r="R903" s="7">
        <f>IFERROR(_xlfn.XLOOKUP($A903,'Base SKUs'!$E:$E,'Base SKUs'!S:S),"")</f>
        <v>1.1172E-2</v>
      </c>
      <c r="S903" s="8">
        <f t="shared" si="72"/>
        <v>0.70383600000000002</v>
      </c>
      <c r="T903" s="7">
        <f>IFERROR(_xlfn.XLOOKUP($A903,'Base SKUs'!$E:$E,'Base SKUs'!R:R),"")</f>
        <v>1233.3979999999999</v>
      </c>
      <c r="U903" s="15">
        <f t="shared" si="73"/>
        <v>868</v>
      </c>
      <c r="V903" t="str">
        <f t="shared" si="74"/>
        <v>Texas</v>
      </c>
    </row>
    <row r="904" spans="1:22" x14ac:dyDescent="0.2">
      <c r="A904" t="s">
        <v>1277</v>
      </c>
      <c r="B904" s="5">
        <v>262</v>
      </c>
      <c r="C904" s="5">
        <v>58</v>
      </c>
      <c r="D904" s="5">
        <f t="shared" si="70"/>
        <v>204</v>
      </c>
      <c r="E904" s="6">
        <v>23.895</v>
      </c>
      <c r="F904" s="6">
        <f t="shared" si="71"/>
        <v>6260.49</v>
      </c>
      <c r="G904" t="s">
        <v>330</v>
      </c>
      <c r="H904">
        <v>9011</v>
      </c>
      <c r="I904" t="str">
        <f>IFERROR(_xlfn.XLOOKUP($A904,'Base SKUs'!$E:$E,'Base SKUs'!A:A),"")</f>
        <v>Ayous Dark</v>
      </c>
      <c r="J904" t="str">
        <f>IFERROR(_xlfn.XLOOKUP($A904,'Base SKUs'!$E:$E,'Base SKUs'!B:B),"")</f>
        <v>Ayous Dark 1x6</v>
      </c>
      <c r="K904" t="str">
        <f>IFERROR(_xlfn.XLOOKUP($A904,'Base SKUs'!$E:$E,'Base SKUs'!C:C),"")</f>
        <v>Long</v>
      </c>
      <c r="L904" t="str">
        <f>IFERROR(_xlfn.XLOOKUP($A904,'Base SKUs'!$E:$E,'Base SKUs'!D:D),"")</f>
        <v>Thermowood</v>
      </c>
      <c r="M904" t="str">
        <f>IFERROR(_xlfn.XLOOKUP($A904,'Base SKUs'!$E:$E,'Base SKUs'!G:G),"")</f>
        <v>Maximo Thermo Ayous Dark</v>
      </c>
      <c r="N904" t="str">
        <f>IFERROR(_xlfn.XLOOKUP($A904,'Base SKUs'!$E:$E,'Base SKUs'!H:H),"")</f>
        <v>VJoint - Square Back</v>
      </c>
      <c r="O904" t="str">
        <f>IFERROR(_xlfn.XLOOKUP($A904,'Base SKUs'!$E:$E,'Base SKUs'!I:I),"")</f>
        <v>-</v>
      </c>
      <c r="P904" t="str">
        <f>IFERROR(_xlfn.XLOOKUP($A904,'Base SKUs'!$E:$E,'Base SKUs'!J:J),"")</f>
        <v>1x6</v>
      </c>
      <c r="Q904">
        <f>IFERROR(_xlfn.XLOOKUP($A904,'Base SKUs'!$E:$E,'Base SKUs'!K:K),"")</f>
        <v>14</v>
      </c>
      <c r="R904" s="7">
        <f>IFERROR(_xlfn.XLOOKUP($A904,'Base SKUs'!$E:$E,'Base SKUs'!S:S),"")</f>
        <v>1.1172E-2</v>
      </c>
      <c r="S904" s="8">
        <f t="shared" si="72"/>
        <v>2.2790879999999998</v>
      </c>
      <c r="T904" s="7">
        <f>IFERROR(_xlfn.XLOOKUP($A904,'Base SKUs'!$E:$E,'Base SKUs'!R:R),"")</f>
        <v>1233.3979999999999</v>
      </c>
      <c r="U904" s="15">
        <f t="shared" si="73"/>
        <v>2811</v>
      </c>
      <c r="V904" t="str">
        <f t="shared" si="74"/>
        <v>New York</v>
      </c>
    </row>
    <row r="905" spans="1:22" x14ac:dyDescent="0.2">
      <c r="A905" t="s">
        <v>1279</v>
      </c>
      <c r="B905" s="5">
        <v>714</v>
      </c>
      <c r="C905" s="5">
        <v>0</v>
      </c>
      <c r="D905" s="5">
        <f t="shared" si="70"/>
        <v>714</v>
      </c>
      <c r="E905" s="6">
        <v>25.601800000000001</v>
      </c>
      <c r="F905" s="6">
        <f t="shared" si="71"/>
        <v>18279.6852</v>
      </c>
      <c r="G905" t="s">
        <v>24</v>
      </c>
      <c r="H905">
        <v>9008</v>
      </c>
      <c r="I905" t="str">
        <f>IFERROR(_xlfn.XLOOKUP($A905,'Base SKUs'!$E:$E,'Base SKUs'!A:A),"")</f>
        <v>Ayous Dark</v>
      </c>
      <c r="J905" t="str">
        <f>IFERROR(_xlfn.XLOOKUP($A905,'Base SKUs'!$E:$E,'Base SKUs'!B:B),"")</f>
        <v>Ayous Dark 1x6</v>
      </c>
      <c r="K905" t="str">
        <f>IFERROR(_xlfn.XLOOKUP($A905,'Base SKUs'!$E:$E,'Base SKUs'!C:C),"")</f>
        <v>Long</v>
      </c>
      <c r="L905" t="str">
        <f>IFERROR(_xlfn.XLOOKUP($A905,'Base SKUs'!$E:$E,'Base SKUs'!D:D),"")</f>
        <v>Thermowood</v>
      </c>
      <c r="M905" t="str">
        <f>IFERROR(_xlfn.XLOOKUP($A905,'Base SKUs'!$E:$E,'Base SKUs'!G:G),"")</f>
        <v>Maximo Thermo Ayous Dark</v>
      </c>
      <c r="N905" t="str">
        <f>IFERROR(_xlfn.XLOOKUP($A905,'Base SKUs'!$E:$E,'Base SKUs'!H:H),"")</f>
        <v>VJoint - Square Back</v>
      </c>
      <c r="O905" t="str">
        <f>IFERROR(_xlfn.XLOOKUP($A905,'Base SKUs'!$E:$E,'Base SKUs'!I:I),"")</f>
        <v>-</v>
      </c>
      <c r="P905" t="str">
        <f>IFERROR(_xlfn.XLOOKUP($A905,'Base SKUs'!$E:$E,'Base SKUs'!J:J),"")</f>
        <v>1x6</v>
      </c>
      <c r="Q905">
        <f>IFERROR(_xlfn.XLOOKUP($A905,'Base SKUs'!$E:$E,'Base SKUs'!K:K),"")</f>
        <v>15</v>
      </c>
      <c r="R905" s="7">
        <f>IFERROR(_xlfn.XLOOKUP($A905,'Base SKUs'!$E:$E,'Base SKUs'!S:S),"")</f>
        <v>1.1970000000000001E-2</v>
      </c>
      <c r="S905" s="8">
        <f t="shared" si="72"/>
        <v>8.5465800000000005</v>
      </c>
      <c r="T905" s="7">
        <f>IFERROR(_xlfn.XLOOKUP($A905,'Base SKUs'!$E:$E,'Base SKUs'!R:R),"")</f>
        <v>1233.3979999999999</v>
      </c>
      <c r="U905" s="15">
        <f t="shared" si="73"/>
        <v>10541</v>
      </c>
      <c r="V905" t="str">
        <f t="shared" si="74"/>
        <v>Texas</v>
      </c>
    </row>
    <row r="906" spans="1:22" x14ac:dyDescent="0.2">
      <c r="A906" t="s">
        <v>1279</v>
      </c>
      <c r="B906" s="5">
        <v>166</v>
      </c>
      <c r="C906" s="5">
        <v>1</v>
      </c>
      <c r="D906" s="5">
        <f t="shared" si="70"/>
        <v>165</v>
      </c>
      <c r="E906" s="6">
        <v>25.601800000000001</v>
      </c>
      <c r="F906" s="6">
        <f t="shared" si="71"/>
        <v>4249.8987999999999</v>
      </c>
      <c r="G906" t="s">
        <v>330</v>
      </c>
      <c r="H906">
        <v>9011</v>
      </c>
      <c r="I906" t="str">
        <f>IFERROR(_xlfn.XLOOKUP($A906,'Base SKUs'!$E:$E,'Base SKUs'!A:A),"")</f>
        <v>Ayous Dark</v>
      </c>
      <c r="J906" t="str">
        <f>IFERROR(_xlfn.XLOOKUP($A906,'Base SKUs'!$E:$E,'Base SKUs'!B:B),"")</f>
        <v>Ayous Dark 1x6</v>
      </c>
      <c r="K906" t="str">
        <f>IFERROR(_xlfn.XLOOKUP($A906,'Base SKUs'!$E:$E,'Base SKUs'!C:C),"")</f>
        <v>Long</v>
      </c>
      <c r="L906" t="str">
        <f>IFERROR(_xlfn.XLOOKUP($A906,'Base SKUs'!$E:$E,'Base SKUs'!D:D),"")</f>
        <v>Thermowood</v>
      </c>
      <c r="M906" t="str">
        <f>IFERROR(_xlfn.XLOOKUP($A906,'Base SKUs'!$E:$E,'Base SKUs'!G:G),"")</f>
        <v>Maximo Thermo Ayous Dark</v>
      </c>
      <c r="N906" t="str">
        <f>IFERROR(_xlfn.XLOOKUP($A906,'Base SKUs'!$E:$E,'Base SKUs'!H:H),"")</f>
        <v>VJoint - Square Back</v>
      </c>
      <c r="O906" t="str">
        <f>IFERROR(_xlfn.XLOOKUP($A906,'Base SKUs'!$E:$E,'Base SKUs'!I:I),"")</f>
        <v>-</v>
      </c>
      <c r="P906" t="str">
        <f>IFERROR(_xlfn.XLOOKUP($A906,'Base SKUs'!$E:$E,'Base SKUs'!J:J),"")</f>
        <v>1x6</v>
      </c>
      <c r="Q906">
        <f>IFERROR(_xlfn.XLOOKUP($A906,'Base SKUs'!$E:$E,'Base SKUs'!K:K),"")</f>
        <v>15</v>
      </c>
      <c r="R906" s="7">
        <f>IFERROR(_xlfn.XLOOKUP($A906,'Base SKUs'!$E:$E,'Base SKUs'!S:S),"")</f>
        <v>1.1970000000000001E-2</v>
      </c>
      <c r="S906" s="8">
        <f t="shared" si="72"/>
        <v>1.9750500000000002</v>
      </c>
      <c r="T906" s="7">
        <f>IFERROR(_xlfn.XLOOKUP($A906,'Base SKUs'!$E:$E,'Base SKUs'!R:R),"")</f>
        <v>1233.3979999999999</v>
      </c>
      <c r="U906" s="15">
        <f t="shared" si="73"/>
        <v>2436</v>
      </c>
      <c r="V906" t="str">
        <f t="shared" si="74"/>
        <v>New York</v>
      </c>
    </row>
    <row r="907" spans="1:22" x14ac:dyDescent="0.2">
      <c r="A907" t="s">
        <v>1281</v>
      </c>
      <c r="B907" s="5">
        <v>525</v>
      </c>
      <c r="C907" s="5">
        <v>0</v>
      </c>
      <c r="D907" s="5">
        <f t="shared" si="70"/>
        <v>525</v>
      </c>
      <c r="E907" s="6">
        <v>29.0154</v>
      </c>
      <c r="F907" s="6">
        <f t="shared" si="71"/>
        <v>15233.084999999999</v>
      </c>
      <c r="G907" t="s">
        <v>330</v>
      </c>
      <c r="H907">
        <v>9011</v>
      </c>
      <c r="I907" t="str">
        <f>IFERROR(_xlfn.XLOOKUP($A907,'Base SKUs'!$E:$E,'Base SKUs'!A:A),"")</f>
        <v>Ayous Dark</v>
      </c>
      <c r="J907" t="str">
        <f>IFERROR(_xlfn.XLOOKUP($A907,'Base SKUs'!$E:$E,'Base SKUs'!B:B),"")</f>
        <v>Ayous Dark 1x6</v>
      </c>
      <c r="K907" t="str">
        <f>IFERROR(_xlfn.XLOOKUP($A907,'Base SKUs'!$E:$E,'Base SKUs'!C:C),"")</f>
        <v>Long</v>
      </c>
      <c r="L907" t="str">
        <f>IFERROR(_xlfn.XLOOKUP($A907,'Base SKUs'!$E:$E,'Base SKUs'!D:D),"")</f>
        <v>Thermowood</v>
      </c>
      <c r="M907" t="str">
        <f>IFERROR(_xlfn.XLOOKUP($A907,'Base SKUs'!$E:$E,'Base SKUs'!G:G),"")</f>
        <v>Maximo Thermo Ayous Dark</v>
      </c>
      <c r="N907" t="str">
        <f>IFERROR(_xlfn.XLOOKUP($A907,'Base SKUs'!$E:$E,'Base SKUs'!H:H),"")</f>
        <v>VJoint - Square Back</v>
      </c>
      <c r="O907" t="str">
        <f>IFERROR(_xlfn.XLOOKUP($A907,'Base SKUs'!$E:$E,'Base SKUs'!I:I),"")</f>
        <v>-</v>
      </c>
      <c r="P907" t="str">
        <f>IFERROR(_xlfn.XLOOKUP($A907,'Base SKUs'!$E:$E,'Base SKUs'!J:J),"")</f>
        <v>1x6</v>
      </c>
      <c r="Q907">
        <f>IFERROR(_xlfn.XLOOKUP($A907,'Base SKUs'!$E:$E,'Base SKUs'!K:K),"")</f>
        <v>17</v>
      </c>
      <c r="R907" s="7">
        <f>IFERROR(_xlfn.XLOOKUP($A907,'Base SKUs'!$E:$E,'Base SKUs'!S:S),"")</f>
        <v>1.3565999999999998E-2</v>
      </c>
      <c r="S907" s="8">
        <f t="shared" si="72"/>
        <v>7.1221499999999986</v>
      </c>
      <c r="T907" s="7">
        <f>IFERROR(_xlfn.XLOOKUP($A907,'Base SKUs'!$E:$E,'Base SKUs'!R:R),"")</f>
        <v>1233.3979999999999</v>
      </c>
      <c r="U907" s="15">
        <f t="shared" si="73"/>
        <v>8784</v>
      </c>
      <c r="V907" t="str">
        <f t="shared" si="74"/>
        <v>New York</v>
      </c>
    </row>
    <row r="908" spans="1:22" x14ac:dyDescent="0.2">
      <c r="A908" t="s">
        <v>1283</v>
      </c>
      <c r="B908" s="5">
        <v>98</v>
      </c>
      <c r="C908" s="5">
        <v>0</v>
      </c>
      <c r="D908" s="5">
        <f t="shared" si="70"/>
        <v>98</v>
      </c>
      <c r="E908" s="6">
        <v>10.2407</v>
      </c>
      <c r="F908" s="6">
        <f t="shared" si="71"/>
        <v>1003.5886</v>
      </c>
      <c r="G908" t="s">
        <v>24</v>
      </c>
      <c r="H908">
        <v>9008</v>
      </c>
      <c r="I908" t="str">
        <f>IFERROR(_xlfn.XLOOKUP($A908,'Base SKUs'!$E:$E,'Base SKUs'!A:A),"")</f>
        <v>Ayous Dark</v>
      </c>
      <c r="J908" t="str">
        <f>IFERROR(_xlfn.XLOOKUP($A908,'Base SKUs'!$E:$E,'Base SKUs'!B:B),"")</f>
        <v>Ayous Dark 1x6</v>
      </c>
      <c r="K908" t="str">
        <f>IFERROR(_xlfn.XLOOKUP($A908,'Base SKUs'!$E:$E,'Base SKUs'!C:C),"")</f>
        <v>Short</v>
      </c>
      <c r="L908" t="str">
        <f>IFERROR(_xlfn.XLOOKUP($A908,'Base SKUs'!$E:$E,'Base SKUs'!D:D),"")</f>
        <v>Thermowood</v>
      </c>
      <c r="M908" t="str">
        <f>IFERROR(_xlfn.XLOOKUP($A908,'Base SKUs'!$E:$E,'Base SKUs'!G:G),"")</f>
        <v>Maximo Thermo Ayous Dark</v>
      </c>
      <c r="N908" t="str">
        <f>IFERROR(_xlfn.XLOOKUP($A908,'Base SKUs'!$E:$E,'Base SKUs'!H:H),"")</f>
        <v>VJoint - Square Back</v>
      </c>
      <c r="O908" t="str">
        <f>IFERROR(_xlfn.XLOOKUP($A908,'Base SKUs'!$E:$E,'Base SKUs'!I:I),"")</f>
        <v>-</v>
      </c>
      <c r="P908" t="str">
        <f>IFERROR(_xlfn.XLOOKUP($A908,'Base SKUs'!$E:$E,'Base SKUs'!J:J),"")</f>
        <v>1x6</v>
      </c>
      <c r="Q908">
        <f>IFERROR(_xlfn.XLOOKUP($A908,'Base SKUs'!$E:$E,'Base SKUs'!K:K),"")</f>
        <v>6</v>
      </c>
      <c r="R908" s="7">
        <f>IFERROR(_xlfn.XLOOKUP($A908,'Base SKUs'!$E:$E,'Base SKUs'!S:S),"")</f>
        <v>4.7880000000000006E-3</v>
      </c>
      <c r="S908" s="8">
        <f t="shared" si="72"/>
        <v>0.46922400000000009</v>
      </c>
      <c r="T908" s="7">
        <f>IFERROR(_xlfn.XLOOKUP($A908,'Base SKUs'!$E:$E,'Base SKUs'!R:R),"")</f>
        <v>1233.3979999999999</v>
      </c>
      <c r="U908" s="15">
        <f t="shared" si="73"/>
        <v>579</v>
      </c>
      <c r="V908" t="str">
        <f t="shared" si="74"/>
        <v>Texas</v>
      </c>
    </row>
    <row r="909" spans="1:22" x14ac:dyDescent="0.2">
      <c r="A909" t="s">
        <v>1283</v>
      </c>
      <c r="B909" s="5">
        <v>354</v>
      </c>
      <c r="C909" s="5">
        <v>0</v>
      </c>
      <c r="D909" s="5">
        <f t="shared" si="70"/>
        <v>354</v>
      </c>
      <c r="E909" s="6">
        <v>10.2407</v>
      </c>
      <c r="F909" s="6">
        <f t="shared" si="71"/>
        <v>3625.2078000000001</v>
      </c>
      <c r="G909" t="s">
        <v>330</v>
      </c>
      <c r="H909">
        <v>9011</v>
      </c>
      <c r="I909" t="str">
        <f>IFERROR(_xlfn.XLOOKUP($A909,'Base SKUs'!$E:$E,'Base SKUs'!A:A),"")</f>
        <v>Ayous Dark</v>
      </c>
      <c r="J909" t="str">
        <f>IFERROR(_xlfn.XLOOKUP($A909,'Base SKUs'!$E:$E,'Base SKUs'!B:B),"")</f>
        <v>Ayous Dark 1x6</v>
      </c>
      <c r="K909" t="str">
        <f>IFERROR(_xlfn.XLOOKUP($A909,'Base SKUs'!$E:$E,'Base SKUs'!C:C),"")</f>
        <v>Short</v>
      </c>
      <c r="L909" t="str">
        <f>IFERROR(_xlfn.XLOOKUP($A909,'Base SKUs'!$E:$E,'Base SKUs'!D:D),"")</f>
        <v>Thermowood</v>
      </c>
      <c r="M909" t="str">
        <f>IFERROR(_xlfn.XLOOKUP($A909,'Base SKUs'!$E:$E,'Base SKUs'!G:G),"")</f>
        <v>Maximo Thermo Ayous Dark</v>
      </c>
      <c r="N909" t="str">
        <f>IFERROR(_xlfn.XLOOKUP($A909,'Base SKUs'!$E:$E,'Base SKUs'!H:H),"")</f>
        <v>VJoint - Square Back</v>
      </c>
      <c r="O909" t="str">
        <f>IFERROR(_xlfn.XLOOKUP($A909,'Base SKUs'!$E:$E,'Base SKUs'!I:I),"")</f>
        <v>-</v>
      </c>
      <c r="P909" t="str">
        <f>IFERROR(_xlfn.XLOOKUP($A909,'Base SKUs'!$E:$E,'Base SKUs'!J:J),"")</f>
        <v>1x6</v>
      </c>
      <c r="Q909">
        <f>IFERROR(_xlfn.XLOOKUP($A909,'Base SKUs'!$E:$E,'Base SKUs'!K:K),"")</f>
        <v>6</v>
      </c>
      <c r="R909" s="7">
        <f>IFERROR(_xlfn.XLOOKUP($A909,'Base SKUs'!$E:$E,'Base SKUs'!S:S),"")</f>
        <v>4.7880000000000006E-3</v>
      </c>
      <c r="S909" s="8">
        <f t="shared" si="72"/>
        <v>1.6949520000000002</v>
      </c>
      <c r="T909" s="7">
        <f>IFERROR(_xlfn.XLOOKUP($A909,'Base SKUs'!$E:$E,'Base SKUs'!R:R),"")</f>
        <v>1233.3979999999999</v>
      </c>
      <c r="U909" s="15">
        <f t="shared" si="73"/>
        <v>2091</v>
      </c>
      <c r="V909" t="str">
        <f t="shared" si="74"/>
        <v>New York</v>
      </c>
    </row>
    <row r="910" spans="1:22" x14ac:dyDescent="0.2">
      <c r="A910" t="s">
        <v>1285</v>
      </c>
      <c r="B910" s="5">
        <v>279</v>
      </c>
      <c r="C910" s="5">
        <v>0</v>
      </c>
      <c r="D910" s="5">
        <f t="shared" si="70"/>
        <v>279</v>
      </c>
      <c r="E910" s="6">
        <v>11.9475</v>
      </c>
      <c r="F910" s="6">
        <f t="shared" si="71"/>
        <v>3333.3525</v>
      </c>
      <c r="G910" t="s">
        <v>17</v>
      </c>
      <c r="H910">
        <v>9007</v>
      </c>
      <c r="I910" t="str">
        <f>IFERROR(_xlfn.XLOOKUP($A910,'Base SKUs'!$E:$E,'Base SKUs'!A:A),"")</f>
        <v>Ayous Dark</v>
      </c>
      <c r="J910" t="str">
        <f>IFERROR(_xlfn.XLOOKUP($A910,'Base SKUs'!$E:$E,'Base SKUs'!B:B),"")</f>
        <v>Ayous Dark 1x6</v>
      </c>
      <c r="K910" t="str">
        <f>IFERROR(_xlfn.XLOOKUP($A910,'Base SKUs'!$E:$E,'Base SKUs'!C:C),"")</f>
        <v>Short</v>
      </c>
      <c r="L910" t="str">
        <f>IFERROR(_xlfn.XLOOKUP($A910,'Base SKUs'!$E:$E,'Base SKUs'!D:D),"")</f>
        <v>Thermowood</v>
      </c>
      <c r="M910" t="str">
        <f>IFERROR(_xlfn.XLOOKUP($A910,'Base SKUs'!$E:$E,'Base SKUs'!G:G),"")</f>
        <v>Maximo Thermo Ayous Dark</v>
      </c>
      <c r="N910" t="str">
        <f>IFERROR(_xlfn.XLOOKUP($A910,'Base SKUs'!$E:$E,'Base SKUs'!H:H),"")</f>
        <v>VJoint - Square Back</v>
      </c>
      <c r="O910" t="str">
        <f>IFERROR(_xlfn.XLOOKUP($A910,'Base SKUs'!$E:$E,'Base SKUs'!I:I),"")</f>
        <v>-</v>
      </c>
      <c r="P910" t="str">
        <f>IFERROR(_xlfn.XLOOKUP($A910,'Base SKUs'!$E:$E,'Base SKUs'!J:J),"")</f>
        <v>1x6</v>
      </c>
      <c r="Q910">
        <f>IFERROR(_xlfn.XLOOKUP($A910,'Base SKUs'!$E:$E,'Base SKUs'!K:K),"")</f>
        <v>7</v>
      </c>
      <c r="R910" s="7">
        <f>IFERROR(_xlfn.XLOOKUP($A910,'Base SKUs'!$E:$E,'Base SKUs'!S:S),"")</f>
        <v>5.5859999999999998E-3</v>
      </c>
      <c r="S910" s="8">
        <f t="shared" si="72"/>
        <v>1.558494</v>
      </c>
      <c r="T910" s="7">
        <f>IFERROR(_xlfn.XLOOKUP($A910,'Base SKUs'!$E:$E,'Base SKUs'!R:R),"")</f>
        <v>1233.3979999999999</v>
      </c>
      <c r="U910" s="15">
        <f t="shared" si="73"/>
        <v>1922</v>
      </c>
      <c r="V910" t="str">
        <f t="shared" si="74"/>
        <v>Miami</v>
      </c>
    </row>
    <row r="911" spans="1:22" x14ac:dyDescent="0.2">
      <c r="A911" t="s">
        <v>1285</v>
      </c>
      <c r="B911" s="5">
        <v>483</v>
      </c>
      <c r="C911" s="5">
        <v>0</v>
      </c>
      <c r="D911" s="5">
        <f t="shared" si="70"/>
        <v>483</v>
      </c>
      <c r="E911" s="6">
        <v>11.9475</v>
      </c>
      <c r="F911" s="6">
        <f t="shared" si="71"/>
        <v>5770.6424999999999</v>
      </c>
      <c r="G911" t="s">
        <v>24</v>
      </c>
      <c r="H911">
        <v>9008</v>
      </c>
      <c r="I911" t="str">
        <f>IFERROR(_xlfn.XLOOKUP($A911,'Base SKUs'!$E:$E,'Base SKUs'!A:A),"")</f>
        <v>Ayous Dark</v>
      </c>
      <c r="J911" t="str">
        <f>IFERROR(_xlfn.XLOOKUP($A911,'Base SKUs'!$E:$E,'Base SKUs'!B:B),"")</f>
        <v>Ayous Dark 1x6</v>
      </c>
      <c r="K911" t="str">
        <f>IFERROR(_xlfn.XLOOKUP($A911,'Base SKUs'!$E:$E,'Base SKUs'!C:C),"")</f>
        <v>Short</v>
      </c>
      <c r="L911" t="str">
        <f>IFERROR(_xlfn.XLOOKUP($A911,'Base SKUs'!$E:$E,'Base SKUs'!D:D),"")</f>
        <v>Thermowood</v>
      </c>
      <c r="M911" t="str">
        <f>IFERROR(_xlfn.XLOOKUP($A911,'Base SKUs'!$E:$E,'Base SKUs'!G:G),"")</f>
        <v>Maximo Thermo Ayous Dark</v>
      </c>
      <c r="N911" t="str">
        <f>IFERROR(_xlfn.XLOOKUP($A911,'Base SKUs'!$E:$E,'Base SKUs'!H:H),"")</f>
        <v>VJoint - Square Back</v>
      </c>
      <c r="O911" t="str">
        <f>IFERROR(_xlfn.XLOOKUP($A911,'Base SKUs'!$E:$E,'Base SKUs'!I:I),"")</f>
        <v>-</v>
      </c>
      <c r="P911" t="str">
        <f>IFERROR(_xlfn.XLOOKUP($A911,'Base SKUs'!$E:$E,'Base SKUs'!J:J),"")</f>
        <v>1x6</v>
      </c>
      <c r="Q911">
        <f>IFERROR(_xlfn.XLOOKUP($A911,'Base SKUs'!$E:$E,'Base SKUs'!K:K),"")</f>
        <v>7</v>
      </c>
      <c r="R911" s="7">
        <f>IFERROR(_xlfn.XLOOKUP($A911,'Base SKUs'!$E:$E,'Base SKUs'!S:S),"")</f>
        <v>5.5859999999999998E-3</v>
      </c>
      <c r="S911" s="8">
        <f t="shared" si="72"/>
        <v>2.6980379999999999</v>
      </c>
      <c r="T911" s="7">
        <f>IFERROR(_xlfn.XLOOKUP($A911,'Base SKUs'!$E:$E,'Base SKUs'!R:R),"")</f>
        <v>1233.3979999999999</v>
      </c>
      <c r="U911" s="15">
        <f t="shared" si="73"/>
        <v>3328</v>
      </c>
      <c r="V911" t="str">
        <f t="shared" si="74"/>
        <v>Texas</v>
      </c>
    </row>
    <row r="912" spans="1:22" x14ac:dyDescent="0.2">
      <c r="A912" t="s">
        <v>1285</v>
      </c>
      <c r="B912" s="5">
        <v>812</v>
      </c>
      <c r="C912" s="5">
        <v>0</v>
      </c>
      <c r="D912" s="5">
        <f t="shared" si="70"/>
        <v>812</v>
      </c>
      <c r="E912" s="6">
        <v>11.9475</v>
      </c>
      <c r="F912" s="6">
        <f t="shared" si="71"/>
        <v>9701.369999999999</v>
      </c>
      <c r="G912" t="s">
        <v>330</v>
      </c>
      <c r="H912">
        <v>9011</v>
      </c>
      <c r="I912" t="str">
        <f>IFERROR(_xlfn.XLOOKUP($A912,'Base SKUs'!$E:$E,'Base SKUs'!A:A),"")</f>
        <v>Ayous Dark</v>
      </c>
      <c r="J912" t="str">
        <f>IFERROR(_xlfn.XLOOKUP($A912,'Base SKUs'!$E:$E,'Base SKUs'!B:B),"")</f>
        <v>Ayous Dark 1x6</v>
      </c>
      <c r="K912" t="str">
        <f>IFERROR(_xlfn.XLOOKUP($A912,'Base SKUs'!$E:$E,'Base SKUs'!C:C),"")</f>
        <v>Short</v>
      </c>
      <c r="L912" t="str">
        <f>IFERROR(_xlfn.XLOOKUP($A912,'Base SKUs'!$E:$E,'Base SKUs'!D:D),"")</f>
        <v>Thermowood</v>
      </c>
      <c r="M912" t="str">
        <f>IFERROR(_xlfn.XLOOKUP($A912,'Base SKUs'!$E:$E,'Base SKUs'!G:G),"")</f>
        <v>Maximo Thermo Ayous Dark</v>
      </c>
      <c r="N912" t="str">
        <f>IFERROR(_xlfn.XLOOKUP($A912,'Base SKUs'!$E:$E,'Base SKUs'!H:H),"")</f>
        <v>VJoint - Square Back</v>
      </c>
      <c r="O912" t="str">
        <f>IFERROR(_xlfn.XLOOKUP($A912,'Base SKUs'!$E:$E,'Base SKUs'!I:I),"")</f>
        <v>-</v>
      </c>
      <c r="P912" t="str">
        <f>IFERROR(_xlfn.XLOOKUP($A912,'Base SKUs'!$E:$E,'Base SKUs'!J:J),"")</f>
        <v>1x6</v>
      </c>
      <c r="Q912">
        <f>IFERROR(_xlfn.XLOOKUP($A912,'Base SKUs'!$E:$E,'Base SKUs'!K:K),"")</f>
        <v>7</v>
      </c>
      <c r="R912" s="7">
        <f>IFERROR(_xlfn.XLOOKUP($A912,'Base SKUs'!$E:$E,'Base SKUs'!S:S),"")</f>
        <v>5.5859999999999998E-3</v>
      </c>
      <c r="S912" s="8">
        <f t="shared" si="72"/>
        <v>4.5358320000000001</v>
      </c>
      <c r="T912" s="7">
        <f>IFERROR(_xlfn.XLOOKUP($A912,'Base SKUs'!$E:$E,'Base SKUs'!R:R),"")</f>
        <v>1233.3979999999999</v>
      </c>
      <c r="U912" s="15">
        <f t="shared" si="73"/>
        <v>5594</v>
      </c>
      <c r="V912" t="str">
        <f t="shared" si="74"/>
        <v>New York</v>
      </c>
    </row>
    <row r="913" spans="1:22" x14ac:dyDescent="0.2">
      <c r="A913" t="s">
        <v>1287</v>
      </c>
      <c r="B913" s="5">
        <v>245</v>
      </c>
      <c r="C913" s="5">
        <v>0</v>
      </c>
      <c r="D913" s="5">
        <f t="shared" si="70"/>
        <v>245</v>
      </c>
      <c r="E913" s="6">
        <v>13.654299999999999</v>
      </c>
      <c r="F913" s="6">
        <f t="shared" si="71"/>
        <v>3345.3035</v>
      </c>
      <c r="G913" t="s">
        <v>24</v>
      </c>
      <c r="H913">
        <v>9008</v>
      </c>
      <c r="I913" t="str">
        <f>IFERROR(_xlfn.XLOOKUP($A913,'Base SKUs'!$E:$E,'Base SKUs'!A:A),"")</f>
        <v>Ayous Dark</v>
      </c>
      <c r="J913" t="str">
        <f>IFERROR(_xlfn.XLOOKUP($A913,'Base SKUs'!$E:$E,'Base SKUs'!B:B),"")</f>
        <v>Ayous Dark 1x6</v>
      </c>
      <c r="K913" t="str">
        <f>IFERROR(_xlfn.XLOOKUP($A913,'Base SKUs'!$E:$E,'Base SKUs'!C:C),"")</f>
        <v>Long</v>
      </c>
      <c r="L913" t="str">
        <f>IFERROR(_xlfn.XLOOKUP($A913,'Base SKUs'!$E:$E,'Base SKUs'!D:D),"")</f>
        <v>Thermowood</v>
      </c>
      <c r="M913" t="str">
        <f>IFERROR(_xlfn.XLOOKUP($A913,'Base SKUs'!$E:$E,'Base SKUs'!G:G),"")</f>
        <v>Maximo Thermo Ayous Dark</v>
      </c>
      <c r="N913" t="str">
        <f>IFERROR(_xlfn.XLOOKUP($A913,'Base SKUs'!$E:$E,'Base SKUs'!H:H),"")</f>
        <v>VJoint - Square Back</v>
      </c>
      <c r="O913" t="str">
        <f>IFERROR(_xlfn.XLOOKUP($A913,'Base SKUs'!$E:$E,'Base SKUs'!I:I),"")</f>
        <v>-</v>
      </c>
      <c r="P913" t="str">
        <f>IFERROR(_xlfn.XLOOKUP($A913,'Base SKUs'!$E:$E,'Base SKUs'!J:J),"")</f>
        <v>1x6</v>
      </c>
      <c r="Q913">
        <f>IFERROR(_xlfn.XLOOKUP($A913,'Base SKUs'!$E:$E,'Base SKUs'!K:K),"")</f>
        <v>8</v>
      </c>
      <c r="R913" s="7">
        <f>IFERROR(_xlfn.XLOOKUP($A913,'Base SKUs'!$E:$E,'Base SKUs'!S:S),"")</f>
        <v>6.3839999999999999E-3</v>
      </c>
      <c r="S913" s="8">
        <f t="shared" si="72"/>
        <v>1.5640799999999999</v>
      </c>
      <c r="T913" s="7">
        <f>IFERROR(_xlfn.XLOOKUP($A913,'Base SKUs'!$E:$E,'Base SKUs'!R:R),"")</f>
        <v>1233.3979999999999</v>
      </c>
      <c r="U913" s="15">
        <f t="shared" si="73"/>
        <v>1929</v>
      </c>
      <c r="V913" t="str">
        <f t="shared" si="74"/>
        <v>Texas</v>
      </c>
    </row>
    <row r="914" spans="1:22" x14ac:dyDescent="0.2">
      <c r="A914" t="s">
        <v>1287</v>
      </c>
      <c r="B914" s="5">
        <v>12</v>
      </c>
      <c r="C914" s="5">
        <v>1</v>
      </c>
      <c r="D914" s="5">
        <f t="shared" si="70"/>
        <v>11</v>
      </c>
      <c r="E914" s="6">
        <v>13.654299999999999</v>
      </c>
      <c r="F914" s="6">
        <f t="shared" si="71"/>
        <v>163.85159999999999</v>
      </c>
      <c r="G914" t="s">
        <v>330</v>
      </c>
      <c r="H914">
        <v>9011</v>
      </c>
      <c r="I914" t="str">
        <f>IFERROR(_xlfn.XLOOKUP($A914,'Base SKUs'!$E:$E,'Base SKUs'!A:A),"")</f>
        <v>Ayous Dark</v>
      </c>
      <c r="J914" t="str">
        <f>IFERROR(_xlfn.XLOOKUP($A914,'Base SKUs'!$E:$E,'Base SKUs'!B:B),"")</f>
        <v>Ayous Dark 1x6</v>
      </c>
      <c r="K914" t="str">
        <f>IFERROR(_xlfn.XLOOKUP($A914,'Base SKUs'!$E:$E,'Base SKUs'!C:C),"")</f>
        <v>Long</v>
      </c>
      <c r="L914" t="str">
        <f>IFERROR(_xlfn.XLOOKUP($A914,'Base SKUs'!$E:$E,'Base SKUs'!D:D),"")</f>
        <v>Thermowood</v>
      </c>
      <c r="M914" t="str">
        <f>IFERROR(_xlfn.XLOOKUP($A914,'Base SKUs'!$E:$E,'Base SKUs'!G:G),"")</f>
        <v>Maximo Thermo Ayous Dark</v>
      </c>
      <c r="N914" t="str">
        <f>IFERROR(_xlfn.XLOOKUP($A914,'Base SKUs'!$E:$E,'Base SKUs'!H:H),"")</f>
        <v>VJoint - Square Back</v>
      </c>
      <c r="O914" t="str">
        <f>IFERROR(_xlfn.XLOOKUP($A914,'Base SKUs'!$E:$E,'Base SKUs'!I:I),"")</f>
        <v>-</v>
      </c>
      <c r="P914" t="str">
        <f>IFERROR(_xlfn.XLOOKUP($A914,'Base SKUs'!$E:$E,'Base SKUs'!J:J),"")</f>
        <v>1x6</v>
      </c>
      <c r="Q914">
        <f>IFERROR(_xlfn.XLOOKUP($A914,'Base SKUs'!$E:$E,'Base SKUs'!K:K),"")</f>
        <v>8</v>
      </c>
      <c r="R914" s="7">
        <f>IFERROR(_xlfn.XLOOKUP($A914,'Base SKUs'!$E:$E,'Base SKUs'!S:S),"")</f>
        <v>6.3839999999999999E-3</v>
      </c>
      <c r="S914" s="8">
        <f t="shared" si="72"/>
        <v>7.0223999999999995E-2</v>
      </c>
      <c r="T914" s="7">
        <f>IFERROR(_xlfn.XLOOKUP($A914,'Base SKUs'!$E:$E,'Base SKUs'!R:R),"")</f>
        <v>1233.3979999999999</v>
      </c>
      <c r="U914" s="15">
        <f t="shared" si="73"/>
        <v>87</v>
      </c>
      <c r="V914" t="str">
        <f t="shared" si="74"/>
        <v>New York</v>
      </c>
    </row>
    <row r="915" spans="1:22" x14ac:dyDescent="0.2">
      <c r="A915" t="s">
        <v>1289</v>
      </c>
      <c r="B915" s="5">
        <v>173</v>
      </c>
      <c r="C915" s="5">
        <v>0</v>
      </c>
      <c r="D915" s="5">
        <f t="shared" si="70"/>
        <v>173</v>
      </c>
      <c r="E915" s="6">
        <v>15.3611</v>
      </c>
      <c r="F915" s="6">
        <f t="shared" si="71"/>
        <v>2657.4703</v>
      </c>
      <c r="G915" t="s">
        <v>24</v>
      </c>
      <c r="H915">
        <v>9008</v>
      </c>
      <c r="I915" t="str">
        <f>IFERROR(_xlfn.XLOOKUP($A915,'Base SKUs'!$E:$E,'Base SKUs'!A:A),"")</f>
        <v>Ayous Dark</v>
      </c>
      <c r="J915" t="str">
        <f>IFERROR(_xlfn.XLOOKUP($A915,'Base SKUs'!$E:$E,'Base SKUs'!B:B),"")</f>
        <v>Ayous Dark 1x6</v>
      </c>
      <c r="K915" t="str">
        <f>IFERROR(_xlfn.XLOOKUP($A915,'Base SKUs'!$E:$E,'Base SKUs'!C:C),"")</f>
        <v>Long</v>
      </c>
      <c r="L915" t="str">
        <f>IFERROR(_xlfn.XLOOKUP($A915,'Base SKUs'!$E:$E,'Base SKUs'!D:D),"")</f>
        <v>Thermowood</v>
      </c>
      <c r="M915" t="str">
        <f>IFERROR(_xlfn.XLOOKUP($A915,'Base SKUs'!$E:$E,'Base SKUs'!G:G),"")</f>
        <v>Maximo Thermo Ayous Dark</v>
      </c>
      <c r="N915" t="str">
        <f>IFERROR(_xlfn.XLOOKUP($A915,'Base SKUs'!$E:$E,'Base SKUs'!H:H),"")</f>
        <v>VJoint - Square Back</v>
      </c>
      <c r="O915" t="str">
        <f>IFERROR(_xlfn.XLOOKUP($A915,'Base SKUs'!$E:$E,'Base SKUs'!I:I),"")</f>
        <v>-</v>
      </c>
      <c r="P915" t="str">
        <f>IFERROR(_xlfn.XLOOKUP($A915,'Base SKUs'!$E:$E,'Base SKUs'!J:J),"")</f>
        <v>1x6</v>
      </c>
      <c r="Q915">
        <f>IFERROR(_xlfn.XLOOKUP($A915,'Base SKUs'!$E:$E,'Base SKUs'!K:K),"")</f>
        <v>9</v>
      </c>
      <c r="R915" s="7">
        <f>IFERROR(_xlfn.XLOOKUP($A915,'Base SKUs'!$E:$E,'Base SKUs'!S:S),"")</f>
        <v>7.182E-3</v>
      </c>
      <c r="S915" s="8">
        <f t="shared" si="72"/>
        <v>1.242486</v>
      </c>
      <c r="T915" s="7">
        <f>IFERROR(_xlfn.XLOOKUP($A915,'Base SKUs'!$E:$E,'Base SKUs'!R:R),"")</f>
        <v>1233.3979999999999</v>
      </c>
      <c r="U915" s="15">
        <f t="shared" si="73"/>
        <v>1532</v>
      </c>
      <c r="V915" t="str">
        <f t="shared" si="74"/>
        <v>Texas</v>
      </c>
    </row>
    <row r="916" spans="1:22" x14ac:dyDescent="0.2">
      <c r="A916" t="s">
        <v>1289</v>
      </c>
      <c r="B916" s="5">
        <v>218</v>
      </c>
      <c r="C916" s="5">
        <v>0</v>
      </c>
      <c r="D916" s="5">
        <f t="shared" si="70"/>
        <v>218</v>
      </c>
      <c r="E916" s="6">
        <v>15.3611</v>
      </c>
      <c r="F916" s="6">
        <f t="shared" si="71"/>
        <v>3348.7198000000003</v>
      </c>
      <c r="G916" t="s">
        <v>330</v>
      </c>
      <c r="H916">
        <v>9011</v>
      </c>
      <c r="I916" t="str">
        <f>IFERROR(_xlfn.XLOOKUP($A916,'Base SKUs'!$E:$E,'Base SKUs'!A:A),"")</f>
        <v>Ayous Dark</v>
      </c>
      <c r="J916" t="str">
        <f>IFERROR(_xlfn.XLOOKUP($A916,'Base SKUs'!$E:$E,'Base SKUs'!B:B),"")</f>
        <v>Ayous Dark 1x6</v>
      </c>
      <c r="K916" t="str">
        <f>IFERROR(_xlfn.XLOOKUP($A916,'Base SKUs'!$E:$E,'Base SKUs'!C:C),"")</f>
        <v>Long</v>
      </c>
      <c r="L916" t="str">
        <f>IFERROR(_xlfn.XLOOKUP($A916,'Base SKUs'!$E:$E,'Base SKUs'!D:D),"")</f>
        <v>Thermowood</v>
      </c>
      <c r="M916" t="str">
        <f>IFERROR(_xlfn.XLOOKUP($A916,'Base SKUs'!$E:$E,'Base SKUs'!G:G),"")</f>
        <v>Maximo Thermo Ayous Dark</v>
      </c>
      <c r="N916" t="str">
        <f>IFERROR(_xlfn.XLOOKUP($A916,'Base SKUs'!$E:$E,'Base SKUs'!H:H),"")</f>
        <v>VJoint - Square Back</v>
      </c>
      <c r="O916" t="str">
        <f>IFERROR(_xlfn.XLOOKUP($A916,'Base SKUs'!$E:$E,'Base SKUs'!I:I),"")</f>
        <v>-</v>
      </c>
      <c r="P916" t="str">
        <f>IFERROR(_xlfn.XLOOKUP($A916,'Base SKUs'!$E:$E,'Base SKUs'!J:J),"")</f>
        <v>1x6</v>
      </c>
      <c r="Q916">
        <f>IFERROR(_xlfn.XLOOKUP($A916,'Base SKUs'!$E:$E,'Base SKUs'!K:K),"")</f>
        <v>9</v>
      </c>
      <c r="R916" s="7">
        <f>IFERROR(_xlfn.XLOOKUP($A916,'Base SKUs'!$E:$E,'Base SKUs'!S:S),"")</f>
        <v>7.182E-3</v>
      </c>
      <c r="S916" s="8">
        <f t="shared" si="72"/>
        <v>1.5656760000000001</v>
      </c>
      <c r="T916" s="7">
        <f>IFERROR(_xlfn.XLOOKUP($A916,'Base SKUs'!$E:$E,'Base SKUs'!R:R),"")</f>
        <v>1233.3979999999999</v>
      </c>
      <c r="U916" s="15">
        <f t="shared" si="73"/>
        <v>1931</v>
      </c>
      <c r="V916" t="str">
        <f t="shared" si="74"/>
        <v>New York</v>
      </c>
    </row>
    <row r="917" spans="1:22" x14ac:dyDescent="0.2">
      <c r="A917" t="s">
        <v>1291</v>
      </c>
      <c r="B917" s="5">
        <v>175</v>
      </c>
      <c r="C917" s="5">
        <v>42</v>
      </c>
      <c r="D917" s="5">
        <f t="shared" si="70"/>
        <v>133</v>
      </c>
      <c r="E917" s="6">
        <v>23.5749</v>
      </c>
      <c r="F917" s="6">
        <f t="shared" si="71"/>
        <v>4125.6075000000001</v>
      </c>
      <c r="G917" t="s">
        <v>17</v>
      </c>
      <c r="H917">
        <v>9007</v>
      </c>
      <c r="I917" t="str">
        <f>IFERROR(_xlfn.XLOOKUP($A917,'Base SKUs'!$E:$E,'Base SKUs'!A:A),"")</f>
        <v>Ayous JPL</v>
      </c>
      <c r="J917" t="str">
        <f>IFERROR(_xlfn.XLOOKUP($A917,'Base SKUs'!$E:$E,'Base SKUs'!B:B),"")</f>
        <v>Ayous JPL 1x8</v>
      </c>
      <c r="K917" t="str">
        <f>IFERROR(_xlfn.XLOOKUP($A917,'Base SKUs'!$E:$E,'Base SKUs'!C:C),"")</f>
        <v>Long</v>
      </c>
      <c r="L917" t="str">
        <f>IFERROR(_xlfn.XLOOKUP($A917,'Base SKUs'!$E:$E,'Base SKUs'!D:D),"")</f>
        <v>Thermowood</v>
      </c>
      <c r="M917" t="str">
        <f>IFERROR(_xlfn.XLOOKUP($A917,'Base SKUs'!$E:$E,'Base SKUs'!G:G),"")</f>
        <v>Maximo Thermo Ayous JPL</v>
      </c>
      <c r="N917" t="str">
        <f>IFERROR(_xlfn.XLOOKUP($A917,'Base SKUs'!$E:$E,'Base SKUs'!H:H),"")</f>
        <v>S4S E4E</v>
      </c>
      <c r="O917" t="str">
        <f>IFERROR(_xlfn.XLOOKUP($A917,'Base SKUs'!$E:$E,'Base SKUs'!I:I),"")</f>
        <v>-</v>
      </c>
      <c r="P917" t="str">
        <f>IFERROR(_xlfn.XLOOKUP($A917,'Base SKUs'!$E:$E,'Base SKUs'!J:J),"")</f>
        <v>1x8</v>
      </c>
      <c r="Q917">
        <f>IFERROR(_xlfn.XLOOKUP($A917,'Base SKUs'!$E:$E,'Base SKUs'!K:K),"")</f>
        <v>10</v>
      </c>
      <c r="R917" s="7">
        <f>IFERROR(_xlfn.XLOOKUP($A917,'Base SKUs'!$E:$E,'Base SKUs'!S:S),"")</f>
        <v>1.0699575374999997E-2</v>
      </c>
      <c r="S917" s="8">
        <f t="shared" si="72"/>
        <v>1.4230435248749997</v>
      </c>
      <c r="T917" s="7">
        <f>IFERROR(_xlfn.XLOOKUP($A917,'Base SKUs'!$E:$E,'Base SKUs'!R:R),"")</f>
        <v>935.23</v>
      </c>
      <c r="U917" s="15">
        <f t="shared" si="73"/>
        <v>1331</v>
      </c>
      <c r="V917" t="str">
        <f t="shared" si="74"/>
        <v>Miami</v>
      </c>
    </row>
    <row r="918" spans="1:22" x14ac:dyDescent="0.2">
      <c r="A918" t="s">
        <v>1291</v>
      </c>
      <c r="B918" s="5">
        <v>833</v>
      </c>
      <c r="C918" s="5">
        <v>0</v>
      </c>
      <c r="D918" s="5">
        <f t="shared" si="70"/>
        <v>833</v>
      </c>
      <c r="E918" s="6">
        <v>23.847899999999999</v>
      </c>
      <c r="F918" s="6">
        <f t="shared" si="71"/>
        <v>19865.3007</v>
      </c>
      <c r="G918" t="s">
        <v>24</v>
      </c>
      <c r="H918">
        <v>9008</v>
      </c>
      <c r="I918" t="str">
        <f>IFERROR(_xlfn.XLOOKUP($A918,'Base SKUs'!$E:$E,'Base SKUs'!A:A),"")</f>
        <v>Ayous JPL</v>
      </c>
      <c r="J918" t="str">
        <f>IFERROR(_xlfn.XLOOKUP($A918,'Base SKUs'!$E:$E,'Base SKUs'!B:B),"")</f>
        <v>Ayous JPL 1x8</v>
      </c>
      <c r="K918" t="str">
        <f>IFERROR(_xlfn.XLOOKUP($A918,'Base SKUs'!$E:$E,'Base SKUs'!C:C),"")</f>
        <v>Long</v>
      </c>
      <c r="L918" t="str">
        <f>IFERROR(_xlfn.XLOOKUP($A918,'Base SKUs'!$E:$E,'Base SKUs'!D:D),"")</f>
        <v>Thermowood</v>
      </c>
      <c r="M918" t="str">
        <f>IFERROR(_xlfn.XLOOKUP($A918,'Base SKUs'!$E:$E,'Base SKUs'!G:G),"")</f>
        <v>Maximo Thermo Ayous JPL</v>
      </c>
      <c r="N918" t="str">
        <f>IFERROR(_xlfn.XLOOKUP($A918,'Base SKUs'!$E:$E,'Base SKUs'!H:H),"")</f>
        <v>S4S E4E</v>
      </c>
      <c r="O918" t="str">
        <f>IFERROR(_xlfn.XLOOKUP($A918,'Base SKUs'!$E:$E,'Base SKUs'!I:I),"")</f>
        <v>-</v>
      </c>
      <c r="P918" t="str">
        <f>IFERROR(_xlfn.XLOOKUP($A918,'Base SKUs'!$E:$E,'Base SKUs'!J:J),"")</f>
        <v>1x8</v>
      </c>
      <c r="Q918">
        <f>IFERROR(_xlfn.XLOOKUP($A918,'Base SKUs'!$E:$E,'Base SKUs'!K:K),"")</f>
        <v>10</v>
      </c>
      <c r="R918" s="7">
        <f>IFERROR(_xlfn.XLOOKUP($A918,'Base SKUs'!$E:$E,'Base SKUs'!S:S),"")</f>
        <v>1.0699575374999997E-2</v>
      </c>
      <c r="S918" s="8">
        <f t="shared" si="72"/>
        <v>8.9127462873749987</v>
      </c>
      <c r="T918" s="7">
        <f>IFERROR(_xlfn.XLOOKUP($A918,'Base SKUs'!$E:$E,'Base SKUs'!R:R),"")</f>
        <v>935.23</v>
      </c>
      <c r="U918" s="15">
        <f t="shared" si="73"/>
        <v>8335</v>
      </c>
      <c r="V918" t="str">
        <f t="shared" si="74"/>
        <v>Texas</v>
      </c>
    </row>
    <row r="919" spans="1:22" x14ac:dyDescent="0.2">
      <c r="A919" t="s">
        <v>1291</v>
      </c>
      <c r="B919" s="5">
        <v>98</v>
      </c>
      <c r="C919" s="5">
        <v>0</v>
      </c>
      <c r="D919" s="5">
        <f t="shared" si="70"/>
        <v>98</v>
      </c>
      <c r="E919" s="6">
        <v>25.263000000000002</v>
      </c>
      <c r="F919" s="6">
        <f t="shared" si="71"/>
        <v>2475.7740000000003</v>
      </c>
      <c r="G919" t="s">
        <v>6145</v>
      </c>
      <c r="H919">
        <v>9010</v>
      </c>
      <c r="I919" t="str">
        <f>IFERROR(_xlfn.XLOOKUP($A919,'Base SKUs'!$E:$E,'Base SKUs'!A:A),"")</f>
        <v>Ayous JPL</v>
      </c>
      <c r="J919" t="str">
        <f>IFERROR(_xlfn.XLOOKUP($A919,'Base SKUs'!$E:$E,'Base SKUs'!B:B),"")</f>
        <v>Ayous JPL 1x8</v>
      </c>
      <c r="K919" t="str">
        <f>IFERROR(_xlfn.XLOOKUP($A919,'Base SKUs'!$E:$E,'Base SKUs'!C:C),"")</f>
        <v>Long</v>
      </c>
      <c r="L919" t="str">
        <f>IFERROR(_xlfn.XLOOKUP($A919,'Base SKUs'!$E:$E,'Base SKUs'!D:D),"")</f>
        <v>Thermowood</v>
      </c>
      <c r="M919" t="str">
        <f>IFERROR(_xlfn.XLOOKUP($A919,'Base SKUs'!$E:$E,'Base SKUs'!G:G),"")</f>
        <v>Maximo Thermo Ayous JPL</v>
      </c>
      <c r="N919" t="str">
        <f>IFERROR(_xlfn.XLOOKUP($A919,'Base SKUs'!$E:$E,'Base SKUs'!H:H),"")</f>
        <v>S4S E4E</v>
      </c>
      <c r="O919" t="str">
        <f>IFERROR(_xlfn.XLOOKUP($A919,'Base SKUs'!$E:$E,'Base SKUs'!I:I),"")</f>
        <v>-</v>
      </c>
      <c r="P919" t="str">
        <f>IFERROR(_xlfn.XLOOKUP($A919,'Base SKUs'!$E:$E,'Base SKUs'!J:J),"")</f>
        <v>1x8</v>
      </c>
      <c r="Q919">
        <f>IFERROR(_xlfn.XLOOKUP($A919,'Base SKUs'!$E:$E,'Base SKUs'!K:K),"")</f>
        <v>10</v>
      </c>
      <c r="R919" s="7">
        <f>IFERROR(_xlfn.XLOOKUP($A919,'Base SKUs'!$E:$E,'Base SKUs'!S:S),"")</f>
        <v>1.0699575374999997E-2</v>
      </c>
      <c r="S919" s="8">
        <f t="shared" si="72"/>
        <v>1.0485583867499997</v>
      </c>
      <c r="T919" s="7">
        <f>IFERROR(_xlfn.XLOOKUP($A919,'Base SKUs'!$E:$E,'Base SKUs'!R:R),"")</f>
        <v>935.23</v>
      </c>
      <c r="U919" s="15">
        <f t="shared" si="73"/>
        <v>981</v>
      </c>
      <c r="V919" t="str">
        <f t="shared" si="74"/>
        <v>BS Detroit</v>
      </c>
    </row>
    <row r="920" spans="1:22" x14ac:dyDescent="0.2">
      <c r="A920" t="s">
        <v>1291</v>
      </c>
      <c r="B920" s="5">
        <v>294</v>
      </c>
      <c r="C920" s="5">
        <v>0</v>
      </c>
      <c r="D920" s="5">
        <f t="shared" si="70"/>
        <v>294</v>
      </c>
      <c r="E920" s="6">
        <v>24.128799999999998</v>
      </c>
      <c r="F920" s="6">
        <f t="shared" si="71"/>
        <v>7093.8671999999997</v>
      </c>
      <c r="G920" t="s">
        <v>500</v>
      </c>
      <c r="H920">
        <v>9012</v>
      </c>
      <c r="I920" t="str">
        <f>IFERROR(_xlfn.XLOOKUP($A920,'Base SKUs'!$E:$E,'Base SKUs'!A:A),"")</f>
        <v>Ayous JPL</v>
      </c>
      <c r="J920" t="str">
        <f>IFERROR(_xlfn.XLOOKUP($A920,'Base SKUs'!$E:$E,'Base SKUs'!B:B),"")</f>
        <v>Ayous JPL 1x8</v>
      </c>
      <c r="K920" t="str">
        <f>IFERROR(_xlfn.XLOOKUP($A920,'Base SKUs'!$E:$E,'Base SKUs'!C:C),"")</f>
        <v>Long</v>
      </c>
      <c r="L920" t="str">
        <f>IFERROR(_xlfn.XLOOKUP($A920,'Base SKUs'!$E:$E,'Base SKUs'!D:D),"")</f>
        <v>Thermowood</v>
      </c>
      <c r="M920" t="str">
        <f>IFERROR(_xlfn.XLOOKUP($A920,'Base SKUs'!$E:$E,'Base SKUs'!G:G),"")</f>
        <v>Maximo Thermo Ayous JPL</v>
      </c>
      <c r="N920" t="str">
        <f>IFERROR(_xlfn.XLOOKUP($A920,'Base SKUs'!$E:$E,'Base SKUs'!H:H),"")</f>
        <v>S4S E4E</v>
      </c>
      <c r="O920" t="str">
        <f>IFERROR(_xlfn.XLOOKUP($A920,'Base SKUs'!$E:$E,'Base SKUs'!I:I),"")</f>
        <v>-</v>
      </c>
      <c r="P920" t="str">
        <f>IFERROR(_xlfn.XLOOKUP($A920,'Base SKUs'!$E:$E,'Base SKUs'!J:J),"")</f>
        <v>1x8</v>
      </c>
      <c r="Q920">
        <f>IFERROR(_xlfn.XLOOKUP($A920,'Base SKUs'!$E:$E,'Base SKUs'!K:K),"")</f>
        <v>10</v>
      </c>
      <c r="R920" s="7">
        <f>IFERROR(_xlfn.XLOOKUP($A920,'Base SKUs'!$E:$E,'Base SKUs'!S:S),"")</f>
        <v>1.0699575374999997E-2</v>
      </c>
      <c r="S920" s="8">
        <f t="shared" si="72"/>
        <v>3.1456751602499993</v>
      </c>
      <c r="T920" s="7">
        <f>IFERROR(_xlfn.XLOOKUP($A920,'Base SKUs'!$E:$E,'Base SKUs'!R:R),"")</f>
        <v>935.23</v>
      </c>
      <c r="U920" s="15">
        <f t="shared" si="73"/>
        <v>2942</v>
      </c>
      <c r="V920" t="str">
        <f t="shared" si="74"/>
        <v>HW Perris</v>
      </c>
    </row>
    <row r="921" spans="1:22" x14ac:dyDescent="0.2">
      <c r="A921" t="s">
        <v>1293</v>
      </c>
      <c r="B921" s="5">
        <v>560</v>
      </c>
      <c r="C921" s="5">
        <v>140</v>
      </c>
      <c r="D921" s="5">
        <f t="shared" si="70"/>
        <v>420</v>
      </c>
      <c r="E921" s="6">
        <v>25.932500000000001</v>
      </c>
      <c r="F921" s="6">
        <f t="shared" si="71"/>
        <v>14522.2</v>
      </c>
      <c r="G921" t="s">
        <v>17</v>
      </c>
      <c r="H921">
        <v>9007</v>
      </c>
      <c r="I921" t="str">
        <f>IFERROR(_xlfn.XLOOKUP($A921,'Base SKUs'!$E:$E,'Base SKUs'!A:A),"")</f>
        <v>Ayous JPL</v>
      </c>
      <c r="J921" t="str">
        <f>IFERROR(_xlfn.XLOOKUP($A921,'Base SKUs'!$E:$E,'Base SKUs'!B:B),"")</f>
        <v>Ayous JPL 1x8</v>
      </c>
      <c r="K921" t="str">
        <f>IFERROR(_xlfn.XLOOKUP($A921,'Base SKUs'!$E:$E,'Base SKUs'!C:C),"")</f>
        <v>Long</v>
      </c>
      <c r="L921" t="str">
        <f>IFERROR(_xlfn.XLOOKUP($A921,'Base SKUs'!$E:$E,'Base SKUs'!D:D),"")</f>
        <v>Thermowood</v>
      </c>
      <c r="M921" t="str">
        <f>IFERROR(_xlfn.XLOOKUP($A921,'Base SKUs'!$E:$E,'Base SKUs'!G:G),"")</f>
        <v>Maximo Thermo Ayous JPL</v>
      </c>
      <c r="N921" t="str">
        <f>IFERROR(_xlfn.XLOOKUP($A921,'Base SKUs'!$E:$E,'Base SKUs'!H:H),"")</f>
        <v>S4S E4E</v>
      </c>
      <c r="O921" t="str">
        <f>IFERROR(_xlfn.XLOOKUP($A921,'Base SKUs'!$E:$E,'Base SKUs'!I:I),"")</f>
        <v>-</v>
      </c>
      <c r="P921" t="str">
        <f>IFERROR(_xlfn.XLOOKUP($A921,'Base SKUs'!$E:$E,'Base SKUs'!J:J),"")</f>
        <v>1x8</v>
      </c>
      <c r="Q921">
        <f>IFERROR(_xlfn.XLOOKUP($A921,'Base SKUs'!$E:$E,'Base SKUs'!K:K),"")</f>
        <v>11</v>
      </c>
      <c r="R921" s="7">
        <f>IFERROR(_xlfn.XLOOKUP($A921,'Base SKUs'!$E:$E,'Base SKUs'!S:S),"")</f>
        <v>1.1751992624999997E-2</v>
      </c>
      <c r="S921" s="8">
        <f t="shared" si="72"/>
        <v>4.9358369024999984</v>
      </c>
      <c r="T921" s="7">
        <f>IFERROR(_xlfn.XLOOKUP($A921,'Base SKUs'!$E:$E,'Base SKUs'!R:R),"")</f>
        <v>935.23</v>
      </c>
      <c r="U921" s="15">
        <f t="shared" si="73"/>
        <v>4616</v>
      </c>
      <c r="V921" t="str">
        <f t="shared" si="74"/>
        <v>Miami</v>
      </c>
    </row>
    <row r="922" spans="1:22" x14ac:dyDescent="0.2">
      <c r="A922" t="s">
        <v>1293</v>
      </c>
      <c r="B922" s="5">
        <v>294</v>
      </c>
      <c r="C922" s="5">
        <v>0</v>
      </c>
      <c r="D922" s="5">
        <f t="shared" si="70"/>
        <v>294</v>
      </c>
      <c r="E922" s="6">
        <v>26.541599999999999</v>
      </c>
      <c r="F922" s="6">
        <f t="shared" si="71"/>
        <v>7803.2303999999995</v>
      </c>
      <c r="G922" t="s">
        <v>500</v>
      </c>
      <c r="H922">
        <v>9012</v>
      </c>
      <c r="I922" t="str">
        <f>IFERROR(_xlfn.XLOOKUP($A922,'Base SKUs'!$E:$E,'Base SKUs'!A:A),"")</f>
        <v>Ayous JPL</v>
      </c>
      <c r="J922" t="str">
        <f>IFERROR(_xlfn.XLOOKUP($A922,'Base SKUs'!$E:$E,'Base SKUs'!B:B),"")</f>
        <v>Ayous JPL 1x8</v>
      </c>
      <c r="K922" t="str">
        <f>IFERROR(_xlfn.XLOOKUP($A922,'Base SKUs'!$E:$E,'Base SKUs'!C:C),"")</f>
        <v>Long</v>
      </c>
      <c r="L922" t="str">
        <f>IFERROR(_xlfn.XLOOKUP($A922,'Base SKUs'!$E:$E,'Base SKUs'!D:D),"")</f>
        <v>Thermowood</v>
      </c>
      <c r="M922" t="str">
        <f>IFERROR(_xlfn.XLOOKUP($A922,'Base SKUs'!$E:$E,'Base SKUs'!G:G),"")</f>
        <v>Maximo Thermo Ayous JPL</v>
      </c>
      <c r="N922" t="str">
        <f>IFERROR(_xlfn.XLOOKUP($A922,'Base SKUs'!$E:$E,'Base SKUs'!H:H),"")</f>
        <v>S4S E4E</v>
      </c>
      <c r="O922" t="str">
        <f>IFERROR(_xlfn.XLOOKUP($A922,'Base SKUs'!$E:$E,'Base SKUs'!I:I),"")</f>
        <v>-</v>
      </c>
      <c r="P922" t="str">
        <f>IFERROR(_xlfn.XLOOKUP($A922,'Base SKUs'!$E:$E,'Base SKUs'!J:J),"")</f>
        <v>1x8</v>
      </c>
      <c r="Q922">
        <f>IFERROR(_xlfn.XLOOKUP($A922,'Base SKUs'!$E:$E,'Base SKUs'!K:K),"")</f>
        <v>11</v>
      </c>
      <c r="R922" s="7">
        <f>IFERROR(_xlfn.XLOOKUP($A922,'Base SKUs'!$E:$E,'Base SKUs'!S:S),"")</f>
        <v>1.1751992624999997E-2</v>
      </c>
      <c r="S922" s="8">
        <f t="shared" si="72"/>
        <v>3.4550858317499991</v>
      </c>
      <c r="T922" s="7">
        <f>IFERROR(_xlfn.XLOOKUP($A922,'Base SKUs'!$E:$E,'Base SKUs'!R:R),"")</f>
        <v>935.23</v>
      </c>
      <c r="U922" s="15">
        <f t="shared" si="73"/>
        <v>3231</v>
      </c>
      <c r="V922" t="str">
        <f t="shared" si="74"/>
        <v>HW Perris</v>
      </c>
    </row>
    <row r="923" spans="1:22" x14ac:dyDescent="0.2">
      <c r="A923" t="s">
        <v>1295</v>
      </c>
      <c r="B923" s="5">
        <v>644</v>
      </c>
      <c r="C923" s="5">
        <v>154</v>
      </c>
      <c r="D923" s="5">
        <f t="shared" si="70"/>
        <v>490</v>
      </c>
      <c r="E923" s="6">
        <v>28.29</v>
      </c>
      <c r="F923" s="6">
        <f t="shared" si="71"/>
        <v>18218.759999999998</v>
      </c>
      <c r="G923" t="s">
        <v>17</v>
      </c>
      <c r="H923">
        <v>9007</v>
      </c>
      <c r="I923" t="str">
        <f>IFERROR(_xlfn.XLOOKUP($A923,'Base SKUs'!$E:$E,'Base SKUs'!A:A),"")</f>
        <v>Ayous JPL</v>
      </c>
      <c r="J923" t="str">
        <f>IFERROR(_xlfn.XLOOKUP($A923,'Base SKUs'!$E:$E,'Base SKUs'!B:B),"")</f>
        <v>Ayous JPL 1x8</v>
      </c>
      <c r="K923" t="str">
        <f>IFERROR(_xlfn.XLOOKUP($A923,'Base SKUs'!$E:$E,'Base SKUs'!C:C),"")</f>
        <v>Long</v>
      </c>
      <c r="L923" t="str">
        <f>IFERROR(_xlfn.XLOOKUP($A923,'Base SKUs'!$E:$E,'Base SKUs'!D:D),"")</f>
        <v>Thermowood</v>
      </c>
      <c r="M923" t="str">
        <f>IFERROR(_xlfn.XLOOKUP($A923,'Base SKUs'!$E:$E,'Base SKUs'!G:G),"")</f>
        <v>Maximo Thermo Ayous JPL</v>
      </c>
      <c r="N923" t="str">
        <f>IFERROR(_xlfn.XLOOKUP($A923,'Base SKUs'!$E:$E,'Base SKUs'!H:H),"")</f>
        <v>S4S E4E</v>
      </c>
      <c r="O923" t="str">
        <f>IFERROR(_xlfn.XLOOKUP($A923,'Base SKUs'!$E:$E,'Base SKUs'!I:I),"")</f>
        <v>-</v>
      </c>
      <c r="P923" t="str">
        <f>IFERROR(_xlfn.XLOOKUP($A923,'Base SKUs'!$E:$E,'Base SKUs'!J:J),"")</f>
        <v>1x8</v>
      </c>
      <c r="Q923">
        <f>IFERROR(_xlfn.XLOOKUP($A923,'Base SKUs'!$E:$E,'Base SKUs'!K:K),"")</f>
        <v>12</v>
      </c>
      <c r="R923" s="7">
        <f>IFERROR(_xlfn.XLOOKUP($A923,'Base SKUs'!$E:$E,'Base SKUs'!S:S),"")</f>
        <v>1.2839490449999998E-2</v>
      </c>
      <c r="S923" s="8">
        <f t="shared" si="72"/>
        <v>6.2913503204999985</v>
      </c>
      <c r="T923" s="7">
        <f>IFERROR(_xlfn.XLOOKUP($A923,'Base SKUs'!$E:$E,'Base SKUs'!R:R),"")</f>
        <v>935.23</v>
      </c>
      <c r="U923" s="15">
        <f t="shared" si="73"/>
        <v>5884</v>
      </c>
      <c r="V923" t="str">
        <f t="shared" si="74"/>
        <v>Miami</v>
      </c>
    </row>
    <row r="924" spans="1:22" x14ac:dyDescent="0.2">
      <c r="A924" t="s">
        <v>1295</v>
      </c>
      <c r="B924" s="5">
        <v>245</v>
      </c>
      <c r="C924" s="5">
        <v>0</v>
      </c>
      <c r="D924" s="5">
        <f t="shared" si="70"/>
        <v>245</v>
      </c>
      <c r="E924" s="6">
        <v>28.6175</v>
      </c>
      <c r="F924" s="6">
        <f t="shared" si="71"/>
        <v>7011.2875000000004</v>
      </c>
      <c r="G924" t="s">
        <v>24</v>
      </c>
      <c r="H924">
        <v>9008</v>
      </c>
      <c r="I924" t="str">
        <f>IFERROR(_xlfn.XLOOKUP($A924,'Base SKUs'!$E:$E,'Base SKUs'!A:A),"")</f>
        <v>Ayous JPL</v>
      </c>
      <c r="J924" t="str">
        <f>IFERROR(_xlfn.XLOOKUP($A924,'Base SKUs'!$E:$E,'Base SKUs'!B:B),"")</f>
        <v>Ayous JPL 1x8</v>
      </c>
      <c r="K924" t="str">
        <f>IFERROR(_xlfn.XLOOKUP($A924,'Base SKUs'!$E:$E,'Base SKUs'!C:C),"")</f>
        <v>Long</v>
      </c>
      <c r="L924" t="str">
        <f>IFERROR(_xlfn.XLOOKUP($A924,'Base SKUs'!$E:$E,'Base SKUs'!D:D),"")</f>
        <v>Thermowood</v>
      </c>
      <c r="M924" t="str">
        <f>IFERROR(_xlfn.XLOOKUP($A924,'Base SKUs'!$E:$E,'Base SKUs'!G:G),"")</f>
        <v>Maximo Thermo Ayous JPL</v>
      </c>
      <c r="N924" t="str">
        <f>IFERROR(_xlfn.XLOOKUP($A924,'Base SKUs'!$E:$E,'Base SKUs'!H:H),"")</f>
        <v>S4S E4E</v>
      </c>
      <c r="O924" t="str">
        <f>IFERROR(_xlfn.XLOOKUP($A924,'Base SKUs'!$E:$E,'Base SKUs'!I:I),"")</f>
        <v>-</v>
      </c>
      <c r="P924" t="str">
        <f>IFERROR(_xlfn.XLOOKUP($A924,'Base SKUs'!$E:$E,'Base SKUs'!J:J),"")</f>
        <v>1x8</v>
      </c>
      <c r="Q924">
        <f>IFERROR(_xlfn.XLOOKUP($A924,'Base SKUs'!$E:$E,'Base SKUs'!K:K),"")</f>
        <v>12</v>
      </c>
      <c r="R924" s="7">
        <f>IFERROR(_xlfn.XLOOKUP($A924,'Base SKUs'!$E:$E,'Base SKUs'!S:S),"")</f>
        <v>1.2839490449999998E-2</v>
      </c>
      <c r="S924" s="8">
        <f t="shared" si="72"/>
        <v>3.1456751602499993</v>
      </c>
      <c r="T924" s="7">
        <f>IFERROR(_xlfn.XLOOKUP($A924,'Base SKUs'!$E:$E,'Base SKUs'!R:R),"")</f>
        <v>935.23</v>
      </c>
      <c r="U924" s="15">
        <f t="shared" si="73"/>
        <v>2942</v>
      </c>
      <c r="V924" t="str">
        <f t="shared" si="74"/>
        <v>Texas</v>
      </c>
    </row>
    <row r="925" spans="1:22" x14ac:dyDescent="0.2">
      <c r="A925" t="s">
        <v>1295</v>
      </c>
      <c r="B925" s="5">
        <v>98</v>
      </c>
      <c r="C925" s="5">
        <v>0</v>
      </c>
      <c r="D925" s="5">
        <f t="shared" si="70"/>
        <v>98</v>
      </c>
      <c r="E925" s="6">
        <v>30.3157</v>
      </c>
      <c r="F925" s="6">
        <f t="shared" si="71"/>
        <v>2970.9386</v>
      </c>
      <c r="G925" t="s">
        <v>6145</v>
      </c>
      <c r="H925">
        <v>9010</v>
      </c>
      <c r="I925" t="str">
        <f>IFERROR(_xlfn.XLOOKUP($A925,'Base SKUs'!$E:$E,'Base SKUs'!A:A),"")</f>
        <v>Ayous JPL</v>
      </c>
      <c r="J925" t="str">
        <f>IFERROR(_xlfn.XLOOKUP($A925,'Base SKUs'!$E:$E,'Base SKUs'!B:B),"")</f>
        <v>Ayous JPL 1x8</v>
      </c>
      <c r="K925" t="str">
        <f>IFERROR(_xlfn.XLOOKUP($A925,'Base SKUs'!$E:$E,'Base SKUs'!C:C),"")</f>
        <v>Long</v>
      </c>
      <c r="L925" t="str">
        <f>IFERROR(_xlfn.XLOOKUP($A925,'Base SKUs'!$E:$E,'Base SKUs'!D:D),"")</f>
        <v>Thermowood</v>
      </c>
      <c r="M925" t="str">
        <f>IFERROR(_xlfn.XLOOKUP($A925,'Base SKUs'!$E:$E,'Base SKUs'!G:G),"")</f>
        <v>Maximo Thermo Ayous JPL</v>
      </c>
      <c r="N925" t="str">
        <f>IFERROR(_xlfn.XLOOKUP($A925,'Base SKUs'!$E:$E,'Base SKUs'!H:H),"")</f>
        <v>S4S E4E</v>
      </c>
      <c r="O925" t="str">
        <f>IFERROR(_xlfn.XLOOKUP($A925,'Base SKUs'!$E:$E,'Base SKUs'!I:I),"")</f>
        <v>-</v>
      </c>
      <c r="P925" t="str">
        <f>IFERROR(_xlfn.XLOOKUP($A925,'Base SKUs'!$E:$E,'Base SKUs'!J:J),"")</f>
        <v>1x8</v>
      </c>
      <c r="Q925">
        <f>IFERROR(_xlfn.XLOOKUP($A925,'Base SKUs'!$E:$E,'Base SKUs'!K:K),"")</f>
        <v>12</v>
      </c>
      <c r="R925" s="7">
        <f>IFERROR(_xlfn.XLOOKUP($A925,'Base SKUs'!$E:$E,'Base SKUs'!S:S),"")</f>
        <v>1.2839490449999998E-2</v>
      </c>
      <c r="S925" s="8">
        <f t="shared" si="72"/>
        <v>1.2582700640999998</v>
      </c>
      <c r="T925" s="7">
        <f>IFERROR(_xlfn.XLOOKUP($A925,'Base SKUs'!$E:$E,'Base SKUs'!R:R),"")</f>
        <v>935.23</v>
      </c>
      <c r="U925" s="15">
        <f t="shared" si="73"/>
        <v>1177</v>
      </c>
      <c r="V925" t="str">
        <f t="shared" si="74"/>
        <v>BS Detroit</v>
      </c>
    </row>
    <row r="926" spans="1:22" x14ac:dyDescent="0.2">
      <c r="A926" t="s">
        <v>1297</v>
      </c>
      <c r="B926" s="5">
        <v>314</v>
      </c>
      <c r="C926" s="5">
        <v>84</v>
      </c>
      <c r="D926" s="5">
        <f t="shared" si="70"/>
        <v>230</v>
      </c>
      <c r="E926" s="6">
        <v>33.005000000000003</v>
      </c>
      <c r="F926" s="6">
        <f t="shared" si="71"/>
        <v>10363.570000000002</v>
      </c>
      <c r="G926" t="s">
        <v>17</v>
      </c>
      <c r="H926">
        <v>9007</v>
      </c>
      <c r="I926" t="str">
        <f>IFERROR(_xlfn.XLOOKUP($A926,'Base SKUs'!$E:$E,'Base SKUs'!A:A),"")</f>
        <v>Ayous JPL</v>
      </c>
      <c r="J926" t="str">
        <f>IFERROR(_xlfn.XLOOKUP($A926,'Base SKUs'!$E:$E,'Base SKUs'!B:B),"")</f>
        <v>Ayous JPL 1x8</v>
      </c>
      <c r="K926" t="str">
        <f>IFERROR(_xlfn.XLOOKUP($A926,'Base SKUs'!$E:$E,'Base SKUs'!C:C),"")</f>
        <v>Long</v>
      </c>
      <c r="L926" t="str">
        <f>IFERROR(_xlfn.XLOOKUP($A926,'Base SKUs'!$E:$E,'Base SKUs'!D:D),"")</f>
        <v>Thermowood</v>
      </c>
      <c r="M926" t="str">
        <f>IFERROR(_xlfn.XLOOKUP($A926,'Base SKUs'!$E:$E,'Base SKUs'!G:G),"")</f>
        <v>Maximo Thermo Ayous JPL</v>
      </c>
      <c r="N926" t="str">
        <f>IFERROR(_xlfn.XLOOKUP($A926,'Base SKUs'!$E:$E,'Base SKUs'!H:H),"")</f>
        <v>S4S E4E</v>
      </c>
      <c r="O926" t="str">
        <f>IFERROR(_xlfn.XLOOKUP($A926,'Base SKUs'!$E:$E,'Base SKUs'!I:I),"")</f>
        <v>-</v>
      </c>
      <c r="P926" t="str">
        <f>IFERROR(_xlfn.XLOOKUP($A926,'Base SKUs'!$E:$E,'Base SKUs'!J:J),"")</f>
        <v>1x8</v>
      </c>
      <c r="Q926">
        <f>IFERROR(_xlfn.XLOOKUP($A926,'Base SKUs'!$E:$E,'Base SKUs'!K:K),"")</f>
        <v>14</v>
      </c>
      <c r="R926" s="7">
        <f>IFERROR(_xlfn.XLOOKUP($A926,'Base SKUs'!$E:$E,'Base SKUs'!S:S),"")</f>
        <v>1.4979405524999994E-2</v>
      </c>
      <c r="S926" s="8">
        <f t="shared" si="72"/>
        <v>3.4452632707499986</v>
      </c>
      <c r="T926" s="7">
        <f>IFERROR(_xlfn.XLOOKUP($A926,'Base SKUs'!$E:$E,'Base SKUs'!R:R),"")</f>
        <v>935.23</v>
      </c>
      <c r="U926" s="15">
        <f t="shared" si="73"/>
        <v>3222</v>
      </c>
      <c r="V926" t="str">
        <f t="shared" si="74"/>
        <v>Miami</v>
      </c>
    </row>
    <row r="927" spans="1:22" x14ac:dyDescent="0.2">
      <c r="A927" t="s">
        <v>1297</v>
      </c>
      <c r="B927" s="5">
        <v>735</v>
      </c>
      <c r="C927" s="5">
        <v>0</v>
      </c>
      <c r="D927" s="5">
        <f t="shared" si="70"/>
        <v>735</v>
      </c>
      <c r="E927" s="6">
        <v>33.387099999999997</v>
      </c>
      <c r="F927" s="6">
        <f t="shared" si="71"/>
        <v>24539.518499999998</v>
      </c>
      <c r="G927" t="s">
        <v>24</v>
      </c>
      <c r="H927">
        <v>9008</v>
      </c>
      <c r="I927" t="str">
        <f>IFERROR(_xlfn.XLOOKUP($A927,'Base SKUs'!$E:$E,'Base SKUs'!A:A),"")</f>
        <v>Ayous JPL</v>
      </c>
      <c r="J927" t="str">
        <f>IFERROR(_xlfn.XLOOKUP($A927,'Base SKUs'!$E:$E,'Base SKUs'!B:B),"")</f>
        <v>Ayous JPL 1x8</v>
      </c>
      <c r="K927" t="str">
        <f>IFERROR(_xlfn.XLOOKUP($A927,'Base SKUs'!$E:$E,'Base SKUs'!C:C),"")</f>
        <v>Long</v>
      </c>
      <c r="L927" t="str">
        <f>IFERROR(_xlfn.XLOOKUP($A927,'Base SKUs'!$E:$E,'Base SKUs'!D:D),"")</f>
        <v>Thermowood</v>
      </c>
      <c r="M927" t="str">
        <f>IFERROR(_xlfn.XLOOKUP($A927,'Base SKUs'!$E:$E,'Base SKUs'!G:G),"")</f>
        <v>Maximo Thermo Ayous JPL</v>
      </c>
      <c r="N927" t="str">
        <f>IFERROR(_xlfn.XLOOKUP($A927,'Base SKUs'!$E:$E,'Base SKUs'!H:H),"")</f>
        <v>S4S E4E</v>
      </c>
      <c r="O927" t="str">
        <f>IFERROR(_xlfn.XLOOKUP($A927,'Base SKUs'!$E:$E,'Base SKUs'!I:I),"")</f>
        <v>-</v>
      </c>
      <c r="P927" t="str">
        <f>IFERROR(_xlfn.XLOOKUP($A927,'Base SKUs'!$E:$E,'Base SKUs'!J:J),"")</f>
        <v>1x8</v>
      </c>
      <c r="Q927">
        <f>IFERROR(_xlfn.XLOOKUP($A927,'Base SKUs'!$E:$E,'Base SKUs'!K:K),"")</f>
        <v>14</v>
      </c>
      <c r="R927" s="7">
        <f>IFERROR(_xlfn.XLOOKUP($A927,'Base SKUs'!$E:$E,'Base SKUs'!S:S),"")</f>
        <v>1.4979405524999994E-2</v>
      </c>
      <c r="S927" s="8">
        <f t="shared" si="72"/>
        <v>11.009863060874995</v>
      </c>
      <c r="T927" s="7">
        <f>IFERROR(_xlfn.XLOOKUP($A927,'Base SKUs'!$E:$E,'Base SKUs'!R:R),"")</f>
        <v>935.23</v>
      </c>
      <c r="U927" s="15">
        <f t="shared" si="73"/>
        <v>10297</v>
      </c>
      <c r="V927" t="str">
        <f t="shared" si="74"/>
        <v>Texas</v>
      </c>
    </row>
    <row r="928" spans="1:22" x14ac:dyDescent="0.2">
      <c r="A928" t="s">
        <v>1297</v>
      </c>
      <c r="B928" s="5">
        <v>56</v>
      </c>
      <c r="C928" s="5">
        <v>0</v>
      </c>
      <c r="D928" s="5">
        <f t="shared" si="70"/>
        <v>56</v>
      </c>
      <c r="E928" s="6">
        <v>35.368400000000001</v>
      </c>
      <c r="F928" s="6">
        <f t="shared" si="71"/>
        <v>1980.6304</v>
      </c>
      <c r="G928" t="s">
        <v>6145</v>
      </c>
      <c r="H928">
        <v>9010</v>
      </c>
      <c r="I928" t="str">
        <f>IFERROR(_xlfn.XLOOKUP($A928,'Base SKUs'!$E:$E,'Base SKUs'!A:A),"")</f>
        <v>Ayous JPL</v>
      </c>
      <c r="J928" t="str">
        <f>IFERROR(_xlfn.XLOOKUP($A928,'Base SKUs'!$E:$E,'Base SKUs'!B:B),"")</f>
        <v>Ayous JPL 1x8</v>
      </c>
      <c r="K928" t="str">
        <f>IFERROR(_xlfn.XLOOKUP($A928,'Base SKUs'!$E:$E,'Base SKUs'!C:C),"")</f>
        <v>Long</v>
      </c>
      <c r="L928" t="str">
        <f>IFERROR(_xlfn.XLOOKUP($A928,'Base SKUs'!$E:$E,'Base SKUs'!D:D),"")</f>
        <v>Thermowood</v>
      </c>
      <c r="M928" t="str">
        <f>IFERROR(_xlfn.XLOOKUP($A928,'Base SKUs'!$E:$E,'Base SKUs'!G:G),"")</f>
        <v>Maximo Thermo Ayous JPL</v>
      </c>
      <c r="N928" t="str">
        <f>IFERROR(_xlfn.XLOOKUP($A928,'Base SKUs'!$E:$E,'Base SKUs'!H:H),"")</f>
        <v>S4S E4E</v>
      </c>
      <c r="O928" t="str">
        <f>IFERROR(_xlfn.XLOOKUP($A928,'Base SKUs'!$E:$E,'Base SKUs'!I:I),"")</f>
        <v>-</v>
      </c>
      <c r="P928" t="str">
        <f>IFERROR(_xlfn.XLOOKUP($A928,'Base SKUs'!$E:$E,'Base SKUs'!J:J),"")</f>
        <v>1x8</v>
      </c>
      <c r="Q928">
        <f>IFERROR(_xlfn.XLOOKUP($A928,'Base SKUs'!$E:$E,'Base SKUs'!K:K),"")</f>
        <v>14</v>
      </c>
      <c r="R928" s="7">
        <f>IFERROR(_xlfn.XLOOKUP($A928,'Base SKUs'!$E:$E,'Base SKUs'!S:S),"")</f>
        <v>1.4979405524999994E-2</v>
      </c>
      <c r="S928" s="8">
        <f t="shared" si="72"/>
        <v>0.83884670939999972</v>
      </c>
      <c r="T928" s="7">
        <f>IFERROR(_xlfn.XLOOKUP($A928,'Base SKUs'!$E:$E,'Base SKUs'!R:R),"")</f>
        <v>935.23</v>
      </c>
      <c r="U928" s="15">
        <f t="shared" si="73"/>
        <v>785</v>
      </c>
      <c r="V928" t="str">
        <f t="shared" si="74"/>
        <v>BS Detroit</v>
      </c>
    </row>
    <row r="929" spans="1:22" x14ac:dyDescent="0.2">
      <c r="A929" t="s">
        <v>1297</v>
      </c>
      <c r="B929" s="5">
        <v>294</v>
      </c>
      <c r="C929" s="5">
        <v>0</v>
      </c>
      <c r="D929" s="5">
        <f t="shared" si="70"/>
        <v>294</v>
      </c>
      <c r="E929" s="6">
        <v>33.780299999999997</v>
      </c>
      <c r="F929" s="6">
        <f t="shared" si="71"/>
        <v>9931.4081999999999</v>
      </c>
      <c r="G929" t="s">
        <v>500</v>
      </c>
      <c r="H929">
        <v>9012</v>
      </c>
      <c r="I929" t="str">
        <f>IFERROR(_xlfn.XLOOKUP($A929,'Base SKUs'!$E:$E,'Base SKUs'!A:A),"")</f>
        <v>Ayous JPL</v>
      </c>
      <c r="J929" t="str">
        <f>IFERROR(_xlfn.XLOOKUP($A929,'Base SKUs'!$E:$E,'Base SKUs'!B:B),"")</f>
        <v>Ayous JPL 1x8</v>
      </c>
      <c r="K929" t="str">
        <f>IFERROR(_xlfn.XLOOKUP($A929,'Base SKUs'!$E:$E,'Base SKUs'!C:C),"")</f>
        <v>Long</v>
      </c>
      <c r="L929" t="str">
        <f>IFERROR(_xlfn.XLOOKUP($A929,'Base SKUs'!$E:$E,'Base SKUs'!D:D),"")</f>
        <v>Thermowood</v>
      </c>
      <c r="M929" t="str">
        <f>IFERROR(_xlfn.XLOOKUP($A929,'Base SKUs'!$E:$E,'Base SKUs'!G:G),"")</f>
        <v>Maximo Thermo Ayous JPL</v>
      </c>
      <c r="N929" t="str">
        <f>IFERROR(_xlfn.XLOOKUP($A929,'Base SKUs'!$E:$E,'Base SKUs'!H:H),"")</f>
        <v>S4S E4E</v>
      </c>
      <c r="O929" t="str">
        <f>IFERROR(_xlfn.XLOOKUP($A929,'Base SKUs'!$E:$E,'Base SKUs'!I:I),"")</f>
        <v>-</v>
      </c>
      <c r="P929" t="str">
        <f>IFERROR(_xlfn.XLOOKUP($A929,'Base SKUs'!$E:$E,'Base SKUs'!J:J),"")</f>
        <v>1x8</v>
      </c>
      <c r="Q929">
        <f>IFERROR(_xlfn.XLOOKUP($A929,'Base SKUs'!$E:$E,'Base SKUs'!K:K),"")</f>
        <v>14</v>
      </c>
      <c r="R929" s="7">
        <f>IFERROR(_xlfn.XLOOKUP($A929,'Base SKUs'!$E:$E,'Base SKUs'!S:S),"")</f>
        <v>1.4979405524999994E-2</v>
      </c>
      <c r="S929" s="8">
        <f t="shared" si="72"/>
        <v>4.4039452243499984</v>
      </c>
      <c r="T929" s="7">
        <f>IFERROR(_xlfn.XLOOKUP($A929,'Base SKUs'!$E:$E,'Base SKUs'!R:R),"")</f>
        <v>935.23</v>
      </c>
      <c r="U929" s="15">
        <f t="shared" si="73"/>
        <v>4119</v>
      </c>
      <c r="V929" t="str">
        <f t="shared" si="74"/>
        <v>HW Perris</v>
      </c>
    </row>
    <row r="930" spans="1:22" x14ac:dyDescent="0.2">
      <c r="A930" t="s">
        <v>1299</v>
      </c>
      <c r="B930" s="5">
        <v>203</v>
      </c>
      <c r="C930" s="5">
        <v>56</v>
      </c>
      <c r="D930" s="5">
        <f t="shared" si="70"/>
        <v>147</v>
      </c>
      <c r="E930" s="6">
        <v>37.719900000000003</v>
      </c>
      <c r="F930" s="6">
        <f t="shared" si="71"/>
        <v>7657.1397000000006</v>
      </c>
      <c r="G930" t="s">
        <v>17</v>
      </c>
      <c r="H930">
        <v>9007</v>
      </c>
      <c r="I930" t="str">
        <f>IFERROR(_xlfn.XLOOKUP($A930,'Base SKUs'!$E:$E,'Base SKUs'!A:A),"")</f>
        <v>Ayous JPL</v>
      </c>
      <c r="J930" t="str">
        <f>IFERROR(_xlfn.XLOOKUP($A930,'Base SKUs'!$E:$E,'Base SKUs'!B:B),"")</f>
        <v>Ayous JPL 1x8</v>
      </c>
      <c r="K930" t="str">
        <f>IFERROR(_xlfn.XLOOKUP($A930,'Base SKUs'!$E:$E,'Base SKUs'!C:C),"")</f>
        <v>Long</v>
      </c>
      <c r="L930" t="str">
        <f>IFERROR(_xlfn.XLOOKUP($A930,'Base SKUs'!$E:$E,'Base SKUs'!D:D),"")</f>
        <v>Thermowood</v>
      </c>
      <c r="M930" t="str">
        <f>IFERROR(_xlfn.XLOOKUP($A930,'Base SKUs'!$E:$E,'Base SKUs'!G:G),"")</f>
        <v>Maximo Thermo Ayous JPL</v>
      </c>
      <c r="N930" t="str">
        <f>IFERROR(_xlfn.XLOOKUP($A930,'Base SKUs'!$E:$E,'Base SKUs'!H:H),"")</f>
        <v>S4S E4E</v>
      </c>
      <c r="O930" t="str">
        <f>IFERROR(_xlfn.XLOOKUP($A930,'Base SKUs'!$E:$E,'Base SKUs'!I:I),"")</f>
        <v>-</v>
      </c>
      <c r="P930" t="str">
        <f>IFERROR(_xlfn.XLOOKUP($A930,'Base SKUs'!$E:$E,'Base SKUs'!J:J),"")</f>
        <v>1x8</v>
      </c>
      <c r="Q930">
        <f>IFERROR(_xlfn.XLOOKUP($A930,'Base SKUs'!$E:$E,'Base SKUs'!K:K),"")</f>
        <v>16</v>
      </c>
      <c r="R930" s="7">
        <f>IFERROR(_xlfn.XLOOKUP($A930,'Base SKUs'!$E:$E,'Base SKUs'!S:S),"")</f>
        <v>1.7119320599999995E-2</v>
      </c>
      <c r="S930" s="8">
        <f t="shared" si="72"/>
        <v>2.5165401281999991</v>
      </c>
      <c r="T930" s="7">
        <f>IFERROR(_xlfn.XLOOKUP($A930,'Base SKUs'!$E:$E,'Base SKUs'!R:R),"")</f>
        <v>935.23</v>
      </c>
      <c r="U930" s="15">
        <f t="shared" si="73"/>
        <v>2354</v>
      </c>
      <c r="V930" t="str">
        <f t="shared" si="74"/>
        <v>Miami</v>
      </c>
    </row>
    <row r="931" spans="1:22" x14ac:dyDescent="0.2">
      <c r="A931" t="s">
        <v>1299</v>
      </c>
      <c r="B931" s="5">
        <v>70</v>
      </c>
      <c r="C931" s="5">
        <v>0</v>
      </c>
      <c r="D931" s="5">
        <f t="shared" si="70"/>
        <v>70</v>
      </c>
      <c r="E931" s="6">
        <v>40.420699999999997</v>
      </c>
      <c r="F931" s="6">
        <f t="shared" si="71"/>
        <v>2829.4489999999996</v>
      </c>
      <c r="G931" t="s">
        <v>6145</v>
      </c>
      <c r="H931">
        <v>9010</v>
      </c>
      <c r="I931" t="str">
        <f>IFERROR(_xlfn.XLOOKUP($A931,'Base SKUs'!$E:$E,'Base SKUs'!A:A),"")</f>
        <v>Ayous JPL</v>
      </c>
      <c r="J931" t="str">
        <f>IFERROR(_xlfn.XLOOKUP($A931,'Base SKUs'!$E:$E,'Base SKUs'!B:B),"")</f>
        <v>Ayous JPL 1x8</v>
      </c>
      <c r="K931" t="str">
        <f>IFERROR(_xlfn.XLOOKUP($A931,'Base SKUs'!$E:$E,'Base SKUs'!C:C),"")</f>
        <v>Long</v>
      </c>
      <c r="L931" t="str">
        <f>IFERROR(_xlfn.XLOOKUP($A931,'Base SKUs'!$E:$E,'Base SKUs'!D:D),"")</f>
        <v>Thermowood</v>
      </c>
      <c r="M931" t="str">
        <f>IFERROR(_xlfn.XLOOKUP($A931,'Base SKUs'!$E:$E,'Base SKUs'!G:G),"")</f>
        <v>Maximo Thermo Ayous JPL</v>
      </c>
      <c r="N931" t="str">
        <f>IFERROR(_xlfn.XLOOKUP($A931,'Base SKUs'!$E:$E,'Base SKUs'!H:H),"")</f>
        <v>S4S E4E</v>
      </c>
      <c r="O931" t="str">
        <f>IFERROR(_xlfn.XLOOKUP($A931,'Base SKUs'!$E:$E,'Base SKUs'!I:I),"")</f>
        <v>-</v>
      </c>
      <c r="P931" t="str">
        <f>IFERROR(_xlfn.XLOOKUP($A931,'Base SKUs'!$E:$E,'Base SKUs'!J:J),"")</f>
        <v>1x8</v>
      </c>
      <c r="Q931">
        <f>IFERROR(_xlfn.XLOOKUP($A931,'Base SKUs'!$E:$E,'Base SKUs'!K:K),"")</f>
        <v>16</v>
      </c>
      <c r="R931" s="7">
        <f>IFERROR(_xlfn.XLOOKUP($A931,'Base SKUs'!$E:$E,'Base SKUs'!S:S),"")</f>
        <v>1.7119320599999995E-2</v>
      </c>
      <c r="S931" s="8">
        <f t="shared" si="72"/>
        <v>1.1983524419999996</v>
      </c>
      <c r="T931" s="7">
        <f>IFERROR(_xlfn.XLOOKUP($A931,'Base SKUs'!$E:$E,'Base SKUs'!R:R),"")</f>
        <v>935.23</v>
      </c>
      <c r="U931" s="15">
        <f t="shared" si="73"/>
        <v>1121</v>
      </c>
      <c r="V931" t="str">
        <f t="shared" si="74"/>
        <v>BS Detroit</v>
      </c>
    </row>
    <row r="932" spans="1:22" x14ac:dyDescent="0.2">
      <c r="A932" t="s">
        <v>1301</v>
      </c>
      <c r="B932" s="5">
        <v>294</v>
      </c>
      <c r="C932" s="5">
        <v>70</v>
      </c>
      <c r="D932" s="5">
        <f t="shared" si="70"/>
        <v>224</v>
      </c>
      <c r="E932" s="6">
        <v>40.077500000000001</v>
      </c>
      <c r="F932" s="6">
        <f t="shared" si="71"/>
        <v>11782.785</v>
      </c>
      <c r="G932" t="s">
        <v>17</v>
      </c>
      <c r="H932">
        <v>9007</v>
      </c>
      <c r="I932" t="str">
        <f>IFERROR(_xlfn.XLOOKUP($A932,'Base SKUs'!$E:$E,'Base SKUs'!A:A),"")</f>
        <v>Ayous JPL</v>
      </c>
      <c r="J932" t="str">
        <f>IFERROR(_xlfn.XLOOKUP($A932,'Base SKUs'!$E:$E,'Base SKUs'!B:B),"")</f>
        <v>Ayous JPL 1x8</v>
      </c>
      <c r="K932" t="str">
        <f>IFERROR(_xlfn.XLOOKUP($A932,'Base SKUs'!$E:$E,'Base SKUs'!C:C),"")</f>
        <v>Long</v>
      </c>
      <c r="L932" t="str">
        <f>IFERROR(_xlfn.XLOOKUP($A932,'Base SKUs'!$E:$E,'Base SKUs'!D:D),"")</f>
        <v>Thermowood</v>
      </c>
      <c r="M932" t="str">
        <f>IFERROR(_xlfn.XLOOKUP($A932,'Base SKUs'!$E:$E,'Base SKUs'!G:G),"")</f>
        <v>Maximo Thermo Ayous JPL</v>
      </c>
      <c r="N932" t="str">
        <f>IFERROR(_xlfn.XLOOKUP($A932,'Base SKUs'!$E:$E,'Base SKUs'!H:H),"")</f>
        <v>S4S E4E</v>
      </c>
      <c r="O932" t="str">
        <f>IFERROR(_xlfn.XLOOKUP($A932,'Base SKUs'!$E:$E,'Base SKUs'!I:I),"")</f>
        <v>-</v>
      </c>
      <c r="P932" t="str">
        <f>IFERROR(_xlfn.XLOOKUP($A932,'Base SKUs'!$E:$E,'Base SKUs'!J:J),"")</f>
        <v>1x8</v>
      </c>
      <c r="Q932">
        <f>IFERROR(_xlfn.XLOOKUP($A932,'Base SKUs'!$E:$E,'Base SKUs'!K:K),"")</f>
        <v>17</v>
      </c>
      <c r="R932" s="7">
        <f>IFERROR(_xlfn.XLOOKUP($A932,'Base SKUs'!$E:$E,'Base SKUs'!S:S),"")</f>
        <v>1.8171737849999991E-2</v>
      </c>
      <c r="S932" s="8">
        <f t="shared" si="72"/>
        <v>4.0704692783999983</v>
      </c>
      <c r="T932" s="7">
        <f>IFERROR(_xlfn.XLOOKUP($A932,'Base SKUs'!$E:$E,'Base SKUs'!R:R),"")</f>
        <v>935.23</v>
      </c>
      <c r="U932" s="15">
        <f t="shared" si="73"/>
        <v>3807</v>
      </c>
      <c r="V932" t="str">
        <f t="shared" si="74"/>
        <v>Miami</v>
      </c>
    </row>
    <row r="933" spans="1:22" x14ac:dyDescent="0.2">
      <c r="A933" t="s">
        <v>1301</v>
      </c>
      <c r="B933" s="5">
        <v>294</v>
      </c>
      <c r="C933" s="5">
        <v>0</v>
      </c>
      <c r="D933" s="5">
        <f t="shared" si="70"/>
        <v>294</v>
      </c>
      <c r="E933" s="6">
        <v>40.541400000000003</v>
      </c>
      <c r="F933" s="6">
        <f t="shared" si="71"/>
        <v>11919.171600000001</v>
      </c>
      <c r="G933" t="s">
        <v>24</v>
      </c>
      <c r="H933">
        <v>9008</v>
      </c>
      <c r="I933" t="str">
        <f>IFERROR(_xlfn.XLOOKUP($A933,'Base SKUs'!$E:$E,'Base SKUs'!A:A),"")</f>
        <v>Ayous JPL</v>
      </c>
      <c r="J933" t="str">
        <f>IFERROR(_xlfn.XLOOKUP($A933,'Base SKUs'!$E:$E,'Base SKUs'!B:B),"")</f>
        <v>Ayous JPL 1x8</v>
      </c>
      <c r="K933" t="str">
        <f>IFERROR(_xlfn.XLOOKUP($A933,'Base SKUs'!$E:$E,'Base SKUs'!C:C),"")</f>
        <v>Long</v>
      </c>
      <c r="L933" t="str">
        <f>IFERROR(_xlfn.XLOOKUP($A933,'Base SKUs'!$E:$E,'Base SKUs'!D:D),"")</f>
        <v>Thermowood</v>
      </c>
      <c r="M933" t="str">
        <f>IFERROR(_xlfn.XLOOKUP($A933,'Base SKUs'!$E:$E,'Base SKUs'!G:G),"")</f>
        <v>Maximo Thermo Ayous JPL</v>
      </c>
      <c r="N933" t="str">
        <f>IFERROR(_xlfn.XLOOKUP($A933,'Base SKUs'!$E:$E,'Base SKUs'!H:H),"")</f>
        <v>S4S E4E</v>
      </c>
      <c r="O933" t="str">
        <f>IFERROR(_xlfn.XLOOKUP($A933,'Base SKUs'!$E:$E,'Base SKUs'!I:I),"")</f>
        <v>-</v>
      </c>
      <c r="P933" t="str">
        <f>IFERROR(_xlfn.XLOOKUP($A933,'Base SKUs'!$E:$E,'Base SKUs'!J:J),"")</f>
        <v>1x8</v>
      </c>
      <c r="Q933">
        <f>IFERROR(_xlfn.XLOOKUP($A933,'Base SKUs'!$E:$E,'Base SKUs'!K:K),"")</f>
        <v>17</v>
      </c>
      <c r="R933" s="7">
        <f>IFERROR(_xlfn.XLOOKUP($A933,'Base SKUs'!$E:$E,'Base SKUs'!S:S),"")</f>
        <v>1.8171737849999991E-2</v>
      </c>
      <c r="S933" s="8">
        <f t="shared" si="72"/>
        <v>5.3424909278999975</v>
      </c>
      <c r="T933" s="7">
        <f>IFERROR(_xlfn.XLOOKUP($A933,'Base SKUs'!$E:$E,'Base SKUs'!R:R),"")</f>
        <v>935.23</v>
      </c>
      <c r="U933" s="15">
        <f t="shared" si="73"/>
        <v>4996</v>
      </c>
      <c r="V933" t="str">
        <f t="shared" si="74"/>
        <v>Texas</v>
      </c>
    </row>
    <row r="934" spans="1:22" x14ac:dyDescent="0.2">
      <c r="A934" t="s">
        <v>1303</v>
      </c>
      <c r="B934" s="5">
        <v>178</v>
      </c>
      <c r="C934" s="5">
        <v>42</v>
      </c>
      <c r="D934" s="5">
        <f t="shared" si="70"/>
        <v>136</v>
      </c>
      <c r="E934" s="6">
        <v>18.86</v>
      </c>
      <c r="F934" s="6">
        <f t="shared" si="71"/>
        <v>3357.08</v>
      </c>
      <c r="G934" t="s">
        <v>17</v>
      </c>
      <c r="H934">
        <v>9007</v>
      </c>
      <c r="I934" t="str">
        <f>IFERROR(_xlfn.XLOOKUP($A934,'Base SKUs'!$E:$E,'Base SKUs'!A:A),"")</f>
        <v>Ayous JPL</v>
      </c>
      <c r="J934" t="str">
        <f>IFERROR(_xlfn.XLOOKUP($A934,'Base SKUs'!$E:$E,'Base SKUs'!B:B),"")</f>
        <v>Ayous JPL 1x8</v>
      </c>
      <c r="K934" t="str">
        <f>IFERROR(_xlfn.XLOOKUP($A934,'Base SKUs'!$E:$E,'Base SKUs'!C:C),"")</f>
        <v>Long</v>
      </c>
      <c r="L934" t="str">
        <f>IFERROR(_xlfn.XLOOKUP($A934,'Base SKUs'!$E:$E,'Base SKUs'!D:D),"")</f>
        <v>Thermowood</v>
      </c>
      <c r="M934" t="str">
        <f>IFERROR(_xlfn.XLOOKUP($A934,'Base SKUs'!$E:$E,'Base SKUs'!G:G),"")</f>
        <v>Maximo Thermo Ayous JPL</v>
      </c>
      <c r="N934" t="str">
        <f>IFERROR(_xlfn.XLOOKUP($A934,'Base SKUs'!$E:$E,'Base SKUs'!H:H),"")</f>
        <v>S4S E4E</v>
      </c>
      <c r="O934" t="str">
        <f>IFERROR(_xlfn.XLOOKUP($A934,'Base SKUs'!$E:$E,'Base SKUs'!I:I),"")</f>
        <v>-</v>
      </c>
      <c r="P934" t="str">
        <f>IFERROR(_xlfn.XLOOKUP($A934,'Base SKUs'!$E:$E,'Base SKUs'!J:J),"")</f>
        <v>1x8</v>
      </c>
      <c r="Q934">
        <f>IFERROR(_xlfn.XLOOKUP($A934,'Base SKUs'!$E:$E,'Base SKUs'!K:K),"")</f>
        <v>8</v>
      </c>
      <c r="R934" s="7">
        <f>IFERROR(_xlfn.XLOOKUP($A934,'Base SKUs'!$E:$E,'Base SKUs'!S:S),"")</f>
        <v>8.5596602999999973E-3</v>
      </c>
      <c r="S934" s="8">
        <f t="shared" si="72"/>
        <v>1.1641138007999996</v>
      </c>
      <c r="T934" s="7">
        <f>IFERROR(_xlfn.XLOOKUP($A934,'Base SKUs'!$E:$E,'Base SKUs'!R:R),"")</f>
        <v>935.23</v>
      </c>
      <c r="U934" s="15">
        <f t="shared" si="73"/>
        <v>1089</v>
      </c>
      <c r="V934" t="str">
        <f t="shared" si="74"/>
        <v>Miami</v>
      </c>
    </row>
    <row r="935" spans="1:22" x14ac:dyDescent="0.2">
      <c r="A935" t="s">
        <v>1303</v>
      </c>
      <c r="B935" s="5">
        <v>294</v>
      </c>
      <c r="C935" s="5">
        <v>0</v>
      </c>
      <c r="D935" s="5">
        <f t="shared" si="70"/>
        <v>294</v>
      </c>
      <c r="E935" s="6">
        <v>19.078299999999999</v>
      </c>
      <c r="F935" s="6">
        <f t="shared" si="71"/>
        <v>5609.0201999999999</v>
      </c>
      <c r="G935" t="s">
        <v>24</v>
      </c>
      <c r="H935">
        <v>9008</v>
      </c>
      <c r="I935" t="str">
        <f>IFERROR(_xlfn.XLOOKUP($A935,'Base SKUs'!$E:$E,'Base SKUs'!A:A),"")</f>
        <v>Ayous JPL</v>
      </c>
      <c r="J935" t="str">
        <f>IFERROR(_xlfn.XLOOKUP($A935,'Base SKUs'!$E:$E,'Base SKUs'!B:B),"")</f>
        <v>Ayous JPL 1x8</v>
      </c>
      <c r="K935" t="str">
        <f>IFERROR(_xlfn.XLOOKUP($A935,'Base SKUs'!$E:$E,'Base SKUs'!C:C),"")</f>
        <v>Long</v>
      </c>
      <c r="L935" t="str">
        <f>IFERROR(_xlfn.XLOOKUP($A935,'Base SKUs'!$E:$E,'Base SKUs'!D:D),"")</f>
        <v>Thermowood</v>
      </c>
      <c r="M935" t="str">
        <f>IFERROR(_xlfn.XLOOKUP($A935,'Base SKUs'!$E:$E,'Base SKUs'!G:G),"")</f>
        <v>Maximo Thermo Ayous JPL</v>
      </c>
      <c r="N935" t="str">
        <f>IFERROR(_xlfn.XLOOKUP($A935,'Base SKUs'!$E:$E,'Base SKUs'!H:H),"")</f>
        <v>S4S E4E</v>
      </c>
      <c r="O935" t="str">
        <f>IFERROR(_xlfn.XLOOKUP($A935,'Base SKUs'!$E:$E,'Base SKUs'!I:I),"")</f>
        <v>-</v>
      </c>
      <c r="P935" t="str">
        <f>IFERROR(_xlfn.XLOOKUP($A935,'Base SKUs'!$E:$E,'Base SKUs'!J:J),"")</f>
        <v>1x8</v>
      </c>
      <c r="Q935">
        <f>IFERROR(_xlfn.XLOOKUP($A935,'Base SKUs'!$E:$E,'Base SKUs'!K:K),"")</f>
        <v>8</v>
      </c>
      <c r="R935" s="7">
        <f>IFERROR(_xlfn.XLOOKUP($A935,'Base SKUs'!$E:$E,'Base SKUs'!S:S),"")</f>
        <v>8.5596602999999973E-3</v>
      </c>
      <c r="S935" s="8">
        <f t="shared" si="72"/>
        <v>2.5165401281999991</v>
      </c>
      <c r="T935" s="7">
        <f>IFERROR(_xlfn.XLOOKUP($A935,'Base SKUs'!$E:$E,'Base SKUs'!R:R),"")</f>
        <v>935.23</v>
      </c>
      <c r="U935" s="15">
        <f t="shared" si="73"/>
        <v>2354</v>
      </c>
      <c r="V935" t="str">
        <f t="shared" si="74"/>
        <v>Texas</v>
      </c>
    </row>
    <row r="936" spans="1:22" x14ac:dyDescent="0.2">
      <c r="A936" t="s">
        <v>1303</v>
      </c>
      <c r="B936" s="5">
        <v>70</v>
      </c>
      <c r="C936" s="5">
        <v>0</v>
      </c>
      <c r="D936" s="5">
        <f t="shared" si="70"/>
        <v>70</v>
      </c>
      <c r="E936" s="6">
        <v>20.2104</v>
      </c>
      <c r="F936" s="6">
        <f t="shared" si="71"/>
        <v>1414.7280000000001</v>
      </c>
      <c r="G936" t="s">
        <v>6145</v>
      </c>
      <c r="H936">
        <v>9010</v>
      </c>
      <c r="I936" t="str">
        <f>IFERROR(_xlfn.XLOOKUP($A936,'Base SKUs'!$E:$E,'Base SKUs'!A:A),"")</f>
        <v>Ayous JPL</v>
      </c>
      <c r="J936" t="str">
        <f>IFERROR(_xlfn.XLOOKUP($A936,'Base SKUs'!$E:$E,'Base SKUs'!B:B),"")</f>
        <v>Ayous JPL 1x8</v>
      </c>
      <c r="K936" t="str">
        <f>IFERROR(_xlfn.XLOOKUP($A936,'Base SKUs'!$E:$E,'Base SKUs'!C:C),"")</f>
        <v>Long</v>
      </c>
      <c r="L936" t="str">
        <f>IFERROR(_xlfn.XLOOKUP($A936,'Base SKUs'!$E:$E,'Base SKUs'!D:D),"")</f>
        <v>Thermowood</v>
      </c>
      <c r="M936" t="str">
        <f>IFERROR(_xlfn.XLOOKUP($A936,'Base SKUs'!$E:$E,'Base SKUs'!G:G),"")</f>
        <v>Maximo Thermo Ayous JPL</v>
      </c>
      <c r="N936" t="str">
        <f>IFERROR(_xlfn.XLOOKUP($A936,'Base SKUs'!$E:$E,'Base SKUs'!H:H),"")</f>
        <v>S4S E4E</v>
      </c>
      <c r="O936" t="str">
        <f>IFERROR(_xlfn.XLOOKUP($A936,'Base SKUs'!$E:$E,'Base SKUs'!I:I),"")</f>
        <v>-</v>
      </c>
      <c r="P936" t="str">
        <f>IFERROR(_xlfn.XLOOKUP($A936,'Base SKUs'!$E:$E,'Base SKUs'!J:J),"")</f>
        <v>1x8</v>
      </c>
      <c r="Q936">
        <f>IFERROR(_xlfn.XLOOKUP($A936,'Base SKUs'!$E:$E,'Base SKUs'!K:K),"")</f>
        <v>8</v>
      </c>
      <c r="R936" s="7">
        <f>IFERROR(_xlfn.XLOOKUP($A936,'Base SKUs'!$E:$E,'Base SKUs'!S:S),"")</f>
        <v>8.5596602999999973E-3</v>
      </c>
      <c r="S936" s="8">
        <f t="shared" si="72"/>
        <v>0.59917622099999979</v>
      </c>
      <c r="T936" s="7">
        <f>IFERROR(_xlfn.XLOOKUP($A936,'Base SKUs'!$E:$E,'Base SKUs'!R:R),"")</f>
        <v>935.23</v>
      </c>
      <c r="U936" s="15">
        <f t="shared" si="73"/>
        <v>560</v>
      </c>
      <c r="V936" t="str">
        <f t="shared" si="74"/>
        <v>BS Detroit</v>
      </c>
    </row>
    <row r="937" spans="1:22" x14ac:dyDescent="0.2">
      <c r="A937" t="s">
        <v>1305</v>
      </c>
      <c r="B937" s="5">
        <v>210</v>
      </c>
      <c r="C937" s="5">
        <v>56</v>
      </c>
      <c r="D937" s="5">
        <f t="shared" si="70"/>
        <v>154</v>
      </c>
      <c r="E937" s="6">
        <v>21.217500000000001</v>
      </c>
      <c r="F937" s="6">
        <f t="shared" si="71"/>
        <v>4455.6750000000002</v>
      </c>
      <c r="G937" t="s">
        <v>17</v>
      </c>
      <c r="H937">
        <v>9007</v>
      </c>
      <c r="I937" t="str">
        <f>IFERROR(_xlfn.XLOOKUP($A937,'Base SKUs'!$E:$E,'Base SKUs'!A:A),"")</f>
        <v>Ayous JPL</v>
      </c>
      <c r="J937" t="str">
        <f>IFERROR(_xlfn.XLOOKUP($A937,'Base SKUs'!$E:$E,'Base SKUs'!B:B),"")</f>
        <v>Ayous JPL 1x8</v>
      </c>
      <c r="K937" t="str">
        <f>IFERROR(_xlfn.XLOOKUP($A937,'Base SKUs'!$E:$E,'Base SKUs'!C:C),"")</f>
        <v>Long</v>
      </c>
      <c r="L937" t="str">
        <f>IFERROR(_xlfn.XLOOKUP($A937,'Base SKUs'!$E:$E,'Base SKUs'!D:D),"")</f>
        <v>Thermowood</v>
      </c>
      <c r="M937" t="str">
        <f>IFERROR(_xlfn.XLOOKUP($A937,'Base SKUs'!$E:$E,'Base SKUs'!G:G),"")</f>
        <v>Maximo Thermo Ayous JPL</v>
      </c>
      <c r="N937" t="str">
        <f>IFERROR(_xlfn.XLOOKUP($A937,'Base SKUs'!$E:$E,'Base SKUs'!H:H),"")</f>
        <v>S4S E4E</v>
      </c>
      <c r="O937" t="str">
        <f>IFERROR(_xlfn.XLOOKUP($A937,'Base SKUs'!$E:$E,'Base SKUs'!I:I),"")</f>
        <v>-</v>
      </c>
      <c r="P937" t="str">
        <f>IFERROR(_xlfn.XLOOKUP($A937,'Base SKUs'!$E:$E,'Base SKUs'!J:J),"")</f>
        <v>1x8</v>
      </c>
      <c r="Q937">
        <f>IFERROR(_xlfn.XLOOKUP($A937,'Base SKUs'!$E:$E,'Base SKUs'!K:K),"")</f>
        <v>9</v>
      </c>
      <c r="R937" s="7">
        <f>IFERROR(_xlfn.XLOOKUP($A937,'Base SKUs'!$E:$E,'Base SKUs'!S:S),"")</f>
        <v>9.6120775499999971E-3</v>
      </c>
      <c r="S937" s="8">
        <f t="shared" si="72"/>
        <v>1.4802599426999996</v>
      </c>
      <c r="T937" s="7">
        <f>IFERROR(_xlfn.XLOOKUP($A937,'Base SKUs'!$E:$E,'Base SKUs'!R:R),"")</f>
        <v>935.23</v>
      </c>
      <c r="U937" s="15">
        <f t="shared" si="73"/>
        <v>1384</v>
      </c>
      <c r="V937" t="str">
        <f t="shared" si="74"/>
        <v>Miami</v>
      </c>
    </row>
    <row r="938" spans="1:22" x14ac:dyDescent="0.2">
      <c r="A938" t="s">
        <v>1305</v>
      </c>
      <c r="B938" s="5">
        <v>497</v>
      </c>
      <c r="C938" s="5">
        <v>0</v>
      </c>
      <c r="D938" s="5">
        <f t="shared" si="70"/>
        <v>497</v>
      </c>
      <c r="E938" s="6">
        <v>21.463100000000001</v>
      </c>
      <c r="F938" s="6">
        <f t="shared" si="71"/>
        <v>10667.1607</v>
      </c>
      <c r="G938" t="s">
        <v>24</v>
      </c>
      <c r="H938">
        <v>9008</v>
      </c>
      <c r="I938" t="str">
        <f>IFERROR(_xlfn.XLOOKUP($A938,'Base SKUs'!$E:$E,'Base SKUs'!A:A),"")</f>
        <v>Ayous JPL</v>
      </c>
      <c r="J938" t="str">
        <f>IFERROR(_xlfn.XLOOKUP($A938,'Base SKUs'!$E:$E,'Base SKUs'!B:B),"")</f>
        <v>Ayous JPL 1x8</v>
      </c>
      <c r="K938" t="str">
        <f>IFERROR(_xlfn.XLOOKUP($A938,'Base SKUs'!$E:$E,'Base SKUs'!C:C),"")</f>
        <v>Long</v>
      </c>
      <c r="L938" t="str">
        <f>IFERROR(_xlfn.XLOOKUP($A938,'Base SKUs'!$E:$E,'Base SKUs'!D:D),"")</f>
        <v>Thermowood</v>
      </c>
      <c r="M938" t="str">
        <f>IFERROR(_xlfn.XLOOKUP($A938,'Base SKUs'!$E:$E,'Base SKUs'!G:G),"")</f>
        <v>Maximo Thermo Ayous JPL</v>
      </c>
      <c r="N938" t="str">
        <f>IFERROR(_xlfn.XLOOKUP($A938,'Base SKUs'!$E:$E,'Base SKUs'!H:H),"")</f>
        <v>S4S E4E</v>
      </c>
      <c r="O938" t="str">
        <f>IFERROR(_xlfn.XLOOKUP($A938,'Base SKUs'!$E:$E,'Base SKUs'!I:I),"")</f>
        <v>-</v>
      </c>
      <c r="P938" t="str">
        <f>IFERROR(_xlfn.XLOOKUP($A938,'Base SKUs'!$E:$E,'Base SKUs'!J:J),"")</f>
        <v>1x8</v>
      </c>
      <c r="Q938">
        <f>IFERROR(_xlfn.XLOOKUP($A938,'Base SKUs'!$E:$E,'Base SKUs'!K:K),"")</f>
        <v>9</v>
      </c>
      <c r="R938" s="7">
        <f>IFERROR(_xlfn.XLOOKUP($A938,'Base SKUs'!$E:$E,'Base SKUs'!S:S),"")</f>
        <v>9.6120775499999971E-3</v>
      </c>
      <c r="S938" s="8">
        <f t="shared" si="72"/>
        <v>4.7772025423499986</v>
      </c>
      <c r="T938" s="7">
        <f>IFERROR(_xlfn.XLOOKUP($A938,'Base SKUs'!$E:$E,'Base SKUs'!R:R),"")</f>
        <v>935.23</v>
      </c>
      <c r="U938" s="15">
        <f t="shared" si="73"/>
        <v>4468</v>
      </c>
      <c r="V938" t="str">
        <f t="shared" si="74"/>
        <v>Texas</v>
      </c>
    </row>
    <row r="939" spans="1:22" x14ac:dyDescent="0.2">
      <c r="A939" t="s">
        <v>1307</v>
      </c>
      <c r="B939" s="5">
        <v>200</v>
      </c>
      <c r="C939" s="5">
        <v>0</v>
      </c>
      <c r="D939" s="5">
        <f t="shared" si="70"/>
        <v>200</v>
      </c>
      <c r="E939" s="6">
        <v>17.634799999999998</v>
      </c>
      <c r="F939" s="6">
        <f t="shared" si="71"/>
        <v>3526.9599999999996</v>
      </c>
      <c r="G939" t="s">
        <v>17</v>
      </c>
      <c r="H939">
        <v>9007</v>
      </c>
      <c r="I939" t="str">
        <f>IFERROR(_xlfn.XLOOKUP($A939,'Base SKUs'!$E:$E,'Base SKUs'!A:A),"")</f>
        <v>Ayous JPL</v>
      </c>
      <c r="J939" t="str">
        <f>IFERROR(_xlfn.XLOOKUP($A939,'Base SKUs'!$E:$E,'Base SKUs'!B:B),"")</f>
        <v>Ayous JPL 2x2</v>
      </c>
      <c r="K939" t="str">
        <f>IFERROR(_xlfn.XLOOKUP($A939,'Base SKUs'!$E:$E,'Base SKUs'!C:C),"")</f>
        <v>Long</v>
      </c>
      <c r="L939" t="str">
        <f>IFERROR(_xlfn.XLOOKUP($A939,'Base SKUs'!$E:$E,'Base SKUs'!D:D),"")</f>
        <v>Thermowood</v>
      </c>
      <c r="M939" t="str">
        <f>IFERROR(_xlfn.XLOOKUP($A939,'Base SKUs'!$E:$E,'Base SKUs'!G:G),"")</f>
        <v>Maximo Thermo Ayous JPL</v>
      </c>
      <c r="N939" t="str">
        <f>IFERROR(_xlfn.XLOOKUP($A939,'Base SKUs'!$E:$E,'Base SKUs'!H:H),"")</f>
        <v>S4S E4E</v>
      </c>
      <c r="O939" t="str">
        <f>IFERROR(_xlfn.XLOOKUP($A939,'Base SKUs'!$E:$E,'Base SKUs'!I:I),"")</f>
        <v>-</v>
      </c>
      <c r="P939" t="str">
        <f>IFERROR(_xlfn.XLOOKUP($A939,'Base SKUs'!$E:$E,'Base SKUs'!J:J),"")</f>
        <v>2x2</v>
      </c>
      <c r="Q939">
        <f>IFERROR(_xlfn.XLOOKUP($A939,'Base SKUs'!$E:$E,'Base SKUs'!K:K),"")</f>
        <v>10</v>
      </c>
      <c r="R939" s="7">
        <f>IFERROR(_xlfn.XLOOKUP($A939,'Base SKUs'!$E:$E,'Base SKUs'!S:S),"")</f>
        <v>4.4274104999999985E-3</v>
      </c>
      <c r="S939" s="8">
        <f t="shared" si="72"/>
        <v>0.88548209999999972</v>
      </c>
      <c r="T939" s="7">
        <f>IFERROR(_xlfn.XLOOKUP($A939,'Base SKUs'!$E:$E,'Base SKUs'!R:R),"")</f>
        <v>2260.1390000000001</v>
      </c>
      <c r="U939" s="15">
        <f t="shared" si="73"/>
        <v>2001</v>
      </c>
      <c r="V939" t="str">
        <f t="shared" si="74"/>
        <v>Miami</v>
      </c>
    </row>
    <row r="940" spans="1:22" x14ac:dyDescent="0.2">
      <c r="A940" t="s">
        <v>1307</v>
      </c>
      <c r="B940" s="5">
        <v>648</v>
      </c>
      <c r="C940" s="5">
        <v>0</v>
      </c>
      <c r="D940" s="5">
        <f t="shared" si="70"/>
        <v>648</v>
      </c>
      <c r="E940" s="6">
        <v>11.8268</v>
      </c>
      <c r="F940" s="6">
        <f t="shared" si="71"/>
        <v>7663.7664000000004</v>
      </c>
      <c r="G940" t="s">
        <v>500</v>
      </c>
      <c r="H940">
        <v>9012</v>
      </c>
      <c r="I940" t="str">
        <f>IFERROR(_xlfn.XLOOKUP($A940,'Base SKUs'!$E:$E,'Base SKUs'!A:A),"")</f>
        <v>Ayous JPL</v>
      </c>
      <c r="J940" t="str">
        <f>IFERROR(_xlfn.XLOOKUP($A940,'Base SKUs'!$E:$E,'Base SKUs'!B:B),"")</f>
        <v>Ayous JPL 2x2</v>
      </c>
      <c r="K940" t="str">
        <f>IFERROR(_xlfn.XLOOKUP($A940,'Base SKUs'!$E:$E,'Base SKUs'!C:C),"")</f>
        <v>Long</v>
      </c>
      <c r="L940" t="str">
        <f>IFERROR(_xlfn.XLOOKUP($A940,'Base SKUs'!$E:$E,'Base SKUs'!D:D),"")</f>
        <v>Thermowood</v>
      </c>
      <c r="M940" t="str">
        <f>IFERROR(_xlfn.XLOOKUP($A940,'Base SKUs'!$E:$E,'Base SKUs'!G:G),"")</f>
        <v>Maximo Thermo Ayous JPL</v>
      </c>
      <c r="N940" t="str">
        <f>IFERROR(_xlfn.XLOOKUP($A940,'Base SKUs'!$E:$E,'Base SKUs'!H:H),"")</f>
        <v>S4S E4E</v>
      </c>
      <c r="O940" t="str">
        <f>IFERROR(_xlfn.XLOOKUP($A940,'Base SKUs'!$E:$E,'Base SKUs'!I:I),"")</f>
        <v>-</v>
      </c>
      <c r="P940" t="str">
        <f>IFERROR(_xlfn.XLOOKUP($A940,'Base SKUs'!$E:$E,'Base SKUs'!J:J),"")</f>
        <v>2x2</v>
      </c>
      <c r="Q940">
        <f>IFERROR(_xlfn.XLOOKUP($A940,'Base SKUs'!$E:$E,'Base SKUs'!K:K),"")</f>
        <v>10</v>
      </c>
      <c r="R940" s="7">
        <f>IFERROR(_xlfn.XLOOKUP($A940,'Base SKUs'!$E:$E,'Base SKUs'!S:S),"")</f>
        <v>4.4274104999999985E-3</v>
      </c>
      <c r="S940" s="8">
        <f t="shared" si="72"/>
        <v>2.8689620039999992</v>
      </c>
      <c r="T940" s="7">
        <f>IFERROR(_xlfn.XLOOKUP($A940,'Base SKUs'!$E:$E,'Base SKUs'!R:R),"")</f>
        <v>2260.1390000000001</v>
      </c>
      <c r="U940" s="15">
        <f t="shared" si="73"/>
        <v>6484</v>
      </c>
      <c r="V940" t="str">
        <f t="shared" si="74"/>
        <v>HW Perris</v>
      </c>
    </row>
    <row r="941" spans="1:22" x14ac:dyDescent="0.2">
      <c r="A941" t="s">
        <v>1309</v>
      </c>
      <c r="B941" s="5">
        <v>498</v>
      </c>
      <c r="C941" s="5">
        <v>140</v>
      </c>
      <c r="D941" s="5">
        <f t="shared" si="70"/>
        <v>358</v>
      </c>
      <c r="E941" s="6">
        <v>12.7485</v>
      </c>
      <c r="F941" s="6">
        <f t="shared" si="71"/>
        <v>6348.7529999999997</v>
      </c>
      <c r="G941" t="s">
        <v>17</v>
      </c>
      <c r="H941">
        <v>9007</v>
      </c>
      <c r="I941" t="str">
        <f>IFERROR(_xlfn.XLOOKUP($A941,'Base SKUs'!$E:$E,'Base SKUs'!A:A),"")</f>
        <v>Ayous JPL</v>
      </c>
      <c r="J941" t="str">
        <f>IFERROR(_xlfn.XLOOKUP($A941,'Base SKUs'!$E:$E,'Base SKUs'!B:B),"")</f>
        <v>Ayous JPL 2x2</v>
      </c>
      <c r="K941" t="str">
        <f>IFERROR(_xlfn.XLOOKUP($A941,'Base SKUs'!$E:$E,'Base SKUs'!C:C),"")</f>
        <v>Long</v>
      </c>
      <c r="L941" t="str">
        <f>IFERROR(_xlfn.XLOOKUP($A941,'Base SKUs'!$E:$E,'Base SKUs'!D:D),"")</f>
        <v>Thermowood</v>
      </c>
      <c r="M941" t="str">
        <f>IFERROR(_xlfn.XLOOKUP($A941,'Base SKUs'!$E:$E,'Base SKUs'!G:G),"")</f>
        <v>Maximo Thermo Ayous JPL</v>
      </c>
      <c r="N941" t="str">
        <f>IFERROR(_xlfn.XLOOKUP($A941,'Base SKUs'!$E:$E,'Base SKUs'!H:H),"")</f>
        <v>S4S E4E</v>
      </c>
      <c r="O941" t="str">
        <f>IFERROR(_xlfn.XLOOKUP($A941,'Base SKUs'!$E:$E,'Base SKUs'!I:I),"")</f>
        <v>-</v>
      </c>
      <c r="P941" t="str">
        <f>IFERROR(_xlfn.XLOOKUP($A941,'Base SKUs'!$E:$E,'Base SKUs'!J:J),"")</f>
        <v>2x2</v>
      </c>
      <c r="Q941">
        <f>IFERROR(_xlfn.XLOOKUP($A941,'Base SKUs'!$E:$E,'Base SKUs'!K:K),"")</f>
        <v>11</v>
      </c>
      <c r="R941" s="7">
        <f>IFERROR(_xlfn.XLOOKUP($A941,'Base SKUs'!$E:$E,'Base SKUs'!S:S),"")</f>
        <v>4.8628934999999989E-3</v>
      </c>
      <c r="S941" s="8">
        <f t="shared" si="72"/>
        <v>1.7409158729999996</v>
      </c>
      <c r="T941" s="7">
        <f>IFERROR(_xlfn.XLOOKUP($A941,'Base SKUs'!$E:$E,'Base SKUs'!R:R),"")</f>
        <v>2260.1390000000001</v>
      </c>
      <c r="U941" s="15">
        <f t="shared" si="73"/>
        <v>3935</v>
      </c>
      <c r="V941" t="str">
        <f t="shared" si="74"/>
        <v>Miami</v>
      </c>
    </row>
    <row r="942" spans="1:22" x14ac:dyDescent="0.2">
      <c r="A942" t="s">
        <v>1309</v>
      </c>
      <c r="B942" s="5">
        <v>150</v>
      </c>
      <c r="C942" s="5">
        <v>0</v>
      </c>
      <c r="D942" s="5">
        <f t="shared" si="70"/>
        <v>150</v>
      </c>
      <c r="E942" s="6">
        <v>13.6614</v>
      </c>
      <c r="F942" s="6">
        <f t="shared" si="71"/>
        <v>2049.21</v>
      </c>
      <c r="G942" t="s">
        <v>6145</v>
      </c>
      <c r="H942">
        <v>9010</v>
      </c>
      <c r="I942" t="str">
        <f>IFERROR(_xlfn.XLOOKUP($A942,'Base SKUs'!$E:$E,'Base SKUs'!A:A),"")</f>
        <v>Ayous JPL</v>
      </c>
      <c r="J942" t="str">
        <f>IFERROR(_xlfn.XLOOKUP($A942,'Base SKUs'!$E:$E,'Base SKUs'!B:B),"")</f>
        <v>Ayous JPL 2x2</v>
      </c>
      <c r="K942" t="str">
        <f>IFERROR(_xlfn.XLOOKUP($A942,'Base SKUs'!$E:$E,'Base SKUs'!C:C),"")</f>
        <v>Long</v>
      </c>
      <c r="L942" t="str">
        <f>IFERROR(_xlfn.XLOOKUP($A942,'Base SKUs'!$E:$E,'Base SKUs'!D:D),"")</f>
        <v>Thermowood</v>
      </c>
      <c r="M942" t="str">
        <f>IFERROR(_xlfn.XLOOKUP($A942,'Base SKUs'!$E:$E,'Base SKUs'!G:G),"")</f>
        <v>Maximo Thermo Ayous JPL</v>
      </c>
      <c r="N942" t="str">
        <f>IFERROR(_xlfn.XLOOKUP($A942,'Base SKUs'!$E:$E,'Base SKUs'!H:H),"")</f>
        <v>S4S E4E</v>
      </c>
      <c r="O942" t="str">
        <f>IFERROR(_xlfn.XLOOKUP($A942,'Base SKUs'!$E:$E,'Base SKUs'!I:I),"")</f>
        <v>-</v>
      </c>
      <c r="P942" t="str">
        <f>IFERROR(_xlfn.XLOOKUP($A942,'Base SKUs'!$E:$E,'Base SKUs'!J:J),"")</f>
        <v>2x2</v>
      </c>
      <c r="Q942">
        <f>IFERROR(_xlfn.XLOOKUP($A942,'Base SKUs'!$E:$E,'Base SKUs'!K:K),"")</f>
        <v>11</v>
      </c>
      <c r="R942" s="7">
        <f>IFERROR(_xlfn.XLOOKUP($A942,'Base SKUs'!$E:$E,'Base SKUs'!S:S),"")</f>
        <v>4.8628934999999989E-3</v>
      </c>
      <c r="S942" s="8">
        <f t="shared" si="72"/>
        <v>0.72943402499999987</v>
      </c>
      <c r="T942" s="7">
        <f>IFERROR(_xlfn.XLOOKUP($A942,'Base SKUs'!$E:$E,'Base SKUs'!R:R),"")</f>
        <v>2260.1390000000001</v>
      </c>
      <c r="U942" s="15">
        <f t="shared" si="73"/>
        <v>1649</v>
      </c>
      <c r="V942" t="str">
        <f t="shared" si="74"/>
        <v>BS Detroit</v>
      </c>
    </row>
    <row r="943" spans="1:22" x14ac:dyDescent="0.2">
      <c r="A943" t="s">
        <v>1311</v>
      </c>
      <c r="B943" s="5">
        <v>70</v>
      </c>
      <c r="C943" s="5">
        <v>0</v>
      </c>
      <c r="D943" s="5">
        <f t="shared" si="70"/>
        <v>70</v>
      </c>
      <c r="E943" s="6">
        <v>20.738</v>
      </c>
      <c r="F943" s="6">
        <f t="shared" si="71"/>
        <v>1451.6599999999999</v>
      </c>
      <c r="G943" t="s">
        <v>17</v>
      </c>
      <c r="H943">
        <v>9007</v>
      </c>
      <c r="I943" t="str">
        <f>IFERROR(_xlfn.XLOOKUP($A943,'Base SKUs'!$E:$E,'Base SKUs'!A:A),"")</f>
        <v>Ayous JPL</v>
      </c>
      <c r="J943" t="str">
        <f>IFERROR(_xlfn.XLOOKUP($A943,'Base SKUs'!$E:$E,'Base SKUs'!B:B),"")</f>
        <v>Ayous JPL 2x2</v>
      </c>
      <c r="K943" t="str">
        <f>IFERROR(_xlfn.XLOOKUP($A943,'Base SKUs'!$E:$E,'Base SKUs'!C:C),"")</f>
        <v>Long</v>
      </c>
      <c r="L943" t="str">
        <f>IFERROR(_xlfn.XLOOKUP($A943,'Base SKUs'!$E:$E,'Base SKUs'!D:D),"")</f>
        <v>Thermowood</v>
      </c>
      <c r="M943" t="str">
        <f>IFERROR(_xlfn.XLOOKUP($A943,'Base SKUs'!$E:$E,'Base SKUs'!G:G),"")</f>
        <v>Maximo Thermo Ayous JPL</v>
      </c>
      <c r="N943" t="str">
        <f>IFERROR(_xlfn.XLOOKUP($A943,'Base SKUs'!$E:$E,'Base SKUs'!H:H),"")</f>
        <v>S4S E4E</v>
      </c>
      <c r="O943" t="str">
        <f>IFERROR(_xlfn.XLOOKUP($A943,'Base SKUs'!$E:$E,'Base SKUs'!I:I),"")</f>
        <v>-</v>
      </c>
      <c r="P943" t="str">
        <f>IFERROR(_xlfn.XLOOKUP($A943,'Base SKUs'!$E:$E,'Base SKUs'!J:J),"")</f>
        <v>2x2</v>
      </c>
      <c r="Q943">
        <f>IFERROR(_xlfn.XLOOKUP($A943,'Base SKUs'!$E:$E,'Base SKUs'!K:K),"")</f>
        <v>12</v>
      </c>
      <c r="R943" s="7">
        <f>IFERROR(_xlfn.XLOOKUP($A943,'Base SKUs'!$E:$E,'Base SKUs'!S:S),"")</f>
        <v>5.312892599999999E-3</v>
      </c>
      <c r="S943" s="8">
        <f t="shared" si="72"/>
        <v>0.37190248199999992</v>
      </c>
      <c r="T943" s="7">
        <f>IFERROR(_xlfn.XLOOKUP($A943,'Base SKUs'!$E:$E,'Base SKUs'!R:R),"")</f>
        <v>2260.1390000000001</v>
      </c>
      <c r="U943" s="15">
        <f t="shared" si="73"/>
        <v>841</v>
      </c>
      <c r="V943" t="str">
        <f t="shared" si="74"/>
        <v>Miami</v>
      </c>
    </row>
    <row r="944" spans="1:22" x14ac:dyDescent="0.2">
      <c r="A944" t="s">
        <v>1311</v>
      </c>
      <c r="B944" s="5">
        <v>648</v>
      </c>
      <c r="C944" s="5">
        <v>0</v>
      </c>
      <c r="D944" s="5">
        <f t="shared" si="70"/>
        <v>648</v>
      </c>
      <c r="E944" s="6">
        <v>14.1921</v>
      </c>
      <c r="F944" s="6">
        <f t="shared" si="71"/>
        <v>9196.4807999999994</v>
      </c>
      <c r="G944" t="s">
        <v>500</v>
      </c>
      <c r="H944">
        <v>9012</v>
      </c>
      <c r="I944" t="str">
        <f>IFERROR(_xlfn.XLOOKUP($A944,'Base SKUs'!$E:$E,'Base SKUs'!A:A),"")</f>
        <v>Ayous JPL</v>
      </c>
      <c r="J944" t="str">
        <f>IFERROR(_xlfn.XLOOKUP($A944,'Base SKUs'!$E:$E,'Base SKUs'!B:B),"")</f>
        <v>Ayous JPL 2x2</v>
      </c>
      <c r="K944" t="str">
        <f>IFERROR(_xlfn.XLOOKUP($A944,'Base SKUs'!$E:$E,'Base SKUs'!C:C),"")</f>
        <v>Long</v>
      </c>
      <c r="L944" t="str">
        <f>IFERROR(_xlfn.XLOOKUP($A944,'Base SKUs'!$E:$E,'Base SKUs'!D:D),"")</f>
        <v>Thermowood</v>
      </c>
      <c r="M944" t="str">
        <f>IFERROR(_xlfn.XLOOKUP($A944,'Base SKUs'!$E:$E,'Base SKUs'!G:G),"")</f>
        <v>Maximo Thermo Ayous JPL</v>
      </c>
      <c r="N944" t="str">
        <f>IFERROR(_xlfn.XLOOKUP($A944,'Base SKUs'!$E:$E,'Base SKUs'!H:H),"")</f>
        <v>S4S E4E</v>
      </c>
      <c r="O944" t="str">
        <f>IFERROR(_xlfn.XLOOKUP($A944,'Base SKUs'!$E:$E,'Base SKUs'!I:I),"")</f>
        <v>-</v>
      </c>
      <c r="P944" t="str">
        <f>IFERROR(_xlfn.XLOOKUP($A944,'Base SKUs'!$E:$E,'Base SKUs'!J:J),"")</f>
        <v>2x2</v>
      </c>
      <c r="Q944">
        <f>IFERROR(_xlfn.XLOOKUP($A944,'Base SKUs'!$E:$E,'Base SKUs'!K:K),"")</f>
        <v>12</v>
      </c>
      <c r="R944" s="7">
        <f>IFERROR(_xlfn.XLOOKUP($A944,'Base SKUs'!$E:$E,'Base SKUs'!S:S),"")</f>
        <v>5.312892599999999E-3</v>
      </c>
      <c r="S944" s="8">
        <f t="shared" si="72"/>
        <v>3.4427544047999992</v>
      </c>
      <c r="T944" s="7">
        <f>IFERROR(_xlfn.XLOOKUP($A944,'Base SKUs'!$E:$E,'Base SKUs'!R:R),"")</f>
        <v>2260.1390000000001</v>
      </c>
      <c r="U944" s="15">
        <f t="shared" si="73"/>
        <v>7781</v>
      </c>
      <c r="V944" t="str">
        <f t="shared" si="74"/>
        <v>HW Perris</v>
      </c>
    </row>
    <row r="945" spans="1:22" x14ac:dyDescent="0.2">
      <c r="A945" t="s">
        <v>1313</v>
      </c>
      <c r="B945" s="5">
        <v>498</v>
      </c>
      <c r="C945" s="5">
        <v>140</v>
      </c>
      <c r="D945" s="5">
        <f t="shared" si="70"/>
        <v>358</v>
      </c>
      <c r="E945" s="6">
        <v>15.0665</v>
      </c>
      <c r="F945" s="6">
        <f t="shared" si="71"/>
        <v>7503.1170000000002</v>
      </c>
      <c r="G945" t="s">
        <v>17</v>
      </c>
      <c r="H945">
        <v>9007</v>
      </c>
      <c r="I945" t="str">
        <f>IFERROR(_xlfn.XLOOKUP($A945,'Base SKUs'!$E:$E,'Base SKUs'!A:A),"")</f>
        <v>Ayous JPL</v>
      </c>
      <c r="J945" t="str">
        <f>IFERROR(_xlfn.XLOOKUP($A945,'Base SKUs'!$E:$E,'Base SKUs'!B:B),"")</f>
        <v>Ayous JPL 2x2</v>
      </c>
      <c r="K945" t="str">
        <f>IFERROR(_xlfn.XLOOKUP($A945,'Base SKUs'!$E:$E,'Base SKUs'!C:C),"")</f>
        <v>Long</v>
      </c>
      <c r="L945" t="str">
        <f>IFERROR(_xlfn.XLOOKUP($A945,'Base SKUs'!$E:$E,'Base SKUs'!D:D),"")</f>
        <v>Thermowood</v>
      </c>
      <c r="M945" t="str">
        <f>IFERROR(_xlfn.XLOOKUP($A945,'Base SKUs'!$E:$E,'Base SKUs'!G:G),"")</f>
        <v>Maximo Thermo Ayous JPL</v>
      </c>
      <c r="N945" t="str">
        <f>IFERROR(_xlfn.XLOOKUP($A945,'Base SKUs'!$E:$E,'Base SKUs'!H:H),"")</f>
        <v>S4S E4E</v>
      </c>
      <c r="O945" t="str">
        <f>IFERROR(_xlfn.XLOOKUP($A945,'Base SKUs'!$E:$E,'Base SKUs'!I:I),"")</f>
        <v>-</v>
      </c>
      <c r="P945" t="str">
        <f>IFERROR(_xlfn.XLOOKUP($A945,'Base SKUs'!$E:$E,'Base SKUs'!J:J),"")</f>
        <v>2x2</v>
      </c>
      <c r="Q945">
        <f>IFERROR(_xlfn.XLOOKUP($A945,'Base SKUs'!$E:$E,'Base SKUs'!K:K),"")</f>
        <v>13</v>
      </c>
      <c r="R945" s="7">
        <f>IFERROR(_xlfn.XLOOKUP($A945,'Base SKUs'!$E:$E,'Base SKUs'!S:S),"")</f>
        <v>5.7483755999999985E-3</v>
      </c>
      <c r="S945" s="8">
        <f t="shared" si="72"/>
        <v>2.0579184647999993</v>
      </c>
      <c r="T945" s="7">
        <f>IFERROR(_xlfn.XLOOKUP($A945,'Base SKUs'!$E:$E,'Base SKUs'!R:R),"")</f>
        <v>2260.1390000000001</v>
      </c>
      <c r="U945" s="15">
        <f t="shared" si="73"/>
        <v>4651</v>
      </c>
      <c r="V945" t="str">
        <f t="shared" si="74"/>
        <v>Miami</v>
      </c>
    </row>
    <row r="946" spans="1:22" x14ac:dyDescent="0.2">
      <c r="A946" t="s">
        <v>1313</v>
      </c>
      <c r="B946" s="5">
        <v>150</v>
      </c>
      <c r="C946" s="5">
        <v>0</v>
      </c>
      <c r="D946" s="5">
        <f t="shared" si="70"/>
        <v>150</v>
      </c>
      <c r="E946" s="6">
        <v>16.145299999999999</v>
      </c>
      <c r="F946" s="6">
        <f t="shared" si="71"/>
        <v>2421.7949999999996</v>
      </c>
      <c r="G946" t="s">
        <v>6145</v>
      </c>
      <c r="H946">
        <v>9010</v>
      </c>
      <c r="I946" t="str">
        <f>IFERROR(_xlfn.XLOOKUP($A946,'Base SKUs'!$E:$E,'Base SKUs'!A:A),"")</f>
        <v>Ayous JPL</v>
      </c>
      <c r="J946" t="str">
        <f>IFERROR(_xlfn.XLOOKUP($A946,'Base SKUs'!$E:$E,'Base SKUs'!B:B),"")</f>
        <v>Ayous JPL 2x2</v>
      </c>
      <c r="K946" t="str">
        <f>IFERROR(_xlfn.XLOOKUP($A946,'Base SKUs'!$E:$E,'Base SKUs'!C:C),"")</f>
        <v>Long</v>
      </c>
      <c r="L946" t="str">
        <f>IFERROR(_xlfn.XLOOKUP($A946,'Base SKUs'!$E:$E,'Base SKUs'!D:D),"")</f>
        <v>Thermowood</v>
      </c>
      <c r="M946" t="str">
        <f>IFERROR(_xlfn.XLOOKUP($A946,'Base SKUs'!$E:$E,'Base SKUs'!G:G),"")</f>
        <v>Maximo Thermo Ayous JPL</v>
      </c>
      <c r="N946" t="str">
        <f>IFERROR(_xlfn.XLOOKUP($A946,'Base SKUs'!$E:$E,'Base SKUs'!H:H),"")</f>
        <v>S4S E4E</v>
      </c>
      <c r="O946" t="str">
        <f>IFERROR(_xlfn.XLOOKUP($A946,'Base SKUs'!$E:$E,'Base SKUs'!I:I),"")</f>
        <v>-</v>
      </c>
      <c r="P946" t="str">
        <f>IFERROR(_xlfn.XLOOKUP($A946,'Base SKUs'!$E:$E,'Base SKUs'!J:J),"")</f>
        <v>2x2</v>
      </c>
      <c r="Q946">
        <f>IFERROR(_xlfn.XLOOKUP($A946,'Base SKUs'!$E:$E,'Base SKUs'!K:K),"")</f>
        <v>13</v>
      </c>
      <c r="R946" s="7">
        <f>IFERROR(_xlfn.XLOOKUP($A946,'Base SKUs'!$E:$E,'Base SKUs'!S:S),"")</f>
        <v>5.7483755999999985E-3</v>
      </c>
      <c r="S946" s="8">
        <f t="shared" si="72"/>
        <v>0.86225633999999973</v>
      </c>
      <c r="T946" s="7">
        <f>IFERROR(_xlfn.XLOOKUP($A946,'Base SKUs'!$E:$E,'Base SKUs'!R:R),"")</f>
        <v>2260.1390000000001</v>
      </c>
      <c r="U946" s="15">
        <f t="shared" si="73"/>
        <v>1949</v>
      </c>
      <c r="V946" t="str">
        <f t="shared" si="74"/>
        <v>BS Detroit</v>
      </c>
    </row>
    <row r="947" spans="1:22" x14ac:dyDescent="0.2">
      <c r="A947" t="s">
        <v>1315</v>
      </c>
      <c r="B947" s="5">
        <v>508</v>
      </c>
      <c r="C947" s="5">
        <v>140</v>
      </c>
      <c r="D947" s="5">
        <f t="shared" si="70"/>
        <v>368</v>
      </c>
      <c r="E947" s="6">
        <v>16.2254</v>
      </c>
      <c r="F947" s="6">
        <f t="shared" si="71"/>
        <v>8242.503200000001</v>
      </c>
      <c r="G947" t="s">
        <v>17</v>
      </c>
      <c r="H947">
        <v>9007</v>
      </c>
      <c r="I947" t="str">
        <f>IFERROR(_xlfn.XLOOKUP($A947,'Base SKUs'!$E:$E,'Base SKUs'!A:A),"")</f>
        <v>Ayous JPL</v>
      </c>
      <c r="J947" t="str">
        <f>IFERROR(_xlfn.XLOOKUP($A947,'Base SKUs'!$E:$E,'Base SKUs'!B:B),"")</f>
        <v>Ayous JPL 2x2</v>
      </c>
      <c r="K947" t="str">
        <f>IFERROR(_xlfn.XLOOKUP($A947,'Base SKUs'!$E:$E,'Base SKUs'!C:C),"")</f>
        <v>Long</v>
      </c>
      <c r="L947" t="str">
        <f>IFERROR(_xlfn.XLOOKUP($A947,'Base SKUs'!$E:$E,'Base SKUs'!D:D),"")</f>
        <v>Thermowood</v>
      </c>
      <c r="M947" t="str">
        <f>IFERROR(_xlfn.XLOOKUP($A947,'Base SKUs'!$E:$E,'Base SKUs'!G:G),"")</f>
        <v>Maximo Thermo Ayous JPL</v>
      </c>
      <c r="N947" t="str">
        <f>IFERROR(_xlfn.XLOOKUP($A947,'Base SKUs'!$E:$E,'Base SKUs'!H:H),"")</f>
        <v>S4S E4E</v>
      </c>
      <c r="O947" t="str">
        <f>IFERROR(_xlfn.XLOOKUP($A947,'Base SKUs'!$E:$E,'Base SKUs'!I:I),"")</f>
        <v>-</v>
      </c>
      <c r="P947" t="str">
        <f>IFERROR(_xlfn.XLOOKUP($A947,'Base SKUs'!$E:$E,'Base SKUs'!J:J),"")</f>
        <v>2x2</v>
      </c>
      <c r="Q947">
        <f>IFERROR(_xlfn.XLOOKUP($A947,'Base SKUs'!$E:$E,'Base SKUs'!K:K),"")</f>
        <v>14</v>
      </c>
      <c r="R947" s="7">
        <f>IFERROR(_xlfn.XLOOKUP($A947,'Base SKUs'!$E:$E,'Base SKUs'!S:S),"")</f>
        <v>6.1983746999999968E-3</v>
      </c>
      <c r="S947" s="8">
        <f t="shared" si="72"/>
        <v>2.2810018895999988</v>
      </c>
      <c r="T947" s="7">
        <f>IFERROR(_xlfn.XLOOKUP($A947,'Base SKUs'!$E:$E,'Base SKUs'!R:R),"")</f>
        <v>2260.1390000000001</v>
      </c>
      <c r="U947" s="15">
        <f t="shared" si="73"/>
        <v>5155</v>
      </c>
      <c r="V947" t="str">
        <f t="shared" si="74"/>
        <v>Miami</v>
      </c>
    </row>
    <row r="948" spans="1:22" x14ac:dyDescent="0.2">
      <c r="A948" t="s">
        <v>1315</v>
      </c>
      <c r="B948" s="5">
        <v>140</v>
      </c>
      <c r="C948" s="5">
        <v>0</v>
      </c>
      <c r="D948" s="5">
        <f t="shared" si="70"/>
        <v>140</v>
      </c>
      <c r="E948" s="6">
        <v>17.3872</v>
      </c>
      <c r="F948" s="6">
        <f t="shared" si="71"/>
        <v>2434.2080000000001</v>
      </c>
      <c r="G948" t="s">
        <v>6145</v>
      </c>
      <c r="H948">
        <v>9010</v>
      </c>
      <c r="I948" t="str">
        <f>IFERROR(_xlfn.XLOOKUP($A948,'Base SKUs'!$E:$E,'Base SKUs'!A:A),"")</f>
        <v>Ayous JPL</v>
      </c>
      <c r="J948" t="str">
        <f>IFERROR(_xlfn.XLOOKUP($A948,'Base SKUs'!$E:$E,'Base SKUs'!B:B),"")</f>
        <v>Ayous JPL 2x2</v>
      </c>
      <c r="K948" t="str">
        <f>IFERROR(_xlfn.XLOOKUP($A948,'Base SKUs'!$E:$E,'Base SKUs'!C:C),"")</f>
        <v>Long</v>
      </c>
      <c r="L948" t="str">
        <f>IFERROR(_xlfn.XLOOKUP($A948,'Base SKUs'!$E:$E,'Base SKUs'!D:D),"")</f>
        <v>Thermowood</v>
      </c>
      <c r="M948" t="str">
        <f>IFERROR(_xlfn.XLOOKUP($A948,'Base SKUs'!$E:$E,'Base SKUs'!G:G),"")</f>
        <v>Maximo Thermo Ayous JPL</v>
      </c>
      <c r="N948" t="str">
        <f>IFERROR(_xlfn.XLOOKUP($A948,'Base SKUs'!$E:$E,'Base SKUs'!H:H),"")</f>
        <v>S4S E4E</v>
      </c>
      <c r="O948" t="str">
        <f>IFERROR(_xlfn.XLOOKUP($A948,'Base SKUs'!$E:$E,'Base SKUs'!I:I),"")</f>
        <v>-</v>
      </c>
      <c r="P948" t="str">
        <f>IFERROR(_xlfn.XLOOKUP($A948,'Base SKUs'!$E:$E,'Base SKUs'!J:J),"")</f>
        <v>2x2</v>
      </c>
      <c r="Q948">
        <f>IFERROR(_xlfn.XLOOKUP($A948,'Base SKUs'!$E:$E,'Base SKUs'!K:K),"")</f>
        <v>14</v>
      </c>
      <c r="R948" s="7">
        <f>IFERROR(_xlfn.XLOOKUP($A948,'Base SKUs'!$E:$E,'Base SKUs'!S:S),"")</f>
        <v>6.1983746999999968E-3</v>
      </c>
      <c r="S948" s="8">
        <f t="shared" si="72"/>
        <v>0.86777245799999958</v>
      </c>
      <c r="T948" s="7">
        <f>IFERROR(_xlfn.XLOOKUP($A948,'Base SKUs'!$E:$E,'Base SKUs'!R:R),"")</f>
        <v>2260.1390000000001</v>
      </c>
      <c r="U948" s="15">
        <f t="shared" si="73"/>
        <v>1961</v>
      </c>
      <c r="V948" t="str">
        <f t="shared" si="74"/>
        <v>BS Detroit</v>
      </c>
    </row>
    <row r="949" spans="1:22" x14ac:dyDescent="0.2">
      <c r="A949" t="s">
        <v>1315</v>
      </c>
      <c r="B949" s="5">
        <v>648</v>
      </c>
      <c r="C949" s="5">
        <v>0</v>
      </c>
      <c r="D949" s="5">
        <f t="shared" si="70"/>
        <v>648</v>
      </c>
      <c r="E949" s="6">
        <v>16.557500000000001</v>
      </c>
      <c r="F949" s="6">
        <f t="shared" si="71"/>
        <v>10729.26</v>
      </c>
      <c r="G949" t="s">
        <v>500</v>
      </c>
      <c r="H949">
        <v>9012</v>
      </c>
      <c r="I949" t="str">
        <f>IFERROR(_xlfn.XLOOKUP($A949,'Base SKUs'!$E:$E,'Base SKUs'!A:A),"")</f>
        <v>Ayous JPL</v>
      </c>
      <c r="J949" t="str">
        <f>IFERROR(_xlfn.XLOOKUP($A949,'Base SKUs'!$E:$E,'Base SKUs'!B:B),"")</f>
        <v>Ayous JPL 2x2</v>
      </c>
      <c r="K949" t="str">
        <f>IFERROR(_xlfn.XLOOKUP($A949,'Base SKUs'!$E:$E,'Base SKUs'!C:C),"")</f>
        <v>Long</v>
      </c>
      <c r="L949" t="str">
        <f>IFERROR(_xlfn.XLOOKUP($A949,'Base SKUs'!$E:$E,'Base SKUs'!D:D),"")</f>
        <v>Thermowood</v>
      </c>
      <c r="M949" t="str">
        <f>IFERROR(_xlfn.XLOOKUP($A949,'Base SKUs'!$E:$E,'Base SKUs'!G:G),"")</f>
        <v>Maximo Thermo Ayous JPL</v>
      </c>
      <c r="N949" t="str">
        <f>IFERROR(_xlfn.XLOOKUP($A949,'Base SKUs'!$E:$E,'Base SKUs'!H:H),"")</f>
        <v>S4S E4E</v>
      </c>
      <c r="O949" t="str">
        <f>IFERROR(_xlfn.XLOOKUP($A949,'Base SKUs'!$E:$E,'Base SKUs'!I:I),"")</f>
        <v>-</v>
      </c>
      <c r="P949" t="str">
        <f>IFERROR(_xlfn.XLOOKUP($A949,'Base SKUs'!$E:$E,'Base SKUs'!J:J),"")</f>
        <v>2x2</v>
      </c>
      <c r="Q949">
        <f>IFERROR(_xlfn.XLOOKUP($A949,'Base SKUs'!$E:$E,'Base SKUs'!K:K),"")</f>
        <v>14</v>
      </c>
      <c r="R949" s="7">
        <f>IFERROR(_xlfn.XLOOKUP($A949,'Base SKUs'!$E:$E,'Base SKUs'!S:S),"")</f>
        <v>6.1983746999999968E-3</v>
      </c>
      <c r="S949" s="8">
        <f t="shared" si="72"/>
        <v>4.0165468055999982</v>
      </c>
      <c r="T949" s="7">
        <f>IFERROR(_xlfn.XLOOKUP($A949,'Base SKUs'!$E:$E,'Base SKUs'!R:R),"")</f>
        <v>2260.1390000000001</v>
      </c>
      <c r="U949" s="15">
        <f t="shared" si="73"/>
        <v>9078</v>
      </c>
      <c r="V949" t="str">
        <f t="shared" si="74"/>
        <v>HW Perris</v>
      </c>
    </row>
    <row r="950" spans="1:22" x14ac:dyDescent="0.2">
      <c r="A950" t="s">
        <v>1317</v>
      </c>
      <c r="B950" s="5">
        <v>492</v>
      </c>
      <c r="C950" s="5">
        <v>100</v>
      </c>
      <c r="D950" s="5">
        <f t="shared" si="70"/>
        <v>392</v>
      </c>
      <c r="E950" s="6">
        <v>18.543299999999999</v>
      </c>
      <c r="F950" s="6">
        <f t="shared" si="71"/>
        <v>9123.3035999999993</v>
      </c>
      <c r="G950" t="s">
        <v>17</v>
      </c>
      <c r="H950">
        <v>9007</v>
      </c>
      <c r="I950" t="str">
        <f>IFERROR(_xlfn.XLOOKUP($A950,'Base SKUs'!$E:$E,'Base SKUs'!A:A),"")</f>
        <v>Ayous JPL</v>
      </c>
      <c r="J950" t="str">
        <f>IFERROR(_xlfn.XLOOKUP($A950,'Base SKUs'!$E:$E,'Base SKUs'!B:B),"")</f>
        <v>Ayous JPL 2x2</v>
      </c>
      <c r="K950" t="str">
        <f>IFERROR(_xlfn.XLOOKUP($A950,'Base SKUs'!$E:$E,'Base SKUs'!C:C),"")</f>
        <v>Long</v>
      </c>
      <c r="L950" t="str">
        <f>IFERROR(_xlfn.XLOOKUP($A950,'Base SKUs'!$E:$E,'Base SKUs'!D:D),"")</f>
        <v>Thermowood</v>
      </c>
      <c r="M950" t="str">
        <f>IFERROR(_xlfn.XLOOKUP($A950,'Base SKUs'!$E:$E,'Base SKUs'!G:G),"")</f>
        <v>Maximo Thermo Ayous JPL</v>
      </c>
      <c r="N950" t="str">
        <f>IFERROR(_xlfn.XLOOKUP($A950,'Base SKUs'!$E:$E,'Base SKUs'!H:H),"")</f>
        <v>S4S E4E</v>
      </c>
      <c r="O950" t="str">
        <f>IFERROR(_xlfn.XLOOKUP($A950,'Base SKUs'!$E:$E,'Base SKUs'!I:I),"")</f>
        <v>-</v>
      </c>
      <c r="P950" t="str">
        <f>IFERROR(_xlfn.XLOOKUP($A950,'Base SKUs'!$E:$E,'Base SKUs'!J:J),"")</f>
        <v>2x2</v>
      </c>
      <c r="Q950">
        <f>IFERROR(_xlfn.XLOOKUP($A950,'Base SKUs'!$E:$E,'Base SKUs'!K:K),"")</f>
        <v>16</v>
      </c>
      <c r="R950" s="7">
        <f>IFERROR(_xlfn.XLOOKUP($A950,'Base SKUs'!$E:$E,'Base SKUs'!S:S),"")</f>
        <v>7.0838567999999989E-3</v>
      </c>
      <c r="S950" s="8">
        <f t="shared" si="72"/>
        <v>2.7768718655999995</v>
      </c>
      <c r="T950" s="7">
        <f>IFERROR(_xlfn.XLOOKUP($A950,'Base SKUs'!$E:$E,'Base SKUs'!R:R),"")</f>
        <v>2260.1390000000001</v>
      </c>
      <c r="U950" s="15">
        <f t="shared" si="73"/>
        <v>6276</v>
      </c>
      <c r="V950" t="str">
        <f t="shared" si="74"/>
        <v>Miami</v>
      </c>
    </row>
    <row r="951" spans="1:22" x14ac:dyDescent="0.2">
      <c r="A951" t="s">
        <v>1317</v>
      </c>
      <c r="B951" s="5">
        <v>140</v>
      </c>
      <c r="C951" s="5">
        <v>0</v>
      </c>
      <c r="D951" s="5">
        <f t="shared" si="70"/>
        <v>140</v>
      </c>
      <c r="E951" s="6">
        <v>19.871099999999998</v>
      </c>
      <c r="F951" s="6">
        <f t="shared" si="71"/>
        <v>2781.9539999999997</v>
      </c>
      <c r="G951" t="s">
        <v>6145</v>
      </c>
      <c r="H951">
        <v>9010</v>
      </c>
      <c r="I951" t="str">
        <f>IFERROR(_xlfn.XLOOKUP($A951,'Base SKUs'!$E:$E,'Base SKUs'!A:A),"")</f>
        <v>Ayous JPL</v>
      </c>
      <c r="J951" t="str">
        <f>IFERROR(_xlfn.XLOOKUP($A951,'Base SKUs'!$E:$E,'Base SKUs'!B:B),"")</f>
        <v>Ayous JPL 2x2</v>
      </c>
      <c r="K951" t="str">
        <f>IFERROR(_xlfn.XLOOKUP($A951,'Base SKUs'!$E:$E,'Base SKUs'!C:C),"")</f>
        <v>Long</v>
      </c>
      <c r="L951" t="str">
        <f>IFERROR(_xlfn.XLOOKUP($A951,'Base SKUs'!$E:$E,'Base SKUs'!D:D),"")</f>
        <v>Thermowood</v>
      </c>
      <c r="M951" t="str">
        <f>IFERROR(_xlfn.XLOOKUP($A951,'Base SKUs'!$E:$E,'Base SKUs'!G:G),"")</f>
        <v>Maximo Thermo Ayous JPL</v>
      </c>
      <c r="N951" t="str">
        <f>IFERROR(_xlfn.XLOOKUP($A951,'Base SKUs'!$E:$E,'Base SKUs'!H:H),"")</f>
        <v>S4S E4E</v>
      </c>
      <c r="O951" t="str">
        <f>IFERROR(_xlfn.XLOOKUP($A951,'Base SKUs'!$E:$E,'Base SKUs'!I:I),"")</f>
        <v>-</v>
      </c>
      <c r="P951" t="str">
        <f>IFERROR(_xlfn.XLOOKUP($A951,'Base SKUs'!$E:$E,'Base SKUs'!J:J),"")</f>
        <v>2x2</v>
      </c>
      <c r="Q951">
        <f>IFERROR(_xlfn.XLOOKUP($A951,'Base SKUs'!$E:$E,'Base SKUs'!K:K),"")</f>
        <v>16</v>
      </c>
      <c r="R951" s="7">
        <f>IFERROR(_xlfn.XLOOKUP($A951,'Base SKUs'!$E:$E,'Base SKUs'!S:S),"")</f>
        <v>7.0838567999999989E-3</v>
      </c>
      <c r="S951" s="8">
        <f t="shared" si="72"/>
        <v>0.99173995199999987</v>
      </c>
      <c r="T951" s="7">
        <f>IFERROR(_xlfn.XLOOKUP($A951,'Base SKUs'!$E:$E,'Base SKUs'!R:R),"")</f>
        <v>2260.1390000000001</v>
      </c>
      <c r="U951" s="15">
        <f t="shared" si="73"/>
        <v>2241</v>
      </c>
      <c r="V951" t="str">
        <f t="shared" si="74"/>
        <v>BS Detroit</v>
      </c>
    </row>
    <row r="952" spans="1:22" x14ac:dyDescent="0.2">
      <c r="A952" t="s">
        <v>1319</v>
      </c>
      <c r="B952" s="5">
        <v>648</v>
      </c>
      <c r="C952" s="5">
        <v>0</v>
      </c>
      <c r="D952" s="5">
        <f t="shared" si="70"/>
        <v>648</v>
      </c>
      <c r="E952" s="6">
        <v>20.105499999999999</v>
      </c>
      <c r="F952" s="6">
        <f t="shared" si="71"/>
        <v>13028.364</v>
      </c>
      <c r="G952" t="s">
        <v>500</v>
      </c>
      <c r="H952">
        <v>9012</v>
      </c>
      <c r="I952" t="str">
        <f>IFERROR(_xlfn.XLOOKUP($A952,'Base SKUs'!$E:$E,'Base SKUs'!A:A),"")</f>
        <v>Ayous JPL</v>
      </c>
      <c r="J952" t="str">
        <f>IFERROR(_xlfn.XLOOKUP($A952,'Base SKUs'!$E:$E,'Base SKUs'!B:B),"")</f>
        <v>Ayous JPL 2x2</v>
      </c>
      <c r="K952" t="str">
        <f>IFERROR(_xlfn.XLOOKUP($A952,'Base SKUs'!$E:$E,'Base SKUs'!C:C),"")</f>
        <v>Long</v>
      </c>
      <c r="L952" t="str">
        <f>IFERROR(_xlfn.XLOOKUP($A952,'Base SKUs'!$E:$E,'Base SKUs'!D:D),"")</f>
        <v>Thermowood</v>
      </c>
      <c r="M952" t="str">
        <f>IFERROR(_xlfn.XLOOKUP($A952,'Base SKUs'!$E:$E,'Base SKUs'!G:G),"")</f>
        <v>Maximo Thermo Ayous JPL</v>
      </c>
      <c r="N952" t="str">
        <f>IFERROR(_xlfn.XLOOKUP($A952,'Base SKUs'!$E:$E,'Base SKUs'!H:H),"")</f>
        <v>S4S E4E</v>
      </c>
      <c r="O952" t="str">
        <f>IFERROR(_xlfn.XLOOKUP($A952,'Base SKUs'!$E:$E,'Base SKUs'!I:I),"")</f>
        <v>-</v>
      </c>
      <c r="P952" t="str">
        <f>IFERROR(_xlfn.XLOOKUP($A952,'Base SKUs'!$E:$E,'Base SKUs'!J:J),"")</f>
        <v>2x2</v>
      </c>
      <c r="Q952">
        <f>IFERROR(_xlfn.XLOOKUP($A952,'Base SKUs'!$E:$E,'Base SKUs'!K:K),"")</f>
        <v>17</v>
      </c>
      <c r="R952" s="7">
        <f>IFERROR(_xlfn.XLOOKUP($A952,'Base SKUs'!$E:$E,'Base SKUs'!S:S),"")</f>
        <v>7.5193397999999976E-3</v>
      </c>
      <c r="S952" s="8">
        <f t="shared" si="72"/>
        <v>4.8725321903999985</v>
      </c>
      <c r="T952" s="7">
        <f>IFERROR(_xlfn.XLOOKUP($A952,'Base SKUs'!$E:$E,'Base SKUs'!R:R),"")</f>
        <v>2260.1390000000001</v>
      </c>
      <c r="U952" s="15">
        <f t="shared" si="73"/>
        <v>11013</v>
      </c>
      <c r="V952" t="str">
        <f t="shared" si="74"/>
        <v>HW Perris</v>
      </c>
    </row>
    <row r="953" spans="1:22" x14ac:dyDescent="0.2">
      <c r="A953" t="s">
        <v>1321</v>
      </c>
      <c r="B953" s="5">
        <v>487</v>
      </c>
      <c r="C953" s="5">
        <v>140</v>
      </c>
      <c r="D953" s="5">
        <f t="shared" si="70"/>
        <v>347</v>
      </c>
      <c r="E953" s="6">
        <v>9.2716999999999992</v>
      </c>
      <c r="F953" s="6">
        <f t="shared" si="71"/>
        <v>4515.3179</v>
      </c>
      <c r="G953" t="s">
        <v>17</v>
      </c>
      <c r="H953">
        <v>9007</v>
      </c>
      <c r="I953" t="str">
        <f>IFERROR(_xlfn.XLOOKUP($A953,'Base SKUs'!$E:$E,'Base SKUs'!A:A),"")</f>
        <v>Ayous JPL</v>
      </c>
      <c r="J953" t="str">
        <f>IFERROR(_xlfn.XLOOKUP($A953,'Base SKUs'!$E:$E,'Base SKUs'!B:B),"")</f>
        <v>Ayous JPL 2x2</v>
      </c>
      <c r="K953" t="str">
        <f>IFERROR(_xlfn.XLOOKUP($A953,'Base SKUs'!$E:$E,'Base SKUs'!C:C),"")</f>
        <v>Long</v>
      </c>
      <c r="L953" t="str">
        <f>IFERROR(_xlfn.XLOOKUP($A953,'Base SKUs'!$E:$E,'Base SKUs'!D:D),"")</f>
        <v>Thermowood</v>
      </c>
      <c r="M953" t="str">
        <f>IFERROR(_xlfn.XLOOKUP($A953,'Base SKUs'!$E:$E,'Base SKUs'!G:G),"")</f>
        <v>Maximo Thermo Ayous JPL</v>
      </c>
      <c r="N953" t="str">
        <f>IFERROR(_xlfn.XLOOKUP($A953,'Base SKUs'!$E:$E,'Base SKUs'!H:H),"")</f>
        <v>S4S E4E</v>
      </c>
      <c r="O953" t="str">
        <f>IFERROR(_xlfn.XLOOKUP($A953,'Base SKUs'!$E:$E,'Base SKUs'!I:I),"")</f>
        <v>-</v>
      </c>
      <c r="P953" t="str">
        <f>IFERROR(_xlfn.XLOOKUP($A953,'Base SKUs'!$E:$E,'Base SKUs'!J:J),"")</f>
        <v>2x2</v>
      </c>
      <c r="Q953">
        <f>IFERROR(_xlfn.XLOOKUP($A953,'Base SKUs'!$E:$E,'Base SKUs'!K:K),"")</f>
        <v>8</v>
      </c>
      <c r="R953" s="7">
        <f>IFERROR(_xlfn.XLOOKUP($A953,'Base SKUs'!$E:$E,'Base SKUs'!S:S),"")</f>
        <v>3.5419283999999994E-3</v>
      </c>
      <c r="S953" s="8">
        <f t="shared" si="72"/>
        <v>1.2290491547999998</v>
      </c>
      <c r="T953" s="7">
        <f>IFERROR(_xlfn.XLOOKUP($A953,'Base SKUs'!$E:$E,'Base SKUs'!R:R),"")</f>
        <v>2260.1390000000001</v>
      </c>
      <c r="U953" s="15">
        <f t="shared" si="73"/>
        <v>2778</v>
      </c>
      <c r="V953" t="str">
        <f t="shared" si="74"/>
        <v>Miami</v>
      </c>
    </row>
    <row r="954" spans="1:22" x14ac:dyDescent="0.2">
      <c r="A954" t="s">
        <v>1321</v>
      </c>
      <c r="B954" s="5">
        <v>150</v>
      </c>
      <c r="C954" s="5">
        <v>0</v>
      </c>
      <c r="D954" s="5">
        <f t="shared" si="70"/>
        <v>150</v>
      </c>
      <c r="E954" s="6">
        <v>9.9356000000000009</v>
      </c>
      <c r="F954" s="6">
        <f t="shared" si="71"/>
        <v>1490.3400000000001</v>
      </c>
      <c r="G954" t="s">
        <v>6145</v>
      </c>
      <c r="H954">
        <v>9010</v>
      </c>
      <c r="I954" t="str">
        <f>IFERROR(_xlfn.XLOOKUP($A954,'Base SKUs'!$E:$E,'Base SKUs'!A:A),"")</f>
        <v>Ayous JPL</v>
      </c>
      <c r="J954" t="str">
        <f>IFERROR(_xlfn.XLOOKUP($A954,'Base SKUs'!$E:$E,'Base SKUs'!B:B),"")</f>
        <v>Ayous JPL 2x2</v>
      </c>
      <c r="K954" t="str">
        <f>IFERROR(_xlfn.XLOOKUP($A954,'Base SKUs'!$E:$E,'Base SKUs'!C:C),"")</f>
        <v>Long</v>
      </c>
      <c r="L954" t="str">
        <f>IFERROR(_xlfn.XLOOKUP($A954,'Base SKUs'!$E:$E,'Base SKUs'!D:D),"")</f>
        <v>Thermowood</v>
      </c>
      <c r="M954" t="str">
        <f>IFERROR(_xlfn.XLOOKUP($A954,'Base SKUs'!$E:$E,'Base SKUs'!G:G),"")</f>
        <v>Maximo Thermo Ayous JPL</v>
      </c>
      <c r="N954" t="str">
        <f>IFERROR(_xlfn.XLOOKUP($A954,'Base SKUs'!$E:$E,'Base SKUs'!H:H),"")</f>
        <v>S4S E4E</v>
      </c>
      <c r="O954" t="str">
        <f>IFERROR(_xlfn.XLOOKUP($A954,'Base SKUs'!$E:$E,'Base SKUs'!I:I),"")</f>
        <v>-</v>
      </c>
      <c r="P954" t="str">
        <f>IFERROR(_xlfn.XLOOKUP($A954,'Base SKUs'!$E:$E,'Base SKUs'!J:J),"")</f>
        <v>2x2</v>
      </c>
      <c r="Q954">
        <f>IFERROR(_xlfn.XLOOKUP($A954,'Base SKUs'!$E:$E,'Base SKUs'!K:K),"")</f>
        <v>8</v>
      </c>
      <c r="R954" s="7">
        <f>IFERROR(_xlfn.XLOOKUP($A954,'Base SKUs'!$E:$E,'Base SKUs'!S:S),"")</f>
        <v>3.5419283999999994E-3</v>
      </c>
      <c r="S954" s="8">
        <f t="shared" si="72"/>
        <v>0.53128925999999987</v>
      </c>
      <c r="T954" s="7">
        <f>IFERROR(_xlfn.XLOOKUP($A954,'Base SKUs'!$E:$E,'Base SKUs'!R:R),"")</f>
        <v>2260.1390000000001</v>
      </c>
      <c r="U954" s="15">
        <f t="shared" si="73"/>
        <v>1201</v>
      </c>
      <c r="V954" t="str">
        <f t="shared" si="74"/>
        <v>BS Detroit</v>
      </c>
    </row>
    <row r="955" spans="1:22" x14ac:dyDescent="0.2">
      <c r="A955" t="s">
        <v>1321</v>
      </c>
      <c r="B955" s="5">
        <v>648</v>
      </c>
      <c r="C955" s="5">
        <v>0</v>
      </c>
      <c r="D955" s="5">
        <f t="shared" si="70"/>
        <v>648</v>
      </c>
      <c r="E955" s="6">
        <v>9.4613999999999994</v>
      </c>
      <c r="F955" s="6">
        <f t="shared" si="71"/>
        <v>6130.9871999999996</v>
      </c>
      <c r="G955" t="s">
        <v>500</v>
      </c>
      <c r="H955">
        <v>9012</v>
      </c>
      <c r="I955" t="str">
        <f>IFERROR(_xlfn.XLOOKUP($A955,'Base SKUs'!$E:$E,'Base SKUs'!A:A),"")</f>
        <v>Ayous JPL</v>
      </c>
      <c r="J955" t="str">
        <f>IFERROR(_xlfn.XLOOKUP($A955,'Base SKUs'!$E:$E,'Base SKUs'!B:B),"")</f>
        <v>Ayous JPL 2x2</v>
      </c>
      <c r="K955" t="str">
        <f>IFERROR(_xlfn.XLOOKUP($A955,'Base SKUs'!$E:$E,'Base SKUs'!C:C),"")</f>
        <v>Long</v>
      </c>
      <c r="L955" t="str">
        <f>IFERROR(_xlfn.XLOOKUP($A955,'Base SKUs'!$E:$E,'Base SKUs'!D:D),"")</f>
        <v>Thermowood</v>
      </c>
      <c r="M955" t="str">
        <f>IFERROR(_xlfn.XLOOKUP($A955,'Base SKUs'!$E:$E,'Base SKUs'!G:G),"")</f>
        <v>Maximo Thermo Ayous JPL</v>
      </c>
      <c r="N955" t="str">
        <f>IFERROR(_xlfn.XLOOKUP($A955,'Base SKUs'!$E:$E,'Base SKUs'!H:H),"")</f>
        <v>S4S E4E</v>
      </c>
      <c r="O955" t="str">
        <f>IFERROR(_xlfn.XLOOKUP($A955,'Base SKUs'!$E:$E,'Base SKUs'!I:I),"")</f>
        <v>-</v>
      </c>
      <c r="P955" t="str">
        <f>IFERROR(_xlfn.XLOOKUP($A955,'Base SKUs'!$E:$E,'Base SKUs'!J:J),"")</f>
        <v>2x2</v>
      </c>
      <c r="Q955">
        <f>IFERROR(_xlfn.XLOOKUP($A955,'Base SKUs'!$E:$E,'Base SKUs'!K:K),"")</f>
        <v>8</v>
      </c>
      <c r="R955" s="7">
        <f>IFERROR(_xlfn.XLOOKUP($A955,'Base SKUs'!$E:$E,'Base SKUs'!S:S),"")</f>
        <v>3.5419283999999994E-3</v>
      </c>
      <c r="S955" s="8">
        <f t="shared" si="72"/>
        <v>2.2951696031999997</v>
      </c>
      <c r="T955" s="7">
        <f>IFERROR(_xlfn.XLOOKUP($A955,'Base SKUs'!$E:$E,'Base SKUs'!R:R),"")</f>
        <v>2260.1390000000001</v>
      </c>
      <c r="U955" s="15">
        <f t="shared" si="73"/>
        <v>5187</v>
      </c>
      <c r="V955" t="str">
        <f t="shared" si="74"/>
        <v>HW Perris</v>
      </c>
    </row>
    <row r="956" spans="1:22" x14ac:dyDescent="0.2">
      <c r="A956" t="s">
        <v>1323</v>
      </c>
      <c r="B956" s="5">
        <v>493</v>
      </c>
      <c r="C956" s="5">
        <v>160</v>
      </c>
      <c r="D956" s="5">
        <f t="shared" si="70"/>
        <v>333</v>
      </c>
      <c r="E956" s="6">
        <v>10.4306</v>
      </c>
      <c r="F956" s="6">
        <f t="shared" si="71"/>
        <v>5142.2857999999997</v>
      </c>
      <c r="G956" t="s">
        <v>17</v>
      </c>
      <c r="H956">
        <v>9007</v>
      </c>
      <c r="I956" t="str">
        <f>IFERROR(_xlfn.XLOOKUP($A956,'Base SKUs'!$E:$E,'Base SKUs'!A:A),"")</f>
        <v>Ayous JPL</v>
      </c>
      <c r="J956" t="str">
        <f>IFERROR(_xlfn.XLOOKUP($A956,'Base SKUs'!$E:$E,'Base SKUs'!B:B),"")</f>
        <v>Ayous JPL 2x2</v>
      </c>
      <c r="K956" t="str">
        <f>IFERROR(_xlfn.XLOOKUP($A956,'Base SKUs'!$E:$E,'Base SKUs'!C:C),"")</f>
        <v>Long</v>
      </c>
      <c r="L956" t="str">
        <f>IFERROR(_xlfn.XLOOKUP($A956,'Base SKUs'!$E:$E,'Base SKUs'!D:D),"")</f>
        <v>Thermowood</v>
      </c>
      <c r="M956" t="str">
        <f>IFERROR(_xlfn.XLOOKUP($A956,'Base SKUs'!$E:$E,'Base SKUs'!G:G),"")</f>
        <v>Maximo Thermo Ayous JPL</v>
      </c>
      <c r="N956" t="str">
        <f>IFERROR(_xlfn.XLOOKUP($A956,'Base SKUs'!$E:$E,'Base SKUs'!H:H),"")</f>
        <v>S4S E4E</v>
      </c>
      <c r="O956" t="str">
        <f>IFERROR(_xlfn.XLOOKUP($A956,'Base SKUs'!$E:$E,'Base SKUs'!I:I),"")</f>
        <v>-</v>
      </c>
      <c r="P956" t="str">
        <f>IFERROR(_xlfn.XLOOKUP($A956,'Base SKUs'!$E:$E,'Base SKUs'!J:J),"")</f>
        <v>2x2</v>
      </c>
      <c r="Q956">
        <f>IFERROR(_xlfn.XLOOKUP($A956,'Base SKUs'!$E:$E,'Base SKUs'!K:K),"")</f>
        <v>9</v>
      </c>
      <c r="R956" s="7">
        <f>IFERROR(_xlfn.XLOOKUP($A956,'Base SKUs'!$E:$E,'Base SKUs'!S:S),"")</f>
        <v>3.9774113999999985E-3</v>
      </c>
      <c r="S956" s="8">
        <f t="shared" si="72"/>
        <v>1.3244779961999995</v>
      </c>
      <c r="T956" s="7">
        <f>IFERROR(_xlfn.XLOOKUP($A956,'Base SKUs'!$E:$E,'Base SKUs'!R:R),"")</f>
        <v>2260.1390000000001</v>
      </c>
      <c r="U956" s="15">
        <f t="shared" si="73"/>
        <v>2994</v>
      </c>
      <c r="V956" t="str">
        <f t="shared" si="74"/>
        <v>Miami</v>
      </c>
    </row>
    <row r="957" spans="1:22" x14ac:dyDescent="0.2">
      <c r="A957" t="s">
        <v>1323</v>
      </c>
      <c r="B957" s="5">
        <v>150</v>
      </c>
      <c r="C957" s="5">
        <v>0</v>
      </c>
      <c r="D957" s="5">
        <f t="shared" si="70"/>
        <v>150</v>
      </c>
      <c r="E957" s="6">
        <v>11.1775</v>
      </c>
      <c r="F957" s="6">
        <f t="shared" si="71"/>
        <v>1676.625</v>
      </c>
      <c r="G957" t="s">
        <v>6145</v>
      </c>
      <c r="H957">
        <v>9010</v>
      </c>
      <c r="I957" t="str">
        <f>IFERROR(_xlfn.XLOOKUP($A957,'Base SKUs'!$E:$E,'Base SKUs'!A:A),"")</f>
        <v>Ayous JPL</v>
      </c>
      <c r="J957" t="str">
        <f>IFERROR(_xlfn.XLOOKUP($A957,'Base SKUs'!$E:$E,'Base SKUs'!B:B),"")</f>
        <v>Ayous JPL 2x2</v>
      </c>
      <c r="K957" t="str">
        <f>IFERROR(_xlfn.XLOOKUP($A957,'Base SKUs'!$E:$E,'Base SKUs'!C:C),"")</f>
        <v>Long</v>
      </c>
      <c r="L957" t="str">
        <f>IFERROR(_xlfn.XLOOKUP($A957,'Base SKUs'!$E:$E,'Base SKUs'!D:D),"")</f>
        <v>Thermowood</v>
      </c>
      <c r="M957" t="str">
        <f>IFERROR(_xlfn.XLOOKUP($A957,'Base SKUs'!$E:$E,'Base SKUs'!G:G),"")</f>
        <v>Maximo Thermo Ayous JPL</v>
      </c>
      <c r="N957" t="str">
        <f>IFERROR(_xlfn.XLOOKUP($A957,'Base SKUs'!$E:$E,'Base SKUs'!H:H),"")</f>
        <v>S4S E4E</v>
      </c>
      <c r="O957" t="str">
        <f>IFERROR(_xlfn.XLOOKUP($A957,'Base SKUs'!$E:$E,'Base SKUs'!I:I),"")</f>
        <v>-</v>
      </c>
      <c r="P957" t="str">
        <f>IFERROR(_xlfn.XLOOKUP($A957,'Base SKUs'!$E:$E,'Base SKUs'!J:J),"")</f>
        <v>2x2</v>
      </c>
      <c r="Q957">
        <f>IFERROR(_xlfn.XLOOKUP($A957,'Base SKUs'!$E:$E,'Base SKUs'!K:K),"")</f>
        <v>9</v>
      </c>
      <c r="R957" s="7">
        <f>IFERROR(_xlfn.XLOOKUP($A957,'Base SKUs'!$E:$E,'Base SKUs'!S:S),"")</f>
        <v>3.9774113999999985E-3</v>
      </c>
      <c r="S957" s="8">
        <f t="shared" si="72"/>
        <v>0.5966117099999998</v>
      </c>
      <c r="T957" s="7">
        <f>IFERROR(_xlfn.XLOOKUP($A957,'Base SKUs'!$E:$E,'Base SKUs'!R:R),"")</f>
        <v>2260.1390000000001</v>
      </c>
      <c r="U957" s="15">
        <f t="shared" si="73"/>
        <v>1348</v>
      </c>
      <c r="V957" t="str">
        <f t="shared" si="74"/>
        <v>BS Detroit</v>
      </c>
    </row>
    <row r="958" spans="1:22" x14ac:dyDescent="0.2">
      <c r="A958" t="s">
        <v>1323</v>
      </c>
      <c r="B958" s="5">
        <v>648</v>
      </c>
      <c r="C958" s="5">
        <v>0</v>
      </c>
      <c r="D958" s="5">
        <f t="shared" si="70"/>
        <v>648</v>
      </c>
      <c r="E958" s="6">
        <v>10.6441</v>
      </c>
      <c r="F958" s="6">
        <f t="shared" si="71"/>
        <v>6897.3768</v>
      </c>
      <c r="G958" t="s">
        <v>500</v>
      </c>
      <c r="H958">
        <v>9012</v>
      </c>
      <c r="I958" t="str">
        <f>IFERROR(_xlfn.XLOOKUP($A958,'Base SKUs'!$E:$E,'Base SKUs'!A:A),"")</f>
        <v>Ayous JPL</v>
      </c>
      <c r="J958" t="str">
        <f>IFERROR(_xlfn.XLOOKUP($A958,'Base SKUs'!$E:$E,'Base SKUs'!B:B),"")</f>
        <v>Ayous JPL 2x2</v>
      </c>
      <c r="K958" t="str">
        <f>IFERROR(_xlfn.XLOOKUP($A958,'Base SKUs'!$E:$E,'Base SKUs'!C:C),"")</f>
        <v>Long</v>
      </c>
      <c r="L958" t="str">
        <f>IFERROR(_xlfn.XLOOKUP($A958,'Base SKUs'!$E:$E,'Base SKUs'!D:D),"")</f>
        <v>Thermowood</v>
      </c>
      <c r="M958" t="str">
        <f>IFERROR(_xlfn.XLOOKUP($A958,'Base SKUs'!$E:$E,'Base SKUs'!G:G),"")</f>
        <v>Maximo Thermo Ayous JPL</v>
      </c>
      <c r="N958" t="str">
        <f>IFERROR(_xlfn.XLOOKUP($A958,'Base SKUs'!$E:$E,'Base SKUs'!H:H),"")</f>
        <v>S4S E4E</v>
      </c>
      <c r="O958" t="str">
        <f>IFERROR(_xlfn.XLOOKUP($A958,'Base SKUs'!$E:$E,'Base SKUs'!I:I),"")</f>
        <v>-</v>
      </c>
      <c r="P958" t="str">
        <f>IFERROR(_xlfn.XLOOKUP($A958,'Base SKUs'!$E:$E,'Base SKUs'!J:J),"")</f>
        <v>2x2</v>
      </c>
      <c r="Q958">
        <f>IFERROR(_xlfn.XLOOKUP($A958,'Base SKUs'!$E:$E,'Base SKUs'!K:K),"")</f>
        <v>9</v>
      </c>
      <c r="R958" s="7">
        <f>IFERROR(_xlfn.XLOOKUP($A958,'Base SKUs'!$E:$E,'Base SKUs'!S:S),"")</f>
        <v>3.9774113999999985E-3</v>
      </c>
      <c r="S958" s="8">
        <f t="shared" si="72"/>
        <v>2.5773625871999992</v>
      </c>
      <c r="T958" s="7">
        <f>IFERROR(_xlfn.XLOOKUP($A958,'Base SKUs'!$E:$E,'Base SKUs'!R:R),"")</f>
        <v>2260.1390000000001</v>
      </c>
      <c r="U958" s="15">
        <f t="shared" si="73"/>
        <v>5825</v>
      </c>
      <c r="V958" t="str">
        <f t="shared" si="74"/>
        <v>HW Perris</v>
      </c>
    </row>
    <row r="959" spans="1:22" x14ac:dyDescent="0.2">
      <c r="A959" t="s">
        <v>1325</v>
      </c>
      <c r="B959" s="5">
        <v>834</v>
      </c>
      <c r="C959" s="5">
        <v>10</v>
      </c>
      <c r="D959" s="5">
        <f t="shared" si="70"/>
        <v>824</v>
      </c>
      <c r="E959" s="6">
        <v>20.9453</v>
      </c>
      <c r="F959" s="6">
        <f t="shared" si="71"/>
        <v>17468.3802</v>
      </c>
      <c r="G959" t="s">
        <v>17</v>
      </c>
      <c r="H959">
        <v>9007</v>
      </c>
      <c r="I959" t="str">
        <f>IFERROR(_xlfn.XLOOKUP($A959,'Base SKUs'!$E:$E,'Base SKUs'!A:A),"")</f>
        <v>Ayous JPL</v>
      </c>
      <c r="J959" t="str">
        <f>IFERROR(_xlfn.XLOOKUP($A959,'Base SKUs'!$E:$E,'Base SKUs'!B:B),"")</f>
        <v>Ayous JPL 2x4</v>
      </c>
      <c r="K959" t="str">
        <f>IFERROR(_xlfn.XLOOKUP($A959,'Base SKUs'!$E:$E,'Base SKUs'!C:C),"")</f>
        <v>Long</v>
      </c>
      <c r="L959" t="str">
        <f>IFERROR(_xlfn.XLOOKUP($A959,'Base SKUs'!$E:$E,'Base SKUs'!D:D),"")</f>
        <v>Thermowood</v>
      </c>
      <c r="M959" t="str">
        <f>IFERROR(_xlfn.XLOOKUP($A959,'Base SKUs'!$E:$E,'Base SKUs'!G:G),"")</f>
        <v>Maximo Thermo Ayous JPL</v>
      </c>
      <c r="N959" t="str">
        <f>IFERROR(_xlfn.XLOOKUP($A959,'Base SKUs'!$E:$E,'Base SKUs'!H:H),"")</f>
        <v>S4S E4E</v>
      </c>
      <c r="O959" t="str">
        <f>IFERROR(_xlfn.XLOOKUP($A959,'Base SKUs'!$E:$E,'Base SKUs'!I:I),"")</f>
        <v>-</v>
      </c>
      <c r="P959" t="str">
        <f>IFERROR(_xlfn.XLOOKUP($A959,'Base SKUs'!$E:$E,'Base SKUs'!J:J),"")</f>
        <v>2x4</v>
      </c>
      <c r="Q959">
        <f>IFERROR(_xlfn.XLOOKUP($A959,'Base SKUs'!$E:$E,'Base SKUs'!K:K),"")</f>
        <v>10</v>
      </c>
      <c r="R959" s="7">
        <f>IFERROR(_xlfn.XLOOKUP($A959,'Base SKUs'!$E:$E,'Base SKUs'!S:S),"")</f>
        <v>1.0330624499999998E-2</v>
      </c>
      <c r="S959" s="8">
        <f t="shared" si="72"/>
        <v>8.5124345879999979</v>
      </c>
      <c r="T959" s="7">
        <f>IFERROR(_xlfn.XLOOKUP($A959,'Base SKUs'!$E:$E,'Base SKUs'!R:R),"")</f>
        <v>968.63099999999997</v>
      </c>
      <c r="U959" s="15">
        <f t="shared" si="73"/>
        <v>8245</v>
      </c>
      <c r="V959" t="str">
        <f t="shared" si="74"/>
        <v>Miami</v>
      </c>
    </row>
    <row r="960" spans="1:22" x14ac:dyDescent="0.2">
      <c r="A960" t="s">
        <v>1327</v>
      </c>
      <c r="B960" s="5">
        <v>374</v>
      </c>
      <c r="C960" s="5">
        <v>0</v>
      </c>
      <c r="D960" s="5">
        <f t="shared" si="70"/>
        <v>374</v>
      </c>
      <c r="E960" s="6">
        <v>23.031400000000001</v>
      </c>
      <c r="F960" s="6">
        <f t="shared" si="71"/>
        <v>8613.7435999999998</v>
      </c>
      <c r="G960" t="s">
        <v>17</v>
      </c>
      <c r="H960">
        <v>9007</v>
      </c>
      <c r="I960" t="str">
        <f>IFERROR(_xlfn.XLOOKUP($A960,'Base SKUs'!$E:$E,'Base SKUs'!A:A),"")</f>
        <v>Ayous JPL</v>
      </c>
      <c r="J960" t="str">
        <f>IFERROR(_xlfn.XLOOKUP($A960,'Base SKUs'!$E:$E,'Base SKUs'!B:B),"")</f>
        <v>Ayous JPL 2x4</v>
      </c>
      <c r="K960" t="str">
        <f>IFERROR(_xlfn.XLOOKUP($A960,'Base SKUs'!$E:$E,'Base SKUs'!C:C),"")</f>
        <v>Long</v>
      </c>
      <c r="L960" t="str">
        <f>IFERROR(_xlfn.XLOOKUP($A960,'Base SKUs'!$E:$E,'Base SKUs'!D:D),"")</f>
        <v>Thermowood</v>
      </c>
      <c r="M960" t="str">
        <f>IFERROR(_xlfn.XLOOKUP($A960,'Base SKUs'!$E:$E,'Base SKUs'!G:G),"")</f>
        <v>Maximo Thermo Ayous JPL</v>
      </c>
      <c r="N960" t="str">
        <f>IFERROR(_xlfn.XLOOKUP($A960,'Base SKUs'!$E:$E,'Base SKUs'!H:H),"")</f>
        <v>S4S E4E</v>
      </c>
      <c r="O960" t="str">
        <f>IFERROR(_xlfn.XLOOKUP($A960,'Base SKUs'!$E:$E,'Base SKUs'!I:I),"")</f>
        <v>-</v>
      </c>
      <c r="P960" t="str">
        <f>IFERROR(_xlfn.XLOOKUP($A960,'Base SKUs'!$E:$E,'Base SKUs'!J:J),"")</f>
        <v>2x4</v>
      </c>
      <c r="Q960">
        <f>IFERROR(_xlfn.XLOOKUP($A960,'Base SKUs'!$E:$E,'Base SKUs'!K:K),"")</f>
        <v>11</v>
      </c>
      <c r="R960" s="7">
        <f>IFERROR(_xlfn.XLOOKUP($A960,'Base SKUs'!$E:$E,'Base SKUs'!S:S),"")</f>
        <v>1.1346751499999998E-2</v>
      </c>
      <c r="S960" s="8">
        <f t="shared" si="72"/>
        <v>4.243685060999999</v>
      </c>
      <c r="T960" s="7">
        <f>IFERROR(_xlfn.XLOOKUP($A960,'Base SKUs'!$E:$E,'Base SKUs'!R:R),"")</f>
        <v>968.63099999999997</v>
      </c>
      <c r="U960" s="15">
        <f t="shared" si="73"/>
        <v>4111</v>
      </c>
      <c r="V960" t="str">
        <f t="shared" si="74"/>
        <v>Miami</v>
      </c>
    </row>
    <row r="961" spans="1:22" x14ac:dyDescent="0.2">
      <c r="A961" t="s">
        <v>1329</v>
      </c>
      <c r="B961" s="5">
        <v>14</v>
      </c>
      <c r="C961" s="5">
        <v>1</v>
      </c>
      <c r="D961" s="5">
        <f t="shared" si="70"/>
        <v>13</v>
      </c>
      <c r="E961" s="6">
        <v>25.125699999999998</v>
      </c>
      <c r="F961" s="6">
        <f t="shared" si="71"/>
        <v>351.75979999999998</v>
      </c>
      <c r="G961" t="s">
        <v>17</v>
      </c>
      <c r="H961">
        <v>9007</v>
      </c>
      <c r="I961" t="str">
        <f>IFERROR(_xlfn.XLOOKUP($A961,'Base SKUs'!$E:$E,'Base SKUs'!A:A),"")</f>
        <v>Ayous JPL</v>
      </c>
      <c r="J961" t="str">
        <f>IFERROR(_xlfn.XLOOKUP($A961,'Base SKUs'!$E:$E,'Base SKUs'!B:B),"")</f>
        <v>Ayous JPL 2x4</v>
      </c>
      <c r="K961" t="str">
        <f>IFERROR(_xlfn.XLOOKUP($A961,'Base SKUs'!$E:$E,'Base SKUs'!C:C),"")</f>
        <v>Long</v>
      </c>
      <c r="L961" t="str">
        <f>IFERROR(_xlfn.XLOOKUP($A961,'Base SKUs'!$E:$E,'Base SKUs'!D:D),"")</f>
        <v>Thermowood</v>
      </c>
      <c r="M961" t="str">
        <f>IFERROR(_xlfn.XLOOKUP($A961,'Base SKUs'!$E:$E,'Base SKUs'!G:G),"")</f>
        <v>Maximo Thermo Ayous JPL</v>
      </c>
      <c r="N961" t="str">
        <f>IFERROR(_xlfn.XLOOKUP($A961,'Base SKUs'!$E:$E,'Base SKUs'!H:H),"")</f>
        <v>S4S E4E</v>
      </c>
      <c r="O961" t="str">
        <f>IFERROR(_xlfn.XLOOKUP($A961,'Base SKUs'!$E:$E,'Base SKUs'!I:I),"")</f>
        <v>-</v>
      </c>
      <c r="P961" t="str">
        <f>IFERROR(_xlfn.XLOOKUP($A961,'Base SKUs'!$E:$E,'Base SKUs'!J:J),"")</f>
        <v>2x4</v>
      </c>
      <c r="Q961">
        <f>IFERROR(_xlfn.XLOOKUP($A961,'Base SKUs'!$E:$E,'Base SKUs'!K:K),"")</f>
        <v>12</v>
      </c>
      <c r="R961" s="7">
        <f>IFERROR(_xlfn.XLOOKUP($A961,'Base SKUs'!$E:$E,'Base SKUs'!S:S),"")</f>
        <v>1.2396749399999997E-2</v>
      </c>
      <c r="S961" s="8">
        <f t="shared" si="72"/>
        <v>0.16115774219999995</v>
      </c>
      <c r="T961" s="7">
        <f>IFERROR(_xlfn.XLOOKUP($A961,'Base SKUs'!$E:$E,'Base SKUs'!R:R),"")</f>
        <v>968.63099999999997</v>
      </c>
      <c r="U961" s="15">
        <f t="shared" si="73"/>
        <v>156</v>
      </c>
      <c r="V961" t="str">
        <f t="shared" si="74"/>
        <v>Miami</v>
      </c>
    </row>
    <row r="962" spans="1:22" x14ac:dyDescent="0.2">
      <c r="A962" t="s">
        <v>1329</v>
      </c>
      <c r="B962" s="5">
        <v>264</v>
      </c>
      <c r="C962" s="5">
        <v>0</v>
      </c>
      <c r="D962" s="5">
        <f t="shared" ref="D962:D1025" si="75">B962-C962</f>
        <v>264</v>
      </c>
      <c r="E962" s="6">
        <v>25.532699999999998</v>
      </c>
      <c r="F962" s="6">
        <f t="shared" ref="F962:F1025" si="76">B962*E962</f>
        <v>6740.6327999999994</v>
      </c>
      <c r="G962" t="s">
        <v>500</v>
      </c>
      <c r="H962">
        <v>9012</v>
      </c>
      <c r="I962" t="str">
        <f>IFERROR(_xlfn.XLOOKUP($A962,'Base SKUs'!$E:$E,'Base SKUs'!A:A),"")</f>
        <v>Ayous JPL</v>
      </c>
      <c r="J962" t="str">
        <f>IFERROR(_xlfn.XLOOKUP($A962,'Base SKUs'!$E:$E,'Base SKUs'!B:B),"")</f>
        <v>Ayous JPL 2x4</v>
      </c>
      <c r="K962" t="str">
        <f>IFERROR(_xlfn.XLOOKUP($A962,'Base SKUs'!$E:$E,'Base SKUs'!C:C),"")</f>
        <v>Long</v>
      </c>
      <c r="L962" t="str">
        <f>IFERROR(_xlfn.XLOOKUP($A962,'Base SKUs'!$E:$E,'Base SKUs'!D:D),"")</f>
        <v>Thermowood</v>
      </c>
      <c r="M962" t="str">
        <f>IFERROR(_xlfn.XLOOKUP($A962,'Base SKUs'!$E:$E,'Base SKUs'!G:G),"")</f>
        <v>Maximo Thermo Ayous JPL</v>
      </c>
      <c r="N962" t="str">
        <f>IFERROR(_xlfn.XLOOKUP($A962,'Base SKUs'!$E:$E,'Base SKUs'!H:H),"")</f>
        <v>S4S E4E</v>
      </c>
      <c r="O962" t="str">
        <f>IFERROR(_xlfn.XLOOKUP($A962,'Base SKUs'!$E:$E,'Base SKUs'!I:I),"")</f>
        <v>-</v>
      </c>
      <c r="P962" t="str">
        <f>IFERROR(_xlfn.XLOOKUP($A962,'Base SKUs'!$E:$E,'Base SKUs'!J:J),"")</f>
        <v>2x4</v>
      </c>
      <c r="Q962">
        <f>IFERROR(_xlfn.XLOOKUP($A962,'Base SKUs'!$E:$E,'Base SKUs'!K:K),"")</f>
        <v>12</v>
      </c>
      <c r="R962" s="7">
        <f>IFERROR(_xlfn.XLOOKUP($A962,'Base SKUs'!$E:$E,'Base SKUs'!S:S),"")</f>
        <v>1.2396749399999997E-2</v>
      </c>
      <c r="S962" s="8">
        <f t="shared" ref="S962:S1025" si="77">IF(OR(L962="Saicos",L962="Oil",L962="US4",L962="Wood Table",L962="Woca",L962="Norx",N962="Tiles"),D962,D962*R962)</f>
        <v>3.2727418415999994</v>
      </c>
      <c r="T962" s="7">
        <f>IFERROR(_xlfn.XLOOKUP($A962,'Base SKUs'!$E:$E,'Base SKUs'!R:R),"")</f>
        <v>968.63099999999997</v>
      </c>
      <c r="U962" s="15">
        <f t="shared" ref="U962:U1025" si="78">ROUND(IF(OR(L962="Saicos",L962="Oil",L962="US4",L962="Wood Table",L962="Woca",L962="Norx",N962="Tiles"),D962,S962*T962),0)</f>
        <v>3170</v>
      </c>
      <c r="V962" t="str">
        <f t="shared" ref="V962:V1025" si="79">IF(H962=9007,"Miami",IF(H962=9008,"Texas",IF(H962=9009,"Boston",IF(H962=9010,"BS Detroit",IF(H962=9011,"New York",IF(H962=9012,"HW Perris",IF(H962=9013,"BS Riverside",IF(H962=9014,"On the Way",IF(H962=9015,"Russin",IF(H962=9016,"Palm Beach",""))))))))))</f>
        <v>HW Perris</v>
      </c>
    </row>
    <row r="963" spans="1:22" x14ac:dyDescent="0.2">
      <c r="A963" t="s">
        <v>1331</v>
      </c>
      <c r="B963" s="5">
        <v>189</v>
      </c>
      <c r="C963" s="5">
        <v>0</v>
      </c>
      <c r="D963" s="5">
        <f t="shared" si="75"/>
        <v>189</v>
      </c>
      <c r="E963" s="6">
        <v>27.218900000000001</v>
      </c>
      <c r="F963" s="6">
        <f t="shared" si="76"/>
        <v>5144.3721000000005</v>
      </c>
      <c r="G963" t="s">
        <v>17</v>
      </c>
      <c r="H963">
        <v>9007</v>
      </c>
      <c r="I963" t="str">
        <f>IFERROR(_xlfn.XLOOKUP($A963,'Base SKUs'!$E:$E,'Base SKUs'!A:A),"")</f>
        <v>Ayous JPL</v>
      </c>
      <c r="J963" t="str">
        <f>IFERROR(_xlfn.XLOOKUP($A963,'Base SKUs'!$E:$E,'Base SKUs'!B:B),"")</f>
        <v>Ayous JPL 2x4</v>
      </c>
      <c r="K963" t="str">
        <f>IFERROR(_xlfn.XLOOKUP($A963,'Base SKUs'!$E:$E,'Base SKUs'!C:C),"")</f>
        <v>Long</v>
      </c>
      <c r="L963" t="str">
        <f>IFERROR(_xlfn.XLOOKUP($A963,'Base SKUs'!$E:$E,'Base SKUs'!D:D),"")</f>
        <v>Thermowood</v>
      </c>
      <c r="M963" t="str">
        <f>IFERROR(_xlfn.XLOOKUP($A963,'Base SKUs'!$E:$E,'Base SKUs'!G:G),"")</f>
        <v>Maximo Thermo Ayous JPL</v>
      </c>
      <c r="N963" t="str">
        <f>IFERROR(_xlfn.XLOOKUP($A963,'Base SKUs'!$E:$E,'Base SKUs'!H:H),"")</f>
        <v>S4S E4E</v>
      </c>
      <c r="O963" t="str">
        <f>IFERROR(_xlfn.XLOOKUP($A963,'Base SKUs'!$E:$E,'Base SKUs'!I:I),"")</f>
        <v>-</v>
      </c>
      <c r="P963" t="str">
        <f>IFERROR(_xlfn.XLOOKUP($A963,'Base SKUs'!$E:$E,'Base SKUs'!J:J),"")</f>
        <v>2x4</v>
      </c>
      <c r="Q963">
        <f>IFERROR(_xlfn.XLOOKUP($A963,'Base SKUs'!$E:$E,'Base SKUs'!K:K),"")</f>
        <v>13</v>
      </c>
      <c r="R963" s="7">
        <f>IFERROR(_xlfn.XLOOKUP($A963,'Base SKUs'!$E:$E,'Base SKUs'!S:S),"")</f>
        <v>1.3412876399999997E-2</v>
      </c>
      <c r="S963" s="8">
        <f t="shared" si="77"/>
        <v>2.5350336395999995</v>
      </c>
      <c r="T963" s="7">
        <f>IFERROR(_xlfn.XLOOKUP($A963,'Base SKUs'!$E:$E,'Base SKUs'!R:R),"")</f>
        <v>968.63099999999997</v>
      </c>
      <c r="U963" s="15">
        <f t="shared" si="78"/>
        <v>2456</v>
      </c>
      <c r="V963" t="str">
        <f t="shared" si="79"/>
        <v>Miami</v>
      </c>
    </row>
    <row r="964" spans="1:22" x14ac:dyDescent="0.2">
      <c r="A964" t="s">
        <v>1333</v>
      </c>
      <c r="B964" s="5">
        <v>226</v>
      </c>
      <c r="C964" s="5">
        <v>0</v>
      </c>
      <c r="D964" s="5">
        <f t="shared" si="75"/>
        <v>226</v>
      </c>
      <c r="E964" s="6">
        <v>29.3127</v>
      </c>
      <c r="F964" s="6">
        <f t="shared" si="76"/>
        <v>6624.6701999999996</v>
      </c>
      <c r="G964" t="s">
        <v>17</v>
      </c>
      <c r="H964">
        <v>9007</v>
      </c>
      <c r="I964" t="str">
        <f>IFERROR(_xlfn.XLOOKUP($A964,'Base SKUs'!$E:$E,'Base SKUs'!A:A),"")</f>
        <v>Ayous JPL</v>
      </c>
      <c r="J964" t="str">
        <f>IFERROR(_xlfn.XLOOKUP($A964,'Base SKUs'!$E:$E,'Base SKUs'!B:B),"")</f>
        <v>Ayous JPL 2x4</v>
      </c>
      <c r="K964" t="str">
        <f>IFERROR(_xlfn.XLOOKUP($A964,'Base SKUs'!$E:$E,'Base SKUs'!C:C),"")</f>
        <v>Long</v>
      </c>
      <c r="L964" t="str">
        <f>IFERROR(_xlfn.XLOOKUP($A964,'Base SKUs'!$E:$E,'Base SKUs'!D:D),"")</f>
        <v>Thermowood</v>
      </c>
      <c r="M964" t="str">
        <f>IFERROR(_xlfn.XLOOKUP($A964,'Base SKUs'!$E:$E,'Base SKUs'!G:G),"")</f>
        <v>Maximo Thermo Ayous JPL</v>
      </c>
      <c r="N964" t="str">
        <f>IFERROR(_xlfn.XLOOKUP($A964,'Base SKUs'!$E:$E,'Base SKUs'!H:H),"")</f>
        <v>S4S E4E</v>
      </c>
      <c r="O964" t="str">
        <f>IFERROR(_xlfn.XLOOKUP($A964,'Base SKUs'!$E:$E,'Base SKUs'!I:I),"")</f>
        <v>-</v>
      </c>
      <c r="P964" t="str">
        <f>IFERROR(_xlfn.XLOOKUP($A964,'Base SKUs'!$E:$E,'Base SKUs'!J:J),"")</f>
        <v>2x4</v>
      </c>
      <c r="Q964">
        <f>IFERROR(_xlfn.XLOOKUP($A964,'Base SKUs'!$E:$E,'Base SKUs'!K:K),"")</f>
        <v>14</v>
      </c>
      <c r="R964" s="7">
        <f>IFERROR(_xlfn.XLOOKUP($A964,'Base SKUs'!$E:$E,'Base SKUs'!S:S),"")</f>
        <v>1.4462874299999994E-2</v>
      </c>
      <c r="S964" s="8">
        <f t="shared" si="77"/>
        <v>3.2686095917999989</v>
      </c>
      <c r="T964" s="7">
        <f>IFERROR(_xlfn.XLOOKUP($A964,'Base SKUs'!$E:$E,'Base SKUs'!R:R),"")</f>
        <v>968.63099999999997</v>
      </c>
      <c r="U964" s="15">
        <f t="shared" si="78"/>
        <v>3166</v>
      </c>
      <c r="V964" t="str">
        <f t="shared" si="79"/>
        <v>Miami</v>
      </c>
    </row>
    <row r="965" spans="1:22" x14ac:dyDescent="0.2">
      <c r="A965" t="s">
        <v>1335</v>
      </c>
      <c r="B965" s="5">
        <v>264</v>
      </c>
      <c r="C965" s="5">
        <v>0</v>
      </c>
      <c r="D965" s="5">
        <f t="shared" si="75"/>
        <v>264</v>
      </c>
      <c r="E965" s="6">
        <v>36.171399999999998</v>
      </c>
      <c r="F965" s="6">
        <f t="shared" si="76"/>
        <v>9549.2495999999992</v>
      </c>
      <c r="G965" t="s">
        <v>500</v>
      </c>
      <c r="H965">
        <v>9012</v>
      </c>
      <c r="I965" t="str">
        <f>IFERROR(_xlfn.XLOOKUP($A965,'Base SKUs'!$E:$E,'Base SKUs'!A:A),"")</f>
        <v>Ayous JPL</v>
      </c>
      <c r="J965" t="str">
        <f>IFERROR(_xlfn.XLOOKUP($A965,'Base SKUs'!$E:$E,'Base SKUs'!B:B),"")</f>
        <v>Ayous JPL 2x4</v>
      </c>
      <c r="K965" t="str">
        <f>IFERROR(_xlfn.XLOOKUP($A965,'Base SKUs'!$E:$E,'Base SKUs'!C:C),"")</f>
        <v>Long</v>
      </c>
      <c r="L965" t="str">
        <f>IFERROR(_xlfn.XLOOKUP($A965,'Base SKUs'!$E:$E,'Base SKUs'!D:D),"")</f>
        <v>Thermowood</v>
      </c>
      <c r="M965" t="str">
        <f>IFERROR(_xlfn.XLOOKUP($A965,'Base SKUs'!$E:$E,'Base SKUs'!G:G),"")</f>
        <v>Maximo Thermo Ayous JPL</v>
      </c>
      <c r="N965" t="str">
        <f>IFERROR(_xlfn.XLOOKUP($A965,'Base SKUs'!$E:$E,'Base SKUs'!H:H),"")</f>
        <v>S4S E4E</v>
      </c>
      <c r="O965" t="str">
        <f>IFERROR(_xlfn.XLOOKUP($A965,'Base SKUs'!$E:$E,'Base SKUs'!I:I),"")</f>
        <v>-</v>
      </c>
      <c r="P965" t="str">
        <f>IFERROR(_xlfn.XLOOKUP($A965,'Base SKUs'!$E:$E,'Base SKUs'!J:J),"")</f>
        <v>2x4</v>
      </c>
      <c r="Q965">
        <f>IFERROR(_xlfn.XLOOKUP($A965,'Base SKUs'!$E:$E,'Base SKUs'!K:K),"")</f>
        <v>17</v>
      </c>
      <c r="R965" s="7">
        <f>IFERROR(_xlfn.XLOOKUP($A965,'Base SKUs'!$E:$E,'Base SKUs'!S:S),"")</f>
        <v>1.7545126199999993E-2</v>
      </c>
      <c r="S965" s="8">
        <f t="shared" si="77"/>
        <v>4.6319133167999986</v>
      </c>
      <c r="T965" s="7">
        <f>IFERROR(_xlfn.XLOOKUP($A965,'Base SKUs'!$E:$E,'Base SKUs'!R:R),"")</f>
        <v>968.63099999999997</v>
      </c>
      <c r="U965" s="15">
        <f t="shared" si="78"/>
        <v>4487</v>
      </c>
      <c r="V965" t="str">
        <f t="shared" si="79"/>
        <v>HW Perris</v>
      </c>
    </row>
    <row r="966" spans="1:22" x14ac:dyDescent="0.2">
      <c r="A966" t="s">
        <v>1337</v>
      </c>
      <c r="B966" s="5">
        <v>445</v>
      </c>
      <c r="C966" s="5">
        <v>0</v>
      </c>
      <c r="D966" s="5">
        <f t="shared" si="75"/>
        <v>445</v>
      </c>
      <c r="E966" s="6">
        <v>16.760100000000001</v>
      </c>
      <c r="F966" s="6">
        <f t="shared" si="76"/>
        <v>7458.2445000000007</v>
      </c>
      <c r="G966" t="s">
        <v>17</v>
      </c>
      <c r="H966">
        <v>9007</v>
      </c>
      <c r="I966" t="str">
        <f>IFERROR(_xlfn.XLOOKUP($A966,'Base SKUs'!$E:$E,'Base SKUs'!A:A),"")</f>
        <v>Ayous JPL</v>
      </c>
      <c r="J966" t="str">
        <f>IFERROR(_xlfn.XLOOKUP($A966,'Base SKUs'!$E:$E,'Base SKUs'!B:B),"")</f>
        <v>Ayous JPL 2x4</v>
      </c>
      <c r="K966" t="str">
        <f>IFERROR(_xlfn.XLOOKUP($A966,'Base SKUs'!$E:$E,'Base SKUs'!C:C),"")</f>
        <v>Long</v>
      </c>
      <c r="L966" t="str">
        <f>IFERROR(_xlfn.XLOOKUP($A966,'Base SKUs'!$E:$E,'Base SKUs'!D:D),"")</f>
        <v>Thermowood</v>
      </c>
      <c r="M966" t="str">
        <f>IFERROR(_xlfn.XLOOKUP($A966,'Base SKUs'!$E:$E,'Base SKUs'!G:G),"")</f>
        <v>Maximo Thermo Ayous JPL</v>
      </c>
      <c r="N966" t="str">
        <f>IFERROR(_xlfn.XLOOKUP($A966,'Base SKUs'!$E:$E,'Base SKUs'!H:H),"")</f>
        <v>S4S E4E</v>
      </c>
      <c r="O966" t="str">
        <f>IFERROR(_xlfn.XLOOKUP($A966,'Base SKUs'!$E:$E,'Base SKUs'!I:I),"")</f>
        <v>-</v>
      </c>
      <c r="P966" t="str">
        <f>IFERROR(_xlfn.XLOOKUP($A966,'Base SKUs'!$E:$E,'Base SKUs'!J:J),"")</f>
        <v>2x4</v>
      </c>
      <c r="Q966">
        <f>IFERROR(_xlfn.XLOOKUP($A966,'Base SKUs'!$E:$E,'Base SKUs'!K:K),"")</f>
        <v>8</v>
      </c>
      <c r="R966" s="7">
        <f>IFERROR(_xlfn.XLOOKUP($A966,'Base SKUs'!$E:$E,'Base SKUs'!S:S),"")</f>
        <v>8.2644995999999991E-3</v>
      </c>
      <c r="S966" s="8">
        <f t="shared" si="77"/>
        <v>3.6777023219999996</v>
      </c>
      <c r="T966" s="7">
        <f>IFERROR(_xlfn.XLOOKUP($A966,'Base SKUs'!$E:$E,'Base SKUs'!R:R),"")</f>
        <v>968.63099999999997</v>
      </c>
      <c r="U966" s="15">
        <f t="shared" si="78"/>
        <v>3562</v>
      </c>
      <c r="V966" t="str">
        <f t="shared" si="79"/>
        <v>Miami</v>
      </c>
    </row>
    <row r="967" spans="1:22" x14ac:dyDescent="0.2">
      <c r="A967" t="s">
        <v>1339</v>
      </c>
      <c r="B967" s="5">
        <v>330</v>
      </c>
      <c r="C967" s="5">
        <v>75</v>
      </c>
      <c r="D967" s="5">
        <f t="shared" si="75"/>
        <v>255</v>
      </c>
      <c r="E967" s="6">
        <v>18.843800000000002</v>
      </c>
      <c r="F967" s="6">
        <f t="shared" si="76"/>
        <v>6218.4540000000006</v>
      </c>
      <c r="G967" t="s">
        <v>17</v>
      </c>
      <c r="H967">
        <v>9007</v>
      </c>
      <c r="I967" t="str">
        <f>IFERROR(_xlfn.XLOOKUP($A967,'Base SKUs'!$E:$E,'Base SKUs'!A:A),"")</f>
        <v>Ayous JPL</v>
      </c>
      <c r="J967" t="str">
        <f>IFERROR(_xlfn.XLOOKUP($A967,'Base SKUs'!$E:$E,'Base SKUs'!B:B),"")</f>
        <v>Ayous JPL 2x4</v>
      </c>
      <c r="K967" t="str">
        <f>IFERROR(_xlfn.XLOOKUP($A967,'Base SKUs'!$E:$E,'Base SKUs'!C:C),"")</f>
        <v>Long</v>
      </c>
      <c r="L967" t="str">
        <f>IFERROR(_xlfn.XLOOKUP($A967,'Base SKUs'!$E:$E,'Base SKUs'!D:D),"")</f>
        <v>Thermowood</v>
      </c>
      <c r="M967" t="str">
        <f>IFERROR(_xlfn.XLOOKUP($A967,'Base SKUs'!$E:$E,'Base SKUs'!G:G),"")</f>
        <v>Maximo Thermo Ayous JPL</v>
      </c>
      <c r="N967" t="str">
        <f>IFERROR(_xlfn.XLOOKUP($A967,'Base SKUs'!$E:$E,'Base SKUs'!H:H),"")</f>
        <v>S4S E4E</v>
      </c>
      <c r="O967" t="str">
        <f>IFERROR(_xlfn.XLOOKUP($A967,'Base SKUs'!$E:$E,'Base SKUs'!I:I),"")</f>
        <v>-</v>
      </c>
      <c r="P967" t="str">
        <f>IFERROR(_xlfn.XLOOKUP($A967,'Base SKUs'!$E:$E,'Base SKUs'!J:J),"")</f>
        <v>2x4</v>
      </c>
      <c r="Q967">
        <f>IFERROR(_xlfn.XLOOKUP($A967,'Base SKUs'!$E:$E,'Base SKUs'!K:K),"")</f>
        <v>9</v>
      </c>
      <c r="R967" s="7">
        <f>IFERROR(_xlfn.XLOOKUP($A967,'Base SKUs'!$E:$E,'Base SKUs'!S:S),"")</f>
        <v>9.2806265999999978E-3</v>
      </c>
      <c r="S967" s="8">
        <f t="shared" si="77"/>
        <v>2.3665597829999996</v>
      </c>
      <c r="T967" s="7">
        <f>IFERROR(_xlfn.XLOOKUP($A967,'Base SKUs'!$E:$E,'Base SKUs'!R:R),"")</f>
        <v>968.63099999999997</v>
      </c>
      <c r="U967" s="15">
        <f t="shared" si="78"/>
        <v>2292</v>
      </c>
      <c r="V967" t="str">
        <f t="shared" si="79"/>
        <v>Miami</v>
      </c>
    </row>
    <row r="968" spans="1:22" x14ac:dyDescent="0.2">
      <c r="A968" t="s">
        <v>1339</v>
      </c>
      <c r="B968" s="5">
        <v>264</v>
      </c>
      <c r="C968" s="5">
        <v>0</v>
      </c>
      <c r="D968" s="5">
        <f t="shared" si="75"/>
        <v>264</v>
      </c>
      <c r="E968" s="6">
        <v>19.1495</v>
      </c>
      <c r="F968" s="6">
        <f t="shared" si="76"/>
        <v>5055.4679999999998</v>
      </c>
      <c r="G968" t="s">
        <v>500</v>
      </c>
      <c r="H968">
        <v>9012</v>
      </c>
      <c r="I968" t="str">
        <f>IFERROR(_xlfn.XLOOKUP($A968,'Base SKUs'!$E:$E,'Base SKUs'!A:A),"")</f>
        <v>Ayous JPL</v>
      </c>
      <c r="J968" t="str">
        <f>IFERROR(_xlfn.XLOOKUP($A968,'Base SKUs'!$E:$E,'Base SKUs'!B:B),"")</f>
        <v>Ayous JPL 2x4</v>
      </c>
      <c r="K968" t="str">
        <f>IFERROR(_xlfn.XLOOKUP($A968,'Base SKUs'!$E:$E,'Base SKUs'!C:C),"")</f>
        <v>Long</v>
      </c>
      <c r="L968" t="str">
        <f>IFERROR(_xlfn.XLOOKUP($A968,'Base SKUs'!$E:$E,'Base SKUs'!D:D),"")</f>
        <v>Thermowood</v>
      </c>
      <c r="M968" t="str">
        <f>IFERROR(_xlfn.XLOOKUP($A968,'Base SKUs'!$E:$E,'Base SKUs'!G:G),"")</f>
        <v>Maximo Thermo Ayous JPL</v>
      </c>
      <c r="N968" t="str">
        <f>IFERROR(_xlfn.XLOOKUP($A968,'Base SKUs'!$E:$E,'Base SKUs'!H:H),"")</f>
        <v>S4S E4E</v>
      </c>
      <c r="O968" t="str">
        <f>IFERROR(_xlfn.XLOOKUP($A968,'Base SKUs'!$E:$E,'Base SKUs'!I:I),"")</f>
        <v>-</v>
      </c>
      <c r="P968" t="str">
        <f>IFERROR(_xlfn.XLOOKUP($A968,'Base SKUs'!$E:$E,'Base SKUs'!J:J),"")</f>
        <v>2x4</v>
      </c>
      <c r="Q968">
        <f>IFERROR(_xlfn.XLOOKUP($A968,'Base SKUs'!$E:$E,'Base SKUs'!K:K),"")</f>
        <v>9</v>
      </c>
      <c r="R968" s="7">
        <f>IFERROR(_xlfn.XLOOKUP($A968,'Base SKUs'!$E:$E,'Base SKUs'!S:S),"")</f>
        <v>9.2806265999999978E-3</v>
      </c>
      <c r="S968" s="8">
        <f t="shared" si="77"/>
        <v>2.4500854223999995</v>
      </c>
      <c r="T968" s="7">
        <f>IFERROR(_xlfn.XLOOKUP($A968,'Base SKUs'!$E:$E,'Base SKUs'!R:R),"")</f>
        <v>968.63099999999997</v>
      </c>
      <c r="U968" s="15">
        <f t="shared" si="78"/>
        <v>2373</v>
      </c>
      <c r="V968" t="str">
        <f t="shared" si="79"/>
        <v>HW Perris</v>
      </c>
    </row>
    <row r="969" spans="1:22" x14ac:dyDescent="0.2">
      <c r="A969" t="s">
        <v>1341</v>
      </c>
      <c r="B969" s="5">
        <v>168</v>
      </c>
      <c r="C969" s="5">
        <v>0</v>
      </c>
      <c r="D969" s="5">
        <f t="shared" si="75"/>
        <v>168</v>
      </c>
      <c r="E969" s="6">
        <v>32.990200000000002</v>
      </c>
      <c r="F969" s="6">
        <f t="shared" si="76"/>
        <v>5542.3536000000004</v>
      </c>
      <c r="G969" t="s">
        <v>500</v>
      </c>
      <c r="H969">
        <v>9012</v>
      </c>
      <c r="I969" t="str">
        <f>IFERROR(_xlfn.XLOOKUP($A969,'Base SKUs'!$E:$E,'Base SKUs'!A:A),"")</f>
        <v>Ayous JPL</v>
      </c>
      <c r="J969" t="str">
        <f>IFERROR(_xlfn.XLOOKUP($A969,'Base SKUs'!$E:$E,'Base SKUs'!B:B),"")</f>
        <v>Ayous JPL 2x6</v>
      </c>
      <c r="K969" t="str">
        <f>IFERROR(_xlfn.XLOOKUP($A969,'Base SKUs'!$E:$E,'Base SKUs'!C:C),"")</f>
        <v>Long</v>
      </c>
      <c r="L969" t="str">
        <f>IFERROR(_xlfn.XLOOKUP($A969,'Base SKUs'!$E:$E,'Base SKUs'!D:D),"")</f>
        <v>Thermowood</v>
      </c>
      <c r="M969" t="str">
        <f>IFERROR(_xlfn.XLOOKUP($A969,'Base SKUs'!$E:$E,'Base SKUs'!G:G),"")</f>
        <v>Maximo Thermo Ayous JPL</v>
      </c>
      <c r="N969" t="str">
        <f>IFERROR(_xlfn.XLOOKUP($A969,'Base SKUs'!$E:$E,'Base SKUs'!H:H),"")</f>
        <v>S4S E4E</v>
      </c>
      <c r="O969" t="str">
        <f>IFERROR(_xlfn.XLOOKUP($A969,'Base SKUs'!$E:$E,'Base SKUs'!I:I),"")</f>
        <v>-</v>
      </c>
      <c r="P969" t="str">
        <f>IFERROR(_xlfn.XLOOKUP($A969,'Base SKUs'!$E:$E,'Base SKUs'!J:J),"")</f>
        <v>2x6</v>
      </c>
      <c r="Q969">
        <f>IFERROR(_xlfn.XLOOKUP($A969,'Base SKUs'!$E:$E,'Base SKUs'!K:K),"")</f>
        <v>10</v>
      </c>
      <c r="R969" s="7">
        <f>IFERROR(_xlfn.XLOOKUP($A969,'Base SKUs'!$E:$E,'Base SKUs'!S:S),"")</f>
        <v>1.6233838499999993E-2</v>
      </c>
      <c r="S969" s="8">
        <f t="shared" si="77"/>
        <v>2.727284867999999</v>
      </c>
      <c r="T969" s="7">
        <f>IFERROR(_xlfn.XLOOKUP($A969,'Base SKUs'!$E:$E,'Base SKUs'!R:R),"")</f>
        <v>616.40099999999995</v>
      </c>
      <c r="U969" s="15">
        <f t="shared" si="78"/>
        <v>1681</v>
      </c>
      <c r="V969" t="str">
        <f t="shared" si="79"/>
        <v>HW Perris</v>
      </c>
    </row>
    <row r="970" spans="1:22" x14ac:dyDescent="0.2">
      <c r="A970" t="s">
        <v>1343</v>
      </c>
      <c r="B970" s="5">
        <v>44</v>
      </c>
      <c r="C970" s="5">
        <v>19</v>
      </c>
      <c r="D970" s="5">
        <f t="shared" si="75"/>
        <v>25</v>
      </c>
      <c r="E970" s="6">
        <v>37.103000000000002</v>
      </c>
      <c r="F970" s="6">
        <f t="shared" si="76"/>
        <v>1632.5320000000002</v>
      </c>
      <c r="G970" t="s">
        <v>17</v>
      </c>
      <c r="H970">
        <v>9007</v>
      </c>
      <c r="I970" t="str">
        <f>IFERROR(_xlfn.XLOOKUP($A970,'Base SKUs'!$E:$E,'Base SKUs'!A:A),"")</f>
        <v>Ayous JPL</v>
      </c>
      <c r="J970" t="str">
        <f>IFERROR(_xlfn.XLOOKUP($A970,'Base SKUs'!$E:$E,'Base SKUs'!B:B),"")</f>
        <v>Ayous JPL 2x6</v>
      </c>
      <c r="K970" t="str">
        <f>IFERROR(_xlfn.XLOOKUP($A970,'Base SKUs'!$E:$E,'Base SKUs'!C:C),"")</f>
        <v>Long</v>
      </c>
      <c r="L970" t="str">
        <f>IFERROR(_xlfn.XLOOKUP($A970,'Base SKUs'!$E:$E,'Base SKUs'!D:D),"")</f>
        <v>Thermowood</v>
      </c>
      <c r="M970" t="str">
        <f>IFERROR(_xlfn.XLOOKUP($A970,'Base SKUs'!$E:$E,'Base SKUs'!G:G),"")</f>
        <v>Maximo Thermo Ayous JPL</v>
      </c>
      <c r="N970" t="str">
        <f>IFERROR(_xlfn.XLOOKUP($A970,'Base SKUs'!$E:$E,'Base SKUs'!H:H),"")</f>
        <v>S4S E4E</v>
      </c>
      <c r="O970" t="str">
        <f>IFERROR(_xlfn.XLOOKUP($A970,'Base SKUs'!$E:$E,'Base SKUs'!I:I),"")</f>
        <v>-</v>
      </c>
      <c r="P970" t="str">
        <f>IFERROR(_xlfn.XLOOKUP($A970,'Base SKUs'!$E:$E,'Base SKUs'!J:J),"")</f>
        <v>2x6</v>
      </c>
      <c r="Q970">
        <f>IFERROR(_xlfn.XLOOKUP($A970,'Base SKUs'!$E:$E,'Base SKUs'!K:K),"")</f>
        <v>11</v>
      </c>
      <c r="R970" s="7">
        <f>IFERROR(_xlfn.XLOOKUP($A970,'Base SKUs'!$E:$E,'Base SKUs'!S:S),"")</f>
        <v>1.7830609499999997E-2</v>
      </c>
      <c r="S970" s="8">
        <f t="shared" si="77"/>
        <v>0.44576523749999991</v>
      </c>
      <c r="T970" s="7">
        <f>IFERROR(_xlfn.XLOOKUP($A970,'Base SKUs'!$E:$E,'Base SKUs'!R:R),"")</f>
        <v>616.40099999999995</v>
      </c>
      <c r="U970" s="15">
        <f t="shared" si="78"/>
        <v>275</v>
      </c>
      <c r="V970" t="str">
        <f t="shared" si="79"/>
        <v>Miami</v>
      </c>
    </row>
    <row r="971" spans="1:22" x14ac:dyDescent="0.2">
      <c r="A971" t="s">
        <v>1345</v>
      </c>
      <c r="B971" s="5">
        <v>336</v>
      </c>
      <c r="C971" s="5">
        <v>0</v>
      </c>
      <c r="D971" s="5">
        <f t="shared" si="75"/>
        <v>336</v>
      </c>
      <c r="E971" s="6">
        <v>39.588200000000001</v>
      </c>
      <c r="F971" s="6">
        <f t="shared" si="76"/>
        <v>13301.635200000001</v>
      </c>
      <c r="G971" t="s">
        <v>500</v>
      </c>
      <c r="H971">
        <v>9012</v>
      </c>
      <c r="I971" t="str">
        <f>IFERROR(_xlfn.XLOOKUP($A971,'Base SKUs'!$E:$E,'Base SKUs'!A:A),"")</f>
        <v>Ayous JPL</v>
      </c>
      <c r="J971" t="str">
        <f>IFERROR(_xlfn.XLOOKUP($A971,'Base SKUs'!$E:$E,'Base SKUs'!B:B),"")</f>
        <v>Ayous JPL 2x6</v>
      </c>
      <c r="K971" t="str">
        <f>IFERROR(_xlfn.XLOOKUP($A971,'Base SKUs'!$E:$E,'Base SKUs'!C:C),"")</f>
        <v>Long</v>
      </c>
      <c r="L971" t="str">
        <f>IFERROR(_xlfn.XLOOKUP($A971,'Base SKUs'!$E:$E,'Base SKUs'!D:D),"")</f>
        <v>Thermowood</v>
      </c>
      <c r="M971" t="str">
        <f>IFERROR(_xlfn.XLOOKUP($A971,'Base SKUs'!$E:$E,'Base SKUs'!G:G),"")</f>
        <v>Maximo Thermo Ayous JPL</v>
      </c>
      <c r="N971" t="str">
        <f>IFERROR(_xlfn.XLOOKUP($A971,'Base SKUs'!$E:$E,'Base SKUs'!H:H),"")</f>
        <v>S4S E4E</v>
      </c>
      <c r="O971" t="str">
        <f>IFERROR(_xlfn.XLOOKUP($A971,'Base SKUs'!$E:$E,'Base SKUs'!I:I),"")</f>
        <v>-</v>
      </c>
      <c r="P971" t="str">
        <f>IFERROR(_xlfn.XLOOKUP($A971,'Base SKUs'!$E:$E,'Base SKUs'!J:J),"")</f>
        <v>2x6</v>
      </c>
      <c r="Q971">
        <f>IFERROR(_xlfn.XLOOKUP($A971,'Base SKUs'!$E:$E,'Base SKUs'!K:K),"")</f>
        <v>12</v>
      </c>
      <c r="R971" s="7">
        <f>IFERROR(_xlfn.XLOOKUP($A971,'Base SKUs'!$E:$E,'Base SKUs'!S:S),"")</f>
        <v>1.9480606199999997E-2</v>
      </c>
      <c r="S971" s="8">
        <f t="shared" si="77"/>
        <v>6.5454836831999987</v>
      </c>
      <c r="T971" s="7">
        <f>IFERROR(_xlfn.XLOOKUP($A971,'Base SKUs'!$E:$E,'Base SKUs'!R:R),"")</f>
        <v>616.40099999999995</v>
      </c>
      <c r="U971" s="15">
        <f t="shared" si="78"/>
        <v>4035</v>
      </c>
      <c r="V971" t="str">
        <f t="shared" si="79"/>
        <v>HW Perris</v>
      </c>
    </row>
    <row r="972" spans="1:22" x14ac:dyDescent="0.2">
      <c r="A972" t="s">
        <v>1347</v>
      </c>
      <c r="B972" s="5">
        <v>336</v>
      </c>
      <c r="C972" s="5">
        <v>0</v>
      </c>
      <c r="D972" s="5">
        <f t="shared" si="75"/>
        <v>336</v>
      </c>
      <c r="E972" s="6">
        <v>42.8872</v>
      </c>
      <c r="F972" s="6">
        <f t="shared" si="76"/>
        <v>14410.099200000001</v>
      </c>
      <c r="G972" t="s">
        <v>500</v>
      </c>
      <c r="H972">
        <v>9012</v>
      </c>
      <c r="I972" t="str">
        <f>IFERROR(_xlfn.XLOOKUP($A972,'Base SKUs'!$E:$E,'Base SKUs'!A:A),"")</f>
        <v>Ayous JPL</v>
      </c>
      <c r="J972" t="str">
        <f>IFERROR(_xlfn.XLOOKUP($A972,'Base SKUs'!$E:$E,'Base SKUs'!B:B),"")</f>
        <v>Ayous JPL 2x6</v>
      </c>
      <c r="K972" t="str">
        <f>IFERROR(_xlfn.XLOOKUP($A972,'Base SKUs'!$E:$E,'Base SKUs'!C:C),"")</f>
        <v>Long</v>
      </c>
      <c r="L972" t="str">
        <f>IFERROR(_xlfn.XLOOKUP($A972,'Base SKUs'!$E:$E,'Base SKUs'!D:D),"")</f>
        <v>Thermowood</v>
      </c>
      <c r="M972" t="str">
        <f>IFERROR(_xlfn.XLOOKUP($A972,'Base SKUs'!$E:$E,'Base SKUs'!G:G),"")</f>
        <v>Maximo Thermo Ayous JPL</v>
      </c>
      <c r="N972" t="str">
        <f>IFERROR(_xlfn.XLOOKUP($A972,'Base SKUs'!$E:$E,'Base SKUs'!H:H),"")</f>
        <v>S4S E4E</v>
      </c>
      <c r="O972" t="str">
        <f>IFERROR(_xlfn.XLOOKUP($A972,'Base SKUs'!$E:$E,'Base SKUs'!I:I),"")</f>
        <v>-</v>
      </c>
      <c r="P972" t="str">
        <f>IFERROR(_xlfn.XLOOKUP($A972,'Base SKUs'!$E:$E,'Base SKUs'!J:J),"")</f>
        <v>2x6</v>
      </c>
      <c r="Q972">
        <f>IFERROR(_xlfn.XLOOKUP($A972,'Base SKUs'!$E:$E,'Base SKUs'!K:K),"")</f>
        <v>13</v>
      </c>
      <c r="R972" s="7">
        <f>IFERROR(_xlfn.XLOOKUP($A972,'Base SKUs'!$E:$E,'Base SKUs'!S:S),"")</f>
        <v>2.1077377199999997E-2</v>
      </c>
      <c r="S972" s="8">
        <f t="shared" si="77"/>
        <v>7.0819987391999994</v>
      </c>
      <c r="T972" s="7">
        <f>IFERROR(_xlfn.XLOOKUP($A972,'Base SKUs'!$E:$E,'Base SKUs'!R:R),"")</f>
        <v>616.40099999999995</v>
      </c>
      <c r="U972" s="15">
        <f t="shared" si="78"/>
        <v>4365</v>
      </c>
      <c r="V972" t="str">
        <f t="shared" si="79"/>
        <v>HW Perris</v>
      </c>
    </row>
    <row r="973" spans="1:22" x14ac:dyDescent="0.2">
      <c r="A973" t="s">
        <v>1349</v>
      </c>
      <c r="B973" s="5">
        <v>288</v>
      </c>
      <c r="C973" s="5">
        <v>138</v>
      </c>
      <c r="D973" s="5">
        <f t="shared" si="75"/>
        <v>150</v>
      </c>
      <c r="E973" s="6">
        <v>47.222000000000001</v>
      </c>
      <c r="F973" s="6">
        <f t="shared" si="76"/>
        <v>13599.936</v>
      </c>
      <c r="G973" t="s">
        <v>17</v>
      </c>
      <c r="H973">
        <v>9007</v>
      </c>
      <c r="I973" t="str">
        <f>IFERROR(_xlfn.XLOOKUP($A973,'Base SKUs'!$E:$E,'Base SKUs'!A:A),"")</f>
        <v>Ayous JPL</v>
      </c>
      <c r="J973" t="str">
        <f>IFERROR(_xlfn.XLOOKUP($A973,'Base SKUs'!$E:$E,'Base SKUs'!B:B),"")</f>
        <v>Ayous JPL 2x6</v>
      </c>
      <c r="K973" t="str">
        <f>IFERROR(_xlfn.XLOOKUP($A973,'Base SKUs'!$E:$E,'Base SKUs'!C:C),"")</f>
        <v>Long</v>
      </c>
      <c r="L973" t="str">
        <f>IFERROR(_xlfn.XLOOKUP($A973,'Base SKUs'!$E:$E,'Base SKUs'!D:D),"")</f>
        <v>Thermowood</v>
      </c>
      <c r="M973" t="str">
        <f>IFERROR(_xlfn.XLOOKUP($A973,'Base SKUs'!$E:$E,'Base SKUs'!G:G),"")</f>
        <v>Maximo Thermo Ayous JPL</v>
      </c>
      <c r="N973" t="str">
        <f>IFERROR(_xlfn.XLOOKUP($A973,'Base SKUs'!$E:$E,'Base SKUs'!H:H),"")</f>
        <v>S4S E4E</v>
      </c>
      <c r="O973" t="str">
        <f>IFERROR(_xlfn.XLOOKUP($A973,'Base SKUs'!$E:$E,'Base SKUs'!I:I),"")</f>
        <v>-</v>
      </c>
      <c r="P973" t="str">
        <f>IFERROR(_xlfn.XLOOKUP($A973,'Base SKUs'!$E:$E,'Base SKUs'!J:J),"")</f>
        <v>2x6</v>
      </c>
      <c r="Q973">
        <f>IFERROR(_xlfn.XLOOKUP($A973,'Base SKUs'!$E:$E,'Base SKUs'!K:K),"")</f>
        <v>14</v>
      </c>
      <c r="R973" s="7">
        <f>IFERROR(_xlfn.XLOOKUP($A973,'Base SKUs'!$E:$E,'Base SKUs'!S:S),"")</f>
        <v>2.272737389999999E-2</v>
      </c>
      <c r="S973" s="8">
        <f t="shared" si="77"/>
        <v>3.4091060849999986</v>
      </c>
      <c r="T973" s="7">
        <f>IFERROR(_xlfn.XLOOKUP($A973,'Base SKUs'!$E:$E,'Base SKUs'!R:R),"")</f>
        <v>616.40099999999995</v>
      </c>
      <c r="U973" s="15">
        <f t="shared" si="78"/>
        <v>2101</v>
      </c>
      <c r="V973" t="str">
        <f t="shared" si="79"/>
        <v>Miami</v>
      </c>
    </row>
    <row r="974" spans="1:22" x14ac:dyDescent="0.2">
      <c r="A974" t="s">
        <v>1349</v>
      </c>
      <c r="B974" s="5">
        <v>45</v>
      </c>
      <c r="C974" s="5">
        <v>0</v>
      </c>
      <c r="D974" s="5">
        <f t="shared" si="75"/>
        <v>45</v>
      </c>
      <c r="E974" s="6">
        <v>50.603299999999997</v>
      </c>
      <c r="F974" s="6">
        <f t="shared" si="76"/>
        <v>2277.1484999999998</v>
      </c>
      <c r="G974" t="s">
        <v>6145</v>
      </c>
      <c r="H974">
        <v>9010</v>
      </c>
      <c r="I974" t="str">
        <f>IFERROR(_xlfn.XLOOKUP($A974,'Base SKUs'!$E:$E,'Base SKUs'!A:A),"")</f>
        <v>Ayous JPL</v>
      </c>
      <c r="J974" t="str">
        <f>IFERROR(_xlfn.XLOOKUP($A974,'Base SKUs'!$E:$E,'Base SKUs'!B:B),"")</f>
        <v>Ayous JPL 2x6</v>
      </c>
      <c r="K974" t="str">
        <f>IFERROR(_xlfn.XLOOKUP($A974,'Base SKUs'!$E:$E,'Base SKUs'!C:C),"")</f>
        <v>Long</v>
      </c>
      <c r="L974" t="str">
        <f>IFERROR(_xlfn.XLOOKUP($A974,'Base SKUs'!$E:$E,'Base SKUs'!D:D),"")</f>
        <v>Thermowood</v>
      </c>
      <c r="M974" t="str">
        <f>IFERROR(_xlfn.XLOOKUP($A974,'Base SKUs'!$E:$E,'Base SKUs'!G:G),"")</f>
        <v>Maximo Thermo Ayous JPL</v>
      </c>
      <c r="N974" t="str">
        <f>IFERROR(_xlfn.XLOOKUP($A974,'Base SKUs'!$E:$E,'Base SKUs'!H:H),"")</f>
        <v>S4S E4E</v>
      </c>
      <c r="O974" t="str">
        <f>IFERROR(_xlfn.XLOOKUP($A974,'Base SKUs'!$E:$E,'Base SKUs'!I:I),"")</f>
        <v>-</v>
      </c>
      <c r="P974" t="str">
        <f>IFERROR(_xlfn.XLOOKUP($A974,'Base SKUs'!$E:$E,'Base SKUs'!J:J),"")</f>
        <v>2x6</v>
      </c>
      <c r="Q974">
        <f>IFERROR(_xlfn.XLOOKUP($A974,'Base SKUs'!$E:$E,'Base SKUs'!K:K),"")</f>
        <v>14</v>
      </c>
      <c r="R974" s="7">
        <f>IFERROR(_xlfn.XLOOKUP($A974,'Base SKUs'!$E:$E,'Base SKUs'!S:S),"")</f>
        <v>2.272737389999999E-2</v>
      </c>
      <c r="S974" s="8">
        <f t="shared" si="77"/>
        <v>1.0227318254999995</v>
      </c>
      <c r="T974" s="7">
        <f>IFERROR(_xlfn.XLOOKUP($A974,'Base SKUs'!$E:$E,'Base SKUs'!R:R),"")</f>
        <v>616.40099999999995</v>
      </c>
      <c r="U974" s="15">
        <f t="shared" si="78"/>
        <v>630</v>
      </c>
      <c r="V974" t="str">
        <f t="shared" si="79"/>
        <v>BS Detroit</v>
      </c>
    </row>
    <row r="975" spans="1:22" x14ac:dyDescent="0.2">
      <c r="A975" t="s">
        <v>1349</v>
      </c>
      <c r="B975" s="5">
        <v>168</v>
      </c>
      <c r="C975" s="5">
        <v>0</v>
      </c>
      <c r="D975" s="5">
        <f t="shared" si="75"/>
        <v>168</v>
      </c>
      <c r="E975" s="6">
        <v>46.186199999999999</v>
      </c>
      <c r="F975" s="6">
        <f t="shared" si="76"/>
        <v>7759.2816000000003</v>
      </c>
      <c r="G975" t="s">
        <v>500</v>
      </c>
      <c r="H975">
        <v>9012</v>
      </c>
      <c r="I975" t="str">
        <f>IFERROR(_xlfn.XLOOKUP($A975,'Base SKUs'!$E:$E,'Base SKUs'!A:A),"")</f>
        <v>Ayous JPL</v>
      </c>
      <c r="J975" t="str">
        <f>IFERROR(_xlfn.XLOOKUP($A975,'Base SKUs'!$E:$E,'Base SKUs'!B:B),"")</f>
        <v>Ayous JPL 2x6</v>
      </c>
      <c r="K975" t="str">
        <f>IFERROR(_xlfn.XLOOKUP($A975,'Base SKUs'!$E:$E,'Base SKUs'!C:C),"")</f>
        <v>Long</v>
      </c>
      <c r="L975" t="str">
        <f>IFERROR(_xlfn.XLOOKUP($A975,'Base SKUs'!$E:$E,'Base SKUs'!D:D),"")</f>
        <v>Thermowood</v>
      </c>
      <c r="M975" t="str">
        <f>IFERROR(_xlfn.XLOOKUP($A975,'Base SKUs'!$E:$E,'Base SKUs'!G:G),"")</f>
        <v>Maximo Thermo Ayous JPL</v>
      </c>
      <c r="N975" t="str">
        <f>IFERROR(_xlfn.XLOOKUP($A975,'Base SKUs'!$E:$E,'Base SKUs'!H:H),"")</f>
        <v>S4S E4E</v>
      </c>
      <c r="O975" t="str">
        <f>IFERROR(_xlfn.XLOOKUP($A975,'Base SKUs'!$E:$E,'Base SKUs'!I:I),"")</f>
        <v>-</v>
      </c>
      <c r="P975" t="str">
        <f>IFERROR(_xlfn.XLOOKUP($A975,'Base SKUs'!$E:$E,'Base SKUs'!J:J),"")</f>
        <v>2x6</v>
      </c>
      <c r="Q975">
        <f>IFERROR(_xlfn.XLOOKUP($A975,'Base SKUs'!$E:$E,'Base SKUs'!K:K),"")</f>
        <v>14</v>
      </c>
      <c r="R975" s="7">
        <f>IFERROR(_xlfn.XLOOKUP($A975,'Base SKUs'!$E:$E,'Base SKUs'!S:S),"")</f>
        <v>2.272737389999999E-2</v>
      </c>
      <c r="S975" s="8">
        <f t="shared" si="77"/>
        <v>3.8181988151999984</v>
      </c>
      <c r="T975" s="7">
        <f>IFERROR(_xlfn.XLOOKUP($A975,'Base SKUs'!$E:$E,'Base SKUs'!R:R),"")</f>
        <v>616.40099999999995</v>
      </c>
      <c r="U975" s="15">
        <f t="shared" si="78"/>
        <v>2354</v>
      </c>
      <c r="V975" t="str">
        <f t="shared" si="79"/>
        <v>HW Perris</v>
      </c>
    </row>
    <row r="976" spans="1:22" x14ac:dyDescent="0.2">
      <c r="A976" t="s">
        <v>1351</v>
      </c>
      <c r="B976" s="5">
        <v>141</v>
      </c>
      <c r="C976" s="5">
        <v>48</v>
      </c>
      <c r="D976" s="5">
        <f t="shared" si="75"/>
        <v>93</v>
      </c>
      <c r="E976" s="6">
        <v>50.595100000000002</v>
      </c>
      <c r="F976" s="6">
        <f t="shared" si="76"/>
        <v>7133.9091000000008</v>
      </c>
      <c r="G976" t="s">
        <v>17</v>
      </c>
      <c r="H976">
        <v>9007</v>
      </c>
      <c r="I976" t="str">
        <f>IFERROR(_xlfn.XLOOKUP($A976,'Base SKUs'!$E:$E,'Base SKUs'!A:A),"")</f>
        <v>Ayous JPL</v>
      </c>
      <c r="J976" t="str">
        <f>IFERROR(_xlfn.XLOOKUP($A976,'Base SKUs'!$E:$E,'Base SKUs'!B:B),"")</f>
        <v>Ayous JPL 2x6</v>
      </c>
      <c r="K976" t="str">
        <f>IFERROR(_xlfn.XLOOKUP($A976,'Base SKUs'!$E:$E,'Base SKUs'!C:C),"")</f>
        <v>Long</v>
      </c>
      <c r="L976" t="str">
        <f>IFERROR(_xlfn.XLOOKUP($A976,'Base SKUs'!$E:$E,'Base SKUs'!D:D),"")</f>
        <v>Thermowood</v>
      </c>
      <c r="M976" t="str">
        <f>IFERROR(_xlfn.XLOOKUP($A976,'Base SKUs'!$E:$E,'Base SKUs'!G:G),"")</f>
        <v>Maximo Thermo Ayous JPL</v>
      </c>
      <c r="N976" t="str">
        <f>IFERROR(_xlfn.XLOOKUP($A976,'Base SKUs'!$E:$E,'Base SKUs'!H:H),"")</f>
        <v>S4S E4E</v>
      </c>
      <c r="O976" t="str">
        <f>IFERROR(_xlfn.XLOOKUP($A976,'Base SKUs'!$E:$E,'Base SKUs'!I:I),"")</f>
        <v>-</v>
      </c>
      <c r="P976" t="str">
        <f>IFERROR(_xlfn.XLOOKUP($A976,'Base SKUs'!$E:$E,'Base SKUs'!J:J),"")</f>
        <v>2x6</v>
      </c>
      <c r="Q976">
        <f>IFERROR(_xlfn.XLOOKUP($A976,'Base SKUs'!$E:$E,'Base SKUs'!K:K),"")</f>
        <v>15</v>
      </c>
      <c r="R976" s="7">
        <f>IFERROR(_xlfn.XLOOKUP($A976,'Base SKUs'!$E:$E,'Base SKUs'!S:S),"")</f>
        <v>2.4324144899999997E-2</v>
      </c>
      <c r="S976" s="8">
        <f t="shared" si="77"/>
        <v>2.2621454756999997</v>
      </c>
      <c r="T976" s="7">
        <f>IFERROR(_xlfn.XLOOKUP($A976,'Base SKUs'!$E:$E,'Base SKUs'!R:R),"")</f>
        <v>616.40099999999995</v>
      </c>
      <c r="U976" s="15">
        <f t="shared" si="78"/>
        <v>1394</v>
      </c>
      <c r="V976" t="str">
        <f t="shared" si="79"/>
        <v>Miami</v>
      </c>
    </row>
    <row r="977" spans="1:22" x14ac:dyDescent="0.2">
      <c r="A977" t="s">
        <v>1351</v>
      </c>
      <c r="B977" s="5">
        <v>27</v>
      </c>
      <c r="C977" s="5">
        <v>0</v>
      </c>
      <c r="D977" s="5">
        <f t="shared" si="75"/>
        <v>27</v>
      </c>
      <c r="E977" s="6">
        <v>54.2181</v>
      </c>
      <c r="F977" s="6">
        <f t="shared" si="76"/>
        <v>1463.8887</v>
      </c>
      <c r="G977" t="s">
        <v>6145</v>
      </c>
      <c r="H977">
        <v>9010</v>
      </c>
      <c r="I977" t="str">
        <f>IFERROR(_xlfn.XLOOKUP($A977,'Base SKUs'!$E:$E,'Base SKUs'!A:A),"")</f>
        <v>Ayous JPL</v>
      </c>
      <c r="J977" t="str">
        <f>IFERROR(_xlfn.XLOOKUP($A977,'Base SKUs'!$E:$E,'Base SKUs'!B:B),"")</f>
        <v>Ayous JPL 2x6</v>
      </c>
      <c r="K977" t="str">
        <f>IFERROR(_xlfn.XLOOKUP($A977,'Base SKUs'!$E:$E,'Base SKUs'!C:C),"")</f>
        <v>Long</v>
      </c>
      <c r="L977" t="str">
        <f>IFERROR(_xlfn.XLOOKUP($A977,'Base SKUs'!$E:$E,'Base SKUs'!D:D),"")</f>
        <v>Thermowood</v>
      </c>
      <c r="M977" t="str">
        <f>IFERROR(_xlfn.XLOOKUP($A977,'Base SKUs'!$E:$E,'Base SKUs'!G:G),"")</f>
        <v>Maximo Thermo Ayous JPL</v>
      </c>
      <c r="N977" t="str">
        <f>IFERROR(_xlfn.XLOOKUP($A977,'Base SKUs'!$E:$E,'Base SKUs'!H:H),"")</f>
        <v>S4S E4E</v>
      </c>
      <c r="O977" t="str">
        <f>IFERROR(_xlfn.XLOOKUP($A977,'Base SKUs'!$E:$E,'Base SKUs'!I:I),"")</f>
        <v>-</v>
      </c>
      <c r="P977" t="str">
        <f>IFERROR(_xlfn.XLOOKUP($A977,'Base SKUs'!$E:$E,'Base SKUs'!J:J),"")</f>
        <v>2x6</v>
      </c>
      <c r="Q977">
        <f>IFERROR(_xlfn.XLOOKUP($A977,'Base SKUs'!$E:$E,'Base SKUs'!K:K),"")</f>
        <v>15</v>
      </c>
      <c r="R977" s="7">
        <f>IFERROR(_xlfn.XLOOKUP($A977,'Base SKUs'!$E:$E,'Base SKUs'!S:S),"")</f>
        <v>2.4324144899999997E-2</v>
      </c>
      <c r="S977" s="8">
        <f t="shared" si="77"/>
        <v>0.65675191229999996</v>
      </c>
      <c r="T977" s="7">
        <f>IFERROR(_xlfn.XLOOKUP($A977,'Base SKUs'!$E:$E,'Base SKUs'!R:R),"")</f>
        <v>616.40099999999995</v>
      </c>
      <c r="U977" s="15">
        <f t="shared" si="78"/>
        <v>405</v>
      </c>
      <c r="V977" t="str">
        <f t="shared" si="79"/>
        <v>BS Detroit</v>
      </c>
    </row>
    <row r="978" spans="1:22" x14ac:dyDescent="0.2">
      <c r="A978" t="s">
        <v>1353</v>
      </c>
      <c r="B978" s="5">
        <v>254</v>
      </c>
      <c r="C978" s="5">
        <v>84</v>
      </c>
      <c r="D978" s="5">
        <f t="shared" si="75"/>
        <v>170</v>
      </c>
      <c r="E978" s="6">
        <v>53.9681</v>
      </c>
      <c r="F978" s="6">
        <f t="shared" si="76"/>
        <v>13707.8974</v>
      </c>
      <c r="G978" t="s">
        <v>17</v>
      </c>
      <c r="H978">
        <v>9007</v>
      </c>
      <c r="I978" t="str">
        <f>IFERROR(_xlfn.XLOOKUP($A978,'Base SKUs'!$E:$E,'Base SKUs'!A:A),"")</f>
        <v>Ayous JPL</v>
      </c>
      <c r="J978" t="str">
        <f>IFERROR(_xlfn.XLOOKUP($A978,'Base SKUs'!$E:$E,'Base SKUs'!B:B),"")</f>
        <v>Ayous JPL 2x6</v>
      </c>
      <c r="K978" t="str">
        <f>IFERROR(_xlfn.XLOOKUP($A978,'Base SKUs'!$E:$E,'Base SKUs'!C:C),"")</f>
        <v>Long</v>
      </c>
      <c r="L978" t="str">
        <f>IFERROR(_xlfn.XLOOKUP($A978,'Base SKUs'!$E:$E,'Base SKUs'!D:D),"")</f>
        <v>Thermowood</v>
      </c>
      <c r="M978" t="str">
        <f>IFERROR(_xlfn.XLOOKUP($A978,'Base SKUs'!$E:$E,'Base SKUs'!G:G),"")</f>
        <v>Maximo Thermo Ayous JPL</v>
      </c>
      <c r="N978" t="str">
        <f>IFERROR(_xlfn.XLOOKUP($A978,'Base SKUs'!$E:$E,'Base SKUs'!H:H),"")</f>
        <v>S4S E4E</v>
      </c>
      <c r="O978" t="str">
        <f>IFERROR(_xlfn.XLOOKUP($A978,'Base SKUs'!$E:$E,'Base SKUs'!I:I),"")</f>
        <v>-</v>
      </c>
      <c r="P978" t="str">
        <f>IFERROR(_xlfn.XLOOKUP($A978,'Base SKUs'!$E:$E,'Base SKUs'!J:J),"")</f>
        <v>2x6</v>
      </c>
      <c r="Q978">
        <f>IFERROR(_xlfn.XLOOKUP($A978,'Base SKUs'!$E:$E,'Base SKUs'!K:K),"")</f>
        <v>16</v>
      </c>
      <c r="R978" s="7">
        <f>IFERROR(_xlfn.XLOOKUP($A978,'Base SKUs'!$E:$E,'Base SKUs'!S:S),"")</f>
        <v>2.5974141599999997E-2</v>
      </c>
      <c r="S978" s="8">
        <f t="shared" si="77"/>
        <v>4.4156040719999998</v>
      </c>
      <c r="T978" s="7">
        <f>IFERROR(_xlfn.XLOOKUP($A978,'Base SKUs'!$E:$E,'Base SKUs'!R:R),"")</f>
        <v>616.40099999999995</v>
      </c>
      <c r="U978" s="15">
        <f t="shared" si="78"/>
        <v>2722</v>
      </c>
      <c r="V978" t="str">
        <f t="shared" si="79"/>
        <v>Miami</v>
      </c>
    </row>
    <row r="979" spans="1:22" x14ac:dyDescent="0.2">
      <c r="A979" t="s">
        <v>1353</v>
      </c>
      <c r="B979" s="5">
        <v>54</v>
      </c>
      <c r="C979" s="5">
        <v>0</v>
      </c>
      <c r="D979" s="5">
        <f t="shared" si="75"/>
        <v>54</v>
      </c>
      <c r="E979" s="6">
        <v>57.832599999999999</v>
      </c>
      <c r="F979" s="6">
        <f t="shared" si="76"/>
        <v>3122.9603999999999</v>
      </c>
      <c r="G979" t="s">
        <v>6145</v>
      </c>
      <c r="H979">
        <v>9010</v>
      </c>
      <c r="I979" t="str">
        <f>IFERROR(_xlfn.XLOOKUP($A979,'Base SKUs'!$E:$E,'Base SKUs'!A:A),"")</f>
        <v>Ayous JPL</v>
      </c>
      <c r="J979" t="str">
        <f>IFERROR(_xlfn.XLOOKUP($A979,'Base SKUs'!$E:$E,'Base SKUs'!B:B),"")</f>
        <v>Ayous JPL 2x6</v>
      </c>
      <c r="K979" t="str">
        <f>IFERROR(_xlfn.XLOOKUP($A979,'Base SKUs'!$E:$E,'Base SKUs'!C:C),"")</f>
        <v>Long</v>
      </c>
      <c r="L979" t="str">
        <f>IFERROR(_xlfn.XLOOKUP($A979,'Base SKUs'!$E:$E,'Base SKUs'!D:D),"")</f>
        <v>Thermowood</v>
      </c>
      <c r="M979" t="str">
        <f>IFERROR(_xlfn.XLOOKUP($A979,'Base SKUs'!$E:$E,'Base SKUs'!G:G),"")</f>
        <v>Maximo Thermo Ayous JPL</v>
      </c>
      <c r="N979" t="str">
        <f>IFERROR(_xlfn.XLOOKUP($A979,'Base SKUs'!$E:$E,'Base SKUs'!H:H),"")</f>
        <v>S4S E4E</v>
      </c>
      <c r="O979" t="str">
        <f>IFERROR(_xlfn.XLOOKUP($A979,'Base SKUs'!$E:$E,'Base SKUs'!I:I),"")</f>
        <v>-</v>
      </c>
      <c r="P979" t="str">
        <f>IFERROR(_xlfn.XLOOKUP($A979,'Base SKUs'!$E:$E,'Base SKUs'!J:J),"")</f>
        <v>2x6</v>
      </c>
      <c r="Q979">
        <f>IFERROR(_xlfn.XLOOKUP($A979,'Base SKUs'!$E:$E,'Base SKUs'!K:K),"")</f>
        <v>16</v>
      </c>
      <c r="R979" s="7">
        <f>IFERROR(_xlfn.XLOOKUP($A979,'Base SKUs'!$E:$E,'Base SKUs'!S:S),"")</f>
        <v>2.5974141599999997E-2</v>
      </c>
      <c r="S979" s="8">
        <f t="shared" si="77"/>
        <v>1.4026036463999998</v>
      </c>
      <c r="T979" s="7">
        <f>IFERROR(_xlfn.XLOOKUP($A979,'Base SKUs'!$E:$E,'Base SKUs'!R:R),"")</f>
        <v>616.40099999999995</v>
      </c>
      <c r="U979" s="15">
        <f t="shared" si="78"/>
        <v>865</v>
      </c>
      <c r="V979" t="str">
        <f t="shared" si="79"/>
        <v>BS Detroit</v>
      </c>
    </row>
    <row r="980" spans="1:22" x14ac:dyDescent="0.2">
      <c r="A980" t="s">
        <v>1355</v>
      </c>
      <c r="B980" s="5">
        <v>115</v>
      </c>
      <c r="C980" s="5">
        <v>36</v>
      </c>
      <c r="D980" s="5">
        <f t="shared" si="75"/>
        <v>79</v>
      </c>
      <c r="E980" s="6">
        <v>57.341099999999997</v>
      </c>
      <c r="F980" s="6">
        <f t="shared" si="76"/>
        <v>6594.2264999999998</v>
      </c>
      <c r="G980" t="s">
        <v>17</v>
      </c>
      <c r="H980">
        <v>9007</v>
      </c>
      <c r="I980" t="str">
        <f>IFERROR(_xlfn.XLOOKUP($A980,'Base SKUs'!$E:$E,'Base SKUs'!A:A),"")</f>
        <v>Ayous JPL</v>
      </c>
      <c r="J980" t="str">
        <f>IFERROR(_xlfn.XLOOKUP($A980,'Base SKUs'!$E:$E,'Base SKUs'!B:B),"")</f>
        <v>Ayous JPL 2x6</v>
      </c>
      <c r="K980" t="str">
        <f>IFERROR(_xlfn.XLOOKUP($A980,'Base SKUs'!$E:$E,'Base SKUs'!C:C),"")</f>
        <v>Long</v>
      </c>
      <c r="L980" t="str">
        <f>IFERROR(_xlfn.XLOOKUP($A980,'Base SKUs'!$E:$E,'Base SKUs'!D:D),"")</f>
        <v>Thermowood</v>
      </c>
      <c r="M980" t="str">
        <f>IFERROR(_xlfn.XLOOKUP($A980,'Base SKUs'!$E:$E,'Base SKUs'!G:G),"")</f>
        <v>Maximo Thermo Ayous JPL</v>
      </c>
      <c r="N980" t="str">
        <f>IFERROR(_xlfn.XLOOKUP($A980,'Base SKUs'!$E:$E,'Base SKUs'!H:H),"")</f>
        <v>S4S E4E</v>
      </c>
      <c r="O980" t="str">
        <f>IFERROR(_xlfn.XLOOKUP($A980,'Base SKUs'!$E:$E,'Base SKUs'!I:I),"")</f>
        <v>-</v>
      </c>
      <c r="P980" t="str">
        <f>IFERROR(_xlfn.XLOOKUP($A980,'Base SKUs'!$E:$E,'Base SKUs'!J:J),"")</f>
        <v>2x6</v>
      </c>
      <c r="Q980">
        <f>IFERROR(_xlfn.XLOOKUP($A980,'Base SKUs'!$E:$E,'Base SKUs'!K:K),"")</f>
        <v>17</v>
      </c>
      <c r="R980" s="7">
        <f>IFERROR(_xlfn.XLOOKUP($A980,'Base SKUs'!$E:$E,'Base SKUs'!S:S),"")</f>
        <v>2.757091259999999E-2</v>
      </c>
      <c r="S980" s="8">
        <f t="shared" si="77"/>
        <v>2.1781020953999994</v>
      </c>
      <c r="T980" s="7">
        <f>IFERROR(_xlfn.XLOOKUP($A980,'Base SKUs'!$E:$E,'Base SKUs'!R:R),"")</f>
        <v>616.40099999999995</v>
      </c>
      <c r="U980" s="15">
        <f t="shared" si="78"/>
        <v>1343</v>
      </c>
      <c r="V980" t="str">
        <f t="shared" si="79"/>
        <v>Miami</v>
      </c>
    </row>
    <row r="981" spans="1:22" x14ac:dyDescent="0.2">
      <c r="A981" t="s">
        <v>1355</v>
      </c>
      <c r="B981" s="5">
        <v>30</v>
      </c>
      <c r="C981" s="5">
        <v>0</v>
      </c>
      <c r="D981" s="5">
        <f t="shared" si="75"/>
        <v>30</v>
      </c>
      <c r="E981" s="6">
        <v>61.4467</v>
      </c>
      <c r="F981" s="6">
        <f t="shared" si="76"/>
        <v>1843.4010000000001</v>
      </c>
      <c r="G981" t="s">
        <v>6145</v>
      </c>
      <c r="H981">
        <v>9010</v>
      </c>
      <c r="I981" t="str">
        <f>IFERROR(_xlfn.XLOOKUP($A981,'Base SKUs'!$E:$E,'Base SKUs'!A:A),"")</f>
        <v>Ayous JPL</v>
      </c>
      <c r="J981" t="str">
        <f>IFERROR(_xlfn.XLOOKUP($A981,'Base SKUs'!$E:$E,'Base SKUs'!B:B),"")</f>
        <v>Ayous JPL 2x6</v>
      </c>
      <c r="K981" t="str">
        <f>IFERROR(_xlfn.XLOOKUP($A981,'Base SKUs'!$E:$E,'Base SKUs'!C:C),"")</f>
        <v>Long</v>
      </c>
      <c r="L981" t="str">
        <f>IFERROR(_xlfn.XLOOKUP($A981,'Base SKUs'!$E:$E,'Base SKUs'!D:D),"")</f>
        <v>Thermowood</v>
      </c>
      <c r="M981" t="str">
        <f>IFERROR(_xlfn.XLOOKUP($A981,'Base SKUs'!$E:$E,'Base SKUs'!G:G),"")</f>
        <v>Maximo Thermo Ayous JPL</v>
      </c>
      <c r="N981" t="str">
        <f>IFERROR(_xlfn.XLOOKUP($A981,'Base SKUs'!$E:$E,'Base SKUs'!H:H),"")</f>
        <v>S4S E4E</v>
      </c>
      <c r="O981" t="str">
        <f>IFERROR(_xlfn.XLOOKUP($A981,'Base SKUs'!$E:$E,'Base SKUs'!I:I),"")</f>
        <v>-</v>
      </c>
      <c r="P981" t="str">
        <f>IFERROR(_xlfn.XLOOKUP($A981,'Base SKUs'!$E:$E,'Base SKUs'!J:J),"")</f>
        <v>2x6</v>
      </c>
      <c r="Q981">
        <f>IFERROR(_xlfn.XLOOKUP($A981,'Base SKUs'!$E:$E,'Base SKUs'!K:K),"")</f>
        <v>17</v>
      </c>
      <c r="R981" s="7">
        <f>IFERROR(_xlfn.XLOOKUP($A981,'Base SKUs'!$E:$E,'Base SKUs'!S:S),"")</f>
        <v>2.757091259999999E-2</v>
      </c>
      <c r="S981" s="8">
        <f t="shared" si="77"/>
        <v>0.82712737799999969</v>
      </c>
      <c r="T981" s="7">
        <f>IFERROR(_xlfn.XLOOKUP($A981,'Base SKUs'!$E:$E,'Base SKUs'!R:R),"")</f>
        <v>616.40099999999995</v>
      </c>
      <c r="U981" s="15">
        <f t="shared" si="78"/>
        <v>510</v>
      </c>
      <c r="V981" t="str">
        <f t="shared" si="79"/>
        <v>BS Detroit</v>
      </c>
    </row>
    <row r="982" spans="1:22" x14ac:dyDescent="0.2">
      <c r="A982" t="s">
        <v>1357</v>
      </c>
      <c r="B982" s="5">
        <v>291</v>
      </c>
      <c r="C982" s="5">
        <v>144</v>
      </c>
      <c r="D982" s="5">
        <f t="shared" si="75"/>
        <v>147</v>
      </c>
      <c r="E982" s="6">
        <v>22.381699999999999</v>
      </c>
      <c r="F982" s="6">
        <f t="shared" si="76"/>
        <v>6513.0746999999992</v>
      </c>
      <c r="G982" t="s">
        <v>17</v>
      </c>
      <c r="H982">
        <v>9007</v>
      </c>
      <c r="I982" t="str">
        <f>IFERROR(_xlfn.XLOOKUP($A982,'Base SKUs'!$E:$E,'Base SKUs'!A:A),"")</f>
        <v>Ayous JPL</v>
      </c>
      <c r="J982" t="str">
        <f>IFERROR(_xlfn.XLOOKUP($A982,'Base SKUs'!$E:$E,'Base SKUs'!B:B),"")</f>
        <v>Ayous JPL 2x6</v>
      </c>
      <c r="K982" t="str">
        <f>IFERROR(_xlfn.XLOOKUP($A982,'Base SKUs'!$E:$E,'Base SKUs'!C:C),"")</f>
        <v>Long</v>
      </c>
      <c r="L982" t="str">
        <f>IFERROR(_xlfn.XLOOKUP($A982,'Base SKUs'!$E:$E,'Base SKUs'!D:D),"")</f>
        <v>Thermowood</v>
      </c>
      <c r="M982" t="str">
        <f>IFERROR(_xlfn.XLOOKUP($A982,'Base SKUs'!$E:$E,'Base SKUs'!G:G),"")</f>
        <v>Maximo Thermo Ayous JPL</v>
      </c>
      <c r="N982" t="str">
        <f>IFERROR(_xlfn.XLOOKUP($A982,'Base SKUs'!$E:$E,'Base SKUs'!H:H),"")</f>
        <v>S4S E4E</v>
      </c>
      <c r="O982" t="str">
        <f>IFERROR(_xlfn.XLOOKUP($A982,'Base SKUs'!$E:$E,'Base SKUs'!I:I),"")</f>
        <v>-</v>
      </c>
      <c r="P982" t="str">
        <f>IFERROR(_xlfn.XLOOKUP($A982,'Base SKUs'!$E:$E,'Base SKUs'!J:J),"")</f>
        <v>2x6</v>
      </c>
      <c r="Q982">
        <f>IFERROR(_xlfn.XLOOKUP($A982,'Base SKUs'!$E:$E,'Base SKUs'!K:K),"")</f>
        <v>8</v>
      </c>
      <c r="R982" s="7">
        <f>IFERROR(_xlfn.XLOOKUP($A982,'Base SKUs'!$E:$E,'Base SKUs'!S:S),"")</f>
        <v>1.2987070799999998E-2</v>
      </c>
      <c r="S982" s="8">
        <f t="shared" si="77"/>
        <v>1.9090994075999999</v>
      </c>
      <c r="T982" s="7">
        <f>IFERROR(_xlfn.XLOOKUP($A982,'Base SKUs'!$E:$E,'Base SKUs'!R:R),"")</f>
        <v>616.40099999999995</v>
      </c>
      <c r="U982" s="15">
        <f t="shared" si="78"/>
        <v>1177</v>
      </c>
      <c r="V982" t="str">
        <f t="shared" si="79"/>
        <v>Miami</v>
      </c>
    </row>
    <row r="983" spans="1:22" x14ac:dyDescent="0.2">
      <c r="A983" t="s">
        <v>1359</v>
      </c>
      <c r="B983" s="5">
        <v>168</v>
      </c>
      <c r="C983" s="5">
        <v>0</v>
      </c>
      <c r="D983" s="5">
        <f t="shared" si="75"/>
        <v>168</v>
      </c>
      <c r="E983" s="6">
        <v>29.691099999999999</v>
      </c>
      <c r="F983" s="6">
        <f t="shared" si="76"/>
        <v>4988.1048000000001</v>
      </c>
      <c r="G983" t="s">
        <v>500</v>
      </c>
      <c r="H983">
        <v>9012</v>
      </c>
      <c r="I983" t="str">
        <f>IFERROR(_xlfn.XLOOKUP($A983,'Base SKUs'!$E:$E,'Base SKUs'!A:A),"")</f>
        <v>Ayous JPL</v>
      </c>
      <c r="J983" t="str">
        <f>IFERROR(_xlfn.XLOOKUP($A983,'Base SKUs'!$E:$E,'Base SKUs'!B:B),"")</f>
        <v>Ayous JPL 2x6</v>
      </c>
      <c r="K983" t="str">
        <f>IFERROR(_xlfn.XLOOKUP($A983,'Base SKUs'!$E:$E,'Base SKUs'!C:C),"")</f>
        <v>Long</v>
      </c>
      <c r="L983" t="str">
        <f>IFERROR(_xlfn.XLOOKUP($A983,'Base SKUs'!$E:$E,'Base SKUs'!D:D),"")</f>
        <v>Thermowood</v>
      </c>
      <c r="M983" t="str">
        <f>IFERROR(_xlfn.XLOOKUP($A983,'Base SKUs'!$E:$E,'Base SKUs'!G:G),"")</f>
        <v>Maximo Thermo Ayous JPL</v>
      </c>
      <c r="N983" t="str">
        <f>IFERROR(_xlfn.XLOOKUP($A983,'Base SKUs'!$E:$E,'Base SKUs'!H:H),"")</f>
        <v>S4S E4E</v>
      </c>
      <c r="O983" t="str">
        <f>IFERROR(_xlfn.XLOOKUP($A983,'Base SKUs'!$E:$E,'Base SKUs'!I:I),"")</f>
        <v>-</v>
      </c>
      <c r="P983" t="str">
        <f>IFERROR(_xlfn.XLOOKUP($A983,'Base SKUs'!$E:$E,'Base SKUs'!J:J),"")</f>
        <v>2x6</v>
      </c>
      <c r="Q983">
        <f>IFERROR(_xlfn.XLOOKUP($A983,'Base SKUs'!$E:$E,'Base SKUs'!K:K),"")</f>
        <v>9</v>
      </c>
      <c r="R983" s="7">
        <f>IFERROR(_xlfn.XLOOKUP($A983,'Base SKUs'!$E:$E,'Base SKUs'!S:S),"")</f>
        <v>1.4583841799999997E-2</v>
      </c>
      <c r="S983" s="8">
        <f t="shared" si="77"/>
        <v>2.4500854223999995</v>
      </c>
      <c r="T983" s="7">
        <f>IFERROR(_xlfn.XLOOKUP($A983,'Base SKUs'!$E:$E,'Base SKUs'!R:R),"")</f>
        <v>616.40099999999995</v>
      </c>
      <c r="U983" s="15">
        <f t="shared" si="78"/>
        <v>1510</v>
      </c>
      <c r="V983" t="str">
        <f t="shared" si="79"/>
        <v>HW Perris</v>
      </c>
    </row>
    <row r="984" spans="1:22" x14ac:dyDescent="0.2">
      <c r="A984" t="s">
        <v>1361</v>
      </c>
      <c r="B984" s="5">
        <v>518</v>
      </c>
      <c r="C984" s="5">
        <v>0</v>
      </c>
      <c r="D984" s="5">
        <f t="shared" si="75"/>
        <v>518</v>
      </c>
      <c r="E984" s="6">
        <v>14.8264</v>
      </c>
      <c r="F984" s="6">
        <f t="shared" si="76"/>
        <v>7680.0752000000002</v>
      </c>
      <c r="G984" t="s">
        <v>500</v>
      </c>
      <c r="H984">
        <v>9012</v>
      </c>
      <c r="I984" t="str">
        <f>IFERROR(_xlfn.XLOOKUP($A984,'Base SKUs'!$E:$E,'Base SKUs'!A:A),"")</f>
        <v>Ayous JPL</v>
      </c>
      <c r="J984" t="str">
        <f>IFERROR(_xlfn.XLOOKUP($A984,'Base SKUs'!$E:$E,'Base SKUs'!B:B),"")</f>
        <v>Ayous JPL 5/4x6</v>
      </c>
      <c r="K984" t="str">
        <f>IFERROR(_xlfn.XLOOKUP($A984,'Base SKUs'!$E:$E,'Base SKUs'!C:C),"")</f>
        <v>Long</v>
      </c>
      <c r="L984" t="str">
        <f>IFERROR(_xlfn.XLOOKUP($A984,'Base SKUs'!$E:$E,'Base SKUs'!D:D),"")</f>
        <v>Thermowood</v>
      </c>
      <c r="M984" t="str">
        <f>IFERROR(_xlfn.XLOOKUP($A984,'Base SKUs'!$E:$E,'Base SKUs'!G:G),"")</f>
        <v>Maximo Thermo Ayous JPL</v>
      </c>
      <c r="N984" t="str">
        <f>IFERROR(_xlfn.XLOOKUP($A984,'Base SKUs'!$E:$E,'Base SKUs'!H:H),"")</f>
        <v>Rough Sawn</v>
      </c>
      <c r="O984" t="str">
        <f>IFERROR(_xlfn.XLOOKUP($A984,'Base SKUs'!$E:$E,'Base SKUs'!I:I),"")</f>
        <v>-</v>
      </c>
      <c r="P984" t="str">
        <f>IFERROR(_xlfn.XLOOKUP($A984,'Base SKUs'!$E:$E,'Base SKUs'!J:J),"")</f>
        <v>5/4x6</v>
      </c>
      <c r="Q984">
        <f>IFERROR(_xlfn.XLOOKUP($A984,'Base SKUs'!$E:$E,'Base SKUs'!K:K),"")</f>
        <v>10</v>
      </c>
      <c r="R984" s="7">
        <f>IFERROR(_xlfn.XLOOKUP($A984,'Base SKUs'!$E:$E,'Base SKUs'!S:S),"")</f>
        <v>1.14375E-2</v>
      </c>
      <c r="S984" s="8">
        <f t="shared" si="77"/>
        <v>5.9246249999999998</v>
      </c>
      <c r="T984" s="7">
        <f>IFERROR(_xlfn.XLOOKUP($A984,'Base SKUs'!$E:$E,'Base SKUs'!R:R),"")</f>
        <v>874.89099999999996</v>
      </c>
      <c r="U984" s="15">
        <f t="shared" si="78"/>
        <v>5183</v>
      </c>
      <c r="V984" t="str">
        <f t="shared" si="79"/>
        <v>HW Perris</v>
      </c>
    </row>
    <row r="985" spans="1:22" x14ac:dyDescent="0.2">
      <c r="A985" t="s">
        <v>1363</v>
      </c>
      <c r="B985" s="5">
        <v>259</v>
      </c>
      <c r="C985" s="5">
        <v>0</v>
      </c>
      <c r="D985" s="5">
        <f t="shared" si="75"/>
        <v>259</v>
      </c>
      <c r="E985" s="6">
        <v>17.791699999999999</v>
      </c>
      <c r="F985" s="6">
        <f t="shared" si="76"/>
        <v>4608.0502999999999</v>
      </c>
      <c r="G985" t="s">
        <v>500</v>
      </c>
      <c r="H985">
        <v>9012</v>
      </c>
      <c r="I985" t="str">
        <f>IFERROR(_xlfn.XLOOKUP($A985,'Base SKUs'!$E:$E,'Base SKUs'!A:A),"")</f>
        <v>Ayous JPL</v>
      </c>
      <c r="J985" t="str">
        <f>IFERROR(_xlfn.XLOOKUP($A985,'Base SKUs'!$E:$E,'Base SKUs'!B:B),"")</f>
        <v>Ayous JPL 5/4x6</v>
      </c>
      <c r="K985" t="str">
        <f>IFERROR(_xlfn.XLOOKUP($A985,'Base SKUs'!$E:$E,'Base SKUs'!C:C),"")</f>
        <v>Long</v>
      </c>
      <c r="L985" t="str">
        <f>IFERROR(_xlfn.XLOOKUP($A985,'Base SKUs'!$E:$E,'Base SKUs'!D:D),"")</f>
        <v>Thermowood</v>
      </c>
      <c r="M985" t="str">
        <f>IFERROR(_xlfn.XLOOKUP($A985,'Base SKUs'!$E:$E,'Base SKUs'!G:G),"")</f>
        <v>Maximo Thermo Ayous JPL</v>
      </c>
      <c r="N985" t="str">
        <f>IFERROR(_xlfn.XLOOKUP($A985,'Base SKUs'!$E:$E,'Base SKUs'!H:H),"")</f>
        <v>Rough Sawn</v>
      </c>
      <c r="O985" t="str">
        <f>IFERROR(_xlfn.XLOOKUP($A985,'Base SKUs'!$E:$E,'Base SKUs'!I:I),"")</f>
        <v>-</v>
      </c>
      <c r="P985" t="str">
        <f>IFERROR(_xlfn.XLOOKUP($A985,'Base SKUs'!$E:$E,'Base SKUs'!J:J),"")</f>
        <v>5/4x6</v>
      </c>
      <c r="Q985">
        <f>IFERROR(_xlfn.XLOOKUP($A985,'Base SKUs'!$E:$E,'Base SKUs'!K:K),"")</f>
        <v>12</v>
      </c>
      <c r="R985" s="7">
        <f>IFERROR(_xlfn.XLOOKUP($A985,'Base SKUs'!$E:$E,'Base SKUs'!S:S),"")</f>
        <v>1.3724999999999999E-2</v>
      </c>
      <c r="S985" s="8">
        <f t="shared" si="77"/>
        <v>3.5547749999999998</v>
      </c>
      <c r="T985" s="7">
        <f>IFERROR(_xlfn.XLOOKUP($A985,'Base SKUs'!$E:$E,'Base SKUs'!R:R),"")</f>
        <v>874.89099999999996</v>
      </c>
      <c r="U985" s="15">
        <f t="shared" si="78"/>
        <v>3110</v>
      </c>
      <c r="V985" t="str">
        <f t="shared" si="79"/>
        <v>HW Perris</v>
      </c>
    </row>
    <row r="986" spans="1:22" x14ac:dyDescent="0.2">
      <c r="A986" t="s">
        <v>1365</v>
      </c>
      <c r="B986" s="5">
        <v>259</v>
      </c>
      <c r="C986" s="5">
        <v>0</v>
      </c>
      <c r="D986" s="5">
        <f t="shared" si="75"/>
        <v>259</v>
      </c>
      <c r="E986" s="6">
        <v>19.2743</v>
      </c>
      <c r="F986" s="6">
        <f t="shared" si="76"/>
        <v>4992.0437000000002</v>
      </c>
      <c r="G986" t="s">
        <v>500</v>
      </c>
      <c r="H986">
        <v>9012</v>
      </c>
      <c r="I986" t="str">
        <f>IFERROR(_xlfn.XLOOKUP($A986,'Base SKUs'!$E:$E,'Base SKUs'!A:A),"")</f>
        <v>Ayous JPL</v>
      </c>
      <c r="J986" t="str">
        <f>IFERROR(_xlfn.XLOOKUP($A986,'Base SKUs'!$E:$E,'Base SKUs'!B:B),"")</f>
        <v>Ayous JPL 5/4x6</v>
      </c>
      <c r="K986" t="str">
        <f>IFERROR(_xlfn.XLOOKUP($A986,'Base SKUs'!$E:$E,'Base SKUs'!C:C),"")</f>
        <v>Long</v>
      </c>
      <c r="L986" t="str">
        <f>IFERROR(_xlfn.XLOOKUP($A986,'Base SKUs'!$E:$E,'Base SKUs'!D:D),"")</f>
        <v>Thermowood</v>
      </c>
      <c r="M986" t="str">
        <f>IFERROR(_xlfn.XLOOKUP($A986,'Base SKUs'!$E:$E,'Base SKUs'!G:G),"")</f>
        <v>Maximo Thermo Ayous JPL</v>
      </c>
      <c r="N986" t="str">
        <f>IFERROR(_xlfn.XLOOKUP($A986,'Base SKUs'!$E:$E,'Base SKUs'!H:H),"")</f>
        <v>Rough Sawn</v>
      </c>
      <c r="O986" t="str">
        <f>IFERROR(_xlfn.XLOOKUP($A986,'Base SKUs'!$E:$E,'Base SKUs'!I:I),"")</f>
        <v>-</v>
      </c>
      <c r="P986" t="str">
        <f>IFERROR(_xlfn.XLOOKUP($A986,'Base SKUs'!$E:$E,'Base SKUs'!J:J),"")</f>
        <v>5/4x6</v>
      </c>
      <c r="Q986">
        <f>IFERROR(_xlfn.XLOOKUP($A986,'Base SKUs'!$E:$E,'Base SKUs'!K:K),"")</f>
        <v>13</v>
      </c>
      <c r="R986" s="7">
        <f>IFERROR(_xlfn.XLOOKUP($A986,'Base SKUs'!$E:$E,'Base SKUs'!S:S),"")</f>
        <v>1.486875E-2</v>
      </c>
      <c r="S986" s="8">
        <f t="shared" si="77"/>
        <v>3.8510062500000002</v>
      </c>
      <c r="T986" s="7">
        <f>IFERROR(_xlfn.XLOOKUP($A986,'Base SKUs'!$E:$E,'Base SKUs'!R:R),"")</f>
        <v>874.89099999999996</v>
      </c>
      <c r="U986" s="15">
        <f t="shared" si="78"/>
        <v>3369</v>
      </c>
      <c r="V986" t="str">
        <f t="shared" si="79"/>
        <v>HW Perris</v>
      </c>
    </row>
    <row r="987" spans="1:22" x14ac:dyDescent="0.2">
      <c r="A987" t="s">
        <v>1367</v>
      </c>
      <c r="B987" s="5">
        <v>259</v>
      </c>
      <c r="C987" s="5">
        <v>0</v>
      </c>
      <c r="D987" s="5">
        <f t="shared" si="75"/>
        <v>259</v>
      </c>
      <c r="E987" s="6">
        <v>23.722200000000001</v>
      </c>
      <c r="F987" s="6">
        <f t="shared" si="76"/>
        <v>6144.0497999999998</v>
      </c>
      <c r="G987" t="s">
        <v>500</v>
      </c>
      <c r="H987">
        <v>9012</v>
      </c>
      <c r="I987" t="str">
        <f>IFERROR(_xlfn.XLOOKUP($A987,'Base SKUs'!$E:$E,'Base SKUs'!A:A),"")</f>
        <v>Ayous JPL</v>
      </c>
      <c r="J987" t="str">
        <f>IFERROR(_xlfn.XLOOKUP($A987,'Base SKUs'!$E:$E,'Base SKUs'!B:B),"")</f>
        <v>Ayous JPL 5/4x6</v>
      </c>
      <c r="K987" t="str">
        <f>IFERROR(_xlfn.XLOOKUP($A987,'Base SKUs'!$E:$E,'Base SKUs'!C:C),"")</f>
        <v>Long</v>
      </c>
      <c r="L987" t="str">
        <f>IFERROR(_xlfn.XLOOKUP($A987,'Base SKUs'!$E:$E,'Base SKUs'!D:D),"")</f>
        <v>Thermowood</v>
      </c>
      <c r="M987" t="str">
        <f>IFERROR(_xlfn.XLOOKUP($A987,'Base SKUs'!$E:$E,'Base SKUs'!G:G),"")</f>
        <v>Maximo Thermo Ayous JPL</v>
      </c>
      <c r="N987" t="str">
        <f>IFERROR(_xlfn.XLOOKUP($A987,'Base SKUs'!$E:$E,'Base SKUs'!H:H),"")</f>
        <v>Rough Sawn</v>
      </c>
      <c r="O987" t="str">
        <f>IFERROR(_xlfn.XLOOKUP($A987,'Base SKUs'!$E:$E,'Base SKUs'!I:I),"")</f>
        <v>-</v>
      </c>
      <c r="P987" t="str">
        <f>IFERROR(_xlfn.XLOOKUP($A987,'Base SKUs'!$E:$E,'Base SKUs'!J:J),"")</f>
        <v>5/4x6</v>
      </c>
      <c r="Q987">
        <f>IFERROR(_xlfn.XLOOKUP($A987,'Base SKUs'!$E:$E,'Base SKUs'!K:K),"")</f>
        <v>16</v>
      </c>
      <c r="R987" s="7">
        <f>IFERROR(_xlfn.XLOOKUP($A987,'Base SKUs'!$E:$E,'Base SKUs'!S:S),"")</f>
        <v>1.83E-2</v>
      </c>
      <c r="S987" s="8">
        <f t="shared" si="77"/>
        <v>4.7397</v>
      </c>
      <c r="T987" s="7">
        <f>IFERROR(_xlfn.XLOOKUP($A987,'Base SKUs'!$E:$E,'Base SKUs'!R:R),"")</f>
        <v>874.89099999999996</v>
      </c>
      <c r="U987" s="15">
        <f t="shared" si="78"/>
        <v>4147</v>
      </c>
      <c r="V987" t="str">
        <f t="shared" si="79"/>
        <v>HW Perris</v>
      </c>
    </row>
    <row r="988" spans="1:22" x14ac:dyDescent="0.2">
      <c r="A988" t="s">
        <v>1369</v>
      </c>
      <c r="B988" s="5">
        <v>259</v>
      </c>
      <c r="C988" s="5">
        <v>0</v>
      </c>
      <c r="D988" s="5">
        <f t="shared" si="75"/>
        <v>259</v>
      </c>
      <c r="E988" s="6">
        <v>26.6875</v>
      </c>
      <c r="F988" s="6">
        <f t="shared" si="76"/>
        <v>6912.0625</v>
      </c>
      <c r="G988" t="s">
        <v>500</v>
      </c>
      <c r="H988">
        <v>9012</v>
      </c>
      <c r="I988" t="str">
        <f>IFERROR(_xlfn.XLOOKUP($A988,'Base SKUs'!$E:$E,'Base SKUs'!A:A),"")</f>
        <v>Ayous JPL</v>
      </c>
      <c r="J988" t="str">
        <f>IFERROR(_xlfn.XLOOKUP($A988,'Base SKUs'!$E:$E,'Base SKUs'!B:B),"")</f>
        <v>Ayous JPL 5/4x6</v>
      </c>
      <c r="K988" t="str">
        <f>IFERROR(_xlfn.XLOOKUP($A988,'Base SKUs'!$E:$E,'Base SKUs'!C:C),"")</f>
        <v>Long</v>
      </c>
      <c r="L988" t="str">
        <f>IFERROR(_xlfn.XLOOKUP($A988,'Base SKUs'!$E:$E,'Base SKUs'!D:D),"")</f>
        <v>Thermowood</v>
      </c>
      <c r="M988" t="str">
        <f>IFERROR(_xlfn.XLOOKUP($A988,'Base SKUs'!$E:$E,'Base SKUs'!G:G),"")</f>
        <v>Maximo Thermo Ayous JPL</v>
      </c>
      <c r="N988" t="str">
        <f>IFERROR(_xlfn.XLOOKUP($A988,'Base SKUs'!$E:$E,'Base SKUs'!H:H),"")</f>
        <v>Rough Sawn</v>
      </c>
      <c r="O988" t="str">
        <f>IFERROR(_xlfn.XLOOKUP($A988,'Base SKUs'!$E:$E,'Base SKUs'!I:I),"")</f>
        <v>-</v>
      </c>
      <c r="P988" t="str">
        <f>IFERROR(_xlfn.XLOOKUP($A988,'Base SKUs'!$E:$E,'Base SKUs'!J:J),"")</f>
        <v>5/4x6</v>
      </c>
      <c r="Q988">
        <f>IFERROR(_xlfn.XLOOKUP($A988,'Base SKUs'!$E:$E,'Base SKUs'!K:K),"")</f>
        <v>18</v>
      </c>
      <c r="R988" s="7">
        <f>IFERROR(_xlfn.XLOOKUP($A988,'Base SKUs'!$E:$E,'Base SKUs'!S:S),"")</f>
        <v>2.0587500000000002E-2</v>
      </c>
      <c r="S988" s="8">
        <f t="shared" si="77"/>
        <v>5.3321625000000008</v>
      </c>
      <c r="T988" s="7">
        <f>IFERROR(_xlfn.XLOOKUP($A988,'Base SKUs'!$E:$E,'Base SKUs'!R:R),"")</f>
        <v>874.89099999999996</v>
      </c>
      <c r="U988" s="15">
        <f t="shared" si="78"/>
        <v>4665</v>
      </c>
      <c r="V988" t="str">
        <f t="shared" si="79"/>
        <v>HW Perris</v>
      </c>
    </row>
    <row r="989" spans="1:22" x14ac:dyDescent="0.2">
      <c r="A989" t="s">
        <v>1371</v>
      </c>
      <c r="B989" s="5">
        <v>777</v>
      </c>
      <c r="C989" s="5">
        <v>0</v>
      </c>
      <c r="D989" s="5">
        <f t="shared" si="75"/>
        <v>777</v>
      </c>
      <c r="E989" s="6">
        <v>11.8611</v>
      </c>
      <c r="F989" s="6">
        <f t="shared" si="76"/>
        <v>9216.074700000001</v>
      </c>
      <c r="G989" t="s">
        <v>500</v>
      </c>
      <c r="H989">
        <v>9012</v>
      </c>
      <c r="I989" t="str">
        <f>IFERROR(_xlfn.XLOOKUP($A989,'Base SKUs'!$E:$E,'Base SKUs'!A:A),"")</f>
        <v>Ayous JPL</v>
      </c>
      <c r="J989" t="str">
        <f>IFERROR(_xlfn.XLOOKUP($A989,'Base SKUs'!$E:$E,'Base SKUs'!B:B),"")</f>
        <v>Ayous JPL 5/4x6</v>
      </c>
      <c r="K989" t="str">
        <f>IFERROR(_xlfn.XLOOKUP($A989,'Base SKUs'!$E:$E,'Base SKUs'!C:C),"")</f>
        <v>Long</v>
      </c>
      <c r="L989" t="str">
        <f>IFERROR(_xlfn.XLOOKUP($A989,'Base SKUs'!$E:$E,'Base SKUs'!D:D),"")</f>
        <v>Thermowood</v>
      </c>
      <c r="M989" t="str">
        <f>IFERROR(_xlfn.XLOOKUP($A989,'Base SKUs'!$E:$E,'Base SKUs'!G:G),"")</f>
        <v>Maximo Thermo Ayous JPL</v>
      </c>
      <c r="N989" t="str">
        <f>IFERROR(_xlfn.XLOOKUP($A989,'Base SKUs'!$E:$E,'Base SKUs'!H:H),"")</f>
        <v>Rough Sawn</v>
      </c>
      <c r="O989" t="str">
        <f>IFERROR(_xlfn.XLOOKUP($A989,'Base SKUs'!$E:$E,'Base SKUs'!I:I),"")</f>
        <v>-</v>
      </c>
      <c r="P989" t="str">
        <f>IFERROR(_xlfn.XLOOKUP($A989,'Base SKUs'!$E:$E,'Base SKUs'!J:J),"")</f>
        <v>5/4x6</v>
      </c>
      <c r="Q989">
        <f>IFERROR(_xlfn.XLOOKUP($A989,'Base SKUs'!$E:$E,'Base SKUs'!K:K),"")</f>
        <v>8</v>
      </c>
      <c r="R989" s="7">
        <f>IFERROR(_xlfn.XLOOKUP($A989,'Base SKUs'!$E:$E,'Base SKUs'!S:S),"")</f>
        <v>9.1500000000000001E-3</v>
      </c>
      <c r="S989" s="8">
        <f t="shared" si="77"/>
        <v>7.1095500000000005</v>
      </c>
      <c r="T989" s="7">
        <f>IFERROR(_xlfn.XLOOKUP($A989,'Base SKUs'!$E:$E,'Base SKUs'!R:R),"")</f>
        <v>874.89099999999996</v>
      </c>
      <c r="U989" s="15">
        <f t="shared" si="78"/>
        <v>6220</v>
      </c>
      <c r="V989" t="str">
        <f t="shared" si="79"/>
        <v>HW Perris</v>
      </c>
    </row>
    <row r="990" spans="1:22" x14ac:dyDescent="0.2">
      <c r="A990" t="s">
        <v>1373</v>
      </c>
      <c r="B990" s="5">
        <v>777</v>
      </c>
      <c r="C990" s="5">
        <v>0</v>
      </c>
      <c r="D990" s="5">
        <f t="shared" si="75"/>
        <v>777</v>
      </c>
      <c r="E990" s="6">
        <v>13.3437</v>
      </c>
      <c r="F990" s="6">
        <f t="shared" si="76"/>
        <v>10368.054900000001</v>
      </c>
      <c r="G990" t="s">
        <v>500</v>
      </c>
      <c r="H990">
        <v>9012</v>
      </c>
      <c r="I990" t="str">
        <f>IFERROR(_xlfn.XLOOKUP($A990,'Base SKUs'!$E:$E,'Base SKUs'!A:A),"")</f>
        <v>Ayous JPL</v>
      </c>
      <c r="J990" t="str">
        <f>IFERROR(_xlfn.XLOOKUP($A990,'Base SKUs'!$E:$E,'Base SKUs'!B:B),"")</f>
        <v>Ayous JPL 5/4x6</v>
      </c>
      <c r="K990" t="str">
        <f>IFERROR(_xlfn.XLOOKUP($A990,'Base SKUs'!$E:$E,'Base SKUs'!C:C),"")</f>
        <v>Long</v>
      </c>
      <c r="L990" t="str">
        <f>IFERROR(_xlfn.XLOOKUP($A990,'Base SKUs'!$E:$E,'Base SKUs'!D:D),"")</f>
        <v>Thermowood</v>
      </c>
      <c r="M990" t="str">
        <f>IFERROR(_xlfn.XLOOKUP($A990,'Base SKUs'!$E:$E,'Base SKUs'!G:G),"")</f>
        <v>Maximo Thermo Ayous JPL</v>
      </c>
      <c r="N990" t="str">
        <f>IFERROR(_xlfn.XLOOKUP($A990,'Base SKUs'!$E:$E,'Base SKUs'!H:H),"")</f>
        <v>Rough Sawn</v>
      </c>
      <c r="O990" t="str">
        <f>IFERROR(_xlfn.XLOOKUP($A990,'Base SKUs'!$E:$E,'Base SKUs'!I:I),"")</f>
        <v>-</v>
      </c>
      <c r="P990" t="str">
        <f>IFERROR(_xlfn.XLOOKUP($A990,'Base SKUs'!$E:$E,'Base SKUs'!J:J),"")</f>
        <v>5/4x6</v>
      </c>
      <c r="Q990">
        <f>IFERROR(_xlfn.XLOOKUP($A990,'Base SKUs'!$E:$E,'Base SKUs'!K:K),"")</f>
        <v>9</v>
      </c>
      <c r="R990" s="7">
        <f>IFERROR(_xlfn.XLOOKUP($A990,'Base SKUs'!$E:$E,'Base SKUs'!S:S),"")</f>
        <v>1.0293750000000001E-2</v>
      </c>
      <c r="S990" s="8">
        <f t="shared" si="77"/>
        <v>7.9982437500000003</v>
      </c>
      <c r="T990" s="7">
        <f>IFERROR(_xlfn.XLOOKUP($A990,'Base SKUs'!$E:$E,'Base SKUs'!R:R),"")</f>
        <v>874.89099999999996</v>
      </c>
      <c r="U990" s="15">
        <f t="shared" si="78"/>
        <v>6998</v>
      </c>
      <c r="V990" t="str">
        <f t="shared" si="79"/>
        <v>HW Perris</v>
      </c>
    </row>
    <row r="991" spans="1:22" x14ac:dyDescent="0.2">
      <c r="A991" t="s">
        <v>1375</v>
      </c>
      <c r="B991" s="5">
        <v>33</v>
      </c>
      <c r="C991" s="5">
        <v>0</v>
      </c>
      <c r="D991" s="5">
        <f t="shared" si="75"/>
        <v>33</v>
      </c>
      <c r="E991" s="6">
        <v>16.525200000000002</v>
      </c>
      <c r="F991" s="6">
        <f t="shared" si="76"/>
        <v>545.33160000000009</v>
      </c>
      <c r="G991" t="s">
        <v>17</v>
      </c>
      <c r="H991">
        <v>9007</v>
      </c>
      <c r="I991" t="str">
        <f>IFERROR(_xlfn.XLOOKUP($A991,'Base SKUs'!$E:$E,'Base SKUs'!A:A),"")</f>
        <v>Ayous JPL</v>
      </c>
      <c r="J991" t="str">
        <f>IFERROR(_xlfn.XLOOKUP($A991,'Base SKUs'!$E:$E,'Base SKUs'!B:B),"")</f>
        <v>Ayous JPL 1x6</v>
      </c>
      <c r="K991" t="str">
        <f>IFERROR(_xlfn.XLOOKUP($A991,'Base SKUs'!$E:$E,'Base SKUs'!C:C),"")</f>
        <v>Long</v>
      </c>
      <c r="L991" t="str">
        <f>IFERROR(_xlfn.XLOOKUP($A991,'Base SKUs'!$E:$E,'Base SKUs'!D:D),"")</f>
        <v>Thermowood</v>
      </c>
      <c r="M991" t="str">
        <f>IFERROR(_xlfn.XLOOKUP($A991,'Base SKUs'!$E:$E,'Base SKUs'!G:G),"")</f>
        <v>Maximo Thermo Ayous JPL</v>
      </c>
      <c r="N991" t="str">
        <f>IFERROR(_xlfn.XLOOKUP($A991,'Base SKUs'!$E:$E,'Base SKUs'!H:H),"")</f>
        <v>VJoint - Square Back</v>
      </c>
      <c r="O991" t="str">
        <f>IFERROR(_xlfn.XLOOKUP($A991,'Base SKUs'!$E:$E,'Base SKUs'!I:I),"")</f>
        <v>-</v>
      </c>
      <c r="P991" t="str">
        <f>IFERROR(_xlfn.XLOOKUP($A991,'Base SKUs'!$E:$E,'Base SKUs'!J:J),"")</f>
        <v>1x6</v>
      </c>
      <c r="Q991">
        <f>IFERROR(_xlfn.XLOOKUP($A991,'Base SKUs'!$E:$E,'Base SKUs'!K:K),"")</f>
        <v>10</v>
      </c>
      <c r="R991" s="7">
        <f>IFERROR(_xlfn.XLOOKUP($A991,'Base SKUs'!$E:$E,'Base SKUs'!S:S),"")</f>
        <v>8.1169192499999966E-3</v>
      </c>
      <c r="S991" s="8">
        <f t="shared" si="77"/>
        <v>0.26785833524999991</v>
      </c>
      <c r="T991" s="7">
        <f>IFERROR(_xlfn.XLOOKUP($A991,'Base SKUs'!$E:$E,'Base SKUs'!R:R),"")</f>
        <v>1232.8030000000001</v>
      </c>
      <c r="U991" s="15">
        <f t="shared" si="78"/>
        <v>330</v>
      </c>
      <c r="V991" t="str">
        <f t="shared" si="79"/>
        <v>Miami</v>
      </c>
    </row>
    <row r="992" spans="1:22" x14ac:dyDescent="0.2">
      <c r="A992" t="s">
        <v>1377</v>
      </c>
      <c r="B992" s="5">
        <v>23</v>
      </c>
      <c r="C992" s="5">
        <v>0</v>
      </c>
      <c r="D992" s="5">
        <f t="shared" si="75"/>
        <v>23</v>
      </c>
      <c r="E992" s="6">
        <v>19.830300000000001</v>
      </c>
      <c r="F992" s="6">
        <f t="shared" si="76"/>
        <v>456.09690000000001</v>
      </c>
      <c r="G992" t="s">
        <v>17</v>
      </c>
      <c r="H992">
        <v>9007</v>
      </c>
      <c r="I992" t="str">
        <f>IFERROR(_xlfn.XLOOKUP($A992,'Base SKUs'!$E:$E,'Base SKUs'!A:A),"")</f>
        <v>Ayous JPL</v>
      </c>
      <c r="J992" t="str">
        <f>IFERROR(_xlfn.XLOOKUP($A992,'Base SKUs'!$E:$E,'Base SKUs'!B:B),"")</f>
        <v>Ayous JPL 1x6</v>
      </c>
      <c r="K992" t="str">
        <f>IFERROR(_xlfn.XLOOKUP($A992,'Base SKUs'!$E:$E,'Base SKUs'!C:C),"")</f>
        <v>Long</v>
      </c>
      <c r="L992" t="str">
        <f>IFERROR(_xlfn.XLOOKUP($A992,'Base SKUs'!$E:$E,'Base SKUs'!D:D),"")</f>
        <v>Thermowood</v>
      </c>
      <c r="M992" t="str">
        <f>IFERROR(_xlfn.XLOOKUP($A992,'Base SKUs'!$E:$E,'Base SKUs'!G:G),"")</f>
        <v>Maximo Thermo Ayous JPL</v>
      </c>
      <c r="N992" t="str">
        <f>IFERROR(_xlfn.XLOOKUP($A992,'Base SKUs'!$E:$E,'Base SKUs'!H:H),"")</f>
        <v>VJoint - Square Back</v>
      </c>
      <c r="O992" t="str">
        <f>IFERROR(_xlfn.XLOOKUP($A992,'Base SKUs'!$E:$E,'Base SKUs'!I:I),"")</f>
        <v>-</v>
      </c>
      <c r="P992" t="str">
        <f>IFERROR(_xlfn.XLOOKUP($A992,'Base SKUs'!$E:$E,'Base SKUs'!J:J),"")</f>
        <v>1x6</v>
      </c>
      <c r="Q992">
        <f>IFERROR(_xlfn.XLOOKUP($A992,'Base SKUs'!$E:$E,'Base SKUs'!K:K),"")</f>
        <v>12</v>
      </c>
      <c r="R992" s="7">
        <f>IFERROR(_xlfn.XLOOKUP($A992,'Base SKUs'!$E:$E,'Base SKUs'!S:S),"")</f>
        <v>9.7403030999999984E-3</v>
      </c>
      <c r="S992" s="8">
        <f t="shared" si="77"/>
        <v>0.22402697129999996</v>
      </c>
      <c r="T992" s="7">
        <f>IFERROR(_xlfn.XLOOKUP($A992,'Base SKUs'!$E:$E,'Base SKUs'!R:R),"")</f>
        <v>1232.8030000000001</v>
      </c>
      <c r="U992" s="15">
        <f t="shared" si="78"/>
        <v>276</v>
      </c>
      <c r="V992" t="str">
        <f t="shared" si="79"/>
        <v>Miami</v>
      </c>
    </row>
    <row r="993" spans="1:22" x14ac:dyDescent="0.2">
      <c r="A993" t="s">
        <v>1379</v>
      </c>
      <c r="B993" s="5">
        <v>5</v>
      </c>
      <c r="C993" s="5">
        <v>0</v>
      </c>
      <c r="D993" s="5">
        <f t="shared" si="75"/>
        <v>5</v>
      </c>
      <c r="E993" s="6">
        <v>24.7879</v>
      </c>
      <c r="F993" s="6">
        <f t="shared" si="76"/>
        <v>123.93950000000001</v>
      </c>
      <c r="G993" t="s">
        <v>17</v>
      </c>
      <c r="H993">
        <v>9007</v>
      </c>
      <c r="I993" t="str">
        <f>IFERROR(_xlfn.XLOOKUP($A993,'Base SKUs'!$E:$E,'Base SKUs'!A:A),"")</f>
        <v>Ayous JPL</v>
      </c>
      <c r="J993" t="str">
        <f>IFERROR(_xlfn.XLOOKUP($A993,'Base SKUs'!$E:$E,'Base SKUs'!B:B),"")</f>
        <v>Ayous JPL 1x6</v>
      </c>
      <c r="K993" t="str">
        <f>IFERROR(_xlfn.XLOOKUP($A993,'Base SKUs'!$E:$E,'Base SKUs'!C:C),"")</f>
        <v>Long</v>
      </c>
      <c r="L993" t="str">
        <f>IFERROR(_xlfn.XLOOKUP($A993,'Base SKUs'!$E:$E,'Base SKUs'!D:D),"")</f>
        <v>Thermowood</v>
      </c>
      <c r="M993" t="str">
        <f>IFERROR(_xlfn.XLOOKUP($A993,'Base SKUs'!$E:$E,'Base SKUs'!G:G),"")</f>
        <v>Maximo Thermo Ayous JPL</v>
      </c>
      <c r="N993" t="str">
        <f>IFERROR(_xlfn.XLOOKUP($A993,'Base SKUs'!$E:$E,'Base SKUs'!H:H),"")</f>
        <v>VJoint - Square Back</v>
      </c>
      <c r="O993" t="str">
        <f>IFERROR(_xlfn.XLOOKUP($A993,'Base SKUs'!$E:$E,'Base SKUs'!I:I),"")</f>
        <v>-</v>
      </c>
      <c r="P993" t="str">
        <f>IFERROR(_xlfn.XLOOKUP($A993,'Base SKUs'!$E:$E,'Base SKUs'!J:J),"")</f>
        <v>1x6</v>
      </c>
      <c r="Q993">
        <f>IFERROR(_xlfn.XLOOKUP($A993,'Base SKUs'!$E:$E,'Base SKUs'!K:K),"")</f>
        <v>15</v>
      </c>
      <c r="R993" s="7">
        <f>IFERROR(_xlfn.XLOOKUP($A993,'Base SKUs'!$E:$E,'Base SKUs'!S:S),"")</f>
        <v>1.2162072449999999E-2</v>
      </c>
      <c r="S993" s="8">
        <f t="shared" si="77"/>
        <v>6.0810362249999993E-2</v>
      </c>
      <c r="T993" s="7">
        <f>IFERROR(_xlfn.XLOOKUP($A993,'Base SKUs'!$E:$E,'Base SKUs'!R:R),"")</f>
        <v>1232.8030000000001</v>
      </c>
      <c r="U993" s="15">
        <f t="shared" si="78"/>
        <v>75</v>
      </c>
      <c r="V993" t="str">
        <f t="shared" si="79"/>
        <v>Miami</v>
      </c>
    </row>
    <row r="994" spans="1:22" x14ac:dyDescent="0.2">
      <c r="A994" t="s">
        <v>1381</v>
      </c>
      <c r="B994" s="5">
        <v>2</v>
      </c>
      <c r="C994" s="5">
        <v>0</v>
      </c>
      <c r="D994" s="5">
        <f t="shared" si="75"/>
        <v>2</v>
      </c>
      <c r="E994" s="6">
        <v>9.9151000000000007</v>
      </c>
      <c r="F994" s="6">
        <f t="shared" si="76"/>
        <v>19.830200000000001</v>
      </c>
      <c r="G994" t="s">
        <v>17</v>
      </c>
      <c r="H994">
        <v>9007</v>
      </c>
      <c r="I994" t="str">
        <f>IFERROR(_xlfn.XLOOKUP($A994,'Base SKUs'!$E:$E,'Base SKUs'!A:A),"")</f>
        <v>Ayous JPL</v>
      </c>
      <c r="J994" t="str">
        <f>IFERROR(_xlfn.XLOOKUP($A994,'Base SKUs'!$E:$E,'Base SKUs'!B:B),"")</f>
        <v>Ayous JPL 1x6</v>
      </c>
      <c r="K994" t="str">
        <f>IFERROR(_xlfn.XLOOKUP($A994,'Base SKUs'!$E:$E,'Base SKUs'!C:C),"")</f>
        <v>Short</v>
      </c>
      <c r="L994" t="str">
        <f>IFERROR(_xlfn.XLOOKUP($A994,'Base SKUs'!$E:$E,'Base SKUs'!D:D),"")</f>
        <v>Thermowood</v>
      </c>
      <c r="M994" t="str">
        <f>IFERROR(_xlfn.XLOOKUP($A994,'Base SKUs'!$E:$E,'Base SKUs'!G:G),"")</f>
        <v>Maximo Thermo Ayous JPL</v>
      </c>
      <c r="N994" t="str">
        <f>IFERROR(_xlfn.XLOOKUP($A994,'Base SKUs'!$E:$E,'Base SKUs'!H:H),"")</f>
        <v>VJoint - Square Back</v>
      </c>
      <c r="O994" t="str">
        <f>IFERROR(_xlfn.XLOOKUP($A994,'Base SKUs'!$E:$E,'Base SKUs'!I:I),"")</f>
        <v>-</v>
      </c>
      <c r="P994" t="str">
        <f>IFERROR(_xlfn.XLOOKUP($A994,'Base SKUs'!$E:$E,'Base SKUs'!J:J),"")</f>
        <v>1x6</v>
      </c>
      <c r="Q994">
        <f>IFERROR(_xlfn.XLOOKUP($A994,'Base SKUs'!$E:$E,'Base SKUs'!K:K),"")</f>
        <v>6</v>
      </c>
      <c r="R994" s="7">
        <f>IFERROR(_xlfn.XLOOKUP($A994,'Base SKUs'!$E:$E,'Base SKUs'!S:S),"")</f>
        <v>4.8701515499999992E-3</v>
      </c>
      <c r="S994" s="8">
        <f t="shared" si="77"/>
        <v>9.7403030999999984E-3</v>
      </c>
      <c r="T994" s="7">
        <f>IFERROR(_xlfn.XLOOKUP($A994,'Base SKUs'!$E:$E,'Base SKUs'!R:R),"")</f>
        <v>1232.8030000000001</v>
      </c>
      <c r="U994" s="15">
        <f t="shared" si="78"/>
        <v>12</v>
      </c>
      <c r="V994" t="str">
        <f t="shared" si="79"/>
        <v>Miami</v>
      </c>
    </row>
    <row r="995" spans="1:22" x14ac:dyDescent="0.2">
      <c r="A995" t="s">
        <v>1383</v>
      </c>
      <c r="B995" s="5">
        <v>5</v>
      </c>
      <c r="C995" s="5">
        <v>0</v>
      </c>
      <c r="D995" s="5">
        <f t="shared" si="75"/>
        <v>5</v>
      </c>
      <c r="E995" s="6">
        <v>11.567600000000001</v>
      </c>
      <c r="F995" s="6">
        <f t="shared" si="76"/>
        <v>57.838000000000001</v>
      </c>
      <c r="G995" t="s">
        <v>17</v>
      </c>
      <c r="H995">
        <v>9007</v>
      </c>
      <c r="I995" t="str">
        <f>IFERROR(_xlfn.XLOOKUP($A995,'Base SKUs'!$E:$E,'Base SKUs'!A:A),"")</f>
        <v>Ayous JPL</v>
      </c>
      <c r="J995" t="str">
        <f>IFERROR(_xlfn.XLOOKUP($A995,'Base SKUs'!$E:$E,'Base SKUs'!B:B),"")</f>
        <v>Ayous JPL 1x6</v>
      </c>
      <c r="K995" t="str">
        <f>IFERROR(_xlfn.XLOOKUP($A995,'Base SKUs'!$E:$E,'Base SKUs'!C:C),"")</f>
        <v>Short</v>
      </c>
      <c r="L995" t="str">
        <f>IFERROR(_xlfn.XLOOKUP($A995,'Base SKUs'!$E:$E,'Base SKUs'!D:D),"")</f>
        <v>Thermowood</v>
      </c>
      <c r="M995" t="str">
        <f>IFERROR(_xlfn.XLOOKUP($A995,'Base SKUs'!$E:$E,'Base SKUs'!G:G),"")</f>
        <v>Maximo Thermo Ayous JPL</v>
      </c>
      <c r="N995" t="str">
        <f>IFERROR(_xlfn.XLOOKUP($A995,'Base SKUs'!$E:$E,'Base SKUs'!H:H),"")</f>
        <v>VJoint - Square Back</v>
      </c>
      <c r="O995" t="str">
        <f>IFERROR(_xlfn.XLOOKUP($A995,'Base SKUs'!$E:$E,'Base SKUs'!I:I),"")</f>
        <v>-</v>
      </c>
      <c r="P995" t="str">
        <f>IFERROR(_xlfn.XLOOKUP($A995,'Base SKUs'!$E:$E,'Base SKUs'!J:J),"")</f>
        <v>1x6</v>
      </c>
      <c r="Q995">
        <f>IFERROR(_xlfn.XLOOKUP($A995,'Base SKUs'!$E:$E,'Base SKUs'!K:K),"")</f>
        <v>7</v>
      </c>
      <c r="R995" s="7">
        <f>IFERROR(_xlfn.XLOOKUP($A995,'Base SKUs'!$E:$E,'Base SKUs'!S:S),"")</f>
        <v>5.6685370499999976E-3</v>
      </c>
      <c r="S995" s="8">
        <f t="shared" si="77"/>
        <v>2.8342685249999989E-2</v>
      </c>
      <c r="T995" s="7">
        <f>IFERROR(_xlfn.XLOOKUP($A995,'Base SKUs'!$E:$E,'Base SKUs'!R:R),"")</f>
        <v>1232.8030000000001</v>
      </c>
      <c r="U995" s="15">
        <f t="shared" si="78"/>
        <v>35</v>
      </c>
      <c r="V995" t="str">
        <f t="shared" si="79"/>
        <v>Miami</v>
      </c>
    </row>
    <row r="996" spans="1:22" x14ac:dyDescent="0.2">
      <c r="A996" t="s">
        <v>1385</v>
      </c>
      <c r="B996" s="5">
        <v>17</v>
      </c>
      <c r="C996" s="5">
        <v>0</v>
      </c>
      <c r="D996" s="5">
        <f t="shared" si="75"/>
        <v>17</v>
      </c>
      <c r="E996" s="6">
        <v>13.2202</v>
      </c>
      <c r="F996" s="6">
        <f t="shared" si="76"/>
        <v>224.74340000000001</v>
      </c>
      <c r="G996" t="s">
        <v>17</v>
      </c>
      <c r="H996">
        <v>9007</v>
      </c>
      <c r="I996" t="str">
        <f>IFERROR(_xlfn.XLOOKUP($A996,'Base SKUs'!$E:$E,'Base SKUs'!A:A),"")</f>
        <v>Ayous JPL</v>
      </c>
      <c r="J996" t="str">
        <f>IFERROR(_xlfn.XLOOKUP($A996,'Base SKUs'!$E:$E,'Base SKUs'!B:B),"")</f>
        <v>Ayous JPL 1x6</v>
      </c>
      <c r="K996" t="str">
        <f>IFERROR(_xlfn.XLOOKUP($A996,'Base SKUs'!$E:$E,'Base SKUs'!C:C),"")</f>
        <v>Long</v>
      </c>
      <c r="L996" t="str">
        <f>IFERROR(_xlfn.XLOOKUP($A996,'Base SKUs'!$E:$E,'Base SKUs'!D:D),"")</f>
        <v>Thermowood</v>
      </c>
      <c r="M996" t="str">
        <f>IFERROR(_xlfn.XLOOKUP($A996,'Base SKUs'!$E:$E,'Base SKUs'!G:G),"")</f>
        <v>Maximo Thermo Ayous JPL</v>
      </c>
      <c r="N996" t="str">
        <f>IFERROR(_xlfn.XLOOKUP($A996,'Base SKUs'!$E:$E,'Base SKUs'!H:H),"")</f>
        <v>VJoint - Square Back</v>
      </c>
      <c r="O996" t="str">
        <f>IFERROR(_xlfn.XLOOKUP($A996,'Base SKUs'!$E:$E,'Base SKUs'!I:I),"")</f>
        <v>-</v>
      </c>
      <c r="P996" t="str">
        <f>IFERROR(_xlfn.XLOOKUP($A996,'Base SKUs'!$E:$E,'Base SKUs'!J:J),"")</f>
        <v>1x6</v>
      </c>
      <c r="Q996">
        <f>IFERROR(_xlfn.XLOOKUP($A996,'Base SKUs'!$E:$E,'Base SKUs'!K:K),"")</f>
        <v>8</v>
      </c>
      <c r="R996" s="7">
        <f>IFERROR(_xlfn.XLOOKUP($A996,'Base SKUs'!$E:$E,'Base SKUs'!S:S),"")</f>
        <v>6.4935353999999992E-3</v>
      </c>
      <c r="S996" s="8">
        <f t="shared" si="77"/>
        <v>0.11039010179999999</v>
      </c>
      <c r="T996" s="7">
        <f>IFERROR(_xlfn.XLOOKUP($A996,'Base SKUs'!$E:$E,'Base SKUs'!R:R),"")</f>
        <v>1232.8030000000001</v>
      </c>
      <c r="U996" s="15">
        <f t="shared" si="78"/>
        <v>136</v>
      </c>
      <c r="V996" t="str">
        <f t="shared" si="79"/>
        <v>Miami</v>
      </c>
    </row>
    <row r="997" spans="1:22" x14ac:dyDescent="0.2">
      <c r="A997" t="s">
        <v>1387</v>
      </c>
      <c r="B997" s="5">
        <v>700</v>
      </c>
      <c r="C997" s="5">
        <v>0</v>
      </c>
      <c r="D997" s="5">
        <f t="shared" si="75"/>
        <v>700</v>
      </c>
      <c r="E997" s="6">
        <v>20.095600000000001</v>
      </c>
      <c r="F997" s="6">
        <f t="shared" si="76"/>
        <v>14066.92</v>
      </c>
      <c r="G997" t="s">
        <v>24</v>
      </c>
      <c r="H997">
        <v>9008</v>
      </c>
      <c r="I997" t="str">
        <f>IFERROR(_xlfn.XLOOKUP($A997,'Base SKUs'!$E:$E,'Base SKUs'!A:A),"")</f>
        <v>Ayous JPL</v>
      </c>
      <c r="J997" t="str">
        <f>IFERROR(_xlfn.XLOOKUP($A997,'Base SKUs'!$E:$E,'Base SKUs'!B:B),"")</f>
        <v>Ayous JPL 1x6</v>
      </c>
      <c r="K997" t="str">
        <f>IFERROR(_xlfn.XLOOKUP($A997,'Base SKUs'!$E:$E,'Base SKUs'!C:C),"")</f>
        <v>Long</v>
      </c>
      <c r="L997" t="str">
        <f>IFERROR(_xlfn.XLOOKUP($A997,'Base SKUs'!$E:$E,'Base SKUs'!D:D),"")</f>
        <v>Thermowood</v>
      </c>
      <c r="M997" t="str">
        <f>IFERROR(_xlfn.XLOOKUP($A997,'Base SKUs'!$E:$E,'Base SKUs'!G:G),"")</f>
        <v>Maximo Thermo Ayous JPL</v>
      </c>
      <c r="N997" t="str">
        <f>IFERROR(_xlfn.XLOOKUP($A997,'Base SKUs'!$E:$E,'Base SKUs'!H:H),"")</f>
        <v>VJoint - Nickel Gap</v>
      </c>
      <c r="O997" t="str">
        <f>IFERROR(_xlfn.XLOOKUP($A997,'Base SKUs'!$E:$E,'Base SKUs'!I:I),"")</f>
        <v>-</v>
      </c>
      <c r="P997" t="str">
        <f>IFERROR(_xlfn.XLOOKUP($A997,'Base SKUs'!$E:$E,'Base SKUs'!J:J),"")</f>
        <v>1x6</v>
      </c>
      <c r="Q997">
        <f>IFERROR(_xlfn.XLOOKUP($A997,'Base SKUs'!$E:$E,'Base SKUs'!K:K),"")</f>
        <v>10</v>
      </c>
      <c r="R997" s="7">
        <f>IFERROR(_xlfn.XLOOKUP($A997,'Base SKUs'!$E:$E,'Base SKUs'!S:S),"")</f>
        <v>8.1169192499999966E-3</v>
      </c>
      <c r="S997" s="8">
        <f t="shared" si="77"/>
        <v>5.6818434749999973</v>
      </c>
      <c r="T997" s="7">
        <f>IFERROR(_xlfn.XLOOKUP($A997,'Base SKUs'!$E:$E,'Base SKUs'!R:R),"")</f>
        <v>1232.8030000000001</v>
      </c>
      <c r="U997" s="15">
        <f t="shared" si="78"/>
        <v>7005</v>
      </c>
      <c r="V997" t="str">
        <f t="shared" si="79"/>
        <v>Texas</v>
      </c>
    </row>
    <row r="998" spans="1:22" x14ac:dyDescent="0.2">
      <c r="A998" t="s">
        <v>1389</v>
      </c>
      <c r="B998" s="5">
        <v>700</v>
      </c>
      <c r="C998" s="5">
        <v>0</v>
      </c>
      <c r="D998" s="5">
        <f t="shared" si="75"/>
        <v>700</v>
      </c>
      <c r="E998" s="6">
        <v>26.124300000000002</v>
      </c>
      <c r="F998" s="6">
        <f t="shared" si="76"/>
        <v>18287.010000000002</v>
      </c>
      <c r="G998" t="s">
        <v>24</v>
      </c>
      <c r="H998">
        <v>9008</v>
      </c>
      <c r="I998" t="str">
        <f>IFERROR(_xlfn.XLOOKUP($A998,'Base SKUs'!$E:$E,'Base SKUs'!A:A),"")</f>
        <v>Ayous JPL</v>
      </c>
      <c r="J998" t="str">
        <f>IFERROR(_xlfn.XLOOKUP($A998,'Base SKUs'!$E:$E,'Base SKUs'!B:B),"")</f>
        <v>Ayous JPL 1x6</v>
      </c>
      <c r="K998" t="str">
        <f>IFERROR(_xlfn.XLOOKUP($A998,'Base SKUs'!$E:$E,'Base SKUs'!C:C),"")</f>
        <v>Long</v>
      </c>
      <c r="L998" t="str">
        <f>IFERROR(_xlfn.XLOOKUP($A998,'Base SKUs'!$E:$E,'Base SKUs'!D:D),"")</f>
        <v>Thermowood</v>
      </c>
      <c r="M998" t="str">
        <f>IFERROR(_xlfn.XLOOKUP($A998,'Base SKUs'!$E:$E,'Base SKUs'!G:G),"")</f>
        <v>Maximo Thermo Ayous JPL</v>
      </c>
      <c r="N998" t="str">
        <f>IFERROR(_xlfn.XLOOKUP($A998,'Base SKUs'!$E:$E,'Base SKUs'!H:H),"")</f>
        <v>VJoint - Nickel Gap</v>
      </c>
      <c r="O998" t="str">
        <f>IFERROR(_xlfn.XLOOKUP($A998,'Base SKUs'!$E:$E,'Base SKUs'!I:I),"")</f>
        <v>-</v>
      </c>
      <c r="P998" t="str">
        <f>IFERROR(_xlfn.XLOOKUP($A998,'Base SKUs'!$E:$E,'Base SKUs'!J:J),"")</f>
        <v>1x6</v>
      </c>
      <c r="Q998">
        <f>IFERROR(_xlfn.XLOOKUP($A998,'Base SKUs'!$E:$E,'Base SKUs'!K:K),"")</f>
        <v>13</v>
      </c>
      <c r="R998" s="7">
        <f>IFERROR(_xlfn.XLOOKUP($A998,'Base SKUs'!$E:$E,'Base SKUs'!S:S),"")</f>
        <v>1.0538688599999999E-2</v>
      </c>
      <c r="S998" s="8">
        <f t="shared" si="77"/>
        <v>7.3770820199999987</v>
      </c>
      <c r="T998" s="7">
        <f>IFERROR(_xlfn.XLOOKUP($A998,'Base SKUs'!$E:$E,'Base SKUs'!R:R),"")</f>
        <v>1232.8030000000001</v>
      </c>
      <c r="U998" s="15">
        <f t="shared" si="78"/>
        <v>9094</v>
      </c>
      <c r="V998" t="str">
        <f t="shared" si="79"/>
        <v>Texas</v>
      </c>
    </row>
    <row r="999" spans="1:22" x14ac:dyDescent="0.2">
      <c r="A999" t="s">
        <v>1391</v>
      </c>
      <c r="B999" s="5">
        <v>700</v>
      </c>
      <c r="C999" s="5">
        <v>0</v>
      </c>
      <c r="D999" s="5">
        <f t="shared" si="75"/>
        <v>700</v>
      </c>
      <c r="E999" s="6">
        <v>28.133900000000001</v>
      </c>
      <c r="F999" s="6">
        <f t="shared" si="76"/>
        <v>19693.73</v>
      </c>
      <c r="G999" t="s">
        <v>24</v>
      </c>
      <c r="H999">
        <v>9008</v>
      </c>
      <c r="I999" t="str">
        <f>IFERROR(_xlfn.XLOOKUP($A999,'Base SKUs'!$E:$E,'Base SKUs'!A:A),"")</f>
        <v>Ayous JPL</v>
      </c>
      <c r="J999" t="str">
        <f>IFERROR(_xlfn.XLOOKUP($A999,'Base SKUs'!$E:$E,'Base SKUs'!B:B),"")</f>
        <v>Ayous JPL 1x6</v>
      </c>
      <c r="K999" t="str">
        <f>IFERROR(_xlfn.XLOOKUP($A999,'Base SKUs'!$E:$E,'Base SKUs'!C:C),"")</f>
        <v>Long</v>
      </c>
      <c r="L999" t="str">
        <f>IFERROR(_xlfn.XLOOKUP($A999,'Base SKUs'!$E:$E,'Base SKUs'!D:D),"")</f>
        <v>Thermowood</v>
      </c>
      <c r="M999" t="str">
        <f>IFERROR(_xlfn.XLOOKUP($A999,'Base SKUs'!$E:$E,'Base SKUs'!G:G),"")</f>
        <v>Maximo Thermo Ayous JPL</v>
      </c>
      <c r="N999" t="str">
        <f>IFERROR(_xlfn.XLOOKUP($A999,'Base SKUs'!$E:$E,'Base SKUs'!H:H),"")</f>
        <v>VJoint - Nickel Gap</v>
      </c>
      <c r="O999" t="str">
        <f>IFERROR(_xlfn.XLOOKUP($A999,'Base SKUs'!$E:$E,'Base SKUs'!I:I),"")</f>
        <v>-</v>
      </c>
      <c r="P999" t="str">
        <f>IFERROR(_xlfn.XLOOKUP($A999,'Base SKUs'!$E:$E,'Base SKUs'!J:J),"")</f>
        <v>1x6</v>
      </c>
      <c r="Q999">
        <f>IFERROR(_xlfn.XLOOKUP($A999,'Base SKUs'!$E:$E,'Base SKUs'!K:K),"")</f>
        <v>14</v>
      </c>
      <c r="R999" s="7">
        <f>IFERROR(_xlfn.XLOOKUP($A999,'Base SKUs'!$E:$E,'Base SKUs'!S:S),"")</f>
        <v>1.1363686949999995E-2</v>
      </c>
      <c r="S999" s="8">
        <f t="shared" si="77"/>
        <v>7.9545808649999961</v>
      </c>
      <c r="T999" s="7">
        <f>IFERROR(_xlfn.XLOOKUP($A999,'Base SKUs'!$E:$E,'Base SKUs'!R:R),"")</f>
        <v>1232.8030000000001</v>
      </c>
      <c r="U999" s="15">
        <f t="shared" si="78"/>
        <v>9806</v>
      </c>
      <c r="V999" t="str">
        <f t="shared" si="79"/>
        <v>Texas</v>
      </c>
    </row>
    <row r="1000" spans="1:22" x14ac:dyDescent="0.2">
      <c r="A1000" t="s">
        <v>1393</v>
      </c>
      <c r="B1000" s="5">
        <v>20</v>
      </c>
      <c r="C1000" s="5">
        <v>0</v>
      </c>
      <c r="D1000" s="5">
        <f t="shared" si="75"/>
        <v>20</v>
      </c>
      <c r="E1000" s="6">
        <v>30.434999999999999</v>
      </c>
      <c r="F1000" s="6">
        <f t="shared" si="76"/>
        <v>608.69999999999993</v>
      </c>
      <c r="G1000" t="s">
        <v>17</v>
      </c>
      <c r="H1000">
        <v>9007</v>
      </c>
      <c r="I1000" t="str">
        <f>IFERROR(_xlfn.XLOOKUP($A1000,'Base SKUs'!$E:$E,'Base SKUs'!A:A),"")</f>
        <v>Ayous JPL</v>
      </c>
      <c r="J1000" t="str">
        <f>IFERROR(_xlfn.XLOOKUP($A1000,'Base SKUs'!$E:$E,'Base SKUs'!B:B),"")</f>
        <v>Ayous JPL 1x6</v>
      </c>
      <c r="K1000" t="str">
        <f>IFERROR(_xlfn.XLOOKUP($A1000,'Base SKUs'!$E:$E,'Base SKUs'!C:C),"")</f>
        <v>Long</v>
      </c>
      <c r="L1000" t="str">
        <f>IFERROR(_xlfn.XLOOKUP($A1000,'Base SKUs'!$E:$E,'Base SKUs'!D:D),"")</f>
        <v>Thermowood</v>
      </c>
      <c r="M1000" t="str">
        <f>IFERROR(_xlfn.XLOOKUP($A1000,'Base SKUs'!$E:$E,'Base SKUs'!G:G),"")</f>
        <v>Maximo Thermo Ayous JPL</v>
      </c>
      <c r="N1000" t="str">
        <f>IFERROR(_xlfn.XLOOKUP($A1000,'Base SKUs'!$E:$E,'Base SKUs'!H:H),"")</f>
        <v>VJoint - Nickel Gap</v>
      </c>
      <c r="O1000" t="str">
        <f>IFERROR(_xlfn.XLOOKUP($A1000,'Base SKUs'!$E:$E,'Base SKUs'!I:I),"")</f>
        <v>-</v>
      </c>
      <c r="P1000" t="str">
        <f>IFERROR(_xlfn.XLOOKUP($A1000,'Base SKUs'!$E:$E,'Base SKUs'!J:J),"")</f>
        <v>1x6</v>
      </c>
      <c r="Q1000">
        <f>IFERROR(_xlfn.XLOOKUP($A1000,'Base SKUs'!$E:$E,'Base SKUs'!K:K),"")</f>
        <v>17</v>
      </c>
      <c r="R1000" s="7">
        <f>IFERROR(_xlfn.XLOOKUP($A1000,'Base SKUs'!$E:$E,'Base SKUs'!S:S),"")</f>
        <v>1.3785456299999995E-2</v>
      </c>
      <c r="S1000" s="8">
        <f t="shared" si="77"/>
        <v>0.27570912599999992</v>
      </c>
      <c r="T1000" s="7">
        <f>IFERROR(_xlfn.XLOOKUP($A1000,'Base SKUs'!$E:$E,'Base SKUs'!R:R),"")</f>
        <v>1232.8030000000001</v>
      </c>
      <c r="U1000" s="15">
        <f t="shared" si="78"/>
        <v>340</v>
      </c>
      <c r="V1000" t="str">
        <f t="shared" si="79"/>
        <v>Miami</v>
      </c>
    </row>
    <row r="1001" spans="1:22" x14ac:dyDescent="0.2">
      <c r="A1001" t="s">
        <v>1395</v>
      </c>
      <c r="B1001" s="5">
        <v>700</v>
      </c>
      <c r="C1001" s="5">
        <v>0</v>
      </c>
      <c r="D1001" s="5">
        <f t="shared" si="75"/>
        <v>700</v>
      </c>
      <c r="E1001" s="6">
        <v>16.076499999999999</v>
      </c>
      <c r="F1001" s="6">
        <f t="shared" si="76"/>
        <v>11253.55</v>
      </c>
      <c r="G1001" t="s">
        <v>24</v>
      </c>
      <c r="H1001">
        <v>9008</v>
      </c>
      <c r="I1001" t="str">
        <f>IFERROR(_xlfn.XLOOKUP($A1001,'Base SKUs'!$E:$E,'Base SKUs'!A:A),"")</f>
        <v>Ayous JPL</v>
      </c>
      <c r="J1001" t="str">
        <f>IFERROR(_xlfn.XLOOKUP($A1001,'Base SKUs'!$E:$E,'Base SKUs'!B:B),"")</f>
        <v>Ayous JPL 1x6</v>
      </c>
      <c r="K1001" t="str">
        <f>IFERROR(_xlfn.XLOOKUP($A1001,'Base SKUs'!$E:$E,'Base SKUs'!C:C),"")</f>
        <v>Long</v>
      </c>
      <c r="L1001" t="str">
        <f>IFERROR(_xlfn.XLOOKUP($A1001,'Base SKUs'!$E:$E,'Base SKUs'!D:D),"")</f>
        <v>Thermowood</v>
      </c>
      <c r="M1001" t="str">
        <f>IFERROR(_xlfn.XLOOKUP($A1001,'Base SKUs'!$E:$E,'Base SKUs'!G:G),"")</f>
        <v>Maximo Thermo Ayous JPL</v>
      </c>
      <c r="N1001" t="str">
        <f>IFERROR(_xlfn.XLOOKUP($A1001,'Base SKUs'!$E:$E,'Base SKUs'!H:H),"")</f>
        <v>VJoint - Nickel Gap</v>
      </c>
      <c r="O1001" t="str">
        <f>IFERROR(_xlfn.XLOOKUP($A1001,'Base SKUs'!$E:$E,'Base SKUs'!I:I),"")</f>
        <v>-</v>
      </c>
      <c r="P1001" t="str">
        <f>IFERROR(_xlfn.XLOOKUP($A1001,'Base SKUs'!$E:$E,'Base SKUs'!J:J),"")</f>
        <v>1x6</v>
      </c>
      <c r="Q1001">
        <f>IFERROR(_xlfn.XLOOKUP($A1001,'Base SKUs'!$E:$E,'Base SKUs'!K:K),"")</f>
        <v>8</v>
      </c>
      <c r="R1001" s="7">
        <f>IFERROR(_xlfn.XLOOKUP($A1001,'Base SKUs'!$E:$E,'Base SKUs'!S:S),"")</f>
        <v>6.4935353999999992E-3</v>
      </c>
      <c r="S1001" s="8">
        <f t="shared" si="77"/>
        <v>4.5454747799999993</v>
      </c>
      <c r="T1001" s="7">
        <f>IFERROR(_xlfn.XLOOKUP($A1001,'Base SKUs'!$E:$E,'Base SKUs'!R:R),"")</f>
        <v>1232.8030000000001</v>
      </c>
      <c r="U1001" s="15">
        <f t="shared" si="78"/>
        <v>5604</v>
      </c>
      <c r="V1001" t="str">
        <f t="shared" si="79"/>
        <v>Texas</v>
      </c>
    </row>
    <row r="1002" spans="1:22" x14ac:dyDescent="0.2">
      <c r="A1002" t="s">
        <v>1397</v>
      </c>
      <c r="B1002" s="5">
        <v>310</v>
      </c>
      <c r="C1002" s="5">
        <v>0</v>
      </c>
      <c r="D1002" s="5">
        <f t="shared" si="75"/>
        <v>310</v>
      </c>
      <c r="E1002" s="6">
        <v>36.861800000000002</v>
      </c>
      <c r="F1002" s="6">
        <f t="shared" si="76"/>
        <v>11427.158000000001</v>
      </c>
      <c r="G1002" t="s">
        <v>17</v>
      </c>
      <c r="H1002">
        <v>9007</v>
      </c>
      <c r="I1002" t="str">
        <f>IFERROR(_xlfn.XLOOKUP($A1002,'Base SKUs'!$E:$E,'Base SKUs'!A:A),"")</f>
        <v>Ayous</v>
      </c>
      <c r="J1002" t="str">
        <f>IFERROR(_xlfn.XLOOKUP($A1002,'Base SKUs'!$E:$E,'Base SKUs'!B:B),"")</f>
        <v>Ayous 1x10</v>
      </c>
      <c r="K1002" t="str">
        <f>IFERROR(_xlfn.XLOOKUP($A1002,'Base SKUs'!$E:$E,'Base SKUs'!C:C),"")</f>
        <v>Long</v>
      </c>
      <c r="L1002" t="str">
        <f>IFERROR(_xlfn.XLOOKUP($A1002,'Base SKUs'!$E:$E,'Base SKUs'!D:D),"")</f>
        <v>Thermowood</v>
      </c>
      <c r="M1002" t="str">
        <f>IFERROR(_xlfn.XLOOKUP($A1002,'Base SKUs'!$E:$E,'Base SKUs'!G:G),"")</f>
        <v>Maximo Thermo Ayous</v>
      </c>
      <c r="N1002" t="str">
        <f>IFERROR(_xlfn.XLOOKUP($A1002,'Base SKUs'!$E:$E,'Base SKUs'!H:H),"")</f>
        <v>S4S E4E</v>
      </c>
      <c r="O1002" t="str">
        <f>IFERROR(_xlfn.XLOOKUP($A1002,'Base SKUs'!$E:$E,'Base SKUs'!I:I),"")</f>
        <v>-</v>
      </c>
      <c r="P1002" t="str">
        <f>IFERROR(_xlfn.XLOOKUP($A1002,'Base SKUs'!$E:$E,'Base SKUs'!J:J),"")</f>
        <v>1x10</v>
      </c>
      <c r="Q1002">
        <f>IFERROR(_xlfn.XLOOKUP($A1002,'Base SKUs'!$E:$E,'Base SKUs'!K:K),"")</f>
        <v>10</v>
      </c>
      <c r="R1002" s="7">
        <f>IFERROR(_xlfn.XLOOKUP($A1002,'Base SKUs'!$E:$E,'Base SKUs'!S:S),"")</f>
        <v>1.4999999999999999E-2</v>
      </c>
      <c r="S1002" s="8">
        <f t="shared" si="77"/>
        <v>4.6499999999999995</v>
      </c>
      <c r="T1002" s="7">
        <f>IFERROR(_xlfn.XLOOKUP($A1002,'Base SKUs'!$E:$E,'Base SKUs'!R:R),"")</f>
        <v>656.16800000000001</v>
      </c>
      <c r="U1002" s="15">
        <f t="shared" si="78"/>
        <v>3051</v>
      </c>
      <c r="V1002" t="str">
        <f t="shared" si="79"/>
        <v>Miami</v>
      </c>
    </row>
    <row r="1003" spans="1:22" x14ac:dyDescent="0.2">
      <c r="A1003" t="s">
        <v>1399</v>
      </c>
      <c r="B1003" s="5">
        <v>39</v>
      </c>
      <c r="C1003" s="5">
        <v>0</v>
      </c>
      <c r="D1003" s="5">
        <f t="shared" si="75"/>
        <v>39</v>
      </c>
      <c r="E1003" s="6">
        <v>36.770000000000003</v>
      </c>
      <c r="F1003" s="6">
        <f t="shared" si="76"/>
        <v>1434.0300000000002</v>
      </c>
      <c r="G1003" t="s">
        <v>17</v>
      </c>
      <c r="H1003">
        <v>9007</v>
      </c>
      <c r="I1003" t="str">
        <f>IFERROR(_xlfn.XLOOKUP($A1003,'Base SKUs'!$E:$E,'Base SKUs'!A:A),"")</f>
        <v>Ayous</v>
      </c>
      <c r="J1003" t="str">
        <f>IFERROR(_xlfn.XLOOKUP($A1003,'Base SKUs'!$E:$E,'Base SKUs'!B:B),"")</f>
        <v>Ayous 1x10</v>
      </c>
      <c r="K1003" t="str">
        <f>IFERROR(_xlfn.XLOOKUP($A1003,'Base SKUs'!$E:$E,'Base SKUs'!C:C),"")</f>
        <v>Long</v>
      </c>
      <c r="L1003" t="str">
        <f>IFERROR(_xlfn.XLOOKUP($A1003,'Base SKUs'!$E:$E,'Base SKUs'!D:D),"")</f>
        <v>Thermowood</v>
      </c>
      <c r="M1003" t="str">
        <f>IFERROR(_xlfn.XLOOKUP($A1003,'Base SKUs'!$E:$E,'Base SKUs'!G:G),"")</f>
        <v>Maximo Thermo Ayous</v>
      </c>
      <c r="N1003" t="str">
        <f>IFERROR(_xlfn.XLOOKUP($A1003,'Base SKUs'!$E:$E,'Base SKUs'!H:H),"")</f>
        <v>S4S E4E</v>
      </c>
      <c r="O1003" t="str">
        <f>IFERROR(_xlfn.XLOOKUP($A1003,'Base SKUs'!$E:$E,'Base SKUs'!I:I),"")</f>
        <v>-</v>
      </c>
      <c r="P1003" t="str">
        <f>IFERROR(_xlfn.XLOOKUP($A1003,'Base SKUs'!$E:$E,'Base SKUs'!J:J),"")</f>
        <v>1x10</v>
      </c>
      <c r="Q1003">
        <f>IFERROR(_xlfn.XLOOKUP($A1003,'Base SKUs'!$E:$E,'Base SKUs'!K:K),"")</f>
        <v>11</v>
      </c>
      <c r="R1003" s="7">
        <f>IFERROR(_xlfn.XLOOKUP($A1003,'Base SKUs'!$E:$E,'Base SKUs'!S:S),"")</f>
        <v>1.6500000000000001E-2</v>
      </c>
      <c r="S1003" s="8">
        <f t="shared" si="77"/>
        <v>0.64350000000000007</v>
      </c>
      <c r="T1003" s="7">
        <f>IFERROR(_xlfn.XLOOKUP($A1003,'Base SKUs'!$E:$E,'Base SKUs'!R:R),"")</f>
        <v>656.16800000000001</v>
      </c>
      <c r="U1003" s="15">
        <f t="shared" si="78"/>
        <v>422</v>
      </c>
      <c r="V1003" t="str">
        <f t="shared" si="79"/>
        <v>Miami</v>
      </c>
    </row>
    <row r="1004" spans="1:22" x14ac:dyDescent="0.2">
      <c r="A1004" t="s">
        <v>1401</v>
      </c>
      <c r="B1004" s="5">
        <v>112</v>
      </c>
      <c r="C1004" s="5">
        <v>0</v>
      </c>
      <c r="D1004" s="5">
        <f t="shared" si="75"/>
        <v>112</v>
      </c>
      <c r="E1004" s="6">
        <v>43.48</v>
      </c>
      <c r="F1004" s="6">
        <f t="shared" si="76"/>
        <v>4869.7599999999993</v>
      </c>
      <c r="G1004" t="s">
        <v>17</v>
      </c>
      <c r="H1004">
        <v>9007</v>
      </c>
      <c r="I1004" t="str">
        <f>IFERROR(_xlfn.XLOOKUP($A1004,'Base SKUs'!$E:$E,'Base SKUs'!A:A),"")</f>
        <v>Ayous</v>
      </c>
      <c r="J1004" t="str">
        <f>IFERROR(_xlfn.XLOOKUP($A1004,'Base SKUs'!$E:$E,'Base SKUs'!B:B),"")</f>
        <v>Ayous 1x10</v>
      </c>
      <c r="K1004" t="str">
        <f>IFERROR(_xlfn.XLOOKUP($A1004,'Base SKUs'!$E:$E,'Base SKUs'!C:C),"")</f>
        <v>Long</v>
      </c>
      <c r="L1004" t="str">
        <f>IFERROR(_xlfn.XLOOKUP($A1004,'Base SKUs'!$E:$E,'Base SKUs'!D:D),"")</f>
        <v>Thermowood</v>
      </c>
      <c r="M1004" t="str">
        <f>IFERROR(_xlfn.XLOOKUP($A1004,'Base SKUs'!$E:$E,'Base SKUs'!G:G),"")</f>
        <v>Maximo Thermo Ayous</v>
      </c>
      <c r="N1004" t="str">
        <f>IFERROR(_xlfn.XLOOKUP($A1004,'Base SKUs'!$E:$E,'Base SKUs'!H:H),"")</f>
        <v>S4S E4E</v>
      </c>
      <c r="O1004" t="str">
        <f>IFERROR(_xlfn.XLOOKUP($A1004,'Base SKUs'!$E:$E,'Base SKUs'!I:I),"")</f>
        <v>-</v>
      </c>
      <c r="P1004" t="str">
        <f>IFERROR(_xlfn.XLOOKUP($A1004,'Base SKUs'!$E:$E,'Base SKUs'!J:J),"")</f>
        <v>1x10</v>
      </c>
      <c r="Q1004">
        <f>IFERROR(_xlfn.XLOOKUP($A1004,'Base SKUs'!$E:$E,'Base SKUs'!K:K),"")</f>
        <v>13</v>
      </c>
      <c r="R1004" s="7">
        <f>IFERROR(_xlfn.XLOOKUP($A1004,'Base SKUs'!$E:$E,'Base SKUs'!S:S),"")</f>
        <v>1.95E-2</v>
      </c>
      <c r="S1004" s="8">
        <f t="shared" si="77"/>
        <v>2.1840000000000002</v>
      </c>
      <c r="T1004" s="7">
        <f>IFERROR(_xlfn.XLOOKUP($A1004,'Base SKUs'!$E:$E,'Base SKUs'!R:R),"")</f>
        <v>656.16800000000001</v>
      </c>
      <c r="U1004" s="15">
        <f t="shared" si="78"/>
        <v>1433</v>
      </c>
      <c r="V1004" t="str">
        <f t="shared" si="79"/>
        <v>Miami</v>
      </c>
    </row>
    <row r="1005" spans="1:22" x14ac:dyDescent="0.2">
      <c r="A1005" t="s">
        <v>1403</v>
      </c>
      <c r="B1005" s="5">
        <v>10</v>
      </c>
      <c r="C1005" s="5">
        <v>0</v>
      </c>
      <c r="D1005" s="5">
        <f t="shared" si="75"/>
        <v>10</v>
      </c>
      <c r="E1005" s="6">
        <v>62.2027</v>
      </c>
      <c r="F1005" s="6">
        <f t="shared" si="76"/>
        <v>622.02700000000004</v>
      </c>
      <c r="G1005" t="s">
        <v>17</v>
      </c>
      <c r="H1005">
        <v>9007</v>
      </c>
      <c r="I1005" t="str">
        <f>IFERROR(_xlfn.XLOOKUP($A1005,'Base SKUs'!$E:$E,'Base SKUs'!A:A),"")</f>
        <v>Ayous</v>
      </c>
      <c r="J1005" t="str">
        <f>IFERROR(_xlfn.XLOOKUP($A1005,'Base SKUs'!$E:$E,'Base SKUs'!B:B),"")</f>
        <v>Ayous 1x10</v>
      </c>
      <c r="K1005" t="str">
        <f>IFERROR(_xlfn.XLOOKUP($A1005,'Base SKUs'!$E:$E,'Base SKUs'!C:C),"")</f>
        <v>Long</v>
      </c>
      <c r="L1005" t="str">
        <f>IFERROR(_xlfn.XLOOKUP($A1005,'Base SKUs'!$E:$E,'Base SKUs'!D:D),"")</f>
        <v>Thermowood</v>
      </c>
      <c r="M1005" t="str">
        <f>IFERROR(_xlfn.XLOOKUP($A1005,'Base SKUs'!$E:$E,'Base SKUs'!G:G),"")</f>
        <v>Maximo Thermo Ayous</v>
      </c>
      <c r="N1005" t="str">
        <f>IFERROR(_xlfn.XLOOKUP($A1005,'Base SKUs'!$E:$E,'Base SKUs'!H:H),"")</f>
        <v>S4S E4E</v>
      </c>
      <c r="O1005" t="str">
        <f>IFERROR(_xlfn.XLOOKUP($A1005,'Base SKUs'!$E:$E,'Base SKUs'!I:I),"")</f>
        <v>-</v>
      </c>
      <c r="P1005" t="str">
        <f>IFERROR(_xlfn.XLOOKUP($A1005,'Base SKUs'!$E:$E,'Base SKUs'!J:J),"")</f>
        <v>1x10</v>
      </c>
      <c r="Q1005">
        <f>IFERROR(_xlfn.XLOOKUP($A1005,'Base SKUs'!$E:$E,'Base SKUs'!K:K),"")</f>
        <v>14</v>
      </c>
      <c r="R1005" s="7">
        <f>IFERROR(_xlfn.XLOOKUP($A1005,'Base SKUs'!$E:$E,'Base SKUs'!S:S),"")</f>
        <v>2.1000000000000001E-2</v>
      </c>
      <c r="S1005" s="8">
        <f t="shared" si="77"/>
        <v>0.21000000000000002</v>
      </c>
      <c r="T1005" s="7">
        <f>IFERROR(_xlfn.XLOOKUP($A1005,'Base SKUs'!$E:$E,'Base SKUs'!R:R),"")</f>
        <v>656.16800000000001</v>
      </c>
      <c r="U1005" s="15">
        <f t="shared" si="78"/>
        <v>138</v>
      </c>
      <c r="V1005" t="str">
        <f t="shared" si="79"/>
        <v>Miami</v>
      </c>
    </row>
    <row r="1006" spans="1:22" x14ac:dyDescent="0.2">
      <c r="A1006" t="s">
        <v>1405</v>
      </c>
      <c r="B1006" s="5">
        <v>42</v>
      </c>
      <c r="C1006" s="5">
        <v>0</v>
      </c>
      <c r="D1006" s="5">
        <f t="shared" si="75"/>
        <v>42</v>
      </c>
      <c r="E1006" s="6">
        <v>22.64</v>
      </c>
      <c r="F1006" s="6">
        <f t="shared" si="76"/>
        <v>950.88</v>
      </c>
      <c r="G1006" t="s">
        <v>454</v>
      </c>
      <c r="H1006">
        <v>9013</v>
      </c>
      <c r="I1006" t="str">
        <f>IFERROR(_xlfn.XLOOKUP($A1006,'Base SKUs'!$E:$E,'Base SKUs'!A:A),"")</f>
        <v>Ayous</v>
      </c>
      <c r="J1006" t="str">
        <f>IFERROR(_xlfn.XLOOKUP($A1006,'Base SKUs'!$E:$E,'Base SKUs'!B:B),"")</f>
        <v>Ayous 1x10</v>
      </c>
      <c r="K1006" t="str">
        <f>IFERROR(_xlfn.XLOOKUP($A1006,'Base SKUs'!$E:$E,'Base SKUs'!C:C),"")</f>
        <v>Short</v>
      </c>
      <c r="L1006" t="str">
        <f>IFERROR(_xlfn.XLOOKUP($A1006,'Base SKUs'!$E:$E,'Base SKUs'!D:D),"")</f>
        <v>Thermowood</v>
      </c>
      <c r="M1006" t="str">
        <f>IFERROR(_xlfn.XLOOKUP($A1006,'Base SKUs'!$E:$E,'Base SKUs'!G:G),"")</f>
        <v>Maximo Thermo Ayous</v>
      </c>
      <c r="N1006" t="str">
        <f>IFERROR(_xlfn.XLOOKUP($A1006,'Base SKUs'!$E:$E,'Base SKUs'!H:H),"")</f>
        <v>S4S E4E</v>
      </c>
      <c r="O1006" t="str">
        <f>IFERROR(_xlfn.XLOOKUP($A1006,'Base SKUs'!$E:$E,'Base SKUs'!I:I),"")</f>
        <v>-</v>
      </c>
      <c r="P1006" t="str">
        <f>IFERROR(_xlfn.XLOOKUP($A1006,'Base SKUs'!$E:$E,'Base SKUs'!J:J),"")</f>
        <v>1x10</v>
      </c>
      <c r="Q1006">
        <f>IFERROR(_xlfn.XLOOKUP($A1006,'Base SKUs'!$E:$E,'Base SKUs'!K:K),"")</f>
        <v>4</v>
      </c>
      <c r="R1006" s="7">
        <f>IFERROR(_xlfn.XLOOKUP($A1006,'Base SKUs'!$E:$E,'Base SKUs'!S:S),"")</f>
        <v>6.0000000000000001E-3</v>
      </c>
      <c r="S1006" s="8">
        <f t="shared" si="77"/>
        <v>0.252</v>
      </c>
      <c r="T1006" s="7">
        <f>IFERROR(_xlfn.XLOOKUP($A1006,'Base SKUs'!$E:$E,'Base SKUs'!R:R),"")</f>
        <v>656.16800000000001</v>
      </c>
      <c r="U1006" s="15">
        <f t="shared" si="78"/>
        <v>165</v>
      </c>
      <c r="V1006" t="str">
        <f t="shared" si="79"/>
        <v>BS Riverside</v>
      </c>
    </row>
    <row r="1007" spans="1:22" x14ac:dyDescent="0.2">
      <c r="A1007" t="s">
        <v>1407</v>
      </c>
      <c r="B1007" s="5">
        <v>42</v>
      </c>
      <c r="C1007" s="5">
        <v>0</v>
      </c>
      <c r="D1007" s="5">
        <f t="shared" si="75"/>
        <v>42</v>
      </c>
      <c r="E1007" s="6">
        <v>28.3</v>
      </c>
      <c r="F1007" s="6">
        <f t="shared" si="76"/>
        <v>1188.6000000000001</v>
      </c>
      <c r="G1007" t="s">
        <v>454</v>
      </c>
      <c r="H1007">
        <v>9013</v>
      </c>
      <c r="I1007" t="str">
        <f>IFERROR(_xlfn.XLOOKUP($A1007,'Base SKUs'!$E:$E,'Base SKUs'!A:A),"")</f>
        <v>Ayous</v>
      </c>
      <c r="J1007" t="str">
        <f>IFERROR(_xlfn.XLOOKUP($A1007,'Base SKUs'!$E:$E,'Base SKUs'!B:B),"")</f>
        <v>Ayous 1x10</v>
      </c>
      <c r="K1007" t="str">
        <f>IFERROR(_xlfn.XLOOKUP($A1007,'Base SKUs'!$E:$E,'Base SKUs'!C:C),"")</f>
        <v>Short</v>
      </c>
      <c r="L1007" t="str">
        <f>IFERROR(_xlfn.XLOOKUP($A1007,'Base SKUs'!$E:$E,'Base SKUs'!D:D),"")</f>
        <v>Thermowood</v>
      </c>
      <c r="M1007" t="str">
        <f>IFERROR(_xlfn.XLOOKUP($A1007,'Base SKUs'!$E:$E,'Base SKUs'!G:G),"")</f>
        <v>Maximo Thermo Ayous</v>
      </c>
      <c r="N1007" t="str">
        <f>IFERROR(_xlfn.XLOOKUP($A1007,'Base SKUs'!$E:$E,'Base SKUs'!H:H),"")</f>
        <v>S4S E4E</v>
      </c>
      <c r="O1007" t="str">
        <f>IFERROR(_xlfn.XLOOKUP($A1007,'Base SKUs'!$E:$E,'Base SKUs'!I:I),"")</f>
        <v>-</v>
      </c>
      <c r="P1007" t="str">
        <f>IFERROR(_xlfn.XLOOKUP($A1007,'Base SKUs'!$E:$E,'Base SKUs'!J:J),"")</f>
        <v>1x10</v>
      </c>
      <c r="Q1007">
        <f>IFERROR(_xlfn.XLOOKUP($A1007,'Base SKUs'!$E:$E,'Base SKUs'!K:K),"")</f>
        <v>5</v>
      </c>
      <c r="R1007" s="7">
        <f>IFERROR(_xlfn.XLOOKUP($A1007,'Base SKUs'!$E:$E,'Base SKUs'!S:S),"")</f>
        <v>7.4999999999999997E-3</v>
      </c>
      <c r="S1007" s="8">
        <f t="shared" si="77"/>
        <v>0.315</v>
      </c>
      <c r="T1007" s="7">
        <f>IFERROR(_xlfn.XLOOKUP($A1007,'Base SKUs'!$E:$E,'Base SKUs'!R:R),"")</f>
        <v>656.16800000000001</v>
      </c>
      <c r="U1007" s="15">
        <f t="shared" si="78"/>
        <v>207</v>
      </c>
      <c r="V1007" t="str">
        <f t="shared" si="79"/>
        <v>BS Riverside</v>
      </c>
    </row>
    <row r="1008" spans="1:22" x14ac:dyDescent="0.2">
      <c r="A1008" t="s">
        <v>1409</v>
      </c>
      <c r="B1008" s="5">
        <v>49</v>
      </c>
      <c r="C1008" s="5">
        <v>0</v>
      </c>
      <c r="D1008" s="5">
        <f t="shared" si="75"/>
        <v>49</v>
      </c>
      <c r="E1008" s="6">
        <v>33.96</v>
      </c>
      <c r="F1008" s="6">
        <f t="shared" si="76"/>
        <v>1664.04</v>
      </c>
      <c r="G1008" t="s">
        <v>454</v>
      </c>
      <c r="H1008">
        <v>9013</v>
      </c>
      <c r="I1008" t="str">
        <f>IFERROR(_xlfn.XLOOKUP($A1008,'Base SKUs'!$E:$E,'Base SKUs'!A:A),"")</f>
        <v>Ayous</v>
      </c>
      <c r="J1008" t="str">
        <f>IFERROR(_xlfn.XLOOKUP($A1008,'Base SKUs'!$E:$E,'Base SKUs'!B:B),"")</f>
        <v>Ayous 1x10</v>
      </c>
      <c r="K1008" t="str">
        <f>IFERROR(_xlfn.XLOOKUP($A1008,'Base SKUs'!$E:$E,'Base SKUs'!C:C),"")</f>
        <v>Short</v>
      </c>
      <c r="L1008" t="str">
        <f>IFERROR(_xlfn.XLOOKUP($A1008,'Base SKUs'!$E:$E,'Base SKUs'!D:D),"")</f>
        <v>Thermowood</v>
      </c>
      <c r="M1008" t="str">
        <f>IFERROR(_xlfn.XLOOKUP($A1008,'Base SKUs'!$E:$E,'Base SKUs'!G:G),"")</f>
        <v>Maximo Thermo Ayous</v>
      </c>
      <c r="N1008" t="str">
        <f>IFERROR(_xlfn.XLOOKUP($A1008,'Base SKUs'!$E:$E,'Base SKUs'!H:H),"")</f>
        <v>S4S E4E</v>
      </c>
      <c r="O1008" t="str">
        <f>IFERROR(_xlfn.XLOOKUP($A1008,'Base SKUs'!$E:$E,'Base SKUs'!I:I),"")</f>
        <v>-</v>
      </c>
      <c r="P1008" t="str">
        <f>IFERROR(_xlfn.XLOOKUP($A1008,'Base SKUs'!$E:$E,'Base SKUs'!J:J),"")</f>
        <v>1x10</v>
      </c>
      <c r="Q1008">
        <f>IFERROR(_xlfn.XLOOKUP($A1008,'Base SKUs'!$E:$E,'Base SKUs'!K:K),"")</f>
        <v>6</v>
      </c>
      <c r="R1008" s="7">
        <f>IFERROR(_xlfn.XLOOKUP($A1008,'Base SKUs'!$E:$E,'Base SKUs'!S:S),"")</f>
        <v>8.9999999999999993E-3</v>
      </c>
      <c r="S1008" s="8">
        <f t="shared" si="77"/>
        <v>0.44099999999999995</v>
      </c>
      <c r="T1008" s="7">
        <f>IFERROR(_xlfn.XLOOKUP($A1008,'Base SKUs'!$E:$E,'Base SKUs'!R:R),"")</f>
        <v>656.16800000000001</v>
      </c>
      <c r="U1008" s="15">
        <f t="shared" si="78"/>
        <v>289</v>
      </c>
      <c r="V1008" t="str">
        <f t="shared" si="79"/>
        <v>BS Riverside</v>
      </c>
    </row>
    <row r="1009" spans="1:22" x14ac:dyDescent="0.2">
      <c r="A1009" t="s">
        <v>1411</v>
      </c>
      <c r="B1009" s="5">
        <v>188</v>
      </c>
      <c r="C1009" s="5">
        <v>0</v>
      </c>
      <c r="D1009" s="5">
        <f t="shared" si="75"/>
        <v>188</v>
      </c>
      <c r="E1009" s="6">
        <v>25.529399999999999</v>
      </c>
      <c r="F1009" s="6">
        <f t="shared" si="76"/>
        <v>4799.5271999999995</v>
      </c>
      <c r="G1009" t="s">
        <v>17</v>
      </c>
      <c r="H1009">
        <v>9007</v>
      </c>
      <c r="I1009" t="str">
        <f>IFERROR(_xlfn.XLOOKUP($A1009,'Base SKUs'!$E:$E,'Base SKUs'!A:A),"")</f>
        <v>Ayous</v>
      </c>
      <c r="J1009" t="str">
        <f>IFERROR(_xlfn.XLOOKUP($A1009,'Base SKUs'!$E:$E,'Base SKUs'!B:B),"")</f>
        <v>Ayous 1x10</v>
      </c>
      <c r="K1009" t="str">
        <f>IFERROR(_xlfn.XLOOKUP($A1009,'Base SKUs'!$E:$E,'Base SKUs'!C:C),"")</f>
        <v>Short</v>
      </c>
      <c r="L1009" t="str">
        <f>IFERROR(_xlfn.XLOOKUP($A1009,'Base SKUs'!$E:$E,'Base SKUs'!D:D),"")</f>
        <v>Thermowood</v>
      </c>
      <c r="M1009" t="str">
        <f>IFERROR(_xlfn.XLOOKUP($A1009,'Base SKUs'!$E:$E,'Base SKUs'!G:G),"")</f>
        <v>Maximo Thermo Ayous</v>
      </c>
      <c r="N1009" t="str">
        <f>IFERROR(_xlfn.XLOOKUP($A1009,'Base SKUs'!$E:$E,'Base SKUs'!H:H),"")</f>
        <v>S4S E4E</v>
      </c>
      <c r="O1009" t="str">
        <f>IFERROR(_xlfn.XLOOKUP($A1009,'Base SKUs'!$E:$E,'Base SKUs'!I:I),"")</f>
        <v>-</v>
      </c>
      <c r="P1009" t="str">
        <f>IFERROR(_xlfn.XLOOKUP($A1009,'Base SKUs'!$E:$E,'Base SKUs'!J:J),"")</f>
        <v>1x10</v>
      </c>
      <c r="Q1009">
        <f>IFERROR(_xlfn.XLOOKUP($A1009,'Base SKUs'!$E:$E,'Base SKUs'!K:K),"")</f>
        <v>7</v>
      </c>
      <c r="R1009" s="7">
        <f>IFERROR(_xlfn.XLOOKUP($A1009,'Base SKUs'!$E:$E,'Base SKUs'!S:S),"")</f>
        <v>1.0500000000000001E-2</v>
      </c>
      <c r="S1009" s="8">
        <f t="shared" si="77"/>
        <v>1.9740000000000002</v>
      </c>
      <c r="T1009" s="7">
        <f>IFERROR(_xlfn.XLOOKUP($A1009,'Base SKUs'!$E:$E,'Base SKUs'!R:R),"")</f>
        <v>656.16800000000001</v>
      </c>
      <c r="U1009" s="15">
        <f t="shared" si="78"/>
        <v>1295</v>
      </c>
      <c r="V1009" t="str">
        <f t="shared" si="79"/>
        <v>Miami</v>
      </c>
    </row>
    <row r="1010" spans="1:22" x14ac:dyDescent="0.2">
      <c r="A1010" t="s">
        <v>1411</v>
      </c>
      <c r="B1010" s="5">
        <v>147</v>
      </c>
      <c r="C1010" s="5">
        <v>0</v>
      </c>
      <c r="D1010" s="5">
        <f t="shared" si="75"/>
        <v>147</v>
      </c>
      <c r="E1010" s="6">
        <v>40.697299999999998</v>
      </c>
      <c r="F1010" s="6">
        <f t="shared" si="76"/>
        <v>5982.5030999999999</v>
      </c>
      <c r="G1010" t="s">
        <v>454</v>
      </c>
      <c r="H1010">
        <v>9013</v>
      </c>
      <c r="I1010" t="str">
        <f>IFERROR(_xlfn.XLOOKUP($A1010,'Base SKUs'!$E:$E,'Base SKUs'!A:A),"")</f>
        <v>Ayous</v>
      </c>
      <c r="J1010" t="str">
        <f>IFERROR(_xlfn.XLOOKUP($A1010,'Base SKUs'!$E:$E,'Base SKUs'!B:B),"")</f>
        <v>Ayous 1x10</v>
      </c>
      <c r="K1010" t="str">
        <f>IFERROR(_xlfn.XLOOKUP($A1010,'Base SKUs'!$E:$E,'Base SKUs'!C:C),"")</f>
        <v>Short</v>
      </c>
      <c r="L1010" t="str">
        <f>IFERROR(_xlfn.XLOOKUP($A1010,'Base SKUs'!$E:$E,'Base SKUs'!D:D),"")</f>
        <v>Thermowood</v>
      </c>
      <c r="M1010" t="str">
        <f>IFERROR(_xlfn.XLOOKUP($A1010,'Base SKUs'!$E:$E,'Base SKUs'!G:G),"")</f>
        <v>Maximo Thermo Ayous</v>
      </c>
      <c r="N1010" t="str">
        <f>IFERROR(_xlfn.XLOOKUP($A1010,'Base SKUs'!$E:$E,'Base SKUs'!H:H),"")</f>
        <v>S4S E4E</v>
      </c>
      <c r="O1010" t="str">
        <f>IFERROR(_xlfn.XLOOKUP($A1010,'Base SKUs'!$E:$E,'Base SKUs'!I:I),"")</f>
        <v>-</v>
      </c>
      <c r="P1010" t="str">
        <f>IFERROR(_xlfn.XLOOKUP($A1010,'Base SKUs'!$E:$E,'Base SKUs'!J:J),"")</f>
        <v>1x10</v>
      </c>
      <c r="Q1010">
        <f>IFERROR(_xlfn.XLOOKUP($A1010,'Base SKUs'!$E:$E,'Base SKUs'!K:K),"")</f>
        <v>7</v>
      </c>
      <c r="R1010" s="7">
        <f>IFERROR(_xlfn.XLOOKUP($A1010,'Base SKUs'!$E:$E,'Base SKUs'!S:S),"")</f>
        <v>1.0500000000000001E-2</v>
      </c>
      <c r="S1010" s="8">
        <f t="shared" si="77"/>
        <v>1.5435000000000001</v>
      </c>
      <c r="T1010" s="7">
        <f>IFERROR(_xlfn.XLOOKUP($A1010,'Base SKUs'!$E:$E,'Base SKUs'!R:R),"")</f>
        <v>656.16800000000001</v>
      </c>
      <c r="U1010" s="15">
        <f t="shared" si="78"/>
        <v>1013</v>
      </c>
      <c r="V1010" t="str">
        <f t="shared" si="79"/>
        <v>BS Riverside</v>
      </c>
    </row>
    <row r="1011" spans="1:22" x14ac:dyDescent="0.2">
      <c r="A1011" t="s">
        <v>1413</v>
      </c>
      <c r="B1011" s="5">
        <v>392</v>
      </c>
      <c r="C1011" s="5">
        <v>0</v>
      </c>
      <c r="D1011" s="5">
        <f t="shared" si="75"/>
        <v>392</v>
      </c>
      <c r="E1011" s="6">
        <v>29.262699999999999</v>
      </c>
      <c r="F1011" s="6">
        <f t="shared" si="76"/>
        <v>11470.9784</v>
      </c>
      <c r="G1011" t="s">
        <v>17</v>
      </c>
      <c r="H1011">
        <v>9007</v>
      </c>
      <c r="I1011" t="str">
        <f>IFERROR(_xlfn.XLOOKUP($A1011,'Base SKUs'!$E:$E,'Base SKUs'!A:A),"")</f>
        <v>Ayous</v>
      </c>
      <c r="J1011" t="str">
        <f>IFERROR(_xlfn.XLOOKUP($A1011,'Base SKUs'!$E:$E,'Base SKUs'!B:B),"")</f>
        <v>Ayous 1x10</v>
      </c>
      <c r="K1011" t="str">
        <f>IFERROR(_xlfn.XLOOKUP($A1011,'Base SKUs'!$E:$E,'Base SKUs'!C:C),"")</f>
        <v>Long</v>
      </c>
      <c r="L1011" t="str">
        <f>IFERROR(_xlfn.XLOOKUP($A1011,'Base SKUs'!$E:$E,'Base SKUs'!D:D),"")</f>
        <v>Thermowood</v>
      </c>
      <c r="M1011" t="str">
        <f>IFERROR(_xlfn.XLOOKUP($A1011,'Base SKUs'!$E:$E,'Base SKUs'!G:G),"")</f>
        <v>Maximo Thermo Ayous</v>
      </c>
      <c r="N1011" t="str">
        <f>IFERROR(_xlfn.XLOOKUP($A1011,'Base SKUs'!$E:$E,'Base SKUs'!H:H),"")</f>
        <v>S4S E4E</v>
      </c>
      <c r="O1011" t="str">
        <f>IFERROR(_xlfn.XLOOKUP($A1011,'Base SKUs'!$E:$E,'Base SKUs'!I:I),"")</f>
        <v>-</v>
      </c>
      <c r="P1011" t="str">
        <f>IFERROR(_xlfn.XLOOKUP($A1011,'Base SKUs'!$E:$E,'Base SKUs'!J:J),"")</f>
        <v>1x10</v>
      </c>
      <c r="Q1011">
        <f>IFERROR(_xlfn.XLOOKUP($A1011,'Base SKUs'!$E:$E,'Base SKUs'!K:K),"")</f>
        <v>8</v>
      </c>
      <c r="R1011" s="7">
        <f>IFERROR(_xlfn.XLOOKUP($A1011,'Base SKUs'!$E:$E,'Base SKUs'!S:S),"")</f>
        <v>1.2E-2</v>
      </c>
      <c r="S1011" s="8">
        <f t="shared" si="77"/>
        <v>4.7039999999999997</v>
      </c>
      <c r="T1011" s="7">
        <f>IFERROR(_xlfn.XLOOKUP($A1011,'Base SKUs'!$E:$E,'Base SKUs'!R:R),"")</f>
        <v>656.16800000000001</v>
      </c>
      <c r="U1011" s="15">
        <f t="shared" si="78"/>
        <v>3087</v>
      </c>
      <c r="V1011" t="str">
        <f t="shared" si="79"/>
        <v>Miami</v>
      </c>
    </row>
    <row r="1012" spans="1:22" x14ac:dyDescent="0.2">
      <c r="A1012" t="s">
        <v>1415</v>
      </c>
      <c r="B1012" s="5">
        <v>207</v>
      </c>
      <c r="C1012" s="5">
        <v>0</v>
      </c>
      <c r="D1012" s="5">
        <f t="shared" si="75"/>
        <v>207</v>
      </c>
      <c r="E1012" s="6">
        <v>33.518999999999998</v>
      </c>
      <c r="F1012" s="6">
        <f t="shared" si="76"/>
        <v>6938.433</v>
      </c>
      <c r="G1012" t="s">
        <v>17</v>
      </c>
      <c r="H1012">
        <v>9007</v>
      </c>
      <c r="I1012" t="str">
        <f>IFERROR(_xlfn.XLOOKUP($A1012,'Base SKUs'!$E:$E,'Base SKUs'!A:A),"")</f>
        <v>Ayous</v>
      </c>
      <c r="J1012" t="str">
        <f>IFERROR(_xlfn.XLOOKUP($A1012,'Base SKUs'!$E:$E,'Base SKUs'!B:B),"")</f>
        <v>Ayous 1x10</v>
      </c>
      <c r="K1012" t="str">
        <f>IFERROR(_xlfn.XLOOKUP($A1012,'Base SKUs'!$E:$E,'Base SKUs'!C:C),"")</f>
        <v>Long</v>
      </c>
      <c r="L1012" t="str">
        <f>IFERROR(_xlfn.XLOOKUP($A1012,'Base SKUs'!$E:$E,'Base SKUs'!D:D),"")</f>
        <v>Thermowood</v>
      </c>
      <c r="M1012" t="str">
        <f>IFERROR(_xlfn.XLOOKUP($A1012,'Base SKUs'!$E:$E,'Base SKUs'!G:G),"")</f>
        <v>Maximo Thermo Ayous</v>
      </c>
      <c r="N1012" t="str">
        <f>IFERROR(_xlfn.XLOOKUP($A1012,'Base SKUs'!$E:$E,'Base SKUs'!H:H),"")</f>
        <v>S4S E4E</v>
      </c>
      <c r="O1012" t="str">
        <f>IFERROR(_xlfn.XLOOKUP($A1012,'Base SKUs'!$E:$E,'Base SKUs'!I:I),"")</f>
        <v>-</v>
      </c>
      <c r="P1012" t="str">
        <f>IFERROR(_xlfn.XLOOKUP($A1012,'Base SKUs'!$E:$E,'Base SKUs'!J:J),"")</f>
        <v>1x10</v>
      </c>
      <c r="Q1012">
        <f>IFERROR(_xlfn.XLOOKUP($A1012,'Base SKUs'!$E:$E,'Base SKUs'!K:K),"")</f>
        <v>9</v>
      </c>
      <c r="R1012" s="7">
        <f>IFERROR(_xlfn.XLOOKUP($A1012,'Base SKUs'!$E:$E,'Base SKUs'!S:S),"")</f>
        <v>1.35E-2</v>
      </c>
      <c r="S1012" s="8">
        <f t="shared" si="77"/>
        <v>2.7944999999999998</v>
      </c>
      <c r="T1012" s="7">
        <f>IFERROR(_xlfn.XLOOKUP($A1012,'Base SKUs'!$E:$E,'Base SKUs'!R:R),"")</f>
        <v>656.16800000000001</v>
      </c>
      <c r="U1012" s="15">
        <f t="shared" si="78"/>
        <v>1834</v>
      </c>
      <c r="V1012" t="str">
        <f t="shared" si="79"/>
        <v>Miami</v>
      </c>
    </row>
    <row r="1013" spans="1:22" x14ac:dyDescent="0.2">
      <c r="A1013" t="s">
        <v>1415</v>
      </c>
      <c r="B1013" s="5">
        <v>63</v>
      </c>
      <c r="C1013" s="5">
        <v>0</v>
      </c>
      <c r="D1013" s="5">
        <f t="shared" si="75"/>
        <v>63</v>
      </c>
      <c r="E1013" s="6">
        <v>52.269399999999997</v>
      </c>
      <c r="F1013" s="6">
        <f t="shared" si="76"/>
        <v>3292.9721999999997</v>
      </c>
      <c r="G1013" t="s">
        <v>454</v>
      </c>
      <c r="H1013">
        <v>9013</v>
      </c>
      <c r="I1013" t="str">
        <f>IFERROR(_xlfn.XLOOKUP($A1013,'Base SKUs'!$E:$E,'Base SKUs'!A:A),"")</f>
        <v>Ayous</v>
      </c>
      <c r="J1013" t="str">
        <f>IFERROR(_xlfn.XLOOKUP($A1013,'Base SKUs'!$E:$E,'Base SKUs'!B:B),"")</f>
        <v>Ayous 1x10</v>
      </c>
      <c r="K1013" t="str">
        <f>IFERROR(_xlfn.XLOOKUP($A1013,'Base SKUs'!$E:$E,'Base SKUs'!C:C),"")</f>
        <v>Long</v>
      </c>
      <c r="L1013" t="str">
        <f>IFERROR(_xlfn.XLOOKUP($A1013,'Base SKUs'!$E:$E,'Base SKUs'!D:D),"")</f>
        <v>Thermowood</v>
      </c>
      <c r="M1013" t="str">
        <f>IFERROR(_xlfn.XLOOKUP($A1013,'Base SKUs'!$E:$E,'Base SKUs'!G:G),"")</f>
        <v>Maximo Thermo Ayous</v>
      </c>
      <c r="N1013" t="str">
        <f>IFERROR(_xlfn.XLOOKUP($A1013,'Base SKUs'!$E:$E,'Base SKUs'!H:H),"")</f>
        <v>S4S E4E</v>
      </c>
      <c r="O1013" t="str">
        <f>IFERROR(_xlfn.XLOOKUP($A1013,'Base SKUs'!$E:$E,'Base SKUs'!I:I),"")</f>
        <v>-</v>
      </c>
      <c r="P1013" t="str">
        <f>IFERROR(_xlfn.XLOOKUP($A1013,'Base SKUs'!$E:$E,'Base SKUs'!J:J),"")</f>
        <v>1x10</v>
      </c>
      <c r="Q1013">
        <f>IFERROR(_xlfn.XLOOKUP($A1013,'Base SKUs'!$E:$E,'Base SKUs'!K:K),"")</f>
        <v>9</v>
      </c>
      <c r="R1013" s="7">
        <f>IFERROR(_xlfn.XLOOKUP($A1013,'Base SKUs'!$E:$E,'Base SKUs'!S:S),"")</f>
        <v>1.35E-2</v>
      </c>
      <c r="S1013" s="8">
        <f t="shared" si="77"/>
        <v>0.85050000000000003</v>
      </c>
      <c r="T1013" s="7">
        <f>IFERROR(_xlfn.XLOOKUP($A1013,'Base SKUs'!$E:$E,'Base SKUs'!R:R),"")</f>
        <v>656.16800000000001</v>
      </c>
      <c r="U1013" s="15">
        <f t="shared" si="78"/>
        <v>558</v>
      </c>
      <c r="V1013" t="str">
        <f t="shared" si="79"/>
        <v>BS Riverside</v>
      </c>
    </row>
    <row r="1014" spans="1:22" x14ac:dyDescent="0.2">
      <c r="A1014" t="s">
        <v>1417</v>
      </c>
      <c r="B1014" s="5">
        <v>252</v>
      </c>
      <c r="C1014" s="5">
        <v>0</v>
      </c>
      <c r="D1014" s="5">
        <f t="shared" si="75"/>
        <v>252</v>
      </c>
      <c r="E1014" s="6">
        <v>31.182099999999998</v>
      </c>
      <c r="F1014" s="6">
        <f t="shared" si="76"/>
        <v>7857.8891999999996</v>
      </c>
      <c r="G1014" t="s">
        <v>125</v>
      </c>
      <c r="H1014">
        <v>9009</v>
      </c>
      <c r="I1014" t="str">
        <f>IFERROR(_xlfn.XLOOKUP($A1014,'Base SKUs'!$E:$E,'Base SKUs'!A:A),"")</f>
        <v>Ayous</v>
      </c>
      <c r="J1014" t="str">
        <f>IFERROR(_xlfn.XLOOKUP($A1014,'Base SKUs'!$E:$E,'Base SKUs'!B:B),"")</f>
        <v>Ayous 1x11</v>
      </c>
      <c r="K1014" t="str">
        <f>IFERROR(_xlfn.XLOOKUP($A1014,'Base SKUs'!$E:$E,'Base SKUs'!C:C),"")</f>
        <v>Short</v>
      </c>
      <c r="L1014" t="str">
        <f>IFERROR(_xlfn.XLOOKUP($A1014,'Base SKUs'!$E:$E,'Base SKUs'!D:D),"")</f>
        <v>Thermowood</v>
      </c>
      <c r="M1014" t="str">
        <f>IFERROR(_xlfn.XLOOKUP($A1014,'Base SKUs'!$E:$E,'Base SKUs'!G:G),"")</f>
        <v>Maximo Thermo Ayous</v>
      </c>
      <c r="N1014" t="str">
        <f>IFERROR(_xlfn.XLOOKUP($A1014,'Base SKUs'!$E:$E,'Base SKUs'!H:H),"")</f>
        <v>S4S E4E</v>
      </c>
      <c r="O1014" t="str">
        <f>IFERROR(_xlfn.XLOOKUP($A1014,'Base SKUs'!$E:$E,'Base SKUs'!I:I),"")</f>
        <v>-</v>
      </c>
      <c r="P1014" t="str">
        <f>IFERROR(_xlfn.XLOOKUP($A1014,'Base SKUs'!$E:$E,'Base SKUs'!J:J),"")</f>
        <v>1x11</v>
      </c>
      <c r="Q1014">
        <f>IFERROR(_xlfn.XLOOKUP($A1014,'Base SKUs'!$E:$E,'Base SKUs'!K:K),"")</f>
        <v>7</v>
      </c>
      <c r="R1014" s="7">
        <f>IFERROR(_xlfn.XLOOKUP($A1014,'Base SKUs'!$E:$E,'Base SKUs'!S:S),"")</f>
        <v>1.0500000000000001E-2</v>
      </c>
      <c r="S1014" s="8">
        <f t="shared" si="77"/>
        <v>2.6460000000000004</v>
      </c>
      <c r="T1014" s="7">
        <f>IFERROR(_xlfn.XLOOKUP($A1014,'Base SKUs'!$E:$E,'Base SKUs'!R:R),"")</f>
        <v>656.16800000000001</v>
      </c>
      <c r="U1014" s="15">
        <f t="shared" si="78"/>
        <v>1736</v>
      </c>
      <c r="V1014" t="str">
        <f t="shared" si="79"/>
        <v>Boston</v>
      </c>
    </row>
    <row r="1015" spans="1:22" x14ac:dyDescent="0.2">
      <c r="A1015" t="s">
        <v>1419</v>
      </c>
      <c r="B1015" s="5">
        <v>145</v>
      </c>
      <c r="C1015" s="5">
        <v>0</v>
      </c>
      <c r="D1015" s="5">
        <f t="shared" si="75"/>
        <v>145</v>
      </c>
      <c r="E1015" s="6">
        <v>35.636699999999998</v>
      </c>
      <c r="F1015" s="6">
        <f t="shared" si="76"/>
        <v>5167.3215</v>
      </c>
      <c r="G1015" t="s">
        <v>125</v>
      </c>
      <c r="H1015">
        <v>9009</v>
      </c>
      <c r="I1015" t="str">
        <f>IFERROR(_xlfn.XLOOKUP($A1015,'Base SKUs'!$E:$E,'Base SKUs'!A:A),"")</f>
        <v>Ayous</v>
      </c>
      <c r="J1015" t="str">
        <f>IFERROR(_xlfn.XLOOKUP($A1015,'Base SKUs'!$E:$E,'Base SKUs'!B:B),"")</f>
        <v>Ayous 1x11</v>
      </c>
      <c r="K1015" t="str">
        <f>IFERROR(_xlfn.XLOOKUP($A1015,'Base SKUs'!$E:$E,'Base SKUs'!C:C),"")</f>
        <v>Long</v>
      </c>
      <c r="L1015" t="str">
        <f>IFERROR(_xlfn.XLOOKUP($A1015,'Base SKUs'!$E:$E,'Base SKUs'!D:D),"")</f>
        <v>Thermowood</v>
      </c>
      <c r="M1015" t="str">
        <f>IFERROR(_xlfn.XLOOKUP($A1015,'Base SKUs'!$E:$E,'Base SKUs'!G:G),"")</f>
        <v>Maximo Thermo Ayous</v>
      </c>
      <c r="N1015" t="str">
        <f>IFERROR(_xlfn.XLOOKUP($A1015,'Base SKUs'!$E:$E,'Base SKUs'!H:H),"")</f>
        <v>S4S E4E</v>
      </c>
      <c r="O1015" t="str">
        <f>IFERROR(_xlfn.XLOOKUP($A1015,'Base SKUs'!$E:$E,'Base SKUs'!I:I),"")</f>
        <v>-</v>
      </c>
      <c r="P1015" t="str">
        <f>IFERROR(_xlfn.XLOOKUP($A1015,'Base SKUs'!$E:$E,'Base SKUs'!J:J),"")</f>
        <v>1x11</v>
      </c>
      <c r="Q1015">
        <f>IFERROR(_xlfn.XLOOKUP($A1015,'Base SKUs'!$E:$E,'Base SKUs'!K:K),"")</f>
        <v>8</v>
      </c>
      <c r="R1015" s="7">
        <f>IFERROR(_xlfn.XLOOKUP($A1015,'Base SKUs'!$E:$E,'Base SKUs'!S:S),"")</f>
        <v>1.2E-2</v>
      </c>
      <c r="S1015" s="8">
        <f t="shared" si="77"/>
        <v>1.74</v>
      </c>
      <c r="T1015" s="7">
        <f>IFERROR(_xlfn.XLOOKUP($A1015,'Base SKUs'!$E:$E,'Base SKUs'!R:R),"")</f>
        <v>656.16800000000001</v>
      </c>
      <c r="U1015" s="15">
        <f t="shared" si="78"/>
        <v>1142</v>
      </c>
      <c r="V1015" t="str">
        <f t="shared" si="79"/>
        <v>Boston</v>
      </c>
    </row>
    <row r="1016" spans="1:22" x14ac:dyDescent="0.2">
      <c r="A1016" t="s">
        <v>1421</v>
      </c>
      <c r="B1016" s="5">
        <v>352</v>
      </c>
      <c r="C1016" s="5">
        <v>50</v>
      </c>
      <c r="D1016" s="5">
        <f t="shared" si="75"/>
        <v>302</v>
      </c>
      <c r="E1016" s="6">
        <v>17.0566</v>
      </c>
      <c r="F1016" s="6">
        <f t="shared" si="76"/>
        <v>6003.9232000000002</v>
      </c>
      <c r="G1016" t="s">
        <v>17</v>
      </c>
      <c r="H1016">
        <v>9007</v>
      </c>
      <c r="I1016" t="str">
        <f>IFERROR(_xlfn.XLOOKUP($A1016,'Base SKUs'!$E:$E,'Base SKUs'!A:A),"")</f>
        <v>Ayous</v>
      </c>
      <c r="J1016" t="str">
        <f>IFERROR(_xlfn.XLOOKUP($A1016,'Base SKUs'!$E:$E,'Base SKUs'!B:B),"")</f>
        <v>Ayous 1x6</v>
      </c>
      <c r="K1016" t="str">
        <f>IFERROR(_xlfn.XLOOKUP($A1016,'Base SKUs'!$E:$E,'Base SKUs'!C:C),"")</f>
        <v>Long</v>
      </c>
      <c r="L1016" t="str">
        <f>IFERROR(_xlfn.XLOOKUP($A1016,'Base SKUs'!$E:$E,'Base SKUs'!D:D),"")</f>
        <v>Thermowood</v>
      </c>
      <c r="M1016" t="str">
        <f>IFERROR(_xlfn.XLOOKUP($A1016,'Base SKUs'!$E:$E,'Base SKUs'!G:G),"")</f>
        <v>Maximo Thermo Ayous</v>
      </c>
      <c r="N1016" t="str">
        <f>IFERROR(_xlfn.XLOOKUP($A1016,'Base SKUs'!$E:$E,'Base SKUs'!H:H),"")</f>
        <v>S4S E4E</v>
      </c>
      <c r="O1016" t="str">
        <f>IFERROR(_xlfn.XLOOKUP($A1016,'Base SKUs'!$E:$E,'Base SKUs'!I:I),"")</f>
        <v>-</v>
      </c>
      <c r="P1016" t="str">
        <f>IFERROR(_xlfn.XLOOKUP($A1016,'Base SKUs'!$E:$E,'Base SKUs'!J:J),"")</f>
        <v>1x6</v>
      </c>
      <c r="Q1016">
        <f>IFERROR(_xlfn.XLOOKUP($A1016,'Base SKUs'!$E:$E,'Base SKUs'!K:K),"")</f>
        <v>10</v>
      </c>
      <c r="R1016" s="7">
        <f>IFERROR(_xlfn.XLOOKUP($A1016,'Base SKUs'!$E:$E,'Base SKUs'!S:S),"")</f>
        <v>7.980000000000001E-3</v>
      </c>
      <c r="S1016" s="8">
        <f t="shared" si="77"/>
        <v>2.4099600000000003</v>
      </c>
      <c r="T1016" s="7">
        <f>IFERROR(_xlfn.XLOOKUP($A1016,'Base SKUs'!$E:$E,'Base SKUs'!R:R),"")</f>
        <v>1233.3979999999999</v>
      </c>
      <c r="U1016" s="15">
        <f t="shared" si="78"/>
        <v>2972</v>
      </c>
      <c r="V1016" t="str">
        <f t="shared" si="79"/>
        <v>Miami</v>
      </c>
    </row>
    <row r="1017" spans="1:22" x14ac:dyDescent="0.2">
      <c r="A1017" t="s">
        <v>1421</v>
      </c>
      <c r="B1017" s="5">
        <v>1275</v>
      </c>
      <c r="C1017" s="5">
        <v>84</v>
      </c>
      <c r="D1017" s="5">
        <f t="shared" si="75"/>
        <v>1191</v>
      </c>
      <c r="E1017" s="6">
        <v>17.049399999999999</v>
      </c>
      <c r="F1017" s="6">
        <f t="shared" si="76"/>
        <v>21737.984999999997</v>
      </c>
      <c r="G1017" t="s">
        <v>24</v>
      </c>
      <c r="H1017">
        <v>9008</v>
      </c>
      <c r="I1017" t="str">
        <f>IFERROR(_xlfn.XLOOKUP($A1017,'Base SKUs'!$E:$E,'Base SKUs'!A:A),"")</f>
        <v>Ayous</v>
      </c>
      <c r="J1017" t="str">
        <f>IFERROR(_xlfn.XLOOKUP($A1017,'Base SKUs'!$E:$E,'Base SKUs'!B:B),"")</f>
        <v>Ayous 1x6</v>
      </c>
      <c r="K1017" t="str">
        <f>IFERROR(_xlfn.XLOOKUP($A1017,'Base SKUs'!$E:$E,'Base SKUs'!C:C),"")</f>
        <v>Long</v>
      </c>
      <c r="L1017" t="str">
        <f>IFERROR(_xlfn.XLOOKUP($A1017,'Base SKUs'!$E:$E,'Base SKUs'!D:D),"")</f>
        <v>Thermowood</v>
      </c>
      <c r="M1017" t="str">
        <f>IFERROR(_xlfn.XLOOKUP($A1017,'Base SKUs'!$E:$E,'Base SKUs'!G:G),"")</f>
        <v>Maximo Thermo Ayous</v>
      </c>
      <c r="N1017" t="str">
        <f>IFERROR(_xlfn.XLOOKUP($A1017,'Base SKUs'!$E:$E,'Base SKUs'!H:H),"")</f>
        <v>S4S E4E</v>
      </c>
      <c r="O1017" t="str">
        <f>IFERROR(_xlfn.XLOOKUP($A1017,'Base SKUs'!$E:$E,'Base SKUs'!I:I),"")</f>
        <v>-</v>
      </c>
      <c r="P1017" t="str">
        <f>IFERROR(_xlfn.XLOOKUP($A1017,'Base SKUs'!$E:$E,'Base SKUs'!J:J),"")</f>
        <v>1x6</v>
      </c>
      <c r="Q1017">
        <f>IFERROR(_xlfn.XLOOKUP($A1017,'Base SKUs'!$E:$E,'Base SKUs'!K:K),"")</f>
        <v>10</v>
      </c>
      <c r="R1017" s="7">
        <f>IFERROR(_xlfn.XLOOKUP($A1017,'Base SKUs'!$E:$E,'Base SKUs'!S:S),"")</f>
        <v>7.980000000000001E-3</v>
      </c>
      <c r="S1017" s="8">
        <f t="shared" si="77"/>
        <v>9.5041800000000016</v>
      </c>
      <c r="T1017" s="7">
        <f>IFERROR(_xlfn.XLOOKUP($A1017,'Base SKUs'!$E:$E,'Base SKUs'!R:R),"")</f>
        <v>1233.3979999999999</v>
      </c>
      <c r="U1017" s="15">
        <f t="shared" si="78"/>
        <v>11722</v>
      </c>
      <c r="V1017" t="str">
        <f t="shared" si="79"/>
        <v>Texas</v>
      </c>
    </row>
    <row r="1018" spans="1:22" x14ac:dyDescent="0.2">
      <c r="A1018" t="s">
        <v>1421</v>
      </c>
      <c r="B1018" s="5">
        <v>1572</v>
      </c>
      <c r="C1018" s="5">
        <v>0</v>
      </c>
      <c r="D1018" s="5">
        <f t="shared" si="75"/>
        <v>1572</v>
      </c>
      <c r="E1018" s="6">
        <v>17.0566</v>
      </c>
      <c r="F1018" s="6">
        <f t="shared" si="76"/>
        <v>26812.975200000001</v>
      </c>
      <c r="G1018" t="s">
        <v>125</v>
      </c>
      <c r="H1018">
        <v>9009</v>
      </c>
      <c r="I1018" t="str">
        <f>IFERROR(_xlfn.XLOOKUP($A1018,'Base SKUs'!$E:$E,'Base SKUs'!A:A),"")</f>
        <v>Ayous</v>
      </c>
      <c r="J1018" t="str">
        <f>IFERROR(_xlfn.XLOOKUP($A1018,'Base SKUs'!$E:$E,'Base SKUs'!B:B),"")</f>
        <v>Ayous 1x6</v>
      </c>
      <c r="K1018" t="str">
        <f>IFERROR(_xlfn.XLOOKUP($A1018,'Base SKUs'!$E:$E,'Base SKUs'!C:C),"")</f>
        <v>Long</v>
      </c>
      <c r="L1018" t="str">
        <f>IFERROR(_xlfn.XLOOKUP($A1018,'Base SKUs'!$E:$E,'Base SKUs'!D:D),"")</f>
        <v>Thermowood</v>
      </c>
      <c r="M1018" t="str">
        <f>IFERROR(_xlfn.XLOOKUP($A1018,'Base SKUs'!$E:$E,'Base SKUs'!G:G),"")</f>
        <v>Maximo Thermo Ayous</v>
      </c>
      <c r="N1018" t="str">
        <f>IFERROR(_xlfn.XLOOKUP($A1018,'Base SKUs'!$E:$E,'Base SKUs'!H:H),"")</f>
        <v>S4S E4E</v>
      </c>
      <c r="O1018" t="str">
        <f>IFERROR(_xlfn.XLOOKUP($A1018,'Base SKUs'!$E:$E,'Base SKUs'!I:I),"")</f>
        <v>-</v>
      </c>
      <c r="P1018" t="str">
        <f>IFERROR(_xlfn.XLOOKUP($A1018,'Base SKUs'!$E:$E,'Base SKUs'!J:J),"")</f>
        <v>1x6</v>
      </c>
      <c r="Q1018">
        <f>IFERROR(_xlfn.XLOOKUP($A1018,'Base SKUs'!$E:$E,'Base SKUs'!K:K),"")</f>
        <v>10</v>
      </c>
      <c r="R1018" s="7">
        <f>IFERROR(_xlfn.XLOOKUP($A1018,'Base SKUs'!$E:$E,'Base SKUs'!S:S),"")</f>
        <v>7.980000000000001E-3</v>
      </c>
      <c r="S1018" s="8">
        <f t="shared" si="77"/>
        <v>12.544560000000002</v>
      </c>
      <c r="T1018" s="7">
        <f>IFERROR(_xlfn.XLOOKUP($A1018,'Base SKUs'!$E:$E,'Base SKUs'!R:R),"")</f>
        <v>1233.3979999999999</v>
      </c>
      <c r="U1018" s="15">
        <f t="shared" si="78"/>
        <v>15472</v>
      </c>
      <c r="V1018" t="str">
        <f t="shared" si="79"/>
        <v>Boston</v>
      </c>
    </row>
    <row r="1019" spans="1:22" x14ac:dyDescent="0.2">
      <c r="A1019" t="s">
        <v>1423</v>
      </c>
      <c r="B1019" s="5">
        <v>721</v>
      </c>
      <c r="C1019" s="5">
        <v>56</v>
      </c>
      <c r="D1019" s="5">
        <f t="shared" si="75"/>
        <v>665</v>
      </c>
      <c r="E1019" s="6">
        <v>18.7623</v>
      </c>
      <c r="F1019" s="6">
        <f t="shared" si="76"/>
        <v>13527.6183</v>
      </c>
      <c r="G1019" t="s">
        <v>17</v>
      </c>
      <c r="H1019">
        <v>9007</v>
      </c>
      <c r="I1019" t="str">
        <f>IFERROR(_xlfn.XLOOKUP($A1019,'Base SKUs'!$E:$E,'Base SKUs'!A:A),"")</f>
        <v>Ayous</v>
      </c>
      <c r="J1019" t="str">
        <f>IFERROR(_xlfn.XLOOKUP($A1019,'Base SKUs'!$E:$E,'Base SKUs'!B:B),"")</f>
        <v>Ayous 1x6</v>
      </c>
      <c r="K1019" t="str">
        <f>IFERROR(_xlfn.XLOOKUP($A1019,'Base SKUs'!$E:$E,'Base SKUs'!C:C),"")</f>
        <v>Long</v>
      </c>
      <c r="L1019" t="str">
        <f>IFERROR(_xlfn.XLOOKUP($A1019,'Base SKUs'!$E:$E,'Base SKUs'!D:D),"")</f>
        <v>Thermowood</v>
      </c>
      <c r="M1019" t="str">
        <f>IFERROR(_xlfn.XLOOKUP($A1019,'Base SKUs'!$E:$E,'Base SKUs'!G:G),"")</f>
        <v>Maximo Thermo Ayous</v>
      </c>
      <c r="N1019" t="str">
        <f>IFERROR(_xlfn.XLOOKUP($A1019,'Base SKUs'!$E:$E,'Base SKUs'!H:H),"")</f>
        <v>S4S E4E</v>
      </c>
      <c r="O1019" t="str">
        <f>IFERROR(_xlfn.XLOOKUP($A1019,'Base SKUs'!$E:$E,'Base SKUs'!I:I),"")</f>
        <v>-</v>
      </c>
      <c r="P1019" t="str">
        <f>IFERROR(_xlfn.XLOOKUP($A1019,'Base SKUs'!$E:$E,'Base SKUs'!J:J),"")</f>
        <v>1x6</v>
      </c>
      <c r="Q1019">
        <f>IFERROR(_xlfn.XLOOKUP($A1019,'Base SKUs'!$E:$E,'Base SKUs'!K:K),"")</f>
        <v>11</v>
      </c>
      <c r="R1019" s="7">
        <f>IFERROR(_xlfn.XLOOKUP($A1019,'Base SKUs'!$E:$E,'Base SKUs'!S:S),"")</f>
        <v>8.7779999999999993E-3</v>
      </c>
      <c r="S1019" s="8">
        <f t="shared" si="77"/>
        <v>5.8373699999999999</v>
      </c>
      <c r="T1019" s="7">
        <f>IFERROR(_xlfn.XLOOKUP($A1019,'Base SKUs'!$E:$E,'Base SKUs'!R:R),"")</f>
        <v>1233.3979999999999</v>
      </c>
      <c r="U1019" s="15">
        <f t="shared" si="78"/>
        <v>7200</v>
      </c>
      <c r="V1019" t="str">
        <f t="shared" si="79"/>
        <v>Miami</v>
      </c>
    </row>
    <row r="1020" spans="1:22" x14ac:dyDescent="0.2">
      <c r="A1020" t="s">
        <v>1423</v>
      </c>
      <c r="B1020" s="5">
        <v>245</v>
      </c>
      <c r="C1020" s="5">
        <v>0</v>
      </c>
      <c r="D1020" s="5">
        <f t="shared" si="75"/>
        <v>245</v>
      </c>
      <c r="E1020" s="6">
        <v>18.754100000000001</v>
      </c>
      <c r="F1020" s="6">
        <f t="shared" si="76"/>
        <v>4594.7545</v>
      </c>
      <c r="G1020" t="s">
        <v>24</v>
      </c>
      <c r="H1020">
        <v>9008</v>
      </c>
      <c r="I1020" t="str">
        <f>IFERROR(_xlfn.XLOOKUP($A1020,'Base SKUs'!$E:$E,'Base SKUs'!A:A),"")</f>
        <v>Ayous</v>
      </c>
      <c r="J1020" t="str">
        <f>IFERROR(_xlfn.XLOOKUP($A1020,'Base SKUs'!$E:$E,'Base SKUs'!B:B),"")</f>
        <v>Ayous 1x6</v>
      </c>
      <c r="K1020" t="str">
        <f>IFERROR(_xlfn.XLOOKUP($A1020,'Base SKUs'!$E:$E,'Base SKUs'!C:C),"")</f>
        <v>Long</v>
      </c>
      <c r="L1020" t="str">
        <f>IFERROR(_xlfn.XLOOKUP($A1020,'Base SKUs'!$E:$E,'Base SKUs'!D:D),"")</f>
        <v>Thermowood</v>
      </c>
      <c r="M1020" t="str">
        <f>IFERROR(_xlfn.XLOOKUP($A1020,'Base SKUs'!$E:$E,'Base SKUs'!G:G),"")</f>
        <v>Maximo Thermo Ayous</v>
      </c>
      <c r="N1020" t="str">
        <f>IFERROR(_xlfn.XLOOKUP($A1020,'Base SKUs'!$E:$E,'Base SKUs'!H:H),"")</f>
        <v>S4S E4E</v>
      </c>
      <c r="O1020" t="str">
        <f>IFERROR(_xlfn.XLOOKUP($A1020,'Base SKUs'!$E:$E,'Base SKUs'!I:I),"")</f>
        <v>-</v>
      </c>
      <c r="P1020" t="str">
        <f>IFERROR(_xlfn.XLOOKUP($A1020,'Base SKUs'!$E:$E,'Base SKUs'!J:J),"")</f>
        <v>1x6</v>
      </c>
      <c r="Q1020">
        <f>IFERROR(_xlfn.XLOOKUP($A1020,'Base SKUs'!$E:$E,'Base SKUs'!K:K),"")</f>
        <v>11</v>
      </c>
      <c r="R1020" s="7">
        <f>IFERROR(_xlfn.XLOOKUP($A1020,'Base SKUs'!$E:$E,'Base SKUs'!S:S),"")</f>
        <v>8.7779999999999993E-3</v>
      </c>
      <c r="S1020" s="8">
        <f t="shared" si="77"/>
        <v>2.1506099999999999</v>
      </c>
      <c r="T1020" s="7">
        <f>IFERROR(_xlfn.XLOOKUP($A1020,'Base SKUs'!$E:$E,'Base SKUs'!R:R),"")</f>
        <v>1233.3979999999999</v>
      </c>
      <c r="U1020" s="15">
        <f t="shared" si="78"/>
        <v>2653</v>
      </c>
      <c r="V1020" t="str">
        <f t="shared" si="79"/>
        <v>Texas</v>
      </c>
    </row>
    <row r="1021" spans="1:22" x14ac:dyDescent="0.2">
      <c r="A1021" t="s">
        <v>1423</v>
      </c>
      <c r="B1021" s="5">
        <v>802</v>
      </c>
      <c r="C1021" s="5">
        <v>557</v>
      </c>
      <c r="D1021" s="5">
        <f t="shared" si="75"/>
        <v>245</v>
      </c>
      <c r="E1021" s="6">
        <v>18.7623</v>
      </c>
      <c r="F1021" s="6">
        <f t="shared" si="76"/>
        <v>15047.364599999999</v>
      </c>
      <c r="G1021" t="s">
        <v>125</v>
      </c>
      <c r="H1021">
        <v>9009</v>
      </c>
      <c r="I1021" t="str">
        <f>IFERROR(_xlfn.XLOOKUP($A1021,'Base SKUs'!$E:$E,'Base SKUs'!A:A),"")</f>
        <v>Ayous</v>
      </c>
      <c r="J1021" t="str">
        <f>IFERROR(_xlfn.XLOOKUP($A1021,'Base SKUs'!$E:$E,'Base SKUs'!B:B),"")</f>
        <v>Ayous 1x6</v>
      </c>
      <c r="K1021" t="str">
        <f>IFERROR(_xlfn.XLOOKUP($A1021,'Base SKUs'!$E:$E,'Base SKUs'!C:C),"")</f>
        <v>Long</v>
      </c>
      <c r="L1021" t="str">
        <f>IFERROR(_xlfn.XLOOKUP($A1021,'Base SKUs'!$E:$E,'Base SKUs'!D:D),"")</f>
        <v>Thermowood</v>
      </c>
      <c r="M1021" t="str">
        <f>IFERROR(_xlfn.XLOOKUP($A1021,'Base SKUs'!$E:$E,'Base SKUs'!G:G),"")</f>
        <v>Maximo Thermo Ayous</v>
      </c>
      <c r="N1021" t="str">
        <f>IFERROR(_xlfn.XLOOKUP($A1021,'Base SKUs'!$E:$E,'Base SKUs'!H:H),"")</f>
        <v>S4S E4E</v>
      </c>
      <c r="O1021" t="str">
        <f>IFERROR(_xlfn.XLOOKUP($A1021,'Base SKUs'!$E:$E,'Base SKUs'!I:I),"")</f>
        <v>-</v>
      </c>
      <c r="P1021" t="str">
        <f>IFERROR(_xlfn.XLOOKUP($A1021,'Base SKUs'!$E:$E,'Base SKUs'!J:J),"")</f>
        <v>1x6</v>
      </c>
      <c r="Q1021">
        <f>IFERROR(_xlfn.XLOOKUP($A1021,'Base SKUs'!$E:$E,'Base SKUs'!K:K),"")</f>
        <v>11</v>
      </c>
      <c r="R1021" s="7">
        <f>IFERROR(_xlfn.XLOOKUP($A1021,'Base SKUs'!$E:$E,'Base SKUs'!S:S),"")</f>
        <v>8.7779999999999993E-3</v>
      </c>
      <c r="S1021" s="8">
        <f t="shared" si="77"/>
        <v>2.1506099999999999</v>
      </c>
      <c r="T1021" s="7">
        <f>IFERROR(_xlfn.XLOOKUP($A1021,'Base SKUs'!$E:$E,'Base SKUs'!R:R),"")</f>
        <v>1233.3979999999999</v>
      </c>
      <c r="U1021" s="15">
        <f t="shared" si="78"/>
        <v>2653</v>
      </c>
      <c r="V1021" t="str">
        <f t="shared" si="79"/>
        <v>Boston</v>
      </c>
    </row>
    <row r="1022" spans="1:22" x14ac:dyDescent="0.2">
      <c r="A1022" t="s">
        <v>1425</v>
      </c>
      <c r="B1022" s="5">
        <v>511</v>
      </c>
      <c r="C1022" s="5">
        <v>56</v>
      </c>
      <c r="D1022" s="5">
        <f t="shared" si="75"/>
        <v>455</v>
      </c>
      <c r="E1022" s="6">
        <v>20.468</v>
      </c>
      <c r="F1022" s="6">
        <f t="shared" si="76"/>
        <v>10459.147999999999</v>
      </c>
      <c r="G1022" t="s">
        <v>17</v>
      </c>
      <c r="H1022">
        <v>9007</v>
      </c>
      <c r="I1022" t="str">
        <f>IFERROR(_xlfn.XLOOKUP($A1022,'Base SKUs'!$E:$E,'Base SKUs'!A:A),"")</f>
        <v>Ayous</v>
      </c>
      <c r="J1022" t="str">
        <f>IFERROR(_xlfn.XLOOKUP($A1022,'Base SKUs'!$E:$E,'Base SKUs'!B:B),"")</f>
        <v>Ayous 1x6</v>
      </c>
      <c r="K1022" t="str">
        <f>IFERROR(_xlfn.XLOOKUP($A1022,'Base SKUs'!$E:$E,'Base SKUs'!C:C),"")</f>
        <v>Long</v>
      </c>
      <c r="L1022" t="str">
        <f>IFERROR(_xlfn.XLOOKUP($A1022,'Base SKUs'!$E:$E,'Base SKUs'!D:D),"")</f>
        <v>Thermowood</v>
      </c>
      <c r="M1022" t="str">
        <f>IFERROR(_xlfn.XLOOKUP($A1022,'Base SKUs'!$E:$E,'Base SKUs'!G:G),"")</f>
        <v>Maximo Thermo Ayous</v>
      </c>
      <c r="N1022" t="str">
        <f>IFERROR(_xlfn.XLOOKUP($A1022,'Base SKUs'!$E:$E,'Base SKUs'!H:H),"")</f>
        <v>S4S E4E</v>
      </c>
      <c r="O1022" t="str">
        <f>IFERROR(_xlfn.XLOOKUP($A1022,'Base SKUs'!$E:$E,'Base SKUs'!I:I),"")</f>
        <v>-</v>
      </c>
      <c r="P1022" t="str">
        <f>IFERROR(_xlfn.XLOOKUP($A1022,'Base SKUs'!$E:$E,'Base SKUs'!J:J),"")</f>
        <v>1x6</v>
      </c>
      <c r="Q1022">
        <f>IFERROR(_xlfn.XLOOKUP($A1022,'Base SKUs'!$E:$E,'Base SKUs'!K:K),"")</f>
        <v>12</v>
      </c>
      <c r="R1022" s="7">
        <f>IFERROR(_xlfn.XLOOKUP($A1022,'Base SKUs'!$E:$E,'Base SKUs'!S:S),"")</f>
        <v>9.5760000000000012E-3</v>
      </c>
      <c r="S1022" s="8">
        <f t="shared" si="77"/>
        <v>4.3570800000000007</v>
      </c>
      <c r="T1022" s="7">
        <f>IFERROR(_xlfn.XLOOKUP($A1022,'Base SKUs'!$E:$E,'Base SKUs'!R:R),"")</f>
        <v>1233.3979999999999</v>
      </c>
      <c r="U1022" s="15">
        <f t="shared" si="78"/>
        <v>5374</v>
      </c>
      <c r="V1022" t="str">
        <f t="shared" si="79"/>
        <v>Miami</v>
      </c>
    </row>
    <row r="1023" spans="1:22" x14ac:dyDescent="0.2">
      <c r="A1023" t="s">
        <v>1425</v>
      </c>
      <c r="B1023" s="5">
        <v>1130</v>
      </c>
      <c r="C1023" s="5">
        <v>0</v>
      </c>
      <c r="D1023" s="5">
        <f t="shared" si="75"/>
        <v>1130</v>
      </c>
      <c r="E1023" s="6">
        <v>20.468</v>
      </c>
      <c r="F1023" s="6">
        <f t="shared" si="76"/>
        <v>23128.84</v>
      </c>
      <c r="G1023" t="s">
        <v>125</v>
      </c>
      <c r="H1023">
        <v>9009</v>
      </c>
      <c r="I1023" t="str">
        <f>IFERROR(_xlfn.XLOOKUP($A1023,'Base SKUs'!$E:$E,'Base SKUs'!A:A),"")</f>
        <v>Ayous</v>
      </c>
      <c r="J1023" t="str">
        <f>IFERROR(_xlfn.XLOOKUP($A1023,'Base SKUs'!$E:$E,'Base SKUs'!B:B),"")</f>
        <v>Ayous 1x6</v>
      </c>
      <c r="K1023" t="str">
        <f>IFERROR(_xlfn.XLOOKUP($A1023,'Base SKUs'!$E:$E,'Base SKUs'!C:C),"")</f>
        <v>Long</v>
      </c>
      <c r="L1023" t="str">
        <f>IFERROR(_xlfn.XLOOKUP($A1023,'Base SKUs'!$E:$E,'Base SKUs'!D:D),"")</f>
        <v>Thermowood</v>
      </c>
      <c r="M1023" t="str">
        <f>IFERROR(_xlfn.XLOOKUP($A1023,'Base SKUs'!$E:$E,'Base SKUs'!G:G),"")</f>
        <v>Maximo Thermo Ayous</v>
      </c>
      <c r="N1023" t="str">
        <f>IFERROR(_xlfn.XLOOKUP($A1023,'Base SKUs'!$E:$E,'Base SKUs'!H:H),"")</f>
        <v>S4S E4E</v>
      </c>
      <c r="O1023" t="str">
        <f>IFERROR(_xlfn.XLOOKUP($A1023,'Base SKUs'!$E:$E,'Base SKUs'!I:I),"")</f>
        <v>-</v>
      </c>
      <c r="P1023" t="str">
        <f>IFERROR(_xlfn.XLOOKUP($A1023,'Base SKUs'!$E:$E,'Base SKUs'!J:J),"")</f>
        <v>1x6</v>
      </c>
      <c r="Q1023">
        <f>IFERROR(_xlfn.XLOOKUP($A1023,'Base SKUs'!$E:$E,'Base SKUs'!K:K),"")</f>
        <v>12</v>
      </c>
      <c r="R1023" s="7">
        <f>IFERROR(_xlfn.XLOOKUP($A1023,'Base SKUs'!$E:$E,'Base SKUs'!S:S),"")</f>
        <v>9.5760000000000012E-3</v>
      </c>
      <c r="S1023" s="8">
        <f t="shared" si="77"/>
        <v>10.820880000000001</v>
      </c>
      <c r="T1023" s="7">
        <f>IFERROR(_xlfn.XLOOKUP($A1023,'Base SKUs'!$E:$E,'Base SKUs'!R:R),"")</f>
        <v>1233.3979999999999</v>
      </c>
      <c r="U1023" s="15">
        <f t="shared" si="78"/>
        <v>13346</v>
      </c>
      <c r="V1023" t="str">
        <f t="shared" si="79"/>
        <v>Boston</v>
      </c>
    </row>
    <row r="1024" spans="1:22" x14ac:dyDescent="0.2">
      <c r="A1024" t="s">
        <v>1427</v>
      </c>
      <c r="B1024" s="5">
        <v>187</v>
      </c>
      <c r="C1024" s="5">
        <v>54</v>
      </c>
      <c r="D1024" s="5">
        <f t="shared" si="75"/>
        <v>133</v>
      </c>
      <c r="E1024" s="6">
        <v>22.1736</v>
      </c>
      <c r="F1024" s="6">
        <f t="shared" si="76"/>
        <v>4146.4632000000001</v>
      </c>
      <c r="G1024" t="s">
        <v>17</v>
      </c>
      <c r="H1024">
        <v>9007</v>
      </c>
      <c r="I1024" t="str">
        <f>IFERROR(_xlfn.XLOOKUP($A1024,'Base SKUs'!$E:$E,'Base SKUs'!A:A),"")</f>
        <v>Ayous</v>
      </c>
      <c r="J1024" t="str">
        <f>IFERROR(_xlfn.XLOOKUP($A1024,'Base SKUs'!$E:$E,'Base SKUs'!B:B),"")</f>
        <v>Ayous 1x6</v>
      </c>
      <c r="K1024" t="str">
        <f>IFERROR(_xlfn.XLOOKUP($A1024,'Base SKUs'!$E:$E,'Base SKUs'!C:C),"")</f>
        <v>Long</v>
      </c>
      <c r="L1024" t="str">
        <f>IFERROR(_xlfn.XLOOKUP($A1024,'Base SKUs'!$E:$E,'Base SKUs'!D:D),"")</f>
        <v>Thermowood</v>
      </c>
      <c r="M1024" t="str">
        <f>IFERROR(_xlfn.XLOOKUP($A1024,'Base SKUs'!$E:$E,'Base SKUs'!G:G),"")</f>
        <v>Maximo Thermo Ayous</v>
      </c>
      <c r="N1024" t="str">
        <f>IFERROR(_xlfn.XLOOKUP($A1024,'Base SKUs'!$E:$E,'Base SKUs'!H:H),"")</f>
        <v>S4S E4E</v>
      </c>
      <c r="O1024" t="str">
        <f>IFERROR(_xlfn.XLOOKUP($A1024,'Base SKUs'!$E:$E,'Base SKUs'!I:I),"")</f>
        <v>-</v>
      </c>
      <c r="P1024" t="str">
        <f>IFERROR(_xlfn.XLOOKUP($A1024,'Base SKUs'!$E:$E,'Base SKUs'!J:J),"")</f>
        <v>1x6</v>
      </c>
      <c r="Q1024">
        <f>IFERROR(_xlfn.XLOOKUP($A1024,'Base SKUs'!$E:$E,'Base SKUs'!K:K),"")</f>
        <v>13</v>
      </c>
      <c r="R1024" s="7">
        <f>IFERROR(_xlfn.XLOOKUP($A1024,'Base SKUs'!$E:$E,'Base SKUs'!S:S),"")</f>
        <v>1.0374000000000001E-2</v>
      </c>
      <c r="S1024" s="8">
        <f t="shared" si="77"/>
        <v>1.3797420000000002</v>
      </c>
      <c r="T1024" s="7">
        <f>IFERROR(_xlfn.XLOOKUP($A1024,'Base SKUs'!$E:$E,'Base SKUs'!R:R),"")</f>
        <v>1233.3979999999999</v>
      </c>
      <c r="U1024" s="15">
        <f t="shared" si="78"/>
        <v>1702</v>
      </c>
      <c r="V1024" t="str">
        <f t="shared" si="79"/>
        <v>Miami</v>
      </c>
    </row>
    <row r="1025" spans="1:22" x14ac:dyDescent="0.2">
      <c r="A1025" t="s">
        <v>1427</v>
      </c>
      <c r="B1025" s="5">
        <v>665</v>
      </c>
      <c r="C1025" s="5">
        <v>84</v>
      </c>
      <c r="D1025" s="5">
        <f t="shared" si="75"/>
        <v>581</v>
      </c>
      <c r="E1025" s="6">
        <v>22.163900000000002</v>
      </c>
      <c r="F1025" s="6">
        <f t="shared" si="76"/>
        <v>14738.9935</v>
      </c>
      <c r="G1025" t="s">
        <v>24</v>
      </c>
      <c r="H1025">
        <v>9008</v>
      </c>
      <c r="I1025" t="str">
        <f>IFERROR(_xlfn.XLOOKUP($A1025,'Base SKUs'!$E:$E,'Base SKUs'!A:A),"")</f>
        <v>Ayous</v>
      </c>
      <c r="J1025" t="str">
        <f>IFERROR(_xlfn.XLOOKUP($A1025,'Base SKUs'!$E:$E,'Base SKUs'!B:B),"")</f>
        <v>Ayous 1x6</v>
      </c>
      <c r="K1025" t="str">
        <f>IFERROR(_xlfn.XLOOKUP($A1025,'Base SKUs'!$E:$E,'Base SKUs'!C:C),"")</f>
        <v>Long</v>
      </c>
      <c r="L1025" t="str">
        <f>IFERROR(_xlfn.XLOOKUP($A1025,'Base SKUs'!$E:$E,'Base SKUs'!D:D),"")</f>
        <v>Thermowood</v>
      </c>
      <c r="M1025" t="str">
        <f>IFERROR(_xlfn.XLOOKUP($A1025,'Base SKUs'!$E:$E,'Base SKUs'!G:G),"")</f>
        <v>Maximo Thermo Ayous</v>
      </c>
      <c r="N1025" t="str">
        <f>IFERROR(_xlfn.XLOOKUP($A1025,'Base SKUs'!$E:$E,'Base SKUs'!H:H),"")</f>
        <v>S4S E4E</v>
      </c>
      <c r="O1025" t="str">
        <f>IFERROR(_xlfn.XLOOKUP($A1025,'Base SKUs'!$E:$E,'Base SKUs'!I:I),"")</f>
        <v>-</v>
      </c>
      <c r="P1025" t="str">
        <f>IFERROR(_xlfn.XLOOKUP($A1025,'Base SKUs'!$E:$E,'Base SKUs'!J:J),"")</f>
        <v>1x6</v>
      </c>
      <c r="Q1025">
        <f>IFERROR(_xlfn.XLOOKUP($A1025,'Base SKUs'!$E:$E,'Base SKUs'!K:K),"")</f>
        <v>13</v>
      </c>
      <c r="R1025" s="7">
        <f>IFERROR(_xlfn.XLOOKUP($A1025,'Base SKUs'!$E:$E,'Base SKUs'!S:S),"")</f>
        <v>1.0374000000000001E-2</v>
      </c>
      <c r="S1025" s="8">
        <f t="shared" si="77"/>
        <v>6.0272940000000004</v>
      </c>
      <c r="T1025" s="7">
        <f>IFERROR(_xlfn.XLOOKUP($A1025,'Base SKUs'!$E:$E,'Base SKUs'!R:R),"")</f>
        <v>1233.3979999999999</v>
      </c>
      <c r="U1025" s="15">
        <f t="shared" si="78"/>
        <v>7434</v>
      </c>
      <c r="V1025" t="str">
        <f t="shared" si="79"/>
        <v>Texas</v>
      </c>
    </row>
    <row r="1026" spans="1:22" x14ac:dyDescent="0.2">
      <c r="A1026" t="s">
        <v>1427</v>
      </c>
      <c r="B1026" s="5">
        <v>798</v>
      </c>
      <c r="C1026" s="5">
        <v>770</v>
      </c>
      <c r="D1026" s="5">
        <f t="shared" ref="D1026:D1089" si="80">B1026-C1026</f>
        <v>28</v>
      </c>
      <c r="E1026" s="6">
        <v>22.1736</v>
      </c>
      <c r="F1026" s="6">
        <f t="shared" ref="F1026:F1089" si="81">B1026*E1026</f>
        <v>17694.532800000001</v>
      </c>
      <c r="G1026" t="s">
        <v>125</v>
      </c>
      <c r="H1026">
        <v>9009</v>
      </c>
      <c r="I1026" t="str">
        <f>IFERROR(_xlfn.XLOOKUP($A1026,'Base SKUs'!$E:$E,'Base SKUs'!A:A),"")</f>
        <v>Ayous</v>
      </c>
      <c r="J1026" t="str">
        <f>IFERROR(_xlfn.XLOOKUP($A1026,'Base SKUs'!$E:$E,'Base SKUs'!B:B),"")</f>
        <v>Ayous 1x6</v>
      </c>
      <c r="K1026" t="str">
        <f>IFERROR(_xlfn.XLOOKUP($A1026,'Base SKUs'!$E:$E,'Base SKUs'!C:C),"")</f>
        <v>Long</v>
      </c>
      <c r="L1026" t="str">
        <f>IFERROR(_xlfn.XLOOKUP($A1026,'Base SKUs'!$E:$E,'Base SKUs'!D:D),"")</f>
        <v>Thermowood</v>
      </c>
      <c r="M1026" t="str">
        <f>IFERROR(_xlfn.XLOOKUP($A1026,'Base SKUs'!$E:$E,'Base SKUs'!G:G),"")</f>
        <v>Maximo Thermo Ayous</v>
      </c>
      <c r="N1026" t="str">
        <f>IFERROR(_xlfn.XLOOKUP($A1026,'Base SKUs'!$E:$E,'Base SKUs'!H:H),"")</f>
        <v>S4S E4E</v>
      </c>
      <c r="O1026" t="str">
        <f>IFERROR(_xlfn.XLOOKUP($A1026,'Base SKUs'!$E:$E,'Base SKUs'!I:I),"")</f>
        <v>-</v>
      </c>
      <c r="P1026" t="str">
        <f>IFERROR(_xlfn.XLOOKUP($A1026,'Base SKUs'!$E:$E,'Base SKUs'!J:J),"")</f>
        <v>1x6</v>
      </c>
      <c r="Q1026">
        <f>IFERROR(_xlfn.XLOOKUP($A1026,'Base SKUs'!$E:$E,'Base SKUs'!K:K),"")</f>
        <v>13</v>
      </c>
      <c r="R1026" s="7">
        <f>IFERROR(_xlfn.XLOOKUP($A1026,'Base SKUs'!$E:$E,'Base SKUs'!S:S),"")</f>
        <v>1.0374000000000001E-2</v>
      </c>
      <c r="S1026" s="8">
        <f t="shared" ref="S1026:S1089" si="82">IF(OR(L1026="Saicos",L1026="Oil",L1026="US4",L1026="Wood Table",L1026="Woca",L1026="Norx",N1026="Tiles"),D1026,D1026*R1026)</f>
        <v>0.29047200000000006</v>
      </c>
      <c r="T1026" s="7">
        <f>IFERROR(_xlfn.XLOOKUP($A1026,'Base SKUs'!$E:$E,'Base SKUs'!R:R),"")</f>
        <v>1233.3979999999999</v>
      </c>
      <c r="U1026" s="15">
        <f t="shared" ref="U1026:U1089" si="83">ROUND(IF(OR(L1026="Saicos",L1026="Oil",L1026="US4",L1026="Wood Table",L1026="Woca",L1026="Norx",N1026="Tiles"),D1026,S1026*T1026),0)</f>
        <v>358</v>
      </c>
      <c r="V1026" t="str">
        <f t="shared" ref="V1026:V1089" si="84">IF(H1026=9007,"Miami",IF(H1026=9008,"Texas",IF(H1026=9009,"Boston",IF(H1026=9010,"BS Detroit",IF(H1026=9011,"New York",IF(H1026=9012,"HW Perris",IF(H1026=9013,"BS Riverside",IF(H1026=9014,"On the Way",IF(H1026=9015,"Russin",IF(H1026=9016,"Palm Beach",""))))))))))</f>
        <v>Boston</v>
      </c>
    </row>
    <row r="1027" spans="1:22" x14ac:dyDescent="0.2">
      <c r="A1027" t="s">
        <v>1429</v>
      </c>
      <c r="B1027" s="5">
        <v>146</v>
      </c>
      <c r="C1027" s="5">
        <v>56</v>
      </c>
      <c r="D1027" s="5">
        <f t="shared" si="80"/>
        <v>90</v>
      </c>
      <c r="E1027" s="6">
        <v>23.879300000000001</v>
      </c>
      <c r="F1027" s="6">
        <f t="shared" si="81"/>
        <v>3486.3778000000002</v>
      </c>
      <c r="G1027" t="s">
        <v>17</v>
      </c>
      <c r="H1027">
        <v>9007</v>
      </c>
      <c r="I1027" t="str">
        <f>IFERROR(_xlfn.XLOOKUP($A1027,'Base SKUs'!$E:$E,'Base SKUs'!A:A),"")</f>
        <v>Ayous</v>
      </c>
      <c r="J1027" t="str">
        <f>IFERROR(_xlfn.XLOOKUP($A1027,'Base SKUs'!$E:$E,'Base SKUs'!B:B),"")</f>
        <v>Ayous 1x6</v>
      </c>
      <c r="K1027" t="str">
        <f>IFERROR(_xlfn.XLOOKUP($A1027,'Base SKUs'!$E:$E,'Base SKUs'!C:C),"")</f>
        <v>Long</v>
      </c>
      <c r="L1027" t="str">
        <f>IFERROR(_xlfn.XLOOKUP($A1027,'Base SKUs'!$E:$E,'Base SKUs'!D:D),"")</f>
        <v>Thermowood</v>
      </c>
      <c r="M1027" t="str">
        <f>IFERROR(_xlfn.XLOOKUP($A1027,'Base SKUs'!$E:$E,'Base SKUs'!G:G),"")</f>
        <v>Maximo Thermo Ayous</v>
      </c>
      <c r="N1027" t="str">
        <f>IFERROR(_xlfn.XLOOKUP($A1027,'Base SKUs'!$E:$E,'Base SKUs'!H:H),"")</f>
        <v>S4S E4E</v>
      </c>
      <c r="O1027" t="str">
        <f>IFERROR(_xlfn.XLOOKUP($A1027,'Base SKUs'!$E:$E,'Base SKUs'!I:I),"")</f>
        <v>-</v>
      </c>
      <c r="P1027" t="str">
        <f>IFERROR(_xlfn.XLOOKUP($A1027,'Base SKUs'!$E:$E,'Base SKUs'!J:J),"")</f>
        <v>1x6</v>
      </c>
      <c r="Q1027">
        <f>IFERROR(_xlfn.XLOOKUP($A1027,'Base SKUs'!$E:$E,'Base SKUs'!K:K),"")</f>
        <v>14</v>
      </c>
      <c r="R1027" s="7">
        <f>IFERROR(_xlfn.XLOOKUP($A1027,'Base SKUs'!$E:$E,'Base SKUs'!S:S),"")</f>
        <v>1.1172E-2</v>
      </c>
      <c r="S1027" s="8">
        <f t="shared" si="82"/>
        <v>1.0054799999999999</v>
      </c>
      <c r="T1027" s="7">
        <f>IFERROR(_xlfn.XLOOKUP($A1027,'Base SKUs'!$E:$E,'Base SKUs'!R:R),"")</f>
        <v>1233.3979999999999</v>
      </c>
      <c r="U1027" s="15">
        <f t="shared" si="83"/>
        <v>1240</v>
      </c>
      <c r="V1027" t="str">
        <f t="shared" si="84"/>
        <v>Miami</v>
      </c>
    </row>
    <row r="1028" spans="1:22" x14ac:dyDescent="0.2">
      <c r="A1028" t="s">
        <v>1429</v>
      </c>
      <c r="B1028" s="5">
        <v>1243</v>
      </c>
      <c r="C1028" s="5">
        <v>1026</v>
      </c>
      <c r="D1028" s="5">
        <f t="shared" si="80"/>
        <v>217</v>
      </c>
      <c r="E1028" s="6">
        <v>23.879300000000001</v>
      </c>
      <c r="F1028" s="6">
        <f t="shared" si="81"/>
        <v>29681.9699</v>
      </c>
      <c r="G1028" t="s">
        <v>125</v>
      </c>
      <c r="H1028">
        <v>9009</v>
      </c>
      <c r="I1028" t="str">
        <f>IFERROR(_xlfn.XLOOKUP($A1028,'Base SKUs'!$E:$E,'Base SKUs'!A:A),"")</f>
        <v>Ayous</v>
      </c>
      <c r="J1028" t="str">
        <f>IFERROR(_xlfn.XLOOKUP($A1028,'Base SKUs'!$E:$E,'Base SKUs'!B:B),"")</f>
        <v>Ayous 1x6</v>
      </c>
      <c r="K1028" t="str">
        <f>IFERROR(_xlfn.XLOOKUP($A1028,'Base SKUs'!$E:$E,'Base SKUs'!C:C),"")</f>
        <v>Long</v>
      </c>
      <c r="L1028" t="str">
        <f>IFERROR(_xlfn.XLOOKUP($A1028,'Base SKUs'!$E:$E,'Base SKUs'!D:D),"")</f>
        <v>Thermowood</v>
      </c>
      <c r="M1028" t="str">
        <f>IFERROR(_xlfn.XLOOKUP($A1028,'Base SKUs'!$E:$E,'Base SKUs'!G:G),"")</f>
        <v>Maximo Thermo Ayous</v>
      </c>
      <c r="N1028" t="str">
        <f>IFERROR(_xlfn.XLOOKUP($A1028,'Base SKUs'!$E:$E,'Base SKUs'!H:H),"")</f>
        <v>S4S E4E</v>
      </c>
      <c r="O1028" t="str">
        <f>IFERROR(_xlfn.XLOOKUP($A1028,'Base SKUs'!$E:$E,'Base SKUs'!I:I),"")</f>
        <v>-</v>
      </c>
      <c r="P1028" t="str">
        <f>IFERROR(_xlfn.XLOOKUP($A1028,'Base SKUs'!$E:$E,'Base SKUs'!J:J),"")</f>
        <v>1x6</v>
      </c>
      <c r="Q1028">
        <f>IFERROR(_xlfn.XLOOKUP($A1028,'Base SKUs'!$E:$E,'Base SKUs'!K:K),"")</f>
        <v>14</v>
      </c>
      <c r="R1028" s="7">
        <f>IFERROR(_xlfn.XLOOKUP($A1028,'Base SKUs'!$E:$E,'Base SKUs'!S:S),"")</f>
        <v>1.1172E-2</v>
      </c>
      <c r="S1028" s="8">
        <f t="shared" si="82"/>
        <v>2.4243239999999999</v>
      </c>
      <c r="T1028" s="7">
        <f>IFERROR(_xlfn.XLOOKUP($A1028,'Base SKUs'!$E:$E,'Base SKUs'!R:R),"")</f>
        <v>1233.3979999999999</v>
      </c>
      <c r="U1028" s="15">
        <f t="shared" si="83"/>
        <v>2990</v>
      </c>
      <c r="V1028" t="str">
        <f t="shared" si="84"/>
        <v>Boston</v>
      </c>
    </row>
    <row r="1029" spans="1:22" x14ac:dyDescent="0.2">
      <c r="A1029" t="s">
        <v>1431</v>
      </c>
      <c r="B1029" s="5">
        <v>110</v>
      </c>
      <c r="C1029" s="5">
        <v>0</v>
      </c>
      <c r="D1029" s="5">
        <f t="shared" si="80"/>
        <v>110</v>
      </c>
      <c r="E1029" s="6">
        <v>25.585000000000001</v>
      </c>
      <c r="F1029" s="6">
        <f t="shared" si="81"/>
        <v>2814.35</v>
      </c>
      <c r="G1029" t="s">
        <v>17</v>
      </c>
      <c r="H1029">
        <v>9007</v>
      </c>
      <c r="I1029" t="str">
        <f>IFERROR(_xlfn.XLOOKUP($A1029,'Base SKUs'!$E:$E,'Base SKUs'!A:A),"")</f>
        <v>Ayous</v>
      </c>
      <c r="J1029" t="str">
        <f>IFERROR(_xlfn.XLOOKUP($A1029,'Base SKUs'!$E:$E,'Base SKUs'!B:B),"")</f>
        <v>Ayous 1x6</v>
      </c>
      <c r="K1029" t="str">
        <f>IFERROR(_xlfn.XLOOKUP($A1029,'Base SKUs'!$E:$E,'Base SKUs'!C:C),"")</f>
        <v>Long</v>
      </c>
      <c r="L1029" t="str">
        <f>IFERROR(_xlfn.XLOOKUP($A1029,'Base SKUs'!$E:$E,'Base SKUs'!D:D),"")</f>
        <v>Thermowood</v>
      </c>
      <c r="M1029" t="str">
        <f>IFERROR(_xlfn.XLOOKUP($A1029,'Base SKUs'!$E:$E,'Base SKUs'!G:G),"")</f>
        <v>Maximo Thermo Ayous</v>
      </c>
      <c r="N1029" t="str">
        <f>IFERROR(_xlfn.XLOOKUP($A1029,'Base SKUs'!$E:$E,'Base SKUs'!H:H),"")</f>
        <v>S4S E4E</v>
      </c>
      <c r="O1029" t="str">
        <f>IFERROR(_xlfn.XLOOKUP($A1029,'Base SKUs'!$E:$E,'Base SKUs'!I:I),"")</f>
        <v>-</v>
      </c>
      <c r="P1029" t="str">
        <f>IFERROR(_xlfn.XLOOKUP($A1029,'Base SKUs'!$E:$E,'Base SKUs'!J:J),"")</f>
        <v>1x6</v>
      </c>
      <c r="Q1029">
        <f>IFERROR(_xlfn.XLOOKUP($A1029,'Base SKUs'!$E:$E,'Base SKUs'!K:K),"")</f>
        <v>15</v>
      </c>
      <c r="R1029" s="7">
        <f>IFERROR(_xlfn.XLOOKUP($A1029,'Base SKUs'!$E:$E,'Base SKUs'!S:S),"")</f>
        <v>1.1970000000000001E-2</v>
      </c>
      <c r="S1029" s="8">
        <f t="shared" si="82"/>
        <v>1.3167000000000002</v>
      </c>
      <c r="T1029" s="7">
        <f>IFERROR(_xlfn.XLOOKUP($A1029,'Base SKUs'!$E:$E,'Base SKUs'!R:R),"")</f>
        <v>1233.3979999999999</v>
      </c>
      <c r="U1029" s="15">
        <f t="shared" si="83"/>
        <v>1624</v>
      </c>
      <c r="V1029" t="str">
        <f t="shared" si="84"/>
        <v>Miami</v>
      </c>
    </row>
    <row r="1030" spans="1:22" x14ac:dyDescent="0.2">
      <c r="A1030" t="s">
        <v>1431</v>
      </c>
      <c r="B1030" s="5">
        <v>224</v>
      </c>
      <c r="C1030" s="5">
        <v>0</v>
      </c>
      <c r="D1030" s="5">
        <f t="shared" si="80"/>
        <v>224</v>
      </c>
      <c r="E1030" s="6">
        <v>25.573699999999999</v>
      </c>
      <c r="F1030" s="6">
        <f t="shared" si="81"/>
        <v>5728.5087999999996</v>
      </c>
      <c r="G1030" t="s">
        <v>24</v>
      </c>
      <c r="H1030">
        <v>9008</v>
      </c>
      <c r="I1030" t="str">
        <f>IFERROR(_xlfn.XLOOKUP($A1030,'Base SKUs'!$E:$E,'Base SKUs'!A:A),"")</f>
        <v>Ayous</v>
      </c>
      <c r="J1030" t="str">
        <f>IFERROR(_xlfn.XLOOKUP($A1030,'Base SKUs'!$E:$E,'Base SKUs'!B:B),"")</f>
        <v>Ayous 1x6</v>
      </c>
      <c r="K1030" t="str">
        <f>IFERROR(_xlfn.XLOOKUP($A1030,'Base SKUs'!$E:$E,'Base SKUs'!C:C),"")</f>
        <v>Long</v>
      </c>
      <c r="L1030" t="str">
        <f>IFERROR(_xlfn.XLOOKUP($A1030,'Base SKUs'!$E:$E,'Base SKUs'!D:D),"")</f>
        <v>Thermowood</v>
      </c>
      <c r="M1030" t="str">
        <f>IFERROR(_xlfn.XLOOKUP($A1030,'Base SKUs'!$E:$E,'Base SKUs'!G:G),"")</f>
        <v>Maximo Thermo Ayous</v>
      </c>
      <c r="N1030" t="str">
        <f>IFERROR(_xlfn.XLOOKUP($A1030,'Base SKUs'!$E:$E,'Base SKUs'!H:H),"")</f>
        <v>S4S E4E</v>
      </c>
      <c r="O1030" t="str">
        <f>IFERROR(_xlfn.XLOOKUP($A1030,'Base SKUs'!$E:$E,'Base SKUs'!I:I),"")</f>
        <v>-</v>
      </c>
      <c r="P1030" t="str">
        <f>IFERROR(_xlfn.XLOOKUP($A1030,'Base SKUs'!$E:$E,'Base SKUs'!J:J),"")</f>
        <v>1x6</v>
      </c>
      <c r="Q1030">
        <f>IFERROR(_xlfn.XLOOKUP($A1030,'Base SKUs'!$E:$E,'Base SKUs'!K:K),"")</f>
        <v>15</v>
      </c>
      <c r="R1030" s="7">
        <f>IFERROR(_xlfn.XLOOKUP($A1030,'Base SKUs'!$E:$E,'Base SKUs'!S:S),"")</f>
        <v>1.1970000000000001E-2</v>
      </c>
      <c r="S1030" s="8">
        <f t="shared" si="82"/>
        <v>2.6812800000000001</v>
      </c>
      <c r="T1030" s="7">
        <f>IFERROR(_xlfn.XLOOKUP($A1030,'Base SKUs'!$E:$E,'Base SKUs'!R:R),"")</f>
        <v>1233.3979999999999</v>
      </c>
      <c r="U1030" s="15">
        <f t="shared" si="83"/>
        <v>3307</v>
      </c>
      <c r="V1030" t="str">
        <f t="shared" si="84"/>
        <v>Texas</v>
      </c>
    </row>
    <row r="1031" spans="1:22" x14ac:dyDescent="0.2">
      <c r="A1031" t="s">
        <v>1431</v>
      </c>
      <c r="B1031" s="5">
        <v>371</v>
      </c>
      <c r="C1031" s="5">
        <v>161</v>
      </c>
      <c r="D1031" s="5">
        <f t="shared" si="80"/>
        <v>210</v>
      </c>
      <c r="E1031" s="6">
        <v>25.585000000000001</v>
      </c>
      <c r="F1031" s="6">
        <f t="shared" si="81"/>
        <v>9492.0349999999999</v>
      </c>
      <c r="G1031" t="s">
        <v>125</v>
      </c>
      <c r="H1031">
        <v>9009</v>
      </c>
      <c r="I1031" t="str">
        <f>IFERROR(_xlfn.XLOOKUP($A1031,'Base SKUs'!$E:$E,'Base SKUs'!A:A),"")</f>
        <v>Ayous</v>
      </c>
      <c r="J1031" t="str">
        <f>IFERROR(_xlfn.XLOOKUP($A1031,'Base SKUs'!$E:$E,'Base SKUs'!B:B),"")</f>
        <v>Ayous 1x6</v>
      </c>
      <c r="K1031" t="str">
        <f>IFERROR(_xlfn.XLOOKUP($A1031,'Base SKUs'!$E:$E,'Base SKUs'!C:C),"")</f>
        <v>Long</v>
      </c>
      <c r="L1031" t="str">
        <f>IFERROR(_xlfn.XLOOKUP($A1031,'Base SKUs'!$E:$E,'Base SKUs'!D:D),"")</f>
        <v>Thermowood</v>
      </c>
      <c r="M1031" t="str">
        <f>IFERROR(_xlfn.XLOOKUP($A1031,'Base SKUs'!$E:$E,'Base SKUs'!G:G),"")</f>
        <v>Maximo Thermo Ayous</v>
      </c>
      <c r="N1031" t="str">
        <f>IFERROR(_xlfn.XLOOKUP($A1031,'Base SKUs'!$E:$E,'Base SKUs'!H:H),"")</f>
        <v>S4S E4E</v>
      </c>
      <c r="O1031" t="str">
        <f>IFERROR(_xlfn.XLOOKUP($A1031,'Base SKUs'!$E:$E,'Base SKUs'!I:I),"")</f>
        <v>-</v>
      </c>
      <c r="P1031" t="str">
        <f>IFERROR(_xlfn.XLOOKUP($A1031,'Base SKUs'!$E:$E,'Base SKUs'!J:J),"")</f>
        <v>1x6</v>
      </c>
      <c r="Q1031">
        <f>IFERROR(_xlfn.XLOOKUP($A1031,'Base SKUs'!$E:$E,'Base SKUs'!K:K),"")</f>
        <v>15</v>
      </c>
      <c r="R1031" s="7">
        <f>IFERROR(_xlfn.XLOOKUP($A1031,'Base SKUs'!$E:$E,'Base SKUs'!S:S),"")</f>
        <v>1.1970000000000001E-2</v>
      </c>
      <c r="S1031" s="8">
        <f t="shared" si="82"/>
        <v>2.5137000000000005</v>
      </c>
      <c r="T1031" s="7">
        <f>IFERROR(_xlfn.XLOOKUP($A1031,'Base SKUs'!$E:$E,'Base SKUs'!R:R),"")</f>
        <v>1233.3979999999999</v>
      </c>
      <c r="U1031" s="15">
        <f t="shared" si="83"/>
        <v>3100</v>
      </c>
      <c r="V1031" t="str">
        <f t="shared" si="84"/>
        <v>Boston</v>
      </c>
    </row>
    <row r="1032" spans="1:22" x14ac:dyDescent="0.2">
      <c r="A1032" t="s">
        <v>1433</v>
      </c>
      <c r="B1032" s="5">
        <v>299</v>
      </c>
      <c r="C1032" s="5">
        <v>49</v>
      </c>
      <c r="D1032" s="5">
        <f t="shared" si="80"/>
        <v>250</v>
      </c>
      <c r="E1032" s="6">
        <v>27.290600000000001</v>
      </c>
      <c r="F1032" s="6">
        <f t="shared" si="81"/>
        <v>8159.8894</v>
      </c>
      <c r="G1032" t="s">
        <v>17</v>
      </c>
      <c r="H1032">
        <v>9007</v>
      </c>
      <c r="I1032" t="str">
        <f>IFERROR(_xlfn.XLOOKUP($A1032,'Base SKUs'!$E:$E,'Base SKUs'!A:A),"")</f>
        <v>Ayous</v>
      </c>
      <c r="J1032" t="str">
        <f>IFERROR(_xlfn.XLOOKUP($A1032,'Base SKUs'!$E:$E,'Base SKUs'!B:B),"")</f>
        <v>Ayous 1x6</v>
      </c>
      <c r="K1032" t="str">
        <f>IFERROR(_xlfn.XLOOKUP($A1032,'Base SKUs'!$E:$E,'Base SKUs'!C:C),"")</f>
        <v>Long</v>
      </c>
      <c r="L1032" t="str">
        <f>IFERROR(_xlfn.XLOOKUP($A1032,'Base SKUs'!$E:$E,'Base SKUs'!D:D),"")</f>
        <v>Thermowood</v>
      </c>
      <c r="M1032" t="str">
        <f>IFERROR(_xlfn.XLOOKUP($A1032,'Base SKUs'!$E:$E,'Base SKUs'!G:G),"")</f>
        <v>Maximo Thermo Ayous</v>
      </c>
      <c r="N1032" t="str">
        <f>IFERROR(_xlfn.XLOOKUP($A1032,'Base SKUs'!$E:$E,'Base SKUs'!H:H),"")</f>
        <v>S4S E4E</v>
      </c>
      <c r="O1032" t="str">
        <f>IFERROR(_xlfn.XLOOKUP($A1032,'Base SKUs'!$E:$E,'Base SKUs'!I:I),"")</f>
        <v>-</v>
      </c>
      <c r="P1032" t="str">
        <f>IFERROR(_xlfn.XLOOKUP($A1032,'Base SKUs'!$E:$E,'Base SKUs'!J:J),"")</f>
        <v>1x6</v>
      </c>
      <c r="Q1032">
        <f>IFERROR(_xlfn.XLOOKUP($A1032,'Base SKUs'!$E:$E,'Base SKUs'!K:K),"")</f>
        <v>16</v>
      </c>
      <c r="R1032" s="7">
        <f>IFERROR(_xlfn.XLOOKUP($A1032,'Base SKUs'!$E:$E,'Base SKUs'!S:S),"")</f>
        <v>1.2768E-2</v>
      </c>
      <c r="S1032" s="8">
        <f t="shared" si="82"/>
        <v>3.1920000000000002</v>
      </c>
      <c r="T1032" s="7">
        <f>IFERROR(_xlfn.XLOOKUP($A1032,'Base SKUs'!$E:$E,'Base SKUs'!R:R),"")</f>
        <v>1233.3979999999999</v>
      </c>
      <c r="U1032" s="15">
        <f t="shared" si="83"/>
        <v>3937</v>
      </c>
      <c r="V1032" t="str">
        <f t="shared" si="84"/>
        <v>Miami</v>
      </c>
    </row>
    <row r="1033" spans="1:22" x14ac:dyDescent="0.2">
      <c r="A1033" t="s">
        <v>1433</v>
      </c>
      <c r="B1033" s="5">
        <v>468</v>
      </c>
      <c r="C1033" s="5">
        <v>0</v>
      </c>
      <c r="D1033" s="5">
        <f t="shared" si="80"/>
        <v>468</v>
      </c>
      <c r="E1033" s="6">
        <v>27.278700000000001</v>
      </c>
      <c r="F1033" s="6">
        <f t="shared" si="81"/>
        <v>12766.4316</v>
      </c>
      <c r="G1033" t="s">
        <v>24</v>
      </c>
      <c r="H1033">
        <v>9008</v>
      </c>
      <c r="I1033" t="str">
        <f>IFERROR(_xlfn.XLOOKUP($A1033,'Base SKUs'!$E:$E,'Base SKUs'!A:A),"")</f>
        <v>Ayous</v>
      </c>
      <c r="J1033" t="str">
        <f>IFERROR(_xlfn.XLOOKUP($A1033,'Base SKUs'!$E:$E,'Base SKUs'!B:B),"")</f>
        <v>Ayous 1x6</v>
      </c>
      <c r="K1033" t="str">
        <f>IFERROR(_xlfn.XLOOKUP($A1033,'Base SKUs'!$E:$E,'Base SKUs'!C:C),"")</f>
        <v>Long</v>
      </c>
      <c r="L1033" t="str">
        <f>IFERROR(_xlfn.XLOOKUP($A1033,'Base SKUs'!$E:$E,'Base SKUs'!D:D),"")</f>
        <v>Thermowood</v>
      </c>
      <c r="M1033" t="str">
        <f>IFERROR(_xlfn.XLOOKUP($A1033,'Base SKUs'!$E:$E,'Base SKUs'!G:G),"")</f>
        <v>Maximo Thermo Ayous</v>
      </c>
      <c r="N1033" t="str">
        <f>IFERROR(_xlfn.XLOOKUP($A1033,'Base SKUs'!$E:$E,'Base SKUs'!H:H),"")</f>
        <v>S4S E4E</v>
      </c>
      <c r="O1033" t="str">
        <f>IFERROR(_xlfn.XLOOKUP($A1033,'Base SKUs'!$E:$E,'Base SKUs'!I:I),"")</f>
        <v>-</v>
      </c>
      <c r="P1033" t="str">
        <f>IFERROR(_xlfn.XLOOKUP($A1033,'Base SKUs'!$E:$E,'Base SKUs'!J:J),"")</f>
        <v>1x6</v>
      </c>
      <c r="Q1033">
        <f>IFERROR(_xlfn.XLOOKUP($A1033,'Base SKUs'!$E:$E,'Base SKUs'!K:K),"")</f>
        <v>16</v>
      </c>
      <c r="R1033" s="7">
        <f>IFERROR(_xlfn.XLOOKUP($A1033,'Base SKUs'!$E:$E,'Base SKUs'!S:S),"")</f>
        <v>1.2768E-2</v>
      </c>
      <c r="S1033" s="8">
        <f t="shared" si="82"/>
        <v>5.9754240000000003</v>
      </c>
      <c r="T1033" s="7">
        <f>IFERROR(_xlfn.XLOOKUP($A1033,'Base SKUs'!$E:$E,'Base SKUs'!R:R),"")</f>
        <v>1233.3979999999999</v>
      </c>
      <c r="U1033" s="15">
        <f t="shared" si="83"/>
        <v>7370</v>
      </c>
      <c r="V1033" t="str">
        <f t="shared" si="84"/>
        <v>Texas</v>
      </c>
    </row>
    <row r="1034" spans="1:22" x14ac:dyDescent="0.2">
      <c r="A1034" t="s">
        <v>1435</v>
      </c>
      <c r="B1034" s="5">
        <v>690</v>
      </c>
      <c r="C1034" s="5">
        <v>0</v>
      </c>
      <c r="D1034" s="5">
        <f t="shared" si="80"/>
        <v>690</v>
      </c>
      <c r="E1034" s="6">
        <v>6.8226000000000004</v>
      </c>
      <c r="F1034" s="6">
        <f t="shared" si="81"/>
        <v>4707.5940000000001</v>
      </c>
      <c r="G1034" t="s">
        <v>17</v>
      </c>
      <c r="H1034">
        <v>9007</v>
      </c>
      <c r="I1034" t="str">
        <f>IFERROR(_xlfn.XLOOKUP($A1034,'Base SKUs'!$E:$E,'Base SKUs'!A:A),"")</f>
        <v>Ayous</v>
      </c>
      <c r="J1034" t="str">
        <f>IFERROR(_xlfn.XLOOKUP($A1034,'Base SKUs'!$E:$E,'Base SKUs'!B:B),"")</f>
        <v>Ayous 1x6</v>
      </c>
      <c r="K1034" t="str">
        <f>IFERROR(_xlfn.XLOOKUP($A1034,'Base SKUs'!$E:$E,'Base SKUs'!C:C),"")</f>
        <v>Short</v>
      </c>
      <c r="L1034" t="str">
        <f>IFERROR(_xlfn.XLOOKUP($A1034,'Base SKUs'!$E:$E,'Base SKUs'!D:D),"")</f>
        <v>Thermowood</v>
      </c>
      <c r="M1034" t="str">
        <f>IFERROR(_xlfn.XLOOKUP($A1034,'Base SKUs'!$E:$E,'Base SKUs'!G:G),"")</f>
        <v>Maximo Thermo Ayous</v>
      </c>
      <c r="N1034" t="str">
        <f>IFERROR(_xlfn.XLOOKUP($A1034,'Base SKUs'!$E:$E,'Base SKUs'!H:H),"")</f>
        <v>S4S E4E</v>
      </c>
      <c r="O1034" t="str">
        <f>IFERROR(_xlfn.XLOOKUP($A1034,'Base SKUs'!$E:$E,'Base SKUs'!I:I),"")</f>
        <v>-</v>
      </c>
      <c r="P1034" t="str">
        <f>IFERROR(_xlfn.XLOOKUP($A1034,'Base SKUs'!$E:$E,'Base SKUs'!J:J),"")</f>
        <v>1x6</v>
      </c>
      <c r="Q1034">
        <f>IFERROR(_xlfn.XLOOKUP($A1034,'Base SKUs'!$E:$E,'Base SKUs'!K:K),"")</f>
        <v>4</v>
      </c>
      <c r="R1034" s="7">
        <f>IFERROR(_xlfn.XLOOKUP($A1034,'Base SKUs'!$E:$E,'Base SKUs'!S:S),"")</f>
        <v>3.192E-3</v>
      </c>
      <c r="S1034" s="8">
        <f t="shared" si="82"/>
        <v>2.20248</v>
      </c>
      <c r="T1034" s="7">
        <f>IFERROR(_xlfn.XLOOKUP($A1034,'Base SKUs'!$E:$E,'Base SKUs'!R:R),"")</f>
        <v>1233.3979999999999</v>
      </c>
      <c r="U1034" s="15">
        <f t="shared" si="83"/>
        <v>2717</v>
      </c>
      <c r="V1034" t="str">
        <f t="shared" si="84"/>
        <v>Miami</v>
      </c>
    </row>
    <row r="1035" spans="1:22" x14ac:dyDescent="0.2">
      <c r="A1035" t="s">
        <v>1435</v>
      </c>
      <c r="B1035" s="5">
        <v>452</v>
      </c>
      <c r="C1035" s="5">
        <v>214</v>
      </c>
      <c r="D1035" s="5">
        <f t="shared" si="80"/>
        <v>238</v>
      </c>
      <c r="E1035" s="6">
        <v>6.8226000000000004</v>
      </c>
      <c r="F1035" s="6">
        <f t="shared" si="81"/>
        <v>3083.8152</v>
      </c>
      <c r="G1035" t="s">
        <v>125</v>
      </c>
      <c r="H1035">
        <v>9009</v>
      </c>
      <c r="I1035" t="str">
        <f>IFERROR(_xlfn.XLOOKUP($A1035,'Base SKUs'!$E:$E,'Base SKUs'!A:A),"")</f>
        <v>Ayous</v>
      </c>
      <c r="J1035" t="str">
        <f>IFERROR(_xlfn.XLOOKUP($A1035,'Base SKUs'!$E:$E,'Base SKUs'!B:B),"")</f>
        <v>Ayous 1x6</v>
      </c>
      <c r="K1035" t="str">
        <f>IFERROR(_xlfn.XLOOKUP($A1035,'Base SKUs'!$E:$E,'Base SKUs'!C:C),"")</f>
        <v>Short</v>
      </c>
      <c r="L1035" t="str">
        <f>IFERROR(_xlfn.XLOOKUP($A1035,'Base SKUs'!$E:$E,'Base SKUs'!D:D),"")</f>
        <v>Thermowood</v>
      </c>
      <c r="M1035" t="str">
        <f>IFERROR(_xlfn.XLOOKUP($A1035,'Base SKUs'!$E:$E,'Base SKUs'!G:G),"")</f>
        <v>Maximo Thermo Ayous</v>
      </c>
      <c r="N1035" t="str">
        <f>IFERROR(_xlfn.XLOOKUP($A1035,'Base SKUs'!$E:$E,'Base SKUs'!H:H),"")</f>
        <v>S4S E4E</v>
      </c>
      <c r="O1035" t="str">
        <f>IFERROR(_xlfn.XLOOKUP($A1035,'Base SKUs'!$E:$E,'Base SKUs'!I:I),"")</f>
        <v>-</v>
      </c>
      <c r="P1035" t="str">
        <f>IFERROR(_xlfn.XLOOKUP($A1035,'Base SKUs'!$E:$E,'Base SKUs'!J:J),"")</f>
        <v>1x6</v>
      </c>
      <c r="Q1035">
        <f>IFERROR(_xlfn.XLOOKUP($A1035,'Base SKUs'!$E:$E,'Base SKUs'!K:K),"")</f>
        <v>4</v>
      </c>
      <c r="R1035" s="7">
        <f>IFERROR(_xlfn.XLOOKUP($A1035,'Base SKUs'!$E:$E,'Base SKUs'!S:S),"")</f>
        <v>3.192E-3</v>
      </c>
      <c r="S1035" s="8">
        <f t="shared" si="82"/>
        <v>0.75969600000000004</v>
      </c>
      <c r="T1035" s="7">
        <f>IFERROR(_xlfn.XLOOKUP($A1035,'Base SKUs'!$E:$E,'Base SKUs'!R:R),"")</f>
        <v>1233.3979999999999</v>
      </c>
      <c r="U1035" s="15">
        <f t="shared" si="83"/>
        <v>937</v>
      </c>
      <c r="V1035" t="str">
        <f t="shared" si="84"/>
        <v>Boston</v>
      </c>
    </row>
    <row r="1036" spans="1:22" x14ac:dyDescent="0.2">
      <c r="A1036" t="s">
        <v>1437</v>
      </c>
      <c r="B1036" s="5">
        <v>544</v>
      </c>
      <c r="C1036" s="5">
        <v>0</v>
      </c>
      <c r="D1036" s="5">
        <f t="shared" si="80"/>
        <v>544</v>
      </c>
      <c r="E1036" s="6">
        <v>8.5282999999999998</v>
      </c>
      <c r="F1036" s="6">
        <f t="shared" si="81"/>
        <v>4639.3951999999999</v>
      </c>
      <c r="G1036" t="s">
        <v>17</v>
      </c>
      <c r="H1036">
        <v>9007</v>
      </c>
      <c r="I1036" t="str">
        <f>IFERROR(_xlfn.XLOOKUP($A1036,'Base SKUs'!$E:$E,'Base SKUs'!A:A),"")</f>
        <v>Ayous</v>
      </c>
      <c r="J1036" t="str">
        <f>IFERROR(_xlfn.XLOOKUP($A1036,'Base SKUs'!$E:$E,'Base SKUs'!B:B),"")</f>
        <v>Ayous 1x6</v>
      </c>
      <c r="K1036" t="str">
        <f>IFERROR(_xlfn.XLOOKUP($A1036,'Base SKUs'!$E:$E,'Base SKUs'!C:C),"")</f>
        <v>Short</v>
      </c>
      <c r="L1036" t="str">
        <f>IFERROR(_xlfn.XLOOKUP($A1036,'Base SKUs'!$E:$E,'Base SKUs'!D:D),"")</f>
        <v>Thermowood</v>
      </c>
      <c r="M1036" t="str">
        <f>IFERROR(_xlfn.XLOOKUP($A1036,'Base SKUs'!$E:$E,'Base SKUs'!G:G),"")</f>
        <v>Maximo Thermo Ayous</v>
      </c>
      <c r="N1036" t="str">
        <f>IFERROR(_xlfn.XLOOKUP($A1036,'Base SKUs'!$E:$E,'Base SKUs'!H:H),"")</f>
        <v>S4S E4E</v>
      </c>
      <c r="O1036" t="str">
        <f>IFERROR(_xlfn.XLOOKUP($A1036,'Base SKUs'!$E:$E,'Base SKUs'!I:I),"")</f>
        <v>-</v>
      </c>
      <c r="P1036" t="str">
        <f>IFERROR(_xlfn.XLOOKUP($A1036,'Base SKUs'!$E:$E,'Base SKUs'!J:J),"")</f>
        <v>1x6</v>
      </c>
      <c r="Q1036">
        <f>IFERROR(_xlfn.XLOOKUP($A1036,'Base SKUs'!$E:$E,'Base SKUs'!K:K),"")</f>
        <v>5</v>
      </c>
      <c r="R1036" s="7">
        <f>IFERROR(_xlfn.XLOOKUP($A1036,'Base SKUs'!$E:$E,'Base SKUs'!S:S),"")</f>
        <v>3.9900000000000005E-3</v>
      </c>
      <c r="S1036" s="8">
        <f t="shared" si="82"/>
        <v>2.17056</v>
      </c>
      <c r="T1036" s="7">
        <f>IFERROR(_xlfn.XLOOKUP($A1036,'Base SKUs'!$E:$E,'Base SKUs'!R:R),"")</f>
        <v>1233.3979999999999</v>
      </c>
      <c r="U1036" s="15">
        <f t="shared" si="83"/>
        <v>2677</v>
      </c>
      <c r="V1036" t="str">
        <f t="shared" si="84"/>
        <v>Miami</v>
      </c>
    </row>
    <row r="1037" spans="1:22" x14ac:dyDescent="0.2">
      <c r="A1037" t="s">
        <v>1437</v>
      </c>
      <c r="B1037" s="5">
        <v>483</v>
      </c>
      <c r="C1037" s="5">
        <v>483</v>
      </c>
      <c r="D1037" s="5">
        <f t="shared" si="80"/>
        <v>0</v>
      </c>
      <c r="E1037" s="6">
        <v>8.5282999999999998</v>
      </c>
      <c r="F1037" s="6">
        <f t="shared" si="81"/>
        <v>4119.1688999999997</v>
      </c>
      <c r="G1037" t="s">
        <v>125</v>
      </c>
      <c r="H1037">
        <v>9009</v>
      </c>
      <c r="I1037" t="str">
        <f>IFERROR(_xlfn.XLOOKUP($A1037,'Base SKUs'!$E:$E,'Base SKUs'!A:A),"")</f>
        <v>Ayous</v>
      </c>
      <c r="J1037" t="str">
        <f>IFERROR(_xlfn.XLOOKUP($A1037,'Base SKUs'!$E:$E,'Base SKUs'!B:B),"")</f>
        <v>Ayous 1x6</v>
      </c>
      <c r="K1037" t="str">
        <f>IFERROR(_xlfn.XLOOKUP($A1037,'Base SKUs'!$E:$E,'Base SKUs'!C:C),"")</f>
        <v>Short</v>
      </c>
      <c r="L1037" t="str">
        <f>IFERROR(_xlfn.XLOOKUP($A1037,'Base SKUs'!$E:$E,'Base SKUs'!D:D),"")</f>
        <v>Thermowood</v>
      </c>
      <c r="M1037" t="str">
        <f>IFERROR(_xlfn.XLOOKUP($A1037,'Base SKUs'!$E:$E,'Base SKUs'!G:G),"")</f>
        <v>Maximo Thermo Ayous</v>
      </c>
      <c r="N1037" t="str">
        <f>IFERROR(_xlfn.XLOOKUP($A1037,'Base SKUs'!$E:$E,'Base SKUs'!H:H),"")</f>
        <v>S4S E4E</v>
      </c>
      <c r="O1037" t="str">
        <f>IFERROR(_xlfn.XLOOKUP($A1037,'Base SKUs'!$E:$E,'Base SKUs'!I:I),"")</f>
        <v>-</v>
      </c>
      <c r="P1037" t="str">
        <f>IFERROR(_xlfn.XLOOKUP($A1037,'Base SKUs'!$E:$E,'Base SKUs'!J:J),"")</f>
        <v>1x6</v>
      </c>
      <c r="Q1037">
        <f>IFERROR(_xlfn.XLOOKUP($A1037,'Base SKUs'!$E:$E,'Base SKUs'!K:K),"")</f>
        <v>5</v>
      </c>
      <c r="R1037" s="7">
        <f>IFERROR(_xlfn.XLOOKUP($A1037,'Base SKUs'!$E:$E,'Base SKUs'!S:S),"")</f>
        <v>3.9900000000000005E-3</v>
      </c>
      <c r="S1037" s="8">
        <f t="shared" si="82"/>
        <v>0</v>
      </c>
      <c r="T1037" s="7">
        <f>IFERROR(_xlfn.XLOOKUP($A1037,'Base SKUs'!$E:$E,'Base SKUs'!R:R),"")</f>
        <v>1233.3979999999999</v>
      </c>
      <c r="U1037" s="15">
        <f t="shared" si="83"/>
        <v>0</v>
      </c>
      <c r="V1037" t="str">
        <f t="shared" si="84"/>
        <v>Boston</v>
      </c>
    </row>
    <row r="1038" spans="1:22" x14ac:dyDescent="0.2">
      <c r="A1038" t="s">
        <v>1439</v>
      </c>
      <c r="B1038" s="5">
        <v>963</v>
      </c>
      <c r="C1038" s="5">
        <v>0</v>
      </c>
      <c r="D1038" s="5">
        <f t="shared" si="80"/>
        <v>963</v>
      </c>
      <c r="E1038" s="6">
        <v>10.234</v>
      </c>
      <c r="F1038" s="6">
        <f t="shared" si="81"/>
        <v>9855.3420000000006</v>
      </c>
      <c r="G1038" t="s">
        <v>17</v>
      </c>
      <c r="H1038">
        <v>9007</v>
      </c>
      <c r="I1038" t="str">
        <f>IFERROR(_xlfn.XLOOKUP($A1038,'Base SKUs'!$E:$E,'Base SKUs'!A:A),"")</f>
        <v>Ayous</v>
      </c>
      <c r="J1038" t="str">
        <f>IFERROR(_xlfn.XLOOKUP($A1038,'Base SKUs'!$E:$E,'Base SKUs'!B:B),"")</f>
        <v>Ayous 1x6</v>
      </c>
      <c r="K1038" t="str">
        <f>IFERROR(_xlfn.XLOOKUP($A1038,'Base SKUs'!$E:$E,'Base SKUs'!C:C),"")</f>
        <v>Short</v>
      </c>
      <c r="L1038" t="str">
        <f>IFERROR(_xlfn.XLOOKUP($A1038,'Base SKUs'!$E:$E,'Base SKUs'!D:D),"")</f>
        <v>Thermowood</v>
      </c>
      <c r="M1038" t="str">
        <f>IFERROR(_xlfn.XLOOKUP($A1038,'Base SKUs'!$E:$E,'Base SKUs'!G:G),"")</f>
        <v>Maximo Thermo Ayous</v>
      </c>
      <c r="N1038" t="str">
        <f>IFERROR(_xlfn.XLOOKUP($A1038,'Base SKUs'!$E:$E,'Base SKUs'!H:H),"")</f>
        <v>S4S E4E</v>
      </c>
      <c r="O1038" t="str">
        <f>IFERROR(_xlfn.XLOOKUP($A1038,'Base SKUs'!$E:$E,'Base SKUs'!I:I),"")</f>
        <v>-</v>
      </c>
      <c r="P1038" t="str">
        <f>IFERROR(_xlfn.XLOOKUP($A1038,'Base SKUs'!$E:$E,'Base SKUs'!J:J),"")</f>
        <v>1x6</v>
      </c>
      <c r="Q1038">
        <f>IFERROR(_xlfn.XLOOKUP($A1038,'Base SKUs'!$E:$E,'Base SKUs'!K:K),"")</f>
        <v>6</v>
      </c>
      <c r="R1038" s="7">
        <f>IFERROR(_xlfn.XLOOKUP($A1038,'Base SKUs'!$E:$E,'Base SKUs'!S:S),"")</f>
        <v>4.7880000000000006E-3</v>
      </c>
      <c r="S1038" s="8">
        <f t="shared" si="82"/>
        <v>4.6108440000000002</v>
      </c>
      <c r="T1038" s="7">
        <f>IFERROR(_xlfn.XLOOKUP($A1038,'Base SKUs'!$E:$E,'Base SKUs'!R:R),"")</f>
        <v>1233.3979999999999</v>
      </c>
      <c r="U1038" s="15">
        <f t="shared" si="83"/>
        <v>5687</v>
      </c>
      <c r="V1038" t="str">
        <f t="shared" si="84"/>
        <v>Miami</v>
      </c>
    </row>
    <row r="1039" spans="1:22" x14ac:dyDescent="0.2">
      <c r="A1039" t="s">
        <v>1439</v>
      </c>
      <c r="B1039" s="5">
        <v>932</v>
      </c>
      <c r="C1039" s="5">
        <v>0</v>
      </c>
      <c r="D1039" s="5">
        <f t="shared" si="80"/>
        <v>932</v>
      </c>
      <c r="E1039" s="6">
        <v>10.234</v>
      </c>
      <c r="F1039" s="6">
        <f t="shared" si="81"/>
        <v>9538.0879999999997</v>
      </c>
      <c r="G1039" t="s">
        <v>125</v>
      </c>
      <c r="H1039">
        <v>9009</v>
      </c>
      <c r="I1039" t="str">
        <f>IFERROR(_xlfn.XLOOKUP($A1039,'Base SKUs'!$E:$E,'Base SKUs'!A:A),"")</f>
        <v>Ayous</v>
      </c>
      <c r="J1039" t="str">
        <f>IFERROR(_xlfn.XLOOKUP($A1039,'Base SKUs'!$E:$E,'Base SKUs'!B:B),"")</f>
        <v>Ayous 1x6</v>
      </c>
      <c r="K1039" t="str">
        <f>IFERROR(_xlfn.XLOOKUP($A1039,'Base SKUs'!$E:$E,'Base SKUs'!C:C),"")</f>
        <v>Short</v>
      </c>
      <c r="L1039" t="str">
        <f>IFERROR(_xlfn.XLOOKUP($A1039,'Base SKUs'!$E:$E,'Base SKUs'!D:D),"")</f>
        <v>Thermowood</v>
      </c>
      <c r="M1039" t="str">
        <f>IFERROR(_xlfn.XLOOKUP($A1039,'Base SKUs'!$E:$E,'Base SKUs'!G:G),"")</f>
        <v>Maximo Thermo Ayous</v>
      </c>
      <c r="N1039" t="str">
        <f>IFERROR(_xlfn.XLOOKUP($A1039,'Base SKUs'!$E:$E,'Base SKUs'!H:H),"")</f>
        <v>S4S E4E</v>
      </c>
      <c r="O1039" t="str">
        <f>IFERROR(_xlfn.XLOOKUP($A1039,'Base SKUs'!$E:$E,'Base SKUs'!I:I),"")</f>
        <v>-</v>
      </c>
      <c r="P1039" t="str">
        <f>IFERROR(_xlfn.XLOOKUP($A1039,'Base SKUs'!$E:$E,'Base SKUs'!J:J),"")</f>
        <v>1x6</v>
      </c>
      <c r="Q1039">
        <f>IFERROR(_xlfn.XLOOKUP($A1039,'Base SKUs'!$E:$E,'Base SKUs'!K:K),"")</f>
        <v>6</v>
      </c>
      <c r="R1039" s="7">
        <f>IFERROR(_xlfn.XLOOKUP($A1039,'Base SKUs'!$E:$E,'Base SKUs'!S:S),"")</f>
        <v>4.7880000000000006E-3</v>
      </c>
      <c r="S1039" s="8">
        <f t="shared" si="82"/>
        <v>4.4624160000000002</v>
      </c>
      <c r="T1039" s="7">
        <f>IFERROR(_xlfn.XLOOKUP($A1039,'Base SKUs'!$E:$E,'Base SKUs'!R:R),"")</f>
        <v>1233.3979999999999</v>
      </c>
      <c r="U1039" s="15">
        <f t="shared" si="83"/>
        <v>5504</v>
      </c>
      <c r="V1039" t="str">
        <f t="shared" si="84"/>
        <v>Boston</v>
      </c>
    </row>
    <row r="1040" spans="1:22" x14ac:dyDescent="0.2">
      <c r="A1040" t="s">
        <v>1441</v>
      </c>
      <c r="B1040" s="5">
        <v>1188</v>
      </c>
      <c r="C1040" s="5">
        <v>203</v>
      </c>
      <c r="D1040" s="5">
        <f t="shared" si="80"/>
        <v>985</v>
      </c>
      <c r="E1040" s="6">
        <v>11.9396</v>
      </c>
      <c r="F1040" s="6">
        <f t="shared" si="81"/>
        <v>14184.2448</v>
      </c>
      <c r="G1040" t="s">
        <v>17</v>
      </c>
      <c r="H1040">
        <v>9007</v>
      </c>
      <c r="I1040" t="str">
        <f>IFERROR(_xlfn.XLOOKUP($A1040,'Base SKUs'!$E:$E,'Base SKUs'!A:A),"")</f>
        <v>Ayous</v>
      </c>
      <c r="J1040" t="str">
        <f>IFERROR(_xlfn.XLOOKUP($A1040,'Base SKUs'!$E:$E,'Base SKUs'!B:B),"")</f>
        <v>Ayous 1x6</v>
      </c>
      <c r="K1040" t="str">
        <f>IFERROR(_xlfn.XLOOKUP($A1040,'Base SKUs'!$E:$E,'Base SKUs'!C:C),"")</f>
        <v>Short</v>
      </c>
      <c r="L1040" t="str">
        <f>IFERROR(_xlfn.XLOOKUP($A1040,'Base SKUs'!$E:$E,'Base SKUs'!D:D),"")</f>
        <v>Thermowood</v>
      </c>
      <c r="M1040" t="str">
        <f>IFERROR(_xlfn.XLOOKUP($A1040,'Base SKUs'!$E:$E,'Base SKUs'!G:G),"")</f>
        <v>Maximo Thermo Ayous</v>
      </c>
      <c r="N1040" t="str">
        <f>IFERROR(_xlfn.XLOOKUP($A1040,'Base SKUs'!$E:$E,'Base SKUs'!H:H),"")</f>
        <v>S4S E4E</v>
      </c>
      <c r="O1040" t="str">
        <f>IFERROR(_xlfn.XLOOKUP($A1040,'Base SKUs'!$E:$E,'Base SKUs'!I:I),"")</f>
        <v>-</v>
      </c>
      <c r="P1040" t="str">
        <f>IFERROR(_xlfn.XLOOKUP($A1040,'Base SKUs'!$E:$E,'Base SKUs'!J:J),"")</f>
        <v>1x6</v>
      </c>
      <c r="Q1040">
        <f>IFERROR(_xlfn.XLOOKUP($A1040,'Base SKUs'!$E:$E,'Base SKUs'!K:K),"")</f>
        <v>7</v>
      </c>
      <c r="R1040" s="7">
        <f>IFERROR(_xlfn.XLOOKUP($A1040,'Base SKUs'!$E:$E,'Base SKUs'!S:S),"")</f>
        <v>5.5859999999999998E-3</v>
      </c>
      <c r="S1040" s="8">
        <f t="shared" si="82"/>
        <v>5.5022099999999998</v>
      </c>
      <c r="T1040" s="7">
        <f>IFERROR(_xlfn.XLOOKUP($A1040,'Base SKUs'!$E:$E,'Base SKUs'!R:R),"")</f>
        <v>1233.3979999999999</v>
      </c>
      <c r="U1040" s="15">
        <f t="shared" si="83"/>
        <v>6786</v>
      </c>
      <c r="V1040" t="str">
        <f t="shared" si="84"/>
        <v>Miami</v>
      </c>
    </row>
    <row r="1041" spans="1:22" x14ac:dyDescent="0.2">
      <c r="A1041" t="s">
        <v>1441</v>
      </c>
      <c r="B1041" s="5">
        <v>896</v>
      </c>
      <c r="C1041" s="5">
        <v>0</v>
      </c>
      <c r="D1041" s="5">
        <f t="shared" si="80"/>
        <v>896</v>
      </c>
      <c r="E1041" s="6">
        <v>11.9344</v>
      </c>
      <c r="F1041" s="6">
        <f t="shared" si="81"/>
        <v>10693.222400000001</v>
      </c>
      <c r="G1041" t="s">
        <v>24</v>
      </c>
      <c r="H1041">
        <v>9008</v>
      </c>
      <c r="I1041" t="str">
        <f>IFERROR(_xlfn.XLOOKUP($A1041,'Base SKUs'!$E:$E,'Base SKUs'!A:A),"")</f>
        <v>Ayous</v>
      </c>
      <c r="J1041" t="str">
        <f>IFERROR(_xlfn.XLOOKUP($A1041,'Base SKUs'!$E:$E,'Base SKUs'!B:B),"")</f>
        <v>Ayous 1x6</v>
      </c>
      <c r="K1041" t="str">
        <f>IFERROR(_xlfn.XLOOKUP($A1041,'Base SKUs'!$E:$E,'Base SKUs'!C:C),"")</f>
        <v>Short</v>
      </c>
      <c r="L1041" t="str">
        <f>IFERROR(_xlfn.XLOOKUP($A1041,'Base SKUs'!$E:$E,'Base SKUs'!D:D),"")</f>
        <v>Thermowood</v>
      </c>
      <c r="M1041" t="str">
        <f>IFERROR(_xlfn.XLOOKUP($A1041,'Base SKUs'!$E:$E,'Base SKUs'!G:G),"")</f>
        <v>Maximo Thermo Ayous</v>
      </c>
      <c r="N1041" t="str">
        <f>IFERROR(_xlfn.XLOOKUP($A1041,'Base SKUs'!$E:$E,'Base SKUs'!H:H),"")</f>
        <v>S4S E4E</v>
      </c>
      <c r="O1041" t="str">
        <f>IFERROR(_xlfn.XLOOKUP($A1041,'Base SKUs'!$E:$E,'Base SKUs'!I:I),"")</f>
        <v>-</v>
      </c>
      <c r="P1041" t="str">
        <f>IFERROR(_xlfn.XLOOKUP($A1041,'Base SKUs'!$E:$E,'Base SKUs'!J:J),"")</f>
        <v>1x6</v>
      </c>
      <c r="Q1041">
        <f>IFERROR(_xlfn.XLOOKUP($A1041,'Base SKUs'!$E:$E,'Base SKUs'!K:K),"")</f>
        <v>7</v>
      </c>
      <c r="R1041" s="7">
        <f>IFERROR(_xlfn.XLOOKUP($A1041,'Base SKUs'!$E:$E,'Base SKUs'!S:S),"")</f>
        <v>5.5859999999999998E-3</v>
      </c>
      <c r="S1041" s="8">
        <f t="shared" si="82"/>
        <v>5.0050559999999997</v>
      </c>
      <c r="T1041" s="7">
        <f>IFERROR(_xlfn.XLOOKUP($A1041,'Base SKUs'!$E:$E,'Base SKUs'!R:R),"")</f>
        <v>1233.3979999999999</v>
      </c>
      <c r="U1041" s="15">
        <f t="shared" si="83"/>
        <v>6173</v>
      </c>
      <c r="V1041" t="str">
        <f t="shared" si="84"/>
        <v>Texas</v>
      </c>
    </row>
    <row r="1042" spans="1:22" x14ac:dyDescent="0.2">
      <c r="A1042" t="s">
        <v>1441</v>
      </c>
      <c r="B1042" s="5">
        <v>1603</v>
      </c>
      <c r="C1042" s="5">
        <v>0</v>
      </c>
      <c r="D1042" s="5">
        <f t="shared" si="80"/>
        <v>1603</v>
      </c>
      <c r="E1042" s="6">
        <v>11.9396</v>
      </c>
      <c r="F1042" s="6">
        <f t="shared" si="81"/>
        <v>19139.178800000002</v>
      </c>
      <c r="G1042" t="s">
        <v>125</v>
      </c>
      <c r="H1042">
        <v>9009</v>
      </c>
      <c r="I1042" t="str">
        <f>IFERROR(_xlfn.XLOOKUP($A1042,'Base SKUs'!$E:$E,'Base SKUs'!A:A),"")</f>
        <v>Ayous</v>
      </c>
      <c r="J1042" t="str">
        <f>IFERROR(_xlfn.XLOOKUP($A1042,'Base SKUs'!$E:$E,'Base SKUs'!B:B),"")</f>
        <v>Ayous 1x6</v>
      </c>
      <c r="K1042" t="str">
        <f>IFERROR(_xlfn.XLOOKUP($A1042,'Base SKUs'!$E:$E,'Base SKUs'!C:C),"")</f>
        <v>Short</v>
      </c>
      <c r="L1042" t="str">
        <f>IFERROR(_xlfn.XLOOKUP($A1042,'Base SKUs'!$E:$E,'Base SKUs'!D:D),"")</f>
        <v>Thermowood</v>
      </c>
      <c r="M1042" t="str">
        <f>IFERROR(_xlfn.XLOOKUP($A1042,'Base SKUs'!$E:$E,'Base SKUs'!G:G),"")</f>
        <v>Maximo Thermo Ayous</v>
      </c>
      <c r="N1042" t="str">
        <f>IFERROR(_xlfn.XLOOKUP($A1042,'Base SKUs'!$E:$E,'Base SKUs'!H:H),"")</f>
        <v>S4S E4E</v>
      </c>
      <c r="O1042" t="str">
        <f>IFERROR(_xlfn.XLOOKUP($A1042,'Base SKUs'!$E:$E,'Base SKUs'!I:I),"")</f>
        <v>-</v>
      </c>
      <c r="P1042" t="str">
        <f>IFERROR(_xlfn.XLOOKUP($A1042,'Base SKUs'!$E:$E,'Base SKUs'!J:J),"")</f>
        <v>1x6</v>
      </c>
      <c r="Q1042">
        <f>IFERROR(_xlfn.XLOOKUP($A1042,'Base SKUs'!$E:$E,'Base SKUs'!K:K),"")</f>
        <v>7</v>
      </c>
      <c r="R1042" s="7">
        <f>IFERROR(_xlfn.XLOOKUP($A1042,'Base SKUs'!$E:$E,'Base SKUs'!S:S),"")</f>
        <v>5.5859999999999998E-3</v>
      </c>
      <c r="S1042" s="8">
        <f t="shared" si="82"/>
        <v>8.9543579999999992</v>
      </c>
      <c r="T1042" s="7">
        <f>IFERROR(_xlfn.XLOOKUP($A1042,'Base SKUs'!$E:$E,'Base SKUs'!R:R),"")</f>
        <v>1233.3979999999999</v>
      </c>
      <c r="U1042" s="15">
        <f t="shared" si="83"/>
        <v>11044</v>
      </c>
      <c r="V1042" t="str">
        <f t="shared" si="84"/>
        <v>Boston</v>
      </c>
    </row>
    <row r="1043" spans="1:22" x14ac:dyDescent="0.2">
      <c r="A1043" t="s">
        <v>1443</v>
      </c>
      <c r="B1043" s="5">
        <v>857</v>
      </c>
      <c r="C1043" s="5">
        <v>0</v>
      </c>
      <c r="D1043" s="5">
        <f t="shared" si="80"/>
        <v>857</v>
      </c>
      <c r="E1043" s="6">
        <v>13.645300000000001</v>
      </c>
      <c r="F1043" s="6">
        <f t="shared" si="81"/>
        <v>11694.0221</v>
      </c>
      <c r="G1043" t="s">
        <v>17</v>
      </c>
      <c r="H1043">
        <v>9007</v>
      </c>
      <c r="I1043" t="str">
        <f>IFERROR(_xlfn.XLOOKUP($A1043,'Base SKUs'!$E:$E,'Base SKUs'!A:A),"")</f>
        <v>Ayous</v>
      </c>
      <c r="J1043" t="str">
        <f>IFERROR(_xlfn.XLOOKUP($A1043,'Base SKUs'!$E:$E,'Base SKUs'!B:B),"")</f>
        <v>Ayous 1x6</v>
      </c>
      <c r="K1043" t="str">
        <f>IFERROR(_xlfn.XLOOKUP($A1043,'Base SKUs'!$E:$E,'Base SKUs'!C:C),"")</f>
        <v>Long</v>
      </c>
      <c r="L1043" t="str">
        <f>IFERROR(_xlfn.XLOOKUP($A1043,'Base SKUs'!$E:$E,'Base SKUs'!D:D),"")</f>
        <v>Thermowood</v>
      </c>
      <c r="M1043" t="str">
        <f>IFERROR(_xlfn.XLOOKUP($A1043,'Base SKUs'!$E:$E,'Base SKUs'!G:G),"")</f>
        <v>Maximo Thermo Ayous</v>
      </c>
      <c r="N1043" t="str">
        <f>IFERROR(_xlfn.XLOOKUP($A1043,'Base SKUs'!$E:$E,'Base SKUs'!H:H),"")</f>
        <v>S4S E4E</v>
      </c>
      <c r="O1043" t="str">
        <f>IFERROR(_xlfn.XLOOKUP($A1043,'Base SKUs'!$E:$E,'Base SKUs'!I:I),"")</f>
        <v>-</v>
      </c>
      <c r="P1043" t="str">
        <f>IFERROR(_xlfn.XLOOKUP($A1043,'Base SKUs'!$E:$E,'Base SKUs'!J:J),"")</f>
        <v>1x6</v>
      </c>
      <c r="Q1043">
        <f>IFERROR(_xlfn.XLOOKUP($A1043,'Base SKUs'!$E:$E,'Base SKUs'!K:K),"")</f>
        <v>8</v>
      </c>
      <c r="R1043" s="7">
        <f>IFERROR(_xlfn.XLOOKUP($A1043,'Base SKUs'!$E:$E,'Base SKUs'!S:S),"")</f>
        <v>6.3839999999999999E-3</v>
      </c>
      <c r="S1043" s="8">
        <f t="shared" si="82"/>
        <v>5.471088</v>
      </c>
      <c r="T1043" s="7">
        <f>IFERROR(_xlfn.XLOOKUP($A1043,'Base SKUs'!$E:$E,'Base SKUs'!R:R),"")</f>
        <v>1233.3979999999999</v>
      </c>
      <c r="U1043" s="15">
        <f t="shared" si="83"/>
        <v>6748</v>
      </c>
      <c r="V1043" t="str">
        <f t="shared" si="84"/>
        <v>Miami</v>
      </c>
    </row>
    <row r="1044" spans="1:22" x14ac:dyDescent="0.2">
      <c r="A1044" t="s">
        <v>1443</v>
      </c>
      <c r="B1044" s="5">
        <v>469</v>
      </c>
      <c r="C1044" s="5">
        <v>84</v>
      </c>
      <c r="D1044" s="5">
        <f t="shared" si="80"/>
        <v>385</v>
      </c>
      <c r="E1044" s="6">
        <v>13.6393</v>
      </c>
      <c r="F1044" s="6">
        <f t="shared" si="81"/>
        <v>6396.8317000000006</v>
      </c>
      <c r="G1044" t="s">
        <v>24</v>
      </c>
      <c r="H1044">
        <v>9008</v>
      </c>
      <c r="I1044" t="str">
        <f>IFERROR(_xlfn.XLOOKUP($A1044,'Base SKUs'!$E:$E,'Base SKUs'!A:A),"")</f>
        <v>Ayous</v>
      </c>
      <c r="J1044" t="str">
        <f>IFERROR(_xlfn.XLOOKUP($A1044,'Base SKUs'!$E:$E,'Base SKUs'!B:B),"")</f>
        <v>Ayous 1x6</v>
      </c>
      <c r="K1044" t="str">
        <f>IFERROR(_xlfn.XLOOKUP($A1044,'Base SKUs'!$E:$E,'Base SKUs'!C:C),"")</f>
        <v>Long</v>
      </c>
      <c r="L1044" t="str">
        <f>IFERROR(_xlfn.XLOOKUP($A1044,'Base SKUs'!$E:$E,'Base SKUs'!D:D),"")</f>
        <v>Thermowood</v>
      </c>
      <c r="M1044" t="str">
        <f>IFERROR(_xlfn.XLOOKUP($A1044,'Base SKUs'!$E:$E,'Base SKUs'!G:G),"")</f>
        <v>Maximo Thermo Ayous</v>
      </c>
      <c r="N1044" t="str">
        <f>IFERROR(_xlfn.XLOOKUP($A1044,'Base SKUs'!$E:$E,'Base SKUs'!H:H),"")</f>
        <v>S4S E4E</v>
      </c>
      <c r="O1044" t="str">
        <f>IFERROR(_xlfn.XLOOKUP($A1044,'Base SKUs'!$E:$E,'Base SKUs'!I:I),"")</f>
        <v>-</v>
      </c>
      <c r="P1044" t="str">
        <f>IFERROR(_xlfn.XLOOKUP($A1044,'Base SKUs'!$E:$E,'Base SKUs'!J:J),"")</f>
        <v>1x6</v>
      </c>
      <c r="Q1044">
        <f>IFERROR(_xlfn.XLOOKUP($A1044,'Base SKUs'!$E:$E,'Base SKUs'!K:K),"")</f>
        <v>8</v>
      </c>
      <c r="R1044" s="7">
        <f>IFERROR(_xlfn.XLOOKUP($A1044,'Base SKUs'!$E:$E,'Base SKUs'!S:S),"")</f>
        <v>6.3839999999999999E-3</v>
      </c>
      <c r="S1044" s="8">
        <f t="shared" si="82"/>
        <v>2.45784</v>
      </c>
      <c r="T1044" s="7">
        <f>IFERROR(_xlfn.XLOOKUP($A1044,'Base SKUs'!$E:$E,'Base SKUs'!R:R),"")</f>
        <v>1233.3979999999999</v>
      </c>
      <c r="U1044" s="15">
        <f t="shared" si="83"/>
        <v>3031</v>
      </c>
      <c r="V1044" t="str">
        <f t="shared" si="84"/>
        <v>Texas</v>
      </c>
    </row>
    <row r="1045" spans="1:22" x14ac:dyDescent="0.2">
      <c r="A1045" t="s">
        <v>1443</v>
      </c>
      <c r="B1045" s="5">
        <v>729</v>
      </c>
      <c r="C1045" s="5">
        <v>246</v>
      </c>
      <c r="D1045" s="5">
        <f t="shared" si="80"/>
        <v>483</v>
      </c>
      <c r="E1045" s="6">
        <v>13.645300000000001</v>
      </c>
      <c r="F1045" s="6">
        <f t="shared" si="81"/>
        <v>9947.4237000000012</v>
      </c>
      <c r="G1045" t="s">
        <v>125</v>
      </c>
      <c r="H1045">
        <v>9009</v>
      </c>
      <c r="I1045" t="str">
        <f>IFERROR(_xlfn.XLOOKUP($A1045,'Base SKUs'!$E:$E,'Base SKUs'!A:A),"")</f>
        <v>Ayous</v>
      </c>
      <c r="J1045" t="str">
        <f>IFERROR(_xlfn.XLOOKUP($A1045,'Base SKUs'!$E:$E,'Base SKUs'!B:B),"")</f>
        <v>Ayous 1x6</v>
      </c>
      <c r="K1045" t="str">
        <f>IFERROR(_xlfn.XLOOKUP($A1045,'Base SKUs'!$E:$E,'Base SKUs'!C:C),"")</f>
        <v>Long</v>
      </c>
      <c r="L1045" t="str">
        <f>IFERROR(_xlfn.XLOOKUP($A1045,'Base SKUs'!$E:$E,'Base SKUs'!D:D),"")</f>
        <v>Thermowood</v>
      </c>
      <c r="M1045" t="str">
        <f>IFERROR(_xlfn.XLOOKUP($A1045,'Base SKUs'!$E:$E,'Base SKUs'!G:G),"")</f>
        <v>Maximo Thermo Ayous</v>
      </c>
      <c r="N1045" t="str">
        <f>IFERROR(_xlfn.XLOOKUP($A1045,'Base SKUs'!$E:$E,'Base SKUs'!H:H),"")</f>
        <v>S4S E4E</v>
      </c>
      <c r="O1045" t="str">
        <f>IFERROR(_xlfn.XLOOKUP($A1045,'Base SKUs'!$E:$E,'Base SKUs'!I:I),"")</f>
        <v>-</v>
      </c>
      <c r="P1045" t="str">
        <f>IFERROR(_xlfn.XLOOKUP($A1045,'Base SKUs'!$E:$E,'Base SKUs'!J:J),"")</f>
        <v>1x6</v>
      </c>
      <c r="Q1045">
        <f>IFERROR(_xlfn.XLOOKUP($A1045,'Base SKUs'!$E:$E,'Base SKUs'!K:K),"")</f>
        <v>8</v>
      </c>
      <c r="R1045" s="7">
        <f>IFERROR(_xlfn.XLOOKUP($A1045,'Base SKUs'!$E:$E,'Base SKUs'!S:S),"")</f>
        <v>6.3839999999999999E-3</v>
      </c>
      <c r="S1045" s="8">
        <f t="shared" si="82"/>
        <v>3.083472</v>
      </c>
      <c r="T1045" s="7">
        <f>IFERROR(_xlfn.XLOOKUP($A1045,'Base SKUs'!$E:$E,'Base SKUs'!R:R),"")</f>
        <v>1233.3979999999999</v>
      </c>
      <c r="U1045" s="15">
        <f t="shared" si="83"/>
        <v>3803</v>
      </c>
      <c r="V1045" t="str">
        <f t="shared" si="84"/>
        <v>Boston</v>
      </c>
    </row>
    <row r="1046" spans="1:22" x14ac:dyDescent="0.2">
      <c r="A1046" t="s">
        <v>1445</v>
      </c>
      <c r="B1046" s="5">
        <v>351</v>
      </c>
      <c r="C1046" s="5">
        <v>0</v>
      </c>
      <c r="D1046" s="5">
        <f t="shared" si="80"/>
        <v>351</v>
      </c>
      <c r="E1046" s="6">
        <v>15.351000000000001</v>
      </c>
      <c r="F1046" s="6">
        <f t="shared" si="81"/>
        <v>5388.201</v>
      </c>
      <c r="G1046" t="s">
        <v>17</v>
      </c>
      <c r="H1046">
        <v>9007</v>
      </c>
      <c r="I1046" t="str">
        <f>IFERROR(_xlfn.XLOOKUP($A1046,'Base SKUs'!$E:$E,'Base SKUs'!A:A),"")</f>
        <v>Ayous</v>
      </c>
      <c r="J1046" t="str">
        <f>IFERROR(_xlfn.XLOOKUP($A1046,'Base SKUs'!$E:$E,'Base SKUs'!B:B),"")</f>
        <v>Ayous 1x6</v>
      </c>
      <c r="K1046" t="str">
        <f>IFERROR(_xlfn.XLOOKUP($A1046,'Base SKUs'!$E:$E,'Base SKUs'!C:C),"")</f>
        <v>Long</v>
      </c>
      <c r="L1046" t="str">
        <f>IFERROR(_xlfn.XLOOKUP($A1046,'Base SKUs'!$E:$E,'Base SKUs'!D:D),"")</f>
        <v>Thermowood</v>
      </c>
      <c r="M1046" t="str">
        <f>IFERROR(_xlfn.XLOOKUP($A1046,'Base SKUs'!$E:$E,'Base SKUs'!G:G),"")</f>
        <v>Maximo Thermo Ayous</v>
      </c>
      <c r="N1046" t="str">
        <f>IFERROR(_xlfn.XLOOKUP($A1046,'Base SKUs'!$E:$E,'Base SKUs'!H:H),"")</f>
        <v>S4S E4E</v>
      </c>
      <c r="O1046" t="str">
        <f>IFERROR(_xlfn.XLOOKUP($A1046,'Base SKUs'!$E:$E,'Base SKUs'!I:I),"")</f>
        <v>-</v>
      </c>
      <c r="P1046" t="str">
        <f>IFERROR(_xlfn.XLOOKUP($A1046,'Base SKUs'!$E:$E,'Base SKUs'!J:J),"")</f>
        <v>1x6</v>
      </c>
      <c r="Q1046">
        <f>IFERROR(_xlfn.XLOOKUP($A1046,'Base SKUs'!$E:$E,'Base SKUs'!K:K),"")</f>
        <v>9</v>
      </c>
      <c r="R1046" s="7">
        <f>IFERROR(_xlfn.XLOOKUP($A1046,'Base SKUs'!$E:$E,'Base SKUs'!S:S),"")</f>
        <v>7.182E-3</v>
      </c>
      <c r="S1046" s="8">
        <f t="shared" si="82"/>
        <v>2.5208819999999998</v>
      </c>
      <c r="T1046" s="7">
        <f>IFERROR(_xlfn.XLOOKUP($A1046,'Base SKUs'!$E:$E,'Base SKUs'!R:R),"")</f>
        <v>1233.3979999999999</v>
      </c>
      <c r="U1046" s="15">
        <f t="shared" si="83"/>
        <v>3109</v>
      </c>
      <c r="V1046" t="str">
        <f t="shared" si="84"/>
        <v>Miami</v>
      </c>
    </row>
    <row r="1047" spans="1:22" x14ac:dyDescent="0.2">
      <c r="A1047" t="s">
        <v>1445</v>
      </c>
      <c r="B1047" s="5">
        <v>518</v>
      </c>
      <c r="C1047" s="5">
        <v>0</v>
      </c>
      <c r="D1047" s="5">
        <f t="shared" si="80"/>
        <v>518</v>
      </c>
      <c r="E1047" s="6">
        <v>15.344799999999999</v>
      </c>
      <c r="F1047" s="6">
        <f t="shared" si="81"/>
        <v>7948.6063999999997</v>
      </c>
      <c r="G1047" t="s">
        <v>24</v>
      </c>
      <c r="H1047">
        <v>9008</v>
      </c>
      <c r="I1047" t="str">
        <f>IFERROR(_xlfn.XLOOKUP($A1047,'Base SKUs'!$E:$E,'Base SKUs'!A:A),"")</f>
        <v>Ayous</v>
      </c>
      <c r="J1047" t="str">
        <f>IFERROR(_xlfn.XLOOKUP($A1047,'Base SKUs'!$E:$E,'Base SKUs'!B:B),"")</f>
        <v>Ayous 1x6</v>
      </c>
      <c r="K1047" t="str">
        <f>IFERROR(_xlfn.XLOOKUP($A1047,'Base SKUs'!$E:$E,'Base SKUs'!C:C),"")</f>
        <v>Long</v>
      </c>
      <c r="L1047" t="str">
        <f>IFERROR(_xlfn.XLOOKUP($A1047,'Base SKUs'!$E:$E,'Base SKUs'!D:D),"")</f>
        <v>Thermowood</v>
      </c>
      <c r="M1047" t="str">
        <f>IFERROR(_xlfn.XLOOKUP($A1047,'Base SKUs'!$E:$E,'Base SKUs'!G:G),"")</f>
        <v>Maximo Thermo Ayous</v>
      </c>
      <c r="N1047" t="str">
        <f>IFERROR(_xlfn.XLOOKUP($A1047,'Base SKUs'!$E:$E,'Base SKUs'!H:H),"")</f>
        <v>S4S E4E</v>
      </c>
      <c r="O1047" t="str">
        <f>IFERROR(_xlfn.XLOOKUP($A1047,'Base SKUs'!$E:$E,'Base SKUs'!I:I),"")</f>
        <v>-</v>
      </c>
      <c r="P1047" t="str">
        <f>IFERROR(_xlfn.XLOOKUP($A1047,'Base SKUs'!$E:$E,'Base SKUs'!J:J),"")</f>
        <v>1x6</v>
      </c>
      <c r="Q1047">
        <f>IFERROR(_xlfn.XLOOKUP($A1047,'Base SKUs'!$E:$E,'Base SKUs'!K:K),"")</f>
        <v>9</v>
      </c>
      <c r="R1047" s="7">
        <f>IFERROR(_xlfn.XLOOKUP($A1047,'Base SKUs'!$E:$E,'Base SKUs'!S:S),"")</f>
        <v>7.182E-3</v>
      </c>
      <c r="S1047" s="8">
        <f t="shared" si="82"/>
        <v>3.7202760000000001</v>
      </c>
      <c r="T1047" s="7">
        <f>IFERROR(_xlfn.XLOOKUP($A1047,'Base SKUs'!$E:$E,'Base SKUs'!R:R),"")</f>
        <v>1233.3979999999999</v>
      </c>
      <c r="U1047" s="15">
        <f t="shared" si="83"/>
        <v>4589</v>
      </c>
      <c r="V1047" t="str">
        <f t="shared" si="84"/>
        <v>Texas</v>
      </c>
    </row>
    <row r="1048" spans="1:22" x14ac:dyDescent="0.2">
      <c r="A1048" t="s">
        <v>1445</v>
      </c>
      <c r="B1048" s="5">
        <v>766</v>
      </c>
      <c r="C1048" s="5">
        <v>0</v>
      </c>
      <c r="D1048" s="5">
        <f t="shared" si="80"/>
        <v>766</v>
      </c>
      <c r="E1048" s="6">
        <v>15.351000000000001</v>
      </c>
      <c r="F1048" s="6">
        <f t="shared" si="81"/>
        <v>11758.866</v>
      </c>
      <c r="G1048" t="s">
        <v>125</v>
      </c>
      <c r="H1048">
        <v>9009</v>
      </c>
      <c r="I1048" t="str">
        <f>IFERROR(_xlfn.XLOOKUP($A1048,'Base SKUs'!$E:$E,'Base SKUs'!A:A),"")</f>
        <v>Ayous</v>
      </c>
      <c r="J1048" t="str">
        <f>IFERROR(_xlfn.XLOOKUP($A1048,'Base SKUs'!$E:$E,'Base SKUs'!B:B),"")</f>
        <v>Ayous 1x6</v>
      </c>
      <c r="K1048" t="str">
        <f>IFERROR(_xlfn.XLOOKUP($A1048,'Base SKUs'!$E:$E,'Base SKUs'!C:C),"")</f>
        <v>Long</v>
      </c>
      <c r="L1048" t="str">
        <f>IFERROR(_xlfn.XLOOKUP($A1048,'Base SKUs'!$E:$E,'Base SKUs'!D:D),"")</f>
        <v>Thermowood</v>
      </c>
      <c r="M1048" t="str">
        <f>IFERROR(_xlfn.XLOOKUP($A1048,'Base SKUs'!$E:$E,'Base SKUs'!G:G),"")</f>
        <v>Maximo Thermo Ayous</v>
      </c>
      <c r="N1048" t="str">
        <f>IFERROR(_xlfn.XLOOKUP($A1048,'Base SKUs'!$E:$E,'Base SKUs'!H:H),"")</f>
        <v>S4S E4E</v>
      </c>
      <c r="O1048" t="str">
        <f>IFERROR(_xlfn.XLOOKUP($A1048,'Base SKUs'!$E:$E,'Base SKUs'!I:I),"")</f>
        <v>-</v>
      </c>
      <c r="P1048" t="str">
        <f>IFERROR(_xlfn.XLOOKUP($A1048,'Base SKUs'!$E:$E,'Base SKUs'!J:J),"")</f>
        <v>1x6</v>
      </c>
      <c r="Q1048">
        <f>IFERROR(_xlfn.XLOOKUP($A1048,'Base SKUs'!$E:$E,'Base SKUs'!K:K),"")</f>
        <v>9</v>
      </c>
      <c r="R1048" s="7">
        <f>IFERROR(_xlfn.XLOOKUP($A1048,'Base SKUs'!$E:$E,'Base SKUs'!S:S),"")</f>
        <v>7.182E-3</v>
      </c>
      <c r="S1048" s="8">
        <f t="shared" si="82"/>
        <v>5.5014120000000002</v>
      </c>
      <c r="T1048" s="7">
        <f>IFERROR(_xlfn.XLOOKUP($A1048,'Base SKUs'!$E:$E,'Base SKUs'!R:R),"")</f>
        <v>1233.3979999999999</v>
      </c>
      <c r="U1048" s="15">
        <f t="shared" si="83"/>
        <v>6785</v>
      </c>
      <c r="V1048" t="str">
        <f t="shared" si="84"/>
        <v>Boston</v>
      </c>
    </row>
    <row r="1049" spans="1:22" x14ac:dyDescent="0.2">
      <c r="A1049" t="s">
        <v>1447</v>
      </c>
      <c r="B1049" s="5">
        <v>376</v>
      </c>
      <c r="C1049" s="5">
        <v>119</v>
      </c>
      <c r="D1049" s="5">
        <f t="shared" si="80"/>
        <v>257</v>
      </c>
      <c r="E1049" s="6">
        <v>27.595199999999998</v>
      </c>
      <c r="F1049" s="6">
        <f t="shared" si="81"/>
        <v>10375.795199999999</v>
      </c>
      <c r="G1049" t="s">
        <v>17</v>
      </c>
      <c r="H1049">
        <v>9007</v>
      </c>
      <c r="I1049" t="str">
        <f>IFERROR(_xlfn.XLOOKUP($A1049,'Base SKUs'!$E:$E,'Base SKUs'!A:A),"")</f>
        <v>Ayous</v>
      </c>
      <c r="J1049" t="str">
        <f>IFERROR(_xlfn.XLOOKUP($A1049,'Base SKUs'!$E:$E,'Base SKUs'!B:B),"")</f>
        <v>Ayous 1x8</v>
      </c>
      <c r="K1049" t="str">
        <f>IFERROR(_xlfn.XLOOKUP($A1049,'Base SKUs'!$E:$E,'Base SKUs'!C:C),"")</f>
        <v>Long</v>
      </c>
      <c r="L1049" t="str">
        <f>IFERROR(_xlfn.XLOOKUP($A1049,'Base SKUs'!$E:$E,'Base SKUs'!D:D),"")</f>
        <v>Thermowood</v>
      </c>
      <c r="M1049" t="str">
        <f>IFERROR(_xlfn.XLOOKUP($A1049,'Base SKUs'!$E:$E,'Base SKUs'!G:G),"")</f>
        <v>Maximo Thermo Ayous</v>
      </c>
      <c r="N1049" t="str">
        <f>IFERROR(_xlfn.XLOOKUP($A1049,'Base SKUs'!$E:$E,'Base SKUs'!H:H),"")</f>
        <v>S4S E4E</v>
      </c>
      <c r="O1049" t="str">
        <f>IFERROR(_xlfn.XLOOKUP($A1049,'Base SKUs'!$E:$E,'Base SKUs'!I:I),"")</f>
        <v>-</v>
      </c>
      <c r="P1049" t="str">
        <f>IFERROR(_xlfn.XLOOKUP($A1049,'Base SKUs'!$E:$E,'Base SKUs'!J:J),"")</f>
        <v>1x8</v>
      </c>
      <c r="Q1049">
        <f>IFERROR(_xlfn.XLOOKUP($A1049,'Base SKUs'!$E:$E,'Base SKUs'!K:K),"")</f>
        <v>10</v>
      </c>
      <c r="R1049" s="7">
        <f>IFERROR(_xlfn.XLOOKUP($A1049,'Base SKUs'!$E:$E,'Base SKUs'!S:S),"")</f>
        <v>1.0799999999999999E-2</v>
      </c>
      <c r="S1049" s="8">
        <f t="shared" si="82"/>
        <v>2.7755999999999998</v>
      </c>
      <c r="T1049" s="7">
        <f>IFERROR(_xlfn.XLOOKUP($A1049,'Base SKUs'!$E:$E,'Base SKUs'!R:R),"")</f>
        <v>911.34400000000005</v>
      </c>
      <c r="U1049" s="15">
        <f t="shared" si="83"/>
        <v>2530</v>
      </c>
      <c r="V1049" t="str">
        <f t="shared" si="84"/>
        <v>Miami</v>
      </c>
    </row>
    <row r="1050" spans="1:22" x14ac:dyDescent="0.2">
      <c r="A1050" t="s">
        <v>1447</v>
      </c>
      <c r="B1050" s="5">
        <v>9</v>
      </c>
      <c r="C1050" s="5">
        <v>9</v>
      </c>
      <c r="D1050" s="5">
        <f t="shared" si="80"/>
        <v>0</v>
      </c>
      <c r="E1050" s="6">
        <v>27.595199999999998</v>
      </c>
      <c r="F1050" s="6">
        <f t="shared" si="81"/>
        <v>248.35679999999999</v>
      </c>
      <c r="G1050" t="s">
        <v>125</v>
      </c>
      <c r="H1050">
        <v>9009</v>
      </c>
      <c r="I1050" t="str">
        <f>IFERROR(_xlfn.XLOOKUP($A1050,'Base SKUs'!$E:$E,'Base SKUs'!A:A),"")</f>
        <v>Ayous</v>
      </c>
      <c r="J1050" t="str">
        <f>IFERROR(_xlfn.XLOOKUP($A1050,'Base SKUs'!$E:$E,'Base SKUs'!B:B),"")</f>
        <v>Ayous 1x8</v>
      </c>
      <c r="K1050" t="str">
        <f>IFERROR(_xlfn.XLOOKUP($A1050,'Base SKUs'!$E:$E,'Base SKUs'!C:C),"")</f>
        <v>Long</v>
      </c>
      <c r="L1050" t="str">
        <f>IFERROR(_xlfn.XLOOKUP($A1050,'Base SKUs'!$E:$E,'Base SKUs'!D:D),"")</f>
        <v>Thermowood</v>
      </c>
      <c r="M1050" t="str">
        <f>IFERROR(_xlfn.XLOOKUP($A1050,'Base SKUs'!$E:$E,'Base SKUs'!G:G),"")</f>
        <v>Maximo Thermo Ayous</v>
      </c>
      <c r="N1050" t="str">
        <f>IFERROR(_xlfn.XLOOKUP($A1050,'Base SKUs'!$E:$E,'Base SKUs'!H:H),"")</f>
        <v>S4S E4E</v>
      </c>
      <c r="O1050" t="str">
        <f>IFERROR(_xlfn.XLOOKUP($A1050,'Base SKUs'!$E:$E,'Base SKUs'!I:I),"")</f>
        <v>-</v>
      </c>
      <c r="P1050" t="str">
        <f>IFERROR(_xlfn.XLOOKUP($A1050,'Base SKUs'!$E:$E,'Base SKUs'!J:J),"")</f>
        <v>1x8</v>
      </c>
      <c r="Q1050">
        <f>IFERROR(_xlfn.XLOOKUP($A1050,'Base SKUs'!$E:$E,'Base SKUs'!K:K),"")</f>
        <v>10</v>
      </c>
      <c r="R1050" s="7">
        <f>IFERROR(_xlfn.XLOOKUP($A1050,'Base SKUs'!$E:$E,'Base SKUs'!S:S),"")</f>
        <v>1.0799999999999999E-2</v>
      </c>
      <c r="S1050" s="8">
        <f t="shared" si="82"/>
        <v>0</v>
      </c>
      <c r="T1050" s="7">
        <f>IFERROR(_xlfn.XLOOKUP($A1050,'Base SKUs'!$E:$E,'Base SKUs'!R:R),"")</f>
        <v>911.34400000000005</v>
      </c>
      <c r="U1050" s="15">
        <f t="shared" si="83"/>
        <v>0</v>
      </c>
      <c r="V1050" t="str">
        <f t="shared" si="84"/>
        <v>Boston</v>
      </c>
    </row>
    <row r="1051" spans="1:22" x14ac:dyDescent="0.2">
      <c r="A1051" t="s">
        <v>1449</v>
      </c>
      <c r="B1051" s="5">
        <v>183</v>
      </c>
      <c r="C1051" s="5">
        <v>63</v>
      </c>
      <c r="D1051" s="5">
        <f t="shared" si="80"/>
        <v>120</v>
      </c>
      <c r="E1051" s="6">
        <v>30.354700000000001</v>
      </c>
      <c r="F1051" s="6">
        <f t="shared" si="81"/>
        <v>5554.9101000000001</v>
      </c>
      <c r="G1051" t="s">
        <v>17</v>
      </c>
      <c r="H1051">
        <v>9007</v>
      </c>
      <c r="I1051" t="str">
        <f>IFERROR(_xlfn.XLOOKUP($A1051,'Base SKUs'!$E:$E,'Base SKUs'!A:A),"")</f>
        <v>Ayous</v>
      </c>
      <c r="J1051" t="str">
        <f>IFERROR(_xlfn.XLOOKUP($A1051,'Base SKUs'!$E:$E,'Base SKUs'!B:B),"")</f>
        <v>Ayous 1x8</v>
      </c>
      <c r="K1051" t="str">
        <f>IFERROR(_xlfn.XLOOKUP($A1051,'Base SKUs'!$E:$E,'Base SKUs'!C:C),"")</f>
        <v>Long</v>
      </c>
      <c r="L1051" t="str">
        <f>IFERROR(_xlfn.XLOOKUP($A1051,'Base SKUs'!$E:$E,'Base SKUs'!D:D),"")</f>
        <v>Thermowood</v>
      </c>
      <c r="M1051" t="str">
        <f>IFERROR(_xlfn.XLOOKUP($A1051,'Base SKUs'!$E:$E,'Base SKUs'!G:G),"")</f>
        <v>Maximo Thermo Ayous</v>
      </c>
      <c r="N1051" t="str">
        <f>IFERROR(_xlfn.XLOOKUP($A1051,'Base SKUs'!$E:$E,'Base SKUs'!H:H),"")</f>
        <v>S4S E4E</v>
      </c>
      <c r="O1051" t="str">
        <f>IFERROR(_xlfn.XLOOKUP($A1051,'Base SKUs'!$E:$E,'Base SKUs'!I:I),"")</f>
        <v>-</v>
      </c>
      <c r="P1051" t="str">
        <f>IFERROR(_xlfn.XLOOKUP($A1051,'Base SKUs'!$E:$E,'Base SKUs'!J:J),"")</f>
        <v>1x8</v>
      </c>
      <c r="Q1051">
        <f>IFERROR(_xlfn.XLOOKUP($A1051,'Base SKUs'!$E:$E,'Base SKUs'!K:K),"")</f>
        <v>11</v>
      </c>
      <c r="R1051" s="7">
        <f>IFERROR(_xlfn.XLOOKUP($A1051,'Base SKUs'!$E:$E,'Base SKUs'!S:S),"")</f>
        <v>1.188E-2</v>
      </c>
      <c r="S1051" s="8">
        <f t="shared" si="82"/>
        <v>1.4256</v>
      </c>
      <c r="T1051" s="7">
        <f>IFERROR(_xlfn.XLOOKUP($A1051,'Base SKUs'!$E:$E,'Base SKUs'!R:R),"")</f>
        <v>911.34400000000005</v>
      </c>
      <c r="U1051" s="15">
        <f t="shared" si="83"/>
        <v>1299</v>
      </c>
      <c r="V1051" t="str">
        <f t="shared" si="84"/>
        <v>Miami</v>
      </c>
    </row>
    <row r="1052" spans="1:22" x14ac:dyDescent="0.2">
      <c r="A1052" t="s">
        <v>1449</v>
      </c>
      <c r="B1052" s="5">
        <v>82</v>
      </c>
      <c r="C1052" s="5">
        <v>82</v>
      </c>
      <c r="D1052" s="5">
        <f t="shared" si="80"/>
        <v>0</v>
      </c>
      <c r="E1052" s="6">
        <v>30.354700000000001</v>
      </c>
      <c r="F1052" s="6">
        <f t="shared" si="81"/>
        <v>2489.0853999999999</v>
      </c>
      <c r="G1052" t="s">
        <v>125</v>
      </c>
      <c r="H1052">
        <v>9009</v>
      </c>
      <c r="I1052" t="str">
        <f>IFERROR(_xlfn.XLOOKUP($A1052,'Base SKUs'!$E:$E,'Base SKUs'!A:A),"")</f>
        <v>Ayous</v>
      </c>
      <c r="J1052" t="str">
        <f>IFERROR(_xlfn.XLOOKUP($A1052,'Base SKUs'!$E:$E,'Base SKUs'!B:B),"")</f>
        <v>Ayous 1x8</v>
      </c>
      <c r="K1052" t="str">
        <f>IFERROR(_xlfn.XLOOKUP($A1052,'Base SKUs'!$E:$E,'Base SKUs'!C:C),"")</f>
        <v>Long</v>
      </c>
      <c r="L1052" t="str">
        <f>IFERROR(_xlfn.XLOOKUP($A1052,'Base SKUs'!$E:$E,'Base SKUs'!D:D),"")</f>
        <v>Thermowood</v>
      </c>
      <c r="M1052" t="str">
        <f>IFERROR(_xlfn.XLOOKUP($A1052,'Base SKUs'!$E:$E,'Base SKUs'!G:G),"")</f>
        <v>Maximo Thermo Ayous</v>
      </c>
      <c r="N1052" t="str">
        <f>IFERROR(_xlfn.XLOOKUP($A1052,'Base SKUs'!$E:$E,'Base SKUs'!H:H),"")</f>
        <v>S4S E4E</v>
      </c>
      <c r="O1052" t="str">
        <f>IFERROR(_xlfn.XLOOKUP($A1052,'Base SKUs'!$E:$E,'Base SKUs'!I:I),"")</f>
        <v>-</v>
      </c>
      <c r="P1052" t="str">
        <f>IFERROR(_xlfn.XLOOKUP($A1052,'Base SKUs'!$E:$E,'Base SKUs'!J:J),"")</f>
        <v>1x8</v>
      </c>
      <c r="Q1052">
        <f>IFERROR(_xlfn.XLOOKUP($A1052,'Base SKUs'!$E:$E,'Base SKUs'!K:K),"")</f>
        <v>11</v>
      </c>
      <c r="R1052" s="7">
        <f>IFERROR(_xlfn.XLOOKUP($A1052,'Base SKUs'!$E:$E,'Base SKUs'!S:S),"")</f>
        <v>1.188E-2</v>
      </c>
      <c r="S1052" s="8">
        <f t="shared" si="82"/>
        <v>0</v>
      </c>
      <c r="T1052" s="7">
        <f>IFERROR(_xlfn.XLOOKUP($A1052,'Base SKUs'!$E:$E,'Base SKUs'!R:R),"")</f>
        <v>911.34400000000005</v>
      </c>
      <c r="U1052" s="15">
        <f t="shared" si="83"/>
        <v>0</v>
      </c>
      <c r="V1052" t="str">
        <f t="shared" si="84"/>
        <v>Boston</v>
      </c>
    </row>
    <row r="1053" spans="1:22" x14ac:dyDescent="0.2">
      <c r="A1053" t="s">
        <v>1449</v>
      </c>
      <c r="B1053" s="5">
        <v>343</v>
      </c>
      <c r="C1053" s="5">
        <v>0</v>
      </c>
      <c r="D1053" s="5">
        <f t="shared" si="80"/>
        <v>343</v>
      </c>
      <c r="E1053" s="6">
        <v>39.573599999999999</v>
      </c>
      <c r="F1053" s="6">
        <f t="shared" si="81"/>
        <v>13573.7448</v>
      </c>
      <c r="G1053" t="s">
        <v>454</v>
      </c>
      <c r="H1053">
        <v>9013</v>
      </c>
      <c r="I1053" t="str">
        <f>IFERROR(_xlfn.XLOOKUP($A1053,'Base SKUs'!$E:$E,'Base SKUs'!A:A),"")</f>
        <v>Ayous</v>
      </c>
      <c r="J1053" t="str">
        <f>IFERROR(_xlfn.XLOOKUP($A1053,'Base SKUs'!$E:$E,'Base SKUs'!B:B),"")</f>
        <v>Ayous 1x8</v>
      </c>
      <c r="K1053" t="str">
        <f>IFERROR(_xlfn.XLOOKUP($A1053,'Base SKUs'!$E:$E,'Base SKUs'!C:C),"")</f>
        <v>Long</v>
      </c>
      <c r="L1053" t="str">
        <f>IFERROR(_xlfn.XLOOKUP($A1053,'Base SKUs'!$E:$E,'Base SKUs'!D:D),"")</f>
        <v>Thermowood</v>
      </c>
      <c r="M1053" t="str">
        <f>IFERROR(_xlfn.XLOOKUP($A1053,'Base SKUs'!$E:$E,'Base SKUs'!G:G),"")</f>
        <v>Maximo Thermo Ayous</v>
      </c>
      <c r="N1053" t="str">
        <f>IFERROR(_xlfn.XLOOKUP($A1053,'Base SKUs'!$E:$E,'Base SKUs'!H:H),"")</f>
        <v>S4S E4E</v>
      </c>
      <c r="O1053" t="str">
        <f>IFERROR(_xlfn.XLOOKUP($A1053,'Base SKUs'!$E:$E,'Base SKUs'!I:I),"")</f>
        <v>-</v>
      </c>
      <c r="P1053" t="str">
        <f>IFERROR(_xlfn.XLOOKUP($A1053,'Base SKUs'!$E:$E,'Base SKUs'!J:J),"")</f>
        <v>1x8</v>
      </c>
      <c r="Q1053">
        <f>IFERROR(_xlfn.XLOOKUP($A1053,'Base SKUs'!$E:$E,'Base SKUs'!K:K),"")</f>
        <v>11</v>
      </c>
      <c r="R1053" s="7">
        <f>IFERROR(_xlfn.XLOOKUP($A1053,'Base SKUs'!$E:$E,'Base SKUs'!S:S),"")</f>
        <v>1.188E-2</v>
      </c>
      <c r="S1053" s="8">
        <f t="shared" si="82"/>
        <v>4.07484</v>
      </c>
      <c r="T1053" s="7">
        <f>IFERROR(_xlfn.XLOOKUP($A1053,'Base SKUs'!$E:$E,'Base SKUs'!R:R),"")</f>
        <v>911.34400000000005</v>
      </c>
      <c r="U1053" s="15">
        <f t="shared" si="83"/>
        <v>3714</v>
      </c>
      <c r="V1053" t="str">
        <f t="shared" si="84"/>
        <v>BS Riverside</v>
      </c>
    </row>
    <row r="1054" spans="1:22" x14ac:dyDescent="0.2">
      <c r="A1054" t="s">
        <v>1451</v>
      </c>
      <c r="B1054" s="5">
        <v>26</v>
      </c>
      <c r="C1054" s="5">
        <v>0</v>
      </c>
      <c r="D1054" s="5">
        <f t="shared" si="80"/>
        <v>26</v>
      </c>
      <c r="E1054" s="6">
        <v>35.873699999999999</v>
      </c>
      <c r="F1054" s="6">
        <f t="shared" si="81"/>
        <v>932.71619999999996</v>
      </c>
      <c r="G1054" t="s">
        <v>17</v>
      </c>
      <c r="H1054">
        <v>9007</v>
      </c>
      <c r="I1054" t="str">
        <f>IFERROR(_xlfn.XLOOKUP($A1054,'Base SKUs'!$E:$E,'Base SKUs'!A:A),"")</f>
        <v>Ayous</v>
      </c>
      <c r="J1054" t="str">
        <f>IFERROR(_xlfn.XLOOKUP($A1054,'Base SKUs'!$E:$E,'Base SKUs'!B:B),"")</f>
        <v>Ayous 1x8</v>
      </c>
      <c r="K1054" t="str">
        <f>IFERROR(_xlfn.XLOOKUP($A1054,'Base SKUs'!$E:$E,'Base SKUs'!C:C),"")</f>
        <v>Long</v>
      </c>
      <c r="L1054" t="str">
        <f>IFERROR(_xlfn.XLOOKUP($A1054,'Base SKUs'!$E:$E,'Base SKUs'!D:D),"")</f>
        <v>Thermowood</v>
      </c>
      <c r="M1054" t="str">
        <f>IFERROR(_xlfn.XLOOKUP($A1054,'Base SKUs'!$E:$E,'Base SKUs'!G:G),"")</f>
        <v>Maximo Thermo Ayous</v>
      </c>
      <c r="N1054" t="str">
        <f>IFERROR(_xlfn.XLOOKUP($A1054,'Base SKUs'!$E:$E,'Base SKUs'!H:H),"")</f>
        <v>S4S E4E</v>
      </c>
      <c r="O1054" t="str">
        <f>IFERROR(_xlfn.XLOOKUP($A1054,'Base SKUs'!$E:$E,'Base SKUs'!I:I),"")</f>
        <v>-</v>
      </c>
      <c r="P1054" t="str">
        <f>IFERROR(_xlfn.XLOOKUP($A1054,'Base SKUs'!$E:$E,'Base SKUs'!J:J),"")</f>
        <v>1x8</v>
      </c>
      <c r="Q1054">
        <f>IFERROR(_xlfn.XLOOKUP($A1054,'Base SKUs'!$E:$E,'Base SKUs'!K:K),"")</f>
        <v>13</v>
      </c>
      <c r="R1054" s="7">
        <f>IFERROR(_xlfn.XLOOKUP($A1054,'Base SKUs'!$E:$E,'Base SKUs'!S:S),"")</f>
        <v>1.4039999999999999E-2</v>
      </c>
      <c r="S1054" s="8">
        <f t="shared" si="82"/>
        <v>0.36503999999999998</v>
      </c>
      <c r="T1054" s="7">
        <f>IFERROR(_xlfn.XLOOKUP($A1054,'Base SKUs'!$E:$E,'Base SKUs'!R:R),"")</f>
        <v>911.34400000000005</v>
      </c>
      <c r="U1054" s="15">
        <f t="shared" si="83"/>
        <v>333</v>
      </c>
      <c r="V1054" t="str">
        <f t="shared" si="84"/>
        <v>Miami</v>
      </c>
    </row>
    <row r="1055" spans="1:22" x14ac:dyDescent="0.2">
      <c r="A1055" t="s">
        <v>1453</v>
      </c>
      <c r="B1055" s="5">
        <v>59</v>
      </c>
      <c r="C1055" s="5">
        <v>32</v>
      </c>
      <c r="D1055" s="5">
        <f t="shared" si="80"/>
        <v>27</v>
      </c>
      <c r="E1055" s="6">
        <v>11.038</v>
      </c>
      <c r="F1055" s="6">
        <f t="shared" si="81"/>
        <v>651.24199999999996</v>
      </c>
      <c r="G1055" t="s">
        <v>17</v>
      </c>
      <c r="H1055">
        <v>9007</v>
      </c>
      <c r="I1055" t="str">
        <f>IFERROR(_xlfn.XLOOKUP($A1055,'Base SKUs'!$E:$E,'Base SKUs'!A:A),"")</f>
        <v>Ayous</v>
      </c>
      <c r="J1055" t="str">
        <f>IFERROR(_xlfn.XLOOKUP($A1055,'Base SKUs'!$E:$E,'Base SKUs'!B:B),"")</f>
        <v>Ayous 1x8</v>
      </c>
      <c r="K1055" t="str">
        <f>IFERROR(_xlfn.XLOOKUP($A1055,'Base SKUs'!$E:$E,'Base SKUs'!C:C),"")</f>
        <v>Short</v>
      </c>
      <c r="L1055" t="str">
        <f>IFERROR(_xlfn.XLOOKUP($A1055,'Base SKUs'!$E:$E,'Base SKUs'!D:D),"")</f>
        <v>Thermowood</v>
      </c>
      <c r="M1055" t="str">
        <f>IFERROR(_xlfn.XLOOKUP($A1055,'Base SKUs'!$E:$E,'Base SKUs'!G:G),"")</f>
        <v>Maximo Thermo Ayous</v>
      </c>
      <c r="N1055" t="str">
        <f>IFERROR(_xlfn.XLOOKUP($A1055,'Base SKUs'!$E:$E,'Base SKUs'!H:H),"")</f>
        <v>S4S E4E</v>
      </c>
      <c r="O1055" t="str">
        <f>IFERROR(_xlfn.XLOOKUP($A1055,'Base SKUs'!$E:$E,'Base SKUs'!I:I),"")</f>
        <v>-</v>
      </c>
      <c r="P1055" t="str">
        <f>IFERROR(_xlfn.XLOOKUP($A1055,'Base SKUs'!$E:$E,'Base SKUs'!J:J),"")</f>
        <v>1x8</v>
      </c>
      <c r="Q1055">
        <f>IFERROR(_xlfn.XLOOKUP($A1055,'Base SKUs'!$E:$E,'Base SKUs'!K:K),"")</f>
        <v>4</v>
      </c>
      <c r="R1055" s="7">
        <f>IFERROR(_xlfn.XLOOKUP($A1055,'Base SKUs'!$E:$E,'Base SKUs'!S:S),"")</f>
        <v>4.3200000000000001E-3</v>
      </c>
      <c r="S1055" s="8">
        <f t="shared" si="82"/>
        <v>0.11664000000000001</v>
      </c>
      <c r="T1055" s="7">
        <f>IFERROR(_xlfn.XLOOKUP($A1055,'Base SKUs'!$E:$E,'Base SKUs'!R:R),"")</f>
        <v>911.34400000000005</v>
      </c>
      <c r="U1055" s="15">
        <f t="shared" si="83"/>
        <v>106</v>
      </c>
      <c r="V1055" t="str">
        <f t="shared" si="84"/>
        <v>Miami</v>
      </c>
    </row>
    <row r="1056" spans="1:22" x14ac:dyDescent="0.2">
      <c r="A1056" t="s">
        <v>1455</v>
      </c>
      <c r="B1056" s="5">
        <v>42</v>
      </c>
      <c r="C1056" s="5">
        <v>25</v>
      </c>
      <c r="D1056" s="5">
        <f t="shared" si="80"/>
        <v>17</v>
      </c>
      <c r="E1056" s="6">
        <v>13.797599999999999</v>
      </c>
      <c r="F1056" s="6">
        <f t="shared" si="81"/>
        <v>579.49919999999997</v>
      </c>
      <c r="G1056" t="s">
        <v>17</v>
      </c>
      <c r="H1056">
        <v>9007</v>
      </c>
      <c r="I1056" t="str">
        <f>IFERROR(_xlfn.XLOOKUP($A1056,'Base SKUs'!$E:$E,'Base SKUs'!A:A),"")</f>
        <v>Ayous</v>
      </c>
      <c r="J1056" t="str">
        <f>IFERROR(_xlfn.XLOOKUP($A1056,'Base SKUs'!$E:$E,'Base SKUs'!B:B),"")</f>
        <v>Ayous 1x8</v>
      </c>
      <c r="K1056" t="str">
        <f>IFERROR(_xlfn.XLOOKUP($A1056,'Base SKUs'!$E:$E,'Base SKUs'!C:C),"")</f>
        <v>Short</v>
      </c>
      <c r="L1056" t="str">
        <f>IFERROR(_xlfn.XLOOKUP($A1056,'Base SKUs'!$E:$E,'Base SKUs'!D:D),"")</f>
        <v>Thermowood</v>
      </c>
      <c r="M1056" t="str">
        <f>IFERROR(_xlfn.XLOOKUP($A1056,'Base SKUs'!$E:$E,'Base SKUs'!G:G),"")</f>
        <v>Maximo Thermo Ayous</v>
      </c>
      <c r="N1056" t="str">
        <f>IFERROR(_xlfn.XLOOKUP($A1056,'Base SKUs'!$E:$E,'Base SKUs'!H:H),"")</f>
        <v>S4S E4E</v>
      </c>
      <c r="O1056" t="str">
        <f>IFERROR(_xlfn.XLOOKUP($A1056,'Base SKUs'!$E:$E,'Base SKUs'!I:I),"")</f>
        <v>-</v>
      </c>
      <c r="P1056" t="str">
        <f>IFERROR(_xlfn.XLOOKUP($A1056,'Base SKUs'!$E:$E,'Base SKUs'!J:J),"")</f>
        <v>1x8</v>
      </c>
      <c r="Q1056">
        <f>IFERROR(_xlfn.XLOOKUP($A1056,'Base SKUs'!$E:$E,'Base SKUs'!K:K),"")</f>
        <v>5</v>
      </c>
      <c r="R1056" s="7">
        <f>IFERROR(_xlfn.XLOOKUP($A1056,'Base SKUs'!$E:$E,'Base SKUs'!S:S),"")</f>
        <v>5.3999999999999994E-3</v>
      </c>
      <c r="S1056" s="8">
        <f t="shared" si="82"/>
        <v>9.1799999999999993E-2</v>
      </c>
      <c r="T1056" s="7">
        <f>IFERROR(_xlfn.XLOOKUP($A1056,'Base SKUs'!$E:$E,'Base SKUs'!R:R),"")</f>
        <v>911.34400000000005</v>
      </c>
      <c r="U1056" s="15">
        <f t="shared" si="83"/>
        <v>84</v>
      </c>
      <c r="V1056" t="str">
        <f t="shared" si="84"/>
        <v>Miami</v>
      </c>
    </row>
    <row r="1057" spans="1:22" x14ac:dyDescent="0.2">
      <c r="A1057" t="s">
        <v>1457</v>
      </c>
      <c r="B1057" s="5">
        <v>5</v>
      </c>
      <c r="C1057" s="5">
        <v>0</v>
      </c>
      <c r="D1057" s="5">
        <f t="shared" si="80"/>
        <v>5</v>
      </c>
      <c r="E1057" s="6">
        <v>16.557099999999998</v>
      </c>
      <c r="F1057" s="6">
        <f t="shared" si="81"/>
        <v>82.785499999999985</v>
      </c>
      <c r="G1057" t="s">
        <v>17</v>
      </c>
      <c r="H1057">
        <v>9007</v>
      </c>
      <c r="I1057" t="str">
        <f>IFERROR(_xlfn.XLOOKUP($A1057,'Base SKUs'!$E:$E,'Base SKUs'!A:A),"")</f>
        <v>Ayous</v>
      </c>
      <c r="J1057" t="str">
        <f>IFERROR(_xlfn.XLOOKUP($A1057,'Base SKUs'!$E:$E,'Base SKUs'!B:B),"")</f>
        <v>Ayous 1x8</v>
      </c>
      <c r="K1057" t="str">
        <f>IFERROR(_xlfn.XLOOKUP($A1057,'Base SKUs'!$E:$E,'Base SKUs'!C:C),"")</f>
        <v>Short</v>
      </c>
      <c r="L1057" t="str">
        <f>IFERROR(_xlfn.XLOOKUP($A1057,'Base SKUs'!$E:$E,'Base SKUs'!D:D),"")</f>
        <v>Thermowood</v>
      </c>
      <c r="M1057" t="str">
        <f>IFERROR(_xlfn.XLOOKUP($A1057,'Base SKUs'!$E:$E,'Base SKUs'!G:G),"")</f>
        <v>Maximo Thermo Ayous</v>
      </c>
      <c r="N1057" t="str">
        <f>IFERROR(_xlfn.XLOOKUP($A1057,'Base SKUs'!$E:$E,'Base SKUs'!H:H),"")</f>
        <v>S4S E4E</v>
      </c>
      <c r="O1057" t="str">
        <f>IFERROR(_xlfn.XLOOKUP($A1057,'Base SKUs'!$E:$E,'Base SKUs'!I:I),"")</f>
        <v>-</v>
      </c>
      <c r="P1057" t="str">
        <f>IFERROR(_xlfn.XLOOKUP($A1057,'Base SKUs'!$E:$E,'Base SKUs'!J:J),"")</f>
        <v>1x8</v>
      </c>
      <c r="Q1057">
        <f>IFERROR(_xlfn.XLOOKUP($A1057,'Base SKUs'!$E:$E,'Base SKUs'!K:K),"")</f>
        <v>6</v>
      </c>
      <c r="R1057" s="7">
        <f>IFERROR(_xlfn.XLOOKUP($A1057,'Base SKUs'!$E:$E,'Base SKUs'!S:S),"")</f>
        <v>6.4799999999999996E-3</v>
      </c>
      <c r="S1057" s="8">
        <f t="shared" si="82"/>
        <v>3.2399999999999998E-2</v>
      </c>
      <c r="T1057" s="7">
        <f>IFERROR(_xlfn.XLOOKUP($A1057,'Base SKUs'!$E:$E,'Base SKUs'!R:R),"")</f>
        <v>911.34400000000005</v>
      </c>
      <c r="U1057" s="15">
        <f t="shared" si="83"/>
        <v>30</v>
      </c>
      <c r="V1057" t="str">
        <f t="shared" si="84"/>
        <v>Miami</v>
      </c>
    </row>
    <row r="1058" spans="1:22" x14ac:dyDescent="0.2">
      <c r="A1058" t="s">
        <v>1457</v>
      </c>
      <c r="B1058" s="5">
        <v>231</v>
      </c>
      <c r="C1058" s="5">
        <v>0</v>
      </c>
      <c r="D1058" s="5">
        <f t="shared" si="80"/>
        <v>231</v>
      </c>
      <c r="E1058" s="6">
        <v>21.193200000000001</v>
      </c>
      <c r="F1058" s="6">
        <f t="shared" si="81"/>
        <v>4895.6292000000003</v>
      </c>
      <c r="G1058" t="s">
        <v>454</v>
      </c>
      <c r="H1058">
        <v>9013</v>
      </c>
      <c r="I1058" t="str">
        <f>IFERROR(_xlfn.XLOOKUP($A1058,'Base SKUs'!$E:$E,'Base SKUs'!A:A),"")</f>
        <v>Ayous</v>
      </c>
      <c r="J1058" t="str">
        <f>IFERROR(_xlfn.XLOOKUP($A1058,'Base SKUs'!$E:$E,'Base SKUs'!B:B),"")</f>
        <v>Ayous 1x8</v>
      </c>
      <c r="K1058" t="str">
        <f>IFERROR(_xlfn.XLOOKUP($A1058,'Base SKUs'!$E:$E,'Base SKUs'!C:C),"")</f>
        <v>Short</v>
      </c>
      <c r="L1058" t="str">
        <f>IFERROR(_xlfn.XLOOKUP($A1058,'Base SKUs'!$E:$E,'Base SKUs'!D:D),"")</f>
        <v>Thermowood</v>
      </c>
      <c r="M1058" t="str">
        <f>IFERROR(_xlfn.XLOOKUP($A1058,'Base SKUs'!$E:$E,'Base SKUs'!G:G),"")</f>
        <v>Maximo Thermo Ayous</v>
      </c>
      <c r="N1058" t="str">
        <f>IFERROR(_xlfn.XLOOKUP($A1058,'Base SKUs'!$E:$E,'Base SKUs'!H:H),"")</f>
        <v>S4S E4E</v>
      </c>
      <c r="O1058" t="str">
        <f>IFERROR(_xlfn.XLOOKUP($A1058,'Base SKUs'!$E:$E,'Base SKUs'!I:I),"")</f>
        <v>-</v>
      </c>
      <c r="P1058" t="str">
        <f>IFERROR(_xlfn.XLOOKUP($A1058,'Base SKUs'!$E:$E,'Base SKUs'!J:J),"")</f>
        <v>1x8</v>
      </c>
      <c r="Q1058">
        <f>IFERROR(_xlfn.XLOOKUP($A1058,'Base SKUs'!$E:$E,'Base SKUs'!K:K),"")</f>
        <v>6</v>
      </c>
      <c r="R1058" s="7">
        <f>IFERROR(_xlfn.XLOOKUP($A1058,'Base SKUs'!$E:$E,'Base SKUs'!S:S),"")</f>
        <v>6.4799999999999996E-3</v>
      </c>
      <c r="S1058" s="8">
        <f t="shared" si="82"/>
        <v>1.49688</v>
      </c>
      <c r="T1058" s="7">
        <f>IFERROR(_xlfn.XLOOKUP($A1058,'Base SKUs'!$E:$E,'Base SKUs'!R:R),"")</f>
        <v>911.34400000000005</v>
      </c>
      <c r="U1058" s="15">
        <f t="shared" si="83"/>
        <v>1364</v>
      </c>
      <c r="V1058" t="str">
        <f t="shared" si="84"/>
        <v>BS Riverside</v>
      </c>
    </row>
    <row r="1059" spans="1:22" x14ac:dyDescent="0.2">
      <c r="A1059" t="s">
        <v>1459</v>
      </c>
      <c r="B1059" s="5">
        <v>231</v>
      </c>
      <c r="C1059" s="5">
        <v>0</v>
      </c>
      <c r="D1059" s="5">
        <f t="shared" si="80"/>
        <v>231</v>
      </c>
      <c r="E1059" s="6">
        <v>25.511500000000002</v>
      </c>
      <c r="F1059" s="6">
        <f t="shared" si="81"/>
        <v>5893.1565000000001</v>
      </c>
      <c r="G1059" t="s">
        <v>454</v>
      </c>
      <c r="H1059">
        <v>9013</v>
      </c>
      <c r="I1059" t="str">
        <f>IFERROR(_xlfn.XLOOKUP($A1059,'Base SKUs'!$E:$E,'Base SKUs'!A:A),"")</f>
        <v>Ayous</v>
      </c>
      <c r="J1059" t="str">
        <f>IFERROR(_xlfn.XLOOKUP($A1059,'Base SKUs'!$E:$E,'Base SKUs'!B:B),"")</f>
        <v>Ayous 1x8</v>
      </c>
      <c r="K1059" t="str">
        <f>IFERROR(_xlfn.XLOOKUP($A1059,'Base SKUs'!$E:$E,'Base SKUs'!C:C),"")</f>
        <v>Short</v>
      </c>
      <c r="L1059" t="str">
        <f>IFERROR(_xlfn.XLOOKUP($A1059,'Base SKUs'!$E:$E,'Base SKUs'!D:D),"")</f>
        <v>Thermowood</v>
      </c>
      <c r="M1059" t="str">
        <f>IFERROR(_xlfn.XLOOKUP($A1059,'Base SKUs'!$E:$E,'Base SKUs'!G:G),"")</f>
        <v>Maximo Thermo Ayous</v>
      </c>
      <c r="N1059" t="str">
        <f>IFERROR(_xlfn.XLOOKUP($A1059,'Base SKUs'!$E:$E,'Base SKUs'!H:H),"")</f>
        <v>S4S E4E</v>
      </c>
      <c r="O1059" t="str">
        <f>IFERROR(_xlfn.XLOOKUP($A1059,'Base SKUs'!$E:$E,'Base SKUs'!I:I),"")</f>
        <v>-</v>
      </c>
      <c r="P1059" t="str">
        <f>IFERROR(_xlfn.XLOOKUP($A1059,'Base SKUs'!$E:$E,'Base SKUs'!J:J),"")</f>
        <v>1x8</v>
      </c>
      <c r="Q1059">
        <f>IFERROR(_xlfn.XLOOKUP($A1059,'Base SKUs'!$E:$E,'Base SKUs'!K:K),"")</f>
        <v>7</v>
      </c>
      <c r="R1059" s="7">
        <f>IFERROR(_xlfn.XLOOKUP($A1059,'Base SKUs'!$E:$E,'Base SKUs'!S:S),"")</f>
        <v>7.5600000000000007E-3</v>
      </c>
      <c r="S1059" s="8">
        <f t="shared" si="82"/>
        <v>1.7463600000000001</v>
      </c>
      <c r="T1059" s="7">
        <f>IFERROR(_xlfn.XLOOKUP($A1059,'Base SKUs'!$E:$E,'Base SKUs'!R:R),"")</f>
        <v>911.34400000000005</v>
      </c>
      <c r="U1059" s="15">
        <f t="shared" si="83"/>
        <v>1592</v>
      </c>
      <c r="V1059" t="str">
        <f t="shared" si="84"/>
        <v>BS Riverside</v>
      </c>
    </row>
    <row r="1060" spans="1:22" x14ac:dyDescent="0.2">
      <c r="A1060" t="s">
        <v>1461</v>
      </c>
      <c r="B1060" s="5">
        <v>158</v>
      </c>
      <c r="C1060" s="5">
        <v>61</v>
      </c>
      <c r="D1060" s="5">
        <f t="shared" si="80"/>
        <v>97</v>
      </c>
      <c r="E1060" s="6">
        <v>22.0761</v>
      </c>
      <c r="F1060" s="6">
        <f t="shared" si="81"/>
        <v>3488.0237999999999</v>
      </c>
      <c r="G1060" t="s">
        <v>17</v>
      </c>
      <c r="H1060">
        <v>9007</v>
      </c>
      <c r="I1060" t="str">
        <f>IFERROR(_xlfn.XLOOKUP($A1060,'Base SKUs'!$E:$E,'Base SKUs'!A:A),"")</f>
        <v>Ayous</v>
      </c>
      <c r="J1060" t="str">
        <f>IFERROR(_xlfn.XLOOKUP($A1060,'Base SKUs'!$E:$E,'Base SKUs'!B:B),"")</f>
        <v>Ayous 1x8</v>
      </c>
      <c r="K1060" t="str">
        <f>IFERROR(_xlfn.XLOOKUP($A1060,'Base SKUs'!$E:$E,'Base SKUs'!C:C),"")</f>
        <v>Long</v>
      </c>
      <c r="L1060" t="str">
        <f>IFERROR(_xlfn.XLOOKUP($A1060,'Base SKUs'!$E:$E,'Base SKUs'!D:D),"")</f>
        <v>Thermowood</v>
      </c>
      <c r="M1060" t="str">
        <f>IFERROR(_xlfn.XLOOKUP($A1060,'Base SKUs'!$E:$E,'Base SKUs'!G:G),"")</f>
        <v>Maximo Thermo Ayous</v>
      </c>
      <c r="N1060" t="str">
        <f>IFERROR(_xlfn.XLOOKUP($A1060,'Base SKUs'!$E:$E,'Base SKUs'!H:H),"")</f>
        <v>S4S E4E</v>
      </c>
      <c r="O1060" t="str">
        <f>IFERROR(_xlfn.XLOOKUP($A1060,'Base SKUs'!$E:$E,'Base SKUs'!I:I),"")</f>
        <v>-</v>
      </c>
      <c r="P1060" t="str">
        <f>IFERROR(_xlfn.XLOOKUP($A1060,'Base SKUs'!$E:$E,'Base SKUs'!J:J),"")</f>
        <v>1x8</v>
      </c>
      <c r="Q1060">
        <f>IFERROR(_xlfn.XLOOKUP($A1060,'Base SKUs'!$E:$E,'Base SKUs'!K:K),"")</f>
        <v>8</v>
      </c>
      <c r="R1060" s="7">
        <f>IFERROR(_xlfn.XLOOKUP($A1060,'Base SKUs'!$E:$E,'Base SKUs'!S:S),"")</f>
        <v>8.6400000000000001E-3</v>
      </c>
      <c r="S1060" s="8">
        <f t="shared" si="82"/>
        <v>0.83808000000000005</v>
      </c>
      <c r="T1060" s="7">
        <f>IFERROR(_xlfn.XLOOKUP($A1060,'Base SKUs'!$E:$E,'Base SKUs'!R:R),"")</f>
        <v>911.34400000000005</v>
      </c>
      <c r="U1060" s="15">
        <f t="shared" si="83"/>
        <v>764</v>
      </c>
      <c r="V1060" t="str">
        <f t="shared" si="84"/>
        <v>Miami</v>
      </c>
    </row>
    <row r="1061" spans="1:22" x14ac:dyDescent="0.2">
      <c r="A1061" t="s">
        <v>1463</v>
      </c>
      <c r="B1061" s="5">
        <v>300</v>
      </c>
      <c r="C1061" s="5">
        <v>105</v>
      </c>
      <c r="D1061" s="5">
        <f t="shared" si="80"/>
        <v>195</v>
      </c>
      <c r="E1061" s="6">
        <v>24.835599999999999</v>
      </c>
      <c r="F1061" s="6">
        <f t="shared" si="81"/>
        <v>7450.68</v>
      </c>
      <c r="G1061" t="s">
        <v>17</v>
      </c>
      <c r="H1061">
        <v>9007</v>
      </c>
      <c r="I1061" t="str">
        <f>IFERROR(_xlfn.XLOOKUP($A1061,'Base SKUs'!$E:$E,'Base SKUs'!A:A),"")</f>
        <v>Ayous</v>
      </c>
      <c r="J1061" t="str">
        <f>IFERROR(_xlfn.XLOOKUP($A1061,'Base SKUs'!$E:$E,'Base SKUs'!B:B),"")</f>
        <v>Ayous 1x8</v>
      </c>
      <c r="K1061" t="str">
        <f>IFERROR(_xlfn.XLOOKUP($A1061,'Base SKUs'!$E:$E,'Base SKUs'!C:C),"")</f>
        <v>Long</v>
      </c>
      <c r="L1061" t="str">
        <f>IFERROR(_xlfn.XLOOKUP($A1061,'Base SKUs'!$E:$E,'Base SKUs'!D:D),"")</f>
        <v>Thermowood</v>
      </c>
      <c r="M1061" t="str">
        <f>IFERROR(_xlfn.XLOOKUP($A1061,'Base SKUs'!$E:$E,'Base SKUs'!G:G),"")</f>
        <v>Maximo Thermo Ayous</v>
      </c>
      <c r="N1061" t="str">
        <f>IFERROR(_xlfn.XLOOKUP($A1061,'Base SKUs'!$E:$E,'Base SKUs'!H:H),"")</f>
        <v>S4S E4E</v>
      </c>
      <c r="O1061" t="str">
        <f>IFERROR(_xlfn.XLOOKUP($A1061,'Base SKUs'!$E:$E,'Base SKUs'!I:I),"")</f>
        <v>-</v>
      </c>
      <c r="P1061" t="str">
        <f>IFERROR(_xlfn.XLOOKUP($A1061,'Base SKUs'!$E:$E,'Base SKUs'!J:J),"")</f>
        <v>1x8</v>
      </c>
      <c r="Q1061">
        <f>IFERROR(_xlfn.XLOOKUP($A1061,'Base SKUs'!$E:$E,'Base SKUs'!K:K),"")</f>
        <v>9</v>
      </c>
      <c r="R1061" s="7">
        <f>IFERROR(_xlfn.XLOOKUP($A1061,'Base SKUs'!$E:$E,'Base SKUs'!S:S),"")</f>
        <v>9.7200000000000012E-3</v>
      </c>
      <c r="S1061" s="8">
        <f t="shared" si="82"/>
        <v>1.8954000000000002</v>
      </c>
      <c r="T1061" s="7">
        <f>IFERROR(_xlfn.XLOOKUP($A1061,'Base SKUs'!$E:$E,'Base SKUs'!R:R),"")</f>
        <v>911.34400000000005</v>
      </c>
      <c r="U1061" s="15">
        <f t="shared" si="83"/>
        <v>1727</v>
      </c>
      <c r="V1061" t="str">
        <f t="shared" si="84"/>
        <v>Miami</v>
      </c>
    </row>
    <row r="1062" spans="1:22" x14ac:dyDescent="0.2">
      <c r="A1062" t="s">
        <v>1463</v>
      </c>
      <c r="B1062" s="5">
        <v>379</v>
      </c>
      <c r="C1062" s="5">
        <v>379</v>
      </c>
      <c r="D1062" s="5">
        <f t="shared" si="80"/>
        <v>0</v>
      </c>
      <c r="E1062" s="6">
        <v>24.835599999999999</v>
      </c>
      <c r="F1062" s="6">
        <f t="shared" si="81"/>
        <v>9412.6923999999999</v>
      </c>
      <c r="G1062" t="s">
        <v>125</v>
      </c>
      <c r="H1062">
        <v>9009</v>
      </c>
      <c r="I1062" t="str">
        <f>IFERROR(_xlfn.XLOOKUP($A1062,'Base SKUs'!$E:$E,'Base SKUs'!A:A),"")</f>
        <v>Ayous</v>
      </c>
      <c r="J1062" t="str">
        <f>IFERROR(_xlfn.XLOOKUP($A1062,'Base SKUs'!$E:$E,'Base SKUs'!B:B),"")</f>
        <v>Ayous 1x8</v>
      </c>
      <c r="K1062" t="str">
        <f>IFERROR(_xlfn.XLOOKUP($A1062,'Base SKUs'!$E:$E,'Base SKUs'!C:C),"")</f>
        <v>Long</v>
      </c>
      <c r="L1062" t="str">
        <f>IFERROR(_xlfn.XLOOKUP($A1062,'Base SKUs'!$E:$E,'Base SKUs'!D:D),"")</f>
        <v>Thermowood</v>
      </c>
      <c r="M1062" t="str">
        <f>IFERROR(_xlfn.XLOOKUP($A1062,'Base SKUs'!$E:$E,'Base SKUs'!G:G),"")</f>
        <v>Maximo Thermo Ayous</v>
      </c>
      <c r="N1062" t="str">
        <f>IFERROR(_xlfn.XLOOKUP($A1062,'Base SKUs'!$E:$E,'Base SKUs'!H:H),"")</f>
        <v>S4S E4E</v>
      </c>
      <c r="O1062" t="str">
        <f>IFERROR(_xlfn.XLOOKUP($A1062,'Base SKUs'!$E:$E,'Base SKUs'!I:I),"")</f>
        <v>-</v>
      </c>
      <c r="P1062" t="str">
        <f>IFERROR(_xlfn.XLOOKUP($A1062,'Base SKUs'!$E:$E,'Base SKUs'!J:J),"")</f>
        <v>1x8</v>
      </c>
      <c r="Q1062">
        <f>IFERROR(_xlfn.XLOOKUP($A1062,'Base SKUs'!$E:$E,'Base SKUs'!K:K),"")</f>
        <v>9</v>
      </c>
      <c r="R1062" s="7">
        <f>IFERROR(_xlfn.XLOOKUP($A1062,'Base SKUs'!$E:$E,'Base SKUs'!S:S),"")</f>
        <v>9.7200000000000012E-3</v>
      </c>
      <c r="S1062" s="8">
        <f t="shared" si="82"/>
        <v>0</v>
      </c>
      <c r="T1062" s="7">
        <f>IFERROR(_xlfn.XLOOKUP($A1062,'Base SKUs'!$E:$E,'Base SKUs'!R:R),"")</f>
        <v>911.34400000000005</v>
      </c>
      <c r="U1062" s="15">
        <f t="shared" si="83"/>
        <v>0</v>
      </c>
      <c r="V1062" t="str">
        <f t="shared" si="84"/>
        <v>Boston</v>
      </c>
    </row>
    <row r="1063" spans="1:22" x14ac:dyDescent="0.2">
      <c r="A1063" t="s">
        <v>1463</v>
      </c>
      <c r="B1063" s="5">
        <v>70</v>
      </c>
      <c r="C1063" s="5">
        <v>0</v>
      </c>
      <c r="D1063" s="5">
        <f t="shared" si="80"/>
        <v>70</v>
      </c>
      <c r="E1063" s="6">
        <v>33.590699999999998</v>
      </c>
      <c r="F1063" s="6">
        <f t="shared" si="81"/>
        <v>2351.3489999999997</v>
      </c>
      <c r="G1063" t="s">
        <v>454</v>
      </c>
      <c r="H1063">
        <v>9013</v>
      </c>
      <c r="I1063" t="str">
        <f>IFERROR(_xlfn.XLOOKUP($A1063,'Base SKUs'!$E:$E,'Base SKUs'!A:A),"")</f>
        <v>Ayous</v>
      </c>
      <c r="J1063" t="str">
        <f>IFERROR(_xlfn.XLOOKUP($A1063,'Base SKUs'!$E:$E,'Base SKUs'!B:B),"")</f>
        <v>Ayous 1x8</v>
      </c>
      <c r="K1063" t="str">
        <f>IFERROR(_xlfn.XLOOKUP($A1063,'Base SKUs'!$E:$E,'Base SKUs'!C:C),"")</f>
        <v>Long</v>
      </c>
      <c r="L1063" t="str">
        <f>IFERROR(_xlfn.XLOOKUP($A1063,'Base SKUs'!$E:$E,'Base SKUs'!D:D),"")</f>
        <v>Thermowood</v>
      </c>
      <c r="M1063" t="str">
        <f>IFERROR(_xlfn.XLOOKUP($A1063,'Base SKUs'!$E:$E,'Base SKUs'!G:G),"")</f>
        <v>Maximo Thermo Ayous</v>
      </c>
      <c r="N1063" t="str">
        <f>IFERROR(_xlfn.XLOOKUP($A1063,'Base SKUs'!$E:$E,'Base SKUs'!H:H),"")</f>
        <v>S4S E4E</v>
      </c>
      <c r="O1063" t="str">
        <f>IFERROR(_xlfn.XLOOKUP($A1063,'Base SKUs'!$E:$E,'Base SKUs'!I:I),"")</f>
        <v>-</v>
      </c>
      <c r="P1063" t="str">
        <f>IFERROR(_xlfn.XLOOKUP($A1063,'Base SKUs'!$E:$E,'Base SKUs'!J:J),"")</f>
        <v>1x8</v>
      </c>
      <c r="Q1063">
        <f>IFERROR(_xlfn.XLOOKUP($A1063,'Base SKUs'!$E:$E,'Base SKUs'!K:K),"")</f>
        <v>9</v>
      </c>
      <c r="R1063" s="7">
        <f>IFERROR(_xlfn.XLOOKUP($A1063,'Base SKUs'!$E:$E,'Base SKUs'!S:S),"")</f>
        <v>9.7200000000000012E-3</v>
      </c>
      <c r="S1063" s="8">
        <f t="shared" si="82"/>
        <v>0.68040000000000012</v>
      </c>
      <c r="T1063" s="7">
        <f>IFERROR(_xlfn.XLOOKUP($A1063,'Base SKUs'!$E:$E,'Base SKUs'!R:R),"")</f>
        <v>911.34400000000005</v>
      </c>
      <c r="U1063" s="15">
        <f t="shared" si="83"/>
        <v>620</v>
      </c>
      <c r="V1063" t="str">
        <f t="shared" si="84"/>
        <v>BS Riverside</v>
      </c>
    </row>
    <row r="1064" spans="1:22" x14ac:dyDescent="0.2">
      <c r="A1064" t="s">
        <v>1465</v>
      </c>
      <c r="B1064" s="5">
        <v>198</v>
      </c>
      <c r="C1064" s="5">
        <v>0</v>
      </c>
      <c r="D1064" s="5">
        <f t="shared" si="80"/>
        <v>198</v>
      </c>
      <c r="E1064" s="6">
        <v>14.63</v>
      </c>
      <c r="F1064" s="6">
        <f t="shared" si="81"/>
        <v>2896.7400000000002</v>
      </c>
      <c r="G1064" t="s">
        <v>454</v>
      </c>
      <c r="H1064">
        <v>9013</v>
      </c>
      <c r="I1064" t="str">
        <f>IFERROR(_xlfn.XLOOKUP($A1064,'Base SKUs'!$E:$E,'Base SKUs'!A:A),"")</f>
        <v>Ayous</v>
      </c>
      <c r="J1064" t="str">
        <f>IFERROR(_xlfn.XLOOKUP($A1064,'Base SKUs'!$E:$E,'Base SKUs'!B:B),"")</f>
        <v>Ayous 2x2</v>
      </c>
      <c r="K1064" t="str">
        <f>IFERROR(_xlfn.XLOOKUP($A1064,'Base SKUs'!$E:$E,'Base SKUs'!C:C),"")</f>
        <v>Short</v>
      </c>
      <c r="L1064" t="str">
        <f>IFERROR(_xlfn.XLOOKUP($A1064,'Base SKUs'!$E:$E,'Base SKUs'!D:D),"")</f>
        <v>Thermowood</v>
      </c>
      <c r="M1064" t="str">
        <f>IFERROR(_xlfn.XLOOKUP($A1064,'Base SKUs'!$E:$E,'Base SKUs'!G:G),"")</f>
        <v>Maximo Thermo Ayous</v>
      </c>
      <c r="N1064" t="str">
        <f>IFERROR(_xlfn.XLOOKUP($A1064,'Base SKUs'!$E:$E,'Base SKUs'!H:H),"")</f>
        <v>S4S E4E</v>
      </c>
      <c r="O1064" t="str">
        <f>IFERROR(_xlfn.XLOOKUP($A1064,'Base SKUs'!$E:$E,'Base SKUs'!I:I),"")</f>
        <v>-</v>
      </c>
      <c r="P1064" t="str">
        <f>IFERROR(_xlfn.XLOOKUP($A1064,'Base SKUs'!$E:$E,'Base SKUs'!J:J),"")</f>
        <v>2x2</v>
      </c>
      <c r="Q1064">
        <f>IFERROR(_xlfn.XLOOKUP($A1064,'Base SKUs'!$E:$E,'Base SKUs'!K:K),"")</f>
        <v>7</v>
      </c>
      <c r="R1064" s="7">
        <f>IFERROR(_xlfn.XLOOKUP($A1064,'Base SKUs'!$E:$E,'Base SKUs'!S:S),"")</f>
        <v>3.3600000000000001E-3</v>
      </c>
      <c r="S1064" s="8">
        <f t="shared" si="82"/>
        <v>0.66527999999999998</v>
      </c>
      <c r="T1064" s="7">
        <f>IFERROR(_xlfn.XLOOKUP($A1064,'Base SKUs'!$E:$E,'Base SKUs'!R:R),"")</f>
        <v>2050.5250000000001</v>
      </c>
      <c r="U1064" s="15">
        <f t="shared" si="83"/>
        <v>1364</v>
      </c>
      <c r="V1064" t="str">
        <f t="shared" si="84"/>
        <v>BS Riverside</v>
      </c>
    </row>
    <row r="1065" spans="1:22" x14ac:dyDescent="0.2">
      <c r="A1065" t="s">
        <v>1467</v>
      </c>
      <c r="B1065" s="5">
        <v>90</v>
      </c>
      <c r="C1065" s="5">
        <v>0</v>
      </c>
      <c r="D1065" s="5">
        <f t="shared" si="80"/>
        <v>90</v>
      </c>
      <c r="E1065" s="6">
        <v>23.9</v>
      </c>
      <c r="F1065" s="6">
        <f t="shared" si="81"/>
        <v>2151</v>
      </c>
      <c r="G1065" t="s">
        <v>17</v>
      </c>
      <c r="H1065">
        <v>9007</v>
      </c>
      <c r="I1065" t="str">
        <f>IFERROR(_xlfn.XLOOKUP($A1065,'Base SKUs'!$E:$E,'Base SKUs'!A:A),"")</f>
        <v>Ayous</v>
      </c>
      <c r="J1065" t="str">
        <f>IFERROR(_xlfn.XLOOKUP($A1065,'Base SKUs'!$E:$E,'Base SKUs'!B:B),"")</f>
        <v>Ayous 2x4</v>
      </c>
      <c r="K1065" t="str">
        <f>IFERROR(_xlfn.XLOOKUP($A1065,'Base SKUs'!$E:$E,'Base SKUs'!C:C),"")</f>
        <v>Long</v>
      </c>
      <c r="L1065" t="str">
        <f>IFERROR(_xlfn.XLOOKUP($A1065,'Base SKUs'!$E:$E,'Base SKUs'!D:D),"")</f>
        <v>Thermowood</v>
      </c>
      <c r="M1065" t="str">
        <f>IFERROR(_xlfn.XLOOKUP($A1065,'Base SKUs'!$E:$E,'Base SKUs'!G:G),"")</f>
        <v>Maximo Thermo Ayous</v>
      </c>
      <c r="N1065" t="str">
        <f>IFERROR(_xlfn.XLOOKUP($A1065,'Base SKUs'!$E:$E,'Base SKUs'!H:H),"")</f>
        <v>S4S E4E</v>
      </c>
      <c r="O1065" t="str">
        <f>IFERROR(_xlfn.XLOOKUP($A1065,'Base SKUs'!$E:$E,'Base SKUs'!I:I),"")</f>
        <v>-</v>
      </c>
      <c r="P1065" t="str">
        <f>IFERROR(_xlfn.XLOOKUP($A1065,'Base SKUs'!$E:$E,'Base SKUs'!J:J),"")</f>
        <v>2x4</v>
      </c>
      <c r="Q1065">
        <f>IFERROR(_xlfn.XLOOKUP($A1065,'Base SKUs'!$E:$E,'Base SKUs'!K:K),"")</f>
        <v>10</v>
      </c>
      <c r="R1065" s="7">
        <f>IFERROR(_xlfn.XLOOKUP($A1065,'Base SKUs'!$E:$E,'Base SKUs'!S:S),"")</f>
        <v>1.0799999999999999E-2</v>
      </c>
      <c r="S1065" s="8">
        <f t="shared" si="82"/>
        <v>0.97199999999999986</v>
      </c>
      <c r="T1065" s="7">
        <f>IFERROR(_xlfn.XLOOKUP($A1065,'Base SKUs'!$E:$E,'Base SKUs'!R:R),"")</f>
        <v>911.34400000000005</v>
      </c>
      <c r="U1065" s="15">
        <f t="shared" si="83"/>
        <v>886</v>
      </c>
      <c r="V1065" t="str">
        <f t="shared" si="84"/>
        <v>Miami</v>
      </c>
    </row>
    <row r="1066" spans="1:22" x14ac:dyDescent="0.2">
      <c r="A1066" t="s">
        <v>1469</v>
      </c>
      <c r="B1066" s="5">
        <v>114</v>
      </c>
      <c r="C1066" s="5">
        <v>0</v>
      </c>
      <c r="D1066" s="5">
        <f t="shared" si="80"/>
        <v>114</v>
      </c>
      <c r="E1066" s="6">
        <v>28.67</v>
      </c>
      <c r="F1066" s="6">
        <f t="shared" si="81"/>
        <v>3268.38</v>
      </c>
      <c r="G1066" t="s">
        <v>17</v>
      </c>
      <c r="H1066">
        <v>9007</v>
      </c>
      <c r="I1066" t="str">
        <f>IFERROR(_xlfn.XLOOKUP($A1066,'Base SKUs'!$E:$E,'Base SKUs'!A:A),"")</f>
        <v>Ayous</v>
      </c>
      <c r="J1066" t="str">
        <f>IFERROR(_xlfn.XLOOKUP($A1066,'Base SKUs'!$E:$E,'Base SKUs'!B:B),"")</f>
        <v>Ayous 2x4</v>
      </c>
      <c r="K1066" t="str">
        <f>IFERROR(_xlfn.XLOOKUP($A1066,'Base SKUs'!$E:$E,'Base SKUs'!C:C),"")</f>
        <v>Long</v>
      </c>
      <c r="L1066" t="str">
        <f>IFERROR(_xlfn.XLOOKUP($A1066,'Base SKUs'!$E:$E,'Base SKUs'!D:D),"")</f>
        <v>Thermowood</v>
      </c>
      <c r="M1066" t="str">
        <f>IFERROR(_xlfn.XLOOKUP($A1066,'Base SKUs'!$E:$E,'Base SKUs'!G:G),"")</f>
        <v>Maximo Thermo Ayous</v>
      </c>
      <c r="N1066" t="str">
        <f>IFERROR(_xlfn.XLOOKUP($A1066,'Base SKUs'!$E:$E,'Base SKUs'!H:H),"")</f>
        <v>S4S E4E</v>
      </c>
      <c r="O1066" t="str">
        <f>IFERROR(_xlfn.XLOOKUP($A1066,'Base SKUs'!$E:$E,'Base SKUs'!I:I),"")</f>
        <v>-</v>
      </c>
      <c r="P1066" t="str">
        <f>IFERROR(_xlfn.XLOOKUP($A1066,'Base SKUs'!$E:$E,'Base SKUs'!J:J),"")</f>
        <v>2x4</v>
      </c>
      <c r="Q1066">
        <f>IFERROR(_xlfn.XLOOKUP($A1066,'Base SKUs'!$E:$E,'Base SKUs'!K:K),"")</f>
        <v>12</v>
      </c>
      <c r="R1066" s="7">
        <f>IFERROR(_xlfn.XLOOKUP($A1066,'Base SKUs'!$E:$E,'Base SKUs'!S:S),"")</f>
        <v>1.2959999999999999E-2</v>
      </c>
      <c r="S1066" s="8">
        <f t="shared" si="82"/>
        <v>1.4774399999999999</v>
      </c>
      <c r="T1066" s="7">
        <f>IFERROR(_xlfn.XLOOKUP($A1066,'Base SKUs'!$E:$E,'Base SKUs'!R:R),"")</f>
        <v>911.34400000000005</v>
      </c>
      <c r="U1066" s="15">
        <f t="shared" si="83"/>
        <v>1346</v>
      </c>
      <c r="V1066" t="str">
        <f t="shared" si="84"/>
        <v>Miami</v>
      </c>
    </row>
    <row r="1067" spans="1:22" x14ac:dyDescent="0.2">
      <c r="A1067" t="s">
        <v>1471</v>
      </c>
      <c r="B1067" s="5">
        <v>42</v>
      </c>
      <c r="C1067" s="5">
        <v>0</v>
      </c>
      <c r="D1067" s="5">
        <f t="shared" si="80"/>
        <v>42</v>
      </c>
      <c r="E1067" s="6">
        <v>16.71</v>
      </c>
      <c r="F1067" s="6">
        <f t="shared" si="81"/>
        <v>701.82</v>
      </c>
      <c r="G1067" t="s">
        <v>17</v>
      </c>
      <c r="H1067">
        <v>9007</v>
      </c>
      <c r="I1067" t="str">
        <f>IFERROR(_xlfn.XLOOKUP($A1067,'Base SKUs'!$E:$E,'Base SKUs'!A:A),"")</f>
        <v>Ayous</v>
      </c>
      <c r="J1067" t="str">
        <f>IFERROR(_xlfn.XLOOKUP($A1067,'Base SKUs'!$E:$E,'Base SKUs'!B:B),"")</f>
        <v>Ayous 2x4</v>
      </c>
      <c r="K1067" t="str">
        <f>IFERROR(_xlfn.XLOOKUP($A1067,'Base SKUs'!$E:$E,'Base SKUs'!C:C),"")</f>
        <v>Short</v>
      </c>
      <c r="L1067" t="str">
        <f>IFERROR(_xlfn.XLOOKUP($A1067,'Base SKUs'!$E:$E,'Base SKUs'!D:D),"")</f>
        <v>Thermowood</v>
      </c>
      <c r="M1067" t="str">
        <f>IFERROR(_xlfn.XLOOKUP($A1067,'Base SKUs'!$E:$E,'Base SKUs'!G:G),"")</f>
        <v>Maximo Thermo Ayous</v>
      </c>
      <c r="N1067" t="str">
        <f>IFERROR(_xlfn.XLOOKUP($A1067,'Base SKUs'!$E:$E,'Base SKUs'!H:H),"")</f>
        <v>S4S E4E</v>
      </c>
      <c r="O1067" t="str">
        <f>IFERROR(_xlfn.XLOOKUP($A1067,'Base SKUs'!$E:$E,'Base SKUs'!I:I),"")</f>
        <v>-</v>
      </c>
      <c r="P1067" t="str">
        <f>IFERROR(_xlfn.XLOOKUP($A1067,'Base SKUs'!$E:$E,'Base SKUs'!J:J),"")</f>
        <v>2x4</v>
      </c>
      <c r="Q1067">
        <f>IFERROR(_xlfn.XLOOKUP($A1067,'Base SKUs'!$E:$E,'Base SKUs'!K:K),"")</f>
        <v>7</v>
      </c>
      <c r="R1067" s="7">
        <f>IFERROR(_xlfn.XLOOKUP($A1067,'Base SKUs'!$E:$E,'Base SKUs'!S:S),"")</f>
        <v>7.5600000000000007E-3</v>
      </c>
      <c r="S1067" s="8">
        <f t="shared" si="82"/>
        <v>0.31752000000000002</v>
      </c>
      <c r="T1067" s="7">
        <f>IFERROR(_xlfn.XLOOKUP($A1067,'Base SKUs'!$E:$E,'Base SKUs'!R:R),"")</f>
        <v>911.34400000000005</v>
      </c>
      <c r="U1067" s="15">
        <f t="shared" si="83"/>
        <v>289</v>
      </c>
      <c r="V1067" t="str">
        <f t="shared" si="84"/>
        <v>Miami</v>
      </c>
    </row>
    <row r="1068" spans="1:22" x14ac:dyDescent="0.2">
      <c r="A1068" t="s">
        <v>1471</v>
      </c>
      <c r="B1068" s="5">
        <v>172</v>
      </c>
      <c r="C1068" s="5">
        <v>0</v>
      </c>
      <c r="D1068" s="5">
        <f t="shared" si="80"/>
        <v>172</v>
      </c>
      <c r="E1068" s="6">
        <v>22.348700000000001</v>
      </c>
      <c r="F1068" s="6">
        <f t="shared" si="81"/>
        <v>3843.9764</v>
      </c>
      <c r="G1068" t="s">
        <v>125</v>
      </c>
      <c r="H1068">
        <v>9009</v>
      </c>
      <c r="I1068" t="str">
        <f>IFERROR(_xlfn.XLOOKUP($A1068,'Base SKUs'!$E:$E,'Base SKUs'!A:A),"")</f>
        <v>Ayous</v>
      </c>
      <c r="J1068" t="str">
        <f>IFERROR(_xlfn.XLOOKUP($A1068,'Base SKUs'!$E:$E,'Base SKUs'!B:B),"")</f>
        <v>Ayous 2x4</v>
      </c>
      <c r="K1068" t="str">
        <f>IFERROR(_xlfn.XLOOKUP($A1068,'Base SKUs'!$E:$E,'Base SKUs'!C:C),"")</f>
        <v>Short</v>
      </c>
      <c r="L1068" t="str">
        <f>IFERROR(_xlfn.XLOOKUP($A1068,'Base SKUs'!$E:$E,'Base SKUs'!D:D),"")</f>
        <v>Thermowood</v>
      </c>
      <c r="M1068" t="str">
        <f>IFERROR(_xlfn.XLOOKUP($A1068,'Base SKUs'!$E:$E,'Base SKUs'!G:G),"")</f>
        <v>Maximo Thermo Ayous</v>
      </c>
      <c r="N1068" t="str">
        <f>IFERROR(_xlfn.XLOOKUP($A1068,'Base SKUs'!$E:$E,'Base SKUs'!H:H),"")</f>
        <v>S4S E4E</v>
      </c>
      <c r="O1068" t="str">
        <f>IFERROR(_xlfn.XLOOKUP($A1068,'Base SKUs'!$E:$E,'Base SKUs'!I:I),"")</f>
        <v>-</v>
      </c>
      <c r="P1068" t="str">
        <f>IFERROR(_xlfn.XLOOKUP($A1068,'Base SKUs'!$E:$E,'Base SKUs'!J:J),"")</f>
        <v>2x4</v>
      </c>
      <c r="Q1068">
        <f>IFERROR(_xlfn.XLOOKUP($A1068,'Base SKUs'!$E:$E,'Base SKUs'!K:K),"")</f>
        <v>7</v>
      </c>
      <c r="R1068" s="7">
        <f>IFERROR(_xlfn.XLOOKUP($A1068,'Base SKUs'!$E:$E,'Base SKUs'!S:S),"")</f>
        <v>7.5600000000000007E-3</v>
      </c>
      <c r="S1068" s="8">
        <f t="shared" si="82"/>
        <v>1.3003200000000001</v>
      </c>
      <c r="T1068" s="7">
        <f>IFERROR(_xlfn.XLOOKUP($A1068,'Base SKUs'!$E:$E,'Base SKUs'!R:R),"")</f>
        <v>911.34400000000005</v>
      </c>
      <c r="U1068" s="15">
        <f t="shared" si="83"/>
        <v>1185</v>
      </c>
      <c r="V1068" t="str">
        <f t="shared" si="84"/>
        <v>Boston</v>
      </c>
    </row>
    <row r="1069" spans="1:22" x14ac:dyDescent="0.2">
      <c r="A1069" t="s">
        <v>1471</v>
      </c>
      <c r="B1069" s="5">
        <v>198</v>
      </c>
      <c r="C1069" s="5">
        <v>0</v>
      </c>
      <c r="D1069" s="5">
        <f t="shared" si="80"/>
        <v>198</v>
      </c>
      <c r="E1069" s="6">
        <v>30.7958</v>
      </c>
      <c r="F1069" s="6">
        <f t="shared" si="81"/>
        <v>6097.5684000000001</v>
      </c>
      <c r="G1069" t="s">
        <v>454</v>
      </c>
      <c r="H1069">
        <v>9013</v>
      </c>
      <c r="I1069" t="str">
        <f>IFERROR(_xlfn.XLOOKUP($A1069,'Base SKUs'!$E:$E,'Base SKUs'!A:A),"")</f>
        <v>Ayous</v>
      </c>
      <c r="J1069" t="str">
        <f>IFERROR(_xlfn.XLOOKUP($A1069,'Base SKUs'!$E:$E,'Base SKUs'!B:B),"")</f>
        <v>Ayous 2x4</v>
      </c>
      <c r="K1069" t="str">
        <f>IFERROR(_xlfn.XLOOKUP($A1069,'Base SKUs'!$E:$E,'Base SKUs'!C:C),"")</f>
        <v>Short</v>
      </c>
      <c r="L1069" t="str">
        <f>IFERROR(_xlfn.XLOOKUP($A1069,'Base SKUs'!$E:$E,'Base SKUs'!D:D),"")</f>
        <v>Thermowood</v>
      </c>
      <c r="M1069" t="str">
        <f>IFERROR(_xlfn.XLOOKUP($A1069,'Base SKUs'!$E:$E,'Base SKUs'!G:G),"")</f>
        <v>Maximo Thermo Ayous</v>
      </c>
      <c r="N1069" t="str">
        <f>IFERROR(_xlfn.XLOOKUP($A1069,'Base SKUs'!$E:$E,'Base SKUs'!H:H),"")</f>
        <v>S4S E4E</v>
      </c>
      <c r="O1069" t="str">
        <f>IFERROR(_xlfn.XLOOKUP($A1069,'Base SKUs'!$E:$E,'Base SKUs'!I:I),"")</f>
        <v>-</v>
      </c>
      <c r="P1069" t="str">
        <f>IFERROR(_xlfn.XLOOKUP($A1069,'Base SKUs'!$E:$E,'Base SKUs'!J:J),"")</f>
        <v>2x4</v>
      </c>
      <c r="Q1069">
        <f>IFERROR(_xlfn.XLOOKUP($A1069,'Base SKUs'!$E:$E,'Base SKUs'!K:K),"")</f>
        <v>7</v>
      </c>
      <c r="R1069" s="7">
        <f>IFERROR(_xlfn.XLOOKUP($A1069,'Base SKUs'!$E:$E,'Base SKUs'!S:S),"")</f>
        <v>7.5600000000000007E-3</v>
      </c>
      <c r="S1069" s="8">
        <f t="shared" si="82"/>
        <v>1.4968800000000002</v>
      </c>
      <c r="T1069" s="7">
        <f>IFERROR(_xlfn.XLOOKUP($A1069,'Base SKUs'!$E:$E,'Base SKUs'!R:R),"")</f>
        <v>911.34400000000005</v>
      </c>
      <c r="U1069" s="15">
        <f t="shared" si="83"/>
        <v>1364</v>
      </c>
      <c r="V1069" t="str">
        <f t="shared" si="84"/>
        <v>BS Riverside</v>
      </c>
    </row>
    <row r="1070" spans="1:22" x14ac:dyDescent="0.2">
      <c r="A1070" t="s">
        <v>1473</v>
      </c>
      <c r="B1070" s="5">
        <v>72</v>
      </c>
      <c r="C1070" s="5">
        <v>0</v>
      </c>
      <c r="D1070" s="5">
        <f t="shared" si="80"/>
        <v>72</v>
      </c>
      <c r="E1070" s="6">
        <v>19.12</v>
      </c>
      <c r="F1070" s="6">
        <f t="shared" si="81"/>
        <v>1376.64</v>
      </c>
      <c r="G1070" t="s">
        <v>17</v>
      </c>
      <c r="H1070">
        <v>9007</v>
      </c>
      <c r="I1070" t="str">
        <f>IFERROR(_xlfn.XLOOKUP($A1070,'Base SKUs'!$E:$E,'Base SKUs'!A:A),"")</f>
        <v>Ayous</v>
      </c>
      <c r="J1070" t="str">
        <f>IFERROR(_xlfn.XLOOKUP($A1070,'Base SKUs'!$E:$E,'Base SKUs'!B:B),"")</f>
        <v>Ayous 2x4</v>
      </c>
      <c r="K1070" t="str">
        <f>IFERROR(_xlfn.XLOOKUP($A1070,'Base SKUs'!$E:$E,'Base SKUs'!C:C),"")</f>
        <v>Long</v>
      </c>
      <c r="L1070" t="str">
        <f>IFERROR(_xlfn.XLOOKUP($A1070,'Base SKUs'!$E:$E,'Base SKUs'!D:D),"")</f>
        <v>Thermowood</v>
      </c>
      <c r="M1070" t="str">
        <f>IFERROR(_xlfn.XLOOKUP($A1070,'Base SKUs'!$E:$E,'Base SKUs'!G:G),"")</f>
        <v>Maximo Thermo Ayous</v>
      </c>
      <c r="N1070" t="str">
        <f>IFERROR(_xlfn.XLOOKUP($A1070,'Base SKUs'!$E:$E,'Base SKUs'!H:H),"")</f>
        <v>S4S E4E</v>
      </c>
      <c r="O1070" t="str">
        <f>IFERROR(_xlfn.XLOOKUP($A1070,'Base SKUs'!$E:$E,'Base SKUs'!I:I),"")</f>
        <v>-</v>
      </c>
      <c r="P1070" t="str">
        <f>IFERROR(_xlfn.XLOOKUP($A1070,'Base SKUs'!$E:$E,'Base SKUs'!J:J),"")</f>
        <v>2x4</v>
      </c>
      <c r="Q1070">
        <f>IFERROR(_xlfn.XLOOKUP($A1070,'Base SKUs'!$E:$E,'Base SKUs'!K:K),"")</f>
        <v>8</v>
      </c>
      <c r="R1070" s="7">
        <f>IFERROR(_xlfn.XLOOKUP($A1070,'Base SKUs'!$E:$E,'Base SKUs'!S:S),"")</f>
        <v>8.6400000000000001E-3</v>
      </c>
      <c r="S1070" s="8">
        <f t="shared" si="82"/>
        <v>0.62207999999999997</v>
      </c>
      <c r="T1070" s="7">
        <f>IFERROR(_xlfn.XLOOKUP($A1070,'Base SKUs'!$E:$E,'Base SKUs'!R:R),"")</f>
        <v>911.34400000000005</v>
      </c>
      <c r="U1070" s="15">
        <f t="shared" si="83"/>
        <v>567</v>
      </c>
      <c r="V1070" t="str">
        <f t="shared" si="84"/>
        <v>Miami</v>
      </c>
    </row>
    <row r="1071" spans="1:22" x14ac:dyDescent="0.2">
      <c r="A1071" t="s">
        <v>1473</v>
      </c>
      <c r="B1071" s="5">
        <v>730</v>
      </c>
      <c r="C1071" s="5">
        <v>0</v>
      </c>
      <c r="D1071" s="5">
        <f t="shared" si="80"/>
        <v>730</v>
      </c>
      <c r="E1071" s="6">
        <v>25.541399999999999</v>
      </c>
      <c r="F1071" s="6">
        <f t="shared" si="81"/>
        <v>18645.221999999998</v>
      </c>
      <c r="G1071" t="s">
        <v>125</v>
      </c>
      <c r="H1071">
        <v>9009</v>
      </c>
      <c r="I1071" t="str">
        <f>IFERROR(_xlfn.XLOOKUP($A1071,'Base SKUs'!$E:$E,'Base SKUs'!A:A),"")</f>
        <v>Ayous</v>
      </c>
      <c r="J1071" t="str">
        <f>IFERROR(_xlfn.XLOOKUP($A1071,'Base SKUs'!$E:$E,'Base SKUs'!B:B),"")</f>
        <v>Ayous 2x4</v>
      </c>
      <c r="K1071" t="str">
        <f>IFERROR(_xlfn.XLOOKUP($A1071,'Base SKUs'!$E:$E,'Base SKUs'!C:C),"")</f>
        <v>Long</v>
      </c>
      <c r="L1071" t="str">
        <f>IFERROR(_xlfn.XLOOKUP($A1071,'Base SKUs'!$E:$E,'Base SKUs'!D:D),"")</f>
        <v>Thermowood</v>
      </c>
      <c r="M1071" t="str">
        <f>IFERROR(_xlfn.XLOOKUP($A1071,'Base SKUs'!$E:$E,'Base SKUs'!G:G),"")</f>
        <v>Maximo Thermo Ayous</v>
      </c>
      <c r="N1071" t="str">
        <f>IFERROR(_xlfn.XLOOKUP($A1071,'Base SKUs'!$E:$E,'Base SKUs'!H:H),"")</f>
        <v>S4S E4E</v>
      </c>
      <c r="O1071" t="str">
        <f>IFERROR(_xlfn.XLOOKUP($A1071,'Base SKUs'!$E:$E,'Base SKUs'!I:I),"")</f>
        <v>-</v>
      </c>
      <c r="P1071" t="str">
        <f>IFERROR(_xlfn.XLOOKUP($A1071,'Base SKUs'!$E:$E,'Base SKUs'!J:J),"")</f>
        <v>2x4</v>
      </c>
      <c r="Q1071">
        <f>IFERROR(_xlfn.XLOOKUP($A1071,'Base SKUs'!$E:$E,'Base SKUs'!K:K),"")</f>
        <v>8</v>
      </c>
      <c r="R1071" s="7">
        <f>IFERROR(_xlfn.XLOOKUP($A1071,'Base SKUs'!$E:$E,'Base SKUs'!S:S),"")</f>
        <v>8.6400000000000001E-3</v>
      </c>
      <c r="S1071" s="8">
        <f t="shared" si="82"/>
        <v>6.3071999999999999</v>
      </c>
      <c r="T1071" s="7">
        <f>IFERROR(_xlfn.XLOOKUP($A1071,'Base SKUs'!$E:$E,'Base SKUs'!R:R),"")</f>
        <v>911.34400000000005</v>
      </c>
      <c r="U1071" s="15">
        <f t="shared" si="83"/>
        <v>5748</v>
      </c>
      <c r="V1071" t="str">
        <f t="shared" si="84"/>
        <v>Boston</v>
      </c>
    </row>
    <row r="1072" spans="1:22" x14ac:dyDescent="0.2">
      <c r="A1072" t="s">
        <v>1475</v>
      </c>
      <c r="B1072" s="5">
        <v>747</v>
      </c>
      <c r="C1072" s="5">
        <v>0</v>
      </c>
      <c r="D1072" s="5">
        <f t="shared" si="80"/>
        <v>747</v>
      </c>
      <c r="E1072" s="6">
        <v>21.548300000000001</v>
      </c>
      <c r="F1072" s="6">
        <f t="shared" si="81"/>
        <v>16096.580100000001</v>
      </c>
      <c r="G1072" t="s">
        <v>17</v>
      </c>
      <c r="H1072">
        <v>9007</v>
      </c>
      <c r="I1072" t="str">
        <f>IFERROR(_xlfn.XLOOKUP($A1072,'Base SKUs'!$E:$E,'Base SKUs'!A:A),"")</f>
        <v>Ayous</v>
      </c>
      <c r="J1072" t="str">
        <f>IFERROR(_xlfn.XLOOKUP($A1072,'Base SKUs'!$E:$E,'Base SKUs'!B:B),"")</f>
        <v>Ayous 2x4</v>
      </c>
      <c r="K1072" t="str">
        <f>IFERROR(_xlfn.XLOOKUP($A1072,'Base SKUs'!$E:$E,'Base SKUs'!C:C),"")</f>
        <v>Long</v>
      </c>
      <c r="L1072" t="str">
        <f>IFERROR(_xlfn.XLOOKUP($A1072,'Base SKUs'!$E:$E,'Base SKUs'!D:D),"")</f>
        <v>Thermowood</v>
      </c>
      <c r="M1072" t="str">
        <f>IFERROR(_xlfn.XLOOKUP($A1072,'Base SKUs'!$E:$E,'Base SKUs'!G:G),"")</f>
        <v>Maximo Thermo Ayous</v>
      </c>
      <c r="N1072" t="str">
        <f>IFERROR(_xlfn.XLOOKUP($A1072,'Base SKUs'!$E:$E,'Base SKUs'!H:H),"")</f>
        <v>S4S E4E</v>
      </c>
      <c r="O1072" t="str">
        <f>IFERROR(_xlfn.XLOOKUP($A1072,'Base SKUs'!$E:$E,'Base SKUs'!I:I),"")</f>
        <v>-</v>
      </c>
      <c r="P1072" t="str">
        <f>IFERROR(_xlfn.XLOOKUP($A1072,'Base SKUs'!$E:$E,'Base SKUs'!J:J),"")</f>
        <v>2x4</v>
      </c>
      <c r="Q1072">
        <f>IFERROR(_xlfn.XLOOKUP($A1072,'Base SKUs'!$E:$E,'Base SKUs'!K:K),"")</f>
        <v>9</v>
      </c>
      <c r="R1072" s="7">
        <f>IFERROR(_xlfn.XLOOKUP($A1072,'Base SKUs'!$E:$E,'Base SKUs'!S:S),"")</f>
        <v>9.7200000000000012E-3</v>
      </c>
      <c r="S1072" s="8">
        <f t="shared" si="82"/>
        <v>7.2608400000000008</v>
      </c>
      <c r="T1072" s="7">
        <f>IFERROR(_xlfn.XLOOKUP($A1072,'Base SKUs'!$E:$E,'Base SKUs'!R:R),"")</f>
        <v>911.34400000000005</v>
      </c>
      <c r="U1072" s="15">
        <f t="shared" si="83"/>
        <v>6617</v>
      </c>
      <c r="V1072" t="str">
        <f t="shared" si="84"/>
        <v>Miami</v>
      </c>
    </row>
    <row r="1073" spans="1:22" x14ac:dyDescent="0.2">
      <c r="A1073" t="s">
        <v>1475</v>
      </c>
      <c r="B1073" s="5">
        <v>172</v>
      </c>
      <c r="C1073" s="5">
        <v>0</v>
      </c>
      <c r="D1073" s="5">
        <f t="shared" si="80"/>
        <v>172</v>
      </c>
      <c r="E1073" s="6">
        <v>28.734100000000002</v>
      </c>
      <c r="F1073" s="6">
        <f t="shared" si="81"/>
        <v>4942.2651999999998</v>
      </c>
      <c r="G1073" t="s">
        <v>125</v>
      </c>
      <c r="H1073">
        <v>9009</v>
      </c>
      <c r="I1073" t="str">
        <f>IFERROR(_xlfn.XLOOKUP($A1073,'Base SKUs'!$E:$E,'Base SKUs'!A:A),"")</f>
        <v>Ayous</v>
      </c>
      <c r="J1073" t="str">
        <f>IFERROR(_xlfn.XLOOKUP($A1073,'Base SKUs'!$E:$E,'Base SKUs'!B:B),"")</f>
        <v>Ayous 2x4</v>
      </c>
      <c r="K1073" t="str">
        <f>IFERROR(_xlfn.XLOOKUP($A1073,'Base SKUs'!$E:$E,'Base SKUs'!C:C),"")</f>
        <v>Long</v>
      </c>
      <c r="L1073" t="str">
        <f>IFERROR(_xlfn.XLOOKUP($A1073,'Base SKUs'!$E:$E,'Base SKUs'!D:D),"")</f>
        <v>Thermowood</v>
      </c>
      <c r="M1073" t="str">
        <f>IFERROR(_xlfn.XLOOKUP($A1073,'Base SKUs'!$E:$E,'Base SKUs'!G:G),"")</f>
        <v>Maximo Thermo Ayous</v>
      </c>
      <c r="N1073" t="str">
        <f>IFERROR(_xlfn.XLOOKUP($A1073,'Base SKUs'!$E:$E,'Base SKUs'!H:H),"")</f>
        <v>S4S E4E</v>
      </c>
      <c r="O1073" t="str">
        <f>IFERROR(_xlfn.XLOOKUP($A1073,'Base SKUs'!$E:$E,'Base SKUs'!I:I),"")</f>
        <v>-</v>
      </c>
      <c r="P1073" t="str">
        <f>IFERROR(_xlfn.XLOOKUP($A1073,'Base SKUs'!$E:$E,'Base SKUs'!J:J),"")</f>
        <v>2x4</v>
      </c>
      <c r="Q1073">
        <f>IFERROR(_xlfn.XLOOKUP($A1073,'Base SKUs'!$E:$E,'Base SKUs'!K:K),"")</f>
        <v>9</v>
      </c>
      <c r="R1073" s="7">
        <f>IFERROR(_xlfn.XLOOKUP($A1073,'Base SKUs'!$E:$E,'Base SKUs'!S:S),"")</f>
        <v>9.7200000000000012E-3</v>
      </c>
      <c r="S1073" s="8">
        <f t="shared" si="82"/>
        <v>1.6718400000000002</v>
      </c>
      <c r="T1073" s="7">
        <f>IFERROR(_xlfn.XLOOKUP($A1073,'Base SKUs'!$E:$E,'Base SKUs'!R:R),"")</f>
        <v>911.34400000000005</v>
      </c>
      <c r="U1073" s="15">
        <f t="shared" si="83"/>
        <v>1524</v>
      </c>
      <c r="V1073" t="str">
        <f t="shared" si="84"/>
        <v>Boston</v>
      </c>
    </row>
    <row r="1074" spans="1:22" x14ac:dyDescent="0.2">
      <c r="A1074" t="s">
        <v>1475</v>
      </c>
      <c r="B1074" s="5">
        <v>540</v>
      </c>
      <c r="C1074" s="5">
        <v>0</v>
      </c>
      <c r="D1074" s="5">
        <f t="shared" si="80"/>
        <v>540</v>
      </c>
      <c r="E1074" s="6">
        <v>38.106900000000003</v>
      </c>
      <c r="F1074" s="6">
        <f t="shared" si="81"/>
        <v>20577.726000000002</v>
      </c>
      <c r="G1074" t="s">
        <v>454</v>
      </c>
      <c r="H1074">
        <v>9013</v>
      </c>
      <c r="I1074" t="str">
        <f>IFERROR(_xlfn.XLOOKUP($A1074,'Base SKUs'!$E:$E,'Base SKUs'!A:A),"")</f>
        <v>Ayous</v>
      </c>
      <c r="J1074" t="str">
        <f>IFERROR(_xlfn.XLOOKUP($A1074,'Base SKUs'!$E:$E,'Base SKUs'!B:B),"")</f>
        <v>Ayous 2x4</v>
      </c>
      <c r="K1074" t="str">
        <f>IFERROR(_xlfn.XLOOKUP($A1074,'Base SKUs'!$E:$E,'Base SKUs'!C:C),"")</f>
        <v>Long</v>
      </c>
      <c r="L1074" t="str">
        <f>IFERROR(_xlfn.XLOOKUP($A1074,'Base SKUs'!$E:$E,'Base SKUs'!D:D),"")</f>
        <v>Thermowood</v>
      </c>
      <c r="M1074" t="str">
        <f>IFERROR(_xlfn.XLOOKUP($A1074,'Base SKUs'!$E:$E,'Base SKUs'!G:G),"")</f>
        <v>Maximo Thermo Ayous</v>
      </c>
      <c r="N1074" t="str">
        <f>IFERROR(_xlfn.XLOOKUP($A1074,'Base SKUs'!$E:$E,'Base SKUs'!H:H),"")</f>
        <v>S4S E4E</v>
      </c>
      <c r="O1074" t="str">
        <f>IFERROR(_xlfn.XLOOKUP($A1074,'Base SKUs'!$E:$E,'Base SKUs'!I:I),"")</f>
        <v>-</v>
      </c>
      <c r="P1074" t="str">
        <f>IFERROR(_xlfn.XLOOKUP($A1074,'Base SKUs'!$E:$E,'Base SKUs'!J:J),"")</f>
        <v>2x4</v>
      </c>
      <c r="Q1074">
        <f>IFERROR(_xlfn.XLOOKUP($A1074,'Base SKUs'!$E:$E,'Base SKUs'!K:K),"")</f>
        <v>9</v>
      </c>
      <c r="R1074" s="7">
        <f>IFERROR(_xlfn.XLOOKUP($A1074,'Base SKUs'!$E:$E,'Base SKUs'!S:S),"")</f>
        <v>9.7200000000000012E-3</v>
      </c>
      <c r="S1074" s="8">
        <f t="shared" si="82"/>
        <v>5.248800000000001</v>
      </c>
      <c r="T1074" s="7">
        <f>IFERROR(_xlfn.XLOOKUP($A1074,'Base SKUs'!$E:$E,'Base SKUs'!R:R),"")</f>
        <v>911.34400000000005</v>
      </c>
      <c r="U1074" s="15">
        <f t="shared" si="83"/>
        <v>4783</v>
      </c>
      <c r="V1074" t="str">
        <f t="shared" si="84"/>
        <v>BS Riverside</v>
      </c>
    </row>
    <row r="1075" spans="1:22" x14ac:dyDescent="0.2">
      <c r="A1075" t="s">
        <v>1477</v>
      </c>
      <c r="B1075" s="5">
        <v>1</v>
      </c>
      <c r="C1075" s="5">
        <v>1</v>
      </c>
      <c r="D1075" s="5">
        <f t="shared" si="80"/>
        <v>0</v>
      </c>
      <c r="E1075" s="6">
        <v>49.744</v>
      </c>
      <c r="F1075" s="6">
        <f t="shared" si="81"/>
        <v>49.744</v>
      </c>
      <c r="G1075" t="s">
        <v>17</v>
      </c>
      <c r="H1075">
        <v>9007</v>
      </c>
      <c r="I1075" t="str">
        <f>IFERROR(_xlfn.XLOOKUP($A1075,'Base SKUs'!$E:$E,'Base SKUs'!A:A),"")</f>
        <v>Ayous</v>
      </c>
      <c r="J1075" t="str">
        <f>IFERROR(_xlfn.XLOOKUP($A1075,'Base SKUs'!$E:$E,'Base SKUs'!B:B),"")</f>
        <v>Ayous 2x6</v>
      </c>
      <c r="K1075" t="str">
        <f>IFERROR(_xlfn.XLOOKUP($A1075,'Base SKUs'!$E:$E,'Base SKUs'!C:C),"")</f>
        <v>Long</v>
      </c>
      <c r="L1075" t="str">
        <f>IFERROR(_xlfn.XLOOKUP($A1075,'Base SKUs'!$E:$E,'Base SKUs'!D:D),"")</f>
        <v>Thermowood</v>
      </c>
      <c r="M1075" t="str">
        <f>IFERROR(_xlfn.XLOOKUP($A1075,'Base SKUs'!$E:$E,'Base SKUs'!G:G),"")</f>
        <v>Maximo Thermo Ayous</v>
      </c>
      <c r="N1075" t="str">
        <f>IFERROR(_xlfn.XLOOKUP($A1075,'Base SKUs'!$E:$E,'Base SKUs'!H:H),"")</f>
        <v>S4S E4E</v>
      </c>
      <c r="O1075" t="str">
        <f>IFERROR(_xlfn.XLOOKUP($A1075,'Base SKUs'!$E:$E,'Base SKUs'!I:I),"")</f>
        <v>-</v>
      </c>
      <c r="P1075" t="str">
        <f>IFERROR(_xlfn.XLOOKUP($A1075,'Base SKUs'!$E:$E,'Base SKUs'!J:J),"")</f>
        <v>2x6</v>
      </c>
      <c r="Q1075">
        <f>IFERROR(_xlfn.XLOOKUP($A1075,'Base SKUs'!$E:$E,'Base SKUs'!K:K),"")</f>
        <v>10</v>
      </c>
      <c r="R1075" s="7">
        <f>IFERROR(_xlfn.XLOOKUP($A1075,'Base SKUs'!$E:$E,'Base SKUs'!S:S),"")</f>
        <v>1.6800000000000002E-2</v>
      </c>
      <c r="S1075" s="8">
        <f t="shared" si="82"/>
        <v>0</v>
      </c>
      <c r="T1075" s="7">
        <f>IFERROR(_xlfn.XLOOKUP($A1075,'Base SKUs'!$E:$E,'Base SKUs'!R:R),"")</f>
        <v>585.86400000000003</v>
      </c>
      <c r="U1075" s="15">
        <f t="shared" si="83"/>
        <v>0</v>
      </c>
      <c r="V1075" t="str">
        <f t="shared" si="84"/>
        <v>Miami</v>
      </c>
    </row>
    <row r="1076" spans="1:22" x14ac:dyDescent="0.2">
      <c r="A1076" t="s">
        <v>1479</v>
      </c>
      <c r="B1076" s="5">
        <v>25</v>
      </c>
      <c r="C1076" s="5">
        <v>0</v>
      </c>
      <c r="D1076" s="5">
        <f t="shared" si="80"/>
        <v>25</v>
      </c>
      <c r="E1076" s="6">
        <v>54.718400000000003</v>
      </c>
      <c r="F1076" s="6">
        <f t="shared" si="81"/>
        <v>1367.96</v>
      </c>
      <c r="G1076" t="s">
        <v>17</v>
      </c>
      <c r="H1076">
        <v>9007</v>
      </c>
      <c r="I1076" t="str">
        <f>IFERROR(_xlfn.XLOOKUP($A1076,'Base SKUs'!$E:$E,'Base SKUs'!A:A),"")</f>
        <v>Ayous</v>
      </c>
      <c r="J1076" t="str">
        <f>IFERROR(_xlfn.XLOOKUP($A1076,'Base SKUs'!$E:$E,'Base SKUs'!B:B),"")</f>
        <v>Ayous 2x6</v>
      </c>
      <c r="K1076" t="str">
        <f>IFERROR(_xlfn.XLOOKUP($A1076,'Base SKUs'!$E:$E,'Base SKUs'!C:C),"")</f>
        <v>Long</v>
      </c>
      <c r="L1076" t="str">
        <f>IFERROR(_xlfn.XLOOKUP($A1076,'Base SKUs'!$E:$E,'Base SKUs'!D:D),"")</f>
        <v>Thermowood</v>
      </c>
      <c r="M1076" t="str">
        <f>IFERROR(_xlfn.XLOOKUP($A1076,'Base SKUs'!$E:$E,'Base SKUs'!G:G),"")</f>
        <v>Maximo Thermo Ayous</v>
      </c>
      <c r="N1076" t="str">
        <f>IFERROR(_xlfn.XLOOKUP($A1076,'Base SKUs'!$E:$E,'Base SKUs'!H:H),"")</f>
        <v>S4S E4E</v>
      </c>
      <c r="O1076" t="str">
        <f>IFERROR(_xlfn.XLOOKUP($A1076,'Base SKUs'!$E:$E,'Base SKUs'!I:I),"")</f>
        <v>-</v>
      </c>
      <c r="P1076" t="str">
        <f>IFERROR(_xlfn.XLOOKUP($A1076,'Base SKUs'!$E:$E,'Base SKUs'!J:J),"")</f>
        <v>2x6</v>
      </c>
      <c r="Q1076">
        <f>IFERROR(_xlfn.XLOOKUP($A1076,'Base SKUs'!$E:$E,'Base SKUs'!K:K),"")</f>
        <v>11</v>
      </c>
      <c r="R1076" s="7">
        <f>IFERROR(_xlfn.XLOOKUP($A1076,'Base SKUs'!$E:$E,'Base SKUs'!S:S),"")</f>
        <v>1.848E-2</v>
      </c>
      <c r="S1076" s="8">
        <f t="shared" si="82"/>
        <v>0.46200000000000002</v>
      </c>
      <c r="T1076" s="7">
        <f>IFERROR(_xlfn.XLOOKUP($A1076,'Base SKUs'!$E:$E,'Base SKUs'!R:R),"")</f>
        <v>585.86400000000003</v>
      </c>
      <c r="U1076" s="15">
        <f t="shared" si="83"/>
        <v>271</v>
      </c>
      <c r="V1076" t="str">
        <f t="shared" si="84"/>
        <v>Miami</v>
      </c>
    </row>
    <row r="1077" spans="1:22" x14ac:dyDescent="0.2">
      <c r="A1077" t="s">
        <v>1481</v>
      </c>
      <c r="B1077" s="5">
        <v>105</v>
      </c>
      <c r="C1077" s="5">
        <v>0</v>
      </c>
      <c r="D1077" s="5">
        <f t="shared" si="80"/>
        <v>105</v>
      </c>
      <c r="E1077" s="6">
        <v>24.872</v>
      </c>
      <c r="F1077" s="6">
        <f t="shared" si="81"/>
        <v>2611.56</v>
      </c>
      <c r="G1077" t="s">
        <v>17</v>
      </c>
      <c r="H1077">
        <v>9007</v>
      </c>
      <c r="I1077" t="str">
        <f>IFERROR(_xlfn.XLOOKUP($A1077,'Base SKUs'!$E:$E,'Base SKUs'!A:A),"")</f>
        <v>Ayous</v>
      </c>
      <c r="J1077" t="str">
        <f>IFERROR(_xlfn.XLOOKUP($A1077,'Base SKUs'!$E:$E,'Base SKUs'!B:B),"")</f>
        <v>Ayous 2x6</v>
      </c>
      <c r="K1077" t="str">
        <f>IFERROR(_xlfn.XLOOKUP($A1077,'Base SKUs'!$E:$E,'Base SKUs'!C:C),"")</f>
        <v>Short</v>
      </c>
      <c r="L1077" t="str">
        <f>IFERROR(_xlfn.XLOOKUP($A1077,'Base SKUs'!$E:$E,'Base SKUs'!D:D),"")</f>
        <v>Thermowood</v>
      </c>
      <c r="M1077" t="str">
        <f>IFERROR(_xlfn.XLOOKUP($A1077,'Base SKUs'!$E:$E,'Base SKUs'!G:G),"")</f>
        <v>Maximo Thermo Ayous</v>
      </c>
      <c r="N1077" t="str">
        <f>IFERROR(_xlfn.XLOOKUP($A1077,'Base SKUs'!$E:$E,'Base SKUs'!H:H),"")</f>
        <v>S4S E4E</v>
      </c>
      <c r="O1077" t="str">
        <f>IFERROR(_xlfn.XLOOKUP($A1077,'Base SKUs'!$E:$E,'Base SKUs'!I:I),"")</f>
        <v>-</v>
      </c>
      <c r="P1077" t="str">
        <f>IFERROR(_xlfn.XLOOKUP($A1077,'Base SKUs'!$E:$E,'Base SKUs'!J:J),"")</f>
        <v>2x6</v>
      </c>
      <c r="Q1077">
        <f>IFERROR(_xlfn.XLOOKUP($A1077,'Base SKUs'!$E:$E,'Base SKUs'!K:K),"")</f>
        <v>5</v>
      </c>
      <c r="R1077" s="7">
        <f>IFERROR(_xlfn.XLOOKUP($A1077,'Base SKUs'!$E:$E,'Base SKUs'!S:S),"")</f>
        <v>8.4000000000000012E-3</v>
      </c>
      <c r="S1077" s="8">
        <f t="shared" si="82"/>
        <v>0.88200000000000012</v>
      </c>
      <c r="T1077" s="7">
        <f>IFERROR(_xlfn.XLOOKUP($A1077,'Base SKUs'!$E:$E,'Base SKUs'!R:R),"")</f>
        <v>585.86400000000003</v>
      </c>
      <c r="U1077" s="15">
        <f t="shared" si="83"/>
        <v>517</v>
      </c>
      <c r="V1077" t="str">
        <f t="shared" si="84"/>
        <v>Miami</v>
      </c>
    </row>
    <row r="1078" spans="1:22" x14ac:dyDescent="0.2">
      <c r="A1078" t="s">
        <v>1483</v>
      </c>
      <c r="B1078" s="5">
        <v>102</v>
      </c>
      <c r="C1078" s="5">
        <v>0</v>
      </c>
      <c r="D1078" s="5">
        <f t="shared" si="80"/>
        <v>102</v>
      </c>
      <c r="E1078" s="6">
        <v>29.846399999999999</v>
      </c>
      <c r="F1078" s="6">
        <f t="shared" si="81"/>
        <v>3044.3328000000001</v>
      </c>
      <c r="G1078" t="s">
        <v>17</v>
      </c>
      <c r="H1078">
        <v>9007</v>
      </c>
      <c r="I1078" t="str">
        <f>IFERROR(_xlfn.XLOOKUP($A1078,'Base SKUs'!$E:$E,'Base SKUs'!A:A),"")</f>
        <v>Ayous</v>
      </c>
      <c r="J1078" t="str">
        <f>IFERROR(_xlfn.XLOOKUP($A1078,'Base SKUs'!$E:$E,'Base SKUs'!B:B),"")</f>
        <v>Ayous 2x6</v>
      </c>
      <c r="K1078" t="str">
        <f>IFERROR(_xlfn.XLOOKUP($A1078,'Base SKUs'!$E:$E,'Base SKUs'!C:C),"")</f>
        <v>Short</v>
      </c>
      <c r="L1078" t="str">
        <f>IFERROR(_xlfn.XLOOKUP($A1078,'Base SKUs'!$E:$E,'Base SKUs'!D:D),"")</f>
        <v>Thermowood</v>
      </c>
      <c r="M1078" t="str">
        <f>IFERROR(_xlfn.XLOOKUP($A1078,'Base SKUs'!$E:$E,'Base SKUs'!G:G),"")</f>
        <v>Maximo Thermo Ayous</v>
      </c>
      <c r="N1078" t="str">
        <f>IFERROR(_xlfn.XLOOKUP($A1078,'Base SKUs'!$E:$E,'Base SKUs'!H:H),"")</f>
        <v>S4S E4E</v>
      </c>
      <c r="O1078" t="str">
        <f>IFERROR(_xlfn.XLOOKUP($A1078,'Base SKUs'!$E:$E,'Base SKUs'!I:I),"")</f>
        <v>-</v>
      </c>
      <c r="P1078" t="str">
        <f>IFERROR(_xlfn.XLOOKUP($A1078,'Base SKUs'!$E:$E,'Base SKUs'!J:J),"")</f>
        <v>2x6</v>
      </c>
      <c r="Q1078">
        <f>IFERROR(_xlfn.XLOOKUP($A1078,'Base SKUs'!$E:$E,'Base SKUs'!K:K),"")</f>
        <v>6</v>
      </c>
      <c r="R1078" s="7">
        <f>IFERROR(_xlfn.XLOOKUP($A1078,'Base SKUs'!$E:$E,'Base SKUs'!S:S),"")</f>
        <v>1.008E-2</v>
      </c>
      <c r="S1078" s="8">
        <f t="shared" si="82"/>
        <v>1.02816</v>
      </c>
      <c r="T1078" s="7">
        <f>IFERROR(_xlfn.XLOOKUP($A1078,'Base SKUs'!$E:$E,'Base SKUs'!R:R),"")</f>
        <v>585.86400000000003</v>
      </c>
      <c r="U1078" s="15">
        <f t="shared" si="83"/>
        <v>602</v>
      </c>
      <c r="V1078" t="str">
        <f t="shared" si="84"/>
        <v>Miami</v>
      </c>
    </row>
    <row r="1079" spans="1:22" x14ac:dyDescent="0.2">
      <c r="A1079" t="s">
        <v>1483</v>
      </c>
      <c r="B1079" s="5">
        <v>26</v>
      </c>
      <c r="C1079" s="5">
        <v>0</v>
      </c>
      <c r="D1079" s="5">
        <f t="shared" si="80"/>
        <v>26</v>
      </c>
      <c r="E1079" s="6">
        <v>40.472200000000001</v>
      </c>
      <c r="F1079" s="6">
        <f t="shared" si="81"/>
        <v>1052.2772</v>
      </c>
      <c r="G1079" t="s">
        <v>454</v>
      </c>
      <c r="H1079">
        <v>9013</v>
      </c>
      <c r="I1079" t="str">
        <f>IFERROR(_xlfn.XLOOKUP($A1079,'Base SKUs'!$E:$E,'Base SKUs'!A:A),"")</f>
        <v>Ayous</v>
      </c>
      <c r="J1079" t="str">
        <f>IFERROR(_xlfn.XLOOKUP($A1079,'Base SKUs'!$E:$E,'Base SKUs'!B:B),"")</f>
        <v>Ayous 2x6</v>
      </c>
      <c r="K1079" t="str">
        <f>IFERROR(_xlfn.XLOOKUP($A1079,'Base SKUs'!$E:$E,'Base SKUs'!C:C),"")</f>
        <v>Short</v>
      </c>
      <c r="L1079" t="str">
        <f>IFERROR(_xlfn.XLOOKUP($A1079,'Base SKUs'!$E:$E,'Base SKUs'!D:D),"")</f>
        <v>Thermowood</v>
      </c>
      <c r="M1079" t="str">
        <f>IFERROR(_xlfn.XLOOKUP($A1079,'Base SKUs'!$E:$E,'Base SKUs'!G:G),"")</f>
        <v>Maximo Thermo Ayous</v>
      </c>
      <c r="N1079" t="str">
        <f>IFERROR(_xlfn.XLOOKUP($A1079,'Base SKUs'!$E:$E,'Base SKUs'!H:H),"")</f>
        <v>S4S E4E</v>
      </c>
      <c r="O1079" t="str">
        <f>IFERROR(_xlfn.XLOOKUP($A1079,'Base SKUs'!$E:$E,'Base SKUs'!I:I),"")</f>
        <v>-</v>
      </c>
      <c r="P1079" t="str">
        <f>IFERROR(_xlfn.XLOOKUP($A1079,'Base SKUs'!$E:$E,'Base SKUs'!J:J),"")</f>
        <v>2x6</v>
      </c>
      <c r="Q1079">
        <f>IFERROR(_xlfn.XLOOKUP($A1079,'Base SKUs'!$E:$E,'Base SKUs'!K:K),"")</f>
        <v>6</v>
      </c>
      <c r="R1079" s="7">
        <f>IFERROR(_xlfn.XLOOKUP($A1079,'Base SKUs'!$E:$E,'Base SKUs'!S:S),"")</f>
        <v>1.008E-2</v>
      </c>
      <c r="S1079" s="8">
        <f t="shared" si="82"/>
        <v>0.26208000000000004</v>
      </c>
      <c r="T1079" s="7">
        <f>IFERROR(_xlfn.XLOOKUP($A1079,'Base SKUs'!$E:$E,'Base SKUs'!R:R),"")</f>
        <v>585.86400000000003</v>
      </c>
      <c r="U1079" s="15">
        <f t="shared" si="83"/>
        <v>154</v>
      </c>
      <c r="V1079" t="str">
        <f t="shared" si="84"/>
        <v>BS Riverside</v>
      </c>
    </row>
    <row r="1080" spans="1:22" x14ac:dyDescent="0.2">
      <c r="A1080" t="s">
        <v>1485</v>
      </c>
      <c r="B1080" s="5">
        <v>75</v>
      </c>
      <c r="C1080" s="5">
        <v>0</v>
      </c>
      <c r="D1080" s="5">
        <f t="shared" si="80"/>
        <v>75</v>
      </c>
      <c r="E1080" s="6">
        <v>34.820799999999998</v>
      </c>
      <c r="F1080" s="6">
        <f t="shared" si="81"/>
        <v>2611.56</v>
      </c>
      <c r="G1080" t="s">
        <v>17</v>
      </c>
      <c r="H1080">
        <v>9007</v>
      </c>
      <c r="I1080" t="str">
        <f>IFERROR(_xlfn.XLOOKUP($A1080,'Base SKUs'!$E:$E,'Base SKUs'!A:A),"")</f>
        <v>Ayous</v>
      </c>
      <c r="J1080" t="str">
        <f>IFERROR(_xlfn.XLOOKUP($A1080,'Base SKUs'!$E:$E,'Base SKUs'!B:B),"")</f>
        <v>Ayous 2x6</v>
      </c>
      <c r="K1080" t="str">
        <f>IFERROR(_xlfn.XLOOKUP($A1080,'Base SKUs'!$E:$E,'Base SKUs'!C:C),"")</f>
        <v>Short</v>
      </c>
      <c r="L1080" t="str">
        <f>IFERROR(_xlfn.XLOOKUP($A1080,'Base SKUs'!$E:$E,'Base SKUs'!D:D),"")</f>
        <v>Thermowood</v>
      </c>
      <c r="M1080" t="str">
        <f>IFERROR(_xlfn.XLOOKUP($A1080,'Base SKUs'!$E:$E,'Base SKUs'!G:G),"")</f>
        <v>Maximo Thermo Ayous</v>
      </c>
      <c r="N1080" t="str">
        <f>IFERROR(_xlfn.XLOOKUP($A1080,'Base SKUs'!$E:$E,'Base SKUs'!H:H),"")</f>
        <v>S4S E4E</v>
      </c>
      <c r="O1080" t="str">
        <f>IFERROR(_xlfn.XLOOKUP($A1080,'Base SKUs'!$E:$E,'Base SKUs'!I:I),"")</f>
        <v>-</v>
      </c>
      <c r="P1080" t="str">
        <f>IFERROR(_xlfn.XLOOKUP($A1080,'Base SKUs'!$E:$E,'Base SKUs'!J:J),"")</f>
        <v>2x6</v>
      </c>
      <c r="Q1080">
        <f>IFERROR(_xlfn.XLOOKUP($A1080,'Base SKUs'!$E:$E,'Base SKUs'!K:K),"")</f>
        <v>7</v>
      </c>
      <c r="R1080" s="7">
        <f>IFERROR(_xlfn.XLOOKUP($A1080,'Base SKUs'!$E:$E,'Base SKUs'!S:S),"")</f>
        <v>1.1760000000000001E-2</v>
      </c>
      <c r="S1080" s="8">
        <f t="shared" si="82"/>
        <v>0.88200000000000012</v>
      </c>
      <c r="T1080" s="7">
        <f>IFERROR(_xlfn.XLOOKUP($A1080,'Base SKUs'!$E:$E,'Base SKUs'!R:R),"")</f>
        <v>585.86400000000003</v>
      </c>
      <c r="U1080" s="15">
        <f t="shared" si="83"/>
        <v>517</v>
      </c>
      <c r="V1080" t="str">
        <f t="shared" si="84"/>
        <v>Miami</v>
      </c>
    </row>
    <row r="1081" spans="1:22" x14ac:dyDescent="0.2">
      <c r="A1081" t="s">
        <v>1485</v>
      </c>
      <c r="B1081" s="5">
        <v>34</v>
      </c>
      <c r="C1081" s="5">
        <v>0</v>
      </c>
      <c r="D1081" s="5">
        <f t="shared" si="80"/>
        <v>34</v>
      </c>
      <c r="E1081" s="6">
        <v>34.820799999999998</v>
      </c>
      <c r="F1081" s="6">
        <f t="shared" si="81"/>
        <v>1183.9071999999999</v>
      </c>
      <c r="G1081" t="s">
        <v>125</v>
      </c>
      <c r="H1081">
        <v>9009</v>
      </c>
      <c r="I1081" t="str">
        <f>IFERROR(_xlfn.XLOOKUP($A1081,'Base SKUs'!$E:$E,'Base SKUs'!A:A),"")</f>
        <v>Ayous</v>
      </c>
      <c r="J1081" t="str">
        <f>IFERROR(_xlfn.XLOOKUP($A1081,'Base SKUs'!$E:$E,'Base SKUs'!B:B),"")</f>
        <v>Ayous 2x6</v>
      </c>
      <c r="K1081" t="str">
        <f>IFERROR(_xlfn.XLOOKUP($A1081,'Base SKUs'!$E:$E,'Base SKUs'!C:C),"")</f>
        <v>Short</v>
      </c>
      <c r="L1081" t="str">
        <f>IFERROR(_xlfn.XLOOKUP($A1081,'Base SKUs'!$E:$E,'Base SKUs'!D:D),"")</f>
        <v>Thermowood</v>
      </c>
      <c r="M1081" t="str">
        <f>IFERROR(_xlfn.XLOOKUP($A1081,'Base SKUs'!$E:$E,'Base SKUs'!G:G),"")</f>
        <v>Maximo Thermo Ayous</v>
      </c>
      <c r="N1081" t="str">
        <f>IFERROR(_xlfn.XLOOKUP($A1081,'Base SKUs'!$E:$E,'Base SKUs'!H:H),"")</f>
        <v>S4S E4E</v>
      </c>
      <c r="O1081" t="str">
        <f>IFERROR(_xlfn.XLOOKUP($A1081,'Base SKUs'!$E:$E,'Base SKUs'!I:I),"")</f>
        <v>-</v>
      </c>
      <c r="P1081" t="str">
        <f>IFERROR(_xlfn.XLOOKUP($A1081,'Base SKUs'!$E:$E,'Base SKUs'!J:J),"")</f>
        <v>2x6</v>
      </c>
      <c r="Q1081">
        <f>IFERROR(_xlfn.XLOOKUP($A1081,'Base SKUs'!$E:$E,'Base SKUs'!K:K),"")</f>
        <v>7</v>
      </c>
      <c r="R1081" s="7">
        <f>IFERROR(_xlfn.XLOOKUP($A1081,'Base SKUs'!$E:$E,'Base SKUs'!S:S),"")</f>
        <v>1.1760000000000001E-2</v>
      </c>
      <c r="S1081" s="8">
        <f t="shared" si="82"/>
        <v>0.39984000000000003</v>
      </c>
      <c r="T1081" s="7">
        <f>IFERROR(_xlfn.XLOOKUP($A1081,'Base SKUs'!$E:$E,'Base SKUs'!R:R),"")</f>
        <v>585.86400000000003</v>
      </c>
      <c r="U1081" s="15">
        <f t="shared" si="83"/>
        <v>234</v>
      </c>
      <c r="V1081" t="str">
        <f t="shared" si="84"/>
        <v>Boston</v>
      </c>
    </row>
    <row r="1082" spans="1:22" x14ac:dyDescent="0.2">
      <c r="A1082" t="s">
        <v>1485</v>
      </c>
      <c r="B1082" s="5">
        <v>165</v>
      </c>
      <c r="C1082" s="5">
        <v>0</v>
      </c>
      <c r="D1082" s="5">
        <f t="shared" si="80"/>
        <v>165</v>
      </c>
      <c r="E1082" s="6">
        <v>43.96</v>
      </c>
      <c r="F1082" s="6">
        <f t="shared" si="81"/>
        <v>7253.4000000000005</v>
      </c>
      <c r="G1082" t="s">
        <v>454</v>
      </c>
      <c r="H1082">
        <v>9013</v>
      </c>
      <c r="I1082" t="str">
        <f>IFERROR(_xlfn.XLOOKUP($A1082,'Base SKUs'!$E:$E,'Base SKUs'!A:A),"")</f>
        <v>Ayous</v>
      </c>
      <c r="J1082" t="str">
        <f>IFERROR(_xlfn.XLOOKUP($A1082,'Base SKUs'!$E:$E,'Base SKUs'!B:B),"")</f>
        <v>Ayous 2x6</v>
      </c>
      <c r="K1082" t="str">
        <f>IFERROR(_xlfn.XLOOKUP($A1082,'Base SKUs'!$E:$E,'Base SKUs'!C:C),"")</f>
        <v>Short</v>
      </c>
      <c r="L1082" t="str">
        <f>IFERROR(_xlfn.XLOOKUP($A1082,'Base SKUs'!$E:$E,'Base SKUs'!D:D),"")</f>
        <v>Thermowood</v>
      </c>
      <c r="M1082" t="str">
        <f>IFERROR(_xlfn.XLOOKUP($A1082,'Base SKUs'!$E:$E,'Base SKUs'!G:G),"")</f>
        <v>Maximo Thermo Ayous</v>
      </c>
      <c r="N1082" t="str">
        <f>IFERROR(_xlfn.XLOOKUP($A1082,'Base SKUs'!$E:$E,'Base SKUs'!H:H),"")</f>
        <v>S4S E4E</v>
      </c>
      <c r="O1082" t="str">
        <f>IFERROR(_xlfn.XLOOKUP($A1082,'Base SKUs'!$E:$E,'Base SKUs'!I:I),"")</f>
        <v>-</v>
      </c>
      <c r="P1082" t="str">
        <f>IFERROR(_xlfn.XLOOKUP($A1082,'Base SKUs'!$E:$E,'Base SKUs'!J:J),"")</f>
        <v>2x6</v>
      </c>
      <c r="Q1082">
        <f>IFERROR(_xlfn.XLOOKUP($A1082,'Base SKUs'!$E:$E,'Base SKUs'!K:K),"")</f>
        <v>7</v>
      </c>
      <c r="R1082" s="7">
        <f>IFERROR(_xlfn.XLOOKUP($A1082,'Base SKUs'!$E:$E,'Base SKUs'!S:S),"")</f>
        <v>1.1760000000000001E-2</v>
      </c>
      <c r="S1082" s="8">
        <f t="shared" si="82"/>
        <v>1.9404000000000001</v>
      </c>
      <c r="T1082" s="7">
        <f>IFERROR(_xlfn.XLOOKUP($A1082,'Base SKUs'!$E:$E,'Base SKUs'!R:R),"")</f>
        <v>585.86400000000003</v>
      </c>
      <c r="U1082" s="15">
        <f t="shared" si="83"/>
        <v>1137</v>
      </c>
      <c r="V1082" t="str">
        <f t="shared" si="84"/>
        <v>BS Riverside</v>
      </c>
    </row>
    <row r="1083" spans="1:22" x14ac:dyDescent="0.2">
      <c r="A1083" t="s">
        <v>1487</v>
      </c>
      <c r="B1083" s="5">
        <v>52</v>
      </c>
      <c r="C1083" s="5">
        <v>40</v>
      </c>
      <c r="D1083" s="5">
        <f t="shared" si="80"/>
        <v>12</v>
      </c>
      <c r="E1083" s="6">
        <v>39.795200000000001</v>
      </c>
      <c r="F1083" s="6">
        <f t="shared" si="81"/>
        <v>2069.3504000000003</v>
      </c>
      <c r="G1083" t="s">
        <v>125</v>
      </c>
      <c r="H1083">
        <v>9009</v>
      </c>
      <c r="I1083" t="str">
        <f>IFERROR(_xlfn.XLOOKUP($A1083,'Base SKUs'!$E:$E,'Base SKUs'!A:A),"")</f>
        <v>Ayous</v>
      </c>
      <c r="J1083" t="str">
        <f>IFERROR(_xlfn.XLOOKUP($A1083,'Base SKUs'!$E:$E,'Base SKUs'!B:B),"")</f>
        <v>Ayous 2x6</v>
      </c>
      <c r="K1083" t="str">
        <f>IFERROR(_xlfn.XLOOKUP($A1083,'Base SKUs'!$E:$E,'Base SKUs'!C:C),"")</f>
        <v>Long</v>
      </c>
      <c r="L1083" t="str">
        <f>IFERROR(_xlfn.XLOOKUP($A1083,'Base SKUs'!$E:$E,'Base SKUs'!D:D),"")</f>
        <v>Thermowood</v>
      </c>
      <c r="M1083" t="str">
        <f>IFERROR(_xlfn.XLOOKUP($A1083,'Base SKUs'!$E:$E,'Base SKUs'!G:G),"")</f>
        <v>Maximo Thermo Ayous</v>
      </c>
      <c r="N1083" t="str">
        <f>IFERROR(_xlfn.XLOOKUP($A1083,'Base SKUs'!$E:$E,'Base SKUs'!H:H),"")</f>
        <v>S4S E4E</v>
      </c>
      <c r="O1083" t="str">
        <f>IFERROR(_xlfn.XLOOKUP($A1083,'Base SKUs'!$E:$E,'Base SKUs'!I:I),"")</f>
        <v>-</v>
      </c>
      <c r="P1083" t="str">
        <f>IFERROR(_xlfn.XLOOKUP($A1083,'Base SKUs'!$E:$E,'Base SKUs'!J:J),"")</f>
        <v>2x6</v>
      </c>
      <c r="Q1083">
        <f>IFERROR(_xlfn.XLOOKUP($A1083,'Base SKUs'!$E:$E,'Base SKUs'!K:K),"")</f>
        <v>8</v>
      </c>
      <c r="R1083" s="7">
        <f>IFERROR(_xlfn.XLOOKUP($A1083,'Base SKUs'!$E:$E,'Base SKUs'!S:S),"")</f>
        <v>1.3439999999999999E-2</v>
      </c>
      <c r="S1083" s="8">
        <f t="shared" si="82"/>
        <v>0.16127999999999998</v>
      </c>
      <c r="T1083" s="7">
        <f>IFERROR(_xlfn.XLOOKUP($A1083,'Base SKUs'!$E:$E,'Base SKUs'!R:R),"")</f>
        <v>585.86400000000003</v>
      </c>
      <c r="U1083" s="15">
        <f t="shared" si="83"/>
        <v>94</v>
      </c>
      <c r="V1083" t="str">
        <f t="shared" si="84"/>
        <v>Boston</v>
      </c>
    </row>
    <row r="1084" spans="1:22" x14ac:dyDescent="0.2">
      <c r="A1084" t="s">
        <v>1489</v>
      </c>
      <c r="B1084" s="5">
        <v>34</v>
      </c>
      <c r="C1084" s="5">
        <v>34</v>
      </c>
      <c r="D1084" s="5">
        <f t="shared" si="80"/>
        <v>0</v>
      </c>
      <c r="E1084" s="6">
        <v>44.769599999999997</v>
      </c>
      <c r="F1084" s="6">
        <f t="shared" si="81"/>
        <v>1522.1663999999998</v>
      </c>
      <c r="G1084" t="s">
        <v>17</v>
      </c>
      <c r="H1084">
        <v>9007</v>
      </c>
      <c r="I1084" t="str">
        <f>IFERROR(_xlfn.XLOOKUP($A1084,'Base SKUs'!$E:$E,'Base SKUs'!A:A),"")</f>
        <v>Ayous</v>
      </c>
      <c r="J1084" t="str">
        <f>IFERROR(_xlfn.XLOOKUP($A1084,'Base SKUs'!$E:$E,'Base SKUs'!B:B),"")</f>
        <v>Ayous 2x6</v>
      </c>
      <c r="K1084" t="str">
        <f>IFERROR(_xlfn.XLOOKUP($A1084,'Base SKUs'!$E:$E,'Base SKUs'!C:C),"")</f>
        <v>Long</v>
      </c>
      <c r="L1084" t="str">
        <f>IFERROR(_xlfn.XLOOKUP($A1084,'Base SKUs'!$E:$E,'Base SKUs'!D:D),"")</f>
        <v>Thermowood</v>
      </c>
      <c r="M1084" t="str">
        <f>IFERROR(_xlfn.XLOOKUP($A1084,'Base SKUs'!$E:$E,'Base SKUs'!G:G),"")</f>
        <v>Maximo Thermo Ayous</v>
      </c>
      <c r="N1084" t="str">
        <f>IFERROR(_xlfn.XLOOKUP($A1084,'Base SKUs'!$E:$E,'Base SKUs'!H:H),"")</f>
        <v>S4S E4E</v>
      </c>
      <c r="O1084" t="str">
        <f>IFERROR(_xlfn.XLOOKUP($A1084,'Base SKUs'!$E:$E,'Base SKUs'!I:I),"")</f>
        <v>-</v>
      </c>
      <c r="P1084" t="str">
        <f>IFERROR(_xlfn.XLOOKUP($A1084,'Base SKUs'!$E:$E,'Base SKUs'!J:J),"")</f>
        <v>2x6</v>
      </c>
      <c r="Q1084">
        <f>IFERROR(_xlfn.XLOOKUP($A1084,'Base SKUs'!$E:$E,'Base SKUs'!K:K),"")</f>
        <v>9</v>
      </c>
      <c r="R1084" s="7">
        <f>IFERROR(_xlfn.XLOOKUP($A1084,'Base SKUs'!$E:$E,'Base SKUs'!S:S),"")</f>
        <v>1.512E-2</v>
      </c>
      <c r="S1084" s="8">
        <f t="shared" si="82"/>
        <v>0</v>
      </c>
      <c r="T1084" s="7">
        <f>IFERROR(_xlfn.XLOOKUP($A1084,'Base SKUs'!$E:$E,'Base SKUs'!R:R),"")</f>
        <v>585.86400000000003</v>
      </c>
      <c r="U1084" s="15">
        <f t="shared" si="83"/>
        <v>0</v>
      </c>
      <c r="V1084" t="str">
        <f t="shared" si="84"/>
        <v>Miami</v>
      </c>
    </row>
    <row r="1085" spans="1:22" x14ac:dyDescent="0.2">
      <c r="A1085" t="s">
        <v>1489</v>
      </c>
      <c r="B1085" s="5">
        <v>219</v>
      </c>
      <c r="C1085" s="5">
        <v>0</v>
      </c>
      <c r="D1085" s="5">
        <f t="shared" si="80"/>
        <v>219</v>
      </c>
      <c r="E1085" s="6">
        <v>56.52</v>
      </c>
      <c r="F1085" s="6">
        <f t="shared" si="81"/>
        <v>12377.880000000001</v>
      </c>
      <c r="G1085" t="s">
        <v>454</v>
      </c>
      <c r="H1085">
        <v>9013</v>
      </c>
      <c r="I1085" t="str">
        <f>IFERROR(_xlfn.XLOOKUP($A1085,'Base SKUs'!$E:$E,'Base SKUs'!A:A),"")</f>
        <v>Ayous</v>
      </c>
      <c r="J1085" t="str">
        <f>IFERROR(_xlfn.XLOOKUP($A1085,'Base SKUs'!$E:$E,'Base SKUs'!B:B),"")</f>
        <v>Ayous 2x6</v>
      </c>
      <c r="K1085" t="str">
        <f>IFERROR(_xlfn.XLOOKUP($A1085,'Base SKUs'!$E:$E,'Base SKUs'!C:C),"")</f>
        <v>Long</v>
      </c>
      <c r="L1085" t="str">
        <f>IFERROR(_xlfn.XLOOKUP($A1085,'Base SKUs'!$E:$E,'Base SKUs'!D:D),"")</f>
        <v>Thermowood</v>
      </c>
      <c r="M1085" t="str">
        <f>IFERROR(_xlfn.XLOOKUP($A1085,'Base SKUs'!$E:$E,'Base SKUs'!G:G),"")</f>
        <v>Maximo Thermo Ayous</v>
      </c>
      <c r="N1085" t="str">
        <f>IFERROR(_xlfn.XLOOKUP($A1085,'Base SKUs'!$E:$E,'Base SKUs'!H:H),"")</f>
        <v>S4S E4E</v>
      </c>
      <c r="O1085" t="str">
        <f>IFERROR(_xlfn.XLOOKUP($A1085,'Base SKUs'!$E:$E,'Base SKUs'!I:I),"")</f>
        <v>-</v>
      </c>
      <c r="P1085" t="str">
        <f>IFERROR(_xlfn.XLOOKUP($A1085,'Base SKUs'!$E:$E,'Base SKUs'!J:J),"")</f>
        <v>2x6</v>
      </c>
      <c r="Q1085">
        <f>IFERROR(_xlfn.XLOOKUP($A1085,'Base SKUs'!$E:$E,'Base SKUs'!K:K),"")</f>
        <v>9</v>
      </c>
      <c r="R1085" s="7">
        <f>IFERROR(_xlfn.XLOOKUP($A1085,'Base SKUs'!$E:$E,'Base SKUs'!S:S),"")</f>
        <v>1.512E-2</v>
      </c>
      <c r="S1085" s="8">
        <f t="shared" si="82"/>
        <v>3.31128</v>
      </c>
      <c r="T1085" s="7">
        <f>IFERROR(_xlfn.XLOOKUP($A1085,'Base SKUs'!$E:$E,'Base SKUs'!R:R),"")</f>
        <v>585.86400000000003</v>
      </c>
      <c r="U1085" s="15">
        <f t="shared" si="83"/>
        <v>1940</v>
      </c>
      <c r="V1085" t="str">
        <f t="shared" si="84"/>
        <v>BS Riverside</v>
      </c>
    </row>
    <row r="1086" spans="1:22" x14ac:dyDescent="0.2">
      <c r="A1086" t="s">
        <v>1491</v>
      </c>
      <c r="B1086" s="5">
        <v>464</v>
      </c>
      <c r="C1086" s="5">
        <v>247</v>
      </c>
      <c r="D1086" s="5">
        <f t="shared" si="80"/>
        <v>217</v>
      </c>
      <c r="E1086" s="6">
        <v>18.145700000000001</v>
      </c>
      <c r="F1086" s="6">
        <f t="shared" si="81"/>
        <v>8419.604800000001</v>
      </c>
      <c r="G1086" t="s">
        <v>17</v>
      </c>
      <c r="H1086">
        <v>9007</v>
      </c>
      <c r="I1086" t="str">
        <f>IFERROR(_xlfn.XLOOKUP($A1086,'Base SKUs'!$E:$E,'Base SKUs'!A:A),"")</f>
        <v>Ayous</v>
      </c>
      <c r="J1086" t="str">
        <f>IFERROR(_xlfn.XLOOKUP($A1086,'Base SKUs'!$E:$E,'Base SKUs'!B:B),"")</f>
        <v>Ayous 1x6</v>
      </c>
      <c r="K1086" t="str">
        <f>IFERROR(_xlfn.XLOOKUP($A1086,'Base SKUs'!$E:$E,'Base SKUs'!C:C),"")</f>
        <v>Long</v>
      </c>
      <c r="L1086" t="str">
        <f>IFERROR(_xlfn.XLOOKUP($A1086,'Base SKUs'!$E:$E,'Base SKUs'!D:D),"")</f>
        <v>Thermowood</v>
      </c>
      <c r="M1086" t="str">
        <f>IFERROR(_xlfn.XLOOKUP($A1086,'Base SKUs'!$E:$E,'Base SKUs'!G:G),"")</f>
        <v>Maximo Thermo Ayous</v>
      </c>
      <c r="N1086" t="str">
        <f>IFERROR(_xlfn.XLOOKUP($A1086,'Base SKUs'!$E:$E,'Base SKUs'!H:H),"")</f>
        <v>VJoint - Nickel Gap</v>
      </c>
      <c r="O1086" t="str">
        <f>IFERROR(_xlfn.XLOOKUP($A1086,'Base SKUs'!$E:$E,'Base SKUs'!I:I),"")</f>
        <v>-</v>
      </c>
      <c r="P1086" t="str">
        <f>IFERROR(_xlfn.XLOOKUP($A1086,'Base SKUs'!$E:$E,'Base SKUs'!J:J),"")</f>
        <v>1x6</v>
      </c>
      <c r="Q1086">
        <f>IFERROR(_xlfn.XLOOKUP($A1086,'Base SKUs'!$E:$E,'Base SKUs'!K:K),"")</f>
        <v>10</v>
      </c>
      <c r="R1086" s="7">
        <f>IFERROR(_xlfn.XLOOKUP($A1086,'Base SKUs'!$E:$E,'Base SKUs'!S:S),"")</f>
        <v>7.980000000000001E-3</v>
      </c>
      <c r="S1086" s="8">
        <f t="shared" si="82"/>
        <v>1.7316600000000002</v>
      </c>
      <c r="T1086" s="7">
        <f>IFERROR(_xlfn.XLOOKUP($A1086,'Base SKUs'!$E:$E,'Base SKUs'!R:R),"")</f>
        <v>1233.3979999999999</v>
      </c>
      <c r="U1086" s="15">
        <f t="shared" si="83"/>
        <v>2136</v>
      </c>
      <c r="V1086" t="str">
        <f t="shared" si="84"/>
        <v>Miami</v>
      </c>
    </row>
    <row r="1087" spans="1:22" x14ac:dyDescent="0.2">
      <c r="A1087" t="s">
        <v>1491</v>
      </c>
      <c r="B1087" s="5">
        <v>294</v>
      </c>
      <c r="C1087" s="5">
        <v>287</v>
      </c>
      <c r="D1087" s="5">
        <f t="shared" si="80"/>
        <v>7</v>
      </c>
      <c r="E1087" s="6">
        <v>16.312100000000001</v>
      </c>
      <c r="F1087" s="6">
        <f t="shared" si="81"/>
        <v>4795.7574000000004</v>
      </c>
      <c r="G1087" t="s">
        <v>24</v>
      </c>
      <c r="H1087">
        <v>9008</v>
      </c>
      <c r="I1087" t="str">
        <f>IFERROR(_xlfn.XLOOKUP($A1087,'Base SKUs'!$E:$E,'Base SKUs'!A:A),"")</f>
        <v>Ayous</v>
      </c>
      <c r="J1087" t="str">
        <f>IFERROR(_xlfn.XLOOKUP($A1087,'Base SKUs'!$E:$E,'Base SKUs'!B:B),"")</f>
        <v>Ayous 1x6</v>
      </c>
      <c r="K1087" t="str">
        <f>IFERROR(_xlfn.XLOOKUP($A1087,'Base SKUs'!$E:$E,'Base SKUs'!C:C),"")</f>
        <v>Long</v>
      </c>
      <c r="L1087" t="str">
        <f>IFERROR(_xlfn.XLOOKUP($A1087,'Base SKUs'!$E:$E,'Base SKUs'!D:D),"")</f>
        <v>Thermowood</v>
      </c>
      <c r="M1087" t="str">
        <f>IFERROR(_xlfn.XLOOKUP($A1087,'Base SKUs'!$E:$E,'Base SKUs'!G:G),"")</f>
        <v>Maximo Thermo Ayous</v>
      </c>
      <c r="N1087" t="str">
        <f>IFERROR(_xlfn.XLOOKUP($A1087,'Base SKUs'!$E:$E,'Base SKUs'!H:H),"")</f>
        <v>VJoint - Nickel Gap</v>
      </c>
      <c r="O1087" t="str">
        <f>IFERROR(_xlfn.XLOOKUP($A1087,'Base SKUs'!$E:$E,'Base SKUs'!I:I),"")</f>
        <v>-</v>
      </c>
      <c r="P1087" t="str">
        <f>IFERROR(_xlfn.XLOOKUP($A1087,'Base SKUs'!$E:$E,'Base SKUs'!J:J),"")</f>
        <v>1x6</v>
      </c>
      <c r="Q1087">
        <f>IFERROR(_xlfn.XLOOKUP($A1087,'Base SKUs'!$E:$E,'Base SKUs'!K:K),"")</f>
        <v>10</v>
      </c>
      <c r="R1087" s="7">
        <f>IFERROR(_xlfn.XLOOKUP($A1087,'Base SKUs'!$E:$E,'Base SKUs'!S:S),"")</f>
        <v>7.980000000000001E-3</v>
      </c>
      <c r="S1087" s="8">
        <f t="shared" si="82"/>
        <v>5.5860000000000007E-2</v>
      </c>
      <c r="T1087" s="7">
        <f>IFERROR(_xlfn.XLOOKUP($A1087,'Base SKUs'!$E:$E,'Base SKUs'!R:R),"")</f>
        <v>1233.3979999999999</v>
      </c>
      <c r="U1087" s="15">
        <f t="shared" si="83"/>
        <v>69</v>
      </c>
      <c r="V1087" t="str">
        <f t="shared" si="84"/>
        <v>Texas</v>
      </c>
    </row>
    <row r="1088" spans="1:22" x14ac:dyDescent="0.2">
      <c r="A1088" t="s">
        <v>1491</v>
      </c>
      <c r="B1088" s="5">
        <v>2123</v>
      </c>
      <c r="C1088" s="5">
        <v>1569</v>
      </c>
      <c r="D1088" s="5">
        <f t="shared" si="80"/>
        <v>554</v>
      </c>
      <c r="E1088" s="6">
        <v>16.420000000000002</v>
      </c>
      <c r="F1088" s="6">
        <f t="shared" si="81"/>
        <v>34859.660000000003</v>
      </c>
      <c r="G1088" t="s">
        <v>330</v>
      </c>
      <c r="H1088">
        <v>9011</v>
      </c>
      <c r="I1088" t="str">
        <f>IFERROR(_xlfn.XLOOKUP($A1088,'Base SKUs'!$E:$E,'Base SKUs'!A:A),"")</f>
        <v>Ayous</v>
      </c>
      <c r="J1088" t="str">
        <f>IFERROR(_xlfn.XLOOKUP($A1088,'Base SKUs'!$E:$E,'Base SKUs'!B:B),"")</f>
        <v>Ayous 1x6</v>
      </c>
      <c r="K1088" t="str">
        <f>IFERROR(_xlfn.XLOOKUP($A1088,'Base SKUs'!$E:$E,'Base SKUs'!C:C),"")</f>
        <v>Long</v>
      </c>
      <c r="L1088" t="str">
        <f>IFERROR(_xlfn.XLOOKUP($A1088,'Base SKUs'!$E:$E,'Base SKUs'!D:D),"")</f>
        <v>Thermowood</v>
      </c>
      <c r="M1088" t="str">
        <f>IFERROR(_xlfn.XLOOKUP($A1088,'Base SKUs'!$E:$E,'Base SKUs'!G:G),"")</f>
        <v>Maximo Thermo Ayous</v>
      </c>
      <c r="N1088" t="str">
        <f>IFERROR(_xlfn.XLOOKUP($A1088,'Base SKUs'!$E:$E,'Base SKUs'!H:H),"")</f>
        <v>VJoint - Nickel Gap</v>
      </c>
      <c r="O1088" t="str">
        <f>IFERROR(_xlfn.XLOOKUP($A1088,'Base SKUs'!$E:$E,'Base SKUs'!I:I),"")</f>
        <v>-</v>
      </c>
      <c r="P1088" t="str">
        <f>IFERROR(_xlfn.XLOOKUP($A1088,'Base SKUs'!$E:$E,'Base SKUs'!J:J),"")</f>
        <v>1x6</v>
      </c>
      <c r="Q1088">
        <f>IFERROR(_xlfn.XLOOKUP($A1088,'Base SKUs'!$E:$E,'Base SKUs'!K:K),"")</f>
        <v>10</v>
      </c>
      <c r="R1088" s="7">
        <f>IFERROR(_xlfn.XLOOKUP($A1088,'Base SKUs'!$E:$E,'Base SKUs'!S:S),"")</f>
        <v>7.980000000000001E-3</v>
      </c>
      <c r="S1088" s="8">
        <f t="shared" si="82"/>
        <v>4.4209200000000006</v>
      </c>
      <c r="T1088" s="7">
        <f>IFERROR(_xlfn.XLOOKUP($A1088,'Base SKUs'!$E:$E,'Base SKUs'!R:R),"")</f>
        <v>1233.3979999999999</v>
      </c>
      <c r="U1088" s="15">
        <f t="shared" si="83"/>
        <v>5453</v>
      </c>
      <c r="V1088" t="str">
        <f t="shared" si="84"/>
        <v>New York</v>
      </c>
    </row>
    <row r="1089" spans="1:22" x14ac:dyDescent="0.2">
      <c r="A1089" t="s">
        <v>1491</v>
      </c>
      <c r="B1089" s="5">
        <v>2205</v>
      </c>
      <c r="C1089" s="5">
        <v>0</v>
      </c>
      <c r="D1089" s="5">
        <f t="shared" si="80"/>
        <v>2205</v>
      </c>
      <c r="E1089" s="6">
        <v>18.477900000000002</v>
      </c>
      <c r="F1089" s="6">
        <f t="shared" si="81"/>
        <v>40743.769500000002</v>
      </c>
      <c r="G1089" t="s">
        <v>500</v>
      </c>
      <c r="H1089">
        <v>9012</v>
      </c>
      <c r="I1089" t="str">
        <f>IFERROR(_xlfn.XLOOKUP($A1089,'Base SKUs'!$E:$E,'Base SKUs'!A:A),"")</f>
        <v>Ayous</v>
      </c>
      <c r="J1089" t="str">
        <f>IFERROR(_xlfn.XLOOKUP($A1089,'Base SKUs'!$E:$E,'Base SKUs'!B:B),"")</f>
        <v>Ayous 1x6</v>
      </c>
      <c r="K1089" t="str">
        <f>IFERROR(_xlfn.XLOOKUP($A1089,'Base SKUs'!$E:$E,'Base SKUs'!C:C),"")</f>
        <v>Long</v>
      </c>
      <c r="L1089" t="str">
        <f>IFERROR(_xlfn.XLOOKUP($A1089,'Base SKUs'!$E:$E,'Base SKUs'!D:D),"")</f>
        <v>Thermowood</v>
      </c>
      <c r="M1089" t="str">
        <f>IFERROR(_xlfn.XLOOKUP($A1089,'Base SKUs'!$E:$E,'Base SKUs'!G:G),"")</f>
        <v>Maximo Thermo Ayous</v>
      </c>
      <c r="N1089" t="str">
        <f>IFERROR(_xlfn.XLOOKUP($A1089,'Base SKUs'!$E:$E,'Base SKUs'!H:H),"")</f>
        <v>VJoint - Nickel Gap</v>
      </c>
      <c r="O1089" t="str">
        <f>IFERROR(_xlfn.XLOOKUP($A1089,'Base SKUs'!$E:$E,'Base SKUs'!I:I),"")</f>
        <v>-</v>
      </c>
      <c r="P1089" t="str">
        <f>IFERROR(_xlfn.XLOOKUP($A1089,'Base SKUs'!$E:$E,'Base SKUs'!J:J),"")</f>
        <v>1x6</v>
      </c>
      <c r="Q1089">
        <f>IFERROR(_xlfn.XLOOKUP($A1089,'Base SKUs'!$E:$E,'Base SKUs'!K:K),"")</f>
        <v>10</v>
      </c>
      <c r="R1089" s="7">
        <f>IFERROR(_xlfn.XLOOKUP($A1089,'Base SKUs'!$E:$E,'Base SKUs'!S:S),"")</f>
        <v>7.980000000000001E-3</v>
      </c>
      <c r="S1089" s="8">
        <f t="shared" si="82"/>
        <v>17.595900000000004</v>
      </c>
      <c r="T1089" s="7">
        <f>IFERROR(_xlfn.XLOOKUP($A1089,'Base SKUs'!$E:$E,'Base SKUs'!R:R),"")</f>
        <v>1233.3979999999999</v>
      </c>
      <c r="U1089" s="15">
        <f t="shared" si="83"/>
        <v>21703</v>
      </c>
      <c r="V1089" t="str">
        <f t="shared" si="84"/>
        <v>HW Perris</v>
      </c>
    </row>
    <row r="1090" spans="1:22" x14ac:dyDescent="0.2">
      <c r="A1090" t="s">
        <v>1493</v>
      </c>
      <c r="B1090" s="5">
        <v>55</v>
      </c>
      <c r="C1090" s="5">
        <v>55</v>
      </c>
      <c r="D1090" s="5">
        <f t="shared" ref="D1090:D1153" si="85">B1090-C1090</f>
        <v>0</v>
      </c>
      <c r="E1090" s="6">
        <v>19.632300000000001</v>
      </c>
      <c r="F1090" s="6">
        <f t="shared" ref="F1090:F1153" si="86">B1090*E1090</f>
        <v>1079.7764999999999</v>
      </c>
      <c r="G1090" t="s">
        <v>17</v>
      </c>
      <c r="H1090">
        <v>9007</v>
      </c>
      <c r="I1090" t="str">
        <f>IFERROR(_xlfn.XLOOKUP($A1090,'Base SKUs'!$E:$E,'Base SKUs'!A:A),"")</f>
        <v>Ayous</v>
      </c>
      <c r="J1090" t="str">
        <f>IFERROR(_xlfn.XLOOKUP($A1090,'Base SKUs'!$E:$E,'Base SKUs'!B:B),"")</f>
        <v>Ayous 1x6</v>
      </c>
      <c r="K1090" t="str">
        <f>IFERROR(_xlfn.XLOOKUP($A1090,'Base SKUs'!$E:$E,'Base SKUs'!C:C),"")</f>
        <v>Long</v>
      </c>
      <c r="L1090" t="str">
        <f>IFERROR(_xlfn.XLOOKUP($A1090,'Base SKUs'!$E:$E,'Base SKUs'!D:D),"")</f>
        <v>Thermowood</v>
      </c>
      <c r="M1090" t="str">
        <f>IFERROR(_xlfn.XLOOKUP($A1090,'Base SKUs'!$E:$E,'Base SKUs'!G:G),"")</f>
        <v>Maximo Thermo Ayous</v>
      </c>
      <c r="N1090" t="str">
        <f>IFERROR(_xlfn.XLOOKUP($A1090,'Base SKUs'!$E:$E,'Base SKUs'!H:H),"")</f>
        <v>VJoint - Nickel Gap</v>
      </c>
      <c r="O1090" t="str">
        <f>IFERROR(_xlfn.XLOOKUP($A1090,'Base SKUs'!$E:$E,'Base SKUs'!I:I),"")</f>
        <v>-</v>
      </c>
      <c r="P1090" t="str">
        <f>IFERROR(_xlfn.XLOOKUP($A1090,'Base SKUs'!$E:$E,'Base SKUs'!J:J),"")</f>
        <v>1x6</v>
      </c>
      <c r="Q1090">
        <f>IFERROR(_xlfn.XLOOKUP($A1090,'Base SKUs'!$E:$E,'Base SKUs'!K:K),"")</f>
        <v>11</v>
      </c>
      <c r="R1090" s="7">
        <f>IFERROR(_xlfn.XLOOKUP($A1090,'Base SKUs'!$E:$E,'Base SKUs'!S:S),"")</f>
        <v>8.7779999999999993E-3</v>
      </c>
      <c r="S1090" s="8">
        <f t="shared" ref="S1090:S1153" si="87">IF(OR(L1090="Saicos",L1090="Oil",L1090="US4",L1090="Wood Table",L1090="Woca",L1090="Norx",N1090="Tiles"),D1090,D1090*R1090)</f>
        <v>0</v>
      </c>
      <c r="T1090" s="7">
        <f>IFERROR(_xlfn.XLOOKUP($A1090,'Base SKUs'!$E:$E,'Base SKUs'!R:R),"")</f>
        <v>1233.3979999999999</v>
      </c>
      <c r="U1090" s="15">
        <f t="shared" ref="U1090:U1153" si="88">ROUND(IF(OR(L1090="Saicos",L1090="Oil",L1090="US4",L1090="Wood Table",L1090="Woca",L1090="Norx",N1090="Tiles"),D1090,S1090*T1090),0)</f>
        <v>0</v>
      </c>
      <c r="V1090" t="str">
        <f t="shared" ref="V1090:V1153" si="89">IF(H1090=9007,"Miami",IF(H1090=9008,"Texas",IF(H1090=9009,"Boston",IF(H1090=9010,"BS Detroit",IF(H1090=9011,"New York",IF(H1090=9012,"HW Perris",IF(H1090=9013,"BS Riverside",IF(H1090=9014,"On the Way",IF(H1090=9015,"Russin",IF(H1090=9016,"Palm Beach",""))))))))))</f>
        <v>Miami</v>
      </c>
    </row>
    <row r="1091" spans="1:22" x14ac:dyDescent="0.2">
      <c r="A1091" t="s">
        <v>1493</v>
      </c>
      <c r="B1091" s="5">
        <v>781</v>
      </c>
      <c r="C1091" s="5">
        <v>781</v>
      </c>
      <c r="D1091" s="5">
        <f t="shared" si="85"/>
        <v>0</v>
      </c>
      <c r="E1091" s="6">
        <v>18.033799999999999</v>
      </c>
      <c r="F1091" s="6">
        <f t="shared" si="86"/>
        <v>14084.397799999999</v>
      </c>
      <c r="G1091" t="s">
        <v>24</v>
      </c>
      <c r="H1091">
        <v>9008</v>
      </c>
      <c r="I1091" t="str">
        <f>IFERROR(_xlfn.XLOOKUP($A1091,'Base SKUs'!$E:$E,'Base SKUs'!A:A),"")</f>
        <v>Ayous</v>
      </c>
      <c r="J1091" t="str">
        <f>IFERROR(_xlfn.XLOOKUP($A1091,'Base SKUs'!$E:$E,'Base SKUs'!B:B),"")</f>
        <v>Ayous 1x6</v>
      </c>
      <c r="K1091" t="str">
        <f>IFERROR(_xlfn.XLOOKUP($A1091,'Base SKUs'!$E:$E,'Base SKUs'!C:C),"")</f>
        <v>Long</v>
      </c>
      <c r="L1091" t="str">
        <f>IFERROR(_xlfn.XLOOKUP($A1091,'Base SKUs'!$E:$E,'Base SKUs'!D:D),"")</f>
        <v>Thermowood</v>
      </c>
      <c r="M1091" t="str">
        <f>IFERROR(_xlfn.XLOOKUP($A1091,'Base SKUs'!$E:$E,'Base SKUs'!G:G),"")</f>
        <v>Maximo Thermo Ayous</v>
      </c>
      <c r="N1091" t="str">
        <f>IFERROR(_xlfn.XLOOKUP($A1091,'Base SKUs'!$E:$E,'Base SKUs'!H:H),"")</f>
        <v>VJoint - Nickel Gap</v>
      </c>
      <c r="O1091" t="str">
        <f>IFERROR(_xlfn.XLOOKUP($A1091,'Base SKUs'!$E:$E,'Base SKUs'!I:I),"")</f>
        <v>-</v>
      </c>
      <c r="P1091" t="str">
        <f>IFERROR(_xlfn.XLOOKUP($A1091,'Base SKUs'!$E:$E,'Base SKUs'!J:J),"")</f>
        <v>1x6</v>
      </c>
      <c r="Q1091">
        <f>IFERROR(_xlfn.XLOOKUP($A1091,'Base SKUs'!$E:$E,'Base SKUs'!K:K),"")</f>
        <v>11</v>
      </c>
      <c r="R1091" s="7">
        <f>IFERROR(_xlfn.XLOOKUP($A1091,'Base SKUs'!$E:$E,'Base SKUs'!S:S),"")</f>
        <v>8.7779999999999993E-3</v>
      </c>
      <c r="S1091" s="8">
        <f t="shared" si="87"/>
        <v>0</v>
      </c>
      <c r="T1091" s="7">
        <f>IFERROR(_xlfn.XLOOKUP($A1091,'Base SKUs'!$E:$E,'Base SKUs'!R:R),"")</f>
        <v>1233.3979999999999</v>
      </c>
      <c r="U1091" s="15">
        <f t="shared" si="88"/>
        <v>0</v>
      </c>
      <c r="V1091" t="str">
        <f t="shared" si="89"/>
        <v>Texas</v>
      </c>
    </row>
    <row r="1092" spans="1:22" x14ac:dyDescent="0.2">
      <c r="A1092" t="s">
        <v>1493</v>
      </c>
      <c r="B1092" s="5">
        <v>322</v>
      </c>
      <c r="C1092" s="5">
        <v>264</v>
      </c>
      <c r="D1092" s="5">
        <f t="shared" si="85"/>
        <v>58</v>
      </c>
      <c r="E1092" s="6">
        <v>18.319099999999999</v>
      </c>
      <c r="F1092" s="6">
        <f t="shared" si="86"/>
        <v>5898.7501999999995</v>
      </c>
      <c r="G1092" t="s">
        <v>330</v>
      </c>
      <c r="H1092">
        <v>9011</v>
      </c>
      <c r="I1092" t="str">
        <f>IFERROR(_xlfn.XLOOKUP($A1092,'Base SKUs'!$E:$E,'Base SKUs'!A:A),"")</f>
        <v>Ayous</v>
      </c>
      <c r="J1092" t="str">
        <f>IFERROR(_xlfn.XLOOKUP($A1092,'Base SKUs'!$E:$E,'Base SKUs'!B:B),"")</f>
        <v>Ayous 1x6</v>
      </c>
      <c r="K1092" t="str">
        <f>IFERROR(_xlfn.XLOOKUP($A1092,'Base SKUs'!$E:$E,'Base SKUs'!C:C),"")</f>
        <v>Long</v>
      </c>
      <c r="L1092" t="str">
        <f>IFERROR(_xlfn.XLOOKUP($A1092,'Base SKUs'!$E:$E,'Base SKUs'!D:D),"")</f>
        <v>Thermowood</v>
      </c>
      <c r="M1092" t="str">
        <f>IFERROR(_xlfn.XLOOKUP($A1092,'Base SKUs'!$E:$E,'Base SKUs'!G:G),"")</f>
        <v>Maximo Thermo Ayous</v>
      </c>
      <c r="N1092" t="str">
        <f>IFERROR(_xlfn.XLOOKUP($A1092,'Base SKUs'!$E:$E,'Base SKUs'!H:H),"")</f>
        <v>VJoint - Nickel Gap</v>
      </c>
      <c r="O1092" t="str">
        <f>IFERROR(_xlfn.XLOOKUP($A1092,'Base SKUs'!$E:$E,'Base SKUs'!I:I),"")</f>
        <v>-</v>
      </c>
      <c r="P1092" t="str">
        <f>IFERROR(_xlfn.XLOOKUP($A1092,'Base SKUs'!$E:$E,'Base SKUs'!J:J),"")</f>
        <v>1x6</v>
      </c>
      <c r="Q1092">
        <f>IFERROR(_xlfn.XLOOKUP($A1092,'Base SKUs'!$E:$E,'Base SKUs'!K:K),"")</f>
        <v>11</v>
      </c>
      <c r="R1092" s="7">
        <f>IFERROR(_xlfn.XLOOKUP($A1092,'Base SKUs'!$E:$E,'Base SKUs'!S:S),"")</f>
        <v>8.7779999999999993E-3</v>
      </c>
      <c r="S1092" s="8">
        <f t="shared" si="87"/>
        <v>0.50912399999999991</v>
      </c>
      <c r="T1092" s="7">
        <f>IFERROR(_xlfn.XLOOKUP($A1092,'Base SKUs'!$E:$E,'Base SKUs'!R:R),"")</f>
        <v>1233.3979999999999</v>
      </c>
      <c r="U1092" s="15">
        <f t="shared" si="88"/>
        <v>628</v>
      </c>
      <c r="V1092" t="str">
        <f t="shared" si="89"/>
        <v>New York</v>
      </c>
    </row>
    <row r="1093" spans="1:22" x14ac:dyDescent="0.2">
      <c r="A1093" t="s">
        <v>1493</v>
      </c>
      <c r="B1093" s="5">
        <v>490</v>
      </c>
      <c r="C1093" s="5">
        <v>0</v>
      </c>
      <c r="D1093" s="5">
        <f t="shared" si="85"/>
        <v>490</v>
      </c>
      <c r="E1093" s="6">
        <v>20.363299999999999</v>
      </c>
      <c r="F1093" s="6">
        <f t="shared" si="86"/>
        <v>9978.0169999999998</v>
      </c>
      <c r="G1093" t="s">
        <v>500</v>
      </c>
      <c r="H1093">
        <v>9012</v>
      </c>
      <c r="I1093" t="str">
        <f>IFERROR(_xlfn.XLOOKUP($A1093,'Base SKUs'!$E:$E,'Base SKUs'!A:A),"")</f>
        <v>Ayous</v>
      </c>
      <c r="J1093" t="str">
        <f>IFERROR(_xlfn.XLOOKUP($A1093,'Base SKUs'!$E:$E,'Base SKUs'!B:B),"")</f>
        <v>Ayous 1x6</v>
      </c>
      <c r="K1093" t="str">
        <f>IFERROR(_xlfn.XLOOKUP($A1093,'Base SKUs'!$E:$E,'Base SKUs'!C:C),"")</f>
        <v>Long</v>
      </c>
      <c r="L1093" t="str">
        <f>IFERROR(_xlfn.XLOOKUP($A1093,'Base SKUs'!$E:$E,'Base SKUs'!D:D),"")</f>
        <v>Thermowood</v>
      </c>
      <c r="M1093" t="str">
        <f>IFERROR(_xlfn.XLOOKUP($A1093,'Base SKUs'!$E:$E,'Base SKUs'!G:G),"")</f>
        <v>Maximo Thermo Ayous</v>
      </c>
      <c r="N1093" t="str">
        <f>IFERROR(_xlfn.XLOOKUP($A1093,'Base SKUs'!$E:$E,'Base SKUs'!H:H),"")</f>
        <v>VJoint - Nickel Gap</v>
      </c>
      <c r="O1093" t="str">
        <f>IFERROR(_xlfn.XLOOKUP($A1093,'Base SKUs'!$E:$E,'Base SKUs'!I:I),"")</f>
        <v>-</v>
      </c>
      <c r="P1093" t="str">
        <f>IFERROR(_xlfn.XLOOKUP($A1093,'Base SKUs'!$E:$E,'Base SKUs'!J:J),"")</f>
        <v>1x6</v>
      </c>
      <c r="Q1093">
        <f>IFERROR(_xlfn.XLOOKUP($A1093,'Base SKUs'!$E:$E,'Base SKUs'!K:K),"")</f>
        <v>11</v>
      </c>
      <c r="R1093" s="7">
        <f>IFERROR(_xlfn.XLOOKUP($A1093,'Base SKUs'!$E:$E,'Base SKUs'!S:S),"")</f>
        <v>8.7779999999999993E-3</v>
      </c>
      <c r="S1093" s="8">
        <f t="shared" si="87"/>
        <v>4.3012199999999998</v>
      </c>
      <c r="T1093" s="7">
        <f>IFERROR(_xlfn.XLOOKUP($A1093,'Base SKUs'!$E:$E,'Base SKUs'!R:R),"")</f>
        <v>1233.3979999999999</v>
      </c>
      <c r="U1093" s="15">
        <f t="shared" si="88"/>
        <v>5305</v>
      </c>
      <c r="V1093" t="str">
        <f t="shared" si="89"/>
        <v>HW Perris</v>
      </c>
    </row>
    <row r="1094" spans="1:22" x14ac:dyDescent="0.2">
      <c r="A1094" t="s">
        <v>1495</v>
      </c>
      <c r="B1094" s="5">
        <v>525</v>
      </c>
      <c r="C1094" s="5">
        <v>211</v>
      </c>
      <c r="D1094" s="5">
        <f t="shared" si="85"/>
        <v>314</v>
      </c>
      <c r="E1094" s="6">
        <v>22.252700000000001</v>
      </c>
      <c r="F1094" s="6">
        <f t="shared" si="86"/>
        <v>11682.6675</v>
      </c>
      <c r="G1094" t="s">
        <v>17</v>
      </c>
      <c r="H1094">
        <v>9007</v>
      </c>
      <c r="I1094" t="str">
        <f>IFERROR(_xlfn.XLOOKUP($A1094,'Base SKUs'!$E:$E,'Base SKUs'!A:A),"")</f>
        <v>Ayous</v>
      </c>
      <c r="J1094" t="str">
        <f>IFERROR(_xlfn.XLOOKUP($A1094,'Base SKUs'!$E:$E,'Base SKUs'!B:B),"")</f>
        <v>Ayous 1x6</v>
      </c>
      <c r="K1094" t="str">
        <f>IFERROR(_xlfn.XLOOKUP($A1094,'Base SKUs'!$E:$E,'Base SKUs'!C:C),"")</f>
        <v>Long</v>
      </c>
      <c r="L1094" t="str">
        <f>IFERROR(_xlfn.XLOOKUP($A1094,'Base SKUs'!$E:$E,'Base SKUs'!D:D),"")</f>
        <v>Thermowood</v>
      </c>
      <c r="M1094" t="str">
        <f>IFERROR(_xlfn.XLOOKUP($A1094,'Base SKUs'!$E:$E,'Base SKUs'!G:G),"")</f>
        <v>Maximo Thermo Ayous</v>
      </c>
      <c r="N1094" t="str">
        <f>IFERROR(_xlfn.XLOOKUP($A1094,'Base SKUs'!$E:$E,'Base SKUs'!H:H),"")</f>
        <v>VJoint - Nickel Gap</v>
      </c>
      <c r="O1094" t="str">
        <f>IFERROR(_xlfn.XLOOKUP($A1094,'Base SKUs'!$E:$E,'Base SKUs'!I:I),"")</f>
        <v>-</v>
      </c>
      <c r="P1094" t="str">
        <f>IFERROR(_xlfn.XLOOKUP($A1094,'Base SKUs'!$E:$E,'Base SKUs'!J:J),"")</f>
        <v>1x6</v>
      </c>
      <c r="Q1094">
        <f>IFERROR(_xlfn.XLOOKUP($A1094,'Base SKUs'!$E:$E,'Base SKUs'!K:K),"")</f>
        <v>12</v>
      </c>
      <c r="R1094" s="7">
        <f>IFERROR(_xlfn.XLOOKUP($A1094,'Base SKUs'!$E:$E,'Base SKUs'!S:S),"")</f>
        <v>9.5760000000000012E-3</v>
      </c>
      <c r="S1094" s="8">
        <f t="shared" si="87"/>
        <v>3.0068640000000002</v>
      </c>
      <c r="T1094" s="7">
        <f>IFERROR(_xlfn.XLOOKUP($A1094,'Base SKUs'!$E:$E,'Base SKUs'!R:R),"")</f>
        <v>1233.3979999999999</v>
      </c>
      <c r="U1094" s="15">
        <f t="shared" si="88"/>
        <v>3709</v>
      </c>
      <c r="V1094" t="str">
        <f t="shared" si="89"/>
        <v>Miami</v>
      </c>
    </row>
    <row r="1095" spans="1:22" x14ac:dyDescent="0.2">
      <c r="A1095" t="s">
        <v>1495</v>
      </c>
      <c r="B1095" s="5">
        <v>438</v>
      </c>
      <c r="C1095" s="5">
        <v>438</v>
      </c>
      <c r="D1095" s="5">
        <f t="shared" si="85"/>
        <v>0</v>
      </c>
      <c r="E1095" s="6">
        <v>19.676300000000001</v>
      </c>
      <c r="F1095" s="6">
        <f t="shared" si="86"/>
        <v>8618.2194</v>
      </c>
      <c r="G1095" t="s">
        <v>24</v>
      </c>
      <c r="H1095">
        <v>9008</v>
      </c>
      <c r="I1095" t="str">
        <f>IFERROR(_xlfn.XLOOKUP($A1095,'Base SKUs'!$E:$E,'Base SKUs'!A:A),"")</f>
        <v>Ayous</v>
      </c>
      <c r="J1095" t="str">
        <f>IFERROR(_xlfn.XLOOKUP($A1095,'Base SKUs'!$E:$E,'Base SKUs'!B:B),"")</f>
        <v>Ayous 1x6</v>
      </c>
      <c r="K1095" t="str">
        <f>IFERROR(_xlfn.XLOOKUP($A1095,'Base SKUs'!$E:$E,'Base SKUs'!C:C),"")</f>
        <v>Long</v>
      </c>
      <c r="L1095" t="str">
        <f>IFERROR(_xlfn.XLOOKUP($A1095,'Base SKUs'!$E:$E,'Base SKUs'!D:D),"")</f>
        <v>Thermowood</v>
      </c>
      <c r="M1095" t="str">
        <f>IFERROR(_xlfn.XLOOKUP($A1095,'Base SKUs'!$E:$E,'Base SKUs'!G:G),"")</f>
        <v>Maximo Thermo Ayous</v>
      </c>
      <c r="N1095" t="str">
        <f>IFERROR(_xlfn.XLOOKUP($A1095,'Base SKUs'!$E:$E,'Base SKUs'!H:H),"")</f>
        <v>VJoint - Nickel Gap</v>
      </c>
      <c r="O1095" t="str">
        <f>IFERROR(_xlfn.XLOOKUP($A1095,'Base SKUs'!$E:$E,'Base SKUs'!I:I),"")</f>
        <v>-</v>
      </c>
      <c r="P1095" t="str">
        <f>IFERROR(_xlfn.XLOOKUP($A1095,'Base SKUs'!$E:$E,'Base SKUs'!J:J),"")</f>
        <v>1x6</v>
      </c>
      <c r="Q1095">
        <f>IFERROR(_xlfn.XLOOKUP($A1095,'Base SKUs'!$E:$E,'Base SKUs'!K:K),"")</f>
        <v>12</v>
      </c>
      <c r="R1095" s="7">
        <f>IFERROR(_xlfn.XLOOKUP($A1095,'Base SKUs'!$E:$E,'Base SKUs'!S:S),"")</f>
        <v>9.5760000000000012E-3</v>
      </c>
      <c r="S1095" s="8">
        <f t="shared" si="87"/>
        <v>0</v>
      </c>
      <c r="T1095" s="7">
        <f>IFERROR(_xlfn.XLOOKUP($A1095,'Base SKUs'!$E:$E,'Base SKUs'!R:R),"")</f>
        <v>1233.3979999999999</v>
      </c>
      <c r="U1095" s="15">
        <f t="shared" si="88"/>
        <v>0</v>
      </c>
      <c r="V1095" t="str">
        <f t="shared" si="89"/>
        <v>Texas</v>
      </c>
    </row>
    <row r="1096" spans="1:22" x14ac:dyDescent="0.2">
      <c r="A1096" t="s">
        <v>1495</v>
      </c>
      <c r="B1096" s="5">
        <v>914</v>
      </c>
      <c r="C1096" s="5">
        <v>749</v>
      </c>
      <c r="D1096" s="5">
        <f t="shared" si="85"/>
        <v>165</v>
      </c>
      <c r="E1096" s="6">
        <v>19.641999999999999</v>
      </c>
      <c r="F1096" s="6">
        <f t="shared" si="86"/>
        <v>17952.788</v>
      </c>
      <c r="G1096" t="s">
        <v>330</v>
      </c>
      <c r="H1096">
        <v>9011</v>
      </c>
      <c r="I1096" t="str">
        <f>IFERROR(_xlfn.XLOOKUP($A1096,'Base SKUs'!$E:$E,'Base SKUs'!A:A),"")</f>
        <v>Ayous</v>
      </c>
      <c r="J1096" t="str">
        <f>IFERROR(_xlfn.XLOOKUP($A1096,'Base SKUs'!$E:$E,'Base SKUs'!B:B),"")</f>
        <v>Ayous 1x6</v>
      </c>
      <c r="K1096" t="str">
        <f>IFERROR(_xlfn.XLOOKUP($A1096,'Base SKUs'!$E:$E,'Base SKUs'!C:C),"")</f>
        <v>Long</v>
      </c>
      <c r="L1096" t="str">
        <f>IFERROR(_xlfn.XLOOKUP($A1096,'Base SKUs'!$E:$E,'Base SKUs'!D:D),"")</f>
        <v>Thermowood</v>
      </c>
      <c r="M1096" t="str">
        <f>IFERROR(_xlfn.XLOOKUP($A1096,'Base SKUs'!$E:$E,'Base SKUs'!G:G),"")</f>
        <v>Maximo Thermo Ayous</v>
      </c>
      <c r="N1096" t="str">
        <f>IFERROR(_xlfn.XLOOKUP($A1096,'Base SKUs'!$E:$E,'Base SKUs'!H:H),"")</f>
        <v>VJoint - Nickel Gap</v>
      </c>
      <c r="O1096" t="str">
        <f>IFERROR(_xlfn.XLOOKUP($A1096,'Base SKUs'!$E:$E,'Base SKUs'!I:I),"")</f>
        <v>-</v>
      </c>
      <c r="P1096" t="str">
        <f>IFERROR(_xlfn.XLOOKUP($A1096,'Base SKUs'!$E:$E,'Base SKUs'!J:J),"")</f>
        <v>1x6</v>
      </c>
      <c r="Q1096">
        <f>IFERROR(_xlfn.XLOOKUP($A1096,'Base SKUs'!$E:$E,'Base SKUs'!K:K),"")</f>
        <v>12</v>
      </c>
      <c r="R1096" s="7">
        <f>IFERROR(_xlfn.XLOOKUP($A1096,'Base SKUs'!$E:$E,'Base SKUs'!S:S),"")</f>
        <v>9.5760000000000012E-3</v>
      </c>
      <c r="S1096" s="8">
        <f t="shared" si="87"/>
        <v>1.5800400000000001</v>
      </c>
      <c r="T1096" s="7">
        <f>IFERROR(_xlfn.XLOOKUP($A1096,'Base SKUs'!$E:$E,'Base SKUs'!R:R),"")</f>
        <v>1233.3979999999999</v>
      </c>
      <c r="U1096" s="15">
        <f t="shared" si="88"/>
        <v>1949</v>
      </c>
      <c r="V1096" t="str">
        <f t="shared" si="89"/>
        <v>New York</v>
      </c>
    </row>
    <row r="1097" spans="1:22" x14ac:dyDescent="0.2">
      <c r="A1097" t="s">
        <v>1497</v>
      </c>
      <c r="B1097" s="5">
        <v>177</v>
      </c>
      <c r="C1097" s="5">
        <v>76</v>
      </c>
      <c r="D1097" s="5">
        <f t="shared" si="85"/>
        <v>101</v>
      </c>
      <c r="E1097" s="6">
        <v>23.116299999999999</v>
      </c>
      <c r="F1097" s="6">
        <f t="shared" si="86"/>
        <v>4091.5850999999998</v>
      </c>
      <c r="G1097" t="s">
        <v>17</v>
      </c>
      <c r="H1097">
        <v>9007</v>
      </c>
      <c r="I1097" t="str">
        <f>IFERROR(_xlfn.XLOOKUP($A1097,'Base SKUs'!$E:$E,'Base SKUs'!A:A),"")</f>
        <v>Ayous</v>
      </c>
      <c r="J1097" t="str">
        <f>IFERROR(_xlfn.XLOOKUP($A1097,'Base SKUs'!$E:$E,'Base SKUs'!B:B),"")</f>
        <v>Ayous 1x6</v>
      </c>
      <c r="K1097" t="str">
        <f>IFERROR(_xlfn.XLOOKUP($A1097,'Base SKUs'!$E:$E,'Base SKUs'!C:C),"")</f>
        <v>Long</v>
      </c>
      <c r="L1097" t="str">
        <f>IFERROR(_xlfn.XLOOKUP($A1097,'Base SKUs'!$E:$E,'Base SKUs'!D:D),"")</f>
        <v>Thermowood</v>
      </c>
      <c r="M1097" t="str">
        <f>IFERROR(_xlfn.XLOOKUP($A1097,'Base SKUs'!$E:$E,'Base SKUs'!G:G),"")</f>
        <v>Maximo Thermo Ayous</v>
      </c>
      <c r="N1097" t="str">
        <f>IFERROR(_xlfn.XLOOKUP($A1097,'Base SKUs'!$E:$E,'Base SKUs'!H:H),"")</f>
        <v>VJoint - Nickel Gap</v>
      </c>
      <c r="O1097" t="str">
        <f>IFERROR(_xlfn.XLOOKUP($A1097,'Base SKUs'!$E:$E,'Base SKUs'!I:I),"")</f>
        <v>-</v>
      </c>
      <c r="P1097" t="str">
        <f>IFERROR(_xlfn.XLOOKUP($A1097,'Base SKUs'!$E:$E,'Base SKUs'!J:J),"")</f>
        <v>1x6</v>
      </c>
      <c r="Q1097">
        <f>IFERROR(_xlfn.XLOOKUP($A1097,'Base SKUs'!$E:$E,'Base SKUs'!K:K),"")</f>
        <v>13</v>
      </c>
      <c r="R1097" s="7">
        <f>IFERROR(_xlfn.XLOOKUP($A1097,'Base SKUs'!$E:$E,'Base SKUs'!S:S),"")</f>
        <v>1.0374000000000001E-2</v>
      </c>
      <c r="S1097" s="8">
        <f t="shared" si="87"/>
        <v>1.0477740000000002</v>
      </c>
      <c r="T1097" s="7">
        <f>IFERROR(_xlfn.XLOOKUP($A1097,'Base SKUs'!$E:$E,'Base SKUs'!R:R),"")</f>
        <v>1233.3979999999999</v>
      </c>
      <c r="U1097" s="15">
        <f t="shared" si="88"/>
        <v>1292</v>
      </c>
      <c r="V1097" t="str">
        <f t="shared" si="89"/>
        <v>Miami</v>
      </c>
    </row>
    <row r="1098" spans="1:22" x14ac:dyDescent="0.2">
      <c r="A1098" t="s">
        <v>1497</v>
      </c>
      <c r="B1098" s="5">
        <v>1943</v>
      </c>
      <c r="C1098" s="5">
        <v>1943</v>
      </c>
      <c r="D1098" s="5">
        <f t="shared" si="85"/>
        <v>0</v>
      </c>
      <c r="E1098" s="6">
        <v>21.238499999999998</v>
      </c>
      <c r="F1098" s="6">
        <f t="shared" si="86"/>
        <v>41266.405499999993</v>
      </c>
      <c r="G1098" t="s">
        <v>24</v>
      </c>
      <c r="H1098">
        <v>9008</v>
      </c>
      <c r="I1098" t="str">
        <f>IFERROR(_xlfn.XLOOKUP($A1098,'Base SKUs'!$E:$E,'Base SKUs'!A:A),"")</f>
        <v>Ayous</v>
      </c>
      <c r="J1098" t="str">
        <f>IFERROR(_xlfn.XLOOKUP($A1098,'Base SKUs'!$E:$E,'Base SKUs'!B:B),"")</f>
        <v>Ayous 1x6</v>
      </c>
      <c r="K1098" t="str">
        <f>IFERROR(_xlfn.XLOOKUP($A1098,'Base SKUs'!$E:$E,'Base SKUs'!C:C),"")</f>
        <v>Long</v>
      </c>
      <c r="L1098" t="str">
        <f>IFERROR(_xlfn.XLOOKUP($A1098,'Base SKUs'!$E:$E,'Base SKUs'!D:D),"")</f>
        <v>Thermowood</v>
      </c>
      <c r="M1098" t="str">
        <f>IFERROR(_xlfn.XLOOKUP($A1098,'Base SKUs'!$E:$E,'Base SKUs'!G:G),"")</f>
        <v>Maximo Thermo Ayous</v>
      </c>
      <c r="N1098" t="str">
        <f>IFERROR(_xlfn.XLOOKUP($A1098,'Base SKUs'!$E:$E,'Base SKUs'!H:H),"")</f>
        <v>VJoint - Nickel Gap</v>
      </c>
      <c r="O1098" t="str">
        <f>IFERROR(_xlfn.XLOOKUP($A1098,'Base SKUs'!$E:$E,'Base SKUs'!I:I),"")</f>
        <v>-</v>
      </c>
      <c r="P1098" t="str">
        <f>IFERROR(_xlfn.XLOOKUP($A1098,'Base SKUs'!$E:$E,'Base SKUs'!J:J),"")</f>
        <v>1x6</v>
      </c>
      <c r="Q1098">
        <f>IFERROR(_xlfn.XLOOKUP($A1098,'Base SKUs'!$E:$E,'Base SKUs'!K:K),"")</f>
        <v>13</v>
      </c>
      <c r="R1098" s="7">
        <f>IFERROR(_xlfn.XLOOKUP($A1098,'Base SKUs'!$E:$E,'Base SKUs'!S:S),"")</f>
        <v>1.0374000000000001E-2</v>
      </c>
      <c r="S1098" s="8">
        <f t="shared" si="87"/>
        <v>0</v>
      </c>
      <c r="T1098" s="7">
        <f>IFERROR(_xlfn.XLOOKUP($A1098,'Base SKUs'!$E:$E,'Base SKUs'!R:R),"")</f>
        <v>1233.3979999999999</v>
      </c>
      <c r="U1098" s="15">
        <f t="shared" si="88"/>
        <v>0</v>
      </c>
      <c r="V1098" t="str">
        <f t="shared" si="89"/>
        <v>Texas</v>
      </c>
    </row>
    <row r="1099" spans="1:22" x14ac:dyDescent="0.2">
      <c r="A1099" t="s">
        <v>1497</v>
      </c>
      <c r="B1099" s="5">
        <v>673</v>
      </c>
      <c r="C1099" s="5">
        <v>391</v>
      </c>
      <c r="D1099" s="5">
        <f t="shared" si="85"/>
        <v>282</v>
      </c>
      <c r="E1099" s="6">
        <v>21.298999999999999</v>
      </c>
      <c r="F1099" s="6">
        <f t="shared" si="86"/>
        <v>14334.226999999999</v>
      </c>
      <c r="G1099" t="s">
        <v>330</v>
      </c>
      <c r="H1099">
        <v>9011</v>
      </c>
      <c r="I1099" t="str">
        <f>IFERROR(_xlfn.XLOOKUP($A1099,'Base SKUs'!$E:$E,'Base SKUs'!A:A),"")</f>
        <v>Ayous</v>
      </c>
      <c r="J1099" t="str">
        <f>IFERROR(_xlfn.XLOOKUP($A1099,'Base SKUs'!$E:$E,'Base SKUs'!B:B),"")</f>
        <v>Ayous 1x6</v>
      </c>
      <c r="K1099" t="str">
        <f>IFERROR(_xlfn.XLOOKUP($A1099,'Base SKUs'!$E:$E,'Base SKUs'!C:C),"")</f>
        <v>Long</v>
      </c>
      <c r="L1099" t="str">
        <f>IFERROR(_xlfn.XLOOKUP($A1099,'Base SKUs'!$E:$E,'Base SKUs'!D:D),"")</f>
        <v>Thermowood</v>
      </c>
      <c r="M1099" t="str">
        <f>IFERROR(_xlfn.XLOOKUP($A1099,'Base SKUs'!$E:$E,'Base SKUs'!G:G),"")</f>
        <v>Maximo Thermo Ayous</v>
      </c>
      <c r="N1099" t="str">
        <f>IFERROR(_xlfn.XLOOKUP($A1099,'Base SKUs'!$E:$E,'Base SKUs'!H:H),"")</f>
        <v>VJoint - Nickel Gap</v>
      </c>
      <c r="O1099" t="str">
        <f>IFERROR(_xlfn.XLOOKUP($A1099,'Base SKUs'!$E:$E,'Base SKUs'!I:I),"")</f>
        <v>-</v>
      </c>
      <c r="P1099" t="str">
        <f>IFERROR(_xlfn.XLOOKUP($A1099,'Base SKUs'!$E:$E,'Base SKUs'!J:J),"")</f>
        <v>1x6</v>
      </c>
      <c r="Q1099">
        <f>IFERROR(_xlfn.XLOOKUP($A1099,'Base SKUs'!$E:$E,'Base SKUs'!K:K),"")</f>
        <v>13</v>
      </c>
      <c r="R1099" s="7">
        <f>IFERROR(_xlfn.XLOOKUP($A1099,'Base SKUs'!$E:$E,'Base SKUs'!S:S),"")</f>
        <v>1.0374000000000001E-2</v>
      </c>
      <c r="S1099" s="8">
        <f t="shared" si="87"/>
        <v>2.9254680000000004</v>
      </c>
      <c r="T1099" s="7">
        <f>IFERROR(_xlfn.XLOOKUP($A1099,'Base SKUs'!$E:$E,'Base SKUs'!R:R),"")</f>
        <v>1233.3979999999999</v>
      </c>
      <c r="U1099" s="15">
        <f t="shared" si="88"/>
        <v>3608</v>
      </c>
      <c r="V1099" t="str">
        <f t="shared" si="89"/>
        <v>New York</v>
      </c>
    </row>
    <row r="1100" spans="1:22" x14ac:dyDescent="0.2">
      <c r="A1100" t="s">
        <v>1497</v>
      </c>
      <c r="B1100" s="5">
        <v>1225</v>
      </c>
      <c r="C1100" s="5">
        <v>0</v>
      </c>
      <c r="D1100" s="5">
        <f t="shared" si="85"/>
        <v>1225</v>
      </c>
      <c r="E1100" s="6">
        <v>23.965599999999998</v>
      </c>
      <c r="F1100" s="6">
        <f t="shared" si="86"/>
        <v>29357.859999999997</v>
      </c>
      <c r="G1100" t="s">
        <v>500</v>
      </c>
      <c r="H1100">
        <v>9012</v>
      </c>
      <c r="I1100" t="str">
        <f>IFERROR(_xlfn.XLOOKUP($A1100,'Base SKUs'!$E:$E,'Base SKUs'!A:A),"")</f>
        <v>Ayous</v>
      </c>
      <c r="J1100" t="str">
        <f>IFERROR(_xlfn.XLOOKUP($A1100,'Base SKUs'!$E:$E,'Base SKUs'!B:B),"")</f>
        <v>Ayous 1x6</v>
      </c>
      <c r="K1100" t="str">
        <f>IFERROR(_xlfn.XLOOKUP($A1100,'Base SKUs'!$E:$E,'Base SKUs'!C:C),"")</f>
        <v>Long</v>
      </c>
      <c r="L1100" t="str">
        <f>IFERROR(_xlfn.XLOOKUP($A1100,'Base SKUs'!$E:$E,'Base SKUs'!D:D),"")</f>
        <v>Thermowood</v>
      </c>
      <c r="M1100" t="str">
        <f>IFERROR(_xlfn.XLOOKUP($A1100,'Base SKUs'!$E:$E,'Base SKUs'!G:G),"")</f>
        <v>Maximo Thermo Ayous</v>
      </c>
      <c r="N1100" t="str">
        <f>IFERROR(_xlfn.XLOOKUP($A1100,'Base SKUs'!$E:$E,'Base SKUs'!H:H),"")</f>
        <v>VJoint - Nickel Gap</v>
      </c>
      <c r="O1100" t="str">
        <f>IFERROR(_xlfn.XLOOKUP($A1100,'Base SKUs'!$E:$E,'Base SKUs'!I:I),"")</f>
        <v>-</v>
      </c>
      <c r="P1100" t="str">
        <f>IFERROR(_xlfn.XLOOKUP($A1100,'Base SKUs'!$E:$E,'Base SKUs'!J:J),"")</f>
        <v>1x6</v>
      </c>
      <c r="Q1100">
        <f>IFERROR(_xlfn.XLOOKUP($A1100,'Base SKUs'!$E:$E,'Base SKUs'!K:K),"")</f>
        <v>13</v>
      </c>
      <c r="R1100" s="7">
        <f>IFERROR(_xlfn.XLOOKUP($A1100,'Base SKUs'!$E:$E,'Base SKUs'!S:S),"")</f>
        <v>1.0374000000000001E-2</v>
      </c>
      <c r="S1100" s="8">
        <f t="shared" si="87"/>
        <v>12.708150000000002</v>
      </c>
      <c r="T1100" s="7">
        <f>IFERROR(_xlfn.XLOOKUP($A1100,'Base SKUs'!$E:$E,'Base SKUs'!R:R),"")</f>
        <v>1233.3979999999999</v>
      </c>
      <c r="U1100" s="15">
        <f t="shared" si="88"/>
        <v>15674</v>
      </c>
      <c r="V1100" t="str">
        <f t="shared" si="89"/>
        <v>HW Perris</v>
      </c>
    </row>
    <row r="1101" spans="1:22" x14ac:dyDescent="0.2">
      <c r="A1101" t="s">
        <v>1499</v>
      </c>
      <c r="B1101" s="5">
        <v>548</v>
      </c>
      <c r="C1101" s="5">
        <v>301</v>
      </c>
      <c r="D1101" s="5">
        <f t="shared" si="85"/>
        <v>247</v>
      </c>
      <c r="E1101" s="6">
        <v>25.288599999999999</v>
      </c>
      <c r="F1101" s="6">
        <f t="shared" si="86"/>
        <v>13858.1528</v>
      </c>
      <c r="G1101" t="s">
        <v>17</v>
      </c>
      <c r="H1101">
        <v>9007</v>
      </c>
      <c r="I1101" t="str">
        <f>IFERROR(_xlfn.XLOOKUP($A1101,'Base SKUs'!$E:$E,'Base SKUs'!A:A),"")</f>
        <v>Ayous</v>
      </c>
      <c r="J1101" t="str">
        <f>IFERROR(_xlfn.XLOOKUP($A1101,'Base SKUs'!$E:$E,'Base SKUs'!B:B),"")</f>
        <v>Ayous 1x6</v>
      </c>
      <c r="K1101" t="str">
        <f>IFERROR(_xlfn.XLOOKUP($A1101,'Base SKUs'!$E:$E,'Base SKUs'!C:C),"")</f>
        <v>Long</v>
      </c>
      <c r="L1101" t="str">
        <f>IFERROR(_xlfn.XLOOKUP($A1101,'Base SKUs'!$E:$E,'Base SKUs'!D:D),"")</f>
        <v>Thermowood</v>
      </c>
      <c r="M1101" t="str">
        <f>IFERROR(_xlfn.XLOOKUP($A1101,'Base SKUs'!$E:$E,'Base SKUs'!G:G),"")</f>
        <v>Maximo Thermo Ayous</v>
      </c>
      <c r="N1101" t="str">
        <f>IFERROR(_xlfn.XLOOKUP($A1101,'Base SKUs'!$E:$E,'Base SKUs'!H:H),"")</f>
        <v>VJoint - Nickel Gap</v>
      </c>
      <c r="O1101" t="str">
        <f>IFERROR(_xlfn.XLOOKUP($A1101,'Base SKUs'!$E:$E,'Base SKUs'!I:I),"")</f>
        <v>-</v>
      </c>
      <c r="P1101" t="str">
        <f>IFERROR(_xlfn.XLOOKUP($A1101,'Base SKUs'!$E:$E,'Base SKUs'!J:J),"")</f>
        <v>1x6</v>
      </c>
      <c r="Q1101">
        <f>IFERROR(_xlfn.XLOOKUP($A1101,'Base SKUs'!$E:$E,'Base SKUs'!K:K),"")</f>
        <v>14</v>
      </c>
      <c r="R1101" s="7">
        <f>IFERROR(_xlfn.XLOOKUP($A1101,'Base SKUs'!$E:$E,'Base SKUs'!S:S),"")</f>
        <v>1.1172E-2</v>
      </c>
      <c r="S1101" s="8">
        <f t="shared" si="87"/>
        <v>2.759484</v>
      </c>
      <c r="T1101" s="7">
        <f>IFERROR(_xlfn.XLOOKUP($A1101,'Base SKUs'!$E:$E,'Base SKUs'!R:R),"")</f>
        <v>1233.3979999999999</v>
      </c>
      <c r="U1101" s="15">
        <f t="shared" si="88"/>
        <v>3404</v>
      </c>
      <c r="V1101" t="str">
        <f t="shared" si="89"/>
        <v>Miami</v>
      </c>
    </row>
    <row r="1102" spans="1:22" x14ac:dyDescent="0.2">
      <c r="A1102" t="s">
        <v>1499</v>
      </c>
      <c r="B1102" s="5">
        <v>575</v>
      </c>
      <c r="C1102" s="5">
        <v>575</v>
      </c>
      <c r="D1102" s="5">
        <f t="shared" si="85"/>
        <v>0</v>
      </c>
      <c r="E1102" s="6">
        <v>22.906099999999999</v>
      </c>
      <c r="F1102" s="6">
        <f t="shared" si="86"/>
        <v>13171.0075</v>
      </c>
      <c r="G1102" t="s">
        <v>24</v>
      </c>
      <c r="H1102">
        <v>9008</v>
      </c>
      <c r="I1102" t="str">
        <f>IFERROR(_xlfn.XLOOKUP($A1102,'Base SKUs'!$E:$E,'Base SKUs'!A:A),"")</f>
        <v>Ayous</v>
      </c>
      <c r="J1102" t="str">
        <f>IFERROR(_xlfn.XLOOKUP($A1102,'Base SKUs'!$E:$E,'Base SKUs'!B:B),"")</f>
        <v>Ayous 1x6</v>
      </c>
      <c r="K1102" t="str">
        <f>IFERROR(_xlfn.XLOOKUP($A1102,'Base SKUs'!$E:$E,'Base SKUs'!C:C),"")</f>
        <v>Long</v>
      </c>
      <c r="L1102" t="str">
        <f>IFERROR(_xlfn.XLOOKUP($A1102,'Base SKUs'!$E:$E,'Base SKUs'!D:D),"")</f>
        <v>Thermowood</v>
      </c>
      <c r="M1102" t="str">
        <f>IFERROR(_xlfn.XLOOKUP($A1102,'Base SKUs'!$E:$E,'Base SKUs'!G:G),"")</f>
        <v>Maximo Thermo Ayous</v>
      </c>
      <c r="N1102" t="str">
        <f>IFERROR(_xlfn.XLOOKUP($A1102,'Base SKUs'!$E:$E,'Base SKUs'!H:H),"")</f>
        <v>VJoint - Nickel Gap</v>
      </c>
      <c r="O1102" t="str">
        <f>IFERROR(_xlfn.XLOOKUP($A1102,'Base SKUs'!$E:$E,'Base SKUs'!I:I),"")</f>
        <v>-</v>
      </c>
      <c r="P1102" t="str">
        <f>IFERROR(_xlfn.XLOOKUP($A1102,'Base SKUs'!$E:$E,'Base SKUs'!J:J),"")</f>
        <v>1x6</v>
      </c>
      <c r="Q1102">
        <f>IFERROR(_xlfn.XLOOKUP($A1102,'Base SKUs'!$E:$E,'Base SKUs'!K:K),"")</f>
        <v>14</v>
      </c>
      <c r="R1102" s="7">
        <f>IFERROR(_xlfn.XLOOKUP($A1102,'Base SKUs'!$E:$E,'Base SKUs'!S:S),"")</f>
        <v>1.1172E-2</v>
      </c>
      <c r="S1102" s="8">
        <f t="shared" si="87"/>
        <v>0</v>
      </c>
      <c r="T1102" s="7">
        <f>IFERROR(_xlfn.XLOOKUP($A1102,'Base SKUs'!$E:$E,'Base SKUs'!R:R),"")</f>
        <v>1233.3979999999999</v>
      </c>
      <c r="U1102" s="15">
        <f t="shared" si="88"/>
        <v>0</v>
      </c>
      <c r="V1102" t="str">
        <f t="shared" si="89"/>
        <v>Texas</v>
      </c>
    </row>
    <row r="1103" spans="1:22" x14ac:dyDescent="0.2">
      <c r="A1103" t="s">
        <v>1499</v>
      </c>
      <c r="B1103" s="5">
        <v>990</v>
      </c>
      <c r="C1103" s="5">
        <v>786</v>
      </c>
      <c r="D1103" s="5">
        <f t="shared" si="85"/>
        <v>204</v>
      </c>
      <c r="E1103" s="6">
        <v>23.211500000000001</v>
      </c>
      <c r="F1103" s="6">
        <f t="shared" si="86"/>
        <v>22979.385000000002</v>
      </c>
      <c r="G1103" t="s">
        <v>330</v>
      </c>
      <c r="H1103">
        <v>9011</v>
      </c>
      <c r="I1103" t="str">
        <f>IFERROR(_xlfn.XLOOKUP($A1103,'Base SKUs'!$E:$E,'Base SKUs'!A:A),"")</f>
        <v>Ayous</v>
      </c>
      <c r="J1103" t="str">
        <f>IFERROR(_xlfn.XLOOKUP($A1103,'Base SKUs'!$E:$E,'Base SKUs'!B:B),"")</f>
        <v>Ayous 1x6</v>
      </c>
      <c r="K1103" t="str">
        <f>IFERROR(_xlfn.XLOOKUP($A1103,'Base SKUs'!$E:$E,'Base SKUs'!C:C),"")</f>
        <v>Long</v>
      </c>
      <c r="L1103" t="str">
        <f>IFERROR(_xlfn.XLOOKUP($A1103,'Base SKUs'!$E:$E,'Base SKUs'!D:D),"")</f>
        <v>Thermowood</v>
      </c>
      <c r="M1103" t="str">
        <f>IFERROR(_xlfn.XLOOKUP($A1103,'Base SKUs'!$E:$E,'Base SKUs'!G:G),"")</f>
        <v>Maximo Thermo Ayous</v>
      </c>
      <c r="N1103" t="str">
        <f>IFERROR(_xlfn.XLOOKUP($A1103,'Base SKUs'!$E:$E,'Base SKUs'!H:H),"")</f>
        <v>VJoint - Nickel Gap</v>
      </c>
      <c r="O1103" t="str">
        <f>IFERROR(_xlfn.XLOOKUP($A1103,'Base SKUs'!$E:$E,'Base SKUs'!I:I),"")</f>
        <v>-</v>
      </c>
      <c r="P1103" t="str">
        <f>IFERROR(_xlfn.XLOOKUP($A1103,'Base SKUs'!$E:$E,'Base SKUs'!J:J),"")</f>
        <v>1x6</v>
      </c>
      <c r="Q1103">
        <f>IFERROR(_xlfn.XLOOKUP($A1103,'Base SKUs'!$E:$E,'Base SKUs'!K:K),"")</f>
        <v>14</v>
      </c>
      <c r="R1103" s="7">
        <f>IFERROR(_xlfn.XLOOKUP($A1103,'Base SKUs'!$E:$E,'Base SKUs'!S:S),"")</f>
        <v>1.1172E-2</v>
      </c>
      <c r="S1103" s="8">
        <f t="shared" si="87"/>
        <v>2.2790879999999998</v>
      </c>
      <c r="T1103" s="7">
        <f>IFERROR(_xlfn.XLOOKUP($A1103,'Base SKUs'!$E:$E,'Base SKUs'!R:R),"")</f>
        <v>1233.3979999999999</v>
      </c>
      <c r="U1103" s="15">
        <f t="shared" si="88"/>
        <v>2811</v>
      </c>
      <c r="V1103" t="str">
        <f t="shared" si="89"/>
        <v>New York</v>
      </c>
    </row>
    <row r="1104" spans="1:22" x14ac:dyDescent="0.2">
      <c r="A1104" t="s">
        <v>1499</v>
      </c>
      <c r="B1104" s="5">
        <v>833</v>
      </c>
      <c r="C1104" s="5">
        <v>0</v>
      </c>
      <c r="D1104" s="5">
        <f t="shared" si="85"/>
        <v>833</v>
      </c>
      <c r="E1104" s="6">
        <v>25.633800000000001</v>
      </c>
      <c r="F1104" s="6">
        <f t="shared" si="86"/>
        <v>21352.955399999999</v>
      </c>
      <c r="G1104" t="s">
        <v>500</v>
      </c>
      <c r="H1104">
        <v>9012</v>
      </c>
      <c r="I1104" t="str">
        <f>IFERROR(_xlfn.XLOOKUP($A1104,'Base SKUs'!$E:$E,'Base SKUs'!A:A),"")</f>
        <v>Ayous</v>
      </c>
      <c r="J1104" t="str">
        <f>IFERROR(_xlfn.XLOOKUP($A1104,'Base SKUs'!$E:$E,'Base SKUs'!B:B),"")</f>
        <v>Ayous 1x6</v>
      </c>
      <c r="K1104" t="str">
        <f>IFERROR(_xlfn.XLOOKUP($A1104,'Base SKUs'!$E:$E,'Base SKUs'!C:C),"")</f>
        <v>Long</v>
      </c>
      <c r="L1104" t="str">
        <f>IFERROR(_xlfn.XLOOKUP($A1104,'Base SKUs'!$E:$E,'Base SKUs'!D:D),"")</f>
        <v>Thermowood</v>
      </c>
      <c r="M1104" t="str">
        <f>IFERROR(_xlfn.XLOOKUP($A1104,'Base SKUs'!$E:$E,'Base SKUs'!G:G),"")</f>
        <v>Maximo Thermo Ayous</v>
      </c>
      <c r="N1104" t="str">
        <f>IFERROR(_xlfn.XLOOKUP($A1104,'Base SKUs'!$E:$E,'Base SKUs'!H:H),"")</f>
        <v>VJoint - Nickel Gap</v>
      </c>
      <c r="O1104" t="str">
        <f>IFERROR(_xlfn.XLOOKUP($A1104,'Base SKUs'!$E:$E,'Base SKUs'!I:I),"")</f>
        <v>-</v>
      </c>
      <c r="P1104" t="str">
        <f>IFERROR(_xlfn.XLOOKUP($A1104,'Base SKUs'!$E:$E,'Base SKUs'!J:J),"")</f>
        <v>1x6</v>
      </c>
      <c r="Q1104">
        <f>IFERROR(_xlfn.XLOOKUP($A1104,'Base SKUs'!$E:$E,'Base SKUs'!K:K),"")</f>
        <v>14</v>
      </c>
      <c r="R1104" s="7">
        <f>IFERROR(_xlfn.XLOOKUP($A1104,'Base SKUs'!$E:$E,'Base SKUs'!S:S),"")</f>
        <v>1.1172E-2</v>
      </c>
      <c r="S1104" s="8">
        <f t="shared" si="87"/>
        <v>9.3062760000000004</v>
      </c>
      <c r="T1104" s="7">
        <f>IFERROR(_xlfn.XLOOKUP($A1104,'Base SKUs'!$E:$E,'Base SKUs'!R:R),"")</f>
        <v>1233.3979999999999</v>
      </c>
      <c r="U1104" s="15">
        <f t="shared" si="88"/>
        <v>11478</v>
      </c>
      <c r="V1104" t="str">
        <f t="shared" si="89"/>
        <v>HW Perris</v>
      </c>
    </row>
    <row r="1105" spans="1:22" x14ac:dyDescent="0.2">
      <c r="A1105" t="s">
        <v>1501</v>
      </c>
      <c r="B1105" s="5">
        <v>128</v>
      </c>
      <c r="C1105" s="5">
        <v>0</v>
      </c>
      <c r="D1105" s="5">
        <f t="shared" si="85"/>
        <v>128</v>
      </c>
      <c r="E1105" s="6">
        <v>29.0045</v>
      </c>
      <c r="F1105" s="6">
        <f t="shared" si="86"/>
        <v>3712.576</v>
      </c>
      <c r="G1105" t="s">
        <v>17</v>
      </c>
      <c r="H1105">
        <v>9007</v>
      </c>
      <c r="I1105" t="str">
        <f>IFERROR(_xlfn.XLOOKUP($A1105,'Base SKUs'!$E:$E,'Base SKUs'!A:A),"")</f>
        <v>Ayous</v>
      </c>
      <c r="J1105" t="str">
        <f>IFERROR(_xlfn.XLOOKUP($A1105,'Base SKUs'!$E:$E,'Base SKUs'!B:B),"")</f>
        <v>Ayous 1x6</v>
      </c>
      <c r="K1105" t="str">
        <f>IFERROR(_xlfn.XLOOKUP($A1105,'Base SKUs'!$E:$E,'Base SKUs'!C:C),"")</f>
        <v>Long</v>
      </c>
      <c r="L1105" t="str">
        <f>IFERROR(_xlfn.XLOOKUP($A1105,'Base SKUs'!$E:$E,'Base SKUs'!D:D),"")</f>
        <v>Thermowood</v>
      </c>
      <c r="M1105" t="str">
        <f>IFERROR(_xlfn.XLOOKUP($A1105,'Base SKUs'!$E:$E,'Base SKUs'!G:G),"")</f>
        <v>Maximo Thermo Ayous</v>
      </c>
      <c r="N1105" t="str">
        <f>IFERROR(_xlfn.XLOOKUP($A1105,'Base SKUs'!$E:$E,'Base SKUs'!H:H),"")</f>
        <v>VJoint - Nickel Gap</v>
      </c>
      <c r="O1105" t="str">
        <f>IFERROR(_xlfn.XLOOKUP($A1105,'Base SKUs'!$E:$E,'Base SKUs'!I:I),"")</f>
        <v>-</v>
      </c>
      <c r="P1105" t="str">
        <f>IFERROR(_xlfn.XLOOKUP($A1105,'Base SKUs'!$E:$E,'Base SKUs'!J:J),"")</f>
        <v>1x6</v>
      </c>
      <c r="Q1105">
        <f>IFERROR(_xlfn.XLOOKUP($A1105,'Base SKUs'!$E:$E,'Base SKUs'!K:K),"")</f>
        <v>15</v>
      </c>
      <c r="R1105" s="7">
        <f>IFERROR(_xlfn.XLOOKUP($A1105,'Base SKUs'!$E:$E,'Base SKUs'!S:S),"")</f>
        <v>1.1970000000000001E-2</v>
      </c>
      <c r="S1105" s="8">
        <f t="shared" si="87"/>
        <v>1.5321600000000002</v>
      </c>
      <c r="T1105" s="7">
        <f>IFERROR(_xlfn.XLOOKUP($A1105,'Base SKUs'!$E:$E,'Base SKUs'!R:R),"")</f>
        <v>1233.3979999999999</v>
      </c>
      <c r="U1105" s="15">
        <f t="shared" si="88"/>
        <v>1890</v>
      </c>
      <c r="V1105" t="str">
        <f t="shared" si="89"/>
        <v>Miami</v>
      </c>
    </row>
    <row r="1106" spans="1:22" x14ac:dyDescent="0.2">
      <c r="A1106" t="s">
        <v>1501</v>
      </c>
      <c r="B1106" s="5">
        <v>151</v>
      </c>
      <c r="C1106" s="5">
        <v>28</v>
      </c>
      <c r="D1106" s="5">
        <f t="shared" si="85"/>
        <v>123</v>
      </c>
      <c r="E1106" s="6">
        <v>24.7272</v>
      </c>
      <c r="F1106" s="6">
        <f t="shared" si="86"/>
        <v>3733.8072000000002</v>
      </c>
      <c r="G1106" t="s">
        <v>24</v>
      </c>
      <c r="H1106">
        <v>9008</v>
      </c>
      <c r="I1106" t="str">
        <f>IFERROR(_xlfn.XLOOKUP($A1106,'Base SKUs'!$E:$E,'Base SKUs'!A:A),"")</f>
        <v>Ayous</v>
      </c>
      <c r="J1106" t="str">
        <f>IFERROR(_xlfn.XLOOKUP($A1106,'Base SKUs'!$E:$E,'Base SKUs'!B:B),"")</f>
        <v>Ayous 1x6</v>
      </c>
      <c r="K1106" t="str">
        <f>IFERROR(_xlfn.XLOOKUP($A1106,'Base SKUs'!$E:$E,'Base SKUs'!C:C),"")</f>
        <v>Long</v>
      </c>
      <c r="L1106" t="str">
        <f>IFERROR(_xlfn.XLOOKUP($A1106,'Base SKUs'!$E:$E,'Base SKUs'!D:D),"")</f>
        <v>Thermowood</v>
      </c>
      <c r="M1106" t="str">
        <f>IFERROR(_xlfn.XLOOKUP($A1106,'Base SKUs'!$E:$E,'Base SKUs'!G:G),"")</f>
        <v>Maximo Thermo Ayous</v>
      </c>
      <c r="N1106" t="str">
        <f>IFERROR(_xlfn.XLOOKUP($A1106,'Base SKUs'!$E:$E,'Base SKUs'!H:H),"")</f>
        <v>VJoint - Nickel Gap</v>
      </c>
      <c r="O1106" t="str">
        <f>IFERROR(_xlfn.XLOOKUP($A1106,'Base SKUs'!$E:$E,'Base SKUs'!I:I),"")</f>
        <v>-</v>
      </c>
      <c r="P1106" t="str">
        <f>IFERROR(_xlfn.XLOOKUP($A1106,'Base SKUs'!$E:$E,'Base SKUs'!J:J),"")</f>
        <v>1x6</v>
      </c>
      <c r="Q1106">
        <f>IFERROR(_xlfn.XLOOKUP($A1106,'Base SKUs'!$E:$E,'Base SKUs'!K:K),"")</f>
        <v>15</v>
      </c>
      <c r="R1106" s="7">
        <f>IFERROR(_xlfn.XLOOKUP($A1106,'Base SKUs'!$E:$E,'Base SKUs'!S:S),"")</f>
        <v>1.1970000000000001E-2</v>
      </c>
      <c r="S1106" s="8">
        <f t="shared" si="87"/>
        <v>1.4723100000000002</v>
      </c>
      <c r="T1106" s="7">
        <f>IFERROR(_xlfn.XLOOKUP($A1106,'Base SKUs'!$E:$E,'Base SKUs'!R:R),"")</f>
        <v>1233.3979999999999</v>
      </c>
      <c r="U1106" s="15">
        <f t="shared" si="88"/>
        <v>1816</v>
      </c>
      <c r="V1106" t="str">
        <f t="shared" si="89"/>
        <v>Texas</v>
      </c>
    </row>
    <row r="1107" spans="1:22" x14ac:dyDescent="0.2">
      <c r="A1107" t="s">
        <v>1501</v>
      </c>
      <c r="B1107" s="5">
        <v>140</v>
      </c>
      <c r="C1107" s="5">
        <v>105</v>
      </c>
      <c r="D1107" s="5">
        <f t="shared" si="85"/>
        <v>35</v>
      </c>
      <c r="E1107" s="6">
        <v>25.203499999999998</v>
      </c>
      <c r="F1107" s="6">
        <f t="shared" si="86"/>
        <v>3528.49</v>
      </c>
      <c r="G1107" t="s">
        <v>330</v>
      </c>
      <c r="H1107">
        <v>9011</v>
      </c>
      <c r="I1107" t="str">
        <f>IFERROR(_xlfn.XLOOKUP($A1107,'Base SKUs'!$E:$E,'Base SKUs'!A:A),"")</f>
        <v>Ayous</v>
      </c>
      <c r="J1107" t="str">
        <f>IFERROR(_xlfn.XLOOKUP($A1107,'Base SKUs'!$E:$E,'Base SKUs'!B:B),"")</f>
        <v>Ayous 1x6</v>
      </c>
      <c r="K1107" t="str">
        <f>IFERROR(_xlfn.XLOOKUP($A1107,'Base SKUs'!$E:$E,'Base SKUs'!C:C),"")</f>
        <v>Long</v>
      </c>
      <c r="L1107" t="str">
        <f>IFERROR(_xlfn.XLOOKUP($A1107,'Base SKUs'!$E:$E,'Base SKUs'!D:D),"")</f>
        <v>Thermowood</v>
      </c>
      <c r="M1107" t="str">
        <f>IFERROR(_xlfn.XLOOKUP($A1107,'Base SKUs'!$E:$E,'Base SKUs'!G:G),"")</f>
        <v>Maximo Thermo Ayous</v>
      </c>
      <c r="N1107" t="str">
        <f>IFERROR(_xlfn.XLOOKUP($A1107,'Base SKUs'!$E:$E,'Base SKUs'!H:H),"")</f>
        <v>VJoint - Nickel Gap</v>
      </c>
      <c r="O1107" t="str">
        <f>IFERROR(_xlfn.XLOOKUP($A1107,'Base SKUs'!$E:$E,'Base SKUs'!I:I),"")</f>
        <v>-</v>
      </c>
      <c r="P1107" t="str">
        <f>IFERROR(_xlfn.XLOOKUP($A1107,'Base SKUs'!$E:$E,'Base SKUs'!J:J),"")</f>
        <v>1x6</v>
      </c>
      <c r="Q1107">
        <f>IFERROR(_xlfn.XLOOKUP($A1107,'Base SKUs'!$E:$E,'Base SKUs'!K:K),"")</f>
        <v>15</v>
      </c>
      <c r="R1107" s="7">
        <f>IFERROR(_xlfn.XLOOKUP($A1107,'Base SKUs'!$E:$E,'Base SKUs'!S:S),"")</f>
        <v>1.1970000000000001E-2</v>
      </c>
      <c r="S1107" s="8">
        <f t="shared" si="87"/>
        <v>0.41895000000000004</v>
      </c>
      <c r="T1107" s="7">
        <f>IFERROR(_xlfn.XLOOKUP($A1107,'Base SKUs'!$E:$E,'Base SKUs'!R:R),"")</f>
        <v>1233.3979999999999</v>
      </c>
      <c r="U1107" s="15">
        <f t="shared" si="88"/>
        <v>517</v>
      </c>
      <c r="V1107" t="str">
        <f t="shared" si="89"/>
        <v>New York</v>
      </c>
    </row>
    <row r="1108" spans="1:22" x14ac:dyDescent="0.2">
      <c r="A1108" t="s">
        <v>1503</v>
      </c>
      <c r="B1108" s="5">
        <v>157</v>
      </c>
      <c r="C1108" s="5">
        <v>1</v>
      </c>
      <c r="D1108" s="5">
        <f t="shared" si="85"/>
        <v>156</v>
      </c>
      <c r="E1108" s="6">
        <v>30.247599999999998</v>
      </c>
      <c r="F1108" s="6">
        <f t="shared" si="86"/>
        <v>4748.8732</v>
      </c>
      <c r="G1108" t="s">
        <v>17</v>
      </c>
      <c r="H1108">
        <v>9007</v>
      </c>
      <c r="I1108" t="str">
        <f>IFERROR(_xlfn.XLOOKUP($A1108,'Base SKUs'!$E:$E,'Base SKUs'!A:A),"")</f>
        <v>Ayous</v>
      </c>
      <c r="J1108" t="str">
        <f>IFERROR(_xlfn.XLOOKUP($A1108,'Base SKUs'!$E:$E,'Base SKUs'!B:B),"")</f>
        <v>Ayous 1x6</v>
      </c>
      <c r="K1108" t="str">
        <f>IFERROR(_xlfn.XLOOKUP($A1108,'Base SKUs'!$E:$E,'Base SKUs'!C:C),"")</f>
        <v>Long</v>
      </c>
      <c r="L1108" t="str">
        <f>IFERROR(_xlfn.XLOOKUP($A1108,'Base SKUs'!$E:$E,'Base SKUs'!D:D),"")</f>
        <v>Thermowood</v>
      </c>
      <c r="M1108" t="str">
        <f>IFERROR(_xlfn.XLOOKUP($A1108,'Base SKUs'!$E:$E,'Base SKUs'!G:G),"")</f>
        <v>Maximo Thermo Ayous</v>
      </c>
      <c r="N1108" t="str">
        <f>IFERROR(_xlfn.XLOOKUP($A1108,'Base SKUs'!$E:$E,'Base SKUs'!H:H),"")</f>
        <v>VJoint - Nickel Gap</v>
      </c>
      <c r="O1108" t="str">
        <f>IFERROR(_xlfn.XLOOKUP($A1108,'Base SKUs'!$E:$E,'Base SKUs'!I:I),"")</f>
        <v>-</v>
      </c>
      <c r="P1108" t="str">
        <f>IFERROR(_xlfn.XLOOKUP($A1108,'Base SKUs'!$E:$E,'Base SKUs'!J:J),"")</f>
        <v>1x6</v>
      </c>
      <c r="Q1108">
        <f>IFERROR(_xlfn.XLOOKUP($A1108,'Base SKUs'!$E:$E,'Base SKUs'!K:K),"")</f>
        <v>16</v>
      </c>
      <c r="R1108" s="7">
        <f>IFERROR(_xlfn.XLOOKUP($A1108,'Base SKUs'!$E:$E,'Base SKUs'!S:S),"")</f>
        <v>1.2768E-2</v>
      </c>
      <c r="S1108" s="8">
        <f t="shared" si="87"/>
        <v>1.991808</v>
      </c>
      <c r="T1108" s="7">
        <f>IFERROR(_xlfn.XLOOKUP($A1108,'Base SKUs'!$E:$E,'Base SKUs'!R:R),"")</f>
        <v>1233.3979999999999</v>
      </c>
      <c r="U1108" s="15">
        <f t="shared" si="88"/>
        <v>2457</v>
      </c>
      <c r="V1108" t="str">
        <f t="shared" si="89"/>
        <v>Miami</v>
      </c>
    </row>
    <row r="1109" spans="1:22" x14ac:dyDescent="0.2">
      <c r="A1109" t="s">
        <v>1503</v>
      </c>
      <c r="B1109" s="5">
        <v>329</v>
      </c>
      <c r="C1109" s="5">
        <v>203</v>
      </c>
      <c r="D1109" s="5">
        <f t="shared" si="85"/>
        <v>126</v>
      </c>
      <c r="E1109" s="6">
        <v>26.3935</v>
      </c>
      <c r="F1109" s="6">
        <f t="shared" si="86"/>
        <v>8683.4614999999994</v>
      </c>
      <c r="G1109" t="s">
        <v>330</v>
      </c>
      <c r="H1109">
        <v>9011</v>
      </c>
      <c r="I1109" t="str">
        <f>IFERROR(_xlfn.XLOOKUP($A1109,'Base SKUs'!$E:$E,'Base SKUs'!A:A),"")</f>
        <v>Ayous</v>
      </c>
      <c r="J1109" t="str">
        <f>IFERROR(_xlfn.XLOOKUP($A1109,'Base SKUs'!$E:$E,'Base SKUs'!B:B),"")</f>
        <v>Ayous 1x6</v>
      </c>
      <c r="K1109" t="str">
        <f>IFERROR(_xlfn.XLOOKUP($A1109,'Base SKUs'!$E:$E,'Base SKUs'!C:C),"")</f>
        <v>Long</v>
      </c>
      <c r="L1109" t="str">
        <f>IFERROR(_xlfn.XLOOKUP($A1109,'Base SKUs'!$E:$E,'Base SKUs'!D:D),"")</f>
        <v>Thermowood</v>
      </c>
      <c r="M1109" t="str">
        <f>IFERROR(_xlfn.XLOOKUP($A1109,'Base SKUs'!$E:$E,'Base SKUs'!G:G),"")</f>
        <v>Maximo Thermo Ayous</v>
      </c>
      <c r="N1109" t="str">
        <f>IFERROR(_xlfn.XLOOKUP($A1109,'Base SKUs'!$E:$E,'Base SKUs'!H:H),"")</f>
        <v>VJoint - Nickel Gap</v>
      </c>
      <c r="O1109" t="str">
        <f>IFERROR(_xlfn.XLOOKUP($A1109,'Base SKUs'!$E:$E,'Base SKUs'!I:I),"")</f>
        <v>-</v>
      </c>
      <c r="P1109" t="str">
        <f>IFERROR(_xlfn.XLOOKUP($A1109,'Base SKUs'!$E:$E,'Base SKUs'!J:J),"")</f>
        <v>1x6</v>
      </c>
      <c r="Q1109">
        <f>IFERROR(_xlfn.XLOOKUP($A1109,'Base SKUs'!$E:$E,'Base SKUs'!K:K),"")</f>
        <v>16</v>
      </c>
      <c r="R1109" s="7">
        <f>IFERROR(_xlfn.XLOOKUP($A1109,'Base SKUs'!$E:$E,'Base SKUs'!S:S),"")</f>
        <v>1.2768E-2</v>
      </c>
      <c r="S1109" s="8">
        <f t="shared" si="87"/>
        <v>1.608768</v>
      </c>
      <c r="T1109" s="7">
        <f>IFERROR(_xlfn.XLOOKUP($A1109,'Base SKUs'!$E:$E,'Base SKUs'!R:R),"")</f>
        <v>1233.3979999999999</v>
      </c>
      <c r="U1109" s="15">
        <f t="shared" si="88"/>
        <v>1984</v>
      </c>
      <c r="V1109" t="str">
        <f t="shared" si="89"/>
        <v>New York</v>
      </c>
    </row>
    <row r="1110" spans="1:22" x14ac:dyDescent="0.2">
      <c r="A1110" t="s">
        <v>1505</v>
      </c>
      <c r="B1110" s="5">
        <v>146</v>
      </c>
      <c r="C1110" s="5">
        <v>146</v>
      </c>
      <c r="D1110" s="5">
        <f t="shared" si="85"/>
        <v>0</v>
      </c>
      <c r="E1110" s="6">
        <v>6.7218999999999998</v>
      </c>
      <c r="F1110" s="6">
        <f t="shared" si="86"/>
        <v>981.39739999999995</v>
      </c>
      <c r="G1110" t="s">
        <v>17</v>
      </c>
      <c r="H1110">
        <v>9007</v>
      </c>
      <c r="I1110" t="str">
        <f>IFERROR(_xlfn.XLOOKUP($A1110,'Base SKUs'!$E:$E,'Base SKUs'!A:A),"")</f>
        <v>Ayous</v>
      </c>
      <c r="J1110" t="str">
        <f>IFERROR(_xlfn.XLOOKUP($A1110,'Base SKUs'!$E:$E,'Base SKUs'!B:B),"")</f>
        <v>Ayous 1x6</v>
      </c>
      <c r="K1110" t="str">
        <f>IFERROR(_xlfn.XLOOKUP($A1110,'Base SKUs'!$E:$E,'Base SKUs'!C:C),"")</f>
        <v>Short</v>
      </c>
      <c r="L1110" t="str">
        <f>IFERROR(_xlfn.XLOOKUP($A1110,'Base SKUs'!$E:$E,'Base SKUs'!D:D),"")</f>
        <v>Thermowood</v>
      </c>
      <c r="M1110" t="str">
        <f>IFERROR(_xlfn.XLOOKUP($A1110,'Base SKUs'!$E:$E,'Base SKUs'!G:G),"")</f>
        <v>Maximo Thermo Ayous</v>
      </c>
      <c r="N1110" t="str">
        <f>IFERROR(_xlfn.XLOOKUP($A1110,'Base SKUs'!$E:$E,'Base SKUs'!H:H),"")</f>
        <v>VJoint - Nickel Gap</v>
      </c>
      <c r="O1110" t="str">
        <f>IFERROR(_xlfn.XLOOKUP($A1110,'Base SKUs'!$E:$E,'Base SKUs'!I:I),"")</f>
        <v>-</v>
      </c>
      <c r="P1110" t="str">
        <f>IFERROR(_xlfn.XLOOKUP($A1110,'Base SKUs'!$E:$E,'Base SKUs'!J:J),"")</f>
        <v>1x6</v>
      </c>
      <c r="Q1110">
        <f>IFERROR(_xlfn.XLOOKUP($A1110,'Base SKUs'!$E:$E,'Base SKUs'!K:K),"")</f>
        <v>4</v>
      </c>
      <c r="R1110" s="7">
        <f>IFERROR(_xlfn.XLOOKUP($A1110,'Base SKUs'!$E:$E,'Base SKUs'!S:S),"")</f>
        <v>3.192E-3</v>
      </c>
      <c r="S1110" s="8">
        <f t="shared" si="87"/>
        <v>0</v>
      </c>
      <c r="T1110" s="7">
        <f>IFERROR(_xlfn.XLOOKUP($A1110,'Base SKUs'!$E:$E,'Base SKUs'!R:R),"")</f>
        <v>1233.3979999999999</v>
      </c>
      <c r="U1110" s="15">
        <f t="shared" si="88"/>
        <v>0</v>
      </c>
      <c r="V1110" t="str">
        <f t="shared" si="89"/>
        <v>Miami</v>
      </c>
    </row>
    <row r="1111" spans="1:22" x14ac:dyDescent="0.2">
      <c r="A1111" t="s">
        <v>1505</v>
      </c>
      <c r="B1111" s="5">
        <v>620</v>
      </c>
      <c r="C1111" s="5">
        <v>539</v>
      </c>
      <c r="D1111" s="5">
        <f t="shared" si="85"/>
        <v>81</v>
      </c>
      <c r="E1111" s="6">
        <v>6.5247999999999999</v>
      </c>
      <c r="F1111" s="6">
        <f t="shared" si="86"/>
        <v>4045.3759999999997</v>
      </c>
      <c r="G1111" t="s">
        <v>24</v>
      </c>
      <c r="H1111">
        <v>9008</v>
      </c>
      <c r="I1111" t="str">
        <f>IFERROR(_xlfn.XLOOKUP($A1111,'Base SKUs'!$E:$E,'Base SKUs'!A:A),"")</f>
        <v>Ayous</v>
      </c>
      <c r="J1111" t="str">
        <f>IFERROR(_xlfn.XLOOKUP($A1111,'Base SKUs'!$E:$E,'Base SKUs'!B:B),"")</f>
        <v>Ayous 1x6</v>
      </c>
      <c r="K1111" t="str">
        <f>IFERROR(_xlfn.XLOOKUP($A1111,'Base SKUs'!$E:$E,'Base SKUs'!C:C),"")</f>
        <v>Short</v>
      </c>
      <c r="L1111" t="str">
        <f>IFERROR(_xlfn.XLOOKUP($A1111,'Base SKUs'!$E:$E,'Base SKUs'!D:D),"")</f>
        <v>Thermowood</v>
      </c>
      <c r="M1111" t="str">
        <f>IFERROR(_xlfn.XLOOKUP($A1111,'Base SKUs'!$E:$E,'Base SKUs'!G:G),"")</f>
        <v>Maximo Thermo Ayous</v>
      </c>
      <c r="N1111" t="str">
        <f>IFERROR(_xlfn.XLOOKUP($A1111,'Base SKUs'!$E:$E,'Base SKUs'!H:H),"")</f>
        <v>VJoint - Nickel Gap</v>
      </c>
      <c r="O1111" t="str">
        <f>IFERROR(_xlfn.XLOOKUP($A1111,'Base SKUs'!$E:$E,'Base SKUs'!I:I),"")</f>
        <v>-</v>
      </c>
      <c r="P1111" t="str">
        <f>IFERROR(_xlfn.XLOOKUP($A1111,'Base SKUs'!$E:$E,'Base SKUs'!J:J),"")</f>
        <v>1x6</v>
      </c>
      <c r="Q1111">
        <f>IFERROR(_xlfn.XLOOKUP($A1111,'Base SKUs'!$E:$E,'Base SKUs'!K:K),"")</f>
        <v>4</v>
      </c>
      <c r="R1111" s="7">
        <f>IFERROR(_xlfn.XLOOKUP($A1111,'Base SKUs'!$E:$E,'Base SKUs'!S:S),"")</f>
        <v>3.192E-3</v>
      </c>
      <c r="S1111" s="8">
        <f t="shared" si="87"/>
        <v>0.258552</v>
      </c>
      <c r="T1111" s="7">
        <f>IFERROR(_xlfn.XLOOKUP($A1111,'Base SKUs'!$E:$E,'Base SKUs'!R:R),"")</f>
        <v>1233.3979999999999</v>
      </c>
      <c r="U1111" s="15">
        <f t="shared" si="88"/>
        <v>319</v>
      </c>
      <c r="V1111" t="str">
        <f t="shared" si="89"/>
        <v>Texas</v>
      </c>
    </row>
    <row r="1112" spans="1:22" x14ac:dyDescent="0.2">
      <c r="A1112" t="s">
        <v>1505</v>
      </c>
      <c r="B1112" s="5">
        <v>997</v>
      </c>
      <c r="C1112" s="5">
        <v>675</v>
      </c>
      <c r="D1112" s="5">
        <f t="shared" si="85"/>
        <v>322</v>
      </c>
      <c r="E1112" s="6">
        <v>6.6249000000000002</v>
      </c>
      <c r="F1112" s="6">
        <f t="shared" si="86"/>
        <v>6605.0253000000002</v>
      </c>
      <c r="G1112" t="s">
        <v>330</v>
      </c>
      <c r="H1112">
        <v>9011</v>
      </c>
      <c r="I1112" t="str">
        <f>IFERROR(_xlfn.XLOOKUP($A1112,'Base SKUs'!$E:$E,'Base SKUs'!A:A),"")</f>
        <v>Ayous</v>
      </c>
      <c r="J1112" t="str">
        <f>IFERROR(_xlfn.XLOOKUP($A1112,'Base SKUs'!$E:$E,'Base SKUs'!B:B),"")</f>
        <v>Ayous 1x6</v>
      </c>
      <c r="K1112" t="str">
        <f>IFERROR(_xlfn.XLOOKUP($A1112,'Base SKUs'!$E:$E,'Base SKUs'!C:C),"")</f>
        <v>Short</v>
      </c>
      <c r="L1112" t="str">
        <f>IFERROR(_xlfn.XLOOKUP($A1112,'Base SKUs'!$E:$E,'Base SKUs'!D:D),"")</f>
        <v>Thermowood</v>
      </c>
      <c r="M1112" t="str">
        <f>IFERROR(_xlfn.XLOOKUP($A1112,'Base SKUs'!$E:$E,'Base SKUs'!G:G),"")</f>
        <v>Maximo Thermo Ayous</v>
      </c>
      <c r="N1112" t="str">
        <f>IFERROR(_xlfn.XLOOKUP($A1112,'Base SKUs'!$E:$E,'Base SKUs'!H:H),"")</f>
        <v>VJoint - Nickel Gap</v>
      </c>
      <c r="O1112" t="str">
        <f>IFERROR(_xlfn.XLOOKUP($A1112,'Base SKUs'!$E:$E,'Base SKUs'!I:I),"")</f>
        <v>-</v>
      </c>
      <c r="P1112" t="str">
        <f>IFERROR(_xlfn.XLOOKUP($A1112,'Base SKUs'!$E:$E,'Base SKUs'!J:J),"")</f>
        <v>1x6</v>
      </c>
      <c r="Q1112">
        <f>IFERROR(_xlfn.XLOOKUP($A1112,'Base SKUs'!$E:$E,'Base SKUs'!K:K),"")</f>
        <v>4</v>
      </c>
      <c r="R1112" s="7">
        <f>IFERROR(_xlfn.XLOOKUP($A1112,'Base SKUs'!$E:$E,'Base SKUs'!S:S),"")</f>
        <v>3.192E-3</v>
      </c>
      <c r="S1112" s="8">
        <f t="shared" si="87"/>
        <v>1.0278240000000001</v>
      </c>
      <c r="T1112" s="7">
        <f>IFERROR(_xlfn.XLOOKUP($A1112,'Base SKUs'!$E:$E,'Base SKUs'!R:R),"")</f>
        <v>1233.3979999999999</v>
      </c>
      <c r="U1112" s="15">
        <f t="shared" si="88"/>
        <v>1268</v>
      </c>
      <c r="V1112" t="str">
        <f t="shared" si="89"/>
        <v>New York</v>
      </c>
    </row>
    <row r="1113" spans="1:22" x14ac:dyDescent="0.2">
      <c r="A1113" t="s">
        <v>1507</v>
      </c>
      <c r="B1113" s="5">
        <v>2</v>
      </c>
      <c r="C1113" s="5">
        <v>0</v>
      </c>
      <c r="D1113" s="5">
        <f t="shared" si="85"/>
        <v>2</v>
      </c>
      <c r="E1113" s="6">
        <v>10.430199999999999</v>
      </c>
      <c r="F1113" s="6">
        <f t="shared" si="86"/>
        <v>20.860399999999998</v>
      </c>
      <c r="G1113" t="s">
        <v>17</v>
      </c>
      <c r="H1113">
        <v>9007</v>
      </c>
      <c r="I1113" t="str">
        <f>IFERROR(_xlfn.XLOOKUP($A1113,'Base SKUs'!$E:$E,'Base SKUs'!A:A),"")</f>
        <v>Ayous</v>
      </c>
      <c r="J1113" t="str">
        <f>IFERROR(_xlfn.XLOOKUP($A1113,'Base SKUs'!$E:$E,'Base SKUs'!B:B),"")</f>
        <v>Ayous 1x6</v>
      </c>
      <c r="K1113" t="str">
        <f>IFERROR(_xlfn.XLOOKUP($A1113,'Base SKUs'!$E:$E,'Base SKUs'!C:C),"")</f>
        <v>Short</v>
      </c>
      <c r="L1113" t="str">
        <f>IFERROR(_xlfn.XLOOKUP($A1113,'Base SKUs'!$E:$E,'Base SKUs'!D:D),"")</f>
        <v>Thermowood</v>
      </c>
      <c r="M1113" t="str">
        <f>IFERROR(_xlfn.XLOOKUP($A1113,'Base SKUs'!$E:$E,'Base SKUs'!G:G),"")</f>
        <v>Maximo Thermo Ayous</v>
      </c>
      <c r="N1113" t="str">
        <f>IFERROR(_xlfn.XLOOKUP($A1113,'Base SKUs'!$E:$E,'Base SKUs'!H:H),"")</f>
        <v>VJoint - Nickel Gap</v>
      </c>
      <c r="O1113" t="str">
        <f>IFERROR(_xlfn.XLOOKUP($A1113,'Base SKUs'!$E:$E,'Base SKUs'!I:I),"")</f>
        <v>-</v>
      </c>
      <c r="P1113" t="str">
        <f>IFERROR(_xlfn.XLOOKUP($A1113,'Base SKUs'!$E:$E,'Base SKUs'!J:J),"")</f>
        <v>1x6</v>
      </c>
      <c r="Q1113">
        <f>IFERROR(_xlfn.XLOOKUP($A1113,'Base SKUs'!$E:$E,'Base SKUs'!K:K),"")</f>
        <v>5</v>
      </c>
      <c r="R1113" s="7">
        <f>IFERROR(_xlfn.XLOOKUP($A1113,'Base SKUs'!$E:$E,'Base SKUs'!S:S),"")</f>
        <v>3.9900000000000005E-3</v>
      </c>
      <c r="S1113" s="8">
        <f t="shared" si="87"/>
        <v>7.980000000000001E-3</v>
      </c>
      <c r="T1113" s="7">
        <f>IFERROR(_xlfn.XLOOKUP($A1113,'Base SKUs'!$E:$E,'Base SKUs'!R:R),"")</f>
        <v>1233.3979999999999</v>
      </c>
      <c r="U1113" s="15">
        <f t="shared" si="88"/>
        <v>10</v>
      </c>
      <c r="V1113" t="str">
        <f t="shared" si="89"/>
        <v>Miami</v>
      </c>
    </row>
    <row r="1114" spans="1:22" x14ac:dyDescent="0.2">
      <c r="A1114" t="s">
        <v>1507</v>
      </c>
      <c r="B1114" s="5">
        <v>343</v>
      </c>
      <c r="C1114" s="5">
        <v>343</v>
      </c>
      <c r="D1114" s="5">
        <f t="shared" si="85"/>
        <v>0</v>
      </c>
      <c r="E1114" s="6">
        <v>8.1560000000000006</v>
      </c>
      <c r="F1114" s="6">
        <f t="shared" si="86"/>
        <v>2797.5080000000003</v>
      </c>
      <c r="G1114" t="s">
        <v>24</v>
      </c>
      <c r="H1114">
        <v>9008</v>
      </c>
      <c r="I1114" t="str">
        <f>IFERROR(_xlfn.XLOOKUP($A1114,'Base SKUs'!$E:$E,'Base SKUs'!A:A),"")</f>
        <v>Ayous</v>
      </c>
      <c r="J1114" t="str">
        <f>IFERROR(_xlfn.XLOOKUP($A1114,'Base SKUs'!$E:$E,'Base SKUs'!B:B),"")</f>
        <v>Ayous 1x6</v>
      </c>
      <c r="K1114" t="str">
        <f>IFERROR(_xlfn.XLOOKUP($A1114,'Base SKUs'!$E:$E,'Base SKUs'!C:C),"")</f>
        <v>Short</v>
      </c>
      <c r="L1114" t="str">
        <f>IFERROR(_xlfn.XLOOKUP($A1114,'Base SKUs'!$E:$E,'Base SKUs'!D:D),"")</f>
        <v>Thermowood</v>
      </c>
      <c r="M1114" t="str">
        <f>IFERROR(_xlfn.XLOOKUP($A1114,'Base SKUs'!$E:$E,'Base SKUs'!G:G),"")</f>
        <v>Maximo Thermo Ayous</v>
      </c>
      <c r="N1114" t="str">
        <f>IFERROR(_xlfn.XLOOKUP($A1114,'Base SKUs'!$E:$E,'Base SKUs'!H:H),"")</f>
        <v>VJoint - Nickel Gap</v>
      </c>
      <c r="O1114" t="str">
        <f>IFERROR(_xlfn.XLOOKUP($A1114,'Base SKUs'!$E:$E,'Base SKUs'!I:I),"")</f>
        <v>-</v>
      </c>
      <c r="P1114" t="str">
        <f>IFERROR(_xlfn.XLOOKUP($A1114,'Base SKUs'!$E:$E,'Base SKUs'!J:J),"")</f>
        <v>1x6</v>
      </c>
      <c r="Q1114">
        <f>IFERROR(_xlfn.XLOOKUP($A1114,'Base SKUs'!$E:$E,'Base SKUs'!K:K),"")</f>
        <v>5</v>
      </c>
      <c r="R1114" s="7">
        <f>IFERROR(_xlfn.XLOOKUP($A1114,'Base SKUs'!$E:$E,'Base SKUs'!S:S),"")</f>
        <v>3.9900000000000005E-3</v>
      </c>
      <c r="S1114" s="8">
        <f t="shared" si="87"/>
        <v>0</v>
      </c>
      <c r="T1114" s="7">
        <f>IFERROR(_xlfn.XLOOKUP($A1114,'Base SKUs'!$E:$E,'Base SKUs'!R:R),"")</f>
        <v>1233.3979999999999</v>
      </c>
      <c r="U1114" s="15">
        <f t="shared" si="88"/>
        <v>0</v>
      </c>
      <c r="V1114" t="str">
        <f t="shared" si="89"/>
        <v>Texas</v>
      </c>
    </row>
    <row r="1115" spans="1:22" x14ac:dyDescent="0.2">
      <c r="A1115" t="s">
        <v>1507</v>
      </c>
      <c r="B1115" s="5">
        <v>371</v>
      </c>
      <c r="C1115" s="5">
        <v>301</v>
      </c>
      <c r="D1115" s="5">
        <f t="shared" si="85"/>
        <v>70</v>
      </c>
      <c r="E1115" s="6">
        <v>8.2657000000000007</v>
      </c>
      <c r="F1115" s="6">
        <f t="shared" si="86"/>
        <v>3066.5747000000001</v>
      </c>
      <c r="G1115" t="s">
        <v>330</v>
      </c>
      <c r="H1115">
        <v>9011</v>
      </c>
      <c r="I1115" t="str">
        <f>IFERROR(_xlfn.XLOOKUP($A1115,'Base SKUs'!$E:$E,'Base SKUs'!A:A),"")</f>
        <v>Ayous</v>
      </c>
      <c r="J1115" t="str">
        <f>IFERROR(_xlfn.XLOOKUP($A1115,'Base SKUs'!$E:$E,'Base SKUs'!B:B),"")</f>
        <v>Ayous 1x6</v>
      </c>
      <c r="K1115" t="str">
        <f>IFERROR(_xlfn.XLOOKUP($A1115,'Base SKUs'!$E:$E,'Base SKUs'!C:C),"")</f>
        <v>Short</v>
      </c>
      <c r="L1115" t="str">
        <f>IFERROR(_xlfn.XLOOKUP($A1115,'Base SKUs'!$E:$E,'Base SKUs'!D:D),"")</f>
        <v>Thermowood</v>
      </c>
      <c r="M1115" t="str">
        <f>IFERROR(_xlfn.XLOOKUP($A1115,'Base SKUs'!$E:$E,'Base SKUs'!G:G),"")</f>
        <v>Maximo Thermo Ayous</v>
      </c>
      <c r="N1115" t="str">
        <f>IFERROR(_xlfn.XLOOKUP($A1115,'Base SKUs'!$E:$E,'Base SKUs'!H:H),"")</f>
        <v>VJoint - Nickel Gap</v>
      </c>
      <c r="O1115" t="str">
        <f>IFERROR(_xlfn.XLOOKUP($A1115,'Base SKUs'!$E:$E,'Base SKUs'!I:I),"")</f>
        <v>-</v>
      </c>
      <c r="P1115" t="str">
        <f>IFERROR(_xlfn.XLOOKUP($A1115,'Base SKUs'!$E:$E,'Base SKUs'!J:J),"")</f>
        <v>1x6</v>
      </c>
      <c r="Q1115">
        <f>IFERROR(_xlfn.XLOOKUP($A1115,'Base SKUs'!$E:$E,'Base SKUs'!K:K),"")</f>
        <v>5</v>
      </c>
      <c r="R1115" s="7">
        <f>IFERROR(_xlfn.XLOOKUP($A1115,'Base SKUs'!$E:$E,'Base SKUs'!S:S),"")</f>
        <v>3.9900000000000005E-3</v>
      </c>
      <c r="S1115" s="8">
        <f t="shared" si="87"/>
        <v>0.27930000000000005</v>
      </c>
      <c r="T1115" s="7">
        <f>IFERROR(_xlfn.XLOOKUP($A1115,'Base SKUs'!$E:$E,'Base SKUs'!R:R),"")</f>
        <v>1233.3979999999999</v>
      </c>
      <c r="U1115" s="15">
        <f t="shared" si="88"/>
        <v>344</v>
      </c>
      <c r="V1115" t="str">
        <f t="shared" si="89"/>
        <v>New York</v>
      </c>
    </row>
    <row r="1116" spans="1:22" x14ac:dyDescent="0.2">
      <c r="A1116" t="s">
        <v>1509</v>
      </c>
      <c r="B1116" s="5">
        <v>360</v>
      </c>
      <c r="C1116" s="5">
        <v>219</v>
      </c>
      <c r="D1116" s="5">
        <f t="shared" si="85"/>
        <v>141</v>
      </c>
      <c r="E1116" s="6">
        <v>10.699299999999999</v>
      </c>
      <c r="F1116" s="6">
        <f t="shared" si="86"/>
        <v>3851.7479999999996</v>
      </c>
      <c r="G1116" t="s">
        <v>17</v>
      </c>
      <c r="H1116">
        <v>9007</v>
      </c>
      <c r="I1116" t="str">
        <f>IFERROR(_xlfn.XLOOKUP($A1116,'Base SKUs'!$E:$E,'Base SKUs'!A:A),"")</f>
        <v>Ayous</v>
      </c>
      <c r="J1116" t="str">
        <f>IFERROR(_xlfn.XLOOKUP($A1116,'Base SKUs'!$E:$E,'Base SKUs'!B:B),"")</f>
        <v>Ayous 1x6</v>
      </c>
      <c r="K1116" t="str">
        <f>IFERROR(_xlfn.XLOOKUP($A1116,'Base SKUs'!$E:$E,'Base SKUs'!C:C),"")</f>
        <v>Short</v>
      </c>
      <c r="L1116" t="str">
        <f>IFERROR(_xlfn.XLOOKUP($A1116,'Base SKUs'!$E:$E,'Base SKUs'!D:D),"")</f>
        <v>Thermowood</v>
      </c>
      <c r="M1116" t="str">
        <f>IFERROR(_xlfn.XLOOKUP($A1116,'Base SKUs'!$E:$E,'Base SKUs'!G:G),"")</f>
        <v>Maximo Thermo Ayous</v>
      </c>
      <c r="N1116" t="str">
        <f>IFERROR(_xlfn.XLOOKUP($A1116,'Base SKUs'!$E:$E,'Base SKUs'!H:H),"")</f>
        <v>VJoint - Nickel Gap</v>
      </c>
      <c r="O1116" t="str">
        <f>IFERROR(_xlfn.XLOOKUP($A1116,'Base SKUs'!$E:$E,'Base SKUs'!I:I),"")</f>
        <v>-</v>
      </c>
      <c r="P1116" t="str">
        <f>IFERROR(_xlfn.XLOOKUP($A1116,'Base SKUs'!$E:$E,'Base SKUs'!J:J),"")</f>
        <v>1x6</v>
      </c>
      <c r="Q1116">
        <f>IFERROR(_xlfn.XLOOKUP($A1116,'Base SKUs'!$E:$E,'Base SKUs'!K:K),"")</f>
        <v>6</v>
      </c>
      <c r="R1116" s="7">
        <f>IFERROR(_xlfn.XLOOKUP($A1116,'Base SKUs'!$E:$E,'Base SKUs'!S:S),"")</f>
        <v>4.7880000000000006E-3</v>
      </c>
      <c r="S1116" s="8">
        <f t="shared" si="87"/>
        <v>0.67510800000000004</v>
      </c>
      <c r="T1116" s="7">
        <f>IFERROR(_xlfn.XLOOKUP($A1116,'Base SKUs'!$E:$E,'Base SKUs'!R:R),"")</f>
        <v>1233.3979999999999</v>
      </c>
      <c r="U1116" s="15">
        <f t="shared" si="88"/>
        <v>833</v>
      </c>
      <c r="V1116" t="str">
        <f t="shared" si="89"/>
        <v>Miami</v>
      </c>
    </row>
    <row r="1117" spans="1:22" x14ac:dyDescent="0.2">
      <c r="A1117" t="s">
        <v>1509</v>
      </c>
      <c r="B1117" s="5">
        <v>646</v>
      </c>
      <c r="C1117" s="5">
        <v>539</v>
      </c>
      <c r="D1117" s="5">
        <f t="shared" si="85"/>
        <v>107</v>
      </c>
      <c r="E1117" s="6">
        <v>9.7872000000000003</v>
      </c>
      <c r="F1117" s="6">
        <f t="shared" si="86"/>
        <v>6322.5312000000004</v>
      </c>
      <c r="G1117" t="s">
        <v>24</v>
      </c>
      <c r="H1117">
        <v>9008</v>
      </c>
      <c r="I1117" t="str">
        <f>IFERROR(_xlfn.XLOOKUP($A1117,'Base SKUs'!$E:$E,'Base SKUs'!A:A),"")</f>
        <v>Ayous</v>
      </c>
      <c r="J1117" t="str">
        <f>IFERROR(_xlfn.XLOOKUP($A1117,'Base SKUs'!$E:$E,'Base SKUs'!B:B),"")</f>
        <v>Ayous 1x6</v>
      </c>
      <c r="K1117" t="str">
        <f>IFERROR(_xlfn.XLOOKUP($A1117,'Base SKUs'!$E:$E,'Base SKUs'!C:C),"")</f>
        <v>Short</v>
      </c>
      <c r="L1117" t="str">
        <f>IFERROR(_xlfn.XLOOKUP($A1117,'Base SKUs'!$E:$E,'Base SKUs'!D:D),"")</f>
        <v>Thermowood</v>
      </c>
      <c r="M1117" t="str">
        <f>IFERROR(_xlfn.XLOOKUP($A1117,'Base SKUs'!$E:$E,'Base SKUs'!G:G),"")</f>
        <v>Maximo Thermo Ayous</v>
      </c>
      <c r="N1117" t="str">
        <f>IFERROR(_xlfn.XLOOKUP($A1117,'Base SKUs'!$E:$E,'Base SKUs'!H:H),"")</f>
        <v>VJoint - Nickel Gap</v>
      </c>
      <c r="O1117" t="str">
        <f>IFERROR(_xlfn.XLOOKUP($A1117,'Base SKUs'!$E:$E,'Base SKUs'!I:I),"")</f>
        <v>-</v>
      </c>
      <c r="P1117" t="str">
        <f>IFERROR(_xlfn.XLOOKUP($A1117,'Base SKUs'!$E:$E,'Base SKUs'!J:J),"")</f>
        <v>1x6</v>
      </c>
      <c r="Q1117">
        <f>IFERROR(_xlfn.XLOOKUP($A1117,'Base SKUs'!$E:$E,'Base SKUs'!K:K),"")</f>
        <v>6</v>
      </c>
      <c r="R1117" s="7">
        <f>IFERROR(_xlfn.XLOOKUP($A1117,'Base SKUs'!$E:$E,'Base SKUs'!S:S),"")</f>
        <v>4.7880000000000006E-3</v>
      </c>
      <c r="S1117" s="8">
        <f t="shared" si="87"/>
        <v>0.5123160000000001</v>
      </c>
      <c r="T1117" s="7">
        <f>IFERROR(_xlfn.XLOOKUP($A1117,'Base SKUs'!$E:$E,'Base SKUs'!R:R),"")</f>
        <v>1233.3979999999999</v>
      </c>
      <c r="U1117" s="15">
        <f t="shared" si="88"/>
        <v>632</v>
      </c>
      <c r="V1117" t="str">
        <f t="shared" si="89"/>
        <v>Texas</v>
      </c>
    </row>
    <row r="1118" spans="1:22" x14ac:dyDescent="0.2">
      <c r="A1118" t="s">
        <v>1509</v>
      </c>
      <c r="B1118" s="5">
        <v>444</v>
      </c>
      <c r="C1118" s="5">
        <v>315</v>
      </c>
      <c r="D1118" s="5">
        <f t="shared" si="85"/>
        <v>129</v>
      </c>
      <c r="E1118" s="6">
        <v>9.7872000000000003</v>
      </c>
      <c r="F1118" s="6">
        <f t="shared" si="86"/>
        <v>4345.5168000000003</v>
      </c>
      <c r="G1118" t="s">
        <v>330</v>
      </c>
      <c r="H1118">
        <v>9011</v>
      </c>
      <c r="I1118" t="str">
        <f>IFERROR(_xlfn.XLOOKUP($A1118,'Base SKUs'!$E:$E,'Base SKUs'!A:A),"")</f>
        <v>Ayous</v>
      </c>
      <c r="J1118" t="str">
        <f>IFERROR(_xlfn.XLOOKUP($A1118,'Base SKUs'!$E:$E,'Base SKUs'!B:B),"")</f>
        <v>Ayous 1x6</v>
      </c>
      <c r="K1118" t="str">
        <f>IFERROR(_xlfn.XLOOKUP($A1118,'Base SKUs'!$E:$E,'Base SKUs'!C:C),"")</f>
        <v>Short</v>
      </c>
      <c r="L1118" t="str">
        <f>IFERROR(_xlfn.XLOOKUP($A1118,'Base SKUs'!$E:$E,'Base SKUs'!D:D),"")</f>
        <v>Thermowood</v>
      </c>
      <c r="M1118" t="str">
        <f>IFERROR(_xlfn.XLOOKUP($A1118,'Base SKUs'!$E:$E,'Base SKUs'!G:G),"")</f>
        <v>Maximo Thermo Ayous</v>
      </c>
      <c r="N1118" t="str">
        <f>IFERROR(_xlfn.XLOOKUP($A1118,'Base SKUs'!$E:$E,'Base SKUs'!H:H),"")</f>
        <v>VJoint - Nickel Gap</v>
      </c>
      <c r="O1118" t="str">
        <f>IFERROR(_xlfn.XLOOKUP($A1118,'Base SKUs'!$E:$E,'Base SKUs'!I:I),"")</f>
        <v>-</v>
      </c>
      <c r="P1118" t="str">
        <f>IFERROR(_xlfn.XLOOKUP($A1118,'Base SKUs'!$E:$E,'Base SKUs'!J:J),"")</f>
        <v>1x6</v>
      </c>
      <c r="Q1118">
        <f>IFERROR(_xlfn.XLOOKUP($A1118,'Base SKUs'!$E:$E,'Base SKUs'!K:K),"")</f>
        <v>6</v>
      </c>
      <c r="R1118" s="7">
        <f>IFERROR(_xlfn.XLOOKUP($A1118,'Base SKUs'!$E:$E,'Base SKUs'!S:S),"")</f>
        <v>4.7880000000000006E-3</v>
      </c>
      <c r="S1118" s="8">
        <f t="shared" si="87"/>
        <v>0.61765200000000009</v>
      </c>
      <c r="T1118" s="7">
        <f>IFERROR(_xlfn.XLOOKUP($A1118,'Base SKUs'!$E:$E,'Base SKUs'!R:R),"")</f>
        <v>1233.3979999999999</v>
      </c>
      <c r="U1118" s="15">
        <f t="shared" si="88"/>
        <v>762</v>
      </c>
      <c r="V1118" t="str">
        <f t="shared" si="89"/>
        <v>New York</v>
      </c>
    </row>
    <row r="1119" spans="1:22" x14ac:dyDescent="0.2">
      <c r="A1119" t="s">
        <v>1509</v>
      </c>
      <c r="B1119" s="5">
        <v>490</v>
      </c>
      <c r="C1119" s="5">
        <v>0</v>
      </c>
      <c r="D1119" s="5">
        <f t="shared" si="85"/>
        <v>490</v>
      </c>
      <c r="E1119" s="6">
        <v>11.1167</v>
      </c>
      <c r="F1119" s="6">
        <f t="shared" si="86"/>
        <v>5447.183</v>
      </c>
      <c r="G1119" t="s">
        <v>500</v>
      </c>
      <c r="H1119">
        <v>9012</v>
      </c>
      <c r="I1119" t="str">
        <f>IFERROR(_xlfn.XLOOKUP($A1119,'Base SKUs'!$E:$E,'Base SKUs'!A:A),"")</f>
        <v>Ayous</v>
      </c>
      <c r="J1119" t="str">
        <f>IFERROR(_xlfn.XLOOKUP($A1119,'Base SKUs'!$E:$E,'Base SKUs'!B:B),"")</f>
        <v>Ayous 1x6</v>
      </c>
      <c r="K1119" t="str">
        <f>IFERROR(_xlfn.XLOOKUP($A1119,'Base SKUs'!$E:$E,'Base SKUs'!C:C),"")</f>
        <v>Short</v>
      </c>
      <c r="L1119" t="str">
        <f>IFERROR(_xlfn.XLOOKUP($A1119,'Base SKUs'!$E:$E,'Base SKUs'!D:D),"")</f>
        <v>Thermowood</v>
      </c>
      <c r="M1119" t="str">
        <f>IFERROR(_xlfn.XLOOKUP($A1119,'Base SKUs'!$E:$E,'Base SKUs'!G:G),"")</f>
        <v>Maximo Thermo Ayous</v>
      </c>
      <c r="N1119" t="str">
        <f>IFERROR(_xlfn.XLOOKUP($A1119,'Base SKUs'!$E:$E,'Base SKUs'!H:H),"")</f>
        <v>VJoint - Nickel Gap</v>
      </c>
      <c r="O1119" t="str">
        <f>IFERROR(_xlfn.XLOOKUP($A1119,'Base SKUs'!$E:$E,'Base SKUs'!I:I),"")</f>
        <v>-</v>
      </c>
      <c r="P1119" t="str">
        <f>IFERROR(_xlfn.XLOOKUP($A1119,'Base SKUs'!$E:$E,'Base SKUs'!J:J),"")</f>
        <v>1x6</v>
      </c>
      <c r="Q1119">
        <f>IFERROR(_xlfn.XLOOKUP($A1119,'Base SKUs'!$E:$E,'Base SKUs'!K:K),"")</f>
        <v>6</v>
      </c>
      <c r="R1119" s="7">
        <f>IFERROR(_xlfn.XLOOKUP($A1119,'Base SKUs'!$E:$E,'Base SKUs'!S:S),"")</f>
        <v>4.7880000000000006E-3</v>
      </c>
      <c r="S1119" s="8">
        <f t="shared" si="87"/>
        <v>2.3461200000000004</v>
      </c>
      <c r="T1119" s="7">
        <f>IFERROR(_xlfn.XLOOKUP($A1119,'Base SKUs'!$E:$E,'Base SKUs'!R:R),"")</f>
        <v>1233.3979999999999</v>
      </c>
      <c r="U1119" s="15">
        <f t="shared" si="88"/>
        <v>2894</v>
      </c>
      <c r="V1119" t="str">
        <f t="shared" si="89"/>
        <v>HW Perris</v>
      </c>
    </row>
    <row r="1120" spans="1:22" x14ac:dyDescent="0.2">
      <c r="A1120" t="s">
        <v>1511</v>
      </c>
      <c r="B1120" s="5">
        <v>664</v>
      </c>
      <c r="C1120" s="5">
        <v>162</v>
      </c>
      <c r="D1120" s="5">
        <f t="shared" si="85"/>
        <v>502</v>
      </c>
      <c r="E1120" s="6">
        <v>12.7638</v>
      </c>
      <c r="F1120" s="6">
        <f t="shared" si="86"/>
        <v>8475.1631999999991</v>
      </c>
      <c r="G1120" t="s">
        <v>17</v>
      </c>
      <c r="H1120">
        <v>9007</v>
      </c>
      <c r="I1120" t="str">
        <f>IFERROR(_xlfn.XLOOKUP($A1120,'Base SKUs'!$E:$E,'Base SKUs'!A:A),"")</f>
        <v>Ayous</v>
      </c>
      <c r="J1120" t="str">
        <f>IFERROR(_xlfn.XLOOKUP($A1120,'Base SKUs'!$E:$E,'Base SKUs'!B:B),"")</f>
        <v>Ayous 1x6</v>
      </c>
      <c r="K1120" t="str">
        <f>IFERROR(_xlfn.XLOOKUP($A1120,'Base SKUs'!$E:$E,'Base SKUs'!C:C),"")</f>
        <v>Short</v>
      </c>
      <c r="L1120" t="str">
        <f>IFERROR(_xlfn.XLOOKUP($A1120,'Base SKUs'!$E:$E,'Base SKUs'!D:D),"")</f>
        <v>Thermowood</v>
      </c>
      <c r="M1120" t="str">
        <f>IFERROR(_xlfn.XLOOKUP($A1120,'Base SKUs'!$E:$E,'Base SKUs'!G:G),"")</f>
        <v>Maximo Thermo Ayous</v>
      </c>
      <c r="N1120" t="str">
        <f>IFERROR(_xlfn.XLOOKUP($A1120,'Base SKUs'!$E:$E,'Base SKUs'!H:H),"")</f>
        <v>VJoint - Nickel Gap</v>
      </c>
      <c r="O1120" t="str">
        <f>IFERROR(_xlfn.XLOOKUP($A1120,'Base SKUs'!$E:$E,'Base SKUs'!I:I),"")</f>
        <v>-</v>
      </c>
      <c r="P1120" t="str">
        <f>IFERROR(_xlfn.XLOOKUP($A1120,'Base SKUs'!$E:$E,'Base SKUs'!J:J),"")</f>
        <v>1x6</v>
      </c>
      <c r="Q1120">
        <f>IFERROR(_xlfn.XLOOKUP($A1120,'Base SKUs'!$E:$E,'Base SKUs'!K:K),"")</f>
        <v>7</v>
      </c>
      <c r="R1120" s="7">
        <f>IFERROR(_xlfn.XLOOKUP($A1120,'Base SKUs'!$E:$E,'Base SKUs'!S:S),"")</f>
        <v>5.5859999999999998E-3</v>
      </c>
      <c r="S1120" s="8">
        <f t="shared" si="87"/>
        <v>2.8041719999999999</v>
      </c>
      <c r="T1120" s="7">
        <f>IFERROR(_xlfn.XLOOKUP($A1120,'Base SKUs'!$E:$E,'Base SKUs'!R:R),"")</f>
        <v>1233.3979999999999</v>
      </c>
      <c r="U1120" s="15">
        <f t="shared" si="88"/>
        <v>3459</v>
      </c>
      <c r="V1120" t="str">
        <f t="shared" si="89"/>
        <v>Miami</v>
      </c>
    </row>
    <row r="1121" spans="1:22" x14ac:dyDescent="0.2">
      <c r="A1121" t="s">
        <v>1511</v>
      </c>
      <c r="B1121" s="5">
        <v>1456</v>
      </c>
      <c r="C1121" s="5">
        <v>1316</v>
      </c>
      <c r="D1121" s="5">
        <f t="shared" si="85"/>
        <v>140</v>
      </c>
      <c r="E1121" s="6">
        <v>11.4537</v>
      </c>
      <c r="F1121" s="6">
        <f t="shared" si="86"/>
        <v>16676.587199999998</v>
      </c>
      <c r="G1121" t="s">
        <v>24</v>
      </c>
      <c r="H1121">
        <v>9008</v>
      </c>
      <c r="I1121" t="str">
        <f>IFERROR(_xlfn.XLOOKUP($A1121,'Base SKUs'!$E:$E,'Base SKUs'!A:A),"")</f>
        <v>Ayous</v>
      </c>
      <c r="J1121" t="str">
        <f>IFERROR(_xlfn.XLOOKUP($A1121,'Base SKUs'!$E:$E,'Base SKUs'!B:B),"")</f>
        <v>Ayous 1x6</v>
      </c>
      <c r="K1121" t="str">
        <f>IFERROR(_xlfn.XLOOKUP($A1121,'Base SKUs'!$E:$E,'Base SKUs'!C:C),"")</f>
        <v>Short</v>
      </c>
      <c r="L1121" t="str">
        <f>IFERROR(_xlfn.XLOOKUP($A1121,'Base SKUs'!$E:$E,'Base SKUs'!D:D),"")</f>
        <v>Thermowood</v>
      </c>
      <c r="M1121" t="str">
        <f>IFERROR(_xlfn.XLOOKUP($A1121,'Base SKUs'!$E:$E,'Base SKUs'!G:G),"")</f>
        <v>Maximo Thermo Ayous</v>
      </c>
      <c r="N1121" t="str">
        <f>IFERROR(_xlfn.XLOOKUP($A1121,'Base SKUs'!$E:$E,'Base SKUs'!H:H),"")</f>
        <v>VJoint - Nickel Gap</v>
      </c>
      <c r="O1121" t="str">
        <f>IFERROR(_xlfn.XLOOKUP($A1121,'Base SKUs'!$E:$E,'Base SKUs'!I:I),"")</f>
        <v>-</v>
      </c>
      <c r="P1121" t="str">
        <f>IFERROR(_xlfn.XLOOKUP($A1121,'Base SKUs'!$E:$E,'Base SKUs'!J:J),"")</f>
        <v>1x6</v>
      </c>
      <c r="Q1121">
        <f>IFERROR(_xlfn.XLOOKUP($A1121,'Base SKUs'!$E:$E,'Base SKUs'!K:K),"")</f>
        <v>7</v>
      </c>
      <c r="R1121" s="7">
        <f>IFERROR(_xlfn.XLOOKUP($A1121,'Base SKUs'!$E:$E,'Base SKUs'!S:S),"")</f>
        <v>5.5859999999999998E-3</v>
      </c>
      <c r="S1121" s="8">
        <f t="shared" si="87"/>
        <v>0.78203999999999996</v>
      </c>
      <c r="T1121" s="7">
        <f>IFERROR(_xlfn.XLOOKUP($A1121,'Base SKUs'!$E:$E,'Base SKUs'!R:R),"")</f>
        <v>1233.3979999999999</v>
      </c>
      <c r="U1121" s="15">
        <f t="shared" si="88"/>
        <v>965</v>
      </c>
      <c r="V1121" t="str">
        <f t="shared" si="89"/>
        <v>Texas</v>
      </c>
    </row>
    <row r="1122" spans="1:22" x14ac:dyDescent="0.2">
      <c r="A1122" t="s">
        <v>1511</v>
      </c>
      <c r="B1122" s="5">
        <v>2132</v>
      </c>
      <c r="C1122" s="5">
        <v>1568</v>
      </c>
      <c r="D1122" s="5">
        <f t="shared" si="85"/>
        <v>564</v>
      </c>
      <c r="E1122" s="6">
        <v>11.4717</v>
      </c>
      <c r="F1122" s="6">
        <f t="shared" si="86"/>
        <v>24457.664400000001</v>
      </c>
      <c r="G1122" t="s">
        <v>330</v>
      </c>
      <c r="H1122">
        <v>9011</v>
      </c>
      <c r="I1122" t="str">
        <f>IFERROR(_xlfn.XLOOKUP($A1122,'Base SKUs'!$E:$E,'Base SKUs'!A:A),"")</f>
        <v>Ayous</v>
      </c>
      <c r="J1122" t="str">
        <f>IFERROR(_xlfn.XLOOKUP($A1122,'Base SKUs'!$E:$E,'Base SKUs'!B:B),"")</f>
        <v>Ayous 1x6</v>
      </c>
      <c r="K1122" t="str">
        <f>IFERROR(_xlfn.XLOOKUP($A1122,'Base SKUs'!$E:$E,'Base SKUs'!C:C),"")</f>
        <v>Short</v>
      </c>
      <c r="L1122" t="str">
        <f>IFERROR(_xlfn.XLOOKUP($A1122,'Base SKUs'!$E:$E,'Base SKUs'!D:D),"")</f>
        <v>Thermowood</v>
      </c>
      <c r="M1122" t="str">
        <f>IFERROR(_xlfn.XLOOKUP($A1122,'Base SKUs'!$E:$E,'Base SKUs'!G:G),"")</f>
        <v>Maximo Thermo Ayous</v>
      </c>
      <c r="N1122" t="str">
        <f>IFERROR(_xlfn.XLOOKUP($A1122,'Base SKUs'!$E:$E,'Base SKUs'!H:H),"")</f>
        <v>VJoint - Nickel Gap</v>
      </c>
      <c r="O1122" t="str">
        <f>IFERROR(_xlfn.XLOOKUP($A1122,'Base SKUs'!$E:$E,'Base SKUs'!I:I),"")</f>
        <v>-</v>
      </c>
      <c r="P1122" t="str">
        <f>IFERROR(_xlfn.XLOOKUP($A1122,'Base SKUs'!$E:$E,'Base SKUs'!J:J),"")</f>
        <v>1x6</v>
      </c>
      <c r="Q1122">
        <f>IFERROR(_xlfn.XLOOKUP($A1122,'Base SKUs'!$E:$E,'Base SKUs'!K:K),"")</f>
        <v>7</v>
      </c>
      <c r="R1122" s="7">
        <f>IFERROR(_xlfn.XLOOKUP($A1122,'Base SKUs'!$E:$E,'Base SKUs'!S:S),"")</f>
        <v>5.5859999999999998E-3</v>
      </c>
      <c r="S1122" s="8">
        <f t="shared" si="87"/>
        <v>3.1505039999999997</v>
      </c>
      <c r="T1122" s="7">
        <f>IFERROR(_xlfn.XLOOKUP($A1122,'Base SKUs'!$E:$E,'Base SKUs'!R:R),"")</f>
        <v>1233.3979999999999</v>
      </c>
      <c r="U1122" s="15">
        <f t="shared" si="88"/>
        <v>3886</v>
      </c>
      <c r="V1122" t="str">
        <f t="shared" si="89"/>
        <v>New York</v>
      </c>
    </row>
    <row r="1123" spans="1:22" x14ac:dyDescent="0.2">
      <c r="A1123" t="s">
        <v>1511</v>
      </c>
      <c r="B1123" s="5">
        <v>1225</v>
      </c>
      <c r="C1123" s="5">
        <v>0</v>
      </c>
      <c r="D1123" s="5">
        <f t="shared" si="85"/>
        <v>1225</v>
      </c>
      <c r="E1123" s="6">
        <v>12.98</v>
      </c>
      <c r="F1123" s="6">
        <f t="shared" si="86"/>
        <v>15900.5</v>
      </c>
      <c r="G1123" t="s">
        <v>500</v>
      </c>
      <c r="H1123">
        <v>9012</v>
      </c>
      <c r="I1123" t="str">
        <f>IFERROR(_xlfn.XLOOKUP($A1123,'Base SKUs'!$E:$E,'Base SKUs'!A:A),"")</f>
        <v>Ayous</v>
      </c>
      <c r="J1123" t="str">
        <f>IFERROR(_xlfn.XLOOKUP($A1123,'Base SKUs'!$E:$E,'Base SKUs'!B:B),"")</f>
        <v>Ayous 1x6</v>
      </c>
      <c r="K1123" t="str">
        <f>IFERROR(_xlfn.XLOOKUP($A1123,'Base SKUs'!$E:$E,'Base SKUs'!C:C),"")</f>
        <v>Short</v>
      </c>
      <c r="L1123" t="str">
        <f>IFERROR(_xlfn.XLOOKUP($A1123,'Base SKUs'!$E:$E,'Base SKUs'!D:D),"")</f>
        <v>Thermowood</v>
      </c>
      <c r="M1123" t="str">
        <f>IFERROR(_xlfn.XLOOKUP($A1123,'Base SKUs'!$E:$E,'Base SKUs'!G:G),"")</f>
        <v>Maximo Thermo Ayous</v>
      </c>
      <c r="N1123" t="str">
        <f>IFERROR(_xlfn.XLOOKUP($A1123,'Base SKUs'!$E:$E,'Base SKUs'!H:H),"")</f>
        <v>VJoint - Nickel Gap</v>
      </c>
      <c r="O1123" t="str">
        <f>IFERROR(_xlfn.XLOOKUP($A1123,'Base SKUs'!$E:$E,'Base SKUs'!I:I),"")</f>
        <v>-</v>
      </c>
      <c r="P1123" t="str">
        <f>IFERROR(_xlfn.XLOOKUP($A1123,'Base SKUs'!$E:$E,'Base SKUs'!J:J),"")</f>
        <v>1x6</v>
      </c>
      <c r="Q1123">
        <f>IFERROR(_xlfn.XLOOKUP($A1123,'Base SKUs'!$E:$E,'Base SKUs'!K:K),"")</f>
        <v>7</v>
      </c>
      <c r="R1123" s="7">
        <f>IFERROR(_xlfn.XLOOKUP($A1123,'Base SKUs'!$E:$E,'Base SKUs'!S:S),"")</f>
        <v>5.5859999999999998E-3</v>
      </c>
      <c r="S1123" s="8">
        <f t="shared" si="87"/>
        <v>6.8428499999999994</v>
      </c>
      <c r="T1123" s="7">
        <f>IFERROR(_xlfn.XLOOKUP($A1123,'Base SKUs'!$E:$E,'Base SKUs'!R:R),"")</f>
        <v>1233.3979999999999</v>
      </c>
      <c r="U1123" s="15">
        <f t="shared" si="88"/>
        <v>8440</v>
      </c>
      <c r="V1123" t="str">
        <f t="shared" si="89"/>
        <v>HW Perris</v>
      </c>
    </row>
    <row r="1124" spans="1:22" x14ac:dyDescent="0.2">
      <c r="A1124" t="s">
        <v>1513</v>
      </c>
      <c r="B1124" s="5">
        <v>876</v>
      </c>
      <c r="C1124" s="5">
        <v>288</v>
      </c>
      <c r="D1124" s="5">
        <f t="shared" si="85"/>
        <v>588</v>
      </c>
      <c r="E1124" s="6">
        <v>14.462199999999999</v>
      </c>
      <c r="F1124" s="6">
        <f t="shared" si="86"/>
        <v>12668.887199999999</v>
      </c>
      <c r="G1124" t="s">
        <v>17</v>
      </c>
      <c r="H1124">
        <v>9007</v>
      </c>
      <c r="I1124" t="str">
        <f>IFERROR(_xlfn.XLOOKUP($A1124,'Base SKUs'!$E:$E,'Base SKUs'!A:A),"")</f>
        <v>Ayous</v>
      </c>
      <c r="J1124" t="str">
        <f>IFERROR(_xlfn.XLOOKUP($A1124,'Base SKUs'!$E:$E,'Base SKUs'!B:B),"")</f>
        <v>Ayous 1x6</v>
      </c>
      <c r="K1124" t="str">
        <f>IFERROR(_xlfn.XLOOKUP($A1124,'Base SKUs'!$E:$E,'Base SKUs'!C:C),"")</f>
        <v>Long</v>
      </c>
      <c r="L1124" t="str">
        <f>IFERROR(_xlfn.XLOOKUP($A1124,'Base SKUs'!$E:$E,'Base SKUs'!D:D),"")</f>
        <v>Thermowood</v>
      </c>
      <c r="M1124" t="str">
        <f>IFERROR(_xlfn.XLOOKUP($A1124,'Base SKUs'!$E:$E,'Base SKUs'!G:G),"")</f>
        <v>Maximo Thermo Ayous</v>
      </c>
      <c r="N1124" t="str">
        <f>IFERROR(_xlfn.XLOOKUP($A1124,'Base SKUs'!$E:$E,'Base SKUs'!H:H),"")</f>
        <v>VJoint - Nickel Gap</v>
      </c>
      <c r="O1124" t="str">
        <f>IFERROR(_xlfn.XLOOKUP($A1124,'Base SKUs'!$E:$E,'Base SKUs'!I:I),"")</f>
        <v>-</v>
      </c>
      <c r="P1124" t="str">
        <f>IFERROR(_xlfn.XLOOKUP($A1124,'Base SKUs'!$E:$E,'Base SKUs'!J:J),"")</f>
        <v>1x6</v>
      </c>
      <c r="Q1124">
        <f>IFERROR(_xlfn.XLOOKUP($A1124,'Base SKUs'!$E:$E,'Base SKUs'!K:K),"")</f>
        <v>8</v>
      </c>
      <c r="R1124" s="7">
        <f>IFERROR(_xlfn.XLOOKUP($A1124,'Base SKUs'!$E:$E,'Base SKUs'!S:S),"")</f>
        <v>6.3839999999999999E-3</v>
      </c>
      <c r="S1124" s="8">
        <f t="shared" si="87"/>
        <v>3.7537919999999998</v>
      </c>
      <c r="T1124" s="7">
        <f>IFERROR(_xlfn.XLOOKUP($A1124,'Base SKUs'!$E:$E,'Base SKUs'!R:R),"")</f>
        <v>1233.3979999999999</v>
      </c>
      <c r="U1124" s="15">
        <f t="shared" si="88"/>
        <v>4630</v>
      </c>
      <c r="V1124" t="str">
        <f t="shared" si="89"/>
        <v>Miami</v>
      </c>
    </row>
    <row r="1125" spans="1:22" x14ac:dyDescent="0.2">
      <c r="A1125" t="s">
        <v>1513</v>
      </c>
      <c r="B1125" s="5">
        <v>1479</v>
      </c>
      <c r="C1125" s="5">
        <v>1479</v>
      </c>
      <c r="D1125" s="5">
        <f t="shared" si="85"/>
        <v>0</v>
      </c>
      <c r="E1125" s="6">
        <v>13.0585</v>
      </c>
      <c r="F1125" s="6">
        <f t="shared" si="86"/>
        <v>19313.521499999999</v>
      </c>
      <c r="G1125" t="s">
        <v>24</v>
      </c>
      <c r="H1125">
        <v>9008</v>
      </c>
      <c r="I1125" t="str">
        <f>IFERROR(_xlfn.XLOOKUP($A1125,'Base SKUs'!$E:$E,'Base SKUs'!A:A),"")</f>
        <v>Ayous</v>
      </c>
      <c r="J1125" t="str">
        <f>IFERROR(_xlfn.XLOOKUP($A1125,'Base SKUs'!$E:$E,'Base SKUs'!B:B),"")</f>
        <v>Ayous 1x6</v>
      </c>
      <c r="K1125" t="str">
        <f>IFERROR(_xlfn.XLOOKUP($A1125,'Base SKUs'!$E:$E,'Base SKUs'!C:C),"")</f>
        <v>Long</v>
      </c>
      <c r="L1125" t="str">
        <f>IFERROR(_xlfn.XLOOKUP($A1125,'Base SKUs'!$E:$E,'Base SKUs'!D:D),"")</f>
        <v>Thermowood</v>
      </c>
      <c r="M1125" t="str">
        <f>IFERROR(_xlfn.XLOOKUP($A1125,'Base SKUs'!$E:$E,'Base SKUs'!G:G),"")</f>
        <v>Maximo Thermo Ayous</v>
      </c>
      <c r="N1125" t="str">
        <f>IFERROR(_xlfn.XLOOKUP($A1125,'Base SKUs'!$E:$E,'Base SKUs'!H:H),"")</f>
        <v>VJoint - Nickel Gap</v>
      </c>
      <c r="O1125" t="str">
        <f>IFERROR(_xlfn.XLOOKUP($A1125,'Base SKUs'!$E:$E,'Base SKUs'!I:I),"")</f>
        <v>-</v>
      </c>
      <c r="P1125" t="str">
        <f>IFERROR(_xlfn.XLOOKUP($A1125,'Base SKUs'!$E:$E,'Base SKUs'!J:J),"")</f>
        <v>1x6</v>
      </c>
      <c r="Q1125">
        <f>IFERROR(_xlfn.XLOOKUP($A1125,'Base SKUs'!$E:$E,'Base SKUs'!K:K),"")</f>
        <v>8</v>
      </c>
      <c r="R1125" s="7">
        <f>IFERROR(_xlfn.XLOOKUP($A1125,'Base SKUs'!$E:$E,'Base SKUs'!S:S),"")</f>
        <v>6.3839999999999999E-3</v>
      </c>
      <c r="S1125" s="8">
        <f t="shared" si="87"/>
        <v>0</v>
      </c>
      <c r="T1125" s="7">
        <f>IFERROR(_xlfn.XLOOKUP($A1125,'Base SKUs'!$E:$E,'Base SKUs'!R:R),"")</f>
        <v>1233.3979999999999</v>
      </c>
      <c r="U1125" s="15">
        <f t="shared" si="88"/>
        <v>0</v>
      </c>
      <c r="V1125" t="str">
        <f t="shared" si="89"/>
        <v>Texas</v>
      </c>
    </row>
    <row r="1126" spans="1:22" x14ac:dyDescent="0.2">
      <c r="A1126" t="s">
        <v>1513</v>
      </c>
      <c r="B1126" s="5">
        <v>2171</v>
      </c>
      <c r="C1126" s="5">
        <v>1505</v>
      </c>
      <c r="D1126" s="5">
        <f t="shared" si="85"/>
        <v>666</v>
      </c>
      <c r="E1126" s="6">
        <v>13.268000000000001</v>
      </c>
      <c r="F1126" s="6">
        <f t="shared" si="86"/>
        <v>28804.828000000001</v>
      </c>
      <c r="G1126" t="s">
        <v>330</v>
      </c>
      <c r="H1126">
        <v>9011</v>
      </c>
      <c r="I1126" t="str">
        <f>IFERROR(_xlfn.XLOOKUP($A1126,'Base SKUs'!$E:$E,'Base SKUs'!A:A),"")</f>
        <v>Ayous</v>
      </c>
      <c r="J1126" t="str">
        <f>IFERROR(_xlfn.XLOOKUP($A1126,'Base SKUs'!$E:$E,'Base SKUs'!B:B),"")</f>
        <v>Ayous 1x6</v>
      </c>
      <c r="K1126" t="str">
        <f>IFERROR(_xlfn.XLOOKUP($A1126,'Base SKUs'!$E:$E,'Base SKUs'!C:C),"")</f>
        <v>Long</v>
      </c>
      <c r="L1126" t="str">
        <f>IFERROR(_xlfn.XLOOKUP($A1126,'Base SKUs'!$E:$E,'Base SKUs'!D:D),"")</f>
        <v>Thermowood</v>
      </c>
      <c r="M1126" t="str">
        <f>IFERROR(_xlfn.XLOOKUP($A1126,'Base SKUs'!$E:$E,'Base SKUs'!G:G),"")</f>
        <v>Maximo Thermo Ayous</v>
      </c>
      <c r="N1126" t="str">
        <f>IFERROR(_xlfn.XLOOKUP($A1126,'Base SKUs'!$E:$E,'Base SKUs'!H:H),"")</f>
        <v>VJoint - Nickel Gap</v>
      </c>
      <c r="O1126" t="str">
        <f>IFERROR(_xlfn.XLOOKUP($A1126,'Base SKUs'!$E:$E,'Base SKUs'!I:I),"")</f>
        <v>-</v>
      </c>
      <c r="P1126" t="str">
        <f>IFERROR(_xlfn.XLOOKUP($A1126,'Base SKUs'!$E:$E,'Base SKUs'!J:J),"")</f>
        <v>1x6</v>
      </c>
      <c r="Q1126">
        <f>IFERROR(_xlfn.XLOOKUP($A1126,'Base SKUs'!$E:$E,'Base SKUs'!K:K),"")</f>
        <v>8</v>
      </c>
      <c r="R1126" s="7">
        <f>IFERROR(_xlfn.XLOOKUP($A1126,'Base SKUs'!$E:$E,'Base SKUs'!S:S),"")</f>
        <v>6.3839999999999999E-3</v>
      </c>
      <c r="S1126" s="8">
        <f t="shared" si="87"/>
        <v>4.2517439999999995</v>
      </c>
      <c r="T1126" s="7">
        <f>IFERROR(_xlfn.XLOOKUP($A1126,'Base SKUs'!$E:$E,'Base SKUs'!R:R),"")</f>
        <v>1233.3979999999999</v>
      </c>
      <c r="U1126" s="15">
        <f t="shared" si="88"/>
        <v>5244</v>
      </c>
      <c r="V1126" t="str">
        <f t="shared" si="89"/>
        <v>New York</v>
      </c>
    </row>
    <row r="1127" spans="1:22" x14ac:dyDescent="0.2">
      <c r="A1127" t="s">
        <v>1513</v>
      </c>
      <c r="B1127" s="5">
        <v>735</v>
      </c>
      <c r="C1127" s="5">
        <v>0</v>
      </c>
      <c r="D1127" s="5">
        <f t="shared" si="85"/>
        <v>735</v>
      </c>
      <c r="E1127" s="6">
        <v>14.638400000000001</v>
      </c>
      <c r="F1127" s="6">
        <f t="shared" si="86"/>
        <v>10759.224</v>
      </c>
      <c r="G1127" t="s">
        <v>500</v>
      </c>
      <c r="H1127">
        <v>9012</v>
      </c>
      <c r="I1127" t="str">
        <f>IFERROR(_xlfn.XLOOKUP($A1127,'Base SKUs'!$E:$E,'Base SKUs'!A:A),"")</f>
        <v>Ayous</v>
      </c>
      <c r="J1127" t="str">
        <f>IFERROR(_xlfn.XLOOKUP($A1127,'Base SKUs'!$E:$E,'Base SKUs'!B:B),"")</f>
        <v>Ayous 1x6</v>
      </c>
      <c r="K1127" t="str">
        <f>IFERROR(_xlfn.XLOOKUP($A1127,'Base SKUs'!$E:$E,'Base SKUs'!C:C),"")</f>
        <v>Long</v>
      </c>
      <c r="L1127" t="str">
        <f>IFERROR(_xlfn.XLOOKUP($A1127,'Base SKUs'!$E:$E,'Base SKUs'!D:D),"")</f>
        <v>Thermowood</v>
      </c>
      <c r="M1127" t="str">
        <f>IFERROR(_xlfn.XLOOKUP($A1127,'Base SKUs'!$E:$E,'Base SKUs'!G:G),"")</f>
        <v>Maximo Thermo Ayous</v>
      </c>
      <c r="N1127" t="str">
        <f>IFERROR(_xlfn.XLOOKUP($A1127,'Base SKUs'!$E:$E,'Base SKUs'!H:H),"")</f>
        <v>VJoint - Nickel Gap</v>
      </c>
      <c r="O1127" t="str">
        <f>IFERROR(_xlfn.XLOOKUP($A1127,'Base SKUs'!$E:$E,'Base SKUs'!I:I),"")</f>
        <v>-</v>
      </c>
      <c r="P1127" t="str">
        <f>IFERROR(_xlfn.XLOOKUP($A1127,'Base SKUs'!$E:$E,'Base SKUs'!J:J),"")</f>
        <v>1x6</v>
      </c>
      <c r="Q1127">
        <f>IFERROR(_xlfn.XLOOKUP($A1127,'Base SKUs'!$E:$E,'Base SKUs'!K:K),"")</f>
        <v>8</v>
      </c>
      <c r="R1127" s="7">
        <f>IFERROR(_xlfn.XLOOKUP($A1127,'Base SKUs'!$E:$E,'Base SKUs'!S:S),"")</f>
        <v>6.3839999999999999E-3</v>
      </c>
      <c r="S1127" s="8">
        <f t="shared" si="87"/>
        <v>4.69224</v>
      </c>
      <c r="T1127" s="7">
        <f>IFERROR(_xlfn.XLOOKUP($A1127,'Base SKUs'!$E:$E,'Base SKUs'!R:R),"")</f>
        <v>1233.3979999999999</v>
      </c>
      <c r="U1127" s="15">
        <f t="shared" si="88"/>
        <v>5787</v>
      </c>
      <c r="V1127" t="str">
        <f t="shared" si="89"/>
        <v>HW Perris</v>
      </c>
    </row>
    <row r="1128" spans="1:22" x14ac:dyDescent="0.2">
      <c r="A1128" t="s">
        <v>1515</v>
      </c>
      <c r="B1128" s="5">
        <v>868</v>
      </c>
      <c r="C1128" s="5">
        <v>646</v>
      </c>
      <c r="D1128" s="5">
        <f t="shared" si="85"/>
        <v>222</v>
      </c>
      <c r="E1128" s="6">
        <v>16.524699999999999</v>
      </c>
      <c r="F1128" s="6">
        <f t="shared" si="86"/>
        <v>14343.4396</v>
      </c>
      <c r="G1128" t="s">
        <v>17</v>
      </c>
      <c r="H1128">
        <v>9007</v>
      </c>
      <c r="I1128" t="str">
        <f>IFERROR(_xlfn.XLOOKUP($A1128,'Base SKUs'!$E:$E,'Base SKUs'!A:A),"")</f>
        <v>Ayous</v>
      </c>
      <c r="J1128" t="str">
        <f>IFERROR(_xlfn.XLOOKUP($A1128,'Base SKUs'!$E:$E,'Base SKUs'!B:B),"")</f>
        <v>Ayous 1x6</v>
      </c>
      <c r="K1128" t="str">
        <f>IFERROR(_xlfn.XLOOKUP($A1128,'Base SKUs'!$E:$E,'Base SKUs'!C:C),"")</f>
        <v>Long</v>
      </c>
      <c r="L1128" t="str">
        <f>IFERROR(_xlfn.XLOOKUP($A1128,'Base SKUs'!$E:$E,'Base SKUs'!D:D),"")</f>
        <v>Thermowood</v>
      </c>
      <c r="M1128" t="str">
        <f>IFERROR(_xlfn.XLOOKUP($A1128,'Base SKUs'!$E:$E,'Base SKUs'!G:G),"")</f>
        <v>Maximo Thermo Ayous</v>
      </c>
      <c r="N1128" t="str">
        <f>IFERROR(_xlfn.XLOOKUP($A1128,'Base SKUs'!$E:$E,'Base SKUs'!H:H),"")</f>
        <v>VJoint - Nickel Gap</v>
      </c>
      <c r="O1128" t="str">
        <f>IFERROR(_xlfn.XLOOKUP($A1128,'Base SKUs'!$E:$E,'Base SKUs'!I:I),"")</f>
        <v>-</v>
      </c>
      <c r="P1128" t="str">
        <f>IFERROR(_xlfn.XLOOKUP($A1128,'Base SKUs'!$E:$E,'Base SKUs'!J:J),"")</f>
        <v>1x6</v>
      </c>
      <c r="Q1128">
        <f>IFERROR(_xlfn.XLOOKUP($A1128,'Base SKUs'!$E:$E,'Base SKUs'!K:K),"")</f>
        <v>9</v>
      </c>
      <c r="R1128" s="7">
        <f>IFERROR(_xlfn.XLOOKUP($A1128,'Base SKUs'!$E:$E,'Base SKUs'!S:S),"")</f>
        <v>7.182E-3</v>
      </c>
      <c r="S1128" s="8">
        <f t="shared" si="87"/>
        <v>1.5944039999999999</v>
      </c>
      <c r="T1128" s="7">
        <f>IFERROR(_xlfn.XLOOKUP($A1128,'Base SKUs'!$E:$E,'Base SKUs'!R:R),"")</f>
        <v>1233.3979999999999</v>
      </c>
      <c r="U1128" s="15">
        <f t="shared" si="88"/>
        <v>1967</v>
      </c>
      <c r="V1128" t="str">
        <f t="shared" si="89"/>
        <v>Miami</v>
      </c>
    </row>
    <row r="1129" spans="1:22" x14ac:dyDescent="0.2">
      <c r="A1129" t="s">
        <v>1515</v>
      </c>
      <c r="B1129" s="5">
        <v>210</v>
      </c>
      <c r="C1129" s="5">
        <v>210</v>
      </c>
      <c r="D1129" s="5">
        <f t="shared" si="85"/>
        <v>0</v>
      </c>
      <c r="E1129" s="6">
        <v>14.680899999999999</v>
      </c>
      <c r="F1129" s="6">
        <f t="shared" si="86"/>
        <v>3082.989</v>
      </c>
      <c r="G1129" t="s">
        <v>24</v>
      </c>
      <c r="H1129">
        <v>9008</v>
      </c>
      <c r="I1129" t="str">
        <f>IFERROR(_xlfn.XLOOKUP($A1129,'Base SKUs'!$E:$E,'Base SKUs'!A:A),"")</f>
        <v>Ayous</v>
      </c>
      <c r="J1129" t="str">
        <f>IFERROR(_xlfn.XLOOKUP($A1129,'Base SKUs'!$E:$E,'Base SKUs'!B:B),"")</f>
        <v>Ayous 1x6</v>
      </c>
      <c r="K1129" t="str">
        <f>IFERROR(_xlfn.XLOOKUP($A1129,'Base SKUs'!$E:$E,'Base SKUs'!C:C),"")</f>
        <v>Long</v>
      </c>
      <c r="L1129" t="str">
        <f>IFERROR(_xlfn.XLOOKUP($A1129,'Base SKUs'!$E:$E,'Base SKUs'!D:D),"")</f>
        <v>Thermowood</v>
      </c>
      <c r="M1129" t="str">
        <f>IFERROR(_xlfn.XLOOKUP($A1129,'Base SKUs'!$E:$E,'Base SKUs'!G:G),"")</f>
        <v>Maximo Thermo Ayous</v>
      </c>
      <c r="N1129" t="str">
        <f>IFERROR(_xlfn.XLOOKUP($A1129,'Base SKUs'!$E:$E,'Base SKUs'!H:H),"")</f>
        <v>VJoint - Nickel Gap</v>
      </c>
      <c r="O1129" t="str">
        <f>IFERROR(_xlfn.XLOOKUP($A1129,'Base SKUs'!$E:$E,'Base SKUs'!I:I),"")</f>
        <v>-</v>
      </c>
      <c r="P1129" t="str">
        <f>IFERROR(_xlfn.XLOOKUP($A1129,'Base SKUs'!$E:$E,'Base SKUs'!J:J),"")</f>
        <v>1x6</v>
      </c>
      <c r="Q1129">
        <f>IFERROR(_xlfn.XLOOKUP($A1129,'Base SKUs'!$E:$E,'Base SKUs'!K:K),"")</f>
        <v>9</v>
      </c>
      <c r="R1129" s="7">
        <f>IFERROR(_xlfn.XLOOKUP($A1129,'Base SKUs'!$E:$E,'Base SKUs'!S:S),"")</f>
        <v>7.182E-3</v>
      </c>
      <c r="S1129" s="8">
        <f t="shared" si="87"/>
        <v>0</v>
      </c>
      <c r="T1129" s="7">
        <f>IFERROR(_xlfn.XLOOKUP($A1129,'Base SKUs'!$E:$E,'Base SKUs'!R:R),"")</f>
        <v>1233.3979999999999</v>
      </c>
      <c r="U1129" s="15">
        <f t="shared" si="88"/>
        <v>0</v>
      </c>
      <c r="V1129" t="str">
        <f t="shared" si="89"/>
        <v>Texas</v>
      </c>
    </row>
    <row r="1130" spans="1:22" x14ac:dyDescent="0.2">
      <c r="A1130" t="s">
        <v>1515</v>
      </c>
      <c r="B1130" s="5">
        <v>701</v>
      </c>
      <c r="C1130" s="5">
        <v>413</v>
      </c>
      <c r="D1130" s="5">
        <f t="shared" si="85"/>
        <v>288</v>
      </c>
      <c r="E1130" s="6">
        <v>14.901899999999999</v>
      </c>
      <c r="F1130" s="6">
        <f t="shared" si="86"/>
        <v>10446.231899999999</v>
      </c>
      <c r="G1130" t="s">
        <v>330</v>
      </c>
      <c r="H1130">
        <v>9011</v>
      </c>
      <c r="I1130" t="str">
        <f>IFERROR(_xlfn.XLOOKUP($A1130,'Base SKUs'!$E:$E,'Base SKUs'!A:A),"")</f>
        <v>Ayous</v>
      </c>
      <c r="J1130" t="str">
        <f>IFERROR(_xlfn.XLOOKUP($A1130,'Base SKUs'!$E:$E,'Base SKUs'!B:B),"")</f>
        <v>Ayous 1x6</v>
      </c>
      <c r="K1130" t="str">
        <f>IFERROR(_xlfn.XLOOKUP($A1130,'Base SKUs'!$E:$E,'Base SKUs'!C:C),"")</f>
        <v>Long</v>
      </c>
      <c r="L1130" t="str">
        <f>IFERROR(_xlfn.XLOOKUP($A1130,'Base SKUs'!$E:$E,'Base SKUs'!D:D),"")</f>
        <v>Thermowood</v>
      </c>
      <c r="M1130" t="str">
        <f>IFERROR(_xlfn.XLOOKUP($A1130,'Base SKUs'!$E:$E,'Base SKUs'!G:G),"")</f>
        <v>Maximo Thermo Ayous</v>
      </c>
      <c r="N1130" t="str">
        <f>IFERROR(_xlfn.XLOOKUP($A1130,'Base SKUs'!$E:$E,'Base SKUs'!H:H),"")</f>
        <v>VJoint - Nickel Gap</v>
      </c>
      <c r="O1130" t="str">
        <f>IFERROR(_xlfn.XLOOKUP($A1130,'Base SKUs'!$E:$E,'Base SKUs'!I:I),"")</f>
        <v>-</v>
      </c>
      <c r="P1130" t="str">
        <f>IFERROR(_xlfn.XLOOKUP($A1130,'Base SKUs'!$E:$E,'Base SKUs'!J:J),"")</f>
        <v>1x6</v>
      </c>
      <c r="Q1130">
        <f>IFERROR(_xlfn.XLOOKUP($A1130,'Base SKUs'!$E:$E,'Base SKUs'!K:K),"")</f>
        <v>9</v>
      </c>
      <c r="R1130" s="7">
        <f>IFERROR(_xlfn.XLOOKUP($A1130,'Base SKUs'!$E:$E,'Base SKUs'!S:S),"")</f>
        <v>7.182E-3</v>
      </c>
      <c r="S1130" s="8">
        <f t="shared" si="87"/>
        <v>2.068416</v>
      </c>
      <c r="T1130" s="7">
        <f>IFERROR(_xlfn.XLOOKUP($A1130,'Base SKUs'!$E:$E,'Base SKUs'!R:R),"")</f>
        <v>1233.3979999999999</v>
      </c>
      <c r="U1130" s="15">
        <f t="shared" si="88"/>
        <v>2551</v>
      </c>
      <c r="V1130" t="str">
        <f t="shared" si="89"/>
        <v>New York</v>
      </c>
    </row>
    <row r="1131" spans="1:22" x14ac:dyDescent="0.2">
      <c r="A1131" t="s">
        <v>1515</v>
      </c>
      <c r="B1131" s="5">
        <v>3920</v>
      </c>
      <c r="C1131" s="5">
        <v>0</v>
      </c>
      <c r="D1131" s="5">
        <f t="shared" si="85"/>
        <v>3920</v>
      </c>
      <c r="E1131" s="6">
        <v>16.640699999999999</v>
      </c>
      <c r="F1131" s="6">
        <f t="shared" si="86"/>
        <v>65231.543999999994</v>
      </c>
      <c r="G1131" t="s">
        <v>500</v>
      </c>
      <c r="H1131">
        <v>9012</v>
      </c>
      <c r="I1131" t="str">
        <f>IFERROR(_xlfn.XLOOKUP($A1131,'Base SKUs'!$E:$E,'Base SKUs'!A:A),"")</f>
        <v>Ayous</v>
      </c>
      <c r="J1131" t="str">
        <f>IFERROR(_xlfn.XLOOKUP($A1131,'Base SKUs'!$E:$E,'Base SKUs'!B:B),"")</f>
        <v>Ayous 1x6</v>
      </c>
      <c r="K1131" t="str">
        <f>IFERROR(_xlfn.XLOOKUP($A1131,'Base SKUs'!$E:$E,'Base SKUs'!C:C),"")</f>
        <v>Long</v>
      </c>
      <c r="L1131" t="str">
        <f>IFERROR(_xlfn.XLOOKUP($A1131,'Base SKUs'!$E:$E,'Base SKUs'!D:D),"")</f>
        <v>Thermowood</v>
      </c>
      <c r="M1131" t="str">
        <f>IFERROR(_xlfn.XLOOKUP($A1131,'Base SKUs'!$E:$E,'Base SKUs'!G:G),"")</f>
        <v>Maximo Thermo Ayous</v>
      </c>
      <c r="N1131" t="str">
        <f>IFERROR(_xlfn.XLOOKUP($A1131,'Base SKUs'!$E:$E,'Base SKUs'!H:H),"")</f>
        <v>VJoint - Nickel Gap</v>
      </c>
      <c r="O1131" t="str">
        <f>IFERROR(_xlfn.XLOOKUP($A1131,'Base SKUs'!$E:$E,'Base SKUs'!I:I),"")</f>
        <v>-</v>
      </c>
      <c r="P1131" t="str">
        <f>IFERROR(_xlfn.XLOOKUP($A1131,'Base SKUs'!$E:$E,'Base SKUs'!J:J),"")</f>
        <v>1x6</v>
      </c>
      <c r="Q1131">
        <f>IFERROR(_xlfn.XLOOKUP($A1131,'Base SKUs'!$E:$E,'Base SKUs'!K:K),"")</f>
        <v>9</v>
      </c>
      <c r="R1131" s="7">
        <f>IFERROR(_xlfn.XLOOKUP($A1131,'Base SKUs'!$E:$E,'Base SKUs'!S:S),"")</f>
        <v>7.182E-3</v>
      </c>
      <c r="S1131" s="8">
        <f t="shared" si="87"/>
        <v>28.15344</v>
      </c>
      <c r="T1131" s="7">
        <f>IFERROR(_xlfn.XLOOKUP($A1131,'Base SKUs'!$E:$E,'Base SKUs'!R:R),"")</f>
        <v>1233.3979999999999</v>
      </c>
      <c r="U1131" s="15">
        <f t="shared" si="88"/>
        <v>34724</v>
      </c>
      <c r="V1131" t="str">
        <f t="shared" si="89"/>
        <v>HW Perris</v>
      </c>
    </row>
    <row r="1132" spans="1:22" x14ac:dyDescent="0.2">
      <c r="A1132" t="s">
        <v>1517</v>
      </c>
      <c r="B1132" s="5">
        <v>904</v>
      </c>
      <c r="C1132" s="5">
        <v>504</v>
      </c>
      <c r="D1132" s="5">
        <f t="shared" si="85"/>
        <v>400</v>
      </c>
      <c r="E1132" s="6">
        <v>19.360399999999998</v>
      </c>
      <c r="F1132" s="6">
        <f t="shared" si="86"/>
        <v>17501.801599999999</v>
      </c>
      <c r="G1132" t="s">
        <v>125</v>
      </c>
      <c r="H1132">
        <v>9009</v>
      </c>
      <c r="I1132" t="str">
        <f>IFERROR(_xlfn.XLOOKUP($A1132,'Base SKUs'!$E:$E,'Base SKUs'!A:A),"")</f>
        <v>Ayous</v>
      </c>
      <c r="J1132" t="str">
        <f>IFERROR(_xlfn.XLOOKUP($A1132,'Base SKUs'!$E:$E,'Base SKUs'!B:B),"")</f>
        <v>Ayous 5/4x6</v>
      </c>
      <c r="K1132" t="str">
        <f>IFERROR(_xlfn.XLOOKUP($A1132,'Base SKUs'!$E:$E,'Base SKUs'!C:C),"")</f>
        <v>Long</v>
      </c>
      <c r="L1132" t="str">
        <f>IFERROR(_xlfn.XLOOKUP($A1132,'Base SKUs'!$E:$E,'Base SKUs'!D:D),"")</f>
        <v>Thermowood</v>
      </c>
      <c r="M1132" t="str">
        <f>IFERROR(_xlfn.XLOOKUP($A1132,'Base SKUs'!$E:$E,'Base SKUs'!G:G),"")</f>
        <v>Maximo Thermo Ayous</v>
      </c>
      <c r="N1132" t="str">
        <f>IFERROR(_xlfn.XLOOKUP($A1132,'Base SKUs'!$E:$E,'Base SKUs'!H:H),"")</f>
        <v>Rough Sawn</v>
      </c>
      <c r="O1132" t="str">
        <f>IFERROR(_xlfn.XLOOKUP($A1132,'Base SKUs'!$E:$E,'Base SKUs'!I:I),"")</f>
        <v>-</v>
      </c>
      <c r="P1132" t="str">
        <f>IFERROR(_xlfn.XLOOKUP($A1132,'Base SKUs'!$E:$E,'Base SKUs'!J:J),"")</f>
        <v>5/4x6</v>
      </c>
      <c r="Q1132">
        <f>IFERROR(_xlfn.XLOOKUP($A1132,'Base SKUs'!$E:$E,'Base SKUs'!K:K),"")</f>
        <v>10</v>
      </c>
      <c r="R1132" s="7">
        <f>IFERROR(_xlfn.XLOOKUP($A1132,'Base SKUs'!$E:$E,'Base SKUs'!S:S),"")</f>
        <v>1.125E-2</v>
      </c>
      <c r="S1132" s="8">
        <f t="shared" si="87"/>
        <v>4.5</v>
      </c>
      <c r="T1132" s="7">
        <f>IFERROR(_xlfn.XLOOKUP($A1132,'Base SKUs'!$E:$E,'Base SKUs'!R:R),"")</f>
        <v>874.89099999999996</v>
      </c>
      <c r="U1132" s="15">
        <f t="shared" si="88"/>
        <v>3937</v>
      </c>
      <c r="V1132" t="str">
        <f t="shared" si="89"/>
        <v>Boston</v>
      </c>
    </row>
    <row r="1133" spans="1:22" x14ac:dyDescent="0.2">
      <c r="A1133" t="s">
        <v>1519</v>
      </c>
      <c r="B1133" s="5">
        <v>458</v>
      </c>
      <c r="C1133" s="5">
        <v>0</v>
      </c>
      <c r="D1133" s="5">
        <f t="shared" si="85"/>
        <v>458</v>
      </c>
      <c r="E1133" s="6">
        <v>23.232399999999998</v>
      </c>
      <c r="F1133" s="6">
        <f t="shared" si="86"/>
        <v>10640.439199999999</v>
      </c>
      <c r="G1133" t="s">
        <v>125</v>
      </c>
      <c r="H1133">
        <v>9009</v>
      </c>
      <c r="I1133" t="str">
        <f>IFERROR(_xlfn.XLOOKUP($A1133,'Base SKUs'!$E:$E,'Base SKUs'!A:A),"")</f>
        <v>Ayous</v>
      </c>
      <c r="J1133" t="str">
        <f>IFERROR(_xlfn.XLOOKUP($A1133,'Base SKUs'!$E:$E,'Base SKUs'!B:B),"")</f>
        <v>Ayous 5/4x6</v>
      </c>
      <c r="K1133" t="str">
        <f>IFERROR(_xlfn.XLOOKUP($A1133,'Base SKUs'!$E:$E,'Base SKUs'!C:C),"")</f>
        <v>Long</v>
      </c>
      <c r="L1133" t="str">
        <f>IFERROR(_xlfn.XLOOKUP($A1133,'Base SKUs'!$E:$E,'Base SKUs'!D:D),"")</f>
        <v>Thermowood</v>
      </c>
      <c r="M1133" t="str">
        <f>IFERROR(_xlfn.XLOOKUP($A1133,'Base SKUs'!$E:$E,'Base SKUs'!G:G),"")</f>
        <v>Maximo Thermo Ayous</v>
      </c>
      <c r="N1133" t="str">
        <f>IFERROR(_xlfn.XLOOKUP($A1133,'Base SKUs'!$E:$E,'Base SKUs'!H:H),"")</f>
        <v>Rough Sawn</v>
      </c>
      <c r="O1133" t="str">
        <f>IFERROR(_xlfn.XLOOKUP($A1133,'Base SKUs'!$E:$E,'Base SKUs'!I:I),"")</f>
        <v>-</v>
      </c>
      <c r="P1133" t="str">
        <f>IFERROR(_xlfn.XLOOKUP($A1133,'Base SKUs'!$E:$E,'Base SKUs'!J:J),"")</f>
        <v>5/4x6</v>
      </c>
      <c r="Q1133">
        <f>IFERROR(_xlfn.XLOOKUP($A1133,'Base SKUs'!$E:$E,'Base SKUs'!K:K),"")</f>
        <v>12</v>
      </c>
      <c r="R1133" s="7">
        <f>IFERROR(_xlfn.XLOOKUP($A1133,'Base SKUs'!$E:$E,'Base SKUs'!S:S),"")</f>
        <v>1.35E-2</v>
      </c>
      <c r="S1133" s="8">
        <f t="shared" si="87"/>
        <v>6.1829999999999998</v>
      </c>
      <c r="T1133" s="7">
        <f>IFERROR(_xlfn.XLOOKUP($A1133,'Base SKUs'!$E:$E,'Base SKUs'!R:R),"")</f>
        <v>874.89099999999996</v>
      </c>
      <c r="U1133" s="15">
        <f t="shared" si="88"/>
        <v>5409</v>
      </c>
      <c r="V1133" t="str">
        <f t="shared" si="89"/>
        <v>Boston</v>
      </c>
    </row>
    <row r="1134" spans="1:22" x14ac:dyDescent="0.2">
      <c r="A1134" t="s">
        <v>1521</v>
      </c>
      <c r="B1134" s="5">
        <v>504</v>
      </c>
      <c r="C1134" s="5">
        <v>0</v>
      </c>
      <c r="D1134" s="5">
        <f t="shared" si="85"/>
        <v>504</v>
      </c>
      <c r="E1134" s="6">
        <v>25.168500000000002</v>
      </c>
      <c r="F1134" s="6">
        <f t="shared" si="86"/>
        <v>12684.924000000001</v>
      </c>
      <c r="G1134" t="s">
        <v>125</v>
      </c>
      <c r="H1134">
        <v>9009</v>
      </c>
      <c r="I1134" t="str">
        <f>IFERROR(_xlfn.XLOOKUP($A1134,'Base SKUs'!$E:$E,'Base SKUs'!A:A),"")</f>
        <v>Ayous</v>
      </c>
      <c r="J1134" t="str">
        <f>IFERROR(_xlfn.XLOOKUP($A1134,'Base SKUs'!$E:$E,'Base SKUs'!B:B),"")</f>
        <v>Ayous 5/4x6</v>
      </c>
      <c r="K1134" t="str">
        <f>IFERROR(_xlfn.XLOOKUP($A1134,'Base SKUs'!$E:$E,'Base SKUs'!C:C),"")</f>
        <v>Long</v>
      </c>
      <c r="L1134" t="str">
        <f>IFERROR(_xlfn.XLOOKUP($A1134,'Base SKUs'!$E:$E,'Base SKUs'!D:D),"")</f>
        <v>Thermowood</v>
      </c>
      <c r="M1134" t="str">
        <f>IFERROR(_xlfn.XLOOKUP($A1134,'Base SKUs'!$E:$E,'Base SKUs'!G:G),"")</f>
        <v>Maximo Thermo Ayous</v>
      </c>
      <c r="N1134" t="str">
        <f>IFERROR(_xlfn.XLOOKUP($A1134,'Base SKUs'!$E:$E,'Base SKUs'!H:H),"")</f>
        <v>Rough Sawn</v>
      </c>
      <c r="O1134" t="str">
        <f>IFERROR(_xlfn.XLOOKUP($A1134,'Base SKUs'!$E:$E,'Base SKUs'!I:I),"")</f>
        <v>-</v>
      </c>
      <c r="P1134" t="str">
        <f>IFERROR(_xlfn.XLOOKUP($A1134,'Base SKUs'!$E:$E,'Base SKUs'!J:J),"")</f>
        <v>5/4x6</v>
      </c>
      <c r="Q1134">
        <f>IFERROR(_xlfn.XLOOKUP($A1134,'Base SKUs'!$E:$E,'Base SKUs'!K:K),"")</f>
        <v>13</v>
      </c>
      <c r="R1134" s="7">
        <f>IFERROR(_xlfn.XLOOKUP($A1134,'Base SKUs'!$E:$E,'Base SKUs'!S:S),"")</f>
        <v>1.4625000000000001E-2</v>
      </c>
      <c r="S1134" s="8">
        <f t="shared" si="87"/>
        <v>7.3710000000000004</v>
      </c>
      <c r="T1134" s="7">
        <f>IFERROR(_xlfn.XLOOKUP($A1134,'Base SKUs'!$E:$E,'Base SKUs'!R:R),"")</f>
        <v>874.89099999999996</v>
      </c>
      <c r="U1134" s="15">
        <f t="shared" si="88"/>
        <v>6449</v>
      </c>
      <c r="V1134" t="str">
        <f t="shared" si="89"/>
        <v>Boston</v>
      </c>
    </row>
    <row r="1135" spans="1:22" x14ac:dyDescent="0.2">
      <c r="A1135" t="s">
        <v>1523</v>
      </c>
      <c r="B1135" s="5">
        <v>86</v>
      </c>
      <c r="C1135" s="5">
        <v>0</v>
      </c>
      <c r="D1135" s="5">
        <f t="shared" si="85"/>
        <v>86</v>
      </c>
      <c r="E1135" s="6">
        <v>29.040600000000001</v>
      </c>
      <c r="F1135" s="6">
        <f t="shared" si="86"/>
        <v>2497.4916000000003</v>
      </c>
      <c r="G1135" t="s">
        <v>125</v>
      </c>
      <c r="H1135">
        <v>9009</v>
      </c>
      <c r="I1135" t="str">
        <f>IFERROR(_xlfn.XLOOKUP($A1135,'Base SKUs'!$E:$E,'Base SKUs'!A:A),"")</f>
        <v>Ayous</v>
      </c>
      <c r="J1135" t="str">
        <f>IFERROR(_xlfn.XLOOKUP($A1135,'Base SKUs'!$E:$E,'Base SKUs'!B:B),"")</f>
        <v>Ayous 5/4x6</v>
      </c>
      <c r="K1135" t="str">
        <f>IFERROR(_xlfn.XLOOKUP($A1135,'Base SKUs'!$E:$E,'Base SKUs'!C:C),"")</f>
        <v>Long</v>
      </c>
      <c r="L1135" t="str">
        <f>IFERROR(_xlfn.XLOOKUP($A1135,'Base SKUs'!$E:$E,'Base SKUs'!D:D),"")</f>
        <v>Thermowood</v>
      </c>
      <c r="M1135" t="str">
        <f>IFERROR(_xlfn.XLOOKUP($A1135,'Base SKUs'!$E:$E,'Base SKUs'!G:G),"")</f>
        <v>Maximo Thermo Ayous</v>
      </c>
      <c r="N1135" t="str">
        <f>IFERROR(_xlfn.XLOOKUP($A1135,'Base SKUs'!$E:$E,'Base SKUs'!H:H),"")</f>
        <v>Rough Sawn</v>
      </c>
      <c r="O1135" t="str">
        <f>IFERROR(_xlfn.XLOOKUP($A1135,'Base SKUs'!$E:$E,'Base SKUs'!I:I),"")</f>
        <v>-</v>
      </c>
      <c r="P1135" t="str">
        <f>IFERROR(_xlfn.XLOOKUP($A1135,'Base SKUs'!$E:$E,'Base SKUs'!J:J),"")</f>
        <v>5/4x6</v>
      </c>
      <c r="Q1135">
        <f>IFERROR(_xlfn.XLOOKUP($A1135,'Base SKUs'!$E:$E,'Base SKUs'!K:K),"")</f>
        <v>15</v>
      </c>
      <c r="R1135" s="7">
        <f>IFERROR(_xlfn.XLOOKUP($A1135,'Base SKUs'!$E:$E,'Base SKUs'!S:S),"")</f>
        <v>1.6875000000000001E-2</v>
      </c>
      <c r="S1135" s="8">
        <f t="shared" si="87"/>
        <v>1.4512500000000002</v>
      </c>
      <c r="T1135" s="7">
        <f>IFERROR(_xlfn.XLOOKUP($A1135,'Base SKUs'!$E:$E,'Base SKUs'!R:R),"")</f>
        <v>874.89099999999996</v>
      </c>
      <c r="U1135" s="15">
        <f t="shared" si="88"/>
        <v>1270</v>
      </c>
      <c r="V1135" t="str">
        <f t="shared" si="89"/>
        <v>Boston</v>
      </c>
    </row>
    <row r="1136" spans="1:22" x14ac:dyDescent="0.2">
      <c r="A1136" t="s">
        <v>1525</v>
      </c>
      <c r="B1136" s="5">
        <v>170</v>
      </c>
      <c r="C1136" s="5">
        <v>98</v>
      </c>
      <c r="D1136" s="5">
        <f t="shared" si="85"/>
        <v>72</v>
      </c>
      <c r="E1136" s="6">
        <v>30.976600000000001</v>
      </c>
      <c r="F1136" s="6">
        <f t="shared" si="86"/>
        <v>5266.0219999999999</v>
      </c>
      <c r="G1136" t="s">
        <v>125</v>
      </c>
      <c r="H1136">
        <v>9009</v>
      </c>
      <c r="I1136" t="str">
        <f>IFERROR(_xlfn.XLOOKUP($A1136,'Base SKUs'!$E:$E,'Base SKUs'!A:A),"")</f>
        <v>Ayous</v>
      </c>
      <c r="J1136" t="str">
        <f>IFERROR(_xlfn.XLOOKUP($A1136,'Base SKUs'!$E:$E,'Base SKUs'!B:B),"")</f>
        <v>Ayous 5/4x6</v>
      </c>
      <c r="K1136" t="str">
        <f>IFERROR(_xlfn.XLOOKUP($A1136,'Base SKUs'!$E:$E,'Base SKUs'!C:C),"")</f>
        <v>Long</v>
      </c>
      <c r="L1136" t="str">
        <f>IFERROR(_xlfn.XLOOKUP($A1136,'Base SKUs'!$E:$E,'Base SKUs'!D:D),"")</f>
        <v>Thermowood</v>
      </c>
      <c r="M1136" t="str">
        <f>IFERROR(_xlfn.XLOOKUP($A1136,'Base SKUs'!$E:$E,'Base SKUs'!G:G),"")</f>
        <v>Maximo Thermo Ayous</v>
      </c>
      <c r="N1136" t="str">
        <f>IFERROR(_xlfn.XLOOKUP($A1136,'Base SKUs'!$E:$E,'Base SKUs'!H:H),"")</f>
        <v>Rough Sawn</v>
      </c>
      <c r="O1136" t="str">
        <f>IFERROR(_xlfn.XLOOKUP($A1136,'Base SKUs'!$E:$E,'Base SKUs'!I:I),"")</f>
        <v>-</v>
      </c>
      <c r="P1136" t="str">
        <f>IFERROR(_xlfn.XLOOKUP($A1136,'Base SKUs'!$E:$E,'Base SKUs'!J:J),"")</f>
        <v>5/4x6</v>
      </c>
      <c r="Q1136">
        <f>IFERROR(_xlfn.XLOOKUP($A1136,'Base SKUs'!$E:$E,'Base SKUs'!K:K),"")</f>
        <v>16</v>
      </c>
      <c r="R1136" s="7">
        <f>IFERROR(_xlfn.XLOOKUP($A1136,'Base SKUs'!$E:$E,'Base SKUs'!S:S),"")</f>
        <v>1.7999999999999999E-2</v>
      </c>
      <c r="S1136" s="8">
        <f t="shared" si="87"/>
        <v>1.2959999999999998</v>
      </c>
      <c r="T1136" s="7">
        <f>IFERROR(_xlfn.XLOOKUP($A1136,'Base SKUs'!$E:$E,'Base SKUs'!R:R),"")</f>
        <v>874.89099999999996</v>
      </c>
      <c r="U1136" s="15">
        <f t="shared" si="88"/>
        <v>1134</v>
      </c>
      <c r="V1136" t="str">
        <f t="shared" si="89"/>
        <v>Boston</v>
      </c>
    </row>
    <row r="1137" spans="1:22" x14ac:dyDescent="0.2">
      <c r="A1137" t="s">
        <v>1527</v>
      </c>
      <c r="B1137" s="5">
        <v>503</v>
      </c>
      <c r="C1137" s="5">
        <v>0</v>
      </c>
      <c r="D1137" s="5">
        <f t="shared" si="85"/>
        <v>503</v>
      </c>
      <c r="E1137" s="6">
        <v>13.552199999999999</v>
      </c>
      <c r="F1137" s="6">
        <f t="shared" si="86"/>
        <v>6816.7565999999997</v>
      </c>
      <c r="G1137" t="s">
        <v>125</v>
      </c>
      <c r="H1137">
        <v>9009</v>
      </c>
      <c r="I1137" t="str">
        <f>IFERROR(_xlfn.XLOOKUP($A1137,'Base SKUs'!$E:$E,'Base SKUs'!A:A),"")</f>
        <v>Ayous</v>
      </c>
      <c r="J1137" t="str">
        <f>IFERROR(_xlfn.XLOOKUP($A1137,'Base SKUs'!$E:$E,'Base SKUs'!B:B),"")</f>
        <v>Ayous 5/4x6</v>
      </c>
      <c r="K1137" t="str">
        <f>IFERROR(_xlfn.XLOOKUP($A1137,'Base SKUs'!$E:$E,'Base SKUs'!C:C),"")</f>
        <v>Short</v>
      </c>
      <c r="L1137" t="str">
        <f>IFERROR(_xlfn.XLOOKUP($A1137,'Base SKUs'!$E:$E,'Base SKUs'!D:D),"")</f>
        <v>Thermowood</v>
      </c>
      <c r="M1137" t="str">
        <f>IFERROR(_xlfn.XLOOKUP($A1137,'Base SKUs'!$E:$E,'Base SKUs'!G:G),"")</f>
        <v>Maximo Thermo Ayous</v>
      </c>
      <c r="N1137" t="str">
        <f>IFERROR(_xlfn.XLOOKUP($A1137,'Base SKUs'!$E:$E,'Base SKUs'!H:H),"")</f>
        <v>Rough Sawn</v>
      </c>
      <c r="O1137" t="str">
        <f>IFERROR(_xlfn.XLOOKUP($A1137,'Base SKUs'!$E:$E,'Base SKUs'!I:I),"")</f>
        <v>-</v>
      </c>
      <c r="P1137" t="str">
        <f>IFERROR(_xlfn.XLOOKUP($A1137,'Base SKUs'!$E:$E,'Base SKUs'!J:J),"")</f>
        <v>5/4x6</v>
      </c>
      <c r="Q1137">
        <f>IFERROR(_xlfn.XLOOKUP($A1137,'Base SKUs'!$E:$E,'Base SKUs'!K:K),"")</f>
        <v>7</v>
      </c>
      <c r="R1137" s="7">
        <f>IFERROR(_xlfn.XLOOKUP($A1137,'Base SKUs'!$E:$E,'Base SKUs'!S:S),"")</f>
        <v>7.8750000000000001E-3</v>
      </c>
      <c r="S1137" s="8">
        <f t="shared" si="87"/>
        <v>3.961125</v>
      </c>
      <c r="T1137" s="7">
        <f>IFERROR(_xlfn.XLOOKUP($A1137,'Base SKUs'!$E:$E,'Base SKUs'!R:R),"")</f>
        <v>874.89099999999996</v>
      </c>
      <c r="U1137" s="15">
        <f t="shared" si="88"/>
        <v>3466</v>
      </c>
      <c r="V1137" t="str">
        <f t="shared" si="89"/>
        <v>Boston</v>
      </c>
    </row>
    <row r="1138" spans="1:22" x14ac:dyDescent="0.2">
      <c r="A1138" t="s">
        <v>1529</v>
      </c>
      <c r="B1138" s="5">
        <v>504</v>
      </c>
      <c r="C1138" s="5">
        <v>0</v>
      </c>
      <c r="D1138" s="5">
        <f t="shared" si="85"/>
        <v>504</v>
      </c>
      <c r="E1138" s="6">
        <v>15.488300000000001</v>
      </c>
      <c r="F1138" s="6">
        <f t="shared" si="86"/>
        <v>7806.1032000000005</v>
      </c>
      <c r="G1138" t="s">
        <v>125</v>
      </c>
      <c r="H1138">
        <v>9009</v>
      </c>
      <c r="I1138" t="str">
        <f>IFERROR(_xlfn.XLOOKUP($A1138,'Base SKUs'!$E:$E,'Base SKUs'!A:A),"")</f>
        <v>Ayous</v>
      </c>
      <c r="J1138" t="str">
        <f>IFERROR(_xlfn.XLOOKUP($A1138,'Base SKUs'!$E:$E,'Base SKUs'!B:B),"")</f>
        <v>Ayous 5/4x6</v>
      </c>
      <c r="K1138" t="str">
        <f>IFERROR(_xlfn.XLOOKUP($A1138,'Base SKUs'!$E:$E,'Base SKUs'!C:C),"")</f>
        <v>Long</v>
      </c>
      <c r="L1138" t="str">
        <f>IFERROR(_xlfn.XLOOKUP($A1138,'Base SKUs'!$E:$E,'Base SKUs'!D:D),"")</f>
        <v>Thermowood</v>
      </c>
      <c r="M1138" t="str">
        <f>IFERROR(_xlfn.XLOOKUP($A1138,'Base SKUs'!$E:$E,'Base SKUs'!G:G),"")</f>
        <v>Maximo Thermo Ayous</v>
      </c>
      <c r="N1138" t="str">
        <f>IFERROR(_xlfn.XLOOKUP($A1138,'Base SKUs'!$E:$E,'Base SKUs'!H:H),"")</f>
        <v>Rough Sawn</v>
      </c>
      <c r="O1138" t="str">
        <f>IFERROR(_xlfn.XLOOKUP($A1138,'Base SKUs'!$E:$E,'Base SKUs'!I:I),"")</f>
        <v>-</v>
      </c>
      <c r="P1138" t="str">
        <f>IFERROR(_xlfn.XLOOKUP($A1138,'Base SKUs'!$E:$E,'Base SKUs'!J:J),"")</f>
        <v>5/4x6</v>
      </c>
      <c r="Q1138">
        <f>IFERROR(_xlfn.XLOOKUP($A1138,'Base SKUs'!$E:$E,'Base SKUs'!K:K),"")</f>
        <v>8</v>
      </c>
      <c r="R1138" s="7">
        <f>IFERROR(_xlfn.XLOOKUP($A1138,'Base SKUs'!$E:$E,'Base SKUs'!S:S),"")</f>
        <v>8.9999999999999993E-3</v>
      </c>
      <c r="S1138" s="8">
        <f t="shared" si="87"/>
        <v>4.5359999999999996</v>
      </c>
      <c r="T1138" s="7">
        <f>IFERROR(_xlfn.XLOOKUP($A1138,'Base SKUs'!$E:$E,'Base SKUs'!R:R),"")</f>
        <v>874.89099999999996</v>
      </c>
      <c r="U1138" s="15">
        <f t="shared" si="88"/>
        <v>3969</v>
      </c>
      <c r="V1138" t="str">
        <f t="shared" si="89"/>
        <v>Boston</v>
      </c>
    </row>
    <row r="1139" spans="1:22" x14ac:dyDescent="0.2">
      <c r="A1139" t="s">
        <v>1531</v>
      </c>
      <c r="B1139" s="5">
        <v>4905</v>
      </c>
      <c r="C1139" s="5">
        <v>697</v>
      </c>
      <c r="D1139" s="5">
        <f t="shared" si="85"/>
        <v>4208</v>
      </c>
      <c r="E1139" s="6">
        <v>17.228200000000001</v>
      </c>
      <c r="F1139" s="6">
        <f t="shared" si="86"/>
        <v>84504.321000000011</v>
      </c>
      <c r="G1139" t="s">
        <v>24</v>
      </c>
      <c r="H1139">
        <v>9008</v>
      </c>
      <c r="I1139" t="str">
        <f>IFERROR(_xlfn.XLOOKUP($A1139,'Base SKUs'!$E:$E,'Base SKUs'!A:A),"")</f>
        <v>Ayous</v>
      </c>
      <c r="J1139" t="str">
        <f>IFERROR(_xlfn.XLOOKUP($A1139,'Base SKUs'!$E:$E,'Base SKUs'!B:B),"")</f>
        <v>Ayous 1x6</v>
      </c>
      <c r="K1139" t="str">
        <f>IFERROR(_xlfn.XLOOKUP($A1139,'Base SKUs'!$E:$E,'Base SKUs'!C:C),"")</f>
        <v>Long</v>
      </c>
      <c r="L1139" t="str">
        <f>IFERROR(_xlfn.XLOOKUP($A1139,'Base SKUs'!$E:$E,'Base SKUs'!D:D),"")</f>
        <v>Thermowood</v>
      </c>
      <c r="M1139" t="str">
        <f>IFERROR(_xlfn.XLOOKUP($A1139,'Base SKUs'!$E:$E,'Base SKUs'!G:G),"")</f>
        <v>Maximo Thermo Ayous</v>
      </c>
      <c r="N1139" t="str">
        <f>IFERROR(_xlfn.XLOOKUP($A1139,'Base SKUs'!$E:$E,'Base SKUs'!H:H),"")</f>
        <v>Fluted</v>
      </c>
      <c r="O1139" t="str">
        <f>IFERROR(_xlfn.XLOOKUP($A1139,'Base SKUs'!$E:$E,'Base SKUs'!I:I),"")</f>
        <v>-</v>
      </c>
      <c r="P1139" t="str">
        <f>IFERROR(_xlfn.XLOOKUP($A1139,'Base SKUs'!$E:$E,'Base SKUs'!J:J),"")</f>
        <v>1x6</v>
      </c>
      <c r="Q1139">
        <f>IFERROR(_xlfn.XLOOKUP($A1139,'Base SKUs'!$E:$E,'Base SKUs'!K:K),"")</f>
        <v>10</v>
      </c>
      <c r="R1139" s="7">
        <f>IFERROR(_xlfn.XLOOKUP($A1139,'Base SKUs'!$E:$E,'Base SKUs'!S:S),"")</f>
        <v>7.980000000000001E-3</v>
      </c>
      <c r="S1139" s="8">
        <f t="shared" si="87"/>
        <v>33.579840000000004</v>
      </c>
      <c r="T1139" s="7">
        <f>IFERROR(_xlfn.XLOOKUP($A1139,'Base SKUs'!$E:$E,'Base SKUs'!R:R),"")</f>
        <v>1233.3979999999999</v>
      </c>
      <c r="U1139" s="15">
        <f t="shared" si="88"/>
        <v>41417</v>
      </c>
      <c r="V1139" t="str">
        <f t="shared" si="89"/>
        <v>Texas</v>
      </c>
    </row>
    <row r="1140" spans="1:22" x14ac:dyDescent="0.2">
      <c r="A1140" t="s">
        <v>1533</v>
      </c>
      <c r="B1140" s="5">
        <v>1694</v>
      </c>
      <c r="C1140" s="5">
        <v>238</v>
      </c>
      <c r="D1140" s="5">
        <f t="shared" si="85"/>
        <v>1456</v>
      </c>
      <c r="E1140" s="6">
        <v>18.8643</v>
      </c>
      <c r="F1140" s="6">
        <f t="shared" si="86"/>
        <v>31956.124199999998</v>
      </c>
      <c r="G1140" t="s">
        <v>24</v>
      </c>
      <c r="H1140">
        <v>9008</v>
      </c>
      <c r="I1140" t="str">
        <f>IFERROR(_xlfn.XLOOKUP($A1140,'Base SKUs'!$E:$E,'Base SKUs'!A:A),"")</f>
        <v>Ayous</v>
      </c>
      <c r="J1140" t="str">
        <f>IFERROR(_xlfn.XLOOKUP($A1140,'Base SKUs'!$E:$E,'Base SKUs'!B:B),"")</f>
        <v>Ayous 1x6</v>
      </c>
      <c r="K1140" t="str">
        <f>IFERROR(_xlfn.XLOOKUP($A1140,'Base SKUs'!$E:$E,'Base SKUs'!C:C),"")</f>
        <v>Long</v>
      </c>
      <c r="L1140" t="str">
        <f>IFERROR(_xlfn.XLOOKUP($A1140,'Base SKUs'!$E:$E,'Base SKUs'!D:D),"")</f>
        <v>Thermowood</v>
      </c>
      <c r="M1140" t="str">
        <f>IFERROR(_xlfn.XLOOKUP($A1140,'Base SKUs'!$E:$E,'Base SKUs'!G:G),"")</f>
        <v>Maximo Thermo Ayous</v>
      </c>
      <c r="N1140" t="str">
        <f>IFERROR(_xlfn.XLOOKUP($A1140,'Base SKUs'!$E:$E,'Base SKUs'!H:H),"")</f>
        <v>Fluted</v>
      </c>
      <c r="O1140" t="str">
        <f>IFERROR(_xlfn.XLOOKUP($A1140,'Base SKUs'!$E:$E,'Base SKUs'!I:I),"")</f>
        <v>-</v>
      </c>
      <c r="P1140" t="str">
        <f>IFERROR(_xlfn.XLOOKUP($A1140,'Base SKUs'!$E:$E,'Base SKUs'!J:J),"")</f>
        <v>1x6</v>
      </c>
      <c r="Q1140">
        <f>IFERROR(_xlfn.XLOOKUP($A1140,'Base SKUs'!$E:$E,'Base SKUs'!K:K),"")</f>
        <v>11</v>
      </c>
      <c r="R1140" s="7">
        <f>IFERROR(_xlfn.XLOOKUP($A1140,'Base SKUs'!$E:$E,'Base SKUs'!S:S),"")</f>
        <v>8.7779999999999993E-3</v>
      </c>
      <c r="S1140" s="8">
        <f t="shared" si="87"/>
        <v>12.780767999999998</v>
      </c>
      <c r="T1140" s="7">
        <f>IFERROR(_xlfn.XLOOKUP($A1140,'Base SKUs'!$E:$E,'Base SKUs'!R:R),"")</f>
        <v>1233.3979999999999</v>
      </c>
      <c r="U1140" s="15">
        <f t="shared" si="88"/>
        <v>15764</v>
      </c>
      <c r="V1140" t="str">
        <f t="shared" si="89"/>
        <v>Texas</v>
      </c>
    </row>
    <row r="1141" spans="1:22" x14ac:dyDescent="0.2">
      <c r="A1141" t="s">
        <v>1535</v>
      </c>
      <c r="B1141" s="5">
        <v>1361</v>
      </c>
      <c r="C1141" s="5">
        <v>196</v>
      </c>
      <c r="D1141" s="5">
        <f t="shared" si="85"/>
        <v>1165</v>
      </c>
      <c r="E1141" s="6">
        <v>20.5106</v>
      </c>
      <c r="F1141" s="6">
        <f t="shared" si="86"/>
        <v>27914.926599999999</v>
      </c>
      <c r="G1141" t="s">
        <v>24</v>
      </c>
      <c r="H1141">
        <v>9008</v>
      </c>
      <c r="I1141" t="str">
        <f>IFERROR(_xlfn.XLOOKUP($A1141,'Base SKUs'!$E:$E,'Base SKUs'!A:A),"")</f>
        <v>Ayous</v>
      </c>
      <c r="J1141" t="str">
        <f>IFERROR(_xlfn.XLOOKUP($A1141,'Base SKUs'!$E:$E,'Base SKUs'!B:B),"")</f>
        <v>Ayous 1x6</v>
      </c>
      <c r="K1141" t="str">
        <f>IFERROR(_xlfn.XLOOKUP($A1141,'Base SKUs'!$E:$E,'Base SKUs'!C:C),"")</f>
        <v>Long</v>
      </c>
      <c r="L1141" t="str">
        <f>IFERROR(_xlfn.XLOOKUP($A1141,'Base SKUs'!$E:$E,'Base SKUs'!D:D),"")</f>
        <v>Thermowood</v>
      </c>
      <c r="M1141" t="str">
        <f>IFERROR(_xlfn.XLOOKUP($A1141,'Base SKUs'!$E:$E,'Base SKUs'!G:G),"")</f>
        <v>Maximo Thermo Ayous</v>
      </c>
      <c r="N1141" t="str">
        <f>IFERROR(_xlfn.XLOOKUP($A1141,'Base SKUs'!$E:$E,'Base SKUs'!H:H),"")</f>
        <v>Fluted</v>
      </c>
      <c r="O1141" t="str">
        <f>IFERROR(_xlfn.XLOOKUP($A1141,'Base SKUs'!$E:$E,'Base SKUs'!I:I),"")</f>
        <v>-</v>
      </c>
      <c r="P1141" t="str">
        <f>IFERROR(_xlfn.XLOOKUP($A1141,'Base SKUs'!$E:$E,'Base SKUs'!J:J),"")</f>
        <v>1x6</v>
      </c>
      <c r="Q1141">
        <f>IFERROR(_xlfn.XLOOKUP($A1141,'Base SKUs'!$E:$E,'Base SKUs'!K:K),"")</f>
        <v>12</v>
      </c>
      <c r="R1141" s="7">
        <f>IFERROR(_xlfn.XLOOKUP($A1141,'Base SKUs'!$E:$E,'Base SKUs'!S:S),"")</f>
        <v>9.5760000000000012E-3</v>
      </c>
      <c r="S1141" s="8">
        <f t="shared" si="87"/>
        <v>11.156040000000001</v>
      </c>
      <c r="T1141" s="7">
        <f>IFERROR(_xlfn.XLOOKUP($A1141,'Base SKUs'!$E:$E,'Base SKUs'!R:R),"")</f>
        <v>1233.3979999999999</v>
      </c>
      <c r="U1141" s="15">
        <f t="shared" si="88"/>
        <v>13760</v>
      </c>
      <c r="V1141" t="str">
        <f t="shared" si="89"/>
        <v>Texas</v>
      </c>
    </row>
    <row r="1142" spans="1:22" x14ac:dyDescent="0.2">
      <c r="A1142" t="s">
        <v>1537</v>
      </c>
      <c r="B1142" s="5">
        <v>1708</v>
      </c>
      <c r="C1142" s="5">
        <v>238</v>
      </c>
      <c r="D1142" s="5">
        <f t="shared" si="85"/>
        <v>1470</v>
      </c>
      <c r="E1142" s="6">
        <v>22.3797</v>
      </c>
      <c r="F1142" s="6">
        <f t="shared" si="86"/>
        <v>38224.527600000001</v>
      </c>
      <c r="G1142" t="s">
        <v>24</v>
      </c>
      <c r="H1142">
        <v>9008</v>
      </c>
      <c r="I1142" t="str">
        <f>IFERROR(_xlfn.XLOOKUP($A1142,'Base SKUs'!$E:$E,'Base SKUs'!A:A),"")</f>
        <v>Ayous</v>
      </c>
      <c r="J1142" t="str">
        <f>IFERROR(_xlfn.XLOOKUP($A1142,'Base SKUs'!$E:$E,'Base SKUs'!B:B),"")</f>
        <v>Ayous 1x6</v>
      </c>
      <c r="K1142" t="str">
        <f>IFERROR(_xlfn.XLOOKUP($A1142,'Base SKUs'!$E:$E,'Base SKUs'!C:C),"")</f>
        <v>Long</v>
      </c>
      <c r="L1142" t="str">
        <f>IFERROR(_xlfn.XLOOKUP($A1142,'Base SKUs'!$E:$E,'Base SKUs'!D:D),"")</f>
        <v>Thermowood</v>
      </c>
      <c r="M1142" t="str">
        <f>IFERROR(_xlfn.XLOOKUP($A1142,'Base SKUs'!$E:$E,'Base SKUs'!G:G),"")</f>
        <v>Maximo Thermo Ayous</v>
      </c>
      <c r="N1142" t="str">
        <f>IFERROR(_xlfn.XLOOKUP($A1142,'Base SKUs'!$E:$E,'Base SKUs'!H:H),"")</f>
        <v>Fluted</v>
      </c>
      <c r="O1142" t="str">
        <f>IFERROR(_xlfn.XLOOKUP($A1142,'Base SKUs'!$E:$E,'Base SKUs'!I:I),"")</f>
        <v>-</v>
      </c>
      <c r="P1142" t="str">
        <f>IFERROR(_xlfn.XLOOKUP($A1142,'Base SKUs'!$E:$E,'Base SKUs'!J:J),"")</f>
        <v>1x6</v>
      </c>
      <c r="Q1142">
        <f>IFERROR(_xlfn.XLOOKUP($A1142,'Base SKUs'!$E:$E,'Base SKUs'!K:K),"")</f>
        <v>13</v>
      </c>
      <c r="R1142" s="7">
        <f>IFERROR(_xlfn.XLOOKUP($A1142,'Base SKUs'!$E:$E,'Base SKUs'!S:S),"")</f>
        <v>1.0374000000000001E-2</v>
      </c>
      <c r="S1142" s="8">
        <f t="shared" si="87"/>
        <v>15.249780000000001</v>
      </c>
      <c r="T1142" s="7">
        <f>IFERROR(_xlfn.XLOOKUP($A1142,'Base SKUs'!$E:$E,'Base SKUs'!R:R),"")</f>
        <v>1233.3979999999999</v>
      </c>
      <c r="U1142" s="15">
        <f t="shared" si="88"/>
        <v>18809</v>
      </c>
      <c r="V1142" t="str">
        <f t="shared" si="89"/>
        <v>Texas</v>
      </c>
    </row>
    <row r="1143" spans="1:22" x14ac:dyDescent="0.2">
      <c r="A1143" t="s">
        <v>1539</v>
      </c>
      <c r="B1143" s="5">
        <v>2401</v>
      </c>
      <c r="C1143" s="5">
        <v>595</v>
      </c>
      <c r="D1143" s="5">
        <f t="shared" si="85"/>
        <v>1806</v>
      </c>
      <c r="E1143" s="6">
        <v>24.147500000000001</v>
      </c>
      <c r="F1143" s="6">
        <f t="shared" si="86"/>
        <v>57978.147499999999</v>
      </c>
      <c r="G1143" t="s">
        <v>24</v>
      </c>
      <c r="H1143">
        <v>9008</v>
      </c>
      <c r="I1143" t="str">
        <f>IFERROR(_xlfn.XLOOKUP($A1143,'Base SKUs'!$E:$E,'Base SKUs'!A:A),"")</f>
        <v>Ayous</v>
      </c>
      <c r="J1143" t="str">
        <f>IFERROR(_xlfn.XLOOKUP($A1143,'Base SKUs'!$E:$E,'Base SKUs'!B:B),"")</f>
        <v>Ayous 1x6</v>
      </c>
      <c r="K1143" t="str">
        <f>IFERROR(_xlfn.XLOOKUP($A1143,'Base SKUs'!$E:$E,'Base SKUs'!C:C),"")</f>
        <v>Long</v>
      </c>
      <c r="L1143" t="str">
        <f>IFERROR(_xlfn.XLOOKUP($A1143,'Base SKUs'!$E:$E,'Base SKUs'!D:D),"")</f>
        <v>Thermowood</v>
      </c>
      <c r="M1143" t="str">
        <f>IFERROR(_xlfn.XLOOKUP($A1143,'Base SKUs'!$E:$E,'Base SKUs'!G:G),"")</f>
        <v>Maximo Thermo Ayous</v>
      </c>
      <c r="N1143" t="str">
        <f>IFERROR(_xlfn.XLOOKUP($A1143,'Base SKUs'!$E:$E,'Base SKUs'!H:H),"")</f>
        <v>Fluted</v>
      </c>
      <c r="O1143" t="str">
        <f>IFERROR(_xlfn.XLOOKUP($A1143,'Base SKUs'!$E:$E,'Base SKUs'!I:I),"")</f>
        <v>-</v>
      </c>
      <c r="P1143" t="str">
        <f>IFERROR(_xlfn.XLOOKUP($A1143,'Base SKUs'!$E:$E,'Base SKUs'!J:J),"")</f>
        <v>1x6</v>
      </c>
      <c r="Q1143">
        <f>IFERROR(_xlfn.XLOOKUP($A1143,'Base SKUs'!$E:$E,'Base SKUs'!K:K),"")</f>
        <v>14</v>
      </c>
      <c r="R1143" s="7">
        <f>IFERROR(_xlfn.XLOOKUP($A1143,'Base SKUs'!$E:$E,'Base SKUs'!S:S),"")</f>
        <v>1.1172E-2</v>
      </c>
      <c r="S1143" s="8">
        <f t="shared" si="87"/>
        <v>20.176631999999998</v>
      </c>
      <c r="T1143" s="7">
        <f>IFERROR(_xlfn.XLOOKUP($A1143,'Base SKUs'!$E:$E,'Base SKUs'!R:R),"")</f>
        <v>1233.3979999999999</v>
      </c>
      <c r="U1143" s="15">
        <f t="shared" si="88"/>
        <v>24886</v>
      </c>
      <c r="V1143" t="str">
        <f t="shared" si="89"/>
        <v>Texas</v>
      </c>
    </row>
    <row r="1144" spans="1:22" x14ac:dyDescent="0.2">
      <c r="A1144" t="s">
        <v>1541</v>
      </c>
      <c r="B1144" s="5">
        <v>1358</v>
      </c>
      <c r="C1144" s="5">
        <v>201</v>
      </c>
      <c r="D1144" s="5">
        <f t="shared" si="85"/>
        <v>1157</v>
      </c>
      <c r="E1144" s="6">
        <v>25.702500000000001</v>
      </c>
      <c r="F1144" s="6">
        <f t="shared" si="86"/>
        <v>34903.995000000003</v>
      </c>
      <c r="G1144" t="s">
        <v>24</v>
      </c>
      <c r="H1144">
        <v>9008</v>
      </c>
      <c r="I1144" t="str">
        <f>IFERROR(_xlfn.XLOOKUP($A1144,'Base SKUs'!$E:$E,'Base SKUs'!A:A),"")</f>
        <v>Ayous</v>
      </c>
      <c r="J1144" t="str">
        <f>IFERROR(_xlfn.XLOOKUP($A1144,'Base SKUs'!$E:$E,'Base SKUs'!B:B),"")</f>
        <v>Ayous 1x6</v>
      </c>
      <c r="K1144" t="str">
        <f>IFERROR(_xlfn.XLOOKUP($A1144,'Base SKUs'!$E:$E,'Base SKUs'!C:C),"")</f>
        <v>Long</v>
      </c>
      <c r="L1144" t="str">
        <f>IFERROR(_xlfn.XLOOKUP($A1144,'Base SKUs'!$E:$E,'Base SKUs'!D:D),"")</f>
        <v>Thermowood</v>
      </c>
      <c r="M1144" t="str">
        <f>IFERROR(_xlfn.XLOOKUP($A1144,'Base SKUs'!$E:$E,'Base SKUs'!G:G),"")</f>
        <v>Maximo Thermo Ayous</v>
      </c>
      <c r="N1144" t="str">
        <f>IFERROR(_xlfn.XLOOKUP($A1144,'Base SKUs'!$E:$E,'Base SKUs'!H:H),"")</f>
        <v>Fluted</v>
      </c>
      <c r="O1144" t="str">
        <f>IFERROR(_xlfn.XLOOKUP($A1144,'Base SKUs'!$E:$E,'Base SKUs'!I:I),"")</f>
        <v>-</v>
      </c>
      <c r="P1144" t="str">
        <f>IFERROR(_xlfn.XLOOKUP($A1144,'Base SKUs'!$E:$E,'Base SKUs'!J:J),"")</f>
        <v>1x6</v>
      </c>
      <c r="Q1144">
        <f>IFERROR(_xlfn.XLOOKUP($A1144,'Base SKUs'!$E:$E,'Base SKUs'!K:K),"")</f>
        <v>15</v>
      </c>
      <c r="R1144" s="7">
        <f>IFERROR(_xlfn.XLOOKUP($A1144,'Base SKUs'!$E:$E,'Base SKUs'!S:S),"")</f>
        <v>1.1970000000000001E-2</v>
      </c>
      <c r="S1144" s="8">
        <f t="shared" si="87"/>
        <v>13.849290000000002</v>
      </c>
      <c r="T1144" s="7">
        <f>IFERROR(_xlfn.XLOOKUP($A1144,'Base SKUs'!$E:$E,'Base SKUs'!R:R),"")</f>
        <v>1233.3979999999999</v>
      </c>
      <c r="U1144" s="15">
        <f t="shared" si="88"/>
        <v>17082</v>
      </c>
      <c r="V1144" t="str">
        <f t="shared" si="89"/>
        <v>Texas</v>
      </c>
    </row>
    <row r="1145" spans="1:22" x14ac:dyDescent="0.2">
      <c r="A1145" t="s">
        <v>1543</v>
      </c>
      <c r="B1145" s="5">
        <v>644</v>
      </c>
      <c r="C1145" s="5">
        <v>84</v>
      </c>
      <c r="D1145" s="5">
        <f t="shared" si="85"/>
        <v>560</v>
      </c>
      <c r="E1145" s="6">
        <v>27.438800000000001</v>
      </c>
      <c r="F1145" s="6">
        <f t="shared" si="86"/>
        <v>17670.587200000002</v>
      </c>
      <c r="G1145" t="s">
        <v>24</v>
      </c>
      <c r="H1145">
        <v>9008</v>
      </c>
      <c r="I1145" t="str">
        <f>IFERROR(_xlfn.XLOOKUP($A1145,'Base SKUs'!$E:$E,'Base SKUs'!A:A),"")</f>
        <v>Ayous</v>
      </c>
      <c r="J1145" t="str">
        <f>IFERROR(_xlfn.XLOOKUP($A1145,'Base SKUs'!$E:$E,'Base SKUs'!B:B),"")</f>
        <v>Ayous 1x6</v>
      </c>
      <c r="K1145" t="str">
        <f>IFERROR(_xlfn.XLOOKUP($A1145,'Base SKUs'!$E:$E,'Base SKUs'!C:C),"")</f>
        <v>Long</v>
      </c>
      <c r="L1145" t="str">
        <f>IFERROR(_xlfn.XLOOKUP($A1145,'Base SKUs'!$E:$E,'Base SKUs'!D:D),"")</f>
        <v>Thermowood</v>
      </c>
      <c r="M1145" t="str">
        <f>IFERROR(_xlfn.XLOOKUP($A1145,'Base SKUs'!$E:$E,'Base SKUs'!G:G),"")</f>
        <v>Maximo Thermo Ayous</v>
      </c>
      <c r="N1145" t="str">
        <f>IFERROR(_xlfn.XLOOKUP($A1145,'Base SKUs'!$E:$E,'Base SKUs'!H:H),"")</f>
        <v>Fluted</v>
      </c>
      <c r="O1145" t="str">
        <f>IFERROR(_xlfn.XLOOKUP($A1145,'Base SKUs'!$E:$E,'Base SKUs'!I:I),"")</f>
        <v>-</v>
      </c>
      <c r="P1145" t="str">
        <f>IFERROR(_xlfn.XLOOKUP($A1145,'Base SKUs'!$E:$E,'Base SKUs'!J:J),"")</f>
        <v>1x6</v>
      </c>
      <c r="Q1145">
        <f>IFERROR(_xlfn.XLOOKUP($A1145,'Base SKUs'!$E:$E,'Base SKUs'!K:K),"")</f>
        <v>16</v>
      </c>
      <c r="R1145" s="7">
        <f>IFERROR(_xlfn.XLOOKUP($A1145,'Base SKUs'!$E:$E,'Base SKUs'!S:S),"")</f>
        <v>1.2768E-2</v>
      </c>
      <c r="S1145" s="8">
        <f t="shared" si="87"/>
        <v>7.15008</v>
      </c>
      <c r="T1145" s="7">
        <f>IFERROR(_xlfn.XLOOKUP($A1145,'Base SKUs'!$E:$E,'Base SKUs'!R:R),"")</f>
        <v>1233.3979999999999</v>
      </c>
      <c r="U1145" s="15">
        <f t="shared" si="88"/>
        <v>8819</v>
      </c>
      <c r="V1145" t="str">
        <f t="shared" si="89"/>
        <v>Texas</v>
      </c>
    </row>
    <row r="1146" spans="1:22" x14ac:dyDescent="0.2">
      <c r="A1146" t="s">
        <v>1545</v>
      </c>
      <c r="B1146" s="5">
        <v>142</v>
      </c>
      <c r="C1146" s="5">
        <v>140</v>
      </c>
      <c r="D1146" s="5">
        <f t="shared" si="85"/>
        <v>2</v>
      </c>
      <c r="E1146" s="6">
        <v>10.2301</v>
      </c>
      <c r="F1146" s="6">
        <f t="shared" si="86"/>
        <v>1452.6741999999999</v>
      </c>
      <c r="G1146" t="s">
        <v>24</v>
      </c>
      <c r="H1146">
        <v>9008</v>
      </c>
      <c r="I1146" t="str">
        <f>IFERROR(_xlfn.XLOOKUP($A1146,'Base SKUs'!$E:$E,'Base SKUs'!A:A),"")</f>
        <v>Ayous</v>
      </c>
      <c r="J1146" t="str">
        <f>IFERROR(_xlfn.XLOOKUP($A1146,'Base SKUs'!$E:$E,'Base SKUs'!B:B),"")</f>
        <v>Ayous 1x6</v>
      </c>
      <c r="K1146" t="str">
        <f>IFERROR(_xlfn.XLOOKUP($A1146,'Base SKUs'!$E:$E,'Base SKUs'!C:C),"")</f>
        <v>Short</v>
      </c>
      <c r="L1146" t="str">
        <f>IFERROR(_xlfn.XLOOKUP($A1146,'Base SKUs'!$E:$E,'Base SKUs'!D:D),"")</f>
        <v>Thermowood</v>
      </c>
      <c r="M1146" t="str">
        <f>IFERROR(_xlfn.XLOOKUP($A1146,'Base SKUs'!$E:$E,'Base SKUs'!G:G),"")</f>
        <v>Maximo Thermo Ayous</v>
      </c>
      <c r="N1146" t="str">
        <f>IFERROR(_xlfn.XLOOKUP($A1146,'Base SKUs'!$E:$E,'Base SKUs'!H:H),"")</f>
        <v>Fluted</v>
      </c>
      <c r="O1146" t="str">
        <f>IFERROR(_xlfn.XLOOKUP($A1146,'Base SKUs'!$E:$E,'Base SKUs'!I:I),"")</f>
        <v>-</v>
      </c>
      <c r="P1146" t="str">
        <f>IFERROR(_xlfn.XLOOKUP($A1146,'Base SKUs'!$E:$E,'Base SKUs'!J:J),"")</f>
        <v>1x6</v>
      </c>
      <c r="Q1146">
        <f>IFERROR(_xlfn.XLOOKUP($A1146,'Base SKUs'!$E:$E,'Base SKUs'!K:K),"")</f>
        <v>6</v>
      </c>
      <c r="R1146" s="7">
        <f>IFERROR(_xlfn.XLOOKUP($A1146,'Base SKUs'!$E:$E,'Base SKUs'!S:S),"")</f>
        <v>4.7880000000000006E-3</v>
      </c>
      <c r="S1146" s="8">
        <f t="shared" si="87"/>
        <v>9.5760000000000012E-3</v>
      </c>
      <c r="T1146" s="7">
        <f>IFERROR(_xlfn.XLOOKUP($A1146,'Base SKUs'!$E:$E,'Base SKUs'!R:R),"")</f>
        <v>1233.3979999999999</v>
      </c>
      <c r="U1146" s="15">
        <f t="shared" si="88"/>
        <v>12</v>
      </c>
      <c r="V1146" t="str">
        <f t="shared" si="89"/>
        <v>Texas</v>
      </c>
    </row>
    <row r="1147" spans="1:22" x14ac:dyDescent="0.2">
      <c r="A1147" t="s">
        <v>1547</v>
      </c>
      <c r="B1147" s="5">
        <v>2142</v>
      </c>
      <c r="C1147" s="5">
        <v>196</v>
      </c>
      <c r="D1147" s="5">
        <f t="shared" si="85"/>
        <v>1946</v>
      </c>
      <c r="E1147" s="6">
        <v>12.0105</v>
      </c>
      <c r="F1147" s="6">
        <f t="shared" si="86"/>
        <v>25726.491000000002</v>
      </c>
      <c r="G1147" t="s">
        <v>24</v>
      </c>
      <c r="H1147">
        <v>9008</v>
      </c>
      <c r="I1147" t="str">
        <f>IFERROR(_xlfn.XLOOKUP($A1147,'Base SKUs'!$E:$E,'Base SKUs'!A:A),"")</f>
        <v>Ayous</v>
      </c>
      <c r="J1147" t="str">
        <f>IFERROR(_xlfn.XLOOKUP($A1147,'Base SKUs'!$E:$E,'Base SKUs'!B:B),"")</f>
        <v>Ayous 1x6</v>
      </c>
      <c r="K1147" t="str">
        <f>IFERROR(_xlfn.XLOOKUP($A1147,'Base SKUs'!$E:$E,'Base SKUs'!C:C),"")</f>
        <v>Short</v>
      </c>
      <c r="L1147" t="str">
        <f>IFERROR(_xlfn.XLOOKUP($A1147,'Base SKUs'!$E:$E,'Base SKUs'!D:D),"")</f>
        <v>Thermowood</v>
      </c>
      <c r="M1147" t="str">
        <f>IFERROR(_xlfn.XLOOKUP($A1147,'Base SKUs'!$E:$E,'Base SKUs'!G:G),"")</f>
        <v>Maximo Thermo Ayous</v>
      </c>
      <c r="N1147" t="str">
        <f>IFERROR(_xlfn.XLOOKUP($A1147,'Base SKUs'!$E:$E,'Base SKUs'!H:H),"")</f>
        <v>Fluted</v>
      </c>
      <c r="O1147" t="str">
        <f>IFERROR(_xlfn.XLOOKUP($A1147,'Base SKUs'!$E:$E,'Base SKUs'!I:I),"")</f>
        <v>-</v>
      </c>
      <c r="P1147" t="str">
        <f>IFERROR(_xlfn.XLOOKUP($A1147,'Base SKUs'!$E:$E,'Base SKUs'!J:J),"")</f>
        <v>1x6</v>
      </c>
      <c r="Q1147">
        <f>IFERROR(_xlfn.XLOOKUP($A1147,'Base SKUs'!$E:$E,'Base SKUs'!K:K),"")</f>
        <v>7</v>
      </c>
      <c r="R1147" s="7">
        <f>IFERROR(_xlfn.XLOOKUP($A1147,'Base SKUs'!$E:$E,'Base SKUs'!S:S),"")</f>
        <v>5.5859999999999998E-3</v>
      </c>
      <c r="S1147" s="8">
        <f t="shared" si="87"/>
        <v>10.870355999999999</v>
      </c>
      <c r="T1147" s="7">
        <f>IFERROR(_xlfn.XLOOKUP($A1147,'Base SKUs'!$E:$E,'Base SKUs'!R:R),"")</f>
        <v>1233.3979999999999</v>
      </c>
      <c r="U1147" s="15">
        <f t="shared" si="88"/>
        <v>13407</v>
      </c>
      <c r="V1147" t="str">
        <f t="shared" si="89"/>
        <v>Texas</v>
      </c>
    </row>
    <row r="1148" spans="1:22" x14ac:dyDescent="0.2">
      <c r="A1148" t="s">
        <v>1549</v>
      </c>
      <c r="B1148" s="5">
        <v>4179</v>
      </c>
      <c r="C1148" s="5">
        <v>1102</v>
      </c>
      <c r="D1148" s="5">
        <f t="shared" si="85"/>
        <v>3077</v>
      </c>
      <c r="E1148" s="6">
        <v>13.132199999999999</v>
      </c>
      <c r="F1148" s="6">
        <f t="shared" si="86"/>
        <v>54879.463799999998</v>
      </c>
      <c r="G1148" t="s">
        <v>24</v>
      </c>
      <c r="H1148">
        <v>9008</v>
      </c>
      <c r="I1148" t="str">
        <f>IFERROR(_xlfn.XLOOKUP($A1148,'Base SKUs'!$E:$E,'Base SKUs'!A:A),"")</f>
        <v>Ayous</v>
      </c>
      <c r="J1148" t="str">
        <f>IFERROR(_xlfn.XLOOKUP($A1148,'Base SKUs'!$E:$E,'Base SKUs'!B:B),"")</f>
        <v>Ayous 1x6</v>
      </c>
      <c r="K1148" t="str">
        <f>IFERROR(_xlfn.XLOOKUP($A1148,'Base SKUs'!$E:$E,'Base SKUs'!C:C),"")</f>
        <v>Long</v>
      </c>
      <c r="L1148" t="str">
        <f>IFERROR(_xlfn.XLOOKUP($A1148,'Base SKUs'!$E:$E,'Base SKUs'!D:D),"")</f>
        <v>Thermowood</v>
      </c>
      <c r="M1148" t="str">
        <f>IFERROR(_xlfn.XLOOKUP($A1148,'Base SKUs'!$E:$E,'Base SKUs'!G:G),"")</f>
        <v>Maximo Thermo Ayous</v>
      </c>
      <c r="N1148" t="str">
        <f>IFERROR(_xlfn.XLOOKUP($A1148,'Base SKUs'!$E:$E,'Base SKUs'!H:H),"")</f>
        <v>Fluted</v>
      </c>
      <c r="O1148" t="str">
        <f>IFERROR(_xlfn.XLOOKUP($A1148,'Base SKUs'!$E:$E,'Base SKUs'!I:I),"")</f>
        <v>-</v>
      </c>
      <c r="P1148" t="str">
        <f>IFERROR(_xlfn.XLOOKUP($A1148,'Base SKUs'!$E:$E,'Base SKUs'!J:J),"")</f>
        <v>1x6</v>
      </c>
      <c r="Q1148">
        <f>IFERROR(_xlfn.XLOOKUP($A1148,'Base SKUs'!$E:$E,'Base SKUs'!K:K),"")</f>
        <v>8</v>
      </c>
      <c r="R1148" s="7">
        <f>IFERROR(_xlfn.XLOOKUP($A1148,'Base SKUs'!$E:$E,'Base SKUs'!S:S),"")</f>
        <v>6.3839999999999999E-3</v>
      </c>
      <c r="S1148" s="8">
        <f t="shared" si="87"/>
        <v>19.643567999999998</v>
      </c>
      <c r="T1148" s="7">
        <f>IFERROR(_xlfn.XLOOKUP($A1148,'Base SKUs'!$E:$E,'Base SKUs'!R:R),"")</f>
        <v>1233.3979999999999</v>
      </c>
      <c r="U1148" s="15">
        <f t="shared" si="88"/>
        <v>24228</v>
      </c>
      <c r="V1148" t="str">
        <f t="shared" si="89"/>
        <v>Texas</v>
      </c>
    </row>
    <row r="1149" spans="1:22" x14ac:dyDescent="0.2">
      <c r="A1149" t="s">
        <v>1551</v>
      </c>
      <c r="B1149" s="5">
        <v>1064</v>
      </c>
      <c r="C1149" s="5">
        <v>168</v>
      </c>
      <c r="D1149" s="5">
        <f t="shared" si="85"/>
        <v>896</v>
      </c>
      <c r="E1149" s="6">
        <v>15.388999999999999</v>
      </c>
      <c r="F1149" s="6">
        <f t="shared" si="86"/>
        <v>16373.895999999999</v>
      </c>
      <c r="G1149" t="s">
        <v>24</v>
      </c>
      <c r="H1149">
        <v>9008</v>
      </c>
      <c r="I1149" t="str">
        <f>IFERROR(_xlfn.XLOOKUP($A1149,'Base SKUs'!$E:$E,'Base SKUs'!A:A),"")</f>
        <v>Ayous</v>
      </c>
      <c r="J1149" t="str">
        <f>IFERROR(_xlfn.XLOOKUP($A1149,'Base SKUs'!$E:$E,'Base SKUs'!B:B),"")</f>
        <v>Ayous 1x6</v>
      </c>
      <c r="K1149" t="str">
        <f>IFERROR(_xlfn.XLOOKUP($A1149,'Base SKUs'!$E:$E,'Base SKUs'!C:C),"")</f>
        <v>Long</v>
      </c>
      <c r="L1149" t="str">
        <f>IFERROR(_xlfn.XLOOKUP($A1149,'Base SKUs'!$E:$E,'Base SKUs'!D:D),"")</f>
        <v>Thermowood</v>
      </c>
      <c r="M1149" t="str">
        <f>IFERROR(_xlfn.XLOOKUP($A1149,'Base SKUs'!$E:$E,'Base SKUs'!G:G),"")</f>
        <v>Maximo Thermo Ayous</v>
      </c>
      <c r="N1149" t="str">
        <f>IFERROR(_xlfn.XLOOKUP($A1149,'Base SKUs'!$E:$E,'Base SKUs'!H:H),"")</f>
        <v>Fluted</v>
      </c>
      <c r="O1149" t="str">
        <f>IFERROR(_xlfn.XLOOKUP($A1149,'Base SKUs'!$E:$E,'Base SKUs'!I:I),"")</f>
        <v>-</v>
      </c>
      <c r="P1149" t="str">
        <f>IFERROR(_xlfn.XLOOKUP($A1149,'Base SKUs'!$E:$E,'Base SKUs'!J:J),"")</f>
        <v>1x6</v>
      </c>
      <c r="Q1149">
        <f>IFERROR(_xlfn.XLOOKUP($A1149,'Base SKUs'!$E:$E,'Base SKUs'!K:K),"")</f>
        <v>9</v>
      </c>
      <c r="R1149" s="7">
        <f>IFERROR(_xlfn.XLOOKUP($A1149,'Base SKUs'!$E:$E,'Base SKUs'!S:S),"")</f>
        <v>7.182E-3</v>
      </c>
      <c r="S1149" s="8">
        <f t="shared" si="87"/>
        <v>6.4350719999999999</v>
      </c>
      <c r="T1149" s="7">
        <f>IFERROR(_xlfn.XLOOKUP($A1149,'Base SKUs'!$E:$E,'Base SKUs'!R:R),"")</f>
        <v>1233.3979999999999</v>
      </c>
      <c r="U1149" s="15">
        <f t="shared" si="88"/>
        <v>7937</v>
      </c>
      <c r="V1149" t="str">
        <f t="shared" si="89"/>
        <v>Texas</v>
      </c>
    </row>
    <row r="1150" spans="1:22" x14ac:dyDescent="0.2">
      <c r="A1150" t="s">
        <v>1553</v>
      </c>
      <c r="B1150" s="5">
        <v>141</v>
      </c>
      <c r="C1150" s="5">
        <v>137</v>
      </c>
      <c r="D1150" s="5">
        <f t="shared" si="85"/>
        <v>4</v>
      </c>
      <c r="E1150" s="6">
        <v>20.067</v>
      </c>
      <c r="F1150" s="6">
        <f t="shared" si="86"/>
        <v>2829.4470000000001</v>
      </c>
      <c r="G1150" t="s">
        <v>17</v>
      </c>
      <c r="H1150">
        <v>9007</v>
      </c>
      <c r="I1150" t="str">
        <f>IFERROR(_xlfn.XLOOKUP($A1150,'Base SKUs'!$E:$E,'Base SKUs'!A:A),"")</f>
        <v>Ayous</v>
      </c>
      <c r="J1150" t="str">
        <f>IFERROR(_xlfn.XLOOKUP($A1150,'Base SKUs'!$E:$E,'Base SKUs'!B:B),"")</f>
        <v>Ayous 1x6</v>
      </c>
      <c r="K1150" t="str">
        <f>IFERROR(_xlfn.XLOOKUP($A1150,'Base SKUs'!$E:$E,'Base SKUs'!C:C),"")</f>
        <v>Long</v>
      </c>
      <c r="L1150" t="str">
        <f>IFERROR(_xlfn.XLOOKUP($A1150,'Base SKUs'!$E:$E,'Base SKUs'!D:D),"")</f>
        <v>Thermowood</v>
      </c>
      <c r="M1150" t="str">
        <f>IFERROR(_xlfn.XLOOKUP($A1150,'Base SKUs'!$E:$E,'Base SKUs'!G:G),"")</f>
        <v>Maximo Thermo Ayous</v>
      </c>
      <c r="N1150" t="str">
        <f>IFERROR(_xlfn.XLOOKUP($A1150,'Base SKUs'!$E:$E,'Base SKUs'!H:H),"")</f>
        <v>VJoint - Square Back</v>
      </c>
      <c r="O1150" t="str">
        <f>IFERROR(_xlfn.XLOOKUP($A1150,'Base SKUs'!$E:$E,'Base SKUs'!I:I),"")</f>
        <v>-</v>
      </c>
      <c r="P1150" t="str">
        <f>IFERROR(_xlfn.XLOOKUP($A1150,'Base SKUs'!$E:$E,'Base SKUs'!J:J),"")</f>
        <v>1x6</v>
      </c>
      <c r="Q1150">
        <f>IFERROR(_xlfn.XLOOKUP($A1150,'Base SKUs'!$E:$E,'Base SKUs'!K:K),"")</f>
        <v>10</v>
      </c>
      <c r="R1150" s="7">
        <f>IFERROR(_xlfn.XLOOKUP($A1150,'Base SKUs'!$E:$E,'Base SKUs'!S:S),"")</f>
        <v>7.980000000000001E-3</v>
      </c>
      <c r="S1150" s="8">
        <f t="shared" si="87"/>
        <v>3.1920000000000004E-2</v>
      </c>
      <c r="T1150" s="7">
        <f>IFERROR(_xlfn.XLOOKUP($A1150,'Base SKUs'!$E:$E,'Base SKUs'!R:R),"")</f>
        <v>1233.3979999999999</v>
      </c>
      <c r="U1150" s="15">
        <f t="shared" si="88"/>
        <v>39</v>
      </c>
      <c r="V1150" t="str">
        <f t="shared" si="89"/>
        <v>Miami</v>
      </c>
    </row>
    <row r="1151" spans="1:22" x14ac:dyDescent="0.2">
      <c r="A1151" t="s">
        <v>1553</v>
      </c>
      <c r="B1151" s="5">
        <v>28</v>
      </c>
      <c r="C1151" s="5">
        <v>0</v>
      </c>
      <c r="D1151" s="5">
        <f t="shared" si="85"/>
        <v>28</v>
      </c>
      <c r="E1151" s="6">
        <v>18.856000000000002</v>
      </c>
      <c r="F1151" s="6">
        <f t="shared" si="86"/>
        <v>527.96800000000007</v>
      </c>
      <c r="G1151" t="s">
        <v>24</v>
      </c>
      <c r="H1151">
        <v>9008</v>
      </c>
      <c r="I1151" t="str">
        <f>IFERROR(_xlfn.XLOOKUP($A1151,'Base SKUs'!$E:$E,'Base SKUs'!A:A),"")</f>
        <v>Ayous</v>
      </c>
      <c r="J1151" t="str">
        <f>IFERROR(_xlfn.XLOOKUP($A1151,'Base SKUs'!$E:$E,'Base SKUs'!B:B),"")</f>
        <v>Ayous 1x6</v>
      </c>
      <c r="K1151" t="str">
        <f>IFERROR(_xlfn.XLOOKUP($A1151,'Base SKUs'!$E:$E,'Base SKUs'!C:C),"")</f>
        <v>Long</v>
      </c>
      <c r="L1151" t="str">
        <f>IFERROR(_xlfn.XLOOKUP($A1151,'Base SKUs'!$E:$E,'Base SKUs'!D:D),"")</f>
        <v>Thermowood</v>
      </c>
      <c r="M1151" t="str">
        <f>IFERROR(_xlfn.XLOOKUP($A1151,'Base SKUs'!$E:$E,'Base SKUs'!G:G),"")</f>
        <v>Maximo Thermo Ayous</v>
      </c>
      <c r="N1151" t="str">
        <f>IFERROR(_xlfn.XLOOKUP($A1151,'Base SKUs'!$E:$E,'Base SKUs'!H:H),"")</f>
        <v>VJoint - Square Back</v>
      </c>
      <c r="O1151" t="str">
        <f>IFERROR(_xlfn.XLOOKUP($A1151,'Base SKUs'!$E:$E,'Base SKUs'!I:I),"")</f>
        <v>-</v>
      </c>
      <c r="P1151" t="str">
        <f>IFERROR(_xlfn.XLOOKUP($A1151,'Base SKUs'!$E:$E,'Base SKUs'!J:J),"")</f>
        <v>1x6</v>
      </c>
      <c r="Q1151">
        <f>IFERROR(_xlfn.XLOOKUP($A1151,'Base SKUs'!$E:$E,'Base SKUs'!K:K),"")</f>
        <v>10</v>
      </c>
      <c r="R1151" s="7">
        <f>IFERROR(_xlfn.XLOOKUP($A1151,'Base SKUs'!$E:$E,'Base SKUs'!S:S),"")</f>
        <v>7.980000000000001E-3</v>
      </c>
      <c r="S1151" s="8">
        <f t="shared" si="87"/>
        <v>0.22344000000000003</v>
      </c>
      <c r="T1151" s="7">
        <f>IFERROR(_xlfn.XLOOKUP($A1151,'Base SKUs'!$E:$E,'Base SKUs'!R:R),"")</f>
        <v>1233.3979999999999</v>
      </c>
      <c r="U1151" s="15">
        <f t="shared" si="88"/>
        <v>276</v>
      </c>
      <c r="V1151" t="str">
        <f t="shared" si="89"/>
        <v>Texas</v>
      </c>
    </row>
    <row r="1152" spans="1:22" x14ac:dyDescent="0.2">
      <c r="A1152" t="s">
        <v>1553</v>
      </c>
      <c r="B1152" s="5">
        <v>1</v>
      </c>
      <c r="C1152" s="5">
        <v>1</v>
      </c>
      <c r="D1152" s="5">
        <f t="shared" si="85"/>
        <v>0</v>
      </c>
      <c r="E1152" s="6">
        <v>18.856000000000002</v>
      </c>
      <c r="F1152" s="6">
        <f t="shared" si="86"/>
        <v>18.856000000000002</v>
      </c>
      <c r="G1152" t="s">
        <v>330</v>
      </c>
      <c r="H1152">
        <v>9011</v>
      </c>
      <c r="I1152" t="str">
        <f>IFERROR(_xlfn.XLOOKUP($A1152,'Base SKUs'!$E:$E,'Base SKUs'!A:A),"")</f>
        <v>Ayous</v>
      </c>
      <c r="J1152" t="str">
        <f>IFERROR(_xlfn.XLOOKUP($A1152,'Base SKUs'!$E:$E,'Base SKUs'!B:B),"")</f>
        <v>Ayous 1x6</v>
      </c>
      <c r="K1152" t="str">
        <f>IFERROR(_xlfn.XLOOKUP($A1152,'Base SKUs'!$E:$E,'Base SKUs'!C:C),"")</f>
        <v>Long</v>
      </c>
      <c r="L1152" t="str">
        <f>IFERROR(_xlfn.XLOOKUP($A1152,'Base SKUs'!$E:$E,'Base SKUs'!D:D),"")</f>
        <v>Thermowood</v>
      </c>
      <c r="M1152" t="str">
        <f>IFERROR(_xlfn.XLOOKUP($A1152,'Base SKUs'!$E:$E,'Base SKUs'!G:G),"")</f>
        <v>Maximo Thermo Ayous</v>
      </c>
      <c r="N1152" t="str">
        <f>IFERROR(_xlfn.XLOOKUP($A1152,'Base SKUs'!$E:$E,'Base SKUs'!H:H),"")</f>
        <v>VJoint - Square Back</v>
      </c>
      <c r="O1152" t="str">
        <f>IFERROR(_xlfn.XLOOKUP($A1152,'Base SKUs'!$E:$E,'Base SKUs'!I:I),"")</f>
        <v>-</v>
      </c>
      <c r="P1152" t="str">
        <f>IFERROR(_xlfn.XLOOKUP($A1152,'Base SKUs'!$E:$E,'Base SKUs'!J:J),"")</f>
        <v>1x6</v>
      </c>
      <c r="Q1152">
        <f>IFERROR(_xlfn.XLOOKUP($A1152,'Base SKUs'!$E:$E,'Base SKUs'!K:K),"")</f>
        <v>10</v>
      </c>
      <c r="R1152" s="7">
        <f>IFERROR(_xlfn.XLOOKUP($A1152,'Base SKUs'!$E:$E,'Base SKUs'!S:S),"")</f>
        <v>7.980000000000001E-3</v>
      </c>
      <c r="S1152" s="8">
        <f t="shared" si="87"/>
        <v>0</v>
      </c>
      <c r="T1152" s="7">
        <f>IFERROR(_xlfn.XLOOKUP($A1152,'Base SKUs'!$E:$E,'Base SKUs'!R:R),"")</f>
        <v>1233.3979999999999</v>
      </c>
      <c r="U1152" s="15">
        <f t="shared" si="88"/>
        <v>0</v>
      </c>
      <c r="V1152" t="str">
        <f t="shared" si="89"/>
        <v>New York</v>
      </c>
    </row>
    <row r="1153" spans="1:22" x14ac:dyDescent="0.2">
      <c r="A1153" t="s">
        <v>1555</v>
      </c>
      <c r="B1153" s="5">
        <v>256</v>
      </c>
      <c r="C1153" s="5">
        <v>144</v>
      </c>
      <c r="D1153" s="5">
        <f t="shared" si="85"/>
        <v>112</v>
      </c>
      <c r="E1153" s="6">
        <v>22.070900000000002</v>
      </c>
      <c r="F1153" s="6">
        <f t="shared" si="86"/>
        <v>5650.1504000000004</v>
      </c>
      <c r="G1153" t="s">
        <v>17</v>
      </c>
      <c r="H1153">
        <v>9007</v>
      </c>
      <c r="I1153" t="str">
        <f>IFERROR(_xlfn.XLOOKUP($A1153,'Base SKUs'!$E:$E,'Base SKUs'!A:A),"")</f>
        <v>Ayous</v>
      </c>
      <c r="J1153" t="str">
        <f>IFERROR(_xlfn.XLOOKUP($A1153,'Base SKUs'!$E:$E,'Base SKUs'!B:B),"")</f>
        <v>Ayous 1x6</v>
      </c>
      <c r="K1153" t="str">
        <f>IFERROR(_xlfn.XLOOKUP($A1153,'Base SKUs'!$E:$E,'Base SKUs'!C:C),"")</f>
        <v>Long</v>
      </c>
      <c r="L1153" t="str">
        <f>IFERROR(_xlfn.XLOOKUP($A1153,'Base SKUs'!$E:$E,'Base SKUs'!D:D),"")</f>
        <v>Thermowood</v>
      </c>
      <c r="M1153" t="str">
        <f>IFERROR(_xlfn.XLOOKUP($A1153,'Base SKUs'!$E:$E,'Base SKUs'!G:G),"")</f>
        <v>Maximo Thermo Ayous</v>
      </c>
      <c r="N1153" t="str">
        <f>IFERROR(_xlfn.XLOOKUP($A1153,'Base SKUs'!$E:$E,'Base SKUs'!H:H),"")</f>
        <v>VJoint - Square Back</v>
      </c>
      <c r="O1153" t="str">
        <f>IFERROR(_xlfn.XLOOKUP($A1153,'Base SKUs'!$E:$E,'Base SKUs'!I:I),"")</f>
        <v>-</v>
      </c>
      <c r="P1153" t="str">
        <f>IFERROR(_xlfn.XLOOKUP($A1153,'Base SKUs'!$E:$E,'Base SKUs'!J:J),"")</f>
        <v>1x6</v>
      </c>
      <c r="Q1153">
        <f>IFERROR(_xlfn.XLOOKUP($A1153,'Base SKUs'!$E:$E,'Base SKUs'!K:K),"")</f>
        <v>11</v>
      </c>
      <c r="R1153" s="7">
        <f>IFERROR(_xlfn.XLOOKUP($A1153,'Base SKUs'!$E:$E,'Base SKUs'!S:S),"")</f>
        <v>8.7779999999999993E-3</v>
      </c>
      <c r="S1153" s="8">
        <f t="shared" si="87"/>
        <v>0.9831359999999999</v>
      </c>
      <c r="T1153" s="7">
        <f>IFERROR(_xlfn.XLOOKUP($A1153,'Base SKUs'!$E:$E,'Base SKUs'!R:R),"")</f>
        <v>1233.3979999999999</v>
      </c>
      <c r="U1153" s="15">
        <f t="shared" si="88"/>
        <v>1213</v>
      </c>
      <c r="V1153" t="str">
        <f t="shared" si="89"/>
        <v>Miami</v>
      </c>
    </row>
    <row r="1154" spans="1:22" x14ac:dyDescent="0.2">
      <c r="A1154" t="s">
        <v>1555</v>
      </c>
      <c r="B1154" s="5">
        <v>42</v>
      </c>
      <c r="C1154" s="5">
        <v>0</v>
      </c>
      <c r="D1154" s="5">
        <f t="shared" ref="D1154:D1217" si="90">B1154-C1154</f>
        <v>42</v>
      </c>
      <c r="E1154" s="6">
        <v>20.741599999999998</v>
      </c>
      <c r="F1154" s="6">
        <f t="shared" ref="F1154:F1217" si="91">B1154*E1154</f>
        <v>871.14719999999988</v>
      </c>
      <c r="G1154" t="s">
        <v>24</v>
      </c>
      <c r="H1154">
        <v>9008</v>
      </c>
      <c r="I1154" t="str">
        <f>IFERROR(_xlfn.XLOOKUP($A1154,'Base SKUs'!$E:$E,'Base SKUs'!A:A),"")</f>
        <v>Ayous</v>
      </c>
      <c r="J1154" t="str">
        <f>IFERROR(_xlfn.XLOOKUP($A1154,'Base SKUs'!$E:$E,'Base SKUs'!B:B),"")</f>
        <v>Ayous 1x6</v>
      </c>
      <c r="K1154" t="str">
        <f>IFERROR(_xlfn.XLOOKUP($A1154,'Base SKUs'!$E:$E,'Base SKUs'!C:C),"")</f>
        <v>Long</v>
      </c>
      <c r="L1154" t="str">
        <f>IFERROR(_xlfn.XLOOKUP($A1154,'Base SKUs'!$E:$E,'Base SKUs'!D:D),"")</f>
        <v>Thermowood</v>
      </c>
      <c r="M1154" t="str">
        <f>IFERROR(_xlfn.XLOOKUP($A1154,'Base SKUs'!$E:$E,'Base SKUs'!G:G),"")</f>
        <v>Maximo Thermo Ayous</v>
      </c>
      <c r="N1154" t="str">
        <f>IFERROR(_xlfn.XLOOKUP($A1154,'Base SKUs'!$E:$E,'Base SKUs'!H:H),"")</f>
        <v>VJoint - Square Back</v>
      </c>
      <c r="O1154" t="str">
        <f>IFERROR(_xlfn.XLOOKUP($A1154,'Base SKUs'!$E:$E,'Base SKUs'!I:I),"")</f>
        <v>-</v>
      </c>
      <c r="P1154" t="str">
        <f>IFERROR(_xlfn.XLOOKUP($A1154,'Base SKUs'!$E:$E,'Base SKUs'!J:J),"")</f>
        <v>1x6</v>
      </c>
      <c r="Q1154">
        <f>IFERROR(_xlfn.XLOOKUP($A1154,'Base SKUs'!$E:$E,'Base SKUs'!K:K),"")</f>
        <v>11</v>
      </c>
      <c r="R1154" s="7">
        <f>IFERROR(_xlfn.XLOOKUP($A1154,'Base SKUs'!$E:$E,'Base SKUs'!S:S),"")</f>
        <v>8.7779999999999993E-3</v>
      </c>
      <c r="S1154" s="8">
        <f t="shared" ref="S1154:S1217" si="92">IF(OR(L1154="Saicos",L1154="Oil",L1154="US4",L1154="Wood Table",L1154="Woca",L1154="Norx",N1154="Tiles"),D1154,D1154*R1154)</f>
        <v>0.36867599999999995</v>
      </c>
      <c r="T1154" s="7">
        <f>IFERROR(_xlfn.XLOOKUP($A1154,'Base SKUs'!$E:$E,'Base SKUs'!R:R),"")</f>
        <v>1233.3979999999999</v>
      </c>
      <c r="U1154" s="15">
        <f t="shared" ref="U1154:U1217" si="93">ROUND(IF(OR(L1154="Saicos",L1154="Oil",L1154="US4",L1154="Wood Table",L1154="Woca",L1154="Norx",N1154="Tiles"),D1154,S1154*T1154),0)</f>
        <v>455</v>
      </c>
      <c r="V1154" t="str">
        <f t="shared" ref="V1154:V1217" si="94">IF(H1154=9007,"Miami",IF(H1154=9008,"Texas",IF(H1154=9009,"Boston",IF(H1154=9010,"BS Detroit",IF(H1154=9011,"New York",IF(H1154=9012,"HW Perris",IF(H1154=9013,"BS Riverside",IF(H1154=9014,"On the Way",IF(H1154=9015,"Russin",IF(H1154=9016,"Palm Beach",""))))))))))</f>
        <v>Texas</v>
      </c>
    </row>
    <row r="1155" spans="1:22" x14ac:dyDescent="0.2">
      <c r="A1155" t="s">
        <v>1557</v>
      </c>
      <c r="B1155" s="5">
        <v>4</v>
      </c>
      <c r="C1155" s="5">
        <v>0</v>
      </c>
      <c r="D1155" s="5">
        <f t="shared" si="90"/>
        <v>4</v>
      </c>
      <c r="E1155" s="6">
        <v>22.627199999999998</v>
      </c>
      <c r="F1155" s="6">
        <f t="shared" si="91"/>
        <v>90.508799999999994</v>
      </c>
      <c r="G1155" t="s">
        <v>24</v>
      </c>
      <c r="H1155">
        <v>9008</v>
      </c>
      <c r="I1155" t="str">
        <f>IFERROR(_xlfn.XLOOKUP($A1155,'Base SKUs'!$E:$E,'Base SKUs'!A:A),"")</f>
        <v>Ayous</v>
      </c>
      <c r="J1155" t="str">
        <f>IFERROR(_xlfn.XLOOKUP($A1155,'Base SKUs'!$E:$E,'Base SKUs'!B:B),"")</f>
        <v>Ayous 1x6</v>
      </c>
      <c r="K1155" t="str">
        <f>IFERROR(_xlfn.XLOOKUP($A1155,'Base SKUs'!$E:$E,'Base SKUs'!C:C),"")</f>
        <v>Long</v>
      </c>
      <c r="L1155" t="str">
        <f>IFERROR(_xlfn.XLOOKUP($A1155,'Base SKUs'!$E:$E,'Base SKUs'!D:D),"")</f>
        <v>Thermowood</v>
      </c>
      <c r="M1155" t="str">
        <f>IFERROR(_xlfn.XLOOKUP($A1155,'Base SKUs'!$E:$E,'Base SKUs'!G:G),"")</f>
        <v>Maximo Thermo Ayous</v>
      </c>
      <c r="N1155" t="str">
        <f>IFERROR(_xlfn.XLOOKUP($A1155,'Base SKUs'!$E:$E,'Base SKUs'!H:H),"")</f>
        <v>VJoint - Square Back</v>
      </c>
      <c r="O1155" t="str">
        <f>IFERROR(_xlfn.XLOOKUP($A1155,'Base SKUs'!$E:$E,'Base SKUs'!I:I),"")</f>
        <v>-</v>
      </c>
      <c r="P1155" t="str">
        <f>IFERROR(_xlfn.XLOOKUP($A1155,'Base SKUs'!$E:$E,'Base SKUs'!J:J),"")</f>
        <v>1x6</v>
      </c>
      <c r="Q1155">
        <f>IFERROR(_xlfn.XLOOKUP($A1155,'Base SKUs'!$E:$E,'Base SKUs'!K:K),"")</f>
        <v>12</v>
      </c>
      <c r="R1155" s="7">
        <f>IFERROR(_xlfn.XLOOKUP($A1155,'Base SKUs'!$E:$E,'Base SKUs'!S:S),"")</f>
        <v>9.5760000000000012E-3</v>
      </c>
      <c r="S1155" s="8">
        <f t="shared" si="92"/>
        <v>3.8304000000000005E-2</v>
      </c>
      <c r="T1155" s="7">
        <f>IFERROR(_xlfn.XLOOKUP($A1155,'Base SKUs'!$E:$E,'Base SKUs'!R:R),"")</f>
        <v>1233.3979999999999</v>
      </c>
      <c r="U1155" s="15">
        <f t="shared" si="93"/>
        <v>47</v>
      </c>
      <c r="V1155" t="str">
        <f t="shared" si="94"/>
        <v>Texas</v>
      </c>
    </row>
    <row r="1156" spans="1:22" x14ac:dyDescent="0.2">
      <c r="A1156" t="s">
        <v>1559</v>
      </c>
      <c r="B1156" s="5">
        <v>1</v>
      </c>
      <c r="C1156" s="5">
        <v>0</v>
      </c>
      <c r="D1156" s="5">
        <f t="shared" si="90"/>
        <v>1</v>
      </c>
      <c r="E1156" s="6">
        <v>26.244399999999999</v>
      </c>
      <c r="F1156" s="6">
        <f t="shared" si="91"/>
        <v>26.244399999999999</v>
      </c>
      <c r="G1156" t="s">
        <v>17</v>
      </c>
      <c r="H1156">
        <v>9007</v>
      </c>
      <c r="I1156" t="str">
        <f>IFERROR(_xlfn.XLOOKUP($A1156,'Base SKUs'!$E:$E,'Base SKUs'!A:A),"")</f>
        <v>Ayous</v>
      </c>
      <c r="J1156" t="str">
        <f>IFERROR(_xlfn.XLOOKUP($A1156,'Base SKUs'!$E:$E,'Base SKUs'!B:B),"")</f>
        <v>Ayous 1x6</v>
      </c>
      <c r="K1156" t="str">
        <f>IFERROR(_xlfn.XLOOKUP($A1156,'Base SKUs'!$E:$E,'Base SKUs'!C:C),"")</f>
        <v>Long</v>
      </c>
      <c r="L1156" t="str">
        <f>IFERROR(_xlfn.XLOOKUP($A1156,'Base SKUs'!$E:$E,'Base SKUs'!D:D),"")</f>
        <v>Thermowood</v>
      </c>
      <c r="M1156" t="str">
        <f>IFERROR(_xlfn.XLOOKUP($A1156,'Base SKUs'!$E:$E,'Base SKUs'!G:G),"")</f>
        <v>Maximo Thermo Ayous</v>
      </c>
      <c r="N1156" t="str">
        <f>IFERROR(_xlfn.XLOOKUP($A1156,'Base SKUs'!$E:$E,'Base SKUs'!H:H),"")</f>
        <v>VJoint - Square Back</v>
      </c>
      <c r="O1156" t="str">
        <f>IFERROR(_xlfn.XLOOKUP($A1156,'Base SKUs'!$E:$E,'Base SKUs'!I:I),"")</f>
        <v>-</v>
      </c>
      <c r="P1156" t="str">
        <f>IFERROR(_xlfn.XLOOKUP($A1156,'Base SKUs'!$E:$E,'Base SKUs'!J:J),"")</f>
        <v>1x6</v>
      </c>
      <c r="Q1156">
        <f>IFERROR(_xlfn.XLOOKUP($A1156,'Base SKUs'!$E:$E,'Base SKUs'!K:K),"")</f>
        <v>13</v>
      </c>
      <c r="R1156" s="7">
        <f>IFERROR(_xlfn.XLOOKUP($A1156,'Base SKUs'!$E:$E,'Base SKUs'!S:S),"")</f>
        <v>1.0374000000000001E-2</v>
      </c>
      <c r="S1156" s="8">
        <f t="shared" si="92"/>
        <v>1.0374000000000001E-2</v>
      </c>
      <c r="T1156" s="7">
        <f>IFERROR(_xlfn.XLOOKUP($A1156,'Base SKUs'!$E:$E,'Base SKUs'!R:R),"")</f>
        <v>1233.3979999999999</v>
      </c>
      <c r="U1156" s="15">
        <f t="shared" si="93"/>
        <v>13</v>
      </c>
      <c r="V1156" t="str">
        <f t="shared" si="94"/>
        <v>Miami</v>
      </c>
    </row>
    <row r="1157" spans="1:22" x14ac:dyDescent="0.2">
      <c r="A1157" t="s">
        <v>1559</v>
      </c>
      <c r="B1157" s="5">
        <v>7</v>
      </c>
      <c r="C1157" s="5">
        <v>0</v>
      </c>
      <c r="D1157" s="5">
        <f t="shared" si="90"/>
        <v>7</v>
      </c>
      <c r="E1157" s="6">
        <v>24.512799999999999</v>
      </c>
      <c r="F1157" s="6">
        <f t="shared" si="91"/>
        <v>171.58959999999999</v>
      </c>
      <c r="G1157" t="s">
        <v>24</v>
      </c>
      <c r="H1157">
        <v>9008</v>
      </c>
      <c r="I1157" t="str">
        <f>IFERROR(_xlfn.XLOOKUP($A1157,'Base SKUs'!$E:$E,'Base SKUs'!A:A),"")</f>
        <v>Ayous</v>
      </c>
      <c r="J1157" t="str">
        <f>IFERROR(_xlfn.XLOOKUP($A1157,'Base SKUs'!$E:$E,'Base SKUs'!B:B),"")</f>
        <v>Ayous 1x6</v>
      </c>
      <c r="K1157" t="str">
        <f>IFERROR(_xlfn.XLOOKUP($A1157,'Base SKUs'!$E:$E,'Base SKUs'!C:C),"")</f>
        <v>Long</v>
      </c>
      <c r="L1157" t="str">
        <f>IFERROR(_xlfn.XLOOKUP($A1157,'Base SKUs'!$E:$E,'Base SKUs'!D:D),"")</f>
        <v>Thermowood</v>
      </c>
      <c r="M1157" t="str">
        <f>IFERROR(_xlfn.XLOOKUP($A1157,'Base SKUs'!$E:$E,'Base SKUs'!G:G),"")</f>
        <v>Maximo Thermo Ayous</v>
      </c>
      <c r="N1157" t="str">
        <f>IFERROR(_xlfn.XLOOKUP($A1157,'Base SKUs'!$E:$E,'Base SKUs'!H:H),"")</f>
        <v>VJoint - Square Back</v>
      </c>
      <c r="O1157" t="str">
        <f>IFERROR(_xlfn.XLOOKUP($A1157,'Base SKUs'!$E:$E,'Base SKUs'!I:I),"")</f>
        <v>-</v>
      </c>
      <c r="P1157" t="str">
        <f>IFERROR(_xlfn.XLOOKUP($A1157,'Base SKUs'!$E:$E,'Base SKUs'!J:J),"")</f>
        <v>1x6</v>
      </c>
      <c r="Q1157">
        <f>IFERROR(_xlfn.XLOOKUP($A1157,'Base SKUs'!$E:$E,'Base SKUs'!K:K),"")</f>
        <v>13</v>
      </c>
      <c r="R1157" s="7">
        <f>IFERROR(_xlfn.XLOOKUP($A1157,'Base SKUs'!$E:$E,'Base SKUs'!S:S),"")</f>
        <v>1.0374000000000001E-2</v>
      </c>
      <c r="S1157" s="8">
        <f t="shared" si="92"/>
        <v>7.2618000000000016E-2</v>
      </c>
      <c r="T1157" s="7">
        <f>IFERROR(_xlfn.XLOOKUP($A1157,'Base SKUs'!$E:$E,'Base SKUs'!R:R),"")</f>
        <v>1233.3979999999999</v>
      </c>
      <c r="U1157" s="15">
        <f t="shared" si="93"/>
        <v>90</v>
      </c>
      <c r="V1157" t="str">
        <f t="shared" si="94"/>
        <v>Texas</v>
      </c>
    </row>
    <row r="1158" spans="1:22" x14ac:dyDescent="0.2">
      <c r="A1158" t="s">
        <v>1559</v>
      </c>
      <c r="B1158" s="5">
        <v>9</v>
      </c>
      <c r="C1158" s="5">
        <v>0</v>
      </c>
      <c r="D1158" s="5">
        <f t="shared" si="90"/>
        <v>9</v>
      </c>
      <c r="E1158" s="6">
        <v>24.512799999999999</v>
      </c>
      <c r="F1158" s="6">
        <f t="shared" si="91"/>
        <v>220.61519999999999</v>
      </c>
      <c r="G1158" t="s">
        <v>125</v>
      </c>
      <c r="H1158">
        <v>9009</v>
      </c>
      <c r="I1158" t="str">
        <f>IFERROR(_xlfn.XLOOKUP($A1158,'Base SKUs'!$E:$E,'Base SKUs'!A:A),"")</f>
        <v>Ayous</v>
      </c>
      <c r="J1158" t="str">
        <f>IFERROR(_xlfn.XLOOKUP($A1158,'Base SKUs'!$E:$E,'Base SKUs'!B:B),"")</f>
        <v>Ayous 1x6</v>
      </c>
      <c r="K1158" t="str">
        <f>IFERROR(_xlfn.XLOOKUP($A1158,'Base SKUs'!$E:$E,'Base SKUs'!C:C),"")</f>
        <v>Long</v>
      </c>
      <c r="L1158" t="str">
        <f>IFERROR(_xlfn.XLOOKUP($A1158,'Base SKUs'!$E:$E,'Base SKUs'!D:D),"")</f>
        <v>Thermowood</v>
      </c>
      <c r="M1158" t="str">
        <f>IFERROR(_xlfn.XLOOKUP($A1158,'Base SKUs'!$E:$E,'Base SKUs'!G:G),"")</f>
        <v>Maximo Thermo Ayous</v>
      </c>
      <c r="N1158" t="str">
        <f>IFERROR(_xlfn.XLOOKUP($A1158,'Base SKUs'!$E:$E,'Base SKUs'!H:H),"")</f>
        <v>VJoint - Square Back</v>
      </c>
      <c r="O1158" t="str">
        <f>IFERROR(_xlfn.XLOOKUP($A1158,'Base SKUs'!$E:$E,'Base SKUs'!I:I),"")</f>
        <v>-</v>
      </c>
      <c r="P1158" t="str">
        <f>IFERROR(_xlfn.XLOOKUP($A1158,'Base SKUs'!$E:$E,'Base SKUs'!J:J),"")</f>
        <v>1x6</v>
      </c>
      <c r="Q1158">
        <f>IFERROR(_xlfn.XLOOKUP($A1158,'Base SKUs'!$E:$E,'Base SKUs'!K:K),"")</f>
        <v>13</v>
      </c>
      <c r="R1158" s="7">
        <f>IFERROR(_xlfn.XLOOKUP($A1158,'Base SKUs'!$E:$E,'Base SKUs'!S:S),"")</f>
        <v>1.0374000000000001E-2</v>
      </c>
      <c r="S1158" s="8">
        <f t="shared" si="92"/>
        <v>9.3366000000000005E-2</v>
      </c>
      <c r="T1158" s="7">
        <f>IFERROR(_xlfn.XLOOKUP($A1158,'Base SKUs'!$E:$E,'Base SKUs'!R:R),"")</f>
        <v>1233.3979999999999</v>
      </c>
      <c r="U1158" s="15">
        <f t="shared" si="93"/>
        <v>115</v>
      </c>
      <c r="V1158" t="str">
        <f t="shared" si="94"/>
        <v>Boston</v>
      </c>
    </row>
    <row r="1159" spans="1:22" x14ac:dyDescent="0.2">
      <c r="A1159" t="s">
        <v>1561</v>
      </c>
      <c r="B1159" s="5">
        <v>3</v>
      </c>
      <c r="C1159" s="5">
        <v>3</v>
      </c>
      <c r="D1159" s="5">
        <f t="shared" si="90"/>
        <v>0</v>
      </c>
      <c r="E1159" s="6">
        <v>32.395000000000003</v>
      </c>
      <c r="F1159" s="6">
        <f t="shared" si="91"/>
        <v>97.185000000000002</v>
      </c>
      <c r="G1159" t="s">
        <v>17</v>
      </c>
      <c r="H1159">
        <v>9007</v>
      </c>
      <c r="I1159" t="str">
        <f>IFERROR(_xlfn.XLOOKUP($A1159,'Base SKUs'!$E:$E,'Base SKUs'!A:A),"")</f>
        <v>Ayous</v>
      </c>
      <c r="J1159" t="str">
        <f>IFERROR(_xlfn.XLOOKUP($A1159,'Base SKUs'!$E:$E,'Base SKUs'!B:B),"")</f>
        <v>Ayous 1x6</v>
      </c>
      <c r="K1159" t="str">
        <f>IFERROR(_xlfn.XLOOKUP($A1159,'Base SKUs'!$E:$E,'Base SKUs'!C:C),"")</f>
        <v>Long</v>
      </c>
      <c r="L1159" t="str">
        <f>IFERROR(_xlfn.XLOOKUP($A1159,'Base SKUs'!$E:$E,'Base SKUs'!D:D),"")</f>
        <v>Thermowood</v>
      </c>
      <c r="M1159" t="str">
        <f>IFERROR(_xlfn.XLOOKUP($A1159,'Base SKUs'!$E:$E,'Base SKUs'!G:G),"")</f>
        <v>Maximo Thermo Ayous</v>
      </c>
      <c r="N1159" t="str">
        <f>IFERROR(_xlfn.XLOOKUP($A1159,'Base SKUs'!$E:$E,'Base SKUs'!H:H),"")</f>
        <v>VJoint - Square Back</v>
      </c>
      <c r="O1159" t="str">
        <f>IFERROR(_xlfn.XLOOKUP($A1159,'Base SKUs'!$E:$E,'Base SKUs'!I:I),"")</f>
        <v>-</v>
      </c>
      <c r="P1159" t="str">
        <f>IFERROR(_xlfn.XLOOKUP($A1159,'Base SKUs'!$E:$E,'Base SKUs'!J:J),"")</f>
        <v>1x6</v>
      </c>
      <c r="Q1159">
        <f>IFERROR(_xlfn.XLOOKUP($A1159,'Base SKUs'!$E:$E,'Base SKUs'!K:K),"")</f>
        <v>14</v>
      </c>
      <c r="R1159" s="7">
        <f>IFERROR(_xlfn.XLOOKUP($A1159,'Base SKUs'!$E:$E,'Base SKUs'!S:S),"")</f>
        <v>1.1172E-2</v>
      </c>
      <c r="S1159" s="8">
        <f t="shared" si="92"/>
        <v>0</v>
      </c>
      <c r="T1159" s="7">
        <f>IFERROR(_xlfn.XLOOKUP($A1159,'Base SKUs'!$E:$E,'Base SKUs'!R:R),"")</f>
        <v>1233.3979999999999</v>
      </c>
      <c r="U1159" s="15">
        <f t="shared" si="93"/>
        <v>0</v>
      </c>
      <c r="V1159" t="str">
        <f t="shared" si="94"/>
        <v>Miami</v>
      </c>
    </row>
    <row r="1160" spans="1:22" x14ac:dyDescent="0.2">
      <c r="A1160" t="s">
        <v>1561</v>
      </c>
      <c r="B1160" s="5">
        <v>1</v>
      </c>
      <c r="C1160" s="5">
        <v>1</v>
      </c>
      <c r="D1160" s="5">
        <f t="shared" si="90"/>
        <v>0</v>
      </c>
      <c r="E1160" s="6">
        <v>26.398399999999999</v>
      </c>
      <c r="F1160" s="6">
        <f t="shared" si="91"/>
        <v>26.398399999999999</v>
      </c>
      <c r="G1160" t="s">
        <v>330</v>
      </c>
      <c r="H1160">
        <v>9011</v>
      </c>
      <c r="I1160" t="str">
        <f>IFERROR(_xlfn.XLOOKUP($A1160,'Base SKUs'!$E:$E,'Base SKUs'!A:A),"")</f>
        <v>Ayous</v>
      </c>
      <c r="J1160" t="str">
        <f>IFERROR(_xlfn.XLOOKUP($A1160,'Base SKUs'!$E:$E,'Base SKUs'!B:B),"")</f>
        <v>Ayous 1x6</v>
      </c>
      <c r="K1160" t="str">
        <f>IFERROR(_xlfn.XLOOKUP($A1160,'Base SKUs'!$E:$E,'Base SKUs'!C:C),"")</f>
        <v>Long</v>
      </c>
      <c r="L1160" t="str">
        <f>IFERROR(_xlfn.XLOOKUP($A1160,'Base SKUs'!$E:$E,'Base SKUs'!D:D),"")</f>
        <v>Thermowood</v>
      </c>
      <c r="M1160" t="str">
        <f>IFERROR(_xlfn.XLOOKUP($A1160,'Base SKUs'!$E:$E,'Base SKUs'!G:G),"")</f>
        <v>Maximo Thermo Ayous</v>
      </c>
      <c r="N1160" t="str">
        <f>IFERROR(_xlfn.XLOOKUP($A1160,'Base SKUs'!$E:$E,'Base SKUs'!H:H),"")</f>
        <v>VJoint - Square Back</v>
      </c>
      <c r="O1160" t="str">
        <f>IFERROR(_xlfn.XLOOKUP($A1160,'Base SKUs'!$E:$E,'Base SKUs'!I:I),"")</f>
        <v>-</v>
      </c>
      <c r="P1160" t="str">
        <f>IFERROR(_xlfn.XLOOKUP($A1160,'Base SKUs'!$E:$E,'Base SKUs'!J:J),"")</f>
        <v>1x6</v>
      </c>
      <c r="Q1160">
        <f>IFERROR(_xlfn.XLOOKUP($A1160,'Base SKUs'!$E:$E,'Base SKUs'!K:K),"")</f>
        <v>14</v>
      </c>
      <c r="R1160" s="7">
        <f>IFERROR(_xlfn.XLOOKUP($A1160,'Base SKUs'!$E:$E,'Base SKUs'!S:S),"")</f>
        <v>1.1172E-2</v>
      </c>
      <c r="S1160" s="8">
        <f t="shared" si="92"/>
        <v>0</v>
      </c>
      <c r="T1160" s="7">
        <f>IFERROR(_xlfn.XLOOKUP($A1160,'Base SKUs'!$E:$E,'Base SKUs'!R:R),"")</f>
        <v>1233.3979999999999</v>
      </c>
      <c r="U1160" s="15">
        <f t="shared" si="93"/>
        <v>0</v>
      </c>
      <c r="V1160" t="str">
        <f t="shared" si="94"/>
        <v>New York</v>
      </c>
    </row>
    <row r="1161" spans="1:22" x14ac:dyDescent="0.2">
      <c r="A1161" t="s">
        <v>1563</v>
      </c>
      <c r="B1161" s="5">
        <v>47</v>
      </c>
      <c r="C1161" s="5">
        <v>23</v>
      </c>
      <c r="D1161" s="5">
        <f t="shared" si="90"/>
        <v>24</v>
      </c>
      <c r="E1161" s="6">
        <v>33.1629</v>
      </c>
      <c r="F1161" s="6">
        <f t="shared" si="91"/>
        <v>1558.6563000000001</v>
      </c>
      <c r="G1161" t="s">
        <v>17</v>
      </c>
      <c r="H1161">
        <v>9007</v>
      </c>
      <c r="I1161" t="str">
        <f>IFERROR(_xlfn.XLOOKUP($A1161,'Base SKUs'!$E:$E,'Base SKUs'!A:A),"")</f>
        <v>Ayous</v>
      </c>
      <c r="J1161" t="str">
        <f>IFERROR(_xlfn.XLOOKUP($A1161,'Base SKUs'!$E:$E,'Base SKUs'!B:B),"")</f>
        <v>Ayous 1x6</v>
      </c>
      <c r="K1161" t="str">
        <f>IFERROR(_xlfn.XLOOKUP($A1161,'Base SKUs'!$E:$E,'Base SKUs'!C:C),"")</f>
        <v>Long</v>
      </c>
      <c r="L1161" t="str">
        <f>IFERROR(_xlfn.XLOOKUP($A1161,'Base SKUs'!$E:$E,'Base SKUs'!D:D),"")</f>
        <v>Thermowood</v>
      </c>
      <c r="M1161" t="str">
        <f>IFERROR(_xlfn.XLOOKUP($A1161,'Base SKUs'!$E:$E,'Base SKUs'!G:G),"")</f>
        <v>Maximo Thermo Ayous</v>
      </c>
      <c r="N1161" t="str">
        <f>IFERROR(_xlfn.XLOOKUP($A1161,'Base SKUs'!$E:$E,'Base SKUs'!H:H),"")</f>
        <v>VJoint - Square Back</v>
      </c>
      <c r="O1161" t="str">
        <f>IFERROR(_xlfn.XLOOKUP($A1161,'Base SKUs'!$E:$E,'Base SKUs'!I:I),"")</f>
        <v>-</v>
      </c>
      <c r="P1161" t="str">
        <f>IFERROR(_xlfn.XLOOKUP($A1161,'Base SKUs'!$E:$E,'Base SKUs'!J:J),"")</f>
        <v>1x6</v>
      </c>
      <c r="Q1161">
        <f>IFERROR(_xlfn.XLOOKUP($A1161,'Base SKUs'!$E:$E,'Base SKUs'!K:K),"")</f>
        <v>15</v>
      </c>
      <c r="R1161" s="7">
        <f>IFERROR(_xlfn.XLOOKUP($A1161,'Base SKUs'!$E:$E,'Base SKUs'!S:S),"")</f>
        <v>1.1970000000000001E-2</v>
      </c>
      <c r="S1161" s="8">
        <f t="shared" si="92"/>
        <v>0.28728000000000004</v>
      </c>
      <c r="T1161" s="7">
        <f>IFERROR(_xlfn.XLOOKUP($A1161,'Base SKUs'!$E:$E,'Base SKUs'!R:R),"")</f>
        <v>1233.3979999999999</v>
      </c>
      <c r="U1161" s="15">
        <f t="shared" si="93"/>
        <v>354</v>
      </c>
      <c r="V1161" t="str">
        <f t="shared" si="94"/>
        <v>Miami</v>
      </c>
    </row>
    <row r="1162" spans="1:22" x14ac:dyDescent="0.2">
      <c r="A1162" t="s">
        <v>1563</v>
      </c>
      <c r="B1162" s="5">
        <v>7</v>
      </c>
      <c r="C1162" s="5">
        <v>0</v>
      </c>
      <c r="D1162" s="5">
        <f t="shared" si="90"/>
        <v>7</v>
      </c>
      <c r="E1162" s="6">
        <v>28.283999999999999</v>
      </c>
      <c r="F1162" s="6">
        <f t="shared" si="91"/>
        <v>197.988</v>
      </c>
      <c r="G1162" t="s">
        <v>24</v>
      </c>
      <c r="H1162">
        <v>9008</v>
      </c>
      <c r="I1162" t="str">
        <f>IFERROR(_xlfn.XLOOKUP($A1162,'Base SKUs'!$E:$E,'Base SKUs'!A:A),"")</f>
        <v>Ayous</v>
      </c>
      <c r="J1162" t="str">
        <f>IFERROR(_xlfn.XLOOKUP($A1162,'Base SKUs'!$E:$E,'Base SKUs'!B:B),"")</f>
        <v>Ayous 1x6</v>
      </c>
      <c r="K1162" t="str">
        <f>IFERROR(_xlfn.XLOOKUP($A1162,'Base SKUs'!$E:$E,'Base SKUs'!C:C),"")</f>
        <v>Long</v>
      </c>
      <c r="L1162" t="str">
        <f>IFERROR(_xlfn.XLOOKUP($A1162,'Base SKUs'!$E:$E,'Base SKUs'!D:D),"")</f>
        <v>Thermowood</v>
      </c>
      <c r="M1162" t="str">
        <f>IFERROR(_xlfn.XLOOKUP($A1162,'Base SKUs'!$E:$E,'Base SKUs'!G:G),"")</f>
        <v>Maximo Thermo Ayous</v>
      </c>
      <c r="N1162" t="str">
        <f>IFERROR(_xlfn.XLOOKUP($A1162,'Base SKUs'!$E:$E,'Base SKUs'!H:H),"")</f>
        <v>VJoint - Square Back</v>
      </c>
      <c r="O1162" t="str">
        <f>IFERROR(_xlfn.XLOOKUP($A1162,'Base SKUs'!$E:$E,'Base SKUs'!I:I),"")</f>
        <v>-</v>
      </c>
      <c r="P1162" t="str">
        <f>IFERROR(_xlfn.XLOOKUP($A1162,'Base SKUs'!$E:$E,'Base SKUs'!J:J),"")</f>
        <v>1x6</v>
      </c>
      <c r="Q1162">
        <f>IFERROR(_xlfn.XLOOKUP($A1162,'Base SKUs'!$E:$E,'Base SKUs'!K:K),"")</f>
        <v>15</v>
      </c>
      <c r="R1162" s="7">
        <f>IFERROR(_xlfn.XLOOKUP($A1162,'Base SKUs'!$E:$E,'Base SKUs'!S:S),"")</f>
        <v>1.1970000000000001E-2</v>
      </c>
      <c r="S1162" s="8">
        <f t="shared" si="92"/>
        <v>8.3790000000000003E-2</v>
      </c>
      <c r="T1162" s="7">
        <f>IFERROR(_xlfn.XLOOKUP($A1162,'Base SKUs'!$E:$E,'Base SKUs'!R:R),"")</f>
        <v>1233.3979999999999</v>
      </c>
      <c r="U1162" s="15">
        <f t="shared" si="93"/>
        <v>103</v>
      </c>
      <c r="V1162" t="str">
        <f t="shared" si="94"/>
        <v>Texas</v>
      </c>
    </row>
    <row r="1163" spans="1:22" x14ac:dyDescent="0.2">
      <c r="A1163" t="s">
        <v>1563</v>
      </c>
      <c r="B1163" s="5">
        <v>155</v>
      </c>
      <c r="C1163" s="5">
        <v>0</v>
      </c>
      <c r="D1163" s="5">
        <f t="shared" si="90"/>
        <v>155</v>
      </c>
      <c r="E1163" s="6">
        <v>28.283999999999999</v>
      </c>
      <c r="F1163" s="6">
        <f t="shared" si="91"/>
        <v>4384.0199999999995</v>
      </c>
      <c r="G1163" t="s">
        <v>125</v>
      </c>
      <c r="H1163">
        <v>9009</v>
      </c>
      <c r="I1163" t="str">
        <f>IFERROR(_xlfn.XLOOKUP($A1163,'Base SKUs'!$E:$E,'Base SKUs'!A:A),"")</f>
        <v>Ayous</v>
      </c>
      <c r="J1163" t="str">
        <f>IFERROR(_xlfn.XLOOKUP($A1163,'Base SKUs'!$E:$E,'Base SKUs'!B:B),"")</f>
        <v>Ayous 1x6</v>
      </c>
      <c r="K1163" t="str">
        <f>IFERROR(_xlfn.XLOOKUP($A1163,'Base SKUs'!$E:$E,'Base SKUs'!C:C),"")</f>
        <v>Long</v>
      </c>
      <c r="L1163" t="str">
        <f>IFERROR(_xlfn.XLOOKUP($A1163,'Base SKUs'!$E:$E,'Base SKUs'!D:D),"")</f>
        <v>Thermowood</v>
      </c>
      <c r="M1163" t="str">
        <f>IFERROR(_xlfn.XLOOKUP($A1163,'Base SKUs'!$E:$E,'Base SKUs'!G:G),"")</f>
        <v>Maximo Thermo Ayous</v>
      </c>
      <c r="N1163" t="str">
        <f>IFERROR(_xlfn.XLOOKUP($A1163,'Base SKUs'!$E:$E,'Base SKUs'!H:H),"")</f>
        <v>VJoint - Square Back</v>
      </c>
      <c r="O1163" t="str">
        <f>IFERROR(_xlfn.XLOOKUP($A1163,'Base SKUs'!$E:$E,'Base SKUs'!I:I),"")</f>
        <v>-</v>
      </c>
      <c r="P1163" t="str">
        <f>IFERROR(_xlfn.XLOOKUP($A1163,'Base SKUs'!$E:$E,'Base SKUs'!J:J),"")</f>
        <v>1x6</v>
      </c>
      <c r="Q1163">
        <f>IFERROR(_xlfn.XLOOKUP($A1163,'Base SKUs'!$E:$E,'Base SKUs'!K:K),"")</f>
        <v>15</v>
      </c>
      <c r="R1163" s="7">
        <f>IFERROR(_xlfn.XLOOKUP($A1163,'Base SKUs'!$E:$E,'Base SKUs'!S:S),"")</f>
        <v>1.1970000000000001E-2</v>
      </c>
      <c r="S1163" s="8">
        <f t="shared" si="92"/>
        <v>1.8553500000000003</v>
      </c>
      <c r="T1163" s="7">
        <f>IFERROR(_xlfn.XLOOKUP($A1163,'Base SKUs'!$E:$E,'Base SKUs'!R:R),"")</f>
        <v>1233.3979999999999</v>
      </c>
      <c r="U1163" s="15">
        <f t="shared" si="93"/>
        <v>2288</v>
      </c>
      <c r="V1163" t="str">
        <f t="shared" si="94"/>
        <v>Boston</v>
      </c>
    </row>
    <row r="1164" spans="1:22" x14ac:dyDescent="0.2">
      <c r="A1164" t="s">
        <v>1565</v>
      </c>
      <c r="B1164" s="5">
        <v>16</v>
      </c>
      <c r="C1164" s="5">
        <v>9</v>
      </c>
      <c r="D1164" s="5">
        <f t="shared" si="90"/>
        <v>7</v>
      </c>
      <c r="E1164" s="6">
        <v>32.401299999999999</v>
      </c>
      <c r="F1164" s="6">
        <f t="shared" si="91"/>
        <v>518.42079999999999</v>
      </c>
      <c r="G1164" t="s">
        <v>17</v>
      </c>
      <c r="H1164">
        <v>9007</v>
      </c>
      <c r="I1164" t="str">
        <f>IFERROR(_xlfn.XLOOKUP($A1164,'Base SKUs'!$E:$E,'Base SKUs'!A:A),"")</f>
        <v>Ayous</v>
      </c>
      <c r="J1164" t="str">
        <f>IFERROR(_xlfn.XLOOKUP($A1164,'Base SKUs'!$E:$E,'Base SKUs'!B:B),"")</f>
        <v>Ayous 1x6</v>
      </c>
      <c r="K1164" t="str">
        <f>IFERROR(_xlfn.XLOOKUP($A1164,'Base SKUs'!$E:$E,'Base SKUs'!C:C),"")</f>
        <v>Long</v>
      </c>
      <c r="L1164" t="str">
        <f>IFERROR(_xlfn.XLOOKUP($A1164,'Base SKUs'!$E:$E,'Base SKUs'!D:D),"")</f>
        <v>Thermowood</v>
      </c>
      <c r="M1164" t="str">
        <f>IFERROR(_xlfn.XLOOKUP($A1164,'Base SKUs'!$E:$E,'Base SKUs'!G:G),"")</f>
        <v>Maximo Thermo Ayous</v>
      </c>
      <c r="N1164" t="str">
        <f>IFERROR(_xlfn.XLOOKUP($A1164,'Base SKUs'!$E:$E,'Base SKUs'!H:H),"")</f>
        <v>VJoint - Square Back</v>
      </c>
      <c r="O1164" t="str">
        <f>IFERROR(_xlfn.XLOOKUP($A1164,'Base SKUs'!$E:$E,'Base SKUs'!I:I),"")</f>
        <v>-</v>
      </c>
      <c r="P1164" t="str">
        <f>IFERROR(_xlfn.XLOOKUP($A1164,'Base SKUs'!$E:$E,'Base SKUs'!J:J),"")</f>
        <v>1x6</v>
      </c>
      <c r="Q1164">
        <f>IFERROR(_xlfn.XLOOKUP($A1164,'Base SKUs'!$E:$E,'Base SKUs'!K:K),"")</f>
        <v>16</v>
      </c>
      <c r="R1164" s="7">
        <f>IFERROR(_xlfn.XLOOKUP($A1164,'Base SKUs'!$E:$E,'Base SKUs'!S:S),"")</f>
        <v>1.2768E-2</v>
      </c>
      <c r="S1164" s="8">
        <f t="shared" si="92"/>
        <v>8.9375999999999997E-2</v>
      </c>
      <c r="T1164" s="7">
        <f>IFERROR(_xlfn.XLOOKUP($A1164,'Base SKUs'!$E:$E,'Base SKUs'!R:R),"")</f>
        <v>1233.3979999999999</v>
      </c>
      <c r="U1164" s="15">
        <f t="shared" si="93"/>
        <v>110</v>
      </c>
      <c r="V1164" t="str">
        <f t="shared" si="94"/>
        <v>Miami</v>
      </c>
    </row>
    <row r="1165" spans="1:22" x14ac:dyDescent="0.2">
      <c r="A1165" t="s">
        <v>1565</v>
      </c>
      <c r="B1165" s="5">
        <v>3</v>
      </c>
      <c r="C1165" s="5">
        <v>0</v>
      </c>
      <c r="D1165" s="5">
        <f t="shared" si="90"/>
        <v>3</v>
      </c>
      <c r="E1165" s="6">
        <v>31.9636</v>
      </c>
      <c r="F1165" s="6">
        <f t="shared" si="91"/>
        <v>95.890799999999999</v>
      </c>
      <c r="G1165" t="s">
        <v>24</v>
      </c>
      <c r="H1165">
        <v>9008</v>
      </c>
      <c r="I1165" t="str">
        <f>IFERROR(_xlfn.XLOOKUP($A1165,'Base SKUs'!$E:$E,'Base SKUs'!A:A),"")</f>
        <v>Ayous</v>
      </c>
      <c r="J1165" t="str">
        <f>IFERROR(_xlfn.XLOOKUP($A1165,'Base SKUs'!$E:$E,'Base SKUs'!B:B),"")</f>
        <v>Ayous 1x6</v>
      </c>
      <c r="K1165" t="str">
        <f>IFERROR(_xlfn.XLOOKUP($A1165,'Base SKUs'!$E:$E,'Base SKUs'!C:C),"")</f>
        <v>Long</v>
      </c>
      <c r="L1165" t="str">
        <f>IFERROR(_xlfn.XLOOKUP($A1165,'Base SKUs'!$E:$E,'Base SKUs'!D:D),"")</f>
        <v>Thermowood</v>
      </c>
      <c r="M1165" t="str">
        <f>IFERROR(_xlfn.XLOOKUP($A1165,'Base SKUs'!$E:$E,'Base SKUs'!G:G),"")</f>
        <v>Maximo Thermo Ayous</v>
      </c>
      <c r="N1165" t="str">
        <f>IFERROR(_xlfn.XLOOKUP($A1165,'Base SKUs'!$E:$E,'Base SKUs'!H:H),"")</f>
        <v>VJoint - Square Back</v>
      </c>
      <c r="O1165" t="str">
        <f>IFERROR(_xlfn.XLOOKUP($A1165,'Base SKUs'!$E:$E,'Base SKUs'!I:I),"")</f>
        <v>-</v>
      </c>
      <c r="P1165" t="str">
        <f>IFERROR(_xlfn.XLOOKUP($A1165,'Base SKUs'!$E:$E,'Base SKUs'!J:J),"")</f>
        <v>1x6</v>
      </c>
      <c r="Q1165">
        <f>IFERROR(_xlfn.XLOOKUP($A1165,'Base SKUs'!$E:$E,'Base SKUs'!K:K),"")</f>
        <v>16</v>
      </c>
      <c r="R1165" s="7">
        <f>IFERROR(_xlfn.XLOOKUP($A1165,'Base SKUs'!$E:$E,'Base SKUs'!S:S),"")</f>
        <v>1.2768E-2</v>
      </c>
      <c r="S1165" s="8">
        <f t="shared" si="92"/>
        <v>3.8303999999999998E-2</v>
      </c>
      <c r="T1165" s="7">
        <f>IFERROR(_xlfn.XLOOKUP($A1165,'Base SKUs'!$E:$E,'Base SKUs'!R:R),"")</f>
        <v>1233.3979999999999</v>
      </c>
      <c r="U1165" s="15">
        <f t="shared" si="93"/>
        <v>47</v>
      </c>
      <c r="V1165" t="str">
        <f t="shared" si="94"/>
        <v>Texas</v>
      </c>
    </row>
    <row r="1166" spans="1:22" x14ac:dyDescent="0.2">
      <c r="A1166" t="s">
        <v>1565</v>
      </c>
      <c r="B1166" s="5">
        <v>161</v>
      </c>
      <c r="C1166" s="5">
        <v>161</v>
      </c>
      <c r="D1166" s="5">
        <f t="shared" si="90"/>
        <v>0</v>
      </c>
      <c r="E1166" s="6">
        <v>30.169599999999999</v>
      </c>
      <c r="F1166" s="6">
        <f t="shared" si="91"/>
        <v>4857.3055999999997</v>
      </c>
      <c r="G1166" t="s">
        <v>125</v>
      </c>
      <c r="H1166">
        <v>9009</v>
      </c>
      <c r="I1166" t="str">
        <f>IFERROR(_xlfn.XLOOKUP($A1166,'Base SKUs'!$E:$E,'Base SKUs'!A:A),"")</f>
        <v>Ayous</v>
      </c>
      <c r="J1166" t="str">
        <f>IFERROR(_xlfn.XLOOKUP($A1166,'Base SKUs'!$E:$E,'Base SKUs'!B:B),"")</f>
        <v>Ayous 1x6</v>
      </c>
      <c r="K1166" t="str">
        <f>IFERROR(_xlfn.XLOOKUP($A1166,'Base SKUs'!$E:$E,'Base SKUs'!C:C),"")</f>
        <v>Long</v>
      </c>
      <c r="L1166" t="str">
        <f>IFERROR(_xlfn.XLOOKUP($A1166,'Base SKUs'!$E:$E,'Base SKUs'!D:D),"")</f>
        <v>Thermowood</v>
      </c>
      <c r="M1166" t="str">
        <f>IFERROR(_xlfn.XLOOKUP($A1166,'Base SKUs'!$E:$E,'Base SKUs'!G:G),"")</f>
        <v>Maximo Thermo Ayous</v>
      </c>
      <c r="N1166" t="str">
        <f>IFERROR(_xlfn.XLOOKUP($A1166,'Base SKUs'!$E:$E,'Base SKUs'!H:H),"")</f>
        <v>VJoint - Square Back</v>
      </c>
      <c r="O1166" t="str">
        <f>IFERROR(_xlfn.XLOOKUP($A1166,'Base SKUs'!$E:$E,'Base SKUs'!I:I),"")</f>
        <v>-</v>
      </c>
      <c r="P1166" t="str">
        <f>IFERROR(_xlfn.XLOOKUP($A1166,'Base SKUs'!$E:$E,'Base SKUs'!J:J),"")</f>
        <v>1x6</v>
      </c>
      <c r="Q1166">
        <f>IFERROR(_xlfn.XLOOKUP($A1166,'Base SKUs'!$E:$E,'Base SKUs'!K:K),"")</f>
        <v>16</v>
      </c>
      <c r="R1166" s="7">
        <f>IFERROR(_xlfn.XLOOKUP($A1166,'Base SKUs'!$E:$E,'Base SKUs'!S:S),"")</f>
        <v>1.2768E-2</v>
      </c>
      <c r="S1166" s="8">
        <f t="shared" si="92"/>
        <v>0</v>
      </c>
      <c r="T1166" s="7">
        <f>IFERROR(_xlfn.XLOOKUP($A1166,'Base SKUs'!$E:$E,'Base SKUs'!R:R),"")</f>
        <v>1233.3979999999999</v>
      </c>
      <c r="U1166" s="15">
        <f t="shared" si="93"/>
        <v>0</v>
      </c>
      <c r="V1166" t="str">
        <f t="shared" si="94"/>
        <v>Boston</v>
      </c>
    </row>
    <row r="1167" spans="1:22" x14ac:dyDescent="0.2">
      <c r="A1167" t="s">
        <v>1567</v>
      </c>
      <c r="B1167" s="5">
        <v>19</v>
      </c>
      <c r="C1167" s="5">
        <v>16</v>
      </c>
      <c r="D1167" s="5">
        <f t="shared" si="90"/>
        <v>3</v>
      </c>
      <c r="E1167" s="6">
        <v>41.780299999999997</v>
      </c>
      <c r="F1167" s="6">
        <f t="shared" si="91"/>
        <v>793.82569999999998</v>
      </c>
      <c r="G1167" t="s">
        <v>17</v>
      </c>
      <c r="H1167">
        <v>9007</v>
      </c>
      <c r="I1167" t="str">
        <f>IFERROR(_xlfn.XLOOKUP($A1167,'Base SKUs'!$E:$E,'Base SKUs'!A:A),"")</f>
        <v>Ayous</v>
      </c>
      <c r="J1167" t="str">
        <f>IFERROR(_xlfn.XLOOKUP($A1167,'Base SKUs'!$E:$E,'Base SKUs'!B:B),"")</f>
        <v>Ayous 1x6</v>
      </c>
      <c r="K1167" t="str">
        <f>IFERROR(_xlfn.XLOOKUP($A1167,'Base SKUs'!$E:$E,'Base SKUs'!C:C),"")</f>
        <v>Long</v>
      </c>
      <c r="L1167" t="str">
        <f>IFERROR(_xlfn.XLOOKUP($A1167,'Base SKUs'!$E:$E,'Base SKUs'!D:D),"")</f>
        <v>Thermowood</v>
      </c>
      <c r="M1167" t="str">
        <f>IFERROR(_xlfn.XLOOKUP($A1167,'Base SKUs'!$E:$E,'Base SKUs'!G:G),"")</f>
        <v>Maximo Thermo Ayous</v>
      </c>
      <c r="N1167" t="str">
        <f>IFERROR(_xlfn.XLOOKUP($A1167,'Base SKUs'!$E:$E,'Base SKUs'!H:H),"")</f>
        <v>VJoint - Square Back</v>
      </c>
      <c r="O1167" t="str">
        <f>IFERROR(_xlfn.XLOOKUP($A1167,'Base SKUs'!$E:$E,'Base SKUs'!I:I),"")</f>
        <v>-</v>
      </c>
      <c r="P1167" t="str">
        <f>IFERROR(_xlfn.XLOOKUP($A1167,'Base SKUs'!$E:$E,'Base SKUs'!J:J),"")</f>
        <v>1x6</v>
      </c>
      <c r="Q1167">
        <f>IFERROR(_xlfn.XLOOKUP($A1167,'Base SKUs'!$E:$E,'Base SKUs'!K:K),"")</f>
        <v>17</v>
      </c>
      <c r="R1167" s="7">
        <f>IFERROR(_xlfn.XLOOKUP($A1167,'Base SKUs'!$E:$E,'Base SKUs'!S:S),"")</f>
        <v>1.3565999999999998E-2</v>
      </c>
      <c r="S1167" s="8">
        <f t="shared" si="92"/>
        <v>4.0697999999999998E-2</v>
      </c>
      <c r="T1167" s="7">
        <f>IFERROR(_xlfn.XLOOKUP($A1167,'Base SKUs'!$E:$E,'Base SKUs'!R:R),"")</f>
        <v>1233.3979999999999</v>
      </c>
      <c r="U1167" s="15">
        <f t="shared" si="93"/>
        <v>50</v>
      </c>
      <c r="V1167" t="str">
        <f t="shared" si="94"/>
        <v>Miami</v>
      </c>
    </row>
    <row r="1168" spans="1:22" x14ac:dyDescent="0.2">
      <c r="A1168" t="s">
        <v>1567</v>
      </c>
      <c r="B1168" s="5">
        <v>8</v>
      </c>
      <c r="C1168" s="5">
        <v>0</v>
      </c>
      <c r="D1168" s="5">
        <f t="shared" si="90"/>
        <v>8</v>
      </c>
      <c r="E1168" s="6">
        <v>32.055199999999999</v>
      </c>
      <c r="F1168" s="6">
        <f t="shared" si="91"/>
        <v>256.44159999999999</v>
      </c>
      <c r="G1168" t="s">
        <v>24</v>
      </c>
      <c r="H1168">
        <v>9008</v>
      </c>
      <c r="I1168" t="str">
        <f>IFERROR(_xlfn.XLOOKUP($A1168,'Base SKUs'!$E:$E,'Base SKUs'!A:A),"")</f>
        <v>Ayous</v>
      </c>
      <c r="J1168" t="str">
        <f>IFERROR(_xlfn.XLOOKUP($A1168,'Base SKUs'!$E:$E,'Base SKUs'!B:B),"")</f>
        <v>Ayous 1x6</v>
      </c>
      <c r="K1168" t="str">
        <f>IFERROR(_xlfn.XLOOKUP($A1168,'Base SKUs'!$E:$E,'Base SKUs'!C:C),"")</f>
        <v>Long</v>
      </c>
      <c r="L1168" t="str">
        <f>IFERROR(_xlfn.XLOOKUP($A1168,'Base SKUs'!$E:$E,'Base SKUs'!D:D),"")</f>
        <v>Thermowood</v>
      </c>
      <c r="M1168" t="str">
        <f>IFERROR(_xlfn.XLOOKUP($A1168,'Base SKUs'!$E:$E,'Base SKUs'!G:G),"")</f>
        <v>Maximo Thermo Ayous</v>
      </c>
      <c r="N1168" t="str">
        <f>IFERROR(_xlfn.XLOOKUP($A1168,'Base SKUs'!$E:$E,'Base SKUs'!H:H),"")</f>
        <v>VJoint - Square Back</v>
      </c>
      <c r="O1168" t="str">
        <f>IFERROR(_xlfn.XLOOKUP($A1168,'Base SKUs'!$E:$E,'Base SKUs'!I:I),"")</f>
        <v>-</v>
      </c>
      <c r="P1168" t="str">
        <f>IFERROR(_xlfn.XLOOKUP($A1168,'Base SKUs'!$E:$E,'Base SKUs'!J:J),"")</f>
        <v>1x6</v>
      </c>
      <c r="Q1168">
        <f>IFERROR(_xlfn.XLOOKUP($A1168,'Base SKUs'!$E:$E,'Base SKUs'!K:K),"")</f>
        <v>17</v>
      </c>
      <c r="R1168" s="7">
        <f>IFERROR(_xlfn.XLOOKUP($A1168,'Base SKUs'!$E:$E,'Base SKUs'!S:S),"")</f>
        <v>1.3565999999999998E-2</v>
      </c>
      <c r="S1168" s="8">
        <f t="shared" si="92"/>
        <v>0.10852799999999999</v>
      </c>
      <c r="T1168" s="7">
        <f>IFERROR(_xlfn.XLOOKUP($A1168,'Base SKUs'!$E:$E,'Base SKUs'!R:R),"")</f>
        <v>1233.3979999999999</v>
      </c>
      <c r="U1168" s="15">
        <f t="shared" si="93"/>
        <v>134</v>
      </c>
      <c r="V1168" t="str">
        <f t="shared" si="94"/>
        <v>Texas</v>
      </c>
    </row>
    <row r="1169" spans="1:22" x14ac:dyDescent="0.2">
      <c r="A1169" t="s">
        <v>1567</v>
      </c>
      <c r="B1169" s="5">
        <v>196</v>
      </c>
      <c r="C1169" s="5">
        <v>196</v>
      </c>
      <c r="D1169" s="5">
        <f t="shared" si="90"/>
        <v>0</v>
      </c>
      <c r="E1169" s="6">
        <v>32.055199999999999</v>
      </c>
      <c r="F1169" s="6">
        <f t="shared" si="91"/>
        <v>6282.8191999999999</v>
      </c>
      <c r="G1169" t="s">
        <v>125</v>
      </c>
      <c r="H1169">
        <v>9009</v>
      </c>
      <c r="I1169" t="str">
        <f>IFERROR(_xlfn.XLOOKUP($A1169,'Base SKUs'!$E:$E,'Base SKUs'!A:A),"")</f>
        <v>Ayous</v>
      </c>
      <c r="J1169" t="str">
        <f>IFERROR(_xlfn.XLOOKUP($A1169,'Base SKUs'!$E:$E,'Base SKUs'!B:B),"")</f>
        <v>Ayous 1x6</v>
      </c>
      <c r="K1169" t="str">
        <f>IFERROR(_xlfn.XLOOKUP($A1169,'Base SKUs'!$E:$E,'Base SKUs'!C:C),"")</f>
        <v>Long</v>
      </c>
      <c r="L1169" t="str">
        <f>IFERROR(_xlfn.XLOOKUP($A1169,'Base SKUs'!$E:$E,'Base SKUs'!D:D),"")</f>
        <v>Thermowood</v>
      </c>
      <c r="M1169" t="str">
        <f>IFERROR(_xlfn.XLOOKUP($A1169,'Base SKUs'!$E:$E,'Base SKUs'!G:G),"")</f>
        <v>Maximo Thermo Ayous</v>
      </c>
      <c r="N1169" t="str">
        <f>IFERROR(_xlfn.XLOOKUP($A1169,'Base SKUs'!$E:$E,'Base SKUs'!H:H),"")</f>
        <v>VJoint - Square Back</v>
      </c>
      <c r="O1169" t="str">
        <f>IFERROR(_xlfn.XLOOKUP($A1169,'Base SKUs'!$E:$E,'Base SKUs'!I:I),"")</f>
        <v>-</v>
      </c>
      <c r="P1169" t="str">
        <f>IFERROR(_xlfn.XLOOKUP($A1169,'Base SKUs'!$E:$E,'Base SKUs'!J:J),"")</f>
        <v>1x6</v>
      </c>
      <c r="Q1169">
        <f>IFERROR(_xlfn.XLOOKUP($A1169,'Base SKUs'!$E:$E,'Base SKUs'!K:K),"")</f>
        <v>17</v>
      </c>
      <c r="R1169" s="7">
        <f>IFERROR(_xlfn.XLOOKUP($A1169,'Base SKUs'!$E:$E,'Base SKUs'!S:S),"")</f>
        <v>1.3565999999999998E-2</v>
      </c>
      <c r="S1169" s="8">
        <f t="shared" si="92"/>
        <v>0</v>
      </c>
      <c r="T1169" s="7">
        <f>IFERROR(_xlfn.XLOOKUP($A1169,'Base SKUs'!$E:$E,'Base SKUs'!R:R),"")</f>
        <v>1233.3979999999999</v>
      </c>
      <c r="U1169" s="15">
        <f t="shared" si="93"/>
        <v>0</v>
      </c>
      <c r="V1169" t="str">
        <f t="shared" si="94"/>
        <v>Boston</v>
      </c>
    </row>
    <row r="1170" spans="1:22" x14ac:dyDescent="0.2">
      <c r="A1170" t="s">
        <v>1569</v>
      </c>
      <c r="B1170" s="5">
        <v>7</v>
      </c>
      <c r="C1170" s="5">
        <v>0</v>
      </c>
      <c r="D1170" s="5">
        <f t="shared" si="90"/>
        <v>7</v>
      </c>
      <c r="E1170" s="6">
        <v>44.1571</v>
      </c>
      <c r="F1170" s="6">
        <f t="shared" si="91"/>
        <v>309.09969999999998</v>
      </c>
      <c r="G1170" t="s">
        <v>17</v>
      </c>
      <c r="H1170">
        <v>9007</v>
      </c>
      <c r="I1170" t="str">
        <f>IFERROR(_xlfn.XLOOKUP($A1170,'Base SKUs'!$E:$E,'Base SKUs'!A:A),"")</f>
        <v>Ayous</v>
      </c>
      <c r="J1170" t="str">
        <f>IFERROR(_xlfn.XLOOKUP($A1170,'Base SKUs'!$E:$E,'Base SKUs'!B:B),"")</f>
        <v>Ayous 1x6</v>
      </c>
      <c r="K1170" t="str">
        <f>IFERROR(_xlfn.XLOOKUP($A1170,'Base SKUs'!$E:$E,'Base SKUs'!C:C),"")</f>
        <v>Long</v>
      </c>
      <c r="L1170" t="str">
        <f>IFERROR(_xlfn.XLOOKUP($A1170,'Base SKUs'!$E:$E,'Base SKUs'!D:D),"")</f>
        <v>Thermowood</v>
      </c>
      <c r="M1170" t="str">
        <f>IFERROR(_xlfn.XLOOKUP($A1170,'Base SKUs'!$E:$E,'Base SKUs'!G:G),"")</f>
        <v>Maximo Thermo Ayous</v>
      </c>
      <c r="N1170" t="str">
        <f>IFERROR(_xlfn.XLOOKUP($A1170,'Base SKUs'!$E:$E,'Base SKUs'!H:H),"")</f>
        <v>VJoint - Square Back</v>
      </c>
      <c r="O1170" t="str">
        <f>IFERROR(_xlfn.XLOOKUP($A1170,'Base SKUs'!$E:$E,'Base SKUs'!I:I),"")</f>
        <v>-</v>
      </c>
      <c r="P1170" t="str">
        <f>IFERROR(_xlfn.XLOOKUP($A1170,'Base SKUs'!$E:$E,'Base SKUs'!J:J),"")</f>
        <v>1x6</v>
      </c>
      <c r="Q1170">
        <f>IFERROR(_xlfn.XLOOKUP($A1170,'Base SKUs'!$E:$E,'Base SKUs'!K:K),"")</f>
        <v>18</v>
      </c>
      <c r="R1170" s="7">
        <f>IFERROR(_xlfn.XLOOKUP($A1170,'Base SKUs'!$E:$E,'Base SKUs'!S:S),"")</f>
        <v>1.4364E-2</v>
      </c>
      <c r="S1170" s="8">
        <f t="shared" si="92"/>
        <v>0.100548</v>
      </c>
      <c r="T1170" s="7">
        <f>IFERROR(_xlfn.XLOOKUP($A1170,'Base SKUs'!$E:$E,'Base SKUs'!R:R),"")</f>
        <v>1233.3979999999999</v>
      </c>
      <c r="U1170" s="15">
        <f t="shared" si="93"/>
        <v>124</v>
      </c>
      <c r="V1170" t="str">
        <f t="shared" si="94"/>
        <v>Miami</v>
      </c>
    </row>
    <row r="1171" spans="1:22" x14ac:dyDescent="0.2">
      <c r="A1171" t="s">
        <v>1571</v>
      </c>
      <c r="B1171" s="5">
        <v>31</v>
      </c>
      <c r="C1171" s="5">
        <v>21</v>
      </c>
      <c r="D1171" s="5">
        <f t="shared" si="90"/>
        <v>10</v>
      </c>
      <c r="E1171" s="6">
        <v>8.0153999999999996</v>
      </c>
      <c r="F1171" s="6">
        <f t="shared" si="91"/>
        <v>248.47739999999999</v>
      </c>
      <c r="G1171" t="s">
        <v>17</v>
      </c>
      <c r="H1171">
        <v>9007</v>
      </c>
      <c r="I1171" t="str">
        <f>IFERROR(_xlfn.XLOOKUP($A1171,'Base SKUs'!$E:$E,'Base SKUs'!A:A),"")</f>
        <v>Ayous</v>
      </c>
      <c r="J1171" t="str">
        <f>IFERROR(_xlfn.XLOOKUP($A1171,'Base SKUs'!$E:$E,'Base SKUs'!B:B),"")</f>
        <v>Ayous 1x6</v>
      </c>
      <c r="K1171" t="str">
        <f>IFERROR(_xlfn.XLOOKUP($A1171,'Base SKUs'!$E:$E,'Base SKUs'!C:C),"")</f>
        <v>Short</v>
      </c>
      <c r="L1171" t="str">
        <f>IFERROR(_xlfn.XLOOKUP($A1171,'Base SKUs'!$E:$E,'Base SKUs'!D:D),"")</f>
        <v>Thermowood</v>
      </c>
      <c r="M1171" t="str">
        <f>IFERROR(_xlfn.XLOOKUP($A1171,'Base SKUs'!$E:$E,'Base SKUs'!G:G),"")</f>
        <v>Maximo Thermo Ayous</v>
      </c>
      <c r="N1171" t="str">
        <f>IFERROR(_xlfn.XLOOKUP($A1171,'Base SKUs'!$E:$E,'Base SKUs'!H:H),"")</f>
        <v>VJoint - Square Back</v>
      </c>
      <c r="O1171" t="str">
        <f>IFERROR(_xlfn.XLOOKUP($A1171,'Base SKUs'!$E:$E,'Base SKUs'!I:I),"")</f>
        <v>-</v>
      </c>
      <c r="P1171" t="str">
        <f>IFERROR(_xlfn.XLOOKUP($A1171,'Base SKUs'!$E:$E,'Base SKUs'!J:J),"")</f>
        <v>1x6</v>
      </c>
      <c r="Q1171">
        <f>IFERROR(_xlfn.XLOOKUP($A1171,'Base SKUs'!$E:$E,'Base SKUs'!K:K),"")</f>
        <v>4</v>
      </c>
      <c r="R1171" s="7">
        <f>IFERROR(_xlfn.XLOOKUP($A1171,'Base SKUs'!$E:$E,'Base SKUs'!S:S),"")</f>
        <v>3.192E-3</v>
      </c>
      <c r="S1171" s="8">
        <f t="shared" si="92"/>
        <v>3.1919999999999997E-2</v>
      </c>
      <c r="T1171" s="7">
        <f>IFERROR(_xlfn.XLOOKUP($A1171,'Base SKUs'!$E:$E,'Base SKUs'!R:R),"")</f>
        <v>1233.3979999999999</v>
      </c>
      <c r="U1171" s="15">
        <f t="shared" si="93"/>
        <v>39</v>
      </c>
      <c r="V1171" t="str">
        <f t="shared" si="94"/>
        <v>Miami</v>
      </c>
    </row>
    <row r="1172" spans="1:22" x14ac:dyDescent="0.2">
      <c r="A1172" t="s">
        <v>1573</v>
      </c>
      <c r="B1172" s="5">
        <v>365</v>
      </c>
      <c r="C1172" s="5">
        <v>351</v>
      </c>
      <c r="D1172" s="5">
        <f t="shared" si="90"/>
        <v>14</v>
      </c>
      <c r="E1172" s="6">
        <v>11.557499999999999</v>
      </c>
      <c r="F1172" s="6">
        <f t="shared" si="91"/>
        <v>4218.4874999999993</v>
      </c>
      <c r="G1172" t="s">
        <v>17</v>
      </c>
      <c r="H1172">
        <v>9007</v>
      </c>
      <c r="I1172" t="str">
        <f>IFERROR(_xlfn.XLOOKUP($A1172,'Base SKUs'!$E:$E,'Base SKUs'!A:A),"")</f>
        <v>Ayous</v>
      </c>
      <c r="J1172" t="str">
        <f>IFERROR(_xlfn.XLOOKUP($A1172,'Base SKUs'!$E:$E,'Base SKUs'!B:B),"")</f>
        <v>Ayous 1x6</v>
      </c>
      <c r="K1172" t="str">
        <f>IFERROR(_xlfn.XLOOKUP($A1172,'Base SKUs'!$E:$E,'Base SKUs'!C:C),"")</f>
        <v>Short</v>
      </c>
      <c r="L1172" t="str">
        <f>IFERROR(_xlfn.XLOOKUP($A1172,'Base SKUs'!$E:$E,'Base SKUs'!D:D),"")</f>
        <v>Thermowood</v>
      </c>
      <c r="M1172" t="str">
        <f>IFERROR(_xlfn.XLOOKUP($A1172,'Base SKUs'!$E:$E,'Base SKUs'!G:G),"")</f>
        <v>Maximo Thermo Ayous</v>
      </c>
      <c r="N1172" t="str">
        <f>IFERROR(_xlfn.XLOOKUP($A1172,'Base SKUs'!$E:$E,'Base SKUs'!H:H),"")</f>
        <v>VJoint - Square Back</v>
      </c>
      <c r="O1172" t="str">
        <f>IFERROR(_xlfn.XLOOKUP($A1172,'Base SKUs'!$E:$E,'Base SKUs'!I:I),"")</f>
        <v>-</v>
      </c>
      <c r="P1172" t="str">
        <f>IFERROR(_xlfn.XLOOKUP($A1172,'Base SKUs'!$E:$E,'Base SKUs'!J:J),"")</f>
        <v>1x6</v>
      </c>
      <c r="Q1172">
        <f>IFERROR(_xlfn.XLOOKUP($A1172,'Base SKUs'!$E:$E,'Base SKUs'!K:K),"")</f>
        <v>6</v>
      </c>
      <c r="R1172" s="7">
        <f>IFERROR(_xlfn.XLOOKUP($A1172,'Base SKUs'!$E:$E,'Base SKUs'!S:S),"")</f>
        <v>4.7880000000000006E-3</v>
      </c>
      <c r="S1172" s="8">
        <f t="shared" si="92"/>
        <v>6.7032000000000008E-2</v>
      </c>
      <c r="T1172" s="7">
        <f>IFERROR(_xlfn.XLOOKUP($A1172,'Base SKUs'!$E:$E,'Base SKUs'!R:R),"")</f>
        <v>1233.3979999999999</v>
      </c>
      <c r="U1172" s="15">
        <f t="shared" si="93"/>
        <v>83</v>
      </c>
      <c r="V1172" t="str">
        <f t="shared" si="94"/>
        <v>Miami</v>
      </c>
    </row>
    <row r="1173" spans="1:22" x14ac:dyDescent="0.2">
      <c r="A1173" t="s">
        <v>1573</v>
      </c>
      <c r="B1173" s="5">
        <v>6</v>
      </c>
      <c r="C1173" s="5">
        <v>0</v>
      </c>
      <c r="D1173" s="5">
        <f t="shared" si="90"/>
        <v>6</v>
      </c>
      <c r="E1173" s="6">
        <v>11.5191</v>
      </c>
      <c r="F1173" s="6">
        <f t="shared" si="91"/>
        <v>69.114599999999996</v>
      </c>
      <c r="G1173" t="s">
        <v>24</v>
      </c>
      <c r="H1173">
        <v>9008</v>
      </c>
      <c r="I1173" t="str">
        <f>IFERROR(_xlfn.XLOOKUP($A1173,'Base SKUs'!$E:$E,'Base SKUs'!A:A),"")</f>
        <v>Ayous</v>
      </c>
      <c r="J1173" t="str">
        <f>IFERROR(_xlfn.XLOOKUP($A1173,'Base SKUs'!$E:$E,'Base SKUs'!B:B),"")</f>
        <v>Ayous 1x6</v>
      </c>
      <c r="K1173" t="str">
        <f>IFERROR(_xlfn.XLOOKUP($A1173,'Base SKUs'!$E:$E,'Base SKUs'!C:C),"")</f>
        <v>Short</v>
      </c>
      <c r="L1173" t="str">
        <f>IFERROR(_xlfn.XLOOKUP($A1173,'Base SKUs'!$E:$E,'Base SKUs'!D:D),"")</f>
        <v>Thermowood</v>
      </c>
      <c r="M1173" t="str">
        <f>IFERROR(_xlfn.XLOOKUP($A1173,'Base SKUs'!$E:$E,'Base SKUs'!G:G),"")</f>
        <v>Maximo Thermo Ayous</v>
      </c>
      <c r="N1173" t="str">
        <f>IFERROR(_xlfn.XLOOKUP($A1173,'Base SKUs'!$E:$E,'Base SKUs'!H:H),"")</f>
        <v>VJoint - Square Back</v>
      </c>
      <c r="O1173" t="str">
        <f>IFERROR(_xlfn.XLOOKUP($A1173,'Base SKUs'!$E:$E,'Base SKUs'!I:I),"")</f>
        <v>-</v>
      </c>
      <c r="P1173" t="str">
        <f>IFERROR(_xlfn.XLOOKUP($A1173,'Base SKUs'!$E:$E,'Base SKUs'!J:J),"")</f>
        <v>1x6</v>
      </c>
      <c r="Q1173">
        <f>IFERROR(_xlfn.XLOOKUP($A1173,'Base SKUs'!$E:$E,'Base SKUs'!K:K),"")</f>
        <v>6</v>
      </c>
      <c r="R1173" s="7">
        <f>IFERROR(_xlfn.XLOOKUP($A1173,'Base SKUs'!$E:$E,'Base SKUs'!S:S),"")</f>
        <v>4.7880000000000006E-3</v>
      </c>
      <c r="S1173" s="8">
        <f t="shared" si="92"/>
        <v>2.8728000000000004E-2</v>
      </c>
      <c r="T1173" s="7">
        <f>IFERROR(_xlfn.XLOOKUP($A1173,'Base SKUs'!$E:$E,'Base SKUs'!R:R),"")</f>
        <v>1233.3979999999999</v>
      </c>
      <c r="U1173" s="15">
        <f t="shared" si="93"/>
        <v>35</v>
      </c>
      <c r="V1173" t="str">
        <f t="shared" si="94"/>
        <v>Texas</v>
      </c>
    </row>
    <row r="1174" spans="1:22" x14ac:dyDescent="0.2">
      <c r="A1174" t="s">
        <v>1573</v>
      </c>
      <c r="B1174" s="5">
        <v>1459</v>
      </c>
      <c r="C1174" s="5">
        <v>1431</v>
      </c>
      <c r="D1174" s="5">
        <f t="shared" si="90"/>
        <v>28</v>
      </c>
      <c r="E1174" s="6">
        <v>11.313599999999999</v>
      </c>
      <c r="F1174" s="6">
        <f t="shared" si="91"/>
        <v>16506.542399999998</v>
      </c>
      <c r="G1174" t="s">
        <v>125</v>
      </c>
      <c r="H1174">
        <v>9009</v>
      </c>
      <c r="I1174" t="str">
        <f>IFERROR(_xlfn.XLOOKUP($A1174,'Base SKUs'!$E:$E,'Base SKUs'!A:A),"")</f>
        <v>Ayous</v>
      </c>
      <c r="J1174" t="str">
        <f>IFERROR(_xlfn.XLOOKUP($A1174,'Base SKUs'!$E:$E,'Base SKUs'!B:B),"")</f>
        <v>Ayous 1x6</v>
      </c>
      <c r="K1174" t="str">
        <f>IFERROR(_xlfn.XLOOKUP($A1174,'Base SKUs'!$E:$E,'Base SKUs'!C:C),"")</f>
        <v>Short</v>
      </c>
      <c r="L1174" t="str">
        <f>IFERROR(_xlfn.XLOOKUP($A1174,'Base SKUs'!$E:$E,'Base SKUs'!D:D),"")</f>
        <v>Thermowood</v>
      </c>
      <c r="M1174" t="str">
        <f>IFERROR(_xlfn.XLOOKUP($A1174,'Base SKUs'!$E:$E,'Base SKUs'!G:G),"")</f>
        <v>Maximo Thermo Ayous</v>
      </c>
      <c r="N1174" t="str">
        <f>IFERROR(_xlfn.XLOOKUP($A1174,'Base SKUs'!$E:$E,'Base SKUs'!H:H),"")</f>
        <v>VJoint - Square Back</v>
      </c>
      <c r="O1174" t="str">
        <f>IFERROR(_xlfn.XLOOKUP($A1174,'Base SKUs'!$E:$E,'Base SKUs'!I:I),"")</f>
        <v>-</v>
      </c>
      <c r="P1174" t="str">
        <f>IFERROR(_xlfn.XLOOKUP($A1174,'Base SKUs'!$E:$E,'Base SKUs'!J:J),"")</f>
        <v>1x6</v>
      </c>
      <c r="Q1174">
        <f>IFERROR(_xlfn.XLOOKUP($A1174,'Base SKUs'!$E:$E,'Base SKUs'!K:K),"")</f>
        <v>6</v>
      </c>
      <c r="R1174" s="7">
        <f>IFERROR(_xlfn.XLOOKUP($A1174,'Base SKUs'!$E:$E,'Base SKUs'!S:S),"")</f>
        <v>4.7880000000000006E-3</v>
      </c>
      <c r="S1174" s="8">
        <f t="shared" si="92"/>
        <v>0.13406400000000002</v>
      </c>
      <c r="T1174" s="7">
        <f>IFERROR(_xlfn.XLOOKUP($A1174,'Base SKUs'!$E:$E,'Base SKUs'!R:R),"")</f>
        <v>1233.3979999999999</v>
      </c>
      <c r="U1174" s="15">
        <f t="shared" si="93"/>
        <v>165</v>
      </c>
      <c r="V1174" t="str">
        <f t="shared" si="94"/>
        <v>Boston</v>
      </c>
    </row>
    <row r="1175" spans="1:22" x14ac:dyDescent="0.2">
      <c r="A1175" t="s">
        <v>1575</v>
      </c>
      <c r="B1175" s="5">
        <v>10</v>
      </c>
      <c r="C1175" s="5">
        <v>10</v>
      </c>
      <c r="D1175" s="5">
        <f t="shared" si="90"/>
        <v>0</v>
      </c>
      <c r="E1175" s="6">
        <v>13.8371</v>
      </c>
      <c r="F1175" s="6">
        <f t="shared" si="91"/>
        <v>138.37099999999998</v>
      </c>
      <c r="G1175" t="s">
        <v>17</v>
      </c>
      <c r="H1175">
        <v>9007</v>
      </c>
      <c r="I1175" t="str">
        <f>IFERROR(_xlfn.XLOOKUP($A1175,'Base SKUs'!$E:$E,'Base SKUs'!A:A),"")</f>
        <v>Ayous</v>
      </c>
      <c r="J1175" t="str">
        <f>IFERROR(_xlfn.XLOOKUP($A1175,'Base SKUs'!$E:$E,'Base SKUs'!B:B),"")</f>
        <v>Ayous 1x6</v>
      </c>
      <c r="K1175" t="str">
        <f>IFERROR(_xlfn.XLOOKUP($A1175,'Base SKUs'!$E:$E,'Base SKUs'!C:C),"")</f>
        <v>Short</v>
      </c>
      <c r="L1175" t="str">
        <f>IFERROR(_xlfn.XLOOKUP($A1175,'Base SKUs'!$E:$E,'Base SKUs'!D:D),"")</f>
        <v>Thermowood</v>
      </c>
      <c r="M1175" t="str">
        <f>IFERROR(_xlfn.XLOOKUP($A1175,'Base SKUs'!$E:$E,'Base SKUs'!G:G),"")</f>
        <v>Maximo Thermo Ayous</v>
      </c>
      <c r="N1175" t="str">
        <f>IFERROR(_xlfn.XLOOKUP($A1175,'Base SKUs'!$E:$E,'Base SKUs'!H:H),"")</f>
        <v>VJoint - Square Back</v>
      </c>
      <c r="O1175" t="str">
        <f>IFERROR(_xlfn.XLOOKUP($A1175,'Base SKUs'!$E:$E,'Base SKUs'!I:I),"")</f>
        <v>-</v>
      </c>
      <c r="P1175" t="str">
        <f>IFERROR(_xlfn.XLOOKUP($A1175,'Base SKUs'!$E:$E,'Base SKUs'!J:J),"")</f>
        <v>1x6</v>
      </c>
      <c r="Q1175">
        <f>IFERROR(_xlfn.XLOOKUP($A1175,'Base SKUs'!$E:$E,'Base SKUs'!K:K),"")</f>
        <v>7</v>
      </c>
      <c r="R1175" s="7">
        <f>IFERROR(_xlfn.XLOOKUP($A1175,'Base SKUs'!$E:$E,'Base SKUs'!S:S),"")</f>
        <v>5.5859999999999998E-3</v>
      </c>
      <c r="S1175" s="8">
        <f t="shared" si="92"/>
        <v>0</v>
      </c>
      <c r="T1175" s="7">
        <f>IFERROR(_xlfn.XLOOKUP($A1175,'Base SKUs'!$E:$E,'Base SKUs'!R:R),"")</f>
        <v>1233.3979999999999</v>
      </c>
      <c r="U1175" s="15">
        <f t="shared" si="93"/>
        <v>0</v>
      </c>
      <c r="V1175" t="str">
        <f t="shared" si="94"/>
        <v>Miami</v>
      </c>
    </row>
    <row r="1176" spans="1:22" x14ac:dyDescent="0.2">
      <c r="A1176" t="s">
        <v>1575</v>
      </c>
      <c r="B1176" s="5">
        <v>1847</v>
      </c>
      <c r="C1176" s="5">
        <v>0</v>
      </c>
      <c r="D1176" s="5">
        <f t="shared" si="90"/>
        <v>1847</v>
      </c>
      <c r="E1176" s="6">
        <v>13.199199999999999</v>
      </c>
      <c r="F1176" s="6">
        <f t="shared" si="91"/>
        <v>24378.922399999999</v>
      </c>
      <c r="G1176" t="s">
        <v>125</v>
      </c>
      <c r="H1176">
        <v>9009</v>
      </c>
      <c r="I1176" t="str">
        <f>IFERROR(_xlfn.XLOOKUP($A1176,'Base SKUs'!$E:$E,'Base SKUs'!A:A),"")</f>
        <v>Ayous</v>
      </c>
      <c r="J1176" t="str">
        <f>IFERROR(_xlfn.XLOOKUP($A1176,'Base SKUs'!$E:$E,'Base SKUs'!B:B),"")</f>
        <v>Ayous 1x6</v>
      </c>
      <c r="K1176" t="str">
        <f>IFERROR(_xlfn.XLOOKUP($A1176,'Base SKUs'!$E:$E,'Base SKUs'!C:C),"")</f>
        <v>Short</v>
      </c>
      <c r="L1176" t="str">
        <f>IFERROR(_xlfn.XLOOKUP($A1176,'Base SKUs'!$E:$E,'Base SKUs'!D:D),"")</f>
        <v>Thermowood</v>
      </c>
      <c r="M1176" t="str">
        <f>IFERROR(_xlfn.XLOOKUP($A1176,'Base SKUs'!$E:$E,'Base SKUs'!G:G),"")</f>
        <v>Maximo Thermo Ayous</v>
      </c>
      <c r="N1176" t="str">
        <f>IFERROR(_xlfn.XLOOKUP($A1176,'Base SKUs'!$E:$E,'Base SKUs'!H:H),"")</f>
        <v>VJoint - Square Back</v>
      </c>
      <c r="O1176" t="str">
        <f>IFERROR(_xlfn.XLOOKUP($A1176,'Base SKUs'!$E:$E,'Base SKUs'!I:I),"")</f>
        <v>-</v>
      </c>
      <c r="P1176" t="str">
        <f>IFERROR(_xlfn.XLOOKUP($A1176,'Base SKUs'!$E:$E,'Base SKUs'!J:J),"")</f>
        <v>1x6</v>
      </c>
      <c r="Q1176">
        <f>IFERROR(_xlfn.XLOOKUP($A1176,'Base SKUs'!$E:$E,'Base SKUs'!K:K),"")</f>
        <v>7</v>
      </c>
      <c r="R1176" s="7">
        <f>IFERROR(_xlfn.XLOOKUP($A1176,'Base SKUs'!$E:$E,'Base SKUs'!S:S),"")</f>
        <v>5.5859999999999998E-3</v>
      </c>
      <c r="S1176" s="8">
        <f t="shared" si="92"/>
        <v>10.317342</v>
      </c>
      <c r="T1176" s="7">
        <f>IFERROR(_xlfn.XLOOKUP($A1176,'Base SKUs'!$E:$E,'Base SKUs'!R:R),"")</f>
        <v>1233.3979999999999</v>
      </c>
      <c r="U1176" s="15">
        <f t="shared" si="93"/>
        <v>12725</v>
      </c>
      <c r="V1176" t="str">
        <f t="shared" si="94"/>
        <v>Boston</v>
      </c>
    </row>
    <row r="1177" spans="1:22" x14ac:dyDescent="0.2">
      <c r="A1177" t="s">
        <v>1577</v>
      </c>
      <c r="B1177" s="5">
        <v>157</v>
      </c>
      <c r="C1177" s="5">
        <v>151</v>
      </c>
      <c r="D1177" s="5">
        <f t="shared" si="90"/>
        <v>6</v>
      </c>
      <c r="E1177" s="6">
        <v>17.480399999999999</v>
      </c>
      <c r="F1177" s="6">
        <f t="shared" si="91"/>
        <v>2744.4227999999998</v>
      </c>
      <c r="G1177" t="s">
        <v>17</v>
      </c>
      <c r="H1177">
        <v>9007</v>
      </c>
      <c r="I1177" t="str">
        <f>IFERROR(_xlfn.XLOOKUP($A1177,'Base SKUs'!$E:$E,'Base SKUs'!A:A),"")</f>
        <v>Ayous</v>
      </c>
      <c r="J1177" t="str">
        <f>IFERROR(_xlfn.XLOOKUP($A1177,'Base SKUs'!$E:$E,'Base SKUs'!B:B),"")</f>
        <v>Ayous 1x6</v>
      </c>
      <c r="K1177" t="str">
        <f>IFERROR(_xlfn.XLOOKUP($A1177,'Base SKUs'!$E:$E,'Base SKUs'!C:C),"")</f>
        <v>Long</v>
      </c>
      <c r="L1177" t="str">
        <f>IFERROR(_xlfn.XLOOKUP($A1177,'Base SKUs'!$E:$E,'Base SKUs'!D:D),"")</f>
        <v>Thermowood</v>
      </c>
      <c r="M1177" t="str">
        <f>IFERROR(_xlfn.XLOOKUP($A1177,'Base SKUs'!$E:$E,'Base SKUs'!G:G),"")</f>
        <v>Maximo Thermo Ayous</v>
      </c>
      <c r="N1177" t="str">
        <f>IFERROR(_xlfn.XLOOKUP($A1177,'Base SKUs'!$E:$E,'Base SKUs'!H:H),"")</f>
        <v>VJoint - Square Back</v>
      </c>
      <c r="O1177" t="str">
        <f>IFERROR(_xlfn.XLOOKUP($A1177,'Base SKUs'!$E:$E,'Base SKUs'!I:I),"")</f>
        <v>-</v>
      </c>
      <c r="P1177" t="str">
        <f>IFERROR(_xlfn.XLOOKUP($A1177,'Base SKUs'!$E:$E,'Base SKUs'!J:J),"")</f>
        <v>1x6</v>
      </c>
      <c r="Q1177">
        <f>IFERROR(_xlfn.XLOOKUP($A1177,'Base SKUs'!$E:$E,'Base SKUs'!K:K),"")</f>
        <v>8</v>
      </c>
      <c r="R1177" s="7">
        <f>IFERROR(_xlfn.XLOOKUP($A1177,'Base SKUs'!$E:$E,'Base SKUs'!S:S),"")</f>
        <v>6.3839999999999999E-3</v>
      </c>
      <c r="S1177" s="8">
        <f t="shared" si="92"/>
        <v>3.8303999999999998E-2</v>
      </c>
      <c r="T1177" s="7">
        <f>IFERROR(_xlfn.XLOOKUP($A1177,'Base SKUs'!$E:$E,'Base SKUs'!R:R),"")</f>
        <v>1233.3979999999999</v>
      </c>
      <c r="U1177" s="15">
        <f t="shared" si="93"/>
        <v>47</v>
      </c>
      <c r="V1177" t="str">
        <f t="shared" si="94"/>
        <v>Miami</v>
      </c>
    </row>
    <row r="1178" spans="1:22" x14ac:dyDescent="0.2">
      <c r="A1178" t="s">
        <v>1577</v>
      </c>
      <c r="B1178" s="5">
        <v>5</v>
      </c>
      <c r="C1178" s="5">
        <v>0</v>
      </c>
      <c r="D1178" s="5">
        <f t="shared" si="90"/>
        <v>5</v>
      </c>
      <c r="E1178" s="6">
        <v>15.0848</v>
      </c>
      <c r="F1178" s="6">
        <f t="shared" si="91"/>
        <v>75.423999999999992</v>
      </c>
      <c r="G1178" t="s">
        <v>24</v>
      </c>
      <c r="H1178">
        <v>9008</v>
      </c>
      <c r="I1178" t="str">
        <f>IFERROR(_xlfn.XLOOKUP($A1178,'Base SKUs'!$E:$E,'Base SKUs'!A:A),"")</f>
        <v>Ayous</v>
      </c>
      <c r="J1178" t="str">
        <f>IFERROR(_xlfn.XLOOKUP($A1178,'Base SKUs'!$E:$E,'Base SKUs'!B:B),"")</f>
        <v>Ayous 1x6</v>
      </c>
      <c r="K1178" t="str">
        <f>IFERROR(_xlfn.XLOOKUP($A1178,'Base SKUs'!$E:$E,'Base SKUs'!C:C),"")</f>
        <v>Long</v>
      </c>
      <c r="L1178" t="str">
        <f>IFERROR(_xlfn.XLOOKUP($A1178,'Base SKUs'!$E:$E,'Base SKUs'!D:D),"")</f>
        <v>Thermowood</v>
      </c>
      <c r="M1178" t="str">
        <f>IFERROR(_xlfn.XLOOKUP($A1178,'Base SKUs'!$E:$E,'Base SKUs'!G:G),"")</f>
        <v>Maximo Thermo Ayous</v>
      </c>
      <c r="N1178" t="str">
        <f>IFERROR(_xlfn.XLOOKUP($A1178,'Base SKUs'!$E:$E,'Base SKUs'!H:H),"")</f>
        <v>VJoint - Square Back</v>
      </c>
      <c r="O1178" t="str">
        <f>IFERROR(_xlfn.XLOOKUP($A1178,'Base SKUs'!$E:$E,'Base SKUs'!I:I),"")</f>
        <v>-</v>
      </c>
      <c r="P1178" t="str">
        <f>IFERROR(_xlfn.XLOOKUP($A1178,'Base SKUs'!$E:$E,'Base SKUs'!J:J),"")</f>
        <v>1x6</v>
      </c>
      <c r="Q1178">
        <f>IFERROR(_xlfn.XLOOKUP($A1178,'Base SKUs'!$E:$E,'Base SKUs'!K:K),"")</f>
        <v>8</v>
      </c>
      <c r="R1178" s="7">
        <f>IFERROR(_xlfn.XLOOKUP($A1178,'Base SKUs'!$E:$E,'Base SKUs'!S:S),"")</f>
        <v>6.3839999999999999E-3</v>
      </c>
      <c r="S1178" s="8">
        <f t="shared" si="92"/>
        <v>3.1919999999999997E-2</v>
      </c>
      <c r="T1178" s="7">
        <f>IFERROR(_xlfn.XLOOKUP($A1178,'Base SKUs'!$E:$E,'Base SKUs'!R:R),"")</f>
        <v>1233.3979999999999</v>
      </c>
      <c r="U1178" s="15">
        <f t="shared" si="93"/>
        <v>39</v>
      </c>
      <c r="V1178" t="str">
        <f t="shared" si="94"/>
        <v>Texas</v>
      </c>
    </row>
    <row r="1179" spans="1:22" x14ac:dyDescent="0.2">
      <c r="A1179" t="s">
        <v>1577</v>
      </c>
      <c r="B1179" s="5">
        <v>161</v>
      </c>
      <c r="C1179" s="5">
        <v>0</v>
      </c>
      <c r="D1179" s="5">
        <f t="shared" si="90"/>
        <v>161</v>
      </c>
      <c r="E1179" s="6">
        <v>15.093299999999999</v>
      </c>
      <c r="F1179" s="6">
        <f t="shared" si="91"/>
        <v>2430.0212999999999</v>
      </c>
      <c r="G1179" t="s">
        <v>125</v>
      </c>
      <c r="H1179">
        <v>9009</v>
      </c>
      <c r="I1179" t="str">
        <f>IFERROR(_xlfn.XLOOKUP($A1179,'Base SKUs'!$E:$E,'Base SKUs'!A:A),"")</f>
        <v>Ayous</v>
      </c>
      <c r="J1179" t="str">
        <f>IFERROR(_xlfn.XLOOKUP($A1179,'Base SKUs'!$E:$E,'Base SKUs'!B:B),"")</f>
        <v>Ayous 1x6</v>
      </c>
      <c r="K1179" t="str">
        <f>IFERROR(_xlfn.XLOOKUP($A1179,'Base SKUs'!$E:$E,'Base SKUs'!C:C),"")</f>
        <v>Long</v>
      </c>
      <c r="L1179" t="str">
        <f>IFERROR(_xlfn.XLOOKUP($A1179,'Base SKUs'!$E:$E,'Base SKUs'!D:D),"")</f>
        <v>Thermowood</v>
      </c>
      <c r="M1179" t="str">
        <f>IFERROR(_xlfn.XLOOKUP($A1179,'Base SKUs'!$E:$E,'Base SKUs'!G:G),"")</f>
        <v>Maximo Thermo Ayous</v>
      </c>
      <c r="N1179" t="str">
        <f>IFERROR(_xlfn.XLOOKUP($A1179,'Base SKUs'!$E:$E,'Base SKUs'!H:H),"")</f>
        <v>VJoint - Square Back</v>
      </c>
      <c r="O1179" t="str">
        <f>IFERROR(_xlfn.XLOOKUP($A1179,'Base SKUs'!$E:$E,'Base SKUs'!I:I),"")</f>
        <v>-</v>
      </c>
      <c r="P1179" t="str">
        <f>IFERROR(_xlfn.XLOOKUP($A1179,'Base SKUs'!$E:$E,'Base SKUs'!J:J),"")</f>
        <v>1x6</v>
      </c>
      <c r="Q1179">
        <f>IFERROR(_xlfn.XLOOKUP($A1179,'Base SKUs'!$E:$E,'Base SKUs'!K:K),"")</f>
        <v>8</v>
      </c>
      <c r="R1179" s="7">
        <f>IFERROR(_xlfn.XLOOKUP($A1179,'Base SKUs'!$E:$E,'Base SKUs'!S:S),"")</f>
        <v>6.3839999999999999E-3</v>
      </c>
      <c r="S1179" s="8">
        <f t="shared" si="92"/>
        <v>1.0278240000000001</v>
      </c>
      <c r="T1179" s="7">
        <f>IFERROR(_xlfn.XLOOKUP($A1179,'Base SKUs'!$E:$E,'Base SKUs'!R:R),"")</f>
        <v>1233.3979999999999</v>
      </c>
      <c r="U1179" s="15">
        <f t="shared" si="93"/>
        <v>1268</v>
      </c>
      <c r="V1179" t="str">
        <f t="shared" si="94"/>
        <v>Boston</v>
      </c>
    </row>
    <row r="1180" spans="1:22" x14ac:dyDescent="0.2">
      <c r="A1180" t="s">
        <v>1577</v>
      </c>
      <c r="B1180" s="5">
        <v>6</v>
      </c>
      <c r="C1180" s="5">
        <v>6</v>
      </c>
      <c r="D1180" s="5">
        <f t="shared" si="90"/>
        <v>0</v>
      </c>
      <c r="E1180" s="6">
        <v>15.0848</v>
      </c>
      <c r="F1180" s="6">
        <f t="shared" si="91"/>
        <v>90.508799999999994</v>
      </c>
      <c r="G1180" t="s">
        <v>330</v>
      </c>
      <c r="H1180">
        <v>9011</v>
      </c>
      <c r="I1180" t="str">
        <f>IFERROR(_xlfn.XLOOKUP($A1180,'Base SKUs'!$E:$E,'Base SKUs'!A:A),"")</f>
        <v>Ayous</v>
      </c>
      <c r="J1180" t="str">
        <f>IFERROR(_xlfn.XLOOKUP($A1180,'Base SKUs'!$E:$E,'Base SKUs'!B:B),"")</f>
        <v>Ayous 1x6</v>
      </c>
      <c r="K1180" t="str">
        <f>IFERROR(_xlfn.XLOOKUP($A1180,'Base SKUs'!$E:$E,'Base SKUs'!C:C),"")</f>
        <v>Long</v>
      </c>
      <c r="L1180" t="str">
        <f>IFERROR(_xlfn.XLOOKUP($A1180,'Base SKUs'!$E:$E,'Base SKUs'!D:D),"")</f>
        <v>Thermowood</v>
      </c>
      <c r="M1180" t="str">
        <f>IFERROR(_xlfn.XLOOKUP($A1180,'Base SKUs'!$E:$E,'Base SKUs'!G:G),"")</f>
        <v>Maximo Thermo Ayous</v>
      </c>
      <c r="N1180" t="str">
        <f>IFERROR(_xlfn.XLOOKUP($A1180,'Base SKUs'!$E:$E,'Base SKUs'!H:H),"")</f>
        <v>VJoint - Square Back</v>
      </c>
      <c r="O1180" t="str">
        <f>IFERROR(_xlfn.XLOOKUP($A1180,'Base SKUs'!$E:$E,'Base SKUs'!I:I),"")</f>
        <v>-</v>
      </c>
      <c r="P1180" t="str">
        <f>IFERROR(_xlfn.XLOOKUP($A1180,'Base SKUs'!$E:$E,'Base SKUs'!J:J),"")</f>
        <v>1x6</v>
      </c>
      <c r="Q1180">
        <f>IFERROR(_xlfn.XLOOKUP($A1180,'Base SKUs'!$E:$E,'Base SKUs'!K:K),"")</f>
        <v>8</v>
      </c>
      <c r="R1180" s="7">
        <f>IFERROR(_xlfn.XLOOKUP($A1180,'Base SKUs'!$E:$E,'Base SKUs'!S:S),"")</f>
        <v>6.3839999999999999E-3</v>
      </c>
      <c r="S1180" s="8">
        <f t="shared" si="92"/>
        <v>0</v>
      </c>
      <c r="T1180" s="7">
        <f>IFERROR(_xlfn.XLOOKUP($A1180,'Base SKUs'!$E:$E,'Base SKUs'!R:R),"")</f>
        <v>1233.3979999999999</v>
      </c>
      <c r="U1180" s="15">
        <f t="shared" si="93"/>
        <v>0</v>
      </c>
      <c r="V1180" t="str">
        <f t="shared" si="94"/>
        <v>New York</v>
      </c>
    </row>
    <row r="1181" spans="1:22" x14ac:dyDescent="0.2">
      <c r="A1181" t="s">
        <v>1579</v>
      </c>
      <c r="B1181" s="5">
        <v>362</v>
      </c>
      <c r="C1181" s="5">
        <v>38</v>
      </c>
      <c r="D1181" s="5">
        <f t="shared" si="90"/>
        <v>324</v>
      </c>
      <c r="E1181" s="6">
        <v>16.970400000000001</v>
      </c>
      <c r="F1181" s="6">
        <f t="shared" si="91"/>
        <v>6143.2848000000004</v>
      </c>
      <c r="G1181" t="s">
        <v>125</v>
      </c>
      <c r="H1181">
        <v>9009</v>
      </c>
      <c r="I1181" t="str">
        <f>IFERROR(_xlfn.XLOOKUP($A1181,'Base SKUs'!$E:$E,'Base SKUs'!A:A),"")</f>
        <v>Ayous</v>
      </c>
      <c r="J1181" t="str">
        <f>IFERROR(_xlfn.XLOOKUP($A1181,'Base SKUs'!$E:$E,'Base SKUs'!B:B),"")</f>
        <v>Ayous 1x6</v>
      </c>
      <c r="K1181" t="str">
        <f>IFERROR(_xlfn.XLOOKUP($A1181,'Base SKUs'!$E:$E,'Base SKUs'!C:C),"")</f>
        <v>Long</v>
      </c>
      <c r="L1181" t="str">
        <f>IFERROR(_xlfn.XLOOKUP($A1181,'Base SKUs'!$E:$E,'Base SKUs'!D:D),"")</f>
        <v>Thermowood</v>
      </c>
      <c r="M1181" t="str">
        <f>IFERROR(_xlfn.XLOOKUP($A1181,'Base SKUs'!$E:$E,'Base SKUs'!G:G),"")</f>
        <v>Maximo Thermo Ayous</v>
      </c>
      <c r="N1181" t="str">
        <f>IFERROR(_xlfn.XLOOKUP($A1181,'Base SKUs'!$E:$E,'Base SKUs'!H:H),"")</f>
        <v>VJoint - Square Back</v>
      </c>
      <c r="O1181" t="str">
        <f>IFERROR(_xlfn.XLOOKUP($A1181,'Base SKUs'!$E:$E,'Base SKUs'!I:I),"")</f>
        <v>-</v>
      </c>
      <c r="P1181" t="str">
        <f>IFERROR(_xlfn.XLOOKUP($A1181,'Base SKUs'!$E:$E,'Base SKUs'!J:J),"")</f>
        <v>1x6</v>
      </c>
      <c r="Q1181">
        <f>IFERROR(_xlfn.XLOOKUP($A1181,'Base SKUs'!$E:$E,'Base SKUs'!K:K),"")</f>
        <v>9</v>
      </c>
      <c r="R1181" s="7">
        <f>IFERROR(_xlfn.XLOOKUP($A1181,'Base SKUs'!$E:$E,'Base SKUs'!S:S),"")</f>
        <v>7.182E-3</v>
      </c>
      <c r="S1181" s="8">
        <f t="shared" si="92"/>
        <v>2.3269679999999999</v>
      </c>
      <c r="T1181" s="7">
        <f>IFERROR(_xlfn.XLOOKUP($A1181,'Base SKUs'!$E:$E,'Base SKUs'!R:R),"")</f>
        <v>1233.3979999999999</v>
      </c>
      <c r="U1181" s="15">
        <f t="shared" si="93"/>
        <v>2870</v>
      </c>
      <c r="V1181" t="str">
        <f t="shared" si="94"/>
        <v>Boston</v>
      </c>
    </row>
    <row r="1182" spans="1:22" x14ac:dyDescent="0.2">
      <c r="A1182" t="s">
        <v>1579</v>
      </c>
      <c r="B1182" s="5">
        <v>6</v>
      </c>
      <c r="C1182" s="5">
        <v>6</v>
      </c>
      <c r="D1182" s="5">
        <f t="shared" si="90"/>
        <v>0</v>
      </c>
      <c r="E1182" s="6">
        <v>16.970400000000001</v>
      </c>
      <c r="F1182" s="6">
        <f t="shared" si="91"/>
        <v>101.82240000000002</v>
      </c>
      <c r="G1182" t="s">
        <v>330</v>
      </c>
      <c r="H1182">
        <v>9011</v>
      </c>
      <c r="I1182" t="str">
        <f>IFERROR(_xlfn.XLOOKUP($A1182,'Base SKUs'!$E:$E,'Base SKUs'!A:A),"")</f>
        <v>Ayous</v>
      </c>
      <c r="J1182" t="str">
        <f>IFERROR(_xlfn.XLOOKUP($A1182,'Base SKUs'!$E:$E,'Base SKUs'!B:B),"")</f>
        <v>Ayous 1x6</v>
      </c>
      <c r="K1182" t="str">
        <f>IFERROR(_xlfn.XLOOKUP($A1182,'Base SKUs'!$E:$E,'Base SKUs'!C:C),"")</f>
        <v>Long</v>
      </c>
      <c r="L1182" t="str">
        <f>IFERROR(_xlfn.XLOOKUP($A1182,'Base SKUs'!$E:$E,'Base SKUs'!D:D),"")</f>
        <v>Thermowood</v>
      </c>
      <c r="M1182" t="str">
        <f>IFERROR(_xlfn.XLOOKUP($A1182,'Base SKUs'!$E:$E,'Base SKUs'!G:G),"")</f>
        <v>Maximo Thermo Ayous</v>
      </c>
      <c r="N1182" t="str">
        <f>IFERROR(_xlfn.XLOOKUP($A1182,'Base SKUs'!$E:$E,'Base SKUs'!H:H),"")</f>
        <v>VJoint - Square Back</v>
      </c>
      <c r="O1182" t="str">
        <f>IFERROR(_xlfn.XLOOKUP($A1182,'Base SKUs'!$E:$E,'Base SKUs'!I:I),"")</f>
        <v>-</v>
      </c>
      <c r="P1182" t="str">
        <f>IFERROR(_xlfn.XLOOKUP($A1182,'Base SKUs'!$E:$E,'Base SKUs'!J:J),"")</f>
        <v>1x6</v>
      </c>
      <c r="Q1182">
        <f>IFERROR(_xlfn.XLOOKUP($A1182,'Base SKUs'!$E:$E,'Base SKUs'!K:K),"")</f>
        <v>9</v>
      </c>
      <c r="R1182" s="7">
        <f>IFERROR(_xlfn.XLOOKUP($A1182,'Base SKUs'!$E:$E,'Base SKUs'!S:S),"")</f>
        <v>7.182E-3</v>
      </c>
      <c r="S1182" s="8">
        <f t="shared" si="92"/>
        <v>0</v>
      </c>
      <c r="T1182" s="7">
        <f>IFERROR(_xlfn.XLOOKUP($A1182,'Base SKUs'!$E:$E,'Base SKUs'!R:R),"")</f>
        <v>1233.3979999999999</v>
      </c>
      <c r="U1182" s="15">
        <f t="shared" si="93"/>
        <v>0</v>
      </c>
      <c r="V1182" t="str">
        <f t="shared" si="94"/>
        <v>New York</v>
      </c>
    </row>
    <row r="1183" spans="1:22" x14ac:dyDescent="0.2">
      <c r="A1183" t="s">
        <v>1581</v>
      </c>
      <c r="B1183" s="5">
        <v>32</v>
      </c>
      <c r="C1183" s="5">
        <v>30</v>
      </c>
      <c r="D1183" s="5">
        <f t="shared" si="90"/>
        <v>2</v>
      </c>
      <c r="E1183" s="6">
        <v>10.536300000000001</v>
      </c>
      <c r="F1183" s="6">
        <f t="shared" si="91"/>
        <v>337.16160000000002</v>
      </c>
      <c r="G1183" t="s">
        <v>17</v>
      </c>
      <c r="H1183">
        <v>9007</v>
      </c>
      <c r="I1183" t="str">
        <f>IFERROR(_xlfn.XLOOKUP($A1183,'Base SKUs'!$E:$E,'Base SKUs'!A:A),"")</f>
        <v>Ayous</v>
      </c>
      <c r="J1183" t="str">
        <f>IFERROR(_xlfn.XLOOKUP($A1183,'Base SKUs'!$E:$E,'Base SKUs'!B:B),"")</f>
        <v>Ayous 1x4</v>
      </c>
      <c r="K1183" t="str">
        <f>IFERROR(_xlfn.XLOOKUP($A1183,'Base SKUs'!$E:$E,'Base SKUs'!C:C),"")</f>
        <v>Long</v>
      </c>
      <c r="L1183" t="str">
        <f>IFERROR(_xlfn.XLOOKUP($A1183,'Base SKUs'!$E:$E,'Base SKUs'!D:D),"")</f>
        <v>Thermowood</v>
      </c>
      <c r="M1183" t="str">
        <f>IFERROR(_xlfn.XLOOKUP($A1183,'Base SKUs'!$E:$E,'Base SKUs'!G:G),"")</f>
        <v>Maximo Thermo Ayous</v>
      </c>
      <c r="N1183" t="str">
        <f>IFERROR(_xlfn.XLOOKUP($A1183,'Base SKUs'!$E:$E,'Base SKUs'!H:H),"")</f>
        <v>VJoint - Square Back</v>
      </c>
      <c r="O1183" t="str">
        <f>IFERROR(_xlfn.XLOOKUP($A1183,'Base SKUs'!$E:$E,'Base SKUs'!I:I),"")</f>
        <v>-</v>
      </c>
      <c r="P1183" t="str">
        <f>IFERROR(_xlfn.XLOOKUP($A1183,'Base SKUs'!$E:$E,'Base SKUs'!J:J),"")</f>
        <v>1x4</v>
      </c>
      <c r="Q1183">
        <f>IFERROR(_xlfn.XLOOKUP($A1183,'Base SKUs'!$E:$E,'Base SKUs'!K:K),"")</f>
        <v>10</v>
      </c>
      <c r="R1183" s="7">
        <f>IFERROR(_xlfn.XLOOKUP($A1183,'Base SKUs'!$E:$E,'Base SKUs'!S:S),"")</f>
        <v>5.2439999999999995E-3</v>
      </c>
      <c r="S1183" s="8">
        <f t="shared" si="92"/>
        <v>1.0487999999999999E-2</v>
      </c>
      <c r="T1183" s="7">
        <f>IFERROR(_xlfn.XLOOKUP($A1183,'Base SKUs'!$E:$E,'Base SKUs'!R:R),"")</f>
        <v>1876.9110000000001</v>
      </c>
      <c r="U1183" s="15">
        <f t="shared" si="93"/>
        <v>20</v>
      </c>
      <c r="V1183" t="str">
        <f t="shared" si="94"/>
        <v>Miami</v>
      </c>
    </row>
    <row r="1184" spans="1:22" x14ac:dyDescent="0.2">
      <c r="A1184" t="s">
        <v>1581</v>
      </c>
      <c r="B1184" s="5">
        <v>1275</v>
      </c>
      <c r="C1184" s="5">
        <v>155</v>
      </c>
      <c r="D1184" s="5">
        <f t="shared" si="90"/>
        <v>1120</v>
      </c>
      <c r="E1184" s="6">
        <v>10.536300000000001</v>
      </c>
      <c r="F1184" s="6">
        <f t="shared" si="91"/>
        <v>13433.782500000001</v>
      </c>
      <c r="G1184" t="s">
        <v>330</v>
      </c>
      <c r="H1184">
        <v>9011</v>
      </c>
      <c r="I1184" t="str">
        <f>IFERROR(_xlfn.XLOOKUP($A1184,'Base SKUs'!$E:$E,'Base SKUs'!A:A),"")</f>
        <v>Ayous</v>
      </c>
      <c r="J1184" t="str">
        <f>IFERROR(_xlfn.XLOOKUP($A1184,'Base SKUs'!$E:$E,'Base SKUs'!B:B),"")</f>
        <v>Ayous 1x4</v>
      </c>
      <c r="K1184" t="str">
        <f>IFERROR(_xlfn.XLOOKUP($A1184,'Base SKUs'!$E:$E,'Base SKUs'!C:C),"")</f>
        <v>Long</v>
      </c>
      <c r="L1184" t="str">
        <f>IFERROR(_xlfn.XLOOKUP($A1184,'Base SKUs'!$E:$E,'Base SKUs'!D:D),"")</f>
        <v>Thermowood</v>
      </c>
      <c r="M1184" t="str">
        <f>IFERROR(_xlfn.XLOOKUP($A1184,'Base SKUs'!$E:$E,'Base SKUs'!G:G),"")</f>
        <v>Maximo Thermo Ayous</v>
      </c>
      <c r="N1184" t="str">
        <f>IFERROR(_xlfn.XLOOKUP($A1184,'Base SKUs'!$E:$E,'Base SKUs'!H:H),"")</f>
        <v>VJoint - Square Back</v>
      </c>
      <c r="O1184" t="str">
        <f>IFERROR(_xlfn.XLOOKUP($A1184,'Base SKUs'!$E:$E,'Base SKUs'!I:I),"")</f>
        <v>-</v>
      </c>
      <c r="P1184" t="str">
        <f>IFERROR(_xlfn.XLOOKUP($A1184,'Base SKUs'!$E:$E,'Base SKUs'!J:J),"")</f>
        <v>1x4</v>
      </c>
      <c r="Q1184">
        <f>IFERROR(_xlfn.XLOOKUP($A1184,'Base SKUs'!$E:$E,'Base SKUs'!K:K),"")</f>
        <v>10</v>
      </c>
      <c r="R1184" s="7">
        <f>IFERROR(_xlfn.XLOOKUP($A1184,'Base SKUs'!$E:$E,'Base SKUs'!S:S),"")</f>
        <v>5.2439999999999995E-3</v>
      </c>
      <c r="S1184" s="8">
        <f t="shared" si="92"/>
        <v>5.8732799999999994</v>
      </c>
      <c r="T1184" s="7">
        <f>IFERROR(_xlfn.XLOOKUP($A1184,'Base SKUs'!$E:$E,'Base SKUs'!R:R),"")</f>
        <v>1876.9110000000001</v>
      </c>
      <c r="U1184" s="15">
        <f t="shared" si="93"/>
        <v>11024</v>
      </c>
      <c r="V1184" t="str">
        <f t="shared" si="94"/>
        <v>New York</v>
      </c>
    </row>
    <row r="1185" spans="1:22" x14ac:dyDescent="0.2">
      <c r="A1185" t="s">
        <v>1583</v>
      </c>
      <c r="B1185" s="5">
        <v>191</v>
      </c>
      <c r="C1185" s="5">
        <v>0</v>
      </c>
      <c r="D1185" s="5">
        <f t="shared" si="90"/>
        <v>191</v>
      </c>
      <c r="E1185" s="6">
        <v>11.5899</v>
      </c>
      <c r="F1185" s="6">
        <f t="shared" si="91"/>
        <v>2213.6709000000001</v>
      </c>
      <c r="G1185" t="s">
        <v>17</v>
      </c>
      <c r="H1185">
        <v>9007</v>
      </c>
      <c r="I1185" t="str">
        <f>IFERROR(_xlfn.XLOOKUP($A1185,'Base SKUs'!$E:$E,'Base SKUs'!A:A),"")</f>
        <v>Ayous</v>
      </c>
      <c r="J1185" t="str">
        <f>IFERROR(_xlfn.XLOOKUP($A1185,'Base SKUs'!$E:$E,'Base SKUs'!B:B),"")</f>
        <v>Ayous 1x4</v>
      </c>
      <c r="K1185" t="str">
        <f>IFERROR(_xlfn.XLOOKUP($A1185,'Base SKUs'!$E:$E,'Base SKUs'!C:C),"")</f>
        <v>Long</v>
      </c>
      <c r="L1185" t="str">
        <f>IFERROR(_xlfn.XLOOKUP($A1185,'Base SKUs'!$E:$E,'Base SKUs'!D:D),"")</f>
        <v>Thermowood</v>
      </c>
      <c r="M1185" t="str">
        <f>IFERROR(_xlfn.XLOOKUP($A1185,'Base SKUs'!$E:$E,'Base SKUs'!G:G),"")</f>
        <v>Maximo Thermo Ayous</v>
      </c>
      <c r="N1185" t="str">
        <f>IFERROR(_xlfn.XLOOKUP($A1185,'Base SKUs'!$E:$E,'Base SKUs'!H:H),"")</f>
        <v>VJoint - Square Back</v>
      </c>
      <c r="O1185" t="str">
        <f>IFERROR(_xlfn.XLOOKUP($A1185,'Base SKUs'!$E:$E,'Base SKUs'!I:I),"")</f>
        <v>-</v>
      </c>
      <c r="P1185" t="str">
        <f>IFERROR(_xlfn.XLOOKUP($A1185,'Base SKUs'!$E:$E,'Base SKUs'!J:J),"")</f>
        <v>1x4</v>
      </c>
      <c r="Q1185">
        <f>IFERROR(_xlfn.XLOOKUP($A1185,'Base SKUs'!$E:$E,'Base SKUs'!K:K),"")</f>
        <v>11</v>
      </c>
      <c r="R1185" s="7">
        <f>IFERROR(_xlfn.XLOOKUP($A1185,'Base SKUs'!$E:$E,'Base SKUs'!S:S),"")</f>
        <v>5.768399999999999E-3</v>
      </c>
      <c r="S1185" s="8">
        <f t="shared" si="92"/>
        <v>1.1017643999999998</v>
      </c>
      <c r="T1185" s="7">
        <f>IFERROR(_xlfn.XLOOKUP($A1185,'Base SKUs'!$E:$E,'Base SKUs'!R:R),"")</f>
        <v>1876.9110000000001</v>
      </c>
      <c r="U1185" s="15">
        <f t="shared" si="93"/>
        <v>2068</v>
      </c>
      <c r="V1185" t="str">
        <f t="shared" si="94"/>
        <v>Miami</v>
      </c>
    </row>
    <row r="1186" spans="1:22" x14ac:dyDescent="0.2">
      <c r="A1186" t="s">
        <v>1585</v>
      </c>
      <c r="B1186" s="5">
        <v>11</v>
      </c>
      <c r="C1186" s="5">
        <v>0</v>
      </c>
      <c r="D1186" s="5">
        <f t="shared" si="90"/>
        <v>11</v>
      </c>
      <c r="E1186" s="6">
        <v>12.643599999999999</v>
      </c>
      <c r="F1186" s="6">
        <f t="shared" si="91"/>
        <v>139.0796</v>
      </c>
      <c r="G1186" t="s">
        <v>17</v>
      </c>
      <c r="H1186">
        <v>9007</v>
      </c>
      <c r="I1186" t="str">
        <f>IFERROR(_xlfn.XLOOKUP($A1186,'Base SKUs'!$E:$E,'Base SKUs'!A:A),"")</f>
        <v>Ayous</v>
      </c>
      <c r="J1186" t="str">
        <f>IFERROR(_xlfn.XLOOKUP($A1186,'Base SKUs'!$E:$E,'Base SKUs'!B:B),"")</f>
        <v>Ayous 1x4</v>
      </c>
      <c r="K1186" t="str">
        <f>IFERROR(_xlfn.XLOOKUP($A1186,'Base SKUs'!$E:$E,'Base SKUs'!C:C),"")</f>
        <v>Long</v>
      </c>
      <c r="L1186" t="str">
        <f>IFERROR(_xlfn.XLOOKUP($A1186,'Base SKUs'!$E:$E,'Base SKUs'!D:D),"")</f>
        <v>Thermowood</v>
      </c>
      <c r="M1186" t="str">
        <f>IFERROR(_xlfn.XLOOKUP($A1186,'Base SKUs'!$E:$E,'Base SKUs'!G:G),"")</f>
        <v>Maximo Thermo Ayous</v>
      </c>
      <c r="N1186" t="str">
        <f>IFERROR(_xlfn.XLOOKUP($A1186,'Base SKUs'!$E:$E,'Base SKUs'!H:H),"")</f>
        <v>VJoint - Square Back</v>
      </c>
      <c r="O1186" t="str">
        <f>IFERROR(_xlfn.XLOOKUP($A1186,'Base SKUs'!$E:$E,'Base SKUs'!I:I),"")</f>
        <v>-</v>
      </c>
      <c r="P1186" t="str">
        <f>IFERROR(_xlfn.XLOOKUP($A1186,'Base SKUs'!$E:$E,'Base SKUs'!J:J),"")</f>
        <v>1x4</v>
      </c>
      <c r="Q1186">
        <f>IFERROR(_xlfn.XLOOKUP($A1186,'Base SKUs'!$E:$E,'Base SKUs'!K:K),"")</f>
        <v>12</v>
      </c>
      <c r="R1186" s="7">
        <f>IFERROR(_xlfn.XLOOKUP($A1186,'Base SKUs'!$E:$E,'Base SKUs'!S:S),"")</f>
        <v>6.2928000000000003E-3</v>
      </c>
      <c r="S1186" s="8">
        <f t="shared" si="92"/>
        <v>6.9220799999999999E-2</v>
      </c>
      <c r="T1186" s="7">
        <f>IFERROR(_xlfn.XLOOKUP($A1186,'Base SKUs'!$E:$E,'Base SKUs'!R:R),"")</f>
        <v>1876.9110000000001</v>
      </c>
      <c r="U1186" s="15">
        <f t="shared" si="93"/>
        <v>130</v>
      </c>
      <c r="V1186" t="str">
        <f t="shared" si="94"/>
        <v>Miami</v>
      </c>
    </row>
    <row r="1187" spans="1:22" x14ac:dyDescent="0.2">
      <c r="A1187" t="s">
        <v>1587</v>
      </c>
      <c r="B1187" s="5">
        <v>1</v>
      </c>
      <c r="C1187" s="5">
        <v>0</v>
      </c>
      <c r="D1187" s="5">
        <f t="shared" si="90"/>
        <v>1</v>
      </c>
      <c r="E1187" s="6">
        <v>13.697100000000001</v>
      </c>
      <c r="F1187" s="6">
        <f t="shared" si="91"/>
        <v>13.697100000000001</v>
      </c>
      <c r="G1187" t="s">
        <v>17</v>
      </c>
      <c r="H1187">
        <v>9007</v>
      </c>
      <c r="I1187" t="str">
        <f>IFERROR(_xlfn.XLOOKUP($A1187,'Base SKUs'!$E:$E,'Base SKUs'!A:A),"")</f>
        <v>Ayous</v>
      </c>
      <c r="J1187" t="str">
        <f>IFERROR(_xlfn.XLOOKUP($A1187,'Base SKUs'!$E:$E,'Base SKUs'!B:B),"")</f>
        <v>Ayous 1x4</v>
      </c>
      <c r="K1187" t="str">
        <f>IFERROR(_xlfn.XLOOKUP($A1187,'Base SKUs'!$E:$E,'Base SKUs'!C:C),"")</f>
        <v>Long</v>
      </c>
      <c r="L1187" t="str">
        <f>IFERROR(_xlfn.XLOOKUP($A1187,'Base SKUs'!$E:$E,'Base SKUs'!D:D),"")</f>
        <v>Thermowood</v>
      </c>
      <c r="M1187" t="str">
        <f>IFERROR(_xlfn.XLOOKUP($A1187,'Base SKUs'!$E:$E,'Base SKUs'!G:G),"")</f>
        <v>Maximo Thermo Ayous</v>
      </c>
      <c r="N1187" t="str">
        <f>IFERROR(_xlfn.XLOOKUP($A1187,'Base SKUs'!$E:$E,'Base SKUs'!H:H),"")</f>
        <v>VJoint - Square Back</v>
      </c>
      <c r="O1187" t="str">
        <f>IFERROR(_xlfn.XLOOKUP($A1187,'Base SKUs'!$E:$E,'Base SKUs'!I:I),"")</f>
        <v>-</v>
      </c>
      <c r="P1187" t="str">
        <f>IFERROR(_xlfn.XLOOKUP($A1187,'Base SKUs'!$E:$E,'Base SKUs'!J:J),"")</f>
        <v>1x4</v>
      </c>
      <c r="Q1187">
        <f>IFERROR(_xlfn.XLOOKUP($A1187,'Base SKUs'!$E:$E,'Base SKUs'!K:K),"")</f>
        <v>13</v>
      </c>
      <c r="R1187" s="7">
        <f>IFERROR(_xlfn.XLOOKUP($A1187,'Base SKUs'!$E:$E,'Base SKUs'!S:S),"")</f>
        <v>6.8171999999999998E-3</v>
      </c>
      <c r="S1187" s="8">
        <f t="shared" si="92"/>
        <v>6.8171999999999998E-3</v>
      </c>
      <c r="T1187" s="7">
        <f>IFERROR(_xlfn.XLOOKUP($A1187,'Base SKUs'!$E:$E,'Base SKUs'!R:R),"")</f>
        <v>1876.9110000000001</v>
      </c>
      <c r="U1187" s="15">
        <f t="shared" si="93"/>
        <v>13</v>
      </c>
      <c r="V1187" t="str">
        <f t="shared" si="94"/>
        <v>Miami</v>
      </c>
    </row>
    <row r="1188" spans="1:22" x14ac:dyDescent="0.2">
      <c r="A1188" t="s">
        <v>1589</v>
      </c>
      <c r="B1188" s="5">
        <v>11</v>
      </c>
      <c r="C1188" s="5">
        <v>10</v>
      </c>
      <c r="D1188" s="5">
        <f t="shared" si="90"/>
        <v>1</v>
      </c>
      <c r="E1188" s="6">
        <v>14.7508</v>
      </c>
      <c r="F1188" s="6">
        <f t="shared" si="91"/>
        <v>162.25880000000001</v>
      </c>
      <c r="G1188" t="s">
        <v>17</v>
      </c>
      <c r="H1188">
        <v>9007</v>
      </c>
      <c r="I1188" t="str">
        <f>IFERROR(_xlfn.XLOOKUP($A1188,'Base SKUs'!$E:$E,'Base SKUs'!A:A),"")</f>
        <v>Ayous</v>
      </c>
      <c r="J1188" t="str">
        <f>IFERROR(_xlfn.XLOOKUP($A1188,'Base SKUs'!$E:$E,'Base SKUs'!B:B),"")</f>
        <v>Ayous 1x4</v>
      </c>
      <c r="K1188" t="str">
        <f>IFERROR(_xlfn.XLOOKUP($A1188,'Base SKUs'!$E:$E,'Base SKUs'!C:C),"")</f>
        <v>Long</v>
      </c>
      <c r="L1188" t="str">
        <f>IFERROR(_xlfn.XLOOKUP($A1188,'Base SKUs'!$E:$E,'Base SKUs'!D:D),"")</f>
        <v>Thermowood</v>
      </c>
      <c r="M1188" t="str">
        <f>IFERROR(_xlfn.XLOOKUP($A1188,'Base SKUs'!$E:$E,'Base SKUs'!G:G),"")</f>
        <v>Maximo Thermo Ayous</v>
      </c>
      <c r="N1188" t="str">
        <f>IFERROR(_xlfn.XLOOKUP($A1188,'Base SKUs'!$E:$E,'Base SKUs'!H:H),"")</f>
        <v>VJoint - Square Back</v>
      </c>
      <c r="O1188" t="str">
        <f>IFERROR(_xlfn.XLOOKUP($A1188,'Base SKUs'!$E:$E,'Base SKUs'!I:I),"")</f>
        <v>-</v>
      </c>
      <c r="P1188" t="str">
        <f>IFERROR(_xlfn.XLOOKUP($A1188,'Base SKUs'!$E:$E,'Base SKUs'!J:J),"")</f>
        <v>1x4</v>
      </c>
      <c r="Q1188">
        <f>IFERROR(_xlfn.XLOOKUP($A1188,'Base SKUs'!$E:$E,'Base SKUs'!K:K),"")</f>
        <v>14</v>
      </c>
      <c r="R1188" s="7">
        <f>IFERROR(_xlfn.XLOOKUP($A1188,'Base SKUs'!$E:$E,'Base SKUs'!S:S),"")</f>
        <v>7.3415999999999993E-3</v>
      </c>
      <c r="S1188" s="8">
        <f t="shared" si="92"/>
        <v>7.3415999999999993E-3</v>
      </c>
      <c r="T1188" s="7">
        <f>IFERROR(_xlfn.XLOOKUP($A1188,'Base SKUs'!$E:$E,'Base SKUs'!R:R),"")</f>
        <v>1876.9110000000001</v>
      </c>
      <c r="U1188" s="15">
        <f t="shared" si="93"/>
        <v>14</v>
      </c>
      <c r="V1188" t="str">
        <f t="shared" si="94"/>
        <v>Miami</v>
      </c>
    </row>
    <row r="1189" spans="1:22" x14ac:dyDescent="0.2">
      <c r="A1189" t="s">
        <v>1591</v>
      </c>
      <c r="B1189" s="5">
        <v>398</v>
      </c>
      <c r="C1189" s="5">
        <v>1</v>
      </c>
      <c r="D1189" s="5">
        <f t="shared" si="90"/>
        <v>397</v>
      </c>
      <c r="E1189" s="6">
        <v>15.804500000000001</v>
      </c>
      <c r="F1189" s="6">
        <f t="shared" si="91"/>
        <v>6290.1910000000007</v>
      </c>
      <c r="G1189" t="s">
        <v>330</v>
      </c>
      <c r="H1189">
        <v>9011</v>
      </c>
      <c r="I1189" t="str">
        <f>IFERROR(_xlfn.XLOOKUP($A1189,'Base SKUs'!$E:$E,'Base SKUs'!A:A),"")</f>
        <v>Ayous</v>
      </c>
      <c r="J1189" t="str">
        <f>IFERROR(_xlfn.XLOOKUP($A1189,'Base SKUs'!$E:$E,'Base SKUs'!B:B),"")</f>
        <v>Ayous 1x4</v>
      </c>
      <c r="K1189" t="str">
        <f>IFERROR(_xlfn.XLOOKUP($A1189,'Base SKUs'!$E:$E,'Base SKUs'!C:C),"")</f>
        <v>Long</v>
      </c>
      <c r="L1189" t="str">
        <f>IFERROR(_xlfn.XLOOKUP($A1189,'Base SKUs'!$E:$E,'Base SKUs'!D:D),"")</f>
        <v>Thermowood</v>
      </c>
      <c r="M1189" t="str">
        <f>IFERROR(_xlfn.XLOOKUP($A1189,'Base SKUs'!$E:$E,'Base SKUs'!G:G),"")</f>
        <v>Maximo Thermo Ayous</v>
      </c>
      <c r="N1189" t="str">
        <f>IFERROR(_xlfn.XLOOKUP($A1189,'Base SKUs'!$E:$E,'Base SKUs'!H:H),"")</f>
        <v>VJoint - Square Back</v>
      </c>
      <c r="O1189" t="str">
        <f>IFERROR(_xlfn.XLOOKUP($A1189,'Base SKUs'!$E:$E,'Base SKUs'!I:I),"")</f>
        <v>-</v>
      </c>
      <c r="P1189" t="str">
        <f>IFERROR(_xlfn.XLOOKUP($A1189,'Base SKUs'!$E:$E,'Base SKUs'!J:J),"")</f>
        <v>1x4</v>
      </c>
      <c r="Q1189">
        <f>IFERROR(_xlfn.XLOOKUP($A1189,'Base SKUs'!$E:$E,'Base SKUs'!K:K),"")</f>
        <v>15</v>
      </c>
      <c r="R1189" s="7">
        <f>IFERROR(_xlfn.XLOOKUP($A1189,'Base SKUs'!$E:$E,'Base SKUs'!S:S),"")</f>
        <v>7.8659999999999997E-3</v>
      </c>
      <c r="S1189" s="8">
        <f t="shared" si="92"/>
        <v>3.1228020000000001</v>
      </c>
      <c r="T1189" s="7">
        <f>IFERROR(_xlfn.XLOOKUP($A1189,'Base SKUs'!$E:$E,'Base SKUs'!R:R),"")</f>
        <v>1876.9110000000001</v>
      </c>
      <c r="U1189" s="15">
        <f t="shared" si="93"/>
        <v>5861</v>
      </c>
      <c r="V1189" t="str">
        <f t="shared" si="94"/>
        <v>New York</v>
      </c>
    </row>
    <row r="1190" spans="1:22" x14ac:dyDescent="0.2">
      <c r="A1190" t="s">
        <v>1593</v>
      </c>
      <c r="B1190" s="5">
        <v>7</v>
      </c>
      <c r="C1190" s="5">
        <v>0</v>
      </c>
      <c r="D1190" s="5">
        <f t="shared" si="90"/>
        <v>7</v>
      </c>
      <c r="E1190" s="6">
        <v>16.8581</v>
      </c>
      <c r="F1190" s="6">
        <f t="shared" si="91"/>
        <v>118.0067</v>
      </c>
      <c r="G1190" t="s">
        <v>17</v>
      </c>
      <c r="H1190">
        <v>9007</v>
      </c>
      <c r="I1190" t="str">
        <f>IFERROR(_xlfn.XLOOKUP($A1190,'Base SKUs'!$E:$E,'Base SKUs'!A:A),"")</f>
        <v>Ayous</v>
      </c>
      <c r="J1190" t="str">
        <f>IFERROR(_xlfn.XLOOKUP($A1190,'Base SKUs'!$E:$E,'Base SKUs'!B:B),"")</f>
        <v>Ayous 1x4</v>
      </c>
      <c r="K1190" t="str">
        <f>IFERROR(_xlfn.XLOOKUP($A1190,'Base SKUs'!$E:$E,'Base SKUs'!C:C),"")</f>
        <v>Long</v>
      </c>
      <c r="L1190" t="str">
        <f>IFERROR(_xlfn.XLOOKUP($A1190,'Base SKUs'!$E:$E,'Base SKUs'!D:D),"")</f>
        <v>Thermowood</v>
      </c>
      <c r="M1190" t="str">
        <f>IFERROR(_xlfn.XLOOKUP($A1190,'Base SKUs'!$E:$E,'Base SKUs'!G:G),"")</f>
        <v>Maximo Thermo Ayous</v>
      </c>
      <c r="N1190" t="str">
        <f>IFERROR(_xlfn.XLOOKUP($A1190,'Base SKUs'!$E:$E,'Base SKUs'!H:H),"")</f>
        <v>VJoint - Square Back</v>
      </c>
      <c r="O1190" t="str">
        <f>IFERROR(_xlfn.XLOOKUP($A1190,'Base SKUs'!$E:$E,'Base SKUs'!I:I),"")</f>
        <v>-</v>
      </c>
      <c r="P1190" t="str">
        <f>IFERROR(_xlfn.XLOOKUP($A1190,'Base SKUs'!$E:$E,'Base SKUs'!J:J),"")</f>
        <v>1x4</v>
      </c>
      <c r="Q1190">
        <f>IFERROR(_xlfn.XLOOKUP($A1190,'Base SKUs'!$E:$E,'Base SKUs'!K:K),"")</f>
        <v>16</v>
      </c>
      <c r="R1190" s="7">
        <f>IFERROR(_xlfn.XLOOKUP($A1190,'Base SKUs'!$E:$E,'Base SKUs'!S:S),"")</f>
        <v>8.3903999999999992E-3</v>
      </c>
      <c r="S1190" s="8">
        <f t="shared" si="92"/>
        <v>5.8732799999999995E-2</v>
      </c>
      <c r="T1190" s="7">
        <f>IFERROR(_xlfn.XLOOKUP($A1190,'Base SKUs'!$E:$E,'Base SKUs'!R:R),"")</f>
        <v>1876.9110000000001</v>
      </c>
      <c r="U1190" s="15">
        <f t="shared" si="93"/>
        <v>110</v>
      </c>
      <c r="V1190" t="str">
        <f t="shared" si="94"/>
        <v>Miami</v>
      </c>
    </row>
    <row r="1191" spans="1:22" x14ac:dyDescent="0.2">
      <c r="A1191" t="s">
        <v>1593</v>
      </c>
      <c r="B1191" s="5">
        <v>160</v>
      </c>
      <c r="C1191" s="5">
        <v>1</v>
      </c>
      <c r="D1191" s="5">
        <f t="shared" si="90"/>
        <v>159</v>
      </c>
      <c r="E1191" s="6">
        <v>16.8581</v>
      </c>
      <c r="F1191" s="6">
        <f t="shared" si="91"/>
        <v>2697.2960000000003</v>
      </c>
      <c r="G1191" t="s">
        <v>330</v>
      </c>
      <c r="H1191">
        <v>9011</v>
      </c>
      <c r="I1191" t="str">
        <f>IFERROR(_xlfn.XLOOKUP($A1191,'Base SKUs'!$E:$E,'Base SKUs'!A:A),"")</f>
        <v>Ayous</v>
      </c>
      <c r="J1191" t="str">
        <f>IFERROR(_xlfn.XLOOKUP($A1191,'Base SKUs'!$E:$E,'Base SKUs'!B:B),"")</f>
        <v>Ayous 1x4</v>
      </c>
      <c r="K1191" t="str">
        <f>IFERROR(_xlfn.XLOOKUP($A1191,'Base SKUs'!$E:$E,'Base SKUs'!C:C),"")</f>
        <v>Long</v>
      </c>
      <c r="L1191" t="str">
        <f>IFERROR(_xlfn.XLOOKUP($A1191,'Base SKUs'!$E:$E,'Base SKUs'!D:D),"")</f>
        <v>Thermowood</v>
      </c>
      <c r="M1191" t="str">
        <f>IFERROR(_xlfn.XLOOKUP($A1191,'Base SKUs'!$E:$E,'Base SKUs'!G:G),"")</f>
        <v>Maximo Thermo Ayous</v>
      </c>
      <c r="N1191" t="str">
        <f>IFERROR(_xlfn.XLOOKUP($A1191,'Base SKUs'!$E:$E,'Base SKUs'!H:H),"")</f>
        <v>VJoint - Square Back</v>
      </c>
      <c r="O1191" t="str">
        <f>IFERROR(_xlfn.XLOOKUP($A1191,'Base SKUs'!$E:$E,'Base SKUs'!I:I),"")</f>
        <v>-</v>
      </c>
      <c r="P1191" t="str">
        <f>IFERROR(_xlfn.XLOOKUP($A1191,'Base SKUs'!$E:$E,'Base SKUs'!J:J),"")</f>
        <v>1x4</v>
      </c>
      <c r="Q1191">
        <f>IFERROR(_xlfn.XLOOKUP($A1191,'Base SKUs'!$E:$E,'Base SKUs'!K:K),"")</f>
        <v>16</v>
      </c>
      <c r="R1191" s="7">
        <f>IFERROR(_xlfn.XLOOKUP($A1191,'Base SKUs'!$E:$E,'Base SKUs'!S:S),"")</f>
        <v>8.3903999999999992E-3</v>
      </c>
      <c r="S1191" s="8">
        <f t="shared" si="92"/>
        <v>1.3340736</v>
      </c>
      <c r="T1191" s="7">
        <f>IFERROR(_xlfn.XLOOKUP($A1191,'Base SKUs'!$E:$E,'Base SKUs'!R:R),"")</f>
        <v>1876.9110000000001</v>
      </c>
      <c r="U1191" s="15">
        <f t="shared" si="93"/>
        <v>2504</v>
      </c>
      <c r="V1191" t="str">
        <f t="shared" si="94"/>
        <v>New York</v>
      </c>
    </row>
    <row r="1192" spans="1:22" x14ac:dyDescent="0.2">
      <c r="A1192" t="s">
        <v>1595</v>
      </c>
      <c r="B1192" s="5">
        <v>230</v>
      </c>
      <c r="C1192" s="5">
        <v>0</v>
      </c>
      <c r="D1192" s="5">
        <f t="shared" si="90"/>
        <v>230</v>
      </c>
      <c r="E1192" s="6">
        <v>17.9117</v>
      </c>
      <c r="F1192" s="6">
        <f t="shared" si="91"/>
        <v>4119.6909999999998</v>
      </c>
      <c r="G1192" t="s">
        <v>330</v>
      </c>
      <c r="H1192">
        <v>9011</v>
      </c>
      <c r="I1192" t="str">
        <f>IFERROR(_xlfn.XLOOKUP($A1192,'Base SKUs'!$E:$E,'Base SKUs'!A:A),"")</f>
        <v>Ayous</v>
      </c>
      <c r="J1192" t="str">
        <f>IFERROR(_xlfn.XLOOKUP($A1192,'Base SKUs'!$E:$E,'Base SKUs'!B:B),"")</f>
        <v>Ayous 1x4</v>
      </c>
      <c r="K1192" t="str">
        <f>IFERROR(_xlfn.XLOOKUP($A1192,'Base SKUs'!$E:$E,'Base SKUs'!C:C),"")</f>
        <v>Long</v>
      </c>
      <c r="L1192" t="str">
        <f>IFERROR(_xlfn.XLOOKUP($A1192,'Base SKUs'!$E:$E,'Base SKUs'!D:D),"")</f>
        <v>Thermowood</v>
      </c>
      <c r="M1192" t="str">
        <f>IFERROR(_xlfn.XLOOKUP($A1192,'Base SKUs'!$E:$E,'Base SKUs'!G:G),"")</f>
        <v>Maximo Thermo Ayous</v>
      </c>
      <c r="N1192" t="str">
        <f>IFERROR(_xlfn.XLOOKUP($A1192,'Base SKUs'!$E:$E,'Base SKUs'!H:H),"")</f>
        <v>VJoint - Square Back</v>
      </c>
      <c r="O1192" t="str">
        <f>IFERROR(_xlfn.XLOOKUP($A1192,'Base SKUs'!$E:$E,'Base SKUs'!I:I),"")</f>
        <v>-</v>
      </c>
      <c r="P1192" t="str">
        <f>IFERROR(_xlfn.XLOOKUP($A1192,'Base SKUs'!$E:$E,'Base SKUs'!J:J),"")</f>
        <v>1x4</v>
      </c>
      <c r="Q1192">
        <f>IFERROR(_xlfn.XLOOKUP($A1192,'Base SKUs'!$E:$E,'Base SKUs'!K:K),"")</f>
        <v>17</v>
      </c>
      <c r="R1192" s="7">
        <f>IFERROR(_xlfn.XLOOKUP($A1192,'Base SKUs'!$E:$E,'Base SKUs'!S:S),"")</f>
        <v>8.9147999999999988E-3</v>
      </c>
      <c r="S1192" s="8">
        <f t="shared" si="92"/>
        <v>2.0504039999999999</v>
      </c>
      <c r="T1192" s="7">
        <f>IFERROR(_xlfn.XLOOKUP($A1192,'Base SKUs'!$E:$E,'Base SKUs'!R:R),"")</f>
        <v>1876.9110000000001</v>
      </c>
      <c r="U1192" s="15">
        <f t="shared" si="93"/>
        <v>3848</v>
      </c>
      <c r="V1192" t="str">
        <f t="shared" si="94"/>
        <v>New York</v>
      </c>
    </row>
    <row r="1193" spans="1:22" x14ac:dyDescent="0.2">
      <c r="A1193" t="s">
        <v>1597</v>
      </c>
      <c r="B1193" s="5">
        <v>531</v>
      </c>
      <c r="C1193" s="5">
        <v>11</v>
      </c>
      <c r="D1193" s="5">
        <f t="shared" si="90"/>
        <v>520</v>
      </c>
      <c r="E1193" s="6">
        <v>6.3217999999999996</v>
      </c>
      <c r="F1193" s="6">
        <f t="shared" si="91"/>
        <v>3356.8757999999998</v>
      </c>
      <c r="G1193" t="s">
        <v>17</v>
      </c>
      <c r="H1193">
        <v>9007</v>
      </c>
      <c r="I1193" t="str">
        <f>IFERROR(_xlfn.XLOOKUP($A1193,'Base SKUs'!$E:$E,'Base SKUs'!A:A),"")</f>
        <v>Ayous</v>
      </c>
      <c r="J1193" t="str">
        <f>IFERROR(_xlfn.XLOOKUP($A1193,'Base SKUs'!$E:$E,'Base SKUs'!B:B),"")</f>
        <v>Ayous 1x4</v>
      </c>
      <c r="K1193" t="str">
        <f>IFERROR(_xlfn.XLOOKUP($A1193,'Base SKUs'!$E:$E,'Base SKUs'!C:C),"")</f>
        <v>Short</v>
      </c>
      <c r="L1193" t="str">
        <f>IFERROR(_xlfn.XLOOKUP($A1193,'Base SKUs'!$E:$E,'Base SKUs'!D:D),"")</f>
        <v>Thermowood</v>
      </c>
      <c r="M1193" t="str">
        <f>IFERROR(_xlfn.XLOOKUP($A1193,'Base SKUs'!$E:$E,'Base SKUs'!G:G),"")</f>
        <v>Maximo Thermo Ayous</v>
      </c>
      <c r="N1193" t="str">
        <f>IFERROR(_xlfn.XLOOKUP($A1193,'Base SKUs'!$E:$E,'Base SKUs'!H:H),"")</f>
        <v>VJoint - Square Back</v>
      </c>
      <c r="O1193" t="str">
        <f>IFERROR(_xlfn.XLOOKUP($A1193,'Base SKUs'!$E:$E,'Base SKUs'!I:I),"")</f>
        <v>-</v>
      </c>
      <c r="P1193" t="str">
        <f>IFERROR(_xlfn.XLOOKUP($A1193,'Base SKUs'!$E:$E,'Base SKUs'!J:J),"")</f>
        <v>1x4</v>
      </c>
      <c r="Q1193">
        <f>IFERROR(_xlfn.XLOOKUP($A1193,'Base SKUs'!$E:$E,'Base SKUs'!K:K),"")</f>
        <v>6</v>
      </c>
      <c r="R1193" s="7">
        <f>IFERROR(_xlfn.XLOOKUP($A1193,'Base SKUs'!$E:$E,'Base SKUs'!S:S),"")</f>
        <v>3.1464000000000002E-3</v>
      </c>
      <c r="S1193" s="8">
        <f t="shared" si="92"/>
        <v>1.636128</v>
      </c>
      <c r="T1193" s="7">
        <f>IFERROR(_xlfn.XLOOKUP($A1193,'Base SKUs'!$E:$E,'Base SKUs'!R:R),"")</f>
        <v>1876.9110000000001</v>
      </c>
      <c r="U1193" s="15">
        <f t="shared" si="93"/>
        <v>3071</v>
      </c>
      <c r="V1193" t="str">
        <f t="shared" si="94"/>
        <v>Miami</v>
      </c>
    </row>
    <row r="1194" spans="1:22" x14ac:dyDescent="0.2">
      <c r="A1194" t="s">
        <v>1599</v>
      </c>
      <c r="B1194" s="5">
        <v>1081</v>
      </c>
      <c r="C1194" s="5">
        <v>0</v>
      </c>
      <c r="D1194" s="5">
        <f t="shared" si="90"/>
        <v>1081</v>
      </c>
      <c r="E1194" s="6">
        <v>7.3754</v>
      </c>
      <c r="F1194" s="6">
        <f t="shared" si="91"/>
        <v>7972.8073999999997</v>
      </c>
      <c r="G1194" t="s">
        <v>17</v>
      </c>
      <c r="H1194">
        <v>9007</v>
      </c>
      <c r="I1194" t="str">
        <f>IFERROR(_xlfn.XLOOKUP($A1194,'Base SKUs'!$E:$E,'Base SKUs'!A:A),"")</f>
        <v>Ayous</v>
      </c>
      <c r="J1194" t="str">
        <f>IFERROR(_xlfn.XLOOKUP($A1194,'Base SKUs'!$E:$E,'Base SKUs'!B:B),"")</f>
        <v>Ayous 1x4</v>
      </c>
      <c r="K1194" t="str">
        <f>IFERROR(_xlfn.XLOOKUP($A1194,'Base SKUs'!$E:$E,'Base SKUs'!C:C),"")</f>
        <v>Short</v>
      </c>
      <c r="L1194" t="str">
        <f>IFERROR(_xlfn.XLOOKUP($A1194,'Base SKUs'!$E:$E,'Base SKUs'!D:D),"")</f>
        <v>Thermowood</v>
      </c>
      <c r="M1194" t="str">
        <f>IFERROR(_xlfn.XLOOKUP($A1194,'Base SKUs'!$E:$E,'Base SKUs'!G:G),"")</f>
        <v>Maximo Thermo Ayous</v>
      </c>
      <c r="N1194" t="str">
        <f>IFERROR(_xlfn.XLOOKUP($A1194,'Base SKUs'!$E:$E,'Base SKUs'!H:H),"")</f>
        <v>VJoint - Square Back</v>
      </c>
      <c r="O1194" t="str">
        <f>IFERROR(_xlfn.XLOOKUP($A1194,'Base SKUs'!$E:$E,'Base SKUs'!I:I),"")</f>
        <v>-</v>
      </c>
      <c r="P1194" t="str">
        <f>IFERROR(_xlfn.XLOOKUP($A1194,'Base SKUs'!$E:$E,'Base SKUs'!J:J),"")</f>
        <v>1x4</v>
      </c>
      <c r="Q1194">
        <f>IFERROR(_xlfn.XLOOKUP($A1194,'Base SKUs'!$E:$E,'Base SKUs'!K:K),"")</f>
        <v>7</v>
      </c>
      <c r="R1194" s="7">
        <f>IFERROR(_xlfn.XLOOKUP($A1194,'Base SKUs'!$E:$E,'Base SKUs'!S:S),"")</f>
        <v>3.6707999999999997E-3</v>
      </c>
      <c r="S1194" s="8">
        <f t="shared" si="92"/>
        <v>3.9681347999999996</v>
      </c>
      <c r="T1194" s="7">
        <f>IFERROR(_xlfn.XLOOKUP($A1194,'Base SKUs'!$E:$E,'Base SKUs'!R:R),"")</f>
        <v>1876.9110000000001</v>
      </c>
      <c r="U1194" s="15">
        <f t="shared" si="93"/>
        <v>7448</v>
      </c>
      <c r="V1194" t="str">
        <f t="shared" si="94"/>
        <v>Miami</v>
      </c>
    </row>
    <row r="1195" spans="1:22" x14ac:dyDescent="0.2">
      <c r="A1195" t="s">
        <v>1599</v>
      </c>
      <c r="B1195" s="5">
        <v>447</v>
      </c>
      <c r="C1195" s="5">
        <v>0</v>
      </c>
      <c r="D1195" s="5">
        <f t="shared" si="90"/>
        <v>447</v>
      </c>
      <c r="E1195" s="6">
        <v>7.3754</v>
      </c>
      <c r="F1195" s="6">
        <f t="shared" si="91"/>
        <v>3296.8038000000001</v>
      </c>
      <c r="G1195" t="s">
        <v>330</v>
      </c>
      <c r="H1195">
        <v>9011</v>
      </c>
      <c r="I1195" t="str">
        <f>IFERROR(_xlfn.XLOOKUP($A1195,'Base SKUs'!$E:$E,'Base SKUs'!A:A),"")</f>
        <v>Ayous</v>
      </c>
      <c r="J1195" t="str">
        <f>IFERROR(_xlfn.XLOOKUP($A1195,'Base SKUs'!$E:$E,'Base SKUs'!B:B),"")</f>
        <v>Ayous 1x4</v>
      </c>
      <c r="K1195" t="str">
        <f>IFERROR(_xlfn.XLOOKUP($A1195,'Base SKUs'!$E:$E,'Base SKUs'!C:C),"")</f>
        <v>Short</v>
      </c>
      <c r="L1195" t="str">
        <f>IFERROR(_xlfn.XLOOKUP($A1195,'Base SKUs'!$E:$E,'Base SKUs'!D:D),"")</f>
        <v>Thermowood</v>
      </c>
      <c r="M1195" t="str">
        <f>IFERROR(_xlfn.XLOOKUP($A1195,'Base SKUs'!$E:$E,'Base SKUs'!G:G),"")</f>
        <v>Maximo Thermo Ayous</v>
      </c>
      <c r="N1195" t="str">
        <f>IFERROR(_xlfn.XLOOKUP($A1195,'Base SKUs'!$E:$E,'Base SKUs'!H:H),"")</f>
        <v>VJoint - Square Back</v>
      </c>
      <c r="O1195" t="str">
        <f>IFERROR(_xlfn.XLOOKUP($A1195,'Base SKUs'!$E:$E,'Base SKUs'!I:I),"")</f>
        <v>-</v>
      </c>
      <c r="P1195" t="str">
        <f>IFERROR(_xlfn.XLOOKUP($A1195,'Base SKUs'!$E:$E,'Base SKUs'!J:J),"")</f>
        <v>1x4</v>
      </c>
      <c r="Q1195">
        <f>IFERROR(_xlfn.XLOOKUP($A1195,'Base SKUs'!$E:$E,'Base SKUs'!K:K),"")</f>
        <v>7</v>
      </c>
      <c r="R1195" s="7">
        <f>IFERROR(_xlfn.XLOOKUP($A1195,'Base SKUs'!$E:$E,'Base SKUs'!S:S),"")</f>
        <v>3.6707999999999997E-3</v>
      </c>
      <c r="S1195" s="8">
        <f t="shared" si="92"/>
        <v>1.6408475999999999</v>
      </c>
      <c r="T1195" s="7">
        <f>IFERROR(_xlfn.XLOOKUP($A1195,'Base SKUs'!$E:$E,'Base SKUs'!R:R),"")</f>
        <v>1876.9110000000001</v>
      </c>
      <c r="U1195" s="15">
        <f t="shared" si="93"/>
        <v>3080</v>
      </c>
      <c r="V1195" t="str">
        <f t="shared" si="94"/>
        <v>New York</v>
      </c>
    </row>
    <row r="1196" spans="1:22" x14ac:dyDescent="0.2">
      <c r="A1196" t="s">
        <v>1602</v>
      </c>
      <c r="B1196" s="5">
        <v>46</v>
      </c>
      <c r="C1196" s="5">
        <v>2</v>
      </c>
      <c r="D1196" s="5">
        <f t="shared" si="90"/>
        <v>44</v>
      </c>
      <c r="E1196" s="6">
        <v>9.4826999999999995</v>
      </c>
      <c r="F1196" s="6">
        <f t="shared" si="91"/>
        <v>436.20419999999996</v>
      </c>
      <c r="G1196" t="s">
        <v>17</v>
      </c>
      <c r="H1196">
        <v>9007</v>
      </c>
      <c r="I1196" t="str">
        <f>IFERROR(_xlfn.XLOOKUP($A1196,'Base SKUs'!$E:$E,'Base SKUs'!A:A),"")</f>
        <v>Ayous</v>
      </c>
      <c r="J1196" t="str">
        <f>IFERROR(_xlfn.XLOOKUP($A1196,'Base SKUs'!$E:$E,'Base SKUs'!B:B),"")</f>
        <v>Ayous 1x4</v>
      </c>
      <c r="K1196" t="str">
        <f>IFERROR(_xlfn.XLOOKUP($A1196,'Base SKUs'!$E:$E,'Base SKUs'!C:C),"")</f>
        <v>Long</v>
      </c>
      <c r="L1196" t="str">
        <f>IFERROR(_xlfn.XLOOKUP($A1196,'Base SKUs'!$E:$E,'Base SKUs'!D:D),"")</f>
        <v>Thermowood</v>
      </c>
      <c r="M1196" t="str">
        <f>IFERROR(_xlfn.XLOOKUP($A1196,'Base SKUs'!$E:$E,'Base SKUs'!G:G),"")</f>
        <v>Maximo Thermo Ayous</v>
      </c>
      <c r="N1196" t="str">
        <f>IFERROR(_xlfn.XLOOKUP($A1196,'Base SKUs'!$E:$E,'Base SKUs'!H:H),"")</f>
        <v>VJoint - Square Back</v>
      </c>
      <c r="O1196" t="str">
        <f>IFERROR(_xlfn.XLOOKUP($A1196,'Base SKUs'!$E:$E,'Base SKUs'!I:I),"")</f>
        <v>-</v>
      </c>
      <c r="P1196" t="str">
        <f>IFERROR(_xlfn.XLOOKUP($A1196,'Base SKUs'!$E:$E,'Base SKUs'!J:J),"")</f>
        <v>1x4</v>
      </c>
      <c r="Q1196">
        <f>IFERROR(_xlfn.XLOOKUP($A1196,'Base SKUs'!$E:$E,'Base SKUs'!K:K),"")</f>
        <v>9</v>
      </c>
      <c r="R1196" s="7">
        <f>IFERROR(_xlfn.XLOOKUP($A1196,'Base SKUs'!$E:$E,'Base SKUs'!S:S),"")</f>
        <v>4.7196000000000009E-3</v>
      </c>
      <c r="S1196" s="8">
        <f t="shared" si="92"/>
        <v>0.20766240000000002</v>
      </c>
      <c r="T1196" s="7">
        <f>IFERROR(_xlfn.XLOOKUP($A1196,'Base SKUs'!$E:$E,'Base SKUs'!R:R),"")</f>
        <v>1876.9110000000001</v>
      </c>
      <c r="U1196" s="15">
        <f t="shared" si="93"/>
        <v>390</v>
      </c>
      <c r="V1196" t="str">
        <f t="shared" si="94"/>
        <v>Miami</v>
      </c>
    </row>
    <row r="1197" spans="1:22" x14ac:dyDescent="0.2">
      <c r="A1197" t="s">
        <v>1602</v>
      </c>
      <c r="B1197" s="5">
        <v>290</v>
      </c>
      <c r="C1197" s="5">
        <v>15</v>
      </c>
      <c r="D1197" s="5">
        <f t="shared" si="90"/>
        <v>275</v>
      </c>
      <c r="E1197" s="6">
        <v>9.4826999999999995</v>
      </c>
      <c r="F1197" s="6">
        <f t="shared" si="91"/>
        <v>2749.9829999999997</v>
      </c>
      <c r="G1197" t="s">
        <v>330</v>
      </c>
      <c r="H1197">
        <v>9011</v>
      </c>
      <c r="I1197" t="str">
        <f>IFERROR(_xlfn.XLOOKUP($A1197,'Base SKUs'!$E:$E,'Base SKUs'!A:A),"")</f>
        <v>Ayous</v>
      </c>
      <c r="J1197" t="str">
        <f>IFERROR(_xlfn.XLOOKUP($A1197,'Base SKUs'!$E:$E,'Base SKUs'!B:B),"")</f>
        <v>Ayous 1x4</v>
      </c>
      <c r="K1197" t="str">
        <f>IFERROR(_xlfn.XLOOKUP($A1197,'Base SKUs'!$E:$E,'Base SKUs'!C:C),"")</f>
        <v>Long</v>
      </c>
      <c r="L1197" t="str">
        <f>IFERROR(_xlfn.XLOOKUP($A1197,'Base SKUs'!$E:$E,'Base SKUs'!D:D),"")</f>
        <v>Thermowood</v>
      </c>
      <c r="M1197" t="str">
        <f>IFERROR(_xlfn.XLOOKUP($A1197,'Base SKUs'!$E:$E,'Base SKUs'!G:G),"")</f>
        <v>Maximo Thermo Ayous</v>
      </c>
      <c r="N1197" t="str">
        <f>IFERROR(_xlfn.XLOOKUP($A1197,'Base SKUs'!$E:$E,'Base SKUs'!H:H),"")</f>
        <v>VJoint - Square Back</v>
      </c>
      <c r="O1197" t="str">
        <f>IFERROR(_xlfn.XLOOKUP($A1197,'Base SKUs'!$E:$E,'Base SKUs'!I:I),"")</f>
        <v>-</v>
      </c>
      <c r="P1197" t="str">
        <f>IFERROR(_xlfn.XLOOKUP($A1197,'Base SKUs'!$E:$E,'Base SKUs'!J:J),"")</f>
        <v>1x4</v>
      </c>
      <c r="Q1197">
        <f>IFERROR(_xlfn.XLOOKUP($A1197,'Base SKUs'!$E:$E,'Base SKUs'!K:K),"")</f>
        <v>9</v>
      </c>
      <c r="R1197" s="7">
        <f>IFERROR(_xlfn.XLOOKUP($A1197,'Base SKUs'!$E:$E,'Base SKUs'!S:S),"")</f>
        <v>4.7196000000000009E-3</v>
      </c>
      <c r="S1197" s="8">
        <f t="shared" si="92"/>
        <v>1.2978900000000002</v>
      </c>
      <c r="T1197" s="7">
        <f>IFERROR(_xlfn.XLOOKUP($A1197,'Base SKUs'!$E:$E,'Base SKUs'!R:R),"")</f>
        <v>1876.9110000000001</v>
      </c>
      <c r="U1197" s="15">
        <f t="shared" si="93"/>
        <v>2436</v>
      </c>
      <c r="V1197" t="str">
        <f t="shared" si="94"/>
        <v>New York</v>
      </c>
    </row>
    <row r="1198" spans="1:22" x14ac:dyDescent="0.2">
      <c r="A1198" t="s">
        <v>1604</v>
      </c>
      <c r="B1198" s="5">
        <v>2</v>
      </c>
      <c r="C1198" s="5">
        <v>0</v>
      </c>
      <c r="D1198" s="5">
        <f t="shared" si="90"/>
        <v>2</v>
      </c>
      <c r="E1198" s="6">
        <v>22.327200000000001</v>
      </c>
      <c r="F1198" s="6">
        <f t="shared" si="91"/>
        <v>44.654400000000003</v>
      </c>
      <c r="G1198" t="s">
        <v>24</v>
      </c>
      <c r="H1198">
        <v>9008</v>
      </c>
      <c r="I1198" t="str">
        <f>IFERROR(_xlfn.XLOOKUP($A1198,'Base SKUs'!$E:$E,'Base SKUs'!A:A),"")</f>
        <v>Radiata</v>
      </c>
      <c r="J1198" t="str">
        <f>IFERROR(_xlfn.XLOOKUP($A1198,'Base SKUs'!$E:$E,'Base SKUs'!B:B),"")</f>
        <v>Radiata 1x6</v>
      </c>
      <c r="K1198" t="str">
        <f>IFERROR(_xlfn.XLOOKUP($A1198,'Base SKUs'!$E:$E,'Base SKUs'!C:C),"")</f>
        <v>Long</v>
      </c>
      <c r="L1198" t="str">
        <f>IFERROR(_xlfn.XLOOKUP($A1198,'Base SKUs'!$E:$E,'Base SKUs'!D:D),"")</f>
        <v>Thermowood</v>
      </c>
      <c r="M1198" t="str">
        <f>IFERROR(_xlfn.XLOOKUP($A1198,'Base SKUs'!$E:$E,'Base SKUs'!G:G),"")</f>
        <v>Maximo Thermo Clear Radiata</v>
      </c>
      <c r="N1198" t="str">
        <f>IFERROR(_xlfn.XLOOKUP($A1198,'Base SKUs'!$E:$E,'Base SKUs'!H:H),"")</f>
        <v>Nickel Gap</v>
      </c>
      <c r="O1198" t="str">
        <f>IFERROR(_xlfn.XLOOKUP($A1198,'Base SKUs'!$E:$E,'Base SKUs'!I:I),"")</f>
        <v>Pre Finished Black</v>
      </c>
      <c r="P1198" t="str">
        <f>IFERROR(_xlfn.XLOOKUP($A1198,'Base SKUs'!$E:$E,'Base SKUs'!J:J),"")</f>
        <v>1x6</v>
      </c>
      <c r="Q1198">
        <f>IFERROR(_xlfn.XLOOKUP($A1198,'Base SKUs'!$E:$E,'Base SKUs'!K:K),"")</f>
        <v>10</v>
      </c>
      <c r="R1198" s="7">
        <f>IFERROR(_xlfn.XLOOKUP($A1198,'Base SKUs'!$E:$E,'Base SKUs'!S:S),"")</f>
        <v>7.8659999999999997E-3</v>
      </c>
      <c r="S1198" s="8">
        <f t="shared" si="92"/>
        <v>1.5731999999999999E-2</v>
      </c>
      <c r="T1198" s="7">
        <f>IFERROR(_xlfn.XLOOKUP($A1198,'Base SKUs'!$E:$E,'Base SKUs'!R:R),"")</f>
        <v>1251.2739999999999</v>
      </c>
      <c r="U1198" s="15">
        <f t="shared" si="93"/>
        <v>20</v>
      </c>
      <c r="V1198" t="str">
        <f t="shared" si="94"/>
        <v>Texas</v>
      </c>
    </row>
    <row r="1199" spans="1:22" x14ac:dyDescent="0.2">
      <c r="A1199" t="s">
        <v>1606</v>
      </c>
      <c r="B1199" s="5">
        <v>8</v>
      </c>
      <c r="C1199" s="5">
        <v>0</v>
      </c>
      <c r="D1199" s="5">
        <f t="shared" si="90"/>
        <v>8</v>
      </c>
      <c r="E1199" s="6">
        <v>24.559899999999999</v>
      </c>
      <c r="F1199" s="6">
        <f t="shared" si="91"/>
        <v>196.47919999999999</v>
      </c>
      <c r="G1199" t="s">
        <v>24</v>
      </c>
      <c r="H1199">
        <v>9008</v>
      </c>
      <c r="I1199" t="str">
        <f>IFERROR(_xlfn.XLOOKUP($A1199,'Base SKUs'!$E:$E,'Base SKUs'!A:A),"")</f>
        <v>Radiata</v>
      </c>
      <c r="J1199" t="str">
        <f>IFERROR(_xlfn.XLOOKUP($A1199,'Base SKUs'!$E:$E,'Base SKUs'!B:B),"")</f>
        <v>Radiata 1x6</v>
      </c>
      <c r="K1199" t="str">
        <f>IFERROR(_xlfn.XLOOKUP($A1199,'Base SKUs'!$E:$E,'Base SKUs'!C:C),"")</f>
        <v>Long</v>
      </c>
      <c r="L1199" t="str">
        <f>IFERROR(_xlfn.XLOOKUP($A1199,'Base SKUs'!$E:$E,'Base SKUs'!D:D),"")</f>
        <v>Thermowood</v>
      </c>
      <c r="M1199" t="str">
        <f>IFERROR(_xlfn.XLOOKUP($A1199,'Base SKUs'!$E:$E,'Base SKUs'!G:G),"")</f>
        <v>Maximo Thermo Clear Radiata</v>
      </c>
      <c r="N1199" t="str">
        <f>IFERROR(_xlfn.XLOOKUP($A1199,'Base SKUs'!$E:$E,'Base SKUs'!H:H),"")</f>
        <v>Nickel Gap</v>
      </c>
      <c r="O1199" t="str">
        <f>IFERROR(_xlfn.XLOOKUP($A1199,'Base SKUs'!$E:$E,'Base SKUs'!I:I),"")</f>
        <v>Pre Finished Black</v>
      </c>
      <c r="P1199" t="str">
        <f>IFERROR(_xlfn.XLOOKUP($A1199,'Base SKUs'!$E:$E,'Base SKUs'!J:J),"")</f>
        <v>1x6</v>
      </c>
      <c r="Q1199">
        <f>IFERROR(_xlfn.XLOOKUP($A1199,'Base SKUs'!$E:$E,'Base SKUs'!K:K),"")</f>
        <v>11</v>
      </c>
      <c r="R1199" s="7">
        <f>IFERROR(_xlfn.XLOOKUP($A1199,'Base SKUs'!$E:$E,'Base SKUs'!S:S),"")</f>
        <v>8.6525999999999999E-3</v>
      </c>
      <c r="S1199" s="8">
        <f t="shared" si="92"/>
        <v>6.9220799999999999E-2</v>
      </c>
      <c r="T1199" s="7">
        <f>IFERROR(_xlfn.XLOOKUP($A1199,'Base SKUs'!$E:$E,'Base SKUs'!R:R),"")</f>
        <v>1251.2739999999999</v>
      </c>
      <c r="U1199" s="15">
        <f t="shared" si="93"/>
        <v>87</v>
      </c>
      <c r="V1199" t="str">
        <f t="shared" si="94"/>
        <v>Texas</v>
      </c>
    </row>
    <row r="1200" spans="1:22" x14ac:dyDescent="0.2">
      <c r="A1200" t="s">
        <v>1606</v>
      </c>
      <c r="B1200" s="5">
        <v>16</v>
      </c>
      <c r="C1200" s="5">
        <v>0</v>
      </c>
      <c r="D1200" s="5">
        <f t="shared" si="90"/>
        <v>16</v>
      </c>
      <c r="E1200" s="6">
        <v>24.559899999999999</v>
      </c>
      <c r="F1200" s="6">
        <f t="shared" si="91"/>
        <v>392.95839999999998</v>
      </c>
      <c r="G1200" t="s">
        <v>330</v>
      </c>
      <c r="H1200">
        <v>9011</v>
      </c>
      <c r="I1200" t="str">
        <f>IFERROR(_xlfn.XLOOKUP($A1200,'Base SKUs'!$E:$E,'Base SKUs'!A:A),"")</f>
        <v>Radiata</v>
      </c>
      <c r="J1200" t="str">
        <f>IFERROR(_xlfn.XLOOKUP($A1200,'Base SKUs'!$E:$E,'Base SKUs'!B:B),"")</f>
        <v>Radiata 1x6</v>
      </c>
      <c r="K1200" t="str">
        <f>IFERROR(_xlfn.XLOOKUP($A1200,'Base SKUs'!$E:$E,'Base SKUs'!C:C),"")</f>
        <v>Long</v>
      </c>
      <c r="L1200" t="str">
        <f>IFERROR(_xlfn.XLOOKUP($A1200,'Base SKUs'!$E:$E,'Base SKUs'!D:D),"")</f>
        <v>Thermowood</v>
      </c>
      <c r="M1200" t="str">
        <f>IFERROR(_xlfn.XLOOKUP($A1200,'Base SKUs'!$E:$E,'Base SKUs'!G:G),"")</f>
        <v>Maximo Thermo Clear Radiata</v>
      </c>
      <c r="N1200" t="str">
        <f>IFERROR(_xlfn.XLOOKUP($A1200,'Base SKUs'!$E:$E,'Base SKUs'!H:H),"")</f>
        <v>Nickel Gap</v>
      </c>
      <c r="O1200" t="str">
        <f>IFERROR(_xlfn.XLOOKUP($A1200,'Base SKUs'!$E:$E,'Base SKUs'!I:I),"")</f>
        <v>Pre Finished Black</v>
      </c>
      <c r="P1200" t="str">
        <f>IFERROR(_xlfn.XLOOKUP($A1200,'Base SKUs'!$E:$E,'Base SKUs'!J:J),"")</f>
        <v>1x6</v>
      </c>
      <c r="Q1200">
        <f>IFERROR(_xlfn.XLOOKUP($A1200,'Base SKUs'!$E:$E,'Base SKUs'!K:K),"")</f>
        <v>11</v>
      </c>
      <c r="R1200" s="7">
        <f>IFERROR(_xlfn.XLOOKUP($A1200,'Base SKUs'!$E:$E,'Base SKUs'!S:S),"")</f>
        <v>8.6525999999999999E-3</v>
      </c>
      <c r="S1200" s="8">
        <f t="shared" si="92"/>
        <v>0.1384416</v>
      </c>
      <c r="T1200" s="7">
        <f>IFERROR(_xlfn.XLOOKUP($A1200,'Base SKUs'!$E:$E,'Base SKUs'!R:R),"")</f>
        <v>1251.2739999999999</v>
      </c>
      <c r="U1200" s="15">
        <f t="shared" si="93"/>
        <v>173</v>
      </c>
      <c r="V1200" t="str">
        <f t="shared" si="94"/>
        <v>New York</v>
      </c>
    </row>
    <row r="1201" spans="1:22" x14ac:dyDescent="0.2">
      <c r="A1201" t="s">
        <v>1608</v>
      </c>
      <c r="B1201" s="5">
        <v>8</v>
      </c>
      <c r="C1201" s="5">
        <v>0</v>
      </c>
      <c r="D1201" s="5">
        <f t="shared" si="90"/>
        <v>8</v>
      </c>
      <c r="E1201" s="6">
        <v>26.7926</v>
      </c>
      <c r="F1201" s="6">
        <f t="shared" si="91"/>
        <v>214.3408</v>
      </c>
      <c r="G1201" t="s">
        <v>24</v>
      </c>
      <c r="H1201">
        <v>9008</v>
      </c>
      <c r="I1201" t="str">
        <f>IFERROR(_xlfn.XLOOKUP($A1201,'Base SKUs'!$E:$E,'Base SKUs'!A:A),"")</f>
        <v>Radiata</v>
      </c>
      <c r="J1201" t="str">
        <f>IFERROR(_xlfn.XLOOKUP($A1201,'Base SKUs'!$E:$E,'Base SKUs'!B:B),"")</f>
        <v>Radiata 1x6</v>
      </c>
      <c r="K1201" t="str">
        <f>IFERROR(_xlfn.XLOOKUP($A1201,'Base SKUs'!$E:$E,'Base SKUs'!C:C),"")</f>
        <v>Long</v>
      </c>
      <c r="L1201" t="str">
        <f>IFERROR(_xlfn.XLOOKUP($A1201,'Base SKUs'!$E:$E,'Base SKUs'!D:D),"")</f>
        <v>Thermowood</v>
      </c>
      <c r="M1201" t="str">
        <f>IFERROR(_xlfn.XLOOKUP($A1201,'Base SKUs'!$E:$E,'Base SKUs'!G:G),"")</f>
        <v>Maximo Thermo Clear Radiata</v>
      </c>
      <c r="N1201" t="str">
        <f>IFERROR(_xlfn.XLOOKUP($A1201,'Base SKUs'!$E:$E,'Base SKUs'!H:H),"")</f>
        <v>Nickel Gap</v>
      </c>
      <c r="O1201" t="str">
        <f>IFERROR(_xlfn.XLOOKUP($A1201,'Base SKUs'!$E:$E,'Base SKUs'!I:I),"")</f>
        <v>Pre Finished Black</v>
      </c>
      <c r="P1201" t="str">
        <f>IFERROR(_xlfn.XLOOKUP($A1201,'Base SKUs'!$E:$E,'Base SKUs'!J:J),"")</f>
        <v>1x6</v>
      </c>
      <c r="Q1201">
        <f>IFERROR(_xlfn.XLOOKUP($A1201,'Base SKUs'!$E:$E,'Base SKUs'!K:K),"")</f>
        <v>12</v>
      </c>
      <c r="R1201" s="7">
        <f>IFERROR(_xlfn.XLOOKUP($A1201,'Base SKUs'!$E:$E,'Base SKUs'!S:S),"")</f>
        <v>9.4392E-3</v>
      </c>
      <c r="S1201" s="8">
        <f t="shared" si="92"/>
        <v>7.55136E-2</v>
      </c>
      <c r="T1201" s="7">
        <f>IFERROR(_xlfn.XLOOKUP($A1201,'Base SKUs'!$E:$E,'Base SKUs'!R:R),"")</f>
        <v>1251.2739999999999</v>
      </c>
      <c r="U1201" s="15">
        <f t="shared" si="93"/>
        <v>94</v>
      </c>
      <c r="V1201" t="str">
        <f t="shared" si="94"/>
        <v>Texas</v>
      </c>
    </row>
    <row r="1202" spans="1:22" x14ac:dyDescent="0.2">
      <c r="A1202" t="s">
        <v>1608</v>
      </c>
      <c r="B1202" s="5">
        <v>24</v>
      </c>
      <c r="C1202" s="5">
        <v>0</v>
      </c>
      <c r="D1202" s="5">
        <f t="shared" si="90"/>
        <v>24</v>
      </c>
      <c r="E1202" s="6">
        <v>26.7926</v>
      </c>
      <c r="F1202" s="6">
        <f t="shared" si="91"/>
        <v>643.02240000000006</v>
      </c>
      <c r="G1202" t="s">
        <v>330</v>
      </c>
      <c r="H1202">
        <v>9011</v>
      </c>
      <c r="I1202" t="str">
        <f>IFERROR(_xlfn.XLOOKUP($A1202,'Base SKUs'!$E:$E,'Base SKUs'!A:A),"")</f>
        <v>Radiata</v>
      </c>
      <c r="J1202" t="str">
        <f>IFERROR(_xlfn.XLOOKUP($A1202,'Base SKUs'!$E:$E,'Base SKUs'!B:B),"")</f>
        <v>Radiata 1x6</v>
      </c>
      <c r="K1202" t="str">
        <f>IFERROR(_xlfn.XLOOKUP($A1202,'Base SKUs'!$E:$E,'Base SKUs'!C:C),"")</f>
        <v>Long</v>
      </c>
      <c r="L1202" t="str">
        <f>IFERROR(_xlfn.XLOOKUP($A1202,'Base SKUs'!$E:$E,'Base SKUs'!D:D),"")</f>
        <v>Thermowood</v>
      </c>
      <c r="M1202" t="str">
        <f>IFERROR(_xlfn.XLOOKUP($A1202,'Base SKUs'!$E:$E,'Base SKUs'!G:G),"")</f>
        <v>Maximo Thermo Clear Radiata</v>
      </c>
      <c r="N1202" t="str">
        <f>IFERROR(_xlfn.XLOOKUP($A1202,'Base SKUs'!$E:$E,'Base SKUs'!H:H),"")</f>
        <v>Nickel Gap</v>
      </c>
      <c r="O1202" t="str">
        <f>IFERROR(_xlfn.XLOOKUP($A1202,'Base SKUs'!$E:$E,'Base SKUs'!I:I),"")</f>
        <v>Pre Finished Black</v>
      </c>
      <c r="P1202" t="str">
        <f>IFERROR(_xlfn.XLOOKUP($A1202,'Base SKUs'!$E:$E,'Base SKUs'!J:J),"")</f>
        <v>1x6</v>
      </c>
      <c r="Q1202">
        <f>IFERROR(_xlfn.XLOOKUP($A1202,'Base SKUs'!$E:$E,'Base SKUs'!K:K),"")</f>
        <v>12</v>
      </c>
      <c r="R1202" s="7">
        <f>IFERROR(_xlfn.XLOOKUP($A1202,'Base SKUs'!$E:$E,'Base SKUs'!S:S),"")</f>
        <v>9.4392E-3</v>
      </c>
      <c r="S1202" s="8">
        <f t="shared" si="92"/>
        <v>0.22654079999999999</v>
      </c>
      <c r="T1202" s="7">
        <f>IFERROR(_xlfn.XLOOKUP($A1202,'Base SKUs'!$E:$E,'Base SKUs'!R:R),"")</f>
        <v>1251.2739999999999</v>
      </c>
      <c r="U1202" s="15">
        <f t="shared" si="93"/>
        <v>283</v>
      </c>
      <c r="V1202" t="str">
        <f t="shared" si="94"/>
        <v>New York</v>
      </c>
    </row>
    <row r="1203" spans="1:22" x14ac:dyDescent="0.2">
      <c r="A1203" t="s">
        <v>1610</v>
      </c>
      <c r="B1203" s="5">
        <v>22</v>
      </c>
      <c r="C1203" s="5">
        <v>0</v>
      </c>
      <c r="D1203" s="5">
        <f t="shared" si="90"/>
        <v>22</v>
      </c>
      <c r="E1203" s="6">
        <v>29.025300000000001</v>
      </c>
      <c r="F1203" s="6">
        <f t="shared" si="91"/>
        <v>638.5566</v>
      </c>
      <c r="G1203" t="s">
        <v>24</v>
      </c>
      <c r="H1203">
        <v>9008</v>
      </c>
      <c r="I1203" t="str">
        <f>IFERROR(_xlfn.XLOOKUP($A1203,'Base SKUs'!$E:$E,'Base SKUs'!A:A),"")</f>
        <v>Radiata</v>
      </c>
      <c r="J1203" t="str">
        <f>IFERROR(_xlfn.XLOOKUP($A1203,'Base SKUs'!$E:$E,'Base SKUs'!B:B),"")</f>
        <v>Radiata 1x6</v>
      </c>
      <c r="K1203" t="str">
        <f>IFERROR(_xlfn.XLOOKUP($A1203,'Base SKUs'!$E:$E,'Base SKUs'!C:C),"")</f>
        <v>Long</v>
      </c>
      <c r="L1203" t="str">
        <f>IFERROR(_xlfn.XLOOKUP($A1203,'Base SKUs'!$E:$E,'Base SKUs'!D:D),"")</f>
        <v>Thermowood</v>
      </c>
      <c r="M1203" t="str">
        <f>IFERROR(_xlfn.XLOOKUP($A1203,'Base SKUs'!$E:$E,'Base SKUs'!G:G),"")</f>
        <v>Maximo Thermo Clear Radiata</v>
      </c>
      <c r="N1203" t="str">
        <f>IFERROR(_xlfn.XLOOKUP($A1203,'Base SKUs'!$E:$E,'Base SKUs'!H:H),"")</f>
        <v>Nickel Gap</v>
      </c>
      <c r="O1203" t="str">
        <f>IFERROR(_xlfn.XLOOKUP($A1203,'Base SKUs'!$E:$E,'Base SKUs'!I:I),"")</f>
        <v>Pre Finished Black</v>
      </c>
      <c r="P1203" t="str">
        <f>IFERROR(_xlfn.XLOOKUP($A1203,'Base SKUs'!$E:$E,'Base SKUs'!J:J),"")</f>
        <v>1x6</v>
      </c>
      <c r="Q1203">
        <f>IFERROR(_xlfn.XLOOKUP($A1203,'Base SKUs'!$E:$E,'Base SKUs'!K:K),"")</f>
        <v>13</v>
      </c>
      <c r="R1203" s="7">
        <f>IFERROR(_xlfn.XLOOKUP($A1203,'Base SKUs'!$E:$E,'Base SKUs'!S:S),"")</f>
        <v>1.02258E-2</v>
      </c>
      <c r="S1203" s="8">
        <f t="shared" si="92"/>
        <v>0.22496759999999999</v>
      </c>
      <c r="T1203" s="7">
        <f>IFERROR(_xlfn.XLOOKUP($A1203,'Base SKUs'!$E:$E,'Base SKUs'!R:R),"")</f>
        <v>1251.2739999999999</v>
      </c>
      <c r="U1203" s="15">
        <f t="shared" si="93"/>
        <v>281</v>
      </c>
      <c r="V1203" t="str">
        <f t="shared" si="94"/>
        <v>Texas</v>
      </c>
    </row>
    <row r="1204" spans="1:22" x14ac:dyDescent="0.2">
      <c r="A1204" t="s">
        <v>1610</v>
      </c>
      <c r="B1204" s="5">
        <v>1</v>
      </c>
      <c r="C1204" s="5">
        <v>0</v>
      </c>
      <c r="D1204" s="5">
        <f t="shared" si="90"/>
        <v>1</v>
      </c>
      <c r="E1204" s="6">
        <v>29.025300000000001</v>
      </c>
      <c r="F1204" s="6">
        <f t="shared" si="91"/>
        <v>29.025300000000001</v>
      </c>
      <c r="G1204" t="s">
        <v>330</v>
      </c>
      <c r="H1204">
        <v>9011</v>
      </c>
      <c r="I1204" t="str">
        <f>IFERROR(_xlfn.XLOOKUP($A1204,'Base SKUs'!$E:$E,'Base SKUs'!A:A),"")</f>
        <v>Radiata</v>
      </c>
      <c r="J1204" t="str">
        <f>IFERROR(_xlfn.XLOOKUP($A1204,'Base SKUs'!$E:$E,'Base SKUs'!B:B),"")</f>
        <v>Radiata 1x6</v>
      </c>
      <c r="K1204" t="str">
        <f>IFERROR(_xlfn.XLOOKUP($A1204,'Base SKUs'!$E:$E,'Base SKUs'!C:C),"")</f>
        <v>Long</v>
      </c>
      <c r="L1204" t="str">
        <f>IFERROR(_xlfn.XLOOKUP($A1204,'Base SKUs'!$E:$E,'Base SKUs'!D:D),"")</f>
        <v>Thermowood</v>
      </c>
      <c r="M1204" t="str">
        <f>IFERROR(_xlfn.XLOOKUP($A1204,'Base SKUs'!$E:$E,'Base SKUs'!G:G),"")</f>
        <v>Maximo Thermo Clear Radiata</v>
      </c>
      <c r="N1204" t="str">
        <f>IFERROR(_xlfn.XLOOKUP($A1204,'Base SKUs'!$E:$E,'Base SKUs'!H:H),"")</f>
        <v>Nickel Gap</v>
      </c>
      <c r="O1204" t="str">
        <f>IFERROR(_xlfn.XLOOKUP($A1204,'Base SKUs'!$E:$E,'Base SKUs'!I:I),"")</f>
        <v>Pre Finished Black</v>
      </c>
      <c r="P1204" t="str">
        <f>IFERROR(_xlfn.XLOOKUP($A1204,'Base SKUs'!$E:$E,'Base SKUs'!J:J),"")</f>
        <v>1x6</v>
      </c>
      <c r="Q1204">
        <f>IFERROR(_xlfn.XLOOKUP($A1204,'Base SKUs'!$E:$E,'Base SKUs'!K:K),"")</f>
        <v>13</v>
      </c>
      <c r="R1204" s="7">
        <f>IFERROR(_xlfn.XLOOKUP($A1204,'Base SKUs'!$E:$E,'Base SKUs'!S:S),"")</f>
        <v>1.02258E-2</v>
      </c>
      <c r="S1204" s="8">
        <f t="shared" si="92"/>
        <v>1.02258E-2</v>
      </c>
      <c r="T1204" s="7">
        <f>IFERROR(_xlfn.XLOOKUP($A1204,'Base SKUs'!$E:$E,'Base SKUs'!R:R),"")</f>
        <v>1251.2739999999999</v>
      </c>
      <c r="U1204" s="15">
        <f t="shared" si="93"/>
        <v>13</v>
      </c>
      <c r="V1204" t="str">
        <f t="shared" si="94"/>
        <v>New York</v>
      </c>
    </row>
    <row r="1205" spans="1:22" x14ac:dyDescent="0.2">
      <c r="A1205" t="s">
        <v>1612</v>
      </c>
      <c r="B1205" s="5">
        <v>2</v>
      </c>
      <c r="C1205" s="5">
        <v>2</v>
      </c>
      <c r="D1205" s="5">
        <f t="shared" si="90"/>
        <v>0</v>
      </c>
      <c r="E1205" s="6">
        <v>31.258099999999999</v>
      </c>
      <c r="F1205" s="6">
        <f t="shared" si="91"/>
        <v>62.516199999999998</v>
      </c>
      <c r="G1205" t="s">
        <v>17</v>
      </c>
      <c r="H1205">
        <v>9007</v>
      </c>
      <c r="I1205" t="str">
        <f>IFERROR(_xlfn.XLOOKUP($A1205,'Base SKUs'!$E:$E,'Base SKUs'!A:A),"")</f>
        <v>Radiata</v>
      </c>
      <c r="J1205" t="str">
        <f>IFERROR(_xlfn.XLOOKUP($A1205,'Base SKUs'!$E:$E,'Base SKUs'!B:B),"")</f>
        <v>Radiata 1x6</v>
      </c>
      <c r="K1205" t="str">
        <f>IFERROR(_xlfn.XLOOKUP($A1205,'Base SKUs'!$E:$E,'Base SKUs'!C:C),"")</f>
        <v>Long</v>
      </c>
      <c r="L1205" t="str">
        <f>IFERROR(_xlfn.XLOOKUP($A1205,'Base SKUs'!$E:$E,'Base SKUs'!D:D),"")</f>
        <v>Thermowood</v>
      </c>
      <c r="M1205" t="str">
        <f>IFERROR(_xlfn.XLOOKUP($A1205,'Base SKUs'!$E:$E,'Base SKUs'!G:G),"")</f>
        <v>Maximo Thermo Clear Radiata</v>
      </c>
      <c r="N1205" t="str">
        <f>IFERROR(_xlfn.XLOOKUP($A1205,'Base SKUs'!$E:$E,'Base SKUs'!H:H),"")</f>
        <v>Nickel Gap</v>
      </c>
      <c r="O1205" t="str">
        <f>IFERROR(_xlfn.XLOOKUP($A1205,'Base SKUs'!$E:$E,'Base SKUs'!I:I),"")</f>
        <v>Pre Finished Black</v>
      </c>
      <c r="P1205" t="str">
        <f>IFERROR(_xlfn.XLOOKUP($A1205,'Base SKUs'!$E:$E,'Base SKUs'!J:J),"")</f>
        <v>1x6</v>
      </c>
      <c r="Q1205">
        <f>IFERROR(_xlfn.XLOOKUP($A1205,'Base SKUs'!$E:$E,'Base SKUs'!K:K),"")</f>
        <v>14</v>
      </c>
      <c r="R1205" s="7">
        <f>IFERROR(_xlfn.XLOOKUP($A1205,'Base SKUs'!$E:$E,'Base SKUs'!S:S),"")</f>
        <v>1.10124E-2</v>
      </c>
      <c r="S1205" s="8">
        <f t="shared" si="92"/>
        <v>0</v>
      </c>
      <c r="T1205" s="7">
        <f>IFERROR(_xlfn.XLOOKUP($A1205,'Base SKUs'!$E:$E,'Base SKUs'!R:R),"")</f>
        <v>1251.2739999999999</v>
      </c>
      <c r="U1205" s="15">
        <f t="shared" si="93"/>
        <v>0</v>
      </c>
      <c r="V1205" t="str">
        <f t="shared" si="94"/>
        <v>Miami</v>
      </c>
    </row>
    <row r="1206" spans="1:22" x14ac:dyDescent="0.2">
      <c r="A1206" t="s">
        <v>1612</v>
      </c>
      <c r="B1206" s="5">
        <v>344</v>
      </c>
      <c r="C1206" s="5">
        <v>0</v>
      </c>
      <c r="D1206" s="5">
        <f t="shared" si="90"/>
        <v>344</v>
      </c>
      <c r="E1206" s="6">
        <v>31.258099999999999</v>
      </c>
      <c r="F1206" s="6">
        <f t="shared" si="91"/>
        <v>10752.786399999999</v>
      </c>
      <c r="G1206" t="s">
        <v>24</v>
      </c>
      <c r="H1206">
        <v>9008</v>
      </c>
      <c r="I1206" t="str">
        <f>IFERROR(_xlfn.XLOOKUP($A1206,'Base SKUs'!$E:$E,'Base SKUs'!A:A),"")</f>
        <v>Radiata</v>
      </c>
      <c r="J1206" t="str">
        <f>IFERROR(_xlfn.XLOOKUP($A1206,'Base SKUs'!$E:$E,'Base SKUs'!B:B),"")</f>
        <v>Radiata 1x6</v>
      </c>
      <c r="K1206" t="str">
        <f>IFERROR(_xlfn.XLOOKUP($A1206,'Base SKUs'!$E:$E,'Base SKUs'!C:C),"")</f>
        <v>Long</v>
      </c>
      <c r="L1206" t="str">
        <f>IFERROR(_xlfn.XLOOKUP($A1206,'Base SKUs'!$E:$E,'Base SKUs'!D:D),"")</f>
        <v>Thermowood</v>
      </c>
      <c r="M1206" t="str">
        <f>IFERROR(_xlfn.XLOOKUP($A1206,'Base SKUs'!$E:$E,'Base SKUs'!G:G),"")</f>
        <v>Maximo Thermo Clear Radiata</v>
      </c>
      <c r="N1206" t="str">
        <f>IFERROR(_xlfn.XLOOKUP($A1206,'Base SKUs'!$E:$E,'Base SKUs'!H:H),"")</f>
        <v>Nickel Gap</v>
      </c>
      <c r="O1206" t="str">
        <f>IFERROR(_xlfn.XLOOKUP($A1206,'Base SKUs'!$E:$E,'Base SKUs'!I:I),"")</f>
        <v>Pre Finished Black</v>
      </c>
      <c r="P1206" t="str">
        <f>IFERROR(_xlfn.XLOOKUP($A1206,'Base SKUs'!$E:$E,'Base SKUs'!J:J),"")</f>
        <v>1x6</v>
      </c>
      <c r="Q1206">
        <f>IFERROR(_xlfn.XLOOKUP($A1206,'Base SKUs'!$E:$E,'Base SKUs'!K:K),"")</f>
        <v>14</v>
      </c>
      <c r="R1206" s="7">
        <f>IFERROR(_xlfn.XLOOKUP($A1206,'Base SKUs'!$E:$E,'Base SKUs'!S:S),"")</f>
        <v>1.10124E-2</v>
      </c>
      <c r="S1206" s="8">
        <f t="shared" si="92"/>
        <v>3.7882655999999999</v>
      </c>
      <c r="T1206" s="7">
        <f>IFERROR(_xlfn.XLOOKUP($A1206,'Base SKUs'!$E:$E,'Base SKUs'!R:R),"")</f>
        <v>1251.2739999999999</v>
      </c>
      <c r="U1206" s="15">
        <f t="shared" si="93"/>
        <v>4740</v>
      </c>
      <c r="V1206" t="str">
        <f t="shared" si="94"/>
        <v>Texas</v>
      </c>
    </row>
    <row r="1207" spans="1:22" x14ac:dyDescent="0.2">
      <c r="A1207" t="s">
        <v>1612</v>
      </c>
      <c r="B1207" s="5">
        <v>60</v>
      </c>
      <c r="C1207" s="5">
        <v>5</v>
      </c>
      <c r="D1207" s="5">
        <f t="shared" si="90"/>
        <v>55</v>
      </c>
      <c r="E1207" s="6">
        <v>31.258099999999999</v>
      </c>
      <c r="F1207" s="6">
        <f t="shared" si="91"/>
        <v>1875.4859999999999</v>
      </c>
      <c r="G1207" t="s">
        <v>330</v>
      </c>
      <c r="H1207">
        <v>9011</v>
      </c>
      <c r="I1207" t="str">
        <f>IFERROR(_xlfn.XLOOKUP($A1207,'Base SKUs'!$E:$E,'Base SKUs'!A:A),"")</f>
        <v>Radiata</v>
      </c>
      <c r="J1207" t="str">
        <f>IFERROR(_xlfn.XLOOKUP($A1207,'Base SKUs'!$E:$E,'Base SKUs'!B:B),"")</f>
        <v>Radiata 1x6</v>
      </c>
      <c r="K1207" t="str">
        <f>IFERROR(_xlfn.XLOOKUP($A1207,'Base SKUs'!$E:$E,'Base SKUs'!C:C),"")</f>
        <v>Long</v>
      </c>
      <c r="L1207" t="str">
        <f>IFERROR(_xlfn.XLOOKUP($A1207,'Base SKUs'!$E:$E,'Base SKUs'!D:D),"")</f>
        <v>Thermowood</v>
      </c>
      <c r="M1207" t="str">
        <f>IFERROR(_xlfn.XLOOKUP($A1207,'Base SKUs'!$E:$E,'Base SKUs'!G:G),"")</f>
        <v>Maximo Thermo Clear Radiata</v>
      </c>
      <c r="N1207" t="str">
        <f>IFERROR(_xlfn.XLOOKUP($A1207,'Base SKUs'!$E:$E,'Base SKUs'!H:H),"")</f>
        <v>Nickel Gap</v>
      </c>
      <c r="O1207" t="str">
        <f>IFERROR(_xlfn.XLOOKUP($A1207,'Base SKUs'!$E:$E,'Base SKUs'!I:I),"")</f>
        <v>Pre Finished Black</v>
      </c>
      <c r="P1207" t="str">
        <f>IFERROR(_xlfn.XLOOKUP($A1207,'Base SKUs'!$E:$E,'Base SKUs'!J:J),"")</f>
        <v>1x6</v>
      </c>
      <c r="Q1207">
        <f>IFERROR(_xlfn.XLOOKUP($A1207,'Base SKUs'!$E:$E,'Base SKUs'!K:K),"")</f>
        <v>14</v>
      </c>
      <c r="R1207" s="7">
        <f>IFERROR(_xlfn.XLOOKUP($A1207,'Base SKUs'!$E:$E,'Base SKUs'!S:S),"")</f>
        <v>1.10124E-2</v>
      </c>
      <c r="S1207" s="8">
        <f t="shared" si="92"/>
        <v>0.60568200000000005</v>
      </c>
      <c r="T1207" s="7">
        <f>IFERROR(_xlfn.XLOOKUP($A1207,'Base SKUs'!$E:$E,'Base SKUs'!R:R),"")</f>
        <v>1251.2739999999999</v>
      </c>
      <c r="U1207" s="15">
        <f t="shared" si="93"/>
        <v>758</v>
      </c>
      <c r="V1207" t="str">
        <f t="shared" si="94"/>
        <v>New York</v>
      </c>
    </row>
    <row r="1208" spans="1:22" x14ac:dyDescent="0.2">
      <c r="A1208" t="s">
        <v>1614</v>
      </c>
      <c r="B1208" s="5">
        <v>3</v>
      </c>
      <c r="C1208" s="5">
        <v>0</v>
      </c>
      <c r="D1208" s="5">
        <f t="shared" si="90"/>
        <v>3</v>
      </c>
      <c r="E1208" s="6">
        <v>33.4908</v>
      </c>
      <c r="F1208" s="6">
        <f t="shared" si="91"/>
        <v>100.47239999999999</v>
      </c>
      <c r="G1208" t="s">
        <v>24</v>
      </c>
      <c r="H1208">
        <v>9008</v>
      </c>
      <c r="I1208" t="str">
        <f>IFERROR(_xlfn.XLOOKUP($A1208,'Base SKUs'!$E:$E,'Base SKUs'!A:A),"")</f>
        <v>Radiata</v>
      </c>
      <c r="J1208" t="str">
        <f>IFERROR(_xlfn.XLOOKUP($A1208,'Base SKUs'!$E:$E,'Base SKUs'!B:B),"")</f>
        <v>Radiata 1x6</v>
      </c>
      <c r="K1208" t="str">
        <f>IFERROR(_xlfn.XLOOKUP($A1208,'Base SKUs'!$E:$E,'Base SKUs'!C:C),"")</f>
        <v>Long</v>
      </c>
      <c r="L1208" t="str">
        <f>IFERROR(_xlfn.XLOOKUP($A1208,'Base SKUs'!$E:$E,'Base SKUs'!D:D),"")</f>
        <v>Thermowood</v>
      </c>
      <c r="M1208" t="str">
        <f>IFERROR(_xlfn.XLOOKUP($A1208,'Base SKUs'!$E:$E,'Base SKUs'!G:G),"")</f>
        <v>Maximo Thermo Clear Radiata</v>
      </c>
      <c r="N1208" t="str">
        <f>IFERROR(_xlfn.XLOOKUP($A1208,'Base SKUs'!$E:$E,'Base SKUs'!H:H),"")</f>
        <v>Nickel Gap</v>
      </c>
      <c r="O1208" t="str">
        <f>IFERROR(_xlfn.XLOOKUP($A1208,'Base SKUs'!$E:$E,'Base SKUs'!I:I),"")</f>
        <v>Pre Finished Black</v>
      </c>
      <c r="P1208" t="str">
        <f>IFERROR(_xlfn.XLOOKUP($A1208,'Base SKUs'!$E:$E,'Base SKUs'!J:J),"")</f>
        <v>1x6</v>
      </c>
      <c r="Q1208">
        <f>IFERROR(_xlfn.XLOOKUP($A1208,'Base SKUs'!$E:$E,'Base SKUs'!K:K),"")</f>
        <v>15</v>
      </c>
      <c r="R1208" s="7">
        <f>IFERROR(_xlfn.XLOOKUP($A1208,'Base SKUs'!$E:$E,'Base SKUs'!S:S),"")</f>
        <v>1.1799E-2</v>
      </c>
      <c r="S1208" s="8">
        <f t="shared" si="92"/>
        <v>3.5396999999999998E-2</v>
      </c>
      <c r="T1208" s="7">
        <f>IFERROR(_xlfn.XLOOKUP($A1208,'Base SKUs'!$E:$E,'Base SKUs'!R:R),"")</f>
        <v>1251.2739999999999</v>
      </c>
      <c r="U1208" s="15">
        <f t="shared" si="93"/>
        <v>44</v>
      </c>
      <c r="V1208" t="str">
        <f t="shared" si="94"/>
        <v>Texas</v>
      </c>
    </row>
    <row r="1209" spans="1:22" x14ac:dyDescent="0.2">
      <c r="A1209" t="s">
        <v>1616</v>
      </c>
      <c r="B1209" s="5">
        <v>95</v>
      </c>
      <c r="C1209" s="5">
        <v>95</v>
      </c>
      <c r="D1209" s="5">
        <f t="shared" si="90"/>
        <v>0</v>
      </c>
      <c r="E1209" s="6">
        <v>35.723500000000001</v>
      </c>
      <c r="F1209" s="6">
        <f t="shared" si="91"/>
        <v>3393.7325000000001</v>
      </c>
      <c r="G1209" t="s">
        <v>17</v>
      </c>
      <c r="H1209">
        <v>9007</v>
      </c>
      <c r="I1209" t="str">
        <f>IFERROR(_xlfn.XLOOKUP($A1209,'Base SKUs'!$E:$E,'Base SKUs'!A:A),"")</f>
        <v>Radiata</v>
      </c>
      <c r="J1209" t="str">
        <f>IFERROR(_xlfn.XLOOKUP($A1209,'Base SKUs'!$E:$E,'Base SKUs'!B:B),"")</f>
        <v>Radiata 1x6</v>
      </c>
      <c r="K1209" t="str">
        <f>IFERROR(_xlfn.XLOOKUP($A1209,'Base SKUs'!$E:$E,'Base SKUs'!C:C),"")</f>
        <v>Long</v>
      </c>
      <c r="L1209" t="str">
        <f>IFERROR(_xlfn.XLOOKUP($A1209,'Base SKUs'!$E:$E,'Base SKUs'!D:D),"")</f>
        <v>Thermowood</v>
      </c>
      <c r="M1209" t="str">
        <f>IFERROR(_xlfn.XLOOKUP($A1209,'Base SKUs'!$E:$E,'Base SKUs'!G:G),"")</f>
        <v>Maximo Thermo Clear Radiata</v>
      </c>
      <c r="N1209" t="str">
        <f>IFERROR(_xlfn.XLOOKUP($A1209,'Base SKUs'!$E:$E,'Base SKUs'!H:H),"")</f>
        <v>Nickel Gap</v>
      </c>
      <c r="O1209" t="str">
        <f>IFERROR(_xlfn.XLOOKUP($A1209,'Base SKUs'!$E:$E,'Base SKUs'!I:I),"")</f>
        <v>Pre Finished Black</v>
      </c>
      <c r="P1209" t="str">
        <f>IFERROR(_xlfn.XLOOKUP($A1209,'Base SKUs'!$E:$E,'Base SKUs'!J:J),"")</f>
        <v>1x6</v>
      </c>
      <c r="Q1209">
        <f>IFERROR(_xlfn.XLOOKUP($A1209,'Base SKUs'!$E:$E,'Base SKUs'!K:K),"")</f>
        <v>16</v>
      </c>
      <c r="R1209" s="7">
        <f>IFERROR(_xlfn.XLOOKUP($A1209,'Base SKUs'!$E:$E,'Base SKUs'!S:S),"")</f>
        <v>1.2585600000000001E-2</v>
      </c>
      <c r="S1209" s="8">
        <f t="shared" si="92"/>
        <v>0</v>
      </c>
      <c r="T1209" s="7">
        <f>IFERROR(_xlfn.XLOOKUP($A1209,'Base SKUs'!$E:$E,'Base SKUs'!R:R),"")</f>
        <v>1251.2739999999999</v>
      </c>
      <c r="U1209" s="15">
        <f t="shared" si="93"/>
        <v>0</v>
      </c>
      <c r="V1209" t="str">
        <f t="shared" si="94"/>
        <v>Miami</v>
      </c>
    </row>
    <row r="1210" spans="1:22" x14ac:dyDescent="0.2">
      <c r="A1210" t="s">
        <v>1616</v>
      </c>
      <c r="B1210" s="5">
        <v>9</v>
      </c>
      <c r="C1210" s="5">
        <v>0</v>
      </c>
      <c r="D1210" s="5">
        <f t="shared" si="90"/>
        <v>9</v>
      </c>
      <c r="E1210" s="6">
        <v>35.723500000000001</v>
      </c>
      <c r="F1210" s="6">
        <f t="shared" si="91"/>
        <v>321.51150000000001</v>
      </c>
      <c r="G1210" t="s">
        <v>24</v>
      </c>
      <c r="H1210">
        <v>9008</v>
      </c>
      <c r="I1210" t="str">
        <f>IFERROR(_xlfn.XLOOKUP($A1210,'Base SKUs'!$E:$E,'Base SKUs'!A:A),"")</f>
        <v>Radiata</v>
      </c>
      <c r="J1210" t="str">
        <f>IFERROR(_xlfn.XLOOKUP($A1210,'Base SKUs'!$E:$E,'Base SKUs'!B:B),"")</f>
        <v>Radiata 1x6</v>
      </c>
      <c r="K1210" t="str">
        <f>IFERROR(_xlfn.XLOOKUP($A1210,'Base SKUs'!$E:$E,'Base SKUs'!C:C),"")</f>
        <v>Long</v>
      </c>
      <c r="L1210" t="str">
        <f>IFERROR(_xlfn.XLOOKUP($A1210,'Base SKUs'!$E:$E,'Base SKUs'!D:D),"")</f>
        <v>Thermowood</v>
      </c>
      <c r="M1210" t="str">
        <f>IFERROR(_xlfn.XLOOKUP($A1210,'Base SKUs'!$E:$E,'Base SKUs'!G:G),"")</f>
        <v>Maximo Thermo Clear Radiata</v>
      </c>
      <c r="N1210" t="str">
        <f>IFERROR(_xlfn.XLOOKUP($A1210,'Base SKUs'!$E:$E,'Base SKUs'!H:H),"")</f>
        <v>Nickel Gap</v>
      </c>
      <c r="O1210" t="str">
        <f>IFERROR(_xlfn.XLOOKUP($A1210,'Base SKUs'!$E:$E,'Base SKUs'!I:I),"")</f>
        <v>Pre Finished Black</v>
      </c>
      <c r="P1210" t="str">
        <f>IFERROR(_xlfn.XLOOKUP($A1210,'Base SKUs'!$E:$E,'Base SKUs'!J:J),"")</f>
        <v>1x6</v>
      </c>
      <c r="Q1210">
        <f>IFERROR(_xlfn.XLOOKUP($A1210,'Base SKUs'!$E:$E,'Base SKUs'!K:K),"")</f>
        <v>16</v>
      </c>
      <c r="R1210" s="7">
        <f>IFERROR(_xlfn.XLOOKUP($A1210,'Base SKUs'!$E:$E,'Base SKUs'!S:S),"")</f>
        <v>1.2585600000000001E-2</v>
      </c>
      <c r="S1210" s="8">
        <f t="shared" si="92"/>
        <v>0.11327040000000001</v>
      </c>
      <c r="T1210" s="7">
        <f>IFERROR(_xlfn.XLOOKUP($A1210,'Base SKUs'!$E:$E,'Base SKUs'!R:R),"")</f>
        <v>1251.2739999999999</v>
      </c>
      <c r="U1210" s="15">
        <f t="shared" si="93"/>
        <v>142</v>
      </c>
      <c r="V1210" t="str">
        <f t="shared" si="94"/>
        <v>Texas</v>
      </c>
    </row>
    <row r="1211" spans="1:22" x14ac:dyDescent="0.2">
      <c r="A1211" t="s">
        <v>1616</v>
      </c>
      <c r="B1211" s="5">
        <v>683</v>
      </c>
      <c r="C1211" s="5">
        <v>118</v>
      </c>
      <c r="D1211" s="5">
        <f t="shared" si="90"/>
        <v>565</v>
      </c>
      <c r="E1211" s="6">
        <v>35.723500000000001</v>
      </c>
      <c r="F1211" s="6">
        <f t="shared" si="91"/>
        <v>24399.1505</v>
      </c>
      <c r="G1211" t="s">
        <v>330</v>
      </c>
      <c r="H1211">
        <v>9011</v>
      </c>
      <c r="I1211" t="str">
        <f>IFERROR(_xlfn.XLOOKUP($A1211,'Base SKUs'!$E:$E,'Base SKUs'!A:A),"")</f>
        <v>Radiata</v>
      </c>
      <c r="J1211" t="str">
        <f>IFERROR(_xlfn.XLOOKUP($A1211,'Base SKUs'!$E:$E,'Base SKUs'!B:B),"")</f>
        <v>Radiata 1x6</v>
      </c>
      <c r="K1211" t="str">
        <f>IFERROR(_xlfn.XLOOKUP($A1211,'Base SKUs'!$E:$E,'Base SKUs'!C:C),"")</f>
        <v>Long</v>
      </c>
      <c r="L1211" t="str">
        <f>IFERROR(_xlfn.XLOOKUP($A1211,'Base SKUs'!$E:$E,'Base SKUs'!D:D),"")</f>
        <v>Thermowood</v>
      </c>
      <c r="M1211" t="str">
        <f>IFERROR(_xlfn.XLOOKUP($A1211,'Base SKUs'!$E:$E,'Base SKUs'!G:G),"")</f>
        <v>Maximo Thermo Clear Radiata</v>
      </c>
      <c r="N1211" t="str">
        <f>IFERROR(_xlfn.XLOOKUP($A1211,'Base SKUs'!$E:$E,'Base SKUs'!H:H),"")</f>
        <v>Nickel Gap</v>
      </c>
      <c r="O1211" t="str">
        <f>IFERROR(_xlfn.XLOOKUP($A1211,'Base SKUs'!$E:$E,'Base SKUs'!I:I),"")</f>
        <v>Pre Finished Black</v>
      </c>
      <c r="P1211" t="str">
        <f>IFERROR(_xlfn.XLOOKUP($A1211,'Base SKUs'!$E:$E,'Base SKUs'!J:J),"")</f>
        <v>1x6</v>
      </c>
      <c r="Q1211">
        <f>IFERROR(_xlfn.XLOOKUP($A1211,'Base SKUs'!$E:$E,'Base SKUs'!K:K),"")</f>
        <v>16</v>
      </c>
      <c r="R1211" s="7">
        <f>IFERROR(_xlfn.XLOOKUP($A1211,'Base SKUs'!$E:$E,'Base SKUs'!S:S),"")</f>
        <v>1.2585600000000001E-2</v>
      </c>
      <c r="S1211" s="8">
        <f t="shared" si="92"/>
        <v>7.1108640000000003</v>
      </c>
      <c r="T1211" s="7">
        <f>IFERROR(_xlfn.XLOOKUP($A1211,'Base SKUs'!$E:$E,'Base SKUs'!R:R),"")</f>
        <v>1251.2739999999999</v>
      </c>
      <c r="U1211" s="15">
        <f t="shared" si="93"/>
        <v>8898</v>
      </c>
      <c r="V1211" t="str">
        <f t="shared" si="94"/>
        <v>New York</v>
      </c>
    </row>
    <row r="1212" spans="1:22" x14ac:dyDescent="0.2">
      <c r="A1212" t="s">
        <v>1618</v>
      </c>
      <c r="B1212" s="5">
        <v>23</v>
      </c>
      <c r="C1212" s="5">
        <v>0</v>
      </c>
      <c r="D1212" s="5">
        <f t="shared" si="90"/>
        <v>23</v>
      </c>
      <c r="E1212" s="6">
        <v>37.956200000000003</v>
      </c>
      <c r="F1212" s="6">
        <f t="shared" si="91"/>
        <v>872.99260000000004</v>
      </c>
      <c r="G1212" t="s">
        <v>24</v>
      </c>
      <c r="H1212">
        <v>9008</v>
      </c>
      <c r="I1212" t="str">
        <f>IFERROR(_xlfn.XLOOKUP($A1212,'Base SKUs'!$E:$E,'Base SKUs'!A:A),"")</f>
        <v>Radiata</v>
      </c>
      <c r="J1212" t="str">
        <f>IFERROR(_xlfn.XLOOKUP($A1212,'Base SKUs'!$E:$E,'Base SKUs'!B:B),"")</f>
        <v>Radiata 1x6</v>
      </c>
      <c r="K1212" t="str">
        <f>IFERROR(_xlfn.XLOOKUP($A1212,'Base SKUs'!$E:$E,'Base SKUs'!C:C),"")</f>
        <v>Long</v>
      </c>
      <c r="L1212" t="str">
        <f>IFERROR(_xlfn.XLOOKUP($A1212,'Base SKUs'!$E:$E,'Base SKUs'!D:D),"")</f>
        <v>Thermowood</v>
      </c>
      <c r="M1212" t="str">
        <f>IFERROR(_xlfn.XLOOKUP($A1212,'Base SKUs'!$E:$E,'Base SKUs'!G:G),"")</f>
        <v>Maximo Thermo Clear Radiata</v>
      </c>
      <c r="N1212" t="str">
        <f>IFERROR(_xlfn.XLOOKUP($A1212,'Base SKUs'!$E:$E,'Base SKUs'!H:H),"")</f>
        <v>Nickel Gap</v>
      </c>
      <c r="O1212" t="str">
        <f>IFERROR(_xlfn.XLOOKUP($A1212,'Base SKUs'!$E:$E,'Base SKUs'!I:I),"")</f>
        <v>Pre Finished Black</v>
      </c>
      <c r="P1212" t="str">
        <f>IFERROR(_xlfn.XLOOKUP($A1212,'Base SKUs'!$E:$E,'Base SKUs'!J:J),"")</f>
        <v>1x6</v>
      </c>
      <c r="Q1212">
        <f>IFERROR(_xlfn.XLOOKUP($A1212,'Base SKUs'!$E:$E,'Base SKUs'!K:K),"")</f>
        <v>17</v>
      </c>
      <c r="R1212" s="7">
        <f>IFERROR(_xlfn.XLOOKUP($A1212,'Base SKUs'!$E:$E,'Base SKUs'!S:S),"")</f>
        <v>1.3372199999999997E-2</v>
      </c>
      <c r="S1212" s="8">
        <f t="shared" si="92"/>
        <v>0.30756059999999996</v>
      </c>
      <c r="T1212" s="7">
        <f>IFERROR(_xlfn.XLOOKUP($A1212,'Base SKUs'!$E:$E,'Base SKUs'!R:R),"")</f>
        <v>1251.2739999999999</v>
      </c>
      <c r="U1212" s="15">
        <f t="shared" si="93"/>
        <v>385</v>
      </c>
      <c r="V1212" t="str">
        <f t="shared" si="94"/>
        <v>Texas</v>
      </c>
    </row>
    <row r="1213" spans="1:22" x14ac:dyDescent="0.2">
      <c r="A1213" t="s">
        <v>1620</v>
      </c>
      <c r="B1213" s="5">
        <v>323</v>
      </c>
      <c r="C1213" s="5">
        <v>0</v>
      </c>
      <c r="D1213" s="5">
        <f t="shared" si="90"/>
        <v>323</v>
      </c>
      <c r="E1213" s="6">
        <v>40.189</v>
      </c>
      <c r="F1213" s="6">
        <f t="shared" si="91"/>
        <v>12981.047</v>
      </c>
      <c r="G1213" t="s">
        <v>24</v>
      </c>
      <c r="H1213">
        <v>9008</v>
      </c>
      <c r="I1213" t="str">
        <f>IFERROR(_xlfn.XLOOKUP($A1213,'Base SKUs'!$E:$E,'Base SKUs'!A:A),"")</f>
        <v>Radiata</v>
      </c>
      <c r="J1213" t="str">
        <f>IFERROR(_xlfn.XLOOKUP($A1213,'Base SKUs'!$E:$E,'Base SKUs'!B:B),"")</f>
        <v>Radiata 1x6</v>
      </c>
      <c r="K1213" t="str">
        <f>IFERROR(_xlfn.XLOOKUP($A1213,'Base SKUs'!$E:$E,'Base SKUs'!C:C),"")</f>
        <v>Long</v>
      </c>
      <c r="L1213" t="str">
        <f>IFERROR(_xlfn.XLOOKUP($A1213,'Base SKUs'!$E:$E,'Base SKUs'!D:D),"")</f>
        <v>Thermowood</v>
      </c>
      <c r="M1213" t="str">
        <f>IFERROR(_xlfn.XLOOKUP($A1213,'Base SKUs'!$E:$E,'Base SKUs'!G:G),"")</f>
        <v>Maximo Thermo Clear Radiata</v>
      </c>
      <c r="N1213" t="str">
        <f>IFERROR(_xlfn.XLOOKUP($A1213,'Base SKUs'!$E:$E,'Base SKUs'!H:H),"")</f>
        <v>Nickel Gap</v>
      </c>
      <c r="O1213" t="str">
        <f>IFERROR(_xlfn.XLOOKUP($A1213,'Base SKUs'!$E:$E,'Base SKUs'!I:I),"")</f>
        <v>Pre Finished Black</v>
      </c>
      <c r="P1213" t="str">
        <f>IFERROR(_xlfn.XLOOKUP($A1213,'Base SKUs'!$E:$E,'Base SKUs'!J:J),"")</f>
        <v>1x6</v>
      </c>
      <c r="Q1213">
        <f>IFERROR(_xlfn.XLOOKUP($A1213,'Base SKUs'!$E:$E,'Base SKUs'!K:K),"")</f>
        <v>18</v>
      </c>
      <c r="R1213" s="7">
        <f>IFERROR(_xlfn.XLOOKUP($A1213,'Base SKUs'!$E:$E,'Base SKUs'!S:S),"")</f>
        <v>1.4158800000000001E-2</v>
      </c>
      <c r="S1213" s="8">
        <f t="shared" si="92"/>
        <v>4.5732924000000006</v>
      </c>
      <c r="T1213" s="7">
        <f>IFERROR(_xlfn.XLOOKUP($A1213,'Base SKUs'!$E:$E,'Base SKUs'!R:R),"")</f>
        <v>1251.2739999999999</v>
      </c>
      <c r="U1213" s="15">
        <f t="shared" si="93"/>
        <v>5722</v>
      </c>
      <c r="V1213" t="str">
        <f t="shared" si="94"/>
        <v>Texas</v>
      </c>
    </row>
    <row r="1214" spans="1:22" x14ac:dyDescent="0.2">
      <c r="A1214" t="s">
        <v>1622</v>
      </c>
      <c r="B1214" s="5">
        <v>2</v>
      </c>
      <c r="C1214" s="5">
        <v>0</v>
      </c>
      <c r="D1214" s="5">
        <f t="shared" si="90"/>
        <v>2</v>
      </c>
      <c r="E1214" s="6">
        <v>6.6981000000000002</v>
      </c>
      <c r="F1214" s="6">
        <f t="shared" si="91"/>
        <v>13.3962</v>
      </c>
      <c r="G1214" t="s">
        <v>17</v>
      </c>
      <c r="H1214">
        <v>9007</v>
      </c>
      <c r="I1214" t="str">
        <f>IFERROR(_xlfn.XLOOKUP($A1214,'Base SKUs'!$E:$E,'Base SKUs'!A:A),"")</f>
        <v>Radiata</v>
      </c>
      <c r="J1214" t="str">
        <f>IFERROR(_xlfn.XLOOKUP($A1214,'Base SKUs'!$E:$E,'Base SKUs'!B:B),"")</f>
        <v>Radiata 1x6</v>
      </c>
      <c r="K1214" t="str">
        <f>IFERROR(_xlfn.XLOOKUP($A1214,'Base SKUs'!$E:$E,'Base SKUs'!C:C),"")</f>
        <v>Short</v>
      </c>
      <c r="L1214" t="str">
        <f>IFERROR(_xlfn.XLOOKUP($A1214,'Base SKUs'!$E:$E,'Base SKUs'!D:D),"")</f>
        <v>Thermowood</v>
      </c>
      <c r="M1214" t="str">
        <f>IFERROR(_xlfn.XLOOKUP($A1214,'Base SKUs'!$E:$E,'Base SKUs'!G:G),"")</f>
        <v>Maximo Thermo Clear Radiata</v>
      </c>
      <c r="N1214" t="str">
        <f>IFERROR(_xlfn.XLOOKUP($A1214,'Base SKUs'!$E:$E,'Base SKUs'!H:H),"")</f>
        <v>Nickel Gap</v>
      </c>
      <c r="O1214" t="str">
        <f>IFERROR(_xlfn.XLOOKUP($A1214,'Base SKUs'!$E:$E,'Base SKUs'!I:I),"")</f>
        <v>Pre Finished Black</v>
      </c>
      <c r="P1214" t="str">
        <f>IFERROR(_xlfn.XLOOKUP($A1214,'Base SKUs'!$E:$E,'Base SKUs'!J:J),"")</f>
        <v>1x6</v>
      </c>
      <c r="Q1214">
        <f>IFERROR(_xlfn.XLOOKUP($A1214,'Base SKUs'!$E:$E,'Base SKUs'!K:K),"")</f>
        <v>3</v>
      </c>
      <c r="R1214" s="7">
        <f>IFERROR(_xlfn.XLOOKUP($A1214,'Base SKUs'!$E:$E,'Base SKUs'!S:S),"")</f>
        <v>2.3598E-3</v>
      </c>
      <c r="S1214" s="8">
        <f t="shared" si="92"/>
        <v>4.7196E-3</v>
      </c>
      <c r="T1214" s="7">
        <f>IFERROR(_xlfn.XLOOKUP($A1214,'Base SKUs'!$E:$E,'Base SKUs'!R:R),"")</f>
        <v>1251.2739999999999</v>
      </c>
      <c r="U1214" s="15">
        <f t="shared" si="93"/>
        <v>6</v>
      </c>
      <c r="V1214" t="str">
        <f t="shared" si="94"/>
        <v>Miami</v>
      </c>
    </row>
    <row r="1215" spans="1:22" x14ac:dyDescent="0.2">
      <c r="A1215" t="s">
        <v>1622</v>
      </c>
      <c r="B1215" s="5">
        <v>2</v>
      </c>
      <c r="C1215" s="5">
        <v>0</v>
      </c>
      <c r="D1215" s="5">
        <f t="shared" si="90"/>
        <v>2</v>
      </c>
      <c r="E1215" s="6">
        <v>6.6981000000000002</v>
      </c>
      <c r="F1215" s="6">
        <f t="shared" si="91"/>
        <v>13.3962</v>
      </c>
      <c r="G1215" t="s">
        <v>24</v>
      </c>
      <c r="H1215">
        <v>9008</v>
      </c>
      <c r="I1215" t="str">
        <f>IFERROR(_xlfn.XLOOKUP($A1215,'Base SKUs'!$E:$E,'Base SKUs'!A:A),"")</f>
        <v>Radiata</v>
      </c>
      <c r="J1215" t="str">
        <f>IFERROR(_xlfn.XLOOKUP($A1215,'Base SKUs'!$E:$E,'Base SKUs'!B:B),"")</f>
        <v>Radiata 1x6</v>
      </c>
      <c r="K1215" t="str">
        <f>IFERROR(_xlfn.XLOOKUP($A1215,'Base SKUs'!$E:$E,'Base SKUs'!C:C),"")</f>
        <v>Short</v>
      </c>
      <c r="L1215" t="str">
        <f>IFERROR(_xlfn.XLOOKUP($A1215,'Base SKUs'!$E:$E,'Base SKUs'!D:D),"")</f>
        <v>Thermowood</v>
      </c>
      <c r="M1215" t="str">
        <f>IFERROR(_xlfn.XLOOKUP($A1215,'Base SKUs'!$E:$E,'Base SKUs'!G:G),"")</f>
        <v>Maximo Thermo Clear Radiata</v>
      </c>
      <c r="N1215" t="str">
        <f>IFERROR(_xlfn.XLOOKUP($A1215,'Base SKUs'!$E:$E,'Base SKUs'!H:H),"")</f>
        <v>Nickel Gap</v>
      </c>
      <c r="O1215" t="str">
        <f>IFERROR(_xlfn.XLOOKUP($A1215,'Base SKUs'!$E:$E,'Base SKUs'!I:I),"")</f>
        <v>Pre Finished Black</v>
      </c>
      <c r="P1215" t="str">
        <f>IFERROR(_xlfn.XLOOKUP($A1215,'Base SKUs'!$E:$E,'Base SKUs'!J:J),"")</f>
        <v>1x6</v>
      </c>
      <c r="Q1215">
        <f>IFERROR(_xlfn.XLOOKUP($A1215,'Base SKUs'!$E:$E,'Base SKUs'!K:K),"")</f>
        <v>3</v>
      </c>
      <c r="R1215" s="7">
        <f>IFERROR(_xlfn.XLOOKUP($A1215,'Base SKUs'!$E:$E,'Base SKUs'!S:S),"")</f>
        <v>2.3598E-3</v>
      </c>
      <c r="S1215" s="8">
        <f t="shared" si="92"/>
        <v>4.7196E-3</v>
      </c>
      <c r="T1215" s="7">
        <f>IFERROR(_xlfn.XLOOKUP($A1215,'Base SKUs'!$E:$E,'Base SKUs'!R:R),"")</f>
        <v>1251.2739999999999</v>
      </c>
      <c r="U1215" s="15">
        <f t="shared" si="93"/>
        <v>6</v>
      </c>
      <c r="V1215" t="str">
        <f t="shared" si="94"/>
        <v>Texas</v>
      </c>
    </row>
    <row r="1216" spans="1:22" x14ac:dyDescent="0.2">
      <c r="A1216" t="s">
        <v>1624</v>
      </c>
      <c r="B1216" s="5">
        <v>14</v>
      </c>
      <c r="C1216" s="5">
        <v>14</v>
      </c>
      <c r="D1216" s="5">
        <f t="shared" si="90"/>
        <v>0</v>
      </c>
      <c r="E1216" s="6">
        <v>8.9307999999999996</v>
      </c>
      <c r="F1216" s="6">
        <f t="shared" si="91"/>
        <v>125.0312</v>
      </c>
      <c r="G1216" t="s">
        <v>17</v>
      </c>
      <c r="H1216">
        <v>9007</v>
      </c>
      <c r="I1216" t="str">
        <f>IFERROR(_xlfn.XLOOKUP($A1216,'Base SKUs'!$E:$E,'Base SKUs'!A:A),"")</f>
        <v>Radiata</v>
      </c>
      <c r="J1216" t="str">
        <f>IFERROR(_xlfn.XLOOKUP($A1216,'Base SKUs'!$E:$E,'Base SKUs'!B:B),"")</f>
        <v>Radiata 1x6</v>
      </c>
      <c r="K1216" t="str">
        <f>IFERROR(_xlfn.XLOOKUP($A1216,'Base SKUs'!$E:$E,'Base SKUs'!C:C),"")</f>
        <v>Short</v>
      </c>
      <c r="L1216" t="str">
        <f>IFERROR(_xlfn.XLOOKUP($A1216,'Base SKUs'!$E:$E,'Base SKUs'!D:D),"")</f>
        <v>Thermowood</v>
      </c>
      <c r="M1216" t="str">
        <f>IFERROR(_xlfn.XLOOKUP($A1216,'Base SKUs'!$E:$E,'Base SKUs'!G:G),"")</f>
        <v>Maximo Thermo Clear Radiata</v>
      </c>
      <c r="N1216" t="str">
        <f>IFERROR(_xlfn.XLOOKUP($A1216,'Base SKUs'!$E:$E,'Base SKUs'!H:H),"")</f>
        <v>Nickel Gap</v>
      </c>
      <c r="O1216" t="str">
        <f>IFERROR(_xlfn.XLOOKUP($A1216,'Base SKUs'!$E:$E,'Base SKUs'!I:I),"")</f>
        <v>Pre Finished Black</v>
      </c>
      <c r="P1216" t="str">
        <f>IFERROR(_xlfn.XLOOKUP($A1216,'Base SKUs'!$E:$E,'Base SKUs'!J:J),"")</f>
        <v>1x6</v>
      </c>
      <c r="Q1216">
        <f>IFERROR(_xlfn.XLOOKUP($A1216,'Base SKUs'!$E:$E,'Base SKUs'!K:K),"")</f>
        <v>4</v>
      </c>
      <c r="R1216" s="7">
        <f>IFERROR(_xlfn.XLOOKUP($A1216,'Base SKUs'!$E:$E,'Base SKUs'!S:S),"")</f>
        <v>3.1464000000000002E-3</v>
      </c>
      <c r="S1216" s="8">
        <f t="shared" si="92"/>
        <v>0</v>
      </c>
      <c r="T1216" s="7">
        <f>IFERROR(_xlfn.XLOOKUP($A1216,'Base SKUs'!$E:$E,'Base SKUs'!R:R),"")</f>
        <v>1251.2739999999999</v>
      </c>
      <c r="U1216" s="15">
        <f t="shared" si="93"/>
        <v>0</v>
      </c>
      <c r="V1216" t="str">
        <f t="shared" si="94"/>
        <v>Miami</v>
      </c>
    </row>
    <row r="1217" spans="1:22" x14ac:dyDescent="0.2">
      <c r="A1217" t="s">
        <v>1624</v>
      </c>
      <c r="B1217" s="5">
        <v>1</v>
      </c>
      <c r="C1217" s="5">
        <v>0</v>
      </c>
      <c r="D1217" s="5">
        <f t="shared" si="90"/>
        <v>1</v>
      </c>
      <c r="E1217" s="6">
        <v>8.9307999999999996</v>
      </c>
      <c r="F1217" s="6">
        <f t="shared" si="91"/>
        <v>8.9307999999999996</v>
      </c>
      <c r="G1217" t="s">
        <v>24</v>
      </c>
      <c r="H1217">
        <v>9008</v>
      </c>
      <c r="I1217" t="str">
        <f>IFERROR(_xlfn.XLOOKUP($A1217,'Base SKUs'!$E:$E,'Base SKUs'!A:A),"")</f>
        <v>Radiata</v>
      </c>
      <c r="J1217" t="str">
        <f>IFERROR(_xlfn.XLOOKUP($A1217,'Base SKUs'!$E:$E,'Base SKUs'!B:B),"")</f>
        <v>Radiata 1x6</v>
      </c>
      <c r="K1217" t="str">
        <f>IFERROR(_xlfn.XLOOKUP($A1217,'Base SKUs'!$E:$E,'Base SKUs'!C:C),"")</f>
        <v>Short</v>
      </c>
      <c r="L1217" t="str">
        <f>IFERROR(_xlfn.XLOOKUP($A1217,'Base SKUs'!$E:$E,'Base SKUs'!D:D),"")</f>
        <v>Thermowood</v>
      </c>
      <c r="M1217" t="str">
        <f>IFERROR(_xlfn.XLOOKUP($A1217,'Base SKUs'!$E:$E,'Base SKUs'!G:G),"")</f>
        <v>Maximo Thermo Clear Radiata</v>
      </c>
      <c r="N1217" t="str">
        <f>IFERROR(_xlfn.XLOOKUP($A1217,'Base SKUs'!$E:$E,'Base SKUs'!H:H),"")</f>
        <v>Nickel Gap</v>
      </c>
      <c r="O1217" t="str">
        <f>IFERROR(_xlfn.XLOOKUP($A1217,'Base SKUs'!$E:$E,'Base SKUs'!I:I),"")</f>
        <v>Pre Finished Black</v>
      </c>
      <c r="P1217" t="str">
        <f>IFERROR(_xlfn.XLOOKUP($A1217,'Base SKUs'!$E:$E,'Base SKUs'!J:J),"")</f>
        <v>1x6</v>
      </c>
      <c r="Q1217">
        <f>IFERROR(_xlfn.XLOOKUP($A1217,'Base SKUs'!$E:$E,'Base SKUs'!K:K),"")</f>
        <v>4</v>
      </c>
      <c r="R1217" s="7">
        <f>IFERROR(_xlfn.XLOOKUP($A1217,'Base SKUs'!$E:$E,'Base SKUs'!S:S),"")</f>
        <v>3.1464000000000002E-3</v>
      </c>
      <c r="S1217" s="8">
        <f t="shared" si="92"/>
        <v>3.1464000000000002E-3</v>
      </c>
      <c r="T1217" s="7">
        <f>IFERROR(_xlfn.XLOOKUP($A1217,'Base SKUs'!$E:$E,'Base SKUs'!R:R),"")</f>
        <v>1251.2739999999999</v>
      </c>
      <c r="U1217" s="15">
        <f t="shared" si="93"/>
        <v>4</v>
      </c>
      <c r="V1217" t="str">
        <f t="shared" si="94"/>
        <v>Texas</v>
      </c>
    </row>
    <row r="1218" spans="1:22" x14ac:dyDescent="0.2">
      <c r="A1218" t="s">
        <v>1626</v>
      </c>
      <c r="B1218" s="5">
        <v>18</v>
      </c>
      <c r="C1218" s="5">
        <v>18</v>
      </c>
      <c r="D1218" s="5">
        <f t="shared" ref="D1218:D1281" si="95">B1218-C1218</f>
        <v>0</v>
      </c>
      <c r="E1218" s="6">
        <v>11.163600000000001</v>
      </c>
      <c r="F1218" s="6">
        <f t="shared" ref="F1218:F1281" si="96">B1218*E1218</f>
        <v>200.94480000000001</v>
      </c>
      <c r="G1218" t="s">
        <v>17</v>
      </c>
      <c r="H1218">
        <v>9007</v>
      </c>
      <c r="I1218" t="str">
        <f>IFERROR(_xlfn.XLOOKUP($A1218,'Base SKUs'!$E:$E,'Base SKUs'!A:A),"")</f>
        <v>Radiata</v>
      </c>
      <c r="J1218" t="str">
        <f>IFERROR(_xlfn.XLOOKUP($A1218,'Base SKUs'!$E:$E,'Base SKUs'!B:B),"")</f>
        <v>Radiata 1x6</v>
      </c>
      <c r="K1218" t="str">
        <f>IFERROR(_xlfn.XLOOKUP($A1218,'Base SKUs'!$E:$E,'Base SKUs'!C:C),"")</f>
        <v>Short</v>
      </c>
      <c r="L1218" t="str">
        <f>IFERROR(_xlfn.XLOOKUP($A1218,'Base SKUs'!$E:$E,'Base SKUs'!D:D),"")</f>
        <v>Thermowood</v>
      </c>
      <c r="M1218" t="str">
        <f>IFERROR(_xlfn.XLOOKUP($A1218,'Base SKUs'!$E:$E,'Base SKUs'!G:G),"")</f>
        <v>Maximo Thermo Clear Radiata</v>
      </c>
      <c r="N1218" t="str">
        <f>IFERROR(_xlfn.XLOOKUP($A1218,'Base SKUs'!$E:$E,'Base SKUs'!H:H),"")</f>
        <v>Nickel Gap</v>
      </c>
      <c r="O1218" t="str">
        <f>IFERROR(_xlfn.XLOOKUP($A1218,'Base SKUs'!$E:$E,'Base SKUs'!I:I),"")</f>
        <v>Pre Finished Black</v>
      </c>
      <c r="P1218" t="str">
        <f>IFERROR(_xlfn.XLOOKUP($A1218,'Base SKUs'!$E:$E,'Base SKUs'!J:J),"")</f>
        <v>1x6</v>
      </c>
      <c r="Q1218">
        <f>IFERROR(_xlfn.XLOOKUP($A1218,'Base SKUs'!$E:$E,'Base SKUs'!K:K),"")</f>
        <v>5</v>
      </c>
      <c r="R1218" s="7">
        <f>IFERROR(_xlfn.XLOOKUP($A1218,'Base SKUs'!$E:$E,'Base SKUs'!S:S),"")</f>
        <v>3.9329999999999999E-3</v>
      </c>
      <c r="S1218" s="8">
        <f t="shared" ref="S1218:S1281" si="97">IF(OR(L1218="Saicos",L1218="Oil",L1218="US4",L1218="Wood Table",L1218="Woca",L1218="Norx",N1218="Tiles"),D1218,D1218*R1218)</f>
        <v>0</v>
      </c>
      <c r="T1218" s="7">
        <f>IFERROR(_xlfn.XLOOKUP($A1218,'Base SKUs'!$E:$E,'Base SKUs'!R:R),"")</f>
        <v>1251.2739999999999</v>
      </c>
      <c r="U1218" s="15">
        <f t="shared" ref="U1218:U1281" si="98">ROUND(IF(OR(L1218="Saicos",L1218="Oil",L1218="US4",L1218="Wood Table",L1218="Woca",L1218="Norx",N1218="Tiles"),D1218,S1218*T1218),0)</f>
        <v>0</v>
      </c>
      <c r="V1218" t="str">
        <f t="shared" ref="V1218:V1281" si="99">IF(H1218=9007,"Miami",IF(H1218=9008,"Texas",IF(H1218=9009,"Boston",IF(H1218=9010,"BS Detroit",IF(H1218=9011,"New York",IF(H1218=9012,"HW Perris",IF(H1218=9013,"BS Riverside",IF(H1218=9014,"On the Way",IF(H1218=9015,"Russin",IF(H1218=9016,"Palm Beach",""))))))))))</f>
        <v>Miami</v>
      </c>
    </row>
    <row r="1219" spans="1:22" x14ac:dyDescent="0.2">
      <c r="A1219" t="s">
        <v>1626</v>
      </c>
      <c r="B1219" s="5">
        <v>4</v>
      </c>
      <c r="C1219" s="5">
        <v>0</v>
      </c>
      <c r="D1219" s="5">
        <f t="shared" si="95"/>
        <v>4</v>
      </c>
      <c r="E1219" s="6">
        <v>11.163600000000001</v>
      </c>
      <c r="F1219" s="6">
        <f t="shared" si="96"/>
        <v>44.654400000000003</v>
      </c>
      <c r="G1219" t="s">
        <v>24</v>
      </c>
      <c r="H1219">
        <v>9008</v>
      </c>
      <c r="I1219" t="str">
        <f>IFERROR(_xlfn.XLOOKUP($A1219,'Base SKUs'!$E:$E,'Base SKUs'!A:A),"")</f>
        <v>Radiata</v>
      </c>
      <c r="J1219" t="str">
        <f>IFERROR(_xlfn.XLOOKUP($A1219,'Base SKUs'!$E:$E,'Base SKUs'!B:B),"")</f>
        <v>Radiata 1x6</v>
      </c>
      <c r="K1219" t="str">
        <f>IFERROR(_xlfn.XLOOKUP($A1219,'Base SKUs'!$E:$E,'Base SKUs'!C:C),"")</f>
        <v>Short</v>
      </c>
      <c r="L1219" t="str">
        <f>IFERROR(_xlfn.XLOOKUP($A1219,'Base SKUs'!$E:$E,'Base SKUs'!D:D),"")</f>
        <v>Thermowood</v>
      </c>
      <c r="M1219" t="str">
        <f>IFERROR(_xlfn.XLOOKUP($A1219,'Base SKUs'!$E:$E,'Base SKUs'!G:G),"")</f>
        <v>Maximo Thermo Clear Radiata</v>
      </c>
      <c r="N1219" t="str">
        <f>IFERROR(_xlfn.XLOOKUP($A1219,'Base SKUs'!$E:$E,'Base SKUs'!H:H),"")</f>
        <v>Nickel Gap</v>
      </c>
      <c r="O1219" t="str">
        <f>IFERROR(_xlfn.XLOOKUP($A1219,'Base SKUs'!$E:$E,'Base SKUs'!I:I),"")</f>
        <v>Pre Finished Black</v>
      </c>
      <c r="P1219" t="str">
        <f>IFERROR(_xlfn.XLOOKUP($A1219,'Base SKUs'!$E:$E,'Base SKUs'!J:J),"")</f>
        <v>1x6</v>
      </c>
      <c r="Q1219">
        <f>IFERROR(_xlfn.XLOOKUP($A1219,'Base SKUs'!$E:$E,'Base SKUs'!K:K),"")</f>
        <v>5</v>
      </c>
      <c r="R1219" s="7">
        <f>IFERROR(_xlfn.XLOOKUP($A1219,'Base SKUs'!$E:$E,'Base SKUs'!S:S),"")</f>
        <v>3.9329999999999999E-3</v>
      </c>
      <c r="S1219" s="8">
        <f t="shared" si="97"/>
        <v>1.5731999999999999E-2</v>
      </c>
      <c r="T1219" s="7">
        <f>IFERROR(_xlfn.XLOOKUP($A1219,'Base SKUs'!$E:$E,'Base SKUs'!R:R),"")</f>
        <v>1251.2739999999999</v>
      </c>
      <c r="U1219" s="15">
        <f t="shared" si="98"/>
        <v>20</v>
      </c>
      <c r="V1219" t="str">
        <f t="shared" si="99"/>
        <v>Texas</v>
      </c>
    </row>
    <row r="1220" spans="1:22" x14ac:dyDescent="0.2">
      <c r="A1220" t="s">
        <v>1628</v>
      </c>
      <c r="B1220" s="5">
        <v>102</v>
      </c>
      <c r="C1220" s="5">
        <v>102</v>
      </c>
      <c r="D1220" s="5">
        <f t="shared" si="95"/>
        <v>0</v>
      </c>
      <c r="E1220" s="6">
        <v>13.3963</v>
      </c>
      <c r="F1220" s="6">
        <f t="shared" si="96"/>
        <v>1366.4226000000001</v>
      </c>
      <c r="G1220" t="s">
        <v>17</v>
      </c>
      <c r="H1220">
        <v>9007</v>
      </c>
      <c r="I1220" t="str">
        <f>IFERROR(_xlfn.XLOOKUP($A1220,'Base SKUs'!$E:$E,'Base SKUs'!A:A),"")</f>
        <v>Radiata</v>
      </c>
      <c r="J1220" t="str">
        <f>IFERROR(_xlfn.XLOOKUP($A1220,'Base SKUs'!$E:$E,'Base SKUs'!B:B),"")</f>
        <v>Radiata 1x6</v>
      </c>
      <c r="K1220" t="str">
        <f>IFERROR(_xlfn.XLOOKUP($A1220,'Base SKUs'!$E:$E,'Base SKUs'!C:C),"")</f>
        <v>Short</v>
      </c>
      <c r="L1220" t="str">
        <f>IFERROR(_xlfn.XLOOKUP($A1220,'Base SKUs'!$E:$E,'Base SKUs'!D:D),"")</f>
        <v>Thermowood</v>
      </c>
      <c r="M1220" t="str">
        <f>IFERROR(_xlfn.XLOOKUP($A1220,'Base SKUs'!$E:$E,'Base SKUs'!G:G),"")</f>
        <v>Maximo Thermo Clear Radiata</v>
      </c>
      <c r="N1220" t="str">
        <f>IFERROR(_xlfn.XLOOKUP($A1220,'Base SKUs'!$E:$E,'Base SKUs'!H:H),"")</f>
        <v>Nickel Gap</v>
      </c>
      <c r="O1220" t="str">
        <f>IFERROR(_xlfn.XLOOKUP($A1220,'Base SKUs'!$E:$E,'Base SKUs'!I:I),"")</f>
        <v>Pre Finished Black</v>
      </c>
      <c r="P1220" t="str">
        <f>IFERROR(_xlfn.XLOOKUP($A1220,'Base SKUs'!$E:$E,'Base SKUs'!J:J),"")</f>
        <v>1x6</v>
      </c>
      <c r="Q1220">
        <f>IFERROR(_xlfn.XLOOKUP($A1220,'Base SKUs'!$E:$E,'Base SKUs'!K:K),"")</f>
        <v>6</v>
      </c>
      <c r="R1220" s="7">
        <f>IFERROR(_xlfn.XLOOKUP($A1220,'Base SKUs'!$E:$E,'Base SKUs'!S:S),"")</f>
        <v>4.7196E-3</v>
      </c>
      <c r="S1220" s="8">
        <f t="shared" si="97"/>
        <v>0</v>
      </c>
      <c r="T1220" s="7">
        <f>IFERROR(_xlfn.XLOOKUP($A1220,'Base SKUs'!$E:$E,'Base SKUs'!R:R),"")</f>
        <v>1251.2739999999999</v>
      </c>
      <c r="U1220" s="15">
        <f t="shared" si="98"/>
        <v>0</v>
      </c>
      <c r="V1220" t="str">
        <f t="shared" si="99"/>
        <v>Miami</v>
      </c>
    </row>
    <row r="1221" spans="1:22" x14ac:dyDescent="0.2">
      <c r="A1221" t="s">
        <v>1628</v>
      </c>
      <c r="B1221" s="5">
        <v>2</v>
      </c>
      <c r="C1221" s="5">
        <v>0</v>
      </c>
      <c r="D1221" s="5">
        <f t="shared" si="95"/>
        <v>2</v>
      </c>
      <c r="E1221" s="6">
        <v>13.3963</v>
      </c>
      <c r="F1221" s="6">
        <f t="shared" si="96"/>
        <v>26.7926</v>
      </c>
      <c r="G1221" t="s">
        <v>24</v>
      </c>
      <c r="H1221">
        <v>9008</v>
      </c>
      <c r="I1221" t="str">
        <f>IFERROR(_xlfn.XLOOKUP($A1221,'Base SKUs'!$E:$E,'Base SKUs'!A:A),"")</f>
        <v>Radiata</v>
      </c>
      <c r="J1221" t="str">
        <f>IFERROR(_xlfn.XLOOKUP($A1221,'Base SKUs'!$E:$E,'Base SKUs'!B:B),"")</f>
        <v>Radiata 1x6</v>
      </c>
      <c r="K1221" t="str">
        <f>IFERROR(_xlfn.XLOOKUP($A1221,'Base SKUs'!$E:$E,'Base SKUs'!C:C),"")</f>
        <v>Short</v>
      </c>
      <c r="L1221" t="str">
        <f>IFERROR(_xlfn.XLOOKUP($A1221,'Base SKUs'!$E:$E,'Base SKUs'!D:D),"")</f>
        <v>Thermowood</v>
      </c>
      <c r="M1221" t="str">
        <f>IFERROR(_xlfn.XLOOKUP($A1221,'Base SKUs'!$E:$E,'Base SKUs'!G:G),"")</f>
        <v>Maximo Thermo Clear Radiata</v>
      </c>
      <c r="N1221" t="str">
        <f>IFERROR(_xlfn.XLOOKUP($A1221,'Base SKUs'!$E:$E,'Base SKUs'!H:H),"")</f>
        <v>Nickel Gap</v>
      </c>
      <c r="O1221" t="str">
        <f>IFERROR(_xlfn.XLOOKUP($A1221,'Base SKUs'!$E:$E,'Base SKUs'!I:I),"")</f>
        <v>Pre Finished Black</v>
      </c>
      <c r="P1221" t="str">
        <f>IFERROR(_xlfn.XLOOKUP($A1221,'Base SKUs'!$E:$E,'Base SKUs'!J:J),"")</f>
        <v>1x6</v>
      </c>
      <c r="Q1221">
        <f>IFERROR(_xlfn.XLOOKUP($A1221,'Base SKUs'!$E:$E,'Base SKUs'!K:K),"")</f>
        <v>6</v>
      </c>
      <c r="R1221" s="7">
        <f>IFERROR(_xlfn.XLOOKUP($A1221,'Base SKUs'!$E:$E,'Base SKUs'!S:S),"")</f>
        <v>4.7196E-3</v>
      </c>
      <c r="S1221" s="8">
        <f t="shared" si="97"/>
        <v>9.4392E-3</v>
      </c>
      <c r="T1221" s="7">
        <f>IFERROR(_xlfn.XLOOKUP($A1221,'Base SKUs'!$E:$E,'Base SKUs'!R:R),"")</f>
        <v>1251.2739999999999</v>
      </c>
      <c r="U1221" s="15">
        <f t="shared" si="98"/>
        <v>12</v>
      </c>
      <c r="V1221" t="str">
        <f t="shared" si="99"/>
        <v>Texas</v>
      </c>
    </row>
    <row r="1222" spans="1:22" x14ac:dyDescent="0.2">
      <c r="A1222" t="s">
        <v>1630</v>
      </c>
      <c r="B1222" s="5">
        <v>82</v>
      </c>
      <c r="C1222" s="5">
        <v>82</v>
      </c>
      <c r="D1222" s="5">
        <f t="shared" si="95"/>
        <v>0</v>
      </c>
      <c r="E1222" s="6">
        <v>15.629</v>
      </c>
      <c r="F1222" s="6">
        <f t="shared" si="96"/>
        <v>1281.578</v>
      </c>
      <c r="G1222" t="s">
        <v>17</v>
      </c>
      <c r="H1222">
        <v>9007</v>
      </c>
      <c r="I1222" t="str">
        <f>IFERROR(_xlfn.XLOOKUP($A1222,'Base SKUs'!$E:$E,'Base SKUs'!A:A),"")</f>
        <v>Radiata</v>
      </c>
      <c r="J1222" t="str">
        <f>IFERROR(_xlfn.XLOOKUP($A1222,'Base SKUs'!$E:$E,'Base SKUs'!B:B),"")</f>
        <v>Radiata 1x6</v>
      </c>
      <c r="K1222" t="str">
        <f>IFERROR(_xlfn.XLOOKUP($A1222,'Base SKUs'!$E:$E,'Base SKUs'!C:C),"")</f>
        <v>Short</v>
      </c>
      <c r="L1222" t="str">
        <f>IFERROR(_xlfn.XLOOKUP($A1222,'Base SKUs'!$E:$E,'Base SKUs'!D:D),"")</f>
        <v>Thermowood</v>
      </c>
      <c r="M1222" t="str">
        <f>IFERROR(_xlfn.XLOOKUP($A1222,'Base SKUs'!$E:$E,'Base SKUs'!G:G),"")</f>
        <v>Maximo Thermo Clear Radiata</v>
      </c>
      <c r="N1222" t="str">
        <f>IFERROR(_xlfn.XLOOKUP($A1222,'Base SKUs'!$E:$E,'Base SKUs'!H:H),"")</f>
        <v>Nickel Gap</v>
      </c>
      <c r="O1222" t="str">
        <f>IFERROR(_xlfn.XLOOKUP($A1222,'Base SKUs'!$E:$E,'Base SKUs'!I:I),"")</f>
        <v>Pre Finished Black</v>
      </c>
      <c r="P1222" t="str">
        <f>IFERROR(_xlfn.XLOOKUP($A1222,'Base SKUs'!$E:$E,'Base SKUs'!J:J),"")</f>
        <v>1x6</v>
      </c>
      <c r="Q1222">
        <f>IFERROR(_xlfn.XLOOKUP($A1222,'Base SKUs'!$E:$E,'Base SKUs'!K:K),"")</f>
        <v>7</v>
      </c>
      <c r="R1222" s="7">
        <f>IFERROR(_xlfn.XLOOKUP($A1222,'Base SKUs'!$E:$E,'Base SKUs'!S:S),"")</f>
        <v>5.5062000000000002E-3</v>
      </c>
      <c r="S1222" s="8">
        <f t="shared" si="97"/>
        <v>0</v>
      </c>
      <c r="T1222" s="7">
        <f>IFERROR(_xlfn.XLOOKUP($A1222,'Base SKUs'!$E:$E,'Base SKUs'!R:R),"")</f>
        <v>1251.2739999999999</v>
      </c>
      <c r="U1222" s="15">
        <f t="shared" si="98"/>
        <v>0</v>
      </c>
      <c r="V1222" t="str">
        <f t="shared" si="99"/>
        <v>Miami</v>
      </c>
    </row>
    <row r="1223" spans="1:22" x14ac:dyDescent="0.2">
      <c r="A1223" t="s">
        <v>1630</v>
      </c>
      <c r="B1223" s="5">
        <v>2</v>
      </c>
      <c r="C1223" s="5">
        <v>0</v>
      </c>
      <c r="D1223" s="5">
        <f t="shared" si="95"/>
        <v>2</v>
      </c>
      <c r="E1223" s="6">
        <v>15.629</v>
      </c>
      <c r="F1223" s="6">
        <f t="shared" si="96"/>
        <v>31.257999999999999</v>
      </c>
      <c r="G1223" t="s">
        <v>24</v>
      </c>
      <c r="H1223">
        <v>9008</v>
      </c>
      <c r="I1223" t="str">
        <f>IFERROR(_xlfn.XLOOKUP($A1223,'Base SKUs'!$E:$E,'Base SKUs'!A:A),"")</f>
        <v>Radiata</v>
      </c>
      <c r="J1223" t="str">
        <f>IFERROR(_xlfn.XLOOKUP($A1223,'Base SKUs'!$E:$E,'Base SKUs'!B:B),"")</f>
        <v>Radiata 1x6</v>
      </c>
      <c r="K1223" t="str">
        <f>IFERROR(_xlfn.XLOOKUP($A1223,'Base SKUs'!$E:$E,'Base SKUs'!C:C),"")</f>
        <v>Short</v>
      </c>
      <c r="L1223" t="str">
        <f>IFERROR(_xlfn.XLOOKUP($A1223,'Base SKUs'!$E:$E,'Base SKUs'!D:D),"")</f>
        <v>Thermowood</v>
      </c>
      <c r="M1223" t="str">
        <f>IFERROR(_xlfn.XLOOKUP($A1223,'Base SKUs'!$E:$E,'Base SKUs'!G:G),"")</f>
        <v>Maximo Thermo Clear Radiata</v>
      </c>
      <c r="N1223" t="str">
        <f>IFERROR(_xlfn.XLOOKUP($A1223,'Base SKUs'!$E:$E,'Base SKUs'!H:H),"")</f>
        <v>Nickel Gap</v>
      </c>
      <c r="O1223" t="str">
        <f>IFERROR(_xlfn.XLOOKUP($A1223,'Base SKUs'!$E:$E,'Base SKUs'!I:I),"")</f>
        <v>Pre Finished Black</v>
      </c>
      <c r="P1223" t="str">
        <f>IFERROR(_xlfn.XLOOKUP($A1223,'Base SKUs'!$E:$E,'Base SKUs'!J:J),"")</f>
        <v>1x6</v>
      </c>
      <c r="Q1223">
        <f>IFERROR(_xlfn.XLOOKUP($A1223,'Base SKUs'!$E:$E,'Base SKUs'!K:K),"")</f>
        <v>7</v>
      </c>
      <c r="R1223" s="7">
        <f>IFERROR(_xlfn.XLOOKUP($A1223,'Base SKUs'!$E:$E,'Base SKUs'!S:S),"")</f>
        <v>5.5062000000000002E-3</v>
      </c>
      <c r="S1223" s="8">
        <f t="shared" si="97"/>
        <v>1.10124E-2</v>
      </c>
      <c r="T1223" s="7">
        <f>IFERROR(_xlfn.XLOOKUP($A1223,'Base SKUs'!$E:$E,'Base SKUs'!R:R),"")</f>
        <v>1251.2739999999999</v>
      </c>
      <c r="U1223" s="15">
        <f t="shared" si="98"/>
        <v>14</v>
      </c>
      <c r="V1223" t="str">
        <f t="shared" si="99"/>
        <v>Texas</v>
      </c>
    </row>
    <row r="1224" spans="1:22" x14ac:dyDescent="0.2">
      <c r="A1224" t="s">
        <v>1632</v>
      </c>
      <c r="B1224" s="5">
        <v>15</v>
      </c>
      <c r="C1224" s="5">
        <v>15</v>
      </c>
      <c r="D1224" s="5">
        <f t="shared" si="95"/>
        <v>0</v>
      </c>
      <c r="E1224" s="6">
        <v>17.861699999999999</v>
      </c>
      <c r="F1224" s="6">
        <f t="shared" si="96"/>
        <v>267.9255</v>
      </c>
      <c r="G1224" t="s">
        <v>17</v>
      </c>
      <c r="H1224">
        <v>9007</v>
      </c>
      <c r="I1224" t="str">
        <f>IFERROR(_xlfn.XLOOKUP($A1224,'Base SKUs'!$E:$E,'Base SKUs'!A:A),"")</f>
        <v>Radiata</v>
      </c>
      <c r="J1224" t="str">
        <f>IFERROR(_xlfn.XLOOKUP($A1224,'Base SKUs'!$E:$E,'Base SKUs'!B:B),"")</f>
        <v>Radiata 1x6</v>
      </c>
      <c r="K1224" t="str">
        <f>IFERROR(_xlfn.XLOOKUP($A1224,'Base SKUs'!$E:$E,'Base SKUs'!C:C),"")</f>
        <v>Long</v>
      </c>
      <c r="L1224" t="str">
        <f>IFERROR(_xlfn.XLOOKUP($A1224,'Base SKUs'!$E:$E,'Base SKUs'!D:D),"")</f>
        <v>Thermowood</v>
      </c>
      <c r="M1224" t="str">
        <f>IFERROR(_xlfn.XLOOKUP($A1224,'Base SKUs'!$E:$E,'Base SKUs'!G:G),"")</f>
        <v>Maximo Thermo Clear Radiata</v>
      </c>
      <c r="N1224" t="str">
        <f>IFERROR(_xlfn.XLOOKUP($A1224,'Base SKUs'!$E:$E,'Base SKUs'!H:H),"")</f>
        <v>Nickel Gap</v>
      </c>
      <c r="O1224" t="str">
        <f>IFERROR(_xlfn.XLOOKUP($A1224,'Base SKUs'!$E:$E,'Base SKUs'!I:I),"")</f>
        <v>Pre Finished Black</v>
      </c>
      <c r="P1224" t="str">
        <f>IFERROR(_xlfn.XLOOKUP($A1224,'Base SKUs'!$E:$E,'Base SKUs'!J:J),"")</f>
        <v>1x6</v>
      </c>
      <c r="Q1224">
        <f>IFERROR(_xlfn.XLOOKUP($A1224,'Base SKUs'!$E:$E,'Base SKUs'!K:K),"")</f>
        <v>8</v>
      </c>
      <c r="R1224" s="7">
        <f>IFERROR(_xlfn.XLOOKUP($A1224,'Base SKUs'!$E:$E,'Base SKUs'!S:S),"")</f>
        <v>6.2928000000000003E-3</v>
      </c>
      <c r="S1224" s="8">
        <f t="shared" si="97"/>
        <v>0</v>
      </c>
      <c r="T1224" s="7">
        <f>IFERROR(_xlfn.XLOOKUP($A1224,'Base SKUs'!$E:$E,'Base SKUs'!R:R),"")</f>
        <v>1251.2739999999999</v>
      </c>
      <c r="U1224" s="15">
        <f t="shared" si="98"/>
        <v>0</v>
      </c>
      <c r="V1224" t="str">
        <f t="shared" si="99"/>
        <v>Miami</v>
      </c>
    </row>
    <row r="1225" spans="1:22" x14ac:dyDescent="0.2">
      <c r="A1225" t="s">
        <v>1632</v>
      </c>
      <c r="B1225" s="5">
        <v>5</v>
      </c>
      <c r="C1225" s="5">
        <v>0</v>
      </c>
      <c r="D1225" s="5">
        <f t="shared" si="95"/>
        <v>5</v>
      </c>
      <c r="E1225" s="6">
        <v>17.861699999999999</v>
      </c>
      <c r="F1225" s="6">
        <f t="shared" si="96"/>
        <v>89.308499999999995</v>
      </c>
      <c r="G1225" t="s">
        <v>24</v>
      </c>
      <c r="H1225">
        <v>9008</v>
      </c>
      <c r="I1225" t="str">
        <f>IFERROR(_xlfn.XLOOKUP($A1225,'Base SKUs'!$E:$E,'Base SKUs'!A:A),"")</f>
        <v>Radiata</v>
      </c>
      <c r="J1225" t="str">
        <f>IFERROR(_xlfn.XLOOKUP($A1225,'Base SKUs'!$E:$E,'Base SKUs'!B:B),"")</f>
        <v>Radiata 1x6</v>
      </c>
      <c r="K1225" t="str">
        <f>IFERROR(_xlfn.XLOOKUP($A1225,'Base SKUs'!$E:$E,'Base SKUs'!C:C),"")</f>
        <v>Long</v>
      </c>
      <c r="L1225" t="str">
        <f>IFERROR(_xlfn.XLOOKUP($A1225,'Base SKUs'!$E:$E,'Base SKUs'!D:D),"")</f>
        <v>Thermowood</v>
      </c>
      <c r="M1225" t="str">
        <f>IFERROR(_xlfn.XLOOKUP($A1225,'Base SKUs'!$E:$E,'Base SKUs'!G:G),"")</f>
        <v>Maximo Thermo Clear Radiata</v>
      </c>
      <c r="N1225" t="str">
        <f>IFERROR(_xlfn.XLOOKUP($A1225,'Base SKUs'!$E:$E,'Base SKUs'!H:H),"")</f>
        <v>Nickel Gap</v>
      </c>
      <c r="O1225" t="str">
        <f>IFERROR(_xlfn.XLOOKUP($A1225,'Base SKUs'!$E:$E,'Base SKUs'!I:I),"")</f>
        <v>Pre Finished Black</v>
      </c>
      <c r="P1225" t="str">
        <f>IFERROR(_xlfn.XLOOKUP($A1225,'Base SKUs'!$E:$E,'Base SKUs'!J:J),"")</f>
        <v>1x6</v>
      </c>
      <c r="Q1225">
        <f>IFERROR(_xlfn.XLOOKUP($A1225,'Base SKUs'!$E:$E,'Base SKUs'!K:K),"")</f>
        <v>8</v>
      </c>
      <c r="R1225" s="7">
        <f>IFERROR(_xlfn.XLOOKUP($A1225,'Base SKUs'!$E:$E,'Base SKUs'!S:S),"")</f>
        <v>6.2928000000000003E-3</v>
      </c>
      <c r="S1225" s="8">
        <f t="shared" si="97"/>
        <v>3.1463999999999999E-2</v>
      </c>
      <c r="T1225" s="7">
        <f>IFERROR(_xlfn.XLOOKUP($A1225,'Base SKUs'!$E:$E,'Base SKUs'!R:R),"")</f>
        <v>1251.2739999999999</v>
      </c>
      <c r="U1225" s="15">
        <f t="shared" si="98"/>
        <v>39</v>
      </c>
      <c r="V1225" t="str">
        <f t="shared" si="99"/>
        <v>Texas</v>
      </c>
    </row>
    <row r="1226" spans="1:22" x14ac:dyDescent="0.2">
      <c r="A1226" t="s">
        <v>1632</v>
      </c>
      <c r="B1226" s="5">
        <v>1</v>
      </c>
      <c r="C1226" s="5">
        <v>0</v>
      </c>
      <c r="D1226" s="5">
        <f t="shared" si="95"/>
        <v>1</v>
      </c>
      <c r="E1226" s="6">
        <v>17.861699999999999</v>
      </c>
      <c r="F1226" s="6">
        <f t="shared" si="96"/>
        <v>17.861699999999999</v>
      </c>
      <c r="G1226" t="s">
        <v>330</v>
      </c>
      <c r="H1226">
        <v>9011</v>
      </c>
      <c r="I1226" t="str">
        <f>IFERROR(_xlfn.XLOOKUP($A1226,'Base SKUs'!$E:$E,'Base SKUs'!A:A),"")</f>
        <v>Radiata</v>
      </c>
      <c r="J1226" t="str">
        <f>IFERROR(_xlfn.XLOOKUP($A1226,'Base SKUs'!$E:$E,'Base SKUs'!B:B),"")</f>
        <v>Radiata 1x6</v>
      </c>
      <c r="K1226" t="str">
        <f>IFERROR(_xlfn.XLOOKUP($A1226,'Base SKUs'!$E:$E,'Base SKUs'!C:C),"")</f>
        <v>Long</v>
      </c>
      <c r="L1226" t="str">
        <f>IFERROR(_xlfn.XLOOKUP($A1226,'Base SKUs'!$E:$E,'Base SKUs'!D:D),"")</f>
        <v>Thermowood</v>
      </c>
      <c r="M1226" t="str">
        <f>IFERROR(_xlfn.XLOOKUP($A1226,'Base SKUs'!$E:$E,'Base SKUs'!G:G),"")</f>
        <v>Maximo Thermo Clear Radiata</v>
      </c>
      <c r="N1226" t="str">
        <f>IFERROR(_xlfn.XLOOKUP($A1226,'Base SKUs'!$E:$E,'Base SKUs'!H:H),"")</f>
        <v>Nickel Gap</v>
      </c>
      <c r="O1226" t="str">
        <f>IFERROR(_xlfn.XLOOKUP($A1226,'Base SKUs'!$E:$E,'Base SKUs'!I:I),"")</f>
        <v>Pre Finished Black</v>
      </c>
      <c r="P1226" t="str">
        <f>IFERROR(_xlfn.XLOOKUP($A1226,'Base SKUs'!$E:$E,'Base SKUs'!J:J),"")</f>
        <v>1x6</v>
      </c>
      <c r="Q1226">
        <f>IFERROR(_xlfn.XLOOKUP($A1226,'Base SKUs'!$E:$E,'Base SKUs'!K:K),"")</f>
        <v>8</v>
      </c>
      <c r="R1226" s="7">
        <f>IFERROR(_xlfn.XLOOKUP($A1226,'Base SKUs'!$E:$E,'Base SKUs'!S:S),"")</f>
        <v>6.2928000000000003E-3</v>
      </c>
      <c r="S1226" s="8">
        <f t="shared" si="97"/>
        <v>6.2928000000000003E-3</v>
      </c>
      <c r="T1226" s="7">
        <f>IFERROR(_xlfn.XLOOKUP($A1226,'Base SKUs'!$E:$E,'Base SKUs'!R:R),"")</f>
        <v>1251.2739999999999</v>
      </c>
      <c r="U1226" s="15">
        <f t="shared" si="98"/>
        <v>8</v>
      </c>
      <c r="V1226" t="str">
        <f t="shared" si="99"/>
        <v>New York</v>
      </c>
    </row>
    <row r="1227" spans="1:22" x14ac:dyDescent="0.2">
      <c r="A1227" t="s">
        <v>1634</v>
      </c>
      <c r="B1227" s="5">
        <v>4</v>
      </c>
      <c r="C1227" s="5">
        <v>0</v>
      </c>
      <c r="D1227" s="5">
        <f t="shared" si="95"/>
        <v>4</v>
      </c>
      <c r="E1227" s="6">
        <v>20.0945</v>
      </c>
      <c r="F1227" s="6">
        <f t="shared" si="96"/>
        <v>80.378</v>
      </c>
      <c r="G1227" t="s">
        <v>24</v>
      </c>
      <c r="H1227">
        <v>9008</v>
      </c>
      <c r="I1227" t="str">
        <f>IFERROR(_xlfn.XLOOKUP($A1227,'Base SKUs'!$E:$E,'Base SKUs'!A:A),"")</f>
        <v>Radiata</v>
      </c>
      <c r="J1227" t="str">
        <f>IFERROR(_xlfn.XLOOKUP($A1227,'Base SKUs'!$E:$E,'Base SKUs'!B:B),"")</f>
        <v>Radiata 1x6</v>
      </c>
      <c r="K1227" t="str">
        <f>IFERROR(_xlfn.XLOOKUP($A1227,'Base SKUs'!$E:$E,'Base SKUs'!C:C),"")</f>
        <v>Long</v>
      </c>
      <c r="L1227" t="str">
        <f>IFERROR(_xlfn.XLOOKUP($A1227,'Base SKUs'!$E:$E,'Base SKUs'!D:D),"")</f>
        <v>Thermowood</v>
      </c>
      <c r="M1227" t="str">
        <f>IFERROR(_xlfn.XLOOKUP($A1227,'Base SKUs'!$E:$E,'Base SKUs'!G:G),"")</f>
        <v>Maximo Thermo Clear Radiata</v>
      </c>
      <c r="N1227" t="str">
        <f>IFERROR(_xlfn.XLOOKUP($A1227,'Base SKUs'!$E:$E,'Base SKUs'!H:H),"")</f>
        <v>Nickel Gap</v>
      </c>
      <c r="O1227" t="str">
        <f>IFERROR(_xlfn.XLOOKUP($A1227,'Base SKUs'!$E:$E,'Base SKUs'!I:I),"")</f>
        <v>Pre Finished Black</v>
      </c>
      <c r="P1227" t="str">
        <f>IFERROR(_xlfn.XLOOKUP($A1227,'Base SKUs'!$E:$E,'Base SKUs'!J:J),"")</f>
        <v>1x6</v>
      </c>
      <c r="Q1227">
        <f>IFERROR(_xlfn.XLOOKUP($A1227,'Base SKUs'!$E:$E,'Base SKUs'!K:K),"")</f>
        <v>9</v>
      </c>
      <c r="R1227" s="7">
        <f>IFERROR(_xlfn.XLOOKUP($A1227,'Base SKUs'!$E:$E,'Base SKUs'!S:S),"")</f>
        <v>7.0794000000000004E-3</v>
      </c>
      <c r="S1227" s="8">
        <f t="shared" si="97"/>
        <v>2.8317600000000002E-2</v>
      </c>
      <c r="T1227" s="7">
        <f>IFERROR(_xlfn.XLOOKUP($A1227,'Base SKUs'!$E:$E,'Base SKUs'!R:R),"")</f>
        <v>1251.2739999999999</v>
      </c>
      <c r="U1227" s="15">
        <f t="shared" si="98"/>
        <v>35</v>
      </c>
      <c r="V1227" t="str">
        <f t="shared" si="99"/>
        <v>Texas</v>
      </c>
    </row>
    <row r="1228" spans="1:22" x14ac:dyDescent="0.2">
      <c r="A1228" t="s">
        <v>1636</v>
      </c>
      <c r="B1228" s="5">
        <v>34</v>
      </c>
      <c r="C1228" s="5">
        <v>34</v>
      </c>
      <c r="D1228" s="5">
        <f t="shared" si="95"/>
        <v>0</v>
      </c>
      <c r="E1228" s="6">
        <v>18.069099999999999</v>
      </c>
      <c r="F1228" s="6">
        <f t="shared" si="96"/>
        <v>614.34939999999995</v>
      </c>
      <c r="G1228" t="s">
        <v>17</v>
      </c>
      <c r="H1228">
        <v>9007</v>
      </c>
      <c r="I1228" t="str">
        <f>IFERROR(_xlfn.XLOOKUP($A1228,'Base SKUs'!$E:$E,'Base SKUs'!A:A),"")</f>
        <v>Radiata</v>
      </c>
      <c r="J1228" t="str">
        <f>IFERROR(_xlfn.XLOOKUP($A1228,'Base SKUs'!$E:$E,'Base SKUs'!B:B),"")</f>
        <v>Radiata 1x6</v>
      </c>
      <c r="K1228" t="str">
        <f>IFERROR(_xlfn.XLOOKUP($A1228,'Base SKUs'!$E:$E,'Base SKUs'!C:C),"")</f>
        <v>Long</v>
      </c>
      <c r="L1228" t="str">
        <f>IFERROR(_xlfn.XLOOKUP($A1228,'Base SKUs'!$E:$E,'Base SKUs'!D:D),"")</f>
        <v>Thermowood</v>
      </c>
      <c r="M1228" t="str">
        <f>IFERROR(_xlfn.XLOOKUP($A1228,'Base SKUs'!$E:$E,'Base SKUs'!G:G),"")</f>
        <v>Maximo Thermo Clear Radiata</v>
      </c>
      <c r="N1228" t="str">
        <f>IFERROR(_xlfn.XLOOKUP($A1228,'Base SKUs'!$E:$E,'Base SKUs'!H:H),"")</f>
        <v>Nickel Gap</v>
      </c>
      <c r="O1228" t="str">
        <f>IFERROR(_xlfn.XLOOKUP($A1228,'Base SKUs'!$E:$E,'Base SKUs'!I:I),"")</f>
        <v>OPX</v>
      </c>
      <c r="P1228" t="str">
        <f>IFERROR(_xlfn.XLOOKUP($A1228,'Base SKUs'!$E:$E,'Base SKUs'!J:J),"")</f>
        <v>1x6</v>
      </c>
      <c r="Q1228">
        <f>IFERROR(_xlfn.XLOOKUP($A1228,'Base SKUs'!$E:$E,'Base SKUs'!K:K),"")</f>
        <v>10</v>
      </c>
      <c r="R1228" s="7">
        <f>IFERROR(_xlfn.XLOOKUP($A1228,'Base SKUs'!$E:$E,'Base SKUs'!S:S),"")</f>
        <v>7.8659999999999997E-3</v>
      </c>
      <c r="S1228" s="8">
        <f t="shared" si="97"/>
        <v>0</v>
      </c>
      <c r="T1228" s="7">
        <f>IFERROR(_xlfn.XLOOKUP($A1228,'Base SKUs'!$E:$E,'Base SKUs'!R:R),"")</f>
        <v>1251.2739999999999</v>
      </c>
      <c r="U1228" s="15">
        <f t="shared" si="98"/>
        <v>0</v>
      </c>
      <c r="V1228" t="str">
        <f t="shared" si="99"/>
        <v>Miami</v>
      </c>
    </row>
    <row r="1229" spans="1:22" x14ac:dyDescent="0.2">
      <c r="A1229" t="s">
        <v>1638</v>
      </c>
      <c r="B1229" s="5">
        <v>7</v>
      </c>
      <c r="C1229" s="5">
        <v>7</v>
      </c>
      <c r="D1229" s="5">
        <f t="shared" si="95"/>
        <v>0</v>
      </c>
      <c r="E1229" s="6">
        <v>0</v>
      </c>
      <c r="F1229" s="6">
        <f t="shared" si="96"/>
        <v>0</v>
      </c>
      <c r="G1229" t="s">
        <v>24</v>
      </c>
      <c r="H1229">
        <v>9008</v>
      </c>
      <c r="I1229" t="str">
        <f>IFERROR(_xlfn.XLOOKUP($A1229,'Base SKUs'!$E:$E,'Base SKUs'!A:A),"")</f>
        <v>Radiata</v>
      </c>
      <c r="J1229" t="str">
        <f>IFERROR(_xlfn.XLOOKUP($A1229,'Base SKUs'!$E:$E,'Base SKUs'!B:B),"")</f>
        <v>Radiata 1x6</v>
      </c>
      <c r="K1229" t="str">
        <f>IFERROR(_xlfn.XLOOKUP($A1229,'Base SKUs'!$E:$E,'Base SKUs'!C:C),"")</f>
        <v>Long</v>
      </c>
      <c r="L1229" t="str">
        <f>IFERROR(_xlfn.XLOOKUP($A1229,'Base SKUs'!$E:$E,'Base SKUs'!D:D),"")</f>
        <v>Thermowood</v>
      </c>
      <c r="M1229" t="str">
        <f>IFERROR(_xlfn.XLOOKUP($A1229,'Base SKUs'!$E:$E,'Base SKUs'!G:G),"")</f>
        <v>Maximo Thermo Clear Radiata</v>
      </c>
      <c r="N1229" t="str">
        <f>IFERROR(_xlfn.XLOOKUP($A1229,'Base SKUs'!$E:$E,'Base SKUs'!H:H),"")</f>
        <v>Nickel Gap</v>
      </c>
      <c r="O1229" t="str">
        <f>IFERROR(_xlfn.XLOOKUP($A1229,'Base SKUs'!$E:$E,'Base SKUs'!I:I),"")</f>
        <v>OPX</v>
      </c>
      <c r="P1229" t="str">
        <f>IFERROR(_xlfn.XLOOKUP($A1229,'Base SKUs'!$E:$E,'Base SKUs'!J:J),"")</f>
        <v>1x6</v>
      </c>
      <c r="Q1229">
        <f>IFERROR(_xlfn.XLOOKUP($A1229,'Base SKUs'!$E:$E,'Base SKUs'!K:K),"")</f>
        <v>11</v>
      </c>
      <c r="R1229" s="7">
        <f>IFERROR(_xlfn.XLOOKUP($A1229,'Base SKUs'!$E:$E,'Base SKUs'!S:S),"")</f>
        <v>8.6525999999999999E-3</v>
      </c>
      <c r="S1229" s="8">
        <f t="shared" si="97"/>
        <v>0</v>
      </c>
      <c r="T1229" s="7">
        <f>IFERROR(_xlfn.XLOOKUP($A1229,'Base SKUs'!$E:$E,'Base SKUs'!R:R),"")</f>
        <v>1251.2739999999999</v>
      </c>
      <c r="U1229" s="15">
        <f t="shared" si="98"/>
        <v>0</v>
      </c>
      <c r="V1229" t="str">
        <f t="shared" si="99"/>
        <v>Texas</v>
      </c>
    </row>
    <row r="1230" spans="1:22" x14ac:dyDescent="0.2">
      <c r="A1230" t="s">
        <v>1640</v>
      </c>
      <c r="B1230" s="5">
        <v>9</v>
      </c>
      <c r="C1230" s="5">
        <v>9</v>
      </c>
      <c r="D1230" s="5">
        <f t="shared" si="95"/>
        <v>0</v>
      </c>
      <c r="E1230" s="6">
        <v>23.712</v>
      </c>
      <c r="F1230" s="6">
        <f t="shared" si="96"/>
        <v>213.40799999999999</v>
      </c>
      <c r="G1230" t="s">
        <v>17</v>
      </c>
      <c r="H1230">
        <v>9007</v>
      </c>
      <c r="I1230" t="str">
        <f>IFERROR(_xlfn.XLOOKUP($A1230,'Base SKUs'!$E:$E,'Base SKUs'!A:A),"")</f>
        <v>Radiata</v>
      </c>
      <c r="J1230" t="str">
        <f>IFERROR(_xlfn.XLOOKUP($A1230,'Base SKUs'!$E:$E,'Base SKUs'!B:B),"")</f>
        <v>Radiata 1x6</v>
      </c>
      <c r="K1230" t="str">
        <f>IFERROR(_xlfn.XLOOKUP($A1230,'Base SKUs'!$E:$E,'Base SKUs'!C:C),"")</f>
        <v>Long</v>
      </c>
      <c r="L1230" t="str">
        <f>IFERROR(_xlfn.XLOOKUP($A1230,'Base SKUs'!$E:$E,'Base SKUs'!D:D),"")</f>
        <v>Thermowood</v>
      </c>
      <c r="M1230" t="str">
        <f>IFERROR(_xlfn.XLOOKUP($A1230,'Base SKUs'!$E:$E,'Base SKUs'!G:G),"")</f>
        <v>Maximo Thermo Clear Radiata</v>
      </c>
      <c r="N1230" t="str">
        <f>IFERROR(_xlfn.XLOOKUP($A1230,'Base SKUs'!$E:$E,'Base SKUs'!H:H),"")</f>
        <v>Nickel Gap</v>
      </c>
      <c r="O1230" t="str">
        <f>IFERROR(_xlfn.XLOOKUP($A1230,'Base SKUs'!$E:$E,'Base SKUs'!I:I),"")</f>
        <v>OPX</v>
      </c>
      <c r="P1230" t="str">
        <f>IFERROR(_xlfn.XLOOKUP($A1230,'Base SKUs'!$E:$E,'Base SKUs'!J:J),"")</f>
        <v>1x6</v>
      </c>
      <c r="Q1230">
        <f>IFERROR(_xlfn.XLOOKUP($A1230,'Base SKUs'!$E:$E,'Base SKUs'!K:K),"")</f>
        <v>12</v>
      </c>
      <c r="R1230" s="7">
        <f>IFERROR(_xlfn.XLOOKUP($A1230,'Base SKUs'!$E:$E,'Base SKUs'!S:S),"")</f>
        <v>9.4392E-3</v>
      </c>
      <c r="S1230" s="8">
        <f t="shared" si="97"/>
        <v>0</v>
      </c>
      <c r="T1230" s="7">
        <f>IFERROR(_xlfn.XLOOKUP($A1230,'Base SKUs'!$E:$E,'Base SKUs'!R:R),"")</f>
        <v>1251.2739999999999</v>
      </c>
      <c r="U1230" s="15">
        <f t="shared" si="98"/>
        <v>0</v>
      </c>
      <c r="V1230" t="str">
        <f t="shared" si="99"/>
        <v>Miami</v>
      </c>
    </row>
    <row r="1231" spans="1:22" x14ac:dyDescent="0.2">
      <c r="A1231" t="s">
        <v>1642</v>
      </c>
      <c r="B1231" s="5">
        <v>3</v>
      </c>
      <c r="C1231" s="5">
        <v>3</v>
      </c>
      <c r="D1231" s="5">
        <f t="shared" si="95"/>
        <v>0</v>
      </c>
      <c r="E1231" s="6">
        <v>24.174199999999999</v>
      </c>
      <c r="F1231" s="6">
        <f t="shared" si="96"/>
        <v>72.522599999999997</v>
      </c>
      <c r="G1231" t="s">
        <v>17</v>
      </c>
      <c r="H1231">
        <v>9007</v>
      </c>
      <c r="I1231" t="str">
        <f>IFERROR(_xlfn.XLOOKUP($A1231,'Base SKUs'!$E:$E,'Base SKUs'!A:A),"")</f>
        <v>Radiata</v>
      </c>
      <c r="J1231" t="str">
        <f>IFERROR(_xlfn.XLOOKUP($A1231,'Base SKUs'!$E:$E,'Base SKUs'!B:B),"")</f>
        <v>Radiata 1x6</v>
      </c>
      <c r="K1231" t="str">
        <f>IFERROR(_xlfn.XLOOKUP($A1231,'Base SKUs'!$E:$E,'Base SKUs'!C:C),"")</f>
        <v>Long</v>
      </c>
      <c r="L1231" t="str">
        <f>IFERROR(_xlfn.XLOOKUP($A1231,'Base SKUs'!$E:$E,'Base SKUs'!D:D),"")</f>
        <v>Thermowood</v>
      </c>
      <c r="M1231" t="str">
        <f>IFERROR(_xlfn.XLOOKUP($A1231,'Base SKUs'!$E:$E,'Base SKUs'!G:G),"")</f>
        <v>Maximo Thermo Clear Radiata</v>
      </c>
      <c r="N1231" t="str">
        <f>IFERROR(_xlfn.XLOOKUP($A1231,'Base SKUs'!$E:$E,'Base SKUs'!H:H),"")</f>
        <v>Nickel Gap</v>
      </c>
      <c r="O1231" t="str">
        <f>IFERROR(_xlfn.XLOOKUP($A1231,'Base SKUs'!$E:$E,'Base SKUs'!I:I),"")</f>
        <v>OPX</v>
      </c>
      <c r="P1231" t="str">
        <f>IFERROR(_xlfn.XLOOKUP($A1231,'Base SKUs'!$E:$E,'Base SKUs'!J:J),"")</f>
        <v>1x6</v>
      </c>
      <c r="Q1231">
        <f>IFERROR(_xlfn.XLOOKUP($A1231,'Base SKUs'!$E:$E,'Base SKUs'!K:K),"")</f>
        <v>13</v>
      </c>
      <c r="R1231" s="7">
        <f>IFERROR(_xlfn.XLOOKUP($A1231,'Base SKUs'!$E:$E,'Base SKUs'!S:S),"")</f>
        <v>1.02258E-2</v>
      </c>
      <c r="S1231" s="8">
        <f t="shared" si="97"/>
        <v>0</v>
      </c>
      <c r="T1231" s="7">
        <f>IFERROR(_xlfn.XLOOKUP($A1231,'Base SKUs'!$E:$E,'Base SKUs'!R:R),"")</f>
        <v>1251.2739999999999</v>
      </c>
      <c r="U1231" s="15">
        <f t="shared" si="98"/>
        <v>0</v>
      </c>
      <c r="V1231" t="str">
        <f t="shared" si="99"/>
        <v>Miami</v>
      </c>
    </row>
    <row r="1232" spans="1:22" x14ac:dyDescent="0.2">
      <c r="A1232" t="s">
        <v>1644</v>
      </c>
      <c r="B1232" s="5">
        <v>330</v>
      </c>
      <c r="C1232" s="5">
        <v>0</v>
      </c>
      <c r="D1232" s="5">
        <f t="shared" si="95"/>
        <v>330</v>
      </c>
      <c r="E1232" s="6">
        <v>24.427</v>
      </c>
      <c r="F1232" s="6">
        <f t="shared" si="96"/>
        <v>8060.91</v>
      </c>
      <c r="G1232" t="s">
        <v>125</v>
      </c>
      <c r="H1232">
        <v>9009</v>
      </c>
      <c r="I1232" t="str">
        <f>IFERROR(_xlfn.XLOOKUP($A1232,'Base SKUs'!$E:$E,'Base SKUs'!A:A),"")</f>
        <v>Radiata</v>
      </c>
      <c r="J1232" t="str">
        <f>IFERROR(_xlfn.XLOOKUP($A1232,'Base SKUs'!$E:$E,'Base SKUs'!B:B),"")</f>
        <v>Radiata 1x6</v>
      </c>
      <c r="K1232" t="str">
        <f>IFERROR(_xlfn.XLOOKUP($A1232,'Base SKUs'!$E:$E,'Base SKUs'!C:C),"")</f>
        <v>Long</v>
      </c>
      <c r="L1232" t="str">
        <f>IFERROR(_xlfn.XLOOKUP($A1232,'Base SKUs'!$E:$E,'Base SKUs'!D:D),"")</f>
        <v>Thermowood</v>
      </c>
      <c r="M1232" t="str">
        <f>IFERROR(_xlfn.XLOOKUP($A1232,'Base SKUs'!$E:$E,'Base SKUs'!G:G),"")</f>
        <v>Maximo Thermo Clear Radiata</v>
      </c>
      <c r="N1232" t="str">
        <f>IFERROR(_xlfn.XLOOKUP($A1232,'Base SKUs'!$E:$E,'Base SKUs'!H:H),"")</f>
        <v>Nickel Gap</v>
      </c>
      <c r="O1232" t="str">
        <f>IFERROR(_xlfn.XLOOKUP($A1232,'Base SKUs'!$E:$E,'Base SKUs'!I:I),"")</f>
        <v>OPX</v>
      </c>
      <c r="P1232" t="str">
        <f>IFERROR(_xlfn.XLOOKUP($A1232,'Base SKUs'!$E:$E,'Base SKUs'!J:J),"")</f>
        <v>1x6</v>
      </c>
      <c r="Q1232">
        <f>IFERROR(_xlfn.XLOOKUP($A1232,'Base SKUs'!$E:$E,'Base SKUs'!K:K),"")</f>
        <v>14</v>
      </c>
      <c r="R1232" s="7">
        <f>IFERROR(_xlfn.XLOOKUP($A1232,'Base SKUs'!$E:$E,'Base SKUs'!S:S),"")</f>
        <v>1.10124E-2</v>
      </c>
      <c r="S1232" s="8">
        <f t="shared" si="97"/>
        <v>3.6340920000000003</v>
      </c>
      <c r="T1232" s="7">
        <f>IFERROR(_xlfn.XLOOKUP($A1232,'Base SKUs'!$E:$E,'Base SKUs'!R:R),"")</f>
        <v>1251.2739999999999</v>
      </c>
      <c r="U1232" s="15">
        <f t="shared" si="98"/>
        <v>4547</v>
      </c>
      <c r="V1232" t="str">
        <f t="shared" si="99"/>
        <v>Boston</v>
      </c>
    </row>
    <row r="1233" spans="1:22" x14ac:dyDescent="0.2">
      <c r="A1233" t="s">
        <v>1646</v>
      </c>
      <c r="B1233" s="5">
        <v>7</v>
      </c>
      <c r="C1233" s="5">
        <v>7</v>
      </c>
      <c r="D1233" s="5">
        <f t="shared" si="95"/>
        <v>0</v>
      </c>
      <c r="E1233" s="6">
        <v>27.916499999999999</v>
      </c>
      <c r="F1233" s="6">
        <f t="shared" si="96"/>
        <v>195.41550000000001</v>
      </c>
      <c r="G1233" t="s">
        <v>17</v>
      </c>
      <c r="H1233">
        <v>9007</v>
      </c>
      <c r="I1233" t="str">
        <f>IFERROR(_xlfn.XLOOKUP($A1233,'Base SKUs'!$E:$E,'Base SKUs'!A:A),"")</f>
        <v>Radiata</v>
      </c>
      <c r="J1233" t="str">
        <f>IFERROR(_xlfn.XLOOKUP($A1233,'Base SKUs'!$E:$E,'Base SKUs'!B:B),"")</f>
        <v>Radiata 1x6</v>
      </c>
      <c r="K1233" t="str">
        <f>IFERROR(_xlfn.XLOOKUP($A1233,'Base SKUs'!$E:$E,'Base SKUs'!C:C),"")</f>
        <v>Long</v>
      </c>
      <c r="L1233" t="str">
        <f>IFERROR(_xlfn.XLOOKUP($A1233,'Base SKUs'!$E:$E,'Base SKUs'!D:D),"")</f>
        <v>Thermowood</v>
      </c>
      <c r="M1233" t="str">
        <f>IFERROR(_xlfn.XLOOKUP($A1233,'Base SKUs'!$E:$E,'Base SKUs'!G:G),"")</f>
        <v>Maximo Thermo Clear Radiata</v>
      </c>
      <c r="N1233" t="str">
        <f>IFERROR(_xlfn.XLOOKUP($A1233,'Base SKUs'!$E:$E,'Base SKUs'!H:H),"")</f>
        <v>Nickel Gap</v>
      </c>
      <c r="O1233" t="str">
        <f>IFERROR(_xlfn.XLOOKUP($A1233,'Base SKUs'!$E:$E,'Base SKUs'!I:I),"")</f>
        <v>OPX</v>
      </c>
      <c r="P1233" t="str">
        <f>IFERROR(_xlfn.XLOOKUP($A1233,'Base SKUs'!$E:$E,'Base SKUs'!J:J),"")</f>
        <v>1x6</v>
      </c>
      <c r="Q1233">
        <f>IFERROR(_xlfn.XLOOKUP($A1233,'Base SKUs'!$E:$E,'Base SKUs'!K:K),"")</f>
        <v>16</v>
      </c>
      <c r="R1233" s="7">
        <f>IFERROR(_xlfn.XLOOKUP($A1233,'Base SKUs'!$E:$E,'Base SKUs'!S:S),"")</f>
        <v>1.2585600000000001E-2</v>
      </c>
      <c r="S1233" s="8">
        <f t="shared" si="97"/>
        <v>0</v>
      </c>
      <c r="T1233" s="7">
        <f>IFERROR(_xlfn.XLOOKUP($A1233,'Base SKUs'!$E:$E,'Base SKUs'!R:R),"")</f>
        <v>1251.2739999999999</v>
      </c>
      <c r="U1233" s="15">
        <f t="shared" si="98"/>
        <v>0</v>
      </c>
      <c r="V1233" t="str">
        <f t="shared" si="99"/>
        <v>Miami</v>
      </c>
    </row>
    <row r="1234" spans="1:22" x14ac:dyDescent="0.2">
      <c r="A1234" t="s">
        <v>1648</v>
      </c>
      <c r="B1234" s="5">
        <v>18</v>
      </c>
      <c r="C1234" s="5">
        <v>18</v>
      </c>
      <c r="D1234" s="5">
        <f t="shared" si="95"/>
        <v>0</v>
      </c>
      <c r="E1234" s="6">
        <v>31.406099999999999</v>
      </c>
      <c r="F1234" s="6">
        <f t="shared" si="96"/>
        <v>565.3098</v>
      </c>
      <c r="G1234" t="s">
        <v>17</v>
      </c>
      <c r="H1234">
        <v>9007</v>
      </c>
      <c r="I1234" t="str">
        <f>IFERROR(_xlfn.XLOOKUP($A1234,'Base SKUs'!$E:$E,'Base SKUs'!A:A),"")</f>
        <v>Radiata</v>
      </c>
      <c r="J1234" t="str">
        <f>IFERROR(_xlfn.XLOOKUP($A1234,'Base SKUs'!$E:$E,'Base SKUs'!B:B),"")</f>
        <v>Radiata 1x6</v>
      </c>
      <c r="K1234" t="str">
        <f>IFERROR(_xlfn.XLOOKUP($A1234,'Base SKUs'!$E:$E,'Base SKUs'!C:C),"")</f>
        <v>Long</v>
      </c>
      <c r="L1234" t="str">
        <f>IFERROR(_xlfn.XLOOKUP($A1234,'Base SKUs'!$E:$E,'Base SKUs'!D:D),"")</f>
        <v>Thermowood</v>
      </c>
      <c r="M1234" t="str">
        <f>IFERROR(_xlfn.XLOOKUP($A1234,'Base SKUs'!$E:$E,'Base SKUs'!G:G),"")</f>
        <v>Maximo Thermo Clear Radiata</v>
      </c>
      <c r="N1234" t="str">
        <f>IFERROR(_xlfn.XLOOKUP($A1234,'Base SKUs'!$E:$E,'Base SKUs'!H:H),"")</f>
        <v>Nickel Gap</v>
      </c>
      <c r="O1234" t="str">
        <f>IFERROR(_xlfn.XLOOKUP($A1234,'Base SKUs'!$E:$E,'Base SKUs'!I:I),"")</f>
        <v>OPX</v>
      </c>
      <c r="P1234" t="str">
        <f>IFERROR(_xlfn.XLOOKUP($A1234,'Base SKUs'!$E:$E,'Base SKUs'!J:J),"")</f>
        <v>1x6</v>
      </c>
      <c r="Q1234">
        <f>IFERROR(_xlfn.XLOOKUP($A1234,'Base SKUs'!$E:$E,'Base SKUs'!K:K),"")</f>
        <v>18</v>
      </c>
      <c r="R1234" s="7">
        <f>IFERROR(_xlfn.XLOOKUP($A1234,'Base SKUs'!$E:$E,'Base SKUs'!S:S),"")</f>
        <v>1.4158800000000001E-2</v>
      </c>
      <c r="S1234" s="8">
        <f t="shared" si="97"/>
        <v>0</v>
      </c>
      <c r="T1234" s="7">
        <f>IFERROR(_xlfn.XLOOKUP($A1234,'Base SKUs'!$E:$E,'Base SKUs'!R:R),"")</f>
        <v>1251.2739999999999</v>
      </c>
      <c r="U1234" s="15">
        <f t="shared" si="98"/>
        <v>0</v>
      </c>
      <c r="V1234" t="str">
        <f t="shared" si="99"/>
        <v>Miami</v>
      </c>
    </row>
    <row r="1235" spans="1:22" x14ac:dyDescent="0.2">
      <c r="A1235" t="s">
        <v>1650</v>
      </c>
      <c r="B1235" s="5">
        <v>23</v>
      </c>
      <c r="C1235" s="5">
        <v>23</v>
      </c>
      <c r="D1235" s="5">
        <f t="shared" si="95"/>
        <v>0</v>
      </c>
      <c r="E1235" s="6">
        <v>12.856400000000001</v>
      </c>
      <c r="F1235" s="6">
        <f t="shared" si="96"/>
        <v>295.69720000000001</v>
      </c>
      <c r="G1235" t="s">
        <v>17</v>
      </c>
      <c r="H1235">
        <v>9007</v>
      </c>
      <c r="I1235" t="str">
        <f>IFERROR(_xlfn.XLOOKUP($A1235,'Base SKUs'!$E:$E,'Base SKUs'!A:A),"")</f>
        <v>Radiata</v>
      </c>
      <c r="J1235" t="str">
        <f>IFERROR(_xlfn.XLOOKUP($A1235,'Base SKUs'!$E:$E,'Base SKUs'!B:B),"")</f>
        <v>Radiata 1x6</v>
      </c>
      <c r="K1235" t="str">
        <f>IFERROR(_xlfn.XLOOKUP($A1235,'Base SKUs'!$E:$E,'Base SKUs'!C:C),"")</f>
        <v>Short</v>
      </c>
      <c r="L1235" t="str">
        <f>IFERROR(_xlfn.XLOOKUP($A1235,'Base SKUs'!$E:$E,'Base SKUs'!D:D),"")</f>
        <v>Thermowood</v>
      </c>
      <c r="M1235" t="str">
        <f>IFERROR(_xlfn.XLOOKUP($A1235,'Base SKUs'!$E:$E,'Base SKUs'!G:G),"")</f>
        <v>Maximo Thermo Clear Radiata</v>
      </c>
      <c r="N1235" t="str">
        <f>IFERROR(_xlfn.XLOOKUP($A1235,'Base SKUs'!$E:$E,'Base SKUs'!H:H),"")</f>
        <v>Nickel Gap</v>
      </c>
      <c r="O1235" t="str">
        <f>IFERROR(_xlfn.XLOOKUP($A1235,'Base SKUs'!$E:$E,'Base SKUs'!I:I),"")</f>
        <v>OPX</v>
      </c>
      <c r="P1235" t="str">
        <f>IFERROR(_xlfn.XLOOKUP($A1235,'Base SKUs'!$E:$E,'Base SKUs'!J:J),"")</f>
        <v>1x6</v>
      </c>
      <c r="Q1235">
        <f>IFERROR(_xlfn.XLOOKUP($A1235,'Base SKUs'!$E:$E,'Base SKUs'!K:K),"")</f>
        <v>7</v>
      </c>
      <c r="R1235" s="7">
        <f>IFERROR(_xlfn.XLOOKUP($A1235,'Base SKUs'!$E:$E,'Base SKUs'!S:S),"")</f>
        <v>5.5062000000000002E-3</v>
      </c>
      <c r="S1235" s="8">
        <f t="shared" si="97"/>
        <v>0</v>
      </c>
      <c r="T1235" s="7">
        <f>IFERROR(_xlfn.XLOOKUP($A1235,'Base SKUs'!$E:$E,'Base SKUs'!R:R),"")</f>
        <v>1251.2739999999999</v>
      </c>
      <c r="U1235" s="15">
        <f t="shared" si="98"/>
        <v>0</v>
      </c>
      <c r="V1235" t="str">
        <f t="shared" si="99"/>
        <v>Miami</v>
      </c>
    </row>
    <row r="1236" spans="1:22" x14ac:dyDescent="0.2">
      <c r="A1236" t="s">
        <v>1652</v>
      </c>
      <c r="B1236" s="5">
        <v>10</v>
      </c>
      <c r="C1236" s="5">
        <v>0</v>
      </c>
      <c r="D1236" s="5">
        <f t="shared" si="95"/>
        <v>10</v>
      </c>
      <c r="E1236" s="6">
        <v>14.2638</v>
      </c>
      <c r="F1236" s="6">
        <f t="shared" si="96"/>
        <v>142.63800000000001</v>
      </c>
      <c r="G1236" t="s">
        <v>24</v>
      </c>
      <c r="H1236">
        <v>9008</v>
      </c>
      <c r="I1236" t="str">
        <f>IFERROR(_xlfn.XLOOKUP($A1236,'Base SKUs'!$E:$E,'Base SKUs'!A:A),"")</f>
        <v>Radiata</v>
      </c>
      <c r="J1236" t="str">
        <f>IFERROR(_xlfn.XLOOKUP($A1236,'Base SKUs'!$E:$E,'Base SKUs'!B:B),"")</f>
        <v>Radiata 1x6</v>
      </c>
      <c r="K1236" t="str">
        <f>IFERROR(_xlfn.XLOOKUP($A1236,'Base SKUs'!$E:$E,'Base SKUs'!C:C),"")</f>
        <v>Long</v>
      </c>
      <c r="L1236" t="str">
        <f>IFERROR(_xlfn.XLOOKUP($A1236,'Base SKUs'!$E:$E,'Base SKUs'!D:D),"")</f>
        <v>Thermowood</v>
      </c>
      <c r="M1236" t="str">
        <f>IFERROR(_xlfn.XLOOKUP($A1236,'Base SKUs'!$E:$E,'Base SKUs'!G:G),"")</f>
        <v>Maximo Thermo Clear Radiata</v>
      </c>
      <c r="N1236" t="str">
        <f>IFERROR(_xlfn.XLOOKUP($A1236,'Base SKUs'!$E:$E,'Base SKUs'!H:H),"")</f>
        <v>Nickel Gap</v>
      </c>
      <c r="O1236" t="str">
        <f>IFERROR(_xlfn.XLOOKUP($A1236,'Base SKUs'!$E:$E,'Base SKUs'!I:I),"")</f>
        <v>OPX</v>
      </c>
      <c r="P1236" t="str">
        <f>IFERROR(_xlfn.XLOOKUP($A1236,'Base SKUs'!$E:$E,'Base SKUs'!J:J),"")</f>
        <v>1x6</v>
      </c>
      <c r="Q1236">
        <f>IFERROR(_xlfn.XLOOKUP($A1236,'Base SKUs'!$E:$E,'Base SKUs'!K:K),"")</f>
        <v>8</v>
      </c>
      <c r="R1236" s="7">
        <f>IFERROR(_xlfn.XLOOKUP($A1236,'Base SKUs'!$E:$E,'Base SKUs'!S:S),"")</f>
        <v>6.2928000000000003E-3</v>
      </c>
      <c r="S1236" s="8">
        <f t="shared" si="97"/>
        <v>6.2927999999999998E-2</v>
      </c>
      <c r="T1236" s="7">
        <f>IFERROR(_xlfn.XLOOKUP($A1236,'Base SKUs'!$E:$E,'Base SKUs'!R:R),"")</f>
        <v>1251.2739999999999</v>
      </c>
      <c r="U1236" s="15">
        <f t="shared" si="98"/>
        <v>79</v>
      </c>
      <c r="V1236" t="str">
        <f t="shared" si="99"/>
        <v>Texas</v>
      </c>
    </row>
    <row r="1237" spans="1:22" x14ac:dyDescent="0.2">
      <c r="A1237" t="s">
        <v>1654</v>
      </c>
      <c r="B1237" s="5">
        <v>479</v>
      </c>
      <c r="C1237" s="5">
        <v>0</v>
      </c>
      <c r="D1237" s="5">
        <f t="shared" si="95"/>
        <v>479</v>
      </c>
      <c r="E1237" s="6">
        <v>13.5123</v>
      </c>
      <c r="F1237" s="6">
        <f t="shared" si="96"/>
        <v>6472.3917000000001</v>
      </c>
      <c r="G1237" t="s">
        <v>17</v>
      </c>
      <c r="H1237">
        <v>9007</v>
      </c>
      <c r="I1237" t="str">
        <f>IFERROR(_xlfn.XLOOKUP($A1237,'Base SKUs'!$E:$E,'Base SKUs'!A:A),"")</f>
        <v>Radiata</v>
      </c>
      <c r="J1237" t="str">
        <f>IFERROR(_xlfn.XLOOKUP($A1237,'Base SKUs'!$E:$E,'Base SKUs'!B:B),"")</f>
        <v>Radiata 1x5</v>
      </c>
      <c r="K1237" t="str">
        <f>IFERROR(_xlfn.XLOOKUP($A1237,'Base SKUs'!$E:$E,'Base SKUs'!C:C),"")</f>
        <v>Long</v>
      </c>
      <c r="L1237" t="str">
        <f>IFERROR(_xlfn.XLOOKUP($A1237,'Base SKUs'!$E:$E,'Base SKUs'!D:D),"")</f>
        <v>Thermowood</v>
      </c>
      <c r="M1237" t="str">
        <f>IFERROR(_xlfn.XLOOKUP($A1237,'Base SKUs'!$E:$E,'Base SKUs'!G:G),"")</f>
        <v>Maximo Thermo Clear Radiata</v>
      </c>
      <c r="N1237" t="str">
        <f>IFERROR(_xlfn.XLOOKUP($A1237,'Base SKUs'!$E:$E,'Base SKUs'!H:H),"")</f>
        <v>Nickel Gap</v>
      </c>
      <c r="O1237" t="str">
        <f>IFERROR(_xlfn.XLOOKUP($A1237,'Base SKUs'!$E:$E,'Base SKUs'!I:I),"")</f>
        <v>Wire Brushed</v>
      </c>
      <c r="P1237" t="str">
        <f>IFERROR(_xlfn.XLOOKUP($A1237,'Base SKUs'!$E:$E,'Base SKUs'!J:J),"")</f>
        <v>1x5</v>
      </c>
      <c r="Q1237">
        <f>IFERROR(_xlfn.XLOOKUP($A1237,'Base SKUs'!$E:$E,'Base SKUs'!K:K),"")</f>
        <v>10</v>
      </c>
      <c r="R1237" s="7">
        <f>IFERROR(_xlfn.XLOOKUP($A1237,'Base SKUs'!$E:$E,'Base SKUs'!S:S),"")</f>
        <v>6.5550000000000009E-3</v>
      </c>
      <c r="S1237" s="8">
        <f t="shared" si="97"/>
        <v>3.1398450000000007</v>
      </c>
      <c r="T1237" s="7">
        <f>IFERROR(_xlfn.XLOOKUP($A1237,'Base SKUs'!$E:$E,'Base SKUs'!R:R),"")</f>
        <v>1501.529</v>
      </c>
      <c r="U1237" s="15">
        <f t="shared" si="98"/>
        <v>4715</v>
      </c>
      <c r="V1237" t="str">
        <f t="shared" si="99"/>
        <v>Miami</v>
      </c>
    </row>
    <row r="1238" spans="1:22" x14ac:dyDescent="0.2">
      <c r="A1238" t="s">
        <v>1654</v>
      </c>
      <c r="B1238" s="5">
        <v>128</v>
      </c>
      <c r="C1238" s="5">
        <v>0</v>
      </c>
      <c r="D1238" s="5">
        <f t="shared" si="95"/>
        <v>128</v>
      </c>
      <c r="E1238" s="6">
        <v>13.5123</v>
      </c>
      <c r="F1238" s="6">
        <f t="shared" si="96"/>
        <v>1729.5744</v>
      </c>
      <c r="G1238" t="s">
        <v>24</v>
      </c>
      <c r="H1238">
        <v>9008</v>
      </c>
      <c r="I1238" t="str">
        <f>IFERROR(_xlfn.XLOOKUP($A1238,'Base SKUs'!$E:$E,'Base SKUs'!A:A),"")</f>
        <v>Radiata</v>
      </c>
      <c r="J1238" t="str">
        <f>IFERROR(_xlfn.XLOOKUP($A1238,'Base SKUs'!$E:$E,'Base SKUs'!B:B),"")</f>
        <v>Radiata 1x5</v>
      </c>
      <c r="K1238" t="str">
        <f>IFERROR(_xlfn.XLOOKUP($A1238,'Base SKUs'!$E:$E,'Base SKUs'!C:C),"")</f>
        <v>Long</v>
      </c>
      <c r="L1238" t="str">
        <f>IFERROR(_xlfn.XLOOKUP($A1238,'Base SKUs'!$E:$E,'Base SKUs'!D:D),"")</f>
        <v>Thermowood</v>
      </c>
      <c r="M1238" t="str">
        <f>IFERROR(_xlfn.XLOOKUP($A1238,'Base SKUs'!$E:$E,'Base SKUs'!G:G),"")</f>
        <v>Maximo Thermo Clear Radiata</v>
      </c>
      <c r="N1238" t="str">
        <f>IFERROR(_xlfn.XLOOKUP($A1238,'Base SKUs'!$E:$E,'Base SKUs'!H:H),"")</f>
        <v>Nickel Gap</v>
      </c>
      <c r="O1238" t="str">
        <f>IFERROR(_xlfn.XLOOKUP($A1238,'Base SKUs'!$E:$E,'Base SKUs'!I:I),"")</f>
        <v>Wire Brushed</v>
      </c>
      <c r="P1238" t="str">
        <f>IFERROR(_xlfn.XLOOKUP($A1238,'Base SKUs'!$E:$E,'Base SKUs'!J:J),"")</f>
        <v>1x5</v>
      </c>
      <c r="Q1238">
        <f>IFERROR(_xlfn.XLOOKUP($A1238,'Base SKUs'!$E:$E,'Base SKUs'!K:K),"")</f>
        <v>10</v>
      </c>
      <c r="R1238" s="7">
        <f>IFERROR(_xlfn.XLOOKUP($A1238,'Base SKUs'!$E:$E,'Base SKUs'!S:S),"")</f>
        <v>6.5550000000000009E-3</v>
      </c>
      <c r="S1238" s="8">
        <f t="shared" si="97"/>
        <v>0.83904000000000012</v>
      </c>
      <c r="T1238" s="7">
        <f>IFERROR(_xlfn.XLOOKUP($A1238,'Base SKUs'!$E:$E,'Base SKUs'!R:R),"")</f>
        <v>1501.529</v>
      </c>
      <c r="U1238" s="15">
        <f t="shared" si="98"/>
        <v>1260</v>
      </c>
      <c r="V1238" t="str">
        <f t="shared" si="99"/>
        <v>Texas</v>
      </c>
    </row>
    <row r="1239" spans="1:22" x14ac:dyDescent="0.2">
      <c r="A1239" t="s">
        <v>1654</v>
      </c>
      <c r="B1239" s="5">
        <v>272</v>
      </c>
      <c r="C1239" s="5">
        <v>0</v>
      </c>
      <c r="D1239" s="5">
        <f t="shared" si="95"/>
        <v>272</v>
      </c>
      <c r="E1239" s="6">
        <v>13.3499</v>
      </c>
      <c r="F1239" s="6">
        <f t="shared" si="96"/>
        <v>3631.1727999999998</v>
      </c>
      <c r="G1239" t="s">
        <v>330</v>
      </c>
      <c r="H1239">
        <v>9011</v>
      </c>
      <c r="I1239" t="str">
        <f>IFERROR(_xlfn.XLOOKUP($A1239,'Base SKUs'!$E:$E,'Base SKUs'!A:A),"")</f>
        <v>Radiata</v>
      </c>
      <c r="J1239" t="str">
        <f>IFERROR(_xlfn.XLOOKUP($A1239,'Base SKUs'!$E:$E,'Base SKUs'!B:B),"")</f>
        <v>Radiata 1x5</v>
      </c>
      <c r="K1239" t="str">
        <f>IFERROR(_xlfn.XLOOKUP($A1239,'Base SKUs'!$E:$E,'Base SKUs'!C:C),"")</f>
        <v>Long</v>
      </c>
      <c r="L1239" t="str">
        <f>IFERROR(_xlfn.XLOOKUP($A1239,'Base SKUs'!$E:$E,'Base SKUs'!D:D),"")</f>
        <v>Thermowood</v>
      </c>
      <c r="M1239" t="str">
        <f>IFERROR(_xlfn.XLOOKUP($A1239,'Base SKUs'!$E:$E,'Base SKUs'!G:G),"")</f>
        <v>Maximo Thermo Clear Radiata</v>
      </c>
      <c r="N1239" t="str">
        <f>IFERROR(_xlfn.XLOOKUP($A1239,'Base SKUs'!$E:$E,'Base SKUs'!H:H),"")</f>
        <v>Nickel Gap</v>
      </c>
      <c r="O1239" t="str">
        <f>IFERROR(_xlfn.XLOOKUP($A1239,'Base SKUs'!$E:$E,'Base SKUs'!I:I),"")</f>
        <v>Wire Brushed</v>
      </c>
      <c r="P1239" t="str">
        <f>IFERROR(_xlfn.XLOOKUP($A1239,'Base SKUs'!$E:$E,'Base SKUs'!J:J),"")</f>
        <v>1x5</v>
      </c>
      <c r="Q1239">
        <f>IFERROR(_xlfn.XLOOKUP($A1239,'Base SKUs'!$E:$E,'Base SKUs'!K:K),"")</f>
        <v>10</v>
      </c>
      <c r="R1239" s="7">
        <f>IFERROR(_xlfn.XLOOKUP($A1239,'Base SKUs'!$E:$E,'Base SKUs'!S:S),"")</f>
        <v>6.5550000000000009E-3</v>
      </c>
      <c r="S1239" s="8">
        <f t="shared" si="97"/>
        <v>1.7829600000000003</v>
      </c>
      <c r="T1239" s="7">
        <f>IFERROR(_xlfn.XLOOKUP($A1239,'Base SKUs'!$E:$E,'Base SKUs'!R:R),"")</f>
        <v>1501.529</v>
      </c>
      <c r="U1239" s="15">
        <f t="shared" si="98"/>
        <v>2677</v>
      </c>
      <c r="V1239" t="str">
        <f t="shared" si="99"/>
        <v>New York</v>
      </c>
    </row>
    <row r="1240" spans="1:22" x14ac:dyDescent="0.2">
      <c r="A1240" t="s">
        <v>1656</v>
      </c>
      <c r="B1240" s="5">
        <v>734</v>
      </c>
      <c r="C1240" s="5">
        <v>0</v>
      </c>
      <c r="D1240" s="5">
        <f t="shared" si="95"/>
        <v>734</v>
      </c>
      <c r="E1240" s="6">
        <v>16.214700000000001</v>
      </c>
      <c r="F1240" s="6">
        <f t="shared" si="96"/>
        <v>11901.5898</v>
      </c>
      <c r="G1240" t="s">
        <v>17</v>
      </c>
      <c r="H1240">
        <v>9007</v>
      </c>
      <c r="I1240" t="str">
        <f>IFERROR(_xlfn.XLOOKUP($A1240,'Base SKUs'!$E:$E,'Base SKUs'!A:A),"")</f>
        <v>Radiata</v>
      </c>
      <c r="J1240" t="str">
        <f>IFERROR(_xlfn.XLOOKUP($A1240,'Base SKUs'!$E:$E,'Base SKUs'!B:B),"")</f>
        <v>Radiata 1x5</v>
      </c>
      <c r="K1240" t="str">
        <f>IFERROR(_xlfn.XLOOKUP($A1240,'Base SKUs'!$E:$E,'Base SKUs'!C:C),"")</f>
        <v>Long</v>
      </c>
      <c r="L1240" t="str">
        <f>IFERROR(_xlfn.XLOOKUP($A1240,'Base SKUs'!$E:$E,'Base SKUs'!D:D),"")</f>
        <v>Thermowood</v>
      </c>
      <c r="M1240" t="str">
        <f>IFERROR(_xlfn.XLOOKUP($A1240,'Base SKUs'!$E:$E,'Base SKUs'!G:G),"")</f>
        <v>Maximo Thermo Clear Radiata</v>
      </c>
      <c r="N1240" t="str">
        <f>IFERROR(_xlfn.XLOOKUP($A1240,'Base SKUs'!$E:$E,'Base SKUs'!H:H),"")</f>
        <v>Nickel Gap</v>
      </c>
      <c r="O1240" t="str">
        <f>IFERROR(_xlfn.XLOOKUP($A1240,'Base SKUs'!$E:$E,'Base SKUs'!I:I),"")</f>
        <v>Wire Brushed</v>
      </c>
      <c r="P1240" t="str">
        <f>IFERROR(_xlfn.XLOOKUP($A1240,'Base SKUs'!$E:$E,'Base SKUs'!J:J),"")</f>
        <v>1x5</v>
      </c>
      <c r="Q1240">
        <f>IFERROR(_xlfn.XLOOKUP($A1240,'Base SKUs'!$E:$E,'Base SKUs'!K:K),"")</f>
        <v>12</v>
      </c>
      <c r="R1240" s="7">
        <f>IFERROR(_xlfn.XLOOKUP($A1240,'Base SKUs'!$E:$E,'Base SKUs'!S:S),"")</f>
        <v>7.8659999999999997E-3</v>
      </c>
      <c r="S1240" s="8">
        <f t="shared" si="97"/>
        <v>5.773644</v>
      </c>
      <c r="T1240" s="7">
        <f>IFERROR(_xlfn.XLOOKUP($A1240,'Base SKUs'!$E:$E,'Base SKUs'!R:R),"")</f>
        <v>1501.529</v>
      </c>
      <c r="U1240" s="15">
        <f t="shared" si="98"/>
        <v>8669</v>
      </c>
      <c r="V1240" t="str">
        <f t="shared" si="99"/>
        <v>Miami</v>
      </c>
    </row>
    <row r="1241" spans="1:22" x14ac:dyDescent="0.2">
      <c r="A1241" t="s">
        <v>1656</v>
      </c>
      <c r="B1241" s="5">
        <v>72</v>
      </c>
      <c r="C1241" s="5">
        <v>0</v>
      </c>
      <c r="D1241" s="5">
        <f t="shared" si="95"/>
        <v>72</v>
      </c>
      <c r="E1241" s="6">
        <v>16.214700000000001</v>
      </c>
      <c r="F1241" s="6">
        <f t="shared" si="96"/>
        <v>1167.4584</v>
      </c>
      <c r="G1241" t="s">
        <v>24</v>
      </c>
      <c r="H1241">
        <v>9008</v>
      </c>
      <c r="I1241" t="str">
        <f>IFERROR(_xlfn.XLOOKUP($A1241,'Base SKUs'!$E:$E,'Base SKUs'!A:A),"")</f>
        <v>Radiata</v>
      </c>
      <c r="J1241" t="str">
        <f>IFERROR(_xlfn.XLOOKUP($A1241,'Base SKUs'!$E:$E,'Base SKUs'!B:B),"")</f>
        <v>Radiata 1x5</v>
      </c>
      <c r="K1241" t="str">
        <f>IFERROR(_xlfn.XLOOKUP($A1241,'Base SKUs'!$E:$E,'Base SKUs'!C:C),"")</f>
        <v>Long</v>
      </c>
      <c r="L1241" t="str">
        <f>IFERROR(_xlfn.XLOOKUP($A1241,'Base SKUs'!$E:$E,'Base SKUs'!D:D),"")</f>
        <v>Thermowood</v>
      </c>
      <c r="M1241" t="str">
        <f>IFERROR(_xlfn.XLOOKUP($A1241,'Base SKUs'!$E:$E,'Base SKUs'!G:G),"")</f>
        <v>Maximo Thermo Clear Radiata</v>
      </c>
      <c r="N1241" t="str">
        <f>IFERROR(_xlfn.XLOOKUP($A1241,'Base SKUs'!$E:$E,'Base SKUs'!H:H),"")</f>
        <v>Nickel Gap</v>
      </c>
      <c r="O1241" t="str">
        <f>IFERROR(_xlfn.XLOOKUP($A1241,'Base SKUs'!$E:$E,'Base SKUs'!I:I),"")</f>
        <v>Wire Brushed</v>
      </c>
      <c r="P1241" t="str">
        <f>IFERROR(_xlfn.XLOOKUP($A1241,'Base SKUs'!$E:$E,'Base SKUs'!J:J),"")</f>
        <v>1x5</v>
      </c>
      <c r="Q1241">
        <f>IFERROR(_xlfn.XLOOKUP($A1241,'Base SKUs'!$E:$E,'Base SKUs'!K:K),"")</f>
        <v>12</v>
      </c>
      <c r="R1241" s="7">
        <f>IFERROR(_xlfn.XLOOKUP($A1241,'Base SKUs'!$E:$E,'Base SKUs'!S:S),"")</f>
        <v>7.8659999999999997E-3</v>
      </c>
      <c r="S1241" s="8">
        <f t="shared" si="97"/>
        <v>0.56635199999999997</v>
      </c>
      <c r="T1241" s="7">
        <f>IFERROR(_xlfn.XLOOKUP($A1241,'Base SKUs'!$E:$E,'Base SKUs'!R:R),"")</f>
        <v>1501.529</v>
      </c>
      <c r="U1241" s="15">
        <f t="shared" si="98"/>
        <v>850</v>
      </c>
      <c r="V1241" t="str">
        <f t="shared" si="99"/>
        <v>Texas</v>
      </c>
    </row>
    <row r="1242" spans="1:22" x14ac:dyDescent="0.2">
      <c r="A1242" t="s">
        <v>1656</v>
      </c>
      <c r="B1242" s="5">
        <v>526</v>
      </c>
      <c r="C1242" s="5">
        <v>0</v>
      </c>
      <c r="D1242" s="5">
        <f t="shared" si="95"/>
        <v>526</v>
      </c>
      <c r="E1242" s="6">
        <v>16.0199</v>
      </c>
      <c r="F1242" s="6">
        <f t="shared" si="96"/>
        <v>8426.4673999999995</v>
      </c>
      <c r="G1242" t="s">
        <v>330</v>
      </c>
      <c r="H1242">
        <v>9011</v>
      </c>
      <c r="I1242" t="str">
        <f>IFERROR(_xlfn.XLOOKUP($A1242,'Base SKUs'!$E:$E,'Base SKUs'!A:A),"")</f>
        <v>Radiata</v>
      </c>
      <c r="J1242" t="str">
        <f>IFERROR(_xlfn.XLOOKUP($A1242,'Base SKUs'!$E:$E,'Base SKUs'!B:B),"")</f>
        <v>Radiata 1x5</v>
      </c>
      <c r="K1242" t="str">
        <f>IFERROR(_xlfn.XLOOKUP($A1242,'Base SKUs'!$E:$E,'Base SKUs'!C:C),"")</f>
        <v>Long</v>
      </c>
      <c r="L1242" t="str">
        <f>IFERROR(_xlfn.XLOOKUP($A1242,'Base SKUs'!$E:$E,'Base SKUs'!D:D),"")</f>
        <v>Thermowood</v>
      </c>
      <c r="M1242" t="str">
        <f>IFERROR(_xlfn.XLOOKUP($A1242,'Base SKUs'!$E:$E,'Base SKUs'!G:G),"")</f>
        <v>Maximo Thermo Clear Radiata</v>
      </c>
      <c r="N1242" t="str">
        <f>IFERROR(_xlfn.XLOOKUP($A1242,'Base SKUs'!$E:$E,'Base SKUs'!H:H),"")</f>
        <v>Nickel Gap</v>
      </c>
      <c r="O1242" t="str">
        <f>IFERROR(_xlfn.XLOOKUP($A1242,'Base SKUs'!$E:$E,'Base SKUs'!I:I),"")</f>
        <v>Wire Brushed</v>
      </c>
      <c r="P1242" t="str">
        <f>IFERROR(_xlfn.XLOOKUP($A1242,'Base SKUs'!$E:$E,'Base SKUs'!J:J),"")</f>
        <v>1x5</v>
      </c>
      <c r="Q1242">
        <f>IFERROR(_xlfn.XLOOKUP($A1242,'Base SKUs'!$E:$E,'Base SKUs'!K:K),"")</f>
        <v>12</v>
      </c>
      <c r="R1242" s="7">
        <f>IFERROR(_xlfn.XLOOKUP($A1242,'Base SKUs'!$E:$E,'Base SKUs'!S:S),"")</f>
        <v>7.8659999999999997E-3</v>
      </c>
      <c r="S1242" s="8">
        <f t="shared" si="97"/>
        <v>4.1375159999999997</v>
      </c>
      <c r="T1242" s="7">
        <f>IFERROR(_xlfn.XLOOKUP($A1242,'Base SKUs'!$E:$E,'Base SKUs'!R:R),"")</f>
        <v>1501.529</v>
      </c>
      <c r="U1242" s="15">
        <f t="shared" si="98"/>
        <v>6213</v>
      </c>
      <c r="V1242" t="str">
        <f t="shared" si="99"/>
        <v>New York</v>
      </c>
    </row>
    <row r="1243" spans="1:22" x14ac:dyDescent="0.2">
      <c r="A1243" t="s">
        <v>1658</v>
      </c>
      <c r="B1243" s="5">
        <v>59</v>
      </c>
      <c r="C1243" s="5">
        <v>0</v>
      </c>
      <c r="D1243" s="5">
        <f t="shared" si="95"/>
        <v>59</v>
      </c>
      <c r="E1243" s="6">
        <v>18.917200000000001</v>
      </c>
      <c r="F1243" s="6">
        <f t="shared" si="96"/>
        <v>1116.1148000000001</v>
      </c>
      <c r="G1243" t="s">
        <v>17</v>
      </c>
      <c r="H1243">
        <v>9007</v>
      </c>
      <c r="I1243" t="str">
        <f>IFERROR(_xlfn.XLOOKUP($A1243,'Base SKUs'!$E:$E,'Base SKUs'!A:A),"")</f>
        <v>Radiata</v>
      </c>
      <c r="J1243" t="str">
        <f>IFERROR(_xlfn.XLOOKUP($A1243,'Base SKUs'!$E:$E,'Base SKUs'!B:B),"")</f>
        <v>Radiata 1x5</v>
      </c>
      <c r="K1243" t="str">
        <f>IFERROR(_xlfn.XLOOKUP($A1243,'Base SKUs'!$E:$E,'Base SKUs'!C:C),"")</f>
        <v>Long</v>
      </c>
      <c r="L1243" t="str">
        <f>IFERROR(_xlfn.XLOOKUP($A1243,'Base SKUs'!$E:$E,'Base SKUs'!D:D),"")</f>
        <v>Thermowood</v>
      </c>
      <c r="M1243" t="str">
        <f>IFERROR(_xlfn.XLOOKUP($A1243,'Base SKUs'!$E:$E,'Base SKUs'!G:G),"")</f>
        <v>Maximo Thermo Clear Radiata</v>
      </c>
      <c r="N1243" t="str">
        <f>IFERROR(_xlfn.XLOOKUP($A1243,'Base SKUs'!$E:$E,'Base SKUs'!H:H),"")</f>
        <v>Nickel Gap</v>
      </c>
      <c r="O1243" t="str">
        <f>IFERROR(_xlfn.XLOOKUP($A1243,'Base SKUs'!$E:$E,'Base SKUs'!I:I),"")</f>
        <v>Wire Brushed</v>
      </c>
      <c r="P1243" t="str">
        <f>IFERROR(_xlfn.XLOOKUP($A1243,'Base SKUs'!$E:$E,'Base SKUs'!J:J),"")</f>
        <v>1x5</v>
      </c>
      <c r="Q1243">
        <f>IFERROR(_xlfn.XLOOKUP($A1243,'Base SKUs'!$E:$E,'Base SKUs'!K:K),"")</f>
        <v>14</v>
      </c>
      <c r="R1243" s="7">
        <f>IFERROR(_xlfn.XLOOKUP($A1243,'Base SKUs'!$E:$E,'Base SKUs'!S:S),"")</f>
        <v>9.1769999999999994E-3</v>
      </c>
      <c r="S1243" s="8">
        <f t="shared" si="97"/>
        <v>0.54144300000000001</v>
      </c>
      <c r="T1243" s="7">
        <f>IFERROR(_xlfn.XLOOKUP($A1243,'Base SKUs'!$E:$E,'Base SKUs'!R:R),"")</f>
        <v>1501.529</v>
      </c>
      <c r="U1243" s="15">
        <f t="shared" si="98"/>
        <v>813</v>
      </c>
      <c r="V1243" t="str">
        <f t="shared" si="99"/>
        <v>Miami</v>
      </c>
    </row>
    <row r="1244" spans="1:22" x14ac:dyDescent="0.2">
      <c r="A1244" t="s">
        <v>1658</v>
      </c>
      <c r="B1244" s="5">
        <v>1735</v>
      </c>
      <c r="C1244" s="5">
        <v>0</v>
      </c>
      <c r="D1244" s="5">
        <f t="shared" si="95"/>
        <v>1735</v>
      </c>
      <c r="E1244" s="6">
        <v>18.917200000000001</v>
      </c>
      <c r="F1244" s="6">
        <f t="shared" si="96"/>
        <v>32821.342000000004</v>
      </c>
      <c r="G1244" t="s">
        <v>24</v>
      </c>
      <c r="H1244">
        <v>9008</v>
      </c>
      <c r="I1244" t="str">
        <f>IFERROR(_xlfn.XLOOKUP($A1244,'Base SKUs'!$E:$E,'Base SKUs'!A:A),"")</f>
        <v>Radiata</v>
      </c>
      <c r="J1244" t="str">
        <f>IFERROR(_xlfn.XLOOKUP($A1244,'Base SKUs'!$E:$E,'Base SKUs'!B:B),"")</f>
        <v>Radiata 1x5</v>
      </c>
      <c r="K1244" t="str">
        <f>IFERROR(_xlfn.XLOOKUP($A1244,'Base SKUs'!$E:$E,'Base SKUs'!C:C),"")</f>
        <v>Long</v>
      </c>
      <c r="L1244" t="str">
        <f>IFERROR(_xlfn.XLOOKUP($A1244,'Base SKUs'!$E:$E,'Base SKUs'!D:D),"")</f>
        <v>Thermowood</v>
      </c>
      <c r="M1244" t="str">
        <f>IFERROR(_xlfn.XLOOKUP($A1244,'Base SKUs'!$E:$E,'Base SKUs'!G:G),"")</f>
        <v>Maximo Thermo Clear Radiata</v>
      </c>
      <c r="N1244" t="str">
        <f>IFERROR(_xlfn.XLOOKUP($A1244,'Base SKUs'!$E:$E,'Base SKUs'!H:H),"")</f>
        <v>Nickel Gap</v>
      </c>
      <c r="O1244" t="str">
        <f>IFERROR(_xlfn.XLOOKUP($A1244,'Base SKUs'!$E:$E,'Base SKUs'!I:I),"")</f>
        <v>Wire Brushed</v>
      </c>
      <c r="P1244" t="str">
        <f>IFERROR(_xlfn.XLOOKUP($A1244,'Base SKUs'!$E:$E,'Base SKUs'!J:J),"")</f>
        <v>1x5</v>
      </c>
      <c r="Q1244">
        <f>IFERROR(_xlfn.XLOOKUP($A1244,'Base SKUs'!$E:$E,'Base SKUs'!K:K),"")</f>
        <v>14</v>
      </c>
      <c r="R1244" s="7">
        <f>IFERROR(_xlfn.XLOOKUP($A1244,'Base SKUs'!$E:$E,'Base SKUs'!S:S),"")</f>
        <v>9.1769999999999994E-3</v>
      </c>
      <c r="S1244" s="8">
        <f t="shared" si="97"/>
        <v>15.922094999999999</v>
      </c>
      <c r="T1244" s="7">
        <f>IFERROR(_xlfn.XLOOKUP($A1244,'Base SKUs'!$E:$E,'Base SKUs'!R:R),"")</f>
        <v>1501.529</v>
      </c>
      <c r="U1244" s="15">
        <f t="shared" si="98"/>
        <v>23907</v>
      </c>
      <c r="V1244" t="str">
        <f t="shared" si="99"/>
        <v>Texas</v>
      </c>
    </row>
    <row r="1245" spans="1:22" x14ac:dyDescent="0.2">
      <c r="A1245" t="s">
        <v>1658</v>
      </c>
      <c r="B1245" s="5">
        <v>811</v>
      </c>
      <c r="C1245" s="5">
        <v>0</v>
      </c>
      <c r="D1245" s="5">
        <f t="shared" si="95"/>
        <v>811</v>
      </c>
      <c r="E1245" s="6">
        <v>18.689900000000002</v>
      </c>
      <c r="F1245" s="6">
        <f t="shared" si="96"/>
        <v>15157.508900000001</v>
      </c>
      <c r="G1245" t="s">
        <v>330</v>
      </c>
      <c r="H1245">
        <v>9011</v>
      </c>
      <c r="I1245" t="str">
        <f>IFERROR(_xlfn.XLOOKUP($A1245,'Base SKUs'!$E:$E,'Base SKUs'!A:A),"")</f>
        <v>Radiata</v>
      </c>
      <c r="J1245" t="str">
        <f>IFERROR(_xlfn.XLOOKUP($A1245,'Base SKUs'!$E:$E,'Base SKUs'!B:B),"")</f>
        <v>Radiata 1x5</v>
      </c>
      <c r="K1245" t="str">
        <f>IFERROR(_xlfn.XLOOKUP($A1245,'Base SKUs'!$E:$E,'Base SKUs'!C:C),"")</f>
        <v>Long</v>
      </c>
      <c r="L1245" t="str">
        <f>IFERROR(_xlfn.XLOOKUP($A1245,'Base SKUs'!$E:$E,'Base SKUs'!D:D),"")</f>
        <v>Thermowood</v>
      </c>
      <c r="M1245" t="str">
        <f>IFERROR(_xlfn.XLOOKUP($A1245,'Base SKUs'!$E:$E,'Base SKUs'!G:G),"")</f>
        <v>Maximo Thermo Clear Radiata</v>
      </c>
      <c r="N1245" t="str">
        <f>IFERROR(_xlfn.XLOOKUP($A1245,'Base SKUs'!$E:$E,'Base SKUs'!H:H),"")</f>
        <v>Nickel Gap</v>
      </c>
      <c r="O1245" t="str">
        <f>IFERROR(_xlfn.XLOOKUP($A1245,'Base SKUs'!$E:$E,'Base SKUs'!I:I),"")</f>
        <v>Wire Brushed</v>
      </c>
      <c r="P1245" t="str">
        <f>IFERROR(_xlfn.XLOOKUP($A1245,'Base SKUs'!$E:$E,'Base SKUs'!J:J),"")</f>
        <v>1x5</v>
      </c>
      <c r="Q1245">
        <f>IFERROR(_xlfn.XLOOKUP($A1245,'Base SKUs'!$E:$E,'Base SKUs'!K:K),"")</f>
        <v>14</v>
      </c>
      <c r="R1245" s="7">
        <f>IFERROR(_xlfn.XLOOKUP($A1245,'Base SKUs'!$E:$E,'Base SKUs'!S:S),"")</f>
        <v>9.1769999999999994E-3</v>
      </c>
      <c r="S1245" s="8">
        <f t="shared" si="97"/>
        <v>7.4425469999999994</v>
      </c>
      <c r="T1245" s="7">
        <f>IFERROR(_xlfn.XLOOKUP($A1245,'Base SKUs'!$E:$E,'Base SKUs'!R:R),"")</f>
        <v>1501.529</v>
      </c>
      <c r="U1245" s="15">
        <f t="shared" si="98"/>
        <v>11175</v>
      </c>
      <c r="V1245" t="str">
        <f t="shared" si="99"/>
        <v>New York</v>
      </c>
    </row>
    <row r="1246" spans="1:22" x14ac:dyDescent="0.2">
      <c r="A1246" t="s">
        <v>1660</v>
      </c>
      <c r="B1246" s="5">
        <v>58</v>
      </c>
      <c r="C1246" s="5">
        <v>0</v>
      </c>
      <c r="D1246" s="5">
        <f t="shared" si="95"/>
        <v>58</v>
      </c>
      <c r="E1246" s="6">
        <v>21.619700000000002</v>
      </c>
      <c r="F1246" s="6">
        <f t="shared" si="96"/>
        <v>1253.9426000000001</v>
      </c>
      <c r="G1246" t="s">
        <v>17</v>
      </c>
      <c r="H1246">
        <v>9007</v>
      </c>
      <c r="I1246" t="str">
        <f>IFERROR(_xlfn.XLOOKUP($A1246,'Base SKUs'!$E:$E,'Base SKUs'!A:A),"")</f>
        <v>Radiata</v>
      </c>
      <c r="J1246" t="str">
        <f>IFERROR(_xlfn.XLOOKUP($A1246,'Base SKUs'!$E:$E,'Base SKUs'!B:B),"")</f>
        <v>Radiata 1x5</v>
      </c>
      <c r="K1246" t="str">
        <f>IFERROR(_xlfn.XLOOKUP($A1246,'Base SKUs'!$E:$E,'Base SKUs'!C:C),"")</f>
        <v>Long</v>
      </c>
      <c r="L1246" t="str">
        <f>IFERROR(_xlfn.XLOOKUP($A1246,'Base SKUs'!$E:$E,'Base SKUs'!D:D),"")</f>
        <v>Thermowood</v>
      </c>
      <c r="M1246" t="str">
        <f>IFERROR(_xlfn.XLOOKUP($A1246,'Base SKUs'!$E:$E,'Base SKUs'!G:G),"")</f>
        <v>Maximo Thermo Clear Radiata</v>
      </c>
      <c r="N1246" t="str">
        <f>IFERROR(_xlfn.XLOOKUP($A1246,'Base SKUs'!$E:$E,'Base SKUs'!H:H),"")</f>
        <v>Nickel Gap</v>
      </c>
      <c r="O1246" t="str">
        <f>IFERROR(_xlfn.XLOOKUP($A1246,'Base SKUs'!$E:$E,'Base SKUs'!I:I),"")</f>
        <v>Wire Brushed</v>
      </c>
      <c r="P1246" t="str">
        <f>IFERROR(_xlfn.XLOOKUP($A1246,'Base SKUs'!$E:$E,'Base SKUs'!J:J),"")</f>
        <v>1x5</v>
      </c>
      <c r="Q1246">
        <f>IFERROR(_xlfn.XLOOKUP($A1246,'Base SKUs'!$E:$E,'Base SKUs'!K:K),"")</f>
        <v>16</v>
      </c>
      <c r="R1246" s="7">
        <f>IFERROR(_xlfn.XLOOKUP($A1246,'Base SKUs'!$E:$E,'Base SKUs'!S:S),"")</f>
        <v>1.0487999999999999E-2</v>
      </c>
      <c r="S1246" s="8">
        <f t="shared" si="97"/>
        <v>0.60830399999999996</v>
      </c>
      <c r="T1246" s="7">
        <f>IFERROR(_xlfn.XLOOKUP($A1246,'Base SKUs'!$E:$E,'Base SKUs'!R:R),"")</f>
        <v>1501.529</v>
      </c>
      <c r="U1246" s="15">
        <f t="shared" si="98"/>
        <v>913</v>
      </c>
      <c r="V1246" t="str">
        <f t="shared" si="99"/>
        <v>Miami</v>
      </c>
    </row>
    <row r="1247" spans="1:22" x14ac:dyDescent="0.2">
      <c r="A1247" t="s">
        <v>1660</v>
      </c>
      <c r="B1247" s="5">
        <v>1250</v>
      </c>
      <c r="C1247" s="5">
        <v>0</v>
      </c>
      <c r="D1247" s="5">
        <f t="shared" si="95"/>
        <v>1250</v>
      </c>
      <c r="E1247" s="6">
        <v>21.619700000000002</v>
      </c>
      <c r="F1247" s="6">
        <f t="shared" si="96"/>
        <v>27024.625000000004</v>
      </c>
      <c r="G1247" t="s">
        <v>24</v>
      </c>
      <c r="H1247">
        <v>9008</v>
      </c>
      <c r="I1247" t="str">
        <f>IFERROR(_xlfn.XLOOKUP($A1247,'Base SKUs'!$E:$E,'Base SKUs'!A:A),"")</f>
        <v>Radiata</v>
      </c>
      <c r="J1247" t="str">
        <f>IFERROR(_xlfn.XLOOKUP($A1247,'Base SKUs'!$E:$E,'Base SKUs'!B:B),"")</f>
        <v>Radiata 1x5</v>
      </c>
      <c r="K1247" t="str">
        <f>IFERROR(_xlfn.XLOOKUP($A1247,'Base SKUs'!$E:$E,'Base SKUs'!C:C),"")</f>
        <v>Long</v>
      </c>
      <c r="L1247" t="str">
        <f>IFERROR(_xlfn.XLOOKUP($A1247,'Base SKUs'!$E:$E,'Base SKUs'!D:D),"")</f>
        <v>Thermowood</v>
      </c>
      <c r="M1247" t="str">
        <f>IFERROR(_xlfn.XLOOKUP($A1247,'Base SKUs'!$E:$E,'Base SKUs'!G:G),"")</f>
        <v>Maximo Thermo Clear Radiata</v>
      </c>
      <c r="N1247" t="str">
        <f>IFERROR(_xlfn.XLOOKUP($A1247,'Base SKUs'!$E:$E,'Base SKUs'!H:H),"")</f>
        <v>Nickel Gap</v>
      </c>
      <c r="O1247" t="str">
        <f>IFERROR(_xlfn.XLOOKUP($A1247,'Base SKUs'!$E:$E,'Base SKUs'!I:I),"")</f>
        <v>Wire Brushed</v>
      </c>
      <c r="P1247" t="str">
        <f>IFERROR(_xlfn.XLOOKUP($A1247,'Base SKUs'!$E:$E,'Base SKUs'!J:J),"")</f>
        <v>1x5</v>
      </c>
      <c r="Q1247">
        <f>IFERROR(_xlfn.XLOOKUP($A1247,'Base SKUs'!$E:$E,'Base SKUs'!K:K),"")</f>
        <v>16</v>
      </c>
      <c r="R1247" s="7">
        <f>IFERROR(_xlfn.XLOOKUP($A1247,'Base SKUs'!$E:$E,'Base SKUs'!S:S),"")</f>
        <v>1.0487999999999999E-2</v>
      </c>
      <c r="S1247" s="8">
        <f t="shared" si="97"/>
        <v>13.11</v>
      </c>
      <c r="T1247" s="7">
        <f>IFERROR(_xlfn.XLOOKUP($A1247,'Base SKUs'!$E:$E,'Base SKUs'!R:R),"")</f>
        <v>1501.529</v>
      </c>
      <c r="U1247" s="15">
        <f t="shared" si="98"/>
        <v>19685</v>
      </c>
      <c r="V1247" t="str">
        <f t="shared" si="99"/>
        <v>Texas</v>
      </c>
    </row>
    <row r="1248" spans="1:22" x14ac:dyDescent="0.2">
      <c r="A1248" t="s">
        <v>1660</v>
      </c>
      <c r="B1248" s="5">
        <v>1160</v>
      </c>
      <c r="C1248" s="5">
        <v>47</v>
      </c>
      <c r="D1248" s="5">
        <f t="shared" si="95"/>
        <v>1113</v>
      </c>
      <c r="E1248" s="6">
        <v>21.3599</v>
      </c>
      <c r="F1248" s="6">
        <f t="shared" si="96"/>
        <v>24777.484</v>
      </c>
      <c r="G1248" t="s">
        <v>330</v>
      </c>
      <c r="H1248">
        <v>9011</v>
      </c>
      <c r="I1248" t="str">
        <f>IFERROR(_xlfn.XLOOKUP($A1248,'Base SKUs'!$E:$E,'Base SKUs'!A:A),"")</f>
        <v>Radiata</v>
      </c>
      <c r="J1248" t="str">
        <f>IFERROR(_xlfn.XLOOKUP($A1248,'Base SKUs'!$E:$E,'Base SKUs'!B:B),"")</f>
        <v>Radiata 1x5</v>
      </c>
      <c r="K1248" t="str">
        <f>IFERROR(_xlfn.XLOOKUP($A1248,'Base SKUs'!$E:$E,'Base SKUs'!C:C),"")</f>
        <v>Long</v>
      </c>
      <c r="L1248" t="str">
        <f>IFERROR(_xlfn.XLOOKUP($A1248,'Base SKUs'!$E:$E,'Base SKUs'!D:D),"")</f>
        <v>Thermowood</v>
      </c>
      <c r="M1248" t="str">
        <f>IFERROR(_xlfn.XLOOKUP($A1248,'Base SKUs'!$E:$E,'Base SKUs'!G:G),"")</f>
        <v>Maximo Thermo Clear Radiata</v>
      </c>
      <c r="N1248" t="str">
        <f>IFERROR(_xlfn.XLOOKUP($A1248,'Base SKUs'!$E:$E,'Base SKUs'!H:H),"")</f>
        <v>Nickel Gap</v>
      </c>
      <c r="O1248" t="str">
        <f>IFERROR(_xlfn.XLOOKUP($A1248,'Base SKUs'!$E:$E,'Base SKUs'!I:I),"")</f>
        <v>Wire Brushed</v>
      </c>
      <c r="P1248" t="str">
        <f>IFERROR(_xlfn.XLOOKUP($A1248,'Base SKUs'!$E:$E,'Base SKUs'!J:J),"")</f>
        <v>1x5</v>
      </c>
      <c r="Q1248">
        <f>IFERROR(_xlfn.XLOOKUP($A1248,'Base SKUs'!$E:$E,'Base SKUs'!K:K),"")</f>
        <v>16</v>
      </c>
      <c r="R1248" s="7">
        <f>IFERROR(_xlfn.XLOOKUP($A1248,'Base SKUs'!$E:$E,'Base SKUs'!S:S),"")</f>
        <v>1.0487999999999999E-2</v>
      </c>
      <c r="S1248" s="8">
        <f t="shared" si="97"/>
        <v>11.673143999999999</v>
      </c>
      <c r="T1248" s="7">
        <f>IFERROR(_xlfn.XLOOKUP($A1248,'Base SKUs'!$E:$E,'Base SKUs'!R:R),"")</f>
        <v>1501.529</v>
      </c>
      <c r="U1248" s="15">
        <f t="shared" si="98"/>
        <v>17528</v>
      </c>
      <c r="V1248" t="str">
        <f t="shared" si="99"/>
        <v>New York</v>
      </c>
    </row>
    <row r="1249" spans="1:22" x14ac:dyDescent="0.2">
      <c r="A1249" t="s">
        <v>1662</v>
      </c>
      <c r="B1249" s="5">
        <v>470</v>
      </c>
      <c r="C1249" s="5">
        <v>0</v>
      </c>
      <c r="D1249" s="5">
        <f t="shared" si="95"/>
        <v>470</v>
      </c>
      <c r="E1249" s="6">
        <v>24.322099999999999</v>
      </c>
      <c r="F1249" s="6">
        <f t="shared" si="96"/>
        <v>11431.386999999999</v>
      </c>
      <c r="G1249" t="s">
        <v>17</v>
      </c>
      <c r="H1249">
        <v>9007</v>
      </c>
      <c r="I1249" t="str">
        <f>IFERROR(_xlfn.XLOOKUP($A1249,'Base SKUs'!$E:$E,'Base SKUs'!A:A),"")</f>
        <v>Radiata</v>
      </c>
      <c r="J1249" t="str">
        <f>IFERROR(_xlfn.XLOOKUP($A1249,'Base SKUs'!$E:$E,'Base SKUs'!B:B),"")</f>
        <v>Radiata 1x5</v>
      </c>
      <c r="K1249" t="str">
        <f>IFERROR(_xlfn.XLOOKUP($A1249,'Base SKUs'!$E:$E,'Base SKUs'!C:C),"")</f>
        <v>Long</v>
      </c>
      <c r="L1249" t="str">
        <f>IFERROR(_xlfn.XLOOKUP($A1249,'Base SKUs'!$E:$E,'Base SKUs'!D:D),"")</f>
        <v>Thermowood</v>
      </c>
      <c r="M1249" t="str">
        <f>IFERROR(_xlfn.XLOOKUP($A1249,'Base SKUs'!$E:$E,'Base SKUs'!G:G),"")</f>
        <v>Maximo Thermo Clear Radiata</v>
      </c>
      <c r="N1249" t="str">
        <f>IFERROR(_xlfn.XLOOKUP($A1249,'Base SKUs'!$E:$E,'Base SKUs'!H:H),"")</f>
        <v>Nickel Gap</v>
      </c>
      <c r="O1249" t="str">
        <f>IFERROR(_xlfn.XLOOKUP($A1249,'Base SKUs'!$E:$E,'Base SKUs'!I:I),"")</f>
        <v>Wire Brushed</v>
      </c>
      <c r="P1249" t="str">
        <f>IFERROR(_xlfn.XLOOKUP($A1249,'Base SKUs'!$E:$E,'Base SKUs'!J:J),"")</f>
        <v>1x5</v>
      </c>
      <c r="Q1249">
        <f>IFERROR(_xlfn.XLOOKUP($A1249,'Base SKUs'!$E:$E,'Base SKUs'!K:K),"")</f>
        <v>18</v>
      </c>
      <c r="R1249" s="7">
        <f>IFERROR(_xlfn.XLOOKUP($A1249,'Base SKUs'!$E:$E,'Base SKUs'!S:S),"")</f>
        <v>1.1799E-2</v>
      </c>
      <c r="S1249" s="8">
        <f t="shared" si="97"/>
        <v>5.5455300000000003</v>
      </c>
      <c r="T1249" s="7">
        <f>IFERROR(_xlfn.XLOOKUP($A1249,'Base SKUs'!$E:$E,'Base SKUs'!R:R),"")</f>
        <v>1501.529</v>
      </c>
      <c r="U1249" s="15">
        <f t="shared" si="98"/>
        <v>8327</v>
      </c>
      <c r="V1249" t="str">
        <f t="shared" si="99"/>
        <v>Miami</v>
      </c>
    </row>
    <row r="1250" spans="1:22" x14ac:dyDescent="0.2">
      <c r="A1250" t="s">
        <v>1662</v>
      </c>
      <c r="B1250" s="5">
        <v>177</v>
      </c>
      <c r="C1250" s="5">
        <v>0</v>
      </c>
      <c r="D1250" s="5">
        <f t="shared" si="95"/>
        <v>177</v>
      </c>
      <c r="E1250" s="6">
        <v>24.029900000000001</v>
      </c>
      <c r="F1250" s="6">
        <f t="shared" si="96"/>
        <v>4253.2923000000001</v>
      </c>
      <c r="G1250" t="s">
        <v>330</v>
      </c>
      <c r="H1250">
        <v>9011</v>
      </c>
      <c r="I1250" t="str">
        <f>IFERROR(_xlfn.XLOOKUP($A1250,'Base SKUs'!$E:$E,'Base SKUs'!A:A),"")</f>
        <v>Radiata</v>
      </c>
      <c r="J1250" t="str">
        <f>IFERROR(_xlfn.XLOOKUP($A1250,'Base SKUs'!$E:$E,'Base SKUs'!B:B),"")</f>
        <v>Radiata 1x5</v>
      </c>
      <c r="K1250" t="str">
        <f>IFERROR(_xlfn.XLOOKUP($A1250,'Base SKUs'!$E:$E,'Base SKUs'!C:C),"")</f>
        <v>Long</v>
      </c>
      <c r="L1250" t="str">
        <f>IFERROR(_xlfn.XLOOKUP($A1250,'Base SKUs'!$E:$E,'Base SKUs'!D:D),"")</f>
        <v>Thermowood</v>
      </c>
      <c r="M1250" t="str">
        <f>IFERROR(_xlfn.XLOOKUP($A1250,'Base SKUs'!$E:$E,'Base SKUs'!G:G),"")</f>
        <v>Maximo Thermo Clear Radiata</v>
      </c>
      <c r="N1250" t="str">
        <f>IFERROR(_xlfn.XLOOKUP($A1250,'Base SKUs'!$E:$E,'Base SKUs'!H:H),"")</f>
        <v>Nickel Gap</v>
      </c>
      <c r="O1250" t="str">
        <f>IFERROR(_xlfn.XLOOKUP($A1250,'Base SKUs'!$E:$E,'Base SKUs'!I:I),"")</f>
        <v>Wire Brushed</v>
      </c>
      <c r="P1250" t="str">
        <f>IFERROR(_xlfn.XLOOKUP($A1250,'Base SKUs'!$E:$E,'Base SKUs'!J:J),"")</f>
        <v>1x5</v>
      </c>
      <c r="Q1250">
        <f>IFERROR(_xlfn.XLOOKUP($A1250,'Base SKUs'!$E:$E,'Base SKUs'!K:K),"")</f>
        <v>18</v>
      </c>
      <c r="R1250" s="7">
        <f>IFERROR(_xlfn.XLOOKUP($A1250,'Base SKUs'!$E:$E,'Base SKUs'!S:S),"")</f>
        <v>1.1799E-2</v>
      </c>
      <c r="S1250" s="8">
        <f t="shared" si="97"/>
        <v>2.0884230000000001</v>
      </c>
      <c r="T1250" s="7">
        <f>IFERROR(_xlfn.XLOOKUP($A1250,'Base SKUs'!$E:$E,'Base SKUs'!R:R),"")</f>
        <v>1501.529</v>
      </c>
      <c r="U1250" s="15">
        <f t="shared" si="98"/>
        <v>3136</v>
      </c>
      <c r="V1250" t="str">
        <f t="shared" si="99"/>
        <v>New York</v>
      </c>
    </row>
    <row r="1251" spans="1:22" x14ac:dyDescent="0.2">
      <c r="A1251" t="s">
        <v>1664</v>
      </c>
      <c r="B1251" s="5">
        <v>63</v>
      </c>
      <c r="C1251" s="5">
        <v>0</v>
      </c>
      <c r="D1251" s="5">
        <f t="shared" si="95"/>
        <v>63</v>
      </c>
      <c r="E1251" s="6">
        <v>5.4048999999999996</v>
      </c>
      <c r="F1251" s="6">
        <f t="shared" si="96"/>
        <v>340.50869999999998</v>
      </c>
      <c r="G1251" t="s">
        <v>17</v>
      </c>
      <c r="H1251">
        <v>9007</v>
      </c>
      <c r="I1251" t="str">
        <f>IFERROR(_xlfn.XLOOKUP($A1251,'Base SKUs'!$E:$E,'Base SKUs'!A:A),"")</f>
        <v>Radiata</v>
      </c>
      <c r="J1251" t="str">
        <f>IFERROR(_xlfn.XLOOKUP($A1251,'Base SKUs'!$E:$E,'Base SKUs'!B:B),"")</f>
        <v>Radiata 1x5</v>
      </c>
      <c r="K1251" t="str">
        <f>IFERROR(_xlfn.XLOOKUP($A1251,'Base SKUs'!$E:$E,'Base SKUs'!C:C),"")</f>
        <v>Short</v>
      </c>
      <c r="L1251" t="str">
        <f>IFERROR(_xlfn.XLOOKUP($A1251,'Base SKUs'!$E:$E,'Base SKUs'!D:D),"")</f>
        <v>Thermowood</v>
      </c>
      <c r="M1251" t="str">
        <f>IFERROR(_xlfn.XLOOKUP($A1251,'Base SKUs'!$E:$E,'Base SKUs'!G:G),"")</f>
        <v>Maximo Thermo Clear Radiata</v>
      </c>
      <c r="N1251" t="str">
        <f>IFERROR(_xlfn.XLOOKUP($A1251,'Base SKUs'!$E:$E,'Base SKUs'!H:H),"")</f>
        <v>Nickel Gap</v>
      </c>
      <c r="O1251" t="str">
        <f>IFERROR(_xlfn.XLOOKUP($A1251,'Base SKUs'!$E:$E,'Base SKUs'!I:I),"")</f>
        <v>Wire Brushed</v>
      </c>
      <c r="P1251" t="str">
        <f>IFERROR(_xlfn.XLOOKUP($A1251,'Base SKUs'!$E:$E,'Base SKUs'!J:J),"")</f>
        <v>1x5</v>
      </c>
      <c r="Q1251">
        <f>IFERROR(_xlfn.XLOOKUP($A1251,'Base SKUs'!$E:$E,'Base SKUs'!K:K),"")</f>
        <v>4</v>
      </c>
      <c r="R1251" s="7">
        <f>IFERROR(_xlfn.XLOOKUP($A1251,'Base SKUs'!$E:$E,'Base SKUs'!S:S),"")</f>
        <v>2.6219999999999998E-3</v>
      </c>
      <c r="S1251" s="8">
        <f t="shared" si="97"/>
        <v>0.16518599999999997</v>
      </c>
      <c r="T1251" s="7">
        <f>IFERROR(_xlfn.XLOOKUP($A1251,'Base SKUs'!$E:$E,'Base SKUs'!R:R),"")</f>
        <v>1501.529</v>
      </c>
      <c r="U1251" s="15">
        <f t="shared" si="98"/>
        <v>248</v>
      </c>
      <c r="V1251" t="str">
        <f t="shared" si="99"/>
        <v>Miami</v>
      </c>
    </row>
    <row r="1252" spans="1:22" x14ac:dyDescent="0.2">
      <c r="A1252" t="s">
        <v>1664</v>
      </c>
      <c r="B1252" s="5">
        <v>74</v>
      </c>
      <c r="C1252" s="5">
        <v>0</v>
      </c>
      <c r="D1252" s="5">
        <f t="shared" si="95"/>
        <v>74</v>
      </c>
      <c r="E1252" s="6">
        <v>5.3399000000000001</v>
      </c>
      <c r="F1252" s="6">
        <f t="shared" si="96"/>
        <v>395.15260000000001</v>
      </c>
      <c r="G1252" t="s">
        <v>330</v>
      </c>
      <c r="H1252">
        <v>9011</v>
      </c>
      <c r="I1252" t="str">
        <f>IFERROR(_xlfn.XLOOKUP($A1252,'Base SKUs'!$E:$E,'Base SKUs'!A:A),"")</f>
        <v>Radiata</v>
      </c>
      <c r="J1252" t="str">
        <f>IFERROR(_xlfn.XLOOKUP($A1252,'Base SKUs'!$E:$E,'Base SKUs'!B:B),"")</f>
        <v>Radiata 1x5</v>
      </c>
      <c r="K1252" t="str">
        <f>IFERROR(_xlfn.XLOOKUP($A1252,'Base SKUs'!$E:$E,'Base SKUs'!C:C),"")</f>
        <v>Short</v>
      </c>
      <c r="L1252" t="str">
        <f>IFERROR(_xlfn.XLOOKUP($A1252,'Base SKUs'!$E:$E,'Base SKUs'!D:D),"")</f>
        <v>Thermowood</v>
      </c>
      <c r="M1252" t="str">
        <f>IFERROR(_xlfn.XLOOKUP($A1252,'Base SKUs'!$E:$E,'Base SKUs'!G:G),"")</f>
        <v>Maximo Thermo Clear Radiata</v>
      </c>
      <c r="N1252" t="str">
        <f>IFERROR(_xlfn.XLOOKUP($A1252,'Base SKUs'!$E:$E,'Base SKUs'!H:H),"")</f>
        <v>Nickel Gap</v>
      </c>
      <c r="O1252" t="str">
        <f>IFERROR(_xlfn.XLOOKUP($A1252,'Base SKUs'!$E:$E,'Base SKUs'!I:I),"")</f>
        <v>Wire Brushed</v>
      </c>
      <c r="P1252" t="str">
        <f>IFERROR(_xlfn.XLOOKUP($A1252,'Base SKUs'!$E:$E,'Base SKUs'!J:J),"")</f>
        <v>1x5</v>
      </c>
      <c r="Q1252">
        <f>IFERROR(_xlfn.XLOOKUP($A1252,'Base SKUs'!$E:$E,'Base SKUs'!K:K),"")</f>
        <v>4</v>
      </c>
      <c r="R1252" s="7">
        <f>IFERROR(_xlfn.XLOOKUP($A1252,'Base SKUs'!$E:$E,'Base SKUs'!S:S),"")</f>
        <v>2.6219999999999998E-3</v>
      </c>
      <c r="S1252" s="8">
        <f t="shared" si="97"/>
        <v>0.19402799999999998</v>
      </c>
      <c r="T1252" s="7">
        <f>IFERROR(_xlfn.XLOOKUP($A1252,'Base SKUs'!$E:$E,'Base SKUs'!R:R),"")</f>
        <v>1501.529</v>
      </c>
      <c r="U1252" s="15">
        <f t="shared" si="98"/>
        <v>291</v>
      </c>
      <c r="V1252" t="str">
        <f t="shared" si="99"/>
        <v>New York</v>
      </c>
    </row>
    <row r="1253" spans="1:22" x14ac:dyDescent="0.2">
      <c r="A1253" t="s">
        <v>1666</v>
      </c>
      <c r="B1253" s="5">
        <v>92</v>
      </c>
      <c r="C1253" s="5">
        <v>0</v>
      </c>
      <c r="D1253" s="5">
        <f t="shared" si="95"/>
        <v>92</v>
      </c>
      <c r="E1253" s="6">
        <v>6.7561</v>
      </c>
      <c r="F1253" s="6">
        <f t="shared" si="96"/>
        <v>621.56119999999999</v>
      </c>
      <c r="G1253" t="s">
        <v>17</v>
      </c>
      <c r="H1253">
        <v>9007</v>
      </c>
      <c r="I1253" t="str">
        <f>IFERROR(_xlfn.XLOOKUP($A1253,'Base SKUs'!$E:$E,'Base SKUs'!A:A),"")</f>
        <v>Radiata</v>
      </c>
      <c r="J1253" t="str">
        <f>IFERROR(_xlfn.XLOOKUP($A1253,'Base SKUs'!$E:$E,'Base SKUs'!B:B),"")</f>
        <v>Radiata 1x5</v>
      </c>
      <c r="K1253" t="str">
        <f>IFERROR(_xlfn.XLOOKUP($A1253,'Base SKUs'!$E:$E,'Base SKUs'!C:C),"")</f>
        <v>Short</v>
      </c>
      <c r="L1253" t="str">
        <f>IFERROR(_xlfn.XLOOKUP($A1253,'Base SKUs'!$E:$E,'Base SKUs'!D:D),"")</f>
        <v>Thermowood</v>
      </c>
      <c r="M1253" t="str">
        <f>IFERROR(_xlfn.XLOOKUP($A1253,'Base SKUs'!$E:$E,'Base SKUs'!G:G),"")</f>
        <v>Maximo Thermo Clear Radiata</v>
      </c>
      <c r="N1253" t="str">
        <f>IFERROR(_xlfn.XLOOKUP($A1253,'Base SKUs'!$E:$E,'Base SKUs'!H:H),"")</f>
        <v>Nickel Gap</v>
      </c>
      <c r="O1253" t="str">
        <f>IFERROR(_xlfn.XLOOKUP($A1253,'Base SKUs'!$E:$E,'Base SKUs'!I:I),"")</f>
        <v>Wire Brushed</v>
      </c>
      <c r="P1253" t="str">
        <f>IFERROR(_xlfn.XLOOKUP($A1253,'Base SKUs'!$E:$E,'Base SKUs'!J:J),"")</f>
        <v>1x5</v>
      </c>
      <c r="Q1253">
        <f>IFERROR(_xlfn.XLOOKUP($A1253,'Base SKUs'!$E:$E,'Base SKUs'!K:K),"")</f>
        <v>5</v>
      </c>
      <c r="R1253" s="7">
        <f>IFERROR(_xlfn.XLOOKUP($A1253,'Base SKUs'!$E:$E,'Base SKUs'!S:S),"")</f>
        <v>3.2775000000000005E-3</v>
      </c>
      <c r="S1253" s="8">
        <f t="shared" si="97"/>
        <v>0.30153000000000002</v>
      </c>
      <c r="T1253" s="7">
        <f>IFERROR(_xlfn.XLOOKUP($A1253,'Base SKUs'!$E:$E,'Base SKUs'!R:R),"")</f>
        <v>1501.529</v>
      </c>
      <c r="U1253" s="15">
        <f t="shared" si="98"/>
        <v>453</v>
      </c>
      <c r="V1253" t="str">
        <f t="shared" si="99"/>
        <v>Miami</v>
      </c>
    </row>
    <row r="1254" spans="1:22" x14ac:dyDescent="0.2">
      <c r="A1254" t="s">
        <v>1666</v>
      </c>
      <c r="B1254" s="5">
        <v>70</v>
      </c>
      <c r="C1254" s="5">
        <v>0</v>
      </c>
      <c r="D1254" s="5">
        <f t="shared" si="95"/>
        <v>70</v>
      </c>
      <c r="E1254" s="6">
        <v>6.6749000000000001</v>
      </c>
      <c r="F1254" s="6">
        <f t="shared" si="96"/>
        <v>467.24299999999999</v>
      </c>
      <c r="G1254" t="s">
        <v>330</v>
      </c>
      <c r="H1254">
        <v>9011</v>
      </c>
      <c r="I1254" t="str">
        <f>IFERROR(_xlfn.XLOOKUP($A1254,'Base SKUs'!$E:$E,'Base SKUs'!A:A),"")</f>
        <v>Radiata</v>
      </c>
      <c r="J1254" t="str">
        <f>IFERROR(_xlfn.XLOOKUP($A1254,'Base SKUs'!$E:$E,'Base SKUs'!B:B),"")</f>
        <v>Radiata 1x5</v>
      </c>
      <c r="K1254" t="str">
        <f>IFERROR(_xlfn.XLOOKUP($A1254,'Base SKUs'!$E:$E,'Base SKUs'!C:C),"")</f>
        <v>Short</v>
      </c>
      <c r="L1254" t="str">
        <f>IFERROR(_xlfn.XLOOKUP($A1254,'Base SKUs'!$E:$E,'Base SKUs'!D:D),"")</f>
        <v>Thermowood</v>
      </c>
      <c r="M1254" t="str">
        <f>IFERROR(_xlfn.XLOOKUP($A1254,'Base SKUs'!$E:$E,'Base SKUs'!G:G),"")</f>
        <v>Maximo Thermo Clear Radiata</v>
      </c>
      <c r="N1254" t="str">
        <f>IFERROR(_xlfn.XLOOKUP($A1254,'Base SKUs'!$E:$E,'Base SKUs'!H:H),"")</f>
        <v>Nickel Gap</v>
      </c>
      <c r="O1254" t="str">
        <f>IFERROR(_xlfn.XLOOKUP($A1254,'Base SKUs'!$E:$E,'Base SKUs'!I:I),"")</f>
        <v>Wire Brushed</v>
      </c>
      <c r="P1254" t="str">
        <f>IFERROR(_xlfn.XLOOKUP($A1254,'Base SKUs'!$E:$E,'Base SKUs'!J:J),"")</f>
        <v>1x5</v>
      </c>
      <c r="Q1254">
        <f>IFERROR(_xlfn.XLOOKUP($A1254,'Base SKUs'!$E:$E,'Base SKUs'!K:K),"")</f>
        <v>5</v>
      </c>
      <c r="R1254" s="7">
        <f>IFERROR(_xlfn.XLOOKUP($A1254,'Base SKUs'!$E:$E,'Base SKUs'!S:S),"")</f>
        <v>3.2775000000000005E-3</v>
      </c>
      <c r="S1254" s="8">
        <f t="shared" si="97"/>
        <v>0.22942500000000005</v>
      </c>
      <c r="T1254" s="7">
        <f>IFERROR(_xlfn.XLOOKUP($A1254,'Base SKUs'!$E:$E,'Base SKUs'!R:R),"")</f>
        <v>1501.529</v>
      </c>
      <c r="U1254" s="15">
        <f t="shared" si="98"/>
        <v>344</v>
      </c>
      <c r="V1254" t="str">
        <f t="shared" si="99"/>
        <v>New York</v>
      </c>
    </row>
    <row r="1255" spans="1:22" x14ac:dyDescent="0.2">
      <c r="A1255" t="s">
        <v>1668</v>
      </c>
      <c r="B1255" s="5">
        <v>76</v>
      </c>
      <c r="C1255" s="5">
        <v>0</v>
      </c>
      <c r="D1255" s="5">
        <f t="shared" si="95"/>
        <v>76</v>
      </c>
      <c r="E1255" s="6">
        <v>8.1073000000000004</v>
      </c>
      <c r="F1255" s="6">
        <f t="shared" si="96"/>
        <v>616.15480000000002</v>
      </c>
      <c r="G1255" t="s">
        <v>17</v>
      </c>
      <c r="H1255">
        <v>9007</v>
      </c>
      <c r="I1255" t="str">
        <f>IFERROR(_xlfn.XLOOKUP($A1255,'Base SKUs'!$E:$E,'Base SKUs'!A:A),"")</f>
        <v>Radiata</v>
      </c>
      <c r="J1255" t="str">
        <f>IFERROR(_xlfn.XLOOKUP($A1255,'Base SKUs'!$E:$E,'Base SKUs'!B:B),"")</f>
        <v>Radiata 1x5</v>
      </c>
      <c r="K1255" t="str">
        <f>IFERROR(_xlfn.XLOOKUP($A1255,'Base SKUs'!$E:$E,'Base SKUs'!C:C),"")</f>
        <v>Short</v>
      </c>
      <c r="L1255" t="str">
        <f>IFERROR(_xlfn.XLOOKUP($A1255,'Base SKUs'!$E:$E,'Base SKUs'!D:D),"")</f>
        <v>Thermowood</v>
      </c>
      <c r="M1255" t="str">
        <f>IFERROR(_xlfn.XLOOKUP($A1255,'Base SKUs'!$E:$E,'Base SKUs'!G:G),"")</f>
        <v>Maximo Thermo Clear Radiata</v>
      </c>
      <c r="N1255" t="str">
        <f>IFERROR(_xlfn.XLOOKUP($A1255,'Base SKUs'!$E:$E,'Base SKUs'!H:H),"")</f>
        <v>Nickel Gap</v>
      </c>
      <c r="O1255" t="str">
        <f>IFERROR(_xlfn.XLOOKUP($A1255,'Base SKUs'!$E:$E,'Base SKUs'!I:I),"")</f>
        <v>Wire Brushed</v>
      </c>
      <c r="P1255" t="str">
        <f>IFERROR(_xlfn.XLOOKUP($A1255,'Base SKUs'!$E:$E,'Base SKUs'!J:J),"")</f>
        <v>1x5</v>
      </c>
      <c r="Q1255">
        <f>IFERROR(_xlfn.XLOOKUP($A1255,'Base SKUs'!$E:$E,'Base SKUs'!K:K),"")</f>
        <v>6</v>
      </c>
      <c r="R1255" s="7">
        <f>IFERROR(_xlfn.XLOOKUP($A1255,'Base SKUs'!$E:$E,'Base SKUs'!S:S),"")</f>
        <v>3.9329999999999999E-3</v>
      </c>
      <c r="S1255" s="8">
        <f t="shared" si="97"/>
        <v>0.29890800000000001</v>
      </c>
      <c r="T1255" s="7">
        <f>IFERROR(_xlfn.XLOOKUP($A1255,'Base SKUs'!$E:$E,'Base SKUs'!R:R),"")</f>
        <v>1501.529</v>
      </c>
      <c r="U1255" s="15">
        <f t="shared" si="98"/>
        <v>449</v>
      </c>
      <c r="V1255" t="str">
        <f t="shared" si="99"/>
        <v>Miami</v>
      </c>
    </row>
    <row r="1256" spans="1:22" x14ac:dyDescent="0.2">
      <c r="A1256" t="s">
        <v>1668</v>
      </c>
      <c r="B1256" s="5">
        <v>39</v>
      </c>
      <c r="C1256" s="5">
        <v>0</v>
      </c>
      <c r="D1256" s="5">
        <f t="shared" si="95"/>
        <v>39</v>
      </c>
      <c r="E1256" s="6">
        <v>8.0099</v>
      </c>
      <c r="F1256" s="6">
        <f t="shared" si="96"/>
        <v>312.3861</v>
      </c>
      <c r="G1256" t="s">
        <v>330</v>
      </c>
      <c r="H1256">
        <v>9011</v>
      </c>
      <c r="I1256" t="str">
        <f>IFERROR(_xlfn.XLOOKUP($A1256,'Base SKUs'!$E:$E,'Base SKUs'!A:A),"")</f>
        <v>Radiata</v>
      </c>
      <c r="J1256" t="str">
        <f>IFERROR(_xlfn.XLOOKUP($A1256,'Base SKUs'!$E:$E,'Base SKUs'!B:B),"")</f>
        <v>Radiata 1x5</v>
      </c>
      <c r="K1256" t="str">
        <f>IFERROR(_xlfn.XLOOKUP($A1256,'Base SKUs'!$E:$E,'Base SKUs'!C:C),"")</f>
        <v>Short</v>
      </c>
      <c r="L1256" t="str">
        <f>IFERROR(_xlfn.XLOOKUP($A1256,'Base SKUs'!$E:$E,'Base SKUs'!D:D),"")</f>
        <v>Thermowood</v>
      </c>
      <c r="M1256" t="str">
        <f>IFERROR(_xlfn.XLOOKUP($A1256,'Base SKUs'!$E:$E,'Base SKUs'!G:G),"")</f>
        <v>Maximo Thermo Clear Radiata</v>
      </c>
      <c r="N1256" t="str">
        <f>IFERROR(_xlfn.XLOOKUP($A1256,'Base SKUs'!$E:$E,'Base SKUs'!H:H),"")</f>
        <v>Nickel Gap</v>
      </c>
      <c r="O1256" t="str">
        <f>IFERROR(_xlfn.XLOOKUP($A1256,'Base SKUs'!$E:$E,'Base SKUs'!I:I),"")</f>
        <v>Wire Brushed</v>
      </c>
      <c r="P1256" t="str">
        <f>IFERROR(_xlfn.XLOOKUP($A1256,'Base SKUs'!$E:$E,'Base SKUs'!J:J),"")</f>
        <v>1x5</v>
      </c>
      <c r="Q1256">
        <f>IFERROR(_xlfn.XLOOKUP($A1256,'Base SKUs'!$E:$E,'Base SKUs'!K:K),"")</f>
        <v>6</v>
      </c>
      <c r="R1256" s="7">
        <f>IFERROR(_xlfn.XLOOKUP($A1256,'Base SKUs'!$E:$E,'Base SKUs'!S:S),"")</f>
        <v>3.9329999999999999E-3</v>
      </c>
      <c r="S1256" s="8">
        <f t="shared" si="97"/>
        <v>0.153387</v>
      </c>
      <c r="T1256" s="7">
        <f>IFERROR(_xlfn.XLOOKUP($A1256,'Base SKUs'!$E:$E,'Base SKUs'!R:R),"")</f>
        <v>1501.529</v>
      </c>
      <c r="U1256" s="15">
        <f t="shared" si="98"/>
        <v>230</v>
      </c>
      <c r="V1256" t="str">
        <f t="shared" si="99"/>
        <v>New York</v>
      </c>
    </row>
    <row r="1257" spans="1:22" x14ac:dyDescent="0.2">
      <c r="A1257" t="s">
        <v>1670</v>
      </c>
      <c r="B1257" s="5">
        <v>103</v>
      </c>
      <c r="C1257" s="5">
        <v>0</v>
      </c>
      <c r="D1257" s="5">
        <f t="shared" si="95"/>
        <v>103</v>
      </c>
      <c r="E1257" s="6">
        <v>9.4586000000000006</v>
      </c>
      <c r="F1257" s="6">
        <f t="shared" si="96"/>
        <v>974.23580000000004</v>
      </c>
      <c r="G1257" t="s">
        <v>17</v>
      </c>
      <c r="H1257">
        <v>9007</v>
      </c>
      <c r="I1257" t="str">
        <f>IFERROR(_xlfn.XLOOKUP($A1257,'Base SKUs'!$E:$E,'Base SKUs'!A:A),"")</f>
        <v>Radiata</v>
      </c>
      <c r="J1257" t="str">
        <f>IFERROR(_xlfn.XLOOKUP($A1257,'Base SKUs'!$E:$E,'Base SKUs'!B:B),"")</f>
        <v>Radiata 1x5</v>
      </c>
      <c r="K1257" t="str">
        <f>IFERROR(_xlfn.XLOOKUP($A1257,'Base SKUs'!$E:$E,'Base SKUs'!C:C),"")</f>
        <v>Short</v>
      </c>
      <c r="L1257" t="str">
        <f>IFERROR(_xlfn.XLOOKUP($A1257,'Base SKUs'!$E:$E,'Base SKUs'!D:D),"")</f>
        <v>Thermowood</v>
      </c>
      <c r="M1257" t="str">
        <f>IFERROR(_xlfn.XLOOKUP($A1257,'Base SKUs'!$E:$E,'Base SKUs'!G:G),"")</f>
        <v>Maximo Thermo Clear Radiata</v>
      </c>
      <c r="N1257" t="str">
        <f>IFERROR(_xlfn.XLOOKUP($A1257,'Base SKUs'!$E:$E,'Base SKUs'!H:H),"")</f>
        <v>Nickel Gap</v>
      </c>
      <c r="O1257" t="str">
        <f>IFERROR(_xlfn.XLOOKUP($A1257,'Base SKUs'!$E:$E,'Base SKUs'!I:I),"")</f>
        <v>Wire Brushed</v>
      </c>
      <c r="P1257" t="str">
        <f>IFERROR(_xlfn.XLOOKUP($A1257,'Base SKUs'!$E:$E,'Base SKUs'!J:J),"")</f>
        <v>1x5</v>
      </c>
      <c r="Q1257">
        <f>IFERROR(_xlfn.XLOOKUP($A1257,'Base SKUs'!$E:$E,'Base SKUs'!K:K),"")</f>
        <v>7</v>
      </c>
      <c r="R1257" s="7">
        <f>IFERROR(_xlfn.XLOOKUP($A1257,'Base SKUs'!$E:$E,'Base SKUs'!S:S),"")</f>
        <v>4.5884999999999997E-3</v>
      </c>
      <c r="S1257" s="8">
        <f t="shared" si="97"/>
        <v>0.47261549999999997</v>
      </c>
      <c r="T1257" s="7">
        <f>IFERROR(_xlfn.XLOOKUP($A1257,'Base SKUs'!$E:$E,'Base SKUs'!R:R),"")</f>
        <v>1501.529</v>
      </c>
      <c r="U1257" s="15">
        <f t="shared" si="98"/>
        <v>710</v>
      </c>
      <c r="V1257" t="str">
        <f t="shared" si="99"/>
        <v>Miami</v>
      </c>
    </row>
    <row r="1258" spans="1:22" x14ac:dyDescent="0.2">
      <c r="A1258" t="s">
        <v>1670</v>
      </c>
      <c r="B1258" s="5">
        <v>54</v>
      </c>
      <c r="C1258" s="5">
        <v>0</v>
      </c>
      <c r="D1258" s="5">
        <f t="shared" si="95"/>
        <v>54</v>
      </c>
      <c r="E1258" s="6">
        <v>9.3449000000000009</v>
      </c>
      <c r="F1258" s="6">
        <f t="shared" si="96"/>
        <v>504.62460000000004</v>
      </c>
      <c r="G1258" t="s">
        <v>330</v>
      </c>
      <c r="H1258">
        <v>9011</v>
      </c>
      <c r="I1258" t="str">
        <f>IFERROR(_xlfn.XLOOKUP($A1258,'Base SKUs'!$E:$E,'Base SKUs'!A:A),"")</f>
        <v>Radiata</v>
      </c>
      <c r="J1258" t="str">
        <f>IFERROR(_xlfn.XLOOKUP($A1258,'Base SKUs'!$E:$E,'Base SKUs'!B:B),"")</f>
        <v>Radiata 1x5</v>
      </c>
      <c r="K1258" t="str">
        <f>IFERROR(_xlfn.XLOOKUP($A1258,'Base SKUs'!$E:$E,'Base SKUs'!C:C),"")</f>
        <v>Short</v>
      </c>
      <c r="L1258" t="str">
        <f>IFERROR(_xlfn.XLOOKUP($A1258,'Base SKUs'!$E:$E,'Base SKUs'!D:D),"")</f>
        <v>Thermowood</v>
      </c>
      <c r="M1258" t="str">
        <f>IFERROR(_xlfn.XLOOKUP($A1258,'Base SKUs'!$E:$E,'Base SKUs'!G:G),"")</f>
        <v>Maximo Thermo Clear Radiata</v>
      </c>
      <c r="N1258" t="str">
        <f>IFERROR(_xlfn.XLOOKUP($A1258,'Base SKUs'!$E:$E,'Base SKUs'!H:H),"")</f>
        <v>Nickel Gap</v>
      </c>
      <c r="O1258" t="str">
        <f>IFERROR(_xlfn.XLOOKUP($A1258,'Base SKUs'!$E:$E,'Base SKUs'!I:I),"")</f>
        <v>Wire Brushed</v>
      </c>
      <c r="P1258" t="str">
        <f>IFERROR(_xlfn.XLOOKUP($A1258,'Base SKUs'!$E:$E,'Base SKUs'!J:J),"")</f>
        <v>1x5</v>
      </c>
      <c r="Q1258">
        <f>IFERROR(_xlfn.XLOOKUP($A1258,'Base SKUs'!$E:$E,'Base SKUs'!K:K),"")</f>
        <v>7</v>
      </c>
      <c r="R1258" s="7">
        <f>IFERROR(_xlfn.XLOOKUP($A1258,'Base SKUs'!$E:$E,'Base SKUs'!S:S),"")</f>
        <v>4.5884999999999997E-3</v>
      </c>
      <c r="S1258" s="8">
        <f t="shared" si="97"/>
        <v>0.24777899999999997</v>
      </c>
      <c r="T1258" s="7">
        <f>IFERROR(_xlfn.XLOOKUP($A1258,'Base SKUs'!$E:$E,'Base SKUs'!R:R),"")</f>
        <v>1501.529</v>
      </c>
      <c r="U1258" s="15">
        <f t="shared" si="98"/>
        <v>372</v>
      </c>
      <c r="V1258" t="str">
        <f t="shared" si="99"/>
        <v>New York</v>
      </c>
    </row>
    <row r="1259" spans="1:22" x14ac:dyDescent="0.2">
      <c r="A1259" t="s">
        <v>1672</v>
      </c>
      <c r="B1259" s="5">
        <v>43</v>
      </c>
      <c r="C1259" s="5">
        <v>0</v>
      </c>
      <c r="D1259" s="5">
        <f t="shared" si="95"/>
        <v>43</v>
      </c>
      <c r="E1259" s="6">
        <v>10.809799999999999</v>
      </c>
      <c r="F1259" s="6">
        <f t="shared" si="96"/>
        <v>464.82139999999998</v>
      </c>
      <c r="G1259" t="s">
        <v>17</v>
      </c>
      <c r="H1259">
        <v>9007</v>
      </c>
      <c r="I1259" t="str">
        <f>IFERROR(_xlfn.XLOOKUP($A1259,'Base SKUs'!$E:$E,'Base SKUs'!A:A),"")</f>
        <v>Radiata</v>
      </c>
      <c r="J1259" t="str">
        <f>IFERROR(_xlfn.XLOOKUP($A1259,'Base SKUs'!$E:$E,'Base SKUs'!B:B),"")</f>
        <v>Radiata 1x5</v>
      </c>
      <c r="K1259" t="str">
        <f>IFERROR(_xlfn.XLOOKUP($A1259,'Base SKUs'!$E:$E,'Base SKUs'!C:C),"")</f>
        <v>Long</v>
      </c>
      <c r="L1259" t="str">
        <f>IFERROR(_xlfn.XLOOKUP($A1259,'Base SKUs'!$E:$E,'Base SKUs'!D:D),"")</f>
        <v>Thermowood</v>
      </c>
      <c r="M1259" t="str">
        <f>IFERROR(_xlfn.XLOOKUP($A1259,'Base SKUs'!$E:$E,'Base SKUs'!G:G),"")</f>
        <v>Maximo Thermo Clear Radiata</v>
      </c>
      <c r="N1259" t="str">
        <f>IFERROR(_xlfn.XLOOKUP($A1259,'Base SKUs'!$E:$E,'Base SKUs'!H:H),"")</f>
        <v>Nickel Gap</v>
      </c>
      <c r="O1259" t="str">
        <f>IFERROR(_xlfn.XLOOKUP($A1259,'Base SKUs'!$E:$E,'Base SKUs'!I:I),"")</f>
        <v>Wire Brushed</v>
      </c>
      <c r="P1259" t="str">
        <f>IFERROR(_xlfn.XLOOKUP($A1259,'Base SKUs'!$E:$E,'Base SKUs'!J:J),"")</f>
        <v>1x5</v>
      </c>
      <c r="Q1259">
        <f>IFERROR(_xlfn.XLOOKUP($A1259,'Base SKUs'!$E:$E,'Base SKUs'!K:K),"")</f>
        <v>8</v>
      </c>
      <c r="R1259" s="7">
        <f>IFERROR(_xlfn.XLOOKUP($A1259,'Base SKUs'!$E:$E,'Base SKUs'!S:S),"")</f>
        <v>5.2439999999999995E-3</v>
      </c>
      <c r="S1259" s="8">
        <f t="shared" si="97"/>
        <v>0.22549199999999997</v>
      </c>
      <c r="T1259" s="7">
        <f>IFERROR(_xlfn.XLOOKUP($A1259,'Base SKUs'!$E:$E,'Base SKUs'!R:R),"")</f>
        <v>1501.529</v>
      </c>
      <c r="U1259" s="15">
        <f t="shared" si="98"/>
        <v>339</v>
      </c>
      <c r="V1259" t="str">
        <f t="shared" si="99"/>
        <v>Miami</v>
      </c>
    </row>
    <row r="1260" spans="1:22" x14ac:dyDescent="0.2">
      <c r="A1260" t="s">
        <v>1672</v>
      </c>
      <c r="B1260" s="5">
        <v>35</v>
      </c>
      <c r="C1260" s="5">
        <v>0</v>
      </c>
      <c r="D1260" s="5">
        <f t="shared" si="95"/>
        <v>35</v>
      </c>
      <c r="E1260" s="6">
        <v>10.6799</v>
      </c>
      <c r="F1260" s="6">
        <f t="shared" si="96"/>
        <v>373.79649999999998</v>
      </c>
      <c r="G1260" t="s">
        <v>330</v>
      </c>
      <c r="H1260">
        <v>9011</v>
      </c>
      <c r="I1260" t="str">
        <f>IFERROR(_xlfn.XLOOKUP($A1260,'Base SKUs'!$E:$E,'Base SKUs'!A:A),"")</f>
        <v>Radiata</v>
      </c>
      <c r="J1260" t="str">
        <f>IFERROR(_xlfn.XLOOKUP($A1260,'Base SKUs'!$E:$E,'Base SKUs'!B:B),"")</f>
        <v>Radiata 1x5</v>
      </c>
      <c r="K1260" t="str">
        <f>IFERROR(_xlfn.XLOOKUP($A1260,'Base SKUs'!$E:$E,'Base SKUs'!C:C),"")</f>
        <v>Long</v>
      </c>
      <c r="L1260" t="str">
        <f>IFERROR(_xlfn.XLOOKUP($A1260,'Base SKUs'!$E:$E,'Base SKUs'!D:D),"")</f>
        <v>Thermowood</v>
      </c>
      <c r="M1260" t="str">
        <f>IFERROR(_xlfn.XLOOKUP($A1260,'Base SKUs'!$E:$E,'Base SKUs'!G:G),"")</f>
        <v>Maximo Thermo Clear Radiata</v>
      </c>
      <c r="N1260" t="str">
        <f>IFERROR(_xlfn.XLOOKUP($A1260,'Base SKUs'!$E:$E,'Base SKUs'!H:H),"")</f>
        <v>Nickel Gap</v>
      </c>
      <c r="O1260" t="str">
        <f>IFERROR(_xlfn.XLOOKUP($A1260,'Base SKUs'!$E:$E,'Base SKUs'!I:I),"")</f>
        <v>Wire Brushed</v>
      </c>
      <c r="P1260" t="str">
        <f>IFERROR(_xlfn.XLOOKUP($A1260,'Base SKUs'!$E:$E,'Base SKUs'!J:J),"")</f>
        <v>1x5</v>
      </c>
      <c r="Q1260">
        <f>IFERROR(_xlfn.XLOOKUP($A1260,'Base SKUs'!$E:$E,'Base SKUs'!K:K),"")</f>
        <v>8</v>
      </c>
      <c r="R1260" s="7">
        <f>IFERROR(_xlfn.XLOOKUP($A1260,'Base SKUs'!$E:$E,'Base SKUs'!S:S),"")</f>
        <v>5.2439999999999995E-3</v>
      </c>
      <c r="S1260" s="8">
        <f t="shared" si="97"/>
        <v>0.18353999999999998</v>
      </c>
      <c r="T1260" s="7">
        <f>IFERROR(_xlfn.XLOOKUP($A1260,'Base SKUs'!$E:$E,'Base SKUs'!R:R),"")</f>
        <v>1501.529</v>
      </c>
      <c r="U1260" s="15">
        <f t="shared" si="98"/>
        <v>276</v>
      </c>
      <c r="V1260" t="str">
        <f t="shared" si="99"/>
        <v>New York</v>
      </c>
    </row>
    <row r="1261" spans="1:22" x14ac:dyDescent="0.2">
      <c r="A1261" t="s">
        <v>1674</v>
      </c>
      <c r="B1261" s="5">
        <v>64</v>
      </c>
      <c r="C1261" s="5">
        <v>0</v>
      </c>
      <c r="D1261" s="5">
        <f t="shared" si="95"/>
        <v>64</v>
      </c>
      <c r="E1261" s="6">
        <v>12.161099999999999</v>
      </c>
      <c r="F1261" s="6">
        <f t="shared" si="96"/>
        <v>778.31039999999996</v>
      </c>
      <c r="G1261" t="s">
        <v>17</v>
      </c>
      <c r="H1261">
        <v>9007</v>
      </c>
      <c r="I1261" t="str">
        <f>IFERROR(_xlfn.XLOOKUP($A1261,'Base SKUs'!$E:$E,'Base SKUs'!A:A),"")</f>
        <v>Radiata</v>
      </c>
      <c r="J1261" t="str">
        <f>IFERROR(_xlfn.XLOOKUP($A1261,'Base SKUs'!$E:$E,'Base SKUs'!B:B),"")</f>
        <v>Radiata 1x5</v>
      </c>
      <c r="K1261" t="str">
        <f>IFERROR(_xlfn.XLOOKUP($A1261,'Base SKUs'!$E:$E,'Base SKUs'!C:C),"")</f>
        <v>Long</v>
      </c>
      <c r="L1261" t="str">
        <f>IFERROR(_xlfn.XLOOKUP($A1261,'Base SKUs'!$E:$E,'Base SKUs'!D:D),"")</f>
        <v>Thermowood</v>
      </c>
      <c r="M1261" t="str">
        <f>IFERROR(_xlfn.XLOOKUP($A1261,'Base SKUs'!$E:$E,'Base SKUs'!G:G),"")</f>
        <v>Maximo Thermo Clear Radiata</v>
      </c>
      <c r="N1261" t="str">
        <f>IFERROR(_xlfn.XLOOKUP($A1261,'Base SKUs'!$E:$E,'Base SKUs'!H:H),"")</f>
        <v>Nickel Gap</v>
      </c>
      <c r="O1261" t="str">
        <f>IFERROR(_xlfn.XLOOKUP($A1261,'Base SKUs'!$E:$E,'Base SKUs'!I:I),"")</f>
        <v>Wire Brushed</v>
      </c>
      <c r="P1261" t="str">
        <f>IFERROR(_xlfn.XLOOKUP($A1261,'Base SKUs'!$E:$E,'Base SKUs'!J:J),"")</f>
        <v>1x5</v>
      </c>
      <c r="Q1261">
        <f>IFERROR(_xlfn.XLOOKUP($A1261,'Base SKUs'!$E:$E,'Base SKUs'!K:K),"")</f>
        <v>9</v>
      </c>
      <c r="R1261" s="7">
        <f>IFERROR(_xlfn.XLOOKUP($A1261,'Base SKUs'!$E:$E,'Base SKUs'!S:S),"")</f>
        <v>5.8995000000000002E-3</v>
      </c>
      <c r="S1261" s="8">
        <f t="shared" si="97"/>
        <v>0.37756800000000001</v>
      </c>
      <c r="T1261" s="7">
        <f>IFERROR(_xlfn.XLOOKUP($A1261,'Base SKUs'!$E:$E,'Base SKUs'!R:R),"")</f>
        <v>1501.529</v>
      </c>
      <c r="U1261" s="15">
        <f t="shared" si="98"/>
        <v>567</v>
      </c>
      <c r="V1261" t="str">
        <f t="shared" si="99"/>
        <v>Miami</v>
      </c>
    </row>
    <row r="1262" spans="1:22" x14ac:dyDescent="0.2">
      <c r="A1262" t="s">
        <v>1674</v>
      </c>
      <c r="B1262" s="5">
        <v>98</v>
      </c>
      <c r="C1262" s="5">
        <v>0</v>
      </c>
      <c r="D1262" s="5">
        <f t="shared" si="95"/>
        <v>98</v>
      </c>
      <c r="E1262" s="6">
        <v>12.014900000000001</v>
      </c>
      <c r="F1262" s="6">
        <f t="shared" si="96"/>
        <v>1177.4602</v>
      </c>
      <c r="G1262" t="s">
        <v>330</v>
      </c>
      <c r="H1262">
        <v>9011</v>
      </c>
      <c r="I1262" t="str">
        <f>IFERROR(_xlfn.XLOOKUP($A1262,'Base SKUs'!$E:$E,'Base SKUs'!A:A),"")</f>
        <v>Radiata</v>
      </c>
      <c r="J1262" t="str">
        <f>IFERROR(_xlfn.XLOOKUP($A1262,'Base SKUs'!$E:$E,'Base SKUs'!B:B),"")</f>
        <v>Radiata 1x5</v>
      </c>
      <c r="K1262" t="str">
        <f>IFERROR(_xlfn.XLOOKUP($A1262,'Base SKUs'!$E:$E,'Base SKUs'!C:C),"")</f>
        <v>Long</v>
      </c>
      <c r="L1262" t="str">
        <f>IFERROR(_xlfn.XLOOKUP($A1262,'Base SKUs'!$E:$E,'Base SKUs'!D:D),"")</f>
        <v>Thermowood</v>
      </c>
      <c r="M1262" t="str">
        <f>IFERROR(_xlfn.XLOOKUP($A1262,'Base SKUs'!$E:$E,'Base SKUs'!G:G),"")</f>
        <v>Maximo Thermo Clear Radiata</v>
      </c>
      <c r="N1262" t="str">
        <f>IFERROR(_xlfn.XLOOKUP($A1262,'Base SKUs'!$E:$E,'Base SKUs'!H:H),"")</f>
        <v>Nickel Gap</v>
      </c>
      <c r="O1262" t="str">
        <f>IFERROR(_xlfn.XLOOKUP($A1262,'Base SKUs'!$E:$E,'Base SKUs'!I:I),"")</f>
        <v>Wire Brushed</v>
      </c>
      <c r="P1262" t="str">
        <f>IFERROR(_xlfn.XLOOKUP($A1262,'Base SKUs'!$E:$E,'Base SKUs'!J:J),"")</f>
        <v>1x5</v>
      </c>
      <c r="Q1262">
        <f>IFERROR(_xlfn.XLOOKUP($A1262,'Base SKUs'!$E:$E,'Base SKUs'!K:K),"")</f>
        <v>9</v>
      </c>
      <c r="R1262" s="7">
        <f>IFERROR(_xlfn.XLOOKUP($A1262,'Base SKUs'!$E:$E,'Base SKUs'!S:S),"")</f>
        <v>5.8995000000000002E-3</v>
      </c>
      <c r="S1262" s="8">
        <f t="shared" si="97"/>
        <v>0.57815099999999997</v>
      </c>
      <c r="T1262" s="7">
        <f>IFERROR(_xlfn.XLOOKUP($A1262,'Base SKUs'!$E:$E,'Base SKUs'!R:R),"")</f>
        <v>1501.529</v>
      </c>
      <c r="U1262" s="15">
        <f t="shared" si="98"/>
        <v>868</v>
      </c>
      <c r="V1262" t="str">
        <f t="shared" si="99"/>
        <v>New York</v>
      </c>
    </row>
    <row r="1263" spans="1:22" x14ac:dyDescent="0.2">
      <c r="A1263" t="s">
        <v>1676</v>
      </c>
      <c r="B1263" s="5">
        <v>9</v>
      </c>
      <c r="C1263" s="5">
        <v>0</v>
      </c>
      <c r="D1263" s="5">
        <f t="shared" si="95"/>
        <v>9</v>
      </c>
      <c r="E1263" s="6">
        <v>41.834400000000002</v>
      </c>
      <c r="F1263" s="6">
        <f t="shared" si="96"/>
        <v>376.50960000000003</v>
      </c>
      <c r="G1263" t="s">
        <v>17</v>
      </c>
      <c r="H1263">
        <v>9007</v>
      </c>
      <c r="I1263" t="str">
        <f>IFERROR(_xlfn.XLOOKUP($A1263,'Base SKUs'!$E:$E,'Base SKUs'!A:A),"")</f>
        <v>Radiata</v>
      </c>
      <c r="J1263" t="str">
        <f>IFERROR(_xlfn.XLOOKUP($A1263,'Base SKUs'!$E:$E,'Base SKUs'!B:B),"")</f>
        <v>Radiata 1x12</v>
      </c>
      <c r="K1263" t="str">
        <f>IFERROR(_xlfn.XLOOKUP($A1263,'Base SKUs'!$E:$E,'Base SKUs'!C:C),"")</f>
        <v>Long</v>
      </c>
      <c r="L1263" t="str">
        <f>IFERROR(_xlfn.XLOOKUP($A1263,'Base SKUs'!$E:$E,'Base SKUs'!D:D),"")</f>
        <v>Thermowood</v>
      </c>
      <c r="M1263" t="str">
        <f>IFERROR(_xlfn.XLOOKUP($A1263,'Base SKUs'!$E:$E,'Base SKUs'!G:G),"")</f>
        <v>Maximo Thermo Clear Radiata</v>
      </c>
      <c r="N1263" t="str">
        <f>IFERROR(_xlfn.XLOOKUP($A1263,'Base SKUs'!$E:$E,'Base SKUs'!H:H),"")</f>
        <v>S4S</v>
      </c>
      <c r="O1263" t="str">
        <f>IFERROR(_xlfn.XLOOKUP($A1263,'Base SKUs'!$E:$E,'Base SKUs'!I:I),"")</f>
        <v>-</v>
      </c>
      <c r="P1263" t="str">
        <f>IFERROR(_xlfn.XLOOKUP($A1263,'Base SKUs'!$E:$E,'Base SKUs'!J:J),"")</f>
        <v>1x12</v>
      </c>
      <c r="Q1263">
        <f>IFERROR(_xlfn.XLOOKUP($A1263,'Base SKUs'!$E:$E,'Base SKUs'!K:K),"")</f>
        <v>13</v>
      </c>
      <c r="R1263" s="7">
        <f>IFERROR(_xlfn.XLOOKUP($A1263,'Base SKUs'!$E:$E,'Base SKUs'!S:S),"")</f>
        <v>2.1118500000000002E-2</v>
      </c>
      <c r="S1263" s="8">
        <f t="shared" si="97"/>
        <v>0.19006650000000003</v>
      </c>
      <c r="T1263" s="7">
        <f>IFERROR(_xlfn.XLOOKUP($A1263,'Base SKUs'!$E:$E,'Base SKUs'!R:R),"")</f>
        <v>605.88</v>
      </c>
      <c r="U1263" s="15">
        <f t="shared" si="98"/>
        <v>115</v>
      </c>
      <c r="V1263" t="str">
        <f t="shared" si="99"/>
        <v>Miami</v>
      </c>
    </row>
    <row r="1264" spans="1:22" x14ac:dyDescent="0.2">
      <c r="A1264" t="s">
        <v>1680</v>
      </c>
      <c r="B1264" s="5">
        <v>33</v>
      </c>
      <c r="C1264" s="5">
        <v>0</v>
      </c>
      <c r="D1264" s="5">
        <f t="shared" si="95"/>
        <v>33</v>
      </c>
      <c r="E1264" s="6">
        <v>51.488500000000002</v>
      </c>
      <c r="F1264" s="6">
        <f t="shared" si="96"/>
        <v>1699.1205</v>
      </c>
      <c r="G1264" t="s">
        <v>17</v>
      </c>
      <c r="H1264">
        <v>9007</v>
      </c>
      <c r="I1264" t="str">
        <f>IFERROR(_xlfn.XLOOKUP($A1264,'Base SKUs'!$E:$E,'Base SKUs'!A:A),"")</f>
        <v>Radiata</v>
      </c>
      <c r="J1264" t="str">
        <f>IFERROR(_xlfn.XLOOKUP($A1264,'Base SKUs'!$E:$E,'Base SKUs'!B:B),"")</f>
        <v>Radiata 1x12</v>
      </c>
      <c r="K1264" t="str">
        <f>IFERROR(_xlfn.XLOOKUP($A1264,'Base SKUs'!$E:$E,'Base SKUs'!C:C),"")</f>
        <v>Long</v>
      </c>
      <c r="L1264" t="str">
        <f>IFERROR(_xlfn.XLOOKUP($A1264,'Base SKUs'!$E:$E,'Base SKUs'!D:D),"")</f>
        <v>Thermowood</v>
      </c>
      <c r="M1264" t="str">
        <f>IFERROR(_xlfn.XLOOKUP($A1264,'Base SKUs'!$E:$E,'Base SKUs'!G:G),"")</f>
        <v>Maximo Thermo Clear Radiata</v>
      </c>
      <c r="N1264" t="str">
        <f>IFERROR(_xlfn.XLOOKUP($A1264,'Base SKUs'!$E:$E,'Base SKUs'!H:H),"")</f>
        <v>S4S</v>
      </c>
      <c r="O1264" t="str">
        <f>IFERROR(_xlfn.XLOOKUP($A1264,'Base SKUs'!$E:$E,'Base SKUs'!I:I),"")</f>
        <v>-</v>
      </c>
      <c r="P1264" t="str">
        <f>IFERROR(_xlfn.XLOOKUP($A1264,'Base SKUs'!$E:$E,'Base SKUs'!J:J),"")</f>
        <v>1x12</v>
      </c>
      <c r="Q1264">
        <f>IFERROR(_xlfn.XLOOKUP($A1264,'Base SKUs'!$E:$E,'Base SKUs'!K:K),"")</f>
        <v>16</v>
      </c>
      <c r="R1264" s="7">
        <f>IFERROR(_xlfn.XLOOKUP($A1264,'Base SKUs'!$E:$E,'Base SKUs'!S:S),"")</f>
        <v>2.5992000000000001E-2</v>
      </c>
      <c r="S1264" s="8">
        <f t="shared" si="97"/>
        <v>0.85773600000000005</v>
      </c>
      <c r="T1264" s="7">
        <f>IFERROR(_xlfn.XLOOKUP($A1264,'Base SKUs'!$E:$E,'Base SKUs'!R:R),"")</f>
        <v>605.88</v>
      </c>
      <c r="U1264" s="15">
        <f t="shared" si="98"/>
        <v>520</v>
      </c>
      <c r="V1264" t="str">
        <f t="shared" si="99"/>
        <v>Miami</v>
      </c>
    </row>
    <row r="1265" spans="1:22" x14ac:dyDescent="0.2">
      <c r="A1265" t="s">
        <v>1682</v>
      </c>
      <c r="B1265" s="5">
        <v>385</v>
      </c>
      <c r="C1265" s="5">
        <v>0</v>
      </c>
      <c r="D1265" s="5">
        <f t="shared" si="95"/>
        <v>385</v>
      </c>
      <c r="E1265" s="6">
        <v>25.9175</v>
      </c>
      <c r="F1265" s="6">
        <f t="shared" si="96"/>
        <v>9978.2374999999993</v>
      </c>
      <c r="G1265" t="s">
        <v>17</v>
      </c>
      <c r="H1265">
        <v>9007</v>
      </c>
      <c r="I1265" t="str">
        <f>IFERROR(_xlfn.XLOOKUP($A1265,'Base SKUs'!$E:$E,'Base SKUs'!A:A),"")</f>
        <v>Radiata</v>
      </c>
      <c r="J1265" t="str">
        <f>IFERROR(_xlfn.XLOOKUP($A1265,'Base SKUs'!$E:$E,'Base SKUs'!B:B),"")</f>
        <v>Radiata 1x8</v>
      </c>
      <c r="K1265" t="str">
        <f>IFERROR(_xlfn.XLOOKUP($A1265,'Base SKUs'!$E:$E,'Base SKUs'!C:C),"")</f>
        <v>Long</v>
      </c>
      <c r="L1265" t="str">
        <f>IFERROR(_xlfn.XLOOKUP($A1265,'Base SKUs'!$E:$E,'Base SKUs'!D:D),"")</f>
        <v>Thermowood</v>
      </c>
      <c r="M1265" t="str">
        <f>IFERROR(_xlfn.XLOOKUP($A1265,'Base SKUs'!$E:$E,'Base SKUs'!G:G),"")</f>
        <v>Maximo Thermo Clear Radiata</v>
      </c>
      <c r="N1265" t="str">
        <f>IFERROR(_xlfn.XLOOKUP($A1265,'Base SKUs'!$E:$E,'Base SKUs'!H:H),"")</f>
        <v>S4S</v>
      </c>
      <c r="O1265" t="str">
        <f>IFERROR(_xlfn.XLOOKUP($A1265,'Base SKUs'!$E:$E,'Base SKUs'!I:I),"")</f>
        <v>-</v>
      </c>
      <c r="P1265" t="str">
        <f>IFERROR(_xlfn.XLOOKUP($A1265,'Base SKUs'!$E:$E,'Base SKUs'!J:J),"")</f>
        <v>1x8</v>
      </c>
      <c r="Q1265">
        <f>IFERROR(_xlfn.XLOOKUP($A1265,'Base SKUs'!$E:$E,'Base SKUs'!K:K),"")</f>
        <v>12</v>
      </c>
      <c r="R1265" s="7">
        <f>IFERROR(_xlfn.XLOOKUP($A1265,'Base SKUs'!$E:$E,'Base SKUs'!S:S),"")</f>
        <v>1.2654E-2</v>
      </c>
      <c r="S1265" s="8">
        <f t="shared" si="97"/>
        <v>4.8717899999999998</v>
      </c>
      <c r="T1265" s="7">
        <f>IFERROR(_xlfn.XLOOKUP($A1265,'Base SKUs'!$E:$E,'Base SKUs'!R:R),"")</f>
        <v>933.38300000000004</v>
      </c>
      <c r="U1265" s="15">
        <f t="shared" si="98"/>
        <v>4547</v>
      </c>
      <c r="V1265" t="str">
        <f t="shared" si="99"/>
        <v>Miami</v>
      </c>
    </row>
    <row r="1266" spans="1:22" x14ac:dyDescent="0.2">
      <c r="A1266" t="s">
        <v>1684</v>
      </c>
      <c r="B1266" s="5">
        <v>375</v>
      </c>
      <c r="C1266" s="5">
        <v>0</v>
      </c>
      <c r="D1266" s="5">
        <f t="shared" si="95"/>
        <v>375</v>
      </c>
      <c r="E1266" s="6">
        <v>30.237100000000002</v>
      </c>
      <c r="F1266" s="6">
        <f t="shared" si="96"/>
        <v>11338.9125</v>
      </c>
      <c r="G1266" t="s">
        <v>17</v>
      </c>
      <c r="H1266">
        <v>9007</v>
      </c>
      <c r="I1266" t="str">
        <f>IFERROR(_xlfn.XLOOKUP($A1266,'Base SKUs'!$E:$E,'Base SKUs'!A:A),"")</f>
        <v>Radiata</v>
      </c>
      <c r="J1266" t="str">
        <f>IFERROR(_xlfn.XLOOKUP($A1266,'Base SKUs'!$E:$E,'Base SKUs'!B:B),"")</f>
        <v>Radiata 1x8</v>
      </c>
      <c r="K1266" t="str">
        <f>IFERROR(_xlfn.XLOOKUP($A1266,'Base SKUs'!$E:$E,'Base SKUs'!C:C),"")</f>
        <v>Long</v>
      </c>
      <c r="L1266" t="str">
        <f>IFERROR(_xlfn.XLOOKUP($A1266,'Base SKUs'!$E:$E,'Base SKUs'!D:D),"")</f>
        <v>Thermowood</v>
      </c>
      <c r="M1266" t="str">
        <f>IFERROR(_xlfn.XLOOKUP($A1266,'Base SKUs'!$E:$E,'Base SKUs'!G:G),"")</f>
        <v>Maximo Thermo Clear Radiata</v>
      </c>
      <c r="N1266" t="str">
        <f>IFERROR(_xlfn.XLOOKUP($A1266,'Base SKUs'!$E:$E,'Base SKUs'!H:H),"")</f>
        <v>S4S</v>
      </c>
      <c r="O1266" t="str">
        <f>IFERROR(_xlfn.XLOOKUP($A1266,'Base SKUs'!$E:$E,'Base SKUs'!I:I),"")</f>
        <v>-</v>
      </c>
      <c r="P1266" t="str">
        <f>IFERROR(_xlfn.XLOOKUP($A1266,'Base SKUs'!$E:$E,'Base SKUs'!J:J),"")</f>
        <v>1x8</v>
      </c>
      <c r="Q1266">
        <f>IFERROR(_xlfn.XLOOKUP($A1266,'Base SKUs'!$E:$E,'Base SKUs'!K:K),"")</f>
        <v>14</v>
      </c>
      <c r="R1266" s="7">
        <f>IFERROR(_xlfn.XLOOKUP($A1266,'Base SKUs'!$E:$E,'Base SKUs'!S:S),"")</f>
        <v>1.4763E-2</v>
      </c>
      <c r="S1266" s="8">
        <f t="shared" si="97"/>
        <v>5.5361250000000002</v>
      </c>
      <c r="T1266" s="7">
        <f>IFERROR(_xlfn.XLOOKUP($A1266,'Base SKUs'!$E:$E,'Base SKUs'!R:R),"")</f>
        <v>933.38300000000004</v>
      </c>
      <c r="U1266" s="15">
        <f t="shared" si="98"/>
        <v>5167</v>
      </c>
      <c r="V1266" t="str">
        <f t="shared" si="99"/>
        <v>Miami</v>
      </c>
    </row>
    <row r="1267" spans="1:22" x14ac:dyDescent="0.2">
      <c r="A1267" t="s">
        <v>1686</v>
      </c>
      <c r="B1267" s="5">
        <v>26</v>
      </c>
      <c r="C1267" s="5">
        <v>26</v>
      </c>
      <c r="D1267" s="5">
        <f t="shared" si="95"/>
        <v>0</v>
      </c>
      <c r="E1267" s="6">
        <v>17.400200000000002</v>
      </c>
      <c r="F1267" s="6">
        <f t="shared" si="96"/>
        <v>452.40520000000004</v>
      </c>
      <c r="G1267" t="s">
        <v>17</v>
      </c>
      <c r="H1267">
        <v>9007</v>
      </c>
      <c r="I1267" t="str">
        <f>IFERROR(_xlfn.XLOOKUP($A1267,'Base SKUs'!$E:$E,'Base SKUs'!A:A),"")</f>
        <v>Radiata</v>
      </c>
      <c r="J1267" t="str">
        <f>IFERROR(_xlfn.XLOOKUP($A1267,'Base SKUs'!$E:$E,'Base SKUs'!B:B),"")</f>
        <v>Radiata 1x6</v>
      </c>
      <c r="K1267" t="str">
        <f>IFERROR(_xlfn.XLOOKUP($A1267,'Base SKUs'!$E:$E,'Base SKUs'!C:C),"")</f>
        <v>Long</v>
      </c>
      <c r="L1267" t="str">
        <f>IFERROR(_xlfn.XLOOKUP($A1267,'Base SKUs'!$E:$E,'Base SKUs'!D:D),"")</f>
        <v>Thermowood</v>
      </c>
      <c r="M1267" t="str">
        <f>IFERROR(_xlfn.XLOOKUP($A1267,'Base SKUs'!$E:$E,'Base SKUs'!G:G),"")</f>
        <v>Maximo Thermo Clear Radiata</v>
      </c>
      <c r="N1267" t="str">
        <f>IFERROR(_xlfn.XLOOKUP($A1267,'Base SKUs'!$E:$E,'Base SKUs'!H:H),"")</f>
        <v>S4S E4E</v>
      </c>
      <c r="O1267" t="str">
        <f>IFERROR(_xlfn.XLOOKUP($A1267,'Base SKUs'!$E:$E,'Base SKUs'!I:I),"")</f>
        <v>OPX</v>
      </c>
      <c r="P1267" t="str">
        <f>IFERROR(_xlfn.XLOOKUP($A1267,'Base SKUs'!$E:$E,'Base SKUs'!J:J),"")</f>
        <v>1x6</v>
      </c>
      <c r="Q1267">
        <f>IFERROR(_xlfn.XLOOKUP($A1267,'Base SKUs'!$E:$E,'Base SKUs'!K:K),"")</f>
        <v>10</v>
      </c>
      <c r="R1267" s="7">
        <f>IFERROR(_xlfn.XLOOKUP($A1267,'Base SKUs'!$E:$E,'Base SKUs'!S:S),"")</f>
        <v>7.8659999999999997E-3</v>
      </c>
      <c r="S1267" s="8">
        <f t="shared" si="97"/>
        <v>0</v>
      </c>
      <c r="T1267" s="7">
        <f>IFERROR(_xlfn.XLOOKUP($A1267,'Base SKUs'!$E:$E,'Base SKUs'!R:R),"")</f>
        <v>1251.2739999999999</v>
      </c>
      <c r="U1267" s="15">
        <f t="shared" si="98"/>
        <v>0</v>
      </c>
      <c r="V1267" t="str">
        <f t="shared" si="99"/>
        <v>Miami</v>
      </c>
    </row>
    <row r="1268" spans="1:22" x14ac:dyDescent="0.2">
      <c r="A1268" t="s">
        <v>1688</v>
      </c>
      <c r="B1268" s="5">
        <v>8</v>
      </c>
      <c r="C1268" s="5">
        <v>8</v>
      </c>
      <c r="D1268" s="5">
        <f t="shared" si="95"/>
        <v>0</v>
      </c>
      <c r="E1268" s="6">
        <v>20.914899999999999</v>
      </c>
      <c r="F1268" s="6">
        <f t="shared" si="96"/>
        <v>167.3192</v>
      </c>
      <c r="G1268" t="s">
        <v>17</v>
      </c>
      <c r="H1268">
        <v>9007</v>
      </c>
      <c r="I1268" t="str">
        <f>IFERROR(_xlfn.XLOOKUP($A1268,'Base SKUs'!$E:$E,'Base SKUs'!A:A),"")</f>
        <v>Radiata</v>
      </c>
      <c r="J1268" t="str">
        <f>IFERROR(_xlfn.XLOOKUP($A1268,'Base SKUs'!$E:$E,'Base SKUs'!B:B),"")</f>
        <v>Radiata 1x6</v>
      </c>
      <c r="K1268" t="str">
        <f>IFERROR(_xlfn.XLOOKUP($A1268,'Base SKUs'!$E:$E,'Base SKUs'!C:C),"")</f>
        <v>Long</v>
      </c>
      <c r="L1268" t="str">
        <f>IFERROR(_xlfn.XLOOKUP($A1268,'Base SKUs'!$E:$E,'Base SKUs'!D:D),"")</f>
        <v>Thermowood</v>
      </c>
      <c r="M1268" t="str">
        <f>IFERROR(_xlfn.XLOOKUP($A1268,'Base SKUs'!$E:$E,'Base SKUs'!G:G),"")</f>
        <v>Maximo Thermo Clear Radiata</v>
      </c>
      <c r="N1268" t="str">
        <f>IFERROR(_xlfn.XLOOKUP($A1268,'Base SKUs'!$E:$E,'Base SKUs'!H:H),"")</f>
        <v>S4S E4E</v>
      </c>
      <c r="O1268" t="str">
        <f>IFERROR(_xlfn.XLOOKUP($A1268,'Base SKUs'!$E:$E,'Base SKUs'!I:I),"")</f>
        <v>OPX</v>
      </c>
      <c r="P1268" t="str">
        <f>IFERROR(_xlfn.XLOOKUP($A1268,'Base SKUs'!$E:$E,'Base SKUs'!J:J),"")</f>
        <v>1x6</v>
      </c>
      <c r="Q1268">
        <f>IFERROR(_xlfn.XLOOKUP($A1268,'Base SKUs'!$E:$E,'Base SKUs'!K:K),"")</f>
        <v>12</v>
      </c>
      <c r="R1268" s="7">
        <f>IFERROR(_xlfn.XLOOKUP($A1268,'Base SKUs'!$E:$E,'Base SKUs'!S:S),"")</f>
        <v>9.4392E-3</v>
      </c>
      <c r="S1268" s="8">
        <f t="shared" si="97"/>
        <v>0</v>
      </c>
      <c r="T1268" s="7">
        <f>IFERROR(_xlfn.XLOOKUP($A1268,'Base SKUs'!$E:$E,'Base SKUs'!R:R),"")</f>
        <v>1251.2739999999999</v>
      </c>
      <c r="U1268" s="15">
        <f t="shared" si="98"/>
        <v>0</v>
      </c>
      <c r="V1268" t="str">
        <f t="shared" si="99"/>
        <v>Miami</v>
      </c>
    </row>
    <row r="1269" spans="1:22" x14ac:dyDescent="0.2">
      <c r="A1269" t="s">
        <v>1690</v>
      </c>
      <c r="B1269" s="5">
        <v>19</v>
      </c>
      <c r="C1269" s="5">
        <v>9</v>
      </c>
      <c r="D1269" s="5">
        <f t="shared" si="95"/>
        <v>10</v>
      </c>
      <c r="E1269" s="6">
        <v>24.373000000000001</v>
      </c>
      <c r="F1269" s="6">
        <f t="shared" si="96"/>
        <v>463.08700000000005</v>
      </c>
      <c r="G1269" t="s">
        <v>17</v>
      </c>
      <c r="H1269">
        <v>9007</v>
      </c>
      <c r="I1269" t="str">
        <f>IFERROR(_xlfn.XLOOKUP($A1269,'Base SKUs'!$E:$E,'Base SKUs'!A:A),"")</f>
        <v>Radiata</v>
      </c>
      <c r="J1269" t="str">
        <f>IFERROR(_xlfn.XLOOKUP($A1269,'Base SKUs'!$E:$E,'Base SKUs'!B:B),"")</f>
        <v>Radiata 1x6</v>
      </c>
      <c r="K1269" t="str">
        <f>IFERROR(_xlfn.XLOOKUP($A1269,'Base SKUs'!$E:$E,'Base SKUs'!C:C),"")</f>
        <v>Long</v>
      </c>
      <c r="L1269" t="str">
        <f>IFERROR(_xlfn.XLOOKUP($A1269,'Base SKUs'!$E:$E,'Base SKUs'!D:D),"")</f>
        <v>Thermowood</v>
      </c>
      <c r="M1269" t="str">
        <f>IFERROR(_xlfn.XLOOKUP($A1269,'Base SKUs'!$E:$E,'Base SKUs'!G:G),"")</f>
        <v>Maximo Thermo Clear Radiata</v>
      </c>
      <c r="N1269" t="str">
        <f>IFERROR(_xlfn.XLOOKUP($A1269,'Base SKUs'!$E:$E,'Base SKUs'!H:H),"")</f>
        <v>S4S E4E</v>
      </c>
      <c r="O1269" t="str">
        <f>IFERROR(_xlfn.XLOOKUP($A1269,'Base SKUs'!$E:$E,'Base SKUs'!I:I),"")</f>
        <v>OPX</v>
      </c>
      <c r="P1269" t="str">
        <f>IFERROR(_xlfn.XLOOKUP($A1269,'Base SKUs'!$E:$E,'Base SKUs'!J:J),"")</f>
        <v>1x6</v>
      </c>
      <c r="Q1269">
        <f>IFERROR(_xlfn.XLOOKUP($A1269,'Base SKUs'!$E:$E,'Base SKUs'!K:K),"")</f>
        <v>14</v>
      </c>
      <c r="R1269" s="7">
        <f>IFERROR(_xlfn.XLOOKUP($A1269,'Base SKUs'!$E:$E,'Base SKUs'!S:S),"")</f>
        <v>1.10124E-2</v>
      </c>
      <c r="S1269" s="8">
        <f t="shared" si="97"/>
        <v>0.110124</v>
      </c>
      <c r="T1269" s="7">
        <f>IFERROR(_xlfn.XLOOKUP($A1269,'Base SKUs'!$E:$E,'Base SKUs'!R:R),"")</f>
        <v>1251.2739999999999</v>
      </c>
      <c r="U1269" s="15">
        <f t="shared" si="98"/>
        <v>138</v>
      </c>
      <c r="V1269" t="str">
        <f t="shared" si="99"/>
        <v>Miami</v>
      </c>
    </row>
    <row r="1270" spans="1:22" x14ac:dyDescent="0.2">
      <c r="A1270" t="s">
        <v>1690</v>
      </c>
      <c r="B1270" s="5">
        <v>17</v>
      </c>
      <c r="C1270" s="5">
        <v>0</v>
      </c>
      <c r="D1270" s="5">
        <f t="shared" si="95"/>
        <v>17</v>
      </c>
      <c r="E1270" s="6">
        <v>22.8781</v>
      </c>
      <c r="F1270" s="6">
        <f t="shared" si="96"/>
        <v>388.92770000000002</v>
      </c>
      <c r="G1270" t="s">
        <v>24</v>
      </c>
      <c r="H1270">
        <v>9008</v>
      </c>
      <c r="I1270" t="str">
        <f>IFERROR(_xlfn.XLOOKUP($A1270,'Base SKUs'!$E:$E,'Base SKUs'!A:A),"")</f>
        <v>Radiata</v>
      </c>
      <c r="J1270" t="str">
        <f>IFERROR(_xlfn.XLOOKUP($A1270,'Base SKUs'!$E:$E,'Base SKUs'!B:B),"")</f>
        <v>Radiata 1x6</v>
      </c>
      <c r="K1270" t="str">
        <f>IFERROR(_xlfn.XLOOKUP($A1270,'Base SKUs'!$E:$E,'Base SKUs'!C:C),"")</f>
        <v>Long</v>
      </c>
      <c r="L1270" t="str">
        <f>IFERROR(_xlfn.XLOOKUP($A1270,'Base SKUs'!$E:$E,'Base SKUs'!D:D),"")</f>
        <v>Thermowood</v>
      </c>
      <c r="M1270" t="str">
        <f>IFERROR(_xlfn.XLOOKUP($A1270,'Base SKUs'!$E:$E,'Base SKUs'!G:G),"")</f>
        <v>Maximo Thermo Clear Radiata</v>
      </c>
      <c r="N1270" t="str">
        <f>IFERROR(_xlfn.XLOOKUP($A1270,'Base SKUs'!$E:$E,'Base SKUs'!H:H),"")</f>
        <v>S4S E4E</v>
      </c>
      <c r="O1270" t="str">
        <f>IFERROR(_xlfn.XLOOKUP($A1270,'Base SKUs'!$E:$E,'Base SKUs'!I:I),"")</f>
        <v>OPX</v>
      </c>
      <c r="P1270" t="str">
        <f>IFERROR(_xlfn.XLOOKUP($A1270,'Base SKUs'!$E:$E,'Base SKUs'!J:J),"")</f>
        <v>1x6</v>
      </c>
      <c r="Q1270">
        <f>IFERROR(_xlfn.XLOOKUP($A1270,'Base SKUs'!$E:$E,'Base SKUs'!K:K),"")</f>
        <v>14</v>
      </c>
      <c r="R1270" s="7">
        <f>IFERROR(_xlfn.XLOOKUP($A1270,'Base SKUs'!$E:$E,'Base SKUs'!S:S),"")</f>
        <v>1.10124E-2</v>
      </c>
      <c r="S1270" s="8">
        <f t="shared" si="97"/>
        <v>0.18721080000000001</v>
      </c>
      <c r="T1270" s="7">
        <f>IFERROR(_xlfn.XLOOKUP($A1270,'Base SKUs'!$E:$E,'Base SKUs'!R:R),"")</f>
        <v>1251.2739999999999</v>
      </c>
      <c r="U1270" s="15">
        <f t="shared" si="98"/>
        <v>234</v>
      </c>
      <c r="V1270" t="str">
        <f t="shared" si="99"/>
        <v>Texas</v>
      </c>
    </row>
    <row r="1271" spans="1:22" x14ac:dyDescent="0.2">
      <c r="A1271" t="s">
        <v>1692</v>
      </c>
      <c r="B1271" s="5">
        <v>74</v>
      </c>
      <c r="C1271" s="5">
        <v>74</v>
      </c>
      <c r="D1271" s="5">
        <f t="shared" si="95"/>
        <v>0</v>
      </c>
      <c r="E1271" s="6">
        <v>27.657699999999998</v>
      </c>
      <c r="F1271" s="6">
        <f t="shared" si="96"/>
        <v>2046.6697999999999</v>
      </c>
      <c r="G1271" t="s">
        <v>17</v>
      </c>
      <c r="H1271">
        <v>9007</v>
      </c>
      <c r="I1271" t="str">
        <f>IFERROR(_xlfn.XLOOKUP($A1271,'Base SKUs'!$E:$E,'Base SKUs'!A:A),"")</f>
        <v>Radiata</v>
      </c>
      <c r="J1271" t="str">
        <f>IFERROR(_xlfn.XLOOKUP($A1271,'Base SKUs'!$E:$E,'Base SKUs'!B:B),"")</f>
        <v>Radiata 1x6</v>
      </c>
      <c r="K1271" t="str">
        <f>IFERROR(_xlfn.XLOOKUP($A1271,'Base SKUs'!$E:$E,'Base SKUs'!C:C),"")</f>
        <v>Long</v>
      </c>
      <c r="L1271" t="str">
        <f>IFERROR(_xlfn.XLOOKUP($A1271,'Base SKUs'!$E:$E,'Base SKUs'!D:D),"")</f>
        <v>Thermowood</v>
      </c>
      <c r="M1271" t="str">
        <f>IFERROR(_xlfn.XLOOKUP($A1271,'Base SKUs'!$E:$E,'Base SKUs'!G:G),"")</f>
        <v>Maximo Thermo Clear Radiata</v>
      </c>
      <c r="N1271" t="str">
        <f>IFERROR(_xlfn.XLOOKUP($A1271,'Base SKUs'!$E:$E,'Base SKUs'!H:H),"")</f>
        <v>S4S E4E</v>
      </c>
      <c r="O1271" t="str">
        <f>IFERROR(_xlfn.XLOOKUP($A1271,'Base SKUs'!$E:$E,'Base SKUs'!I:I),"")</f>
        <v>OPX</v>
      </c>
      <c r="P1271" t="str">
        <f>IFERROR(_xlfn.XLOOKUP($A1271,'Base SKUs'!$E:$E,'Base SKUs'!J:J),"")</f>
        <v>1x6</v>
      </c>
      <c r="Q1271">
        <f>IFERROR(_xlfn.XLOOKUP($A1271,'Base SKUs'!$E:$E,'Base SKUs'!K:K),"")</f>
        <v>16</v>
      </c>
      <c r="R1271" s="7">
        <f>IFERROR(_xlfn.XLOOKUP($A1271,'Base SKUs'!$E:$E,'Base SKUs'!S:S),"")</f>
        <v>1.2585600000000001E-2</v>
      </c>
      <c r="S1271" s="8">
        <f t="shared" si="97"/>
        <v>0</v>
      </c>
      <c r="T1271" s="7">
        <f>IFERROR(_xlfn.XLOOKUP($A1271,'Base SKUs'!$E:$E,'Base SKUs'!R:R),"")</f>
        <v>1251.2739999999999</v>
      </c>
      <c r="U1271" s="15">
        <f t="shared" si="98"/>
        <v>0</v>
      </c>
      <c r="V1271" t="str">
        <f t="shared" si="99"/>
        <v>Miami</v>
      </c>
    </row>
    <row r="1272" spans="1:22" x14ac:dyDescent="0.2">
      <c r="A1272" t="s">
        <v>1694</v>
      </c>
      <c r="B1272" s="5">
        <v>41</v>
      </c>
      <c r="C1272" s="5">
        <v>20</v>
      </c>
      <c r="D1272" s="5">
        <f t="shared" si="95"/>
        <v>21</v>
      </c>
      <c r="E1272" s="6">
        <v>30.985600000000002</v>
      </c>
      <c r="F1272" s="6">
        <f t="shared" si="96"/>
        <v>1270.4096</v>
      </c>
      <c r="G1272" t="s">
        <v>17</v>
      </c>
      <c r="H1272">
        <v>9007</v>
      </c>
      <c r="I1272" t="str">
        <f>IFERROR(_xlfn.XLOOKUP($A1272,'Base SKUs'!$E:$E,'Base SKUs'!A:A),"")</f>
        <v>Radiata</v>
      </c>
      <c r="J1272" t="str">
        <f>IFERROR(_xlfn.XLOOKUP($A1272,'Base SKUs'!$E:$E,'Base SKUs'!B:B),"")</f>
        <v>Radiata 1x6</v>
      </c>
      <c r="K1272" t="str">
        <f>IFERROR(_xlfn.XLOOKUP($A1272,'Base SKUs'!$E:$E,'Base SKUs'!C:C),"")</f>
        <v>Long</v>
      </c>
      <c r="L1272" t="str">
        <f>IFERROR(_xlfn.XLOOKUP($A1272,'Base SKUs'!$E:$E,'Base SKUs'!D:D),"")</f>
        <v>Thermowood</v>
      </c>
      <c r="M1272" t="str">
        <f>IFERROR(_xlfn.XLOOKUP($A1272,'Base SKUs'!$E:$E,'Base SKUs'!G:G),"")</f>
        <v>Maximo Thermo Clear Radiata</v>
      </c>
      <c r="N1272" t="str">
        <f>IFERROR(_xlfn.XLOOKUP($A1272,'Base SKUs'!$E:$E,'Base SKUs'!H:H),"")</f>
        <v>S4S E4E</v>
      </c>
      <c r="O1272" t="str">
        <f>IFERROR(_xlfn.XLOOKUP($A1272,'Base SKUs'!$E:$E,'Base SKUs'!I:I),"")</f>
        <v>OPX</v>
      </c>
      <c r="P1272" t="str">
        <f>IFERROR(_xlfn.XLOOKUP($A1272,'Base SKUs'!$E:$E,'Base SKUs'!J:J),"")</f>
        <v>1x6</v>
      </c>
      <c r="Q1272">
        <f>IFERROR(_xlfn.XLOOKUP($A1272,'Base SKUs'!$E:$E,'Base SKUs'!K:K),"")</f>
        <v>18</v>
      </c>
      <c r="R1272" s="7">
        <f>IFERROR(_xlfn.XLOOKUP($A1272,'Base SKUs'!$E:$E,'Base SKUs'!S:S),"")</f>
        <v>1.4158800000000001E-2</v>
      </c>
      <c r="S1272" s="8">
        <f t="shared" si="97"/>
        <v>0.29733480000000001</v>
      </c>
      <c r="T1272" s="7">
        <f>IFERROR(_xlfn.XLOOKUP($A1272,'Base SKUs'!$E:$E,'Base SKUs'!R:R),"")</f>
        <v>1251.2739999999999</v>
      </c>
      <c r="U1272" s="15">
        <f t="shared" si="98"/>
        <v>372</v>
      </c>
      <c r="V1272" t="str">
        <f t="shared" si="99"/>
        <v>Miami</v>
      </c>
    </row>
    <row r="1273" spans="1:22" x14ac:dyDescent="0.2">
      <c r="A1273" t="s">
        <v>1696</v>
      </c>
      <c r="B1273" s="5">
        <v>20</v>
      </c>
      <c r="C1273" s="5">
        <v>20</v>
      </c>
      <c r="D1273" s="5">
        <f t="shared" si="95"/>
        <v>0</v>
      </c>
      <c r="E1273" s="6">
        <v>12.147</v>
      </c>
      <c r="F1273" s="6">
        <f t="shared" si="96"/>
        <v>242.94</v>
      </c>
      <c r="G1273" t="s">
        <v>17</v>
      </c>
      <c r="H1273">
        <v>9007</v>
      </c>
      <c r="I1273" t="str">
        <f>IFERROR(_xlfn.XLOOKUP($A1273,'Base SKUs'!$E:$E,'Base SKUs'!A:A),"")</f>
        <v>Radiata</v>
      </c>
      <c r="J1273" t="str">
        <f>IFERROR(_xlfn.XLOOKUP($A1273,'Base SKUs'!$E:$E,'Base SKUs'!B:B),"")</f>
        <v>Radiata 1x6</v>
      </c>
      <c r="K1273" t="str">
        <f>IFERROR(_xlfn.XLOOKUP($A1273,'Base SKUs'!$E:$E,'Base SKUs'!C:C),"")</f>
        <v>Short</v>
      </c>
      <c r="L1273" t="str">
        <f>IFERROR(_xlfn.XLOOKUP($A1273,'Base SKUs'!$E:$E,'Base SKUs'!D:D),"")</f>
        <v>Thermowood</v>
      </c>
      <c r="M1273" t="str">
        <f>IFERROR(_xlfn.XLOOKUP($A1273,'Base SKUs'!$E:$E,'Base SKUs'!G:G),"")</f>
        <v>Maximo Thermo Clear Radiata</v>
      </c>
      <c r="N1273" t="str">
        <f>IFERROR(_xlfn.XLOOKUP($A1273,'Base SKUs'!$E:$E,'Base SKUs'!H:H),"")</f>
        <v>S4S E4E</v>
      </c>
      <c r="O1273" t="str">
        <f>IFERROR(_xlfn.XLOOKUP($A1273,'Base SKUs'!$E:$E,'Base SKUs'!I:I),"")</f>
        <v>OPX</v>
      </c>
      <c r="P1273" t="str">
        <f>IFERROR(_xlfn.XLOOKUP($A1273,'Base SKUs'!$E:$E,'Base SKUs'!J:J),"")</f>
        <v>1x6</v>
      </c>
      <c r="Q1273">
        <f>IFERROR(_xlfn.XLOOKUP($A1273,'Base SKUs'!$E:$E,'Base SKUs'!K:K),"")</f>
        <v>7</v>
      </c>
      <c r="R1273" s="7">
        <f>IFERROR(_xlfn.XLOOKUP($A1273,'Base SKUs'!$E:$E,'Base SKUs'!S:S),"")</f>
        <v>5.5062000000000002E-3</v>
      </c>
      <c r="S1273" s="8">
        <f t="shared" si="97"/>
        <v>0</v>
      </c>
      <c r="T1273" s="7">
        <f>IFERROR(_xlfn.XLOOKUP($A1273,'Base SKUs'!$E:$E,'Base SKUs'!R:R),"")</f>
        <v>1251.2739999999999</v>
      </c>
      <c r="U1273" s="15">
        <f t="shared" si="98"/>
        <v>0</v>
      </c>
      <c r="V1273" t="str">
        <f t="shared" si="99"/>
        <v>Miami</v>
      </c>
    </row>
    <row r="1274" spans="1:22" x14ac:dyDescent="0.2">
      <c r="A1274" t="s">
        <v>1698</v>
      </c>
      <c r="B1274" s="5">
        <v>6</v>
      </c>
      <c r="C1274" s="5">
        <v>6</v>
      </c>
      <c r="D1274" s="5">
        <f t="shared" si="95"/>
        <v>0</v>
      </c>
      <c r="E1274" s="6">
        <v>15.5724</v>
      </c>
      <c r="F1274" s="6">
        <f t="shared" si="96"/>
        <v>93.434399999999997</v>
      </c>
      <c r="G1274" t="s">
        <v>17</v>
      </c>
      <c r="H1274">
        <v>9007</v>
      </c>
      <c r="I1274" t="str">
        <f>IFERROR(_xlfn.XLOOKUP($A1274,'Base SKUs'!$E:$E,'Base SKUs'!A:A),"")</f>
        <v>Radiata</v>
      </c>
      <c r="J1274" t="str">
        <f>IFERROR(_xlfn.XLOOKUP($A1274,'Base SKUs'!$E:$E,'Base SKUs'!B:B),"")</f>
        <v>Radiata 1x6</v>
      </c>
      <c r="K1274" t="str">
        <f>IFERROR(_xlfn.XLOOKUP($A1274,'Base SKUs'!$E:$E,'Base SKUs'!C:C),"")</f>
        <v>Long</v>
      </c>
      <c r="L1274" t="str">
        <f>IFERROR(_xlfn.XLOOKUP($A1274,'Base SKUs'!$E:$E,'Base SKUs'!D:D),"")</f>
        <v>Thermowood</v>
      </c>
      <c r="M1274" t="str">
        <f>IFERROR(_xlfn.XLOOKUP($A1274,'Base SKUs'!$E:$E,'Base SKUs'!G:G),"")</f>
        <v>Maximo Thermo Clear Radiata</v>
      </c>
      <c r="N1274" t="str">
        <f>IFERROR(_xlfn.XLOOKUP($A1274,'Base SKUs'!$E:$E,'Base SKUs'!H:H),"")</f>
        <v>S4S E4E</v>
      </c>
      <c r="O1274" t="str">
        <f>IFERROR(_xlfn.XLOOKUP($A1274,'Base SKUs'!$E:$E,'Base SKUs'!I:I),"")</f>
        <v>OPX</v>
      </c>
      <c r="P1274" t="str">
        <f>IFERROR(_xlfn.XLOOKUP($A1274,'Base SKUs'!$E:$E,'Base SKUs'!J:J),"")</f>
        <v>1x6</v>
      </c>
      <c r="Q1274">
        <f>IFERROR(_xlfn.XLOOKUP($A1274,'Base SKUs'!$E:$E,'Base SKUs'!K:K),"")</f>
        <v>9</v>
      </c>
      <c r="R1274" s="7">
        <f>IFERROR(_xlfn.XLOOKUP($A1274,'Base SKUs'!$E:$E,'Base SKUs'!S:S),"")</f>
        <v>7.0794000000000004E-3</v>
      </c>
      <c r="S1274" s="8">
        <f t="shared" si="97"/>
        <v>0</v>
      </c>
      <c r="T1274" s="7">
        <f>IFERROR(_xlfn.XLOOKUP($A1274,'Base SKUs'!$E:$E,'Base SKUs'!R:R),"")</f>
        <v>1251.2739999999999</v>
      </c>
      <c r="U1274" s="15">
        <f t="shared" si="98"/>
        <v>0</v>
      </c>
      <c r="V1274" t="str">
        <f t="shared" si="99"/>
        <v>Miami</v>
      </c>
    </row>
    <row r="1275" spans="1:22" x14ac:dyDescent="0.2">
      <c r="A1275" t="s">
        <v>1700</v>
      </c>
      <c r="B1275" s="5">
        <v>3</v>
      </c>
      <c r="C1275" s="5">
        <v>0</v>
      </c>
      <c r="D1275" s="5">
        <f t="shared" si="95"/>
        <v>3</v>
      </c>
      <c r="E1275" s="6">
        <v>40.735399999999998</v>
      </c>
      <c r="F1275" s="6">
        <f t="shared" si="96"/>
        <v>122.2062</v>
      </c>
      <c r="G1275" t="s">
        <v>17</v>
      </c>
      <c r="H1275">
        <v>9007</v>
      </c>
      <c r="I1275" t="str">
        <f>IFERROR(_xlfn.XLOOKUP($A1275,'Base SKUs'!$E:$E,'Base SKUs'!A:A),"")</f>
        <v>Radiata</v>
      </c>
      <c r="J1275" t="str">
        <f>IFERROR(_xlfn.XLOOKUP($A1275,'Base SKUs'!$E:$E,'Base SKUs'!B:B),"")</f>
        <v>Radiata 2x6</v>
      </c>
      <c r="K1275" t="str">
        <f>IFERROR(_xlfn.XLOOKUP($A1275,'Base SKUs'!$E:$E,'Base SKUs'!C:C),"")</f>
        <v>Long</v>
      </c>
      <c r="L1275" t="str">
        <f>IFERROR(_xlfn.XLOOKUP($A1275,'Base SKUs'!$E:$E,'Base SKUs'!D:D),"")</f>
        <v>Thermowood</v>
      </c>
      <c r="M1275" t="str">
        <f>IFERROR(_xlfn.XLOOKUP($A1275,'Base SKUs'!$E:$E,'Base SKUs'!G:G),"")</f>
        <v>Maximo Thermo Clear Radiata</v>
      </c>
      <c r="N1275" t="str">
        <f>IFERROR(_xlfn.XLOOKUP($A1275,'Base SKUs'!$E:$E,'Base SKUs'!H:H),"")</f>
        <v>S4S E4E</v>
      </c>
      <c r="O1275" t="str">
        <f>IFERROR(_xlfn.XLOOKUP($A1275,'Base SKUs'!$E:$E,'Base SKUs'!I:I),"")</f>
        <v>OPX</v>
      </c>
      <c r="P1275" t="str">
        <f>IFERROR(_xlfn.XLOOKUP($A1275,'Base SKUs'!$E:$E,'Base SKUs'!J:J),"")</f>
        <v>2x6</v>
      </c>
      <c r="Q1275">
        <f>IFERROR(_xlfn.XLOOKUP($A1275,'Base SKUs'!$E:$E,'Base SKUs'!K:K),"")</f>
        <v>15</v>
      </c>
      <c r="R1275" s="7">
        <f>IFERROR(_xlfn.XLOOKUP($A1275,'Base SKUs'!$E:$E,'Base SKUs'!S:S),"")</f>
        <v>2.3598000000000001E-2</v>
      </c>
      <c r="S1275" s="8">
        <f t="shared" si="97"/>
        <v>7.0793999999999996E-2</v>
      </c>
      <c r="T1275" s="7">
        <f>IFERROR(_xlfn.XLOOKUP($A1275,'Base SKUs'!$E:$E,'Base SKUs'!R:R),"")</f>
        <v>625.63699999999994</v>
      </c>
      <c r="U1275" s="15">
        <f t="shared" si="98"/>
        <v>44</v>
      </c>
      <c r="V1275" t="str">
        <f t="shared" si="99"/>
        <v>Miami</v>
      </c>
    </row>
    <row r="1276" spans="1:22" x14ac:dyDescent="0.2">
      <c r="A1276" t="s">
        <v>1702</v>
      </c>
      <c r="B1276" s="5">
        <v>537</v>
      </c>
      <c r="C1276" s="5">
        <v>0</v>
      </c>
      <c r="D1276" s="5">
        <f t="shared" si="95"/>
        <v>537</v>
      </c>
      <c r="E1276" s="6">
        <v>43.451000000000001</v>
      </c>
      <c r="F1276" s="6">
        <f t="shared" si="96"/>
        <v>23333.187000000002</v>
      </c>
      <c r="G1276" t="s">
        <v>17</v>
      </c>
      <c r="H1276">
        <v>9007</v>
      </c>
      <c r="I1276" t="str">
        <f>IFERROR(_xlfn.XLOOKUP($A1276,'Base SKUs'!$E:$E,'Base SKUs'!A:A),"")</f>
        <v>Radiata</v>
      </c>
      <c r="J1276" t="str">
        <f>IFERROR(_xlfn.XLOOKUP($A1276,'Base SKUs'!$E:$E,'Base SKUs'!B:B),"")</f>
        <v>Radiata 2x6</v>
      </c>
      <c r="K1276" t="str">
        <f>IFERROR(_xlfn.XLOOKUP($A1276,'Base SKUs'!$E:$E,'Base SKUs'!C:C),"")</f>
        <v>Long</v>
      </c>
      <c r="L1276" t="str">
        <f>IFERROR(_xlfn.XLOOKUP($A1276,'Base SKUs'!$E:$E,'Base SKUs'!D:D),"")</f>
        <v>Thermowood</v>
      </c>
      <c r="M1276" t="str">
        <f>IFERROR(_xlfn.XLOOKUP($A1276,'Base SKUs'!$E:$E,'Base SKUs'!G:G),"")</f>
        <v>Maximo Thermo Clear Radiata</v>
      </c>
      <c r="N1276" t="str">
        <f>IFERROR(_xlfn.XLOOKUP($A1276,'Base SKUs'!$E:$E,'Base SKUs'!H:H),"")</f>
        <v>S4S E4E</v>
      </c>
      <c r="O1276" t="str">
        <f>IFERROR(_xlfn.XLOOKUP($A1276,'Base SKUs'!$E:$E,'Base SKUs'!I:I),"")</f>
        <v>OPX</v>
      </c>
      <c r="P1276" t="str">
        <f>IFERROR(_xlfn.XLOOKUP($A1276,'Base SKUs'!$E:$E,'Base SKUs'!J:J),"")</f>
        <v>2x6</v>
      </c>
      <c r="Q1276">
        <f>IFERROR(_xlfn.XLOOKUP($A1276,'Base SKUs'!$E:$E,'Base SKUs'!K:K),"")</f>
        <v>16</v>
      </c>
      <c r="R1276" s="7">
        <f>IFERROR(_xlfn.XLOOKUP($A1276,'Base SKUs'!$E:$E,'Base SKUs'!S:S),"")</f>
        <v>2.5171200000000001E-2</v>
      </c>
      <c r="S1276" s="8">
        <f t="shared" si="97"/>
        <v>13.5169344</v>
      </c>
      <c r="T1276" s="7">
        <f>IFERROR(_xlfn.XLOOKUP($A1276,'Base SKUs'!$E:$E,'Base SKUs'!R:R),"")</f>
        <v>625.63699999999994</v>
      </c>
      <c r="U1276" s="15">
        <f t="shared" si="98"/>
        <v>8457</v>
      </c>
      <c r="V1276" t="str">
        <f t="shared" si="99"/>
        <v>Miami</v>
      </c>
    </row>
    <row r="1277" spans="1:22" x14ac:dyDescent="0.2">
      <c r="A1277" t="s">
        <v>1704</v>
      </c>
      <c r="B1277" s="5">
        <v>42</v>
      </c>
      <c r="C1277" s="5">
        <v>0</v>
      </c>
      <c r="D1277" s="5">
        <f t="shared" si="95"/>
        <v>42</v>
      </c>
      <c r="E1277" s="6">
        <v>10.8627</v>
      </c>
      <c r="F1277" s="6">
        <f t="shared" si="96"/>
        <v>456.23340000000002</v>
      </c>
      <c r="G1277" t="s">
        <v>17</v>
      </c>
      <c r="H1277">
        <v>9007</v>
      </c>
      <c r="I1277" t="str">
        <f>IFERROR(_xlfn.XLOOKUP($A1277,'Base SKUs'!$E:$E,'Base SKUs'!A:A),"")</f>
        <v>Radiata</v>
      </c>
      <c r="J1277" t="str">
        <f>IFERROR(_xlfn.XLOOKUP($A1277,'Base SKUs'!$E:$E,'Base SKUs'!B:B),"")</f>
        <v>Radiata 2x6</v>
      </c>
      <c r="K1277" t="str">
        <f>IFERROR(_xlfn.XLOOKUP($A1277,'Base SKUs'!$E:$E,'Base SKUs'!C:C),"")</f>
        <v>Short</v>
      </c>
      <c r="L1277" t="str">
        <f>IFERROR(_xlfn.XLOOKUP($A1277,'Base SKUs'!$E:$E,'Base SKUs'!D:D),"")</f>
        <v>Thermowood</v>
      </c>
      <c r="M1277" t="str">
        <f>IFERROR(_xlfn.XLOOKUP($A1277,'Base SKUs'!$E:$E,'Base SKUs'!G:G),"")</f>
        <v>Maximo Thermo Clear Radiata</v>
      </c>
      <c r="N1277" t="str">
        <f>IFERROR(_xlfn.XLOOKUP($A1277,'Base SKUs'!$E:$E,'Base SKUs'!H:H),"")</f>
        <v>S4S E4E</v>
      </c>
      <c r="O1277" t="str">
        <f>IFERROR(_xlfn.XLOOKUP($A1277,'Base SKUs'!$E:$E,'Base SKUs'!I:I),"")</f>
        <v>OPX</v>
      </c>
      <c r="P1277" t="str">
        <f>IFERROR(_xlfn.XLOOKUP($A1277,'Base SKUs'!$E:$E,'Base SKUs'!J:J),"")</f>
        <v>2x6</v>
      </c>
      <c r="Q1277">
        <f>IFERROR(_xlfn.XLOOKUP($A1277,'Base SKUs'!$E:$E,'Base SKUs'!K:K),"")</f>
        <v>4</v>
      </c>
      <c r="R1277" s="7">
        <f>IFERROR(_xlfn.XLOOKUP($A1277,'Base SKUs'!$E:$E,'Base SKUs'!S:S),"")</f>
        <v>6.2928000000000003E-3</v>
      </c>
      <c r="S1277" s="8">
        <f t="shared" si="97"/>
        <v>0.26429760000000002</v>
      </c>
      <c r="T1277" s="7">
        <f>IFERROR(_xlfn.XLOOKUP($A1277,'Base SKUs'!$E:$E,'Base SKUs'!R:R),"")</f>
        <v>625.63699999999994</v>
      </c>
      <c r="U1277" s="15">
        <f t="shared" si="98"/>
        <v>165</v>
      </c>
      <c r="V1277" t="str">
        <f t="shared" si="99"/>
        <v>Miami</v>
      </c>
    </row>
    <row r="1278" spans="1:22" x14ac:dyDescent="0.2">
      <c r="A1278" t="s">
        <v>5719</v>
      </c>
      <c r="B1278" s="5">
        <v>36</v>
      </c>
      <c r="C1278" s="5">
        <v>0</v>
      </c>
      <c r="D1278" s="5">
        <f t="shared" si="95"/>
        <v>36</v>
      </c>
      <c r="E1278" s="6">
        <v>20.367799999999999</v>
      </c>
      <c r="F1278" s="6">
        <f t="shared" si="96"/>
        <v>733.24079999999992</v>
      </c>
      <c r="G1278" t="s">
        <v>17</v>
      </c>
      <c r="H1278">
        <v>9007</v>
      </c>
      <c r="I1278" t="str">
        <f>IFERROR(_xlfn.XLOOKUP($A1278,'Base SKUs'!$E:$E,'Base SKUs'!A:A),"")</f>
        <v>Radiata</v>
      </c>
      <c r="J1278" t="str">
        <f>IFERROR(_xlfn.XLOOKUP($A1278,'Base SKUs'!$E:$E,'Base SKUs'!B:B),"")</f>
        <v>Radiata 2x6</v>
      </c>
      <c r="K1278" t="str">
        <f>IFERROR(_xlfn.XLOOKUP($A1278,'Base SKUs'!$E:$E,'Base SKUs'!C:C),"")</f>
        <v>Short</v>
      </c>
      <c r="L1278" t="str">
        <f>IFERROR(_xlfn.XLOOKUP($A1278,'Base SKUs'!$E:$E,'Base SKUs'!D:D),"")</f>
        <v>Thermowood</v>
      </c>
      <c r="M1278" t="str">
        <f>IFERROR(_xlfn.XLOOKUP($A1278,'Base SKUs'!$E:$E,'Base SKUs'!G:G),"")</f>
        <v>Maximo Thermo Clear Radiata</v>
      </c>
      <c r="N1278" t="str">
        <f>IFERROR(_xlfn.XLOOKUP($A1278,'Base SKUs'!$E:$E,'Base SKUs'!H:H),"")</f>
        <v>S4S E4E</v>
      </c>
      <c r="O1278" t="str">
        <f>IFERROR(_xlfn.XLOOKUP($A1278,'Base SKUs'!$E:$E,'Base SKUs'!I:I),"")</f>
        <v>OPX</v>
      </c>
      <c r="P1278" t="str">
        <f>IFERROR(_xlfn.XLOOKUP($A1278,'Base SKUs'!$E:$E,'Base SKUs'!J:J),"")</f>
        <v>2x6</v>
      </c>
      <c r="Q1278">
        <f>IFERROR(_xlfn.XLOOKUP($A1278,'Base SKUs'!$E:$E,'Base SKUs'!K:K),"")</f>
        <v>7</v>
      </c>
      <c r="R1278" s="7">
        <f>IFERROR(_xlfn.XLOOKUP($A1278,'Base SKUs'!$E:$E,'Base SKUs'!S:S),"")</f>
        <v>1.10124E-2</v>
      </c>
      <c r="S1278" s="8">
        <f t="shared" si="97"/>
        <v>0.39644640000000003</v>
      </c>
      <c r="T1278" s="7">
        <f>IFERROR(_xlfn.XLOOKUP($A1278,'Base SKUs'!$E:$E,'Base SKUs'!R:R),"")</f>
        <v>625.63699999999994</v>
      </c>
      <c r="U1278" s="15">
        <f t="shared" si="98"/>
        <v>248</v>
      </c>
      <c r="V1278" t="str">
        <f t="shared" si="99"/>
        <v>Miami</v>
      </c>
    </row>
    <row r="1279" spans="1:22" x14ac:dyDescent="0.2">
      <c r="A1279" t="s">
        <v>1706</v>
      </c>
      <c r="B1279" s="5">
        <v>1</v>
      </c>
      <c r="C1279" s="5">
        <v>0</v>
      </c>
      <c r="D1279" s="5">
        <f t="shared" si="95"/>
        <v>1</v>
      </c>
      <c r="E1279" s="6">
        <v>21.7255</v>
      </c>
      <c r="F1279" s="6">
        <f t="shared" si="96"/>
        <v>21.7255</v>
      </c>
      <c r="G1279" t="s">
        <v>17</v>
      </c>
      <c r="H1279">
        <v>9007</v>
      </c>
      <c r="I1279" t="str">
        <f>IFERROR(_xlfn.XLOOKUP($A1279,'Base SKUs'!$E:$E,'Base SKUs'!A:A),"")</f>
        <v>Radiata</v>
      </c>
      <c r="J1279" t="str">
        <f>IFERROR(_xlfn.XLOOKUP($A1279,'Base SKUs'!$E:$E,'Base SKUs'!B:B),"")</f>
        <v>Radiata 2x6</v>
      </c>
      <c r="K1279" t="str">
        <f>IFERROR(_xlfn.XLOOKUP($A1279,'Base SKUs'!$E:$E,'Base SKUs'!C:C),"")</f>
        <v>Long</v>
      </c>
      <c r="L1279" t="str">
        <f>IFERROR(_xlfn.XLOOKUP($A1279,'Base SKUs'!$E:$E,'Base SKUs'!D:D),"")</f>
        <v>Thermowood</v>
      </c>
      <c r="M1279" t="str">
        <f>IFERROR(_xlfn.XLOOKUP($A1279,'Base SKUs'!$E:$E,'Base SKUs'!G:G),"")</f>
        <v>Maximo Thermo Clear Radiata</v>
      </c>
      <c r="N1279" t="str">
        <f>IFERROR(_xlfn.XLOOKUP($A1279,'Base SKUs'!$E:$E,'Base SKUs'!H:H),"")</f>
        <v>S4S E4E</v>
      </c>
      <c r="O1279" t="str">
        <f>IFERROR(_xlfn.XLOOKUP($A1279,'Base SKUs'!$E:$E,'Base SKUs'!I:I),"")</f>
        <v>OPX</v>
      </c>
      <c r="P1279" t="str">
        <f>IFERROR(_xlfn.XLOOKUP($A1279,'Base SKUs'!$E:$E,'Base SKUs'!J:J),"")</f>
        <v>2x6</v>
      </c>
      <c r="Q1279">
        <f>IFERROR(_xlfn.XLOOKUP($A1279,'Base SKUs'!$E:$E,'Base SKUs'!K:K),"")</f>
        <v>8</v>
      </c>
      <c r="R1279" s="7">
        <f>IFERROR(_xlfn.XLOOKUP($A1279,'Base SKUs'!$E:$E,'Base SKUs'!S:S),"")</f>
        <v>1.2585600000000001E-2</v>
      </c>
      <c r="S1279" s="8">
        <f t="shared" si="97"/>
        <v>1.2585600000000001E-2</v>
      </c>
      <c r="T1279" s="7">
        <f>IFERROR(_xlfn.XLOOKUP($A1279,'Base SKUs'!$E:$E,'Base SKUs'!R:R),"")</f>
        <v>625.63699999999994</v>
      </c>
      <c r="U1279" s="15">
        <f t="shared" si="98"/>
        <v>8</v>
      </c>
      <c r="V1279" t="str">
        <f t="shared" si="99"/>
        <v>Miami</v>
      </c>
    </row>
    <row r="1280" spans="1:22" x14ac:dyDescent="0.2">
      <c r="A1280" t="s">
        <v>1708</v>
      </c>
      <c r="B1280" s="5">
        <v>140</v>
      </c>
      <c r="C1280" s="5">
        <v>140</v>
      </c>
      <c r="D1280" s="5">
        <f t="shared" si="95"/>
        <v>0</v>
      </c>
      <c r="E1280" s="6">
        <v>25.976500000000001</v>
      </c>
      <c r="F1280" s="6">
        <f t="shared" si="96"/>
        <v>3636.71</v>
      </c>
      <c r="G1280" t="s">
        <v>17</v>
      </c>
      <c r="H1280">
        <v>9007</v>
      </c>
      <c r="I1280" t="str">
        <f>IFERROR(_xlfn.XLOOKUP($A1280,'Base SKUs'!$E:$E,'Base SKUs'!A:A),"")</f>
        <v>Radiata</v>
      </c>
      <c r="J1280" t="str">
        <f>IFERROR(_xlfn.XLOOKUP($A1280,'Base SKUs'!$E:$E,'Base SKUs'!B:B),"")</f>
        <v>Radiata 5/4x6</v>
      </c>
      <c r="K1280" t="str">
        <f>IFERROR(_xlfn.XLOOKUP($A1280,'Base SKUs'!$E:$E,'Base SKUs'!C:C),"")</f>
        <v>Long</v>
      </c>
      <c r="L1280" t="str">
        <f>IFERROR(_xlfn.XLOOKUP($A1280,'Base SKUs'!$E:$E,'Base SKUs'!D:D),"")</f>
        <v>Thermowood</v>
      </c>
      <c r="M1280" t="str">
        <f>IFERROR(_xlfn.XLOOKUP($A1280,'Base SKUs'!$E:$E,'Base SKUs'!G:G),"")</f>
        <v>Maximo Thermo Clear Radiata</v>
      </c>
      <c r="N1280" t="str">
        <f>IFERROR(_xlfn.XLOOKUP($A1280,'Base SKUs'!$E:$E,'Base SKUs'!H:H),"")</f>
        <v>S4S E4E</v>
      </c>
      <c r="O1280" t="str">
        <f>IFERROR(_xlfn.XLOOKUP($A1280,'Base SKUs'!$E:$E,'Base SKUs'!I:I),"")</f>
        <v>OPX</v>
      </c>
      <c r="P1280" t="str">
        <f>IFERROR(_xlfn.XLOOKUP($A1280,'Base SKUs'!$E:$E,'Base SKUs'!J:J),"")</f>
        <v>5/4x6</v>
      </c>
      <c r="Q1280">
        <f>IFERROR(_xlfn.XLOOKUP($A1280,'Base SKUs'!$E:$E,'Base SKUs'!K:K),"")</f>
        <v>12</v>
      </c>
      <c r="R1280" s="7">
        <f>IFERROR(_xlfn.XLOOKUP($A1280,'Base SKUs'!$E:$E,'Base SKUs'!S:S),"")</f>
        <v>1.242E-2</v>
      </c>
      <c r="S1280" s="8">
        <f t="shared" si="97"/>
        <v>0</v>
      </c>
      <c r="T1280" s="7">
        <f>IFERROR(_xlfn.XLOOKUP($A1280,'Base SKUs'!$E:$E,'Base SKUs'!R:R),"")</f>
        <v>950.96799999999996</v>
      </c>
      <c r="U1280" s="15">
        <f t="shared" si="98"/>
        <v>0</v>
      </c>
      <c r="V1280" t="str">
        <f t="shared" si="99"/>
        <v>Miami</v>
      </c>
    </row>
    <row r="1281" spans="1:22" x14ac:dyDescent="0.2">
      <c r="A1281" t="s">
        <v>1710</v>
      </c>
      <c r="B1281" s="5">
        <v>68</v>
      </c>
      <c r="C1281" s="5">
        <v>68</v>
      </c>
      <c r="D1281" s="5">
        <f t="shared" si="95"/>
        <v>0</v>
      </c>
      <c r="E1281" s="6">
        <v>30.057600000000001</v>
      </c>
      <c r="F1281" s="6">
        <f t="shared" si="96"/>
        <v>2043.9168</v>
      </c>
      <c r="G1281" t="s">
        <v>17</v>
      </c>
      <c r="H1281">
        <v>9007</v>
      </c>
      <c r="I1281" t="str">
        <f>IFERROR(_xlfn.XLOOKUP($A1281,'Base SKUs'!$E:$E,'Base SKUs'!A:A),"")</f>
        <v>Radiata</v>
      </c>
      <c r="J1281" t="str">
        <f>IFERROR(_xlfn.XLOOKUP($A1281,'Base SKUs'!$E:$E,'Base SKUs'!B:B),"")</f>
        <v>Radiata 5/4x6</v>
      </c>
      <c r="K1281" t="str">
        <f>IFERROR(_xlfn.XLOOKUP($A1281,'Base SKUs'!$E:$E,'Base SKUs'!C:C),"")</f>
        <v>Long</v>
      </c>
      <c r="L1281" t="str">
        <f>IFERROR(_xlfn.XLOOKUP($A1281,'Base SKUs'!$E:$E,'Base SKUs'!D:D),"")</f>
        <v>Thermowood</v>
      </c>
      <c r="M1281" t="str">
        <f>IFERROR(_xlfn.XLOOKUP($A1281,'Base SKUs'!$E:$E,'Base SKUs'!G:G),"")</f>
        <v>Maximo Thermo Clear Radiata</v>
      </c>
      <c r="N1281" t="str">
        <f>IFERROR(_xlfn.XLOOKUP($A1281,'Base SKUs'!$E:$E,'Base SKUs'!H:H),"")</f>
        <v>S4S E4E</v>
      </c>
      <c r="O1281" t="str">
        <f>IFERROR(_xlfn.XLOOKUP($A1281,'Base SKUs'!$E:$E,'Base SKUs'!I:I),"")</f>
        <v>OPX</v>
      </c>
      <c r="P1281" t="str">
        <f>IFERROR(_xlfn.XLOOKUP($A1281,'Base SKUs'!$E:$E,'Base SKUs'!J:J),"")</f>
        <v>5/4x6</v>
      </c>
      <c r="Q1281">
        <f>IFERROR(_xlfn.XLOOKUP($A1281,'Base SKUs'!$E:$E,'Base SKUs'!K:K),"")</f>
        <v>14</v>
      </c>
      <c r="R1281" s="7">
        <f>IFERROR(_xlfn.XLOOKUP($A1281,'Base SKUs'!$E:$E,'Base SKUs'!S:S),"")</f>
        <v>1.4489999999999999E-2</v>
      </c>
      <c r="S1281" s="8">
        <f t="shared" si="97"/>
        <v>0</v>
      </c>
      <c r="T1281" s="7">
        <f>IFERROR(_xlfn.XLOOKUP($A1281,'Base SKUs'!$E:$E,'Base SKUs'!R:R),"")</f>
        <v>950.96799999999996</v>
      </c>
      <c r="U1281" s="15">
        <f t="shared" si="98"/>
        <v>0</v>
      </c>
      <c r="V1281" t="str">
        <f t="shared" si="99"/>
        <v>Miami</v>
      </c>
    </row>
    <row r="1282" spans="1:22" x14ac:dyDescent="0.2">
      <c r="A1282" t="s">
        <v>1710</v>
      </c>
      <c r="B1282" s="5">
        <v>140</v>
      </c>
      <c r="C1282" s="5">
        <v>0</v>
      </c>
      <c r="D1282" s="5">
        <f t="shared" ref="D1282:D1345" si="100">B1282-C1282</f>
        <v>140</v>
      </c>
      <c r="E1282" s="6">
        <v>28.280100000000001</v>
      </c>
      <c r="F1282" s="6">
        <f t="shared" ref="F1282:F1345" si="101">B1282*E1282</f>
        <v>3959.2139999999999</v>
      </c>
      <c r="G1282" t="s">
        <v>24</v>
      </c>
      <c r="H1282">
        <v>9008</v>
      </c>
      <c r="I1282" t="str">
        <f>IFERROR(_xlfn.XLOOKUP($A1282,'Base SKUs'!$E:$E,'Base SKUs'!A:A),"")</f>
        <v>Radiata</v>
      </c>
      <c r="J1282" t="str">
        <f>IFERROR(_xlfn.XLOOKUP($A1282,'Base SKUs'!$E:$E,'Base SKUs'!B:B),"")</f>
        <v>Radiata 5/4x6</v>
      </c>
      <c r="K1282" t="str">
        <f>IFERROR(_xlfn.XLOOKUP($A1282,'Base SKUs'!$E:$E,'Base SKUs'!C:C),"")</f>
        <v>Long</v>
      </c>
      <c r="L1282" t="str">
        <f>IFERROR(_xlfn.XLOOKUP($A1282,'Base SKUs'!$E:$E,'Base SKUs'!D:D),"")</f>
        <v>Thermowood</v>
      </c>
      <c r="M1282" t="str">
        <f>IFERROR(_xlfn.XLOOKUP($A1282,'Base SKUs'!$E:$E,'Base SKUs'!G:G),"")</f>
        <v>Maximo Thermo Clear Radiata</v>
      </c>
      <c r="N1282" t="str">
        <f>IFERROR(_xlfn.XLOOKUP($A1282,'Base SKUs'!$E:$E,'Base SKUs'!H:H),"")</f>
        <v>S4S E4E</v>
      </c>
      <c r="O1282" t="str">
        <f>IFERROR(_xlfn.XLOOKUP($A1282,'Base SKUs'!$E:$E,'Base SKUs'!I:I),"")</f>
        <v>OPX</v>
      </c>
      <c r="P1282" t="str">
        <f>IFERROR(_xlfn.XLOOKUP($A1282,'Base SKUs'!$E:$E,'Base SKUs'!J:J),"")</f>
        <v>5/4x6</v>
      </c>
      <c r="Q1282">
        <f>IFERROR(_xlfn.XLOOKUP($A1282,'Base SKUs'!$E:$E,'Base SKUs'!K:K),"")</f>
        <v>14</v>
      </c>
      <c r="R1282" s="7">
        <f>IFERROR(_xlfn.XLOOKUP($A1282,'Base SKUs'!$E:$E,'Base SKUs'!S:S),"")</f>
        <v>1.4489999999999999E-2</v>
      </c>
      <c r="S1282" s="8">
        <f t="shared" ref="S1282:S1345" si="102">IF(OR(L1282="Saicos",L1282="Oil",L1282="US4",L1282="Wood Table",L1282="Woca",L1282="Norx",N1282="Tiles"),D1282,D1282*R1282)</f>
        <v>2.0286</v>
      </c>
      <c r="T1282" s="7">
        <f>IFERROR(_xlfn.XLOOKUP($A1282,'Base SKUs'!$E:$E,'Base SKUs'!R:R),"")</f>
        <v>950.96799999999996</v>
      </c>
      <c r="U1282" s="15">
        <f t="shared" ref="U1282:U1345" si="103">ROUND(IF(OR(L1282="Saicos",L1282="Oil",L1282="US4",L1282="Wood Table",L1282="Woca",L1282="Norx",N1282="Tiles"),D1282,S1282*T1282),0)</f>
        <v>1929</v>
      </c>
      <c r="V1282" t="str">
        <f t="shared" ref="V1282:V1345" si="104">IF(H1282=9007,"Miami",IF(H1282=9008,"Texas",IF(H1282=9009,"Boston",IF(H1282=9010,"BS Detroit",IF(H1282=9011,"New York",IF(H1282=9012,"HW Perris",IF(H1282=9013,"BS Riverside",IF(H1282=9014,"On the Way",IF(H1282=9015,"Russin",IF(H1282=9016,"Palm Beach",""))))))))))</f>
        <v>Texas</v>
      </c>
    </row>
    <row r="1283" spans="1:22" x14ac:dyDescent="0.2">
      <c r="A1283" t="s">
        <v>1710</v>
      </c>
      <c r="B1283" s="5">
        <v>5</v>
      </c>
      <c r="C1283" s="5">
        <v>5</v>
      </c>
      <c r="D1283" s="5">
        <f t="shared" si="100"/>
        <v>0</v>
      </c>
      <c r="E1283" s="6">
        <v>28.280100000000001</v>
      </c>
      <c r="F1283" s="6">
        <f t="shared" si="101"/>
        <v>141.40049999999999</v>
      </c>
      <c r="G1283" t="s">
        <v>330</v>
      </c>
      <c r="H1283">
        <v>9011</v>
      </c>
      <c r="I1283" t="str">
        <f>IFERROR(_xlfn.XLOOKUP($A1283,'Base SKUs'!$E:$E,'Base SKUs'!A:A),"")</f>
        <v>Radiata</v>
      </c>
      <c r="J1283" t="str">
        <f>IFERROR(_xlfn.XLOOKUP($A1283,'Base SKUs'!$E:$E,'Base SKUs'!B:B),"")</f>
        <v>Radiata 5/4x6</v>
      </c>
      <c r="K1283" t="str">
        <f>IFERROR(_xlfn.XLOOKUP($A1283,'Base SKUs'!$E:$E,'Base SKUs'!C:C),"")</f>
        <v>Long</v>
      </c>
      <c r="L1283" t="str">
        <f>IFERROR(_xlfn.XLOOKUP($A1283,'Base SKUs'!$E:$E,'Base SKUs'!D:D),"")</f>
        <v>Thermowood</v>
      </c>
      <c r="M1283" t="str">
        <f>IFERROR(_xlfn.XLOOKUP($A1283,'Base SKUs'!$E:$E,'Base SKUs'!G:G),"")</f>
        <v>Maximo Thermo Clear Radiata</v>
      </c>
      <c r="N1283" t="str">
        <f>IFERROR(_xlfn.XLOOKUP($A1283,'Base SKUs'!$E:$E,'Base SKUs'!H:H),"")</f>
        <v>S4S E4E</v>
      </c>
      <c r="O1283" t="str">
        <f>IFERROR(_xlfn.XLOOKUP($A1283,'Base SKUs'!$E:$E,'Base SKUs'!I:I),"")</f>
        <v>OPX</v>
      </c>
      <c r="P1283" t="str">
        <f>IFERROR(_xlfn.XLOOKUP($A1283,'Base SKUs'!$E:$E,'Base SKUs'!J:J),"")</f>
        <v>5/4x6</v>
      </c>
      <c r="Q1283">
        <f>IFERROR(_xlfn.XLOOKUP($A1283,'Base SKUs'!$E:$E,'Base SKUs'!K:K),"")</f>
        <v>14</v>
      </c>
      <c r="R1283" s="7">
        <f>IFERROR(_xlfn.XLOOKUP($A1283,'Base SKUs'!$E:$E,'Base SKUs'!S:S),"")</f>
        <v>1.4489999999999999E-2</v>
      </c>
      <c r="S1283" s="8">
        <f t="shared" si="102"/>
        <v>0</v>
      </c>
      <c r="T1283" s="7">
        <f>IFERROR(_xlfn.XLOOKUP($A1283,'Base SKUs'!$E:$E,'Base SKUs'!R:R),"")</f>
        <v>950.96799999999996</v>
      </c>
      <c r="U1283" s="15">
        <f t="shared" si="103"/>
        <v>0</v>
      </c>
      <c r="V1283" t="str">
        <f t="shared" si="104"/>
        <v>New York</v>
      </c>
    </row>
    <row r="1284" spans="1:22" x14ac:dyDescent="0.2">
      <c r="A1284" t="s">
        <v>1712</v>
      </c>
      <c r="B1284" s="5">
        <v>161</v>
      </c>
      <c r="C1284" s="5">
        <v>161</v>
      </c>
      <c r="D1284" s="5">
        <f t="shared" si="100"/>
        <v>0</v>
      </c>
      <c r="E1284" s="6">
        <v>33.149099999999997</v>
      </c>
      <c r="F1284" s="6">
        <f t="shared" si="101"/>
        <v>5337.0050999999994</v>
      </c>
      <c r="G1284" t="s">
        <v>17</v>
      </c>
      <c r="H1284">
        <v>9007</v>
      </c>
      <c r="I1284" t="str">
        <f>IFERROR(_xlfn.XLOOKUP($A1284,'Base SKUs'!$E:$E,'Base SKUs'!A:A),"")</f>
        <v>Radiata</v>
      </c>
      <c r="J1284" t="str">
        <f>IFERROR(_xlfn.XLOOKUP($A1284,'Base SKUs'!$E:$E,'Base SKUs'!B:B),"")</f>
        <v>Radiata 5/4x6</v>
      </c>
      <c r="K1284" t="str">
        <f>IFERROR(_xlfn.XLOOKUP($A1284,'Base SKUs'!$E:$E,'Base SKUs'!C:C),"")</f>
        <v>Long</v>
      </c>
      <c r="L1284" t="str">
        <f>IFERROR(_xlfn.XLOOKUP($A1284,'Base SKUs'!$E:$E,'Base SKUs'!D:D),"")</f>
        <v>Thermowood</v>
      </c>
      <c r="M1284" t="str">
        <f>IFERROR(_xlfn.XLOOKUP($A1284,'Base SKUs'!$E:$E,'Base SKUs'!G:G),"")</f>
        <v>Maximo Thermo Clear Radiata</v>
      </c>
      <c r="N1284" t="str">
        <f>IFERROR(_xlfn.XLOOKUP($A1284,'Base SKUs'!$E:$E,'Base SKUs'!H:H),"")</f>
        <v>S4S E4E</v>
      </c>
      <c r="O1284" t="str">
        <f>IFERROR(_xlfn.XLOOKUP($A1284,'Base SKUs'!$E:$E,'Base SKUs'!I:I),"")</f>
        <v>OPX</v>
      </c>
      <c r="P1284" t="str">
        <f>IFERROR(_xlfn.XLOOKUP($A1284,'Base SKUs'!$E:$E,'Base SKUs'!J:J),"")</f>
        <v>5/4x6</v>
      </c>
      <c r="Q1284">
        <f>IFERROR(_xlfn.XLOOKUP($A1284,'Base SKUs'!$E:$E,'Base SKUs'!K:K),"")</f>
        <v>16</v>
      </c>
      <c r="R1284" s="7">
        <f>IFERROR(_xlfn.XLOOKUP($A1284,'Base SKUs'!$E:$E,'Base SKUs'!S:S),"")</f>
        <v>1.6559999999999998E-2</v>
      </c>
      <c r="S1284" s="8">
        <f t="shared" si="102"/>
        <v>0</v>
      </c>
      <c r="T1284" s="7">
        <f>IFERROR(_xlfn.XLOOKUP($A1284,'Base SKUs'!$E:$E,'Base SKUs'!R:R),"")</f>
        <v>950.96799999999996</v>
      </c>
      <c r="U1284" s="15">
        <f t="shared" si="103"/>
        <v>0</v>
      </c>
      <c r="V1284" t="str">
        <f t="shared" si="104"/>
        <v>Miami</v>
      </c>
    </row>
    <row r="1285" spans="1:22" x14ac:dyDescent="0.2">
      <c r="A1285" t="s">
        <v>1712</v>
      </c>
      <c r="B1285" s="5">
        <v>63</v>
      </c>
      <c r="C1285" s="5">
        <v>0</v>
      </c>
      <c r="D1285" s="5">
        <f t="shared" si="100"/>
        <v>63</v>
      </c>
      <c r="E1285" s="6">
        <v>32.320099999999996</v>
      </c>
      <c r="F1285" s="6">
        <f t="shared" si="101"/>
        <v>2036.1662999999999</v>
      </c>
      <c r="G1285" t="s">
        <v>24</v>
      </c>
      <c r="H1285">
        <v>9008</v>
      </c>
      <c r="I1285" t="str">
        <f>IFERROR(_xlfn.XLOOKUP($A1285,'Base SKUs'!$E:$E,'Base SKUs'!A:A),"")</f>
        <v>Radiata</v>
      </c>
      <c r="J1285" t="str">
        <f>IFERROR(_xlfn.XLOOKUP($A1285,'Base SKUs'!$E:$E,'Base SKUs'!B:B),"")</f>
        <v>Radiata 5/4x6</v>
      </c>
      <c r="K1285" t="str">
        <f>IFERROR(_xlfn.XLOOKUP($A1285,'Base SKUs'!$E:$E,'Base SKUs'!C:C),"")</f>
        <v>Long</v>
      </c>
      <c r="L1285" t="str">
        <f>IFERROR(_xlfn.XLOOKUP($A1285,'Base SKUs'!$E:$E,'Base SKUs'!D:D),"")</f>
        <v>Thermowood</v>
      </c>
      <c r="M1285" t="str">
        <f>IFERROR(_xlfn.XLOOKUP($A1285,'Base SKUs'!$E:$E,'Base SKUs'!G:G),"")</f>
        <v>Maximo Thermo Clear Radiata</v>
      </c>
      <c r="N1285" t="str">
        <f>IFERROR(_xlfn.XLOOKUP($A1285,'Base SKUs'!$E:$E,'Base SKUs'!H:H),"")</f>
        <v>S4S E4E</v>
      </c>
      <c r="O1285" t="str">
        <f>IFERROR(_xlfn.XLOOKUP($A1285,'Base SKUs'!$E:$E,'Base SKUs'!I:I),"")</f>
        <v>OPX</v>
      </c>
      <c r="P1285" t="str">
        <f>IFERROR(_xlfn.XLOOKUP($A1285,'Base SKUs'!$E:$E,'Base SKUs'!J:J),"")</f>
        <v>5/4x6</v>
      </c>
      <c r="Q1285">
        <f>IFERROR(_xlfn.XLOOKUP($A1285,'Base SKUs'!$E:$E,'Base SKUs'!K:K),"")</f>
        <v>16</v>
      </c>
      <c r="R1285" s="7">
        <f>IFERROR(_xlfn.XLOOKUP($A1285,'Base SKUs'!$E:$E,'Base SKUs'!S:S),"")</f>
        <v>1.6559999999999998E-2</v>
      </c>
      <c r="S1285" s="8">
        <f t="shared" si="102"/>
        <v>1.04328</v>
      </c>
      <c r="T1285" s="7">
        <f>IFERROR(_xlfn.XLOOKUP($A1285,'Base SKUs'!$E:$E,'Base SKUs'!R:R),"")</f>
        <v>950.96799999999996</v>
      </c>
      <c r="U1285" s="15">
        <f t="shared" si="103"/>
        <v>992</v>
      </c>
      <c r="V1285" t="str">
        <f t="shared" si="104"/>
        <v>Texas</v>
      </c>
    </row>
    <row r="1286" spans="1:22" x14ac:dyDescent="0.2">
      <c r="A1286" t="s">
        <v>1714</v>
      </c>
      <c r="B1286" s="5">
        <v>1210</v>
      </c>
      <c r="C1286" s="5">
        <v>50</v>
      </c>
      <c r="D1286" s="5">
        <f t="shared" si="100"/>
        <v>1160</v>
      </c>
      <c r="E1286" s="6">
        <v>7.5312000000000001</v>
      </c>
      <c r="F1286" s="6">
        <f t="shared" si="101"/>
        <v>9112.7520000000004</v>
      </c>
      <c r="G1286" t="s">
        <v>17</v>
      </c>
      <c r="H1286">
        <v>9007</v>
      </c>
      <c r="I1286" t="str">
        <f>IFERROR(_xlfn.XLOOKUP($A1286,'Base SKUs'!$E:$E,'Base SKUs'!A:A),"")</f>
        <v>Radiata</v>
      </c>
      <c r="J1286" t="str">
        <f>IFERROR(_xlfn.XLOOKUP($A1286,'Base SKUs'!$E:$E,'Base SKUs'!B:B),"")</f>
        <v>Radiata 3/8x4</v>
      </c>
      <c r="K1286" t="str">
        <f>IFERROR(_xlfn.XLOOKUP($A1286,'Base SKUs'!$E:$E,'Base SKUs'!C:C),"")</f>
        <v>Long</v>
      </c>
      <c r="L1286" t="str">
        <f>IFERROR(_xlfn.XLOOKUP($A1286,'Base SKUs'!$E:$E,'Base SKUs'!D:D),"")</f>
        <v>Thermowood</v>
      </c>
      <c r="M1286" t="str">
        <f>IFERROR(_xlfn.XLOOKUP($A1286,'Base SKUs'!$E:$E,'Base SKUs'!G:G),"")</f>
        <v>Maximo Thermo Clear Radiata</v>
      </c>
      <c r="N1286" t="str">
        <f>IFERROR(_xlfn.XLOOKUP($A1286,'Base SKUs'!$E:$E,'Base SKUs'!H:H),"")</f>
        <v>VJoint - Square Back</v>
      </c>
      <c r="O1286" t="str">
        <f>IFERROR(_xlfn.XLOOKUP($A1286,'Base SKUs'!$E:$E,'Base SKUs'!I:I),"")</f>
        <v>-</v>
      </c>
      <c r="P1286" t="str">
        <f>IFERROR(_xlfn.XLOOKUP($A1286,'Base SKUs'!$E:$E,'Base SKUs'!J:J),"")</f>
        <v>3/8x4</v>
      </c>
      <c r="Q1286">
        <f>IFERROR(_xlfn.XLOOKUP($A1286,'Base SKUs'!$E:$E,'Base SKUs'!K:K),"")</f>
        <v>10</v>
      </c>
      <c r="R1286" s="7">
        <f>IFERROR(_xlfn.XLOOKUP($A1286,'Base SKUs'!$E:$E,'Base SKUs'!S:S),"")</f>
        <v>2.6999999999999997E-3</v>
      </c>
      <c r="S1286" s="8">
        <f t="shared" si="102"/>
        <v>3.1319999999999997</v>
      </c>
      <c r="T1286" s="7">
        <f>IFERROR(_xlfn.XLOOKUP($A1286,'Base SKUs'!$E:$E,'Base SKUs'!R:R),"")</f>
        <v>3645.3780000000002</v>
      </c>
      <c r="U1286" s="15">
        <f t="shared" si="103"/>
        <v>11417</v>
      </c>
      <c r="V1286" t="str">
        <f t="shared" si="104"/>
        <v>Miami</v>
      </c>
    </row>
    <row r="1287" spans="1:22" x14ac:dyDescent="0.2">
      <c r="A1287" t="s">
        <v>1716</v>
      </c>
      <c r="B1287" s="5">
        <v>388</v>
      </c>
      <c r="C1287" s="5">
        <v>54</v>
      </c>
      <c r="D1287" s="5">
        <f t="shared" si="100"/>
        <v>334</v>
      </c>
      <c r="E1287" s="6">
        <v>8.2843999999999998</v>
      </c>
      <c r="F1287" s="6">
        <f t="shared" si="101"/>
        <v>3214.3471999999997</v>
      </c>
      <c r="G1287" t="s">
        <v>17</v>
      </c>
      <c r="H1287">
        <v>9007</v>
      </c>
      <c r="I1287" t="str">
        <f>IFERROR(_xlfn.XLOOKUP($A1287,'Base SKUs'!$E:$E,'Base SKUs'!A:A),"")</f>
        <v>Radiata</v>
      </c>
      <c r="J1287" t="str">
        <f>IFERROR(_xlfn.XLOOKUP($A1287,'Base SKUs'!$E:$E,'Base SKUs'!B:B),"")</f>
        <v>Radiata 3/8x4</v>
      </c>
      <c r="K1287" t="str">
        <f>IFERROR(_xlfn.XLOOKUP($A1287,'Base SKUs'!$E:$E,'Base SKUs'!C:C),"")</f>
        <v>Long</v>
      </c>
      <c r="L1287" t="str">
        <f>IFERROR(_xlfn.XLOOKUP($A1287,'Base SKUs'!$E:$E,'Base SKUs'!D:D),"")</f>
        <v>Thermowood</v>
      </c>
      <c r="M1287" t="str">
        <f>IFERROR(_xlfn.XLOOKUP($A1287,'Base SKUs'!$E:$E,'Base SKUs'!G:G),"")</f>
        <v>Maximo Thermo Clear Radiata</v>
      </c>
      <c r="N1287" t="str">
        <f>IFERROR(_xlfn.XLOOKUP($A1287,'Base SKUs'!$E:$E,'Base SKUs'!H:H),"")</f>
        <v>VJoint - Square Back</v>
      </c>
      <c r="O1287" t="str">
        <f>IFERROR(_xlfn.XLOOKUP($A1287,'Base SKUs'!$E:$E,'Base SKUs'!I:I),"")</f>
        <v>-</v>
      </c>
      <c r="P1287" t="str">
        <f>IFERROR(_xlfn.XLOOKUP($A1287,'Base SKUs'!$E:$E,'Base SKUs'!J:J),"")</f>
        <v>3/8x4</v>
      </c>
      <c r="Q1287">
        <f>IFERROR(_xlfn.XLOOKUP($A1287,'Base SKUs'!$E:$E,'Base SKUs'!K:K),"")</f>
        <v>11</v>
      </c>
      <c r="R1287" s="7">
        <f>IFERROR(_xlfn.XLOOKUP($A1287,'Base SKUs'!$E:$E,'Base SKUs'!S:S),"")</f>
        <v>2.97E-3</v>
      </c>
      <c r="S1287" s="8">
        <f t="shared" si="102"/>
        <v>0.99197999999999997</v>
      </c>
      <c r="T1287" s="7">
        <f>IFERROR(_xlfn.XLOOKUP($A1287,'Base SKUs'!$E:$E,'Base SKUs'!R:R),"")</f>
        <v>3645.3780000000002</v>
      </c>
      <c r="U1287" s="15">
        <f t="shared" si="103"/>
        <v>3616</v>
      </c>
      <c r="V1287" t="str">
        <f t="shared" si="104"/>
        <v>Miami</v>
      </c>
    </row>
    <row r="1288" spans="1:22" x14ac:dyDescent="0.2">
      <c r="A1288" t="s">
        <v>1718</v>
      </c>
      <c r="B1288" s="5">
        <v>1098</v>
      </c>
      <c r="C1288" s="5">
        <v>80</v>
      </c>
      <c r="D1288" s="5">
        <f t="shared" si="100"/>
        <v>1018</v>
      </c>
      <c r="E1288" s="6">
        <v>9.0374999999999996</v>
      </c>
      <c r="F1288" s="6">
        <f t="shared" si="101"/>
        <v>9923.1749999999993</v>
      </c>
      <c r="G1288" t="s">
        <v>17</v>
      </c>
      <c r="H1288">
        <v>9007</v>
      </c>
      <c r="I1288" t="str">
        <f>IFERROR(_xlfn.XLOOKUP($A1288,'Base SKUs'!$E:$E,'Base SKUs'!A:A),"")</f>
        <v>Radiata</v>
      </c>
      <c r="J1288" t="str">
        <f>IFERROR(_xlfn.XLOOKUP($A1288,'Base SKUs'!$E:$E,'Base SKUs'!B:B),"")</f>
        <v>Radiata 3/8x4</v>
      </c>
      <c r="K1288" t="str">
        <f>IFERROR(_xlfn.XLOOKUP($A1288,'Base SKUs'!$E:$E,'Base SKUs'!C:C),"")</f>
        <v>Long</v>
      </c>
      <c r="L1288" t="str">
        <f>IFERROR(_xlfn.XLOOKUP($A1288,'Base SKUs'!$E:$E,'Base SKUs'!D:D),"")</f>
        <v>Thermowood</v>
      </c>
      <c r="M1288" t="str">
        <f>IFERROR(_xlfn.XLOOKUP($A1288,'Base SKUs'!$E:$E,'Base SKUs'!G:G),"")</f>
        <v>Maximo Thermo Clear Radiata</v>
      </c>
      <c r="N1288" t="str">
        <f>IFERROR(_xlfn.XLOOKUP($A1288,'Base SKUs'!$E:$E,'Base SKUs'!H:H),"")</f>
        <v>VJoint - Square Back</v>
      </c>
      <c r="O1288" t="str">
        <f>IFERROR(_xlfn.XLOOKUP($A1288,'Base SKUs'!$E:$E,'Base SKUs'!I:I),"")</f>
        <v>-</v>
      </c>
      <c r="P1288" t="str">
        <f>IFERROR(_xlfn.XLOOKUP($A1288,'Base SKUs'!$E:$E,'Base SKUs'!J:J),"")</f>
        <v>3/8x4</v>
      </c>
      <c r="Q1288">
        <f>IFERROR(_xlfn.XLOOKUP($A1288,'Base SKUs'!$E:$E,'Base SKUs'!K:K),"")</f>
        <v>12</v>
      </c>
      <c r="R1288" s="7">
        <f>IFERROR(_xlfn.XLOOKUP($A1288,'Base SKUs'!$E:$E,'Base SKUs'!S:S),"")</f>
        <v>3.2399999999999998E-3</v>
      </c>
      <c r="S1288" s="8">
        <f t="shared" si="102"/>
        <v>3.2983199999999999</v>
      </c>
      <c r="T1288" s="7">
        <f>IFERROR(_xlfn.XLOOKUP($A1288,'Base SKUs'!$E:$E,'Base SKUs'!R:R),"")</f>
        <v>3645.3780000000002</v>
      </c>
      <c r="U1288" s="15">
        <f t="shared" si="103"/>
        <v>12024</v>
      </c>
      <c r="V1288" t="str">
        <f t="shared" si="104"/>
        <v>Miami</v>
      </c>
    </row>
    <row r="1289" spans="1:22" x14ac:dyDescent="0.2">
      <c r="A1289" t="s">
        <v>1720</v>
      </c>
      <c r="B1289" s="5">
        <v>497</v>
      </c>
      <c r="C1289" s="5">
        <v>27</v>
      </c>
      <c r="D1289" s="5">
        <f t="shared" si="100"/>
        <v>470</v>
      </c>
      <c r="E1289" s="6">
        <v>9.7905999999999995</v>
      </c>
      <c r="F1289" s="6">
        <f t="shared" si="101"/>
        <v>4865.9281999999994</v>
      </c>
      <c r="G1289" t="s">
        <v>17</v>
      </c>
      <c r="H1289">
        <v>9007</v>
      </c>
      <c r="I1289" t="str">
        <f>IFERROR(_xlfn.XLOOKUP($A1289,'Base SKUs'!$E:$E,'Base SKUs'!A:A),"")</f>
        <v>Radiata</v>
      </c>
      <c r="J1289" t="str">
        <f>IFERROR(_xlfn.XLOOKUP($A1289,'Base SKUs'!$E:$E,'Base SKUs'!B:B),"")</f>
        <v>Radiata 3/8x4</v>
      </c>
      <c r="K1289" t="str">
        <f>IFERROR(_xlfn.XLOOKUP($A1289,'Base SKUs'!$E:$E,'Base SKUs'!C:C),"")</f>
        <v>Long</v>
      </c>
      <c r="L1289" t="str">
        <f>IFERROR(_xlfn.XLOOKUP($A1289,'Base SKUs'!$E:$E,'Base SKUs'!D:D),"")</f>
        <v>Thermowood</v>
      </c>
      <c r="M1289" t="str">
        <f>IFERROR(_xlfn.XLOOKUP($A1289,'Base SKUs'!$E:$E,'Base SKUs'!G:G),"")</f>
        <v>Maximo Thermo Clear Radiata</v>
      </c>
      <c r="N1289" t="str">
        <f>IFERROR(_xlfn.XLOOKUP($A1289,'Base SKUs'!$E:$E,'Base SKUs'!H:H),"")</f>
        <v>VJoint - Square Back</v>
      </c>
      <c r="O1289" t="str">
        <f>IFERROR(_xlfn.XLOOKUP($A1289,'Base SKUs'!$E:$E,'Base SKUs'!I:I),"")</f>
        <v>-</v>
      </c>
      <c r="P1289" t="str">
        <f>IFERROR(_xlfn.XLOOKUP($A1289,'Base SKUs'!$E:$E,'Base SKUs'!J:J),"")</f>
        <v>3/8x4</v>
      </c>
      <c r="Q1289">
        <f>IFERROR(_xlfn.XLOOKUP($A1289,'Base SKUs'!$E:$E,'Base SKUs'!K:K),"")</f>
        <v>13</v>
      </c>
      <c r="R1289" s="7">
        <f>IFERROR(_xlfn.XLOOKUP($A1289,'Base SKUs'!$E:$E,'Base SKUs'!S:S),"")</f>
        <v>3.5099999999999997E-3</v>
      </c>
      <c r="S1289" s="8">
        <f t="shared" si="102"/>
        <v>1.6496999999999999</v>
      </c>
      <c r="T1289" s="7">
        <f>IFERROR(_xlfn.XLOOKUP($A1289,'Base SKUs'!$E:$E,'Base SKUs'!R:R),"")</f>
        <v>3645.3780000000002</v>
      </c>
      <c r="U1289" s="15">
        <f t="shared" si="103"/>
        <v>6014</v>
      </c>
      <c r="V1289" t="str">
        <f t="shared" si="104"/>
        <v>Miami</v>
      </c>
    </row>
    <row r="1290" spans="1:22" x14ac:dyDescent="0.2">
      <c r="A1290" t="s">
        <v>1722</v>
      </c>
      <c r="B1290" s="5">
        <v>9033</v>
      </c>
      <c r="C1290" s="5">
        <v>100</v>
      </c>
      <c r="D1290" s="5">
        <f t="shared" si="100"/>
        <v>8933</v>
      </c>
      <c r="E1290" s="6">
        <v>10.543699999999999</v>
      </c>
      <c r="F1290" s="6">
        <f t="shared" si="101"/>
        <v>95241.242099999989</v>
      </c>
      <c r="G1290" t="s">
        <v>17</v>
      </c>
      <c r="H1290">
        <v>9007</v>
      </c>
      <c r="I1290" t="str">
        <f>IFERROR(_xlfn.XLOOKUP($A1290,'Base SKUs'!$E:$E,'Base SKUs'!A:A),"")</f>
        <v>Radiata</v>
      </c>
      <c r="J1290" t="str">
        <f>IFERROR(_xlfn.XLOOKUP($A1290,'Base SKUs'!$E:$E,'Base SKUs'!B:B),"")</f>
        <v>Radiata 3/8x4</v>
      </c>
      <c r="K1290" t="str">
        <f>IFERROR(_xlfn.XLOOKUP($A1290,'Base SKUs'!$E:$E,'Base SKUs'!C:C),"")</f>
        <v>Long</v>
      </c>
      <c r="L1290" t="str">
        <f>IFERROR(_xlfn.XLOOKUP($A1290,'Base SKUs'!$E:$E,'Base SKUs'!D:D),"")</f>
        <v>Thermowood</v>
      </c>
      <c r="M1290" t="str">
        <f>IFERROR(_xlfn.XLOOKUP($A1290,'Base SKUs'!$E:$E,'Base SKUs'!G:G),"")</f>
        <v>Maximo Thermo Clear Radiata</v>
      </c>
      <c r="N1290" t="str">
        <f>IFERROR(_xlfn.XLOOKUP($A1290,'Base SKUs'!$E:$E,'Base SKUs'!H:H),"")</f>
        <v>VJoint - Square Back</v>
      </c>
      <c r="O1290" t="str">
        <f>IFERROR(_xlfn.XLOOKUP($A1290,'Base SKUs'!$E:$E,'Base SKUs'!I:I),"")</f>
        <v>-</v>
      </c>
      <c r="P1290" t="str">
        <f>IFERROR(_xlfn.XLOOKUP($A1290,'Base SKUs'!$E:$E,'Base SKUs'!J:J),"")</f>
        <v>3/8x4</v>
      </c>
      <c r="Q1290">
        <f>IFERROR(_xlfn.XLOOKUP($A1290,'Base SKUs'!$E:$E,'Base SKUs'!K:K),"")</f>
        <v>14</v>
      </c>
      <c r="R1290" s="7">
        <f>IFERROR(_xlfn.XLOOKUP($A1290,'Base SKUs'!$E:$E,'Base SKUs'!S:S),"")</f>
        <v>3.7800000000000004E-3</v>
      </c>
      <c r="S1290" s="8">
        <f t="shared" si="102"/>
        <v>33.766740000000006</v>
      </c>
      <c r="T1290" s="7">
        <f>IFERROR(_xlfn.XLOOKUP($A1290,'Base SKUs'!$E:$E,'Base SKUs'!R:R),"")</f>
        <v>3645.3780000000002</v>
      </c>
      <c r="U1290" s="15">
        <f t="shared" si="103"/>
        <v>123093</v>
      </c>
      <c r="V1290" t="str">
        <f t="shared" si="104"/>
        <v>Miami</v>
      </c>
    </row>
    <row r="1291" spans="1:22" x14ac:dyDescent="0.2">
      <c r="A1291" t="s">
        <v>1724</v>
      </c>
      <c r="B1291" s="5">
        <v>155</v>
      </c>
      <c r="C1291" s="5">
        <v>20</v>
      </c>
      <c r="D1291" s="5">
        <f t="shared" si="100"/>
        <v>135</v>
      </c>
      <c r="E1291" s="6">
        <v>12.05</v>
      </c>
      <c r="F1291" s="6">
        <f t="shared" si="101"/>
        <v>1867.75</v>
      </c>
      <c r="G1291" t="s">
        <v>17</v>
      </c>
      <c r="H1291">
        <v>9007</v>
      </c>
      <c r="I1291" t="str">
        <f>IFERROR(_xlfn.XLOOKUP($A1291,'Base SKUs'!$E:$E,'Base SKUs'!A:A),"")</f>
        <v>Radiata</v>
      </c>
      <c r="J1291" t="str">
        <f>IFERROR(_xlfn.XLOOKUP($A1291,'Base SKUs'!$E:$E,'Base SKUs'!B:B),"")</f>
        <v>Radiata 3/8x4</v>
      </c>
      <c r="K1291" t="str">
        <f>IFERROR(_xlfn.XLOOKUP($A1291,'Base SKUs'!$E:$E,'Base SKUs'!C:C),"")</f>
        <v>Long</v>
      </c>
      <c r="L1291" t="str">
        <f>IFERROR(_xlfn.XLOOKUP($A1291,'Base SKUs'!$E:$E,'Base SKUs'!D:D),"")</f>
        <v>Thermowood</v>
      </c>
      <c r="M1291" t="str">
        <f>IFERROR(_xlfn.XLOOKUP($A1291,'Base SKUs'!$E:$E,'Base SKUs'!G:G),"")</f>
        <v>Maximo Thermo Clear Radiata</v>
      </c>
      <c r="N1291" t="str">
        <f>IFERROR(_xlfn.XLOOKUP($A1291,'Base SKUs'!$E:$E,'Base SKUs'!H:H),"")</f>
        <v>VJoint - Square Back</v>
      </c>
      <c r="O1291" t="str">
        <f>IFERROR(_xlfn.XLOOKUP($A1291,'Base SKUs'!$E:$E,'Base SKUs'!I:I),"")</f>
        <v>-</v>
      </c>
      <c r="P1291" t="str">
        <f>IFERROR(_xlfn.XLOOKUP($A1291,'Base SKUs'!$E:$E,'Base SKUs'!J:J),"")</f>
        <v>3/8x4</v>
      </c>
      <c r="Q1291">
        <f>IFERROR(_xlfn.XLOOKUP($A1291,'Base SKUs'!$E:$E,'Base SKUs'!K:K),"")</f>
        <v>16</v>
      </c>
      <c r="R1291" s="7">
        <f>IFERROR(_xlfn.XLOOKUP($A1291,'Base SKUs'!$E:$E,'Base SKUs'!S:S),"")</f>
        <v>4.3200000000000001E-3</v>
      </c>
      <c r="S1291" s="8">
        <f t="shared" si="102"/>
        <v>0.58320000000000005</v>
      </c>
      <c r="T1291" s="7">
        <f>IFERROR(_xlfn.XLOOKUP($A1291,'Base SKUs'!$E:$E,'Base SKUs'!R:R),"")</f>
        <v>3645.3780000000002</v>
      </c>
      <c r="U1291" s="15">
        <f t="shared" si="103"/>
        <v>2126</v>
      </c>
      <c r="V1291" t="str">
        <f t="shared" si="104"/>
        <v>Miami</v>
      </c>
    </row>
    <row r="1292" spans="1:22" x14ac:dyDescent="0.2">
      <c r="A1292" t="s">
        <v>1726</v>
      </c>
      <c r="B1292" s="5">
        <v>263</v>
      </c>
      <c r="C1292" s="5">
        <v>42</v>
      </c>
      <c r="D1292" s="5">
        <f t="shared" si="100"/>
        <v>221</v>
      </c>
      <c r="E1292" s="6">
        <v>3.0125000000000002</v>
      </c>
      <c r="F1292" s="6">
        <f t="shared" si="101"/>
        <v>792.28750000000002</v>
      </c>
      <c r="G1292" t="s">
        <v>17</v>
      </c>
      <c r="H1292">
        <v>9007</v>
      </c>
      <c r="I1292" t="str">
        <f>IFERROR(_xlfn.XLOOKUP($A1292,'Base SKUs'!$E:$E,'Base SKUs'!A:A),"")</f>
        <v>Radiata</v>
      </c>
      <c r="J1292" t="str">
        <f>IFERROR(_xlfn.XLOOKUP($A1292,'Base SKUs'!$E:$E,'Base SKUs'!B:B),"")</f>
        <v>Radiata 3/8x4</v>
      </c>
      <c r="K1292" t="str">
        <f>IFERROR(_xlfn.XLOOKUP($A1292,'Base SKUs'!$E:$E,'Base SKUs'!C:C),"")</f>
        <v>Short</v>
      </c>
      <c r="L1292" t="str">
        <f>IFERROR(_xlfn.XLOOKUP($A1292,'Base SKUs'!$E:$E,'Base SKUs'!D:D),"")</f>
        <v>Thermowood</v>
      </c>
      <c r="M1292" t="str">
        <f>IFERROR(_xlfn.XLOOKUP($A1292,'Base SKUs'!$E:$E,'Base SKUs'!G:G),"")</f>
        <v>Maximo Thermo Clear Radiata</v>
      </c>
      <c r="N1292" t="str">
        <f>IFERROR(_xlfn.XLOOKUP($A1292,'Base SKUs'!$E:$E,'Base SKUs'!H:H),"")</f>
        <v>VJoint - Square Back</v>
      </c>
      <c r="O1292" t="str">
        <f>IFERROR(_xlfn.XLOOKUP($A1292,'Base SKUs'!$E:$E,'Base SKUs'!I:I),"")</f>
        <v>-</v>
      </c>
      <c r="P1292" t="str">
        <f>IFERROR(_xlfn.XLOOKUP($A1292,'Base SKUs'!$E:$E,'Base SKUs'!J:J),"")</f>
        <v>3/8x4</v>
      </c>
      <c r="Q1292">
        <f>IFERROR(_xlfn.XLOOKUP($A1292,'Base SKUs'!$E:$E,'Base SKUs'!K:K),"")</f>
        <v>4</v>
      </c>
      <c r="R1292" s="7">
        <f>IFERROR(_xlfn.XLOOKUP($A1292,'Base SKUs'!$E:$E,'Base SKUs'!S:S),"")</f>
        <v>1.08E-3</v>
      </c>
      <c r="S1292" s="8">
        <f t="shared" si="102"/>
        <v>0.23868</v>
      </c>
      <c r="T1292" s="7">
        <f>IFERROR(_xlfn.XLOOKUP($A1292,'Base SKUs'!$E:$E,'Base SKUs'!R:R),"")</f>
        <v>3645.3780000000002</v>
      </c>
      <c r="U1292" s="15">
        <f t="shared" si="103"/>
        <v>870</v>
      </c>
      <c r="V1292" t="str">
        <f t="shared" si="104"/>
        <v>Miami</v>
      </c>
    </row>
    <row r="1293" spans="1:22" x14ac:dyDescent="0.2">
      <c r="A1293" t="s">
        <v>1728</v>
      </c>
      <c r="B1293" s="5">
        <v>372</v>
      </c>
      <c r="C1293" s="5">
        <v>35</v>
      </c>
      <c r="D1293" s="5">
        <f t="shared" si="100"/>
        <v>337</v>
      </c>
      <c r="E1293" s="6">
        <v>3.7656000000000001</v>
      </c>
      <c r="F1293" s="6">
        <f t="shared" si="101"/>
        <v>1400.8032000000001</v>
      </c>
      <c r="G1293" t="s">
        <v>17</v>
      </c>
      <c r="H1293">
        <v>9007</v>
      </c>
      <c r="I1293" t="str">
        <f>IFERROR(_xlfn.XLOOKUP($A1293,'Base SKUs'!$E:$E,'Base SKUs'!A:A),"")</f>
        <v>Radiata</v>
      </c>
      <c r="J1293" t="str">
        <f>IFERROR(_xlfn.XLOOKUP($A1293,'Base SKUs'!$E:$E,'Base SKUs'!B:B),"")</f>
        <v>Radiata 3/8x4</v>
      </c>
      <c r="K1293" t="str">
        <f>IFERROR(_xlfn.XLOOKUP($A1293,'Base SKUs'!$E:$E,'Base SKUs'!C:C),"")</f>
        <v>Short</v>
      </c>
      <c r="L1293" t="str">
        <f>IFERROR(_xlfn.XLOOKUP($A1293,'Base SKUs'!$E:$E,'Base SKUs'!D:D),"")</f>
        <v>Thermowood</v>
      </c>
      <c r="M1293" t="str">
        <f>IFERROR(_xlfn.XLOOKUP($A1293,'Base SKUs'!$E:$E,'Base SKUs'!G:G),"")</f>
        <v>Maximo Thermo Clear Radiata</v>
      </c>
      <c r="N1293" t="str">
        <f>IFERROR(_xlfn.XLOOKUP($A1293,'Base SKUs'!$E:$E,'Base SKUs'!H:H),"")</f>
        <v>VJoint - Square Back</v>
      </c>
      <c r="O1293" t="str">
        <f>IFERROR(_xlfn.XLOOKUP($A1293,'Base SKUs'!$E:$E,'Base SKUs'!I:I),"")</f>
        <v>-</v>
      </c>
      <c r="P1293" t="str">
        <f>IFERROR(_xlfn.XLOOKUP($A1293,'Base SKUs'!$E:$E,'Base SKUs'!J:J),"")</f>
        <v>3/8x4</v>
      </c>
      <c r="Q1293">
        <f>IFERROR(_xlfn.XLOOKUP($A1293,'Base SKUs'!$E:$E,'Base SKUs'!K:K),"")</f>
        <v>5</v>
      </c>
      <c r="R1293" s="7">
        <f>IFERROR(_xlfn.XLOOKUP($A1293,'Base SKUs'!$E:$E,'Base SKUs'!S:S),"")</f>
        <v>1.3499999999999999E-3</v>
      </c>
      <c r="S1293" s="8">
        <f t="shared" si="102"/>
        <v>0.45494999999999997</v>
      </c>
      <c r="T1293" s="7">
        <f>IFERROR(_xlfn.XLOOKUP($A1293,'Base SKUs'!$E:$E,'Base SKUs'!R:R),"")</f>
        <v>3645.3780000000002</v>
      </c>
      <c r="U1293" s="15">
        <f t="shared" si="103"/>
        <v>1658</v>
      </c>
      <c r="V1293" t="str">
        <f t="shared" si="104"/>
        <v>Miami</v>
      </c>
    </row>
    <row r="1294" spans="1:22" x14ac:dyDescent="0.2">
      <c r="A1294" t="s">
        <v>1730</v>
      </c>
      <c r="B1294" s="5">
        <v>351</v>
      </c>
      <c r="C1294" s="5">
        <v>42</v>
      </c>
      <c r="D1294" s="5">
        <f t="shared" si="100"/>
        <v>309</v>
      </c>
      <c r="E1294" s="6">
        <v>4.5186999999999999</v>
      </c>
      <c r="F1294" s="6">
        <f t="shared" si="101"/>
        <v>1586.0636999999999</v>
      </c>
      <c r="G1294" t="s">
        <v>17</v>
      </c>
      <c r="H1294">
        <v>9007</v>
      </c>
      <c r="I1294" t="str">
        <f>IFERROR(_xlfn.XLOOKUP($A1294,'Base SKUs'!$E:$E,'Base SKUs'!A:A),"")</f>
        <v>Radiata</v>
      </c>
      <c r="J1294" t="str">
        <f>IFERROR(_xlfn.XLOOKUP($A1294,'Base SKUs'!$E:$E,'Base SKUs'!B:B),"")</f>
        <v>Radiata 3/8x4</v>
      </c>
      <c r="K1294" t="str">
        <f>IFERROR(_xlfn.XLOOKUP($A1294,'Base SKUs'!$E:$E,'Base SKUs'!C:C),"")</f>
        <v>Short</v>
      </c>
      <c r="L1294" t="str">
        <f>IFERROR(_xlfn.XLOOKUP($A1294,'Base SKUs'!$E:$E,'Base SKUs'!D:D),"")</f>
        <v>Thermowood</v>
      </c>
      <c r="M1294" t="str">
        <f>IFERROR(_xlfn.XLOOKUP($A1294,'Base SKUs'!$E:$E,'Base SKUs'!G:G),"")</f>
        <v>Maximo Thermo Clear Radiata</v>
      </c>
      <c r="N1294" t="str">
        <f>IFERROR(_xlfn.XLOOKUP($A1294,'Base SKUs'!$E:$E,'Base SKUs'!H:H),"")</f>
        <v>VJoint - Square Back</v>
      </c>
      <c r="O1294" t="str">
        <f>IFERROR(_xlfn.XLOOKUP($A1294,'Base SKUs'!$E:$E,'Base SKUs'!I:I),"")</f>
        <v>-</v>
      </c>
      <c r="P1294" t="str">
        <f>IFERROR(_xlfn.XLOOKUP($A1294,'Base SKUs'!$E:$E,'Base SKUs'!J:J),"")</f>
        <v>3/8x4</v>
      </c>
      <c r="Q1294">
        <f>IFERROR(_xlfn.XLOOKUP($A1294,'Base SKUs'!$E:$E,'Base SKUs'!K:K),"")</f>
        <v>6</v>
      </c>
      <c r="R1294" s="7">
        <f>IFERROR(_xlfn.XLOOKUP($A1294,'Base SKUs'!$E:$E,'Base SKUs'!S:S),"")</f>
        <v>1.6199999999999999E-3</v>
      </c>
      <c r="S1294" s="8">
        <f t="shared" si="102"/>
        <v>0.50058000000000002</v>
      </c>
      <c r="T1294" s="7">
        <f>IFERROR(_xlfn.XLOOKUP($A1294,'Base SKUs'!$E:$E,'Base SKUs'!R:R),"")</f>
        <v>3645.3780000000002</v>
      </c>
      <c r="U1294" s="15">
        <f t="shared" si="103"/>
        <v>1825</v>
      </c>
      <c r="V1294" t="str">
        <f t="shared" si="104"/>
        <v>Miami</v>
      </c>
    </row>
    <row r="1295" spans="1:22" x14ac:dyDescent="0.2">
      <c r="A1295" t="s">
        <v>1732</v>
      </c>
      <c r="B1295" s="5">
        <v>449</v>
      </c>
      <c r="C1295" s="5">
        <v>49</v>
      </c>
      <c r="D1295" s="5">
        <f t="shared" si="100"/>
        <v>400</v>
      </c>
      <c r="E1295" s="6">
        <v>5.2717999999999998</v>
      </c>
      <c r="F1295" s="6">
        <f t="shared" si="101"/>
        <v>2367.0382</v>
      </c>
      <c r="G1295" t="s">
        <v>17</v>
      </c>
      <c r="H1295">
        <v>9007</v>
      </c>
      <c r="I1295" t="str">
        <f>IFERROR(_xlfn.XLOOKUP($A1295,'Base SKUs'!$E:$E,'Base SKUs'!A:A),"")</f>
        <v>Radiata</v>
      </c>
      <c r="J1295" t="str">
        <f>IFERROR(_xlfn.XLOOKUP($A1295,'Base SKUs'!$E:$E,'Base SKUs'!B:B),"")</f>
        <v>Radiata 3/8x4</v>
      </c>
      <c r="K1295" t="str">
        <f>IFERROR(_xlfn.XLOOKUP($A1295,'Base SKUs'!$E:$E,'Base SKUs'!C:C),"")</f>
        <v>Short</v>
      </c>
      <c r="L1295" t="str">
        <f>IFERROR(_xlfn.XLOOKUP($A1295,'Base SKUs'!$E:$E,'Base SKUs'!D:D),"")</f>
        <v>Thermowood</v>
      </c>
      <c r="M1295" t="str">
        <f>IFERROR(_xlfn.XLOOKUP($A1295,'Base SKUs'!$E:$E,'Base SKUs'!G:G),"")</f>
        <v>Maximo Thermo Clear Radiata</v>
      </c>
      <c r="N1295" t="str">
        <f>IFERROR(_xlfn.XLOOKUP($A1295,'Base SKUs'!$E:$E,'Base SKUs'!H:H),"")</f>
        <v>VJoint - Square Back</v>
      </c>
      <c r="O1295" t="str">
        <f>IFERROR(_xlfn.XLOOKUP($A1295,'Base SKUs'!$E:$E,'Base SKUs'!I:I),"")</f>
        <v>-</v>
      </c>
      <c r="P1295" t="str">
        <f>IFERROR(_xlfn.XLOOKUP($A1295,'Base SKUs'!$E:$E,'Base SKUs'!J:J),"")</f>
        <v>3/8x4</v>
      </c>
      <c r="Q1295">
        <f>IFERROR(_xlfn.XLOOKUP($A1295,'Base SKUs'!$E:$E,'Base SKUs'!K:K),"")</f>
        <v>7</v>
      </c>
      <c r="R1295" s="7">
        <f>IFERROR(_xlfn.XLOOKUP($A1295,'Base SKUs'!$E:$E,'Base SKUs'!S:S),"")</f>
        <v>1.8900000000000002E-3</v>
      </c>
      <c r="S1295" s="8">
        <f t="shared" si="102"/>
        <v>0.75600000000000012</v>
      </c>
      <c r="T1295" s="7">
        <f>IFERROR(_xlfn.XLOOKUP($A1295,'Base SKUs'!$E:$E,'Base SKUs'!R:R),"")</f>
        <v>3645.3780000000002</v>
      </c>
      <c r="U1295" s="15">
        <f t="shared" si="103"/>
        <v>2756</v>
      </c>
      <c r="V1295" t="str">
        <f t="shared" si="104"/>
        <v>Miami</v>
      </c>
    </row>
    <row r="1296" spans="1:22" x14ac:dyDescent="0.2">
      <c r="A1296" t="s">
        <v>1734</v>
      </c>
      <c r="B1296" s="5">
        <v>360</v>
      </c>
      <c r="C1296" s="5">
        <v>56</v>
      </c>
      <c r="D1296" s="5">
        <f t="shared" si="100"/>
        <v>304</v>
      </c>
      <c r="E1296" s="6">
        <v>6.0250000000000004</v>
      </c>
      <c r="F1296" s="6">
        <f t="shared" si="101"/>
        <v>2169</v>
      </c>
      <c r="G1296" t="s">
        <v>17</v>
      </c>
      <c r="H1296">
        <v>9007</v>
      </c>
      <c r="I1296" t="str">
        <f>IFERROR(_xlfn.XLOOKUP($A1296,'Base SKUs'!$E:$E,'Base SKUs'!A:A),"")</f>
        <v>Radiata</v>
      </c>
      <c r="J1296" t="str">
        <f>IFERROR(_xlfn.XLOOKUP($A1296,'Base SKUs'!$E:$E,'Base SKUs'!B:B),"")</f>
        <v>Radiata 3/8x4</v>
      </c>
      <c r="K1296" t="str">
        <f>IFERROR(_xlfn.XLOOKUP($A1296,'Base SKUs'!$E:$E,'Base SKUs'!C:C),"")</f>
        <v>Long</v>
      </c>
      <c r="L1296" t="str">
        <f>IFERROR(_xlfn.XLOOKUP($A1296,'Base SKUs'!$E:$E,'Base SKUs'!D:D),"")</f>
        <v>Thermowood</v>
      </c>
      <c r="M1296" t="str">
        <f>IFERROR(_xlfn.XLOOKUP($A1296,'Base SKUs'!$E:$E,'Base SKUs'!G:G),"")</f>
        <v>Maximo Thermo Clear Radiata</v>
      </c>
      <c r="N1296" t="str">
        <f>IFERROR(_xlfn.XLOOKUP($A1296,'Base SKUs'!$E:$E,'Base SKUs'!H:H),"")</f>
        <v>VJoint - Square Back</v>
      </c>
      <c r="O1296" t="str">
        <f>IFERROR(_xlfn.XLOOKUP($A1296,'Base SKUs'!$E:$E,'Base SKUs'!I:I),"")</f>
        <v>-</v>
      </c>
      <c r="P1296" t="str">
        <f>IFERROR(_xlfn.XLOOKUP($A1296,'Base SKUs'!$E:$E,'Base SKUs'!J:J),"")</f>
        <v>3/8x4</v>
      </c>
      <c r="Q1296">
        <f>IFERROR(_xlfn.XLOOKUP($A1296,'Base SKUs'!$E:$E,'Base SKUs'!K:K),"")</f>
        <v>8</v>
      </c>
      <c r="R1296" s="7">
        <f>IFERROR(_xlfn.XLOOKUP($A1296,'Base SKUs'!$E:$E,'Base SKUs'!S:S),"")</f>
        <v>2.16E-3</v>
      </c>
      <c r="S1296" s="8">
        <f t="shared" si="102"/>
        <v>0.65664</v>
      </c>
      <c r="T1296" s="7">
        <f>IFERROR(_xlfn.XLOOKUP($A1296,'Base SKUs'!$E:$E,'Base SKUs'!R:R),"")</f>
        <v>3645.3780000000002</v>
      </c>
      <c r="U1296" s="15">
        <f t="shared" si="103"/>
        <v>2394</v>
      </c>
      <c r="V1296" t="str">
        <f t="shared" si="104"/>
        <v>Miami</v>
      </c>
    </row>
    <row r="1297" spans="1:22" x14ac:dyDescent="0.2">
      <c r="A1297" t="s">
        <v>1736</v>
      </c>
      <c r="B1297" s="5">
        <v>458</v>
      </c>
      <c r="C1297" s="5">
        <v>30</v>
      </c>
      <c r="D1297" s="5">
        <f t="shared" si="100"/>
        <v>428</v>
      </c>
      <c r="E1297" s="6">
        <v>6.7781000000000002</v>
      </c>
      <c r="F1297" s="6">
        <f t="shared" si="101"/>
        <v>3104.3697999999999</v>
      </c>
      <c r="G1297" t="s">
        <v>17</v>
      </c>
      <c r="H1297">
        <v>9007</v>
      </c>
      <c r="I1297" t="str">
        <f>IFERROR(_xlfn.XLOOKUP($A1297,'Base SKUs'!$E:$E,'Base SKUs'!A:A),"")</f>
        <v>Radiata</v>
      </c>
      <c r="J1297" t="str">
        <f>IFERROR(_xlfn.XLOOKUP($A1297,'Base SKUs'!$E:$E,'Base SKUs'!B:B),"")</f>
        <v>Radiata 3/8x4</v>
      </c>
      <c r="K1297" t="str">
        <f>IFERROR(_xlfn.XLOOKUP($A1297,'Base SKUs'!$E:$E,'Base SKUs'!C:C),"")</f>
        <v>Long</v>
      </c>
      <c r="L1297" t="str">
        <f>IFERROR(_xlfn.XLOOKUP($A1297,'Base SKUs'!$E:$E,'Base SKUs'!D:D),"")</f>
        <v>Thermowood</v>
      </c>
      <c r="M1297" t="str">
        <f>IFERROR(_xlfn.XLOOKUP($A1297,'Base SKUs'!$E:$E,'Base SKUs'!G:G),"")</f>
        <v>Maximo Thermo Clear Radiata</v>
      </c>
      <c r="N1297" t="str">
        <f>IFERROR(_xlfn.XLOOKUP($A1297,'Base SKUs'!$E:$E,'Base SKUs'!H:H),"")</f>
        <v>VJoint - Square Back</v>
      </c>
      <c r="O1297" t="str">
        <f>IFERROR(_xlfn.XLOOKUP($A1297,'Base SKUs'!$E:$E,'Base SKUs'!I:I),"")</f>
        <v>-</v>
      </c>
      <c r="P1297" t="str">
        <f>IFERROR(_xlfn.XLOOKUP($A1297,'Base SKUs'!$E:$E,'Base SKUs'!J:J),"")</f>
        <v>3/8x4</v>
      </c>
      <c r="Q1297">
        <f>IFERROR(_xlfn.XLOOKUP($A1297,'Base SKUs'!$E:$E,'Base SKUs'!K:K),"")</f>
        <v>9</v>
      </c>
      <c r="R1297" s="7">
        <f>IFERROR(_xlfn.XLOOKUP($A1297,'Base SKUs'!$E:$E,'Base SKUs'!S:S),"")</f>
        <v>2.4300000000000003E-3</v>
      </c>
      <c r="S1297" s="8">
        <f t="shared" si="102"/>
        <v>1.0400400000000001</v>
      </c>
      <c r="T1297" s="7">
        <f>IFERROR(_xlfn.XLOOKUP($A1297,'Base SKUs'!$E:$E,'Base SKUs'!R:R),"")</f>
        <v>3645.3780000000002</v>
      </c>
      <c r="U1297" s="15">
        <f t="shared" si="103"/>
        <v>3791</v>
      </c>
      <c r="V1297" t="str">
        <f t="shared" si="104"/>
        <v>Miami</v>
      </c>
    </row>
    <row r="1298" spans="1:22" x14ac:dyDescent="0.2">
      <c r="A1298" t="s">
        <v>1738</v>
      </c>
      <c r="B1298" s="5">
        <v>10</v>
      </c>
      <c r="C1298" s="5">
        <v>0</v>
      </c>
      <c r="D1298" s="5">
        <f t="shared" si="100"/>
        <v>10</v>
      </c>
      <c r="E1298" s="6">
        <v>22.248200000000001</v>
      </c>
      <c r="F1298" s="6">
        <f t="shared" si="101"/>
        <v>222.482</v>
      </c>
      <c r="G1298" t="s">
        <v>17</v>
      </c>
      <c r="H1298">
        <v>9007</v>
      </c>
      <c r="I1298" t="str">
        <f>IFERROR(_xlfn.XLOOKUP($A1298,'Base SKUs'!$E:$E,'Base SKUs'!A:A),"")</f>
        <v>Radiata</v>
      </c>
      <c r="J1298" t="str">
        <f>IFERROR(_xlfn.XLOOKUP($A1298,'Base SKUs'!$E:$E,'Base SKUs'!B:B),"")</f>
        <v>Radiata 1x6</v>
      </c>
      <c r="K1298" t="str">
        <f>IFERROR(_xlfn.XLOOKUP($A1298,'Base SKUs'!$E:$E,'Base SKUs'!C:C),"")</f>
        <v>Long</v>
      </c>
      <c r="L1298" t="str">
        <f>IFERROR(_xlfn.XLOOKUP($A1298,'Base SKUs'!$E:$E,'Base SKUs'!D:D),"")</f>
        <v>Thermowood</v>
      </c>
      <c r="M1298" t="str">
        <f>IFERROR(_xlfn.XLOOKUP($A1298,'Base SKUs'!$E:$E,'Base SKUs'!G:G),"")</f>
        <v>Maximo Thermo Clear Radiata</v>
      </c>
      <c r="N1298" t="str">
        <f>IFERROR(_xlfn.XLOOKUP($A1298,'Base SKUs'!$E:$E,'Base SKUs'!H:H),"")</f>
        <v>Nickel Gap</v>
      </c>
      <c r="O1298" t="str">
        <f>IFERROR(_xlfn.XLOOKUP($A1298,'Base SKUs'!$E:$E,'Base SKUs'!I:I),"")</f>
        <v>Pre Finished White</v>
      </c>
      <c r="P1298" t="str">
        <f>IFERROR(_xlfn.XLOOKUP($A1298,'Base SKUs'!$E:$E,'Base SKUs'!J:J),"")</f>
        <v>1x6</v>
      </c>
      <c r="Q1298">
        <f>IFERROR(_xlfn.XLOOKUP($A1298,'Base SKUs'!$E:$E,'Base SKUs'!K:K),"")</f>
        <v>10</v>
      </c>
      <c r="R1298" s="7">
        <f>IFERROR(_xlfn.XLOOKUP($A1298,'Base SKUs'!$E:$E,'Base SKUs'!S:S),"")</f>
        <v>7.8659999999999997E-3</v>
      </c>
      <c r="S1298" s="8">
        <f t="shared" si="102"/>
        <v>7.8659999999999994E-2</v>
      </c>
      <c r="T1298" s="7">
        <f>IFERROR(_xlfn.XLOOKUP($A1298,'Base SKUs'!$E:$E,'Base SKUs'!R:R),"")</f>
        <v>1251.2739999999999</v>
      </c>
      <c r="U1298" s="15">
        <f t="shared" si="103"/>
        <v>98</v>
      </c>
      <c r="V1298" t="str">
        <f t="shared" si="104"/>
        <v>Miami</v>
      </c>
    </row>
    <row r="1299" spans="1:22" x14ac:dyDescent="0.2">
      <c r="A1299" t="s">
        <v>1738</v>
      </c>
      <c r="B1299" s="5">
        <v>1</v>
      </c>
      <c r="C1299" s="5">
        <v>0</v>
      </c>
      <c r="D1299" s="5">
        <f t="shared" si="100"/>
        <v>1</v>
      </c>
      <c r="E1299" s="6">
        <v>22.248200000000001</v>
      </c>
      <c r="F1299" s="6">
        <f t="shared" si="101"/>
        <v>22.248200000000001</v>
      </c>
      <c r="G1299" t="s">
        <v>24</v>
      </c>
      <c r="H1299">
        <v>9008</v>
      </c>
      <c r="I1299" t="str">
        <f>IFERROR(_xlfn.XLOOKUP($A1299,'Base SKUs'!$E:$E,'Base SKUs'!A:A),"")</f>
        <v>Radiata</v>
      </c>
      <c r="J1299" t="str">
        <f>IFERROR(_xlfn.XLOOKUP($A1299,'Base SKUs'!$E:$E,'Base SKUs'!B:B),"")</f>
        <v>Radiata 1x6</v>
      </c>
      <c r="K1299" t="str">
        <f>IFERROR(_xlfn.XLOOKUP($A1299,'Base SKUs'!$E:$E,'Base SKUs'!C:C),"")</f>
        <v>Long</v>
      </c>
      <c r="L1299" t="str">
        <f>IFERROR(_xlfn.XLOOKUP($A1299,'Base SKUs'!$E:$E,'Base SKUs'!D:D),"")</f>
        <v>Thermowood</v>
      </c>
      <c r="M1299" t="str">
        <f>IFERROR(_xlfn.XLOOKUP($A1299,'Base SKUs'!$E:$E,'Base SKUs'!G:G),"")</f>
        <v>Maximo Thermo Clear Radiata</v>
      </c>
      <c r="N1299" t="str">
        <f>IFERROR(_xlfn.XLOOKUP($A1299,'Base SKUs'!$E:$E,'Base SKUs'!H:H),"")</f>
        <v>Nickel Gap</v>
      </c>
      <c r="O1299" t="str">
        <f>IFERROR(_xlfn.XLOOKUP($A1299,'Base SKUs'!$E:$E,'Base SKUs'!I:I),"")</f>
        <v>Pre Finished White</v>
      </c>
      <c r="P1299" t="str">
        <f>IFERROR(_xlfn.XLOOKUP($A1299,'Base SKUs'!$E:$E,'Base SKUs'!J:J),"")</f>
        <v>1x6</v>
      </c>
      <c r="Q1299">
        <f>IFERROR(_xlfn.XLOOKUP($A1299,'Base SKUs'!$E:$E,'Base SKUs'!K:K),"")</f>
        <v>10</v>
      </c>
      <c r="R1299" s="7">
        <f>IFERROR(_xlfn.XLOOKUP($A1299,'Base SKUs'!$E:$E,'Base SKUs'!S:S),"")</f>
        <v>7.8659999999999997E-3</v>
      </c>
      <c r="S1299" s="8">
        <f t="shared" si="102"/>
        <v>7.8659999999999997E-3</v>
      </c>
      <c r="T1299" s="7">
        <f>IFERROR(_xlfn.XLOOKUP($A1299,'Base SKUs'!$E:$E,'Base SKUs'!R:R),"")</f>
        <v>1251.2739999999999</v>
      </c>
      <c r="U1299" s="15">
        <f t="shared" si="103"/>
        <v>10</v>
      </c>
      <c r="V1299" t="str">
        <f t="shared" si="104"/>
        <v>Texas</v>
      </c>
    </row>
    <row r="1300" spans="1:22" x14ac:dyDescent="0.2">
      <c r="A1300" t="s">
        <v>1738</v>
      </c>
      <c r="B1300" s="5">
        <v>21</v>
      </c>
      <c r="C1300" s="5">
        <v>0</v>
      </c>
      <c r="D1300" s="5">
        <f t="shared" si="100"/>
        <v>21</v>
      </c>
      <c r="E1300" s="6">
        <v>22.248200000000001</v>
      </c>
      <c r="F1300" s="6">
        <f t="shared" si="101"/>
        <v>467.2122</v>
      </c>
      <c r="G1300" t="s">
        <v>330</v>
      </c>
      <c r="H1300">
        <v>9011</v>
      </c>
      <c r="I1300" t="str">
        <f>IFERROR(_xlfn.XLOOKUP($A1300,'Base SKUs'!$E:$E,'Base SKUs'!A:A),"")</f>
        <v>Radiata</v>
      </c>
      <c r="J1300" t="str">
        <f>IFERROR(_xlfn.XLOOKUP($A1300,'Base SKUs'!$E:$E,'Base SKUs'!B:B),"")</f>
        <v>Radiata 1x6</v>
      </c>
      <c r="K1300" t="str">
        <f>IFERROR(_xlfn.XLOOKUP($A1300,'Base SKUs'!$E:$E,'Base SKUs'!C:C),"")</f>
        <v>Long</v>
      </c>
      <c r="L1300" t="str">
        <f>IFERROR(_xlfn.XLOOKUP($A1300,'Base SKUs'!$E:$E,'Base SKUs'!D:D),"")</f>
        <v>Thermowood</v>
      </c>
      <c r="M1300" t="str">
        <f>IFERROR(_xlfn.XLOOKUP($A1300,'Base SKUs'!$E:$E,'Base SKUs'!G:G),"")</f>
        <v>Maximo Thermo Clear Radiata</v>
      </c>
      <c r="N1300" t="str">
        <f>IFERROR(_xlfn.XLOOKUP($A1300,'Base SKUs'!$E:$E,'Base SKUs'!H:H),"")</f>
        <v>Nickel Gap</v>
      </c>
      <c r="O1300" t="str">
        <f>IFERROR(_xlfn.XLOOKUP($A1300,'Base SKUs'!$E:$E,'Base SKUs'!I:I),"")</f>
        <v>Pre Finished White</v>
      </c>
      <c r="P1300" t="str">
        <f>IFERROR(_xlfn.XLOOKUP($A1300,'Base SKUs'!$E:$E,'Base SKUs'!J:J),"")</f>
        <v>1x6</v>
      </c>
      <c r="Q1300">
        <f>IFERROR(_xlfn.XLOOKUP($A1300,'Base SKUs'!$E:$E,'Base SKUs'!K:K),"")</f>
        <v>10</v>
      </c>
      <c r="R1300" s="7">
        <f>IFERROR(_xlfn.XLOOKUP($A1300,'Base SKUs'!$E:$E,'Base SKUs'!S:S),"")</f>
        <v>7.8659999999999997E-3</v>
      </c>
      <c r="S1300" s="8">
        <f t="shared" si="102"/>
        <v>0.165186</v>
      </c>
      <c r="T1300" s="7">
        <f>IFERROR(_xlfn.XLOOKUP($A1300,'Base SKUs'!$E:$E,'Base SKUs'!R:R),"")</f>
        <v>1251.2739999999999</v>
      </c>
      <c r="U1300" s="15">
        <f t="shared" si="103"/>
        <v>207</v>
      </c>
      <c r="V1300" t="str">
        <f t="shared" si="104"/>
        <v>New York</v>
      </c>
    </row>
    <row r="1301" spans="1:22" x14ac:dyDescent="0.2">
      <c r="A1301" t="s">
        <v>1740</v>
      </c>
      <c r="B1301" s="5">
        <v>6</v>
      </c>
      <c r="C1301" s="5">
        <v>0</v>
      </c>
      <c r="D1301" s="5">
        <f t="shared" si="100"/>
        <v>6</v>
      </c>
      <c r="E1301" s="6">
        <v>24.473099999999999</v>
      </c>
      <c r="F1301" s="6">
        <f t="shared" si="101"/>
        <v>146.83859999999999</v>
      </c>
      <c r="G1301" t="s">
        <v>24</v>
      </c>
      <c r="H1301">
        <v>9008</v>
      </c>
      <c r="I1301" t="str">
        <f>IFERROR(_xlfn.XLOOKUP($A1301,'Base SKUs'!$E:$E,'Base SKUs'!A:A),"")</f>
        <v>Radiata</v>
      </c>
      <c r="J1301" t="str">
        <f>IFERROR(_xlfn.XLOOKUP($A1301,'Base SKUs'!$E:$E,'Base SKUs'!B:B),"")</f>
        <v>Radiata 1x6</v>
      </c>
      <c r="K1301" t="str">
        <f>IFERROR(_xlfn.XLOOKUP($A1301,'Base SKUs'!$E:$E,'Base SKUs'!C:C),"")</f>
        <v>Long</v>
      </c>
      <c r="L1301" t="str">
        <f>IFERROR(_xlfn.XLOOKUP($A1301,'Base SKUs'!$E:$E,'Base SKUs'!D:D),"")</f>
        <v>Thermowood</v>
      </c>
      <c r="M1301" t="str">
        <f>IFERROR(_xlfn.XLOOKUP($A1301,'Base SKUs'!$E:$E,'Base SKUs'!G:G),"")</f>
        <v>Maximo Thermo Clear Radiata</v>
      </c>
      <c r="N1301" t="str">
        <f>IFERROR(_xlfn.XLOOKUP($A1301,'Base SKUs'!$E:$E,'Base SKUs'!H:H),"")</f>
        <v>Nickel Gap</v>
      </c>
      <c r="O1301" t="str">
        <f>IFERROR(_xlfn.XLOOKUP($A1301,'Base SKUs'!$E:$E,'Base SKUs'!I:I),"")</f>
        <v>Pre Finished White</v>
      </c>
      <c r="P1301" t="str">
        <f>IFERROR(_xlfn.XLOOKUP($A1301,'Base SKUs'!$E:$E,'Base SKUs'!J:J),"")</f>
        <v>1x6</v>
      </c>
      <c r="Q1301">
        <f>IFERROR(_xlfn.XLOOKUP($A1301,'Base SKUs'!$E:$E,'Base SKUs'!K:K),"")</f>
        <v>11</v>
      </c>
      <c r="R1301" s="7">
        <f>IFERROR(_xlfn.XLOOKUP($A1301,'Base SKUs'!$E:$E,'Base SKUs'!S:S),"")</f>
        <v>8.6525999999999999E-3</v>
      </c>
      <c r="S1301" s="8">
        <f t="shared" si="102"/>
        <v>5.1915599999999999E-2</v>
      </c>
      <c r="T1301" s="7">
        <f>IFERROR(_xlfn.XLOOKUP($A1301,'Base SKUs'!$E:$E,'Base SKUs'!R:R),"")</f>
        <v>1251.2739999999999</v>
      </c>
      <c r="U1301" s="15">
        <f t="shared" si="103"/>
        <v>65</v>
      </c>
      <c r="V1301" t="str">
        <f t="shared" si="104"/>
        <v>Texas</v>
      </c>
    </row>
    <row r="1302" spans="1:22" x14ac:dyDescent="0.2">
      <c r="A1302" t="s">
        <v>1742</v>
      </c>
      <c r="B1302" s="5">
        <v>1</v>
      </c>
      <c r="C1302" s="5">
        <v>0</v>
      </c>
      <c r="D1302" s="5">
        <f t="shared" si="100"/>
        <v>1</v>
      </c>
      <c r="E1302" s="6">
        <v>26.697900000000001</v>
      </c>
      <c r="F1302" s="6">
        <f t="shared" si="101"/>
        <v>26.697900000000001</v>
      </c>
      <c r="G1302" t="s">
        <v>17</v>
      </c>
      <c r="H1302">
        <v>9007</v>
      </c>
      <c r="I1302" t="str">
        <f>IFERROR(_xlfn.XLOOKUP($A1302,'Base SKUs'!$E:$E,'Base SKUs'!A:A),"")</f>
        <v>Radiata</v>
      </c>
      <c r="J1302" t="str">
        <f>IFERROR(_xlfn.XLOOKUP($A1302,'Base SKUs'!$E:$E,'Base SKUs'!B:B),"")</f>
        <v>Radiata 1x6</v>
      </c>
      <c r="K1302" t="str">
        <f>IFERROR(_xlfn.XLOOKUP($A1302,'Base SKUs'!$E:$E,'Base SKUs'!C:C),"")</f>
        <v>Long</v>
      </c>
      <c r="L1302" t="str">
        <f>IFERROR(_xlfn.XLOOKUP($A1302,'Base SKUs'!$E:$E,'Base SKUs'!D:D),"")</f>
        <v>Thermowood</v>
      </c>
      <c r="M1302" t="str">
        <f>IFERROR(_xlfn.XLOOKUP($A1302,'Base SKUs'!$E:$E,'Base SKUs'!G:G),"")</f>
        <v>Maximo Thermo Clear Radiata</v>
      </c>
      <c r="N1302" t="str">
        <f>IFERROR(_xlfn.XLOOKUP($A1302,'Base SKUs'!$E:$E,'Base SKUs'!H:H),"")</f>
        <v>Nickel Gap</v>
      </c>
      <c r="O1302" t="str">
        <f>IFERROR(_xlfn.XLOOKUP($A1302,'Base SKUs'!$E:$E,'Base SKUs'!I:I),"")</f>
        <v>Pre Finished White</v>
      </c>
      <c r="P1302" t="str">
        <f>IFERROR(_xlfn.XLOOKUP($A1302,'Base SKUs'!$E:$E,'Base SKUs'!J:J),"")</f>
        <v>1x6</v>
      </c>
      <c r="Q1302">
        <f>IFERROR(_xlfn.XLOOKUP($A1302,'Base SKUs'!$E:$E,'Base SKUs'!K:K),"")</f>
        <v>12</v>
      </c>
      <c r="R1302" s="7">
        <f>IFERROR(_xlfn.XLOOKUP($A1302,'Base SKUs'!$E:$E,'Base SKUs'!S:S),"")</f>
        <v>9.4392E-3</v>
      </c>
      <c r="S1302" s="8">
        <f t="shared" si="102"/>
        <v>9.4392E-3</v>
      </c>
      <c r="T1302" s="7">
        <f>IFERROR(_xlfn.XLOOKUP($A1302,'Base SKUs'!$E:$E,'Base SKUs'!R:R),"")</f>
        <v>1251.2739999999999</v>
      </c>
      <c r="U1302" s="15">
        <f t="shared" si="103"/>
        <v>12</v>
      </c>
      <c r="V1302" t="str">
        <f t="shared" si="104"/>
        <v>Miami</v>
      </c>
    </row>
    <row r="1303" spans="1:22" x14ac:dyDescent="0.2">
      <c r="A1303" t="s">
        <v>1742</v>
      </c>
      <c r="B1303" s="5">
        <v>5</v>
      </c>
      <c r="C1303" s="5">
        <v>0</v>
      </c>
      <c r="D1303" s="5">
        <f t="shared" si="100"/>
        <v>5</v>
      </c>
      <c r="E1303" s="6">
        <v>26.697900000000001</v>
      </c>
      <c r="F1303" s="6">
        <f t="shared" si="101"/>
        <v>133.48949999999999</v>
      </c>
      <c r="G1303" t="s">
        <v>24</v>
      </c>
      <c r="H1303">
        <v>9008</v>
      </c>
      <c r="I1303" t="str">
        <f>IFERROR(_xlfn.XLOOKUP($A1303,'Base SKUs'!$E:$E,'Base SKUs'!A:A),"")</f>
        <v>Radiata</v>
      </c>
      <c r="J1303" t="str">
        <f>IFERROR(_xlfn.XLOOKUP($A1303,'Base SKUs'!$E:$E,'Base SKUs'!B:B),"")</f>
        <v>Radiata 1x6</v>
      </c>
      <c r="K1303" t="str">
        <f>IFERROR(_xlfn.XLOOKUP($A1303,'Base SKUs'!$E:$E,'Base SKUs'!C:C),"")</f>
        <v>Long</v>
      </c>
      <c r="L1303" t="str">
        <f>IFERROR(_xlfn.XLOOKUP($A1303,'Base SKUs'!$E:$E,'Base SKUs'!D:D),"")</f>
        <v>Thermowood</v>
      </c>
      <c r="M1303" t="str">
        <f>IFERROR(_xlfn.XLOOKUP($A1303,'Base SKUs'!$E:$E,'Base SKUs'!G:G),"")</f>
        <v>Maximo Thermo Clear Radiata</v>
      </c>
      <c r="N1303" t="str">
        <f>IFERROR(_xlfn.XLOOKUP($A1303,'Base SKUs'!$E:$E,'Base SKUs'!H:H),"")</f>
        <v>Nickel Gap</v>
      </c>
      <c r="O1303" t="str">
        <f>IFERROR(_xlfn.XLOOKUP($A1303,'Base SKUs'!$E:$E,'Base SKUs'!I:I),"")</f>
        <v>Pre Finished White</v>
      </c>
      <c r="P1303" t="str">
        <f>IFERROR(_xlfn.XLOOKUP($A1303,'Base SKUs'!$E:$E,'Base SKUs'!J:J),"")</f>
        <v>1x6</v>
      </c>
      <c r="Q1303">
        <f>IFERROR(_xlfn.XLOOKUP($A1303,'Base SKUs'!$E:$E,'Base SKUs'!K:K),"")</f>
        <v>12</v>
      </c>
      <c r="R1303" s="7">
        <f>IFERROR(_xlfn.XLOOKUP($A1303,'Base SKUs'!$E:$E,'Base SKUs'!S:S),"")</f>
        <v>9.4392E-3</v>
      </c>
      <c r="S1303" s="8">
        <f t="shared" si="102"/>
        <v>4.7196000000000002E-2</v>
      </c>
      <c r="T1303" s="7">
        <f>IFERROR(_xlfn.XLOOKUP($A1303,'Base SKUs'!$E:$E,'Base SKUs'!R:R),"")</f>
        <v>1251.2739999999999</v>
      </c>
      <c r="U1303" s="15">
        <f t="shared" si="103"/>
        <v>59</v>
      </c>
      <c r="V1303" t="str">
        <f t="shared" si="104"/>
        <v>Texas</v>
      </c>
    </row>
    <row r="1304" spans="1:22" x14ac:dyDescent="0.2">
      <c r="A1304" t="s">
        <v>1742</v>
      </c>
      <c r="B1304" s="5">
        <v>4</v>
      </c>
      <c r="C1304" s="5">
        <v>0</v>
      </c>
      <c r="D1304" s="5">
        <f t="shared" si="100"/>
        <v>4</v>
      </c>
      <c r="E1304" s="6">
        <v>26.697900000000001</v>
      </c>
      <c r="F1304" s="6">
        <f t="shared" si="101"/>
        <v>106.7916</v>
      </c>
      <c r="G1304" t="s">
        <v>330</v>
      </c>
      <c r="H1304">
        <v>9011</v>
      </c>
      <c r="I1304" t="str">
        <f>IFERROR(_xlfn.XLOOKUP($A1304,'Base SKUs'!$E:$E,'Base SKUs'!A:A),"")</f>
        <v>Radiata</v>
      </c>
      <c r="J1304" t="str">
        <f>IFERROR(_xlfn.XLOOKUP($A1304,'Base SKUs'!$E:$E,'Base SKUs'!B:B),"")</f>
        <v>Radiata 1x6</v>
      </c>
      <c r="K1304" t="str">
        <f>IFERROR(_xlfn.XLOOKUP($A1304,'Base SKUs'!$E:$E,'Base SKUs'!C:C),"")</f>
        <v>Long</v>
      </c>
      <c r="L1304" t="str">
        <f>IFERROR(_xlfn.XLOOKUP($A1304,'Base SKUs'!$E:$E,'Base SKUs'!D:D),"")</f>
        <v>Thermowood</v>
      </c>
      <c r="M1304" t="str">
        <f>IFERROR(_xlfn.XLOOKUP($A1304,'Base SKUs'!$E:$E,'Base SKUs'!G:G),"")</f>
        <v>Maximo Thermo Clear Radiata</v>
      </c>
      <c r="N1304" t="str">
        <f>IFERROR(_xlfn.XLOOKUP($A1304,'Base SKUs'!$E:$E,'Base SKUs'!H:H),"")</f>
        <v>Nickel Gap</v>
      </c>
      <c r="O1304" t="str">
        <f>IFERROR(_xlfn.XLOOKUP($A1304,'Base SKUs'!$E:$E,'Base SKUs'!I:I),"")</f>
        <v>Pre Finished White</v>
      </c>
      <c r="P1304" t="str">
        <f>IFERROR(_xlfn.XLOOKUP($A1304,'Base SKUs'!$E:$E,'Base SKUs'!J:J),"")</f>
        <v>1x6</v>
      </c>
      <c r="Q1304">
        <f>IFERROR(_xlfn.XLOOKUP($A1304,'Base SKUs'!$E:$E,'Base SKUs'!K:K),"")</f>
        <v>12</v>
      </c>
      <c r="R1304" s="7">
        <f>IFERROR(_xlfn.XLOOKUP($A1304,'Base SKUs'!$E:$E,'Base SKUs'!S:S),"")</f>
        <v>9.4392E-3</v>
      </c>
      <c r="S1304" s="8">
        <f t="shared" si="102"/>
        <v>3.77568E-2</v>
      </c>
      <c r="T1304" s="7">
        <f>IFERROR(_xlfn.XLOOKUP($A1304,'Base SKUs'!$E:$E,'Base SKUs'!R:R),"")</f>
        <v>1251.2739999999999</v>
      </c>
      <c r="U1304" s="15">
        <f t="shared" si="103"/>
        <v>47</v>
      </c>
      <c r="V1304" t="str">
        <f t="shared" si="104"/>
        <v>New York</v>
      </c>
    </row>
    <row r="1305" spans="1:22" x14ac:dyDescent="0.2">
      <c r="A1305" t="s">
        <v>1744</v>
      </c>
      <c r="B1305" s="5">
        <v>1</v>
      </c>
      <c r="C1305" s="5">
        <v>0</v>
      </c>
      <c r="D1305" s="5">
        <f t="shared" si="100"/>
        <v>1</v>
      </c>
      <c r="E1305" s="6">
        <v>28.922699999999999</v>
      </c>
      <c r="F1305" s="6">
        <f t="shared" si="101"/>
        <v>28.922699999999999</v>
      </c>
      <c r="G1305" t="s">
        <v>17</v>
      </c>
      <c r="H1305">
        <v>9007</v>
      </c>
      <c r="I1305" t="str">
        <f>IFERROR(_xlfn.XLOOKUP($A1305,'Base SKUs'!$E:$E,'Base SKUs'!A:A),"")</f>
        <v>Radiata</v>
      </c>
      <c r="J1305" t="str">
        <f>IFERROR(_xlfn.XLOOKUP($A1305,'Base SKUs'!$E:$E,'Base SKUs'!B:B),"")</f>
        <v>Radiata 1x6</v>
      </c>
      <c r="K1305" t="str">
        <f>IFERROR(_xlfn.XLOOKUP($A1305,'Base SKUs'!$E:$E,'Base SKUs'!C:C),"")</f>
        <v>Long</v>
      </c>
      <c r="L1305" t="str">
        <f>IFERROR(_xlfn.XLOOKUP($A1305,'Base SKUs'!$E:$E,'Base SKUs'!D:D),"")</f>
        <v>Thermowood</v>
      </c>
      <c r="M1305" t="str">
        <f>IFERROR(_xlfn.XLOOKUP($A1305,'Base SKUs'!$E:$E,'Base SKUs'!G:G),"")</f>
        <v>Maximo Thermo Clear Radiata</v>
      </c>
      <c r="N1305" t="str">
        <f>IFERROR(_xlfn.XLOOKUP($A1305,'Base SKUs'!$E:$E,'Base SKUs'!H:H),"")</f>
        <v>Nickel Gap</v>
      </c>
      <c r="O1305" t="str">
        <f>IFERROR(_xlfn.XLOOKUP($A1305,'Base SKUs'!$E:$E,'Base SKUs'!I:I),"")</f>
        <v>Pre Finished White</v>
      </c>
      <c r="P1305" t="str">
        <f>IFERROR(_xlfn.XLOOKUP($A1305,'Base SKUs'!$E:$E,'Base SKUs'!J:J),"")</f>
        <v>1x6</v>
      </c>
      <c r="Q1305">
        <f>IFERROR(_xlfn.XLOOKUP($A1305,'Base SKUs'!$E:$E,'Base SKUs'!K:K),"")</f>
        <v>13</v>
      </c>
      <c r="R1305" s="7">
        <f>IFERROR(_xlfn.XLOOKUP($A1305,'Base SKUs'!$E:$E,'Base SKUs'!S:S),"")</f>
        <v>1.02258E-2</v>
      </c>
      <c r="S1305" s="8">
        <f t="shared" si="102"/>
        <v>1.02258E-2</v>
      </c>
      <c r="T1305" s="7">
        <f>IFERROR(_xlfn.XLOOKUP($A1305,'Base SKUs'!$E:$E,'Base SKUs'!R:R),"")</f>
        <v>1251.2739999999999</v>
      </c>
      <c r="U1305" s="15">
        <f t="shared" si="103"/>
        <v>13</v>
      </c>
      <c r="V1305" t="str">
        <f t="shared" si="104"/>
        <v>Miami</v>
      </c>
    </row>
    <row r="1306" spans="1:22" x14ac:dyDescent="0.2">
      <c r="A1306" t="s">
        <v>1744</v>
      </c>
      <c r="B1306" s="5">
        <v>15</v>
      </c>
      <c r="C1306" s="5">
        <v>0</v>
      </c>
      <c r="D1306" s="5">
        <f t="shared" si="100"/>
        <v>15</v>
      </c>
      <c r="E1306" s="6">
        <v>28.922699999999999</v>
      </c>
      <c r="F1306" s="6">
        <f t="shared" si="101"/>
        <v>433.84049999999996</v>
      </c>
      <c r="G1306" t="s">
        <v>24</v>
      </c>
      <c r="H1306">
        <v>9008</v>
      </c>
      <c r="I1306" t="str">
        <f>IFERROR(_xlfn.XLOOKUP($A1306,'Base SKUs'!$E:$E,'Base SKUs'!A:A),"")</f>
        <v>Radiata</v>
      </c>
      <c r="J1306" t="str">
        <f>IFERROR(_xlfn.XLOOKUP($A1306,'Base SKUs'!$E:$E,'Base SKUs'!B:B),"")</f>
        <v>Radiata 1x6</v>
      </c>
      <c r="K1306" t="str">
        <f>IFERROR(_xlfn.XLOOKUP($A1306,'Base SKUs'!$E:$E,'Base SKUs'!C:C),"")</f>
        <v>Long</v>
      </c>
      <c r="L1306" t="str">
        <f>IFERROR(_xlfn.XLOOKUP($A1306,'Base SKUs'!$E:$E,'Base SKUs'!D:D),"")</f>
        <v>Thermowood</v>
      </c>
      <c r="M1306" t="str">
        <f>IFERROR(_xlfn.XLOOKUP($A1306,'Base SKUs'!$E:$E,'Base SKUs'!G:G),"")</f>
        <v>Maximo Thermo Clear Radiata</v>
      </c>
      <c r="N1306" t="str">
        <f>IFERROR(_xlfn.XLOOKUP($A1306,'Base SKUs'!$E:$E,'Base SKUs'!H:H),"")</f>
        <v>Nickel Gap</v>
      </c>
      <c r="O1306" t="str">
        <f>IFERROR(_xlfn.XLOOKUP($A1306,'Base SKUs'!$E:$E,'Base SKUs'!I:I),"")</f>
        <v>Pre Finished White</v>
      </c>
      <c r="P1306" t="str">
        <f>IFERROR(_xlfn.XLOOKUP($A1306,'Base SKUs'!$E:$E,'Base SKUs'!J:J),"")</f>
        <v>1x6</v>
      </c>
      <c r="Q1306">
        <f>IFERROR(_xlfn.XLOOKUP($A1306,'Base SKUs'!$E:$E,'Base SKUs'!K:K),"")</f>
        <v>13</v>
      </c>
      <c r="R1306" s="7">
        <f>IFERROR(_xlfn.XLOOKUP($A1306,'Base SKUs'!$E:$E,'Base SKUs'!S:S),"")</f>
        <v>1.02258E-2</v>
      </c>
      <c r="S1306" s="8">
        <f t="shared" si="102"/>
        <v>0.153387</v>
      </c>
      <c r="T1306" s="7">
        <f>IFERROR(_xlfn.XLOOKUP($A1306,'Base SKUs'!$E:$E,'Base SKUs'!R:R),"")</f>
        <v>1251.2739999999999</v>
      </c>
      <c r="U1306" s="15">
        <f t="shared" si="103"/>
        <v>192</v>
      </c>
      <c r="V1306" t="str">
        <f t="shared" si="104"/>
        <v>Texas</v>
      </c>
    </row>
    <row r="1307" spans="1:22" x14ac:dyDescent="0.2">
      <c r="A1307" t="s">
        <v>1744</v>
      </c>
      <c r="B1307" s="5">
        <v>3</v>
      </c>
      <c r="C1307" s="5">
        <v>0</v>
      </c>
      <c r="D1307" s="5">
        <f t="shared" si="100"/>
        <v>3</v>
      </c>
      <c r="E1307" s="6">
        <v>28.922699999999999</v>
      </c>
      <c r="F1307" s="6">
        <f t="shared" si="101"/>
        <v>86.768100000000004</v>
      </c>
      <c r="G1307" t="s">
        <v>330</v>
      </c>
      <c r="H1307">
        <v>9011</v>
      </c>
      <c r="I1307" t="str">
        <f>IFERROR(_xlfn.XLOOKUP($A1307,'Base SKUs'!$E:$E,'Base SKUs'!A:A),"")</f>
        <v>Radiata</v>
      </c>
      <c r="J1307" t="str">
        <f>IFERROR(_xlfn.XLOOKUP($A1307,'Base SKUs'!$E:$E,'Base SKUs'!B:B),"")</f>
        <v>Radiata 1x6</v>
      </c>
      <c r="K1307" t="str">
        <f>IFERROR(_xlfn.XLOOKUP($A1307,'Base SKUs'!$E:$E,'Base SKUs'!C:C),"")</f>
        <v>Long</v>
      </c>
      <c r="L1307" t="str">
        <f>IFERROR(_xlfn.XLOOKUP($A1307,'Base SKUs'!$E:$E,'Base SKUs'!D:D),"")</f>
        <v>Thermowood</v>
      </c>
      <c r="M1307" t="str">
        <f>IFERROR(_xlfn.XLOOKUP($A1307,'Base SKUs'!$E:$E,'Base SKUs'!G:G),"")</f>
        <v>Maximo Thermo Clear Radiata</v>
      </c>
      <c r="N1307" t="str">
        <f>IFERROR(_xlfn.XLOOKUP($A1307,'Base SKUs'!$E:$E,'Base SKUs'!H:H),"")</f>
        <v>Nickel Gap</v>
      </c>
      <c r="O1307" t="str">
        <f>IFERROR(_xlfn.XLOOKUP($A1307,'Base SKUs'!$E:$E,'Base SKUs'!I:I),"")</f>
        <v>Pre Finished White</v>
      </c>
      <c r="P1307" t="str">
        <f>IFERROR(_xlfn.XLOOKUP($A1307,'Base SKUs'!$E:$E,'Base SKUs'!J:J),"")</f>
        <v>1x6</v>
      </c>
      <c r="Q1307">
        <f>IFERROR(_xlfn.XLOOKUP($A1307,'Base SKUs'!$E:$E,'Base SKUs'!K:K),"")</f>
        <v>13</v>
      </c>
      <c r="R1307" s="7">
        <f>IFERROR(_xlfn.XLOOKUP($A1307,'Base SKUs'!$E:$E,'Base SKUs'!S:S),"")</f>
        <v>1.02258E-2</v>
      </c>
      <c r="S1307" s="8">
        <f t="shared" si="102"/>
        <v>3.0677400000000001E-2</v>
      </c>
      <c r="T1307" s="7">
        <f>IFERROR(_xlfn.XLOOKUP($A1307,'Base SKUs'!$E:$E,'Base SKUs'!R:R),"")</f>
        <v>1251.2739999999999</v>
      </c>
      <c r="U1307" s="15">
        <f t="shared" si="103"/>
        <v>38</v>
      </c>
      <c r="V1307" t="str">
        <f t="shared" si="104"/>
        <v>New York</v>
      </c>
    </row>
    <row r="1308" spans="1:22" x14ac:dyDescent="0.2">
      <c r="A1308" t="s">
        <v>1746</v>
      </c>
      <c r="B1308" s="5">
        <v>552</v>
      </c>
      <c r="C1308" s="5">
        <v>0</v>
      </c>
      <c r="D1308" s="5">
        <f t="shared" si="100"/>
        <v>552</v>
      </c>
      <c r="E1308" s="6">
        <v>31.147600000000001</v>
      </c>
      <c r="F1308" s="6">
        <f t="shared" si="101"/>
        <v>17193.475200000001</v>
      </c>
      <c r="G1308" t="s">
        <v>17</v>
      </c>
      <c r="H1308">
        <v>9007</v>
      </c>
      <c r="I1308" t="str">
        <f>IFERROR(_xlfn.XLOOKUP($A1308,'Base SKUs'!$E:$E,'Base SKUs'!A:A),"")</f>
        <v>Radiata</v>
      </c>
      <c r="J1308" t="str">
        <f>IFERROR(_xlfn.XLOOKUP($A1308,'Base SKUs'!$E:$E,'Base SKUs'!B:B),"")</f>
        <v>Radiata 1x6</v>
      </c>
      <c r="K1308" t="str">
        <f>IFERROR(_xlfn.XLOOKUP($A1308,'Base SKUs'!$E:$E,'Base SKUs'!C:C),"")</f>
        <v>Long</v>
      </c>
      <c r="L1308" t="str">
        <f>IFERROR(_xlfn.XLOOKUP($A1308,'Base SKUs'!$E:$E,'Base SKUs'!D:D),"")</f>
        <v>Thermowood</v>
      </c>
      <c r="M1308" t="str">
        <f>IFERROR(_xlfn.XLOOKUP($A1308,'Base SKUs'!$E:$E,'Base SKUs'!G:G),"")</f>
        <v>Maximo Thermo Clear Radiata</v>
      </c>
      <c r="N1308" t="str">
        <f>IFERROR(_xlfn.XLOOKUP($A1308,'Base SKUs'!$E:$E,'Base SKUs'!H:H),"")</f>
        <v>Nickel Gap</v>
      </c>
      <c r="O1308" t="str">
        <f>IFERROR(_xlfn.XLOOKUP($A1308,'Base SKUs'!$E:$E,'Base SKUs'!I:I),"")</f>
        <v>Pre Finished White</v>
      </c>
      <c r="P1308" t="str">
        <f>IFERROR(_xlfn.XLOOKUP($A1308,'Base SKUs'!$E:$E,'Base SKUs'!J:J),"")</f>
        <v>1x6</v>
      </c>
      <c r="Q1308">
        <f>IFERROR(_xlfn.XLOOKUP($A1308,'Base SKUs'!$E:$E,'Base SKUs'!K:K),"")</f>
        <v>14</v>
      </c>
      <c r="R1308" s="7">
        <f>IFERROR(_xlfn.XLOOKUP($A1308,'Base SKUs'!$E:$E,'Base SKUs'!S:S),"")</f>
        <v>1.10124E-2</v>
      </c>
      <c r="S1308" s="8">
        <f t="shared" si="102"/>
        <v>6.0788448000000006</v>
      </c>
      <c r="T1308" s="7">
        <f>IFERROR(_xlfn.XLOOKUP($A1308,'Base SKUs'!$E:$E,'Base SKUs'!R:R),"")</f>
        <v>1251.2739999999999</v>
      </c>
      <c r="U1308" s="15">
        <f t="shared" si="103"/>
        <v>7606</v>
      </c>
      <c r="V1308" t="str">
        <f t="shared" si="104"/>
        <v>Miami</v>
      </c>
    </row>
    <row r="1309" spans="1:22" x14ac:dyDescent="0.2">
      <c r="A1309" t="s">
        <v>1746</v>
      </c>
      <c r="B1309" s="5">
        <v>188</v>
      </c>
      <c r="C1309" s="5">
        <v>0</v>
      </c>
      <c r="D1309" s="5">
        <f t="shared" si="100"/>
        <v>188</v>
      </c>
      <c r="E1309" s="6">
        <v>31.147600000000001</v>
      </c>
      <c r="F1309" s="6">
        <f t="shared" si="101"/>
        <v>5855.7488000000003</v>
      </c>
      <c r="G1309" t="s">
        <v>24</v>
      </c>
      <c r="H1309">
        <v>9008</v>
      </c>
      <c r="I1309" t="str">
        <f>IFERROR(_xlfn.XLOOKUP($A1309,'Base SKUs'!$E:$E,'Base SKUs'!A:A),"")</f>
        <v>Radiata</v>
      </c>
      <c r="J1309" t="str">
        <f>IFERROR(_xlfn.XLOOKUP($A1309,'Base SKUs'!$E:$E,'Base SKUs'!B:B),"")</f>
        <v>Radiata 1x6</v>
      </c>
      <c r="K1309" t="str">
        <f>IFERROR(_xlfn.XLOOKUP($A1309,'Base SKUs'!$E:$E,'Base SKUs'!C:C),"")</f>
        <v>Long</v>
      </c>
      <c r="L1309" t="str">
        <f>IFERROR(_xlfn.XLOOKUP($A1309,'Base SKUs'!$E:$E,'Base SKUs'!D:D),"")</f>
        <v>Thermowood</v>
      </c>
      <c r="M1309" t="str">
        <f>IFERROR(_xlfn.XLOOKUP($A1309,'Base SKUs'!$E:$E,'Base SKUs'!G:G),"")</f>
        <v>Maximo Thermo Clear Radiata</v>
      </c>
      <c r="N1309" t="str">
        <f>IFERROR(_xlfn.XLOOKUP($A1309,'Base SKUs'!$E:$E,'Base SKUs'!H:H),"")</f>
        <v>Nickel Gap</v>
      </c>
      <c r="O1309" t="str">
        <f>IFERROR(_xlfn.XLOOKUP($A1309,'Base SKUs'!$E:$E,'Base SKUs'!I:I),"")</f>
        <v>Pre Finished White</v>
      </c>
      <c r="P1309" t="str">
        <f>IFERROR(_xlfn.XLOOKUP($A1309,'Base SKUs'!$E:$E,'Base SKUs'!J:J),"")</f>
        <v>1x6</v>
      </c>
      <c r="Q1309">
        <f>IFERROR(_xlfn.XLOOKUP($A1309,'Base SKUs'!$E:$E,'Base SKUs'!K:K),"")</f>
        <v>14</v>
      </c>
      <c r="R1309" s="7">
        <f>IFERROR(_xlfn.XLOOKUP($A1309,'Base SKUs'!$E:$E,'Base SKUs'!S:S),"")</f>
        <v>1.10124E-2</v>
      </c>
      <c r="S1309" s="8">
        <f t="shared" si="102"/>
        <v>2.0703312</v>
      </c>
      <c r="T1309" s="7">
        <f>IFERROR(_xlfn.XLOOKUP($A1309,'Base SKUs'!$E:$E,'Base SKUs'!R:R),"")</f>
        <v>1251.2739999999999</v>
      </c>
      <c r="U1309" s="15">
        <f t="shared" si="103"/>
        <v>2591</v>
      </c>
      <c r="V1309" t="str">
        <f t="shared" si="104"/>
        <v>Texas</v>
      </c>
    </row>
    <row r="1310" spans="1:22" x14ac:dyDescent="0.2">
      <c r="A1310" t="s">
        <v>1746</v>
      </c>
      <c r="B1310" s="5">
        <v>498</v>
      </c>
      <c r="C1310" s="5">
        <v>0</v>
      </c>
      <c r="D1310" s="5">
        <f t="shared" si="100"/>
        <v>498</v>
      </c>
      <c r="E1310" s="6">
        <v>31.147600000000001</v>
      </c>
      <c r="F1310" s="6">
        <f t="shared" si="101"/>
        <v>15511.504800000001</v>
      </c>
      <c r="G1310" t="s">
        <v>330</v>
      </c>
      <c r="H1310">
        <v>9011</v>
      </c>
      <c r="I1310" t="str">
        <f>IFERROR(_xlfn.XLOOKUP($A1310,'Base SKUs'!$E:$E,'Base SKUs'!A:A),"")</f>
        <v>Radiata</v>
      </c>
      <c r="J1310" t="str">
        <f>IFERROR(_xlfn.XLOOKUP($A1310,'Base SKUs'!$E:$E,'Base SKUs'!B:B),"")</f>
        <v>Radiata 1x6</v>
      </c>
      <c r="K1310" t="str">
        <f>IFERROR(_xlfn.XLOOKUP($A1310,'Base SKUs'!$E:$E,'Base SKUs'!C:C),"")</f>
        <v>Long</v>
      </c>
      <c r="L1310" t="str">
        <f>IFERROR(_xlfn.XLOOKUP($A1310,'Base SKUs'!$E:$E,'Base SKUs'!D:D),"")</f>
        <v>Thermowood</v>
      </c>
      <c r="M1310" t="str">
        <f>IFERROR(_xlfn.XLOOKUP($A1310,'Base SKUs'!$E:$E,'Base SKUs'!G:G),"")</f>
        <v>Maximo Thermo Clear Radiata</v>
      </c>
      <c r="N1310" t="str">
        <f>IFERROR(_xlfn.XLOOKUP($A1310,'Base SKUs'!$E:$E,'Base SKUs'!H:H),"")</f>
        <v>Nickel Gap</v>
      </c>
      <c r="O1310" t="str">
        <f>IFERROR(_xlfn.XLOOKUP($A1310,'Base SKUs'!$E:$E,'Base SKUs'!I:I),"")</f>
        <v>Pre Finished White</v>
      </c>
      <c r="P1310" t="str">
        <f>IFERROR(_xlfn.XLOOKUP($A1310,'Base SKUs'!$E:$E,'Base SKUs'!J:J),"")</f>
        <v>1x6</v>
      </c>
      <c r="Q1310">
        <f>IFERROR(_xlfn.XLOOKUP($A1310,'Base SKUs'!$E:$E,'Base SKUs'!K:K),"")</f>
        <v>14</v>
      </c>
      <c r="R1310" s="7">
        <f>IFERROR(_xlfn.XLOOKUP($A1310,'Base SKUs'!$E:$E,'Base SKUs'!S:S),"")</f>
        <v>1.10124E-2</v>
      </c>
      <c r="S1310" s="8">
        <f t="shared" si="102"/>
        <v>5.4841752000000001</v>
      </c>
      <c r="T1310" s="7">
        <f>IFERROR(_xlfn.XLOOKUP($A1310,'Base SKUs'!$E:$E,'Base SKUs'!R:R),"")</f>
        <v>1251.2739999999999</v>
      </c>
      <c r="U1310" s="15">
        <f t="shared" si="103"/>
        <v>6862</v>
      </c>
      <c r="V1310" t="str">
        <f t="shared" si="104"/>
        <v>New York</v>
      </c>
    </row>
    <row r="1311" spans="1:22" x14ac:dyDescent="0.2">
      <c r="A1311" t="s">
        <v>1748</v>
      </c>
      <c r="B1311" s="5">
        <v>451</v>
      </c>
      <c r="C1311" s="5">
        <v>0</v>
      </c>
      <c r="D1311" s="5">
        <f t="shared" si="100"/>
        <v>451</v>
      </c>
      <c r="E1311" s="6">
        <v>35.597200000000001</v>
      </c>
      <c r="F1311" s="6">
        <f t="shared" si="101"/>
        <v>16054.3372</v>
      </c>
      <c r="G1311" t="s">
        <v>17</v>
      </c>
      <c r="H1311">
        <v>9007</v>
      </c>
      <c r="I1311" t="str">
        <f>IFERROR(_xlfn.XLOOKUP($A1311,'Base SKUs'!$E:$E,'Base SKUs'!A:A),"")</f>
        <v>Radiata</v>
      </c>
      <c r="J1311" t="str">
        <f>IFERROR(_xlfn.XLOOKUP($A1311,'Base SKUs'!$E:$E,'Base SKUs'!B:B),"")</f>
        <v>Radiata 1x6</v>
      </c>
      <c r="K1311" t="str">
        <f>IFERROR(_xlfn.XLOOKUP($A1311,'Base SKUs'!$E:$E,'Base SKUs'!C:C),"")</f>
        <v>Long</v>
      </c>
      <c r="L1311" t="str">
        <f>IFERROR(_xlfn.XLOOKUP($A1311,'Base SKUs'!$E:$E,'Base SKUs'!D:D),"")</f>
        <v>Thermowood</v>
      </c>
      <c r="M1311" t="str">
        <f>IFERROR(_xlfn.XLOOKUP($A1311,'Base SKUs'!$E:$E,'Base SKUs'!G:G),"")</f>
        <v>Maximo Thermo Clear Radiata</v>
      </c>
      <c r="N1311" t="str">
        <f>IFERROR(_xlfn.XLOOKUP($A1311,'Base SKUs'!$E:$E,'Base SKUs'!H:H),"")</f>
        <v>Nickel Gap</v>
      </c>
      <c r="O1311" t="str">
        <f>IFERROR(_xlfn.XLOOKUP($A1311,'Base SKUs'!$E:$E,'Base SKUs'!I:I),"")</f>
        <v>Pre Finished White</v>
      </c>
      <c r="P1311" t="str">
        <f>IFERROR(_xlfn.XLOOKUP($A1311,'Base SKUs'!$E:$E,'Base SKUs'!J:J),"")</f>
        <v>1x6</v>
      </c>
      <c r="Q1311">
        <f>IFERROR(_xlfn.XLOOKUP($A1311,'Base SKUs'!$E:$E,'Base SKUs'!K:K),"")</f>
        <v>16</v>
      </c>
      <c r="R1311" s="7">
        <f>IFERROR(_xlfn.XLOOKUP($A1311,'Base SKUs'!$E:$E,'Base SKUs'!S:S),"")</f>
        <v>1.2585600000000001E-2</v>
      </c>
      <c r="S1311" s="8">
        <f t="shared" si="102"/>
        <v>5.6761056000000005</v>
      </c>
      <c r="T1311" s="7">
        <f>IFERROR(_xlfn.XLOOKUP($A1311,'Base SKUs'!$E:$E,'Base SKUs'!R:R),"")</f>
        <v>1251.2739999999999</v>
      </c>
      <c r="U1311" s="15">
        <f t="shared" si="103"/>
        <v>7102</v>
      </c>
      <c r="V1311" t="str">
        <f t="shared" si="104"/>
        <v>Miami</v>
      </c>
    </row>
    <row r="1312" spans="1:22" x14ac:dyDescent="0.2">
      <c r="A1312" t="s">
        <v>1748</v>
      </c>
      <c r="B1312" s="5">
        <v>4</v>
      </c>
      <c r="C1312" s="5">
        <v>0</v>
      </c>
      <c r="D1312" s="5">
        <f t="shared" si="100"/>
        <v>4</v>
      </c>
      <c r="E1312" s="6">
        <v>35.597200000000001</v>
      </c>
      <c r="F1312" s="6">
        <f t="shared" si="101"/>
        <v>142.3888</v>
      </c>
      <c r="G1312" t="s">
        <v>24</v>
      </c>
      <c r="H1312">
        <v>9008</v>
      </c>
      <c r="I1312" t="str">
        <f>IFERROR(_xlfn.XLOOKUP($A1312,'Base SKUs'!$E:$E,'Base SKUs'!A:A),"")</f>
        <v>Radiata</v>
      </c>
      <c r="J1312" t="str">
        <f>IFERROR(_xlfn.XLOOKUP($A1312,'Base SKUs'!$E:$E,'Base SKUs'!B:B),"")</f>
        <v>Radiata 1x6</v>
      </c>
      <c r="K1312" t="str">
        <f>IFERROR(_xlfn.XLOOKUP($A1312,'Base SKUs'!$E:$E,'Base SKUs'!C:C),"")</f>
        <v>Long</v>
      </c>
      <c r="L1312" t="str">
        <f>IFERROR(_xlfn.XLOOKUP($A1312,'Base SKUs'!$E:$E,'Base SKUs'!D:D),"")</f>
        <v>Thermowood</v>
      </c>
      <c r="M1312" t="str">
        <f>IFERROR(_xlfn.XLOOKUP($A1312,'Base SKUs'!$E:$E,'Base SKUs'!G:G),"")</f>
        <v>Maximo Thermo Clear Radiata</v>
      </c>
      <c r="N1312" t="str">
        <f>IFERROR(_xlfn.XLOOKUP($A1312,'Base SKUs'!$E:$E,'Base SKUs'!H:H),"")</f>
        <v>Nickel Gap</v>
      </c>
      <c r="O1312" t="str">
        <f>IFERROR(_xlfn.XLOOKUP($A1312,'Base SKUs'!$E:$E,'Base SKUs'!I:I),"")</f>
        <v>Pre Finished White</v>
      </c>
      <c r="P1312" t="str">
        <f>IFERROR(_xlfn.XLOOKUP($A1312,'Base SKUs'!$E:$E,'Base SKUs'!J:J),"")</f>
        <v>1x6</v>
      </c>
      <c r="Q1312">
        <f>IFERROR(_xlfn.XLOOKUP($A1312,'Base SKUs'!$E:$E,'Base SKUs'!K:K),"")</f>
        <v>16</v>
      </c>
      <c r="R1312" s="7">
        <f>IFERROR(_xlfn.XLOOKUP($A1312,'Base SKUs'!$E:$E,'Base SKUs'!S:S),"")</f>
        <v>1.2585600000000001E-2</v>
      </c>
      <c r="S1312" s="8">
        <f t="shared" si="102"/>
        <v>5.0342400000000002E-2</v>
      </c>
      <c r="T1312" s="7">
        <f>IFERROR(_xlfn.XLOOKUP($A1312,'Base SKUs'!$E:$E,'Base SKUs'!R:R),"")</f>
        <v>1251.2739999999999</v>
      </c>
      <c r="U1312" s="15">
        <f t="shared" si="103"/>
        <v>63</v>
      </c>
      <c r="V1312" t="str">
        <f t="shared" si="104"/>
        <v>Texas</v>
      </c>
    </row>
    <row r="1313" spans="1:22" x14ac:dyDescent="0.2">
      <c r="A1313" t="s">
        <v>1748</v>
      </c>
      <c r="B1313" s="5">
        <v>272</v>
      </c>
      <c r="C1313" s="5">
        <v>0</v>
      </c>
      <c r="D1313" s="5">
        <f t="shared" si="100"/>
        <v>272</v>
      </c>
      <c r="E1313" s="6">
        <v>35.597200000000001</v>
      </c>
      <c r="F1313" s="6">
        <f t="shared" si="101"/>
        <v>9682.4384000000009</v>
      </c>
      <c r="G1313" t="s">
        <v>330</v>
      </c>
      <c r="H1313">
        <v>9011</v>
      </c>
      <c r="I1313" t="str">
        <f>IFERROR(_xlfn.XLOOKUP($A1313,'Base SKUs'!$E:$E,'Base SKUs'!A:A),"")</f>
        <v>Radiata</v>
      </c>
      <c r="J1313" t="str">
        <f>IFERROR(_xlfn.XLOOKUP($A1313,'Base SKUs'!$E:$E,'Base SKUs'!B:B),"")</f>
        <v>Radiata 1x6</v>
      </c>
      <c r="K1313" t="str">
        <f>IFERROR(_xlfn.XLOOKUP($A1313,'Base SKUs'!$E:$E,'Base SKUs'!C:C),"")</f>
        <v>Long</v>
      </c>
      <c r="L1313" t="str">
        <f>IFERROR(_xlfn.XLOOKUP($A1313,'Base SKUs'!$E:$E,'Base SKUs'!D:D),"")</f>
        <v>Thermowood</v>
      </c>
      <c r="M1313" t="str">
        <f>IFERROR(_xlfn.XLOOKUP($A1313,'Base SKUs'!$E:$E,'Base SKUs'!G:G),"")</f>
        <v>Maximo Thermo Clear Radiata</v>
      </c>
      <c r="N1313" t="str">
        <f>IFERROR(_xlfn.XLOOKUP($A1313,'Base SKUs'!$E:$E,'Base SKUs'!H:H),"")</f>
        <v>Nickel Gap</v>
      </c>
      <c r="O1313" t="str">
        <f>IFERROR(_xlfn.XLOOKUP($A1313,'Base SKUs'!$E:$E,'Base SKUs'!I:I),"")</f>
        <v>Pre Finished White</v>
      </c>
      <c r="P1313" t="str">
        <f>IFERROR(_xlfn.XLOOKUP($A1313,'Base SKUs'!$E:$E,'Base SKUs'!J:J),"")</f>
        <v>1x6</v>
      </c>
      <c r="Q1313">
        <f>IFERROR(_xlfn.XLOOKUP($A1313,'Base SKUs'!$E:$E,'Base SKUs'!K:K),"")</f>
        <v>16</v>
      </c>
      <c r="R1313" s="7">
        <f>IFERROR(_xlfn.XLOOKUP($A1313,'Base SKUs'!$E:$E,'Base SKUs'!S:S),"")</f>
        <v>1.2585600000000001E-2</v>
      </c>
      <c r="S1313" s="8">
        <f t="shared" si="102"/>
        <v>3.4232832000000002</v>
      </c>
      <c r="T1313" s="7">
        <f>IFERROR(_xlfn.XLOOKUP($A1313,'Base SKUs'!$E:$E,'Base SKUs'!R:R),"")</f>
        <v>1251.2739999999999</v>
      </c>
      <c r="U1313" s="15">
        <f t="shared" si="103"/>
        <v>4283</v>
      </c>
      <c r="V1313" t="str">
        <f t="shared" si="104"/>
        <v>New York</v>
      </c>
    </row>
    <row r="1314" spans="1:22" x14ac:dyDescent="0.2">
      <c r="A1314" t="s">
        <v>1750</v>
      </c>
      <c r="B1314" s="5">
        <v>15</v>
      </c>
      <c r="C1314" s="5">
        <v>0</v>
      </c>
      <c r="D1314" s="5">
        <f t="shared" si="100"/>
        <v>15</v>
      </c>
      <c r="E1314" s="6">
        <v>37.822099999999999</v>
      </c>
      <c r="F1314" s="6">
        <f t="shared" si="101"/>
        <v>567.33150000000001</v>
      </c>
      <c r="G1314" t="s">
        <v>24</v>
      </c>
      <c r="H1314">
        <v>9008</v>
      </c>
      <c r="I1314" t="str">
        <f>IFERROR(_xlfn.XLOOKUP($A1314,'Base SKUs'!$E:$E,'Base SKUs'!A:A),"")</f>
        <v>Radiata</v>
      </c>
      <c r="J1314" t="str">
        <f>IFERROR(_xlfn.XLOOKUP($A1314,'Base SKUs'!$E:$E,'Base SKUs'!B:B),"")</f>
        <v>Radiata 1x6</v>
      </c>
      <c r="K1314" t="str">
        <f>IFERROR(_xlfn.XLOOKUP($A1314,'Base SKUs'!$E:$E,'Base SKUs'!C:C),"")</f>
        <v>Long</v>
      </c>
      <c r="L1314" t="str">
        <f>IFERROR(_xlfn.XLOOKUP($A1314,'Base SKUs'!$E:$E,'Base SKUs'!D:D),"")</f>
        <v>Thermowood</v>
      </c>
      <c r="M1314" t="str">
        <f>IFERROR(_xlfn.XLOOKUP($A1314,'Base SKUs'!$E:$E,'Base SKUs'!G:G),"")</f>
        <v>Maximo Thermo Clear Radiata</v>
      </c>
      <c r="N1314" t="str">
        <f>IFERROR(_xlfn.XLOOKUP($A1314,'Base SKUs'!$E:$E,'Base SKUs'!H:H),"")</f>
        <v>Nickel Gap</v>
      </c>
      <c r="O1314" t="str">
        <f>IFERROR(_xlfn.XLOOKUP($A1314,'Base SKUs'!$E:$E,'Base SKUs'!I:I),"")</f>
        <v>Pre Finished White</v>
      </c>
      <c r="P1314" t="str">
        <f>IFERROR(_xlfn.XLOOKUP($A1314,'Base SKUs'!$E:$E,'Base SKUs'!J:J),"")</f>
        <v>1x6</v>
      </c>
      <c r="Q1314">
        <f>IFERROR(_xlfn.XLOOKUP($A1314,'Base SKUs'!$E:$E,'Base SKUs'!K:K),"")</f>
        <v>17</v>
      </c>
      <c r="R1314" s="7">
        <f>IFERROR(_xlfn.XLOOKUP($A1314,'Base SKUs'!$E:$E,'Base SKUs'!S:S),"")</f>
        <v>1.3372199999999997E-2</v>
      </c>
      <c r="S1314" s="8">
        <f t="shared" si="102"/>
        <v>0.20058299999999996</v>
      </c>
      <c r="T1314" s="7">
        <f>IFERROR(_xlfn.XLOOKUP($A1314,'Base SKUs'!$E:$E,'Base SKUs'!R:R),"")</f>
        <v>1251.2739999999999</v>
      </c>
      <c r="U1314" s="15">
        <f t="shared" si="103"/>
        <v>251</v>
      </c>
      <c r="V1314" t="str">
        <f t="shared" si="104"/>
        <v>Texas</v>
      </c>
    </row>
    <row r="1315" spans="1:22" x14ac:dyDescent="0.2">
      <c r="A1315" t="s">
        <v>1752</v>
      </c>
      <c r="B1315" s="5">
        <v>350</v>
      </c>
      <c r="C1315" s="5">
        <v>0</v>
      </c>
      <c r="D1315" s="5">
        <f t="shared" si="100"/>
        <v>350</v>
      </c>
      <c r="E1315" s="6">
        <v>40.046900000000001</v>
      </c>
      <c r="F1315" s="6">
        <f t="shared" si="101"/>
        <v>14016.415000000001</v>
      </c>
      <c r="G1315" t="s">
        <v>24</v>
      </c>
      <c r="H1315">
        <v>9008</v>
      </c>
      <c r="I1315" t="str">
        <f>IFERROR(_xlfn.XLOOKUP($A1315,'Base SKUs'!$E:$E,'Base SKUs'!A:A),"")</f>
        <v>Radiata</v>
      </c>
      <c r="J1315" t="str">
        <f>IFERROR(_xlfn.XLOOKUP($A1315,'Base SKUs'!$E:$E,'Base SKUs'!B:B),"")</f>
        <v>Radiata 1x6</v>
      </c>
      <c r="K1315" t="str">
        <f>IFERROR(_xlfn.XLOOKUP($A1315,'Base SKUs'!$E:$E,'Base SKUs'!C:C),"")</f>
        <v>Long</v>
      </c>
      <c r="L1315" t="str">
        <f>IFERROR(_xlfn.XLOOKUP($A1315,'Base SKUs'!$E:$E,'Base SKUs'!D:D),"")</f>
        <v>Thermowood</v>
      </c>
      <c r="M1315" t="str">
        <f>IFERROR(_xlfn.XLOOKUP($A1315,'Base SKUs'!$E:$E,'Base SKUs'!G:G),"")</f>
        <v>Maximo Thermo Clear Radiata</v>
      </c>
      <c r="N1315" t="str">
        <f>IFERROR(_xlfn.XLOOKUP($A1315,'Base SKUs'!$E:$E,'Base SKUs'!H:H),"")</f>
        <v>Nickel Gap</v>
      </c>
      <c r="O1315" t="str">
        <f>IFERROR(_xlfn.XLOOKUP($A1315,'Base SKUs'!$E:$E,'Base SKUs'!I:I),"")</f>
        <v>Pre Finished White</v>
      </c>
      <c r="P1315" t="str">
        <f>IFERROR(_xlfn.XLOOKUP($A1315,'Base SKUs'!$E:$E,'Base SKUs'!J:J),"")</f>
        <v>1x6</v>
      </c>
      <c r="Q1315">
        <f>IFERROR(_xlfn.XLOOKUP($A1315,'Base SKUs'!$E:$E,'Base SKUs'!K:K),"")</f>
        <v>18</v>
      </c>
      <c r="R1315" s="7">
        <f>IFERROR(_xlfn.XLOOKUP($A1315,'Base SKUs'!$E:$E,'Base SKUs'!S:S),"")</f>
        <v>1.4158800000000001E-2</v>
      </c>
      <c r="S1315" s="8">
        <f t="shared" si="102"/>
        <v>4.9555800000000003</v>
      </c>
      <c r="T1315" s="7">
        <f>IFERROR(_xlfn.XLOOKUP($A1315,'Base SKUs'!$E:$E,'Base SKUs'!R:R),"")</f>
        <v>1251.2739999999999</v>
      </c>
      <c r="U1315" s="15">
        <f t="shared" si="103"/>
        <v>6201</v>
      </c>
      <c r="V1315" t="str">
        <f t="shared" si="104"/>
        <v>Texas</v>
      </c>
    </row>
    <row r="1316" spans="1:22" x14ac:dyDescent="0.2">
      <c r="A1316" t="s">
        <v>1754</v>
      </c>
      <c r="B1316" s="5">
        <v>35</v>
      </c>
      <c r="C1316" s="5">
        <v>0</v>
      </c>
      <c r="D1316" s="5">
        <f t="shared" si="100"/>
        <v>35</v>
      </c>
      <c r="E1316" s="6">
        <v>8.8993000000000002</v>
      </c>
      <c r="F1316" s="6">
        <f t="shared" si="101"/>
        <v>311.47550000000001</v>
      </c>
      <c r="G1316" t="s">
        <v>17</v>
      </c>
      <c r="H1316">
        <v>9007</v>
      </c>
      <c r="I1316" t="str">
        <f>IFERROR(_xlfn.XLOOKUP($A1316,'Base SKUs'!$E:$E,'Base SKUs'!A:A),"")</f>
        <v>Radiata</v>
      </c>
      <c r="J1316" t="str">
        <f>IFERROR(_xlfn.XLOOKUP($A1316,'Base SKUs'!$E:$E,'Base SKUs'!B:B),"")</f>
        <v>Radiata 1x6</v>
      </c>
      <c r="K1316" t="str">
        <f>IFERROR(_xlfn.XLOOKUP($A1316,'Base SKUs'!$E:$E,'Base SKUs'!C:C),"")</f>
        <v>Short</v>
      </c>
      <c r="L1316" t="str">
        <f>IFERROR(_xlfn.XLOOKUP($A1316,'Base SKUs'!$E:$E,'Base SKUs'!D:D),"")</f>
        <v>Thermowood</v>
      </c>
      <c r="M1316" t="str">
        <f>IFERROR(_xlfn.XLOOKUP($A1316,'Base SKUs'!$E:$E,'Base SKUs'!G:G),"")</f>
        <v>Maximo Thermo Clear Radiata</v>
      </c>
      <c r="N1316" t="str">
        <f>IFERROR(_xlfn.XLOOKUP($A1316,'Base SKUs'!$E:$E,'Base SKUs'!H:H),"")</f>
        <v>Nickel Gap</v>
      </c>
      <c r="O1316" t="str">
        <f>IFERROR(_xlfn.XLOOKUP($A1316,'Base SKUs'!$E:$E,'Base SKUs'!I:I),"")</f>
        <v>Pre Finished White</v>
      </c>
      <c r="P1316" t="str">
        <f>IFERROR(_xlfn.XLOOKUP($A1316,'Base SKUs'!$E:$E,'Base SKUs'!J:J),"")</f>
        <v>1x6</v>
      </c>
      <c r="Q1316">
        <f>IFERROR(_xlfn.XLOOKUP($A1316,'Base SKUs'!$E:$E,'Base SKUs'!K:K),"")</f>
        <v>4</v>
      </c>
      <c r="R1316" s="7">
        <f>IFERROR(_xlfn.XLOOKUP($A1316,'Base SKUs'!$E:$E,'Base SKUs'!S:S),"")</f>
        <v>3.1464000000000002E-3</v>
      </c>
      <c r="S1316" s="8">
        <f t="shared" si="102"/>
        <v>0.110124</v>
      </c>
      <c r="T1316" s="7">
        <f>IFERROR(_xlfn.XLOOKUP($A1316,'Base SKUs'!$E:$E,'Base SKUs'!R:R),"")</f>
        <v>1251.2739999999999</v>
      </c>
      <c r="U1316" s="15">
        <f t="shared" si="103"/>
        <v>138</v>
      </c>
      <c r="V1316" t="str">
        <f t="shared" si="104"/>
        <v>Miami</v>
      </c>
    </row>
    <row r="1317" spans="1:22" x14ac:dyDescent="0.2">
      <c r="A1317" t="s">
        <v>1754</v>
      </c>
      <c r="B1317" s="5">
        <v>8</v>
      </c>
      <c r="C1317" s="5">
        <v>0</v>
      </c>
      <c r="D1317" s="5">
        <f t="shared" si="100"/>
        <v>8</v>
      </c>
      <c r="E1317" s="6">
        <v>8.8993000000000002</v>
      </c>
      <c r="F1317" s="6">
        <f t="shared" si="101"/>
        <v>71.194400000000002</v>
      </c>
      <c r="G1317" t="s">
        <v>24</v>
      </c>
      <c r="H1317">
        <v>9008</v>
      </c>
      <c r="I1317" t="str">
        <f>IFERROR(_xlfn.XLOOKUP($A1317,'Base SKUs'!$E:$E,'Base SKUs'!A:A),"")</f>
        <v>Radiata</v>
      </c>
      <c r="J1317" t="str">
        <f>IFERROR(_xlfn.XLOOKUP($A1317,'Base SKUs'!$E:$E,'Base SKUs'!B:B),"")</f>
        <v>Radiata 1x6</v>
      </c>
      <c r="K1317" t="str">
        <f>IFERROR(_xlfn.XLOOKUP($A1317,'Base SKUs'!$E:$E,'Base SKUs'!C:C),"")</f>
        <v>Short</v>
      </c>
      <c r="L1317" t="str">
        <f>IFERROR(_xlfn.XLOOKUP($A1317,'Base SKUs'!$E:$E,'Base SKUs'!D:D),"")</f>
        <v>Thermowood</v>
      </c>
      <c r="M1317" t="str">
        <f>IFERROR(_xlfn.XLOOKUP($A1317,'Base SKUs'!$E:$E,'Base SKUs'!G:G),"")</f>
        <v>Maximo Thermo Clear Radiata</v>
      </c>
      <c r="N1317" t="str">
        <f>IFERROR(_xlfn.XLOOKUP($A1317,'Base SKUs'!$E:$E,'Base SKUs'!H:H),"")</f>
        <v>Nickel Gap</v>
      </c>
      <c r="O1317" t="str">
        <f>IFERROR(_xlfn.XLOOKUP($A1317,'Base SKUs'!$E:$E,'Base SKUs'!I:I),"")</f>
        <v>Pre Finished White</v>
      </c>
      <c r="P1317" t="str">
        <f>IFERROR(_xlfn.XLOOKUP($A1317,'Base SKUs'!$E:$E,'Base SKUs'!J:J),"")</f>
        <v>1x6</v>
      </c>
      <c r="Q1317">
        <f>IFERROR(_xlfn.XLOOKUP($A1317,'Base SKUs'!$E:$E,'Base SKUs'!K:K),"")</f>
        <v>4</v>
      </c>
      <c r="R1317" s="7">
        <f>IFERROR(_xlfn.XLOOKUP($A1317,'Base SKUs'!$E:$E,'Base SKUs'!S:S),"")</f>
        <v>3.1464000000000002E-3</v>
      </c>
      <c r="S1317" s="8">
        <f t="shared" si="102"/>
        <v>2.5171200000000001E-2</v>
      </c>
      <c r="T1317" s="7">
        <f>IFERROR(_xlfn.XLOOKUP($A1317,'Base SKUs'!$E:$E,'Base SKUs'!R:R),"")</f>
        <v>1251.2739999999999</v>
      </c>
      <c r="U1317" s="15">
        <f t="shared" si="103"/>
        <v>31</v>
      </c>
      <c r="V1317" t="str">
        <f t="shared" si="104"/>
        <v>Texas</v>
      </c>
    </row>
    <row r="1318" spans="1:22" x14ac:dyDescent="0.2">
      <c r="A1318" t="s">
        <v>1756</v>
      </c>
      <c r="B1318" s="5">
        <v>9</v>
      </c>
      <c r="C1318" s="5">
        <v>0</v>
      </c>
      <c r="D1318" s="5">
        <f t="shared" si="100"/>
        <v>9</v>
      </c>
      <c r="E1318" s="6">
        <v>11.1241</v>
      </c>
      <c r="F1318" s="6">
        <f t="shared" si="101"/>
        <v>100.1169</v>
      </c>
      <c r="G1318" t="s">
        <v>24</v>
      </c>
      <c r="H1318">
        <v>9008</v>
      </c>
      <c r="I1318" t="str">
        <f>IFERROR(_xlfn.XLOOKUP($A1318,'Base SKUs'!$E:$E,'Base SKUs'!A:A),"")</f>
        <v>Radiata</v>
      </c>
      <c r="J1318" t="str">
        <f>IFERROR(_xlfn.XLOOKUP($A1318,'Base SKUs'!$E:$E,'Base SKUs'!B:B),"")</f>
        <v>Radiata 1x6</v>
      </c>
      <c r="K1318" t="str">
        <f>IFERROR(_xlfn.XLOOKUP($A1318,'Base SKUs'!$E:$E,'Base SKUs'!C:C),"")</f>
        <v>Short</v>
      </c>
      <c r="L1318" t="str">
        <f>IFERROR(_xlfn.XLOOKUP($A1318,'Base SKUs'!$E:$E,'Base SKUs'!D:D),"")</f>
        <v>Thermowood</v>
      </c>
      <c r="M1318" t="str">
        <f>IFERROR(_xlfn.XLOOKUP($A1318,'Base SKUs'!$E:$E,'Base SKUs'!G:G),"")</f>
        <v>Maximo Thermo Clear Radiata</v>
      </c>
      <c r="N1318" t="str">
        <f>IFERROR(_xlfn.XLOOKUP($A1318,'Base SKUs'!$E:$E,'Base SKUs'!H:H),"")</f>
        <v>Nickel Gap</v>
      </c>
      <c r="O1318" t="str">
        <f>IFERROR(_xlfn.XLOOKUP($A1318,'Base SKUs'!$E:$E,'Base SKUs'!I:I),"")</f>
        <v>Pre Finished White</v>
      </c>
      <c r="P1318" t="str">
        <f>IFERROR(_xlfn.XLOOKUP($A1318,'Base SKUs'!$E:$E,'Base SKUs'!J:J),"")</f>
        <v>1x6</v>
      </c>
      <c r="Q1318">
        <f>IFERROR(_xlfn.XLOOKUP($A1318,'Base SKUs'!$E:$E,'Base SKUs'!K:K),"")</f>
        <v>5</v>
      </c>
      <c r="R1318" s="7">
        <f>IFERROR(_xlfn.XLOOKUP($A1318,'Base SKUs'!$E:$E,'Base SKUs'!S:S),"")</f>
        <v>3.9329999999999999E-3</v>
      </c>
      <c r="S1318" s="8">
        <f t="shared" si="102"/>
        <v>3.5396999999999998E-2</v>
      </c>
      <c r="T1318" s="7">
        <f>IFERROR(_xlfn.XLOOKUP($A1318,'Base SKUs'!$E:$E,'Base SKUs'!R:R),"")</f>
        <v>1251.2739999999999</v>
      </c>
      <c r="U1318" s="15">
        <f t="shared" si="103"/>
        <v>44</v>
      </c>
      <c r="V1318" t="str">
        <f t="shared" si="104"/>
        <v>Texas</v>
      </c>
    </row>
    <row r="1319" spans="1:22" x14ac:dyDescent="0.2">
      <c r="A1319" t="s">
        <v>1758</v>
      </c>
      <c r="B1319" s="5">
        <v>3</v>
      </c>
      <c r="C1319" s="5">
        <v>0</v>
      </c>
      <c r="D1319" s="5">
        <f t="shared" si="100"/>
        <v>3</v>
      </c>
      <c r="E1319" s="6">
        <v>13.3489</v>
      </c>
      <c r="F1319" s="6">
        <f t="shared" si="101"/>
        <v>40.046700000000001</v>
      </c>
      <c r="G1319" t="s">
        <v>24</v>
      </c>
      <c r="H1319">
        <v>9008</v>
      </c>
      <c r="I1319" t="str">
        <f>IFERROR(_xlfn.XLOOKUP($A1319,'Base SKUs'!$E:$E,'Base SKUs'!A:A),"")</f>
        <v>Radiata</v>
      </c>
      <c r="J1319" t="str">
        <f>IFERROR(_xlfn.XLOOKUP($A1319,'Base SKUs'!$E:$E,'Base SKUs'!B:B),"")</f>
        <v>Radiata 1x6</v>
      </c>
      <c r="K1319" t="str">
        <f>IFERROR(_xlfn.XLOOKUP($A1319,'Base SKUs'!$E:$E,'Base SKUs'!C:C),"")</f>
        <v>Short</v>
      </c>
      <c r="L1319" t="str">
        <f>IFERROR(_xlfn.XLOOKUP($A1319,'Base SKUs'!$E:$E,'Base SKUs'!D:D),"")</f>
        <v>Thermowood</v>
      </c>
      <c r="M1319" t="str">
        <f>IFERROR(_xlfn.XLOOKUP($A1319,'Base SKUs'!$E:$E,'Base SKUs'!G:G),"")</f>
        <v>Maximo Thermo Clear Radiata</v>
      </c>
      <c r="N1319" t="str">
        <f>IFERROR(_xlfn.XLOOKUP($A1319,'Base SKUs'!$E:$E,'Base SKUs'!H:H),"")</f>
        <v>Nickel Gap</v>
      </c>
      <c r="O1319" t="str">
        <f>IFERROR(_xlfn.XLOOKUP($A1319,'Base SKUs'!$E:$E,'Base SKUs'!I:I),"")</f>
        <v>Pre Finished White</v>
      </c>
      <c r="P1319" t="str">
        <f>IFERROR(_xlfn.XLOOKUP($A1319,'Base SKUs'!$E:$E,'Base SKUs'!J:J),"")</f>
        <v>1x6</v>
      </c>
      <c r="Q1319">
        <f>IFERROR(_xlfn.XLOOKUP($A1319,'Base SKUs'!$E:$E,'Base SKUs'!K:K),"")</f>
        <v>6</v>
      </c>
      <c r="R1319" s="7">
        <f>IFERROR(_xlfn.XLOOKUP($A1319,'Base SKUs'!$E:$E,'Base SKUs'!S:S),"")</f>
        <v>4.7196E-3</v>
      </c>
      <c r="S1319" s="8">
        <f t="shared" si="102"/>
        <v>1.4158799999999999E-2</v>
      </c>
      <c r="T1319" s="7">
        <f>IFERROR(_xlfn.XLOOKUP($A1319,'Base SKUs'!$E:$E,'Base SKUs'!R:R),"")</f>
        <v>1251.2739999999999</v>
      </c>
      <c r="U1319" s="15">
        <f t="shared" si="103"/>
        <v>18</v>
      </c>
      <c r="V1319" t="str">
        <f t="shared" si="104"/>
        <v>Texas</v>
      </c>
    </row>
    <row r="1320" spans="1:22" x14ac:dyDescent="0.2">
      <c r="A1320" t="s">
        <v>1760</v>
      </c>
      <c r="B1320" s="5">
        <v>25</v>
      </c>
      <c r="C1320" s="5">
        <v>0</v>
      </c>
      <c r="D1320" s="5">
        <f t="shared" si="100"/>
        <v>25</v>
      </c>
      <c r="E1320" s="6">
        <v>15.5738</v>
      </c>
      <c r="F1320" s="6">
        <f t="shared" si="101"/>
        <v>389.34500000000003</v>
      </c>
      <c r="G1320" t="s">
        <v>17</v>
      </c>
      <c r="H1320">
        <v>9007</v>
      </c>
      <c r="I1320" t="str">
        <f>IFERROR(_xlfn.XLOOKUP($A1320,'Base SKUs'!$E:$E,'Base SKUs'!A:A),"")</f>
        <v>Radiata</v>
      </c>
      <c r="J1320" t="str">
        <f>IFERROR(_xlfn.XLOOKUP($A1320,'Base SKUs'!$E:$E,'Base SKUs'!B:B),"")</f>
        <v>Radiata 1x6</v>
      </c>
      <c r="K1320" t="str">
        <f>IFERROR(_xlfn.XLOOKUP($A1320,'Base SKUs'!$E:$E,'Base SKUs'!C:C),"")</f>
        <v>Short</v>
      </c>
      <c r="L1320" t="str">
        <f>IFERROR(_xlfn.XLOOKUP($A1320,'Base SKUs'!$E:$E,'Base SKUs'!D:D),"")</f>
        <v>Thermowood</v>
      </c>
      <c r="M1320" t="str">
        <f>IFERROR(_xlfn.XLOOKUP($A1320,'Base SKUs'!$E:$E,'Base SKUs'!G:G),"")</f>
        <v>Maximo Thermo Clear Radiata</v>
      </c>
      <c r="N1320" t="str">
        <f>IFERROR(_xlfn.XLOOKUP($A1320,'Base SKUs'!$E:$E,'Base SKUs'!H:H),"")</f>
        <v>Nickel Gap</v>
      </c>
      <c r="O1320" t="str">
        <f>IFERROR(_xlfn.XLOOKUP($A1320,'Base SKUs'!$E:$E,'Base SKUs'!I:I),"")</f>
        <v>Pre Finished White</v>
      </c>
      <c r="P1320" t="str">
        <f>IFERROR(_xlfn.XLOOKUP($A1320,'Base SKUs'!$E:$E,'Base SKUs'!J:J),"")</f>
        <v>1x6</v>
      </c>
      <c r="Q1320">
        <f>IFERROR(_xlfn.XLOOKUP($A1320,'Base SKUs'!$E:$E,'Base SKUs'!K:K),"")</f>
        <v>7</v>
      </c>
      <c r="R1320" s="7">
        <f>IFERROR(_xlfn.XLOOKUP($A1320,'Base SKUs'!$E:$E,'Base SKUs'!S:S),"")</f>
        <v>5.5062000000000002E-3</v>
      </c>
      <c r="S1320" s="8">
        <f t="shared" si="102"/>
        <v>0.137655</v>
      </c>
      <c r="T1320" s="7">
        <f>IFERROR(_xlfn.XLOOKUP($A1320,'Base SKUs'!$E:$E,'Base SKUs'!R:R),"")</f>
        <v>1251.2739999999999</v>
      </c>
      <c r="U1320" s="15">
        <f t="shared" si="103"/>
        <v>172</v>
      </c>
      <c r="V1320" t="str">
        <f t="shared" si="104"/>
        <v>Miami</v>
      </c>
    </row>
    <row r="1321" spans="1:22" x14ac:dyDescent="0.2">
      <c r="A1321" t="s">
        <v>1760</v>
      </c>
      <c r="B1321" s="5">
        <v>2</v>
      </c>
      <c r="C1321" s="5">
        <v>0</v>
      </c>
      <c r="D1321" s="5">
        <f t="shared" si="100"/>
        <v>2</v>
      </c>
      <c r="E1321" s="6">
        <v>15.5738</v>
      </c>
      <c r="F1321" s="6">
        <f t="shared" si="101"/>
        <v>31.147600000000001</v>
      </c>
      <c r="G1321" t="s">
        <v>24</v>
      </c>
      <c r="H1321">
        <v>9008</v>
      </c>
      <c r="I1321" t="str">
        <f>IFERROR(_xlfn.XLOOKUP($A1321,'Base SKUs'!$E:$E,'Base SKUs'!A:A),"")</f>
        <v>Radiata</v>
      </c>
      <c r="J1321" t="str">
        <f>IFERROR(_xlfn.XLOOKUP($A1321,'Base SKUs'!$E:$E,'Base SKUs'!B:B),"")</f>
        <v>Radiata 1x6</v>
      </c>
      <c r="K1321" t="str">
        <f>IFERROR(_xlfn.XLOOKUP($A1321,'Base SKUs'!$E:$E,'Base SKUs'!C:C),"")</f>
        <v>Short</v>
      </c>
      <c r="L1321" t="str">
        <f>IFERROR(_xlfn.XLOOKUP($A1321,'Base SKUs'!$E:$E,'Base SKUs'!D:D),"")</f>
        <v>Thermowood</v>
      </c>
      <c r="M1321" t="str">
        <f>IFERROR(_xlfn.XLOOKUP($A1321,'Base SKUs'!$E:$E,'Base SKUs'!G:G),"")</f>
        <v>Maximo Thermo Clear Radiata</v>
      </c>
      <c r="N1321" t="str">
        <f>IFERROR(_xlfn.XLOOKUP($A1321,'Base SKUs'!$E:$E,'Base SKUs'!H:H),"")</f>
        <v>Nickel Gap</v>
      </c>
      <c r="O1321" t="str">
        <f>IFERROR(_xlfn.XLOOKUP($A1321,'Base SKUs'!$E:$E,'Base SKUs'!I:I),"")</f>
        <v>Pre Finished White</v>
      </c>
      <c r="P1321" t="str">
        <f>IFERROR(_xlfn.XLOOKUP($A1321,'Base SKUs'!$E:$E,'Base SKUs'!J:J),"")</f>
        <v>1x6</v>
      </c>
      <c r="Q1321">
        <f>IFERROR(_xlfn.XLOOKUP($A1321,'Base SKUs'!$E:$E,'Base SKUs'!K:K),"")</f>
        <v>7</v>
      </c>
      <c r="R1321" s="7">
        <f>IFERROR(_xlfn.XLOOKUP($A1321,'Base SKUs'!$E:$E,'Base SKUs'!S:S),"")</f>
        <v>5.5062000000000002E-3</v>
      </c>
      <c r="S1321" s="8">
        <f t="shared" si="102"/>
        <v>1.10124E-2</v>
      </c>
      <c r="T1321" s="7">
        <f>IFERROR(_xlfn.XLOOKUP($A1321,'Base SKUs'!$E:$E,'Base SKUs'!R:R),"")</f>
        <v>1251.2739999999999</v>
      </c>
      <c r="U1321" s="15">
        <f t="shared" si="103"/>
        <v>14</v>
      </c>
      <c r="V1321" t="str">
        <f t="shared" si="104"/>
        <v>Texas</v>
      </c>
    </row>
    <row r="1322" spans="1:22" x14ac:dyDescent="0.2">
      <c r="A1322" t="s">
        <v>1760</v>
      </c>
      <c r="B1322" s="5">
        <v>38</v>
      </c>
      <c r="C1322" s="5">
        <v>0</v>
      </c>
      <c r="D1322" s="5">
        <f t="shared" si="100"/>
        <v>38</v>
      </c>
      <c r="E1322" s="6">
        <v>15.5738</v>
      </c>
      <c r="F1322" s="6">
        <f t="shared" si="101"/>
        <v>591.80439999999999</v>
      </c>
      <c r="G1322" t="s">
        <v>330</v>
      </c>
      <c r="H1322">
        <v>9011</v>
      </c>
      <c r="I1322" t="str">
        <f>IFERROR(_xlfn.XLOOKUP($A1322,'Base SKUs'!$E:$E,'Base SKUs'!A:A),"")</f>
        <v>Radiata</v>
      </c>
      <c r="J1322" t="str">
        <f>IFERROR(_xlfn.XLOOKUP($A1322,'Base SKUs'!$E:$E,'Base SKUs'!B:B),"")</f>
        <v>Radiata 1x6</v>
      </c>
      <c r="K1322" t="str">
        <f>IFERROR(_xlfn.XLOOKUP($A1322,'Base SKUs'!$E:$E,'Base SKUs'!C:C),"")</f>
        <v>Short</v>
      </c>
      <c r="L1322" t="str">
        <f>IFERROR(_xlfn.XLOOKUP($A1322,'Base SKUs'!$E:$E,'Base SKUs'!D:D),"")</f>
        <v>Thermowood</v>
      </c>
      <c r="M1322" t="str">
        <f>IFERROR(_xlfn.XLOOKUP($A1322,'Base SKUs'!$E:$E,'Base SKUs'!G:G),"")</f>
        <v>Maximo Thermo Clear Radiata</v>
      </c>
      <c r="N1322" t="str">
        <f>IFERROR(_xlfn.XLOOKUP($A1322,'Base SKUs'!$E:$E,'Base SKUs'!H:H),"")</f>
        <v>Nickel Gap</v>
      </c>
      <c r="O1322" t="str">
        <f>IFERROR(_xlfn.XLOOKUP($A1322,'Base SKUs'!$E:$E,'Base SKUs'!I:I),"")</f>
        <v>Pre Finished White</v>
      </c>
      <c r="P1322" t="str">
        <f>IFERROR(_xlfn.XLOOKUP($A1322,'Base SKUs'!$E:$E,'Base SKUs'!J:J),"")</f>
        <v>1x6</v>
      </c>
      <c r="Q1322">
        <f>IFERROR(_xlfn.XLOOKUP($A1322,'Base SKUs'!$E:$E,'Base SKUs'!K:K),"")</f>
        <v>7</v>
      </c>
      <c r="R1322" s="7">
        <f>IFERROR(_xlfn.XLOOKUP($A1322,'Base SKUs'!$E:$E,'Base SKUs'!S:S),"")</f>
        <v>5.5062000000000002E-3</v>
      </c>
      <c r="S1322" s="8">
        <f t="shared" si="102"/>
        <v>0.20923559999999999</v>
      </c>
      <c r="T1322" s="7">
        <f>IFERROR(_xlfn.XLOOKUP($A1322,'Base SKUs'!$E:$E,'Base SKUs'!R:R),"")</f>
        <v>1251.2739999999999</v>
      </c>
      <c r="U1322" s="15">
        <f t="shared" si="103"/>
        <v>262</v>
      </c>
      <c r="V1322" t="str">
        <f t="shared" si="104"/>
        <v>New York</v>
      </c>
    </row>
    <row r="1323" spans="1:22" x14ac:dyDescent="0.2">
      <c r="A1323" t="s">
        <v>1762</v>
      </c>
      <c r="B1323" s="5">
        <v>55</v>
      </c>
      <c r="C1323" s="5">
        <v>0</v>
      </c>
      <c r="D1323" s="5">
        <f t="shared" si="100"/>
        <v>55</v>
      </c>
      <c r="E1323" s="6">
        <v>17.7986</v>
      </c>
      <c r="F1323" s="6">
        <f t="shared" si="101"/>
        <v>978.923</v>
      </c>
      <c r="G1323" t="s">
        <v>17</v>
      </c>
      <c r="H1323">
        <v>9007</v>
      </c>
      <c r="I1323" t="str">
        <f>IFERROR(_xlfn.XLOOKUP($A1323,'Base SKUs'!$E:$E,'Base SKUs'!A:A),"")</f>
        <v>Radiata</v>
      </c>
      <c r="J1323" t="str">
        <f>IFERROR(_xlfn.XLOOKUP($A1323,'Base SKUs'!$E:$E,'Base SKUs'!B:B),"")</f>
        <v>Radiata 1x6</v>
      </c>
      <c r="K1323" t="str">
        <f>IFERROR(_xlfn.XLOOKUP($A1323,'Base SKUs'!$E:$E,'Base SKUs'!C:C),"")</f>
        <v>Long</v>
      </c>
      <c r="L1323" t="str">
        <f>IFERROR(_xlfn.XLOOKUP($A1323,'Base SKUs'!$E:$E,'Base SKUs'!D:D),"")</f>
        <v>Thermowood</v>
      </c>
      <c r="M1323" t="str">
        <f>IFERROR(_xlfn.XLOOKUP($A1323,'Base SKUs'!$E:$E,'Base SKUs'!G:G),"")</f>
        <v>Maximo Thermo Clear Radiata</v>
      </c>
      <c r="N1323" t="str">
        <f>IFERROR(_xlfn.XLOOKUP($A1323,'Base SKUs'!$E:$E,'Base SKUs'!H:H),"")</f>
        <v>Nickel Gap</v>
      </c>
      <c r="O1323" t="str">
        <f>IFERROR(_xlfn.XLOOKUP($A1323,'Base SKUs'!$E:$E,'Base SKUs'!I:I),"")</f>
        <v>Pre Finished White</v>
      </c>
      <c r="P1323" t="str">
        <f>IFERROR(_xlfn.XLOOKUP($A1323,'Base SKUs'!$E:$E,'Base SKUs'!J:J),"")</f>
        <v>1x6</v>
      </c>
      <c r="Q1323">
        <f>IFERROR(_xlfn.XLOOKUP($A1323,'Base SKUs'!$E:$E,'Base SKUs'!K:K),"")</f>
        <v>8</v>
      </c>
      <c r="R1323" s="7">
        <f>IFERROR(_xlfn.XLOOKUP($A1323,'Base SKUs'!$E:$E,'Base SKUs'!S:S),"")</f>
        <v>6.2928000000000003E-3</v>
      </c>
      <c r="S1323" s="8">
        <f t="shared" si="102"/>
        <v>0.34610400000000002</v>
      </c>
      <c r="T1323" s="7">
        <f>IFERROR(_xlfn.XLOOKUP($A1323,'Base SKUs'!$E:$E,'Base SKUs'!R:R),"")</f>
        <v>1251.2739999999999</v>
      </c>
      <c r="U1323" s="15">
        <f t="shared" si="103"/>
        <v>433</v>
      </c>
      <c r="V1323" t="str">
        <f t="shared" si="104"/>
        <v>Miami</v>
      </c>
    </row>
    <row r="1324" spans="1:22" x14ac:dyDescent="0.2">
      <c r="A1324" t="s">
        <v>1762</v>
      </c>
      <c r="B1324" s="5">
        <v>2</v>
      </c>
      <c r="C1324" s="5">
        <v>0</v>
      </c>
      <c r="D1324" s="5">
        <f t="shared" si="100"/>
        <v>2</v>
      </c>
      <c r="E1324" s="6">
        <v>17.7986</v>
      </c>
      <c r="F1324" s="6">
        <f t="shared" si="101"/>
        <v>35.597200000000001</v>
      </c>
      <c r="G1324" t="s">
        <v>24</v>
      </c>
      <c r="H1324">
        <v>9008</v>
      </c>
      <c r="I1324" t="str">
        <f>IFERROR(_xlfn.XLOOKUP($A1324,'Base SKUs'!$E:$E,'Base SKUs'!A:A),"")</f>
        <v>Radiata</v>
      </c>
      <c r="J1324" t="str">
        <f>IFERROR(_xlfn.XLOOKUP($A1324,'Base SKUs'!$E:$E,'Base SKUs'!B:B),"")</f>
        <v>Radiata 1x6</v>
      </c>
      <c r="K1324" t="str">
        <f>IFERROR(_xlfn.XLOOKUP($A1324,'Base SKUs'!$E:$E,'Base SKUs'!C:C),"")</f>
        <v>Long</v>
      </c>
      <c r="L1324" t="str">
        <f>IFERROR(_xlfn.XLOOKUP($A1324,'Base SKUs'!$E:$E,'Base SKUs'!D:D),"")</f>
        <v>Thermowood</v>
      </c>
      <c r="M1324" t="str">
        <f>IFERROR(_xlfn.XLOOKUP($A1324,'Base SKUs'!$E:$E,'Base SKUs'!G:G),"")</f>
        <v>Maximo Thermo Clear Radiata</v>
      </c>
      <c r="N1324" t="str">
        <f>IFERROR(_xlfn.XLOOKUP($A1324,'Base SKUs'!$E:$E,'Base SKUs'!H:H),"")</f>
        <v>Nickel Gap</v>
      </c>
      <c r="O1324" t="str">
        <f>IFERROR(_xlfn.XLOOKUP($A1324,'Base SKUs'!$E:$E,'Base SKUs'!I:I),"")</f>
        <v>Pre Finished White</v>
      </c>
      <c r="P1324" t="str">
        <f>IFERROR(_xlfn.XLOOKUP($A1324,'Base SKUs'!$E:$E,'Base SKUs'!J:J),"")</f>
        <v>1x6</v>
      </c>
      <c r="Q1324">
        <f>IFERROR(_xlfn.XLOOKUP($A1324,'Base SKUs'!$E:$E,'Base SKUs'!K:K),"")</f>
        <v>8</v>
      </c>
      <c r="R1324" s="7">
        <f>IFERROR(_xlfn.XLOOKUP($A1324,'Base SKUs'!$E:$E,'Base SKUs'!S:S),"")</f>
        <v>6.2928000000000003E-3</v>
      </c>
      <c r="S1324" s="8">
        <f t="shared" si="102"/>
        <v>1.2585600000000001E-2</v>
      </c>
      <c r="T1324" s="7">
        <f>IFERROR(_xlfn.XLOOKUP($A1324,'Base SKUs'!$E:$E,'Base SKUs'!R:R),"")</f>
        <v>1251.2739999999999</v>
      </c>
      <c r="U1324" s="15">
        <f t="shared" si="103"/>
        <v>16</v>
      </c>
      <c r="V1324" t="str">
        <f t="shared" si="104"/>
        <v>Texas</v>
      </c>
    </row>
    <row r="1325" spans="1:22" x14ac:dyDescent="0.2">
      <c r="A1325" t="s">
        <v>1762</v>
      </c>
      <c r="B1325" s="5">
        <v>46</v>
      </c>
      <c r="C1325" s="5">
        <v>0</v>
      </c>
      <c r="D1325" s="5">
        <f t="shared" si="100"/>
        <v>46</v>
      </c>
      <c r="E1325" s="6">
        <v>17.7986</v>
      </c>
      <c r="F1325" s="6">
        <f t="shared" si="101"/>
        <v>818.73559999999998</v>
      </c>
      <c r="G1325" t="s">
        <v>330</v>
      </c>
      <c r="H1325">
        <v>9011</v>
      </c>
      <c r="I1325" t="str">
        <f>IFERROR(_xlfn.XLOOKUP($A1325,'Base SKUs'!$E:$E,'Base SKUs'!A:A),"")</f>
        <v>Radiata</v>
      </c>
      <c r="J1325" t="str">
        <f>IFERROR(_xlfn.XLOOKUP($A1325,'Base SKUs'!$E:$E,'Base SKUs'!B:B),"")</f>
        <v>Radiata 1x6</v>
      </c>
      <c r="K1325" t="str">
        <f>IFERROR(_xlfn.XLOOKUP($A1325,'Base SKUs'!$E:$E,'Base SKUs'!C:C),"")</f>
        <v>Long</v>
      </c>
      <c r="L1325" t="str">
        <f>IFERROR(_xlfn.XLOOKUP($A1325,'Base SKUs'!$E:$E,'Base SKUs'!D:D),"")</f>
        <v>Thermowood</v>
      </c>
      <c r="M1325" t="str">
        <f>IFERROR(_xlfn.XLOOKUP($A1325,'Base SKUs'!$E:$E,'Base SKUs'!G:G),"")</f>
        <v>Maximo Thermo Clear Radiata</v>
      </c>
      <c r="N1325" t="str">
        <f>IFERROR(_xlfn.XLOOKUP($A1325,'Base SKUs'!$E:$E,'Base SKUs'!H:H),"")</f>
        <v>Nickel Gap</v>
      </c>
      <c r="O1325" t="str">
        <f>IFERROR(_xlfn.XLOOKUP($A1325,'Base SKUs'!$E:$E,'Base SKUs'!I:I),"")</f>
        <v>Pre Finished White</v>
      </c>
      <c r="P1325" t="str">
        <f>IFERROR(_xlfn.XLOOKUP($A1325,'Base SKUs'!$E:$E,'Base SKUs'!J:J),"")</f>
        <v>1x6</v>
      </c>
      <c r="Q1325">
        <f>IFERROR(_xlfn.XLOOKUP($A1325,'Base SKUs'!$E:$E,'Base SKUs'!K:K),"")</f>
        <v>8</v>
      </c>
      <c r="R1325" s="7">
        <f>IFERROR(_xlfn.XLOOKUP($A1325,'Base SKUs'!$E:$E,'Base SKUs'!S:S),"")</f>
        <v>6.2928000000000003E-3</v>
      </c>
      <c r="S1325" s="8">
        <f t="shared" si="102"/>
        <v>0.28946880000000003</v>
      </c>
      <c r="T1325" s="7">
        <f>IFERROR(_xlfn.XLOOKUP($A1325,'Base SKUs'!$E:$E,'Base SKUs'!R:R),"")</f>
        <v>1251.2739999999999</v>
      </c>
      <c r="U1325" s="15">
        <f t="shared" si="103"/>
        <v>362</v>
      </c>
      <c r="V1325" t="str">
        <f t="shared" si="104"/>
        <v>New York</v>
      </c>
    </row>
    <row r="1326" spans="1:22" x14ac:dyDescent="0.2">
      <c r="A1326" t="s">
        <v>1764</v>
      </c>
      <c r="B1326" s="5">
        <v>2</v>
      </c>
      <c r="C1326" s="5">
        <v>0</v>
      </c>
      <c r="D1326" s="5">
        <f t="shared" si="100"/>
        <v>2</v>
      </c>
      <c r="E1326" s="6">
        <v>20.023399999999999</v>
      </c>
      <c r="F1326" s="6">
        <f t="shared" si="101"/>
        <v>40.046799999999998</v>
      </c>
      <c r="G1326" t="s">
        <v>24</v>
      </c>
      <c r="H1326">
        <v>9008</v>
      </c>
      <c r="I1326" t="str">
        <f>IFERROR(_xlfn.XLOOKUP($A1326,'Base SKUs'!$E:$E,'Base SKUs'!A:A),"")</f>
        <v>Radiata</v>
      </c>
      <c r="J1326" t="str">
        <f>IFERROR(_xlfn.XLOOKUP($A1326,'Base SKUs'!$E:$E,'Base SKUs'!B:B),"")</f>
        <v>Radiata 1x6</v>
      </c>
      <c r="K1326" t="str">
        <f>IFERROR(_xlfn.XLOOKUP($A1326,'Base SKUs'!$E:$E,'Base SKUs'!C:C),"")</f>
        <v>Long</v>
      </c>
      <c r="L1326" t="str">
        <f>IFERROR(_xlfn.XLOOKUP($A1326,'Base SKUs'!$E:$E,'Base SKUs'!D:D),"")</f>
        <v>Thermowood</v>
      </c>
      <c r="M1326" t="str">
        <f>IFERROR(_xlfn.XLOOKUP($A1326,'Base SKUs'!$E:$E,'Base SKUs'!G:G),"")</f>
        <v>Maximo Thermo Clear Radiata</v>
      </c>
      <c r="N1326" t="str">
        <f>IFERROR(_xlfn.XLOOKUP($A1326,'Base SKUs'!$E:$E,'Base SKUs'!H:H),"")</f>
        <v>Nickel Gap</v>
      </c>
      <c r="O1326" t="str">
        <f>IFERROR(_xlfn.XLOOKUP($A1326,'Base SKUs'!$E:$E,'Base SKUs'!I:I),"")</f>
        <v>Pre Finished White</v>
      </c>
      <c r="P1326" t="str">
        <f>IFERROR(_xlfn.XLOOKUP($A1326,'Base SKUs'!$E:$E,'Base SKUs'!J:J),"")</f>
        <v>1x6</v>
      </c>
      <c r="Q1326">
        <f>IFERROR(_xlfn.XLOOKUP($A1326,'Base SKUs'!$E:$E,'Base SKUs'!K:K),"")</f>
        <v>9</v>
      </c>
      <c r="R1326" s="7">
        <f>IFERROR(_xlfn.XLOOKUP($A1326,'Base SKUs'!$E:$E,'Base SKUs'!S:S),"")</f>
        <v>7.0794000000000004E-3</v>
      </c>
      <c r="S1326" s="8">
        <f t="shared" si="102"/>
        <v>1.4158800000000001E-2</v>
      </c>
      <c r="T1326" s="7">
        <f>IFERROR(_xlfn.XLOOKUP($A1326,'Base SKUs'!$E:$E,'Base SKUs'!R:R),"")</f>
        <v>1251.2739999999999</v>
      </c>
      <c r="U1326" s="15">
        <f t="shared" si="103"/>
        <v>18</v>
      </c>
      <c r="V1326" t="str">
        <f t="shared" si="104"/>
        <v>Texas</v>
      </c>
    </row>
    <row r="1327" spans="1:22" x14ac:dyDescent="0.2">
      <c r="A1327" t="s">
        <v>1764</v>
      </c>
      <c r="B1327" s="5">
        <v>13</v>
      </c>
      <c r="C1327" s="5">
        <v>0</v>
      </c>
      <c r="D1327" s="5">
        <f t="shared" si="100"/>
        <v>13</v>
      </c>
      <c r="E1327" s="6">
        <v>20.023399999999999</v>
      </c>
      <c r="F1327" s="6">
        <f t="shared" si="101"/>
        <v>260.30419999999998</v>
      </c>
      <c r="G1327" t="s">
        <v>330</v>
      </c>
      <c r="H1327">
        <v>9011</v>
      </c>
      <c r="I1327" t="str">
        <f>IFERROR(_xlfn.XLOOKUP($A1327,'Base SKUs'!$E:$E,'Base SKUs'!A:A),"")</f>
        <v>Radiata</v>
      </c>
      <c r="J1327" t="str">
        <f>IFERROR(_xlfn.XLOOKUP($A1327,'Base SKUs'!$E:$E,'Base SKUs'!B:B),"")</f>
        <v>Radiata 1x6</v>
      </c>
      <c r="K1327" t="str">
        <f>IFERROR(_xlfn.XLOOKUP($A1327,'Base SKUs'!$E:$E,'Base SKUs'!C:C),"")</f>
        <v>Long</v>
      </c>
      <c r="L1327" t="str">
        <f>IFERROR(_xlfn.XLOOKUP($A1327,'Base SKUs'!$E:$E,'Base SKUs'!D:D),"")</f>
        <v>Thermowood</v>
      </c>
      <c r="M1327" t="str">
        <f>IFERROR(_xlfn.XLOOKUP($A1327,'Base SKUs'!$E:$E,'Base SKUs'!G:G),"")</f>
        <v>Maximo Thermo Clear Radiata</v>
      </c>
      <c r="N1327" t="str">
        <f>IFERROR(_xlfn.XLOOKUP($A1327,'Base SKUs'!$E:$E,'Base SKUs'!H:H),"")</f>
        <v>Nickel Gap</v>
      </c>
      <c r="O1327" t="str">
        <f>IFERROR(_xlfn.XLOOKUP($A1327,'Base SKUs'!$E:$E,'Base SKUs'!I:I),"")</f>
        <v>Pre Finished White</v>
      </c>
      <c r="P1327" t="str">
        <f>IFERROR(_xlfn.XLOOKUP($A1327,'Base SKUs'!$E:$E,'Base SKUs'!J:J),"")</f>
        <v>1x6</v>
      </c>
      <c r="Q1327">
        <f>IFERROR(_xlfn.XLOOKUP($A1327,'Base SKUs'!$E:$E,'Base SKUs'!K:K),"")</f>
        <v>9</v>
      </c>
      <c r="R1327" s="7">
        <f>IFERROR(_xlfn.XLOOKUP($A1327,'Base SKUs'!$E:$E,'Base SKUs'!S:S),"")</f>
        <v>7.0794000000000004E-3</v>
      </c>
      <c r="S1327" s="8">
        <f t="shared" si="102"/>
        <v>9.2032200000000008E-2</v>
      </c>
      <c r="T1327" s="7">
        <f>IFERROR(_xlfn.XLOOKUP($A1327,'Base SKUs'!$E:$E,'Base SKUs'!R:R),"")</f>
        <v>1251.2739999999999</v>
      </c>
      <c r="U1327" s="15">
        <f t="shared" si="103"/>
        <v>115</v>
      </c>
      <c r="V1327" t="str">
        <f t="shared" si="104"/>
        <v>New York</v>
      </c>
    </row>
    <row r="1328" spans="1:22" x14ac:dyDescent="0.2">
      <c r="A1328" t="s">
        <v>1766</v>
      </c>
      <c r="B1328" s="5">
        <v>354</v>
      </c>
      <c r="C1328" s="5">
        <v>0</v>
      </c>
      <c r="D1328" s="5">
        <f t="shared" si="100"/>
        <v>354</v>
      </c>
      <c r="E1328" s="6">
        <v>3.3546</v>
      </c>
      <c r="F1328" s="6">
        <f t="shared" si="101"/>
        <v>1187.5283999999999</v>
      </c>
      <c r="G1328" t="s">
        <v>24</v>
      </c>
      <c r="H1328">
        <v>9008</v>
      </c>
      <c r="I1328" t="str">
        <f>IFERROR(_xlfn.XLOOKUP($A1328,'Base SKUs'!$E:$E,'Base SKUs'!A:A),"")</f>
        <v>Tigerwood</v>
      </c>
      <c r="J1328" t="str">
        <f>IFERROR(_xlfn.XLOOKUP($A1328,'Base SKUs'!$E:$E,'Base SKUs'!B:B),"")</f>
        <v>Tigerwood 1x4</v>
      </c>
      <c r="K1328" t="str">
        <f>IFERROR(_xlfn.XLOOKUP($A1328,'Base SKUs'!$E:$E,'Base SKUs'!C:C),"")</f>
        <v>Long</v>
      </c>
      <c r="L1328" t="str">
        <f>IFERROR(_xlfn.XLOOKUP($A1328,'Base SKUs'!$E:$E,'Base SKUs'!D:D),"")</f>
        <v>Hardwoods</v>
      </c>
      <c r="M1328" t="str">
        <f>IFERROR(_xlfn.XLOOKUP($A1328,'Base SKUs'!$E:$E,'Base SKUs'!G:G),"")</f>
        <v>Tigerwood</v>
      </c>
      <c r="N1328" t="str">
        <f>IFERROR(_xlfn.XLOOKUP($A1328,'Base SKUs'!$E:$E,'Base SKUs'!H:H),"")</f>
        <v>S4S E4E</v>
      </c>
      <c r="O1328" t="str">
        <f>IFERROR(_xlfn.XLOOKUP($A1328,'Base SKUs'!$E:$E,'Base SKUs'!I:I),"")</f>
        <v>-</v>
      </c>
      <c r="P1328" t="str">
        <f>IFERROR(_xlfn.XLOOKUP($A1328,'Base SKUs'!$E:$E,'Base SKUs'!J:J),"")</f>
        <v>1x4</v>
      </c>
      <c r="Q1328">
        <f>IFERROR(_xlfn.XLOOKUP($A1328,'Base SKUs'!$E:$E,'Base SKUs'!K:K),"")</f>
        <v>10</v>
      </c>
      <c r="R1328" s="7">
        <f>IFERROR(_xlfn.XLOOKUP($A1328,'Base SKUs'!$E:$E,'Base SKUs'!S:S),"")</f>
        <v>5.1619251600000006E-3</v>
      </c>
      <c r="S1328" s="8">
        <f t="shared" si="102"/>
        <v>1.8273215066400001</v>
      </c>
      <c r="T1328" s="7">
        <f>IFERROR(_xlfn.XLOOKUP($A1328,'Base SKUs'!$E:$E,'Base SKUs'!R:R),"")</f>
        <v>1937.2619999999999</v>
      </c>
      <c r="U1328" s="15">
        <f t="shared" si="103"/>
        <v>3540</v>
      </c>
      <c r="V1328" t="str">
        <f t="shared" si="104"/>
        <v>Texas</v>
      </c>
    </row>
    <row r="1329" spans="1:22" x14ac:dyDescent="0.2">
      <c r="A1329" t="s">
        <v>1768</v>
      </c>
      <c r="B1329" s="5">
        <v>220</v>
      </c>
      <c r="C1329" s="5">
        <v>0</v>
      </c>
      <c r="D1329" s="5">
        <f t="shared" si="100"/>
        <v>220</v>
      </c>
      <c r="E1329" s="6">
        <v>5.9476000000000004</v>
      </c>
      <c r="F1329" s="6">
        <f t="shared" si="101"/>
        <v>1308.4720000000002</v>
      </c>
      <c r="G1329" t="s">
        <v>24</v>
      </c>
      <c r="H1329">
        <v>9008</v>
      </c>
      <c r="I1329" t="str">
        <f>IFERROR(_xlfn.XLOOKUP($A1329,'Base SKUs'!$E:$E,'Base SKUs'!A:A),"")</f>
        <v>Tigerwood</v>
      </c>
      <c r="J1329" t="str">
        <f>IFERROR(_xlfn.XLOOKUP($A1329,'Base SKUs'!$E:$E,'Base SKUs'!B:B),"")</f>
        <v>Tigerwood 1x4</v>
      </c>
      <c r="K1329" t="str">
        <f>IFERROR(_xlfn.XLOOKUP($A1329,'Base SKUs'!$E:$E,'Base SKUs'!C:C),"")</f>
        <v>Long</v>
      </c>
      <c r="L1329" t="str">
        <f>IFERROR(_xlfn.XLOOKUP($A1329,'Base SKUs'!$E:$E,'Base SKUs'!D:D),"")</f>
        <v>Hardwoods</v>
      </c>
      <c r="M1329" t="str">
        <f>IFERROR(_xlfn.XLOOKUP($A1329,'Base SKUs'!$E:$E,'Base SKUs'!G:G),"")</f>
        <v>Tigerwood</v>
      </c>
      <c r="N1329" t="str">
        <f>IFERROR(_xlfn.XLOOKUP($A1329,'Base SKUs'!$E:$E,'Base SKUs'!H:H),"")</f>
        <v>S4S E4E</v>
      </c>
      <c r="O1329" t="str">
        <f>IFERROR(_xlfn.XLOOKUP($A1329,'Base SKUs'!$E:$E,'Base SKUs'!I:I),"")</f>
        <v>-</v>
      </c>
      <c r="P1329" t="str">
        <f>IFERROR(_xlfn.XLOOKUP($A1329,'Base SKUs'!$E:$E,'Base SKUs'!J:J),"")</f>
        <v>1x4</v>
      </c>
      <c r="Q1329">
        <f>IFERROR(_xlfn.XLOOKUP($A1329,'Base SKUs'!$E:$E,'Base SKUs'!K:K),"")</f>
        <v>12</v>
      </c>
      <c r="R1329" s="7">
        <f>IFERROR(_xlfn.XLOOKUP($A1329,'Base SKUs'!$E:$E,'Base SKUs'!S:S),"")</f>
        <v>6.1943101919999998E-3</v>
      </c>
      <c r="S1329" s="8">
        <f t="shared" si="102"/>
        <v>1.3627482422399999</v>
      </c>
      <c r="T1329" s="7">
        <f>IFERROR(_xlfn.XLOOKUP($A1329,'Base SKUs'!$E:$E,'Base SKUs'!R:R),"")</f>
        <v>1937.2619999999999</v>
      </c>
      <c r="U1329" s="15">
        <f t="shared" si="103"/>
        <v>2640</v>
      </c>
      <c r="V1329" t="str">
        <f t="shared" si="104"/>
        <v>Texas</v>
      </c>
    </row>
    <row r="1330" spans="1:22" x14ac:dyDescent="0.2">
      <c r="A1330" t="s">
        <v>1770</v>
      </c>
      <c r="B1330" s="5">
        <v>78</v>
      </c>
      <c r="C1330" s="5">
        <v>0</v>
      </c>
      <c r="D1330" s="5">
        <f t="shared" si="100"/>
        <v>78</v>
      </c>
      <c r="E1330" s="6">
        <v>6.6523000000000003</v>
      </c>
      <c r="F1330" s="6">
        <f t="shared" si="101"/>
        <v>518.87940000000003</v>
      </c>
      <c r="G1330" t="s">
        <v>24</v>
      </c>
      <c r="H1330">
        <v>9008</v>
      </c>
      <c r="I1330" t="str">
        <f>IFERROR(_xlfn.XLOOKUP($A1330,'Base SKUs'!$E:$E,'Base SKUs'!A:A),"")</f>
        <v>Tigerwood</v>
      </c>
      <c r="J1330" t="str">
        <f>IFERROR(_xlfn.XLOOKUP($A1330,'Base SKUs'!$E:$E,'Base SKUs'!B:B),"")</f>
        <v>Tigerwood 1x4</v>
      </c>
      <c r="K1330" t="str">
        <f>IFERROR(_xlfn.XLOOKUP($A1330,'Base SKUs'!$E:$E,'Base SKUs'!C:C),"")</f>
        <v>Long</v>
      </c>
      <c r="L1330" t="str">
        <f>IFERROR(_xlfn.XLOOKUP($A1330,'Base SKUs'!$E:$E,'Base SKUs'!D:D),"")</f>
        <v>Hardwoods</v>
      </c>
      <c r="M1330" t="str">
        <f>IFERROR(_xlfn.XLOOKUP($A1330,'Base SKUs'!$E:$E,'Base SKUs'!G:G),"")</f>
        <v>Tigerwood</v>
      </c>
      <c r="N1330" t="str">
        <f>IFERROR(_xlfn.XLOOKUP($A1330,'Base SKUs'!$E:$E,'Base SKUs'!H:H),"")</f>
        <v>S4S E4E</v>
      </c>
      <c r="O1330" t="str">
        <f>IFERROR(_xlfn.XLOOKUP($A1330,'Base SKUs'!$E:$E,'Base SKUs'!I:I),"")</f>
        <v>-</v>
      </c>
      <c r="P1330" t="str">
        <f>IFERROR(_xlfn.XLOOKUP($A1330,'Base SKUs'!$E:$E,'Base SKUs'!J:J),"")</f>
        <v>1x4</v>
      </c>
      <c r="Q1330">
        <f>IFERROR(_xlfn.XLOOKUP($A1330,'Base SKUs'!$E:$E,'Base SKUs'!K:K),"")</f>
        <v>14</v>
      </c>
      <c r="R1330" s="7">
        <f>IFERROR(_xlfn.XLOOKUP($A1330,'Base SKUs'!$E:$E,'Base SKUs'!S:S),"")</f>
        <v>7.226695224E-3</v>
      </c>
      <c r="S1330" s="8">
        <f t="shared" si="102"/>
        <v>0.56368222747200003</v>
      </c>
      <c r="T1330" s="7">
        <f>IFERROR(_xlfn.XLOOKUP($A1330,'Base SKUs'!$E:$E,'Base SKUs'!R:R),"")</f>
        <v>1937.2619999999999</v>
      </c>
      <c r="U1330" s="15">
        <f t="shared" si="103"/>
        <v>1092</v>
      </c>
      <c r="V1330" t="str">
        <f t="shared" si="104"/>
        <v>Texas</v>
      </c>
    </row>
    <row r="1331" spans="1:22" x14ac:dyDescent="0.2">
      <c r="A1331" t="s">
        <v>1772</v>
      </c>
      <c r="B1331" s="5">
        <v>58</v>
      </c>
      <c r="C1331" s="5">
        <v>0</v>
      </c>
      <c r="D1331" s="5">
        <f t="shared" si="100"/>
        <v>58</v>
      </c>
      <c r="E1331" s="6">
        <v>7.9282000000000004</v>
      </c>
      <c r="F1331" s="6">
        <f t="shared" si="101"/>
        <v>459.8356</v>
      </c>
      <c r="G1331" t="s">
        <v>24</v>
      </c>
      <c r="H1331">
        <v>9008</v>
      </c>
      <c r="I1331" t="str">
        <f>IFERROR(_xlfn.XLOOKUP($A1331,'Base SKUs'!$E:$E,'Base SKUs'!A:A),"")</f>
        <v>Tigerwood</v>
      </c>
      <c r="J1331" t="str">
        <f>IFERROR(_xlfn.XLOOKUP($A1331,'Base SKUs'!$E:$E,'Base SKUs'!B:B),"")</f>
        <v>Tigerwood 1x4</v>
      </c>
      <c r="K1331" t="str">
        <f>IFERROR(_xlfn.XLOOKUP($A1331,'Base SKUs'!$E:$E,'Base SKUs'!C:C),"")</f>
        <v>Long</v>
      </c>
      <c r="L1331" t="str">
        <f>IFERROR(_xlfn.XLOOKUP($A1331,'Base SKUs'!$E:$E,'Base SKUs'!D:D),"")</f>
        <v>Hardwoods</v>
      </c>
      <c r="M1331" t="str">
        <f>IFERROR(_xlfn.XLOOKUP($A1331,'Base SKUs'!$E:$E,'Base SKUs'!G:G),"")</f>
        <v>Tigerwood</v>
      </c>
      <c r="N1331" t="str">
        <f>IFERROR(_xlfn.XLOOKUP($A1331,'Base SKUs'!$E:$E,'Base SKUs'!H:H),"")</f>
        <v>S4S E4E</v>
      </c>
      <c r="O1331" t="str">
        <f>IFERROR(_xlfn.XLOOKUP($A1331,'Base SKUs'!$E:$E,'Base SKUs'!I:I),"")</f>
        <v>-</v>
      </c>
      <c r="P1331" t="str">
        <f>IFERROR(_xlfn.XLOOKUP($A1331,'Base SKUs'!$E:$E,'Base SKUs'!J:J),"")</f>
        <v>1x4</v>
      </c>
      <c r="Q1331">
        <f>IFERROR(_xlfn.XLOOKUP($A1331,'Base SKUs'!$E:$E,'Base SKUs'!K:K),"")</f>
        <v>16</v>
      </c>
      <c r="R1331" s="7">
        <f>IFERROR(_xlfn.XLOOKUP($A1331,'Base SKUs'!$E:$E,'Base SKUs'!S:S),"")</f>
        <v>8.259080256000001E-3</v>
      </c>
      <c r="S1331" s="8">
        <f t="shared" si="102"/>
        <v>0.47902665484800006</v>
      </c>
      <c r="T1331" s="7">
        <f>IFERROR(_xlfn.XLOOKUP($A1331,'Base SKUs'!$E:$E,'Base SKUs'!R:R),"")</f>
        <v>1937.2619999999999</v>
      </c>
      <c r="U1331" s="15">
        <f t="shared" si="103"/>
        <v>928</v>
      </c>
      <c r="V1331" t="str">
        <f t="shared" si="104"/>
        <v>Texas</v>
      </c>
    </row>
    <row r="1332" spans="1:22" x14ac:dyDescent="0.2">
      <c r="A1332" t="s">
        <v>1774</v>
      </c>
      <c r="B1332" s="5">
        <v>58</v>
      </c>
      <c r="C1332" s="5">
        <v>0</v>
      </c>
      <c r="D1332" s="5">
        <f t="shared" si="100"/>
        <v>58</v>
      </c>
      <c r="E1332" s="6">
        <v>8.5495999999999999</v>
      </c>
      <c r="F1332" s="6">
        <f t="shared" si="101"/>
        <v>495.8768</v>
      </c>
      <c r="G1332" t="s">
        <v>24</v>
      </c>
      <c r="H1332">
        <v>9008</v>
      </c>
      <c r="I1332" t="str">
        <f>IFERROR(_xlfn.XLOOKUP($A1332,'Base SKUs'!$E:$E,'Base SKUs'!A:A),"")</f>
        <v>Tigerwood</v>
      </c>
      <c r="J1332" t="str">
        <f>IFERROR(_xlfn.XLOOKUP($A1332,'Base SKUs'!$E:$E,'Base SKUs'!B:B),"")</f>
        <v>Tigerwood 1x4</v>
      </c>
      <c r="K1332" t="str">
        <f>IFERROR(_xlfn.XLOOKUP($A1332,'Base SKUs'!$E:$E,'Base SKUs'!C:C),"")</f>
        <v>Long</v>
      </c>
      <c r="L1332" t="str">
        <f>IFERROR(_xlfn.XLOOKUP($A1332,'Base SKUs'!$E:$E,'Base SKUs'!D:D),"")</f>
        <v>Hardwoods</v>
      </c>
      <c r="M1332" t="str">
        <f>IFERROR(_xlfn.XLOOKUP($A1332,'Base SKUs'!$E:$E,'Base SKUs'!G:G),"")</f>
        <v>Tigerwood</v>
      </c>
      <c r="N1332" t="str">
        <f>IFERROR(_xlfn.XLOOKUP($A1332,'Base SKUs'!$E:$E,'Base SKUs'!H:H),"")</f>
        <v>S4S E4E</v>
      </c>
      <c r="O1332" t="str">
        <f>IFERROR(_xlfn.XLOOKUP($A1332,'Base SKUs'!$E:$E,'Base SKUs'!I:I),"")</f>
        <v>-</v>
      </c>
      <c r="P1332" t="str">
        <f>IFERROR(_xlfn.XLOOKUP($A1332,'Base SKUs'!$E:$E,'Base SKUs'!J:J),"")</f>
        <v>1x4</v>
      </c>
      <c r="Q1332">
        <f>IFERROR(_xlfn.XLOOKUP($A1332,'Base SKUs'!$E:$E,'Base SKUs'!K:K),"")</f>
        <v>18</v>
      </c>
      <c r="R1332" s="7">
        <f>IFERROR(_xlfn.XLOOKUP($A1332,'Base SKUs'!$E:$E,'Base SKUs'!S:S),"")</f>
        <v>9.2914652880000011E-3</v>
      </c>
      <c r="S1332" s="8">
        <f t="shared" si="102"/>
        <v>0.53890498670400011</v>
      </c>
      <c r="T1332" s="7">
        <f>IFERROR(_xlfn.XLOOKUP($A1332,'Base SKUs'!$E:$E,'Base SKUs'!R:R),"")</f>
        <v>1937.2619999999999</v>
      </c>
      <c r="U1332" s="15">
        <f t="shared" si="103"/>
        <v>1044</v>
      </c>
      <c r="V1332" t="str">
        <f t="shared" si="104"/>
        <v>Texas</v>
      </c>
    </row>
    <row r="1333" spans="1:22" x14ac:dyDescent="0.2">
      <c r="A1333" t="s">
        <v>1776</v>
      </c>
      <c r="B1333" s="5">
        <v>52</v>
      </c>
      <c r="C1333" s="5">
        <v>0</v>
      </c>
      <c r="D1333" s="5">
        <f t="shared" si="100"/>
        <v>52</v>
      </c>
      <c r="E1333" s="6">
        <v>9.5007000000000001</v>
      </c>
      <c r="F1333" s="6">
        <f t="shared" si="101"/>
        <v>494.03640000000001</v>
      </c>
      <c r="G1333" t="s">
        <v>24</v>
      </c>
      <c r="H1333">
        <v>9008</v>
      </c>
      <c r="I1333" t="str">
        <f>IFERROR(_xlfn.XLOOKUP($A1333,'Base SKUs'!$E:$E,'Base SKUs'!A:A),"")</f>
        <v>Tigerwood</v>
      </c>
      <c r="J1333" t="str">
        <f>IFERROR(_xlfn.XLOOKUP($A1333,'Base SKUs'!$E:$E,'Base SKUs'!B:B),"")</f>
        <v>Tigerwood 1x4</v>
      </c>
      <c r="K1333" t="str">
        <f>IFERROR(_xlfn.XLOOKUP($A1333,'Base SKUs'!$E:$E,'Base SKUs'!C:C),"")</f>
        <v>Long</v>
      </c>
      <c r="L1333" t="str">
        <f>IFERROR(_xlfn.XLOOKUP($A1333,'Base SKUs'!$E:$E,'Base SKUs'!D:D),"")</f>
        <v>Hardwoods</v>
      </c>
      <c r="M1333" t="str">
        <f>IFERROR(_xlfn.XLOOKUP($A1333,'Base SKUs'!$E:$E,'Base SKUs'!G:G),"")</f>
        <v>Tigerwood</v>
      </c>
      <c r="N1333" t="str">
        <f>IFERROR(_xlfn.XLOOKUP($A1333,'Base SKUs'!$E:$E,'Base SKUs'!H:H),"")</f>
        <v>S4S E4E</v>
      </c>
      <c r="O1333" t="str">
        <f>IFERROR(_xlfn.XLOOKUP($A1333,'Base SKUs'!$E:$E,'Base SKUs'!I:I),"")</f>
        <v>-</v>
      </c>
      <c r="P1333" t="str">
        <f>IFERROR(_xlfn.XLOOKUP($A1333,'Base SKUs'!$E:$E,'Base SKUs'!J:J),"")</f>
        <v>1x4</v>
      </c>
      <c r="Q1333">
        <f>IFERROR(_xlfn.XLOOKUP($A1333,'Base SKUs'!$E:$E,'Base SKUs'!K:K),"")</f>
        <v>20</v>
      </c>
      <c r="R1333" s="7">
        <f>IFERROR(_xlfn.XLOOKUP($A1333,'Base SKUs'!$E:$E,'Base SKUs'!S:S),"")</f>
        <v>1.0323850320000001E-2</v>
      </c>
      <c r="S1333" s="8">
        <f t="shared" si="102"/>
        <v>0.53684021664000003</v>
      </c>
      <c r="T1333" s="7">
        <f>IFERROR(_xlfn.XLOOKUP($A1333,'Base SKUs'!$E:$E,'Base SKUs'!R:R),"")</f>
        <v>1937.2619999999999</v>
      </c>
      <c r="U1333" s="15">
        <f t="shared" si="103"/>
        <v>1040</v>
      </c>
      <c r="V1333" t="str">
        <f t="shared" si="104"/>
        <v>Texas</v>
      </c>
    </row>
    <row r="1334" spans="1:22" x14ac:dyDescent="0.2">
      <c r="A1334" t="s">
        <v>1778</v>
      </c>
      <c r="B1334" s="5">
        <v>22</v>
      </c>
      <c r="C1334" s="5">
        <v>0</v>
      </c>
      <c r="D1334" s="5">
        <f t="shared" si="100"/>
        <v>22</v>
      </c>
      <c r="E1334" s="6">
        <v>10.454499999999999</v>
      </c>
      <c r="F1334" s="6">
        <f t="shared" si="101"/>
        <v>229.999</v>
      </c>
      <c r="G1334" t="s">
        <v>24</v>
      </c>
      <c r="H1334">
        <v>9008</v>
      </c>
      <c r="I1334" t="str">
        <f>IFERROR(_xlfn.XLOOKUP($A1334,'Base SKUs'!$E:$E,'Base SKUs'!A:A),"")</f>
        <v>Tigerwood</v>
      </c>
      <c r="J1334" t="str">
        <f>IFERROR(_xlfn.XLOOKUP($A1334,'Base SKUs'!$E:$E,'Base SKUs'!B:B),"")</f>
        <v>Tigerwood 1x4</v>
      </c>
      <c r="K1334" t="str">
        <f>IFERROR(_xlfn.XLOOKUP($A1334,'Base SKUs'!$E:$E,'Base SKUs'!C:C),"")</f>
        <v>Long</v>
      </c>
      <c r="L1334" t="str">
        <f>IFERROR(_xlfn.XLOOKUP($A1334,'Base SKUs'!$E:$E,'Base SKUs'!D:D),"")</f>
        <v>Hardwoods</v>
      </c>
      <c r="M1334" t="str">
        <f>IFERROR(_xlfn.XLOOKUP($A1334,'Base SKUs'!$E:$E,'Base SKUs'!G:G),"")</f>
        <v>Tigerwood</v>
      </c>
      <c r="N1334" t="str">
        <f>IFERROR(_xlfn.XLOOKUP($A1334,'Base SKUs'!$E:$E,'Base SKUs'!H:H),"")</f>
        <v>S4S E4E</v>
      </c>
      <c r="O1334" t="str">
        <f>IFERROR(_xlfn.XLOOKUP($A1334,'Base SKUs'!$E:$E,'Base SKUs'!I:I),"")</f>
        <v>-</v>
      </c>
      <c r="P1334" t="str">
        <f>IFERROR(_xlfn.XLOOKUP($A1334,'Base SKUs'!$E:$E,'Base SKUs'!J:J),"")</f>
        <v>1x4</v>
      </c>
      <c r="Q1334">
        <f>IFERROR(_xlfn.XLOOKUP($A1334,'Base SKUs'!$E:$E,'Base SKUs'!K:K),"")</f>
        <v>22</v>
      </c>
      <c r="R1334" s="7">
        <f>IFERROR(_xlfn.XLOOKUP($A1334,'Base SKUs'!$E:$E,'Base SKUs'!S:S),"")</f>
        <v>1.1356235352000001E-2</v>
      </c>
      <c r="S1334" s="8">
        <f t="shared" si="102"/>
        <v>0.24983717774400002</v>
      </c>
      <c r="T1334" s="7">
        <f>IFERROR(_xlfn.XLOOKUP($A1334,'Base SKUs'!$E:$E,'Base SKUs'!R:R),"")</f>
        <v>1937.2619999999999</v>
      </c>
      <c r="U1334" s="15">
        <f t="shared" si="103"/>
        <v>484</v>
      </c>
      <c r="V1334" t="str">
        <f t="shared" si="104"/>
        <v>Texas</v>
      </c>
    </row>
    <row r="1335" spans="1:22" x14ac:dyDescent="0.2">
      <c r="A1335" t="s">
        <v>1780</v>
      </c>
      <c r="B1335" s="5">
        <v>104</v>
      </c>
      <c r="C1335" s="5">
        <v>0</v>
      </c>
      <c r="D1335" s="5">
        <f t="shared" si="100"/>
        <v>104</v>
      </c>
      <c r="E1335" s="6">
        <v>0.77980000000000005</v>
      </c>
      <c r="F1335" s="6">
        <f t="shared" si="101"/>
        <v>81.09920000000001</v>
      </c>
      <c r="G1335" t="s">
        <v>24</v>
      </c>
      <c r="H1335">
        <v>9008</v>
      </c>
      <c r="I1335" t="str">
        <f>IFERROR(_xlfn.XLOOKUP($A1335,'Base SKUs'!$E:$E,'Base SKUs'!A:A),"")</f>
        <v>Tigerwood</v>
      </c>
      <c r="J1335" t="str">
        <f>IFERROR(_xlfn.XLOOKUP($A1335,'Base SKUs'!$E:$E,'Base SKUs'!B:B),"")</f>
        <v>Tigerwood 1x4</v>
      </c>
      <c r="K1335" t="str">
        <f>IFERROR(_xlfn.XLOOKUP($A1335,'Base SKUs'!$E:$E,'Base SKUs'!C:C),"")</f>
        <v>Short</v>
      </c>
      <c r="L1335" t="str">
        <f>IFERROR(_xlfn.XLOOKUP($A1335,'Base SKUs'!$E:$E,'Base SKUs'!D:D),"")</f>
        <v>Hardwoods</v>
      </c>
      <c r="M1335" t="str">
        <f>IFERROR(_xlfn.XLOOKUP($A1335,'Base SKUs'!$E:$E,'Base SKUs'!G:G),"")</f>
        <v>Tigerwood</v>
      </c>
      <c r="N1335" t="str">
        <f>IFERROR(_xlfn.XLOOKUP($A1335,'Base SKUs'!$E:$E,'Base SKUs'!H:H),"")</f>
        <v>S4S E4E</v>
      </c>
      <c r="O1335" t="str">
        <f>IFERROR(_xlfn.XLOOKUP($A1335,'Base SKUs'!$E:$E,'Base SKUs'!I:I),"")</f>
        <v>-</v>
      </c>
      <c r="P1335" t="str">
        <f>IFERROR(_xlfn.XLOOKUP($A1335,'Base SKUs'!$E:$E,'Base SKUs'!J:J),"")</f>
        <v>1x4</v>
      </c>
      <c r="Q1335">
        <f>IFERROR(_xlfn.XLOOKUP($A1335,'Base SKUs'!$E:$E,'Base SKUs'!K:K),"")</f>
        <v>4</v>
      </c>
      <c r="R1335" s="7">
        <f>IFERROR(_xlfn.XLOOKUP($A1335,'Base SKUs'!$E:$E,'Base SKUs'!S:S),"")</f>
        <v>2.0647700640000002E-3</v>
      </c>
      <c r="S1335" s="8">
        <f t="shared" si="102"/>
        <v>0.21473608665600002</v>
      </c>
      <c r="T1335" s="7">
        <f>IFERROR(_xlfn.XLOOKUP($A1335,'Base SKUs'!$E:$E,'Base SKUs'!R:R),"")</f>
        <v>1937.2619999999999</v>
      </c>
      <c r="U1335" s="15">
        <f t="shared" si="103"/>
        <v>416</v>
      </c>
      <c r="V1335" t="str">
        <f t="shared" si="104"/>
        <v>Texas</v>
      </c>
    </row>
    <row r="1336" spans="1:22" x14ac:dyDescent="0.2">
      <c r="A1336" t="s">
        <v>1782</v>
      </c>
      <c r="B1336" s="5">
        <v>75</v>
      </c>
      <c r="C1336" s="5">
        <v>0</v>
      </c>
      <c r="D1336" s="5">
        <f t="shared" si="100"/>
        <v>75</v>
      </c>
      <c r="E1336" s="6">
        <v>0.97570000000000001</v>
      </c>
      <c r="F1336" s="6">
        <f t="shared" si="101"/>
        <v>73.177499999999995</v>
      </c>
      <c r="G1336" t="s">
        <v>24</v>
      </c>
      <c r="H1336">
        <v>9008</v>
      </c>
      <c r="I1336" t="str">
        <f>IFERROR(_xlfn.XLOOKUP($A1336,'Base SKUs'!$E:$E,'Base SKUs'!A:A),"")</f>
        <v>Tigerwood</v>
      </c>
      <c r="J1336" t="str">
        <f>IFERROR(_xlfn.XLOOKUP($A1336,'Base SKUs'!$E:$E,'Base SKUs'!B:B),"")</f>
        <v>Tigerwood 1x4</v>
      </c>
      <c r="K1336" t="str">
        <f>IFERROR(_xlfn.XLOOKUP($A1336,'Base SKUs'!$E:$E,'Base SKUs'!C:C),"")</f>
        <v>Short</v>
      </c>
      <c r="L1336" t="str">
        <f>IFERROR(_xlfn.XLOOKUP($A1336,'Base SKUs'!$E:$E,'Base SKUs'!D:D),"")</f>
        <v>Hardwoods</v>
      </c>
      <c r="M1336" t="str">
        <f>IFERROR(_xlfn.XLOOKUP($A1336,'Base SKUs'!$E:$E,'Base SKUs'!G:G),"")</f>
        <v>Tigerwood</v>
      </c>
      <c r="N1336" t="str">
        <f>IFERROR(_xlfn.XLOOKUP($A1336,'Base SKUs'!$E:$E,'Base SKUs'!H:H),"")</f>
        <v>S4S E4E</v>
      </c>
      <c r="O1336" t="str">
        <f>IFERROR(_xlfn.XLOOKUP($A1336,'Base SKUs'!$E:$E,'Base SKUs'!I:I),"")</f>
        <v>-</v>
      </c>
      <c r="P1336" t="str">
        <f>IFERROR(_xlfn.XLOOKUP($A1336,'Base SKUs'!$E:$E,'Base SKUs'!J:J),"")</f>
        <v>1x4</v>
      </c>
      <c r="Q1336">
        <f>IFERROR(_xlfn.XLOOKUP($A1336,'Base SKUs'!$E:$E,'Base SKUs'!K:K),"")</f>
        <v>5</v>
      </c>
      <c r="R1336" s="7">
        <f>IFERROR(_xlfn.XLOOKUP($A1336,'Base SKUs'!$E:$E,'Base SKUs'!S:S),"")</f>
        <v>2.5809625800000003E-3</v>
      </c>
      <c r="S1336" s="8">
        <f t="shared" si="102"/>
        <v>0.19357219350000002</v>
      </c>
      <c r="T1336" s="7">
        <f>IFERROR(_xlfn.XLOOKUP($A1336,'Base SKUs'!$E:$E,'Base SKUs'!R:R),"")</f>
        <v>1937.2619999999999</v>
      </c>
      <c r="U1336" s="15">
        <f t="shared" si="103"/>
        <v>375</v>
      </c>
      <c r="V1336" t="str">
        <f t="shared" si="104"/>
        <v>Texas</v>
      </c>
    </row>
    <row r="1337" spans="1:22" x14ac:dyDescent="0.2">
      <c r="A1337" t="s">
        <v>1784</v>
      </c>
      <c r="B1337" s="5">
        <v>60</v>
      </c>
      <c r="C1337" s="5">
        <v>0</v>
      </c>
      <c r="D1337" s="5">
        <f t="shared" si="100"/>
        <v>60</v>
      </c>
      <c r="E1337" s="6">
        <v>1.395</v>
      </c>
      <c r="F1337" s="6">
        <f t="shared" si="101"/>
        <v>83.7</v>
      </c>
      <c r="G1337" t="s">
        <v>24</v>
      </c>
      <c r="H1337">
        <v>9008</v>
      </c>
      <c r="I1337" t="str">
        <f>IFERROR(_xlfn.XLOOKUP($A1337,'Base SKUs'!$E:$E,'Base SKUs'!A:A),"")</f>
        <v>Tigerwood</v>
      </c>
      <c r="J1337" t="str">
        <f>IFERROR(_xlfn.XLOOKUP($A1337,'Base SKUs'!$E:$E,'Base SKUs'!B:B),"")</f>
        <v>Tigerwood 1x4</v>
      </c>
      <c r="K1337" t="str">
        <f>IFERROR(_xlfn.XLOOKUP($A1337,'Base SKUs'!$E:$E,'Base SKUs'!C:C),"")</f>
        <v>Short</v>
      </c>
      <c r="L1337" t="str">
        <f>IFERROR(_xlfn.XLOOKUP($A1337,'Base SKUs'!$E:$E,'Base SKUs'!D:D),"")</f>
        <v>Hardwoods</v>
      </c>
      <c r="M1337" t="str">
        <f>IFERROR(_xlfn.XLOOKUP($A1337,'Base SKUs'!$E:$E,'Base SKUs'!G:G),"")</f>
        <v>Tigerwood</v>
      </c>
      <c r="N1337" t="str">
        <f>IFERROR(_xlfn.XLOOKUP($A1337,'Base SKUs'!$E:$E,'Base SKUs'!H:H),"")</f>
        <v>S4S E4E</v>
      </c>
      <c r="O1337" t="str">
        <f>IFERROR(_xlfn.XLOOKUP($A1337,'Base SKUs'!$E:$E,'Base SKUs'!I:I),"")</f>
        <v>-</v>
      </c>
      <c r="P1337" t="str">
        <f>IFERROR(_xlfn.XLOOKUP($A1337,'Base SKUs'!$E:$E,'Base SKUs'!J:J),"")</f>
        <v>1x4</v>
      </c>
      <c r="Q1337">
        <f>IFERROR(_xlfn.XLOOKUP($A1337,'Base SKUs'!$E:$E,'Base SKUs'!K:K),"")</f>
        <v>6</v>
      </c>
      <c r="R1337" s="7">
        <f>IFERROR(_xlfn.XLOOKUP($A1337,'Base SKUs'!$E:$E,'Base SKUs'!S:S),"")</f>
        <v>3.0971550959999999E-3</v>
      </c>
      <c r="S1337" s="8">
        <f t="shared" si="102"/>
        <v>0.18582930576000001</v>
      </c>
      <c r="T1337" s="7">
        <f>IFERROR(_xlfn.XLOOKUP($A1337,'Base SKUs'!$E:$E,'Base SKUs'!R:R),"")</f>
        <v>1937.2619999999999</v>
      </c>
      <c r="U1337" s="15">
        <f t="shared" si="103"/>
        <v>360</v>
      </c>
      <c r="V1337" t="str">
        <f t="shared" si="104"/>
        <v>Texas</v>
      </c>
    </row>
    <row r="1338" spans="1:22" x14ac:dyDescent="0.2">
      <c r="A1338" t="s">
        <v>1786</v>
      </c>
      <c r="B1338" s="5">
        <v>204</v>
      </c>
      <c r="C1338" s="5">
        <v>0</v>
      </c>
      <c r="D1338" s="5">
        <f t="shared" si="100"/>
        <v>204</v>
      </c>
      <c r="E1338" s="6">
        <v>1.6256999999999999</v>
      </c>
      <c r="F1338" s="6">
        <f t="shared" si="101"/>
        <v>331.64279999999997</v>
      </c>
      <c r="G1338" t="s">
        <v>24</v>
      </c>
      <c r="H1338">
        <v>9008</v>
      </c>
      <c r="I1338" t="str">
        <f>IFERROR(_xlfn.XLOOKUP($A1338,'Base SKUs'!$E:$E,'Base SKUs'!A:A),"")</f>
        <v>Tigerwood</v>
      </c>
      <c r="J1338" t="str">
        <f>IFERROR(_xlfn.XLOOKUP($A1338,'Base SKUs'!$E:$E,'Base SKUs'!B:B),"")</f>
        <v>Tigerwood 1x4</v>
      </c>
      <c r="K1338" t="str">
        <f>IFERROR(_xlfn.XLOOKUP($A1338,'Base SKUs'!$E:$E,'Base SKUs'!C:C),"")</f>
        <v>Short</v>
      </c>
      <c r="L1338" t="str">
        <f>IFERROR(_xlfn.XLOOKUP($A1338,'Base SKUs'!$E:$E,'Base SKUs'!D:D),"")</f>
        <v>Hardwoods</v>
      </c>
      <c r="M1338" t="str">
        <f>IFERROR(_xlfn.XLOOKUP($A1338,'Base SKUs'!$E:$E,'Base SKUs'!G:G),"")</f>
        <v>Tigerwood</v>
      </c>
      <c r="N1338" t="str">
        <f>IFERROR(_xlfn.XLOOKUP($A1338,'Base SKUs'!$E:$E,'Base SKUs'!H:H),"")</f>
        <v>S4S E4E</v>
      </c>
      <c r="O1338" t="str">
        <f>IFERROR(_xlfn.XLOOKUP($A1338,'Base SKUs'!$E:$E,'Base SKUs'!I:I),"")</f>
        <v>-</v>
      </c>
      <c r="P1338" t="str">
        <f>IFERROR(_xlfn.XLOOKUP($A1338,'Base SKUs'!$E:$E,'Base SKUs'!J:J),"")</f>
        <v>1x4</v>
      </c>
      <c r="Q1338">
        <f>IFERROR(_xlfn.XLOOKUP($A1338,'Base SKUs'!$E:$E,'Base SKUs'!K:K),"")</f>
        <v>7</v>
      </c>
      <c r="R1338" s="7">
        <f>IFERROR(_xlfn.XLOOKUP($A1338,'Base SKUs'!$E:$E,'Base SKUs'!S:S),"")</f>
        <v>3.613347612E-3</v>
      </c>
      <c r="S1338" s="8">
        <f t="shared" si="102"/>
        <v>0.73712291284800002</v>
      </c>
      <c r="T1338" s="7">
        <f>IFERROR(_xlfn.XLOOKUP($A1338,'Base SKUs'!$E:$E,'Base SKUs'!R:R),"")</f>
        <v>1937.2619999999999</v>
      </c>
      <c r="U1338" s="15">
        <f t="shared" si="103"/>
        <v>1428</v>
      </c>
      <c r="V1338" t="str">
        <f t="shared" si="104"/>
        <v>Texas</v>
      </c>
    </row>
    <row r="1339" spans="1:22" x14ac:dyDescent="0.2">
      <c r="A1339" t="s">
        <v>1788</v>
      </c>
      <c r="B1339" s="5">
        <v>378</v>
      </c>
      <c r="C1339" s="5">
        <v>0</v>
      </c>
      <c r="D1339" s="5">
        <f t="shared" si="100"/>
        <v>378</v>
      </c>
      <c r="E1339" s="6">
        <v>2.6842000000000001</v>
      </c>
      <c r="F1339" s="6">
        <f t="shared" si="101"/>
        <v>1014.6276</v>
      </c>
      <c r="G1339" t="s">
        <v>24</v>
      </c>
      <c r="H1339">
        <v>9008</v>
      </c>
      <c r="I1339" t="str">
        <f>IFERROR(_xlfn.XLOOKUP($A1339,'Base SKUs'!$E:$E,'Base SKUs'!A:A),"")</f>
        <v>Tigerwood</v>
      </c>
      <c r="J1339" t="str">
        <f>IFERROR(_xlfn.XLOOKUP($A1339,'Base SKUs'!$E:$E,'Base SKUs'!B:B),"")</f>
        <v>Tigerwood 1x4</v>
      </c>
      <c r="K1339" t="str">
        <f>IFERROR(_xlfn.XLOOKUP($A1339,'Base SKUs'!$E:$E,'Base SKUs'!C:C),"")</f>
        <v>Long</v>
      </c>
      <c r="L1339" t="str">
        <f>IFERROR(_xlfn.XLOOKUP($A1339,'Base SKUs'!$E:$E,'Base SKUs'!D:D),"")</f>
        <v>Hardwoods</v>
      </c>
      <c r="M1339" t="str">
        <f>IFERROR(_xlfn.XLOOKUP($A1339,'Base SKUs'!$E:$E,'Base SKUs'!G:G),"")</f>
        <v>Tigerwood</v>
      </c>
      <c r="N1339" t="str">
        <f>IFERROR(_xlfn.XLOOKUP($A1339,'Base SKUs'!$E:$E,'Base SKUs'!H:H),"")</f>
        <v>S4S E4E</v>
      </c>
      <c r="O1339" t="str">
        <f>IFERROR(_xlfn.XLOOKUP($A1339,'Base SKUs'!$E:$E,'Base SKUs'!I:I),"")</f>
        <v>-</v>
      </c>
      <c r="P1339" t="str">
        <f>IFERROR(_xlfn.XLOOKUP($A1339,'Base SKUs'!$E:$E,'Base SKUs'!J:J),"")</f>
        <v>1x4</v>
      </c>
      <c r="Q1339">
        <f>IFERROR(_xlfn.XLOOKUP($A1339,'Base SKUs'!$E:$E,'Base SKUs'!K:K),"")</f>
        <v>8</v>
      </c>
      <c r="R1339" s="7">
        <f>IFERROR(_xlfn.XLOOKUP($A1339,'Base SKUs'!$E:$E,'Base SKUs'!S:S),"")</f>
        <v>4.1295401280000005E-3</v>
      </c>
      <c r="S1339" s="8">
        <f t="shared" si="102"/>
        <v>1.5609661683840002</v>
      </c>
      <c r="T1339" s="7">
        <f>IFERROR(_xlfn.XLOOKUP($A1339,'Base SKUs'!$E:$E,'Base SKUs'!R:R),"")</f>
        <v>1937.2619999999999</v>
      </c>
      <c r="U1339" s="15">
        <f t="shared" si="103"/>
        <v>3024</v>
      </c>
      <c r="V1339" t="str">
        <f t="shared" si="104"/>
        <v>Texas</v>
      </c>
    </row>
    <row r="1340" spans="1:22" x14ac:dyDescent="0.2">
      <c r="A1340" t="s">
        <v>1790</v>
      </c>
      <c r="B1340" s="5">
        <v>22</v>
      </c>
      <c r="C1340" s="5">
        <v>0</v>
      </c>
      <c r="D1340" s="5">
        <f t="shared" si="100"/>
        <v>22</v>
      </c>
      <c r="E1340" s="6">
        <v>18.5916</v>
      </c>
      <c r="F1340" s="6">
        <f t="shared" si="101"/>
        <v>409.01519999999999</v>
      </c>
      <c r="G1340" t="s">
        <v>330</v>
      </c>
      <c r="H1340">
        <v>9011</v>
      </c>
      <c r="I1340" t="str">
        <f>IFERROR(_xlfn.XLOOKUP($A1340,'Base SKUs'!$E:$E,'Base SKUs'!A:A),"")</f>
        <v>Tigerwood</v>
      </c>
      <c r="J1340" t="str">
        <f>IFERROR(_xlfn.XLOOKUP($A1340,'Base SKUs'!$E:$E,'Base SKUs'!B:B),"")</f>
        <v>Tigerwood 1x6</v>
      </c>
      <c r="K1340" t="str">
        <f>IFERROR(_xlfn.XLOOKUP($A1340,'Base SKUs'!$E:$E,'Base SKUs'!C:C),"")</f>
        <v>Long</v>
      </c>
      <c r="L1340" t="str">
        <f>IFERROR(_xlfn.XLOOKUP($A1340,'Base SKUs'!$E:$E,'Base SKUs'!D:D),"")</f>
        <v>Hardwoods</v>
      </c>
      <c r="M1340" t="str">
        <f>IFERROR(_xlfn.XLOOKUP($A1340,'Base SKUs'!$E:$E,'Base SKUs'!G:G),"")</f>
        <v>Tigerwood</v>
      </c>
      <c r="N1340" t="str">
        <f>IFERROR(_xlfn.XLOOKUP($A1340,'Base SKUs'!$E:$E,'Base SKUs'!H:H),"")</f>
        <v>S4S E4E</v>
      </c>
      <c r="O1340" t="str">
        <f>IFERROR(_xlfn.XLOOKUP($A1340,'Base SKUs'!$E:$E,'Base SKUs'!I:I),"")</f>
        <v>-</v>
      </c>
      <c r="P1340" t="str">
        <f>IFERROR(_xlfn.XLOOKUP($A1340,'Base SKUs'!$E:$E,'Base SKUs'!J:J),"")</f>
        <v>1x6</v>
      </c>
      <c r="Q1340">
        <f>IFERROR(_xlfn.XLOOKUP($A1340,'Base SKUs'!$E:$E,'Base SKUs'!K:K),"")</f>
        <v>12</v>
      </c>
      <c r="R1340" s="7">
        <f>IFERROR(_xlfn.XLOOKUP($A1340,'Base SKUs'!$E:$E,'Base SKUs'!S:S),"")</f>
        <v>9.7339160159999986E-3</v>
      </c>
      <c r="S1340" s="8">
        <f t="shared" si="102"/>
        <v>0.21414615235199996</v>
      </c>
      <c r="T1340" s="7">
        <f>IFERROR(_xlfn.XLOOKUP($A1340,'Base SKUs'!$E:$E,'Base SKUs'!R:R),"")</f>
        <v>1232.8030000000001</v>
      </c>
      <c r="U1340" s="15">
        <f t="shared" si="103"/>
        <v>264</v>
      </c>
      <c r="V1340" t="str">
        <f t="shared" si="104"/>
        <v>New York</v>
      </c>
    </row>
    <row r="1341" spans="1:22" x14ac:dyDescent="0.2">
      <c r="A1341" t="s">
        <v>1792</v>
      </c>
      <c r="B1341" s="5">
        <v>134</v>
      </c>
      <c r="C1341" s="5">
        <v>0</v>
      </c>
      <c r="D1341" s="5">
        <f t="shared" si="100"/>
        <v>134</v>
      </c>
      <c r="E1341" s="6">
        <v>24.904399999999999</v>
      </c>
      <c r="F1341" s="6">
        <f t="shared" si="101"/>
        <v>3337.1895999999997</v>
      </c>
      <c r="G1341" t="s">
        <v>330</v>
      </c>
      <c r="H1341">
        <v>9011</v>
      </c>
      <c r="I1341" t="str">
        <f>IFERROR(_xlfn.XLOOKUP($A1341,'Base SKUs'!$E:$E,'Base SKUs'!A:A),"")</f>
        <v>Tigerwood</v>
      </c>
      <c r="J1341" t="str">
        <f>IFERROR(_xlfn.XLOOKUP($A1341,'Base SKUs'!$E:$E,'Base SKUs'!B:B),"")</f>
        <v>Tigerwood 1x6</v>
      </c>
      <c r="K1341" t="str">
        <f>IFERROR(_xlfn.XLOOKUP($A1341,'Base SKUs'!$E:$E,'Base SKUs'!C:C),"")</f>
        <v>Long</v>
      </c>
      <c r="L1341" t="str">
        <f>IFERROR(_xlfn.XLOOKUP($A1341,'Base SKUs'!$E:$E,'Base SKUs'!D:D),"")</f>
        <v>Hardwoods</v>
      </c>
      <c r="M1341" t="str">
        <f>IFERROR(_xlfn.XLOOKUP($A1341,'Base SKUs'!$E:$E,'Base SKUs'!G:G),"")</f>
        <v>Tigerwood</v>
      </c>
      <c r="N1341" t="str">
        <f>IFERROR(_xlfn.XLOOKUP($A1341,'Base SKUs'!$E:$E,'Base SKUs'!H:H),"")</f>
        <v>S4S E4E</v>
      </c>
      <c r="O1341" t="str">
        <f>IFERROR(_xlfn.XLOOKUP($A1341,'Base SKUs'!$E:$E,'Base SKUs'!I:I),"")</f>
        <v>-</v>
      </c>
      <c r="P1341" t="str">
        <f>IFERROR(_xlfn.XLOOKUP($A1341,'Base SKUs'!$E:$E,'Base SKUs'!J:J),"")</f>
        <v>1x6</v>
      </c>
      <c r="Q1341">
        <f>IFERROR(_xlfn.XLOOKUP($A1341,'Base SKUs'!$E:$E,'Base SKUs'!K:K),"")</f>
        <v>16</v>
      </c>
      <c r="R1341" s="7">
        <f>IFERROR(_xlfn.XLOOKUP($A1341,'Base SKUs'!$E:$E,'Base SKUs'!S:S),"")</f>
        <v>1.2978554687999999E-2</v>
      </c>
      <c r="S1341" s="8">
        <f t="shared" si="102"/>
        <v>1.7391263281919997</v>
      </c>
      <c r="T1341" s="7">
        <f>IFERROR(_xlfn.XLOOKUP($A1341,'Base SKUs'!$E:$E,'Base SKUs'!R:R),"")</f>
        <v>1232.8030000000001</v>
      </c>
      <c r="U1341" s="15">
        <f t="shared" si="103"/>
        <v>2144</v>
      </c>
      <c r="V1341" t="str">
        <f t="shared" si="104"/>
        <v>New York</v>
      </c>
    </row>
    <row r="1342" spans="1:22" x14ac:dyDescent="0.2">
      <c r="A1342" t="s">
        <v>1794</v>
      </c>
      <c r="B1342" s="5">
        <v>126</v>
      </c>
      <c r="C1342" s="5">
        <v>0</v>
      </c>
      <c r="D1342" s="5">
        <f t="shared" si="100"/>
        <v>126</v>
      </c>
      <c r="E1342" s="6">
        <v>2.1943999999999999</v>
      </c>
      <c r="F1342" s="6">
        <f t="shared" si="101"/>
        <v>276.49439999999998</v>
      </c>
      <c r="G1342" t="s">
        <v>24</v>
      </c>
      <c r="H1342">
        <v>9008</v>
      </c>
      <c r="I1342" t="str">
        <f>IFERROR(_xlfn.XLOOKUP($A1342,'Base SKUs'!$E:$E,'Base SKUs'!A:A),"")</f>
        <v>Tigerwood</v>
      </c>
      <c r="J1342" t="str">
        <f>IFERROR(_xlfn.XLOOKUP($A1342,'Base SKUs'!$E:$E,'Base SKUs'!B:B),"")</f>
        <v>Tigerwood 1x6</v>
      </c>
      <c r="K1342" t="str">
        <f>IFERROR(_xlfn.XLOOKUP($A1342,'Base SKUs'!$E:$E,'Base SKUs'!C:C),"")</f>
        <v>Short</v>
      </c>
      <c r="L1342" t="str">
        <f>IFERROR(_xlfn.XLOOKUP($A1342,'Base SKUs'!$E:$E,'Base SKUs'!D:D),"")</f>
        <v>Hardwoods</v>
      </c>
      <c r="M1342" t="str">
        <f>IFERROR(_xlfn.XLOOKUP($A1342,'Base SKUs'!$E:$E,'Base SKUs'!G:G),"")</f>
        <v>Tigerwood</v>
      </c>
      <c r="N1342" t="str">
        <f>IFERROR(_xlfn.XLOOKUP($A1342,'Base SKUs'!$E:$E,'Base SKUs'!H:H),"")</f>
        <v>S4S E4E</v>
      </c>
      <c r="O1342" t="str">
        <f>IFERROR(_xlfn.XLOOKUP($A1342,'Base SKUs'!$E:$E,'Base SKUs'!I:I),"")</f>
        <v>-</v>
      </c>
      <c r="P1342" t="str">
        <f>IFERROR(_xlfn.XLOOKUP($A1342,'Base SKUs'!$E:$E,'Base SKUs'!J:J),"")</f>
        <v>1x6</v>
      </c>
      <c r="Q1342">
        <f>IFERROR(_xlfn.XLOOKUP($A1342,'Base SKUs'!$E:$E,'Base SKUs'!K:K),"")</f>
        <v>4</v>
      </c>
      <c r="R1342" s="7">
        <f>IFERROR(_xlfn.XLOOKUP($A1342,'Base SKUs'!$E:$E,'Base SKUs'!S:S),"")</f>
        <v>3.2446386719999997E-3</v>
      </c>
      <c r="S1342" s="8">
        <f t="shared" si="102"/>
        <v>0.40882447267199995</v>
      </c>
      <c r="T1342" s="7">
        <f>IFERROR(_xlfn.XLOOKUP($A1342,'Base SKUs'!$E:$E,'Base SKUs'!R:R),"")</f>
        <v>1232.8030000000001</v>
      </c>
      <c r="U1342" s="15">
        <f t="shared" si="103"/>
        <v>504</v>
      </c>
      <c r="V1342" t="str">
        <f t="shared" si="104"/>
        <v>Texas</v>
      </c>
    </row>
    <row r="1343" spans="1:22" x14ac:dyDescent="0.2">
      <c r="A1343" t="s">
        <v>1796</v>
      </c>
      <c r="B1343" s="5">
        <v>131</v>
      </c>
      <c r="C1343" s="5">
        <v>0</v>
      </c>
      <c r="D1343" s="5">
        <f t="shared" si="100"/>
        <v>131</v>
      </c>
      <c r="E1343" s="6">
        <v>2.7433999999999998</v>
      </c>
      <c r="F1343" s="6">
        <f t="shared" si="101"/>
        <v>359.3854</v>
      </c>
      <c r="G1343" t="s">
        <v>24</v>
      </c>
      <c r="H1343">
        <v>9008</v>
      </c>
      <c r="I1343" t="str">
        <f>IFERROR(_xlfn.XLOOKUP($A1343,'Base SKUs'!$E:$E,'Base SKUs'!A:A),"")</f>
        <v>Tigerwood</v>
      </c>
      <c r="J1343" t="str">
        <f>IFERROR(_xlfn.XLOOKUP($A1343,'Base SKUs'!$E:$E,'Base SKUs'!B:B),"")</f>
        <v>Tigerwood 1x6</v>
      </c>
      <c r="K1343" t="str">
        <f>IFERROR(_xlfn.XLOOKUP($A1343,'Base SKUs'!$E:$E,'Base SKUs'!C:C),"")</f>
        <v>Short</v>
      </c>
      <c r="L1343" t="str">
        <f>IFERROR(_xlfn.XLOOKUP($A1343,'Base SKUs'!$E:$E,'Base SKUs'!D:D),"")</f>
        <v>Hardwoods</v>
      </c>
      <c r="M1343" t="str">
        <f>IFERROR(_xlfn.XLOOKUP($A1343,'Base SKUs'!$E:$E,'Base SKUs'!G:G),"")</f>
        <v>Tigerwood</v>
      </c>
      <c r="N1343" t="str">
        <f>IFERROR(_xlfn.XLOOKUP($A1343,'Base SKUs'!$E:$E,'Base SKUs'!H:H),"")</f>
        <v>S4S E4E</v>
      </c>
      <c r="O1343" t="str">
        <f>IFERROR(_xlfn.XLOOKUP($A1343,'Base SKUs'!$E:$E,'Base SKUs'!I:I),"")</f>
        <v>-</v>
      </c>
      <c r="P1343" t="str">
        <f>IFERROR(_xlfn.XLOOKUP($A1343,'Base SKUs'!$E:$E,'Base SKUs'!J:J),"")</f>
        <v>1x6</v>
      </c>
      <c r="Q1343">
        <f>IFERROR(_xlfn.XLOOKUP($A1343,'Base SKUs'!$E:$E,'Base SKUs'!K:K),"")</f>
        <v>5</v>
      </c>
      <c r="R1343" s="7">
        <f>IFERROR(_xlfn.XLOOKUP($A1343,'Base SKUs'!$E:$E,'Base SKUs'!S:S),"")</f>
        <v>4.0557983399999997E-3</v>
      </c>
      <c r="S1343" s="8">
        <f t="shared" si="102"/>
        <v>0.53130958253999994</v>
      </c>
      <c r="T1343" s="7">
        <f>IFERROR(_xlfn.XLOOKUP($A1343,'Base SKUs'!$E:$E,'Base SKUs'!R:R),"")</f>
        <v>1232.8030000000001</v>
      </c>
      <c r="U1343" s="15">
        <f t="shared" si="103"/>
        <v>655</v>
      </c>
      <c r="V1343" t="str">
        <f t="shared" si="104"/>
        <v>Texas</v>
      </c>
    </row>
    <row r="1344" spans="1:22" x14ac:dyDescent="0.2">
      <c r="A1344" t="s">
        <v>1798</v>
      </c>
      <c r="B1344" s="5">
        <v>131</v>
      </c>
      <c r="C1344" s="5">
        <v>0</v>
      </c>
      <c r="D1344" s="5">
        <f t="shared" si="100"/>
        <v>131</v>
      </c>
      <c r="E1344" s="6">
        <v>4.3832000000000004</v>
      </c>
      <c r="F1344" s="6">
        <f t="shared" si="101"/>
        <v>574.19920000000002</v>
      </c>
      <c r="G1344" t="s">
        <v>24</v>
      </c>
      <c r="H1344">
        <v>9008</v>
      </c>
      <c r="I1344" t="str">
        <f>IFERROR(_xlfn.XLOOKUP($A1344,'Base SKUs'!$E:$E,'Base SKUs'!A:A),"")</f>
        <v>Tigerwood</v>
      </c>
      <c r="J1344" t="str">
        <f>IFERROR(_xlfn.XLOOKUP($A1344,'Base SKUs'!$E:$E,'Base SKUs'!B:B),"")</f>
        <v>Tigerwood 1x6</v>
      </c>
      <c r="K1344" t="str">
        <f>IFERROR(_xlfn.XLOOKUP($A1344,'Base SKUs'!$E:$E,'Base SKUs'!C:C),"")</f>
        <v>Short</v>
      </c>
      <c r="L1344" t="str">
        <f>IFERROR(_xlfn.XLOOKUP($A1344,'Base SKUs'!$E:$E,'Base SKUs'!D:D),"")</f>
        <v>Hardwoods</v>
      </c>
      <c r="M1344" t="str">
        <f>IFERROR(_xlfn.XLOOKUP($A1344,'Base SKUs'!$E:$E,'Base SKUs'!G:G),"")</f>
        <v>Tigerwood</v>
      </c>
      <c r="N1344" t="str">
        <f>IFERROR(_xlfn.XLOOKUP($A1344,'Base SKUs'!$E:$E,'Base SKUs'!H:H),"")</f>
        <v>S4S E4E</v>
      </c>
      <c r="O1344" t="str">
        <f>IFERROR(_xlfn.XLOOKUP($A1344,'Base SKUs'!$E:$E,'Base SKUs'!I:I),"")</f>
        <v>-</v>
      </c>
      <c r="P1344" t="str">
        <f>IFERROR(_xlfn.XLOOKUP($A1344,'Base SKUs'!$E:$E,'Base SKUs'!J:J),"")</f>
        <v>1x6</v>
      </c>
      <c r="Q1344">
        <f>IFERROR(_xlfn.XLOOKUP($A1344,'Base SKUs'!$E:$E,'Base SKUs'!K:K),"")</f>
        <v>6</v>
      </c>
      <c r="R1344" s="7">
        <f>IFERROR(_xlfn.XLOOKUP($A1344,'Base SKUs'!$E:$E,'Base SKUs'!S:S),"")</f>
        <v>4.8669580079999993E-3</v>
      </c>
      <c r="S1344" s="8">
        <f t="shared" si="102"/>
        <v>0.63757149904799992</v>
      </c>
      <c r="T1344" s="7">
        <f>IFERROR(_xlfn.XLOOKUP($A1344,'Base SKUs'!$E:$E,'Base SKUs'!R:R),"")</f>
        <v>1232.8030000000001</v>
      </c>
      <c r="U1344" s="15">
        <f t="shared" si="103"/>
        <v>786</v>
      </c>
      <c r="V1344" t="str">
        <f t="shared" si="104"/>
        <v>Texas</v>
      </c>
    </row>
    <row r="1345" spans="1:22" x14ac:dyDescent="0.2">
      <c r="A1345" t="s">
        <v>1800</v>
      </c>
      <c r="B1345" s="5">
        <v>103</v>
      </c>
      <c r="C1345" s="5">
        <v>0</v>
      </c>
      <c r="D1345" s="5">
        <f t="shared" si="100"/>
        <v>103</v>
      </c>
      <c r="E1345" s="6">
        <v>8.4600000000000009</v>
      </c>
      <c r="F1345" s="6">
        <f t="shared" si="101"/>
        <v>871.38000000000011</v>
      </c>
      <c r="G1345" t="s">
        <v>330</v>
      </c>
      <c r="H1345">
        <v>9011</v>
      </c>
      <c r="I1345" t="str">
        <f>IFERROR(_xlfn.XLOOKUP($A1345,'Base SKUs'!$E:$E,'Base SKUs'!A:A),"")</f>
        <v>Tigerwood</v>
      </c>
      <c r="J1345" t="str">
        <f>IFERROR(_xlfn.XLOOKUP($A1345,'Base SKUs'!$E:$E,'Base SKUs'!B:B),"")</f>
        <v>Tigerwood 1x6</v>
      </c>
      <c r="K1345" t="str">
        <f>IFERROR(_xlfn.XLOOKUP($A1345,'Base SKUs'!$E:$E,'Base SKUs'!C:C),"")</f>
        <v>Long</v>
      </c>
      <c r="L1345" t="str">
        <f>IFERROR(_xlfn.XLOOKUP($A1345,'Base SKUs'!$E:$E,'Base SKUs'!D:D),"")</f>
        <v>Hardwoods</v>
      </c>
      <c r="M1345" t="str">
        <f>IFERROR(_xlfn.XLOOKUP($A1345,'Base SKUs'!$E:$E,'Base SKUs'!G:G),"")</f>
        <v>Tigerwood</v>
      </c>
      <c r="N1345" t="str">
        <f>IFERROR(_xlfn.XLOOKUP($A1345,'Base SKUs'!$E:$E,'Base SKUs'!H:H),"")</f>
        <v>S4S E4E</v>
      </c>
      <c r="O1345" t="str">
        <f>IFERROR(_xlfn.XLOOKUP($A1345,'Base SKUs'!$E:$E,'Base SKUs'!I:I),"")</f>
        <v>-</v>
      </c>
      <c r="P1345" t="str">
        <f>IFERROR(_xlfn.XLOOKUP($A1345,'Base SKUs'!$E:$E,'Base SKUs'!J:J),"")</f>
        <v>1x6</v>
      </c>
      <c r="Q1345">
        <f>IFERROR(_xlfn.XLOOKUP($A1345,'Base SKUs'!$E:$E,'Base SKUs'!K:K),"")</f>
        <v>8</v>
      </c>
      <c r="R1345" s="7">
        <f>IFERROR(_xlfn.XLOOKUP($A1345,'Base SKUs'!$E:$E,'Base SKUs'!S:S),"")</f>
        <v>6.4892773439999994E-3</v>
      </c>
      <c r="S1345" s="8">
        <f t="shared" si="102"/>
        <v>0.66839556643199993</v>
      </c>
      <c r="T1345" s="7">
        <f>IFERROR(_xlfn.XLOOKUP($A1345,'Base SKUs'!$E:$E,'Base SKUs'!R:R),"")</f>
        <v>1232.8030000000001</v>
      </c>
      <c r="U1345" s="15">
        <f t="shared" si="103"/>
        <v>824</v>
      </c>
      <c r="V1345" t="str">
        <f t="shared" si="104"/>
        <v>New York</v>
      </c>
    </row>
    <row r="1346" spans="1:22" x14ac:dyDescent="0.2">
      <c r="A1346" t="s">
        <v>1802</v>
      </c>
      <c r="B1346" s="5">
        <v>6</v>
      </c>
      <c r="C1346" s="5">
        <v>6</v>
      </c>
      <c r="D1346" s="5">
        <f t="shared" ref="D1346:D1409" si="105">B1346-C1346</f>
        <v>0</v>
      </c>
      <c r="E1346" s="6">
        <v>15.943199999999999</v>
      </c>
      <c r="F1346" s="6">
        <f t="shared" ref="F1346:F1409" si="106">B1346*E1346</f>
        <v>95.659199999999998</v>
      </c>
      <c r="G1346" t="s">
        <v>17</v>
      </c>
      <c r="H1346">
        <v>9007</v>
      </c>
      <c r="I1346" t="str">
        <f>IFERROR(_xlfn.XLOOKUP($A1346,'Base SKUs'!$E:$E,'Base SKUs'!A:A),"")</f>
        <v>Scandinavian Pine</v>
      </c>
      <c r="J1346" t="str">
        <f>IFERROR(_xlfn.XLOOKUP($A1346,'Base SKUs'!$E:$E,'Base SKUs'!B:B),"")</f>
        <v>Scandinavian Pine 2x4</v>
      </c>
      <c r="K1346" t="str">
        <f>IFERROR(_xlfn.XLOOKUP($A1346,'Base SKUs'!$E:$E,'Base SKUs'!C:C),"")</f>
        <v>Long</v>
      </c>
      <c r="L1346" t="str">
        <f>IFERROR(_xlfn.XLOOKUP($A1346,'Base SKUs'!$E:$E,'Base SKUs'!D:D),"")</f>
        <v>Thermowood</v>
      </c>
      <c r="M1346" t="str">
        <f>IFERROR(_xlfn.XLOOKUP($A1346,'Base SKUs'!$E:$E,'Base SKUs'!G:G),"")</f>
        <v>Maximo Thermo Scandinavian Pine</v>
      </c>
      <c r="N1346" t="str">
        <f>IFERROR(_xlfn.XLOOKUP($A1346,'Base SKUs'!$E:$E,'Base SKUs'!H:H),"")</f>
        <v>S4S E4E</v>
      </c>
      <c r="O1346" t="str">
        <f>IFERROR(_xlfn.XLOOKUP($A1346,'Base SKUs'!$E:$E,'Base SKUs'!I:I),"")</f>
        <v>-</v>
      </c>
      <c r="P1346" t="str">
        <f>IFERROR(_xlfn.XLOOKUP($A1346,'Base SKUs'!$E:$E,'Base SKUs'!J:J),"")</f>
        <v>2x4</v>
      </c>
      <c r="Q1346">
        <f>IFERROR(_xlfn.XLOOKUP($A1346,'Base SKUs'!$E:$E,'Base SKUs'!K:K),"")</f>
        <v>12</v>
      </c>
      <c r="R1346" s="7">
        <f>IFERROR(_xlfn.XLOOKUP($A1346,'Base SKUs'!$E:$E,'Base SKUs'!S:S),"")</f>
        <v>1.3247999999999999E-2</v>
      </c>
      <c r="S1346" s="8">
        <f t="shared" ref="S1346:S1409" si="107">IF(OR(L1346="Saicos",L1346="Oil",L1346="US4",L1346="Wood Table",L1346="Woca",L1346="Norx",N1346="Tiles"),D1346,D1346*R1346)</f>
        <v>0</v>
      </c>
      <c r="T1346" s="7">
        <f>IFERROR(_xlfn.XLOOKUP($A1346,'Base SKUs'!$E:$E,'Base SKUs'!R:R),"")</f>
        <v>891.53300000000002</v>
      </c>
      <c r="U1346" s="15">
        <f t="shared" ref="U1346:U1409" si="108">ROUND(IF(OR(L1346="Saicos",L1346="Oil",L1346="US4",L1346="Wood Table",L1346="Woca",L1346="Norx",N1346="Tiles"),D1346,S1346*T1346),0)</f>
        <v>0</v>
      </c>
      <c r="V1346" t="str">
        <f t="shared" ref="V1346:V1409" si="109">IF(H1346=9007,"Miami",IF(H1346=9008,"Texas",IF(H1346=9009,"Boston",IF(H1346=9010,"BS Detroit",IF(H1346=9011,"New York",IF(H1346=9012,"HW Perris",IF(H1346=9013,"BS Riverside",IF(H1346=9014,"On the Way",IF(H1346=9015,"Russin",IF(H1346=9016,"Palm Beach",""))))))))))</f>
        <v>Miami</v>
      </c>
    </row>
    <row r="1347" spans="1:22" x14ac:dyDescent="0.2">
      <c r="A1347" t="s">
        <v>1804</v>
      </c>
      <c r="B1347" s="5">
        <v>31</v>
      </c>
      <c r="C1347" s="5">
        <v>31</v>
      </c>
      <c r="D1347" s="5">
        <f t="shared" si="105"/>
        <v>0</v>
      </c>
      <c r="E1347" s="6">
        <v>17.271799999999999</v>
      </c>
      <c r="F1347" s="6">
        <f t="shared" si="106"/>
        <v>535.42579999999998</v>
      </c>
      <c r="G1347" t="s">
        <v>17</v>
      </c>
      <c r="H1347">
        <v>9007</v>
      </c>
      <c r="I1347" t="str">
        <f>IFERROR(_xlfn.XLOOKUP($A1347,'Base SKUs'!$E:$E,'Base SKUs'!A:A),"")</f>
        <v>Scandinavian Pine</v>
      </c>
      <c r="J1347" t="str">
        <f>IFERROR(_xlfn.XLOOKUP($A1347,'Base SKUs'!$E:$E,'Base SKUs'!B:B),"")</f>
        <v>Scandinavian Pine 2x4</v>
      </c>
      <c r="K1347" t="str">
        <f>IFERROR(_xlfn.XLOOKUP($A1347,'Base SKUs'!$E:$E,'Base SKUs'!C:C),"")</f>
        <v>Long</v>
      </c>
      <c r="L1347" t="str">
        <f>IFERROR(_xlfn.XLOOKUP($A1347,'Base SKUs'!$E:$E,'Base SKUs'!D:D),"")</f>
        <v>Thermowood</v>
      </c>
      <c r="M1347" t="str">
        <f>IFERROR(_xlfn.XLOOKUP($A1347,'Base SKUs'!$E:$E,'Base SKUs'!G:G),"")</f>
        <v>Maximo Thermo Scandinavian Pine</v>
      </c>
      <c r="N1347" t="str">
        <f>IFERROR(_xlfn.XLOOKUP($A1347,'Base SKUs'!$E:$E,'Base SKUs'!H:H),"")</f>
        <v>S4S E4E</v>
      </c>
      <c r="O1347" t="str">
        <f>IFERROR(_xlfn.XLOOKUP($A1347,'Base SKUs'!$E:$E,'Base SKUs'!I:I),"")</f>
        <v>-</v>
      </c>
      <c r="P1347" t="str">
        <f>IFERROR(_xlfn.XLOOKUP($A1347,'Base SKUs'!$E:$E,'Base SKUs'!J:J),"")</f>
        <v>2x4</v>
      </c>
      <c r="Q1347">
        <f>IFERROR(_xlfn.XLOOKUP($A1347,'Base SKUs'!$E:$E,'Base SKUs'!K:K),"")</f>
        <v>13</v>
      </c>
      <c r="R1347" s="7">
        <f>IFERROR(_xlfn.XLOOKUP($A1347,'Base SKUs'!$E:$E,'Base SKUs'!S:S),"")</f>
        <v>1.4352E-2</v>
      </c>
      <c r="S1347" s="8">
        <f t="shared" si="107"/>
        <v>0</v>
      </c>
      <c r="T1347" s="7">
        <f>IFERROR(_xlfn.XLOOKUP($A1347,'Base SKUs'!$E:$E,'Base SKUs'!R:R),"")</f>
        <v>891.53300000000002</v>
      </c>
      <c r="U1347" s="15">
        <f t="shared" si="108"/>
        <v>0</v>
      </c>
      <c r="V1347" t="str">
        <f t="shared" si="109"/>
        <v>Miami</v>
      </c>
    </row>
    <row r="1348" spans="1:22" x14ac:dyDescent="0.2">
      <c r="A1348" t="s">
        <v>1806</v>
      </c>
      <c r="B1348" s="5">
        <v>2</v>
      </c>
      <c r="C1348" s="5">
        <v>2</v>
      </c>
      <c r="D1348" s="5">
        <f t="shared" si="105"/>
        <v>0</v>
      </c>
      <c r="E1348" s="6">
        <v>22.586200000000002</v>
      </c>
      <c r="F1348" s="6">
        <f t="shared" si="106"/>
        <v>45.172400000000003</v>
      </c>
      <c r="G1348" t="s">
        <v>17</v>
      </c>
      <c r="H1348">
        <v>9007</v>
      </c>
      <c r="I1348" t="str">
        <f>IFERROR(_xlfn.XLOOKUP($A1348,'Base SKUs'!$E:$E,'Base SKUs'!A:A),"")</f>
        <v>Scandinavian Pine</v>
      </c>
      <c r="J1348" t="str">
        <f>IFERROR(_xlfn.XLOOKUP($A1348,'Base SKUs'!$E:$E,'Base SKUs'!B:B),"")</f>
        <v>Scandinavian Pine 2x4</v>
      </c>
      <c r="K1348" t="str">
        <f>IFERROR(_xlfn.XLOOKUP($A1348,'Base SKUs'!$E:$E,'Base SKUs'!C:C),"")</f>
        <v>Long</v>
      </c>
      <c r="L1348" t="str">
        <f>IFERROR(_xlfn.XLOOKUP($A1348,'Base SKUs'!$E:$E,'Base SKUs'!D:D),"")</f>
        <v>Thermowood</v>
      </c>
      <c r="M1348" t="str">
        <f>IFERROR(_xlfn.XLOOKUP($A1348,'Base SKUs'!$E:$E,'Base SKUs'!G:G),"")</f>
        <v>Maximo Thermo Scandinavian Pine</v>
      </c>
      <c r="N1348" t="str">
        <f>IFERROR(_xlfn.XLOOKUP($A1348,'Base SKUs'!$E:$E,'Base SKUs'!H:H),"")</f>
        <v>S4S E4E</v>
      </c>
      <c r="O1348" t="str">
        <f>IFERROR(_xlfn.XLOOKUP($A1348,'Base SKUs'!$E:$E,'Base SKUs'!I:I),"")</f>
        <v>-</v>
      </c>
      <c r="P1348" t="str">
        <f>IFERROR(_xlfn.XLOOKUP($A1348,'Base SKUs'!$E:$E,'Base SKUs'!J:J),"")</f>
        <v>2x4</v>
      </c>
      <c r="Q1348">
        <f>IFERROR(_xlfn.XLOOKUP($A1348,'Base SKUs'!$E:$E,'Base SKUs'!K:K),"")</f>
        <v>17</v>
      </c>
      <c r="R1348" s="7">
        <f>IFERROR(_xlfn.XLOOKUP($A1348,'Base SKUs'!$E:$E,'Base SKUs'!S:S),"")</f>
        <v>1.8767999999999996E-2</v>
      </c>
      <c r="S1348" s="8">
        <f t="shared" si="107"/>
        <v>0</v>
      </c>
      <c r="T1348" s="7">
        <f>IFERROR(_xlfn.XLOOKUP($A1348,'Base SKUs'!$E:$E,'Base SKUs'!R:R),"")</f>
        <v>891.53300000000002</v>
      </c>
      <c r="U1348" s="15">
        <f t="shared" si="108"/>
        <v>0</v>
      </c>
      <c r="V1348" t="str">
        <f t="shared" si="109"/>
        <v>Miami</v>
      </c>
    </row>
    <row r="1349" spans="1:22" x14ac:dyDescent="0.2">
      <c r="A1349" t="s">
        <v>1808</v>
      </c>
      <c r="B1349" s="5">
        <v>30</v>
      </c>
      <c r="C1349" s="5">
        <v>30</v>
      </c>
      <c r="D1349" s="5">
        <f t="shared" si="105"/>
        <v>0</v>
      </c>
      <c r="E1349" s="6">
        <v>6.6557000000000004</v>
      </c>
      <c r="F1349" s="6">
        <f t="shared" si="106"/>
        <v>199.67100000000002</v>
      </c>
      <c r="G1349" t="s">
        <v>17</v>
      </c>
      <c r="H1349">
        <v>9007</v>
      </c>
      <c r="I1349" t="str">
        <f>IFERROR(_xlfn.XLOOKUP($A1349,'Base SKUs'!$E:$E,'Base SKUs'!A:A),"")</f>
        <v>Scandinavian Pine</v>
      </c>
      <c r="J1349" t="str">
        <f>IFERROR(_xlfn.XLOOKUP($A1349,'Base SKUs'!$E:$E,'Base SKUs'!B:B),"")</f>
        <v>Scandinavian Pine 2x4</v>
      </c>
      <c r="K1349" t="str">
        <f>IFERROR(_xlfn.XLOOKUP($A1349,'Base SKUs'!$E:$E,'Base SKUs'!C:C),"")</f>
        <v>Short</v>
      </c>
      <c r="L1349" t="str">
        <f>IFERROR(_xlfn.XLOOKUP($A1349,'Base SKUs'!$E:$E,'Base SKUs'!D:D),"")</f>
        <v>Thermowood</v>
      </c>
      <c r="M1349" t="str">
        <f>IFERROR(_xlfn.XLOOKUP($A1349,'Base SKUs'!$E:$E,'Base SKUs'!G:G),"")</f>
        <v>Maximo Thermo Scandinavian Pine</v>
      </c>
      <c r="N1349" t="str">
        <f>IFERROR(_xlfn.XLOOKUP($A1349,'Base SKUs'!$E:$E,'Base SKUs'!H:H),"")</f>
        <v>S4S E4E</v>
      </c>
      <c r="O1349" t="str">
        <f>IFERROR(_xlfn.XLOOKUP($A1349,'Base SKUs'!$E:$E,'Base SKUs'!I:I),"")</f>
        <v>-</v>
      </c>
      <c r="P1349" t="str">
        <f>IFERROR(_xlfn.XLOOKUP($A1349,'Base SKUs'!$E:$E,'Base SKUs'!J:J),"")</f>
        <v>2x4</v>
      </c>
      <c r="Q1349">
        <f>IFERROR(_xlfn.XLOOKUP($A1349,'Base SKUs'!$E:$E,'Base SKUs'!K:K),"")</f>
        <v>5</v>
      </c>
      <c r="R1349" s="7">
        <f>IFERROR(_xlfn.XLOOKUP($A1349,'Base SKUs'!$E:$E,'Base SKUs'!S:S),"")</f>
        <v>5.5199999999999997E-3</v>
      </c>
      <c r="S1349" s="8">
        <f t="shared" si="107"/>
        <v>0</v>
      </c>
      <c r="T1349" s="7">
        <f>IFERROR(_xlfn.XLOOKUP($A1349,'Base SKUs'!$E:$E,'Base SKUs'!R:R),"")</f>
        <v>891.53300000000002</v>
      </c>
      <c r="U1349" s="15">
        <f t="shared" si="108"/>
        <v>0</v>
      </c>
      <c r="V1349" t="str">
        <f t="shared" si="109"/>
        <v>Miami</v>
      </c>
    </row>
    <row r="1350" spans="1:22" x14ac:dyDescent="0.2">
      <c r="A1350" t="s">
        <v>1810</v>
      </c>
      <c r="B1350" s="5">
        <v>2</v>
      </c>
      <c r="C1350" s="5">
        <v>2</v>
      </c>
      <c r="D1350" s="5">
        <f t="shared" si="105"/>
        <v>0</v>
      </c>
      <c r="E1350" s="6">
        <v>7.93</v>
      </c>
      <c r="F1350" s="6">
        <f t="shared" si="106"/>
        <v>15.86</v>
      </c>
      <c r="G1350" t="s">
        <v>17</v>
      </c>
      <c r="H1350">
        <v>9007</v>
      </c>
      <c r="I1350" t="str">
        <f>IFERROR(_xlfn.XLOOKUP($A1350,'Base SKUs'!$E:$E,'Base SKUs'!A:A),"")</f>
        <v>Scandinavian Pine</v>
      </c>
      <c r="J1350" t="str">
        <f>IFERROR(_xlfn.XLOOKUP($A1350,'Base SKUs'!$E:$E,'Base SKUs'!B:B),"")</f>
        <v>Scandinavian Pine 2x4</v>
      </c>
      <c r="K1350" t="str">
        <f>IFERROR(_xlfn.XLOOKUP($A1350,'Base SKUs'!$E:$E,'Base SKUs'!C:C),"")</f>
        <v>Short</v>
      </c>
      <c r="L1350" t="str">
        <f>IFERROR(_xlfn.XLOOKUP($A1350,'Base SKUs'!$E:$E,'Base SKUs'!D:D),"")</f>
        <v>Thermowood</v>
      </c>
      <c r="M1350" t="str">
        <f>IFERROR(_xlfn.XLOOKUP($A1350,'Base SKUs'!$E:$E,'Base SKUs'!G:G),"")</f>
        <v>Maximo Thermo Scandinavian Pine</v>
      </c>
      <c r="N1350" t="str">
        <f>IFERROR(_xlfn.XLOOKUP($A1350,'Base SKUs'!$E:$E,'Base SKUs'!H:H),"")</f>
        <v>S4S E4E</v>
      </c>
      <c r="O1350" t="str">
        <f>IFERROR(_xlfn.XLOOKUP($A1350,'Base SKUs'!$E:$E,'Base SKUs'!I:I),"")</f>
        <v>-</v>
      </c>
      <c r="P1350" t="str">
        <f>IFERROR(_xlfn.XLOOKUP($A1350,'Base SKUs'!$E:$E,'Base SKUs'!J:J),"")</f>
        <v>2x4</v>
      </c>
      <c r="Q1350">
        <f>IFERROR(_xlfn.XLOOKUP($A1350,'Base SKUs'!$E:$E,'Base SKUs'!K:K),"")</f>
        <v>6</v>
      </c>
      <c r="R1350" s="7">
        <f>IFERROR(_xlfn.XLOOKUP($A1350,'Base SKUs'!$E:$E,'Base SKUs'!S:S),"")</f>
        <v>6.6239999999999997E-3</v>
      </c>
      <c r="S1350" s="8">
        <f t="shared" si="107"/>
        <v>0</v>
      </c>
      <c r="T1350" s="7">
        <f>IFERROR(_xlfn.XLOOKUP($A1350,'Base SKUs'!$E:$E,'Base SKUs'!R:R),"")</f>
        <v>891.53300000000002</v>
      </c>
      <c r="U1350" s="15">
        <f t="shared" si="108"/>
        <v>0</v>
      </c>
      <c r="V1350" t="str">
        <f t="shared" si="109"/>
        <v>Miami</v>
      </c>
    </row>
    <row r="1351" spans="1:22" x14ac:dyDescent="0.2">
      <c r="A1351" t="s">
        <v>1812</v>
      </c>
      <c r="B1351" s="5">
        <v>76</v>
      </c>
      <c r="C1351" s="5">
        <v>76</v>
      </c>
      <c r="D1351" s="5">
        <f t="shared" si="105"/>
        <v>0</v>
      </c>
      <c r="E1351" s="6">
        <v>9.3168000000000006</v>
      </c>
      <c r="F1351" s="6">
        <f t="shared" si="106"/>
        <v>708.07680000000005</v>
      </c>
      <c r="G1351" t="s">
        <v>17</v>
      </c>
      <c r="H1351">
        <v>9007</v>
      </c>
      <c r="I1351" t="str">
        <f>IFERROR(_xlfn.XLOOKUP($A1351,'Base SKUs'!$E:$E,'Base SKUs'!A:A),"")</f>
        <v>Scandinavian Pine</v>
      </c>
      <c r="J1351" t="str">
        <f>IFERROR(_xlfn.XLOOKUP($A1351,'Base SKUs'!$E:$E,'Base SKUs'!B:B),"")</f>
        <v>Scandinavian Pine 2x4</v>
      </c>
      <c r="K1351" t="str">
        <f>IFERROR(_xlfn.XLOOKUP($A1351,'Base SKUs'!$E:$E,'Base SKUs'!C:C),"")</f>
        <v>Short</v>
      </c>
      <c r="L1351" t="str">
        <f>IFERROR(_xlfn.XLOOKUP($A1351,'Base SKUs'!$E:$E,'Base SKUs'!D:D),"")</f>
        <v>Thermowood</v>
      </c>
      <c r="M1351" t="str">
        <f>IFERROR(_xlfn.XLOOKUP($A1351,'Base SKUs'!$E:$E,'Base SKUs'!G:G),"")</f>
        <v>Maximo Thermo Scandinavian Pine</v>
      </c>
      <c r="N1351" t="str">
        <f>IFERROR(_xlfn.XLOOKUP($A1351,'Base SKUs'!$E:$E,'Base SKUs'!H:H),"")</f>
        <v>S4S E4E</v>
      </c>
      <c r="O1351" t="str">
        <f>IFERROR(_xlfn.XLOOKUP($A1351,'Base SKUs'!$E:$E,'Base SKUs'!I:I),"")</f>
        <v>-</v>
      </c>
      <c r="P1351" t="str">
        <f>IFERROR(_xlfn.XLOOKUP($A1351,'Base SKUs'!$E:$E,'Base SKUs'!J:J),"")</f>
        <v>2x4</v>
      </c>
      <c r="Q1351">
        <f>IFERROR(_xlfn.XLOOKUP($A1351,'Base SKUs'!$E:$E,'Base SKUs'!K:K),"")</f>
        <v>7</v>
      </c>
      <c r="R1351" s="7">
        <f>IFERROR(_xlfn.XLOOKUP($A1351,'Base SKUs'!$E:$E,'Base SKUs'!S:S),"")</f>
        <v>7.7280000000000005E-3</v>
      </c>
      <c r="S1351" s="8">
        <f t="shared" si="107"/>
        <v>0</v>
      </c>
      <c r="T1351" s="7">
        <f>IFERROR(_xlfn.XLOOKUP($A1351,'Base SKUs'!$E:$E,'Base SKUs'!R:R),"")</f>
        <v>891.53300000000002</v>
      </c>
      <c r="U1351" s="15">
        <f t="shared" si="108"/>
        <v>0</v>
      </c>
      <c r="V1351" t="str">
        <f t="shared" si="109"/>
        <v>Miami</v>
      </c>
    </row>
    <row r="1352" spans="1:22" x14ac:dyDescent="0.2">
      <c r="A1352" t="s">
        <v>1814</v>
      </c>
      <c r="B1352" s="5">
        <v>1</v>
      </c>
      <c r="C1352" s="5">
        <v>1</v>
      </c>
      <c r="D1352" s="5">
        <f t="shared" si="105"/>
        <v>0</v>
      </c>
      <c r="E1352" s="6">
        <v>10.6015</v>
      </c>
      <c r="F1352" s="6">
        <f t="shared" si="106"/>
        <v>10.6015</v>
      </c>
      <c r="G1352" t="s">
        <v>24</v>
      </c>
      <c r="H1352">
        <v>9008</v>
      </c>
      <c r="I1352" t="str">
        <f>IFERROR(_xlfn.XLOOKUP($A1352,'Base SKUs'!$E:$E,'Base SKUs'!A:A),"")</f>
        <v>Scandinavian Pine</v>
      </c>
      <c r="J1352" t="str">
        <f>IFERROR(_xlfn.XLOOKUP($A1352,'Base SKUs'!$E:$E,'Base SKUs'!B:B),"")</f>
        <v>Scandinavian Pine 1x6</v>
      </c>
      <c r="K1352" t="str">
        <f>IFERROR(_xlfn.XLOOKUP($A1352,'Base SKUs'!$E:$E,'Base SKUs'!C:C),"")</f>
        <v>Long</v>
      </c>
      <c r="L1352" t="str">
        <f>IFERROR(_xlfn.XLOOKUP($A1352,'Base SKUs'!$E:$E,'Base SKUs'!D:D),"")</f>
        <v>Thermowood</v>
      </c>
      <c r="M1352" t="str">
        <f>IFERROR(_xlfn.XLOOKUP($A1352,'Base SKUs'!$E:$E,'Base SKUs'!G:G),"")</f>
        <v>Maximo Thermo Scandinavian Pine</v>
      </c>
      <c r="N1352" t="str">
        <f>IFERROR(_xlfn.XLOOKUP($A1352,'Base SKUs'!$E:$E,'Base SKUs'!H:H),"")</f>
        <v>VJoint - Nickel Gap</v>
      </c>
      <c r="O1352" t="str">
        <f>IFERROR(_xlfn.XLOOKUP($A1352,'Base SKUs'!$E:$E,'Base SKUs'!I:I),"")</f>
        <v>-</v>
      </c>
      <c r="P1352" t="str">
        <f>IFERROR(_xlfn.XLOOKUP($A1352,'Base SKUs'!$E:$E,'Base SKUs'!J:J),"")</f>
        <v>1x6</v>
      </c>
      <c r="Q1352">
        <f>IFERROR(_xlfn.XLOOKUP($A1352,'Base SKUs'!$E:$E,'Base SKUs'!K:K),"")</f>
        <v>10</v>
      </c>
      <c r="R1352" s="7">
        <f>IFERROR(_xlfn.XLOOKUP($A1352,'Base SKUs'!$E:$E,'Base SKUs'!S:S),"")</f>
        <v>7.980000000000001E-3</v>
      </c>
      <c r="S1352" s="8">
        <f t="shared" si="107"/>
        <v>0</v>
      </c>
      <c r="T1352" s="7">
        <f>IFERROR(_xlfn.XLOOKUP($A1352,'Base SKUs'!$E:$E,'Base SKUs'!R:R),"")</f>
        <v>1233.3979999999999</v>
      </c>
      <c r="U1352" s="15">
        <f t="shared" si="108"/>
        <v>0</v>
      </c>
      <c r="V1352" t="str">
        <f t="shared" si="109"/>
        <v>Texas</v>
      </c>
    </row>
    <row r="1353" spans="1:22" x14ac:dyDescent="0.2">
      <c r="A1353" t="s">
        <v>1816</v>
      </c>
      <c r="B1353" s="5">
        <v>2</v>
      </c>
      <c r="C1353" s="5">
        <v>2</v>
      </c>
      <c r="D1353" s="5">
        <f t="shared" si="105"/>
        <v>0</v>
      </c>
      <c r="E1353" s="6">
        <v>11.904400000000001</v>
      </c>
      <c r="F1353" s="6">
        <f t="shared" si="106"/>
        <v>23.808800000000002</v>
      </c>
      <c r="G1353" t="s">
        <v>24</v>
      </c>
      <c r="H1353">
        <v>9008</v>
      </c>
      <c r="I1353" t="str">
        <f>IFERROR(_xlfn.XLOOKUP($A1353,'Base SKUs'!$E:$E,'Base SKUs'!A:A),"")</f>
        <v>Scandinavian Pine</v>
      </c>
      <c r="J1353" t="str">
        <f>IFERROR(_xlfn.XLOOKUP($A1353,'Base SKUs'!$E:$E,'Base SKUs'!B:B),"")</f>
        <v>Scandinavian Pine 1x6</v>
      </c>
      <c r="K1353" t="str">
        <f>IFERROR(_xlfn.XLOOKUP($A1353,'Base SKUs'!$E:$E,'Base SKUs'!C:C),"")</f>
        <v>Long</v>
      </c>
      <c r="L1353" t="str">
        <f>IFERROR(_xlfn.XLOOKUP($A1353,'Base SKUs'!$E:$E,'Base SKUs'!D:D),"")</f>
        <v>Thermowood</v>
      </c>
      <c r="M1353" t="str">
        <f>IFERROR(_xlfn.XLOOKUP($A1353,'Base SKUs'!$E:$E,'Base SKUs'!G:G),"")</f>
        <v>Maximo Thermo Scandinavian Pine</v>
      </c>
      <c r="N1353" t="str">
        <f>IFERROR(_xlfn.XLOOKUP($A1353,'Base SKUs'!$E:$E,'Base SKUs'!H:H),"")</f>
        <v>VJoint - Nickel Gap</v>
      </c>
      <c r="O1353" t="str">
        <f>IFERROR(_xlfn.XLOOKUP($A1353,'Base SKUs'!$E:$E,'Base SKUs'!I:I),"")</f>
        <v>-</v>
      </c>
      <c r="P1353" t="str">
        <f>IFERROR(_xlfn.XLOOKUP($A1353,'Base SKUs'!$E:$E,'Base SKUs'!J:J),"")</f>
        <v>1x6</v>
      </c>
      <c r="Q1353">
        <f>IFERROR(_xlfn.XLOOKUP($A1353,'Base SKUs'!$E:$E,'Base SKUs'!K:K),"")</f>
        <v>11</v>
      </c>
      <c r="R1353" s="7">
        <f>IFERROR(_xlfn.XLOOKUP($A1353,'Base SKUs'!$E:$E,'Base SKUs'!S:S),"")</f>
        <v>8.7779999999999993E-3</v>
      </c>
      <c r="S1353" s="8">
        <f t="shared" si="107"/>
        <v>0</v>
      </c>
      <c r="T1353" s="7">
        <f>IFERROR(_xlfn.XLOOKUP($A1353,'Base SKUs'!$E:$E,'Base SKUs'!R:R),"")</f>
        <v>1233.3979999999999</v>
      </c>
      <c r="U1353" s="15">
        <f t="shared" si="108"/>
        <v>0</v>
      </c>
      <c r="V1353" t="str">
        <f t="shared" si="109"/>
        <v>Texas</v>
      </c>
    </row>
    <row r="1354" spans="1:22" x14ac:dyDescent="0.2">
      <c r="A1354" t="s">
        <v>1818</v>
      </c>
      <c r="B1354" s="5">
        <v>22</v>
      </c>
      <c r="C1354" s="5">
        <v>22</v>
      </c>
      <c r="D1354" s="5">
        <f t="shared" si="105"/>
        <v>0</v>
      </c>
      <c r="E1354" s="6">
        <v>12.706200000000001</v>
      </c>
      <c r="F1354" s="6">
        <f t="shared" si="106"/>
        <v>279.53640000000001</v>
      </c>
      <c r="G1354" t="s">
        <v>24</v>
      </c>
      <c r="H1354">
        <v>9008</v>
      </c>
      <c r="I1354" t="str">
        <f>IFERROR(_xlfn.XLOOKUP($A1354,'Base SKUs'!$E:$E,'Base SKUs'!A:A),"")</f>
        <v>Scandinavian Pine</v>
      </c>
      <c r="J1354" t="str">
        <f>IFERROR(_xlfn.XLOOKUP($A1354,'Base SKUs'!$E:$E,'Base SKUs'!B:B),"")</f>
        <v>Scandinavian Pine 1x6</v>
      </c>
      <c r="K1354" t="str">
        <f>IFERROR(_xlfn.XLOOKUP($A1354,'Base SKUs'!$E:$E,'Base SKUs'!C:C),"")</f>
        <v>Long</v>
      </c>
      <c r="L1354" t="str">
        <f>IFERROR(_xlfn.XLOOKUP($A1354,'Base SKUs'!$E:$E,'Base SKUs'!D:D),"")</f>
        <v>Thermowood</v>
      </c>
      <c r="M1354" t="str">
        <f>IFERROR(_xlfn.XLOOKUP($A1354,'Base SKUs'!$E:$E,'Base SKUs'!G:G),"")</f>
        <v>Maximo Thermo Scandinavian Pine</v>
      </c>
      <c r="N1354" t="str">
        <f>IFERROR(_xlfn.XLOOKUP($A1354,'Base SKUs'!$E:$E,'Base SKUs'!H:H),"")</f>
        <v>VJoint - Nickel Gap</v>
      </c>
      <c r="O1354" t="str">
        <f>IFERROR(_xlfn.XLOOKUP($A1354,'Base SKUs'!$E:$E,'Base SKUs'!I:I),"")</f>
        <v>-</v>
      </c>
      <c r="P1354" t="str">
        <f>IFERROR(_xlfn.XLOOKUP($A1354,'Base SKUs'!$E:$E,'Base SKUs'!J:J),"")</f>
        <v>1x6</v>
      </c>
      <c r="Q1354">
        <f>IFERROR(_xlfn.XLOOKUP($A1354,'Base SKUs'!$E:$E,'Base SKUs'!K:K),"")</f>
        <v>12</v>
      </c>
      <c r="R1354" s="7">
        <f>IFERROR(_xlfn.XLOOKUP($A1354,'Base SKUs'!$E:$E,'Base SKUs'!S:S),"")</f>
        <v>9.5760000000000012E-3</v>
      </c>
      <c r="S1354" s="8">
        <f t="shared" si="107"/>
        <v>0</v>
      </c>
      <c r="T1354" s="7">
        <f>IFERROR(_xlfn.XLOOKUP($A1354,'Base SKUs'!$E:$E,'Base SKUs'!R:R),"")</f>
        <v>1233.3979999999999</v>
      </c>
      <c r="U1354" s="15">
        <f t="shared" si="108"/>
        <v>0</v>
      </c>
      <c r="V1354" t="str">
        <f t="shared" si="109"/>
        <v>Texas</v>
      </c>
    </row>
    <row r="1355" spans="1:22" x14ac:dyDescent="0.2">
      <c r="A1355" t="s">
        <v>1820</v>
      </c>
      <c r="B1355" s="5">
        <v>42</v>
      </c>
      <c r="C1355" s="5">
        <v>42</v>
      </c>
      <c r="D1355" s="5">
        <f t="shared" si="105"/>
        <v>0</v>
      </c>
      <c r="E1355" s="6">
        <v>14.361000000000001</v>
      </c>
      <c r="F1355" s="6">
        <f t="shared" si="106"/>
        <v>603.16200000000003</v>
      </c>
      <c r="G1355" t="s">
        <v>24</v>
      </c>
      <c r="H1355">
        <v>9008</v>
      </c>
      <c r="I1355" t="str">
        <f>IFERROR(_xlfn.XLOOKUP($A1355,'Base SKUs'!$E:$E,'Base SKUs'!A:A),"")</f>
        <v>Scandinavian Pine</v>
      </c>
      <c r="J1355" t="str">
        <f>IFERROR(_xlfn.XLOOKUP($A1355,'Base SKUs'!$E:$E,'Base SKUs'!B:B),"")</f>
        <v>Scandinavian Pine 1x6</v>
      </c>
      <c r="K1355" t="str">
        <f>IFERROR(_xlfn.XLOOKUP($A1355,'Base SKUs'!$E:$E,'Base SKUs'!C:C),"")</f>
        <v>Long</v>
      </c>
      <c r="L1355" t="str">
        <f>IFERROR(_xlfn.XLOOKUP($A1355,'Base SKUs'!$E:$E,'Base SKUs'!D:D),"")</f>
        <v>Thermowood</v>
      </c>
      <c r="M1355" t="str">
        <f>IFERROR(_xlfn.XLOOKUP($A1355,'Base SKUs'!$E:$E,'Base SKUs'!G:G),"")</f>
        <v>Maximo Thermo Scandinavian Pine</v>
      </c>
      <c r="N1355" t="str">
        <f>IFERROR(_xlfn.XLOOKUP($A1355,'Base SKUs'!$E:$E,'Base SKUs'!H:H),"")</f>
        <v>VJoint - Nickel Gap</v>
      </c>
      <c r="O1355" t="str">
        <f>IFERROR(_xlfn.XLOOKUP($A1355,'Base SKUs'!$E:$E,'Base SKUs'!I:I),"")</f>
        <v>-</v>
      </c>
      <c r="P1355" t="str">
        <f>IFERROR(_xlfn.XLOOKUP($A1355,'Base SKUs'!$E:$E,'Base SKUs'!J:J),"")</f>
        <v>1x6</v>
      </c>
      <c r="Q1355">
        <f>IFERROR(_xlfn.XLOOKUP($A1355,'Base SKUs'!$E:$E,'Base SKUs'!K:K),"")</f>
        <v>13</v>
      </c>
      <c r="R1355" s="7">
        <f>IFERROR(_xlfn.XLOOKUP($A1355,'Base SKUs'!$E:$E,'Base SKUs'!S:S),"")</f>
        <v>1.0374000000000001E-2</v>
      </c>
      <c r="S1355" s="8">
        <f t="shared" si="107"/>
        <v>0</v>
      </c>
      <c r="T1355" s="7">
        <f>IFERROR(_xlfn.XLOOKUP($A1355,'Base SKUs'!$E:$E,'Base SKUs'!R:R),"")</f>
        <v>1233.3979999999999</v>
      </c>
      <c r="U1355" s="15">
        <f t="shared" si="108"/>
        <v>0</v>
      </c>
      <c r="V1355" t="str">
        <f t="shared" si="109"/>
        <v>Texas</v>
      </c>
    </row>
    <row r="1356" spans="1:22" x14ac:dyDescent="0.2">
      <c r="A1356" t="s">
        <v>1822</v>
      </c>
      <c r="B1356" s="5">
        <v>6</v>
      </c>
      <c r="C1356" s="5">
        <v>6</v>
      </c>
      <c r="D1356" s="5">
        <f t="shared" si="105"/>
        <v>0</v>
      </c>
      <c r="E1356" s="6">
        <v>14.839600000000001</v>
      </c>
      <c r="F1356" s="6">
        <f t="shared" si="106"/>
        <v>89.037599999999998</v>
      </c>
      <c r="G1356" t="s">
        <v>24</v>
      </c>
      <c r="H1356">
        <v>9008</v>
      </c>
      <c r="I1356" t="str">
        <f>IFERROR(_xlfn.XLOOKUP($A1356,'Base SKUs'!$E:$E,'Base SKUs'!A:A),"")</f>
        <v>Scandinavian Pine</v>
      </c>
      <c r="J1356" t="str">
        <f>IFERROR(_xlfn.XLOOKUP($A1356,'Base SKUs'!$E:$E,'Base SKUs'!B:B),"")</f>
        <v>Scandinavian Pine 1x6</v>
      </c>
      <c r="K1356" t="str">
        <f>IFERROR(_xlfn.XLOOKUP($A1356,'Base SKUs'!$E:$E,'Base SKUs'!C:C),"")</f>
        <v>Long</v>
      </c>
      <c r="L1356" t="str">
        <f>IFERROR(_xlfn.XLOOKUP($A1356,'Base SKUs'!$E:$E,'Base SKUs'!D:D),"")</f>
        <v>Thermowood</v>
      </c>
      <c r="M1356" t="str">
        <f>IFERROR(_xlfn.XLOOKUP($A1356,'Base SKUs'!$E:$E,'Base SKUs'!G:G),"")</f>
        <v>Maximo Thermo Scandinavian Pine</v>
      </c>
      <c r="N1356" t="str">
        <f>IFERROR(_xlfn.XLOOKUP($A1356,'Base SKUs'!$E:$E,'Base SKUs'!H:H),"")</f>
        <v>VJoint - Nickel Gap</v>
      </c>
      <c r="O1356" t="str">
        <f>IFERROR(_xlfn.XLOOKUP($A1356,'Base SKUs'!$E:$E,'Base SKUs'!I:I),"")</f>
        <v>-</v>
      </c>
      <c r="P1356" t="str">
        <f>IFERROR(_xlfn.XLOOKUP($A1356,'Base SKUs'!$E:$E,'Base SKUs'!J:J),"")</f>
        <v>1x6</v>
      </c>
      <c r="Q1356">
        <f>IFERROR(_xlfn.XLOOKUP($A1356,'Base SKUs'!$E:$E,'Base SKUs'!K:K),"")</f>
        <v>14</v>
      </c>
      <c r="R1356" s="7">
        <f>IFERROR(_xlfn.XLOOKUP($A1356,'Base SKUs'!$E:$E,'Base SKUs'!S:S),"")</f>
        <v>1.1172E-2</v>
      </c>
      <c r="S1356" s="8">
        <f t="shared" si="107"/>
        <v>0</v>
      </c>
      <c r="T1356" s="7">
        <f>IFERROR(_xlfn.XLOOKUP($A1356,'Base SKUs'!$E:$E,'Base SKUs'!R:R),"")</f>
        <v>1233.3979999999999</v>
      </c>
      <c r="U1356" s="15">
        <f t="shared" si="108"/>
        <v>0</v>
      </c>
      <c r="V1356" t="str">
        <f t="shared" si="109"/>
        <v>Texas</v>
      </c>
    </row>
    <row r="1357" spans="1:22" x14ac:dyDescent="0.2">
      <c r="A1357" t="s">
        <v>1824</v>
      </c>
      <c r="B1357" s="5">
        <v>33</v>
      </c>
      <c r="C1357" s="5">
        <v>33</v>
      </c>
      <c r="D1357" s="5">
        <f t="shared" si="105"/>
        <v>0</v>
      </c>
      <c r="E1357" s="6">
        <v>16.0381</v>
      </c>
      <c r="F1357" s="6">
        <f t="shared" si="106"/>
        <v>529.25729999999999</v>
      </c>
      <c r="G1357" t="s">
        <v>17</v>
      </c>
      <c r="H1357">
        <v>9007</v>
      </c>
      <c r="I1357" t="str">
        <f>IFERROR(_xlfn.XLOOKUP($A1357,'Base SKUs'!$E:$E,'Base SKUs'!A:A),"")</f>
        <v>Scandinavian Pine</v>
      </c>
      <c r="J1357" t="str">
        <f>IFERROR(_xlfn.XLOOKUP($A1357,'Base SKUs'!$E:$E,'Base SKUs'!B:B),"")</f>
        <v>Scandinavian Pine 1x6</v>
      </c>
      <c r="K1357" t="str">
        <f>IFERROR(_xlfn.XLOOKUP($A1357,'Base SKUs'!$E:$E,'Base SKUs'!C:C),"")</f>
        <v>Long</v>
      </c>
      <c r="L1357" t="str">
        <f>IFERROR(_xlfn.XLOOKUP($A1357,'Base SKUs'!$E:$E,'Base SKUs'!D:D),"")</f>
        <v>Thermowood</v>
      </c>
      <c r="M1357" t="str">
        <f>IFERROR(_xlfn.XLOOKUP($A1357,'Base SKUs'!$E:$E,'Base SKUs'!G:G),"")</f>
        <v>Maximo Thermo Scandinavian Pine</v>
      </c>
      <c r="N1357" t="str">
        <f>IFERROR(_xlfn.XLOOKUP($A1357,'Base SKUs'!$E:$E,'Base SKUs'!H:H),"")</f>
        <v>VJoint - Nickel Gap</v>
      </c>
      <c r="O1357" t="str">
        <f>IFERROR(_xlfn.XLOOKUP($A1357,'Base SKUs'!$E:$E,'Base SKUs'!I:I),"")</f>
        <v>-</v>
      </c>
      <c r="P1357" t="str">
        <f>IFERROR(_xlfn.XLOOKUP($A1357,'Base SKUs'!$E:$E,'Base SKUs'!J:J),"")</f>
        <v>1x6</v>
      </c>
      <c r="Q1357">
        <f>IFERROR(_xlfn.XLOOKUP($A1357,'Base SKUs'!$E:$E,'Base SKUs'!K:K),"")</f>
        <v>15</v>
      </c>
      <c r="R1357" s="7">
        <f>IFERROR(_xlfn.XLOOKUP($A1357,'Base SKUs'!$E:$E,'Base SKUs'!S:S),"")</f>
        <v>1.1970000000000001E-2</v>
      </c>
      <c r="S1357" s="8">
        <f t="shared" si="107"/>
        <v>0</v>
      </c>
      <c r="T1357" s="7">
        <f>IFERROR(_xlfn.XLOOKUP($A1357,'Base SKUs'!$E:$E,'Base SKUs'!R:R),"")</f>
        <v>1233.3979999999999</v>
      </c>
      <c r="U1357" s="15">
        <f t="shared" si="108"/>
        <v>0</v>
      </c>
      <c r="V1357" t="str">
        <f t="shared" si="109"/>
        <v>Miami</v>
      </c>
    </row>
    <row r="1358" spans="1:22" x14ac:dyDescent="0.2">
      <c r="A1358" t="s">
        <v>1824</v>
      </c>
      <c r="B1358" s="5">
        <v>75</v>
      </c>
      <c r="C1358" s="5">
        <v>75</v>
      </c>
      <c r="D1358" s="5">
        <f t="shared" si="105"/>
        <v>0</v>
      </c>
      <c r="E1358" s="6">
        <v>16.0381</v>
      </c>
      <c r="F1358" s="6">
        <f t="shared" si="106"/>
        <v>1202.8575000000001</v>
      </c>
      <c r="G1358" t="s">
        <v>24</v>
      </c>
      <c r="H1358">
        <v>9008</v>
      </c>
      <c r="I1358" t="str">
        <f>IFERROR(_xlfn.XLOOKUP($A1358,'Base SKUs'!$E:$E,'Base SKUs'!A:A),"")</f>
        <v>Scandinavian Pine</v>
      </c>
      <c r="J1358" t="str">
        <f>IFERROR(_xlfn.XLOOKUP($A1358,'Base SKUs'!$E:$E,'Base SKUs'!B:B),"")</f>
        <v>Scandinavian Pine 1x6</v>
      </c>
      <c r="K1358" t="str">
        <f>IFERROR(_xlfn.XLOOKUP($A1358,'Base SKUs'!$E:$E,'Base SKUs'!C:C),"")</f>
        <v>Long</v>
      </c>
      <c r="L1358" t="str">
        <f>IFERROR(_xlfn.XLOOKUP($A1358,'Base SKUs'!$E:$E,'Base SKUs'!D:D),"")</f>
        <v>Thermowood</v>
      </c>
      <c r="M1358" t="str">
        <f>IFERROR(_xlfn.XLOOKUP($A1358,'Base SKUs'!$E:$E,'Base SKUs'!G:G),"")</f>
        <v>Maximo Thermo Scandinavian Pine</v>
      </c>
      <c r="N1358" t="str">
        <f>IFERROR(_xlfn.XLOOKUP($A1358,'Base SKUs'!$E:$E,'Base SKUs'!H:H),"")</f>
        <v>VJoint - Nickel Gap</v>
      </c>
      <c r="O1358" t="str">
        <f>IFERROR(_xlfn.XLOOKUP($A1358,'Base SKUs'!$E:$E,'Base SKUs'!I:I),"")</f>
        <v>-</v>
      </c>
      <c r="P1358" t="str">
        <f>IFERROR(_xlfn.XLOOKUP($A1358,'Base SKUs'!$E:$E,'Base SKUs'!J:J),"")</f>
        <v>1x6</v>
      </c>
      <c r="Q1358">
        <f>IFERROR(_xlfn.XLOOKUP($A1358,'Base SKUs'!$E:$E,'Base SKUs'!K:K),"")</f>
        <v>15</v>
      </c>
      <c r="R1358" s="7">
        <f>IFERROR(_xlfn.XLOOKUP($A1358,'Base SKUs'!$E:$E,'Base SKUs'!S:S),"")</f>
        <v>1.1970000000000001E-2</v>
      </c>
      <c r="S1358" s="8">
        <f t="shared" si="107"/>
        <v>0</v>
      </c>
      <c r="T1358" s="7">
        <f>IFERROR(_xlfn.XLOOKUP($A1358,'Base SKUs'!$E:$E,'Base SKUs'!R:R),"")</f>
        <v>1233.3979999999999</v>
      </c>
      <c r="U1358" s="15">
        <f t="shared" si="108"/>
        <v>0</v>
      </c>
      <c r="V1358" t="str">
        <f t="shared" si="109"/>
        <v>Texas</v>
      </c>
    </row>
    <row r="1359" spans="1:22" x14ac:dyDescent="0.2">
      <c r="A1359" t="s">
        <v>1826</v>
      </c>
      <c r="B1359" s="5">
        <v>14</v>
      </c>
      <c r="C1359" s="5">
        <v>14</v>
      </c>
      <c r="D1359" s="5">
        <f t="shared" si="105"/>
        <v>0</v>
      </c>
      <c r="E1359" s="6">
        <v>17.104199999999999</v>
      </c>
      <c r="F1359" s="6">
        <f t="shared" si="106"/>
        <v>239.4588</v>
      </c>
      <c r="G1359" t="s">
        <v>17</v>
      </c>
      <c r="H1359">
        <v>9007</v>
      </c>
      <c r="I1359" t="str">
        <f>IFERROR(_xlfn.XLOOKUP($A1359,'Base SKUs'!$E:$E,'Base SKUs'!A:A),"")</f>
        <v>Scandinavian Pine</v>
      </c>
      <c r="J1359" t="str">
        <f>IFERROR(_xlfn.XLOOKUP($A1359,'Base SKUs'!$E:$E,'Base SKUs'!B:B),"")</f>
        <v>Scandinavian Pine 1x6</v>
      </c>
      <c r="K1359" t="str">
        <f>IFERROR(_xlfn.XLOOKUP($A1359,'Base SKUs'!$E:$E,'Base SKUs'!C:C),"")</f>
        <v>Long</v>
      </c>
      <c r="L1359" t="str">
        <f>IFERROR(_xlfn.XLOOKUP($A1359,'Base SKUs'!$E:$E,'Base SKUs'!D:D),"")</f>
        <v>Thermowood</v>
      </c>
      <c r="M1359" t="str">
        <f>IFERROR(_xlfn.XLOOKUP($A1359,'Base SKUs'!$E:$E,'Base SKUs'!G:G),"")</f>
        <v>Maximo Thermo Scandinavian Pine</v>
      </c>
      <c r="N1359" t="str">
        <f>IFERROR(_xlfn.XLOOKUP($A1359,'Base SKUs'!$E:$E,'Base SKUs'!H:H),"")</f>
        <v>VJoint - Nickel Gap</v>
      </c>
      <c r="O1359" t="str">
        <f>IFERROR(_xlfn.XLOOKUP($A1359,'Base SKUs'!$E:$E,'Base SKUs'!I:I),"")</f>
        <v>-</v>
      </c>
      <c r="P1359" t="str">
        <f>IFERROR(_xlfn.XLOOKUP($A1359,'Base SKUs'!$E:$E,'Base SKUs'!J:J),"")</f>
        <v>1x6</v>
      </c>
      <c r="Q1359">
        <f>IFERROR(_xlfn.XLOOKUP($A1359,'Base SKUs'!$E:$E,'Base SKUs'!K:K),"")</f>
        <v>16</v>
      </c>
      <c r="R1359" s="7">
        <f>IFERROR(_xlfn.XLOOKUP($A1359,'Base SKUs'!$E:$E,'Base SKUs'!S:S),"")</f>
        <v>1.2768E-2</v>
      </c>
      <c r="S1359" s="8">
        <f t="shared" si="107"/>
        <v>0</v>
      </c>
      <c r="T1359" s="7">
        <f>IFERROR(_xlfn.XLOOKUP($A1359,'Base SKUs'!$E:$E,'Base SKUs'!R:R),"")</f>
        <v>1233.3979999999999</v>
      </c>
      <c r="U1359" s="15">
        <f t="shared" si="108"/>
        <v>0</v>
      </c>
      <c r="V1359" t="str">
        <f t="shared" si="109"/>
        <v>Miami</v>
      </c>
    </row>
    <row r="1360" spans="1:22" x14ac:dyDescent="0.2">
      <c r="A1360" t="s">
        <v>1826</v>
      </c>
      <c r="B1360" s="5">
        <v>21</v>
      </c>
      <c r="C1360" s="5">
        <v>21</v>
      </c>
      <c r="D1360" s="5">
        <f t="shared" si="105"/>
        <v>0</v>
      </c>
      <c r="E1360" s="6">
        <v>17.104199999999999</v>
      </c>
      <c r="F1360" s="6">
        <f t="shared" si="106"/>
        <v>359.18819999999999</v>
      </c>
      <c r="G1360" t="s">
        <v>24</v>
      </c>
      <c r="H1360">
        <v>9008</v>
      </c>
      <c r="I1360" t="str">
        <f>IFERROR(_xlfn.XLOOKUP($A1360,'Base SKUs'!$E:$E,'Base SKUs'!A:A),"")</f>
        <v>Scandinavian Pine</v>
      </c>
      <c r="J1360" t="str">
        <f>IFERROR(_xlfn.XLOOKUP($A1360,'Base SKUs'!$E:$E,'Base SKUs'!B:B),"")</f>
        <v>Scandinavian Pine 1x6</v>
      </c>
      <c r="K1360" t="str">
        <f>IFERROR(_xlfn.XLOOKUP($A1360,'Base SKUs'!$E:$E,'Base SKUs'!C:C),"")</f>
        <v>Long</v>
      </c>
      <c r="L1360" t="str">
        <f>IFERROR(_xlfn.XLOOKUP($A1360,'Base SKUs'!$E:$E,'Base SKUs'!D:D),"")</f>
        <v>Thermowood</v>
      </c>
      <c r="M1360" t="str">
        <f>IFERROR(_xlfn.XLOOKUP($A1360,'Base SKUs'!$E:$E,'Base SKUs'!G:G),"")</f>
        <v>Maximo Thermo Scandinavian Pine</v>
      </c>
      <c r="N1360" t="str">
        <f>IFERROR(_xlfn.XLOOKUP($A1360,'Base SKUs'!$E:$E,'Base SKUs'!H:H),"")</f>
        <v>VJoint - Nickel Gap</v>
      </c>
      <c r="O1360" t="str">
        <f>IFERROR(_xlfn.XLOOKUP($A1360,'Base SKUs'!$E:$E,'Base SKUs'!I:I),"")</f>
        <v>-</v>
      </c>
      <c r="P1360" t="str">
        <f>IFERROR(_xlfn.XLOOKUP($A1360,'Base SKUs'!$E:$E,'Base SKUs'!J:J),"")</f>
        <v>1x6</v>
      </c>
      <c r="Q1360">
        <f>IFERROR(_xlfn.XLOOKUP($A1360,'Base SKUs'!$E:$E,'Base SKUs'!K:K),"")</f>
        <v>16</v>
      </c>
      <c r="R1360" s="7">
        <f>IFERROR(_xlfn.XLOOKUP($A1360,'Base SKUs'!$E:$E,'Base SKUs'!S:S),"")</f>
        <v>1.2768E-2</v>
      </c>
      <c r="S1360" s="8">
        <f t="shared" si="107"/>
        <v>0</v>
      </c>
      <c r="T1360" s="7">
        <f>IFERROR(_xlfn.XLOOKUP($A1360,'Base SKUs'!$E:$E,'Base SKUs'!R:R),"")</f>
        <v>1233.3979999999999</v>
      </c>
      <c r="U1360" s="15">
        <f t="shared" si="108"/>
        <v>0</v>
      </c>
      <c r="V1360" t="str">
        <f t="shared" si="109"/>
        <v>Texas</v>
      </c>
    </row>
    <row r="1361" spans="1:22" x14ac:dyDescent="0.2">
      <c r="A1361" t="s">
        <v>1829</v>
      </c>
      <c r="B1361" s="5">
        <v>21</v>
      </c>
      <c r="C1361" s="5">
        <v>21</v>
      </c>
      <c r="D1361" s="5">
        <f t="shared" si="105"/>
        <v>0</v>
      </c>
      <c r="E1361" s="6">
        <v>19.13</v>
      </c>
      <c r="F1361" s="6">
        <f t="shared" si="106"/>
        <v>401.72999999999996</v>
      </c>
      <c r="G1361" t="s">
        <v>17</v>
      </c>
      <c r="H1361">
        <v>9007</v>
      </c>
      <c r="I1361" t="str">
        <f>IFERROR(_xlfn.XLOOKUP($A1361,'Base SKUs'!$E:$E,'Base SKUs'!A:A),"")</f>
        <v>Scandinavian Pine</v>
      </c>
      <c r="J1361" t="str">
        <f>IFERROR(_xlfn.XLOOKUP($A1361,'Base SKUs'!$E:$E,'Base SKUs'!B:B),"")</f>
        <v>Scandinavian Pine 1x6</v>
      </c>
      <c r="K1361" t="str">
        <f>IFERROR(_xlfn.XLOOKUP($A1361,'Base SKUs'!$E:$E,'Base SKUs'!C:C),"")</f>
        <v>Long</v>
      </c>
      <c r="L1361" t="str">
        <f>IFERROR(_xlfn.XLOOKUP($A1361,'Base SKUs'!$E:$E,'Base SKUs'!D:D),"")</f>
        <v>Thermowood</v>
      </c>
      <c r="M1361" t="str">
        <f>IFERROR(_xlfn.XLOOKUP($A1361,'Base SKUs'!$E:$E,'Base SKUs'!G:G),"")</f>
        <v>Maximo Thermo Scandinavian Pine</v>
      </c>
      <c r="N1361" t="str">
        <f>IFERROR(_xlfn.XLOOKUP($A1361,'Base SKUs'!$E:$E,'Base SKUs'!H:H),"")</f>
        <v>VJoint - Nickel Gap</v>
      </c>
      <c r="O1361" t="str">
        <f>IFERROR(_xlfn.XLOOKUP($A1361,'Base SKUs'!$E:$E,'Base SKUs'!I:I),"")</f>
        <v>-</v>
      </c>
      <c r="P1361" t="str">
        <f>IFERROR(_xlfn.XLOOKUP($A1361,'Base SKUs'!$E:$E,'Base SKUs'!J:J),"")</f>
        <v>1x6</v>
      </c>
      <c r="Q1361">
        <f>IFERROR(_xlfn.XLOOKUP($A1361,'Base SKUs'!$E:$E,'Base SKUs'!K:K),"")</f>
        <v>18</v>
      </c>
      <c r="R1361" s="7">
        <f>IFERROR(_xlfn.XLOOKUP($A1361,'Base SKUs'!$E:$E,'Base SKUs'!S:S),"")</f>
        <v>1.4364E-2</v>
      </c>
      <c r="S1361" s="8">
        <f t="shared" si="107"/>
        <v>0</v>
      </c>
      <c r="T1361" s="7">
        <f>IFERROR(_xlfn.XLOOKUP($A1361,'Base SKUs'!$E:$E,'Base SKUs'!R:R),"")</f>
        <v>1233.3979999999999</v>
      </c>
      <c r="U1361" s="15">
        <f t="shared" si="108"/>
        <v>0</v>
      </c>
      <c r="V1361" t="str">
        <f t="shared" si="109"/>
        <v>Miami</v>
      </c>
    </row>
    <row r="1362" spans="1:22" x14ac:dyDescent="0.2">
      <c r="A1362" t="s">
        <v>1831</v>
      </c>
      <c r="B1362" s="5">
        <v>3</v>
      </c>
      <c r="C1362" s="5">
        <v>3</v>
      </c>
      <c r="D1362" s="5">
        <f t="shared" si="105"/>
        <v>0</v>
      </c>
      <c r="E1362" s="6">
        <v>6.7249999999999996</v>
      </c>
      <c r="F1362" s="6">
        <f t="shared" si="106"/>
        <v>20.174999999999997</v>
      </c>
      <c r="G1362" t="s">
        <v>24</v>
      </c>
      <c r="H1362">
        <v>9008</v>
      </c>
      <c r="I1362" t="str">
        <f>IFERROR(_xlfn.XLOOKUP($A1362,'Base SKUs'!$E:$E,'Base SKUs'!A:A),"")</f>
        <v>Scandinavian Pine</v>
      </c>
      <c r="J1362" t="str">
        <f>IFERROR(_xlfn.XLOOKUP($A1362,'Base SKUs'!$E:$E,'Base SKUs'!B:B),"")</f>
        <v>Scandinavian Pine 1x6</v>
      </c>
      <c r="K1362" t="str">
        <f>IFERROR(_xlfn.XLOOKUP($A1362,'Base SKUs'!$E:$E,'Base SKUs'!C:C),"")</f>
        <v>Short</v>
      </c>
      <c r="L1362" t="str">
        <f>IFERROR(_xlfn.XLOOKUP($A1362,'Base SKUs'!$E:$E,'Base SKUs'!D:D),"")</f>
        <v>Thermowood</v>
      </c>
      <c r="M1362" t="str">
        <f>IFERROR(_xlfn.XLOOKUP($A1362,'Base SKUs'!$E:$E,'Base SKUs'!G:G),"")</f>
        <v>Maximo Thermo Scandinavian Pine</v>
      </c>
      <c r="N1362" t="str">
        <f>IFERROR(_xlfn.XLOOKUP($A1362,'Base SKUs'!$E:$E,'Base SKUs'!H:H),"")</f>
        <v>VJoint - Nickel Gap</v>
      </c>
      <c r="O1362" t="str">
        <f>IFERROR(_xlfn.XLOOKUP($A1362,'Base SKUs'!$E:$E,'Base SKUs'!I:I),"")</f>
        <v>-</v>
      </c>
      <c r="P1362" t="str">
        <f>IFERROR(_xlfn.XLOOKUP($A1362,'Base SKUs'!$E:$E,'Base SKUs'!J:J),"")</f>
        <v>1x6</v>
      </c>
      <c r="Q1362">
        <f>IFERROR(_xlfn.XLOOKUP($A1362,'Base SKUs'!$E:$E,'Base SKUs'!K:K),"")</f>
        <v>5</v>
      </c>
      <c r="R1362" s="7">
        <f>IFERROR(_xlfn.XLOOKUP($A1362,'Base SKUs'!$E:$E,'Base SKUs'!S:S),"")</f>
        <v>3.9900000000000005E-3</v>
      </c>
      <c r="S1362" s="8">
        <f t="shared" si="107"/>
        <v>0</v>
      </c>
      <c r="T1362" s="7">
        <f>IFERROR(_xlfn.XLOOKUP($A1362,'Base SKUs'!$E:$E,'Base SKUs'!R:R),"")</f>
        <v>1233.3979999999999</v>
      </c>
      <c r="U1362" s="15">
        <f t="shared" si="108"/>
        <v>0</v>
      </c>
      <c r="V1362" t="str">
        <f t="shared" si="109"/>
        <v>Texas</v>
      </c>
    </row>
    <row r="1363" spans="1:22" x14ac:dyDescent="0.2">
      <c r="A1363" t="s">
        <v>1833</v>
      </c>
      <c r="B1363" s="5">
        <v>6</v>
      </c>
      <c r="C1363" s="5">
        <v>6</v>
      </c>
      <c r="D1363" s="5">
        <f t="shared" si="105"/>
        <v>0</v>
      </c>
      <c r="E1363" s="6">
        <v>7.4241999999999999</v>
      </c>
      <c r="F1363" s="6">
        <f t="shared" si="106"/>
        <v>44.545200000000001</v>
      </c>
      <c r="G1363" t="s">
        <v>17</v>
      </c>
      <c r="H1363">
        <v>9007</v>
      </c>
      <c r="I1363" t="str">
        <f>IFERROR(_xlfn.XLOOKUP($A1363,'Base SKUs'!$E:$E,'Base SKUs'!A:A),"")</f>
        <v>Scandinavian Pine</v>
      </c>
      <c r="J1363" t="str">
        <f>IFERROR(_xlfn.XLOOKUP($A1363,'Base SKUs'!$E:$E,'Base SKUs'!B:B),"")</f>
        <v>Scandinavian Pine 1x6</v>
      </c>
      <c r="K1363" t="str">
        <f>IFERROR(_xlfn.XLOOKUP($A1363,'Base SKUs'!$E:$E,'Base SKUs'!C:C),"")</f>
        <v>Short</v>
      </c>
      <c r="L1363" t="str">
        <f>IFERROR(_xlfn.XLOOKUP($A1363,'Base SKUs'!$E:$E,'Base SKUs'!D:D),"")</f>
        <v>Thermowood</v>
      </c>
      <c r="M1363" t="str">
        <f>IFERROR(_xlfn.XLOOKUP($A1363,'Base SKUs'!$E:$E,'Base SKUs'!G:G),"")</f>
        <v>Maximo Thermo Scandinavian Pine</v>
      </c>
      <c r="N1363" t="str">
        <f>IFERROR(_xlfn.XLOOKUP($A1363,'Base SKUs'!$E:$E,'Base SKUs'!H:H),"")</f>
        <v>VJoint - Nickel Gap</v>
      </c>
      <c r="O1363" t="str">
        <f>IFERROR(_xlfn.XLOOKUP($A1363,'Base SKUs'!$E:$E,'Base SKUs'!I:I),"")</f>
        <v>-</v>
      </c>
      <c r="P1363" t="str">
        <f>IFERROR(_xlfn.XLOOKUP($A1363,'Base SKUs'!$E:$E,'Base SKUs'!J:J),"")</f>
        <v>1x6</v>
      </c>
      <c r="Q1363">
        <f>IFERROR(_xlfn.XLOOKUP($A1363,'Base SKUs'!$E:$E,'Base SKUs'!K:K),"")</f>
        <v>7</v>
      </c>
      <c r="R1363" s="7">
        <f>IFERROR(_xlfn.XLOOKUP($A1363,'Base SKUs'!$E:$E,'Base SKUs'!S:S),"")</f>
        <v>5.5859999999999998E-3</v>
      </c>
      <c r="S1363" s="8">
        <f t="shared" si="107"/>
        <v>0</v>
      </c>
      <c r="T1363" s="7">
        <f>IFERROR(_xlfn.XLOOKUP($A1363,'Base SKUs'!$E:$E,'Base SKUs'!R:R),"")</f>
        <v>1233.3979999999999</v>
      </c>
      <c r="U1363" s="15">
        <f t="shared" si="108"/>
        <v>0</v>
      </c>
      <c r="V1363" t="str">
        <f t="shared" si="109"/>
        <v>Miami</v>
      </c>
    </row>
    <row r="1364" spans="1:22" x14ac:dyDescent="0.2">
      <c r="A1364" t="s">
        <v>1835</v>
      </c>
      <c r="B1364" s="5">
        <v>1</v>
      </c>
      <c r="C1364" s="5">
        <v>1</v>
      </c>
      <c r="D1364" s="5">
        <f t="shared" si="105"/>
        <v>0</v>
      </c>
      <c r="E1364" s="6">
        <v>8.0998000000000001</v>
      </c>
      <c r="F1364" s="6">
        <f t="shared" si="106"/>
        <v>8.0998000000000001</v>
      </c>
      <c r="G1364" t="s">
        <v>24</v>
      </c>
      <c r="H1364">
        <v>9008</v>
      </c>
      <c r="I1364" t="str">
        <f>IFERROR(_xlfn.XLOOKUP($A1364,'Base SKUs'!$E:$E,'Base SKUs'!A:A),"")</f>
        <v>Scandinavian Pine</v>
      </c>
      <c r="J1364" t="str">
        <f>IFERROR(_xlfn.XLOOKUP($A1364,'Base SKUs'!$E:$E,'Base SKUs'!B:B),"")</f>
        <v>Scandinavian Pine 1x6</v>
      </c>
      <c r="K1364" t="str">
        <f>IFERROR(_xlfn.XLOOKUP($A1364,'Base SKUs'!$E:$E,'Base SKUs'!C:C),"")</f>
        <v>Long</v>
      </c>
      <c r="L1364" t="str">
        <f>IFERROR(_xlfn.XLOOKUP($A1364,'Base SKUs'!$E:$E,'Base SKUs'!D:D),"")</f>
        <v>Thermowood</v>
      </c>
      <c r="M1364" t="str">
        <f>IFERROR(_xlfn.XLOOKUP($A1364,'Base SKUs'!$E:$E,'Base SKUs'!G:G),"")</f>
        <v>Maximo Thermo Scandinavian Pine</v>
      </c>
      <c r="N1364" t="str">
        <f>IFERROR(_xlfn.XLOOKUP($A1364,'Base SKUs'!$E:$E,'Base SKUs'!H:H),"")</f>
        <v>VJoint - Nickel Gap</v>
      </c>
      <c r="O1364" t="str">
        <f>IFERROR(_xlfn.XLOOKUP($A1364,'Base SKUs'!$E:$E,'Base SKUs'!I:I),"")</f>
        <v>-</v>
      </c>
      <c r="P1364" t="str">
        <f>IFERROR(_xlfn.XLOOKUP($A1364,'Base SKUs'!$E:$E,'Base SKUs'!J:J),"")</f>
        <v>1x6</v>
      </c>
      <c r="Q1364">
        <f>IFERROR(_xlfn.XLOOKUP($A1364,'Base SKUs'!$E:$E,'Base SKUs'!K:K),"")</f>
        <v>8</v>
      </c>
      <c r="R1364" s="7">
        <f>IFERROR(_xlfn.XLOOKUP($A1364,'Base SKUs'!$E:$E,'Base SKUs'!S:S),"")</f>
        <v>6.3839999999999999E-3</v>
      </c>
      <c r="S1364" s="8">
        <f t="shared" si="107"/>
        <v>0</v>
      </c>
      <c r="T1364" s="7">
        <f>IFERROR(_xlfn.XLOOKUP($A1364,'Base SKUs'!$E:$E,'Base SKUs'!R:R),"")</f>
        <v>1233.3979999999999</v>
      </c>
      <c r="U1364" s="15">
        <f t="shared" si="108"/>
        <v>0</v>
      </c>
      <c r="V1364" t="str">
        <f t="shared" si="109"/>
        <v>Texas</v>
      </c>
    </row>
    <row r="1365" spans="1:22" x14ac:dyDescent="0.2">
      <c r="A1365" t="s">
        <v>1837</v>
      </c>
      <c r="B1365" s="5">
        <v>77</v>
      </c>
      <c r="C1365" s="5">
        <v>77</v>
      </c>
      <c r="D1365" s="5">
        <f t="shared" si="105"/>
        <v>0</v>
      </c>
      <c r="E1365" s="6">
        <v>9.5588999999999995</v>
      </c>
      <c r="F1365" s="6">
        <f t="shared" si="106"/>
        <v>736.03530000000001</v>
      </c>
      <c r="G1365" t="s">
        <v>17</v>
      </c>
      <c r="H1365">
        <v>9007</v>
      </c>
      <c r="I1365" t="str">
        <f>IFERROR(_xlfn.XLOOKUP($A1365,'Base SKUs'!$E:$E,'Base SKUs'!A:A),"")</f>
        <v>Scandinavian Pine</v>
      </c>
      <c r="J1365" t="str">
        <f>IFERROR(_xlfn.XLOOKUP($A1365,'Base SKUs'!$E:$E,'Base SKUs'!B:B),"")</f>
        <v>Scandinavian Pine 1x6</v>
      </c>
      <c r="K1365" t="str">
        <f>IFERROR(_xlfn.XLOOKUP($A1365,'Base SKUs'!$E:$E,'Base SKUs'!C:C),"")</f>
        <v>Long</v>
      </c>
      <c r="L1365" t="str">
        <f>IFERROR(_xlfn.XLOOKUP($A1365,'Base SKUs'!$E:$E,'Base SKUs'!D:D),"")</f>
        <v>Thermowood</v>
      </c>
      <c r="M1365" t="str">
        <f>IFERROR(_xlfn.XLOOKUP($A1365,'Base SKUs'!$E:$E,'Base SKUs'!G:G),"")</f>
        <v>Maximo Thermo Scandinavian Pine</v>
      </c>
      <c r="N1365" t="str">
        <f>IFERROR(_xlfn.XLOOKUP($A1365,'Base SKUs'!$E:$E,'Base SKUs'!H:H),"")</f>
        <v>VJoint - Nickel Gap</v>
      </c>
      <c r="O1365" t="str">
        <f>IFERROR(_xlfn.XLOOKUP($A1365,'Base SKUs'!$E:$E,'Base SKUs'!I:I),"")</f>
        <v>-</v>
      </c>
      <c r="P1365" t="str">
        <f>IFERROR(_xlfn.XLOOKUP($A1365,'Base SKUs'!$E:$E,'Base SKUs'!J:J),"")</f>
        <v>1x6</v>
      </c>
      <c r="Q1365">
        <f>IFERROR(_xlfn.XLOOKUP($A1365,'Base SKUs'!$E:$E,'Base SKUs'!K:K),"")</f>
        <v>9</v>
      </c>
      <c r="R1365" s="7">
        <f>IFERROR(_xlfn.XLOOKUP($A1365,'Base SKUs'!$E:$E,'Base SKUs'!S:S),"")</f>
        <v>7.182E-3</v>
      </c>
      <c r="S1365" s="8">
        <f t="shared" si="107"/>
        <v>0</v>
      </c>
      <c r="T1365" s="7">
        <f>IFERROR(_xlfn.XLOOKUP($A1365,'Base SKUs'!$E:$E,'Base SKUs'!R:R),"")</f>
        <v>1233.3979999999999</v>
      </c>
      <c r="U1365" s="15">
        <f t="shared" si="108"/>
        <v>0</v>
      </c>
      <c r="V1365" t="str">
        <f t="shared" si="109"/>
        <v>Miami</v>
      </c>
    </row>
    <row r="1366" spans="1:22" x14ac:dyDescent="0.2">
      <c r="A1366" t="s">
        <v>1837</v>
      </c>
      <c r="B1366" s="5">
        <v>4</v>
      </c>
      <c r="C1366" s="5">
        <v>4</v>
      </c>
      <c r="D1366" s="5">
        <f t="shared" si="105"/>
        <v>0</v>
      </c>
      <c r="E1366" s="6">
        <v>9.5229999999999997</v>
      </c>
      <c r="F1366" s="6">
        <f t="shared" si="106"/>
        <v>38.091999999999999</v>
      </c>
      <c r="G1366" t="s">
        <v>24</v>
      </c>
      <c r="H1366">
        <v>9008</v>
      </c>
      <c r="I1366" t="str">
        <f>IFERROR(_xlfn.XLOOKUP($A1366,'Base SKUs'!$E:$E,'Base SKUs'!A:A),"")</f>
        <v>Scandinavian Pine</v>
      </c>
      <c r="J1366" t="str">
        <f>IFERROR(_xlfn.XLOOKUP($A1366,'Base SKUs'!$E:$E,'Base SKUs'!B:B),"")</f>
        <v>Scandinavian Pine 1x6</v>
      </c>
      <c r="K1366" t="str">
        <f>IFERROR(_xlfn.XLOOKUP($A1366,'Base SKUs'!$E:$E,'Base SKUs'!C:C),"")</f>
        <v>Long</v>
      </c>
      <c r="L1366" t="str">
        <f>IFERROR(_xlfn.XLOOKUP($A1366,'Base SKUs'!$E:$E,'Base SKUs'!D:D),"")</f>
        <v>Thermowood</v>
      </c>
      <c r="M1366" t="str">
        <f>IFERROR(_xlfn.XLOOKUP($A1366,'Base SKUs'!$E:$E,'Base SKUs'!G:G),"")</f>
        <v>Maximo Thermo Scandinavian Pine</v>
      </c>
      <c r="N1366" t="str">
        <f>IFERROR(_xlfn.XLOOKUP($A1366,'Base SKUs'!$E:$E,'Base SKUs'!H:H),"")</f>
        <v>VJoint - Nickel Gap</v>
      </c>
      <c r="O1366" t="str">
        <f>IFERROR(_xlfn.XLOOKUP($A1366,'Base SKUs'!$E:$E,'Base SKUs'!I:I),"")</f>
        <v>-</v>
      </c>
      <c r="P1366" t="str">
        <f>IFERROR(_xlfn.XLOOKUP($A1366,'Base SKUs'!$E:$E,'Base SKUs'!J:J),"")</f>
        <v>1x6</v>
      </c>
      <c r="Q1366">
        <f>IFERROR(_xlfn.XLOOKUP($A1366,'Base SKUs'!$E:$E,'Base SKUs'!K:K),"")</f>
        <v>9</v>
      </c>
      <c r="R1366" s="7">
        <f>IFERROR(_xlfn.XLOOKUP($A1366,'Base SKUs'!$E:$E,'Base SKUs'!S:S),"")</f>
        <v>7.182E-3</v>
      </c>
      <c r="S1366" s="8">
        <f t="shared" si="107"/>
        <v>0</v>
      </c>
      <c r="T1366" s="7">
        <f>IFERROR(_xlfn.XLOOKUP($A1366,'Base SKUs'!$E:$E,'Base SKUs'!R:R),"")</f>
        <v>1233.3979999999999</v>
      </c>
      <c r="U1366" s="15">
        <f t="shared" si="108"/>
        <v>0</v>
      </c>
      <c r="V1366" t="str">
        <f t="shared" si="109"/>
        <v>Texas</v>
      </c>
    </row>
    <row r="1367" spans="1:22" x14ac:dyDescent="0.2">
      <c r="A1367" t="s">
        <v>1839</v>
      </c>
      <c r="B1367" s="5">
        <v>9</v>
      </c>
      <c r="C1367" s="5">
        <v>8</v>
      </c>
      <c r="D1367" s="5">
        <f t="shared" si="105"/>
        <v>1</v>
      </c>
      <c r="E1367" s="6">
        <v>16.456700000000001</v>
      </c>
      <c r="F1367" s="6">
        <f t="shared" si="106"/>
        <v>148.11030000000002</v>
      </c>
      <c r="G1367" t="s">
        <v>17</v>
      </c>
      <c r="H1367">
        <v>9007</v>
      </c>
      <c r="I1367" t="str">
        <f>IFERROR(_xlfn.XLOOKUP($A1367,'Base SKUs'!$E:$E,'Base SKUs'!A:A),"")</f>
        <v>Scandinavian Pine</v>
      </c>
      <c r="J1367" t="str">
        <f>IFERROR(_xlfn.XLOOKUP($A1367,'Base SKUs'!$E:$E,'Base SKUs'!B:B),"")</f>
        <v>Scandinavian Pine 1x6</v>
      </c>
      <c r="K1367" t="str">
        <f>IFERROR(_xlfn.XLOOKUP($A1367,'Base SKUs'!$E:$E,'Base SKUs'!C:C),"")</f>
        <v>Long</v>
      </c>
      <c r="L1367" t="str">
        <f>IFERROR(_xlfn.XLOOKUP($A1367,'Base SKUs'!$E:$E,'Base SKUs'!D:D),"")</f>
        <v>Thermowood</v>
      </c>
      <c r="M1367" t="str">
        <f>IFERROR(_xlfn.XLOOKUP($A1367,'Base SKUs'!$E:$E,'Base SKUs'!G:G),"")</f>
        <v>Maximo Thermo Scandinavian Pine</v>
      </c>
      <c r="N1367" t="str">
        <f>IFERROR(_xlfn.XLOOKUP($A1367,'Base SKUs'!$E:$E,'Base SKUs'!H:H),"")</f>
        <v>Fluted</v>
      </c>
      <c r="O1367" t="str">
        <f>IFERROR(_xlfn.XLOOKUP($A1367,'Base SKUs'!$E:$E,'Base SKUs'!I:I),"")</f>
        <v>-</v>
      </c>
      <c r="P1367" t="str">
        <f>IFERROR(_xlfn.XLOOKUP($A1367,'Base SKUs'!$E:$E,'Base SKUs'!J:J),"")</f>
        <v>1x6</v>
      </c>
      <c r="Q1367">
        <f>IFERROR(_xlfn.XLOOKUP($A1367,'Base SKUs'!$E:$E,'Base SKUs'!K:K),"")</f>
        <v>10</v>
      </c>
      <c r="R1367" s="7">
        <f>IFERROR(_xlfn.XLOOKUP($A1367,'Base SKUs'!$E:$E,'Base SKUs'!S:S),"")</f>
        <v>7.980000000000001E-3</v>
      </c>
      <c r="S1367" s="8">
        <f t="shared" si="107"/>
        <v>7.980000000000001E-3</v>
      </c>
      <c r="T1367" s="7">
        <f>IFERROR(_xlfn.XLOOKUP($A1367,'Base SKUs'!$E:$E,'Base SKUs'!R:R),"")</f>
        <v>1233.3979999999999</v>
      </c>
      <c r="U1367" s="15">
        <f t="shared" si="108"/>
        <v>10</v>
      </c>
      <c r="V1367" t="str">
        <f t="shared" si="109"/>
        <v>Miami</v>
      </c>
    </row>
    <row r="1368" spans="1:22" x14ac:dyDescent="0.2">
      <c r="A1368" t="s">
        <v>1841</v>
      </c>
      <c r="B1368" s="5">
        <v>15</v>
      </c>
      <c r="C1368" s="5">
        <v>15</v>
      </c>
      <c r="D1368" s="5">
        <f t="shared" si="105"/>
        <v>0</v>
      </c>
      <c r="E1368" s="6">
        <v>16.928899999999999</v>
      </c>
      <c r="F1368" s="6">
        <f t="shared" si="106"/>
        <v>253.93349999999998</v>
      </c>
      <c r="G1368" t="s">
        <v>17</v>
      </c>
      <c r="H1368">
        <v>9007</v>
      </c>
      <c r="I1368" t="str">
        <f>IFERROR(_xlfn.XLOOKUP($A1368,'Base SKUs'!$E:$E,'Base SKUs'!A:A),"")</f>
        <v>Scandinavian Pine</v>
      </c>
      <c r="J1368" t="str">
        <f>IFERROR(_xlfn.XLOOKUP($A1368,'Base SKUs'!$E:$E,'Base SKUs'!B:B),"")</f>
        <v>Scandinavian Pine 1x6</v>
      </c>
      <c r="K1368" t="str">
        <f>IFERROR(_xlfn.XLOOKUP($A1368,'Base SKUs'!$E:$E,'Base SKUs'!C:C),"")</f>
        <v>Long</v>
      </c>
      <c r="L1368" t="str">
        <f>IFERROR(_xlfn.XLOOKUP($A1368,'Base SKUs'!$E:$E,'Base SKUs'!D:D),"")</f>
        <v>Thermowood</v>
      </c>
      <c r="M1368" t="str">
        <f>IFERROR(_xlfn.XLOOKUP($A1368,'Base SKUs'!$E:$E,'Base SKUs'!G:G),"")</f>
        <v>Maximo Thermo Scandinavian Pine</v>
      </c>
      <c r="N1368" t="str">
        <f>IFERROR(_xlfn.XLOOKUP($A1368,'Base SKUs'!$E:$E,'Base SKUs'!H:H),"")</f>
        <v>Fluted</v>
      </c>
      <c r="O1368" t="str">
        <f>IFERROR(_xlfn.XLOOKUP($A1368,'Base SKUs'!$E:$E,'Base SKUs'!I:I),"")</f>
        <v>-</v>
      </c>
      <c r="P1368" t="str">
        <f>IFERROR(_xlfn.XLOOKUP($A1368,'Base SKUs'!$E:$E,'Base SKUs'!J:J),"")</f>
        <v>1x6</v>
      </c>
      <c r="Q1368">
        <f>IFERROR(_xlfn.XLOOKUP($A1368,'Base SKUs'!$E:$E,'Base SKUs'!K:K),"")</f>
        <v>11</v>
      </c>
      <c r="R1368" s="7">
        <f>IFERROR(_xlfn.XLOOKUP($A1368,'Base SKUs'!$E:$E,'Base SKUs'!S:S),"")</f>
        <v>8.7779999999999993E-3</v>
      </c>
      <c r="S1368" s="8">
        <f t="shared" si="107"/>
        <v>0</v>
      </c>
      <c r="T1368" s="7">
        <f>IFERROR(_xlfn.XLOOKUP($A1368,'Base SKUs'!$E:$E,'Base SKUs'!R:R),"")</f>
        <v>1233.3979999999999</v>
      </c>
      <c r="U1368" s="15">
        <f t="shared" si="108"/>
        <v>0</v>
      </c>
      <c r="V1368" t="str">
        <f t="shared" si="109"/>
        <v>Miami</v>
      </c>
    </row>
    <row r="1369" spans="1:22" x14ac:dyDescent="0.2">
      <c r="A1369" t="s">
        <v>1843</v>
      </c>
      <c r="B1369" s="5">
        <v>13</v>
      </c>
      <c r="C1369" s="5">
        <v>13</v>
      </c>
      <c r="D1369" s="5">
        <f t="shared" si="105"/>
        <v>0</v>
      </c>
      <c r="E1369" s="6">
        <v>19.014500000000002</v>
      </c>
      <c r="F1369" s="6">
        <f t="shared" si="106"/>
        <v>247.18850000000003</v>
      </c>
      <c r="G1369" t="s">
        <v>17</v>
      </c>
      <c r="H1369">
        <v>9007</v>
      </c>
      <c r="I1369" t="str">
        <f>IFERROR(_xlfn.XLOOKUP($A1369,'Base SKUs'!$E:$E,'Base SKUs'!A:A),"")</f>
        <v>Scandinavian Pine</v>
      </c>
      <c r="J1369" t="str">
        <f>IFERROR(_xlfn.XLOOKUP($A1369,'Base SKUs'!$E:$E,'Base SKUs'!B:B),"")</f>
        <v>Scandinavian Pine 1x6</v>
      </c>
      <c r="K1369" t="str">
        <f>IFERROR(_xlfn.XLOOKUP($A1369,'Base SKUs'!$E:$E,'Base SKUs'!C:C),"")</f>
        <v>Long</v>
      </c>
      <c r="L1369" t="str">
        <f>IFERROR(_xlfn.XLOOKUP($A1369,'Base SKUs'!$E:$E,'Base SKUs'!D:D),"")</f>
        <v>Thermowood</v>
      </c>
      <c r="M1369" t="str">
        <f>IFERROR(_xlfn.XLOOKUP($A1369,'Base SKUs'!$E:$E,'Base SKUs'!G:G),"")</f>
        <v>Maximo Thermo Scandinavian Pine</v>
      </c>
      <c r="N1369" t="str">
        <f>IFERROR(_xlfn.XLOOKUP($A1369,'Base SKUs'!$E:$E,'Base SKUs'!H:H),"")</f>
        <v>Fluted</v>
      </c>
      <c r="O1369" t="str">
        <f>IFERROR(_xlfn.XLOOKUP($A1369,'Base SKUs'!$E:$E,'Base SKUs'!I:I),"")</f>
        <v>-</v>
      </c>
      <c r="P1369" t="str">
        <f>IFERROR(_xlfn.XLOOKUP($A1369,'Base SKUs'!$E:$E,'Base SKUs'!J:J),"")</f>
        <v>1x6</v>
      </c>
      <c r="Q1369">
        <f>IFERROR(_xlfn.XLOOKUP($A1369,'Base SKUs'!$E:$E,'Base SKUs'!K:K),"")</f>
        <v>12</v>
      </c>
      <c r="R1369" s="7">
        <f>IFERROR(_xlfn.XLOOKUP($A1369,'Base SKUs'!$E:$E,'Base SKUs'!S:S),"")</f>
        <v>9.5760000000000012E-3</v>
      </c>
      <c r="S1369" s="8">
        <f t="shared" si="107"/>
        <v>0</v>
      </c>
      <c r="T1369" s="7">
        <f>IFERROR(_xlfn.XLOOKUP($A1369,'Base SKUs'!$E:$E,'Base SKUs'!R:R),"")</f>
        <v>1233.3979999999999</v>
      </c>
      <c r="U1369" s="15">
        <f t="shared" si="108"/>
        <v>0</v>
      </c>
      <c r="V1369" t="str">
        <f t="shared" si="109"/>
        <v>Miami</v>
      </c>
    </row>
    <row r="1370" spans="1:22" x14ac:dyDescent="0.2">
      <c r="A1370" t="s">
        <v>1845</v>
      </c>
      <c r="B1370" s="5">
        <v>14</v>
      </c>
      <c r="C1370" s="5">
        <v>14</v>
      </c>
      <c r="D1370" s="5">
        <f t="shared" si="105"/>
        <v>0</v>
      </c>
      <c r="E1370" s="6">
        <v>17.497399999999999</v>
      </c>
      <c r="F1370" s="6">
        <f t="shared" si="106"/>
        <v>244.96359999999999</v>
      </c>
      <c r="G1370" t="s">
        <v>17</v>
      </c>
      <c r="H1370">
        <v>9007</v>
      </c>
      <c r="I1370" t="str">
        <f>IFERROR(_xlfn.XLOOKUP($A1370,'Base SKUs'!$E:$E,'Base SKUs'!A:A),"")</f>
        <v>Scandinavian Pine</v>
      </c>
      <c r="J1370" t="str">
        <f>IFERROR(_xlfn.XLOOKUP($A1370,'Base SKUs'!$E:$E,'Base SKUs'!B:B),"")</f>
        <v>Scandinavian Pine 1x6</v>
      </c>
      <c r="K1370" t="str">
        <f>IFERROR(_xlfn.XLOOKUP($A1370,'Base SKUs'!$E:$E,'Base SKUs'!C:C),"")</f>
        <v>Long</v>
      </c>
      <c r="L1370" t="str">
        <f>IFERROR(_xlfn.XLOOKUP($A1370,'Base SKUs'!$E:$E,'Base SKUs'!D:D),"")</f>
        <v>Thermowood</v>
      </c>
      <c r="M1370" t="str">
        <f>IFERROR(_xlfn.XLOOKUP($A1370,'Base SKUs'!$E:$E,'Base SKUs'!G:G),"")</f>
        <v>Maximo Thermo Scandinavian Pine</v>
      </c>
      <c r="N1370" t="str">
        <f>IFERROR(_xlfn.XLOOKUP($A1370,'Base SKUs'!$E:$E,'Base SKUs'!H:H),"")</f>
        <v>Fluted</v>
      </c>
      <c r="O1370" t="str">
        <f>IFERROR(_xlfn.XLOOKUP($A1370,'Base SKUs'!$E:$E,'Base SKUs'!I:I),"")</f>
        <v>-</v>
      </c>
      <c r="P1370" t="str">
        <f>IFERROR(_xlfn.XLOOKUP($A1370,'Base SKUs'!$E:$E,'Base SKUs'!J:J),"")</f>
        <v>1x6</v>
      </c>
      <c r="Q1370">
        <f>IFERROR(_xlfn.XLOOKUP($A1370,'Base SKUs'!$E:$E,'Base SKUs'!K:K),"")</f>
        <v>13</v>
      </c>
      <c r="R1370" s="7">
        <f>IFERROR(_xlfn.XLOOKUP($A1370,'Base SKUs'!$E:$E,'Base SKUs'!S:S),"")</f>
        <v>1.0374000000000001E-2</v>
      </c>
      <c r="S1370" s="8">
        <f t="shared" si="107"/>
        <v>0</v>
      </c>
      <c r="T1370" s="7">
        <f>IFERROR(_xlfn.XLOOKUP($A1370,'Base SKUs'!$E:$E,'Base SKUs'!R:R),"")</f>
        <v>1233.3979999999999</v>
      </c>
      <c r="U1370" s="15">
        <f t="shared" si="108"/>
        <v>0</v>
      </c>
      <c r="V1370" t="str">
        <f t="shared" si="109"/>
        <v>Miami</v>
      </c>
    </row>
    <row r="1371" spans="1:22" x14ac:dyDescent="0.2">
      <c r="A1371" t="s">
        <v>1847</v>
      </c>
      <c r="B1371" s="5">
        <v>27</v>
      </c>
      <c r="C1371" s="5">
        <v>27</v>
      </c>
      <c r="D1371" s="5">
        <f t="shared" si="105"/>
        <v>0</v>
      </c>
      <c r="E1371" s="6">
        <v>18.238299999999999</v>
      </c>
      <c r="F1371" s="6">
        <f t="shared" si="106"/>
        <v>492.43409999999994</v>
      </c>
      <c r="G1371" t="s">
        <v>17</v>
      </c>
      <c r="H1371">
        <v>9007</v>
      </c>
      <c r="I1371" t="str">
        <f>IFERROR(_xlfn.XLOOKUP($A1371,'Base SKUs'!$E:$E,'Base SKUs'!A:A),"")</f>
        <v>Scandinavian Pine</v>
      </c>
      <c r="J1371" t="str">
        <f>IFERROR(_xlfn.XLOOKUP($A1371,'Base SKUs'!$E:$E,'Base SKUs'!B:B),"")</f>
        <v>Scandinavian Pine 1x6</v>
      </c>
      <c r="K1371" t="str">
        <f>IFERROR(_xlfn.XLOOKUP($A1371,'Base SKUs'!$E:$E,'Base SKUs'!C:C),"")</f>
        <v>Long</v>
      </c>
      <c r="L1371" t="str">
        <f>IFERROR(_xlfn.XLOOKUP($A1371,'Base SKUs'!$E:$E,'Base SKUs'!D:D),"")</f>
        <v>Thermowood</v>
      </c>
      <c r="M1371" t="str">
        <f>IFERROR(_xlfn.XLOOKUP($A1371,'Base SKUs'!$E:$E,'Base SKUs'!G:G),"")</f>
        <v>Maximo Thermo Scandinavian Pine</v>
      </c>
      <c r="N1371" t="str">
        <f>IFERROR(_xlfn.XLOOKUP($A1371,'Base SKUs'!$E:$E,'Base SKUs'!H:H),"")</f>
        <v>Fluted</v>
      </c>
      <c r="O1371" t="str">
        <f>IFERROR(_xlfn.XLOOKUP($A1371,'Base SKUs'!$E:$E,'Base SKUs'!I:I),"")</f>
        <v>-</v>
      </c>
      <c r="P1371" t="str">
        <f>IFERROR(_xlfn.XLOOKUP($A1371,'Base SKUs'!$E:$E,'Base SKUs'!J:J),"")</f>
        <v>1x6</v>
      </c>
      <c r="Q1371">
        <f>IFERROR(_xlfn.XLOOKUP($A1371,'Base SKUs'!$E:$E,'Base SKUs'!K:K),"")</f>
        <v>15</v>
      </c>
      <c r="R1371" s="7">
        <f>IFERROR(_xlfn.XLOOKUP($A1371,'Base SKUs'!$E:$E,'Base SKUs'!S:S),"")</f>
        <v>1.1970000000000001E-2</v>
      </c>
      <c r="S1371" s="8">
        <f t="shared" si="107"/>
        <v>0</v>
      </c>
      <c r="T1371" s="7">
        <f>IFERROR(_xlfn.XLOOKUP($A1371,'Base SKUs'!$E:$E,'Base SKUs'!R:R),"")</f>
        <v>1233.3979999999999</v>
      </c>
      <c r="U1371" s="15">
        <f t="shared" si="108"/>
        <v>0</v>
      </c>
      <c r="V1371" t="str">
        <f t="shared" si="109"/>
        <v>Miami</v>
      </c>
    </row>
    <row r="1372" spans="1:22" x14ac:dyDescent="0.2">
      <c r="A1372" t="s">
        <v>1849</v>
      </c>
      <c r="B1372" s="5">
        <v>47</v>
      </c>
      <c r="C1372" s="5">
        <v>47</v>
      </c>
      <c r="D1372" s="5">
        <f t="shared" si="105"/>
        <v>0</v>
      </c>
      <c r="E1372" s="6">
        <v>19.413399999999999</v>
      </c>
      <c r="F1372" s="6">
        <f t="shared" si="106"/>
        <v>912.4298</v>
      </c>
      <c r="G1372" t="s">
        <v>17</v>
      </c>
      <c r="H1372">
        <v>9007</v>
      </c>
      <c r="I1372" t="str">
        <f>IFERROR(_xlfn.XLOOKUP($A1372,'Base SKUs'!$E:$E,'Base SKUs'!A:A),"")</f>
        <v>Scandinavian Pine</v>
      </c>
      <c r="J1372" t="str">
        <f>IFERROR(_xlfn.XLOOKUP($A1372,'Base SKUs'!$E:$E,'Base SKUs'!B:B),"")</f>
        <v>Scandinavian Pine 1x6</v>
      </c>
      <c r="K1372" t="str">
        <f>IFERROR(_xlfn.XLOOKUP($A1372,'Base SKUs'!$E:$E,'Base SKUs'!C:C),"")</f>
        <v>Long</v>
      </c>
      <c r="L1372" t="str">
        <f>IFERROR(_xlfn.XLOOKUP($A1372,'Base SKUs'!$E:$E,'Base SKUs'!D:D),"")</f>
        <v>Thermowood</v>
      </c>
      <c r="M1372" t="str">
        <f>IFERROR(_xlfn.XLOOKUP($A1372,'Base SKUs'!$E:$E,'Base SKUs'!G:G),"")</f>
        <v>Maximo Thermo Scandinavian Pine</v>
      </c>
      <c r="N1372" t="str">
        <f>IFERROR(_xlfn.XLOOKUP($A1372,'Base SKUs'!$E:$E,'Base SKUs'!H:H),"")</f>
        <v>Fluted</v>
      </c>
      <c r="O1372" t="str">
        <f>IFERROR(_xlfn.XLOOKUP($A1372,'Base SKUs'!$E:$E,'Base SKUs'!I:I),"")</f>
        <v>-</v>
      </c>
      <c r="P1372" t="str">
        <f>IFERROR(_xlfn.XLOOKUP($A1372,'Base SKUs'!$E:$E,'Base SKUs'!J:J),"")</f>
        <v>1x6</v>
      </c>
      <c r="Q1372">
        <f>IFERROR(_xlfn.XLOOKUP($A1372,'Base SKUs'!$E:$E,'Base SKUs'!K:K),"")</f>
        <v>16</v>
      </c>
      <c r="R1372" s="7">
        <f>IFERROR(_xlfn.XLOOKUP($A1372,'Base SKUs'!$E:$E,'Base SKUs'!S:S),"")</f>
        <v>1.2768E-2</v>
      </c>
      <c r="S1372" s="8">
        <f t="shared" si="107"/>
        <v>0</v>
      </c>
      <c r="T1372" s="7">
        <f>IFERROR(_xlfn.XLOOKUP($A1372,'Base SKUs'!$E:$E,'Base SKUs'!R:R),"")</f>
        <v>1233.3979999999999</v>
      </c>
      <c r="U1372" s="15">
        <f t="shared" si="108"/>
        <v>0</v>
      </c>
      <c r="V1372" t="str">
        <f t="shared" si="109"/>
        <v>Miami</v>
      </c>
    </row>
    <row r="1373" spans="1:22" x14ac:dyDescent="0.2">
      <c r="A1373" t="s">
        <v>1851</v>
      </c>
      <c r="B1373" s="5">
        <v>19</v>
      </c>
      <c r="C1373" s="5">
        <v>19</v>
      </c>
      <c r="D1373" s="5">
        <f t="shared" si="105"/>
        <v>0</v>
      </c>
      <c r="E1373" s="6">
        <v>13.1288</v>
      </c>
      <c r="F1373" s="6">
        <f t="shared" si="106"/>
        <v>249.44720000000001</v>
      </c>
      <c r="G1373" t="s">
        <v>17</v>
      </c>
      <c r="H1373">
        <v>9007</v>
      </c>
      <c r="I1373" t="str">
        <f>IFERROR(_xlfn.XLOOKUP($A1373,'Base SKUs'!$E:$E,'Base SKUs'!A:A),"")</f>
        <v>Scandinavian Pine</v>
      </c>
      <c r="J1373" t="str">
        <f>IFERROR(_xlfn.XLOOKUP($A1373,'Base SKUs'!$E:$E,'Base SKUs'!B:B),"")</f>
        <v>Scandinavian Pine 1x6</v>
      </c>
      <c r="K1373" t="str">
        <f>IFERROR(_xlfn.XLOOKUP($A1373,'Base SKUs'!$E:$E,'Base SKUs'!C:C),"")</f>
        <v>Long</v>
      </c>
      <c r="L1373" t="str">
        <f>IFERROR(_xlfn.XLOOKUP($A1373,'Base SKUs'!$E:$E,'Base SKUs'!D:D),"")</f>
        <v>Thermowood</v>
      </c>
      <c r="M1373" t="str">
        <f>IFERROR(_xlfn.XLOOKUP($A1373,'Base SKUs'!$E:$E,'Base SKUs'!G:G),"")</f>
        <v>Maximo Thermo Scandinavian Pine</v>
      </c>
      <c r="N1373" t="str">
        <f>IFERROR(_xlfn.XLOOKUP($A1373,'Base SKUs'!$E:$E,'Base SKUs'!H:H),"")</f>
        <v>Fluted</v>
      </c>
      <c r="O1373" t="str">
        <f>IFERROR(_xlfn.XLOOKUP($A1373,'Base SKUs'!$E:$E,'Base SKUs'!I:I),"")</f>
        <v>-</v>
      </c>
      <c r="P1373" t="str">
        <f>IFERROR(_xlfn.XLOOKUP($A1373,'Base SKUs'!$E:$E,'Base SKUs'!J:J),"")</f>
        <v>1x6</v>
      </c>
      <c r="Q1373">
        <f>IFERROR(_xlfn.XLOOKUP($A1373,'Base SKUs'!$E:$E,'Base SKUs'!K:K),"")</f>
        <v>9</v>
      </c>
      <c r="R1373" s="7">
        <f>IFERROR(_xlfn.XLOOKUP($A1373,'Base SKUs'!$E:$E,'Base SKUs'!S:S),"")</f>
        <v>7.182E-3</v>
      </c>
      <c r="S1373" s="8">
        <f t="shared" si="107"/>
        <v>0</v>
      </c>
      <c r="T1373" s="7">
        <f>IFERROR(_xlfn.XLOOKUP($A1373,'Base SKUs'!$E:$E,'Base SKUs'!R:R),"")</f>
        <v>1233.3979999999999</v>
      </c>
      <c r="U1373" s="15">
        <f t="shared" si="108"/>
        <v>0</v>
      </c>
      <c r="V1373" t="str">
        <f t="shared" si="109"/>
        <v>Miami</v>
      </c>
    </row>
    <row r="1374" spans="1:22" x14ac:dyDescent="0.2">
      <c r="A1374" t="s">
        <v>1853</v>
      </c>
      <c r="B1374" s="5">
        <v>2</v>
      </c>
      <c r="C1374" s="5">
        <v>2</v>
      </c>
      <c r="D1374" s="5">
        <f t="shared" si="105"/>
        <v>0</v>
      </c>
      <c r="E1374" s="6">
        <v>10.8696</v>
      </c>
      <c r="F1374" s="6">
        <f t="shared" si="106"/>
        <v>21.7392</v>
      </c>
      <c r="G1374" t="s">
        <v>330</v>
      </c>
      <c r="H1374">
        <v>9011</v>
      </c>
      <c r="I1374" t="str">
        <f>IFERROR(_xlfn.XLOOKUP($A1374,'Base SKUs'!$E:$E,'Base SKUs'!A:A),"")</f>
        <v>Scandinavian Pine</v>
      </c>
      <c r="J1374" t="str">
        <f>IFERROR(_xlfn.XLOOKUP($A1374,'Base SKUs'!$E:$E,'Base SKUs'!B:B),"")</f>
        <v>Scandinavian Pine 1x6</v>
      </c>
      <c r="K1374" t="str">
        <f>IFERROR(_xlfn.XLOOKUP($A1374,'Base SKUs'!$E:$E,'Base SKUs'!C:C),"")</f>
        <v>Long</v>
      </c>
      <c r="L1374" t="str">
        <f>IFERROR(_xlfn.XLOOKUP($A1374,'Base SKUs'!$E:$E,'Base SKUs'!D:D),"")</f>
        <v>Thermowood</v>
      </c>
      <c r="M1374" t="str">
        <f>IFERROR(_xlfn.XLOOKUP($A1374,'Base SKUs'!$E:$E,'Base SKUs'!G:G),"")</f>
        <v>Maximo Thermo Scandinavian Pine</v>
      </c>
      <c r="N1374" t="str">
        <f>IFERROR(_xlfn.XLOOKUP($A1374,'Base SKUs'!$E:$E,'Base SKUs'!H:H),"")</f>
        <v>VJoint - Square Back</v>
      </c>
      <c r="O1374" t="str">
        <f>IFERROR(_xlfn.XLOOKUP($A1374,'Base SKUs'!$E:$E,'Base SKUs'!I:I),"")</f>
        <v>-</v>
      </c>
      <c r="P1374" t="str">
        <f>IFERROR(_xlfn.XLOOKUP($A1374,'Base SKUs'!$E:$E,'Base SKUs'!J:J),"")</f>
        <v>1x6</v>
      </c>
      <c r="Q1374">
        <f>IFERROR(_xlfn.XLOOKUP($A1374,'Base SKUs'!$E:$E,'Base SKUs'!K:K),"")</f>
        <v>10</v>
      </c>
      <c r="R1374" s="7">
        <f>IFERROR(_xlfn.XLOOKUP($A1374,'Base SKUs'!$E:$E,'Base SKUs'!S:S),"")</f>
        <v>7.980000000000001E-3</v>
      </c>
      <c r="S1374" s="8">
        <f t="shared" si="107"/>
        <v>0</v>
      </c>
      <c r="T1374" s="7">
        <f>IFERROR(_xlfn.XLOOKUP($A1374,'Base SKUs'!$E:$E,'Base SKUs'!R:R),"")</f>
        <v>1233.3979999999999</v>
      </c>
      <c r="U1374" s="15">
        <f t="shared" si="108"/>
        <v>0</v>
      </c>
      <c r="V1374" t="str">
        <f t="shared" si="109"/>
        <v>New York</v>
      </c>
    </row>
    <row r="1375" spans="1:22" x14ac:dyDescent="0.2">
      <c r="A1375" t="s">
        <v>1855</v>
      </c>
      <c r="B1375" s="5">
        <v>5</v>
      </c>
      <c r="C1375" s="5">
        <v>0</v>
      </c>
      <c r="D1375" s="5">
        <f t="shared" si="105"/>
        <v>5</v>
      </c>
      <c r="E1375" s="6">
        <v>11.954800000000001</v>
      </c>
      <c r="F1375" s="6">
        <f t="shared" si="106"/>
        <v>59.774000000000001</v>
      </c>
      <c r="G1375" t="s">
        <v>125</v>
      </c>
      <c r="H1375">
        <v>9009</v>
      </c>
      <c r="I1375" t="str">
        <f>IFERROR(_xlfn.XLOOKUP($A1375,'Base SKUs'!$E:$E,'Base SKUs'!A:A),"")</f>
        <v>Scandinavian Pine</v>
      </c>
      <c r="J1375" t="str">
        <f>IFERROR(_xlfn.XLOOKUP($A1375,'Base SKUs'!$E:$E,'Base SKUs'!B:B),"")</f>
        <v>Scandinavian Pine 1x6</v>
      </c>
      <c r="K1375" t="str">
        <f>IFERROR(_xlfn.XLOOKUP($A1375,'Base SKUs'!$E:$E,'Base SKUs'!C:C),"")</f>
        <v>Long</v>
      </c>
      <c r="L1375" t="str">
        <f>IFERROR(_xlfn.XLOOKUP($A1375,'Base SKUs'!$E:$E,'Base SKUs'!D:D),"")</f>
        <v>Thermowood</v>
      </c>
      <c r="M1375" t="str">
        <f>IFERROR(_xlfn.XLOOKUP($A1375,'Base SKUs'!$E:$E,'Base SKUs'!G:G),"")</f>
        <v>Maximo Thermo Scandinavian Pine</v>
      </c>
      <c r="N1375" t="str">
        <f>IFERROR(_xlfn.XLOOKUP($A1375,'Base SKUs'!$E:$E,'Base SKUs'!H:H),"")</f>
        <v>VJoint - Square Back</v>
      </c>
      <c r="O1375" t="str">
        <f>IFERROR(_xlfn.XLOOKUP($A1375,'Base SKUs'!$E:$E,'Base SKUs'!I:I),"")</f>
        <v>-</v>
      </c>
      <c r="P1375" t="str">
        <f>IFERROR(_xlfn.XLOOKUP($A1375,'Base SKUs'!$E:$E,'Base SKUs'!J:J),"")</f>
        <v>1x6</v>
      </c>
      <c r="Q1375">
        <f>IFERROR(_xlfn.XLOOKUP($A1375,'Base SKUs'!$E:$E,'Base SKUs'!K:K),"")</f>
        <v>11</v>
      </c>
      <c r="R1375" s="7">
        <f>IFERROR(_xlfn.XLOOKUP($A1375,'Base SKUs'!$E:$E,'Base SKUs'!S:S),"")</f>
        <v>8.7779999999999993E-3</v>
      </c>
      <c r="S1375" s="8">
        <f t="shared" si="107"/>
        <v>4.3889999999999998E-2</v>
      </c>
      <c r="T1375" s="7">
        <f>IFERROR(_xlfn.XLOOKUP($A1375,'Base SKUs'!$E:$E,'Base SKUs'!R:R),"")</f>
        <v>1233.3979999999999</v>
      </c>
      <c r="U1375" s="15">
        <f t="shared" si="108"/>
        <v>54</v>
      </c>
      <c r="V1375" t="str">
        <f t="shared" si="109"/>
        <v>Boston</v>
      </c>
    </row>
    <row r="1376" spans="1:22" x14ac:dyDescent="0.2">
      <c r="A1376" t="s">
        <v>1855</v>
      </c>
      <c r="B1376" s="5">
        <v>1</v>
      </c>
      <c r="C1376" s="5">
        <v>1</v>
      </c>
      <c r="D1376" s="5">
        <f t="shared" si="105"/>
        <v>0</v>
      </c>
      <c r="E1376" s="6">
        <v>11.954800000000001</v>
      </c>
      <c r="F1376" s="6">
        <f t="shared" si="106"/>
        <v>11.954800000000001</v>
      </c>
      <c r="G1376" t="s">
        <v>330</v>
      </c>
      <c r="H1376">
        <v>9011</v>
      </c>
      <c r="I1376" t="str">
        <f>IFERROR(_xlfn.XLOOKUP($A1376,'Base SKUs'!$E:$E,'Base SKUs'!A:A),"")</f>
        <v>Scandinavian Pine</v>
      </c>
      <c r="J1376" t="str">
        <f>IFERROR(_xlfn.XLOOKUP($A1376,'Base SKUs'!$E:$E,'Base SKUs'!B:B),"")</f>
        <v>Scandinavian Pine 1x6</v>
      </c>
      <c r="K1376" t="str">
        <f>IFERROR(_xlfn.XLOOKUP($A1376,'Base SKUs'!$E:$E,'Base SKUs'!C:C),"")</f>
        <v>Long</v>
      </c>
      <c r="L1376" t="str">
        <f>IFERROR(_xlfn.XLOOKUP($A1376,'Base SKUs'!$E:$E,'Base SKUs'!D:D),"")</f>
        <v>Thermowood</v>
      </c>
      <c r="M1376" t="str">
        <f>IFERROR(_xlfn.XLOOKUP($A1376,'Base SKUs'!$E:$E,'Base SKUs'!G:G),"")</f>
        <v>Maximo Thermo Scandinavian Pine</v>
      </c>
      <c r="N1376" t="str">
        <f>IFERROR(_xlfn.XLOOKUP($A1376,'Base SKUs'!$E:$E,'Base SKUs'!H:H),"")</f>
        <v>VJoint - Square Back</v>
      </c>
      <c r="O1376" t="str">
        <f>IFERROR(_xlfn.XLOOKUP($A1376,'Base SKUs'!$E:$E,'Base SKUs'!I:I),"")</f>
        <v>-</v>
      </c>
      <c r="P1376" t="str">
        <f>IFERROR(_xlfn.XLOOKUP($A1376,'Base SKUs'!$E:$E,'Base SKUs'!J:J),"")</f>
        <v>1x6</v>
      </c>
      <c r="Q1376">
        <f>IFERROR(_xlfn.XLOOKUP($A1376,'Base SKUs'!$E:$E,'Base SKUs'!K:K),"")</f>
        <v>11</v>
      </c>
      <c r="R1376" s="7">
        <f>IFERROR(_xlfn.XLOOKUP($A1376,'Base SKUs'!$E:$E,'Base SKUs'!S:S),"")</f>
        <v>8.7779999999999993E-3</v>
      </c>
      <c r="S1376" s="8">
        <f t="shared" si="107"/>
        <v>0</v>
      </c>
      <c r="T1376" s="7">
        <f>IFERROR(_xlfn.XLOOKUP($A1376,'Base SKUs'!$E:$E,'Base SKUs'!R:R),"")</f>
        <v>1233.3979999999999</v>
      </c>
      <c r="U1376" s="15">
        <f t="shared" si="108"/>
        <v>0</v>
      </c>
      <c r="V1376" t="str">
        <f t="shared" si="109"/>
        <v>New York</v>
      </c>
    </row>
    <row r="1377" spans="1:22" x14ac:dyDescent="0.2">
      <c r="A1377" t="s">
        <v>1857</v>
      </c>
      <c r="B1377" s="5">
        <v>9</v>
      </c>
      <c r="C1377" s="5">
        <v>9</v>
      </c>
      <c r="D1377" s="5">
        <f t="shared" si="105"/>
        <v>0</v>
      </c>
      <c r="E1377" s="6">
        <v>13.008599999999999</v>
      </c>
      <c r="F1377" s="6">
        <f t="shared" si="106"/>
        <v>117.0774</v>
      </c>
      <c r="G1377" t="s">
        <v>330</v>
      </c>
      <c r="H1377">
        <v>9011</v>
      </c>
      <c r="I1377" t="str">
        <f>IFERROR(_xlfn.XLOOKUP($A1377,'Base SKUs'!$E:$E,'Base SKUs'!A:A),"")</f>
        <v>Scandinavian Pine</v>
      </c>
      <c r="J1377" t="str">
        <f>IFERROR(_xlfn.XLOOKUP($A1377,'Base SKUs'!$E:$E,'Base SKUs'!B:B),"")</f>
        <v>Scandinavian Pine 1x6</v>
      </c>
      <c r="K1377" t="str">
        <f>IFERROR(_xlfn.XLOOKUP($A1377,'Base SKUs'!$E:$E,'Base SKUs'!C:C),"")</f>
        <v>Long</v>
      </c>
      <c r="L1377" t="str">
        <f>IFERROR(_xlfn.XLOOKUP($A1377,'Base SKUs'!$E:$E,'Base SKUs'!D:D),"")</f>
        <v>Thermowood</v>
      </c>
      <c r="M1377" t="str">
        <f>IFERROR(_xlfn.XLOOKUP($A1377,'Base SKUs'!$E:$E,'Base SKUs'!G:G),"")</f>
        <v>Maximo Thermo Scandinavian Pine</v>
      </c>
      <c r="N1377" t="str">
        <f>IFERROR(_xlfn.XLOOKUP($A1377,'Base SKUs'!$E:$E,'Base SKUs'!H:H),"")</f>
        <v>VJoint - Square Back</v>
      </c>
      <c r="O1377" t="str">
        <f>IFERROR(_xlfn.XLOOKUP($A1377,'Base SKUs'!$E:$E,'Base SKUs'!I:I),"")</f>
        <v>-</v>
      </c>
      <c r="P1377" t="str">
        <f>IFERROR(_xlfn.XLOOKUP($A1377,'Base SKUs'!$E:$E,'Base SKUs'!J:J),"")</f>
        <v>1x6</v>
      </c>
      <c r="Q1377">
        <f>IFERROR(_xlfn.XLOOKUP($A1377,'Base SKUs'!$E:$E,'Base SKUs'!K:K),"")</f>
        <v>12</v>
      </c>
      <c r="R1377" s="7">
        <f>IFERROR(_xlfn.XLOOKUP($A1377,'Base SKUs'!$E:$E,'Base SKUs'!S:S),"")</f>
        <v>9.5760000000000012E-3</v>
      </c>
      <c r="S1377" s="8">
        <f t="shared" si="107"/>
        <v>0</v>
      </c>
      <c r="T1377" s="7">
        <f>IFERROR(_xlfn.XLOOKUP($A1377,'Base SKUs'!$E:$E,'Base SKUs'!R:R),"")</f>
        <v>1233.3979999999999</v>
      </c>
      <c r="U1377" s="15">
        <f t="shared" si="108"/>
        <v>0</v>
      </c>
      <c r="V1377" t="str">
        <f t="shared" si="109"/>
        <v>New York</v>
      </c>
    </row>
    <row r="1378" spans="1:22" x14ac:dyDescent="0.2">
      <c r="A1378" t="s">
        <v>1859</v>
      </c>
      <c r="B1378" s="5">
        <v>25</v>
      </c>
      <c r="C1378" s="5">
        <v>25</v>
      </c>
      <c r="D1378" s="5">
        <f t="shared" si="105"/>
        <v>0</v>
      </c>
      <c r="E1378" s="6">
        <v>14.1081</v>
      </c>
      <c r="F1378" s="6">
        <f t="shared" si="106"/>
        <v>352.70249999999999</v>
      </c>
      <c r="G1378" t="s">
        <v>330</v>
      </c>
      <c r="H1378">
        <v>9011</v>
      </c>
      <c r="I1378" t="str">
        <f>IFERROR(_xlfn.XLOOKUP($A1378,'Base SKUs'!$E:$E,'Base SKUs'!A:A),"")</f>
        <v>Scandinavian Pine</v>
      </c>
      <c r="J1378" t="str">
        <f>IFERROR(_xlfn.XLOOKUP($A1378,'Base SKUs'!$E:$E,'Base SKUs'!B:B),"")</f>
        <v>Scandinavian Pine 1x6</v>
      </c>
      <c r="K1378" t="str">
        <f>IFERROR(_xlfn.XLOOKUP($A1378,'Base SKUs'!$E:$E,'Base SKUs'!C:C),"")</f>
        <v>Long</v>
      </c>
      <c r="L1378" t="str">
        <f>IFERROR(_xlfn.XLOOKUP($A1378,'Base SKUs'!$E:$E,'Base SKUs'!D:D),"")</f>
        <v>Thermowood</v>
      </c>
      <c r="M1378" t="str">
        <f>IFERROR(_xlfn.XLOOKUP($A1378,'Base SKUs'!$E:$E,'Base SKUs'!G:G),"")</f>
        <v>Maximo Thermo Scandinavian Pine</v>
      </c>
      <c r="N1378" t="str">
        <f>IFERROR(_xlfn.XLOOKUP($A1378,'Base SKUs'!$E:$E,'Base SKUs'!H:H),"")</f>
        <v>VJoint - Square Back</v>
      </c>
      <c r="O1378" t="str">
        <f>IFERROR(_xlfn.XLOOKUP($A1378,'Base SKUs'!$E:$E,'Base SKUs'!I:I),"")</f>
        <v>-</v>
      </c>
      <c r="P1378" t="str">
        <f>IFERROR(_xlfn.XLOOKUP($A1378,'Base SKUs'!$E:$E,'Base SKUs'!J:J),"")</f>
        <v>1x6</v>
      </c>
      <c r="Q1378">
        <f>IFERROR(_xlfn.XLOOKUP($A1378,'Base SKUs'!$E:$E,'Base SKUs'!K:K),"")</f>
        <v>13</v>
      </c>
      <c r="R1378" s="7">
        <f>IFERROR(_xlfn.XLOOKUP($A1378,'Base SKUs'!$E:$E,'Base SKUs'!S:S),"")</f>
        <v>1.0374000000000001E-2</v>
      </c>
      <c r="S1378" s="8">
        <f t="shared" si="107"/>
        <v>0</v>
      </c>
      <c r="T1378" s="7">
        <f>IFERROR(_xlfn.XLOOKUP($A1378,'Base SKUs'!$E:$E,'Base SKUs'!R:R),"")</f>
        <v>1233.3979999999999</v>
      </c>
      <c r="U1378" s="15">
        <f t="shared" si="108"/>
        <v>0</v>
      </c>
      <c r="V1378" t="str">
        <f t="shared" si="109"/>
        <v>New York</v>
      </c>
    </row>
    <row r="1379" spans="1:22" x14ac:dyDescent="0.2">
      <c r="A1379" t="s">
        <v>1861</v>
      </c>
      <c r="B1379" s="5">
        <v>15</v>
      </c>
      <c r="C1379" s="5">
        <v>15</v>
      </c>
      <c r="D1379" s="5">
        <f t="shared" si="105"/>
        <v>0</v>
      </c>
      <c r="E1379" s="6">
        <v>15.1294</v>
      </c>
      <c r="F1379" s="6">
        <f t="shared" si="106"/>
        <v>226.941</v>
      </c>
      <c r="G1379" t="s">
        <v>330</v>
      </c>
      <c r="H1379">
        <v>9011</v>
      </c>
      <c r="I1379" t="str">
        <f>IFERROR(_xlfn.XLOOKUP($A1379,'Base SKUs'!$E:$E,'Base SKUs'!A:A),"")</f>
        <v>Scandinavian Pine</v>
      </c>
      <c r="J1379" t="str">
        <f>IFERROR(_xlfn.XLOOKUP($A1379,'Base SKUs'!$E:$E,'Base SKUs'!B:B),"")</f>
        <v>Scandinavian Pine 1x6</v>
      </c>
      <c r="K1379" t="str">
        <f>IFERROR(_xlfn.XLOOKUP($A1379,'Base SKUs'!$E:$E,'Base SKUs'!C:C),"")</f>
        <v>Long</v>
      </c>
      <c r="L1379" t="str">
        <f>IFERROR(_xlfn.XLOOKUP($A1379,'Base SKUs'!$E:$E,'Base SKUs'!D:D),"")</f>
        <v>Thermowood</v>
      </c>
      <c r="M1379" t="str">
        <f>IFERROR(_xlfn.XLOOKUP($A1379,'Base SKUs'!$E:$E,'Base SKUs'!G:G),"")</f>
        <v>Maximo Thermo Scandinavian Pine</v>
      </c>
      <c r="N1379" t="str">
        <f>IFERROR(_xlfn.XLOOKUP($A1379,'Base SKUs'!$E:$E,'Base SKUs'!H:H),"")</f>
        <v>VJoint - Square Back</v>
      </c>
      <c r="O1379" t="str">
        <f>IFERROR(_xlfn.XLOOKUP($A1379,'Base SKUs'!$E:$E,'Base SKUs'!I:I),"")</f>
        <v>-</v>
      </c>
      <c r="P1379" t="str">
        <f>IFERROR(_xlfn.XLOOKUP($A1379,'Base SKUs'!$E:$E,'Base SKUs'!J:J),"")</f>
        <v>1x6</v>
      </c>
      <c r="Q1379">
        <f>IFERROR(_xlfn.XLOOKUP($A1379,'Base SKUs'!$E:$E,'Base SKUs'!K:K),"")</f>
        <v>14</v>
      </c>
      <c r="R1379" s="7">
        <f>IFERROR(_xlfn.XLOOKUP($A1379,'Base SKUs'!$E:$E,'Base SKUs'!S:S),"")</f>
        <v>1.1172E-2</v>
      </c>
      <c r="S1379" s="8">
        <f t="shared" si="107"/>
        <v>0</v>
      </c>
      <c r="T1379" s="7">
        <f>IFERROR(_xlfn.XLOOKUP($A1379,'Base SKUs'!$E:$E,'Base SKUs'!R:R),"")</f>
        <v>1233.3979999999999</v>
      </c>
      <c r="U1379" s="15">
        <f t="shared" si="108"/>
        <v>0</v>
      </c>
      <c r="V1379" t="str">
        <f t="shared" si="109"/>
        <v>New York</v>
      </c>
    </row>
    <row r="1380" spans="1:22" x14ac:dyDescent="0.2">
      <c r="A1380" t="s">
        <v>1863</v>
      </c>
      <c r="B1380" s="5">
        <v>3</v>
      </c>
      <c r="C1380" s="5">
        <v>0</v>
      </c>
      <c r="D1380" s="5">
        <f t="shared" si="105"/>
        <v>3</v>
      </c>
      <c r="E1380" s="6">
        <v>16.305399999999999</v>
      </c>
      <c r="F1380" s="6">
        <f t="shared" si="106"/>
        <v>48.916199999999996</v>
      </c>
      <c r="G1380" t="s">
        <v>125</v>
      </c>
      <c r="H1380">
        <v>9009</v>
      </c>
      <c r="I1380" t="str">
        <f>IFERROR(_xlfn.XLOOKUP($A1380,'Base SKUs'!$E:$E,'Base SKUs'!A:A),"")</f>
        <v>Scandinavian Pine</v>
      </c>
      <c r="J1380" t="str">
        <f>IFERROR(_xlfn.XLOOKUP($A1380,'Base SKUs'!$E:$E,'Base SKUs'!B:B),"")</f>
        <v>Scandinavian Pine 1x6</v>
      </c>
      <c r="K1380" t="str">
        <f>IFERROR(_xlfn.XLOOKUP($A1380,'Base SKUs'!$E:$E,'Base SKUs'!C:C),"")</f>
        <v>Long</v>
      </c>
      <c r="L1380" t="str">
        <f>IFERROR(_xlfn.XLOOKUP($A1380,'Base SKUs'!$E:$E,'Base SKUs'!D:D),"")</f>
        <v>Thermowood</v>
      </c>
      <c r="M1380" t="str">
        <f>IFERROR(_xlfn.XLOOKUP($A1380,'Base SKUs'!$E:$E,'Base SKUs'!G:G),"")</f>
        <v>Maximo Thermo Scandinavian Pine</v>
      </c>
      <c r="N1380" t="str">
        <f>IFERROR(_xlfn.XLOOKUP($A1380,'Base SKUs'!$E:$E,'Base SKUs'!H:H),"")</f>
        <v>VJoint - Square Back</v>
      </c>
      <c r="O1380" t="str">
        <f>IFERROR(_xlfn.XLOOKUP($A1380,'Base SKUs'!$E:$E,'Base SKUs'!I:I),"")</f>
        <v>-</v>
      </c>
      <c r="P1380" t="str">
        <f>IFERROR(_xlfn.XLOOKUP($A1380,'Base SKUs'!$E:$E,'Base SKUs'!J:J),"")</f>
        <v>1x6</v>
      </c>
      <c r="Q1380">
        <f>IFERROR(_xlfn.XLOOKUP($A1380,'Base SKUs'!$E:$E,'Base SKUs'!K:K),"")</f>
        <v>15</v>
      </c>
      <c r="R1380" s="7">
        <f>IFERROR(_xlfn.XLOOKUP($A1380,'Base SKUs'!$E:$E,'Base SKUs'!S:S),"")</f>
        <v>1.1970000000000001E-2</v>
      </c>
      <c r="S1380" s="8">
        <f t="shared" si="107"/>
        <v>3.5910000000000004E-2</v>
      </c>
      <c r="T1380" s="7">
        <f>IFERROR(_xlfn.XLOOKUP($A1380,'Base SKUs'!$E:$E,'Base SKUs'!R:R),"")</f>
        <v>1233.3979999999999</v>
      </c>
      <c r="U1380" s="15">
        <f t="shared" si="108"/>
        <v>44</v>
      </c>
      <c r="V1380" t="str">
        <f t="shared" si="109"/>
        <v>Boston</v>
      </c>
    </row>
    <row r="1381" spans="1:22" x14ac:dyDescent="0.2">
      <c r="A1381" t="s">
        <v>1863</v>
      </c>
      <c r="B1381" s="5">
        <v>37</v>
      </c>
      <c r="C1381" s="5">
        <v>37</v>
      </c>
      <c r="D1381" s="5">
        <f t="shared" si="105"/>
        <v>0</v>
      </c>
      <c r="E1381" s="6">
        <v>16.305399999999999</v>
      </c>
      <c r="F1381" s="6">
        <f t="shared" si="106"/>
        <v>603.2998</v>
      </c>
      <c r="G1381" t="s">
        <v>330</v>
      </c>
      <c r="H1381">
        <v>9011</v>
      </c>
      <c r="I1381" t="str">
        <f>IFERROR(_xlfn.XLOOKUP($A1381,'Base SKUs'!$E:$E,'Base SKUs'!A:A),"")</f>
        <v>Scandinavian Pine</v>
      </c>
      <c r="J1381" t="str">
        <f>IFERROR(_xlfn.XLOOKUP($A1381,'Base SKUs'!$E:$E,'Base SKUs'!B:B),"")</f>
        <v>Scandinavian Pine 1x6</v>
      </c>
      <c r="K1381" t="str">
        <f>IFERROR(_xlfn.XLOOKUP($A1381,'Base SKUs'!$E:$E,'Base SKUs'!C:C),"")</f>
        <v>Long</v>
      </c>
      <c r="L1381" t="str">
        <f>IFERROR(_xlfn.XLOOKUP($A1381,'Base SKUs'!$E:$E,'Base SKUs'!D:D),"")</f>
        <v>Thermowood</v>
      </c>
      <c r="M1381" t="str">
        <f>IFERROR(_xlfn.XLOOKUP($A1381,'Base SKUs'!$E:$E,'Base SKUs'!G:G),"")</f>
        <v>Maximo Thermo Scandinavian Pine</v>
      </c>
      <c r="N1381" t="str">
        <f>IFERROR(_xlfn.XLOOKUP($A1381,'Base SKUs'!$E:$E,'Base SKUs'!H:H),"")</f>
        <v>VJoint - Square Back</v>
      </c>
      <c r="O1381" t="str">
        <f>IFERROR(_xlfn.XLOOKUP($A1381,'Base SKUs'!$E:$E,'Base SKUs'!I:I),"")</f>
        <v>-</v>
      </c>
      <c r="P1381" t="str">
        <f>IFERROR(_xlfn.XLOOKUP($A1381,'Base SKUs'!$E:$E,'Base SKUs'!J:J),"")</f>
        <v>1x6</v>
      </c>
      <c r="Q1381">
        <f>IFERROR(_xlfn.XLOOKUP($A1381,'Base SKUs'!$E:$E,'Base SKUs'!K:K),"")</f>
        <v>15</v>
      </c>
      <c r="R1381" s="7">
        <f>IFERROR(_xlfn.XLOOKUP($A1381,'Base SKUs'!$E:$E,'Base SKUs'!S:S),"")</f>
        <v>1.1970000000000001E-2</v>
      </c>
      <c r="S1381" s="8">
        <f t="shared" si="107"/>
        <v>0</v>
      </c>
      <c r="T1381" s="7">
        <f>IFERROR(_xlfn.XLOOKUP($A1381,'Base SKUs'!$E:$E,'Base SKUs'!R:R),"")</f>
        <v>1233.3979999999999</v>
      </c>
      <c r="U1381" s="15">
        <f t="shared" si="108"/>
        <v>0</v>
      </c>
      <c r="V1381" t="str">
        <f t="shared" si="109"/>
        <v>New York</v>
      </c>
    </row>
    <row r="1382" spans="1:22" x14ac:dyDescent="0.2">
      <c r="A1382" t="s">
        <v>1865</v>
      </c>
      <c r="B1382" s="5">
        <v>12</v>
      </c>
      <c r="C1382" s="5">
        <v>12</v>
      </c>
      <c r="D1382" s="5">
        <f t="shared" si="105"/>
        <v>0</v>
      </c>
      <c r="E1382" s="6">
        <v>18.479500000000002</v>
      </c>
      <c r="F1382" s="6">
        <f t="shared" si="106"/>
        <v>221.75400000000002</v>
      </c>
      <c r="G1382" t="s">
        <v>330</v>
      </c>
      <c r="H1382">
        <v>9011</v>
      </c>
      <c r="I1382" t="str">
        <f>IFERROR(_xlfn.XLOOKUP($A1382,'Base SKUs'!$E:$E,'Base SKUs'!A:A),"")</f>
        <v>Scandinavian Pine</v>
      </c>
      <c r="J1382" t="str">
        <f>IFERROR(_xlfn.XLOOKUP($A1382,'Base SKUs'!$E:$E,'Base SKUs'!B:B),"")</f>
        <v>Scandinavian Pine 1x6</v>
      </c>
      <c r="K1382" t="str">
        <f>IFERROR(_xlfn.XLOOKUP($A1382,'Base SKUs'!$E:$E,'Base SKUs'!C:C),"")</f>
        <v>Long</v>
      </c>
      <c r="L1382" t="str">
        <f>IFERROR(_xlfn.XLOOKUP($A1382,'Base SKUs'!$E:$E,'Base SKUs'!D:D),"")</f>
        <v>Thermowood</v>
      </c>
      <c r="M1382" t="str">
        <f>IFERROR(_xlfn.XLOOKUP($A1382,'Base SKUs'!$E:$E,'Base SKUs'!G:G),"")</f>
        <v>Maximo Thermo Scandinavian Pine</v>
      </c>
      <c r="N1382" t="str">
        <f>IFERROR(_xlfn.XLOOKUP($A1382,'Base SKUs'!$E:$E,'Base SKUs'!H:H),"")</f>
        <v>VJoint - Square Back</v>
      </c>
      <c r="O1382" t="str">
        <f>IFERROR(_xlfn.XLOOKUP($A1382,'Base SKUs'!$E:$E,'Base SKUs'!I:I),"")</f>
        <v>-</v>
      </c>
      <c r="P1382" t="str">
        <f>IFERROR(_xlfn.XLOOKUP($A1382,'Base SKUs'!$E:$E,'Base SKUs'!J:J),"")</f>
        <v>1x6</v>
      </c>
      <c r="Q1382">
        <f>IFERROR(_xlfn.XLOOKUP($A1382,'Base SKUs'!$E:$E,'Base SKUs'!K:K),"")</f>
        <v>17</v>
      </c>
      <c r="R1382" s="7">
        <f>IFERROR(_xlfn.XLOOKUP($A1382,'Base SKUs'!$E:$E,'Base SKUs'!S:S),"")</f>
        <v>1.3565999999999998E-2</v>
      </c>
      <c r="S1382" s="8">
        <f t="shared" si="107"/>
        <v>0</v>
      </c>
      <c r="T1382" s="7">
        <f>IFERROR(_xlfn.XLOOKUP($A1382,'Base SKUs'!$E:$E,'Base SKUs'!R:R),"")</f>
        <v>1233.3979999999999</v>
      </c>
      <c r="U1382" s="15">
        <f t="shared" si="108"/>
        <v>0</v>
      </c>
      <c r="V1382" t="str">
        <f t="shared" si="109"/>
        <v>New York</v>
      </c>
    </row>
    <row r="1383" spans="1:22" x14ac:dyDescent="0.2">
      <c r="A1383" t="s">
        <v>1867</v>
      </c>
      <c r="B1383" s="5">
        <v>1</v>
      </c>
      <c r="C1383" s="5">
        <v>0</v>
      </c>
      <c r="D1383" s="5">
        <f t="shared" si="105"/>
        <v>1</v>
      </c>
      <c r="E1383" s="6">
        <v>6.76</v>
      </c>
      <c r="F1383" s="6">
        <f t="shared" si="106"/>
        <v>6.76</v>
      </c>
      <c r="G1383" t="s">
        <v>24</v>
      </c>
      <c r="H1383">
        <v>9008</v>
      </c>
      <c r="I1383" t="str">
        <f>IFERROR(_xlfn.XLOOKUP($A1383,'Base SKUs'!$E:$E,'Base SKUs'!A:A),"")</f>
        <v>Scandinavian Pine</v>
      </c>
      <c r="J1383" t="str">
        <f>IFERROR(_xlfn.XLOOKUP($A1383,'Base SKUs'!$E:$E,'Base SKUs'!B:B),"")</f>
        <v>Scandinavian Pine 1x6</v>
      </c>
      <c r="K1383" t="str">
        <f>IFERROR(_xlfn.XLOOKUP($A1383,'Base SKUs'!$E:$E,'Base SKUs'!C:C),"")</f>
        <v>Short</v>
      </c>
      <c r="L1383" t="str">
        <f>IFERROR(_xlfn.XLOOKUP($A1383,'Base SKUs'!$E:$E,'Base SKUs'!D:D),"")</f>
        <v>Thermowood</v>
      </c>
      <c r="M1383" t="str">
        <f>IFERROR(_xlfn.XLOOKUP($A1383,'Base SKUs'!$E:$E,'Base SKUs'!G:G),"")</f>
        <v>Maximo Thermo Scandinavian Pine</v>
      </c>
      <c r="N1383" t="str">
        <f>IFERROR(_xlfn.XLOOKUP($A1383,'Base SKUs'!$E:$E,'Base SKUs'!H:H),"")</f>
        <v>VJoint - Square Back</v>
      </c>
      <c r="O1383" t="str">
        <f>IFERROR(_xlfn.XLOOKUP($A1383,'Base SKUs'!$E:$E,'Base SKUs'!I:I),"")</f>
        <v>-</v>
      </c>
      <c r="P1383" t="str">
        <f>IFERROR(_xlfn.XLOOKUP($A1383,'Base SKUs'!$E:$E,'Base SKUs'!J:J),"")</f>
        <v>1x6</v>
      </c>
      <c r="Q1383">
        <f>IFERROR(_xlfn.XLOOKUP($A1383,'Base SKUs'!$E:$E,'Base SKUs'!K:K),"")</f>
        <v>5</v>
      </c>
      <c r="R1383" s="7">
        <f>IFERROR(_xlfn.XLOOKUP($A1383,'Base SKUs'!$E:$E,'Base SKUs'!S:S),"")</f>
        <v>3.9900000000000005E-3</v>
      </c>
      <c r="S1383" s="8">
        <f t="shared" si="107"/>
        <v>3.9900000000000005E-3</v>
      </c>
      <c r="T1383" s="7">
        <f>IFERROR(_xlfn.XLOOKUP($A1383,'Base SKUs'!$E:$E,'Base SKUs'!R:R),"")</f>
        <v>1233.3979999999999</v>
      </c>
      <c r="U1383" s="15">
        <f t="shared" si="108"/>
        <v>5</v>
      </c>
      <c r="V1383" t="str">
        <f t="shared" si="109"/>
        <v>Texas</v>
      </c>
    </row>
    <row r="1384" spans="1:22" x14ac:dyDescent="0.2">
      <c r="A1384" t="s">
        <v>1869</v>
      </c>
      <c r="B1384" s="5">
        <v>2</v>
      </c>
      <c r="C1384" s="5">
        <v>0</v>
      </c>
      <c r="D1384" s="5">
        <f t="shared" si="105"/>
        <v>2</v>
      </c>
      <c r="E1384" s="6">
        <v>8.1050000000000004</v>
      </c>
      <c r="F1384" s="6">
        <f t="shared" si="106"/>
        <v>16.21</v>
      </c>
      <c r="G1384" t="s">
        <v>24</v>
      </c>
      <c r="H1384">
        <v>9008</v>
      </c>
      <c r="I1384" t="str">
        <f>IFERROR(_xlfn.XLOOKUP($A1384,'Base SKUs'!$E:$E,'Base SKUs'!A:A),"")</f>
        <v>Scandinavian Pine</v>
      </c>
      <c r="J1384" t="str">
        <f>IFERROR(_xlfn.XLOOKUP($A1384,'Base SKUs'!$E:$E,'Base SKUs'!B:B),"")</f>
        <v>Scandinavian Pine 1x6</v>
      </c>
      <c r="K1384" t="str">
        <f>IFERROR(_xlfn.XLOOKUP($A1384,'Base SKUs'!$E:$E,'Base SKUs'!C:C),"")</f>
        <v>Short</v>
      </c>
      <c r="L1384" t="str">
        <f>IFERROR(_xlfn.XLOOKUP($A1384,'Base SKUs'!$E:$E,'Base SKUs'!D:D),"")</f>
        <v>Thermowood</v>
      </c>
      <c r="M1384" t="str">
        <f>IFERROR(_xlfn.XLOOKUP($A1384,'Base SKUs'!$E:$E,'Base SKUs'!G:G),"")</f>
        <v>Maximo Thermo Scandinavian Pine</v>
      </c>
      <c r="N1384" t="str">
        <f>IFERROR(_xlfn.XLOOKUP($A1384,'Base SKUs'!$E:$E,'Base SKUs'!H:H),"")</f>
        <v>VJoint - Square Back</v>
      </c>
      <c r="O1384" t="str">
        <f>IFERROR(_xlfn.XLOOKUP($A1384,'Base SKUs'!$E:$E,'Base SKUs'!I:I),"")</f>
        <v>-</v>
      </c>
      <c r="P1384" t="str">
        <f>IFERROR(_xlfn.XLOOKUP($A1384,'Base SKUs'!$E:$E,'Base SKUs'!J:J),"")</f>
        <v>1x6</v>
      </c>
      <c r="Q1384">
        <f>IFERROR(_xlfn.XLOOKUP($A1384,'Base SKUs'!$E:$E,'Base SKUs'!K:K),"")</f>
        <v>6</v>
      </c>
      <c r="R1384" s="7">
        <f>IFERROR(_xlfn.XLOOKUP($A1384,'Base SKUs'!$E:$E,'Base SKUs'!S:S),"")</f>
        <v>4.7880000000000006E-3</v>
      </c>
      <c r="S1384" s="8">
        <f t="shared" si="107"/>
        <v>9.5760000000000012E-3</v>
      </c>
      <c r="T1384" s="7">
        <f>IFERROR(_xlfn.XLOOKUP($A1384,'Base SKUs'!$E:$E,'Base SKUs'!R:R),"")</f>
        <v>1233.3979999999999</v>
      </c>
      <c r="U1384" s="15">
        <f t="shared" si="108"/>
        <v>12</v>
      </c>
      <c r="V1384" t="str">
        <f t="shared" si="109"/>
        <v>Texas</v>
      </c>
    </row>
    <row r="1385" spans="1:22" x14ac:dyDescent="0.2">
      <c r="A1385" t="s">
        <v>1871</v>
      </c>
      <c r="B1385" s="5">
        <v>8</v>
      </c>
      <c r="C1385" s="5">
        <v>0</v>
      </c>
      <c r="D1385" s="5">
        <f t="shared" si="105"/>
        <v>8</v>
      </c>
      <c r="E1385" s="6">
        <v>7.6092000000000004</v>
      </c>
      <c r="F1385" s="6">
        <f t="shared" si="106"/>
        <v>60.873600000000003</v>
      </c>
      <c r="G1385" t="s">
        <v>24</v>
      </c>
      <c r="H1385">
        <v>9008</v>
      </c>
      <c r="I1385" t="str">
        <f>IFERROR(_xlfn.XLOOKUP($A1385,'Base SKUs'!$E:$E,'Base SKUs'!A:A),"")</f>
        <v>Scandinavian Pine</v>
      </c>
      <c r="J1385" t="str">
        <f>IFERROR(_xlfn.XLOOKUP($A1385,'Base SKUs'!$E:$E,'Base SKUs'!B:B),"")</f>
        <v>Scandinavian Pine 1x6</v>
      </c>
      <c r="K1385" t="str">
        <f>IFERROR(_xlfn.XLOOKUP($A1385,'Base SKUs'!$E:$E,'Base SKUs'!C:C),"")</f>
        <v>Short</v>
      </c>
      <c r="L1385" t="str">
        <f>IFERROR(_xlfn.XLOOKUP($A1385,'Base SKUs'!$E:$E,'Base SKUs'!D:D),"")</f>
        <v>Thermowood</v>
      </c>
      <c r="M1385" t="str">
        <f>IFERROR(_xlfn.XLOOKUP($A1385,'Base SKUs'!$E:$E,'Base SKUs'!G:G),"")</f>
        <v>Maximo Thermo Scandinavian Pine</v>
      </c>
      <c r="N1385" t="str">
        <f>IFERROR(_xlfn.XLOOKUP($A1385,'Base SKUs'!$E:$E,'Base SKUs'!H:H),"")</f>
        <v>VJoint - Square Back</v>
      </c>
      <c r="O1385" t="str">
        <f>IFERROR(_xlfn.XLOOKUP($A1385,'Base SKUs'!$E:$E,'Base SKUs'!I:I),"")</f>
        <v>-</v>
      </c>
      <c r="P1385" t="str">
        <f>IFERROR(_xlfn.XLOOKUP($A1385,'Base SKUs'!$E:$E,'Base SKUs'!J:J),"")</f>
        <v>1x6</v>
      </c>
      <c r="Q1385">
        <f>IFERROR(_xlfn.XLOOKUP($A1385,'Base SKUs'!$E:$E,'Base SKUs'!K:K),"")</f>
        <v>7</v>
      </c>
      <c r="R1385" s="7">
        <f>IFERROR(_xlfn.XLOOKUP($A1385,'Base SKUs'!$E:$E,'Base SKUs'!S:S),"")</f>
        <v>5.5859999999999998E-3</v>
      </c>
      <c r="S1385" s="8">
        <f t="shared" si="107"/>
        <v>4.4687999999999999E-2</v>
      </c>
      <c r="T1385" s="7">
        <f>IFERROR(_xlfn.XLOOKUP($A1385,'Base SKUs'!$E:$E,'Base SKUs'!R:R),"")</f>
        <v>1233.3979999999999</v>
      </c>
      <c r="U1385" s="15">
        <f t="shared" si="108"/>
        <v>55</v>
      </c>
      <c r="V1385" t="str">
        <f t="shared" si="109"/>
        <v>Texas</v>
      </c>
    </row>
    <row r="1386" spans="1:22" x14ac:dyDescent="0.2">
      <c r="A1386" t="s">
        <v>1873</v>
      </c>
      <c r="B1386" s="5">
        <v>7</v>
      </c>
      <c r="C1386" s="5">
        <v>0</v>
      </c>
      <c r="D1386" s="5">
        <f t="shared" si="105"/>
        <v>7</v>
      </c>
      <c r="E1386" s="6">
        <v>8.6961999999999993</v>
      </c>
      <c r="F1386" s="6">
        <f t="shared" si="106"/>
        <v>60.873399999999997</v>
      </c>
      <c r="G1386" t="s">
        <v>17</v>
      </c>
      <c r="H1386">
        <v>9007</v>
      </c>
      <c r="I1386" t="str">
        <f>IFERROR(_xlfn.XLOOKUP($A1386,'Base SKUs'!$E:$E,'Base SKUs'!A:A),"")</f>
        <v>Scandinavian Pine</v>
      </c>
      <c r="J1386" t="str">
        <f>IFERROR(_xlfn.XLOOKUP($A1386,'Base SKUs'!$E:$E,'Base SKUs'!B:B),"")</f>
        <v>Scandinavian Pine 1x6</v>
      </c>
      <c r="K1386" t="str">
        <f>IFERROR(_xlfn.XLOOKUP($A1386,'Base SKUs'!$E:$E,'Base SKUs'!C:C),"")</f>
        <v>Long</v>
      </c>
      <c r="L1386" t="str">
        <f>IFERROR(_xlfn.XLOOKUP($A1386,'Base SKUs'!$E:$E,'Base SKUs'!D:D),"")</f>
        <v>Thermowood</v>
      </c>
      <c r="M1386" t="str">
        <f>IFERROR(_xlfn.XLOOKUP($A1386,'Base SKUs'!$E:$E,'Base SKUs'!G:G),"")</f>
        <v>Maximo Thermo Scandinavian Pine</v>
      </c>
      <c r="N1386" t="str">
        <f>IFERROR(_xlfn.XLOOKUP($A1386,'Base SKUs'!$E:$E,'Base SKUs'!H:H),"")</f>
        <v>VJoint - Square Back</v>
      </c>
      <c r="O1386" t="str">
        <f>IFERROR(_xlfn.XLOOKUP($A1386,'Base SKUs'!$E:$E,'Base SKUs'!I:I),"")</f>
        <v>-</v>
      </c>
      <c r="P1386" t="str">
        <f>IFERROR(_xlfn.XLOOKUP($A1386,'Base SKUs'!$E:$E,'Base SKUs'!J:J),"")</f>
        <v>1x6</v>
      </c>
      <c r="Q1386">
        <f>IFERROR(_xlfn.XLOOKUP($A1386,'Base SKUs'!$E:$E,'Base SKUs'!K:K),"")</f>
        <v>8</v>
      </c>
      <c r="R1386" s="7">
        <f>IFERROR(_xlfn.XLOOKUP($A1386,'Base SKUs'!$E:$E,'Base SKUs'!S:S),"")</f>
        <v>6.3839999999999999E-3</v>
      </c>
      <c r="S1386" s="8">
        <f t="shared" si="107"/>
        <v>4.4687999999999999E-2</v>
      </c>
      <c r="T1386" s="7">
        <f>IFERROR(_xlfn.XLOOKUP($A1386,'Base SKUs'!$E:$E,'Base SKUs'!R:R),"")</f>
        <v>1233.3979999999999</v>
      </c>
      <c r="U1386" s="15">
        <f t="shared" si="108"/>
        <v>55</v>
      </c>
      <c r="V1386" t="str">
        <f t="shared" si="109"/>
        <v>Miami</v>
      </c>
    </row>
    <row r="1387" spans="1:22" x14ac:dyDescent="0.2">
      <c r="A1387" t="s">
        <v>1873</v>
      </c>
      <c r="B1387" s="5">
        <v>6</v>
      </c>
      <c r="C1387" s="5">
        <v>0</v>
      </c>
      <c r="D1387" s="5">
        <f t="shared" si="105"/>
        <v>6</v>
      </c>
      <c r="E1387" s="6">
        <v>8.6961999999999993</v>
      </c>
      <c r="F1387" s="6">
        <f t="shared" si="106"/>
        <v>52.177199999999999</v>
      </c>
      <c r="G1387" t="s">
        <v>24</v>
      </c>
      <c r="H1387">
        <v>9008</v>
      </c>
      <c r="I1387" t="str">
        <f>IFERROR(_xlfn.XLOOKUP($A1387,'Base SKUs'!$E:$E,'Base SKUs'!A:A),"")</f>
        <v>Scandinavian Pine</v>
      </c>
      <c r="J1387" t="str">
        <f>IFERROR(_xlfn.XLOOKUP($A1387,'Base SKUs'!$E:$E,'Base SKUs'!B:B),"")</f>
        <v>Scandinavian Pine 1x6</v>
      </c>
      <c r="K1387" t="str">
        <f>IFERROR(_xlfn.XLOOKUP($A1387,'Base SKUs'!$E:$E,'Base SKUs'!C:C),"")</f>
        <v>Long</v>
      </c>
      <c r="L1387" t="str">
        <f>IFERROR(_xlfn.XLOOKUP($A1387,'Base SKUs'!$E:$E,'Base SKUs'!D:D),"")</f>
        <v>Thermowood</v>
      </c>
      <c r="M1387" t="str">
        <f>IFERROR(_xlfn.XLOOKUP($A1387,'Base SKUs'!$E:$E,'Base SKUs'!G:G),"")</f>
        <v>Maximo Thermo Scandinavian Pine</v>
      </c>
      <c r="N1387" t="str">
        <f>IFERROR(_xlfn.XLOOKUP($A1387,'Base SKUs'!$E:$E,'Base SKUs'!H:H),"")</f>
        <v>VJoint - Square Back</v>
      </c>
      <c r="O1387" t="str">
        <f>IFERROR(_xlfn.XLOOKUP($A1387,'Base SKUs'!$E:$E,'Base SKUs'!I:I),"")</f>
        <v>-</v>
      </c>
      <c r="P1387" t="str">
        <f>IFERROR(_xlfn.XLOOKUP($A1387,'Base SKUs'!$E:$E,'Base SKUs'!J:J),"")</f>
        <v>1x6</v>
      </c>
      <c r="Q1387">
        <f>IFERROR(_xlfn.XLOOKUP($A1387,'Base SKUs'!$E:$E,'Base SKUs'!K:K),"")</f>
        <v>8</v>
      </c>
      <c r="R1387" s="7">
        <f>IFERROR(_xlfn.XLOOKUP($A1387,'Base SKUs'!$E:$E,'Base SKUs'!S:S),"")</f>
        <v>6.3839999999999999E-3</v>
      </c>
      <c r="S1387" s="8">
        <f t="shared" si="107"/>
        <v>3.8303999999999998E-2</v>
      </c>
      <c r="T1387" s="7">
        <f>IFERROR(_xlfn.XLOOKUP($A1387,'Base SKUs'!$E:$E,'Base SKUs'!R:R),"")</f>
        <v>1233.3979999999999</v>
      </c>
      <c r="U1387" s="15">
        <f t="shared" si="108"/>
        <v>47</v>
      </c>
      <c r="V1387" t="str">
        <f t="shared" si="109"/>
        <v>Texas</v>
      </c>
    </row>
    <row r="1388" spans="1:22" x14ac:dyDescent="0.2">
      <c r="A1388" t="s">
        <v>1875</v>
      </c>
      <c r="B1388" s="5">
        <v>9</v>
      </c>
      <c r="C1388" s="5">
        <v>0</v>
      </c>
      <c r="D1388" s="5">
        <f t="shared" si="105"/>
        <v>9</v>
      </c>
      <c r="E1388" s="6">
        <v>9.7832000000000008</v>
      </c>
      <c r="F1388" s="6">
        <f t="shared" si="106"/>
        <v>88.0488</v>
      </c>
      <c r="G1388" t="s">
        <v>17</v>
      </c>
      <c r="H1388">
        <v>9007</v>
      </c>
      <c r="I1388" t="str">
        <f>IFERROR(_xlfn.XLOOKUP($A1388,'Base SKUs'!$E:$E,'Base SKUs'!A:A),"")</f>
        <v>Scandinavian Pine</v>
      </c>
      <c r="J1388" t="str">
        <f>IFERROR(_xlfn.XLOOKUP($A1388,'Base SKUs'!$E:$E,'Base SKUs'!B:B),"")</f>
        <v>Scandinavian Pine 1x6</v>
      </c>
      <c r="K1388" t="str">
        <f>IFERROR(_xlfn.XLOOKUP($A1388,'Base SKUs'!$E:$E,'Base SKUs'!C:C),"")</f>
        <v>Long</v>
      </c>
      <c r="L1388" t="str">
        <f>IFERROR(_xlfn.XLOOKUP($A1388,'Base SKUs'!$E:$E,'Base SKUs'!D:D),"")</f>
        <v>Thermowood</v>
      </c>
      <c r="M1388" t="str">
        <f>IFERROR(_xlfn.XLOOKUP($A1388,'Base SKUs'!$E:$E,'Base SKUs'!G:G),"")</f>
        <v>Maximo Thermo Scandinavian Pine</v>
      </c>
      <c r="N1388" t="str">
        <f>IFERROR(_xlfn.XLOOKUP($A1388,'Base SKUs'!$E:$E,'Base SKUs'!H:H),"")</f>
        <v>VJoint - Square Back</v>
      </c>
      <c r="O1388" t="str">
        <f>IFERROR(_xlfn.XLOOKUP($A1388,'Base SKUs'!$E:$E,'Base SKUs'!I:I),"")</f>
        <v>-</v>
      </c>
      <c r="P1388" t="str">
        <f>IFERROR(_xlfn.XLOOKUP($A1388,'Base SKUs'!$E:$E,'Base SKUs'!J:J),"")</f>
        <v>1x6</v>
      </c>
      <c r="Q1388">
        <f>IFERROR(_xlfn.XLOOKUP($A1388,'Base SKUs'!$E:$E,'Base SKUs'!K:K),"")</f>
        <v>9</v>
      </c>
      <c r="R1388" s="7">
        <f>IFERROR(_xlfn.XLOOKUP($A1388,'Base SKUs'!$E:$E,'Base SKUs'!S:S),"")</f>
        <v>7.182E-3</v>
      </c>
      <c r="S1388" s="8">
        <f t="shared" si="107"/>
        <v>6.4638000000000001E-2</v>
      </c>
      <c r="T1388" s="7">
        <f>IFERROR(_xlfn.XLOOKUP($A1388,'Base SKUs'!$E:$E,'Base SKUs'!R:R),"")</f>
        <v>1233.3979999999999</v>
      </c>
      <c r="U1388" s="15">
        <f t="shared" si="108"/>
        <v>80</v>
      </c>
      <c r="V1388" t="str">
        <f t="shared" si="109"/>
        <v>Miami</v>
      </c>
    </row>
    <row r="1389" spans="1:22" x14ac:dyDescent="0.2">
      <c r="A1389" t="s">
        <v>1875</v>
      </c>
      <c r="B1389" s="5">
        <v>3</v>
      </c>
      <c r="C1389" s="5">
        <v>0</v>
      </c>
      <c r="D1389" s="5">
        <f t="shared" si="105"/>
        <v>3</v>
      </c>
      <c r="E1389" s="6">
        <v>9.7832000000000008</v>
      </c>
      <c r="F1389" s="6">
        <f t="shared" si="106"/>
        <v>29.349600000000002</v>
      </c>
      <c r="G1389" t="s">
        <v>24</v>
      </c>
      <c r="H1389">
        <v>9008</v>
      </c>
      <c r="I1389" t="str">
        <f>IFERROR(_xlfn.XLOOKUP($A1389,'Base SKUs'!$E:$E,'Base SKUs'!A:A),"")</f>
        <v>Scandinavian Pine</v>
      </c>
      <c r="J1389" t="str">
        <f>IFERROR(_xlfn.XLOOKUP($A1389,'Base SKUs'!$E:$E,'Base SKUs'!B:B),"")</f>
        <v>Scandinavian Pine 1x6</v>
      </c>
      <c r="K1389" t="str">
        <f>IFERROR(_xlfn.XLOOKUP($A1389,'Base SKUs'!$E:$E,'Base SKUs'!C:C),"")</f>
        <v>Long</v>
      </c>
      <c r="L1389" t="str">
        <f>IFERROR(_xlfn.XLOOKUP($A1389,'Base SKUs'!$E:$E,'Base SKUs'!D:D),"")</f>
        <v>Thermowood</v>
      </c>
      <c r="M1389" t="str">
        <f>IFERROR(_xlfn.XLOOKUP($A1389,'Base SKUs'!$E:$E,'Base SKUs'!G:G),"")</f>
        <v>Maximo Thermo Scandinavian Pine</v>
      </c>
      <c r="N1389" t="str">
        <f>IFERROR(_xlfn.XLOOKUP($A1389,'Base SKUs'!$E:$E,'Base SKUs'!H:H),"")</f>
        <v>VJoint - Square Back</v>
      </c>
      <c r="O1389" t="str">
        <f>IFERROR(_xlfn.XLOOKUP($A1389,'Base SKUs'!$E:$E,'Base SKUs'!I:I),"")</f>
        <v>-</v>
      </c>
      <c r="P1389" t="str">
        <f>IFERROR(_xlfn.XLOOKUP($A1389,'Base SKUs'!$E:$E,'Base SKUs'!J:J),"")</f>
        <v>1x6</v>
      </c>
      <c r="Q1389">
        <f>IFERROR(_xlfn.XLOOKUP($A1389,'Base SKUs'!$E:$E,'Base SKUs'!K:K),"")</f>
        <v>9</v>
      </c>
      <c r="R1389" s="7">
        <f>IFERROR(_xlfn.XLOOKUP($A1389,'Base SKUs'!$E:$E,'Base SKUs'!S:S),"")</f>
        <v>7.182E-3</v>
      </c>
      <c r="S1389" s="8">
        <f t="shared" si="107"/>
        <v>2.1545999999999999E-2</v>
      </c>
      <c r="T1389" s="7">
        <f>IFERROR(_xlfn.XLOOKUP($A1389,'Base SKUs'!$E:$E,'Base SKUs'!R:R),"")</f>
        <v>1233.3979999999999</v>
      </c>
      <c r="U1389" s="15">
        <f t="shared" si="108"/>
        <v>27</v>
      </c>
      <c r="V1389" t="str">
        <f t="shared" si="109"/>
        <v>Texas</v>
      </c>
    </row>
    <row r="1390" spans="1:22" x14ac:dyDescent="0.2">
      <c r="A1390" t="s">
        <v>1875</v>
      </c>
      <c r="B1390" s="5">
        <v>7</v>
      </c>
      <c r="C1390" s="5">
        <v>0</v>
      </c>
      <c r="D1390" s="5">
        <f t="shared" si="105"/>
        <v>7</v>
      </c>
      <c r="E1390" s="6">
        <v>9.7832000000000008</v>
      </c>
      <c r="F1390" s="6">
        <f t="shared" si="106"/>
        <v>68.482400000000013</v>
      </c>
      <c r="G1390" t="s">
        <v>125</v>
      </c>
      <c r="H1390">
        <v>9009</v>
      </c>
      <c r="I1390" t="str">
        <f>IFERROR(_xlfn.XLOOKUP($A1390,'Base SKUs'!$E:$E,'Base SKUs'!A:A),"")</f>
        <v>Scandinavian Pine</v>
      </c>
      <c r="J1390" t="str">
        <f>IFERROR(_xlfn.XLOOKUP($A1390,'Base SKUs'!$E:$E,'Base SKUs'!B:B),"")</f>
        <v>Scandinavian Pine 1x6</v>
      </c>
      <c r="K1390" t="str">
        <f>IFERROR(_xlfn.XLOOKUP($A1390,'Base SKUs'!$E:$E,'Base SKUs'!C:C),"")</f>
        <v>Long</v>
      </c>
      <c r="L1390" t="str">
        <f>IFERROR(_xlfn.XLOOKUP($A1390,'Base SKUs'!$E:$E,'Base SKUs'!D:D),"")</f>
        <v>Thermowood</v>
      </c>
      <c r="M1390" t="str">
        <f>IFERROR(_xlfn.XLOOKUP($A1390,'Base SKUs'!$E:$E,'Base SKUs'!G:G),"")</f>
        <v>Maximo Thermo Scandinavian Pine</v>
      </c>
      <c r="N1390" t="str">
        <f>IFERROR(_xlfn.XLOOKUP($A1390,'Base SKUs'!$E:$E,'Base SKUs'!H:H),"")</f>
        <v>VJoint - Square Back</v>
      </c>
      <c r="O1390" t="str">
        <f>IFERROR(_xlfn.XLOOKUP($A1390,'Base SKUs'!$E:$E,'Base SKUs'!I:I),"")</f>
        <v>-</v>
      </c>
      <c r="P1390" t="str">
        <f>IFERROR(_xlfn.XLOOKUP($A1390,'Base SKUs'!$E:$E,'Base SKUs'!J:J),"")</f>
        <v>1x6</v>
      </c>
      <c r="Q1390">
        <f>IFERROR(_xlfn.XLOOKUP($A1390,'Base SKUs'!$E:$E,'Base SKUs'!K:K),"")</f>
        <v>9</v>
      </c>
      <c r="R1390" s="7">
        <f>IFERROR(_xlfn.XLOOKUP($A1390,'Base SKUs'!$E:$E,'Base SKUs'!S:S),"")</f>
        <v>7.182E-3</v>
      </c>
      <c r="S1390" s="8">
        <f t="shared" si="107"/>
        <v>5.0273999999999999E-2</v>
      </c>
      <c r="T1390" s="7">
        <f>IFERROR(_xlfn.XLOOKUP($A1390,'Base SKUs'!$E:$E,'Base SKUs'!R:R),"")</f>
        <v>1233.3979999999999</v>
      </c>
      <c r="U1390" s="15">
        <f t="shared" si="108"/>
        <v>62</v>
      </c>
      <c r="V1390" t="str">
        <f t="shared" si="109"/>
        <v>Boston</v>
      </c>
    </row>
    <row r="1391" spans="1:22" x14ac:dyDescent="0.2">
      <c r="A1391" t="s">
        <v>1875</v>
      </c>
      <c r="B1391" s="5">
        <v>17</v>
      </c>
      <c r="C1391" s="5">
        <v>17</v>
      </c>
      <c r="D1391" s="5">
        <f t="shared" si="105"/>
        <v>0</v>
      </c>
      <c r="E1391" s="6">
        <v>9.7832000000000008</v>
      </c>
      <c r="F1391" s="6">
        <f t="shared" si="106"/>
        <v>166.31440000000001</v>
      </c>
      <c r="G1391" t="s">
        <v>330</v>
      </c>
      <c r="H1391">
        <v>9011</v>
      </c>
      <c r="I1391" t="str">
        <f>IFERROR(_xlfn.XLOOKUP($A1391,'Base SKUs'!$E:$E,'Base SKUs'!A:A),"")</f>
        <v>Scandinavian Pine</v>
      </c>
      <c r="J1391" t="str">
        <f>IFERROR(_xlfn.XLOOKUP($A1391,'Base SKUs'!$E:$E,'Base SKUs'!B:B),"")</f>
        <v>Scandinavian Pine 1x6</v>
      </c>
      <c r="K1391" t="str">
        <f>IFERROR(_xlfn.XLOOKUP($A1391,'Base SKUs'!$E:$E,'Base SKUs'!C:C),"")</f>
        <v>Long</v>
      </c>
      <c r="L1391" t="str">
        <f>IFERROR(_xlfn.XLOOKUP($A1391,'Base SKUs'!$E:$E,'Base SKUs'!D:D),"")</f>
        <v>Thermowood</v>
      </c>
      <c r="M1391" t="str">
        <f>IFERROR(_xlfn.XLOOKUP($A1391,'Base SKUs'!$E:$E,'Base SKUs'!G:G),"")</f>
        <v>Maximo Thermo Scandinavian Pine</v>
      </c>
      <c r="N1391" t="str">
        <f>IFERROR(_xlfn.XLOOKUP($A1391,'Base SKUs'!$E:$E,'Base SKUs'!H:H),"")</f>
        <v>VJoint - Square Back</v>
      </c>
      <c r="O1391" t="str">
        <f>IFERROR(_xlfn.XLOOKUP($A1391,'Base SKUs'!$E:$E,'Base SKUs'!I:I),"")</f>
        <v>-</v>
      </c>
      <c r="P1391" t="str">
        <f>IFERROR(_xlfn.XLOOKUP($A1391,'Base SKUs'!$E:$E,'Base SKUs'!J:J),"")</f>
        <v>1x6</v>
      </c>
      <c r="Q1391">
        <f>IFERROR(_xlfn.XLOOKUP($A1391,'Base SKUs'!$E:$E,'Base SKUs'!K:K),"")</f>
        <v>9</v>
      </c>
      <c r="R1391" s="7">
        <f>IFERROR(_xlfn.XLOOKUP($A1391,'Base SKUs'!$E:$E,'Base SKUs'!S:S),"")</f>
        <v>7.182E-3</v>
      </c>
      <c r="S1391" s="8">
        <f t="shared" si="107"/>
        <v>0</v>
      </c>
      <c r="T1391" s="7">
        <f>IFERROR(_xlfn.XLOOKUP($A1391,'Base SKUs'!$E:$E,'Base SKUs'!R:R),"")</f>
        <v>1233.3979999999999</v>
      </c>
      <c r="U1391" s="15">
        <f t="shared" si="108"/>
        <v>0</v>
      </c>
      <c r="V1391" t="str">
        <f t="shared" si="109"/>
        <v>New York</v>
      </c>
    </row>
    <row r="1392" spans="1:22" x14ac:dyDescent="0.2">
      <c r="A1392" t="s">
        <v>1877</v>
      </c>
      <c r="B1392" s="5">
        <v>324</v>
      </c>
      <c r="C1392" s="5">
        <v>0</v>
      </c>
      <c r="D1392" s="5">
        <f t="shared" si="105"/>
        <v>324</v>
      </c>
      <c r="E1392" s="6">
        <v>7.0491999999999999</v>
      </c>
      <c r="F1392" s="6">
        <f t="shared" si="106"/>
        <v>2283.9407999999999</v>
      </c>
      <c r="G1392" t="s">
        <v>17</v>
      </c>
      <c r="H1392">
        <v>9007</v>
      </c>
      <c r="I1392" t="str">
        <f>IFERROR(_xlfn.XLOOKUP($A1392,'Base SKUs'!$E:$E,'Base SKUs'!A:A),"")</f>
        <v>Scandinavian Pine</v>
      </c>
      <c r="J1392" t="str">
        <f>IFERROR(_xlfn.XLOOKUP($A1392,'Base SKUs'!$E:$E,'Base SKUs'!B:B),"")</f>
        <v>Scandinavian Pine 5/8x4</v>
      </c>
      <c r="K1392" t="str">
        <f>IFERROR(_xlfn.XLOOKUP($A1392,'Base SKUs'!$E:$E,'Base SKUs'!C:C),"")</f>
        <v>Long</v>
      </c>
      <c r="L1392" t="str">
        <f>IFERROR(_xlfn.XLOOKUP($A1392,'Base SKUs'!$E:$E,'Base SKUs'!D:D),"")</f>
        <v>Thermowood</v>
      </c>
      <c r="M1392" t="str">
        <f>IFERROR(_xlfn.XLOOKUP($A1392,'Base SKUs'!$E:$E,'Base SKUs'!G:G),"")</f>
        <v>Maximo Thermo Scandinavian Pine</v>
      </c>
      <c r="N1392" t="str">
        <f>IFERROR(_xlfn.XLOOKUP($A1392,'Base SKUs'!$E:$E,'Base SKUs'!H:H),"")</f>
        <v>VJoint - Square Back</v>
      </c>
      <c r="O1392" t="str">
        <f>IFERROR(_xlfn.XLOOKUP($A1392,'Base SKUs'!$E:$E,'Base SKUs'!I:I),"")</f>
        <v>-</v>
      </c>
      <c r="P1392" t="str">
        <f>IFERROR(_xlfn.XLOOKUP($A1392,'Base SKUs'!$E:$E,'Base SKUs'!J:J),"")</f>
        <v>5/8x4</v>
      </c>
      <c r="Q1392">
        <f>IFERROR(_xlfn.XLOOKUP($A1392,'Base SKUs'!$E:$E,'Base SKUs'!K:K),"")</f>
        <v>11</v>
      </c>
      <c r="R1392" s="7">
        <f>IFERROR(_xlfn.XLOOKUP($A1392,'Base SKUs'!$E:$E,'Base SKUs'!S:S),"")</f>
        <v>4.5539999999999999E-3</v>
      </c>
      <c r="S1392" s="8">
        <f t="shared" si="107"/>
        <v>1.4754959999999999</v>
      </c>
      <c r="T1392" s="7">
        <f>IFERROR(_xlfn.XLOOKUP($A1392,'Base SKUs'!$E:$E,'Base SKUs'!R:R),"")</f>
        <v>2377.42</v>
      </c>
      <c r="U1392" s="15">
        <f t="shared" si="108"/>
        <v>3508</v>
      </c>
      <c r="V1392" t="str">
        <f t="shared" si="109"/>
        <v>Miami</v>
      </c>
    </row>
    <row r="1393" spans="1:22" x14ac:dyDescent="0.2">
      <c r="A1393" t="s">
        <v>1877</v>
      </c>
      <c r="B1393" s="5">
        <v>770</v>
      </c>
      <c r="C1393" s="5">
        <v>0</v>
      </c>
      <c r="D1393" s="5">
        <f t="shared" si="105"/>
        <v>770</v>
      </c>
      <c r="E1393" s="6">
        <v>6.3875999999999999</v>
      </c>
      <c r="F1393" s="6">
        <f t="shared" si="106"/>
        <v>4918.4520000000002</v>
      </c>
      <c r="G1393" t="s">
        <v>24</v>
      </c>
      <c r="H1393">
        <v>9008</v>
      </c>
      <c r="I1393" t="str">
        <f>IFERROR(_xlfn.XLOOKUP($A1393,'Base SKUs'!$E:$E,'Base SKUs'!A:A),"")</f>
        <v>Scandinavian Pine</v>
      </c>
      <c r="J1393" t="str">
        <f>IFERROR(_xlfn.XLOOKUP($A1393,'Base SKUs'!$E:$E,'Base SKUs'!B:B),"")</f>
        <v>Scandinavian Pine 5/8x4</v>
      </c>
      <c r="K1393" t="str">
        <f>IFERROR(_xlfn.XLOOKUP($A1393,'Base SKUs'!$E:$E,'Base SKUs'!C:C),"")</f>
        <v>Long</v>
      </c>
      <c r="L1393" t="str">
        <f>IFERROR(_xlfn.XLOOKUP($A1393,'Base SKUs'!$E:$E,'Base SKUs'!D:D),"")</f>
        <v>Thermowood</v>
      </c>
      <c r="M1393" t="str">
        <f>IFERROR(_xlfn.XLOOKUP($A1393,'Base SKUs'!$E:$E,'Base SKUs'!G:G),"")</f>
        <v>Maximo Thermo Scandinavian Pine</v>
      </c>
      <c r="N1393" t="str">
        <f>IFERROR(_xlfn.XLOOKUP($A1393,'Base SKUs'!$E:$E,'Base SKUs'!H:H),"")</f>
        <v>VJoint - Square Back</v>
      </c>
      <c r="O1393" t="str">
        <f>IFERROR(_xlfn.XLOOKUP($A1393,'Base SKUs'!$E:$E,'Base SKUs'!I:I),"")</f>
        <v>-</v>
      </c>
      <c r="P1393" t="str">
        <f>IFERROR(_xlfn.XLOOKUP($A1393,'Base SKUs'!$E:$E,'Base SKUs'!J:J),"")</f>
        <v>5/8x4</v>
      </c>
      <c r="Q1393">
        <f>IFERROR(_xlfn.XLOOKUP($A1393,'Base SKUs'!$E:$E,'Base SKUs'!K:K),"")</f>
        <v>11</v>
      </c>
      <c r="R1393" s="7">
        <f>IFERROR(_xlfn.XLOOKUP($A1393,'Base SKUs'!$E:$E,'Base SKUs'!S:S),"")</f>
        <v>4.5539999999999999E-3</v>
      </c>
      <c r="S1393" s="8">
        <f t="shared" si="107"/>
        <v>3.50658</v>
      </c>
      <c r="T1393" s="7">
        <f>IFERROR(_xlfn.XLOOKUP($A1393,'Base SKUs'!$E:$E,'Base SKUs'!R:R),"")</f>
        <v>2377.42</v>
      </c>
      <c r="U1393" s="15">
        <f t="shared" si="108"/>
        <v>8337</v>
      </c>
      <c r="V1393" t="str">
        <f t="shared" si="109"/>
        <v>Texas</v>
      </c>
    </row>
    <row r="1394" spans="1:22" x14ac:dyDescent="0.2">
      <c r="A1394" t="s">
        <v>1879</v>
      </c>
      <c r="B1394" s="5">
        <v>1674</v>
      </c>
      <c r="C1394" s="5">
        <v>0</v>
      </c>
      <c r="D1394" s="5">
        <f t="shared" si="105"/>
        <v>1674</v>
      </c>
      <c r="E1394" s="6">
        <v>7.69</v>
      </c>
      <c r="F1394" s="6">
        <f t="shared" si="106"/>
        <v>12873.060000000001</v>
      </c>
      <c r="G1394" t="s">
        <v>17</v>
      </c>
      <c r="H1394">
        <v>9007</v>
      </c>
      <c r="I1394" t="str">
        <f>IFERROR(_xlfn.XLOOKUP($A1394,'Base SKUs'!$E:$E,'Base SKUs'!A:A),"")</f>
        <v>Scandinavian Pine</v>
      </c>
      <c r="J1394" t="str">
        <f>IFERROR(_xlfn.XLOOKUP($A1394,'Base SKUs'!$E:$E,'Base SKUs'!B:B),"")</f>
        <v>Scandinavian Pine 5/8x4</v>
      </c>
      <c r="K1394" t="str">
        <f>IFERROR(_xlfn.XLOOKUP($A1394,'Base SKUs'!$E:$E,'Base SKUs'!C:C),"")</f>
        <v>Long</v>
      </c>
      <c r="L1394" t="str">
        <f>IFERROR(_xlfn.XLOOKUP($A1394,'Base SKUs'!$E:$E,'Base SKUs'!D:D),"")</f>
        <v>Thermowood</v>
      </c>
      <c r="M1394" t="str">
        <f>IFERROR(_xlfn.XLOOKUP($A1394,'Base SKUs'!$E:$E,'Base SKUs'!G:G),"")</f>
        <v>Maximo Thermo Scandinavian Pine</v>
      </c>
      <c r="N1394" t="str">
        <f>IFERROR(_xlfn.XLOOKUP($A1394,'Base SKUs'!$E:$E,'Base SKUs'!H:H),"")</f>
        <v>VJoint - Square Back</v>
      </c>
      <c r="O1394" t="str">
        <f>IFERROR(_xlfn.XLOOKUP($A1394,'Base SKUs'!$E:$E,'Base SKUs'!I:I),"")</f>
        <v>-</v>
      </c>
      <c r="P1394" t="str">
        <f>IFERROR(_xlfn.XLOOKUP($A1394,'Base SKUs'!$E:$E,'Base SKUs'!J:J),"")</f>
        <v>5/8x4</v>
      </c>
      <c r="Q1394">
        <f>IFERROR(_xlfn.XLOOKUP($A1394,'Base SKUs'!$E:$E,'Base SKUs'!K:K),"")</f>
        <v>12</v>
      </c>
      <c r="R1394" s="7">
        <f>IFERROR(_xlfn.XLOOKUP($A1394,'Base SKUs'!$E:$E,'Base SKUs'!S:S),"")</f>
        <v>4.9680000000000002E-3</v>
      </c>
      <c r="S1394" s="8">
        <f t="shared" si="107"/>
        <v>8.3164320000000007</v>
      </c>
      <c r="T1394" s="7">
        <f>IFERROR(_xlfn.XLOOKUP($A1394,'Base SKUs'!$E:$E,'Base SKUs'!R:R),"")</f>
        <v>2377.42</v>
      </c>
      <c r="U1394" s="15">
        <f t="shared" si="108"/>
        <v>19772</v>
      </c>
      <c r="V1394" t="str">
        <f t="shared" si="109"/>
        <v>Miami</v>
      </c>
    </row>
    <row r="1395" spans="1:22" x14ac:dyDescent="0.2">
      <c r="A1395" t="s">
        <v>1879</v>
      </c>
      <c r="B1395" s="5">
        <v>1988</v>
      </c>
      <c r="C1395" s="5">
        <v>0</v>
      </c>
      <c r="D1395" s="5">
        <f t="shared" si="105"/>
        <v>1988</v>
      </c>
      <c r="E1395" s="6">
        <v>7.2058</v>
      </c>
      <c r="F1395" s="6">
        <f t="shared" si="106"/>
        <v>14325.1304</v>
      </c>
      <c r="G1395" t="s">
        <v>24</v>
      </c>
      <c r="H1395">
        <v>9008</v>
      </c>
      <c r="I1395" t="str">
        <f>IFERROR(_xlfn.XLOOKUP($A1395,'Base SKUs'!$E:$E,'Base SKUs'!A:A),"")</f>
        <v>Scandinavian Pine</v>
      </c>
      <c r="J1395" t="str">
        <f>IFERROR(_xlfn.XLOOKUP($A1395,'Base SKUs'!$E:$E,'Base SKUs'!B:B),"")</f>
        <v>Scandinavian Pine 5/8x4</v>
      </c>
      <c r="K1395" t="str">
        <f>IFERROR(_xlfn.XLOOKUP($A1395,'Base SKUs'!$E:$E,'Base SKUs'!C:C),"")</f>
        <v>Long</v>
      </c>
      <c r="L1395" t="str">
        <f>IFERROR(_xlfn.XLOOKUP($A1395,'Base SKUs'!$E:$E,'Base SKUs'!D:D),"")</f>
        <v>Thermowood</v>
      </c>
      <c r="M1395" t="str">
        <f>IFERROR(_xlfn.XLOOKUP($A1395,'Base SKUs'!$E:$E,'Base SKUs'!G:G),"")</f>
        <v>Maximo Thermo Scandinavian Pine</v>
      </c>
      <c r="N1395" t="str">
        <f>IFERROR(_xlfn.XLOOKUP($A1395,'Base SKUs'!$E:$E,'Base SKUs'!H:H),"")</f>
        <v>VJoint - Square Back</v>
      </c>
      <c r="O1395" t="str">
        <f>IFERROR(_xlfn.XLOOKUP($A1395,'Base SKUs'!$E:$E,'Base SKUs'!I:I),"")</f>
        <v>-</v>
      </c>
      <c r="P1395" t="str">
        <f>IFERROR(_xlfn.XLOOKUP($A1395,'Base SKUs'!$E:$E,'Base SKUs'!J:J),"")</f>
        <v>5/8x4</v>
      </c>
      <c r="Q1395">
        <f>IFERROR(_xlfn.XLOOKUP($A1395,'Base SKUs'!$E:$E,'Base SKUs'!K:K),"")</f>
        <v>12</v>
      </c>
      <c r="R1395" s="7">
        <f>IFERROR(_xlfn.XLOOKUP($A1395,'Base SKUs'!$E:$E,'Base SKUs'!S:S),"")</f>
        <v>4.9680000000000002E-3</v>
      </c>
      <c r="S1395" s="8">
        <f t="shared" si="107"/>
        <v>9.8763839999999998</v>
      </c>
      <c r="T1395" s="7">
        <f>IFERROR(_xlfn.XLOOKUP($A1395,'Base SKUs'!$E:$E,'Base SKUs'!R:R),"")</f>
        <v>2377.42</v>
      </c>
      <c r="U1395" s="15">
        <f t="shared" si="108"/>
        <v>23480</v>
      </c>
      <c r="V1395" t="str">
        <f t="shared" si="109"/>
        <v>Texas</v>
      </c>
    </row>
    <row r="1396" spans="1:22" x14ac:dyDescent="0.2">
      <c r="A1396" t="s">
        <v>1881</v>
      </c>
      <c r="B1396" s="5">
        <v>7469</v>
      </c>
      <c r="C1396" s="5">
        <v>0</v>
      </c>
      <c r="D1396" s="5">
        <f t="shared" si="105"/>
        <v>7469</v>
      </c>
      <c r="E1396" s="6">
        <v>8.3308999999999997</v>
      </c>
      <c r="F1396" s="6">
        <f t="shared" si="106"/>
        <v>62223.492099999996</v>
      </c>
      <c r="G1396" t="s">
        <v>17</v>
      </c>
      <c r="H1396">
        <v>9007</v>
      </c>
      <c r="I1396" t="str">
        <f>IFERROR(_xlfn.XLOOKUP($A1396,'Base SKUs'!$E:$E,'Base SKUs'!A:A),"")</f>
        <v>Scandinavian Pine</v>
      </c>
      <c r="J1396" t="str">
        <f>IFERROR(_xlfn.XLOOKUP($A1396,'Base SKUs'!$E:$E,'Base SKUs'!B:B),"")</f>
        <v>Scandinavian Pine 5/8x4</v>
      </c>
      <c r="K1396" t="str">
        <f>IFERROR(_xlfn.XLOOKUP($A1396,'Base SKUs'!$E:$E,'Base SKUs'!C:C),"")</f>
        <v>Long</v>
      </c>
      <c r="L1396" t="str">
        <f>IFERROR(_xlfn.XLOOKUP($A1396,'Base SKUs'!$E:$E,'Base SKUs'!D:D),"")</f>
        <v>Thermowood</v>
      </c>
      <c r="M1396" t="str">
        <f>IFERROR(_xlfn.XLOOKUP($A1396,'Base SKUs'!$E:$E,'Base SKUs'!G:G),"")</f>
        <v>Maximo Thermo Scandinavian Pine</v>
      </c>
      <c r="N1396" t="str">
        <f>IFERROR(_xlfn.XLOOKUP($A1396,'Base SKUs'!$E:$E,'Base SKUs'!H:H),"")</f>
        <v>VJoint - Square Back</v>
      </c>
      <c r="O1396" t="str">
        <f>IFERROR(_xlfn.XLOOKUP($A1396,'Base SKUs'!$E:$E,'Base SKUs'!I:I),"")</f>
        <v>-</v>
      </c>
      <c r="P1396" t="str">
        <f>IFERROR(_xlfn.XLOOKUP($A1396,'Base SKUs'!$E:$E,'Base SKUs'!J:J),"")</f>
        <v>5/8x4</v>
      </c>
      <c r="Q1396">
        <f>IFERROR(_xlfn.XLOOKUP($A1396,'Base SKUs'!$E:$E,'Base SKUs'!K:K),"")</f>
        <v>13</v>
      </c>
      <c r="R1396" s="7">
        <f>IFERROR(_xlfn.XLOOKUP($A1396,'Base SKUs'!$E:$E,'Base SKUs'!S:S),"")</f>
        <v>5.3820000000000005E-3</v>
      </c>
      <c r="S1396" s="8">
        <f t="shared" si="107"/>
        <v>40.198158000000006</v>
      </c>
      <c r="T1396" s="7">
        <f>IFERROR(_xlfn.XLOOKUP($A1396,'Base SKUs'!$E:$E,'Base SKUs'!R:R),"")</f>
        <v>2377.42</v>
      </c>
      <c r="U1396" s="15">
        <f t="shared" si="108"/>
        <v>95568</v>
      </c>
      <c r="V1396" t="str">
        <f t="shared" si="109"/>
        <v>Miami</v>
      </c>
    </row>
    <row r="1397" spans="1:22" x14ac:dyDescent="0.2">
      <c r="A1397" t="s">
        <v>1881</v>
      </c>
      <c r="B1397" s="5">
        <v>3388</v>
      </c>
      <c r="C1397" s="5">
        <v>0</v>
      </c>
      <c r="D1397" s="5">
        <f t="shared" si="105"/>
        <v>3388</v>
      </c>
      <c r="E1397" s="6">
        <v>7.8457999999999997</v>
      </c>
      <c r="F1397" s="6">
        <f t="shared" si="106"/>
        <v>26581.570400000001</v>
      </c>
      <c r="G1397" t="s">
        <v>24</v>
      </c>
      <c r="H1397">
        <v>9008</v>
      </c>
      <c r="I1397" t="str">
        <f>IFERROR(_xlfn.XLOOKUP($A1397,'Base SKUs'!$E:$E,'Base SKUs'!A:A),"")</f>
        <v>Scandinavian Pine</v>
      </c>
      <c r="J1397" t="str">
        <f>IFERROR(_xlfn.XLOOKUP($A1397,'Base SKUs'!$E:$E,'Base SKUs'!B:B),"")</f>
        <v>Scandinavian Pine 5/8x4</v>
      </c>
      <c r="K1397" t="str">
        <f>IFERROR(_xlfn.XLOOKUP($A1397,'Base SKUs'!$E:$E,'Base SKUs'!C:C),"")</f>
        <v>Long</v>
      </c>
      <c r="L1397" t="str">
        <f>IFERROR(_xlfn.XLOOKUP($A1397,'Base SKUs'!$E:$E,'Base SKUs'!D:D),"")</f>
        <v>Thermowood</v>
      </c>
      <c r="M1397" t="str">
        <f>IFERROR(_xlfn.XLOOKUP($A1397,'Base SKUs'!$E:$E,'Base SKUs'!G:G),"")</f>
        <v>Maximo Thermo Scandinavian Pine</v>
      </c>
      <c r="N1397" t="str">
        <f>IFERROR(_xlfn.XLOOKUP($A1397,'Base SKUs'!$E:$E,'Base SKUs'!H:H),"")</f>
        <v>VJoint - Square Back</v>
      </c>
      <c r="O1397" t="str">
        <f>IFERROR(_xlfn.XLOOKUP($A1397,'Base SKUs'!$E:$E,'Base SKUs'!I:I),"")</f>
        <v>-</v>
      </c>
      <c r="P1397" t="str">
        <f>IFERROR(_xlfn.XLOOKUP($A1397,'Base SKUs'!$E:$E,'Base SKUs'!J:J),"")</f>
        <v>5/8x4</v>
      </c>
      <c r="Q1397">
        <f>IFERROR(_xlfn.XLOOKUP($A1397,'Base SKUs'!$E:$E,'Base SKUs'!K:K),"")</f>
        <v>13</v>
      </c>
      <c r="R1397" s="7">
        <f>IFERROR(_xlfn.XLOOKUP($A1397,'Base SKUs'!$E:$E,'Base SKUs'!S:S),"")</f>
        <v>5.3820000000000005E-3</v>
      </c>
      <c r="S1397" s="8">
        <f t="shared" si="107"/>
        <v>18.234216</v>
      </c>
      <c r="T1397" s="7">
        <f>IFERROR(_xlfn.XLOOKUP($A1397,'Base SKUs'!$E:$E,'Base SKUs'!R:R),"")</f>
        <v>2377.42</v>
      </c>
      <c r="U1397" s="15">
        <f t="shared" si="108"/>
        <v>43350</v>
      </c>
      <c r="V1397" t="str">
        <f t="shared" si="109"/>
        <v>Texas</v>
      </c>
    </row>
    <row r="1398" spans="1:22" x14ac:dyDescent="0.2">
      <c r="A1398" t="s">
        <v>1881</v>
      </c>
      <c r="B1398" s="5">
        <v>145</v>
      </c>
      <c r="C1398" s="5">
        <v>0</v>
      </c>
      <c r="D1398" s="5">
        <f t="shared" si="105"/>
        <v>145</v>
      </c>
      <c r="E1398" s="6">
        <v>8.3308999999999997</v>
      </c>
      <c r="F1398" s="6">
        <f t="shared" si="106"/>
        <v>1207.9804999999999</v>
      </c>
      <c r="G1398" t="s">
        <v>125</v>
      </c>
      <c r="H1398">
        <v>9009</v>
      </c>
      <c r="I1398" t="str">
        <f>IFERROR(_xlfn.XLOOKUP($A1398,'Base SKUs'!$E:$E,'Base SKUs'!A:A),"")</f>
        <v>Scandinavian Pine</v>
      </c>
      <c r="J1398" t="str">
        <f>IFERROR(_xlfn.XLOOKUP($A1398,'Base SKUs'!$E:$E,'Base SKUs'!B:B),"")</f>
        <v>Scandinavian Pine 5/8x4</v>
      </c>
      <c r="K1398" t="str">
        <f>IFERROR(_xlfn.XLOOKUP($A1398,'Base SKUs'!$E:$E,'Base SKUs'!C:C),"")</f>
        <v>Long</v>
      </c>
      <c r="L1398" t="str">
        <f>IFERROR(_xlfn.XLOOKUP($A1398,'Base SKUs'!$E:$E,'Base SKUs'!D:D),"")</f>
        <v>Thermowood</v>
      </c>
      <c r="M1398" t="str">
        <f>IFERROR(_xlfn.XLOOKUP($A1398,'Base SKUs'!$E:$E,'Base SKUs'!G:G),"")</f>
        <v>Maximo Thermo Scandinavian Pine</v>
      </c>
      <c r="N1398" t="str">
        <f>IFERROR(_xlfn.XLOOKUP($A1398,'Base SKUs'!$E:$E,'Base SKUs'!H:H),"")</f>
        <v>VJoint - Square Back</v>
      </c>
      <c r="O1398" t="str">
        <f>IFERROR(_xlfn.XLOOKUP($A1398,'Base SKUs'!$E:$E,'Base SKUs'!I:I),"")</f>
        <v>-</v>
      </c>
      <c r="P1398" t="str">
        <f>IFERROR(_xlfn.XLOOKUP($A1398,'Base SKUs'!$E:$E,'Base SKUs'!J:J),"")</f>
        <v>5/8x4</v>
      </c>
      <c r="Q1398">
        <f>IFERROR(_xlfn.XLOOKUP($A1398,'Base SKUs'!$E:$E,'Base SKUs'!K:K),"")</f>
        <v>13</v>
      </c>
      <c r="R1398" s="7">
        <f>IFERROR(_xlfn.XLOOKUP($A1398,'Base SKUs'!$E:$E,'Base SKUs'!S:S),"")</f>
        <v>5.3820000000000005E-3</v>
      </c>
      <c r="S1398" s="8">
        <f t="shared" si="107"/>
        <v>0.78039000000000003</v>
      </c>
      <c r="T1398" s="7">
        <f>IFERROR(_xlfn.XLOOKUP($A1398,'Base SKUs'!$E:$E,'Base SKUs'!R:R),"")</f>
        <v>2377.42</v>
      </c>
      <c r="U1398" s="15">
        <f t="shared" si="108"/>
        <v>1855</v>
      </c>
      <c r="V1398" t="str">
        <f t="shared" si="109"/>
        <v>Boston</v>
      </c>
    </row>
    <row r="1399" spans="1:22" x14ac:dyDescent="0.2">
      <c r="A1399" t="s">
        <v>1881</v>
      </c>
      <c r="B1399" s="5">
        <v>550</v>
      </c>
      <c r="C1399" s="5">
        <v>0</v>
      </c>
      <c r="D1399" s="5">
        <f t="shared" si="105"/>
        <v>550</v>
      </c>
      <c r="E1399" s="6">
        <v>8.3308999999999997</v>
      </c>
      <c r="F1399" s="6">
        <f t="shared" si="106"/>
        <v>4581.9949999999999</v>
      </c>
      <c r="G1399" t="s">
        <v>330</v>
      </c>
      <c r="H1399">
        <v>9011</v>
      </c>
      <c r="I1399" t="str">
        <f>IFERROR(_xlfn.XLOOKUP($A1399,'Base SKUs'!$E:$E,'Base SKUs'!A:A),"")</f>
        <v>Scandinavian Pine</v>
      </c>
      <c r="J1399" t="str">
        <f>IFERROR(_xlfn.XLOOKUP($A1399,'Base SKUs'!$E:$E,'Base SKUs'!B:B),"")</f>
        <v>Scandinavian Pine 5/8x4</v>
      </c>
      <c r="K1399" t="str">
        <f>IFERROR(_xlfn.XLOOKUP($A1399,'Base SKUs'!$E:$E,'Base SKUs'!C:C),"")</f>
        <v>Long</v>
      </c>
      <c r="L1399" t="str">
        <f>IFERROR(_xlfn.XLOOKUP($A1399,'Base SKUs'!$E:$E,'Base SKUs'!D:D),"")</f>
        <v>Thermowood</v>
      </c>
      <c r="M1399" t="str">
        <f>IFERROR(_xlfn.XLOOKUP($A1399,'Base SKUs'!$E:$E,'Base SKUs'!G:G),"")</f>
        <v>Maximo Thermo Scandinavian Pine</v>
      </c>
      <c r="N1399" t="str">
        <f>IFERROR(_xlfn.XLOOKUP($A1399,'Base SKUs'!$E:$E,'Base SKUs'!H:H),"")</f>
        <v>VJoint - Square Back</v>
      </c>
      <c r="O1399" t="str">
        <f>IFERROR(_xlfn.XLOOKUP($A1399,'Base SKUs'!$E:$E,'Base SKUs'!I:I),"")</f>
        <v>-</v>
      </c>
      <c r="P1399" t="str">
        <f>IFERROR(_xlfn.XLOOKUP($A1399,'Base SKUs'!$E:$E,'Base SKUs'!J:J),"")</f>
        <v>5/8x4</v>
      </c>
      <c r="Q1399">
        <f>IFERROR(_xlfn.XLOOKUP($A1399,'Base SKUs'!$E:$E,'Base SKUs'!K:K),"")</f>
        <v>13</v>
      </c>
      <c r="R1399" s="7">
        <f>IFERROR(_xlfn.XLOOKUP($A1399,'Base SKUs'!$E:$E,'Base SKUs'!S:S),"")</f>
        <v>5.3820000000000005E-3</v>
      </c>
      <c r="S1399" s="8">
        <f t="shared" si="107"/>
        <v>2.9601000000000002</v>
      </c>
      <c r="T1399" s="7">
        <f>IFERROR(_xlfn.XLOOKUP($A1399,'Base SKUs'!$E:$E,'Base SKUs'!R:R),"")</f>
        <v>2377.42</v>
      </c>
      <c r="U1399" s="15">
        <f t="shared" si="108"/>
        <v>7037</v>
      </c>
      <c r="V1399" t="str">
        <f t="shared" si="109"/>
        <v>New York</v>
      </c>
    </row>
    <row r="1400" spans="1:22" x14ac:dyDescent="0.2">
      <c r="A1400" t="s">
        <v>1883</v>
      </c>
      <c r="B1400" s="5">
        <v>1252</v>
      </c>
      <c r="C1400" s="5">
        <v>0</v>
      </c>
      <c r="D1400" s="5">
        <f t="shared" si="105"/>
        <v>1252</v>
      </c>
      <c r="E1400" s="6">
        <v>8.9717000000000002</v>
      </c>
      <c r="F1400" s="6">
        <f t="shared" si="106"/>
        <v>11232.5684</v>
      </c>
      <c r="G1400" t="s">
        <v>17</v>
      </c>
      <c r="H1400">
        <v>9007</v>
      </c>
      <c r="I1400" t="str">
        <f>IFERROR(_xlfn.XLOOKUP($A1400,'Base SKUs'!$E:$E,'Base SKUs'!A:A),"")</f>
        <v>Scandinavian Pine</v>
      </c>
      <c r="J1400" t="str">
        <f>IFERROR(_xlfn.XLOOKUP($A1400,'Base SKUs'!$E:$E,'Base SKUs'!B:B),"")</f>
        <v>Scandinavian Pine 5/8x4</v>
      </c>
      <c r="K1400" t="str">
        <f>IFERROR(_xlfn.XLOOKUP($A1400,'Base SKUs'!$E:$E,'Base SKUs'!C:C),"")</f>
        <v>Long</v>
      </c>
      <c r="L1400" t="str">
        <f>IFERROR(_xlfn.XLOOKUP($A1400,'Base SKUs'!$E:$E,'Base SKUs'!D:D),"")</f>
        <v>Thermowood</v>
      </c>
      <c r="M1400" t="str">
        <f>IFERROR(_xlfn.XLOOKUP($A1400,'Base SKUs'!$E:$E,'Base SKUs'!G:G),"")</f>
        <v>Maximo Thermo Scandinavian Pine</v>
      </c>
      <c r="N1400" t="str">
        <f>IFERROR(_xlfn.XLOOKUP($A1400,'Base SKUs'!$E:$E,'Base SKUs'!H:H),"")</f>
        <v>VJoint - Square Back</v>
      </c>
      <c r="O1400" t="str">
        <f>IFERROR(_xlfn.XLOOKUP($A1400,'Base SKUs'!$E:$E,'Base SKUs'!I:I),"")</f>
        <v>-</v>
      </c>
      <c r="P1400" t="str">
        <f>IFERROR(_xlfn.XLOOKUP($A1400,'Base SKUs'!$E:$E,'Base SKUs'!J:J),"")</f>
        <v>5/8x4</v>
      </c>
      <c r="Q1400">
        <f>IFERROR(_xlfn.XLOOKUP($A1400,'Base SKUs'!$E:$E,'Base SKUs'!K:K),"")</f>
        <v>14</v>
      </c>
      <c r="R1400" s="7">
        <f>IFERROR(_xlfn.XLOOKUP($A1400,'Base SKUs'!$E:$E,'Base SKUs'!S:S),"")</f>
        <v>5.7959999999999999E-3</v>
      </c>
      <c r="S1400" s="8">
        <f t="shared" si="107"/>
        <v>7.2565919999999995</v>
      </c>
      <c r="T1400" s="7">
        <f>IFERROR(_xlfn.XLOOKUP($A1400,'Base SKUs'!$E:$E,'Base SKUs'!R:R),"")</f>
        <v>2377.42</v>
      </c>
      <c r="U1400" s="15">
        <f t="shared" si="108"/>
        <v>17252</v>
      </c>
      <c r="V1400" t="str">
        <f t="shared" si="109"/>
        <v>Miami</v>
      </c>
    </row>
    <row r="1401" spans="1:22" x14ac:dyDescent="0.2">
      <c r="A1401" t="s">
        <v>1885</v>
      </c>
      <c r="B1401" s="5">
        <v>1035</v>
      </c>
      <c r="C1401" s="5">
        <v>0</v>
      </c>
      <c r="D1401" s="5">
        <f t="shared" si="105"/>
        <v>1035</v>
      </c>
      <c r="E1401" s="6">
        <v>9.6126000000000005</v>
      </c>
      <c r="F1401" s="6">
        <f t="shared" si="106"/>
        <v>9949.0410000000011</v>
      </c>
      <c r="G1401" t="s">
        <v>17</v>
      </c>
      <c r="H1401">
        <v>9007</v>
      </c>
      <c r="I1401" t="str">
        <f>IFERROR(_xlfn.XLOOKUP($A1401,'Base SKUs'!$E:$E,'Base SKUs'!A:A),"")</f>
        <v>Scandinavian Pine</v>
      </c>
      <c r="J1401" t="str">
        <f>IFERROR(_xlfn.XLOOKUP($A1401,'Base SKUs'!$E:$E,'Base SKUs'!B:B),"")</f>
        <v>Scandinavian Pine 5/8x4</v>
      </c>
      <c r="K1401" t="str">
        <f>IFERROR(_xlfn.XLOOKUP($A1401,'Base SKUs'!$E:$E,'Base SKUs'!C:C),"")</f>
        <v>Long</v>
      </c>
      <c r="L1401" t="str">
        <f>IFERROR(_xlfn.XLOOKUP($A1401,'Base SKUs'!$E:$E,'Base SKUs'!D:D),"")</f>
        <v>Thermowood</v>
      </c>
      <c r="M1401" t="str">
        <f>IFERROR(_xlfn.XLOOKUP($A1401,'Base SKUs'!$E:$E,'Base SKUs'!G:G),"")</f>
        <v>Maximo Thermo Scandinavian Pine</v>
      </c>
      <c r="N1401" t="str">
        <f>IFERROR(_xlfn.XLOOKUP($A1401,'Base SKUs'!$E:$E,'Base SKUs'!H:H),"")</f>
        <v>VJoint - Square Back</v>
      </c>
      <c r="O1401" t="str">
        <f>IFERROR(_xlfn.XLOOKUP($A1401,'Base SKUs'!$E:$E,'Base SKUs'!I:I),"")</f>
        <v>-</v>
      </c>
      <c r="P1401" t="str">
        <f>IFERROR(_xlfn.XLOOKUP($A1401,'Base SKUs'!$E:$E,'Base SKUs'!J:J),"")</f>
        <v>5/8x4</v>
      </c>
      <c r="Q1401">
        <f>IFERROR(_xlfn.XLOOKUP($A1401,'Base SKUs'!$E:$E,'Base SKUs'!K:K),"")</f>
        <v>15</v>
      </c>
      <c r="R1401" s="7">
        <f>IFERROR(_xlfn.XLOOKUP($A1401,'Base SKUs'!$E:$E,'Base SKUs'!S:S),"")</f>
        <v>6.2100000000000011E-3</v>
      </c>
      <c r="S1401" s="8">
        <f t="shared" si="107"/>
        <v>6.4273500000000015</v>
      </c>
      <c r="T1401" s="7">
        <f>IFERROR(_xlfn.XLOOKUP($A1401,'Base SKUs'!$E:$E,'Base SKUs'!R:R),"")</f>
        <v>2377.42</v>
      </c>
      <c r="U1401" s="15">
        <f t="shared" si="108"/>
        <v>15281</v>
      </c>
      <c r="V1401" t="str">
        <f t="shared" si="109"/>
        <v>Miami</v>
      </c>
    </row>
    <row r="1402" spans="1:22" x14ac:dyDescent="0.2">
      <c r="A1402" t="s">
        <v>1885</v>
      </c>
      <c r="B1402" s="5">
        <v>28</v>
      </c>
      <c r="C1402" s="5">
        <v>12</v>
      </c>
      <c r="D1402" s="5">
        <f t="shared" si="105"/>
        <v>16</v>
      </c>
      <c r="E1402" s="6">
        <v>9.6126000000000005</v>
      </c>
      <c r="F1402" s="6">
        <f t="shared" si="106"/>
        <v>269.15280000000001</v>
      </c>
      <c r="G1402" t="s">
        <v>125</v>
      </c>
      <c r="H1402">
        <v>9009</v>
      </c>
      <c r="I1402" t="str">
        <f>IFERROR(_xlfn.XLOOKUP($A1402,'Base SKUs'!$E:$E,'Base SKUs'!A:A),"")</f>
        <v>Scandinavian Pine</v>
      </c>
      <c r="J1402" t="str">
        <f>IFERROR(_xlfn.XLOOKUP($A1402,'Base SKUs'!$E:$E,'Base SKUs'!B:B),"")</f>
        <v>Scandinavian Pine 5/8x4</v>
      </c>
      <c r="K1402" t="str">
        <f>IFERROR(_xlfn.XLOOKUP($A1402,'Base SKUs'!$E:$E,'Base SKUs'!C:C),"")</f>
        <v>Long</v>
      </c>
      <c r="L1402" t="str">
        <f>IFERROR(_xlfn.XLOOKUP($A1402,'Base SKUs'!$E:$E,'Base SKUs'!D:D),"")</f>
        <v>Thermowood</v>
      </c>
      <c r="M1402" t="str">
        <f>IFERROR(_xlfn.XLOOKUP($A1402,'Base SKUs'!$E:$E,'Base SKUs'!G:G),"")</f>
        <v>Maximo Thermo Scandinavian Pine</v>
      </c>
      <c r="N1402" t="str">
        <f>IFERROR(_xlfn.XLOOKUP($A1402,'Base SKUs'!$E:$E,'Base SKUs'!H:H),"")</f>
        <v>VJoint - Square Back</v>
      </c>
      <c r="O1402" t="str">
        <f>IFERROR(_xlfn.XLOOKUP($A1402,'Base SKUs'!$E:$E,'Base SKUs'!I:I),"")</f>
        <v>-</v>
      </c>
      <c r="P1402" t="str">
        <f>IFERROR(_xlfn.XLOOKUP($A1402,'Base SKUs'!$E:$E,'Base SKUs'!J:J),"")</f>
        <v>5/8x4</v>
      </c>
      <c r="Q1402">
        <f>IFERROR(_xlfn.XLOOKUP($A1402,'Base SKUs'!$E:$E,'Base SKUs'!K:K),"")</f>
        <v>15</v>
      </c>
      <c r="R1402" s="7">
        <f>IFERROR(_xlfn.XLOOKUP($A1402,'Base SKUs'!$E:$E,'Base SKUs'!S:S),"")</f>
        <v>6.2100000000000011E-3</v>
      </c>
      <c r="S1402" s="8">
        <f t="shared" si="107"/>
        <v>9.9360000000000018E-2</v>
      </c>
      <c r="T1402" s="7">
        <f>IFERROR(_xlfn.XLOOKUP($A1402,'Base SKUs'!$E:$E,'Base SKUs'!R:R),"")</f>
        <v>2377.42</v>
      </c>
      <c r="U1402" s="15">
        <f t="shared" si="108"/>
        <v>236</v>
      </c>
      <c r="V1402" t="str">
        <f t="shared" si="109"/>
        <v>Boston</v>
      </c>
    </row>
    <row r="1403" spans="1:22" x14ac:dyDescent="0.2">
      <c r="A1403" t="s">
        <v>1887</v>
      </c>
      <c r="B1403" s="5">
        <v>4</v>
      </c>
      <c r="C1403" s="5">
        <v>0</v>
      </c>
      <c r="D1403" s="5">
        <f t="shared" si="105"/>
        <v>4</v>
      </c>
      <c r="E1403" s="6">
        <v>10.253399999999999</v>
      </c>
      <c r="F1403" s="6">
        <f t="shared" si="106"/>
        <v>41.013599999999997</v>
      </c>
      <c r="G1403" t="s">
        <v>17</v>
      </c>
      <c r="H1403">
        <v>9007</v>
      </c>
      <c r="I1403" t="str">
        <f>IFERROR(_xlfn.XLOOKUP($A1403,'Base SKUs'!$E:$E,'Base SKUs'!A:A),"")</f>
        <v>Scandinavian Pine</v>
      </c>
      <c r="J1403" t="str">
        <f>IFERROR(_xlfn.XLOOKUP($A1403,'Base SKUs'!$E:$E,'Base SKUs'!B:B),"")</f>
        <v>Scandinavian Pine 5/8x4</v>
      </c>
      <c r="K1403" t="str">
        <f>IFERROR(_xlfn.XLOOKUP($A1403,'Base SKUs'!$E:$E,'Base SKUs'!C:C),"")</f>
        <v>Long</v>
      </c>
      <c r="L1403" t="str">
        <f>IFERROR(_xlfn.XLOOKUP($A1403,'Base SKUs'!$E:$E,'Base SKUs'!D:D),"")</f>
        <v>Thermowood</v>
      </c>
      <c r="M1403" t="str">
        <f>IFERROR(_xlfn.XLOOKUP($A1403,'Base SKUs'!$E:$E,'Base SKUs'!G:G),"")</f>
        <v>Maximo Thermo Scandinavian Pine</v>
      </c>
      <c r="N1403" t="str">
        <f>IFERROR(_xlfn.XLOOKUP($A1403,'Base SKUs'!$E:$E,'Base SKUs'!H:H),"")</f>
        <v>VJoint - Square Back</v>
      </c>
      <c r="O1403" t="str">
        <f>IFERROR(_xlfn.XLOOKUP($A1403,'Base SKUs'!$E:$E,'Base SKUs'!I:I),"")</f>
        <v>-</v>
      </c>
      <c r="P1403" t="str">
        <f>IFERROR(_xlfn.XLOOKUP($A1403,'Base SKUs'!$E:$E,'Base SKUs'!J:J),"")</f>
        <v>5/8x4</v>
      </c>
      <c r="Q1403">
        <f>IFERROR(_xlfn.XLOOKUP($A1403,'Base SKUs'!$E:$E,'Base SKUs'!K:K),"")</f>
        <v>16</v>
      </c>
      <c r="R1403" s="7">
        <f>IFERROR(_xlfn.XLOOKUP($A1403,'Base SKUs'!$E:$E,'Base SKUs'!S:S),"")</f>
        <v>6.6239999999999997E-3</v>
      </c>
      <c r="S1403" s="8">
        <f t="shared" si="107"/>
        <v>2.6495999999999999E-2</v>
      </c>
      <c r="T1403" s="7">
        <f>IFERROR(_xlfn.XLOOKUP($A1403,'Base SKUs'!$E:$E,'Base SKUs'!R:R),"")</f>
        <v>2377.42</v>
      </c>
      <c r="U1403" s="15">
        <f t="shared" si="108"/>
        <v>63</v>
      </c>
      <c r="V1403" t="str">
        <f t="shared" si="109"/>
        <v>Miami</v>
      </c>
    </row>
    <row r="1404" spans="1:22" x14ac:dyDescent="0.2">
      <c r="A1404" t="s">
        <v>1889</v>
      </c>
      <c r="B1404" s="5">
        <v>13</v>
      </c>
      <c r="C1404" s="5">
        <v>0</v>
      </c>
      <c r="D1404" s="5">
        <f t="shared" si="105"/>
        <v>13</v>
      </c>
      <c r="E1404" s="6">
        <v>5.1266999999999996</v>
      </c>
      <c r="F1404" s="6">
        <f t="shared" si="106"/>
        <v>66.647099999999995</v>
      </c>
      <c r="G1404" t="s">
        <v>17</v>
      </c>
      <c r="H1404">
        <v>9007</v>
      </c>
      <c r="I1404" t="str">
        <f>IFERROR(_xlfn.XLOOKUP($A1404,'Base SKUs'!$E:$E,'Base SKUs'!A:A),"")</f>
        <v>Scandinavian Pine</v>
      </c>
      <c r="J1404" t="str">
        <f>IFERROR(_xlfn.XLOOKUP($A1404,'Base SKUs'!$E:$E,'Base SKUs'!B:B),"")</f>
        <v>Scandinavian Pine 5/8x4</v>
      </c>
      <c r="K1404" t="str">
        <f>IFERROR(_xlfn.XLOOKUP($A1404,'Base SKUs'!$E:$E,'Base SKUs'!C:C),"")</f>
        <v>Long</v>
      </c>
      <c r="L1404" t="str">
        <f>IFERROR(_xlfn.XLOOKUP($A1404,'Base SKUs'!$E:$E,'Base SKUs'!D:D),"")</f>
        <v>Thermowood</v>
      </c>
      <c r="M1404" t="str">
        <f>IFERROR(_xlfn.XLOOKUP($A1404,'Base SKUs'!$E:$E,'Base SKUs'!G:G),"")</f>
        <v>Maximo Thermo Scandinavian Pine</v>
      </c>
      <c r="N1404" t="str">
        <f>IFERROR(_xlfn.XLOOKUP($A1404,'Base SKUs'!$E:$E,'Base SKUs'!H:H),"")</f>
        <v>VJoint - Square Back</v>
      </c>
      <c r="O1404" t="str">
        <f>IFERROR(_xlfn.XLOOKUP($A1404,'Base SKUs'!$E:$E,'Base SKUs'!I:I),"")</f>
        <v>-</v>
      </c>
      <c r="P1404" t="str">
        <f>IFERROR(_xlfn.XLOOKUP($A1404,'Base SKUs'!$E:$E,'Base SKUs'!J:J),"")</f>
        <v>5/8x4</v>
      </c>
      <c r="Q1404">
        <f>IFERROR(_xlfn.XLOOKUP($A1404,'Base SKUs'!$E:$E,'Base SKUs'!K:K),"")</f>
        <v>8</v>
      </c>
      <c r="R1404" s="7">
        <f>IFERROR(_xlfn.XLOOKUP($A1404,'Base SKUs'!$E:$E,'Base SKUs'!S:S),"")</f>
        <v>3.3119999999999998E-3</v>
      </c>
      <c r="S1404" s="8">
        <f t="shared" si="107"/>
        <v>4.3055999999999997E-2</v>
      </c>
      <c r="T1404" s="7">
        <f>IFERROR(_xlfn.XLOOKUP($A1404,'Base SKUs'!$E:$E,'Base SKUs'!R:R),"")</f>
        <v>2377.42</v>
      </c>
      <c r="U1404" s="15">
        <f t="shared" si="108"/>
        <v>102</v>
      </c>
      <c r="V1404" t="str">
        <f t="shared" si="109"/>
        <v>Miami</v>
      </c>
    </row>
    <row r="1405" spans="1:22" x14ac:dyDescent="0.2">
      <c r="A1405" t="s">
        <v>1891</v>
      </c>
      <c r="B1405" s="5">
        <v>2</v>
      </c>
      <c r="C1405" s="5">
        <v>0</v>
      </c>
      <c r="D1405" s="5">
        <f t="shared" si="105"/>
        <v>2</v>
      </c>
      <c r="E1405" s="6">
        <v>5.7675000000000001</v>
      </c>
      <c r="F1405" s="6">
        <f t="shared" si="106"/>
        <v>11.535</v>
      </c>
      <c r="G1405" t="s">
        <v>17</v>
      </c>
      <c r="H1405">
        <v>9007</v>
      </c>
      <c r="I1405" t="str">
        <f>IFERROR(_xlfn.XLOOKUP($A1405,'Base SKUs'!$E:$E,'Base SKUs'!A:A),"")</f>
        <v>Scandinavian Pine</v>
      </c>
      <c r="J1405" t="str">
        <f>IFERROR(_xlfn.XLOOKUP($A1405,'Base SKUs'!$E:$E,'Base SKUs'!B:B),"")</f>
        <v>Scandinavian Pine 5/8x4</v>
      </c>
      <c r="K1405" t="str">
        <f>IFERROR(_xlfn.XLOOKUP($A1405,'Base SKUs'!$E:$E,'Base SKUs'!C:C),"")</f>
        <v>Long</v>
      </c>
      <c r="L1405" t="str">
        <f>IFERROR(_xlfn.XLOOKUP($A1405,'Base SKUs'!$E:$E,'Base SKUs'!D:D),"")</f>
        <v>Thermowood</v>
      </c>
      <c r="M1405" t="str">
        <f>IFERROR(_xlfn.XLOOKUP($A1405,'Base SKUs'!$E:$E,'Base SKUs'!G:G),"")</f>
        <v>Maximo Thermo Scandinavian Pine</v>
      </c>
      <c r="N1405" t="str">
        <f>IFERROR(_xlfn.XLOOKUP($A1405,'Base SKUs'!$E:$E,'Base SKUs'!H:H),"")</f>
        <v>VJoint - Square Back</v>
      </c>
      <c r="O1405" t="str">
        <f>IFERROR(_xlfn.XLOOKUP($A1405,'Base SKUs'!$E:$E,'Base SKUs'!I:I),"")</f>
        <v>-</v>
      </c>
      <c r="P1405" t="str">
        <f>IFERROR(_xlfn.XLOOKUP($A1405,'Base SKUs'!$E:$E,'Base SKUs'!J:J),"")</f>
        <v>5/8x4</v>
      </c>
      <c r="Q1405">
        <f>IFERROR(_xlfn.XLOOKUP($A1405,'Base SKUs'!$E:$E,'Base SKUs'!K:K),"")</f>
        <v>9</v>
      </c>
      <c r="R1405" s="7">
        <f>IFERROR(_xlfn.XLOOKUP($A1405,'Base SKUs'!$E:$E,'Base SKUs'!S:S),"")</f>
        <v>3.7260000000000001E-3</v>
      </c>
      <c r="S1405" s="8">
        <f t="shared" si="107"/>
        <v>7.4520000000000003E-3</v>
      </c>
      <c r="T1405" s="7">
        <f>IFERROR(_xlfn.XLOOKUP($A1405,'Base SKUs'!$E:$E,'Base SKUs'!R:R),"")</f>
        <v>2377.42</v>
      </c>
      <c r="U1405" s="15">
        <f t="shared" si="108"/>
        <v>18</v>
      </c>
      <c r="V1405" t="str">
        <f t="shared" si="109"/>
        <v>Miami</v>
      </c>
    </row>
    <row r="1406" spans="1:22" x14ac:dyDescent="0.2">
      <c r="A1406" t="s">
        <v>1891</v>
      </c>
      <c r="B1406" s="5">
        <v>9</v>
      </c>
      <c r="C1406" s="5">
        <v>0</v>
      </c>
      <c r="D1406" s="5">
        <f t="shared" si="105"/>
        <v>9</v>
      </c>
      <c r="E1406" s="6">
        <v>5.2262000000000004</v>
      </c>
      <c r="F1406" s="6">
        <f t="shared" si="106"/>
        <v>47.035800000000002</v>
      </c>
      <c r="G1406" t="s">
        <v>24</v>
      </c>
      <c r="H1406">
        <v>9008</v>
      </c>
      <c r="I1406" t="str">
        <f>IFERROR(_xlfn.XLOOKUP($A1406,'Base SKUs'!$E:$E,'Base SKUs'!A:A),"")</f>
        <v>Scandinavian Pine</v>
      </c>
      <c r="J1406" t="str">
        <f>IFERROR(_xlfn.XLOOKUP($A1406,'Base SKUs'!$E:$E,'Base SKUs'!B:B),"")</f>
        <v>Scandinavian Pine 5/8x4</v>
      </c>
      <c r="K1406" t="str">
        <f>IFERROR(_xlfn.XLOOKUP($A1406,'Base SKUs'!$E:$E,'Base SKUs'!C:C),"")</f>
        <v>Long</v>
      </c>
      <c r="L1406" t="str">
        <f>IFERROR(_xlfn.XLOOKUP($A1406,'Base SKUs'!$E:$E,'Base SKUs'!D:D),"")</f>
        <v>Thermowood</v>
      </c>
      <c r="M1406" t="str">
        <f>IFERROR(_xlfn.XLOOKUP($A1406,'Base SKUs'!$E:$E,'Base SKUs'!G:G),"")</f>
        <v>Maximo Thermo Scandinavian Pine</v>
      </c>
      <c r="N1406" t="str">
        <f>IFERROR(_xlfn.XLOOKUP($A1406,'Base SKUs'!$E:$E,'Base SKUs'!H:H),"")</f>
        <v>VJoint - Square Back</v>
      </c>
      <c r="O1406" t="str">
        <f>IFERROR(_xlfn.XLOOKUP($A1406,'Base SKUs'!$E:$E,'Base SKUs'!I:I),"")</f>
        <v>-</v>
      </c>
      <c r="P1406" t="str">
        <f>IFERROR(_xlfn.XLOOKUP($A1406,'Base SKUs'!$E:$E,'Base SKUs'!J:J),"")</f>
        <v>5/8x4</v>
      </c>
      <c r="Q1406">
        <f>IFERROR(_xlfn.XLOOKUP($A1406,'Base SKUs'!$E:$E,'Base SKUs'!K:K),"")</f>
        <v>9</v>
      </c>
      <c r="R1406" s="7">
        <f>IFERROR(_xlfn.XLOOKUP($A1406,'Base SKUs'!$E:$E,'Base SKUs'!S:S),"")</f>
        <v>3.7260000000000001E-3</v>
      </c>
      <c r="S1406" s="8">
        <f t="shared" si="107"/>
        <v>3.3534000000000001E-2</v>
      </c>
      <c r="T1406" s="7">
        <f>IFERROR(_xlfn.XLOOKUP($A1406,'Base SKUs'!$E:$E,'Base SKUs'!R:R),"")</f>
        <v>2377.42</v>
      </c>
      <c r="U1406" s="15">
        <f t="shared" si="108"/>
        <v>80</v>
      </c>
      <c r="V1406" t="str">
        <f t="shared" si="109"/>
        <v>Texas</v>
      </c>
    </row>
    <row r="1407" spans="1:22" x14ac:dyDescent="0.2">
      <c r="A1407" t="s">
        <v>1893</v>
      </c>
      <c r="B1407" s="5">
        <v>210</v>
      </c>
      <c r="C1407" s="5">
        <v>0</v>
      </c>
      <c r="D1407" s="5">
        <f t="shared" si="105"/>
        <v>210</v>
      </c>
      <c r="E1407" s="6">
        <v>17.6448</v>
      </c>
      <c r="F1407" s="6">
        <f t="shared" si="106"/>
        <v>3705.4079999999999</v>
      </c>
      <c r="G1407" t="s">
        <v>125</v>
      </c>
      <c r="H1407">
        <v>9009</v>
      </c>
      <c r="I1407" t="str">
        <f>IFERROR(_xlfn.XLOOKUP($A1407,'Base SKUs'!$E:$E,'Base SKUs'!A:A),"")</f>
        <v>Wawa</v>
      </c>
      <c r="J1407" t="str">
        <f>IFERROR(_xlfn.XLOOKUP($A1407,'Base SKUs'!$E:$E,'Base SKUs'!B:B),"")</f>
        <v>Wawa 1x6</v>
      </c>
      <c r="K1407" t="str">
        <f>IFERROR(_xlfn.XLOOKUP($A1407,'Base SKUs'!$E:$E,'Base SKUs'!C:C),"")</f>
        <v>Long</v>
      </c>
      <c r="L1407" t="str">
        <f>IFERROR(_xlfn.XLOOKUP($A1407,'Base SKUs'!$E:$E,'Base SKUs'!D:D),"")</f>
        <v>Thermowood</v>
      </c>
      <c r="M1407" t="str">
        <f>IFERROR(_xlfn.XLOOKUP($A1407,'Base SKUs'!$E:$E,'Base SKUs'!G:G),"")</f>
        <v>Wawa</v>
      </c>
      <c r="N1407" t="str">
        <f>IFERROR(_xlfn.XLOOKUP($A1407,'Base SKUs'!$E:$E,'Base SKUs'!H:H),"")</f>
        <v>S4S</v>
      </c>
      <c r="O1407" t="str">
        <f>IFERROR(_xlfn.XLOOKUP($A1407,'Base SKUs'!$E:$E,'Base SKUs'!I:I),"")</f>
        <v>Tongue &amp; Grooved</v>
      </c>
      <c r="P1407" t="str">
        <f>IFERROR(_xlfn.XLOOKUP($A1407,'Base SKUs'!$E:$E,'Base SKUs'!J:J),"")</f>
        <v>1x6</v>
      </c>
      <c r="Q1407">
        <f>IFERROR(_xlfn.XLOOKUP($A1407,'Base SKUs'!$E:$E,'Base SKUs'!K:K),"")</f>
        <v>10</v>
      </c>
      <c r="R1407" s="7">
        <f>IFERROR(_xlfn.XLOOKUP($A1407,'Base SKUs'!$E:$E,'Base SKUs'!S:S),"")</f>
        <v>7.983854999999998E-3</v>
      </c>
      <c r="S1407" s="8">
        <f t="shared" si="107"/>
        <v>1.6766095499999996</v>
      </c>
      <c r="T1407" s="7">
        <f>IFERROR(_xlfn.XLOOKUP($A1407,'Base SKUs'!$E:$E,'Base SKUs'!R:R),"")</f>
        <v>1232.8030000000001</v>
      </c>
      <c r="U1407" s="15">
        <f t="shared" si="108"/>
        <v>2067</v>
      </c>
      <c r="V1407" t="str">
        <f t="shared" si="109"/>
        <v>Boston</v>
      </c>
    </row>
    <row r="1408" spans="1:22" x14ac:dyDescent="0.2">
      <c r="A1408" t="s">
        <v>1893</v>
      </c>
      <c r="B1408" s="5">
        <v>781</v>
      </c>
      <c r="C1408" s="5">
        <v>1</v>
      </c>
      <c r="D1408" s="5">
        <f t="shared" si="105"/>
        <v>780</v>
      </c>
      <c r="E1408" s="6">
        <v>17.6448</v>
      </c>
      <c r="F1408" s="6">
        <f t="shared" si="106"/>
        <v>13780.5888</v>
      </c>
      <c r="G1408" t="s">
        <v>330</v>
      </c>
      <c r="H1408">
        <v>9011</v>
      </c>
      <c r="I1408" t="str">
        <f>IFERROR(_xlfn.XLOOKUP($A1408,'Base SKUs'!$E:$E,'Base SKUs'!A:A),"")</f>
        <v>Wawa</v>
      </c>
      <c r="J1408" t="str">
        <f>IFERROR(_xlfn.XLOOKUP($A1408,'Base SKUs'!$E:$E,'Base SKUs'!B:B),"")</f>
        <v>Wawa 1x6</v>
      </c>
      <c r="K1408" t="str">
        <f>IFERROR(_xlfn.XLOOKUP($A1408,'Base SKUs'!$E:$E,'Base SKUs'!C:C),"")</f>
        <v>Long</v>
      </c>
      <c r="L1408" t="str">
        <f>IFERROR(_xlfn.XLOOKUP($A1408,'Base SKUs'!$E:$E,'Base SKUs'!D:D),"")</f>
        <v>Thermowood</v>
      </c>
      <c r="M1408" t="str">
        <f>IFERROR(_xlfn.XLOOKUP($A1408,'Base SKUs'!$E:$E,'Base SKUs'!G:G),"")</f>
        <v>Wawa</v>
      </c>
      <c r="N1408" t="str">
        <f>IFERROR(_xlfn.XLOOKUP($A1408,'Base SKUs'!$E:$E,'Base SKUs'!H:H),"")</f>
        <v>S4S</v>
      </c>
      <c r="O1408" t="str">
        <f>IFERROR(_xlfn.XLOOKUP($A1408,'Base SKUs'!$E:$E,'Base SKUs'!I:I),"")</f>
        <v>Tongue &amp; Grooved</v>
      </c>
      <c r="P1408" t="str">
        <f>IFERROR(_xlfn.XLOOKUP($A1408,'Base SKUs'!$E:$E,'Base SKUs'!J:J),"")</f>
        <v>1x6</v>
      </c>
      <c r="Q1408">
        <f>IFERROR(_xlfn.XLOOKUP($A1408,'Base SKUs'!$E:$E,'Base SKUs'!K:K),"")</f>
        <v>10</v>
      </c>
      <c r="R1408" s="7">
        <f>IFERROR(_xlfn.XLOOKUP($A1408,'Base SKUs'!$E:$E,'Base SKUs'!S:S),"")</f>
        <v>7.983854999999998E-3</v>
      </c>
      <c r="S1408" s="8">
        <f t="shared" si="107"/>
        <v>6.2274068999999983</v>
      </c>
      <c r="T1408" s="7">
        <f>IFERROR(_xlfn.XLOOKUP($A1408,'Base SKUs'!$E:$E,'Base SKUs'!R:R),"")</f>
        <v>1232.8030000000001</v>
      </c>
      <c r="U1408" s="15">
        <f t="shared" si="108"/>
        <v>7677</v>
      </c>
      <c r="V1408" t="str">
        <f t="shared" si="109"/>
        <v>New York</v>
      </c>
    </row>
    <row r="1409" spans="1:22" x14ac:dyDescent="0.2">
      <c r="A1409" t="s">
        <v>1895</v>
      </c>
      <c r="B1409" s="5">
        <v>941</v>
      </c>
      <c r="C1409" s="5">
        <v>0</v>
      </c>
      <c r="D1409" s="5">
        <f t="shared" si="105"/>
        <v>941</v>
      </c>
      <c r="E1409" s="6">
        <v>21.1738</v>
      </c>
      <c r="F1409" s="6">
        <f t="shared" si="106"/>
        <v>19924.5458</v>
      </c>
      <c r="G1409" t="s">
        <v>125</v>
      </c>
      <c r="H1409">
        <v>9009</v>
      </c>
      <c r="I1409" t="str">
        <f>IFERROR(_xlfn.XLOOKUP($A1409,'Base SKUs'!$E:$E,'Base SKUs'!A:A),"")</f>
        <v>Wawa</v>
      </c>
      <c r="J1409" t="str">
        <f>IFERROR(_xlfn.XLOOKUP($A1409,'Base SKUs'!$E:$E,'Base SKUs'!B:B),"")</f>
        <v>Wawa 1x6</v>
      </c>
      <c r="K1409" t="str">
        <f>IFERROR(_xlfn.XLOOKUP($A1409,'Base SKUs'!$E:$E,'Base SKUs'!C:C),"")</f>
        <v>Long</v>
      </c>
      <c r="L1409" t="str">
        <f>IFERROR(_xlfn.XLOOKUP($A1409,'Base SKUs'!$E:$E,'Base SKUs'!D:D),"")</f>
        <v>Thermowood</v>
      </c>
      <c r="M1409" t="str">
        <f>IFERROR(_xlfn.XLOOKUP($A1409,'Base SKUs'!$E:$E,'Base SKUs'!G:G),"")</f>
        <v>Wawa</v>
      </c>
      <c r="N1409" t="str">
        <f>IFERROR(_xlfn.XLOOKUP($A1409,'Base SKUs'!$E:$E,'Base SKUs'!H:H),"")</f>
        <v>S4S</v>
      </c>
      <c r="O1409" t="str">
        <f>IFERROR(_xlfn.XLOOKUP($A1409,'Base SKUs'!$E:$E,'Base SKUs'!I:I),"")</f>
        <v>Tongue &amp; Grooved</v>
      </c>
      <c r="P1409" t="str">
        <f>IFERROR(_xlfn.XLOOKUP($A1409,'Base SKUs'!$E:$E,'Base SKUs'!J:J),"")</f>
        <v>1x6</v>
      </c>
      <c r="Q1409">
        <f>IFERROR(_xlfn.XLOOKUP($A1409,'Base SKUs'!$E:$E,'Base SKUs'!K:K),"")</f>
        <v>12</v>
      </c>
      <c r="R1409" s="7">
        <f>IFERROR(_xlfn.XLOOKUP($A1409,'Base SKUs'!$E:$E,'Base SKUs'!S:S),"")</f>
        <v>9.5806259999999983E-3</v>
      </c>
      <c r="S1409" s="8">
        <f t="shared" si="107"/>
        <v>9.0153690659999981</v>
      </c>
      <c r="T1409" s="7">
        <f>IFERROR(_xlfn.XLOOKUP($A1409,'Base SKUs'!$E:$E,'Base SKUs'!R:R),"")</f>
        <v>1232.8030000000001</v>
      </c>
      <c r="U1409" s="15">
        <f t="shared" si="108"/>
        <v>11114</v>
      </c>
      <c r="V1409" t="str">
        <f t="shared" si="109"/>
        <v>Boston</v>
      </c>
    </row>
    <row r="1410" spans="1:22" x14ac:dyDescent="0.2">
      <c r="A1410" t="s">
        <v>1895</v>
      </c>
      <c r="B1410" s="5">
        <v>353</v>
      </c>
      <c r="C1410" s="5">
        <v>3</v>
      </c>
      <c r="D1410" s="5">
        <f t="shared" ref="D1410:D1473" si="110">B1410-C1410</f>
        <v>350</v>
      </c>
      <c r="E1410" s="6">
        <v>21.1738</v>
      </c>
      <c r="F1410" s="6">
        <f t="shared" ref="F1410:F1473" si="111">B1410*E1410</f>
        <v>7474.3513999999996</v>
      </c>
      <c r="G1410" t="s">
        <v>330</v>
      </c>
      <c r="H1410">
        <v>9011</v>
      </c>
      <c r="I1410" t="str">
        <f>IFERROR(_xlfn.XLOOKUP($A1410,'Base SKUs'!$E:$E,'Base SKUs'!A:A),"")</f>
        <v>Wawa</v>
      </c>
      <c r="J1410" t="str">
        <f>IFERROR(_xlfn.XLOOKUP($A1410,'Base SKUs'!$E:$E,'Base SKUs'!B:B),"")</f>
        <v>Wawa 1x6</v>
      </c>
      <c r="K1410" t="str">
        <f>IFERROR(_xlfn.XLOOKUP($A1410,'Base SKUs'!$E:$E,'Base SKUs'!C:C),"")</f>
        <v>Long</v>
      </c>
      <c r="L1410" t="str">
        <f>IFERROR(_xlfn.XLOOKUP($A1410,'Base SKUs'!$E:$E,'Base SKUs'!D:D),"")</f>
        <v>Thermowood</v>
      </c>
      <c r="M1410" t="str">
        <f>IFERROR(_xlfn.XLOOKUP($A1410,'Base SKUs'!$E:$E,'Base SKUs'!G:G),"")</f>
        <v>Wawa</v>
      </c>
      <c r="N1410" t="str">
        <f>IFERROR(_xlfn.XLOOKUP($A1410,'Base SKUs'!$E:$E,'Base SKUs'!H:H),"")</f>
        <v>S4S</v>
      </c>
      <c r="O1410" t="str">
        <f>IFERROR(_xlfn.XLOOKUP($A1410,'Base SKUs'!$E:$E,'Base SKUs'!I:I),"")</f>
        <v>Tongue &amp; Grooved</v>
      </c>
      <c r="P1410" t="str">
        <f>IFERROR(_xlfn.XLOOKUP($A1410,'Base SKUs'!$E:$E,'Base SKUs'!J:J),"")</f>
        <v>1x6</v>
      </c>
      <c r="Q1410">
        <f>IFERROR(_xlfn.XLOOKUP($A1410,'Base SKUs'!$E:$E,'Base SKUs'!K:K),"")</f>
        <v>12</v>
      </c>
      <c r="R1410" s="7">
        <f>IFERROR(_xlfn.XLOOKUP($A1410,'Base SKUs'!$E:$E,'Base SKUs'!S:S),"")</f>
        <v>9.5806259999999983E-3</v>
      </c>
      <c r="S1410" s="8">
        <f t="shared" ref="S1410:S1473" si="112">IF(OR(L1410="Saicos",L1410="Oil",L1410="US4",L1410="Wood Table",L1410="Woca",L1410="Norx",N1410="Tiles"),D1410,D1410*R1410)</f>
        <v>3.3532190999999996</v>
      </c>
      <c r="T1410" s="7">
        <f>IFERROR(_xlfn.XLOOKUP($A1410,'Base SKUs'!$E:$E,'Base SKUs'!R:R),"")</f>
        <v>1232.8030000000001</v>
      </c>
      <c r="U1410" s="15">
        <f t="shared" ref="U1410:U1473" si="113">ROUND(IF(OR(L1410="Saicos",L1410="Oil",L1410="US4",L1410="Wood Table",L1410="Woca",L1410="Norx",N1410="Tiles"),D1410,S1410*T1410),0)</f>
        <v>4134</v>
      </c>
      <c r="V1410" t="str">
        <f t="shared" ref="V1410:V1473" si="114">IF(H1410=9007,"Miami",IF(H1410=9008,"Texas",IF(H1410=9009,"Boston",IF(H1410=9010,"BS Detroit",IF(H1410=9011,"New York",IF(H1410=9012,"HW Perris",IF(H1410=9013,"BS Riverside",IF(H1410=9014,"On the Way",IF(H1410=9015,"Russin",IF(H1410=9016,"Palm Beach",""))))))))))</f>
        <v>New York</v>
      </c>
    </row>
    <row r="1411" spans="1:22" x14ac:dyDescent="0.2">
      <c r="A1411" t="s">
        <v>1897</v>
      </c>
      <c r="B1411" s="5">
        <v>420</v>
      </c>
      <c r="C1411" s="5">
        <v>0</v>
      </c>
      <c r="D1411" s="5">
        <f t="shared" si="110"/>
        <v>420</v>
      </c>
      <c r="E1411" s="6">
        <v>8.5155999999999992</v>
      </c>
      <c r="F1411" s="6">
        <f t="shared" si="111"/>
        <v>3576.5519999999997</v>
      </c>
      <c r="G1411" t="s">
        <v>17</v>
      </c>
      <c r="H1411">
        <v>9007</v>
      </c>
      <c r="I1411" t="str">
        <f>IFERROR(_xlfn.XLOOKUP($A1411,'Base SKUs'!$E:$E,'Base SKUs'!A:A),"")</f>
        <v>Wawa</v>
      </c>
      <c r="J1411" t="str">
        <f>IFERROR(_xlfn.XLOOKUP($A1411,'Base SKUs'!$E:$E,'Base SKUs'!B:B),"")</f>
        <v>Wawa 1x6</v>
      </c>
      <c r="K1411" t="str">
        <f>IFERROR(_xlfn.XLOOKUP($A1411,'Base SKUs'!$E:$E,'Base SKUs'!C:C),"")</f>
        <v>Short</v>
      </c>
      <c r="L1411" t="str">
        <f>IFERROR(_xlfn.XLOOKUP($A1411,'Base SKUs'!$E:$E,'Base SKUs'!D:D),"")</f>
        <v>Thermowood</v>
      </c>
      <c r="M1411" t="str">
        <f>IFERROR(_xlfn.XLOOKUP($A1411,'Base SKUs'!$E:$E,'Base SKUs'!G:G),"")</f>
        <v>Wawa</v>
      </c>
      <c r="N1411" t="str">
        <f>IFERROR(_xlfn.XLOOKUP($A1411,'Base SKUs'!$E:$E,'Base SKUs'!H:H),"")</f>
        <v>S4S</v>
      </c>
      <c r="O1411" t="str">
        <f>IFERROR(_xlfn.XLOOKUP($A1411,'Base SKUs'!$E:$E,'Base SKUs'!I:I),"")</f>
        <v>Tongue &amp; Grooved</v>
      </c>
      <c r="P1411" t="str">
        <f>IFERROR(_xlfn.XLOOKUP($A1411,'Base SKUs'!$E:$E,'Base SKUs'!J:J),"")</f>
        <v>1x6</v>
      </c>
      <c r="Q1411">
        <f>IFERROR(_xlfn.XLOOKUP($A1411,'Base SKUs'!$E:$E,'Base SKUs'!K:K),"")</f>
        <v>7</v>
      </c>
      <c r="R1411" s="7">
        <f>IFERROR(_xlfn.XLOOKUP($A1411,'Base SKUs'!$E:$E,'Base SKUs'!S:S),"")</f>
        <v>5.5886984999999993E-3</v>
      </c>
      <c r="S1411" s="8">
        <f t="shared" si="112"/>
        <v>2.3472533699999998</v>
      </c>
      <c r="T1411" s="7">
        <f>IFERROR(_xlfn.XLOOKUP($A1411,'Base SKUs'!$E:$E,'Base SKUs'!R:R),"")</f>
        <v>1232.8030000000001</v>
      </c>
      <c r="U1411" s="15">
        <f t="shared" si="113"/>
        <v>2894</v>
      </c>
      <c r="V1411" t="str">
        <f t="shared" si="114"/>
        <v>Miami</v>
      </c>
    </row>
    <row r="1412" spans="1:22" x14ac:dyDescent="0.2">
      <c r="A1412" t="s">
        <v>1897</v>
      </c>
      <c r="B1412" s="5">
        <v>210</v>
      </c>
      <c r="C1412" s="5">
        <v>0</v>
      </c>
      <c r="D1412" s="5">
        <f t="shared" si="110"/>
        <v>210</v>
      </c>
      <c r="E1412" s="6">
        <v>8.5155999999999992</v>
      </c>
      <c r="F1412" s="6">
        <f t="shared" si="111"/>
        <v>1788.2759999999998</v>
      </c>
      <c r="G1412" t="s">
        <v>330</v>
      </c>
      <c r="H1412">
        <v>9011</v>
      </c>
      <c r="I1412" t="str">
        <f>IFERROR(_xlfn.XLOOKUP($A1412,'Base SKUs'!$E:$E,'Base SKUs'!A:A),"")</f>
        <v>Wawa</v>
      </c>
      <c r="J1412" t="str">
        <f>IFERROR(_xlfn.XLOOKUP($A1412,'Base SKUs'!$E:$E,'Base SKUs'!B:B),"")</f>
        <v>Wawa 1x6</v>
      </c>
      <c r="K1412" t="str">
        <f>IFERROR(_xlfn.XLOOKUP($A1412,'Base SKUs'!$E:$E,'Base SKUs'!C:C),"")</f>
        <v>Short</v>
      </c>
      <c r="L1412" t="str">
        <f>IFERROR(_xlfn.XLOOKUP($A1412,'Base SKUs'!$E:$E,'Base SKUs'!D:D),"")</f>
        <v>Thermowood</v>
      </c>
      <c r="M1412" t="str">
        <f>IFERROR(_xlfn.XLOOKUP($A1412,'Base SKUs'!$E:$E,'Base SKUs'!G:G),"")</f>
        <v>Wawa</v>
      </c>
      <c r="N1412" t="str">
        <f>IFERROR(_xlfn.XLOOKUP($A1412,'Base SKUs'!$E:$E,'Base SKUs'!H:H),"")</f>
        <v>S4S</v>
      </c>
      <c r="O1412" t="str">
        <f>IFERROR(_xlfn.XLOOKUP($A1412,'Base SKUs'!$E:$E,'Base SKUs'!I:I),"")</f>
        <v>Tongue &amp; Grooved</v>
      </c>
      <c r="P1412" t="str">
        <f>IFERROR(_xlfn.XLOOKUP($A1412,'Base SKUs'!$E:$E,'Base SKUs'!J:J),"")</f>
        <v>1x6</v>
      </c>
      <c r="Q1412">
        <f>IFERROR(_xlfn.XLOOKUP($A1412,'Base SKUs'!$E:$E,'Base SKUs'!K:K),"")</f>
        <v>7</v>
      </c>
      <c r="R1412" s="7">
        <f>IFERROR(_xlfn.XLOOKUP($A1412,'Base SKUs'!$E:$E,'Base SKUs'!S:S),"")</f>
        <v>5.5886984999999993E-3</v>
      </c>
      <c r="S1412" s="8">
        <f t="shared" si="112"/>
        <v>1.1736266849999999</v>
      </c>
      <c r="T1412" s="7">
        <f>IFERROR(_xlfn.XLOOKUP($A1412,'Base SKUs'!$E:$E,'Base SKUs'!R:R),"")</f>
        <v>1232.8030000000001</v>
      </c>
      <c r="U1412" s="15">
        <f t="shared" si="113"/>
        <v>1447</v>
      </c>
      <c r="V1412" t="str">
        <f t="shared" si="114"/>
        <v>New York</v>
      </c>
    </row>
    <row r="1413" spans="1:22" x14ac:dyDescent="0.2">
      <c r="A1413" t="s">
        <v>1899</v>
      </c>
      <c r="B1413" s="5">
        <v>112</v>
      </c>
      <c r="C1413" s="5">
        <v>0</v>
      </c>
      <c r="D1413" s="5">
        <f t="shared" si="110"/>
        <v>112</v>
      </c>
      <c r="E1413" s="6">
        <v>14.1158</v>
      </c>
      <c r="F1413" s="6">
        <f t="shared" si="111"/>
        <v>1580.9695999999999</v>
      </c>
      <c r="G1413" t="s">
        <v>17</v>
      </c>
      <c r="H1413">
        <v>9007</v>
      </c>
      <c r="I1413" t="str">
        <f>IFERROR(_xlfn.XLOOKUP($A1413,'Base SKUs'!$E:$E,'Base SKUs'!A:A),"")</f>
        <v>Wawa</v>
      </c>
      <c r="J1413" t="str">
        <f>IFERROR(_xlfn.XLOOKUP($A1413,'Base SKUs'!$E:$E,'Base SKUs'!B:B),"")</f>
        <v>Wawa 1x6</v>
      </c>
      <c r="K1413" t="str">
        <f>IFERROR(_xlfn.XLOOKUP($A1413,'Base SKUs'!$E:$E,'Base SKUs'!C:C),"")</f>
        <v>Long</v>
      </c>
      <c r="L1413" t="str">
        <f>IFERROR(_xlfn.XLOOKUP($A1413,'Base SKUs'!$E:$E,'Base SKUs'!D:D),"")</f>
        <v>Thermowood</v>
      </c>
      <c r="M1413" t="str">
        <f>IFERROR(_xlfn.XLOOKUP($A1413,'Base SKUs'!$E:$E,'Base SKUs'!G:G),"")</f>
        <v>Wawa</v>
      </c>
      <c r="N1413" t="str">
        <f>IFERROR(_xlfn.XLOOKUP($A1413,'Base SKUs'!$E:$E,'Base SKUs'!H:H),"")</f>
        <v>S4S</v>
      </c>
      <c r="O1413" t="str">
        <f>IFERROR(_xlfn.XLOOKUP($A1413,'Base SKUs'!$E:$E,'Base SKUs'!I:I),"")</f>
        <v>Tongue &amp; Grooved</v>
      </c>
      <c r="P1413" t="str">
        <f>IFERROR(_xlfn.XLOOKUP($A1413,'Base SKUs'!$E:$E,'Base SKUs'!J:J),"")</f>
        <v>1x6</v>
      </c>
      <c r="Q1413">
        <f>IFERROR(_xlfn.XLOOKUP($A1413,'Base SKUs'!$E:$E,'Base SKUs'!K:K),"")</f>
        <v>8</v>
      </c>
      <c r="R1413" s="7">
        <f>IFERROR(_xlfn.XLOOKUP($A1413,'Base SKUs'!$E:$E,'Base SKUs'!S:S),"")</f>
        <v>6.3870839999999977E-3</v>
      </c>
      <c r="S1413" s="8">
        <f t="shared" si="112"/>
        <v>0.71535340799999969</v>
      </c>
      <c r="T1413" s="7">
        <f>IFERROR(_xlfn.XLOOKUP($A1413,'Base SKUs'!$E:$E,'Base SKUs'!R:R),"")</f>
        <v>1232.8030000000001</v>
      </c>
      <c r="U1413" s="15">
        <f t="shared" si="113"/>
        <v>882</v>
      </c>
      <c r="V1413" t="str">
        <f t="shared" si="114"/>
        <v>Miami</v>
      </c>
    </row>
    <row r="1414" spans="1:22" x14ac:dyDescent="0.2">
      <c r="A1414" t="s">
        <v>1899</v>
      </c>
      <c r="B1414" s="5">
        <v>405</v>
      </c>
      <c r="C1414" s="5">
        <v>0</v>
      </c>
      <c r="D1414" s="5">
        <f t="shared" si="110"/>
        <v>405</v>
      </c>
      <c r="E1414" s="6">
        <v>14.1158</v>
      </c>
      <c r="F1414" s="6">
        <f t="shared" si="111"/>
        <v>5716.8990000000003</v>
      </c>
      <c r="G1414" t="s">
        <v>330</v>
      </c>
      <c r="H1414">
        <v>9011</v>
      </c>
      <c r="I1414" t="str">
        <f>IFERROR(_xlfn.XLOOKUP($A1414,'Base SKUs'!$E:$E,'Base SKUs'!A:A),"")</f>
        <v>Wawa</v>
      </c>
      <c r="J1414" t="str">
        <f>IFERROR(_xlfn.XLOOKUP($A1414,'Base SKUs'!$E:$E,'Base SKUs'!B:B),"")</f>
        <v>Wawa 1x6</v>
      </c>
      <c r="K1414" t="str">
        <f>IFERROR(_xlfn.XLOOKUP($A1414,'Base SKUs'!$E:$E,'Base SKUs'!C:C),"")</f>
        <v>Long</v>
      </c>
      <c r="L1414" t="str">
        <f>IFERROR(_xlfn.XLOOKUP($A1414,'Base SKUs'!$E:$E,'Base SKUs'!D:D),"")</f>
        <v>Thermowood</v>
      </c>
      <c r="M1414" t="str">
        <f>IFERROR(_xlfn.XLOOKUP($A1414,'Base SKUs'!$E:$E,'Base SKUs'!G:G),"")</f>
        <v>Wawa</v>
      </c>
      <c r="N1414" t="str">
        <f>IFERROR(_xlfn.XLOOKUP($A1414,'Base SKUs'!$E:$E,'Base SKUs'!H:H),"")</f>
        <v>S4S</v>
      </c>
      <c r="O1414" t="str">
        <f>IFERROR(_xlfn.XLOOKUP($A1414,'Base SKUs'!$E:$E,'Base SKUs'!I:I),"")</f>
        <v>Tongue &amp; Grooved</v>
      </c>
      <c r="P1414" t="str">
        <f>IFERROR(_xlfn.XLOOKUP($A1414,'Base SKUs'!$E:$E,'Base SKUs'!J:J),"")</f>
        <v>1x6</v>
      </c>
      <c r="Q1414">
        <f>IFERROR(_xlfn.XLOOKUP($A1414,'Base SKUs'!$E:$E,'Base SKUs'!K:K),"")</f>
        <v>8</v>
      </c>
      <c r="R1414" s="7">
        <f>IFERROR(_xlfn.XLOOKUP($A1414,'Base SKUs'!$E:$E,'Base SKUs'!S:S),"")</f>
        <v>6.3870839999999977E-3</v>
      </c>
      <c r="S1414" s="8">
        <f t="shared" si="112"/>
        <v>2.5867690199999989</v>
      </c>
      <c r="T1414" s="7">
        <f>IFERROR(_xlfn.XLOOKUP($A1414,'Base SKUs'!$E:$E,'Base SKUs'!R:R),"")</f>
        <v>1232.8030000000001</v>
      </c>
      <c r="U1414" s="15">
        <f t="shared" si="113"/>
        <v>3189</v>
      </c>
      <c r="V1414" t="str">
        <f t="shared" si="114"/>
        <v>New York</v>
      </c>
    </row>
    <row r="1415" spans="1:22" x14ac:dyDescent="0.2">
      <c r="A1415" t="s">
        <v>1901</v>
      </c>
      <c r="B1415" s="5">
        <v>105</v>
      </c>
      <c r="C1415" s="5">
        <v>0</v>
      </c>
      <c r="D1415" s="5">
        <f t="shared" si="110"/>
        <v>105</v>
      </c>
      <c r="E1415" s="6">
        <v>15.8803</v>
      </c>
      <c r="F1415" s="6">
        <f t="shared" si="111"/>
        <v>1667.4314999999999</v>
      </c>
      <c r="G1415" t="s">
        <v>17</v>
      </c>
      <c r="H1415">
        <v>9007</v>
      </c>
      <c r="I1415" t="str">
        <f>IFERROR(_xlfn.XLOOKUP($A1415,'Base SKUs'!$E:$E,'Base SKUs'!A:A),"")</f>
        <v>Wawa</v>
      </c>
      <c r="J1415" t="str">
        <f>IFERROR(_xlfn.XLOOKUP($A1415,'Base SKUs'!$E:$E,'Base SKUs'!B:B),"")</f>
        <v>Wawa 1x6</v>
      </c>
      <c r="K1415" t="str">
        <f>IFERROR(_xlfn.XLOOKUP($A1415,'Base SKUs'!$E:$E,'Base SKUs'!C:C),"")</f>
        <v>Long</v>
      </c>
      <c r="L1415" t="str">
        <f>IFERROR(_xlfn.XLOOKUP($A1415,'Base SKUs'!$E:$E,'Base SKUs'!D:D),"")</f>
        <v>Thermowood</v>
      </c>
      <c r="M1415" t="str">
        <f>IFERROR(_xlfn.XLOOKUP($A1415,'Base SKUs'!$E:$E,'Base SKUs'!G:G),"")</f>
        <v>Wawa</v>
      </c>
      <c r="N1415" t="str">
        <f>IFERROR(_xlfn.XLOOKUP($A1415,'Base SKUs'!$E:$E,'Base SKUs'!H:H),"")</f>
        <v>S4S</v>
      </c>
      <c r="O1415" t="str">
        <f>IFERROR(_xlfn.XLOOKUP($A1415,'Base SKUs'!$E:$E,'Base SKUs'!I:I),"")</f>
        <v>Tongue &amp; Grooved</v>
      </c>
      <c r="P1415" t="str">
        <f>IFERROR(_xlfn.XLOOKUP($A1415,'Base SKUs'!$E:$E,'Base SKUs'!J:J),"")</f>
        <v>1x6</v>
      </c>
      <c r="Q1415">
        <f>IFERROR(_xlfn.XLOOKUP($A1415,'Base SKUs'!$E:$E,'Base SKUs'!K:K),"")</f>
        <v>9</v>
      </c>
      <c r="R1415" s="7">
        <f>IFERROR(_xlfn.XLOOKUP($A1415,'Base SKUs'!$E:$E,'Base SKUs'!S:S),"")</f>
        <v>7.1854694999999988E-3</v>
      </c>
      <c r="S1415" s="8">
        <f t="shared" si="112"/>
        <v>0.75447429749999984</v>
      </c>
      <c r="T1415" s="7">
        <f>IFERROR(_xlfn.XLOOKUP($A1415,'Base SKUs'!$E:$E,'Base SKUs'!R:R),"")</f>
        <v>1232.8030000000001</v>
      </c>
      <c r="U1415" s="15">
        <f t="shared" si="113"/>
        <v>930</v>
      </c>
      <c r="V1415" t="str">
        <f t="shared" si="114"/>
        <v>Miami</v>
      </c>
    </row>
    <row r="1416" spans="1:22" x14ac:dyDescent="0.2">
      <c r="A1416" t="s">
        <v>1905</v>
      </c>
      <c r="B1416" s="5">
        <v>5</v>
      </c>
      <c r="C1416" s="5">
        <v>0</v>
      </c>
      <c r="D1416" s="5">
        <f t="shared" si="110"/>
        <v>5</v>
      </c>
      <c r="E1416" s="6">
        <v>430.84</v>
      </c>
      <c r="F1416" s="6">
        <f t="shared" si="111"/>
        <v>2154.1999999999998</v>
      </c>
      <c r="G1416" t="s">
        <v>17</v>
      </c>
      <c r="H1416">
        <v>9007</v>
      </c>
      <c r="I1416" t="str">
        <f>IFERROR(_xlfn.XLOOKUP($A1416,'Base SKUs'!$E:$E,'Base SKUs'!A:A),"")</f>
        <v>Woca</v>
      </c>
      <c r="J1416" t="str">
        <f>IFERROR(_xlfn.XLOOKUP($A1416,'Base SKUs'!$E:$E,'Base SKUs'!B:B),"")</f>
        <v>Woca 18L</v>
      </c>
      <c r="K1416" t="str">
        <f>IFERROR(_xlfn.XLOOKUP($A1416,'Base SKUs'!$E:$E,'Base SKUs'!C:C),"")</f>
        <v>Oil</v>
      </c>
      <c r="L1416" t="str">
        <f>IFERROR(_xlfn.XLOOKUP($A1416,'Base SKUs'!$E:$E,'Base SKUs'!D:D),"")</f>
        <v>Woca</v>
      </c>
      <c r="M1416" t="str">
        <f>IFERROR(_xlfn.XLOOKUP($A1416,'Base SKUs'!$E:$E,'Base SKUs'!G:G),"")</f>
        <v>Tropical Conditioning</v>
      </c>
      <c r="N1416" t="str">
        <f>IFERROR(_xlfn.XLOOKUP($A1416,'Base SKUs'!$E:$E,'Base SKUs'!H:H),"")</f>
        <v>18L Industrial Exterior Oil Sp Natural</v>
      </c>
      <c r="O1416" t="str">
        <f>IFERROR(_xlfn.XLOOKUP($A1416,'Base SKUs'!$E:$E,'Base SKUs'!I:I),"")</f>
        <v>-</v>
      </c>
      <c r="P1416" t="str">
        <f>IFERROR(_xlfn.XLOOKUP($A1416,'Base SKUs'!$E:$E,'Base SKUs'!J:J),"")</f>
        <v>18L</v>
      </c>
      <c r="Q1416">
        <f>IFERROR(_xlfn.XLOOKUP($A1416,'Base SKUs'!$E:$E,'Base SKUs'!K:K),"")</f>
        <v>0</v>
      </c>
      <c r="R1416" s="7">
        <f>IFERROR(_xlfn.XLOOKUP($A1416,'Base SKUs'!$E:$E,'Base SKUs'!S:S),"")</f>
        <v>0</v>
      </c>
      <c r="S1416" s="8">
        <f t="shared" si="112"/>
        <v>5</v>
      </c>
      <c r="T1416" s="7">
        <f>IFERROR(_xlfn.XLOOKUP($A1416,'Base SKUs'!$E:$E,'Base SKUs'!R:R),"")</f>
        <v>0</v>
      </c>
      <c r="U1416" s="15">
        <f t="shared" si="113"/>
        <v>5</v>
      </c>
      <c r="V1416" t="str">
        <f t="shared" si="114"/>
        <v>Miami</v>
      </c>
    </row>
    <row r="1417" spans="1:22" x14ac:dyDescent="0.2">
      <c r="A1417" t="s">
        <v>1907</v>
      </c>
      <c r="B1417" s="5">
        <v>117</v>
      </c>
      <c r="C1417" s="5">
        <v>42</v>
      </c>
      <c r="D1417" s="5">
        <f t="shared" si="110"/>
        <v>75</v>
      </c>
      <c r="E1417" s="6">
        <v>64.087100000000007</v>
      </c>
      <c r="F1417" s="6">
        <f t="shared" si="111"/>
        <v>7498.190700000001</v>
      </c>
      <c r="G1417" t="s">
        <v>17</v>
      </c>
      <c r="H1417">
        <v>9007</v>
      </c>
      <c r="I1417" t="str">
        <f>IFERROR(_xlfn.XLOOKUP($A1417,'Base SKUs'!$E:$E,'Base SKUs'!A:A),"")</f>
        <v>Ayous JPL</v>
      </c>
      <c r="J1417" t="str">
        <f>IFERROR(_xlfn.XLOOKUP($A1417,'Base SKUs'!$E:$E,'Base SKUs'!B:B),"")</f>
        <v>Ayous JPL 2x6</v>
      </c>
      <c r="K1417" t="str">
        <f>IFERROR(_xlfn.XLOOKUP($A1417,'Base SKUs'!$E:$E,'Base SKUs'!C:C),"")</f>
        <v>Long</v>
      </c>
      <c r="L1417" t="str">
        <f>IFERROR(_xlfn.XLOOKUP($A1417,'Base SKUs'!$E:$E,'Base SKUs'!D:D),"")</f>
        <v>Thermowood</v>
      </c>
      <c r="M1417" t="str">
        <f>IFERROR(_xlfn.XLOOKUP($A1417,'Base SKUs'!$E:$E,'Base SKUs'!G:G),"")</f>
        <v>Maximo Thermo Ayous JPL</v>
      </c>
      <c r="N1417" t="str">
        <f>IFERROR(_xlfn.XLOOKUP($A1417,'Base SKUs'!$E:$E,'Base SKUs'!H:H),"")</f>
        <v>S4S E4E</v>
      </c>
      <c r="O1417" t="str">
        <f>IFERROR(_xlfn.XLOOKUP($A1417,'Base SKUs'!$E:$E,'Base SKUs'!I:I),"")</f>
        <v>-</v>
      </c>
      <c r="P1417" t="str">
        <f>IFERROR(_xlfn.XLOOKUP($A1417,'Base SKUs'!$E:$E,'Base SKUs'!J:J),"")</f>
        <v>2x6</v>
      </c>
      <c r="Q1417">
        <f>IFERROR(_xlfn.XLOOKUP($A1417,'Base SKUs'!$E:$E,'Base SKUs'!K:K),"")</f>
        <v>19</v>
      </c>
      <c r="R1417" s="7">
        <f>IFERROR(_xlfn.XLOOKUP($A1417,'Base SKUs'!$E:$E,'Base SKUs'!S:S),"")</f>
        <v>3.0817680299999994E-2</v>
      </c>
      <c r="S1417" s="8">
        <f t="shared" si="112"/>
        <v>2.3113260224999994</v>
      </c>
      <c r="T1417" s="7">
        <f>IFERROR(_xlfn.XLOOKUP($A1417,'Base SKUs'!$E:$E,'Base SKUs'!R:R),"")</f>
        <v>616.40099999999995</v>
      </c>
      <c r="U1417" s="15">
        <f t="shared" si="113"/>
        <v>1425</v>
      </c>
      <c r="V1417" t="str">
        <f t="shared" si="114"/>
        <v>Miami</v>
      </c>
    </row>
    <row r="1418" spans="1:22" x14ac:dyDescent="0.2">
      <c r="A1418" t="s">
        <v>1907</v>
      </c>
      <c r="B1418" s="5">
        <v>30</v>
      </c>
      <c r="C1418" s="5">
        <v>0</v>
      </c>
      <c r="D1418" s="5">
        <f t="shared" si="110"/>
        <v>30</v>
      </c>
      <c r="E1418" s="6">
        <v>68.676000000000002</v>
      </c>
      <c r="F1418" s="6">
        <f t="shared" si="111"/>
        <v>2060.2800000000002</v>
      </c>
      <c r="G1418" t="s">
        <v>6145</v>
      </c>
      <c r="H1418">
        <v>9010</v>
      </c>
      <c r="I1418" t="str">
        <f>IFERROR(_xlfn.XLOOKUP($A1418,'Base SKUs'!$E:$E,'Base SKUs'!A:A),"")</f>
        <v>Ayous JPL</v>
      </c>
      <c r="J1418" t="str">
        <f>IFERROR(_xlfn.XLOOKUP($A1418,'Base SKUs'!$E:$E,'Base SKUs'!B:B),"")</f>
        <v>Ayous JPL 2x6</v>
      </c>
      <c r="K1418" t="str">
        <f>IFERROR(_xlfn.XLOOKUP($A1418,'Base SKUs'!$E:$E,'Base SKUs'!C:C),"")</f>
        <v>Long</v>
      </c>
      <c r="L1418" t="str">
        <f>IFERROR(_xlfn.XLOOKUP($A1418,'Base SKUs'!$E:$E,'Base SKUs'!D:D),"")</f>
        <v>Thermowood</v>
      </c>
      <c r="M1418" t="str">
        <f>IFERROR(_xlfn.XLOOKUP($A1418,'Base SKUs'!$E:$E,'Base SKUs'!G:G),"")</f>
        <v>Maximo Thermo Ayous JPL</v>
      </c>
      <c r="N1418" t="str">
        <f>IFERROR(_xlfn.XLOOKUP($A1418,'Base SKUs'!$E:$E,'Base SKUs'!H:H),"")</f>
        <v>S4S E4E</v>
      </c>
      <c r="O1418" t="str">
        <f>IFERROR(_xlfn.XLOOKUP($A1418,'Base SKUs'!$E:$E,'Base SKUs'!I:I),"")</f>
        <v>-</v>
      </c>
      <c r="P1418" t="str">
        <f>IFERROR(_xlfn.XLOOKUP($A1418,'Base SKUs'!$E:$E,'Base SKUs'!J:J),"")</f>
        <v>2x6</v>
      </c>
      <c r="Q1418">
        <f>IFERROR(_xlfn.XLOOKUP($A1418,'Base SKUs'!$E:$E,'Base SKUs'!K:K),"")</f>
        <v>19</v>
      </c>
      <c r="R1418" s="7">
        <f>IFERROR(_xlfn.XLOOKUP($A1418,'Base SKUs'!$E:$E,'Base SKUs'!S:S),"")</f>
        <v>3.0817680299999994E-2</v>
      </c>
      <c r="S1418" s="8">
        <f t="shared" si="112"/>
        <v>0.92453040899999983</v>
      </c>
      <c r="T1418" s="7">
        <f>IFERROR(_xlfn.XLOOKUP($A1418,'Base SKUs'!$E:$E,'Base SKUs'!R:R),"")</f>
        <v>616.40099999999995</v>
      </c>
      <c r="U1418" s="15">
        <f t="shared" si="113"/>
        <v>570</v>
      </c>
      <c r="V1418" t="str">
        <f t="shared" si="114"/>
        <v>BS Detroit</v>
      </c>
    </row>
    <row r="1419" spans="1:22" x14ac:dyDescent="0.2">
      <c r="A1419" t="s">
        <v>1909</v>
      </c>
      <c r="B1419" s="5">
        <v>28</v>
      </c>
      <c r="C1419" s="5">
        <v>0</v>
      </c>
      <c r="D1419" s="5">
        <f t="shared" si="110"/>
        <v>28</v>
      </c>
      <c r="E1419" s="6">
        <v>147.09190000000001</v>
      </c>
      <c r="F1419" s="6">
        <f t="shared" si="111"/>
        <v>4118.5732000000007</v>
      </c>
      <c r="G1419" t="s">
        <v>17</v>
      </c>
      <c r="H1419">
        <v>9007</v>
      </c>
      <c r="I1419" t="str">
        <f>IFERROR(_xlfn.XLOOKUP($A1419,'Base SKUs'!$E:$E,'Base SKUs'!A:A),"")</f>
        <v>Cumaru</v>
      </c>
      <c r="J1419" t="str">
        <f>IFERROR(_xlfn.XLOOKUP($A1419,'Base SKUs'!$E:$E,'Base SKUs'!B:B),"")</f>
        <v>Cumaru 3x12</v>
      </c>
      <c r="K1419" t="str">
        <f>IFERROR(_xlfn.XLOOKUP($A1419,'Base SKUs'!$E:$E,'Base SKUs'!C:C),"")</f>
        <v>Long</v>
      </c>
      <c r="L1419" t="str">
        <f>IFERROR(_xlfn.XLOOKUP($A1419,'Base SKUs'!$E:$E,'Base SKUs'!D:D),"")</f>
        <v>Hardwoods</v>
      </c>
      <c r="M1419" t="str">
        <f>IFERROR(_xlfn.XLOOKUP($A1419,'Base SKUs'!$E:$E,'Base SKUs'!G:G),"")</f>
        <v>Cumaru</v>
      </c>
      <c r="N1419" t="str">
        <f>IFERROR(_xlfn.XLOOKUP($A1419,'Base SKUs'!$E:$E,'Base SKUs'!H:H),"")</f>
        <v>S4S E4E</v>
      </c>
      <c r="O1419" t="str">
        <f>IFERROR(_xlfn.XLOOKUP($A1419,'Base SKUs'!$E:$E,'Base SKUs'!I:I),"")</f>
        <v>-</v>
      </c>
      <c r="P1419" t="str">
        <f>IFERROR(_xlfn.XLOOKUP($A1419,'Base SKUs'!$E:$E,'Base SKUs'!J:J),"")</f>
        <v>3x12</v>
      </c>
      <c r="Q1419">
        <f>IFERROR(_xlfn.XLOOKUP($A1419,'Base SKUs'!$E:$E,'Base SKUs'!K:K),"")</f>
        <v>14</v>
      </c>
      <c r="R1419" s="7">
        <f>IFERROR(_xlfn.XLOOKUP($A1419,'Base SKUs'!$E:$E,'Base SKUs'!S:S),"")</f>
        <v>7.7428877399999985E-2</v>
      </c>
      <c r="S1419" s="8">
        <f t="shared" si="112"/>
        <v>2.1680085671999993</v>
      </c>
      <c r="T1419" s="7">
        <f>IFERROR(_xlfn.XLOOKUP($A1419,'Base SKUs'!$E:$E,'Base SKUs'!R:R),"")</f>
        <v>180.81100000000001</v>
      </c>
      <c r="U1419" s="15">
        <f t="shared" si="113"/>
        <v>392</v>
      </c>
      <c r="V1419" t="str">
        <f t="shared" si="114"/>
        <v>Miami</v>
      </c>
    </row>
    <row r="1420" spans="1:22" x14ac:dyDescent="0.2">
      <c r="A1420" t="s">
        <v>1911</v>
      </c>
      <c r="B1420" s="5">
        <v>1</v>
      </c>
      <c r="C1420" s="5">
        <v>0</v>
      </c>
      <c r="D1420" s="5">
        <f t="shared" si="110"/>
        <v>1</v>
      </c>
      <c r="E1420" s="6">
        <v>80.490200000000002</v>
      </c>
      <c r="F1420" s="6">
        <f t="shared" si="111"/>
        <v>80.490200000000002</v>
      </c>
      <c r="G1420" t="s">
        <v>17</v>
      </c>
      <c r="H1420">
        <v>9007</v>
      </c>
      <c r="I1420" t="str">
        <f>IFERROR(_xlfn.XLOOKUP($A1420,'Base SKUs'!$E:$E,'Base SKUs'!A:A),"")</f>
        <v>Cumaru</v>
      </c>
      <c r="J1420" t="str">
        <f>IFERROR(_xlfn.XLOOKUP($A1420,'Base SKUs'!$E:$E,'Base SKUs'!B:B),"")</f>
        <v>Cumaru 3x8</v>
      </c>
      <c r="K1420" t="str">
        <f>IFERROR(_xlfn.XLOOKUP($A1420,'Base SKUs'!$E:$E,'Base SKUs'!C:C),"")</f>
        <v>Long</v>
      </c>
      <c r="L1420" t="str">
        <f>IFERROR(_xlfn.XLOOKUP($A1420,'Base SKUs'!$E:$E,'Base SKUs'!D:D),"")</f>
        <v>Hardwoods</v>
      </c>
      <c r="M1420" t="str">
        <f>IFERROR(_xlfn.XLOOKUP($A1420,'Base SKUs'!$E:$E,'Base SKUs'!G:G),"")</f>
        <v>Cumaru</v>
      </c>
      <c r="N1420" t="str">
        <f>IFERROR(_xlfn.XLOOKUP($A1420,'Base SKUs'!$E:$E,'Base SKUs'!H:H),"")</f>
        <v>S4S E4E</v>
      </c>
      <c r="O1420" t="str">
        <f>IFERROR(_xlfn.XLOOKUP($A1420,'Base SKUs'!$E:$E,'Base SKUs'!I:I),"")</f>
        <v>-</v>
      </c>
      <c r="P1420" t="str">
        <f>IFERROR(_xlfn.XLOOKUP($A1420,'Base SKUs'!$E:$E,'Base SKUs'!J:J),"")</f>
        <v>3x8</v>
      </c>
      <c r="Q1420">
        <f>IFERROR(_xlfn.XLOOKUP($A1420,'Base SKUs'!$E:$E,'Base SKUs'!K:K),"")</f>
        <v>10</v>
      </c>
      <c r="R1420" s="7">
        <f>IFERROR(_xlfn.XLOOKUP($A1420,'Base SKUs'!$E:$E,'Base SKUs'!S:S),"")</f>
        <v>3.5641864199999998E-2</v>
      </c>
      <c r="S1420" s="8">
        <f t="shared" si="112"/>
        <v>3.5641864199999998E-2</v>
      </c>
      <c r="T1420" s="7">
        <f>IFERROR(_xlfn.XLOOKUP($A1420,'Base SKUs'!$E:$E,'Base SKUs'!R:R),"")</f>
        <v>280.56900000000002</v>
      </c>
      <c r="U1420" s="15">
        <f t="shared" si="113"/>
        <v>10</v>
      </c>
      <c r="V1420" t="str">
        <f t="shared" si="114"/>
        <v>Miami</v>
      </c>
    </row>
    <row r="1421" spans="1:22" x14ac:dyDescent="0.2">
      <c r="A1421" t="s">
        <v>1913</v>
      </c>
      <c r="B1421" s="5">
        <v>1</v>
      </c>
      <c r="C1421" s="5">
        <v>0</v>
      </c>
      <c r="D1421" s="5">
        <f t="shared" si="110"/>
        <v>1</v>
      </c>
      <c r="E1421" s="6">
        <v>144.88249999999999</v>
      </c>
      <c r="F1421" s="6">
        <f t="shared" si="111"/>
        <v>144.88249999999999</v>
      </c>
      <c r="G1421" t="s">
        <v>17</v>
      </c>
      <c r="H1421">
        <v>9007</v>
      </c>
      <c r="I1421" t="str">
        <f>IFERROR(_xlfn.XLOOKUP($A1421,'Base SKUs'!$E:$E,'Base SKUs'!A:A),"")</f>
        <v>Cumaru</v>
      </c>
      <c r="J1421" t="str">
        <f>IFERROR(_xlfn.XLOOKUP($A1421,'Base SKUs'!$E:$E,'Base SKUs'!B:B),"")</f>
        <v>Cumaru 3x8</v>
      </c>
      <c r="K1421" t="str">
        <f>IFERROR(_xlfn.XLOOKUP($A1421,'Base SKUs'!$E:$E,'Base SKUs'!C:C),"")</f>
        <v>Long</v>
      </c>
      <c r="L1421" t="str">
        <f>IFERROR(_xlfn.XLOOKUP($A1421,'Base SKUs'!$E:$E,'Base SKUs'!D:D),"")</f>
        <v>Hardwoods</v>
      </c>
      <c r="M1421" t="str">
        <f>IFERROR(_xlfn.XLOOKUP($A1421,'Base SKUs'!$E:$E,'Base SKUs'!G:G),"")</f>
        <v>Cumaru</v>
      </c>
      <c r="N1421" t="str">
        <f>IFERROR(_xlfn.XLOOKUP($A1421,'Base SKUs'!$E:$E,'Base SKUs'!H:H),"")</f>
        <v>S4S E4E</v>
      </c>
      <c r="O1421" t="str">
        <f>IFERROR(_xlfn.XLOOKUP($A1421,'Base SKUs'!$E:$E,'Base SKUs'!I:I),"")</f>
        <v>-</v>
      </c>
      <c r="P1421" t="str">
        <f>IFERROR(_xlfn.XLOOKUP($A1421,'Base SKUs'!$E:$E,'Base SKUs'!J:J),"")</f>
        <v>3x8</v>
      </c>
      <c r="Q1421">
        <f>IFERROR(_xlfn.XLOOKUP($A1421,'Base SKUs'!$E:$E,'Base SKUs'!K:K),"")</f>
        <v>18</v>
      </c>
      <c r="R1421" s="7">
        <f>IFERROR(_xlfn.XLOOKUP($A1421,'Base SKUs'!$E:$E,'Base SKUs'!S:S),"")</f>
        <v>6.4155355560000002E-2</v>
      </c>
      <c r="S1421" s="8">
        <f t="shared" si="112"/>
        <v>6.4155355560000002E-2</v>
      </c>
      <c r="T1421" s="7">
        <f>IFERROR(_xlfn.XLOOKUP($A1421,'Base SKUs'!$E:$E,'Base SKUs'!R:R),"")</f>
        <v>280.56900000000002</v>
      </c>
      <c r="U1421" s="15">
        <f t="shared" si="113"/>
        <v>18</v>
      </c>
      <c r="V1421" t="str">
        <f t="shared" si="114"/>
        <v>Miami</v>
      </c>
    </row>
    <row r="1422" spans="1:22" x14ac:dyDescent="0.2">
      <c r="A1422" t="s">
        <v>1915</v>
      </c>
      <c r="B1422" s="5">
        <v>34</v>
      </c>
      <c r="C1422" s="5">
        <v>0</v>
      </c>
      <c r="D1422" s="5">
        <f t="shared" si="110"/>
        <v>34</v>
      </c>
      <c r="E1422" s="6">
        <v>77.083200000000005</v>
      </c>
      <c r="F1422" s="6">
        <f t="shared" si="111"/>
        <v>2620.8288000000002</v>
      </c>
      <c r="G1422" t="s">
        <v>17</v>
      </c>
      <c r="H1422">
        <v>9007</v>
      </c>
      <c r="I1422" t="str">
        <f>IFERROR(_xlfn.XLOOKUP($A1422,'Base SKUs'!$E:$E,'Base SKUs'!A:A),"")</f>
        <v>Cumaru</v>
      </c>
      <c r="J1422" t="str">
        <f>IFERROR(_xlfn.XLOOKUP($A1422,'Base SKUs'!$E:$E,'Base SKUs'!B:B),"")</f>
        <v>Cumaru 4x4</v>
      </c>
      <c r="K1422" t="str">
        <f>IFERROR(_xlfn.XLOOKUP($A1422,'Base SKUs'!$E:$E,'Base SKUs'!C:C),"")</f>
        <v>Long</v>
      </c>
      <c r="L1422" t="str">
        <f>IFERROR(_xlfn.XLOOKUP($A1422,'Base SKUs'!$E:$E,'Base SKUs'!D:D),"")</f>
        <v>Hardwoods</v>
      </c>
      <c r="M1422" t="str">
        <f>IFERROR(_xlfn.XLOOKUP($A1422,'Base SKUs'!$E:$E,'Base SKUs'!G:G),"")</f>
        <v>Cumaru</v>
      </c>
      <c r="N1422" t="str">
        <f>IFERROR(_xlfn.XLOOKUP($A1422,'Base SKUs'!$E:$E,'Base SKUs'!H:H),"")</f>
        <v>S4S E4E</v>
      </c>
      <c r="O1422" t="str">
        <f>IFERROR(_xlfn.XLOOKUP($A1422,'Base SKUs'!$E:$E,'Base SKUs'!I:I),"")</f>
        <v>-</v>
      </c>
      <c r="P1422" t="str">
        <f>IFERROR(_xlfn.XLOOKUP($A1422,'Base SKUs'!$E:$E,'Base SKUs'!J:J),"")</f>
        <v>4x4</v>
      </c>
      <c r="Q1422">
        <f>IFERROR(_xlfn.XLOOKUP($A1422,'Base SKUs'!$E:$E,'Base SKUs'!K:K),"")</f>
        <v>20</v>
      </c>
      <c r="R1422" s="7">
        <f>IFERROR(_xlfn.XLOOKUP($A1422,'Base SKUs'!$E:$E,'Base SKUs'!S:S),"")</f>
        <v>4.8177968160000015E-2</v>
      </c>
      <c r="S1422" s="8">
        <f t="shared" si="112"/>
        <v>1.6380509174400004</v>
      </c>
      <c r="T1422" s="7">
        <f>IFERROR(_xlfn.XLOOKUP($A1422,'Base SKUs'!$E:$E,'Base SKUs'!R:R),"")</f>
        <v>415.12799999999999</v>
      </c>
      <c r="U1422" s="15">
        <f t="shared" si="113"/>
        <v>680</v>
      </c>
      <c r="V1422" t="str">
        <f t="shared" si="114"/>
        <v>Miami</v>
      </c>
    </row>
    <row r="1423" spans="1:22" x14ac:dyDescent="0.2">
      <c r="A1423" t="s">
        <v>1917</v>
      </c>
      <c r="B1423" s="5">
        <v>3</v>
      </c>
      <c r="C1423" s="5">
        <v>0</v>
      </c>
      <c r="D1423" s="5">
        <f t="shared" si="110"/>
        <v>3</v>
      </c>
      <c r="E1423" s="6">
        <v>0.85450000000000004</v>
      </c>
      <c r="F1423" s="6">
        <f t="shared" si="111"/>
        <v>2.5635000000000003</v>
      </c>
      <c r="G1423" t="s">
        <v>17</v>
      </c>
      <c r="H1423">
        <v>9007</v>
      </c>
      <c r="I1423" t="str">
        <f>IFERROR(_xlfn.XLOOKUP($A1423,'Base SKUs'!$E:$E,'Base SKUs'!A:A),"")</f>
        <v>Cumaru</v>
      </c>
      <c r="J1423" t="str">
        <f>IFERROR(_xlfn.XLOOKUP($A1423,'Base SKUs'!$E:$E,'Base SKUs'!B:B),"")</f>
        <v>Cumaru 2x8</v>
      </c>
      <c r="K1423" t="str">
        <f>IFERROR(_xlfn.XLOOKUP($A1423,'Base SKUs'!$E:$E,'Base SKUs'!C:C),"")</f>
        <v>Short</v>
      </c>
      <c r="L1423" t="str">
        <f>IFERROR(_xlfn.XLOOKUP($A1423,'Base SKUs'!$E:$E,'Base SKUs'!D:D),"")</f>
        <v>Hardwoods</v>
      </c>
      <c r="M1423" t="str">
        <f>IFERROR(_xlfn.XLOOKUP($A1423,'Base SKUs'!$E:$E,'Base SKUs'!G:G),"")</f>
        <v>Cumaru</v>
      </c>
      <c r="N1423" t="str">
        <f>IFERROR(_xlfn.XLOOKUP($A1423,'Base SKUs'!$E:$E,'Base SKUs'!H:H),"")</f>
        <v>S4S E4E</v>
      </c>
      <c r="O1423" t="str">
        <f>IFERROR(_xlfn.XLOOKUP($A1423,'Base SKUs'!$E:$E,'Base SKUs'!I:I),"")</f>
        <v>-</v>
      </c>
      <c r="P1423" t="str">
        <f>IFERROR(_xlfn.XLOOKUP($A1423,'Base SKUs'!$E:$E,'Base SKUs'!J:J),"")</f>
        <v>2x8</v>
      </c>
      <c r="Q1423">
        <f>IFERROR(_xlfn.XLOOKUP($A1423,'Base SKUs'!$E:$E,'Base SKUs'!K:K),"")</f>
        <v>4</v>
      </c>
      <c r="R1423" s="7">
        <f>IFERROR(_xlfn.XLOOKUP($A1423,'Base SKUs'!$E:$E,'Base SKUs'!S:S),"")</f>
        <v>8.5540474080000005E-3</v>
      </c>
      <c r="S1423" s="8">
        <f t="shared" si="112"/>
        <v>2.5662142224000001E-2</v>
      </c>
      <c r="T1423" s="7">
        <f>IFERROR(_xlfn.XLOOKUP($A1423,'Base SKUs'!$E:$E,'Base SKUs'!R:R),"")</f>
        <v>467.61500000000001</v>
      </c>
      <c r="U1423" s="15">
        <f t="shared" si="113"/>
        <v>12</v>
      </c>
      <c r="V1423" t="str">
        <f t="shared" si="114"/>
        <v>Miami</v>
      </c>
    </row>
    <row r="1424" spans="1:22" x14ac:dyDescent="0.2">
      <c r="A1424" t="s">
        <v>1919</v>
      </c>
      <c r="B1424" s="5">
        <v>2</v>
      </c>
      <c r="C1424" s="5">
        <v>0</v>
      </c>
      <c r="D1424" s="5">
        <f t="shared" si="110"/>
        <v>2</v>
      </c>
      <c r="E1424" s="6">
        <v>1.0681</v>
      </c>
      <c r="F1424" s="6">
        <f t="shared" si="111"/>
        <v>2.1362000000000001</v>
      </c>
      <c r="G1424" t="s">
        <v>17</v>
      </c>
      <c r="H1424">
        <v>9007</v>
      </c>
      <c r="I1424" t="str">
        <f>IFERROR(_xlfn.XLOOKUP($A1424,'Base SKUs'!$E:$E,'Base SKUs'!A:A),"")</f>
        <v>Cumaru</v>
      </c>
      <c r="J1424" t="str">
        <f>IFERROR(_xlfn.XLOOKUP($A1424,'Base SKUs'!$E:$E,'Base SKUs'!B:B),"")</f>
        <v>Cumaru 2x8</v>
      </c>
      <c r="K1424" t="str">
        <f>IFERROR(_xlfn.XLOOKUP($A1424,'Base SKUs'!$E:$E,'Base SKUs'!C:C),"")</f>
        <v>Short</v>
      </c>
      <c r="L1424" t="str">
        <f>IFERROR(_xlfn.XLOOKUP($A1424,'Base SKUs'!$E:$E,'Base SKUs'!D:D),"")</f>
        <v>Hardwoods</v>
      </c>
      <c r="M1424" t="str">
        <f>IFERROR(_xlfn.XLOOKUP($A1424,'Base SKUs'!$E:$E,'Base SKUs'!G:G),"")</f>
        <v>Cumaru</v>
      </c>
      <c r="N1424" t="str">
        <f>IFERROR(_xlfn.XLOOKUP($A1424,'Base SKUs'!$E:$E,'Base SKUs'!H:H),"")</f>
        <v>S4S E4E</v>
      </c>
      <c r="O1424" t="str">
        <f>IFERROR(_xlfn.XLOOKUP($A1424,'Base SKUs'!$E:$E,'Base SKUs'!I:I),"")</f>
        <v>-</v>
      </c>
      <c r="P1424" t="str">
        <f>IFERROR(_xlfn.XLOOKUP($A1424,'Base SKUs'!$E:$E,'Base SKUs'!J:J),"")</f>
        <v>2x8</v>
      </c>
      <c r="Q1424">
        <f>IFERROR(_xlfn.XLOOKUP($A1424,'Base SKUs'!$E:$E,'Base SKUs'!K:K),"")</f>
        <v>5</v>
      </c>
      <c r="R1424" s="7">
        <f>IFERROR(_xlfn.XLOOKUP($A1424,'Base SKUs'!$E:$E,'Base SKUs'!S:S),"")</f>
        <v>1.0692559260000001E-2</v>
      </c>
      <c r="S1424" s="8">
        <f t="shared" si="112"/>
        <v>2.1385118520000003E-2</v>
      </c>
      <c r="T1424" s="7">
        <f>IFERROR(_xlfn.XLOOKUP($A1424,'Base SKUs'!$E:$E,'Base SKUs'!R:R),"")</f>
        <v>467.61500000000001</v>
      </c>
      <c r="U1424" s="15">
        <f t="shared" si="113"/>
        <v>10</v>
      </c>
      <c r="V1424" t="str">
        <f t="shared" si="114"/>
        <v>Miami</v>
      </c>
    </row>
    <row r="1425" spans="1:22" x14ac:dyDescent="0.2">
      <c r="A1425" t="s">
        <v>1921</v>
      </c>
      <c r="B1425" s="5">
        <v>5</v>
      </c>
      <c r="C1425" s="5">
        <v>0</v>
      </c>
      <c r="D1425" s="5">
        <f t="shared" si="110"/>
        <v>5</v>
      </c>
      <c r="E1425" s="6">
        <v>1.2818000000000001</v>
      </c>
      <c r="F1425" s="6">
        <f t="shared" si="111"/>
        <v>6.4090000000000007</v>
      </c>
      <c r="G1425" t="s">
        <v>17</v>
      </c>
      <c r="H1425">
        <v>9007</v>
      </c>
      <c r="I1425" t="str">
        <f>IFERROR(_xlfn.XLOOKUP($A1425,'Base SKUs'!$E:$E,'Base SKUs'!A:A),"")</f>
        <v>Cumaru</v>
      </c>
      <c r="J1425" t="str">
        <f>IFERROR(_xlfn.XLOOKUP($A1425,'Base SKUs'!$E:$E,'Base SKUs'!B:B),"")</f>
        <v>Cumaru 2x8</v>
      </c>
      <c r="K1425" t="str">
        <f>IFERROR(_xlfn.XLOOKUP($A1425,'Base SKUs'!$E:$E,'Base SKUs'!C:C),"")</f>
        <v>Short</v>
      </c>
      <c r="L1425" t="str">
        <f>IFERROR(_xlfn.XLOOKUP($A1425,'Base SKUs'!$E:$E,'Base SKUs'!D:D),"")</f>
        <v>Hardwoods</v>
      </c>
      <c r="M1425" t="str">
        <f>IFERROR(_xlfn.XLOOKUP($A1425,'Base SKUs'!$E:$E,'Base SKUs'!G:G),"")</f>
        <v>Cumaru</v>
      </c>
      <c r="N1425" t="str">
        <f>IFERROR(_xlfn.XLOOKUP($A1425,'Base SKUs'!$E:$E,'Base SKUs'!H:H),"")</f>
        <v>S4S E4E</v>
      </c>
      <c r="O1425" t="str">
        <f>IFERROR(_xlfn.XLOOKUP($A1425,'Base SKUs'!$E:$E,'Base SKUs'!I:I),"")</f>
        <v>-</v>
      </c>
      <c r="P1425" t="str">
        <f>IFERROR(_xlfn.XLOOKUP($A1425,'Base SKUs'!$E:$E,'Base SKUs'!J:J),"")</f>
        <v>2x8</v>
      </c>
      <c r="Q1425">
        <f>IFERROR(_xlfn.XLOOKUP($A1425,'Base SKUs'!$E:$E,'Base SKUs'!K:K),"")</f>
        <v>6</v>
      </c>
      <c r="R1425" s="7">
        <f>IFERROR(_xlfn.XLOOKUP($A1425,'Base SKUs'!$E:$E,'Base SKUs'!S:S),"")</f>
        <v>1.2831071112000001E-2</v>
      </c>
      <c r="S1425" s="8">
        <f t="shared" si="112"/>
        <v>6.4155355560000002E-2</v>
      </c>
      <c r="T1425" s="7">
        <f>IFERROR(_xlfn.XLOOKUP($A1425,'Base SKUs'!$E:$E,'Base SKUs'!R:R),"")</f>
        <v>467.61500000000001</v>
      </c>
      <c r="U1425" s="15">
        <f t="shared" si="113"/>
        <v>30</v>
      </c>
      <c r="V1425" t="str">
        <f t="shared" si="114"/>
        <v>Miami</v>
      </c>
    </row>
    <row r="1426" spans="1:22" x14ac:dyDescent="0.2">
      <c r="A1426" t="s">
        <v>1923</v>
      </c>
      <c r="B1426" s="5">
        <v>2</v>
      </c>
      <c r="C1426" s="5">
        <v>0</v>
      </c>
      <c r="D1426" s="5">
        <f t="shared" si="110"/>
        <v>2</v>
      </c>
      <c r="E1426" s="6">
        <v>1.4954000000000001</v>
      </c>
      <c r="F1426" s="6">
        <f t="shared" si="111"/>
        <v>2.9908000000000001</v>
      </c>
      <c r="G1426" t="s">
        <v>17</v>
      </c>
      <c r="H1426">
        <v>9007</v>
      </c>
      <c r="I1426" t="str">
        <f>IFERROR(_xlfn.XLOOKUP($A1426,'Base SKUs'!$E:$E,'Base SKUs'!A:A),"")</f>
        <v>Cumaru</v>
      </c>
      <c r="J1426" t="str">
        <f>IFERROR(_xlfn.XLOOKUP($A1426,'Base SKUs'!$E:$E,'Base SKUs'!B:B),"")</f>
        <v>Cumaru 2x8</v>
      </c>
      <c r="K1426" t="str">
        <f>IFERROR(_xlfn.XLOOKUP($A1426,'Base SKUs'!$E:$E,'Base SKUs'!C:C),"")</f>
        <v>Short</v>
      </c>
      <c r="L1426" t="str">
        <f>IFERROR(_xlfn.XLOOKUP($A1426,'Base SKUs'!$E:$E,'Base SKUs'!D:D),"")</f>
        <v>Hardwoods</v>
      </c>
      <c r="M1426" t="str">
        <f>IFERROR(_xlfn.XLOOKUP($A1426,'Base SKUs'!$E:$E,'Base SKUs'!G:G),"")</f>
        <v>Cumaru</v>
      </c>
      <c r="N1426" t="str">
        <f>IFERROR(_xlfn.XLOOKUP($A1426,'Base SKUs'!$E:$E,'Base SKUs'!H:H),"")</f>
        <v>S4S E4E</v>
      </c>
      <c r="O1426" t="str">
        <f>IFERROR(_xlfn.XLOOKUP($A1426,'Base SKUs'!$E:$E,'Base SKUs'!I:I),"")</f>
        <v>-</v>
      </c>
      <c r="P1426" t="str">
        <f>IFERROR(_xlfn.XLOOKUP($A1426,'Base SKUs'!$E:$E,'Base SKUs'!J:J),"")</f>
        <v>2x8</v>
      </c>
      <c r="Q1426">
        <f>IFERROR(_xlfn.XLOOKUP($A1426,'Base SKUs'!$E:$E,'Base SKUs'!K:K),"")</f>
        <v>7</v>
      </c>
      <c r="R1426" s="7">
        <f>IFERROR(_xlfn.XLOOKUP($A1426,'Base SKUs'!$E:$E,'Base SKUs'!S:S),"")</f>
        <v>1.4969582964E-2</v>
      </c>
      <c r="S1426" s="8">
        <f t="shared" si="112"/>
        <v>2.9939165928E-2</v>
      </c>
      <c r="T1426" s="7">
        <f>IFERROR(_xlfn.XLOOKUP($A1426,'Base SKUs'!$E:$E,'Base SKUs'!R:R),"")</f>
        <v>467.61500000000001</v>
      </c>
      <c r="U1426" s="15">
        <f t="shared" si="113"/>
        <v>14</v>
      </c>
      <c r="V1426" t="str">
        <f t="shared" si="114"/>
        <v>Miami</v>
      </c>
    </row>
    <row r="1427" spans="1:22" x14ac:dyDescent="0.2">
      <c r="A1427" t="s">
        <v>1925</v>
      </c>
      <c r="B1427" s="5">
        <v>22</v>
      </c>
      <c r="C1427" s="5">
        <v>0</v>
      </c>
      <c r="D1427" s="5">
        <f t="shared" si="110"/>
        <v>22</v>
      </c>
      <c r="E1427" s="6">
        <v>81.598500000000001</v>
      </c>
      <c r="F1427" s="6">
        <f t="shared" si="111"/>
        <v>1795.1669999999999</v>
      </c>
      <c r="G1427" t="s">
        <v>17</v>
      </c>
      <c r="H1427">
        <v>9007</v>
      </c>
      <c r="I1427" t="str">
        <f>IFERROR(_xlfn.XLOOKUP($A1427,'Base SKUs'!$E:$E,'Base SKUs'!A:A),"")</f>
        <v>Cumaru</v>
      </c>
      <c r="J1427" t="str">
        <f>IFERROR(_xlfn.XLOOKUP($A1427,'Base SKUs'!$E:$E,'Base SKUs'!B:B),"")</f>
        <v>Cumaru 5/4x12</v>
      </c>
      <c r="K1427" t="str">
        <f>IFERROR(_xlfn.XLOOKUP($A1427,'Base SKUs'!$E:$E,'Base SKUs'!C:C),"")</f>
        <v>Long</v>
      </c>
      <c r="L1427" t="str">
        <f>IFERROR(_xlfn.XLOOKUP($A1427,'Base SKUs'!$E:$E,'Base SKUs'!D:D),"")</f>
        <v>Hardwoods</v>
      </c>
      <c r="M1427" t="str">
        <f>IFERROR(_xlfn.XLOOKUP($A1427,'Base SKUs'!$E:$E,'Base SKUs'!G:G),"")</f>
        <v>Cumaru</v>
      </c>
      <c r="N1427" t="str">
        <f>IFERROR(_xlfn.XLOOKUP($A1427,'Base SKUs'!$E:$E,'Base SKUs'!H:H),"")</f>
        <v>S4S E4E</v>
      </c>
      <c r="O1427" t="str">
        <f>IFERROR(_xlfn.XLOOKUP($A1427,'Base SKUs'!$E:$E,'Base SKUs'!I:I),"")</f>
        <v>-</v>
      </c>
      <c r="P1427" t="str">
        <f>IFERROR(_xlfn.XLOOKUP($A1427,'Base SKUs'!$E:$E,'Base SKUs'!J:J),"")</f>
        <v>5/4x12</v>
      </c>
      <c r="Q1427">
        <f>IFERROR(_xlfn.XLOOKUP($A1427,'Base SKUs'!$E:$E,'Base SKUs'!K:K),"")</f>
        <v>20</v>
      </c>
      <c r="R1427" s="7">
        <f>IFERROR(_xlfn.XLOOKUP($A1427,'Base SKUs'!$E:$E,'Base SKUs'!S:S),"")</f>
        <v>4.42450728E-2</v>
      </c>
      <c r="S1427" s="8">
        <f t="shared" si="112"/>
        <v>0.97339160160000004</v>
      </c>
      <c r="T1427" s="7">
        <f>IFERROR(_xlfn.XLOOKUP($A1427,'Base SKUs'!$E:$E,'Base SKUs'!R:R),"")</f>
        <v>452.02800000000002</v>
      </c>
      <c r="U1427" s="15">
        <f t="shared" si="113"/>
        <v>440</v>
      </c>
      <c r="V1427" t="str">
        <f t="shared" si="114"/>
        <v>Miami</v>
      </c>
    </row>
    <row r="1428" spans="1:22" x14ac:dyDescent="0.2">
      <c r="A1428" t="s">
        <v>1927</v>
      </c>
      <c r="B1428" s="5">
        <v>160</v>
      </c>
      <c r="C1428" s="5">
        <v>0</v>
      </c>
      <c r="D1428" s="5">
        <f t="shared" si="110"/>
        <v>160</v>
      </c>
      <c r="E1428" s="6">
        <v>40.449399999999997</v>
      </c>
      <c r="F1428" s="6">
        <f t="shared" si="111"/>
        <v>6471.9039999999995</v>
      </c>
      <c r="G1428" t="s">
        <v>24</v>
      </c>
      <c r="H1428">
        <v>9008</v>
      </c>
      <c r="I1428" t="str">
        <f>IFERROR(_xlfn.XLOOKUP($A1428,'Base SKUs'!$E:$E,'Base SKUs'!A:A),"")</f>
        <v>Ayous</v>
      </c>
      <c r="J1428" t="str">
        <f>IFERROR(_xlfn.XLOOKUP($A1428,'Base SKUs'!$E:$E,'Base SKUs'!B:B),"")</f>
        <v>Ayous 1x6</v>
      </c>
      <c r="K1428" t="str">
        <f>IFERROR(_xlfn.XLOOKUP($A1428,'Base SKUs'!$E:$E,'Base SKUs'!C:C),"")</f>
        <v>Long</v>
      </c>
      <c r="L1428" t="str">
        <f>IFERROR(_xlfn.XLOOKUP($A1428,'Base SKUs'!$E:$E,'Base SKUs'!D:D),"")</f>
        <v>Thermowood</v>
      </c>
      <c r="M1428" t="str">
        <f>IFERROR(_xlfn.XLOOKUP($A1428,'Base SKUs'!$E:$E,'Base SKUs'!G:G),"")</f>
        <v>Maximo Thermo Ayous</v>
      </c>
      <c r="N1428" t="str">
        <f>IFERROR(_xlfn.XLOOKUP($A1428,'Base SKUs'!$E:$E,'Base SKUs'!H:H),"")</f>
        <v>Alfa Profile</v>
      </c>
      <c r="O1428" t="str">
        <f>IFERROR(_xlfn.XLOOKUP($A1428,'Base SKUs'!$E:$E,'Base SKUs'!I:I),"")</f>
        <v>Groco Matte</v>
      </c>
      <c r="P1428" t="str">
        <f>IFERROR(_xlfn.XLOOKUP($A1428,'Base SKUs'!$E:$E,'Base SKUs'!J:J),"")</f>
        <v>1x6</v>
      </c>
      <c r="Q1428">
        <f>IFERROR(_xlfn.XLOOKUP($A1428,'Base SKUs'!$E:$E,'Base SKUs'!K:K),"")</f>
        <v>14</v>
      </c>
      <c r="R1428" s="7">
        <f>IFERROR(_xlfn.XLOOKUP($A1428,'Base SKUs'!$E:$E,'Base SKUs'!S:S),"")</f>
        <v>1.1172E-2</v>
      </c>
      <c r="S1428" s="8">
        <f t="shared" si="112"/>
        <v>1.78752</v>
      </c>
      <c r="T1428" s="7">
        <f>IFERROR(_xlfn.XLOOKUP($A1428,'Base SKUs'!$E:$E,'Base SKUs'!R:R),"")</f>
        <v>1233.3979999999999</v>
      </c>
      <c r="U1428" s="15">
        <f t="shared" si="113"/>
        <v>2205</v>
      </c>
      <c r="V1428" t="str">
        <f t="shared" si="114"/>
        <v>Texas</v>
      </c>
    </row>
    <row r="1429" spans="1:22" x14ac:dyDescent="0.2">
      <c r="A1429" t="s">
        <v>1929</v>
      </c>
      <c r="B1429" s="5">
        <v>228</v>
      </c>
      <c r="C1429" s="5">
        <v>0</v>
      </c>
      <c r="D1429" s="5">
        <f t="shared" si="110"/>
        <v>228</v>
      </c>
      <c r="E1429" s="6">
        <v>46.227899999999998</v>
      </c>
      <c r="F1429" s="6">
        <f t="shared" si="111"/>
        <v>10539.9612</v>
      </c>
      <c r="G1429" t="s">
        <v>24</v>
      </c>
      <c r="H1429">
        <v>9008</v>
      </c>
      <c r="I1429" t="str">
        <f>IFERROR(_xlfn.XLOOKUP($A1429,'Base SKUs'!$E:$E,'Base SKUs'!A:A),"")</f>
        <v>Ayous</v>
      </c>
      <c r="J1429" t="str">
        <f>IFERROR(_xlfn.XLOOKUP($A1429,'Base SKUs'!$E:$E,'Base SKUs'!B:B),"")</f>
        <v>Ayous 1x6</v>
      </c>
      <c r="K1429" t="str">
        <f>IFERROR(_xlfn.XLOOKUP($A1429,'Base SKUs'!$E:$E,'Base SKUs'!C:C),"")</f>
        <v>Long</v>
      </c>
      <c r="L1429" t="str">
        <f>IFERROR(_xlfn.XLOOKUP($A1429,'Base SKUs'!$E:$E,'Base SKUs'!D:D),"")</f>
        <v>Thermowood</v>
      </c>
      <c r="M1429" t="str">
        <f>IFERROR(_xlfn.XLOOKUP($A1429,'Base SKUs'!$E:$E,'Base SKUs'!G:G),"")</f>
        <v>Maximo Thermo Ayous</v>
      </c>
      <c r="N1429" t="str">
        <f>IFERROR(_xlfn.XLOOKUP($A1429,'Base SKUs'!$E:$E,'Base SKUs'!H:H),"")</f>
        <v>Alfa Profile</v>
      </c>
      <c r="O1429" t="str">
        <f>IFERROR(_xlfn.XLOOKUP($A1429,'Base SKUs'!$E:$E,'Base SKUs'!I:I),"")</f>
        <v>Groco Matte</v>
      </c>
      <c r="P1429" t="str">
        <f>IFERROR(_xlfn.XLOOKUP($A1429,'Base SKUs'!$E:$E,'Base SKUs'!J:J),"")</f>
        <v>1x6</v>
      </c>
      <c r="Q1429">
        <f>IFERROR(_xlfn.XLOOKUP($A1429,'Base SKUs'!$E:$E,'Base SKUs'!K:K),"")</f>
        <v>16</v>
      </c>
      <c r="R1429" s="7">
        <f>IFERROR(_xlfn.XLOOKUP($A1429,'Base SKUs'!$E:$E,'Base SKUs'!S:S),"")</f>
        <v>1.2768E-2</v>
      </c>
      <c r="S1429" s="8">
        <f t="shared" si="112"/>
        <v>2.9111039999999999</v>
      </c>
      <c r="T1429" s="7">
        <f>IFERROR(_xlfn.XLOOKUP($A1429,'Base SKUs'!$E:$E,'Base SKUs'!R:R),"")</f>
        <v>1233.3979999999999</v>
      </c>
      <c r="U1429" s="15">
        <f t="shared" si="113"/>
        <v>3591</v>
      </c>
      <c r="V1429" t="str">
        <f t="shared" si="114"/>
        <v>Texas</v>
      </c>
    </row>
    <row r="1430" spans="1:22" x14ac:dyDescent="0.2">
      <c r="A1430" t="s">
        <v>1931</v>
      </c>
      <c r="B1430" s="5">
        <v>28</v>
      </c>
      <c r="C1430" s="5">
        <v>17</v>
      </c>
      <c r="D1430" s="5">
        <f t="shared" si="110"/>
        <v>11</v>
      </c>
      <c r="E1430" s="6">
        <v>209.875</v>
      </c>
      <c r="F1430" s="6">
        <f t="shared" si="111"/>
        <v>5876.5</v>
      </c>
      <c r="G1430" t="s">
        <v>17</v>
      </c>
      <c r="H1430">
        <v>9007</v>
      </c>
      <c r="I1430" t="str">
        <f>IFERROR(_xlfn.XLOOKUP($A1430,'Base SKUs'!$E:$E,'Base SKUs'!A:A),"")</f>
        <v>Ipe</v>
      </c>
      <c r="J1430" t="str">
        <f>IFERROR(_xlfn.XLOOKUP($A1430,'Base SKUs'!$E:$E,'Base SKUs'!B:B),"")</f>
        <v>Ipe 2x12</v>
      </c>
      <c r="K1430" t="str">
        <f>IFERROR(_xlfn.XLOOKUP($A1430,'Base SKUs'!$E:$E,'Base SKUs'!C:C),"")</f>
        <v>Long</v>
      </c>
      <c r="L1430" t="str">
        <f>IFERROR(_xlfn.XLOOKUP($A1430,'Base SKUs'!$E:$E,'Base SKUs'!D:D),"")</f>
        <v>Hardwoods</v>
      </c>
      <c r="M1430" t="str">
        <f>IFERROR(_xlfn.XLOOKUP($A1430,'Base SKUs'!$E:$E,'Base SKUs'!G:G),"")</f>
        <v>Ipe</v>
      </c>
      <c r="N1430" t="str">
        <f>IFERROR(_xlfn.XLOOKUP($A1430,'Base SKUs'!$E:$E,'Base SKUs'!H:H),"")</f>
        <v>S4S E4E</v>
      </c>
      <c r="O1430" t="str">
        <f>IFERROR(_xlfn.XLOOKUP($A1430,'Base SKUs'!$E:$E,'Base SKUs'!I:I),"")</f>
        <v>-</v>
      </c>
      <c r="P1430" t="str">
        <f>IFERROR(_xlfn.XLOOKUP($A1430,'Base SKUs'!$E:$E,'Base SKUs'!J:J),"")</f>
        <v>2x12</v>
      </c>
      <c r="Q1430">
        <f>IFERROR(_xlfn.XLOOKUP($A1430,'Base SKUs'!$E:$E,'Base SKUs'!K:K),"")</f>
        <v>22</v>
      </c>
      <c r="R1430" s="7">
        <f>IFERROR(_xlfn.XLOOKUP($A1430,'Base SKUs'!$E:$E,'Base SKUs'!S:S),"")</f>
        <v>7.3004370120000009E-2</v>
      </c>
      <c r="S1430" s="8">
        <f t="shared" si="112"/>
        <v>0.80304807132000011</v>
      </c>
      <c r="T1430" s="7">
        <f>IFERROR(_xlfn.XLOOKUP($A1430,'Base SKUs'!$E:$E,'Base SKUs'!R:R),"")</f>
        <v>301.35199999999998</v>
      </c>
      <c r="U1430" s="15">
        <f t="shared" si="113"/>
        <v>242</v>
      </c>
      <c r="V1430" t="str">
        <f t="shared" si="114"/>
        <v>Miami</v>
      </c>
    </row>
    <row r="1431" spans="1:22" x14ac:dyDescent="0.2">
      <c r="A1431" t="s">
        <v>1933</v>
      </c>
      <c r="B1431" s="5">
        <v>24</v>
      </c>
      <c r="C1431" s="5">
        <v>0</v>
      </c>
      <c r="D1431" s="5">
        <f t="shared" si="110"/>
        <v>24</v>
      </c>
      <c r="E1431" s="6">
        <v>228.9777</v>
      </c>
      <c r="F1431" s="6">
        <f t="shared" si="111"/>
        <v>5495.4647999999997</v>
      </c>
      <c r="G1431" t="s">
        <v>24</v>
      </c>
      <c r="H1431">
        <v>9008</v>
      </c>
      <c r="I1431" t="str">
        <f>IFERROR(_xlfn.XLOOKUP($A1431,'Base SKUs'!$E:$E,'Base SKUs'!A:A),"")</f>
        <v>Ipe</v>
      </c>
      <c r="J1431" t="str">
        <f>IFERROR(_xlfn.XLOOKUP($A1431,'Base SKUs'!$E:$E,'Base SKUs'!B:B),"")</f>
        <v>Ipe 2x12</v>
      </c>
      <c r="K1431" t="str">
        <f>IFERROR(_xlfn.XLOOKUP($A1431,'Base SKUs'!$E:$E,'Base SKUs'!C:C),"")</f>
        <v>Long</v>
      </c>
      <c r="L1431" t="str">
        <f>IFERROR(_xlfn.XLOOKUP($A1431,'Base SKUs'!$E:$E,'Base SKUs'!D:D),"")</f>
        <v>Hardwoods</v>
      </c>
      <c r="M1431" t="str">
        <f>IFERROR(_xlfn.XLOOKUP($A1431,'Base SKUs'!$E:$E,'Base SKUs'!G:G),"")</f>
        <v>Ipe</v>
      </c>
      <c r="N1431" t="str">
        <f>IFERROR(_xlfn.XLOOKUP($A1431,'Base SKUs'!$E:$E,'Base SKUs'!H:H),"")</f>
        <v>S4S E4E</v>
      </c>
      <c r="O1431" t="str">
        <f>IFERROR(_xlfn.XLOOKUP($A1431,'Base SKUs'!$E:$E,'Base SKUs'!I:I),"")</f>
        <v>-</v>
      </c>
      <c r="P1431" t="str">
        <f>IFERROR(_xlfn.XLOOKUP($A1431,'Base SKUs'!$E:$E,'Base SKUs'!J:J),"")</f>
        <v>2x12</v>
      </c>
      <c r="Q1431">
        <f>IFERROR(_xlfn.XLOOKUP($A1431,'Base SKUs'!$E:$E,'Base SKUs'!K:K),"")</f>
        <v>24</v>
      </c>
      <c r="R1431" s="7">
        <f>IFERROR(_xlfn.XLOOKUP($A1431,'Base SKUs'!$E:$E,'Base SKUs'!S:S),"")</f>
        <v>7.9641131040000007E-2</v>
      </c>
      <c r="S1431" s="8">
        <f t="shared" si="112"/>
        <v>1.9113871449600002</v>
      </c>
      <c r="T1431" s="7">
        <f>IFERROR(_xlfn.XLOOKUP($A1431,'Base SKUs'!$E:$E,'Base SKUs'!R:R),"")</f>
        <v>301.35199999999998</v>
      </c>
      <c r="U1431" s="15">
        <f t="shared" si="113"/>
        <v>576</v>
      </c>
      <c r="V1431" t="str">
        <f t="shared" si="114"/>
        <v>Texas</v>
      </c>
    </row>
    <row r="1432" spans="1:22" x14ac:dyDescent="0.2">
      <c r="A1432" t="s">
        <v>1933</v>
      </c>
      <c r="B1432" s="5">
        <v>27</v>
      </c>
      <c r="C1432" s="5">
        <v>0</v>
      </c>
      <c r="D1432" s="5">
        <f t="shared" si="110"/>
        <v>27</v>
      </c>
      <c r="E1432" s="6">
        <v>228.9777</v>
      </c>
      <c r="F1432" s="6">
        <f t="shared" si="111"/>
        <v>6182.3978999999999</v>
      </c>
      <c r="G1432" t="s">
        <v>330</v>
      </c>
      <c r="H1432">
        <v>9011</v>
      </c>
      <c r="I1432" t="str">
        <f>IFERROR(_xlfn.XLOOKUP($A1432,'Base SKUs'!$E:$E,'Base SKUs'!A:A),"")</f>
        <v>Ipe</v>
      </c>
      <c r="J1432" t="str">
        <f>IFERROR(_xlfn.XLOOKUP($A1432,'Base SKUs'!$E:$E,'Base SKUs'!B:B),"")</f>
        <v>Ipe 2x12</v>
      </c>
      <c r="K1432" t="str">
        <f>IFERROR(_xlfn.XLOOKUP($A1432,'Base SKUs'!$E:$E,'Base SKUs'!C:C),"")</f>
        <v>Long</v>
      </c>
      <c r="L1432" t="str">
        <f>IFERROR(_xlfn.XLOOKUP($A1432,'Base SKUs'!$E:$E,'Base SKUs'!D:D),"")</f>
        <v>Hardwoods</v>
      </c>
      <c r="M1432" t="str">
        <f>IFERROR(_xlfn.XLOOKUP($A1432,'Base SKUs'!$E:$E,'Base SKUs'!G:G),"")</f>
        <v>Ipe</v>
      </c>
      <c r="N1432" t="str">
        <f>IFERROR(_xlfn.XLOOKUP($A1432,'Base SKUs'!$E:$E,'Base SKUs'!H:H),"")</f>
        <v>S4S E4E</v>
      </c>
      <c r="O1432" t="str">
        <f>IFERROR(_xlfn.XLOOKUP($A1432,'Base SKUs'!$E:$E,'Base SKUs'!I:I),"")</f>
        <v>-</v>
      </c>
      <c r="P1432" t="str">
        <f>IFERROR(_xlfn.XLOOKUP($A1432,'Base SKUs'!$E:$E,'Base SKUs'!J:J),"")</f>
        <v>2x12</v>
      </c>
      <c r="Q1432">
        <f>IFERROR(_xlfn.XLOOKUP($A1432,'Base SKUs'!$E:$E,'Base SKUs'!K:K),"")</f>
        <v>24</v>
      </c>
      <c r="R1432" s="7">
        <f>IFERROR(_xlfn.XLOOKUP($A1432,'Base SKUs'!$E:$E,'Base SKUs'!S:S),"")</f>
        <v>7.9641131040000007E-2</v>
      </c>
      <c r="S1432" s="8">
        <f t="shared" si="112"/>
        <v>2.1503105380800003</v>
      </c>
      <c r="T1432" s="7">
        <f>IFERROR(_xlfn.XLOOKUP($A1432,'Base SKUs'!$E:$E,'Base SKUs'!R:R),"")</f>
        <v>301.35199999999998</v>
      </c>
      <c r="U1432" s="15">
        <f t="shared" si="113"/>
        <v>648</v>
      </c>
      <c r="V1432" t="str">
        <f t="shared" si="114"/>
        <v>New York</v>
      </c>
    </row>
    <row r="1433" spans="1:22" x14ac:dyDescent="0.2">
      <c r="A1433" t="s">
        <v>1935</v>
      </c>
      <c r="B1433" s="5">
        <v>70</v>
      </c>
      <c r="C1433" s="5">
        <v>0</v>
      </c>
      <c r="D1433" s="5">
        <f t="shared" si="110"/>
        <v>70</v>
      </c>
      <c r="E1433" s="6">
        <v>132.66079999999999</v>
      </c>
      <c r="F1433" s="6">
        <f t="shared" si="111"/>
        <v>9286.2559999999994</v>
      </c>
      <c r="G1433" t="s">
        <v>24</v>
      </c>
      <c r="H1433">
        <v>9008</v>
      </c>
      <c r="I1433" t="str">
        <f>IFERROR(_xlfn.XLOOKUP($A1433,'Base SKUs'!$E:$E,'Base SKUs'!A:A),"")</f>
        <v>Ipe</v>
      </c>
      <c r="J1433" t="str">
        <f>IFERROR(_xlfn.XLOOKUP($A1433,'Base SKUs'!$E:$E,'Base SKUs'!B:B),"")</f>
        <v>Ipe 2x8</v>
      </c>
      <c r="K1433" t="str">
        <f>IFERROR(_xlfn.XLOOKUP($A1433,'Base SKUs'!$E:$E,'Base SKUs'!C:C),"")</f>
        <v>Long</v>
      </c>
      <c r="L1433" t="str">
        <f>IFERROR(_xlfn.XLOOKUP($A1433,'Base SKUs'!$E:$E,'Base SKUs'!D:D),"")</f>
        <v>Hardwoods</v>
      </c>
      <c r="M1433" t="str">
        <f>IFERROR(_xlfn.XLOOKUP($A1433,'Base SKUs'!$E:$E,'Base SKUs'!G:G),"")</f>
        <v>Ipe</v>
      </c>
      <c r="N1433" t="str">
        <f>IFERROR(_xlfn.XLOOKUP($A1433,'Base SKUs'!$E:$E,'Base SKUs'!H:H),"")</f>
        <v>S4S E4E</v>
      </c>
      <c r="O1433" t="str">
        <f>IFERROR(_xlfn.XLOOKUP($A1433,'Base SKUs'!$E:$E,'Base SKUs'!I:I),"")</f>
        <v>-</v>
      </c>
      <c r="P1433" t="str">
        <f>IFERROR(_xlfn.XLOOKUP($A1433,'Base SKUs'!$E:$E,'Base SKUs'!J:J),"")</f>
        <v>2x8</v>
      </c>
      <c r="Q1433">
        <f>IFERROR(_xlfn.XLOOKUP($A1433,'Base SKUs'!$E:$E,'Base SKUs'!K:K),"")</f>
        <v>22</v>
      </c>
      <c r="R1433" s="7">
        <f>IFERROR(_xlfn.XLOOKUP($A1433,'Base SKUs'!$E:$E,'Base SKUs'!S:S),"")</f>
        <v>4.7047260744000001E-2</v>
      </c>
      <c r="S1433" s="8">
        <f t="shared" si="112"/>
        <v>3.2933082520800001</v>
      </c>
      <c r="T1433" s="7">
        <f>IFERROR(_xlfn.XLOOKUP($A1433,'Base SKUs'!$E:$E,'Base SKUs'!R:R),"")</f>
        <v>467.61500000000001</v>
      </c>
      <c r="U1433" s="15">
        <f t="shared" si="113"/>
        <v>1540</v>
      </c>
      <c r="V1433" t="str">
        <f t="shared" si="114"/>
        <v>Texas</v>
      </c>
    </row>
    <row r="1434" spans="1:22" x14ac:dyDescent="0.2">
      <c r="A1434" t="s">
        <v>1937</v>
      </c>
      <c r="B1434" s="5">
        <v>5</v>
      </c>
      <c r="C1434" s="5">
        <v>0</v>
      </c>
      <c r="D1434" s="5">
        <f t="shared" si="110"/>
        <v>5</v>
      </c>
      <c r="E1434" s="6">
        <v>21.701699999999999</v>
      </c>
      <c r="F1434" s="6">
        <f t="shared" si="111"/>
        <v>108.5085</v>
      </c>
      <c r="G1434" t="s">
        <v>24</v>
      </c>
      <c r="H1434">
        <v>9008</v>
      </c>
      <c r="I1434" t="str">
        <f>IFERROR(_xlfn.XLOOKUP($A1434,'Base SKUs'!$E:$E,'Base SKUs'!A:A),"")</f>
        <v>Ipe</v>
      </c>
      <c r="J1434" t="str">
        <f>IFERROR(_xlfn.XLOOKUP($A1434,'Base SKUs'!$E:$E,'Base SKUs'!B:B),"")</f>
        <v>Ipe 2x2</v>
      </c>
      <c r="K1434" t="str">
        <f>IFERROR(_xlfn.XLOOKUP($A1434,'Base SKUs'!$E:$E,'Base SKUs'!C:C),"")</f>
        <v>Long</v>
      </c>
      <c r="L1434" t="str">
        <f>IFERROR(_xlfn.XLOOKUP($A1434,'Base SKUs'!$E:$E,'Base SKUs'!D:D),"")</f>
        <v>Hardwoods</v>
      </c>
      <c r="M1434" t="str">
        <f>IFERROR(_xlfn.XLOOKUP($A1434,'Base SKUs'!$E:$E,'Base SKUs'!G:G),"")</f>
        <v>Ipe</v>
      </c>
      <c r="N1434" t="str">
        <f>IFERROR(_xlfn.XLOOKUP($A1434,'Base SKUs'!$E:$E,'Base SKUs'!H:H),"")</f>
        <v>S4S E4E</v>
      </c>
      <c r="O1434" t="str">
        <f>IFERROR(_xlfn.XLOOKUP($A1434,'Base SKUs'!$E:$E,'Base SKUs'!I:I),"")</f>
        <v>-</v>
      </c>
      <c r="P1434" t="str">
        <f>IFERROR(_xlfn.XLOOKUP($A1434,'Base SKUs'!$E:$E,'Base SKUs'!J:J),"")</f>
        <v>2x2</v>
      </c>
      <c r="Q1434">
        <f>IFERROR(_xlfn.XLOOKUP($A1434,'Base SKUs'!$E:$E,'Base SKUs'!K:K),"")</f>
        <v>22</v>
      </c>
      <c r="R1434" s="7">
        <f>IFERROR(_xlfn.XLOOKUP($A1434,'Base SKUs'!$E:$E,'Base SKUs'!S:S),"")</f>
        <v>9.7339160160000004E-3</v>
      </c>
      <c r="S1434" s="8">
        <f t="shared" si="112"/>
        <v>4.8669580080000004E-2</v>
      </c>
      <c r="T1434" s="7">
        <f>IFERROR(_xlfn.XLOOKUP($A1434,'Base SKUs'!$E:$E,'Base SKUs'!R:R),"")</f>
        <v>2260.1390000000001</v>
      </c>
      <c r="U1434" s="15">
        <f t="shared" si="113"/>
        <v>110</v>
      </c>
      <c r="V1434" t="str">
        <f t="shared" si="114"/>
        <v>Texas</v>
      </c>
    </row>
    <row r="1435" spans="1:22" x14ac:dyDescent="0.2">
      <c r="A1435" t="s">
        <v>1937</v>
      </c>
      <c r="B1435" s="5">
        <v>36</v>
      </c>
      <c r="C1435" s="5">
        <v>0</v>
      </c>
      <c r="D1435" s="5">
        <f t="shared" si="110"/>
        <v>36</v>
      </c>
      <c r="E1435" s="6">
        <v>21.701699999999999</v>
      </c>
      <c r="F1435" s="6">
        <f t="shared" si="111"/>
        <v>781.26119999999992</v>
      </c>
      <c r="G1435" t="s">
        <v>330</v>
      </c>
      <c r="H1435">
        <v>9011</v>
      </c>
      <c r="I1435" t="str">
        <f>IFERROR(_xlfn.XLOOKUP($A1435,'Base SKUs'!$E:$E,'Base SKUs'!A:A),"")</f>
        <v>Ipe</v>
      </c>
      <c r="J1435" t="str">
        <f>IFERROR(_xlfn.XLOOKUP($A1435,'Base SKUs'!$E:$E,'Base SKUs'!B:B),"")</f>
        <v>Ipe 2x2</v>
      </c>
      <c r="K1435" t="str">
        <f>IFERROR(_xlfn.XLOOKUP($A1435,'Base SKUs'!$E:$E,'Base SKUs'!C:C),"")</f>
        <v>Long</v>
      </c>
      <c r="L1435" t="str">
        <f>IFERROR(_xlfn.XLOOKUP($A1435,'Base SKUs'!$E:$E,'Base SKUs'!D:D),"")</f>
        <v>Hardwoods</v>
      </c>
      <c r="M1435" t="str">
        <f>IFERROR(_xlfn.XLOOKUP($A1435,'Base SKUs'!$E:$E,'Base SKUs'!G:G),"")</f>
        <v>Ipe</v>
      </c>
      <c r="N1435" t="str">
        <f>IFERROR(_xlfn.XLOOKUP($A1435,'Base SKUs'!$E:$E,'Base SKUs'!H:H),"")</f>
        <v>S4S E4E</v>
      </c>
      <c r="O1435" t="str">
        <f>IFERROR(_xlfn.XLOOKUP($A1435,'Base SKUs'!$E:$E,'Base SKUs'!I:I),"")</f>
        <v>-</v>
      </c>
      <c r="P1435" t="str">
        <f>IFERROR(_xlfn.XLOOKUP($A1435,'Base SKUs'!$E:$E,'Base SKUs'!J:J),"")</f>
        <v>2x2</v>
      </c>
      <c r="Q1435">
        <f>IFERROR(_xlfn.XLOOKUP($A1435,'Base SKUs'!$E:$E,'Base SKUs'!K:K),"")</f>
        <v>22</v>
      </c>
      <c r="R1435" s="7">
        <f>IFERROR(_xlfn.XLOOKUP($A1435,'Base SKUs'!$E:$E,'Base SKUs'!S:S),"")</f>
        <v>9.7339160160000004E-3</v>
      </c>
      <c r="S1435" s="8">
        <f t="shared" si="112"/>
        <v>0.35042097657600002</v>
      </c>
      <c r="T1435" s="7">
        <f>IFERROR(_xlfn.XLOOKUP($A1435,'Base SKUs'!$E:$E,'Base SKUs'!R:R),"")</f>
        <v>2260.1390000000001</v>
      </c>
      <c r="U1435" s="15">
        <f t="shared" si="113"/>
        <v>792</v>
      </c>
      <c r="V1435" t="str">
        <f t="shared" si="114"/>
        <v>New York</v>
      </c>
    </row>
    <row r="1436" spans="1:22" x14ac:dyDescent="0.2">
      <c r="A1436" t="s">
        <v>1939</v>
      </c>
      <c r="B1436" s="5">
        <v>3</v>
      </c>
      <c r="C1436" s="5">
        <v>0</v>
      </c>
      <c r="D1436" s="5">
        <f t="shared" si="110"/>
        <v>3</v>
      </c>
      <c r="E1436" s="6">
        <v>26.4377</v>
      </c>
      <c r="F1436" s="6">
        <f t="shared" si="111"/>
        <v>79.313099999999991</v>
      </c>
      <c r="G1436" t="s">
        <v>17</v>
      </c>
      <c r="H1436">
        <v>9007</v>
      </c>
      <c r="I1436" t="str">
        <f>IFERROR(_xlfn.XLOOKUP($A1436,'Base SKUs'!$E:$E,'Base SKUs'!A:A),"")</f>
        <v>Ipe</v>
      </c>
      <c r="J1436" t="str">
        <f>IFERROR(_xlfn.XLOOKUP($A1436,'Base SKUs'!$E:$E,'Base SKUs'!B:B),"")</f>
        <v>Ipe 4x6</v>
      </c>
      <c r="K1436" t="str">
        <f>IFERROR(_xlfn.XLOOKUP($A1436,'Base SKUs'!$E:$E,'Base SKUs'!C:C),"")</f>
        <v>Long</v>
      </c>
      <c r="L1436" t="str">
        <f>IFERROR(_xlfn.XLOOKUP($A1436,'Base SKUs'!$E:$E,'Base SKUs'!D:D),"")</f>
        <v>Hardwoods</v>
      </c>
      <c r="M1436" t="str">
        <f>IFERROR(_xlfn.XLOOKUP($A1436,'Base SKUs'!$E:$E,'Base SKUs'!G:G),"")</f>
        <v>Ipe</v>
      </c>
      <c r="N1436" t="str">
        <f>IFERROR(_xlfn.XLOOKUP($A1436,'Base SKUs'!$E:$E,'Base SKUs'!H:H),"")</f>
        <v>S4S E4E</v>
      </c>
      <c r="O1436" t="str">
        <f>IFERROR(_xlfn.XLOOKUP($A1436,'Base SKUs'!$E:$E,'Base SKUs'!I:I),"")</f>
        <v>-</v>
      </c>
      <c r="P1436" t="str">
        <f>IFERROR(_xlfn.XLOOKUP($A1436,'Base SKUs'!$E:$E,'Base SKUs'!J:J),"")</f>
        <v>4x6</v>
      </c>
      <c r="Q1436">
        <f>IFERROR(_xlfn.XLOOKUP($A1436,'Base SKUs'!$E:$E,'Base SKUs'!K:K),"")</f>
        <v>2</v>
      </c>
      <c r="R1436" s="7">
        <f>IFERROR(_xlfn.XLOOKUP($A1436,'Base SKUs'!$E:$E,'Base SKUs'!S:S),"")</f>
        <v>7.5708235680000003E-3</v>
      </c>
      <c r="S1436" s="8">
        <f t="shared" si="112"/>
        <v>2.2712470704000003E-2</v>
      </c>
      <c r="T1436" s="7">
        <f>IFERROR(_xlfn.XLOOKUP($A1436,'Base SKUs'!$E:$E,'Base SKUs'!R:R),"")</f>
        <v>264.17200000000003</v>
      </c>
      <c r="U1436" s="15">
        <f t="shared" si="113"/>
        <v>6</v>
      </c>
      <c r="V1436" t="str">
        <f t="shared" si="114"/>
        <v>Miami</v>
      </c>
    </row>
    <row r="1437" spans="1:22" x14ac:dyDescent="0.2">
      <c r="A1437" t="s">
        <v>1941</v>
      </c>
      <c r="B1437" s="5">
        <v>6</v>
      </c>
      <c r="C1437" s="5">
        <v>0</v>
      </c>
      <c r="D1437" s="5">
        <f t="shared" si="110"/>
        <v>6</v>
      </c>
      <c r="E1437" s="6">
        <v>52.300699999999999</v>
      </c>
      <c r="F1437" s="6">
        <f t="shared" si="111"/>
        <v>313.80419999999998</v>
      </c>
      <c r="G1437" t="s">
        <v>17</v>
      </c>
      <c r="H1437">
        <v>9007</v>
      </c>
      <c r="I1437" t="str">
        <f>IFERROR(_xlfn.XLOOKUP($A1437,'Base SKUs'!$E:$E,'Base SKUs'!A:A),"")</f>
        <v>Ipe</v>
      </c>
      <c r="J1437" t="str">
        <f>IFERROR(_xlfn.XLOOKUP($A1437,'Base SKUs'!$E:$E,'Base SKUs'!B:B),"")</f>
        <v>Ipe 4x6</v>
      </c>
      <c r="K1437" t="str">
        <f>IFERROR(_xlfn.XLOOKUP($A1437,'Base SKUs'!$E:$E,'Base SKUs'!C:C),"")</f>
        <v>Short</v>
      </c>
      <c r="L1437" t="str">
        <f>IFERROR(_xlfn.XLOOKUP($A1437,'Base SKUs'!$E:$E,'Base SKUs'!D:D),"")</f>
        <v>Hardwoods</v>
      </c>
      <c r="M1437" t="str">
        <f>IFERROR(_xlfn.XLOOKUP($A1437,'Base SKUs'!$E:$E,'Base SKUs'!G:G),"")</f>
        <v>Ipe</v>
      </c>
      <c r="N1437" t="str">
        <f>IFERROR(_xlfn.XLOOKUP($A1437,'Base SKUs'!$E:$E,'Base SKUs'!H:H),"")</f>
        <v>S4S E4E</v>
      </c>
      <c r="O1437" t="str">
        <f>IFERROR(_xlfn.XLOOKUP($A1437,'Base SKUs'!$E:$E,'Base SKUs'!I:I),"")</f>
        <v>-</v>
      </c>
      <c r="P1437" t="str">
        <f>IFERROR(_xlfn.XLOOKUP($A1437,'Base SKUs'!$E:$E,'Base SKUs'!J:J),"")</f>
        <v>4x6</v>
      </c>
      <c r="Q1437">
        <f>IFERROR(_xlfn.XLOOKUP($A1437,'Base SKUs'!$E:$E,'Base SKUs'!K:K),"")</f>
        <v>4</v>
      </c>
      <c r="R1437" s="7">
        <f>IFERROR(_xlfn.XLOOKUP($A1437,'Base SKUs'!$E:$E,'Base SKUs'!S:S),"")</f>
        <v>1.5141647136000001E-2</v>
      </c>
      <c r="S1437" s="8">
        <f t="shared" si="112"/>
        <v>9.084988281600001E-2</v>
      </c>
      <c r="T1437" s="7">
        <f>IFERROR(_xlfn.XLOOKUP($A1437,'Base SKUs'!$E:$E,'Base SKUs'!R:R),"")</f>
        <v>264.17200000000003</v>
      </c>
      <c r="U1437" s="15">
        <f t="shared" si="113"/>
        <v>24</v>
      </c>
      <c r="V1437" t="str">
        <f t="shared" si="114"/>
        <v>Miami</v>
      </c>
    </row>
    <row r="1438" spans="1:22" x14ac:dyDescent="0.2">
      <c r="A1438" t="s">
        <v>1943</v>
      </c>
      <c r="B1438" s="5">
        <v>6</v>
      </c>
      <c r="C1438" s="5">
        <v>0</v>
      </c>
      <c r="D1438" s="5">
        <f t="shared" si="110"/>
        <v>6</v>
      </c>
      <c r="E1438" s="6">
        <v>65.519599999999997</v>
      </c>
      <c r="F1438" s="6">
        <f t="shared" si="111"/>
        <v>393.11759999999998</v>
      </c>
      <c r="G1438" t="s">
        <v>17</v>
      </c>
      <c r="H1438">
        <v>9007</v>
      </c>
      <c r="I1438" t="str">
        <f>IFERROR(_xlfn.XLOOKUP($A1438,'Base SKUs'!$E:$E,'Base SKUs'!A:A),"")</f>
        <v>Ipe</v>
      </c>
      <c r="J1438" t="str">
        <f>IFERROR(_xlfn.XLOOKUP($A1438,'Base SKUs'!$E:$E,'Base SKUs'!B:B),"")</f>
        <v>Ipe 4x6</v>
      </c>
      <c r="K1438" t="str">
        <f>IFERROR(_xlfn.XLOOKUP($A1438,'Base SKUs'!$E:$E,'Base SKUs'!C:C),"")</f>
        <v>Short</v>
      </c>
      <c r="L1438" t="str">
        <f>IFERROR(_xlfn.XLOOKUP($A1438,'Base SKUs'!$E:$E,'Base SKUs'!D:D),"")</f>
        <v>Hardwoods</v>
      </c>
      <c r="M1438" t="str">
        <f>IFERROR(_xlfn.XLOOKUP($A1438,'Base SKUs'!$E:$E,'Base SKUs'!G:G),"")</f>
        <v>Ipe</v>
      </c>
      <c r="N1438" t="str">
        <f>IFERROR(_xlfn.XLOOKUP($A1438,'Base SKUs'!$E:$E,'Base SKUs'!H:H),"")</f>
        <v>S4S E4E</v>
      </c>
      <c r="O1438" t="str">
        <f>IFERROR(_xlfn.XLOOKUP($A1438,'Base SKUs'!$E:$E,'Base SKUs'!I:I),"")</f>
        <v>-</v>
      </c>
      <c r="P1438" t="str">
        <f>IFERROR(_xlfn.XLOOKUP($A1438,'Base SKUs'!$E:$E,'Base SKUs'!J:J),"")</f>
        <v>4x6</v>
      </c>
      <c r="Q1438">
        <f>IFERROR(_xlfn.XLOOKUP($A1438,'Base SKUs'!$E:$E,'Base SKUs'!K:K),"")</f>
        <v>5</v>
      </c>
      <c r="R1438" s="7">
        <f>IFERROR(_xlfn.XLOOKUP($A1438,'Base SKUs'!$E:$E,'Base SKUs'!S:S),"")</f>
        <v>1.8927058920000003E-2</v>
      </c>
      <c r="S1438" s="8">
        <f t="shared" si="112"/>
        <v>0.11356235352000002</v>
      </c>
      <c r="T1438" s="7">
        <f>IFERROR(_xlfn.XLOOKUP($A1438,'Base SKUs'!$E:$E,'Base SKUs'!R:R),"")</f>
        <v>264.17200000000003</v>
      </c>
      <c r="U1438" s="15">
        <f t="shared" si="113"/>
        <v>30</v>
      </c>
      <c r="V1438" t="str">
        <f t="shared" si="114"/>
        <v>Miami</v>
      </c>
    </row>
    <row r="1439" spans="1:22" x14ac:dyDescent="0.2">
      <c r="A1439" t="s">
        <v>1945</v>
      </c>
      <c r="B1439" s="5">
        <v>13</v>
      </c>
      <c r="C1439" s="5">
        <v>0</v>
      </c>
      <c r="D1439" s="5">
        <f t="shared" si="110"/>
        <v>13</v>
      </c>
      <c r="E1439" s="6">
        <v>78.252099999999999</v>
      </c>
      <c r="F1439" s="6">
        <f t="shared" si="111"/>
        <v>1017.2773</v>
      </c>
      <c r="G1439" t="s">
        <v>17</v>
      </c>
      <c r="H1439">
        <v>9007</v>
      </c>
      <c r="I1439" t="str">
        <f>IFERROR(_xlfn.XLOOKUP($A1439,'Base SKUs'!$E:$E,'Base SKUs'!A:A),"")</f>
        <v>Ipe</v>
      </c>
      <c r="J1439" t="str">
        <f>IFERROR(_xlfn.XLOOKUP($A1439,'Base SKUs'!$E:$E,'Base SKUs'!B:B),"")</f>
        <v>Ipe 4x6</v>
      </c>
      <c r="K1439" t="str">
        <f>IFERROR(_xlfn.XLOOKUP($A1439,'Base SKUs'!$E:$E,'Base SKUs'!C:C),"")</f>
        <v>Short</v>
      </c>
      <c r="L1439" t="str">
        <f>IFERROR(_xlfn.XLOOKUP($A1439,'Base SKUs'!$E:$E,'Base SKUs'!D:D),"")</f>
        <v>Hardwoods</v>
      </c>
      <c r="M1439" t="str">
        <f>IFERROR(_xlfn.XLOOKUP($A1439,'Base SKUs'!$E:$E,'Base SKUs'!G:G),"")</f>
        <v>Ipe</v>
      </c>
      <c r="N1439" t="str">
        <f>IFERROR(_xlfn.XLOOKUP($A1439,'Base SKUs'!$E:$E,'Base SKUs'!H:H),"")</f>
        <v>S4S E4E</v>
      </c>
      <c r="O1439" t="str">
        <f>IFERROR(_xlfn.XLOOKUP($A1439,'Base SKUs'!$E:$E,'Base SKUs'!I:I),"")</f>
        <v>-</v>
      </c>
      <c r="P1439" t="str">
        <f>IFERROR(_xlfn.XLOOKUP($A1439,'Base SKUs'!$E:$E,'Base SKUs'!J:J),"")</f>
        <v>4x6</v>
      </c>
      <c r="Q1439">
        <f>IFERROR(_xlfn.XLOOKUP($A1439,'Base SKUs'!$E:$E,'Base SKUs'!K:K),"")</f>
        <v>6</v>
      </c>
      <c r="R1439" s="7">
        <f>IFERROR(_xlfn.XLOOKUP($A1439,'Base SKUs'!$E:$E,'Base SKUs'!S:S),"")</f>
        <v>2.2712470703999999E-2</v>
      </c>
      <c r="S1439" s="8">
        <f t="shared" si="112"/>
        <v>0.29526211915200001</v>
      </c>
      <c r="T1439" s="7">
        <f>IFERROR(_xlfn.XLOOKUP($A1439,'Base SKUs'!$E:$E,'Base SKUs'!R:R),"")</f>
        <v>264.17200000000003</v>
      </c>
      <c r="U1439" s="15">
        <f t="shared" si="113"/>
        <v>78</v>
      </c>
      <c r="V1439" t="str">
        <f t="shared" si="114"/>
        <v>Miami</v>
      </c>
    </row>
    <row r="1440" spans="1:22" x14ac:dyDescent="0.2">
      <c r="A1440" t="s">
        <v>1947</v>
      </c>
      <c r="B1440" s="5">
        <v>10</v>
      </c>
      <c r="C1440" s="5">
        <v>0</v>
      </c>
      <c r="D1440" s="5">
        <f t="shared" si="110"/>
        <v>10</v>
      </c>
      <c r="E1440" s="6">
        <v>153.79859999999999</v>
      </c>
      <c r="F1440" s="6">
        <f t="shared" si="111"/>
        <v>1537.9859999999999</v>
      </c>
      <c r="G1440" t="s">
        <v>17</v>
      </c>
      <c r="H1440">
        <v>9007</v>
      </c>
      <c r="I1440" t="str">
        <f>IFERROR(_xlfn.XLOOKUP($A1440,'Base SKUs'!$E:$E,'Base SKUs'!A:A),"")</f>
        <v>Ipe</v>
      </c>
      <c r="J1440" t="str">
        <f>IFERROR(_xlfn.XLOOKUP($A1440,'Base SKUs'!$E:$E,'Base SKUs'!B:B),"")</f>
        <v>Ipe 4x10</v>
      </c>
      <c r="K1440" t="str">
        <f>IFERROR(_xlfn.XLOOKUP($A1440,'Base SKUs'!$E:$E,'Base SKUs'!C:C),"")</f>
        <v>Short</v>
      </c>
      <c r="L1440" t="str">
        <f>IFERROR(_xlfn.XLOOKUP($A1440,'Base SKUs'!$E:$E,'Base SKUs'!D:D),"")</f>
        <v>Hardwoods</v>
      </c>
      <c r="M1440" t="str">
        <f>IFERROR(_xlfn.XLOOKUP($A1440,'Base SKUs'!$E:$E,'Base SKUs'!G:G),"")</f>
        <v>Ipe</v>
      </c>
      <c r="N1440" t="str">
        <f>IFERROR(_xlfn.XLOOKUP($A1440,'Base SKUs'!$E:$E,'Base SKUs'!H:H),"")</f>
        <v>S4S E4E</v>
      </c>
      <c r="O1440" t="str">
        <f>IFERROR(_xlfn.XLOOKUP($A1440,'Base SKUs'!$E:$E,'Base SKUs'!I:I),"")</f>
        <v>-</v>
      </c>
      <c r="P1440" t="str">
        <f>IFERROR(_xlfn.XLOOKUP($A1440,'Base SKUs'!$E:$E,'Base SKUs'!J:J),"")</f>
        <v>4x10</v>
      </c>
      <c r="Q1440">
        <f>IFERROR(_xlfn.XLOOKUP($A1440,'Base SKUs'!$E:$E,'Base SKUs'!K:K),"")</f>
        <v>7</v>
      </c>
      <c r="R1440" s="7">
        <f>IFERROR(_xlfn.XLOOKUP($A1440,'Base SKUs'!$E:$E,'Base SKUs'!S:S),"")</f>
        <v>4.4564620547999999E-2</v>
      </c>
      <c r="S1440" s="8">
        <f t="shared" si="112"/>
        <v>0.44564620548</v>
      </c>
      <c r="T1440" s="7">
        <f>IFERROR(_xlfn.XLOOKUP($A1440,'Base SKUs'!$E:$E,'Base SKUs'!R:R),"")</f>
        <v>157.07499999999999</v>
      </c>
      <c r="U1440" s="15">
        <f t="shared" si="113"/>
        <v>70</v>
      </c>
      <c r="V1440" t="str">
        <f t="shared" si="114"/>
        <v>Miami</v>
      </c>
    </row>
    <row r="1441" spans="1:22" x14ac:dyDescent="0.2">
      <c r="A1441" t="s">
        <v>1949</v>
      </c>
      <c r="B1441" s="5">
        <v>7</v>
      </c>
      <c r="C1441" s="5">
        <v>0</v>
      </c>
      <c r="D1441" s="5">
        <f t="shared" si="110"/>
        <v>7</v>
      </c>
      <c r="E1441" s="6">
        <v>923.18589999999995</v>
      </c>
      <c r="F1441" s="6">
        <f t="shared" si="111"/>
        <v>6462.3012999999992</v>
      </c>
      <c r="G1441" t="s">
        <v>17</v>
      </c>
      <c r="H1441">
        <v>9007</v>
      </c>
      <c r="I1441" t="str">
        <f>IFERROR(_xlfn.XLOOKUP($A1441,'Base SKUs'!$E:$E,'Base SKUs'!A:A),"")</f>
        <v>Ipe</v>
      </c>
      <c r="J1441" t="str">
        <f>IFERROR(_xlfn.XLOOKUP($A1441,'Base SKUs'!$E:$E,'Base SKUs'!B:B),"")</f>
        <v>Ipe 6x12</v>
      </c>
      <c r="K1441" t="str">
        <f>IFERROR(_xlfn.XLOOKUP($A1441,'Base SKUs'!$E:$E,'Base SKUs'!C:C),"")</f>
        <v>Long</v>
      </c>
      <c r="L1441" t="str">
        <f>IFERROR(_xlfn.XLOOKUP($A1441,'Base SKUs'!$E:$E,'Base SKUs'!D:D),"")</f>
        <v>Hardwoods</v>
      </c>
      <c r="M1441" t="str">
        <f>IFERROR(_xlfn.XLOOKUP($A1441,'Base SKUs'!$E:$E,'Base SKUs'!G:G),"")</f>
        <v>Ipe</v>
      </c>
      <c r="N1441" t="str">
        <f>IFERROR(_xlfn.XLOOKUP($A1441,'Base SKUs'!$E:$E,'Base SKUs'!H:H),"")</f>
        <v>S4S E4E</v>
      </c>
      <c r="O1441" t="str">
        <f>IFERROR(_xlfn.XLOOKUP($A1441,'Base SKUs'!$E:$E,'Base SKUs'!I:I),"")</f>
        <v>-</v>
      </c>
      <c r="P1441" t="str">
        <f>IFERROR(_xlfn.XLOOKUP($A1441,'Base SKUs'!$E:$E,'Base SKUs'!J:J),"")</f>
        <v>6x12</v>
      </c>
      <c r="Q1441">
        <f>IFERROR(_xlfn.XLOOKUP($A1441,'Base SKUs'!$E:$E,'Base SKUs'!K:K),"")</f>
        <v>22</v>
      </c>
      <c r="R1441" s="7">
        <f>IFERROR(_xlfn.XLOOKUP($A1441,'Base SKUs'!$E:$E,'Base SKUs'!S:S),"")</f>
        <v>0.26768269043999993</v>
      </c>
      <c r="S1441" s="8">
        <f t="shared" si="112"/>
        <v>1.8737788330799994</v>
      </c>
      <c r="T1441" s="7">
        <f>IFERROR(_xlfn.XLOOKUP($A1441,'Base SKUs'!$E:$E,'Base SKUs'!R:R),"")</f>
        <v>82.186999999999998</v>
      </c>
      <c r="U1441" s="15">
        <f t="shared" si="113"/>
        <v>154</v>
      </c>
      <c r="V1441" t="str">
        <f t="shared" si="114"/>
        <v>Miami</v>
      </c>
    </row>
    <row r="1442" spans="1:22" x14ac:dyDescent="0.2">
      <c r="A1442" t="s">
        <v>1951</v>
      </c>
      <c r="B1442" s="5">
        <v>8</v>
      </c>
      <c r="C1442" s="5">
        <v>0</v>
      </c>
      <c r="D1442" s="5">
        <f t="shared" si="110"/>
        <v>8</v>
      </c>
      <c r="E1442" s="6">
        <v>324.5806</v>
      </c>
      <c r="F1442" s="6">
        <f t="shared" si="111"/>
        <v>2596.6448</v>
      </c>
      <c r="G1442" t="s">
        <v>17</v>
      </c>
      <c r="H1442">
        <v>9007</v>
      </c>
      <c r="I1442" t="str">
        <f>IFERROR(_xlfn.XLOOKUP($A1442,'Base SKUs'!$E:$E,'Base SKUs'!A:A),"")</f>
        <v>Ipe</v>
      </c>
      <c r="J1442" t="str">
        <f>IFERROR(_xlfn.XLOOKUP($A1442,'Base SKUs'!$E:$E,'Base SKUs'!B:B),"")</f>
        <v>Ipe 6x8</v>
      </c>
      <c r="K1442" t="str">
        <f>IFERROR(_xlfn.XLOOKUP($A1442,'Base SKUs'!$E:$E,'Base SKUs'!C:C),"")</f>
        <v>Long</v>
      </c>
      <c r="L1442" t="str">
        <f>IFERROR(_xlfn.XLOOKUP($A1442,'Base SKUs'!$E:$E,'Base SKUs'!D:D),"")</f>
        <v>Hardwoods</v>
      </c>
      <c r="M1442" t="str">
        <f>IFERROR(_xlfn.XLOOKUP($A1442,'Base SKUs'!$E:$E,'Base SKUs'!G:G),"")</f>
        <v>Ipe</v>
      </c>
      <c r="N1442" t="str">
        <f>IFERROR(_xlfn.XLOOKUP($A1442,'Base SKUs'!$E:$E,'Base SKUs'!H:H),"")</f>
        <v>S4S E4E</v>
      </c>
      <c r="O1442" t="str">
        <f>IFERROR(_xlfn.XLOOKUP($A1442,'Base SKUs'!$E:$E,'Base SKUs'!I:I),"")</f>
        <v>-</v>
      </c>
      <c r="P1442" t="str">
        <f>IFERROR(_xlfn.XLOOKUP($A1442,'Base SKUs'!$E:$E,'Base SKUs'!J:J),"")</f>
        <v>6x8</v>
      </c>
      <c r="Q1442">
        <f>IFERROR(_xlfn.XLOOKUP($A1442,'Base SKUs'!$E:$E,'Base SKUs'!K:K),"")</f>
        <v>12</v>
      </c>
      <c r="R1442" s="7">
        <f>IFERROR(_xlfn.XLOOKUP($A1442,'Base SKUs'!$E:$E,'Base SKUs'!S:S),"")</f>
        <v>9.4094521488000002E-2</v>
      </c>
      <c r="S1442" s="8">
        <f t="shared" si="112"/>
        <v>0.75275617190400002</v>
      </c>
      <c r="T1442" s="7">
        <f>IFERROR(_xlfn.XLOOKUP($A1442,'Base SKUs'!$E:$E,'Base SKUs'!R:R),"")</f>
        <v>127.53100000000001</v>
      </c>
      <c r="U1442" s="15">
        <f t="shared" si="113"/>
        <v>96</v>
      </c>
      <c r="V1442" t="str">
        <f t="shared" si="114"/>
        <v>Miami</v>
      </c>
    </row>
    <row r="1443" spans="1:22" x14ac:dyDescent="0.2">
      <c r="A1443" t="s">
        <v>1953</v>
      </c>
      <c r="B1443" s="5">
        <v>30</v>
      </c>
      <c r="C1443" s="5">
        <v>0</v>
      </c>
      <c r="D1443" s="5">
        <f t="shared" si="110"/>
        <v>30</v>
      </c>
      <c r="E1443" s="6">
        <v>641.63220000000001</v>
      </c>
      <c r="F1443" s="6">
        <f t="shared" si="111"/>
        <v>19248.966</v>
      </c>
      <c r="G1443" t="s">
        <v>17</v>
      </c>
      <c r="H1443">
        <v>9007</v>
      </c>
      <c r="I1443" t="str">
        <f>IFERROR(_xlfn.XLOOKUP($A1443,'Base SKUs'!$E:$E,'Base SKUs'!A:A),"")</f>
        <v>Ipe</v>
      </c>
      <c r="J1443" t="str">
        <f>IFERROR(_xlfn.XLOOKUP($A1443,'Base SKUs'!$E:$E,'Base SKUs'!B:B),"")</f>
        <v>Ipe 8x8</v>
      </c>
      <c r="K1443" t="str">
        <f>IFERROR(_xlfn.XLOOKUP($A1443,'Base SKUs'!$E:$E,'Base SKUs'!C:C),"")</f>
        <v>Long</v>
      </c>
      <c r="L1443" t="str">
        <f>IFERROR(_xlfn.XLOOKUP($A1443,'Base SKUs'!$E:$E,'Base SKUs'!D:D),"")</f>
        <v>Hardwoods</v>
      </c>
      <c r="M1443" t="str">
        <f>IFERROR(_xlfn.XLOOKUP($A1443,'Base SKUs'!$E:$E,'Base SKUs'!G:G),"")</f>
        <v>Ipe</v>
      </c>
      <c r="N1443" t="str">
        <f>IFERROR(_xlfn.XLOOKUP($A1443,'Base SKUs'!$E:$E,'Base SKUs'!H:H),"")</f>
        <v>S4S E4E</v>
      </c>
      <c r="O1443" t="str">
        <f>IFERROR(_xlfn.XLOOKUP($A1443,'Base SKUs'!$E:$E,'Base SKUs'!I:I),"")</f>
        <v>-</v>
      </c>
      <c r="P1443" t="str">
        <f>IFERROR(_xlfn.XLOOKUP($A1443,'Base SKUs'!$E:$E,'Base SKUs'!J:J),"")</f>
        <v>8x8</v>
      </c>
      <c r="Q1443">
        <f>IFERROR(_xlfn.XLOOKUP($A1443,'Base SKUs'!$E:$E,'Base SKUs'!K:K),"")</f>
        <v>18</v>
      </c>
      <c r="R1443" s="7">
        <f>IFERROR(_xlfn.XLOOKUP($A1443,'Base SKUs'!$E:$E,'Base SKUs'!S:S),"")</f>
        <v>0.186050531124</v>
      </c>
      <c r="S1443" s="8">
        <f t="shared" si="112"/>
        <v>5.5815159337199995</v>
      </c>
      <c r="T1443" s="7">
        <f>IFERROR(_xlfn.XLOOKUP($A1443,'Base SKUs'!$E:$E,'Base SKUs'!R:R),"")</f>
        <v>96.748000000000005</v>
      </c>
      <c r="U1443" s="15">
        <f t="shared" si="113"/>
        <v>540</v>
      </c>
      <c r="V1443" t="str">
        <f t="shared" si="114"/>
        <v>Miami</v>
      </c>
    </row>
    <row r="1444" spans="1:22" x14ac:dyDescent="0.2">
      <c r="A1444" t="s">
        <v>1955</v>
      </c>
      <c r="B1444" s="5">
        <v>22</v>
      </c>
      <c r="C1444" s="5">
        <v>0</v>
      </c>
      <c r="D1444" s="5">
        <f t="shared" si="110"/>
        <v>22</v>
      </c>
      <c r="E1444" s="6">
        <v>784.19749999999999</v>
      </c>
      <c r="F1444" s="6">
        <f t="shared" si="111"/>
        <v>17252.345000000001</v>
      </c>
      <c r="G1444" t="s">
        <v>17</v>
      </c>
      <c r="H1444">
        <v>9007</v>
      </c>
      <c r="I1444" t="str">
        <f>IFERROR(_xlfn.XLOOKUP($A1444,'Base SKUs'!$E:$E,'Base SKUs'!A:A),"")</f>
        <v>Ipe</v>
      </c>
      <c r="J1444" t="str">
        <f>IFERROR(_xlfn.XLOOKUP($A1444,'Base SKUs'!$E:$E,'Base SKUs'!B:B),"")</f>
        <v>Ipe 8x8</v>
      </c>
      <c r="K1444" t="str">
        <f>IFERROR(_xlfn.XLOOKUP($A1444,'Base SKUs'!$E:$E,'Base SKUs'!C:C),"")</f>
        <v>Long</v>
      </c>
      <c r="L1444" t="str">
        <f>IFERROR(_xlfn.XLOOKUP($A1444,'Base SKUs'!$E:$E,'Base SKUs'!D:D),"")</f>
        <v>Hardwoods</v>
      </c>
      <c r="M1444" t="str">
        <f>IFERROR(_xlfn.XLOOKUP($A1444,'Base SKUs'!$E:$E,'Base SKUs'!G:G),"")</f>
        <v>Ipe</v>
      </c>
      <c r="N1444" t="str">
        <f>IFERROR(_xlfn.XLOOKUP($A1444,'Base SKUs'!$E:$E,'Base SKUs'!H:H),"")</f>
        <v>S4S E4E</v>
      </c>
      <c r="O1444" t="str">
        <f>IFERROR(_xlfn.XLOOKUP($A1444,'Base SKUs'!$E:$E,'Base SKUs'!I:I),"")</f>
        <v>-</v>
      </c>
      <c r="P1444" t="str">
        <f>IFERROR(_xlfn.XLOOKUP($A1444,'Base SKUs'!$E:$E,'Base SKUs'!J:J),"")</f>
        <v>8x8</v>
      </c>
      <c r="Q1444">
        <f>IFERROR(_xlfn.XLOOKUP($A1444,'Base SKUs'!$E:$E,'Base SKUs'!K:K),"")</f>
        <v>22</v>
      </c>
      <c r="R1444" s="7">
        <f>IFERROR(_xlfn.XLOOKUP($A1444,'Base SKUs'!$E:$E,'Base SKUs'!S:S),"")</f>
        <v>0.22739509359599999</v>
      </c>
      <c r="S1444" s="8">
        <f t="shared" si="112"/>
        <v>5.0026920591119994</v>
      </c>
      <c r="T1444" s="7">
        <f>IFERROR(_xlfn.XLOOKUP($A1444,'Base SKUs'!$E:$E,'Base SKUs'!R:R),"")</f>
        <v>96.748000000000005</v>
      </c>
      <c r="U1444" s="15">
        <f t="shared" si="113"/>
        <v>484</v>
      </c>
      <c r="V1444" t="str">
        <f t="shared" si="114"/>
        <v>Miami</v>
      </c>
    </row>
    <row r="1445" spans="1:22" x14ac:dyDescent="0.2">
      <c r="A1445" t="s">
        <v>1957</v>
      </c>
      <c r="B1445" s="5">
        <v>9095</v>
      </c>
      <c r="C1445" s="5">
        <v>1640</v>
      </c>
      <c r="D1445" s="5">
        <f t="shared" si="110"/>
        <v>7455</v>
      </c>
      <c r="E1445" s="6">
        <v>15.5825</v>
      </c>
      <c r="F1445" s="6">
        <f t="shared" si="111"/>
        <v>141722.83749999999</v>
      </c>
      <c r="G1445" t="s">
        <v>17</v>
      </c>
      <c r="H1445">
        <v>9007</v>
      </c>
      <c r="I1445" t="str">
        <f>IFERROR(_xlfn.XLOOKUP($A1445,'Base SKUs'!$E:$E,'Base SKUs'!A:A),"")</f>
        <v>IpeB</v>
      </c>
      <c r="J1445" t="str">
        <f>IFERROR(_xlfn.XLOOKUP($A1445,'Base SKUs'!$E:$E,'Base SKUs'!B:B),"")</f>
        <v>IpeB 24x24</v>
      </c>
      <c r="K1445" t="str">
        <f>IFERROR(_xlfn.XLOOKUP($A1445,'Base SKUs'!$E:$E,'Base SKUs'!C:C),"")</f>
        <v>Tiles</v>
      </c>
      <c r="L1445" t="str">
        <f>IFERROR(_xlfn.XLOOKUP($A1445,'Base SKUs'!$E:$E,'Base SKUs'!D:D),"")</f>
        <v>Hardwoods</v>
      </c>
      <c r="M1445" t="str">
        <f>IFERROR(_xlfn.XLOOKUP($A1445,'Base SKUs'!$E:$E,'Base SKUs'!G:G),"")</f>
        <v>IpeB</v>
      </c>
      <c r="N1445" t="str">
        <f>IFERROR(_xlfn.XLOOKUP($A1445,'Base SKUs'!$E:$E,'Base SKUs'!H:H),"")</f>
        <v>Tiles</v>
      </c>
      <c r="O1445" t="str">
        <f>IFERROR(_xlfn.XLOOKUP($A1445,'Base SKUs'!$E:$E,'Base SKUs'!I:I),"")</f>
        <v>-</v>
      </c>
      <c r="P1445" t="str">
        <f>IFERROR(_xlfn.XLOOKUP($A1445,'Base SKUs'!$E:$E,'Base SKUs'!J:J),"")</f>
        <v>24x24</v>
      </c>
      <c r="Q1445">
        <f>IFERROR(_xlfn.XLOOKUP($A1445,'Base SKUs'!$E:$E,'Base SKUs'!K:K),"")</f>
        <v>24</v>
      </c>
      <c r="R1445" s="7">
        <f>IFERROR(_xlfn.XLOOKUP($A1445,'Base SKUs'!$E:$E,'Base SKUs'!S:S),"")</f>
        <v>8.1803360000000012E-4</v>
      </c>
      <c r="S1445" s="8">
        <f t="shared" si="112"/>
        <v>7455</v>
      </c>
      <c r="T1445" s="7">
        <f>IFERROR(_xlfn.XLOOKUP($A1445,'Base SKUs'!$E:$E,'Base SKUs'!R:R),"")</f>
        <v>2432.0529999999999</v>
      </c>
      <c r="U1445" s="15">
        <f t="shared" si="113"/>
        <v>7455</v>
      </c>
      <c r="V1445" t="str">
        <f t="shared" si="114"/>
        <v>Miami</v>
      </c>
    </row>
    <row r="1446" spans="1:22" x14ac:dyDescent="0.2">
      <c r="A1446" t="s">
        <v>1957</v>
      </c>
      <c r="B1446" s="5">
        <v>3668</v>
      </c>
      <c r="C1446" s="5">
        <v>0</v>
      </c>
      <c r="D1446" s="5">
        <f t="shared" si="110"/>
        <v>3668</v>
      </c>
      <c r="E1446" s="6">
        <v>14.696199999999999</v>
      </c>
      <c r="F1446" s="6">
        <f t="shared" si="111"/>
        <v>53905.661599999999</v>
      </c>
      <c r="G1446" t="s">
        <v>24</v>
      </c>
      <c r="H1446">
        <v>9008</v>
      </c>
      <c r="I1446" t="str">
        <f>IFERROR(_xlfn.XLOOKUP($A1446,'Base SKUs'!$E:$E,'Base SKUs'!A:A),"")</f>
        <v>IpeB</v>
      </c>
      <c r="J1446" t="str">
        <f>IFERROR(_xlfn.XLOOKUP($A1446,'Base SKUs'!$E:$E,'Base SKUs'!B:B),"")</f>
        <v>IpeB 24x24</v>
      </c>
      <c r="K1446" t="str">
        <f>IFERROR(_xlfn.XLOOKUP($A1446,'Base SKUs'!$E:$E,'Base SKUs'!C:C),"")</f>
        <v>Tiles</v>
      </c>
      <c r="L1446" t="str">
        <f>IFERROR(_xlfn.XLOOKUP($A1446,'Base SKUs'!$E:$E,'Base SKUs'!D:D),"")</f>
        <v>Hardwoods</v>
      </c>
      <c r="M1446" t="str">
        <f>IFERROR(_xlfn.XLOOKUP($A1446,'Base SKUs'!$E:$E,'Base SKUs'!G:G),"")</f>
        <v>IpeB</v>
      </c>
      <c r="N1446" t="str">
        <f>IFERROR(_xlfn.XLOOKUP($A1446,'Base SKUs'!$E:$E,'Base SKUs'!H:H),"")</f>
        <v>Tiles</v>
      </c>
      <c r="O1446" t="str">
        <f>IFERROR(_xlfn.XLOOKUP($A1446,'Base SKUs'!$E:$E,'Base SKUs'!I:I),"")</f>
        <v>-</v>
      </c>
      <c r="P1446" t="str">
        <f>IFERROR(_xlfn.XLOOKUP($A1446,'Base SKUs'!$E:$E,'Base SKUs'!J:J),"")</f>
        <v>24x24</v>
      </c>
      <c r="Q1446">
        <f>IFERROR(_xlfn.XLOOKUP($A1446,'Base SKUs'!$E:$E,'Base SKUs'!K:K),"")</f>
        <v>24</v>
      </c>
      <c r="R1446" s="7">
        <f>IFERROR(_xlfn.XLOOKUP($A1446,'Base SKUs'!$E:$E,'Base SKUs'!S:S),"")</f>
        <v>8.1803360000000012E-4</v>
      </c>
      <c r="S1446" s="8">
        <f t="shared" si="112"/>
        <v>3668</v>
      </c>
      <c r="T1446" s="7">
        <f>IFERROR(_xlfn.XLOOKUP($A1446,'Base SKUs'!$E:$E,'Base SKUs'!R:R),"")</f>
        <v>2432.0529999999999</v>
      </c>
      <c r="U1446" s="15">
        <f t="shared" si="113"/>
        <v>3668</v>
      </c>
      <c r="V1446" t="str">
        <f t="shared" si="114"/>
        <v>Texas</v>
      </c>
    </row>
    <row r="1447" spans="1:22" x14ac:dyDescent="0.2">
      <c r="A1447" t="s">
        <v>1959</v>
      </c>
      <c r="B1447" s="5">
        <v>145</v>
      </c>
      <c r="C1447" s="5">
        <v>0</v>
      </c>
      <c r="D1447" s="5">
        <f t="shared" si="110"/>
        <v>145</v>
      </c>
      <c r="E1447" s="6">
        <v>34.015700000000002</v>
      </c>
      <c r="F1447" s="6">
        <f t="shared" si="111"/>
        <v>4932.2764999999999</v>
      </c>
      <c r="G1447" t="s">
        <v>17</v>
      </c>
      <c r="H1447">
        <v>9007</v>
      </c>
      <c r="I1447" t="str">
        <f>IFERROR(_xlfn.XLOOKUP($A1447,'Base SKUs'!$E:$E,'Base SKUs'!A:A),"")</f>
        <v>Ayous JPL</v>
      </c>
      <c r="J1447" t="str">
        <f>IFERROR(_xlfn.XLOOKUP($A1447,'Base SKUs'!$E:$E,'Base SKUs'!B:B),"")</f>
        <v>Ayous JPL 1x6</v>
      </c>
      <c r="K1447" t="str">
        <f>IFERROR(_xlfn.XLOOKUP($A1447,'Base SKUs'!$E:$E,'Base SKUs'!C:C),"")</f>
        <v>Long</v>
      </c>
      <c r="L1447" t="str">
        <f>IFERROR(_xlfn.XLOOKUP($A1447,'Base SKUs'!$E:$E,'Base SKUs'!D:D),"")</f>
        <v>Thermowood</v>
      </c>
      <c r="M1447" t="str">
        <f>IFERROR(_xlfn.XLOOKUP($A1447,'Base SKUs'!$E:$E,'Base SKUs'!G:G),"")</f>
        <v>Maximo Thermo Ayous JPL</v>
      </c>
      <c r="N1447" t="str">
        <f>IFERROR(_xlfn.XLOOKUP($A1447,'Base SKUs'!$E:$E,'Base SKUs'!H:H),"")</f>
        <v>VJoint - Nickel Gap</v>
      </c>
      <c r="O1447" t="str">
        <f>IFERROR(_xlfn.XLOOKUP($A1447,'Base SKUs'!$E:$E,'Base SKUs'!I:I),"")</f>
        <v>-</v>
      </c>
      <c r="P1447" t="str">
        <f>IFERROR(_xlfn.XLOOKUP($A1447,'Base SKUs'!$E:$E,'Base SKUs'!J:J),"")</f>
        <v>1x6</v>
      </c>
      <c r="Q1447">
        <f>IFERROR(_xlfn.XLOOKUP($A1447,'Base SKUs'!$E:$E,'Base SKUs'!K:K),"")</f>
        <v>19</v>
      </c>
      <c r="R1447" s="7">
        <f>IFERROR(_xlfn.XLOOKUP($A1447,'Base SKUs'!$E:$E,'Base SKUs'!S:S),"")</f>
        <v>1.5408840149999997E-2</v>
      </c>
      <c r="S1447" s="8">
        <f t="shared" si="112"/>
        <v>2.2342818217499993</v>
      </c>
      <c r="T1447" s="7">
        <f>IFERROR(_xlfn.XLOOKUP($A1447,'Base SKUs'!$E:$E,'Base SKUs'!R:R),"")</f>
        <v>1232.8030000000001</v>
      </c>
      <c r="U1447" s="15">
        <f t="shared" si="113"/>
        <v>2754</v>
      </c>
      <c r="V1447" t="str">
        <f t="shared" si="114"/>
        <v>Miami</v>
      </c>
    </row>
    <row r="1448" spans="1:22" x14ac:dyDescent="0.2">
      <c r="A1448" t="s">
        <v>1961</v>
      </c>
      <c r="B1448" s="5">
        <v>294</v>
      </c>
      <c r="C1448" s="5">
        <v>0</v>
      </c>
      <c r="D1448" s="5">
        <f t="shared" si="110"/>
        <v>294</v>
      </c>
      <c r="E1448" s="6">
        <v>45.311100000000003</v>
      </c>
      <c r="F1448" s="6">
        <f t="shared" si="111"/>
        <v>13321.463400000001</v>
      </c>
      <c r="G1448" t="s">
        <v>24</v>
      </c>
      <c r="H1448">
        <v>9008</v>
      </c>
      <c r="I1448" t="str">
        <f>IFERROR(_xlfn.XLOOKUP($A1448,'Base SKUs'!$E:$E,'Base SKUs'!A:A),"")</f>
        <v>Ayous JPL</v>
      </c>
      <c r="J1448" t="str">
        <f>IFERROR(_xlfn.XLOOKUP($A1448,'Base SKUs'!$E:$E,'Base SKUs'!B:B),"")</f>
        <v>Ayous JPL 1x8</v>
      </c>
      <c r="K1448" t="str">
        <f>IFERROR(_xlfn.XLOOKUP($A1448,'Base SKUs'!$E:$E,'Base SKUs'!C:C),"")</f>
        <v>Long</v>
      </c>
      <c r="L1448" t="str">
        <f>IFERROR(_xlfn.XLOOKUP($A1448,'Base SKUs'!$E:$E,'Base SKUs'!D:D),"")</f>
        <v>Thermowood</v>
      </c>
      <c r="M1448" t="str">
        <f>IFERROR(_xlfn.XLOOKUP($A1448,'Base SKUs'!$E:$E,'Base SKUs'!G:G),"")</f>
        <v>Maximo Thermo Ayous JPL</v>
      </c>
      <c r="N1448" t="str">
        <f>IFERROR(_xlfn.XLOOKUP($A1448,'Base SKUs'!$E:$E,'Base SKUs'!H:H),"")</f>
        <v>S4S E4E</v>
      </c>
      <c r="O1448" t="str">
        <f>IFERROR(_xlfn.XLOOKUP($A1448,'Base SKUs'!$E:$E,'Base SKUs'!I:I),"")</f>
        <v>-</v>
      </c>
      <c r="P1448" t="str">
        <f>IFERROR(_xlfn.XLOOKUP($A1448,'Base SKUs'!$E:$E,'Base SKUs'!J:J),"")</f>
        <v>1x8</v>
      </c>
      <c r="Q1448">
        <f>IFERROR(_xlfn.XLOOKUP($A1448,'Base SKUs'!$E:$E,'Base SKUs'!K:K),"")</f>
        <v>19</v>
      </c>
      <c r="R1448" s="7">
        <f>IFERROR(_xlfn.XLOOKUP($A1448,'Base SKUs'!$E:$E,'Base SKUs'!S:S),"")</f>
        <v>2.0311652924999993E-2</v>
      </c>
      <c r="S1448" s="8">
        <f t="shared" si="112"/>
        <v>5.9716259599499981</v>
      </c>
      <c r="T1448" s="7">
        <f>IFERROR(_xlfn.XLOOKUP($A1448,'Base SKUs'!$E:$E,'Base SKUs'!R:R),"")</f>
        <v>935.23</v>
      </c>
      <c r="U1448" s="15">
        <f t="shared" si="113"/>
        <v>5585</v>
      </c>
      <c r="V1448" t="str">
        <f t="shared" si="114"/>
        <v>Texas</v>
      </c>
    </row>
    <row r="1449" spans="1:22" x14ac:dyDescent="0.2">
      <c r="A1449" t="s">
        <v>1963</v>
      </c>
      <c r="B1449" s="5">
        <v>39</v>
      </c>
      <c r="C1449" s="5">
        <v>28</v>
      </c>
      <c r="D1449" s="5">
        <f t="shared" si="110"/>
        <v>11</v>
      </c>
      <c r="E1449" s="6">
        <v>27.6464</v>
      </c>
      <c r="F1449" s="6">
        <f t="shared" si="111"/>
        <v>1078.2095999999999</v>
      </c>
      <c r="G1449" t="s">
        <v>17</v>
      </c>
      <c r="H1449">
        <v>9007</v>
      </c>
      <c r="I1449" t="str">
        <f>IFERROR(_xlfn.XLOOKUP($A1449,'Base SKUs'!$E:$E,'Base SKUs'!A:A),"")</f>
        <v>Ayous JPL</v>
      </c>
      <c r="J1449" t="str">
        <f>IFERROR(_xlfn.XLOOKUP($A1449,'Base SKUs'!$E:$E,'Base SKUs'!B:B),"")</f>
        <v>Ayous JPL 1x12</v>
      </c>
      <c r="K1449" t="str">
        <f>IFERROR(_xlfn.XLOOKUP($A1449,'Base SKUs'!$E:$E,'Base SKUs'!C:C),"")</f>
        <v>Short</v>
      </c>
      <c r="L1449" t="str">
        <f>IFERROR(_xlfn.XLOOKUP($A1449,'Base SKUs'!$E:$E,'Base SKUs'!D:D),"")</f>
        <v>Thermowood</v>
      </c>
      <c r="M1449" t="str">
        <f>IFERROR(_xlfn.XLOOKUP($A1449,'Base SKUs'!$E:$E,'Base SKUs'!G:G),"")</f>
        <v>Maximo Thermo Ayous JPL</v>
      </c>
      <c r="N1449" t="str">
        <f>IFERROR(_xlfn.XLOOKUP($A1449,'Base SKUs'!$E:$E,'Base SKUs'!H:H),"")</f>
        <v>S4S E4E</v>
      </c>
      <c r="O1449" t="str">
        <f>IFERROR(_xlfn.XLOOKUP($A1449,'Base SKUs'!$E:$E,'Base SKUs'!I:I),"")</f>
        <v>-</v>
      </c>
      <c r="P1449" t="str">
        <f>IFERROR(_xlfn.XLOOKUP($A1449,'Base SKUs'!$E:$E,'Base SKUs'!J:J),"")</f>
        <v>1x12</v>
      </c>
      <c r="Q1449">
        <f>IFERROR(_xlfn.XLOOKUP($A1449,'Base SKUs'!$E:$E,'Base SKUs'!K:K),"")</f>
        <v>7</v>
      </c>
      <c r="R1449" s="7">
        <f>IFERROR(_xlfn.XLOOKUP($A1449,'Base SKUs'!$E:$E,'Base SKUs'!S:S),"")</f>
        <v>1.1594734874999997E-2</v>
      </c>
      <c r="S1449" s="8">
        <f t="shared" si="112"/>
        <v>0.12754208362499997</v>
      </c>
      <c r="T1449" s="7">
        <f>IFERROR(_xlfn.XLOOKUP($A1449,'Base SKUs'!$E:$E,'Base SKUs'!R:R),"")</f>
        <v>602.70399999999995</v>
      </c>
      <c r="U1449" s="15">
        <f t="shared" si="113"/>
        <v>77</v>
      </c>
      <c r="V1449" t="str">
        <f t="shared" si="114"/>
        <v>Miami</v>
      </c>
    </row>
    <row r="1450" spans="1:22" x14ac:dyDescent="0.2">
      <c r="A1450" t="s">
        <v>1965</v>
      </c>
      <c r="B1450" s="5">
        <v>16</v>
      </c>
      <c r="C1450" s="5">
        <v>14</v>
      </c>
      <c r="D1450" s="5">
        <f t="shared" si="110"/>
        <v>2</v>
      </c>
      <c r="E1450" s="6">
        <v>31.595800000000001</v>
      </c>
      <c r="F1450" s="6">
        <f t="shared" si="111"/>
        <v>505.53280000000001</v>
      </c>
      <c r="G1450" t="s">
        <v>17</v>
      </c>
      <c r="H1450">
        <v>9007</v>
      </c>
      <c r="I1450" t="str">
        <f>IFERROR(_xlfn.XLOOKUP($A1450,'Base SKUs'!$E:$E,'Base SKUs'!A:A),"")</f>
        <v>Ayous JPL</v>
      </c>
      <c r="J1450" t="str">
        <f>IFERROR(_xlfn.XLOOKUP($A1450,'Base SKUs'!$E:$E,'Base SKUs'!B:B),"")</f>
        <v>Ayous JPL 1x12</v>
      </c>
      <c r="K1450" t="str">
        <f>IFERROR(_xlfn.XLOOKUP($A1450,'Base SKUs'!$E:$E,'Base SKUs'!C:C),"")</f>
        <v>Long</v>
      </c>
      <c r="L1450" t="str">
        <f>IFERROR(_xlfn.XLOOKUP($A1450,'Base SKUs'!$E:$E,'Base SKUs'!D:D),"")</f>
        <v>Thermowood</v>
      </c>
      <c r="M1450" t="str">
        <f>IFERROR(_xlfn.XLOOKUP($A1450,'Base SKUs'!$E:$E,'Base SKUs'!G:G),"")</f>
        <v>Maximo Thermo Ayous JPL</v>
      </c>
      <c r="N1450" t="str">
        <f>IFERROR(_xlfn.XLOOKUP($A1450,'Base SKUs'!$E:$E,'Base SKUs'!H:H),"")</f>
        <v>S4S E4E</v>
      </c>
      <c r="O1450" t="str">
        <f>IFERROR(_xlfn.XLOOKUP($A1450,'Base SKUs'!$E:$E,'Base SKUs'!I:I),"")</f>
        <v>-</v>
      </c>
      <c r="P1450" t="str">
        <f>IFERROR(_xlfn.XLOOKUP($A1450,'Base SKUs'!$E:$E,'Base SKUs'!J:J),"")</f>
        <v>1x12</v>
      </c>
      <c r="Q1450">
        <f>IFERROR(_xlfn.XLOOKUP($A1450,'Base SKUs'!$E:$E,'Base SKUs'!K:K),"")</f>
        <v>8</v>
      </c>
      <c r="R1450" s="7">
        <f>IFERROR(_xlfn.XLOOKUP($A1450,'Base SKUs'!$E:$E,'Base SKUs'!S:S),"")</f>
        <v>1.3282231499999998E-2</v>
      </c>
      <c r="S1450" s="8">
        <f t="shared" si="112"/>
        <v>2.6564462999999996E-2</v>
      </c>
      <c r="T1450" s="7">
        <f>IFERROR(_xlfn.XLOOKUP($A1450,'Base SKUs'!$E:$E,'Base SKUs'!R:R),"")</f>
        <v>602.70399999999995</v>
      </c>
      <c r="U1450" s="15">
        <f t="shared" si="113"/>
        <v>16</v>
      </c>
      <c r="V1450" t="str">
        <f t="shared" si="114"/>
        <v>Miami</v>
      </c>
    </row>
    <row r="1451" spans="1:22" x14ac:dyDescent="0.2">
      <c r="A1451" t="s">
        <v>1965</v>
      </c>
      <c r="B1451" s="5">
        <v>105</v>
      </c>
      <c r="C1451" s="5">
        <v>0</v>
      </c>
      <c r="D1451" s="5">
        <f t="shared" si="110"/>
        <v>105</v>
      </c>
      <c r="E1451" s="6">
        <v>33.858199999999997</v>
      </c>
      <c r="F1451" s="6">
        <f t="shared" si="111"/>
        <v>3555.1109999999994</v>
      </c>
      <c r="G1451" t="s">
        <v>6145</v>
      </c>
      <c r="H1451">
        <v>9010</v>
      </c>
      <c r="I1451" t="str">
        <f>IFERROR(_xlfn.XLOOKUP($A1451,'Base SKUs'!$E:$E,'Base SKUs'!A:A),"")</f>
        <v>Ayous JPL</v>
      </c>
      <c r="J1451" t="str">
        <f>IFERROR(_xlfn.XLOOKUP($A1451,'Base SKUs'!$E:$E,'Base SKUs'!B:B),"")</f>
        <v>Ayous JPL 1x12</v>
      </c>
      <c r="K1451" t="str">
        <f>IFERROR(_xlfn.XLOOKUP($A1451,'Base SKUs'!$E:$E,'Base SKUs'!C:C),"")</f>
        <v>Long</v>
      </c>
      <c r="L1451" t="str">
        <f>IFERROR(_xlfn.XLOOKUP($A1451,'Base SKUs'!$E:$E,'Base SKUs'!D:D),"")</f>
        <v>Thermowood</v>
      </c>
      <c r="M1451" t="str">
        <f>IFERROR(_xlfn.XLOOKUP($A1451,'Base SKUs'!$E:$E,'Base SKUs'!G:G),"")</f>
        <v>Maximo Thermo Ayous JPL</v>
      </c>
      <c r="N1451" t="str">
        <f>IFERROR(_xlfn.XLOOKUP($A1451,'Base SKUs'!$E:$E,'Base SKUs'!H:H),"")</f>
        <v>S4S E4E</v>
      </c>
      <c r="O1451" t="str">
        <f>IFERROR(_xlfn.XLOOKUP($A1451,'Base SKUs'!$E:$E,'Base SKUs'!I:I),"")</f>
        <v>-</v>
      </c>
      <c r="P1451" t="str">
        <f>IFERROR(_xlfn.XLOOKUP($A1451,'Base SKUs'!$E:$E,'Base SKUs'!J:J),"")</f>
        <v>1x12</v>
      </c>
      <c r="Q1451">
        <f>IFERROR(_xlfn.XLOOKUP($A1451,'Base SKUs'!$E:$E,'Base SKUs'!K:K),"")</f>
        <v>8</v>
      </c>
      <c r="R1451" s="7">
        <f>IFERROR(_xlfn.XLOOKUP($A1451,'Base SKUs'!$E:$E,'Base SKUs'!S:S),"")</f>
        <v>1.3282231499999998E-2</v>
      </c>
      <c r="S1451" s="8">
        <f t="shared" si="112"/>
        <v>1.3946343074999998</v>
      </c>
      <c r="T1451" s="7">
        <f>IFERROR(_xlfn.XLOOKUP($A1451,'Base SKUs'!$E:$E,'Base SKUs'!R:R),"")</f>
        <v>602.70399999999995</v>
      </c>
      <c r="U1451" s="15">
        <f t="shared" si="113"/>
        <v>841</v>
      </c>
      <c r="V1451" t="str">
        <f t="shared" si="114"/>
        <v>BS Detroit</v>
      </c>
    </row>
    <row r="1452" spans="1:22" x14ac:dyDescent="0.2">
      <c r="A1452" t="s">
        <v>1967</v>
      </c>
      <c r="B1452" s="5">
        <v>383</v>
      </c>
      <c r="C1452" s="5">
        <v>287</v>
      </c>
      <c r="D1452" s="5">
        <f t="shared" si="110"/>
        <v>96</v>
      </c>
      <c r="E1452" s="6">
        <v>35.529499999999999</v>
      </c>
      <c r="F1452" s="6">
        <f t="shared" si="111"/>
        <v>13607.798499999999</v>
      </c>
      <c r="G1452" t="s">
        <v>17</v>
      </c>
      <c r="H1452">
        <v>9007</v>
      </c>
      <c r="I1452" t="str">
        <f>IFERROR(_xlfn.XLOOKUP($A1452,'Base SKUs'!$E:$E,'Base SKUs'!A:A),"")</f>
        <v>Ayous JPL</v>
      </c>
      <c r="J1452" t="str">
        <f>IFERROR(_xlfn.XLOOKUP($A1452,'Base SKUs'!$E:$E,'Base SKUs'!B:B),"")</f>
        <v>Ayous JPL 1x12</v>
      </c>
      <c r="K1452" t="str">
        <f>IFERROR(_xlfn.XLOOKUP($A1452,'Base SKUs'!$E:$E,'Base SKUs'!C:C),"")</f>
        <v>Long</v>
      </c>
      <c r="L1452" t="str">
        <f>IFERROR(_xlfn.XLOOKUP($A1452,'Base SKUs'!$E:$E,'Base SKUs'!D:D),"")</f>
        <v>Thermowood</v>
      </c>
      <c r="M1452" t="str">
        <f>IFERROR(_xlfn.XLOOKUP($A1452,'Base SKUs'!$E:$E,'Base SKUs'!G:G),"")</f>
        <v>Maximo Thermo Ayous JPL</v>
      </c>
      <c r="N1452" t="str">
        <f>IFERROR(_xlfn.XLOOKUP($A1452,'Base SKUs'!$E:$E,'Base SKUs'!H:H),"")</f>
        <v>S4S E4E</v>
      </c>
      <c r="O1452" t="str">
        <f>IFERROR(_xlfn.XLOOKUP($A1452,'Base SKUs'!$E:$E,'Base SKUs'!I:I),"")</f>
        <v>-</v>
      </c>
      <c r="P1452" t="str">
        <f>IFERROR(_xlfn.XLOOKUP($A1452,'Base SKUs'!$E:$E,'Base SKUs'!J:J),"")</f>
        <v>1x12</v>
      </c>
      <c r="Q1452">
        <f>IFERROR(_xlfn.XLOOKUP($A1452,'Base SKUs'!$E:$E,'Base SKUs'!K:K),"")</f>
        <v>9</v>
      </c>
      <c r="R1452" s="7">
        <f>IFERROR(_xlfn.XLOOKUP($A1452,'Base SKUs'!$E:$E,'Base SKUs'!S:S),"")</f>
        <v>1.491529275E-2</v>
      </c>
      <c r="S1452" s="8">
        <f t="shared" si="112"/>
        <v>1.4318681039999999</v>
      </c>
      <c r="T1452" s="7">
        <f>IFERROR(_xlfn.XLOOKUP($A1452,'Base SKUs'!$E:$E,'Base SKUs'!R:R),"")</f>
        <v>602.70399999999995</v>
      </c>
      <c r="U1452" s="15">
        <f t="shared" si="113"/>
        <v>863</v>
      </c>
      <c r="V1452" t="str">
        <f t="shared" si="114"/>
        <v>Miami</v>
      </c>
    </row>
    <row r="1453" spans="1:22" x14ac:dyDescent="0.2">
      <c r="A1453" t="s">
        <v>1969</v>
      </c>
      <c r="B1453" s="5">
        <v>196</v>
      </c>
      <c r="C1453" s="5">
        <v>119</v>
      </c>
      <c r="D1453" s="5">
        <f t="shared" si="110"/>
        <v>77</v>
      </c>
      <c r="E1453" s="6">
        <v>39.483899999999998</v>
      </c>
      <c r="F1453" s="6">
        <f t="shared" si="111"/>
        <v>7738.8444</v>
      </c>
      <c r="G1453" t="s">
        <v>17</v>
      </c>
      <c r="H1453">
        <v>9007</v>
      </c>
      <c r="I1453" t="str">
        <f>IFERROR(_xlfn.XLOOKUP($A1453,'Base SKUs'!$E:$E,'Base SKUs'!A:A),"")</f>
        <v>Ayous JPL</v>
      </c>
      <c r="J1453" t="str">
        <f>IFERROR(_xlfn.XLOOKUP($A1453,'Base SKUs'!$E:$E,'Base SKUs'!B:B),"")</f>
        <v>Ayous JPL 1x12</v>
      </c>
      <c r="K1453" t="str">
        <f>IFERROR(_xlfn.XLOOKUP($A1453,'Base SKUs'!$E:$E,'Base SKUs'!C:C),"")</f>
        <v>Long</v>
      </c>
      <c r="L1453" t="str">
        <f>IFERROR(_xlfn.XLOOKUP($A1453,'Base SKUs'!$E:$E,'Base SKUs'!D:D),"")</f>
        <v>Thermowood</v>
      </c>
      <c r="M1453" t="str">
        <f>IFERROR(_xlfn.XLOOKUP($A1453,'Base SKUs'!$E:$E,'Base SKUs'!G:G),"")</f>
        <v>Maximo Thermo Ayous JPL</v>
      </c>
      <c r="N1453" t="str">
        <f>IFERROR(_xlfn.XLOOKUP($A1453,'Base SKUs'!$E:$E,'Base SKUs'!H:H),"")</f>
        <v>S4S E4E</v>
      </c>
      <c r="O1453" t="str">
        <f>IFERROR(_xlfn.XLOOKUP($A1453,'Base SKUs'!$E:$E,'Base SKUs'!I:I),"")</f>
        <v>-</v>
      </c>
      <c r="P1453" t="str">
        <f>IFERROR(_xlfn.XLOOKUP($A1453,'Base SKUs'!$E:$E,'Base SKUs'!J:J),"")</f>
        <v>1x12</v>
      </c>
      <c r="Q1453">
        <f>IFERROR(_xlfn.XLOOKUP($A1453,'Base SKUs'!$E:$E,'Base SKUs'!K:K),"")</f>
        <v>10</v>
      </c>
      <c r="R1453" s="7">
        <f>IFERROR(_xlfn.XLOOKUP($A1453,'Base SKUs'!$E:$E,'Base SKUs'!S:S),"")</f>
        <v>1.6602789374999996E-2</v>
      </c>
      <c r="S1453" s="8">
        <f t="shared" si="112"/>
        <v>1.2784147818749998</v>
      </c>
      <c r="T1453" s="7">
        <f>IFERROR(_xlfn.XLOOKUP($A1453,'Base SKUs'!$E:$E,'Base SKUs'!R:R),"")</f>
        <v>602.70399999999995</v>
      </c>
      <c r="U1453" s="15">
        <f t="shared" si="113"/>
        <v>771</v>
      </c>
      <c r="V1453" t="str">
        <f t="shared" si="114"/>
        <v>Miami</v>
      </c>
    </row>
    <row r="1454" spans="1:22" x14ac:dyDescent="0.2">
      <c r="A1454" t="s">
        <v>1969</v>
      </c>
      <c r="B1454" s="5">
        <v>70</v>
      </c>
      <c r="C1454" s="5">
        <v>0</v>
      </c>
      <c r="D1454" s="5">
        <f t="shared" si="110"/>
        <v>70</v>
      </c>
      <c r="E1454" s="6">
        <v>42.311100000000003</v>
      </c>
      <c r="F1454" s="6">
        <f t="shared" si="111"/>
        <v>2961.777</v>
      </c>
      <c r="G1454" t="s">
        <v>6145</v>
      </c>
      <c r="H1454">
        <v>9010</v>
      </c>
      <c r="I1454" t="str">
        <f>IFERROR(_xlfn.XLOOKUP($A1454,'Base SKUs'!$E:$E,'Base SKUs'!A:A),"")</f>
        <v>Ayous JPL</v>
      </c>
      <c r="J1454" t="str">
        <f>IFERROR(_xlfn.XLOOKUP($A1454,'Base SKUs'!$E:$E,'Base SKUs'!B:B),"")</f>
        <v>Ayous JPL 1x12</v>
      </c>
      <c r="K1454" t="str">
        <f>IFERROR(_xlfn.XLOOKUP($A1454,'Base SKUs'!$E:$E,'Base SKUs'!C:C),"")</f>
        <v>Long</v>
      </c>
      <c r="L1454" t="str">
        <f>IFERROR(_xlfn.XLOOKUP($A1454,'Base SKUs'!$E:$E,'Base SKUs'!D:D),"")</f>
        <v>Thermowood</v>
      </c>
      <c r="M1454" t="str">
        <f>IFERROR(_xlfn.XLOOKUP($A1454,'Base SKUs'!$E:$E,'Base SKUs'!G:G),"")</f>
        <v>Maximo Thermo Ayous JPL</v>
      </c>
      <c r="N1454" t="str">
        <f>IFERROR(_xlfn.XLOOKUP($A1454,'Base SKUs'!$E:$E,'Base SKUs'!H:H),"")</f>
        <v>S4S E4E</v>
      </c>
      <c r="O1454" t="str">
        <f>IFERROR(_xlfn.XLOOKUP($A1454,'Base SKUs'!$E:$E,'Base SKUs'!I:I),"")</f>
        <v>-</v>
      </c>
      <c r="P1454" t="str">
        <f>IFERROR(_xlfn.XLOOKUP($A1454,'Base SKUs'!$E:$E,'Base SKUs'!J:J),"")</f>
        <v>1x12</v>
      </c>
      <c r="Q1454">
        <f>IFERROR(_xlfn.XLOOKUP($A1454,'Base SKUs'!$E:$E,'Base SKUs'!K:K),"")</f>
        <v>10</v>
      </c>
      <c r="R1454" s="7">
        <f>IFERROR(_xlfn.XLOOKUP($A1454,'Base SKUs'!$E:$E,'Base SKUs'!S:S),"")</f>
        <v>1.6602789374999996E-2</v>
      </c>
      <c r="S1454" s="8">
        <f t="shared" si="112"/>
        <v>1.1621952562499998</v>
      </c>
      <c r="T1454" s="7">
        <f>IFERROR(_xlfn.XLOOKUP($A1454,'Base SKUs'!$E:$E,'Base SKUs'!R:R),"")</f>
        <v>602.70399999999995</v>
      </c>
      <c r="U1454" s="15">
        <f t="shared" si="113"/>
        <v>700</v>
      </c>
      <c r="V1454" t="str">
        <f t="shared" si="114"/>
        <v>BS Detroit</v>
      </c>
    </row>
    <row r="1455" spans="1:22" x14ac:dyDescent="0.2">
      <c r="A1455" t="s">
        <v>1969</v>
      </c>
      <c r="B1455" s="5">
        <v>119</v>
      </c>
      <c r="C1455" s="5">
        <v>0</v>
      </c>
      <c r="D1455" s="5">
        <f t="shared" si="110"/>
        <v>119</v>
      </c>
      <c r="E1455" s="6">
        <v>40.3874</v>
      </c>
      <c r="F1455" s="6">
        <f t="shared" si="111"/>
        <v>4806.1005999999998</v>
      </c>
      <c r="G1455" t="s">
        <v>500</v>
      </c>
      <c r="H1455">
        <v>9012</v>
      </c>
      <c r="I1455" t="str">
        <f>IFERROR(_xlfn.XLOOKUP($A1455,'Base SKUs'!$E:$E,'Base SKUs'!A:A),"")</f>
        <v>Ayous JPL</v>
      </c>
      <c r="J1455" t="str">
        <f>IFERROR(_xlfn.XLOOKUP($A1455,'Base SKUs'!$E:$E,'Base SKUs'!B:B),"")</f>
        <v>Ayous JPL 1x12</v>
      </c>
      <c r="K1455" t="str">
        <f>IFERROR(_xlfn.XLOOKUP($A1455,'Base SKUs'!$E:$E,'Base SKUs'!C:C),"")</f>
        <v>Long</v>
      </c>
      <c r="L1455" t="str">
        <f>IFERROR(_xlfn.XLOOKUP($A1455,'Base SKUs'!$E:$E,'Base SKUs'!D:D),"")</f>
        <v>Thermowood</v>
      </c>
      <c r="M1455" t="str">
        <f>IFERROR(_xlfn.XLOOKUP($A1455,'Base SKUs'!$E:$E,'Base SKUs'!G:G),"")</f>
        <v>Maximo Thermo Ayous JPL</v>
      </c>
      <c r="N1455" t="str">
        <f>IFERROR(_xlfn.XLOOKUP($A1455,'Base SKUs'!$E:$E,'Base SKUs'!H:H),"")</f>
        <v>S4S E4E</v>
      </c>
      <c r="O1455" t="str">
        <f>IFERROR(_xlfn.XLOOKUP($A1455,'Base SKUs'!$E:$E,'Base SKUs'!I:I),"")</f>
        <v>-</v>
      </c>
      <c r="P1455" t="str">
        <f>IFERROR(_xlfn.XLOOKUP($A1455,'Base SKUs'!$E:$E,'Base SKUs'!J:J),"")</f>
        <v>1x12</v>
      </c>
      <c r="Q1455">
        <f>IFERROR(_xlfn.XLOOKUP($A1455,'Base SKUs'!$E:$E,'Base SKUs'!K:K),"")</f>
        <v>10</v>
      </c>
      <c r="R1455" s="7">
        <f>IFERROR(_xlfn.XLOOKUP($A1455,'Base SKUs'!$E:$E,'Base SKUs'!S:S),"")</f>
        <v>1.6602789374999996E-2</v>
      </c>
      <c r="S1455" s="8">
        <f t="shared" si="112"/>
        <v>1.9757319356249996</v>
      </c>
      <c r="T1455" s="7">
        <f>IFERROR(_xlfn.XLOOKUP($A1455,'Base SKUs'!$E:$E,'Base SKUs'!R:R),"")</f>
        <v>602.70399999999995</v>
      </c>
      <c r="U1455" s="15">
        <f t="shared" si="113"/>
        <v>1191</v>
      </c>
      <c r="V1455" t="str">
        <f t="shared" si="114"/>
        <v>HW Perris</v>
      </c>
    </row>
    <row r="1456" spans="1:22" x14ac:dyDescent="0.2">
      <c r="A1456" t="s">
        <v>1971</v>
      </c>
      <c r="B1456" s="5">
        <v>7</v>
      </c>
      <c r="C1456" s="5">
        <v>0</v>
      </c>
      <c r="D1456" s="5">
        <f t="shared" si="110"/>
        <v>7</v>
      </c>
      <c r="E1456" s="6">
        <v>47.358600000000003</v>
      </c>
      <c r="F1456" s="6">
        <f t="shared" si="111"/>
        <v>331.5102</v>
      </c>
      <c r="G1456" t="s">
        <v>17</v>
      </c>
      <c r="H1456">
        <v>9007</v>
      </c>
      <c r="I1456" t="str">
        <f>IFERROR(_xlfn.XLOOKUP($A1456,'Base SKUs'!$E:$E,'Base SKUs'!A:A),"")</f>
        <v>Ayous JPL</v>
      </c>
      <c r="J1456" t="str">
        <f>IFERROR(_xlfn.XLOOKUP($A1456,'Base SKUs'!$E:$E,'Base SKUs'!B:B),"")</f>
        <v>Ayous JPL 1x12</v>
      </c>
      <c r="K1456" t="str">
        <f>IFERROR(_xlfn.XLOOKUP($A1456,'Base SKUs'!$E:$E,'Base SKUs'!C:C),"")</f>
        <v>Long</v>
      </c>
      <c r="L1456" t="str">
        <f>IFERROR(_xlfn.XLOOKUP($A1456,'Base SKUs'!$E:$E,'Base SKUs'!D:D),"")</f>
        <v>Thermowood</v>
      </c>
      <c r="M1456" t="str">
        <f>IFERROR(_xlfn.XLOOKUP($A1456,'Base SKUs'!$E:$E,'Base SKUs'!G:G),"")</f>
        <v>Maximo Thermo Ayous JPL</v>
      </c>
      <c r="N1456" t="str">
        <f>IFERROR(_xlfn.XLOOKUP($A1456,'Base SKUs'!$E:$E,'Base SKUs'!H:H),"")</f>
        <v>S4S E4E</v>
      </c>
      <c r="O1456" t="str">
        <f>IFERROR(_xlfn.XLOOKUP($A1456,'Base SKUs'!$E:$E,'Base SKUs'!I:I),"")</f>
        <v>-</v>
      </c>
      <c r="P1456" t="str">
        <f>IFERROR(_xlfn.XLOOKUP($A1456,'Base SKUs'!$E:$E,'Base SKUs'!J:J),"")</f>
        <v>1x12</v>
      </c>
      <c r="Q1456">
        <f>IFERROR(_xlfn.XLOOKUP($A1456,'Base SKUs'!$E:$E,'Base SKUs'!K:K),"")</f>
        <v>12</v>
      </c>
      <c r="R1456" s="7">
        <f>IFERROR(_xlfn.XLOOKUP($A1456,'Base SKUs'!$E:$E,'Base SKUs'!S:S),"")</f>
        <v>1.9923347249999997E-2</v>
      </c>
      <c r="S1456" s="8">
        <f t="shared" si="112"/>
        <v>0.13946343074999998</v>
      </c>
      <c r="T1456" s="7">
        <f>IFERROR(_xlfn.XLOOKUP($A1456,'Base SKUs'!$E:$E,'Base SKUs'!R:R),"")</f>
        <v>602.70399999999995</v>
      </c>
      <c r="U1456" s="15">
        <f t="shared" si="113"/>
        <v>84</v>
      </c>
      <c r="V1456" t="str">
        <f t="shared" si="114"/>
        <v>Miami</v>
      </c>
    </row>
    <row r="1457" spans="1:22" x14ac:dyDescent="0.2">
      <c r="A1457" t="s">
        <v>1973</v>
      </c>
      <c r="B1457" s="5">
        <v>35</v>
      </c>
      <c r="C1457" s="5">
        <v>0</v>
      </c>
      <c r="D1457" s="5">
        <f t="shared" si="110"/>
        <v>35</v>
      </c>
      <c r="E1457" s="6">
        <v>54.979100000000003</v>
      </c>
      <c r="F1457" s="6">
        <f t="shared" si="111"/>
        <v>1924.2685000000001</v>
      </c>
      <c r="G1457" t="s">
        <v>6145</v>
      </c>
      <c r="H1457">
        <v>9010</v>
      </c>
      <c r="I1457" t="str">
        <f>IFERROR(_xlfn.XLOOKUP($A1457,'Base SKUs'!$E:$E,'Base SKUs'!A:A),"")</f>
        <v>Ayous JPL</v>
      </c>
      <c r="J1457" t="str">
        <f>IFERROR(_xlfn.XLOOKUP($A1457,'Base SKUs'!$E:$E,'Base SKUs'!B:B),"")</f>
        <v>Ayous JPL 1x12</v>
      </c>
      <c r="K1457" t="str">
        <f>IFERROR(_xlfn.XLOOKUP($A1457,'Base SKUs'!$E:$E,'Base SKUs'!C:C),"")</f>
        <v>Long</v>
      </c>
      <c r="L1457" t="str">
        <f>IFERROR(_xlfn.XLOOKUP($A1457,'Base SKUs'!$E:$E,'Base SKUs'!D:D),"")</f>
        <v>Thermowood</v>
      </c>
      <c r="M1457" t="str">
        <f>IFERROR(_xlfn.XLOOKUP($A1457,'Base SKUs'!$E:$E,'Base SKUs'!G:G),"")</f>
        <v>Maximo Thermo Ayous JPL</v>
      </c>
      <c r="N1457" t="str">
        <f>IFERROR(_xlfn.XLOOKUP($A1457,'Base SKUs'!$E:$E,'Base SKUs'!H:H),"")</f>
        <v>S4S E4E</v>
      </c>
      <c r="O1457" t="str">
        <f>IFERROR(_xlfn.XLOOKUP($A1457,'Base SKUs'!$E:$E,'Base SKUs'!I:I),"")</f>
        <v>-</v>
      </c>
      <c r="P1457" t="str">
        <f>IFERROR(_xlfn.XLOOKUP($A1457,'Base SKUs'!$E:$E,'Base SKUs'!J:J),"")</f>
        <v>1x12</v>
      </c>
      <c r="Q1457">
        <f>IFERROR(_xlfn.XLOOKUP($A1457,'Base SKUs'!$E:$E,'Base SKUs'!K:K),"")</f>
        <v>13</v>
      </c>
      <c r="R1457" s="7">
        <f>IFERROR(_xlfn.XLOOKUP($A1457,'Base SKUs'!$E:$E,'Base SKUs'!S:S),"")</f>
        <v>2.1556408499999995E-2</v>
      </c>
      <c r="S1457" s="8">
        <f t="shared" si="112"/>
        <v>0.75447429749999984</v>
      </c>
      <c r="T1457" s="7">
        <f>IFERROR(_xlfn.XLOOKUP($A1457,'Base SKUs'!$E:$E,'Base SKUs'!R:R),"")</f>
        <v>602.70399999999995</v>
      </c>
      <c r="U1457" s="15">
        <f t="shared" si="113"/>
        <v>455</v>
      </c>
      <c r="V1457" t="str">
        <f t="shared" si="114"/>
        <v>BS Detroit</v>
      </c>
    </row>
    <row r="1458" spans="1:22" x14ac:dyDescent="0.2">
      <c r="A1458" t="s">
        <v>1973</v>
      </c>
      <c r="B1458" s="5">
        <v>137</v>
      </c>
      <c r="C1458" s="5">
        <v>0</v>
      </c>
      <c r="D1458" s="5">
        <f t="shared" si="110"/>
        <v>137</v>
      </c>
      <c r="E1458" s="6">
        <v>52.503599999999999</v>
      </c>
      <c r="F1458" s="6">
        <f t="shared" si="111"/>
        <v>7192.9931999999999</v>
      </c>
      <c r="G1458" t="s">
        <v>500</v>
      </c>
      <c r="H1458">
        <v>9012</v>
      </c>
      <c r="I1458" t="str">
        <f>IFERROR(_xlfn.XLOOKUP($A1458,'Base SKUs'!$E:$E,'Base SKUs'!A:A),"")</f>
        <v>Ayous JPL</v>
      </c>
      <c r="J1458" t="str">
        <f>IFERROR(_xlfn.XLOOKUP($A1458,'Base SKUs'!$E:$E,'Base SKUs'!B:B),"")</f>
        <v>Ayous JPL 1x12</v>
      </c>
      <c r="K1458" t="str">
        <f>IFERROR(_xlfn.XLOOKUP($A1458,'Base SKUs'!$E:$E,'Base SKUs'!C:C),"")</f>
        <v>Long</v>
      </c>
      <c r="L1458" t="str">
        <f>IFERROR(_xlfn.XLOOKUP($A1458,'Base SKUs'!$E:$E,'Base SKUs'!D:D),"")</f>
        <v>Thermowood</v>
      </c>
      <c r="M1458" t="str">
        <f>IFERROR(_xlfn.XLOOKUP($A1458,'Base SKUs'!$E:$E,'Base SKUs'!G:G),"")</f>
        <v>Maximo Thermo Ayous JPL</v>
      </c>
      <c r="N1458" t="str">
        <f>IFERROR(_xlfn.XLOOKUP($A1458,'Base SKUs'!$E:$E,'Base SKUs'!H:H),"")</f>
        <v>S4S E4E</v>
      </c>
      <c r="O1458" t="str">
        <f>IFERROR(_xlfn.XLOOKUP($A1458,'Base SKUs'!$E:$E,'Base SKUs'!I:I),"")</f>
        <v>-</v>
      </c>
      <c r="P1458" t="str">
        <f>IFERROR(_xlfn.XLOOKUP($A1458,'Base SKUs'!$E:$E,'Base SKUs'!J:J),"")</f>
        <v>1x12</v>
      </c>
      <c r="Q1458">
        <f>IFERROR(_xlfn.XLOOKUP($A1458,'Base SKUs'!$E:$E,'Base SKUs'!K:K),"")</f>
        <v>13</v>
      </c>
      <c r="R1458" s="7">
        <f>IFERROR(_xlfn.XLOOKUP($A1458,'Base SKUs'!$E:$E,'Base SKUs'!S:S),"")</f>
        <v>2.1556408499999995E-2</v>
      </c>
      <c r="S1458" s="8">
        <f t="shared" si="112"/>
        <v>2.9532279644999995</v>
      </c>
      <c r="T1458" s="7">
        <f>IFERROR(_xlfn.XLOOKUP($A1458,'Base SKUs'!$E:$E,'Base SKUs'!R:R),"")</f>
        <v>602.70399999999995</v>
      </c>
      <c r="U1458" s="15">
        <f t="shared" si="113"/>
        <v>1780</v>
      </c>
      <c r="V1458" t="str">
        <f t="shared" si="114"/>
        <v>HW Perris</v>
      </c>
    </row>
    <row r="1459" spans="1:22" x14ac:dyDescent="0.2">
      <c r="A1459" t="s">
        <v>1975</v>
      </c>
      <c r="B1459" s="5">
        <v>84</v>
      </c>
      <c r="C1459" s="5">
        <v>57</v>
      </c>
      <c r="D1459" s="5">
        <f t="shared" si="110"/>
        <v>27</v>
      </c>
      <c r="E1459" s="6">
        <v>63.1449</v>
      </c>
      <c r="F1459" s="6">
        <f t="shared" si="111"/>
        <v>5304.1715999999997</v>
      </c>
      <c r="G1459" t="s">
        <v>17</v>
      </c>
      <c r="H1459">
        <v>9007</v>
      </c>
      <c r="I1459" t="str">
        <f>IFERROR(_xlfn.XLOOKUP($A1459,'Base SKUs'!$E:$E,'Base SKUs'!A:A),"")</f>
        <v>Ayous JPL</v>
      </c>
      <c r="J1459" t="str">
        <f>IFERROR(_xlfn.XLOOKUP($A1459,'Base SKUs'!$E:$E,'Base SKUs'!B:B),"")</f>
        <v>Ayous JPL 1x12</v>
      </c>
      <c r="K1459" t="str">
        <f>IFERROR(_xlfn.XLOOKUP($A1459,'Base SKUs'!$E:$E,'Base SKUs'!C:C),"")</f>
        <v>Long</v>
      </c>
      <c r="L1459" t="str">
        <f>IFERROR(_xlfn.XLOOKUP($A1459,'Base SKUs'!$E:$E,'Base SKUs'!D:D),"")</f>
        <v>Thermowood</v>
      </c>
      <c r="M1459" t="str">
        <f>IFERROR(_xlfn.XLOOKUP($A1459,'Base SKUs'!$E:$E,'Base SKUs'!G:G),"")</f>
        <v>Maximo Thermo Ayous JPL</v>
      </c>
      <c r="N1459" t="str">
        <f>IFERROR(_xlfn.XLOOKUP($A1459,'Base SKUs'!$E:$E,'Base SKUs'!H:H),"")</f>
        <v>S4S E4E</v>
      </c>
      <c r="O1459" t="str">
        <f>IFERROR(_xlfn.XLOOKUP($A1459,'Base SKUs'!$E:$E,'Base SKUs'!I:I),"")</f>
        <v>-</v>
      </c>
      <c r="P1459" t="str">
        <f>IFERROR(_xlfn.XLOOKUP($A1459,'Base SKUs'!$E:$E,'Base SKUs'!J:J),"")</f>
        <v>1x12</v>
      </c>
      <c r="Q1459">
        <f>IFERROR(_xlfn.XLOOKUP($A1459,'Base SKUs'!$E:$E,'Base SKUs'!K:K),"")</f>
        <v>16</v>
      </c>
      <c r="R1459" s="7">
        <f>IFERROR(_xlfn.XLOOKUP($A1459,'Base SKUs'!$E:$E,'Base SKUs'!S:S),"")</f>
        <v>2.6564462999999996E-2</v>
      </c>
      <c r="S1459" s="8">
        <f t="shared" si="112"/>
        <v>0.71724050099999992</v>
      </c>
      <c r="T1459" s="7">
        <f>IFERROR(_xlfn.XLOOKUP($A1459,'Base SKUs'!$E:$E,'Base SKUs'!R:R),"")</f>
        <v>602.70399999999995</v>
      </c>
      <c r="U1459" s="15">
        <f t="shared" si="113"/>
        <v>432</v>
      </c>
      <c r="V1459" t="str">
        <f t="shared" si="114"/>
        <v>Miami</v>
      </c>
    </row>
    <row r="1460" spans="1:22" x14ac:dyDescent="0.2">
      <c r="A1460" t="s">
        <v>1975</v>
      </c>
      <c r="B1460" s="5">
        <v>35</v>
      </c>
      <c r="C1460" s="5">
        <v>0</v>
      </c>
      <c r="D1460" s="5">
        <f t="shared" si="110"/>
        <v>35</v>
      </c>
      <c r="E1460" s="6">
        <v>67.666300000000007</v>
      </c>
      <c r="F1460" s="6">
        <f t="shared" si="111"/>
        <v>2368.3205000000003</v>
      </c>
      <c r="G1460" t="s">
        <v>6145</v>
      </c>
      <c r="H1460">
        <v>9010</v>
      </c>
      <c r="I1460" t="str">
        <f>IFERROR(_xlfn.XLOOKUP($A1460,'Base SKUs'!$E:$E,'Base SKUs'!A:A),"")</f>
        <v>Ayous JPL</v>
      </c>
      <c r="J1460" t="str">
        <f>IFERROR(_xlfn.XLOOKUP($A1460,'Base SKUs'!$E:$E,'Base SKUs'!B:B),"")</f>
        <v>Ayous JPL 1x12</v>
      </c>
      <c r="K1460" t="str">
        <f>IFERROR(_xlfn.XLOOKUP($A1460,'Base SKUs'!$E:$E,'Base SKUs'!C:C),"")</f>
        <v>Long</v>
      </c>
      <c r="L1460" t="str">
        <f>IFERROR(_xlfn.XLOOKUP($A1460,'Base SKUs'!$E:$E,'Base SKUs'!D:D),"")</f>
        <v>Thermowood</v>
      </c>
      <c r="M1460" t="str">
        <f>IFERROR(_xlfn.XLOOKUP($A1460,'Base SKUs'!$E:$E,'Base SKUs'!G:G),"")</f>
        <v>Maximo Thermo Ayous JPL</v>
      </c>
      <c r="N1460" t="str">
        <f>IFERROR(_xlfn.XLOOKUP($A1460,'Base SKUs'!$E:$E,'Base SKUs'!H:H),"")</f>
        <v>S4S E4E</v>
      </c>
      <c r="O1460" t="str">
        <f>IFERROR(_xlfn.XLOOKUP($A1460,'Base SKUs'!$E:$E,'Base SKUs'!I:I),"")</f>
        <v>-</v>
      </c>
      <c r="P1460" t="str">
        <f>IFERROR(_xlfn.XLOOKUP($A1460,'Base SKUs'!$E:$E,'Base SKUs'!J:J),"")</f>
        <v>1x12</v>
      </c>
      <c r="Q1460">
        <f>IFERROR(_xlfn.XLOOKUP($A1460,'Base SKUs'!$E:$E,'Base SKUs'!K:K),"")</f>
        <v>16</v>
      </c>
      <c r="R1460" s="7">
        <f>IFERROR(_xlfn.XLOOKUP($A1460,'Base SKUs'!$E:$E,'Base SKUs'!S:S),"")</f>
        <v>2.6564462999999996E-2</v>
      </c>
      <c r="S1460" s="8">
        <f t="shared" si="112"/>
        <v>0.92975620499999989</v>
      </c>
      <c r="T1460" s="7">
        <f>IFERROR(_xlfn.XLOOKUP($A1460,'Base SKUs'!$E:$E,'Base SKUs'!R:R),"")</f>
        <v>602.70399999999995</v>
      </c>
      <c r="U1460" s="15">
        <f t="shared" si="113"/>
        <v>560</v>
      </c>
      <c r="V1460" t="str">
        <f t="shared" si="114"/>
        <v>BS Detroit</v>
      </c>
    </row>
    <row r="1461" spans="1:22" x14ac:dyDescent="0.2">
      <c r="A1461" t="s">
        <v>1977</v>
      </c>
      <c r="B1461" s="5">
        <v>1</v>
      </c>
      <c r="C1461" s="5">
        <v>0</v>
      </c>
      <c r="D1461" s="5">
        <f t="shared" si="110"/>
        <v>1</v>
      </c>
      <c r="E1461" s="6">
        <v>68.66</v>
      </c>
      <c r="F1461" s="6">
        <f t="shared" si="111"/>
        <v>68.66</v>
      </c>
      <c r="G1461" t="s">
        <v>500</v>
      </c>
      <c r="H1461">
        <v>9012</v>
      </c>
      <c r="I1461" t="str">
        <f>IFERROR(_xlfn.XLOOKUP($A1461,'Base SKUs'!$E:$E,'Base SKUs'!A:A),"")</f>
        <v>Ayous JPL</v>
      </c>
      <c r="J1461" t="str">
        <f>IFERROR(_xlfn.XLOOKUP($A1461,'Base SKUs'!$E:$E,'Base SKUs'!B:B),"")</f>
        <v>Ayous JPL 1x12</v>
      </c>
      <c r="K1461" t="str">
        <f>IFERROR(_xlfn.XLOOKUP($A1461,'Base SKUs'!$E:$E,'Base SKUs'!C:C),"")</f>
        <v>Long</v>
      </c>
      <c r="L1461" t="str">
        <f>IFERROR(_xlfn.XLOOKUP($A1461,'Base SKUs'!$E:$E,'Base SKUs'!D:D),"")</f>
        <v>Thermowood</v>
      </c>
      <c r="M1461" t="str">
        <f>IFERROR(_xlfn.XLOOKUP($A1461,'Base SKUs'!$E:$E,'Base SKUs'!G:G),"")</f>
        <v>Maximo Thermo Ayous JPL</v>
      </c>
      <c r="N1461" t="str">
        <f>IFERROR(_xlfn.XLOOKUP($A1461,'Base SKUs'!$E:$E,'Base SKUs'!H:H),"")</f>
        <v>S4S E4E</v>
      </c>
      <c r="O1461" t="str">
        <f>IFERROR(_xlfn.XLOOKUP($A1461,'Base SKUs'!$E:$E,'Base SKUs'!I:I),"")</f>
        <v>-</v>
      </c>
      <c r="P1461" t="str">
        <f>IFERROR(_xlfn.XLOOKUP($A1461,'Base SKUs'!$E:$E,'Base SKUs'!J:J),"")</f>
        <v>1x12</v>
      </c>
      <c r="Q1461">
        <f>IFERROR(_xlfn.XLOOKUP($A1461,'Base SKUs'!$E:$E,'Base SKUs'!K:K),"")</f>
        <v>17</v>
      </c>
      <c r="R1461" s="7">
        <f>IFERROR(_xlfn.XLOOKUP($A1461,'Base SKUs'!$E:$E,'Base SKUs'!S:S),"")</f>
        <v>2.8197524249999995E-2</v>
      </c>
      <c r="S1461" s="8">
        <f t="shared" si="112"/>
        <v>2.8197524249999995E-2</v>
      </c>
      <c r="T1461" s="7">
        <f>IFERROR(_xlfn.XLOOKUP($A1461,'Base SKUs'!$E:$E,'Base SKUs'!R:R),"")</f>
        <v>602.70399999999995</v>
      </c>
      <c r="U1461" s="15">
        <f t="shared" si="113"/>
        <v>17</v>
      </c>
      <c r="V1461" t="str">
        <f t="shared" si="114"/>
        <v>HW Perris</v>
      </c>
    </row>
    <row r="1462" spans="1:22" x14ac:dyDescent="0.2">
      <c r="A1462" t="s">
        <v>1979</v>
      </c>
      <c r="B1462" s="5">
        <v>6</v>
      </c>
      <c r="C1462" s="5">
        <v>0</v>
      </c>
      <c r="D1462" s="5">
        <f t="shared" si="110"/>
        <v>6</v>
      </c>
      <c r="E1462" s="6">
        <v>72.697299999999998</v>
      </c>
      <c r="F1462" s="6">
        <f t="shared" si="111"/>
        <v>436.18380000000002</v>
      </c>
      <c r="G1462" t="s">
        <v>500</v>
      </c>
      <c r="H1462">
        <v>9012</v>
      </c>
      <c r="I1462" t="str">
        <f>IFERROR(_xlfn.XLOOKUP($A1462,'Base SKUs'!$E:$E,'Base SKUs'!A:A),"")</f>
        <v>Ayous JPL</v>
      </c>
      <c r="J1462" t="str">
        <f>IFERROR(_xlfn.XLOOKUP($A1462,'Base SKUs'!$E:$E,'Base SKUs'!B:B),"")</f>
        <v>Ayous JPL 1x12</v>
      </c>
      <c r="K1462" t="str">
        <f>IFERROR(_xlfn.XLOOKUP($A1462,'Base SKUs'!$E:$E,'Base SKUs'!C:C),"")</f>
        <v>Long</v>
      </c>
      <c r="L1462" t="str">
        <f>IFERROR(_xlfn.XLOOKUP($A1462,'Base SKUs'!$E:$E,'Base SKUs'!D:D),"")</f>
        <v>Thermowood</v>
      </c>
      <c r="M1462" t="str">
        <f>IFERROR(_xlfn.XLOOKUP($A1462,'Base SKUs'!$E:$E,'Base SKUs'!G:G),"")</f>
        <v>Maximo Thermo Ayous JPL</v>
      </c>
      <c r="N1462" t="str">
        <f>IFERROR(_xlfn.XLOOKUP($A1462,'Base SKUs'!$E:$E,'Base SKUs'!H:H),"")</f>
        <v>S4S E4E</v>
      </c>
      <c r="O1462" t="str">
        <f>IFERROR(_xlfn.XLOOKUP($A1462,'Base SKUs'!$E:$E,'Base SKUs'!I:I),"")</f>
        <v>-</v>
      </c>
      <c r="P1462" t="str">
        <f>IFERROR(_xlfn.XLOOKUP($A1462,'Base SKUs'!$E:$E,'Base SKUs'!J:J),"")</f>
        <v>1x12</v>
      </c>
      <c r="Q1462">
        <f>IFERROR(_xlfn.XLOOKUP($A1462,'Base SKUs'!$E:$E,'Base SKUs'!K:K),"")</f>
        <v>18</v>
      </c>
      <c r="R1462" s="7">
        <f>IFERROR(_xlfn.XLOOKUP($A1462,'Base SKUs'!$E:$E,'Base SKUs'!S:S),"")</f>
        <v>2.9885020874999998E-2</v>
      </c>
      <c r="S1462" s="8">
        <f t="shared" si="112"/>
        <v>0.17931012524999998</v>
      </c>
      <c r="T1462" s="7">
        <f>IFERROR(_xlfn.XLOOKUP($A1462,'Base SKUs'!$E:$E,'Base SKUs'!R:R),"")</f>
        <v>602.70399999999995</v>
      </c>
      <c r="U1462" s="15">
        <f t="shared" si="113"/>
        <v>108</v>
      </c>
      <c r="V1462" t="str">
        <f t="shared" si="114"/>
        <v>HW Perris</v>
      </c>
    </row>
    <row r="1463" spans="1:22" x14ac:dyDescent="0.2">
      <c r="A1463" t="s">
        <v>1981</v>
      </c>
      <c r="B1463" s="5">
        <v>29</v>
      </c>
      <c r="C1463" s="5">
        <v>14</v>
      </c>
      <c r="D1463" s="5">
        <f t="shared" si="110"/>
        <v>15</v>
      </c>
      <c r="E1463" s="6">
        <v>75.039500000000004</v>
      </c>
      <c r="F1463" s="6">
        <f t="shared" si="111"/>
        <v>2176.1455000000001</v>
      </c>
      <c r="G1463" t="s">
        <v>17</v>
      </c>
      <c r="H1463">
        <v>9007</v>
      </c>
      <c r="I1463" t="str">
        <f>IFERROR(_xlfn.XLOOKUP($A1463,'Base SKUs'!$E:$E,'Base SKUs'!A:A),"")</f>
        <v>Ayous JPL</v>
      </c>
      <c r="J1463" t="str">
        <f>IFERROR(_xlfn.XLOOKUP($A1463,'Base SKUs'!$E:$E,'Base SKUs'!B:B),"")</f>
        <v>Ayous JPL 1x12</v>
      </c>
      <c r="K1463" t="str">
        <f>IFERROR(_xlfn.XLOOKUP($A1463,'Base SKUs'!$E:$E,'Base SKUs'!C:C),"")</f>
        <v>Long</v>
      </c>
      <c r="L1463" t="str">
        <f>IFERROR(_xlfn.XLOOKUP($A1463,'Base SKUs'!$E:$E,'Base SKUs'!D:D),"")</f>
        <v>Thermowood</v>
      </c>
      <c r="M1463" t="str">
        <f>IFERROR(_xlfn.XLOOKUP($A1463,'Base SKUs'!$E:$E,'Base SKUs'!G:G),"")</f>
        <v>Maximo Thermo Ayous JPL</v>
      </c>
      <c r="N1463" t="str">
        <f>IFERROR(_xlfn.XLOOKUP($A1463,'Base SKUs'!$E:$E,'Base SKUs'!H:H),"")</f>
        <v>S4S E4E</v>
      </c>
      <c r="O1463" t="str">
        <f>IFERROR(_xlfn.XLOOKUP($A1463,'Base SKUs'!$E:$E,'Base SKUs'!I:I),"")</f>
        <v>-</v>
      </c>
      <c r="P1463" t="str">
        <f>IFERROR(_xlfn.XLOOKUP($A1463,'Base SKUs'!$E:$E,'Base SKUs'!J:J),"")</f>
        <v>1x12</v>
      </c>
      <c r="Q1463">
        <f>IFERROR(_xlfn.XLOOKUP($A1463,'Base SKUs'!$E:$E,'Base SKUs'!K:K),"")</f>
        <v>19</v>
      </c>
      <c r="R1463" s="7">
        <f>IFERROR(_xlfn.XLOOKUP($A1463,'Base SKUs'!$E:$E,'Base SKUs'!S:S),"")</f>
        <v>3.1518082124999999E-2</v>
      </c>
      <c r="S1463" s="8">
        <f t="shared" si="112"/>
        <v>0.47277123187499998</v>
      </c>
      <c r="T1463" s="7">
        <f>IFERROR(_xlfn.XLOOKUP($A1463,'Base SKUs'!$E:$E,'Base SKUs'!R:R),"")</f>
        <v>602.70399999999995</v>
      </c>
      <c r="U1463" s="15">
        <f t="shared" si="113"/>
        <v>285</v>
      </c>
      <c r="V1463" t="str">
        <f t="shared" si="114"/>
        <v>Miami</v>
      </c>
    </row>
    <row r="1464" spans="1:22" x14ac:dyDescent="0.2">
      <c r="A1464" t="s">
        <v>1981</v>
      </c>
      <c r="B1464" s="5">
        <v>28</v>
      </c>
      <c r="C1464" s="5">
        <v>0</v>
      </c>
      <c r="D1464" s="5">
        <f t="shared" si="110"/>
        <v>28</v>
      </c>
      <c r="E1464" s="6">
        <v>80.412899999999993</v>
      </c>
      <c r="F1464" s="6">
        <f t="shared" si="111"/>
        <v>2251.5611999999996</v>
      </c>
      <c r="G1464" t="s">
        <v>6145</v>
      </c>
      <c r="H1464">
        <v>9010</v>
      </c>
      <c r="I1464" t="str">
        <f>IFERROR(_xlfn.XLOOKUP($A1464,'Base SKUs'!$E:$E,'Base SKUs'!A:A),"")</f>
        <v>Ayous JPL</v>
      </c>
      <c r="J1464" t="str">
        <f>IFERROR(_xlfn.XLOOKUP($A1464,'Base SKUs'!$E:$E,'Base SKUs'!B:B),"")</f>
        <v>Ayous JPL 1x12</v>
      </c>
      <c r="K1464" t="str">
        <f>IFERROR(_xlfn.XLOOKUP($A1464,'Base SKUs'!$E:$E,'Base SKUs'!C:C),"")</f>
        <v>Long</v>
      </c>
      <c r="L1464" t="str">
        <f>IFERROR(_xlfn.XLOOKUP($A1464,'Base SKUs'!$E:$E,'Base SKUs'!D:D),"")</f>
        <v>Thermowood</v>
      </c>
      <c r="M1464" t="str">
        <f>IFERROR(_xlfn.XLOOKUP($A1464,'Base SKUs'!$E:$E,'Base SKUs'!G:G),"")</f>
        <v>Maximo Thermo Ayous JPL</v>
      </c>
      <c r="N1464" t="str">
        <f>IFERROR(_xlfn.XLOOKUP($A1464,'Base SKUs'!$E:$E,'Base SKUs'!H:H),"")</f>
        <v>S4S E4E</v>
      </c>
      <c r="O1464" t="str">
        <f>IFERROR(_xlfn.XLOOKUP($A1464,'Base SKUs'!$E:$E,'Base SKUs'!I:I),"")</f>
        <v>-</v>
      </c>
      <c r="P1464" t="str">
        <f>IFERROR(_xlfn.XLOOKUP($A1464,'Base SKUs'!$E:$E,'Base SKUs'!J:J),"")</f>
        <v>1x12</v>
      </c>
      <c r="Q1464">
        <f>IFERROR(_xlfn.XLOOKUP($A1464,'Base SKUs'!$E:$E,'Base SKUs'!K:K),"")</f>
        <v>19</v>
      </c>
      <c r="R1464" s="7">
        <f>IFERROR(_xlfn.XLOOKUP($A1464,'Base SKUs'!$E:$E,'Base SKUs'!S:S),"")</f>
        <v>3.1518082124999999E-2</v>
      </c>
      <c r="S1464" s="8">
        <f t="shared" si="112"/>
        <v>0.88250629949999992</v>
      </c>
      <c r="T1464" s="7">
        <f>IFERROR(_xlfn.XLOOKUP($A1464,'Base SKUs'!$E:$E,'Base SKUs'!R:R),"")</f>
        <v>602.70399999999995</v>
      </c>
      <c r="U1464" s="15">
        <f t="shared" si="113"/>
        <v>532</v>
      </c>
      <c r="V1464" t="str">
        <f t="shared" si="114"/>
        <v>BS Detroit</v>
      </c>
    </row>
    <row r="1465" spans="1:22" x14ac:dyDescent="0.2">
      <c r="A1465" t="s">
        <v>1985</v>
      </c>
      <c r="B1465" s="5">
        <v>12</v>
      </c>
      <c r="C1465" s="5">
        <v>0</v>
      </c>
      <c r="D1465" s="5">
        <f t="shared" si="110"/>
        <v>12</v>
      </c>
      <c r="E1465" s="6">
        <v>532.16999999999996</v>
      </c>
      <c r="F1465" s="6">
        <f t="shared" si="111"/>
        <v>6386.0399999999991</v>
      </c>
      <c r="G1465" t="s">
        <v>17</v>
      </c>
      <c r="H1465">
        <v>9007</v>
      </c>
      <c r="I1465" t="str">
        <f>IFERROR(_xlfn.XLOOKUP($A1465,'Base SKUs'!$E:$E,'Base SKUs'!A:A),"")</f>
        <v>Wood Table</v>
      </c>
      <c r="J1465" t="str">
        <f>IFERROR(_xlfn.XLOOKUP($A1465,'Base SKUs'!$E:$E,'Base SKUs'!B:B),"")</f>
        <v>Slab</v>
      </c>
      <c r="K1465" t="str">
        <f>IFERROR(_xlfn.XLOOKUP($A1465,'Base SKUs'!$E:$E,'Base SKUs'!C:C),"")</f>
        <v>Regular</v>
      </c>
      <c r="L1465" t="str">
        <f>IFERROR(_xlfn.XLOOKUP($A1465,'Base SKUs'!$E:$E,'Base SKUs'!D:D),"")</f>
        <v>Wood Table</v>
      </c>
      <c r="M1465" t="str">
        <f>IFERROR(_xlfn.XLOOKUP($A1465,'Base SKUs'!$E:$E,'Base SKUs'!G:G),"")</f>
        <v>Round Wood</v>
      </c>
      <c r="N1465" t="str">
        <f>IFERROR(_xlfn.XLOOKUP($A1465,'Base SKUs'!$E:$E,'Base SKUs'!H:H),"")</f>
        <v>Table Slab</v>
      </c>
      <c r="O1465" t="str">
        <f>IFERROR(_xlfn.XLOOKUP($A1465,'Base SKUs'!$E:$E,'Base SKUs'!I:I),"")</f>
        <v>-</v>
      </c>
      <c r="P1465" t="str">
        <f>IFERROR(_xlfn.XLOOKUP($A1465,'Base SKUs'!$E:$E,'Base SKUs'!J:J),"")</f>
        <v>0</v>
      </c>
      <c r="Q1465">
        <f>IFERROR(_xlfn.XLOOKUP($A1465,'Base SKUs'!$E:$E,'Base SKUs'!K:K),"")</f>
        <v>0</v>
      </c>
      <c r="R1465" s="7">
        <f>IFERROR(_xlfn.XLOOKUP($A1465,'Base SKUs'!$E:$E,'Base SKUs'!S:S),"")</f>
        <v>0</v>
      </c>
      <c r="S1465" s="8">
        <f t="shared" si="112"/>
        <v>12</v>
      </c>
      <c r="T1465" s="7">
        <f>IFERROR(_xlfn.XLOOKUP($A1465,'Base SKUs'!$E:$E,'Base SKUs'!R:R),"")</f>
        <v>0</v>
      </c>
      <c r="U1465" s="15">
        <f t="shared" si="113"/>
        <v>12</v>
      </c>
      <c r="V1465" t="str">
        <f t="shared" si="114"/>
        <v>Miami</v>
      </c>
    </row>
    <row r="1466" spans="1:22" x14ac:dyDescent="0.2">
      <c r="A1466" t="s">
        <v>1985</v>
      </c>
      <c r="B1466" s="5">
        <v>24</v>
      </c>
      <c r="C1466" s="5">
        <v>0</v>
      </c>
      <c r="D1466" s="5">
        <f t="shared" si="110"/>
        <v>24</v>
      </c>
      <c r="E1466" s="6">
        <v>532.16999999999996</v>
      </c>
      <c r="F1466" s="6">
        <f t="shared" si="111"/>
        <v>12772.079999999998</v>
      </c>
      <c r="G1466" t="s">
        <v>24</v>
      </c>
      <c r="H1466">
        <v>9008</v>
      </c>
      <c r="I1466" t="str">
        <f>IFERROR(_xlfn.XLOOKUP($A1466,'Base SKUs'!$E:$E,'Base SKUs'!A:A),"")</f>
        <v>Wood Table</v>
      </c>
      <c r="J1466" t="str">
        <f>IFERROR(_xlfn.XLOOKUP($A1466,'Base SKUs'!$E:$E,'Base SKUs'!B:B),"")</f>
        <v>Slab</v>
      </c>
      <c r="K1466" t="str">
        <f>IFERROR(_xlfn.XLOOKUP($A1466,'Base SKUs'!$E:$E,'Base SKUs'!C:C),"")</f>
        <v>Regular</v>
      </c>
      <c r="L1466" t="str">
        <f>IFERROR(_xlfn.XLOOKUP($A1466,'Base SKUs'!$E:$E,'Base SKUs'!D:D),"")</f>
        <v>Wood Table</v>
      </c>
      <c r="M1466" t="str">
        <f>IFERROR(_xlfn.XLOOKUP($A1466,'Base SKUs'!$E:$E,'Base SKUs'!G:G),"")</f>
        <v>Round Wood</v>
      </c>
      <c r="N1466" t="str">
        <f>IFERROR(_xlfn.XLOOKUP($A1466,'Base SKUs'!$E:$E,'Base SKUs'!H:H),"")</f>
        <v>Table Slab</v>
      </c>
      <c r="O1466" t="str">
        <f>IFERROR(_xlfn.XLOOKUP($A1466,'Base SKUs'!$E:$E,'Base SKUs'!I:I),"")</f>
        <v>-</v>
      </c>
      <c r="P1466" t="str">
        <f>IFERROR(_xlfn.XLOOKUP($A1466,'Base SKUs'!$E:$E,'Base SKUs'!J:J),"")</f>
        <v>0</v>
      </c>
      <c r="Q1466">
        <f>IFERROR(_xlfn.XLOOKUP($A1466,'Base SKUs'!$E:$E,'Base SKUs'!K:K),"")</f>
        <v>0</v>
      </c>
      <c r="R1466" s="7">
        <f>IFERROR(_xlfn.XLOOKUP($A1466,'Base SKUs'!$E:$E,'Base SKUs'!S:S),"")</f>
        <v>0</v>
      </c>
      <c r="S1466" s="8">
        <f t="shared" si="112"/>
        <v>24</v>
      </c>
      <c r="T1466" s="7">
        <f>IFERROR(_xlfn.XLOOKUP($A1466,'Base SKUs'!$E:$E,'Base SKUs'!R:R),"")</f>
        <v>0</v>
      </c>
      <c r="U1466" s="15">
        <f t="shared" si="113"/>
        <v>24</v>
      </c>
      <c r="V1466" t="str">
        <f t="shared" si="114"/>
        <v>Texas</v>
      </c>
    </row>
    <row r="1467" spans="1:22" x14ac:dyDescent="0.2">
      <c r="A1467" t="s">
        <v>1985</v>
      </c>
      <c r="B1467" s="5">
        <v>14</v>
      </c>
      <c r="C1467" s="5">
        <v>0</v>
      </c>
      <c r="D1467" s="5">
        <f t="shared" si="110"/>
        <v>14</v>
      </c>
      <c r="E1467" s="6">
        <v>532.16999999999996</v>
      </c>
      <c r="F1467" s="6">
        <f t="shared" si="111"/>
        <v>7450.3799999999992</v>
      </c>
      <c r="G1467" t="s">
        <v>330</v>
      </c>
      <c r="H1467">
        <v>9011</v>
      </c>
      <c r="I1467" t="str">
        <f>IFERROR(_xlfn.XLOOKUP($A1467,'Base SKUs'!$E:$E,'Base SKUs'!A:A),"")</f>
        <v>Wood Table</v>
      </c>
      <c r="J1467" t="str">
        <f>IFERROR(_xlfn.XLOOKUP($A1467,'Base SKUs'!$E:$E,'Base SKUs'!B:B),"")</f>
        <v>Slab</v>
      </c>
      <c r="K1467" t="str">
        <f>IFERROR(_xlfn.XLOOKUP($A1467,'Base SKUs'!$E:$E,'Base SKUs'!C:C),"")</f>
        <v>Regular</v>
      </c>
      <c r="L1467" t="str">
        <f>IFERROR(_xlfn.XLOOKUP($A1467,'Base SKUs'!$E:$E,'Base SKUs'!D:D),"")</f>
        <v>Wood Table</v>
      </c>
      <c r="M1467" t="str">
        <f>IFERROR(_xlfn.XLOOKUP($A1467,'Base SKUs'!$E:$E,'Base SKUs'!G:G),"")</f>
        <v>Round Wood</v>
      </c>
      <c r="N1467" t="str">
        <f>IFERROR(_xlfn.XLOOKUP($A1467,'Base SKUs'!$E:$E,'Base SKUs'!H:H),"")</f>
        <v>Table Slab</v>
      </c>
      <c r="O1467" t="str">
        <f>IFERROR(_xlfn.XLOOKUP($A1467,'Base SKUs'!$E:$E,'Base SKUs'!I:I),"")</f>
        <v>-</v>
      </c>
      <c r="P1467" t="str">
        <f>IFERROR(_xlfn.XLOOKUP($A1467,'Base SKUs'!$E:$E,'Base SKUs'!J:J),"")</f>
        <v>0</v>
      </c>
      <c r="Q1467">
        <f>IFERROR(_xlfn.XLOOKUP($A1467,'Base SKUs'!$E:$E,'Base SKUs'!K:K),"")</f>
        <v>0</v>
      </c>
      <c r="R1467" s="7">
        <f>IFERROR(_xlfn.XLOOKUP($A1467,'Base SKUs'!$E:$E,'Base SKUs'!S:S),"")</f>
        <v>0</v>
      </c>
      <c r="S1467" s="8">
        <f t="shared" si="112"/>
        <v>14</v>
      </c>
      <c r="T1467" s="7">
        <f>IFERROR(_xlfn.XLOOKUP($A1467,'Base SKUs'!$E:$E,'Base SKUs'!R:R),"")</f>
        <v>0</v>
      </c>
      <c r="U1467" s="15">
        <f t="shared" si="113"/>
        <v>14</v>
      </c>
      <c r="V1467" t="str">
        <f t="shared" si="114"/>
        <v>New York</v>
      </c>
    </row>
    <row r="1468" spans="1:22" x14ac:dyDescent="0.2">
      <c r="A1468" t="s">
        <v>1987</v>
      </c>
      <c r="B1468" s="5">
        <v>5</v>
      </c>
      <c r="C1468" s="5">
        <v>0</v>
      </c>
      <c r="D1468" s="5">
        <f t="shared" si="110"/>
        <v>5</v>
      </c>
      <c r="E1468" s="6">
        <v>2757.12</v>
      </c>
      <c r="F1468" s="6">
        <f t="shared" si="111"/>
        <v>13785.599999999999</v>
      </c>
      <c r="G1468" t="s">
        <v>17</v>
      </c>
      <c r="H1468">
        <v>9007</v>
      </c>
      <c r="I1468" t="str">
        <f>IFERROR(_xlfn.XLOOKUP($A1468,'Base SKUs'!$E:$E,'Base SKUs'!A:A),"")</f>
        <v>Wood Table</v>
      </c>
      <c r="J1468" t="str">
        <f>IFERROR(_xlfn.XLOOKUP($A1468,'Base SKUs'!$E:$E,'Base SKUs'!B:B),"")</f>
        <v>Cascade</v>
      </c>
      <c r="K1468" t="str">
        <f>IFERROR(_xlfn.XLOOKUP($A1468,'Base SKUs'!$E:$E,'Base SKUs'!C:C),"")</f>
        <v>Regular</v>
      </c>
      <c r="L1468" t="str">
        <f>IFERROR(_xlfn.XLOOKUP($A1468,'Base SKUs'!$E:$E,'Base SKUs'!D:D),"")</f>
        <v>Wood Table</v>
      </c>
      <c r="M1468" t="str">
        <f>IFERROR(_xlfn.XLOOKUP($A1468,'Base SKUs'!$E:$E,'Base SKUs'!G:G),"")</f>
        <v>Cascade</v>
      </c>
      <c r="N1468" t="str">
        <f>IFERROR(_xlfn.XLOOKUP($A1468,'Base SKUs'!$E:$E,'Base SKUs'!H:H),"")</f>
        <v>Wood Table</v>
      </c>
      <c r="O1468" t="str">
        <f>IFERROR(_xlfn.XLOOKUP($A1468,'Base SKUs'!$E:$E,'Base SKUs'!I:I),"")</f>
        <v>-</v>
      </c>
      <c r="P1468" t="str">
        <f>IFERROR(_xlfn.XLOOKUP($A1468,'Base SKUs'!$E:$E,'Base SKUs'!J:J),"")</f>
        <v>0</v>
      </c>
      <c r="Q1468">
        <f>IFERROR(_xlfn.XLOOKUP($A1468,'Base SKUs'!$E:$E,'Base SKUs'!K:K),"")</f>
        <v>0</v>
      </c>
      <c r="R1468" s="7">
        <f>IFERROR(_xlfn.XLOOKUP($A1468,'Base SKUs'!$E:$E,'Base SKUs'!S:S),"")</f>
        <v>0</v>
      </c>
      <c r="S1468" s="8">
        <f t="shared" si="112"/>
        <v>5</v>
      </c>
      <c r="T1468" s="7">
        <f>IFERROR(_xlfn.XLOOKUP($A1468,'Base SKUs'!$E:$E,'Base SKUs'!R:R),"")</f>
        <v>0</v>
      </c>
      <c r="U1468" s="15">
        <f t="shared" si="113"/>
        <v>5</v>
      </c>
      <c r="V1468" t="str">
        <f t="shared" si="114"/>
        <v>Miami</v>
      </c>
    </row>
    <row r="1469" spans="1:22" x14ac:dyDescent="0.2">
      <c r="A1469" t="s">
        <v>1987</v>
      </c>
      <c r="B1469" s="5">
        <v>3</v>
      </c>
      <c r="C1469" s="5">
        <v>0</v>
      </c>
      <c r="D1469" s="5">
        <f t="shared" si="110"/>
        <v>3</v>
      </c>
      <c r="E1469" s="6">
        <v>2757.12</v>
      </c>
      <c r="F1469" s="6">
        <f t="shared" si="111"/>
        <v>8271.36</v>
      </c>
      <c r="G1469" t="s">
        <v>24</v>
      </c>
      <c r="H1469">
        <v>9008</v>
      </c>
      <c r="I1469" t="str">
        <f>IFERROR(_xlfn.XLOOKUP($A1469,'Base SKUs'!$E:$E,'Base SKUs'!A:A),"")</f>
        <v>Wood Table</v>
      </c>
      <c r="J1469" t="str">
        <f>IFERROR(_xlfn.XLOOKUP($A1469,'Base SKUs'!$E:$E,'Base SKUs'!B:B),"")</f>
        <v>Cascade</v>
      </c>
      <c r="K1469" t="str">
        <f>IFERROR(_xlfn.XLOOKUP($A1469,'Base SKUs'!$E:$E,'Base SKUs'!C:C),"")</f>
        <v>Regular</v>
      </c>
      <c r="L1469" t="str">
        <f>IFERROR(_xlfn.XLOOKUP($A1469,'Base SKUs'!$E:$E,'Base SKUs'!D:D),"")</f>
        <v>Wood Table</v>
      </c>
      <c r="M1469" t="str">
        <f>IFERROR(_xlfn.XLOOKUP($A1469,'Base SKUs'!$E:$E,'Base SKUs'!G:G),"")</f>
        <v>Cascade</v>
      </c>
      <c r="N1469" t="str">
        <f>IFERROR(_xlfn.XLOOKUP($A1469,'Base SKUs'!$E:$E,'Base SKUs'!H:H),"")</f>
        <v>Wood Table</v>
      </c>
      <c r="O1469" t="str">
        <f>IFERROR(_xlfn.XLOOKUP($A1469,'Base SKUs'!$E:$E,'Base SKUs'!I:I),"")</f>
        <v>-</v>
      </c>
      <c r="P1469" t="str">
        <f>IFERROR(_xlfn.XLOOKUP($A1469,'Base SKUs'!$E:$E,'Base SKUs'!J:J),"")</f>
        <v>0</v>
      </c>
      <c r="Q1469">
        <f>IFERROR(_xlfn.XLOOKUP($A1469,'Base SKUs'!$E:$E,'Base SKUs'!K:K),"")</f>
        <v>0</v>
      </c>
      <c r="R1469" s="7">
        <f>IFERROR(_xlfn.XLOOKUP($A1469,'Base SKUs'!$E:$E,'Base SKUs'!S:S),"")</f>
        <v>0</v>
      </c>
      <c r="S1469" s="8">
        <f t="shared" si="112"/>
        <v>3</v>
      </c>
      <c r="T1469" s="7">
        <f>IFERROR(_xlfn.XLOOKUP($A1469,'Base SKUs'!$E:$E,'Base SKUs'!R:R),"")</f>
        <v>0</v>
      </c>
      <c r="U1469" s="15">
        <f t="shared" si="113"/>
        <v>3</v>
      </c>
      <c r="V1469" t="str">
        <f t="shared" si="114"/>
        <v>Texas</v>
      </c>
    </row>
    <row r="1470" spans="1:22" x14ac:dyDescent="0.2">
      <c r="A1470" t="s">
        <v>1987</v>
      </c>
      <c r="B1470" s="5">
        <v>2</v>
      </c>
      <c r="C1470" s="5">
        <v>0</v>
      </c>
      <c r="D1470" s="5">
        <f t="shared" si="110"/>
        <v>2</v>
      </c>
      <c r="E1470" s="6">
        <v>2757.12</v>
      </c>
      <c r="F1470" s="6">
        <f t="shared" si="111"/>
        <v>5514.24</v>
      </c>
      <c r="G1470" t="s">
        <v>125</v>
      </c>
      <c r="H1470">
        <v>9009</v>
      </c>
      <c r="I1470" t="str">
        <f>IFERROR(_xlfn.XLOOKUP($A1470,'Base SKUs'!$E:$E,'Base SKUs'!A:A),"")</f>
        <v>Wood Table</v>
      </c>
      <c r="J1470" t="str">
        <f>IFERROR(_xlfn.XLOOKUP($A1470,'Base SKUs'!$E:$E,'Base SKUs'!B:B),"")</f>
        <v>Cascade</v>
      </c>
      <c r="K1470" t="str">
        <f>IFERROR(_xlfn.XLOOKUP($A1470,'Base SKUs'!$E:$E,'Base SKUs'!C:C),"")</f>
        <v>Regular</v>
      </c>
      <c r="L1470" t="str">
        <f>IFERROR(_xlfn.XLOOKUP($A1470,'Base SKUs'!$E:$E,'Base SKUs'!D:D),"")</f>
        <v>Wood Table</v>
      </c>
      <c r="M1470" t="str">
        <f>IFERROR(_xlfn.XLOOKUP($A1470,'Base SKUs'!$E:$E,'Base SKUs'!G:G),"")</f>
        <v>Cascade</v>
      </c>
      <c r="N1470" t="str">
        <f>IFERROR(_xlfn.XLOOKUP($A1470,'Base SKUs'!$E:$E,'Base SKUs'!H:H),"")</f>
        <v>Wood Table</v>
      </c>
      <c r="O1470" t="str">
        <f>IFERROR(_xlfn.XLOOKUP($A1470,'Base SKUs'!$E:$E,'Base SKUs'!I:I),"")</f>
        <v>-</v>
      </c>
      <c r="P1470" t="str">
        <f>IFERROR(_xlfn.XLOOKUP($A1470,'Base SKUs'!$E:$E,'Base SKUs'!J:J),"")</f>
        <v>0</v>
      </c>
      <c r="Q1470">
        <f>IFERROR(_xlfn.XLOOKUP($A1470,'Base SKUs'!$E:$E,'Base SKUs'!K:K),"")</f>
        <v>0</v>
      </c>
      <c r="R1470" s="7">
        <f>IFERROR(_xlfn.XLOOKUP($A1470,'Base SKUs'!$E:$E,'Base SKUs'!S:S),"")</f>
        <v>0</v>
      </c>
      <c r="S1470" s="8">
        <f t="shared" si="112"/>
        <v>2</v>
      </c>
      <c r="T1470" s="7">
        <f>IFERROR(_xlfn.XLOOKUP($A1470,'Base SKUs'!$E:$E,'Base SKUs'!R:R),"")</f>
        <v>0</v>
      </c>
      <c r="U1470" s="15">
        <f t="shared" si="113"/>
        <v>2</v>
      </c>
      <c r="V1470" t="str">
        <f t="shared" si="114"/>
        <v>Boston</v>
      </c>
    </row>
    <row r="1471" spans="1:22" x14ac:dyDescent="0.2">
      <c r="A1471" t="s">
        <v>1987</v>
      </c>
      <c r="B1471" s="5">
        <v>9</v>
      </c>
      <c r="C1471" s="5">
        <v>0</v>
      </c>
      <c r="D1471" s="5">
        <f t="shared" si="110"/>
        <v>9</v>
      </c>
      <c r="E1471" s="6">
        <v>2757.12</v>
      </c>
      <c r="F1471" s="6">
        <f t="shared" si="111"/>
        <v>24814.079999999998</v>
      </c>
      <c r="G1471" t="s">
        <v>330</v>
      </c>
      <c r="H1471">
        <v>9011</v>
      </c>
      <c r="I1471" t="str">
        <f>IFERROR(_xlfn.XLOOKUP($A1471,'Base SKUs'!$E:$E,'Base SKUs'!A:A),"")</f>
        <v>Wood Table</v>
      </c>
      <c r="J1471" t="str">
        <f>IFERROR(_xlfn.XLOOKUP($A1471,'Base SKUs'!$E:$E,'Base SKUs'!B:B),"")</f>
        <v>Cascade</v>
      </c>
      <c r="K1471" t="str">
        <f>IFERROR(_xlfn.XLOOKUP($A1471,'Base SKUs'!$E:$E,'Base SKUs'!C:C),"")</f>
        <v>Regular</v>
      </c>
      <c r="L1471" t="str">
        <f>IFERROR(_xlfn.XLOOKUP($A1471,'Base SKUs'!$E:$E,'Base SKUs'!D:D),"")</f>
        <v>Wood Table</v>
      </c>
      <c r="M1471" t="str">
        <f>IFERROR(_xlfn.XLOOKUP($A1471,'Base SKUs'!$E:$E,'Base SKUs'!G:G),"")</f>
        <v>Cascade</v>
      </c>
      <c r="N1471" t="str">
        <f>IFERROR(_xlfn.XLOOKUP($A1471,'Base SKUs'!$E:$E,'Base SKUs'!H:H),"")</f>
        <v>Wood Table</v>
      </c>
      <c r="O1471" t="str">
        <f>IFERROR(_xlfn.XLOOKUP($A1471,'Base SKUs'!$E:$E,'Base SKUs'!I:I),"")</f>
        <v>-</v>
      </c>
      <c r="P1471" t="str">
        <f>IFERROR(_xlfn.XLOOKUP($A1471,'Base SKUs'!$E:$E,'Base SKUs'!J:J),"")</f>
        <v>0</v>
      </c>
      <c r="Q1471">
        <f>IFERROR(_xlfn.XLOOKUP($A1471,'Base SKUs'!$E:$E,'Base SKUs'!K:K),"")</f>
        <v>0</v>
      </c>
      <c r="R1471" s="7">
        <f>IFERROR(_xlfn.XLOOKUP($A1471,'Base SKUs'!$E:$E,'Base SKUs'!S:S),"")</f>
        <v>0</v>
      </c>
      <c r="S1471" s="8">
        <f t="shared" si="112"/>
        <v>9</v>
      </c>
      <c r="T1471" s="7">
        <f>IFERROR(_xlfn.XLOOKUP($A1471,'Base SKUs'!$E:$E,'Base SKUs'!R:R),"")</f>
        <v>0</v>
      </c>
      <c r="U1471" s="15">
        <f t="shared" si="113"/>
        <v>9</v>
      </c>
      <c r="V1471" t="str">
        <f t="shared" si="114"/>
        <v>New York</v>
      </c>
    </row>
    <row r="1472" spans="1:22" x14ac:dyDescent="0.2">
      <c r="A1472" t="s">
        <v>1989</v>
      </c>
      <c r="B1472" s="5">
        <v>7</v>
      </c>
      <c r="C1472" s="5">
        <v>0</v>
      </c>
      <c r="D1472" s="5">
        <f t="shared" si="110"/>
        <v>7</v>
      </c>
      <c r="E1472" s="6">
        <v>4822.4457000000002</v>
      </c>
      <c r="F1472" s="6">
        <f t="shared" si="111"/>
        <v>33757.119900000005</v>
      </c>
      <c r="G1472" t="s">
        <v>17</v>
      </c>
      <c r="H1472">
        <v>9007</v>
      </c>
      <c r="I1472" t="str">
        <f>IFERROR(_xlfn.XLOOKUP($A1472,'Base SKUs'!$E:$E,'Base SKUs'!A:A),"")</f>
        <v>Wood Table</v>
      </c>
      <c r="J1472" t="str">
        <f>IFERROR(_xlfn.XLOOKUP($A1472,'Base SKUs'!$E:$E,'Base SKUs'!B:B),"")</f>
        <v>Cascade</v>
      </c>
      <c r="K1472" t="str">
        <f>IFERROR(_xlfn.XLOOKUP($A1472,'Base SKUs'!$E:$E,'Base SKUs'!C:C),"")</f>
        <v>Double</v>
      </c>
      <c r="L1472" t="str">
        <f>IFERROR(_xlfn.XLOOKUP($A1472,'Base SKUs'!$E:$E,'Base SKUs'!D:D),"")</f>
        <v>Wood Table</v>
      </c>
      <c r="M1472" t="str">
        <f>IFERROR(_xlfn.XLOOKUP($A1472,'Base SKUs'!$E:$E,'Base SKUs'!G:G),"")</f>
        <v>Double Cascade</v>
      </c>
      <c r="N1472" t="str">
        <f>IFERROR(_xlfn.XLOOKUP($A1472,'Base SKUs'!$E:$E,'Base SKUs'!H:H),"")</f>
        <v>Wood Table</v>
      </c>
      <c r="O1472" t="str">
        <f>IFERROR(_xlfn.XLOOKUP($A1472,'Base SKUs'!$E:$E,'Base SKUs'!I:I),"")</f>
        <v>-</v>
      </c>
      <c r="P1472" t="str">
        <f>IFERROR(_xlfn.XLOOKUP($A1472,'Base SKUs'!$E:$E,'Base SKUs'!J:J),"")</f>
        <v>0</v>
      </c>
      <c r="Q1472">
        <f>IFERROR(_xlfn.XLOOKUP($A1472,'Base SKUs'!$E:$E,'Base SKUs'!K:K),"")</f>
        <v>0</v>
      </c>
      <c r="R1472" s="7">
        <f>IFERROR(_xlfn.XLOOKUP($A1472,'Base SKUs'!$E:$E,'Base SKUs'!S:S),"")</f>
        <v>0</v>
      </c>
      <c r="S1472" s="8">
        <f t="shared" si="112"/>
        <v>7</v>
      </c>
      <c r="T1472" s="7">
        <f>IFERROR(_xlfn.XLOOKUP($A1472,'Base SKUs'!$E:$E,'Base SKUs'!R:R),"")</f>
        <v>0</v>
      </c>
      <c r="U1472" s="15">
        <f t="shared" si="113"/>
        <v>7</v>
      </c>
      <c r="V1472" t="str">
        <f t="shared" si="114"/>
        <v>Miami</v>
      </c>
    </row>
    <row r="1473" spans="1:22" x14ac:dyDescent="0.2">
      <c r="A1473" t="s">
        <v>1989</v>
      </c>
      <c r="B1473" s="5">
        <v>5</v>
      </c>
      <c r="C1473" s="5">
        <v>0</v>
      </c>
      <c r="D1473" s="5">
        <f t="shared" si="110"/>
        <v>5</v>
      </c>
      <c r="E1473" s="6">
        <v>2898.03</v>
      </c>
      <c r="F1473" s="6">
        <f t="shared" si="111"/>
        <v>14490.150000000001</v>
      </c>
      <c r="G1473" t="s">
        <v>24</v>
      </c>
      <c r="H1473">
        <v>9008</v>
      </c>
      <c r="I1473" t="str">
        <f>IFERROR(_xlfn.XLOOKUP($A1473,'Base SKUs'!$E:$E,'Base SKUs'!A:A),"")</f>
        <v>Wood Table</v>
      </c>
      <c r="J1473" t="str">
        <f>IFERROR(_xlfn.XLOOKUP($A1473,'Base SKUs'!$E:$E,'Base SKUs'!B:B),"")</f>
        <v>Cascade</v>
      </c>
      <c r="K1473" t="str">
        <f>IFERROR(_xlfn.XLOOKUP($A1473,'Base SKUs'!$E:$E,'Base SKUs'!C:C),"")</f>
        <v>Double</v>
      </c>
      <c r="L1473" t="str">
        <f>IFERROR(_xlfn.XLOOKUP($A1473,'Base SKUs'!$E:$E,'Base SKUs'!D:D),"")</f>
        <v>Wood Table</v>
      </c>
      <c r="M1473" t="str">
        <f>IFERROR(_xlfn.XLOOKUP($A1473,'Base SKUs'!$E:$E,'Base SKUs'!G:G),"")</f>
        <v>Double Cascade</v>
      </c>
      <c r="N1473" t="str">
        <f>IFERROR(_xlfn.XLOOKUP($A1473,'Base SKUs'!$E:$E,'Base SKUs'!H:H),"")</f>
        <v>Wood Table</v>
      </c>
      <c r="O1473" t="str">
        <f>IFERROR(_xlfn.XLOOKUP($A1473,'Base SKUs'!$E:$E,'Base SKUs'!I:I),"")</f>
        <v>-</v>
      </c>
      <c r="P1473" t="str">
        <f>IFERROR(_xlfn.XLOOKUP($A1473,'Base SKUs'!$E:$E,'Base SKUs'!J:J),"")</f>
        <v>0</v>
      </c>
      <c r="Q1473">
        <f>IFERROR(_xlfn.XLOOKUP($A1473,'Base SKUs'!$E:$E,'Base SKUs'!K:K),"")</f>
        <v>0</v>
      </c>
      <c r="R1473" s="7">
        <f>IFERROR(_xlfn.XLOOKUP($A1473,'Base SKUs'!$E:$E,'Base SKUs'!S:S),"")</f>
        <v>0</v>
      </c>
      <c r="S1473" s="8">
        <f t="shared" si="112"/>
        <v>5</v>
      </c>
      <c r="T1473" s="7">
        <f>IFERROR(_xlfn.XLOOKUP($A1473,'Base SKUs'!$E:$E,'Base SKUs'!R:R),"")</f>
        <v>0</v>
      </c>
      <c r="U1473" s="15">
        <f t="shared" si="113"/>
        <v>5</v>
      </c>
      <c r="V1473" t="str">
        <f t="shared" si="114"/>
        <v>Texas</v>
      </c>
    </row>
    <row r="1474" spans="1:22" x14ac:dyDescent="0.2">
      <c r="A1474" t="s">
        <v>1989</v>
      </c>
      <c r="B1474" s="5">
        <v>4</v>
      </c>
      <c r="C1474" s="5">
        <v>0</v>
      </c>
      <c r="D1474" s="5">
        <f t="shared" ref="D1474:D1526" si="115">B1474-C1474</f>
        <v>4</v>
      </c>
      <c r="E1474" s="6">
        <v>2933.2575000000002</v>
      </c>
      <c r="F1474" s="6">
        <f t="shared" ref="F1474:F1526" si="116">B1474*E1474</f>
        <v>11733.03</v>
      </c>
      <c r="G1474" t="s">
        <v>330</v>
      </c>
      <c r="H1474">
        <v>9011</v>
      </c>
      <c r="I1474" t="str">
        <f>IFERROR(_xlfn.XLOOKUP($A1474,'Base SKUs'!$E:$E,'Base SKUs'!A:A),"")</f>
        <v>Wood Table</v>
      </c>
      <c r="J1474" t="str">
        <f>IFERROR(_xlfn.XLOOKUP($A1474,'Base SKUs'!$E:$E,'Base SKUs'!B:B),"")</f>
        <v>Cascade</v>
      </c>
      <c r="K1474" t="str">
        <f>IFERROR(_xlfn.XLOOKUP($A1474,'Base SKUs'!$E:$E,'Base SKUs'!C:C),"")</f>
        <v>Double</v>
      </c>
      <c r="L1474" t="str">
        <f>IFERROR(_xlfn.XLOOKUP($A1474,'Base SKUs'!$E:$E,'Base SKUs'!D:D),"")</f>
        <v>Wood Table</v>
      </c>
      <c r="M1474" t="str">
        <f>IFERROR(_xlfn.XLOOKUP($A1474,'Base SKUs'!$E:$E,'Base SKUs'!G:G),"")</f>
        <v>Double Cascade</v>
      </c>
      <c r="N1474" t="str">
        <f>IFERROR(_xlfn.XLOOKUP($A1474,'Base SKUs'!$E:$E,'Base SKUs'!H:H),"")</f>
        <v>Wood Table</v>
      </c>
      <c r="O1474" t="str">
        <f>IFERROR(_xlfn.XLOOKUP($A1474,'Base SKUs'!$E:$E,'Base SKUs'!I:I),"")</f>
        <v>-</v>
      </c>
      <c r="P1474" t="str">
        <f>IFERROR(_xlfn.XLOOKUP($A1474,'Base SKUs'!$E:$E,'Base SKUs'!J:J),"")</f>
        <v>0</v>
      </c>
      <c r="Q1474">
        <f>IFERROR(_xlfn.XLOOKUP($A1474,'Base SKUs'!$E:$E,'Base SKUs'!K:K),"")</f>
        <v>0</v>
      </c>
      <c r="R1474" s="7">
        <f>IFERROR(_xlfn.XLOOKUP($A1474,'Base SKUs'!$E:$E,'Base SKUs'!S:S),"")</f>
        <v>0</v>
      </c>
      <c r="S1474" s="8">
        <f t="shared" ref="S1474:S1526" si="117">IF(OR(L1474="Saicos",L1474="Oil",L1474="US4",L1474="Wood Table",L1474="Woca",L1474="Norx",N1474="Tiles"),D1474,D1474*R1474)</f>
        <v>4</v>
      </c>
      <c r="T1474" s="7">
        <f>IFERROR(_xlfn.XLOOKUP($A1474,'Base SKUs'!$E:$E,'Base SKUs'!R:R),"")</f>
        <v>0</v>
      </c>
      <c r="U1474" s="15">
        <f t="shared" ref="U1474:U1526" si="118">ROUND(IF(OR(L1474="Saicos",L1474="Oil",L1474="US4",L1474="Wood Table",L1474="Woca",L1474="Norx",N1474="Tiles"),D1474,S1474*T1474),0)</f>
        <v>4</v>
      </c>
      <c r="V1474" t="str">
        <f t="shared" ref="V1474:V1526" si="119">IF(H1474=9007,"Miami",IF(H1474=9008,"Texas",IF(H1474=9009,"Boston",IF(H1474=9010,"BS Detroit",IF(H1474=9011,"New York",IF(H1474=9012,"HW Perris",IF(H1474=9013,"BS Riverside",IF(H1474=9014,"On the Way",IF(H1474=9015,"Russin",IF(H1474=9016,"Palm Beach",""))))))))))</f>
        <v>New York</v>
      </c>
    </row>
    <row r="1475" spans="1:22" x14ac:dyDescent="0.2">
      <c r="A1475" t="s">
        <v>1991</v>
      </c>
      <c r="B1475" s="5">
        <v>2</v>
      </c>
      <c r="C1475" s="5">
        <v>0</v>
      </c>
      <c r="D1475" s="5">
        <f t="shared" si="115"/>
        <v>2</v>
      </c>
      <c r="E1475" s="6">
        <v>4022.5</v>
      </c>
      <c r="F1475" s="6">
        <f t="shared" si="116"/>
        <v>8045</v>
      </c>
      <c r="G1475" t="s">
        <v>17</v>
      </c>
      <c r="H1475">
        <v>9007</v>
      </c>
      <c r="I1475" t="str">
        <f>IFERROR(_xlfn.XLOOKUP($A1475,'Base SKUs'!$E:$E,'Base SKUs'!A:A),"")</f>
        <v>Wood Table</v>
      </c>
      <c r="J1475" t="str">
        <f>IFERROR(_xlfn.XLOOKUP($A1475,'Base SKUs'!$E:$E,'Base SKUs'!B:B),"")</f>
        <v>Cascade</v>
      </c>
      <c r="K1475" t="str">
        <f>IFERROR(_xlfn.XLOOKUP($A1475,'Base SKUs'!$E:$E,'Base SKUs'!C:C),"")</f>
        <v>Double</v>
      </c>
      <c r="L1475" t="str">
        <f>IFERROR(_xlfn.XLOOKUP($A1475,'Base SKUs'!$E:$E,'Base SKUs'!D:D),"")</f>
        <v>Wood Table</v>
      </c>
      <c r="M1475" t="str">
        <f>IFERROR(_xlfn.XLOOKUP($A1475,'Base SKUs'!$E:$E,'Base SKUs'!G:G),"")</f>
        <v>Double Cascade</v>
      </c>
      <c r="N1475" t="str">
        <f>IFERROR(_xlfn.XLOOKUP($A1475,'Base SKUs'!$E:$E,'Base SKUs'!H:H),"")</f>
        <v>Wood Table</v>
      </c>
      <c r="O1475" t="str">
        <f>IFERROR(_xlfn.XLOOKUP($A1475,'Base SKUs'!$E:$E,'Base SKUs'!I:I),"")</f>
        <v>with Glass</v>
      </c>
      <c r="P1475" t="str">
        <f>IFERROR(_xlfn.XLOOKUP($A1475,'Base SKUs'!$E:$E,'Base SKUs'!J:J),"")</f>
        <v>0</v>
      </c>
      <c r="Q1475">
        <f>IFERROR(_xlfn.XLOOKUP($A1475,'Base SKUs'!$E:$E,'Base SKUs'!K:K),"")</f>
        <v>0</v>
      </c>
      <c r="R1475" s="7">
        <f>IFERROR(_xlfn.XLOOKUP($A1475,'Base SKUs'!$E:$E,'Base SKUs'!S:S),"")</f>
        <v>0</v>
      </c>
      <c r="S1475" s="8">
        <f t="shared" si="117"/>
        <v>2</v>
      </c>
      <c r="T1475" s="7">
        <f>IFERROR(_xlfn.XLOOKUP($A1475,'Base SKUs'!$E:$E,'Base SKUs'!R:R),"")</f>
        <v>0</v>
      </c>
      <c r="U1475" s="15">
        <f t="shared" si="118"/>
        <v>2</v>
      </c>
      <c r="V1475" t="str">
        <f t="shared" si="119"/>
        <v>Miami</v>
      </c>
    </row>
    <row r="1476" spans="1:22" x14ac:dyDescent="0.2">
      <c r="A1476" t="s">
        <v>1993</v>
      </c>
      <c r="B1476" s="5">
        <v>18</v>
      </c>
      <c r="C1476" s="5">
        <v>0</v>
      </c>
      <c r="D1476" s="5">
        <f t="shared" si="115"/>
        <v>18</v>
      </c>
      <c r="E1476" s="6">
        <v>1090.48</v>
      </c>
      <c r="F1476" s="6">
        <f t="shared" si="116"/>
        <v>19628.64</v>
      </c>
      <c r="G1476" t="s">
        <v>24</v>
      </c>
      <c r="H1476">
        <v>9008</v>
      </c>
      <c r="I1476" t="str">
        <f>IFERROR(_xlfn.XLOOKUP($A1476,'Base SKUs'!$E:$E,'Base SKUs'!A:A),"")</f>
        <v>Wood Table</v>
      </c>
      <c r="J1476" t="str">
        <f>IFERROR(_xlfn.XLOOKUP($A1476,'Base SKUs'!$E:$E,'Base SKUs'!B:B),"")</f>
        <v>Wood Table</v>
      </c>
      <c r="K1476" t="str">
        <f>IFERROR(_xlfn.XLOOKUP($A1476,'Base SKUs'!$E:$E,'Base SKUs'!C:C),"")</f>
        <v>Regular</v>
      </c>
      <c r="L1476" t="str">
        <f>IFERROR(_xlfn.XLOOKUP($A1476,'Base SKUs'!$E:$E,'Base SKUs'!D:D),"")</f>
        <v>Wood Table</v>
      </c>
      <c r="M1476" t="str">
        <f>IFERROR(_xlfn.XLOOKUP($A1476,'Base SKUs'!$E:$E,'Base SKUs'!G:G),"")</f>
        <v>Wood Table</v>
      </c>
      <c r="N1476" t="str">
        <f>IFERROR(_xlfn.XLOOKUP($A1476,'Base SKUs'!$E:$E,'Base SKUs'!H:H),"")</f>
        <v>1</v>
      </c>
      <c r="O1476" t="str">
        <f>IFERROR(_xlfn.XLOOKUP($A1476,'Base SKUs'!$E:$E,'Base SKUs'!I:I),"")</f>
        <v>-</v>
      </c>
      <c r="P1476" t="str">
        <f>IFERROR(_xlfn.XLOOKUP($A1476,'Base SKUs'!$E:$E,'Base SKUs'!J:J),"")</f>
        <v>0</v>
      </c>
      <c r="Q1476">
        <f>IFERROR(_xlfn.XLOOKUP($A1476,'Base SKUs'!$E:$E,'Base SKUs'!K:K),"")</f>
        <v>0</v>
      </c>
      <c r="R1476" s="7">
        <f>IFERROR(_xlfn.XLOOKUP($A1476,'Base SKUs'!$E:$E,'Base SKUs'!S:S),"")</f>
        <v>0</v>
      </c>
      <c r="S1476" s="8">
        <f t="shared" si="117"/>
        <v>18</v>
      </c>
      <c r="T1476" s="7">
        <f>IFERROR(_xlfn.XLOOKUP($A1476,'Base SKUs'!$E:$E,'Base SKUs'!R:R),"")</f>
        <v>0</v>
      </c>
      <c r="U1476" s="15">
        <f t="shared" si="118"/>
        <v>18</v>
      </c>
      <c r="V1476" t="str">
        <f t="shared" si="119"/>
        <v>Texas</v>
      </c>
    </row>
    <row r="1477" spans="1:22" x14ac:dyDescent="0.2">
      <c r="A1477" t="s">
        <v>1993</v>
      </c>
      <c r="B1477" s="5">
        <v>1</v>
      </c>
      <c r="C1477" s="5">
        <v>0</v>
      </c>
      <c r="D1477" s="5">
        <f t="shared" si="115"/>
        <v>1</v>
      </c>
      <c r="E1477" s="6">
        <v>1090.48</v>
      </c>
      <c r="F1477" s="6">
        <f t="shared" si="116"/>
        <v>1090.48</v>
      </c>
      <c r="G1477" t="s">
        <v>125</v>
      </c>
      <c r="H1477">
        <v>9009</v>
      </c>
      <c r="I1477" t="str">
        <f>IFERROR(_xlfn.XLOOKUP($A1477,'Base SKUs'!$E:$E,'Base SKUs'!A:A),"")</f>
        <v>Wood Table</v>
      </c>
      <c r="J1477" t="str">
        <f>IFERROR(_xlfn.XLOOKUP($A1477,'Base SKUs'!$E:$E,'Base SKUs'!B:B),"")</f>
        <v>Wood Table</v>
      </c>
      <c r="K1477" t="str">
        <f>IFERROR(_xlfn.XLOOKUP($A1477,'Base SKUs'!$E:$E,'Base SKUs'!C:C),"")</f>
        <v>Regular</v>
      </c>
      <c r="L1477" t="str">
        <f>IFERROR(_xlfn.XLOOKUP($A1477,'Base SKUs'!$E:$E,'Base SKUs'!D:D),"")</f>
        <v>Wood Table</v>
      </c>
      <c r="M1477" t="str">
        <f>IFERROR(_xlfn.XLOOKUP($A1477,'Base SKUs'!$E:$E,'Base SKUs'!G:G),"")</f>
        <v>Wood Table</v>
      </c>
      <c r="N1477" t="str">
        <f>IFERROR(_xlfn.XLOOKUP($A1477,'Base SKUs'!$E:$E,'Base SKUs'!H:H),"")</f>
        <v>1</v>
      </c>
      <c r="O1477" t="str">
        <f>IFERROR(_xlfn.XLOOKUP($A1477,'Base SKUs'!$E:$E,'Base SKUs'!I:I),"")</f>
        <v>-</v>
      </c>
      <c r="P1477" t="str">
        <f>IFERROR(_xlfn.XLOOKUP($A1477,'Base SKUs'!$E:$E,'Base SKUs'!J:J),"")</f>
        <v>0</v>
      </c>
      <c r="Q1477">
        <f>IFERROR(_xlfn.XLOOKUP($A1477,'Base SKUs'!$E:$E,'Base SKUs'!K:K),"")</f>
        <v>0</v>
      </c>
      <c r="R1477" s="7">
        <f>IFERROR(_xlfn.XLOOKUP($A1477,'Base SKUs'!$E:$E,'Base SKUs'!S:S),"")</f>
        <v>0</v>
      </c>
      <c r="S1477" s="8">
        <f t="shared" si="117"/>
        <v>1</v>
      </c>
      <c r="T1477" s="7">
        <f>IFERROR(_xlfn.XLOOKUP($A1477,'Base SKUs'!$E:$E,'Base SKUs'!R:R),"")</f>
        <v>0</v>
      </c>
      <c r="U1477" s="15">
        <f t="shared" si="118"/>
        <v>1</v>
      </c>
      <c r="V1477" t="str">
        <f t="shared" si="119"/>
        <v>Boston</v>
      </c>
    </row>
    <row r="1478" spans="1:22" x14ac:dyDescent="0.2">
      <c r="A1478" t="s">
        <v>1993</v>
      </c>
      <c r="B1478" s="5">
        <v>21</v>
      </c>
      <c r="C1478" s="5">
        <v>0</v>
      </c>
      <c r="D1478" s="5">
        <f t="shared" si="115"/>
        <v>21</v>
      </c>
      <c r="E1478" s="6">
        <v>1090.48</v>
      </c>
      <c r="F1478" s="6">
        <f t="shared" si="116"/>
        <v>22900.080000000002</v>
      </c>
      <c r="G1478" t="s">
        <v>330</v>
      </c>
      <c r="H1478">
        <v>9011</v>
      </c>
      <c r="I1478" t="str">
        <f>IFERROR(_xlfn.XLOOKUP($A1478,'Base SKUs'!$E:$E,'Base SKUs'!A:A),"")</f>
        <v>Wood Table</v>
      </c>
      <c r="J1478" t="str">
        <f>IFERROR(_xlfn.XLOOKUP($A1478,'Base SKUs'!$E:$E,'Base SKUs'!B:B),"")</f>
        <v>Wood Table</v>
      </c>
      <c r="K1478" t="str">
        <f>IFERROR(_xlfn.XLOOKUP($A1478,'Base SKUs'!$E:$E,'Base SKUs'!C:C),"")</f>
        <v>Regular</v>
      </c>
      <c r="L1478" t="str">
        <f>IFERROR(_xlfn.XLOOKUP($A1478,'Base SKUs'!$E:$E,'Base SKUs'!D:D),"")</f>
        <v>Wood Table</v>
      </c>
      <c r="M1478" t="str">
        <f>IFERROR(_xlfn.XLOOKUP($A1478,'Base SKUs'!$E:$E,'Base SKUs'!G:G),"")</f>
        <v>Wood Table</v>
      </c>
      <c r="N1478" t="str">
        <f>IFERROR(_xlfn.XLOOKUP($A1478,'Base SKUs'!$E:$E,'Base SKUs'!H:H),"")</f>
        <v>1</v>
      </c>
      <c r="O1478" t="str">
        <f>IFERROR(_xlfn.XLOOKUP($A1478,'Base SKUs'!$E:$E,'Base SKUs'!I:I),"")</f>
        <v>-</v>
      </c>
      <c r="P1478" t="str">
        <f>IFERROR(_xlfn.XLOOKUP($A1478,'Base SKUs'!$E:$E,'Base SKUs'!J:J),"")</f>
        <v>0</v>
      </c>
      <c r="Q1478">
        <f>IFERROR(_xlfn.XLOOKUP($A1478,'Base SKUs'!$E:$E,'Base SKUs'!K:K),"")</f>
        <v>0</v>
      </c>
      <c r="R1478" s="7">
        <f>IFERROR(_xlfn.XLOOKUP($A1478,'Base SKUs'!$E:$E,'Base SKUs'!S:S),"")</f>
        <v>0</v>
      </c>
      <c r="S1478" s="8">
        <f t="shared" si="117"/>
        <v>21</v>
      </c>
      <c r="T1478" s="7">
        <f>IFERROR(_xlfn.XLOOKUP($A1478,'Base SKUs'!$E:$E,'Base SKUs'!R:R),"")</f>
        <v>0</v>
      </c>
      <c r="U1478" s="15">
        <f t="shared" si="118"/>
        <v>21</v>
      </c>
      <c r="V1478" t="str">
        <f t="shared" si="119"/>
        <v>New York</v>
      </c>
    </row>
    <row r="1479" spans="1:22" x14ac:dyDescent="0.2">
      <c r="A1479" t="s">
        <v>1995</v>
      </c>
      <c r="B1479" s="5">
        <v>13</v>
      </c>
      <c r="C1479" s="5">
        <v>0</v>
      </c>
      <c r="D1479" s="5">
        <f t="shared" si="115"/>
        <v>13</v>
      </c>
      <c r="E1479" s="6">
        <v>3402.8784999999998</v>
      </c>
      <c r="F1479" s="6">
        <f t="shared" si="116"/>
        <v>44237.4205</v>
      </c>
      <c r="G1479" t="s">
        <v>17</v>
      </c>
      <c r="H1479">
        <v>9007</v>
      </c>
      <c r="I1479" t="str">
        <f>IFERROR(_xlfn.XLOOKUP($A1479,'Base SKUs'!$E:$E,'Base SKUs'!A:A),"")</f>
        <v>Wood Table</v>
      </c>
      <c r="J1479" t="str">
        <f>IFERROR(_xlfn.XLOOKUP($A1479,'Base SKUs'!$E:$E,'Base SKUs'!B:B),"")</f>
        <v>Wood Table</v>
      </c>
      <c r="K1479" t="str">
        <f>IFERROR(_xlfn.XLOOKUP($A1479,'Base SKUs'!$E:$E,'Base SKUs'!C:C),"")</f>
        <v>Regular</v>
      </c>
      <c r="L1479" t="str">
        <f>IFERROR(_xlfn.XLOOKUP($A1479,'Base SKUs'!$E:$E,'Base SKUs'!D:D),"")</f>
        <v>Wood Table</v>
      </c>
      <c r="M1479" t="str">
        <f>IFERROR(_xlfn.XLOOKUP($A1479,'Base SKUs'!$E:$E,'Base SKUs'!G:G),"")</f>
        <v>Wood Table</v>
      </c>
      <c r="N1479" t="str">
        <f>IFERROR(_xlfn.XLOOKUP($A1479,'Base SKUs'!$E:$E,'Base SKUs'!H:H),"")</f>
        <v>2</v>
      </c>
      <c r="O1479" t="str">
        <f>IFERROR(_xlfn.XLOOKUP($A1479,'Base SKUs'!$E:$E,'Base SKUs'!I:I),"")</f>
        <v>-</v>
      </c>
      <c r="P1479" t="str">
        <f>IFERROR(_xlfn.XLOOKUP($A1479,'Base SKUs'!$E:$E,'Base SKUs'!J:J),"")</f>
        <v>0</v>
      </c>
      <c r="Q1479">
        <f>IFERROR(_xlfn.XLOOKUP($A1479,'Base SKUs'!$E:$E,'Base SKUs'!K:K),"")</f>
        <v>0</v>
      </c>
      <c r="R1479" s="7">
        <f>IFERROR(_xlfn.XLOOKUP($A1479,'Base SKUs'!$E:$E,'Base SKUs'!S:S),"")</f>
        <v>0</v>
      </c>
      <c r="S1479" s="8">
        <f t="shared" si="117"/>
        <v>13</v>
      </c>
      <c r="T1479" s="7">
        <f>IFERROR(_xlfn.XLOOKUP($A1479,'Base SKUs'!$E:$E,'Base SKUs'!R:R),"")</f>
        <v>0</v>
      </c>
      <c r="U1479" s="15">
        <f t="shared" si="118"/>
        <v>13</v>
      </c>
      <c r="V1479" t="str">
        <f t="shared" si="119"/>
        <v>Miami</v>
      </c>
    </row>
    <row r="1480" spans="1:22" x14ac:dyDescent="0.2">
      <c r="A1480" t="s">
        <v>1995</v>
      </c>
      <c r="B1480" s="5">
        <v>4</v>
      </c>
      <c r="C1480" s="5">
        <v>0</v>
      </c>
      <c r="D1480" s="5">
        <f t="shared" si="115"/>
        <v>4</v>
      </c>
      <c r="E1480" s="6">
        <v>2824.65</v>
      </c>
      <c r="F1480" s="6">
        <f t="shared" si="116"/>
        <v>11298.6</v>
      </c>
      <c r="G1480" t="s">
        <v>330</v>
      </c>
      <c r="H1480">
        <v>9011</v>
      </c>
      <c r="I1480" t="str">
        <f>IFERROR(_xlfn.XLOOKUP($A1480,'Base SKUs'!$E:$E,'Base SKUs'!A:A),"")</f>
        <v>Wood Table</v>
      </c>
      <c r="J1480" t="str">
        <f>IFERROR(_xlfn.XLOOKUP($A1480,'Base SKUs'!$E:$E,'Base SKUs'!B:B),"")</f>
        <v>Wood Table</v>
      </c>
      <c r="K1480" t="str">
        <f>IFERROR(_xlfn.XLOOKUP($A1480,'Base SKUs'!$E:$E,'Base SKUs'!C:C),"")</f>
        <v>Regular</v>
      </c>
      <c r="L1480" t="str">
        <f>IFERROR(_xlfn.XLOOKUP($A1480,'Base SKUs'!$E:$E,'Base SKUs'!D:D),"")</f>
        <v>Wood Table</v>
      </c>
      <c r="M1480" t="str">
        <f>IFERROR(_xlfn.XLOOKUP($A1480,'Base SKUs'!$E:$E,'Base SKUs'!G:G),"")</f>
        <v>Wood Table</v>
      </c>
      <c r="N1480" t="str">
        <f>IFERROR(_xlfn.XLOOKUP($A1480,'Base SKUs'!$E:$E,'Base SKUs'!H:H),"")</f>
        <v>2</v>
      </c>
      <c r="O1480" t="str">
        <f>IFERROR(_xlfn.XLOOKUP($A1480,'Base SKUs'!$E:$E,'Base SKUs'!I:I),"")</f>
        <v>-</v>
      </c>
      <c r="P1480" t="str">
        <f>IFERROR(_xlfn.XLOOKUP($A1480,'Base SKUs'!$E:$E,'Base SKUs'!J:J),"")</f>
        <v>0</v>
      </c>
      <c r="Q1480">
        <f>IFERROR(_xlfn.XLOOKUP($A1480,'Base SKUs'!$E:$E,'Base SKUs'!K:K),"")</f>
        <v>0</v>
      </c>
      <c r="R1480" s="7">
        <f>IFERROR(_xlfn.XLOOKUP($A1480,'Base SKUs'!$E:$E,'Base SKUs'!S:S),"")</f>
        <v>0</v>
      </c>
      <c r="S1480" s="8">
        <f t="shared" si="117"/>
        <v>4</v>
      </c>
      <c r="T1480" s="7">
        <f>IFERROR(_xlfn.XLOOKUP($A1480,'Base SKUs'!$E:$E,'Base SKUs'!R:R),"")</f>
        <v>0</v>
      </c>
      <c r="U1480" s="15">
        <f t="shared" si="118"/>
        <v>4</v>
      </c>
      <c r="V1480" t="str">
        <f t="shared" si="119"/>
        <v>New York</v>
      </c>
    </row>
    <row r="1481" spans="1:22" x14ac:dyDescent="0.2">
      <c r="A1481" t="s">
        <v>1997</v>
      </c>
      <c r="B1481" s="5">
        <v>56</v>
      </c>
      <c r="C1481" s="5">
        <v>0</v>
      </c>
      <c r="D1481" s="5">
        <f t="shared" si="115"/>
        <v>56</v>
      </c>
      <c r="E1481" s="6">
        <v>6.6247999999999996</v>
      </c>
      <c r="F1481" s="6">
        <f t="shared" si="116"/>
        <v>370.98879999999997</v>
      </c>
      <c r="G1481" t="s">
        <v>330</v>
      </c>
      <c r="H1481">
        <v>9011</v>
      </c>
      <c r="I1481" t="str">
        <f>IFERROR(_xlfn.XLOOKUP($A1481,'Base SKUs'!$E:$E,'Base SKUs'!A:A),"")</f>
        <v>Ayous</v>
      </c>
      <c r="J1481" t="str">
        <f>IFERROR(_xlfn.XLOOKUP($A1481,'Base SKUs'!$E:$E,'Base SKUs'!B:B),"")</f>
        <v>Ayous 1x6 Plus</v>
      </c>
      <c r="K1481" t="str">
        <f>IFERROR(_xlfn.XLOOKUP($A1481,'Base SKUs'!$E:$E,'Base SKUs'!C:C),"")</f>
        <v>Short</v>
      </c>
      <c r="L1481" t="str">
        <f>IFERROR(_xlfn.XLOOKUP($A1481,'Base SKUs'!$E:$E,'Base SKUs'!D:D),"")</f>
        <v>Thermowood</v>
      </c>
      <c r="M1481" t="str">
        <f>IFERROR(_xlfn.XLOOKUP($A1481,'Base SKUs'!$E:$E,'Base SKUs'!G:G),"")</f>
        <v>Maximo Thermo Ayous</v>
      </c>
      <c r="N1481" t="str">
        <f>IFERROR(_xlfn.XLOOKUP($A1481,'Base SKUs'!$E:$E,'Base SKUs'!H:H),"")</f>
        <v>VJoint - Nickel Gap</v>
      </c>
      <c r="O1481" t="str">
        <f>IFERROR(_xlfn.XLOOKUP($A1481,'Base SKUs'!$E:$E,'Base SKUs'!I:I),"")</f>
        <v>-</v>
      </c>
      <c r="P1481" t="str">
        <f>IFERROR(_xlfn.XLOOKUP($A1481,'Base SKUs'!$E:$E,'Base SKUs'!J:J),"")</f>
        <v>1x6 Plus</v>
      </c>
      <c r="Q1481">
        <f>IFERROR(_xlfn.XLOOKUP($A1481,'Base SKUs'!$E:$E,'Base SKUs'!K:K),"")</f>
        <v>4</v>
      </c>
      <c r="R1481" s="7">
        <f>IFERROR(_xlfn.XLOOKUP($A1481,'Base SKUs'!$E:$E,'Base SKUs'!S:S),"")</f>
        <v>3.4199999999999999E-3</v>
      </c>
      <c r="S1481" s="8">
        <f t="shared" si="117"/>
        <v>0.19152</v>
      </c>
      <c r="T1481" s="7">
        <f>IFERROR(_xlfn.XLOOKUP($A1481,'Base SKUs'!$E:$E,'Base SKUs'!R:R),"")</f>
        <v>1151.172</v>
      </c>
      <c r="U1481" s="15">
        <f t="shared" si="118"/>
        <v>220</v>
      </c>
      <c r="V1481" t="str">
        <f t="shared" si="119"/>
        <v>New York</v>
      </c>
    </row>
    <row r="1482" spans="1:22" x14ac:dyDescent="0.2">
      <c r="A1482" t="s">
        <v>1999</v>
      </c>
      <c r="B1482" s="5">
        <v>35</v>
      </c>
      <c r="C1482" s="5">
        <v>0</v>
      </c>
      <c r="D1482" s="5">
        <f t="shared" si="115"/>
        <v>35</v>
      </c>
      <c r="E1482" s="6">
        <v>8.2657000000000007</v>
      </c>
      <c r="F1482" s="6">
        <f t="shared" si="116"/>
        <v>289.29950000000002</v>
      </c>
      <c r="G1482" t="s">
        <v>330</v>
      </c>
      <c r="H1482">
        <v>9011</v>
      </c>
      <c r="I1482" t="str">
        <f>IFERROR(_xlfn.XLOOKUP($A1482,'Base SKUs'!$E:$E,'Base SKUs'!A:A),"")</f>
        <v>Ayous</v>
      </c>
      <c r="J1482" t="str">
        <f>IFERROR(_xlfn.XLOOKUP($A1482,'Base SKUs'!$E:$E,'Base SKUs'!B:B),"")</f>
        <v>Ayous 1x6 Plus</v>
      </c>
      <c r="K1482" t="str">
        <f>IFERROR(_xlfn.XLOOKUP($A1482,'Base SKUs'!$E:$E,'Base SKUs'!C:C),"")</f>
        <v>Short</v>
      </c>
      <c r="L1482" t="str">
        <f>IFERROR(_xlfn.XLOOKUP($A1482,'Base SKUs'!$E:$E,'Base SKUs'!D:D),"")</f>
        <v>Thermowood</v>
      </c>
      <c r="M1482" t="str">
        <f>IFERROR(_xlfn.XLOOKUP($A1482,'Base SKUs'!$E:$E,'Base SKUs'!G:G),"")</f>
        <v>Maximo Thermo Ayous</v>
      </c>
      <c r="N1482" t="str">
        <f>IFERROR(_xlfn.XLOOKUP($A1482,'Base SKUs'!$E:$E,'Base SKUs'!H:H),"")</f>
        <v>VJoint - Nickel Gap</v>
      </c>
      <c r="O1482" t="str">
        <f>IFERROR(_xlfn.XLOOKUP($A1482,'Base SKUs'!$E:$E,'Base SKUs'!I:I),"")</f>
        <v>-</v>
      </c>
      <c r="P1482" t="str">
        <f>IFERROR(_xlfn.XLOOKUP($A1482,'Base SKUs'!$E:$E,'Base SKUs'!J:J),"")</f>
        <v>1x6 Plus</v>
      </c>
      <c r="Q1482">
        <f>IFERROR(_xlfn.XLOOKUP($A1482,'Base SKUs'!$E:$E,'Base SKUs'!K:K),"")</f>
        <v>5</v>
      </c>
      <c r="R1482" s="7">
        <f>IFERROR(_xlfn.XLOOKUP($A1482,'Base SKUs'!$E:$E,'Base SKUs'!S:S),"")</f>
        <v>4.2750000000000002E-3</v>
      </c>
      <c r="S1482" s="8">
        <f t="shared" si="117"/>
        <v>0.14962500000000001</v>
      </c>
      <c r="T1482" s="7">
        <f>IFERROR(_xlfn.XLOOKUP($A1482,'Base SKUs'!$E:$E,'Base SKUs'!R:R),"")</f>
        <v>1151.172</v>
      </c>
      <c r="U1482" s="15">
        <f t="shared" si="118"/>
        <v>172</v>
      </c>
      <c r="V1482" t="str">
        <f t="shared" si="119"/>
        <v>New York</v>
      </c>
    </row>
    <row r="1483" spans="1:22" x14ac:dyDescent="0.2">
      <c r="A1483" t="s">
        <v>2001</v>
      </c>
      <c r="B1483" s="5">
        <v>70</v>
      </c>
      <c r="C1483" s="5">
        <v>0</v>
      </c>
      <c r="D1483" s="5">
        <f t="shared" si="115"/>
        <v>70</v>
      </c>
      <c r="E1483" s="6">
        <v>9.7871000000000006</v>
      </c>
      <c r="F1483" s="6">
        <f t="shared" si="116"/>
        <v>685.09700000000009</v>
      </c>
      <c r="G1483" t="s">
        <v>330</v>
      </c>
      <c r="H1483">
        <v>9011</v>
      </c>
      <c r="I1483" t="str">
        <f>IFERROR(_xlfn.XLOOKUP($A1483,'Base SKUs'!$E:$E,'Base SKUs'!A:A),"")</f>
        <v>Ayous</v>
      </c>
      <c r="J1483" t="str">
        <f>IFERROR(_xlfn.XLOOKUP($A1483,'Base SKUs'!$E:$E,'Base SKUs'!B:B),"")</f>
        <v>Ayous 1x6 Plus</v>
      </c>
      <c r="K1483" t="str">
        <f>IFERROR(_xlfn.XLOOKUP($A1483,'Base SKUs'!$E:$E,'Base SKUs'!C:C),"")</f>
        <v>Short</v>
      </c>
      <c r="L1483" t="str">
        <f>IFERROR(_xlfn.XLOOKUP($A1483,'Base SKUs'!$E:$E,'Base SKUs'!D:D),"")</f>
        <v>Thermowood</v>
      </c>
      <c r="M1483" t="str">
        <f>IFERROR(_xlfn.XLOOKUP($A1483,'Base SKUs'!$E:$E,'Base SKUs'!G:G),"")</f>
        <v>Maximo Thermo Ayous</v>
      </c>
      <c r="N1483" t="str">
        <f>IFERROR(_xlfn.XLOOKUP($A1483,'Base SKUs'!$E:$E,'Base SKUs'!H:H),"")</f>
        <v>VJoint - Nickel Gap</v>
      </c>
      <c r="O1483" t="str">
        <f>IFERROR(_xlfn.XLOOKUP($A1483,'Base SKUs'!$E:$E,'Base SKUs'!I:I),"")</f>
        <v>-</v>
      </c>
      <c r="P1483" t="str">
        <f>IFERROR(_xlfn.XLOOKUP($A1483,'Base SKUs'!$E:$E,'Base SKUs'!J:J),"")</f>
        <v>1x6 Plus</v>
      </c>
      <c r="Q1483">
        <f>IFERROR(_xlfn.XLOOKUP($A1483,'Base SKUs'!$E:$E,'Base SKUs'!K:K),"")</f>
        <v>6</v>
      </c>
      <c r="R1483" s="7">
        <f>IFERROR(_xlfn.XLOOKUP($A1483,'Base SKUs'!$E:$E,'Base SKUs'!S:S),"")</f>
        <v>5.13E-3</v>
      </c>
      <c r="S1483" s="8">
        <f t="shared" si="117"/>
        <v>0.35909999999999997</v>
      </c>
      <c r="T1483" s="7">
        <f>IFERROR(_xlfn.XLOOKUP($A1483,'Base SKUs'!$E:$E,'Base SKUs'!R:R),"")</f>
        <v>1151.172</v>
      </c>
      <c r="U1483" s="15">
        <f t="shared" si="118"/>
        <v>413</v>
      </c>
      <c r="V1483" t="str">
        <f t="shared" si="119"/>
        <v>New York</v>
      </c>
    </row>
    <row r="1484" spans="1:22" x14ac:dyDescent="0.2">
      <c r="A1484" t="s">
        <v>2003</v>
      </c>
      <c r="B1484" s="5">
        <v>49</v>
      </c>
      <c r="C1484" s="5">
        <v>0</v>
      </c>
      <c r="D1484" s="5">
        <f t="shared" si="115"/>
        <v>49</v>
      </c>
      <c r="E1484" s="6">
        <v>11.458600000000001</v>
      </c>
      <c r="F1484" s="6">
        <f t="shared" si="116"/>
        <v>561.47140000000002</v>
      </c>
      <c r="G1484" t="s">
        <v>330</v>
      </c>
      <c r="H1484">
        <v>9011</v>
      </c>
      <c r="I1484" t="str">
        <f>IFERROR(_xlfn.XLOOKUP($A1484,'Base SKUs'!$E:$E,'Base SKUs'!A:A),"")</f>
        <v>Ayous</v>
      </c>
      <c r="J1484" t="str">
        <f>IFERROR(_xlfn.XLOOKUP($A1484,'Base SKUs'!$E:$E,'Base SKUs'!B:B),"")</f>
        <v>Ayous 1x6 Plus</v>
      </c>
      <c r="K1484" t="str">
        <f>IFERROR(_xlfn.XLOOKUP($A1484,'Base SKUs'!$E:$E,'Base SKUs'!C:C),"")</f>
        <v>Short</v>
      </c>
      <c r="L1484" t="str">
        <f>IFERROR(_xlfn.XLOOKUP($A1484,'Base SKUs'!$E:$E,'Base SKUs'!D:D),"")</f>
        <v>Thermowood</v>
      </c>
      <c r="M1484" t="str">
        <f>IFERROR(_xlfn.XLOOKUP($A1484,'Base SKUs'!$E:$E,'Base SKUs'!G:G),"")</f>
        <v>Maximo Thermo Ayous</v>
      </c>
      <c r="N1484" t="str">
        <f>IFERROR(_xlfn.XLOOKUP($A1484,'Base SKUs'!$E:$E,'Base SKUs'!H:H),"")</f>
        <v>VJoint - Nickel Gap</v>
      </c>
      <c r="O1484" t="str">
        <f>IFERROR(_xlfn.XLOOKUP($A1484,'Base SKUs'!$E:$E,'Base SKUs'!I:I),"")</f>
        <v>-</v>
      </c>
      <c r="P1484" t="str">
        <f>IFERROR(_xlfn.XLOOKUP($A1484,'Base SKUs'!$E:$E,'Base SKUs'!J:J),"")</f>
        <v>1x6 Plus</v>
      </c>
      <c r="Q1484">
        <f>IFERROR(_xlfn.XLOOKUP($A1484,'Base SKUs'!$E:$E,'Base SKUs'!K:K),"")</f>
        <v>7</v>
      </c>
      <c r="R1484" s="7">
        <f>IFERROR(_xlfn.XLOOKUP($A1484,'Base SKUs'!$E:$E,'Base SKUs'!S:S),"")</f>
        <v>5.984999999999999E-3</v>
      </c>
      <c r="S1484" s="8">
        <f t="shared" si="117"/>
        <v>0.29326499999999994</v>
      </c>
      <c r="T1484" s="7">
        <f>IFERROR(_xlfn.XLOOKUP($A1484,'Base SKUs'!$E:$E,'Base SKUs'!R:R),"")</f>
        <v>1151.172</v>
      </c>
      <c r="U1484" s="15">
        <f t="shared" si="118"/>
        <v>338</v>
      </c>
      <c r="V1484" t="str">
        <f t="shared" si="119"/>
        <v>New York</v>
      </c>
    </row>
    <row r="1485" spans="1:22" x14ac:dyDescent="0.2">
      <c r="A1485" t="s">
        <v>2005</v>
      </c>
      <c r="B1485" s="5">
        <v>56</v>
      </c>
      <c r="C1485" s="5">
        <v>0</v>
      </c>
      <c r="D1485" s="5">
        <f t="shared" si="115"/>
        <v>56</v>
      </c>
      <c r="E1485" s="6">
        <v>13.196400000000001</v>
      </c>
      <c r="F1485" s="6">
        <f t="shared" si="116"/>
        <v>738.99840000000006</v>
      </c>
      <c r="G1485" t="s">
        <v>330</v>
      </c>
      <c r="H1485">
        <v>9011</v>
      </c>
      <c r="I1485" t="str">
        <f>IFERROR(_xlfn.XLOOKUP($A1485,'Base SKUs'!$E:$E,'Base SKUs'!A:A),"")</f>
        <v>Ayous</v>
      </c>
      <c r="J1485" t="str">
        <f>IFERROR(_xlfn.XLOOKUP($A1485,'Base SKUs'!$E:$E,'Base SKUs'!B:B),"")</f>
        <v>Ayous 1x6 Plus</v>
      </c>
      <c r="K1485" t="str">
        <f>IFERROR(_xlfn.XLOOKUP($A1485,'Base SKUs'!$E:$E,'Base SKUs'!C:C),"")</f>
        <v>Long</v>
      </c>
      <c r="L1485" t="str">
        <f>IFERROR(_xlfn.XLOOKUP($A1485,'Base SKUs'!$E:$E,'Base SKUs'!D:D),"")</f>
        <v>Thermowood</v>
      </c>
      <c r="M1485" t="str">
        <f>IFERROR(_xlfn.XLOOKUP($A1485,'Base SKUs'!$E:$E,'Base SKUs'!G:G),"")</f>
        <v>Maximo Thermo Ayous</v>
      </c>
      <c r="N1485" t="str">
        <f>IFERROR(_xlfn.XLOOKUP($A1485,'Base SKUs'!$E:$E,'Base SKUs'!H:H),"")</f>
        <v>VJoint - Nickel Gap</v>
      </c>
      <c r="O1485" t="str">
        <f>IFERROR(_xlfn.XLOOKUP($A1485,'Base SKUs'!$E:$E,'Base SKUs'!I:I),"")</f>
        <v>-</v>
      </c>
      <c r="P1485" t="str">
        <f>IFERROR(_xlfn.XLOOKUP($A1485,'Base SKUs'!$E:$E,'Base SKUs'!J:J),"")</f>
        <v>1x6 Plus</v>
      </c>
      <c r="Q1485">
        <f>IFERROR(_xlfn.XLOOKUP($A1485,'Base SKUs'!$E:$E,'Base SKUs'!K:K),"")</f>
        <v>8</v>
      </c>
      <c r="R1485" s="7">
        <f>IFERROR(_xlfn.XLOOKUP($A1485,'Base SKUs'!$E:$E,'Base SKUs'!S:S),"")</f>
        <v>6.8399999999999997E-3</v>
      </c>
      <c r="S1485" s="8">
        <f t="shared" si="117"/>
        <v>0.38303999999999999</v>
      </c>
      <c r="T1485" s="7">
        <f>IFERROR(_xlfn.XLOOKUP($A1485,'Base SKUs'!$E:$E,'Base SKUs'!R:R),"")</f>
        <v>1151.172</v>
      </c>
      <c r="U1485" s="15">
        <f t="shared" si="118"/>
        <v>441</v>
      </c>
      <c r="V1485" t="str">
        <f t="shared" si="119"/>
        <v>New York</v>
      </c>
    </row>
    <row r="1486" spans="1:22" x14ac:dyDescent="0.2">
      <c r="A1486" t="s">
        <v>2007</v>
      </c>
      <c r="B1486" s="5">
        <v>245</v>
      </c>
      <c r="C1486" s="5">
        <v>245</v>
      </c>
      <c r="D1486" s="5">
        <f t="shared" si="115"/>
        <v>0</v>
      </c>
      <c r="E1486" s="6">
        <v>14.796200000000001</v>
      </c>
      <c r="F1486" s="6">
        <f t="shared" si="116"/>
        <v>3625.069</v>
      </c>
      <c r="G1486" t="s">
        <v>17</v>
      </c>
      <c r="H1486">
        <v>9007</v>
      </c>
      <c r="I1486" t="str">
        <f>IFERROR(_xlfn.XLOOKUP($A1486,'Base SKUs'!$E:$E,'Base SKUs'!A:A),"")</f>
        <v>Ayous</v>
      </c>
      <c r="J1486" t="str">
        <f>IFERROR(_xlfn.XLOOKUP($A1486,'Base SKUs'!$E:$E,'Base SKUs'!B:B),"")</f>
        <v>Ayous 1x6 Plus</v>
      </c>
      <c r="K1486" t="str">
        <f>IFERROR(_xlfn.XLOOKUP($A1486,'Base SKUs'!$E:$E,'Base SKUs'!C:C),"")</f>
        <v>Long</v>
      </c>
      <c r="L1486" t="str">
        <f>IFERROR(_xlfn.XLOOKUP($A1486,'Base SKUs'!$E:$E,'Base SKUs'!D:D),"")</f>
        <v>Thermowood</v>
      </c>
      <c r="M1486" t="str">
        <f>IFERROR(_xlfn.XLOOKUP($A1486,'Base SKUs'!$E:$E,'Base SKUs'!G:G),"")</f>
        <v>Maximo Thermo Ayous</v>
      </c>
      <c r="N1486" t="str">
        <f>IFERROR(_xlfn.XLOOKUP($A1486,'Base SKUs'!$E:$E,'Base SKUs'!H:H),"")</f>
        <v>VJoint - Nickel Gap</v>
      </c>
      <c r="O1486" t="str">
        <f>IFERROR(_xlfn.XLOOKUP($A1486,'Base SKUs'!$E:$E,'Base SKUs'!I:I),"")</f>
        <v>-</v>
      </c>
      <c r="P1486" t="str">
        <f>IFERROR(_xlfn.XLOOKUP($A1486,'Base SKUs'!$E:$E,'Base SKUs'!J:J),"")</f>
        <v>1x6 Plus</v>
      </c>
      <c r="Q1486">
        <f>IFERROR(_xlfn.XLOOKUP($A1486,'Base SKUs'!$E:$E,'Base SKUs'!K:K),"")</f>
        <v>9</v>
      </c>
      <c r="R1486" s="7">
        <f>IFERROR(_xlfn.XLOOKUP($A1486,'Base SKUs'!$E:$E,'Base SKUs'!S:S),"")</f>
        <v>7.6950000000000013E-3</v>
      </c>
      <c r="S1486" s="8">
        <f t="shared" si="117"/>
        <v>0</v>
      </c>
      <c r="T1486" s="7">
        <f>IFERROR(_xlfn.XLOOKUP($A1486,'Base SKUs'!$E:$E,'Base SKUs'!R:R),"")</f>
        <v>1151.172</v>
      </c>
      <c r="U1486" s="15">
        <f t="shared" si="118"/>
        <v>0</v>
      </c>
      <c r="V1486" t="str">
        <f t="shared" si="119"/>
        <v>Miami</v>
      </c>
    </row>
    <row r="1487" spans="1:22" x14ac:dyDescent="0.2">
      <c r="A1487" t="s">
        <v>2007</v>
      </c>
      <c r="B1487" s="5">
        <v>182</v>
      </c>
      <c r="C1487" s="5">
        <v>0</v>
      </c>
      <c r="D1487" s="5">
        <f t="shared" si="115"/>
        <v>182</v>
      </c>
      <c r="E1487" s="6">
        <v>14.796200000000001</v>
      </c>
      <c r="F1487" s="6">
        <f t="shared" si="116"/>
        <v>2692.9084000000003</v>
      </c>
      <c r="G1487" t="s">
        <v>330</v>
      </c>
      <c r="H1487">
        <v>9011</v>
      </c>
      <c r="I1487" t="str">
        <f>IFERROR(_xlfn.XLOOKUP($A1487,'Base SKUs'!$E:$E,'Base SKUs'!A:A),"")</f>
        <v>Ayous</v>
      </c>
      <c r="J1487" t="str">
        <f>IFERROR(_xlfn.XLOOKUP($A1487,'Base SKUs'!$E:$E,'Base SKUs'!B:B),"")</f>
        <v>Ayous 1x6 Plus</v>
      </c>
      <c r="K1487" t="str">
        <f>IFERROR(_xlfn.XLOOKUP($A1487,'Base SKUs'!$E:$E,'Base SKUs'!C:C),"")</f>
        <v>Long</v>
      </c>
      <c r="L1487" t="str">
        <f>IFERROR(_xlfn.XLOOKUP($A1487,'Base SKUs'!$E:$E,'Base SKUs'!D:D),"")</f>
        <v>Thermowood</v>
      </c>
      <c r="M1487" t="str">
        <f>IFERROR(_xlfn.XLOOKUP($A1487,'Base SKUs'!$E:$E,'Base SKUs'!G:G),"")</f>
        <v>Maximo Thermo Ayous</v>
      </c>
      <c r="N1487" t="str">
        <f>IFERROR(_xlfn.XLOOKUP($A1487,'Base SKUs'!$E:$E,'Base SKUs'!H:H),"")</f>
        <v>VJoint - Nickel Gap</v>
      </c>
      <c r="O1487" t="str">
        <f>IFERROR(_xlfn.XLOOKUP($A1487,'Base SKUs'!$E:$E,'Base SKUs'!I:I),"")</f>
        <v>-</v>
      </c>
      <c r="P1487" t="str">
        <f>IFERROR(_xlfn.XLOOKUP($A1487,'Base SKUs'!$E:$E,'Base SKUs'!J:J),"")</f>
        <v>1x6 Plus</v>
      </c>
      <c r="Q1487">
        <f>IFERROR(_xlfn.XLOOKUP($A1487,'Base SKUs'!$E:$E,'Base SKUs'!K:K),"")</f>
        <v>9</v>
      </c>
      <c r="R1487" s="7">
        <f>IFERROR(_xlfn.XLOOKUP($A1487,'Base SKUs'!$E:$E,'Base SKUs'!S:S),"")</f>
        <v>7.6950000000000013E-3</v>
      </c>
      <c r="S1487" s="8">
        <f t="shared" si="117"/>
        <v>1.4004900000000002</v>
      </c>
      <c r="T1487" s="7">
        <f>IFERROR(_xlfn.XLOOKUP($A1487,'Base SKUs'!$E:$E,'Base SKUs'!R:R),"")</f>
        <v>1151.172</v>
      </c>
      <c r="U1487" s="15">
        <f t="shared" si="118"/>
        <v>1612</v>
      </c>
      <c r="V1487" t="str">
        <f t="shared" si="119"/>
        <v>New York</v>
      </c>
    </row>
    <row r="1488" spans="1:22" x14ac:dyDescent="0.2">
      <c r="A1488" t="s">
        <v>2009</v>
      </c>
      <c r="B1488" s="5">
        <v>427</v>
      </c>
      <c r="C1488" s="5">
        <v>0</v>
      </c>
      <c r="D1488" s="5">
        <f t="shared" si="115"/>
        <v>427</v>
      </c>
      <c r="E1488" s="6">
        <v>16.401599999999998</v>
      </c>
      <c r="F1488" s="6">
        <f t="shared" si="116"/>
        <v>7003.4831999999997</v>
      </c>
      <c r="G1488" t="s">
        <v>330</v>
      </c>
      <c r="H1488">
        <v>9011</v>
      </c>
      <c r="I1488" t="str">
        <f>IFERROR(_xlfn.XLOOKUP($A1488,'Base SKUs'!$E:$E,'Base SKUs'!A:A),"")</f>
        <v>Ayous</v>
      </c>
      <c r="J1488" t="str">
        <f>IFERROR(_xlfn.XLOOKUP($A1488,'Base SKUs'!$E:$E,'Base SKUs'!B:B),"")</f>
        <v>Ayous 1x6 Plus</v>
      </c>
      <c r="K1488" t="str">
        <f>IFERROR(_xlfn.XLOOKUP($A1488,'Base SKUs'!$E:$E,'Base SKUs'!C:C),"")</f>
        <v>Long</v>
      </c>
      <c r="L1488" t="str">
        <f>IFERROR(_xlfn.XLOOKUP($A1488,'Base SKUs'!$E:$E,'Base SKUs'!D:D),"")</f>
        <v>Thermowood</v>
      </c>
      <c r="M1488" t="str">
        <f>IFERROR(_xlfn.XLOOKUP($A1488,'Base SKUs'!$E:$E,'Base SKUs'!G:G),"")</f>
        <v>Maximo Thermo Ayous</v>
      </c>
      <c r="N1488" t="str">
        <f>IFERROR(_xlfn.XLOOKUP($A1488,'Base SKUs'!$E:$E,'Base SKUs'!H:H),"")</f>
        <v>VJoint - Nickel Gap</v>
      </c>
      <c r="O1488" t="str">
        <f>IFERROR(_xlfn.XLOOKUP($A1488,'Base SKUs'!$E:$E,'Base SKUs'!I:I),"")</f>
        <v>-</v>
      </c>
      <c r="P1488" t="str">
        <f>IFERROR(_xlfn.XLOOKUP($A1488,'Base SKUs'!$E:$E,'Base SKUs'!J:J),"")</f>
        <v>1x6 Plus</v>
      </c>
      <c r="Q1488">
        <f>IFERROR(_xlfn.XLOOKUP($A1488,'Base SKUs'!$E:$E,'Base SKUs'!K:K),"")</f>
        <v>10</v>
      </c>
      <c r="R1488" s="7">
        <f>IFERROR(_xlfn.XLOOKUP($A1488,'Base SKUs'!$E:$E,'Base SKUs'!S:S),"")</f>
        <v>8.5500000000000003E-3</v>
      </c>
      <c r="S1488" s="8">
        <f t="shared" si="117"/>
        <v>3.6508500000000002</v>
      </c>
      <c r="T1488" s="7">
        <f>IFERROR(_xlfn.XLOOKUP($A1488,'Base SKUs'!$E:$E,'Base SKUs'!R:R),"")</f>
        <v>1151.172</v>
      </c>
      <c r="U1488" s="15">
        <f t="shared" si="118"/>
        <v>4203</v>
      </c>
      <c r="V1488" t="str">
        <f t="shared" si="119"/>
        <v>New York</v>
      </c>
    </row>
    <row r="1489" spans="1:22" x14ac:dyDescent="0.2">
      <c r="A1489" t="s">
        <v>2011</v>
      </c>
      <c r="B1489" s="5">
        <v>112</v>
      </c>
      <c r="C1489" s="5">
        <v>0</v>
      </c>
      <c r="D1489" s="5">
        <f t="shared" si="115"/>
        <v>112</v>
      </c>
      <c r="E1489" s="6">
        <v>19.642099999999999</v>
      </c>
      <c r="F1489" s="6">
        <f t="shared" si="116"/>
        <v>2199.9151999999999</v>
      </c>
      <c r="G1489" t="s">
        <v>330</v>
      </c>
      <c r="H1489">
        <v>9011</v>
      </c>
      <c r="I1489" t="str">
        <f>IFERROR(_xlfn.XLOOKUP($A1489,'Base SKUs'!$E:$E,'Base SKUs'!A:A),"")</f>
        <v>Ayous</v>
      </c>
      <c r="J1489" t="str">
        <f>IFERROR(_xlfn.XLOOKUP($A1489,'Base SKUs'!$E:$E,'Base SKUs'!B:B),"")</f>
        <v>Ayous 1x6 Plus</v>
      </c>
      <c r="K1489" t="str">
        <f>IFERROR(_xlfn.XLOOKUP($A1489,'Base SKUs'!$E:$E,'Base SKUs'!C:C),"")</f>
        <v>Long</v>
      </c>
      <c r="L1489" t="str">
        <f>IFERROR(_xlfn.XLOOKUP($A1489,'Base SKUs'!$E:$E,'Base SKUs'!D:D),"")</f>
        <v>Thermowood</v>
      </c>
      <c r="M1489" t="str">
        <f>IFERROR(_xlfn.XLOOKUP($A1489,'Base SKUs'!$E:$E,'Base SKUs'!G:G),"")</f>
        <v>Maximo Thermo Ayous</v>
      </c>
      <c r="N1489" t="str">
        <f>IFERROR(_xlfn.XLOOKUP($A1489,'Base SKUs'!$E:$E,'Base SKUs'!H:H),"")</f>
        <v>VJoint - Nickel Gap</v>
      </c>
      <c r="O1489" t="str">
        <f>IFERROR(_xlfn.XLOOKUP($A1489,'Base SKUs'!$E:$E,'Base SKUs'!I:I),"")</f>
        <v>-</v>
      </c>
      <c r="P1489" t="str">
        <f>IFERROR(_xlfn.XLOOKUP($A1489,'Base SKUs'!$E:$E,'Base SKUs'!J:J),"")</f>
        <v>1x6 Plus</v>
      </c>
      <c r="Q1489">
        <f>IFERROR(_xlfn.XLOOKUP($A1489,'Base SKUs'!$E:$E,'Base SKUs'!K:K),"")</f>
        <v>12</v>
      </c>
      <c r="R1489" s="7">
        <f>IFERROR(_xlfn.XLOOKUP($A1489,'Base SKUs'!$E:$E,'Base SKUs'!S:S),"")</f>
        <v>1.026E-2</v>
      </c>
      <c r="S1489" s="8">
        <f t="shared" si="117"/>
        <v>1.1491199999999999</v>
      </c>
      <c r="T1489" s="7">
        <f>IFERROR(_xlfn.XLOOKUP($A1489,'Base SKUs'!$E:$E,'Base SKUs'!R:R),"")</f>
        <v>1151.172</v>
      </c>
      <c r="U1489" s="15">
        <f t="shared" si="118"/>
        <v>1323</v>
      </c>
      <c r="V1489" t="str">
        <f t="shared" si="119"/>
        <v>New York</v>
      </c>
    </row>
    <row r="1490" spans="1:22" x14ac:dyDescent="0.2">
      <c r="A1490" t="s">
        <v>2013</v>
      </c>
      <c r="B1490" s="5">
        <v>182</v>
      </c>
      <c r="C1490" s="5">
        <v>0</v>
      </c>
      <c r="D1490" s="5">
        <f t="shared" si="115"/>
        <v>182</v>
      </c>
      <c r="E1490" s="6">
        <v>21.296399999999998</v>
      </c>
      <c r="F1490" s="6">
        <f t="shared" si="116"/>
        <v>3875.9447999999998</v>
      </c>
      <c r="G1490" t="s">
        <v>330</v>
      </c>
      <c r="H1490">
        <v>9011</v>
      </c>
      <c r="I1490" t="str">
        <f>IFERROR(_xlfn.XLOOKUP($A1490,'Base SKUs'!$E:$E,'Base SKUs'!A:A),"")</f>
        <v>Ayous</v>
      </c>
      <c r="J1490" t="str">
        <f>IFERROR(_xlfn.XLOOKUP($A1490,'Base SKUs'!$E:$E,'Base SKUs'!B:B),"")</f>
        <v>Ayous 1x6 Plus</v>
      </c>
      <c r="K1490" t="str">
        <f>IFERROR(_xlfn.XLOOKUP($A1490,'Base SKUs'!$E:$E,'Base SKUs'!C:C),"")</f>
        <v>Long</v>
      </c>
      <c r="L1490" t="str">
        <f>IFERROR(_xlfn.XLOOKUP($A1490,'Base SKUs'!$E:$E,'Base SKUs'!D:D),"")</f>
        <v>Thermowood</v>
      </c>
      <c r="M1490" t="str">
        <f>IFERROR(_xlfn.XLOOKUP($A1490,'Base SKUs'!$E:$E,'Base SKUs'!G:G),"")</f>
        <v>Maximo Thermo Ayous</v>
      </c>
      <c r="N1490" t="str">
        <f>IFERROR(_xlfn.XLOOKUP($A1490,'Base SKUs'!$E:$E,'Base SKUs'!H:H),"")</f>
        <v>VJoint - Nickel Gap</v>
      </c>
      <c r="O1490" t="str">
        <f>IFERROR(_xlfn.XLOOKUP($A1490,'Base SKUs'!$E:$E,'Base SKUs'!I:I),"")</f>
        <v>-</v>
      </c>
      <c r="P1490" t="str">
        <f>IFERROR(_xlfn.XLOOKUP($A1490,'Base SKUs'!$E:$E,'Base SKUs'!J:J),"")</f>
        <v>1x6 Plus</v>
      </c>
      <c r="Q1490">
        <f>IFERROR(_xlfn.XLOOKUP($A1490,'Base SKUs'!$E:$E,'Base SKUs'!K:K),"")</f>
        <v>13</v>
      </c>
      <c r="R1490" s="7">
        <f>IFERROR(_xlfn.XLOOKUP($A1490,'Base SKUs'!$E:$E,'Base SKUs'!S:S),"")</f>
        <v>1.1115E-2</v>
      </c>
      <c r="S1490" s="8">
        <f t="shared" si="117"/>
        <v>2.0229300000000001</v>
      </c>
      <c r="T1490" s="7">
        <f>IFERROR(_xlfn.XLOOKUP($A1490,'Base SKUs'!$E:$E,'Base SKUs'!R:R),"")</f>
        <v>1151.172</v>
      </c>
      <c r="U1490" s="15">
        <f t="shared" si="118"/>
        <v>2329</v>
      </c>
      <c r="V1490" t="str">
        <f t="shared" si="119"/>
        <v>New York</v>
      </c>
    </row>
    <row r="1491" spans="1:22" x14ac:dyDescent="0.2">
      <c r="A1491" t="s">
        <v>2017</v>
      </c>
      <c r="B1491" s="5">
        <v>196</v>
      </c>
      <c r="C1491" s="5">
        <v>0</v>
      </c>
      <c r="D1491" s="5">
        <f t="shared" si="115"/>
        <v>196</v>
      </c>
      <c r="E1491" s="6">
        <v>29.764399999999998</v>
      </c>
      <c r="F1491" s="6">
        <f t="shared" si="116"/>
        <v>5833.8224</v>
      </c>
      <c r="G1491" t="s">
        <v>500</v>
      </c>
      <c r="H1491">
        <v>9012</v>
      </c>
      <c r="I1491" t="str">
        <f>IFERROR(_xlfn.XLOOKUP($A1491,'Base SKUs'!$E:$E,'Base SKUs'!A:A),"")</f>
        <v>Ayous JPL</v>
      </c>
      <c r="J1491" t="str">
        <f>IFERROR(_xlfn.XLOOKUP($A1491,'Base SKUs'!$E:$E,'Base SKUs'!B:B),"")</f>
        <v>Ayous JPL 1x10</v>
      </c>
      <c r="K1491" t="str">
        <f>IFERROR(_xlfn.XLOOKUP($A1491,'Base SKUs'!$E:$E,'Base SKUs'!C:C),"")</f>
        <v>Long</v>
      </c>
      <c r="L1491" t="str">
        <f>IFERROR(_xlfn.XLOOKUP($A1491,'Base SKUs'!$E:$E,'Base SKUs'!D:D),"")</f>
        <v>Thermowood</v>
      </c>
      <c r="M1491" t="str">
        <f>IFERROR(_xlfn.XLOOKUP($A1491,'Base SKUs'!$E:$E,'Base SKUs'!G:G),"")</f>
        <v>Maximo Thermo Ayous JPL</v>
      </c>
      <c r="N1491" t="str">
        <f>IFERROR(_xlfn.XLOOKUP($A1491,'Base SKUs'!$E:$E,'Base SKUs'!H:H),"")</f>
        <v>S4S E4E</v>
      </c>
      <c r="O1491" t="str">
        <f>IFERROR(_xlfn.XLOOKUP($A1491,'Base SKUs'!$E:$E,'Base SKUs'!I:I),"")</f>
        <v>-</v>
      </c>
      <c r="P1491" t="str">
        <f>IFERROR(_xlfn.XLOOKUP($A1491,'Base SKUs'!$E:$E,'Base SKUs'!J:J),"")</f>
        <v>1x10</v>
      </c>
      <c r="Q1491">
        <f>IFERROR(_xlfn.XLOOKUP($A1491,'Base SKUs'!$E:$E,'Base SKUs'!K:K),"")</f>
        <v>9</v>
      </c>
      <c r="R1491" s="7">
        <f>IFERROR(_xlfn.XLOOKUP($A1491,'Base SKUs'!$E:$E,'Base SKUs'!S:S),"")</f>
        <v>1.3589488949999999E-2</v>
      </c>
      <c r="S1491" s="8">
        <f t="shared" si="117"/>
        <v>2.6635398341999998</v>
      </c>
      <c r="T1491" s="7">
        <f>IFERROR(_xlfn.XLOOKUP($A1491,'Base SKUs'!$E:$E,'Base SKUs'!R:R),"")</f>
        <v>661.50400000000002</v>
      </c>
      <c r="U1491" s="15">
        <f t="shared" si="118"/>
        <v>1762</v>
      </c>
      <c r="V1491" t="str">
        <f t="shared" si="119"/>
        <v>HW Perris</v>
      </c>
    </row>
    <row r="1492" spans="1:22" x14ac:dyDescent="0.2">
      <c r="A1492" t="s">
        <v>2019</v>
      </c>
      <c r="B1492" s="5">
        <v>88</v>
      </c>
      <c r="C1492" s="5">
        <v>0</v>
      </c>
      <c r="D1492" s="5">
        <f t="shared" si="115"/>
        <v>88</v>
      </c>
      <c r="E1492" s="6">
        <v>32.571800000000003</v>
      </c>
      <c r="F1492" s="6">
        <f t="shared" si="116"/>
        <v>2866.3184000000001</v>
      </c>
      <c r="G1492" t="s">
        <v>17</v>
      </c>
      <c r="H1492">
        <v>9007</v>
      </c>
      <c r="I1492" t="str">
        <f>IFERROR(_xlfn.XLOOKUP($A1492,'Base SKUs'!$E:$E,'Base SKUs'!A:A),"")</f>
        <v>Ayous JPL</v>
      </c>
      <c r="J1492" t="str">
        <f>IFERROR(_xlfn.XLOOKUP($A1492,'Base SKUs'!$E:$E,'Base SKUs'!B:B),"")</f>
        <v>Ayous JPL 1x10</v>
      </c>
      <c r="K1492" t="str">
        <f>IFERROR(_xlfn.XLOOKUP($A1492,'Base SKUs'!$E:$E,'Base SKUs'!C:C),"")</f>
        <v>Long</v>
      </c>
      <c r="L1492" t="str">
        <f>IFERROR(_xlfn.XLOOKUP($A1492,'Base SKUs'!$E:$E,'Base SKUs'!D:D),"")</f>
        <v>Thermowood</v>
      </c>
      <c r="M1492" t="str">
        <f>IFERROR(_xlfn.XLOOKUP($A1492,'Base SKUs'!$E:$E,'Base SKUs'!G:G),"")</f>
        <v>Maximo Thermo Ayous JPL</v>
      </c>
      <c r="N1492" t="str">
        <f>IFERROR(_xlfn.XLOOKUP($A1492,'Base SKUs'!$E:$E,'Base SKUs'!H:H),"")</f>
        <v>S4S E4E</v>
      </c>
      <c r="O1492" t="str">
        <f>IFERROR(_xlfn.XLOOKUP($A1492,'Base SKUs'!$E:$E,'Base SKUs'!I:I),"")</f>
        <v>-</v>
      </c>
      <c r="P1492" t="str">
        <f>IFERROR(_xlfn.XLOOKUP($A1492,'Base SKUs'!$E:$E,'Base SKUs'!J:J),"")</f>
        <v>1x10</v>
      </c>
      <c r="Q1492">
        <f>IFERROR(_xlfn.XLOOKUP($A1492,'Base SKUs'!$E:$E,'Base SKUs'!K:K),"")</f>
        <v>10</v>
      </c>
      <c r="R1492" s="7">
        <f>IFERROR(_xlfn.XLOOKUP($A1492,'Base SKUs'!$E:$E,'Base SKUs'!S:S),"")</f>
        <v>1.5126985874999997E-2</v>
      </c>
      <c r="S1492" s="8">
        <f t="shared" si="117"/>
        <v>1.3311747569999997</v>
      </c>
      <c r="T1492" s="7">
        <f>IFERROR(_xlfn.XLOOKUP($A1492,'Base SKUs'!$E:$E,'Base SKUs'!R:R),"")</f>
        <v>661.50400000000002</v>
      </c>
      <c r="U1492" s="15">
        <f t="shared" si="118"/>
        <v>881</v>
      </c>
      <c r="V1492" t="str">
        <f t="shared" si="119"/>
        <v>Miami</v>
      </c>
    </row>
    <row r="1493" spans="1:22" x14ac:dyDescent="0.2">
      <c r="A1493" t="s">
        <v>2019</v>
      </c>
      <c r="B1493" s="5">
        <v>70</v>
      </c>
      <c r="C1493" s="5">
        <v>0</v>
      </c>
      <c r="D1493" s="5">
        <f t="shared" si="115"/>
        <v>70</v>
      </c>
      <c r="E1493" s="6">
        <v>34.9041</v>
      </c>
      <c r="F1493" s="6">
        <f t="shared" si="116"/>
        <v>2443.2869999999998</v>
      </c>
      <c r="G1493" t="s">
        <v>6145</v>
      </c>
      <c r="H1493">
        <v>9010</v>
      </c>
      <c r="I1493" t="str">
        <f>IFERROR(_xlfn.XLOOKUP($A1493,'Base SKUs'!$E:$E,'Base SKUs'!A:A),"")</f>
        <v>Ayous JPL</v>
      </c>
      <c r="J1493" t="str">
        <f>IFERROR(_xlfn.XLOOKUP($A1493,'Base SKUs'!$E:$E,'Base SKUs'!B:B),"")</f>
        <v>Ayous JPL 1x10</v>
      </c>
      <c r="K1493" t="str">
        <f>IFERROR(_xlfn.XLOOKUP($A1493,'Base SKUs'!$E:$E,'Base SKUs'!C:C),"")</f>
        <v>Long</v>
      </c>
      <c r="L1493" t="str">
        <f>IFERROR(_xlfn.XLOOKUP($A1493,'Base SKUs'!$E:$E,'Base SKUs'!D:D),"")</f>
        <v>Thermowood</v>
      </c>
      <c r="M1493" t="str">
        <f>IFERROR(_xlfn.XLOOKUP($A1493,'Base SKUs'!$E:$E,'Base SKUs'!G:G),"")</f>
        <v>Maximo Thermo Ayous JPL</v>
      </c>
      <c r="N1493" t="str">
        <f>IFERROR(_xlfn.XLOOKUP($A1493,'Base SKUs'!$E:$E,'Base SKUs'!H:H),"")</f>
        <v>S4S E4E</v>
      </c>
      <c r="O1493" t="str">
        <f>IFERROR(_xlfn.XLOOKUP($A1493,'Base SKUs'!$E:$E,'Base SKUs'!I:I),"")</f>
        <v>-</v>
      </c>
      <c r="P1493" t="str">
        <f>IFERROR(_xlfn.XLOOKUP($A1493,'Base SKUs'!$E:$E,'Base SKUs'!J:J),"")</f>
        <v>1x10</v>
      </c>
      <c r="Q1493">
        <f>IFERROR(_xlfn.XLOOKUP($A1493,'Base SKUs'!$E:$E,'Base SKUs'!K:K),"")</f>
        <v>10</v>
      </c>
      <c r="R1493" s="7">
        <f>IFERROR(_xlfn.XLOOKUP($A1493,'Base SKUs'!$E:$E,'Base SKUs'!S:S),"")</f>
        <v>1.5126985874999997E-2</v>
      </c>
      <c r="S1493" s="8">
        <f t="shared" si="117"/>
        <v>1.0588890112499998</v>
      </c>
      <c r="T1493" s="7">
        <f>IFERROR(_xlfn.XLOOKUP($A1493,'Base SKUs'!$E:$E,'Base SKUs'!R:R),"")</f>
        <v>661.50400000000002</v>
      </c>
      <c r="U1493" s="15">
        <f t="shared" si="118"/>
        <v>700</v>
      </c>
      <c r="V1493" t="str">
        <f t="shared" si="119"/>
        <v>BS Detroit</v>
      </c>
    </row>
    <row r="1494" spans="1:22" x14ac:dyDescent="0.2">
      <c r="A1494" t="s">
        <v>2021</v>
      </c>
      <c r="B1494" s="5">
        <v>196</v>
      </c>
      <c r="C1494" s="5">
        <v>0</v>
      </c>
      <c r="D1494" s="5">
        <f t="shared" si="115"/>
        <v>196</v>
      </c>
      <c r="E1494" s="6">
        <v>35.829099999999997</v>
      </c>
      <c r="F1494" s="6">
        <f t="shared" si="116"/>
        <v>7022.5035999999991</v>
      </c>
      <c r="G1494" t="s">
        <v>17</v>
      </c>
      <c r="H1494">
        <v>9007</v>
      </c>
      <c r="I1494" t="str">
        <f>IFERROR(_xlfn.XLOOKUP($A1494,'Base SKUs'!$E:$E,'Base SKUs'!A:A),"")</f>
        <v>Ayous JPL</v>
      </c>
      <c r="J1494" t="str">
        <f>IFERROR(_xlfn.XLOOKUP($A1494,'Base SKUs'!$E:$E,'Base SKUs'!B:B),"")</f>
        <v>Ayous JPL 1x10</v>
      </c>
      <c r="K1494" t="str">
        <f>IFERROR(_xlfn.XLOOKUP($A1494,'Base SKUs'!$E:$E,'Base SKUs'!C:C),"")</f>
        <v>Long</v>
      </c>
      <c r="L1494" t="str">
        <f>IFERROR(_xlfn.XLOOKUP($A1494,'Base SKUs'!$E:$E,'Base SKUs'!D:D),"")</f>
        <v>Thermowood</v>
      </c>
      <c r="M1494" t="str">
        <f>IFERROR(_xlfn.XLOOKUP($A1494,'Base SKUs'!$E:$E,'Base SKUs'!G:G),"")</f>
        <v>Maximo Thermo Ayous JPL</v>
      </c>
      <c r="N1494" t="str">
        <f>IFERROR(_xlfn.XLOOKUP($A1494,'Base SKUs'!$E:$E,'Base SKUs'!H:H),"")</f>
        <v>S4S E4E</v>
      </c>
      <c r="O1494" t="str">
        <f>IFERROR(_xlfn.XLOOKUP($A1494,'Base SKUs'!$E:$E,'Base SKUs'!I:I),"")</f>
        <v>-</v>
      </c>
      <c r="P1494" t="str">
        <f>IFERROR(_xlfn.XLOOKUP($A1494,'Base SKUs'!$E:$E,'Base SKUs'!J:J),"")</f>
        <v>1x10</v>
      </c>
      <c r="Q1494">
        <f>IFERROR(_xlfn.XLOOKUP($A1494,'Base SKUs'!$E:$E,'Base SKUs'!K:K),"")</f>
        <v>11</v>
      </c>
      <c r="R1494" s="7">
        <f>IFERROR(_xlfn.XLOOKUP($A1494,'Base SKUs'!$E:$E,'Base SKUs'!S:S),"")</f>
        <v>1.6614886125000002E-2</v>
      </c>
      <c r="S1494" s="8">
        <f t="shared" si="117"/>
        <v>3.2565176805000005</v>
      </c>
      <c r="T1494" s="7">
        <f>IFERROR(_xlfn.XLOOKUP($A1494,'Base SKUs'!$E:$E,'Base SKUs'!R:R),"")</f>
        <v>661.50400000000002</v>
      </c>
      <c r="U1494" s="15">
        <f t="shared" si="118"/>
        <v>2154</v>
      </c>
      <c r="V1494" t="str">
        <f t="shared" si="119"/>
        <v>Miami</v>
      </c>
    </row>
    <row r="1495" spans="1:22" x14ac:dyDescent="0.2">
      <c r="A1495" t="s">
        <v>2023</v>
      </c>
      <c r="B1495" s="5">
        <v>196</v>
      </c>
      <c r="C1495" s="5">
        <v>0</v>
      </c>
      <c r="D1495" s="5">
        <f t="shared" si="115"/>
        <v>196</v>
      </c>
      <c r="E1495" s="6">
        <v>42.993000000000002</v>
      </c>
      <c r="F1495" s="6">
        <f t="shared" si="116"/>
        <v>8426.6280000000006</v>
      </c>
      <c r="G1495" t="s">
        <v>500</v>
      </c>
      <c r="H1495">
        <v>9012</v>
      </c>
      <c r="I1495" t="str">
        <f>IFERROR(_xlfn.XLOOKUP($A1495,'Base SKUs'!$E:$E,'Base SKUs'!A:A),"")</f>
        <v>Ayous JPL</v>
      </c>
      <c r="J1495" t="str">
        <f>IFERROR(_xlfn.XLOOKUP($A1495,'Base SKUs'!$E:$E,'Base SKUs'!B:B),"")</f>
        <v>Ayous JPL 1x10</v>
      </c>
      <c r="K1495" t="str">
        <f>IFERROR(_xlfn.XLOOKUP($A1495,'Base SKUs'!$E:$E,'Base SKUs'!C:C),"")</f>
        <v>Long</v>
      </c>
      <c r="L1495" t="str">
        <f>IFERROR(_xlfn.XLOOKUP($A1495,'Base SKUs'!$E:$E,'Base SKUs'!D:D),"")</f>
        <v>Thermowood</v>
      </c>
      <c r="M1495" t="str">
        <f>IFERROR(_xlfn.XLOOKUP($A1495,'Base SKUs'!$E:$E,'Base SKUs'!G:G),"")</f>
        <v>Maximo Thermo Ayous JPL</v>
      </c>
      <c r="N1495" t="str">
        <f>IFERROR(_xlfn.XLOOKUP($A1495,'Base SKUs'!$E:$E,'Base SKUs'!H:H),"")</f>
        <v>S4S E4E</v>
      </c>
      <c r="O1495" t="str">
        <f>IFERROR(_xlfn.XLOOKUP($A1495,'Base SKUs'!$E:$E,'Base SKUs'!I:I),"")</f>
        <v>-</v>
      </c>
      <c r="P1495" t="str">
        <f>IFERROR(_xlfn.XLOOKUP($A1495,'Base SKUs'!$E:$E,'Base SKUs'!J:J),"")</f>
        <v>1x10</v>
      </c>
      <c r="Q1495">
        <f>IFERROR(_xlfn.XLOOKUP($A1495,'Base SKUs'!$E:$E,'Base SKUs'!K:K),"")</f>
        <v>13</v>
      </c>
      <c r="R1495" s="7">
        <f>IFERROR(_xlfn.XLOOKUP($A1495,'Base SKUs'!$E:$E,'Base SKUs'!S:S),"")</f>
        <v>1.9640283299999999E-2</v>
      </c>
      <c r="S1495" s="8">
        <f t="shared" si="117"/>
        <v>3.8494955267999997</v>
      </c>
      <c r="T1495" s="7">
        <f>IFERROR(_xlfn.XLOOKUP($A1495,'Base SKUs'!$E:$E,'Base SKUs'!R:R),"")</f>
        <v>661.50400000000002</v>
      </c>
      <c r="U1495" s="15">
        <f t="shared" si="118"/>
        <v>2546</v>
      </c>
      <c r="V1495" t="str">
        <f t="shared" si="119"/>
        <v>HW Perris</v>
      </c>
    </row>
    <row r="1496" spans="1:22" x14ac:dyDescent="0.2">
      <c r="A1496" t="s">
        <v>2025</v>
      </c>
      <c r="B1496" s="5">
        <v>301</v>
      </c>
      <c r="C1496" s="5">
        <v>0</v>
      </c>
      <c r="D1496" s="5">
        <f t="shared" si="115"/>
        <v>301</v>
      </c>
      <c r="E1496" s="6">
        <v>45.6006</v>
      </c>
      <c r="F1496" s="6">
        <f t="shared" si="116"/>
        <v>13725.7806</v>
      </c>
      <c r="G1496" t="s">
        <v>17</v>
      </c>
      <c r="H1496">
        <v>9007</v>
      </c>
      <c r="I1496" t="str">
        <f>IFERROR(_xlfn.XLOOKUP($A1496,'Base SKUs'!$E:$E,'Base SKUs'!A:A),"")</f>
        <v>Ayous JPL</v>
      </c>
      <c r="J1496" t="str">
        <f>IFERROR(_xlfn.XLOOKUP($A1496,'Base SKUs'!$E:$E,'Base SKUs'!B:B),"")</f>
        <v>Ayous JPL 1x10</v>
      </c>
      <c r="K1496" t="str">
        <f>IFERROR(_xlfn.XLOOKUP($A1496,'Base SKUs'!$E:$E,'Base SKUs'!C:C),"")</f>
        <v>Long</v>
      </c>
      <c r="L1496" t="str">
        <f>IFERROR(_xlfn.XLOOKUP($A1496,'Base SKUs'!$E:$E,'Base SKUs'!D:D),"")</f>
        <v>Thermowood</v>
      </c>
      <c r="M1496" t="str">
        <f>IFERROR(_xlfn.XLOOKUP($A1496,'Base SKUs'!$E:$E,'Base SKUs'!G:G),"")</f>
        <v>Maximo Thermo Ayous JPL</v>
      </c>
      <c r="N1496" t="str">
        <f>IFERROR(_xlfn.XLOOKUP($A1496,'Base SKUs'!$E:$E,'Base SKUs'!H:H),"")</f>
        <v>S4S E4E</v>
      </c>
      <c r="O1496" t="str">
        <f>IFERROR(_xlfn.XLOOKUP($A1496,'Base SKUs'!$E:$E,'Base SKUs'!I:I),"")</f>
        <v>-</v>
      </c>
      <c r="P1496" t="str">
        <f>IFERROR(_xlfn.XLOOKUP($A1496,'Base SKUs'!$E:$E,'Base SKUs'!J:J),"")</f>
        <v>1x10</v>
      </c>
      <c r="Q1496">
        <f>IFERROR(_xlfn.XLOOKUP($A1496,'Base SKUs'!$E:$E,'Base SKUs'!K:K),"")</f>
        <v>14</v>
      </c>
      <c r="R1496" s="7">
        <f>IFERROR(_xlfn.XLOOKUP($A1496,'Base SKUs'!$E:$E,'Base SKUs'!S:S),"")</f>
        <v>2.1177780224999995E-2</v>
      </c>
      <c r="S1496" s="8">
        <f t="shared" si="117"/>
        <v>6.3745118477249987</v>
      </c>
      <c r="T1496" s="7">
        <f>IFERROR(_xlfn.XLOOKUP($A1496,'Base SKUs'!$E:$E,'Base SKUs'!R:R),"")</f>
        <v>661.50400000000002</v>
      </c>
      <c r="U1496" s="15">
        <f t="shared" si="118"/>
        <v>4217</v>
      </c>
      <c r="V1496" t="str">
        <f t="shared" si="119"/>
        <v>Miami</v>
      </c>
    </row>
    <row r="1497" spans="1:22" x14ac:dyDescent="0.2">
      <c r="A1497" t="s">
        <v>2025</v>
      </c>
      <c r="B1497" s="5">
        <v>70</v>
      </c>
      <c r="C1497" s="5">
        <v>0</v>
      </c>
      <c r="D1497" s="5">
        <f t="shared" si="115"/>
        <v>70</v>
      </c>
      <c r="E1497" s="6">
        <v>48.865900000000003</v>
      </c>
      <c r="F1497" s="6">
        <f t="shared" si="116"/>
        <v>3420.6130000000003</v>
      </c>
      <c r="G1497" t="s">
        <v>6145</v>
      </c>
      <c r="H1497">
        <v>9010</v>
      </c>
      <c r="I1497" t="str">
        <f>IFERROR(_xlfn.XLOOKUP($A1497,'Base SKUs'!$E:$E,'Base SKUs'!A:A),"")</f>
        <v>Ayous JPL</v>
      </c>
      <c r="J1497" t="str">
        <f>IFERROR(_xlfn.XLOOKUP($A1497,'Base SKUs'!$E:$E,'Base SKUs'!B:B),"")</f>
        <v>Ayous JPL 1x10</v>
      </c>
      <c r="K1497" t="str">
        <f>IFERROR(_xlfn.XLOOKUP($A1497,'Base SKUs'!$E:$E,'Base SKUs'!C:C),"")</f>
        <v>Long</v>
      </c>
      <c r="L1497" t="str">
        <f>IFERROR(_xlfn.XLOOKUP($A1497,'Base SKUs'!$E:$E,'Base SKUs'!D:D),"")</f>
        <v>Thermowood</v>
      </c>
      <c r="M1497" t="str">
        <f>IFERROR(_xlfn.XLOOKUP($A1497,'Base SKUs'!$E:$E,'Base SKUs'!G:G),"")</f>
        <v>Maximo Thermo Ayous JPL</v>
      </c>
      <c r="N1497" t="str">
        <f>IFERROR(_xlfn.XLOOKUP($A1497,'Base SKUs'!$E:$E,'Base SKUs'!H:H),"")</f>
        <v>S4S E4E</v>
      </c>
      <c r="O1497" t="str">
        <f>IFERROR(_xlfn.XLOOKUP($A1497,'Base SKUs'!$E:$E,'Base SKUs'!I:I),"")</f>
        <v>-</v>
      </c>
      <c r="P1497" t="str">
        <f>IFERROR(_xlfn.XLOOKUP($A1497,'Base SKUs'!$E:$E,'Base SKUs'!J:J),"")</f>
        <v>1x10</v>
      </c>
      <c r="Q1497">
        <f>IFERROR(_xlfn.XLOOKUP($A1497,'Base SKUs'!$E:$E,'Base SKUs'!K:K),"")</f>
        <v>14</v>
      </c>
      <c r="R1497" s="7">
        <f>IFERROR(_xlfn.XLOOKUP($A1497,'Base SKUs'!$E:$E,'Base SKUs'!S:S),"")</f>
        <v>2.1177780224999995E-2</v>
      </c>
      <c r="S1497" s="8">
        <f t="shared" si="117"/>
        <v>1.4824446157499995</v>
      </c>
      <c r="T1497" s="7">
        <f>IFERROR(_xlfn.XLOOKUP($A1497,'Base SKUs'!$E:$E,'Base SKUs'!R:R),"")</f>
        <v>661.50400000000002</v>
      </c>
      <c r="U1497" s="15">
        <f t="shared" si="118"/>
        <v>981</v>
      </c>
      <c r="V1497" t="str">
        <f t="shared" si="119"/>
        <v>BS Detroit</v>
      </c>
    </row>
    <row r="1498" spans="1:22" x14ac:dyDescent="0.2">
      <c r="A1498" t="s">
        <v>2027</v>
      </c>
      <c r="B1498" s="5">
        <v>8</v>
      </c>
      <c r="C1498" s="5">
        <v>0</v>
      </c>
      <c r="D1498" s="5">
        <f t="shared" si="115"/>
        <v>8</v>
      </c>
      <c r="E1498" s="6">
        <v>52.883099999999999</v>
      </c>
      <c r="F1498" s="6">
        <f t="shared" si="116"/>
        <v>423.06479999999999</v>
      </c>
      <c r="G1498" t="s">
        <v>17</v>
      </c>
      <c r="H1498">
        <v>9007</v>
      </c>
      <c r="I1498" t="str">
        <f>IFERROR(_xlfn.XLOOKUP($A1498,'Base SKUs'!$E:$E,'Base SKUs'!A:A),"")</f>
        <v>Ayous JPL</v>
      </c>
      <c r="J1498" t="str">
        <f>IFERROR(_xlfn.XLOOKUP($A1498,'Base SKUs'!$E:$E,'Base SKUs'!B:B),"")</f>
        <v>Ayous JPL 1x10</v>
      </c>
      <c r="K1498" t="str">
        <f>IFERROR(_xlfn.XLOOKUP($A1498,'Base SKUs'!$E:$E,'Base SKUs'!C:C),"")</f>
        <v>Long</v>
      </c>
      <c r="L1498" t="str">
        <f>IFERROR(_xlfn.XLOOKUP($A1498,'Base SKUs'!$E:$E,'Base SKUs'!D:D),"")</f>
        <v>Thermowood</v>
      </c>
      <c r="M1498" t="str">
        <f>IFERROR(_xlfn.XLOOKUP($A1498,'Base SKUs'!$E:$E,'Base SKUs'!G:G),"")</f>
        <v>Maximo Thermo Ayous JPL</v>
      </c>
      <c r="N1498" t="str">
        <f>IFERROR(_xlfn.XLOOKUP($A1498,'Base SKUs'!$E:$E,'Base SKUs'!H:H),"")</f>
        <v>S4S E4E</v>
      </c>
      <c r="O1498" t="str">
        <f>IFERROR(_xlfn.XLOOKUP($A1498,'Base SKUs'!$E:$E,'Base SKUs'!I:I),"")</f>
        <v>-</v>
      </c>
      <c r="P1498" t="str">
        <f>IFERROR(_xlfn.XLOOKUP($A1498,'Base SKUs'!$E:$E,'Base SKUs'!J:J),"")</f>
        <v>1x10</v>
      </c>
      <c r="Q1498">
        <f>IFERROR(_xlfn.XLOOKUP($A1498,'Base SKUs'!$E:$E,'Base SKUs'!K:K),"")</f>
        <v>16</v>
      </c>
      <c r="R1498" s="7">
        <f>IFERROR(_xlfn.XLOOKUP($A1498,'Base SKUs'!$E:$E,'Base SKUs'!S:S),"")</f>
        <v>2.4203177400000001E-2</v>
      </c>
      <c r="S1498" s="8">
        <f t="shared" si="117"/>
        <v>0.19362541920000001</v>
      </c>
      <c r="T1498" s="7">
        <f>IFERROR(_xlfn.XLOOKUP($A1498,'Base SKUs'!$E:$E,'Base SKUs'!R:R),"")</f>
        <v>661.50400000000002</v>
      </c>
      <c r="U1498" s="15">
        <f t="shared" si="118"/>
        <v>128</v>
      </c>
      <c r="V1498" t="str">
        <f t="shared" si="119"/>
        <v>Miami</v>
      </c>
    </row>
    <row r="1499" spans="1:22" x14ac:dyDescent="0.2">
      <c r="A1499" t="s">
        <v>2027</v>
      </c>
      <c r="B1499" s="5">
        <v>196</v>
      </c>
      <c r="C1499" s="5">
        <v>0</v>
      </c>
      <c r="D1499" s="5">
        <f t="shared" si="115"/>
        <v>196</v>
      </c>
      <c r="E1499" s="6">
        <v>52.883099999999999</v>
      </c>
      <c r="F1499" s="6">
        <f t="shared" si="116"/>
        <v>10365.087599999999</v>
      </c>
      <c r="G1499" t="s">
        <v>500</v>
      </c>
      <c r="H1499">
        <v>9012</v>
      </c>
      <c r="I1499" t="str">
        <f>IFERROR(_xlfn.XLOOKUP($A1499,'Base SKUs'!$E:$E,'Base SKUs'!A:A),"")</f>
        <v>Ayous JPL</v>
      </c>
      <c r="J1499" t="str">
        <f>IFERROR(_xlfn.XLOOKUP($A1499,'Base SKUs'!$E:$E,'Base SKUs'!B:B),"")</f>
        <v>Ayous JPL 1x10</v>
      </c>
      <c r="K1499" t="str">
        <f>IFERROR(_xlfn.XLOOKUP($A1499,'Base SKUs'!$E:$E,'Base SKUs'!C:C),"")</f>
        <v>Long</v>
      </c>
      <c r="L1499" t="str">
        <f>IFERROR(_xlfn.XLOOKUP($A1499,'Base SKUs'!$E:$E,'Base SKUs'!D:D),"")</f>
        <v>Thermowood</v>
      </c>
      <c r="M1499" t="str">
        <f>IFERROR(_xlfn.XLOOKUP($A1499,'Base SKUs'!$E:$E,'Base SKUs'!G:G),"")</f>
        <v>Maximo Thermo Ayous JPL</v>
      </c>
      <c r="N1499" t="str">
        <f>IFERROR(_xlfn.XLOOKUP($A1499,'Base SKUs'!$E:$E,'Base SKUs'!H:H),"")</f>
        <v>S4S E4E</v>
      </c>
      <c r="O1499" t="str">
        <f>IFERROR(_xlfn.XLOOKUP($A1499,'Base SKUs'!$E:$E,'Base SKUs'!I:I),"")</f>
        <v>-</v>
      </c>
      <c r="P1499" t="str">
        <f>IFERROR(_xlfn.XLOOKUP($A1499,'Base SKUs'!$E:$E,'Base SKUs'!J:J),"")</f>
        <v>1x10</v>
      </c>
      <c r="Q1499">
        <f>IFERROR(_xlfn.XLOOKUP($A1499,'Base SKUs'!$E:$E,'Base SKUs'!K:K),"")</f>
        <v>16</v>
      </c>
      <c r="R1499" s="7">
        <f>IFERROR(_xlfn.XLOOKUP($A1499,'Base SKUs'!$E:$E,'Base SKUs'!S:S),"")</f>
        <v>2.4203177400000001E-2</v>
      </c>
      <c r="S1499" s="8">
        <f t="shared" si="117"/>
        <v>4.7438227704000004</v>
      </c>
      <c r="T1499" s="7">
        <f>IFERROR(_xlfn.XLOOKUP($A1499,'Base SKUs'!$E:$E,'Base SKUs'!R:R),"")</f>
        <v>661.50400000000002</v>
      </c>
      <c r="U1499" s="15">
        <f t="shared" si="118"/>
        <v>3138</v>
      </c>
      <c r="V1499" t="str">
        <f t="shared" si="119"/>
        <v>HW Perris</v>
      </c>
    </row>
    <row r="1500" spans="1:22" x14ac:dyDescent="0.2">
      <c r="A1500" t="s">
        <v>2029</v>
      </c>
      <c r="B1500" s="5">
        <v>10</v>
      </c>
      <c r="C1500" s="5">
        <v>0</v>
      </c>
      <c r="D1500" s="5">
        <f t="shared" si="115"/>
        <v>10</v>
      </c>
      <c r="E1500" s="6">
        <v>55.372300000000003</v>
      </c>
      <c r="F1500" s="6">
        <f t="shared" si="116"/>
        <v>553.72300000000007</v>
      </c>
      <c r="G1500" t="s">
        <v>17</v>
      </c>
      <c r="H1500">
        <v>9007</v>
      </c>
      <c r="I1500" t="str">
        <f>IFERROR(_xlfn.XLOOKUP($A1500,'Base SKUs'!$E:$E,'Base SKUs'!A:A),"")</f>
        <v>Ayous JPL</v>
      </c>
      <c r="J1500" t="str">
        <f>IFERROR(_xlfn.XLOOKUP($A1500,'Base SKUs'!$E:$E,'Base SKUs'!B:B),"")</f>
        <v>Ayous JPL 1x10</v>
      </c>
      <c r="K1500" t="str">
        <f>IFERROR(_xlfn.XLOOKUP($A1500,'Base SKUs'!$E:$E,'Base SKUs'!C:C),"")</f>
        <v>Long</v>
      </c>
      <c r="L1500" t="str">
        <f>IFERROR(_xlfn.XLOOKUP($A1500,'Base SKUs'!$E:$E,'Base SKUs'!D:D),"")</f>
        <v>Thermowood</v>
      </c>
      <c r="M1500" t="str">
        <f>IFERROR(_xlfn.XLOOKUP($A1500,'Base SKUs'!$E:$E,'Base SKUs'!G:G),"")</f>
        <v>Maximo Thermo Ayous JPL</v>
      </c>
      <c r="N1500" t="str">
        <f>IFERROR(_xlfn.XLOOKUP($A1500,'Base SKUs'!$E:$E,'Base SKUs'!H:H),"")</f>
        <v>S4S E4E</v>
      </c>
      <c r="O1500" t="str">
        <f>IFERROR(_xlfn.XLOOKUP($A1500,'Base SKUs'!$E:$E,'Base SKUs'!I:I),"")</f>
        <v>-</v>
      </c>
      <c r="P1500" t="str">
        <f>IFERROR(_xlfn.XLOOKUP($A1500,'Base SKUs'!$E:$E,'Base SKUs'!J:J),"")</f>
        <v>1x10</v>
      </c>
      <c r="Q1500">
        <f>IFERROR(_xlfn.XLOOKUP($A1500,'Base SKUs'!$E:$E,'Base SKUs'!K:K),"")</f>
        <v>17</v>
      </c>
      <c r="R1500" s="7">
        <f>IFERROR(_xlfn.XLOOKUP($A1500,'Base SKUs'!$E:$E,'Base SKUs'!S:S),"")</f>
        <v>2.5691077649999998E-2</v>
      </c>
      <c r="S1500" s="8">
        <f t="shared" si="117"/>
        <v>0.25691077649999999</v>
      </c>
      <c r="T1500" s="7">
        <f>IFERROR(_xlfn.XLOOKUP($A1500,'Base SKUs'!$E:$E,'Base SKUs'!R:R),"")</f>
        <v>661.50400000000002</v>
      </c>
      <c r="U1500" s="15">
        <f t="shared" si="118"/>
        <v>170</v>
      </c>
      <c r="V1500" t="str">
        <f t="shared" si="119"/>
        <v>Miami</v>
      </c>
    </row>
    <row r="1501" spans="1:22" x14ac:dyDescent="0.2">
      <c r="A1501" t="s">
        <v>2029</v>
      </c>
      <c r="B1501" s="5">
        <v>56</v>
      </c>
      <c r="C1501" s="5">
        <v>0</v>
      </c>
      <c r="D1501" s="5">
        <f t="shared" si="115"/>
        <v>56</v>
      </c>
      <c r="E1501" s="6">
        <v>59.337299999999999</v>
      </c>
      <c r="F1501" s="6">
        <f t="shared" si="116"/>
        <v>3322.8887999999997</v>
      </c>
      <c r="G1501" t="s">
        <v>6145</v>
      </c>
      <c r="H1501">
        <v>9010</v>
      </c>
      <c r="I1501" t="str">
        <f>IFERROR(_xlfn.XLOOKUP($A1501,'Base SKUs'!$E:$E,'Base SKUs'!A:A),"")</f>
        <v>Ayous JPL</v>
      </c>
      <c r="J1501" t="str">
        <f>IFERROR(_xlfn.XLOOKUP($A1501,'Base SKUs'!$E:$E,'Base SKUs'!B:B),"")</f>
        <v>Ayous JPL 1x10</v>
      </c>
      <c r="K1501" t="str">
        <f>IFERROR(_xlfn.XLOOKUP($A1501,'Base SKUs'!$E:$E,'Base SKUs'!C:C),"")</f>
        <v>Long</v>
      </c>
      <c r="L1501" t="str">
        <f>IFERROR(_xlfn.XLOOKUP($A1501,'Base SKUs'!$E:$E,'Base SKUs'!D:D),"")</f>
        <v>Thermowood</v>
      </c>
      <c r="M1501" t="str">
        <f>IFERROR(_xlfn.XLOOKUP($A1501,'Base SKUs'!$E:$E,'Base SKUs'!G:G),"")</f>
        <v>Maximo Thermo Ayous JPL</v>
      </c>
      <c r="N1501" t="str">
        <f>IFERROR(_xlfn.XLOOKUP($A1501,'Base SKUs'!$E:$E,'Base SKUs'!H:H),"")</f>
        <v>S4S E4E</v>
      </c>
      <c r="O1501" t="str">
        <f>IFERROR(_xlfn.XLOOKUP($A1501,'Base SKUs'!$E:$E,'Base SKUs'!I:I),"")</f>
        <v>-</v>
      </c>
      <c r="P1501" t="str">
        <f>IFERROR(_xlfn.XLOOKUP($A1501,'Base SKUs'!$E:$E,'Base SKUs'!J:J),"")</f>
        <v>1x10</v>
      </c>
      <c r="Q1501">
        <f>IFERROR(_xlfn.XLOOKUP($A1501,'Base SKUs'!$E:$E,'Base SKUs'!K:K),"")</f>
        <v>17</v>
      </c>
      <c r="R1501" s="7">
        <f>IFERROR(_xlfn.XLOOKUP($A1501,'Base SKUs'!$E:$E,'Base SKUs'!S:S),"")</f>
        <v>2.5691077649999998E-2</v>
      </c>
      <c r="S1501" s="8">
        <f t="shared" si="117"/>
        <v>1.4387003483999998</v>
      </c>
      <c r="T1501" s="7">
        <f>IFERROR(_xlfn.XLOOKUP($A1501,'Base SKUs'!$E:$E,'Base SKUs'!R:R),"")</f>
        <v>661.50400000000002</v>
      </c>
      <c r="U1501" s="15">
        <f t="shared" si="118"/>
        <v>952</v>
      </c>
      <c r="V1501" t="str">
        <f t="shared" si="119"/>
        <v>BS Detroit</v>
      </c>
    </row>
    <row r="1502" spans="1:22" x14ac:dyDescent="0.2">
      <c r="A1502" t="s">
        <v>2031</v>
      </c>
      <c r="B1502" s="5">
        <v>101</v>
      </c>
      <c r="C1502" s="5">
        <v>0</v>
      </c>
      <c r="D1502" s="5">
        <f t="shared" si="115"/>
        <v>101</v>
      </c>
      <c r="E1502" s="6">
        <v>58.629399999999997</v>
      </c>
      <c r="F1502" s="6">
        <f t="shared" si="116"/>
        <v>5921.5693999999994</v>
      </c>
      <c r="G1502" t="s">
        <v>17</v>
      </c>
      <c r="H1502">
        <v>9007</v>
      </c>
      <c r="I1502" t="str">
        <f>IFERROR(_xlfn.XLOOKUP($A1502,'Base SKUs'!$E:$E,'Base SKUs'!A:A),"")</f>
        <v>Ayous JPL</v>
      </c>
      <c r="J1502" t="str">
        <f>IFERROR(_xlfn.XLOOKUP($A1502,'Base SKUs'!$E:$E,'Base SKUs'!B:B),"")</f>
        <v>Ayous JPL 1x10</v>
      </c>
      <c r="K1502" t="str">
        <f>IFERROR(_xlfn.XLOOKUP($A1502,'Base SKUs'!$E:$E,'Base SKUs'!C:C),"")</f>
        <v>Long</v>
      </c>
      <c r="L1502" t="str">
        <f>IFERROR(_xlfn.XLOOKUP($A1502,'Base SKUs'!$E:$E,'Base SKUs'!D:D),"")</f>
        <v>Thermowood</v>
      </c>
      <c r="M1502" t="str">
        <f>IFERROR(_xlfn.XLOOKUP($A1502,'Base SKUs'!$E:$E,'Base SKUs'!G:G),"")</f>
        <v>Maximo Thermo Ayous JPL</v>
      </c>
      <c r="N1502" t="str">
        <f>IFERROR(_xlfn.XLOOKUP($A1502,'Base SKUs'!$E:$E,'Base SKUs'!H:H),"")</f>
        <v>S4S E4E</v>
      </c>
      <c r="O1502" t="str">
        <f>IFERROR(_xlfn.XLOOKUP($A1502,'Base SKUs'!$E:$E,'Base SKUs'!I:I),"")</f>
        <v>-</v>
      </c>
      <c r="P1502" t="str">
        <f>IFERROR(_xlfn.XLOOKUP($A1502,'Base SKUs'!$E:$E,'Base SKUs'!J:J),"")</f>
        <v>1x10</v>
      </c>
      <c r="Q1502">
        <f>IFERROR(_xlfn.XLOOKUP($A1502,'Base SKUs'!$E:$E,'Base SKUs'!K:K),"")</f>
        <v>18</v>
      </c>
      <c r="R1502" s="7">
        <f>IFERROR(_xlfn.XLOOKUP($A1502,'Base SKUs'!$E:$E,'Base SKUs'!S:S),"")</f>
        <v>2.7228574575000004E-2</v>
      </c>
      <c r="S1502" s="8">
        <f t="shared" si="117"/>
        <v>2.7500860320750005</v>
      </c>
      <c r="T1502" s="7">
        <f>IFERROR(_xlfn.XLOOKUP($A1502,'Base SKUs'!$E:$E,'Base SKUs'!R:R),"")</f>
        <v>661.50400000000002</v>
      </c>
      <c r="U1502" s="15">
        <f t="shared" si="118"/>
        <v>1819</v>
      </c>
      <c r="V1502" t="str">
        <f t="shared" si="119"/>
        <v>Miami</v>
      </c>
    </row>
    <row r="1503" spans="1:22" x14ac:dyDescent="0.2">
      <c r="A1503" t="s">
        <v>2033</v>
      </c>
      <c r="B1503" s="5">
        <v>86</v>
      </c>
      <c r="C1503" s="5">
        <v>0</v>
      </c>
      <c r="D1503" s="5">
        <f t="shared" si="115"/>
        <v>86</v>
      </c>
      <c r="E1503" s="6">
        <v>61.886499999999998</v>
      </c>
      <c r="F1503" s="6">
        <f t="shared" si="116"/>
        <v>5322.2389999999996</v>
      </c>
      <c r="G1503" t="s">
        <v>17</v>
      </c>
      <c r="H1503">
        <v>9007</v>
      </c>
      <c r="I1503" t="str">
        <f>IFERROR(_xlfn.XLOOKUP($A1503,'Base SKUs'!$E:$E,'Base SKUs'!A:A),"")</f>
        <v>Ayous JPL</v>
      </c>
      <c r="J1503" t="str">
        <f>IFERROR(_xlfn.XLOOKUP($A1503,'Base SKUs'!$E:$E,'Base SKUs'!B:B),"")</f>
        <v>Ayous JPL 1x10</v>
      </c>
      <c r="K1503" t="str">
        <f>IFERROR(_xlfn.XLOOKUP($A1503,'Base SKUs'!$E:$E,'Base SKUs'!C:C),"")</f>
        <v>Long</v>
      </c>
      <c r="L1503" t="str">
        <f>IFERROR(_xlfn.XLOOKUP($A1503,'Base SKUs'!$E:$E,'Base SKUs'!D:D),"")</f>
        <v>Thermowood</v>
      </c>
      <c r="M1503" t="str">
        <f>IFERROR(_xlfn.XLOOKUP($A1503,'Base SKUs'!$E:$E,'Base SKUs'!G:G),"")</f>
        <v>Maximo Thermo Ayous JPL</v>
      </c>
      <c r="N1503" t="str">
        <f>IFERROR(_xlfn.XLOOKUP($A1503,'Base SKUs'!$E:$E,'Base SKUs'!H:H),"")</f>
        <v>S4S E4E</v>
      </c>
      <c r="O1503" t="str">
        <f>IFERROR(_xlfn.XLOOKUP($A1503,'Base SKUs'!$E:$E,'Base SKUs'!I:I),"")</f>
        <v>-</v>
      </c>
      <c r="P1503" t="str">
        <f>IFERROR(_xlfn.XLOOKUP($A1503,'Base SKUs'!$E:$E,'Base SKUs'!J:J),"")</f>
        <v>1x10</v>
      </c>
      <c r="Q1503">
        <f>IFERROR(_xlfn.XLOOKUP($A1503,'Base SKUs'!$E:$E,'Base SKUs'!K:K),"")</f>
        <v>19</v>
      </c>
      <c r="R1503" s="7">
        <f>IFERROR(_xlfn.XLOOKUP($A1503,'Base SKUs'!$E:$E,'Base SKUs'!S:S),"")</f>
        <v>2.8716474824999998E-2</v>
      </c>
      <c r="S1503" s="8">
        <f t="shared" si="117"/>
        <v>2.4696168349499996</v>
      </c>
      <c r="T1503" s="7">
        <f>IFERROR(_xlfn.XLOOKUP($A1503,'Base SKUs'!$E:$E,'Base SKUs'!R:R),"")</f>
        <v>661.50400000000002</v>
      </c>
      <c r="U1503" s="15">
        <f t="shared" si="118"/>
        <v>1634</v>
      </c>
      <c r="V1503" t="str">
        <f t="shared" si="119"/>
        <v>Miami</v>
      </c>
    </row>
    <row r="1504" spans="1:22" x14ac:dyDescent="0.2">
      <c r="A1504" t="s">
        <v>2033</v>
      </c>
      <c r="B1504" s="5">
        <v>35</v>
      </c>
      <c r="C1504" s="5">
        <v>0</v>
      </c>
      <c r="D1504" s="5">
        <f t="shared" si="115"/>
        <v>35</v>
      </c>
      <c r="E1504" s="6">
        <v>66.317999999999998</v>
      </c>
      <c r="F1504" s="6">
        <f t="shared" si="116"/>
        <v>2321.13</v>
      </c>
      <c r="G1504" t="s">
        <v>6145</v>
      </c>
      <c r="H1504">
        <v>9010</v>
      </c>
      <c r="I1504" t="str">
        <f>IFERROR(_xlfn.XLOOKUP($A1504,'Base SKUs'!$E:$E,'Base SKUs'!A:A),"")</f>
        <v>Ayous JPL</v>
      </c>
      <c r="J1504" t="str">
        <f>IFERROR(_xlfn.XLOOKUP($A1504,'Base SKUs'!$E:$E,'Base SKUs'!B:B),"")</f>
        <v>Ayous JPL 1x10</v>
      </c>
      <c r="K1504" t="str">
        <f>IFERROR(_xlfn.XLOOKUP($A1504,'Base SKUs'!$E:$E,'Base SKUs'!C:C),"")</f>
        <v>Long</v>
      </c>
      <c r="L1504" t="str">
        <f>IFERROR(_xlfn.XLOOKUP($A1504,'Base SKUs'!$E:$E,'Base SKUs'!D:D),"")</f>
        <v>Thermowood</v>
      </c>
      <c r="M1504" t="str">
        <f>IFERROR(_xlfn.XLOOKUP($A1504,'Base SKUs'!$E:$E,'Base SKUs'!G:G),"")</f>
        <v>Maximo Thermo Ayous JPL</v>
      </c>
      <c r="N1504" t="str">
        <f>IFERROR(_xlfn.XLOOKUP($A1504,'Base SKUs'!$E:$E,'Base SKUs'!H:H),"")</f>
        <v>S4S E4E</v>
      </c>
      <c r="O1504" t="str">
        <f>IFERROR(_xlfn.XLOOKUP($A1504,'Base SKUs'!$E:$E,'Base SKUs'!I:I),"")</f>
        <v>-</v>
      </c>
      <c r="P1504" t="str">
        <f>IFERROR(_xlfn.XLOOKUP($A1504,'Base SKUs'!$E:$E,'Base SKUs'!J:J),"")</f>
        <v>1x10</v>
      </c>
      <c r="Q1504">
        <f>IFERROR(_xlfn.XLOOKUP($A1504,'Base SKUs'!$E:$E,'Base SKUs'!K:K),"")</f>
        <v>19</v>
      </c>
      <c r="R1504" s="7">
        <f>IFERROR(_xlfn.XLOOKUP($A1504,'Base SKUs'!$E:$E,'Base SKUs'!S:S),"")</f>
        <v>2.8716474824999998E-2</v>
      </c>
      <c r="S1504" s="8">
        <f t="shared" si="117"/>
        <v>1.005076618875</v>
      </c>
      <c r="T1504" s="7">
        <f>IFERROR(_xlfn.XLOOKUP($A1504,'Base SKUs'!$E:$E,'Base SKUs'!R:R),"")</f>
        <v>661.50400000000002</v>
      </c>
      <c r="U1504" s="15">
        <f t="shared" si="118"/>
        <v>665</v>
      </c>
      <c r="V1504" t="str">
        <f t="shared" si="119"/>
        <v>BS Detroit</v>
      </c>
    </row>
    <row r="1505" spans="1:22" x14ac:dyDescent="0.2">
      <c r="A1505" t="s">
        <v>2043</v>
      </c>
      <c r="B1505" s="5">
        <v>300</v>
      </c>
      <c r="C1505" s="5">
        <v>0</v>
      </c>
      <c r="D1505" s="5">
        <f t="shared" si="115"/>
        <v>300</v>
      </c>
      <c r="E1505" s="6">
        <v>44.584699999999998</v>
      </c>
      <c r="F1505" s="6">
        <f t="shared" si="116"/>
        <v>13375.41</v>
      </c>
      <c r="G1505" t="s">
        <v>17</v>
      </c>
      <c r="H1505">
        <v>9007</v>
      </c>
      <c r="I1505" t="str">
        <f>IFERROR(_xlfn.XLOOKUP($A1505,'Base SKUs'!$E:$E,'Base SKUs'!A:A),"")</f>
        <v>Accoya</v>
      </c>
      <c r="J1505" t="str">
        <f>IFERROR(_xlfn.XLOOKUP($A1505,'Base SKUs'!$E:$E,'Base SKUs'!B:B),"")</f>
        <v>Accoya 1x6</v>
      </c>
      <c r="K1505" t="str">
        <f>IFERROR(_xlfn.XLOOKUP($A1505,'Base SKUs'!$E:$E,'Base SKUs'!C:C),"")</f>
        <v>Long</v>
      </c>
      <c r="L1505" t="str">
        <f>IFERROR(_xlfn.XLOOKUP($A1505,'Base SKUs'!$E:$E,'Base SKUs'!D:D),"")</f>
        <v>Acetylated</v>
      </c>
      <c r="M1505" t="str">
        <f>IFERROR(_xlfn.XLOOKUP($A1505,'Base SKUs'!$E:$E,'Base SKUs'!G:G),"")</f>
        <v>Maximo Accoya</v>
      </c>
      <c r="N1505" t="str">
        <f>IFERROR(_xlfn.XLOOKUP($A1505,'Base SKUs'!$E:$E,'Base SKUs'!H:H),"")</f>
        <v>S4S E4E</v>
      </c>
      <c r="O1505" t="str">
        <f>IFERROR(_xlfn.XLOOKUP($A1505,'Base SKUs'!$E:$E,'Base SKUs'!I:I),"")</f>
        <v>Slate Grey</v>
      </c>
      <c r="P1505" t="str">
        <f>IFERROR(_xlfn.XLOOKUP($A1505,'Base SKUs'!$E:$E,'Base SKUs'!J:J),"")</f>
        <v>1x6</v>
      </c>
      <c r="Q1505">
        <f>IFERROR(_xlfn.XLOOKUP($A1505,'Base SKUs'!$E:$E,'Base SKUs'!K:K),"")</f>
        <v>8</v>
      </c>
      <c r="R1505" s="7">
        <f>IFERROR(_xlfn.XLOOKUP($A1505,'Base SKUs'!$E:$E,'Base SKUs'!S:S),"")</f>
        <v>6.7842444960000007E-3</v>
      </c>
      <c r="S1505" s="8">
        <f t="shared" si="117"/>
        <v>2.0352733488000001</v>
      </c>
      <c r="T1505" s="7">
        <f>IFERROR(_xlfn.XLOOKUP($A1505,'Base SKUs'!$E:$E,'Base SKUs'!R:R),"")</f>
        <v>1179.203</v>
      </c>
      <c r="U1505" s="15">
        <f t="shared" si="118"/>
        <v>2400</v>
      </c>
      <c r="V1505" t="str">
        <f t="shared" si="119"/>
        <v>Miami</v>
      </c>
    </row>
    <row r="1506" spans="1:22" x14ac:dyDescent="0.2">
      <c r="A1506" t="s">
        <v>2045</v>
      </c>
      <c r="B1506" s="5">
        <v>252</v>
      </c>
      <c r="C1506" s="5">
        <v>0</v>
      </c>
      <c r="D1506" s="5">
        <f t="shared" si="115"/>
        <v>252</v>
      </c>
      <c r="E1506" s="6">
        <v>55.730800000000002</v>
      </c>
      <c r="F1506" s="6">
        <f t="shared" si="116"/>
        <v>14044.161600000001</v>
      </c>
      <c r="G1506" t="s">
        <v>17</v>
      </c>
      <c r="H1506">
        <v>9007</v>
      </c>
      <c r="I1506" t="str">
        <f>IFERROR(_xlfn.XLOOKUP($A1506,'Base SKUs'!$E:$E,'Base SKUs'!A:A),"")</f>
        <v>Accoya</v>
      </c>
      <c r="J1506" t="str">
        <f>IFERROR(_xlfn.XLOOKUP($A1506,'Base SKUs'!$E:$E,'Base SKUs'!B:B),"")</f>
        <v>Accoya 1x6</v>
      </c>
      <c r="K1506" t="str">
        <f>IFERROR(_xlfn.XLOOKUP($A1506,'Base SKUs'!$E:$E,'Base SKUs'!C:C),"")</f>
        <v>Long</v>
      </c>
      <c r="L1506" t="str">
        <f>IFERROR(_xlfn.XLOOKUP($A1506,'Base SKUs'!$E:$E,'Base SKUs'!D:D),"")</f>
        <v>Acetylated</v>
      </c>
      <c r="M1506" t="str">
        <f>IFERROR(_xlfn.XLOOKUP($A1506,'Base SKUs'!$E:$E,'Base SKUs'!G:G),"")</f>
        <v>Maximo Accoya</v>
      </c>
      <c r="N1506" t="str">
        <f>IFERROR(_xlfn.XLOOKUP($A1506,'Base SKUs'!$E:$E,'Base SKUs'!H:H),"")</f>
        <v>S4S E4E</v>
      </c>
      <c r="O1506" t="str">
        <f>IFERROR(_xlfn.XLOOKUP($A1506,'Base SKUs'!$E:$E,'Base SKUs'!I:I),"")</f>
        <v>Slate Grey</v>
      </c>
      <c r="P1506" t="str">
        <f>IFERROR(_xlfn.XLOOKUP($A1506,'Base SKUs'!$E:$E,'Base SKUs'!J:J),"")</f>
        <v>1x6</v>
      </c>
      <c r="Q1506">
        <f>IFERROR(_xlfn.XLOOKUP($A1506,'Base SKUs'!$E:$E,'Base SKUs'!K:K),"")</f>
        <v>10</v>
      </c>
      <c r="R1506" s="7">
        <f>IFERROR(_xlfn.XLOOKUP($A1506,'Base SKUs'!$E:$E,'Base SKUs'!S:S),"")</f>
        <v>8.4803056199999997E-3</v>
      </c>
      <c r="S1506" s="8">
        <f t="shared" si="117"/>
        <v>2.1370370162399999</v>
      </c>
      <c r="T1506" s="7">
        <f>IFERROR(_xlfn.XLOOKUP($A1506,'Base SKUs'!$E:$E,'Base SKUs'!R:R),"")</f>
        <v>1179.203</v>
      </c>
      <c r="U1506" s="15">
        <f t="shared" si="118"/>
        <v>2520</v>
      </c>
      <c r="V1506" t="str">
        <f t="shared" si="119"/>
        <v>Miami</v>
      </c>
    </row>
    <row r="1507" spans="1:22" x14ac:dyDescent="0.2">
      <c r="A1507" t="s">
        <v>2047</v>
      </c>
      <c r="B1507" s="5">
        <v>146</v>
      </c>
      <c r="C1507" s="5">
        <v>0</v>
      </c>
      <c r="D1507" s="5">
        <f t="shared" si="115"/>
        <v>146</v>
      </c>
      <c r="E1507" s="6">
        <v>66.876999999999995</v>
      </c>
      <c r="F1507" s="6">
        <f t="shared" si="116"/>
        <v>9764.0419999999995</v>
      </c>
      <c r="G1507" t="s">
        <v>17</v>
      </c>
      <c r="H1507">
        <v>9007</v>
      </c>
      <c r="I1507" t="str">
        <f>IFERROR(_xlfn.XLOOKUP($A1507,'Base SKUs'!$E:$E,'Base SKUs'!A:A),"")</f>
        <v>Accoya</v>
      </c>
      <c r="J1507" t="str">
        <f>IFERROR(_xlfn.XLOOKUP($A1507,'Base SKUs'!$E:$E,'Base SKUs'!B:B),"")</f>
        <v>Accoya 1x6</v>
      </c>
      <c r="K1507" t="str">
        <f>IFERROR(_xlfn.XLOOKUP($A1507,'Base SKUs'!$E:$E,'Base SKUs'!C:C),"")</f>
        <v>Long</v>
      </c>
      <c r="L1507" t="str">
        <f>IFERROR(_xlfn.XLOOKUP($A1507,'Base SKUs'!$E:$E,'Base SKUs'!D:D),"")</f>
        <v>Acetylated</v>
      </c>
      <c r="M1507" t="str">
        <f>IFERROR(_xlfn.XLOOKUP($A1507,'Base SKUs'!$E:$E,'Base SKUs'!G:G),"")</f>
        <v>Maximo Accoya</v>
      </c>
      <c r="N1507" t="str">
        <f>IFERROR(_xlfn.XLOOKUP($A1507,'Base SKUs'!$E:$E,'Base SKUs'!H:H),"")</f>
        <v>S4S E4E</v>
      </c>
      <c r="O1507" t="str">
        <f>IFERROR(_xlfn.XLOOKUP($A1507,'Base SKUs'!$E:$E,'Base SKUs'!I:I),"")</f>
        <v>Slate Grey</v>
      </c>
      <c r="P1507" t="str">
        <f>IFERROR(_xlfn.XLOOKUP($A1507,'Base SKUs'!$E:$E,'Base SKUs'!J:J),"")</f>
        <v>1x6</v>
      </c>
      <c r="Q1507">
        <f>IFERROR(_xlfn.XLOOKUP($A1507,'Base SKUs'!$E:$E,'Base SKUs'!K:K),"")</f>
        <v>12</v>
      </c>
      <c r="R1507" s="7">
        <f>IFERROR(_xlfn.XLOOKUP($A1507,'Base SKUs'!$E:$E,'Base SKUs'!S:S),"")</f>
        <v>1.0176366743999998E-2</v>
      </c>
      <c r="S1507" s="8">
        <f t="shared" si="117"/>
        <v>1.4857495446239997</v>
      </c>
      <c r="T1507" s="7">
        <f>IFERROR(_xlfn.XLOOKUP($A1507,'Base SKUs'!$E:$E,'Base SKUs'!R:R),"")</f>
        <v>1179.203</v>
      </c>
      <c r="U1507" s="15">
        <f t="shared" si="118"/>
        <v>1752</v>
      </c>
      <c r="V1507" t="str">
        <f t="shared" si="119"/>
        <v>Miami</v>
      </c>
    </row>
    <row r="1508" spans="1:22" x14ac:dyDescent="0.2">
      <c r="A1508" t="s">
        <v>2049</v>
      </c>
      <c r="B1508" s="5">
        <v>731</v>
      </c>
      <c r="C1508" s="5">
        <v>0</v>
      </c>
      <c r="D1508" s="5">
        <f t="shared" si="115"/>
        <v>731</v>
      </c>
      <c r="E1508" s="6">
        <v>78.023099999999999</v>
      </c>
      <c r="F1508" s="6">
        <f t="shared" si="116"/>
        <v>57034.886099999996</v>
      </c>
      <c r="G1508" t="s">
        <v>17</v>
      </c>
      <c r="H1508">
        <v>9007</v>
      </c>
      <c r="I1508" t="str">
        <f>IFERROR(_xlfn.XLOOKUP($A1508,'Base SKUs'!$E:$E,'Base SKUs'!A:A),"")</f>
        <v>Accoya</v>
      </c>
      <c r="J1508" t="str">
        <f>IFERROR(_xlfn.XLOOKUP($A1508,'Base SKUs'!$E:$E,'Base SKUs'!B:B),"")</f>
        <v>Accoya 1x6</v>
      </c>
      <c r="K1508" t="str">
        <f>IFERROR(_xlfn.XLOOKUP($A1508,'Base SKUs'!$E:$E,'Base SKUs'!C:C),"")</f>
        <v>Long</v>
      </c>
      <c r="L1508" t="str">
        <f>IFERROR(_xlfn.XLOOKUP($A1508,'Base SKUs'!$E:$E,'Base SKUs'!D:D),"")</f>
        <v>Acetylated</v>
      </c>
      <c r="M1508" t="str">
        <f>IFERROR(_xlfn.XLOOKUP($A1508,'Base SKUs'!$E:$E,'Base SKUs'!G:G),"")</f>
        <v>Maximo Accoya</v>
      </c>
      <c r="N1508" t="str">
        <f>IFERROR(_xlfn.XLOOKUP($A1508,'Base SKUs'!$E:$E,'Base SKUs'!H:H),"")</f>
        <v>S4S E4E</v>
      </c>
      <c r="O1508" t="str">
        <f>IFERROR(_xlfn.XLOOKUP($A1508,'Base SKUs'!$E:$E,'Base SKUs'!I:I),"")</f>
        <v>Slate Grey</v>
      </c>
      <c r="P1508" t="str">
        <f>IFERROR(_xlfn.XLOOKUP($A1508,'Base SKUs'!$E:$E,'Base SKUs'!J:J),"")</f>
        <v>1x6</v>
      </c>
      <c r="Q1508">
        <f>IFERROR(_xlfn.XLOOKUP($A1508,'Base SKUs'!$E:$E,'Base SKUs'!K:K),"")</f>
        <v>14</v>
      </c>
      <c r="R1508" s="7">
        <f>IFERROR(_xlfn.XLOOKUP($A1508,'Base SKUs'!$E:$E,'Base SKUs'!S:S),"")</f>
        <v>1.1872427868E-2</v>
      </c>
      <c r="S1508" s="8">
        <f t="shared" si="117"/>
        <v>8.6787447715080006</v>
      </c>
      <c r="T1508" s="7">
        <f>IFERROR(_xlfn.XLOOKUP($A1508,'Base SKUs'!$E:$E,'Base SKUs'!R:R),"")</f>
        <v>1179.203</v>
      </c>
      <c r="U1508" s="15">
        <f t="shared" si="118"/>
        <v>10234</v>
      </c>
      <c r="V1508" t="str">
        <f t="shared" si="119"/>
        <v>Miami</v>
      </c>
    </row>
    <row r="1509" spans="1:22" x14ac:dyDescent="0.2">
      <c r="A1509" t="s">
        <v>2051</v>
      </c>
      <c r="B1509" s="5">
        <v>504</v>
      </c>
      <c r="C1509" s="5">
        <v>0</v>
      </c>
      <c r="D1509" s="5">
        <f t="shared" si="115"/>
        <v>504</v>
      </c>
      <c r="E1509" s="6">
        <v>89.169399999999996</v>
      </c>
      <c r="F1509" s="6">
        <f t="shared" si="116"/>
        <v>44941.3776</v>
      </c>
      <c r="G1509" t="s">
        <v>17</v>
      </c>
      <c r="H1509">
        <v>9007</v>
      </c>
      <c r="I1509" t="str">
        <f>IFERROR(_xlfn.XLOOKUP($A1509,'Base SKUs'!$E:$E,'Base SKUs'!A:A),"")</f>
        <v>Accoya</v>
      </c>
      <c r="J1509" t="str">
        <f>IFERROR(_xlfn.XLOOKUP($A1509,'Base SKUs'!$E:$E,'Base SKUs'!B:B),"")</f>
        <v>Accoya 1x6</v>
      </c>
      <c r="K1509" t="str">
        <f>IFERROR(_xlfn.XLOOKUP($A1509,'Base SKUs'!$E:$E,'Base SKUs'!C:C),"")</f>
        <v>Long</v>
      </c>
      <c r="L1509" t="str">
        <f>IFERROR(_xlfn.XLOOKUP($A1509,'Base SKUs'!$E:$E,'Base SKUs'!D:D),"")</f>
        <v>Acetylated</v>
      </c>
      <c r="M1509" t="str">
        <f>IFERROR(_xlfn.XLOOKUP($A1509,'Base SKUs'!$E:$E,'Base SKUs'!G:G),"")</f>
        <v>Maximo Accoya</v>
      </c>
      <c r="N1509" t="str">
        <f>IFERROR(_xlfn.XLOOKUP($A1509,'Base SKUs'!$E:$E,'Base SKUs'!H:H),"")</f>
        <v>S4S E4E</v>
      </c>
      <c r="O1509" t="str">
        <f>IFERROR(_xlfn.XLOOKUP($A1509,'Base SKUs'!$E:$E,'Base SKUs'!I:I),"")</f>
        <v>Slate Grey</v>
      </c>
      <c r="P1509" t="str">
        <f>IFERROR(_xlfn.XLOOKUP($A1509,'Base SKUs'!$E:$E,'Base SKUs'!J:J),"")</f>
        <v>1x6</v>
      </c>
      <c r="Q1509">
        <f>IFERROR(_xlfn.XLOOKUP($A1509,'Base SKUs'!$E:$E,'Base SKUs'!K:K),"")</f>
        <v>16</v>
      </c>
      <c r="R1509" s="7">
        <f>IFERROR(_xlfn.XLOOKUP($A1509,'Base SKUs'!$E:$E,'Base SKUs'!S:S),"")</f>
        <v>1.3568488992000001E-2</v>
      </c>
      <c r="S1509" s="8">
        <f t="shared" si="117"/>
        <v>6.8385184519680005</v>
      </c>
      <c r="T1509" s="7">
        <f>IFERROR(_xlfn.XLOOKUP($A1509,'Base SKUs'!$E:$E,'Base SKUs'!R:R),"")</f>
        <v>1179.203</v>
      </c>
      <c r="U1509" s="15">
        <f t="shared" si="118"/>
        <v>8064</v>
      </c>
      <c r="V1509" t="str">
        <f t="shared" si="119"/>
        <v>Miami</v>
      </c>
    </row>
    <row r="1510" spans="1:22" x14ac:dyDescent="0.2">
      <c r="A1510" t="s">
        <v>2053</v>
      </c>
      <c r="B1510" s="5">
        <v>189</v>
      </c>
      <c r="C1510" s="5">
        <v>0</v>
      </c>
      <c r="D1510" s="5">
        <f t="shared" si="115"/>
        <v>189</v>
      </c>
      <c r="E1510" s="6">
        <v>51.207500000000003</v>
      </c>
      <c r="F1510" s="6">
        <f t="shared" si="116"/>
        <v>9678.2175000000007</v>
      </c>
      <c r="G1510" t="s">
        <v>24</v>
      </c>
      <c r="H1510">
        <v>9008</v>
      </c>
      <c r="I1510" t="str">
        <f>IFERROR(_xlfn.XLOOKUP($A1510,'Base SKUs'!$E:$E,'Base SKUs'!A:A),"")</f>
        <v>Accoya</v>
      </c>
      <c r="J1510" t="str">
        <f>IFERROR(_xlfn.XLOOKUP($A1510,'Base SKUs'!$E:$E,'Base SKUs'!B:B),"")</f>
        <v>Accoya 5/4x6</v>
      </c>
      <c r="K1510" t="str">
        <f>IFERROR(_xlfn.XLOOKUP($A1510,'Base SKUs'!$E:$E,'Base SKUs'!C:C),"")</f>
        <v>Long</v>
      </c>
      <c r="L1510" t="str">
        <f>IFERROR(_xlfn.XLOOKUP($A1510,'Base SKUs'!$E:$E,'Base SKUs'!D:D),"")</f>
        <v>Acetylated</v>
      </c>
      <c r="M1510" t="str">
        <f>IFERROR(_xlfn.XLOOKUP($A1510,'Base SKUs'!$E:$E,'Base SKUs'!G:G),"")</f>
        <v>Maximo Accoya</v>
      </c>
      <c r="N1510" t="str">
        <f>IFERROR(_xlfn.XLOOKUP($A1510,'Base SKUs'!$E:$E,'Base SKUs'!H:H),"")</f>
        <v>S4S E4E</v>
      </c>
      <c r="O1510" t="str">
        <f>IFERROR(_xlfn.XLOOKUP($A1510,'Base SKUs'!$E:$E,'Base SKUs'!I:I),"")</f>
        <v>Slate Grey</v>
      </c>
      <c r="P1510" t="str">
        <f>IFERROR(_xlfn.XLOOKUP($A1510,'Base SKUs'!$E:$E,'Base SKUs'!J:J),"")</f>
        <v>5/4x6</v>
      </c>
      <c r="Q1510">
        <f>IFERROR(_xlfn.XLOOKUP($A1510,'Base SKUs'!$E:$E,'Base SKUs'!K:K),"")</f>
        <v>8</v>
      </c>
      <c r="R1510" s="7">
        <f>IFERROR(_xlfn.XLOOKUP($A1510,'Base SKUs'!$E:$E,'Base SKUs'!S:S),"")</f>
        <v>9.0456593280000015E-3</v>
      </c>
      <c r="S1510" s="8">
        <f t="shared" si="117"/>
        <v>1.7096296129920003</v>
      </c>
      <c r="T1510" s="7">
        <f>IFERROR(_xlfn.XLOOKUP($A1510,'Base SKUs'!$E:$E,'Base SKUs'!R:R),"")</f>
        <v>884.40200000000004</v>
      </c>
      <c r="U1510" s="15">
        <f t="shared" si="118"/>
        <v>1512</v>
      </c>
      <c r="V1510" t="str">
        <f t="shared" si="119"/>
        <v>Texas</v>
      </c>
    </row>
    <row r="1511" spans="1:22" x14ac:dyDescent="0.2">
      <c r="A1511" t="s">
        <v>2055</v>
      </c>
      <c r="B1511" s="5">
        <v>203</v>
      </c>
      <c r="C1511" s="5">
        <v>0</v>
      </c>
      <c r="D1511" s="5">
        <f t="shared" si="115"/>
        <v>203</v>
      </c>
      <c r="E1511" s="6">
        <v>62.091099999999997</v>
      </c>
      <c r="F1511" s="6">
        <f t="shared" si="116"/>
        <v>12604.4933</v>
      </c>
      <c r="G1511" t="s">
        <v>17</v>
      </c>
      <c r="H1511">
        <v>9007</v>
      </c>
      <c r="I1511" t="str">
        <f>IFERROR(_xlfn.XLOOKUP($A1511,'Base SKUs'!$E:$E,'Base SKUs'!A:A),"")</f>
        <v>Accoya</v>
      </c>
      <c r="J1511" t="str">
        <f>IFERROR(_xlfn.XLOOKUP($A1511,'Base SKUs'!$E:$E,'Base SKUs'!B:B),"")</f>
        <v>Accoya 5/4x6</v>
      </c>
      <c r="K1511" t="str">
        <f>IFERROR(_xlfn.XLOOKUP($A1511,'Base SKUs'!$E:$E,'Base SKUs'!C:C),"")</f>
        <v>Long</v>
      </c>
      <c r="L1511" t="str">
        <f>IFERROR(_xlfn.XLOOKUP($A1511,'Base SKUs'!$E:$E,'Base SKUs'!D:D),"")</f>
        <v>Acetylated</v>
      </c>
      <c r="M1511" t="str">
        <f>IFERROR(_xlfn.XLOOKUP($A1511,'Base SKUs'!$E:$E,'Base SKUs'!G:G),"")</f>
        <v>Maximo Accoya</v>
      </c>
      <c r="N1511" t="str">
        <f>IFERROR(_xlfn.XLOOKUP($A1511,'Base SKUs'!$E:$E,'Base SKUs'!H:H),"")</f>
        <v>S4S E4E</v>
      </c>
      <c r="O1511" t="str">
        <f>IFERROR(_xlfn.XLOOKUP($A1511,'Base SKUs'!$E:$E,'Base SKUs'!I:I),"")</f>
        <v>Slate Grey</v>
      </c>
      <c r="P1511" t="str">
        <f>IFERROR(_xlfn.XLOOKUP($A1511,'Base SKUs'!$E:$E,'Base SKUs'!J:J),"")</f>
        <v>5/4x6</v>
      </c>
      <c r="Q1511">
        <f>IFERROR(_xlfn.XLOOKUP($A1511,'Base SKUs'!$E:$E,'Base SKUs'!K:K),"")</f>
        <v>10</v>
      </c>
      <c r="R1511" s="7">
        <f>IFERROR(_xlfn.XLOOKUP($A1511,'Base SKUs'!$E:$E,'Base SKUs'!S:S),"")</f>
        <v>1.1307074160000003E-2</v>
      </c>
      <c r="S1511" s="8">
        <f t="shared" si="117"/>
        <v>2.2953360544800008</v>
      </c>
      <c r="T1511" s="7">
        <f>IFERROR(_xlfn.XLOOKUP($A1511,'Base SKUs'!$E:$E,'Base SKUs'!R:R),"")</f>
        <v>884.40200000000004</v>
      </c>
      <c r="U1511" s="15">
        <f t="shared" si="118"/>
        <v>2030</v>
      </c>
      <c r="V1511" t="str">
        <f t="shared" si="119"/>
        <v>Miami</v>
      </c>
    </row>
    <row r="1512" spans="1:22" x14ac:dyDescent="0.2">
      <c r="A1512" t="s">
        <v>2055</v>
      </c>
      <c r="B1512" s="5">
        <v>364</v>
      </c>
      <c r="C1512" s="5">
        <v>0</v>
      </c>
      <c r="D1512" s="5">
        <f t="shared" si="115"/>
        <v>364</v>
      </c>
      <c r="E1512" s="6">
        <v>64.003200000000007</v>
      </c>
      <c r="F1512" s="6">
        <f t="shared" si="116"/>
        <v>23297.164800000002</v>
      </c>
      <c r="G1512" t="s">
        <v>24</v>
      </c>
      <c r="H1512">
        <v>9008</v>
      </c>
      <c r="I1512" t="str">
        <f>IFERROR(_xlfn.XLOOKUP($A1512,'Base SKUs'!$E:$E,'Base SKUs'!A:A),"")</f>
        <v>Accoya</v>
      </c>
      <c r="J1512" t="str">
        <f>IFERROR(_xlfn.XLOOKUP($A1512,'Base SKUs'!$E:$E,'Base SKUs'!B:B),"")</f>
        <v>Accoya 5/4x6</v>
      </c>
      <c r="K1512" t="str">
        <f>IFERROR(_xlfn.XLOOKUP($A1512,'Base SKUs'!$E:$E,'Base SKUs'!C:C),"")</f>
        <v>Long</v>
      </c>
      <c r="L1512" t="str">
        <f>IFERROR(_xlfn.XLOOKUP($A1512,'Base SKUs'!$E:$E,'Base SKUs'!D:D),"")</f>
        <v>Acetylated</v>
      </c>
      <c r="M1512" t="str">
        <f>IFERROR(_xlfn.XLOOKUP($A1512,'Base SKUs'!$E:$E,'Base SKUs'!G:G),"")</f>
        <v>Maximo Accoya</v>
      </c>
      <c r="N1512" t="str">
        <f>IFERROR(_xlfn.XLOOKUP($A1512,'Base SKUs'!$E:$E,'Base SKUs'!H:H),"")</f>
        <v>S4S E4E</v>
      </c>
      <c r="O1512" t="str">
        <f>IFERROR(_xlfn.XLOOKUP($A1512,'Base SKUs'!$E:$E,'Base SKUs'!I:I),"")</f>
        <v>Slate Grey</v>
      </c>
      <c r="P1512" t="str">
        <f>IFERROR(_xlfn.XLOOKUP($A1512,'Base SKUs'!$E:$E,'Base SKUs'!J:J),"")</f>
        <v>5/4x6</v>
      </c>
      <c r="Q1512">
        <f>IFERROR(_xlfn.XLOOKUP($A1512,'Base SKUs'!$E:$E,'Base SKUs'!K:K),"")</f>
        <v>10</v>
      </c>
      <c r="R1512" s="7">
        <f>IFERROR(_xlfn.XLOOKUP($A1512,'Base SKUs'!$E:$E,'Base SKUs'!S:S),"")</f>
        <v>1.1307074160000003E-2</v>
      </c>
      <c r="S1512" s="8">
        <f t="shared" si="117"/>
        <v>4.1157749942400015</v>
      </c>
      <c r="T1512" s="7">
        <f>IFERROR(_xlfn.XLOOKUP($A1512,'Base SKUs'!$E:$E,'Base SKUs'!R:R),"")</f>
        <v>884.40200000000004</v>
      </c>
      <c r="U1512" s="15">
        <f t="shared" si="118"/>
        <v>3640</v>
      </c>
      <c r="V1512" t="str">
        <f t="shared" si="119"/>
        <v>Texas</v>
      </c>
    </row>
    <row r="1513" spans="1:22" x14ac:dyDescent="0.2">
      <c r="A1513" t="s">
        <v>2055</v>
      </c>
      <c r="B1513" s="5">
        <v>362</v>
      </c>
      <c r="C1513" s="5">
        <v>0</v>
      </c>
      <c r="D1513" s="5">
        <f t="shared" si="115"/>
        <v>362</v>
      </c>
      <c r="E1513" s="6">
        <v>62.650700000000001</v>
      </c>
      <c r="F1513" s="6">
        <f t="shared" si="116"/>
        <v>22679.553400000001</v>
      </c>
      <c r="G1513" t="s">
        <v>330</v>
      </c>
      <c r="H1513">
        <v>9011</v>
      </c>
      <c r="I1513" t="str">
        <f>IFERROR(_xlfn.XLOOKUP($A1513,'Base SKUs'!$E:$E,'Base SKUs'!A:A),"")</f>
        <v>Accoya</v>
      </c>
      <c r="J1513" t="str">
        <f>IFERROR(_xlfn.XLOOKUP($A1513,'Base SKUs'!$E:$E,'Base SKUs'!B:B),"")</f>
        <v>Accoya 5/4x6</v>
      </c>
      <c r="K1513" t="str">
        <f>IFERROR(_xlfn.XLOOKUP($A1513,'Base SKUs'!$E:$E,'Base SKUs'!C:C),"")</f>
        <v>Long</v>
      </c>
      <c r="L1513" t="str">
        <f>IFERROR(_xlfn.XLOOKUP($A1513,'Base SKUs'!$E:$E,'Base SKUs'!D:D),"")</f>
        <v>Acetylated</v>
      </c>
      <c r="M1513" t="str">
        <f>IFERROR(_xlfn.XLOOKUP($A1513,'Base SKUs'!$E:$E,'Base SKUs'!G:G),"")</f>
        <v>Maximo Accoya</v>
      </c>
      <c r="N1513" t="str">
        <f>IFERROR(_xlfn.XLOOKUP($A1513,'Base SKUs'!$E:$E,'Base SKUs'!H:H),"")</f>
        <v>S4S E4E</v>
      </c>
      <c r="O1513" t="str">
        <f>IFERROR(_xlfn.XLOOKUP($A1513,'Base SKUs'!$E:$E,'Base SKUs'!I:I),"")</f>
        <v>Slate Grey</v>
      </c>
      <c r="P1513" t="str">
        <f>IFERROR(_xlfn.XLOOKUP($A1513,'Base SKUs'!$E:$E,'Base SKUs'!J:J),"")</f>
        <v>5/4x6</v>
      </c>
      <c r="Q1513">
        <f>IFERROR(_xlfn.XLOOKUP($A1513,'Base SKUs'!$E:$E,'Base SKUs'!K:K),"")</f>
        <v>10</v>
      </c>
      <c r="R1513" s="7">
        <f>IFERROR(_xlfn.XLOOKUP($A1513,'Base SKUs'!$E:$E,'Base SKUs'!S:S),"")</f>
        <v>1.1307074160000003E-2</v>
      </c>
      <c r="S1513" s="8">
        <f t="shared" si="117"/>
        <v>4.0931608459200008</v>
      </c>
      <c r="T1513" s="7">
        <f>IFERROR(_xlfn.XLOOKUP($A1513,'Base SKUs'!$E:$E,'Base SKUs'!R:R),"")</f>
        <v>884.40200000000004</v>
      </c>
      <c r="U1513" s="15">
        <f t="shared" si="118"/>
        <v>3620</v>
      </c>
      <c r="V1513" t="str">
        <f t="shared" si="119"/>
        <v>New York</v>
      </c>
    </row>
    <row r="1514" spans="1:22" x14ac:dyDescent="0.2">
      <c r="A1514" t="s">
        <v>2057</v>
      </c>
      <c r="B1514" s="5">
        <v>642</v>
      </c>
      <c r="C1514" s="5">
        <v>0</v>
      </c>
      <c r="D1514" s="5">
        <f t="shared" si="115"/>
        <v>642</v>
      </c>
      <c r="E1514" s="6">
        <v>76.297899999999998</v>
      </c>
      <c r="F1514" s="6">
        <f t="shared" si="116"/>
        <v>48983.251799999998</v>
      </c>
      <c r="G1514" t="s">
        <v>17</v>
      </c>
      <c r="H1514">
        <v>9007</v>
      </c>
      <c r="I1514" t="str">
        <f>IFERROR(_xlfn.XLOOKUP($A1514,'Base SKUs'!$E:$E,'Base SKUs'!A:A),"")</f>
        <v>Accoya</v>
      </c>
      <c r="J1514" t="str">
        <f>IFERROR(_xlfn.XLOOKUP($A1514,'Base SKUs'!$E:$E,'Base SKUs'!B:B),"")</f>
        <v>Accoya 5/4x6</v>
      </c>
      <c r="K1514" t="str">
        <f>IFERROR(_xlfn.XLOOKUP($A1514,'Base SKUs'!$E:$E,'Base SKUs'!C:C),"")</f>
        <v>Long</v>
      </c>
      <c r="L1514" t="str">
        <f>IFERROR(_xlfn.XLOOKUP($A1514,'Base SKUs'!$E:$E,'Base SKUs'!D:D),"")</f>
        <v>Acetylated</v>
      </c>
      <c r="M1514" t="str">
        <f>IFERROR(_xlfn.XLOOKUP($A1514,'Base SKUs'!$E:$E,'Base SKUs'!G:G),"")</f>
        <v>Maximo Accoya</v>
      </c>
      <c r="N1514" t="str">
        <f>IFERROR(_xlfn.XLOOKUP($A1514,'Base SKUs'!$E:$E,'Base SKUs'!H:H),"")</f>
        <v>S4S E4E</v>
      </c>
      <c r="O1514" t="str">
        <f>IFERROR(_xlfn.XLOOKUP($A1514,'Base SKUs'!$E:$E,'Base SKUs'!I:I),"")</f>
        <v>Slate Grey</v>
      </c>
      <c r="P1514" t="str">
        <f>IFERROR(_xlfn.XLOOKUP($A1514,'Base SKUs'!$E:$E,'Base SKUs'!J:J),"")</f>
        <v>5/4x6</v>
      </c>
      <c r="Q1514">
        <f>IFERROR(_xlfn.XLOOKUP($A1514,'Base SKUs'!$E:$E,'Base SKUs'!K:K),"")</f>
        <v>12</v>
      </c>
      <c r="R1514" s="7">
        <f>IFERROR(_xlfn.XLOOKUP($A1514,'Base SKUs'!$E:$E,'Base SKUs'!S:S),"")</f>
        <v>1.3568488992000001E-2</v>
      </c>
      <c r="S1514" s="8">
        <f t="shared" si="117"/>
        <v>8.7109699328640016</v>
      </c>
      <c r="T1514" s="7">
        <f>IFERROR(_xlfn.XLOOKUP($A1514,'Base SKUs'!$E:$E,'Base SKUs'!R:R),"")</f>
        <v>884.40200000000004</v>
      </c>
      <c r="U1514" s="15">
        <f t="shared" si="118"/>
        <v>7704</v>
      </c>
      <c r="V1514" t="str">
        <f t="shared" si="119"/>
        <v>Miami</v>
      </c>
    </row>
    <row r="1515" spans="1:22" x14ac:dyDescent="0.2">
      <c r="A1515" t="s">
        <v>2057</v>
      </c>
      <c r="B1515" s="5">
        <v>268</v>
      </c>
      <c r="C1515" s="5">
        <v>0</v>
      </c>
      <c r="D1515" s="5">
        <f t="shared" si="115"/>
        <v>268</v>
      </c>
      <c r="E1515" s="6">
        <v>76.813400000000001</v>
      </c>
      <c r="F1515" s="6">
        <f t="shared" si="116"/>
        <v>20585.9912</v>
      </c>
      <c r="G1515" t="s">
        <v>24</v>
      </c>
      <c r="H1515">
        <v>9008</v>
      </c>
      <c r="I1515" t="str">
        <f>IFERROR(_xlfn.XLOOKUP($A1515,'Base SKUs'!$E:$E,'Base SKUs'!A:A),"")</f>
        <v>Accoya</v>
      </c>
      <c r="J1515" t="str">
        <f>IFERROR(_xlfn.XLOOKUP($A1515,'Base SKUs'!$E:$E,'Base SKUs'!B:B),"")</f>
        <v>Accoya 5/4x6</v>
      </c>
      <c r="K1515" t="str">
        <f>IFERROR(_xlfn.XLOOKUP($A1515,'Base SKUs'!$E:$E,'Base SKUs'!C:C),"")</f>
        <v>Long</v>
      </c>
      <c r="L1515" t="str">
        <f>IFERROR(_xlfn.XLOOKUP($A1515,'Base SKUs'!$E:$E,'Base SKUs'!D:D),"")</f>
        <v>Acetylated</v>
      </c>
      <c r="M1515" t="str">
        <f>IFERROR(_xlfn.XLOOKUP($A1515,'Base SKUs'!$E:$E,'Base SKUs'!G:G),"")</f>
        <v>Maximo Accoya</v>
      </c>
      <c r="N1515" t="str">
        <f>IFERROR(_xlfn.XLOOKUP($A1515,'Base SKUs'!$E:$E,'Base SKUs'!H:H),"")</f>
        <v>S4S E4E</v>
      </c>
      <c r="O1515" t="str">
        <f>IFERROR(_xlfn.XLOOKUP($A1515,'Base SKUs'!$E:$E,'Base SKUs'!I:I),"")</f>
        <v>Slate Grey</v>
      </c>
      <c r="P1515" t="str">
        <f>IFERROR(_xlfn.XLOOKUP($A1515,'Base SKUs'!$E:$E,'Base SKUs'!J:J),"")</f>
        <v>5/4x6</v>
      </c>
      <c r="Q1515">
        <f>IFERROR(_xlfn.XLOOKUP($A1515,'Base SKUs'!$E:$E,'Base SKUs'!K:K),"")</f>
        <v>12</v>
      </c>
      <c r="R1515" s="7">
        <f>IFERROR(_xlfn.XLOOKUP($A1515,'Base SKUs'!$E:$E,'Base SKUs'!S:S),"")</f>
        <v>1.3568488992000001E-2</v>
      </c>
      <c r="S1515" s="8">
        <f t="shared" si="117"/>
        <v>3.6363550498560002</v>
      </c>
      <c r="T1515" s="7">
        <f>IFERROR(_xlfn.XLOOKUP($A1515,'Base SKUs'!$E:$E,'Base SKUs'!R:R),"")</f>
        <v>884.40200000000004</v>
      </c>
      <c r="U1515" s="15">
        <f t="shared" si="118"/>
        <v>3216</v>
      </c>
      <c r="V1515" t="str">
        <f t="shared" si="119"/>
        <v>Texas</v>
      </c>
    </row>
    <row r="1516" spans="1:22" x14ac:dyDescent="0.2">
      <c r="A1516" t="s">
        <v>2057</v>
      </c>
      <c r="B1516" s="5">
        <v>440</v>
      </c>
      <c r="C1516" s="5">
        <v>0</v>
      </c>
      <c r="D1516" s="5">
        <f t="shared" si="115"/>
        <v>440</v>
      </c>
      <c r="E1516" s="6">
        <v>75.1678</v>
      </c>
      <c r="F1516" s="6">
        <f t="shared" si="116"/>
        <v>33073.832000000002</v>
      </c>
      <c r="G1516" t="s">
        <v>330</v>
      </c>
      <c r="H1516">
        <v>9011</v>
      </c>
      <c r="I1516" t="str">
        <f>IFERROR(_xlfn.XLOOKUP($A1516,'Base SKUs'!$E:$E,'Base SKUs'!A:A),"")</f>
        <v>Accoya</v>
      </c>
      <c r="J1516" t="str">
        <f>IFERROR(_xlfn.XLOOKUP($A1516,'Base SKUs'!$E:$E,'Base SKUs'!B:B),"")</f>
        <v>Accoya 5/4x6</v>
      </c>
      <c r="K1516" t="str">
        <f>IFERROR(_xlfn.XLOOKUP($A1516,'Base SKUs'!$E:$E,'Base SKUs'!C:C),"")</f>
        <v>Long</v>
      </c>
      <c r="L1516" t="str">
        <f>IFERROR(_xlfn.XLOOKUP($A1516,'Base SKUs'!$E:$E,'Base SKUs'!D:D),"")</f>
        <v>Acetylated</v>
      </c>
      <c r="M1516" t="str">
        <f>IFERROR(_xlfn.XLOOKUP($A1516,'Base SKUs'!$E:$E,'Base SKUs'!G:G),"")</f>
        <v>Maximo Accoya</v>
      </c>
      <c r="N1516" t="str">
        <f>IFERROR(_xlfn.XLOOKUP($A1516,'Base SKUs'!$E:$E,'Base SKUs'!H:H),"")</f>
        <v>S4S E4E</v>
      </c>
      <c r="O1516" t="str">
        <f>IFERROR(_xlfn.XLOOKUP($A1516,'Base SKUs'!$E:$E,'Base SKUs'!I:I),"")</f>
        <v>Slate Grey</v>
      </c>
      <c r="P1516" t="str">
        <f>IFERROR(_xlfn.XLOOKUP($A1516,'Base SKUs'!$E:$E,'Base SKUs'!J:J),"")</f>
        <v>5/4x6</v>
      </c>
      <c r="Q1516">
        <f>IFERROR(_xlfn.XLOOKUP($A1516,'Base SKUs'!$E:$E,'Base SKUs'!K:K),"")</f>
        <v>12</v>
      </c>
      <c r="R1516" s="7">
        <f>IFERROR(_xlfn.XLOOKUP($A1516,'Base SKUs'!$E:$E,'Base SKUs'!S:S),"")</f>
        <v>1.3568488992000001E-2</v>
      </c>
      <c r="S1516" s="8">
        <f t="shared" si="117"/>
        <v>5.9701351564800005</v>
      </c>
      <c r="T1516" s="7">
        <f>IFERROR(_xlfn.XLOOKUP($A1516,'Base SKUs'!$E:$E,'Base SKUs'!R:R),"")</f>
        <v>884.40200000000004</v>
      </c>
      <c r="U1516" s="15">
        <f t="shared" si="118"/>
        <v>5280</v>
      </c>
      <c r="V1516" t="str">
        <f t="shared" si="119"/>
        <v>New York</v>
      </c>
    </row>
    <row r="1517" spans="1:22" x14ac:dyDescent="0.2">
      <c r="A1517" t="s">
        <v>2059</v>
      </c>
      <c r="B1517" s="5">
        <v>536</v>
      </c>
      <c r="C1517" s="5">
        <v>0</v>
      </c>
      <c r="D1517" s="5">
        <f t="shared" si="115"/>
        <v>536</v>
      </c>
      <c r="E1517" s="6">
        <v>86.927700000000002</v>
      </c>
      <c r="F1517" s="6">
        <f t="shared" si="116"/>
        <v>46593.247199999998</v>
      </c>
      <c r="G1517" t="s">
        <v>17</v>
      </c>
      <c r="H1517">
        <v>9007</v>
      </c>
      <c r="I1517" t="str">
        <f>IFERROR(_xlfn.XLOOKUP($A1517,'Base SKUs'!$E:$E,'Base SKUs'!A:A),"")</f>
        <v>Accoya</v>
      </c>
      <c r="J1517" t="str">
        <f>IFERROR(_xlfn.XLOOKUP($A1517,'Base SKUs'!$E:$E,'Base SKUs'!B:B),"")</f>
        <v>Accoya 5/4x6</v>
      </c>
      <c r="K1517" t="str">
        <f>IFERROR(_xlfn.XLOOKUP($A1517,'Base SKUs'!$E:$E,'Base SKUs'!C:C),"")</f>
        <v>Long</v>
      </c>
      <c r="L1517" t="str">
        <f>IFERROR(_xlfn.XLOOKUP($A1517,'Base SKUs'!$E:$E,'Base SKUs'!D:D),"")</f>
        <v>Acetylated</v>
      </c>
      <c r="M1517" t="str">
        <f>IFERROR(_xlfn.XLOOKUP($A1517,'Base SKUs'!$E:$E,'Base SKUs'!G:G),"")</f>
        <v>Maximo Accoya</v>
      </c>
      <c r="N1517" t="str">
        <f>IFERROR(_xlfn.XLOOKUP($A1517,'Base SKUs'!$E:$E,'Base SKUs'!H:H),"")</f>
        <v>S4S E4E</v>
      </c>
      <c r="O1517" t="str">
        <f>IFERROR(_xlfn.XLOOKUP($A1517,'Base SKUs'!$E:$E,'Base SKUs'!I:I),"")</f>
        <v>Slate Grey</v>
      </c>
      <c r="P1517" t="str">
        <f>IFERROR(_xlfn.XLOOKUP($A1517,'Base SKUs'!$E:$E,'Base SKUs'!J:J),"")</f>
        <v>5/4x6</v>
      </c>
      <c r="Q1517">
        <f>IFERROR(_xlfn.XLOOKUP($A1517,'Base SKUs'!$E:$E,'Base SKUs'!K:K),"")</f>
        <v>14</v>
      </c>
      <c r="R1517" s="7">
        <f>IFERROR(_xlfn.XLOOKUP($A1517,'Base SKUs'!$E:$E,'Base SKUs'!S:S),"")</f>
        <v>1.5829903824E-2</v>
      </c>
      <c r="S1517" s="8">
        <f t="shared" si="117"/>
        <v>8.4848284496640005</v>
      </c>
      <c r="T1517" s="7">
        <f>IFERROR(_xlfn.XLOOKUP($A1517,'Base SKUs'!$E:$E,'Base SKUs'!R:R),"")</f>
        <v>884.40200000000004</v>
      </c>
      <c r="U1517" s="15">
        <f t="shared" si="118"/>
        <v>7504</v>
      </c>
      <c r="V1517" t="str">
        <f t="shared" si="119"/>
        <v>Miami</v>
      </c>
    </row>
    <row r="1518" spans="1:22" x14ac:dyDescent="0.2">
      <c r="A1518" t="s">
        <v>2059</v>
      </c>
      <c r="B1518" s="5">
        <v>306</v>
      </c>
      <c r="C1518" s="5">
        <v>0</v>
      </c>
      <c r="D1518" s="5">
        <f t="shared" si="115"/>
        <v>306</v>
      </c>
      <c r="E1518" s="6">
        <v>89.599299999999999</v>
      </c>
      <c r="F1518" s="6">
        <f t="shared" si="116"/>
        <v>27417.3858</v>
      </c>
      <c r="G1518" t="s">
        <v>24</v>
      </c>
      <c r="H1518">
        <v>9008</v>
      </c>
      <c r="I1518" t="str">
        <f>IFERROR(_xlfn.XLOOKUP($A1518,'Base SKUs'!$E:$E,'Base SKUs'!A:A),"")</f>
        <v>Accoya</v>
      </c>
      <c r="J1518" t="str">
        <f>IFERROR(_xlfn.XLOOKUP($A1518,'Base SKUs'!$E:$E,'Base SKUs'!B:B),"")</f>
        <v>Accoya 5/4x6</v>
      </c>
      <c r="K1518" t="str">
        <f>IFERROR(_xlfn.XLOOKUP($A1518,'Base SKUs'!$E:$E,'Base SKUs'!C:C),"")</f>
        <v>Long</v>
      </c>
      <c r="L1518" t="str">
        <f>IFERROR(_xlfn.XLOOKUP($A1518,'Base SKUs'!$E:$E,'Base SKUs'!D:D),"")</f>
        <v>Acetylated</v>
      </c>
      <c r="M1518" t="str">
        <f>IFERROR(_xlfn.XLOOKUP($A1518,'Base SKUs'!$E:$E,'Base SKUs'!G:G),"")</f>
        <v>Maximo Accoya</v>
      </c>
      <c r="N1518" t="str">
        <f>IFERROR(_xlfn.XLOOKUP($A1518,'Base SKUs'!$E:$E,'Base SKUs'!H:H),"")</f>
        <v>S4S E4E</v>
      </c>
      <c r="O1518" t="str">
        <f>IFERROR(_xlfn.XLOOKUP($A1518,'Base SKUs'!$E:$E,'Base SKUs'!I:I),"")</f>
        <v>Slate Grey</v>
      </c>
      <c r="P1518" t="str">
        <f>IFERROR(_xlfn.XLOOKUP($A1518,'Base SKUs'!$E:$E,'Base SKUs'!J:J),"")</f>
        <v>5/4x6</v>
      </c>
      <c r="Q1518">
        <f>IFERROR(_xlfn.XLOOKUP($A1518,'Base SKUs'!$E:$E,'Base SKUs'!K:K),"")</f>
        <v>14</v>
      </c>
      <c r="R1518" s="7">
        <f>IFERROR(_xlfn.XLOOKUP($A1518,'Base SKUs'!$E:$E,'Base SKUs'!S:S),"")</f>
        <v>1.5829903824E-2</v>
      </c>
      <c r="S1518" s="8">
        <f t="shared" si="117"/>
        <v>4.843950570144</v>
      </c>
      <c r="T1518" s="7">
        <f>IFERROR(_xlfn.XLOOKUP($A1518,'Base SKUs'!$E:$E,'Base SKUs'!R:R),"")</f>
        <v>884.40200000000004</v>
      </c>
      <c r="U1518" s="15">
        <f t="shared" si="118"/>
        <v>4284</v>
      </c>
      <c r="V1518" t="str">
        <f t="shared" si="119"/>
        <v>Texas</v>
      </c>
    </row>
    <row r="1519" spans="1:22" x14ac:dyDescent="0.2">
      <c r="A1519" t="s">
        <v>2059</v>
      </c>
      <c r="B1519" s="5">
        <v>207</v>
      </c>
      <c r="C1519" s="5">
        <v>0</v>
      </c>
      <c r="D1519" s="5">
        <f t="shared" si="115"/>
        <v>207</v>
      </c>
      <c r="E1519" s="6">
        <v>87.711699999999993</v>
      </c>
      <c r="F1519" s="6">
        <f t="shared" si="116"/>
        <v>18156.321899999999</v>
      </c>
      <c r="G1519" t="s">
        <v>330</v>
      </c>
      <c r="H1519">
        <v>9011</v>
      </c>
      <c r="I1519" t="str">
        <f>IFERROR(_xlfn.XLOOKUP($A1519,'Base SKUs'!$E:$E,'Base SKUs'!A:A),"")</f>
        <v>Accoya</v>
      </c>
      <c r="J1519" t="str">
        <f>IFERROR(_xlfn.XLOOKUP($A1519,'Base SKUs'!$E:$E,'Base SKUs'!B:B),"")</f>
        <v>Accoya 5/4x6</v>
      </c>
      <c r="K1519" t="str">
        <f>IFERROR(_xlfn.XLOOKUP($A1519,'Base SKUs'!$E:$E,'Base SKUs'!C:C),"")</f>
        <v>Long</v>
      </c>
      <c r="L1519" t="str">
        <f>IFERROR(_xlfn.XLOOKUP($A1519,'Base SKUs'!$E:$E,'Base SKUs'!D:D),"")</f>
        <v>Acetylated</v>
      </c>
      <c r="M1519" t="str">
        <f>IFERROR(_xlfn.XLOOKUP($A1519,'Base SKUs'!$E:$E,'Base SKUs'!G:G),"")</f>
        <v>Maximo Accoya</v>
      </c>
      <c r="N1519" t="str">
        <f>IFERROR(_xlfn.XLOOKUP($A1519,'Base SKUs'!$E:$E,'Base SKUs'!H:H),"")</f>
        <v>S4S E4E</v>
      </c>
      <c r="O1519" t="str">
        <f>IFERROR(_xlfn.XLOOKUP($A1519,'Base SKUs'!$E:$E,'Base SKUs'!I:I),"")</f>
        <v>Slate Grey</v>
      </c>
      <c r="P1519" t="str">
        <f>IFERROR(_xlfn.XLOOKUP($A1519,'Base SKUs'!$E:$E,'Base SKUs'!J:J),"")</f>
        <v>5/4x6</v>
      </c>
      <c r="Q1519">
        <f>IFERROR(_xlfn.XLOOKUP($A1519,'Base SKUs'!$E:$E,'Base SKUs'!K:K),"")</f>
        <v>14</v>
      </c>
      <c r="R1519" s="7">
        <f>IFERROR(_xlfn.XLOOKUP($A1519,'Base SKUs'!$E:$E,'Base SKUs'!S:S),"")</f>
        <v>1.5829903824E-2</v>
      </c>
      <c r="S1519" s="8">
        <f t="shared" si="117"/>
        <v>3.2767900915679999</v>
      </c>
      <c r="T1519" s="7">
        <f>IFERROR(_xlfn.XLOOKUP($A1519,'Base SKUs'!$E:$E,'Base SKUs'!R:R),"")</f>
        <v>884.40200000000004</v>
      </c>
      <c r="U1519" s="15">
        <f t="shared" si="118"/>
        <v>2898</v>
      </c>
      <c r="V1519" t="str">
        <f t="shared" si="119"/>
        <v>New York</v>
      </c>
    </row>
    <row r="1520" spans="1:22" x14ac:dyDescent="0.2">
      <c r="A1520" t="s">
        <v>2061</v>
      </c>
      <c r="B1520" s="5">
        <v>713</v>
      </c>
      <c r="C1520" s="5">
        <v>0</v>
      </c>
      <c r="D1520" s="5">
        <f t="shared" si="115"/>
        <v>713</v>
      </c>
      <c r="E1520" s="6">
        <v>100.4778</v>
      </c>
      <c r="F1520" s="6">
        <f t="shared" si="116"/>
        <v>71640.671400000007</v>
      </c>
      <c r="G1520" t="s">
        <v>17</v>
      </c>
      <c r="H1520">
        <v>9007</v>
      </c>
      <c r="I1520" t="str">
        <f>IFERROR(_xlfn.XLOOKUP($A1520,'Base SKUs'!$E:$E,'Base SKUs'!A:A),"")</f>
        <v>Accoya</v>
      </c>
      <c r="J1520" t="str">
        <f>IFERROR(_xlfn.XLOOKUP($A1520,'Base SKUs'!$E:$E,'Base SKUs'!B:B),"")</f>
        <v>Accoya 5/4x6</v>
      </c>
      <c r="K1520" t="str">
        <f>IFERROR(_xlfn.XLOOKUP($A1520,'Base SKUs'!$E:$E,'Base SKUs'!C:C),"")</f>
        <v>Long</v>
      </c>
      <c r="L1520" t="str">
        <f>IFERROR(_xlfn.XLOOKUP($A1520,'Base SKUs'!$E:$E,'Base SKUs'!D:D),"")</f>
        <v>Acetylated</v>
      </c>
      <c r="M1520" t="str">
        <f>IFERROR(_xlfn.XLOOKUP($A1520,'Base SKUs'!$E:$E,'Base SKUs'!G:G),"")</f>
        <v>Maximo Accoya</v>
      </c>
      <c r="N1520" t="str">
        <f>IFERROR(_xlfn.XLOOKUP($A1520,'Base SKUs'!$E:$E,'Base SKUs'!H:H),"")</f>
        <v>S4S E4E</v>
      </c>
      <c r="O1520" t="str">
        <f>IFERROR(_xlfn.XLOOKUP($A1520,'Base SKUs'!$E:$E,'Base SKUs'!I:I),"")</f>
        <v>Slate Grey</v>
      </c>
      <c r="P1520" t="str">
        <f>IFERROR(_xlfn.XLOOKUP($A1520,'Base SKUs'!$E:$E,'Base SKUs'!J:J),"")</f>
        <v>5/4x6</v>
      </c>
      <c r="Q1520">
        <f>IFERROR(_xlfn.XLOOKUP($A1520,'Base SKUs'!$E:$E,'Base SKUs'!K:K),"")</f>
        <v>16</v>
      </c>
      <c r="R1520" s="7">
        <f>IFERROR(_xlfn.XLOOKUP($A1520,'Base SKUs'!$E:$E,'Base SKUs'!S:S),"")</f>
        <v>1.8091318656000003E-2</v>
      </c>
      <c r="S1520" s="8">
        <f t="shared" si="117"/>
        <v>12.899110201728002</v>
      </c>
      <c r="T1520" s="7">
        <f>IFERROR(_xlfn.XLOOKUP($A1520,'Base SKUs'!$E:$E,'Base SKUs'!R:R),"")</f>
        <v>884.40200000000004</v>
      </c>
      <c r="U1520" s="15">
        <f t="shared" si="118"/>
        <v>11408</v>
      </c>
      <c r="V1520" t="str">
        <f t="shared" si="119"/>
        <v>Miami</v>
      </c>
    </row>
    <row r="1521" spans="1:22" x14ac:dyDescent="0.2">
      <c r="A1521" t="s">
        <v>2061</v>
      </c>
      <c r="B1521" s="5">
        <v>713</v>
      </c>
      <c r="C1521" s="5">
        <v>0</v>
      </c>
      <c r="D1521" s="5">
        <f t="shared" si="115"/>
        <v>713</v>
      </c>
      <c r="E1521" s="6">
        <v>102.4157</v>
      </c>
      <c r="F1521" s="6">
        <f t="shared" si="116"/>
        <v>73022.394100000005</v>
      </c>
      <c r="G1521" t="s">
        <v>24</v>
      </c>
      <c r="H1521">
        <v>9008</v>
      </c>
      <c r="I1521" t="str">
        <f>IFERROR(_xlfn.XLOOKUP($A1521,'Base SKUs'!$E:$E,'Base SKUs'!A:A),"")</f>
        <v>Accoya</v>
      </c>
      <c r="J1521" t="str">
        <f>IFERROR(_xlfn.XLOOKUP($A1521,'Base SKUs'!$E:$E,'Base SKUs'!B:B),"")</f>
        <v>Accoya 5/4x6</v>
      </c>
      <c r="K1521" t="str">
        <f>IFERROR(_xlfn.XLOOKUP($A1521,'Base SKUs'!$E:$E,'Base SKUs'!C:C),"")</f>
        <v>Long</v>
      </c>
      <c r="L1521" t="str">
        <f>IFERROR(_xlfn.XLOOKUP($A1521,'Base SKUs'!$E:$E,'Base SKUs'!D:D),"")</f>
        <v>Acetylated</v>
      </c>
      <c r="M1521" t="str">
        <f>IFERROR(_xlfn.XLOOKUP($A1521,'Base SKUs'!$E:$E,'Base SKUs'!G:G),"")</f>
        <v>Maximo Accoya</v>
      </c>
      <c r="N1521" t="str">
        <f>IFERROR(_xlfn.XLOOKUP($A1521,'Base SKUs'!$E:$E,'Base SKUs'!H:H),"")</f>
        <v>S4S E4E</v>
      </c>
      <c r="O1521" t="str">
        <f>IFERROR(_xlfn.XLOOKUP($A1521,'Base SKUs'!$E:$E,'Base SKUs'!I:I),"")</f>
        <v>Slate Grey</v>
      </c>
      <c r="P1521" t="str">
        <f>IFERROR(_xlfn.XLOOKUP($A1521,'Base SKUs'!$E:$E,'Base SKUs'!J:J),"")</f>
        <v>5/4x6</v>
      </c>
      <c r="Q1521">
        <f>IFERROR(_xlfn.XLOOKUP($A1521,'Base SKUs'!$E:$E,'Base SKUs'!K:K),"")</f>
        <v>16</v>
      </c>
      <c r="R1521" s="7">
        <f>IFERROR(_xlfn.XLOOKUP($A1521,'Base SKUs'!$E:$E,'Base SKUs'!S:S),"")</f>
        <v>1.8091318656000003E-2</v>
      </c>
      <c r="S1521" s="8">
        <f t="shared" si="117"/>
        <v>12.899110201728002</v>
      </c>
      <c r="T1521" s="7">
        <f>IFERROR(_xlfn.XLOOKUP($A1521,'Base SKUs'!$E:$E,'Base SKUs'!R:R),"")</f>
        <v>884.40200000000004</v>
      </c>
      <c r="U1521" s="15">
        <f t="shared" si="118"/>
        <v>11408</v>
      </c>
      <c r="V1521" t="str">
        <f t="shared" si="119"/>
        <v>Texas</v>
      </c>
    </row>
    <row r="1522" spans="1:22" x14ac:dyDescent="0.2">
      <c r="A1522" t="s">
        <v>2061</v>
      </c>
      <c r="B1522" s="5">
        <v>726</v>
      </c>
      <c r="C1522" s="5">
        <v>0</v>
      </c>
      <c r="D1522" s="5">
        <f t="shared" si="115"/>
        <v>726</v>
      </c>
      <c r="E1522" s="6">
        <v>100.247</v>
      </c>
      <c r="F1522" s="6">
        <f t="shared" si="116"/>
        <v>72779.322</v>
      </c>
      <c r="G1522" t="s">
        <v>330</v>
      </c>
      <c r="H1522">
        <v>9011</v>
      </c>
      <c r="I1522" t="str">
        <f>IFERROR(_xlfn.XLOOKUP($A1522,'Base SKUs'!$E:$E,'Base SKUs'!A:A),"")</f>
        <v>Accoya</v>
      </c>
      <c r="J1522" t="str">
        <f>IFERROR(_xlfn.XLOOKUP($A1522,'Base SKUs'!$E:$E,'Base SKUs'!B:B),"")</f>
        <v>Accoya 5/4x6</v>
      </c>
      <c r="K1522" t="str">
        <f>IFERROR(_xlfn.XLOOKUP($A1522,'Base SKUs'!$E:$E,'Base SKUs'!C:C),"")</f>
        <v>Long</v>
      </c>
      <c r="L1522" t="str">
        <f>IFERROR(_xlfn.XLOOKUP($A1522,'Base SKUs'!$E:$E,'Base SKUs'!D:D),"")</f>
        <v>Acetylated</v>
      </c>
      <c r="M1522" t="str">
        <f>IFERROR(_xlfn.XLOOKUP($A1522,'Base SKUs'!$E:$E,'Base SKUs'!G:G),"")</f>
        <v>Maximo Accoya</v>
      </c>
      <c r="N1522" t="str">
        <f>IFERROR(_xlfn.XLOOKUP($A1522,'Base SKUs'!$E:$E,'Base SKUs'!H:H),"")</f>
        <v>S4S E4E</v>
      </c>
      <c r="O1522" t="str">
        <f>IFERROR(_xlfn.XLOOKUP($A1522,'Base SKUs'!$E:$E,'Base SKUs'!I:I),"")</f>
        <v>Slate Grey</v>
      </c>
      <c r="P1522" t="str">
        <f>IFERROR(_xlfn.XLOOKUP($A1522,'Base SKUs'!$E:$E,'Base SKUs'!J:J),"")</f>
        <v>5/4x6</v>
      </c>
      <c r="Q1522">
        <f>IFERROR(_xlfn.XLOOKUP($A1522,'Base SKUs'!$E:$E,'Base SKUs'!K:K),"")</f>
        <v>16</v>
      </c>
      <c r="R1522" s="7">
        <f>IFERROR(_xlfn.XLOOKUP($A1522,'Base SKUs'!$E:$E,'Base SKUs'!S:S),"")</f>
        <v>1.8091318656000003E-2</v>
      </c>
      <c r="S1522" s="8">
        <f t="shared" si="117"/>
        <v>13.134297344256002</v>
      </c>
      <c r="T1522" s="7">
        <f>IFERROR(_xlfn.XLOOKUP($A1522,'Base SKUs'!$E:$E,'Base SKUs'!R:R),"")</f>
        <v>884.40200000000004</v>
      </c>
      <c r="U1522" s="15">
        <f t="shared" si="118"/>
        <v>11616</v>
      </c>
      <c r="V1522" t="str">
        <f t="shared" si="119"/>
        <v>New York</v>
      </c>
    </row>
    <row r="1523" spans="1:22" x14ac:dyDescent="0.2">
      <c r="A1523" t="s">
        <v>2063</v>
      </c>
      <c r="B1523" s="5">
        <v>75</v>
      </c>
      <c r="C1523" s="5">
        <v>0</v>
      </c>
      <c r="D1523" s="5">
        <f t="shared" si="115"/>
        <v>75</v>
      </c>
      <c r="E1523" s="6">
        <v>65.143699999999995</v>
      </c>
      <c r="F1523" s="6">
        <f t="shared" si="116"/>
        <v>4885.7774999999992</v>
      </c>
      <c r="G1523" t="s">
        <v>17</v>
      </c>
      <c r="H1523">
        <v>9007</v>
      </c>
      <c r="I1523" t="str">
        <f>IFERROR(_xlfn.XLOOKUP($A1523,'Base SKUs'!$E:$E,'Base SKUs'!A:A),"")</f>
        <v>Ayous JPL</v>
      </c>
      <c r="J1523" t="str">
        <f>IFERROR(_xlfn.XLOOKUP($A1523,'Base SKUs'!$E:$E,'Base SKUs'!B:B),"")</f>
        <v>Ayous JPL 1x10</v>
      </c>
      <c r="K1523" t="str">
        <f>IFERROR(_xlfn.XLOOKUP($A1523,'Base SKUs'!$E:$E,'Base SKUs'!C:C),"")</f>
        <v>Long</v>
      </c>
      <c r="L1523" t="str">
        <f>IFERROR(_xlfn.XLOOKUP($A1523,'Base SKUs'!$E:$E,'Base SKUs'!D:D),"")</f>
        <v>Thermowood</v>
      </c>
      <c r="M1523" t="str">
        <f>IFERROR(_xlfn.XLOOKUP($A1523,'Base SKUs'!$E:$E,'Base SKUs'!G:G),"")</f>
        <v>Maximo Thermo Ayous JPL</v>
      </c>
      <c r="N1523" t="str">
        <f>IFERROR(_xlfn.XLOOKUP($A1523,'Base SKUs'!$E:$E,'Base SKUs'!H:H),"")</f>
        <v>S4S E4E</v>
      </c>
      <c r="O1523" t="str">
        <f>IFERROR(_xlfn.XLOOKUP($A1523,'Base SKUs'!$E:$E,'Base SKUs'!I:I),"")</f>
        <v>-</v>
      </c>
      <c r="P1523" t="str">
        <f>IFERROR(_xlfn.XLOOKUP($A1523,'Base SKUs'!$E:$E,'Base SKUs'!J:J),"")</f>
        <v>1x10</v>
      </c>
      <c r="Q1523">
        <f>IFERROR(_xlfn.XLOOKUP($A1523,'Base SKUs'!$E:$E,'Base SKUs'!K:K),"")</f>
        <v>20</v>
      </c>
      <c r="R1523" s="7">
        <f>IFERROR(_xlfn.XLOOKUP($A1523,'Base SKUs'!$E:$E,'Base SKUs'!S:S),"")</f>
        <v>3.0204375074999998E-2</v>
      </c>
      <c r="S1523" s="8">
        <f t="shared" si="117"/>
        <v>2.2653281306249999</v>
      </c>
      <c r="T1523" s="7">
        <f>IFERROR(_xlfn.XLOOKUP($A1523,'Base SKUs'!$E:$E,'Base SKUs'!R:R),"")</f>
        <v>661.50400000000002</v>
      </c>
      <c r="U1523" s="15">
        <f t="shared" si="118"/>
        <v>1499</v>
      </c>
      <c r="V1523" t="str">
        <f t="shared" si="119"/>
        <v>Miami</v>
      </c>
    </row>
    <row r="1524" spans="1:22" x14ac:dyDescent="0.2">
      <c r="A1524" t="s">
        <v>2065</v>
      </c>
      <c r="B1524" s="5">
        <v>93</v>
      </c>
      <c r="C1524" s="5">
        <v>56</v>
      </c>
      <c r="D1524" s="5">
        <f t="shared" si="115"/>
        <v>37</v>
      </c>
      <c r="E1524" s="6">
        <v>78.989400000000003</v>
      </c>
      <c r="F1524" s="6">
        <f t="shared" si="116"/>
        <v>7346.0142000000005</v>
      </c>
      <c r="G1524" t="s">
        <v>17</v>
      </c>
      <c r="H1524">
        <v>9007</v>
      </c>
      <c r="I1524" t="str">
        <f>IFERROR(_xlfn.XLOOKUP($A1524,'Base SKUs'!$E:$E,'Base SKUs'!A:A),"")</f>
        <v>Ayous JPL</v>
      </c>
      <c r="J1524" t="str">
        <f>IFERROR(_xlfn.XLOOKUP($A1524,'Base SKUs'!$E:$E,'Base SKUs'!B:B),"")</f>
        <v>Ayous JPL 1x12</v>
      </c>
      <c r="K1524" t="str">
        <f>IFERROR(_xlfn.XLOOKUP($A1524,'Base SKUs'!$E:$E,'Base SKUs'!C:C),"")</f>
        <v>Long</v>
      </c>
      <c r="L1524" t="str">
        <f>IFERROR(_xlfn.XLOOKUP($A1524,'Base SKUs'!$E:$E,'Base SKUs'!D:D),"")</f>
        <v>Thermowood</v>
      </c>
      <c r="M1524" t="str">
        <f>IFERROR(_xlfn.XLOOKUP($A1524,'Base SKUs'!$E:$E,'Base SKUs'!G:G),"")</f>
        <v>Maximo Thermo Ayous JPL</v>
      </c>
      <c r="N1524" t="str">
        <f>IFERROR(_xlfn.XLOOKUP($A1524,'Base SKUs'!$E:$E,'Base SKUs'!H:H),"")</f>
        <v>S4S E4E</v>
      </c>
      <c r="O1524" t="str">
        <f>IFERROR(_xlfn.XLOOKUP($A1524,'Base SKUs'!$E:$E,'Base SKUs'!I:I),"")</f>
        <v>-</v>
      </c>
      <c r="P1524" t="str">
        <f>IFERROR(_xlfn.XLOOKUP($A1524,'Base SKUs'!$E:$E,'Base SKUs'!J:J),"")</f>
        <v>1x12</v>
      </c>
      <c r="Q1524">
        <f>IFERROR(_xlfn.XLOOKUP($A1524,'Base SKUs'!$E:$E,'Base SKUs'!K:K),"")</f>
        <v>20</v>
      </c>
      <c r="R1524" s="7">
        <f>IFERROR(_xlfn.XLOOKUP($A1524,'Base SKUs'!$E:$E,'Base SKUs'!S:S),"")</f>
        <v>3.3151143374999997E-2</v>
      </c>
      <c r="S1524" s="8">
        <f t="shared" si="117"/>
        <v>1.2265923048749998</v>
      </c>
      <c r="T1524" s="7">
        <f>IFERROR(_xlfn.XLOOKUP($A1524,'Base SKUs'!$E:$E,'Base SKUs'!R:R),"")</f>
        <v>602.70399999999995</v>
      </c>
      <c r="U1524" s="15">
        <f t="shared" si="118"/>
        <v>739</v>
      </c>
      <c r="V1524" t="str">
        <f t="shared" si="119"/>
        <v>Miami</v>
      </c>
    </row>
    <row r="1525" spans="1:22" x14ac:dyDescent="0.2">
      <c r="A1525" t="s">
        <v>2067</v>
      </c>
      <c r="B1525" s="5">
        <v>259</v>
      </c>
      <c r="C1525" s="5">
        <v>0</v>
      </c>
      <c r="D1525" s="5">
        <f t="shared" si="115"/>
        <v>259</v>
      </c>
      <c r="E1525" s="6">
        <v>28.170100000000001</v>
      </c>
      <c r="F1525" s="6">
        <f t="shared" si="116"/>
        <v>7296.0559000000003</v>
      </c>
      <c r="G1525" t="s">
        <v>500</v>
      </c>
      <c r="H1525">
        <v>9012</v>
      </c>
      <c r="I1525" t="str">
        <f>IFERROR(_xlfn.XLOOKUP($A1525,'Base SKUs'!$E:$E,'Base SKUs'!A:A),"")</f>
        <v>Ayous JPL</v>
      </c>
      <c r="J1525" t="str">
        <f>IFERROR(_xlfn.XLOOKUP($A1525,'Base SKUs'!$E:$E,'Base SKUs'!B:B),"")</f>
        <v>Ayous JPL 5/4x6</v>
      </c>
      <c r="K1525" t="str">
        <f>IFERROR(_xlfn.XLOOKUP($A1525,'Base SKUs'!$E:$E,'Base SKUs'!C:C),"")</f>
        <v>Long</v>
      </c>
      <c r="L1525" t="str">
        <f>IFERROR(_xlfn.XLOOKUP($A1525,'Base SKUs'!$E:$E,'Base SKUs'!D:D),"")</f>
        <v>Thermowood</v>
      </c>
      <c r="M1525" t="str">
        <f>IFERROR(_xlfn.XLOOKUP($A1525,'Base SKUs'!$E:$E,'Base SKUs'!G:G),"")</f>
        <v>Maximo Thermo Ayous JPL</v>
      </c>
      <c r="N1525" t="str">
        <f>IFERROR(_xlfn.XLOOKUP($A1525,'Base SKUs'!$E:$E,'Base SKUs'!H:H),"")</f>
        <v>Rough Sawn</v>
      </c>
      <c r="O1525" t="str">
        <f>IFERROR(_xlfn.XLOOKUP($A1525,'Base SKUs'!$E:$E,'Base SKUs'!I:I),"")</f>
        <v>-</v>
      </c>
      <c r="P1525" t="str">
        <f>IFERROR(_xlfn.XLOOKUP($A1525,'Base SKUs'!$E:$E,'Base SKUs'!J:J),"")</f>
        <v>5/4x6</v>
      </c>
      <c r="Q1525">
        <f>IFERROR(_xlfn.XLOOKUP($A1525,'Base SKUs'!$E:$E,'Base SKUs'!K:K),"")</f>
        <v>19</v>
      </c>
      <c r="R1525" s="7">
        <f>IFERROR(_xlfn.XLOOKUP($A1525,'Base SKUs'!$E:$E,'Base SKUs'!S:S),"")</f>
        <v>2.1731250000000001E-2</v>
      </c>
      <c r="S1525" s="8">
        <f t="shared" si="117"/>
        <v>5.6283937499999999</v>
      </c>
      <c r="T1525" s="7">
        <f>IFERROR(_xlfn.XLOOKUP($A1525,'Base SKUs'!$E:$E,'Base SKUs'!R:R),"")</f>
        <v>874.89099999999996</v>
      </c>
      <c r="U1525" s="15">
        <f t="shared" si="118"/>
        <v>4924</v>
      </c>
      <c r="V1525" t="str">
        <f t="shared" si="119"/>
        <v>HW Perris</v>
      </c>
    </row>
    <row r="1526" spans="1:22" x14ac:dyDescent="0.2">
      <c r="A1526" t="s">
        <v>2072</v>
      </c>
      <c r="B1526" s="5">
        <v>14</v>
      </c>
      <c r="C1526" s="5">
        <v>14</v>
      </c>
      <c r="D1526" s="5">
        <f t="shared" si="115"/>
        <v>0</v>
      </c>
      <c r="E1526" s="6">
        <v>20.2</v>
      </c>
      <c r="F1526" s="6">
        <f t="shared" si="116"/>
        <v>282.8</v>
      </c>
      <c r="G1526" t="s">
        <v>17</v>
      </c>
      <c r="H1526">
        <v>9007</v>
      </c>
      <c r="I1526" t="str">
        <f>IFERROR(_xlfn.XLOOKUP($A1526,'Base SKUs'!$E:$E,'Base SKUs'!A:A),"")</f>
        <v>Scandinavian Pine</v>
      </c>
      <c r="J1526" t="str">
        <f>IFERROR(_xlfn.XLOOKUP($A1526,'Base SKUs'!$E:$E,'Base SKUs'!B:B),"")</f>
        <v>Scandinavian Pine 1x6</v>
      </c>
      <c r="K1526" t="str">
        <f>IFERROR(_xlfn.XLOOKUP($A1526,'Base SKUs'!$E:$E,'Base SKUs'!C:C),"")</f>
        <v>Long</v>
      </c>
      <c r="L1526" t="str">
        <f>IFERROR(_xlfn.XLOOKUP($A1526,'Base SKUs'!$E:$E,'Base SKUs'!D:D),"")</f>
        <v>Thermowood</v>
      </c>
      <c r="M1526" t="str">
        <f>IFERROR(_xlfn.XLOOKUP($A1526,'Base SKUs'!$E:$E,'Base SKUs'!G:G),"")</f>
        <v>Maximo Thermo Scandinavian Pine</v>
      </c>
      <c r="N1526" t="str">
        <f>IFERROR(_xlfn.XLOOKUP($A1526,'Base SKUs'!$E:$E,'Base SKUs'!H:H),"")</f>
        <v>VJoint - Nickel Gap</v>
      </c>
      <c r="O1526" t="str">
        <f>IFERROR(_xlfn.XLOOKUP($A1526,'Base SKUs'!$E:$E,'Base SKUs'!I:I),"")</f>
        <v>-</v>
      </c>
      <c r="P1526" t="str">
        <f>IFERROR(_xlfn.XLOOKUP($A1526,'Base SKUs'!$E:$E,'Base SKUs'!J:J),"")</f>
        <v>1x6</v>
      </c>
      <c r="Q1526">
        <f>IFERROR(_xlfn.XLOOKUP($A1526,'Base SKUs'!$E:$E,'Base SKUs'!K:K),"")</f>
        <v>19</v>
      </c>
      <c r="R1526" s="7">
        <f>IFERROR(_xlfn.XLOOKUP($A1526,'Base SKUs'!$E:$E,'Base SKUs'!S:S),"")</f>
        <v>1.5161999999999998E-2</v>
      </c>
      <c r="S1526" s="8">
        <f t="shared" si="117"/>
        <v>0</v>
      </c>
      <c r="T1526" s="7">
        <f>IFERROR(_xlfn.XLOOKUP($A1526,'Base SKUs'!$E:$E,'Base SKUs'!R:R),"")</f>
        <v>1233.3979999999999</v>
      </c>
      <c r="U1526" s="15">
        <f t="shared" si="118"/>
        <v>0</v>
      </c>
      <c r="V1526" t="str">
        <f t="shared" si="119"/>
        <v>Miami</v>
      </c>
    </row>
  </sheetData>
  <autoFilter ref="A1:V1532" xr:uid="{43EEB49C-4C80-419B-B12D-B3934A2EC5A4}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4D619-8CBF-4453-B100-DF54B4991D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SKUs</vt:lpstr>
      <vt:lpstr>Sheet1</vt:lpstr>
      <vt:lpstr>Local 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ADRIAN PEREIRA</cp:lastModifiedBy>
  <dcterms:created xsi:type="dcterms:W3CDTF">2026-04-10T17:25:27Z</dcterms:created>
  <dcterms:modified xsi:type="dcterms:W3CDTF">2026-05-29T18:59:56Z</dcterms:modified>
</cp:coreProperties>
</file>